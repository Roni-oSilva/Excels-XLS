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Pacientes" sheetId="3" r:id="rId3"/>
    <sheet name="Agenda" sheetId="4" r:id="rId4"/>
    <sheet name="Pendências" sheetId="5" r:id="rId5"/>
    <sheet name="Relatórios" sheetId="6" r:id="rId6"/>
  </sheets>
  <definedNames>
    <definedName name="_xlnm._FilterDatabase" localSheetId="3" hidden="1">Agenda!$A$4:$V$3004</definedName>
    <definedName name="_xlnm._FilterDatabase" localSheetId="2" hidden="1">Pacientes!$A$4:$J$1004</definedName>
    <definedName name="AgData">Agenda!$A$5:$A$3004</definedName>
    <definedName name="AgPac">Agenda!$D$5:$D$3004</definedName>
    <definedName name="AgStatus">Agenda!$F$5:$F$3004</definedName>
    <definedName name="Convenios">Config!$K$5:$K$14</definedName>
    <definedName name="DiasConf">Config!$C$6</definedName>
    <definedName name="Formas">Config!$M$5:$M$14</definedName>
    <definedName name="Hoje">Config!$C$5</definedName>
    <definedName name="JanelaRet">Config!$C$7</definedName>
    <definedName name="MesAn">Config!$C$9</definedName>
    <definedName name="Origens">Config!$B$26:$B$31</definedName>
    <definedName name="PacCod">Pacientes!$A$5:$A$1004</definedName>
    <definedName name="PacConv">Pacientes!$D$5:$D$1004</definedName>
    <definedName name="PacNome">Pacientes!$B$5:$B$1004</definedName>
    <definedName name="PacTel">Pacientes!$C$5:$C$1004</definedName>
    <definedName name="ProcNome">Config!$G$5:$G$34</definedName>
    <definedName name="ProcRet">Config!$I$5:$I$34</definedName>
    <definedName name="ProcValor">Config!$H$5:$H$34</definedName>
    <definedName name="ProfLista">Config!$E$5:$E$14</definedName>
    <definedName name="StatusAg">Config!$B$18:$B$23</definedName>
  </definedNames>
  <calcPr calcId="124519" fullCalcOnLoad="1"/>
</workbook>
</file>

<file path=xl/sharedStrings.xml><?xml version="1.0" encoding="utf-8"?>
<sst xmlns="http://schemas.openxmlformats.org/spreadsheetml/2006/main" count="2064" uniqueCount="289">
  <si>
    <t>Agenda, Faltas e Retornos</t>
  </si>
  <si>
    <t>Carvex XLS · Menos horários vazios, mais retornos agendados</t>
  </si>
  <si>
    <t>ESTE É O ARQUIVO DE EXEMPLO: todos os dados são fictícios. Use-o para entender como a planilha funciona e comece a sua pela PLANILHA-LIMPA.xlsx.</t>
  </si>
  <si>
    <t>O que esta planilha faz</t>
  </si>
  <si>
    <t>Registre a agenda com status de cada atendimento. A planilha calcula a taxa de falta por profissional e dia da semana, a receita perdida com faltas, lista quem precisa ser confirmado e quais pacientes devem retornar e ainda não têm retorno agendado. Sem dados clínicos: só o necessário para a gestão.</t>
  </si>
  <si>
    <t>Como começar (5 minutos)</t>
  </si>
  <si>
    <t>1. Config</t>
  </si>
  <si>
    <t>Cadastre profissionais, procedimentos (valor e dias para retorno), convênios e formas de pagamento.</t>
  </si>
  <si>
    <t>2. Cadastre os pacientes</t>
  </si>
  <si>
    <t>Em Pacientes: código, nome, telefone e convênio. NÃO registre diagnósticos, exames ou informações de saúde.</t>
  </si>
  <si>
    <t>3. Lance a agenda</t>
  </si>
  <si>
    <t>Em Agenda: data, hora, profissional, código do paciente, procedimento e status. Atualize o status ao longo do dia.</t>
  </si>
  <si>
    <t>4. Confirme e recupere</t>
  </si>
  <si>
    <t>Na aba Pendências veja quem confirmar nos próximos dias e quem precisa de retorno agendado.</t>
  </si>
  <si>
    <t>5. Meça os resultados</t>
  </si>
  <si>
    <t>Na aba Relatórios veja taxa de falta, receita perdida e receita por profissional.</t>
  </si>
  <si>
    <t>Mapa das abas (clique para ir)</t>
  </si>
  <si>
    <t>Config</t>
  </si>
  <si>
    <t>Profissionais, procedimentos, convênios, janelas de alerta.</t>
  </si>
  <si>
    <t>Pacientes</t>
  </si>
  <si>
    <t>Cadastro mínimo e histórico de presença.</t>
  </si>
  <si>
    <t>Agenda</t>
  </si>
  <si>
    <t>Todos os agendamentos (até 3.000 linhas).</t>
  </si>
  <si>
    <t>Pendências</t>
  </si>
  <si>
    <t>Confirmações e retornos a agendar, com telefone.</t>
  </si>
  <si>
    <t>Relatórios</t>
  </si>
  <si>
    <t>Indicadores do mês, por profissional, por dia da semana e tendência mensal.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</si>
  <si>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</si>
  <si>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</si>
  <si>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</si>
  <si>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</si>
  <si>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</si>
  <si>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</si>
  <si>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</si>
  <si>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</si>
  <si>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Privacidade: use apenas dados de identificação e contato necessários para o agendamento (LGPD). Nunca lance informações de saúde.</t>
  </si>
  <si>
    <t>• Status 'Cancelado' e 'Remarcado' não contam como falta. 'Faltou' é a ausência sem aviso.</t>
  </si>
  <si>
    <t>• O valor padrão vem da tabela de procedimentos. Para convênio ou desconto, digite o valor cobrado na coluna própria.</t>
  </si>
  <si>
    <t>Carvex XLS · Agenda, Faltas e Retornos para Clínicas · versão 1.0 · Dúvidas: consulte o TUTORIAL.md e o MANUAL.md que acompanham o produto.</t>
  </si>
  <si>
    <t>Configurações</t>
  </si>
  <si>
    <t>Preencha as células amarelas.</t>
  </si>
  <si>
    <t>EXEMPLO - dados fictícios</t>
  </si>
  <si>
    <t>Clínica</t>
  </si>
  <si>
    <t>Clínica Exemplo</t>
  </si>
  <si>
    <t>Data de hoje (referência)</t>
  </si>
  <si>
    <t>Confirmar agendamentos com até (dias)</t>
  </si>
  <si>
    <t>Alertar retornos que vencem em (dias)</t>
  </si>
  <si>
    <t>Mês de análise (1º dia; opcional)</t>
  </si>
  <si>
    <t>Mês de análise efetivo</t>
  </si>
  <si>
    <t>Deixe o mês vazio para analisar o mês atual.</t>
  </si>
  <si>
    <t>Profissionais</t>
  </si>
  <si>
    <t>Profissional A</t>
  </si>
  <si>
    <t>Profissional B</t>
  </si>
  <si>
    <t>Profissional C</t>
  </si>
  <si>
    <t>Profissional D</t>
  </si>
  <si>
    <t>Procedimento</t>
  </si>
  <si>
    <t>Valor (R$)</t>
  </si>
  <si>
    <t>Dias p/ retorno</t>
  </si>
  <si>
    <t>Consulta inicial</t>
  </si>
  <si>
    <t>Retorno</t>
  </si>
  <si>
    <t>Limpeza / manutenção</t>
  </si>
  <si>
    <t>Avaliação</t>
  </si>
  <si>
    <t>Procedimento A</t>
  </si>
  <si>
    <t>Sessão</t>
  </si>
  <si>
    <t>Exame complementar</t>
  </si>
  <si>
    <t>Revisão</t>
  </si>
  <si>
    <t>Convênios</t>
  </si>
  <si>
    <t>Particular</t>
  </si>
  <si>
    <t>Convênio A</t>
  </si>
  <si>
    <t>Convênio B</t>
  </si>
  <si>
    <t>Formas de pagamento</t>
  </si>
  <si>
    <t>Pix</t>
  </si>
  <si>
    <t>Dinheiro</t>
  </si>
  <si>
    <t>Cartão de débito</t>
  </si>
  <si>
    <t>Cartão de crédito</t>
  </si>
  <si>
    <t>Transferência</t>
  </si>
  <si>
    <t>Status do agendamento (fixos)</t>
  </si>
  <si>
    <t>Agendado</t>
  </si>
  <si>
    <t>Confirmado</t>
  </si>
  <si>
    <t>Compareceu</t>
  </si>
  <si>
    <t>Faltou</t>
  </si>
  <si>
    <t>Cancelado</t>
  </si>
  <si>
    <t>Remarcado</t>
  </si>
  <si>
    <t>Origem do paciente</t>
  </si>
  <si>
    <t>Indicação</t>
  </si>
  <si>
    <t>Instagram</t>
  </si>
  <si>
    <t>Google</t>
  </si>
  <si>
    <t>Convênio</t>
  </si>
  <si>
    <t>Passante</t>
  </si>
  <si>
    <t>Pacientes (cadastro mínimo)</t>
  </si>
  <si>
    <t>Somente identificação e contato. Sem informações de saúde.</t>
  </si>
  <si>
    <t>Código</t>
  </si>
  <si>
    <t>Nome</t>
  </si>
  <si>
    <t>Telefone</t>
  </si>
  <si>
    <t>Origem</t>
  </si>
  <si>
    <t>Cadastro em</t>
  </si>
  <si>
    <t>Observação administrativa</t>
  </si>
  <si>
    <t>Consultas realizadas</t>
  </si>
  <si>
    <t>Faltas</t>
  </si>
  <si>
    <t>Última visita</t>
  </si>
  <si>
    <t>P001</t>
  </si>
  <si>
    <t>Paciente 001</t>
  </si>
  <si>
    <t>(00) 94565-4237</t>
  </si>
  <si>
    <t>P002</t>
  </si>
  <si>
    <t>Paciente 002</t>
  </si>
  <si>
    <t>(00) 98326-2369</t>
  </si>
  <si>
    <t>P003</t>
  </si>
  <si>
    <t>Paciente 003</t>
  </si>
  <si>
    <t>(00) 96541-2745</t>
  </si>
  <si>
    <t>P004</t>
  </si>
  <si>
    <t>Paciente 004</t>
  </si>
  <si>
    <t>(00) 95473-1684</t>
  </si>
  <si>
    <t>P005</t>
  </si>
  <si>
    <t>Paciente 005</t>
  </si>
  <si>
    <t>(00) 96105-4571</t>
  </si>
  <si>
    <t>P006</t>
  </si>
  <si>
    <t>Paciente 006</t>
  </si>
  <si>
    <t>(00) 98534-6801</t>
  </si>
  <si>
    <t>P007</t>
  </si>
  <si>
    <t>Paciente 007</t>
  </si>
  <si>
    <t>(00) 93255-1189</t>
  </si>
  <si>
    <t>P008</t>
  </si>
  <si>
    <t>Paciente 008</t>
  </si>
  <si>
    <t>(00) 93219-8421</t>
  </si>
  <si>
    <t>P009</t>
  </si>
  <si>
    <t>Paciente 009</t>
  </si>
  <si>
    <t>(00) 91510-3710</t>
  </si>
  <si>
    <t>P010</t>
  </si>
  <si>
    <t>Paciente 010</t>
  </si>
  <si>
    <t>(00) 96475-3660</t>
  </si>
  <si>
    <t>P011</t>
  </si>
  <si>
    <t>Paciente 011</t>
  </si>
  <si>
    <t>(00) 99378-4760</t>
  </si>
  <si>
    <t>P012</t>
  </si>
  <si>
    <t>Paciente 012</t>
  </si>
  <si>
    <t>(00) 98943-8585</t>
  </si>
  <si>
    <t>P013</t>
  </si>
  <si>
    <t>Paciente 013</t>
  </si>
  <si>
    <t>(00) 98509-5064</t>
  </si>
  <si>
    <t>P014</t>
  </si>
  <si>
    <t>Paciente 014</t>
  </si>
  <si>
    <t>(00) 94974-3063</t>
  </si>
  <si>
    <t>P015</t>
  </si>
  <si>
    <t>Paciente 015</t>
  </si>
  <si>
    <t>(00) 93484-4979</t>
  </si>
  <si>
    <t>P016</t>
  </si>
  <si>
    <t>Paciente 016</t>
  </si>
  <si>
    <t>(00) 92342-9633</t>
  </si>
  <si>
    <t>P017</t>
  </si>
  <si>
    <t>Paciente 017</t>
  </si>
  <si>
    <t>(00) 95616-9550</t>
  </si>
  <si>
    <t>P018</t>
  </si>
  <si>
    <t>Paciente 018</t>
  </si>
  <si>
    <t>(00) 96704-9301</t>
  </si>
  <si>
    <t>P019</t>
  </si>
  <si>
    <t>Paciente 019</t>
  </si>
  <si>
    <t>(00) 92583-1703</t>
  </si>
  <si>
    <t>P020</t>
  </si>
  <si>
    <t>Paciente 020</t>
  </si>
  <si>
    <t>(00) 93991-4952</t>
  </si>
  <si>
    <t>P021</t>
  </si>
  <si>
    <t>Paciente 021</t>
  </si>
  <si>
    <t>(00) 94287-5719</t>
  </si>
  <si>
    <t>P022</t>
  </si>
  <si>
    <t>Paciente 022</t>
  </si>
  <si>
    <t>(00) 97069-5634</t>
  </si>
  <si>
    <t>P023</t>
  </si>
  <si>
    <t>Paciente 023</t>
  </si>
  <si>
    <t>(00) 95872-4921</t>
  </si>
  <si>
    <t>P024</t>
  </si>
  <si>
    <t>Paciente 024</t>
  </si>
  <si>
    <t>(00) 98162-5583</t>
  </si>
  <si>
    <t>P025</t>
  </si>
  <si>
    <t>Paciente 025</t>
  </si>
  <si>
    <t>(00) 94231-6188</t>
  </si>
  <si>
    <t>P026</t>
  </si>
  <si>
    <t>Paciente 026</t>
  </si>
  <si>
    <t>(00) 92076-9796</t>
  </si>
  <si>
    <t>P027</t>
  </si>
  <si>
    <t>Paciente 027</t>
  </si>
  <si>
    <t>(00) 98119-3436</t>
  </si>
  <si>
    <t>P028</t>
  </si>
  <si>
    <t>Paciente 028</t>
  </si>
  <si>
    <t>(00) 92332-6330</t>
  </si>
  <si>
    <t>P029</t>
  </si>
  <si>
    <t>Paciente 029</t>
  </si>
  <si>
    <t>(00) 95417-2563</t>
  </si>
  <si>
    <t>P030</t>
  </si>
  <si>
    <t>Paciente 030</t>
  </si>
  <si>
    <t>(00) 92608-5112</t>
  </si>
  <si>
    <t>P031</t>
  </si>
  <si>
    <t>Paciente 031</t>
  </si>
  <si>
    <t>(00) 91191-4743</t>
  </si>
  <si>
    <t>P032</t>
  </si>
  <si>
    <t>Paciente 032</t>
  </si>
  <si>
    <t>(00) 99693-8726</t>
  </si>
  <si>
    <t>P033</t>
  </si>
  <si>
    <t>Paciente 033</t>
  </si>
  <si>
    <t>(00) 92736-7445</t>
  </si>
  <si>
    <t>P034</t>
  </si>
  <si>
    <t>Paciente 034</t>
  </si>
  <si>
    <t>(00) 95215-6497</t>
  </si>
  <si>
    <t>P035</t>
  </si>
  <si>
    <t>Paciente 035</t>
  </si>
  <si>
    <t>(00) 96339-3541</t>
  </si>
  <si>
    <t>P036</t>
  </si>
  <si>
    <t>Paciente 036</t>
  </si>
  <si>
    <t>(00) 98315-3912</t>
  </si>
  <si>
    <t>P037</t>
  </si>
  <si>
    <t>Paciente 037</t>
  </si>
  <si>
    <t>(00) 94310-1323</t>
  </si>
  <si>
    <t>P038</t>
  </si>
  <si>
    <t>Paciente 038</t>
  </si>
  <si>
    <t>(00) 91400-1866</t>
  </si>
  <si>
    <t>P039</t>
  </si>
  <si>
    <t>Paciente 039</t>
  </si>
  <si>
    <t>(00) 97491-4628</t>
  </si>
  <si>
    <t>P040</t>
  </si>
  <si>
    <t>Paciente 040</t>
  </si>
  <si>
    <t>(00) 96034-4960</t>
  </si>
  <si>
    <t>P041</t>
  </si>
  <si>
    <t>Paciente 041</t>
  </si>
  <si>
    <t>(00) 92294-9339</t>
  </si>
  <si>
    <t>P042</t>
  </si>
  <si>
    <t>Paciente 042</t>
  </si>
  <si>
    <t>(00) 95144-8146</t>
  </si>
  <si>
    <t>P043</t>
  </si>
  <si>
    <t>Paciente 043</t>
  </si>
  <si>
    <t>(00) 94039-2138</t>
  </si>
  <si>
    <t>P044</t>
  </si>
  <si>
    <t>Paciente 044</t>
  </si>
  <si>
    <t>(00) 93672-9645</t>
  </si>
  <si>
    <t>P045</t>
  </si>
  <si>
    <t>Paciente 045</t>
  </si>
  <si>
    <t>(00) 91295-9409</t>
  </si>
  <si>
    <t>P046</t>
  </si>
  <si>
    <t>Paciente 046</t>
  </si>
  <si>
    <t>(00) 97564-5133</t>
  </si>
  <si>
    <t>Uma linha por agendamento. Atualize o status ao longo do dia.</t>
  </si>
  <si>
    <t>Data</t>
  </si>
  <si>
    <t>Hora</t>
  </si>
  <si>
    <t>Profissional</t>
  </si>
  <si>
    <t>Cód. paciente</t>
  </si>
  <si>
    <t>Status</t>
  </si>
  <si>
    <t>Valor cobrado (se diferente da tabela)</t>
  </si>
  <si>
    <t>Valor recebido (R$)</t>
  </si>
  <si>
    <t>Forma de pagamento</t>
  </si>
  <si>
    <t>Paciente</t>
  </si>
  <si>
    <t>Dia</t>
  </si>
  <si>
    <t>Valor do atendimento</t>
  </si>
  <si>
    <t>Receita realizada</t>
  </si>
  <si>
    <t>Receita perdida (falta)</t>
  </si>
  <si>
    <t>A receber</t>
  </si>
  <si>
    <t>Retorno previsto</t>
  </si>
  <si>
    <t>Retorno agendado?</t>
  </si>
  <si>
    <t>ALERTA</t>
  </si>
  <si>
    <t>Mês</t>
  </si>
  <si>
    <t>Seq. confirmar</t>
  </si>
  <si>
    <t>Seq. retorno</t>
  </si>
  <si>
    <t>Pendências do dia</t>
  </si>
  <si>
    <t>Confirmações a fazer e retornos que ainda não têm data marcada.</t>
  </si>
  <si>
    <t>1) CONFIRMAR agendamentos (próximos dias)</t>
  </si>
  <si>
    <t>2) RETORNOS a agendar</t>
  </si>
  <si>
    <t>#</t>
  </si>
  <si>
    <t>Relatórios da clínica</t>
  </si>
  <si>
    <t>Mês de análise definido na Config (vazio = mês atual).</t>
  </si>
  <si>
    <t>AGENDADAS NO MÊS</t>
  </si>
  <si>
    <t>COMPARECERAM</t>
  </si>
  <si>
    <t>FALTARAM</t>
  </si>
  <si>
    <t>TAXA DE FALTA</t>
  </si>
  <si>
    <t>RECEITA REALIZADA</t>
  </si>
  <si>
    <t>RECEITA PERDIDA (faltas)</t>
  </si>
  <si>
    <t>TICKET MÉDIO</t>
  </si>
  <si>
    <t>A RECEBER (total)</t>
  </si>
  <si>
    <t>CONFIRMAÇÕES PENDENTES</t>
  </si>
  <si>
    <t>RETORNOS A AGENDAR</t>
  </si>
  <si>
    <t>Por profissional (mês de análise)</t>
  </si>
  <si>
    <t>Agendadas</t>
  </si>
  <si>
    <t>Taxa de falta</t>
  </si>
  <si>
    <t>Receita</t>
  </si>
  <si>
    <t>Perdida em faltas</t>
  </si>
  <si>
    <t>Faltas por dia da semana</t>
  </si>
  <si>
    <t>Seg</t>
  </si>
  <si>
    <t>Ter</t>
  </si>
  <si>
    <t>Qua</t>
  </si>
  <si>
    <t>Qui</t>
  </si>
  <si>
    <t>Sex</t>
  </si>
  <si>
    <t>Sáb</t>
  </si>
  <si>
    <t>Tendência mensal (ano da data de hoje)</t>
  </si>
</sst>
</file>

<file path=xl/styles.xml><?xml version="1.0" encoding="utf-8"?>
<styleSheet xmlns="http://schemas.openxmlformats.org/spreadsheetml/2006/main">
  <numFmts count="7">
    <numFmt numFmtId="164" formatCode="dd/mm/yyyy"/>
    <numFmt numFmtId="165" formatCode="&quot;R$&quot; #,##0.00;[Red]-&quot;R$&quot; #,##0.00"/>
    <numFmt numFmtId="166" formatCode="#,##0"/>
    <numFmt numFmtId="167" formatCode="dd/mm/yyyy;;&quot;-&quot;"/>
    <numFmt numFmtId="168" formatCode="hh:mm"/>
    <numFmt numFmtId="169" formatCode="mmm/yy"/>
    <numFmt numFmtId="170" formatCode="0.0%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7" fillId="4" borderId="1" xfId="0" applyNumberFormat="1" applyFont="1" applyFill="1" applyBorder="1" applyAlignment="1" applyProtection="1">
      <alignment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4" fontId="13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13" fillId="5" borderId="1" xfId="0" applyNumberFormat="1" applyFont="1" applyFill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169" fontId="13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8" fontId="13" fillId="5" borderId="1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 wrapText="1"/>
    </xf>
    <xf numFmtId="166" fontId="16" fillId="6" borderId="5" xfId="0" applyNumberFormat="1" applyFont="1" applyFill="1" applyBorder="1" applyAlignment="1">
      <alignment horizontal="center" vertical="center"/>
    </xf>
    <xf numFmtId="166" fontId="17" fillId="6" borderId="5" xfId="0" applyNumberFormat="1" applyFont="1" applyFill="1" applyBorder="1" applyAlignment="1">
      <alignment horizontal="center" vertical="center"/>
    </xf>
    <xf numFmtId="170" fontId="17" fillId="6" borderId="5" xfId="0" applyNumberFormat="1" applyFont="1" applyFill="1" applyBorder="1" applyAlignment="1">
      <alignment horizontal="center" vertical="center"/>
    </xf>
    <xf numFmtId="165" fontId="16" fillId="6" borderId="5" xfId="0" applyNumberFormat="1" applyFont="1" applyFill="1" applyBorder="1" applyAlignment="1">
      <alignment horizontal="center" vertical="center"/>
    </xf>
    <xf numFmtId="165" fontId="17" fillId="6" borderId="5" xfId="0" applyNumberFormat="1" applyFont="1" applyFill="1" applyBorder="1" applyAlignment="1">
      <alignment horizontal="center" vertical="center"/>
    </xf>
    <xf numFmtId="165" fontId="18" fillId="6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70" fontId="10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0" fillId="5" borderId="1" xfId="0" applyNumberFormat="1" applyFont="1" applyFill="1" applyBorder="1" applyAlignment="1">
      <alignment horizontal="center" vertical="center"/>
    </xf>
    <xf numFmtId="170" fontId="1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DC2626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374151"/>
      </font>
      <fill>
        <patternFill>
          <bgColor rgb="FFF3F4F6"/>
        </patternFill>
      </fill>
    </dxf>
    <dxf>
      <font>
        <b/>
        <color rgb="FF6B7280"/>
      </font>
      <fill>
        <patternFill>
          <bgColor rgb="FFE5E7EB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92400E"/>
      </font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Em que dia mais faltam?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Taxa de falta</c:v>
          </c:tx>
          <c:spPr>
            <a:solidFill>
              <a:srgbClr val="F87171"/>
            </a:solidFill>
          </c:spPr>
          <c:dLbls>
            <c:numFmt formatCode="0%" sourceLinked="0"/>
            <c:showVal val="1"/>
          </c:dLbls>
          <c:cat>
            <c:strRef>
              <c:f>Relatórios!$A$25:$A$30</c:f>
              <c:strCache>
                <c:ptCount val="6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</c:strCache>
            </c:strRef>
          </c:cat>
          <c:val>
            <c:numRef>
              <c:f>Relatórios!$D$25:$D$30</c:f>
              <c:numCache>
                <c:formatCode>General</c:formatCode>
                <c:ptCount val="6"/>
                <c:pt idx="0">
                  <c:v>0.117647058823529</c:v>
                </c:pt>
                <c:pt idx="1">
                  <c:v>0</c:v>
                </c:pt>
                <c:pt idx="2">
                  <c:v>0.1875</c:v>
                </c:pt>
                <c:pt idx="3">
                  <c:v>0.181818181818182</c:v>
                </c:pt>
                <c:pt idx="4">
                  <c:v>0.3125</c:v>
                </c:pt>
                <c:pt idx="5">
                  <c:v>0.125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Comparecimentos x faltas por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Compareceu</c:v>
          </c:tx>
          <c:spPr>
            <a:solidFill>
              <a:srgbClr val="16A34A"/>
            </a:solidFill>
          </c:spPr>
          <c:cat>
            <c:numRef>
              <c:f>Relatórios!$F$25:$F$36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Relatórios!$G$25:$G$36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75</c:v>
                </c:pt>
                <c:pt idx="7">
                  <c:v>74</c:v>
                </c:pt>
                <c:pt idx="8">
                  <c:v>72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Faltou</c:v>
          </c:tx>
          <c:spPr>
            <a:solidFill>
              <a:srgbClr val="F87171"/>
            </a:solidFill>
          </c:spPr>
          <c:cat>
            <c:numRef>
              <c:f>Relatórios!$F$25:$F$36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Relatórios!$H$25:$H$36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20</c:v>
                </c:pt>
                <c:pt idx="8">
                  <c:v>13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inMax"/>
        </c:scaling>
        <c:axPos val="b"/>
        <c:numFmt formatCode="m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3</xdr:col>
      <xdr:colOff>866775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38</xdr:row>
      <xdr:rowOff>0</xdr:rowOff>
    </xdr:from>
    <xdr:to>
      <xdr:col>10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64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2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3" spans="2:3">
      <c r="B23" s="4" t="s">
        <v>27</v>
      </c>
      <c r="C23" s="4"/>
    </row>
    <row r="24" spans="2:3">
      <c r="B24" s="9" t="s">
        <v>28</v>
      </c>
      <c r="C24" s="7" t="s">
        <v>29</v>
      </c>
    </row>
    <row r="25" spans="2:3">
      <c r="B25" s="10" t="s">
        <v>30</v>
      </c>
      <c r="C25" s="7" t="s">
        <v>31</v>
      </c>
    </row>
    <row r="26" spans="2:3">
      <c r="B26" s="11" t="s">
        <v>32</v>
      </c>
      <c r="C26" s="7" t="s">
        <v>33</v>
      </c>
    </row>
    <row r="28" spans="2:3">
      <c r="B28" s="4" t="s">
        <v>34</v>
      </c>
      <c r="C28" s="4"/>
    </row>
    <row r="29" spans="2:3" ht="30" customHeight="1">
      <c r="B29" s="7" t="s">
        <v>35</v>
      </c>
      <c r="C29" s="7"/>
    </row>
    <row r="30" spans="2:3" ht="18" customHeight="1">
      <c r="B30" s="7" t="s">
        <v>36</v>
      </c>
      <c r="C30" s="7"/>
    </row>
    <row r="31" spans="2:3" ht="30" customHeight="1">
      <c r="B31" s="7" t="s">
        <v>37</v>
      </c>
      <c r="C31" s="7"/>
    </row>
    <row r="33" spans="2:3">
      <c r="B33" s="12" t="s">
        <v>38</v>
      </c>
      <c r="C33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3:C23"/>
    <mergeCell ref="B28:C28"/>
    <mergeCell ref="B29:C29"/>
    <mergeCell ref="B30:C30"/>
    <mergeCell ref="B31:C31"/>
    <mergeCell ref="B33:C33"/>
  </mergeCells>
  <hyperlinks>
    <hyperlink ref="B17" location="'Config'!A1" display="Config"/>
    <hyperlink ref="B18" location="'Pacientes'!A1" display="Pacientes"/>
    <hyperlink ref="B19" location="'Agenda'!A1" display="Agenda"/>
    <hyperlink ref="B20" location="'Pendências'!A1" display="Pendências"/>
    <hyperlink ref="B21" location="'Relatórios'!A1" display="Relatórios"/>
  </hyperlink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M34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16.7109375" customWidth="1"/>
    <col min="4" max="4" width="3.7109375" customWidth="1"/>
    <col min="5" max="5" width="22.7109375" customWidth="1"/>
    <col min="6" max="6" width="3.7109375" customWidth="1"/>
    <col min="7" max="7" width="26.7109375" customWidth="1"/>
    <col min="8" max="9" width="14.7109375" customWidth="1"/>
    <col min="10" max="10" width="3.7109375" customWidth="1"/>
    <col min="11" max="11" width="18.7109375" customWidth="1"/>
    <col min="12" max="12" width="3.7109375" customWidth="1"/>
    <col min="13" max="13" width="20.7109375" customWidth="1"/>
  </cols>
  <sheetData>
    <row r="1" spans="1:13" ht="36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" customHeight="1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13" t="s">
        <v>41</v>
      </c>
    </row>
    <row r="4" spans="1:13">
      <c r="B4" s="14" t="s">
        <v>42</v>
      </c>
      <c r="C4" s="15" t="s">
        <v>43</v>
      </c>
      <c r="E4" s="11" t="s">
        <v>50</v>
      </c>
      <c r="G4" s="11" t="s">
        <v>55</v>
      </c>
      <c r="H4" s="11" t="s">
        <v>56</v>
      </c>
      <c r="I4" s="11" t="s">
        <v>57</v>
      </c>
      <c r="K4" s="11" t="s">
        <v>66</v>
      </c>
      <c r="M4" s="11" t="s">
        <v>70</v>
      </c>
    </row>
    <row r="5" spans="1:13">
      <c r="B5" s="14" t="s">
        <v>44</v>
      </c>
      <c r="C5" s="16">
        <v>46303</v>
      </c>
      <c r="E5" s="15" t="s">
        <v>51</v>
      </c>
      <c r="G5" s="15" t="s">
        <v>58</v>
      </c>
      <c r="H5" s="17">
        <v>250</v>
      </c>
      <c r="I5" s="18">
        <v>0</v>
      </c>
      <c r="K5" s="15" t="s">
        <v>67</v>
      </c>
      <c r="M5" s="15" t="s">
        <v>71</v>
      </c>
    </row>
    <row r="6" spans="1:13">
      <c r="B6" s="14" t="s">
        <v>45</v>
      </c>
      <c r="C6" s="18">
        <v>2</v>
      </c>
      <c r="E6" s="15" t="s">
        <v>52</v>
      </c>
      <c r="G6" s="15" t="s">
        <v>59</v>
      </c>
      <c r="H6" s="17">
        <v>150</v>
      </c>
      <c r="I6" s="18">
        <v>0</v>
      </c>
      <c r="K6" s="15" t="s">
        <v>68</v>
      </c>
      <c r="M6" s="15" t="s">
        <v>72</v>
      </c>
    </row>
    <row r="7" spans="1:13">
      <c r="B7" s="14" t="s">
        <v>46</v>
      </c>
      <c r="C7" s="18">
        <v>15</v>
      </c>
      <c r="E7" s="15" t="s">
        <v>53</v>
      </c>
      <c r="G7" s="15" t="s">
        <v>60</v>
      </c>
      <c r="H7" s="17">
        <v>180</v>
      </c>
      <c r="I7" s="18">
        <v>180</v>
      </c>
      <c r="K7" s="15" t="s">
        <v>69</v>
      </c>
      <c r="M7" s="15" t="s">
        <v>73</v>
      </c>
    </row>
    <row r="8" spans="1:13">
      <c r="B8" s="14" t="s">
        <v>47</v>
      </c>
      <c r="C8" s="16">
        <v>46266</v>
      </c>
      <c r="E8" s="15" t="s">
        <v>54</v>
      </c>
      <c r="G8" s="15" t="s">
        <v>61</v>
      </c>
      <c r="H8" s="17">
        <v>120</v>
      </c>
      <c r="I8" s="18">
        <v>30</v>
      </c>
      <c r="K8" s="15"/>
      <c r="M8" s="15" t="s">
        <v>74</v>
      </c>
    </row>
    <row r="9" spans="1:13">
      <c r="B9" s="14" t="s">
        <v>48</v>
      </c>
      <c r="C9" s="19">
        <f>IF(ISNUMBER($C$8),DATE(YEAR($C$8),MONTH($C$8),1),DATE(YEAR(Hoje),MONTH(Hoje),1))</f>
        <v>46266.0</v>
      </c>
      <c r="E9" s="15"/>
      <c r="G9" s="15" t="s">
        <v>62</v>
      </c>
      <c r="H9" s="17">
        <v>350</v>
      </c>
      <c r="I9" s="18">
        <v>15</v>
      </c>
      <c r="K9" s="15"/>
      <c r="M9" s="15" t="s">
        <v>75</v>
      </c>
    </row>
    <row r="10" spans="1:13">
      <c r="B10" s="12" t="s">
        <v>49</v>
      </c>
      <c r="E10" s="15"/>
      <c r="G10" s="15" t="s">
        <v>63</v>
      </c>
      <c r="H10" s="17">
        <v>140</v>
      </c>
      <c r="I10" s="18">
        <v>7</v>
      </c>
      <c r="K10" s="15"/>
      <c r="M10" s="15"/>
    </row>
    <row r="11" spans="1:13">
      <c r="E11" s="15"/>
      <c r="G11" s="15" t="s">
        <v>64</v>
      </c>
      <c r="H11" s="17">
        <v>90</v>
      </c>
      <c r="I11" s="18">
        <v>0</v>
      </c>
      <c r="K11" s="15"/>
      <c r="M11" s="15"/>
    </row>
    <row r="12" spans="1:13">
      <c r="E12" s="15"/>
      <c r="G12" s="15" t="s">
        <v>65</v>
      </c>
      <c r="H12" s="17">
        <v>130</v>
      </c>
      <c r="I12" s="18">
        <v>90</v>
      </c>
      <c r="K12" s="15"/>
      <c r="M12" s="15"/>
    </row>
    <row r="13" spans="1:13">
      <c r="E13" s="15"/>
      <c r="G13" s="15"/>
      <c r="H13" s="17"/>
      <c r="I13" s="18"/>
      <c r="K13" s="15"/>
      <c r="M13" s="15"/>
    </row>
    <row r="14" spans="1:13">
      <c r="E14" s="15"/>
      <c r="G14" s="15"/>
      <c r="H14" s="17"/>
      <c r="I14" s="18"/>
      <c r="K14" s="15"/>
      <c r="M14" s="15"/>
    </row>
    <row r="15" spans="1:13">
      <c r="G15" s="15"/>
      <c r="H15" s="17"/>
      <c r="I15" s="18"/>
    </row>
    <row r="16" spans="1:13">
      <c r="G16" s="15"/>
      <c r="H16" s="17"/>
      <c r="I16" s="18"/>
    </row>
    <row r="17" spans="2:9">
      <c r="B17" s="11" t="s">
        <v>76</v>
      </c>
      <c r="G17" s="15"/>
      <c r="H17" s="17"/>
      <c r="I17" s="18"/>
    </row>
    <row r="18" spans="2:9">
      <c r="B18" s="20" t="s">
        <v>77</v>
      </c>
      <c r="G18" s="15"/>
      <c r="H18" s="17"/>
      <c r="I18" s="18"/>
    </row>
    <row r="19" spans="2:9">
      <c r="B19" s="20" t="s">
        <v>78</v>
      </c>
      <c r="G19" s="15"/>
      <c r="H19" s="17"/>
      <c r="I19" s="18"/>
    </row>
    <row r="20" spans="2:9">
      <c r="B20" s="20" t="s">
        <v>79</v>
      </c>
      <c r="G20" s="15"/>
      <c r="H20" s="17"/>
      <c r="I20" s="18"/>
    </row>
    <row r="21" spans="2:9">
      <c r="B21" s="20" t="s">
        <v>80</v>
      </c>
      <c r="G21" s="15"/>
      <c r="H21" s="17"/>
      <c r="I21" s="18"/>
    </row>
    <row r="22" spans="2:9">
      <c r="B22" s="20" t="s">
        <v>81</v>
      </c>
      <c r="G22" s="15"/>
      <c r="H22" s="17"/>
      <c r="I22" s="18"/>
    </row>
    <row r="23" spans="2:9">
      <c r="B23" s="20" t="s">
        <v>82</v>
      </c>
      <c r="G23" s="15"/>
      <c r="H23" s="17"/>
      <c r="I23" s="18"/>
    </row>
    <row r="24" spans="2:9">
      <c r="G24" s="15"/>
      <c r="H24" s="17"/>
      <c r="I24" s="18"/>
    </row>
    <row r="25" spans="2:9">
      <c r="B25" s="11" t="s">
        <v>83</v>
      </c>
      <c r="G25" s="15"/>
      <c r="H25" s="17"/>
      <c r="I25" s="18"/>
    </row>
    <row r="26" spans="2:9">
      <c r="B26" s="15" t="s">
        <v>84</v>
      </c>
      <c r="G26" s="15"/>
      <c r="H26" s="17"/>
      <c r="I26" s="18"/>
    </row>
    <row r="27" spans="2:9">
      <c r="B27" s="15" t="s">
        <v>85</v>
      </c>
      <c r="G27" s="15"/>
      <c r="H27" s="17"/>
      <c r="I27" s="18"/>
    </row>
    <row r="28" spans="2:9">
      <c r="B28" s="15" t="s">
        <v>86</v>
      </c>
      <c r="G28" s="15"/>
      <c r="H28" s="17"/>
      <c r="I28" s="18"/>
    </row>
    <row r="29" spans="2:9">
      <c r="B29" s="15" t="s">
        <v>87</v>
      </c>
      <c r="G29" s="15"/>
      <c r="H29" s="17"/>
      <c r="I29" s="18"/>
    </row>
    <row r="30" spans="2:9">
      <c r="B30" s="15" t="s">
        <v>88</v>
      </c>
      <c r="G30" s="15"/>
      <c r="H30" s="17"/>
      <c r="I30" s="18"/>
    </row>
    <row r="31" spans="2:9">
      <c r="B31" s="15"/>
      <c r="G31" s="15"/>
      <c r="H31" s="17"/>
      <c r="I31" s="18"/>
    </row>
    <row r="32" spans="2:9">
      <c r="G32" s="15"/>
      <c r="H32" s="17"/>
      <c r="I32" s="18"/>
    </row>
    <row r="33" spans="7:9">
      <c r="G33" s="15"/>
      <c r="H33" s="17"/>
      <c r="I33" s="18"/>
    </row>
    <row r="34" spans="7:9">
      <c r="G34" s="15"/>
      <c r="H34" s="17"/>
      <c r="I34" s="18"/>
    </row>
  </sheetData>
  <mergeCells count="2">
    <mergeCell ref="A1:L1"/>
    <mergeCell ref="A2:L2"/>
  </mergeCells>
  <dataValidations count="2">
    <dataValidation type="whole" allowBlank="1" showInputMessage="1" showErrorMessage="1" errorTitle="Valor inválido" error="Digite um número entre 0 e 60." sqref="C6:C7">
      <formula1>0</formula1>
      <formula2>60</formula2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C8">
      <formula1>36526</formula1>
    </dataValidation>
  </dataValidation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10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0.7109375" customWidth="1"/>
    <col min="3" max="3" width="17.7109375" customWidth="1"/>
    <col min="4" max="4" width="14.7109375" customWidth="1"/>
    <col min="5" max="5" width="13.7109375" customWidth="1"/>
    <col min="6" max="6" width="12.7109375" customWidth="1"/>
    <col min="7" max="7" width="28.7109375" customWidth="1"/>
    <col min="8" max="8" width="11.7109375" customWidth="1"/>
    <col min="9" max="9" width="8.7109375" customWidth="1"/>
    <col min="10" max="10" width="12.7109375" customWidth="1"/>
  </cols>
  <sheetData>
    <row r="1" spans="1:10" ht="36" customHeight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90</v>
      </c>
      <c r="B2" s="2"/>
      <c r="C2" s="2"/>
      <c r="D2" s="2"/>
      <c r="E2" s="2"/>
      <c r="F2" s="2"/>
      <c r="G2" s="2"/>
      <c r="H2" s="2"/>
      <c r="I2" s="2"/>
      <c r="J2" s="13" t="s">
        <v>41</v>
      </c>
    </row>
    <row r="4" spans="1:10" ht="36" customHeight="1">
      <c r="A4" s="11" t="s">
        <v>91</v>
      </c>
      <c r="B4" s="11" t="s">
        <v>92</v>
      </c>
      <c r="C4" s="11" t="s">
        <v>93</v>
      </c>
      <c r="D4" s="11" t="s">
        <v>87</v>
      </c>
      <c r="E4" s="11" t="s">
        <v>94</v>
      </c>
      <c r="F4" s="11" t="s">
        <v>95</v>
      </c>
      <c r="G4" s="11" t="s">
        <v>96</v>
      </c>
      <c r="H4" s="11" t="s">
        <v>97</v>
      </c>
      <c r="I4" s="11" t="s">
        <v>98</v>
      </c>
      <c r="J4" s="11" t="s">
        <v>99</v>
      </c>
    </row>
    <row r="5" spans="1:10">
      <c r="A5" s="15" t="s">
        <v>100</v>
      </c>
      <c r="B5" s="15" t="s">
        <v>101</v>
      </c>
      <c r="C5" s="15" t="s">
        <v>102</v>
      </c>
      <c r="D5" s="15" t="s">
        <v>67</v>
      </c>
      <c r="E5" s="15" t="s">
        <v>85</v>
      </c>
      <c r="F5" s="16">
        <v>46120</v>
      </c>
      <c r="G5" s="15"/>
      <c r="H5" s="21">
        <f>IF($A5="","",COUNTIFS(AgPac,$A5,AgStatus,"Compareceu"))</f>
        <v>7</v>
      </c>
      <c r="I5" s="21">
        <f>IF($A5="","",COUNTIFS(AgPac,$A5,AgStatus,"Faltou"))</f>
        <v>0</v>
      </c>
      <c r="J5" s="22">
        <f>IF($A5="","",SUMPRODUCT(MAX((AgPac=$A5)*(AgStatus="Compareceu")*AgData)))</f>
        <v>46287.0</v>
      </c>
    </row>
    <row r="6" spans="1:10">
      <c r="A6" s="15" t="s">
        <v>103</v>
      </c>
      <c r="B6" s="15" t="s">
        <v>104</v>
      </c>
      <c r="C6" s="15" t="s">
        <v>105</v>
      </c>
      <c r="D6" s="15" t="s">
        <v>68</v>
      </c>
      <c r="E6" s="15" t="s">
        <v>85</v>
      </c>
      <c r="F6" s="16">
        <v>46050</v>
      </c>
      <c r="G6" s="15"/>
      <c r="H6" s="21">
        <f>IF($A6="","",COUNTIFS(AgPac,$A6,AgStatus,"Compareceu"))</f>
        <v>9</v>
      </c>
      <c r="I6" s="21">
        <f>IF($A6="","",COUNTIFS(AgPac,$A6,AgStatus,"Faltou"))</f>
        <v>0</v>
      </c>
      <c r="J6" s="22">
        <f>IF($A6="","",SUMPRODUCT(MAX((AgPac=$A6)*(AgStatus="Compareceu")*AgData)))</f>
        <v>46302.0</v>
      </c>
    </row>
    <row r="7" spans="1:10">
      <c r="A7" s="15" t="s">
        <v>106</v>
      </c>
      <c r="B7" s="15" t="s">
        <v>107</v>
      </c>
      <c r="C7" s="15" t="s">
        <v>108</v>
      </c>
      <c r="D7" s="15" t="s">
        <v>67</v>
      </c>
      <c r="E7" s="15" t="s">
        <v>88</v>
      </c>
      <c r="F7" s="16">
        <v>46072</v>
      </c>
      <c r="G7" s="15"/>
      <c r="H7" s="21">
        <f>IF($A7="","",COUNTIFS(AgPac,$A7,AgStatus,"Compareceu"))</f>
        <v>5</v>
      </c>
      <c r="I7" s="21">
        <f>IF($A7="","",COUNTIFS(AgPac,$A7,AgStatus,"Faltou"))</f>
        <v>1</v>
      </c>
      <c r="J7" s="22">
        <f>IF($A7="","",SUMPRODUCT(MAX((AgPac=$A7)*(AgStatus="Compareceu")*AgData)))</f>
        <v>46276.0</v>
      </c>
    </row>
    <row r="8" spans="1:10">
      <c r="A8" s="15" t="s">
        <v>109</v>
      </c>
      <c r="B8" s="15" t="s">
        <v>110</v>
      </c>
      <c r="C8" s="15" t="s">
        <v>111</v>
      </c>
      <c r="D8" s="15" t="s">
        <v>67</v>
      </c>
      <c r="E8" s="15" t="s">
        <v>86</v>
      </c>
      <c r="F8" s="16">
        <v>46115</v>
      </c>
      <c r="G8" s="15"/>
      <c r="H8" s="21">
        <f>IF($A8="","",COUNTIFS(AgPac,$A8,AgStatus,"Compareceu"))</f>
        <v>3</v>
      </c>
      <c r="I8" s="21">
        <f>IF($A8="","",COUNTIFS(AgPac,$A8,AgStatus,"Faltou"))</f>
        <v>1</v>
      </c>
      <c r="J8" s="22">
        <f>IF($A8="","",SUMPRODUCT(MAX((AgPac=$A8)*(AgStatus="Compareceu")*AgData)))</f>
        <v>46281.0</v>
      </c>
    </row>
    <row r="9" spans="1:10">
      <c r="A9" s="15" t="s">
        <v>112</v>
      </c>
      <c r="B9" s="15" t="s">
        <v>113</v>
      </c>
      <c r="C9" s="15" t="s">
        <v>114</v>
      </c>
      <c r="D9" s="15" t="s">
        <v>67</v>
      </c>
      <c r="E9" s="15" t="s">
        <v>88</v>
      </c>
      <c r="F9" s="16">
        <v>46176</v>
      </c>
      <c r="G9" s="15"/>
      <c r="H9" s="21">
        <f>IF($A9="","",COUNTIFS(AgPac,$A9,AgStatus,"Compareceu"))</f>
        <v>2</v>
      </c>
      <c r="I9" s="21">
        <f>IF($A9="","",COUNTIFS(AgPac,$A9,AgStatus,"Faltou"))</f>
        <v>0</v>
      </c>
      <c r="J9" s="22">
        <f>IF($A9="","",SUMPRODUCT(MAX((AgPac=$A9)*(AgStatus="Compareceu")*AgData)))</f>
        <v>46300.0</v>
      </c>
    </row>
    <row r="10" spans="1:10">
      <c r="A10" s="15" t="s">
        <v>115</v>
      </c>
      <c r="B10" s="15" t="s">
        <v>116</v>
      </c>
      <c r="C10" s="15" t="s">
        <v>117</v>
      </c>
      <c r="D10" s="15" t="s">
        <v>69</v>
      </c>
      <c r="E10" s="15" t="s">
        <v>84</v>
      </c>
      <c r="F10" s="16">
        <v>46147</v>
      </c>
      <c r="G10" s="15"/>
      <c r="H10" s="21">
        <f>IF($A10="","",COUNTIFS(AgPac,$A10,AgStatus,"Compareceu"))</f>
        <v>4</v>
      </c>
      <c r="I10" s="21">
        <f>IF($A10="","",COUNTIFS(AgPac,$A10,AgStatus,"Faltou"))</f>
        <v>0</v>
      </c>
      <c r="J10" s="22">
        <f>IF($A10="","",SUMPRODUCT(MAX((AgPac=$A10)*(AgStatus="Compareceu")*AgData)))</f>
        <v>46273.0</v>
      </c>
    </row>
    <row r="11" spans="1:10">
      <c r="A11" s="15" t="s">
        <v>118</v>
      </c>
      <c r="B11" s="15" t="s">
        <v>119</v>
      </c>
      <c r="C11" s="15" t="s">
        <v>120</v>
      </c>
      <c r="D11" s="15" t="s">
        <v>67</v>
      </c>
      <c r="E11" s="15" t="s">
        <v>85</v>
      </c>
      <c r="F11" s="16">
        <v>46227</v>
      </c>
      <c r="G11" s="15"/>
      <c r="H11" s="21">
        <f>IF($A11="","",COUNTIFS(AgPac,$A11,AgStatus,"Compareceu"))</f>
        <v>6</v>
      </c>
      <c r="I11" s="21">
        <f>IF($A11="","",COUNTIFS(AgPac,$A11,AgStatus,"Faltou"))</f>
        <v>2</v>
      </c>
      <c r="J11" s="22">
        <f>IF($A11="","",SUMPRODUCT(MAX((AgPac=$A11)*(AgStatus="Compareceu")*AgData)))</f>
        <v>46294.0</v>
      </c>
    </row>
    <row r="12" spans="1:10">
      <c r="A12" s="15" t="s">
        <v>121</v>
      </c>
      <c r="B12" s="15" t="s">
        <v>122</v>
      </c>
      <c r="C12" s="15" t="s">
        <v>123</v>
      </c>
      <c r="D12" s="15" t="s">
        <v>67</v>
      </c>
      <c r="E12" s="15" t="s">
        <v>84</v>
      </c>
      <c r="F12" s="16">
        <v>46199</v>
      </c>
      <c r="G12" s="15"/>
      <c r="H12" s="21">
        <f>IF($A12="","",COUNTIFS(AgPac,$A12,AgStatus,"Compareceu"))</f>
        <v>6</v>
      </c>
      <c r="I12" s="21">
        <f>IF($A12="","",COUNTIFS(AgPac,$A12,AgStatus,"Faltou"))</f>
        <v>1</v>
      </c>
      <c r="J12" s="22">
        <f>IF($A12="","",SUMPRODUCT(MAX((AgPac=$A12)*(AgStatus="Compareceu")*AgData)))</f>
        <v>46290.0</v>
      </c>
    </row>
    <row r="13" spans="1:10">
      <c r="A13" s="15" t="s">
        <v>124</v>
      </c>
      <c r="B13" s="15" t="s">
        <v>125</v>
      </c>
      <c r="C13" s="15" t="s">
        <v>126</v>
      </c>
      <c r="D13" s="15" t="s">
        <v>68</v>
      </c>
      <c r="E13" s="15" t="s">
        <v>85</v>
      </c>
      <c r="F13" s="16">
        <v>46126</v>
      </c>
      <c r="G13" s="15"/>
      <c r="H13" s="21">
        <f>IF($A13="","",COUNTIFS(AgPac,$A13,AgStatus,"Compareceu"))</f>
        <v>4</v>
      </c>
      <c r="I13" s="21">
        <f>IF($A13="","",COUNTIFS(AgPac,$A13,AgStatus,"Faltou"))</f>
        <v>1</v>
      </c>
      <c r="J13" s="22">
        <f>IF($A13="","",SUMPRODUCT(MAX((AgPac=$A13)*(AgStatus="Compareceu")*AgData)))</f>
        <v>46298.0</v>
      </c>
    </row>
    <row r="14" spans="1:10">
      <c r="A14" s="15" t="s">
        <v>127</v>
      </c>
      <c r="B14" s="15" t="s">
        <v>128</v>
      </c>
      <c r="C14" s="15" t="s">
        <v>129</v>
      </c>
      <c r="D14" s="15" t="s">
        <v>67</v>
      </c>
      <c r="E14" s="15" t="s">
        <v>88</v>
      </c>
      <c r="F14" s="16">
        <v>46200</v>
      </c>
      <c r="G14" s="15"/>
      <c r="H14" s="21">
        <f>IF($A14="","",COUNTIFS(AgPac,$A14,AgStatus,"Compareceu"))</f>
        <v>8</v>
      </c>
      <c r="I14" s="21">
        <f>IF($A14="","",COUNTIFS(AgPac,$A14,AgStatus,"Faltou"))</f>
        <v>0</v>
      </c>
      <c r="J14" s="22">
        <f>IF($A14="","",SUMPRODUCT(MAX((AgPac=$A14)*(AgStatus="Compareceu")*AgData)))</f>
        <v>46273.0</v>
      </c>
    </row>
    <row r="15" spans="1:10">
      <c r="A15" s="15" t="s">
        <v>130</v>
      </c>
      <c r="B15" s="15" t="s">
        <v>131</v>
      </c>
      <c r="C15" s="15" t="s">
        <v>132</v>
      </c>
      <c r="D15" s="15" t="s">
        <v>68</v>
      </c>
      <c r="E15" s="15" t="s">
        <v>86</v>
      </c>
      <c r="F15" s="16">
        <v>46066</v>
      </c>
      <c r="G15" s="15"/>
      <c r="H15" s="21">
        <f>IF($A15="","",COUNTIFS(AgPac,$A15,AgStatus,"Compareceu"))</f>
        <v>5</v>
      </c>
      <c r="I15" s="21">
        <f>IF($A15="","",COUNTIFS(AgPac,$A15,AgStatus,"Faltou"))</f>
        <v>1</v>
      </c>
      <c r="J15" s="22">
        <f>IF($A15="","",SUMPRODUCT(MAX((AgPac=$A15)*(AgStatus="Compareceu")*AgData)))</f>
        <v>46267.0</v>
      </c>
    </row>
    <row r="16" spans="1:10">
      <c r="A16" s="15" t="s">
        <v>133</v>
      </c>
      <c r="B16" s="15" t="s">
        <v>134</v>
      </c>
      <c r="C16" s="15" t="s">
        <v>135</v>
      </c>
      <c r="D16" s="15" t="s">
        <v>67</v>
      </c>
      <c r="E16" s="15" t="s">
        <v>87</v>
      </c>
      <c r="F16" s="16">
        <v>46179</v>
      </c>
      <c r="G16" s="15"/>
      <c r="H16" s="21">
        <f>IF($A16="","",COUNTIFS(AgPac,$A16,AgStatus,"Compareceu"))</f>
        <v>5</v>
      </c>
      <c r="I16" s="21">
        <f>IF($A16="","",COUNTIFS(AgPac,$A16,AgStatus,"Faltou"))</f>
        <v>0</v>
      </c>
      <c r="J16" s="22">
        <f>IF($A16="","",SUMPRODUCT(MAX((AgPac=$A16)*(AgStatus="Compareceu")*AgData)))</f>
        <v>46296.0</v>
      </c>
    </row>
    <row r="17" spans="1:10">
      <c r="A17" s="15" t="s">
        <v>136</v>
      </c>
      <c r="B17" s="15" t="s">
        <v>137</v>
      </c>
      <c r="C17" s="15" t="s">
        <v>138</v>
      </c>
      <c r="D17" s="15" t="s">
        <v>67</v>
      </c>
      <c r="E17" s="15" t="s">
        <v>87</v>
      </c>
      <c r="F17" s="16">
        <v>46206</v>
      </c>
      <c r="G17" s="15"/>
      <c r="H17" s="21">
        <f>IF($A17="","",COUNTIFS(AgPac,$A17,AgStatus,"Compareceu"))</f>
        <v>4</v>
      </c>
      <c r="I17" s="21">
        <f>IF($A17="","",COUNTIFS(AgPac,$A17,AgStatus,"Faltou"))</f>
        <v>1</v>
      </c>
      <c r="J17" s="22">
        <f>IF($A17="","",SUMPRODUCT(MAX((AgPac=$A17)*(AgStatus="Compareceu")*AgData)))</f>
        <v>46293.0</v>
      </c>
    </row>
    <row r="18" spans="1:10">
      <c r="A18" s="15" t="s">
        <v>139</v>
      </c>
      <c r="B18" s="15" t="s">
        <v>140</v>
      </c>
      <c r="C18" s="15" t="s">
        <v>141</v>
      </c>
      <c r="D18" s="15" t="s">
        <v>67</v>
      </c>
      <c r="E18" s="15" t="s">
        <v>87</v>
      </c>
      <c r="F18" s="16">
        <v>46103</v>
      </c>
      <c r="G18" s="15"/>
      <c r="H18" s="21">
        <f>IF($A18="","",COUNTIFS(AgPac,$A18,AgStatus,"Compareceu"))</f>
        <v>6</v>
      </c>
      <c r="I18" s="21">
        <f>IF($A18="","",COUNTIFS(AgPac,$A18,AgStatus,"Faltou"))</f>
        <v>1</v>
      </c>
      <c r="J18" s="22">
        <f>IF($A18="","",SUMPRODUCT(MAX((AgPac=$A18)*(AgStatus="Compareceu")*AgData)))</f>
        <v>46293.0</v>
      </c>
    </row>
    <row r="19" spans="1:10">
      <c r="A19" s="15" t="s">
        <v>142</v>
      </c>
      <c r="B19" s="15" t="s">
        <v>143</v>
      </c>
      <c r="C19" s="15" t="s">
        <v>144</v>
      </c>
      <c r="D19" s="15" t="s">
        <v>68</v>
      </c>
      <c r="E19" s="15" t="s">
        <v>85</v>
      </c>
      <c r="F19" s="16">
        <v>46189</v>
      </c>
      <c r="G19" s="15"/>
      <c r="H19" s="21">
        <f>IF($A19="","",COUNTIFS(AgPac,$A19,AgStatus,"Compareceu"))</f>
        <v>2</v>
      </c>
      <c r="I19" s="21">
        <f>IF($A19="","",COUNTIFS(AgPac,$A19,AgStatus,"Faltou"))</f>
        <v>1</v>
      </c>
      <c r="J19" s="22">
        <f>IF($A19="","",SUMPRODUCT(MAX((AgPac=$A19)*(AgStatus="Compareceu")*AgData)))</f>
        <v>46300.0</v>
      </c>
    </row>
    <row r="20" spans="1:10">
      <c r="A20" s="15" t="s">
        <v>145</v>
      </c>
      <c r="B20" s="15" t="s">
        <v>146</v>
      </c>
      <c r="C20" s="15" t="s">
        <v>147</v>
      </c>
      <c r="D20" s="15" t="s">
        <v>67</v>
      </c>
      <c r="E20" s="15" t="s">
        <v>88</v>
      </c>
      <c r="F20" s="16">
        <v>46190</v>
      </c>
      <c r="G20" s="15"/>
      <c r="H20" s="21">
        <f>IF($A20="","",COUNTIFS(AgPac,$A20,AgStatus,"Compareceu"))</f>
        <v>5</v>
      </c>
      <c r="I20" s="21">
        <f>IF($A20="","",COUNTIFS(AgPac,$A20,AgStatus,"Faltou"))</f>
        <v>0</v>
      </c>
      <c r="J20" s="22">
        <f>IF($A20="","",SUMPRODUCT(MAX((AgPac=$A20)*(AgStatus="Compareceu")*AgData)))</f>
        <v>46302.0</v>
      </c>
    </row>
    <row r="21" spans="1:10">
      <c r="A21" s="15" t="s">
        <v>148</v>
      </c>
      <c r="B21" s="15" t="s">
        <v>149</v>
      </c>
      <c r="C21" s="15" t="s">
        <v>150</v>
      </c>
      <c r="D21" s="15" t="s">
        <v>67</v>
      </c>
      <c r="E21" s="15" t="s">
        <v>86</v>
      </c>
      <c r="F21" s="16">
        <v>46071</v>
      </c>
      <c r="G21" s="15"/>
      <c r="H21" s="21">
        <f>IF($A21="","",COUNTIFS(AgPac,$A21,AgStatus,"Compareceu"))</f>
        <v>2</v>
      </c>
      <c r="I21" s="21">
        <f>IF($A21="","",COUNTIFS(AgPac,$A21,AgStatus,"Faltou"))</f>
        <v>0</v>
      </c>
      <c r="J21" s="22">
        <f>IF($A21="","",SUMPRODUCT(MAX((AgPac=$A21)*(AgStatus="Compareceu")*AgData)))</f>
        <v>46283.0</v>
      </c>
    </row>
    <row r="22" spans="1:10">
      <c r="A22" s="15" t="s">
        <v>151</v>
      </c>
      <c r="B22" s="15" t="s">
        <v>152</v>
      </c>
      <c r="C22" s="15" t="s">
        <v>153</v>
      </c>
      <c r="D22" s="15" t="s">
        <v>67</v>
      </c>
      <c r="E22" s="15" t="s">
        <v>88</v>
      </c>
      <c r="F22" s="16">
        <v>46258</v>
      </c>
      <c r="G22" s="15"/>
      <c r="H22" s="21">
        <f>IF($A22="","",COUNTIFS(AgPac,$A22,AgStatus,"Compareceu"))</f>
        <v>8</v>
      </c>
      <c r="I22" s="21">
        <f>IF($A22="","",COUNTIFS(AgPac,$A22,AgStatus,"Faltou"))</f>
        <v>2</v>
      </c>
      <c r="J22" s="22">
        <f>IF($A22="","",SUMPRODUCT(MAX((AgPac=$A22)*(AgStatus="Compareceu")*AgData)))</f>
        <v>46293.0</v>
      </c>
    </row>
    <row r="23" spans="1:10">
      <c r="A23" s="15" t="s">
        <v>154</v>
      </c>
      <c r="B23" s="15" t="s">
        <v>155</v>
      </c>
      <c r="C23" s="15" t="s">
        <v>156</v>
      </c>
      <c r="D23" s="15" t="s">
        <v>67</v>
      </c>
      <c r="E23" s="15" t="s">
        <v>86</v>
      </c>
      <c r="F23" s="16">
        <v>46098</v>
      </c>
      <c r="G23" s="15"/>
      <c r="H23" s="21">
        <f>IF($A23="","",COUNTIFS(AgPac,$A23,AgStatus,"Compareceu"))</f>
        <v>3</v>
      </c>
      <c r="I23" s="21">
        <f>IF($A23="","",COUNTIFS(AgPac,$A23,AgStatus,"Faltou"))</f>
        <v>1</v>
      </c>
      <c r="J23" s="22">
        <f>IF($A23="","",SUMPRODUCT(MAX((AgPac=$A23)*(AgStatus="Compareceu")*AgData)))</f>
        <v>46280.0</v>
      </c>
    </row>
    <row r="24" spans="1:10">
      <c r="A24" s="15" t="s">
        <v>157</v>
      </c>
      <c r="B24" s="15" t="s">
        <v>158</v>
      </c>
      <c r="C24" s="15" t="s">
        <v>159</v>
      </c>
      <c r="D24" s="15" t="s">
        <v>67</v>
      </c>
      <c r="E24" s="15" t="s">
        <v>88</v>
      </c>
      <c r="F24" s="16">
        <v>46065</v>
      </c>
      <c r="G24" s="15"/>
      <c r="H24" s="21">
        <f>IF($A24="","",COUNTIFS(AgPac,$A24,AgStatus,"Compareceu"))</f>
        <v>6</v>
      </c>
      <c r="I24" s="21">
        <f>IF($A24="","",COUNTIFS(AgPac,$A24,AgStatus,"Faltou"))</f>
        <v>3</v>
      </c>
      <c r="J24" s="22">
        <f>IF($A24="","",SUMPRODUCT(MAX((AgPac=$A24)*(AgStatus="Compareceu")*AgData)))</f>
        <v>46267.0</v>
      </c>
    </row>
    <row r="25" spans="1:10">
      <c r="A25" s="15" t="s">
        <v>160</v>
      </c>
      <c r="B25" s="15" t="s">
        <v>161</v>
      </c>
      <c r="C25" s="15" t="s">
        <v>162</v>
      </c>
      <c r="D25" s="15" t="s">
        <v>68</v>
      </c>
      <c r="E25" s="15" t="s">
        <v>84</v>
      </c>
      <c r="F25" s="16">
        <v>46087</v>
      </c>
      <c r="G25" s="15"/>
      <c r="H25" s="21">
        <f>IF($A25="","",COUNTIFS(AgPac,$A25,AgStatus,"Compareceu"))</f>
        <v>3</v>
      </c>
      <c r="I25" s="21">
        <f>IF($A25="","",COUNTIFS(AgPac,$A25,AgStatus,"Faltou"))</f>
        <v>1</v>
      </c>
      <c r="J25" s="22">
        <f>IF($A25="","",SUMPRODUCT(MAX((AgPac=$A25)*(AgStatus="Compareceu")*AgData)))</f>
        <v>46262.0</v>
      </c>
    </row>
    <row r="26" spans="1:10">
      <c r="A26" s="15" t="s">
        <v>163</v>
      </c>
      <c r="B26" s="15" t="s">
        <v>164</v>
      </c>
      <c r="C26" s="15" t="s">
        <v>165</v>
      </c>
      <c r="D26" s="15" t="s">
        <v>68</v>
      </c>
      <c r="E26" s="15" t="s">
        <v>87</v>
      </c>
      <c r="F26" s="16">
        <v>46070</v>
      </c>
      <c r="G26" s="15"/>
      <c r="H26" s="21">
        <f>IF($A26="","",COUNTIFS(AgPac,$A26,AgStatus,"Compareceu"))</f>
        <v>7</v>
      </c>
      <c r="I26" s="21">
        <f>IF($A26="","",COUNTIFS(AgPac,$A26,AgStatus,"Faltou"))</f>
        <v>2</v>
      </c>
      <c r="J26" s="22">
        <f>IF($A26="","",SUMPRODUCT(MAX((AgPac=$A26)*(AgStatus="Compareceu")*AgData)))</f>
        <v>46260.0</v>
      </c>
    </row>
    <row r="27" spans="1:10">
      <c r="A27" s="15" t="s">
        <v>166</v>
      </c>
      <c r="B27" s="15" t="s">
        <v>167</v>
      </c>
      <c r="C27" s="15" t="s">
        <v>168</v>
      </c>
      <c r="D27" s="15" t="s">
        <v>67</v>
      </c>
      <c r="E27" s="15" t="s">
        <v>85</v>
      </c>
      <c r="F27" s="16">
        <v>46115</v>
      </c>
      <c r="G27" s="15"/>
      <c r="H27" s="21">
        <f>IF($A27="","",COUNTIFS(AgPac,$A27,AgStatus,"Compareceu"))</f>
        <v>8</v>
      </c>
      <c r="I27" s="21">
        <f>IF($A27="","",COUNTIFS(AgPac,$A27,AgStatus,"Faltou"))</f>
        <v>1</v>
      </c>
      <c r="J27" s="22">
        <f>IF($A27="","",SUMPRODUCT(MAX((AgPac=$A27)*(AgStatus="Compareceu")*AgData)))</f>
        <v>46274.0</v>
      </c>
    </row>
    <row r="28" spans="1:10">
      <c r="A28" s="15" t="s">
        <v>169</v>
      </c>
      <c r="B28" s="15" t="s">
        <v>170</v>
      </c>
      <c r="C28" s="15" t="s">
        <v>171</v>
      </c>
      <c r="D28" s="15" t="s">
        <v>67</v>
      </c>
      <c r="E28" s="15" t="s">
        <v>87</v>
      </c>
      <c r="F28" s="16">
        <v>46096</v>
      </c>
      <c r="G28" s="15"/>
      <c r="H28" s="21">
        <f>IF($A28="","",COUNTIFS(AgPac,$A28,AgStatus,"Compareceu"))</f>
        <v>8</v>
      </c>
      <c r="I28" s="21">
        <f>IF($A28="","",COUNTIFS(AgPac,$A28,AgStatus,"Faltou"))</f>
        <v>1</v>
      </c>
      <c r="J28" s="22">
        <f>IF($A28="","",SUMPRODUCT(MAX((AgPac=$A28)*(AgStatus="Compareceu")*AgData)))</f>
        <v>46301.0</v>
      </c>
    </row>
    <row r="29" spans="1:10">
      <c r="A29" s="15" t="s">
        <v>172</v>
      </c>
      <c r="B29" s="15" t="s">
        <v>173</v>
      </c>
      <c r="C29" s="15" t="s">
        <v>174</v>
      </c>
      <c r="D29" s="15" t="s">
        <v>68</v>
      </c>
      <c r="E29" s="15" t="s">
        <v>86</v>
      </c>
      <c r="F29" s="16">
        <v>46235</v>
      </c>
      <c r="G29" s="15"/>
      <c r="H29" s="21">
        <f>IF($A29="","",COUNTIFS(AgPac,$A29,AgStatus,"Compareceu"))</f>
        <v>8</v>
      </c>
      <c r="I29" s="21">
        <f>IF($A29="","",COUNTIFS(AgPac,$A29,AgStatus,"Faltou"))</f>
        <v>0</v>
      </c>
      <c r="J29" s="22">
        <f>IF($A29="","",SUMPRODUCT(MAX((AgPac=$A29)*(AgStatus="Compareceu")*AgData)))</f>
        <v>46301.0</v>
      </c>
    </row>
    <row r="30" spans="1:10">
      <c r="A30" s="15" t="s">
        <v>175</v>
      </c>
      <c r="B30" s="15" t="s">
        <v>176</v>
      </c>
      <c r="C30" s="15" t="s">
        <v>177</v>
      </c>
      <c r="D30" s="15" t="s">
        <v>68</v>
      </c>
      <c r="E30" s="15" t="s">
        <v>86</v>
      </c>
      <c r="F30" s="16">
        <v>46109</v>
      </c>
      <c r="G30" s="15"/>
      <c r="H30" s="21">
        <f>IF($A30="","",COUNTIFS(AgPac,$A30,AgStatus,"Compareceu"))</f>
        <v>2</v>
      </c>
      <c r="I30" s="21">
        <f>IF($A30="","",COUNTIFS(AgPac,$A30,AgStatus,"Faltou"))</f>
        <v>0</v>
      </c>
      <c r="J30" s="22">
        <f>IF($A30="","",SUMPRODUCT(MAX((AgPac=$A30)*(AgStatus="Compareceu")*AgData)))</f>
        <v>46293.0</v>
      </c>
    </row>
    <row r="31" spans="1:10">
      <c r="A31" s="15" t="s">
        <v>178</v>
      </c>
      <c r="B31" s="15" t="s">
        <v>179</v>
      </c>
      <c r="C31" s="15" t="s">
        <v>180</v>
      </c>
      <c r="D31" s="15" t="s">
        <v>67</v>
      </c>
      <c r="E31" s="15" t="s">
        <v>88</v>
      </c>
      <c r="F31" s="16">
        <v>46090</v>
      </c>
      <c r="G31" s="15"/>
      <c r="H31" s="21">
        <f>IF($A31="","",COUNTIFS(AgPac,$A31,AgStatus,"Compareceu"))</f>
        <v>5</v>
      </c>
      <c r="I31" s="21">
        <f>IF($A31="","",COUNTIFS(AgPac,$A31,AgStatus,"Faltou"))</f>
        <v>1</v>
      </c>
      <c r="J31" s="22">
        <f>IF($A31="","",SUMPRODUCT(MAX((AgPac=$A31)*(AgStatus="Compareceu")*AgData)))</f>
        <v>46263.0</v>
      </c>
    </row>
    <row r="32" spans="1:10">
      <c r="A32" s="15" t="s">
        <v>181</v>
      </c>
      <c r="B32" s="15" t="s">
        <v>182</v>
      </c>
      <c r="C32" s="15" t="s">
        <v>183</v>
      </c>
      <c r="D32" s="15" t="s">
        <v>69</v>
      </c>
      <c r="E32" s="15" t="s">
        <v>87</v>
      </c>
      <c r="F32" s="16">
        <v>46048</v>
      </c>
      <c r="G32" s="15"/>
      <c r="H32" s="21">
        <f>IF($A32="","",COUNTIFS(AgPac,$A32,AgStatus,"Compareceu"))</f>
        <v>6</v>
      </c>
      <c r="I32" s="21">
        <f>IF($A32="","",COUNTIFS(AgPac,$A32,AgStatus,"Faltou"))</f>
        <v>1</v>
      </c>
      <c r="J32" s="22">
        <f>IF($A32="","",SUMPRODUCT(MAX((AgPac=$A32)*(AgStatus="Compareceu")*AgData)))</f>
        <v>46260.0</v>
      </c>
    </row>
    <row r="33" spans="1:10">
      <c r="A33" s="15" t="s">
        <v>184</v>
      </c>
      <c r="B33" s="15" t="s">
        <v>185</v>
      </c>
      <c r="C33" s="15" t="s">
        <v>186</v>
      </c>
      <c r="D33" s="15" t="s">
        <v>69</v>
      </c>
      <c r="E33" s="15" t="s">
        <v>87</v>
      </c>
      <c r="F33" s="16">
        <v>46120</v>
      </c>
      <c r="G33" s="15"/>
      <c r="H33" s="21">
        <f>IF($A33="","",COUNTIFS(AgPac,$A33,AgStatus,"Compareceu"))</f>
        <v>5</v>
      </c>
      <c r="I33" s="21">
        <f>IF($A33="","",COUNTIFS(AgPac,$A33,AgStatus,"Faltou"))</f>
        <v>1</v>
      </c>
      <c r="J33" s="22">
        <f>IF($A33="","",SUMPRODUCT(MAX((AgPac=$A33)*(AgStatus="Compareceu")*AgData)))</f>
        <v>46272.0</v>
      </c>
    </row>
    <row r="34" spans="1:10">
      <c r="A34" s="15" t="s">
        <v>187</v>
      </c>
      <c r="B34" s="15" t="s">
        <v>188</v>
      </c>
      <c r="C34" s="15" t="s">
        <v>189</v>
      </c>
      <c r="D34" s="15" t="s">
        <v>67</v>
      </c>
      <c r="E34" s="15" t="s">
        <v>84</v>
      </c>
      <c r="F34" s="16">
        <v>46182</v>
      </c>
      <c r="G34" s="15"/>
      <c r="H34" s="21">
        <f>IF($A34="","",COUNTIFS(AgPac,$A34,AgStatus,"Compareceu"))</f>
        <v>6</v>
      </c>
      <c r="I34" s="21">
        <f>IF($A34="","",COUNTIFS(AgPac,$A34,AgStatus,"Faltou"))</f>
        <v>2</v>
      </c>
      <c r="J34" s="22">
        <f>IF($A34="","",SUMPRODUCT(MAX((AgPac=$A34)*(AgStatus="Compareceu")*AgData)))</f>
        <v>46297.0</v>
      </c>
    </row>
    <row r="35" spans="1:10">
      <c r="A35" s="15" t="s">
        <v>190</v>
      </c>
      <c r="B35" s="15" t="s">
        <v>191</v>
      </c>
      <c r="C35" s="15" t="s">
        <v>192</v>
      </c>
      <c r="D35" s="15" t="s">
        <v>67</v>
      </c>
      <c r="E35" s="15" t="s">
        <v>85</v>
      </c>
      <c r="F35" s="16">
        <v>46184</v>
      </c>
      <c r="G35" s="15"/>
      <c r="H35" s="21">
        <f>IF($A35="","",COUNTIFS(AgPac,$A35,AgStatus,"Compareceu"))</f>
        <v>3</v>
      </c>
      <c r="I35" s="21">
        <f>IF($A35="","",COUNTIFS(AgPac,$A35,AgStatus,"Faltou"))</f>
        <v>2</v>
      </c>
      <c r="J35" s="22">
        <f>IF($A35="","",SUMPRODUCT(MAX((AgPac=$A35)*(AgStatus="Compareceu")*AgData)))</f>
        <v>46301.0</v>
      </c>
    </row>
    <row r="36" spans="1:10">
      <c r="A36" s="15" t="s">
        <v>193</v>
      </c>
      <c r="B36" s="15" t="s">
        <v>194</v>
      </c>
      <c r="C36" s="15" t="s">
        <v>195</v>
      </c>
      <c r="D36" s="15" t="s">
        <v>68</v>
      </c>
      <c r="E36" s="15" t="s">
        <v>86</v>
      </c>
      <c r="F36" s="16">
        <v>46127</v>
      </c>
      <c r="G36" s="15"/>
      <c r="H36" s="21">
        <f>IF($A36="","",COUNTIFS(AgPac,$A36,AgStatus,"Compareceu"))</f>
        <v>6</v>
      </c>
      <c r="I36" s="21">
        <f>IF($A36="","",COUNTIFS(AgPac,$A36,AgStatus,"Faltou"))</f>
        <v>1</v>
      </c>
      <c r="J36" s="22">
        <f>IF($A36="","",SUMPRODUCT(MAX((AgPac=$A36)*(AgStatus="Compareceu")*AgData)))</f>
        <v>46296.0</v>
      </c>
    </row>
    <row r="37" spans="1:10">
      <c r="A37" s="15" t="s">
        <v>196</v>
      </c>
      <c r="B37" s="15" t="s">
        <v>197</v>
      </c>
      <c r="C37" s="15" t="s">
        <v>198</v>
      </c>
      <c r="D37" s="15" t="s">
        <v>69</v>
      </c>
      <c r="E37" s="15" t="s">
        <v>84</v>
      </c>
      <c r="F37" s="16">
        <v>46191</v>
      </c>
      <c r="G37" s="15"/>
      <c r="H37" s="21">
        <f>IF($A37="","",COUNTIFS(AgPac,$A37,AgStatus,"Compareceu"))</f>
        <v>1</v>
      </c>
      <c r="I37" s="21">
        <f>IF($A37="","",COUNTIFS(AgPac,$A37,AgStatus,"Faltou"))</f>
        <v>3</v>
      </c>
      <c r="J37" s="22">
        <f>IF($A37="","",SUMPRODUCT(MAX((AgPac=$A37)*(AgStatus="Compareceu")*AgData)))</f>
        <v>46297.0</v>
      </c>
    </row>
    <row r="38" spans="1:10">
      <c r="A38" s="15" t="s">
        <v>199</v>
      </c>
      <c r="B38" s="15" t="s">
        <v>200</v>
      </c>
      <c r="C38" s="15" t="s">
        <v>201</v>
      </c>
      <c r="D38" s="15" t="s">
        <v>67</v>
      </c>
      <c r="E38" s="15" t="s">
        <v>85</v>
      </c>
      <c r="F38" s="16">
        <v>46133</v>
      </c>
      <c r="G38" s="15"/>
      <c r="H38" s="21">
        <f>IF($A38="","",COUNTIFS(AgPac,$A38,AgStatus,"Compareceu"))</f>
        <v>1</v>
      </c>
      <c r="I38" s="21">
        <f>IF($A38="","",COUNTIFS(AgPac,$A38,AgStatus,"Faltou"))</f>
        <v>1</v>
      </c>
      <c r="J38" s="22">
        <f>IF($A38="","",SUMPRODUCT(MAX((AgPac=$A38)*(AgStatus="Compareceu")*AgData)))</f>
        <v>46209.0</v>
      </c>
    </row>
    <row r="39" spans="1:10">
      <c r="A39" s="15" t="s">
        <v>202</v>
      </c>
      <c r="B39" s="15" t="s">
        <v>203</v>
      </c>
      <c r="C39" s="15" t="s">
        <v>204</v>
      </c>
      <c r="D39" s="15" t="s">
        <v>67</v>
      </c>
      <c r="E39" s="15" t="s">
        <v>85</v>
      </c>
      <c r="F39" s="16">
        <v>46101</v>
      </c>
      <c r="G39" s="15"/>
      <c r="H39" s="21">
        <f>IF($A39="","",COUNTIFS(AgPac,$A39,AgStatus,"Compareceu"))</f>
        <v>7</v>
      </c>
      <c r="I39" s="21">
        <f>IF($A39="","",COUNTIFS(AgPac,$A39,AgStatus,"Faltou"))</f>
        <v>2</v>
      </c>
      <c r="J39" s="22">
        <f>IF($A39="","",SUMPRODUCT(MAX((AgPac=$A39)*(AgStatus="Compareceu")*AgData)))</f>
        <v>46286.0</v>
      </c>
    </row>
    <row r="40" spans="1:10">
      <c r="A40" s="15" t="s">
        <v>205</v>
      </c>
      <c r="B40" s="15" t="s">
        <v>206</v>
      </c>
      <c r="C40" s="15" t="s">
        <v>207</v>
      </c>
      <c r="D40" s="15" t="s">
        <v>69</v>
      </c>
      <c r="E40" s="15" t="s">
        <v>87</v>
      </c>
      <c r="F40" s="16">
        <v>46240</v>
      </c>
      <c r="G40" s="15"/>
      <c r="H40" s="21">
        <f>IF($A40="","",COUNTIFS(AgPac,$A40,AgStatus,"Compareceu"))</f>
        <v>8</v>
      </c>
      <c r="I40" s="21">
        <f>IF($A40="","",COUNTIFS(AgPac,$A40,AgStatus,"Faltou"))</f>
        <v>1</v>
      </c>
      <c r="J40" s="22">
        <f>IF($A40="","",SUMPRODUCT(MAX((AgPac=$A40)*(AgStatus="Compareceu")*AgData)))</f>
        <v>46281.0</v>
      </c>
    </row>
    <row r="41" spans="1:10">
      <c r="A41" s="15" t="s">
        <v>208</v>
      </c>
      <c r="B41" s="15" t="s">
        <v>209</v>
      </c>
      <c r="C41" s="15" t="s">
        <v>210</v>
      </c>
      <c r="D41" s="15" t="s">
        <v>69</v>
      </c>
      <c r="E41" s="15" t="s">
        <v>84</v>
      </c>
      <c r="F41" s="16">
        <v>46240</v>
      </c>
      <c r="G41" s="15"/>
      <c r="H41" s="21">
        <f>IF($A41="","",COUNTIFS(AgPac,$A41,AgStatus,"Compareceu"))</f>
        <v>10</v>
      </c>
      <c r="I41" s="21">
        <f>IF($A41="","",COUNTIFS(AgPac,$A41,AgStatus,"Faltou"))</f>
        <v>0</v>
      </c>
      <c r="J41" s="22">
        <f>IF($A41="","",SUMPRODUCT(MAX((AgPac=$A41)*(AgStatus="Compareceu")*AgData)))</f>
        <v>46291.0</v>
      </c>
    </row>
    <row r="42" spans="1:10">
      <c r="A42" s="15" t="s">
        <v>211</v>
      </c>
      <c r="B42" s="15" t="s">
        <v>212</v>
      </c>
      <c r="C42" s="15" t="s">
        <v>213</v>
      </c>
      <c r="D42" s="15" t="s">
        <v>68</v>
      </c>
      <c r="E42" s="15" t="s">
        <v>84</v>
      </c>
      <c r="F42" s="16">
        <v>46257</v>
      </c>
      <c r="G42" s="15"/>
      <c r="H42" s="21">
        <f>IF($A42="","",COUNTIFS(AgPac,$A42,AgStatus,"Compareceu"))</f>
        <v>7</v>
      </c>
      <c r="I42" s="21">
        <f>IF($A42="","",COUNTIFS(AgPac,$A42,AgStatus,"Faltou"))</f>
        <v>3</v>
      </c>
      <c r="J42" s="22">
        <f>IF($A42="","",SUMPRODUCT(MAX((AgPac=$A42)*(AgStatus="Compareceu")*AgData)))</f>
        <v>46301.0</v>
      </c>
    </row>
    <row r="43" spans="1:10">
      <c r="A43" s="15" t="s">
        <v>214</v>
      </c>
      <c r="B43" s="15" t="s">
        <v>215</v>
      </c>
      <c r="C43" s="15" t="s">
        <v>216</v>
      </c>
      <c r="D43" s="15" t="s">
        <v>67</v>
      </c>
      <c r="E43" s="15" t="s">
        <v>85</v>
      </c>
      <c r="F43" s="16">
        <v>46090</v>
      </c>
      <c r="G43" s="15"/>
      <c r="H43" s="21">
        <f>IF($A43="","",COUNTIFS(AgPac,$A43,AgStatus,"Compareceu"))</f>
        <v>8</v>
      </c>
      <c r="I43" s="21">
        <f>IF($A43="","",COUNTIFS(AgPac,$A43,AgStatus,"Faltou"))</f>
        <v>0</v>
      </c>
      <c r="J43" s="22">
        <f>IF($A43="","",SUMPRODUCT(MAX((AgPac=$A43)*(AgStatus="Compareceu")*AgData)))</f>
        <v>46302.0</v>
      </c>
    </row>
    <row r="44" spans="1:10">
      <c r="A44" s="15" t="s">
        <v>217</v>
      </c>
      <c r="B44" s="15" t="s">
        <v>218</v>
      </c>
      <c r="C44" s="15" t="s">
        <v>219</v>
      </c>
      <c r="D44" s="15" t="s">
        <v>67</v>
      </c>
      <c r="E44" s="15" t="s">
        <v>87</v>
      </c>
      <c r="F44" s="16">
        <v>46170</v>
      </c>
      <c r="G44" s="15"/>
      <c r="H44" s="21">
        <f>IF($A44="","",COUNTIFS(AgPac,$A44,AgStatus,"Compareceu"))</f>
        <v>6</v>
      </c>
      <c r="I44" s="21">
        <f>IF($A44="","",COUNTIFS(AgPac,$A44,AgStatus,"Faltou"))</f>
        <v>0</v>
      </c>
      <c r="J44" s="22">
        <f>IF($A44="","",SUMPRODUCT(MAX((AgPac=$A44)*(AgStatus="Compareceu")*AgData)))</f>
        <v>46300.0</v>
      </c>
    </row>
    <row r="45" spans="1:10">
      <c r="A45" s="15" t="s">
        <v>220</v>
      </c>
      <c r="B45" s="15" t="s">
        <v>221</v>
      </c>
      <c r="C45" s="15" t="s">
        <v>222</v>
      </c>
      <c r="D45" s="15" t="s">
        <v>69</v>
      </c>
      <c r="E45" s="15" t="s">
        <v>84</v>
      </c>
      <c r="F45" s="16">
        <v>46104</v>
      </c>
      <c r="G45" s="15"/>
      <c r="H45" s="21">
        <f>IF($A45="","",COUNTIFS(AgPac,$A45,AgStatus,"Compareceu"))</f>
        <v>6</v>
      </c>
      <c r="I45" s="21">
        <f>IF($A45="","",COUNTIFS(AgPac,$A45,AgStatus,"Faltou"))</f>
        <v>0</v>
      </c>
      <c r="J45" s="22">
        <f>IF($A45="","",SUMPRODUCT(MAX((AgPac=$A45)*(AgStatus="Compareceu")*AgData)))</f>
        <v>46296.0</v>
      </c>
    </row>
    <row r="46" spans="1:10">
      <c r="A46" s="15" t="s">
        <v>223</v>
      </c>
      <c r="B46" s="15" t="s">
        <v>224</v>
      </c>
      <c r="C46" s="15" t="s">
        <v>225</v>
      </c>
      <c r="D46" s="15" t="s">
        <v>67</v>
      </c>
      <c r="E46" s="15" t="s">
        <v>87</v>
      </c>
      <c r="F46" s="16">
        <v>46209</v>
      </c>
      <c r="G46" s="15"/>
      <c r="H46" s="21">
        <f>IF($A46="","",COUNTIFS(AgPac,$A46,AgStatus,"Compareceu"))</f>
        <v>7</v>
      </c>
      <c r="I46" s="21">
        <f>IF($A46="","",COUNTIFS(AgPac,$A46,AgStatus,"Faltou"))</f>
        <v>0</v>
      </c>
      <c r="J46" s="22">
        <f>IF($A46="","",SUMPRODUCT(MAX((AgPac=$A46)*(AgStatus="Compareceu")*AgData)))</f>
        <v>46277.0</v>
      </c>
    </row>
    <row r="47" spans="1:10">
      <c r="A47" s="15" t="s">
        <v>226</v>
      </c>
      <c r="B47" s="15" t="s">
        <v>227</v>
      </c>
      <c r="C47" s="15" t="s">
        <v>228</v>
      </c>
      <c r="D47" s="15" t="s">
        <v>68</v>
      </c>
      <c r="E47" s="15" t="s">
        <v>84</v>
      </c>
      <c r="F47" s="16">
        <v>46060</v>
      </c>
      <c r="G47" s="15"/>
      <c r="H47" s="21">
        <f>IF($A47="","",COUNTIFS(AgPac,$A47,AgStatus,"Compareceu"))</f>
        <v>2</v>
      </c>
      <c r="I47" s="21">
        <f>IF($A47="","",COUNTIFS(AgPac,$A47,AgStatus,"Faltou"))</f>
        <v>3</v>
      </c>
      <c r="J47" s="22">
        <f>IF($A47="","",SUMPRODUCT(MAX((AgPac=$A47)*(AgStatus="Compareceu")*AgData)))</f>
        <v>46259.0</v>
      </c>
    </row>
    <row r="48" spans="1:10">
      <c r="A48" s="15" t="s">
        <v>229</v>
      </c>
      <c r="B48" s="15" t="s">
        <v>230</v>
      </c>
      <c r="C48" s="15" t="s">
        <v>231</v>
      </c>
      <c r="D48" s="15" t="s">
        <v>67</v>
      </c>
      <c r="E48" s="15" t="s">
        <v>85</v>
      </c>
      <c r="F48" s="16">
        <v>46238</v>
      </c>
      <c r="G48" s="15"/>
      <c r="H48" s="21">
        <f>IF($A48="","",COUNTIFS(AgPac,$A48,AgStatus,"Compareceu"))</f>
        <v>3</v>
      </c>
      <c r="I48" s="21">
        <f>IF($A48="","",COUNTIFS(AgPac,$A48,AgStatus,"Faltou"))</f>
        <v>1</v>
      </c>
      <c r="J48" s="22">
        <f>IF($A48="","",SUMPRODUCT(MAX((AgPac=$A48)*(AgStatus="Compareceu")*AgData)))</f>
        <v>46294.0</v>
      </c>
    </row>
    <row r="49" spans="1:10">
      <c r="A49" s="15" t="s">
        <v>232</v>
      </c>
      <c r="B49" s="15" t="s">
        <v>233</v>
      </c>
      <c r="C49" s="15" t="s">
        <v>234</v>
      </c>
      <c r="D49" s="15" t="s">
        <v>68</v>
      </c>
      <c r="E49" s="15" t="s">
        <v>86</v>
      </c>
      <c r="F49" s="16">
        <v>46262</v>
      </c>
      <c r="G49" s="15"/>
      <c r="H49" s="21">
        <f>IF($A49="","",COUNTIFS(AgPac,$A49,AgStatus,"Compareceu"))</f>
        <v>5</v>
      </c>
      <c r="I49" s="21">
        <f>IF($A49="","",COUNTIFS(AgPac,$A49,AgStatus,"Faltou"))</f>
        <v>0</v>
      </c>
      <c r="J49" s="22">
        <f>IF($A49="","",SUMPRODUCT(MAX((AgPac=$A49)*(AgStatus="Compareceu")*AgData)))</f>
        <v>46238.0</v>
      </c>
    </row>
    <row r="50" spans="1:10">
      <c r="A50" s="15" t="s">
        <v>235</v>
      </c>
      <c r="B50" s="15" t="s">
        <v>236</v>
      </c>
      <c r="C50" s="15" t="s">
        <v>237</v>
      </c>
      <c r="D50" s="15" t="s">
        <v>68</v>
      </c>
      <c r="E50" s="15" t="s">
        <v>85</v>
      </c>
      <c r="F50" s="16">
        <v>46051</v>
      </c>
      <c r="G50" s="15"/>
      <c r="H50" s="21">
        <f>IF($A50="","",COUNTIFS(AgPac,$A50,AgStatus,"Compareceu"))</f>
        <v>4</v>
      </c>
      <c r="I50" s="21">
        <f>IF($A50="","",COUNTIFS(AgPac,$A50,AgStatus,"Faltou"))</f>
        <v>1</v>
      </c>
      <c r="J50" s="22">
        <f>IF($A50="","",SUMPRODUCT(MAX((AgPac=$A50)*(AgStatus="Compareceu")*AgData)))</f>
        <v>46294.0</v>
      </c>
    </row>
    <row r="51" spans="1:10">
      <c r="A51" s="15"/>
      <c r="B51" s="15"/>
      <c r="C51" s="15"/>
      <c r="D51" s="15"/>
      <c r="E51" s="15"/>
      <c r="F51" s="16"/>
      <c r="G51" s="15"/>
      <c r="H51" s="21">
        <f>IF($A51="","",COUNTIFS(AgPac,$A51,AgStatus,"Compareceu"))</f>
        <v>0</v>
      </c>
      <c r="I51" s="21">
        <f>IF($A51="","",COUNTIFS(AgPac,$A51,AgStatus,"Faltou"))</f>
        <v>0</v>
      </c>
      <c r="J51" s="22">
        <f>IF($A51="","",SUMPRODUCT(MAX((AgPac=$A51)*(AgStatus="Compareceu")*AgData)))</f>
        <v>0</v>
      </c>
    </row>
    <row r="52" spans="1:10">
      <c r="A52" s="15"/>
      <c r="B52" s="15"/>
      <c r="C52" s="15"/>
      <c r="D52" s="15"/>
      <c r="E52" s="15"/>
      <c r="F52" s="16"/>
      <c r="G52" s="15"/>
      <c r="H52" s="21">
        <f>IF($A52="","",COUNTIFS(AgPac,$A52,AgStatus,"Compareceu"))</f>
        <v>0</v>
      </c>
      <c r="I52" s="21">
        <f>IF($A52="","",COUNTIFS(AgPac,$A52,AgStatus,"Faltou"))</f>
        <v>0</v>
      </c>
      <c r="J52" s="22">
        <f>IF($A52="","",SUMPRODUCT(MAX((AgPac=$A52)*(AgStatus="Compareceu")*AgData)))</f>
        <v>0</v>
      </c>
    </row>
    <row r="53" spans="1:10">
      <c r="A53" s="15"/>
      <c r="B53" s="15"/>
      <c r="C53" s="15"/>
      <c r="D53" s="15"/>
      <c r="E53" s="15"/>
      <c r="F53" s="16"/>
      <c r="G53" s="15"/>
      <c r="H53" s="21">
        <f>IF($A53="","",COUNTIFS(AgPac,$A53,AgStatus,"Compareceu"))</f>
        <v>0</v>
      </c>
      <c r="I53" s="21">
        <f>IF($A53="","",COUNTIFS(AgPac,$A53,AgStatus,"Faltou"))</f>
        <v>0</v>
      </c>
      <c r="J53" s="22">
        <f>IF($A53="","",SUMPRODUCT(MAX((AgPac=$A53)*(AgStatus="Compareceu")*AgData)))</f>
        <v>0</v>
      </c>
    </row>
    <row r="54" spans="1:10">
      <c r="A54" s="15"/>
      <c r="B54" s="15"/>
      <c r="C54" s="15"/>
      <c r="D54" s="15"/>
      <c r="E54" s="15"/>
      <c r="F54" s="16"/>
      <c r="G54" s="15"/>
      <c r="H54" s="21">
        <f>IF($A54="","",COUNTIFS(AgPac,$A54,AgStatus,"Compareceu"))</f>
        <v>0</v>
      </c>
      <c r="I54" s="21">
        <f>IF($A54="","",COUNTIFS(AgPac,$A54,AgStatus,"Faltou"))</f>
        <v>0</v>
      </c>
      <c r="J54" s="22">
        <f>IF($A54="","",SUMPRODUCT(MAX((AgPac=$A54)*(AgStatus="Compareceu")*AgData)))</f>
        <v>0</v>
      </c>
    </row>
    <row r="55" spans="1:10">
      <c r="A55" s="15"/>
      <c r="B55" s="15"/>
      <c r="C55" s="15"/>
      <c r="D55" s="15"/>
      <c r="E55" s="15"/>
      <c r="F55" s="16"/>
      <c r="G55" s="15"/>
      <c r="H55" s="21">
        <f>IF($A55="","",COUNTIFS(AgPac,$A55,AgStatus,"Compareceu"))</f>
        <v>0</v>
      </c>
      <c r="I55" s="21">
        <f>IF($A55="","",COUNTIFS(AgPac,$A55,AgStatus,"Faltou"))</f>
        <v>0</v>
      </c>
      <c r="J55" s="22">
        <f>IF($A55="","",SUMPRODUCT(MAX((AgPac=$A55)*(AgStatus="Compareceu")*AgData)))</f>
        <v>0</v>
      </c>
    </row>
    <row r="56" spans="1:10">
      <c r="A56" s="15"/>
      <c r="B56" s="15"/>
      <c r="C56" s="15"/>
      <c r="D56" s="15"/>
      <c r="E56" s="15"/>
      <c r="F56" s="16"/>
      <c r="G56" s="15"/>
      <c r="H56" s="21">
        <f>IF($A56="","",COUNTIFS(AgPac,$A56,AgStatus,"Compareceu"))</f>
        <v>0</v>
      </c>
      <c r="I56" s="21">
        <f>IF($A56="","",COUNTIFS(AgPac,$A56,AgStatus,"Faltou"))</f>
        <v>0</v>
      </c>
      <c r="J56" s="22">
        <f>IF($A56="","",SUMPRODUCT(MAX((AgPac=$A56)*(AgStatus="Compareceu")*AgData)))</f>
        <v>0</v>
      </c>
    </row>
    <row r="57" spans="1:10">
      <c r="A57" s="15"/>
      <c r="B57" s="15"/>
      <c r="C57" s="15"/>
      <c r="D57" s="15"/>
      <c r="E57" s="15"/>
      <c r="F57" s="16"/>
      <c r="G57" s="15"/>
      <c r="H57" s="21">
        <f>IF($A57="","",COUNTIFS(AgPac,$A57,AgStatus,"Compareceu"))</f>
        <v>0</v>
      </c>
      <c r="I57" s="21">
        <f>IF($A57="","",COUNTIFS(AgPac,$A57,AgStatus,"Faltou"))</f>
        <v>0</v>
      </c>
      <c r="J57" s="22">
        <f>IF($A57="","",SUMPRODUCT(MAX((AgPac=$A57)*(AgStatus="Compareceu")*AgData)))</f>
        <v>0</v>
      </c>
    </row>
    <row r="58" spans="1:10">
      <c r="A58" s="15"/>
      <c r="B58" s="15"/>
      <c r="C58" s="15"/>
      <c r="D58" s="15"/>
      <c r="E58" s="15"/>
      <c r="F58" s="16"/>
      <c r="G58" s="15"/>
      <c r="H58" s="21">
        <f>IF($A58="","",COUNTIFS(AgPac,$A58,AgStatus,"Compareceu"))</f>
        <v>0</v>
      </c>
      <c r="I58" s="21">
        <f>IF($A58="","",COUNTIFS(AgPac,$A58,AgStatus,"Faltou"))</f>
        <v>0</v>
      </c>
      <c r="J58" s="22">
        <f>IF($A58="","",SUMPRODUCT(MAX((AgPac=$A58)*(AgStatus="Compareceu")*AgData)))</f>
        <v>0</v>
      </c>
    </row>
    <row r="59" spans="1:10">
      <c r="A59" s="15"/>
      <c r="B59" s="15"/>
      <c r="C59" s="15"/>
      <c r="D59" s="15"/>
      <c r="E59" s="15"/>
      <c r="F59" s="16"/>
      <c r="G59" s="15"/>
      <c r="H59" s="21">
        <f>IF($A59="","",COUNTIFS(AgPac,$A59,AgStatus,"Compareceu"))</f>
        <v>0</v>
      </c>
      <c r="I59" s="21">
        <f>IF($A59="","",COUNTIFS(AgPac,$A59,AgStatus,"Faltou"))</f>
        <v>0</v>
      </c>
      <c r="J59" s="22">
        <f>IF($A59="","",SUMPRODUCT(MAX((AgPac=$A59)*(AgStatus="Compareceu")*AgData)))</f>
        <v>0</v>
      </c>
    </row>
    <row r="60" spans="1:10">
      <c r="A60" s="15"/>
      <c r="B60" s="15"/>
      <c r="C60" s="15"/>
      <c r="D60" s="15"/>
      <c r="E60" s="15"/>
      <c r="F60" s="16"/>
      <c r="G60" s="15"/>
      <c r="H60" s="21">
        <f>IF($A60="","",COUNTIFS(AgPac,$A60,AgStatus,"Compareceu"))</f>
        <v>0</v>
      </c>
      <c r="I60" s="21">
        <f>IF($A60="","",COUNTIFS(AgPac,$A60,AgStatus,"Faltou"))</f>
        <v>0</v>
      </c>
      <c r="J60" s="22">
        <f>IF($A60="","",SUMPRODUCT(MAX((AgPac=$A60)*(AgStatus="Compareceu")*AgData)))</f>
        <v>0</v>
      </c>
    </row>
    <row r="61" spans="1:10">
      <c r="A61" s="15"/>
      <c r="B61" s="15"/>
      <c r="C61" s="15"/>
      <c r="D61" s="15"/>
      <c r="E61" s="15"/>
      <c r="F61" s="16"/>
      <c r="G61" s="15"/>
      <c r="H61" s="21">
        <f>IF($A61="","",COUNTIFS(AgPac,$A61,AgStatus,"Compareceu"))</f>
        <v>0</v>
      </c>
      <c r="I61" s="21">
        <f>IF($A61="","",COUNTIFS(AgPac,$A61,AgStatus,"Faltou"))</f>
        <v>0</v>
      </c>
      <c r="J61" s="22">
        <f>IF($A61="","",SUMPRODUCT(MAX((AgPac=$A61)*(AgStatus="Compareceu")*AgData)))</f>
        <v>0</v>
      </c>
    </row>
    <row r="62" spans="1:10">
      <c r="A62" s="15"/>
      <c r="B62" s="15"/>
      <c r="C62" s="15"/>
      <c r="D62" s="15"/>
      <c r="E62" s="15"/>
      <c r="F62" s="16"/>
      <c r="G62" s="15"/>
      <c r="H62" s="21">
        <f>IF($A62="","",COUNTIFS(AgPac,$A62,AgStatus,"Compareceu"))</f>
        <v>0</v>
      </c>
      <c r="I62" s="21">
        <f>IF($A62="","",COUNTIFS(AgPac,$A62,AgStatus,"Faltou"))</f>
        <v>0</v>
      </c>
      <c r="J62" s="22">
        <f>IF($A62="","",SUMPRODUCT(MAX((AgPac=$A62)*(AgStatus="Compareceu")*AgData)))</f>
        <v>0</v>
      </c>
    </row>
    <row r="63" spans="1:10">
      <c r="A63" s="15"/>
      <c r="B63" s="15"/>
      <c r="C63" s="15"/>
      <c r="D63" s="15"/>
      <c r="E63" s="15"/>
      <c r="F63" s="16"/>
      <c r="G63" s="15"/>
      <c r="H63" s="21">
        <f>IF($A63="","",COUNTIFS(AgPac,$A63,AgStatus,"Compareceu"))</f>
        <v>0</v>
      </c>
      <c r="I63" s="21">
        <f>IF($A63="","",COUNTIFS(AgPac,$A63,AgStatus,"Faltou"))</f>
        <v>0</v>
      </c>
      <c r="J63" s="22">
        <f>IF($A63="","",SUMPRODUCT(MAX((AgPac=$A63)*(AgStatus="Compareceu")*AgData)))</f>
        <v>0</v>
      </c>
    </row>
    <row r="64" spans="1:10">
      <c r="A64" s="15"/>
      <c r="B64" s="15"/>
      <c r="C64" s="15"/>
      <c r="D64" s="15"/>
      <c r="E64" s="15"/>
      <c r="F64" s="16"/>
      <c r="G64" s="15"/>
      <c r="H64" s="21">
        <f>IF($A64="","",COUNTIFS(AgPac,$A64,AgStatus,"Compareceu"))</f>
        <v>0</v>
      </c>
      <c r="I64" s="21">
        <f>IF($A64="","",COUNTIFS(AgPac,$A64,AgStatus,"Faltou"))</f>
        <v>0</v>
      </c>
      <c r="J64" s="22">
        <f>IF($A64="","",SUMPRODUCT(MAX((AgPac=$A64)*(AgStatus="Compareceu")*AgData)))</f>
        <v>0</v>
      </c>
    </row>
    <row r="65" spans="1:10">
      <c r="A65" s="15"/>
      <c r="B65" s="15"/>
      <c r="C65" s="15"/>
      <c r="D65" s="15"/>
      <c r="E65" s="15"/>
      <c r="F65" s="16"/>
      <c r="G65" s="15"/>
      <c r="H65" s="21">
        <f>IF($A65="","",COUNTIFS(AgPac,$A65,AgStatus,"Compareceu"))</f>
        <v>0</v>
      </c>
      <c r="I65" s="21">
        <f>IF($A65="","",COUNTIFS(AgPac,$A65,AgStatus,"Faltou"))</f>
        <v>0</v>
      </c>
      <c r="J65" s="22">
        <f>IF($A65="","",SUMPRODUCT(MAX((AgPac=$A65)*(AgStatus="Compareceu")*AgData)))</f>
        <v>0</v>
      </c>
    </row>
    <row r="66" spans="1:10">
      <c r="A66" s="15"/>
      <c r="B66" s="15"/>
      <c r="C66" s="15"/>
      <c r="D66" s="15"/>
      <c r="E66" s="15"/>
      <c r="F66" s="16"/>
      <c r="G66" s="15"/>
      <c r="H66" s="21">
        <f>IF($A66="","",COUNTIFS(AgPac,$A66,AgStatus,"Compareceu"))</f>
        <v>0</v>
      </c>
      <c r="I66" s="21">
        <f>IF($A66="","",COUNTIFS(AgPac,$A66,AgStatus,"Faltou"))</f>
        <v>0</v>
      </c>
      <c r="J66" s="22">
        <f>IF($A66="","",SUMPRODUCT(MAX((AgPac=$A66)*(AgStatus="Compareceu")*AgData)))</f>
        <v>0</v>
      </c>
    </row>
    <row r="67" spans="1:10">
      <c r="A67" s="15"/>
      <c r="B67" s="15"/>
      <c r="C67" s="15"/>
      <c r="D67" s="15"/>
      <c r="E67" s="15"/>
      <c r="F67" s="16"/>
      <c r="G67" s="15"/>
      <c r="H67" s="21">
        <f>IF($A67="","",COUNTIFS(AgPac,$A67,AgStatus,"Compareceu"))</f>
        <v>0</v>
      </c>
      <c r="I67" s="21">
        <f>IF($A67="","",COUNTIFS(AgPac,$A67,AgStatus,"Faltou"))</f>
        <v>0</v>
      </c>
      <c r="J67" s="22">
        <f>IF($A67="","",SUMPRODUCT(MAX((AgPac=$A67)*(AgStatus="Compareceu")*AgData)))</f>
        <v>0</v>
      </c>
    </row>
    <row r="68" spans="1:10">
      <c r="A68" s="15"/>
      <c r="B68" s="15"/>
      <c r="C68" s="15"/>
      <c r="D68" s="15"/>
      <c r="E68" s="15"/>
      <c r="F68" s="16"/>
      <c r="G68" s="15"/>
      <c r="H68" s="21">
        <f>IF($A68="","",COUNTIFS(AgPac,$A68,AgStatus,"Compareceu"))</f>
        <v>0</v>
      </c>
      <c r="I68" s="21">
        <f>IF($A68="","",COUNTIFS(AgPac,$A68,AgStatus,"Faltou"))</f>
        <v>0</v>
      </c>
      <c r="J68" s="22">
        <f>IF($A68="","",SUMPRODUCT(MAX((AgPac=$A68)*(AgStatus="Compareceu")*AgData)))</f>
        <v>0</v>
      </c>
    </row>
    <row r="69" spans="1:10">
      <c r="A69" s="15"/>
      <c r="B69" s="15"/>
      <c r="C69" s="15"/>
      <c r="D69" s="15"/>
      <c r="E69" s="15"/>
      <c r="F69" s="16"/>
      <c r="G69" s="15"/>
      <c r="H69" s="21">
        <f>IF($A69="","",COUNTIFS(AgPac,$A69,AgStatus,"Compareceu"))</f>
        <v>0</v>
      </c>
      <c r="I69" s="21">
        <f>IF($A69="","",COUNTIFS(AgPac,$A69,AgStatus,"Faltou"))</f>
        <v>0</v>
      </c>
      <c r="J69" s="22">
        <f>IF($A69="","",SUMPRODUCT(MAX((AgPac=$A69)*(AgStatus="Compareceu")*AgData)))</f>
        <v>0</v>
      </c>
    </row>
    <row r="70" spans="1:10">
      <c r="A70" s="15"/>
      <c r="B70" s="15"/>
      <c r="C70" s="15"/>
      <c r="D70" s="15"/>
      <c r="E70" s="15"/>
      <c r="F70" s="16"/>
      <c r="G70" s="15"/>
      <c r="H70" s="21">
        <f>IF($A70="","",COUNTIFS(AgPac,$A70,AgStatus,"Compareceu"))</f>
        <v>0</v>
      </c>
      <c r="I70" s="21">
        <f>IF($A70="","",COUNTIFS(AgPac,$A70,AgStatus,"Faltou"))</f>
        <v>0</v>
      </c>
      <c r="J70" s="22">
        <f>IF($A70="","",SUMPRODUCT(MAX((AgPac=$A70)*(AgStatus="Compareceu")*AgData)))</f>
        <v>0</v>
      </c>
    </row>
    <row r="71" spans="1:10">
      <c r="A71" s="15"/>
      <c r="B71" s="15"/>
      <c r="C71" s="15"/>
      <c r="D71" s="15"/>
      <c r="E71" s="15"/>
      <c r="F71" s="16"/>
      <c r="G71" s="15"/>
      <c r="H71" s="21">
        <f>IF($A71="","",COUNTIFS(AgPac,$A71,AgStatus,"Compareceu"))</f>
        <v>0</v>
      </c>
      <c r="I71" s="21">
        <f>IF($A71="","",COUNTIFS(AgPac,$A71,AgStatus,"Faltou"))</f>
        <v>0</v>
      </c>
      <c r="J71" s="22">
        <f>IF($A71="","",SUMPRODUCT(MAX((AgPac=$A71)*(AgStatus="Compareceu")*AgData)))</f>
        <v>0</v>
      </c>
    </row>
    <row r="72" spans="1:10">
      <c r="A72" s="15"/>
      <c r="B72" s="15"/>
      <c r="C72" s="15"/>
      <c r="D72" s="15"/>
      <c r="E72" s="15"/>
      <c r="F72" s="16"/>
      <c r="G72" s="15"/>
      <c r="H72" s="21">
        <f>IF($A72="","",COUNTIFS(AgPac,$A72,AgStatus,"Compareceu"))</f>
        <v>0</v>
      </c>
      <c r="I72" s="21">
        <f>IF($A72="","",COUNTIFS(AgPac,$A72,AgStatus,"Faltou"))</f>
        <v>0</v>
      </c>
      <c r="J72" s="22">
        <f>IF($A72="","",SUMPRODUCT(MAX((AgPac=$A72)*(AgStatus="Compareceu")*AgData)))</f>
        <v>0</v>
      </c>
    </row>
    <row r="73" spans="1:10">
      <c r="A73" s="15"/>
      <c r="B73" s="15"/>
      <c r="C73" s="15"/>
      <c r="D73" s="15"/>
      <c r="E73" s="15"/>
      <c r="F73" s="16"/>
      <c r="G73" s="15"/>
      <c r="H73" s="21">
        <f>IF($A73="","",COUNTIFS(AgPac,$A73,AgStatus,"Compareceu"))</f>
        <v>0</v>
      </c>
      <c r="I73" s="21">
        <f>IF($A73="","",COUNTIFS(AgPac,$A73,AgStatus,"Faltou"))</f>
        <v>0</v>
      </c>
      <c r="J73" s="22">
        <f>IF($A73="","",SUMPRODUCT(MAX((AgPac=$A73)*(AgStatus="Compareceu")*AgData)))</f>
        <v>0</v>
      </c>
    </row>
    <row r="74" spans="1:10">
      <c r="A74" s="15"/>
      <c r="B74" s="15"/>
      <c r="C74" s="15"/>
      <c r="D74" s="15"/>
      <c r="E74" s="15"/>
      <c r="F74" s="16"/>
      <c r="G74" s="15"/>
      <c r="H74" s="21">
        <f>IF($A74="","",COUNTIFS(AgPac,$A74,AgStatus,"Compareceu"))</f>
        <v>0</v>
      </c>
      <c r="I74" s="21">
        <f>IF($A74="","",COUNTIFS(AgPac,$A74,AgStatus,"Faltou"))</f>
        <v>0</v>
      </c>
      <c r="J74" s="22">
        <f>IF($A74="","",SUMPRODUCT(MAX((AgPac=$A74)*(AgStatus="Compareceu")*AgData)))</f>
        <v>0</v>
      </c>
    </row>
    <row r="75" spans="1:10">
      <c r="A75" s="15"/>
      <c r="B75" s="15"/>
      <c r="C75" s="15"/>
      <c r="D75" s="15"/>
      <c r="E75" s="15"/>
      <c r="F75" s="16"/>
      <c r="G75" s="15"/>
      <c r="H75" s="21">
        <f>IF($A75="","",COUNTIFS(AgPac,$A75,AgStatus,"Compareceu"))</f>
        <v>0</v>
      </c>
      <c r="I75" s="21">
        <f>IF($A75="","",COUNTIFS(AgPac,$A75,AgStatus,"Faltou"))</f>
        <v>0</v>
      </c>
      <c r="J75" s="22">
        <f>IF($A75="","",SUMPRODUCT(MAX((AgPac=$A75)*(AgStatus="Compareceu")*AgData)))</f>
        <v>0</v>
      </c>
    </row>
    <row r="76" spans="1:10">
      <c r="A76" s="15"/>
      <c r="B76" s="15"/>
      <c r="C76" s="15"/>
      <c r="D76" s="15"/>
      <c r="E76" s="15"/>
      <c r="F76" s="16"/>
      <c r="G76" s="15"/>
      <c r="H76" s="21">
        <f>IF($A76="","",COUNTIFS(AgPac,$A76,AgStatus,"Compareceu"))</f>
        <v>0</v>
      </c>
      <c r="I76" s="21">
        <f>IF($A76="","",COUNTIFS(AgPac,$A76,AgStatus,"Faltou"))</f>
        <v>0</v>
      </c>
      <c r="J76" s="22">
        <f>IF($A76="","",SUMPRODUCT(MAX((AgPac=$A76)*(AgStatus="Compareceu")*AgData)))</f>
        <v>0</v>
      </c>
    </row>
    <row r="77" spans="1:10">
      <c r="A77" s="15"/>
      <c r="B77" s="15"/>
      <c r="C77" s="15"/>
      <c r="D77" s="15"/>
      <c r="E77" s="15"/>
      <c r="F77" s="16"/>
      <c r="G77" s="15"/>
      <c r="H77" s="21">
        <f>IF($A77="","",COUNTIFS(AgPac,$A77,AgStatus,"Compareceu"))</f>
        <v>0</v>
      </c>
      <c r="I77" s="21">
        <f>IF($A77="","",COUNTIFS(AgPac,$A77,AgStatus,"Faltou"))</f>
        <v>0</v>
      </c>
      <c r="J77" s="22">
        <f>IF($A77="","",SUMPRODUCT(MAX((AgPac=$A77)*(AgStatus="Compareceu")*AgData)))</f>
        <v>0</v>
      </c>
    </row>
    <row r="78" spans="1:10">
      <c r="A78" s="15"/>
      <c r="B78" s="15"/>
      <c r="C78" s="15"/>
      <c r="D78" s="15"/>
      <c r="E78" s="15"/>
      <c r="F78" s="16"/>
      <c r="G78" s="15"/>
      <c r="H78" s="21">
        <f>IF($A78="","",COUNTIFS(AgPac,$A78,AgStatus,"Compareceu"))</f>
        <v>0</v>
      </c>
      <c r="I78" s="21">
        <f>IF($A78="","",COUNTIFS(AgPac,$A78,AgStatus,"Faltou"))</f>
        <v>0</v>
      </c>
      <c r="J78" s="22">
        <f>IF($A78="","",SUMPRODUCT(MAX((AgPac=$A78)*(AgStatus="Compareceu")*AgData)))</f>
        <v>0</v>
      </c>
    </row>
    <row r="79" spans="1:10">
      <c r="A79" s="15"/>
      <c r="B79" s="15"/>
      <c r="C79" s="15"/>
      <c r="D79" s="15"/>
      <c r="E79" s="15"/>
      <c r="F79" s="16"/>
      <c r="G79" s="15"/>
      <c r="H79" s="21">
        <f>IF($A79="","",COUNTIFS(AgPac,$A79,AgStatus,"Compareceu"))</f>
        <v>0</v>
      </c>
      <c r="I79" s="21">
        <f>IF($A79="","",COUNTIFS(AgPac,$A79,AgStatus,"Faltou"))</f>
        <v>0</v>
      </c>
      <c r="J79" s="22">
        <f>IF($A79="","",SUMPRODUCT(MAX((AgPac=$A79)*(AgStatus="Compareceu")*AgData)))</f>
        <v>0</v>
      </c>
    </row>
    <row r="80" spans="1:10">
      <c r="A80" s="15"/>
      <c r="B80" s="15"/>
      <c r="C80" s="15"/>
      <c r="D80" s="15"/>
      <c r="E80" s="15"/>
      <c r="F80" s="16"/>
      <c r="G80" s="15"/>
      <c r="H80" s="21">
        <f>IF($A80="","",COUNTIFS(AgPac,$A80,AgStatus,"Compareceu"))</f>
        <v>0</v>
      </c>
      <c r="I80" s="21">
        <f>IF($A80="","",COUNTIFS(AgPac,$A80,AgStatus,"Faltou"))</f>
        <v>0</v>
      </c>
      <c r="J80" s="22">
        <f>IF($A80="","",SUMPRODUCT(MAX((AgPac=$A80)*(AgStatus="Compareceu")*AgData)))</f>
        <v>0</v>
      </c>
    </row>
    <row r="81" spans="1:10">
      <c r="A81" s="15"/>
      <c r="B81" s="15"/>
      <c r="C81" s="15"/>
      <c r="D81" s="15"/>
      <c r="E81" s="15"/>
      <c r="F81" s="16"/>
      <c r="G81" s="15"/>
      <c r="H81" s="21">
        <f>IF($A81="","",COUNTIFS(AgPac,$A81,AgStatus,"Compareceu"))</f>
        <v>0</v>
      </c>
      <c r="I81" s="21">
        <f>IF($A81="","",COUNTIFS(AgPac,$A81,AgStatus,"Faltou"))</f>
        <v>0</v>
      </c>
      <c r="J81" s="22">
        <f>IF($A81="","",SUMPRODUCT(MAX((AgPac=$A81)*(AgStatus="Compareceu")*AgData)))</f>
        <v>0</v>
      </c>
    </row>
    <row r="82" spans="1:10">
      <c r="A82" s="15"/>
      <c r="B82" s="15"/>
      <c r="C82" s="15"/>
      <c r="D82" s="15"/>
      <c r="E82" s="15"/>
      <c r="F82" s="16"/>
      <c r="G82" s="15"/>
      <c r="H82" s="21">
        <f>IF($A82="","",COUNTIFS(AgPac,$A82,AgStatus,"Compareceu"))</f>
        <v>0</v>
      </c>
      <c r="I82" s="21">
        <f>IF($A82="","",COUNTIFS(AgPac,$A82,AgStatus,"Faltou"))</f>
        <v>0</v>
      </c>
      <c r="J82" s="22">
        <f>IF($A82="","",SUMPRODUCT(MAX((AgPac=$A82)*(AgStatus="Compareceu")*AgData)))</f>
        <v>0</v>
      </c>
    </row>
    <row r="83" spans="1:10">
      <c r="A83" s="15"/>
      <c r="B83" s="15"/>
      <c r="C83" s="15"/>
      <c r="D83" s="15"/>
      <c r="E83" s="15"/>
      <c r="F83" s="16"/>
      <c r="G83" s="15"/>
      <c r="H83" s="21">
        <f>IF($A83="","",COUNTIFS(AgPac,$A83,AgStatus,"Compareceu"))</f>
        <v>0</v>
      </c>
      <c r="I83" s="21">
        <f>IF($A83="","",COUNTIFS(AgPac,$A83,AgStatus,"Faltou"))</f>
        <v>0</v>
      </c>
      <c r="J83" s="22">
        <f>IF($A83="","",SUMPRODUCT(MAX((AgPac=$A83)*(AgStatus="Compareceu")*AgData)))</f>
        <v>0</v>
      </c>
    </row>
    <row r="84" spans="1:10">
      <c r="A84" s="15"/>
      <c r="B84" s="15"/>
      <c r="C84" s="15"/>
      <c r="D84" s="15"/>
      <c r="E84" s="15"/>
      <c r="F84" s="16"/>
      <c r="G84" s="15"/>
      <c r="H84" s="21">
        <f>IF($A84="","",COUNTIFS(AgPac,$A84,AgStatus,"Compareceu"))</f>
        <v>0</v>
      </c>
      <c r="I84" s="21">
        <f>IF($A84="","",COUNTIFS(AgPac,$A84,AgStatus,"Faltou"))</f>
        <v>0</v>
      </c>
      <c r="J84" s="22">
        <f>IF($A84="","",SUMPRODUCT(MAX((AgPac=$A84)*(AgStatus="Compareceu")*AgData)))</f>
        <v>0</v>
      </c>
    </row>
    <row r="85" spans="1:10">
      <c r="A85" s="15"/>
      <c r="B85" s="15"/>
      <c r="C85" s="15"/>
      <c r="D85" s="15"/>
      <c r="E85" s="15"/>
      <c r="F85" s="16"/>
      <c r="G85" s="15"/>
      <c r="H85" s="21">
        <f>IF($A85="","",COUNTIFS(AgPac,$A85,AgStatus,"Compareceu"))</f>
        <v>0</v>
      </c>
      <c r="I85" s="21">
        <f>IF($A85="","",COUNTIFS(AgPac,$A85,AgStatus,"Faltou"))</f>
        <v>0</v>
      </c>
      <c r="J85" s="22">
        <f>IF($A85="","",SUMPRODUCT(MAX((AgPac=$A85)*(AgStatus="Compareceu")*AgData)))</f>
        <v>0</v>
      </c>
    </row>
    <row r="86" spans="1:10">
      <c r="A86" s="15"/>
      <c r="B86" s="15"/>
      <c r="C86" s="15"/>
      <c r="D86" s="15"/>
      <c r="E86" s="15"/>
      <c r="F86" s="16"/>
      <c r="G86" s="15"/>
      <c r="H86" s="21">
        <f>IF($A86="","",COUNTIFS(AgPac,$A86,AgStatus,"Compareceu"))</f>
        <v>0</v>
      </c>
      <c r="I86" s="21">
        <f>IF($A86="","",COUNTIFS(AgPac,$A86,AgStatus,"Faltou"))</f>
        <v>0</v>
      </c>
      <c r="J86" s="22">
        <f>IF($A86="","",SUMPRODUCT(MAX((AgPac=$A86)*(AgStatus="Compareceu")*AgData)))</f>
        <v>0</v>
      </c>
    </row>
    <row r="87" spans="1:10">
      <c r="A87" s="15"/>
      <c r="B87" s="15"/>
      <c r="C87" s="15"/>
      <c r="D87" s="15"/>
      <c r="E87" s="15"/>
      <c r="F87" s="16"/>
      <c r="G87" s="15"/>
      <c r="H87" s="21">
        <f>IF($A87="","",COUNTIFS(AgPac,$A87,AgStatus,"Compareceu"))</f>
        <v>0</v>
      </c>
      <c r="I87" s="21">
        <f>IF($A87="","",COUNTIFS(AgPac,$A87,AgStatus,"Faltou"))</f>
        <v>0</v>
      </c>
      <c r="J87" s="22">
        <f>IF($A87="","",SUMPRODUCT(MAX((AgPac=$A87)*(AgStatus="Compareceu")*AgData)))</f>
        <v>0</v>
      </c>
    </row>
    <row r="88" spans="1:10">
      <c r="A88" s="15"/>
      <c r="B88" s="15"/>
      <c r="C88" s="15"/>
      <c r="D88" s="15"/>
      <c r="E88" s="15"/>
      <c r="F88" s="16"/>
      <c r="G88" s="15"/>
      <c r="H88" s="21">
        <f>IF($A88="","",COUNTIFS(AgPac,$A88,AgStatus,"Compareceu"))</f>
        <v>0</v>
      </c>
      <c r="I88" s="21">
        <f>IF($A88="","",COUNTIFS(AgPac,$A88,AgStatus,"Faltou"))</f>
        <v>0</v>
      </c>
      <c r="J88" s="22">
        <f>IF($A88="","",SUMPRODUCT(MAX((AgPac=$A88)*(AgStatus="Compareceu")*AgData)))</f>
        <v>0</v>
      </c>
    </row>
    <row r="89" spans="1:10">
      <c r="A89" s="15"/>
      <c r="B89" s="15"/>
      <c r="C89" s="15"/>
      <c r="D89" s="15"/>
      <c r="E89" s="15"/>
      <c r="F89" s="16"/>
      <c r="G89" s="15"/>
      <c r="H89" s="21">
        <f>IF($A89="","",COUNTIFS(AgPac,$A89,AgStatus,"Compareceu"))</f>
        <v>0</v>
      </c>
      <c r="I89" s="21">
        <f>IF($A89="","",COUNTIFS(AgPac,$A89,AgStatus,"Faltou"))</f>
        <v>0</v>
      </c>
      <c r="J89" s="22">
        <f>IF($A89="","",SUMPRODUCT(MAX((AgPac=$A89)*(AgStatus="Compareceu")*AgData)))</f>
        <v>0</v>
      </c>
    </row>
    <row r="90" spans="1:10">
      <c r="A90" s="15"/>
      <c r="B90" s="15"/>
      <c r="C90" s="15"/>
      <c r="D90" s="15"/>
      <c r="E90" s="15"/>
      <c r="F90" s="16"/>
      <c r="G90" s="15"/>
      <c r="H90" s="21">
        <f>IF($A90="","",COUNTIFS(AgPac,$A90,AgStatus,"Compareceu"))</f>
        <v>0</v>
      </c>
      <c r="I90" s="21">
        <f>IF($A90="","",COUNTIFS(AgPac,$A90,AgStatus,"Faltou"))</f>
        <v>0</v>
      </c>
      <c r="J90" s="22">
        <f>IF($A90="","",SUMPRODUCT(MAX((AgPac=$A90)*(AgStatus="Compareceu")*AgData)))</f>
        <v>0</v>
      </c>
    </row>
    <row r="91" spans="1:10">
      <c r="A91" s="15"/>
      <c r="B91" s="15"/>
      <c r="C91" s="15"/>
      <c r="D91" s="15"/>
      <c r="E91" s="15"/>
      <c r="F91" s="16"/>
      <c r="G91" s="15"/>
      <c r="H91" s="21">
        <f>IF($A91="","",COUNTIFS(AgPac,$A91,AgStatus,"Compareceu"))</f>
        <v>0</v>
      </c>
      <c r="I91" s="21">
        <f>IF($A91="","",COUNTIFS(AgPac,$A91,AgStatus,"Faltou"))</f>
        <v>0</v>
      </c>
      <c r="J91" s="22">
        <f>IF($A91="","",SUMPRODUCT(MAX((AgPac=$A91)*(AgStatus="Compareceu")*AgData)))</f>
        <v>0</v>
      </c>
    </row>
    <row r="92" spans="1:10">
      <c r="A92" s="15"/>
      <c r="B92" s="15"/>
      <c r="C92" s="15"/>
      <c r="D92" s="15"/>
      <c r="E92" s="15"/>
      <c r="F92" s="16"/>
      <c r="G92" s="15"/>
      <c r="H92" s="21">
        <f>IF($A92="","",COUNTIFS(AgPac,$A92,AgStatus,"Compareceu"))</f>
        <v>0</v>
      </c>
      <c r="I92" s="21">
        <f>IF($A92="","",COUNTIFS(AgPac,$A92,AgStatus,"Faltou"))</f>
        <v>0</v>
      </c>
      <c r="J92" s="22">
        <f>IF($A92="","",SUMPRODUCT(MAX((AgPac=$A92)*(AgStatus="Compareceu")*AgData)))</f>
        <v>0</v>
      </c>
    </row>
    <row r="93" spans="1:10">
      <c r="A93" s="15"/>
      <c r="B93" s="15"/>
      <c r="C93" s="15"/>
      <c r="D93" s="15"/>
      <c r="E93" s="15"/>
      <c r="F93" s="16"/>
      <c r="G93" s="15"/>
      <c r="H93" s="21">
        <f>IF($A93="","",COUNTIFS(AgPac,$A93,AgStatus,"Compareceu"))</f>
        <v>0</v>
      </c>
      <c r="I93" s="21">
        <f>IF($A93="","",COUNTIFS(AgPac,$A93,AgStatus,"Faltou"))</f>
        <v>0</v>
      </c>
      <c r="J93" s="22">
        <f>IF($A93="","",SUMPRODUCT(MAX((AgPac=$A93)*(AgStatus="Compareceu")*AgData)))</f>
        <v>0</v>
      </c>
    </row>
    <row r="94" spans="1:10">
      <c r="A94" s="15"/>
      <c r="B94" s="15"/>
      <c r="C94" s="15"/>
      <c r="D94" s="15"/>
      <c r="E94" s="15"/>
      <c r="F94" s="16"/>
      <c r="G94" s="15"/>
      <c r="H94" s="21">
        <f>IF($A94="","",COUNTIFS(AgPac,$A94,AgStatus,"Compareceu"))</f>
        <v>0</v>
      </c>
      <c r="I94" s="21">
        <f>IF($A94="","",COUNTIFS(AgPac,$A94,AgStatus,"Faltou"))</f>
        <v>0</v>
      </c>
      <c r="J94" s="22">
        <f>IF($A94="","",SUMPRODUCT(MAX((AgPac=$A94)*(AgStatus="Compareceu")*AgData)))</f>
        <v>0</v>
      </c>
    </row>
    <row r="95" spans="1:10">
      <c r="A95" s="15"/>
      <c r="B95" s="15"/>
      <c r="C95" s="15"/>
      <c r="D95" s="15"/>
      <c r="E95" s="15"/>
      <c r="F95" s="16"/>
      <c r="G95" s="15"/>
      <c r="H95" s="21">
        <f>IF($A95="","",COUNTIFS(AgPac,$A95,AgStatus,"Compareceu"))</f>
        <v>0</v>
      </c>
      <c r="I95" s="21">
        <f>IF($A95="","",COUNTIFS(AgPac,$A95,AgStatus,"Faltou"))</f>
        <v>0</v>
      </c>
      <c r="J95" s="22">
        <f>IF($A95="","",SUMPRODUCT(MAX((AgPac=$A95)*(AgStatus="Compareceu")*AgData)))</f>
        <v>0</v>
      </c>
    </row>
    <row r="96" spans="1:10">
      <c r="A96" s="15"/>
      <c r="B96" s="15"/>
      <c r="C96" s="15"/>
      <c r="D96" s="15"/>
      <c r="E96" s="15"/>
      <c r="F96" s="16"/>
      <c r="G96" s="15"/>
      <c r="H96" s="21">
        <f>IF($A96="","",COUNTIFS(AgPac,$A96,AgStatus,"Compareceu"))</f>
        <v>0</v>
      </c>
      <c r="I96" s="21">
        <f>IF($A96="","",COUNTIFS(AgPac,$A96,AgStatus,"Faltou"))</f>
        <v>0</v>
      </c>
      <c r="J96" s="22">
        <f>IF($A96="","",SUMPRODUCT(MAX((AgPac=$A96)*(AgStatus="Compareceu")*AgData)))</f>
        <v>0</v>
      </c>
    </row>
    <row r="97" spans="1:10">
      <c r="A97" s="15"/>
      <c r="B97" s="15"/>
      <c r="C97" s="15"/>
      <c r="D97" s="15"/>
      <c r="E97" s="15"/>
      <c r="F97" s="16"/>
      <c r="G97" s="15"/>
      <c r="H97" s="21">
        <f>IF($A97="","",COUNTIFS(AgPac,$A97,AgStatus,"Compareceu"))</f>
        <v>0</v>
      </c>
      <c r="I97" s="21">
        <f>IF($A97="","",COUNTIFS(AgPac,$A97,AgStatus,"Faltou"))</f>
        <v>0</v>
      </c>
      <c r="J97" s="22">
        <f>IF($A97="","",SUMPRODUCT(MAX((AgPac=$A97)*(AgStatus="Compareceu")*AgData)))</f>
        <v>0</v>
      </c>
    </row>
    <row r="98" spans="1:10">
      <c r="A98" s="15"/>
      <c r="B98" s="15"/>
      <c r="C98" s="15"/>
      <c r="D98" s="15"/>
      <c r="E98" s="15"/>
      <c r="F98" s="16"/>
      <c r="G98" s="15"/>
      <c r="H98" s="21">
        <f>IF($A98="","",COUNTIFS(AgPac,$A98,AgStatus,"Compareceu"))</f>
        <v>0</v>
      </c>
      <c r="I98" s="21">
        <f>IF($A98="","",COUNTIFS(AgPac,$A98,AgStatus,"Faltou"))</f>
        <v>0</v>
      </c>
      <c r="J98" s="22">
        <f>IF($A98="","",SUMPRODUCT(MAX((AgPac=$A98)*(AgStatus="Compareceu")*AgData)))</f>
        <v>0</v>
      </c>
    </row>
    <row r="99" spans="1:10">
      <c r="A99" s="15"/>
      <c r="B99" s="15"/>
      <c r="C99" s="15"/>
      <c r="D99" s="15"/>
      <c r="E99" s="15"/>
      <c r="F99" s="16"/>
      <c r="G99" s="15"/>
      <c r="H99" s="21">
        <f>IF($A99="","",COUNTIFS(AgPac,$A99,AgStatus,"Compareceu"))</f>
        <v>0</v>
      </c>
      <c r="I99" s="21">
        <f>IF($A99="","",COUNTIFS(AgPac,$A99,AgStatus,"Faltou"))</f>
        <v>0</v>
      </c>
      <c r="J99" s="22">
        <f>IF($A99="","",SUMPRODUCT(MAX((AgPac=$A99)*(AgStatus="Compareceu")*AgData)))</f>
        <v>0</v>
      </c>
    </row>
    <row r="100" spans="1:10">
      <c r="A100" s="15"/>
      <c r="B100" s="15"/>
      <c r="C100" s="15"/>
      <c r="D100" s="15"/>
      <c r="E100" s="15"/>
      <c r="F100" s="16"/>
      <c r="G100" s="15"/>
      <c r="H100" s="21">
        <f>IF($A100="","",COUNTIFS(AgPac,$A100,AgStatus,"Compareceu"))</f>
        <v>0</v>
      </c>
      <c r="I100" s="21">
        <f>IF($A100="","",COUNTIFS(AgPac,$A100,AgStatus,"Faltou"))</f>
        <v>0</v>
      </c>
      <c r="J100" s="22">
        <f>IF($A100="","",SUMPRODUCT(MAX((AgPac=$A100)*(AgStatus="Compareceu")*AgData)))</f>
        <v>0</v>
      </c>
    </row>
    <row r="101" spans="1:10">
      <c r="A101" s="15"/>
      <c r="B101" s="15"/>
      <c r="C101" s="15"/>
      <c r="D101" s="15"/>
      <c r="E101" s="15"/>
      <c r="F101" s="16"/>
      <c r="G101" s="15"/>
      <c r="H101" s="21">
        <f>IF($A101="","",COUNTIFS(AgPac,$A101,AgStatus,"Compareceu"))</f>
        <v>0</v>
      </c>
      <c r="I101" s="21">
        <f>IF($A101="","",COUNTIFS(AgPac,$A101,AgStatus,"Faltou"))</f>
        <v>0</v>
      </c>
      <c r="J101" s="22">
        <f>IF($A101="","",SUMPRODUCT(MAX((AgPac=$A101)*(AgStatus="Compareceu")*AgData)))</f>
        <v>0</v>
      </c>
    </row>
    <row r="102" spans="1:10">
      <c r="A102" s="15"/>
      <c r="B102" s="15"/>
      <c r="C102" s="15"/>
      <c r="D102" s="15"/>
      <c r="E102" s="15"/>
      <c r="F102" s="16"/>
      <c r="G102" s="15"/>
      <c r="H102" s="21">
        <f>IF($A102="","",COUNTIFS(AgPac,$A102,AgStatus,"Compareceu"))</f>
        <v>0</v>
      </c>
      <c r="I102" s="21">
        <f>IF($A102="","",COUNTIFS(AgPac,$A102,AgStatus,"Faltou"))</f>
        <v>0</v>
      </c>
      <c r="J102" s="22">
        <f>IF($A102="","",SUMPRODUCT(MAX((AgPac=$A102)*(AgStatus="Compareceu")*AgData)))</f>
        <v>0</v>
      </c>
    </row>
    <row r="103" spans="1:10">
      <c r="A103" s="15"/>
      <c r="B103" s="15"/>
      <c r="C103" s="15"/>
      <c r="D103" s="15"/>
      <c r="E103" s="15"/>
      <c r="F103" s="16"/>
      <c r="G103" s="15"/>
      <c r="H103" s="21">
        <f>IF($A103="","",COUNTIFS(AgPac,$A103,AgStatus,"Compareceu"))</f>
        <v>0</v>
      </c>
      <c r="I103" s="21">
        <f>IF($A103="","",COUNTIFS(AgPac,$A103,AgStatus,"Faltou"))</f>
        <v>0</v>
      </c>
      <c r="J103" s="22">
        <f>IF($A103="","",SUMPRODUCT(MAX((AgPac=$A103)*(AgStatus="Compareceu")*AgData)))</f>
        <v>0</v>
      </c>
    </row>
    <row r="104" spans="1:10">
      <c r="A104" s="15"/>
      <c r="B104" s="15"/>
      <c r="C104" s="15"/>
      <c r="D104" s="15"/>
      <c r="E104" s="15"/>
      <c r="F104" s="16"/>
      <c r="G104" s="15"/>
      <c r="H104" s="21">
        <f>IF($A104="","",COUNTIFS(AgPac,$A104,AgStatus,"Compareceu"))</f>
        <v>0</v>
      </c>
      <c r="I104" s="21">
        <f>IF($A104="","",COUNTIFS(AgPac,$A104,AgStatus,"Faltou"))</f>
        <v>0</v>
      </c>
      <c r="J104" s="22">
        <f>IF($A104="","",SUMPRODUCT(MAX((AgPac=$A104)*(AgStatus="Compareceu")*AgData)))</f>
        <v>0</v>
      </c>
    </row>
    <row r="105" spans="1:10">
      <c r="A105" s="15"/>
      <c r="B105" s="15"/>
      <c r="C105" s="15"/>
      <c r="D105" s="15"/>
      <c r="E105" s="15"/>
      <c r="F105" s="16"/>
      <c r="G105" s="15"/>
      <c r="H105" s="21">
        <f>IF($A105="","",COUNTIFS(AgPac,$A105,AgStatus,"Compareceu"))</f>
        <v>0</v>
      </c>
      <c r="I105" s="21">
        <f>IF($A105="","",COUNTIFS(AgPac,$A105,AgStatus,"Faltou"))</f>
        <v>0</v>
      </c>
      <c r="J105" s="22">
        <f>IF($A105="","",SUMPRODUCT(MAX((AgPac=$A105)*(AgStatus="Compareceu")*AgData)))</f>
        <v>0</v>
      </c>
    </row>
    <row r="106" spans="1:10">
      <c r="A106" s="15"/>
      <c r="B106" s="15"/>
      <c r="C106" s="15"/>
      <c r="D106" s="15"/>
      <c r="E106" s="15"/>
      <c r="F106" s="16"/>
      <c r="G106" s="15"/>
      <c r="H106" s="21">
        <f>IF($A106="","",COUNTIFS(AgPac,$A106,AgStatus,"Compareceu"))</f>
        <v>0</v>
      </c>
      <c r="I106" s="21">
        <f>IF($A106="","",COUNTIFS(AgPac,$A106,AgStatus,"Faltou"))</f>
        <v>0</v>
      </c>
      <c r="J106" s="22">
        <f>IF($A106="","",SUMPRODUCT(MAX((AgPac=$A106)*(AgStatus="Compareceu")*AgData)))</f>
        <v>0</v>
      </c>
    </row>
    <row r="107" spans="1:10">
      <c r="A107" s="15"/>
      <c r="B107" s="15"/>
      <c r="C107" s="15"/>
      <c r="D107" s="15"/>
      <c r="E107" s="15"/>
      <c r="F107" s="16"/>
      <c r="G107" s="15"/>
      <c r="H107" s="21">
        <f>IF($A107="","",COUNTIFS(AgPac,$A107,AgStatus,"Compareceu"))</f>
        <v>0</v>
      </c>
      <c r="I107" s="21">
        <f>IF($A107="","",COUNTIFS(AgPac,$A107,AgStatus,"Faltou"))</f>
        <v>0</v>
      </c>
      <c r="J107" s="22">
        <f>IF($A107="","",SUMPRODUCT(MAX((AgPac=$A107)*(AgStatus="Compareceu")*AgData)))</f>
        <v>0</v>
      </c>
    </row>
    <row r="108" spans="1:10">
      <c r="A108" s="15"/>
      <c r="B108" s="15"/>
      <c r="C108" s="15"/>
      <c r="D108" s="15"/>
      <c r="E108" s="15"/>
      <c r="F108" s="16"/>
      <c r="G108" s="15"/>
      <c r="H108" s="21">
        <f>IF($A108="","",COUNTIFS(AgPac,$A108,AgStatus,"Compareceu"))</f>
        <v>0</v>
      </c>
      <c r="I108" s="21">
        <f>IF($A108="","",COUNTIFS(AgPac,$A108,AgStatus,"Faltou"))</f>
        <v>0</v>
      </c>
      <c r="J108" s="22">
        <f>IF($A108="","",SUMPRODUCT(MAX((AgPac=$A108)*(AgStatus="Compareceu")*AgData)))</f>
        <v>0</v>
      </c>
    </row>
    <row r="109" spans="1:10">
      <c r="A109" s="15"/>
      <c r="B109" s="15"/>
      <c r="C109" s="15"/>
      <c r="D109" s="15"/>
      <c r="E109" s="15"/>
      <c r="F109" s="16"/>
      <c r="G109" s="15"/>
      <c r="H109" s="21">
        <f>IF($A109="","",COUNTIFS(AgPac,$A109,AgStatus,"Compareceu"))</f>
        <v>0</v>
      </c>
      <c r="I109" s="21">
        <f>IF($A109="","",COUNTIFS(AgPac,$A109,AgStatus,"Faltou"))</f>
        <v>0</v>
      </c>
      <c r="J109" s="22">
        <f>IF($A109="","",SUMPRODUCT(MAX((AgPac=$A109)*(AgStatus="Compareceu")*AgData)))</f>
        <v>0</v>
      </c>
    </row>
    <row r="110" spans="1:10">
      <c r="A110" s="15"/>
      <c r="B110" s="15"/>
      <c r="C110" s="15"/>
      <c r="D110" s="15"/>
      <c r="E110" s="15"/>
      <c r="F110" s="16"/>
      <c r="G110" s="15"/>
      <c r="H110" s="21">
        <f>IF($A110="","",COUNTIFS(AgPac,$A110,AgStatus,"Compareceu"))</f>
        <v>0</v>
      </c>
      <c r="I110" s="21">
        <f>IF($A110="","",COUNTIFS(AgPac,$A110,AgStatus,"Faltou"))</f>
        <v>0</v>
      </c>
      <c r="J110" s="22">
        <f>IF($A110="","",SUMPRODUCT(MAX((AgPac=$A110)*(AgStatus="Compareceu")*AgData)))</f>
        <v>0</v>
      </c>
    </row>
    <row r="111" spans="1:10">
      <c r="A111" s="15"/>
      <c r="B111" s="15"/>
      <c r="C111" s="15"/>
      <c r="D111" s="15"/>
      <c r="E111" s="15"/>
      <c r="F111" s="16"/>
      <c r="G111" s="15"/>
      <c r="H111" s="21">
        <f>IF($A111="","",COUNTIFS(AgPac,$A111,AgStatus,"Compareceu"))</f>
        <v>0</v>
      </c>
      <c r="I111" s="21">
        <f>IF($A111="","",COUNTIFS(AgPac,$A111,AgStatus,"Faltou"))</f>
        <v>0</v>
      </c>
      <c r="J111" s="22">
        <f>IF($A111="","",SUMPRODUCT(MAX((AgPac=$A111)*(AgStatus="Compareceu")*AgData)))</f>
        <v>0</v>
      </c>
    </row>
    <row r="112" spans="1:10">
      <c r="A112" s="15"/>
      <c r="B112" s="15"/>
      <c r="C112" s="15"/>
      <c r="D112" s="15"/>
      <c r="E112" s="15"/>
      <c r="F112" s="16"/>
      <c r="G112" s="15"/>
      <c r="H112" s="21">
        <f>IF($A112="","",COUNTIFS(AgPac,$A112,AgStatus,"Compareceu"))</f>
        <v>0</v>
      </c>
      <c r="I112" s="21">
        <f>IF($A112="","",COUNTIFS(AgPac,$A112,AgStatus,"Faltou"))</f>
        <v>0</v>
      </c>
      <c r="J112" s="22">
        <f>IF($A112="","",SUMPRODUCT(MAX((AgPac=$A112)*(AgStatus="Compareceu")*AgData)))</f>
        <v>0</v>
      </c>
    </row>
    <row r="113" spans="1:10">
      <c r="A113" s="15"/>
      <c r="B113" s="15"/>
      <c r="C113" s="15"/>
      <c r="D113" s="15"/>
      <c r="E113" s="15"/>
      <c r="F113" s="16"/>
      <c r="G113" s="15"/>
      <c r="H113" s="21">
        <f>IF($A113="","",COUNTIFS(AgPac,$A113,AgStatus,"Compareceu"))</f>
        <v>0</v>
      </c>
      <c r="I113" s="21">
        <f>IF($A113="","",COUNTIFS(AgPac,$A113,AgStatus,"Faltou"))</f>
        <v>0</v>
      </c>
      <c r="J113" s="22">
        <f>IF($A113="","",SUMPRODUCT(MAX((AgPac=$A113)*(AgStatus="Compareceu")*AgData)))</f>
        <v>0</v>
      </c>
    </row>
    <row r="114" spans="1:10">
      <c r="A114" s="15"/>
      <c r="B114" s="15"/>
      <c r="C114" s="15"/>
      <c r="D114" s="15"/>
      <c r="E114" s="15"/>
      <c r="F114" s="16"/>
      <c r="G114" s="15"/>
      <c r="H114" s="21">
        <f>IF($A114="","",COUNTIFS(AgPac,$A114,AgStatus,"Compareceu"))</f>
        <v>0</v>
      </c>
      <c r="I114" s="21">
        <f>IF($A114="","",COUNTIFS(AgPac,$A114,AgStatus,"Faltou"))</f>
        <v>0</v>
      </c>
      <c r="J114" s="22">
        <f>IF($A114="","",SUMPRODUCT(MAX((AgPac=$A114)*(AgStatus="Compareceu")*AgData)))</f>
        <v>0</v>
      </c>
    </row>
    <row r="115" spans="1:10">
      <c r="A115" s="15"/>
      <c r="B115" s="15"/>
      <c r="C115" s="15"/>
      <c r="D115" s="15"/>
      <c r="E115" s="15"/>
      <c r="F115" s="16"/>
      <c r="G115" s="15"/>
      <c r="H115" s="21">
        <f>IF($A115="","",COUNTIFS(AgPac,$A115,AgStatus,"Compareceu"))</f>
        <v>0</v>
      </c>
      <c r="I115" s="21">
        <f>IF($A115="","",COUNTIFS(AgPac,$A115,AgStatus,"Faltou"))</f>
        <v>0</v>
      </c>
      <c r="J115" s="22">
        <f>IF($A115="","",SUMPRODUCT(MAX((AgPac=$A115)*(AgStatus="Compareceu")*AgData)))</f>
        <v>0</v>
      </c>
    </row>
    <row r="116" spans="1:10">
      <c r="A116" s="15"/>
      <c r="B116" s="15"/>
      <c r="C116" s="15"/>
      <c r="D116" s="15"/>
      <c r="E116" s="15"/>
      <c r="F116" s="16"/>
      <c r="G116" s="15"/>
      <c r="H116" s="21">
        <f>IF($A116="","",COUNTIFS(AgPac,$A116,AgStatus,"Compareceu"))</f>
        <v>0</v>
      </c>
      <c r="I116" s="21">
        <f>IF($A116="","",COUNTIFS(AgPac,$A116,AgStatus,"Faltou"))</f>
        <v>0</v>
      </c>
      <c r="J116" s="22">
        <f>IF($A116="","",SUMPRODUCT(MAX((AgPac=$A116)*(AgStatus="Compareceu")*AgData)))</f>
        <v>0</v>
      </c>
    </row>
    <row r="117" spans="1:10">
      <c r="A117" s="15"/>
      <c r="B117" s="15"/>
      <c r="C117" s="15"/>
      <c r="D117" s="15"/>
      <c r="E117" s="15"/>
      <c r="F117" s="16"/>
      <c r="G117" s="15"/>
      <c r="H117" s="21">
        <f>IF($A117="","",COUNTIFS(AgPac,$A117,AgStatus,"Compareceu"))</f>
        <v>0</v>
      </c>
      <c r="I117" s="21">
        <f>IF($A117="","",COUNTIFS(AgPac,$A117,AgStatus,"Faltou"))</f>
        <v>0</v>
      </c>
      <c r="J117" s="22">
        <f>IF($A117="","",SUMPRODUCT(MAX((AgPac=$A117)*(AgStatus="Compareceu")*AgData)))</f>
        <v>0</v>
      </c>
    </row>
    <row r="118" spans="1:10">
      <c r="A118" s="15"/>
      <c r="B118" s="15"/>
      <c r="C118" s="15"/>
      <c r="D118" s="15"/>
      <c r="E118" s="15"/>
      <c r="F118" s="16"/>
      <c r="G118" s="15"/>
      <c r="H118" s="21">
        <f>IF($A118="","",COUNTIFS(AgPac,$A118,AgStatus,"Compareceu"))</f>
        <v>0</v>
      </c>
      <c r="I118" s="21">
        <f>IF($A118="","",COUNTIFS(AgPac,$A118,AgStatus,"Faltou"))</f>
        <v>0</v>
      </c>
      <c r="J118" s="22">
        <f>IF($A118="","",SUMPRODUCT(MAX((AgPac=$A118)*(AgStatus="Compareceu")*AgData)))</f>
        <v>0</v>
      </c>
    </row>
    <row r="119" spans="1:10">
      <c r="A119" s="15"/>
      <c r="B119" s="15"/>
      <c r="C119" s="15"/>
      <c r="D119" s="15"/>
      <c r="E119" s="15"/>
      <c r="F119" s="16"/>
      <c r="G119" s="15"/>
      <c r="H119" s="21">
        <f>IF($A119="","",COUNTIFS(AgPac,$A119,AgStatus,"Compareceu"))</f>
        <v>0</v>
      </c>
      <c r="I119" s="21">
        <f>IF($A119="","",COUNTIFS(AgPac,$A119,AgStatus,"Faltou"))</f>
        <v>0</v>
      </c>
      <c r="J119" s="22">
        <f>IF($A119="","",SUMPRODUCT(MAX((AgPac=$A119)*(AgStatus="Compareceu")*AgData)))</f>
        <v>0</v>
      </c>
    </row>
    <row r="120" spans="1:10">
      <c r="A120" s="15"/>
      <c r="B120" s="15"/>
      <c r="C120" s="15"/>
      <c r="D120" s="15"/>
      <c r="E120" s="15"/>
      <c r="F120" s="16"/>
      <c r="G120" s="15"/>
      <c r="H120" s="21">
        <f>IF($A120="","",COUNTIFS(AgPac,$A120,AgStatus,"Compareceu"))</f>
        <v>0</v>
      </c>
      <c r="I120" s="21">
        <f>IF($A120="","",COUNTIFS(AgPac,$A120,AgStatus,"Faltou"))</f>
        <v>0</v>
      </c>
      <c r="J120" s="22">
        <f>IF($A120="","",SUMPRODUCT(MAX((AgPac=$A120)*(AgStatus="Compareceu")*AgData)))</f>
        <v>0</v>
      </c>
    </row>
    <row r="121" spans="1:10">
      <c r="A121" s="15"/>
      <c r="B121" s="15"/>
      <c r="C121" s="15"/>
      <c r="D121" s="15"/>
      <c r="E121" s="15"/>
      <c r="F121" s="16"/>
      <c r="G121" s="15"/>
      <c r="H121" s="21">
        <f>IF($A121="","",COUNTIFS(AgPac,$A121,AgStatus,"Compareceu"))</f>
        <v>0</v>
      </c>
      <c r="I121" s="21">
        <f>IF($A121="","",COUNTIFS(AgPac,$A121,AgStatus,"Faltou"))</f>
        <v>0</v>
      </c>
      <c r="J121" s="22">
        <f>IF($A121="","",SUMPRODUCT(MAX((AgPac=$A121)*(AgStatus="Compareceu")*AgData)))</f>
        <v>0</v>
      </c>
    </row>
    <row r="122" spans="1:10">
      <c r="A122" s="15"/>
      <c r="B122" s="15"/>
      <c r="C122" s="15"/>
      <c r="D122" s="15"/>
      <c r="E122" s="15"/>
      <c r="F122" s="16"/>
      <c r="G122" s="15"/>
      <c r="H122" s="21">
        <f>IF($A122="","",COUNTIFS(AgPac,$A122,AgStatus,"Compareceu"))</f>
        <v>0</v>
      </c>
      <c r="I122" s="21">
        <f>IF($A122="","",COUNTIFS(AgPac,$A122,AgStatus,"Faltou"))</f>
        <v>0</v>
      </c>
      <c r="J122" s="22">
        <f>IF($A122="","",SUMPRODUCT(MAX((AgPac=$A122)*(AgStatus="Compareceu")*AgData)))</f>
        <v>0</v>
      </c>
    </row>
    <row r="123" spans="1:10">
      <c r="A123" s="15"/>
      <c r="B123" s="15"/>
      <c r="C123" s="15"/>
      <c r="D123" s="15"/>
      <c r="E123" s="15"/>
      <c r="F123" s="16"/>
      <c r="G123" s="15"/>
      <c r="H123" s="21">
        <f>IF($A123="","",COUNTIFS(AgPac,$A123,AgStatus,"Compareceu"))</f>
        <v>0</v>
      </c>
      <c r="I123" s="21">
        <f>IF($A123="","",COUNTIFS(AgPac,$A123,AgStatus,"Faltou"))</f>
        <v>0</v>
      </c>
      <c r="J123" s="22">
        <f>IF($A123="","",SUMPRODUCT(MAX((AgPac=$A123)*(AgStatus="Compareceu")*AgData)))</f>
        <v>0</v>
      </c>
    </row>
    <row r="124" spans="1:10">
      <c r="A124" s="15"/>
      <c r="B124" s="15"/>
      <c r="C124" s="15"/>
      <c r="D124" s="15"/>
      <c r="E124" s="15"/>
      <c r="F124" s="16"/>
      <c r="G124" s="15"/>
      <c r="H124" s="21">
        <f>IF($A124="","",COUNTIFS(AgPac,$A124,AgStatus,"Compareceu"))</f>
        <v>0</v>
      </c>
      <c r="I124" s="21">
        <f>IF($A124="","",COUNTIFS(AgPac,$A124,AgStatus,"Faltou"))</f>
        <v>0</v>
      </c>
      <c r="J124" s="22">
        <f>IF($A124="","",SUMPRODUCT(MAX((AgPac=$A124)*(AgStatus="Compareceu")*AgData)))</f>
        <v>0</v>
      </c>
    </row>
    <row r="125" spans="1:10">
      <c r="A125" s="15"/>
      <c r="B125" s="15"/>
      <c r="C125" s="15"/>
      <c r="D125" s="15"/>
      <c r="E125" s="15"/>
      <c r="F125" s="16"/>
      <c r="G125" s="15"/>
      <c r="H125" s="21">
        <f>IF($A125="","",COUNTIFS(AgPac,$A125,AgStatus,"Compareceu"))</f>
        <v>0</v>
      </c>
      <c r="I125" s="21">
        <f>IF($A125="","",COUNTIFS(AgPac,$A125,AgStatus,"Faltou"))</f>
        <v>0</v>
      </c>
      <c r="J125" s="22">
        <f>IF($A125="","",SUMPRODUCT(MAX((AgPac=$A125)*(AgStatus="Compareceu")*AgData)))</f>
        <v>0</v>
      </c>
    </row>
    <row r="126" spans="1:10">
      <c r="A126" s="15"/>
      <c r="B126" s="15"/>
      <c r="C126" s="15"/>
      <c r="D126" s="15"/>
      <c r="E126" s="15"/>
      <c r="F126" s="16"/>
      <c r="G126" s="15"/>
      <c r="H126" s="21">
        <f>IF($A126="","",COUNTIFS(AgPac,$A126,AgStatus,"Compareceu"))</f>
        <v>0</v>
      </c>
      <c r="I126" s="21">
        <f>IF($A126="","",COUNTIFS(AgPac,$A126,AgStatus,"Faltou"))</f>
        <v>0</v>
      </c>
      <c r="J126" s="22">
        <f>IF($A126="","",SUMPRODUCT(MAX((AgPac=$A126)*(AgStatus="Compareceu")*AgData)))</f>
        <v>0</v>
      </c>
    </row>
    <row r="127" spans="1:10">
      <c r="A127" s="15"/>
      <c r="B127" s="15"/>
      <c r="C127" s="15"/>
      <c r="D127" s="15"/>
      <c r="E127" s="15"/>
      <c r="F127" s="16"/>
      <c r="G127" s="15"/>
      <c r="H127" s="21">
        <f>IF($A127="","",COUNTIFS(AgPac,$A127,AgStatus,"Compareceu"))</f>
        <v>0</v>
      </c>
      <c r="I127" s="21">
        <f>IF($A127="","",COUNTIFS(AgPac,$A127,AgStatus,"Faltou"))</f>
        <v>0</v>
      </c>
      <c r="J127" s="22">
        <f>IF($A127="","",SUMPRODUCT(MAX((AgPac=$A127)*(AgStatus="Compareceu")*AgData)))</f>
        <v>0</v>
      </c>
    </row>
    <row r="128" spans="1:10">
      <c r="A128" s="15"/>
      <c r="B128" s="15"/>
      <c r="C128" s="15"/>
      <c r="D128" s="15"/>
      <c r="E128" s="15"/>
      <c r="F128" s="16"/>
      <c r="G128" s="15"/>
      <c r="H128" s="21">
        <f>IF($A128="","",COUNTIFS(AgPac,$A128,AgStatus,"Compareceu"))</f>
        <v>0</v>
      </c>
      <c r="I128" s="21">
        <f>IF($A128="","",COUNTIFS(AgPac,$A128,AgStatus,"Faltou"))</f>
        <v>0</v>
      </c>
      <c r="J128" s="22">
        <f>IF($A128="","",SUMPRODUCT(MAX((AgPac=$A128)*(AgStatus="Compareceu")*AgData)))</f>
        <v>0</v>
      </c>
    </row>
    <row r="129" spans="1:10">
      <c r="A129" s="15"/>
      <c r="B129" s="15"/>
      <c r="C129" s="15"/>
      <c r="D129" s="15"/>
      <c r="E129" s="15"/>
      <c r="F129" s="16"/>
      <c r="G129" s="15"/>
      <c r="H129" s="21">
        <f>IF($A129="","",COUNTIFS(AgPac,$A129,AgStatus,"Compareceu"))</f>
        <v>0</v>
      </c>
      <c r="I129" s="21">
        <f>IF($A129="","",COUNTIFS(AgPac,$A129,AgStatus,"Faltou"))</f>
        <v>0</v>
      </c>
      <c r="J129" s="22">
        <f>IF($A129="","",SUMPRODUCT(MAX((AgPac=$A129)*(AgStatus="Compareceu")*AgData)))</f>
        <v>0</v>
      </c>
    </row>
    <row r="130" spans="1:10">
      <c r="A130" s="15"/>
      <c r="B130" s="15"/>
      <c r="C130" s="15"/>
      <c r="D130" s="15"/>
      <c r="E130" s="15"/>
      <c r="F130" s="16"/>
      <c r="G130" s="15"/>
      <c r="H130" s="21">
        <f>IF($A130="","",COUNTIFS(AgPac,$A130,AgStatus,"Compareceu"))</f>
        <v>0</v>
      </c>
      <c r="I130" s="21">
        <f>IF($A130="","",COUNTIFS(AgPac,$A130,AgStatus,"Faltou"))</f>
        <v>0</v>
      </c>
      <c r="J130" s="22">
        <f>IF($A130="","",SUMPRODUCT(MAX((AgPac=$A130)*(AgStatus="Compareceu")*AgData)))</f>
        <v>0</v>
      </c>
    </row>
    <row r="131" spans="1:10">
      <c r="A131" s="15"/>
      <c r="B131" s="15"/>
      <c r="C131" s="15"/>
      <c r="D131" s="15"/>
      <c r="E131" s="15"/>
      <c r="F131" s="16"/>
      <c r="G131" s="15"/>
      <c r="H131" s="21">
        <f>IF($A131="","",COUNTIFS(AgPac,$A131,AgStatus,"Compareceu"))</f>
        <v>0</v>
      </c>
      <c r="I131" s="21">
        <f>IF($A131="","",COUNTIFS(AgPac,$A131,AgStatus,"Faltou"))</f>
        <v>0</v>
      </c>
      <c r="J131" s="22">
        <f>IF($A131="","",SUMPRODUCT(MAX((AgPac=$A131)*(AgStatus="Compareceu")*AgData)))</f>
        <v>0</v>
      </c>
    </row>
    <row r="132" spans="1:10">
      <c r="A132" s="15"/>
      <c r="B132" s="15"/>
      <c r="C132" s="15"/>
      <c r="D132" s="15"/>
      <c r="E132" s="15"/>
      <c r="F132" s="16"/>
      <c r="G132" s="15"/>
      <c r="H132" s="21">
        <f>IF($A132="","",COUNTIFS(AgPac,$A132,AgStatus,"Compareceu"))</f>
        <v>0</v>
      </c>
      <c r="I132" s="21">
        <f>IF($A132="","",COUNTIFS(AgPac,$A132,AgStatus,"Faltou"))</f>
        <v>0</v>
      </c>
      <c r="J132" s="22">
        <f>IF($A132="","",SUMPRODUCT(MAX((AgPac=$A132)*(AgStatus="Compareceu")*AgData)))</f>
        <v>0</v>
      </c>
    </row>
    <row r="133" spans="1:10">
      <c r="A133" s="15"/>
      <c r="B133" s="15"/>
      <c r="C133" s="15"/>
      <c r="D133" s="15"/>
      <c r="E133" s="15"/>
      <c r="F133" s="16"/>
      <c r="G133" s="15"/>
      <c r="H133" s="21">
        <f>IF($A133="","",COUNTIFS(AgPac,$A133,AgStatus,"Compareceu"))</f>
        <v>0</v>
      </c>
      <c r="I133" s="21">
        <f>IF($A133="","",COUNTIFS(AgPac,$A133,AgStatus,"Faltou"))</f>
        <v>0</v>
      </c>
      <c r="J133" s="22">
        <f>IF($A133="","",SUMPRODUCT(MAX((AgPac=$A133)*(AgStatus="Compareceu")*AgData)))</f>
        <v>0</v>
      </c>
    </row>
    <row r="134" spans="1:10">
      <c r="A134" s="15"/>
      <c r="B134" s="15"/>
      <c r="C134" s="15"/>
      <c r="D134" s="15"/>
      <c r="E134" s="15"/>
      <c r="F134" s="16"/>
      <c r="G134" s="15"/>
      <c r="H134" s="21">
        <f>IF($A134="","",COUNTIFS(AgPac,$A134,AgStatus,"Compareceu"))</f>
        <v>0</v>
      </c>
      <c r="I134" s="21">
        <f>IF($A134="","",COUNTIFS(AgPac,$A134,AgStatus,"Faltou"))</f>
        <v>0</v>
      </c>
      <c r="J134" s="22">
        <f>IF($A134="","",SUMPRODUCT(MAX((AgPac=$A134)*(AgStatus="Compareceu")*AgData)))</f>
        <v>0</v>
      </c>
    </row>
    <row r="135" spans="1:10">
      <c r="A135" s="15"/>
      <c r="B135" s="15"/>
      <c r="C135" s="15"/>
      <c r="D135" s="15"/>
      <c r="E135" s="15"/>
      <c r="F135" s="16"/>
      <c r="G135" s="15"/>
      <c r="H135" s="21">
        <f>IF($A135="","",COUNTIFS(AgPac,$A135,AgStatus,"Compareceu"))</f>
        <v>0</v>
      </c>
      <c r="I135" s="21">
        <f>IF($A135="","",COUNTIFS(AgPac,$A135,AgStatus,"Faltou"))</f>
        <v>0</v>
      </c>
      <c r="J135" s="22">
        <f>IF($A135="","",SUMPRODUCT(MAX((AgPac=$A135)*(AgStatus="Compareceu")*AgData)))</f>
        <v>0</v>
      </c>
    </row>
    <row r="136" spans="1:10">
      <c r="A136" s="15"/>
      <c r="B136" s="15"/>
      <c r="C136" s="15"/>
      <c r="D136" s="15"/>
      <c r="E136" s="15"/>
      <c r="F136" s="16"/>
      <c r="G136" s="15"/>
      <c r="H136" s="21">
        <f>IF($A136="","",COUNTIFS(AgPac,$A136,AgStatus,"Compareceu"))</f>
        <v>0</v>
      </c>
      <c r="I136" s="21">
        <f>IF($A136="","",COUNTIFS(AgPac,$A136,AgStatus,"Faltou"))</f>
        <v>0</v>
      </c>
      <c r="J136" s="22">
        <f>IF($A136="","",SUMPRODUCT(MAX((AgPac=$A136)*(AgStatus="Compareceu")*AgData)))</f>
        <v>0</v>
      </c>
    </row>
    <row r="137" spans="1:10">
      <c r="A137" s="15"/>
      <c r="B137" s="15"/>
      <c r="C137" s="15"/>
      <c r="D137" s="15"/>
      <c r="E137" s="15"/>
      <c r="F137" s="16"/>
      <c r="G137" s="15"/>
      <c r="H137" s="21">
        <f>IF($A137="","",COUNTIFS(AgPac,$A137,AgStatus,"Compareceu"))</f>
        <v>0</v>
      </c>
      <c r="I137" s="21">
        <f>IF($A137="","",COUNTIFS(AgPac,$A137,AgStatus,"Faltou"))</f>
        <v>0</v>
      </c>
      <c r="J137" s="22">
        <f>IF($A137="","",SUMPRODUCT(MAX((AgPac=$A137)*(AgStatus="Compareceu")*AgData)))</f>
        <v>0</v>
      </c>
    </row>
    <row r="138" spans="1:10">
      <c r="A138" s="15"/>
      <c r="B138" s="15"/>
      <c r="C138" s="15"/>
      <c r="D138" s="15"/>
      <c r="E138" s="15"/>
      <c r="F138" s="16"/>
      <c r="G138" s="15"/>
      <c r="H138" s="21">
        <f>IF($A138="","",COUNTIFS(AgPac,$A138,AgStatus,"Compareceu"))</f>
        <v>0</v>
      </c>
      <c r="I138" s="21">
        <f>IF($A138="","",COUNTIFS(AgPac,$A138,AgStatus,"Faltou"))</f>
        <v>0</v>
      </c>
      <c r="J138" s="22">
        <f>IF($A138="","",SUMPRODUCT(MAX((AgPac=$A138)*(AgStatus="Compareceu")*AgData)))</f>
        <v>0</v>
      </c>
    </row>
    <row r="139" spans="1:10">
      <c r="A139" s="15"/>
      <c r="B139" s="15"/>
      <c r="C139" s="15"/>
      <c r="D139" s="15"/>
      <c r="E139" s="15"/>
      <c r="F139" s="16"/>
      <c r="G139" s="15"/>
      <c r="H139" s="21">
        <f>IF($A139="","",COUNTIFS(AgPac,$A139,AgStatus,"Compareceu"))</f>
        <v>0</v>
      </c>
      <c r="I139" s="21">
        <f>IF($A139="","",COUNTIFS(AgPac,$A139,AgStatus,"Faltou"))</f>
        <v>0</v>
      </c>
      <c r="J139" s="22">
        <f>IF($A139="","",SUMPRODUCT(MAX((AgPac=$A139)*(AgStatus="Compareceu")*AgData)))</f>
        <v>0</v>
      </c>
    </row>
    <row r="140" spans="1:10">
      <c r="A140" s="15"/>
      <c r="B140" s="15"/>
      <c r="C140" s="15"/>
      <c r="D140" s="15"/>
      <c r="E140" s="15"/>
      <c r="F140" s="16"/>
      <c r="G140" s="15"/>
      <c r="H140" s="21">
        <f>IF($A140="","",COUNTIFS(AgPac,$A140,AgStatus,"Compareceu"))</f>
        <v>0</v>
      </c>
      <c r="I140" s="21">
        <f>IF($A140="","",COUNTIFS(AgPac,$A140,AgStatus,"Faltou"))</f>
        <v>0</v>
      </c>
      <c r="J140" s="22">
        <f>IF($A140="","",SUMPRODUCT(MAX((AgPac=$A140)*(AgStatus="Compareceu")*AgData)))</f>
        <v>0</v>
      </c>
    </row>
    <row r="141" spans="1:10">
      <c r="A141" s="15"/>
      <c r="B141" s="15"/>
      <c r="C141" s="15"/>
      <c r="D141" s="15"/>
      <c r="E141" s="15"/>
      <c r="F141" s="16"/>
      <c r="G141" s="15"/>
      <c r="H141" s="21">
        <f>IF($A141="","",COUNTIFS(AgPac,$A141,AgStatus,"Compareceu"))</f>
        <v>0</v>
      </c>
      <c r="I141" s="21">
        <f>IF($A141="","",COUNTIFS(AgPac,$A141,AgStatus,"Faltou"))</f>
        <v>0</v>
      </c>
      <c r="J141" s="22">
        <f>IF($A141="","",SUMPRODUCT(MAX((AgPac=$A141)*(AgStatus="Compareceu")*AgData)))</f>
        <v>0</v>
      </c>
    </row>
    <row r="142" spans="1:10">
      <c r="A142" s="15"/>
      <c r="B142" s="15"/>
      <c r="C142" s="15"/>
      <c r="D142" s="15"/>
      <c r="E142" s="15"/>
      <c r="F142" s="16"/>
      <c r="G142" s="15"/>
      <c r="H142" s="21">
        <f>IF($A142="","",COUNTIFS(AgPac,$A142,AgStatus,"Compareceu"))</f>
        <v>0</v>
      </c>
      <c r="I142" s="21">
        <f>IF($A142="","",COUNTIFS(AgPac,$A142,AgStatus,"Faltou"))</f>
        <v>0</v>
      </c>
      <c r="J142" s="22">
        <f>IF($A142="","",SUMPRODUCT(MAX((AgPac=$A142)*(AgStatus="Compareceu")*AgData)))</f>
        <v>0</v>
      </c>
    </row>
    <row r="143" spans="1:10">
      <c r="A143" s="15"/>
      <c r="B143" s="15"/>
      <c r="C143" s="15"/>
      <c r="D143" s="15"/>
      <c r="E143" s="15"/>
      <c r="F143" s="16"/>
      <c r="G143" s="15"/>
      <c r="H143" s="21">
        <f>IF($A143="","",COUNTIFS(AgPac,$A143,AgStatus,"Compareceu"))</f>
        <v>0</v>
      </c>
      <c r="I143" s="21">
        <f>IF($A143="","",COUNTIFS(AgPac,$A143,AgStatus,"Faltou"))</f>
        <v>0</v>
      </c>
      <c r="J143" s="22">
        <f>IF($A143="","",SUMPRODUCT(MAX((AgPac=$A143)*(AgStatus="Compareceu")*AgData)))</f>
        <v>0</v>
      </c>
    </row>
    <row r="144" spans="1:10">
      <c r="A144" s="15"/>
      <c r="B144" s="15"/>
      <c r="C144" s="15"/>
      <c r="D144" s="15"/>
      <c r="E144" s="15"/>
      <c r="F144" s="16"/>
      <c r="G144" s="15"/>
      <c r="H144" s="21">
        <f>IF($A144="","",COUNTIFS(AgPac,$A144,AgStatus,"Compareceu"))</f>
        <v>0</v>
      </c>
      <c r="I144" s="21">
        <f>IF($A144="","",COUNTIFS(AgPac,$A144,AgStatus,"Faltou"))</f>
        <v>0</v>
      </c>
      <c r="J144" s="22">
        <f>IF($A144="","",SUMPRODUCT(MAX((AgPac=$A144)*(AgStatus="Compareceu")*AgData)))</f>
        <v>0</v>
      </c>
    </row>
    <row r="145" spans="1:10">
      <c r="A145" s="15"/>
      <c r="B145" s="15"/>
      <c r="C145" s="15"/>
      <c r="D145" s="15"/>
      <c r="E145" s="15"/>
      <c r="F145" s="16"/>
      <c r="G145" s="15"/>
      <c r="H145" s="21">
        <f>IF($A145="","",COUNTIFS(AgPac,$A145,AgStatus,"Compareceu"))</f>
        <v>0</v>
      </c>
      <c r="I145" s="21">
        <f>IF($A145="","",COUNTIFS(AgPac,$A145,AgStatus,"Faltou"))</f>
        <v>0</v>
      </c>
      <c r="J145" s="22">
        <f>IF($A145="","",SUMPRODUCT(MAX((AgPac=$A145)*(AgStatus="Compareceu")*AgData)))</f>
        <v>0</v>
      </c>
    </row>
    <row r="146" spans="1:10">
      <c r="A146" s="15"/>
      <c r="B146" s="15"/>
      <c r="C146" s="15"/>
      <c r="D146" s="15"/>
      <c r="E146" s="15"/>
      <c r="F146" s="16"/>
      <c r="G146" s="15"/>
      <c r="H146" s="21">
        <f>IF($A146="","",COUNTIFS(AgPac,$A146,AgStatus,"Compareceu"))</f>
        <v>0</v>
      </c>
      <c r="I146" s="21">
        <f>IF($A146="","",COUNTIFS(AgPac,$A146,AgStatus,"Faltou"))</f>
        <v>0</v>
      </c>
      <c r="J146" s="22">
        <f>IF($A146="","",SUMPRODUCT(MAX((AgPac=$A146)*(AgStatus="Compareceu")*AgData)))</f>
        <v>0</v>
      </c>
    </row>
    <row r="147" spans="1:10">
      <c r="A147" s="15"/>
      <c r="B147" s="15"/>
      <c r="C147" s="15"/>
      <c r="D147" s="15"/>
      <c r="E147" s="15"/>
      <c r="F147" s="16"/>
      <c r="G147" s="15"/>
      <c r="H147" s="21">
        <f>IF($A147="","",COUNTIFS(AgPac,$A147,AgStatus,"Compareceu"))</f>
        <v>0</v>
      </c>
      <c r="I147" s="21">
        <f>IF($A147="","",COUNTIFS(AgPac,$A147,AgStatus,"Faltou"))</f>
        <v>0</v>
      </c>
      <c r="J147" s="22">
        <f>IF($A147="","",SUMPRODUCT(MAX((AgPac=$A147)*(AgStatus="Compareceu")*AgData)))</f>
        <v>0</v>
      </c>
    </row>
    <row r="148" spans="1:10">
      <c r="A148" s="15"/>
      <c r="B148" s="15"/>
      <c r="C148" s="15"/>
      <c r="D148" s="15"/>
      <c r="E148" s="15"/>
      <c r="F148" s="16"/>
      <c r="G148" s="15"/>
      <c r="H148" s="21">
        <f>IF($A148="","",COUNTIFS(AgPac,$A148,AgStatus,"Compareceu"))</f>
        <v>0</v>
      </c>
      <c r="I148" s="21">
        <f>IF($A148="","",COUNTIFS(AgPac,$A148,AgStatus,"Faltou"))</f>
        <v>0</v>
      </c>
      <c r="J148" s="22">
        <f>IF($A148="","",SUMPRODUCT(MAX((AgPac=$A148)*(AgStatus="Compareceu")*AgData)))</f>
        <v>0</v>
      </c>
    </row>
    <row r="149" spans="1:10">
      <c r="A149" s="15"/>
      <c r="B149" s="15"/>
      <c r="C149" s="15"/>
      <c r="D149" s="15"/>
      <c r="E149" s="15"/>
      <c r="F149" s="16"/>
      <c r="G149" s="15"/>
      <c r="H149" s="21">
        <f>IF($A149="","",COUNTIFS(AgPac,$A149,AgStatus,"Compareceu"))</f>
        <v>0</v>
      </c>
      <c r="I149" s="21">
        <f>IF($A149="","",COUNTIFS(AgPac,$A149,AgStatus,"Faltou"))</f>
        <v>0</v>
      </c>
      <c r="J149" s="22">
        <f>IF($A149="","",SUMPRODUCT(MAX((AgPac=$A149)*(AgStatus="Compareceu")*AgData)))</f>
        <v>0</v>
      </c>
    </row>
    <row r="150" spans="1:10">
      <c r="A150" s="15"/>
      <c r="B150" s="15"/>
      <c r="C150" s="15"/>
      <c r="D150" s="15"/>
      <c r="E150" s="15"/>
      <c r="F150" s="16"/>
      <c r="G150" s="15"/>
      <c r="H150" s="21">
        <f>IF($A150="","",COUNTIFS(AgPac,$A150,AgStatus,"Compareceu"))</f>
        <v>0</v>
      </c>
      <c r="I150" s="21">
        <f>IF($A150="","",COUNTIFS(AgPac,$A150,AgStatus,"Faltou"))</f>
        <v>0</v>
      </c>
      <c r="J150" s="22">
        <f>IF($A150="","",SUMPRODUCT(MAX((AgPac=$A150)*(AgStatus="Compareceu")*AgData)))</f>
        <v>0</v>
      </c>
    </row>
    <row r="151" spans="1:10">
      <c r="A151" s="15"/>
      <c r="B151" s="15"/>
      <c r="C151" s="15"/>
      <c r="D151" s="15"/>
      <c r="E151" s="15"/>
      <c r="F151" s="16"/>
      <c r="G151" s="15"/>
      <c r="H151" s="21">
        <f>IF($A151="","",COUNTIFS(AgPac,$A151,AgStatus,"Compareceu"))</f>
        <v>0</v>
      </c>
      <c r="I151" s="21">
        <f>IF($A151="","",COUNTIFS(AgPac,$A151,AgStatus,"Faltou"))</f>
        <v>0</v>
      </c>
      <c r="J151" s="22">
        <f>IF($A151="","",SUMPRODUCT(MAX((AgPac=$A151)*(AgStatus="Compareceu")*AgData)))</f>
        <v>0</v>
      </c>
    </row>
    <row r="152" spans="1:10">
      <c r="A152" s="15"/>
      <c r="B152" s="15"/>
      <c r="C152" s="15"/>
      <c r="D152" s="15"/>
      <c r="E152" s="15"/>
      <c r="F152" s="16"/>
      <c r="G152" s="15"/>
      <c r="H152" s="21">
        <f>IF($A152="","",COUNTIFS(AgPac,$A152,AgStatus,"Compareceu"))</f>
        <v>0</v>
      </c>
      <c r="I152" s="21">
        <f>IF($A152="","",COUNTIFS(AgPac,$A152,AgStatus,"Faltou"))</f>
        <v>0</v>
      </c>
      <c r="J152" s="22">
        <f>IF($A152="","",SUMPRODUCT(MAX((AgPac=$A152)*(AgStatus="Compareceu")*AgData)))</f>
        <v>0</v>
      </c>
    </row>
    <row r="153" spans="1:10">
      <c r="A153" s="15"/>
      <c r="B153" s="15"/>
      <c r="C153" s="15"/>
      <c r="D153" s="15"/>
      <c r="E153" s="15"/>
      <c r="F153" s="16"/>
      <c r="G153" s="15"/>
      <c r="H153" s="21">
        <f>IF($A153="","",COUNTIFS(AgPac,$A153,AgStatus,"Compareceu"))</f>
        <v>0</v>
      </c>
      <c r="I153" s="21">
        <f>IF($A153="","",COUNTIFS(AgPac,$A153,AgStatus,"Faltou"))</f>
        <v>0</v>
      </c>
      <c r="J153" s="22">
        <f>IF($A153="","",SUMPRODUCT(MAX((AgPac=$A153)*(AgStatus="Compareceu")*AgData)))</f>
        <v>0</v>
      </c>
    </row>
    <row r="154" spans="1:10">
      <c r="A154" s="15"/>
      <c r="B154" s="15"/>
      <c r="C154" s="15"/>
      <c r="D154" s="15"/>
      <c r="E154" s="15"/>
      <c r="F154" s="16"/>
      <c r="G154" s="15"/>
      <c r="H154" s="21">
        <f>IF($A154="","",COUNTIFS(AgPac,$A154,AgStatus,"Compareceu"))</f>
        <v>0</v>
      </c>
      <c r="I154" s="21">
        <f>IF($A154="","",COUNTIFS(AgPac,$A154,AgStatus,"Faltou"))</f>
        <v>0</v>
      </c>
      <c r="J154" s="22">
        <f>IF($A154="","",SUMPRODUCT(MAX((AgPac=$A154)*(AgStatus="Compareceu")*AgData)))</f>
        <v>0</v>
      </c>
    </row>
    <row r="155" spans="1:10">
      <c r="A155" s="15"/>
      <c r="B155" s="15"/>
      <c r="C155" s="15"/>
      <c r="D155" s="15"/>
      <c r="E155" s="15"/>
      <c r="F155" s="16"/>
      <c r="G155" s="15"/>
      <c r="H155" s="21">
        <f>IF($A155="","",COUNTIFS(AgPac,$A155,AgStatus,"Compareceu"))</f>
        <v>0</v>
      </c>
      <c r="I155" s="21">
        <f>IF($A155="","",COUNTIFS(AgPac,$A155,AgStatus,"Faltou"))</f>
        <v>0</v>
      </c>
      <c r="J155" s="22">
        <f>IF($A155="","",SUMPRODUCT(MAX((AgPac=$A155)*(AgStatus="Compareceu")*AgData)))</f>
        <v>0</v>
      </c>
    </row>
    <row r="156" spans="1:10">
      <c r="A156" s="15"/>
      <c r="B156" s="15"/>
      <c r="C156" s="15"/>
      <c r="D156" s="15"/>
      <c r="E156" s="15"/>
      <c r="F156" s="16"/>
      <c r="G156" s="15"/>
      <c r="H156" s="21">
        <f>IF($A156="","",COUNTIFS(AgPac,$A156,AgStatus,"Compareceu"))</f>
        <v>0</v>
      </c>
      <c r="I156" s="21">
        <f>IF($A156="","",COUNTIFS(AgPac,$A156,AgStatus,"Faltou"))</f>
        <v>0</v>
      </c>
      <c r="J156" s="22">
        <f>IF($A156="","",SUMPRODUCT(MAX((AgPac=$A156)*(AgStatus="Compareceu")*AgData)))</f>
        <v>0</v>
      </c>
    </row>
    <row r="157" spans="1:10">
      <c r="A157" s="15"/>
      <c r="B157" s="15"/>
      <c r="C157" s="15"/>
      <c r="D157" s="15"/>
      <c r="E157" s="15"/>
      <c r="F157" s="16"/>
      <c r="G157" s="15"/>
      <c r="H157" s="21">
        <f>IF($A157="","",COUNTIFS(AgPac,$A157,AgStatus,"Compareceu"))</f>
        <v>0</v>
      </c>
      <c r="I157" s="21">
        <f>IF($A157="","",COUNTIFS(AgPac,$A157,AgStatus,"Faltou"))</f>
        <v>0</v>
      </c>
      <c r="J157" s="22">
        <f>IF($A157="","",SUMPRODUCT(MAX((AgPac=$A157)*(AgStatus="Compareceu")*AgData)))</f>
        <v>0</v>
      </c>
    </row>
    <row r="158" spans="1:10">
      <c r="A158" s="15"/>
      <c r="B158" s="15"/>
      <c r="C158" s="15"/>
      <c r="D158" s="15"/>
      <c r="E158" s="15"/>
      <c r="F158" s="16"/>
      <c r="G158" s="15"/>
      <c r="H158" s="21">
        <f>IF($A158="","",COUNTIFS(AgPac,$A158,AgStatus,"Compareceu"))</f>
        <v>0</v>
      </c>
      <c r="I158" s="21">
        <f>IF($A158="","",COUNTIFS(AgPac,$A158,AgStatus,"Faltou"))</f>
        <v>0</v>
      </c>
      <c r="J158" s="22">
        <f>IF($A158="","",SUMPRODUCT(MAX((AgPac=$A158)*(AgStatus="Compareceu")*AgData)))</f>
        <v>0</v>
      </c>
    </row>
    <row r="159" spans="1:10">
      <c r="A159" s="15"/>
      <c r="B159" s="15"/>
      <c r="C159" s="15"/>
      <c r="D159" s="15"/>
      <c r="E159" s="15"/>
      <c r="F159" s="16"/>
      <c r="G159" s="15"/>
      <c r="H159" s="21">
        <f>IF($A159="","",COUNTIFS(AgPac,$A159,AgStatus,"Compareceu"))</f>
        <v>0</v>
      </c>
      <c r="I159" s="21">
        <f>IF($A159="","",COUNTIFS(AgPac,$A159,AgStatus,"Faltou"))</f>
        <v>0</v>
      </c>
      <c r="J159" s="22">
        <f>IF($A159="","",SUMPRODUCT(MAX((AgPac=$A159)*(AgStatus="Compareceu")*AgData)))</f>
        <v>0</v>
      </c>
    </row>
    <row r="160" spans="1:10">
      <c r="A160" s="15"/>
      <c r="B160" s="15"/>
      <c r="C160" s="15"/>
      <c r="D160" s="15"/>
      <c r="E160" s="15"/>
      <c r="F160" s="16"/>
      <c r="G160" s="15"/>
      <c r="H160" s="21">
        <f>IF($A160="","",COUNTIFS(AgPac,$A160,AgStatus,"Compareceu"))</f>
        <v>0</v>
      </c>
      <c r="I160" s="21">
        <f>IF($A160="","",COUNTIFS(AgPac,$A160,AgStatus,"Faltou"))</f>
        <v>0</v>
      </c>
      <c r="J160" s="22">
        <f>IF($A160="","",SUMPRODUCT(MAX((AgPac=$A160)*(AgStatus="Compareceu")*AgData)))</f>
        <v>0</v>
      </c>
    </row>
    <row r="161" spans="1:10">
      <c r="A161" s="15"/>
      <c r="B161" s="15"/>
      <c r="C161" s="15"/>
      <c r="D161" s="15"/>
      <c r="E161" s="15"/>
      <c r="F161" s="16"/>
      <c r="G161" s="15"/>
      <c r="H161" s="21">
        <f>IF($A161="","",COUNTIFS(AgPac,$A161,AgStatus,"Compareceu"))</f>
        <v>0</v>
      </c>
      <c r="I161" s="21">
        <f>IF($A161="","",COUNTIFS(AgPac,$A161,AgStatus,"Faltou"))</f>
        <v>0</v>
      </c>
      <c r="J161" s="22">
        <f>IF($A161="","",SUMPRODUCT(MAX((AgPac=$A161)*(AgStatus="Compareceu")*AgData)))</f>
        <v>0</v>
      </c>
    </row>
    <row r="162" spans="1:10">
      <c r="A162" s="15"/>
      <c r="B162" s="15"/>
      <c r="C162" s="15"/>
      <c r="D162" s="15"/>
      <c r="E162" s="15"/>
      <c r="F162" s="16"/>
      <c r="G162" s="15"/>
      <c r="H162" s="21">
        <f>IF($A162="","",COUNTIFS(AgPac,$A162,AgStatus,"Compareceu"))</f>
        <v>0</v>
      </c>
      <c r="I162" s="21">
        <f>IF($A162="","",COUNTIFS(AgPac,$A162,AgStatus,"Faltou"))</f>
        <v>0</v>
      </c>
      <c r="J162" s="22">
        <f>IF($A162="","",SUMPRODUCT(MAX((AgPac=$A162)*(AgStatus="Compareceu")*AgData)))</f>
        <v>0</v>
      </c>
    </row>
    <row r="163" spans="1:10">
      <c r="A163" s="15"/>
      <c r="B163" s="15"/>
      <c r="C163" s="15"/>
      <c r="D163" s="15"/>
      <c r="E163" s="15"/>
      <c r="F163" s="16"/>
      <c r="G163" s="15"/>
      <c r="H163" s="21">
        <f>IF($A163="","",COUNTIFS(AgPac,$A163,AgStatus,"Compareceu"))</f>
        <v>0</v>
      </c>
      <c r="I163" s="21">
        <f>IF($A163="","",COUNTIFS(AgPac,$A163,AgStatus,"Faltou"))</f>
        <v>0</v>
      </c>
      <c r="J163" s="22">
        <f>IF($A163="","",SUMPRODUCT(MAX((AgPac=$A163)*(AgStatus="Compareceu")*AgData)))</f>
        <v>0</v>
      </c>
    </row>
    <row r="164" spans="1:10">
      <c r="A164" s="15"/>
      <c r="B164" s="15"/>
      <c r="C164" s="15"/>
      <c r="D164" s="15"/>
      <c r="E164" s="15"/>
      <c r="F164" s="16"/>
      <c r="G164" s="15"/>
      <c r="H164" s="21">
        <f>IF($A164="","",COUNTIFS(AgPac,$A164,AgStatus,"Compareceu"))</f>
        <v>0</v>
      </c>
      <c r="I164" s="21">
        <f>IF($A164="","",COUNTIFS(AgPac,$A164,AgStatus,"Faltou"))</f>
        <v>0</v>
      </c>
      <c r="J164" s="22">
        <f>IF($A164="","",SUMPRODUCT(MAX((AgPac=$A164)*(AgStatus="Compareceu")*AgData)))</f>
        <v>0</v>
      </c>
    </row>
    <row r="165" spans="1:10">
      <c r="A165" s="15"/>
      <c r="B165" s="15"/>
      <c r="C165" s="15"/>
      <c r="D165" s="15"/>
      <c r="E165" s="15"/>
      <c r="F165" s="16"/>
      <c r="G165" s="15"/>
      <c r="H165" s="21">
        <f>IF($A165="","",COUNTIFS(AgPac,$A165,AgStatus,"Compareceu"))</f>
        <v>0</v>
      </c>
      <c r="I165" s="21">
        <f>IF($A165="","",COUNTIFS(AgPac,$A165,AgStatus,"Faltou"))</f>
        <v>0</v>
      </c>
      <c r="J165" s="22">
        <f>IF($A165="","",SUMPRODUCT(MAX((AgPac=$A165)*(AgStatus="Compareceu")*AgData)))</f>
        <v>0</v>
      </c>
    </row>
    <row r="166" spans="1:10">
      <c r="A166" s="15"/>
      <c r="B166" s="15"/>
      <c r="C166" s="15"/>
      <c r="D166" s="15"/>
      <c r="E166" s="15"/>
      <c r="F166" s="16"/>
      <c r="G166" s="15"/>
      <c r="H166" s="21">
        <f>IF($A166="","",COUNTIFS(AgPac,$A166,AgStatus,"Compareceu"))</f>
        <v>0</v>
      </c>
      <c r="I166" s="21">
        <f>IF($A166="","",COUNTIFS(AgPac,$A166,AgStatus,"Faltou"))</f>
        <v>0</v>
      </c>
      <c r="J166" s="22">
        <f>IF($A166="","",SUMPRODUCT(MAX((AgPac=$A166)*(AgStatus="Compareceu")*AgData)))</f>
        <v>0</v>
      </c>
    </row>
    <row r="167" spans="1:10">
      <c r="A167" s="15"/>
      <c r="B167" s="15"/>
      <c r="C167" s="15"/>
      <c r="D167" s="15"/>
      <c r="E167" s="15"/>
      <c r="F167" s="16"/>
      <c r="G167" s="15"/>
      <c r="H167" s="21">
        <f>IF($A167="","",COUNTIFS(AgPac,$A167,AgStatus,"Compareceu"))</f>
        <v>0</v>
      </c>
      <c r="I167" s="21">
        <f>IF($A167="","",COUNTIFS(AgPac,$A167,AgStatus,"Faltou"))</f>
        <v>0</v>
      </c>
      <c r="J167" s="22">
        <f>IF($A167="","",SUMPRODUCT(MAX((AgPac=$A167)*(AgStatus="Compareceu")*AgData)))</f>
        <v>0</v>
      </c>
    </row>
    <row r="168" spans="1:10">
      <c r="A168" s="15"/>
      <c r="B168" s="15"/>
      <c r="C168" s="15"/>
      <c r="D168" s="15"/>
      <c r="E168" s="15"/>
      <c r="F168" s="16"/>
      <c r="G168" s="15"/>
      <c r="H168" s="21">
        <f>IF($A168="","",COUNTIFS(AgPac,$A168,AgStatus,"Compareceu"))</f>
        <v>0</v>
      </c>
      <c r="I168" s="21">
        <f>IF($A168="","",COUNTIFS(AgPac,$A168,AgStatus,"Faltou"))</f>
        <v>0</v>
      </c>
      <c r="J168" s="22">
        <f>IF($A168="","",SUMPRODUCT(MAX((AgPac=$A168)*(AgStatus="Compareceu")*AgData)))</f>
        <v>0</v>
      </c>
    </row>
    <row r="169" spans="1:10">
      <c r="A169" s="15"/>
      <c r="B169" s="15"/>
      <c r="C169" s="15"/>
      <c r="D169" s="15"/>
      <c r="E169" s="15"/>
      <c r="F169" s="16"/>
      <c r="G169" s="15"/>
      <c r="H169" s="21">
        <f>IF($A169="","",COUNTIFS(AgPac,$A169,AgStatus,"Compareceu"))</f>
        <v>0</v>
      </c>
      <c r="I169" s="21">
        <f>IF($A169="","",COUNTIFS(AgPac,$A169,AgStatus,"Faltou"))</f>
        <v>0</v>
      </c>
      <c r="J169" s="22">
        <f>IF($A169="","",SUMPRODUCT(MAX((AgPac=$A169)*(AgStatus="Compareceu")*AgData)))</f>
        <v>0</v>
      </c>
    </row>
    <row r="170" spans="1:10">
      <c r="A170" s="15"/>
      <c r="B170" s="15"/>
      <c r="C170" s="15"/>
      <c r="D170" s="15"/>
      <c r="E170" s="15"/>
      <c r="F170" s="16"/>
      <c r="G170" s="15"/>
      <c r="H170" s="21">
        <f>IF($A170="","",COUNTIFS(AgPac,$A170,AgStatus,"Compareceu"))</f>
        <v>0</v>
      </c>
      <c r="I170" s="21">
        <f>IF($A170="","",COUNTIFS(AgPac,$A170,AgStatus,"Faltou"))</f>
        <v>0</v>
      </c>
      <c r="J170" s="22">
        <f>IF($A170="","",SUMPRODUCT(MAX((AgPac=$A170)*(AgStatus="Compareceu")*AgData)))</f>
        <v>0</v>
      </c>
    </row>
    <row r="171" spans="1:10">
      <c r="A171" s="15"/>
      <c r="B171" s="15"/>
      <c r="C171" s="15"/>
      <c r="D171" s="15"/>
      <c r="E171" s="15"/>
      <c r="F171" s="16"/>
      <c r="G171" s="15"/>
      <c r="H171" s="21">
        <f>IF($A171="","",COUNTIFS(AgPac,$A171,AgStatus,"Compareceu"))</f>
        <v>0</v>
      </c>
      <c r="I171" s="21">
        <f>IF($A171="","",COUNTIFS(AgPac,$A171,AgStatus,"Faltou"))</f>
        <v>0</v>
      </c>
      <c r="J171" s="22">
        <f>IF($A171="","",SUMPRODUCT(MAX((AgPac=$A171)*(AgStatus="Compareceu")*AgData)))</f>
        <v>0</v>
      </c>
    </row>
    <row r="172" spans="1:10">
      <c r="A172" s="15"/>
      <c r="B172" s="15"/>
      <c r="C172" s="15"/>
      <c r="D172" s="15"/>
      <c r="E172" s="15"/>
      <c r="F172" s="16"/>
      <c r="G172" s="15"/>
      <c r="H172" s="21">
        <f>IF($A172="","",COUNTIFS(AgPac,$A172,AgStatus,"Compareceu"))</f>
        <v>0</v>
      </c>
      <c r="I172" s="21">
        <f>IF($A172="","",COUNTIFS(AgPac,$A172,AgStatus,"Faltou"))</f>
        <v>0</v>
      </c>
      <c r="J172" s="22">
        <f>IF($A172="","",SUMPRODUCT(MAX((AgPac=$A172)*(AgStatus="Compareceu")*AgData)))</f>
        <v>0</v>
      </c>
    </row>
    <row r="173" spans="1:10">
      <c r="A173" s="15"/>
      <c r="B173" s="15"/>
      <c r="C173" s="15"/>
      <c r="D173" s="15"/>
      <c r="E173" s="15"/>
      <c r="F173" s="16"/>
      <c r="G173" s="15"/>
      <c r="H173" s="21">
        <f>IF($A173="","",COUNTIFS(AgPac,$A173,AgStatus,"Compareceu"))</f>
        <v>0</v>
      </c>
      <c r="I173" s="21">
        <f>IF($A173="","",COUNTIFS(AgPac,$A173,AgStatus,"Faltou"))</f>
        <v>0</v>
      </c>
      <c r="J173" s="22">
        <f>IF($A173="","",SUMPRODUCT(MAX((AgPac=$A173)*(AgStatus="Compareceu")*AgData)))</f>
        <v>0</v>
      </c>
    </row>
    <row r="174" spans="1:10">
      <c r="A174" s="15"/>
      <c r="B174" s="15"/>
      <c r="C174" s="15"/>
      <c r="D174" s="15"/>
      <c r="E174" s="15"/>
      <c r="F174" s="16"/>
      <c r="G174" s="15"/>
      <c r="H174" s="21">
        <f>IF($A174="","",COUNTIFS(AgPac,$A174,AgStatus,"Compareceu"))</f>
        <v>0</v>
      </c>
      <c r="I174" s="21">
        <f>IF($A174="","",COUNTIFS(AgPac,$A174,AgStatus,"Faltou"))</f>
        <v>0</v>
      </c>
      <c r="J174" s="22">
        <f>IF($A174="","",SUMPRODUCT(MAX((AgPac=$A174)*(AgStatus="Compareceu")*AgData)))</f>
        <v>0</v>
      </c>
    </row>
    <row r="175" spans="1:10">
      <c r="A175" s="15"/>
      <c r="B175" s="15"/>
      <c r="C175" s="15"/>
      <c r="D175" s="15"/>
      <c r="E175" s="15"/>
      <c r="F175" s="16"/>
      <c r="G175" s="15"/>
      <c r="H175" s="21">
        <f>IF($A175="","",COUNTIFS(AgPac,$A175,AgStatus,"Compareceu"))</f>
        <v>0</v>
      </c>
      <c r="I175" s="21">
        <f>IF($A175="","",COUNTIFS(AgPac,$A175,AgStatus,"Faltou"))</f>
        <v>0</v>
      </c>
      <c r="J175" s="22">
        <f>IF($A175="","",SUMPRODUCT(MAX((AgPac=$A175)*(AgStatus="Compareceu")*AgData)))</f>
        <v>0</v>
      </c>
    </row>
    <row r="176" spans="1:10">
      <c r="A176" s="15"/>
      <c r="B176" s="15"/>
      <c r="C176" s="15"/>
      <c r="D176" s="15"/>
      <c r="E176" s="15"/>
      <c r="F176" s="16"/>
      <c r="G176" s="15"/>
      <c r="H176" s="21">
        <f>IF($A176="","",COUNTIFS(AgPac,$A176,AgStatus,"Compareceu"))</f>
        <v>0</v>
      </c>
      <c r="I176" s="21">
        <f>IF($A176="","",COUNTIFS(AgPac,$A176,AgStatus,"Faltou"))</f>
        <v>0</v>
      </c>
      <c r="J176" s="22">
        <f>IF($A176="","",SUMPRODUCT(MAX((AgPac=$A176)*(AgStatus="Compareceu")*AgData)))</f>
        <v>0</v>
      </c>
    </row>
    <row r="177" spans="1:10">
      <c r="A177" s="15"/>
      <c r="B177" s="15"/>
      <c r="C177" s="15"/>
      <c r="D177" s="15"/>
      <c r="E177" s="15"/>
      <c r="F177" s="16"/>
      <c r="G177" s="15"/>
      <c r="H177" s="21">
        <f>IF($A177="","",COUNTIFS(AgPac,$A177,AgStatus,"Compareceu"))</f>
        <v>0</v>
      </c>
      <c r="I177" s="21">
        <f>IF($A177="","",COUNTIFS(AgPac,$A177,AgStatus,"Faltou"))</f>
        <v>0</v>
      </c>
      <c r="J177" s="22">
        <f>IF($A177="","",SUMPRODUCT(MAX((AgPac=$A177)*(AgStatus="Compareceu")*AgData)))</f>
        <v>0</v>
      </c>
    </row>
    <row r="178" spans="1:10">
      <c r="A178" s="15"/>
      <c r="B178" s="15"/>
      <c r="C178" s="15"/>
      <c r="D178" s="15"/>
      <c r="E178" s="15"/>
      <c r="F178" s="16"/>
      <c r="G178" s="15"/>
      <c r="H178" s="21">
        <f>IF($A178="","",COUNTIFS(AgPac,$A178,AgStatus,"Compareceu"))</f>
        <v>0</v>
      </c>
      <c r="I178" s="21">
        <f>IF($A178="","",COUNTIFS(AgPac,$A178,AgStatus,"Faltou"))</f>
        <v>0</v>
      </c>
      <c r="J178" s="22">
        <f>IF($A178="","",SUMPRODUCT(MAX((AgPac=$A178)*(AgStatus="Compareceu")*AgData)))</f>
        <v>0</v>
      </c>
    </row>
    <row r="179" spans="1:10">
      <c r="A179" s="15"/>
      <c r="B179" s="15"/>
      <c r="C179" s="15"/>
      <c r="D179" s="15"/>
      <c r="E179" s="15"/>
      <c r="F179" s="16"/>
      <c r="G179" s="15"/>
      <c r="H179" s="21">
        <f>IF($A179="","",COUNTIFS(AgPac,$A179,AgStatus,"Compareceu"))</f>
        <v>0</v>
      </c>
      <c r="I179" s="21">
        <f>IF($A179="","",COUNTIFS(AgPac,$A179,AgStatus,"Faltou"))</f>
        <v>0</v>
      </c>
      <c r="J179" s="22">
        <f>IF($A179="","",SUMPRODUCT(MAX((AgPac=$A179)*(AgStatus="Compareceu")*AgData)))</f>
        <v>0</v>
      </c>
    </row>
    <row r="180" spans="1:10">
      <c r="A180" s="15"/>
      <c r="B180" s="15"/>
      <c r="C180" s="15"/>
      <c r="D180" s="15"/>
      <c r="E180" s="15"/>
      <c r="F180" s="16"/>
      <c r="G180" s="15"/>
      <c r="H180" s="21">
        <f>IF($A180="","",COUNTIFS(AgPac,$A180,AgStatus,"Compareceu"))</f>
        <v>0</v>
      </c>
      <c r="I180" s="21">
        <f>IF($A180="","",COUNTIFS(AgPac,$A180,AgStatus,"Faltou"))</f>
        <v>0</v>
      </c>
      <c r="J180" s="22">
        <f>IF($A180="","",SUMPRODUCT(MAX((AgPac=$A180)*(AgStatus="Compareceu")*AgData)))</f>
        <v>0</v>
      </c>
    </row>
    <row r="181" spans="1:10">
      <c r="A181" s="15"/>
      <c r="B181" s="15"/>
      <c r="C181" s="15"/>
      <c r="D181" s="15"/>
      <c r="E181" s="15"/>
      <c r="F181" s="16"/>
      <c r="G181" s="15"/>
      <c r="H181" s="21">
        <f>IF($A181="","",COUNTIFS(AgPac,$A181,AgStatus,"Compareceu"))</f>
        <v>0</v>
      </c>
      <c r="I181" s="21">
        <f>IF($A181="","",COUNTIFS(AgPac,$A181,AgStatus,"Faltou"))</f>
        <v>0</v>
      </c>
      <c r="J181" s="22">
        <f>IF($A181="","",SUMPRODUCT(MAX((AgPac=$A181)*(AgStatus="Compareceu")*AgData)))</f>
        <v>0</v>
      </c>
    </row>
    <row r="182" spans="1:10">
      <c r="A182" s="15"/>
      <c r="B182" s="15"/>
      <c r="C182" s="15"/>
      <c r="D182" s="15"/>
      <c r="E182" s="15"/>
      <c r="F182" s="16"/>
      <c r="G182" s="15"/>
      <c r="H182" s="21">
        <f>IF($A182="","",COUNTIFS(AgPac,$A182,AgStatus,"Compareceu"))</f>
        <v>0</v>
      </c>
      <c r="I182" s="21">
        <f>IF($A182="","",COUNTIFS(AgPac,$A182,AgStatus,"Faltou"))</f>
        <v>0</v>
      </c>
      <c r="J182" s="22">
        <f>IF($A182="","",SUMPRODUCT(MAX((AgPac=$A182)*(AgStatus="Compareceu")*AgData)))</f>
        <v>0</v>
      </c>
    </row>
    <row r="183" spans="1:10">
      <c r="A183" s="15"/>
      <c r="B183" s="15"/>
      <c r="C183" s="15"/>
      <c r="D183" s="15"/>
      <c r="E183" s="15"/>
      <c r="F183" s="16"/>
      <c r="G183" s="15"/>
      <c r="H183" s="21">
        <f>IF($A183="","",COUNTIFS(AgPac,$A183,AgStatus,"Compareceu"))</f>
        <v>0</v>
      </c>
      <c r="I183" s="21">
        <f>IF($A183="","",COUNTIFS(AgPac,$A183,AgStatus,"Faltou"))</f>
        <v>0</v>
      </c>
      <c r="J183" s="22">
        <f>IF($A183="","",SUMPRODUCT(MAX((AgPac=$A183)*(AgStatus="Compareceu")*AgData)))</f>
        <v>0</v>
      </c>
    </row>
    <row r="184" spans="1:10">
      <c r="A184" s="15"/>
      <c r="B184" s="15"/>
      <c r="C184" s="15"/>
      <c r="D184" s="15"/>
      <c r="E184" s="15"/>
      <c r="F184" s="16"/>
      <c r="G184" s="15"/>
      <c r="H184" s="21">
        <f>IF($A184="","",COUNTIFS(AgPac,$A184,AgStatus,"Compareceu"))</f>
        <v>0</v>
      </c>
      <c r="I184" s="21">
        <f>IF($A184="","",COUNTIFS(AgPac,$A184,AgStatus,"Faltou"))</f>
        <v>0</v>
      </c>
      <c r="J184" s="22">
        <f>IF($A184="","",SUMPRODUCT(MAX((AgPac=$A184)*(AgStatus="Compareceu")*AgData)))</f>
        <v>0</v>
      </c>
    </row>
    <row r="185" spans="1:10">
      <c r="A185" s="15"/>
      <c r="B185" s="15"/>
      <c r="C185" s="15"/>
      <c r="D185" s="15"/>
      <c r="E185" s="15"/>
      <c r="F185" s="16"/>
      <c r="G185" s="15"/>
      <c r="H185" s="21">
        <f>IF($A185="","",COUNTIFS(AgPac,$A185,AgStatus,"Compareceu"))</f>
        <v>0</v>
      </c>
      <c r="I185" s="21">
        <f>IF($A185="","",COUNTIFS(AgPac,$A185,AgStatus,"Faltou"))</f>
        <v>0</v>
      </c>
      <c r="J185" s="22">
        <f>IF($A185="","",SUMPRODUCT(MAX((AgPac=$A185)*(AgStatus="Compareceu")*AgData)))</f>
        <v>0</v>
      </c>
    </row>
    <row r="186" spans="1:10">
      <c r="A186" s="15"/>
      <c r="B186" s="15"/>
      <c r="C186" s="15"/>
      <c r="D186" s="15"/>
      <c r="E186" s="15"/>
      <c r="F186" s="16"/>
      <c r="G186" s="15"/>
      <c r="H186" s="21">
        <f>IF($A186="","",COUNTIFS(AgPac,$A186,AgStatus,"Compareceu"))</f>
        <v>0</v>
      </c>
      <c r="I186" s="21">
        <f>IF($A186="","",COUNTIFS(AgPac,$A186,AgStatus,"Faltou"))</f>
        <v>0</v>
      </c>
      <c r="J186" s="22">
        <f>IF($A186="","",SUMPRODUCT(MAX((AgPac=$A186)*(AgStatus="Compareceu")*AgData)))</f>
        <v>0</v>
      </c>
    </row>
    <row r="187" spans="1:10">
      <c r="A187" s="15"/>
      <c r="B187" s="15"/>
      <c r="C187" s="15"/>
      <c r="D187" s="15"/>
      <c r="E187" s="15"/>
      <c r="F187" s="16"/>
      <c r="G187" s="15"/>
      <c r="H187" s="21">
        <f>IF($A187="","",COUNTIFS(AgPac,$A187,AgStatus,"Compareceu"))</f>
        <v>0</v>
      </c>
      <c r="I187" s="21">
        <f>IF($A187="","",COUNTIFS(AgPac,$A187,AgStatus,"Faltou"))</f>
        <v>0</v>
      </c>
      <c r="J187" s="22">
        <f>IF($A187="","",SUMPRODUCT(MAX((AgPac=$A187)*(AgStatus="Compareceu")*AgData)))</f>
        <v>0</v>
      </c>
    </row>
    <row r="188" spans="1:10">
      <c r="A188" s="15"/>
      <c r="B188" s="15"/>
      <c r="C188" s="15"/>
      <c r="D188" s="15"/>
      <c r="E188" s="15"/>
      <c r="F188" s="16"/>
      <c r="G188" s="15"/>
      <c r="H188" s="21">
        <f>IF($A188="","",COUNTIFS(AgPac,$A188,AgStatus,"Compareceu"))</f>
        <v>0</v>
      </c>
      <c r="I188" s="21">
        <f>IF($A188="","",COUNTIFS(AgPac,$A188,AgStatus,"Faltou"))</f>
        <v>0</v>
      </c>
      <c r="J188" s="22">
        <f>IF($A188="","",SUMPRODUCT(MAX((AgPac=$A188)*(AgStatus="Compareceu")*AgData)))</f>
        <v>0</v>
      </c>
    </row>
    <row r="189" spans="1:10">
      <c r="A189" s="15"/>
      <c r="B189" s="15"/>
      <c r="C189" s="15"/>
      <c r="D189" s="15"/>
      <c r="E189" s="15"/>
      <c r="F189" s="16"/>
      <c r="G189" s="15"/>
      <c r="H189" s="21">
        <f>IF($A189="","",COUNTIFS(AgPac,$A189,AgStatus,"Compareceu"))</f>
        <v>0</v>
      </c>
      <c r="I189" s="21">
        <f>IF($A189="","",COUNTIFS(AgPac,$A189,AgStatus,"Faltou"))</f>
        <v>0</v>
      </c>
      <c r="J189" s="22">
        <f>IF($A189="","",SUMPRODUCT(MAX((AgPac=$A189)*(AgStatus="Compareceu")*AgData)))</f>
        <v>0</v>
      </c>
    </row>
    <row r="190" spans="1:10">
      <c r="A190" s="15"/>
      <c r="B190" s="15"/>
      <c r="C190" s="15"/>
      <c r="D190" s="15"/>
      <c r="E190" s="15"/>
      <c r="F190" s="16"/>
      <c r="G190" s="15"/>
      <c r="H190" s="21">
        <f>IF($A190="","",COUNTIFS(AgPac,$A190,AgStatus,"Compareceu"))</f>
        <v>0</v>
      </c>
      <c r="I190" s="21">
        <f>IF($A190="","",COUNTIFS(AgPac,$A190,AgStatus,"Faltou"))</f>
        <v>0</v>
      </c>
      <c r="J190" s="22">
        <f>IF($A190="","",SUMPRODUCT(MAX((AgPac=$A190)*(AgStatus="Compareceu")*AgData)))</f>
        <v>0</v>
      </c>
    </row>
    <row r="191" spans="1:10">
      <c r="A191" s="15"/>
      <c r="B191" s="15"/>
      <c r="C191" s="15"/>
      <c r="D191" s="15"/>
      <c r="E191" s="15"/>
      <c r="F191" s="16"/>
      <c r="G191" s="15"/>
      <c r="H191" s="21">
        <f>IF($A191="","",COUNTIFS(AgPac,$A191,AgStatus,"Compareceu"))</f>
        <v>0</v>
      </c>
      <c r="I191" s="21">
        <f>IF($A191="","",COUNTIFS(AgPac,$A191,AgStatus,"Faltou"))</f>
        <v>0</v>
      </c>
      <c r="J191" s="22">
        <f>IF($A191="","",SUMPRODUCT(MAX((AgPac=$A191)*(AgStatus="Compareceu")*AgData)))</f>
        <v>0</v>
      </c>
    </row>
    <row r="192" spans="1:10">
      <c r="A192" s="15"/>
      <c r="B192" s="15"/>
      <c r="C192" s="15"/>
      <c r="D192" s="15"/>
      <c r="E192" s="15"/>
      <c r="F192" s="16"/>
      <c r="G192" s="15"/>
      <c r="H192" s="21">
        <f>IF($A192="","",COUNTIFS(AgPac,$A192,AgStatus,"Compareceu"))</f>
        <v>0</v>
      </c>
      <c r="I192" s="21">
        <f>IF($A192="","",COUNTIFS(AgPac,$A192,AgStatus,"Faltou"))</f>
        <v>0</v>
      </c>
      <c r="J192" s="22">
        <f>IF($A192="","",SUMPRODUCT(MAX((AgPac=$A192)*(AgStatus="Compareceu")*AgData)))</f>
        <v>0</v>
      </c>
    </row>
    <row r="193" spans="1:10">
      <c r="A193" s="15"/>
      <c r="B193" s="15"/>
      <c r="C193" s="15"/>
      <c r="D193" s="15"/>
      <c r="E193" s="15"/>
      <c r="F193" s="16"/>
      <c r="G193" s="15"/>
      <c r="H193" s="21">
        <f>IF($A193="","",COUNTIFS(AgPac,$A193,AgStatus,"Compareceu"))</f>
        <v>0</v>
      </c>
      <c r="I193" s="21">
        <f>IF($A193="","",COUNTIFS(AgPac,$A193,AgStatus,"Faltou"))</f>
        <v>0</v>
      </c>
      <c r="J193" s="22">
        <f>IF($A193="","",SUMPRODUCT(MAX((AgPac=$A193)*(AgStatus="Compareceu")*AgData)))</f>
        <v>0</v>
      </c>
    </row>
    <row r="194" spans="1:10">
      <c r="A194" s="15"/>
      <c r="B194" s="15"/>
      <c r="C194" s="15"/>
      <c r="D194" s="15"/>
      <c r="E194" s="15"/>
      <c r="F194" s="16"/>
      <c r="G194" s="15"/>
      <c r="H194" s="21">
        <f>IF($A194="","",COUNTIFS(AgPac,$A194,AgStatus,"Compareceu"))</f>
        <v>0</v>
      </c>
      <c r="I194" s="21">
        <f>IF($A194="","",COUNTIFS(AgPac,$A194,AgStatus,"Faltou"))</f>
        <v>0</v>
      </c>
      <c r="J194" s="22">
        <f>IF($A194="","",SUMPRODUCT(MAX((AgPac=$A194)*(AgStatus="Compareceu")*AgData)))</f>
        <v>0</v>
      </c>
    </row>
    <row r="195" spans="1:10">
      <c r="A195" s="15"/>
      <c r="B195" s="15"/>
      <c r="C195" s="15"/>
      <c r="D195" s="15"/>
      <c r="E195" s="15"/>
      <c r="F195" s="16"/>
      <c r="G195" s="15"/>
      <c r="H195" s="21">
        <f>IF($A195="","",COUNTIFS(AgPac,$A195,AgStatus,"Compareceu"))</f>
        <v>0</v>
      </c>
      <c r="I195" s="21">
        <f>IF($A195="","",COUNTIFS(AgPac,$A195,AgStatus,"Faltou"))</f>
        <v>0</v>
      </c>
      <c r="J195" s="22">
        <f>IF($A195="","",SUMPRODUCT(MAX((AgPac=$A195)*(AgStatus="Compareceu")*AgData)))</f>
        <v>0</v>
      </c>
    </row>
    <row r="196" spans="1:10">
      <c r="A196" s="15"/>
      <c r="B196" s="15"/>
      <c r="C196" s="15"/>
      <c r="D196" s="15"/>
      <c r="E196" s="15"/>
      <c r="F196" s="16"/>
      <c r="G196" s="15"/>
      <c r="H196" s="21">
        <f>IF($A196="","",COUNTIFS(AgPac,$A196,AgStatus,"Compareceu"))</f>
        <v>0</v>
      </c>
      <c r="I196" s="21">
        <f>IF($A196="","",COUNTIFS(AgPac,$A196,AgStatus,"Faltou"))</f>
        <v>0</v>
      </c>
      <c r="J196" s="22">
        <f>IF($A196="","",SUMPRODUCT(MAX((AgPac=$A196)*(AgStatus="Compareceu")*AgData)))</f>
        <v>0</v>
      </c>
    </row>
    <row r="197" spans="1:10">
      <c r="A197" s="15"/>
      <c r="B197" s="15"/>
      <c r="C197" s="15"/>
      <c r="D197" s="15"/>
      <c r="E197" s="15"/>
      <c r="F197" s="16"/>
      <c r="G197" s="15"/>
      <c r="H197" s="21">
        <f>IF($A197="","",COUNTIFS(AgPac,$A197,AgStatus,"Compareceu"))</f>
        <v>0</v>
      </c>
      <c r="I197" s="21">
        <f>IF($A197="","",COUNTIFS(AgPac,$A197,AgStatus,"Faltou"))</f>
        <v>0</v>
      </c>
      <c r="J197" s="22">
        <f>IF($A197="","",SUMPRODUCT(MAX((AgPac=$A197)*(AgStatus="Compareceu")*AgData)))</f>
        <v>0</v>
      </c>
    </row>
    <row r="198" spans="1:10">
      <c r="A198" s="15"/>
      <c r="B198" s="15"/>
      <c r="C198" s="15"/>
      <c r="D198" s="15"/>
      <c r="E198" s="15"/>
      <c r="F198" s="16"/>
      <c r="G198" s="15"/>
      <c r="H198" s="21">
        <f>IF($A198="","",COUNTIFS(AgPac,$A198,AgStatus,"Compareceu"))</f>
        <v>0</v>
      </c>
      <c r="I198" s="21">
        <f>IF($A198="","",COUNTIFS(AgPac,$A198,AgStatus,"Faltou"))</f>
        <v>0</v>
      </c>
      <c r="J198" s="22">
        <f>IF($A198="","",SUMPRODUCT(MAX((AgPac=$A198)*(AgStatus="Compareceu")*AgData)))</f>
        <v>0</v>
      </c>
    </row>
    <row r="199" spans="1:10">
      <c r="A199" s="15"/>
      <c r="B199" s="15"/>
      <c r="C199" s="15"/>
      <c r="D199" s="15"/>
      <c r="E199" s="15"/>
      <c r="F199" s="16"/>
      <c r="G199" s="15"/>
      <c r="H199" s="21">
        <f>IF($A199="","",COUNTIFS(AgPac,$A199,AgStatus,"Compareceu"))</f>
        <v>0</v>
      </c>
      <c r="I199" s="21">
        <f>IF($A199="","",COUNTIFS(AgPac,$A199,AgStatus,"Faltou"))</f>
        <v>0</v>
      </c>
      <c r="J199" s="22">
        <f>IF($A199="","",SUMPRODUCT(MAX((AgPac=$A199)*(AgStatus="Compareceu")*AgData)))</f>
        <v>0</v>
      </c>
    </row>
    <row r="200" spans="1:10">
      <c r="A200" s="15"/>
      <c r="B200" s="15"/>
      <c r="C200" s="15"/>
      <c r="D200" s="15"/>
      <c r="E200" s="15"/>
      <c r="F200" s="16"/>
      <c r="G200" s="15"/>
      <c r="H200" s="21">
        <f>IF($A200="","",COUNTIFS(AgPac,$A200,AgStatus,"Compareceu"))</f>
        <v>0</v>
      </c>
      <c r="I200" s="21">
        <f>IF($A200="","",COUNTIFS(AgPac,$A200,AgStatus,"Faltou"))</f>
        <v>0</v>
      </c>
      <c r="J200" s="22">
        <f>IF($A200="","",SUMPRODUCT(MAX((AgPac=$A200)*(AgStatus="Compareceu")*AgData)))</f>
        <v>0</v>
      </c>
    </row>
    <row r="201" spans="1:10">
      <c r="A201" s="15"/>
      <c r="B201" s="15"/>
      <c r="C201" s="15"/>
      <c r="D201" s="15"/>
      <c r="E201" s="15"/>
      <c r="F201" s="16"/>
      <c r="G201" s="15"/>
      <c r="H201" s="21">
        <f>IF($A201="","",COUNTIFS(AgPac,$A201,AgStatus,"Compareceu"))</f>
        <v>0</v>
      </c>
      <c r="I201" s="21">
        <f>IF($A201="","",COUNTIFS(AgPac,$A201,AgStatus,"Faltou"))</f>
        <v>0</v>
      </c>
      <c r="J201" s="22">
        <f>IF($A201="","",SUMPRODUCT(MAX((AgPac=$A201)*(AgStatus="Compareceu")*AgData)))</f>
        <v>0</v>
      </c>
    </row>
    <row r="202" spans="1:10">
      <c r="A202" s="15"/>
      <c r="B202" s="15"/>
      <c r="C202" s="15"/>
      <c r="D202" s="15"/>
      <c r="E202" s="15"/>
      <c r="F202" s="16"/>
      <c r="G202" s="15"/>
      <c r="H202" s="21">
        <f>IF($A202="","",COUNTIFS(AgPac,$A202,AgStatus,"Compareceu"))</f>
        <v>0</v>
      </c>
      <c r="I202" s="21">
        <f>IF($A202="","",COUNTIFS(AgPac,$A202,AgStatus,"Faltou"))</f>
        <v>0</v>
      </c>
      <c r="J202" s="22">
        <f>IF($A202="","",SUMPRODUCT(MAX((AgPac=$A202)*(AgStatus="Compareceu")*AgData)))</f>
        <v>0</v>
      </c>
    </row>
    <row r="203" spans="1:10">
      <c r="A203" s="15"/>
      <c r="B203" s="15"/>
      <c r="C203" s="15"/>
      <c r="D203" s="15"/>
      <c r="E203" s="15"/>
      <c r="F203" s="16"/>
      <c r="G203" s="15"/>
      <c r="H203" s="21">
        <f>IF($A203="","",COUNTIFS(AgPac,$A203,AgStatus,"Compareceu"))</f>
        <v>0</v>
      </c>
      <c r="I203" s="21">
        <f>IF($A203="","",COUNTIFS(AgPac,$A203,AgStatus,"Faltou"))</f>
        <v>0</v>
      </c>
      <c r="J203" s="22">
        <f>IF($A203="","",SUMPRODUCT(MAX((AgPac=$A203)*(AgStatus="Compareceu")*AgData)))</f>
        <v>0</v>
      </c>
    </row>
    <row r="204" spans="1:10">
      <c r="A204" s="15"/>
      <c r="B204" s="15"/>
      <c r="C204" s="15"/>
      <c r="D204" s="15"/>
      <c r="E204" s="15"/>
      <c r="F204" s="16"/>
      <c r="G204" s="15"/>
      <c r="H204" s="21">
        <f>IF($A204="","",COUNTIFS(AgPac,$A204,AgStatus,"Compareceu"))</f>
        <v>0</v>
      </c>
      <c r="I204" s="21">
        <f>IF($A204="","",COUNTIFS(AgPac,$A204,AgStatus,"Faltou"))</f>
        <v>0</v>
      </c>
      <c r="J204" s="22">
        <f>IF($A204="","",SUMPRODUCT(MAX((AgPac=$A204)*(AgStatus="Compareceu")*AgData)))</f>
        <v>0</v>
      </c>
    </row>
    <row r="205" spans="1:10">
      <c r="A205" s="15"/>
      <c r="B205" s="15"/>
      <c r="C205" s="15"/>
      <c r="D205" s="15"/>
      <c r="E205" s="15"/>
      <c r="F205" s="16"/>
      <c r="G205" s="15"/>
      <c r="H205" s="21">
        <f>IF($A205="","",COUNTIFS(AgPac,$A205,AgStatus,"Compareceu"))</f>
        <v>0</v>
      </c>
      <c r="I205" s="21">
        <f>IF($A205="","",COUNTIFS(AgPac,$A205,AgStatus,"Faltou"))</f>
        <v>0</v>
      </c>
      <c r="J205" s="22">
        <f>IF($A205="","",SUMPRODUCT(MAX((AgPac=$A205)*(AgStatus="Compareceu")*AgData)))</f>
        <v>0</v>
      </c>
    </row>
    <row r="206" spans="1:10">
      <c r="A206" s="15"/>
      <c r="B206" s="15"/>
      <c r="C206" s="15"/>
      <c r="D206" s="15"/>
      <c r="E206" s="15"/>
      <c r="F206" s="16"/>
      <c r="G206" s="15"/>
      <c r="H206" s="21">
        <f>IF($A206="","",COUNTIFS(AgPac,$A206,AgStatus,"Compareceu"))</f>
        <v>0</v>
      </c>
      <c r="I206" s="21">
        <f>IF($A206="","",COUNTIFS(AgPac,$A206,AgStatus,"Faltou"))</f>
        <v>0</v>
      </c>
      <c r="J206" s="22">
        <f>IF($A206="","",SUMPRODUCT(MAX((AgPac=$A206)*(AgStatus="Compareceu")*AgData)))</f>
        <v>0</v>
      </c>
    </row>
    <row r="207" spans="1:10">
      <c r="A207" s="15"/>
      <c r="B207" s="15"/>
      <c r="C207" s="15"/>
      <c r="D207" s="15"/>
      <c r="E207" s="15"/>
      <c r="F207" s="16"/>
      <c r="G207" s="15"/>
      <c r="H207" s="21">
        <f>IF($A207="","",COUNTIFS(AgPac,$A207,AgStatus,"Compareceu"))</f>
        <v>0</v>
      </c>
      <c r="I207" s="21">
        <f>IF($A207="","",COUNTIFS(AgPac,$A207,AgStatus,"Faltou"))</f>
        <v>0</v>
      </c>
      <c r="J207" s="22">
        <f>IF($A207="","",SUMPRODUCT(MAX((AgPac=$A207)*(AgStatus="Compareceu")*AgData)))</f>
        <v>0</v>
      </c>
    </row>
    <row r="208" spans="1:10">
      <c r="A208" s="15"/>
      <c r="B208" s="15"/>
      <c r="C208" s="15"/>
      <c r="D208" s="15"/>
      <c r="E208" s="15"/>
      <c r="F208" s="16"/>
      <c r="G208" s="15"/>
      <c r="H208" s="21">
        <f>IF($A208="","",COUNTIFS(AgPac,$A208,AgStatus,"Compareceu"))</f>
        <v>0</v>
      </c>
      <c r="I208" s="21">
        <f>IF($A208="","",COUNTIFS(AgPac,$A208,AgStatus,"Faltou"))</f>
        <v>0</v>
      </c>
      <c r="J208" s="22">
        <f>IF($A208="","",SUMPRODUCT(MAX((AgPac=$A208)*(AgStatus="Compareceu")*AgData)))</f>
        <v>0</v>
      </c>
    </row>
    <row r="209" spans="1:10">
      <c r="A209" s="15"/>
      <c r="B209" s="15"/>
      <c r="C209" s="15"/>
      <c r="D209" s="15"/>
      <c r="E209" s="15"/>
      <c r="F209" s="16"/>
      <c r="G209" s="15"/>
      <c r="H209" s="21">
        <f>IF($A209="","",COUNTIFS(AgPac,$A209,AgStatus,"Compareceu"))</f>
        <v>0</v>
      </c>
      <c r="I209" s="21">
        <f>IF($A209="","",COUNTIFS(AgPac,$A209,AgStatus,"Faltou"))</f>
        <v>0</v>
      </c>
      <c r="J209" s="22">
        <f>IF($A209="","",SUMPRODUCT(MAX((AgPac=$A209)*(AgStatus="Compareceu")*AgData)))</f>
        <v>0</v>
      </c>
    </row>
    <row r="210" spans="1:10">
      <c r="A210" s="15"/>
      <c r="B210" s="15"/>
      <c r="C210" s="15"/>
      <c r="D210" s="15"/>
      <c r="E210" s="15"/>
      <c r="F210" s="16"/>
      <c r="G210" s="15"/>
      <c r="H210" s="21">
        <f>IF($A210="","",COUNTIFS(AgPac,$A210,AgStatus,"Compareceu"))</f>
        <v>0</v>
      </c>
      <c r="I210" s="21">
        <f>IF($A210="","",COUNTIFS(AgPac,$A210,AgStatus,"Faltou"))</f>
        <v>0</v>
      </c>
      <c r="J210" s="22">
        <f>IF($A210="","",SUMPRODUCT(MAX((AgPac=$A210)*(AgStatus="Compareceu")*AgData)))</f>
        <v>0</v>
      </c>
    </row>
    <row r="211" spans="1:10">
      <c r="A211" s="15"/>
      <c r="B211" s="15"/>
      <c r="C211" s="15"/>
      <c r="D211" s="15"/>
      <c r="E211" s="15"/>
      <c r="F211" s="16"/>
      <c r="G211" s="15"/>
      <c r="H211" s="21">
        <f>IF($A211="","",COUNTIFS(AgPac,$A211,AgStatus,"Compareceu"))</f>
        <v>0</v>
      </c>
      <c r="I211" s="21">
        <f>IF($A211="","",COUNTIFS(AgPac,$A211,AgStatus,"Faltou"))</f>
        <v>0</v>
      </c>
      <c r="J211" s="22">
        <f>IF($A211="","",SUMPRODUCT(MAX((AgPac=$A211)*(AgStatus="Compareceu")*AgData)))</f>
        <v>0</v>
      </c>
    </row>
    <row r="212" spans="1:10">
      <c r="A212" s="15"/>
      <c r="B212" s="15"/>
      <c r="C212" s="15"/>
      <c r="D212" s="15"/>
      <c r="E212" s="15"/>
      <c r="F212" s="16"/>
      <c r="G212" s="15"/>
      <c r="H212" s="21">
        <f>IF($A212="","",COUNTIFS(AgPac,$A212,AgStatus,"Compareceu"))</f>
        <v>0</v>
      </c>
      <c r="I212" s="21">
        <f>IF($A212="","",COUNTIFS(AgPac,$A212,AgStatus,"Faltou"))</f>
        <v>0</v>
      </c>
      <c r="J212" s="22">
        <f>IF($A212="","",SUMPRODUCT(MAX((AgPac=$A212)*(AgStatus="Compareceu")*AgData)))</f>
        <v>0</v>
      </c>
    </row>
    <row r="213" spans="1:10">
      <c r="A213" s="15"/>
      <c r="B213" s="15"/>
      <c r="C213" s="15"/>
      <c r="D213" s="15"/>
      <c r="E213" s="15"/>
      <c r="F213" s="16"/>
      <c r="G213" s="15"/>
      <c r="H213" s="21">
        <f>IF($A213="","",COUNTIFS(AgPac,$A213,AgStatus,"Compareceu"))</f>
        <v>0</v>
      </c>
      <c r="I213" s="21">
        <f>IF($A213="","",COUNTIFS(AgPac,$A213,AgStatus,"Faltou"))</f>
        <v>0</v>
      </c>
      <c r="J213" s="22">
        <f>IF($A213="","",SUMPRODUCT(MAX((AgPac=$A213)*(AgStatus="Compareceu")*AgData)))</f>
        <v>0</v>
      </c>
    </row>
    <row r="214" spans="1:10">
      <c r="A214" s="15"/>
      <c r="B214" s="15"/>
      <c r="C214" s="15"/>
      <c r="D214" s="15"/>
      <c r="E214" s="15"/>
      <c r="F214" s="16"/>
      <c r="G214" s="15"/>
      <c r="H214" s="21">
        <f>IF($A214="","",COUNTIFS(AgPac,$A214,AgStatus,"Compareceu"))</f>
        <v>0</v>
      </c>
      <c r="I214" s="21">
        <f>IF($A214="","",COUNTIFS(AgPac,$A214,AgStatus,"Faltou"))</f>
        <v>0</v>
      </c>
      <c r="J214" s="22">
        <f>IF($A214="","",SUMPRODUCT(MAX((AgPac=$A214)*(AgStatus="Compareceu")*AgData)))</f>
        <v>0</v>
      </c>
    </row>
    <row r="215" spans="1:10">
      <c r="A215" s="15"/>
      <c r="B215" s="15"/>
      <c r="C215" s="15"/>
      <c r="D215" s="15"/>
      <c r="E215" s="15"/>
      <c r="F215" s="16"/>
      <c r="G215" s="15"/>
      <c r="H215" s="21">
        <f>IF($A215="","",COUNTIFS(AgPac,$A215,AgStatus,"Compareceu"))</f>
        <v>0</v>
      </c>
      <c r="I215" s="21">
        <f>IF($A215="","",COUNTIFS(AgPac,$A215,AgStatus,"Faltou"))</f>
        <v>0</v>
      </c>
      <c r="J215" s="22">
        <f>IF($A215="","",SUMPRODUCT(MAX((AgPac=$A215)*(AgStatus="Compareceu")*AgData)))</f>
        <v>0</v>
      </c>
    </row>
    <row r="216" spans="1:10">
      <c r="A216" s="15"/>
      <c r="B216" s="15"/>
      <c r="C216" s="15"/>
      <c r="D216" s="15"/>
      <c r="E216" s="15"/>
      <c r="F216" s="16"/>
      <c r="G216" s="15"/>
      <c r="H216" s="21">
        <f>IF($A216="","",COUNTIFS(AgPac,$A216,AgStatus,"Compareceu"))</f>
        <v>0</v>
      </c>
      <c r="I216" s="21">
        <f>IF($A216="","",COUNTIFS(AgPac,$A216,AgStatus,"Faltou"))</f>
        <v>0</v>
      </c>
      <c r="J216" s="22">
        <f>IF($A216="","",SUMPRODUCT(MAX((AgPac=$A216)*(AgStatus="Compareceu")*AgData)))</f>
        <v>0</v>
      </c>
    </row>
    <row r="217" spans="1:10">
      <c r="A217" s="15"/>
      <c r="B217" s="15"/>
      <c r="C217" s="15"/>
      <c r="D217" s="15"/>
      <c r="E217" s="15"/>
      <c r="F217" s="16"/>
      <c r="G217" s="15"/>
      <c r="H217" s="21">
        <f>IF($A217="","",COUNTIFS(AgPac,$A217,AgStatus,"Compareceu"))</f>
        <v>0</v>
      </c>
      <c r="I217" s="21">
        <f>IF($A217="","",COUNTIFS(AgPac,$A217,AgStatus,"Faltou"))</f>
        <v>0</v>
      </c>
      <c r="J217" s="22">
        <f>IF($A217="","",SUMPRODUCT(MAX((AgPac=$A217)*(AgStatus="Compareceu")*AgData)))</f>
        <v>0</v>
      </c>
    </row>
    <row r="218" spans="1:10">
      <c r="A218" s="15"/>
      <c r="B218" s="15"/>
      <c r="C218" s="15"/>
      <c r="D218" s="15"/>
      <c r="E218" s="15"/>
      <c r="F218" s="16"/>
      <c r="G218" s="15"/>
      <c r="H218" s="21">
        <f>IF($A218="","",COUNTIFS(AgPac,$A218,AgStatus,"Compareceu"))</f>
        <v>0</v>
      </c>
      <c r="I218" s="21">
        <f>IF($A218="","",COUNTIFS(AgPac,$A218,AgStatus,"Faltou"))</f>
        <v>0</v>
      </c>
      <c r="J218" s="22">
        <f>IF($A218="","",SUMPRODUCT(MAX((AgPac=$A218)*(AgStatus="Compareceu")*AgData)))</f>
        <v>0</v>
      </c>
    </row>
    <row r="219" spans="1:10">
      <c r="A219" s="15"/>
      <c r="B219" s="15"/>
      <c r="C219" s="15"/>
      <c r="D219" s="15"/>
      <c r="E219" s="15"/>
      <c r="F219" s="16"/>
      <c r="G219" s="15"/>
      <c r="H219" s="21">
        <f>IF($A219="","",COUNTIFS(AgPac,$A219,AgStatus,"Compareceu"))</f>
        <v>0</v>
      </c>
      <c r="I219" s="21">
        <f>IF($A219="","",COUNTIFS(AgPac,$A219,AgStatus,"Faltou"))</f>
        <v>0</v>
      </c>
      <c r="J219" s="22">
        <f>IF($A219="","",SUMPRODUCT(MAX((AgPac=$A219)*(AgStatus="Compareceu")*AgData)))</f>
        <v>0</v>
      </c>
    </row>
    <row r="220" spans="1:10">
      <c r="A220" s="15"/>
      <c r="B220" s="15"/>
      <c r="C220" s="15"/>
      <c r="D220" s="15"/>
      <c r="E220" s="15"/>
      <c r="F220" s="16"/>
      <c r="G220" s="15"/>
      <c r="H220" s="21">
        <f>IF($A220="","",COUNTIFS(AgPac,$A220,AgStatus,"Compareceu"))</f>
        <v>0</v>
      </c>
      <c r="I220" s="21">
        <f>IF($A220="","",COUNTIFS(AgPac,$A220,AgStatus,"Faltou"))</f>
        <v>0</v>
      </c>
      <c r="J220" s="22">
        <f>IF($A220="","",SUMPRODUCT(MAX((AgPac=$A220)*(AgStatus="Compareceu")*AgData)))</f>
        <v>0</v>
      </c>
    </row>
    <row r="221" spans="1:10">
      <c r="A221" s="15"/>
      <c r="B221" s="15"/>
      <c r="C221" s="15"/>
      <c r="D221" s="15"/>
      <c r="E221" s="15"/>
      <c r="F221" s="16"/>
      <c r="G221" s="15"/>
      <c r="H221" s="21">
        <f>IF($A221="","",COUNTIFS(AgPac,$A221,AgStatus,"Compareceu"))</f>
        <v>0</v>
      </c>
      <c r="I221" s="21">
        <f>IF($A221="","",COUNTIFS(AgPac,$A221,AgStatus,"Faltou"))</f>
        <v>0</v>
      </c>
      <c r="J221" s="22">
        <f>IF($A221="","",SUMPRODUCT(MAX((AgPac=$A221)*(AgStatus="Compareceu")*AgData)))</f>
        <v>0</v>
      </c>
    </row>
    <row r="222" spans="1:10">
      <c r="A222" s="15"/>
      <c r="B222" s="15"/>
      <c r="C222" s="15"/>
      <c r="D222" s="15"/>
      <c r="E222" s="15"/>
      <c r="F222" s="16"/>
      <c r="G222" s="15"/>
      <c r="H222" s="21">
        <f>IF($A222="","",COUNTIFS(AgPac,$A222,AgStatus,"Compareceu"))</f>
        <v>0</v>
      </c>
      <c r="I222" s="21">
        <f>IF($A222="","",COUNTIFS(AgPac,$A222,AgStatus,"Faltou"))</f>
        <v>0</v>
      </c>
      <c r="J222" s="22">
        <f>IF($A222="","",SUMPRODUCT(MAX((AgPac=$A222)*(AgStatus="Compareceu")*AgData)))</f>
        <v>0</v>
      </c>
    </row>
    <row r="223" spans="1:10">
      <c r="A223" s="15"/>
      <c r="B223" s="15"/>
      <c r="C223" s="15"/>
      <c r="D223" s="15"/>
      <c r="E223" s="15"/>
      <c r="F223" s="16"/>
      <c r="G223" s="15"/>
      <c r="H223" s="21">
        <f>IF($A223="","",COUNTIFS(AgPac,$A223,AgStatus,"Compareceu"))</f>
        <v>0</v>
      </c>
      <c r="I223" s="21">
        <f>IF($A223="","",COUNTIFS(AgPac,$A223,AgStatus,"Faltou"))</f>
        <v>0</v>
      </c>
      <c r="J223" s="22">
        <f>IF($A223="","",SUMPRODUCT(MAX((AgPac=$A223)*(AgStatus="Compareceu")*AgData)))</f>
        <v>0</v>
      </c>
    </row>
    <row r="224" spans="1:10">
      <c r="A224" s="15"/>
      <c r="B224" s="15"/>
      <c r="C224" s="15"/>
      <c r="D224" s="15"/>
      <c r="E224" s="15"/>
      <c r="F224" s="16"/>
      <c r="G224" s="15"/>
      <c r="H224" s="21">
        <f>IF($A224="","",COUNTIFS(AgPac,$A224,AgStatus,"Compareceu"))</f>
        <v>0</v>
      </c>
      <c r="I224" s="21">
        <f>IF($A224="","",COUNTIFS(AgPac,$A224,AgStatus,"Faltou"))</f>
        <v>0</v>
      </c>
      <c r="J224" s="22">
        <f>IF($A224="","",SUMPRODUCT(MAX((AgPac=$A224)*(AgStatus="Compareceu")*AgData)))</f>
        <v>0</v>
      </c>
    </row>
    <row r="225" spans="1:10">
      <c r="A225" s="15"/>
      <c r="B225" s="15"/>
      <c r="C225" s="15"/>
      <c r="D225" s="15"/>
      <c r="E225" s="15"/>
      <c r="F225" s="16"/>
      <c r="G225" s="15"/>
      <c r="H225" s="21">
        <f>IF($A225="","",COUNTIFS(AgPac,$A225,AgStatus,"Compareceu"))</f>
        <v>0</v>
      </c>
      <c r="I225" s="21">
        <f>IF($A225="","",COUNTIFS(AgPac,$A225,AgStatus,"Faltou"))</f>
        <v>0</v>
      </c>
      <c r="J225" s="22">
        <f>IF($A225="","",SUMPRODUCT(MAX((AgPac=$A225)*(AgStatus="Compareceu")*AgData)))</f>
        <v>0</v>
      </c>
    </row>
    <row r="226" spans="1:10">
      <c r="A226" s="15"/>
      <c r="B226" s="15"/>
      <c r="C226" s="15"/>
      <c r="D226" s="15"/>
      <c r="E226" s="15"/>
      <c r="F226" s="16"/>
      <c r="G226" s="15"/>
      <c r="H226" s="21">
        <f>IF($A226="","",COUNTIFS(AgPac,$A226,AgStatus,"Compareceu"))</f>
        <v>0</v>
      </c>
      <c r="I226" s="21">
        <f>IF($A226="","",COUNTIFS(AgPac,$A226,AgStatus,"Faltou"))</f>
        <v>0</v>
      </c>
      <c r="J226" s="22">
        <f>IF($A226="","",SUMPRODUCT(MAX((AgPac=$A226)*(AgStatus="Compareceu")*AgData)))</f>
        <v>0</v>
      </c>
    </row>
    <row r="227" spans="1:10">
      <c r="A227" s="15"/>
      <c r="B227" s="15"/>
      <c r="C227" s="15"/>
      <c r="D227" s="15"/>
      <c r="E227" s="15"/>
      <c r="F227" s="16"/>
      <c r="G227" s="15"/>
      <c r="H227" s="21">
        <f>IF($A227="","",COUNTIFS(AgPac,$A227,AgStatus,"Compareceu"))</f>
        <v>0</v>
      </c>
      <c r="I227" s="21">
        <f>IF($A227="","",COUNTIFS(AgPac,$A227,AgStatus,"Faltou"))</f>
        <v>0</v>
      </c>
      <c r="J227" s="22">
        <f>IF($A227="","",SUMPRODUCT(MAX((AgPac=$A227)*(AgStatus="Compareceu")*AgData)))</f>
        <v>0</v>
      </c>
    </row>
    <row r="228" spans="1:10">
      <c r="A228" s="15"/>
      <c r="B228" s="15"/>
      <c r="C228" s="15"/>
      <c r="D228" s="15"/>
      <c r="E228" s="15"/>
      <c r="F228" s="16"/>
      <c r="G228" s="15"/>
      <c r="H228" s="21">
        <f>IF($A228="","",COUNTIFS(AgPac,$A228,AgStatus,"Compareceu"))</f>
        <v>0</v>
      </c>
      <c r="I228" s="21">
        <f>IF($A228="","",COUNTIFS(AgPac,$A228,AgStatus,"Faltou"))</f>
        <v>0</v>
      </c>
      <c r="J228" s="22">
        <f>IF($A228="","",SUMPRODUCT(MAX((AgPac=$A228)*(AgStatus="Compareceu")*AgData)))</f>
        <v>0</v>
      </c>
    </row>
    <row r="229" spans="1:10">
      <c r="A229" s="15"/>
      <c r="B229" s="15"/>
      <c r="C229" s="15"/>
      <c r="D229" s="15"/>
      <c r="E229" s="15"/>
      <c r="F229" s="16"/>
      <c r="G229" s="15"/>
      <c r="H229" s="21">
        <f>IF($A229="","",COUNTIFS(AgPac,$A229,AgStatus,"Compareceu"))</f>
        <v>0</v>
      </c>
      <c r="I229" s="21">
        <f>IF($A229="","",COUNTIFS(AgPac,$A229,AgStatus,"Faltou"))</f>
        <v>0</v>
      </c>
      <c r="J229" s="22">
        <f>IF($A229="","",SUMPRODUCT(MAX((AgPac=$A229)*(AgStatus="Compareceu")*AgData)))</f>
        <v>0</v>
      </c>
    </row>
    <row r="230" spans="1:10">
      <c r="A230" s="15"/>
      <c r="B230" s="15"/>
      <c r="C230" s="15"/>
      <c r="D230" s="15"/>
      <c r="E230" s="15"/>
      <c r="F230" s="16"/>
      <c r="G230" s="15"/>
      <c r="H230" s="21">
        <f>IF($A230="","",COUNTIFS(AgPac,$A230,AgStatus,"Compareceu"))</f>
        <v>0</v>
      </c>
      <c r="I230" s="21">
        <f>IF($A230="","",COUNTIFS(AgPac,$A230,AgStatus,"Faltou"))</f>
        <v>0</v>
      </c>
      <c r="J230" s="22">
        <f>IF($A230="","",SUMPRODUCT(MAX((AgPac=$A230)*(AgStatus="Compareceu")*AgData)))</f>
        <v>0</v>
      </c>
    </row>
    <row r="231" spans="1:10">
      <c r="A231" s="15"/>
      <c r="B231" s="15"/>
      <c r="C231" s="15"/>
      <c r="D231" s="15"/>
      <c r="E231" s="15"/>
      <c r="F231" s="16"/>
      <c r="G231" s="15"/>
      <c r="H231" s="21">
        <f>IF($A231="","",COUNTIFS(AgPac,$A231,AgStatus,"Compareceu"))</f>
        <v>0</v>
      </c>
      <c r="I231" s="21">
        <f>IF($A231="","",COUNTIFS(AgPac,$A231,AgStatus,"Faltou"))</f>
        <v>0</v>
      </c>
      <c r="J231" s="22">
        <f>IF($A231="","",SUMPRODUCT(MAX((AgPac=$A231)*(AgStatus="Compareceu")*AgData)))</f>
        <v>0</v>
      </c>
    </row>
    <row r="232" spans="1:10">
      <c r="A232" s="15"/>
      <c r="B232" s="15"/>
      <c r="C232" s="15"/>
      <c r="D232" s="15"/>
      <c r="E232" s="15"/>
      <c r="F232" s="16"/>
      <c r="G232" s="15"/>
      <c r="H232" s="21">
        <f>IF($A232="","",COUNTIFS(AgPac,$A232,AgStatus,"Compareceu"))</f>
        <v>0</v>
      </c>
      <c r="I232" s="21">
        <f>IF($A232="","",COUNTIFS(AgPac,$A232,AgStatus,"Faltou"))</f>
        <v>0</v>
      </c>
      <c r="J232" s="22">
        <f>IF($A232="","",SUMPRODUCT(MAX((AgPac=$A232)*(AgStatus="Compareceu")*AgData)))</f>
        <v>0</v>
      </c>
    </row>
    <row r="233" spans="1:10">
      <c r="A233" s="15"/>
      <c r="B233" s="15"/>
      <c r="C233" s="15"/>
      <c r="D233" s="15"/>
      <c r="E233" s="15"/>
      <c r="F233" s="16"/>
      <c r="G233" s="15"/>
      <c r="H233" s="21">
        <f>IF($A233="","",COUNTIFS(AgPac,$A233,AgStatus,"Compareceu"))</f>
        <v>0</v>
      </c>
      <c r="I233" s="21">
        <f>IF($A233="","",COUNTIFS(AgPac,$A233,AgStatus,"Faltou"))</f>
        <v>0</v>
      </c>
      <c r="J233" s="22">
        <f>IF($A233="","",SUMPRODUCT(MAX((AgPac=$A233)*(AgStatus="Compareceu")*AgData)))</f>
        <v>0</v>
      </c>
    </row>
    <row r="234" spans="1:10">
      <c r="A234" s="15"/>
      <c r="B234" s="15"/>
      <c r="C234" s="15"/>
      <c r="D234" s="15"/>
      <c r="E234" s="15"/>
      <c r="F234" s="16"/>
      <c r="G234" s="15"/>
      <c r="H234" s="21">
        <f>IF($A234="","",COUNTIFS(AgPac,$A234,AgStatus,"Compareceu"))</f>
        <v>0</v>
      </c>
      <c r="I234" s="21">
        <f>IF($A234="","",COUNTIFS(AgPac,$A234,AgStatus,"Faltou"))</f>
        <v>0</v>
      </c>
      <c r="J234" s="22">
        <f>IF($A234="","",SUMPRODUCT(MAX((AgPac=$A234)*(AgStatus="Compareceu")*AgData)))</f>
        <v>0</v>
      </c>
    </row>
    <row r="235" spans="1:10">
      <c r="A235" s="15"/>
      <c r="B235" s="15"/>
      <c r="C235" s="15"/>
      <c r="D235" s="15"/>
      <c r="E235" s="15"/>
      <c r="F235" s="16"/>
      <c r="G235" s="15"/>
      <c r="H235" s="21">
        <f>IF($A235="","",COUNTIFS(AgPac,$A235,AgStatus,"Compareceu"))</f>
        <v>0</v>
      </c>
      <c r="I235" s="21">
        <f>IF($A235="","",COUNTIFS(AgPac,$A235,AgStatus,"Faltou"))</f>
        <v>0</v>
      </c>
      <c r="J235" s="22">
        <f>IF($A235="","",SUMPRODUCT(MAX((AgPac=$A235)*(AgStatus="Compareceu")*AgData)))</f>
        <v>0</v>
      </c>
    </row>
    <row r="236" spans="1:10">
      <c r="A236" s="15"/>
      <c r="B236" s="15"/>
      <c r="C236" s="15"/>
      <c r="D236" s="15"/>
      <c r="E236" s="15"/>
      <c r="F236" s="16"/>
      <c r="G236" s="15"/>
      <c r="H236" s="21">
        <f>IF($A236="","",COUNTIFS(AgPac,$A236,AgStatus,"Compareceu"))</f>
        <v>0</v>
      </c>
      <c r="I236" s="21">
        <f>IF($A236="","",COUNTIFS(AgPac,$A236,AgStatus,"Faltou"))</f>
        <v>0</v>
      </c>
      <c r="J236" s="22">
        <f>IF($A236="","",SUMPRODUCT(MAX((AgPac=$A236)*(AgStatus="Compareceu")*AgData)))</f>
        <v>0</v>
      </c>
    </row>
    <row r="237" spans="1:10">
      <c r="A237" s="15"/>
      <c r="B237" s="15"/>
      <c r="C237" s="15"/>
      <c r="D237" s="15"/>
      <c r="E237" s="15"/>
      <c r="F237" s="16"/>
      <c r="G237" s="15"/>
      <c r="H237" s="21">
        <f>IF($A237="","",COUNTIFS(AgPac,$A237,AgStatus,"Compareceu"))</f>
        <v>0</v>
      </c>
      <c r="I237" s="21">
        <f>IF($A237="","",COUNTIFS(AgPac,$A237,AgStatus,"Faltou"))</f>
        <v>0</v>
      </c>
      <c r="J237" s="22">
        <f>IF($A237="","",SUMPRODUCT(MAX((AgPac=$A237)*(AgStatus="Compareceu")*AgData)))</f>
        <v>0</v>
      </c>
    </row>
    <row r="238" spans="1:10">
      <c r="A238" s="15"/>
      <c r="B238" s="15"/>
      <c r="C238" s="15"/>
      <c r="D238" s="15"/>
      <c r="E238" s="15"/>
      <c r="F238" s="16"/>
      <c r="G238" s="15"/>
      <c r="H238" s="21">
        <f>IF($A238="","",COUNTIFS(AgPac,$A238,AgStatus,"Compareceu"))</f>
        <v>0</v>
      </c>
      <c r="I238" s="21">
        <f>IF($A238="","",COUNTIFS(AgPac,$A238,AgStatus,"Faltou"))</f>
        <v>0</v>
      </c>
      <c r="J238" s="22">
        <f>IF($A238="","",SUMPRODUCT(MAX((AgPac=$A238)*(AgStatus="Compareceu")*AgData)))</f>
        <v>0</v>
      </c>
    </row>
    <row r="239" spans="1:10">
      <c r="A239" s="15"/>
      <c r="B239" s="15"/>
      <c r="C239" s="15"/>
      <c r="D239" s="15"/>
      <c r="E239" s="15"/>
      <c r="F239" s="16"/>
      <c r="G239" s="15"/>
      <c r="H239" s="21">
        <f>IF($A239="","",COUNTIFS(AgPac,$A239,AgStatus,"Compareceu"))</f>
        <v>0</v>
      </c>
      <c r="I239" s="21">
        <f>IF($A239="","",COUNTIFS(AgPac,$A239,AgStatus,"Faltou"))</f>
        <v>0</v>
      </c>
      <c r="J239" s="22">
        <f>IF($A239="","",SUMPRODUCT(MAX((AgPac=$A239)*(AgStatus="Compareceu")*AgData)))</f>
        <v>0</v>
      </c>
    </row>
    <row r="240" spans="1:10">
      <c r="A240" s="15"/>
      <c r="B240" s="15"/>
      <c r="C240" s="15"/>
      <c r="D240" s="15"/>
      <c r="E240" s="15"/>
      <c r="F240" s="16"/>
      <c r="G240" s="15"/>
      <c r="H240" s="21">
        <f>IF($A240="","",COUNTIFS(AgPac,$A240,AgStatus,"Compareceu"))</f>
        <v>0</v>
      </c>
      <c r="I240" s="21">
        <f>IF($A240="","",COUNTIFS(AgPac,$A240,AgStatus,"Faltou"))</f>
        <v>0</v>
      </c>
      <c r="J240" s="22">
        <f>IF($A240="","",SUMPRODUCT(MAX((AgPac=$A240)*(AgStatus="Compareceu")*AgData)))</f>
        <v>0</v>
      </c>
    </row>
    <row r="241" spans="1:10">
      <c r="A241" s="15"/>
      <c r="B241" s="15"/>
      <c r="C241" s="15"/>
      <c r="D241" s="15"/>
      <c r="E241" s="15"/>
      <c r="F241" s="16"/>
      <c r="G241" s="15"/>
      <c r="H241" s="21">
        <f>IF($A241="","",COUNTIFS(AgPac,$A241,AgStatus,"Compareceu"))</f>
        <v>0</v>
      </c>
      <c r="I241" s="21">
        <f>IF($A241="","",COUNTIFS(AgPac,$A241,AgStatus,"Faltou"))</f>
        <v>0</v>
      </c>
      <c r="J241" s="22">
        <f>IF($A241="","",SUMPRODUCT(MAX((AgPac=$A241)*(AgStatus="Compareceu")*AgData)))</f>
        <v>0</v>
      </c>
    </row>
    <row r="242" spans="1:10">
      <c r="A242" s="15"/>
      <c r="B242" s="15"/>
      <c r="C242" s="15"/>
      <c r="D242" s="15"/>
      <c r="E242" s="15"/>
      <c r="F242" s="16"/>
      <c r="G242" s="15"/>
      <c r="H242" s="21">
        <f>IF($A242="","",COUNTIFS(AgPac,$A242,AgStatus,"Compareceu"))</f>
        <v>0</v>
      </c>
      <c r="I242" s="21">
        <f>IF($A242="","",COUNTIFS(AgPac,$A242,AgStatus,"Faltou"))</f>
        <v>0</v>
      </c>
      <c r="J242" s="22">
        <f>IF($A242="","",SUMPRODUCT(MAX((AgPac=$A242)*(AgStatus="Compareceu")*AgData)))</f>
        <v>0</v>
      </c>
    </row>
    <row r="243" spans="1:10">
      <c r="A243" s="15"/>
      <c r="B243" s="15"/>
      <c r="C243" s="15"/>
      <c r="D243" s="15"/>
      <c r="E243" s="15"/>
      <c r="F243" s="16"/>
      <c r="G243" s="15"/>
      <c r="H243" s="21">
        <f>IF($A243="","",COUNTIFS(AgPac,$A243,AgStatus,"Compareceu"))</f>
        <v>0</v>
      </c>
      <c r="I243" s="21">
        <f>IF($A243="","",COUNTIFS(AgPac,$A243,AgStatus,"Faltou"))</f>
        <v>0</v>
      </c>
      <c r="J243" s="22">
        <f>IF($A243="","",SUMPRODUCT(MAX((AgPac=$A243)*(AgStatus="Compareceu")*AgData)))</f>
        <v>0</v>
      </c>
    </row>
    <row r="244" spans="1:10">
      <c r="A244" s="15"/>
      <c r="B244" s="15"/>
      <c r="C244" s="15"/>
      <c r="D244" s="15"/>
      <c r="E244" s="15"/>
      <c r="F244" s="16"/>
      <c r="G244" s="15"/>
      <c r="H244" s="21">
        <f>IF($A244="","",COUNTIFS(AgPac,$A244,AgStatus,"Compareceu"))</f>
        <v>0</v>
      </c>
      <c r="I244" s="21">
        <f>IF($A244="","",COUNTIFS(AgPac,$A244,AgStatus,"Faltou"))</f>
        <v>0</v>
      </c>
      <c r="J244" s="22">
        <f>IF($A244="","",SUMPRODUCT(MAX((AgPac=$A244)*(AgStatus="Compareceu")*AgData)))</f>
        <v>0</v>
      </c>
    </row>
    <row r="245" spans="1:10">
      <c r="A245" s="15"/>
      <c r="B245" s="15"/>
      <c r="C245" s="15"/>
      <c r="D245" s="15"/>
      <c r="E245" s="15"/>
      <c r="F245" s="16"/>
      <c r="G245" s="15"/>
      <c r="H245" s="21">
        <f>IF($A245="","",COUNTIFS(AgPac,$A245,AgStatus,"Compareceu"))</f>
        <v>0</v>
      </c>
      <c r="I245" s="21">
        <f>IF($A245="","",COUNTIFS(AgPac,$A245,AgStatus,"Faltou"))</f>
        <v>0</v>
      </c>
      <c r="J245" s="22">
        <f>IF($A245="","",SUMPRODUCT(MAX((AgPac=$A245)*(AgStatus="Compareceu")*AgData)))</f>
        <v>0</v>
      </c>
    </row>
    <row r="246" spans="1:10">
      <c r="A246" s="15"/>
      <c r="B246" s="15"/>
      <c r="C246" s="15"/>
      <c r="D246" s="15"/>
      <c r="E246" s="15"/>
      <c r="F246" s="16"/>
      <c r="G246" s="15"/>
      <c r="H246" s="21">
        <f>IF($A246="","",COUNTIFS(AgPac,$A246,AgStatus,"Compareceu"))</f>
        <v>0</v>
      </c>
      <c r="I246" s="21">
        <f>IF($A246="","",COUNTIFS(AgPac,$A246,AgStatus,"Faltou"))</f>
        <v>0</v>
      </c>
      <c r="J246" s="22">
        <f>IF($A246="","",SUMPRODUCT(MAX((AgPac=$A246)*(AgStatus="Compareceu")*AgData)))</f>
        <v>0</v>
      </c>
    </row>
    <row r="247" spans="1:10">
      <c r="A247" s="15"/>
      <c r="B247" s="15"/>
      <c r="C247" s="15"/>
      <c r="D247" s="15"/>
      <c r="E247" s="15"/>
      <c r="F247" s="16"/>
      <c r="G247" s="15"/>
      <c r="H247" s="21">
        <f>IF($A247="","",COUNTIFS(AgPac,$A247,AgStatus,"Compareceu"))</f>
        <v>0</v>
      </c>
      <c r="I247" s="21">
        <f>IF($A247="","",COUNTIFS(AgPac,$A247,AgStatus,"Faltou"))</f>
        <v>0</v>
      </c>
      <c r="J247" s="22">
        <f>IF($A247="","",SUMPRODUCT(MAX((AgPac=$A247)*(AgStatus="Compareceu")*AgData)))</f>
        <v>0</v>
      </c>
    </row>
    <row r="248" spans="1:10">
      <c r="A248" s="15"/>
      <c r="B248" s="15"/>
      <c r="C248" s="15"/>
      <c r="D248" s="15"/>
      <c r="E248" s="15"/>
      <c r="F248" s="16"/>
      <c r="G248" s="15"/>
      <c r="H248" s="21">
        <f>IF($A248="","",COUNTIFS(AgPac,$A248,AgStatus,"Compareceu"))</f>
        <v>0</v>
      </c>
      <c r="I248" s="21">
        <f>IF($A248="","",COUNTIFS(AgPac,$A248,AgStatus,"Faltou"))</f>
        <v>0</v>
      </c>
      <c r="J248" s="22">
        <f>IF($A248="","",SUMPRODUCT(MAX((AgPac=$A248)*(AgStatus="Compareceu")*AgData)))</f>
        <v>0</v>
      </c>
    </row>
    <row r="249" spans="1:10">
      <c r="A249" s="15"/>
      <c r="B249" s="15"/>
      <c r="C249" s="15"/>
      <c r="D249" s="15"/>
      <c r="E249" s="15"/>
      <c r="F249" s="16"/>
      <c r="G249" s="15"/>
      <c r="H249" s="21">
        <f>IF($A249="","",COUNTIFS(AgPac,$A249,AgStatus,"Compareceu"))</f>
        <v>0</v>
      </c>
      <c r="I249" s="21">
        <f>IF($A249="","",COUNTIFS(AgPac,$A249,AgStatus,"Faltou"))</f>
        <v>0</v>
      </c>
      <c r="J249" s="22">
        <f>IF($A249="","",SUMPRODUCT(MAX((AgPac=$A249)*(AgStatus="Compareceu")*AgData)))</f>
        <v>0</v>
      </c>
    </row>
    <row r="250" spans="1:10">
      <c r="A250" s="15"/>
      <c r="B250" s="15"/>
      <c r="C250" s="15"/>
      <c r="D250" s="15"/>
      <c r="E250" s="15"/>
      <c r="F250" s="16"/>
      <c r="G250" s="15"/>
      <c r="H250" s="21">
        <f>IF($A250="","",COUNTIFS(AgPac,$A250,AgStatus,"Compareceu"))</f>
        <v>0</v>
      </c>
      <c r="I250" s="21">
        <f>IF($A250="","",COUNTIFS(AgPac,$A250,AgStatus,"Faltou"))</f>
        <v>0</v>
      </c>
      <c r="J250" s="22">
        <f>IF($A250="","",SUMPRODUCT(MAX((AgPac=$A250)*(AgStatus="Compareceu")*AgData)))</f>
        <v>0</v>
      </c>
    </row>
    <row r="251" spans="1:10">
      <c r="A251" s="15"/>
      <c r="B251" s="15"/>
      <c r="C251" s="15"/>
      <c r="D251" s="15"/>
      <c r="E251" s="15"/>
      <c r="F251" s="16"/>
      <c r="G251" s="15"/>
      <c r="H251" s="21">
        <f>IF($A251="","",COUNTIFS(AgPac,$A251,AgStatus,"Compareceu"))</f>
        <v>0</v>
      </c>
      <c r="I251" s="21">
        <f>IF($A251="","",COUNTIFS(AgPac,$A251,AgStatus,"Faltou"))</f>
        <v>0</v>
      </c>
      <c r="J251" s="22">
        <f>IF($A251="","",SUMPRODUCT(MAX((AgPac=$A251)*(AgStatus="Compareceu")*AgData)))</f>
        <v>0</v>
      </c>
    </row>
    <row r="252" spans="1:10">
      <c r="A252" s="15"/>
      <c r="B252" s="15"/>
      <c r="C252" s="15"/>
      <c r="D252" s="15"/>
      <c r="E252" s="15"/>
      <c r="F252" s="16"/>
      <c r="G252" s="15"/>
      <c r="H252" s="21">
        <f>IF($A252="","",COUNTIFS(AgPac,$A252,AgStatus,"Compareceu"))</f>
        <v>0</v>
      </c>
      <c r="I252" s="21">
        <f>IF($A252="","",COUNTIFS(AgPac,$A252,AgStatus,"Faltou"))</f>
        <v>0</v>
      </c>
      <c r="J252" s="22">
        <f>IF($A252="","",SUMPRODUCT(MAX((AgPac=$A252)*(AgStatus="Compareceu")*AgData)))</f>
        <v>0</v>
      </c>
    </row>
    <row r="253" spans="1:10">
      <c r="A253" s="15"/>
      <c r="B253" s="15"/>
      <c r="C253" s="15"/>
      <c r="D253" s="15"/>
      <c r="E253" s="15"/>
      <c r="F253" s="16"/>
      <c r="G253" s="15"/>
      <c r="H253" s="21">
        <f>IF($A253="","",COUNTIFS(AgPac,$A253,AgStatus,"Compareceu"))</f>
        <v>0</v>
      </c>
      <c r="I253" s="21">
        <f>IF($A253="","",COUNTIFS(AgPac,$A253,AgStatus,"Faltou"))</f>
        <v>0</v>
      </c>
      <c r="J253" s="22">
        <f>IF($A253="","",SUMPRODUCT(MAX((AgPac=$A253)*(AgStatus="Compareceu")*AgData)))</f>
        <v>0</v>
      </c>
    </row>
    <row r="254" spans="1:10">
      <c r="A254" s="15"/>
      <c r="B254" s="15"/>
      <c r="C254" s="15"/>
      <c r="D254" s="15"/>
      <c r="E254" s="15"/>
      <c r="F254" s="16"/>
      <c r="G254" s="15"/>
      <c r="H254" s="21">
        <f>IF($A254="","",COUNTIFS(AgPac,$A254,AgStatus,"Compareceu"))</f>
        <v>0</v>
      </c>
      <c r="I254" s="21">
        <f>IF($A254="","",COUNTIFS(AgPac,$A254,AgStatus,"Faltou"))</f>
        <v>0</v>
      </c>
      <c r="J254" s="22">
        <f>IF($A254="","",SUMPRODUCT(MAX((AgPac=$A254)*(AgStatus="Compareceu")*AgData)))</f>
        <v>0</v>
      </c>
    </row>
    <row r="255" spans="1:10">
      <c r="A255" s="15"/>
      <c r="B255" s="15"/>
      <c r="C255" s="15"/>
      <c r="D255" s="15"/>
      <c r="E255" s="15"/>
      <c r="F255" s="16"/>
      <c r="G255" s="15"/>
      <c r="H255" s="21">
        <f>IF($A255="","",COUNTIFS(AgPac,$A255,AgStatus,"Compareceu"))</f>
        <v>0</v>
      </c>
      <c r="I255" s="21">
        <f>IF($A255="","",COUNTIFS(AgPac,$A255,AgStatus,"Faltou"))</f>
        <v>0</v>
      </c>
      <c r="J255" s="22">
        <f>IF($A255="","",SUMPRODUCT(MAX((AgPac=$A255)*(AgStatus="Compareceu")*AgData)))</f>
        <v>0</v>
      </c>
    </row>
    <row r="256" spans="1:10">
      <c r="A256" s="15"/>
      <c r="B256" s="15"/>
      <c r="C256" s="15"/>
      <c r="D256" s="15"/>
      <c r="E256" s="15"/>
      <c r="F256" s="16"/>
      <c r="G256" s="15"/>
      <c r="H256" s="21">
        <f>IF($A256="","",COUNTIFS(AgPac,$A256,AgStatus,"Compareceu"))</f>
        <v>0</v>
      </c>
      <c r="I256" s="21">
        <f>IF($A256="","",COUNTIFS(AgPac,$A256,AgStatus,"Faltou"))</f>
        <v>0</v>
      </c>
      <c r="J256" s="22">
        <f>IF($A256="","",SUMPRODUCT(MAX((AgPac=$A256)*(AgStatus="Compareceu")*AgData)))</f>
        <v>0</v>
      </c>
    </row>
    <row r="257" spans="1:10">
      <c r="A257" s="15"/>
      <c r="B257" s="15"/>
      <c r="C257" s="15"/>
      <c r="D257" s="15"/>
      <c r="E257" s="15"/>
      <c r="F257" s="16"/>
      <c r="G257" s="15"/>
      <c r="H257" s="21">
        <f>IF($A257="","",COUNTIFS(AgPac,$A257,AgStatus,"Compareceu"))</f>
        <v>0</v>
      </c>
      <c r="I257" s="21">
        <f>IF($A257="","",COUNTIFS(AgPac,$A257,AgStatus,"Faltou"))</f>
        <v>0</v>
      </c>
      <c r="J257" s="22">
        <f>IF($A257="","",SUMPRODUCT(MAX((AgPac=$A257)*(AgStatus="Compareceu")*AgData)))</f>
        <v>0</v>
      </c>
    </row>
    <row r="258" spans="1:10">
      <c r="A258" s="15"/>
      <c r="B258" s="15"/>
      <c r="C258" s="15"/>
      <c r="D258" s="15"/>
      <c r="E258" s="15"/>
      <c r="F258" s="16"/>
      <c r="G258" s="15"/>
      <c r="H258" s="21">
        <f>IF($A258="","",COUNTIFS(AgPac,$A258,AgStatus,"Compareceu"))</f>
        <v>0</v>
      </c>
      <c r="I258" s="21">
        <f>IF($A258="","",COUNTIFS(AgPac,$A258,AgStatus,"Faltou"))</f>
        <v>0</v>
      </c>
      <c r="J258" s="22">
        <f>IF($A258="","",SUMPRODUCT(MAX((AgPac=$A258)*(AgStatus="Compareceu")*AgData)))</f>
        <v>0</v>
      </c>
    </row>
    <row r="259" spans="1:10">
      <c r="A259" s="15"/>
      <c r="B259" s="15"/>
      <c r="C259" s="15"/>
      <c r="D259" s="15"/>
      <c r="E259" s="15"/>
      <c r="F259" s="16"/>
      <c r="G259" s="15"/>
      <c r="H259" s="21">
        <f>IF($A259="","",COUNTIFS(AgPac,$A259,AgStatus,"Compareceu"))</f>
        <v>0</v>
      </c>
      <c r="I259" s="21">
        <f>IF($A259="","",COUNTIFS(AgPac,$A259,AgStatus,"Faltou"))</f>
        <v>0</v>
      </c>
      <c r="J259" s="22">
        <f>IF($A259="","",SUMPRODUCT(MAX((AgPac=$A259)*(AgStatus="Compareceu")*AgData)))</f>
        <v>0</v>
      </c>
    </row>
    <row r="260" spans="1:10">
      <c r="A260" s="15"/>
      <c r="B260" s="15"/>
      <c r="C260" s="15"/>
      <c r="D260" s="15"/>
      <c r="E260" s="15"/>
      <c r="F260" s="16"/>
      <c r="G260" s="15"/>
      <c r="H260" s="21">
        <f>IF($A260="","",COUNTIFS(AgPac,$A260,AgStatus,"Compareceu"))</f>
        <v>0</v>
      </c>
      <c r="I260" s="21">
        <f>IF($A260="","",COUNTIFS(AgPac,$A260,AgStatus,"Faltou"))</f>
        <v>0</v>
      </c>
      <c r="J260" s="22">
        <f>IF($A260="","",SUMPRODUCT(MAX((AgPac=$A260)*(AgStatus="Compareceu")*AgData)))</f>
        <v>0</v>
      </c>
    </row>
    <row r="261" spans="1:10">
      <c r="A261" s="15"/>
      <c r="B261" s="15"/>
      <c r="C261" s="15"/>
      <c r="D261" s="15"/>
      <c r="E261" s="15"/>
      <c r="F261" s="16"/>
      <c r="G261" s="15"/>
      <c r="H261" s="21">
        <f>IF($A261="","",COUNTIFS(AgPac,$A261,AgStatus,"Compareceu"))</f>
        <v>0</v>
      </c>
      <c r="I261" s="21">
        <f>IF($A261="","",COUNTIFS(AgPac,$A261,AgStatus,"Faltou"))</f>
        <v>0</v>
      </c>
      <c r="J261" s="22">
        <f>IF($A261="","",SUMPRODUCT(MAX((AgPac=$A261)*(AgStatus="Compareceu")*AgData)))</f>
        <v>0</v>
      </c>
    </row>
    <row r="262" spans="1:10">
      <c r="A262" s="15"/>
      <c r="B262" s="15"/>
      <c r="C262" s="15"/>
      <c r="D262" s="15"/>
      <c r="E262" s="15"/>
      <c r="F262" s="16"/>
      <c r="G262" s="15"/>
      <c r="H262" s="21">
        <f>IF($A262="","",COUNTIFS(AgPac,$A262,AgStatus,"Compareceu"))</f>
        <v>0</v>
      </c>
      <c r="I262" s="21">
        <f>IF($A262="","",COUNTIFS(AgPac,$A262,AgStatus,"Faltou"))</f>
        <v>0</v>
      </c>
      <c r="J262" s="22">
        <f>IF($A262="","",SUMPRODUCT(MAX((AgPac=$A262)*(AgStatus="Compareceu")*AgData)))</f>
        <v>0</v>
      </c>
    </row>
    <row r="263" spans="1:10">
      <c r="A263" s="15"/>
      <c r="B263" s="15"/>
      <c r="C263" s="15"/>
      <c r="D263" s="15"/>
      <c r="E263" s="15"/>
      <c r="F263" s="16"/>
      <c r="G263" s="15"/>
      <c r="H263" s="21">
        <f>IF($A263="","",COUNTIFS(AgPac,$A263,AgStatus,"Compareceu"))</f>
        <v>0</v>
      </c>
      <c r="I263" s="21">
        <f>IF($A263="","",COUNTIFS(AgPac,$A263,AgStatus,"Faltou"))</f>
        <v>0</v>
      </c>
      <c r="J263" s="22">
        <f>IF($A263="","",SUMPRODUCT(MAX((AgPac=$A263)*(AgStatus="Compareceu")*AgData)))</f>
        <v>0</v>
      </c>
    </row>
    <row r="264" spans="1:10">
      <c r="A264" s="15"/>
      <c r="B264" s="15"/>
      <c r="C264" s="15"/>
      <c r="D264" s="15"/>
      <c r="E264" s="15"/>
      <c r="F264" s="16"/>
      <c r="G264" s="15"/>
      <c r="H264" s="21">
        <f>IF($A264="","",COUNTIFS(AgPac,$A264,AgStatus,"Compareceu"))</f>
        <v>0</v>
      </c>
      <c r="I264" s="21">
        <f>IF($A264="","",COUNTIFS(AgPac,$A264,AgStatus,"Faltou"))</f>
        <v>0</v>
      </c>
      <c r="J264" s="22">
        <f>IF($A264="","",SUMPRODUCT(MAX((AgPac=$A264)*(AgStatus="Compareceu")*AgData)))</f>
        <v>0</v>
      </c>
    </row>
    <row r="265" spans="1:10">
      <c r="A265" s="15"/>
      <c r="B265" s="15"/>
      <c r="C265" s="15"/>
      <c r="D265" s="15"/>
      <c r="E265" s="15"/>
      <c r="F265" s="16"/>
      <c r="G265" s="15"/>
      <c r="H265" s="21">
        <f>IF($A265="","",COUNTIFS(AgPac,$A265,AgStatus,"Compareceu"))</f>
        <v>0</v>
      </c>
      <c r="I265" s="21">
        <f>IF($A265="","",COUNTIFS(AgPac,$A265,AgStatus,"Faltou"))</f>
        <v>0</v>
      </c>
      <c r="J265" s="22">
        <f>IF($A265="","",SUMPRODUCT(MAX((AgPac=$A265)*(AgStatus="Compareceu")*AgData)))</f>
        <v>0</v>
      </c>
    </row>
    <row r="266" spans="1:10">
      <c r="A266" s="15"/>
      <c r="B266" s="15"/>
      <c r="C266" s="15"/>
      <c r="D266" s="15"/>
      <c r="E266" s="15"/>
      <c r="F266" s="16"/>
      <c r="G266" s="15"/>
      <c r="H266" s="21">
        <f>IF($A266="","",COUNTIFS(AgPac,$A266,AgStatus,"Compareceu"))</f>
        <v>0</v>
      </c>
      <c r="I266" s="21">
        <f>IF($A266="","",COUNTIFS(AgPac,$A266,AgStatus,"Faltou"))</f>
        <v>0</v>
      </c>
      <c r="J266" s="22">
        <f>IF($A266="","",SUMPRODUCT(MAX((AgPac=$A266)*(AgStatus="Compareceu")*AgData)))</f>
        <v>0</v>
      </c>
    </row>
    <row r="267" spans="1:10">
      <c r="A267" s="15"/>
      <c r="B267" s="15"/>
      <c r="C267" s="15"/>
      <c r="D267" s="15"/>
      <c r="E267" s="15"/>
      <c r="F267" s="16"/>
      <c r="G267" s="15"/>
      <c r="H267" s="21">
        <f>IF($A267="","",COUNTIFS(AgPac,$A267,AgStatus,"Compareceu"))</f>
        <v>0</v>
      </c>
      <c r="I267" s="21">
        <f>IF($A267="","",COUNTIFS(AgPac,$A267,AgStatus,"Faltou"))</f>
        <v>0</v>
      </c>
      <c r="J267" s="22">
        <f>IF($A267="","",SUMPRODUCT(MAX((AgPac=$A267)*(AgStatus="Compareceu")*AgData)))</f>
        <v>0</v>
      </c>
    </row>
    <row r="268" spans="1:10">
      <c r="A268" s="15"/>
      <c r="B268" s="15"/>
      <c r="C268" s="15"/>
      <c r="D268" s="15"/>
      <c r="E268" s="15"/>
      <c r="F268" s="16"/>
      <c r="G268" s="15"/>
      <c r="H268" s="21">
        <f>IF($A268="","",COUNTIFS(AgPac,$A268,AgStatus,"Compareceu"))</f>
        <v>0</v>
      </c>
      <c r="I268" s="21">
        <f>IF($A268="","",COUNTIFS(AgPac,$A268,AgStatus,"Faltou"))</f>
        <v>0</v>
      </c>
      <c r="J268" s="22">
        <f>IF($A268="","",SUMPRODUCT(MAX((AgPac=$A268)*(AgStatus="Compareceu")*AgData)))</f>
        <v>0</v>
      </c>
    </row>
    <row r="269" spans="1:10">
      <c r="A269" s="15"/>
      <c r="B269" s="15"/>
      <c r="C269" s="15"/>
      <c r="D269" s="15"/>
      <c r="E269" s="15"/>
      <c r="F269" s="16"/>
      <c r="G269" s="15"/>
      <c r="H269" s="21">
        <f>IF($A269="","",COUNTIFS(AgPac,$A269,AgStatus,"Compareceu"))</f>
        <v>0</v>
      </c>
      <c r="I269" s="21">
        <f>IF($A269="","",COUNTIFS(AgPac,$A269,AgStatus,"Faltou"))</f>
        <v>0</v>
      </c>
      <c r="J269" s="22">
        <f>IF($A269="","",SUMPRODUCT(MAX((AgPac=$A269)*(AgStatus="Compareceu")*AgData)))</f>
        <v>0</v>
      </c>
    </row>
    <row r="270" spans="1:10">
      <c r="A270" s="15"/>
      <c r="B270" s="15"/>
      <c r="C270" s="15"/>
      <c r="D270" s="15"/>
      <c r="E270" s="15"/>
      <c r="F270" s="16"/>
      <c r="G270" s="15"/>
      <c r="H270" s="21">
        <f>IF($A270="","",COUNTIFS(AgPac,$A270,AgStatus,"Compareceu"))</f>
        <v>0</v>
      </c>
      <c r="I270" s="21">
        <f>IF($A270="","",COUNTIFS(AgPac,$A270,AgStatus,"Faltou"))</f>
        <v>0</v>
      </c>
      <c r="J270" s="22">
        <f>IF($A270="","",SUMPRODUCT(MAX((AgPac=$A270)*(AgStatus="Compareceu")*AgData)))</f>
        <v>0</v>
      </c>
    </row>
    <row r="271" spans="1:10">
      <c r="A271" s="15"/>
      <c r="B271" s="15"/>
      <c r="C271" s="15"/>
      <c r="D271" s="15"/>
      <c r="E271" s="15"/>
      <c r="F271" s="16"/>
      <c r="G271" s="15"/>
      <c r="H271" s="21">
        <f>IF($A271="","",COUNTIFS(AgPac,$A271,AgStatus,"Compareceu"))</f>
        <v>0</v>
      </c>
      <c r="I271" s="21">
        <f>IF($A271="","",COUNTIFS(AgPac,$A271,AgStatus,"Faltou"))</f>
        <v>0</v>
      </c>
      <c r="J271" s="22">
        <f>IF($A271="","",SUMPRODUCT(MAX((AgPac=$A271)*(AgStatus="Compareceu")*AgData)))</f>
        <v>0</v>
      </c>
    </row>
    <row r="272" spans="1:10">
      <c r="A272" s="15"/>
      <c r="B272" s="15"/>
      <c r="C272" s="15"/>
      <c r="D272" s="15"/>
      <c r="E272" s="15"/>
      <c r="F272" s="16"/>
      <c r="G272" s="15"/>
      <c r="H272" s="21">
        <f>IF($A272="","",COUNTIFS(AgPac,$A272,AgStatus,"Compareceu"))</f>
        <v>0</v>
      </c>
      <c r="I272" s="21">
        <f>IF($A272="","",COUNTIFS(AgPac,$A272,AgStatus,"Faltou"))</f>
        <v>0</v>
      </c>
      <c r="J272" s="22">
        <f>IF($A272="","",SUMPRODUCT(MAX((AgPac=$A272)*(AgStatus="Compareceu")*AgData)))</f>
        <v>0</v>
      </c>
    </row>
    <row r="273" spans="1:10">
      <c r="A273" s="15"/>
      <c r="B273" s="15"/>
      <c r="C273" s="15"/>
      <c r="D273" s="15"/>
      <c r="E273" s="15"/>
      <c r="F273" s="16"/>
      <c r="G273" s="15"/>
      <c r="H273" s="21">
        <f>IF($A273="","",COUNTIFS(AgPac,$A273,AgStatus,"Compareceu"))</f>
        <v>0</v>
      </c>
      <c r="I273" s="21">
        <f>IF($A273="","",COUNTIFS(AgPac,$A273,AgStatus,"Faltou"))</f>
        <v>0</v>
      </c>
      <c r="J273" s="22">
        <f>IF($A273="","",SUMPRODUCT(MAX((AgPac=$A273)*(AgStatus="Compareceu")*AgData)))</f>
        <v>0</v>
      </c>
    </row>
    <row r="274" spans="1:10">
      <c r="A274" s="15"/>
      <c r="B274" s="15"/>
      <c r="C274" s="15"/>
      <c r="D274" s="15"/>
      <c r="E274" s="15"/>
      <c r="F274" s="16"/>
      <c r="G274" s="15"/>
      <c r="H274" s="21">
        <f>IF($A274="","",COUNTIFS(AgPac,$A274,AgStatus,"Compareceu"))</f>
        <v>0</v>
      </c>
      <c r="I274" s="21">
        <f>IF($A274="","",COUNTIFS(AgPac,$A274,AgStatus,"Faltou"))</f>
        <v>0</v>
      </c>
      <c r="J274" s="22">
        <f>IF($A274="","",SUMPRODUCT(MAX((AgPac=$A274)*(AgStatus="Compareceu")*AgData)))</f>
        <v>0</v>
      </c>
    </row>
    <row r="275" spans="1:10">
      <c r="A275" s="15"/>
      <c r="B275" s="15"/>
      <c r="C275" s="15"/>
      <c r="D275" s="15"/>
      <c r="E275" s="15"/>
      <c r="F275" s="16"/>
      <c r="G275" s="15"/>
      <c r="H275" s="21">
        <f>IF($A275="","",COUNTIFS(AgPac,$A275,AgStatus,"Compareceu"))</f>
        <v>0</v>
      </c>
      <c r="I275" s="21">
        <f>IF($A275="","",COUNTIFS(AgPac,$A275,AgStatus,"Faltou"))</f>
        <v>0</v>
      </c>
      <c r="J275" s="22">
        <f>IF($A275="","",SUMPRODUCT(MAX((AgPac=$A275)*(AgStatus="Compareceu")*AgData)))</f>
        <v>0</v>
      </c>
    </row>
    <row r="276" spans="1:10">
      <c r="A276" s="15"/>
      <c r="B276" s="15"/>
      <c r="C276" s="15"/>
      <c r="D276" s="15"/>
      <c r="E276" s="15"/>
      <c r="F276" s="16"/>
      <c r="G276" s="15"/>
      <c r="H276" s="21">
        <f>IF($A276="","",COUNTIFS(AgPac,$A276,AgStatus,"Compareceu"))</f>
        <v>0</v>
      </c>
      <c r="I276" s="21">
        <f>IF($A276="","",COUNTIFS(AgPac,$A276,AgStatus,"Faltou"))</f>
        <v>0</v>
      </c>
      <c r="J276" s="22">
        <f>IF($A276="","",SUMPRODUCT(MAX((AgPac=$A276)*(AgStatus="Compareceu")*AgData)))</f>
        <v>0</v>
      </c>
    </row>
    <row r="277" spans="1:10">
      <c r="A277" s="15"/>
      <c r="B277" s="15"/>
      <c r="C277" s="15"/>
      <c r="D277" s="15"/>
      <c r="E277" s="15"/>
      <c r="F277" s="16"/>
      <c r="G277" s="15"/>
      <c r="H277" s="21">
        <f>IF($A277="","",COUNTIFS(AgPac,$A277,AgStatus,"Compareceu"))</f>
        <v>0</v>
      </c>
      <c r="I277" s="21">
        <f>IF($A277="","",COUNTIFS(AgPac,$A277,AgStatus,"Faltou"))</f>
        <v>0</v>
      </c>
      <c r="J277" s="22">
        <f>IF($A277="","",SUMPRODUCT(MAX((AgPac=$A277)*(AgStatus="Compareceu")*AgData)))</f>
        <v>0</v>
      </c>
    </row>
    <row r="278" spans="1:10">
      <c r="A278" s="15"/>
      <c r="B278" s="15"/>
      <c r="C278" s="15"/>
      <c r="D278" s="15"/>
      <c r="E278" s="15"/>
      <c r="F278" s="16"/>
      <c r="G278" s="15"/>
      <c r="H278" s="21">
        <f>IF($A278="","",COUNTIFS(AgPac,$A278,AgStatus,"Compareceu"))</f>
        <v>0</v>
      </c>
      <c r="I278" s="21">
        <f>IF($A278="","",COUNTIFS(AgPac,$A278,AgStatus,"Faltou"))</f>
        <v>0</v>
      </c>
      <c r="J278" s="22">
        <f>IF($A278="","",SUMPRODUCT(MAX((AgPac=$A278)*(AgStatus="Compareceu")*AgData)))</f>
        <v>0</v>
      </c>
    </row>
    <row r="279" spans="1:10">
      <c r="A279" s="15"/>
      <c r="B279" s="15"/>
      <c r="C279" s="15"/>
      <c r="D279" s="15"/>
      <c r="E279" s="15"/>
      <c r="F279" s="16"/>
      <c r="G279" s="15"/>
      <c r="H279" s="21">
        <f>IF($A279="","",COUNTIFS(AgPac,$A279,AgStatus,"Compareceu"))</f>
        <v>0</v>
      </c>
      <c r="I279" s="21">
        <f>IF($A279="","",COUNTIFS(AgPac,$A279,AgStatus,"Faltou"))</f>
        <v>0</v>
      </c>
      <c r="J279" s="22">
        <f>IF($A279="","",SUMPRODUCT(MAX((AgPac=$A279)*(AgStatus="Compareceu")*AgData)))</f>
        <v>0</v>
      </c>
    </row>
    <row r="280" spans="1:10">
      <c r="A280" s="15"/>
      <c r="B280" s="15"/>
      <c r="C280" s="15"/>
      <c r="D280" s="15"/>
      <c r="E280" s="15"/>
      <c r="F280" s="16"/>
      <c r="G280" s="15"/>
      <c r="H280" s="21">
        <f>IF($A280="","",COUNTIFS(AgPac,$A280,AgStatus,"Compareceu"))</f>
        <v>0</v>
      </c>
      <c r="I280" s="21">
        <f>IF($A280="","",COUNTIFS(AgPac,$A280,AgStatus,"Faltou"))</f>
        <v>0</v>
      </c>
      <c r="J280" s="22">
        <f>IF($A280="","",SUMPRODUCT(MAX((AgPac=$A280)*(AgStatus="Compareceu")*AgData)))</f>
        <v>0</v>
      </c>
    </row>
    <row r="281" spans="1:10">
      <c r="A281" s="15"/>
      <c r="B281" s="15"/>
      <c r="C281" s="15"/>
      <c r="D281" s="15"/>
      <c r="E281" s="15"/>
      <c r="F281" s="16"/>
      <c r="G281" s="15"/>
      <c r="H281" s="21">
        <f>IF($A281="","",COUNTIFS(AgPac,$A281,AgStatus,"Compareceu"))</f>
        <v>0</v>
      </c>
      <c r="I281" s="21">
        <f>IF($A281="","",COUNTIFS(AgPac,$A281,AgStatus,"Faltou"))</f>
        <v>0</v>
      </c>
      <c r="J281" s="22">
        <f>IF($A281="","",SUMPRODUCT(MAX((AgPac=$A281)*(AgStatus="Compareceu")*AgData)))</f>
        <v>0</v>
      </c>
    </row>
    <row r="282" spans="1:10">
      <c r="A282" s="15"/>
      <c r="B282" s="15"/>
      <c r="C282" s="15"/>
      <c r="D282" s="15"/>
      <c r="E282" s="15"/>
      <c r="F282" s="16"/>
      <c r="G282" s="15"/>
      <c r="H282" s="21">
        <f>IF($A282="","",COUNTIFS(AgPac,$A282,AgStatus,"Compareceu"))</f>
        <v>0</v>
      </c>
      <c r="I282" s="21">
        <f>IF($A282="","",COUNTIFS(AgPac,$A282,AgStatus,"Faltou"))</f>
        <v>0</v>
      </c>
      <c r="J282" s="22">
        <f>IF($A282="","",SUMPRODUCT(MAX((AgPac=$A282)*(AgStatus="Compareceu")*AgData)))</f>
        <v>0</v>
      </c>
    </row>
    <row r="283" spans="1:10">
      <c r="A283" s="15"/>
      <c r="B283" s="15"/>
      <c r="C283" s="15"/>
      <c r="D283" s="15"/>
      <c r="E283" s="15"/>
      <c r="F283" s="16"/>
      <c r="G283" s="15"/>
      <c r="H283" s="21">
        <f>IF($A283="","",COUNTIFS(AgPac,$A283,AgStatus,"Compareceu"))</f>
        <v>0</v>
      </c>
      <c r="I283" s="21">
        <f>IF($A283="","",COUNTIFS(AgPac,$A283,AgStatus,"Faltou"))</f>
        <v>0</v>
      </c>
      <c r="J283" s="22">
        <f>IF($A283="","",SUMPRODUCT(MAX((AgPac=$A283)*(AgStatus="Compareceu")*AgData)))</f>
        <v>0</v>
      </c>
    </row>
    <row r="284" spans="1:10">
      <c r="A284" s="15"/>
      <c r="B284" s="15"/>
      <c r="C284" s="15"/>
      <c r="D284" s="15"/>
      <c r="E284" s="15"/>
      <c r="F284" s="16"/>
      <c r="G284" s="15"/>
      <c r="H284" s="21">
        <f>IF($A284="","",COUNTIFS(AgPac,$A284,AgStatus,"Compareceu"))</f>
        <v>0</v>
      </c>
      <c r="I284" s="21">
        <f>IF($A284="","",COUNTIFS(AgPac,$A284,AgStatus,"Faltou"))</f>
        <v>0</v>
      </c>
      <c r="J284" s="22">
        <f>IF($A284="","",SUMPRODUCT(MAX((AgPac=$A284)*(AgStatus="Compareceu")*AgData)))</f>
        <v>0</v>
      </c>
    </row>
    <row r="285" spans="1:10">
      <c r="A285" s="15"/>
      <c r="B285" s="15"/>
      <c r="C285" s="15"/>
      <c r="D285" s="15"/>
      <c r="E285" s="15"/>
      <c r="F285" s="16"/>
      <c r="G285" s="15"/>
      <c r="H285" s="21">
        <f>IF($A285="","",COUNTIFS(AgPac,$A285,AgStatus,"Compareceu"))</f>
        <v>0</v>
      </c>
      <c r="I285" s="21">
        <f>IF($A285="","",COUNTIFS(AgPac,$A285,AgStatus,"Faltou"))</f>
        <v>0</v>
      </c>
      <c r="J285" s="22">
        <f>IF($A285="","",SUMPRODUCT(MAX((AgPac=$A285)*(AgStatus="Compareceu")*AgData)))</f>
        <v>0</v>
      </c>
    </row>
    <row r="286" spans="1:10">
      <c r="A286" s="15"/>
      <c r="B286" s="15"/>
      <c r="C286" s="15"/>
      <c r="D286" s="15"/>
      <c r="E286" s="15"/>
      <c r="F286" s="16"/>
      <c r="G286" s="15"/>
      <c r="H286" s="21">
        <f>IF($A286="","",COUNTIFS(AgPac,$A286,AgStatus,"Compareceu"))</f>
        <v>0</v>
      </c>
      <c r="I286" s="21">
        <f>IF($A286="","",COUNTIFS(AgPac,$A286,AgStatus,"Faltou"))</f>
        <v>0</v>
      </c>
      <c r="J286" s="22">
        <f>IF($A286="","",SUMPRODUCT(MAX((AgPac=$A286)*(AgStatus="Compareceu")*AgData)))</f>
        <v>0</v>
      </c>
    </row>
    <row r="287" spans="1:10">
      <c r="A287" s="15"/>
      <c r="B287" s="15"/>
      <c r="C287" s="15"/>
      <c r="D287" s="15"/>
      <c r="E287" s="15"/>
      <c r="F287" s="16"/>
      <c r="G287" s="15"/>
      <c r="H287" s="21">
        <f>IF($A287="","",COUNTIFS(AgPac,$A287,AgStatus,"Compareceu"))</f>
        <v>0</v>
      </c>
      <c r="I287" s="21">
        <f>IF($A287="","",COUNTIFS(AgPac,$A287,AgStatus,"Faltou"))</f>
        <v>0</v>
      </c>
      <c r="J287" s="22">
        <f>IF($A287="","",SUMPRODUCT(MAX((AgPac=$A287)*(AgStatus="Compareceu")*AgData)))</f>
        <v>0</v>
      </c>
    </row>
    <row r="288" spans="1:10">
      <c r="A288" s="15"/>
      <c r="B288" s="15"/>
      <c r="C288" s="15"/>
      <c r="D288" s="15"/>
      <c r="E288" s="15"/>
      <c r="F288" s="16"/>
      <c r="G288" s="15"/>
      <c r="H288" s="21">
        <f>IF($A288="","",COUNTIFS(AgPac,$A288,AgStatus,"Compareceu"))</f>
        <v>0</v>
      </c>
      <c r="I288" s="21">
        <f>IF($A288="","",COUNTIFS(AgPac,$A288,AgStatus,"Faltou"))</f>
        <v>0</v>
      </c>
      <c r="J288" s="22">
        <f>IF($A288="","",SUMPRODUCT(MAX((AgPac=$A288)*(AgStatus="Compareceu")*AgData)))</f>
        <v>0</v>
      </c>
    </row>
    <row r="289" spans="1:10">
      <c r="A289" s="15"/>
      <c r="B289" s="15"/>
      <c r="C289" s="15"/>
      <c r="D289" s="15"/>
      <c r="E289" s="15"/>
      <c r="F289" s="16"/>
      <c r="G289" s="15"/>
      <c r="H289" s="21">
        <f>IF($A289="","",COUNTIFS(AgPac,$A289,AgStatus,"Compareceu"))</f>
        <v>0</v>
      </c>
      <c r="I289" s="21">
        <f>IF($A289="","",COUNTIFS(AgPac,$A289,AgStatus,"Faltou"))</f>
        <v>0</v>
      </c>
      <c r="J289" s="22">
        <f>IF($A289="","",SUMPRODUCT(MAX((AgPac=$A289)*(AgStatus="Compareceu")*AgData)))</f>
        <v>0</v>
      </c>
    </row>
    <row r="290" spans="1:10">
      <c r="A290" s="15"/>
      <c r="B290" s="15"/>
      <c r="C290" s="15"/>
      <c r="D290" s="15"/>
      <c r="E290" s="15"/>
      <c r="F290" s="16"/>
      <c r="G290" s="15"/>
      <c r="H290" s="21">
        <f>IF($A290="","",COUNTIFS(AgPac,$A290,AgStatus,"Compareceu"))</f>
        <v>0</v>
      </c>
      <c r="I290" s="21">
        <f>IF($A290="","",COUNTIFS(AgPac,$A290,AgStatus,"Faltou"))</f>
        <v>0</v>
      </c>
      <c r="J290" s="22">
        <f>IF($A290="","",SUMPRODUCT(MAX((AgPac=$A290)*(AgStatus="Compareceu")*AgData)))</f>
        <v>0</v>
      </c>
    </row>
    <row r="291" spans="1:10">
      <c r="A291" s="15"/>
      <c r="B291" s="15"/>
      <c r="C291" s="15"/>
      <c r="D291" s="15"/>
      <c r="E291" s="15"/>
      <c r="F291" s="16"/>
      <c r="G291" s="15"/>
      <c r="H291" s="21">
        <f>IF($A291="","",COUNTIFS(AgPac,$A291,AgStatus,"Compareceu"))</f>
        <v>0</v>
      </c>
      <c r="I291" s="21">
        <f>IF($A291="","",COUNTIFS(AgPac,$A291,AgStatus,"Faltou"))</f>
        <v>0</v>
      </c>
      <c r="J291" s="22">
        <f>IF($A291="","",SUMPRODUCT(MAX((AgPac=$A291)*(AgStatus="Compareceu")*AgData)))</f>
        <v>0</v>
      </c>
    </row>
    <row r="292" spans="1:10">
      <c r="A292" s="15"/>
      <c r="B292" s="15"/>
      <c r="C292" s="15"/>
      <c r="D292" s="15"/>
      <c r="E292" s="15"/>
      <c r="F292" s="16"/>
      <c r="G292" s="15"/>
      <c r="H292" s="21">
        <f>IF($A292="","",COUNTIFS(AgPac,$A292,AgStatus,"Compareceu"))</f>
        <v>0</v>
      </c>
      <c r="I292" s="21">
        <f>IF($A292="","",COUNTIFS(AgPac,$A292,AgStatus,"Faltou"))</f>
        <v>0</v>
      </c>
      <c r="J292" s="22">
        <f>IF($A292="","",SUMPRODUCT(MAX((AgPac=$A292)*(AgStatus="Compareceu")*AgData)))</f>
        <v>0</v>
      </c>
    </row>
    <row r="293" spans="1:10">
      <c r="A293" s="15"/>
      <c r="B293" s="15"/>
      <c r="C293" s="15"/>
      <c r="D293" s="15"/>
      <c r="E293" s="15"/>
      <c r="F293" s="16"/>
      <c r="G293" s="15"/>
      <c r="H293" s="21">
        <f>IF($A293="","",COUNTIFS(AgPac,$A293,AgStatus,"Compareceu"))</f>
        <v>0</v>
      </c>
      <c r="I293" s="21">
        <f>IF($A293="","",COUNTIFS(AgPac,$A293,AgStatus,"Faltou"))</f>
        <v>0</v>
      </c>
      <c r="J293" s="22">
        <f>IF($A293="","",SUMPRODUCT(MAX((AgPac=$A293)*(AgStatus="Compareceu")*AgData)))</f>
        <v>0</v>
      </c>
    </row>
    <row r="294" spans="1:10">
      <c r="A294" s="15"/>
      <c r="B294" s="15"/>
      <c r="C294" s="15"/>
      <c r="D294" s="15"/>
      <c r="E294" s="15"/>
      <c r="F294" s="16"/>
      <c r="G294" s="15"/>
      <c r="H294" s="21">
        <f>IF($A294="","",COUNTIFS(AgPac,$A294,AgStatus,"Compareceu"))</f>
        <v>0</v>
      </c>
      <c r="I294" s="21">
        <f>IF($A294="","",COUNTIFS(AgPac,$A294,AgStatus,"Faltou"))</f>
        <v>0</v>
      </c>
      <c r="J294" s="22">
        <f>IF($A294="","",SUMPRODUCT(MAX((AgPac=$A294)*(AgStatus="Compareceu")*AgData)))</f>
        <v>0</v>
      </c>
    </row>
    <row r="295" spans="1:10">
      <c r="A295" s="15"/>
      <c r="B295" s="15"/>
      <c r="C295" s="15"/>
      <c r="D295" s="15"/>
      <c r="E295" s="15"/>
      <c r="F295" s="16"/>
      <c r="G295" s="15"/>
      <c r="H295" s="21">
        <f>IF($A295="","",COUNTIFS(AgPac,$A295,AgStatus,"Compareceu"))</f>
        <v>0</v>
      </c>
      <c r="I295" s="21">
        <f>IF($A295="","",COUNTIFS(AgPac,$A295,AgStatus,"Faltou"))</f>
        <v>0</v>
      </c>
      <c r="J295" s="22">
        <f>IF($A295="","",SUMPRODUCT(MAX((AgPac=$A295)*(AgStatus="Compareceu")*AgData)))</f>
        <v>0</v>
      </c>
    </row>
    <row r="296" spans="1:10">
      <c r="A296" s="15"/>
      <c r="B296" s="15"/>
      <c r="C296" s="15"/>
      <c r="D296" s="15"/>
      <c r="E296" s="15"/>
      <c r="F296" s="16"/>
      <c r="G296" s="15"/>
      <c r="H296" s="21">
        <f>IF($A296="","",COUNTIFS(AgPac,$A296,AgStatus,"Compareceu"))</f>
        <v>0</v>
      </c>
      <c r="I296" s="21">
        <f>IF($A296="","",COUNTIFS(AgPac,$A296,AgStatus,"Faltou"))</f>
        <v>0</v>
      </c>
      <c r="J296" s="22">
        <f>IF($A296="","",SUMPRODUCT(MAX((AgPac=$A296)*(AgStatus="Compareceu")*AgData)))</f>
        <v>0</v>
      </c>
    </row>
    <row r="297" spans="1:10">
      <c r="A297" s="15"/>
      <c r="B297" s="15"/>
      <c r="C297" s="15"/>
      <c r="D297" s="15"/>
      <c r="E297" s="15"/>
      <c r="F297" s="16"/>
      <c r="G297" s="15"/>
      <c r="H297" s="21">
        <f>IF($A297="","",COUNTIFS(AgPac,$A297,AgStatus,"Compareceu"))</f>
        <v>0</v>
      </c>
      <c r="I297" s="21">
        <f>IF($A297="","",COUNTIFS(AgPac,$A297,AgStatus,"Faltou"))</f>
        <v>0</v>
      </c>
      <c r="J297" s="22">
        <f>IF($A297="","",SUMPRODUCT(MAX((AgPac=$A297)*(AgStatus="Compareceu")*AgData)))</f>
        <v>0</v>
      </c>
    </row>
    <row r="298" spans="1:10">
      <c r="A298" s="15"/>
      <c r="B298" s="15"/>
      <c r="C298" s="15"/>
      <c r="D298" s="15"/>
      <c r="E298" s="15"/>
      <c r="F298" s="16"/>
      <c r="G298" s="15"/>
      <c r="H298" s="21">
        <f>IF($A298="","",COUNTIFS(AgPac,$A298,AgStatus,"Compareceu"))</f>
        <v>0</v>
      </c>
      <c r="I298" s="21">
        <f>IF($A298="","",COUNTIFS(AgPac,$A298,AgStatus,"Faltou"))</f>
        <v>0</v>
      </c>
      <c r="J298" s="22">
        <f>IF($A298="","",SUMPRODUCT(MAX((AgPac=$A298)*(AgStatus="Compareceu")*AgData)))</f>
        <v>0</v>
      </c>
    </row>
    <row r="299" spans="1:10">
      <c r="A299" s="15"/>
      <c r="B299" s="15"/>
      <c r="C299" s="15"/>
      <c r="D299" s="15"/>
      <c r="E299" s="15"/>
      <c r="F299" s="16"/>
      <c r="G299" s="15"/>
      <c r="H299" s="21">
        <f>IF($A299="","",COUNTIFS(AgPac,$A299,AgStatus,"Compareceu"))</f>
        <v>0</v>
      </c>
      <c r="I299" s="21">
        <f>IF($A299="","",COUNTIFS(AgPac,$A299,AgStatus,"Faltou"))</f>
        <v>0</v>
      </c>
      <c r="J299" s="22">
        <f>IF($A299="","",SUMPRODUCT(MAX((AgPac=$A299)*(AgStatus="Compareceu")*AgData)))</f>
        <v>0</v>
      </c>
    </row>
    <row r="300" spans="1:10">
      <c r="A300" s="15"/>
      <c r="B300" s="15"/>
      <c r="C300" s="15"/>
      <c r="D300" s="15"/>
      <c r="E300" s="15"/>
      <c r="F300" s="16"/>
      <c r="G300" s="15"/>
      <c r="H300" s="21">
        <f>IF($A300="","",COUNTIFS(AgPac,$A300,AgStatus,"Compareceu"))</f>
        <v>0</v>
      </c>
      <c r="I300" s="21">
        <f>IF($A300="","",COUNTIFS(AgPac,$A300,AgStatus,"Faltou"))</f>
        <v>0</v>
      </c>
      <c r="J300" s="22">
        <f>IF($A300="","",SUMPRODUCT(MAX((AgPac=$A300)*(AgStatus="Compareceu")*AgData)))</f>
        <v>0</v>
      </c>
    </row>
    <row r="301" spans="1:10">
      <c r="A301" s="15"/>
      <c r="B301" s="15"/>
      <c r="C301" s="15"/>
      <c r="D301" s="15"/>
      <c r="E301" s="15"/>
      <c r="F301" s="16"/>
      <c r="G301" s="15"/>
      <c r="H301" s="21">
        <f>IF($A301="","",COUNTIFS(AgPac,$A301,AgStatus,"Compareceu"))</f>
        <v>0</v>
      </c>
      <c r="I301" s="21">
        <f>IF($A301="","",COUNTIFS(AgPac,$A301,AgStatus,"Faltou"))</f>
        <v>0</v>
      </c>
      <c r="J301" s="22">
        <f>IF($A301="","",SUMPRODUCT(MAX((AgPac=$A301)*(AgStatus="Compareceu")*AgData)))</f>
        <v>0</v>
      </c>
    </row>
    <row r="302" spans="1:10">
      <c r="A302" s="15"/>
      <c r="B302" s="15"/>
      <c r="C302" s="15"/>
      <c r="D302" s="15"/>
      <c r="E302" s="15"/>
      <c r="F302" s="16"/>
      <c r="G302" s="15"/>
      <c r="H302" s="21">
        <f>IF($A302="","",COUNTIFS(AgPac,$A302,AgStatus,"Compareceu"))</f>
        <v>0</v>
      </c>
      <c r="I302" s="21">
        <f>IF($A302="","",COUNTIFS(AgPac,$A302,AgStatus,"Faltou"))</f>
        <v>0</v>
      </c>
      <c r="J302" s="22">
        <f>IF($A302="","",SUMPRODUCT(MAX((AgPac=$A302)*(AgStatus="Compareceu")*AgData)))</f>
        <v>0</v>
      </c>
    </row>
    <row r="303" spans="1:10">
      <c r="A303" s="15"/>
      <c r="B303" s="15"/>
      <c r="C303" s="15"/>
      <c r="D303" s="15"/>
      <c r="E303" s="15"/>
      <c r="F303" s="16"/>
      <c r="G303" s="15"/>
      <c r="H303" s="21">
        <f>IF($A303="","",COUNTIFS(AgPac,$A303,AgStatus,"Compareceu"))</f>
        <v>0</v>
      </c>
      <c r="I303" s="21">
        <f>IF($A303="","",COUNTIFS(AgPac,$A303,AgStatus,"Faltou"))</f>
        <v>0</v>
      </c>
      <c r="J303" s="22">
        <f>IF($A303="","",SUMPRODUCT(MAX((AgPac=$A303)*(AgStatus="Compareceu")*AgData)))</f>
        <v>0</v>
      </c>
    </row>
    <row r="304" spans="1:10">
      <c r="A304" s="15"/>
      <c r="B304" s="15"/>
      <c r="C304" s="15"/>
      <c r="D304" s="15"/>
      <c r="E304" s="15"/>
      <c r="F304" s="16"/>
      <c r="G304" s="15"/>
      <c r="H304" s="21">
        <f>IF($A304="","",COUNTIFS(AgPac,$A304,AgStatus,"Compareceu"))</f>
        <v>0</v>
      </c>
      <c r="I304" s="21">
        <f>IF($A304="","",COUNTIFS(AgPac,$A304,AgStatus,"Faltou"))</f>
        <v>0</v>
      </c>
      <c r="J304" s="22">
        <f>IF($A304="","",SUMPRODUCT(MAX((AgPac=$A304)*(AgStatus="Compareceu")*AgData)))</f>
        <v>0</v>
      </c>
    </row>
    <row r="305" spans="1:10">
      <c r="A305" s="15"/>
      <c r="B305" s="15"/>
      <c r="C305" s="15"/>
      <c r="D305" s="15"/>
      <c r="E305" s="15"/>
      <c r="F305" s="16"/>
      <c r="G305" s="15"/>
      <c r="H305" s="21">
        <f>IF($A305="","",COUNTIFS(AgPac,$A305,AgStatus,"Compareceu"))</f>
        <v>0</v>
      </c>
      <c r="I305" s="21">
        <f>IF($A305="","",COUNTIFS(AgPac,$A305,AgStatus,"Faltou"))</f>
        <v>0</v>
      </c>
      <c r="J305" s="22">
        <f>IF($A305="","",SUMPRODUCT(MAX((AgPac=$A305)*(AgStatus="Compareceu")*AgData)))</f>
        <v>0</v>
      </c>
    </row>
    <row r="306" spans="1:10">
      <c r="A306" s="15"/>
      <c r="B306" s="15"/>
      <c r="C306" s="15"/>
      <c r="D306" s="15"/>
      <c r="E306" s="15"/>
      <c r="F306" s="16"/>
      <c r="G306" s="15"/>
      <c r="H306" s="21">
        <f>IF($A306="","",COUNTIFS(AgPac,$A306,AgStatus,"Compareceu"))</f>
        <v>0</v>
      </c>
      <c r="I306" s="21">
        <f>IF($A306="","",COUNTIFS(AgPac,$A306,AgStatus,"Faltou"))</f>
        <v>0</v>
      </c>
      <c r="J306" s="22">
        <f>IF($A306="","",SUMPRODUCT(MAX((AgPac=$A306)*(AgStatus="Compareceu")*AgData)))</f>
        <v>0</v>
      </c>
    </row>
    <row r="307" spans="1:10">
      <c r="A307" s="15"/>
      <c r="B307" s="15"/>
      <c r="C307" s="15"/>
      <c r="D307" s="15"/>
      <c r="E307" s="15"/>
      <c r="F307" s="16"/>
      <c r="G307" s="15"/>
      <c r="H307" s="21">
        <f>IF($A307="","",COUNTIFS(AgPac,$A307,AgStatus,"Compareceu"))</f>
        <v>0</v>
      </c>
      <c r="I307" s="21">
        <f>IF($A307="","",COUNTIFS(AgPac,$A307,AgStatus,"Faltou"))</f>
        <v>0</v>
      </c>
      <c r="J307" s="22">
        <f>IF($A307="","",SUMPRODUCT(MAX((AgPac=$A307)*(AgStatus="Compareceu")*AgData)))</f>
        <v>0</v>
      </c>
    </row>
    <row r="308" spans="1:10">
      <c r="A308" s="15"/>
      <c r="B308" s="15"/>
      <c r="C308" s="15"/>
      <c r="D308" s="15"/>
      <c r="E308" s="15"/>
      <c r="F308" s="16"/>
      <c r="G308" s="15"/>
      <c r="H308" s="21">
        <f>IF($A308="","",COUNTIFS(AgPac,$A308,AgStatus,"Compareceu"))</f>
        <v>0</v>
      </c>
      <c r="I308" s="21">
        <f>IF($A308="","",COUNTIFS(AgPac,$A308,AgStatus,"Faltou"))</f>
        <v>0</v>
      </c>
      <c r="J308" s="22">
        <f>IF($A308="","",SUMPRODUCT(MAX((AgPac=$A308)*(AgStatus="Compareceu")*AgData)))</f>
        <v>0</v>
      </c>
    </row>
    <row r="309" spans="1:10">
      <c r="A309" s="15"/>
      <c r="B309" s="15"/>
      <c r="C309" s="15"/>
      <c r="D309" s="15"/>
      <c r="E309" s="15"/>
      <c r="F309" s="16"/>
      <c r="G309" s="15"/>
      <c r="H309" s="21">
        <f>IF($A309="","",COUNTIFS(AgPac,$A309,AgStatus,"Compareceu"))</f>
        <v>0</v>
      </c>
      <c r="I309" s="21">
        <f>IF($A309="","",COUNTIFS(AgPac,$A309,AgStatus,"Faltou"))</f>
        <v>0</v>
      </c>
      <c r="J309" s="22">
        <f>IF($A309="","",SUMPRODUCT(MAX((AgPac=$A309)*(AgStatus="Compareceu")*AgData)))</f>
        <v>0</v>
      </c>
    </row>
    <row r="310" spans="1:10">
      <c r="A310" s="15"/>
      <c r="B310" s="15"/>
      <c r="C310" s="15"/>
      <c r="D310" s="15"/>
      <c r="E310" s="15"/>
      <c r="F310" s="16"/>
      <c r="G310" s="15"/>
      <c r="H310" s="21">
        <f>IF($A310="","",COUNTIFS(AgPac,$A310,AgStatus,"Compareceu"))</f>
        <v>0</v>
      </c>
      <c r="I310" s="21">
        <f>IF($A310="","",COUNTIFS(AgPac,$A310,AgStatus,"Faltou"))</f>
        <v>0</v>
      </c>
      <c r="J310" s="22">
        <f>IF($A310="","",SUMPRODUCT(MAX((AgPac=$A310)*(AgStatus="Compareceu")*AgData)))</f>
        <v>0</v>
      </c>
    </row>
    <row r="311" spans="1:10">
      <c r="A311" s="15"/>
      <c r="B311" s="15"/>
      <c r="C311" s="15"/>
      <c r="D311" s="15"/>
      <c r="E311" s="15"/>
      <c r="F311" s="16"/>
      <c r="G311" s="15"/>
      <c r="H311" s="21">
        <f>IF($A311="","",COUNTIFS(AgPac,$A311,AgStatus,"Compareceu"))</f>
        <v>0</v>
      </c>
      <c r="I311" s="21">
        <f>IF($A311="","",COUNTIFS(AgPac,$A311,AgStatus,"Faltou"))</f>
        <v>0</v>
      </c>
      <c r="J311" s="22">
        <f>IF($A311="","",SUMPRODUCT(MAX((AgPac=$A311)*(AgStatus="Compareceu")*AgData)))</f>
        <v>0</v>
      </c>
    </row>
    <row r="312" spans="1:10">
      <c r="A312" s="15"/>
      <c r="B312" s="15"/>
      <c r="C312" s="15"/>
      <c r="D312" s="15"/>
      <c r="E312" s="15"/>
      <c r="F312" s="16"/>
      <c r="G312" s="15"/>
      <c r="H312" s="21">
        <f>IF($A312="","",COUNTIFS(AgPac,$A312,AgStatus,"Compareceu"))</f>
        <v>0</v>
      </c>
      <c r="I312" s="21">
        <f>IF($A312="","",COUNTIFS(AgPac,$A312,AgStatus,"Faltou"))</f>
        <v>0</v>
      </c>
      <c r="J312" s="22">
        <f>IF($A312="","",SUMPRODUCT(MAX((AgPac=$A312)*(AgStatus="Compareceu")*AgData)))</f>
        <v>0</v>
      </c>
    </row>
    <row r="313" spans="1:10">
      <c r="A313" s="15"/>
      <c r="B313" s="15"/>
      <c r="C313" s="15"/>
      <c r="D313" s="15"/>
      <c r="E313" s="15"/>
      <c r="F313" s="16"/>
      <c r="G313" s="15"/>
      <c r="H313" s="21">
        <f>IF($A313="","",COUNTIFS(AgPac,$A313,AgStatus,"Compareceu"))</f>
        <v>0</v>
      </c>
      <c r="I313" s="21">
        <f>IF($A313="","",COUNTIFS(AgPac,$A313,AgStatus,"Faltou"))</f>
        <v>0</v>
      </c>
      <c r="J313" s="22">
        <f>IF($A313="","",SUMPRODUCT(MAX((AgPac=$A313)*(AgStatus="Compareceu")*AgData)))</f>
        <v>0</v>
      </c>
    </row>
    <row r="314" spans="1:10">
      <c r="A314" s="15"/>
      <c r="B314" s="15"/>
      <c r="C314" s="15"/>
      <c r="D314" s="15"/>
      <c r="E314" s="15"/>
      <c r="F314" s="16"/>
      <c r="G314" s="15"/>
      <c r="H314" s="21">
        <f>IF($A314="","",COUNTIFS(AgPac,$A314,AgStatus,"Compareceu"))</f>
        <v>0</v>
      </c>
      <c r="I314" s="21">
        <f>IF($A314="","",COUNTIFS(AgPac,$A314,AgStatus,"Faltou"))</f>
        <v>0</v>
      </c>
      <c r="J314" s="22">
        <f>IF($A314="","",SUMPRODUCT(MAX((AgPac=$A314)*(AgStatus="Compareceu")*AgData)))</f>
        <v>0</v>
      </c>
    </row>
    <row r="315" spans="1:10">
      <c r="A315" s="15"/>
      <c r="B315" s="15"/>
      <c r="C315" s="15"/>
      <c r="D315" s="15"/>
      <c r="E315" s="15"/>
      <c r="F315" s="16"/>
      <c r="G315" s="15"/>
      <c r="H315" s="21">
        <f>IF($A315="","",COUNTIFS(AgPac,$A315,AgStatus,"Compareceu"))</f>
        <v>0</v>
      </c>
      <c r="I315" s="21">
        <f>IF($A315="","",COUNTIFS(AgPac,$A315,AgStatus,"Faltou"))</f>
        <v>0</v>
      </c>
      <c r="J315" s="22">
        <f>IF($A315="","",SUMPRODUCT(MAX((AgPac=$A315)*(AgStatus="Compareceu")*AgData)))</f>
        <v>0</v>
      </c>
    </row>
    <row r="316" spans="1:10">
      <c r="A316" s="15"/>
      <c r="B316" s="15"/>
      <c r="C316" s="15"/>
      <c r="D316" s="15"/>
      <c r="E316" s="15"/>
      <c r="F316" s="16"/>
      <c r="G316" s="15"/>
      <c r="H316" s="21">
        <f>IF($A316="","",COUNTIFS(AgPac,$A316,AgStatus,"Compareceu"))</f>
        <v>0</v>
      </c>
      <c r="I316" s="21">
        <f>IF($A316="","",COUNTIFS(AgPac,$A316,AgStatus,"Faltou"))</f>
        <v>0</v>
      </c>
      <c r="J316" s="22">
        <f>IF($A316="","",SUMPRODUCT(MAX((AgPac=$A316)*(AgStatus="Compareceu")*AgData)))</f>
        <v>0</v>
      </c>
    </row>
    <row r="317" spans="1:10">
      <c r="A317" s="15"/>
      <c r="B317" s="15"/>
      <c r="C317" s="15"/>
      <c r="D317" s="15"/>
      <c r="E317" s="15"/>
      <c r="F317" s="16"/>
      <c r="G317" s="15"/>
      <c r="H317" s="21">
        <f>IF($A317="","",COUNTIFS(AgPac,$A317,AgStatus,"Compareceu"))</f>
        <v>0</v>
      </c>
      <c r="I317" s="21">
        <f>IF($A317="","",COUNTIFS(AgPac,$A317,AgStatus,"Faltou"))</f>
        <v>0</v>
      </c>
      <c r="J317" s="22">
        <f>IF($A317="","",SUMPRODUCT(MAX((AgPac=$A317)*(AgStatus="Compareceu")*AgData)))</f>
        <v>0</v>
      </c>
    </row>
    <row r="318" spans="1:10">
      <c r="A318" s="15"/>
      <c r="B318" s="15"/>
      <c r="C318" s="15"/>
      <c r="D318" s="15"/>
      <c r="E318" s="15"/>
      <c r="F318" s="16"/>
      <c r="G318" s="15"/>
      <c r="H318" s="21">
        <f>IF($A318="","",COUNTIFS(AgPac,$A318,AgStatus,"Compareceu"))</f>
        <v>0</v>
      </c>
      <c r="I318" s="21">
        <f>IF($A318="","",COUNTIFS(AgPac,$A318,AgStatus,"Faltou"))</f>
        <v>0</v>
      </c>
      <c r="J318" s="22">
        <f>IF($A318="","",SUMPRODUCT(MAX((AgPac=$A318)*(AgStatus="Compareceu")*AgData)))</f>
        <v>0</v>
      </c>
    </row>
    <row r="319" spans="1:10">
      <c r="A319" s="15"/>
      <c r="B319" s="15"/>
      <c r="C319" s="15"/>
      <c r="D319" s="15"/>
      <c r="E319" s="15"/>
      <c r="F319" s="16"/>
      <c r="G319" s="15"/>
      <c r="H319" s="21">
        <f>IF($A319="","",COUNTIFS(AgPac,$A319,AgStatus,"Compareceu"))</f>
        <v>0</v>
      </c>
      <c r="I319" s="21">
        <f>IF($A319="","",COUNTIFS(AgPac,$A319,AgStatus,"Faltou"))</f>
        <v>0</v>
      </c>
      <c r="J319" s="22">
        <f>IF($A319="","",SUMPRODUCT(MAX((AgPac=$A319)*(AgStatus="Compareceu")*AgData)))</f>
        <v>0</v>
      </c>
    </row>
    <row r="320" spans="1:10">
      <c r="A320" s="15"/>
      <c r="B320" s="15"/>
      <c r="C320" s="15"/>
      <c r="D320" s="15"/>
      <c r="E320" s="15"/>
      <c r="F320" s="16"/>
      <c r="G320" s="15"/>
      <c r="H320" s="21">
        <f>IF($A320="","",COUNTIFS(AgPac,$A320,AgStatus,"Compareceu"))</f>
        <v>0</v>
      </c>
      <c r="I320" s="21">
        <f>IF($A320="","",COUNTIFS(AgPac,$A320,AgStatus,"Faltou"))</f>
        <v>0</v>
      </c>
      <c r="J320" s="22">
        <f>IF($A320="","",SUMPRODUCT(MAX((AgPac=$A320)*(AgStatus="Compareceu")*AgData)))</f>
        <v>0</v>
      </c>
    </row>
    <row r="321" spans="1:10">
      <c r="A321" s="15"/>
      <c r="B321" s="15"/>
      <c r="C321" s="15"/>
      <c r="D321" s="15"/>
      <c r="E321" s="15"/>
      <c r="F321" s="16"/>
      <c r="G321" s="15"/>
      <c r="H321" s="21">
        <f>IF($A321="","",COUNTIFS(AgPac,$A321,AgStatus,"Compareceu"))</f>
        <v>0</v>
      </c>
      <c r="I321" s="21">
        <f>IF($A321="","",COUNTIFS(AgPac,$A321,AgStatus,"Faltou"))</f>
        <v>0</v>
      </c>
      <c r="J321" s="22">
        <f>IF($A321="","",SUMPRODUCT(MAX((AgPac=$A321)*(AgStatus="Compareceu")*AgData)))</f>
        <v>0</v>
      </c>
    </row>
    <row r="322" spans="1:10">
      <c r="A322" s="15"/>
      <c r="B322" s="15"/>
      <c r="C322" s="15"/>
      <c r="D322" s="15"/>
      <c r="E322" s="15"/>
      <c r="F322" s="16"/>
      <c r="G322" s="15"/>
      <c r="H322" s="21">
        <f>IF($A322="","",COUNTIFS(AgPac,$A322,AgStatus,"Compareceu"))</f>
        <v>0</v>
      </c>
      <c r="I322" s="21">
        <f>IF($A322="","",COUNTIFS(AgPac,$A322,AgStatus,"Faltou"))</f>
        <v>0</v>
      </c>
      <c r="J322" s="22">
        <f>IF($A322="","",SUMPRODUCT(MAX((AgPac=$A322)*(AgStatus="Compareceu")*AgData)))</f>
        <v>0</v>
      </c>
    </row>
    <row r="323" spans="1:10">
      <c r="A323" s="15"/>
      <c r="B323" s="15"/>
      <c r="C323" s="15"/>
      <c r="D323" s="15"/>
      <c r="E323" s="15"/>
      <c r="F323" s="16"/>
      <c r="G323" s="15"/>
      <c r="H323" s="21">
        <f>IF($A323="","",COUNTIFS(AgPac,$A323,AgStatus,"Compareceu"))</f>
        <v>0</v>
      </c>
      <c r="I323" s="21">
        <f>IF($A323="","",COUNTIFS(AgPac,$A323,AgStatus,"Faltou"))</f>
        <v>0</v>
      </c>
      <c r="J323" s="22">
        <f>IF($A323="","",SUMPRODUCT(MAX((AgPac=$A323)*(AgStatus="Compareceu")*AgData)))</f>
        <v>0</v>
      </c>
    </row>
    <row r="324" spans="1:10">
      <c r="A324" s="15"/>
      <c r="B324" s="15"/>
      <c r="C324" s="15"/>
      <c r="D324" s="15"/>
      <c r="E324" s="15"/>
      <c r="F324" s="16"/>
      <c r="G324" s="15"/>
      <c r="H324" s="21">
        <f>IF($A324="","",COUNTIFS(AgPac,$A324,AgStatus,"Compareceu"))</f>
        <v>0</v>
      </c>
      <c r="I324" s="21">
        <f>IF($A324="","",COUNTIFS(AgPac,$A324,AgStatus,"Faltou"))</f>
        <v>0</v>
      </c>
      <c r="J324" s="22">
        <f>IF($A324="","",SUMPRODUCT(MAX((AgPac=$A324)*(AgStatus="Compareceu")*AgData)))</f>
        <v>0</v>
      </c>
    </row>
    <row r="325" spans="1:10">
      <c r="A325" s="15"/>
      <c r="B325" s="15"/>
      <c r="C325" s="15"/>
      <c r="D325" s="15"/>
      <c r="E325" s="15"/>
      <c r="F325" s="16"/>
      <c r="G325" s="15"/>
      <c r="H325" s="21">
        <f>IF($A325="","",COUNTIFS(AgPac,$A325,AgStatus,"Compareceu"))</f>
        <v>0</v>
      </c>
      <c r="I325" s="21">
        <f>IF($A325="","",COUNTIFS(AgPac,$A325,AgStatus,"Faltou"))</f>
        <v>0</v>
      </c>
      <c r="J325" s="22">
        <f>IF($A325="","",SUMPRODUCT(MAX((AgPac=$A325)*(AgStatus="Compareceu")*AgData)))</f>
        <v>0</v>
      </c>
    </row>
    <row r="326" spans="1:10">
      <c r="A326" s="15"/>
      <c r="B326" s="15"/>
      <c r="C326" s="15"/>
      <c r="D326" s="15"/>
      <c r="E326" s="15"/>
      <c r="F326" s="16"/>
      <c r="G326" s="15"/>
      <c r="H326" s="21">
        <f>IF($A326="","",COUNTIFS(AgPac,$A326,AgStatus,"Compareceu"))</f>
        <v>0</v>
      </c>
      <c r="I326" s="21">
        <f>IF($A326="","",COUNTIFS(AgPac,$A326,AgStatus,"Faltou"))</f>
        <v>0</v>
      </c>
      <c r="J326" s="22">
        <f>IF($A326="","",SUMPRODUCT(MAX((AgPac=$A326)*(AgStatus="Compareceu")*AgData)))</f>
        <v>0</v>
      </c>
    </row>
    <row r="327" spans="1:10">
      <c r="A327" s="15"/>
      <c r="B327" s="15"/>
      <c r="C327" s="15"/>
      <c r="D327" s="15"/>
      <c r="E327" s="15"/>
      <c r="F327" s="16"/>
      <c r="G327" s="15"/>
      <c r="H327" s="21">
        <f>IF($A327="","",COUNTIFS(AgPac,$A327,AgStatus,"Compareceu"))</f>
        <v>0</v>
      </c>
      <c r="I327" s="21">
        <f>IF($A327="","",COUNTIFS(AgPac,$A327,AgStatus,"Faltou"))</f>
        <v>0</v>
      </c>
      <c r="J327" s="22">
        <f>IF($A327="","",SUMPRODUCT(MAX((AgPac=$A327)*(AgStatus="Compareceu")*AgData)))</f>
        <v>0</v>
      </c>
    </row>
    <row r="328" spans="1:10">
      <c r="A328" s="15"/>
      <c r="B328" s="15"/>
      <c r="C328" s="15"/>
      <c r="D328" s="15"/>
      <c r="E328" s="15"/>
      <c r="F328" s="16"/>
      <c r="G328" s="15"/>
      <c r="H328" s="21">
        <f>IF($A328="","",COUNTIFS(AgPac,$A328,AgStatus,"Compareceu"))</f>
        <v>0</v>
      </c>
      <c r="I328" s="21">
        <f>IF($A328="","",COUNTIFS(AgPac,$A328,AgStatus,"Faltou"))</f>
        <v>0</v>
      </c>
      <c r="J328" s="22">
        <f>IF($A328="","",SUMPRODUCT(MAX((AgPac=$A328)*(AgStatus="Compareceu")*AgData)))</f>
        <v>0</v>
      </c>
    </row>
    <row r="329" spans="1:10">
      <c r="A329" s="15"/>
      <c r="B329" s="15"/>
      <c r="C329" s="15"/>
      <c r="D329" s="15"/>
      <c r="E329" s="15"/>
      <c r="F329" s="16"/>
      <c r="G329" s="15"/>
      <c r="H329" s="21">
        <f>IF($A329="","",COUNTIFS(AgPac,$A329,AgStatus,"Compareceu"))</f>
        <v>0</v>
      </c>
      <c r="I329" s="21">
        <f>IF($A329="","",COUNTIFS(AgPac,$A329,AgStatus,"Faltou"))</f>
        <v>0</v>
      </c>
      <c r="J329" s="22">
        <f>IF($A329="","",SUMPRODUCT(MAX((AgPac=$A329)*(AgStatus="Compareceu")*AgData)))</f>
        <v>0</v>
      </c>
    </row>
    <row r="330" spans="1:10">
      <c r="A330" s="15"/>
      <c r="B330" s="15"/>
      <c r="C330" s="15"/>
      <c r="D330" s="15"/>
      <c r="E330" s="15"/>
      <c r="F330" s="16"/>
      <c r="G330" s="15"/>
      <c r="H330" s="21">
        <f>IF($A330="","",COUNTIFS(AgPac,$A330,AgStatus,"Compareceu"))</f>
        <v>0</v>
      </c>
      <c r="I330" s="21">
        <f>IF($A330="","",COUNTIFS(AgPac,$A330,AgStatus,"Faltou"))</f>
        <v>0</v>
      </c>
      <c r="J330" s="22">
        <f>IF($A330="","",SUMPRODUCT(MAX((AgPac=$A330)*(AgStatus="Compareceu")*AgData)))</f>
        <v>0</v>
      </c>
    </row>
    <row r="331" spans="1:10">
      <c r="A331" s="15"/>
      <c r="B331" s="15"/>
      <c r="C331" s="15"/>
      <c r="D331" s="15"/>
      <c r="E331" s="15"/>
      <c r="F331" s="16"/>
      <c r="G331" s="15"/>
      <c r="H331" s="21">
        <f>IF($A331="","",COUNTIFS(AgPac,$A331,AgStatus,"Compareceu"))</f>
        <v>0</v>
      </c>
      <c r="I331" s="21">
        <f>IF($A331="","",COUNTIFS(AgPac,$A331,AgStatus,"Faltou"))</f>
        <v>0</v>
      </c>
      <c r="J331" s="22">
        <f>IF($A331="","",SUMPRODUCT(MAX((AgPac=$A331)*(AgStatus="Compareceu")*AgData)))</f>
        <v>0</v>
      </c>
    </row>
    <row r="332" spans="1:10">
      <c r="A332" s="15"/>
      <c r="B332" s="15"/>
      <c r="C332" s="15"/>
      <c r="D332" s="15"/>
      <c r="E332" s="15"/>
      <c r="F332" s="16"/>
      <c r="G332" s="15"/>
      <c r="H332" s="21">
        <f>IF($A332="","",COUNTIFS(AgPac,$A332,AgStatus,"Compareceu"))</f>
        <v>0</v>
      </c>
      <c r="I332" s="21">
        <f>IF($A332="","",COUNTIFS(AgPac,$A332,AgStatus,"Faltou"))</f>
        <v>0</v>
      </c>
      <c r="J332" s="22">
        <f>IF($A332="","",SUMPRODUCT(MAX((AgPac=$A332)*(AgStatus="Compareceu")*AgData)))</f>
        <v>0</v>
      </c>
    </row>
    <row r="333" spans="1:10">
      <c r="A333" s="15"/>
      <c r="B333" s="15"/>
      <c r="C333" s="15"/>
      <c r="D333" s="15"/>
      <c r="E333" s="15"/>
      <c r="F333" s="16"/>
      <c r="G333" s="15"/>
      <c r="H333" s="21">
        <f>IF($A333="","",COUNTIFS(AgPac,$A333,AgStatus,"Compareceu"))</f>
        <v>0</v>
      </c>
      <c r="I333" s="21">
        <f>IF($A333="","",COUNTIFS(AgPac,$A333,AgStatus,"Faltou"))</f>
        <v>0</v>
      </c>
      <c r="J333" s="22">
        <f>IF($A333="","",SUMPRODUCT(MAX((AgPac=$A333)*(AgStatus="Compareceu")*AgData)))</f>
        <v>0</v>
      </c>
    </row>
    <row r="334" spans="1:10">
      <c r="A334" s="15"/>
      <c r="B334" s="15"/>
      <c r="C334" s="15"/>
      <c r="D334" s="15"/>
      <c r="E334" s="15"/>
      <c r="F334" s="16"/>
      <c r="G334" s="15"/>
      <c r="H334" s="21">
        <f>IF($A334="","",COUNTIFS(AgPac,$A334,AgStatus,"Compareceu"))</f>
        <v>0</v>
      </c>
      <c r="I334" s="21">
        <f>IF($A334="","",COUNTIFS(AgPac,$A334,AgStatus,"Faltou"))</f>
        <v>0</v>
      </c>
      <c r="J334" s="22">
        <f>IF($A334="","",SUMPRODUCT(MAX((AgPac=$A334)*(AgStatus="Compareceu")*AgData)))</f>
        <v>0</v>
      </c>
    </row>
    <row r="335" spans="1:10">
      <c r="A335" s="15"/>
      <c r="B335" s="15"/>
      <c r="C335" s="15"/>
      <c r="D335" s="15"/>
      <c r="E335" s="15"/>
      <c r="F335" s="16"/>
      <c r="G335" s="15"/>
      <c r="H335" s="21">
        <f>IF($A335="","",COUNTIFS(AgPac,$A335,AgStatus,"Compareceu"))</f>
        <v>0</v>
      </c>
      <c r="I335" s="21">
        <f>IF($A335="","",COUNTIFS(AgPac,$A335,AgStatus,"Faltou"))</f>
        <v>0</v>
      </c>
      <c r="J335" s="22">
        <f>IF($A335="","",SUMPRODUCT(MAX((AgPac=$A335)*(AgStatus="Compareceu")*AgData)))</f>
        <v>0</v>
      </c>
    </row>
    <row r="336" spans="1:10">
      <c r="A336" s="15"/>
      <c r="B336" s="15"/>
      <c r="C336" s="15"/>
      <c r="D336" s="15"/>
      <c r="E336" s="15"/>
      <c r="F336" s="16"/>
      <c r="G336" s="15"/>
      <c r="H336" s="21">
        <f>IF($A336="","",COUNTIFS(AgPac,$A336,AgStatus,"Compareceu"))</f>
        <v>0</v>
      </c>
      <c r="I336" s="21">
        <f>IF($A336="","",COUNTIFS(AgPac,$A336,AgStatus,"Faltou"))</f>
        <v>0</v>
      </c>
      <c r="J336" s="22">
        <f>IF($A336="","",SUMPRODUCT(MAX((AgPac=$A336)*(AgStatus="Compareceu")*AgData)))</f>
        <v>0</v>
      </c>
    </row>
    <row r="337" spans="1:10">
      <c r="A337" s="15"/>
      <c r="B337" s="15"/>
      <c r="C337" s="15"/>
      <c r="D337" s="15"/>
      <c r="E337" s="15"/>
      <c r="F337" s="16"/>
      <c r="G337" s="15"/>
      <c r="H337" s="21">
        <f>IF($A337="","",COUNTIFS(AgPac,$A337,AgStatus,"Compareceu"))</f>
        <v>0</v>
      </c>
      <c r="I337" s="21">
        <f>IF($A337="","",COUNTIFS(AgPac,$A337,AgStatus,"Faltou"))</f>
        <v>0</v>
      </c>
      <c r="J337" s="22">
        <f>IF($A337="","",SUMPRODUCT(MAX((AgPac=$A337)*(AgStatus="Compareceu")*AgData)))</f>
        <v>0</v>
      </c>
    </row>
    <row r="338" spans="1:10">
      <c r="A338" s="15"/>
      <c r="B338" s="15"/>
      <c r="C338" s="15"/>
      <c r="D338" s="15"/>
      <c r="E338" s="15"/>
      <c r="F338" s="16"/>
      <c r="G338" s="15"/>
      <c r="H338" s="21">
        <f>IF($A338="","",COUNTIFS(AgPac,$A338,AgStatus,"Compareceu"))</f>
        <v>0</v>
      </c>
      <c r="I338" s="21">
        <f>IF($A338="","",COUNTIFS(AgPac,$A338,AgStatus,"Faltou"))</f>
        <v>0</v>
      </c>
      <c r="J338" s="22">
        <f>IF($A338="","",SUMPRODUCT(MAX((AgPac=$A338)*(AgStatus="Compareceu")*AgData)))</f>
        <v>0</v>
      </c>
    </row>
    <row r="339" spans="1:10">
      <c r="A339" s="15"/>
      <c r="B339" s="15"/>
      <c r="C339" s="15"/>
      <c r="D339" s="15"/>
      <c r="E339" s="15"/>
      <c r="F339" s="16"/>
      <c r="G339" s="15"/>
      <c r="H339" s="21">
        <f>IF($A339="","",COUNTIFS(AgPac,$A339,AgStatus,"Compareceu"))</f>
        <v>0</v>
      </c>
      <c r="I339" s="21">
        <f>IF($A339="","",COUNTIFS(AgPac,$A339,AgStatus,"Faltou"))</f>
        <v>0</v>
      </c>
      <c r="J339" s="22">
        <f>IF($A339="","",SUMPRODUCT(MAX((AgPac=$A339)*(AgStatus="Compareceu")*AgData)))</f>
        <v>0</v>
      </c>
    </row>
    <row r="340" spans="1:10">
      <c r="A340" s="15"/>
      <c r="B340" s="15"/>
      <c r="C340" s="15"/>
      <c r="D340" s="15"/>
      <c r="E340" s="15"/>
      <c r="F340" s="16"/>
      <c r="G340" s="15"/>
      <c r="H340" s="21">
        <f>IF($A340="","",COUNTIFS(AgPac,$A340,AgStatus,"Compareceu"))</f>
        <v>0</v>
      </c>
      <c r="I340" s="21">
        <f>IF($A340="","",COUNTIFS(AgPac,$A340,AgStatus,"Faltou"))</f>
        <v>0</v>
      </c>
      <c r="J340" s="22">
        <f>IF($A340="","",SUMPRODUCT(MAX((AgPac=$A340)*(AgStatus="Compareceu")*AgData)))</f>
        <v>0</v>
      </c>
    </row>
    <row r="341" spans="1:10">
      <c r="A341" s="15"/>
      <c r="B341" s="15"/>
      <c r="C341" s="15"/>
      <c r="D341" s="15"/>
      <c r="E341" s="15"/>
      <c r="F341" s="16"/>
      <c r="G341" s="15"/>
      <c r="H341" s="21">
        <f>IF($A341="","",COUNTIFS(AgPac,$A341,AgStatus,"Compareceu"))</f>
        <v>0</v>
      </c>
      <c r="I341" s="21">
        <f>IF($A341="","",COUNTIFS(AgPac,$A341,AgStatus,"Faltou"))</f>
        <v>0</v>
      </c>
      <c r="J341" s="22">
        <f>IF($A341="","",SUMPRODUCT(MAX((AgPac=$A341)*(AgStatus="Compareceu")*AgData)))</f>
        <v>0</v>
      </c>
    </row>
    <row r="342" spans="1:10">
      <c r="A342" s="15"/>
      <c r="B342" s="15"/>
      <c r="C342" s="15"/>
      <c r="D342" s="15"/>
      <c r="E342" s="15"/>
      <c r="F342" s="16"/>
      <c r="G342" s="15"/>
      <c r="H342" s="21">
        <f>IF($A342="","",COUNTIFS(AgPac,$A342,AgStatus,"Compareceu"))</f>
        <v>0</v>
      </c>
      <c r="I342" s="21">
        <f>IF($A342="","",COUNTIFS(AgPac,$A342,AgStatus,"Faltou"))</f>
        <v>0</v>
      </c>
      <c r="J342" s="22">
        <f>IF($A342="","",SUMPRODUCT(MAX((AgPac=$A342)*(AgStatus="Compareceu")*AgData)))</f>
        <v>0</v>
      </c>
    </row>
    <row r="343" spans="1:10">
      <c r="A343" s="15"/>
      <c r="B343" s="15"/>
      <c r="C343" s="15"/>
      <c r="D343" s="15"/>
      <c r="E343" s="15"/>
      <c r="F343" s="16"/>
      <c r="G343" s="15"/>
      <c r="H343" s="21">
        <f>IF($A343="","",COUNTIFS(AgPac,$A343,AgStatus,"Compareceu"))</f>
        <v>0</v>
      </c>
      <c r="I343" s="21">
        <f>IF($A343="","",COUNTIFS(AgPac,$A343,AgStatus,"Faltou"))</f>
        <v>0</v>
      </c>
      <c r="J343" s="22">
        <f>IF($A343="","",SUMPRODUCT(MAX((AgPac=$A343)*(AgStatus="Compareceu")*AgData)))</f>
        <v>0</v>
      </c>
    </row>
    <row r="344" spans="1:10">
      <c r="A344" s="15"/>
      <c r="B344" s="15"/>
      <c r="C344" s="15"/>
      <c r="D344" s="15"/>
      <c r="E344" s="15"/>
      <c r="F344" s="16"/>
      <c r="G344" s="15"/>
      <c r="H344" s="21">
        <f>IF($A344="","",COUNTIFS(AgPac,$A344,AgStatus,"Compareceu"))</f>
        <v>0</v>
      </c>
      <c r="I344" s="21">
        <f>IF($A344="","",COUNTIFS(AgPac,$A344,AgStatus,"Faltou"))</f>
        <v>0</v>
      </c>
      <c r="J344" s="22">
        <f>IF($A344="","",SUMPRODUCT(MAX((AgPac=$A344)*(AgStatus="Compareceu")*AgData)))</f>
        <v>0</v>
      </c>
    </row>
    <row r="345" spans="1:10">
      <c r="A345" s="15"/>
      <c r="B345" s="15"/>
      <c r="C345" s="15"/>
      <c r="D345" s="15"/>
      <c r="E345" s="15"/>
      <c r="F345" s="16"/>
      <c r="G345" s="15"/>
      <c r="H345" s="21">
        <f>IF($A345="","",COUNTIFS(AgPac,$A345,AgStatus,"Compareceu"))</f>
        <v>0</v>
      </c>
      <c r="I345" s="21">
        <f>IF($A345="","",COUNTIFS(AgPac,$A345,AgStatus,"Faltou"))</f>
        <v>0</v>
      </c>
      <c r="J345" s="22">
        <f>IF($A345="","",SUMPRODUCT(MAX((AgPac=$A345)*(AgStatus="Compareceu")*AgData)))</f>
        <v>0</v>
      </c>
    </row>
    <row r="346" spans="1:10">
      <c r="A346" s="15"/>
      <c r="B346" s="15"/>
      <c r="C346" s="15"/>
      <c r="D346" s="15"/>
      <c r="E346" s="15"/>
      <c r="F346" s="16"/>
      <c r="G346" s="15"/>
      <c r="H346" s="21">
        <f>IF($A346="","",COUNTIFS(AgPac,$A346,AgStatus,"Compareceu"))</f>
        <v>0</v>
      </c>
      <c r="I346" s="21">
        <f>IF($A346="","",COUNTIFS(AgPac,$A346,AgStatus,"Faltou"))</f>
        <v>0</v>
      </c>
      <c r="J346" s="22">
        <f>IF($A346="","",SUMPRODUCT(MAX((AgPac=$A346)*(AgStatus="Compareceu")*AgData)))</f>
        <v>0</v>
      </c>
    </row>
    <row r="347" spans="1:10">
      <c r="A347" s="15"/>
      <c r="B347" s="15"/>
      <c r="C347" s="15"/>
      <c r="D347" s="15"/>
      <c r="E347" s="15"/>
      <c r="F347" s="16"/>
      <c r="G347" s="15"/>
      <c r="H347" s="21">
        <f>IF($A347="","",COUNTIFS(AgPac,$A347,AgStatus,"Compareceu"))</f>
        <v>0</v>
      </c>
      <c r="I347" s="21">
        <f>IF($A347="","",COUNTIFS(AgPac,$A347,AgStatus,"Faltou"))</f>
        <v>0</v>
      </c>
      <c r="J347" s="22">
        <f>IF($A347="","",SUMPRODUCT(MAX((AgPac=$A347)*(AgStatus="Compareceu")*AgData)))</f>
        <v>0</v>
      </c>
    </row>
    <row r="348" spans="1:10">
      <c r="A348" s="15"/>
      <c r="B348" s="15"/>
      <c r="C348" s="15"/>
      <c r="D348" s="15"/>
      <c r="E348" s="15"/>
      <c r="F348" s="16"/>
      <c r="G348" s="15"/>
      <c r="H348" s="21">
        <f>IF($A348="","",COUNTIFS(AgPac,$A348,AgStatus,"Compareceu"))</f>
        <v>0</v>
      </c>
      <c r="I348" s="21">
        <f>IF($A348="","",COUNTIFS(AgPac,$A348,AgStatus,"Faltou"))</f>
        <v>0</v>
      </c>
      <c r="J348" s="22">
        <f>IF($A348="","",SUMPRODUCT(MAX((AgPac=$A348)*(AgStatus="Compareceu")*AgData)))</f>
        <v>0</v>
      </c>
    </row>
    <row r="349" spans="1:10">
      <c r="A349" s="15"/>
      <c r="B349" s="15"/>
      <c r="C349" s="15"/>
      <c r="D349" s="15"/>
      <c r="E349" s="15"/>
      <c r="F349" s="16"/>
      <c r="G349" s="15"/>
      <c r="H349" s="21">
        <f>IF($A349="","",COUNTIFS(AgPac,$A349,AgStatus,"Compareceu"))</f>
        <v>0</v>
      </c>
      <c r="I349" s="21">
        <f>IF($A349="","",COUNTIFS(AgPac,$A349,AgStatus,"Faltou"))</f>
        <v>0</v>
      </c>
      <c r="J349" s="22">
        <f>IF($A349="","",SUMPRODUCT(MAX((AgPac=$A349)*(AgStatus="Compareceu")*AgData)))</f>
        <v>0</v>
      </c>
    </row>
    <row r="350" spans="1:10">
      <c r="A350" s="15"/>
      <c r="B350" s="15"/>
      <c r="C350" s="15"/>
      <c r="D350" s="15"/>
      <c r="E350" s="15"/>
      <c r="F350" s="16"/>
      <c r="G350" s="15"/>
      <c r="H350" s="21">
        <f>IF($A350="","",COUNTIFS(AgPac,$A350,AgStatus,"Compareceu"))</f>
        <v>0</v>
      </c>
      <c r="I350" s="21">
        <f>IF($A350="","",COUNTIFS(AgPac,$A350,AgStatus,"Faltou"))</f>
        <v>0</v>
      </c>
      <c r="J350" s="22">
        <f>IF($A350="","",SUMPRODUCT(MAX((AgPac=$A350)*(AgStatus="Compareceu")*AgData)))</f>
        <v>0</v>
      </c>
    </row>
    <row r="351" spans="1:10">
      <c r="A351" s="15"/>
      <c r="B351" s="15"/>
      <c r="C351" s="15"/>
      <c r="D351" s="15"/>
      <c r="E351" s="15"/>
      <c r="F351" s="16"/>
      <c r="G351" s="15"/>
      <c r="H351" s="21">
        <f>IF($A351="","",COUNTIFS(AgPac,$A351,AgStatus,"Compareceu"))</f>
        <v>0</v>
      </c>
      <c r="I351" s="21">
        <f>IF($A351="","",COUNTIFS(AgPac,$A351,AgStatus,"Faltou"))</f>
        <v>0</v>
      </c>
      <c r="J351" s="22">
        <f>IF($A351="","",SUMPRODUCT(MAX((AgPac=$A351)*(AgStatus="Compareceu")*AgData)))</f>
        <v>0</v>
      </c>
    </row>
    <row r="352" spans="1:10">
      <c r="A352" s="15"/>
      <c r="B352" s="15"/>
      <c r="C352" s="15"/>
      <c r="D352" s="15"/>
      <c r="E352" s="15"/>
      <c r="F352" s="16"/>
      <c r="G352" s="15"/>
      <c r="H352" s="21">
        <f>IF($A352="","",COUNTIFS(AgPac,$A352,AgStatus,"Compareceu"))</f>
        <v>0</v>
      </c>
      <c r="I352" s="21">
        <f>IF($A352="","",COUNTIFS(AgPac,$A352,AgStatus,"Faltou"))</f>
        <v>0</v>
      </c>
      <c r="J352" s="22">
        <f>IF($A352="","",SUMPRODUCT(MAX((AgPac=$A352)*(AgStatus="Compareceu")*AgData)))</f>
        <v>0</v>
      </c>
    </row>
    <row r="353" spans="1:10">
      <c r="A353" s="15"/>
      <c r="B353" s="15"/>
      <c r="C353" s="15"/>
      <c r="D353" s="15"/>
      <c r="E353" s="15"/>
      <c r="F353" s="16"/>
      <c r="G353" s="15"/>
      <c r="H353" s="21">
        <f>IF($A353="","",COUNTIFS(AgPac,$A353,AgStatus,"Compareceu"))</f>
        <v>0</v>
      </c>
      <c r="I353" s="21">
        <f>IF($A353="","",COUNTIFS(AgPac,$A353,AgStatus,"Faltou"))</f>
        <v>0</v>
      </c>
      <c r="J353" s="22">
        <f>IF($A353="","",SUMPRODUCT(MAX((AgPac=$A353)*(AgStatus="Compareceu")*AgData)))</f>
        <v>0</v>
      </c>
    </row>
    <row r="354" spans="1:10">
      <c r="A354" s="15"/>
      <c r="B354" s="15"/>
      <c r="C354" s="15"/>
      <c r="D354" s="15"/>
      <c r="E354" s="15"/>
      <c r="F354" s="16"/>
      <c r="G354" s="15"/>
      <c r="H354" s="21">
        <f>IF($A354="","",COUNTIFS(AgPac,$A354,AgStatus,"Compareceu"))</f>
        <v>0</v>
      </c>
      <c r="I354" s="21">
        <f>IF($A354="","",COUNTIFS(AgPac,$A354,AgStatus,"Faltou"))</f>
        <v>0</v>
      </c>
      <c r="J354" s="22">
        <f>IF($A354="","",SUMPRODUCT(MAX((AgPac=$A354)*(AgStatus="Compareceu")*AgData)))</f>
        <v>0</v>
      </c>
    </row>
    <row r="355" spans="1:10">
      <c r="A355" s="15"/>
      <c r="B355" s="15"/>
      <c r="C355" s="15"/>
      <c r="D355" s="15"/>
      <c r="E355" s="15"/>
      <c r="F355" s="16"/>
      <c r="G355" s="15"/>
      <c r="H355" s="21">
        <f>IF($A355="","",COUNTIFS(AgPac,$A355,AgStatus,"Compareceu"))</f>
        <v>0</v>
      </c>
      <c r="I355" s="21">
        <f>IF($A355="","",COUNTIFS(AgPac,$A355,AgStatus,"Faltou"))</f>
        <v>0</v>
      </c>
      <c r="J355" s="22">
        <f>IF($A355="","",SUMPRODUCT(MAX((AgPac=$A355)*(AgStatus="Compareceu")*AgData)))</f>
        <v>0</v>
      </c>
    </row>
    <row r="356" spans="1:10">
      <c r="A356" s="15"/>
      <c r="B356" s="15"/>
      <c r="C356" s="15"/>
      <c r="D356" s="15"/>
      <c r="E356" s="15"/>
      <c r="F356" s="16"/>
      <c r="G356" s="15"/>
      <c r="H356" s="21">
        <f>IF($A356="","",COUNTIFS(AgPac,$A356,AgStatus,"Compareceu"))</f>
        <v>0</v>
      </c>
      <c r="I356" s="21">
        <f>IF($A356="","",COUNTIFS(AgPac,$A356,AgStatus,"Faltou"))</f>
        <v>0</v>
      </c>
      <c r="J356" s="22">
        <f>IF($A356="","",SUMPRODUCT(MAX((AgPac=$A356)*(AgStatus="Compareceu")*AgData)))</f>
        <v>0</v>
      </c>
    </row>
    <row r="357" spans="1:10">
      <c r="A357" s="15"/>
      <c r="B357" s="15"/>
      <c r="C357" s="15"/>
      <c r="D357" s="15"/>
      <c r="E357" s="15"/>
      <c r="F357" s="16"/>
      <c r="G357" s="15"/>
      <c r="H357" s="21">
        <f>IF($A357="","",COUNTIFS(AgPac,$A357,AgStatus,"Compareceu"))</f>
        <v>0</v>
      </c>
      <c r="I357" s="21">
        <f>IF($A357="","",COUNTIFS(AgPac,$A357,AgStatus,"Faltou"))</f>
        <v>0</v>
      </c>
      <c r="J357" s="22">
        <f>IF($A357="","",SUMPRODUCT(MAX((AgPac=$A357)*(AgStatus="Compareceu")*AgData)))</f>
        <v>0</v>
      </c>
    </row>
    <row r="358" spans="1:10">
      <c r="A358" s="15"/>
      <c r="B358" s="15"/>
      <c r="C358" s="15"/>
      <c r="D358" s="15"/>
      <c r="E358" s="15"/>
      <c r="F358" s="16"/>
      <c r="G358" s="15"/>
      <c r="H358" s="21">
        <f>IF($A358="","",COUNTIFS(AgPac,$A358,AgStatus,"Compareceu"))</f>
        <v>0</v>
      </c>
      <c r="I358" s="21">
        <f>IF($A358="","",COUNTIFS(AgPac,$A358,AgStatus,"Faltou"))</f>
        <v>0</v>
      </c>
      <c r="J358" s="22">
        <f>IF($A358="","",SUMPRODUCT(MAX((AgPac=$A358)*(AgStatus="Compareceu")*AgData)))</f>
        <v>0</v>
      </c>
    </row>
    <row r="359" spans="1:10">
      <c r="A359" s="15"/>
      <c r="B359" s="15"/>
      <c r="C359" s="15"/>
      <c r="D359" s="15"/>
      <c r="E359" s="15"/>
      <c r="F359" s="16"/>
      <c r="G359" s="15"/>
      <c r="H359" s="21">
        <f>IF($A359="","",COUNTIFS(AgPac,$A359,AgStatus,"Compareceu"))</f>
        <v>0</v>
      </c>
      <c r="I359" s="21">
        <f>IF($A359="","",COUNTIFS(AgPac,$A359,AgStatus,"Faltou"))</f>
        <v>0</v>
      </c>
      <c r="J359" s="22">
        <f>IF($A359="","",SUMPRODUCT(MAX((AgPac=$A359)*(AgStatus="Compareceu")*AgData)))</f>
        <v>0</v>
      </c>
    </row>
    <row r="360" spans="1:10">
      <c r="A360" s="15"/>
      <c r="B360" s="15"/>
      <c r="C360" s="15"/>
      <c r="D360" s="15"/>
      <c r="E360" s="15"/>
      <c r="F360" s="16"/>
      <c r="G360" s="15"/>
      <c r="H360" s="21">
        <f>IF($A360="","",COUNTIFS(AgPac,$A360,AgStatus,"Compareceu"))</f>
        <v>0</v>
      </c>
      <c r="I360" s="21">
        <f>IF($A360="","",COUNTIFS(AgPac,$A360,AgStatus,"Faltou"))</f>
        <v>0</v>
      </c>
      <c r="J360" s="22">
        <f>IF($A360="","",SUMPRODUCT(MAX((AgPac=$A360)*(AgStatus="Compareceu")*AgData)))</f>
        <v>0</v>
      </c>
    </row>
    <row r="361" spans="1:10">
      <c r="A361" s="15"/>
      <c r="B361" s="15"/>
      <c r="C361" s="15"/>
      <c r="D361" s="15"/>
      <c r="E361" s="15"/>
      <c r="F361" s="16"/>
      <c r="G361" s="15"/>
      <c r="H361" s="21">
        <f>IF($A361="","",COUNTIFS(AgPac,$A361,AgStatus,"Compareceu"))</f>
        <v>0</v>
      </c>
      <c r="I361" s="21">
        <f>IF($A361="","",COUNTIFS(AgPac,$A361,AgStatus,"Faltou"))</f>
        <v>0</v>
      </c>
      <c r="J361" s="22">
        <f>IF($A361="","",SUMPRODUCT(MAX((AgPac=$A361)*(AgStatus="Compareceu")*AgData)))</f>
        <v>0</v>
      </c>
    </row>
    <row r="362" spans="1:10">
      <c r="A362" s="15"/>
      <c r="B362" s="15"/>
      <c r="C362" s="15"/>
      <c r="D362" s="15"/>
      <c r="E362" s="15"/>
      <c r="F362" s="16"/>
      <c r="G362" s="15"/>
      <c r="H362" s="21">
        <f>IF($A362="","",COUNTIFS(AgPac,$A362,AgStatus,"Compareceu"))</f>
        <v>0</v>
      </c>
      <c r="I362" s="21">
        <f>IF($A362="","",COUNTIFS(AgPac,$A362,AgStatus,"Faltou"))</f>
        <v>0</v>
      </c>
      <c r="J362" s="22">
        <f>IF($A362="","",SUMPRODUCT(MAX((AgPac=$A362)*(AgStatus="Compareceu")*AgData)))</f>
        <v>0</v>
      </c>
    </row>
    <row r="363" spans="1:10">
      <c r="A363" s="15"/>
      <c r="B363" s="15"/>
      <c r="C363" s="15"/>
      <c r="D363" s="15"/>
      <c r="E363" s="15"/>
      <c r="F363" s="16"/>
      <c r="G363" s="15"/>
      <c r="H363" s="21">
        <f>IF($A363="","",COUNTIFS(AgPac,$A363,AgStatus,"Compareceu"))</f>
        <v>0</v>
      </c>
      <c r="I363" s="21">
        <f>IF($A363="","",COUNTIFS(AgPac,$A363,AgStatus,"Faltou"))</f>
        <v>0</v>
      </c>
      <c r="J363" s="22">
        <f>IF($A363="","",SUMPRODUCT(MAX((AgPac=$A363)*(AgStatus="Compareceu")*AgData)))</f>
        <v>0</v>
      </c>
    </row>
    <row r="364" spans="1:10">
      <c r="A364" s="15"/>
      <c r="B364" s="15"/>
      <c r="C364" s="15"/>
      <c r="D364" s="15"/>
      <c r="E364" s="15"/>
      <c r="F364" s="16"/>
      <c r="G364" s="15"/>
      <c r="H364" s="21">
        <f>IF($A364="","",COUNTIFS(AgPac,$A364,AgStatus,"Compareceu"))</f>
        <v>0</v>
      </c>
      <c r="I364" s="21">
        <f>IF($A364="","",COUNTIFS(AgPac,$A364,AgStatus,"Faltou"))</f>
        <v>0</v>
      </c>
      <c r="J364" s="22">
        <f>IF($A364="","",SUMPRODUCT(MAX((AgPac=$A364)*(AgStatus="Compareceu")*AgData)))</f>
        <v>0</v>
      </c>
    </row>
    <row r="365" spans="1:10">
      <c r="A365" s="15"/>
      <c r="B365" s="15"/>
      <c r="C365" s="15"/>
      <c r="D365" s="15"/>
      <c r="E365" s="15"/>
      <c r="F365" s="16"/>
      <c r="G365" s="15"/>
      <c r="H365" s="21">
        <f>IF($A365="","",COUNTIFS(AgPac,$A365,AgStatus,"Compareceu"))</f>
        <v>0</v>
      </c>
      <c r="I365" s="21">
        <f>IF($A365="","",COUNTIFS(AgPac,$A365,AgStatus,"Faltou"))</f>
        <v>0</v>
      </c>
      <c r="J365" s="22">
        <f>IF($A365="","",SUMPRODUCT(MAX((AgPac=$A365)*(AgStatus="Compareceu")*AgData)))</f>
        <v>0</v>
      </c>
    </row>
    <row r="366" spans="1:10">
      <c r="A366" s="15"/>
      <c r="B366" s="15"/>
      <c r="C366" s="15"/>
      <c r="D366" s="15"/>
      <c r="E366" s="15"/>
      <c r="F366" s="16"/>
      <c r="G366" s="15"/>
      <c r="H366" s="21">
        <f>IF($A366="","",COUNTIFS(AgPac,$A366,AgStatus,"Compareceu"))</f>
        <v>0</v>
      </c>
      <c r="I366" s="21">
        <f>IF($A366="","",COUNTIFS(AgPac,$A366,AgStatus,"Faltou"))</f>
        <v>0</v>
      </c>
      <c r="J366" s="22">
        <f>IF($A366="","",SUMPRODUCT(MAX((AgPac=$A366)*(AgStatus="Compareceu")*AgData)))</f>
        <v>0</v>
      </c>
    </row>
    <row r="367" spans="1:10">
      <c r="A367" s="15"/>
      <c r="B367" s="15"/>
      <c r="C367" s="15"/>
      <c r="D367" s="15"/>
      <c r="E367" s="15"/>
      <c r="F367" s="16"/>
      <c r="G367" s="15"/>
      <c r="H367" s="21">
        <f>IF($A367="","",COUNTIFS(AgPac,$A367,AgStatus,"Compareceu"))</f>
        <v>0</v>
      </c>
      <c r="I367" s="21">
        <f>IF($A367="","",COUNTIFS(AgPac,$A367,AgStatus,"Faltou"))</f>
        <v>0</v>
      </c>
      <c r="J367" s="22">
        <f>IF($A367="","",SUMPRODUCT(MAX((AgPac=$A367)*(AgStatus="Compareceu")*AgData)))</f>
        <v>0</v>
      </c>
    </row>
    <row r="368" spans="1:10">
      <c r="A368" s="15"/>
      <c r="B368" s="15"/>
      <c r="C368" s="15"/>
      <c r="D368" s="15"/>
      <c r="E368" s="15"/>
      <c r="F368" s="16"/>
      <c r="G368" s="15"/>
      <c r="H368" s="21">
        <f>IF($A368="","",COUNTIFS(AgPac,$A368,AgStatus,"Compareceu"))</f>
        <v>0</v>
      </c>
      <c r="I368" s="21">
        <f>IF($A368="","",COUNTIFS(AgPac,$A368,AgStatus,"Faltou"))</f>
        <v>0</v>
      </c>
      <c r="J368" s="22">
        <f>IF($A368="","",SUMPRODUCT(MAX((AgPac=$A368)*(AgStatus="Compareceu")*AgData)))</f>
        <v>0</v>
      </c>
    </row>
    <row r="369" spans="1:10">
      <c r="A369" s="15"/>
      <c r="B369" s="15"/>
      <c r="C369" s="15"/>
      <c r="D369" s="15"/>
      <c r="E369" s="15"/>
      <c r="F369" s="16"/>
      <c r="G369" s="15"/>
      <c r="H369" s="21">
        <f>IF($A369="","",COUNTIFS(AgPac,$A369,AgStatus,"Compareceu"))</f>
        <v>0</v>
      </c>
      <c r="I369" s="21">
        <f>IF($A369="","",COUNTIFS(AgPac,$A369,AgStatus,"Faltou"))</f>
        <v>0</v>
      </c>
      <c r="J369" s="22">
        <f>IF($A369="","",SUMPRODUCT(MAX((AgPac=$A369)*(AgStatus="Compareceu")*AgData)))</f>
        <v>0</v>
      </c>
    </row>
    <row r="370" spans="1:10">
      <c r="A370" s="15"/>
      <c r="B370" s="15"/>
      <c r="C370" s="15"/>
      <c r="D370" s="15"/>
      <c r="E370" s="15"/>
      <c r="F370" s="16"/>
      <c r="G370" s="15"/>
      <c r="H370" s="21">
        <f>IF($A370="","",COUNTIFS(AgPac,$A370,AgStatus,"Compareceu"))</f>
        <v>0</v>
      </c>
      <c r="I370" s="21">
        <f>IF($A370="","",COUNTIFS(AgPac,$A370,AgStatus,"Faltou"))</f>
        <v>0</v>
      </c>
      <c r="J370" s="22">
        <f>IF($A370="","",SUMPRODUCT(MAX((AgPac=$A370)*(AgStatus="Compareceu")*AgData)))</f>
        <v>0</v>
      </c>
    </row>
    <row r="371" spans="1:10">
      <c r="A371" s="15"/>
      <c r="B371" s="15"/>
      <c r="C371" s="15"/>
      <c r="D371" s="15"/>
      <c r="E371" s="15"/>
      <c r="F371" s="16"/>
      <c r="G371" s="15"/>
      <c r="H371" s="21">
        <f>IF($A371="","",COUNTIFS(AgPac,$A371,AgStatus,"Compareceu"))</f>
        <v>0</v>
      </c>
      <c r="I371" s="21">
        <f>IF($A371="","",COUNTIFS(AgPac,$A371,AgStatus,"Faltou"))</f>
        <v>0</v>
      </c>
      <c r="J371" s="22">
        <f>IF($A371="","",SUMPRODUCT(MAX((AgPac=$A371)*(AgStatus="Compareceu")*AgData)))</f>
        <v>0</v>
      </c>
    </row>
    <row r="372" spans="1:10">
      <c r="A372" s="15"/>
      <c r="B372" s="15"/>
      <c r="C372" s="15"/>
      <c r="D372" s="15"/>
      <c r="E372" s="15"/>
      <c r="F372" s="16"/>
      <c r="G372" s="15"/>
      <c r="H372" s="21">
        <f>IF($A372="","",COUNTIFS(AgPac,$A372,AgStatus,"Compareceu"))</f>
        <v>0</v>
      </c>
      <c r="I372" s="21">
        <f>IF($A372="","",COUNTIFS(AgPac,$A372,AgStatus,"Faltou"))</f>
        <v>0</v>
      </c>
      <c r="J372" s="22">
        <f>IF($A372="","",SUMPRODUCT(MAX((AgPac=$A372)*(AgStatus="Compareceu")*AgData)))</f>
        <v>0</v>
      </c>
    </row>
    <row r="373" spans="1:10">
      <c r="A373" s="15"/>
      <c r="B373" s="15"/>
      <c r="C373" s="15"/>
      <c r="D373" s="15"/>
      <c r="E373" s="15"/>
      <c r="F373" s="16"/>
      <c r="G373" s="15"/>
      <c r="H373" s="21">
        <f>IF($A373="","",COUNTIFS(AgPac,$A373,AgStatus,"Compareceu"))</f>
        <v>0</v>
      </c>
      <c r="I373" s="21">
        <f>IF($A373="","",COUNTIFS(AgPac,$A373,AgStatus,"Faltou"))</f>
        <v>0</v>
      </c>
      <c r="J373" s="22">
        <f>IF($A373="","",SUMPRODUCT(MAX((AgPac=$A373)*(AgStatus="Compareceu")*AgData)))</f>
        <v>0</v>
      </c>
    </row>
    <row r="374" spans="1:10">
      <c r="A374" s="15"/>
      <c r="B374" s="15"/>
      <c r="C374" s="15"/>
      <c r="D374" s="15"/>
      <c r="E374" s="15"/>
      <c r="F374" s="16"/>
      <c r="G374" s="15"/>
      <c r="H374" s="21">
        <f>IF($A374="","",COUNTIFS(AgPac,$A374,AgStatus,"Compareceu"))</f>
        <v>0</v>
      </c>
      <c r="I374" s="21">
        <f>IF($A374="","",COUNTIFS(AgPac,$A374,AgStatus,"Faltou"))</f>
        <v>0</v>
      </c>
      <c r="J374" s="22">
        <f>IF($A374="","",SUMPRODUCT(MAX((AgPac=$A374)*(AgStatus="Compareceu")*AgData)))</f>
        <v>0</v>
      </c>
    </row>
    <row r="375" spans="1:10">
      <c r="A375" s="15"/>
      <c r="B375" s="15"/>
      <c r="C375" s="15"/>
      <c r="D375" s="15"/>
      <c r="E375" s="15"/>
      <c r="F375" s="16"/>
      <c r="G375" s="15"/>
      <c r="H375" s="21">
        <f>IF($A375="","",COUNTIFS(AgPac,$A375,AgStatus,"Compareceu"))</f>
        <v>0</v>
      </c>
      <c r="I375" s="21">
        <f>IF($A375="","",COUNTIFS(AgPac,$A375,AgStatus,"Faltou"))</f>
        <v>0</v>
      </c>
      <c r="J375" s="22">
        <f>IF($A375="","",SUMPRODUCT(MAX((AgPac=$A375)*(AgStatus="Compareceu")*AgData)))</f>
        <v>0</v>
      </c>
    </row>
    <row r="376" spans="1:10">
      <c r="A376" s="15"/>
      <c r="B376" s="15"/>
      <c r="C376" s="15"/>
      <c r="D376" s="15"/>
      <c r="E376" s="15"/>
      <c r="F376" s="16"/>
      <c r="G376" s="15"/>
      <c r="H376" s="21">
        <f>IF($A376="","",COUNTIFS(AgPac,$A376,AgStatus,"Compareceu"))</f>
        <v>0</v>
      </c>
      <c r="I376" s="21">
        <f>IF($A376="","",COUNTIFS(AgPac,$A376,AgStatus,"Faltou"))</f>
        <v>0</v>
      </c>
      <c r="J376" s="22">
        <f>IF($A376="","",SUMPRODUCT(MAX((AgPac=$A376)*(AgStatus="Compareceu")*AgData)))</f>
        <v>0</v>
      </c>
    </row>
    <row r="377" spans="1:10">
      <c r="A377" s="15"/>
      <c r="B377" s="15"/>
      <c r="C377" s="15"/>
      <c r="D377" s="15"/>
      <c r="E377" s="15"/>
      <c r="F377" s="16"/>
      <c r="G377" s="15"/>
      <c r="H377" s="21">
        <f>IF($A377="","",COUNTIFS(AgPac,$A377,AgStatus,"Compareceu"))</f>
        <v>0</v>
      </c>
      <c r="I377" s="21">
        <f>IF($A377="","",COUNTIFS(AgPac,$A377,AgStatus,"Faltou"))</f>
        <v>0</v>
      </c>
      <c r="J377" s="22">
        <f>IF($A377="","",SUMPRODUCT(MAX((AgPac=$A377)*(AgStatus="Compareceu")*AgData)))</f>
        <v>0</v>
      </c>
    </row>
    <row r="378" spans="1:10">
      <c r="A378" s="15"/>
      <c r="B378" s="15"/>
      <c r="C378" s="15"/>
      <c r="D378" s="15"/>
      <c r="E378" s="15"/>
      <c r="F378" s="16"/>
      <c r="G378" s="15"/>
      <c r="H378" s="21">
        <f>IF($A378="","",COUNTIFS(AgPac,$A378,AgStatus,"Compareceu"))</f>
        <v>0</v>
      </c>
      <c r="I378" s="21">
        <f>IF($A378="","",COUNTIFS(AgPac,$A378,AgStatus,"Faltou"))</f>
        <v>0</v>
      </c>
      <c r="J378" s="22">
        <f>IF($A378="","",SUMPRODUCT(MAX((AgPac=$A378)*(AgStatus="Compareceu")*AgData)))</f>
        <v>0</v>
      </c>
    </row>
    <row r="379" spans="1:10">
      <c r="A379" s="15"/>
      <c r="B379" s="15"/>
      <c r="C379" s="15"/>
      <c r="D379" s="15"/>
      <c r="E379" s="15"/>
      <c r="F379" s="16"/>
      <c r="G379" s="15"/>
      <c r="H379" s="21">
        <f>IF($A379="","",COUNTIFS(AgPac,$A379,AgStatus,"Compareceu"))</f>
        <v>0</v>
      </c>
      <c r="I379" s="21">
        <f>IF($A379="","",COUNTIFS(AgPac,$A379,AgStatus,"Faltou"))</f>
        <v>0</v>
      </c>
      <c r="J379" s="22">
        <f>IF($A379="","",SUMPRODUCT(MAX((AgPac=$A379)*(AgStatus="Compareceu")*AgData)))</f>
        <v>0</v>
      </c>
    </row>
    <row r="380" spans="1:10">
      <c r="A380" s="15"/>
      <c r="B380" s="15"/>
      <c r="C380" s="15"/>
      <c r="D380" s="15"/>
      <c r="E380" s="15"/>
      <c r="F380" s="16"/>
      <c r="G380" s="15"/>
      <c r="H380" s="21">
        <f>IF($A380="","",COUNTIFS(AgPac,$A380,AgStatus,"Compareceu"))</f>
        <v>0</v>
      </c>
      <c r="I380" s="21">
        <f>IF($A380="","",COUNTIFS(AgPac,$A380,AgStatus,"Faltou"))</f>
        <v>0</v>
      </c>
      <c r="J380" s="22">
        <f>IF($A380="","",SUMPRODUCT(MAX((AgPac=$A380)*(AgStatus="Compareceu")*AgData)))</f>
        <v>0</v>
      </c>
    </row>
    <row r="381" spans="1:10">
      <c r="A381" s="15"/>
      <c r="B381" s="15"/>
      <c r="C381" s="15"/>
      <c r="D381" s="15"/>
      <c r="E381" s="15"/>
      <c r="F381" s="16"/>
      <c r="G381" s="15"/>
      <c r="H381" s="21">
        <f>IF($A381="","",COUNTIFS(AgPac,$A381,AgStatus,"Compareceu"))</f>
        <v>0</v>
      </c>
      <c r="I381" s="21">
        <f>IF($A381="","",COUNTIFS(AgPac,$A381,AgStatus,"Faltou"))</f>
        <v>0</v>
      </c>
      <c r="J381" s="22">
        <f>IF($A381="","",SUMPRODUCT(MAX((AgPac=$A381)*(AgStatus="Compareceu")*AgData)))</f>
        <v>0</v>
      </c>
    </row>
    <row r="382" spans="1:10">
      <c r="A382" s="15"/>
      <c r="B382" s="15"/>
      <c r="C382" s="15"/>
      <c r="D382" s="15"/>
      <c r="E382" s="15"/>
      <c r="F382" s="16"/>
      <c r="G382" s="15"/>
      <c r="H382" s="21">
        <f>IF($A382="","",COUNTIFS(AgPac,$A382,AgStatus,"Compareceu"))</f>
        <v>0</v>
      </c>
      <c r="I382" s="21">
        <f>IF($A382="","",COUNTIFS(AgPac,$A382,AgStatus,"Faltou"))</f>
        <v>0</v>
      </c>
      <c r="J382" s="22">
        <f>IF($A382="","",SUMPRODUCT(MAX((AgPac=$A382)*(AgStatus="Compareceu")*AgData)))</f>
        <v>0</v>
      </c>
    </row>
    <row r="383" spans="1:10">
      <c r="A383" s="15"/>
      <c r="B383" s="15"/>
      <c r="C383" s="15"/>
      <c r="D383" s="15"/>
      <c r="E383" s="15"/>
      <c r="F383" s="16"/>
      <c r="G383" s="15"/>
      <c r="H383" s="21">
        <f>IF($A383="","",COUNTIFS(AgPac,$A383,AgStatus,"Compareceu"))</f>
        <v>0</v>
      </c>
      <c r="I383" s="21">
        <f>IF($A383="","",COUNTIFS(AgPac,$A383,AgStatus,"Faltou"))</f>
        <v>0</v>
      </c>
      <c r="J383" s="22">
        <f>IF($A383="","",SUMPRODUCT(MAX((AgPac=$A383)*(AgStatus="Compareceu")*AgData)))</f>
        <v>0</v>
      </c>
    </row>
    <row r="384" spans="1:10">
      <c r="A384" s="15"/>
      <c r="B384" s="15"/>
      <c r="C384" s="15"/>
      <c r="D384" s="15"/>
      <c r="E384" s="15"/>
      <c r="F384" s="16"/>
      <c r="G384" s="15"/>
      <c r="H384" s="21">
        <f>IF($A384="","",COUNTIFS(AgPac,$A384,AgStatus,"Compareceu"))</f>
        <v>0</v>
      </c>
      <c r="I384" s="21">
        <f>IF($A384="","",COUNTIFS(AgPac,$A384,AgStatus,"Faltou"))</f>
        <v>0</v>
      </c>
      <c r="J384" s="22">
        <f>IF($A384="","",SUMPRODUCT(MAX((AgPac=$A384)*(AgStatus="Compareceu")*AgData)))</f>
        <v>0</v>
      </c>
    </row>
    <row r="385" spans="1:10">
      <c r="A385" s="15"/>
      <c r="B385" s="15"/>
      <c r="C385" s="15"/>
      <c r="D385" s="15"/>
      <c r="E385" s="15"/>
      <c r="F385" s="16"/>
      <c r="G385" s="15"/>
      <c r="H385" s="21">
        <f>IF($A385="","",COUNTIFS(AgPac,$A385,AgStatus,"Compareceu"))</f>
        <v>0</v>
      </c>
      <c r="I385" s="21">
        <f>IF($A385="","",COUNTIFS(AgPac,$A385,AgStatus,"Faltou"))</f>
        <v>0</v>
      </c>
      <c r="J385" s="22">
        <f>IF($A385="","",SUMPRODUCT(MAX((AgPac=$A385)*(AgStatus="Compareceu")*AgData)))</f>
        <v>0</v>
      </c>
    </row>
    <row r="386" spans="1:10">
      <c r="A386" s="15"/>
      <c r="B386" s="15"/>
      <c r="C386" s="15"/>
      <c r="D386" s="15"/>
      <c r="E386" s="15"/>
      <c r="F386" s="16"/>
      <c r="G386" s="15"/>
      <c r="H386" s="21">
        <f>IF($A386="","",COUNTIFS(AgPac,$A386,AgStatus,"Compareceu"))</f>
        <v>0</v>
      </c>
      <c r="I386" s="21">
        <f>IF($A386="","",COUNTIFS(AgPac,$A386,AgStatus,"Faltou"))</f>
        <v>0</v>
      </c>
      <c r="J386" s="22">
        <f>IF($A386="","",SUMPRODUCT(MAX((AgPac=$A386)*(AgStatus="Compareceu")*AgData)))</f>
        <v>0</v>
      </c>
    </row>
    <row r="387" spans="1:10">
      <c r="A387" s="15"/>
      <c r="B387" s="15"/>
      <c r="C387" s="15"/>
      <c r="D387" s="15"/>
      <c r="E387" s="15"/>
      <c r="F387" s="16"/>
      <c r="G387" s="15"/>
      <c r="H387" s="21">
        <f>IF($A387="","",COUNTIFS(AgPac,$A387,AgStatus,"Compareceu"))</f>
        <v>0</v>
      </c>
      <c r="I387" s="21">
        <f>IF($A387="","",COUNTIFS(AgPac,$A387,AgStatus,"Faltou"))</f>
        <v>0</v>
      </c>
      <c r="J387" s="22">
        <f>IF($A387="","",SUMPRODUCT(MAX((AgPac=$A387)*(AgStatus="Compareceu")*AgData)))</f>
        <v>0</v>
      </c>
    </row>
    <row r="388" spans="1:10">
      <c r="A388" s="15"/>
      <c r="B388" s="15"/>
      <c r="C388" s="15"/>
      <c r="D388" s="15"/>
      <c r="E388" s="15"/>
      <c r="F388" s="16"/>
      <c r="G388" s="15"/>
      <c r="H388" s="21">
        <f>IF($A388="","",COUNTIFS(AgPac,$A388,AgStatus,"Compareceu"))</f>
        <v>0</v>
      </c>
      <c r="I388" s="21">
        <f>IF($A388="","",COUNTIFS(AgPac,$A388,AgStatus,"Faltou"))</f>
        <v>0</v>
      </c>
      <c r="J388" s="22">
        <f>IF($A388="","",SUMPRODUCT(MAX((AgPac=$A388)*(AgStatus="Compareceu")*AgData)))</f>
        <v>0</v>
      </c>
    </row>
    <row r="389" spans="1:10">
      <c r="A389" s="15"/>
      <c r="B389" s="15"/>
      <c r="C389" s="15"/>
      <c r="D389" s="15"/>
      <c r="E389" s="15"/>
      <c r="F389" s="16"/>
      <c r="G389" s="15"/>
      <c r="H389" s="21">
        <f>IF($A389="","",COUNTIFS(AgPac,$A389,AgStatus,"Compareceu"))</f>
        <v>0</v>
      </c>
      <c r="I389" s="21">
        <f>IF($A389="","",COUNTIFS(AgPac,$A389,AgStatus,"Faltou"))</f>
        <v>0</v>
      </c>
      <c r="J389" s="22">
        <f>IF($A389="","",SUMPRODUCT(MAX((AgPac=$A389)*(AgStatus="Compareceu")*AgData)))</f>
        <v>0</v>
      </c>
    </row>
    <row r="390" spans="1:10">
      <c r="A390" s="15"/>
      <c r="B390" s="15"/>
      <c r="C390" s="15"/>
      <c r="D390" s="15"/>
      <c r="E390" s="15"/>
      <c r="F390" s="16"/>
      <c r="G390" s="15"/>
      <c r="H390" s="21">
        <f>IF($A390="","",COUNTIFS(AgPac,$A390,AgStatus,"Compareceu"))</f>
        <v>0</v>
      </c>
      <c r="I390" s="21">
        <f>IF($A390="","",COUNTIFS(AgPac,$A390,AgStatus,"Faltou"))</f>
        <v>0</v>
      </c>
      <c r="J390" s="22">
        <f>IF($A390="","",SUMPRODUCT(MAX((AgPac=$A390)*(AgStatus="Compareceu")*AgData)))</f>
        <v>0</v>
      </c>
    </row>
    <row r="391" spans="1:10">
      <c r="A391" s="15"/>
      <c r="B391" s="15"/>
      <c r="C391" s="15"/>
      <c r="D391" s="15"/>
      <c r="E391" s="15"/>
      <c r="F391" s="16"/>
      <c r="G391" s="15"/>
      <c r="H391" s="21">
        <f>IF($A391="","",COUNTIFS(AgPac,$A391,AgStatus,"Compareceu"))</f>
        <v>0</v>
      </c>
      <c r="I391" s="21">
        <f>IF($A391="","",COUNTIFS(AgPac,$A391,AgStatus,"Faltou"))</f>
        <v>0</v>
      </c>
      <c r="J391" s="22">
        <f>IF($A391="","",SUMPRODUCT(MAX((AgPac=$A391)*(AgStatus="Compareceu")*AgData)))</f>
        <v>0</v>
      </c>
    </row>
    <row r="392" spans="1:10">
      <c r="A392" s="15"/>
      <c r="B392" s="15"/>
      <c r="C392" s="15"/>
      <c r="D392" s="15"/>
      <c r="E392" s="15"/>
      <c r="F392" s="16"/>
      <c r="G392" s="15"/>
      <c r="H392" s="21">
        <f>IF($A392="","",COUNTIFS(AgPac,$A392,AgStatus,"Compareceu"))</f>
        <v>0</v>
      </c>
      <c r="I392" s="21">
        <f>IF($A392="","",COUNTIFS(AgPac,$A392,AgStatus,"Faltou"))</f>
        <v>0</v>
      </c>
      <c r="J392" s="22">
        <f>IF($A392="","",SUMPRODUCT(MAX((AgPac=$A392)*(AgStatus="Compareceu")*AgData)))</f>
        <v>0</v>
      </c>
    </row>
    <row r="393" spans="1:10">
      <c r="A393" s="15"/>
      <c r="B393" s="15"/>
      <c r="C393" s="15"/>
      <c r="D393" s="15"/>
      <c r="E393" s="15"/>
      <c r="F393" s="16"/>
      <c r="G393" s="15"/>
      <c r="H393" s="21">
        <f>IF($A393="","",COUNTIFS(AgPac,$A393,AgStatus,"Compareceu"))</f>
        <v>0</v>
      </c>
      <c r="I393" s="21">
        <f>IF($A393="","",COUNTIFS(AgPac,$A393,AgStatus,"Faltou"))</f>
        <v>0</v>
      </c>
      <c r="J393" s="22">
        <f>IF($A393="","",SUMPRODUCT(MAX((AgPac=$A393)*(AgStatus="Compareceu")*AgData)))</f>
        <v>0</v>
      </c>
    </row>
    <row r="394" spans="1:10">
      <c r="A394" s="15"/>
      <c r="B394" s="15"/>
      <c r="C394" s="15"/>
      <c r="D394" s="15"/>
      <c r="E394" s="15"/>
      <c r="F394" s="16"/>
      <c r="G394" s="15"/>
      <c r="H394" s="21">
        <f>IF($A394="","",COUNTIFS(AgPac,$A394,AgStatus,"Compareceu"))</f>
        <v>0</v>
      </c>
      <c r="I394" s="21">
        <f>IF($A394="","",COUNTIFS(AgPac,$A394,AgStatus,"Faltou"))</f>
        <v>0</v>
      </c>
      <c r="J394" s="22">
        <f>IF($A394="","",SUMPRODUCT(MAX((AgPac=$A394)*(AgStatus="Compareceu")*AgData)))</f>
        <v>0</v>
      </c>
    </row>
    <row r="395" spans="1:10">
      <c r="A395" s="15"/>
      <c r="B395" s="15"/>
      <c r="C395" s="15"/>
      <c r="D395" s="15"/>
      <c r="E395" s="15"/>
      <c r="F395" s="16"/>
      <c r="G395" s="15"/>
      <c r="H395" s="21">
        <f>IF($A395="","",COUNTIFS(AgPac,$A395,AgStatus,"Compareceu"))</f>
        <v>0</v>
      </c>
      <c r="I395" s="21">
        <f>IF($A395="","",COUNTIFS(AgPac,$A395,AgStatus,"Faltou"))</f>
        <v>0</v>
      </c>
      <c r="J395" s="22">
        <f>IF($A395="","",SUMPRODUCT(MAX((AgPac=$A395)*(AgStatus="Compareceu")*AgData)))</f>
        <v>0</v>
      </c>
    </row>
    <row r="396" spans="1:10">
      <c r="A396" s="15"/>
      <c r="B396" s="15"/>
      <c r="C396" s="15"/>
      <c r="D396" s="15"/>
      <c r="E396" s="15"/>
      <c r="F396" s="16"/>
      <c r="G396" s="15"/>
      <c r="H396" s="21">
        <f>IF($A396="","",COUNTIFS(AgPac,$A396,AgStatus,"Compareceu"))</f>
        <v>0</v>
      </c>
      <c r="I396" s="21">
        <f>IF($A396="","",COUNTIFS(AgPac,$A396,AgStatus,"Faltou"))</f>
        <v>0</v>
      </c>
      <c r="J396" s="22">
        <f>IF($A396="","",SUMPRODUCT(MAX((AgPac=$A396)*(AgStatus="Compareceu")*AgData)))</f>
        <v>0</v>
      </c>
    </row>
    <row r="397" spans="1:10">
      <c r="A397" s="15"/>
      <c r="B397" s="15"/>
      <c r="C397" s="15"/>
      <c r="D397" s="15"/>
      <c r="E397" s="15"/>
      <c r="F397" s="16"/>
      <c r="G397" s="15"/>
      <c r="H397" s="21">
        <f>IF($A397="","",COUNTIFS(AgPac,$A397,AgStatus,"Compareceu"))</f>
        <v>0</v>
      </c>
      <c r="I397" s="21">
        <f>IF($A397="","",COUNTIFS(AgPac,$A397,AgStatus,"Faltou"))</f>
        <v>0</v>
      </c>
      <c r="J397" s="22">
        <f>IF($A397="","",SUMPRODUCT(MAX((AgPac=$A397)*(AgStatus="Compareceu")*AgData)))</f>
        <v>0</v>
      </c>
    </row>
    <row r="398" spans="1:10">
      <c r="A398" s="15"/>
      <c r="B398" s="15"/>
      <c r="C398" s="15"/>
      <c r="D398" s="15"/>
      <c r="E398" s="15"/>
      <c r="F398" s="16"/>
      <c r="G398" s="15"/>
      <c r="H398" s="21">
        <f>IF($A398="","",COUNTIFS(AgPac,$A398,AgStatus,"Compareceu"))</f>
        <v>0</v>
      </c>
      <c r="I398" s="21">
        <f>IF($A398="","",COUNTIFS(AgPac,$A398,AgStatus,"Faltou"))</f>
        <v>0</v>
      </c>
      <c r="J398" s="22">
        <f>IF($A398="","",SUMPRODUCT(MAX((AgPac=$A398)*(AgStatus="Compareceu")*AgData)))</f>
        <v>0</v>
      </c>
    </row>
    <row r="399" spans="1:10">
      <c r="A399" s="15"/>
      <c r="B399" s="15"/>
      <c r="C399" s="15"/>
      <c r="D399" s="15"/>
      <c r="E399" s="15"/>
      <c r="F399" s="16"/>
      <c r="G399" s="15"/>
      <c r="H399" s="21">
        <f>IF($A399="","",COUNTIFS(AgPac,$A399,AgStatus,"Compareceu"))</f>
        <v>0</v>
      </c>
      <c r="I399" s="21">
        <f>IF($A399="","",COUNTIFS(AgPac,$A399,AgStatus,"Faltou"))</f>
        <v>0</v>
      </c>
      <c r="J399" s="22">
        <f>IF($A399="","",SUMPRODUCT(MAX((AgPac=$A399)*(AgStatus="Compareceu")*AgData)))</f>
        <v>0</v>
      </c>
    </row>
    <row r="400" spans="1:10">
      <c r="A400" s="15"/>
      <c r="B400" s="15"/>
      <c r="C400" s="15"/>
      <c r="D400" s="15"/>
      <c r="E400" s="15"/>
      <c r="F400" s="16"/>
      <c r="G400" s="15"/>
      <c r="H400" s="21">
        <f>IF($A400="","",COUNTIFS(AgPac,$A400,AgStatus,"Compareceu"))</f>
        <v>0</v>
      </c>
      <c r="I400" s="21">
        <f>IF($A400="","",COUNTIFS(AgPac,$A400,AgStatus,"Faltou"))</f>
        <v>0</v>
      </c>
      <c r="J400" s="22">
        <f>IF($A400="","",SUMPRODUCT(MAX((AgPac=$A400)*(AgStatus="Compareceu")*AgData)))</f>
        <v>0</v>
      </c>
    </row>
    <row r="401" spans="1:10">
      <c r="A401" s="15"/>
      <c r="B401" s="15"/>
      <c r="C401" s="15"/>
      <c r="D401" s="15"/>
      <c r="E401" s="15"/>
      <c r="F401" s="16"/>
      <c r="G401" s="15"/>
      <c r="H401" s="21">
        <f>IF($A401="","",COUNTIFS(AgPac,$A401,AgStatus,"Compareceu"))</f>
        <v>0</v>
      </c>
      <c r="I401" s="21">
        <f>IF($A401="","",COUNTIFS(AgPac,$A401,AgStatus,"Faltou"))</f>
        <v>0</v>
      </c>
      <c r="J401" s="22">
        <f>IF($A401="","",SUMPRODUCT(MAX((AgPac=$A401)*(AgStatus="Compareceu")*AgData)))</f>
        <v>0</v>
      </c>
    </row>
    <row r="402" spans="1:10">
      <c r="A402" s="15"/>
      <c r="B402" s="15"/>
      <c r="C402" s="15"/>
      <c r="D402" s="15"/>
      <c r="E402" s="15"/>
      <c r="F402" s="16"/>
      <c r="G402" s="15"/>
      <c r="H402" s="21">
        <f>IF($A402="","",COUNTIFS(AgPac,$A402,AgStatus,"Compareceu"))</f>
        <v>0</v>
      </c>
      <c r="I402" s="21">
        <f>IF($A402="","",COUNTIFS(AgPac,$A402,AgStatus,"Faltou"))</f>
        <v>0</v>
      </c>
      <c r="J402" s="22">
        <f>IF($A402="","",SUMPRODUCT(MAX((AgPac=$A402)*(AgStatus="Compareceu")*AgData)))</f>
        <v>0</v>
      </c>
    </row>
    <row r="403" spans="1:10">
      <c r="A403" s="15"/>
      <c r="B403" s="15"/>
      <c r="C403" s="15"/>
      <c r="D403" s="15"/>
      <c r="E403" s="15"/>
      <c r="F403" s="16"/>
      <c r="G403" s="15"/>
      <c r="H403" s="21">
        <f>IF($A403="","",COUNTIFS(AgPac,$A403,AgStatus,"Compareceu"))</f>
        <v>0</v>
      </c>
      <c r="I403" s="21">
        <f>IF($A403="","",COUNTIFS(AgPac,$A403,AgStatus,"Faltou"))</f>
        <v>0</v>
      </c>
      <c r="J403" s="22">
        <f>IF($A403="","",SUMPRODUCT(MAX((AgPac=$A403)*(AgStatus="Compareceu")*AgData)))</f>
        <v>0</v>
      </c>
    </row>
    <row r="404" spans="1:10">
      <c r="A404" s="15"/>
      <c r="B404" s="15"/>
      <c r="C404" s="15"/>
      <c r="D404" s="15"/>
      <c r="E404" s="15"/>
      <c r="F404" s="16"/>
      <c r="G404" s="15"/>
      <c r="H404" s="21">
        <f>IF($A404="","",COUNTIFS(AgPac,$A404,AgStatus,"Compareceu"))</f>
        <v>0</v>
      </c>
      <c r="I404" s="21">
        <f>IF($A404="","",COUNTIFS(AgPac,$A404,AgStatus,"Faltou"))</f>
        <v>0</v>
      </c>
      <c r="J404" s="22">
        <f>IF($A404="","",SUMPRODUCT(MAX((AgPac=$A404)*(AgStatus="Compareceu")*AgData)))</f>
        <v>0</v>
      </c>
    </row>
    <row r="405" spans="1:10">
      <c r="A405" s="15"/>
      <c r="B405" s="15"/>
      <c r="C405" s="15"/>
      <c r="D405" s="15"/>
      <c r="E405" s="15"/>
      <c r="F405" s="16"/>
      <c r="G405" s="15"/>
      <c r="H405" s="21">
        <f>IF($A405="","",COUNTIFS(AgPac,$A405,AgStatus,"Compareceu"))</f>
        <v>0</v>
      </c>
      <c r="I405" s="21">
        <f>IF($A405="","",COUNTIFS(AgPac,$A405,AgStatus,"Faltou"))</f>
        <v>0</v>
      </c>
      <c r="J405" s="22">
        <f>IF($A405="","",SUMPRODUCT(MAX((AgPac=$A405)*(AgStatus="Compareceu")*AgData)))</f>
        <v>0</v>
      </c>
    </row>
    <row r="406" spans="1:10">
      <c r="A406" s="15"/>
      <c r="B406" s="15"/>
      <c r="C406" s="15"/>
      <c r="D406" s="15"/>
      <c r="E406" s="15"/>
      <c r="F406" s="16"/>
      <c r="G406" s="15"/>
      <c r="H406" s="21">
        <f>IF($A406="","",COUNTIFS(AgPac,$A406,AgStatus,"Compareceu"))</f>
        <v>0</v>
      </c>
      <c r="I406" s="21">
        <f>IF($A406="","",COUNTIFS(AgPac,$A406,AgStatus,"Faltou"))</f>
        <v>0</v>
      </c>
      <c r="J406" s="22">
        <f>IF($A406="","",SUMPRODUCT(MAX((AgPac=$A406)*(AgStatus="Compareceu")*AgData)))</f>
        <v>0</v>
      </c>
    </row>
    <row r="407" spans="1:10">
      <c r="A407" s="15"/>
      <c r="B407" s="15"/>
      <c r="C407" s="15"/>
      <c r="D407" s="15"/>
      <c r="E407" s="15"/>
      <c r="F407" s="16"/>
      <c r="G407" s="15"/>
      <c r="H407" s="21">
        <f>IF($A407="","",COUNTIFS(AgPac,$A407,AgStatus,"Compareceu"))</f>
        <v>0</v>
      </c>
      <c r="I407" s="21">
        <f>IF($A407="","",COUNTIFS(AgPac,$A407,AgStatus,"Faltou"))</f>
        <v>0</v>
      </c>
      <c r="J407" s="22">
        <f>IF($A407="","",SUMPRODUCT(MAX((AgPac=$A407)*(AgStatus="Compareceu")*AgData)))</f>
        <v>0</v>
      </c>
    </row>
    <row r="408" spans="1:10">
      <c r="A408" s="15"/>
      <c r="B408" s="15"/>
      <c r="C408" s="15"/>
      <c r="D408" s="15"/>
      <c r="E408" s="15"/>
      <c r="F408" s="16"/>
      <c r="G408" s="15"/>
      <c r="H408" s="21">
        <f>IF($A408="","",COUNTIFS(AgPac,$A408,AgStatus,"Compareceu"))</f>
        <v>0</v>
      </c>
      <c r="I408" s="21">
        <f>IF($A408="","",COUNTIFS(AgPac,$A408,AgStatus,"Faltou"))</f>
        <v>0</v>
      </c>
      <c r="J408" s="22">
        <f>IF($A408="","",SUMPRODUCT(MAX((AgPac=$A408)*(AgStatus="Compareceu")*AgData)))</f>
        <v>0</v>
      </c>
    </row>
    <row r="409" spans="1:10">
      <c r="A409" s="15"/>
      <c r="B409" s="15"/>
      <c r="C409" s="15"/>
      <c r="D409" s="15"/>
      <c r="E409" s="15"/>
      <c r="F409" s="16"/>
      <c r="G409" s="15"/>
      <c r="H409" s="21">
        <f>IF($A409="","",COUNTIFS(AgPac,$A409,AgStatus,"Compareceu"))</f>
        <v>0</v>
      </c>
      <c r="I409" s="21">
        <f>IF($A409="","",COUNTIFS(AgPac,$A409,AgStatus,"Faltou"))</f>
        <v>0</v>
      </c>
      <c r="J409" s="22">
        <f>IF($A409="","",SUMPRODUCT(MAX((AgPac=$A409)*(AgStatus="Compareceu")*AgData)))</f>
        <v>0</v>
      </c>
    </row>
    <row r="410" spans="1:10">
      <c r="A410" s="15"/>
      <c r="B410" s="15"/>
      <c r="C410" s="15"/>
      <c r="D410" s="15"/>
      <c r="E410" s="15"/>
      <c r="F410" s="16"/>
      <c r="G410" s="15"/>
      <c r="H410" s="21">
        <f>IF($A410="","",COUNTIFS(AgPac,$A410,AgStatus,"Compareceu"))</f>
        <v>0</v>
      </c>
      <c r="I410" s="21">
        <f>IF($A410="","",COUNTIFS(AgPac,$A410,AgStatus,"Faltou"))</f>
        <v>0</v>
      </c>
      <c r="J410" s="22">
        <f>IF($A410="","",SUMPRODUCT(MAX((AgPac=$A410)*(AgStatus="Compareceu")*AgData)))</f>
        <v>0</v>
      </c>
    </row>
    <row r="411" spans="1:10">
      <c r="A411" s="15"/>
      <c r="B411" s="15"/>
      <c r="C411" s="15"/>
      <c r="D411" s="15"/>
      <c r="E411" s="15"/>
      <c r="F411" s="16"/>
      <c r="G411" s="15"/>
      <c r="H411" s="21">
        <f>IF($A411="","",COUNTIFS(AgPac,$A411,AgStatus,"Compareceu"))</f>
        <v>0</v>
      </c>
      <c r="I411" s="21">
        <f>IF($A411="","",COUNTIFS(AgPac,$A411,AgStatus,"Faltou"))</f>
        <v>0</v>
      </c>
      <c r="J411" s="22">
        <f>IF($A411="","",SUMPRODUCT(MAX((AgPac=$A411)*(AgStatus="Compareceu")*AgData)))</f>
        <v>0</v>
      </c>
    </row>
    <row r="412" spans="1:10">
      <c r="A412" s="15"/>
      <c r="B412" s="15"/>
      <c r="C412" s="15"/>
      <c r="D412" s="15"/>
      <c r="E412" s="15"/>
      <c r="F412" s="16"/>
      <c r="G412" s="15"/>
      <c r="H412" s="21">
        <f>IF($A412="","",COUNTIFS(AgPac,$A412,AgStatus,"Compareceu"))</f>
        <v>0</v>
      </c>
      <c r="I412" s="21">
        <f>IF($A412="","",COUNTIFS(AgPac,$A412,AgStatus,"Faltou"))</f>
        <v>0</v>
      </c>
      <c r="J412" s="22">
        <f>IF($A412="","",SUMPRODUCT(MAX((AgPac=$A412)*(AgStatus="Compareceu")*AgData)))</f>
        <v>0</v>
      </c>
    </row>
    <row r="413" spans="1:10">
      <c r="A413" s="15"/>
      <c r="B413" s="15"/>
      <c r="C413" s="15"/>
      <c r="D413" s="15"/>
      <c r="E413" s="15"/>
      <c r="F413" s="16"/>
      <c r="G413" s="15"/>
      <c r="H413" s="21">
        <f>IF($A413="","",COUNTIFS(AgPac,$A413,AgStatus,"Compareceu"))</f>
        <v>0</v>
      </c>
      <c r="I413" s="21">
        <f>IF($A413="","",COUNTIFS(AgPac,$A413,AgStatus,"Faltou"))</f>
        <v>0</v>
      </c>
      <c r="J413" s="22">
        <f>IF($A413="","",SUMPRODUCT(MAX((AgPac=$A413)*(AgStatus="Compareceu")*AgData)))</f>
        <v>0</v>
      </c>
    </row>
    <row r="414" spans="1:10">
      <c r="A414" s="15"/>
      <c r="B414" s="15"/>
      <c r="C414" s="15"/>
      <c r="D414" s="15"/>
      <c r="E414" s="15"/>
      <c r="F414" s="16"/>
      <c r="G414" s="15"/>
      <c r="H414" s="21">
        <f>IF($A414="","",COUNTIFS(AgPac,$A414,AgStatus,"Compareceu"))</f>
        <v>0</v>
      </c>
      <c r="I414" s="21">
        <f>IF($A414="","",COUNTIFS(AgPac,$A414,AgStatus,"Faltou"))</f>
        <v>0</v>
      </c>
      <c r="J414" s="22">
        <f>IF($A414="","",SUMPRODUCT(MAX((AgPac=$A414)*(AgStatus="Compareceu")*AgData)))</f>
        <v>0</v>
      </c>
    </row>
    <row r="415" spans="1:10">
      <c r="A415" s="15"/>
      <c r="B415" s="15"/>
      <c r="C415" s="15"/>
      <c r="D415" s="15"/>
      <c r="E415" s="15"/>
      <c r="F415" s="16"/>
      <c r="G415" s="15"/>
      <c r="H415" s="21">
        <f>IF($A415="","",COUNTIFS(AgPac,$A415,AgStatus,"Compareceu"))</f>
        <v>0</v>
      </c>
      <c r="I415" s="21">
        <f>IF($A415="","",COUNTIFS(AgPac,$A415,AgStatus,"Faltou"))</f>
        <v>0</v>
      </c>
      <c r="J415" s="22">
        <f>IF($A415="","",SUMPRODUCT(MAX((AgPac=$A415)*(AgStatus="Compareceu")*AgData)))</f>
        <v>0</v>
      </c>
    </row>
    <row r="416" spans="1:10">
      <c r="A416" s="15"/>
      <c r="B416" s="15"/>
      <c r="C416" s="15"/>
      <c r="D416" s="15"/>
      <c r="E416" s="15"/>
      <c r="F416" s="16"/>
      <c r="G416" s="15"/>
      <c r="H416" s="21">
        <f>IF($A416="","",COUNTIFS(AgPac,$A416,AgStatus,"Compareceu"))</f>
        <v>0</v>
      </c>
      <c r="I416" s="21">
        <f>IF($A416="","",COUNTIFS(AgPac,$A416,AgStatus,"Faltou"))</f>
        <v>0</v>
      </c>
      <c r="J416" s="22">
        <f>IF($A416="","",SUMPRODUCT(MAX((AgPac=$A416)*(AgStatus="Compareceu")*AgData)))</f>
        <v>0</v>
      </c>
    </row>
    <row r="417" spans="1:10">
      <c r="A417" s="15"/>
      <c r="B417" s="15"/>
      <c r="C417" s="15"/>
      <c r="D417" s="15"/>
      <c r="E417" s="15"/>
      <c r="F417" s="16"/>
      <c r="G417" s="15"/>
      <c r="H417" s="21">
        <f>IF($A417="","",COUNTIFS(AgPac,$A417,AgStatus,"Compareceu"))</f>
        <v>0</v>
      </c>
      <c r="I417" s="21">
        <f>IF($A417="","",COUNTIFS(AgPac,$A417,AgStatus,"Faltou"))</f>
        <v>0</v>
      </c>
      <c r="J417" s="22">
        <f>IF($A417="","",SUMPRODUCT(MAX((AgPac=$A417)*(AgStatus="Compareceu")*AgData)))</f>
        <v>0</v>
      </c>
    </row>
    <row r="418" spans="1:10">
      <c r="A418" s="15"/>
      <c r="B418" s="15"/>
      <c r="C418" s="15"/>
      <c r="D418" s="15"/>
      <c r="E418" s="15"/>
      <c r="F418" s="16"/>
      <c r="G418" s="15"/>
      <c r="H418" s="21">
        <f>IF($A418="","",COUNTIFS(AgPac,$A418,AgStatus,"Compareceu"))</f>
        <v>0</v>
      </c>
      <c r="I418" s="21">
        <f>IF($A418="","",COUNTIFS(AgPac,$A418,AgStatus,"Faltou"))</f>
        <v>0</v>
      </c>
      <c r="J418" s="22">
        <f>IF($A418="","",SUMPRODUCT(MAX((AgPac=$A418)*(AgStatus="Compareceu")*AgData)))</f>
        <v>0</v>
      </c>
    </row>
    <row r="419" spans="1:10">
      <c r="A419" s="15"/>
      <c r="B419" s="15"/>
      <c r="C419" s="15"/>
      <c r="D419" s="15"/>
      <c r="E419" s="15"/>
      <c r="F419" s="16"/>
      <c r="G419" s="15"/>
      <c r="H419" s="21">
        <f>IF($A419="","",COUNTIFS(AgPac,$A419,AgStatus,"Compareceu"))</f>
        <v>0</v>
      </c>
      <c r="I419" s="21">
        <f>IF($A419="","",COUNTIFS(AgPac,$A419,AgStatus,"Faltou"))</f>
        <v>0</v>
      </c>
      <c r="J419" s="22">
        <f>IF($A419="","",SUMPRODUCT(MAX((AgPac=$A419)*(AgStatus="Compareceu")*AgData)))</f>
        <v>0</v>
      </c>
    </row>
    <row r="420" spans="1:10">
      <c r="A420" s="15"/>
      <c r="B420" s="15"/>
      <c r="C420" s="15"/>
      <c r="D420" s="15"/>
      <c r="E420" s="15"/>
      <c r="F420" s="16"/>
      <c r="G420" s="15"/>
      <c r="H420" s="21">
        <f>IF($A420="","",COUNTIFS(AgPac,$A420,AgStatus,"Compareceu"))</f>
        <v>0</v>
      </c>
      <c r="I420" s="21">
        <f>IF($A420="","",COUNTIFS(AgPac,$A420,AgStatus,"Faltou"))</f>
        <v>0</v>
      </c>
      <c r="J420" s="22">
        <f>IF($A420="","",SUMPRODUCT(MAX((AgPac=$A420)*(AgStatus="Compareceu")*AgData)))</f>
        <v>0</v>
      </c>
    </row>
    <row r="421" spans="1:10">
      <c r="A421" s="15"/>
      <c r="B421" s="15"/>
      <c r="C421" s="15"/>
      <c r="D421" s="15"/>
      <c r="E421" s="15"/>
      <c r="F421" s="16"/>
      <c r="G421" s="15"/>
      <c r="H421" s="21">
        <f>IF($A421="","",COUNTIFS(AgPac,$A421,AgStatus,"Compareceu"))</f>
        <v>0</v>
      </c>
      <c r="I421" s="21">
        <f>IF($A421="","",COUNTIFS(AgPac,$A421,AgStatus,"Faltou"))</f>
        <v>0</v>
      </c>
      <c r="J421" s="22">
        <f>IF($A421="","",SUMPRODUCT(MAX((AgPac=$A421)*(AgStatus="Compareceu")*AgData)))</f>
        <v>0</v>
      </c>
    </row>
    <row r="422" spans="1:10">
      <c r="A422" s="15"/>
      <c r="B422" s="15"/>
      <c r="C422" s="15"/>
      <c r="D422" s="15"/>
      <c r="E422" s="15"/>
      <c r="F422" s="16"/>
      <c r="G422" s="15"/>
      <c r="H422" s="21">
        <f>IF($A422="","",COUNTIFS(AgPac,$A422,AgStatus,"Compareceu"))</f>
        <v>0</v>
      </c>
      <c r="I422" s="21">
        <f>IF($A422="","",COUNTIFS(AgPac,$A422,AgStatus,"Faltou"))</f>
        <v>0</v>
      </c>
      <c r="J422" s="22">
        <f>IF($A422="","",SUMPRODUCT(MAX((AgPac=$A422)*(AgStatus="Compareceu")*AgData)))</f>
        <v>0</v>
      </c>
    </row>
    <row r="423" spans="1:10">
      <c r="A423" s="15"/>
      <c r="B423" s="15"/>
      <c r="C423" s="15"/>
      <c r="D423" s="15"/>
      <c r="E423" s="15"/>
      <c r="F423" s="16"/>
      <c r="G423" s="15"/>
      <c r="H423" s="21">
        <f>IF($A423="","",COUNTIFS(AgPac,$A423,AgStatus,"Compareceu"))</f>
        <v>0</v>
      </c>
      <c r="I423" s="21">
        <f>IF($A423="","",COUNTIFS(AgPac,$A423,AgStatus,"Faltou"))</f>
        <v>0</v>
      </c>
      <c r="J423" s="22">
        <f>IF($A423="","",SUMPRODUCT(MAX((AgPac=$A423)*(AgStatus="Compareceu")*AgData)))</f>
        <v>0</v>
      </c>
    </row>
    <row r="424" spans="1:10">
      <c r="A424" s="15"/>
      <c r="B424" s="15"/>
      <c r="C424" s="15"/>
      <c r="D424" s="15"/>
      <c r="E424" s="15"/>
      <c r="F424" s="16"/>
      <c r="G424" s="15"/>
      <c r="H424" s="21">
        <f>IF($A424="","",COUNTIFS(AgPac,$A424,AgStatus,"Compareceu"))</f>
        <v>0</v>
      </c>
      <c r="I424" s="21">
        <f>IF($A424="","",COUNTIFS(AgPac,$A424,AgStatus,"Faltou"))</f>
        <v>0</v>
      </c>
      <c r="J424" s="22">
        <f>IF($A424="","",SUMPRODUCT(MAX((AgPac=$A424)*(AgStatus="Compareceu")*AgData)))</f>
        <v>0</v>
      </c>
    </row>
    <row r="425" spans="1:10">
      <c r="A425" s="15"/>
      <c r="B425" s="15"/>
      <c r="C425" s="15"/>
      <c r="D425" s="15"/>
      <c r="E425" s="15"/>
      <c r="F425" s="16"/>
      <c r="G425" s="15"/>
      <c r="H425" s="21">
        <f>IF($A425="","",COUNTIFS(AgPac,$A425,AgStatus,"Compareceu"))</f>
        <v>0</v>
      </c>
      <c r="I425" s="21">
        <f>IF($A425="","",COUNTIFS(AgPac,$A425,AgStatus,"Faltou"))</f>
        <v>0</v>
      </c>
      <c r="J425" s="22">
        <f>IF($A425="","",SUMPRODUCT(MAX((AgPac=$A425)*(AgStatus="Compareceu")*AgData)))</f>
        <v>0</v>
      </c>
    </row>
    <row r="426" spans="1:10">
      <c r="A426" s="15"/>
      <c r="B426" s="15"/>
      <c r="C426" s="15"/>
      <c r="D426" s="15"/>
      <c r="E426" s="15"/>
      <c r="F426" s="16"/>
      <c r="G426" s="15"/>
      <c r="H426" s="21">
        <f>IF($A426="","",COUNTIFS(AgPac,$A426,AgStatus,"Compareceu"))</f>
        <v>0</v>
      </c>
      <c r="I426" s="21">
        <f>IF($A426="","",COUNTIFS(AgPac,$A426,AgStatus,"Faltou"))</f>
        <v>0</v>
      </c>
      <c r="J426" s="22">
        <f>IF($A426="","",SUMPRODUCT(MAX((AgPac=$A426)*(AgStatus="Compareceu")*AgData)))</f>
        <v>0</v>
      </c>
    </row>
    <row r="427" spans="1:10">
      <c r="A427" s="15"/>
      <c r="B427" s="15"/>
      <c r="C427" s="15"/>
      <c r="D427" s="15"/>
      <c r="E427" s="15"/>
      <c r="F427" s="16"/>
      <c r="G427" s="15"/>
      <c r="H427" s="21">
        <f>IF($A427="","",COUNTIFS(AgPac,$A427,AgStatus,"Compareceu"))</f>
        <v>0</v>
      </c>
      <c r="I427" s="21">
        <f>IF($A427="","",COUNTIFS(AgPac,$A427,AgStatus,"Faltou"))</f>
        <v>0</v>
      </c>
      <c r="J427" s="22">
        <f>IF($A427="","",SUMPRODUCT(MAX((AgPac=$A427)*(AgStatus="Compareceu")*AgData)))</f>
        <v>0</v>
      </c>
    </row>
    <row r="428" spans="1:10">
      <c r="A428" s="15"/>
      <c r="B428" s="15"/>
      <c r="C428" s="15"/>
      <c r="D428" s="15"/>
      <c r="E428" s="15"/>
      <c r="F428" s="16"/>
      <c r="G428" s="15"/>
      <c r="H428" s="21">
        <f>IF($A428="","",COUNTIFS(AgPac,$A428,AgStatus,"Compareceu"))</f>
        <v>0</v>
      </c>
      <c r="I428" s="21">
        <f>IF($A428="","",COUNTIFS(AgPac,$A428,AgStatus,"Faltou"))</f>
        <v>0</v>
      </c>
      <c r="J428" s="22">
        <f>IF($A428="","",SUMPRODUCT(MAX((AgPac=$A428)*(AgStatus="Compareceu")*AgData)))</f>
        <v>0</v>
      </c>
    </row>
    <row r="429" spans="1:10">
      <c r="A429" s="15"/>
      <c r="B429" s="15"/>
      <c r="C429" s="15"/>
      <c r="D429" s="15"/>
      <c r="E429" s="15"/>
      <c r="F429" s="16"/>
      <c r="G429" s="15"/>
      <c r="H429" s="21">
        <f>IF($A429="","",COUNTIFS(AgPac,$A429,AgStatus,"Compareceu"))</f>
        <v>0</v>
      </c>
      <c r="I429" s="21">
        <f>IF($A429="","",COUNTIFS(AgPac,$A429,AgStatus,"Faltou"))</f>
        <v>0</v>
      </c>
      <c r="J429" s="22">
        <f>IF($A429="","",SUMPRODUCT(MAX((AgPac=$A429)*(AgStatus="Compareceu")*AgData)))</f>
        <v>0</v>
      </c>
    </row>
    <row r="430" spans="1:10">
      <c r="A430" s="15"/>
      <c r="B430" s="15"/>
      <c r="C430" s="15"/>
      <c r="D430" s="15"/>
      <c r="E430" s="15"/>
      <c r="F430" s="16"/>
      <c r="G430" s="15"/>
      <c r="H430" s="21">
        <f>IF($A430="","",COUNTIFS(AgPac,$A430,AgStatus,"Compareceu"))</f>
        <v>0</v>
      </c>
      <c r="I430" s="21">
        <f>IF($A430="","",COUNTIFS(AgPac,$A430,AgStatus,"Faltou"))</f>
        <v>0</v>
      </c>
      <c r="J430" s="22">
        <f>IF($A430="","",SUMPRODUCT(MAX((AgPac=$A430)*(AgStatus="Compareceu")*AgData)))</f>
        <v>0</v>
      </c>
    </row>
    <row r="431" spans="1:10">
      <c r="A431" s="15"/>
      <c r="B431" s="15"/>
      <c r="C431" s="15"/>
      <c r="D431" s="15"/>
      <c r="E431" s="15"/>
      <c r="F431" s="16"/>
      <c r="G431" s="15"/>
      <c r="H431" s="21">
        <f>IF($A431="","",COUNTIFS(AgPac,$A431,AgStatus,"Compareceu"))</f>
        <v>0</v>
      </c>
      <c r="I431" s="21">
        <f>IF($A431="","",COUNTIFS(AgPac,$A431,AgStatus,"Faltou"))</f>
        <v>0</v>
      </c>
      <c r="J431" s="22">
        <f>IF($A431="","",SUMPRODUCT(MAX((AgPac=$A431)*(AgStatus="Compareceu")*AgData)))</f>
        <v>0</v>
      </c>
    </row>
    <row r="432" spans="1:10">
      <c r="A432" s="15"/>
      <c r="B432" s="15"/>
      <c r="C432" s="15"/>
      <c r="D432" s="15"/>
      <c r="E432" s="15"/>
      <c r="F432" s="16"/>
      <c r="G432" s="15"/>
      <c r="H432" s="21">
        <f>IF($A432="","",COUNTIFS(AgPac,$A432,AgStatus,"Compareceu"))</f>
        <v>0</v>
      </c>
      <c r="I432" s="21">
        <f>IF($A432="","",COUNTIFS(AgPac,$A432,AgStatus,"Faltou"))</f>
        <v>0</v>
      </c>
      <c r="J432" s="22">
        <f>IF($A432="","",SUMPRODUCT(MAX((AgPac=$A432)*(AgStatus="Compareceu")*AgData)))</f>
        <v>0</v>
      </c>
    </row>
    <row r="433" spans="1:10">
      <c r="A433" s="15"/>
      <c r="B433" s="15"/>
      <c r="C433" s="15"/>
      <c r="D433" s="15"/>
      <c r="E433" s="15"/>
      <c r="F433" s="16"/>
      <c r="G433" s="15"/>
      <c r="H433" s="21">
        <f>IF($A433="","",COUNTIFS(AgPac,$A433,AgStatus,"Compareceu"))</f>
        <v>0</v>
      </c>
      <c r="I433" s="21">
        <f>IF($A433="","",COUNTIFS(AgPac,$A433,AgStatus,"Faltou"))</f>
        <v>0</v>
      </c>
      <c r="J433" s="22">
        <f>IF($A433="","",SUMPRODUCT(MAX((AgPac=$A433)*(AgStatus="Compareceu")*AgData)))</f>
        <v>0</v>
      </c>
    </row>
    <row r="434" spans="1:10">
      <c r="A434" s="15"/>
      <c r="B434" s="15"/>
      <c r="C434" s="15"/>
      <c r="D434" s="15"/>
      <c r="E434" s="15"/>
      <c r="F434" s="16"/>
      <c r="G434" s="15"/>
      <c r="H434" s="21">
        <f>IF($A434="","",COUNTIFS(AgPac,$A434,AgStatus,"Compareceu"))</f>
        <v>0</v>
      </c>
      <c r="I434" s="21">
        <f>IF($A434="","",COUNTIFS(AgPac,$A434,AgStatus,"Faltou"))</f>
        <v>0</v>
      </c>
      <c r="J434" s="22">
        <f>IF($A434="","",SUMPRODUCT(MAX((AgPac=$A434)*(AgStatus="Compareceu")*AgData)))</f>
        <v>0</v>
      </c>
    </row>
    <row r="435" spans="1:10">
      <c r="A435" s="15"/>
      <c r="B435" s="15"/>
      <c r="C435" s="15"/>
      <c r="D435" s="15"/>
      <c r="E435" s="15"/>
      <c r="F435" s="16"/>
      <c r="G435" s="15"/>
      <c r="H435" s="21">
        <f>IF($A435="","",COUNTIFS(AgPac,$A435,AgStatus,"Compareceu"))</f>
        <v>0</v>
      </c>
      <c r="I435" s="21">
        <f>IF($A435="","",COUNTIFS(AgPac,$A435,AgStatus,"Faltou"))</f>
        <v>0</v>
      </c>
      <c r="J435" s="22">
        <f>IF($A435="","",SUMPRODUCT(MAX((AgPac=$A435)*(AgStatus="Compareceu")*AgData)))</f>
        <v>0</v>
      </c>
    </row>
    <row r="436" spans="1:10">
      <c r="A436" s="15"/>
      <c r="B436" s="15"/>
      <c r="C436" s="15"/>
      <c r="D436" s="15"/>
      <c r="E436" s="15"/>
      <c r="F436" s="16"/>
      <c r="G436" s="15"/>
      <c r="H436" s="21">
        <f>IF($A436="","",COUNTIFS(AgPac,$A436,AgStatus,"Compareceu"))</f>
        <v>0</v>
      </c>
      <c r="I436" s="21">
        <f>IF($A436="","",COUNTIFS(AgPac,$A436,AgStatus,"Faltou"))</f>
        <v>0</v>
      </c>
      <c r="J436" s="22">
        <f>IF($A436="","",SUMPRODUCT(MAX((AgPac=$A436)*(AgStatus="Compareceu")*AgData)))</f>
        <v>0</v>
      </c>
    </row>
    <row r="437" spans="1:10">
      <c r="A437" s="15"/>
      <c r="B437" s="15"/>
      <c r="C437" s="15"/>
      <c r="D437" s="15"/>
      <c r="E437" s="15"/>
      <c r="F437" s="16"/>
      <c r="G437" s="15"/>
      <c r="H437" s="21">
        <f>IF($A437="","",COUNTIFS(AgPac,$A437,AgStatus,"Compareceu"))</f>
        <v>0</v>
      </c>
      <c r="I437" s="21">
        <f>IF($A437="","",COUNTIFS(AgPac,$A437,AgStatus,"Faltou"))</f>
        <v>0</v>
      </c>
      <c r="J437" s="22">
        <f>IF($A437="","",SUMPRODUCT(MAX((AgPac=$A437)*(AgStatus="Compareceu")*AgData)))</f>
        <v>0</v>
      </c>
    </row>
    <row r="438" spans="1:10">
      <c r="A438" s="15"/>
      <c r="B438" s="15"/>
      <c r="C438" s="15"/>
      <c r="D438" s="15"/>
      <c r="E438" s="15"/>
      <c r="F438" s="16"/>
      <c r="G438" s="15"/>
      <c r="H438" s="21">
        <f>IF($A438="","",COUNTIFS(AgPac,$A438,AgStatus,"Compareceu"))</f>
        <v>0</v>
      </c>
      <c r="I438" s="21">
        <f>IF($A438="","",COUNTIFS(AgPac,$A438,AgStatus,"Faltou"))</f>
        <v>0</v>
      </c>
      <c r="J438" s="22">
        <f>IF($A438="","",SUMPRODUCT(MAX((AgPac=$A438)*(AgStatus="Compareceu")*AgData)))</f>
        <v>0</v>
      </c>
    </row>
    <row r="439" spans="1:10">
      <c r="A439" s="15"/>
      <c r="B439" s="15"/>
      <c r="C439" s="15"/>
      <c r="D439" s="15"/>
      <c r="E439" s="15"/>
      <c r="F439" s="16"/>
      <c r="G439" s="15"/>
      <c r="H439" s="21">
        <f>IF($A439="","",COUNTIFS(AgPac,$A439,AgStatus,"Compareceu"))</f>
        <v>0</v>
      </c>
      <c r="I439" s="21">
        <f>IF($A439="","",COUNTIFS(AgPac,$A439,AgStatus,"Faltou"))</f>
        <v>0</v>
      </c>
      <c r="J439" s="22">
        <f>IF($A439="","",SUMPRODUCT(MAX((AgPac=$A439)*(AgStatus="Compareceu")*AgData)))</f>
        <v>0</v>
      </c>
    </row>
    <row r="440" spans="1:10">
      <c r="A440" s="15"/>
      <c r="B440" s="15"/>
      <c r="C440" s="15"/>
      <c r="D440" s="15"/>
      <c r="E440" s="15"/>
      <c r="F440" s="16"/>
      <c r="G440" s="15"/>
      <c r="H440" s="21">
        <f>IF($A440="","",COUNTIFS(AgPac,$A440,AgStatus,"Compareceu"))</f>
        <v>0</v>
      </c>
      <c r="I440" s="21">
        <f>IF($A440="","",COUNTIFS(AgPac,$A440,AgStatus,"Faltou"))</f>
        <v>0</v>
      </c>
      <c r="J440" s="22">
        <f>IF($A440="","",SUMPRODUCT(MAX((AgPac=$A440)*(AgStatus="Compareceu")*AgData)))</f>
        <v>0</v>
      </c>
    </row>
    <row r="441" spans="1:10">
      <c r="A441" s="15"/>
      <c r="B441" s="15"/>
      <c r="C441" s="15"/>
      <c r="D441" s="15"/>
      <c r="E441" s="15"/>
      <c r="F441" s="16"/>
      <c r="G441" s="15"/>
      <c r="H441" s="21">
        <f>IF($A441="","",COUNTIFS(AgPac,$A441,AgStatus,"Compareceu"))</f>
        <v>0</v>
      </c>
      <c r="I441" s="21">
        <f>IF($A441="","",COUNTIFS(AgPac,$A441,AgStatus,"Faltou"))</f>
        <v>0</v>
      </c>
      <c r="J441" s="22">
        <f>IF($A441="","",SUMPRODUCT(MAX((AgPac=$A441)*(AgStatus="Compareceu")*AgData)))</f>
        <v>0</v>
      </c>
    </row>
    <row r="442" spans="1:10">
      <c r="A442" s="15"/>
      <c r="B442" s="15"/>
      <c r="C442" s="15"/>
      <c r="D442" s="15"/>
      <c r="E442" s="15"/>
      <c r="F442" s="16"/>
      <c r="G442" s="15"/>
      <c r="H442" s="21">
        <f>IF($A442="","",COUNTIFS(AgPac,$A442,AgStatus,"Compareceu"))</f>
        <v>0</v>
      </c>
      <c r="I442" s="21">
        <f>IF($A442="","",COUNTIFS(AgPac,$A442,AgStatus,"Faltou"))</f>
        <v>0</v>
      </c>
      <c r="J442" s="22">
        <f>IF($A442="","",SUMPRODUCT(MAX((AgPac=$A442)*(AgStatus="Compareceu")*AgData)))</f>
        <v>0</v>
      </c>
    </row>
    <row r="443" spans="1:10">
      <c r="A443" s="15"/>
      <c r="B443" s="15"/>
      <c r="C443" s="15"/>
      <c r="D443" s="15"/>
      <c r="E443" s="15"/>
      <c r="F443" s="16"/>
      <c r="G443" s="15"/>
      <c r="H443" s="21">
        <f>IF($A443="","",COUNTIFS(AgPac,$A443,AgStatus,"Compareceu"))</f>
        <v>0</v>
      </c>
      <c r="I443" s="21">
        <f>IF($A443="","",COUNTIFS(AgPac,$A443,AgStatus,"Faltou"))</f>
        <v>0</v>
      </c>
      <c r="J443" s="22">
        <f>IF($A443="","",SUMPRODUCT(MAX((AgPac=$A443)*(AgStatus="Compareceu")*AgData)))</f>
        <v>0</v>
      </c>
    </row>
    <row r="444" spans="1:10">
      <c r="A444" s="15"/>
      <c r="B444" s="15"/>
      <c r="C444" s="15"/>
      <c r="D444" s="15"/>
      <c r="E444" s="15"/>
      <c r="F444" s="16"/>
      <c r="G444" s="15"/>
      <c r="H444" s="21">
        <f>IF($A444="","",COUNTIFS(AgPac,$A444,AgStatus,"Compareceu"))</f>
        <v>0</v>
      </c>
      <c r="I444" s="21">
        <f>IF($A444="","",COUNTIFS(AgPac,$A444,AgStatus,"Faltou"))</f>
        <v>0</v>
      </c>
      <c r="J444" s="22">
        <f>IF($A444="","",SUMPRODUCT(MAX((AgPac=$A444)*(AgStatus="Compareceu")*AgData)))</f>
        <v>0</v>
      </c>
    </row>
    <row r="445" spans="1:10">
      <c r="A445" s="15"/>
      <c r="B445" s="15"/>
      <c r="C445" s="15"/>
      <c r="D445" s="15"/>
      <c r="E445" s="15"/>
      <c r="F445" s="16"/>
      <c r="G445" s="15"/>
      <c r="H445" s="21">
        <f>IF($A445="","",COUNTIFS(AgPac,$A445,AgStatus,"Compareceu"))</f>
        <v>0</v>
      </c>
      <c r="I445" s="21">
        <f>IF($A445="","",COUNTIFS(AgPac,$A445,AgStatus,"Faltou"))</f>
        <v>0</v>
      </c>
      <c r="J445" s="22">
        <f>IF($A445="","",SUMPRODUCT(MAX((AgPac=$A445)*(AgStatus="Compareceu")*AgData)))</f>
        <v>0</v>
      </c>
    </row>
    <row r="446" spans="1:10">
      <c r="A446" s="15"/>
      <c r="B446" s="15"/>
      <c r="C446" s="15"/>
      <c r="D446" s="15"/>
      <c r="E446" s="15"/>
      <c r="F446" s="16"/>
      <c r="G446" s="15"/>
      <c r="H446" s="21">
        <f>IF($A446="","",COUNTIFS(AgPac,$A446,AgStatus,"Compareceu"))</f>
        <v>0</v>
      </c>
      <c r="I446" s="21">
        <f>IF($A446="","",COUNTIFS(AgPac,$A446,AgStatus,"Faltou"))</f>
        <v>0</v>
      </c>
      <c r="J446" s="22">
        <f>IF($A446="","",SUMPRODUCT(MAX((AgPac=$A446)*(AgStatus="Compareceu")*AgData)))</f>
        <v>0</v>
      </c>
    </row>
    <row r="447" spans="1:10">
      <c r="A447" s="15"/>
      <c r="B447" s="15"/>
      <c r="C447" s="15"/>
      <c r="D447" s="15"/>
      <c r="E447" s="15"/>
      <c r="F447" s="16"/>
      <c r="G447" s="15"/>
      <c r="H447" s="21">
        <f>IF($A447="","",COUNTIFS(AgPac,$A447,AgStatus,"Compareceu"))</f>
        <v>0</v>
      </c>
      <c r="I447" s="21">
        <f>IF($A447="","",COUNTIFS(AgPac,$A447,AgStatus,"Faltou"))</f>
        <v>0</v>
      </c>
      <c r="J447" s="22">
        <f>IF($A447="","",SUMPRODUCT(MAX((AgPac=$A447)*(AgStatus="Compareceu")*AgData)))</f>
        <v>0</v>
      </c>
    </row>
    <row r="448" spans="1:10">
      <c r="A448" s="15"/>
      <c r="B448" s="15"/>
      <c r="C448" s="15"/>
      <c r="D448" s="15"/>
      <c r="E448" s="15"/>
      <c r="F448" s="16"/>
      <c r="G448" s="15"/>
      <c r="H448" s="21">
        <f>IF($A448="","",COUNTIFS(AgPac,$A448,AgStatus,"Compareceu"))</f>
        <v>0</v>
      </c>
      <c r="I448" s="21">
        <f>IF($A448="","",COUNTIFS(AgPac,$A448,AgStatus,"Faltou"))</f>
        <v>0</v>
      </c>
      <c r="J448" s="22">
        <f>IF($A448="","",SUMPRODUCT(MAX((AgPac=$A448)*(AgStatus="Compareceu")*AgData)))</f>
        <v>0</v>
      </c>
    </row>
    <row r="449" spans="1:10">
      <c r="A449" s="15"/>
      <c r="B449" s="15"/>
      <c r="C449" s="15"/>
      <c r="D449" s="15"/>
      <c r="E449" s="15"/>
      <c r="F449" s="16"/>
      <c r="G449" s="15"/>
      <c r="H449" s="21">
        <f>IF($A449="","",COUNTIFS(AgPac,$A449,AgStatus,"Compareceu"))</f>
        <v>0</v>
      </c>
      <c r="I449" s="21">
        <f>IF($A449="","",COUNTIFS(AgPac,$A449,AgStatus,"Faltou"))</f>
        <v>0</v>
      </c>
      <c r="J449" s="22">
        <f>IF($A449="","",SUMPRODUCT(MAX((AgPac=$A449)*(AgStatus="Compareceu")*AgData)))</f>
        <v>0</v>
      </c>
    </row>
    <row r="450" spans="1:10">
      <c r="A450" s="15"/>
      <c r="B450" s="15"/>
      <c r="C450" s="15"/>
      <c r="D450" s="15"/>
      <c r="E450" s="15"/>
      <c r="F450" s="16"/>
      <c r="G450" s="15"/>
      <c r="H450" s="21">
        <f>IF($A450="","",COUNTIFS(AgPac,$A450,AgStatus,"Compareceu"))</f>
        <v>0</v>
      </c>
      <c r="I450" s="21">
        <f>IF($A450="","",COUNTIFS(AgPac,$A450,AgStatus,"Faltou"))</f>
        <v>0</v>
      </c>
      <c r="J450" s="22">
        <f>IF($A450="","",SUMPRODUCT(MAX((AgPac=$A450)*(AgStatus="Compareceu")*AgData)))</f>
        <v>0</v>
      </c>
    </row>
    <row r="451" spans="1:10">
      <c r="A451" s="15"/>
      <c r="B451" s="15"/>
      <c r="C451" s="15"/>
      <c r="D451" s="15"/>
      <c r="E451" s="15"/>
      <c r="F451" s="16"/>
      <c r="G451" s="15"/>
      <c r="H451" s="21">
        <f>IF($A451="","",COUNTIFS(AgPac,$A451,AgStatus,"Compareceu"))</f>
        <v>0</v>
      </c>
      <c r="I451" s="21">
        <f>IF($A451="","",COUNTIFS(AgPac,$A451,AgStatus,"Faltou"))</f>
        <v>0</v>
      </c>
      <c r="J451" s="22">
        <f>IF($A451="","",SUMPRODUCT(MAX((AgPac=$A451)*(AgStatus="Compareceu")*AgData)))</f>
        <v>0</v>
      </c>
    </row>
    <row r="452" spans="1:10">
      <c r="A452" s="15"/>
      <c r="B452" s="15"/>
      <c r="C452" s="15"/>
      <c r="D452" s="15"/>
      <c r="E452" s="15"/>
      <c r="F452" s="16"/>
      <c r="G452" s="15"/>
      <c r="H452" s="21">
        <f>IF($A452="","",COUNTIFS(AgPac,$A452,AgStatus,"Compareceu"))</f>
        <v>0</v>
      </c>
      <c r="I452" s="21">
        <f>IF($A452="","",COUNTIFS(AgPac,$A452,AgStatus,"Faltou"))</f>
        <v>0</v>
      </c>
      <c r="J452" s="22">
        <f>IF($A452="","",SUMPRODUCT(MAX((AgPac=$A452)*(AgStatus="Compareceu")*AgData)))</f>
        <v>0</v>
      </c>
    </row>
    <row r="453" spans="1:10">
      <c r="A453" s="15"/>
      <c r="B453" s="15"/>
      <c r="C453" s="15"/>
      <c r="D453" s="15"/>
      <c r="E453" s="15"/>
      <c r="F453" s="16"/>
      <c r="G453" s="15"/>
      <c r="H453" s="21">
        <f>IF($A453="","",COUNTIFS(AgPac,$A453,AgStatus,"Compareceu"))</f>
        <v>0</v>
      </c>
      <c r="I453" s="21">
        <f>IF($A453="","",COUNTIFS(AgPac,$A453,AgStatus,"Faltou"))</f>
        <v>0</v>
      </c>
      <c r="J453" s="22">
        <f>IF($A453="","",SUMPRODUCT(MAX((AgPac=$A453)*(AgStatus="Compareceu")*AgData)))</f>
        <v>0</v>
      </c>
    </row>
    <row r="454" spans="1:10">
      <c r="A454" s="15"/>
      <c r="B454" s="15"/>
      <c r="C454" s="15"/>
      <c r="D454" s="15"/>
      <c r="E454" s="15"/>
      <c r="F454" s="16"/>
      <c r="G454" s="15"/>
      <c r="H454" s="21">
        <f>IF($A454="","",COUNTIFS(AgPac,$A454,AgStatus,"Compareceu"))</f>
        <v>0</v>
      </c>
      <c r="I454" s="21">
        <f>IF($A454="","",COUNTIFS(AgPac,$A454,AgStatus,"Faltou"))</f>
        <v>0</v>
      </c>
      <c r="J454" s="22">
        <f>IF($A454="","",SUMPRODUCT(MAX((AgPac=$A454)*(AgStatus="Compareceu")*AgData)))</f>
        <v>0</v>
      </c>
    </row>
    <row r="455" spans="1:10">
      <c r="A455" s="15"/>
      <c r="B455" s="15"/>
      <c r="C455" s="15"/>
      <c r="D455" s="15"/>
      <c r="E455" s="15"/>
      <c r="F455" s="16"/>
      <c r="G455" s="15"/>
      <c r="H455" s="21">
        <f>IF($A455="","",COUNTIFS(AgPac,$A455,AgStatus,"Compareceu"))</f>
        <v>0</v>
      </c>
      <c r="I455" s="21">
        <f>IF($A455="","",COUNTIFS(AgPac,$A455,AgStatus,"Faltou"))</f>
        <v>0</v>
      </c>
      <c r="J455" s="22">
        <f>IF($A455="","",SUMPRODUCT(MAX((AgPac=$A455)*(AgStatus="Compareceu")*AgData)))</f>
        <v>0</v>
      </c>
    </row>
    <row r="456" spans="1:10">
      <c r="A456" s="15"/>
      <c r="B456" s="15"/>
      <c r="C456" s="15"/>
      <c r="D456" s="15"/>
      <c r="E456" s="15"/>
      <c r="F456" s="16"/>
      <c r="G456" s="15"/>
      <c r="H456" s="21">
        <f>IF($A456="","",COUNTIFS(AgPac,$A456,AgStatus,"Compareceu"))</f>
        <v>0</v>
      </c>
      <c r="I456" s="21">
        <f>IF($A456="","",COUNTIFS(AgPac,$A456,AgStatus,"Faltou"))</f>
        <v>0</v>
      </c>
      <c r="J456" s="22">
        <f>IF($A456="","",SUMPRODUCT(MAX((AgPac=$A456)*(AgStatus="Compareceu")*AgData)))</f>
        <v>0</v>
      </c>
    </row>
    <row r="457" spans="1:10">
      <c r="A457" s="15"/>
      <c r="B457" s="15"/>
      <c r="C457" s="15"/>
      <c r="D457" s="15"/>
      <c r="E457" s="15"/>
      <c r="F457" s="16"/>
      <c r="G457" s="15"/>
      <c r="H457" s="21">
        <f>IF($A457="","",COUNTIFS(AgPac,$A457,AgStatus,"Compareceu"))</f>
        <v>0</v>
      </c>
      <c r="I457" s="21">
        <f>IF($A457="","",COUNTIFS(AgPac,$A457,AgStatus,"Faltou"))</f>
        <v>0</v>
      </c>
      <c r="J457" s="22">
        <f>IF($A457="","",SUMPRODUCT(MAX((AgPac=$A457)*(AgStatus="Compareceu")*AgData)))</f>
        <v>0</v>
      </c>
    </row>
    <row r="458" spans="1:10">
      <c r="A458" s="15"/>
      <c r="B458" s="15"/>
      <c r="C458" s="15"/>
      <c r="D458" s="15"/>
      <c r="E458" s="15"/>
      <c r="F458" s="16"/>
      <c r="G458" s="15"/>
      <c r="H458" s="21">
        <f>IF($A458="","",COUNTIFS(AgPac,$A458,AgStatus,"Compareceu"))</f>
        <v>0</v>
      </c>
      <c r="I458" s="21">
        <f>IF($A458="","",COUNTIFS(AgPac,$A458,AgStatus,"Faltou"))</f>
        <v>0</v>
      </c>
      <c r="J458" s="22">
        <f>IF($A458="","",SUMPRODUCT(MAX((AgPac=$A458)*(AgStatus="Compareceu")*AgData)))</f>
        <v>0</v>
      </c>
    </row>
    <row r="459" spans="1:10">
      <c r="A459" s="15"/>
      <c r="B459" s="15"/>
      <c r="C459" s="15"/>
      <c r="D459" s="15"/>
      <c r="E459" s="15"/>
      <c r="F459" s="16"/>
      <c r="G459" s="15"/>
      <c r="H459" s="21">
        <f>IF($A459="","",COUNTIFS(AgPac,$A459,AgStatus,"Compareceu"))</f>
        <v>0</v>
      </c>
      <c r="I459" s="21">
        <f>IF($A459="","",COUNTIFS(AgPac,$A459,AgStatus,"Faltou"))</f>
        <v>0</v>
      </c>
      <c r="J459" s="22">
        <f>IF($A459="","",SUMPRODUCT(MAX((AgPac=$A459)*(AgStatus="Compareceu")*AgData)))</f>
        <v>0</v>
      </c>
    </row>
    <row r="460" spans="1:10">
      <c r="A460" s="15"/>
      <c r="B460" s="15"/>
      <c r="C460" s="15"/>
      <c r="D460" s="15"/>
      <c r="E460" s="15"/>
      <c r="F460" s="16"/>
      <c r="G460" s="15"/>
      <c r="H460" s="21">
        <f>IF($A460="","",COUNTIFS(AgPac,$A460,AgStatus,"Compareceu"))</f>
        <v>0</v>
      </c>
      <c r="I460" s="21">
        <f>IF($A460="","",COUNTIFS(AgPac,$A460,AgStatus,"Faltou"))</f>
        <v>0</v>
      </c>
      <c r="J460" s="22">
        <f>IF($A460="","",SUMPRODUCT(MAX((AgPac=$A460)*(AgStatus="Compareceu")*AgData)))</f>
        <v>0</v>
      </c>
    </row>
    <row r="461" spans="1:10">
      <c r="A461" s="15"/>
      <c r="B461" s="15"/>
      <c r="C461" s="15"/>
      <c r="D461" s="15"/>
      <c r="E461" s="15"/>
      <c r="F461" s="16"/>
      <c r="G461" s="15"/>
      <c r="H461" s="21">
        <f>IF($A461="","",COUNTIFS(AgPac,$A461,AgStatus,"Compareceu"))</f>
        <v>0</v>
      </c>
      <c r="I461" s="21">
        <f>IF($A461="","",COUNTIFS(AgPac,$A461,AgStatus,"Faltou"))</f>
        <v>0</v>
      </c>
      <c r="J461" s="22">
        <f>IF($A461="","",SUMPRODUCT(MAX((AgPac=$A461)*(AgStatus="Compareceu")*AgData)))</f>
        <v>0</v>
      </c>
    </row>
    <row r="462" spans="1:10">
      <c r="A462" s="15"/>
      <c r="B462" s="15"/>
      <c r="C462" s="15"/>
      <c r="D462" s="15"/>
      <c r="E462" s="15"/>
      <c r="F462" s="16"/>
      <c r="G462" s="15"/>
      <c r="H462" s="21">
        <f>IF($A462="","",COUNTIFS(AgPac,$A462,AgStatus,"Compareceu"))</f>
        <v>0</v>
      </c>
      <c r="I462" s="21">
        <f>IF($A462="","",COUNTIFS(AgPac,$A462,AgStatus,"Faltou"))</f>
        <v>0</v>
      </c>
      <c r="J462" s="22">
        <f>IF($A462="","",SUMPRODUCT(MAX((AgPac=$A462)*(AgStatus="Compareceu")*AgData)))</f>
        <v>0</v>
      </c>
    </row>
    <row r="463" spans="1:10">
      <c r="A463" s="15"/>
      <c r="B463" s="15"/>
      <c r="C463" s="15"/>
      <c r="D463" s="15"/>
      <c r="E463" s="15"/>
      <c r="F463" s="16"/>
      <c r="G463" s="15"/>
      <c r="H463" s="21">
        <f>IF($A463="","",COUNTIFS(AgPac,$A463,AgStatus,"Compareceu"))</f>
        <v>0</v>
      </c>
      <c r="I463" s="21">
        <f>IF($A463="","",COUNTIFS(AgPac,$A463,AgStatus,"Faltou"))</f>
        <v>0</v>
      </c>
      <c r="J463" s="22">
        <f>IF($A463="","",SUMPRODUCT(MAX((AgPac=$A463)*(AgStatus="Compareceu")*AgData)))</f>
        <v>0</v>
      </c>
    </row>
    <row r="464" spans="1:10">
      <c r="A464" s="15"/>
      <c r="B464" s="15"/>
      <c r="C464" s="15"/>
      <c r="D464" s="15"/>
      <c r="E464" s="15"/>
      <c r="F464" s="16"/>
      <c r="G464" s="15"/>
      <c r="H464" s="21">
        <f>IF($A464="","",COUNTIFS(AgPac,$A464,AgStatus,"Compareceu"))</f>
        <v>0</v>
      </c>
      <c r="I464" s="21">
        <f>IF($A464="","",COUNTIFS(AgPac,$A464,AgStatus,"Faltou"))</f>
        <v>0</v>
      </c>
      <c r="J464" s="22">
        <f>IF($A464="","",SUMPRODUCT(MAX((AgPac=$A464)*(AgStatus="Compareceu")*AgData)))</f>
        <v>0</v>
      </c>
    </row>
    <row r="465" spans="1:10">
      <c r="A465" s="15"/>
      <c r="B465" s="15"/>
      <c r="C465" s="15"/>
      <c r="D465" s="15"/>
      <c r="E465" s="15"/>
      <c r="F465" s="16"/>
      <c r="G465" s="15"/>
      <c r="H465" s="21">
        <f>IF($A465="","",COUNTIFS(AgPac,$A465,AgStatus,"Compareceu"))</f>
        <v>0</v>
      </c>
      <c r="I465" s="21">
        <f>IF($A465="","",COUNTIFS(AgPac,$A465,AgStatus,"Faltou"))</f>
        <v>0</v>
      </c>
      <c r="J465" s="22">
        <f>IF($A465="","",SUMPRODUCT(MAX((AgPac=$A465)*(AgStatus="Compareceu")*AgData)))</f>
        <v>0</v>
      </c>
    </row>
    <row r="466" spans="1:10">
      <c r="A466" s="15"/>
      <c r="B466" s="15"/>
      <c r="C466" s="15"/>
      <c r="D466" s="15"/>
      <c r="E466" s="15"/>
      <c r="F466" s="16"/>
      <c r="G466" s="15"/>
      <c r="H466" s="21">
        <f>IF($A466="","",COUNTIFS(AgPac,$A466,AgStatus,"Compareceu"))</f>
        <v>0</v>
      </c>
      <c r="I466" s="21">
        <f>IF($A466="","",COUNTIFS(AgPac,$A466,AgStatus,"Faltou"))</f>
        <v>0</v>
      </c>
      <c r="J466" s="22">
        <f>IF($A466="","",SUMPRODUCT(MAX((AgPac=$A466)*(AgStatus="Compareceu")*AgData)))</f>
        <v>0</v>
      </c>
    </row>
    <row r="467" spans="1:10">
      <c r="A467" s="15"/>
      <c r="B467" s="15"/>
      <c r="C467" s="15"/>
      <c r="D467" s="15"/>
      <c r="E467" s="15"/>
      <c r="F467" s="16"/>
      <c r="G467" s="15"/>
      <c r="H467" s="21">
        <f>IF($A467="","",COUNTIFS(AgPac,$A467,AgStatus,"Compareceu"))</f>
        <v>0</v>
      </c>
      <c r="I467" s="21">
        <f>IF($A467="","",COUNTIFS(AgPac,$A467,AgStatus,"Faltou"))</f>
        <v>0</v>
      </c>
      <c r="J467" s="22">
        <f>IF($A467="","",SUMPRODUCT(MAX((AgPac=$A467)*(AgStatus="Compareceu")*AgData)))</f>
        <v>0</v>
      </c>
    </row>
    <row r="468" spans="1:10">
      <c r="A468" s="15"/>
      <c r="B468" s="15"/>
      <c r="C468" s="15"/>
      <c r="D468" s="15"/>
      <c r="E468" s="15"/>
      <c r="F468" s="16"/>
      <c r="G468" s="15"/>
      <c r="H468" s="21">
        <f>IF($A468="","",COUNTIFS(AgPac,$A468,AgStatus,"Compareceu"))</f>
        <v>0</v>
      </c>
      <c r="I468" s="21">
        <f>IF($A468="","",COUNTIFS(AgPac,$A468,AgStatus,"Faltou"))</f>
        <v>0</v>
      </c>
      <c r="J468" s="22">
        <f>IF($A468="","",SUMPRODUCT(MAX((AgPac=$A468)*(AgStatus="Compareceu")*AgData)))</f>
        <v>0</v>
      </c>
    </row>
    <row r="469" spans="1:10">
      <c r="A469" s="15"/>
      <c r="B469" s="15"/>
      <c r="C469" s="15"/>
      <c r="D469" s="15"/>
      <c r="E469" s="15"/>
      <c r="F469" s="16"/>
      <c r="G469" s="15"/>
      <c r="H469" s="21">
        <f>IF($A469="","",COUNTIFS(AgPac,$A469,AgStatus,"Compareceu"))</f>
        <v>0</v>
      </c>
      <c r="I469" s="21">
        <f>IF($A469="","",COUNTIFS(AgPac,$A469,AgStatus,"Faltou"))</f>
        <v>0</v>
      </c>
      <c r="J469" s="22">
        <f>IF($A469="","",SUMPRODUCT(MAX((AgPac=$A469)*(AgStatus="Compareceu")*AgData)))</f>
        <v>0</v>
      </c>
    </row>
    <row r="470" spans="1:10">
      <c r="A470" s="15"/>
      <c r="B470" s="15"/>
      <c r="C470" s="15"/>
      <c r="D470" s="15"/>
      <c r="E470" s="15"/>
      <c r="F470" s="16"/>
      <c r="G470" s="15"/>
      <c r="H470" s="21">
        <f>IF($A470="","",COUNTIFS(AgPac,$A470,AgStatus,"Compareceu"))</f>
        <v>0</v>
      </c>
      <c r="I470" s="21">
        <f>IF($A470="","",COUNTIFS(AgPac,$A470,AgStatus,"Faltou"))</f>
        <v>0</v>
      </c>
      <c r="J470" s="22">
        <f>IF($A470="","",SUMPRODUCT(MAX((AgPac=$A470)*(AgStatus="Compareceu")*AgData)))</f>
        <v>0</v>
      </c>
    </row>
    <row r="471" spans="1:10">
      <c r="A471" s="15"/>
      <c r="B471" s="15"/>
      <c r="C471" s="15"/>
      <c r="D471" s="15"/>
      <c r="E471" s="15"/>
      <c r="F471" s="16"/>
      <c r="G471" s="15"/>
      <c r="H471" s="21">
        <f>IF($A471="","",COUNTIFS(AgPac,$A471,AgStatus,"Compareceu"))</f>
        <v>0</v>
      </c>
      <c r="I471" s="21">
        <f>IF($A471="","",COUNTIFS(AgPac,$A471,AgStatus,"Faltou"))</f>
        <v>0</v>
      </c>
      <c r="J471" s="22">
        <f>IF($A471="","",SUMPRODUCT(MAX((AgPac=$A471)*(AgStatus="Compareceu")*AgData)))</f>
        <v>0</v>
      </c>
    </row>
    <row r="472" spans="1:10">
      <c r="A472" s="15"/>
      <c r="B472" s="15"/>
      <c r="C472" s="15"/>
      <c r="D472" s="15"/>
      <c r="E472" s="15"/>
      <c r="F472" s="16"/>
      <c r="G472" s="15"/>
      <c r="H472" s="21">
        <f>IF($A472="","",COUNTIFS(AgPac,$A472,AgStatus,"Compareceu"))</f>
        <v>0</v>
      </c>
      <c r="I472" s="21">
        <f>IF($A472="","",COUNTIFS(AgPac,$A472,AgStatus,"Faltou"))</f>
        <v>0</v>
      </c>
      <c r="J472" s="22">
        <f>IF($A472="","",SUMPRODUCT(MAX((AgPac=$A472)*(AgStatus="Compareceu")*AgData)))</f>
        <v>0</v>
      </c>
    </row>
    <row r="473" spans="1:10">
      <c r="A473" s="15"/>
      <c r="B473" s="15"/>
      <c r="C473" s="15"/>
      <c r="D473" s="15"/>
      <c r="E473" s="15"/>
      <c r="F473" s="16"/>
      <c r="G473" s="15"/>
      <c r="H473" s="21">
        <f>IF($A473="","",COUNTIFS(AgPac,$A473,AgStatus,"Compareceu"))</f>
        <v>0</v>
      </c>
      <c r="I473" s="21">
        <f>IF($A473="","",COUNTIFS(AgPac,$A473,AgStatus,"Faltou"))</f>
        <v>0</v>
      </c>
      <c r="J473" s="22">
        <f>IF($A473="","",SUMPRODUCT(MAX((AgPac=$A473)*(AgStatus="Compareceu")*AgData)))</f>
        <v>0</v>
      </c>
    </row>
    <row r="474" spans="1:10">
      <c r="A474" s="15"/>
      <c r="B474" s="15"/>
      <c r="C474" s="15"/>
      <c r="D474" s="15"/>
      <c r="E474" s="15"/>
      <c r="F474" s="16"/>
      <c r="G474" s="15"/>
      <c r="H474" s="21">
        <f>IF($A474="","",COUNTIFS(AgPac,$A474,AgStatus,"Compareceu"))</f>
        <v>0</v>
      </c>
      <c r="I474" s="21">
        <f>IF($A474="","",COUNTIFS(AgPac,$A474,AgStatus,"Faltou"))</f>
        <v>0</v>
      </c>
      <c r="J474" s="22">
        <f>IF($A474="","",SUMPRODUCT(MAX((AgPac=$A474)*(AgStatus="Compareceu")*AgData)))</f>
        <v>0</v>
      </c>
    </row>
    <row r="475" spans="1:10">
      <c r="A475" s="15"/>
      <c r="B475" s="15"/>
      <c r="C475" s="15"/>
      <c r="D475" s="15"/>
      <c r="E475" s="15"/>
      <c r="F475" s="16"/>
      <c r="G475" s="15"/>
      <c r="H475" s="21">
        <f>IF($A475="","",COUNTIFS(AgPac,$A475,AgStatus,"Compareceu"))</f>
        <v>0</v>
      </c>
      <c r="I475" s="21">
        <f>IF($A475="","",COUNTIFS(AgPac,$A475,AgStatus,"Faltou"))</f>
        <v>0</v>
      </c>
      <c r="J475" s="22">
        <f>IF($A475="","",SUMPRODUCT(MAX((AgPac=$A475)*(AgStatus="Compareceu")*AgData)))</f>
        <v>0</v>
      </c>
    </row>
    <row r="476" spans="1:10">
      <c r="A476" s="15"/>
      <c r="B476" s="15"/>
      <c r="C476" s="15"/>
      <c r="D476" s="15"/>
      <c r="E476" s="15"/>
      <c r="F476" s="16"/>
      <c r="G476" s="15"/>
      <c r="H476" s="21">
        <f>IF($A476="","",COUNTIFS(AgPac,$A476,AgStatus,"Compareceu"))</f>
        <v>0</v>
      </c>
      <c r="I476" s="21">
        <f>IF($A476="","",COUNTIFS(AgPac,$A476,AgStatus,"Faltou"))</f>
        <v>0</v>
      </c>
      <c r="J476" s="22">
        <f>IF($A476="","",SUMPRODUCT(MAX((AgPac=$A476)*(AgStatus="Compareceu")*AgData)))</f>
        <v>0</v>
      </c>
    </row>
    <row r="477" spans="1:10">
      <c r="A477" s="15"/>
      <c r="B477" s="15"/>
      <c r="C477" s="15"/>
      <c r="D477" s="15"/>
      <c r="E477" s="15"/>
      <c r="F477" s="16"/>
      <c r="G477" s="15"/>
      <c r="H477" s="21">
        <f>IF($A477="","",COUNTIFS(AgPac,$A477,AgStatus,"Compareceu"))</f>
        <v>0</v>
      </c>
      <c r="I477" s="21">
        <f>IF($A477="","",COUNTIFS(AgPac,$A477,AgStatus,"Faltou"))</f>
        <v>0</v>
      </c>
      <c r="J477" s="22">
        <f>IF($A477="","",SUMPRODUCT(MAX((AgPac=$A477)*(AgStatus="Compareceu")*AgData)))</f>
        <v>0</v>
      </c>
    </row>
    <row r="478" spans="1:10">
      <c r="A478" s="15"/>
      <c r="B478" s="15"/>
      <c r="C478" s="15"/>
      <c r="D478" s="15"/>
      <c r="E478" s="15"/>
      <c r="F478" s="16"/>
      <c r="G478" s="15"/>
      <c r="H478" s="21">
        <f>IF($A478="","",COUNTIFS(AgPac,$A478,AgStatus,"Compareceu"))</f>
        <v>0</v>
      </c>
      <c r="I478" s="21">
        <f>IF($A478="","",COUNTIFS(AgPac,$A478,AgStatus,"Faltou"))</f>
        <v>0</v>
      </c>
      <c r="J478" s="22">
        <f>IF($A478="","",SUMPRODUCT(MAX((AgPac=$A478)*(AgStatus="Compareceu")*AgData)))</f>
        <v>0</v>
      </c>
    </row>
    <row r="479" spans="1:10">
      <c r="A479" s="15"/>
      <c r="B479" s="15"/>
      <c r="C479" s="15"/>
      <c r="D479" s="15"/>
      <c r="E479" s="15"/>
      <c r="F479" s="16"/>
      <c r="G479" s="15"/>
      <c r="H479" s="21">
        <f>IF($A479="","",COUNTIFS(AgPac,$A479,AgStatus,"Compareceu"))</f>
        <v>0</v>
      </c>
      <c r="I479" s="21">
        <f>IF($A479="","",COUNTIFS(AgPac,$A479,AgStatus,"Faltou"))</f>
        <v>0</v>
      </c>
      <c r="J479" s="22">
        <f>IF($A479="","",SUMPRODUCT(MAX((AgPac=$A479)*(AgStatus="Compareceu")*AgData)))</f>
        <v>0</v>
      </c>
    </row>
    <row r="480" spans="1:10">
      <c r="A480" s="15"/>
      <c r="B480" s="15"/>
      <c r="C480" s="15"/>
      <c r="D480" s="15"/>
      <c r="E480" s="15"/>
      <c r="F480" s="16"/>
      <c r="G480" s="15"/>
      <c r="H480" s="21">
        <f>IF($A480="","",COUNTIFS(AgPac,$A480,AgStatus,"Compareceu"))</f>
        <v>0</v>
      </c>
      <c r="I480" s="21">
        <f>IF($A480="","",COUNTIFS(AgPac,$A480,AgStatus,"Faltou"))</f>
        <v>0</v>
      </c>
      <c r="J480" s="22">
        <f>IF($A480="","",SUMPRODUCT(MAX((AgPac=$A480)*(AgStatus="Compareceu")*AgData)))</f>
        <v>0</v>
      </c>
    </row>
    <row r="481" spans="1:10">
      <c r="A481" s="15"/>
      <c r="B481" s="15"/>
      <c r="C481" s="15"/>
      <c r="D481" s="15"/>
      <c r="E481" s="15"/>
      <c r="F481" s="16"/>
      <c r="G481" s="15"/>
      <c r="H481" s="21">
        <f>IF($A481="","",COUNTIFS(AgPac,$A481,AgStatus,"Compareceu"))</f>
        <v>0</v>
      </c>
      <c r="I481" s="21">
        <f>IF($A481="","",COUNTIFS(AgPac,$A481,AgStatus,"Faltou"))</f>
        <v>0</v>
      </c>
      <c r="J481" s="22">
        <f>IF($A481="","",SUMPRODUCT(MAX((AgPac=$A481)*(AgStatus="Compareceu")*AgData)))</f>
        <v>0</v>
      </c>
    </row>
    <row r="482" spans="1:10">
      <c r="A482" s="15"/>
      <c r="B482" s="15"/>
      <c r="C482" s="15"/>
      <c r="D482" s="15"/>
      <c r="E482" s="15"/>
      <c r="F482" s="16"/>
      <c r="G482" s="15"/>
      <c r="H482" s="21">
        <f>IF($A482="","",COUNTIFS(AgPac,$A482,AgStatus,"Compareceu"))</f>
        <v>0</v>
      </c>
      <c r="I482" s="21">
        <f>IF($A482="","",COUNTIFS(AgPac,$A482,AgStatus,"Faltou"))</f>
        <v>0</v>
      </c>
      <c r="J482" s="22">
        <f>IF($A482="","",SUMPRODUCT(MAX((AgPac=$A482)*(AgStatus="Compareceu")*AgData)))</f>
        <v>0</v>
      </c>
    </row>
    <row r="483" spans="1:10">
      <c r="A483" s="15"/>
      <c r="B483" s="15"/>
      <c r="C483" s="15"/>
      <c r="D483" s="15"/>
      <c r="E483" s="15"/>
      <c r="F483" s="16"/>
      <c r="G483" s="15"/>
      <c r="H483" s="21">
        <f>IF($A483="","",COUNTIFS(AgPac,$A483,AgStatus,"Compareceu"))</f>
        <v>0</v>
      </c>
      <c r="I483" s="21">
        <f>IF($A483="","",COUNTIFS(AgPac,$A483,AgStatus,"Faltou"))</f>
        <v>0</v>
      </c>
      <c r="J483" s="22">
        <f>IF($A483="","",SUMPRODUCT(MAX((AgPac=$A483)*(AgStatus="Compareceu")*AgData)))</f>
        <v>0</v>
      </c>
    </row>
    <row r="484" spans="1:10">
      <c r="A484" s="15"/>
      <c r="B484" s="15"/>
      <c r="C484" s="15"/>
      <c r="D484" s="15"/>
      <c r="E484" s="15"/>
      <c r="F484" s="16"/>
      <c r="G484" s="15"/>
      <c r="H484" s="21">
        <f>IF($A484="","",COUNTIFS(AgPac,$A484,AgStatus,"Compareceu"))</f>
        <v>0</v>
      </c>
      <c r="I484" s="21">
        <f>IF($A484="","",COUNTIFS(AgPac,$A484,AgStatus,"Faltou"))</f>
        <v>0</v>
      </c>
      <c r="J484" s="22">
        <f>IF($A484="","",SUMPRODUCT(MAX((AgPac=$A484)*(AgStatus="Compareceu")*AgData)))</f>
        <v>0</v>
      </c>
    </row>
    <row r="485" spans="1:10">
      <c r="A485" s="15"/>
      <c r="B485" s="15"/>
      <c r="C485" s="15"/>
      <c r="D485" s="15"/>
      <c r="E485" s="15"/>
      <c r="F485" s="16"/>
      <c r="G485" s="15"/>
      <c r="H485" s="21">
        <f>IF($A485="","",COUNTIFS(AgPac,$A485,AgStatus,"Compareceu"))</f>
        <v>0</v>
      </c>
      <c r="I485" s="21">
        <f>IF($A485="","",COUNTIFS(AgPac,$A485,AgStatus,"Faltou"))</f>
        <v>0</v>
      </c>
      <c r="J485" s="22">
        <f>IF($A485="","",SUMPRODUCT(MAX((AgPac=$A485)*(AgStatus="Compareceu")*AgData)))</f>
        <v>0</v>
      </c>
    </row>
    <row r="486" spans="1:10">
      <c r="A486" s="15"/>
      <c r="B486" s="15"/>
      <c r="C486" s="15"/>
      <c r="D486" s="15"/>
      <c r="E486" s="15"/>
      <c r="F486" s="16"/>
      <c r="G486" s="15"/>
      <c r="H486" s="21">
        <f>IF($A486="","",COUNTIFS(AgPac,$A486,AgStatus,"Compareceu"))</f>
        <v>0</v>
      </c>
      <c r="I486" s="21">
        <f>IF($A486="","",COUNTIFS(AgPac,$A486,AgStatus,"Faltou"))</f>
        <v>0</v>
      </c>
      <c r="J486" s="22">
        <f>IF($A486="","",SUMPRODUCT(MAX((AgPac=$A486)*(AgStatus="Compareceu")*AgData)))</f>
        <v>0</v>
      </c>
    </row>
    <row r="487" spans="1:10">
      <c r="A487" s="15"/>
      <c r="B487" s="15"/>
      <c r="C487" s="15"/>
      <c r="D487" s="15"/>
      <c r="E487" s="15"/>
      <c r="F487" s="16"/>
      <c r="G487" s="15"/>
      <c r="H487" s="21">
        <f>IF($A487="","",COUNTIFS(AgPac,$A487,AgStatus,"Compareceu"))</f>
        <v>0</v>
      </c>
      <c r="I487" s="21">
        <f>IF($A487="","",COUNTIFS(AgPac,$A487,AgStatus,"Faltou"))</f>
        <v>0</v>
      </c>
      <c r="J487" s="22">
        <f>IF($A487="","",SUMPRODUCT(MAX((AgPac=$A487)*(AgStatus="Compareceu")*AgData)))</f>
        <v>0</v>
      </c>
    </row>
    <row r="488" spans="1:10">
      <c r="A488" s="15"/>
      <c r="B488" s="15"/>
      <c r="C488" s="15"/>
      <c r="D488" s="15"/>
      <c r="E488" s="15"/>
      <c r="F488" s="16"/>
      <c r="G488" s="15"/>
      <c r="H488" s="21">
        <f>IF($A488="","",COUNTIFS(AgPac,$A488,AgStatus,"Compareceu"))</f>
        <v>0</v>
      </c>
      <c r="I488" s="21">
        <f>IF($A488="","",COUNTIFS(AgPac,$A488,AgStatus,"Faltou"))</f>
        <v>0</v>
      </c>
      <c r="J488" s="22">
        <f>IF($A488="","",SUMPRODUCT(MAX((AgPac=$A488)*(AgStatus="Compareceu")*AgData)))</f>
        <v>0</v>
      </c>
    </row>
    <row r="489" spans="1:10">
      <c r="A489" s="15"/>
      <c r="B489" s="15"/>
      <c r="C489" s="15"/>
      <c r="D489" s="15"/>
      <c r="E489" s="15"/>
      <c r="F489" s="16"/>
      <c r="G489" s="15"/>
      <c r="H489" s="21">
        <f>IF($A489="","",COUNTIFS(AgPac,$A489,AgStatus,"Compareceu"))</f>
        <v>0</v>
      </c>
      <c r="I489" s="21">
        <f>IF($A489="","",COUNTIFS(AgPac,$A489,AgStatus,"Faltou"))</f>
        <v>0</v>
      </c>
      <c r="J489" s="22">
        <f>IF($A489="","",SUMPRODUCT(MAX((AgPac=$A489)*(AgStatus="Compareceu")*AgData)))</f>
        <v>0</v>
      </c>
    </row>
    <row r="490" spans="1:10">
      <c r="A490" s="15"/>
      <c r="B490" s="15"/>
      <c r="C490" s="15"/>
      <c r="D490" s="15"/>
      <c r="E490" s="15"/>
      <c r="F490" s="16"/>
      <c r="G490" s="15"/>
      <c r="H490" s="21">
        <f>IF($A490="","",COUNTIFS(AgPac,$A490,AgStatus,"Compareceu"))</f>
        <v>0</v>
      </c>
      <c r="I490" s="21">
        <f>IF($A490="","",COUNTIFS(AgPac,$A490,AgStatus,"Faltou"))</f>
        <v>0</v>
      </c>
      <c r="J490" s="22">
        <f>IF($A490="","",SUMPRODUCT(MAX((AgPac=$A490)*(AgStatus="Compareceu")*AgData)))</f>
        <v>0</v>
      </c>
    </row>
    <row r="491" spans="1:10">
      <c r="A491" s="15"/>
      <c r="B491" s="15"/>
      <c r="C491" s="15"/>
      <c r="D491" s="15"/>
      <c r="E491" s="15"/>
      <c r="F491" s="16"/>
      <c r="G491" s="15"/>
      <c r="H491" s="21">
        <f>IF($A491="","",COUNTIFS(AgPac,$A491,AgStatus,"Compareceu"))</f>
        <v>0</v>
      </c>
      <c r="I491" s="21">
        <f>IF($A491="","",COUNTIFS(AgPac,$A491,AgStatus,"Faltou"))</f>
        <v>0</v>
      </c>
      <c r="J491" s="22">
        <f>IF($A491="","",SUMPRODUCT(MAX((AgPac=$A491)*(AgStatus="Compareceu")*AgData)))</f>
        <v>0</v>
      </c>
    </row>
    <row r="492" spans="1:10">
      <c r="A492" s="15"/>
      <c r="B492" s="15"/>
      <c r="C492" s="15"/>
      <c r="D492" s="15"/>
      <c r="E492" s="15"/>
      <c r="F492" s="16"/>
      <c r="G492" s="15"/>
      <c r="H492" s="21">
        <f>IF($A492="","",COUNTIFS(AgPac,$A492,AgStatus,"Compareceu"))</f>
        <v>0</v>
      </c>
      <c r="I492" s="21">
        <f>IF($A492="","",COUNTIFS(AgPac,$A492,AgStatus,"Faltou"))</f>
        <v>0</v>
      </c>
      <c r="J492" s="22">
        <f>IF($A492="","",SUMPRODUCT(MAX((AgPac=$A492)*(AgStatus="Compareceu")*AgData)))</f>
        <v>0</v>
      </c>
    </row>
    <row r="493" spans="1:10">
      <c r="A493" s="15"/>
      <c r="B493" s="15"/>
      <c r="C493" s="15"/>
      <c r="D493" s="15"/>
      <c r="E493" s="15"/>
      <c r="F493" s="16"/>
      <c r="G493" s="15"/>
      <c r="H493" s="21">
        <f>IF($A493="","",COUNTIFS(AgPac,$A493,AgStatus,"Compareceu"))</f>
        <v>0</v>
      </c>
      <c r="I493" s="21">
        <f>IF($A493="","",COUNTIFS(AgPac,$A493,AgStatus,"Faltou"))</f>
        <v>0</v>
      </c>
      <c r="J493" s="22">
        <f>IF($A493="","",SUMPRODUCT(MAX((AgPac=$A493)*(AgStatus="Compareceu")*AgData)))</f>
        <v>0</v>
      </c>
    </row>
    <row r="494" spans="1:10">
      <c r="A494" s="15"/>
      <c r="B494" s="15"/>
      <c r="C494" s="15"/>
      <c r="D494" s="15"/>
      <c r="E494" s="15"/>
      <c r="F494" s="16"/>
      <c r="G494" s="15"/>
      <c r="H494" s="21">
        <f>IF($A494="","",COUNTIFS(AgPac,$A494,AgStatus,"Compareceu"))</f>
        <v>0</v>
      </c>
      <c r="I494" s="21">
        <f>IF($A494="","",COUNTIFS(AgPac,$A494,AgStatus,"Faltou"))</f>
        <v>0</v>
      </c>
      <c r="J494" s="22">
        <f>IF($A494="","",SUMPRODUCT(MAX((AgPac=$A494)*(AgStatus="Compareceu")*AgData)))</f>
        <v>0</v>
      </c>
    </row>
    <row r="495" spans="1:10">
      <c r="A495" s="15"/>
      <c r="B495" s="15"/>
      <c r="C495" s="15"/>
      <c r="D495" s="15"/>
      <c r="E495" s="15"/>
      <c r="F495" s="16"/>
      <c r="G495" s="15"/>
      <c r="H495" s="21">
        <f>IF($A495="","",COUNTIFS(AgPac,$A495,AgStatus,"Compareceu"))</f>
        <v>0</v>
      </c>
      <c r="I495" s="21">
        <f>IF($A495="","",COUNTIFS(AgPac,$A495,AgStatus,"Faltou"))</f>
        <v>0</v>
      </c>
      <c r="J495" s="22">
        <f>IF($A495="","",SUMPRODUCT(MAX((AgPac=$A495)*(AgStatus="Compareceu")*AgData)))</f>
        <v>0</v>
      </c>
    </row>
    <row r="496" spans="1:10">
      <c r="A496" s="15"/>
      <c r="B496" s="15"/>
      <c r="C496" s="15"/>
      <c r="D496" s="15"/>
      <c r="E496" s="15"/>
      <c r="F496" s="16"/>
      <c r="G496" s="15"/>
      <c r="H496" s="21">
        <f>IF($A496="","",COUNTIFS(AgPac,$A496,AgStatus,"Compareceu"))</f>
        <v>0</v>
      </c>
      <c r="I496" s="21">
        <f>IF($A496="","",COUNTIFS(AgPac,$A496,AgStatus,"Faltou"))</f>
        <v>0</v>
      </c>
      <c r="J496" s="22">
        <f>IF($A496="","",SUMPRODUCT(MAX((AgPac=$A496)*(AgStatus="Compareceu")*AgData)))</f>
        <v>0</v>
      </c>
    </row>
    <row r="497" spans="1:10">
      <c r="A497" s="15"/>
      <c r="B497" s="15"/>
      <c r="C497" s="15"/>
      <c r="D497" s="15"/>
      <c r="E497" s="15"/>
      <c r="F497" s="16"/>
      <c r="G497" s="15"/>
      <c r="H497" s="21">
        <f>IF($A497="","",COUNTIFS(AgPac,$A497,AgStatus,"Compareceu"))</f>
        <v>0</v>
      </c>
      <c r="I497" s="21">
        <f>IF($A497="","",COUNTIFS(AgPac,$A497,AgStatus,"Faltou"))</f>
        <v>0</v>
      </c>
      <c r="J497" s="22">
        <f>IF($A497="","",SUMPRODUCT(MAX((AgPac=$A497)*(AgStatus="Compareceu")*AgData)))</f>
        <v>0</v>
      </c>
    </row>
    <row r="498" spans="1:10">
      <c r="A498" s="15"/>
      <c r="B498" s="15"/>
      <c r="C498" s="15"/>
      <c r="D498" s="15"/>
      <c r="E498" s="15"/>
      <c r="F498" s="16"/>
      <c r="G498" s="15"/>
      <c r="H498" s="21">
        <f>IF($A498="","",COUNTIFS(AgPac,$A498,AgStatus,"Compareceu"))</f>
        <v>0</v>
      </c>
      <c r="I498" s="21">
        <f>IF($A498="","",COUNTIFS(AgPac,$A498,AgStatus,"Faltou"))</f>
        <v>0</v>
      </c>
      <c r="J498" s="22">
        <f>IF($A498="","",SUMPRODUCT(MAX((AgPac=$A498)*(AgStatus="Compareceu")*AgData)))</f>
        <v>0</v>
      </c>
    </row>
    <row r="499" spans="1:10">
      <c r="A499" s="15"/>
      <c r="B499" s="15"/>
      <c r="C499" s="15"/>
      <c r="D499" s="15"/>
      <c r="E499" s="15"/>
      <c r="F499" s="16"/>
      <c r="G499" s="15"/>
      <c r="H499" s="21">
        <f>IF($A499="","",COUNTIFS(AgPac,$A499,AgStatus,"Compareceu"))</f>
        <v>0</v>
      </c>
      <c r="I499" s="21">
        <f>IF($A499="","",COUNTIFS(AgPac,$A499,AgStatus,"Faltou"))</f>
        <v>0</v>
      </c>
      <c r="J499" s="22">
        <f>IF($A499="","",SUMPRODUCT(MAX((AgPac=$A499)*(AgStatus="Compareceu")*AgData)))</f>
        <v>0</v>
      </c>
    </row>
    <row r="500" spans="1:10">
      <c r="A500" s="15"/>
      <c r="B500" s="15"/>
      <c r="C500" s="15"/>
      <c r="D500" s="15"/>
      <c r="E500" s="15"/>
      <c r="F500" s="16"/>
      <c r="G500" s="15"/>
      <c r="H500" s="21">
        <f>IF($A500="","",COUNTIFS(AgPac,$A500,AgStatus,"Compareceu"))</f>
        <v>0</v>
      </c>
      <c r="I500" s="21">
        <f>IF($A500="","",COUNTIFS(AgPac,$A500,AgStatus,"Faltou"))</f>
        <v>0</v>
      </c>
      <c r="J500" s="22">
        <f>IF($A500="","",SUMPRODUCT(MAX((AgPac=$A500)*(AgStatus="Compareceu")*AgData)))</f>
        <v>0</v>
      </c>
    </row>
    <row r="501" spans="1:10">
      <c r="A501" s="15"/>
      <c r="B501" s="15"/>
      <c r="C501" s="15"/>
      <c r="D501" s="15"/>
      <c r="E501" s="15"/>
      <c r="F501" s="16"/>
      <c r="G501" s="15"/>
      <c r="H501" s="21">
        <f>IF($A501="","",COUNTIFS(AgPac,$A501,AgStatus,"Compareceu"))</f>
        <v>0</v>
      </c>
      <c r="I501" s="21">
        <f>IF($A501="","",COUNTIFS(AgPac,$A501,AgStatus,"Faltou"))</f>
        <v>0</v>
      </c>
      <c r="J501" s="22">
        <f>IF($A501="","",SUMPRODUCT(MAX((AgPac=$A501)*(AgStatus="Compareceu")*AgData)))</f>
        <v>0</v>
      </c>
    </row>
    <row r="502" spans="1:10">
      <c r="A502" s="15"/>
      <c r="B502" s="15"/>
      <c r="C502" s="15"/>
      <c r="D502" s="15"/>
      <c r="E502" s="15"/>
      <c r="F502" s="16"/>
      <c r="G502" s="15"/>
      <c r="H502" s="21">
        <f>IF($A502="","",COUNTIFS(AgPac,$A502,AgStatus,"Compareceu"))</f>
        <v>0</v>
      </c>
      <c r="I502" s="21">
        <f>IF($A502="","",COUNTIFS(AgPac,$A502,AgStatus,"Faltou"))</f>
        <v>0</v>
      </c>
      <c r="J502" s="22">
        <f>IF($A502="","",SUMPRODUCT(MAX((AgPac=$A502)*(AgStatus="Compareceu")*AgData)))</f>
        <v>0</v>
      </c>
    </row>
    <row r="503" spans="1:10">
      <c r="A503" s="15"/>
      <c r="B503" s="15"/>
      <c r="C503" s="15"/>
      <c r="D503" s="15"/>
      <c r="E503" s="15"/>
      <c r="F503" s="16"/>
      <c r="G503" s="15"/>
      <c r="H503" s="21">
        <f>IF($A503="","",COUNTIFS(AgPac,$A503,AgStatus,"Compareceu"))</f>
        <v>0</v>
      </c>
      <c r="I503" s="21">
        <f>IF($A503="","",COUNTIFS(AgPac,$A503,AgStatus,"Faltou"))</f>
        <v>0</v>
      </c>
      <c r="J503" s="22">
        <f>IF($A503="","",SUMPRODUCT(MAX((AgPac=$A503)*(AgStatus="Compareceu")*AgData)))</f>
        <v>0</v>
      </c>
    </row>
    <row r="504" spans="1:10">
      <c r="A504" s="15"/>
      <c r="B504" s="15"/>
      <c r="C504" s="15"/>
      <c r="D504" s="15"/>
      <c r="E504" s="15"/>
      <c r="F504" s="16"/>
      <c r="G504" s="15"/>
      <c r="H504" s="21">
        <f>IF($A504="","",COUNTIFS(AgPac,$A504,AgStatus,"Compareceu"))</f>
        <v>0</v>
      </c>
      <c r="I504" s="21">
        <f>IF($A504="","",COUNTIFS(AgPac,$A504,AgStatus,"Faltou"))</f>
        <v>0</v>
      </c>
      <c r="J504" s="22">
        <f>IF($A504="","",SUMPRODUCT(MAX((AgPac=$A504)*(AgStatus="Compareceu")*AgData)))</f>
        <v>0</v>
      </c>
    </row>
    <row r="505" spans="1:10">
      <c r="A505" s="15"/>
      <c r="B505" s="15"/>
      <c r="C505" s="15"/>
      <c r="D505" s="15"/>
      <c r="E505" s="15"/>
      <c r="F505" s="16"/>
      <c r="G505" s="15"/>
      <c r="H505" s="21">
        <f>IF($A505="","",COUNTIFS(AgPac,$A505,AgStatus,"Compareceu"))</f>
        <v>0</v>
      </c>
      <c r="I505" s="21">
        <f>IF($A505="","",COUNTIFS(AgPac,$A505,AgStatus,"Faltou"))</f>
        <v>0</v>
      </c>
      <c r="J505" s="22">
        <f>IF($A505="","",SUMPRODUCT(MAX((AgPac=$A505)*(AgStatus="Compareceu")*AgData)))</f>
        <v>0</v>
      </c>
    </row>
    <row r="506" spans="1:10">
      <c r="A506" s="15"/>
      <c r="B506" s="15"/>
      <c r="C506" s="15"/>
      <c r="D506" s="15"/>
      <c r="E506" s="15"/>
      <c r="F506" s="16"/>
      <c r="G506" s="15"/>
      <c r="H506" s="21">
        <f>IF($A506="","",COUNTIFS(AgPac,$A506,AgStatus,"Compareceu"))</f>
        <v>0</v>
      </c>
      <c r="I506" s="21">
        <f>IF($A506="","",COUNTIFS(AgPac,$A506,AgStatus,"Faltou"))</f>
        <v>0</v>
      </c>
      <c r="J506" s="22">
        <f>IF($A506="","",SUMPRODUCT(MAX((AgPac=$A506)*(AgStatus="Compareceu")*AgData)))</f>
        <v>0</v>
      </c>
    </row>
    <row r="507" spans="1:10">
      <c r="A507" s="15"/>
      <c r="B507" s="15"/>
      <c r="C507" s="15"/>
      <c r="D507" s="15"/>
      <c r="E507" s="15"/>
      <c r="F507" s="16"/>
      <c r="G507" s="15"/>
      <c r="H507" s="21">
        <f>IF($A507="","",COUNTIFS(AgPac,$A507,AgStatus,"Compareceu"))</f>
        <v>0</v>
      </c>
      <c r="I507" s="21">
        <f>IF($A507="","",COUNTIFS(AgPac,$A507,AgStatus,"Faltou"))</f>
        <v>0</v>
      </c>
      <c r="J507" s="22">
        <f>IF($A507="","",SUMPRODUCT(MAX((AgPac=$A507)*(AgStatus="Compareceu")*AgData)))</f>
        <v>0</v>
      </c>
    </row>
    <row r="508" spans="1:10">
      <c r="A508" s="15"/>
      <c r="B508" s="15"/>
      <c r="C508" s="15"/>
      <c r="D508" s="15"/>
      <c r="E508" s="15"/>
      <c r="F508" s="16"/>
      <c r="G508" s="15"/>
      <c r="H508" s="21">
        <f>IF($A508="","",COUNTIFS(AgPac,$A508,AgStatus,"Compareceu"))</f>
        <v>0</v>
      </c>
      <c r="I508" s="21">
        <f>IF($A508="","",COUNTIFS(AgPac,$A508,AgStatus,"Faltou"))</f>
        <v>0</v>
      </c>
      <c r="J508" s="22">
        <f>IF($A508="","",SUMPRODUCT(MAX((AgPac=$A508)*(AgStatus="Compareceu")*AgData)))</f>
        <v>0</v>
      </c>
    </row>
    <row r="509" spans="1:10">
      <c r="A509" s="15"/>
      <c r="B509" s="15"/>
      <c r="C509" s="15"/>
      <c r="D509" s="15"/>
      <c r="E509" s="15"/>
      <c r="F509" s="16"/>
      <c r="G509" s="15"/>
      <c r="H509" s="21">
        <f>IF($A509="","",COUNTIFS(AgPac,$A509,AgStatus,"Compareceu"))</f>
        <v>0</v>
      </c>
      <c r="I509" s="21">
        <f>IF($A509="","",COUNTIFS(AgPac,$A509,AgStatus,"Faltou"))</f>
        <v>0</v>
      </c>
      <c r="J509" s="22">
        <f>IF($A509="","",SUMPRODUCT(MAX((AgPac=$A509)*(AgStatus="Compareceu")*AgData)))</f>
        <v>0</v>
      </c>
    </row>
    <row r="510" spans="1:10">
      <c r="A510" s="15"/>
      <c r="B510" s="15"/>
      <c r="C510" s="15"/>
      <c r="D510" s="15"/>
      <c r="E510" s="15"/>
      <c r="F510" s="16"/>
      <c r="G510" s="15"/>
      <c r="H510" s="21">
        <f>IF($A510="","",COUNTIFS(AgPac,$A510,AgStatus,"Compareceu"))</f>
        <v>0</v>
      </c>
      <c r="I510" s="21">
        <f>IF($A510="","",COUNTIFS(AgPac,$A510,AgStatus,"Faltou"))</f>
        <v>0</v>
      </c>
      <c r="J510" s="22">
        <f>IF($A510="","",SUMPRODUCT(MAX((AgPac=$A510)*(AgStatus="Compareceu")*AgData)))</f>
        <v>0</v>
      </c>
    </row>
    <row r="511" spans="1:10">
      <c r="A511" s="15"/>
      <c r="B511" s="15"/>
      <c r="C511" s="15"/>
      <c r="D511" s="15"/>
      <c r="E511" s="15"/>
      <c r="F511" s="16"/>
      <c r="G511" s="15"/>
      <c r="H511" s="21">
        <f>IF($A511="","",COUNTIFS(AgPac,$A511,AgStatus,"Compareceu"))</f>
        <v>0</v>
      </c>
      <c r="I511" s="21">
        <f>IF($A511="","",COUNTIFS(AgPac,$A511,AgStatus,"Faltou"))</f>
        <v>0</v>
      </c>
      <c r="J511" s="22">
        <f>IF($A511="","",SUMPRODUCT(MAX((AgPac=$A511)*(AgStatus="Compareceu")*AgData)))</f>
        <v>0</v>
      </c>
    </row>
    <row r="512" spans="1:10">
      <c r="A512" s="15"/>
      <c r="B512" s="15"/>
      <c r="C512" s="15"/>
      <c r="D512" s="15"/>
      <c r="E512" s="15"/>
      <c r="F512" s="16"/>
      <c r="G512" s="15"/>
      <c r="H512" s="21">
        <f>IF($A512="","",COUNTIFS(AgPac,$A512,AgStatus,"Compareceu"))</f>
        <v>0</v>
      </c>
      <c r="I512" s="21">
        <f>IF($A512="","",COUNTIFS(AgPac,$A512,AgStatus,"Faltou"))</f>
        <v>0</v>
      </c>
      <c r="J512" s="22">
        <f>IF($A512="","",SUMPRODUCT(MAX((AgPac=$A512)*(AgStatus="Compareceu")*AgData)))</f>
        <v>0</v>
      </c>
    </row>
    <row r="513" spans="1:10">
      <c r="A513" s="15"/>
      <c r="B513" s="15"/>
      <c r="C513" s="15"/>
      <c r="D513" s="15"/>
      <c r="E513" s="15"/>
      <c r="F513" s="16"/>
      <c r="G513" s="15"/>
      <c r="H513" s="21">
        <f>IF($A513="","",COUNTIFS(AgPac,$A513,AgStatus,"Compareceu"))</f>
        <v>0</v>
      </c>
      <c r="I513" s="21">
        <f>IF($A513="","",COUNTIFS(AgPac,$A513,AgStatus,"Faltou"))</f>
        <v>0</v>
      </c>
      <c r="J513" s="22">
        <f>IF($A513="","",SUMPRODUCT(MAX((AgPac=$A513)*(AgStatus="Compareceu")*AgData)))</f>
        <v>0</v>
      </c>
    </row>
    <row r="514" spans="1:10">
      <c r="A514" s="15"/>
      <c r="B514" s="15"/>
      <c r="C514" s="15"/>
      <c r="D514" s="15"/>
      <c r="E514" s="15"/>
      <c r="F514" s="16"/>
      <c r="G514" s="15"/>
      <c r="H514" s="21">
        <f>IF($A514="","",COUNTIFS(AgPac,$A514,AgStatus,"Compareceu"))</f>
        <v>0</v>
      </c>
      <c r="I514" s="21">
        <f>IF($A514="","",COUNTIFS(AgPac,$A514,AgStatus,"Faltou"))</f>
        <v>0</v>
      </c>
      <c r="J514" s="22">
        <f>IF($A514="","",SUMPRODUCT(MAX((AgPac=$A514)*(AgStatus="Compareceu")*AgData)))</f>
        <v>0</v>
      </c>
    </row>
    <row r="515" spans="1:10">
      <c r="A515" s="15"/>
      <c r="B515" s="15"/>
      <c r="C515" s="15"/>
      <c r="D515" s="15"/>
      <c r="E515" s="15"/>
      <c r="F515" s="16"/>
      <c r="G515" s="15"/>
      <c r="H515" s="21">
        <f>IF($A515="","",COUNTIFS(AgPac,$A515,AgStatus,"Compareceu"))</f>
        <v>0</v>
      </c>
      <c r="I515" s="21">
        <f>IF($A515="","",COUNTIFS(AgPac,$A515,AgStatus,"Faltou"))</f>
        <v>0</v>
      </c>
      <c r="J515" s="22">
        <f>IF($A515="","",SUMPRODUCT(MAX((AgPac=$A515)*(AgStatus="Compareceu")*AgData)))</f>
        <v>0</v>
      </c>
    </row>
    <row r="516" spans="1:10">
      <c r="A516" s="15"/>
      <c r="B516" s="15"/>
      <c r="C516" s="15"/>
      <c r="D516" s="15"/>
      <c r="E516" s="15"/>
      <c r="F516" s="16"/>
      <c r="G516" s="15"/>
      <c r="H516" s="21">
        <f>IF($A516="","",COUNTIFS(AgPac,$A516,AgStatus,"Compareceu"))</f>
        <v>0</v>
      </c>
      <c r="I516" s="21">
        <f>IF($A516="","",COUNTIFS(AgPac,$A516,AgStatus,"Faltou"))</f>
        <v>0</v>
      </c>
      <c r="J516" s="22">
        <f>IF($A516="","",SUMPRODUCT(MAX((AgPac=$A516)*(AgStatus="Compareceu")*AgData)))</f>
        <v>0</v>
      </c>
    </row>
    <row r="517" spans="1:10">
      <c r="A517" s="15"/>
      <c r="B517" s="15"/>
      <c r="C517" s="15"/>
      <c r="D517" s="15"/>
      <c r="E517" s="15"/>
      <c r="F517" s="16"/>
      <c r="G517" s="15"/>
      <c r="H517" s="21">
        <f>IF($A517="","",COUNTIFS(AgPac,$A517,AgStatus,"Compareceu"))</f>
        <v>0</v>
      </c>
      <c r="I517" s="21">
        <f>IF($A517="","",COUNTIFS(AgPac,$A517,AgStatus,"Faltou"))</f>
        <v>0</v>
      </c>
      <c r="J517" s="22">
        <f>IF($A517="","",SUMPRODUCT(MAX((AgPac=$A517)*(AgStatus="Compareceu")*AgData)))</f>
        <v>0</v>
      </c>
    </row>
    <row r="518" spans="1:10">
      <c r="A518" s="15"/>
      <c r="B518" s="15"/>
      <c r="C518" s="15"/>
      <c r="D518" s="15"/>
      <c r="E518" s="15"/>
      <c r="F518" s="16"/>
      <c r="G518" s="15"/>
      <c r="H518" s="21">
        <f>IF($A518="","",COUNTIFS(AgPac,$A518,AgStatus,"Compareceu"))</f>
        <v>0</v>
      </c>
      <c r="I518" s="21">
        <f>IF($A518="","",COUNTIFS(AgPac,$A518,AgStatus,"Faltou"))</f>
        <v>0</v>
      </c>
      <c r="J518" s="22">
        <f>IF($A518="","",SUMPRODUCT(MAX((AgPac=$A518)*(AgStatus="Compareceu")*AgData)))</f>
        <v>0</v>
      </c>
    </row>
    <row r="519" spans="1:10">
      <c r="A519" s="15"/>
      <c r="B519" s="15"/>
      <c r="C519" s="15"/>
      <c r="D519" s="15"/>
      <c r="E519" s="15"/>
      <c r="F519" s="16"/>
      <c r="G519" s="15"/>
      <c r="H519" s="21">
        <f>IF($A519="","",COUNTIFS(AgPac,$A519,AgStatus,"Compareceu"))</f>
        <v>0</v>
      </c>
      <c r="I519" s="21">
        <f>IF($A519="","",COUNTIFS(AgPac,$A519,AgStatus,"Faltou"))</f>
        <v>0</v>
      </c>
      <c r="J519" s="22">
        <f>IF($A519="","",SUMPRODUCT(MAX((AgPac=$A519)*(AgStatus="Compareceu")*AgData)))</f>
        <v>0</v>
      </c>
    </row>
    <row r="520" spans="1:10">
      <c r="A520" s="15"/>
      <c r="B520" s="15"/>
      <c r="C520" s="15"/>
      <c r="D520" s="15"/>
      <c r="E520" s="15"/>
      <c r="F520" s="16"/>
      <c r="G520" s="15"/>
      <c r="H520" s="21">
        <f>IF($A520="","",COUNTIFS(AgPac,$A520,AgStatus,"Compareceu"))</f>
        <v>0</v>
      </c>
      <c r="I520" s="21">
        <f>IF($A520="","",COUNTIFS(AgPac,$A520,AgStatus,"Faltou"))</f>
        <v>0</v>
      </c>
      <c r="J520" s="22">
        <f>IF($A520="","",SUMPRODUCT(MAX((AgPac=$A520)*(AgStatus="Compareceu")*AgData)))</f>
        <v>0</v>
      </c>
    </row>
    <row r="521" spans="1:10">
      <c r="A521" s="15"/>
      <c r="B521" s="15"/>
      <c r="C521" s="15"/>
      <c r="D521" s="15"/>
      <c r="E521" s="15"/>
      <c r="F521" s="16"/>
      <c r="G521" s="15"/>
      <c r="H521" s="21">
        <f>IF($A521="","",COUNTIFS(AgPac,$A521,AgStatus,"Compareceu"))</f>
        <v>0</v>
      </c>
      <c r="I521" s="21">
        <f>IF($A521="","",COUNTIFS(AgPac,$A521,AgStatus,"Faltou"))</f>
        <v>0</v>
      </c>
      <c r="J521" s="22">
        <f>IF($A521="","",SUMPRODUCT(MAX((AgPac=$A521)*(AgStatus="Compareceu")*AgData)))</f>
        <v>0</v>
      </c>
    </row>
    <row r="522" spans="1:10">
      <c r="A522" s="15"/>
      <c r="B522" s="15"/>
      <c r="C522" s="15"/>
      <c r="D522" s="15"/>
      <c r="E522" s="15"/>
      <c r="F522" s="16"/>
      <c r="G522" s="15"/>
      <c r="H522" s="21">
        <f>IF($A522="","",COUNTIFS(AgPac,$A522,AgStatus,"Compareceu"))</f>
        <v>0</v>
      </c>
      <c r="I522" s="21">
        <f>IF($A522="","",COUNTIFS(AgPac,$A522,AgStatus,"Faltou"))</f>
        <v>0</v>
      </c>
      <c r="J522" s="22">
        <f>IF($A522="","",SUMPRODUCT(MAX((AgPac=$A522)*(AgStatus="Compareceu")*AgData)))</f>
        <v>0</v>
      </c>
    </row>
    <row r="523" spans="1:10">
      <c r="A523" s="15"/>
      <c r="B523" s="15"/>
      <c r="C523" s="15"/>
      <c r="D523" s="15"/>
      <c r="E523" s="15"/>
      <c r="F523" s="16"/>
      <c r="G523" s="15"/>
      <c r="H523" s="21">
        <f>IF($A523="","",COUNTIFS(AgPac,$A523,AgStatus,"Compareceu"))</f>
        <v>0</v>
      </c>
      <c r="I523" s="21">
        <f>IF($A523="","",COUNTIFS(AgPac,$A523,AgStatus,"Faltou"))</f>
        <v>0</v>
      </c>
      <c r="J523" s="22">
        <f>IF($A523="","",SUMPRODUCT(MAX((AgPac=$A523)*(AgStatus="Compareceu")*AgData)))</f>
        <v>0</v>
      </c>
    </row>
    <row r="524" spans="1:10">
      <c r="A524" s="15"/>
      <c r="B524" s="15"/>
      <c r="C524" s="15"/>
      <c r="D524" s="15"/>
      <c r="E524" s="15"/>
      <c r="F524" s="16"/>
      <c r="G524" s="15"/>
      <c r="H524" s="21">
        <f>IF($A524="","",COUNTIFS(AgPac,$A524,AgStatus,"Compareceu"))</f>
        <v>0</v>
      </c>
      <c r="I524" s="21">
        <f>IF($A524="","",COUNTIFS(AgPac,$A524,AgStatus,"Faltou"))</f>
        <v>0</v>
      </c>
      <c r="J524" s="22">
        <f>IF($A524="","",SUMPRODUCT(MAX((AgPac=$A524)*(AgStatus="Compareceu")*AgData)))</f>
        <v>0</v>
      </c>
    </row>
    <row r="525" spans="1:10">
      <c r="A525" s="15"/>
      <c r="B525" s="15"/>
      <c r="C525" s="15"/>
      <c r="D525" s="15"/>
      <c r="E525" s="15"/>
      <c r="F525" s="16"/>
      <c r="G525" s="15"/>
      <c r="H525" s="21">
        <f>IF($A525="","",COUNTIFS(AgPac,$A525,AgStatus,"Compareceu"))</f>
        <v>0</v>
      </c>
      <c r="I525" s="21">
        <f>IF($A525="","",COUNTIFS(AgPac,$A525,AgStatus,"Faltou"))</f>
        <v>0</v>
      </c>
      <c r="J525" s="22">
        <f>IF($A525="","",SUMPRODUCT(MAX((AgPac=$A525)*(AgStatus="Compareceu")*AgData)))</f>
        <v>0</v>
      </c>
    </row>
    <row r="526" spans="1:10">
      <c r="A526" s="15"/>
      <c r="B526" s="15"/>
      <c r="C526" s="15"/>
      <c r="D526" s="15"/>
      <c r="E526" s="15"/>
      <c r="F526" s="16"/>
      <c r="G526" s="15"/>
      <c r="H526" s="21">
        <f>IF($A526="","",COUNTIFS(AgPac,$A526,AgStatus,"Compareceu"))</f>
        <v>0</v>
      </c>
      <c r="I526" s="21">
        <f>IF($A526="","",COUNTIFS(AgPac,$A526,AgStatus,"Faltou"))</f>
        <v>0</v>
      </c>
      <c r="J526" s="22">
        <f>IF($A526="","",SUMPRODUCT(MAX((AgPac=$A526)*(AgStatus="Compareceu")*AgData)))</f>
        <v>0</v>
      </c>
    </row>
    <row r="527" spans="1:10">
      <c r="A527" s="15"/>
      <c r="B527" s="15"/>
      <c r="C527" s="15"/>
      <c r="D527" s="15"/>
      <c r="E527" s="15"/>
      <c r="F527" s="16"/>
      <c r="G527" s="15"/>
      <c r="H527" s="21">
        <f>IF($A527="","",COUNTIFS(AgPac,$A527,AgStatus,"Compareceu"))</f>
        <v>0</v>
      </c>
      <c r="I527" s="21">
        <f>IF($A527="","",COUNTIFS(AgPac,$A527,AgStatus,"Faltou"))</f>
        <v>0</v>
      </c>
      <c r="J527" s="22">
        <f>IF($A527="","",SUMPRODUCT(MAX((AgPac=$A527)*(AgStatus="Compareceu")*AgData)))</f>
        <v>0</v>
      </c>
    </row>
    <row r="528" spans="1:10">
      <c r="A528" s="15"/>
      <c r="B528" s="15"/>
      <c r="C528" s="15"/>
      <c r="D528" s="15"/>
      <c r="E528" s="15"/>
      <c r="F528" s="16"/>
      <c r="G528" s="15"/>
      <c r="H528" s="21">
        <f>IF($A528="","",COUNTIFS(AgPac,$A528,AgStatus,"Compareceu"))</f>
        <v>0</v>
      </c>
      <c r="I528" s="21">
        <f>IF($A528="","",COUNTIFS(AgPac,$A528,AgStatus,"Faltou"))</f>
        <v>0</v>
      </c>
      <c r="J528" s="22">
        <f>IF($A528="","",SUMPRODUCT(MAX((AgPac=$A528)*(AgStatus="Compareceu")*AgData)))</f>
        <v>0</v>
      </c>
    </row>
    <row r="529" spans="1:10">
      <c r="A529" s="15"/>
      <c r="B529" s="15"/>
      <c r="C529" s="15"/>
      <c r="D529" s="15"/>
      <c r="E529" s="15"/>
      <c r="F529" s="16"/>
      <c r="G529" s="15"/>
      <c r="H529" s="21">
        <f>IF($A529="","",COUNTIFS(AgPac,$A529,AgStatus,"Compareceu"))</f>
        <v>0</v>
      </c>
      <c r="I529" s="21">
        <f>IF($A529="","",COUNTIFS(AgPac,$A529,AgStatus,"Faltou"))</f>
        <v>0</v>
      </c>
      <c r="J529" s="22">
        <f>IF($A529="","",SUMPRODUCT(MAX((AgPac=$A529)*(AgStatus="Compareceu")*AgData)))</f>
        <v>0</v>
      </c>
    </row>
    <row r="530" spans="1:10">
      <c r="A530" s="15"/>
      <c r="B530" s="15"/>
      <c r="C530" s="15"/>
      <c r="D530" s="15"/>
      <c r="E530" s="15"/>
      <c r="F530" s="16"/>
      <c r="G530" s="15"/>
      <c r="H530" s="21">
        <f>IF($A530="","",COUNTIFS(AgPac,$A530,AgStatus,"Compareceu"))</f>
        <v>0</v>
      </c>
      <c r="I530" s="21">
        <f>IF($A530="","",COUNTIFS(AgPac,$A530,AgStatus,"Faltou"))</f>
        <v>0</v>
      </c>
      <c r="J530" s="22">
        <f>IF($A530="","",SUMPRODUCT(MAX((AgPac=$A530)*(AgStatus="Compareceu")*AgData)))</f>
        <v>0</v>
      </c>
    </row>
    <row r="531" spans="1:10">
      <c r="A531" s="15"/>
      <c r="B531" s="15"/>
      <c r="C531" s="15"/>
      <c r="D531" s="15"/>
      <c r="E531" s="15"/>
      <c r="F531" s="16"/>
      <c r="G531" s="15"/>
      <c r="H531" s="21">
        <f>IF($A531="","",COUNTIFS(AgPac,$A531,AgStatus,"Compareceu"))</f>
        <v>0</v>
      </c>
      <c r="I531" s="21">
        <f>IF($A531="","",COUNTIFS(AgPac,$A531,AgStatus,"Faltou"))</f>
        <v>0</v>
      </c>
      <c r="J531" s="22">
        <f>IF($A531="","",SUMPRODUCT(MAX((AgPac=$A531)*(AgStatus="Compareceu")*AgData)))</f>
        <v>0</v>
      </c>
    </row>
    <row r="532" spans="1:10">
      <c r="A532" s="15"/>
      <c r="B532" s="15"/>
      <c r="C532" s="15"/>
      <c r="D532" s="15"/>
      <c r="E532" s="15"/>
      <c r="F532" s="16"/>
      <c r="G532" s="15"/>
      <c r="H532" s="21">
        <f>IF($A532="","",COUNTIFS(AgPac,$A532,AgStatus,"Compareceu"))</f>
        <v>0</v>
      </c>
      <c r="I532" s="21">
        <f>IF($A532="","",COUNTIFS(AgPac,$A532,AgStatus,"Faltou"))</f>
        <v>0</v>
      </c>
      <c r="J532" s="22">
        <f>IF($A532="","",SUMPRODUCT(MAX((AgPac=$A532)*(AgStatus="Compareceu")*AgData)))</f>
        <v>0</v>
      </c>
    </row>
    <row r="533" spans="1:10">
      <c r="A533" s="15"/>
      <c r="B533" s="15"/>
      <c r="C533" s="15"/>
      <c r="D533" s="15"/>
      <c r="E533" s="15"/>
      <c r="F533" s="16"/>
      <c r="G533" s="15"/>
      <c r="H533" s="21">
        <f>IF($A533="","",COUNTIFS(AgPac,$A533,AgStatus,"Compareceu"))</f>
        <v>0</v>
      </c>
      <c r="I533" s="21">
        <f>IF($A533="","",COUNTIFS(AgPac,$A533,AgStatus,"Faltou"))</f>
        <v>0</v>
      </c>
      <c r="J533" s="22">
        <f>IF($A533="","",SUMPRODUCT(MAX((AgPac=$A533)*(AgStatus="Compareceu")*AgData)))</f>
        <v>0</v>
      </c>
    </row>
    <row r="534" spans="1:10">
      <c r="A534" s="15"/>
      <c r="B534" s="15"/>
      <c r="C534" s="15"/>
      <c r="D534" s="15"/>
      <c r="E534" s="15"/>
      <c r="F534" s="16"/>
      <c r="G534" s="15"/>
      <c r="H534" s="21">
        <f>IF($A534="","",COUNTIFS(AgPac,$A534,AgStatus,"Compareceu"))</f>
        <v>0</v>
      </c>
      <c r="I534" s="21">
        <f>IF($A534="","",COUNTIFS(AgPac,$A534,AgStatus,"Faltou"))</f>
        <v>0</v>
      </c>
      <c r="J534" s="22">
        <f>IF($A534="","",SUMPRODUCT(MAX((AgPac=$A534)*(AgStatus="Compareceu")*AgData)))</f>
        <v>0</v>
      </c>
    </row>
    <row r="535" spans="1:10">
      <c r="A535" s="15"/>
      <c r="B535" s="15"/>
      <c r="C535" s="15"/>
      <c r="D535" s="15"/>
      <c r="E535" s="15"/>
      <c r="F535" s="16"/>
      <c r="G535" s="15"/>
      <c r="H535" s="21">
        <f>IF($A535="","",COUNTIFS(AgPac,$A535,AgStatus,"Compareceu"))</f>
        <v>0</v>
      </c>
      <c r="I535" s="21">
        <f>IF($A535="","",COUNTIFS(AgPac,$A535,AgStatus,"Faltou"))</f>
        <v>0</v>
      </c>
      <c r="J535" s="22">
        <f>IF($A535="","",SUMPRODUCT(MAX((AgPac=$A535)*(AgStatus="Compareceu")*AgData)))</f>
        <v>0</v>
      </c>
    </row>
    <row r="536" spans="1:10">
      <c r="A536" s="15"/>
      <c r="B536" s="15"/>
      <c r="C536" s="15"/>
      <c r="D536" s="15"/>
      <c r="E536" s="15"/>
      <c r="F536" s="16"/>
      <c r="G536" s="15"/>
      <c r="H536" s="21">
        <f>IF($A536="","",COUNTIFS(AgPac,$A536,AgStatus,"Compareceu"))</f>
        <v>0</v>
      </c>
      <c r="I536" s="21">
        <f>IF($A536="","",COUNTIFS(AgPac,$A536,AgStatus,"Faltou"))</f>
        <v>0</v>
      </c>
      <c r="J536" s="22">
        <f>IF($A536="","",SUMPRODUCT(MAX((AgPac=$A536)*(AgStatus="Compareceu")*AgData)))</f>
        <v>0</v>
      </c>
    </row>
    <row r="537" spans="1:10">
      <c r="A537" s="15"/>
      <c r="B537" s="15"/>
      <c r="C537" s="15"/>
      <c r="D537" s="15"/>
      <c r="E537" s="15"/>
      <c r="F537" s="16"/>
      <c r="G537" s="15"/>
      <c r="H537" s="21">
        <f>IF($A537="","",COUNTIFS(AgPac,$A537,AgStatus,"Compareceu"))</f>
        <v>0</v>
      </c>
      <c r="I537" s="21">
        <f>IF($A537="","",COUNTIFS(AgPac,$A537,AgStatus,"Faltou"))</f>
        <v>0</v>
      </c>
      <c r="J537" s="22">
        <f>IF($A537="","",SUMPRODUCT(MAX((AgPac=$A537)*(AgStatus="Compareceu")*AgData)))</f>
        <v>0</v>
      </c>
    </row>
    <row r="538" spans="1:10">
      <c r="A538" s="15"/>
      <c r="B538" s="15"/>
      <c r="C538" s="15"/>
      <c r="D538" s="15"/>
      <c r="E538" s="15"/>
      <c r="F538" s="16"/>
      <c r="G538" s="15"/>
      <c r="H538" s="21">
        <f>IF($A538="","",COUNTIFS(AgPac,$A538,AgStatus,"Compareceu"))</f>
        <v>0</v>
      </c>
      <c r="I538" s="21">
        <f>IF($A538="","",COUNTIFS(AgPac,$A538,AgStatus,"Faltou"))</f>
        <v>0</v>
      </c>
      <c r="J538" s="22">
        <f>IF($A538="","",SUMPRODUCT(MAX((AgPac=$A538)*(AgStatus="Compareceu")*AgData)))</f>
        <v>0</v>
      </c>
    </row>
    <row r="539" spans="1:10">
      <c r="A539" s="15"/>
      <c r="B539" s="15"/>
      <c r="C539" s="15"/>
      <c r="D539" s="15"/>
      <c r="E539" s="15"/>
      <c r="F539" s="16"/>
      <c r="G539" s="15"/>
      <c r="H539" s="21">
        <f>IF($A539="","",COUNTIFS(AgPac,$A539,AgStatus,"Compareceu"))</f>
        <v>0</v>
      </c>
      <c r="I539" s="21">
        <f>IF($A539="","",COUNTIFS(AgPac,$A539,AgStatus,"Faltou"))</f>
        <v>0</v>
      </c>
      <c r="J539" s="22">
        <f>IF($A539="","",SUMPRODUCT(MAX((AgPac=$A539)*(AgStatus="Compareceu")*AgData)))</f>
        <v>0</v>
      </c>
    </row>
    <row r="540" spans="1:10">
      <c r="A540" s="15"/>
      <c r="B540" s="15"/>
      <c r="C540" s="15"/>
      <c r="D540" s="15"/>
      <c r="E540" s="15"/>
      <c r="F540" s="16"/>
      <c r="G540" s="15"/>
      <c r="H540" s="21">
        <f>IF($A540="","",COUNTIFS(AgPac,$A540,AgStatus,"Compareceu"))</f>
        <v>0</v>
      </c>
      <c r="I540" s="21">
        <f>IF($A540="","",COUNTIFS(AgPac,$A540,AgStatus,"Faltou"))</f>
        <v>0</v>
      </c>
      <c r="J540" s="22">
        <f>IF($A540="","",SUMPRODUCT(MAX((AgPac=$A540)*(AgStatus="Compareceu")*AgData)))</f>
        <v>0</v>
      </c>
    </row>
    <row r="541" spans="1:10">
      <c r="A541" s="15"/>
      <c r="B541" s="15"/>
      <c r="C541" s="15"/>
      <c r="D541" s="15"/>
      <c r="E541" s="15"/>
      <c r="F541" s="16"/>
      <c r="G541" s="15"/>
      <c r="H541" s="21">
        <f>IF($A541="","",COUNTIFS(AgPac,$A541,AgStatus,"Compareceu"))</f>
        <v>0</v>
      </c>
      <c r="I541" s="21">
        <f>IF($A541="","",COUNTIFS(AgPac,$A541,AgStatus,"Faltou"))</f>
        <v>0</v>
      </c>
      <c r="J541" s="22">
        <f>IF($A541="","",SUMPRODUCT(MAX((AgPac=$A541)*(AgStatus="Compareceu")*AgData)))</f>
        <v>0</v>
      </c>
    </row>
    <row r="542" spans="1:10">
      <c r="A542" s="15"/>
      <c r="B542" s="15"/>
      <c r="C542" s="15"/>
      <c r="D542" s="15"/>
      <c r="E542" s="15"/>
      <c r="F542" s="16"/>
      <c r="G542" s="15"/>
      <c r="H542" s="21">
        <f>IF($A542="","",COUNTIFS(AgPac,$A542,AgStatus,"Compareceu"))</f>
        <v>0</v>
      </c>
      <c r="I542" s="21">
        <f>IF($A542="","",COUNTIFS(AgPac,$A542,AgStatus,"Faltou"))</f>
        <v>0</v>
      </c>
      <c r="J542" s="22">
        <f>IF($A542="","",SUMPRODUCT(MAX((AgPac=$A542)*(AgStatus="Compareceu")*AgData)))</f>
        <v>0</v>
      </c>
    </row>
    <row r="543" spans="1:10">
      <c r="A543" s="15"/>
      <c r="B543" s="15"/>
      <c r="C543" s="15"/>
      <c r="D543" s="15"/>
      <c r="E543" s="15"/>
      <c r="F543" s="16"/>
      <c r="G543" s="15"/>
      <c r="H543" s="21">
        <f>IF($A543="","",COUNTIFS(AgPac,$A543,AgStatus,"Compareceu"))</f>
        <v>0</v>
      </c>
      <c r="I543" s="21">
        <f>IF($A543="","",COUNTIFS(AgPac,$A543,AgStatus,"Faltou"))</f>
        <v>0</v>
      </c>
      <c r="J543" s="22">
        <f>IF($A543="","",SUMPRODUCT(MAX((AgPac=$A543)*(AgStatus="Compareceu")*AgData)))</f>
        <v>0</v>
      </c>
    </row>
    <row r="544" spans="1:10">
      <c r="A544" s="15"/>
      <c r="B544" s="15"/>
      <c r="C544" s="15"/>
      <c r="D544" s="15"/>
      <c r="E544" s="15"/>
      <c r="F544" s="16"/>
      <c r="G544" s="15"/>
      <c r="H544" s="21">
        <f>IF($A544="","",COUNTIFS(AgPac,$A544,AgStatus,"Compareceu"))</f>
        <v>0</v>
      </c>
      <c r="I544" s="21">
        <f>IF($A544="","",COUNTIFS(AgPac,$A544,AgStatus,"Faltou"))</f>
        <v>0</v>
      </c>
      <c r="J544" s="22">
        <f>IF($A544="","",SUMPRODUCT(MAX((AgPac=$A544)*(AgStatus="Compareceu")*AgData)))</f>
        <v>0</v>
      </c>
    </row>
    <row r="545" spans="1:10">
      <c r="A545" s="15"/>
      <c r="B545" s="15"/>
      <c r="C545" s="15"/>
      <c r="D545" s="15"/>
      <c r="E545" s="15"/>
      <c r="F545" s="16"/>
      <c r="G545" s="15"/>
      <c r="H545" s="21">
        <f>IF($A545="","",COUNTIFS(AgPac,$A545,AgStatus,"Compareceu"))</f>
        <v>0</v>
      </c>
      <c r="I545" s="21">
        <f>IF($A545="","",COUNTIFS(AgPac,$A545,AgStatus,"Faltou"))</f>
        <v>0</v>
      </c>
      <c r="J545" s="22">
        <f>IF($A545="","",SUMPRODUCT(MAX((AgPac=$A545)*(AgStatus="Compareceu")*AgData)))</f>
        <v>0</v>
      </c>
    </row>
    <row r="546" spans="1:10">
      <c r="A546" s="15"/>
      <c r="B546" s="15"/>
      <c r="C546" s="15"/>
      <c r="D546" s="15"/>
      <c r="E546" s="15"/>
      <c r="F546" s="16"/>
      <c r="G546" s="15"/>
      <c r="H546" s="21">
        <f>IF($A546="","",COUNTIFS(AgPac,$A546,AgStatus,"Compareceu"))</f>
        <v>0</v>
      </c>
      <c r="I546" s="21">
        <f>IF($A546="","",COUNTIFS(AgPac,$A546,AgStatus,"Faltou"))</f>
        <v>0</v>
      </c>
      <c r="J546" s="22">
        <f>IF($A546="","",SUMPRODUCT(MAX((AgPac=$A546)*(AgStatus="Compareceu")*AgData)))</f>
        <v>0</v>
      </c>
    </row>
    <row r="547" spans="1:10">
      <c r="A547" s="15"/>
      <c r="B547" s="15"/>
      <c r="C547" s="15"/>
      <c r="D547" s="15"/>
      <c r="E547" s="15"/>
      <c r="F547" s="16"/>
      <c r="G547" s="15"/>
      <c r="H547" s="21">
        <f>IF($A547="","",COUNTIFS(AgPac,$A547,AgStatus,"Compareceu"))</f>
        <v>0</v>
      </c>
      <c r="I547" s="21">
        <f>IF($A547="","",COUNTIFS(AgPac,$A547,AgStatus,"Faltou"))</f>
        <v>0</v>
      </c>
      <c r="J547" s="22">
        <f>IF($A547="","",SUMPRODUCT(MAX((AgPac=$A547)*(AgStatus="Compareceu")*AgData)))</f>
        <v>0</v>
      </c>
    </row>
    <row r="548" spans="1:10">
      <c r="A548" s="15"/>
      <c r="B548" s="15"/>
      <c r="C548" s="15"/>
      <c r="D548" s="15"/>
      <c r="E548" s="15"/>
      <c r="F548" s="16"/>
      <c r="G548" s="15"/>
      <c r="H548" s="21">
        <f>IF($A548="","",COUNTIFS(AgPac,$A548,AgStatus,"Compareceu"))</f>
        <v>0</v>
      </c>
      <c r="I548" s="21">
        <f>IF($A548="","",COUNTIFS(AgPac,$A548,AgStatus,"Faltou"))</f>
        <v>0</v>
      </c>
      <c r="J548" s="22">
        <f>IF($A548="","",SUMPRODUCT(MAX((AgPac=$A548)*(AgStatus="Compareceu")*AgData)))</f>
        <v>0</v>
      </c>
    </row>
    <row r="549" spans="1:10">
      <c r="A549" s="15"/>
      <c r="B549" s="15"/>
      <c r="C549" s="15"/>
      <c r="D549" s="15"/>
      <c r="E549" s="15"/>
      <c r="F549" s="16"/>
      <c r="G549" s="15"/>
      <c r="H549" s="21">
        <f>IF($A549="","",COUNTIFS(AgPac,$A549,AgStatus,"Compareceu"))</f>
        <v>0</v>
      </c>
      <c r="I549" s="21">
        <f>IF($A549="","",COUNTIFS(AgPac,$A549,AgStatus,"Faltou"))</f>
        <v>0</v>
      </c>
      <c r="J549" s="22">
        <f>IF($A549="","",SUMPRODUCT(MAX((AgPac=$A549)*(AgStatus="Compareceu")*AgData)))</f>
        <v>0</v>
      </c>
    </row>
    <row r="550" spans="1:10">
      <c r="A550" s="15"/>
      <c r="B550" s="15"/>
      <c r="C550" s="15"/>
      <c r="D550" s="15"/>
      <c r="E550" s="15"/>
      <c r="F550" s="16"/>
      <c r="G550" s="15"/>
      <c r="H550" s="21">
        <f>IF($A550="","",COUNTIFS(AgPac,$A550,AgStatus,"Compareceu"))</f>
        <v>0</v>
      </c>
      <c r="I550" s="21">
        <f>IF($A550="","",COUNTIFS(AgPac,$A550,AgStatus,"Faltou"))</f>
        <v>0</v>
      </c>
      <c r="J550" s="22">
        <f>IF($A550="","",SUMPRODUCT(MAX((AgPac=$A550)*(AgStatus="Compareceu")*AgData)))</f>
        <v>0</v>
      </c>
    </row>
    <row r="551" spans="1:10">
      <c r="A551" s="15"/>
      <c r="B551" s="15"/>
      <c r="C551" s="15"/>
      <c r="D551" s="15"/>
      <c r="E551" s="15"/>
      <c r="F551" s="16"/>
      <c r="G551" s="15"/>
      <c r="H551" s="21">
        <f>IF($A551="","",COUNTIFS(AgPac,$A551,AgStatus,"Compareceu"))</f>
        <v>0</v>
      </c>
      <c r="I551" s="21">
        <f>IF($A551="","",COUNTIFS(AgPac,$A551,AgStatus,"Faltou"))</f>
        <v>0</v>
      </c>
      <c r="J551" s="22">
        <f>IF($A551="","",SUMPRODUCT(MAX((AgPac=$A551)*(AgStatus="Compareceu")*AgData)))</f>
        <v>0</v>
      </c>
    </row>
    <row r="552" spans="1:10">
      <c r="A552" s="15"/>
      <c r="B552" s="15"/>
      <c r="C552" s="15"/>
      <c r="D552" s="15"/>
      <c r="E552" s="15"/>
      <c r="F552" s="16"/>
      <c r="G552" s="15"/>
      <c r="H552" s="21">
        <f>IF($A552="","",COUNTIFS(AgPac,$A552,AgStatus,"Compareceu"))</f>
        <v>0</v>
      </c>
      <c r="I552" s="21">
        <f>IF($A552="","",COUNTIFS(AgPac,$A552,AgStatus,"Faltou"))</f>
        <v>0</v>
      </c>
      <c r="J552" s="22">
        <f>IF($A552="","",SUMPRODUCT(MAX((AgPac=$A552)*(AgStatus="Compareceu")*AgData)))</f>
        <v>0</v>
      </c>
    </row>
    <row r="553" spans="1:10">
      <c r="A553" s="15"/>
      <c r="B553" s="15"/>
      <c r="C553" s="15"/>
      <c r="D553" s="15"/>
      <c r="E553" s="15"/>
      <c r="F553" s="16"/>
      <c r="G553" s="15"/>
      <c r="H553" s="21">
        <f>IF($A553="","",COUNTIFS(AgPac,$A553,AgStatus,"Compareceu"))</f>
        <v>0</v>
      </c>
      <c r="I553" s="21">
        <f>IF($A553="","",COUNTIFS(AgPac,$A553,AgStatus,"Faltou"))</f>
        <v>0</v>
      </c>
      <c r="J553" s="22">
        <f>IF($A553="","",SUMPRODUCT(MAX((AgPac=$A553)*(AgStatus="Compareceu")*AgData)))</f>
        <v>0</v>
      </c>
    </row>
    <row r="554" spans="1:10">
      <c r="A554" s="15"/>
      <c r="B554" s="15"/>
      <c r="C554" s="15"/>
      <c r="D554" s="15"/>
      <c r="E554" s="15"/>
      <c r="F554" s="16"/>
      <c r="G554" s="15"/>
      <c r="H554" s="21">
        <f>IF($A554="","",COUNTIFS(AgPac,$A554,AgStatus,"Compareceu"))</f>
        <v>0</v>
      </c>
      <c r="I554" s="21">
        <f>IF($A554="","",COUNTIFS(AgPac,$A554,AgStatus,"Faltou"))</f>
        <v>0</v>
      </c>
      <c r="J554" s="22">
        <f>IF($A554="","",SUMPRODUCT(MAX((AgPac=$A554)*(AgStatus="Compareceu")*AgData)))</f>
        <v>0</v>
      </c>
    </row>
    <row r="555" spans="1:10">
      <c r="A555" s="15"/>
      <c r="B555" s="15"/>
      <c r="C555" s="15"/>
      <c r="D555" s="15"/>
      <c r="E555" s="15"/>
      <c r="F555" s="16"/>
      <c r="G555" s="15"/>
      <c r="H555" s="21">
        <f>IF($A555="","",COUNTIFS(AgPac,$A555,AgStatus,"Compareceu"))</f>
        <v>0</v>
      </c>
      <c r="I555" s="21">
        <f>IF($A555="","",COUNTIFS(AgPac,$A555,AgStatus,"Faltou"))</f>
        <v>0</v>
      </c>
      <c r="J555" s="22">
        <f>IF($A555="","",SUMPRODUCT(MAX((AgPac=$A555)*(AgStatus="Compareceu")*AgData)))</f>
        <v>0</v>
      </c>
    </row>
    <row r="556" spans="1:10">
      <c r="A556" s="15"/>
      <c r="B556" s="15"/>
      <c r="C556" s="15"/>
      <c r="D556" s="15"/>
      <c r="E556" s="15"/>
      <c r="F556" s="16"/>
      <c r="G556" s="15"/>
      <c r="H556" s="21">
        <f>IF($A556="","",COUNTIFS(AgPac,$A556,AgStatus,"Compareceu"))</f>
        <v>0</v>
      </c>
      <c r="I556" s="21">
        <f>IF($A556="","",COUNTIFS(AgPac,$A556,AgStatus,"Faltou"))</f>
        <v>0</v>
      </c>
      <c r="J556" s="22">
        <f>IF($A556="","",SUMPRODUCT(MAX((AgPac=$A556)*(AgStatus="Compareceu")*AgData)))</f>
        <v>0</v>
      </c>
    </row>
    <row r="557" spans="1:10">
      <c r="A557" s="15"/>
      <c r="B557" s="15"/>
      <c r="C557" s="15"/>
      <c r="D557" s="15"/>
      <c r="E557" s="15"/>
      <c r="F557" s="16"/>
      <c r="G557" s="15"/>
      <c r="H557" s="21">
        <f>IF($A557="","",COUNTIFS(AgPac,$A557,AgStatus,"Compareceu"))</f>
        <v>0</v>
      </c>
      <c r="I557" s="21">
        <f>IF($A557="","",COUNTIFS(AgPac,$A557,AgStatus,"Faltou"))</f>
        <v>0</v>
      </c>
      <c r="J557" s="22">
        <f>IF($A557="","",SUMPRODUCT(MAX((AgPac=$A557)*(AgStatus="Compareceu")*AgData)))</f>
        <v>0</v>
      </c>
    </row>
    <row r="558" spans="1:10">
      <c r="A558" s="15"/>
      <c r="B558" s="15"/>
      <c r="C558" s="15"/>
      <c r="D558" s="15"/>
      <c r="E558" s="15"/>
      <c r="F558" s="16"/>
      <c r="G558" s="15"/>
      <c r="H558" s="21">
        <f>IF($A558="","",COUNTIFS(AgPac,$A558,AgStatus,"Compareceu"))</f>
        <v>0</v>
      </c>
      <c r="I558" s="21">
        <f>IF($A558="","",COUNTIFS(AgPac,$A558,AgStatus,"Faltou"))</f>
        <v>0</v>
      </c>
      <c r="J558" s="22">
        <f>IF($A558="","",SUMPRODUCT(MAX((AgPac=$A558)*(AgStatus="Compareceu")*AgData)))</f>
        <v>0</v>
      </c>
    </row>
    <row r="559" spans="1:10">
      <c r="A559" s="15"/>
      <c r="B559" s="15"/>
      <c r="C559" s="15"/>
      <c r="D559" s="15"/>
      <c r="E559" s="15"/>
      <c r="F559" s="16"/>
      <c r="G559" s="15"/>
      <c r="H559" s="21">
        <f>IF($A559="","",COUNTIFS(AgPac,$A559,AgStatus,"Compareceu"))</f>
        <v>0</v>
      </c>
      <c r="I559" s="21">
        <f>IF($A559="","",COUNTIFS(AgPac,$A559,AgStatus,"Faltou"))</f>
        <v>0</v>
      </c>
      <c r="J559" s="22">
        <f>IF($A559="","",SUMPRODUCT(MAX((AgPac=$A559)*(AgStatus="Compareceu")*AgData)))</f>
        <v>0</v>
      </c>
    </row>
    <row r="560" spans="1:10">
      <c r="A560" s="15"/>
      <c r="B560" s="15"/>
      <c r="C560" s="15"/>
      <c r="D560" s="15"/>
      <c r="E560" s="15"/>
      <c r="F560" s="16"/>
      <c r="G560" s="15"/>
      <c r="H560" s="21">
        <f>IF($A560="","",COUNTIFS(AgPac,$A560,AgStatus,"Compareceu"))</f>
        <v>0</v>
      </c>
      <c r="I560" s="21">
        <f>IF($A560="","",COUNTIFS(AgPac,$A560,AgStatus,"Faltou"))</f>
        <v>0</v>
      </c>
      <c r="J560" s="22">
        <f>IF($A560="","",SUMPRODUCT(MAX((AgPac=$A560)*(AgStatus="Compareceu")*AgData)))</f>
        <v>0</v>
      </c>
    </row>
    <row r="561" spans="1:10">
      <c r="A561" s="15"/>
      <c r="B561" s="15"/>
      <c r="C561" s="15"/>
      <c r="D561" s="15"/>
      <c r="E561" s="15"/>
      <c r="F561" s="16"/>
      <c r="G561" s="15"/>
      <c r="H561" s="21">
        <f>IF($A561="","",COUNTIFS(AgPac,$A561,AgStatus,"Compareceu"))</f>
        <v>0</v>
      </c>
      <c r="I561" s="21">
        <f>IF($A561="","",COUNTIFS(AgPac,$A561,AgStatus,"Faltou"))</f>
        <v>0</v>
      </c>
      <c r="J561" s="22">
        <f>IF($A561="","",SUMPRODUCT(MAX((AgPac=$A561)*(AgStatus="Compareceu")*AgData)))</f>
        <v>0</v>
      </c>
    </row>
    <row r="562" spans="1:10">
      <c r="A562" s="15"/>
      <c r="B562" s="15"/>
      <c r="C562" s="15"/>
      <c r="D562" s="15"/>
      <c r="E562" s="15"/>
      <c r="F562" s="16"/>
      <c r="G562" s="15"/>
      <c r="H562" s="21">
        <f>IF($A562="","",COUNTIFS(AgPac,$A562,AgStatus,"Compareceu"))</f>
        <v>0</v>
      </c>
      <c r="I562" s="21">
        <f>IF($A562="","",COUNTIFS(AgPac,$A562,AgStatus,"Faltou"))</f>
        <v>0</v>
      </c>
      <c r="J562" s="22">
        <f>IF($A562="","",SUMPRODUCT(MAX((AgPac=$A562)*(AgStatus="Compareceu")*AgData)))</f>
        <v>0</v>
      </c>
    </row>
    <row r="563" spans="1:10">
      <c r="A563" s="15"/>
      <c r="B563" s="15"/>
      <c r="C563" s="15"/>
      <c r="D563" s="15"/>
      <c r="E563" s="15"/>
      <c r="F563" s="16"/>
      <c r="G563" s="15"/>
      <c r="H563" s="21">
        <f>IF($A563="","",COUNTIFS(AgPac,$A563,AgStatus,"Compareceu"))</f>
        <v>0</v>
      </c>
      <c r="I563" s="21">
        <f>IF($A563="","",COUNTIFS(AgPac,$A563,AgStatus,"Faltou"))</f>
        <v>0</v>
      </c>
      <c r="J563" s="22">
        <f>IF($A563="","",SUMPRODUCT(MAX((AgPac=$A563)*(AgStatus="Compareceu")*AgData)))</f>
        <v>0</v>
      </c>
    </row>
    <row r="564" spans="1:10">
      <c r="A564" s="15"/>
      <c r="B564" s="15"/>
      <c r="C564" s="15"/>
      <c r="D564" s="15"/>
      <c r="E564" s="15"/>
      <c r="F564" s="16"/>
      <c r="G564" s="15"/>
      <c r="H564" s="21">
        <f>IF($A564="","",COUNTIFS(AgPac,$A564,AgStatus,"Compareceu"))</f>
        <v>0</v>
      </c>
      <c r="I564" s="21">
        <f>IF($A564="","",COUNTIFS(AgPac,$A564,AgStatus,"Faltou"))</f>
        <v>0</v>
      </c>
      <c r="J564" s="22">
        <f>IF($A564="","",SUMPRODUCT(MAX((AgPac=$A564)*(AgStatus="Compareceu")*AgData)))</f>
        <v>0</v>
      </c>
    </row>
    <row r="565" spans="1:10">
      <c r="A565" s="15"/>
      <c r="B565" s="15"/>
      <c r="C565" s="15"/>
      <c r="D565" s="15"/>
      <c r="E565" s="15"/>
      <c r="F565" s="16"/>
      <c r="G565" s="15"/>
      <c r="H565" s="21">
        <f>IF($A565="","",COUNTIFS(AgPac,$A565,AgStatus,"Compareceu"))</f>
        <v>0</v>
      </c>
      <c r="I565" s="21">
        <f>IF($A565="","",COUNTIFS(AgPac,$A565,AgStatus,"Faltou"))</f>
        <v>0</v>
      </c>
      <c r="J565" s="22">
        <f>IF($A565="","",SUMPRODUCT(MAX((AgPac=$A565)*(AgStatus="Compareceu")*AgData)))</f>
        <v>0</v>
      </c>
    </row>
    <row r="566" spans="1:10">
      <c r="A566" s="15"/>
      <c r="B566" s="15"/>
      <c r="C566" s="15"/>
      <c r="D566" s="15"/>
      <c r="E566" s="15"/>
      <c r="F566" s="16"/>
      <c r="G566" s="15"/>
      <c r="H566" s="21">
        <f>IF($A566="","",COUNTIFS(AgPac,$A566,AgStatus,"Compareceu"))</f>
        <v>0</v>
      </c>
      <c r="I566" s="21">
        <f>IF($A566="","",COUNTIFS(AgPac,$A566,AgStatus,"Faltou"))</f>
        <v>0</v>
      </c>
      <c r="J566" s="22">
        <f>IF($A566="","",SUMPRODUCT(MAX((AgPac=$A566)*(AgStatus="Compareceu")*AgData)))</f>
        <v>0</v>
      </c>
    </row>
    <row r="567" spans="1:10">
      <c r="A567" s="15"/>
      <c r="B567" s="15"/>
      <c r="C567" s="15"/>
      <c r="D567" s="15"/>
      <c r="E567" s="15"/>
      <c r="F567" s="16"/>
      <c r="G567" s="15"/>
      <c r="H567" s="21">
        <f>IF($A567="","",COUNTIFS(AgPac,$A567,AgStatus,"Compareceu"))</f>
        <v>0</v>
      </c>
      <c r="I567" s="21">
        <f>IF($A567="","",COUNTIFS(AgPac,$A567,AgStatus,"Faltou"))</f>
        <v>0</v>
      </c>
      <c r="J567" s="22">
        <f>IF($A567="","",SUMPRODUCT(MAX((AgPac=$A567)*(AgStatus="Compareceu")*AgData)))</f>
        <v>0</v>
      </c>
    </row>
    <row r="568" spans="1:10">
      <c r="A568" s="15"/>
      <c r="B568" s="15"/>
      <c r="C568" s="15"/>
      <c r="D568" s="15"/>
      <c r="E568" s="15"/>
      <c r="F568" s="16"/>
      <c r="G568" s="15"/>
      <c r="H568" s="21">
        <f>IF($A568="","",COUNTIFS(AgPac,$A568,AgStatus,"Compareceu"))</f>
        <v>0</v>
      </c>
      <c r="I568" s="21">
        <f>IF($A568="","",COUNTIFS(AgPac,$A568,AgStatus,"Faltou"))</f>
        <v>0</v>
      </c>
      <c r="J568" s="22">
        <f>IF($A568="","",SUMPRODUCT(MAX((AgPac=$A568)*(AgStatus="Compareceu")*AgData)))</f>
        <v>0</v>
      </c>
    </row>
    <row r="569" spans="1:10">
      <c r="A569" s="15"/>
      <c r="B569" s="15"/>
      <c r="C569" s="15"/>
      <c r="D569" s="15"/>
      <c r="E569" s="15"/>
      <c r="F569" s="16"/>
      <c r="G569" s="15"/>
      <c r="H569" s="21">
        <f>IF($A569="","",COUNTIFS(AgPac,$A569,AgStatus,"Compareceu"))</f>
        <v>0</v>
      </c>
      <c r="I569" s="21">
        <f>IF($A569="","",COUNTIFS(AgPac,$A569,AgStatus,"Faltou"))</f>
        <v>0</v>
      </c>
      <c r="J569" s="22">
        <f>IF($A569="","",SUMPRODUCT(MAX((AgPac=$A569)*(AgStatus="Compareceu")*AgData)))</f>
        <v>0</v>
      </c>
    </row>
    <row r="570" spans="1:10">
      <c r="A570" s="15"/>
      <c r="B570" s="15"/>
      <c r="C570" s="15"/>
      <c r="D570" s="15"/>
      <c r="E570" s="15"/>
      <c r="F570" s="16"/>
      <c r="G570" s="15"/>
      <c r="H570" s="21">
        <f>IF($A570="","",COUNTIFS(AgPac,$A570,AgStatus,"Compareceu"))</f>
        <v>0</v>
      </c>
      <c r="I570" s="21">
        <f>IF($A570="","",COUNTIFS(AgPac,$A570,AgStatus,"Faltou"))</f>
        <v>0</v>
      </c>
      <c r="J570" s="22">
        <f>IF($A570="","",SUMPRODUCT(MAX((AgPac=$A570)*(AgStatus="Compareceu")*AgData)))</f>
        <v>0</v>
      </c>
    </row>
    <row r="571" spans="1:10">
      <c r="A571" s="15"/>
      <c r="B571" s="15"/>
      <c r="C571" s="15"/>
      <c r="D571" s="15"/>
      <c r="E571" s="15"/>
      <c r="F571" s="16"/>
      <c r="G571" s="15"/>
      <c r="H571" s="21">
        <f>IF($A571="","",COUNTIFS(AgPac,$A571,AgStatus,"Compareceu"))</f>
        <v>0</v>
      </c>
      <c r="I571" s="21">
        <f>IF($A571="","",COUNTIFS(AgPac,$A571,AgStatus,"Faltou"))</f>
        <v>0</v>
      </c>
      <c r="J571" s="22">
        <f>IF($A571="","",SUMPRODUCT(MAX((AgPac=$A571)*(AgStatus="Compareceu")*AgData)))</f>
        <v>0</v>
      </c>
    </row>
    <row r="572" spans="1:10">
      <c r="A572" s="15"/>
      <c r="B572" s="15"/>
      <c r="C572" s="15"/>
      <c r="D572" s="15"/>
      <c r="E572" s="15"/>
      <c r="F572" s="16"/>
      <c r="G572" s="15"/>
      <c r="H572" s="21">
        <f>IF($A572="","",COUNTIFS(AgPac,$A572,AgStatus,"Compareceu"))</f>
        <v>0</v>
      </c>
      <c r="I572" s="21">
        <f>IF($A572="","",COUNTIFS(AgPac,$A572,AgStatus,"Faltou"))</f>
        <v>0</v>
      </c>
      <c r="J572" s="22">
        <f>IF($A572="","",SUMPRODUCT(MAX((AgPac=$A572)*(AgStatus="Compareceu")*AgData)))</f>
        <v>0</v>
      </c>
    </row>
    <row r="573" spans="1:10">
      <c r="A573" s="15"/>
      <c r="B573" s="15"/>
      <c r="C573" s="15"/>
      <c r="D573" s="15"/>
      <c r="E573" s="15"/>
      <c r="F573" s="16"/>
      <c r="G573" s="15"/>
      <c r="H573" s="21">
        <f>IF($A573="","",COUNTIFS(AgPac,$A573,AgStatus,"Compareceu"))</f>
        <v>0</v>
      </c>
      <c r="I573" s="21">
        <f>IF($A573="","",COUNTIFS(AgPac,$A573,AgStatus,"Faltou"))</f>
        <v>0</v>
      </c>
      <c r="J573" s="22">
        <f>IF($A573="","",SUMPRODUCT(MAX((AgPac=$A573)*(AgStatus="Compareceu")*AgData)))</f>
        <v>0</v>
      </c>
    </row>
    <row r="574" spans="1:10">
      <c r="A574" s="15"/>
      <c r="B574" s="15"/>
      <c r="C574" s="15"/>
      <c r="D574" s="15"/>
      <c r="E574" s="15"/>
      <c r="F574" s="16"/>
      <c r="G574" s="15"/>
      <c r="H574" s="21">
        <f>IF($A574="","",COUNTIFS(AgPac,$A574,AgStatus,"Compareceu"))</f>
        <v>0</v>
      </c>
      <c r="I574" s="21">
        <f>IF($A574="","",COUNTIFS(AgPac,$A574,AgStatus,"Faltou"))</f>
        <v>0</v>
      </c>
      <c r="J574" s="22">
        <f>IF($A574="","",SUMPRODUCT(MAX((AgPac=$A574)*(AgStatus="Compareceu")*AgData)))</f>
        <v>0</v>
      </c>
    </row>
    <row r="575" spans="1:10">
      <c r="A575" s="15"/>
      <c r="B575" s="15"/>
      <c r="C575" s="15"/>
      <c r="D575" s="15"/>
      <c r="E575" s="15"/>
      <c r="F575" s="16"/>
      <c r="G575" s="15"/>
      <c r="H575" s="21">
        <f>IF($A575="","",COUNTIFS(AgPac,$A575,AgStatus,"Compareceu"))</f>
        <v>0</v>
      </c>
      <c r="I575" s="21">
        <f>IF($A575="","",COUNTIFS(AgPac,$A575,AgStatus,"Faltou"))</f>
        <v>0</v>
      </c>
      <c r="J575" s="22">
        <f>IF($A575="","",SUMPRODUCT(MAX((AgPac=$A575)*(AgStatus="Compareceu")*AgData)))</f>
        <v>0</v>
      </c>
    </row>
    <row r="576" spans="1:10">
      <c r="A576" s="15"/>
      <c r="B576" s="15"/>
      <c r="C576" s="15"/>
      <c r="D576" s="15"/>
      <c r="E576" s="15"/>
      <c r="F576" s="16"/>
      <c r="G576" s="15"/>
      <c r="H576" s="21">
        <f>IF($A576="","",COUNTIFS(AgPac,$A576,AgStatus,"Compareceu"))</f>
        <v>0</v>
      </c>
      <c r="I576" s="21">
        <f>IF($A576="","",COUNTIFS(AgPac,$A576,AgStatus,"Faltou"))</f>
        <v>0</v>
      </c>
      <c r="J576" s="22">
        <f>IF($A576="","",SUMPRODUCT(MAX((AgPac=$A576)*(AgStatus="Compareceu")*AgData)))</f>
        <v>0</v>
      </c>
    </row>
    <row r="577" spans="1:10">
      <c r="A577" s="15"/>
      <c r="B577" s="15"/>
      <c r="C577" s="15"/>
      <c r="D577" s="15"/>
      <c r="E577" s="15"/>
      <c r="F577" s="16"/>
      <c r="G577" s="15"/>
      <c r="H577" s="21">
        <f>IF($A577="","",COUNTIFS(AgPac,$A577,AgStatus,"Compareceu"))</f>
        <v>0</v>
      </c>
      <c r="I577" s="21">
        <f>IF($A577="","",COUNTIFS(AgPac,$A577,AgStatus,"Faltou"))</f>
        <v>0</v>
      </c>
      <c r="J577" s="22">
        <f>IF($A577="","",SUMPRODUCT(MAX((AgPac=$A577)*(AgStatus="Compareceu")*AgData)))</f>
        <v>0</v>
      </c>
    </row>
    <row r="578" spans="1:10">
      <c r="A578" s="15"/>
      <c r="B578" s="15"/>
      <c r="C578" s="15"/>
      <c r="D578" s="15"/>
      <c r="E578" s="15"/>
      <c r="F578" s="16"/>
      <c r="G578" s="15"/>
      <c r="H578" s="21">
        <f>IF($A578="","",COUNTIFS(AgPac,$A578,AgStatus,"Compareceu"))</f>
        <v>0</v>
      </c>
      <c r="I578" s="21">
        <f>IF($A578="","",COUNTIFS(AgPac,$A578,AgStatus,"Faltou"))</f>
        <v>0</v>
      </c>
      <c r="J578" s="22">
        <f>IF($A578="","",SUMPRODUCT(MAX((AgPac=$A578)*(AgStatus="Compareceu")*AgData)))</f>
        <v>0</v>
      </c>
    </row>
    <row r="579" spans="1:10">
      <c r="A579" s="15"/>
      <c r="B579" s="15"/>
      <c r="C579" s="15"/>
      <c r="D579" s="15"/>
      <c r="E579" s="15"/>
      <c r="F579" s="16"/>
      <c r="G579" s="15"/>
      <c r="H579" s="21">
        <f>IF($A579="","",COUNTIFS(AgPac,$A579,AgStatus,"Compareceu"))</f>
        <v>0</v>
      </c>
      <c r="I579" s="21">
        <f>IF($A579="","",COUNTIFS(AgPac,$A579,AgStatus,"Faltou"))</f>
        <v>0</v>
      </c>
      <c r="J579" s="22">
        <f>IF($A579="","",SUMPRODUCT(MAX((AgPac=$A579)*(AgStatus="Compareceu")*AgData)))</f>
        <v>0</v>
      </c>
    </row>
    <row r="580" spans="1:10">
      <c r="A580" s="15"/>
      <c r="B580" s="15"/>
      <c r="C580" s="15"/>
      <c r="D580" s="15"/>
      <c r="E580" s="15"/>
      <c r="F580" s="16"/>
      <c r="G580" s="15"/>
      <c r="H580" s="21">
        <f>IF($A580="","",COUNTIFS(AgPac,$A580,AgStatus,"Compareceu"))</f>
        <v>0</v>
      </c>
      <c r="I580" s="21">
        <f>IF($A580="","",COUNTIFS(AgPac,$A580,AgStatus,"Faltou"))</f>
        <v>0</v>
      </c>
      <c r="J580" s="22">
        <f>IF($A580="","",SUMPRODUCT(MAX((AgPac=$A580)*(AgStatus="Compareceu")*AgData)))</f>
        <v>0</v>
      </c>
    </row>
    <row r="581" spans="1:10">
      <c r="A581" s="15"/>
      <c r="B581" s="15"/>
      <c r="C581" s="15"/>
      <c r="D581" s="15"/>
      <c r="E581" s="15"/>
      <c r="F581" s="16"/>
      <c r="G581" s="15"/>
      <c r="H581" s="21">
        <f>IF($A581="","",COUNTIFS(AgPac,$A581,AgStatus,"Compareceu"))</f>
        <v>0</v>
      </c>
      <c r="I581" s="21">
        <f>IF($A581="","",COUNTIFS(AgPac,$A581,AgStatus,"Faltou"))</f>
        <v>0</v>
      </c>
      <c r="J581" s="22">
        <f>IF($A581="","",SUMPRODUCT(MAX((AgPac=$A581)*(AgStatus="Compareceu")*AgData)))</f>
        <v>0</v>
      </c>
    </row>
    <row r="582" spans="1:10">
      <c r="A582" s="15"/>
      <c r="B582" s="15"/>
      <c r="C582" s="15"/>
      <c r="D582" s="15"/>
      <c r="E582" s="15"/>
      <c r="F582" s="16"/>
      <c r="G582" s="15"/>
      <c r="H582" s="21">
        <f>IF($A582="","",COUNTIFS(AgPac,$A582,AgStatus,"Compareceu"))</f>
        <v>0</v>
      </c>
      <c r="I582" s="21">
        <f>IF($A582="","",COUNTIFS(AgPac,$A582,AgStatus,"Faltou"))</f>
        <v>0</v>
      </c>
      <c r="J582" s="22">
        <f>IF($A582="","",SUMPRODUCT(MAX((AgPac=$A582)*(AgStatus="Compareceu")*AgData)))</f>
        <v>0</v>
      </c>
    </row>
    <row r="583" spans="1:10">
      <c r="A583" s="15"/>
      <c r="B583" s="15"/>
      <c r="C583" s="15"/>
      <c r="D583" s="15"/>
      <c r="E583" s="15"/>
      <c r="F583" s="16"/>
      <c r="G583" s="15"/>
      <c r="H583" s="21">
        <f>IF($A583="","",COUNTIFS(AgPac,$A583,AgStatus,"Compareceu"))</f>
        <v>0</v>
      </c>
      <c r="I583" s="21">
        <f>IF($A583="","",COUNTIFS(AgPac,$A583,AgStatus,"Faltou"))</f>
        <v>0</v>
      </c>
      <c r="J583" s="22">
        <f>IF($A583="","",SUMPRODUCT(MAX((AgPac=$A583)*(AgStatus="Compareceu")*AgData)))</f>
        <v>0</v>
      </c>
    </row>
    <row r="584" spans="1:10">
      <c r="A584" s="15"/>
      <c r="B584" s="15"/>
      <c r="C584" s="15"/>
      <c r="D584" s="15"/>
      <c r="E584" s="15"/>
      <c r="F584" s="16"/>
      <c r="G584" s="15"/>
      <c r="H584" s="21">
        <f>IF($A584="","",COUNTIFS(AgPac,$A584,AgStatus,"Compareceu"))</f>
        <v>0</v>
      </c>
      <c r="I584" s="21">
        <f>IF($A584="","",COUNTIFS(AgPac,$A584,AgStatus,"Faltou"))</f>
        <v>0</v>
      </c>
      <c r="J584" s="22">
        <f>IF($A584="","",SUMPRODUCT(MAX((AgPac=$A584)*(AgStatus="Compareceu")*AgData)))</f>
        <v>0</v>
      </c>
    </row>
    <row r="585" spans="1:10">
      <c r="A585" s="15"/>
      <c r="B585" s="15"/>
      <c r="C585" s="15"/>
      <c r="D585" s="15"/>
      <c r="E585" s="15"/>
      <c r="F585" s="16"/>
      <c r="G585" s="15"/>
      <c r="H585" s="21">
        <f>IF($A585="","",COUNTIFS(AgPac,$A585,AgStatus,"Compareceu"))</f>
        <v>0</v>
      </c>
      <c r="I585" s="21">
        <f>IF($A585="","",COUNTIFS(AgPac,$A585,AgStatus,"Faltou"))</f>
        <v>0</v>
      </c>
      <c r="J585" s="22">
        <f>IF($A585="","",SUMPRODUCT(MAX((AgPac=$A585)*(AgStatus="Compareceu")*AgData)))</f>
        <v>0</v>
      </c>
    </row>
    <row r="586" spans="1:10">
      <c r="A586" s="15"/>
      <c r="B586" s="15"/>
      <c r="C586" s="15"/>
      <c r="D586" s="15"/>
      <c r="E586" s="15"/>
      <c r="F586" s="16"/>
      <c r="G586" s="15"/>
      <c r="H586" s="21">
        <f>IF($A586="","",COUNTIFS(AgPac,$A586,AgStatus,"Compareceu"))</f>
        <v>0</v>
      </c>
      <c r="I586" s="21">
        <f>IF($A586="","",COUNTIFS(AgPac,$A586,AgStatus,"Faltou"))</f>
        <v>0</v>
      </c>
      <c r="J586" s="22">
        <f>IF($A586="","",SUMPRODUCT(MAX((AgPac=$A586)*(AgStatus="Compareceu")*AgData)))</f>
        <v>0</v>
      </c>
    </row>
    <row r="587" spans="1:10">
      <c r="A587" s="15"/>
      <c r="B587" s="15"/>
      <c r="C587" s="15"/>
      <c r="D587" s="15"/>
      <c r="E587" s="15"/>
      <c r="F587" s="16"/>
      <c r="G587" s="15"/>
      <c r="H587" s="21">
        <f>IF($A587="","",COUNTIFS(AgPac,$A587,AgStatus,"Compareceu"))</f>
        <v>0</v>
      </c>
      <c r="I587" s="21">
        <f>IF($A587="","",COUNTIFS(AgPac,$A587,AgStatus,"Faltou"))</f>
        <v>0</v>
      </c>
      <c r="J587" s="22">
        <f>IF($A587="","",SUMPRODUCT(MAX((AgPac=$A587)*(AgStatus="Compareceu")*AgData)))</f>
        <v>0</v>
      </c>
    </row>
    <row r="588" spans="1:10">
      <c r="A588" s="15"/>
      <c r="B588" s="15"/>
      <c r="C588" s="15"/>
      <c r="D588" s="15"/>
      <c r="E588" s="15"/>
      <c r="F588" s="16"/>
      <c r="G588" s="15"/>
      <c r="H588" s="21">
        <f>IF($A588="","",COUNTIFS(AgPac,$A588,AgStatus,"Compareceu"))</f>
        <v>0</v>
      </c>
      <c r="I588" s="21">
        <f>IF($A588="","",COUNTIFS(AgPac,$A588,AgStatus,"Faltou"))</f>
        <v>0</v>
      </c>
      <c r="J588" s="22">
        <f>IF($A588="","",SUMPRODUCT(MAX((AgPac=$A588)*(AgStatus="Compareceu")*AgData)))</f>
        <v>0</v>
      </c>
    </row>
    <row r="589" spans="1:10">
      <c r="A589" s="15"/>
      <c r="B589" s="15"/>
      <c r="C589" s="15"/>
      <c r="D589" s="15"/>
      <c r="E589" s="15"/>
      <c r="F589" s="16"/>
      <c r="G589" s="15"/>
      <c r="H589" s="21">
        <f>IF($A589="","",COUNTIFS(AgPac,$A589,AgStatus,"Compareceu"))</f>
        <v>0</v>
      </c>
      <c r="I589" s="21">
        <f>IF($A589="","",COUNTIFS(AgPac,$A589,AgStatus,"Faltou"))</f>
        <v>0</v>
      </c>
      <c r="J589" s="22">
        <f>IF($A589="","",SUMPRODUCT(MAX((AgPac=$A589)*(AgStatus="Compareceu")*AgData)))</f>
        <v>0</v>
      </c>
    </row>
    <row r="590" spans="1:10">
      <c r="A590" s="15"/>
      <c r="B590" s="15"/>
      <c r="C590" s="15"/>
      <c r="D590" s="15"/>
      <c r="E590" s="15"/>
      <c r="F590" s="16"/>
      <c r="G590" s="15"/>
      <c r="H590" s="21">
        <f>IF($A590="","",COUNTIFS(AgPac,$A590,AgStatus,"Compareceu"))</f>
        <v>0</v>
      </c>
      <c r="I590" s="21">
        <f>IF($A590="","",COUNTIFS(AgPac,$A590,AgStatus,"Faltou"))</f>
        <v>0</v>
      </c>
      <c r="J590" s="22">
        <f>IF($A590="","",SUMPRODUCT(MAX((AgPac=$A590)*(AgStatus="Compareceu")*AgData)))</f>
        <v>0</v>
      </c>
    </row>
    <row r="591" spans="1:10">
      <c r="A591" s="15"/>
      <c r="B591" s="15"/>
      <c r="C591" s="15"/>
      <c r="D591" s="15"/>
      <c r="E591" s="15"/>
      <c r="F591" s="16"/>
      <c r="G591" s="15"/>
      <c r="H591" s="21">
        <f>IF($A591="","",COUNTIFS(AgPac,$A591,AgStatus,"Compareceu"))</f>
        <v>0</v>
      </c>
      <c r="I591" s="21">
        <f>IF($A591="","",COUNTIFS(AgPac,$A591,AgStatus,"Faltou"))</f>
        <v>0</v>
      </c>
      <c r="J591" s="22">
        <f>IF($A591="","",SUMPRODUCT(MAX((AgPac=$A591)*(AgStatus="Compareceu")*AgData)))</f>
        <v>0</v>
      </c>
    </row>
    <row r="592" spans="1:10">
      <c r="A592" s="15"/>
      <c r="B592" s="15"/>
      <c r="C592" s="15"/>
      <c r="D592" s="15"/>
      <c r="E592" s="15"/>
      <c r="F592" s="16"/>
      <c r="G592" s="15"/>
      <c r="H592" s="21">
        <f>IF($A592="","",COUNTIFS(AgPac,$A592,AgStatus,"Compareceu"))</f>
        <v>0</v>
      </c>
      <c r="I592" s="21">
        <f>IF($A592="","",COUNTIFS(AgPac,$A592,AgStatus,"Faltou"))</f>
        <v>0</v>
      </c>
      <c r="J592" s="22">
        <f>IF($A592="","",SUMPRODUCT(MAX((AgPac=$A592)*(AgStatus="Compareceu")*AgData)))</f>
        <v>0</v>
      </c>
    </row>
    <row r="593" spans="1:10">
      <c r="A593" s="15"/>
      <c r="B593" s="15"/>
      <c r="C593" s="15"/>
      <c r="D593" s="15"/>
      <c r="E593" s="15"/>
      <c r="F593" s="16"/>
      <c r="G593" s="15"/>
      <c r="H593" s="21">
        <f>IF($A593="","",COUNTIFS(AgPac,$A593,AgStatus,"Compareceu"))</f>
        <v>0</v>
      </c>
      <c r="I593" s="21">
        <f>IF($A593="","",COUNTIFS(AgPac,$A593,AgStatus,"Faltou"))</f>
        <v>0</v>
      </c>
      <c r="J593" s="22">
        <f>IF($A593="","",SUMPRODUCT(MAX((AgPac=$A593)*(AgStatus="Compareceu")*AgData)))</f>
        <v>0</v>
      </c>
    </row>
    <row r="594" spans="1:10">
      <c r="A594" s="15"/>
      <c r="B594" s="15"/>
      <c r="C594" s="15"/>
      <c r="D594" s="15"/>
      <c r="E594" s="15"/>
      <c r="F594" s="16"/>
      <c r="G594" s="15"/>
      <c r="H594" s="21">
        <f>IF($A594="","",COUNTIFS(AgPac,$A594,AgStatus,"Compareceu"))</f>
        <v>0</v>
      </c>
      <c r="I594" s="21">
        <f>IF($A594="","",COUNTIFS(AgPac,$A594,AgStatus,"Faltou"))</f>
        <v>0</v>
      </c>
      <c r="J594" s="22">
        <f>IF($A594="","",SUMPRODUCT(MAX((AgPac=$A594)*(AgStatus="Compareceu")*AgData)))</f>
        <v>0</v>
      </c>
    </row>
    <row r="595" spans="1:10">
      <c r="A595" s="15"/>
      <c r="B595" s="15"/>
      <c r="C595" s="15"/>
      <c r="D595" s="15"/>
      <c r="E595" s="15"/>
      <c r="F595" s="16"/>
      <c r="G595" s="15"/>
      <c r="H595" s="21">
        <f>IF($A595="","",COUNTIFS(AgPac,$A595,AgStatus,"Compareceu"))</f>
        <v>0</v>
      </c>
      <c r="I595" s="21">
        <f>IF($A595="","",COUNTIFS(AgPac,$A595,AgStatus,"Faltou"))</f>
        <v>0</v>
      </c>
      <c r="J595" s="22">
        <f>IF($A595="","",SUMPRODUCT(MAX((AgPac=$A595)*(AgStatus="Compareceu")*AgData)))</f>
        <v>0</v>
      </c>
    </row>
    <row r="596" spans="1:10">
      <c r="A596" s="15"/>
      <c r="B596" s="15"/>
      <c r="C596" s="15"/>
      <c r="D596" s="15"/>
      <c r="E596" s="15"/>
      <c r="F596" s="16"/>
      <c r="G596" s="15"/>
      <c r="H596" s="21">
        <f>IF($A596="","",COUNTIFS(AgPac,$A596,AgStatus,"Compareceu"))</f>
        <v>0</v>
      </c>
      <c r="I596" s="21">
        <f>IF($A596="","",COUNTIFS(AgPac,$A596,AgStatus,"Faltou"))</f>
        <v>0</v>
      </c>
      <c r="J596" s="22">
        <f>IF($A596="","",SUMPRODUCT(MAX((AgPac=$A596)*(AgStatus="Compareceu")*AgData)))</f>
        <v>0</v>
      </c>
    </row>
    <row r="597" spans="1:10">
      <c r="A597" s="15"/>
      <c r="B597" s="15"/>
      <c r="C597" s="15"/>
      <c r="D597" s="15"/>
      <c r="E597" s="15"/>
      <c r="F597" s="16"/>
      <c r="G597" s="15"/>
      <c r="H597" s="21">
        <f>IF($A597="","",COUNTIFS(AgPac,$A597,AgStatus,"Compareceu"))</f>
        <v>0</v>
      </c>
      <c r="I597" s="21">
        <f>IF($A597="","",COUNTIFS(AgPac,$A597,AgStatus,"Faltou"))</f>
        <v>0</v>
      </c>
      <c r="J597" s="22">
        <f>IF($A597="","",SUMPRODUCT(MAX((AgPac=$A597)*(AgStatus="Compareceu")*AgData)))</f>
        <v>0</v>
      </c>
    </row>
    <row r="598" spans="1:10">
      <c r="A598" s="15"/>
      <c r="B598" s="15"/>
      <c r="C598" s="15"/>
      <c r="D598" s="15"/>
      <c r="E598" s="15"/>
      <c r="F598" s="16"/>
      <c r="G598" s="15"/>
      <c r="H598" s="21">
        <f>IF($A598="","",COUNTIFS(AgPac,$A598,AgStatus,"Compareceu"))</f>
        <v>0</v>
      </c>
      <c r="I598" s="21">
        <f>IF($A598="","",COUNTIFS(AgPac,$A598,AgStatus,"Faltou"))</f>
        <v>0</v>
      </c>
      <c r="J598" s="22">
        <f>IF($A598="","",SUMPRODUCT(MAX((AgPac=$A598)*(AgStatus="Compareceu")*AgData)))</f>
        <v>0</v>
      </c>
    </row>
    <row r="599" spans="1:10">
      <c r="A599" s="15"/>
      <c r="B599" s="15"/>
      <c r="C599" s="15"/>
      <c r="D599" s="15"/>
      <c r="E599" s="15"/>
      <c r="F599" s="16"/>
      <c r="G599" s="15"/>
      <c r="H599" s="21">
        <f>IF($A599="","",COUNTIFS(AgPac,$A599,AgStatus,"Compareceu"))</f>
        <v>0</v>
      </c>
      <c r="I599" s="21">
        <f>IF($A599="","",COUNTIFS(AgPac,$A599,AgStatus,"Faltou"))</f>
        <v>0</v>
      </c>
      <c r="J599" s="22">
        <f>IF($A599="","",SUMPRODUCT(MAX((AgPac=$A599)*(AgStatus="Compareceu")*AgData)))</f>
        <v>0</v>
      </c>
    </row>
    <row r="600" spans="1:10">
      <c r="A600" s="15"/>
      <c r="B600" s="15"/>
      <c r="C600" s="15"/>
      <c r="D600" s="15"/>
      <c r="E600" s="15"/>
      <c r="F600" s="16"/>
      <c r="G600" s="15"/>
      <c r="H600" s="21">
        <f>IF($A600="","",COUNTIFS(AgPac,$A600,AgStatus,"Compareceu"))</f>
        <v>0</v>
      </c>
      <c r="I600" s="21">
        <f>IF($A600="","",COUNTIFS(AgPac,$A600,AgStatus,"Faltou"))</f>
        <v>0</v>
      </c>
      <c r="J600" s="22">
        <f>IF($A600="","",SUMPRODUCT(MAX((AgPac=$A600)*(AgStatus="Compareceu")*AgData)))</f>
        <v>0</v>
      </c>
    </row>
    <row r="601" spans="1:10">
      <c r="A601" s="15"/>
      <c r="B601" s="15"/>
      <c r="C601" s="15"/>
      <c r="D601" s="15"/>
      <c r="E601" s="15"/>
      <c r="F601" s="16"/>
      <c r="G601" s="15"/>
      <c r="H601" s="21">
        <f>IF($A601="","",COUNTIFS(AgPac,$A601,AgStatus,"Compareceu"))</f>
        <v>0</v>
      </c>
      <c r="I601" s="21">
        <f>IF($A601="","",COUNTIFS(AgPac,$A601,AgStatus,"Faltou"))</f>
        <v>0</v>
      </c>
      <c r="J601" s="22">
        <f>IF($A601="","",SUMPRODUCT(MAX((AgPac=$A601)*(AgStatus="Compareceu")*AgData)))</f>
        <v>0</v>
      </c>
    </row>
    <row r="602" spans="1:10">
      <c r="A602" s="15"/>
      <c r="B602" s="15"/>
      <c r="C602" s="15"/>
      <c r="D602" s="15"/>
      <c r="E602" s="15"/>
      <c r="F602" s="16"/>
      <c r="G602" s="15"/>
      <c r="H602" s="21">
        <f>IF($A602="","",COUNTIFS(AgPac,$A602,AgStatus,"Compareceu"))</f>
        <v>0</v>
      </c>
      <c r="I602" s="21">
        <f>IF($A602="","",COUNTIFS(AgPac,$A602,AgStatus,"Faltou"))</f>
        <v>0</v>
      </c>
      <c r="J602" s="22">
        <f>IF($A602="","",SUMPRODUCT(MAX((AgPac=$A602)*(AgStatus="Compareceu")*AgData)))</f>
        <v>0</v>
      </c>
    </row>
    <row r="603" spans="1:10">
      <c r="A603" s="15"/>
      <c r="B603" s="15"/>
      <c r="C603" s="15"/>
      <c r="D603" s="15"/>
      <c r="E603" s="15"/>
      <c r="F603" s="16"/>
      <c r="G603" s="15"/>
      <c r="H603" s="21">
        <f>IF($A603="","",COUNTIFS(AgPac,$A603,AgStatus,"Compareceu"))</f>
        <v>0</v>
      </c>
      <c r="I603" s="21">
        <f>IF($A603="","",COUNTIFS(AgPac,$A603,AgStatus,"Faltou"))</f>
        <v>0</v>
      </c>
      <c r="J603" s="22">
        <f>IF($A603="","",SUMPRODUCT(MAX((AgPac=$A603)*(AgStatus="Compareceu")*AgData)))</f>
        <v>0</v>
      </c>
    </row>
    <row r="604" spans="1:10">
      <c r="A604" s="15"/>
      <c r="B604" s="15"/>
      <c r="C604" s="15"/>
      <c r="D604" s="15"/>
      <c r="E604" s="15"/>
      <c r="F604" s="16"/>
      <c r="G604" s="15"/>
      <c r="H604" s="21">
        <f>IF($A604="","",COUNTIFS(AgPac,$A604,AgStatus,"Compareceu"))</f>
        <v>0</v>
      </c>
      <c r="I604" s="21">
        <f>IF($A604="","",COUNTIFS(AgPac,$A604,AgStatus,"Faltou"))</f>
        <v>0</v>
      </c>
      <c r="J604" s="22">
        <f>IF($A604="","",SUMPRODUCT(MAX((AgPac=$A604)*(AgStatus="Compareceu")*AgData)))</f>
        <v>0</v>
      </c>
    </row>
    <row r="605" spans="1:10">
      <c r="A605" s="15"/>
      <c r="B605" s="15"/>
      <c r="C605" s="15"/>
      <c r="D605" s="15"/>
      <c r="E605" s="15"/>
      <c r="F605" s="16"/>
      <c r="G605" s="15"/>
      <c r="H605" s="21">
        <f>IF($A605="","",COUNTIFS(AgPac,$A605,AgStatus,"Compareceu"))</f>
        <v>0</v>
      </c>
      <c r="I605" s="21">
        <f>IF($A605="","",COUNTIFS(AgPac,$A605,AgStatus,"Faltou"))</f>
        <v>0</v>
      </c>
      <c r="J605" s="22">
        <f>IF($A605="","",SUMPRODUCT(MAX((AgPac=$A605)*(AgStatus="Compareceu")*AgData)))</f>
        <v>0</v>
      </c>
    </row>
    <row r="606" spans="1:10">
      <c r="A606" s="15"/>
      <c r="B606" s="15"/>
      <c r="C606" s="15"/>
      <c r="D606" s="15"/>
      <c r="E606" s="15"/>
      <c r="F606" s="16"/>
      <c r="G606" s="15"/>
      <c r="H606" s="21">
        <f>IF($A606="","",COUNTIFS(AgPac,$A606,AgStatus,"Compareceu"))</f>
        <v>0</v>
      </c>
      <c r="I606" s="21">
        <f>IF($A606="","",COUNTIFS(AgPac,$A606,AgStatus,"Faltou"))</f>
        <v>0</v>
      </c>
      <c r="J606" s="22">
        <f>IF($A606="","",SUMPRODUCT(MAX((AgPac=$A606)*(AgStatus="Compareceu")*AgData)))</f>
        <v>0</v>
      </c>
    </row>
    <row r="607" spans="1:10">
      <c r="A607" s="15"/>
      <c r="B607" s="15"/>
      <c r="C607" s="15"/>
      <c r="D607" s="15"/>
      <c r="E607" s="15"/>
      <c r="F607" s="16"/>
      <c r="G607" s="15"/>
      <c r="H607" s="21">
        <f>IF($A607="","",COUNTIFS(AgPac,$A607,AgStatus,"Compareceu"))</f>
        <v>0</v>
      </c>
      <c r="I607" s="21">
        <f>IF($A607="","",COUNTIFS(AgPac,$A607,AgStatus,"Faltou"))</f>
        <v>0</v>
      </c>
      <c r="J607" s="22">
        <f>IF($A607="","",SUMPRODUCT(MAX((AgPac=$A607)*(AgStatus="Compareceu")*AgData)))</f>
        <v>0</v>
      </c>
    </row>
    <row r="608" spans="1:10">
      <c r="A608" s="15"/>
      <c r="B608" s="15"/>
      <c r="C608" s="15"/>
      <c r="D608" s="15"/>
      <c r="E608" s="15"/>
      <c r="F608" s="16"/>
      <c r="G608" s="15"/>
      <c r="H608" s="21">
        <f>IF($A608="","",COUNTIFS(AgPac,$A608,AgStatus,"Compareceu"))</f>
        <v>0</v>
      </c>
      <c r="I608" s="21">
        <f>IF($A608="","",COUNTIFS(AgPac,$A608,AgStatus,"Faltou"))</f>
        <v>0</v>
      </c>
      <c r="J608" s="22">
        <f>IF($A608="","",SUMPRODUCT(MAX((AgPac=$A608)*(AgStatus="Compareceu")*AgData)))</f>
        <v>0</v>
      </c>
    </row>
    <row r="609" spans="1:10">
      <c r="A609" s="15"/>
      <c r="B609" s="15"/>
      <c r="C609" s="15"/>
      <c r="D609" s="15"/>
      <c r="E609" s="15"/>
      <c r="F609" s="16"/>
      <c r="G609" s="15"/>
      <c r="H609" s="21">
        <f>IF($A609="","",COUNTIFS(AgPac,$A609,AgStatus,"Compareceu"))</f>
        <v>0</v>
      </c>
      <c r="I609" s="21">
        <f>IF($A609="","",COUNTIFS(AgPac,$A609,AgStatus,"Faltou"))</f>
        <v>0</v>
      </c>
      <c r="J609" s="22">
        <f>IF($A609="","",SUMPRODUCT(MAX((AgPac=$A609)*(AgStatus="Compareceu")*AgData)))</f>
        <v>0</v>
      </c>
    </row>
    <row r="610" spans="1:10">
      <c r="A610" s="15"/>
      <c r="B610" s="15"/>
      <c r="C610" s="15"/>
      <c r="D610" s="15"/>
      <c r="E610" s="15"/>
      <c r="F610" s="16"/>
      <c r="G610" s="15"/>
      <c r="H610" s="21">
        <f>IF($A610="","",COUNTIFS(AgPac,$A610,AgStatus,"Compareceu"))</f>
        <v>0</v>
      </c>
      <c r="I610" s="21">
        <f>IF($A610="","",COUNTIFS(AgPac,$A610,AgStatus,"Faltou"))</f>
        <v>0</v>
      </c>
      <c r="J610" s="22">
        <f>IF($A610="","",SUMPRODUCT(MAX((AgPac=$A610)*(AgStatus="Compareceu")*AgData)))</f>
        <v>0</v>
      </c>
    </row>
    <row r="611" spans="1:10">
      <c r="A611" s="15"/>
      <c r="B611" s="15"/>
      <c r="C611" s="15"/>
      <c r="D611" s="15"/>
      <c r="E611" s="15"/>
      <c r="F611" s="16"/>
      <c r="G611" s="15"/>
      <c r="H611" s="21">
        <f>IF($A611="","",COUNTIFS(AgPac,$A611,AgStatus,"Compareceu"))</f>
        <v>0</v>
      </c>
      <c r="I611" s="21">
        <f>IF($A611="","",COUNTIFS(AgPac,$A611,AgStatus,"Faltou"))</f>
        <v>0</v>
      </c>
      <c r="J611" s="22">
        <f>IF($A611="","",SUMPRODUCT(MAX((AgPac=$A611)*(AgStatus="Compareceu")*AgData)))</f>
        <v>0</v>
      </c>
    </row>
    <row r="612" spans="1:10">
      <c r="A612" s="15"/>
      <c r="B612" s="15"/>
      <c r="C612" s="15"/>
      <c r="D612" s="15"/>
      <c r="E612" s="15"/>
      <c r="F612" s="16"/>
      <c r="G612" s="15"/>
      <c r="H612" s="21">
        <f>IF($A612="","",COUNTIFS(AgPac,$A612,AgStatus,"Compareceu"))</f>
        <v>0</v>
      </c>
      <c r="I612" s="21">
        <f>IF($A612="","",COUNTIFS(AgPac,$A612,AgStatus,"Faltou"))</f>
        <v>0</v>
      </c>
      <c r="J612" s="22">
        <f>IF($A612="","",SUMPRODUCT(MAX((AgPac=$A612)*(AgStatus="Compareceu")*AgData)))</f>
        <v>0</v>
      </c>
    </row>
    <row r="613" spans="1:10">
      <c r="A613" s="15"/>
      <c r="B613" s="15"/>
      <c r="C613" s="15"/>
      <c r="D613" s="15"/>
      <c r="E613" s="15"/>
      <c r="F613" s="16"/>
      <c r="G613" s="15"/>
      <c r="H613" s="21">
        <f>IF($A613="","",COUNTIFS(AgPac,$A613,AgStatus,"Compareceu"))</f>
        <v>0</v>
      </c>
      <c r="I613" s="21">
        <f>IF($A613="","",COUNTIFS(AgPac,$A613,AgStatus,"Faltou"))</f>
        <v>0</v>
      </c>
      <c r="J613" s="22">
        <f>IF($A613="","",SUMPRODUCT(MAX((AgPac=$A613)*(AgStatus="Compareceu")*AgData)))</f>
        <v>0</v>
      </c>
    </row>
    <row r="614" spans="1:10">
      <c r="A614" s="15"/>
      <c r="B614" s="15"/>
      <c r="C614" s="15"/>
      <c r="D614" s="15"/>
      <c r="E614" s="15"/>
      <c r="F614" s="16"/>
      <c r="G614" s="15"/>
      <c r="H614" s="21">
        <f>IF($A614="","",COUNTIFS(AgPac,$A614,AgStatus,"Compareceu"))</f>
        <v>0</v>
      </c>
      <c r="I614" s="21">
        <f>IF($A614="","",COUNTIFS(AgPac,$A614,AgStatus,"Faltou"))</f>
        <v>0</v>
      </c>
      <c r="J614" s="22">
        <f>IF($A614="","",SUMPRODUCT(MAX((AgPac=$A614)*(AgStatus="Compareceu")*AgData)))</f>
        <v>0</v>
      </c>
    </row>
    <row r="615" spans="1:10">
      <c r="A615" s="15"/>
      <c r="B615" s="15"/>
      <c r="C615" s="15"/>
      <c r="D615" s="15"/>
      <c r="E615" s="15"/>
      <c r="F615" s="16"/>
      <c r="G615" s="15"/>
      <c r="H615" s="21">
        <f>IF($A615="","",COUNTIFS(AgPac,$A615,AgStatus,"Compareceu"))</f>
        <v>0</v>
      </c>
      <c r="I615" s="21">
        <f>IF($A615="","",COUNTIFS(AgPac,$A615,AgStatus,"Faltou"))</f>
        <v>0</v>
      </c>
      <c r="J615" s="22">
        <f>IF($A615="","",SUMPRODUCT(MAX((AgPac=$A615)*(AgStatus="Compareceu")*AgData)))</f>
        <v>0</v>
      </c>
    </row>
    <row r="616" spans="1:10">
      <c r="A616" s="15"/>
      <c r="B616" s="15"/>
      <c r="C616" s="15"/>
      <c r="D616" s="15"/>
      <c r="E616" s="15"/>
      <c r="F616" s="16"/>
      <c r="G616" s="15"/>
      <c r="H616" s="21">
        <f>IF($A616="","",COUNTIFS(AgPac,$A616,AgStatus,"Compareceu"))</f>
        <v>0</v>
      </c>
      <c r="I616" s="21">
        <f>IF($A616="","",COUNTIFS(AgPac,$A616,AgStatus,"Faltou"))</f>
        <v>0</v>
      </c>
      <c r="J616" s="22">
        <f>IF($A616="","",SUMPRODUCT(MAX((AgPac=$A616)*(AgStatus="Compareceu")*AgData)))</f>
        <v>0</v>
      </c>
    </row>
    <row r="617" spans="1:10">
      <c r="A617" s="15"/>
      <c r="B617" s="15"/>
      <c r="C617" s="15"/>
      <c r="D617" s="15"/>
      <c r="E617" s="15"/>
      <c r="F617" s="16"/>
      <c r="G617" s="15"/>
      <c r="H617" s="21">
        <f>IF($A617="","",COUNTIFS(AgPac,$A617,AgStatus,"Compareceu"))</f>
        <v>0</v>
      </c>
      <c r="I617" s="21">
        <f>IF($A617="","",COUNTIFS(AgPac,$A617,AgStatus,"Faltou"))</f>
        <v>0</v>
      </c>
      <c r="J617" s="22">
        <f>IF($A617="","",SUMPRODUCT(MAX((AgPac=$A617)*(AgStatus="Compareceu")*AgData)))</f>
        <v>0</v>
      </c>
    </row>
    <row r="618" spans="1:10">
      <c r="A618" s="15"/>
      <c r="B618" s="15"/>
      <c r="C618" s="15"/>
      <c r="D618" s="15"/>
      <c r="E618" s="15"/>
      <c r="F618" s="16"/>
      <c r="G618" s="15"/>
      <c r="H618" s="21">
        <f>IF($A618="","",COUNTIFS(AgPac,$A618,AgStatus,"Compareceu"))</f>
        <v>0</v>
      </c>
      <c r="I618" s="21">
        <f>IF($A618="","",COUNTIFS(AgPac,$A618,AgStatus,"Faltou"))</f>
        <v>0</v>
      </c>
      <c r="J618" s="22">
        <f>IF($A618="","",SUMPRODUCT(MAX((AgPac=$A618)*(AgStatus="Compareceu")*AgData)))</f>
        <v>0</v>
      </c>
    </row>
    <row r="619" spans="1:10">
      <c r="A619" s="15"/>
      <c r="B619" s="15"/>
      <c r="C619" s="15"/>
      <c r="D619" s="15"/>
      <c r="E619" s="15"/>
      <c r="F619" s="16"/>
      <c r="G619" s="15"/>
      <c r="H619" s="21">
        <f>IF($A619="","",COUNTIFS(AgPac,$A619,AgStatus,"Compareceu"))</f>
        <v>0</v>
      </c>
      <c r="I619" s="21">
        <f>IF($A619="","",COUNTIFS(AgPac,$A619,AgStatus,"Faltou"))</f>
        <v>0</v>
      </c>
      <c r="J619" s="22">
        <f>IF($A619="","",SUMPRODUCT(MAX((AgPac=$A619)*(AgStatus="Compareceu")*AgData)))</f>
        <v>0</v>
      </c>
    </row>
    <row r="620" spans="1:10">
      <c r="A620" s="15"/>
      <c r="B620" s="15"/>
      <c r="C620" s="15"/>
      <c r="D620" s="15"/>
      <c r="E620" s="15"/>
      <c r="F620" s="16"/>
      <c r="G620" s="15"/>
      <c r="H620" s="21">
        <f>IF($A620="","",COUNTIFS(AgPac,$A620,AgStatus,"Compareceu"))</f>
        <v>0</v>
      </c>
      <c r="I620" s="21">
        <f>IF($A620="","",COUNTIFS(AgPac,$A620,AgStatus,"Faltou"))</f>
        <v>0</v>
      </c>
      <c r="J620" s="22">
        <f>IF($A620="","",SUMPRODUCT(MAX((AgPac=$A620)*(AgStatus="Compareceu")*AgData)))</f>
        <v>0</v>
      </c>
    </row>
    <row r="621" spans="1:10">
      <c r="A621" s="15"/>
      <c r="B621" s="15"/>
      <c r="C621" s="15"/>
      <c r="D621" s="15"/>
      <c r="E621" s="15"/>
      <c r="F621" s="16"/>
      <c r="G621" s="15"/>
      <c r="H621" s="21">
        <f>IF($A621="","",COUNTIFS(AgPac,$A621,AgStatus,"Compareceu"))</f>
        <v>0</v>
      </c>
      <c r="I621" s="21">
        <f>IF($A621="","",COUNTIFS(AgPac,$A621,AgStatus,"Faltou"))</f>
        <v>0</v>
      </c>
      <c r="J621" s="22">
        <f>IF($A621="","",SUMPRODUCT(MAX((AgPac=$A621)*(AgStatus="Compareceu")*AgData)))</f>
        <v>0</v>
      </c>
    </row>
    <row r="622" spans="1:10">
      <c r="A622" s="15"/>
      <c r="B622" s="15"/>
      <c r="C622" s="15"/>
      <c r="D622" s="15"/>
      <c r="E622" s="15"/>
      <c r="F622" s="16"/>
      <c r="G622" s="15"/>
      <c r="H622" s="21">
        <f>IF($A622="","",COUNTIFS(AgPac,$A622,AgStatus,"Compareceu"))</f>
        <v>0</v>
      </c>
      <c r="I622" s="21">
        <f>IF($A622="","",COUNTIFS(AgPac,$A622,AgStatus,"Faltou"))</f>
        <v>0</v>
      </c>
      <c r="J622" s="22">
        <f>IF($A622="","",SUMPRODUCT(MAX((AgPac=$A622)*(AgStatus="Compareceu")*AgData)))</f>
        <v>0</v>
      </c>
    </row>
    <row r="623" spans="1:10">
      <c r="A623" s="15"/>
      <c r="B623" s="15"/>
      <c r="C623" s="15"/>
      <c r="D623" s="15"/>
      <c r="E623" s="15"/>
      <c r="F623" s="16"/>
      <c r="G623" s="15"/>
      <c r="H623" s="21">
        <f>IF($A623="","",COUNTIFS(AgPac,$A623,AgStatus,"Compareceu"))</f>
        <v>0</v>
      </c>
      <c r="I623" s="21">
        <f>IF($A623="","",COUNTIFS(AgPac,$A623,AgStatus,"Faltou"))</f>
        <v>0</v>
      </c>
      <c r="J623" s="22">
        <f>IF($A623="","",SUMPRODUCT(MAX((AgPac=$A623)*(AgStatus="Compareceu")*AgData)))</f>
        <v>0</v>
      </c>
    </row>
    <row r="624" spans="1:10">
      <c r="A624" s="15"/>
      <c r="B624" s="15"/>
      <c r="C624" s="15"/>
      <c r="D624" s="15"/>
      <c r="E624" s="15"/>
      <c r="F624" s="16"/>
      <c r="G624" s="15"/>
      <c r="H624" s="21">
        <f>IF($A624="","",COUNTIFS(AgPac,$A624,AgStatus,"Compareceu"))</f>
        <v>0</v>
      </c>
      <c r="I624" s="21">
        <f>IF($A624="","",COUNTIFS(AgPac,$A624,AgStatus,"Faltou"))</f>
        <v>0</v>
      </c>
      <c r="J624" s="22">
        <f>IF($A624="","",SUMPRODUCT(MAX((AgPac=$A624)*(AgStatus="Compareceu")*AgData)))</f>
        <v>0</v>
      </c>
    </row>
    <row r="625" spans="1:10">
      <c r="A625" s="15"/>
      <c r="B625" s="15"/>
      <c r="C625" s="15"/>
      <c r="D625" s="15"/>
      <c r="E625" s="15"/>
      <c r="F625" s="16"/>
      <c r="G625" s="15"/>
      <c r="H625" s="21">
        <f>IF($A625="","",COUNTIFS(AgPac,$A625,AgStatus,"Compareceu"))</f>
        <v>0</v>
      </c>
      <c r="I625" s="21">
        <f>IF($A625="","",COUNTIFS(AgPac,$A625,AgStatus,"Faltou"))</f>
        <v>0</v>
      </c>
      <c r="J625" s="22">
        <f>IF($A625="","",SUMPRODUCT(MAX((AgPac=$A625)*(AgStatus="Compareceu")*AgData)))</f>
        <v>0</v>
      </c>
    </row>
    <row r="626" spans="1:10">
      <c r="A626" s="15"/>
      <c r="B626" s="15"/>
      <c r="C626" s="15"/>
      <c r="D626" s="15"/>
      <c r="E626" s="15"/>
      <c r="F626" s="16"/>
      <c r="G626" s="15"/>
      <c r="H626" s="21">
        <f>IF($A626="","",COUNTIFS(AgPac,$A626,AgStatus,"Compareceu"))</f>
        <v>0</v>
      </c>
      <c r="I626" s="21">
        <f>IF($A626="","",COUNTIFS(AgPac,$A626,AgStatus,"Faltou"))</f>
        <v>0</v>
      </c>
      <c r="J626" s="22">
        <f>IF($A626="","",SUMPRODUCT(MAX((AgPac=$A626)*(AgStatus="Compareceu")*AgData)))</f>
        <v>0</v>
      </c>
    </row>
    <row r="627" spans="1:10">
      <c r="A627" s="15"/>
      <c r="B627" s="15"/>
      <c r="C627" s="15"/>
      <c r="D627" s="15"/>
      <c r="E627" s="15"/>
      <c r="F627" s="16"/>
      <c r="G627" s="15"/>
      <c r="H627" s="21">
        <f>IF($A627="","",COUNTIFS(AgPac,$A627,AgStatus,"Compareceu"))</f>
        <v>0</v>
      </c>
      <c r="I627" s="21">
        <f>IF($A627="","",COUNTIFS(AgPac,$A627,AgStatus,"Faltou"))</f>
        <v>0</v>
      </c>
      <c r="J627" s="22">
        <f>IF($A627="","",SUMPRODUCT(MAX((AgPac=$A627)*(AgStatus="Compareceu")*AgData)))</f>
        <v>0</v>
      </c>
    </row>
    <row r="628" spans="1:10">
      <c r="A628" s="15"/>
      <c r="B628" s="15"/>
      <c r="C628" s="15"/>
      <c r="D628" s="15"/>
      <c r="E628" s="15"/>
      <c r="F628" s="16"/>
      <c r="G628" s="15"/>
      <c r="H628" s="21">
        <f>IF($A628="","",COUNTIFS(AgPac,$A628,AgStatus,"Compareceu"))</f>
        <v>0</v>
      </c>
      <c r="I628" s="21">
        <f>IF($A628="","",COUNTIFS(AgPac,$A628,AgStatus,"Faltou"))</f>
        <v>0</v>
      </c>
      <c r="J628" s="22">
        <f>IF($A628="","",SUMPRODUCT(MAX((AgPac=$A628)*(AgStatus="Compareceu")*AgData)))</f>
        <v>0</v>
      </c>
    </row>
    <row r="629" spans="1:10">
      <c r="A629" s="15"/>
      <c r="B629" s="15"/>
      <c r="C629" s="15"/>
      <c r="D629" s="15"/>
      <c r="E629" s="15"/>
      <c r="F629" s="16"/>
      <c r="G629" s="15"/>
      <c r="H629" s="21">
        <f>IF($A629="","",COUNTIFS(AgPac,$A629,AgStatus,"Compareceu"))</f>
        <v>0</v>
      </c>
      <c r="I629" s="21">
        <f>IF($A629="","",COUNTIFS(AgPac,$A629,AgStatus,"Faltou"))</f>
        <v>0</v>
      </c>
      <c r="J629" s="22">
        <f>IF($A629="","",SUMPRODUCT(MAX((AgPac=$A629)*(AgStatus="Compareceu")*AgData)))</f>
        <v>0</v>
      </c>
    </row>
    <row r="630" spans="1:10">
      <c r="A630" s="15"/>
      <c r="B630" s="15"/>
      <c r="C630" s="15"/>
      <c r="D630" s="15"/>
      <c r="E630" s="15"/>
      <c r="F630" s="16"/>
      <c r="G630" s="15"/>
      <c r="H630" s="21">
        <f>IF($A630="","",COUNTIFS(AgPac,$A630,AgStatus,"Compareceu"))</f>
        <v>0</v>
      </c>
      <c r="I630" s="21">
        <f>IF($A630="","",COUNTIFS(AgPac,$A630,AgStatus,"Faltou"))</f>
        <v>0</v>
      </c>
      <c r="J630" s="22">
        <f>IF($A630="","",SUMPRODUCT(MAX((AgPac=$A630)*(AgStatus="Compareceu")*AgData)))</f>
        <v>0</v>
      </c>
    </row>
    <row r="631" spans="1:10">
      <c r="A631" s="15"/>
      <c r="B631" s="15"/>
      <c r="C631" s="15"/>
      <c r="D631" s="15"/>
      <c r="E631" s="15"/>
      <c r="F631" s="16"/>
      <c r="G631" s="15"/>
      <c r="H631" s="21">
        <f>IF($A631="","",COUNTIFS(AgPac,$A631,AgStatus,"Compareceu"))</f>
        <v>0</v>
      </c>
      <c r="I631" s="21">
        <f>IF($A631="","",COUNTIFS(AgPac,$A631,AgStatus,"Faltou"))</f>
        <v>0</v>
      </c>
      <c r="J631" s="22">
        <f>IF($A631="","",SUMPRODUCT(MAX((AgPac=$A631)*(AgStatus="Compareceu")*AgData)))</f>
        <v>0</v>
      </c>
    </row>
    <row r="632" spans="1:10">
      <c r="A632" s="15"/>
      <c r="B632" s="15"/>
      <c r="C632" s="15"/>
      <c r="D632" s="15"/>
      <c r="E632" s="15"/>
      <c r="F632" s="16"/>
      <c r="G632" s="15"/>
      <c r="H632" s="21">
        <f>IF($A632="","",COUNTIFS(AgPac,$A632,AgStatus,"Compareceu"))</f>
        <v>0</v>
      </c>
      <c r="I632" s="21">
        <f>IF($A632="","",COUNTIFS(AgPac,$A632,AgStatus,"Faltou"))</f>
        <v>0</v>
      </c>
      <c r="J632" s="22">
        <f>IF($A632="","",SUMPRODUCT(MAX((AgPac=$A632)*(AgStatus="Compareceu")*AgData)))</f>
        <v>0</v>
      </c>
    </row>
    <row r="633" spans="1:10">
      <c r="A633" s="15"/>
      <c r="B633" s="15"/>
      <c r="C633" s="15"/>
      <c r="D633" s="15"/>
      <c r="E633" s="15"/>
      <c r="F633" s="16"/>
      <c r="G633" s="15"/>
      <c r="H633" s="21">
        <f>IF($A633="","",COUNTIFS(AgPac,$A633,AgStatus,"Compareceu"))</f>
        <v>0</v>
      </c>
      <c r="I633" s="21">
        <f>IF($A633="","",COUNTIFS(AgPac,$A633,AgStatus,"Faltou"))</f>
        <v>0</v>
      </c>
      <c r="J633" s="22">
        <f>IF($A633="","",SUMPRODUCT(MAX((AgPac=$A633)*(AgStatus="Compareceu")*AgData)))</f>
        <v>0</v>
      </c>
    </row>
    <row r="634" spans="1:10">
      <c r="A634" s="15"/>
      <c r="B634" s="15"/>
      <c r="C634" s="15"/>
      <c r="D634" s="15"/>
      <c r="E634" s="15"/>
      <c r="F634" s="16"/>
      <c r="G634" s="15"/>
      <c r="H634" s="21">
        <f>IF($A634="","",COUNTIFS(AgPac,$A634,AgStatus,"Compareceu"))</f>
        <v>0</v>
      </c>
      <c r="I634" s="21">
        <f>IF($A634="","",COUNTIFS(AgPac,$A634,AgStatus,"Faltou"))</f>
        <v>0</v>
      </c>
      <c r="J634" s="22">
        <f>IF($A634="","",SUMPRODUCT(MAX((AgPac=$A634)*(AgStatus="Compareceu")*AgData)))</f>
        <v>0</v>
      </c>
    </row>
    <row r="635" spans="1:10">
      <c r="A635" s="15"/>
      <c r="B635" s="15"/>
      <c r="C635" s="15"/>
      <c r="D635" s="15"/>
      <c r="E635" s="15"/>
      <c r="F635" s="16"/>
      <c r="G635" s="15"/>
      <c r="H635" s="21">
        <f>IF($A635="","",COUNTIFS(AgPac,$A635,AgStatus,"Compareceu"))</f>
        <v>0</v>
      </c>
      <c r="I635" s="21">
        <f>IF($A635="","",COUNTIFS(AgPac,$A635,AgStatus,"Faltou"))</f>
        <v>0</v>
      </c>
      <c r="J635" s="22">
        <f>IF($A635="","",SUMPRODUCT(MAX((AgPac=$A635)*(AgStatus="Compareceu")*AgData)))</f>
        <v>0</v>
      </c>
    </row>
    <row r="636" spans="1:10">
      <c r="A636" s="15"/>
      <c r="B636" s="15"/>
      <c r="C636" s="15"/>
      <c r="D636" s="15"/>
      <c r="E636" s="15"/>
      <c r="F636" s="16"/>
      <c r="G636" s="15"/>
      <c r="H636" s="21">
        <f>IF($A636="","",COUNTIFS(AgPac,$A636,AgStatus,"Compareceu"))</f>
        <v>0</v>
      </c>
      <c r="I636" s="21">
        <f>IF($A636="","",COUNTIFS(AgPac,$A636,AgStatus,"Faltou"))</f>
        <v>0</v>
      </c>
      <c r="J636" s="22">
        <f>IF($A636="","",SUMPRODUCT(MAX((AgPac=$A636)*(AgStatus="Compareceu")*AgData)))</f>
        <v>0</v>
      </c>
    </row>
    <row r="637" spans="1:10">
      <c r="A637" s="15"/>
      <c r="B637" s="15"/>
      <c r="C637" s="15"/>
      <c r="D637" s="15"/>
      <c r="E637" s="15"/>
      <c r="F637" s="16"/>
      <c r="G637" s="15"/>
      <c r="H637" s="21">
        <f>IF($A637="","",COUNTIFS(AgPac,$A637,AgStatus,"Compareceu"))</f>
        <v>0</v>
      </c>
      <c r="I637" s="21">
        <f>IF($A637="","",COUNTIFS(AgPac,$A637,AgStatus,"Faltou"))</f>
        <v>0</v>
      </c>
      <c r="J637" s="22">
        <f>IF($A637="","",SUMPRODUCT(MAX((AgPac=$A637)*(AgStatus="Compareceu")*AgData)))</f>
        <v>0</v>
      </c>
    </row>
    <row r="638" spans="1:10">
      <c r="A638" s="15"/>
      <c r="B638" s="15"/>
      <c r="C638" s="15"/>
      <c r="D638" s="15"/>
      <c r="E638" s="15"/>
      <c r="F638" s="16"/>
      <c r="G638" s="15"/>
      <c r="H638" s="21">
        <f>IF($A638="","",COUNTIFS(AgPac,$A638,AgStatus,"Compareceu"))</f>
        <v>0</v>
      </c>
      <c r="I638" s="21">
        <f>IF($A638="","",COUNTIFS(AgPac,$A638,AgStatus,"Faltou"))</f>
        <v>0</v>
      </c>
      <c r="J638" s="22">
        <f>IF($A638="","",SUMPRODUCT(MAX((AgPac=$A638)*(AgStatus="Compareceu")*AgData)))</f>
        <v>0</v>
      </c>
    </row>
    <row r="639" spans="1:10">
      <c r="A639" s="15"/>
      <c r="B639" s="15"/>
      <c r="C639" s="15"/>
      <c r="D639" s="15"/>
      <c r="E639" s="15"/>
      <c r="F639" s="16"/>
      <c r="G639" s="15"/>
      <c r="H639" s="21">
        <f>IF($A639="","",COUNTIFS(AgPac,$A639,AgStatus,"Compareceu"))</f>
        <v>0</v>
      </c>
      <c r="I639" s="21">
        <f>IF($A639="","",COUNTIFS(AgPac,$A639,AgStatus,"Faltou"))</f>
        <v>0</v>
      </c>
      <c r="J639" s="22">
        <f>IF($A639="","",SUMPRODUCT(MAX((AgPac=$A639)*(AgStatus="Compareceu")*AgData)))</f>
        <v>0</v>
      </c>
    </row>
    <row r="640" spans="1:10">
      <c r="A640" s="15"/>
      <c r="B640" s="15"/>
      <c r="C640" s="15"/>
      <c r="D640" s="15"/>
      <c r="E640" s="15"/>
      <c r="F640" s="16"/>
      <c r="G640" s="15"/>
      <c r="H640" s="21">
        <f>IF($A640="","",COUNTIFS(AgPac,$A640,AgStatus,"Compareceu"))</f>
        <v>0</v>
      </c>
      <c r="I640" s="21">
        <f>IF($A640="","",COUNTIFS(AgPac,$A640,AgStatus,"Faltou"))</f>
        <v>0</v>
      </c>
      <c r="J640" s="22">
        <f>IF($A640="","",SUMPRODUCT(MAX((AgPac=$A640)*(AgStatus="Compareceu")*AgData)))</f>
        <v>0</v>
      </c>
    </row>
    <row r="641" spans="1:10">
      <c r="A641" s="15"/>
      <c r="B641" s="15"/>
      <c r="C641" s="15"/>
      <c r="D641" s="15"/>
      <c r="E641" s="15"/>
      <c r="F641" s="16"/>
      <c r="G641" s="15"/>
      <c r="H641" s="21">
        <f>IF($A641="","",COUNTIFS(AgPac,$A641,AgStatus,"Compareceu"))</f>
        <v>0</v>
      </c>
      <c r="I641" s="21">
        <f>IF($A641="","",COUNTIFS(AgPac,$A641,AgStatus,"Faltou"))</f>
        <v>0</v>
      </c>
      <c r="J641" s="22">
        <f>IF($A641="","",SUMPRODUCT(MAX((AgPac=$A641)*(AgStatus="Compareceu")*AgData)))</f>
        <v>0</v>
      </c>
    </row>
    <row r="642" spans="1:10">
      <c r="A642" s="15"/>
      <c r="B642" s="15"/>
      <c r="C642" s="15"/>
      <c r="D642" s="15"/>
      <c r="E642" s="15"/>
      <c r="F642" s="16"/>
      <c r="G642" s="15"/>
      <c r="H642" s="21">
        <f>IF($A642="","",COUNTIFS(AgPac,$A642,AgStatus,"Compareceu"))</f>
        <v>0</v>
      </c>
      <c r="I642" s="21">
        <f>IF($A642="","",COUNTIFS(AgPac,$A642,AgStatus,"Faltou"))</f>
        <v>0</v>
      </c>
      <c r="J642" s="22">
        <f>IF($A642="","",SUMPRODUCT(MAX((AgPac=$A642)*(AgStatus="Compareceu")*AgData)))</f>
        <v>0</v>
      </c>
    </row>
    <row r="643" spans="1:10">
      <c r="A643" s="15"/>
      <c r="B643" s="15"/>
      <c r="C643" s="15"/>
      <c r="D643" s="15"/>
      <c r="E643" s="15"/>
      <c r="F643" s="16"/>
      <c r="G643" s="15"/>
      <c r="H643" s="21">
        <f>IF($A643="","",COUNTIFS(AgPac,$A643,AgStatus,"Compareceu"))</f>
        <v>0</v>
      </c>
      <c r="I643" s="21">
        <f>IF($A643="","",COUNTIFS(AgPac,$A643,AgStatus,"Faltou"))</f>
        <v>0</v>
      </c>
      <c r="J643" s="22">
        <f>IF($A643="","",SUMPRODUCT(MAX((AgPac=$A643)*(AgStatus="Compareceu")*AgData)))</f>
        <v>0</v>
      </c>
    </row>
    <row r="644" spans="1:10">
      <c r="A644" s="15"/>
      <c r="B644" s="15"/>
      <c r="C644" s="15"/>
      <c r="D644" s="15"/>
      <c r="E644" s="15"/>
      <c r="F644" s="16"/>
      <c r="G644" s="15"/>
      <c r="H644" s="21">
        <f>IF($A644="","",COUNTIFS(AgPac,$A644,AgStatus,"Compareceu"))</f>
        <v>0</v>
      </c>
      <c r="I644" s="21">
        <f>IF($A644="","",COUNTIFS(AgPac,$A644,AgStatus,"Faltou"))</f>
        <v>0</v>
      </c>
      <c r="J644" s="22">
        <f>IF($A644="","",SUMPRODUCT(MAX((AgPac=$A644)*(AgStatus="Compareceu")*AgData)))</f>
        <v>0</v>
      </c>
    </row>
    <row r="645" spans="1:10">
      <c r="A645" s="15"/>
      <c r="B645" s="15"/>
      <c r="C645" s="15"/>
      <c r="D645" s="15"/>
      <c r="E645" s="15"/>
      <c r="F645" s="16"/>
      <c r="G645" s="15"/>
      <c r="H645" s="21">
        <f>IF($A645="","",COUNTIFS(AgPac,$A645,AgStatus,"Compareceu"))</f>
        <v>0</v>
      </c>
      <c r="I645" s="21">
        <f>IF($A645="","",COUNTIFS(AgPac,$A645,AgStatus,"Faltou"))</f>
        <v>0</v>
      </c>
      <c r="J645" s="22">
        <f>IF($A645="","",SUMPRODUCT(MAX((AgPac=$A645)*(AgStatus="Compareceu")*AgData)))</f>
        <v>0</v>
      </c>
    </row>
    <row r="646" spans="1:10">
      <c r="A646" s="15"/>
      <c r="B646" s="15"/>
      <c r="C646" s="15"/>
      <c r="D646" s="15"/>
      <c r="E646" s="15"/>
      <c r="F646" s="16"/>
      <c r="G646" s="15"/>
      <c r="H646" s="21">
        <f>IF($A646="","",COUNTIFS(AgPac,$A646,AgStatus,"Compareceu"))</f>
        <v>0</v>
      </c>
      <c r="I646" s="21">
        <f>IF($A646="","",COUNTIFS(AgPac,$A646,AgStatus,"Faltou"))</f>
        <v>0</v>
      </c>
      <c r="J646" s="22">
        <f>IF($A646="","",SUMPRODUCT(MAX((AgPac=$A646)*(AgStatus="Compareceu")*AgData)))</f>
        <v>0</v>
      </c>
    </row>
    <row r="647" spans="1:10">
      <c r="A647" s="15"/>
      <c r="B647" s="15"/>
      <c r="C647" s="15"/>
      <c r="D647" s="15"/>
      <c r="E647" s="15"/>
      <c r="F647" s="16"/>
      <c r="G647" s="15"/>
      <c r="H647" s="21">
        <f>IF($A647="","",COUNTIFS(AgPac,$A647,AgStatus,"Compareceu"))</f>
        <v>0</v>
      </c>
      <c r="I647" s="21">
        <f>IF($A647="","",COUNTIFS(AgPac,$A647,AgStatus,"Faltou"))</f>
        <v>0</v>
      </c>
      <c r="J647" s="22">
        <f>IF($A647="","",SUMPRODUCT(MAX((AgPac=$A647)*(AgStatus="Compareceu")*AgData)))</f>
        <v>0</v>
      </c>
    </row>
    <row r="648" spans="1:10">
      <c r="A648" s="15"/>
      <c r="B648" s="15"/>
      <c r="C648" s="15"/>
      <c r="D648" s="15"/>
      <c r="E648" s="15"/>
      <c r="F648" s="16"/>
      <c r="G648" s="15"/>
      <c r="H648" s="21">
        <f>IF($A648="","",COUNTIFS(AgPac,$A648,AgStatus,"Compareceu"))</f>
        <v>0</v>
      </c>
      <c r="I648" s="21">
        <f>IF($A648="","",COUNTIFS(AgPac,$A648,AgStatus,"Faltou"))</f>
        <v>0</v>
      </c>
      <c r="J648" s="22">
        <f>IF($A648="","",SUMPRODUCT(MAX((AgPac=$A648)*(AgStatus="Compareceu")*AgData)))</f>
        <v>0</v>
      </c>
    </row>
    <row r="649" spans="1:10">
      <c r="A649" s="15"/>
      <c r="B649" s="15"/>
      <c r="C649" s="15"/>
      <c r="D649" s="15"/>
      <c r="E649" s="15"/>
      <c r="F649" s="16"/>
      <c r="G649" s="15"/>
      <c r="H649" s="21">
        <f>IF($A649="","",COUNTIFS(AgPac,$A649,AgStatus,"Compareceu"))</f>
        <v>0</v>
      </c>
      <c r="I649" s="21">
        <f>IF($A649="","",COUNTIFS(AgPac,$A649,AgStatus,"Faltou"))</f>
        <v>0</v>
      </c>
      <c r="J649" s="22">
        <f>IF($A649="","",SUMPRODUCT(MAX((AgPac=$A649)*(AgStatus="Compareceu")*AgData)))</f>
        <v>0</v>
      </c>
    </row>
    <row r="650" spans="1:10">
      <c r="A650" s="15"/>
      <c r="B650" s="15"/>
      <c r="C650" s="15"/>
      <c r="D650" s="15"/>
      <c r="E650" s="15"/>
      <c r="F650" s="16"/>
      <c r="G650" s="15"/>
      <c r="H650" s="21">
        <f>IF($A650="","",COUNTIFS(AgPac,$A650,AgStatus,"Compareceu"))</f>
        <v>0</v>
      </c>
      <c r="I650" s="21">
        <f>IF($A650="","",COUNTIFS(AgPac,$A650,AgStatus,"Faltou"))</f>
        <v>0</v>
      </c>
      <c r="J650" s="22">
        <f>IF($A650="","",SUMPRODUCT(MAX((AgPac=$A650)*(AgStatus="Compareceu")*AgData)))</f>
        <v>0</v>
      </c>
    </row>
    <row r="651" spans="1:10">
      <c r="A651" s="15"/>
      <c r="B651" s="15"/>
      <c r="C651" s="15"/>
      <c r="D651" s="15"/>
      <c r="E651" s="15"/>
      <c r="F651" s="16"/>
      <c r="G651" s="15"/>
      <c r="H651" s="21">
        <f>IF($A651="","",COUNTIFS(AgPac,$A651,AgStatus,"Compareceu"))</f>
        <v>0</v>
      </c>
      <c r="I651" s="21">
        <f>IF($A651="","",COUNTIFS(AgPac,$A651,AgStatus,"Faltou"))</f>
        <v>0</v>
      </c>
      <c r="J651" s="22">
        <f>IF($A651="","",SUMPRODUCT(MAX((AgPac=$A651)*(AgStatus="Compareceu")*AgData)))</f>
        <v>0</v>
      </c>
    </row>
    <row r="652" spans="1:10">
      <c r="A652" s="15"/>
      <c r="B652" s="15"/>
      <c r="C652" s="15"/>
      <c r="D652" s="15"/>
      <c r="E652" s="15"/>
      <c r="F652" s="16"/>
      <c r="G652" s="15"/>
      <c r="H652" s="21">
        <f>IF($A652="","",COUNTIFS(AgPac,$A652,AgStatus,"Compareceu"))</f>
        <v>0</v>
      </c>
      <c r="I652" s="21">
        <f>IF($A652="","",COUNTIFS(AgPac,$A652,AgStatus,"Faltou"))</f>
        <v>0</v>
      </c>
      <c r="J652" s="22">
        <f>IF($A652="","",SUMPRODUCT(MAX((AgPac=$A652)*(AgStatus="Compareceu")*AgData)))</f>
        <v>0</v>
      </c>
    </row>
    <row r="653" spans="1:10">
      <c r="A653" s="15"/>
      <c r="B653" s="15"/>
      <c r="C653" s="15"/>
      <c r="D653" s="15"/>
      <c r="E653" s="15"/>
      <c r="F653" s="16"/>
      <c r="G653" s="15"/>
      <c r="H653" s="21">
        <f>IF($A653="","",COUNTIFS(AgPac,$A653,AgStatus,"Compareceu"))</f>
        <v>0</v>
      </c>
      <c r="I653" s="21">
        <f>IF($A653="","",COUNTIFS(AgPac,$A653,AgStatus,"Faltou"))</f>
        <v>0</v>
      </c>
      <c r="J653" s="22">
        <f>IF($A653="","",SUMPRODUCT(MAX((AgPac=$A653)*(AgStatus="Compareceu")*AgData)))</f>
        <v>0</v>
      </c>
    </row>
    <row r="654" spans="1:10">
      <c r="A654" s="15"/>
      <c r="B654" s="15"/>
      <c r="C654" s="15"/>
      <c r="D654" s="15"/>
      <c r="E654" s="15"/>
      <c r="F654" s="16"/>
      <c r="G654" s="15"/>
      <c r="H654" s="21">
        <f>IF($A654="","",COUNTIFS(AgPac,$A654,AgStatus,"Compareceu"))</f>
        <v>0</v>
      </c>
      <c r="I654" s="21">
        <f>IF($A654="","",COUNTIFS(AgPac,$A654,AgStatus,"Faltou"))</f>
        <v>0</v>
      </c>
      <c r="J654" s="22">
        <f>IF($A654="","",SUMPRODUCT(MAX((AgPac=$A654)*(AgStatus="Compareceu")*AgData)))</f>
        <v>0</v>
      </c>
    </row>
    <row r="655" spans="1:10">
      <c r="A655" s="15"/>
      <c r="B655" s="15"/>
      <c r="C655" s="15"/>
      <c r="D655" s="15"/>
      <c r="E655" s="15"/>
      <c r="F655" s="16"/>
      <c r="G655" s="15"/>
      <c r="H655" s="21">
        <f>IF($A655="","",COUNTIFS(AgPac,$A655,AgStatus,"Compareceu"))</f>
        <v>0</v>
      </c>
      <c r="I655" s="21">
        <f>IF($A655="","",COUNTIFS(AgPac,$A655,AgStatus,"Faltou"))</f>
        <v>0</v>
      </c>
      <c r="J655" s="22">
        <f>IF($A655="","",SUMPRODUCT(MAX((AgPac=$A655)*(AgStatus="Compareceu")*AgData)))</f>
        <v>0</v>
      </c>
    </row>
    <row r="656" spans="1:10">
      <c r="A656" s="15"/>
      <c r="B656" s="15"/>
      <c r="C656" s="15"/>
      <c r="D656" s="15"/>
      <c r="E656" s="15"/>
      <c r="F656" s="16"/>
      <c r="G656" s="15"/>
      <c r="H656" s="21">
        <f>IF($A656="","",COUNTIFS(AgPac,$A656,AgStatus,"Compareceu"))</f>
        <v>0</v>
      </c>
      <c r="I656" s="21">
        <f>IF($A656="","",COUNTIFS(AgPac,$A656,AgStatus,"Faltou"))</f>
        <v>0</v>
      </c>
      <c r="J656" s="22">
        <f>IF($A656="","",SUMPRODUCT(MAX((AgPac=$A656)*(AgStatus="Compareceu")*AgData)))</f>
        <v>0</v>
      </c>
    </row>
    <row r="657" spans="1:10">
      <c r="A657" s="15"/>
      <c r="B657" s="15"/>
      <c r="C657" s="15"/>
      <c r="D657" s="15"/>
      <c r="E657" s="15"/>
      <c r="F657" s="16"/>
      <c r="G657" s="15"/>
      <c r="H657" s="21">
        <f>IF($A657="","",COUNTIFS(AgPac,$A657,AgStatus,"Compareceu"))</f>
        <v>0</v>
      </c>
      <c r="I657" s="21">
        <f>IF($A657="","",COUNTIFS(AgPac,$A657,AgStatus,"Faltou"))</f>
        <v>0</v>
      </c>
      <c r="J657" s="22">
        <f>IF($A657="","",SUMPRODUCT(MAX((AgPac=$A657)*(AgStatus="Compareceu")*AgData)))</f>
        <v>0</v>
      </c>
    </row>
    <row r="658" spans="1:10">
      <c r="A658" s="15"/>
      <c r="B658" s="15"/>
      <c r="C658" s="15"/>
      <c r="D658" s="15"/>
      <c r="E658" s="15"/>
      <c r="F658" s="16"/>
      <c r="G658" s="15"/>
      <c r="H658" s="21">
        <f>IF($A658="","",COUNTIFS(AgPac,$A658,AgStatus,"Compareceu"))</f>
        <v>0</v>
      </c>
      <c r="I658" s="21">
        <f>IF($A658="","",COUNTIFS(AgPac,$A658,AgStatus,"Faltou"))</f>
        <v>0</v>
      </c>
      <c r="J658" s="22">
        <f>IF($A658="","",SUMPRODUCT(MAX((AgPac=$A658)*(AgStatus="Compareceu")*AgData)))</f>
        <v>0</v>
      </c>
    </row>
    <row r="659" spans="1:10">
      <c r="A659" s="15"/>
      <c r="B659" s="15"/>
      <c r="C659" s="15"/>
      <c r="D659" s="15"/>
      <c r="E659" s="15"/>
      <c r="F659" s="16"/>
      <c r="G659" s="15"/>
      <c r="H659" s="21">
        <f>IF($A659="","",COUNTIFS(AgPac,$A659,AgStatus,"Compareceu"))</f>
        <v>0</v>
      </c>
      <c r="I659" s="21">
        <f>IF($A659="","",COUNTIFS(AgPac,$A659,AgStatus,"Faltou"))</f>
        <v>0</v>
      </c>
      <c r="J659" s="22">
        <f>IF($A659="","",SUMPRODUCT(MAX((AgPac=$A659)*(AgStatus="Compareceu")*AgData)))</f>
        <v>0</v>
      </c>
    </row>
    <row r="660" spans="1:10">
      <c r="A660" s="15"/>
      <c r="B660" s="15"/>
      <c r="C660" s="15"/>
      <c r="D660" s="15"/>
      <c r="E660" s="15"/>
      <c r="F660" s="16"/>
      <c r="G660" s="15"/>
      <c r="H660" s="21">
        <f>IF($A660="","",COUNTIFS(AgPac,$A660,AgStatus,"Compareceu"))</f>
        <v>0</v>
      </c>
      <c r="I660" s="21">
        <f>IF($A660="","",COUNTIFS(AgPac,$A660,AgStatus,"Faltou"))</f>
        <v>0</v>
      </c>
      <c r="J660" s="22">
        <f>IF($A660="","",SUMPRODUCT(MAX((AgPac=$A660)*(AgStatus="Compareceu")*AgData)))</f>
        <v>0</v>
      </c>
    </row>
    <row r="661" spans="1:10">
      <c r="A661" s="15"/>
      <c r="B661" s="15"/>
      <c r="C661" s="15"/>
      <c r="D661" s="15"/>
      <c r="E661" s="15"/>
      <c r="F661" s="16"/>
      <c r="G661" s="15"/>
      <c r="H661" s="21">
        <f>IF($A661="","",COUNTIFS(AgPac,$A661,AgStatus,"Compareceu"))</f>
        <v>0</v>
      </c>
      <c r="I661" s="21">
        <f>IF($A661="","",COUNTIFS(AgPac,$A661,AgStatus,"Faltou"))</f>
        <v>0</v>
      </c>
      <c r="J661" s="22">
        <f>IF($A661="","",SUMPRODUCT(MAX((AgPac=$A661)*(AgStatus="Compareceu")*AgData)))</f>
        <v>0</v>
      </c>
    </row>
    <row r="662" spans="1:10">
      <c r="A662" s="15"/>
      <c r="B662" s="15"/>
      <c r="C662" s="15"/>
      <c r="D662" s="15"/>
      <c r="E662" s="15"/>
      <c r="F662" s="16"/>
      <c r="G662" s="15"/>
      <c r="H662" s="21">
        <f>IF($A662="","",COUNTIFS(AgPac,$A662,AgStatus,"Compareceu"))</f>
        <v>0</v>
      </c>
      <c r="I662" s="21">
        <f>IF($A662="","",COUNTIFS(AgPac,$A662,AgStatus,"Faltou"))</f>
        <v>0</v>
      </c>
      <c r="J662" s="22">
        <f>IF($A662="","",SUMPRODUCT(MAX((AgPac=$A662)*(AgStatus="Compareceu")*AgData)))</f>
        <v>0</v>
      </c>
    </row>
    <row r="663" spans="1:10">
      <c r="A663" s="15"/>
      <c r="B663" s="15"/>
      <c r="C663" s="15"/>
      <c r="D663" s="15"/>
      <c r="E663" s="15"/>
      <c r="F663" s="16"/>
      <c r="G663" s="15"/>
      <c r="H663" s="21">
        <f>IF($A663="","",COUNTIFS(AgPac,$A663,AgStatus,"Compareceu"))</f>
        <v>0</v>
      </c>
      <c r="I663" s="21">
        <f>IF($A663="","",COUNTIFS(AgPac,$A663,AgStatus,"Faltou"))</f>
        <v>0</v>
      </c>
      <c r="J663" s="22">
        <f>IF($A663="","",SUMPRODUCT(MAX((AgPac=$A663)*(AgStatus="Compareceu")*AgData)))</f>
        <v>0</v>
      </c>
    </row>
    <row r="664" spans="1:10">
      <c r="A664" s="15"/>
      <c r="B664" s="15"/>
      <c r="C664" s="15"/>
      <c r="D664" s="15"/>
      <c r="E664" s="15"/>
      <c r="F664" s="16"/>
      <c r="G664" s="15"/>
      <c r="H664" s="21">
        <f>IF($A664="","",COUNTIFS(AgPac,$A664,AgStatus,"Compareceu"))</f>
        <v>0</v>
      </c>
      <c r="I664" s="21">
        <f>IF($A664="","",COUNTIFS(AgPac,$A664,AgStatus,"Faltou"))</f>
        <v>0</v>
      </c>
      <c r="J664" s="22">
        <f>IF($A664="","",SUMPRODUCT(MAX((AgPac=$A664)*(AgStatus="Compareceu")*AgData)))</f>
        <v>0</v>
      </c>
    </row>
    <row r="665" spans="1:10">
      <c r="A665" s="15"/>
      <c r="B665" s="15"/>
      <c r="C665" s="15"/>
      <c r="D665" s="15"/>
      <c r="E665" s="15"/>
      <c r="F665" s="16"/>
      <c r="G665" s="15"/>
      <c r="H665" s="21">
        <f>IF($A665="","",COUNTIFS(AgPac,$A665,AgStatus,"Compareceu"))</f>
        <v>0</v>
      </c>
      <c r="I665" s="21">
        <f>IF($A665="","",COUNTIFS(AgPac,$A665,AgStatus,"Faltou"))</f>
        <v>0</v>
      </c>
      <c r="J665" s="22">
        <f>IF($A665="","",SUMPRODUCT(MAX((AgPac=$A665)*(AgStatus="Compareceu")*AgData)))</f>
        <v>0</v>
      </c>
    </row>
    <row r="666" spans="1:10">
      <c r="A666" s="15"/>
      <c r="B666" s="15"/>
      <c r="C666" s="15"/>
      <c r="D666" s="15"/>
      <c r="E666" s="15"/>
      <c r="F666" s="16"/>
      <c r="G666" s="15"/>
      <c r="H666" s="21">
        <f>IF($A666="","",COUNTIFS(AgPac,$A666,AgStatus,"Compareceu"))</f>
        <v>0</v>
      </c>
      <c r="I666" s="21">
        <f>IF($A666="","",COUNTIFS(AgPac,$A666,AgStatus,"Faltou"))</f>
        <v>0</v>
      </c>
      <c r="J666" s="22">
        <f>IF($A666="","",SUMPRODUCT(MAX((AgPac=$A666)*(AgStatus="Compareceu")*AgData)))</f>
        <v>0</v>
      </c>
    </row>
    <row r="667" spans="1:10">
      <c r="A667" s="15"/>
      <c r="B667" s="15"/>
      <c r="C667" s="15"/>
      <c r="D667" s="15"/>
      <c r="E667" s="15"/>
      <c r="F667" s="16"/>
      <c r="G667" s="15"/>
      <c r="H667" s="21">
        <f>IF($A667="","",COUNTIFS(AgPac,$A667,AgStatus,"Compareceu"))</f>
        <v>0</v>
      </c>
      <c r="I667" s="21">
        <f>IF($A667="","",COUNTIFS(AgPac,$A667,AgStatus,"Faltou"))</f>
        <v>0</v>
      </c>
      <c r="J667" s="22">
        <f>IF($A667="","",SUMPRODUCT(MAX((AgPac=$A667)*(AgStatus="Compareceu")*AgData)))</f>
        <v>0</v>
      </c>
    </row>
    <row r="668" spans="1:10">
      <c r="A668" s="15"/>
      <c r="B668" s="15"/>
      <c r="C668" s="15"/>
      <c r="D668" s="15"/>
      <c r="E668" s="15"/>
      <c r="F668" s="16"/>
      <c r="G668" s="15"/>
      <c r="H668" s="21">
        <f>IF($A668="","",COUNTIFS(AgPac,$A668,AgStatus,"Compareceu"))</f>
        <v>0</v>
      </c>
      <c r="I668" s="21">
        <f>IF($A668="","",COUNTIFS(AgPac,$A668,AgStatus,"Faltou"))</f>
        <v>0</v>
      </c>
      <c r="J668" s="22">
        <f>IF($A668="","",SUMPRODUCT(MAX((AgPac=$A668)*(AgStatus="Compareceu")*AgData)))</f>
        <v>0</v>
      </c>
    </row>
    <row r="669" spans="1:10">
      <c r="A669" s="15"/>
      <c r="B669" s="15"/>
      <c r="C669" s="15"/>
      <c r="D669" s="15"/>
      <c r="E669" s="15"/>
      <c r="F669" s="16"/>
      <c r="G669" s="15"/>
      <c r="H669" s="21">
        <f>IF($A669="","",COUNTIFS(AgPac,$A669,AgStatus,"Compareceu"))</f>
        <v>0</v>
      </c>
      <c r="I669" s="21">
        <f>IF($A669="","",COUNTIFS(AgPac,$A669,AgStatus,"Faltou"))</f>
        <v>0</v>
      </c>
      <c r="J669" s="22">
        <f>IF($A669="","",SUMPRODUCT(MAX((AgPac=$A669)*(AgStatus="Compareceu")*AgData)))</f>
        <v>0</v>
      </c>
    </row>
    <row r="670" spans="1:10">
      <c r="A670" s="15"/>
      <c r="B670" s="15"/>
      <c r="C670" s="15"/>
      <c r="D670" s="15"/>
      <c r="E670" s="15"/>
      <c r="F670" s="16"/>
      <c r="G670" s="15"/>
      <c r="H670" s="21">
        <f>IF($A670="","",COUNTIFS(AgPac,$A670,AgStatus,"Compareceu"))</f>
        <v>0</v>
      </c>
      <c r="I670" s="21">
        <f>IF($A670="","",COUNTIFS(AgPac,$A670,AgStatus,"Faltou"))</f>
        <v>0</v>
      </c>
      <c r="J670" s="22">
        <f>IF($A670="","",SUMPRODUCT(MAX((AgPac=$A670)*(AgStatus="Compareceu")*AgData)))</f>
        <v>0</v>
      </c>
    </row>
    <row r="671" spans="1:10">
      <c r="A671" s="15"/>
      <c r="B671" s="15"/>
      <c r="C671" s="15"/>
      <c r="D671" s="15"/>
      <c r="E671" s="15"/>
      <c r="F671" s="16"/>
      <c r="G671" s="15"/>
      <c r="H671" s="21">
        <f>IF($A671="","",COUNTIFS(AgPac,$A671,AgStatus,"Compareceu"))</f>
        <v>0</v>
      </c>
      <c r="I671" s="21">
        <f>IF($A671="","",COUNTIFS(AgPac,$A671,AgStatus,"Faltou"))</f>
        <v>0</v>
      </c>
      <c r="J671" s="22">
        <f>IF($A671="","",SUMPRODUCT(MAX((AgPac=$A671)*(AgStatus="Compareceu")*AgData)))</f>
        <v>0</v>
      </c>
    </row>
    <row r="672" spans="1:10">
      <c r="A672" s="15"/>
      <c r="B672" s="15"/>
      <c r="C672" s="15"/>
      <c r="D672" s="15"/>
      <c r="E672" s="15"/>
      <c r="F672" s="16"/>
      <c r="G672" s="15"/>
      <c r="H672" s="21">
        <f>IF($A672="","",COUNTIFS(AgPac,$A672,AgStatus,"Compareceu"))</f>
        <v>0</v>
      </c>
      <c r="I672" s="21">
        <f>IF($A672="","",COUNTIFS(AgPac,$A672,AgStatus,"Faltou"))</f>
        <v>0</v>
      </c>
      <c r="J672" s="22">
        <f>IF($A672="","",SUMPRODUCT(MAX((AgPac=$A672)*(AgStatus="Compareceu")*AgData)))</f>
        <v>0</v>
      </c>
    </row>
    <row r="673" spans="1:10">
      <c r="A673" s="15"/>
      <c r="B673" s="15"/>
      <c r="C673" s="15"/>
      <c r="D673" s="15"/>
      <c r="E673" s="15"/>
      <c r="F673" s="16"/>
      <c r="G673" s="15"/>
      <c r="H673" s="21">
        <f>IF($A673="","",COUNTIFS(AgPac,$A673,AgStatus,"Compareceu"))</f>
        <v>0</v>
      </c>
      <c r="I673" s="21">
        <f>IF($A673="","",COUNTIFS(AgPac,$A673,AgStatus,"Faltou"))</f>
        <v>0</v>
      </c>
      <c r="J673" s="22">
        <f>IF($A673="","",SUMPRODUCT(MAX((AgPac=$A673)*(AgStatus="Compareceu")*AgData)))</f>
        <v>0</v>
      </c>
    </row>
    <row r="674" spans="1:10">
      <c r="A674" s="15"/>
      <c r="B674" s="15"/>
      <c r="C674" s="15"/>
      <c r="D674" s="15"/>
      <c r="E674" s="15"/>
      <c r="F674" s="16"/>
      <c r="G674" s="15"/>
      <c r="H674" s="21">
        <f>IF($A674="","",COUNTIFS(AgPac,$A674,AgStatus,"Compareceu"))</f>
        <v>0</v>
      </c>
      <c r="I674" s="21">
        <f>IF($A674="","",COUNTIFS(AgPac,$A674,AgStatus,"Faltou"))</f>
        <v>0</v>
      </c>
      <c r="J674" s="22">
        <f>IF($A674="","",SUMPRODUCT(MAX((AgPac=$A674)*(AgStatus="Compareceu")*AgData)))</f>
        <v>0</v>
      </c>
    </row>
    <row r="675" spans="1:10">
      <c r="A675" s="15"/>
      <c r="B675" s="15"/>
      <c r="C675" s="15"/>
      <c r="D675" s="15"/>
      <c r="E675" s="15"/>
      <c r="F675" s="16"/>
      <c r="G675" s="15"/>
      <c r="H675" s="21">
        <f>IF($A675="","",COUNTIFS(AgPac,$A675,AgStatus,"Compareceu"))</f>
        <v>0</v>
      </c>
      <c r="I675" s="21">
        <f>IF($A675="","",COUNTIFS(AgPac,$A675,AgStatus,"Faltou"))</f>
        <v>0</v>
      </c>
      <c r="J675" s="22">
        <f>IF($A675="","",SUMPRODUCT(MAX((AgPac=$A675)*(AgStatus="Compareceu")*AgData)))</f>
        <v>0</v>
      </c>
    </row>
    <row r="676" spans="1:10">
      <c r="A676" s="15"/>
      <c r="B676" s="15"/>
      <c r="C676" s="15"/>
      <c r="D676" s="15"/>
      <c r="E676" s="15"/>
      <c r="F676" s="16"/>
      <c r="G676" s="15"/>
      <c r="H676" s="21">
        <f>IF($A676="","",COUNTIFS(AgPac,$A676,AgStatus,"Compareceu"))</f>
        <v>0</v>
      </c>
      <c r="I676" s="21">
        <f>IF($A676="","",COUNTIFS(AgPac,$A676,AgStatus,"Faltou"))</f>
        <v>0</v>
      </c>
      <c r="J676" s="22">
        <f>IF($A676="","",SUMPRODUCT(MAX((AgPac=$A676)*(AgStatus="Compareceu")*AgData)))</f>
        <v>0</v>
      </c>
    </row>
    <row r="677" spans="1:10">
      <c r="A677" s="15"/>
      <c r="B677" s="15"/>
      <c r="C677" s="15"/>
      <c r="D677" s="15"/>
      <c r="E677" s="15"/>
      <c r="F677" s="16"/>
      <c r="G677" s="15"/>
      <c r="H677" s="21">
        <f>IF($A677="","",COUNTIFS(AgPac,$A677,AgStatus,"Compareceu"))</f>
        <v>0</v>
      </c>
      <c r="I677" s="21">
        <f>IF($A677="","",COUNTIFS(AgPac,$A677,AgStatus,"Faltou"))</f>
        <v>0</v>
      </c>
      <c r="J677" s="22">
        <f>IF($A677="","",SUMPRODUCT(MAX((AgPac=$A677)*(AgStatus="Compareceu")*AgData)))</f>
        <v>0</v>
      </c>
    </row>
    <row r="678" spans="1:10">
      <c r="A678" s="15"/>
      <c r="B678" s="15"/>
      <c r="C678" s="15"/>
      <c r="D678" s="15"/>
      <c r="E678" s="15"/>
      <c r="F678" s="16"/>
      <c r="G678" s="15"/>
      <c r="H678" s="21">
        <f>IF($A678="","",COUNTIFS(AgPac,$A678,AgStatus,"Compareceu"))</f>
        <v>0</v>
      </c>
      <c r="I678" s="21">
        <f>IF($A678="","",COUNTIFS(AgPac,$A678,AgStatus,"Faltou"))</f>
        <v>0</v>
      </c>
      <c r="J678" s="22">
        <f>IF($A678="","",SUMPRODUCT(MAX((AgPac=$A678)*(AgStatus="Compareceu")*AgData)))</f>
        <v>0</v>
      </c>
    </row>
    <row r="679" spans="1:10">
      <c r="A679" s="15"/>
      <c r="B679" s="15"/>
      <c r="C679" s="15"/>
      <c r="D679" s="15"/>
      <c r="E679" s="15"/>
      <c r="F679" s="16"/>
      <c r="G679" s="15"/>
      <c r="H679" s="21">
        <f>IF($A679="","",COUNTIFS(AgPac,$A679,AgStatus,"Compareceu"))</f>
        <v>0</v>
      </c>
      <c r="I679" s="21">
        <f>IF($A679="","",COUNTIFS(AgPac,$A679,AgStatus,"Faltou"))</f>
        <v>0</v>
      </c>
      <c r="J679" s="22">
        <f>IF($A679="","",SUMPRODUCT(MAX((AgPac=$A679)*(AgStatus="Compareceu")*AgData)))</f>
        <v>0</v>
      </c>
    </row>
    <row r="680" spans="1:10">
      <c r="A680" s="15"/>
      <c r="B680" s="15"/>
      <c r="C680" s="15"/>
      <c r="D680" s="15"/>
      <c r="E680" s="15"/>
      <c r="F680" s="16"/>
      <c r="G680" s="15"/>
      <c r="H680" s="21">
        <f>IF($A680="","",COUNTIFS(AgPac,$A680,AgStatus,"Compareceu"))</f>
        <v>0</v>
      </c>
      <c r="I680" s="21">
        <f>IF($A680="","",COUNTIFS(AgPac,$A680,AgStatus,"Faltou"))</f>
        <v>0</v>
      </c>
      <c r="J680" s="22">
        <f>IF($A680="","",SUMPRODUCT(MAX((AgPac=$A680)*(AgStatus="Compareceu")*AgData)))</f>
        <v>0</v>
      </c>
    </row>
    <row r="681" spans="1:10">
      <c r="A681" s="15"/>
      <c r="B681" s="15"/>
      <c r="C681" s="15"/>
      <c r="D681" s="15"/>
      <c r="E681" s="15"/>
      <c r="F681" s="16"/>
      <c r="G681" s="15"/>
      <c r="H681" s="21">
        <f>IF($A681="","",COUNTIFS(AgPac,$A681,AgStatus,"Compareceu"))</f>
        <v>0</v>
      </c>
      <c r="I681" s="21">
        <f>IF($A681="","",COUNTIFS(AgPac,$A681,AgStatus,"Faltou"))</f>
        <v>0</v>
      </c>
      <c r="J681" s="22">
        <f>IF($A681="","",SUMPRODUCT(MAX((AgPac=$A681)*(AgStatus="Compareceu")*AgData)))</f>
        <v>0</v>
      </c>
    </row>
    <row r="682" spans="1:10">
      <c r="A682" s="15"/>
      <c r="B682" s="15"/>
      <c r="C682" s="15"/>
      <c r="D682" s="15"/>
      <c r="E682" s="15"/>
      <c r="F682" s="16"/>
      <c r="G682" s="15"/>
      <c r="H682" s="21">
        <f>IF($A682="","",COUNTIFS(AgPac,$A682,AgStatus,"Compareceu"))</f>
        <v>0</v>
      </c>
      <c r="I682" s="21">
        <f>IF($A682="","",COUNTIFS(AgPac,$A682,AgStatus,"Faltou"))</f>
        <v>0</v>
      </c>
      <c r="J682" s="22">
        <f>IF($A682="","",SUMPRODUCT(MAX((AgPac=$A682)*(AgStatus="Compareceu")*AgData)))</f>
        <v>0</v>
      </c>
    </row>
    <row r="683" spans="1:10">
      <c r="A683" s="15"/>
      <c r="B683" s="15"/>
      <c r="C683" s="15"/>
      <c r="D683" s="15"/>
      <c r="E683" s="15"/>
      <c r="F683" s="16"/>
      <c r="G683" s="15"/>
      <c r="H683" s="21">
        <f>IF($A683="","",COUNTIFS(AgPac,$A683,AgStatus,"Compareceu"))</f>
        <v>0</v>
      </c>
      <c r="I683" s="21">
        <f>IF($A683="","",COUNTIFS(AgPac,$A683,AgStatus,"Faltou"))</f>
        <v>0</v>
      </c>
      <c r="J683" s="22">
        <f>IF($A683="","",SUMPRODUCT(MAX((AgPac=$A683)*(AgStatus="Compareceu")*AgData)))</f>
        <v>0</v>
      </c>
    </row>
    <row r="684" spans="1:10">
      <c r="A684" s="15"/>
      <c r="B684" s="15"/>
      <c r="C684" s="15"/>
      <c r="D684" s="15"/>
      <c r="E684" s="15"/>
      <c r="F684" s="16"/>
      <c r="G684" s="15"/>
      <c r="H684" s="21">
        <f>IF($A684="","",COUNTIFS(AgPac,$A684,AgStatus,"Compareceu"))</f>
        <v>0</v>
      </c>
      <c r="I684" s="21">
        <f>IF($A684="","",COUNTIFS(AgPac,$A684,AgStatus,"Faltou"))</f>
        <v>0</v>
      </c>
      <c r="J684" s="22">
        <f>IF($A684="","",SUMPRODUCT(MAX((AgPac=$A684)*(AgStatus="Compareceu")*AgData)))</f>
        <v>0</v>
      </c>
    </row>
    <row r="685" spans="1:10">
      <c r="A685" s="15"/>
      <c r="B685" s="15"/>
      <c r="C685" s="15"/>
      <c r="D685" s="15"/>
      <c r="E685" s="15"/>
      <c r="F685" s="16"/>
      <c r="G685" s="15"/>
      <c r="H685" s="21">
        <f>IF($A685="","",COUNTIFS(AgPac,$A685,AgStatus,"Compareceu"))</f>
        <v>0</v>
      </c>
      <c r="I685" s="21">
        <f>IF($A685="","",COUNTIFS(AgPac,$A685,AgStatus,"Faltou"))</f>
        <v>0</v>
      </c>
      <c r="J685" s="22">
        <f>IF($A685="","",SUMPRODUCT(MAX((AgPac=$A685)*(AgStatus="Compareceu")*AgData)))</f>
        <v>0</v>
      </c>
    </row>
    <row r="686" spans="1:10">
      <c r="A686" s="15"/>
      <c r="B686" s="15"/>
      <c r="C686" s="15"/>
      <c r="D686" s="15"/>
      <c r="E686" s="15"/>
      <c r="F686" s="16"/>
      <c r="G686" s="15"/>
      <c r="H686" s="21">
        <f>IF($A686="","",COUNTIFS(AgPac,$A686,AgStatus,"Compareceu"))</f>
        <v>0</v>
      </c>
      <c r="I686" s="21">
        <f>IF($A686="","",COUNTIFS(AgPac,$A686,AgStatus,"Faltou"))</f>
        <v>0</v>
      </c>
      <c r="J686" s="22">
        <f>IF($A686="","",SUMPRODUCT(MAX((AgPac=$A686)*(AgStatus="Compareceu")*AgData)))</f>
        <v>0</v>
      </c>
    </row>
    <row r="687" spans="1:10">
      <c r="A687" s="15"/>
      <c r="B687" s="15"/>
      <c r="C687" s="15"/>
      <c r="D687" s="15"/>
      <c r="E687" s="15"/>
      <c r="F687" s="16"/>
      <c r="G687" s="15"/>
      <c r="H687" s="21">
        <f>IF($A687="","",COUNTIFS(AgPac,$A687,AgStatus,"Compareceu"))</f>
        <v>0</v>
      </c>
      <c r="I687" s="21">
        <f>IF($A687="","",COUNTIFS(AgPac,$A687,AgStatus,"Faltou"))</f>
        <v>0</v>
      </c>
      <c r="J687" s="22">
        <f>IF($A687="","",SUMPRODUCT(MAX((AgPac=$A687)*(AgStatus="Compareceu")*AgData)))</f>
        <v>0</v>
      </c>
    </row>
    <row r="688" spans="1:10">
      <c r="A688" s="15"/>
      <c r="B688" s="15"/>
      <c r="C688" s="15"/>
      <c r="D688" s="15"/>
      <c r="E688" s="15"/>
      <c r="F688" s="16"/>
      <c r="G688" s="15"/>
      <c r="H688" s="21">
        <f>IF($A688="","",COUNTIFS(AgPac,$A688,AgStatus,"Compareceu"))</f>
        <v>0</v>
      </c>
      <c r="I688" s="21">
        <f>IF($A688="","",COUNTIFS(AgPac,$A688,AgStatus,"Faltou"))</f>
        <v>0</v>
      </c>
      <c r="J688" s="22">
        <f>IF($A688="","",SUMPRODUCT(MAX((AgPac=$A688)*(AgStatus="Compareceu")*AgData)))</f>
        <v>0</v>
      </c>
    </row>
    <row r="689" spans="1:10">
      <c r="A689" s="15"/>
      <c r="B689" s="15"/>
      <c r="C689" s="15"/>
      <c r="D689" s="15"/>
      <c r="E689" s="15"/>
      <c r="F689" s="16"/>
      <c r="G689" s="15"/>
      <c r="H689" s="21">
        <f>IF($A689="","",COUNTIFS(AgPac,$A689,AgStatus,"Compareceu"))</f>
        <v>0</v>
      </c>
      <c r="I689" s="21">
        <f>IF($A689="","",COUNTIFS(AgPac,$A689,AgStatus,"Faltou"))</f>
        <v>0</v>
      </c>
      <c r="J689" s="22">
        <f>IF($A689="","",SUMPRODUCT(MAX((AgPac=$A689)*(AgStatus="Compareceu")*AgData)))</f>
        <v>0</v>
      </c>
    </row>
    <row r="690" spans="1:10">
      <c r="A690" s="15"/>
      <c r="B690" s="15"/>
      <c r="C690" s="15"/>
      <c r="D690" s="15"/>
      <c r="E690" s="15"/>
      <c r="F690" s="16"/>
      <c r="G690" s="15"/>
      <c r="H690" s="21">
        <f>IF($A690="","",COUNTIFS(AgPac,$A690,AgStatus,"Compareceu"))</f>
        <v>0</v>
      </c>
      <c r="I690" s="21">
        <f>IF($A690="","",COUNTIFS(AgPac,$A690,AgStatus,"Faltou"))</f>
        <v>0</v>
      </c>
      <c r="J690" s="22">
        <f>IF($A690="","",SUMPRODUCT(MAX((AgPac=$A690)*(AgStatus="Compareceu")*AgData)))</f>
        <v>0</v>
      </c>
    </row>
    <row r="691" spans="1:10">
      <c r="A691" s="15"/>
      <c r="B691" s="15"/>
      <c r="C691" s="15"/>
      <c r="D691" s="15"/>
      <c r="E691" s="15"/>
      <c r="F691" s="16"/>
      <c r="G691" s="15"/>
      <c r="H691" s="21">
        <f>IF($A691="","",COUNTIFS(AgPac,$A691,AgStatus,"Compareceu"))</f>
        <v>0</v>
      </c>
      <c r="I691" s="21">
        <f>IF($A691="","",COUNTIFS(AgPac,$A691,AgStatus,"Faltou"))</f>
        <v>0</v>
      </c>
      <c r="J691" s="22">
        <f>IF($A691="","",SUMPRODUCT(MAX((AgPac=$A691)*(AgStatus="Compareceu")*AgData)))</f>
        <v>0</v>
      </c>
    </row>
    <row r="692" spans="1:10">
      <c r="A692" s="15"/>
      <c r="B692" s="15"/>
      <c r="C692" s="15"/>
      <c r="D692" s="15"/>
      <c r="E692" s="15"/>
      <c r="F692" s="16"/>
      <c r="G692" s="15"/>
      <c r="H692" s="21">
        <f>IF($A692="","",COUNTIFS(AgPac,$A692,AgStatus,"Compareceu"))</f>
        <v>0</v>
      </c>
      <c r="I692" s="21">
        <f>IF($A692="","",COUNTIFS(AgPac,$A692,AgStatus,"Faltou"))</f>
        <v>0</v>
      </c>
      <c r="J692" s="22">
        <f>IF($A692="","",SUMPRODUCT(MAX((AgPac=$A692)*(AgStatus="Compareceu")*AgData)))</f>
        <v>0</v>
      </c>
    </row>
    <row r="693" spans="1:10">
      <c r="A693" s="15"/>
      <c r="B693" s="15"/>
      <c r="C693" s="15"/>
      <c r="D693" s="15"/>
      <c r="E693" s="15"/>
      <c r="F693" s="16"/>
      <c r="G693" s="15"/>
      <c r="H693" s="21">
        <f>IF($A693="","",COUNTIFS(AgPac,$A693,AgStatus,"Compareceu"))</f>
        <v>0</v>
      </c>
      <c r="I693" s="21">
        <f>IF($A693="","",COUNTIFS(AgPac,$A693,AgStatus,"Faltou"))</f>
        <v>0</v>
      </c>
      <c r="J693" s="22">
        <f>IF($A693="","",SUMPRODUCT(MAX((AgPac=$A693)*(AgStatus="Compareceu")*AgData)))</f>
        <v>0</v>
      </c>
    </row>
    <row r="694" spans="1:10">
      <c r="A694" s="15"/>
      <c r="B694" s="15"/>
      <c r="C694" s="15"/>
      <c r="D694" s="15"/>
      <c r="E694" s="15"/>
      <c r="F694" s="16"/>
      <c r="G694" s="15"/>
      <c r="H694" s="21">
        <f>IF($A694="","",COUNTIFS(AgPac,$A694,AgStatus,"Compareceu"))</f>
        <v>0</v>
      </c>
      <c r="I694" s="21">
        <f>IF($A694="","",COUNTIFS(AgPac,$A694,AgStatus,"Faltou"))</f>
        <v>0</v>
      </c>
      <c r="J694" s="22">
        <f>IF($A694="","",SUMPRODUCT(MAX((AgPac=$A694)*(AgStatus="Compareceu")*AgData)))</f>
        <v>0</v>
      </c>
    </row>
    <row r="695" spans="1:10">
      <c r="A695" s="15"/>
      <c r="B695" s="15"/>
      <c r="C695" s="15"/>
      <c r="D695" s="15"/>
      <c r="E695" s="15"/>
      <c r="F695" s="16"/>
      <c r="G695" s="15"/>
      <c r="H695" s="21">
        <f>IF($A695="","",COUNTIFS(AgPac,$A695,AgStatus,"Compareceu"))</f>
        <v>0</v>
      </c>
      <c r="I695" s="21">
        <f>IF($A695="","",COUNTIFS(AgPac,$A695,AgStatus,"Faltou"))</f>
        <v>0</v>
      </c>
      <c r="J695" s="22">
        <f>IF($A695="","",SUMPRODUCT(MAX((AgPac=$A695)*(AgStatus="Compareceu")*AgData)))</f>
        <v>0</v>
      </c>
    </row>
    <row r="696" spans="1:10">
      <c r="A696" s="15"/>
      <c r="B696" s="15"/>
      <c r="C696" s="15"/>
      <c r="D696" s="15"/>
      <c r="E696" s="15"/>
      <c r="F696" s="16"/>
      <c r="G696" s="15"/>
      <c r="H696" s="21">
        <f>IF($A696="","",COUNTIFS(AgPac,$A696,AgStatus,"Compareceu"))</f>
        <v>0</v>
      </c>
      <c r="I696" s="21">
        <f>IF($A696="","",COUNTIFS(AgPac,$A696,AgStatus,"Faltou"))</f>
        <v>0</v>
      </c>
      <c r="J696" s="22">
        <f>IF($A696="","",SUMPRODUCT(MAX((AgPac=$A696)*(AgStatus="Compareceu")*AgData)))</f>
        <v>0</v>
      </c>
    </row>
    <row r="697" spans="1:10">
      <c r="A697" s="15"/>
      <c r="B697" s="15"/>
      <c r="C697" s="15"/>
      <c r="D697" s="15"/>
      <c r="E697" s="15"/>
      <c r="F697" s="16"/>
      <c r="G697" s="15"/>
      <c r="H697" s="21">
        <f>IF($A697="","",COUNTIFS(AgPac,$A697,AgStatus,"Compareceu"))</f>
        <v>0</v>
      </c>
      <c r="I697" s="21">
        <f>IF($A697="","",COUNTIFS(AgPac,$A697,AgStatus,"Faltou"))</f>
        <v>0</v>
      </c>
      <c r="J697" s="22">
        <f>IF($A697="","",SUMPRODUCT(MAX((AgPac=$A697)*(AgStatus="Compareceu")*AgData)))</f>
        <v>0</v>
      </c>
    </row>
    <row r="698" spans="1:10">
      <c r="A698" s="15"/>
      <c r="B698" s="15"/>
      <c r="C698" s="15"/>
      <c r="D698" s="15"/>
      <c r="E698" s="15"/>
      <c r="F698" s="16"/>
      <c r="G698" s="15"/>
      <c r="H698" s="21">
        <f>IF($A698="","",COUNTIFS(AgPac,$A698,AgStatus,"Compareceu"))</f>
        <v>0</v>
      </c>
      <c r="I698" s="21">
        <f>IF($A698="","",COUNTIFS(AgPac,$A698,AgStatus,"Faltou"))</f>
        <v>0</v>
      </c>
      <c r="J698" s="22">
        <f>IF($A698="","",SUMPRODUCT(MAX((AgPac=$A698)*(AgStatus="Compareceu")*AgData)))</f>
        <v>0</v>
      </c>
    </row>
    <row r="699" spans="1:10">
      <c r="A699" s="15"/>
      <c r="B699" s="15"/>
      <c r="C699" s="15"/>
      <c r="D699" s="15"/>
      <c r="E699" s="15"/>
      <c r="F699" s="16"/>
      <c r="G699" s="15"/>
      <c r="H699" s="21">
        <f>IF($A699="","",COUNTIFS(AgPac,$A699,AgStatus,"Compareceu"))</f>
        <v>0</v>
      </c>
      <c r="I699" s="21">
        <f>IF($A699="","",COUNTIFS(AgPac,$A699,AgStatus,"Faltou"))</f>
        <v>0</v>
      </c>
      <c r="J699" s="22">
        <f>IF($A699="","",SUMPRODUCT(MAX((AgPac=$A699)*(AgStatus="Compareceu")*AgData)))</f>
        <v>0</v>
      </c>
    </row>
    <row r="700" spans="1:10">
      <c r="A700" s="15"/>
      <c r="B700" s="15"/>
      <c r="C700" s="15"/>
      <c r="D700" s="15"/>
      <c r="E700" s="15"/>
      <c r="F700" s="16"/>
      <c r="G700" s="15"/>
      <c r="H700" s="21">
        <f>IF($A700="","",COUNTIFS(AgPac,$A700,AgStatus,"Compareceu"))</f>
        <v>0</v>
      </c>
      <c r="I700" s="21">
        <f>IF($A700="","",COUNTIFS(AgPac,$A700,AgStatus,"Faltou"))</f>
        <v>0</v>
      </c>
      <c r="J700" s="22">
        <f>IF($A700="","",SUMPRODUCT(MAX((AgPac=$A700)*(AgStatus="Compareceu")*AgData)))</f>
        <v>0</v>
      </c>
    </row>
    <row r="701" spans="1:10">
      <c r="A701" s="15"/>
      <c r="B701" s="15"/>
      <c r="C701" s="15"/>
      <c r="D701" s="15"/>
      <c r="E701" s="15"/>
      <c r="F701" s="16"/>
      <c r="G701" s="15"/>
      <c r="H701" s="21">
        <f>IF($A701="","",COUNTIFS(AgPac,$A701,AgStatus,"Compareceu"))</f>
        <v>0</v>
      </c>
      <c r="I701" s="21">
        <f>IF($A701="","",COUNTIFS(AgPac,$A701,AgStatus,"Faltou"))</f>
        <v>0</v>
      </c>
      <c r="J701" s="22">
        <f>IF($A701="","",SUMPRODUCT(MAX((AgPac=$A701)*(AgStatus="Compareceu")*AgData)))</f>
        <v>0</v>
      </c>
    </row>
    <row r="702" spans="1:10">
      <c r="A702" s="15"/>
      <c r="B702" s="15"/>
      <c r="C702" s="15"/>
      <c r="D702" s="15"/>
      <c r="E702" s="15"/>
      <c r="F702" s="16"/>
      <c r="G702" s="15"/>
      <c r="H702" s="21">
        <f>IF($A702="","",COUNTIFS(AgPac,$A702,AgStatus,"Compareceu"))</f>
        <v>0</v>
      </c>
      <c r="I702" s="21">
        <f>IF($A702="","",COUNTIFS(AgPac,$A702,AgStatus,"Faltou"))</f>
        <v>0</v>
      </c>
      <c r="J702" s="22">
        <f>IF($A702="","",SUMPRODUCT(MAX((AgPac=$A702)*(AgStatus="Compareceu")*AgData)))</f>
        <v>0</v>
      </c>
    </row>
    <row r="703" spans="1:10">
      <c r="A703" s="15"/>
      <c r="B703" s="15"/>
      <c r="C703" s="15"/>
      <c r="D703" s="15"/>
      <c r="E703" s="15"/>
      <c r="F703" s="16"/>
      <c r="G703" s="15"/>
      <c r="H703" s="21">
        <f>IF($A703="","",COUNTIFS(AgPac,$A703,AgStatus,"Compareceu"))</f>
        <v>0</v>
      </c>
      <c r="I703" s="21">
        <f>IF($A703="","",COUNTIFS(AgPac,$A703,AgStatus,"Faltou"))</f>
        <v>0</v>
      </c>
      <c r="J703" s="22">
        <f>IF($A703="","",SUMPRODUCT(MAX((AgPac=$A703)*(AgStatus="Compareceu")*AgData)))</f>
        <v>0</v>
      </c>
    </row>
    <row r="704" spans="1:10">
      <c r="A704" s="15"/>
      <c r="B704" s="15"/>
      <c r="C704" s="15"/>
      <c r="D704" s="15"/>
      <c r="E704" s="15"/>
      <c r="F704" s="16"/>
      <c r="G704" s="15"/>
      <c r="H704" s="21">
        <f>IF($A704="","",COUNTIFS(AgPac,$A704,AgStatus,"Compareceu"))</f>
        <v>0</v>
      </c>
      <c r="I704" s="21">
        <f>IF($A704="","",COUNTIFS(AgPac,$A704,AgStatus,"Faltou"))</f>
        <v>0</v>
      </c>
      <c r="J704" s="22">
        <f>IF($A704="","",SUMPRODUCT(MAX((AgPac=$A704)*(AgStatus="Compareceu")*AgData)))</f>
        <v>0</v>
      </c>
    </row>
    <row r="705" spans="1:10">
      <c r="A705" s="15"/>
      <c r="B705" s="15"/>
      <c r="C705" s="15"/>
      <c r="D705" s="15"/>
      <c r="E705" s="15"/>
      <c r="F705" s="16"/>
      <c r="G705" s="15"/>
      <c r="H705" s="21">
        <f>IF($A705="","",COUNTIFS(AgPac,$A705,AgStatus,"Compareceu"))</f>
        <v>0</v>
      </c>
      <c r="I705" s="21">
        <f>IF($A705="","",COUNTIFS(AgPac,$A705,AgStatus,"Faltou"))</f>
        <v>0</v>
      </c>
      <c r="J705" s="22">
        <f>IF($A705="","",SUMPRODUCT(MAX((AgPac=$A705)*(AgStatus="Compareceu")*AgData)))</f>
        <v>0</v>
      </c>
    </row>
    <row r="706" spans="1:10">
      <c r="A706" s="15"/>
      <c r="B706" s="15"/>
      <c r="C706" s="15"/>
      <c r="D706" s="15"/>
      <c r="E706" s="15"/>
      <c r="F706" s="16"/>
      <c r="G706" s="15"/>
      <c r="H706" s="21">
        <f>IF($A706="","",COUNTIFS(AgPac,$A706,AgStatus,"Compareceu"))</f>
        <v>0</v>
      </c>
      <c r="I706" s="21">
        <f>IF($A706="","",COUNTIFS(AgPac,$A706,AgStatus,"Faltou"))</f>
        <v>0</v>
      </c>
      <c r="J706" s="22">
        <f>IF($A706="","",SUMPRODUCT(MAX((AgPac=$A706)*(AgStatus="Compareceu")*AgData)))</f>
        <v>0</v>
      </c>
    </row>
    <row r="707" spans="1:10">
      <c r="A707" s="15"/>
      <c r="B707" s="15"/>
      <c r="C707" s="15"/>
      <c r="D707" s="15"/>
      <c r="E707" s="15"/>
      <c r="F707" s="16"/>
      <c r="G707" s="15"/>
      <c r="H707" s="21">
        <f>IF($A707="","",COUNTIFS(AgPac,$A707,AgStatus,"Compareceu"))</f>
        <v>0</v>
      </c>
      <c r="I707" s="21">
        <f>IF($A707="","",COUNTIFS(AgPac,$A707,AgStatus,"Faltou"))</f>
        <v>0</v>
      </c>
      <c r="J707" s="22">
        <f>IF($A707="","",SUMPRODUCT(MAX((AgPac=$A707)*(AgStatus="Compareceu")*AgData)))</f>
        <v>0</v>
      </c>
    </row>
    <row r="708" spans="1:10">
      <c r="A708" s="15"/>
      <c r="B708" s="15"/>
      <c r="C708" s="15"/>
      <c r="D708" s="15"/>
      <c r="E708" s="15"/>
      <c r="F708" s="16"/>
      <c r="G708" s="15"/>
      <c r="H708" s="21">
        <f>IF($A708="","",COUNTIFS(AgPac,$A708,AgStatus,"Compareceu"))</f>
        <v>0</v>
      </c>
      <c r="I708" s="21">
        <f>IF($A708="","",COUNTIFS(AgPac,$A708,AgStatus,"Faltou"))</f>
        <v>0</v>
      </c>
      <c r="J708" s="22">
        <f>IF($A708="","",SUMPRODUCT(MAX((AgPac=$A708)*(AgStatus="Compareceu")*AgData)))</f>
        <v>0</v>
      </c>
    </row>
    <row r="709" spans="1:10">
      <c r="A709" s="15"/>
      <c r="B709" s="15"/>
      <c r="C709" s="15"/>
      <c r="D709" s="15"/>
      <c r="E709" s="15"/>
      <c r="F709" s="16"/>
      <c r="G709" s="15"/>
      <c r="H709" s="21">
        <f>IF($A709="","",COUNTIFS(AgPac,$A709,AgStatus,"Compareceu"))</f>
        <v>0</v>
      </c>
      <c r="I709" s="21">
        <f>IF($A709="","",COUNTIFS(AgPac,$A709,AgStatus,"Faltou"))</f>
        <v>0</v>
      </c>
      <c r="J709" s="22">
        <f>IF($A709="","",SUMPRODUCT(MAX((AgPac=$A709)*(AgStatus="Compareceu")*AgData)))</f>
        <v>0</v>
      </c>
    </row>
    <row r="710" spans="1:10">
      <c r="A710" s="15"/>
      <c r="B710" s="15"/>
      <c r="C710" s="15"/>
      <c r="D710" s="15"/>
      <c r="E710" s="15"/>
      <c r="F710" s="16"/>
      <c r="G710" s="15"/>
      <c r="H710" s="21">
        <f>IF($A710="","",COUNTIFS(AgPac,$A710,AgStatus,"Compareceu"))</f>
        <v>0</v>
      </c>
      <c r="I710" s="21">
        <f>IF($A710="","",COUNTIFS(AgPac,$A710,AgStatus,"Faltou"))</f>
        <v>0</v>
      </c>
      <c r="J710" s="22">
        <f>IF($A710="","",SUMPRODUCT(MAX((AgPac=$A710)*(AgStatus="Compareceu")*AgData)))</f>
        <v>0</v>
      </c>
    </row>
    <row r="711" spans="1:10">
      <c r="A711" s="15"/>
      <c r="B711" s="15"/>
      <c r="C711" s="15"/>
      <c r="D711" s="15"/>
      <c r="E711" s="15"/>
      <c r="F711" s="16"/>
      <c r="G711" s="15"/>
      <c r="H711" s="21">
        <f>IF($A711="","",COUNTIFS(AgPac,$A711,AgStatus,"Compareceu"))</f>
        <v>0</v>
      </c>
      <c r="I711" s="21">
        <f>IF($A711="","",COUNTIFS(AgPac,$A711,AgStatus,"Faltou"))</f>
        <v>0</v>
      </c>
      <c r="J711" s="22">
        <f>IF($A711="","",SUMPRODUCT(MAX((AgPac=$A711)*(AgStatus="Compareceu")*AgData)))</f>
        <v>0</v>
      </c>
    </row>
    <row r="712" spans="1:10">
      <c r="A712" s="15"/>
      <c r="B712" s="15"/>
      <c r="C712" s="15"/>
      <c r="D712" s="15"/>
      <c r="E712" s="15"/>
      <c r="F712" s="16"/>
      <c r="G712" s="15"/>
      <c r="H712" s="21">
        <f>IF($A712="","",COUNTIFS(AgPac,$A712,AgStatus,"Compareceu"))</f>
        <v>0</v>
      </c>
      <c r="I712" s="21">
        <f>IF($A712="","",COUNTIFS(AgPac,$A712,AgStatus,"Faltou"))</f>
        <v>0</v>
      </c>
      <c r="J712" s="22">
        <f>IF($A712="","",SUMPRODUCT(MAX((AgPac=$A712)*(AgStatus="Compareceu")*AgData)))</f>
        <v>0</v>
      </c>
    </row>
    <row r="713" spans="1:10">
      <c r="A713" s="15"/>
      <c r="B713" s="15"/>
      <c r="C713" s="15"/>
      <c r="D713" s="15"/>
      <c r="E713" s="15"/>
      <c r="F713" s="16"/>
      <c r="G713" s="15"/>
      <c r="H713" s="21">
        <f>IF($A713="","",COUNTIFS(AgPac,$A713,AgStatus,"Compareceu"))</f>
        <v>0</v>
      </c>
      <c r="I713" s="21">
        <f>IF($A713="","",COUNTIFS(AgPac,$A713,AgStatus,"Faltou"))</f>
        <v>0</v>
      </c>
      <c r="J713" s="22">
        <f>IF($A713="","",SUMPRODUCT(MAX((AgPac=$A713)*(AgStatus="Compareceu")*AgData)))</f>
        <v>0</v>
      </c>
    </row>
    <row r="714" spans="1:10">
      <c r="A714" s="15"/>
      <c r="B714" s="15"/>
      <c r="C714" s="15"/>
      <c r="D714" s="15"/>
      <c r="E714" s="15"/>
      <c r="F714" s="16"/>
      <c r="G714" s="15"/>
      <c r="H714" s="21">
        <f>IF($A714="","",COUNTIFS(AgPac,$A714,AgStatus,"Compareceu"))</f>
        <v>0</v>
      </c>
      <c r="I714" s="21">
        <f>IF($A714="","",COUNTIFS(AgPac,$A714,AgStatus,"Faltou"))</f>
        <v>0</v>
      </c>
      <c r="J714" s="22">
        <f>IF($A714="","",SUMPRODUCT(MAX((AgPac=$A714)*(AgStatus="Compareceu")*AgData)))</f>
        <v>0</v>
      </c>
    </row>
    <row r="715" spans="1:10">
      <c r="A715" s="15"/>
      <c r="B715" s="15"/>
      <c r="C715" s="15"/>
      <c r="D715" s="15"/>
      <c r="E715" s="15"/>
      <c r="F715" s="16"/>
      <c r="G715" s="15"/>
      <c r="H715" s="21">
        <f>IF($A715="","",COUNTIFS(AgPac,$A715,AgStatus,"Compareceu"))</f>
        <v>0</v>
      </c>
      <c r="I715" s="21">
        <f>IF($A715="","",COUNTIFS(AgPac,$A715,AgStatus,"Faltou"))</f>
        <v>0</v>
      </c>
      <c r="J715" s="22">
        <f>IF($A715="","",SUMPRODUCT(MAX((AgPac=$A715)*(AgStatus="Compareceu")*AgData)))</f>
        <v>0</v>
      </c>
    </row>
    <row r="716" spans="1:10">
      <c r="A716" s="15"/>
      <c r="B716" s="15"/>
      <c r="C716" s="15"/>
      <c r="D716" s="15"/>
      <c r="E716" s="15"/>
      <c r="F716" s="16"/>
      <c r="G716" s="15"/>
      <c r="H716" s="21">
        <f>IF($A716="","",COUNTIFS(AgPac,$A716,AgStatus,"Compareceu"))</f>
        <v>0</v>
      </c>
      <c r="I716" s="21">
        <f>IF($A716="","",COUNTIFS(AgPac,$A716,AgStatus,"Faltou"))</f>
        <v>0</v>
      </c>
      <c r="J716" s="22">
        <f>IF($A716="","",SUMPRODUCT(MAX((AgPac=$A716)*(AgStatus="Compareceu")*AgData)))</f>
        <v>0</v>
      </c>
    </row>
    <row r="717" spans="1:10">
      <c r="A717" s="15"/>
      <c r="B717" s="15"/>
      <c r="C717" s="15"/>
      <c r="D717" s="15"/>
      <c r="E717" s="15"/>
      <c r="F717" s="16"/>
      <c r="G717" s="15"/>
      <c r="H717" s="21">
        <f>IF($A717="","",COUNTIFS(AgPac,$A717,AgStatus,"Compareceu"))</f>
        <v>0</v>
      </c>
      <c r="I717" s="21">
        <f>IF($A717="","",COUNTIFS(AgPac,$A717,AgStatus,"Faltou"))</f>
        <v>0</v>
      </c>
      <c r="J717" s="22">
        <f>IF($A717="","",SUMPRODUCT(MAX((AgPac=$A717)*(AgStatus="Compareceu")*AgData)))</f>
        <v>0</v>
      </c>
    </row>
    <row r="718" spans="1:10">
      <c r="A718" s="15"/>
      <c r="B718" s="15"/>
      <c r="C718" s="15"/>
      <c r="D718" s="15"/>
      <c r="E718" s="15"/>
      <c r="F718" s="16"/>
      <c r="G718" s="15"/>
      <c r="H718" s="21">
        <f>IF($A718="","",COUNTIFS(AgPac,$A718,AgStatus,"Compareceu"))</f>
        <v>0</v>
      </c>
      <c r="I718" s="21">
        <f>IF($A718="","",COUNTIFS(AgPac,$A718,AgStatus,"Faltou"))</f>
        <v>0</v>
      </c>
      <c r="J718" s="22">
        <f>IF($A718="","",SUMPRODUCT(MAX((AgPac=$A718)*(AgStatus="Compareceu")*AgData)))</f>
        <v>0</v>
      </c>
    </row>
    <row r="719" spans="1:10">
      <c r="A719" s="15"/>
      <c r="B719" s="15"/>
      <c r="C719" s="15"/>
      <c r="D719" s="15"/>
      <c r="E719" s="15"/>
      <c r="F719" s="16"/>
      <c r="G719" s="15"/>
      <c r="H719" s="21">
        <f>IF($A719="","",COUNTIFS(AgPac,$A719,AgStatus,"Compareceu"))</f>
        <v>0</v>
      </c>
      <c r="I719" s="21">
        <f>IF($A719="","",COUNTIFS(AgPac,$A719,AgStatus,"Faltou"))</f>
        <v>0</v>
      </c>
      <c r="J719" s="22">
        <f>IF($A719="","",SUMPRODUCT(MAX((AgPac=$A719)*(AgStatus="Compareceu")*AgData)))</f>
        <v>0</v>
      </c>
    </row>
    <row r="720" spans="1:10">
      <c r="A720" s="15"/>
      <c r="B720" s="15"/>
      <c r="C720" s="15"/>
      <c r="D720" s="15"/>
      <c r="E720" s="15"/>
      <c r="F720" s="16"/>
      <c r="G720" s="15"/>
      <c r="H720" s="21">
        <f>IF($A720="","",COUNTIFS(AgPac,$A720,AgStatus,"Compareceu"))</f>
        <v>0</v>
      </c>
      <c r="I720" s="21">
        <f>IF($A720="","",COUNTIFS(AgPac,$A720,AgStatus,"Faltou"))</f>
        <v>0</v>
      </c>
      <c r="J720" s="22">
        <f>IF($A720="","",SUMPRODUCT(MAX((AgPac=$A720)*(AgStatus="Compareceu")*AgData)))</f>
        <v>0</v>
      </c>
    </row>
    <row r="721" spans="1:10">
      <c r="A721" s="15"/>
      <c r="B721" s="15"/>
      <c r="C721" s="15"/>
      <c r="D721" s="15"/>
      <c r="E721" s="15"/>
      <c r="F721" s="16"/>
      <c r="G721" s="15"/>
      <c r="H721" s="21">
        <f>IF($A721="","",COUNTIFS(AgPac,$A721,AgStatus,"Compareceu"))</f>
        <v>0</v>
      </c>
      <c r="I721" s="21">
        <f>IF($A721="","",COUNTIFS(AgPac,$A721,AgStatus,"Faltou"))</f>
        <v>0</v>
      </c>
      <c r="J721" s="22">
        <f>IF($A721="","",SUMPRODUCT(MAX((AgPac=$A721)*(AgStatus="Compareceu")*AgData)))</f>
        <v>0</v>
      </c>
    </row>
    <row r="722" spans="1:10">
      <c r="A722" s="15"/>
      <c r="B722" s="15"/>
      <c r="C722" s="15"/>
      <c r="D722" s="15"/>
      <c r="E722" s="15"/>
      <c r="F722" s="16"/>
      <c r="G722" s="15"/>
      <c r="H722" s="21">
        <f>IF($A722="","",COUNTIFS(AgPac,$A722,AgStatus,"Compareceu"))</f>
        <v>0</v>
      </c>
      <c r="I722" s="21">
        <f>IF($A722="","",COUNTIFS(AgPac,$A722,AgStatus,"Faltou"))</f>
        <v>0</v>
      </c>
      <c r="J722" s="22">
        <f>IF($A722="","",SUMPRODUCT(MAX((AgPac=$A722)*(AgStatus="Compareceu")*AgData)))</f>
        <v>0</v>
      </c>
    </row>
    <row r="723" spans="1:10">
      <c r="A723" s="15"/>
      <c r="B723" s="15"/>
      <c r="C723" s="15"/>
      <c r="D723" s="15"/>
      <c r="E723" s="15"/>
      <c r="F723" s="16"/>
      <c r="G723" s="15"/>
      <c r="H723" s="21">
        <f>IF($A723="","",COUNTIFS(AgPac,$A723,AgStatus,"Compareceu"))</f>
        <v>0</v>
      </c>
      <c r="I723" s="21">
        <f>IF($A723="","",COUNTIFS(AgPac,$A723,AgStatus,"Faltou"))</f>
        <v>0</v>
      </c>
      <c r="J723" s="22">
        <f>IF($A723="","",SUMPRODUCT(MAX((AgPac=$A723)*(AgStatus="Compareceu")*AgData)))</f>
        <v>0</v>
      </c>
    </row>
    <row r="724" spans="1:10">
      <c r="A724" s="15"/>
      <c r="B724" s="15"/>
      <c r="C724" s="15"/>
      <c r="D724" s="15"/>
      <c r="E724" s="15"/>
      <c r="F724" s="16"/>
      <c r="G724" s="15"/>
      <c r="H724" s="21">
        <f>IF($A724="","",COUNTIFS(AgPac,$A724,AgStatus,"Compareceu"))</f>
        <v>0</v>
      </c>
      <c r="I724" s="21">
        <f>IF($A724="","",COUNTIFS(AgPac,$A724,AgStatus,"Faltou"))</f>
        <v>0</v>
      </c>
      <c r="J724" s="22">
        <f>IF($A724="","",SUMPRODUCT(MAX((AgPac=$A724)*(AgStatus="Compareceu")*AgData)))</f>
        <v>0</v>
      </c>
    </row>
    <row r="725" spans="1:10">
      <c r="A725" s="15"/>
      <c r="B725" s="15"/>
      <c r="C725" s="15"/>
      <c r="D725" s="15"/>
      <c r="E725" s="15"/>
      <c r="F725" s="16"/>
      <c r="G725" s="15"/>
      <c r="H725" s="21">
        <f>IF($A725="","",COUNTIFS(AgPac,$A725,AgStatus,"Compareceu"))</f>
        <v>0</v>
      </c>
      <c r="I725" s="21">
        <f>IF($A725="","",COUNTIFS(AgPac,$A725,AgStatus,"Faltou"))</f>
        <v>0</v>
      </c>
      <c r="J725" s="22">
        <f>IF($A725="","",SUMPRODUCT(MAX((AgPac=$A725)*(AgStatus="Compareceu")*AgData)))</f>
        <v>0</v>
      </c>
    </row>
    <row r="726" spans="1:10">
      <c r="A726" s="15"/>
      <c r="B726" s="15"/>
      <c r="C726" s="15"/>
      <c r="D726" s="15"/>
      <c r="E726" s="15"/>
      <c r="F726" s="16"/>
      <c r="G726" s="15"/>
      <c r="H726" s="21">
        <f>IF($A726="","",COUNTIFS(AgPac,$A726,AgStatus,"Compareceu"))</f>
        <v>0</v>
      </c>
      <c r="I726" s="21">
        <f>IF($A726="","",COUNTIFS(AgPac,$A726,AgStatus,"Faltou"))</f>
        <v>0</v>
      </c>
      <c r="J726" s="22">
        <f>IF($A726="","",SUMPRODUCT(MAX((AgPac=$A726)*(AgStatus="Compareceu")*AgData)))</f>
        <v>0</v>
      </c>
    </row>
    <row r="727" spans="1:10">
      <c r="A727" s="15"/>
      <c r="B727" s="15"/>
      <c r="C727" s="15"/>
      <c r="D727" s="15"/>
      <c r="E727" s="15"/>
      <c r="F727" s="16"/>
      <c r="G727" s="15"/>
      <c r="H727" s="21">
        <f>IF($A727="","",COUNTIFS(AgPac,$A727,AgStatus,"Compareceu"))</f>
        <v>0</v>
      </c>
      <c r="I727" s="21">
        <f>IF($A727="","",COUNTIFS(AgPac,$A727,AgStatus,"Faltou"))</f>
        <v>0</v>
      </c>
      <c r="J727" s="22">
        <f>IF($A727="","",SUMPRODUCT(MAX((AgPac=$A727)*(AgStatus="Compareceu")*AgData)))</f>
        <v>0</v>
      </c>
    </row>
    <row r="728" spans="1:10">
      <c r="A728" s="15"/>
      <c r="B728" s="15"/>
      <c r="C728" s="15"/>
      <c r="D728" s="15"/>
      <c r="E728" s="15"/>
      <c r="F728" s="16"/>
      <c r="G728" s="15"/>
      <c r="H728" s="21">
        <f>IF($A728="","",COUNTIFS(AgPac,$A728,AgStatus,"Compareceu"))</f>
        <v>0</v>
      </c>
      <c r="I728" s="21">
        <f>IF($A728="","",COUNTIFS(AgPac,$A728,AgStatus,"Faltou"))</f>
        <v>0</v>
      </c>
      <c r="J728" s="22">
        <f>IF($A728="","",SUMPRODUCT(MAX((AgPac=$A728)*(AgStatus="Compareceu")*AgData)))</f>
        <v>0</v>
      </c>
    </row>
    <row r="729" spans="1:10">
      <c r="A729" s="15"/>
      <c r="B729" s="15"/>
      <c r="C729" s="15"/>
      <c r="D729" s="15"/>
      <c r="E729" s="15"/>
      <c r="F729" s="16"/>
      <c r="G729" s="15"/>
      <c r="H729" s="21">
        <f>IF($A729="","",COUNTIFS(AgPac,$A729,AgStatus,"Compareceu"))</f>
        <v>0</v>
      </c>
      <c r="I729" s="21">
        <f>IF($A729="","",COUNTIFS(AgPac,$A729,AgStatus,"Faltou"))</f>
        <v>0</v>
      </c>
      <c r="J729" s="22">
        <f>IF($A729="","",SUMPRODUCT(MAX((AgPac=$A729)*(AgStatus="Compareceu")*AgData)))</f>
        <v>0</v>
      </c>
    </row>
    <row r="730" spans="1:10">
      <c r="A730" s="15"/>
      <c r="B730" s="15"/>
      <c r="C730" s="15"/>
      <c r="D730" s="15"/>
      <c r="E730" s="15"/>
      <c r="F730" s="16"/>
      <c r="G730" s="15"/>
      <c r="H730" s="21">
        <f>IF($A730="","",COUNTIFS(AgPac,$A730,AgStatus,"Compareceu"))</f>
        <v>0</v>
      </c>
      <c r="I730" s="21">
        <f>IF($A730="","",COUNTIFS(AgPac,$A730,AgStatus,"Faltou"))</f>
        <v>0</v>
      </c>
      <c r="J730" s="22">
        <f>IF($A730="","",SUMPRODUCT(MAX((AgPac=$A730)*(AgStatus="Compareceu")*AgData)))</f>
        <v>0</v>
      </c>
    </row>
    <row r="731" spans="1:10">
      <c r="A731" s="15"/>
      <c r="B731" s="15"/>
      <c r="C731" s="15"/>
      <c r="D731" s="15"/>
      <c r="E731" s="15"/>
      <c r="F731" s="16"/>
      <c r="G731" s="15"/>
      <c r="H731" s="21">
        <f>IF($A731="","",COUNTIFS(AgPac,$A731,AgStatus,"Compareceu"))</f>
        <v>0</v>
      </c>
      <c r="I731" s="21">
        <f>IF($A731="","",COUNTIFS(AgPac,$A731,AgStatus,"Faltou"))</f>
        <v>0</v>
      </c>
      <c r="J731" s="22">
        <f>IF($A731="","",SUMPRODUCT(MAX((AgPac=$A731)*(AgStatus="Compareceu")*AgData)))</f>
        <v>0</v>
      </c>
    </row>
    <row r="732" spans="1:10">
      <c r="A732" s="15"/>
      <c r="B732" s="15"/>
      <c r="C732" s="15"/>
      <c r="D732" s="15"/>
      <c r="E732" s="15"/>
      <c r="F732" s="16"/>
      <c r="G732" s="15"/>
      <c r="H732" s="21">
        <f>IF($A732="","",COUNTIFS(AgPac,$A732,AgStatus,"Compareceu"))</f>
        <v>0</v>
      </c>
      <c r="I732" s="21">
        <f>IF($A732="","",COUNTIFS(AgPac,$A732,AgStatus,"Faltou"))</f>
        <v>0</v>
      </c>
      <c r="J732" s="22">
        <f>IF($A732="","",SUMPRODUCT(MAX((AgPac=$A732)*(AgStatus="Compareceu")*AgData)))</f>
        <v>0</v>
      </c>
    </row>
    <row r="733" spans="1:10">
      <c r="A733" s="15"/>
      <c r="B733" s="15"/>
      <c r="C733" s="15"/>
      <c r="D733" s="15"/>
      <c r="E733" s="15"/>
      <c r="F733" s="16"/>
      <c r="G733" s="15"/>
      <c r="H733" s="21">
        <f>IF($A733="","",COUNTIFS(AgPac,$A733,AgStatus,"Compareceu"))</f>
        <v>0</v>
      </c>
      <c r="I733" s="21">
        <f>IF($A733="","",COUNTIFS(AgPac,$A733,AgStatus,"Faltou"))</f>
        <v>0</v>
      </c>
      <c r="J733" s="22">
        <f>IF($A733="","",SUMPRODUCT(MAX((AgPac=$A733)*(AgStatus="Compareceu")*AgData)))</f>
        <v>0</v>
      </c>
    </row>
    <row r="734" spans="1:10">
      <c r="A734" s="15"/>
      <c r="B734" s="15"/>
      <c r="C734" s="15"/>
      <c r="D734" s="15"/>
      <c r="E734" s="15"/>
      <c r="F734" s="16"/>
      <c r="G734" s="15"/>
      <c r="H734" s="21">
        <f>IF($A734="","",COUNTIFS(AgPac,$A734,AgStatus,"Compareceu"))</f>
        <v>0</v>
      </c>
      <c r="I734" s="21">
        <f>IF($A734="","",COUNTIFS(AgPac,$A734,AgStatus,"Faltou"))</f>
        <v>0</v>
      </c>
      <c r="J734" s="22">
        <f>IF($A734="","",SUMPRODUCT(MAX((AgPac=$A734)*(AgStatus="Compareceu")*AgData)))</f>
        <v>0</v>
      </c>
    </row>
    <row r="735" spans="1:10">
      <c r="A735" s="15"/>
      <c r="B735" s="15"/>
      <c r="C735" s="15"/>
      <c r="D735" s="15"/>
      <c r="E735" s="15"/>
      <c r="F735" s="16"/>
      <c r="G735" s="15"/>
      <c r="H735" s="21">
        <f>IF($A735="","",COUNTIFS(AgPac,$A735,AgStatus,"Compareceu"))</f>
        <v>0</v>
      </c>
      <c r="I735" s="21">
        <f>IF($A735="","",COUNTIFS(AgPac,$A735,AgStatus,"Faltou"))</f>
        <v>0</v>
      </c>
      <c r="J735" s="22">
        <f>IF($A735="","",SUMPRODUCT(MAX((AgPac=$A735)*(AgStatus="Compareceu")*AgData)))</f>
        <v>0</v>
      </c>
    </row>
    <row r="736" spans="1:10">
      <c r="A736" s="15"/>
      <c r="B736" s="15"/>
      <c r="C736" s="15"/>
      <c r="D736" s="15"/>
      <c r="E736" s="15"/>
      <c r="F736" s="16"/>
      <c r="G736" s="15"/>
      <c r="H736" s="21">
        <f>IF($A736="","",COUNTIFS(AgPac,$A736,AgStatus,"Compareceu"))</f>
        <v>0</v>
      </c>
      <c r="I736" s="21">
        <f>IF($A736="","",COUNTIFS(AgPac,$A736,AgStatus,"Faltou"))</f>
        <v>0</v>
      </c>
      <c r="J736" s="22">
        <f>IF($A736="","",SUMPRODUCT(MAX((AgPac=$A736)*(AgStatus="Compareceu")*AgData)))</f>
        <v>0</v>
      </c>
    </row>
    <row r="737" spans="1:10">
      <c r="A737" s="15"/>
      <c r="B737" s="15"/>
      <c r="C737" s="15"/>
      <c r="D737" s="15"/>
      <c r="E737" s="15"/>
      <c r="F737" s="16"/>
      <c r="G737" s="15"/>
      <c r="H737" s="21">
        <f>IF($A737="","",COUNTIFS(AgPac,$A737,AgStatus,"Compareceu"))</f>
        <v>0</v>
      </c>
      <c r="I737" s="21">
        <f>IF($A737="","",COUNTIFS(AgPac,$A737,AgStatus,"Faltou"))</f>
        <v>0</v>
      </c>
      <c r="J737" s="22">
        <f>IF($A737="","",SUMPRODUCT(MAX((AgPac=$A737)*(AgStatus="Compareceu")*AgData)))</f>
        <v>0</v>
      </c>
    </row>
    <row r="738" spans="1:10">
      <c r="A738" s="15"/>
      <c r="B738" s="15"/>
      <c r="C738" s="15"/>
      <c r="D738" s="15"/>
      <c r="E738" s="15"/>
      <c r="F738" s="16"/>
      <c r="G738" s="15"/>
      <c r="H738" s="21">
        <f>IF($A738="","",COUNTIFS(AgPac,$A738,AgStatus,"Compareceu"))</f>
        <v>0</v>
      </c>
      <c r="I738" s="21">
        <f>IF($A738="","",COUNTIFS(AgPac,$A738,AgStatus,"Faltou"))</f>
        <v>0</v>
      </c>
      <c r="J738" s="22">
        <f>IF($A738="","",SUMPRODUCT(MAX((AgPac=$A738)*(AgStatus="Compareceu")*AgData)))</f>
        <v>0</v>
      </c>
    </row>
    <row r="739" spans="1:10">
      <c r="A739" s="15"/>
      <c r="B739" s="15"/>
      <c r="C739" s="15"/>
      <c r="D739" s="15"/>
      <c r="E739" s="15"/>
      <c r="F739" s="16"/>
      <c r="G739" s="15"/>
      <c r="H739" s="21">
        <f>IF($A739="","",COUNTIFS(AgPac,$A739,AgStatus,"Compareceu"))</f>
        <v>0</v>
      </c>
      <c r="I739" s="21">
        <f>IF($A739="","",COUNTIFS(AgPac,$A739,AgStatus,"Faltou"))</f>
        <v>0</v>
      </c>
      <c r="J739" s="22">
        <f>IF($A739="","",SUMPRODUCT(MAX((AgPac=$A739)*(AgStatus="Compareceu")*AgData)))</f>
        <v>0</v>
      </c>
    </row>
    <row r="740" spans="1:10">
      <c r="A740" s="15"/>
      <c r="B740" s="15"/>
      <c r="C740" s="15"/>
      <c r="D740" s="15"/>
      <c r="E740" s="15"/>
      <c r="F740" s="16"/>
      <c r="G740" s="15"/>
      <c r="H740" s="21">
        <f>IF($A740="","",COUNTIFS(AgPac,$A740,AgStatus,"Compareceu"))</f>
        <v>0</v>
      </c>
      <c r="I740" s="21">
        <f>IF($A740="","",COUNTIFS(AgPac,$A740,AgStatus,"Faltou"))</f>
        <v>0</v>
      </c>
      <c r="J740" s="22">
        <f>IF($A740="","",SUMPRODUCT(MAX((AgPac=$A740)*(AgStatus="Compareceu")*AgData)))</f>
        <v>0</v>
      </c>
    </row>
    <row r="741" spans="1:10">
      <c r="A741" s="15"/>
      <c r="B741" s="15"/>
      <c r="C741" s="15"/>
      <c r="D741" s="15"/>
      <c r="E741" s="15"/>
      <c r="F741" s="16"/>
      <c r="G741" s="15"/>
      <c r="H741" s="21">
        <f>IF($A741="","",COUNTIFS(AgPac,$A741,AgStatus,"Compareceu"))</f>
        <v>0</v>
      </c>
      <c r="I741" s="21">
        <f>IF($A741="","",COUNTIFS(AgPac,$A741,AgStatus,"Faltou"))</f>
        <v>0</v>
      </c>
      <c r="J741" s="22">
        <f>IF($A741="","",SUMPRODUCT(MAX((AgPac=$A741)*(AgStatus="Compareceu")*AgData)))</f>
        <v>0</v>
      </c>
    </row>
    <row r="742" spans="1:10">
      <c r="A742" s="15"/>
      <c r="B742" s="15"/>
      <c r="C742" s="15"/>
      <c r="D742" s="15"/>
      <c r="E742" s="15"/>
      <c r="F742" s="16"/>
      <c r="G742" s="15"/>
      <c r="H742" s="21">
        <f>IF($A742="","",COUNTIFS(AgPac,$A742,AgStatus,"Compareceu"))</f>
        <v>0</v>
      </c>
      <c r="I742" s="21">
        <f>IF($A742="","",COUNTIFS(AgPac,$A742,AgStatus,"Faltou"))</f>
        <v>0</v>
      </c>
      <c r="J742" s="22">
        <f>IF($A742="","",SUMPRODUCT(MAX((AgPac=$A742)*(AgStatus="Compareceu")*AgData)))</f>
        <v>0</v>
      </c>
    </row>
    <row r="743" spans="1:10">
      <c r="A743" s="15"/>
      <c r="B743" s="15"/>
      <c r="C743" s="15"/>
      <c r="D743" s="15"/>
      <c r="E743" s="15"/>
      <c r="F743" s="16"/>
      <c r="G743" s="15"/>
      <c r="H743" s="21">
        <f>IF($A743="","",COUNTIFS(AgPac,$A743,AgStatus,"Compareceu"))</f>
        <v>0</v>
      </c>
      <c r="I743" s="21">
        <f>IF($A743="","",COUNTIFS(AgPac,$A743,AgStatus,"Faltou"))</f>
        <v>0</v>
      </c>
      <c r="J743" s="22">
        <f>IF($A743="","",SUMPRODUCT(MAX((AgPac=$A743)*(AgStatus="Compareceu")*AgData)))</f>
        <v>0</v>
      </c>
    </row>
    <row r="744" spans="1:10">
      <c r="A744" s="15"/>
      <c r="B744" s="15"/>
      <c r="C744" s="15"/>
      <c r="D744" s="15"/>
      <c r="E744" s="15"/>
      <c r="F744" s="16"/>
      <c r="G744" s="15"/>
      <c r="H744" s="21">
        <f>IF($A744="","",COUNTIFS(AgPac,$A744,AgStatus,"Compareceu"))</f>
        <v>0</v>
      </c>
      <c r="I744" s="21">
        <f>IF($A744="","",COUNTIFS(AgPac,$A744,AgStatus,"Faltou"))</f>
        <v>0</v>
      </c>
      <c r="J744" s="22">
        <f>IF($A744="","",SUMPRODUCT(MAX((AgPac=$A744)*(AgStatus="Compareceu")*AgData)))</f>
        <v>0</v>
      </c>
    </row>
    <row r="745" spans="1:10">
      <c r="A745" s="15"/>
      <c r="B745" s="15"/>
      <c r="C745" s="15"/>
      <c r="D745" s="15"/>
      <c r="E745" s="15"/>
      <c r="F745" s="16"/>
      <c r="G745" s="15"/>
      <c r="H745" s="21">
        <f>IF($A745="","",COUNTIFS(AgPac,$A745,AgStatus,"Compareceu"))</f>
        <v>0</v>
      </c>
      <c r="I745" s="21">
        <f>IF($A745="","",COUNTIFS(AgPac,$A745,AgStatus,"Faltou"))</f>
        <v>0</v>
      </c>
      <c r="J745" s="22">
        <f>IF($A745="","",SUMPRODUCT(MAX((AgPac=$A745)*(AgStatus="Compareceu")*AgData)))</f>
        <v>0</v>
      </c>
    </row>
    <row r="746" spans="1:10">
      <c r="A746" s="15"/>
      <c r="B746" s="15"/>
      <c r="C746" s="15"/>
      <c r="D746" s="15"/>
      <c r="E746" s="15"/>
      <c r="F746" s="16"/>
      <c r="G746" s="15"/>
      <c r="H746" s="21">
        <f>IF($A746="","",COUNTIFS(AgPac,$A746,AgStatus,"Compareceu"))</f>
        <v>0</v>
      </c>
      <c r="I746" s="21">
        <f>IF($A746="","",COUNTIFS(AgPac,$A746,AgStatus,"Faltou"))</f>
        <v>0</v>
      </c>
      <c r="J746" s="22">
        <f>IF($A746="","",SUMPRODUCT(MAX((AgPac=$A746)*(AgStatus="Compareceu")*AgData)))</f>
        <v>0</v>
      </c>
    </row>
    <row r="747" spans="1:10">
      <c r="A747" s="15"/>
      <c r="B747" s="15"/>
      <c r="C747" s="15"/>
      <c r="D747" s="15"/>
      <c r="E747" s="15"/>
      <c r="F747" s="16"/>
      <c r="G747" s="15"/>
      <c r="H747" s="21">
        <f>IF($A747="","",COUNTIFS(AgPac,$A747,AgStatus,"Compareceu"))</f>
        <v>0</v>
      </c>
      <c r="I747" s="21">
        <f>IF($A747="","",COUNTIFS(AgPac,$A747,AgStatus,"Faltou"))</f>
        <v>0</v>
      </c>
      <c r="J747" s="22">
        <f>IF($A747="","",SUMPRODUCT(MAX((AgPac=$A747)*(AgStatus="Compareceu")*AgData)))</f>
        <v>0</v>
      </c>
    </row>
    <row r="748" spans="1:10">
      <c r="A748" s="15"/>
      <c r="B748" s="15"/>
      <c r="C748" s="15"/>
      <c r="D748" s="15"/>
      <c r="E748" s="15"/>
      <c r="F748" s="16"/>
      <c r="G748" s="15"/>
      <c r="H748" s="21">
        <f>IF($A748="","",COUNTIFS(AgPac,$A748,AgStatus,"Compareceu"))</f>
        <v>0</v>
      </c>
      <c r="I748" s="21">
        <f>IF($A748="","",COUNTIFS(AgPac,$A748,AgStatus,"Faltou"))</f>
        <v>0</v>
      </c>
      <c r="J748" s="22">
        <f>IF($A748="","",SUMPRODUCT(MAX((AgPac=$A748)*(AgStatus="Compareceu")*AgData)))</f>
        <v>0</v>
      </c>
    </row>
    <row r="749" spans="1:10">
      <c r="A749" s="15"/>
      <c r="B749" s="15"/>
      <c r="C749" s="15"/>
      <c r="D749" s="15"/>
      <c r="E749" s="15"/>
      <c r="F749" s="16"/>
      <c r="G749" s="15"/>
      <c r="H749" s="21">
        <f>IF($A749="","",COUNTIFS(AgPac,$A749,AgStatus,"Compareceu"))</f>
        <v>0</v>
      </c>
      <c r="I749" s="21">
        <f>IF($A749="","",COUNTIFS(AgPac,$A749,AgStatus,"Faltou"))</f>
        <v>0</v>
      </c>
      <c r="J749" s="22">
        <f>IF($A749="","",SUMPRODUCT(MAX((AgPac=$A749)*(AgStatus="Compareceu")*AgData)))</f>
        <v>0</v>
      </c>
    </row>
    <row r="750" spans="1:10">
      <c r="A750" s="15"/>
      <c r="B750" s="15"/>
      <c r="C750" s="15"/>
      <c r="D750" s="15"/>
      <c r="E750" s="15"/>
      <c r="F750" s="16"/>
      <c r="G750" s="15"/>
      <c r="H750" s="21">
        <f>IF($A750="","",COUNTIFS(AgPac,$A750,AgStatus,"Compareceu"))</f>
        <v>0</v>
      </c>
      <c r="I750" s="21">
        <f>IF($A750="","",COUNTIFS(AgPac,$A750,AgStatus,"Faltou"))</f>
        <v>0</v>
      </c>
      <c r="J750" s="22">
        <f>IF($A750="","",SUMPRODUCT(MAX((AgPac=$A750)*(AgStatus="Compareceu")*AgData)))</f>
        <v>0</v>
      </c>
    </row>
    <row r="751" spans="1:10">
      <c r="A751" s="15"/>
      <c r="B751" s="15"/>
      <c r="C751" s="15"/>
      <c r="D751" s="15"/>
      <c r="E751" s="15"/>
      <c r="F751" s="16"/>
      <c r="G751" s="15"/>
      <c r="H751" s="21">
        <f>IF($A751="","",COUNTIFS(AgPac,$A751,AgStatus,"Compareceu"))</f>
        <v>0</v>
      </c>
      <c r="I751" s="21">
        <f>IF($A751="","",COUNTIFS(AgPac,$A751,AgStatus,"Faltou"))</f>
        <v>0</v>
      </c>
      <c r="J751" s="22">
        <f>IF($A751="","",SUMPRODUCT(MAX((AgPac=$A751)*(AgStatus="Compareceu")*AgData)))</f>
        <v>0</v>
      </c>
    </row>
    <row r="752" spans="1:10">
      <c r="A752" s="15"/>
      <c r="B752" s="15"/>
      <c r="C752" s="15"/>
      <c r="D752" s="15"/>
      <c r="E752" s="15"/>
      <c r="F752" s="16"/>
      <c r="G752" s="15"/>
      <c r="H752" s="21">
        <f>IF($A752="","",COUNTIFS(AgPac,$A752,AgStatus,"Compareceu"))</f>
        <v>0</v>
      </c>
      <c r="I752" s="21">
        <f>IF($A752="","",COUNTIFS(AgPac,$A752,AgStatus,"Faltou"))</f>
        <v>0</v>
      </c>
      <c r="J752" s="22">
        <f>IF($A752="","",SUMPRODUCT(MAX((AgPac=$A752)*(AgStatus="Compareceu")*AgData)))</f>
        <v>0</v>
      </c>
    </row>
    <row r="753" spans="1:10">
      <c r="A753" s="15"/>
      <c r="B753" s="15"/>
      <c r="C753" s="15"/>
      <c r="D753" s="15"/>
      <c r="E753" s="15"/>
      <c r="F753" s="16"/>
      <c r="G753" s="15"/>
      <c r="H753" s="21">
        <f>IF($A753="","",COUNTIFS(AgPac,$A753,AgStatus,"Compareceu"))</f>
        <v>0</v>
      </c>
      <c r="I753" s="21">
        <f>IF($A753="","",COUNTIFS(AgPac,$A753,AgStatus,"Faltou"))</f>
        <v>0</v>
      </c>
      <c r="J753" s="22">
        <f>IF($A753="","",SUMPRODUCT(MAX((AgPac=$A753)*(AgStatus="Compareceu")*AgData)))</f>
        <v>0</v>
      </c>
    </row>
    <row r="754" spans="1:10">
      <c r="A754" s="15"/>
      <c r="B754" s="15"/>
      <c r="C754" s="15"/>
      <c r="D754" s="15"/>
      <c r="E754" s="15"/>
      <c r="F754" s="16"/>
      <c r="G754" s="15"/>
      <c r="H754" s="21">
        <f>IF($A754="","",COUNTIFS(AgPac,$A754,AgStatus,"Compareceu"))</f>
        <v>0</v>
      </c>
      <c r="I754" s="21">
        <f>IF($A754="","",COUNTIFS(AgPac,$A754,AgStatus,"Faltou"))</f>
        <v>0</v>
      </c>
      <c r="J754" s="22">
        <f>IF($A754="","",SUMPRODUCT(MAX((AgPac=$A754)*(AgStatus="Compareceu")*AgData)))</f>
        <v>0</v>
      </c>
    </row>
    <row r="755" spans="1:10">
      <c r="A755" s="15"/>
      <c r="B755" s="15"/>
      <c r="C755" s="15"/>
      <c r="D755" s="15"/>
      <c r="E755" s="15"/>
      <c r="F755" s="16"/>
      <c r="G755" s="15"/>
      <c r="H755" s="21">
        <f>IF($A755="","",COUNTIFS(AgPac,$A755,AgStatus,"Compareceu"))</f>
        <v>0</v>
      </c>
      <c r="I755" s="21">
        <f>IF($A755="","",COUNTIFS(AgPac,$A755,AgStatus,"Faltou"))</f>
        <v>0</v>
      </c>
      <c r="J755" s="22">
        <f>IF($A755="","",SUMPRODUCT(MAX((AgPac=$A755)*(AgStatus="Compareceu")*AgData)))</f>
        <v>0</v>
      </c>
    </row>
    <row r="756" spans="1:10">
      <c r="A756" s="15"/>
      <c r="B756" s="15"/>
      <c r="C756" s="15"/>
      <c r="D756" s="15"/>
      <c r="E756" s="15"/>
      <c r="F756" s="16"/>
      <c r="G756" s="15"/>
      <c r="H756" s="21">
        <f>IF($A756="","",COUNTIFS(AgPac,$A756,AgStatus,"Compareceu"))</f>
        <v>0</v>
      </c>
      <c r="I756" s="21">
        <f>IF($A756="","",COUNTIFS(AgPac,$A756,AgStatus,"Faltou"))</f>
        <v>0</v>
      </c>
      <c r="J756" s="22">
        <f>IF($A756="","",SUMPRODUCT(MAX((AgPac=$A756)*(AgStatus="Compareceu")*AgData)))</f>
        <v>0</v>
      </c>
    </row>
    <row r="757" spans="1:10">
      <c r="A757" s="15"/>
      <c r="B757" s="15"/>
      <c r="C757" s="15"/>
      <c r="D757" s="15"/>
      <c r="E757" s="15"/>
      <c r="F757" s="16"/>
      <c r="G757" s="15"/>
      <c r="H757" s="21">
        <f>IF($A757="","",COUNTIFS(AgPac,$A757,AgStatus,"Compareceu"))</f>
        <v>0</v>
      </c>
      <c r="I757" s="21">
        <f>IF($A757="","",COUNTIFS(AgPac,$A757,AgStatus,"Faltou"))</f>
        <v>0</v>
      </c>
      <c r="J757" s="22">
        <f>IF($A757="","",SUMPRODUCT(MAX((AgPac=$A757)*(AgStatus="Compareceu")*AgData)))</f>
        <v>0</v>
      </c>
    </row>
    <row r="758" spans="1:10">
      <c r="A758" s="15"/>
      <c r="B758" s="15"/>
      <c r="C758" s="15"/>
      <c r="D758" s="15"/>
      <c r="E758" s="15"/>
      <c r="F758" s="16"/>
      <c r="G758" s="15"/>
      <c r="H758" s="21">
        <f>IF($A758="","",COUNTIFS(AgPac,$A758,AgStatus,"Compareceu"))</f>
        <v>0</v>
      </c>
      <c r="I758" s="21">
        <f>IF($A758="","",COUNTIFS(AgPac,$A758,AgStatus,"Faltou"))</f>
        <v>0</v>
      </c>
      <c r="J758" s="22">
        <f>IF($A758="","",SUMPRODUCT(MAX((AgPac=$A758)*(AgStatus="Compareceu")*AgData)))</f>
        <v>0</v>
      </c>
    </row>
    <row r="759" spans="1:10">
      <c r="A759" s="15"/>
      <c r="B759" s="15"/>
      <c r="C759" s="15"/>
      <c r="D759" s="15"/>
      <c r="E759" s="15"/>
      <c r="F759" s="16"/>
      <c r="G759" s="15"/>
      <c r="H759" s="21">
        <f>IF($A759="","",COUNTIFS(AgPac,$A759,AgStatus,"Compareceu"))</f>
        <v>0</v>
      </c>
      <c r="I759" s="21">
        <f>IF($A759="","",COUNTIFS(AgPac,$A759,AgStatus,"Faltou"))</f>
        <v>0</v>
      </c>
      <c r="J759" s="22">
        <f>IF($A759="","",SUMPRODUCT(MAX((AgPac=$A759)*(AgStatus="Compareceu")*AgData)))</f>
        <v>0</v>
      </c>
    </row>
    <row r="760" spans="1:10">
      <c r="A760" s="15"/>
      <c r="B760" s="15"/>
      <c r="C760" s="15"/>
      <c r="D760" s="15"/>
      <c r="E760" s="15"/>
      <c r="F760" s="16"/>
      <c r="G760" s="15"/>
      <c r="H760" s="21">
        <f>IF($A760="","",COUNTIFS(AgPac,$A760,AgStatus,"Compareceu"))</f>
        <v>0</v>
      </c>
      <c r="I760" s="21">
        <f>IF($A760="","",COUNTIFS(AgPac,$A760,AgStatus,"Faltou"))</f>
        <v>0</v>
      </c>
      <c r="J760" s="22">
        <f>IF($A760="","",SUMPRODUCT(MAX((AgPac=$A760)*(AgStatus="Compareceu")*AgData)))</f>
        <v>0</v>
      </c>
    </row>
    <row r="761" spans="1:10">
      <c r="A761" s="15"/>
      <c r="B761" s="15"/>
      <c r="C761" s="15"/>
      <c r="D761" s="15"/>
      <c r="E761" s="15"/>
      <c r="F761" s="16"/>
      <c r="G761" s="15"/>
      <c r="H761" s="21">
        <f>IF($A761="","",COUNTIFS(AgPac,$A761,AgStatus,"Compareceu"))</f>
        <v>0</v>
      </c>
      <c r="I761" s="21">
        <f>IF($A761="","",COUNTIFS(AgPac,$A761,AgStatus,"Faltou"))</f>
        <v>0</v>
      </c>
      <c r="J761" s="22">
        <f>IF($A761="","",SUMPRODUCT(MAX((AgPac=$A761)*(AgStatus="Compareceu")*AgData)))</f>
        <v>0</v>
      </c>
    </row>
    <row r="762" spans="1:10">
      <c r="A762" s="15"/>
      <c r="B762" s="15"/>
      <c r="C762" s="15"/>
      <c r="D762" s="15"/>
      <c r="E762" s="15"/>
      <c r="F762" s="16"/>
      <c r="G762" s="15"/>
      <c r="H762" s="21">
        <f>IF($A762="","",COUNTIFS(AgPac,$A762,AgStatus,"Compareceu"))</f>
        <v>0</v>
      </c>
      <c r="I762" s="21">
        <f>IF($A762="","",COUNTIFS(AgPac,$A762,AgStatus,"Faltou"))</f>
        <v>0</v>
      </c>
      <c r="J762" s="22">
        <f>IF($A762="","",SUMPRODUCT(MAX((AgPac=$A762)*(AgStatus="Compareceu")*AgData)))</f>
        <v>0</v>
      </c>
    </row>
    <row r="763" spans="1:10">
      <c r="A763" s="15"/>
      <c r="B763" s="15"/>
      <c r="C763" s="15"/>
      <c r="D763" s="15"/>
      <c r="E763" s="15"/>
      <c r="F763" s="16"/>
      <c r="G763" s="15"/>
      <c r="H763" s="21">
        <f>IF($A763="","",COUNTIFS(AgPac,$A763,AgStatus,"Compareceu"))</f>
        <v>0</v>
      </c>
      <c r="I763" s="21">
        <f>IF($A763="","",COUNTIFS(AgPac,$A763,AgStatus,"Faltou"))</f>
        <v>0</v>
      </c>
      <c r="J763" s="22">
        <f>IF($A763="","",SUMPRODUCT(MAX((AgPac=$A763)*(AgStatus="Compareceu")*AgData)))</f>
        <v>0</v>
      </c>
    </row>
    <row r="764" spans="1:10">
      <c r="A764" s="15"/>
      <c r="B764" s="15"/>
      <c r="C764" s="15"/>
      <c r="D764" s="15"/>
      <c r="E764" s="15"/>
      <c r="F764" s="16"/>
      <c r="G764" s="15"/>
      <c r="H764" s="21">
        <f>IF($A764="","",COUNTIFS(AgPac,$A764,AgStatus,"Compareceu"))</f>
        <v>0</v>
      </c>
      <c r="I764" s="21">
        <f>IF($A764="","",COUNTIFS(AgPac,$A764,AgStatus,"Faltou"))</f>
        <v>0</v>
      </c>
      <c r="J764" s="22">
        <f>IF($A764="","",SUMPRODUCT(MAX((AgPac=$A764)*(AgStatus="Compareceu")*AgData)))</f>
        <v>0</v>
      </c>
    </row>
    <row r="765" spans="1:10">
      <c r="A765" s="15"/>
      <c r="B765" s="15"/>
      <c r="C765" s="15"/>
      <c r="D765" s="15"/>
      <c r="E765" s="15"/>
      <c r="F765" s="16"/>
      <c r="G765" s="15"/>
      <c r="H765" s="21">
        <f>IF($A765="","",COUNTIFS(AgPac,$A765,AgStatus,"Compareceu"))</f>
        <v>0</v>
      </c>
      <c r="I765" s="21">
        <f>IF($A765="","",COUNTIFS(AgPac,$A765,AgStatus,"Faltou"))</f>
        <v>0</v>
      </c>
      <c r="J765" s="22">
        <f>IF($A765="","",SUMPRODUCT(MAX((AgPac=$A765)*(AgStatus="Compareceu")*AgData)))</f>
        <v>0</v>
      </c>
    </row>
    <row r="766" spans="1:10">
      <c r="A766" s="15"/>
      <c r="B766" s="15"/>
      <c r="C766" s="15"/>
      <c r="D766" s="15"/>
      <c r="E766" s="15"/>
      <c r="F766" s="16"/>
      <c r="G766" s="15"/>
      <c r="H766" s="21">
        <f>IF($A766="","",COUNTIFS(AgPac,$A766,AgStatus,"Compareceu"))</f>
        <v>0</v>
      </c>
      <c r="I766" s="21">
        <f>IF($A766="","",COUNTIFS(AgPac,$A766,AgStatus,"Faltou"))</f>
        <v>0</v>
      </c>
      <c r="J766" s="22">
        <f>IF($A766="","",SUMPRODUCT(MAX((AgPac=$A766)*(AgStatus="Compareceu")*AgData)))</f>
        <v>0</v>
      </c>
    </row>
    <row r="767" spans="1:10">
      <c r="A767" s="15"/>
      <c r="B767" s="15"/>
      <c r="C767" s="15"/>
      <c r="D767" s="15"/>
      <c r="E767" s="15"/>
      <c r="F767" s="16"/>
      <c r="G767" s="15"/>
      <c r="H767" s="21">
        <f>IF($A767="","",COUNTIFS(AgPac,$A767,AgStatus,"Compareceu"))</f>
        <v>0</v>
      </c>
      <c r="I767" s="21">
        <f>IF($A767="","",COUNTIFS(AgPac,$A767,AgStatus,"Faltou"))</f>
        <v>0</v>
      </c>
      <c r="J767" s="22">
        <f>IF($A767="","",SUMPRODUCT(MAX((AgPac=$A767)*(AgStatus="Compareceu")*AgData)))</f>
        <v>0</v>
      </c>
    </row>
    <row r="768" spans="1:10">
      <c r="A768" s="15"/>
      <c r="B768" s="15"/>
      <c r="C768" s="15"/>
      <c r="D768" s="15"/>
      <c r="E768" s="15"/>
      <c r="F768" s="16"/>
      <c r="G768" s="15"/>
      <c r="H768" s="21">
        <f>IF($A768="","",COUNTIFS(AgPac,$A768,AgStatus,"Compareceu"))</f>
        <v>0</v>
      </c>
      <c r="I768" s="21">
        <f>IF($A768="","",COUNTIFS(AgPac,$A768,AgStatus,"Faltou"))</f>
        <v>0</v>
      </c>
      <c r="J768" s="22">
        <f>IF($A768="","",SUMPRODUCT(MAX((AgPac=$A768)*(AgStatus="Compareceu")*AgData)))</f>
        <v>0</v>
      </c>
    </row>
    <row r="769" spans="1:10">
      <c r="A769" s="15"/>
      <c r="B769" s="15"/>
      <c r="C769" s="15"/>
      <c r="D769" s="15"/>
      <c r="E769" s="15"/>
      <c r="F769" s="16"/>
      <c r="G769" s="15"/>
      <c r="H769" s="21">
        <f>IF($A769="","",COUNTIFS(AgPac,$A769,AgStatus,"Compareceu"))</f>
        <v>0</v>
      </c>
      <c r="I769" s="21">
        <f>IF($A769="","",COUNTIFS(AgPac,$A769,AgStatus,"Faltou"))</f>
        <v>0</v>
      </c>
      <c r="J769" s="22">
        <f>IF($A769="","",SUMPRODUCT(MAX((AgPac=$A769)*(AgStatus="Compareceu")*AgData)))</f>
        <v>0</v>
      </c>
    </row>
    <row r="770" spans="1:10">
      <c r="A770" s="15"/>
      <c r="B770" s="15"/>
      <c r="C770" s="15"/>
      <c r="D770" s="15"/>
      <c r="E770" s="15"/>
      <c r="F770" s="16"/>
      <c r="G770" s="15"/>
      <c r="H770" s="21">
        <f>IF($A770="","",COUNTIFS(AgPac,$A770,AgStatus,"Compareceu"))</f>
        <v>0</v>
      </c>
      <c r="I770" s="21">
        <f>IF($A770="","",COUNTIFS(AgPac,$A770,AgStatus,"Faltou"))</f>
        <v>0</v>
      </c>
      <c r="J770" s="22">
        <f>IF($A770="","",SUMPRODUCT(MAX((AgPac=$A770)*(AgStatus="Compareceu")*AgData)))</f>
        <v>0</v>
      </c>
    </row>
    <row r="771" spans="1:10">
      <c r="A771" s="15"/>
      <c r="B771" s="15"/>
      <c r="C771" s="15"/>
      <c r="D771" s="15"/>
      <c r="E771" s="15"/>
      <c r="F771" s="16"/>
      <c r="G771" s="15"/>
      <c r="H771" s="21">
        <f>IF($A771="","",COUNTIFS(AgPac,$A771,AgStatus,"Compareceu"))</f>
        <v>0</v>
      </c>
      <c r="I771" s="21">
        <f>IF($A771="","",COUNTIFS(AgPac,$A771,AgStatus,"Faltou"))</f>
        <v>0</v>
      </c>
      <c r="J771" s="22">
        <f>IF($A771="","",SUMPRODUCT(MAX((AgPac=$A771)*(AgStatus="Compareceu")*AgData)))</f>
        <v>0</v>
      </c>
    </row>
    <row r="772" spans="1:10">
      <c r="A772" s="15"/>
      <c r="B772" s="15"/>
      <c r="C772" s="15"/>
      <c r="D772" s="15"/>
      <c r="E772" s="15"/>
      <c r="F772" s="16"/>
      <c r="G772" s="15"/>
      <c r="H772" s="21">
        <f>IF($A772="","",COUNTIFS(AgPac,$A772,AgStatus,"Compareceu"))</f>
        <v>0</v>
      </c>
      <c r="I772" s="21">
        <f>IF($A772="","",COUNTIFS(AgPac,$A772,AgStatus,"Faltou"))</f>
        <v>0</v>
      </c>
      <c r="J772" s="22">
        <f>IF($A772="","",SUMPRODUCT(MAX((AgPac=$A772)*(AgStatus="Compareceu")*AgData)))</f>
        <v>0</v>
      </c>
    </row>
    <row r="773" spans="1:10">
      <c r="A773" s="15"/>
      <c r="B773" s="15"/>
      <c r="C773" s="15"/>
      <c r="D773" s="15"/>
      <c r="E773" s="15"/>
      <c r="F773" s="16"/>
      <c r="G773" s="15"/>
      <c r="H773" s="21">
        <f>IF($A773="","",COUNTIFS(AgPac,$A773,AgStatus,"Compareceu"))</f>
        <v>0</v>
      </c>
      <c r="I773" s="21">
        <f>IF($A773="","",COUNTIFS(AgPac,$A773,AgStatus,"Faltou"))</f>
        <v>0</v>
      </c>
      <c r="J773" s="22">
        <f>IF($A773="","",SUMPRODUCT(MAX((AgPac=$A773)*(AgStatus="Compareceu")*AgData)))</f>
        <v>0</v>
      </c>
    </row>
    <row r="774" spans="1:10">
      <c r="A774" s="15"/>
      <c r="B774" s="15"/>
      <c r="C774" s="15"/>
      <c r="D774" s="15"/>
      <c r="E774" s="15"/>
      <c r="F774" s="16"/>
      <c r="G774" s="15"/>
      <c r="H774" s="21">
        <f>IF($A774="","",COUNTIFS(AgPac,$A774,AgStatus,"Compareceu"))</f>
        <v>0</v>
      </c>
      <c r="I774" s="21">
        <f>IF($A774="","",COUNTIFS(AgPac,$A774,AgStatus,"Faltou"))</f>
        <v>0</v>
      </c>
      <c r="J774" s="22">
        <f>IF($A774="","",SUMPRODUCT(MAX((AgPac=$A774)*(AgStatus="Compareceu")*AgData)))</f>
        <v>0</v>
      </c>
    </row>
    <row r="775" spans="1:10">
      <c r="A775" s="15"/>
      <c r="B775" s="15"/>
      <c r="C775" s="15"/>
      <c r="D775" s="15"/>
      <c r="E775" s="15"/>
      <c r="F775" s="16"/>
      <c r="G775" s="15"/>
      <c r="H775" s="21">
        <f>IF($A775="","",COUNTIFS(AgPac,$A775,AgStatus,"Compareceu"))</f>
        <v>0</v>
      </c>
      <c r="I775" s="21">
        <f>IF($A775="","",COUNTIFS(AgPac,$A775,AgStatus,"Faltou"))</f>
        <v>0</v>
      </c>
      <c r="J775" s="22">
        <f>IF($A775="","",SUMPRODUCT(MAX((AgPac=$A775)*(AgStatus="Compareceu")*AgData)))</f>
        <v>0</v>
      </c>
    </row>
    <row r="776" spans="1:10">
      <c r="A776" s="15"/>
      <c r="B776" s="15"/>
      <c r="C776" s="15"/>
      <c r="D776" s="15"/>
      <c r="E776" s="15"/>
      <c r="F776" s="16"/>
      <c r="G776" s="15"/>
      <c r="H776" s="21">
        <f>IF($A776="","",COUNTIFS(AgPac,$A776,AgStatus,"Compareceu"))</f>
        <v>0</v>
      </c>
      <c r="I776" s="21">
        <f>IF($A776="","",COUNTIFS(AgPac,$A776,AgStatus,"Faltou"))</f>
        <v>0</v>
      </c>
      <c r="J776" s="22">
        <f>IF($A776="","",SUMPRODUCT(MAX((AgPac=$A776)*(AgStatus="Compareceu")*AgData)))</f>
        <v>0</v>
      </c>
    </row>
    <row r="777" spans="1:10">
      <c r="A777" s="15"/>
      <c r="B777" s="15"/>
      <c r="C777" s="15"/>
      <c r="D777" s="15"/>
      <c r="E777" s="15"/>
      <c r="F777" s="16"/>
      <c r="G777" s="15"/>
      <c r="H777" s="21">
        <f>IF($A777="","",COUNTIFS(AgPac,$A777,AgStatus,"Compareceu"))</f>
        <v>0</v>
      </c>
      <c r="I777" s="21">
        <f>IF($A777="","",COUNTIFS(AgPac,$A777,AgStatus,"Faltou"))</f>
        <v>0</v>
      </c>
      <c r="J777" s="22">
        <f>IF($A777="","",SUMPRODUCT(MAX((AgPac=$A777)*(AgStatus="Compareceu")*AgData)))</f>
        <v>0</v>
      </c>
    </row>
    <row r="778" spans="1:10">
      <c r="A778" s="15"/>
      <c r="B778" s="15"/>
      <c r="C778" s="15"/>
      <c r="D778" s="15"/>
      <c r="E778" s="15"/>
      <c r="F778" s="16"/>
      <c r="G778" s="15"/>
      <c r="H778" s="21">
        <f>IF($A778="","",COUNTIFS(AgPac,$A778,AgStatus,"Compareceu"))</f>
        <v>0</v>
      </c>
      <c r="I778" s="21">
        <f>IF($A778="","",COUNTIFS(AgPac,$A778,AgStatus,"Faltou"))</f>
        <v>0</v>
      </c>
      <c r="J778" s="22">
        <f>IF($A778="","",SUMPRODUCT(MAX((AgPac=$A778)*(AgStatus="Compareceu")*AgData)))</f>
        <v>0</v>
      </c>
    </row>
    <row r="779" spans="1:10">
      <c r="A779" s="15"/>
      <c r="B779" s="15"/>
      <c r="C779" s="15"/>
      <c r="D779" s="15"/>
      <c r="E779" s="15"/>
      <c r="F779" s="16"/>
      <c r="G779" s="15"/>
      <c r="H779" s="21">
        <f>IF($A779="","",COUNTIFS(AgPac,$A779,AgStatus,"Compareceu"))</f>
        <v>0</v>
      </c>
      <c r="I779" s="21">
        <f>IF($A779="","",COUNTIFS(AgPac,$A779,AgStatus,"Faltou"))</f>
        <v>0</v>
      </c>
      <c r="J779" s="22">
        <f>IF($A779="","",SUMPRODUCT(MAX((AgPac=$A779)*(AgStatus="Compareceu")*AgData)))</f>
        <v>0</v>
      </c>
    </row>
    <row r="780" spans="1:10">
      <c r="A780" s="15"/>
      <c r="B780" s="15"/>
      <c r="C780" s="15"/>
      <c r="D780" s="15"/>
      <c r="E780" s="15"/>
      <c r="F780" s="16"/>
      <c r="G780" s="15"/>
      <c r="H780" s="21">
        <f>IF($A780="","",COUNTIFS(AgPac,$A780,AgStatus,"Compareceu"))</f>
        <v>0</v>
      </c>
      <c r="I780" s="21">
        <f>IF($A780="","",COUNTIFS(AgPac,$A780,AgStatus,"Faltou"))</f>
        <v>0</v>
      </c>
      <c r="J780" s="22">
        <f>IF($A780="","",SUMPRODUCT(MAX((AgPac=$A780)*(AgStatus="Compareceu")*AgData)))</f>
        <v>0</v>
      </c>
    </row>
    <row r="781" spans="1:10">
      <c r="A781" s="15"/>
      <c r="B781" s="15"/>
      <c r="C781" s="15"/>
      <c r="D781" s="15"/>
      <c r="E781" s="15"/>
      <c r="F781" s="16"/>
      <c r="G781" s="15"/>
      <c r="H781" s="21">
        <f>IF($A781="","",COUNTIFS(AgPac,$A781,AgStatus,"Compareceu"))</f>
        <v>0</v>
      </c>
      <c r="I781" s="21">
        <f>IF($A781="","",COUNTIFS(AgPac,$A781,AgStatus,"Faltou"))</f>
        <v>0</v>
      </c>
      <c r="J781" s="22">
        <f>IF($A781="","",SUMPRODUCT(MAX((AgPac=$A781)*(AgStatus="Compareceu")*AgData)))</f>
        <v>0</v>
      </c>
    </row>
    <row r="782" spans="1:10">
      <c r="A782" s="15"/>
      <c r="B782" s="15"/>
      <c r="C782" s="15"/>
      <c r="D782" s="15"/>
      <c r="E782" s="15"/>
      <c r="F782" s="16"/>
      <c r="G782" s="15"/>
      <c r="H782" s="21">
        <f>IF($A782="","",COUNTIFS(AgPac,$A782,AgStatus,"Compareceu"))</f>
        <v>0</v>
      </c>
      <c r="I782" s="21">
        <f>IF($A782="","",COUNTIFS(AgPac,$A782,AgStatus,"Faltou"))</f>
        <v>0</v>
      </c>
      <c r="J782" s="22">
        <f>IF($A782="","",SUMPRODUCT(MAX((AgPac=$A782)*(AgStatus="Compareceu")*AgData)))</f>
        <v>0</v>
      </c>
    </row>
    <row r="783" spans="1:10">
      <c r="A783" s="15"/>
      <c r="B783" s="15"/>
      <c r="C783" s="15"/>
      <c r="D783" s="15"/>
      <c r="E783" s="15"/>
      <c r="F783" s="16"/>
      <c r="G783" s="15"/>
      <c r="H783" s="21">
        <f>IF($A783="","",COUNTIFS(AgPac,$A783,AgStatus,"Compareceu"))</f>
        <v>0</v>
      </c>
      <c r="I783" s="21">
        <f>IF($A783="","",COUNTIFS(AgPac,$A783,AgStatus,"Faltou"))</f>
        <v>0</v>
      </c>
      <c r="J783" s="22">
        <f>IF($A783="","",SUMPRODUCT(MAX((AgPac=$A783)*(AgStatus="Compareceu")*AgData)))</f>
        <v>0</v>
      </c>
    </row>
    <row r="784" spans="1:10">
      <c r="A784" s="15"/>
      <c r="B784" s="15"/>
      <c r="C784" s="15"/>
      <c r="D784" s="15"/>
      <c r="E784" s="15"/>
      <c r="F784" s="16"/>
      <c r="G784" s="15"/>
      <c r="H784" s="21">
        <f>IF($A784="","",COUNTIFS(AgPac,$A784,AgStatus,"Compareceu"))</f>
        <v>0</v>
      </c>
      <c r="I784" s="21">
        <f>IF($A784="","",COUNTIFS(AgPac,$A784,AgStatus,"Faltou"))</f>
        <v>0</v>
      </c>
      <c r="J784" s="22">
        <f>IF($A784="","",SUMPRODUCT(MAX((AgPac=$A784)*(AgStatus="Compareceu")*AgData)))</f>
        <v>0</v>
      </c>
    </row>
    <row r="785" spans="1:10">
      <c r="A785" s="15"/>
      <c r="B785" s="15"/>
      <c r="C785" s="15"/>
      <c r="D785" s="15"/>
      <c r="E785" s="15"/>
      <c r="F785" s="16"/>
      <c r="G785" s="15"/>
      <c r="H785" s="21">
        <f>IF($A785="","",COUNTIFS(AgPac,$A785,AgStatus,"Compareceu"))</f>
        <v>0</v>
      </c>
      <c r="I785" s="21">
        <f>IF($A785="","",COUNTIFS(AgPac,$A785,AgStatus,"Faltou"))</f>
        <v>0</v>
      </c>
      <c r="J785" s="22">
        <f>IF($A785="","",SUMPRODUCT(MAX((AgPac=$A785)*(AgStatus="Compareceu")*AgData)))</f>
        <v>0</v>
      </c>
    </row>
    <row r="786" spans="1:10">
      <c r="A786" s="15"/>
      <c r="B786" s="15"/>
      <c r="C786" s="15"/>
      <c r="D786" s="15"/>
      <c r="E786" s="15"/>
      <c r="F786" s="16"/>
      <c r="G786" s="15"/>
      <c r="H786" s="21">
        <f>IF($A786="","",COUNTIFS(AgPac,$A786,AgStatus,"Compareceu"))</f>
        <v>0</v>
      </c>
      <c r="I786" s="21">
        <f>IF($A786="","",COUNTIFS(AgPac,$A786,AgStatus,"Faltou"))</f>
        <v>0</v>
      </c>
      <c r="J786" s="22">
        <f>IF($A786="","",SUMPRODUCT(MAX((AgPac=$A786)*(AgStatus="Compareceu")*AgData)))</f>
        <v>0</v>
      </c>
    </row>
    <row r="787" spans="1:10">
      <c r="A787" s="15"/>
      <c r="B787" s="15"/>
      <c r="C787" s="15"/>
      <c r="D787" s="15"/>
      <c r="E787" s="15"/>
      <c r="F787" s="16"/>
      <c r="G787" s="15"/>
      <c r="H787" s="21">
        <f>IF($A787="","",COUNTIFS(AgPac,$A787,AgStatus,"Compareceu"))</f>
        <v>0</v>
      </c>
      <c r="I787" s="21">
        <f>IF($A787="","",COUNTIFS(AgPac,$A787,AgStatus,"Faltou"))</f>
        <v>0</v>
      </c>
      <c r="J787" s="22">
        <f>IF($A787="","",SUMPRODUCT(MAX((AgPac=$A787)*(AgStatus="Compareceu")*AgData)))</f>
        <v>0</v>
      </c>
    </row>
    <row r="788" spans="1:10">
      <c r="A788" s="15"/>
      <c r="B788" s="15"/>
      <c r="C788" s="15"/>
      <c r="D788" s="15"/>
      <c r="E788" s="15"/>
      <c r="F788" s="16"/>
      <c r="G788" s="15"/>
      <c r="H788" s="21">
        <f>IF($A788="","",COUNTIFS(AgPac,$A788,AgStatus,"Compareceu"))</f>
        <v>0</v>
      </c>
      <c r="I788" s="21">
        <f>IF($A788="","",COUNTIFS(AgPac,$A788,AgStatus,"Faltou"))</f>
        <v>0</v>
      </c>
      <c r="J788" s="22">
        <f>IF($A788="","",SUMPRODUCT(MAX((AgPac=$A788)*(AgStatus="Compareceu")*AgData)))</f>
        <v>0</v>
      </c>
    </row>
    <row r="789" spans="1:10">
      <c r="A789" s="15"/>
      <c r="B789" s="15"/>
      <c r="C789" s="15"/>
      <c r="D789" s="15"/>
      <c r="E789" s="15"/>
      <c r="F789" s="16"/>
      <c r="G789" s="15"/>
      <c r="H789" s="21">
        <f>IF($A789="","",COUNTIFS(AgPac,$A789,AgStatus,"Compareceu"))</f>
        <v>0</v>
      </c>
      <c r="I789" s="21">
        <f>IF($A789="","",COUNTIFS(AgPac,$A789,AgStatus,"Faltou"))</f>
        <v>0</v>
      </c>
      <c r="J789" s="22">
        <f>IF($A789="","",SUMPRODUCT(MAX((AgPac=$A789)*(AgStatus="Compareceu")*AgData)))</f>
        <v>0</v>
      </c>
    </row>
    <row r="790" spans="1:10">
      <c r="A790" s="15"/>
      <c r="B790" s="15"/>
      <c r="C790" s="15"/>
      <c r="D790" s="15"/>
      <c r="E790" s="15"/>
      <c r="F790" s="16"/>
      <c r="G790" s="15"/>
      <c r="H790" s="21">
        <f>IF($A790="","",COUNTIFS(AgPac,$A790,AgStatus,"Compareceu"))</f>
        <v>0</v>
      </c>
      <c r="I790" s="21">
        <f>IF($A790="","",COUNTIFS(AgPac,$A790,AgStatus,"Faltou"))</f>
        <v>0</v>
      </c>
      <c r="J790" s="22">
        <f>IF($A790="","",SUMPRODUCT(MAX((AgPac=$A790)*(AgStatus="Compareceu")*AgData)))</f>
        <v>0</v>
      </c>
    </row>
    <row r="791" spans="1:10">
      <c r="A791" s="15"/>
      <c r="B791" s="15"/>
      <c r="C791" s="15"/>
      <c r="D791" s="15"/>
      <c r="E791" s="15"/>
      <c r="F791" s="16"/>
      <c r="G791" s="15"/>
      <c r="H791" s="21">
        <f>IF($A791="","",COUNTIFS(AgPac,$A791,AgStatus,"Compareceu"))</f>
        <v>0</v>
      </c>
      <c r="I791" s="21">
        <f>IF($A791="","",COUNTIFS(AgPac,$A791,AgStatus,"Faltou"))</f>
        <v>0</v>
      </c>
      <c r="J791" s="22">
        <f>IF($A791="","",SUMPRODUCT(MAX((AgPac=$A791)*(AgStatus="Compareceu")*AgData)))</f>
        <v>0</v>
      </c>
    </row>
    <row r="792" spans="1:10">
      <c r="A792" s="15"/>
      <c r="B792" s="15"/>
      <c r="C792" s="15"/>
      <c r="D792" s="15"/>
      <c r="E792" s="15"/>
      <c r="F792" s="16"/>
      <c r="G792" s="15"/>
      <c r="H792" s="21">
        <f>IF($A792="","",COUNTIFS(AgPac,$A792,AgStatus,"Compareceu"))</f>
        <v>0</v>
      </c>
      <c r="I792" s="21">
        <f>IF($A792="","",COUNTIFS(AgPac,$A792,AgStatus,"Faltou"))</f>
        <v>0</v>
      </c>
      <c r="J792" s="22">
        <f>IF($A792="","",SUMPRODUCT(MAX((AgPac=$A792)*(AgStatus="Compareceu")*AgData)))</f>
        <v>0</v>
      </c>
    </row>
    <row r="793" spans="1:10">
      <c r="A793" s="15"/>
      <c r="B793" s="15"/>
      <c r="C793" s="15"/>
      <c r="D793" s="15"/>
      <c r="E793" s="15"/>
      <c r="F793" s="16"/>
      <c r="G793" s="15"/>
      <c r="H793" s="21">
        <f>IF($A793="","",COUNTIFS(AgPac,$A793,AgStatus,"Compareceu"))</f>
        <v>0</v>
      </c>
      <c r="I793" s="21">
        <f>IF($A793="","",COUNTIFS(AgPac,$A793,AgStatus,"Faltou"))</f>
        <v>0</v>
      </c>
      <c r="J793" s="22">
        <f>IF($A793="","",SUMPRODUCT(MAX((AgPac=$A793)*(AgStatus="Compareceu")*AgData)))</f>
        <v>0</v>
      </c>
    </row>
    <row r="794" spans="1:10">
      <c r="A794" s="15"/>
      <c r="B794" s="15"/>
      <c r="C794" s="15"/>
      <c r="D794" s="15"/>
      <c r="E794" s="15"/>
      <c r="F794" s="16"/>
      <c r="G794" s="15"/>
      <c r="H794" s="21">
        <f>IF($A794="","",COUNTIFS(AgPac,$A794,AgStatus,"Compareceu"))</f>
        <v>0</v>
      </c>
      <c r="I794" s="21">
        <f>IF($A794="","",COUNTIFS(AgPac,$A794,AgStatus,"Faltou"))</f>
        <v>0</v>
      </c>
      <c r="J794" s="22">
        <f>IF($A794="","",SUMPRODUCT(MAX((AgPac=$A794)*(AgStatus="Compareceu")*AgData)))</f>
        <v>0</v>
      </c>
    </row>
    <row r="795" spans="1:10">
      <c r="A795" s="15"/>
      <c r="B795" s="15"/>
      <c r="C795" s="15"/>
      <c r="D795" s="15"/>
      <c r="E795" s="15"/>
      <c r="F795" s="16"/>
      <c r="G795" s="15"/>
      <c r="H795" s="21">
        <f>IF($A795="","",COUNTIFS(AgPac,$A795,AgStatus,"Compareceu"))</f>
        <v>0</v>
      </c>
      <c r="I795" s="21">
        <f>IF($A795="","",COUNTIFS(AgPac,$A795,AgStatus,"Faltou"))</f>
        <v>0</v>
      </c>
      <c r="J795" s="22">
        <f>IF($A795="","",SUMPRODUCT(MAX((AgPac=$A795)*(AgStatus="Compareceu")*AgData)))</f>
        <v>0</v>
      </c>
    </row>
    <row r="796" spans="1:10">
      <c r="A796" s="15"/>
      <c r="B796" s="15"/>
      <c r="C796" s="15"/>
      <c r="D796" s="15"/>
      <c r="E796" s="15"/>
      <c r="F796" s="16"/>
      <c r="G796" s="15"/>
      <c r="H796" s="21">
        <f>IF($A796="","",COUNTIFS(AgPac,$A796,AgStatus,"Compareceu"))</f>
        <v>0</v>
      </c>
      <c r="I796" s="21">
        <f>IF($A796="","",COUNTIFS(AgPac,$A796,AgStatus,"Faltou"))</f>
        <v>0</v>
      </c>
      <c r="J796" s="22">
        <f>IF($A796="","",SUMPRODUCT(MAX((AgPac=$A796)*(AgStatus="Compareceu")*AgData)))</f>
        <v>0</v>
      </c>
    </row>
    <row r="797" spans="1:10">
      <c r="A797" s="15"/>
      <c r="B797" s="15"/>
      <c r="C797" s="15"/>
      <c r="D797" s="15"/>
      <c r="E797" s="15"/>
      <c r="F797" s="16"/>
      <c r="G797" s="15"/>
      <c r="H797" s="21">
        <f>IF($A797="","",COUNTIFS(AgPac,$A797,AgStatus,"Compareceu"))</f>
        <v>0</v>
      </c>
      <c r="I797" s="21">
        <f>IF($A797="","",COUNTIFS(AgPac,$A797,AgStatus,"Faltou"))</f>
        <v>0</v>
      </c>
      <c r="J797" s="22">
        <f>IF($A797="","",SUMPRODUCT(MAX((AgPac=$A797)*(AgStatus="Compareceu")*AgData)))</f>
        <v>0</v>
      </c>
    </row>
    <row r="798" spans="1:10">
      <c r="A798" s="15"/>
      <c r="B798" s="15"/>
      <c r="C798" s="15"/>
      <c r="D798" s="15"/>
      <c r="E798" s="15"/>
      <c r="F798" s="16"/>
      <c r="G798" s="15"/>
      <c r="H798" s="21">
        <f>IF($A798="","",COUNTIFS(AgPac,$A798,AgStatus,"Compareceu"))</f>
        <v>0</v>
      </c>
      <c r="I798" s="21">
        <f>IF($A798="","",COUNTIFS(AgPac,$A798,AgStatus,"Faltou"))</f>
        <v>0</v>
      </c>
      <c r="J798" s="22">
        <f>IF($A798="","",SUMPRODUCT(MAX((AgPac=$A798)*(AgStatus="Compareceu")*AgData)))</f>
        <v>0</v>
      </c>
    </row>
    <row r="799" spans="1:10">
      <c r="A799" s="15"/>
      <c r="B799" s="15"/>
      <c r="C799" s="15"/>
      <c r="D799" s="15"/>
      <c r="E799" s="15"/>
      <c r="F799" s="16"/>
      <c r="G799" s="15"/>
      <c r="H799" s="21">
        <f>IF($A799="","",COUNTIFS(AgPac,$A799,AgStatus,"Compareceu"))</f>
        <v>0</v>
      </c>
      <c r="I799" s="21">
        <f>IF($A799="","",COUNTIFS(AgPac,$A799,AgStatus,"Faltou"))</f>
        <v>0</v>
      </c>
      <c r="J799" s="22">
        <f>IF($A799="","",SUMPRODUCT(MAX((AgPac=$A799)*(AgStatus="Compareceu")*AgData)))</f>
        <v>0</v>
      </c>
    </row>
    <row r="800" spans="1:10">
      <c r="A800" s="15"/>
      <c r="B800" s="15"/>
      <c r="C800" s="15"/>
      <c r="D800" s="15"/>
      <c r="E800" s="15"/>
      <c r="F800" s="16"/>
      <c r="G800" s="15"/>
      <c r="H800" s="21">
        <f>IF($A800="","",COUNTIFS(AgPac,$A800,AgStatus,"Compareceu"))</f>
        <v>0</v>
      </c>
      <c r="I800" s="21">
        <f>IF($A800="","",COUNTIFS(AgPac,$A800,AgStatus,"Faltou"))</f>
        <v>0</v>
      </c>
      <c r="J800" s="22">
        <f>IF($A800="","",SUMPRODUCT(MAX((AgPac=$A800)*(AgStatus="Compareceu")*AgData)))</f>
        <v>0</v>
      </c>
    </row>
    <row r="801" spans="1:10">
      <c r="A801" s="15"/>
      <c r="B801" s="15"/>
      <c r="C801" s="15"/>
      <c r="D801" s="15"/>
      <c r="E801" s="15"/>
      <c r="F801" s="16"/>
      <c r="G801" s="15"/>
      <c r="H801" s="21">
        <f>IF($A801="","",COUNTIFS(AgPac,$A801,AgStatus,"Compareceu"))</f>
        <v>0</v>
      </c>
      <c r="I801" s="21">
        <f>IF($A801="","",COUNTIFS(AgPac,$A801,AgStatus,"Faltou"))</f>
        <v>0</v>
      </c>
      <c r="J801" s="22">
        <f>IF($A801="","",SUMPRODUCT(MAX((AgPac=$A801)*(AgStatus="Compareceu")*AgData)))</f>
        <v>0</v>
      </c>
    </row>
    <row r="802" spans="1:10">
      <c r="A802" s="15"/>
      <c r="B802" s="15"/>
      <c r="C802" s="15"/>
      <c r="D802" s="15"/>
      <c r="E802" s="15"/>
      <c r="F802" s="16"/>
      <c r="G802" s="15"/>
      <c r="H802" s="21">
        <f>IF($A802="","",COUNTIFS(AgPac,$A802,AgStatus,"Compareceu"))</f>
        <v>0</v>
      </c>
      <c r="I802" s="21">
        <f>IF($A802="","",COUNTIFS(AgPac,$A802,AgStatus,"Faltou"))</f>
        <v>0</v>
      </c>
      <c r="J802" s="22">
        <f>IF($A802="","",SUMPRODUCT(MAX((AgPac=$A802)*(AgStatus="Compareceu")*AgData)))</f>
        <v>0</v>
      </c>
    </row>
    <row r="803" spans="1:10">
      <c r="A803" s="15"/>
      <c r="B803" s="15"/>
      <c r="C803" s="15"/>
      <c r="D803" s="15"/>
      <c r="E803" s="15"/>
      <c r="F803" s="16"/>
      <c r="G803" s="15"/>
      <c r="H803" s="21">
        <f>IF($A803="","",COUNTIFS(AgPac,$A803,AgStatus,"Compareceu"))</f>
        <v>0</v>
      </c>
      <c r="I803" s="21">
        <f>IF($A803="","",COUNTIFS(AgPac,$A803,AgStatus,"Faltou"))</f>
        <v>0</v>
      </c>
      <c r="J803" s="22">
        <f>IF($A803="","",SUMPRODUCT(MAX((AgPac=$A803)*(AgStatus="Compareceu")*AgData)))</f>
        <v>0</v>
      </c>
    </row>
    <row r="804" spans="1:10">
      <c r="A804" s="15"/>
      <c r="B804" s="15"/>
      <c r="C804" s="15"/>
      <c r="D804" s="15"/>
      <c r="E804" s="15"/>
      <c r="F804" s="16"/>
      <c r="G804" s="15"/>
      <c r="H804" s="21">
        <f>IF($A804="","",COUNTIFS(AgPac,$A804,AgStatus,"Compareceu"))</f>
        <v>0</v>
      </c>
      <c r="I804" s="21">
        <f>IF($A804="","",COUNTIFS(AgPac,$A804,AgStatus,"Faltou"))</f>
        <v>0</v>
      </c>
      <c r="J804" s="22">
        <f>IF($A804="","",SUMPRODUCT(MAX((AgPac=$A804)*(AgStatus="Compareceu")*AgData)))</f>
        <v>0</v>
      </c>
    </row>
    <row r="805" spans="1:10">
      <c r="A805" s="15"/>
      <c r="B805" s="15"/>
      <c r="C805" s="15"/>
      <c r="D805" s="15"/>
      <c r="E805" s="15"/>
      <c r="F805" s="16"/>
      <c r="G805" s="15"/>
      <c r="H805" s="21">
        <f>IF($A805="","",COUNTIFS(AgPac,$A805,AgStatus,"Compareceu"))</f>
        <v>0</v>
      </c>
      <c r="I805" s="21">
        <f>IF($A805="","",COUNTIFS(AgPac,$A805,AgStatus,"Faltou"))</f>
        <v>0</v>
      </c>
      <c r="J805" s="22">
        <f>IF($A805="","",SUMPRODUCT(MAX((AgPac=$A805)*(AgStatus="Compareceu")*AgData)))</f>
        <v>0</v>
      </c>
    </row>
    <row r="806" spans="1:10">
      <c r="A806" s="15"/>
      <c r="B806" s="15"/>
      <c r="C806" s="15"/>
      <c r="D806" s="15"/>
      <c r="E806" s="15"/>
      <c r="F806" s="16"/>
      <c r="G806" s="15"/>
      <c r="H806" s="21">
        <f>IF($A806="","",COUNTIFS(AgPac,$A806,AgStatus,"Compareceu"))</f>
        <v>0</v>
      </c>
      <c r="I806" s="21">
        <f>IF($A806="","",COUNTIFS(AgPac,$A806,AgStatus,"Faltou"))</f>
        <v>0</v>
      </c>
      <c r="J806" s="22">
        <f>IF($A806="","",SUMPRODUCT(MAX((AgPac=$A806)*(AgStatus="Compareceu")*AgData)))</f>
        <v>0</v>
      </c>
    </row>
    <row r="807" spans="1:10">
      <c r="A807" s="15"/>
      <c r="B807" s="15"/>
      <c r="C807" s="15"/>
      <c r="D807" s="15"/>
      <c r="E807" s="15"/>
      <c r="F807" s="16"/>
      <c r="G807" s="15"/>
      <c r="H807" s="21">
        <f>IF($A807="","",COUNTIFS(AgPac,$A807,AgStatus,"Compareceu"))</f>
        <v>0</v>
      </c>
      <c r="I807" s="21">
        <f>IF($A807="","",COUNTIFS(AgPac,$A807,AgStatus,"Faltou"))</f>
        <v>0</v>
      </c>
      <c r="J807" s="22">
        <f>IF($A807="","",SUMPRODUCT(MAX((AgPac=$A807)*(AgStatus="Compareceu")*AgData)))</f>
        <v>0</v>
      </c>
    </row>
    <row r="808" spans="1:10">
      <c r="A808" s="15"/>
      <c r="B808" s="15"/>
      <c r="C808" s="15"/>
      <c r="D808" s="15"/>
      <c r="E808" s="15"/>
      <c r="F808" s="16"/>
      <c r="G808" s="15"/>
      <c r="H808" s="21">
        <f>IF($A808="","",COUNTIFS(AgPac,$A808,AgStatus,"Compareceu"))</f>
        <v>0</v>
      </c>
      <c r="I808" s="21">
        <f>IF($A808="","",COUNTIFS(AgPac,$A808,AgStatus,"Faltou"))</f>
        <v>0</v>
      </c>
      <c r="J808" s="22">
        <f>IF($A808="","",SUMPRODUCT(MAX((AgPac=$A808)*(AgStatus="Compareceu")*AgData)))</f>
        <v>0</v>
      </c>
    </row>
    <row r="809" spans="1:10">
      <c r="A809" s="15"/>
      <c r="B809" s="15"/>
      <c r="C809" s="15"/>
      <c r="D809" s="15"/>
      <c r="E809" s="15"/>
      <c r="F809" s="16"/>
      <c r="G809" s="15"/>
      <c r="H809" s="21">
        <f>IF($A809="","",COUNTIFS(AgPac,$A809,AgStatus,"Compareceu"))</f>
        <v>0</v>
      </c>
      <c r="I809" s="21">
        <f>IF($A809="","",COUNTIFS(AgPac,$A809,AgStatus,"Faltou"))</f>
        <v>0</v>
      </c>
      <c r="J809" s="22">
        <f>IF($A809="","",SUMPRODUCT(MAX((AgPac=$A809)*(AgStatus="Compareceu")*AgData)))</f>
        <v>0</v>
      </c>
    </row>
    <row r="810" spans="1:10">
      <c r="A810" s="15"/>
      <c r="B810" s="15"/>
      <c r="C810" s="15"/>
      <c r="D810" s="15"/>
      <c r="E810" s="15"/>
      <c r="F810" s="16"/>
      <c r="G810" s="15"/>
      <c r="H810" s="21">
        <f>IF($A810="","",COUNTIFS(AgPac,$A810,AgStatus,"Compareceu"))</f>
        <v>0</v>
      </c>
      <c r="I810" s="21">
        <f>IF($A810="","",COUNTIFS(AgPac,$A810,AgStatus,"Faltou"))</f>
        <v>0</v>
      </c>
      <c r="J810" s="22">
        <f>IF($A810="","",SUMPRODUCT(MAX((AgPac=$A810)*(AgStatus="Compareceu")*AgData)))</f>
        <v>0</v>
      </c>
    </row>
    <row r="811" spans="1:10">
      <c r="A811" s="15"/>
      <c r="B811" s="15"/>
      <c r="C811" s="15"/>
      <c r="D811" s="15"/>
      <c r="E811" s="15"/>
      <c r="F811" s="16"/>
      <c r="G811" s="15"/>
      <c r="H811" s="21">
        <f>IF($A811="","",COUNTIFS(AgPac,$A811,AgStatus,"Compareceu"))</f>
        <v>0</v>
      </c>
      <c r="I811" s="21">
        <f>IF($A811="","",COUNTIFS(AgPac,$A811,AgStatus,"Faltou"))</f>
        <v>0</v>
      </c>
      <c r="J811" s="22">
        <f>IF($A811="","",SUMPRODUCT(MAX((AgPac=$A811)*(AgStatus="Compareceu")*AgData)))</f>
        <v>0</v>
      </c>
    </row>
    <row r="812" spans="1:10">
      <c r="A812" s="15"/>
      <c r="B812" s="15"/>
      <c r="C812" s="15"/>
      <c r="D812" s="15"/>
      <c r="E812" s="15"/>
      <c r="F812" s="16"/>
      <c r="G812" s="15"/>
      <c r="H812" s="21">
        <f>IF($A812="","",COUNTIFS(AgPac,$A812,AgStatus,"Compareceu"))</f>
        <v>0</v>
      </c>
      <c r="I812" s="21">
        <f>IF($A812="","",COUNTIFS(AgPac,$A812,AgStatus,"Faltou"))</f>
        <v>0</v>
      </c>
      <c r="J812" s="22">
        <f>IF($A812="","",SUMPRODUCT(MAX((AgPac=$A812)*(AgStatus="Compareceu")*AgData)))</f>
        <v>0</v>
      </c>
    </row>
    <row r="813" spans="1:10">
      <c r="A813" s="15"/>
      <c r="B813" s="15"/>
      <c r="C813" s="15"/>
      <c r="D813" s="15"/>
      <c r="E813" s="15"/>
      <c r="F813" s="16"/>
      <c r="G813" s="15"/>
      <c r="H813" s="21">
        <f>IF($A813="","",COUNTIFS(AgPac,$A813,AgStatus,"Compareceu"))</f>
        <v>0</v>
      </c>
      <c r="I813" s="21">
        <f>IF($A813="","",COUNTIFS(AgPac,$A813,AgStatus,"Faltou"))</f>
        <v>0</v>
      </c>
      <c r="J813" s="22">
        <f>IF($A813="","",SUMPRODUCT(MAX((AgPac=$A813)*(AgStatus="Compareceu")*AgData)))</f>
        <v>0</v>
      </c>
    </row>
    <row r="814" spans="1:10">
      <c r="A814" s="15"/>
      <c r="B814" s="15"/>
      <c r="C814" s="15"/>
      <c r="D814" s="15"/>
      <c r="E814" s="15"/>
      <c r="F814" s="16"/>
      <c r="G814" s="15"/>
      <c r="H814" s="21">
        <f>IF($A814="","",COUNTIFS(AgPac,$A814,AgStatus,"Compareceu"))</f>
        <v>0</v>
      </c>
      <c r="I814" s="21">
        <f>IF($A814="","",COUNTIFS(AgPac,$A814,AgStatus,"Faltou"))</f>
        <v>0</v>
      </c>
      <c r="J814" s="22">
        <f>IF($A814="","",SUMPRODUCT(MAX((AgPac=$A814)*(AgStatus="Compareceu")*AgData)))</f>
        <v>0</v>
      </c>
    </row>
    <row r="815" spans="1:10">
      <c r="A815" s="15"/>
      <c r="B815" s="15"/>
      <c r="C815" s="15"/>
      <c r="D815" s="15"/>
      <c r="E815" s="15"/>
      <c r="F815" s="16"/>
      <c r="G815" s="15"/>
      <c r="H815" s="21">
        <f>IF($A815="","",COUNTIFS(AgPac,$A815,AgStatus,"Compareceu"))</f>
        <v>0</v>
      </c>
      <c r="I815" s="21">
        <f>IF($A815="","",COUNTIFS(AgPac,$A815,AgStatus,"Faltou"))</f>
        <v>0</v>
      </c>
      <c r="J815" s="22">
        <f>IF($A815="","",SUMPRODUCT(MAX((AgPac=$A815)*(AgStatus="Compareceu")*AgData)))</f>
        <v>0</v>
      </c>
    </row>
    <row r="816" spans="1:10">
      <c r="A816" s="15"/>
      <c r="B816" s="15"/>
      <c r="C816" s="15"/>
      <c r="D816" s="15"/>
      <c r="E816" s="15"/>
      <c r="F816" s="16"/>
      <c r="G816" s="15"/>
      <c r="H816" s="21">
        <f>IF($A816="","",COUNTIFS(AgPac,$A816,AgStatus,"Compareceu"))</f>
        <v>0</v>
      </c>
      <c r="I816" s="21">
        <f>IF($A816="","",COUNTIFS(AgPac,$A816,AgStatus,"Faltou"))</f>
        <v>0</v>
      </c>
      <c r="J816" s="22">
        <f>IF($A816="","",SUMPRODUCT(MAX((AgPac=$A816)*(AgStatus="Compareceu")*AgData)))</f>
        <v>0</v>
      </c>
    </row>
    <row r="817" spans="1:10">
      <c r="A817" s="15"/>
      <c r="B817" s="15"/>
      <c r="C817" s="15"/>
      <c r="D817" s="15"/>
      <c r="E817" s="15"/>
      <c r="F817" s="16"/>
      <c r="G817" s="15"/>
      <c r="H817" s="21">
        <f>IF($A817="","",COUNTIFS(AgPac,$A817,AgStatus,"Compareceu"))</f>
        <v>0</v>
      </c>
      <c r="I817" s="21">
        <f>IF($A817="","",COUNTIFS(AgPac,$A817,AgStatus,"Faltou"))</f>
        <v>0</v>
      </c>
      <c r="J817" s="22">
        <f>IF($A817="","",SUMPRODUCT(MAX((AgPac=$A817)*(AgStatus="Compareceu")*AgData)))</f>
        <v>0</v>
      </c>
    </row>
    <row r="818" spans="1:10">
      <c r="A818" s="15"/>
      <c r="B818" s="15"/>
      <c r="C818" s="15"/>
      <c r="D818" s="15"/>
      <c r="E818" s="15"/>
      <c r="F818" s="16"/>
      <c r="G818" s="15"/>
      <c r="H818" s="21">
        <f>IF($A818="","",COUNTIFS(AgPac,$A818,AgStatus,"Compareceu"))</f>
        <v>0</v>
      </c>
      <c r="I818" s="21">
        <f>IF($A818="","",COUNTIFS(AgPac,$A818,AgStatus,"Faltou"))</f>
        <v>0</v>
      </c>
      <c r="J818" s="22">
        <f>IF($A818="","",SUMPRODUCT(MAX((AgPac=$A818)*(AgStatus="Compareceu")*AgData)))</f>
        <v>0</v>
      </c>
    </row>
    <row r="819" spans="1:10">
      <c r="A819" s="15"/>
      <c r="B819" s="15"/>
      <c r="C819" s="15"/>
      <c r="D819" s="15"/>
      <c r="E819" s="15"/>
      <c r="F819" s="16"/>
      <c r="G819" s="15"/>
      <c r="H819" s="21">
        <f>IF($A819="","",COUNTIFS(AgPac,$A819,AgStatus,"Compareceu"))</f>
        <v>0</v>
      </c>
      <c r="I819" s="21">
        <f>IF($A819="","",COUNTIFS(AgPac,$A819,AgStatus,"Faltou"))</f>
        <v>0</v>
      </c>
      <c r="J819" s="22">
        <f>IF($A819="","",SUMPRODUCT(MAX((AgPac=$A819)*(AgStatus="Compareceu")*AgData)))</f>
        <v>0</v>
      </c>
    </row>
    <row r="820" spans="1:10">
      <c r="A820" s="15"/>
      <c r="B820" s="15"/>
      <c r="C820" s="15"/>
      <c r="D820" s="15"/>
      <c r="E820" s="15"/>
      <c r="F820" s="16"/>
      <c r="G820" s="15"/>
      <c r="H820" s="21">
        <f>IF($A820="","",COUNTIFS(AgPac,$A820,AgStatus,"Compareceu"))</f>
        <v>0</v>
      </c>
      <c r="I820" s="21">
        <f>IF($A820="","",COUNTIFS(AgPac,$A820,AgStatus,"Faltou"))</f>
        <v>0</v>
      </c>
      <c r="J820" s="22">
        <f>IF($A820="","",SUMPRODUCT(MAX((AgPac=$A820)*(AgStatus="Compareceu")*AgData)))</f>
        <v>0</v>
      </c>
    </row>
    <row r="821" spans="1:10">
      <c r="A821" s="15"/>
      <c r="B821" s="15"/>
      <c r="C821" s="15"/>
      <c r="D821" s="15"/>
      <c r="E821" s="15"/>
      <c r="F821" s="16"/>
      <c r="G821" s="15"/>
      <c r="H821" s="21">
        <f>IF($A821="","",COUNTIFS(AgPac,$A821,AgStatus,"Compareceu"))</f>
        <v>0</v>
      </c>
      <c r="I821" s="21">
        <f>IF($A821="","",COUNTIFS(AgPac,$A821,AgStatus,"Faltou"))</f>
        <v>0</v>
      </c>
      <c r="J821" s="22">
        <f>IF($A821="","",SUMPRODUCT(MAX((AgPac=$A821)*(AgStatus="Compareceu")*AgData)))</f>
        <v>0</v>
      </c>
    </row>
    <row r="822" spans="1:10">
      <c r="A822" s="15"/>
      <c r="B822" s="15"/>
      <c r="C822" s="15"/>
      <c r="D822" s="15"/>
      <c r="E822" s="15"/>
      <c r="F822" s="16"/>
      <c r="G822" s="15"/>
      <c r="H822" s="21">
        <f>IF($A822="","",COUNTIFS(AgPac,$A822,AgStatus,"Compareceu"))</f>
        <v>0</v>
      </c>
      <c r="I822" s="21">
        <f>IF($A822="","",COUNTIFS(AgPac,$A822,AgStatus,"Faltou"))</f>
        <v>0</v>
      </c>
      <c r="J822" s="22">
        <f>IF($A822="","",SUMPRODUCT(MAX((AgPac=$A822)*(AgStatus="Compareceu")*AgData)))</f>
        <v>0</v>
      </c>
    </row>
    <row r="823" spans="1:10">
      <c r="A823" s="15"/>
      <c r="B823" s="15"/>
      <c r="C823" s="15"/>
      <c r="D823" s="15"/>
      <c r="E823" s="15"/>
      <c r="F823" s="16"/>
      <c r="G823" s="15"/>
      <c r="H823" s="21">
        <f>IF($A823="","",COUNTIFS(AgPac,$A823,AgStatus,"Compareceu"))</f>
        <v>0</v>
      </c>
      <c r="I823" s="21">
        <f>IF($A823="","",COUNTIFS(AgPac,$A823,AgStatus,"Faltou"))</f>
        <v>0</v>
      </c>
      <c r="J823" s="22">
        <f>IF($A823="","",SUMPRODUCT(MAX((AgPac=$A823)*(AgStatus="Compareceu")*AgData)))</f>
        <v>0</v>
      </c>
    </row>
    <row r="824" spans="1:10">
      <c r="A824" s="15"/>
      <c r="B824" s="15"/>
      <c r="C824" s="15"/>
      <c r="D824" s="15"/>
      <c r="E824" s="15"/>
      <c r="F824" s="16"/>
      <c r="G824" s="15"/>
      <c r="H824" s="21">
        <f>IF($A824="","",COUNTIFS(AgPac,$A824,AgStatus,"Compareceu"))</f>
        <v>0</v>
      </c>
      <c r="I824" s="21">
        <f>IF($A824="","",COUNTIFS(AgPac,$A824,AgStatus,"Faltou"))</f>
        <v>0</v>
      </c>
      <c r="J824" s="22">
        <f>IF($A824="","",SUMPRODUCT(MAX((AgPac=$A824)*(AgStatus="Compareceu")*AgData)))</f>
        <v>0</v>
      </c>
    </row>
    <row r="825" spans="1:10">
      <c r="A825" s="15"/>
      <c r="B825" s="15"/>
      <c r="C825" s="15"/>
      <c r="D825" s="15"/>
      <c r="E825" s="15"/>
      <c r="F825" s="16"/>
      <c r="G825" s="15"/>
      <c r="H825" s="21">
        <f>IF($A825="","",COUNTIFS(AgPac,$A825,AgStatus,"Compareceu"))</f>
        <v>0</v>
      </c>
      <c r="I825" s="21">
        <f>IF($A825="","",COUNTIFS(AgPac,$A825,AgStatus,"Faltou"))</f>
        <v>0</v>
      </c>
      <c r="J825" s="22">
        <f>IF($A825="","",SUMPRODUCT(MAX((AgPac=$A825)*(AgStatus="Compareceu")*AgData)))</f>
        <v>0</v>
      </c>
    </row>
    <row r="826" spans="1:10">
      <c r="A826" s="15"/>
      <c r="B826" s="15"/>
      <c r="C826" s="15"/>
      <c r="D826" s="15"/>
      <c r="E826" s="15"/>
      <c r="F826" s="16"/>
      <c r="G826" s="15"/>
      <c r="H826" s="21">
        <f>IF($A826="","",COUNTIFS(AgPac,$A826,AgStatus,"Compareceu"))</f>
        <v>0</v>
      </c>
      <c r="I826" s="21">
        <f>IF($A826="","",COUNTIFS(AgPac,$A826,AgStatus,"Faltou"))</f>
        <v>0</v>
      </c>
      <c r="J826" s="22">
        <f>IF($A826="","",SUMPRODUCT(MAX((AgPac=$A826)*(AgStatus="Compareceu")*AgData)))</f>
        <v>0</v>
      </c>
    </row>
    <row r="827" spans="1:10">
      <c r="A827" s="15"/>
      <c r="B827" s="15"/>
      <c r="C827" s="15"/>
      <c r="D827" s="15"/>
      <c r="E827" s="15"/>
      <c r="F827" s="16"/>
      <c r="G827" s="15"/>
      <c r="H827" s="21">
        <f>IF($A827="","",COUNTIFS(AgPac,$A827,AgStatus,"Compareceu"))</f>
        <v>0</v>
      </c>
      <c r="I827" s="21">
        <f>IF($A827="","",COUNTIFS(AgPac,$A827,AgStatus,"Faltou"))</f>
        <v>0</v>
      </c>
      <c r="J827" s="22">
        <f>IF($A827="","",SUMPRODUCT(MAX((AgPac=$A827)*(AgStatus="Compareceu")*AgData)))</f>
        <v>0</v>
      </c>
    </row>
    <row r="828" spans="1:10">
      <c r="A828" s="15"/>
      <c r="B828" s="15"/>
      <c r="C828" s="15"/>
      <c r="D828" s="15"/>
      <c r="E828" s="15"/>
      <c r="F828" s="16"/>
      <c r="G828" s="15"/>
      <c r="H828" s="21">
        <f>IF($A828="","",COUNTIFS(AgPac,$A828,AgStatus,"Compareceu"))</f>
        <v>0</v>
      </c>
      <c r="I828" s="21">
        <f>IF($A828="","",COUNTIFS(AgPac,$A828,AgStatus,"Faltou"))</f>
        <v>0</v>
      </c>
      <c r="J828" s="22">
        <f>IF($A828="","",SUMPRODUCT(MAX((AgPac=$A828)*(AgStatus="Compareceu")*AgData)))</f>
        <v>0</v>
      </c>
    </row>
    <row r="829" spans="1:10">
      <c r="A829" s="15"/>
      <c r="B829" s="15"/>
      <c r="C829" s="15"/>
      <c r="D829" s="15"/>
      <c r="E829" s="15"/>
      <c r="F829" s="16"/>
      <c r="G829" s="15"/>
      <c r="H829" s="21">
        <f>IF($A829="","",COUNTIFS(AgPac,$A829,AgStatus,"Compareceu"))</f>
        <v>0</v>
      </c>
      <c r="I829" s="21">
        <f>IF($A829="","",COUNTIFS(AgPac,$A829,AgStatus,"Faltou"))</f>
        <v>0</v>
      </c>
      <c r="J829" s="22">
        <f>IF($A829="","",SUMPRODUCT(MAX((AgPac=$A829)*(AgStatus="Compareceu")*AgData)))</f>
        <v>0</v>
      </c>
    </row>
    <row r="830" spans="1:10">
      <c r="A830" s="15"/>
      <c r="B830" s="15"/>
      <c r="C830" s="15"/>
      <c r="D830" s="15"/>
      <c r="E830" s="15"/>
      <c r="F830" s="16"/>
      <c r="G830" s="15"/>
      <c r="H830" s="21">
        <f>IF($A830="","",COUNTIFS(AgPac,$A830,AgStatus,"Compareceu"))</f>
        <v>0</v>
      </c>
      <c r="I830" s="21">
        <f>IF($A830="","",COUNTIFS(AgPac,$A830,AgStatus,"Faltou"))</f>
        <v>0</v>
      </c>
      <c r="J830" s="22">
        <f>IF($A830="","",SUMPRODUCT(MAX((AgPac=$A830)*(AgStatus="Compareceu")*AgData)))</f>
        <v>0</v>
      </c>
    </row>
    <row r="831" spans="1:10">
      <c r="A831" s="15"/>
      <c r="B831" s="15"/>
      <c r="C831" s="15"/>
      <c r="D831" s="15"/>
      <c r="E831" s="15"/>
      <c r="F831" s="16"/>
      <c r="G831" s="15"/>
      <c r="H831" s="21">
        <f>IF($A831="","",COUNTIFS(AgPac,$A831,AgStatus,"Compareceu"))</f>
        <v>0</v>
      </c>
      <c r="I831" s="21">
        <f>IF($A831="","",COUNTIFS(AgPac,$A831,AgStatus,"Faltou"))</f>
        <v>0</v>
      </c>
      <c r="J831" s="22">
        <f>IF($A831="","",SUMPRODUCT(MAX((AgPac=$A831)*(AgStatus="Compareceu")*AgData)))</f>
        <v>0</v>
      </c>
    </row>
    <row r="832" spans="1:10">
      <c r="A832" s="15"/>
      <c r="B832" s="15"/>
      <c r="C832" s="15"/>
      <c r="D832" s="15"/>
      <c r="E832" s="15"/>
      <c r="F832" s="16"/>
      <c r="G832" s="15"/>
      <c r="H832" s="21">
        <f>IF($A832="","",COUNTIFS(AgPac,$A832,AgStatus,"Compareceu"))</f>
        <v>0</v>
      </c>
      <c r="I832" s="21">
        <f>IF($A832="","",COUNTIFS(AgPac,$A832,AgStatus,"Faltou"))</f>
        <v>0</v>
      </c>
      <c r="J832" s="22">
        <f>IF($A832="","",SUMPRODUCT(MAX((AgPac=$A832)*(AgStatus="Compareceu")*AgData)))</f>
        <v>0</v>
      </c>
    </row>
    <row r="833" spans="1:10">
      <c r="A833" s="15"/>
      <c r="B833" s="15"/>
      <c r="C833" s="15"/>
      <c r="D833" s="15"/>
      <c r="E833" s="15"/>
      <c r="F833" s="16"/>
      <c r="G833" s="15"/>
      <c r="H833" s="21">
        <f>IF($A833="","",COUNTIFS(AgPac,$A833,AgStatus,"Compareceu"))</f>
        <v>0</v>
      </c>
      <c r="I833" s="21">
        <f>IF($A833="","",COUNTIFS(AgPac,$A833,AgStatus,"Faltou"))</f>
        <v>0</v>
      </c>
      <c r="J833" s="22">
        <f>IF($A833="","",SUMPRODUCT(MAX((AgPac=$A833)*(AgStatus="Compareceu")*AgData)))</f>
        <v>0</v>
      </c>
    </row>
    <row r="834" spans="1:10">
      <c r="A834" s="15"/>
      <c r="B834" s="15"/>
      <c r="C834" s="15"/>
      <c r="D834" s="15"/>
      <c r="E834" s="15"/>
      <c r="F834" s="16"/>
      <c r="G834" s="15"/>
      <c r="H834" s="21">
        <f>IF($A834="","",COUNTIFS(AgPac,$A834,AgStatus,"Compareceu"))</f>
        <v>0</v>
      </c>
      <c r="I834" s="21">
        <f>IF($A834="","",COUNTIFS(AgPac,$A834,AgStatus,"Faltou"))</f>
        <v>0</v>
      </c>
      <c r="J834" s="22">
        <f>IF($A834="","",SUMPRODUCT(MAX((AgPac=$A834)*(AgStatus="Compareceu")*AgData)))</f>
        <v>0</v>
      </c>
    </row>
    <row r="835" spans="1:10">
      <c r="A835" s="15"/>
      <c r="B835" s="15"/>
      <c r="C835" s="15"/>
      <c r="D835" s="15"/>
      <c r="E835" s="15"/>
      <c r="F835" s="16"/>
      <c r="G835" s="15"/>
      <c r="H835" s="21">
        <f>IF($A835="","",COUNTIFS(AgPac,$A835,AgStatus,"Compareceu"))</f>
        <v>0</v>
      </c>
      <c r="I835" s="21">
        <f>IF($A835="","",COUNTIFS(AgPac,$A835,AgStatus,"Faltou"))</f>
        <v>0</v>
      </c>
      <c r="J835" s="22">
        <f>IF($A835="","",SUMPRODUCT(MAX((AgPac=$A835)*(AgStatus="Compareceu")*AgData)))</f>
        <v>0</v>
      </c>
    </row>
    <row r="836" spans="1:10">
      <c r="A836" s="15"/>
      <c r="B836" s="15"/>
      <c r="C836" s="15"/>
      <c r="D836" s="15"/>
      <c r="E836" s="15"/>
      <c r="F836" s="16"/>
      <c r="G836" s="15"/>
      <c r="H836" s="21">
        <f>IF($A836="","",COUNTIFS(AgPac,$A836,AgStatus,"Compareceu"))</f>
        <v>0</v>
      </c>
      <c r="I836" s="21">
        <f>IF($A836="","",COUNTIFS(AgPac,$A836,AgStatus,"Faltou"))</f>
        <v>0</v>
      </c>
      <c r="J836" s="22">
        <f>IF($A836="","",SUMPRODUCT(MAX((AgPac=$A836)*(AgStatus="Compareceu")*AgData)))</f>
        <v>0</v>
      </c>
    </row>
    <row r="837" spans="1:10">
      <c r="A837" s="15"/>
      <c r="B837" s="15"/>
      <c r="C837" s="15"/>
      <c r="D837" s="15"/>
      <c r="E837" s="15"/>
      <c r="F837" s="16"/>
      <c r="G837" s="15"/>
      <c r="H837" s="21">
        <f>IF($A837="","",COUNTIFS(AgPac,$A837,AgStatus,"Compareceu"))</f>
        <v>0</v>
      </c>
      <c r="I837" s="21">
        <f>IF($A837="","",COUNTIFS(AgPac,$A837,AgStatus,"Faltou"))</f>
        <v>0</v>
      </c>
      <c r="J837" s="22">
        <f>IF($A837="","",SUMPRODUCT(MAX((AgPac=$A837)*(AgStatus="Compareceu")*AgData)))</f>
        <v>0</v>
      </c>
    </row>
    <row r="838" spans="1:10">
      <c r="A838" s="15"/>
      <c r="B838" s="15"/>
      <c r="C838" s="15"/>
      <c r="D838" s="15"/>
      <c r="E838" s="15"/>
      <c r="F838" s="16"/>
      <c r="G838" s="15"/>
      <c r="H838" s="21">
        <f>IF($A838="","",COUNTIFS(AgPac,$A838,AgStatus,"Compareceu"))</f>
        <v>0</v>
      </c>
      <c r="I838" s="21">
        <f>IF($A838="","",COUNTIFS(AgPac,$A838,AgStatus,"Faltou"))</f>
        <v>0</v>
      </c>
      <c r="J838" s="22">
        <f>IF($A838="","",SUMPRODUCT(MAX((AgPac=$A838)*(AgStatus="Compareceu")*AgData)))</f>
        <v>0</v>
      </c>
    </row>
    <row r="839" spans="1:10">
      <c r="A839" s="15"/>
      <c r="B839" s="15"/>
      <c r="C839" s="15"/>
      <c r="D839" s="15"/>
      <c r="E839" s="15"/>
      <c r="F839" s="16"/>
      <c r="G839" s="15"/>
      <c r="H839" s="21">
        <f>IF($A839="","",COUNTIFS(AgPac,$A839,AgStatus,"Compareceu"))</f>
        <v>0</v>
      </c>
      <c r="I839" s="21">
        <f>IF($A839="","",COUNTIFS(AgPac,$A839,AgStatus,"Faltou"))</f>
        <v>0</v>
      </c>
      <c r="J839" s="22">
        <f>IF($A839="","",SUMPRODUCT(MAX((AgPac=$A839)*(AgStatus="Compareceu")*AgData)))</f>
        <v>0</v>
      </c>
    </row>
    <row r="840" spans="1:10">
      <c r="A840" s="15"/>
      <c r="B840" s="15"/>
      <c r="C840" s="15"/>
      <c r="D840" s="15"/>
      <c r="E840" s="15"/>
      <c r="F840" s="16"/>
      <c r="G840" s="15"/>
      <c r="H840" s="21">
        <f>IF($A840="","",COUNTIFS(AgPac,$A840,AgStatus,"Compareceu"))</f>
        <v>0</v>
      </c>
      <c r="I840" s="21">
        <f>IF($A840="","",COUNTIFS(AgPac,$A840,AgStatus,"Faltou"))</f>
        <v>0</v>
      </c>
      <c r="J840" s="22">
        <f>IF($A840="","",SUMPRODUCT(MAX((AgPac=$A840)*(AgStatus="Compareceu")*AgData)))</f>
        <v>0</v>
      </c>
    </row>
    <row r="841" spans="1:10">
      <c r="A841" s="15"/>
      <c r="B841" s="15"/>
      <c r="C841" s="15"/>
      <c r="D841" s="15"/>
      <c r="E841" s="15"/>
      <c r="F841" s="16"/>
      <c r="G841" s="15"/>
      <c r="H841" s="21">
        <f>IF($A841="","",COUNTIFS(AgPac,$A841,AgStatus,"Compareceu"))</f>
        <v>0</v>
      </c>
      <c r="I841" s="21">
        <f>IF($A841="","",COUNTIFS(AgPac,$A841,AgStatus,"Faltou"))</f>
        <v>0</v>
      </c>
      <c r="J841" s="22">
        <f>IF($A841="","",SUMPRODUCT(MAX((AgPac=$A841)*(AgStatus="Compareceu")*AgData)))</f>
        <v>0</v>
      </c>
    </row>
    <row r="842" spans="1:10">
      <c r="A842" s="15"/>
      <c r="B842" s="15"/>
      <c r="C842" s="15"/>
      <c r="D842" s="15"/>
      <c r="E842" s="15"/>
      <c r="F842" s="16"/>
      <c r="G842" s="15"/>
      <c r="H842" s="21">
        <f>IF($A842="","",COUNTIFS(AgPac,$A842,AgStatus,"Compareceu"))</f>
        <v>0</v>
      </c>
      <c r="I842" s="21">
        <f>IF($A842="","",COUNTIFS(AgPac,$A842,AgStatus,"Faltou"))</f>
        <v>0</v>
      </c>
      <c r="J842" s="22">
        <f>IF($A842="","",SUMPRODUCT(MAX((AgPac=$A842)*(AgStatus="Compareceu")*AgData)))</f>
        <v>0</v>
      </c>
    </row>
    <row r="843" spans="1:10">
      <c r="A843" s="15"/>
      <c r="B843" s="15"/>
      <c r="C843" s="15"/>
      <c r="D843" s="15"/>
      <c r="E843" s="15"/>
      <c r="F843" s="16"/>
      <c r="G843" s="15"/>
      <c r="H843" s="21">
        <f>IF($A843="","",COUNTIFS(AgPac,$A843,AgStatus,"Compareceu"))</f>
        <v>0</v>
      </c>
      <c r="I843" s="21">
        <f>IF($A843="","",COUNTIFS(AgPac,$A843,AgStatus,"Faltou"))</f>
        <v>0</v>
      </c>
      <c r="J843" s="22">
        <f>IF($A843="","",SUMPRODUCT(MAX((AgPac=$A843)*(AgStatus="Compareceu")*AgData)))</f>
        <v>0</v>
      </c>
    </row>
    <row r="844" spans="1:10">
      <c r="A844" s="15"/>
      <c r="B844" s="15"/>
      <c r="C844" s="15"/>
      <c r="D844" s="15"/>
      <c r="E844" s="15"/>
      <c r="F844" s="16"/>
      <c r="G844" s="15"/>
      <c r="H844" s="21">
        <f>IF($A844="","",COUNTIFS(AgPac,$A844,AgStatus,"Compareceu"))</f>
        <v>0</v>
      </c>
      <c r="I844" s="21">
        <f>IF($A844="","",COUNTIFS(AgPac,$A844,AgStatus,"Faltou"))</f>
        <v>0</v>
      </c>
      <c r="J844" s="22">
        <f>IF($A844="","",SUMPRODUCT(MAX((AgPac=$A844)*(AgStatus="Compareceu")*AgData)))</f>
        <v>0</v>
      </c>
    </row>
    <row r="845" spans="1:10">
      <c r="A845" s="15"/>
      <c r="B845" s="15"/>
      <c r="C845" s="15"/>
      <c r="D845" s="15"/>
      <c r="E845" s="15"/>
      <c r="F845" s="16"/>
      <c r="G845" s="15"/>
      <c r="H845" s="21">
        <f>IF($A845="","",COUNTIFS(AgPac,$A845,AgStatus,"Compareceu"))</f>
        <v>0</v>
      </c>
      <c r="I845" s="21">
        <f>IF($A845="","",COUNTIFS(AgPac,$A845,AgStatus,"Faltou"))</f>
        <v>0</v>
      </c>
      <c r="J845" s="22">
        <f>IF($A845="","",SUMPRODUCT(MAX((AgPac=$A845)*(AgStatus="Compareceu")*AgData)))</f>
        <v>0</v>
      </c>
    </row>
    <row r="846" spans="1:10">
      <c r="A846" s="15"/>
      <c r="B846" s="15"/>
      <c r="C846" s="15"/>
      <c r="D846" s="15"/>
      <c r="E846" s="15"/>
      <c r="F846" s="16"/>
      <c r="G846" s="15"/>
      <c r="H846" s="21">
        <f>IF($A846="","",COUNTIFS(AgPac,$A846,AgStatus,"Compareceu"))</f>
        <v>0</v>
      </c>
      <c r="I846" s="21">
        <f>IF($A846="","",COUNTIFS(AgPac,$A846,AgStatus,"Faltou"))</f>
        <v>0</v>
      </c>
      <c r="J846" s="22">
        <f>IF($A846="","",SUMPRODUCT(MAX((AgPac=$A846)*(AgStatus="Compareceu")*AgData)))</f>
        <v>0</v>
      </c>
    </row>
    <row r="847" spans="1:10">
      <c r="A847" s="15"/>
      <c r="B847" s="15"/>
      <c r="C847" s="15"/>
      <c r="D847" s="15"/>
      <c r="E847" s="15"/>
      <c r="F847" s="16"/>
      <c r="G847" s="15"/>
      <c r="H847" s="21">
        <f>IF($A847="","",COUNTIFS(AgPac,$A847,AgStatus,"Compareceu"))</f>
        <v>0</v>
      </c>
      <c r="I847" s="21">
        <f>IF($A847="","",COUNTIFS(AgPac,$A847,AgStatus,"Faltou"))</f>
        <v>0</v>
      </c>
      <c r="J847" s="22">
        <f>IF($A847="","",SUMPRODUCT(MAX((AgPac=$A847)*(AgStatus="Compareceu")*AgData)))</f>
        <v>0</v>
      </c>
    </row>
    <row r="848" spans="1:10">
      <c r="A848" s="15"/>
      <c r="B848" s="15"/>
      <c r="C848" s="15"/>
      <c r="D848" s="15"/>
      <c r="E848" s="15"/>
      <c r="F848" s="16"/>
      <c r="G848" s="15"/>
      <c r="H848" s="21">
        <f>IF($A848="","",COUNTIFS(AgPac,$A848,AgStatus,"Compareceu"))</f>
        <v>0</v>
      </c>
      <c r="I848" s="21">
        <f>IF($A848="","",COUNTIFS(AgPac,$A848,AgStatus,"Faltou"))</f>
        <v>0</v>
      </c>
      <c r="J848" s="22">
        <f>IF($A848="","",SUMPRODUCT(MAX((AgPac=$A848)*(AgStatus="Compareceu")*AgData)))</f>
        <v>0</v>
      </c>
    </row>
    <row r="849" spans="1:10">
      <c r="A849" s="15"/>
      <c r="B849" s="15"/>
      <c r="C849" s="15"/>
      <c r="D849" s="15"/>
      <c r="E849" s="15"/>
      <c r="F849" s="16"/>
      <c r="G849" s="15"/>
      <c r="H849" s="21">
        <f>IF($A849="","",COUNTIFS(AgPac,$A849,AgStatus,"Compareceu"))</f>
        <v>0</v>
      </c>
      <c r="I849" s="21">
        <f>IF($A849="","",COUNTIFS(AgPac,$A849,AgStatus,"Faltou"))</f>
        <v>0</v>
      </c>
      <c r="J849" s="22">
        <f>IF($A849="","",SUMPRODUCT(MAX((AgPac=$A849)*(AgStatus="Compareceu")*AgData)))</f>
        <v>0</v>
      </c>
    </row>
    <row r="850" spans="1:10">
      <c r="A850" s="15"/>
      <c r="B850" s="15"/>
      <c r="C850" s="15"/>
      <c r="D850" s="15"/>
      <c r="E850" s="15"/>
      <c r="F850" s="16"/>
      <c r="G850" s="15"/>
      <c r="H850" s="21">
        <f>IF($A850="","",COUNTIFS(AgPac,$A850,AgStatus,"Compareceu"))</f>
        <v>0</v>
      </c>
      <c r="I850" s="21">
        <f>IF($A850="","",COUNTIFS(AgPac,$A850,AgStatus,"Faltou"))</f>
        <v>0</v>
      </c>
      <c r="J850" s="22">
        <f>IF($A850="","",SUMPRODUCT(MAX((AgPac=$A850)*(AgStatus="Compareceu")*AgData)))</f>
        <v>0</v>
      </c>
    </row>
    <row r="851" spans="1:10">
      <c r="A851" s="15"/>
      <c r="B851" s="15"/>
      <c r="C851" s="15"/>
      <c r="D851" s="15"/>
      <c r="E851" s="15"/>
      <c r="F851" s="16"/>
      <c r="G851" s="15"/>
      <c r="H851" s="21">
        <f>IF($A851="","",COUNTIFS(AgPac,$A851,AgStatus,"Compareceu"))</f>
        <v>0</v>
      </c>
      <c r="I851" s="21">
        <f>IF($A851="","",COUNTIFS(AgPac,$A851,AgStatus,"Faltou"))</f>
        <v>0</v>
      </c>
      <c r="J851" s="22">
        <f>IF($A851="","",SUMPRODUCT(MAX((AgPac=$A851)*(AgStatus="Compareceu")*AgData)))</f>
        <v>0</v>
      </c>
    </row>
    <row r="852" spans="1:10">
      <c r="A852" s="15"/>
      <c r="B852" s="15"/>
      <c r="C852" s="15"/>
      <c r="D852" s="15"/>
      <c r="E852" s="15"/>
      <c r="F852" s="16"/>
      <c r="G852" s="15"/>
      <c r="H852" s="21">
        <f>IF($A852="","",COUNTIFS(AgPac,$A852,AgStatus,"Compareceu"))</f>
        <v>0</v>
      </c>
      <c r="I852" s="21">
        <f>IF($A852="","",COUNTIFS(AgPac,$A852,AgStatus,"Faltou"))</f>
        <v>0</v>
      </c>
      <c r="J852" s="22">
        <f>IF($A852="","",SUMPRODUCT(MAX((AgPac=$A852)*(AgStatus="Compareceu")*AgData)))</f>
        <v>0</v>
      </c>
    </row>
    <row r="853" spans="1:10">
      <c r="A853" s="15"/>
      <c r="B853" s="15"/>
      <c r="C853" s="15"/>
      <c r="D853" s="15"/>
      <c r="E853" s="15"/>
      <c r="F853" s="16"/>
      <c r="G853" s="15"/>
      <c r="H853" s="21">
        <f>IF($A853="","",COUNTIFS(AgPac,$A853,AgStatus,"Compareceu"))</f>
        <v>0</v>
      </c>
      <c r="I853" s="21">
        <f>IF($A853="","",COUNTIFS(AgPac,$A853,AgStatus,"Faltou"))</f>
        <v>0</v>
      </c>
      <c r="J853" s="22">
        <f>IF($A853="","",SUMPRODUCT(MAX((AgPac=$A853)*(AgStatus="Compareceu")*AgData)))</f>
        <v>0</v>
      </c>
    </row>
    <row r="854" spans="1:10">
      <c r="A854" s="15"/>
      <c r="B854" s="15"/>
      <c r="C854" s="15"/>
      <c r="D854" s="15"/>
      <c r="E854" s="15"/>
      <c r="F854" s="16"/>
      <c r="G854" s="15"/>
      <c r="H854" s="21">
        <f>IF($A854="","",COUNTIFS(AgPac,$A854,AgStatus,"Compareceu"))</f>
        <v>0</v>
      </c>
      <c r="I854" s="21">
        <f>IF($A854="","",COUNTIFS(AgPac,$A854,AgStatus,"Faltou"))</f>
        <v>0</v>
      </c>
      <c r="J854" s="22">
        <f>IF($A854="","",SUMPRODUCT(MAX((AgPac=$A854)*(AgStatus="Compareceu")*AgData)))</f>
        <v>0</v>
      </c>
    </row>
    <row r="855" spans="1:10">
      <c r="A855" s="15"/>
      <c r="B855" s="15"/>
      <c r="C855" s="15"/>
      <c r="D855" s="15"/>
      <c r="E855" s="15"/>
      <c r="F855" s="16"/>
      <c r="G855" s="15"/>
      <c r="H855" s="21">
        <f>IF($A855="","",COUNTIFS(AgPac,$A855,AgStatus,"Compareceu"))</f>
        <v>0</v>
      </c>
      <c r="I855" s="21">
        <f>IF($A855="","",COUNTIFS(AgPac,$A855,AgStatus,"Faltou"))</f>
        <v>0</v>
      </c>
      <c r="J855" s="22">
        <f>IF($A855="","",SUMPRODUCT(MAX((AgPac=$A855)*(AgStatus="Compareceu")*AgData)))</f>
        <v>0</v>
      </c>
    </row>
    <row r="856" spans="1:10">
      <c r="A856" s="15"/>
      <c r="B856" s="15"/>
      <c r="C856" s="15"/>
      <c r="D856" s="15"/>
      <c r="E856" s="15"/>
      <c r="F856" s="16"/>
      <c r="G856" s="15"/>
      <c r="H856" s="21">
        <f>IF($A856="","",COUNTIFS(AgPac,$A856,AgStatus,"Compareceu"))</f>
        <v>0</v>
      </c>
      <c r="I856" s="21">
        <f>IF($A856="","",COUNTIFS(AgPac,$A856,AgStatus,"Faltou"))</f>
        <v>0</v>
      </c>
      <c r="J856" s="22">
        <f>IF($A856="","",SUMPRODUCT(MAX((AgPac=$A856)*(AgStatus="Compareceu")*AgData)))</f>
        <v>0</v>
      </c>
    </row>
    <row r="857" spans="1:10">
      <c r="A857" s="15"/>
      <c r="B857" s="15"/>
      <c r="C857" s="15"/>
      <c r="D857" s="15"/>
      <c r="E857" s="15"/>
      <c r="F857" s="16"/>
      <c r="G857" s="15"/>
      <c r="H857" s="21">
        <f>IF($A857="","",COUNTIFS(AgPac,$A857,AgStatus,"Compareceu"))</f>
        <v>0</v>
      </c>
      <c r="I857" s="21">
        <f>IF($A857="","",COUNTIFS(AgPac,$A857,AgStatus,"Faltou"))</f>
        <v>0</v>
      </c>
      <c r="J857" s="22">
        <f>IF($A857="","",SUMPRODUCT(MAX((AgPac=$A857)*(AgStatus="Compareceu")*AgData)))</f>
        <v>0</v>
      </c>
    </row>
    <row r="858" spans="1:10">
      <c r="A858" s="15"/>
      <c r="B858" s="15"/>
      <c r="C858" s="15"/>
      <c r="D858" s="15"/>
      <c r="E858" s="15"/>
      <c r="F858" s="16"/>
      <c r="G858" s="15"/>
      <c r="H858" s="21">
        <f>IF($A858="","",COUNTIFS(AgPac,$A858,AgStatus,"Compareceu"))</f>
        <v>0</v>
      </c>
      <c r="I858" s="21">
        <f>IF($A858="","",COUNTIFS(AgPac,$A858,AgStatus,"Faltou"))</f>
        <v>0</v>
      </c>
      <c r="J858" s="22">
        <f>IF($A858="","",SUMPRODUCT(MAX((AgPac=$A858)*(AgStatus="Compareceu")*AgData)))</f>
        <v>0</v>
      </c>
    </row>
    <row r="859" spans="1:10">
      <c r="A859" s="15"/>
      <c r="B859" s="15"/>
      <c r="C859" s="15"/>
      <c r="D859" s="15"/>
      <c r="E859" s="15"/>
      <c r="F859" s="16"/>
      <c r="G859" s="15"/>
      <c r="H859" s="21">
        <f>IF($A859="","",COUNTIFS(AgPac,$A859,AgStatus,"Compareceu"))</f>
        <v>0</v>
      </c>
      <c r="I859" s="21">
        <f>IF($A859="","",COUNTIFS(AgPac,$A859,AgStatus,"Faltou"))</f>
        <v>0</v>
      </c>
      <c r="J859" s="22">
        <f>IF($A859="","",SUMPRODUCT(MAX((AgPac=$A859)*(AgStatus="Compareceu")*AgData)))</f>
        <v>0</v>
      </c>
    </row>
    <row r="860" spans="1:10">
      <c r="A860" s="15"/>
      <c r="B860" s="15"/>
      <c r="C860" s="15"/>
      <c r="D860" s="15"/>
      <c r="E860" s="15"/>
      <c r="F860" s="16"/>
      <c r="G860" s="15"/>
      <c r="H860" s="21">
        <f>IF($A860="","",COUNTIFS(AgPac,$A860,AgStatus,"Compareceu"))</f>
        <v>0</v>
      </c>
      <c r="I860" s="21">
        <f>IF($A860="","",COUNTIFS(AgPac,$A860,AgStatus,"Faltou"))</f>
        <v>0</v>
      </c>
      <c r="J860" s="22">
        <f>IF($A860="","",SUMPRODUCT(MAX((AgPac=$A860)*(AgStatus="Compareceu")*AgData)))</f>
        <v>0</v>
      </c>
    </row>
    <row r="861" spans="1:10">
      <c r="A861" s="15"/>
      <c r="B861" s="15"/>
      <c r="C861" s="15"/>
      <c r="D861" s="15"/>
      <c r="E861" s="15"/>
      <c r="F861" s="16"/>
      <c r="G861" s="15"/>
      <c r="H861" s="21">
        <f>IF($A861="","",COUNTIFS(AgPac,$A861,AgStatus,"Compareceu"))</f>
        <v>0</v>
      </c>
      <c r="I861" s="21">
        <f>IF($A861="","",COUNTIFS(AgPac,$A861,AgStatus,"Faltou"))</f>
        <v>0</v>
      </c>
      <c r="J861" s="22">
        <f>IF($A861="","",SUMPRODUCT(MAX((AgPac=$A861)*(AgStatus="Compareceu")*AgData)))</f>
        <v>0</v>
      </c>
    </row>
    <row r="862" spans="1:10">
      <c r="A862" s="15"/>
      <c r="B862" s="15"/>
      <c r="C862" s="15"/>
      <c r="D862" s="15"/>
      <c r="E862" s="15"/>
      <c r="F862" s="16"/>
      <c r="G862" s="15"/>
      <c r="H862" s="21">
        <f>IF($A862="","",COUNTIFS(AgPac,$A862,AgStatus,"Compareceu"))</f>
        <v>0</v>
      </c>
      <c r="I862" s="21">
        <f>IF($A862="","",COUNTIFS(AgPac,$A862,AgStatus,"Faltou"))</f>
        <v>0</v>
      </c>
      <c r="J862" s="22">
        <f>IF($A862="","",SUMPRODUCT(MAX((AgPac=$A862)*(AgStatus="Compareceu")*AgData)))</f>
        <v>0</v>
      </c>
    </row>
    <row r="863" spans="1:10">
      <c r="A863" s="15"/>
      <c r="B863" s="15"/>
      <c r="C863" s="15"/>
      <c r="D863" s="15"/>
      <c r="E863" s="15"/>
      <c r="F863" s="16"/>
      <c r="G863" s="15"/>
      <c r="H863" s="21">
        <f>IF($A863="","",COUNTIFS(AgPac,$A863,AgStatus,"Compareceu"))</f>
        <v>0</v>
      </c>
      <c r="I863" s="21">
        <f>IF($A863="","",COUNTIFS(AgPac,$A863,AgStatus,"Faltou"))</f>
        <v>0</v>
      </c>
      <c r="J863" s="22">
        <f>IF($A863="","",SUMPRODUCT(MAX((AgPac=$A863)*(AgStatus="Compareceu")*AgData)))</f>
        <v>0</v>
      </c>
    </row>
    <row r="864" spans="1:10">
      <c r="A864" s="15"/>
      <c r="B864" s="15"/>
      <c r="C864" s="15"/>
      <c r="D864" s="15"/>
      <c r="E864" s="15"/>
      <c r="F864" s="16"/>
      <c r="G864" s="15"/>
      <c r="H864" s="21">
        <f>IF($A864="","",COUNTIFS(AgPac,$A864,AgStatus,"Compareceu"))</f>
        <v>0</v>
      </c>
      <c r="I864" s="21">
        <f>IF($A864="","",COUNTIFS(AgPac,$A864,AgStatus,"Faltou"))</f>
        <v>0</v>
      </c>
      <c r="J864" s="22">
        <f>IF($A864="","",SUMPRODUCT(MAX((AgPac=$A864)*(AgStatus="Compareceu")*AgData)))</f>
        <v>0</v>
      </c>
    </row>
    <row r="865" spans="1:10">
      <c r="A865" s="15"/>
      <c r="B865" s="15"/>
      <c r="C865" s="15"/>
      <c r="D865" s="15"/>
      <c r="E865" s="15"/>
      <c r="F865" s="16"/>
      <c r="G865" s="15"/>
      <c r="H865" s="21">
        <f>IF($A865="","",COUNTIFS(AgPac,$A865,AgStatus,"Compareceu"))</f>
        <v>0</v>
      </c>
      <c r="I865" s="21">
        <f>IF($A865="","",COUNTIFS(AgPac,$A865,AgStatus,"Faltou"))</f>
        <v>0</v>
      </c>
      <c r="J865" s="22">
        <f>IF($A865="","",SUMPRODUCT(MAX((AgPac=$A865)*(AgStatus="Compareceu")*AgData)))</f>
        <v>0</v>
      </c>
    </row>
    <row r="866" spans="1:10">
      <c r="A866" s="15"/>
      <c r="B866" s="15"/>
      <c r="C866" s="15"/>
      <c r="D866" s="15"/>
      <c r="E866" s="15"/>
      <c r="F866" s="16"/>
      <c r="G866" s="15"/>
      <c r="H866" s="21">
        <f>IF($A866="","",COUNTIFS(AgPac,$A866,AgStatus,"Compareceu"))</f>
        <v>0</v>
      </c>
      <c r="I866" s="21">
        <f>IF($A866="","",COUNTIFS(AgPac,$A866,AgStatus,"Faltou"))</f>
        <v>0</v>
      </c>
      <c r="J866" s="22">
        <f>IF($A866="","",SUMPRODUCT(MAX((AgPac=$A866)*(AgStatus="Compareceu")*AgData)))</f>
        <v>0</v>
      </c>
    </row>
    <row r="867" spans="1:10">
      <c r="A867" s="15"/>
      <c r="B867" s="15"/>
      <c r="C867" s="15"/>
      <c r="D867" s="15"/>
      <c r="E867" s="15"/>
      <c r="F867" s="16"/>
      <c r="G867" s="15"/>
      <c r="H867" s="21">
        <f>IF($A867="","",COUNTIFS(AgPac,$A867,AgStatus,"Compareceu"))</f>
        <v>0</v>
      </c>
      <c r="I867" s="21">
        <f>IF($A867="","",COUNTIFS(AgPac,$A867,AgStatus,"Faltou"))</f>
        <v>0</v>
      </c>
      <c r="J867" s="22">
        <f>IF($A867="","",SUMPRODUCT(MAX((AgPac=$A867)*(AgStatus="Compareceu")*AgData)))</f>
        <v>0</v>
      </c>
    </row>
    <row r="868" spans="1:10">
      <c r="A868" s="15"/>
      <c r="B868" s="15"/>
      <c r="C868" s="15"/>
      <c r="D868" s="15"/>
      <c r="E868" s="15"/>
      <c r="F868" s="16"/>
      <c r="G868" s="15"/>
      <c r="H868" s="21">
        <f>IF($A868="","",COUNTIFS(AgPac,$A868,AgStatus,"Compareceu"))</f>
        <v>0</v>
      </c>
      <c r="I868" s="21">
        <f>IF($A868="","",COUNTIFS(AgPac,$A868,AgStatus,"Faltou"))</f>
        <v>0</v>
      </c>
      <c r="J868" s="22">
        <f>IF($A868="","",SUMPRODUCT(MAX((AgPac=$A868)*(AgStatus="Compareceu")*AgData)))</f>
        <v>0</v>
      </c>
    </row>
    <row r="869" spans="1:10">
      <c r="A869" s="15"/>
      <c r="B869" s="15"/>
      <c r="C869" s="15"/>
      <c r="D869" s="15"/>
      <c r="E869" s="15"/>
      <c r="F869" s="16"/>
      <c r="G869" s="15"/>
      <c r="H869" s="21">
        <f>IF($A869="","",COUNTIFS(AgPac,$A869,AgStatus,"Compareceu"))</f>
        <v>0</v>
      </c>
      <c r="I869" s="21">
        <f>IF($A869="","",COUNTIFS(AgPac,$A869,AgStatus,"Faltou"))</f>
        <v>0</v>
      </c>
      <c r="J869" s="22">
        <f>IF($A869="","",SUMPRODUCT(MAX((AgPac=$A869)*(AgStatus="Compareceu")*AgData)))</f>
        <v>0</v>
      </c>
    </row>
    <row r="870" spans="1:10">
      <c r="A870" s="15"/>
      <c r="B870" s="15"/>
      <c r="C870" s="15"/>
      <c r="D870" s="15"/>
      <c r="E870" s="15"/>
      <c r="F870" s="16"/>
      <c r="G870" s="15"/>
      <c r="H870" s="21">
        <f>IF($A870="","",COUNTIFS(AgPac,$A870,AgStatus,"Compareceu"))</f>
        <v>0</v>
      </c>
      <c r="I870" s="21">
        <f>IF($A870="","",COUNTIFS(AgPac,$A870,AgStatus,"Faltou"))</f>
        <v>0</v>
      </c>
      <c r="J870" s="22">
        <f>IF($A870="","",SUMPRODUCT(MAX((AgPac=$A870)*(AgStatus="Compareceu")*AgData)))</f>
        <v>0</v>
      </c>
    </row>
    <row r="871" spans="1:10">
      <c r="A871" s="15"/>
      <c r="B871" s="15"/>
      <c r="C871" s="15"/>
      <c r="D871" s="15"/>
      <c r="E871" s="15"/>
      <c r="F871" s="16"/>
      <c r="G871" s="15"/>
      <c r="H871" s="21">
        <f>IF($A871="","",COUNTIFS(AgPac,$A871,AgStatus,"Compareceu"))</f>
        <v>0</v>
      </c>
      <c r="I871" s="21">
        <f>IF($A871="","",COUNTIFS(AgPac,$A871,AgStatus,"Faltou"))</f>
        <v>0</v>
      </c>
      <c r="J871" s="22">
        <f>IF($A871="","",SUMPRODUCT(MAX((AgPac=$A871)*(AgStatus="Compareceu")*AgData)))</f>
        <v>0</v>
      </c>
    </row>
    <row r="872" spans="1:10">
      <c r="A872" s="15"/>
      <c r="B872" s="15"/>
      <c r="C872" s="15"/>
      <c r="D872" s="15"/>
      <c r="E872" s="15"/>
      <c r="F872" s="16"/>
      <c r="G872" s="15"/>
      <c r="H872" s="21">
        <f>IF($A872="","",COUNTIFS(AgPac,$A872,AgStatus,"Compareceu"))</f>
        <v>0</v>
      </c>
      <c r="I872" s="21">
        <f>IF($A872="","",COUNTIFS(AgPac,$A872,AgStatus,"Faltou"))</f>
        <v>0</v>
      </c>
      <c r="J872" s="22">
        <f>IF($A872="","",SUMPRODUCT(MAX((AgPac=$A872)*(AgStatus="Compareceu")*AgData)))</f>
        <v>0</v>
      </c>
    </row>
    <row r="873" spans="1:10">
      <c r="A873" s="15"/>
      <c r="B873" s="15"/>
      <c r="C873" s="15"/>
      <c r="D873" s="15"/>
      <c r="E873" s="15"/>
      <c r="F873" s="16"/>
      <c r="G873" s="15"/>
      <c r="H873" s="21">
        <f>IF($A873="","",COUNTIFS(AgPac,$A873,AgStatus,"Compareceu"))</f>
        <v>0</v>
      </c>
      <c r="I873" s="21">
        <f>IF($A873="","",COUNTIFS(AgPac,$A873,AgStatus,"Faltou"))</f>
        <v>0</v>
      </c>
      <c r="J873" s="22">
        <f>IF($A873="","",SUMPRODUCT(MAX((AgPac=$A873)*(AgStatus="Compareceu")*AgData)))</f>
        <v>0</v>
      </c>
    </row>
    <row r="874" spans="1:10">
      <c r="A874" s="15"/>
      <c r="B874" s="15"/>
      <c r="C874" s="15"/>
      <c r="D874" s="15"/>
      <c r="E874" s="15"/>
      <c r="F874" s="16"/>
      <c r="G874" s="15"/>
      <c r="H874" s="21">
        <f>IF($A874="","",COUNTIFS(AgPac,$A874,AgStatus,"Compareceu"))</f>
        <v>0</v>
      </c>
      <c r="I874" s="21">
        <f>IF($A874="","",COUNTIFS(AgPac,$A874,AgStatus,"Faltou"))</f>
        <v>0</v>
      </c>
      <c r="J874" s="22">
        <f>IF($A874="","",SUMPRODUCT(MAX((AgPac=$A874)*(AgStatus="Compareceu")*AgData)))</f>
        <v>0</v>
      </c>
    </row>
    <row r="875" spans="1:10">
      <c r="A875" s="15"/>
      <c r="B875" s="15"/>
      <c r="C875" s="15"/>
      <c r="D875" s="15"/>
      <c r="E875" s="15"/>
      <c r="F875" s="16"/>
      <c r="G875" s="15"/>
      <c r="H875" s="21">
        <f>IF($A875="","",COUNTIFS(AgPac,$A875,AgStatus,"Compareceu"))</f>
        <v>0</v>
      </c>
      <c r="I875" s="21">
        <f>IF($A875="","",COUNTIFS(AgPac,$A875,AgStatus,"Faltou"))</f>
        <v>0</v>
      </c>
      <c r="J875" s="22">
        <f>IF($A875="","",SUMPRODUCT(MAX((AgPac=$A875)*(AgStatus="Compareceu")*AgData)))</f>
        <v>0</v>
      </c>
    </row>
    <row r="876" spans="1:10">
      <c r="A876" s="15"/>
      <c r="B876" s="15"/>
      <c r="C876" s="15"/>
      <c r="D876" s="15"/>
      <c r="E876" s="15"/>
      <c r="F876" s="16"/>
      <c r="G876" s="15"/>
      <c r="H876" s="21">
        <f>IF($A876="","",COUNTIFS(AgPac,$A876,AgStatus,"Compareceu"))</f>
        <v>0</v>
      </c>
      <c r="I876" s="21">
        <f>IF($A876="","",COUNTIFS(AgPac,$A876,AgStatus,"Faltou"))</f>
        <v>0</v>
      </c>
      <c r="J876" s="22">
        <f>IF($A876="","",SUMPRODUCT(MAX((AgPac=$A876)*(AgStatus="Compareceu")*AgData)))</f>
        <v>0</v>
      </c>
    </row>
    <row r="877" spans="1:10">
      <c r="A877" s="15"/>
      <c r="B877" s="15"/>
      <c r="C877" s="15"/>
      <c r="D877" s="15"/>
      <c r="E877" s="15"/>
      <c r="F877" s="16"/>
      <c r="G877" s="15"/>
      <c r="H877" s="21">
        <f>IF($A877="","",COUNTIFS(AgPac,$A877,AgStatus,"Compareceu"))</f>
        <v>0</v>
      </c>
      <c r="I877" s="21">
        <f>IF($A877="","",COUNTIFS(AgPac,$A877,AgStatus,"Faltou"))</f>
        <v>0</v>
      </c>
      <c r="J877" s="22">
        <f>IF($A877="","",SUMPRODUCT(MAX((AgPac=$A877)*(AgStatus="Compareceu")*AgData)))</f>
        <v>0</v>
      </c>
    </row>
    <row r="878" spans="1:10">
      <c r="A878" s="15"/>
      <c r="B878" s="15"/>
      <c r="C878" s="15"/>
      <c r="D878" s="15"/>
      <c r="E878" s="15"/>
      <c r="F878" s="16"/>
      <c r="G878" s="15"/>
      <c r="H878" s="21">
        <f>IF($A878="","",COUNTIFS(AgPac,$A878,AgStatus,"Compareceu"))</f>
        <v>0</v>
      </c>
      <c r="I878" s="21">
        <f>IF($A878="","",COUNTIFS(AgPac,$A878,AgStatus,"Faltou"))</f>
        <v>0</v>
      </c>
      <c r="J878" s="22">
        <f>IF($A878="","",SUMPRODUCT(MAX((AgPac=$A878)*(AgStatus="Compareceu")*AgData)))</f>
        <v>0</v>
      </c>
    </row>
    <row r="879" spans="1:10">
      <c r="A879" s="15"/>
      <c r="B879" s="15"/>
      <c r="C879" s="15"/>
      <c r="D879" s="15"/>
      <c r="E879" s="15"/>
      <c r="F879" s="16"/>
      <c r="G879" s="15"/>
      <c r="H879" s="21">
        <f>IF($A879="","",COUNTIFS(AgPac,$A879,AgStatus,"Compareceu"))</f>
        <v>0</v>
      </c>
      <c r="I879" s="21">
        <f>IF($A879="","",COUNTIFS(AgPac,$A879,AgStatus,"Faltou"))</f>
        <v>0</v>
      </c>
      <c r="J879" s="22">
        <f>IF($A879="","",SUMPRODUCT(MAX((AgPac=$A879)*(AgStatus="Compareceu")*AgData)))</f>
        <v>0</v>
      </c>
    </row>
    <row r="880" spans="1:10">
      <c r="A880" s="15"/>
      <c r="B880" s="15"/>
      <c r="C880" s="15"/>
      <c r="D880" s="15"/>
      <c r="E880" s="15"/>
      <c r="F880" s="16"/>
      <c r="G880" s="15"/>
      <c r="H880" s="21">
        <f>IF($A880="","",COUNTIFS(AgPac,$A880,AgStatus,"Compareceu"))</f>
        <v>0</v>
      </c>
      <c r="I880" s="21">
        <f>IF($A880="","",COUNTIFS(AgPac,$A880,AgStatus,"Faltou"))</f>
        <v>0</v>
      </c>
      <c r="J880" s="22">
        <f>IF($A880="","",SUMPRODUCT(MAX((AgPac=$A880)*(AgStatus="Compareceu")*AgData)))</f>
        <v>0</v>
      </c>
    </row>
    <row r="881" spans="1:10">
      <c r="A881" s="15"/>
      <c r="B881" s="15"/>
      <c r="C881" s="15"/>
      <c r="D881" s="15"/>
      <c r="E881" s="15"/>
      <c r="F881" s="16"/>
      <c r="G881" s="15"/>
      <c r="H881" s="21">
        <f>IF($A881="","",COUNTIFS(AgPac,$A881,AgStatus,"Compareceu"))</f>
        <v>0</v>
      </c>
      <c r="I881" s="21">
        <f>IF($A881="","",COUNTIFS(AgPac,$A881,AgStatus,"Faltou"))</f>
        <v>0</v>
      </c>
      <c r="J881" s="22">
        <f>IF($A881="","",SUMPRODUCT(MAX((AgPac=$A881)*(AgStatus="Compareceu")*AgData)))</f>
        <v>0</v>
      </c>
    </row>
    <row r="882" spans="1:10">
      <c r="A882" s="15"/>
      <c r="B882" s="15"/>
      <c r="C882" s="15"/>
      <c r="D882" s="15"/>
      <c r="E882" s="15"/>
      <c r="F882" s="16"/>
      <c r="G882" s="15"/>
      <c r="H882" s="21">
        <f>IF($A882="","",COUNTIFS(AgPac,$A882,AgStatus,"Compareceu"))</f>
        <v>0</v>
      </c>
      <c r="I882" s="21">
        <f>IF($A882="","",COUNTIFS(AgPac,$A882,AgStatus,"Faltou"))</f>
        <v>0</v>
      </c>
      <c r="J882" s="22">
        <f>IF($A882="","",SUMPRODUCT(MAX((AgPac=$A882)*(AgStatus="Compareceu")*AgData)))</f>
        <v>0</v>
      </c>
    </row>
    <row r="883" spans="1:10">
      <c r="A883" s="15"/>
      <c r="B883" s="15"/>
      <c r="C883" s="15"/>
      <c r="D883" s="15"/>
      <c r="E883" s="15"/>
      <c r="F883" s="16"/>
      <c r="G883" s="15"/>
      <c r="H883" s="21">
        <f>IF($A883="","",COUNTIFS(AgPac,$A883,AgStatus,"Compareceu"))</f>
        <v>0</v>
      </c>
      <c r="I883" s="21">
        <f>IF($A883="","",COUNTIFS(AgPac,$A883,AgStatus,"Faltou"))</f>
        <v>0</v>
      </c>
      <c r="J883" s="22">
        <f>IF($A883="","",SUMPRODUCT(MAX((AgPac=$A883)*(AgStatus="Compareceu")*AgData)))</f>
        <v>0</v>
      </c>
    </row>
    <row r="884" spans="1:10">
      <c r="A884" s="15"/>
      <c r="B884" s="15"/>
      <c r="C884" s="15"/>
      <c r="D884" s="15"/>
      <c r="E884" s="15"/>
      <c r="F884" s="16"/>
      <c r="G884" s="15"/>
      <c r="H884" s="21">
        <f>IF($A884="","",COUNTIFS(AgPac,$A884,AgStatus,"Compareceu"))</f>
        <v>0</v>
      </c>
      <c r="I884" s="21">
        <f>IF($A884="","",COUNTIFS(AgPac,$A884,AgStatus,"Faltou"))</f>
        <v>0</v>
      </c>
      <c r="J884" s="22">
        <f>IF($A884="","",SUMPRODUCT(MAX((AgPac=$A884)*(AgStatus="Compareceu")*AgData)))</f>
        <v>0</v>
      </c>
    </row>
    <row r="885" spans="1:10">
      <c r="A885" s="15"/>
      <c r="B885" s="15"/>
      <c r="C885" s="15"/>
      <c r="D885" s="15"/>
      <c r="E885" s="15"/>
      <c r="F885" s="16"/>
      <c r="G885" s="15"/>
      <c r="H885" s="21">
        <f>IF($A885="","",COUNTIFS(AgPac,$A885,AgStatus,"Compareceu"))</f>
        <v>0</v>
      </c>
      <c r="I885" s="21">
        <f>IF($A885="","",COUNTIFS(AgPac,$A885,AgStatus,"Faltou"))</f>
        <v>0</v>
      </c>
      <c r="J885" s="22">
        <f>IF($A885="","",SUMPRODUCT(MAX((AgPac=$A885)*(AgStatus="Compareceu")*AgData)))</f>
        <v>0</v>
      </c>
    </row>
    <row r="886" spans="1:10">
      <c r="A886" s="15"/>
      <c r="B886" s="15"/>
      <c r="C886" s="15"/>
      <c r="D886" s="15"/>
      <c r="E886" s="15"/>
      <c r="F886" s="16"/>
      <c r="G886" s="15"/>
      <c r="H886" s="21">
        <f>IF($A886="","",COUNTIFS(AgPac,$A886,AgStatus,"Compareceu"))</f>
        <v>0</v>
      </c>
      <c r="I886" s="21">
        <f>IF($A886="","",COUNTIFS(AgPac,$A886,AgStatus,"Faltou"))</f>
        <v>0</v>
      </c>
      <c r="J886" s="22">
        <f>IF($A886="","",SUMPRODUCT(MAX((AgPac=$A886)*(AgStatus="Compareceu")*AgData)))</f>
        <v>0</v>
      </c>
    </row>
    <row r="887" spans="1:10">
      <c r="A887" s="15"/>
      <c r="B887" s="15"/>
      <c r="C887" s="15"/>
      <c r="D887" s="15"/>
      <c r="E887" s="15"/>
      <c r="F887" s="16"/>
      <c r="G887" s="15"/>
      <c r="H887" s="21">
        <f>IF($A887="","",COUNTIFS(AgPac,$A887,AgStatus,"Compareceu"))</f>
        <v>0</v>
      </c>
      <c r="I887" s="21">
        <f>IF($A887="","",COUNTIFS(AgPac,$A887,AgStatus,"Faltou"))</f>
        <v>0</v>
      </c>
      <c r="J887" s="22">
        <f>IF($A887="","",SUMPRODUCT(MAX((AgPac=$A887)*(AgStatus="Compareceu")*AgData)))</f>
        <v>0</v>
      </c>
    </row>
    <row r="888" spans="1:10">
      <c r="A888" s="15"/>
      <c r="B888" s="15"/>
      <c r="C888" s="15"/>
      <c r="D888" s="15"/>
      <c r="E888" s="15"/>
      <c r="F888" s="16"/>
      <c r="G888" s="15"/>
      <c r="H888" s="21">
        <f>IF($A888="","",COUNTIFS(AgPac,$A888,AgStatus,"Compareceu"))</f>
        <v>0</v>
      </c>
      <c r="I888" s="21">
        <f>IF($A888="","",COUNTIFS(AgPac,$A888,AgStatus,"Faltou"))</f>
        <v>0</v>
      </c>
      <c r="J888" s="22">
        <f>IF($A888="","",SUMPRODUCT(MAX((AgPac=$A888)*(AgStatus="Compareceu")*AgData)))</f>
        <v>0</v>
      </c>
    </row>
    <row r="889" spans="1:10">
      <c r="A889" s="15"/>
      <c r="B889" s="15"/>
      <c r="C889" s="15"/>
      <c r="D889" s="15"/>
      <c r="E889" s="15"/>
      <c r="F889" s="16"/>
      <c r="G889" s="15"/>
      <c r="H889" s="21">
        <f>IF($A889="","",COUNTIFS(AgPac,$A889,AgStatus,"Compareceu"))</f>
        <v>0</v>
      </c>
      <c r="I889" s="21">
        <f>IF($A889="","",COUNTIFS(AgPac,$A889,AgStatus,"Faltou"))</f>
        <v>0</v>
      </c>
      <c r="J889" s="22">
        <f>IF($A889="","",SUMPRODUCT(MAX((AgPac=$A889)*(AgStatus="Compareceu")*AgData)))</f>
        <v>0</v>
      </c>
    </row>
    <row r="890" spans="1:10">
      <c r="A890" s="15"/>
      <c r="B890" s="15"/>
      <c r="C890" s="15"/>
      <c r="D890" s="15"/>
      <c r="E890" s="15"/>
      <c r="F890" s="16"/>
      <c r="G890" s="15"/>
      <c r="H890" s="21">
        <f>IF($A890="","",COUNTIFS(AgPac,$A890,AgStatus,"Compareceu"))</f>
        <v>0</v>
      </c>
      <c r="I890" s="21">
        <f>IF($A890="","",COUNTIFS(AgPac,$A890,AgStatus,"Faltou"))</f>
        <v>0</v>
      </c>
      <c r="J890" s="22">
        <f>IF($A890="","",SUMPRODUCT(MAX((AgPac=$A890)*(AgStatus="Compareceu")*AgData)))</f>
        <v>0</v>
      </c>
    </row>
    <row r="891" spans="1:10">
      <c r="A891" s="15"/>
      <c r="B891" s="15"/>
      <c r="C891" s="15"/>
      <c r="D891" s="15"/>
      <c r="E891" s="15"/>
      <c r="F891" s="16"/>
      <c r="G891" s="15"/>
      <c r="H891" s="21">
        <f>IF($A891="","",COUNTIFS(AgPac,$A891,AgStatus,"Compareceu"))</f>
        <v>0</v>
      </c>
      <c r="I891" s="21">
        <f>IF($A891="","",COUNTIFS(AgPac,$A891,AgStatus,"Faltou"))</f>
        <v>0</v>
      </c>
      <c r="J891" s="22">
        <f>IF($A891="","",SUMPRODUCT(MAX((AgPac=$A891)*(AgStatus="Compareceu")*AgData)))</f>
        <v>0</v>
      </c>
    </row>
    <row r="892" spans="1:10">
      <c r="A892" s="15"/>
      <c r="B892" s="15"/>
      <c r="C892" s="15"/>
      <c r="D892" s="15"/>
      <c r="E892" s="15"/>
      <c r="F892" s="16"/>
      <c r="G892" s="15"/>
      <c r="H892" s="21">
        <f>IF($A892="","",COUNTIFS(AgPac,$A892,AgStatus,"Compareceu"))</f>
        <v>0</v>
      </c>
      <c r="I892" s="21">
        <f>IF($A892="","",COUNTIFS(AgPac,$A892,AgStatus,"Faltou"))</f>
        <v>0</v>
      </c>
      <c r="J892" s="22">
        <f>IF($A892="","",SUMPRODUCT(MAX((AgPac=$A892)*(AgStatus="Compareceu")*AgData)))</f>
        <v>0</v>
      </c>
    </row>
    <row r="893" spans="1:10">
      <c r="A893" s="15"/>
      <c r="B893" s="15"/>
      <c r="C893" s="15"/>
      <c r="D893" s="15"/>
      <c r="E893" s="15"/>
      <c r="F893" s="16"/>
      <c r="G893" s="15"/>
      <c r="H893" s="21">
        <f>IF($A893="","",COUNTIFS(AgPac,$A893,AgStatus,"Compareceu"))</f>
        <v>0</v>
      </c>
      <c r="I893" s="21">
        <f>IF($A893="","",COUNTIFS(AgPac,$A893,AgStatus,"Faltou"))</f>
        <v>0</v>
      </c>
      <c r="J893" s="22">
        <f>IF($A893="","",SUMPRODUCT(MAX((AgPac=$A893)*(AgStatus="Compareceu")*AgData)))</f>
        <v>0</v>
      </c>
    </row>
    <row r="894" spans="1:10">
      <c r="A894" s="15"/>
      <c r="B894" s="15"/>
      <c r="C894" s="15"/>
      <c r="D894" s="15"/>
      <c r="E894" s="15"/>
      <c r="F894" s="16"/>
      <c r="G894" s="15"/>
      <c r="H894" s="21">
        <f>IF($A894="","",COUNTIFS(AgPac,$A894,AgStatus,"Compareceu"))</f>
        <v>0</v>
      </c>
      <c r="I894" s="21">
        <f>IF($A894="","",COUNTIFS(AgPac,$A894,AgStatus,"Faltou"))</f>
        <v>0</v>
      </c>
      <c r="J894" s="22">
        <f>IF($A894="","",SUMPRODUCT(MAX((AgPac=$A894)*(AgStatus="Compareceu")*AgData)))</f>
        <v>0</v>
      </c>
    </row>
    <row r="895" spans="1:10">
      <c r="A895" s="15"/>
      <c r="B895" s="15"/>
      <c r="C895" s="15"/>
      <c r="D895" s="15"/>
      <c r="E895" s="15"/>
      <c r="F895" s="16"/>
      <c r="G895" s="15"/>
      <c r="H895" s="21">
        <f>IF($A895="","",COUNTIFS(AgPac,$A895,AgStatus,"Compareceu"))</f>
        <v>0</v>
      </c>
      <c r="I895" s="21">
        <f>IF($A895="","",COUNTIFS(AgPac,$A895,AgStatus,"Faltou"))</f>
        <v>0</v>
      </c>
      <c r="J895" s="22">
        <f>IF($A895="","",SUMPRODUCT(MAX((AgPac=$A895)*(AgStatus="Compareceu")*AgData)))</f>
        <v>0</v>
      </c>
    </row>
    <row r="896" spans="1:10">
      <c r="A896" s="15"/>
      <c r="B896" s="15"/>
      <c r="C896" s="15"/>
      <c r="D896" s="15"/>
      <c r="E896" s="15"/>
      <c r="F896" s="16"/>
      <c r="G896" s="15"/>
      <c r="H896" s="21">
        <f>IF($A896="","",COUNTIFS(AgPac,$A896,AgStatus,"Compareceu"))</f>
        <v>0</v>
      </c>
      <c r="I896" s="21">
        <f>IF($A896="","",COUNTIFS(AgPac,$A896,AgStatus,"Faltou"))</f>
        <v>0</v>
      </c>
      <c r="J896" s="22">
        <f>IF($A896="","",SUMPRODUCT(MAX((AgPac=$A896)*(AgStatus="Compareceu")*AgData)))</f>
        <v>0</v>
      </c>
    </row>
    <row r="897" spans="1:10">
      <c r="A897" s="15"/>
      <c r="B897" s="15"/>
      <c r="C897" s="15"/>
      <c r="D897" s="15"/>
      <c r="E897" s="15"/>
      <c r="F897" s="16"/>
      <c r="G897" s="15"/>
      <c r="H897" s="21">
        <f>IF($A897="","",COUNTIFS(AgPac,$A897,AgStatus,"Compareceu"))</f>
        <v>0</v>
      </c>
      <c r="I897" s="21">
        <f>IF($A897="","",COUNTIFS(AgPac,$A897,AgStatus,"Faltou"))</f>
        <v>0</v>
      </c>
      <c r="J897" s="22">
        <f>IF($A897="","",SUMPRODUCT(MAX((AgPac=$A897)*(AgStatus="Compareceu")*AgData)))</f>
        <v>0</v>
      </c>
    </row>
    <row r="898" spans="1:10">
      <c r="A898" s="15"/>
      <c r="B898" s="15"/>
      <c r="C898" s="15"/>
      <c r="D898" s="15"/>
      <c r="E898" s="15"/>
      <c r="F898" s="16"/>
      <c r="G898" s="15"/>
      <c r="H898" s="21">
        <f>IF($A898="","",COUNTIFS(AgPac,$A898,AgStatus,"Compareceu"))</f>
        <v>0</v>
      </c>
      <c r="I898" s="21">
        <f>IF($A898="","",COUNTIFS(AgPac,$A898,AgStatus,"Faltou"))</f>
        <v>0</v>
      </c>
      <c r="J898" s="22">
        <f>IF($A898="","",SUMPRODUCT(MAX((AgPac=$A898)*(AgStatus="Compareceu")*AgData)))</f>
        <v>0</v>
      </c>
    </row>
    <row r="899" spans="1:10">
      <c r="A899" s="15"/>
      <c r="B899" s="15"/>
      <c r="C899" s="15"/>
      <c r="D899" s="15"/>
      <c r="E899" s="15"/>
      <c r="F899" s="16"/>
      <c r="G899" s="15"/>
      <c r="H899" s="21">
        <f>IF($A899="","",COUNTIFS(AgPac,$A899,AgStatus,"Compareceu"))</f>
        <v>0</v>
      </c>
      <c r="I899" s="21">
        <f>IF($A899="","",COUNTIFS(AgPac,$A899,AgStatus,"Faltou"))</f>
        <v>0</v>
      </c>
      <c r="J899" s="22">
        <f>IF($A899="","",SUMPRODUCT(MAX((AgPac=$A899)*(AgStatus="Compareceu")*AgData)))</f>
        <v>0</v>
      </c>
    </row>
    <row r="900" spans="1:10">
      <c r="A900" s="15"/>
      <c r="B900" s="15"/>
      <c r="C900" s="15"/>
      <c r="D900" s="15"/>
      <c r="E900" s="15"/>
      <c r="F900" s="16"/>
      <c r="G900" s="15"/>
      <c r="H900" s="21">
        <f>IF($A900="","",COUNTIFS(AgPac,$A900,AgStatus,"Compareceu"))</f>
        <v>0</v>
      </c>
      <c r="I900" s="21">
        <f>IF($A900="","",COUNTIFS(AgPac,$A900,AgStatus,"Faltou"))</f>
        <v>0</v>
      </c>
      <c r="J900" s="22">
        <f>IF($A900="","",SUMPRODUCT(MAX((AgPac=$A900)*(AgStatus="Compareceu")*AgData)))</f>
        <v>0</v>
      </c>
    </row>
    <row r="901" spans="1:10">
      <c r="A901" s="15"/>
      <c r="B901" s="15"/>
      <c r="C901" s="15"/>
      <c r="D901" s="15"/>
      <c r="E901" s="15"/>
      <c r="F901" s="16"/>
      <c r="G901" s="15"/>
      <c r="H901" s="21">
        <f>IF($A901="","",COUNTIFS(AgPac,$A901,AgStatus,"Compareceu"))</f>
        <v>0</v>
      </c>
      <c r="I901" s="21">
        <f>IF($A901="","",COUNTIFS(AgPac,$A901,AgStatus,"Faltou"))</f>
        <v>0</v>
      </c>
      <c r="J901" s="22">
        <f>IF($A901="","",SUMPRODUCT(MAX((AgPac=$A901)*(AgStatus="Compareceu")*AgData)))</f>
        <v>0</v>
      </c>
    </row>
    <row r="902" spans="1:10">
      <c r="A902" s="15"/>
      <c r="B902" s="15"/>
      <c r="C902" s="15"/>
      <c r="D902" s="15"/>
      <c r="E902" s="15"/>
      <c r="F902" s="16"/>
      <c r="G902" s="15"/>
      <c r="H902" s="21">
        <f>IF($A902="","",COUNTIFS(AgPac,$A902,AgStatus,"Compareceu"))</f>
        <v>0</v>
      </c>
      <c r="I902" s="21">
        <f>IF($A902="","",COUNTIFS(AgPac,$A902,AgStatus,"Faltou"))</f>
        <v>0</v>
      </c>
      <c r="J902" s="22">
        <f>IF($A902="","",SUMPRODUCT(MAX((AgPac=$A902)*(AgStatus="Compareceu")*AgData)))</f>
        <v>0</v>
      </c>
    </row>
    <row r="903" spans="1:10">
      <c r="A903" s="15"/>
      <c r="B903" s="15"/>
      <c r="C903" s="15"/>
      <c r="D903" s="15"/>
      <c r="E903" s="15"/>
      <c r="F903" s="16"/>
      <c r="G903" s="15"/>
      <c r="H903" s="21">
        <f>IF($A903="","",COUNTIFS(AgPac,$A903,AgStatus,"Compareceu"))</f>
        <v>0</v>
      </c>
      <c r="I903" s="21">
        <f>IF($A903="","",COUNTIFS(AgPac,$A903,AgStatus,"Faltou"))</f>
        <v>0</v>
      </c>
      <c r="J903" s="22">
        <f>IF($A903="","",SUMPRODUCT(MAX((AgPac=$A903)*(AgStatus="Compareceu")*AgData)))</f>
        <v>0</v>
      </c>
    </row>
    <row r="904" spans="1:10">
      <c r="A904" s="15"/>
      <c r="B904" s="15"/>
      <c r="C904" s="15"/>
      <c r="D904" s="15"/>
      <c r="E904" s="15"/>
      <c r="F904" s="16"/>
      <c r="G904" s="15"/>
      <c r="H904" s="21">
        <f>IF($A904="","",COUNTIFS(AgPac,$A904,AgStatus,"Compareceu"))</f>
        <v>0</v>
      </c>
      <c r="I904" s="21">
        <f>IF($A904="","",COUNTIFS(AgPac,$A904,AgStatus,"Faltou"))</f>
        <v>0</v>
      </c>
      <c r="J904" s="22">
        <f>IF($A904="","",SUMPRODUCT(MAX((AgPac=$A904)*(AgStatus="Compareceu")*AgData)))</f>
        <v>0</v>
      </c>
    </row>
    <row r="905" spans="1:10">
      <c r="A905" s="15"/>
      <c r="B905" s="15"/>
      <c r="C905" s="15"/>
      <c r="D905" s="15"/>
      <c r="E905" s="15"/>
      <c r="F905" s="16"/>
      <c r="G905" s="15"/>
      <c r="H905" s="21">
        <f>IF($A905="","",COUNTIFS(AgPac,$A905,AgStatus,"Compareceu"))</f>
        <v>0</v>
      </c>
      <c r="I905" s="21">
        <f>IF($A905="","",COUNTIFS(AgPac,$A905,AgStatus,"Faltou"))</f>
        <v>0</v>
      </c>
      <c r="J905" s="22">
        <f>IF($A905="","",SUMPRODUCT(MAX((AgPac=$A905)*(AgStatus="Compareceu")*AgData)))</f>
        <v>0</v>
      </c>
    </row>
    <row r="906" spans="1:10">
      <c r="A906" s="15"/>
      <c r="B906" s="15"/>
      <c r="C906" s="15"/>
      <c r="D906" s="15"/>
      <c r="E906" s="15"/>
      <c r="F906" s="16"/>
      <c r="G906" s="15"/>
      <c r="H906" s="21">
        <f>IF($A906="","",COUNTIFS(AgPac,$A906,AgStatus,"Compareceu"))</f>
        <v>0</v>
      </c>
      <c r="I906" s="21">
        <f>IF($A906="","",COUNTIFS(AgPac,$A906,AgStatus,"Faltou"))</f>
        <v>0</v>
      </c>
      <c r="J906" s="22">
        <f>IF($A906="","",SUMPRODUCT(MAX((AgPac=$A906)*(AgStatus="Compareceu")*AgData)))</f>
        <v>0</v>
      </c>
    </row>
    <row r="907" spans="1:10">
      <c r="A907" s="15"/>
      <c r="B907" s="15"/>
      <c r="C907" s="15"/>
      <c r="D907" s="15"/>
      <c r="E907" s="15"/>
      <c r="F907" s="16"/>
      <c r="G907" s="15"/>
      <c r="H907" s="21">
        <f>IF($A907="","",COUNTIFS(AgPac,$A907,AgStatus,"Compareceu"))</f>
        <v>0</v>
      </c>
      <c r="I907" s="21">
        <f>IF($A907="","",COUNTIFS(AgPac,$A907,AgStatus,"Faltou"))</f>
        <v>0</v>
      </c>
      <c r="J907" s="22">
        <f>IF($A907="","",SUMPRODUCT(MAX((AgPac=$A907)*(AgStatus="Compareceu")*AgData)))</f>
        <v>0</v>
      </c>
    </row>
    <row r="908" spans="1:10">
      <c r="A908" s="15"/>
      <c r="B908" s="15"/>
      <c r="C908" s="15"/>
      <c r="D908" s="15"/>
      <c r="E908" s="15"/>
      <c r="F908" s="16"/>
      <c r="G908" s="15"/>
      <c r="H908" s="21">
        <f>IF($A908="","",COUNTIFS(AgPac,$A908,AgStatus,"Compareceu"))</f>
        <v>0</v>
      </c>
      <c r="I908" s="21">
        <f>IF($A908="","",COUNTIFS(AgPac,$A908,AgStatus,"Faltou"))</f>
        <v>0</v>
      </c>
      <c r="J908" s="22">
        <f>IF($A908="","",SUMPRODUCT(MAX((AgPac=$A908)*(AgStatus="Compareceu")*AgData)))</f>
        <v>0</v>
      </c>
    </row>
    <row r="909" spans="1:10">
      <c r="A909" s="15"/>
      <c r="B909" s="15"/>
      <c r="C909" s="15"/>
      <c r="D909" s="15"/>
      <c r="E909" s="15"/>
      <c r="F909" s="16"/>
      <c r="G909" s="15"/>
      <c r="H909" s="21">
        <f>IF($A909="","",COUNTIFS(AgPac,$A909,AgStatus,"Compareceu"))</f>
        <v>0</v>
      </c>
      <c r="I909" s="21">
        <f>IF($A909="","",COUNTIFS(AgPac,$A909,AgStatus,"Faltou"))</f>
        <v>0</v>
      </c>
      <c r="J909" s="22">
        <f>IF($A909="","",SUMPRODUCT(MAX((AgPac=$A909)*(AgStatus="Compareceu")*AgData)))</f>
        <v>0</v>
      </c>
    </row>
    <row r="910" spans="1:10">
      <c r="A910" s="15"/>
      <c r="B910" s="15"/>
      <c r="C910" s="15"/>
      <c r="D910" s="15"/>
      <c r="E910" s="15"/>
      <c r="F910" s="16"/>
      <c r="G910" s="15"/>
      <c r="H910" s="21">
        <f>IF($A910="","",COUNTIFS(AgPac,$A910,AgStatus,"Compareceu"))</f>
        <v>0</v>
      </c>
      <c r="I910" s="21">
        <f>IF($A910="","",COUNTIFS(AgPac,$A910,AgStatus,"Faltou"))</f>
        <v>0</v>
      </c>
      <c r="J910" s="22">
        <f>IF($A910="","",SUMPRODUCT(MAX((AgPac=$A910)*(AgStatus="Compareceu")*AgData)))</f>
        <v>0</v>
      </c>
    </row>
    <row r="911" spans="1:10">
      <c r="A911" s="15"/>
      <c r="B911" s="15"/>
      <c r="C911" s="15"/>
      <c r="D911" s="15"/>
      <c r="E911" s="15"/>
      <c r="F911" s="16"/>
      <c r="G911" s="15"/>
      <c r="H911" s="21">
        <f>IF($A911="","",COUNTIFS(AgPac,$A911,AgStatus,"Compareceu"))</f>
        <v>0</v>
      </c>
      <c r="I911" s="21">
        <f>IF($A911="","",COUNTIFS(AgPac,$A911,AgStatus,"Faltou"))</f>
        <v>0</v>
      </c>
      <c r="J911" s="22">
        <f>IF($A911="","",SUMPRODUCT(MAX((AgPac=$A911)*(AgStatus="Compareceu")*AgData)))</f>
        <v>0</v>
      </c>
    </row>
    <row r="912" spans="1:10">
      <c r="A912" s="15"/>
      <c r="B912" s="15"/>
      <c r="C912" s="15"/>
      <c r="D912" s="15"/>
      <c r="E912" s="15"/>
      <c r="F912" s="16"/>
      <c r="G912" s="15"/>
      <c r="H912" s="21">
        <f>IF($A912="","",COUNTIFS(AgPac,$A912,AgStatus,"Compareceu"))</f>
        <v>0</v>
      </c>
      <c r="I912" s="21">
        <f>IF($A912="","",COUNTIFS(AgPac,$A912,AgStatus,"Faltou"))</f>
        <v>0</v>
      </c>
      <c r="J912" s="22">
        <f>IF($A912="","",SUMPRODUCT(MAX((AgPac=$A912)*(AgStatus="Compareceu")*AgData)))</f>
        <v>0</v>
      </c>
    </row>
    <row r="913" spans="1:10">
      <c r="A913" s="15"/>
      <c r="B913" s="15"/>
      <c r="C913" s="15"/>
      <c r="D913" s="15"/>
      <c r="E913" s="15"/>
      <c r="F913" s="16"/>
      <c r="G913" s="15"/>
      <c r="H913" s="21">
        <f>IF($A913="","",COUNTIFS(AgPac,$A913,AgStatus,"Compareceu"))</f>
        <v>0</v>
      </c>
      <c r="I913" s="21">
        <f>IF($A913="","",COUNTIFS(AgPac,$A913,AgStatus,"Faltou"))</f>
        <v>0</v>
      </c>
      <c r="J913" s="22">
        <f>IF($A913="","",SUMPRODUCT(MAX((AgPac=$A913)*(AgStatus="Compareceu")*AgData)))</f>
        <v>0</v>
      </c>
    </row>
    <row r="914" spans="1:10">
      <c r="A914" s="15"/>
      <c r="B914" s="15"/>
      <c r="C914" s="15"/>
      <c r="D914" s="15"/>
      <c r="E914" s="15"/>
      <c r="F914" s="16"/>
      <c r="G914" s="15"/>
      <c r="H914" s="21">
        <f>IF($A914="","",COUNTIFS(AgPac,$A914,AgStatus,"Compareceu"))</f>
        <v>0</v>
      </c>
      <c r="I914" s="21">
        <f>IF($A914="","",COUNTIFS(AgPac,$A914,AgStatus,"Faltou"))</f>
        <v>0</v>
      </c>
      <c r="J914" s="22">
        <f>IF($A914="","",SUMPRODUCT(MAX((AgPac=$A914)*(AgStatus="Compareceu")*AgData)))</f>
        <v>0</v>
      </c>
    </row>
    <row r="915" spans="1:10">
      <c r="A915" s="15"/>
      <c r="B915" s="15"/>
      <c r="C915" s="15"/>
      <c r="D915" s="15"/>
      <c r="E915" s="15"/>
      <c r="F915" s="16"/>
      <c r="G915" s="15"/>
      <c r="H915" s="21">
        <f>IF($A915="","",COUNTIFS(AgPac,$A915,AgStatus,"Compareceu"))</f>
        <v>0</v>
      </c>
      <c r="I915" s="21">
        <f>IF($A915="","",COUNTIFS(AgPac,$A915,AgStatus,"Faltou"))</f>
        <v>0</v>
      </c>
      <c r="J915" s="22">
        <f>IF($A915="","",SUMPRODUCT(MAX((AgPac=$A915)*(AgStatus="Compareceu")*AgData)))</f>
        <v>0</v>
      </c>
    </row>
    <row r="916" spans="1:10">
      <c r="A916" s="15"/>
      <c r="B916" s="15"/>
      <c r="C916" s="15"/>
      <c r="D916" s="15"/>
      <c r="E916" s="15"/>
      <c r="F916" s="16"/>
      <c r="G916" s="15"/>
      <c r="H916" s="21">
        <f>IF($A916="","",COUNTIFS(AgPac,$A916,AgStatus,"Compareceu"))</f>
        <v>0</v>
      </c>
      <c r="I916" s="21">
        <f>IF($A916="","",COUNTIFS(AgPac,$A916,AgStatus,"Faltou"))</f>
        <v>0</v>
      </c>
      <c r="J916" s="22">
        <f>IF($A916="","",SUMPRODUCT(MAX((AgPac=$A916)*(AgStatus="Compareceu")*AgData)))</f>
        <v>0</v>
      </c>
    </row>
    <row r="917" spans="1:10">
      <c r="A917" s="15"/>
      <c r="B917" s="15"/>
      <c r="C917" s="15"/>
      <c r="D917" s="15"/>
      <c r="E917" s="15"/>
      <c r="F917" s="16"/>
      <c r="G917" s="15"/>
      <c r="H917" s="21">
        <f>IF($A917="","",COUNTIFS(AgPac,$A917,AgStatus,"Compareceu"))</f>
        <v>0</v>
      </c>
      <c r="I917" s="21">
        <f>IF($A917="","",COUNTIFS(AgPac,$A917,AgStatus,"Faltou"))</f>
        <v>0</v>
      </c>
      <c r="J917" s="22">
        <f>IF($A917="","",SUMPRODUCT(MAX((AgPac=$A917)*(AgStatus="Compareceu")*AgData)))</f>
        <v>0</v>
      </c>
    </row>
    <row r="918" spans="1:10">
      <c r="A918" s="15"/>
      <c r="B918" s="15"/>
      <c r="C918" s="15"/>
      <c r="D918" s="15"/>
      <c r="E918" s="15"/>
      <c r="F918" s="16"/>
      <c r="G918" s="15"/>
      <c r="H918" s="21">
        <f>IF($A918="","",COUNTIFS(AgPac,$A918,AgStatus,"Compareceu"))</f>
        <v>0</v>
      </c>
      <c r="I918" s="21">
        <f>IF($A918="","",COUNTIFS(AgPac,$A918,AgStatus,"Faltou"))</f>
        <v>0</v>
      </c>
      <c r="J918" s="22">
        <f>IF($A918="","",SUMPRODUCT(MAX((AgPac=$A918)*(AgStatus="Compareceu")*AgData)))</f>
        <v>0</v>
      </c>
    </row>
    <row r="919" spans="1:10">
      <c r="A919" s="15"/>
      <c r="B919" s="15"/>
      <c r="C919" s="15"/>
      <c r="D919" s="15"/>
      <c r="E919" s="15"/>
      <c r="F919" s="16"/>
      <c r="G919" s="15"/>
      <c r="H919" s="21">
        <f>IF($A919="","",COUNTIFS(AgPac,$A919,AgStatus,"Compareceu"))</f>
        <v>0</v>
      </c>
      <c r="I919" s="21">
        <f>IF($A919="","",COUNTIFS(AgPac,$A919,AgStatus,"Faltou"))</f>
        <v>0</v>
      </c>
      <c r="J919" s="22">
        <f>IF($A919="","",SUMPRODUCT(MAX((AgPac=$A919)*(AgStatus="Compareceu")*AgData)))</f>
        <v>0</v>
      </c>
    </row>
    <row r="920" spans="1:10">
      <c r="A920" s="15"/>
      <c r="B920" s="15"/>
      <c r="C920" s="15"/>
      <c r="D920" s="15"/>
      <c r="E920" s="15"/>
      <c r="F920" s="16"/>
      <c r="G920" s="15"/>
      <c r="H920" s="21">
        <f>IF($A920="","",COUNTIFS(AgPac,$A920,AgStatus,"Compareceu"))</f>
        <v>0</v>
      </c>
      <c r="I920" s="21">
        <f>IF($A920="","",COUNTIFS(AgPac,$A920,AgStatus,"Faltou"))</f>
        <v>0</v>
      </c>
      <c r="J920" s="22">
        <f>IF($A920="","",SUMPRODUCT(MAX((AgPac=$A920)*(AgStatus="Compareceu")*AgData)))</f>
        <v>0</v>
      </c>
    </row>
    <row r="921" spans="1:10">
      <c r="A921" s="15"/>
      <c r="B921" s="15"/>
      <c r="C921" s="15"/>
      <c r="D921" s="15"/>
      <c r="E921" s="15"/>
      <c r="F921" s="16"/>
      <c r="G921" s="15"/>
      <c r="H921" s="21">
        <f>IF($A921="","",COUNTIFS(AgPac,$A921,AgStatus,"Compareceu"))</f>
        <v>0</v>
      </c>
      <c r="I921" s="21">
        <f>IF($A921="","",COUNTIFS(AgPac,$A921,AgStatus,"Faltou"))</f>
        <v>0</v>
      </c>
      <c r="J921" s="22">
        <f>IF($A921="","",SUMPRODUCT(MAX((AgPac=$A921)*(AgStatus="Compareceu")*AgData)))</f>
        <v>0</v>
      </c>
    </row>
    <row r="922" spans="1:10">
      <c r="A922" s="15"/>
      <c r="B922" s="15"/>
      <c r="C922" s="15"/>
      <c r="D922" s="15"/>
      <c r="E922" s="15"/>
      <c r="F922" s="16"/>
      <c r="G922" s="15"/>
      <c r="H922" s="21">
        <f>IF($A922="","",COUNTIFS(AgPac,$A922,AgStatus,"Compareceu"))</f>
        <v>0</v>
      </c>
      <c r="I922" s="21">
        <f>IF($A922="","",COUNTIFS(AgPac,$A922,AgStatus,"Faltou"))</f>
        <v>0</v>
      </c>
      <c r="J922" s="22">
        <f>IF($A922="","",SUMPRODUCT(MAX((AgPac=$A922)*(AgStatus="Compareceu")*AgData)))</f>
        <v>0</v>
      </c>
    </row>
    <row r="923" spans="1:10">
      <c r="A923" s="15"/>
      <c r="B923" s="15"/>
      <c r="C923" s="15"/>
      <c r="D923" s="15"/>
      <c r="E923" s="15"/>
      <c r="F923" s="16"/>
      <c r="G923" s="15"/>
      <c r="H923" s="21">
        <f>IF($A923="","",COUNTIFS(AgPac,$A923,AgStatus,"Compareceu"))</f>
        <v>0</v>
      </c>
      <c r="I923" s="21">
        <f>IF($A923="","",COUNTIFS(AgPac,$A923,AgStatus,"Faltou"))</f>
        <v>0</v>
      </c>
      <c r="J923" s="22">
        <f>IF($A923="","",SUMPRODUCT(MAX((AgPac=$A923)*(AgStatus="Compareceu")*AgData)))</f>
        <v>0</v>
      </c>
    </row>
    <row r="924" spans="1:10">
      <c r="A924" s="15"/>
      <c r="B924" s="15"/>
      <c r="C924" s="15"/>
      <c r="D924" s="15"/>
      <c r="E924" s="15"/>
      <c r="F924" s="16"/>
      <c r="G924" s="15"/>
      <c r="H924" s="21">
        <f>IF($A924="","",COUNTIFS(AgPac,$A924,AgStatus,"Compareceu"))</f>
        <v>0</v>
      </c>
      <c r="I924" s="21">
        <f>IF($A924="","",COUNTIFS(AgPac,$A924,AgStatus,"Faltou"))</f>
        <v>0</v>
      </c>
      <c r="J924" s="22">
        <f>IF($A924="","",SUMPRODUCT(MAX((AgPac=$A924)*(AgStatus="Compareceu")*AgData)))</f>
        <v>0</v>
      </c>
    </row>
    <row r="925" spans="1:10">
      <c r="A925" s="15"/>
      <c r="B925" s="15"/>
      <c r="C925" s="15"/>
      <c r="D925" s="15"/>
      <c r="E925" s="15"/>
      <c r="F925" s="16"/>
      <c r="G925" s="15"/>
      <c r="H925" s="21">
        <f>IF($A925="","",COUNTIFS(AgPac,$A925,AgStatus,"Compareceu"))</f>
        <v>0</v>
      </c>
      <c r="I925" s="21">
        <f>IF($A925="","",COUNTIFS(AgPac,$A925,AgStatus,"Faltou"))</f>
        <v>0</v>
      </c>
      <c r="J925" s="22">
        <f>IF($A925="","",SUMPRODUCT(MAX((AgPac=$A925)*(AgStatus="Compareceu")*AgData)))</f>
        <v>0</v>
      </c>
    </row>
    <row r="926" spans="1:10">
      <c r="A926" s="15"/>
      <c r="B926" s="15"/>
      <c r="C926" s="15"/>
      <c r="D926" s="15"/>
      <c r="E926" s="15"/>
      <c r="F926" s="16"/>
      <c r="G926" s="15"/>
      <c r="H926" s="21">
        <f>IF($A926="","",COUNTIFS(AgPac,$A926,AgStatus,"Compareceu"))</f>
        <v>0</v>
      </c>
      <c r="I926" s="21">
        <f>IF($A926="","",COUNTIFS(AgPac,$A926,AgStatus,"Faltou"))</f>
        <v>0</v>
      </c>
      <c r="J926" s="22">
        <f>IF($A926="","",SUMPRODUCT(MAX((AgPac=$A926)*(AgStatus="Compareceu")*AgData)))</f>
        <v>0</v>
      </c>
    </row>
    <row r="927" spans="1:10">
      <c r="A927" s="15"/>
      <c r="B927" s="15"/>
      <c r="C927" s="15"/>
      <c r="D927" s="15"/>
      <c r="E927" s="15"/>
      <c r="F927" s="16"/>
      <c r="G927" s="15"/>
      <c r="H927" s="21">
        <f>IF($A927="","",COUNTIFS(AgPac,$A927,AgStatus,"Compareceu"))</f>
        <v>0</v>
      </c>
      <c r="I927" s="21">
        <f>IF($A927="","",COUNTIFS(AgPac,$A927,AgStatus,"Faltou"))</f>
        <v>0</v>
      </c>
      <c r="J927" s="22">
        <f>IF($A927="","",SUMPRODUCT(MAX((AgPac=$A927)*(AgStatus="Compareceu")*AgData)))</f>
        <v>0</v>
      </c>
    </row>
    <row r="928" spans="1:10">
      <c r="A928" s="15"/>
      <c r="B928" s="15"/>
      <c r="C928" s="15"/>
      <c r="D928" s="15"/>
      <c r="E928" s="15"/>
      <c r="F928" s="16"/>
      <c r="G928" s="15"/>
      <c r="H928" s="21">
        <f>IF($A928="","",COUNTIFS(AgPac,$A928,AgStatus,"Compareceu"))</f>
        <v>0</v>
      </c>
      <c r="I928" s="21">
        <f>IF($A928="","",COUNTIFS(AgPac,$A928,AgStatus,"Faltou"))</f>
        <v>0</v>
      </c>
      <c r="J928" s="22">
        <f>IF($A928="","",SUMPRODUCT(MAX((AgPac=$A928)*(AgStatus="Compareceu")*AgData)))</f>
        <v>0</v>
      </c>
    </row>
    <row r="929" spans="1:10">
      <c r="A929" s="15"/>
      <c r="B929" s="15"/>
      <c r="C929" s="15"/>
      <c r="D929" s="15"/>
      <c r="E929" s="15"/>
      <c r="F929" s="16"/>
      <c r="G929" s="15"/>
      <c r="H929" s="21">
        <f>IF($A929="","",COUNTIFS(AgPac,$A929,AgStatus,"Compareceu"))</f>
        <v>0</v>
      </c>
      <c r="I929" s="21">
        <f>IF($A929="","",COUNTIFS(AgPac,$A929,AgStatus,"Faltou"))</f>
        <v>0</v>
      </c>
      <c r="J929" s="22">
        <f>IF($A929="","",SUMPRODUCT(MAX((AgPac=$A929)*(AgStatus="Compareceu")*AgData)))</f>
        <v>0</v>
      </c>
    </row>
    <row r="930" spans="1:10">
      <c r="A930" s="15"/>
      <c r="B930" s="15"/>
      <c r="C930" s="15"/>
      <c r="D930" s="15"/>
      <c r="E930" s="15"/>
      <c r="F930" s="16"/>
      <c r="G930" s="15"/>
      <c r="H930" s="21">
        <f>IF($A930="","",COUNTIFS(AgPac,$A930,AgStatus,"Compareceu"))</f>
        <v>0</v>
      </c>
      <c r="I930" s="21">
        <f>IF($A930="","",COUNTIFS(AgPac,$A930,AgStatus,"Faltou"))</f>
        <v>0</v>
      </c>
      <c r="J930" s="22">
        <f>IF($A930="","",SUMPRODUCT(MAX((AgPac=$A930)*(AgStatus="Compareceu")*AgData)))</f>
        <v>0</v>
      </c>
    </row>
    <row r="931" spans="1:10">
      <c r="A931" s="15"/>
      <c r="B931" s="15"/>
      <c r="C931" s="15"/>
      <c r="D931" s="15"/>
      <c r="E931" s="15"/>
      <c r="F931" s="16"/>
      <c r="G931" s="15"/>
      <c r="H931" s="21">
        <f>IF($A931="","",COUNTIFS(AgPac,$A931,AgStatus,"Compareceu"))</f>
        <v>0</v>
      </c>
      <c r="I931" s="21">
        <f>IF($A931="","",COUNTIFS(AgPac,$A931,AgStatus,"Faltou"))</f>
        <v>0</v>
      </c>
      <c r="J931" s="22">
        <f>IF($A931="","",SUMPRODUCT(MAX((AgPac=$A931)*(AgStatus="Compareceu")*AgData)))</f>
        <v>0</v>
      </c>
    </row>
    <row r="932" spans="1:10">
      <c r="A932" s="15"/>
      <c r="B932" s="15"/>
      <c r="C932" s="15"/>
      <c r="D932" s="15"/>
      <c r="E932" s="15"/>
      <c r="F932" s="16"/>
      <c r="G932" s="15"/>
      <c r="H932" s="21">
        <f>IF($A932="","",COUNTIFS(AgPac,$A932,AgStatus,"Compareceu"))</f>
        <v>0</v>
      </c>
      <c r="I932" s="21">
        <f>IF($A932="","",COUNTIFS(AgPac,$A932,AgStatus,"Faltou"))</f>
        <v>0</v>
      </c>
      <c r="J932" s="22">
        <f>IF($A932="","",SUMPRODUCT(MAX((AgPac=$A932)*(AgStatus="Compareceu")*AgData)))</f>
        <v>0</v>
      </c>
    </row>
    <row r="933" spans="1:10">
      <c r="A933" s="15"/>
      <c r="B933" s="15"/>
      <c r="C933" s="15"/>
      <c r="D933" s="15"/>
      <c r="E933" s="15"/>
      <c r="F933" s="16"/>
      <c r="G933" s="15"/>
      <c r="H933" s="21">
        <f>IF($A933="","",COUNTIFS(AgPac,$A933,AgStatus,"Compareceu"))</f>
        <v>0</v>
      </c>
      <c r="I933" s="21">
        <f>IF($A933="","",COUNTIFS(AgPac,$A933,AgStatus,"Faltou"))</f>
        <v>0</v>
      </c>
      <c r="J933" s="22">
        <f>IF($A933="","",SUMPRODUCT(MAX((AgPac=$A933)*(AgStatus="Compareceu")*AgData)))</f>
        <v>0</v>
      </c>
    </row>
    <row r="934" spans="1:10">
      <c r="A934" s="15"/>
      <c r="B934" s="15"/>
      <c r="C934" s="15"/>
      <c r="D934" s="15"/>
      <c r="E934" s="15"/>
      <c r="F934" s="16"/>
      <c r="G934" s="15"/>
      <c r="H934" s="21">
        <f>IF($A934="","",COUNTIFS(AgPac,$A934,AgStatus,"Compareceu"))</f>
        <v>0</v>
      </c>
      <c r="I934" s="21">
        <f>IF($A934="","",COUNTIFS(AgPac,$A934,AgStatus,"Faltou"))</f>
        <v>0</v>
      </c>
      <c r="J934" s="22">
        <f>IF($A934="","",SUMPRODUCT(MAX((AgPac=$A934)*(AgStatus="Compareceu")*AgData)))</f>
        <v>0</v>
      </c>
    </row>
    <row r="935" spans="1:10">
      <c r="A935" s="15"/>
      <c r="B935" s="15"/>
      <c r="C935" s="15"/>
      <c r="D935" s="15"/>
      <c r="E935" s="15"/>
      <c r="F935" s="16"/>
      <c r="G935" s="15"/>
      <c r="H935" s="21">
        <f>IF($A935="","",COUNTIFS(AgPac,$A935,AgStatus,"Compareceu"))</f>
        <v>0</v>
      </c>
      <c r="I935" s="21">
        <f>IF($A935="","",COUNTIFS(AgPac,$A935,AgStatus,"Faltou"))</f>
        <v>0</v>
      </c>
      <c r="J935" s="22">
        <f>IF($A935="","",SUMPRODUCT(MAX((AgPac=$A935)*(AgStatus="Compareceu")*AgData)))</f>
        <v>0</v>
      </c>
    </row>
    <row r="936" spans="1:10">
      <c r="A936" s="15"/>
      <c r="B936" s="15"/>
      <c r="C936" s="15"/>
      <c r="D936" s="15"/>
      <c r="E936" s="15"/>
      <c r="F936" s="16"/>
      <c r="G936" s="15"/>
      <c r="H936" s="21">
        <f>IF($A936="","",COUNTIFS(AgPac,$A936,AgStatus,"Compareceu"))</f>
        <v>0</v>
      </c>
      <c r="I936" s="21">
        <f>IF($A936="","",COUNTIFS(AgPac,$A936,AgStatus,"Faltou"))</f>
        <v>0</v>
      </c>
      <c r="J936" s="22">
        <f>IF($A936="","",SUMPRODUCT(MAX((AgPac=$A936)*(AgStatus="Compareceu")*AgData)))</f>
        <v>0</v>
      </c>
    </row>
    <row r="937" spans="1:10">
      <c r="A937" s="15"/>
      <c r="B937" s="15"/>
      <c r="C937" s="15"/>
      <c r="D937" s="15"/>
      <c r="E937" s="15"/>
      <c r="F937" s="16"/>
      <c r="G937" s="15"/>
      <c r="H937" s="21">
        <f>IF($A937="","",COUNTIFS(AgPac,$A937,AgStatus,"Compareceu"))</f>
        <v>0</v>
      </c>
      <c r="I937" s="21">
        <f>IF($A937="","",COUNTIFS(AgPac,$A937,AgStatus,"Faltou"))</f>
        <v>0</v>
      </c>
      <c r="J937" s="22">
        <f>IF($A937="","",SUMPRODUCT(MAX((AgPac=$A937)*(AgStatus="Compareceu")*AgData)))</f>
        <v>0</v>
      </c>
    </row>
    <row r="938" spans="1:10">
      <c r="A938" s="15"/>
      <c r="B938" s="15"/>
      <c r="C938" s="15"/>
      <c r="D938" s="15"/>
      <c r="E938" s="15"/>
      <c r="F938" s="16"/>
      <c r="G938" s="15"/>
      <c r="H938" s="21">
        <f>IF($A938="","",COUNTIFS(AgPac,$A938,AgStatus,"Compareceu"))</f>
        <v>0</v>
      </c>
      <c r="I938" s="21">
        <f>IF($A938="","",COUNTIFS(AgPac,$A938,AgStatus,"Faltou"))</f>
        <v>0</v>
      </c>
      <c r="J938" s="22">
        <f>IF($A938="","",SUMPRODUCT(MAX((AgPac=$A938)*(AgStatus="Compareceu")*AgData)))</f>
        <v>0</v>
      </c>
    </row>
    <row r="939" spans="1:10">
      <c r="A939" s="15"/>
      <c r="B939" s="15"/>
      <c r="C939" s="15"/>
      <c r="D939" s="15"/>
      <c r="E939" s="15"/>
      <c r="F939" s="16"/>
      <c r="G939" s="15"/>
      <c r="H939" s="21">
        <f>IF($A939="","",COUNTIFS(AgPac,$A939,AgStatus,"Compareceu"))</f>
        <v>0</v>
      </c>
      <c r="I939" s="21">
        <f>IF($A939="","",COUNTIFS(AgPac,$A939,AgStatus,"Faltou"))</f>
        <v>0</v>
      </c>
      <c r="J939" s="22">
        <f>IF($A939="","",SUMPRODUCT(MAX((AgPac=$A939)*(AgStatus="Compareceu")*AgData)))</f>
        <v>0</v>
      </c>
    </row>
    <row r="940" spans="1:10">
      <c r="A940" s="15"/>
      <c r="B940" s="15"/>
      <c r="C940" s="15"/>
      <c r="D940" s="15"/>
      <c r="E940" s="15"/>
      <c r="F940" s="16"/>
      <c r="G940" s="15"/>
      <c r="H940" s="21">
        <f>IF($A940="","",COUNTIFS(AgPac,$A940,AgStatus,"Compareceu"))</f>
        <v>0</v>
      </c>
      <c r="I940" s="21">
        <f>IF($A940="","",COUNTIFS(AgPac,$A940,AgStatus,"Faltou"))</f>
        <v>0</v>
      </c>
      <c r="J940" s="22">
        <f>IF($A940="","",SUMPRODUCT(MAX((AgPac=$A940)*(AgStatus="Compareceu")*AgData)))</f>
        <v>0</v>
      </c>
    </row>
    <row r="941" spans="1:10">
      <c r="A941" s="15"/>
      <c r="B941" s="15"/>
      <c r="C941" s="15"/>
      <c r="D941" s="15"/>
      <c r="E941" s="15"/>
      <c r="F941" s="16"/>
      <c r="G941" s="15"/>
      <c r="H941" s="21">
        <f>IF($A941="","",COUNTIFS(AgPac,$A941,AgStatus,"Compareceu"))</f>
        <v>0</v>
      </c>
      <c r="I941" s="21">
        <f>IF($A941="","",COUNTIFS(AgPac,$A941,AgStatus,"Faltou"))</f>
        <v>0</v>
      </c>
      <c r="J941" s="22">
        <f>IF($A941="","",SUMPRODUCT(MAX((AgPac=$A941)*(AgStatus="Compareceu")*AgData)))</f>
        <v>0</v>
      </c>
    </row>
    <row r="942" spans="1:10">
      <c r="A942" s="15"/>
      <c r="B942" s="15"/>
      <c r="C942" s="15"/>
      <c r="D942" s="15"/>
      <c r="E942" s="15"/>
      <c r="F942" s="16"/>
      <c r="G942" s="15"/>
      <c r="H942" s="21">
        <f>IF($A942="","",COUNTIFS(AgPac,$A942,AgStatus,"Compareceu"))</f>
        <v>0</v>
      </c>
      <c r="I942" s="21">
        <f>IF($A942="","",COUNTIFS(AgPac,$A942,AgStatus,"Faltou"))</f>
        <v>0</v>
      </c>
      <c r="J942" s="22">
        <f>IF($A942="","",SUMPRODUCT(MAX((AgPac=$A942)*(AgStatus="Compareceu")*AgData)))</f>
        <v>0</v>
      </c>
    </row>
    <row r="943" spans="1:10">
      <c r="A943" s="15"/>
      <c r="B943" s="15"/>
      <c r="C943" s="15"/>
      <c r="D943" s="15"/>
      <c r="E943" s="15"/>
      <c r="F943" s="16"/>
      <c r="G943" s="15"/>
      <c r="H943" s="21">
        <f>IF($A943="","",COUNTIFS(AgPac,$A943,AgStatus,"Compareceu"))</f>
        <v>0</v>
      </c>
      <c r="I943" s="21">
        <f>IF($A943="","",COUNTIFS(AgPac,$A943,AgStatus,"Faltou"))</f>
        <v>0</v>
      </c>
      <c r="J943" s="22">
        <f>IF($A943="","",SUMPRODUCT(MAX((AgPac=$A943)*(AgStatus="Compareceu")*AgData)))</f>
        <v>0</v>
      </c>
    </row>
    <row r="944" spans="1:10">
      <c r="A944" s="15"/>
      <c r="B944" s="15"/>
      <c r="C944" s="15"/>
      <c r="D944" s="15"/>
      <c r="E944" s="15"/>
      <c r="F944" s="16"/>
      <c r="G944" s="15"/>
      <c r="H944" s="21">
        <f>IF($A944="","",COUNTIFS(AgPac,$A944,AgStatus,"Compareceu"))</f>
        <v>0</v>
      </c>
      <c r="I944" s="21">
        <f>IF($A944="","",COUNTIFS(AgPac,$A944,AgStatus,"Faltou"))</f>
        <v>0</v>
      </c>
      <c r="J944" s="22">
        <f>IF($A944="","",SUMPRODUCT(MAX((AgPac=$A944)*(AgStatus="Compareceu")*AgData)))</f>
        <v>0</v>
      </c>
    </row>
    <row r="945" spans="1:10">
      <c r="A945" s="15"/>
      <c r="B945" s="15"/>
      <c r="C945" s="15"/>
      <c r="D945" s="15"/>
      <c r="E945" s="15"/>
      <c r="F945" s="16"/>
      <c r="G945" s="15"/>
      <c r="H945" s="21">
        <f>IF($A945="","",COUNTIFS(AgPac,$A945,AgStatus,"Compareceu"))</f>
        <v>0</v>
      </c>
      <c r="I945" s="21">
        <f>IF($A945="","",COUNTIFS(AgPac,$A945,AgStatus,"Faltou"))</f>
        <v>0</v>
      </c>
      <c r="J945" s="22">
        <f>IF($A945="","",SUMPRODUCT(MAX((AgPac=$A945)*(AgStatus="Compareceu")*AgData)))</f>
        <v>0</v>
      </c>
    </row>
    <row r="946" spans="1:10">
      <c r="A946" s="15"/>
      <c r="B946" s="15"/>
      <c r="C946" s="15"/>
      <c r="D946" s="15"/>
      <c r="E946" s="15"/>
      <c r="F946" s="16"/>
      <c r="G946" s="15"/>
      <c r="H946" s="21">
        <f>IF($A946="","",COUNTIFS(AgPac,$A946,AgStatus,"Compareceu"))</f>
        <v>0</v>
      </c>
      <c r="I946" s="21">
        <f>IF($A946="","",COUNTIFS(AgPac,$A946,AgStatus,"Faltou"))</f>
        <v>0</v>
      </c>
      <c r="J946" s="22">
        <f>IF($A946="","",SUMPRODUCT(MAX((AgPac=$A946)*(AgStatus="Compareceu")*AgData)))</f>
        <v>0</v>
      </c>
    </row>
    <row r="947" spans="1:10">
      <c r="A947" s="15"/>
      <c r="B947" s="15"/>
      <c r="C947" s="15"/>
      <c r="D947" s="15"/>
      <c r="E947" s="15"/>
      <c r="F947" s="16"/>
      <c r="G947" s="15"/>
      <c r="H947" s="21">
        <f>IF($A947="","",COUNTIFS(AgPac,$A947,AgStatus,"Compareceu"))</f>
        <v>0</v>
      </c>
      <c r="I947" s="21">
        <f>IF($A947="","",COUNTIFS(AgPac,$A947,AgStatus,"Faltou"))</f>
        <v>0</v>
      </c>
      <c r="J947" s="22">
        <f>IF($A947="","",SUMPRODUCT(MAX((AgPac=$A947)*(AgStatus="Compareceu")*AgData)))</f>
        <v>0</v>
      </c>
    </row>
    <row r="948" spans="1:10">
      <c r="A948" s="15"/>
      <c r="B948" s="15"/>
      <c r="C948" s="15"/>
      <c r="D948" s="15"/>
      <c r="E948" s="15"/>
      <c r="F948" s="16"/>
      <c r="G948" s="15"/>
      <c r="H948" s="21">
        <f>IF($A948="","",COUNTIFS(AgPac,$A948,AgStatus,"Compareceu"))</f>
        <v>0</v>
      </c>
      <c r="I948" s="21">
        <f>IF($A948="","",COUNTIFS(AgPac,$A948,AgStatus,"Faltou"))</f>
        <v>0</v>
      </c>
      <c r="J948" s="22">
        <f>IF($A948="","",SUMPRODUCT(MAX((AgPac=$A948)*(AgStatus="Compareceu")*AgData)))</f>
        <v>0</v>
      </c>
    </row>
    <row r="949" spans="1:10">
      <c r="A949" s="15"/>
      <c r="B949" s="15"/>
      <c r="C949" s="15"/>
      <c r="D949" s="15"/>
      <c r="E949" s="15"/>
      <c r="F949" s="16"/>
      <c r="G949" s="15"/>
      <c r="H949" s="21">
        <f>IF($A949="","",COUNTIFS(AgPac,$A949,AgStatus,"Compareceu"))</f>
        <v>0</v>
      </c>
      <c r="I949" s="21">
        <f>IF($A949="","",COUNTIFS(AgPac,$A949,AgStatus,"Faltou"))</f>
        <v>0</v>
      </c>
      <c r="J949" s="22">
        <f>IF($A949="","",SUMPRODUCT(MAX((AgPac=$A949)*(AgStatus="Compareceu")*AgData)))</f>
        <v>0</v>
      </c>
    </row>
    <row r="950" spans="1:10">
      <c r="A950" s="15"/>
      <c r="B950" s="15"/>
      <c r="C950" s="15"/>
      <c r="D950" s="15"/>
      <c r="E950" s="15"/>
      <c r="F950" s="16"/>
      <c r="G950" s="15"/>
      <c r="H950" s="21">
        <f>IF($A950="","",COUNTIFS(AgPac,$A950,AgStatus,"Compareceu"))</f>
        <v>0</v>
      </c>
      <c r="I950" s="21">
        <f>IF($A950="","",COUNTIFS(AgPac,$A950,AgStatus,"Faltou"))</f>
        <v>0</v>
      </c>
      <c r="J950" s="22">
        <f>IF($A950="","",SUMPRODUCT(MAX((AgPac=$A950)*(AgStatus="Compareceu")*AgData)))</f>
        <v>0</v>
      </c>
    </row>
    <row r="951" spans="1:10">
      <c r="A951" s="15"/>
      <c r="B951" s="15"/>
      <c r="C951" s="15"/>
      <c r="D951" s="15"/>
      <c r="E951" s="15"/>
      <c r="F951" s="16"/>
      <c r="G951" s="15"/>
      <c r="H951" s="21">
        <f>IF($A951="","",COUNTIFS(AgPac,$A951,AgStatus,"Compareceu"))</f>
        <v>0</v>
      </c>
      <c r="I951" s="21">
        <f>IF($A951="","",COUNTIFS(AgPac,$A951,AgStatus,"Faltou"))</f>
        <v>0</v>
      </c>
      <c r="J951" s="22">
        <f>IF($A951="","",SUMPRODUCT(MAX((AgPac=$A951)*(AgStatus="Compareceu")*AgData)))</f>
        <v>0</v>
      </c>
    </row>
    <row r="952" spans="1:10">
      <c r="A952" s="15"/>
      <c r="B952" s="15"/>
      <c r="C952" s="15"/>
      <c r="D952" s="15"/>
      <c r="E952" s="15"/>
      <c r="F952" s="16"/>
      <c r="G952" s="15"/>
      <c r="H952" s="21">
        <f>IF($A952="","",COUNTIFS(AgPac,$A952,AgStatus,"Compareceu"))</f>
        <v>0</v>
      </c>
      <c r="I952" s="21">
        <f>IF($A952="","",COUNTIFS(AgPac,$A952,AgStatus,"Faltou"))</f>
        <v>0</v>
      </c>
      <c r="J952" s="22">
        <f>IF($A952="","",SUMPRODUCT(MAX((AgPac=$A952)*(AgStatus="Compareceu")*AgData)))</f>
        <v>0</v>
      </c>
    </row>
    <row r="953" spans="1:10">
      <c r="A953" s="15"/>
      <c r="B953" s="15"/>
      <c r="C953" s="15"/>
      <c r="D953" s="15"/>
      <c r="E953" s="15"/>
      <c r="F953" s="16"/>
      <c r="G953" s="15"/>
      <c r="H953" s="21">
        <f>IF($A953="","",COUNTIFS(AgPac,$A953,AgStatus,"Compareceu"))</f>
        <v>0</v>
      </c>
      <c r="I953" s="21">
        <f>IF($A953="","",COUNTIFS(AgPac,$A953,AgStatus,"Faltou"))</f>
        <v>0</v>
      </c>
      <c r="J953" s="22">
        <f>IF($A953="","",SUMPRODUCT(MAX((AgPac=$A953)*(AgStatus="Compareceu")*AgData)))</f>
        <v>0</v>
      </c>
    </row>
    <row r="954" spans="1:10">
      <c r="A954" s="15"/>
      <c r="B954" s="15"/>
      <c r="C954" s="15"/>
      <c r="D954" s="15"/>
      <c r="E954" s="15"/>
      <c r="F954" s="16"/>
      <c r="G954" s="15"/>
      <c r="H954" s="21">
        <f>IF($A954="","",COUNTIFS(AgPac,$A954,AgStatus,"Compareceu"))</f>
        <v>0</v>
      </c>
      <c r="I954" s="21">
        <f>IF($A954="","",COUNTIFS(AgPac,$A954,AgStatus,"Faltou"))</f>
        <v>0</v>
      </c>
      <c r="J954" s="22">
        <f>IF($A954="","",SUMPRODUCT(MAX((AgPac=$A954)*(AgStatus="Compareceu")*AgData)))</f>
        <v>0</v>
      </c>
    </row>
    <row r="955" spans="1:10">
      <c r="A955" s="15"/>
      <c r="B955" s="15"/>
      <c r="C955" s="15"/>
      <c r="D955" s="15"/>
      <c r="E955" s="15"/>
      <c r="F955" s="16"/>
      <c r="G955" s="15"/>
      <c r="H955" s="21">
        <f>IF($A955="","",COUNTIFS(AgPac,$A955,AgStatus,"Compareceu"))</f>
        <v>0</v>
      </c>
      <c r="I955" s="21">
        <f>IF($A955="","",COUNTIFS(AgPac,$A955,AgStatus,"Faltou"))</f>
        <v>0</v>
      </c>
      <c r="J955" s="22">
        <f>IF($A955="","",SUMPRODUCT(MAX((AgPac=$A955)*(AgStatus="Compareceu")*AgData)))</f>
        <v>0</v>
      </c>
    </row>
    <row r="956" spans="1:10">
      <c r="A956" s="15"/>
      <c r="B956" s="15"/>
      <c r="C956" s="15"/>
      <c r="D956" s="15"/>
      <c r="E956" s="15"/>
      <c r="F956" s="16"/>
      <c r="G956" s="15"/>
      <c r="H956" s="21">
        <f>IF($A956="","",COUNTIFS(AgPac,$A956,AgStatus,"Compareceu"))</f>
        <v>0</v>
      </c>
      <c r="I956" s="21">
        <f>IF($A956="","",COUNTIFS(AgPac,$A956,AgStatus,"Faltou"))</f>
        <v>0</v>
      </c>
      <c r="J956" s="22">
        <f>IF($A956="","",SUMPRODUCT(MAX((AgPac=$A956)*(AgStatus="Compareceu")*AgData)))</f>
        <v>0</v>
      </c>
    </row>
    <row r="957" spans="1:10">
      <c r="A957" s="15"/>
      <c r="B957" s="15"/>
      <c r="C957" s="15"/>
      <c r="D957" s="15"/>
      <c r="E957" s="15"/>
      <c r="F957" s="16"/>
      <c r="G957" s="15"/>
      <c r="H957" s="21">
        <f>IF($A957="","",COUNTIFS(AgPac,$A957,AgStatus,"Compareceu"))</f>
        <v>0</v>
      </c>
      <c r="I957" s="21">
        <f>IF($A957="","",COUNTIFS(AgPac,$A957,AgStatus,"Faltou"))</f>
        <v>0</v>
      </c>
      <c r="J957" s="22">
        <f>IF($A957="","",SUMPRODUCT(MAX((AgPac=$A957)*(AgStatus="Compareceu")*AgData)))</f>
        <v>0</v>
      </c>
    </row>
    <row r="958" spans="1:10">
      <c r="A958" s="15"/>
      <c r="B958" s="15"/>
      <c r="C958" s="15"/>
      <c r="D958" s="15"/>
      <c r="E958" s="15"/>
      <c r="F958" s="16"/>
      <c r="G958" s="15"/>
      <c r="H958" s="21">
        <f>IF($A958="","",COUNTIFS(AgPac,$A958,AgStatus,"Compareceu"))</f>
        <v>0</v>
      </c>
      <c r="I958" s="21">
        <f>IF($A958="","",COUNTIFS(AgPac,$A958,AgStatus,"Faltou"))</f>
        <v>0</v>
      </c>
      <c r="J958" s="22">
        <f>IF($A958="","",SUMPRODUCT(MAX((AgPac=$A958)*(AgStatus="Compareceu")*AgData)))</f>
        <v>0</v>
      </c>
    </row>
    <row r="959" spans="1:10">
      <c r="A959" s="15"/>
      <c r="B959" s="15"/>
      <c r="C959" s="15"/>
      <c r="D959" s="15"/>
      <c r="E959" s="15"/>
      <c r="F959" s="16"/>
      <c r="G959" s="15"/>
      <c r="H959" s="21">
        <f>IF($A959="","",COUNTIFS(AgPac,$A959,AgStatus,"Compareceu"))</f>
        <v>0</v>
      </c>
      <c r="I959" s="21">
        <f>IF($A959="","",COUNTIFS(AgPac,$A959,AgStatus,"Faltou"))</f>
        <v>0</v>
      </c>
      <c r="J959" s="22">
        <f>IF($A959="","",SUMPRODUCT(MAX((AgPac=$A959)*(AgStatus="Compareceu")*AgData)))</f>
        <v>0</v>
      </c>
    </row>
    <row r="960" spans="1:10">
      <c r="A960" s="15"/>
      <c r="B960" s="15"/>
      <c r="C960" s="15"/>
      <c r="D960" s="15"/>
      <c r="E960" s="15"/>
      <c r="F960" s="16"/>
      <c r="G960" s="15"/>
      <c r="H960" s="21">
        <f>IF($A960="","",COUNTIFS(AgPac,$A960,AgStatus,"Compareceu"))</f>
        <v>0</v>
      </c>
      <c r="I960" s="21">
        <f>IF($A960="","",COUNTIFS(AgPac,$A960,AgStatus,"Faltou"))</f>
        <v>0</v>
      </c>
      <c r="J960" s="22">
        <f>IF($A960="","",SUMPRODUCT(MAX((AgPac=$A960)*(AgStatus="Compareceu")*AgData)))</f>
        <v>0</v>
      </c>
    </row>
    <row r="961" spans="1:10">
      <c r="A961" s="15"/>
      <c r="B961" s="15"/>
      <c r="C961" s="15"/>
      <c r="D961" s="15"/>
      <c r="E961" s="15"/>
      <c r="F961" s="16"/>
      <c r="G961" s="15"/>
      <c r="H961" s="21">
        <f>IF($A961="","",COUNTIFS(AgPac,$A961,AgStatus,"Compareceu"))</f>
        <v>0</v>
      </c>
      <c r="I961" s="21">
        <f>IF($A961="","",COUNTIFS(AgPac,$A961,AgStatus,"Faltou"))</f>
        <v>0</v>
      </c>
      <c r="J961" s="22">
        <f>IF($A961="","",SUMPRODUCT(MAX((AgPac=$A961)*(AgStatus="Compareceu")*AgData)))</f>
        <v>0</v>
      </c>
    </row>
    <row r="962" spans="1:10">
      <c r="A962" s="15"/>
      <c r="B962" s="15"/>
      <c r="C962" s="15"/>
      <c r="D962" s="15"/>
      <c r="E962" s="15"/>
      <c r="F962" s="16"/>
      <c r="G962" s="15"/>
      <c r="H962" s="21">
        <f>IF($A962="","",COUNTIFS(AgPac,$A962,AgStatus,"Compareceu"))</f>
        <v>0</v>
      </c>
      <c r="I962" s="21">
        <f>IF($A962="","",COUNTIFS(AgPac,$A962,AgStatus,"Faltou"))</f>
        <v>0</v>
      </c>
      <c r="J962" s="22">
        <f>IF($A962="","",SUMPRODUCT(MAX((AgPac=$A962)*(AgStatus="Compareceu")*AgData)))</f>
        <v>0</v>
      </c>
    </row>
    <row r="963" spans="1:10">
      <c r="A963" s="15"/>
      <c r="B963" s="15"/>
      <c r="C963" s="15"/>
      <c r="D963" s="15"/>
      <c r="E963" s="15"/>
      <c r="F963" s="16"/>
      <c r="G963" s="15"/>
      <c r="H963" s="21">
        <f>IF($A963="","",COUNTIFS(AgPac,$A963,AgStatus,"Compareceu"))</f>
        <v>0</v>
      </c>
      <c r="I963" s="21">
        <f>IF($A963="","",COUNTIFS(AgPac,$A963,AgStatus,"Faltou"))</f>
        <v>0</v>
      </c>
      <c r="J963" s="22">
        <f>IF($A963="","",SUMPRODUCT(MAX((AgPac=$A963)*(AgStatus="Compareceu")*AgData)))</f>
        <v>0</v>
      </c>
    </row>
    <row r="964" spans="1:10">
      <c r="A964" s="15"/>
      <c r="B964" s="15"/>
      <c r="C964" s="15"/>
      <c r="D964" s="15"/>
      <c r="E964" s="15"/>
      <c r="F964" s="16"/>
      <c r="G964" s="15"/>
      <c r="H964" s="21">
        <f>IF($A964="","",COUNTIFS(AgPac,$A964,AgStatus,"Compareceu"))</f>
        <v>0</v>
      </c>
      <c r="I964" s="21">
        <f>IF($A964="","",COUNTIFS(AgPac,$A964,AgStatus,"Faltou"))</f>
        <v>0</v>
      </c>
      <c r="J964" s="22">
        <f>IF($A964="","",SUMPRODUCT(MAX((AgPac=$A964)*(AgStatus="Compareceu")*AgData)))</f>
        <v>0</v>
      </c>
    </row>
    <row r="965" spans="1:10">
      <c r="A965" s="15"/>
      <c r="B965" s="15"/>
      <c r="C965" s="15"/>
      <c r="D965" s="15"/>
      <c r="E965" s="15"/>
      <c r="F965" s="16"/>
      <c r="G965" s="15"/>
      <c r="H965" s="21">
        <f>IF($A965="","",COUNTIFS(AgPac,$A965,AgStatus,"Compareceu"))</f>
        <v>0</v>
      </c>
      <c r="I965" s="21">
        <f>IF($A965="","",COUNTIFS(AgPac,$A965,AgStatus,"Faltou"))</f>
        <v>0</v>
      </c>
      <c r="J965" s="22">
        <f>IF($A965="","",SUMPRODUCT(MAX((AgPac=$A965)*(AgStatus="Compareceu")*AgData)))</f>
        <v>0</v>
      </c>
    </row>
    <row r="966" spans="1:10">
      <c r="A966" s="15"/>
      <c r="B966" s="15"/>
      <c r="C966" s="15"/>
      <c r="D966" s="15"/>
      <c r="E966" s="15"/>
      <c r="F966" s="16"/>
      <c r="G966" s="15"/>
      <c r="H966" s="21">
        <f>IF($A966="","",COUNTIFS(AgPac,$A966,AgStatus,"Compareceu"))</f>
        <v>0</v>
      </c>
      <c r="I966" s="21">
        <f>IF($A966="","",COUNTIFS(AgPac,$A966,AgStatus,"Faltou"))</f>
        <v>0</v>
      </c>
      <c r="J966" s="22">
        <f>IF($A966="","",SUMPRODUCT(MAX((AgPac=$A966)*(AgStatus="Compareceu")*AgData)))</f>
        <v>0</v>
      </c>
    </row>
    <row r="967" spans="1:10">
      <c r="A967" s="15"/>
      <c r="B967" s="15"/>
      <c r="C967" s="15"/>
      <c r="D967" s="15"/>
      <c r="E967" s="15"/>
      <c r="F967" s="16"/>
      <c r="G967" s="15"/>
      <c r="H967" s="21">
        <f>IF($A967="","",COUNTIFS(AgPac,$A967,AgStatus,"Compareceu"))</f>
        <v>0</v>
      </c>
      <c r="I967" s="21">
        <f>IF($A967="","",COUNTIFS(AgPac,$A967,AgStatus,"Faltou"))</f>
        <v>0</v>
      </c>
      <c r="J967" s="22">
        <f>IF($A967="","",SUMPRODUCT(MAX((AgPac=$A967)*(AgStatus="Compareceu")*AgData)))</f>
        <v>0</v>
      </c>
    </row>
    <row r="968" spans="1:10">
      <c r="A968" s="15"/>
      <c r="B968" s="15"/>
      <c r="C968" s="15"/>
      <c r="D968" s="15"/>
      <c r="E968" s="15"/>
      <c r="F968" s="16"/>
      <c r="G968" s="15"/>
      <c r="H968" s="21">
        <f>IF($A968="","",COUNTIFS(AgPac,$A968,AgStatus,"Compareceu"))</f>
        <v>0</v>
      </c>
      <c r="I968" s="21">
        <f>IF($A968="","",COUNTIFS(AgPac,$A968,AgStatus,"Faltou"))</f>
        <v>0</v>
      </c>
      <c r="J968" s="22">
        <f>IF($A968="","",SUMPRODUCT(MAX((AgPac=$A968)*(AgStatus="Compareceu")*AgData)))</f>
        <v>0</v>
      </c>
    </row>
    <row r="969" spans="1:10">
      <c r="A969" s="15"/>
      <c r="B969" s="15"/>
      <c r="C969" s="15"/>
      <c r="D969" s="15"/>
      <c r="E969" s="15"/>
      <c r="F969" s="16"/>
      <c r="G969" s="15"/>
      <c r="H969" s="21">
        <f>IF($A969="","",COUNTIFS(AgPac,$A969,AgStatus,"Compareceu"))</f>
        <v>0</v>
      </c>
      <c r="I969" s="21">
        <f>IF($A969="","",COUNTIFS(AgPac,$A969,AgStatus,"Faltou"))</f>
        <v>0</v>
      </c>
      <c r="J969" s="22">
        <f>IF($A969="","",SUMPRODUCT(MAX((AgPac=$A969)*(AgStatus="Compareceu")*AgData)))</f>
        <v>0</v>
      </c>
    </row>
    <row r="970" spans="1:10">
      <c r="A970" s="15"/>
      <c r="B970" s="15"/>
      <c r="C970" s="15"/>
      <c r="D970" s="15"/>
      <c r="E970" s="15"/>
      <c r="F970" s="16"/>
      <c r="G970" s="15"/>
      <c r="H970" s="21">
        <f>IF($A970="","",COUNTIFS(AgPac,$A970,AgStatus,"Compareceu"))</f>
        <v>0</v>
      </c>
      <c r="I970" s="21">
        <f>IF($A970="","",COUNTIFS(AgPac,$A970,AgStatus,"Faltou"))</f>
        <v>0</v>
      </c>
      <c r="J970" s="22">
        <f>IF($A970="","",SUMPRODUCT(MAX((AgPac=$A970)*(AgStatus="Compareceu")*AgData)))</f>
        <v>0</v>
      </c>
    </row>
    <row r="971" spans="1:10">
      <c r="A971" s="15"/>
      <c r="B971" s="15"/>
      <c r="C971" s="15"/>
      <c r="D971" s="15"/>
      <c r="E971" s="15"/>
      <c r="F971" s="16"/>
      <c r="G971" s="15"/>
      <c r="H971" s="21">
        <f>IF($A971="","",COUNTIFS(AgPac,$A971,AgStatus,"Compareceu"))</f>
        <v>0</v>
      </c>
      <c r="I971" s="21">
        <f>IF($A971="","",COUNTIFS(AgPac,$A971,AgStatus,"Faltou"))</f>
        <v>0</v>
      </c>
      <c r="J971" s="22">
        <f>IF($A971="","",SUMPRODUCT(MAX((AgPac=$A971)*(AgStatus="Compareceu")*AgData)))</f>
        <v>0</v>
      </c>
    </row>
    <row r="972" spans="1:10">
      <c r="A972" s="15"/>
      <c r="B972" s="15"/>
      <c r="C972" s="15"/>
      <c r="D972" s="15"/>
      <c r="E972" s="15"/>
      <c r="F972" s="16"/>
      <c r="G972" s="15"/>
      <c r="H972" s="21">
        <f>IF($A972="","",COUNTIFS(AgPac,$A972,AgStatus,"Compareceu"))</f>
        <v>0</v>
      </c>
      <c r="I972" s="21">
        <f>IF($A972="","",COUNTIFS(AgPac,$A972,AgStatus,"Faltou"))</f>
        <v>0</v>
      </c>
      <c r="J972" s="22">
        <f>IF($A972="","",SUMPRODUCT(MAX((AgPac=$A972)*(AgStatus="Compareceu")*AgData)))</f>
        <v>0</v>
      </c>
    </row>
    <row r="973" spans="1:10">
      <c r="A973" s="15"/>
      <c r="B973" s="15"/>
      <c r="C973" s="15"/>
      <c r="D973" s="15"/>
      <c r="E973" s="15"/>
      <c r="F973" s="16"/>
      <c r="G973" s="15"/>
      <c r="H973" s="21">
        <f>IF($A973="","",COUNTIFS(AgPac,$A973,AgStatus,"Compareceu"))</f>
        <v>0</v>
      </c>
      <c r="I973" s="21">
        <f>IF($A973="","",COUNTIFS(AgPac,$A973,AgStatus,"Faltou"))</f>
        <v>0</v>
      </c>
      <c r="J973" s="22">
        <f>IF($A973="","",SUMPRODUCT(MAX((AgPac=$A973)*(AgStatus="Compareceu")*AgData)))</f>
        <v>0</v>
      </c>
    </row>
    <row r="974" spans="1:10">
      <c r="A974" s="15"/>
      <c r="B974" s="15"/>
      <c r="C974" s="15"/>
      <c r="D974" s="15"/>
      <c r="E974" s="15"/>
      <c r="F974" s="16"/>
      <c r="G974" s="15"/>
      <c r="H974" s="21">
        <f>IF($A974="","",COUNTIFS(AgPac,$A974,AgStatus,"Compareceu"))</f>
        <v>0</v>
      </c>
      <c r="I974" s="21">
        <f>IF($A974="","",COUNTIFS(AgPac,$A974,AgStatus,"Faltou"))</f>
        <v>0</v>
      </c>
      <c r="J974" s="22">
        <f>IF($A974="","",SUMPRODUCT(MAX((AgPac=$A974)*(AgStatus="Compareceu")*AgData)))</f>
        <v>0</v>
      </c>
    </row>
    <row r="975" spans="1:10">
      <c r="A975" s="15"/>
      <c r="B975" s="15"/>
      <c r="C975" s="15"/>
      <c r="D975" s="15"/>
      <c r="E975" s="15"/>
      <c r="F975" s="16"/>
      <c r="G975" s="15"/>
      <c r="H975" s="21">
        <f>IF($A975="","",COUNTIFS(AgPac,$A975,AgStatus,"Compareceu"))</f>
        <v>0</v>
      </c>
      <c r="I975" s="21">
        <f>IF($A975="","",COUNTIFS(AgPac,$A975,AgStatus,"Faltou"))</f>
        <v>0</v>
      </c>
      <c r="J975" s="22">
        <f>IF($A975="","",SUMPRODUCT(MAX((AgPac=$A975)*(AgStatus="Compareceu")*AgData)))</f>
        <v>0</v>
      </c>
    </row>
    <row r="976" spans="1:10">
      <c r="A976" s="15"/>
      <c r="B976" s="15"/>
      <c r="C976" s="15"/>
      <c r="D976" s="15"/>
      <c r="E976" s="15"/>
      <c r="F976" s="16"/>
      <c r="G976" s="15"/>
      <c r="H976" s="21">
        <f>IF($A976="","",COUNTIFS(AgPac,$A976,AgStatus,"Compareceu"))</f>
        <v>0</v>
      </c>
      <c r="I976" s="21">
        <f>IF($A976="","",COUNTIFS(AgPac,$A976,AgStatus,"Faltou"))</f>
        <v>0</v>
      </c>
      <c r="J976" s="22">
        <f>IF($A976="","",SUMPRODUCT(MAX((AgPac=$A976)*(AgStatus="Compareceu")*AgData)))</f>
        <v>0</v>
      </c>
    </row>
    <row r="977" spans="1:10">
      <c r="A977" s="15"/>
      <c r="B977" s="15"/>
      <c r="C977" s="15"/>
      <c r="D977" s="15"/>
      <c r="E977" s="15"/>
      <c r="F977" s="16"/>
      <c r="G977" s="15"/>
      <c r="H977" s="21">
        <f>IF($A977="","",COUNTIFS(AgPac,$A977,AgStatus,"Compareceu"))</f>
        <v>0</v>
      </c>
      <c r="I977" s="21">
        <f>IF($A977="","",COUNTIFS(AgPac,$A977,AgStatus,"Faltou"))</f>
        <v>0</v>
      </c>
      <c r="J977" s="22">
        <f>IF($A977="","",SUMPRODUCT(MAX((AgPac=$A977)*(AgStatus="Compareceu")*AgData)))</f>
        <v>0</v>
      </c>
    </row>
    <row r="978" spans="1:10">
      <c r="A978" s="15"/>
      <c r="B978" s="15"/>
      <c r="C978" s="15"/>
      <c r="D978" s="15"/>
      <c r="E978" s="15"/>
      <c r="F978" s="16"/>
      <c r="G978" s="15"/>
      <c r="H978" s="21">
        <f>IF($A978="","",COUNTIFS(AgPac,$A978,AgStatus,"Compareceu"))</f>
        <v>0</v>
      </c>
      <c r="I978" s="21">
        <f>IF($A978="","",COUNTIFS(AgPac,$A978,AgStatus,"Faltou"))</f>
        <v>0</v>
      </c>
      <c r="J978" s="22">
        <f>IF($A978="","",SUMPRODUCT(MAX((AgPac=$A978)*(AgStatus="Compareceu")*AgData)))</f>
        <v>0</v>
      </c>
    </row>
    <row r="979" spans="1:10">
      <c r="A979" s="15"/>
      <c r="B979" s="15"/>
      <c r="C979" s="15"/>
      <c r="D979" s="15"/>
      <c r="E979" s="15"/>
      <c r="F979" s="16"/>
      <c r="G979" s="15"/>
      <c r="H979" s="21">
        <f>IF($A979="","",COUNTIFS(AgPac,$A979,AgStatus,"Compareceu"))</f>
        <v>0</v>
      </c>
      <c r="I979" s="21">
        <f>IF($A979="","",COUNTIFS(AgPac,$A979,AgStatus,"Faltou"))</f>
        <v>0</v>
      </c>
      <c r="J979" s="22">
        <f>IF($A979="","",SUMPRODUCT(MAX((AgPac=$A979)*(AgStatus="Compareceu")*AgData)))</f>
        <v>0</v>
      </c>
    </row>
    <row r="980" spans="1:10">
      <c r="A980" s="15"/>
      <c r="B980" s="15"/>
      <c r="C980" s="15"/>
      <c r="D980" s="15"/>
      <c r="E980" s="15"/>
      <c r="F980" s="16"/>
      <c r="G980" s="15"/>
      <c r="H980" s="21">
        <f>IF($A980="","",COUNTIFS(AgPac,$A980,AgStatus,"Compareceu"))</f>
        <v>0</v>
      </c>
      <c r="I980" s="21">
        <f>IF($A980="","",COUNTIFS(AgPac,$A980,AgStatus,"Faltou"))</f>
        <v>0</v>
      </c>
      <c r="J980" s="22">
        <f>IF($A980="","",SUMPRODUCT(MAX((AgPac=$A980)*(AgStatus="Compareceu")*AgData)))</f>
        <v>0</v>
      </c>
    </row>
    <row r="981" spans="1:10">
      <c r="A981" s="15"/>
      <c r="B981" s="15"/>
      <c r="C981" s="15"/>
      <c r="D981" s="15"/>
      <c r="E981" s="15"/>
      <c r="F981" s="16"/>
      <c r="G981" s="15"/>
      <c r="H981" s="21">
        <f>IF($A981="","",COUNTIFS(AgPac,$A981,AgStatus,"Compareceu"))</f>
        <v>0</v>
      </c>
      <c r="I981" s="21">
        <f>IF($A981="","",COUNTIFS(AgPac,$A981,AgStatus,"Faltou"))</f>
        <v>0</v>
      </c>
      <c r="J981" s="22">
        <f>IF($A981="","",SUMPRODUCT(MAX((AgPac=$A981)*(AgStatus="Compareceu")*AgData)))</f>
        <v>0</v>
      </c>
    </row>
    <row r="982" spans="1:10">
      <c r="A982" s="15"/>
      <c r="B982" s="15"/>
      <c r="C982" s="15"/>
      <c r="D982" s="15"/>
      <c r="E982" s="15"/>
      <c r="F982" s="16"/>
      <c r="G982" s="15"/>
      <c r="H982" s="21">
        <f>IF($A982="","",COUNTIFS(AgPac,$A982,AgStatus,"Compareceu"))</f>
        <v>0</v>
      </c>
      <c r="I982" s="21">
        <f>IF($A982="","",COUNTIFS(AgPac,$A982,AgStatus,"Faltou"))</f>
        <v>0</v>
      </c>
      <c r="J982" s="22">
        <f>IF($A982="","",SUMPRODUCT(MAX((AgPac=$A982)*(AgStatus="Compareceu")*AgData)))</f>
        <v>0</v>
      </c>
    </row>
    <row r="983" spans="1:10">
      <c r="A983" s="15"/>
      <c r="B983" s="15"/>
      <c r="C983" s="15"/>
      <c r="D983" s="15"/>
      <c r="E983" s="15"/>
      <c r="F983" s="16"/>
      <c r="G983" s="15"/>
      <c r="H983" s="21">
        <f>IF($A983="","",COUNTIFS(AgPac,$A983,AgStatus,"Compareceu"))</f>
        <v>0</v>
      </c>
      <c r="I983" s="21">
        <f>IF($A983="","",COUNTIFS(AgPac,$A983,AgStatus,"Faltou"))</f>
        <v>0</v>
      </c>
      <c r="J983" s="22">
        <f>IF($A983="","",SUMPRODUCT(MAX((AgPac=$A983)*(AgStatus="Compareceu")*AgData)))</f>
        <v>0</v>
      </c>
    </row>
    <row r="984" spans="1:10">
      <c r="A984" s="15"/>
      <c r="B984" s="15"/>
      <c r="C984" s="15"/>
      <c r="D984" s="15"/>
      <c r="E984" s="15"/>
      <c r="F984" s="16"/>
      <c r="G984" s="15"/>
      <c r="H984" s="21">
        <f>IF($A984="","",COUNTIFS(AgPac,$A984,AgStatus,"Compareceu"))</f>
        <v>0</v>
      </c>
      <c r="I984" s="21">
        <f>IF($A984="","",COUNTIFS(AgPac,$A984,AgStatus,"Faltou"))</f>
        <v>0</v>
      </c>
      <c r="J984" s="22">
        <f>IF($A984="","",SUMPRODUCT(MAX((AgPac=$A984)*(AgStatus="Compareceu")*AgData)))</f>
        <v>0</v>
      </c>
    </row>
    <row r="985" spans="1:10">
      <c r="A985" s="15"/>
      <c r="B985" s="15"/>
      <c r="C985" s="15"/>
      <c r="D985" s="15"/>
      <c r="E985" s="15"/>
      <c r="F985" s="16"/>
      <c r="G985" s="15"/>
      <c r="H985" s="21">
        <f>IF($A985="","",COUNTIFS(AgPac,$A985,AgStatus,"Compareceu"))</f>
        <v>0</v>
      </c>
      <c r="I985" s="21">
        <f>IF($A985="","",COUNTIFS(AgPac,$A985,AgStatus,"Faltou"))</f>
        <v>0</v>
      </c>
      <c r="J985" s="22">
        <f>IF($A985="","",SUMPRODUCT(MAX((AgPac=$A985)*(AgStatus="Compareceu")*AgData)))</f>
        <v>0</v>
      </c>
    </row>
    <row r="986" spans="1:10">
      <c r="A986" s="15"/>
      <c r="B986" s="15"/>
      <c r="C986" s="15"/>
      <c r="D986" s="15"/>
      <c r="E986" s="15"/>
      <c r="F986" s="16"/>
      <c r="G986" s="15"/>
      <c r="H986" s="21">
        <f>IF($A986="","",COUNTIFS(AgPac,$A986,AgStatus,"Compareceu"))</f>
        <v>0</v>
      </c>
      <c r="I986" s="21">
        <f>IF($A986="","",COUNTIFS(AgPac,$A986,AgStatus,"Faltou"))</f>
        <v>0</v>
      </c>
      <c r="J986" s="22">
        <f>IF($A986="","",SUMPRODUCT(MAX((AgPac=$A986)*(AgStatus="Compareceu")*AgData)))</f>
        <v>0</v>
      </c>
    </row>
    <row r="987" spans="1:10">
      <c r="A987" s="15"/>
      <c r="B987" s="15"/>
      <c r="C987" s="15"/>
      <c r="D987" s="15"/>
      <c r="E987" s="15"/>
      <c r="F987" s="16"/>
      <c r="G987" s="15"/>
      <c r="H987" s="21">
        <f>IF($A987="","",COUNTIFS(AgPac,$A987,AgStatus,"Compareceu"))</f>
        <v>0</v>
      </c>
      <c r="I987" s="21">
        <f>IF($A987="","",COUNTIFS(AgPac,$A987,AgStatus,"Faltou"))</f>
        <v>0</v>
      </c>
      <c r="J987" s="22">
        <f>IF($A987="","",SUMPRODUCT(MAX((AgPac=$A987)*(AgStatus="Compareceu")*AgData)))</f>
        <v>0</v>
      </c>
    </row>
    <row r="988" spans="1:10">
      <c r="A988" s="15"/>
      <c r="B988" s="15"/>
      <c r="C988" s="15"/>
      <c r="D988" s="15"/>
      <c r="E988" s="15"/>
      <c r="F988" s="16"/>
      <c r="G988" s="15"/>
      <c r="H988" s="21">
        <f>IF($A988="","",COUNTIFS(AgPac,$A988,AgStatus,"Compareceu"))</f>
        <v>0</v>
      </c>
      <c r="I988" s="21">
        <f>IF($A988="","",COUNTIFS(AgPac,$A988,AgStatus,"Faltou"))</f>
        <v>0</v>
      </c>
      <c r="J988" s="22">
        <f>IF($A988="","",SUMPRODUCT(MAX((AgPac=$A988)*(AgStatus="Compareceu")*AgData)))</f>
        <v>0</v>
      </c>
    </row>
    <row r="989" spans="1:10">
      <c r="A989" s="15"/>
      <c r="B989" s="15"/>
      <c r="C989" s="15"/>
      <c r="D989" s="15"/>
      <c r="E989" s="15"/>
      <c r="F989" s="16"/>
      <c r="G989" s="15"/>
      <c r="H989" s="21">
        <f>IF($A989="","",COUNTIFS(AgPac,$A989,AgStatus,"Compareceu"))</f>
        <v>0</v>
      </c>
      <c r="I989" s="21">
        <f>IF($A989="","",COUNTIFS(AgPac,$A989,AgStatus,"Faltou"))</f>
        <v>0</v>
      </c>
      <c r="J989" s="22">
        <f>IF($A989="","",SUMPRODUCT(MAX((AgPac=$A989)*(AgStatus="Compareceu")*AgData)))</f>
        <v>0</v>
      </c>
    </row>
    <row r="990" spans="1:10">
      <c r="A990" s="15"/>
      <c r="B990" s="15"/>
      <c r="C990" s="15"/>
      <c r="D990" s="15"/>
      <c r="E990" s="15"/>
      <c r="F990" s="16"/>
      <c r="G990" s="15"/>
      <c r="H990" s="21">
        <f>IF($A990="","",COUNTIFS(AgPac,$A990,AgStatus,"Compareceu"))</f>
        <v>0</v>
      </c>
      <c r="I990" s="21">
        <f>IF($A990="","",COUNTIFS(AgPac,$A990,AgStatus,"Faltou"))</f>
        <v>0</v>
      </c>
      <c r="J990" s="22">
        <f>IF($A990="","",SUMPRODUCT(MAX((AgPac=$A990)*(AgStatus="Compareceu")*AgData)))</f>
        <v>0</v>
      </c>
    </row>
    <row r="991" spans="1:10">
      <c r="A991" s="15"/>
      <c r="B991" s="15"/>
      <c r="C991" s="15"/>
      <c r="D991" s="15"/>
      <c r="E991" s="15"/>
      <c r="F991" s="16"/>
      <c r="G991" s="15"/>
      <c r="H991" s="21">
        <f>IF($A991="","",COUNTIFS(AgPac,$A991,AgStatus,"Compareceu"))</f>
        <v>0</v>
      </c>
      <c r="I991" s="21">
        <f>IF($A991="","",COUNTIFS(AgPac,$A991,AgStatus,"Faltou"))</f>
        <v>0</v>
      </c>
      <c r="J991" s="22">
        <f>IF($A991="","",SUMPRODUCT(MAX((AgPac=$A991)*(AgStatus="Compareceu")*AgData)))</f>
        <v>0</v>
      </c>
    </row>
    <row r="992" spans="1:10">
      <c r="A992" s="15"/>
      <c r="B992" s="15"/>
      <c r="C992" s="15"/>
      <c r="D992" s="15"/>
      <c r="E992" s="15"/>
      <c r="F992" s="16"/>
      <c r="G992" s="15"/>
      <c r="H992" s="21">
        <f>IF($A992="","",COUNTIFS(AgPac,$A992,AgStatus,"Compareceu"))</f>
        <v>0</v>
      </c>
      <c r="I992" s="21">
        <f>IF($A992="","",COUNTIFS(AgPac,$A992,AgStatus,"Faltou"))</f>
        <v>0</v>
      </c>
      <c r="J992" s="22">
        <f>IF($A992="","",SUMPRODUCT(MAX((AgPac=$A992)*(AgStatus="Compareceu")*AgData)))</f>
        <v>0</v>
      </c>
    </row>
    <row r="993" spans="1:10">
      <c r="A993" s="15"/>
      <c r="B993" s="15"/>
      <c r="C993" s="15"/>
      <c r="D993" s="15"/>
      <c r="E993" s="15"/>
      <c r="F993" s="16"/>
      <c r="G993" s="15"/>
      <c r="H993" s="21">
        <f>IF($A993="","",COUNTIFS(AgPac,$A993,AgStatus,"Compareceu"))</f>
        <v>0</v>
      </c>
      <c r="I993" s="21">
        <f>IF($A993="","",COUNTIFS(AgPac,$A993,AgStatus,"Faltou"))</f>
        <v>0</v>
      </c>
      <c r="J993" s="22">
        <f>IF($A993="","",SUMPRODUCT(MAX((AgPac=$A993)*(AgStatus="Compareceu")*AgData)))</f>
        <v>0</v>
      </c>
    </row>
    <row r="994" spans="1:10">
      <c r="A994" s="15"/>
      <c r="B994" s="15"/>
      <c r="C994" s="15"/>
      <c r="D994" s="15"/>
      <c r="E994" s="15"/>
      <c r="F994" s="16"/>
      <c r="G994" s="15"/>
      <c r="H994" s="21">
        <f>IF($A994="","",COUNTIFS(AgPac,$A994,AgStatus,"Compareceu"))</f>
        <v>0</v>
      </c>
      <c r="I994" s="21">
        <f>IF($A994="","",COUNTIFS(AgPac,$A994,AgStatus,"Faltou"))</f>
        <v>0</v>
      </c>
      <c r="J994" s="22">
        <f>IF($A994="","",SUMPRODUCT(MAX((AgPac=$A994)*(AgStatus="Compareceu")*AgData)))</f>
        <v>0</v>
      </c>
    </row>
    <row r="995" spans="1:10">
      <c r="A995" s="15"/>
      <c r="B995" s="15"/>
      <c r="C995" s="15"/>
      <c r="D995" s="15"/>
      <c r="E995" s="15"/>
      <c r="F995" s="16"/>
      <c r="G995" s="15"/>
      <c r="H995" s="21">
        <f>IF($A995="","",COUNTIFS(AgPac,$A995,AgStatus,"Compareceu"))</f>
        <v>0</v>
      </c>
      <c r="I995" s="21">
        <f>IF($A995="","",COUNTIFS(AgPac,$A995,AgStatus,"Faltou"))</f>
        <v>0</v>
      </c>
      <c r="J995" s="22">
        <f>IF($A995="","",SUMPRODUCT(MAX((AgPac=$A995)*(AgStatus="Compareceu")*AgData)))</f>
        <v>0</v>
      </c>
    </row>
    <row r="996" spans="1:10">
      <c r="A996" s="15"/>
      <c r="B996" s="15"/>
      <c r="C996" s="15"/>
      <c r="D996" s="15"/>
      <c r="E996" s="15"/>
      <c r="F996" s="16"/>
      <c r="G996" s="15"/>
      <c r="H996" s="21">
        <f>IF($A996="","",COUNTIFS(AgPac,$A996,AgStatus,"Compareceu"))</f>
        <v>0</v>
      </c>
      <c r="I996" s="21">
        <f>IF($A996="","",COUNTIFS(AgPac,$A996,AgStatus,"Faltou"))</f>
        <v>0</v>
      </c>
      <c r="J996" s="22">
        <f>IF($A996="","",SUMPRODUCT(MAX((AgPac=$A996)*(AgStatus="Compareceu")*AgData)))</f>
        <v>0</v>
      </c>
    </row>
    <row r="997" spans="1:10">
      <c r="A997" s="15"/>
      <c r="B997" s="15"/>
      <c r="C997" s="15"/>
      <c r="D997" s="15"/>
      <c r="E997" s="15"/>
      <c r="F997" s="16"/>
      <c r="G997" s="15"/>
      <c r="H997" s="21">
        <f>IF($A997="","",COUNTIFS(AgPac,$A997,AgStatus,"Compareceu"))</f>
        <v>0</v>
      </c>
      <c r="I997" s="21">
        <f>IF($A997="","",COUNTIFS(AgPac,$A997,AgStatus,"Faltou"))</f>
        <v>0</v>
      </c>
      <c r="J997" s="22">
        <f>IF($A997="","",SUMPRODUCT(MAX((AgPac=$A997)*(AgStatus="Compareceu")*AgData)))</f>
        <v>0</v>
      </c>
    </row>
    <row r="998" spans="1:10">
      <c r="A998" s="15"/>
      <c r="B998" s="15"/>
      <c r="C998" s="15"/>
      <c r="D998" s="15"/>
      <c r="E998" s="15"/>
      <c r="F998" s="16"/>
      <c r="G998" s="15"/>
      <c r="H998" s="21">
        <f>IF($A998="","",COUNTIFS(AgPac,$A998,AgStatus,"Compareceu"))</f>
        <v>0</v>
      </c>
      <c r="I998" s="21">
        <f>IF($A998="","",COUNTIFS(AgPac,$A998,AgStatus,"Faltou"))</f>
        <v>0</v>
      </c>
      <c r="J998" s="22">
        <f>IF($A998="","",SUMPRODUCT(MAX((AgPac=$A998)*(AgStatus="Compareceu")*AgData)))</f>
        <v>0</v>
      </c>
    </row>
    <row r="999" spans="1:10">
      <c r="A999" s="15"/>
      <c r="B999" s="15"/>
      <c r="C999" s="15"/>
      <c r="D999" s="15"/>
      <c r="E999" s="15"/>
      <c r="F999" s="16"/>
      <c r="G999" s="15"/>
      <c r="H999" s="21">
        <f>IF($A999="","",COUNTIFS(AgPac,$A999,AgStatus,"Compareceu"))</f>
        <v>0</v>
      </c>
      <c r="I999" s="21">
        <f>IF($A999="","",COUNTIFS(AgPac,$A999,AgStatus,"Faltou"))</f>
        <v>0</v>
      </c>
      <c r="J999" s="22">
        <f>IF($A999="","",SUMPRODUCT(MAX((AgPac=$A999)*(AgStatus="Compareceu")*AgData)))</f>
        <v>0</v>
      </c>
    </row>
    <row r="1000" spans="1:10">
      <c r="A1000" s="15"/>
      <c r="B1000" s="15"/>
      <c r="C1000" s="15"/>
      <c r="D1000" s="15"/>
      <c r="E1000" s="15"/>
      <c r="F1000" s="16"/>
      <c r="G1000" s="15"/>
      <c r="H1000" s="21">
        <f>IF($A1000="","",COUNTIFS(AgPac,$A1000,AgStatus,"Compareceu"))</f>
        <v>0</v>
      </c>
      <c r="I1000" s="21">
        <f>IF($A1000="","",COUNTIFS(AgPac,$A1000,AgStatus,"Faltou"))</f>
        <v>0</v>
      </c>
      <c r="J1000" s="22">
        <f>IF($A1000="","",SUMPRODUCT(MAX((AgPac=$A1000)*(AgStatus="Compareceu")*AgData)))</f>
        <v>0</v>
      </c>
    </row>
    <row r="1001" spans="1:10">
      <c r="A1001" s="15"/>
      <c r="B1001" s="15"/>
      <c r="C1001" s="15"/>
      <c r="D1001" s="15"/>
      <c r="E1001" s="15"/>
      <c r="F1001" s="16"/>
      <c r="G1001" s="15"/>
      <c r="H1001" s="21">
        <f>IF($A1001="","",COUNTIFS(AgPac,$A1001,AgStatus,"Compareceu"))</f>
        <v>0</v>
      </c>
      <c r="I1001" s="21">
        <f>IF($A1001="","",COUNTIFS(AgPac,$A1001,AgStatus,"Faltou"))</f>
        <v>0</v>
      </c>
      <c r="J1001" s="22">
        <f>IF($A1001="","",SUMPRODUCT(MAX((AgPac=$A1001)*(AgStatus="Compareceu")*AgData)))</f>
        <v>0</v>
      </c>
    </row>
    <row r="1002" spans="1:10">
      <c r="A1002" s="15"/>
      <c r="B1002" s="15"/>
      <c r="C1002" s="15"/>
      <c r="D1002" s="15"/>
      <c r="E1002" s="15"/>
      <c r="F1002" s="16"/>
      <c r="G1002" s="15"/>
      <c r="H1002" s="21">
        <f>IF($A1002="","",COUNTIFS(AgPac,$A1002,AgStatus,"Compareceu"))</f>
        <v>0</v>
      </c>
      <c r="I1002" s="21">
        <f>IF($A1002="","",COUNTIFS(AgPac,$A1002,AgStatus,"Faltou"))</f>
        <v>0</v>
      </c>
      <c r="J1002" s="22">
        <f>IF($A1002="","",SUMPRODUCT(MAX((AgPac=$A1002)*(AgStatus="Compareceu")*AgData)))</f>
        <v>0</v>
      </c>
    </row>
    <row r="1003" spans="1:10">
      <c r="A1003" s="15"/>
      <c r="B1003" s="15"/>
      <c r="C1003" s="15"/>
      <c r="D1003" s="15"/>
      <c r="E1003" s="15"/>
      <c r="F1003" s="16"/>
      <c r="G1003" s="15"/>
      <c r="H1003" s="21">
        <f>IF($A1003="","",COUNTIFS(AgPac,$A1003,AgStatus,"Compareceu"))</f>
        <v>0</v>
      </c>
      <c r="I1003" s="21">
        <f>IF($A1003="","",COUNTIFS(AgPac,$A1003,AgStatus,"Faltou"))</f>
        <v>0</v>
      </c>
      <c r="J1003" s="22">
        <f>IF($A1003="","",SUMPRODUCT(MAX((AgPac=$A1003)*(AgStatus="Compareceu")*AgData)))</f>
        <v>0</v>
      </c>
    </row>
    <row r="1004" spans="1:10">
      <c r="A1004" s="15"/>
      <c r="B1004" s="15"/>
      <c r="C1004" s="15"/>
      <c r="D1004" s="15"/>
      <c r="E1004" s="15"/>
      <c r="F1004" s="16"/>
      <c r="G1004" s="15"/>
      <c r="H1004" s="21">
        <f>IF($A1004="","",COUNTIFS(AgPac,$A1004,AgStatus,"Compareceu"))</f>
        <v>0</v>
      </c>
      <c r="I1004" s="21">
        <f>IF($A1004="","",COUNTIFS(AgPac,$A1004,AgStatus,"Faltou"))</f>
        <v>0</v>
      </c>
      <c r="J1004" s="22">
        <f>IF($A1004="","",SUMPRODUCT(MAX((AgPac=$A1004)*(AgStatus="Compareceu")*AgData)))</f>
        <v>0</v>
      </c>
    </row>
  </sheetData>
  <autoFilter ref="A4:J1004"/>
  <mergeCells count="2">
    <mergeCell ref="A1:J1"/>
    <mergeCell ref="A2:J2"/>
  </mergeCells>
  <conditionalFormatting sqref="I5:I1004">
    <cfRule type="cellIs" dxfId="0" priority="1" operator="greaterThanOrEqual">
      <formula>2</formula>
    </cfRule>
  </conditionalFormatting>
  <dataValidations count="4">
    <dataValidation type="list" allowBlank="1" showInputMessage="1" showErrorMessage="1" errorTitle="Valor inválido" error="Escolha um item da lista." sqref="D5:D1004">
      <formula1>Convenios</formula1>
    </dataValidation>
    <dataValidation type="list" allowBlank="1" showInputMessage="1" showErrorMessage="1" errorTitle="Valor inválido" error="Escolha um item da lista." sqref="E5:E1004">
      <formula1>Origens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F5:F1004">
      <formula1>36526</formula1>
    </dataValidation>
    <dataValidation type="custom" allowBlank="1" showInputMessage="1" showErrorMessage="1" errorTitle="Código repetido" error="Use um código único." sqref="A5:A1004">
      <formula1>COUNTIF($A$5:$A$1004,A5)=1</formula1>
    </dataValidation>
  </dataValidation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V30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7.7109375" customWidth="1"/>
    <col min="3" max="3" width="15.7109375" customWidth="1"/>
    <col min="4" max="4" width="10.7109375" customWidth="1"/>
    <col min="5" max="5" width="22.7109375" customWidth="1"/>
    <col min="6" max="6" width="12.7109375" customWidth="1"/>
    <col min="7" max="7" width="14.7109375" customWidth="1"/>
    <col min="8" max="8" width="13.7109375" customWidth="1"/>
    <col min="9" max="9" width="16.7109375" customWidth="1"/>
    <col min="10" max="10" width="20.7109375" customWidth="1"/>
    <col min="11" max="11" width="13.7109375" customWidth="1"/>
    <col min="12" max="12" width="6.7109375" customWidth="1"/>
    <col min="13" max="15" width="12.7109375" customWidth="1"/>
    <col min="16" max="17" width="11.7109375" customWidth="1"/>
    <col min="18" max="18" width="10.7109375" customWidth="1"/>
    <col min="19" max="19" width="17.7109375" customWidth="1"/>
    <col min="20" max="20" width="9.7109375" customWidth="1"/>
    <col min="21" max="22" width="0" hidden="1" customWidth="1"/>
  </cols>
  <sheetData>
    <row r="1" spans="1:22" ht="36" customHeight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3" t="s">
        <v>41</v>
      </c>
    </row>
    <row r="4" spans="1:22" ht="56" customHeight="1">
      <c r="A4" s="11" t="s">
        <v>239</v>
      </c>
      <c r="B4" s="11" t="s">
        <v>240</v>
      </c>
      <c r="C4" s="11" t="s">
        <v>241</v>
      </c>
      <c r="D4" s="11" t="s">
        <v>242</v>
      </c>
      <c r="E4" s="11" t="s">
        <v>55</v>
      </c>
      <c r="F4" s="11" t="s">
        <v>243</v>
      </c>
      <c r="G4" s="11" t="s">
        <v>244</v>
      </c>
      <c r="H4" s="11" t="s">
        <v>245</v>
      </c>
      <c r="I4" s="11" t="s">
        <v>246</v>
      </c>
      <c r="J4" s="11" t="s">
        <v>247</v>
      </c>
      <c r="K4" s="11" t="s">
        <v>87</v>
      </c>
      <c r="L4" s="11" t="s">
        <v>248</v>
      </c>
      <c r="M4" s="11" t="s">
        <v>249</v>
      </c>
      <c r="N4" s="11" t="s">
        <v>250</v>
      </c>
      <c r="O4" s="11" t="s">
        <v>251</v>
      </c>
      <c r="P4" s="11" t="s">
        <v>252</v>
      </c>
      <c r="Q4" s="11" t="s">
        <v>253</v>
      </c>
      <c r="R4" s="11" t="s">
        <v>254</v>
      </c>
      <c r="S4" s="11" t="s">
        <v>255</v>
      </c>
      <c r="T4" s="11" t="s">
        <v>256</v>
      </c>
      <c r="U4" s="11"/>
      <c r="V4" s="11"/>
    </row>
    <row r="5" spans="1:22">
      <c r="A5" s="16">
        <v>46204</v>
      </c>
      <c r="B5" s="23">
        <v>0.4375</v>
      </c>
      <c r="C5" s="15" t="s">
        <v>51</v>
      </c>
      <c r="D5" s="15" t="s">
        <v>178</v>
      </c>
      <c r="E5" s="15" t="s">
        <v>65</v>
      </c>
      <c r="F5" s="24" t="s">
        <v>79</v>
      </c>
      <c r="G5" s="17"/>
      <c r="H5" s="17">
        <v>130</v>
      </c>
      <c r="I5" s="15" t="s">
        <v>72</v>
      </c>
      <c r="J5" s="25" t="str">
        <f>IF($D5="","",IFERROR(INDEX(PacNome,MATCH($D5,PacCod,0)),"Paciente não cadastrado"))</f>
        <v>Paciente 027</v>
      </c>
      <c r="K5" s="26" t="str">
        <f>IF($D5="","",IFERROR(INDEX(PacConv,MATCH($D5,PacCod,0))&amp;"",""))</f>
        <v>Particular</v>
      </c>
      <c r="L5" s="26" t="str">
        <f>IF($A5="","",CHOOSE(WEEKDAY($A5,2),"Seg","Ter","Qua","Qui","Sex","Sáb","Dom"))</f>
        <v>Qua</v>
      </c>
      <c r="M5" s="27">
        <f>IF($E5="","",IF($G5&lt;&gt;"",$G5,IFERROR(INDEX(ProcValor,MATCH($E5,ProcNome,0)),0)))</f>
        <v>130</v>
      </c>
      <c r="N5" s="27">
        <f>IF($M5="","",IF($F5="Compareceu",$M5,0))</f>
        <v>130</v>
      </c>
      <c r="O5" s="27">
        <f>IF($M5="","",IF($F5="Faltou",$M5,0))</f>
        <v>0</v>
      </c>
      <c r="P5" s="27">
        <f>IF($M5="","",IF($F5="Compareceu",MAX(0,$M5-N($H5)),0))</f>
        <v>0</v>
      </c>
      <c r="Q5" s="19">
        <f>IF(AND($F5="Compareceu",$E5&lt;&gt;"",$A5&lt;&gt;""),IF(IFERROR(INDEX(ProcRet,MATCH($E5,ProcNome,0)),0)&gt;0,$A5+INDEX(ProcRet,MATCH($E5,ProcNome,0)),""),"")</f>
        <v>46294.0</v>
      </c>
      <c r="R5" s="26" t="str">
        <f>IF($Q5="","",IF(COUNTIFS(AgPac,$D5,AgData,"&gt;"&amp;$A5,AgStatus,"&lt;&gt;Cancelado",AgStatus,"&lt;&gt;Remarcado")&gt;0,"Sim","Não"))</f>
        <v>Sim</v>
      </c>
      <c r="S5" s="28">
        <f>IF($A5="","",IF(AND($F5="Agendado",$A5-Hoje&gt;=0,$A5-Hoje&lt;=DiasConf),"CONFIRMAR",IF(AND($A5&lt;Hoje,OR($F5="Agendado",$F5="Confirmado")),"Atualizar status",IF(AND($F5="Compareceu",$P5&gt;0.005),"Cobrar",IF($F5="Faltou","Falta: reagendar","")))))</f>
        <v>0</v>
      </c>
      <c r="T5" s="29">
        <f>IF($A5="","",DATE(YEAR($A5),MONTH($A5),1))</f>
        <v>46204.0</v>
      </c>
      <c r="U5" s="30">
        <f>IF($S5="CONFIRMAR",MAX($U$4:$U4)+1,"")</f>
        <v>0</v>
      </c>
      <c r="V5" s="30">
        <f>IF(AND($R5="Não",$Q5&lt;&gt;"",$Q5&lt;=Hoje+JanelaRet,$Q5&gt;=Hoje-60),MAX($V$4:$V4)+1,"")</f>
        <v>0</v>
      </c>
    </row>
    <row r="6" spans="1:22">
      <c r="A6" s="16">
        <v>46204</v>
      </c>
      <c r="B6" s="23">
        <v>0.5208333333333334</v>
      </c>
      <c r="C6" s="15" t="s">
        <v>51</v>
      </c>
      <c r="D6" s="15" t="s">
        <v>226</v>
      </c>
      <c r="E6" s="15" t="s">
        <v>65</v>
      </c>
      <c r="F6" s="24" t="s">
        <v>81</v>
      </c>
      <c r="G6" s="17"/>
      <c r="H6" s="17"/>
      <c r="I6" s="15"/>
      <c r="J6" s="25" t="str">
        <f>IF($D6="","",IFERROR(INDEX(PacNome,MATCH($D6,PacCod,0)),"Paciente não cadastrado"))</f>
        <v>Paciente 043</v>
      </c>
      <c r="K6" s="26" t="str">
        <f>IF($D6="","",IFERROR(INDEX(PacConv,MATCH($D6,PacCod,0))&amp;"",""))</f>
        <v>Convênio A</v>
      </c>
      <c r="L6" s="26" t="str">
        <f>IF($A6="","",CHOOSE(WEEKDAY($A6,2),"Seg","Ter","Qua","Qui","Sex","Sáb","Dom"))</f>
        <v>Qua</v>
      </c>
      <c r="M6" s="27">
        <f>IF($E6="","",IF($G6&lt;&gt;"",$G6,IFERROR(INDEX(ProcValor,MATCH($E6,ProcNome,0)),0)))</f>
        <v>130</v>
      </c>
      <c r="N6" s="27">
        <f>IF($M6="","",IF($F6="Compareceu",$M6,0))</f>
        <v>0</v>
      </c>
      <c r="O6" s="27">
        <f>IF($M6="","",IF($F6="Faltou",$M6,0))</f>
        <v>0</v>
      </c>
      <c r="P6" s="27">
        <f>IF($M6="","",IF($F6="Compareceu",MAX(0,$M6-N($H6)),0))</f>
        <v>0</v>
      </c>
      <c r="Q6" s="19">
        <f>IF(AND($F6="Compareceu",$E6&lt;&gt;"",$A6&lt;&gt;""),IF(IFERROR(INDEX(ProcRet,MATCH($E6,ProcNome,0)),0)&gt;0,$A6+INDEX(ProcRet,MATCH($E6,ProcNome,0)),""),"")</f>
        <v>0</v>
      </c>
      <c r="R6" s="26">
        <f>IF($Q6="","",IF(COUNTIFS(AgPac,$D6,AgData,"&gt;"&amp;$A6,AgStatus,"&lt;&gt;Cancelado",AgStatus,"&lt;&gt;Remarcado")&gt;0,"Sim","Não"))</f>
        <v>0</v>
      </c>
      <c r="S6" s="28">
        <f>IF($A6="","",IF(AND($F6="Agendado",$A6-Hoje&gt;=0,$A6-Hoje&lt;=DiasConf),"CONFIRMAR",IF(AND($A6&lt;Hoje,OR($F6="Agendado",$F6="Confirmado")),"Atualizar status",IF(AND($F6="Compareceu",$P6&gt;0.005),"Cobrar",IF($F6="Faltou","Falta: reagendar","")))))</f>
        <v>0</v>
      </c>
      <c r="T6" s="29">
        <f>IF($A6="","",DATE(YEAR($A6),MONTH($A6),1))</f>
        <v>46204.0</v>
      </c>
      <c r="U6" s="30">
        <f>IF($S6="CONFIRMAR",MAX($U$4:$U5)+1,"")</f>
        <v>0</v>
      </c>
      <c r="V6" s="30">
        <f>IF(AND($R6="Não",$Q6&lt;&gt;"",$Q6&lt;=Hoje+JanelaRet,$Q6&gt;=Hoje-60),MAX($V$4:$V5)+1,"")</f>
        <v>0</v>
      </c>
    </row>
    <row r="7" spans="1:22">
      <c r="A7" s="16">
        <v>46204</v>
      </c>
      <c r="B7" s="23">
        <v>0.5833333333333334</v>
      </c>
      <c r="C7" s="15" t="s">
        <v>52</v>
      </c>
      <c r="D7" s="15" t="s">
        <v>193</v>
      </c>
      <c r="E7" s="15" t="s">
        <v>63</v>
      </c>
      <c r="F7" s="24" t="s">
        <v>80</v>
      </c>
      <c r="G7" s="17"/>
      <c r="H7" s="17"/>
      <c r="I7" s="15"/>
      <c r="J7" s="25" t="str">
        <f>IF($D7="","",IFERROR(INDEX(PacNome,MATCH($D7,PacCod,0)),"Paciente não cadastrado"))</f>
        <v>Paciente 032</v>
      </c>
      <c r="K7" s="26" t="str">
        <f>IF($D7="","",IFERROR(INDEX(PacConv,MATCH($D7,PacCod,0))&amp;"",""))</f>
        <v>Convênio A</v>
      </c>
      <c r="L7" s="26" t="str">
        <f>IF($A7="","",CHOOSE(WEEKDAY($A7,2),"Seg","Ter","Qua","Qui","Sex","Sáb","Dom"))</f>
        <v>Qua</v>
      </c>
      <c r="M7" s="27">
        <f>IF($E7="","",IF($G7&lt;&gt;"",$G7,IFERROR(INDEX(ProcValor,MATCH($E7,ProcNome,0)),0)))</f>
        <v>140</v>
      </c>
      <c r="N7" s="27">
        <f>IF($M7="","",IF($F7="Compareceu",$M7,0))</f>
        <v>0</v>
      </c>
      <c r="O7" s="27">
        <f>IF($M7="","",IF($F7="Faltou",$M7,0))</f>
        <v>140</v>
      </c>
      <c r="P7" s="27">
        <f>IF($M7="","",IF($F7="Compareceu",MAX(0,$M7-N($H7)),0))</f>
        <v>0</v>
      </c>
      <c r="Q7" s="19">
        <f>IF(AND($F7="Compareceu",$E7&lt;&gt;"",$A7&lt;&gt;""),IF(IFERROR(INDEX(ProcRet,MATCH($E7,ProcNome,0)),0)&gt;0,$A7+INDEX(ProcRet,MATCH($E7,ProcNome,0)),""),"")</f>
        <v>0</v>
      </c>
      <c r="R7" s="26">
        <f>IF($Q7="","",IF(COUNTIFS(AgPac,$D7,AgData,"&gt;"&amp;$A7,AgStatus,"&lt;&gt;Cancelado",AgStatus,"&lt;&gt;Remarcado")&gt;0,"Sim","Não"))</f>
        <v>0</v>
      </c>
      <c r="S7" s="28" t="str">
        <f>IF($A7="","",IF(AND($F7="Agendado",$A7-Hoje&gt;=0,$A7-Hoje&lt;=DiasConf),"CONFIRMAR",IF(AND($A7&lt;Hoje,OR($F7="Agendado",$F7="Confirmado")),"Atualizar status",IF(AND($F7="Compareceu",$P7&gt;0.005),"Cobrar",IF($F7="Faltou","Falta: reagendar","")))))</f>
        <v>Falta: reagendar</v>
      </c>
      <c r="T7" s="29">
        <f>IF($A7="","",DATE(YEAR($A7),MONTH($A7),1))</f>
        <v>46204.0</v>
      </c>
      <c r="U7" s="30">
        <f>IF($S7="CONFIRMAR",MAX($U$4:$U6)+1,"")</f>
        <v>0</v>
      </c>
      <c r="V7" s="30">
        <f>IF(AND($R7="Não",$Q7&lt;&gt;"",$Q7&lt;=Hoje+JanelaRet,$Q7&gt;=Hoje-60),MAX($V$4:$V6)+1,"")</f>
        <v>0</v>
      </c>
    </row>
    <row r="8" spans="1:22">
      <c r="A8" s="16">
        <v>46205</v>
      </c>
      <c r="B8" s="23">
        <v>0.3333333333333333</v>
      </c>
      <c r="C8" s="15" t="s">
        <v>53</v>
      </c>
      <c r="D8" s="15" t="s">
        <v>208</v>
      </c>
      <c r="E8" s="15" t="s">
        <v>58</v>
      </c>
      <c r="F8" s="24" t="s">
        <v>79</v>
      </c>
      <c r="G8" s="17">
        <v>150</v>
      </c>
      <c r="H8" s="17">
        <v>150</v>
      </c>
      <c r="I8" s="15" t="s">
        <v>75</v>
      </c>
      <c r="J8" s="25" t="str">
        <f>IF($D8="","",IFERROR(INDEX(PacNome,MATCH($D8,PacCod,0)),"Paciente não cadastrado"))</f>
        <v>Paciente 037</v>
      </c>
      <c r="K8" s="26" t="str">
        <f>IF($D8="","",IFERROR(INDEX(PacConv,MATCH($D8,PacCod,0))&amp;"",""))</f>
        <v>Convênio B</v>
      </c>
      <c r="L8" s="26" t="str">
        <f>IF($A8="","",CHOOSE(WEEKDAY($A8,2),"Seg","Ter","Qua","Qui","Sex","Sáb","Dom"))</f>
        <v>Qui</v>
      </c>
      <c r="M8" s="27">
        <f>IF($E8="","",IF($G8&lt;&gt;"",$G8,IFERROR(INDEX(ProcValor,MATCH($E8,ProcNome,0)),0)))</f>
        <v>150</v>
      </c>
      <c r="N8" s="27">
        <f>IF($M8="","",IF($F8="Compareceu",$M8,0))</f>
        <v>150</v>
      </c>
      <c r="O8" s="27">
        <f>IF($M8="","",IF($F8="Faltou",$M8,0))</f>
        <v>0</v>
      </c>
      <c r="P8" s="27">
        <f>IF($M8="","",IF($F8="Compareceu",MAX(0,$M8-N($H8)),0))</f>
        <v>0</v>
      </c>
      <c r="Q8" s="19">
        <f>IF(AND($F8="Compareceu",$E8&lt;&gt;"",$A8&lt;&gt;""),IF(IFERROR(INDEX(ProcRet,MATCH($E8,ProcNome,0)),0)&gt;0,$A8+INDEX(ProcRet,MATCH($E8,ProcNome,0)),""),"")</f>
        <v>0</v>
      </c>
      <c r="R8" s="26">
        <f>IF($Q8="","",IF(COUNTIFS(AgPac,$D8,AgData,"&gt;"&amp;$A8,AgStatus,"&lt;&gt;Cancelado",AgStatus,"&lt;&gt;Remarcado")&gt;0,"Sim","Não"))</f>
        <v>0</v>
      </c>
      <c r="S8" s="28">
        <f>IF($A8="","",IF(AND($F8="Agendado",$A8-Hoje&gt;=0,$A8-Hoje&lt;=DiasConf),"CONFIRMAR",IF(AND($A8&lt;Hoje,OR($F8="Agendado",$F8="Confirmado")),"Atualizar status",IF(AND($F8="Compareceu",$P8&gt;0.005),"Cobrar",IF($F8="Faltou","Falta: reagendar","")))))</f>
        <v>0</v>
      </c>
      <c r="T8" s="29">
        <f>IF($A8="","",DATE(YEAR($A8),MONTH($A8),1))</f>
        <v>46204.0</v>
      </c>
      <c r="U8" s="30">
        <f>IF($S8="CONFIRMAR",MAX($U$4:$U7)+1,"")</f>
        <v>0</v>
      </c>
      <c r="V8" s="30">
        <f>IF(AND($R8="Não",$Q8&lt;&gt;"",$Q8&lt;=Hoje+JanelaRet,$Q8&gt;=Hoje-60),MAX($V$4:$V7)+1,"")</f>
        <v>0</v>
      </c>
    </row>
    <row r="9" spans="1:22">
      <c r="A9" s="16">
        <v>46205</v>
      </c>
      <c r="B9" s="23">
        <v>0.4166666666666667</v>
      </c>
      <c r="C9" s="15" t="s">
        <v>53</v>
      </c>
      <c r="D9" s="15" t="s">
        <v>211</v>
      </c>
      <c r="E9" s="15" t="s">
        <v>65</v>
      </c>
      <c r="F9" s="24" t="s">
        <v>79</v>
      </c>
      <c r="G9" s="17">
        <v>78</v>
      </c>
      <c r="H9" s="17">
        <v>78</v>
      </c>
      <c r="I9" s="15" t="s">
        <v>72</v>
      </c>
      <c r="J9" s="25" t="str">
        <f>IF($D9="","",IFERROR(INDEX(PacNome,MATCH($D9,PacCod,0)),"Paciente não cadastrado"))</f>
        <v>Paciente 038</v>
      </c>
      <c r="K9" s="26" t="str">
        <f>IF($D9="","",IFERROR(INDEX(PacConv,MATCH($D9,PacCod,0))&amp;"",""))</f>
        <v>Convênio A</v>
      </c>
      <c r="L9" s="26" t="str">
        <f>IF($A9="","",CHOOSE(WEEKDAY($A9,2),"Seg","Ter","Qua","Qui","Sex","Sáb","Dom"))</f>
        <v>Qui</v>
      </c>
      <c r="M9" s="27">
        <f>IF($E9="","",IF($G9&lt;&gt;"",$G9,IFERROR(INDEX(ProcValor,MATCH($E9,ProcNome,0)),0)))</f>
        <v>78</v>
      </c>
      <c r="N9" s="27">
        <f>IF($M9="","",IF($F9="Compareceu",$M9,0))</f>
        <v>78</v>
      </c>
      <c r="O9" s="27">
        <f>IF($M9="","",IF($F9="Faltou",$M9,0))</f>
        <v>0</v>
      </c>
      <c r="P9" s="27">
        <f>IF($M9="","",IF($F9="Compareceu",MAX(0,$M9-N($H9)),0))</f>
        <v>0</v>
      </c>
      <c r="Q9" s="19">
        <f>IF(AND($F9="Compareceu",$E9&lt;&gt;"",$A9&lt;&gt;""),IF(IFERROR(INDEX(ProcRet,MATCH($E9,ProcNome,0)),0)&gt;0,$A9+INDEX(ProcRet,MATCH($E9,ProcNome,0)),""),"")</f>
        <v>46295.0</v>
      </c>
      <c r="R9" s="26" t="str">
        <f>IF($Q9="","",IF(COUNTIFS(AgPac,$D9,AgData,"&gt;"&amp;$A9,AgStatus,"&lt;&gt;Cancelado",AgStatus,"&lt;&gt;Remarcado")&gt;0,"Sim","Não"))</f>
        <v>Sim</v>
      </c>
      <c r="S9" s="28">
        <f>IF($A9="","",IF(AND($F9="Agendado",$A9-Hoje&gt;=0,$A9-Hoje&lt;=DiasConf),"CONFIRMAR",IF(AND($A9&lt;Hoje,OR($F9="Agendado",$F9="Confirmado")),"Atualizar status",IF(AND($F9="Compareceu",$P9&gt;0.005),"Cobrar",IF($F9="Faltou","Falta: reagendar","")))))</f>
        <v>0</v>
      </c>
      <c r="T9" s="29">
        <f>IF($A9="","",DATE(YEAR($A9),MONTH($A9),1))</f>
        <v>46204.0</v>
      </c>
      <c r="U9" s="30">
        <f>IF($S9="CONFIRMAR",MAX($U$4:$U8)+1,"")</f>
        <v>0</v>
      </c>
      <c r="V9" s="30">
        <f>IF(AND($R9="Não",$Q9&lt;&gt;"",$Q9&lt;=Hoje+JanelaRet,$Q9&gt;=Hoje-60),MAX($V$4:$V8)+1,"")</f>
        <v>0</v>
      </c>
    </row>
    <row r="10" spans="1:22">
      <c r="A10" s="16">
        <v>46205</v>
      </c>
      <c r="B10" s="23">
        <v>0.6875</v>
      </c>
      <c r="C10" s="15" t="s">
        <v>51</v>
      </c>
      <c r="D10" s="15" t="s">
        <v>184</v>
      </c>
      <c r="E10" s="15" t="s">
        <v>61</v>
      </c>
      <c r="F10" s="24" t="s">
        <v>79</v>
      </c>
      <c r="G10" s="17">
        <v>72</v>
      </c>
      <c r="H10" s="17">
        <v>72</v>
      </c>
      <c r="I10" s="15" t="s">
        <v>75</v>
      </c>
      <c r="J10" s="25" t="str">
        <f>IF($D10="","",IFERROR(INDEX(PacNome,MATCH($D10,PacCod,0)),"Paciente não cadastrado"))</f>
        <v>Paciente 029</v>
      </c>
      <c r="K10" s="26" t="str">
        <f>IF($D10="","",IFERROR(INDEX(PacConv,MATCH($D10,PacCod,0))&amp;"",""))</f>
        <v>Convênio B</v>
      </c>
      <c r="L10" s="26" t="str">
        <f>IF($A10="","",CHOOSE(WEEKDAY($A10,2),"Seg","Ter","Qua","Qui","Sex","Sáb","Dom"))</f>
        <v>Qui</v>
      </c>
      <c r="M10" s="27">
        <f>IF($E10="","",IF($G10&lt;&gt;"",$G10,IFERROR(INDEX(ProcValor,MATCH($E10,ProcNome,0)),0)))</f>
        <v>72</v>
      </c>
      <c r="N10" s="27">
        <f>IF($M10="","",IF($F10="Compareceu",$M10,0))</f>
        <v>72</v>
      </c>
      <c r="O10" s="27">
        <f>IF($M10="","",IF($F10="Faltou",$M10,0))</f>
        <v>0</v>
      </c>
      <c r="P10" s="27">
        <f>IF($M10="","",IF($F10="Compareceu",MAX(0,$M10-N($H10)),0))</f>
        <v>0</v>
      </c>
      <c r="Q10" s="19">
        <f>IF(AND($F10="Compareceu",$E10&lt;&gt;"",$A10&lt;&gt;""),IF(IFERROR(INDEX(ProcRet,MATCH($E10,ProcNome,0)),0)&gt;0,$A10+INDEX(ProcRet,MATCH($E10,ProcNome,0)),""),"")</f>
        <v>46235.0</v>
      </c>
      <c r="R10" s="26" t="str">
        <f>IF($Q10="","",IF(COUNTIFS(AgPac,$D10,AgData,"&gt;"&amp;$A10,AgStatus,"&lt;&gt;Cancelado",AgStatus,"&lt;&gt;Remarcado")&gt;0,"Sim","Não"))</f>
        <v>Sim</v>
      </c>
      <c r="S10" s="28">
        <f>IF($A10="","",IF(AND($F10="Agendado",$A10-Hoje&gt;=0,$A10-Hoje&lt;=DiasConf),"CONFIRMAR",IF(AND($A10&lt;Hoje,OR($F10="Agendado",$F10="Confirmado")),"Atualizar status",IF(AND($F10="Compareceu",$P10&gt;0.005),"Cobrar",IF($F10="Faltou","Falta: reagendar","")))))</f>
        <v>0</v>
      </c>
      <c r="T10" s="29">
        <f>IF($A10="","",DATE(YEAR($A10),MONTH($A10),1))</f>
        <v>46204.0</v>
      </c>
      <c r="U10" s="30">
        <f>IF($S10="CONFIRMAR",MAX($U$4:$U9)+1,"")</f>
        <v>0</v>
      </c>
      <c r="V10" s="30">
        <f>IF(AND($R10="Não",$Q10&lt;&gt;"",$Q10&lt;=Hoje+JanelaRet,$Q10&gt;=Hoje-60),MAX($V$4:$V9)+1,"")</f>
        <v>0</v>
      </c>
    </row>
    <row r="11" spans="1:22">
      <c r="A11" s="16">
        <v>46206</v>
      </c>
      <c r="B11" s="23">
        <v>0.3541666666666667</v>
      </c>
      <c r="C11" s="15" t="s">
        <v>52</v>
      </c>
      <c r="D11" s="15" t="s">
        <v>121</v>
      </c>
      <c r="E11" s="15" t="s">
        <v>63</v>
      </c>
      <c r="F11" s="24" t="s">
        <v>79</v>
      </c>
      <c r="G11" s="17"/>
      <c r="H11" s="17"/>
      <c r="I11" s="15"/>
      <c r="J11" s="25" t="str">
        <f>IF($D11="","",IFERROR(INDEX(PacNome,MATCH($D11,PacCod,0)),"Paciente não cadastrado"))</f>
        <v>Paciente 008</v>
      </c>
      <c r="K11" s="26" t="str">
        <f>IF($D11="","",IFERROR(INDEX(PacConv,MATCH($D11,PacCod,0))&amp;"",""))</f>
        <v>Particular</v>
      </c>
      <c r="L11" s="26" t="str">
        <f>IF($A11="","",CHOOSE(WEEKDAY($A11,2),"Seg","Ter","Qua","Qui","Sex","Sáb","Dom"))</f>
        <v>Sex</v>
      </c>
      <c r="M11" s="27">
        <f>IF($E11="","",IF($G11&lt;&gt;"",$G11,IFERROR(INDEX(ProcValor,MATCH($E11,ProcNome,0)),0)))</f>
        <v>140</v>
      </c>
      <c r="N11" s="27">
        <f>IF($M11="","",IF($F11="Compareceu",$M11,0))</f>
        <v>140</v>
      </c>
      <c r="O11" s="27">
        <f>IF($M11="","",IF($F11="Faltou",$M11,0))</f>
        <v>0</v>
      </c>
      <c r="P11" s="27">
        <f>IF($M11="","",IF($F11="Compareceu",MAX(0,$M11-N($H11)),0))</f>
        <v>140</v>
      </c>
      <c r="Q11" s="19">
        <f>IF(AND($F11="Compareceu",$E11&lt;&gt;"",$A11&lt;&gt;""),IF(IFERROR(INDEX(ProcRet,MATCH($E11,ProcNome,0)),0)&gt;0,$A11+INDEX(ProcRet,MATCH($E11,ProcNome,0)),""),"")</f>
        <v>46213.0</v>
      </c>
      <c r="R11" s="26" t="str">
        <f>IF($Q11="","",IF(COUNTIFS(AgPac,$D11,AgData,"&gt;"&amp;$A11,AgStatus,"&lt;&gt;Cancelado",AgStatus,"&lt;&gt;Remarcado")&gt;0,"Sim","Não"))</f>
        <v>Sim</v>
      </c>
      <c r="S11" s="28" t="str">
        <f>IF($A11="","",IF(AND($F11="Agendado",$A11-Hoje&gt;=0,$A11-Hoje&lt;=DiasConf),"CONFIRMAR",IF(AND($A11&lt;Hoje,OR($F11="Agendado",$F11="Confirmado")),"Atualizar status",IF(AND($F11="Compareceu",$P11&gt;0.005),"Cobrar",IF($F11="Faltou","Falta: reagendar","")))))</f>
        <v>Cobrar</v>
      </c>
      <c r="T11" s="29">
        <f>IF($A11="","",DATE(YEAR($A11),MONTH($A11),1))</f>
        <v>46204.0</v>
      </c>
      <c r="U11" s="30">
        <f>IF($S11="CONFIRMAR",MAX($U$4:$U10)+1,"")</f>
        <v>0</v>
      </c>
      <c r="V11" s="30">
        <f>IF(AND($R11="Não",$Q11&lt;&gt;"",$Q11&lt;=Hoje+JanelaRet,$Q11&gt;=Hoje-60),MAX($V$4:$V10)+1,"")</f>
        <v>0</v>
      </c>
    </row>
    <row r="12" spans="1:22">
      <c r="A12" s="16">
        <v>46206</v>
      </c>
      <c r="B12" s="23">
        <v>0.4166666666666667</v>
      </c>
      <c r="C12" s="15" t="s">
        <v>54</v>
      </c>
      <c r="D12" s="15" t="s">
        <v>103</v>
      </c>
      <c r="E12" s="15" t="s">
        <v>65</v>
      </c>
      <c r="F12" s="24" t="s">
        <v>79</v>
      </c>
      <c r="G12" s="17">
        <v>78</v>
      </c>
      <c r="H12" s="17">
        <v>78</v>
      </c>
      <c r="I12" s="15" t="s">
        <v>71</v>
      </c>
      <c r="J12" s="25" t="str">
        <f>IF($D12="","",IFERROR(INDEX(PacNome,MATCH($D12,PacCod,0)),"Paciente não cadastrado"))</f>
        <v>Paciente 002</v>
      </c>
      <c r="K12" s="26" t="str">
        <f>IF($D12="","",IFERROR(INDEX(PacConv,MATCH($D12,PacCod,0))&amp;"",""))</f>
        <v>Convênio A</v>
      </c>
      <c r="L12" s="26" t="str">
        <f>IF($A12="","",CHOOSE(WEEKDAY($A12,2),"Seg","Ter","Qua","Qui","Sex","Sáb","Dom"))</f>
        <v>Sex</v>
      </c>
      <c r="M12" s="27">
        <f>IF($E12="","",IF($G12&lt;&gt;"",$G12,IFERROR(INDEX(ProcValor,MATCH($E12,ProcNome,0)),0)))</f>
        <v>78</v>
      </c>
      <c r="N12" s="27">
        <f>IF($M12="","",IF($F12="Compareceu",$M12,0))</f>
        <v>78</v>
      </c>
      <c r="O12" s="27">
        <f>IF($M12="","",IF($F12="Faltou",$M12,0))</f>
        <v>0</v>
      </c>
      <c r="P12" s="27">
        <f>IF($M12="","",IF($F12="Compareceu",MAX(0,$M12-N($H12)),0))</f>
        <v>0</v>
      </c>
      <c r="Q12" s="19">
        <f>IF(AND($F12="Compareceu",$E12&lt;&gt;"",$A12&lt;&gt;""),IF(IFERROR(INDEX(ProcRet,MATCH($E12,ProcNome,0)),0)&gt;0,$A12+INDEX(ProcRet,MATCH($E12,ProcNome,0)),""),"")</f>
        <v>46296.0</v>
      </c>
      <c r="R12" s="26" t="str">
        <f>IF($Q12="","",IF(COUNTIFS(AgPac,$D12,AgData,"&gt;"&amp;$A12,AgStatus,"&lt;&gt;Cancelado",AgStatus,"&lt;&gt;Remarcado")&gt;0,"Sim","Não"))</f>
        <v>Sim</v>
      </c>
      <c r="S12" s="28">
        <f>IF($A12="","",IF(AND($F12="Agendado",$A12-Hoje&gt;=0,$A12-Hoje&lt;=DiasConf),"CONFIRMAR",IF(AND($A12&lt;Hoje,OR($F12="Agendado",$F12="Confirmado")),"Atualizar status",IF(AND($F12="Compareceu",$P12&gt;0.005),"Cobrar",IF($F12="Faltou","Falta: reagendar","")))))</f>
        <v>0</v>
      </c>
      <c r="T12" s="29">
        <f>IF($A12="","",DATE(YEAR($A12),MONTH($A12),1))</f>
        <v>46204.0</v>
      </c>
      <c r="U12" s="30">
        <f>IF($S12="CONFIRMAR",MAX($U$4:$U11)+1,"")</f>
        <v>0</v>
      </c>
      <c r="V12" s="30">
        <f>IF(AND($R12="Não",$Q12&lt;&gt;"",$Q12&lt;=Hoje+JanelaRet,$Q12&gt;=Hoje-60),MAX($V$4:$V11)+1,"")</f>
        <v>0</v>
      </c>
    </row>
    <row r="13" spans="1:22">
      <c r="A13" s="16">
        <v>46206</v>
      </c>
      <c r="B13" s="23">
        <v>0.6041666666666666</v>
      </c>
      <c r="C13" s="15" t="s">
        <v>53</v>
      </c>
      <c r="D13" s="15" t="s">
        <v>154</v>
      </c>
      <c r="E13" s="15" t="s">
        <v>63</v>
      </c>
      <c r="F13" s="24" t="s">
        <v>79</v>
      </c>
      <c r="G13" s="17"/>
      <c r="H13" s="17">
        <v>140</v>
      </c>
      <c r="I13" s="15" t="s">
        <v>73</v>
      </c>
      <c r="J13" s="25" t="str">
        <f>IF($D13="","",IFERROR(INDEX(PacNome,MATCH($D13,PacCod,0)),"Paciente não cadastrado"))</f>
        <v>Paciente 019</v>
      </c>
      <c r="K13" s="26" t="str">
        <f>IF($D13="","",IFERROR(INDEX(PacConv,MATCH($D13,PacCod,0))&amp;"",""))</f>
        <v>Particular</v>
      </c>
      <c r="L13" s="26" t="str">
        <f>IF($A13="","",CHOOSE(WEEKDAY($A13,2),"Seg","Ter","Qua","Qui","Sex","Sáb","Dom"))</f>
        <v>Sex</v>
      </c>
      <c r="M13" s="27">
        <f>IF($E13="","",IF($G13&lt;&gt;"",$G13,IFERROR(INDEX(ProcValor,MATCH($E13,ProcNome,0)),0)))</f>
        <v>140</v>
      </c>
      <c r="N13" s="27">
        <f>IF($M13="","",IF($F13="Compareceu",$M13,0))</f>
        <v>140</v>
      </c>
      <c r="O13" s="27">
        <f>IF($M13="","",IF($F13="Faltou",$M13,0))</f>
        <v>0</v>
      </c>
      <c r="P13" s="27">
        <f>IF($M13="","",IF($F13="Compareceu",MAX(0,$M13-N($H13)),0))</f>
        <v>0</v>
      </c>
      <c r="Q13" s="19">
        <f>IF(AND($F13="Compareceu",$E13&lt;&gt;"",$A13&lt;&gt;""),IF(IFERROR(INDEX(ProcRet,MATCH($E13,ProcNome,0)),0)&gt;0,$A13+INDEX(ProcRet,MATCH($E13,ProcNome,0)),""),"")</f>
        <v>46213.0</v>
      </c>
      <c r="R13" s="26" t="str">
        <f>IF($Q13="","",IF(COUNTIFS(AgPac,$D13,AgData,"&gt;"&amp;$A13,AgStatus,"&lt;&gt;Cancelado",AgStatus,"&lt;&gt;Remarcado")&gt;0,"Sim","Não"))</f>
        <v>Sim</v>
      </c>
      <c r="S13" s="28">
        <f>IF($A13="","",IF(AND($F13="Agendado",$A13-Hoje&gt;=0,$A13-Hoje&lt;=DiasConf),"CONFIRMAR",IF(AND($A13&lt;Hoje,OR($F13="Agendado",$F13="Confirmado")),"Atualizar status",IF(AND($F13="Compareceu",$P13&gt;0.005),"Cobrar",IF($F13="Faltou","Falta: reagendar","")))))</f>
        <v>0</v>
      </c>
      <c r="T13" s="29">
        <f>IF($A13="","",DATE(YEAR($A13),MONTH($A13),1))</f>
        <v>46204.0</v>
      </c>
      <c r="U13" s="30">
        <f>IF($S13="CONFIRMAR",MAX($U$4:$U12)+1,"")</f>
        <v>0</v>
      </c>
      <c r="V13" s="30">
        <f>IF(AND($R13="Não",$Q13&lt;&gt;"",$Q13&lt;=Hoje+JanelaRet,$Q13&gt;=Hoje-60),MAX($V$4:$V12)+1,"")</f>
        <v>0</v>
      </c>
    </row>
    <row r="14" spans="1:22">
      <c r="A14" s="16">
        <v>46206</v>
      </c>
      <c r="B14" s="23">
        <v>0.6875</v>
      </c>
      <c r="C14" s="15" t="s">
        <v>51</v>
      </c>
      <c r="D14" s="15" t="s">
        <v>130</v>
      </c>
      <c r="E14" s="15" t="s">
        <v>63</v>
      </c>
      <c r="F14" s="24" t="s">
        <v>79</v>
      </c>
      <c r="G14" s="17">
        <v>84</v>
      </c>
      <c r="H14" s="17">
        <v>84</v>
      </c>
      <c r="I14" s="15" t="s">
        <v>74</v>
      </c>
      <c r="J14" s="25" t="str">
        <f>IF($D14="","",IFERROR(INDEX(PacNome,MATCH($D14,PacCod,0)),"Paciente não cadastrado"))</f>
        <v>Paciente 011</v>
      </c>
      <c r="K14" s="26" t="str">
        <f>IF($D14="","",IFERROR(INDEX(PacConv,MATCH($D14,PacCod,0))&amp;"",""))</f>
        <v>Convênio A</v>
      </c>
      <c r="L14" s="26" t="str">
        <f>IF($A14="","",CHOOSE(WEEKDAY($A14,2),"Seg","Ter","Qua","Qui","Sex","Sáb","Dom"))</f>
        <v>Sex</v>
      </c>
      <c r="M14" s="27">
        <f>IF($E14="","",IF($G14&lt;&gt;"",$G14,IFERROR(INDEX(ProcValor,MATCH($E14,ProcNome,0)),0)))</f>
        <v>84</v>
      </c>
      <c r="N14" s="27">
        <f>IF($M14="","",IF($F14="Compareceu",$M14,0))</f>
        <v>84</v>
      </c>
      <c r="O14" s="27">
        <f>IF($M14="","",IF($F14="Faltou",$M14,0))</f>
        <v>0</v>
      </c>
      <c r="P14" s="27">
        <f>IF($M14="","",IF($F14="Compareceu",MAX(0,$M14-N($H14)),0))</f>
        <v>0</v>
      </c>
      <c r="Q14" s="19">
        <f>IF(AND($F14="Compareceu",$E14&lt;&gt;"",$A14&lt;&gt;""),IF(IFERROR(INDEX(ProcRet,MATCH($E14,ProcNome,0)),0)&gt;0,$A14+INDEX(ProcRet,MATCH($E14,ProcNome,0)),""),"")</f>
        <v>46213.0</v>
      </c>
      <c r="R14" s="26" t="str">
        <f>IF($Q14="","",IF(COUNTIFS(AgPac,$D14,AgData,"&gt;"&amp;$A14,AgStatus,"&lt;&gt;Cancelado",AgStatus,"&lt;&gt;Remarcado")&gt;0,"Sim","Não"))</f>
        <v>Sim</v>
      </c>
      <c r="S14" s="28">
        <f>IF($A14="","",IF(AND($F14="Agendado",$A14-Hoje&gt;=0,$A14-Hoje&lt;=DiasConf),"CONFIRMAR",IF(AND($A14&lt;Hoje,OR($F14="Agendado",$F14="Confirmado")),"Atualizar status",IF(AND($F14="Compareceu",$P14&gt;0.005),"Cobrar",IF($F14="Faltou","Falta: reagendar","")))))</f>
        <v>0</v>
      </c>
      <c r="T14" s="29">
        <f>IF($A14="","",DATE(YEAR($A14),MONTH($A14),1))</f>
        <v>46204.0</v>
      </c>
      <c r="U14" s="30">
        <f>IF($S14="CONFIRMAR",MAX($U$4:$U13)+1,"")</f>
        <v>0</v>
      </c>
      <c r="V14" s="30">
        <f>IF(AND($R14="Não",$Q14&lt;&gt;"",$Q14&lt;=Hoje+JanelaRet,$Q14&gt;=Hoje-60),MAX($V$4:$V13)+1,"")</f>
        <v>0</v>
      </c>
    </row>
    <row r="15" spans="1:22">
      <c r="A15" s="16">
        <v>46207</v>
      </c>
      <c r="B15" s="23">
        <v>0.4166666666666667</v>
      </c>
      <c r="C15" s="15" t="s">
        <v>53</v>
      </c>
      <c r="D15" s="15" t="s">
        <v>151</v>
      </c>
      <c r="E15" s="15" t="s">
        <v>63</v>
      </c>
      <c r="F15" s="24" t="s">
        <v>80</v>
      </c>
      <c r="G15" s="17"/>
      <c r="H15" s="17"/>
      <c r="I15" s="15"/>
      <c r="J15" s="25" t="str">
        <f>IF($D15="","",IFERROR(INDEX(PacNome,MATCH($D15,PacCod,0)),"Paciente não cadastrado"))</f>
        <v>Paciente 018</v>
      </c>
      <c r="K15" s="26" t="str">
        <f>IF($D15="","",IFERROR(INDEX(PacConv,MATCH($D15,PacCod,0))&amp;"",""))</f>
        <v>Particular</v>
      </c>
      <c r="L15" s="26" t="str">
        <f>IF($A15="","",CHOOSE(WEEKDAY($A15,2),"Seg","Ter","Qua","Qui","Sex","Sáb","Dom"))</f>
        <v>Sáb</v>
      </c>
      <c r="M15" s="27">
        <f>IF($E15="","",IF($G15&lt;&gt;"",$G15,IFERROR(INDEX(ProcValor,MATCH($E15,ProcNome,0)),0)))</f>
        <v>140</v>
      </c>
      <c r="N15" s="27">
        <f>IF($M15="","",IF($F15="Compareceu",$M15,0))</f>
        <v>0</v>
      </c>
      <c r="O15" s="27">
        <f>IF($M15="","",IF($F15="Faltou",$M15,0))</f>
        <v>140</v>
      </c>
      <c r="P15" s="27">
        <f>IF($M15="","",IF($F15="Compareceu",MAX(0,$M15-N($H15)),0))</f>
        <v>0</v>
      </c>
      <c r="Q15" s="19">
        <f>IF(AND($F15="Compareceu",$E15&lt;&gt;"",$A15&lt;&gt;""),IF(IFERROR(INDEX(ProcRet,MATCH($E15,ProcNome,0)),0)&gt;0,$A15+INDEX(ProcRet,MATCH($E15,ProcNome,0)),""),"")</f>
        <v>0</v>
      </c>
      <c r="R15" s="26">
        <f>IF($Q15="","",IF(COUNTIFS(AgPac,$D15,AgData,"&gt;"&amp;$A15,AgStatus,"&lt;&gt;Cancelado",AgStatus,"&lt;&gt;Remarcado")&gt;0,"Sim","Não"))</f>
        <v>0</v>
      </c>
      <c r="S15" s="28" t="str">
        <f>IF($A15="","",IF(AND($F15="Agendado",$A15-Hoje&gt;=0,$A15-Hoje&lt;=DiasConf),"CONFIRMAR",IF(AND($A15&lt;Hoje,OR($F15="Agendado",$F15="Confirmado")),"Atualizar status",IF(AND($F15="Compareceu",$P15&gt;0.005),"Cobrar",IF($F15="Faltou","Falta: reagendar","")))))</f>
        <v>Falta: reagendar</v>
      </c>
      <c r="T15" s="29">
        <f>IF($A15="","",DATE(YEAR($A15),MONTH($A15),1))</f>
        <v>46204.0</v>
      </c>
      <c r="U15" s="30">
        <f>IF($S15="CONFIRMAR",MAX($U$4:$U14)+1,"")</f>
        <v>0</v>
      </c>
      <c r="V15" s="30">
        <f>IF(AND($R15="Não",$Q15&lt;&gt;"",$Q15&lt;=Hoje+JanelaRet,$Q15&gt;=Hoje-60),MAX($V$4:$V14)+1,"")</f>
        <v>0</v>
      </c>
    </row>
    <row r="16" spans="1:22">
      <c r="A16" s="16">
        <v>46207</v>
      </c>
      <c r="B16" s="23">
        <v>0.7083333333333334</v>
      </c>
      <c r="C16" s="15" t="s">
        <v>54</v>
      </c>
      <c r="D16" s="15" t="s">
        <v>214</v>
      </c>
      <c r="E16" s="15" t="s">
        <v>59</v>
      </c>
      <c r="F16" s="24" t="s">
        <v>79</v>
      </c>
      <c r="G16" s="17"/>
      <c r="H16" s="17">
        <v>150</v>
      </c>
      <c r="I16" s="15" t="s">
        <v>72</v>
      </c>
      <c r="J16" s="25" t="str">
        <f>IF($D16="","",IFERROR(INDEX(PacNome,MATCH($D16,PacCod,0)),"Paciente não cadastrado"))</f>
        <v>Paciente 039</v>
      </c>
      <c r="K16" s="26" t="str">
        <f>IF($D16="","",IFERROR(INDEX(PacConv,MATCH($D16,PacCod,0))&amp;"",""))</f>
        <v>Particular</v>
      </c>
      <c r="L16" s="26" t="str">
        <f>IF($A16="","",CHOOSE(WEEKDAY($A16,2),"Seg","Ter","Qua","Qui","Sex","Sáb","Dom"))</f>
        <v>Sáb</v>
      </c>
      <c r="M16" s="27">
        <f>IF($E16="","",IF($G16&lt;&gt;"",$G16,IFERROR(INDEX(ProcValor,MATCH($E16,ProcNome,0)),0)))</f>
        <v>150</v>
      </c>
      <c r="N16" s="27">
        <f>IF($M16="","",IF($F16="Compareceu",$M16,0))</f>
        <v>150</v>
      </c>
      <c r="O16" s="27">
        <f>IF($M16="","",IF($F16="Faltou",$M16,0))</f>
        <v>0</v>
      </c>
      <c r="P16" s="27">
        <f>IF($M16="","",IF($F16="Compareceu",MAX(0,$M16-N($H16)),0))</f>
        <v>0</v>
      </c>
      <c r="Q16" s="19">
        <f>IF(AND($F16="Compareceu",$E16&lt;&gt;"",$A16&lt;&gt;""),IF(IFERROR(INDEX(ProcRet,MATCH($E16,ProcNome,0)),0)&gt;0,$A16+INDEX(ProcRet,MATCH($E16,ProcNome,0)),""),"")</f>
        <v>0</v>
      </c>
      <c r="R16" s="26">
        <f>IF($Q16="","",IF(COUNTIFS(AgPac,$D16,AgData,"&gt;"&amp;$A16,AgStatus,"&lt;&gt;Cancelado",AgStatus,"&lt;&gt;Remarcado")&gt;0,"Sim","Não"))</f>
        <v>0</v>
      </c>
      <c r="S16" s="28">
        <f>IF($A16="","",IF(AND($F16="Agendado",$A16-Hoje&gt;=0,$A16-Hoje&lt;=DiasConf),"CONFIRMAR",IF(AND($A16&lt;Hoje,OR($F16="Agendado",$F16="Confirmado")),"Atualizar status",IF(AND($F16="Compareceu",$P16&gt;0.005),"Cobrar",IF($F16="Faltou","Falta: reagendar","")))))</f>
        <v>0</v>
      </c>
      <c r="T16" s="29">
        <f>IF($A16="","",DATE(YEAR($A16),MONTH($A16),1))</f>
        <v>46204.0</v>
      </c>
      <c r="U16" s="30">
        <f>IF($S16="CONFIRMAR",MAX($U$4:$U15)+1,"")</f>
        <v>0</v>
      </c>
      <c r="V16" s="30">
        <f>IF(AND($R16="Não",$Q16&lt;&gt;"",$Q16&lt;=Hoje+JanelaRet,$Q16&gt;=Hoje-60),MAX($V$4:$V15)+1,"")</f>
        <v>0</v>
      </c>
    </row>
    <row r="17" spans="1:22">
      <c r="A17" s="16">
        <v>46209</v>
      </c>
      <c r="B17" s="23">
        <v>0.375</v>
      </c>
      <c r="C17" s="15" t="s">
        <v>53</v>
      </c>
      <c r="D17" s="15" t="s">
        <v>199</v>
      </c>
      <c r="E17" s="15" t="s">
        <v>63</v>
      </c>
      <c r="F17" s="24" t="s">
        <v>79</v>
      </c>
      <c r="G17" s="17"/>
      <c r="H17" s="17">
        <v>140</v>
      </c>
      <c r="I17" s="15" t="s">
        <v>72</v>
      </c>
      <c r="J17" s="25" t="str">
        <f>IF($D17="","",IFERROR(INDEX(PacNome,MATCH($D17,PacCod,0)),"Paciente não cadastrado"))</f>
        <v>Paciente 034</v>
      </c>
      <c r="K17" s="26" t="str">
        <f>IF($D17="","",IFERROR(INDEX(PacConv,MATCH($D17,PacCod,0))&amp;"",""))</f>
        <v>Particular</v>
      </c>
      <c r="L17" s="26" t="str">
        <f>IF($A17="","",CHOOSE(WEEKDAY($A17,2),"Seg","Ter","Qua","Qui","Sex","Sáb","Dom"))</f>
        <v>Seg</v>
      </c>
      <c r="M17" s="27">
        <f>IF($E17="","",IF($G17&lt;&gt;"",$G17,IFERROR(INDEX(ProcValor,MATCH($E17,ProcNome,0)),0)))</f>
        <v>140</v>
      </c>
      <c r="N17" s="27">
        <f>IF($M17="","",IF($F17="Compareceu",$M17,0))</f>
        <v>140</v>
      </c>
      <c r="O17" s="27">
        <f>IF($M17="","",IF($F17="Faltou",$M17,0))</f>
        <v>0</v>
      </c>
      <c r="P17" s="27">
        <f>IF($M17="","",IF($F17="Compareceu",MAX(0,$M17-N($H17)),0))</f>
        <v>0</v>
      </c>
      <c r="Q17" s="19">
        <f>IF(AND($F17="Compareceu",$E17&lt;&gt;"",$A17&lt;&gt;""),IF(IFERROR(INDEX(ProcRet,MATCH($E17,ProcNome,0)),0)&gt;0,$A17+INDEX(ProcRet,MATCH($E17,ProcNome,0)),""),"")</f>
        <v>46216.0</v>
      </c>
      <c r="R17" s="26" t="str">
        <f>IF($Q17="","",IF(COUNTIFS(AgPac,$D17,AgData,"&gt;"&amp;$A17,AgStatus,"&lt;&gt;Cancelado",AgStatus,"&lt;&gt;Remarcado")&gt;0,"Sim","Não"))</f>
        <v>Sim</v>
      </c>
      <c r="S17" s="28">
        <f>IF($A17="","",IF(AND($F17="Agendado",$A17-Hoje&gt;=0,$A17-Hoje&lt;=DiasConf),"CONFIRMAR",IF(AND($A17&lt;Hoje,OR($F17="Agendado",$F17="Confirmado")),"Atualizar status",IF(AND($F17="Compareceu",$P17&gt;0.005),"Cobrar",IF($F17="Faltou","Falta: reagendar","")))))</f>
        <v>0</v>
      </c>
      <c r="T17" s="29">
        <f>IF($A17="","",DATE(YEAR($A17),MONTH($A17),1))</f>
        <v>46204.0</v>
      </c>
      <c r="U17" s="30">
        <f>IF($S17="CONFIRMAR",MAX($U$4:$U16)+1,"")</f>
        <v>0</v>
      </c>
      <c r="V17" s="30">
        <f>IF(AND($R17="Não",$Q17&lt;&gt;"",$Q17&lt;=Hoje+JanelaRet,$Q17&gt;=Hoje-60),MAX($V$4:$V16)+1,"")</f>
        <v>0</v>
      </c>
    </row>
    <row r="18" spans="1:22">
      <c r="A18" s="16">
        <v>46209</v>
      </c>
      <c r="B18" s="23">
        <v>0.4791666666666667</v>
      </c>
      <c r="C18" s="15" t="s">
        <v>52</v>
      </c>
      <c r="D18" s="15" t="s">
        <v>163</v>
      </c>
      <c r="E18" s="15" t="s">
        <v>63</v>
      </c>
      <c r="F18" s="24" t="s">
        <v>79</v>
      </c>
      <c r="G18" s="17">
        <v>84</v>
      </c>
      <c r="H18" s="17">
        <v>84</v>
      </c>
      <c r="I18" s="15" t="s">
        <v>75</v>
      </c>
      <c r="J18" s="25" t="str">
        <f>IF($D18="","",IFERROR(INDEX(PacNome,MATCH($D18,PacCod,0)),"Paciente não cadastrado"))</f>
        <v>Paciente 022</v>
      </c>
      <c r="K18" s="26" t="str">
        <f>IF($D18="","",IFERROR(INDEX(PacConv,MATCH($D18,PacCod,0))&amp;"",""))</f>
        <v>Convênio A</v>
      </c>
      <c r="L18" s="26" t="str">
        <f>IF($A18="","",CHOOSE(WEEKDAY($A18,2),"Seg","Ter","Qua","Qui","Sex","Sáb","Dom"))</f>
        <v>Seg</v>
      </c>
      <c r="M18" s="27">
        <f>IF($E18="","",IF($G18&lt;&gt;"",$G18,IFERROR(INDEX(ProcValor,MATCH($E18,ProcNome,0)),0)))</f>
        <v>84</v>
      </c>
      <c r="N18" s="27">
        <f>IF($M18="","",IF($F18="Compareceu",$M18,0))</f>
        <v>84</v>
      </c>
      <c r="O18" s="27">
        <f>IF($M18="","",IF($F18="Faltou",$M18,0))</f>
        <v>0</v>
      </c>
      <c r="P18" s="27">
        <f>IF($M18="","",IF($F18="Compareceu",MAX(0,$M18-N($H18)),0))</f>
        <v>0</v>
      </c>
      <c r="Q18" s="19">
        <f>IF(AND($F18="Compareceu",$E18&lt;&gt;"",$A18&lt;&gt;""),IF(IFERROR(INDEX(ProcRet,MATCH($E18,ProcNome,0)),0)&gt;0,$A18+INDEX(ProcRet,MATCH($E18,ProcNome,0)),""),"")</f>
        <v>46216.0</v>
      </c>
      <c r="R18" s="26" t="str">
        <f>IF($Q18="","",IF(COUNTIFS(AgPac,$D18,AgData,"&gt;"&amp;$A18,AgStatus,"&lt;&gt;Cancelado",AgStatus,"&lt;&gt;Remarcado")&gt;0,"Sim","Não"))</f>
        <v>Sim</v>
      </c>
      <c r="S18" s="28">
        <f>IF($A18="","",IF(AND($F18="Agendado",$A18-Hoje&gt;=0,$A18-Hoje&lt;=DiasConf),"CONFIRMAR",IF(AND($A18&lt;Hoje,OR($F18="Agendado",$F18="Confirmado")),"Atualizar status",IF(AND($F18="Compareceu",$P18&gt;0.005),"Cobrar",IF($F18="Faltou","Falta: reagendar","")))))</f>
        <v>0</v>
      </c>
      <c r="T18" s="29">
        <f>IF($A18="","",DATE(YEAR($A18),MONTH($A18),1))</f>
        <v>46204.0</v>
      </c>
      <c r="U18" s="30">
        <f>IF($S18="CONFIRMAR",MAX($U$4:$U17)+1,"")</f>
        <v>0</v>
      </c>
      <c r="V18" s="30">
        <f>IF(AND($R18="Não",$Q18&lt;&gt;"",$Q18&lt;=Hoje+JanelaRet,$Q18&gt;=Hoje-60),MAX($V$4:$V17)+1,"")</f>
        <v>0</v>
      </c>
    </row>
    <row r="19" spans="1:22">
      <c r="A19" s="16">
        <v>46209</v>
      </c>
      <c r="B19" s="23">
        <v>0.5833333333333334</v>
      </c>
      <c r="C19" s="15" t="s">
        <v>52</v>
      </c>
      <c r="D19" s="15" t="s">
        <v>115</v>
      </c>
      <c r="E19" s="15" t="s">
        <v>63</v>
      </c>
      <c r="F19" s="24" t="s">
        <v>79</v>
      </c>
      <c r="G19" s="17">
        <v>84</v>
      </c>
      <c r="H19" s="17">
        <v>84</v>
      </c>
      <c r="I19" s="15" t="s">
        <v>71</v>
      </c>
      <c r="J19" s="25" t="str">
        <f>IF($D19="","",IFERROR(INDEX(PacNome,MATCH($D19,PacCod,0)),"Paciente não cadastrado"))</f>
        <v>Paciente 006</v>
      </c>
      <c r="K19" s="26" t="str">
        <f>IF($D19="","",IFERROR(INDEX(PacConv,MATCH($D19,PacCod,0))&amp;"",""))</f>
        <v>Convênio B</v>
      </c>
      <c r="L19" s="26" t="str">
        <f>IF($A19="","",CHOOSE(WEEKDAY($A19,2),"Seg","Ter","Qua","Qui","Sex","Sáb","Dom"))</f>
        <v>Seg</v>
      </c>
      <c r="M19" s="27">
        <f>IF($E19="","",IF($G19&lt;&gt;"",$G19,IFERROR(INDEX(ProcValor,MATCH($E19,ProcNome,0)),0)))</f>
        <v>84</v>
      </c>
      <c r="N19" s="27">
        <f>IF($M19="","",IF($F19="Compareceu",$M19,0))</f>
        <v>84</v>
      </c>
      <c r="O19" s="27">
        <f>IF($M19="","",IF($F19="Faltou",$M19,0))</f>
        <v>0</v>
      </c>
      <c r="P19" s="27">
        <f>IF($M19="","",IF($F19="Compareceu",MAX(0,$M19-N($H19)),0))</f>
        <v>0</v>
      </c>
      <c r="Q19" s="19">
        <f>IF(AND($F19="Compareceu",$E19&lt;&gt;"",$A19&lt;&gt;""),IF(IFERROR(INDEX(ProcRet,MATCH($E19,ProcNome,0)),0)&gt;0,$A19+INDEX(ProcRet,MATCH($E19,ProcNome,0)),""),"")</f>
        <v>46216.0</v>
      </c>
      <c r="R19" s="26" t="str">
        <f>IF($Q19="","",IF(COUNTIFS(AgPac,$D19,AgData,"&gt;"&amp;$A19,AgStatus,"&lt;&gt;Cancelado",AgStatus,"&lt;&gt;Remarcado")&gt;0,"Sim","Não"))</f>
        <v>Sim</v>
      </c>
      <c r="S19" s="28">
        <f>IF($A19="","",IF(AND($F19="Agendado",$A19-Hoje&gt;=0,$A19-Hoje&lt;=DiasConf),"CONFIRMAR",IF(AND($A19&lt;Hoje,OR($F19="Agendado",$F19="Confirmado")),"Atualizar status",IF(AND($F19="Compareceu",$P19&gt;0.005),"Cobrar",IF($F19="Faltou","Falta: reagendar","")))))</f>
        <v>0</v>
      </c>
      <c r="T19" s="29">
        <f>IF($A19="","",DATE(YEAR($A19),MONTH($A19),1))</f>
        <v>46204.0</v>
      </c>
      <c r="U19" s="30">
        <f>IF($S19="CONFIRMAR",MAX($U$4:$U18)+1,"")</f>
        <v>0</v>
      </c>
      <c r="V19" s="30">
        <f>IF(AND($R19="Não",$Q19&lt;&gt;"",$Q19&lt;=Hoje+JanelaRet,$Q19&gt;=Hoje-60),MAX($V$4:$V18)+1,"")</f>
        <v>0</v>
      </c>
    </row>
    <row r="20" spans="1:22">
      <c r="A20" s="16">
        <v>46210</v>
      </c>
      <c r="B20" s="23">
        <v>0.4375</v>
      </c>
      <c r="C20" s="15" t="s">
        <v>53</v>
      </c>
      <c r="D20" s="15" t="s">
        <v>223</v>
      </c>
      <c r="E20" s="15" t="s">
        <v>64</v>
      </c>
      <c r="F20" s="24" t="s">
        <v>79</v>
      </c>
      <c r="G20" s="17"/>
      <c r="H20" s="17">
        <v>90</v>
      </c>
      <c r="I20" s="15" t="s">
        <v>74</v>
      </c>
      <c r="J20" s="25" t="str">
        <f>IF($D20="","",IFERROR(INDEX(PacNome,MATCH($D20,PacCod,0)),"Paciente não cadastrado"))</f>
        <v>Paciente 042</v>
      </c>
      <c r="K20" s="26" t="str">
        <f>IF($D20="","",IFERROR(INDEX(PacConv,MATCH($D20,PacCod,0))&amp;"",""))</f>
        <v>Particular</v>
      </c>
      <c r="L20" s="26" t="str">
        <f>IF($A20="","",CHOOSE(WEEKDAY($A20,2),"Seg","Ter","Qua","Qui","Sex","Sáb","Dom"))</f>
        <v>Ter</v>
      </c>
      <c r="M20" s="27">
        <f>IF($E20="","",IF($G20&lt;&gt;"",$G20,IFERROR(INDEX(ProcValor,MATCH($E20,ProcNome,0)),0)))</f>
        <v>90</v>
      </c>
      <c r="N20" s="27">
        <f>IF($M20="","",IF($F20="Compareceu",$M20,0))</f>
        <v>90</v>
      </c>
      <c r="O20" s="27">
        <f>IF($M20="","",IF($F20="Faltou",$M20,0))</f>
        <v>0</v>
      </c>
      <c r="P20" s="27">
        <f>IF($M20="","",IF($F20="Compareceu",MAX(0,$M20-N($H20)),0))</f>
        <v>0</v>
      </c>
      <c r="Q20" s="19">
        <f>IF(AND($F20="Compareceu",$E20&lt;&gt;"",$A20&lt;&gt;""),IF(IFERROR(INDEX(ProcRet,MATCH($E20,ProcNome,0)),0)&gt;0,$A20+INDEX(ProcRet,MATCH($E20,ProcNome,0)),""),"")</f>
        <v>0</v>
      </c>
      <c r="R20" s="26">
        <f>IF($Q20="","",IF(COUNTIFS(AgPac,$D20,AgData,"&gt;"&amp;$A20,AgStatus,"&lt;&gt;Cancelado",AgStatus,"&lt;&gt;Remarcado")&gt;0,"Sim","Não"))</f>
        <v>0</v>
      </c>
      <c r="S20" s="28">
        <f>IF($A20="","",IF(AND($F20="Agendado",$A20-Hoje&gt;=0,$A20-Hoje&lt;=DiasConf),"CONFIRMAR",IF(AND($A20&lt;Hoje,OR($F20="Agendado",$F20="Confirmado")),"Atualizar status",IF(AND($F20="Compareceu",$P20&gt;0.005),"Cobrar",IF($F20="Faltou","Falta: reagendar","")))))</f>
        <v>0</v>
      </c>
      <c r="T20" s="29">
        <f>IF($A20="","",DATE(YEAR($A20),MONTH($A20),1))</f>
        <v>46204.0</v>
      </c>
      <c r="U20" s="30">
        <f>IF($S20="CONFIRMAR",MAX($U$4:$U19)+1,"")</f>
        <v>0</v>
      </c>
      <c r="V20" s="30">
        <f>IF(AND($R20="Não",$Q20&lt;&gt;"",$Q20&lt;=Hoje+JanelaRet,$Q20&gt;=Hoje-60),MAX($V$4:$V19)+1,"")</f>
        <v>0</v>
      </c>
    </row>
    <row r="21" spans="1:22">
      <c r="A21" s="16">
        <v>46210</v>
      </c>
      <c r="B21" s="23">
        <v>0.5833333333333334</v>
      </c>
      <c r="C21" s="15" t="s">
        <v>53</v>
      </c>
      <c r="D21" s="15" t="s">
        <v>220</v>
      </c>
      <c r="E21" s="15" t="s">
        <v>61</v>
      </c>
      <c r="F21" s="24" t="s">
        <v>79</v>
      </c>
      <c r="G21" s="17">
        <v>72</v>
      </c>
      <c r="H21" s="17">
        <v>72</v>
      </c>
      <c r="I21" s="15" t="s">
        <v>71</v>
      </c>
      <c r="J21" s="25" t="str">
        <f>IF($D21="","",IFERROR(INDEX(PacNome,MATCH($D21,PacCod,0)),"Paciente não cadastrado"))</f>
        <v>Paciente 041</v>
      </c>
      <c r="K21" s="26" t="str">
        <f>IF($D21="","",IFERROR(INDEX(PacConv,MATCH($D21,PacCod,0))&amp;"",""))</f>
        <v>Convênio B</v>
      </c>
      <c r="L21" s="26" t="str">
        <f>IF($A21="","",CHOOSE(WEEKDAY($A21,2),"Seg","Ter","Qua","Qui","Sex","Sáb","Dom"))</f>
        <v>Ter</v>
      </c>
      <c r="M21" s="27">
        <f>IF($E21="","",IF($G21&lt;&gt;"",$G21,IFERROR(INDEX(ProcValor,MATCH($E21,ProcNome,0)),0)))</f>
        <v>72</v>
      </c>
      <c r="N21" s="27">
        <f>IF($M21="","",IF($F21="Compareceu",$M21,0))</f>
        <v>72</v>
      </c>
      <c r="O21" s="27">
        <f>IF($M21="","",IF($F21="Faltou",$M21,0))</f>
        <v>0</v>
      </c>
      <c r="P21" s="27">
        <f>IF($M21="","",IF($F21="Compareceu",MAX(0,$M21-N($H21)),0))</f>
        <v>0</v>
      </c>
      <c r="Q21" s="19">
        <f>IF(AND($F21="Compareceu",$E21&lt;&gt;"",$A21&lt;&gt;""),IF(IFERROR(INDEX(ProcRet,MATCH($E21,ProcNome,0)),0)&gt;0,$A21+INDEX(ProcRet,MATCH($E21,ProcNome,0)),""),"")</f>
        <v>46240.0</v>
      </c>
      <c r="R21" s="26" t="str">
        <f>IF($Q21="","",IF(COUNTIFS(AgPac,$D21,AgData,"&gt;"&amp;$A21,AgStatus,"&lt;&gt;Cancelado",AgStatus,"&lt;&gt;Remarcado")&gt;0,"Sim","Não"))</f>
        <v>Sim</v>
      </c>
      <c r="S21" s="28">
        <f>IF($A21="","",IF(AND($F21="Agendado",$A21-Hoje&gt;=0,$A21-Hoje&lt;=DiasConf),"CONFIRMAR",IF(AND($A21&lt;Hoje,OR($F21="Agendado",$F21="Confirmado")),"Atualizar status",IF(AND($F21="Compareceu",$P21&gt;0.005),"Cobrar",IF($F21="Faltou","Falta: reagendar","")))))</f>
        <v>0</v>
      </c>
      <c r="T21" s="29">
        <f>IF($A21="","",DATE(YEAR($A21),MONTH($A21),1))</f>
        <v>46204.0</v>
      </c>
      <c r="U21" s="30">
        <f>IF($S21="CONFIRMAR",MAX($U$4:$U20)+1,"")</f>
        <v>0</v>
      </c>
      <c r="V21" s="30">
        <f>IF(AND($R21="Não",$Q21&lt;&gt;"",$Q21&lt;=Hoje+JanelaRet,$Q21&gt;=Hoje-60),MAX($V$4:$V20)+1,"")</f>
        <v>0</v>
      </c>
    </row>
    <row r="22" spans="1:22">
      <c r="A22" s="16">
        <v>46210</v>
      </c>
      <c r="B22" s="23">
        <v>0.7291666666666666</v>
      </c>
      <c r="C22" s="15" t="s">
        <v>54</v>
      </c>
      <c r="D22" s="15" t="s">
        <v>223</v>
      </c>
      <c r="E22" s="15" t="s">
        <v>65</v>
      </c>
      <c r="F22" s="24" t="s">
        <v>79</v>
      </c>
      <c r="G22" s="17"/>
      <c r="H22" s="17">
        <v>130</v>
      </c>
      <c r="I22" s="15" t="s">
        <v>74</v>
      </c>
      <c r="J22" s="25" t="str">
        <f>IF($D22="","",IFERROR(INDEX(PacNome,MATCH($D22,PacCod,0)),"Paciente não cadastrado"))</f>
        <v>Paciente 042</v>
      </c>
      <c r="K22" s="26" t="str">
        <f>IF($D22="","",IFERROR(INDEX(PacConv,MATCH($D22,PacCod,0))&amp;"",""))</f>
        <v>Particular</v>
      </c>
      <c r="L22" s="26" t="str">
        <f>IF($A22="","",CHOOSE(WEEKDAY($A22,2),"Seg","Ter","Qua","Qui","Sex","Sáb","Dom"))</f>
        <v>Ter</v>
      </c>
      <c r="M22" s="27">
        <f>IF($E22="","",IF($G22&lt;&gt;"",$G22,IFERROR(INDEX(ProcValor,MATCH($E22,ProcNome,0)),0)))</f>
        <v>130</v>
      </c>
      <c r="N22" s="27">
        <f>IF($M22="","",IF($F22="Compareceu",$M22,0))</f>
        <v>130</v>
      </c>
      <c r="O22" s="27">
        <f>IF($M22="","",IF($F22="Faltou",$M22,0))</f>
        <v>0</v>
      </c>
      <c r="P22" s="27">
        <f>IF($M22="","",IF($F22="Compareceu",MAX(0,$M22-N($H22)),0))</f>
        <v>0</v>
      </c>
      <c r="Q22" s="19">
        <f>IF(AND($F22="Compareceu",$E22&lt;&gt;"",$A22&lt;&gt;""),IF(IFERROR(INDEX(ProcRet,MATCH($E22,ProcNome,0)),0)&gt;0,$A22+INDEX(ProcRet,MATCH($E22,ProcNome,0)),""),"")</f>
        <v>46300.0</v>
      </c>
      <c r="R22" s="26" t="str">
        <f>IF($Q22="","",IF(COUNTIFS(AgPac,$D22,AgData,"&gt;"&amp;$A22,AgStatus,"&lt;&gt;Cancelado",AgStatus,"&lt;&gt;Remarcado")&gt;0,"Sim","Não"))</f>
        <v>Sim</v>
      </c>
      <c r="S22" s="28">
        <f>IF($A22="","",IF(AND($F22="Agendado",$A22-Hoje&gt;=0,$A22-Hoje&lt;=DiasConf),"CONFIRMAR",IF(AND($A22&lt;Hoje,OR($F22="Agendado",$F22="Confirmado")),"Atualizar status",IF(AND($F22="Compareceu",$P22&gt;0.005),"Cobrar",IF($F22="Faltou","Falta: reagendar","")))))</f>
        <v>0</v>
      </c>
      <c r="T22" s="29">
        <f>IF($A22="","",DATE(YEAR($A22),MONTH($A22),1))</f>
        <v>46204.0</v>
      </c>
      <c r="U22" s="30">
        <f>IF($S22="CONFIRMAR",MAX($U$4:$U21)+1,"")</f>
        <v>0</v>
      </c>
      <c r="V22" s="30">
        <f>IF(AND($R22="Não",$Q22&lt;&gt;"",$Q22&lt;=Hoje+JanelaRet,$Q22&gt;=Hoje-60),MAX($V$4:$V21)+1,"")</f>
        <v>0</v>
      </c>
    </row>
    <row r="23" spans="1:22">
      <c r="A23" s="16">
        <v>46211</v>
      </c>
      <c r="B23" s="23">
        <v>0.375</v>
      </c>
      <c r="C23" s="15" t="s">
        <v>52</v>
      </c>
      <c r="D23" s="15" t="s">
        <v>106</v>
      </c>
      <c r="E23" s="15" t="s">
        <v>65</v>
      </c>
      <c r="F23" s="24" t="s">
        <v>79</v>
      </c>
      <c r="G23" s="17"/>
      <c r="H23" s="17">
        <v>130</v>
      </c>
      <c r="I23" s="15" t="s">
        <v>73</v>
      </c>
      <c r="J23" s="25" t="str">
        <f>IF($D23="","",IFERROR(INDEX(PacNome,MATCH($D23,PacCod,0)),"Paciente não cadastrado"))</f>
        <v>Paciente 003</v>
      </c>
      <c r="K23" s="26" t="str">
        <f>IF($D23="","",IFERROR(INDEX(PacConv,MATCH($D23,PacCod,0))&amp;"",""))</f>
        <v>Particular</v>
      </c>
      <c r="L23" s="26" t="str">
        <f>IF($A23="","",CHOOSE(WEEKDAY($A23,2),"Seg","Ter","Qua","Qui","Sex","Sáb","Dom"))</f>
        <v>Qua</v>
      </c>
      <c r="M23" s="27">
        <f>IF($E23="","",IF($G23&lt;&gt;"",$G23,IFERROR(INDEX(ProcValor,MATCH($E23,ProcNome,0)),0)))</f>
        <v>130</v>
      </c>
      <c r="N23" s="27">
        <f>IF($M23="","",IF($F23="Compareceu",$M23,0))</f>
        <v>130</v>
      </c>
      <c r="O23" s="27">
        <f>IF($M23="","",IF($F23="Faltou",$M23,0))</f>
        <v>0</v>
      </c>
      <c r="P23" s="27">
        <f>IF($M23="","",IF($F23="Compareceu",MAX(0,$M23-N($H23)),0))</f>
        <v>0</v>
      </c>
      <c r="Q23" s="19">
        <f>IF(AND($F23="Compareceu",$E23&lt;&gt;"",$A23&lt;&gt;""),IF(IFERROR(INDEX(ProcRet,MATCH($E23,ProcNome,0)),0)&gt;0,$A23+INDEX(ProcRet,MATCH($E23,ProcNome,0)),""),"")</f>
        <v>46301.0</v>
      </c>
      <c r="R23" s="26" t="str">
        <f>IF($Q23="","",IF(COUNTIFS(AgPac,$D23,AgData,"&gt;"&amp;$A23,AgStatus,"&lt;&gt;Cancelado",AgStatus,"&lt;&gt;Remarcado")&gt;0,"Sim","Não"))</f>
        <v>Sim</v>
      </c>
      <c r="S23" s="28">
        <f>IF($A23="","",IF(AND($F23="Agendado",$A23-Hoje&gt;=0,$A23-Hoje&lt;=DiasConf),"CONFIRMAR",IF(AND($A23&lt;Hoje,OR($F23="Agendado",$F23="Confirmado")),"Atualizar status",IF(AND($F23="Compareceu",$P23&gt;0.005),"Cobrar",IF($F23="Faltou","Falta: reagendar","")))))</f>
        <v>0</v>
      </c>
      <c r="T23" s="29">
        <f>IF($A23="","",DATE(YEAR($A23),MONTH($A23),1))</f>
        <v>46204.0</v>
      </c>
      <c r="U23" s="30">
        <f>IF($S23="CONFIRMAR",MAX($U$4:$U22)+1,"")</f>
        <v>0</v>
      </c>
      <c r="V23" s="30">
        <f>IF(AND($R23="Não",$Q23&lt;&gt;"",$Q23&lt;=Hoje+JanelaRet,$Q23&gt;=Hoje-60),MAX($V$4:$V22)+1,"")</f>
        <v>0</v>
      </c>
    </row>
    <row r="24" spans="1:22">
      <c r="A24" s="16">
        <v>46211</v>
      </c>
      <c r="B24" s="23">
        <v>0.4375</v>
      </c>
      <c r="C24" s="15" t="s">
        <v>53</v>
      </c>
      <c r="D24" s="15" t="s">
        <v>211</v>
      </c>
      <c r="E24" s="15" t="s">
        <v>62</v>
      </c>
      <c r="F24" s="24" t="s">
        <v>79</v>
      </c>
      <c r="G24" s="17">
        <v>210</v>
      </c>
      <c r="H24" s="17">
        <v>210</v>
      </c>
      <c r="I24" s="15" t="s">
        <v>71</v>
      </c>
      <c r="J24" s="25" t="str">
        <f>IF($D24="","",IFERROR(INDEX(PacNome,MATCH($D24,PacCod,0)),"Paciente não cadastrado"))</f>
        <v>Paciente 038</v>
      </c>
      <c r="K24" s="26" t="str">
        <f>IF($D24="","",IFERROR(INDEX(PacConv,MATCH($D24,PacCod,0))&amp;"",""))</f>
        <v>Convênio A</v>
      </c>
      <c r="L24" s="26" t="str">
        <f>IF($A24="","",CHOOSE(WEEKDAY($A24,2),"Seg","Ter","Qua","Qui","Sex","Sáb","Dom"))</f>
        <v>Qua</v>
      </c>
      <c r="M24" s="27">
        <f>IF($E24="","",IF($G24&lt;&gt;"",$G24,IFERROR(INDEX(ProcValor,MATCH($E24,ProcNome,0)),0)))</f>
        <v>210</v>
      </c>
      <c r="N24" s="27">
        <f>IF($M24="","",IF($F24="Compareceu",$M24,0))</f>
        <v>210</v>
      </c>
      <c r="O24" s="27">
        <f>IF($M24="","",IF($F24="Faltou",$M24,0))</f>
        <v>0</v>
      </c>
      <c r="P24" s="27">
        <f>IF($M24="","",IF($F24="Compareceu",MAX(0,$M24-N($H24)),0))</f>
        <v>0</v>
      </c>
      <c r="Q24" s="19">
        <f>IF(AND($F24="Compareceu",$E24&lt;&gt;"",$A24&lt;&gt;""),IF(IFERROR(INDEX(ProcRet,MATCH($E24,ProcNome,0)),0)&gt;0,$A24+INDEX(ProcRet,MATCH($E24,ProcNome,0)),""),"")</f>
        <v>46226.0</v>
      </c>
      <c r="R24" s="26" t="str">
        <f>IF($Q24="","",IF(COUNTIFS(AgPac,$D24,AgData,"&gt;"&amp;$A24,AgStatus,"&lt;&gt;Cancelado",AgStatus,"&lt;&gt;Remarcado")&gt;0,"Sim","Não"))</f>
        <v>Sim</v>
      </c>
      <c r="S24" s="28">
        <f>IF($A24="","",IF(AND($F24="Agendado",$A24-Hoje&gt;=0,$A24-Hoje&lt;=DiasConf),"CONFIRMAR",IF(AND($A24&lt;Hoje,OR($F24="Agendado",$F24="Confirmado")),"Atualizar status",IF(AND($F24="Compareceu",$P24&gt;0.005),"Cobrar",IF($F24="Faltou","Falta: reagendar","")))))</f>
        <v>0</v>
      </c>
      <c r="T24" s="29">
        <f>IF($A24="","",DATE(YEAR($A24),MONTH($A24),1))</f>
        <v>46204.0</v>
      </c>
      <c r="U24" s="30">
        <f>IF($S24="CONFIRMAR",MAX($U$4:$U23)+1,"")</f>
        <v>0</v>
      </c>
      <c r="V24" s="30">
        <f>IF(AND($R24="Não",$Q24&lt;&gt;"",$Q24&lt;=Hoje+JanelaRet,$Q24&gt;=Hoje-60),MAX($V$4:$V23)+1,"")</f>
        <v>0</v>
      </c>
    </row>
    <row r="25" spans="1:22">
      <c r="A25" s="16">
        <v>46211</v>
      </c>
      <c r="B25" s="23">
        <v>0.625</v>
      </c>
      <c r="C25" s="15" t="s">
        <v>54</v>
      </c>
      <c r="D25" s="15" t="s">
        <v>229</v>
      </c>
      <c r="E25" s="15" t="s">
        <v>63</v>
      </c>
      <c r="F25" s="24" t="s">
        <v>79</v>
      </c>
      <c r="G25" s="17"/>
      <c r="H25" s="17">
        <v>140</v>
      </c>
      <c r="I25" s="15" t="s">
        <v>73</v>
      </c>
      <c r="J25" s="25" t="str">
        <f>IF($D25="","",IFERROR(INDEX(PacNome,MATCH($D25,PacCod,0)),"Paciente não cadastrado"))</f>
        <v>Paciente 044</v>
      </c>
      <c r="K25" s="26" t="str">
        <f>IF($D25="","",IFERROR(INDEX(PacConv,MATCH($D25,PacCod,0))&amp;"",""))</f>
        <v>Particular</v>
      </c>
      <c r="L25" s="26" t="str">
        <f>IF($A25="","",CHOOSE(WEEKDAY($A25,2),"Seg","Ter","Qua","Qui","Sex","Sáb","Dom"))</f>
        <v>Qua</v>
      </c>
      <c r="M25" s="27">
        <f>IF($E25="","",IF($G25&lt;&gt;"",$G25,IFERROR(INDEX(ProcValor,MATCH($E25,ProcNome,0)),0)))</f>
        <v>140</v>
      </c>
      <c r="N25" s="27">
        <f>IF($M25="","",IF($F25="Compareceu",$M25,0))</f>
        <v>140</v>
      </c>
      <c r="O25" s="27">
        <f>IF($M25="","",IF($F25="Faltou",$M25,0))</f>
        <v>0</v>
      </c>
      <c r="P25" s="27">
        <f>IF($M25="","",IF($F25="Compareceu",MAX(0,$M25-N($H25)),0))</f>
        <v>0</v>
      </c>
      <c r="Q25" s="19">
        <f>IF(AND($F25="Compareceu",$E25&lt;&gt;"",$A25&lt;&gt;""),IF(IFERROR(INDEX(ProcRet,MATCH($E25,ProcNome,0)),0)&gt;0,$A25+INDEX(ProcRet,MATCH($E25,ProcNome,0)),""),"")</f>
        <v>46218.0</v>
      </c>
      <c r="R25" s="26" t="str">
        <f>IF($Q25="","",IF(COUNTIFS(AgPac,$D25,AgData,"&gt;"&amp;$A25,AgStatus,"&lt;&gt;Cancelado",AgStatus,"&lt;&gt;Remarcado")&gt;0,"Sim","Não"))</f>
        <v>Sim</v>
      </c>
      <c r="S25" s="28">
        <f>IF($A25="","",IF(AND($F25="Agendado",$A25-Hoje&gt;=0,$A25-Hoje&lt;=DiasConf),"CONFIRMAR",IF(AND($A25&lt;Hoje,OR($F25="Agendado",$F25="Confirmado")),"Atualizar status",IF(AND($F25="Compareceu",$P25&gt;0.005),"Cobrar",IF($F25="Faltou","Falta: reagendar","")))))</f>
        <v>0</v>
      </c>
      <c r="T25" s="29">
        <f>IF($A25="","",DATE(YEAR($A25),MONTH($A25),1))</f>
        <v>46204.0</v>
      </c>
      <c r="U25" s="30">
        <f>IF($S25="CONFIRMAR",MAX($U$4:$U24)+1,"")</f>
        <v>0</v>
      </c>
      <c r="V25" s="30">
        <f>IF(AND($R25="Não",$Q25&lt;&gt;"",$Q25&lt;=Hoje+JanelaRet,$Q25&gt;=Hoje-60),MAX($V$4:$V24)+1,"")</f>
        <v>0</v>
      </c>
    </row>
    <row r="26" spans="1:22">
      <c r="A26" s="16">
        <v>46212</v>
      </c>
      <c r="B26" s="23">
        <v>0.3333333333333333</v>
      </c>
      <c r="C26" s="15" t="s">
        <v>51</v>
      </c>
      <c r="D26" s="15" t="s">
        <v>103</v>
      </c>
      <c r="E26" s="15" t="s">
        <v>61</v>
      </c>
      <c r="F26" s="24" t="s">
        <v>79</v>
      </c>
      <c r="G26" s="17">
        <v>72</v>
      </c>
      <c r="H26" s="17">
        <v>36</v>
      </c>
      <c r="I26" s="15" t="s">
        <v>72</v>
      </c>
      <c r="J26" s="25" t="str">
        <f>IF($D26="","",IFERROR(INDEX(PacNome,MATCH($D26,PacCod,0)),"Paciente não cadastrado"))</f>
        <v>Paciente 002</v>
      </c>
      <c r="K26" s="26" t="str">
        <f>IF($D26="","",IFERROR(INDEX(PacConv,MATCH($D26,PacCod,0))&amp;"",""))</f>
        <v>Convênio A</v>
      </c>
      <c r="L26" s="26" t="str">
        <f>IF($A26="","",CHOOSE(WEEKDAY($A26,2),"Seg","Ter","Qua","Qui","Sex","Sáb","Dom"))</f>
        <v>Qui</v>
      </c>
      <c r="M26" s="27">
        <f>IF($E26="","",IF($G26&lt;&gt;"",$G26,IFERROR(INDEX(ProcValor,MATCH($E26,ProcNome,0)),0)))</f>
        <v>72</v>
      </c>
      <c r="N26" s="27">
        <f>IF($M26="","",IF($F26="Compareceu",$M26,0))</f>
        <v>72</v>
      </c>
      <c r="O26" s="27">
        <f>IF($M26="","",IF($F26="Faltou",$M26,0))</f>
        <v>0</v>
      </c>
      <c r="P26" s="27">
        <f>IF($M26="","",IF($F26="Compareceu",MAX(0,$M26-N($H26)),0))</f>
        <v>36</v>
      </c>
      <c r="Q26" s="19">
        <f>IF(AND($F26="Compareceu",$E26&lt;&gt;"",$A26&lt;&gt;""),IF(IFERROR(INDEX(ProcRet,MATCH($E26,ProcNome,0)),0)&gt;0,$A26+INDEX(ProcRet,MATCH($E26,ProcNome,0)),""),"")</f>
        <v>46242.0</v>
      </c>
      <c r="R26" s="26" t="str">
        <f>IF($Q26="","",IF(COUNTIFS(AgPac,$D26,AgData,"&gt;"&amp;$A26,AgStatus,"&lt;&gt;Cancelado",AgStatus,"&lt;&gt;Remarcado")&gt;0,"Sim","Não"))</f>
        <v>Sim</v>
      </c>
      <c r="S26" s="28" t="str">
        <f>IF($A26="","",IF(AND($F26="Agendado",$A26-Hoje&gt;=0,$A26-Hoje&lt;=DiasConf),"CONFIRMAR",IF(AND($A26&lt;Hoje,OR($F26="Agendado",$F26="Confirmado")),"Atualizar status",IF(AND($F26="Compareceu",$P26&gt;0.005),"Cobrar",IF($F26="Faltou","Falta: reagendar","")))))</f>
        <v>Cobrar</v>
      </c>
      <c r="T26" s="29">
        <f>IF($A26="","",DATE(YEAR($A26),MONTH($A26),1))</f>
        <v>46204.0</v>
      </c>
      <c r="U26" s="30">
        <f>IF($S26="CONFIRMAR",MAX($U$4:$U25)+1,"")</f>
        <v>0</v>
      </c>
      <c r="V26" s="30">
        <f>IF(AND($R26="Não",$Q26&lt;&gt;"",$Q26&lt;=Hoje+JanelaRet,$Q26&gt;=Hoje-60),MAX($V$4:$V25)+1,"")</f>
        <v>0</v>
      </c>
    </row>
    <row r="27" spans="1:22">
      <c r="A27" s="16">
        <v>46212</v>
      </c>
      <c r="B27" s="23">
        <v>0.4375</v>
      </c>
      <c r="C27" s="15" t="s">
        <v>51</v>
      </c>
      <c r="D27" s="15" t="s">
        <v>205</v>
      </c>
      <c r="E27" s="15" t="s">
        <v>60</v>
      </c>
      <c r="F27" s="24" t="s">
        <v>79</v>
      </c>
      <c r="G27" s="17">
        <v>108</v>
      </c>
      <c r="H27" s="17">
        <v>108</v>
      </c>
      <c r="I27" s="15" t="s">
        <v>72</v>
      </c>
      <c r="J27" s="25" t="str">
        <f>IF($D27="","",IFERROR(INDEX(PacNome,MATCH($D27,PacCod,0)),"Paciente não cadastrado"))</f>
        <v>Paciente 036</v>
      </c>
      <c r="K27" s="26" t="str">
        <f>IF($D27="","",IFERROR(INDEX(PacConv,MATCH($D27,PacCod,0))&amp;"",""))</f>
        <v>Convênio B</v>
      </c>
      <c r="L27" s="26" t="str">
        <f>IF($A27="","",CHOOSE(WEEKDAY($A27,2),"Seg","Ter","Qua","Qui","Sex","Sáb","Dom"))</f>
        <v>Qui</v>
      </c>
      <c r="M27" s="27">
        <f>IF($E27="","",IF($G27&lt;&gt;"",$G27,IFERROR(INDEX(ProcValor,MATCH($E27,ProcNome,0)),0)))</f>
        <v>108</v>
      </c>
      <c r="N27" s="27">
        <f>IF($M27="","",IF($F27="Compareceu",$M27,0))</f>
        <v>108</v>
      </c>
      <c r="O27" s="27">
        <f>IF($M27="","",IF($F27="Faltou",$M27,0))</f>
        <v>0</v>
      </c>
      <c r="P27" s="27">
        <f>IF($M27="","",IF($F27="Compareceu",MAX(0,$M27-N($H27)),0))</f>
        <v>0</v>
      </c>
      <c r="Q27" s="19">
        <f>IF(AND($F27="Compareceu",$E27&lt;&gt;"",$A27&lt;&gt;""),IF(IFERROR(INDEX(ProcRet,MATCH($E27,ProcNome,0)),0)&gt;0,$A27+INDEX(ProcRet,MATCH($E27,ProcNome,0)),""),"")</f>
        <v>46392.0</v>
      </c>
      <c r="R27" s="26" t="str">
        <f>IF($Q27="","",IF(COUNTIFS(AgPac,$D27,AgData,"&gt;"&amp;$A27,AgStatus,"&lt;&gt;Cancelado",AgStatus,"&lt;&gt;Remarcado")&gt;0,"Sim","Não"))</f>
        <v>Sim</v>
      </c>
      <c r="S27" s="28">
        <f>IF($A27="","",IF(AND($F27="Agendado",$A27-Hoje&gt;=0,$A27-Hoje&lt;=DiasConf),"CONFIRMAR",IF(AND($A27&lt;Hoje,OR($F27="Agendado",$F27="Confirmado")),"Atualizar status",IF(AND($F27="Compareceu",$P27&gt;0.005),"Cobrar",IF($F27="Faltou","Falta: reagendar","")))))</f>
        <v>0</v>
      </c>
      <c r="T27" s="29">
        <f>IF($A27="","",DATE(YEAR($A27),MONTH($A27),1))</f>
        <v>46204.0</v>
      </c>
      <c r="U27" s="30">
        <f>IF($S27="CONFIRMAR",MAX($U$4:$U26)+1,"")</f>
        <v>0</v>
      </c>
      <c r="V27" s="30">
        <f>IF(AND($R27="Não",$Q27&lt;&gt;"",$Q27&lt;=Hoje+JanelaRet,$Q27&gt;=Hoje-60),MAX($V$4:$V26)+1,"")</f>
        <v>0</v>
      </c>
    </row>
    <row r="28" spans="1:22">
      <c r="A28" s="16">
        <v>46212</v>
      </c>
      <c r="B28" s="23">
        <v>0.5208333333333334</v>
      </c>
      <c r="C28" s="15" t="s">
        <v>51</v>
      </c>
      <c r="D28" s="15" t="s">
        <v>193</v>
      </c>
      <c r="E28" s="15" t="s">
        <v>61</v>
      </c>
      <c r="F28" s="24" t="s">
        <v>79</v>
      </c>
      <c r="G28" s="17">
        <v>72</v>
      </c>
      <c r="H28" s="17">
        <v>72</v>
      </c>
      <c r="I28" s="15" t="s">
        <v>72</v>
      </c>
      <c r="J28" s="25" t="str">
        <f>IF($D28="","",IFERROR(INDEX(PacNome,MATCH($D28,PacCod,0)),"Paciente não cadastrado"))</f>
        <v>Paciente 032</v>
      </c>
      <c r="K28" s="26" t="str">
        <f>IF($D28="","",IFERROR(INDEX(PacConv,MATCH($D28,PacCod,0))&amp;"",""))</f>
        <v>Convênio A</v>
      </c>
      <c r="L28" s="26" t="str">
        <f>IF($A28="","",CHOOSE(WEEKDAY($A28,2),"Seg","Ter","Qua","Qui","Sex","Sáb","Dom"))</f>
        <v>Qui</v>
      </c>
      <c r="M28" s="27">
        <f>IF($E28="","",IF($G28&lt;&gt;"",$G28,IFERROR(INDEX(ProcValor,MATCH($E28,ProcNome,0)),0)))</f>
        <v>72</v>
      </c>
      <c r="N28" s="27">
        <f>IF($M28="","",IF($F28="Compareceu",$M28,0))</f>
        <v>72</v>
      </c>
      <c r="O28" s="27">
        <f>IF($M28="","",IF($F28="Faltou",$M28,0))</f>
        <v>0</v>
      </c>
      <c r="P28" s="27">
        <f>IF($M28="","",IF($F28="Compareceu",MAX(0,$M28-N($H28)),0))</f>
        <v>0</v>
      </c>
      <c r="Q28" s="19">
        <f>IF(AND($F28="Compareceu",$E28&lt;&gt;"",$A28&lt;&gt;""),IF(IFERROR(INDEX(ProcRet,MATCH($E28,ProcNome,0)),0)&gt;0,$A28+INDEX(ProcRet,MATCH($E28,ProcNome,0)),""),"")</f>
        <v>46242.0</v>
      </c>
      <c r="R28" s="26" t="str">
        <f>IF($Q28="","",IF(COUNTIFS(AgPac,$D28,AgData,"&gt;"&amp;$A28,AgStatus,"&lt;&gt;Cancelado",AgStatus,"&lt;&gt;Remarcado")&gt;0,"Sim","Não"))</f>
        <v>Sim</v>
      </c>
      <c r="S28" s="28">
        <f>IF($A28="","",IF(AND($F28="Agendado",$A28-Hoje&gt;=0,$A28-Hoje&lt;=DiasConf),"CONFIRMAR",IF(AND($A28&lt;Hoje,OR($F28="Agendado",$F28="Confirmado")),"Atualizar status",IF(AND($F28="Compareceu",$P28&gt;0.005),"Cobrar",IF($F28="Faltou","Falta: reagendar","")))))</f>
        <v>0</v>
      </c>
      <c r="T28" s="29">
        <f>IF($A28="","",DATE(YEAR($A28),MONTH($A28),1))</f>
        <v>46204.0</v>
      </c>
      <c r="U28" s="30">
        <f>IF($S28="CONFIRMAR",MAX($U$4:$U27)+1,"")</f>
        <v>0</v>
      </c>
      <c r="V28" s="30">
        <f>IF(AND($R28="Não",$Q28&lt;&gt;"",$Q28&lt;=Hoje+JanelaRet,$Q28&gt;=Hoje-60),MAX($V$4:$V27)+1,"")</f>
        <v>0</v>
      </c>
    </row>
    <row r="29" spans="1:22">
      <c r="A29" s="16">
        <v>46212</v>
      </c>
      <c r="B29" s="23">
        <v>0.5416666666666666</v>
      </c>
      <c r="C29" s="15" t="s">
        <v>54</v>
      </c>
      <c r="D29" s="15" t="s">
        <v>103</v>
      </c>
      <c r="E29" s="15" t="s">
        <v>61</v>
      </c>
      <c r="F29" s="24" t="s">
        <v>82</v>
      </c>
      <c r="G29" s="17"/>
      <c r="H29" s="17"/>
      <c r="I29" s="15"/>
      <c r="J29" s="25" t="str">
        <f>IF($D29="","",IFERROR(INDEX(PacNome,MATCH($D29,PacCod,0)),"Paciente não cadastrado"))</f>
        <v>Paciente 002</v>
      </c>
      <c r="K29" s="26" t="str">
        <f>IF($D29="","",IFERROR(INDEX(PacConv,MATCH($D29,PacCod,0))&amp;"",""))</f>
        <v>Convênio A</v>
      </c>
      <c r="L29" s="26" t="str">
        <f>IF($A29="","",CHOOSE(WEEKDAY($A29,2),"Seg","Ter","Qua","Qui","Sex","Sáb","Dom"))</f>
        <v>Qui</v>
      </c>
      <c r="M29" s="27">
        <f>IF($E29="","",IF($G29&lt;&gt;"",$G29,IFERROR(INDEX(ProcValor,MATCH($E29,ProcNome,0)),0)))</f>
        <v>120</v>
      </c>
      <c r="N29" s="27">
        <f>IF($M29="","",IF($F29="Compareceu",$M29,0))</f>
        <v>0</v>
      </c>
      <c r="O29" s="27">
        <f>IF($M29="","",IF($F29="Faltou",$M29,0))</f>
        <v>0</v>
      </c>
      <c r="P29" s="27">
        <f>IF($M29="","",IF($F29="Compareceu",MAX(0,$M29-N($H29)),0))</f>
        <v>0</v>
      </c>
      <c r="Q29" s="19">
        <f>IF(AND($F29="Compareceu",$E29&lt;&gt;"",$A29&lt;&gt;""),IF(IFERROR(INDEX(ProcRet,MATCH($E29,ProcNome,0)),0)&gt;0,$A29+INDEX(ProcRet,MATCH($E29,ProcNome,0)),""),"")</f>
        <v>0</v>
      </c>
      <c r="R29" s="26">
        <f>IF($Q29="","",IF(COUNTIFS(AgPac,$D29,AgData,"&gt;"&amp;$A29,AgStatus,"&lt;&gt;Cancelado",AgStatus,"&lt;&gt;Remarcado")&gt;0,"Sim","Não"))</f>
        <v>0</v>
      </c>
      <c r="S29" s="28">
        <f>IF($A29="","",IF(AND($F29="Agendado",$A29-Hoje&gt;=0,$A29-Hoje&lt;=DiasConf),"CONFIRMAR",IF(AND($A29&lt;Hoje,OR($F29="Agendado",$F29="Confirmado")),"Atualizar status",IF(AND($F29="Compareceu",$P29&gt;0.005),"Cobrar",IF($F29="Faltou","Falta: reagendar","")))))</f>
        <v>0</v>
      </c>
      <c r="T29" s="29">
        <f>IF($A29="","",DATE(YEAR($A29),MONTH($A29),1))</f>
        <v>46204.0</v>
      </c>
      <c r="U29" s="30">
        <f>IF($S29="CONFIRMAR",MAX($U$4:$U28)+1,"")</f>
        <v>0</v>
      </c>
      <c r="V29" s="30">
        <f>IF(AND($R29="Não",$Q29&lt;&gt;"",$Q29&lt;=Hoje+JanelaRet,$Q29&gt;=Hoje-60),MAX($V$4:$V28)+1,"")</f>
        <v>0</v>
      </c>
    </row>
    <row r="30" spans="1:22">
      <c r="A30" s="16">
        <v>46213</v>
      </c>
      <c r="B30" s="23">
        <v>0.3541666666666667</v>
      </c>
      <c r="C30" s="15" t="s">
        <v>51</v>
      </c>
      <c r="D30" s="15" t="s">
        <v>172</v>
      </c>
      <c r="E30" s="15" t="s">
        <v>60</v>
      </c>
      <c r="F30" s="24" t="s">
        <v>79</v>
      </c>
      <c r="G30" s="17">
        <v>108</v>
      </c>
      <c r="H30" s="17"/>
      <c r="I30" s="15"/>
      <c r="J30" s="25" t="str">
        <f>IF($D30="","",IFERROR(INDEX(PacNome,MATCH($D30,PacCod,0)),"Paciente não cadastrado"))</f>
        <v>Paciente 025</v>
      </c>
      <c r="K30" s="26" t="str">
        <f>IF($D30="","",IFERROR(INDEX(PacConv,MATCH($D30,PacCod,0))&amp;"",""))</f>
        <v>Convênio A</v>
      </c>
      <c r="L30" s="26" t="str">
        <f>IF($A30="","",CHOOSE(WEEKDAY($A30,2),"Seg","Ter","Qua","Qui","Sex","Sáb","Dom"))</f>
        <v>Sex</v>
      </c>
      <c r="M30" s="27">
        <f>IF($E30="","",IF($G30&lt;&gt;"",$G30,IFERROR(INDEX(ProcValor,MATCH($E30,ProcNome,0)),0)))</f>
        <v>108</v>
      </c>
      <c r="N30" s="27">
        <f>IF($M30="","",IF($F30="Compareceu",$M30,0))</f>
        <v>108</v>
      </c>
      <c r="O30" s="27">
        <f>IF($M30="","",IF($F30="Faltou",$M30,0))</f>
        <v>0</v>
      </c>
      <c r="P30" s="27">
        <f>IF($M30="","",IF($F30="Compareceu",MAX(0,$M30-N($H30)),0))</f>
        <v>108</v>
      </c>
      <c r="Q30" s="19">
        <f>IF(AND($F30="Compareceu",$E30&lt;&gt;"",$A30&lt;&gt;""),IF(IFERROR(INDEX(ProcRet,MATCH($E30,ProcNome,0)),0)&gt;0,$A30+INDEX(ProcRet,MATCH($E30,ProcNome,0)),""),"")</f>
        <v>46393.0</v>
      </c>
      <c r="R30" s="26" t="str">
        <f>IF($Q30="","",IF(COUNTIFS(AgPac,$D30,AgData,"&gt;"&amp;$A30,AgStatus,"&lt;&gt;Cancelado",AgStatus,"&lt;&gt;Remarcado")&gt;0,"Sim","Não"))</f>
        <v>Sim</v>
      </c>
      <c r="S30" s="28" t="str">
        <f>IF($A30="","",IF(AND($F30="Agendado",$A30-Hoje&gt;=0,$A30-Hoje&lt;=DiasConf),"CONFIRMAR",IF(AND($A30&lt;Hoje,OR($F30="Agendado",$F30="Confirmado")),"Atualizar status",IF(AND($F30="Compareceu",$P30&gt;0.005),"Cobrar",IF($F30="Faltou","Falta: reagendar","")))))</f>
        <v>Cobrar</v>
      </c>
      <c r="T30" s="29">
        <f>IF($A30="","",DATE(YEAR($A30),MONTH($A30),1))</f>
        <v>46204.0</v>
      </c>
      <c r="U30" s="30">
        <f>IF($S30="CONFIRMAR",MAX($U$4:$U29)+1,"")</f>
        <v>0</v>
      </c>
      <c r="V30" s="30">
        <f>IF(AND($R30="Não",$Q30&lt;&gt;"",$Q30&lt;=Hoje+JanelaRet,$Q30&gt;=Hoje-60),MAX($V$4:$V29)+1,"")</f>
        <v>0</v>
      </c>
    </row>
    <row r="31" spans="1:22">
      <c r="A31" s="16">
        <v>46213</v>
      </c>
      <c r="B31" s="23">
        <v>0.4375</v>
      </c>
      <c r="C31" s="15" t="s">
        <v>54</v>
      </c>
      <c r="D31" s="15" t="s">
        <v>202</v>
      </c>
      <c r="E31" s="15" t="s">
        <v>63</v>
      </c>
      <c r="F31" s="24" t="s">
        <v>79</v>
      </c>
      <c r="G31" s="17"/>
      <c r="H31" s="17">
        <v>140</v>
      </c>
      <c r="I31" s="15" t="s">
        <v>73</v>
      </c>
      <c r="J31" s="25" t="str">
        <f>IF($D31="","",IFERROR(INDEX(PacNome,MATCH($D31,PacCod,0)),"Paciente não cadastrado"))</f>
        <v>Paciente 035</v>
      </c>
      <c r="K31" s="26" t="str">
        <f>IF($D31="","",IFERROR(INDEX(PacConv,MATCH($D31,PacCod,0))&amp;"",""))</f>
        <v>Particular</v>
      </c>
      <c r="L31" s="26" t="str">
        <f>IF($A31="","",CHOOSE(WEEKDAY($A31,2),"Seg","Ter","Qua","Qui","Sex","Sáb","Dom"))</f>
        <v>Sex</v>
      </c>
      <c r="M31" s="27">
        <f>IF($E31="","",IF($G31&lt;&gt;"",$G31,IFERROR(INDEX(ProcValor,MATCH($E31,ProcNome,0)),0)))</f>
        <v>140</v>
      </c>
      <c r="N31" s="27">
        <f>IF($M31="","",IF($F31="Compareceu",$M31,0))</f>
        <v>140</v>
      </c>
      <c r="O31" s="27">
        <f>IF($M31="","",IF($F31="Faltou",$M31,0))</f>
        <v>0</v>
      </c>
      <c r="P31" s="27">
        <f>IF($M31="","",IF($F31="Compareceu",MAX(0,$M31-N($H31)),0))</f>
        <v>0</v>
      </c>
      <c r="Q31" s="19">
        <f>IF(AND($F31="Compareceu",$E31&lt;&gt;"",$A31&lt;&gt;""),IF(IFERROR(INDEX(ProcRet,MATCH($E31,ProcNome,0)),0)&gt;0,$A31+INDEX(ProcRet,MATCH($E31,ProcNome,0)),""),"")</f>
        <v>46220.0</v>
      </c>
      <c r="R31" s="26" t="str">
        <f>IF($Q31="","",IF(COUNTIFS(AgPac,$D31,AgData,"&gt;"&amp;$A31,AgStatus,"&lt;&gt;Cancelado",AgStatus,"&lt;&gt;Remarcado")&gt;0,"Sim","Não"))</f>
        <v>Sim</v>
      </c>
      <c r="S31" s="28">
        <f>IF($A31="","",IF(AND($F31="Agendado",$A31-Hoje&gt;=0,$A31-Hoje&lt;=DiasConf),"CONFIRMAR",IF(AND($A31&lt;Hoje,OR($F31="Agendado",$F31="Confirmado")),"Atualizar status",IF(AND($F31="Compareceu",$P31&gt;0.005),"Cobrar",IF($F31="Faltou","Falta: reagendar","")))))</f>
        <v>0</v>
      </c>
      <c r="T31" s="29">
        <f>IF($A31="","",DATE(YEAR($A31),MONTH($A31),1))</f>
        <v>46204.0</v>
      </c>
      <c r="U31" s="30">
        <f>IF($S31="CONFIRMAR",MAX($U$4:$U30)+1,"")</f>
        <v>0</v>
      </c>
      <c r="V31" s="30">
        <f>IF(AND($R31="Não",$Q31&lt;&gt;"",$Q31&lt;=Hoje+JanelaRet,$Q31&gt;=Hoje-60),MAX($V$4:$V30)+1,"")</f>
        <v>0</v>
      </c>
    </row>
    <row r="32" spans="1:22">
      <c r="A32" s="16">
        <v>46213</v>
      </c>
      <c r="B32" s="23">
        <v>0.4791666666666667</v>
      </c>
      <c r="C32" s="15" t="s">
        <v>53</v>
      </c>
      <c r="D32" s="15" t="s">
        <v>178</v>
      </c>
      <c r="E32" s="15" t="s">
        <v>63</v>
      </c>
      <c r="F32" s="24" t="s">
        <v>79</v>
      </c>
      <c r="G32" s="17"/>
      <c r="H32" s="17">
        <v>140</v>
      </c>
      <c r="I32" s="15" t="s">
        <v>73</v>
      </c>
      <c r="J32" s="25" t="str">
        <f>IF($D32="","",IFERROR(INDEX(PacNome,MATCH($D32,PacCod,0)),"Paciente não cadastrado"))</f>
        <v>Paciente 027</v>
      </c>
      <c r="K32" s="26" t="str">
        <f>IF($D32="","",IFERROR(INDEX(PacConv,MATCH($D32,PacCod,0))&amp;"",""))</f>
        <v>Particular</v>
      </c>
      <c r="L32" s="26" t="str">
        <f>IF($A32="","",CHOOSE(WEEKDAY($A32,2),"Seg","Ter","Qua","Qui","Sex","Sáb","Dom"))</f>
        <v>Sex</v>
      </c>
      <c r="M32" s="27">
        <f>IF($E32="","",IF($G32&lt;&gt;"",$G32,IFERROR(INDEX(ProcValor,MATCH($E32,ProcNome,0)),0)))</f>
        <v>140</v>
      </c>
      <c r="N32" s="27">
        <f>IF($M32="","",IF($F32="Compareceu",$M32,0))</f>
        <v>140</v>
      </c>
      <c r="O32" s="27">
        <f>IF($M32="","",IF($F32="Faltou",$M32,0))</f>
        <v>0</v>
      </c>
      <c r="P32" s="27">
        <f>IF($M32="","",IF($F32="Compareceu",MAX(0,$M32-N($H32)),0))</f>
        <v>0</v>
      </c>
      <c r="Q32" s="19">
        <f>IF(AND($F32="Compareceu",$E32&lt;&gt;"",$A32&lt;&gt;""),IF(IFERROR(INDEX(ProcRet,MATCH($E32,ProcNome,0)),0)&gt;0,$A32+INDEX(ProcRet,MATCH($E32,ProcNome,0)),""),"")</f>
        <v>46220.0</v>
      </c>
      <c r="R32" s="26" t="str">
        <f>IF($Q32="","",IF(COUNTIFS(AgPac,$D32,AgData,"&gt;"&amp;$A32,AgStatus,"&lt;&gt;Cancelado",AgStatus,"&lt;&gt;Remarcado")&gt;0,"Sim","Não"))</f>
        <v>Sim</v>
      </c>
      <c r="S32" s="28">
        <f>IF($A32="","",IF(AND($F32="Agendado",$A32-Hoje&gt;=0,$A32-Hoje&lt;=DiasConf),"CONFIRMAR",IF(AND($A32&lt;Hoje,OR($F32="Agendado",$F32="Confirmado")),"Atualizar status",IF(AND($F32="Compareceu",$P32&gt;0.005),"Cobrar",IF($F32="Faltou","Falta: reagendar","")))))</f>
        <v>0</v>
      </c>
      <c r="T32" s="29">
        <f>IF($A32="","",DATE(YEAR($A32),MONTH($A32),1))</f>
        <v>46204.0</v>
      </c>
      <c r="U32" s="30">
        <f>IF($S32="CONFIRMAR",MAX($U$4:$U31)+1,"")</f>
        <v>0</v>
      </c>
      <c r="V32" s="30">
        <f>IF(AND($R32="Não",$Q32&lt;&gt;"",$Q32&lt;=Hoje+JanelaRet,$Q32&gt;=Hoje-60),MAX($V$4:$V31)+1,"")</f>
        <v>0</v>
      </c>
    </row>
    <row r="33" spans="1:22">
      <c r="A33" s="16">
        <v>46213</v>
      </c>
      <c r="B33" s="23">
        <v>0.625</v>
      </c>
      <c r="C33" s="15" t="s">
        <v>52</v>
      </c>
      <c r="D33" s="15" t="s">
        <v>127</v>
      </c>
      <c r="E33" s="15" t="s">
        <v>63</v>
      </c>
      <c r="F33" s="24" t="s">
        <v>79</v>
      </c>
      <c r="G33" s="17"/>
      <c r="H33" s="17">
        <v>140</v>
      </c>
      <c r="I33" s="15" t="s">
        <v>72</v>
      </c>
      <c r="J33" s="25" t="str">
        <f>IF($D33="","",IFERROR(INDEX(PacNome,MATCH($D33,PacCod,0)),"Paciente não cadastrado"))</f>
        <v>Paciente 010</v>
      </c>
      <c r="K33" s="26" t="str">
        <f>IF($D33="","",IFERROR(INDEX(PacConv,MATCH($D33,PacCod,0))&amp;"",""))</f>
        <v>Particular</v>
      </c>
      <c r="L33" s="26" t="str">
        <f>IF($A33="","",CHOOSE(WEEKDAY($A33,2),"Seg","Ter","Qua","Qui","Sex","Sáb","Dom"))</f>
        <v>Sex</v>
      </c>
      <c r="M33" s="27">
        <f>IF($E33="","",IF($G33&lt;&gt;"",$G33,IFERROR(INDEX(ProcValor,MATCH($E33,ProcNome,0)),0)))</f>
        <v>140</v>
      </c>
      <c r="N33" s="27">
        <f>IF($M33="","",IF($F33="Compareceu",$M33,0))</f>
        <v>140</v>
      </c>
      <c r="O33" s="27">
        <f>IF($M33="","",IF($F33="Faltou",$M33,0))</f>
        <v>0</v>
      </c>
      <c r="P33" s="27">
        <f>IF($M33="","",IF($F33="Compareceu",MAX(0,$M33-N($H33)),0))</f>
        <v>0</v>
      </c>
      <c r="Q33" s="19">
        <f>IF(AND($F33="Compareceu",$E33&lt;&gt;"",$A33&lt;&gt;""),IF(IFERROR(INDEX(ProcRet,MATCH($E33,ProcNome,0)),0)&gt;0,$A33+INDEX(ProcRet,MATCH($E33,ProcNome,0)),""),"")</f>
        <v>46220.0</v>
      </c>
      <c r="R33" s="26" t="str">
        <f>IF($Q33="","",IF(COUNTIFS(AgPac,$D33,AgData,"&gt;"&amp;$A33,AgStatus,"&lt;&gt;Cancelado",AgStatus,"&lt;&gt;Remarcado")&gt;0,"Sim","Não"))</f>
        <v>Sim</v>
      </c>
      <c r="S33" s="28">
        <f>IF($A33="","",IF(AND($F33="Agendado",$A33-Hoje&gt;=0,$A33-Hoje&lt;=DiasConf),"CONFIRMAR",IF(AND($A33&lt;Hoje,OR($F33="Agendado",$F33="Confirmado")),"Atualizar status",IF(AND($F33="Compareceu",$P33&gt;0.005),"Cobrar",IF($F33="Faltou","Falta: reagendar","")))))</f>
        <v>0</v>
      </c>
      <c r="T33" s="29">
        <f>IF($A33="","",DATE(YEAR($A33),MONTH($A33),1))</f>
        <v>46204.0</v>
      </c>
      <c r="U33" s="30">
        <f>IF($S33="CONFIRMAR",MAX($U$4:$U32)+1,"")</f>
        <v>0</v>
      </c>
      <c r="V33" s="30">
        <f>IF(AND($R33="Não",$Q33&lt;&gt;"",$Q33&lt;=Hoje+JanelaRet,$Q33&gt;=Hoje-60),MAX($V$4:$V32)+1,"")</f>
        <v>0</v>
      </c>
    </row>
    <row r="34" spans="1:22">
      <c r="A34" s="16">
        <v>46214</v>
      </c>
      <c r="B34" s="23">
        <v>0.375</v>
      </c>
      <c r="C34" s="15" t="s">
        <v>51</v>
      </c>
      <c r="D34" s="15" t="s">
        <v>181</v>
      </c>
      <c r="E34" s="15" t="s">
        <v>63</v>
      </c>
      <c r="F34" s="24" t="s">
        <v>79</v>
      </c>
      <c r="G34" s="17">
        <v>84</v>
      </c>
      <c r="H34" s="17">
        <v>84</v>
      </c>
      <c r="I34" s="15" t="s">
        <v>73</v>
      </c>
      <c r="J34" s="25" t="str">
        <f>IF($D34="","",IFERROR(INDEX(PacNome,MATCH($D34,PacCod,0)),"Paciente não cadastrado"))</f>
        <v>Paciente 028</v>
      </c>
      <c r="K34" s="26" t="str">
        <f>IF($D34="","",IFERROR(INDEX(PacConv,MATCH($D34,PacCod,0))&amp;"",""))</f>
        <v>Convênio B</v>
      </c>
      <c r="L34" s="26" t="str">
        <f>IF($A34="","",CHOOSE(WEEKDAY($A34,2),"Seg","Ter","Qua","Qui","Sex","Sáb","Dom"))</f>
        <v>Sáb</v>
      </c>
      <c r="M34" s="27">
        <f>IF($E34="","",IF($G34&lt;&gt;"",$G34,IFERROR(INDEX(ProcValor,MATCH($E34,ProcNome,0)),0)))</f>
        <v>84</v>
      </c>
      <c r="N34" s="27">
        <f>IF($M34="","",IF($F34="Compareceu",$M34,0))</f>
        <v>84</v>
      </c>
      <c r="O34" s="27">
        <f>IF($M34="","",IF($F34="Faltou",$M34,0))</f>
        <v>0</v>
      </c>
      <c r="P34" s="27">
        <f>IF($M34="","",IF($F34="Compareceu",MAX(0,$M34-N($H34)),0))</f>
        <v>0</v>
      </c>
      <c r="Q34" s="19">
        <f>IF(AND($F34="Compareceu",$E34&lt;&gt;"",$A34&lt;&gt;""),IF(IFERROR(INDEX(ProcRet,MATCH($E34,ProcNome,0)),0)&gt;0,$A34+INDEX(ProcRet,MATCH($E34,ProcNome,0)),""),"")</f>
        <v>46221.0</v>
      </c>
      <c r="R34" s="26" t="str">
        <f>IF($Q34="","",IF(COUNTIFS(AgPac,$D34,AgData,"&gt;"&amp;$A34,AgStatus,"&lt;&gt;Cancelado",AgStatus,"&lt;&gt;Remarcado")&gt;0,"Sim","Não"))</f>
        <v>Sim</v>
      </c>
      <c r="S34" s="28">
        <f>IF($A34="","",IF(AND($F34="Agendado",$A34-Hoje&gt;=0,$A34-Hoje&lt;=DiasConf),"CONFIRMAR",IF(AND($A34&lt;Hoje,OR($F34="Agendado",$F34="Confirmado")),"Atualizar status",IF(AND($F34="Compareceu",$P34&gt;0.005),"Cobrar",IF($F34="Faltou","Falta: reagendar","")))))</f>
        <v>0</v>
      </c>
      <c r="T34" s="29">
        <f>IF($A34="","",DATE(YEAR($A34),MONTH($A34),1))</f>
        <v>46204.0</v>
      </c>
      <c r="U34" s="30">
        <f>IF($S34="CONFIRMAR",MAX($U$4:$U33)+1,"")</f>
        <v>0</v>
      </c>
      <c r="V34" s="30">
        <f>IF(AND($R34="Não",$Q34&lt;&gt;"",$Q34&lt;=Hoje+JanelaRet,$Q34&gt;=Hoje-60),MAX($V$4:$V33)+1,"")</f>
        <v>0</v>
      </c>
    </row>
    <row r="35" spans="1:22">
      <c r="A35" s="16">
        <v>46214</v>
      </c>
      <c r="B35" s="23">
        <v>0.6041666666666666</v>
      </c>
      <c r="C35" s="15" t="s">
        <v>54</v>
      </c>
      <c r="D35" s="15" t="s">
        <v>118</v>
      </c>
      <c r="E35" s="15" t="s">
        <v>58</v>
      </c>
      <c r="F35" s="24" t="s">
        <v>79</v>
      </c>
      <c r="G35" s="17"/>
      <c r="H35" s="17">
        <v>250</v>
      </c>
      <c r="I35" s="15" t="s">
        <v>71</v>
      </c>
      <c r="J35" s="25" t="str">
        <f>IF($D35="","",IFERROR(INDEX(PacNome,MATCH($D35,PacCod,0)),"Paciente não cadastrado"))</f>
        <v>Paciente 007</v>
      </c>
      <c r="K35" s="26" t="str">
        <f>IF($D35="","",IFERROR(INDEX(PacConv,MATCH($D35,PacCod,0))&amp;"",""))</f>
        <v>Particular</v>
      </c>
      <c r="L35" s="26" t="str">
        <f>IF($A35="","",CHOOSE(WEEKDAY($A35,2),"Seg","Ter","Qua","Qui","Sex","Sáb","Dom"))</f>
        <v>Sáb</v>
      </c>
      <c r="M35" s="27">
        <f>IF($E35="","",IF($G35&lt;&gt;"",$G35,IFERROR(INDEX(ProcValor,MATCH($E35,ProcNome,0)),0)))</f>
        <v>250</v>
      </c>
      <c r="N35" s="27">
        <f>IF($M35="","",IF($F35="Compareceu",$M35,0))</f>
        <v>250</v>
      </c>
      <c r="O35" s="27">
        <f>IF($M35="","",IF($F35="Faltou",$M35,0))</f>
        <v>0</v>
      </c>
      <c r="P35" s="27">
        <f>IF($M35="","",IF($F35="Compareceu",MAX(0,$M35-N($H35)),0))</f>
        <v>0</v>
      </c>
      <c r="Q35" s="19">
        <f>IF(AND($F35="Compareceu",$E35&lt;&gt;"",$A35&lt;&gt;""),IF(IFERROR(INDEX(ProcRet,MATCH($E35,ProcNome,0)),0)&gt;0,$A35+INDEX(ProcRet,MATCH($E35,ProcNome,0)),""),"")</f>
        <v>0</v>
      </c>
      <c r="R35" s="26">
        <f>IF($Q35="","",IF(COUNTIFS(AgPac,$D35,AgData,"&gt;"&amp;$A35,AgStatus,"&lt;&gt;Cancelado",AgStatus,"&lt;&gt;Remarcado")&gt;0,"Sim","Não"))</f>
        <v>0</v>
      </c>
      <c r="S35" s="28">
        <f>IF($A35="","",IF(AND($F35="Agendado",$A35-Hoje&gt;=0,$A35-Hoje&lt;=DiasConf),"CONFIRMAR",IF(AND($A35&lt;Hoje,OR($F35="Agendado",$F35="Confirmado")),"Atualizar status",IF(AND($F35="Compareceu",$P35&gt;0.005),"Cobrar",IF($F35="Faltou","Falta: reagendar","")))))</f>
        <v>0</v>
      </c>
      <c r="T35" s="29">
        <f>IF($A35="","",DATE(YEAR($A35),MONTH($A35),1))</f>
        <v>46204.0</v>
      </c>
      <c r="U35" s="30">
        <f>IF($S35="CONFIRMAR",MAX($U$4:$U34)+1,"")</f>
        <v>0</v>
      </c>
      <c r="V35" s="30">
        <f>IF(AND($R35="Não",$Q35&lt;&gt;"",$Q35&lt;=Hoje+JanelaRet,$Q35&gt;=Hoje-60),MAX($V$4:$V34)+1,"")</f>
        <v>0</v>
      </c>
    </row>
    <row r="36" spans="1:22">
      <c r="A36" s="16">
        <v>46216</v>
      </c>
      <c r="B36" s="23">
        <v>0.4791666666666667</v>
      </c>
      <c r="C36" s="15" t="s">
        <v>51</v>
      </c>
      <c r="D36" s="15" t="s">
        <v>169</v>
      </c>
      <c r="E36" s="15" t="s">
        <v>58</v>
      </c>
      <c r="F36" s="24" t="s">
        <v>82</v>
      </c>
      <c r="G36" s="17"/>
      <c r="H36" s="17"/>
      <c r="I36" s="15"/>
      <c r="J36" s="25" t="str">
        <f>IF($D36="","",IFERROR(INDEX(PacNome,MATCH($D36,PacCod,0)),"Paciente não cadastrado"))</f>
        <v>Paciente 024</v>
      </c>
      <c r="K36" s="26" t="str">
        <f>IF($D36="","",IFERROR(INDEX(PacConv,MATCH($D36,PacCod,0))&amp;"",""))</f>
        <v>Particular</v>
      </c>
      <c r="L36" s="26" t="str">
        <f>IF($A36="","",CHOOSE(WEEKDAY($A36,2),"Seg","Ter","Qua","Qui","Sex","Sáb","Dom"))</f>
        <v>Seg</v>
      </c>
      <c r="M36" s="27">
        <f>IF($E36="","",IF($G36&lt;&gt;"",$G36,IFERROR(INDEX(ProcValor,MATCH($E36,ProcNome,0)),0)))</f>
        <v>250</v>
      </c>
      <c r="N36" s="27">
        <f>IF($M36="","",IF($F36="Compareceu",$M36,0))</f>
        <v>0</v>
      </c>
      <c r="O36" s="27">
        <f>IF($M36="","",IF($F36="Faltou",$M36,0))</f>
        <v>0</v>
      </c>
      <c r="P36" s="27">
        <f>IF($M36="","",IF($F36="Compareceu",MAX(0,$M36-N($H36)),0))</f>
        <v>0</v>
      </c>
      <c r="Q36" s="19">
        <f>IF(AND($F36="Compareceu",$E36&lt;&gt;"",$A36&lt;&gt;""),IF(IFERROR(INDEX(ProcRet,MATCH($E36,ProcNome,0)),0)&gt;0,$A36+INDEX(ProcRet,MATCH($E36,ProcNome,0)),""),"")</f>
        <v>0</v>
      </c>
      <c r="R36" s="26">
        <f>IF($Q36="","",IF(COUNTIFS(AgPac,$D36,AgData,"&gt;"&amp;$A36,AgStatus,"&lt;&gt;Cancelado",AgStatus,"&lt;&gt;Remarcado")&gt;0,"Sim","Não"))</f>
        <v>0</v>
      </c>
      <c r="S36" s="28">
        <f>IF($A36="","",IF(AND($F36="Agendado",$A36-Hoje&gt;=0,$A36-Hoje&lt;=DiasConf),"CONFIRMAR",IF(AND($A36&lt;Hoje,OR($F36="Agendado",$F36="Confirmado")),"Atualizar status",IF(AND($F36="Compareceu",$P36&gt;0.005),"Cobrar",IF($F36="Faltou","Falta: reagendar","")))))</f>
        <v>0</v>
      </c>
      <c r="T36" s="29">
        <f>IF($A36="","",DATE(YEAR($A36),MONTH($A36),1))</f>
        <v>46204.0</v>
      </c>
      <c r="U36" s="30">
        <f>IF($S36="CONFIRMAR",MAX($U$4:$U35)+1,"")</f>
        <v>0</v>
      </c>
      <c r="V36" s="30">
        <f>IF(AND($R36="Não",$Q36&lt;&gt;"",$Q36&lt;=Hoje+JanelaRet,$Q36&gt;=Hoje-60),MAX($V$4:$V35)+1,"")</f>
        <v>0</v>
      </c>
    </row>
    <row r="37" spans="1:22">
      <c r="A37" s="16">
        <v>46216</v>
      </c>
      <c r="B37" s="23">
        <v>0.5208333333333334</v>
      </c>
      <c r="C37" s="15" t="s">
        <v>51</v>
      </c>
      <c r="D37" s="15" t="s">
        <v>214</v>
      </c>
      <c r="E37" s="15" t="s">
        <v>63</v>
      </c>
      <c r="F37" s="24" t="s">
        <v>79</v>
      </c>
      <c r="G37" s="17"/>
      <c r="H37" s="17">
        <v>140</v>
      </c>
      <c r="I37" s="15" t="s">
        <v>73</v>
      </c>
      <c r="J37" s="25" t="str">
        <f>IF($D37="","",IFERROR(INDEX(PacNome,MATCH($D37,PacCod,0)),"Paciente não cadastrado"))</f>
        <v>Paciente 039</v>
      </c>
      <c r="K37" s="26" t="str">
        <f>IF($D37="","",IFERROR(INDEX(PacConv,MATCH($D37,PacCod,0))&amp;"",""))</f>
        <v>Particular</v>
      </c>
      <c r="L37" s="26" t="str">
        <f>IF($A37="","",CHOOSE(WEEKDAY($A37,2),"Seg","Ter","Qua","Qui","Sex","Sáb","Dom"))</f>
        <v>Seg</v>
      </c>
      <c r="M37" s="27">
        <f>IF($E37="","",IF($G37&lt;&gt;"",$G37,IFERROR(INDEX(ProcValor,MATCH($E37,ProcNome,0)),0)))</f>
        <v>140</v>
      </c>
      <c r="N37" s="27">
        <f>IF($M37="","",IF($F37="Compareceu",$M37,0))</f>
        <v>140</v>
      </c>
      <c r="O37" s="27">
        <f>IF($M37="","",IF($F37="Faltou",$M37,0))</f>
        <v>0</v>
      </c>
      <c r="P37" s="27">
        <f>IF($M37="","",IF($F37="Compareceu",MAX(0,$M37-N($H37)),0))</f>
        <v>0</v>
      </c>
      <c r="Q37" s="19">
        <f>IF(AND($F37="Compareceu",$E37&lt;&gt;"",$A37&lt;&gt;""),IF(IFERROR(INDEX(ProcRet,MATCH($E37,ProcNome,0)),0)&gt;0,$A37+INDEX(ProcRet,MATCH($E37,ProcNome,0)),""),"")</f>
        <v>46223.0</v>
      </c>
      <c r="R37" s="26" t="str">
        <f>IF($Q37="","",IF(COUNTIFS(AgPac,$D37,AgData,"&gt;"&amp;$A37,AgStatus,"&lt;&gt;Cancelado",AgStatus,"&lt;&gt;Remarcado")&gt;0,"Sim","Não"))</f>
        <v>Sim</v>
      </c>
      <c r="S37" s="28">
        <f>IF($A37="","",IF(AND($F37="Agendado",$A37-Hoje&gt;=0,$A37-Hoje&lt;=DiasConf),"CONFIRMAR",IF(AND($A37&lt;Hoje,OR($F37="Agendado",$F37="Confirmado")),"Atualizar status",IF(AND($F37="Compareceu",$P37&gt;0.005),"Cobrar",IF($F37="Faltou","Falta: reagendar","")))))</f>
        <v>0</v>
      </c>
      <c r="T37" s="29">
        <f>IF($A37="","",DATE(YEAR($A37),MONTH($A37),1))</f>
        <v>46204.0</v>
      </c>
      <c r="U37" s="30">
        <f>IF($S37="CONFIRMAR",MAX($U$4:$U36)+1,"")</f>
        <v>0</v>
      </c>
      <c r="V37" s="30">
        <f>IF(AND($R37="Não",$Q37&lt;&gt;"",$Q37&lt;=Hoje+JanelaRet,$Q37&gt;=Hoje-60),MAX($V$4:$V36)+1,"")</f>
        <v>0</v>
      </c>
    </row>
    <row r="38" spans="1:22">
      <c r="A38" s="16">
        <v>46216</v>
      </c>
      <c r="B38" s="23">
        <v>0.5416666666666666</v>
      </c>
      <c r="C38" s="15" t="s">
        <v>52</v>
      </c>
      <c r="D38" s="15" t="s">
        <v>106</v>
      </c>
      <c r="E38" s="15" t="s">
        <v>64</v>
      </c>
      <c r="F38" s="24" t="s">
        <v>79</v>
      </c>
      <c r="G38" s="17"/>
      <c r="H38" s="17">
        <v>90</v>
      </c>
      <c r="I38" s="15" t="s">
        <v>73</v>
      </c>
      <c r="J38" s="25" t="str">
        <f>IF($D38="","",IFERROR(INDEX(PacNome,MATCH($D38,PacCod,0)),"Paciente não cadastrado"))</f>
        <v>Paciente 003</v>
      </c>
      <c r="K38" s="26" t="str">
        <f>IF($D38="","",IFERROR(INDEX(PacConv,MATCH($D38,PacCod,0))&amp;"",""))</f>
        <v>Particular</v>
      </c>
      <c r="L38" s="26" t="str">
        <f>IF($A38="","",CHOOSE(WEEKDAY($A38,2),"Seg","Ter","Qua","Qui","Sex","Sáb","Dom"))</f>
        <v>Seg</v>
      </c>
      <c r="M38" s="27">
        <f>IF($E38="","",IF($G38&lt;&gt;"",$G38,IFERROR(INDEX(ProcValor,MATCH($E38,ProcNome,0)),0)))</f>
        <v>90</v>
      </c>
      <c r="N38" s="27">
        <f>IF($M38="","",IF($F38="Compareceu",$M38,0))</f>
        <v>90</v>
      </c>
      <c r="O38" s="27">
        <f>IF($M38="","",IF($F38="Faltou",$M38,0))</f>
        <v>0</v>
      </c>
      <c r="P38" s="27">
        <f>IF($M38="","",IF($F38="Compareceu",MAX(0,$M38-N($H38)),0))</f>
        <v>0</v>
      </c>
      <c r="Q38" s="19">
        <f>IF(AND($F38="Compareceu",$E38&lt;&gt;"",$A38&lt;&gt;""),IF(IFERROR(INDEX(ProcRet,MATCH($E38,ProcNome,0)),0)&gt;0,$A38+INDEX(ProcRet,MATCH($E38,ProcNome,0)),""),"")</f>
        <v>0</v>
      </c>
      <c r="R38" s="26">
        <f>IF($Q38="","",IF(COUNTIFS(AgPac,$D38,AgData,"&gt;"&amp;$A38,AgStatus,"&lt;&gt;Cancelado",AgStatus,"&lt;&gt;Remarcado")&gt;0,"Sim","Não"))</f>
        <v>0</v>
      </c>
      <c r="S38" s="28">
        <f>IF($A38="","",IF(AND($F38="Agendado",$A38-Hoje&gt;=0,$A38-Hoje&lt;=DiasConf),"CONFIRMAR",IF(AND($A38&lt;Hoje,OR($F38="Agendado",$F38="Confirmado")),"Atualizar status",IF(AND($F38="Compareceu",$P38&gt;0.005),"Cobrar",IF($F38="Faltou","Falta: reagendar","")))))</f>
        <v>0</v>
      </c>
      <c r="T38" s="29">
        <f>IF($A38="","",DATE(YEAR($A38),MONTH($A38),1))</f>
        <v>46204.0</v>
      </c>
      <c r="U38" s="30">
        <f>IF($S38="CONFIRMAR",MAX($U$4:$U37)+1,"")</f>
        <v>0</v>
      </c>
      <c r="V38" s="30">
        <f>IF(AND($R38="Não",$Q38&lt;&gt;"",$Q38&lt;=Hoje+JanelaRet,$Q38&gt;=Hoje-60),MAX($V$4:$V37)+1,"")</f>
        <v>0</v>
      </c>
    </row>
    <row r="39" spans="1:22">
      <c r="A39" s="16">
        <v>46216</v>
      </c>
      <c r="B39" s="23">
        <v>0.6041666666666666</v>
      </c>
      <c r="C39" s="15" t="s">
        <v>51</v>
      </c>
      <c r="D39" s="15" t="s">
        <v>115</v>
      </c>
      <c r="E39" s="15" t="s">
        <v>63</v>
      </c>
      <c r="F39" s="24" t="s">
        <v>79</v>
      </c>
      <c r="G39" s="17">
        <v>84</v>
      </c>
      <c r="H39" s="17">
        <v>84</v>
      </c>
      <c r="I39" s="15" t="s">
        <v>75</v>
      </c>
      <c r="J39" s="25" t="str">
        <f>IF($D39="","",IFERROR(INDEX(PacNome,MATCH($D39,PacCod,0)),"Paciente não cadastrado"))</f>
        <v>Paciente 006</v>
      </c>
      <c r="K39" s="26" t="str">
        <f>IF($D39="","",IFERROR(INDEX(PacConv,MATCH($D39,PacCod,0))&amp;"",""))</f>
        <v>Convênio B</v>
      </c>
      <c r="L39" s="26" t="str">
        <f>IF($A39="","",CHOOSE(WEEKDAY($A39,2),"Seg","Ter","Qua","Qui","Sex","Sáb","Dom"))</f>
        <v>Seg</v>
      </c>
      <c r="M39" s="27">
        <f>IF($E39="","",IF($G39&lt;&gt;"",$G39,IFERROR(INDEX(ProcValor,MATCH($E39,ProcNome,0)),0)))</f>
        <v>84</v>
      </c>
      <c r="N39" s="27">
        <f>IF($M39="","",IF($F39="Compareceu",$M39,0))</f>
        <v>84</v>
      </c>
      <c r="O39" s="27">
        <f>IF($M39="","",IF($F39="Faltou",$M39,0))</f>
        <v>0</v>
      </c>
      <c r="P39" s="27">
        <f>IF($M39="","",IF($F39="Compareceu",MAX(0,$M39-N($H39)),0))</f>
        <v>0</v>
      </c>
      <c r="Q39" s="19">
        <f>IF(AND($F39="Compareceu",$E39&lt;&gt;"",$A39&lt;&gt;""),IF(IFERROR(INDEX(ProcRet,MATCH($E39,ProcNome,0)),0)&gt;0,$A39+INDEX(ProcRet,MATCH($E39,ProcNome,0)),""),"")</f>
        <v>46223.0</v>
      </c>
      <c r="R39" s="26" t="str">
        <f>IF($Q39="","",IF(COUNTIFS(AgPac,$D39,AgData,"&gt;"&amp;$A39,AgStatus,"&lt;&gt;Cancelado",AgStatus,"&lt;&gt;Remarcado")&gt;0,"Sim","Não"))</f>
        <v>Sim</v>
      </c>
      <c r="S39" s="28">
        <f>IF($A39="","",IF(AND($F39="Agendado",$A39-Hoje&gt;=0,$A39-Hoje&lt;=DiasConf),"CONFIRMAR",IF(AND($A39&lt;Hoje,OR($F39="Agendado",$F39="Confirmado")),"Atualizar status",IF(AND($F39="Compareceu",$P39&gt;0.005),"Cobrar",IF($F39="Faltou","Falta: reagendar","")))))</f>
        <v>0</v>
      </c>
      <c r="T39" s="29">
        <f>IF($A39="","",DATE(YEAR($A39),MONTH($A39),1))</f>
        <v>46204.0</v>
      </c>
      <c r="U39" s="30">
        <f>IF($S39="CONFIRMAR",MAX($U$4:$U38)+1,"")</f>
        <v>0</v>
      </c>
      <c r="V39" s="30">
        <f>IF(AND($R39="Não",$Q39&lt;&gt;"",$Q39&lt;=Hoje+JanelaRet,$Q39&gt;=Hoje-60),MAX($V$4:$V38)+1,"")</f>
        <v>0</v>
      </c>
    </row>
    <row r="40" spans="1:22">
      <c r="A40" s="16">
        <v>46216</v>
      </c>
      <c r="B40" s="23">
        <v>0.6875</v>
      </c>
      <c r="C40" s="15" t="s">
        <v>51</v>
      </c>
      <c r="D40" s="15" t="s">
        <v>187</v>
      </c>
      <c r="E40" s="15" t="s">
        <v>62</v>
      </c>
      <c r="F40" s="24" t="s">
        <v>79</v>
      </c>
      <c r="G40" s="17"/>
      <c r="H40" s="17">
        <v>350</v>
      </c>
      <c r="I40" s="15" t="s">
        <v>75</v>
      </c>
      <c r="J40" s="25" t="str">
        <f>IF($D40="","",IFERROR(INDEX(PacNome,MATCH($D40,PacCod,0)),"Paciente não cadastrado"))</f>
        <v>Paciente 030</v>
      </c>
      <c r="K40" s="26" t="str">
        <f>IF($D40="","",IFERROR(INDEX(PacConv,MATCH($D40,PacCod,0))&amp;"",""))</f>
        <v>Particular</v>
      </c>
      <c r="L40" s="26" t="str">
        <f>IF($A40="","",CHOOSE(WEEKDAY($A40,2),"Seg","Ter","Qua","Qui","Sex","Sáb","Dom"))</f>
        <v>Seg</v>
      </c>
      <c r="M40" s="27">
        <f>IF($E40="","",IF($G40&lt;&gt;"",$G40,IFERROR(INDEX(ProcValor,MATCH($E40,ProcNome,0)),0)))</f>
        <v>350</v>
      </c>
      <c r="N40" s="27">
        <f>IF($M40="","",IF($F40="Compareceu",$M40,0))</f>
        <v>350</v>
      </c>
      <c r="O40" s="27">
        <f>IF($M40="","",IF($F40="Faltou",$M40,0))</f>
        <v>0</v>
      </c>
      <c r="P40" s="27">
        <f>IF($M40="","",IF($F40="Compareceu",MAX(0,$M40-N($H40)),0))</f>
        <v>0</v>
      </c>
      <c r="Q40" s="19">
        <f>IF(AND($F40="Compareceu",$E40&lt;&gt;"",$A40&lt;&gt;""),IF(IFERROR(INDEX(ProcRet,MATCH($E40,ProcNome,0)),0)&gt;0,$A40+INDEX(ProcRet,MATCH($E40,ProcNome,0)),""),"")</f>
        <v>46231.0</v>
      </c>
      <c r="R40" s="26" t="str">
        <f>IF($Q40="","",IF(COUNTIFS(AgPac,$D40,AgData,"&gt;"&amp;$A40,AgStatus,"&lt;&gt;Cancelado",AgStatus,"&lt;&gt;Remarcado")&gt;0,"Sim","Não"))</f>
        <v>Sim</v>
      </c>
      <c r="S40" s="28">
        <f>IF($A40="","",IF(AND($F40="Agendado",$A40-Hoje&gt;=0,$A40-Hoje&lt;=DiasConf),"CONFIRMAR",IF(AND($A40&lt;Hoje,OR($F40="Agendado",$F40="Confirmado")),"Atualizar status",IF(AND($F40="Compareceu",$P40&gt;0.005),"Cobrar",IF($F40="Faltou","Falta: reagendar","")))))</f>
        <v>0</v>
      </c>
      <c r="T40" s="29">
        <f>IF($A40="","",DATE(YEAR($A40),MONTH($A40),1))</f>
        <v>46204.0</v>
      </c>
      <c r="U40" s="30">
        <f>IF($S40="CONFIRMAR",MAX($U$4:$U39)+1,"")</f>
        <v>0</v>
      </c>
      <c r="V40" s="30">
        <f>IF(AND($R40="Não",$Q40&lt;&gt;"",$Q40&lt;=Hoje+JanelaRet,$Q40&gt;=Hoje-60),MAX($V$4:$V39)+1,"")</f>
        <v>0</v>
      </c>
    </row>
    <row r="41" spans="1:22">
      <c r="A41" s="16">
        <v>46217</v>
      </c>
      <c r="B41" s="23">
        <v>0.3541666666666667</v>
      </c>
      <c r="C41" s="15" t="s">
        <v>52</v>
      </c>
      <c r="D41" s="15" t="s">
        <v>163</v>
      </c>
      <c r="E41" s="15" t="s">
        <v>64</v>
      </c>
      <c r="F41" s="24" t="s">
        <v>80</v>
      </c>
      <c r="G41" s="17"/>
      <c r="H41" s="17"/>
      <c r="I41" s="15"/>
      <c r="J41" s="25" t="str">
        <f>IF($D41="","",IFERROR(INDEX(PacNome,MATCH($D41,PacCod,0)),"Paciente não cadastrado"))</f>
        <v>Paciente 022</v>
      </c>
      <c r="K41" s="26" t="str">
        <f>IF($D41="","",IFERROR(INDEX(PacConv,MATCH($D41,PacCod,0))&amp;"",""))</f>
        <v>Convênio A</v>
      </c>
      <c r="L41" s="26" t="str">
        <f>IF($A41="","",CHOOSE(WEEKDAY($A41,2),"Seg","Ter","Qua","Qui","Sex","Sáb","Dom"))</f>
        <v>Ter</v>
      </c>
      <c r="M41" s="27">
        <f>IF($E41="","",IF($G41&lt;&gt;"",$G41,IFERROR(INDEX(ProcValor,MATCH($E41,ProcNome,0)),0)))</f>
        <v>90</v>
      </c>
      <c r="N41" s="27">
        <f>IF($M41="","",IF($F41="Compareceu",$M41,0))</f>
        <v>0</v>
      </c>
      <c r="O41" s="27">
        <f>IF($M41="","",IF($F41="Faltou",$M41,0))</f>
        <v>90</v>
      </c>
      <c r="P41" s="27">
        <f>IF($M41="","",IF($F41="Compareceu",MAX(0,$M41-N($H41)),0))</f>
        <v>0</v>
      </c>
      <c r="Q41" s="19">
        <f>IF(AND($F41="Compareceu",$E41&lt;&gt;"",$A41&lt;&gt;""),IF(IFERROR(INDEX(ProcRet,MATCH($E41,ProcNome,0)),0)&gt;0,$A41+INDEX(ProcRet,MATCH($E41,ProcNome,0)),""),"")</f>
        <v>0</v>
      </c>
      <c r="R41" s="26">
        <f>IF($Q41="","",IF(COUNTIFS(AgPac,$D41,AgData,"&gt;"&amp;$A41,AgStatus,"&lt;&gt;Cancelado",AgStatus,"&lt;&gt;Remarcado")&gt;0,"Sim","Não"))</f>
        <v>0</v>
      </c>
      <c r="S41" s="28" t="str">
        <f>IF($A41="","",IF(AND($F41="Agendado",$A41-Hoje&gt;=0,$A41-Hoje&lt;=DiasConf),"CONFIRMAR",IF(AND($A41&lt;Hoje,OR($F41="Agendado",$F41="Confirmado")),"Atualizar status",IF(AND($F41="Compareceu",$P41&gt;0.005),"Cobrar",IF($F41="Faltou","Falta: reagendar","")))))</f>
        <v>Falta: reagendar</v>
      </c>
      <c r="T41" s="29">
        <f>IF($A41="","",DATE(YEAR($A41),MONTH($A41),1))</f>
        <v>46204.0</v>
      </c>
      <c r="U41" s="30">
        <f>IF($S41="CONFIRMAR",MAX($U$4:$U40)+1,"")</f>
        <v>0</v>
      </c>
      <c r="V41" s="30">
        <f>IF(AND($R41="Não",$Q41&lt;&gt;"",$Q41&lt;=Hoje+JanelaRet,$Q41&gt;=Hoje-60),MAX($V$4:$V40)+1,"")</f>
        <v>0</v>
      </c>
    </row>
    <row r="42" spans="1:22">
      <c r="A42" s="16">
        <v>46217</v>
      </c>
      <c r="B42" s="23">
        <v>0.4166666666666667</v>
      </c>
      <c r="C42" s="15" t="s">
        <v>52</v>
      </c>
      <c r="D42" s="15" t="s">
        <v>124</v>
      </c>
      <c r="E42" s="15" t="s">
        <v>63</v>
      </c>
      <c r="F42" s="24" t="s">
        <v>79</v>
      </c>
      <c r="G42" s="17">
        <v>84</v>
      </c>
      <c r="H42" s="17">
        <v>84</v>
      </c>
      <c r="I42" s="15" t="s">
        <v>72</v>
      </c>
      <c r="J42" s="25" t="str">
        <f>IF($D42="","",IFERROR(INDEX(PacNome,MATCH($D42,PacCod,0)),"Paciente não cadastrado"))</f>
        <v>Paciente 009</v>
      </c>
      <c r="K42" s="26" t="str">
        <f>IF($D42="","",IFERROR(INDEX(PacConv,MATCH($D42,PacCod,0))&amp;"",""))</f>
        <v>Convênio A</v>
      </c>
      <c r="L42" s="26" t="str">
        <f>IF($A42="","",CHOOSE(WEEKDAY($A42,2),"Seg","Ter","Qua","Qui","Sex","Sáb","Dom"))</f>
        <v>Ter</v>
      </c>
      <c r="M42" s="27">
        <f>IF($E42="","",IF($G42&lt;&gt;"",$G42,IFERROR(INDEX(ProcValor,MATCH($E42,ProcNome,0)),0)))</f>
        <v>84</v>
      </c>
      <c r="N42" s="27">
        <f>IF($M42="","",IF($F42="Compareceu",$M42,0))</f>
        <v>84</v>
      </c>
      <c r="O42" s="27">
        <f>IF($M42="","",IF($F42="Faltou",$M42,0))</f>
        <v>0</v>
      </c>
      <c r="P42" s="27">
        <f>IF($M42="","",IF($F42="Compareceu",MAX(0,$M42-N($H42)),0))</f>
        <v>0</v>
      </c>
      <c r="Q42" s="19">
        <f>IF(AND($F42="Compareceu",$E42&lt;&gt;"",$A42&lt;&gt;""),IF(IFERROR(INDEX(ProcRet,MATCH($E42,ProcNome,0)),0)&gt;0,$A42+INDEX(ProcRet,MATCH($E42,ProcNome,0)),""),"")</f>
        <v>46224.0</v>
      </c>
      <c r="R42" s="26" t="str">
        <f>IF($Q42="","",IF(COUNTIFS(AgPac,$D42,AgData,"&gt;"&amp;$A42,AgStatus,"&lt;&gt;Cancelado",AgStatus,"&lt;&gt;Remarcado")&gt;0,"Sim","Não"))</f>
        <v>Sim</v>
      </c>
      <c r="S42" s="28">
        <f>IF($A42="","",IF(AND($F42="Agendado",$A42-Hoje&gt;=0,$A42-Hoje&lt;=DiasConf),"CONFIRMAR",IF(AND($A42&lt;Hoje,OR($F42="Agendado",$F42="Confirmado")),"Atualizar status",IF(AND($F42="Compareceu",$P42&gt;0.005),"Cobrar",IF($F42="Faltou","Falta: reagendar","")))))</f>
        <v>0</v>
      </c>
      <c r="T42" s="29">
        <f>IF($A42="","",DATE(YEAR($A42),MONTH($A42),1))</f>
        <v>46204.0</v>
      </c>
      <c r="U42" s="30">
        <f>IF($S42="CONFIRMAR",MAX($U$4:$U41)+1,"")</f>
        <v>0</v>
      </c>
      <c r="V42" s="30">
        <f>IF(AND($R42="Não",$Q42&lt;&gt;"",$Q42&lt;=Hoje+JanelaRet,$Q42&gt;=Hoje-60),MAX($V$4:$V41)+1,"")</f>
        <v>0</v>
      </c>
    </row>
    <row r="43" spans="1:22">
      <c r="A43" s="16">
        <v>46217</v>
      </c>
      <c r="B43" s="23">
        <v>0.4583333333333333</v>
      </c>
      <c r="C43" s="15" t="s">
        <v>52</v>
      </c>
      <c r="D43" s="15" t="s">
        <v>229</v>
      </c>
      <c r="E43" s="15" t="s">
        <v>62</v>
      </c>
      <c r="F43" s="24" t="s">
        <v>79</v>
      </c>
      <c r="G43" s="17"/>
      <c r="H43" s="17">
        <v>350</v>
      </c>
      <c r="I43" s="15" t="s">
        <v>75</v>
      </c>
      <c r="J43" s="25" t="str">
        <f>IF($D43="","",IFERROR(INDEX(PacNome,MATCH($D43,PacCod,0)),"Paciente não cadastrado"))</f>
        <v>Paciente 044</v>
      </c>
      <c r="K43" s="26" t="str">
        <f>IF($D43="","",IFERROR(INDEX(PacConv,MATCH($D43,PacCod,0))&amp;"",""))</f>
        <v>Particular</v>
      </c>
      <c r="L43" s="26" t="str">
        <f>IF($A43="","",CHOOSE(WEEKDAY($A43,2),"Seg","Ter","Qua","Qui","Sex","Sáb","Dom"))</f>
        <v>Ter</v>
      </c>
      <c r="M43" s="27">
        <f>IF($E43="","",IF($G43&lt;&gt;"",$G43,IFERROR(INDEX(ProcValor,MATCH($E43,ProcNome,0)),0)))</f>
        <v>350</v>
      </c>
      <c r="N43" s="27">
        <f>IF($M43="","",IF($F43="Compareceu",$M43,0))</f>
        <v>350</v>
      </c>
      <c r="O43" s="27">
        <f>IF($M43="","",IF($F43="Faltou",$M43,0))</f>
        <v>0</v>
      </c>
      <c r="P43" s="27">
        <f>IF($M43="","",IF($F43="Compareceu",MAX(0,$M43-N($H43)),0))</f>
        <v>0</v>
      </c>
      <c r="Q43" s="19">
        <f>IF(AND($F43="Compareceu",$E43&lt;&gt;"",$A43&lt;&gt;""),IF(IFERROR(INDEX(ProcRet,MATCH($E43,ProcNome,0)),0)&gt;0,$A43+INDEX(ProcRet,MATCH($E43,ProcNome,0)),""),"")</f>
        <v>46232.0</v>
      </c>
      <c r="R43" s="26" t="str">
        <f>IF($Q43="","",IF(COUNTIFS(AgPac,$D43,AgData,"&gt;"&amp;$A43,AgStatus,"&lt;&gt;Cancelado",AgStatus,"&lt;&gt;Remarcado")&gt;0,"Sim","Não"))</f>
        <v>Sim</v>
      </c>
      <c r="S43" s="28">
        <f>IF($A43="","",IF(AND($F43="Agendado",$A43-Hoje&gt;=0,$A43-Hoje&lt;=DiasConf),"CONFIRMAR",IF(AND($A43&lt;Hoje,OR($F43="Agendado",$F43="Confirmado")),"Atualizar status",IF(AND($F43="Compareceu",$P43&gt;0.005),"Cobrar",IF($F43="Faltou","Falta: reagendar","")))))</f>
        <v>0</v>
      </c>
      <c r="T43" s="29">
        <f>IF($A43="","",DATE(YEAR($A43),MONTH($A43),1))</f>
        <v>46204.0</v>
      </c>
      <c r="U43" s="30">
        <f>IF($S43="CONFIRMAR",MAX($U$4:$U42)+1,"")</f>
        <v>0</v>
      </c>
      <c r="V43" s="30">
        <f>IF(AND($R43="Não",$Q43&lt;&gt;"",$Q43&lt;=Hoje+JanelaRet,$Q43&gt;=Hoje-60),MAX($V$4:$V42)+1,"")</f>
        <v>0</v>
      </c>
    </row>
    <row r="44" spans="1:22">
      <c r="A44" s="16">
        <v>46217</v>
      </c>
      <c r="B44" s="23">
        <v>0.5625</v>
      </c>
      <c r="C44" s="15" t="s">
        <v>54</v>
      </c>
      <c r="D44" s="15" t="s">
        <v>163</v>
      </c>
      <c r="E44" s="15" t="s">
        <v>58</v>
      </c>
      <c r="F44" s="24" t="s">
        <v>79</v>
      </c>
      <c r="G44" s="17">
        <v>150</v>
      </c>
      <c r="H44" s="17">
        <v>150</v>
      </c>
      <c r="I44" s="15" t="s">
        <v>73</v>
      </c>
      <c r="J44" s="25" t="str">
        <f>IF($D44="","",IFERROR(INDEX(PacNome,MATCH($D44,PacCod,0)),"Paciente não cadastrado"))</f>
        <v>Paciente 022</v>
      </c>
      <c r="K44" s="26" t="str">
        <f>IF($D44="","",IFERROR(INDEX(PacConv,MATCH($D44,PacCod,0))&amp;"",""))</f>
        <v>Convênio A</v>
      </c>
      <c r="L44" s="26" t="str">
        <f>IF($A44="","",CHOOSE(WEEKDAY($A44,2),"Seg","Ter","Qua","Qui","Sex","Sáb","Dom"))</f>
        <v>Ter</v>
      </c>
      <c r="M44" s="27">
        <f>IF($E44="","",IF($G44&lt;&gt;"",$G44,IFERROR(INDEX(ProcValor,MATCH($E44,ProcNome,0)),0)))</f>
        <v>150</v>
      </c>
      <c r="N44" s="27">
        <f>IF($M44="","",IF($F44="Compareceu",$M44,0))</f>
        <v>150</v>
      </c>
      <c r="O44" s="27">
        <f>IF($M44="","",IF($F44="Faltou",$M44,0))</f>
        <v>0</v>
      </c>
      <c r="P44" s="27">
        <f>IF($M44="","",IF($F44="Compareceu",MAX(0,$M44-N($H44)),0))</f>
        <v>0</v>
      </c>
      <c r="Q44" s="19">
        <f>IF(AND($F44="Compareceu",$E44&lt;&gt;"",$A44&lt;&gt;""),IF(IFERROR(INDEX(ProcRet,MATCH($E44,ProcNome,0)),0)&gt;0,$A44+INDEX(ProcRet,MATCH($E44,ProcNome,0)),""),"")</f>
        <v>0</v>
      </c>
      <c r="R44" s="26">
        <f>IF($Q44="","",IF(COUNTIFS(AgPac,$D44,AgData,"&gt;"&amp;$A44,AgStatus,"&lt;&gt;Cancelado",AgStatus,"&lt;&gt;Remarcado")&gt;0,"Sim","Não"))</f>
        <v>0</v>
      </c>
      <c r="S44" s="28">
        <f>IF($A44="","",IF(AND($F44="Agendado",$A44-Hoje&gt;=0,$A44-Hoje&lt;=DiasConf),"CONFIRMAR",IF(AND($A44&lt;Hoje,OR($F44="Agendado",$F44="Confirmado")),"Atualizar status",IF(AND($F44="Compareceu",$P44&gt;0.005),"Cobrar",IF($F44="Faltou","Falta: reagendar","")))))</f>
        <v>0</v>
      </c>
      <c r="T44" s="29">
        <f>IF($A44="","",DATE(YEAR($A44),MONTH($A44),1))</f>
        <v>46204.0</v>
      </c>
      <c r="U44" s="30">
        <f>IF($S44="CONFIRMAR",MAX($U$4:$U43)+1,"")</f>
        <v>0</v>
      </c>
      <c r="V44" s="30">
        <f>IF(AND($R44="Não",$Q44&lt;&gt;"",$Q44&lt;=Hoje+JanelaRet,$Q44&gt;=Hoje-60),MAX($V$4:$V43)+1,"")</f>
        <v>0</v>
      </c>
    </row>
    <row r="45" spans="1:22">
      <c r="A45" s="16">
        <v>46218</v>
      </c>
      <c r="B45" s="23">
        <v>0.4166666666666667</v>
      </c>
      <c r="C45" s="15" t="s">
        <v>53</v>
      </c>
      <c r="D45" s="15" t="s">
        <v>163</v>
      </c>
      <c r="E45" s="15" t="s">
        <v>59</v>
      </c>
      <c r="F45" s="24" t="s">
        <v>81</v>
      </c>
      <c r="G45" s="17"/>
      <c r="H45" s="17"/>
      <c r="I45" s="15"/>
      <c r="J45" s="25" t="str">
        <f>IF($D45="","",IFERROR(INDEX(PacNome,MATCH($D45,PacCod,0)),"Paciente não cadastrado"))</f>
        <v>Paciente 022</v>
      </c>
      <c r="K45" s="26" t="str">
        <f>IF($D45="","",IFERROR(INDEX(PacConv,MATCH($D45,PacCod,0))&amp;"",""))</f>
        <v>Convênio A</v>
      </c>
      <c r="L45" s="26" t="str">
        <f>IF($A45="","",CHOOSE(WEEKDAY($A45,2),"Seg","Ter","Qua","Qui","Sex","Sáb","Dom"))</f>
        <v>Qua</v>
      </c>
      <c r="M45" s="27">
        <f>IF($E45="","",IF($G45&lt;&gt;"",$G45,IFERROR(INDEX(ProcValor,MATCH($E45,ProcNome,0)),0)))</f>
        <v>150</v>
      </c>
      <c r="N45" s="27">
        <f>IF($M45="","",IF($F45="Compareceu",$M45,0))</f>
        <v>0</v>
      </c>
      <c r="O45" s="27">
        <f>IF($M45="","",IF($F45="Faltou",$M45,0))</f>
        <v>0</v>
      </c>
      <c r="P45" s="27">
        <f>IF($M45="","",IF($F45="Compareceu",MAX(0,$M45-N($H45)),0))</f>
        <v>0</v>
      </c>
      <c r="Q45" s="19">
        <f>IF(AND($F45="Compareceu",$E45&lt;&gt;"",$A45&lt;&gt;""),IF(IFERROR(INDEX(ProcRet,MATCH($E45,ProcNome,0)),0)&gt;0,$A45+INDEX(ProcRet,MATCH($E45,ProcNome,0)),""),"")</f>
        <v>0</v>
      </c>
      <c r="R45" s="26">
        <f>IF($Q45="","",IF(COUNTIFS(AgPac,$D45,AgData,"&gt;"&amp;$A45,AgStatus,"&lt;&gt;Cancelado",AgStatus,"&lt;&gt;Remarcado")&gt;0,"Sim","Não"))</f>
        <v>0</v>
      </c>
      <c r="S45" s="28">
        <f>IF($A45="","",IF(AND($F45="Agendado",$A45-Hoje&gt;=0,$A45-Hoje&lt;=DiasConf),"CONFIRMAR",IF(AND($A45&lt;Hoje,OR($F45="Agendado",$F45="Confirmado")),"Atualizar status",IF(AND($F45="Compareceu",$P45&gt;0.005),"Cobrar",IF($F45="Faltou","Falta: reagendar","")))))</f>
        <v>0</v>
      </c>
      <c r="T45" s="29">
        <f>IF($A45="","",DATE(YEAR($A45),MONTH($A45),1))</f>
        <v>46204.0</v>
      </c>
      <c r="U45" s="30">
        <f>IF($S45="CONFIRMAR",MAX($U$4:$U44)+1,"")</f>
        <v>0</v>
      </c>
      <c r="V45" s="30">
        <f>IF(AND($R45="Não",$Q45&lt;&gt;"",$Q45&lt;=Hoje+JanelaRet,$Q45&gt;=Hoje-60),MAX($V$4:$V44)+1,"")</f>
        <v>0</v>
      </c>
    </row>
    <row r="46" spans="1:22">
      <c r="A46" s="16">
        <v>46218</v>
      </c>
      <c r="B46" s="23">
        <v>0.4791666666666667</v>
      </c>
      <c r="C46" s="15" t="s">
        <v>54</v>
      </c>
      <c r="D46" s="15" t="s">
        <v>166</v>
      </c>
      <c r="E46" s="15" t="s">
        <v>58</v>
      </c>
      <c r="F46" s="24" t="s">
        <v>79</v>
      </c>
      <c r="G46" s="17"/>
      <c r="H46" s="17">
        <v>250</v>
      </c>
      <c r="I46" s="15" t="s">
        <v>75</v>
      </c>
      <c r="J46" s="25" t="str">
        <f>IF($D46="","",IFERROR(INDEX(PacNome,MATCH($D46,PacCod,0)),"Paciente não cadastrado"))</f>
        <v>Paciente 023</v>
      </c>
      <c r="K46" s="26" t="str">
        <f>IF($D46="","",IFERROR(INDEX(PacConv,MATCH($D46,PacCod,0))&amp;"",""))</f>
        <v>Particular</v>
      </c>
      <c r="L46" s="26" t="str">
        <f>IF($A46="","",CHOOSE(WEEKDAY($A46,2),"Seg","Ter","Qua","Qui","Sex","Sáb","Dom"))</f>
        <v>Qua</v>
      </c>
      <c r="M46" s="27">
        <f>IF($E46="","",IF($G46&lt;&gt;"",$G46,IFERROR(INDEX(ProcValor,MATCH($E46,ProcNome,0)),0)))</f>
        <v>250</v>
      </c>
      <c r="N46" s="27">
        <f>IF($M46="","",IF($F46="Compareceu",$M46,0))</f>
        <v>250</v>
      </c>
      <c r="O46" s="27">
        <f>IF($M46="","",IF($F46="Faltou",$M46,0))</f>
        <v>0</v>
      </c>
      <c r="P46" s="27">
        <f>IF($M46="","",IF($F46="Compareceu",MAX(0,$M46-N($H46)),0))</f>
        <v>0</v>
      </c>
      <c r="Q46" s="19">
        <f>IF(AND($F46="Compareceu",$E46&lt;&gt;"",$A46&lt;&gt;""),IF(IFERROR(INDEX(ProcRet,MATCH($E46,ProcNome,0)),0)&gt;0,$A46+INDEX(ProcRet,MATCH($E46,ProcNome,0)),""),"")</f>
        <v>0</v>
      </c>
      <c r="R46" s="26">
        <f>IF($Q46="","",IF(COUNTIFS(AgPac,$D46,AgData,"&gt;"&amp;$A46,AgStatus,"&lt;&gt;Cancelado",AgStatus,"&lt;&gt;Remarcado")&gt;0,"Sim","Não"))</f>
        <v>0</v>
      </c>
      <c r="S46" s="28">
        <f>IF($A46="","",IF(AND($F46="Agendado",$A46-Hoje&gt;=0,$A46-Hoje&lt;=DiasConf),"CONFIRMAR",IF(AND($A46&lt;Hoje,OR($F46="Agendado",$F46="Confirmado")),"Atualizar status",IF(AND($F46="Compareceu",$P46&gt;0.005),"Cobrar",IF($F46="Faltou","Falta: reagendar","")))))</f>
        <v>0</v>
      </c>
      <c r="T46" s="29">
        <f>IF($A46="","",DATE(YEAR($A46),MONTH($A46),1))</f>
        <v>46204.0</v>
      </c>
      <c r="U46" s="30">
        <f>IF($S46="CONFIRMAR",MAX($U$4:$U45)+1,"")</f>
        <v>0</v>
      </c>
      <c r="V46" s="30">
        <f>IF(AND($R46="Não",$Q46&lt;&gt;"",$Q46&lt;=Hoje+JanelaRet,$Q46&gt;=Hoje-60),MAX($V$4:$V45)+1,"")</f>
        <v>0</v>
      </c>
    </row>
    <row r="47" spans="1:22">
      <c r="A47" s="16">
        <v>46218</v>
      </c>
      <c r="B47" s="23">
        <v>0.5</v>
      </c>
      <c r="C47" s="15" t="s">
        <v>52</v>
      </c>
      <c r="D47" s="15" t="s">
        <v>142</v>
      </c>
      <c r="E47" s="15" t="s">
        <v>63</v>
      </c>
      <c r="F47" s="24" t="s">
        <v>80</v>
      </c>
      <c r="G47" s="17"/>
      <c r="H47" s="17"/>
      <c r="I47" s="15"/>
      <c r="J47" s="25" t="str">
        <f>IF($D47="","",IFERROR(INDEX(PacNome,MATCH($D47,PacCod,0)),"Paciente não cadastrado"))</f>
        <v>Paciente 015</v>
      </c>
      <c r="K47" s="26" t="str">
        <f>IF($D47="","",IFERROR(INDEX(PacConv,MATCH($D47,PacCod,0))&amp;"",""))</f>
        <v>Convênio A</v>
      </c>
      <c r="L47" s="26" t="str">
        <f>IF($A47="","",CHOOSE(WEEKDAY($A47,2),"Seg","Ter","Qua","Qui","Sex","Sáb","Dom"))</f>
        <v>Qua</v>
      </c>
      <c r="M47" s="27">
        <f>IF($E47="","",IF($G47&lt;&gt;"",$G47,IFERROR(INDEX(ProcValor,MATCH($E47,ProcNome,0)),0)))</f>
        <v>140</v>
      </c>
      <c r="N47" s="27">
        <f>IF($M47="","",IF($F47="Compareceu",$M47,0))</f>
        <v>0</v>
      </c>
      <c r="O47" s="27">
        <f>IF($M47="","",IF($F47="Faltou",$M47,0))</f>
        <v>140</v>
      </c>
      <c r="P47" s="27">
        <f>IF($M47="","",IF($F47="Compareceu",MAX(0,$M47-N($H47)),0))</f>
        <v>0</v>
      </c>
      <c r="Q47" s="19">
        <f>IF(AND($F47="Compareceu",$E47&lt;&gt;"",$A47&lt;&gt;""),IF(IFERROR(INDEX(ProcRet,MATCH($E47,ProcNome,0)),0)&gt;0,$A47+INDEX(ProcRet,MATCH($E47,ProcNome,0)),""),"")</f>
        <v>0</v>
      </c>
      <c r="R47" s="26">
        <f>IF($Q47="","",IF(COUNTIFS(AgPac,$D47,AgData,"&gt;"&amp;$A47,AgStatus,"&lt;&gt;Cancelado",AgStatus,"&lt;&gt;Remarcado")&gt;0,"Sim","Não"))</f>
        <v>0</v>
      </c>
      <c r="S47" s="28" t="str">
        <f>IF($A47="","",IF(AND($F47="Agendado",$A47-Hoje&gt;=0,$A47-Hoje&lt;=DiasConf),"CONFIRMAR",IF(AND($A47&lt;Hoje,OR($F47="Agendado",$F47="Confirmado")),"Atualizar status",IF(AND($F47="Compareceu",$P47&gt;0.005),"Cobrar",IF($F47="Faltou","Falta: reagendar","")))))</f>
        <v>Falta: reagendar</v>
      </c>
      <c r="T47" s="29">
        <f>IF($A47="","",DATE(YEAR($A47),MONTH($A47),1))</f>
        <v>46204.0</v>
      </c>
      <c r="U47" s="30">
        <f>IF($S47="CONFIRMAR",MAX($U$4:$U46)+1,"")</f>
        <v>0</v>
      </c>
      <c r="V47" s="30">
        <f>IF(AND($R47="Não",$Q47&lt;&gt;"",$Q47&lt;=Hoje+JanelaRet,$Q47&gt;=Hoje-60),MAX($V$4:$V46)+1,"")</f>
        <v>0</v>
      </c>
    </row>
    <row r="48" spans="1:22">
      <c r="A48" s="16">
        <v>46218</v>
      </c>
      <c r="B48" s="23">
        <v>0.5833333333333334</v>
      </c>
      <c r="C48" s="15" t="s">
        <v>53</v>
      </c>
      <c r="D48" s="15" t="s">
        <v>211</v>
      </c>
      <c r="E48" s="15" t="s">
        <v>63</v>
      </c>
      <c r="F48" s="24" t="s">
        <v>79</v>
      </c>
      <c r="G48" s="17">
        <v>84</v>
      </c>
      <c r="H48" s="17">
        <v>84</v>
      </c>
      <c r="I48" s="15" t="s">
        <v>75</v>
      </c>
      <c r="J48" s="25" t="str">
        <f>IF($D48="","",IFERROR(INDEX(PacNome,MATCH($D48,PacCod,0)),"Paciente não cadastrado"))</f>
        <v>Paciente 038</v>
      </c>
      <c r="K48" s="26" t="str">
        <f>IF($D48="","",IFERROR(INDEX(PacConv,MATCH($D48,PacCod,0))&amp;"",""))</f>
        <v>Convênio A</v>
      </c>
      <c r="L48" s="26" t="str">
        <f>IF($A48="","",CHOOSE(WEEKDAY($A48,2),"Seg","Ter","Qua","Qui","Sex","Sáb","Dom"))</f>
        <v>Qua</v>
      </c>
      <c r="M48" s="27">
        <f>IF($E48="","",IF($G48&lt;&gt;"",$G48,IFERROR(INDEX(ProcValor,MATCH($E48,ProcNome,0)),0)))</f>
        <v>84</v>
      </c>
      <c r="N48" s="27">
        <f>IF($M48="","",IF($F48="Compareceu",$M48,0))</f>
        <v>84</v>
      </c>
      <c r="O48" s="27">
        <f>IF($M48="","",IF($F48="Faltou",$M48,0))</f>
        <v>0</v>
      </c>
      <c r="P48" s="27">
        <f>IF($M48="","",IF($F48="Compareceu",MAX(0,$M48-N($H48)),0))</f>
        <v>0</v>
      </c>
      <c r="Q48" s="19">
        <f>IF(AND($F48="Compareceu",$E48&lt;&gt;"",$A48&lt;&gt;""),IF(IFERROR(INDEX(ProcRet,MATCH($E48,ProcNome,0)),0)&gt;0,$A48+INDEX(ProcRet,MATCH($E48,ProcNome,0)),""),"")</f>
        <v>46225.0</v>
      </c>
      <c r="R48" s="26" t="str">
        <f>IF($Q48="","",IF(COUNTIFS(AgPac,$D48,AgData,"&gt;"&amp;$A48,AgStatus,"&lt;&gt;Cancelado",AgStatus,"&lt;&gt;Remarcado")&gt;0,"Sim","Não"))</f>
        <v>Sim</v>
      </c>
      <c r="S48" s="28">
        <f>IF($A48="","",IF(AND($F48="Agendado",$A48-Hoje&gt;=0,$A48-Hoje&lt;=DiasConf),"CONFIRMAR",IF(AND($A48&lt;Hoje,OR($F48="Agendado",$F48="Confirmado")),"Atualizar status",IF(AND($F48="Compareceu",$P48&gt;0.005),"Cobrar",IF($F48="Faltou","Falta: reagendar","")))))</f>
        <v>0</v>
      </c>
      <c r="T48" s="29">
        <f>IF($A48="","",DATE(YEAR($A48),MONTH($A48),1))</f>
        <v>46204.0</v>
      </c>
      <c r="U48" s="30">
        <f>IF($S48="CONFIRMAR",MAX($U$4:$U47)+1,"")</f>
        <v>0</v>
      </c>
      <c r="V48" s="30">
        <f>IF(AND($R48="Não",$Q48&lt;&gt;"",$Q48&lt;=Hoje+JanelaRet,$Q48&gt;=Hoje-60),MAX($V$4:$V47)+1,"")</f>
        <v>0</v>
      </c>
    </row>
    <row r="49" spans="1:22">
      <c r="A49" s="16">
        <v>46219</v>
      </c>
      <c r="B49" s="23">
        <v>0.3958333333333333</v>
      </c>
      <c r="C49" s="15" t="s">
        <v>52</v>
      </c>
      <c r="D49" s="15" t="s">
        <v>178</v>
      </c>
      <c r="E49" s="15" t="s">
        <v>63</v>
      </c>
      <c r="F49" s="24" t="s">
        <v>79</v>
      </c>
      <c r="G49" s="17"/>
      <c r="H49" s="17">
        <v>140</v>
      </c>
      <c r="I49" s="15" t="s">
        <v>75</v>
      </c>
      <c r="J49" s="25" t="str">
        <f>IF($D49="","",IFERROR(INDEX(PacNome,MATCH($D49,PacCod,0)),"Paciente não cadastrado"))</f>
        <v>Paciente 027</v>
      </c>
      <c r="K49" s="26" t="str">
        <f>IF($D49="","",IFERROR(INDEX(PacConv,MATCH($D49,PacCod,0))&amp;"",""))</f>
        <v>Particular</v>
      </c>
      <c r="L49" s="26" t="str">
        <f>IF($A49="","",CHOOSE(WEEKDAY($A49,2),"Seg","Ter","Qua","Qui","Sex","Sáb","Dom"))</f>
        <v>Qui</v>
      </c>
      <c r="M49" s="27">
        <f>IF($E49="","",IF($G49&lt;&gt;"",$G49,IFERROR(INDEX(ProcValor,MATCH($E49,ProcNome,0)),0)))</f>
        <v>140</v>
      </c>
      <c r="N49" s="27">
        <f>IF($M49="","",IF($F49="Compareceu",$M49,0))</f>
        <v>140</v>
      </c>
      <c r="O49" s="27">
        <f>IF($M49="","",IF($F49="Faltou",$M49,0))</f>
        <v>0</v>
      </c>
      <c r="P49" s="27">
        <f>IF($M49="","",IF($F49="Compareceu",MAX(0,$M49-N($H49)),0))</f>
        <v>0</v>
      </c>
      <c r="Q49" s="19">
        <f>IF(AND($F49="Compareceu",$E49&lt;&gt;"",$A49&lt;&gt;""),IF(IFERROR(INDEX(ProcRet,MATCH($E49,ProcNome,0)),0)&gt;0,$A49+INDEX(ProcRet,MATCH($E49,ProcNome,0)),""),"")</f>
        <v>46226.0</v>
      </c>
      <c r="R49" s="26" t="str">
        <f>IF($Q49="","",IF(COUNTIFS(AgPac,$D49,AgData,"&gt;"&amp;$A49,AgStatus,"&lt;&gt;Cancelado",AgStatus,"&lt;&gt;Remarcado")&gt;0,"Sim","Não"))</f>
        <v>Sim</v>
      </c>
      <c r="S49" s="28">
        <f>IF($A49="","",IF(AND($F49="Agendado",$A49-Hoje&gt;=0,$A49-Hoje&lt;=DiasConf),"CONFIRMAR",IF(AND($A49&lt;Hoje,OR($F49="Agendado",$F49="Confirmado")),"Atualizar status",IF(AND($F49="Compareceu",$P49&gt;0.005),"Cobrar",IF($F49="Faltou","Falta: reagendar","")))))</f>
        <v>0</v>
      </c>
      <c r="T49" s="29">
        <f>IF($A49="","",DATE(YEAR($A49),MONTH($A49),1))</f>
        <v>46204.0</v>
      </c>
      <c r="U49" s="30">
        <f>IF($S49="CONFIRMAR",MAX($U$4:$U48)+1,"")</f>
        <v>0</v>
      </c>
      <c r="V49" s="30">
        <f>IF(AND($R49="Não",$Q49&lt;&gt;"",$Q49&lt;=Hoje+JanelaRet,$Q49&gt;=Hoje-60),MAX($V$4:$V48)+1,"")</f>
        <v>0</v>
      </c>
    </row>
    <row r="50" spans="1:22">
      <c r="A50" s="16">
        <v>46219</v>
      </c>
      <c r="B50" s="23">
        <v>0.4166666666666667</v>
      </c>
      <c r="C50" s="15" t="s">
        <v>53</v>
      </c>
      <c r="D50" s="15" t="s">
        <v>124</v>
      </c>
      <c r="E50" s="15" t="s">
        <v>65</v>
      </c>
      <c r="F50" s="24" t="s">
        <v>80</v>
      </c>
      <c r="G50" s="17"/>
      <c r="H50" s="17"/>
      <c r="I50" s="15"/>
      <c r="J50" s="25" t="str">
        <f>IF($D50="","",IFERROR(INDEX(PacNome,MATCH($D50,PacCod,0)),"Paciente não cadastrado"))</f>
        <v>Paciente 009</v>
      </c>
      <c r="K50" s="26" t="str">
        <f>IF($D50="","",IFERROR(INDEX(PacConv,MATCH($D50,PacCod,0))&amp;"",""))</f>
        <v>Convênio A</v>
      </c>
      <c r="L50" s="26" t="str">
        <f>IF($A50="","",CHOOSE(WEEKDAY($A50,2),"Seg","Ter","Qua","Qui","Sex","Sáb","Dom"))</f>
        <v>Qui</v>
      </c>
      <c r="M50" s="27">
        <f>IF($E50="","",IF($G50&lt;&gt;"",$G50,IFERROR(INDEX(ProcValor,MATCH($E50,ProcNome,0)),0)))</f>
        <v>130</v>
      </c>
      <c r="N50" s="27">
        <f>IF($M50="","",IF($F50="Compareceu",$M50,0))</f>
        <v>0</v>
      </c>
      <c r="O50" s="27">
        <f>IF($M50="","",IF($F50="Faltou",$M50,0))</f>
        <v>130</v>
      </c>
      <c r="P50" s="27">
        <f>IF($M50="","",IF($F50="Compareceu",MAX(0,$M50-N($H50)),0))</f>
        <v>0</v>
      </c>
      <c r="Q50" s="19">
        <f>IF(AND($F50="Compareceu",$E50&lt;&gt;"",$A50&lt;&gt;""),IF(IFERROR(INDEX(ProcRet,MATCH($E50,ProcNome,0)),0)&gt;0,$A50+INDEX(ProcRet,MATCH($E50,ProcNome,0)),""),"")</f>
        <v>0</v>
      </c>
      <c r="R50" s="26">
        <f>IF($Q50="","",IF(COUNTIFS(AgPac,$D50,AgData,"&gt;"&amp;$A50,AgStatus,"&lt;&gt;Cancelado",AgStatus,"&lt;&gt;Remarcado")&gt;0,"Sim","Não"))</f>
        <v>0</v>
      </c>
      <c r="S50" s="28" t="str">
        <f>IF($A50="","",IF(AND($F50="Agendado",$A50-Hoje&gt;=0,$A50-Hoje&lt;=DiasConf),"CONFIRMAR",IF(AND($A50&lt;Hoje,OR($F50="Agendado",$F50="Confirmado")),"Atualizar status",IF(AND($F50="Compareceu",$P50&gt;0.005),"Cobrar",IF($F50="Faltou","Falta: reagendar","")))))</f>
        <v>Falta: reagendar</v>
      </c>
      <c r="T50" s="29">
        <f>IF($A50="","",DATE(YEAR($A50),MONTH($A50),1))</f>
        <v>46204.0</v>
      </c>
      <c r="U50" s="30">
        <f>IF($S50="CONFIRMAR",MAX($U$4:$U49)+1,"")</f>
        <v>0</v>
      </c>
      <c r="V50" s="30">
        <f>IF(AND($R50="Não",$Q50&lt;&gt;"",$Q50&lt;=Hoje+JanelaRet,$Q50&gt;=Hoje-60),MAX($V$4:$V49)+1,"")</f>
        <v>0</v>
      </c>
    </row>
    <row r="51" spans="1:22">
      <c r="A51" s="16">
        <v>46219</v>
      </c>
      <c r="B51" s="23">
        <v>0.625</v>
      </c>
      <c r="C51" s="15" t="s">
        <v>54</v>
      </c>
      <c r="D51" s="15" t="s">
        <v>163</v>
      </c>
      <c r="E51" s="15" t="s">
        <v>61</v>
      </c>
      <c r="F51" s="24" t="s">
        <v>79</v>
      </c>
      <c r="G51" s="17">
        <v>72</v>
      </c>
      <c r="H51" s="17">
        <v>72</v>
      </c>
      <c r="I51" s="15" t="s">
        <v>72</v>
      </c>
      <c r="J51" s="25" t="str">
        <f>IF($D51="","",IFERROR(INDEX(PacNome,MATCH($D51,PacCod,0)),"Paciente não cadastrado"))</f>
        <v>Paciente 022</v>
      </c>
      <c r="K51" s="26" t="str">
        <f>IF($D51="","",IFERROR(INDEX(PacConv,MATCH($D51,PacCod,0))&amp;"",""))</f>
        <v>Convênio A</v>
      </c>
      <c r="L51" s="26" t="str">
        <f>IF($A51="","",CHOOSE(WEEKDAY($A51,2),"Seg","Ter","Qua","Qui","Sex","Sáb","Dom"))</f>
        <v>Qui</v>
      </c>
      <c r="M51" s="27">
        <f>IF($E51="","",IF($G51&lt;&gt;"",$G51,IFERROR(INDEX(ProcValor,MATCH($E51,ProcNome,0)),0)))</f>
        <v>72</v>
      </c>
      <c r="N51" s="27">
        <f>IF($M51="","",IF($F51="Compareceu",$M51,0))</f>
        <v>72</v>
      </c>
      <c r="O51" s="27">
        <f>IF($M51="","",IF($F51="Faltou",$M51,0))</f>
        <v>0</v>
      </c>
      <c r="P51" s="27">
        <f>IF($M51="","",IF($F51="Compareceu",MAX(0,$M51-N($H51)),0))</f>
        <v>0</v>
      </c>
      <c r="Q51" s="19">
        <f>IF(AND($F51="Compareceu",$E51&lt;&gt;"",$A51&lt;&gt;""),IF(IFERROR(INDEX(ProcRet,MATCH($E51,ProcNome,0)),0)&gt;0,$A51+INDEX(ProcRet,MATCH($E51,ProcNome,0)),""),"")</f>
        <v>46249.0</v>
      </c>
      <c r="R51" s="26" t="str">
        <f>IF($Q51="","",IF(COUNTIFS(AgPac,$D51,AgData,"&gt;"&amp;$A51,AgStatus,"&lt;&gt;Cancelado",AgStatus,"&lt;&gt;Remarcado")&gt;0,"Sim","Não"))</f>
        <v>Sim</v>
      </c>
      <c r="S51" s="28">
        <f>IF($A51="","",IF(AND($F51="Agendado",$A51-Hoje&gt;=0,$A51-Hoje&lt;=DiasConf),"CONFIRMAR",IF(AND($A51&lt;Hoje,OR($F51="Agendado",$F51="Confirmado")),"Atualizar status",IF(AND($F51="Compareceu",$P51&gt;0.005),"Cobrar",IF($F51="Faltou","Falta: reagendar","")))))</f>
        <v>0</v>
      </c>
      <c r="T51" s="29">
        <f>IF($A51="","",DATE(YEAR($A51),MONTH($A51),1))</f>
        <v>46204.0</v>
      </c>
      <c r="U51" s="30">
        <f>IF($S51="CONFIRMAR",MAX($U$4:$U50)+1,"")</f>
        <v>0</v>
      </c>
      <c r="V51" s="30">
        <f>IF(AND($R51="Não",$Q51&lt;&gt;"",$Q51&lt;=Hoje+JanelaRet,$Q51&gt;=Hoje-60),MAX($V$4:$V50)+1,"")</f>
        <v>0</v>
      </c>
    </row>
    <row r="52" spans="1:22">
      <c r="A52" s="16">
        <v>46220</v>
      </c>
      <c r="B52" s="23">
        <v>0.3958333333333333</v>
      </c>
      <c r="C52" s="15" t="s">
        <v>54</v>
      </c>
      <c r="D52" s="15" t="s">
        <v>208</v>
      </c>
      <c r="E52" s="15" t="s">
        <v>63</v>
      </c>
      <c r="F52" s="24" t="s">
        <v>82</v>
      </c>
      <c r="G52" s="17"/>
      <c r="H52" s="17"/>
      <c r="I52" s="15"/>
      <c r="J52" s="25" t="str">
        <f>IF($D52="","",IFERROR(INDEX(PacNome,MATCH($D52,PacCod,0)),"Paciente não cadastrado"))</f>
        <v>Paciente 037</v>
      </c>
      <c r="K52" s="26" t="str">
        <f>IF($D52="","",IFERROR(INDEX(PacConv,MATCH($D52,PacCod,0))&amp;"",""))</f>
        <v>Convênio B</v>
      </c>
      <c r="L52" s="26" t="str">
        <f>IF($A52="","",CHOOSE(WEEKDAY($A52,2),"Seg","Ter","Qua","Qui","Sex","Sáb","Dom"))</f>
        <v>Sex</v>
      </c>
      <c r="M52" s="27">
        <f>IF($E52="","",IF($G52&lt;&gt;"",$G52,IFERROR(INDEX(ProcValor,MATCH($E52,ProcNome,0)),0)))</f>
        <v>140</v>
      </c>
      <c r="N52" s="27">
        <f>IF($M52="","",IF($F52="Compareceu",$M52,0))</f>
        <v>0</v>
      </c>
      <c r="O52" s="27">
        <f>IF($M52="","",IF($F52="Faltou",$M52,0))</f>
        <v>0</v>
      </c>
      <c r="P52" s="27">
        <f>IF($M52="","",IF($F52="Compareceu",MAX(0,$M52-N($H52)),0))</f>
        <v>0</v>
      </c>
      <c r="Q52" s="19">
        <f>IF(AND($F52="Compareceu",$E52&lt;&gt;"",$A52&lt;&gt;""),IF(IFERROR(INDEX(ProcRet,MATCH($E52,ProcNome,0)),0)&gt;0,$A52+INDEX(ProcRet,MATCH($E52,ProcNome,0)),""),"")</f>
        <v>0</v>
      </c>
      <c r="R52" s="26">
        <f>IF($Q52="","",IF(COUNTIFS(AgPac,$D52,AgData,"&gt;"&amp;$A52,AgStatus,"&lt;&gt;Cancelado",AgStatus,"&lt;&gt;Remarcado")&gt;0,"Sim","Não"))</f>
        <v>0</v>
      </c>
      <c r="S52" s="28">
        <f>IF($A52="","",IF(AND($F52="Agendado",$A52-Hoje&gt;=0,$A52-Hoje&lt;=DiasConf),"CONFIRMAR",IF(AND($A52&lt;Hoje,OR($F52="Agendado",$F52="Confirmado")),"Atualizar status",IF(AND($F52="Compareceu",$P52&gt;0.005),"Cobrar",IF($F52="Faltou","Falta: reagendar","")))))</f>
        <v>0</v>
      </c>
      <c r="T52" s="29">
        <f>IF($A52="","",DATE(YEAR($A52),MONTH($A52),1))</f>
        <v>46204.0</v>
      </c>
      <c r="U52" s="30">
        <f>IF($S52="CONFIRMAR",MAX($U$4:$U51)+1,"")</f>
        <v>0</v>
      </c>
      <c r="V52" s="30">
        <f>IF(AND($R52="Não",$Q52&lt;&gt;"",$Q52&lt;=Hoje+JanelaRet,$Q52&gt;=Hoje-60),MAX($V$4:$V51)+1,"")</f>
        <v>0</v>
      </c>
    </row>
    <row r="53" spans="1:22">
      <c r="A53" s="16">
        <v>46220</v>
      </c>
      <c r="B53" s="23">
        <v>0.6458333333333334</v>
      </c>
      <c r="C53" s="15" t="s">
        <v>53</v>
      </c>
      <c r="D53" s="15" t="s">
        <v>169</v>
      </c>
      <c r="E53" s="15" t="s">
        <v>59</v>
      </c>
      <c r="F53" s="24" t="s">
        <v>79</v>
      </c>
      <c r="G53" s="17"/>
      <c r="H53" s="17">
        <v>75</v>
      </c>
      <c r="I53" s="15" t="s">
        <v>73</v>
      </c>
      <c r="J53" s="25" t="str">
        <f>IF($D53="","",IFERROR(INDEX(PacNome,MATCH($D53,PacCod,0)),"Paciente não cadastrado"))</f>
        <v>Paciente 024</v>
      </c>
      <c r="K53" s="26" t="str">
        <f>IF($D53="","",IFERROR(INDEX(PacConv,MATCH($D53,PacCod,0))&amp;"",""))</f>
        <v>Particular</v>
      </c>
      <c r="L53" s="26" t="str">
        <f>IF($A53="","",CHOOSE(WEEKDAY($A53,2),"Seg","Ter","Qua","Qui","Sex","Sáb","Dom"))</f>
        <v>Sex</v>
      </c>
      <c r="M53" s="27">
        <f>IF($E53="","",IF($G53&lt;&gt;"",$G53,IFERROR(INDEX(ProcValor,MATCH($E53,ProcNome,0)),0)))</f>
        <v>150</v>
      </c>
      <c r="N53" s="27">
        <f>IF($M53="","",IF($F53="Compareceu",$M53,0))</f>
        <v>150</v>
      </c>
      <c r="O53" s="27">
        <f>IF($M53="","",IF($F53="Faltou",$M53,0))</f>
        <v>0</v>
      </c>
      <c r="P53" s="27">
        <f>IF($M53="","",IF($F53="Compareceu",MAX(0,$M53-N($H53)),0))</f>
        <v>75</v>
      </c>
      <c r="Q53" s="19">
        <f>IF(AND($F53="Compareceu",$E53&lt;&gt;"",$A53&lt;&gt;""),IF(IFERROR(INDEX(ProcRet,MATCH($E53,ProcNome,0)),0)&gt;0,$A53+INDEX(ProcRet,MATCH($E53,ProcNome,0)),""),"")</f>
        <v>0</v>
      </c>
      <c r="R53" s="26">
        <f>IF($Q53="","",IF(COUNTIFS(AgPac,$D53,AgData,"&gt;"&amp;$A53,AgStatus,"&lt;&gt;Cancelado",AgStatus,"&lt;&gt;Remarcado")&gt;0,"Sim","Não"))</f>
        <v>0</v>
      </c>
      <c r="S53" s="28" t="str">
        <f>IF($A53="","",IF(AND($F53="Agendado",$A53-Hoje&gt;=0,$A53-Hoje&lt;=DiasConf),"CONFIRMAR",IF(AND($A53&lt;Hoje,OR($F53="Agendado",$F53="Confirmado")),"Atualizar status",IF(AND($F53="Compareceu",$P53&gt;0.005),"Cobrar",IF($F53="Faltou","Falta: reagendar","")))))</f>
        <v>Cobrar</v>
      </c>
      <c r="T53" s="29">
        <f>IF($A53="","",DATE(YEAR($A53),MONTH($A53),1))</f>
        <v>46204.0</v>
      </c>
      <c r="U53" s="30">
        <f>IF($S53="CONFIRMAR",MAX($U$4:$U52)+1,"")</f>
        <v>0</v>
      </c>
      <c r="V53" s="30">
        <f>IF(AND($R53="Não",$Q53&lt;&gt;"",$Q53&lt;=Hoje+JanelaRet,$Q53&gt;=Hoje-60),MAX($V$4:$V52)+1,"")</f>
        <v>0</v>
      </c>
    </row>
    <row r="54" spans="1:22">
      <c r="A54" s="16">
        <v>46220</v>
      </c>
      <c r="B54" s="23">
        <v>0.6875</v>
      </c>
      <c r="C54" s="15" t="s">
        <v>53</v>
      </c>
      <c r="D54" s="15" t="s">
        <v>178</v>
      </c>
      <c r="E54" s="15" t="s">
        <v>61</v>
      </c>
      <c r="F54" s="24" t="s">
        <v>79</v>
      </c>
      <c r="G54" s="17"/>
      <c r="H54" s="17">
        <v>120</v>
      </c>
      <c r="I54" s="15" t="s">
        <v>74</v>
      </c>
      <c r="J54" s="25" t="str">
        <f>IF($D54="","",IFERROR(INDEX(PacNome,MATCH($D54,PacCod,0)),"Paciente não cadastrado"))</f>
        <v>Paciente 027</v>
      </c>
      <c r="K54" s="26" t="str">
        <f>IF($D54="","",IFERROR(INDEX(PacConv,MATCH($D54,PacCod,0))&amp;"",""))</f>
        <v>Particular</v>
      </c>
      <c r="L54" s="26" t="str">
        <f>IF($A54="","",CHOOSE(WEEKDAY($A54,2),"Seg","Ter","Qua","Qui","Sex","Sáb","Dom"))</f>
        <v>Sex</v>
      </c>
      <c r="M54" s="27">
        <f>IF($E54="","",IF($G54&lt;&gt;"",$G54,IFERROR(INDEX(ProcValor,MATCH($E54,ProcNome,0)),0)))</f>
        <v>120</v>
      </c>
      <c r="N54" s="27">
        <f>IF($M54="","",IF($F54="Compareceu",$M54,0))</f>
        <v>120</v>
      </c>
      <c r="O54" s="27">
        <f>IF($M54="","",IF($F54="Faltou",$M54,0))</f>
        <v>0</v>
      </c>
      <c r="P54" s="27">
        <f>IF($M54="","",IF($F54="Compareceu",MAX(0,$M54-N($H54)),0))</f>
        <v>0</v>
      </c>
      <c r="Q54" s="19">
        <f>IF(AND($F54="Compareceu",$E54&lt;&gt;"",$A54&lt;&gt;""),IF(IFERROR(INDEX(ProcRet,MATCH($E54,ProcNome,0)),0)&gt;0,$A54+INDEX(ProcRet,MATCH($E54,ProcNome,0)),""),"")</f>
        <v>46250.0</v>
      </c>
      <c r="R54" s="26" t="str">
        <f>IF($Q54="","",IF(COUNTIFS(AgPac,$D54,AgData,"&gt;"&amp;$A54,AgStatus,"&lt;&gt;Cancelado",AgStatus,"&lt;&gt;Remarcado")&gt;0,"Sim","Não"))</f>
        <v>Sim</v>
      </c>
      <c r="S54" s="28">
        <f>IF($A54="","",IF(AND($F54="Agendado",$A54-Hoje&gt;=0,$A54-Hoje&lt;=DiasConf),"CONFIRMAR",IF(AND($A54&lt;Hoje,OR($F54="Agendado",$F54="Confirmado")),"Atualizar status",IF(AND($F54="Compareceu",$P54&gt;0.005),"Cobrar",IF($F54="Faltou","Falta: reagendar","")))))</f>
        <v>0</v>
      </c>
      <c r="T54" s="29">
        <f>IF($A54="","",DATE(YEAR($A54),MONTH($A54),1))</f>
        <v>46204.0</v>
      </c>
      <c r="U54" s="30">
        <f>IF($S54="CONFIRMAR",MAX($U$4:$U53)+1,"")</f>
        <v>0</v>
      </c>
      <c r="V54" s="30">
        <f>IF(AND($R54="Não",$Q54&lt;&gt;"",$Q54&lt;=Hoje+JanelaRet,$Q54&gt;=Hoje-60),MAX($V$4:$V53)+1,"")</f>
        <v>0</v>
      </c>
    </row>
    <row r="55" spans="1:22">
      <c r="A55" s="16">
        <v>46221</v>
      </c>
      <c r="B55" s="23">
        <v>0.5416666666666666</v>
      </c>
      <c r="C55" s="15" t="s">
        <v>54</v>
      </c>
      <c r="D55" s="15" t="s">
        <v>202</v>
      </c>
      <c r="E55" s="15" t="s">
        <v>63</v>
      </c>
      <c r="F55" s="24" t="s">
        <v>80</v>
      </c>
      <c r="G55" s="17"/>
      <c r="H55" s="17"/>
      <c r="I55" s="15"/>
      <c r="J55" s="25" t="str">
        <f>IF($D55="","",IFERROR(INDEX(PacNome,MATCH($D55,PacCod,0)),"Paciente não cadastrado"))</f>
        <v>Paciente 035</v>
      </c>
      <c r="K55" s="26" t="str">
        <f>IF($D55="","",IFERROR(INDEX(PacConv,MATCH($D55,PacCod,0))&amp;"",""))</f>
        <v>Particular</v>
      </c>
      <c r="L55" s="26" t="str">
        <f>IF($A55="","",CHOOSE(WEEKDAY($A55,2),"Seg","Ter","Qua","Qui","Sex","Sáb","Dom"))</f>
        <v>Sáb</v>
      </c>
      <c r="M55" s="27">
        <f>IF($E55="","",IF($G55&lt;&gt;"",$G55,IFERROR(INDEX(ProcValor,MATCH($E55,ProcNome,0)),0)))</f>
        <v>140</v>
      </c>
      <c r="N55" s="27">
        <f>IF($M55="","",IF($F55="Compareceu",$M55,0))</f>
        <v>0</v>
      </c>
      <c r="O55" s="27">
        <f>IF($M55="","",IF($F55="Faltou",$M55,0))</f>
        <v>140</v>
      </c>
      <c r="P55" s="27">
        <f>IF($M55="","",IF($F55="Compareceu",MAX(0,$M55-N($H55)),0))</f>
        <v>0</v>
      </c>
      <c r="Q55" s="19">
        <f>IF(AND($F55="Compareceu",$E55&lt;&gt;"",$A55&lt;&gt;""),IF(IFERROR(INDEX(ProcRet,MATCH($E55,ProcNome,0)),0)&gt;0,$A55+INDEX(ProcRet,MATCH($E55,ProcNome,0)),""),"")</f>
        <v>0</v>
      </c>
      <c r="R55" s="26">
        <f>IF($Q55="","",IF(COUNTIFS(AgPac,$D55,AgData,"&gt;"&amp;$A55,AgStatus,"&lt;&gt;Cancelado",AgStatus,"&lt;&gt;Remarcado")&gt;0,"Sim","Não"))</f>
        <v>0</v>
      </c>
      <c r="S55" s="28" t="str">
        <f>IF($A55="","",IF(AND($F55="Agendado",$A55-Hoje&gt;=0,$A55-Hoje&lt;=DiasConf),"CONFIRMAR",IF(AND($A55&lt;Hoje,OR($F55="Agendado",$F55="Confirmado")),"Atualizar status",IF(AND($F55="Compareceu",$P55&gt;0.005),"Cobrar",IF($F55="Faltou","Falta: reagendar","")))))</f>
        <v>Falta: reagendar</v>
      </c>
      <c r="T55" s="29">
        <f>IF($A55="","",DATE(YEAR($A55),MONTH($A55),1))</f>
        <v>46204.0</v>
      </c>
      <c r="U55" s="30">
        <f>IF($S55="CONFIRMAR",MAX($U$4:$U54)+1,"")</f>
        <v>0</v>
      </c>
      <c r="V55" s="30">
        <f>IF(AND($R55="Não",$Q55&lt;&gt;"",$Q55&lt;=Hoje+JanelaRet,$Q55&gt;=Hoje-60),MAX($V$4:$V54)+1,"")</f>
        <v>0</v>
      </c>
    </row>
    <row r="56" spans="1:22">
      <c r="A56" s="16">
        <v>46221</v>
      </c>
      <c r="B56" s="23">
        <v>0.6875</v>
      </c>
      <c r="C56" s="15" t="s">
        <v>54</v>
      </c>
      <c r="D56" s="15" t="s">
        <v>163</v>
      </c>
      <c r="E56" s="15" t="s">
        <v>63</v>
      </c>
      <c r="F56" s="24" t="s">
        <v>80</v>
      </c>
      <c r="G56" s="17"/>
      <c r="H56" s="17"/>
      <c r="I56" s="15"/>
      <c r="J56" s="25" t="str">
        <f>IF($D56="","",IFERROR(INDEX(PacNome,MATCH($D56,PacCod,0)),"Paciente não cadastrado"))</f>
        <v>Paciente 022</v>
      </c>
      <c r="K56" s="26" t="str">
        <f>IF($D56="","",IFERROR(INDEX(PacConv,MATCH($D56,PacCod,0))&amp;"",""))</f>
        <v>Convênio A</v>
      </c>
      <c r="L56" s="26" t="str">
        <f>IF($A56="","",CHOOSE(WEEKDAY($A56,2),"Seg","Ter","Qua","Qui","Sex","Sáb","Dom"))</f>
        <v>Sáb</v>
      </c>
      <c r="M56" s="27">
        <f>IF($E56="","",IF($G56&lt;&gt;"",$G56,IFERROR(INDEX(ProcValor,MATCH($E56,ProcNome,0)),0)))</f>
        <v>140</v>
      </c>
      <c r="N56" s="27">
        <f>IF($M56="","",IF($F56="Compareceu",$M56,0))</f>
        <v>0</v>
      </c>
      <c r="O56" s="27">
        <f>IF($M56="","",IF($F56="Faltou",$M56,0))</f>
        <v>140</v>
      </c>
      <c r="P56" s="27">
        <f>IF($M56="","",IF($F56="Compareceu",MAX(0,$M56-N($H56)),0))</f>
        <v>0</v>
      </c>
      <c r="Q56" s="19">
        <f>IF(AND($F56="Compareceu",$E56&lt;&gt;"",$A56&lt;&gt;""),IF(IFERROR(INDEX(ProcRet,MATCH($E56,ProcNome,0)),0)&gt;0,$A56+INDEX(ProcRet,MATCH($E56,ProcNome,0)),""),"")</f>
        <v>0</v>
      </c>
      <c r="R56" s="26">
        <f>IF($Q56="","",IF(COUNTIFS(AgPac,$D56,AgData,"&gt;"&amp;$A56,AgStatus,"&lt;&gt;Cancelado",AgStatus,"&lt;&gt;Remarcado")&gt;0,"Sim","Não"))</f>
        <v>0</v>
      </c>
      <c r="S56" s="28" t="str">
        <f>IF($A56="","",IF(AND($F56="Agendado",$A56-Hoje&gt;=0,$A56-Hoje&lt;=DiasConf),"CONFIRMAR",IF(AND($A56&lt;Hoje,OR($F56="Agendado",$F56="Confirmado")),"Atualizar status",IF(AND($F56="Compareceu",$P56&gt;0.005),"Cobrar",IF($F56="Faltou","Falta: reagendar","")))))</f>
        <v>Falta: reagendar</v>
      </c>
      <c r="T56" s="29">
        <f>IF($A56="","",DATE(YEAR($A56),MONTH($A56),1))</f>
        <v>46204.0</v>
      </c>
      <c r="U56" s="30">
        <f>IF($S56="CONFIRMAR",MAX($U$4:$U55)+1,"")</f>
        <v>0</v>
      </c>
      <c r="V56" s="30">
        <f>IF(AND($R56="Não",$Q56&lt;&gt;"",$Q56&lt;=Hoje+JanelaRet,$Q56&gt;=Hoje-60),MAX($V$4:$V55)+1,"")</f>
        <v>0</v>
      </c>
    </row>
    <row r="57" spans="1:22">
      <c r="A57" s="16">
        <v>46223</v>
      </c>
      <c r="B57" s="23">
        <v>0.375</v>
      </c>
      <c r="C57" s="15" t="s">
        <v>53</v>
      </c>
      <c r="D57" s="15" t="s">
        <v>181</v>
      </c>
      <c r="E57" s="15" t="s">
        <v>61</v>
      </c>
      <c r="F57" s="24" t="s">
        <v>79</v>
      </c>
      <c r="G57" s="17">
        <v>72</v>
      </c>
      <c r="H57" s="17"/>
      <c r="I57" s="15"/>
      <c r="J57" s="25" t="str">
        <f>IF($D57="","",IFERROR(INDEX(PacNome,MATCH($D57,PacCod,0)),"Paciente não cadastrado"))</f>
        <v>Paciente 028</v>
      </c>
      <c r="K57" s="26" t="str">
        <f>IF($D57="","",IFERROR(INDEX(PacConv,MATCH($D57,PacCod,0))&amp;"",""))</f>
        <v>Convênio B</v>
      </c>
      <c r="L57" s="26" t="str">
        <f>IF($A57="","",CHOOSE(WEEKDAY($A57,2),"Seg","Ter","Qua","Qui","Sex","Sáb","Dom"))</f>
        <v>Seg</v>
      </c>
      <c r="M57" s="27">
        <f>IF($E57="","",IF($G57&lt;&gt;"",$G57,IFERROR(INDEX(ProcValor,MATCH($E57,ProcNome,0)),0)))</f>
        <v>72</v>
      </c>
      <c r="N57" s="27">
        <f>IF($M57="","",IF($F57="Compareceu",$M57,0))</f>
        <v>72</v>
      </c>
      <c r="O57" s="27">
        <f>IF($M57="","",IF($F57="Faltou",$M57,0))</f>
        <v>0</v>
      </c>
      <c r="P57" s="27">
        <f>IF($M57="","",IF($F57="Compareceu",MAX(0,$M57-N($H57)),0))</f>
        <v>72</v>
      </c>
      <c r="Q57" s="19">
        <f>IF(AND($F57="Compareceu",$E57&lt;&gt;"",$A57&lt;&gt;""),IF(IFERROR(INDEX(ProcRet,MATCH($E57,ProcNome,0)),0)&gt;0,$A57+INDEX(ProcRet,MATCH($E57,ProcNome,0)),""),"")</f>
        <v>46253.0</v>
      </c>
      <c r="R57" s="26" t="str">
        <f>IF($Q57="","",IF(COUNTIFS(AgPac,$D57,AgData,"&gt;"&amp;$A57,AgStatus,"&lt;&gt;Cancelado",AgStatus,"&lt;&gt;Remarcado")&gt;0,"Sim","Não"))</f>
        <v>Sim</v>
      </c>
      <c r="S57" s="28" t="str">
        <f>IF($A57="","",IF(AND($F57="Agendado",$A57-Hoje&gt;=0,$A57-Hoje&lt;=DiasConf),"CONFIRMAR",IF(AND($A57&lt;Hoje,OR($F57="Agendado",$F57="Confirmado")),"Atualizar status",IF(AND($F57="Compareceu",$P57&gt;0.005),"Cobrar",IF($F57="Faltou","Falta: reagendar","")))))</f>
        <v>Cobrar</v>
      </c>
      <c r="T57" s="29">
        <f>IF($A57="","",DATE(YEAR($A57),MONTH($A57),1))</f>
        <v>46204.0</v>
      </c>
      <c r="U57" s="30">
        <f>IF($S57="CONFIRMAR",MAX($U$4:$U56)+1,"")</f>
        <v>0</v>
      </c>
      <c r="V57" s="30">
        <f>IF(AND($R57="Não",$Q57&lt;&gt;"",$Q57&lt;=Hoje+JanelaRet,$Q57&gt;=Hoje-60),MAX($V$4:$V56)+1,"")</f>
        <v>0</v>
      </c>
    </row>
    <row r="58" spans="1:22">
      <c r="A58" s="16">
        <v>46223</v>
      </c>
      <c r="B58" s="23">
        <v>0.5833333333333334</v>
      </c>
      <c r="C58" s="15" t="s">
        <v>53</v>
      </c>
      <c r="D58" s="15" t="s">
        <v>211</v>
      </c>
      <c r="E58" s="15" t="s">
        <v>63</v>
      </c>
      <c r="F58" s="24" t="s">
        <v>82</v>
      </c>
      <c r="G58" s="17"/>
      <c r="H58" s="17"/>
      <c r="I58" s="15"/>
      <c r="J58" s="25" t="str">
        <f>IF($D58="","",IFERROR(INDEX(PacNome,MATCH($D58,PacCod,0)),"Paciente não cadastrado"))</f>
        <v>Paciente 038</v>
      </c>
      <c r="K58" s="26" t="str">
        <f>IF($D58="","",IFERROR(INDEX(PacConv,MATCH($D58,PacCod,0))&amp;"",""))</f>
        <v>Convênio A</v>
      </c>
      <c r="L58" s="26" t="str">
        <f>IF($A58="","",CHOOSE(WEEKDAY($A58,2),"Seg","Ter","Qua","Qui","Sex","Sáb","Dom"))</f>
        <v>Seg</v>
      </c>
      <c r="M58" s="27">
        <f>IF($E58="","",IF($G58&lt;&gt;"",$G58,IFERROR(INDEX(ProcValor,MATCH($E58,ProcNome,0)),0)))</f>
        <v>140</v>
      </c>
      <c r="N58" s="27">
        <f>IF($M58="","",IF($F58="Compareceu",$M58,0))</f>
        <v>0</v>
      </c>
      <c r="O58" s="27">
        <f>IF($M58="","",IF($F58="Faltou",$M58,0))</f>
        <v>0</v>
      </c>
      <c r="P58" s="27">
        <f>IF($M58="","",IF($F58="Compareceu",MAX(0,$M58-N($H58)),0))</f>
        <v>0</v>
      </c>
      <c r="Q58" s="19">
        <f>IF(AND($F58="Compareceu",$E58&lt;&gt;"",$A58&lt;&gt;""),IF(IFERROR(INDEX(ProcRet,MATCH($E58,ProcNome,0)),0)&gt;0,$A58+INDEX(ProcRet,MATCH($E58,ProcNome,0)),""),"")</f>
        <v>0</v>
      </c>
      <c r="R58" s="26">
        <f>IF($Q58="","",IF(COUNTIFS(AgPac,$D58,AgData,"&gt;"&amp;$A58,AgStatus,"&lt;&gt;Cancelado",AgStatus,"&lt;&gt;Remarcado")&gt;0,"Sim","Não"))</f>
        <v>0</v>
      </c>
      <c r="S58" s="28">
        <f>IF($A58="","",IF(AND($F58="Agendado",$A58-Hoje&gt;=0,$A58-Hoje&lt;=DiasConf),"CONFIRMAR",IF(AND($A58&lt;Hoje,OR($F58="Agendado",$F58="Confirmado")),"Atualizar status",IF(AND($F58="Compareceu",$P58&gt;0.005),"Cobrar",IF($F58="Faltou","Falta: reagendar","")))))</f>
        <v>0</v>
      </c>
      <c r="T58" s="29">
        <f>IF($A58="","",DATE(YEAR($A58),MONTH($A58),1))</f>
        <v>46204.0</v>
      </c>
      <c r="U58" s="30">
        <f>IF($S58="CONFIRMAR",MAX($U$4:$U57)+1,"")</f>
        <v>0</v>
      </c>
      <c r="V58" s="30">
        <f>IF(AND($R58="Não",$Q58&lt;&gt;"",$Q58&lt;=Hoje+JanelaRet,$Q58&gt;=Hoje-60),MAX($V$4:$V57)+1,"")</f>
        <v>0</v>
      </c>
    </row>
    <row r="59" spans="1:22">
      <c r="A59" s="16">
        <v>46223</v>
      </c>
      <c r="B59" s="23">
        <v>0.7083333333333334</v>
      </c>
      <c r="C59" s="15" t="s">
        <v>53</v>
      </c>
      <c r="D59" s="15" t="s">
        <v>232</v>
      </c>
      <c r="E59" s="15" t="s">
        <v>63</v>
      </c>
      <c r="F59" s="24" t="s">
        <v>79</v>
      </c>
      <c r="G59" s="17">
        <v>84</v>
      </c>
      <c r="H59" s="17">
        <v>84</v>
      </c>
      <c r="I59" s="15" t="s">
        <v>71</v>
      </c>
      <c r="J59" s="25" t="str">
        <f>IF($D59="","",IFERROR(INDEX(PacNome,MATCH($D59,PacCod,0)),"Paciente não cadastrado"))</f>
        <v>Paciente 045</v>
      </c>
      <c r="K59" s="26" t="str">
        <f>IF($D59="","",IFERROR(INDEX(PacConv,MATCH($D59,PacCod,0))&amp;"",""))</f>
        <v>Convênio A</v>
      </c>
      <c r="L59" s="26" t="str">
        <f>IF($A59="","",CHOOSE(WEEKDAY($A59,2),"Seg","Ter","Qua","Qui","Sex","Sáb","Dom"))</f>
        <v>Seg</v>
      </c>
      <c r="M59" s="27">
        <f>IF($E59="","",IF($G59&lt;&gt;"",$G59,IFERROR(INDEX(ProcValor,MATCH($E59,ProcNome,0)),0)))</f>
        <v>84</v>
      </c>
      <c r="N59" s="27">
        <f>IF($M59="","",IF($F59="Compareceu",$M59,0))</f>
        <v>84</v>
      </c>
      <c r="O59" s="27">
        <f>IF($M59="","",IF($F59="Faltou",$M59,0))</f>
        <v>0</v>
      </c>
      <c r="P59" s="27">
        <f>IF($M59="","",IF($F59="Compareceu",MAX(0,$M59-N($H59)),0))</f>
        <v>0</v>
      </c>
      <c r="Q59" s="19">
        <f>IF(AND($F59="Compareceu",$E59&lt;&gt;"",$A59&lt;&gt;""),IF(IFERROR(INDEX(ProcRet,MATCH($E59,ProcNome,0)),0)&gt;0,$A59+INDEX(ProcRet,MATCH($E59,ProcNome,0)),""),"")</f>
        <v>46230.0</v>
      </c>
      <c r="R59" s="26" t="str">
        <f>IF($Q59="","",IF(COUNTIFS(AgPac,$D59,AgData,"&gt;"&amp;$A59,AgStatus,"&lt;&gt;Cancelado",AgStatus,"&lt;&gt;Remarcado")&gt;0,"Sim","Não"))</f>
        <v>Sim</v>
      </c>
      <c r="S59" s="28">
        <f>IF($A59="","",IF(AND($F59="Agendado",$A59-Hoje&gt;=0,$A59-Hoje&lt;=DiasConf),"CONFIRMAR",IF(AND($A59&lt;Hoje,OR($F59="Agendado",$F59="Confirmado")),"Atualizar status",IF(AND($F59="Compareceu",$P59&gt;0.005),"Cobrar",IF($F59="Faltou","Falta: reagendar","")))))</f>
        <v>0</v>
      </c>
      <c r="T59" s="29">
        <f>IF($A59="","",DATE(YEAR($A59),MONTH($A59),1))</f>
        <v>46204.0</v>
      </c>
      <c r="U59" s="30">
        <f>IF($S59="CONFIRMAR",MAX($U$4:$U58)+1,"")</f>
        <v>0</v>
      </c>
      <c r="V59" s="30">
        <f>IF(AND($R59="Não",$Q59&lt;&gt;"",$Q59&lt;=Hoje+JanelaRet,$Q59&gt;=Hoje-60),MAX($V$4:$V58)+1,"")</f>
        <v>0</v>
      </c>
    </row>
    <row r="60" spans="1:22">
      <c r="A60" s="16">
        <v>46224</v>
      </c>
      <c r="B60" s="23">
        <v>0.4791666666666667</v>
      </c>
      <c r="C60" s="15" t="s">
        <v>53</v>
      </c>
      <c r="D60" s="15" t="s">
        <v>145</v>
      </c>
      <c r="E60" s="15" t="s">
        <v>63</v>
      </c>
      <c r="F60" s="24" t="s">
        <v>79</v>
      </c>
      <c r="G60" s="17"/>
      <c r="H60" s="17">
        <v>140</v>
      </c>
      <c r="I60" s="15" t="s">
        <v>71</v>
      </c>
      <c r="J60" s="25" t="str">
        <f>IF($D60="","",IFERROR(INDEX(PacNome,MATCH($D60,PacCod,0)),"Paciente não cadastrado"))</f>
        <v>Paciente 016</v>
      </c>
      <c r="K60" s="26" t="str">
        <f>IF($D60="","",IFERROR(INDEX(PacConv,MATCH($D60,PacCod,0))&amp;"",""))</f>
        <v>Particular</v>
      </c>
      <c r="L60" s="26" t="str">
        <f>IF($A60="","",CHOOSE(WEEKDAY($A60,2),"Seg","Ter","Qua","Qui","Sex","Sáb","Dom"))</f>
        <v>Ter</v>
      </c>
      <c r="M60" s="27">
        <f>IF($E60="","",IF($G60&lt;&gt;"",$G60,IFERROR(INDEX(ProcValor,MATCH($E60,ProcNome,0)),0)))</f>
        <v>140</v>
      </c>
      <c r="N60" s="27">
        <f>IF($M60="","",IF($F60="Compareceu",$M60,0))</f>
        <v>140</v>
      </c>
      <c r="O60" s="27">
        <f>IF($M60="","",IF($F60="Faltou",$M60,0))</f>
        <v>0</v>
      </c>
      <c r="P60" s="27">
        <f>IF($M60="","",IF($F60="Compareceu",MAX(0,$M60-N($H60)),0))</f>
        <v>0</v>
      </c>
      <c r="Q60" s="19">
        <f>IF(AND($F60="Compareceu",$E60&lt;&gt;"",$A60&lt;&gt;""),IF(IFERROR(INDEX(ProcRet,MATCH($E60,ProcNome,0)),0)&gt;0,$A60+INDEX(ProcRet,MATCH($E60,ProcNome,0)),""),"")</f>
        <v>46231.0</v>
      </c>
      <c r="R60" s="26" t="str">
        <f>IF($Q60="","",IF(COUNTIFS(AgPac,$D60,AgData,"&gt;"&amp;$A60,AgStatus,"&lt;&gt;Cancelado",AgStatus,"&lt;&gt;Remarcado")&gt;0,"Sim","Não"))</f>
        <v>Sim</v>
      </c>
      <c r="S60" s="28">
        <f>IF($A60="","",IF(AND($F60="Agendado",$A60-Hoje&gt;=0,$A60-Hoje&lt;=DiasConf),"CONFIRMAR",IF(AND($A60&lt;Hoje,OR($F60="Agendado",$F60="Confirmado")),"Atualizar status",IF(AND($F60="Compareceu",$P60&gt;0.005),"Cobrar",IF($F60="Faltou","Falta: reagendar","")))))</f>
        <v>0</v>
      </c>
      <c r="T60" s="29">
        <f>IF($A60="","",DATE(YEAR($A60),MONTH($A60),1))</f>
        <v>46204.0</v>
      </c>
      <c r="U60" s="30">
        <f>IF($S60="CONFIRMAR",MAX($U$4:$U59)+1,"")</f>
        <v>0</v>
      </c>
      <c r="V60" s="30">
        <f>IF(AND($R60="Não",$Q60&lt;&gt;"",$Q60&lt;=Hoje+JanelaRet,$Q60&gt;=Hoje-60),MAX($V$4:$V59)+1,"")</f>
        <v>0</v>
      </c>
    </row>
    <row r="61" spans="1:22">
      <c r="A61" s="16">
        <v>46224</v>
      </c>
      <c r="B61" s="23">
        <v>0.5416666666666666</v>
      </c>
      <c r="C61" s="15" t="s">
        <v>52</v>
      </c>
      <c r="D61" s="15" t="s">
        <v>100</v>
      </c>
      <c r="E61" s="15" t="s">
        <v>60</v>
      </c>
      <c r="F61" s="24" t="s">
        <v>79</v>
      </c>
      <c r="G61" s="17"/>
      <c r="H61" s="17">
        <v>180</v>
      </c>
      <c r="I61" s="15" t="s">
        <v>75</v>
      </c>
      <c r="J61" s="25" t="str">
        <f>IF($D61="","",IFERROR(INDEX(PacNome,MATCH($D61,PacCod,0)),"Paciente não cadastrado"))</f>
        <v>Paciente 001</v>
      </c>
      <c r="K61" s="26" t="str">
        <f>IF($D61="","",IFERROR(INDEX(PacConv,MATCH($D61,PacCod,0))&amp;"",""))</f>
        <v>Particular</v>
      </c>
      <c r="L61" s="26" t="str">
        <f>IF($A61="","",CHOOSE(WEEKDAY($A61,2),"Seg","Ter","Qua","Qui","Sex","Sáb","Dom"))</f>
        <v>Ter</v>
      </c>
      <c r="M61" s="27">
        <f>IF($E61="","",IF($G61&lt;&gt;"",$G61,IFERROR(INDEX(ProcValor,MATCH($E61,ProcNome,0)),0)))</f>
        <v>180</v>
      </c>
      <c r="N61" s="27">
        <f>IF($M61="","",IF($F61="Compareceu",$M61,0))</f>
        <v>180</v>
      </c>
      <c r="O61" s="27">
        <f>IF($M61="","",IF($F61="Faltou",$M61,0))</f>
        <v>0</v>
      </c>
      <c r="P61" s="27">
        <f>IF($M61="","",IF($F61="Compareceu",MAX(0,$M61-N($H61)),0))</f>
        <v>0</v>
      </c>
      <c r="Q61" s="19">
        <f>IF(AND($F61="Compareceu",$E61&lt;&gt;"",$A61&lt;&gt;""),IF(IFERROR(INDEX(ProcRet,MATCH($E61,ProcNome,0)),0)&gt;0,$A61+INDEX(ProcRet,MATCH($E61,ProcNome,0)),""),"")</f>
        <v>46404.0</v>
      </c>
      <c r="R61" s="26" t="str">
        <f>IF($Q61="","",IF(COUNTIFS(AgPac,$D61,AgData,"&gt;"&amp;$A61,AgStatus,"&lt;&gt;Cancelado",AgStatus,"&lt;&gt;Remarcado")&gt;0,"Sim","Não"))</f>
        <v>Sim</v>
      </c>
      <c r="S61" s="28">
        <f>IF($A61="","",IF(AND($F61="Agendado",$A61-Hoje&gt;=0,$A61-Hoje&lt;=DiasConf),"CONFIRMAR",IF(AND($A61&lt;Hoje,OR($F61="Agendado",$F61="Confirmado")),"Atualizar status",IF(AND($F61="Compareceu",$P61&gt;0.005),"Cobrar",IF($F61="Faltou","Falta: reagendar","")))))</f>
        <v>0</v>
      </c>
      <c r="T61" s="29">
        <f>IF($A61="","",DATE(YEAR($A61),MONTH($A61),1))</f>
        <v>46204.0</v>
      </c>
      <c r="U61" s="30">
        <f>IF($S61="CONFIRMAR",MAX($U$4:$U60)+1,"")</f>
        <v>0</v>
      </c>
      <c r="V61" s="30">
        <f>IF(AND($R61="Não",$Q61&lt;&gt;"",$Q61&lt;=Hoje+JanelaRet,$Q61&gt;=Hoje-60),MAX($V$4:$V60)+1,"")</f>
        <v>0</v>
      </c>
    </row>
    <row r="62" spans="1:22">
      <c r="A62" s="16">
        <v>46224</v>
      </c>
      <c r="B62" s="23">
        <v>0.5833333333333334</v>
      </c>
      <c r="C62" s="15" t="s">
        <v>54</v>
      </c>
      <c r="D62" s="15" t="s">
        <v>232</v>
      </c>
      <c r="E62" s="15" t="s">
        <v>63</v>
      </c>
      <c r="F62" s="24" t="s">
        <v>79</v>
      </c>
      <c r="G62" s="17">
        <v>84</v>
      </c>
      <c r="H62" s="17">
        <v>84</v>
      </c>
      <c r="I62" s="15" t="s">
        <v>73</v>
      </c>
      <c r="J62" s="25" t="str">
        <f>IF($D62="","",IFERROR(INDEX(PacNome,MATCH($D62,PacCod,0)),"Paciente não cadastrado"))</f>
        <v>Paciente 045</v>
      </c>
      <c r="K62" s="26" t="str">
        <f>IF($D62="","",IFERROR(INDEX(PacConv,MATCH($D62,PacCod,0))&amp;"",""))</f>
        <v>Convênio A</v>
      </c>
      <c r="L62" s="26" t="str">
        <f>IF($A62="","",CHOOSE(WEEKDAY($A62,2),"Seg","Ter","Qua","Qui","Sex","Sáb","Dom"))</f>
        <v>Ter</v>
      </c>
      <c r="M62" s="27">
        <f>IF($E62="","",IF($G62&lt;&gt;"",$G62,IFERROR(INDEX(ProcValor,MATCH($E62,ProcNome,0)),0)))</f>
        <v>84</v>
      </c>
      <c r="N62" s="27">
        <f>IF($M62="","",IF($F62="Compareceu",$M62,0))</f>
        <v>84</v>
      </c>
      <c r="O62" s="27">
        <f>IF($M62="","",IF($F62="Faltou",$M62,0))</f>
        <v>0</v>
      </c>
      <c r="P62" s="27">
        <f>IF($M62="","",IF($F62="Compareceu",MAX(0,$M62-N($H62)),0))</f>
        <v>0</v>
      </c>
      <c r="Q62" s="19">
        <f>IF(AND($F62="Compareceu",$E62&lt;&gt;"",$A62&lt;&gt;""),IF(IFERROR(INDEX(ProcRet,MATCH($E62,ProcNome,0)),0)&gt;0,$A62+INDEX(ProcRet,MATCH($E62,ProcNome,0)),""),"")</f>
        <v>46231.0</v>
      </c>
      <c r="R62" s="26" t="str">
        <f>IF($Q62="","",IF(COUNTIFS(AgPac,$D62,AgData,"&gt;"&amp;$A62,AgStatus,"&lt;&gt;Cancelado",AgStatus,"&lt;&gt;Remarcado")&gt;0,"Sim","Não"))</f>
        <v>Sim</v>
      </c>
      <c r="S62" s="28">
        <f>IF($A62="","",IF(AND($F62="Agendado",$A62-Hoje&gt;=0,$A62-Hoje&lt;=DiasConf),"CONFIRMAR",IF(AND($A62&lt;Hoje,OR($F62="Agendado",$F62="Confirmado")),"Atualizar status",IF(AND($F62="Compareceu",$P62&gt;0.005),"Cobrar",IF($F62="Faltou","Falta: reagendar","")))))</f>
        <v>0</v>
      </c>
      <c r="T62" s="29">
        <f>IF($A62="","",DATE(YEAR($A62),MONTH($A62),1))</f>
        <v>46204.0</v>
      </c>
      <c r="U62" s="30">
        <f>IF($S62="CONFIRMAR",MAX($U$4:$U61)+1,"")</f>
        <v>0</v>
      </c>
      <c r="V62" s="30">
        <f>IF(AND($R62="Não",$Q62&lt;&gt;"",$Q62&lt;=Hoje+JanelaRet,$Q62&gt;=Hoje-60),MAX($V$4:$V61)+1,"")</f>
        <v>0</v>
      </c>
    </row>
    <row r="63" spans="1:22">
      <c r="A63" s="16">
        <v>46224</v>
      </c>
      <c r="B63" s="23">
        <v>0.6875</v>
      </c>
      <c r="C63" s="15" t="s">
        <v>52</v>
      </c>
      <c r="D63" s="15" t="s">
        <v>205</v>
      </c>
      <c r="E63" s="15" t="s">
        <v>63</v>
      </c>
      <c r="F63" s="24" t="s">
        <v>79</v>
      </c>
      <c r="G63" s="17">
        <v>84</v>
      </c>
      <c r="H63" s="17">
        <v>84</v>
      </c>
      <c r="I63" s="15" t="s">
        <v>72</v>
      </c>
      <c r="J63" s="25" t="str">
        <f>IF($D63="","",IFERROR(INDEX(PacNome,MATCH($D63,PacCod,0)),"Paciente não cadastrado"))</f>
        <v>Paciente 036</v>
      </c>
      <c r="K63" s="26" t="str">
        <f>IF($D63="","",IFERROR(INDEX(PacConv,MATCH($D63,PacCod,0))&amp;"",""))</f>
        <v>Convênio B</v>
      </c>
      <c r="L63" s="26" t="str">
        <f>IF($A63="","",CHOOSE(WEEKDAY($A63,2),"Seg","Ter","Qua","Qui","Sex","Sáb","Dom"))</f>
        <v>Ter</v>
      </c>
      <c r="M63" s="27">
        <f>IF($E63="","",IF($G63&lt;&gt;"",$G63,IFERROR(INDEX(ProcValor,MATCH($E63,ProcNome,0)),0)))</f>
        <v>84</v>
      </c>
      <c r="N63" s="27">
        <f>IF($M63="","",IF($F63="Compareceu",$M63,0))</f>
        <v>84</v>
      </c>
      <c r="O63" s="27">
        <f>IF($M63="","",IF($F63="Faltou",$M63,0))</f>
        <v>0</v>
      </c>
      <c r="P63" s="27">
        <f>IF($M63="","",IF($F63="Compareceu",MAX(0,$M63-N($H63)),0))</f>
        <v>0</v>
      </c>
      <c r="Q63" s="19">
        <f>IF(AND($F63="Compareceu",$E63&lt;&gt;"",$A63&lt;&gt;""),IF(IFERROR(INDEX(ProcRet,MATCH($E63,ProcNome,0)),0)&gt;0,$A63+INDEX(ProcRet,MATCH($E63,ProcNome,0)),""),"")</f>
        <v>46231.0</v>
      </c>
      <c r="R63" s="26" t="str">
        <f>IF($Q63="","",IF(COUNTIFS(AgPac,$D63,AgData,"&gt;"&amp;$A63,AgStatus,"&lt;&gt;Cancelado",AgStatus,"&lt;&gt;Remarcado")&gt;0,"Sim","Não"))</f>
        <v>Sim</v>
      </c>
      <c r="S63" s="28">
        <f>IF($A63="","",IF(AND($F63="Agendado",$A63-Hoje&gt;=0,$A63-Hoje&lt;=DiasConf),"CONFIRMAR",IF(AND($A63&lt;Hoje,OR($F63="Agendado",$F63="Confirmado")),"Atualizar status",IF(AND($F63="Compareceu",$P63&gt;0.005),"Cobrar",IF($F63="Faltou","Falta: reagendar","")))))</f>
        <v>0</v>
      </c>
      <c r="T63" s="29">
        <f>IF($A63="","",DATE(YEAR($A63),MONTH($A63),1))</f>
        <v>46204.0</v>
      </c>
      <c r="U63" s="30">
        <f>IF($S63="CONFIRMAR",MAX($U$4:$U62)+1,"")</f>
        <v>0</v>
      </c>
      <c r="V63" s="30">
        <f>IF(AND($R63="Não",$Q63&lt;&gt;"",$Q63&lt;=Hoje+JanelaRet,$Q63&gt;=Hoje-60),MAX($V$4:$V62)+1,"")</f>
        <v>0</v>
      </c>
    </row>
    <row r="64" spans="1:22">
      <c r="A64" s="16">
        <v>46225</v>
      </c>
      <c r="B64" s="23">
        <v>0.3541666666666667</v>
      </c>
      <c r="C64" s="15" t="s">
        <v>51</v>
      </c>
      <c r="D64" s="15" t="s">
        <v>208</v>
      </c>
      <c r="E64" s="15" t="s">
        <v>61</v>
      </c>
      <c r="F64" s="24" t="s">
        <v>79</v>
      </c>
      <c r="G64" s="17">
        <v>72</v>
      </c>
      <c r="H64" s="17">
        <v>72</v>
      </c>
      <c r="I64" s="15" t="s">
        <v>71</v>
      </c>
      <c r="J64" s="25" t="str">
        <f>IF($D64="","",IFERROR(INDEX(PacNome,MATCH($D64,PacCod,0)),"Paciente não cadastrado"))</f>
        <v>Paciente 037</v>
      </c>
      <c r="K64" s="26" t="str">
        <f>IF($D64="","",IFERROR(INDEX(PacConv,MATCH($D64,PacCod,0))&amp;"",""))</f>
        <v>Convênio B</v>
      </c>
      <c r="L64" s="26" t="str">
        <f>IF($A64="","",CHOOSE(WEEKDAY($A64,2),"Seg","Ter","Qua","Qui","Sex","Sáb","Dom"))</f>
        <v>Qua</v>
      </c>
      <c r="M64" s="27">
        <f>IF($E64="","",IF($G64&lt;&gt;"",$G64,IFERROR(INDEX(ProcValor,MATCH($E64,ProcNome,0)),0)))</f>
        <v>72</v>
      </c>
      <c r="N64" s="27">
        <f>IF($M64="","",IF($F64="Compareceu",$M64,0))</f>
        <v>72</v>
      </c>
      <c r="O64" s="27">
        <f>IF($M64="","",IF($F64="Faltou",$M64,0))</f>
        <v>0</v>
      </c>
      <c r="P64" s="27">
        <f>IF($M64="","",IF($F64="Compareceu",MAX(0,$M64-N($H64)),0))</f>
        <v>0</v>
      </c>
      <c r="Q64" s="19">
        <f>IF(AND($F64="Compareceu",$E64&lt;&gt;"",$A64&lt;&gt;""),IF(IFERROR(INDEX(ProcRet,MATCH($E64,ProcNome,0)),0)&gt;0,$A64+INDEX(ProcRet,MATCH($E64,ProcNome,0)),""),"")</f>
        <v>46255.0</v>
      </c>
      <c r="R64" s="26" t="str">
        <f>IF($Q64="","",IF(COUNTIFS(AgPac,$D64,AgData,"&gt;"&amp;$A64,AgStatus,"&lt;&gt;Cancelado",AgStatus,"&lt;&gt;Remarcado")&gt;0,"Sim","Não"))</f>
        <v>Sim</v>
      </c>
      <c r="S64" s="28">
        <f>IF($A64="","",IF(AND($F64="Agendado",$A64-Hoje&gt;=0,$A64-Hoje&lt;=DiasConf),"CONFIRMAR",IF(AND($A64&lt;Hoje,OR($F64="Agendado",$F64="Confirmado")),"Atualizar status",IF(AND($F64="Compareceu",$P64&gt;0.005),"Cobrar",IF($F64="Faltou","Falta: reagendar","")))))</f>
        <v>0</v>
      </c>
      <c r="T64" s="29">
        <f>IF($A64="","",DATE(YEAR($A64),MONTH($A64),1))</f>
        <v>46204.0</v>
      </c>
      <c r="U64" s="30">
        <f>IF($S64="CONFIRMAR",MAX($U$4:$U63)+1,"")</f>
        <v>0</v>
      </c>
      <c r="V64" s="30">
        <f>IF(AND($R64="Não",$Q64&lt;&gt;"",$Q64&lt;=Hoje+JanelaRet,$Q64&gt;=Hoje-60),MAX($V$4:$V63)+1,"")</f>
        <v>0</v>
      </c>
    </row>
    <row r="65" spans="1:22">
      <c r="A65" s="16">
        <v>46225</v>
      </c>
      <c r="B65" s="23">
        <v>0.375</v>
      </c>
      <c r="C65" s="15" t="s">
        <v>54</v>
      </c>
      <c r="D65" s="15" t="s">
        <v>127</v>
      </c>
      <c r="E65" s="15" t="s">
        <v>63</v>
      </c>
      <c r="F65" s="24" t="s">
        <v>81</v>
      </c>
      <c r="G65" s="17"/>
      <c r="H65" s="17"/>
      <c r="I65" s="15"/>
      <c r="J65" s="25" t="str">
        <f>IF($D65="","",IFERROR(INDEX(PacNome,MATCH($D65,PacCod,0)),"Paciente não cadastrado"))</f>
        <v>Paciente 010</v>
      </c>
      <c r="K65" s="26" t="str">
        <f>IF($D65="","",IFERROR(INDEX(PacConv,MATCH($D65,PacCod,0))&amp;"",""))</f>
        <v>Particular</v>
      </c>
      <c r="L65" s="26" t="str">
        <f>IF($A65="","",CHOOSE(WEEKDAY($A65,2),"Seg","Ter","Qua","Qui","Sex","Sáb","Dom"))</f>
        <v>Qua</v>
      </c>
      <c r="M65" s="27">
        <f>IF($E65="","",IF($G65&lt;&gt;"",$G65,IFERROR(INDEX(ProcValor,MATCH($E65,ProcNome,0)),0)))</f>
        <v>140</v>
      </c>
      <c r="N65" s="27">
        <f>IF($M65="","",IF($F65="Compareceu",$M65,0))</f>
        <v>0</v>
      </c>
      <c r="O65" s="27">
        <f>IF($M65="","",IF($F65="Faltou",$M65,0))</f>
        <v>0</v>
      </c>
      <c r="P65" s="27">
        <f>IF($M65="","",IF($F65="Compareceu",MAX(0,$M65-N($H65)),0))</f>
        <v>0</v>
      </c>
      <c r="Q65" s="19">
        <f>IF(AND($F65="Compareceu",$E65&lt;&gt;"",$A65&lt;&gt;""),IF(IFERROR(INDEX(ProcRet,MATCH($E65,ProcNome,0)),0)&gt;0,$A65+INDEX(ProcRet,MATCH($E65,ProcNome,0)),""),"")</f>
        <v>0</v>
      </c>
      <c r="R65" s="26">
        <f>IF($Q65="","",IF(COUNTIFS(AgPac,$D65,AgData,"&gt;"&amp;$A65,AgStatus,"&lt;&gt;Cancelado",AgStatus,"&lt;&gt;Remarcado")&gt;0,"Sim","Não"))</f>
        <v>0</v>
      </c>
      <c r="S65" s="28">
        <f>IF($A65="","",IF(AND($F65="Agendado",$A65-Hoje&gt;=0,$A65-Hoje&lt;=DiasConf),"CONFIRMAR",IF(AND($A65&lt;Hoje,OR($F65="Agendado",$F65="Confirmado")),"Atualizar status",IF(AND($F65="Compareceu",$P65&gt;0.005),"Cobrar",IF($F65="Faltou","Falta: reagendar","")))))</f>
        <v>0</v>
      </c>
      <c r="T65" s="29">
        <f>IF($A65="","",DATE(YEAR($A65),MONTH($A65),1))</f>
        <v>46204.0</v>
      </c>
      <c r="U65" s="30">
        <f>IF($S65="CONFIRMAR",MAX($U$4:$U64)+1,"")</f>
        <v>0</v>
      </c>
      <c r="V65" s="30">
        <f>IF(AND($R65="Não",$Q65&lt;&gt;"",$Q65&lt;=Hoje+JanelaRet,$Q65&gt;=Hoje-60),MAX($V$4:$V64)+1,"")</f>
        <v>0</v>
      </c>
    </row>
    <row r="66" spans="1:22">
      <c r="A66" s="16">
        <v>46225</v>
      </c>
      <c r="B66" s="23">
        <v>0.5</v>
      </c>
      <c r="C66" s="15" t="s">
        <v>53</v>
      </c>
      <c r="D66" s="15" t="s">
        <v>163</v>
      </c>
      <c r="E66" s="15" t="s">
        <v>63</v>
      </c>
      <c r="F66" s="24" t="s">
        <v>79</v>
      </c>
      <c r="G66" s="17">
        <v>84</v>
      </c>
      <c r="H66" s="17">
        <v>84</v>
      </c>
      <c r="I66" s="15" t="s">
        <v>72</v>
      </c>
      <c r="J66" s="25" t="str">
        <f>IF($D66="","",IFERROR(INDEX(PacNome,MATCH($D66,PacCod,0)),"Paciente não cadastrado"))</f>
        <v>Paciente 022</v>
      </c>
      <c r="K66" s="26" t="str">
        <f>IF($D66="","",IFERROR(INDEX(PacConv,MATCH($D66,PacCod,0))&amp;"",""))</f>
        <v>Convênio A</v>
      </c>
      <c r="L66" s="26" t="str">
        <f>IF($A66="","",CHOOSE(WEEKDAY($A66,2),"Seg","Ter","Qua","Qui","Sex","Sáb","Dom"))</f>
        <v>Qua</v>
      </c>
      <c r="M66" s="27">
        <f>IF($E66="","",IF($G66&lt;&gt;"",$G66,IFERROR(INDEX(ProcValor,MATCH($E66,ProcNome,0)),0)))</f>
        <v>84</v>
      </c>
      <c r="N66" s="27">
        <f>IF($M66="","",IF($F66="Compareceu",$M66,0))</f>
        <v>84</v>
      </c>
      <c r="O66" s="27">
        <f>IF($M66="","",IF($F66="Faltou",$M66,0))</f>
        <v>0</v>
      </c>
      <c r="P66" s="27">
        <f>IF($M66="","",IF($F66="Compareceu",MAX(0,$M66-N($H66)),0))</f>
        <v>0</v>
      </c>
      <c r="Q66" s="19">
        <f>IF(AND($F66="Compareceu",$E66&lt;&gt;"",$A66&lt;&gt;""),IF(IFERROR(INDEX(ProcRet,MATCH($E66,ProcNome,0)),0)&gt;0,$A66+INDEX(ProcRet,MATCH($E66,ProcNome,0)),""),"")</f>
        <v>46232.0</v>
      </c>
      <c r="R66" s="26" t="str">
        <f>IF($Q66="","",IF(COUNTIFS(AgPac,$D66,AgData,"&gt;"&amp;$A66,AgStatus,"&lt;&gt;Cancelado",AgStatus,"&lt;&gt;Remarcado")&gt;0,"Sim","Não"))</f>
        <v>Sim</v>
      </c>
      <c r="S66" s="28">
        <f>IF($A66="","",IF(AND($F66="Agendado",$A66-Hoje&gt;=0,$A66-Hoje&lt;=DiasConf),"CONFIRMAR",IF(AND($A66&lt;Hoje,OR($F66="Agendado",$F66="Confirmado")),"Atualizar status",IF(AND($F66="Compareceu",$P66&gt;0.005),"Cobrar",IF($F66="Faltou","Falta: reagendar","")))))</f>
        <v>0</v>
      </c>
      <c r="T66" s="29">
        <f>IF($A66="","",DATE(YEAR($A66),MONTH($A66),1))</f>
        <v>46204.0</v>
      </c>
      <c r="U66" s="30">
        <f>IF($S66="CONFIRMAR",MAX($U$4:$U65)+1,"")</f>
        <v>0</v>
      </c>
      <c r="V66" s="30">
        <f>IF(AND($R66="Não",$Q66&lt;&gt;"",$Q66&lt;=Hoje+JanelaRet,$Q66&gt;=Hoje-60),MAX($V$4:$V65)+1,"")</f>
        <v>0</v>
      </c>
    </row>
    <row r="67" spans="1:22">
      <c r="A67" s="16">
        <v>46225</v>
      </c>
      <c r="B67" s="23">
        <v>0.6041666666666666</v>
      </c>
      <c r="C67" s="15" t="s">
        <v>54</v>
      </c>
      <c r="D67" s="15" t="s">
        <v>187</v>
      </c>
      <c r="E67" s="15" t="s">
        <v>60</v>
      </c>
      <c r="F67" s="24" t="s">
        <v>79</v>
      </c>
      <c r="G67" s="17"/>
      <c r="H67" s="17">
        <v>180</v>
      </c>
      <c r="I67" s="15" t="s">
        <v>74</v>
      </c>
      <c r="J67" s="25" t="str">
        <f>IF($D67="","",IFERROR(INDEX(PacNome,MATCH($D67,PacCod,0)),"Paciente não cadastrado"))</f>
        <v>Paciente 030</v>
      </c>
      <c r="K67" s="26" t="str">
        <f>IF($D67="","",IFERROR(INDEX(PacConv,MATCH($D67,PacCod,0))&amp;"",""))</f>
        <v>Particular</v>
      </c>
      <c r="L67" s="26" t="str">
        <f>IF($A67="","",CHOOSE(WEEKDAY($A67,2),"Seg","Ter","Qua","Qui","Sex","Sáb","Dom"))</f>
        <v>Qua</v>
      </c>
      <c r="M67" s="27">
        <f>IF($E67="","",IF($G67&lt;&gt;"",$G67,IFERROR(INDEX(ProcValor,MATCH($E67,ProcNome,0)),0)))</f>
        <v>180</v>
      </c>
      <c r="N67" s="27">
        <f>IF($M67="","",IF($F67="Compareceu",$M67,0))</f>
        <v>180</v>
      </c>
      <c r="O67" s="27">
        <f>IF($M67="","",IF($F67="Faltou",$M67,0))</f>
        <v>0</v>
      </c>
      <c r="P67" s="27">
        <f>IF($M67="","",IF($F67="Compareceu",MAX(0,$M67-N($H67)),0))</f>
        <v>0</v>
      </c>
      <c r="Q67" s="19">
        <f>IF(AND($F67="Compareceu",$E67&lt;&gt;"",$A67&lt;&gt;""),IF(IFERROR(INDEX(ProcRet,MATCH($E67,ProcNome,0)),0)&gt;0,$A67+INDEX(ProcRet,MATCH($E67,ProcNome,0)),""),"")</f>
        <v>46405.0</v>
      </c>
      <c r="R67" s="26" t="str">
        <f>IF($Q67="","",IF(COUNTIFS(AgPac,$D67,AgData,"&gt;"&amp;$A67,AgStatus,"&lt;&gt;Cancelado",AgStatus,"&lt;&gt;Remarcado")&gt;0,"Sim","Não"))</f>
        <v>Sim</v>
      </c>
      <c r="S67" s="28">
        <f>IF($A67="","",IF(AND($F67="Agendado",$A67-Hoje&gt;=0,$A67-Hoje&lt;=DiasConf),"CONFIRMAR",IF(AND($A67&lt;Hoje,OR($F67="Agendado",$F67="Confirmado")),"Atualizar status",IF(AND($F67="Compareceu",$P67&gt;0.005),"Cobrar",IF($F67="Faltou","Falta: reagendar","")))))</f>
        <v>0</v>
      </c>
      <c r="T67" s="29">
        <f>IF($A67="","",DATE(YEAR($A67),MONTH($A67),1))</f>
        <v>46204.0</v>
      </c>
      <c r="U67" s="30">
        <f>IF($S67="CONFIRMAR",MAX($U$4:$U66)+1,"")</f>
        <v>0</v>
      </c>
      <c r="V67" s="30">
        <f>IF(AND($R67="Não",$Q67&lt;&gt;"",$Q67&lt;=Hoje+JanelaRet,$Q67&gt;=Hoje-60),MAX($V$4:$V66)+1,"")</f>
        <v>0</v>
      </c>
    </row>
    <row r="68" spans="1:22">
      <c r="A68" s="16">
        <v>46226</v>
      </c>
      <c r="B68" s="23">
        <v>0.375</v>
      </c>
      <c r="C68" s="15" t="s">
        <v>52</v>
      </c>
      <c r="D68" s="15" t="s">
        <v>106</v>
      </c>
      <c r="E68" s="15" t="s">
        <v>63</v>
      </c>
      <c r="F68" s="24" t="s">
        <v>79</v>
      </c>
      <c r="G68" s="17"/>
      <c r="H68" s="17">
        <v>140</v>
      </c>
      <c r="I68" s="15" t="s">
        <v>73</v>
      </c>
      <c r="J68" s="25" t="str">
        <f>IF($D68="","",IFERROR(INDEX(PacNome,MATCH($D68,PacCod,0)),"Paciente não cadastrado"))</f>
        <v>Paciente 003</v>
      </c>
      <c r="K68" s="26" t="str">
        <f>IF($D68="","",IFERROR(INDEX(PacConv,MATCH($D68,PacCod,0))&amp;"",""))</f>
        <v>Particular</v>
      </c>
      <c r="L68" s="26" t="str">
        <f>IF($A68="","",CHOOSE(WEEKDAY($A68,2),"Seg","Ter","Qua","Qui","Sex","Sáb","Dom"))</f>
        <v>Qui</v>
      </c>
      <c r="M68" s="27">
        <f>IF($E68="","",IF($G68&lt;&gt;"",$G68,IFERROR(INDEX(ProcValor,MATCH($E68,ProcNome,0)),0)))</f>
        <v>140</v>
      </c>
      <c r="N68" s="27">
        <f>IF($M68="","",IF($F68="Compareceu",$M68,0))</f>
        <v>140</v>
      </c>
      <c r="O68" s="27">
        <f>IF($M68="","",IF($F68="Faltou",$M68,0))</f>
        <v>0</v>
      </c>
      <c r="P68" s="27">
        <f>IF($M68="","",IF($F68="Compareceu",MAX(0,$M68-N($H68)),0))</f>
        <v>0</v>
      </c>
      <c r="Q68" s="19">
        <f>IF(AND($F68="Compareceu",$E68&lt;&gt;"",$A68&lt;&gt;""),IF(IFERROR(INDEX(ProcRet,MATCH($E68,ProcNome,0)),0)&gt;0,$A68+INDEX(ProcRet,MATCH($E68,ProcNome,0)),""),"")</f>
        <v>46233.0</v>
      </c>
      <c r="R68" s="26" t="str">
        <f>IF($Q68="","",IF(COUNTIFS(AgPac,$D68,AgData,"&gt;"&amp;$A68,AgStatus,"&lt;&gt;Cancelado",AgStatus,"&lt;&gt;Remarcado")&gt;0,"Sim","Não"))</f>
        <v>Sim</v>
      </c>
      <c r="S68" s="28">
        <f>IF($A68="","",IF(AND($F68="Agendado",$A68-Hoje&gt;=0,$A68-Hoje&lt;=DiasConf),"CONFIRMAR",IF(AND($A68&lt;Hoje,OR($F68="Agendado",$F68="Confirmado")),"Atualizar status",IF(AND($F68="Compareceu",$P68&gt;0.005),"Cobrar",IF($F68="Faltou","Falta: reagendar","")))))</f>
        <v>0</v>
      </c>
      <c r="T68" s="29">
        <f>IF($A68="","",DATE(YEAR($A68),MONTH($A68),1))</f>
        <v>46204.0</v>
      </c>
      <c r="U68" s="30">
        <f>IF($S68="CONFIRMAR",MAX($U$4:$U67)+1,"")</f>
        <v>0</v>
      </c>
      <c r="V68" s="30">
        <f>IF(AND($R68="Não",$Q68&lt;&gt;"",$Q68&lt;=Hoje+JanelaRet,$Q68&gt;=Hoje-60),MAX($V$4:$V67)+1,"")</f>
        <v>0</v>
      </c>
    </row>
    <row r="69" spans="1:22">
      <c r="A69" s="16">
        <v>46226</v>
      </c>
      <c r="B69" s="23">
        <v>0.6666666666666666</v>
      </c>
      <c r="C69" s="15" t="s">
        <v>51</v>
      </c>
      <c r="D69" s="15" t="s">
        <v>130</v>
      </c>
      <c r="E69" s="15" t="s">
        <v>59</v>
      </c>
      <c r="F69" s="24" t="s">
        <v>79</v>
      </c>
      <c r="G69" s="17">
        <v>90</v>
      </c>
      <c r="H69" s="17">
        <v>90</v>
      </c>
      <c r="I69" s="15" t="s">
        <v>75</v>
      </c>
      <c r="J69" s="25" t="str">
        <f>IF($D69="","",IFERROR(INDEX(PacNome,MATCH($D69,PacCod,0)),"Paciente não cadastrado"))</f>
        <v>Paciente 011</v>
      </c>
      <c r="K69" s="26" t="str">
        <f>IF($D69="","",IFERROR(INDEX(PacConv,MATCH($D69,PacCod,0))&amp;"",""))</f>
        <v>Convênio A</v>
      </c>
      <c r="L69" s="26" t="str">
        <f>IF($A69="","",CHOOSE(WEEKDAY($A69,2),"Seg","Ter","Qua","Qui","Sex","Sáb","Dom"))</f>
        <v>Qui</v>
      </c>
      <c r="M69" s="27">
        <f>IF($E69="","",IF($G69&lt;&gt;"",$G69,IFERROR(INDEX(ProcValor,MATCH($E69,ProcNome,0)),0)))</f>
        <v>90</v>
      </c>
      <c r="N69" s="27">
        <f>IF($M69="","",IF($F69="Compareceu",$M69,0))</f>
        <v>90</v>
      </c>
      <c r="O69" s="27">
        <f>IF($M69="","",IF($F69="Faltou",$M69,0))</f>
        <v>0</v>
      </c>
      <c r="P69" s="27">
        <f>IF($M69="","",IF($F69="Compareceu",MAX(0,$M69-N($H69)),0))</f>
        <v>0</v>
      </c>
      <c r="Q69" s="19">
        <f>IF(AND($F69="Compareceu",$E69&lt;&gt;"",$A69&lt;&gt;""),IF(IFERROR(INDEX(ProcRet,MATCH($E69,ProcNome,0)),0)&gt;0,$A69+INDEX(ProcRet,MATCH($E69,ProcNome,0)),""),"")</f>
        <v>0</v>
      </c>
      <c r="R69" s="26">
        <f>IF($Q69="","",IF(COUNTIFS(AgPac,$D69,AgData,"&gt;"&amp;$A69,AgStatus,"&lt;&gt;Cancelado",AgStatus,"&lt;&gt;Remarcado")&gt;0,"Sim","Não"))</f>
        <v>0</v>
      </c>
      <c r="S69" s="28">
        <f>IF($A69="","",IF(AND($F69="Agendado",$A69-Hoje&gt;=0,$A69-Hoje&lt;=DiasConf),"CONFIRMAR",IF(AND($A69&lt;Hoje,OR($F69="Agendado",$F69="Confirmado")),"Atualizar status",IF(AND($F69="Compareceu",$P69&gt;0.005),"Cobrar",IF($F69="Faltou","Falta: reagendar","")))))</f>
        <v>0</v>
      </c>
      <c r="T69" s="29">
        <f>IF($A69="","",DATE(YEAR($A69),MONTH($A69),1))</f>
        <v>46204.0</v>
      </c>
      <c r="U69" s="30">
        <f>IF($S69="CONFIRMAR",MAX($U$4:$U68)+1,"")</f>
        <v>0</v>
      </c>
      <c r="V69" s="30">
        <f>IF(AND($R69="Não",$Q69&lt;&gt;"",$Q69&lt;=Hoje+JanelaRet,$Q69&gt;=Hoje-60),MAX($V$4:$V68)+1,"")</f>
        <v>0</v>
      </c>
    </row>
    <row r="70" spans="1:22">
      <c r="A70" s="16">
        <v>46226</v>
      </c>
      <c r="B70" s="23">
        <v>0.7291666666666666</v>
      </c>
      <c r="C70" s="15" t="s">
        <v>54</v>
      </c>
      <c r="D70" s="15" t="s">
        <v>100</v>
      </c>
      <c r="E70" s="15" t="s">
        <v>65</v>
      </c>
      <c r="F70" s="24" t="s">
        <v>79</v>
      </c>
      <c r="G70" s="17"/>
      <c r="H70" s="17">
        <v>130</v>
      </c>
      <c r="I70" s="15" t="s">
        <v>72</v>
      </c>
      <c r="J70" s="25" t="str">
        <f>IF($D70="","",IFERROR(INDEX(PacNome,MATCH($D70,PacCod,0)),"Paciente não cadastrado"))</f>
        <v>Paciente 001</v>
      </c>
      <c r="K70" s="26" t="str">
        <f>IF($D70="","",IFERROR(INDEX(PacConv,MATCH($D70,PacCod,0))&amp;"",""))</f>
        <v>Particular</v>
      </c>
      <c r="L70" s="26" t="str">
        <f>IF($A70="","",CHOOSE(WEEKDAY($A70,2),"Seg","Ter","Qua","Qui","Sex","Sáb","Dom"))</f>
        <v>Qui</v>
      </c>
      <c r="M70" s="27">
        <f>IF($E70="","",IF($G70&lt;&gt;"",$G70,IFERROR(INDEX(ProcValor,MATCH($E70,ProcNome,0)),0)))</f>
        <v>130</v>
      </c>
      <c r="N70" s="27">
        <f>IF($M70="","",IF($F70="Compareceu",$M70,0))</f>
        <v>130</v>
      </c>
      <c r="O70" s="27">
        <f>IF($M70="","",IF($F70="Faltou",$M70,0))</f>
        <v>0</v>
      </c>
      <c r="P70" s="27">
        <f>IF($M70="","",IF($F70="Compareceu",MAX(0,$M70-N($H70)),0))</f>
        <v>0</v>
      </c>
      <c r="Q70" s="19">
        <f>IF(AND($F70="Compareceu",$E70&lt;&gt;"",$A70&lt;&gt;""),IF(IFERROR(INDEX(ProcRet,MATCH($E70,ProcNome,0)),0)&gt;0,$A70+INDEX(ProcRet,MATCH($E70,ProcNome,0)),""),"")</f>
        <v>46316.0</v>
      </c>
      <c r="R70" s="26" t="str">
        <f>IF($Q70="","",IF(COUNTIFS(AgPac,$D70,AgData,"&gt;"&amp;$A70,AgStatus,"&lt;&gt;Cancelado",AgStatus,"&lt;&gt;Remarcado")&gt;0,"Sim","Não"))</f>
        <v>Sim</v>
      </c>
      <c r="S70" s="28">
        <f>IF($A70="","",IF(AND($F70="Agendado",$A70-Hoje&gt;=0,$A70-Hoje&lt;=DiasConf),"CONFIRMAR",IF(AND($A70&lt;Hoje,OR($F70="Agendado",$F70="Confirmado")),"Atualizar status",IF(AND($F70="Compareceu",$P70&gt;0.005),"Cobrar",IF($F70="Faltou","Falta: reagendar","")))))</f>
        <v>0</v>
      </c>
      <c r="T70" s="29">
        <f>IF($A70="","",DATE(YEAR($A70),MONTH($A70),1))</f>
        <v>46204.0</v>
      </c>
      <c r="U70" s="30">
        <f>IF($S70="CONFIRMAR",MAX($U$4:$U69)+1,"")</f>
        <v>0</v>
      </c>
      <c r="V70" s="30">
        <f>IF(AND($R70="Não",$Q70&lt;&gt;"",$Q70&lt;=Hoje+JanelaRet,$Q70&gt;=Hoje-60),MAX($V$4:$V69)+1,"")</f>
        <v>0</v>
      </c>
    </row>
    <row r="71" spans="1:22">
      <c r="A71" s="16">
        <v>46227</v>
      </c>
      <c r="B71" s="23">
        <v>0.4791666666666667</v>
      </c>
      <c r="C71" s="15" t="s">
        <v>54</v>
      </c>
      <c r="D71" s="15" t="s">
        <v>118</v>
      </c>
      <c r="E71" s="15" t="s">
        <v>65</v>
      </c>
      <c r="F71" s="24" t="s">
        <v>79</v>
      </c>
      <c r="G71" s="17"/>
      <c r="H71" s="17">
        <v>130</v>
      </c>
      <c r="I71" s="15" t="s">
        <v>74</v>
      </c>
      <c r="J71" s="25" t="str">
        <f>IF($D71="","",IFERROR(INDEX(PacNome,MATCH($D71,PacCod,0)),"Paciente não cadastrado"))</f>
        <v>Paciente 007</v>
      </c>
      <c r="K71" s="26" t="str">
        <f>IF($D71="","",IFERROR(INDEX(PacConv,MATCH($D71,PacCod,0))&amp;"",""))</f>
        <v>Particular</v>
      </c>
      <c r="L71" s="26" t="str">
        <f>IF($A71="","",CHOOSE(WEEKDAY($A71,2),"Seg","Ter","Qua","Qui","Sex","Sáb","Dom"))</f>
        <v>Sex</v>
      </c>
      <c r="M71" s="27">
        <f>IF($E71="","",IF($G71&lt;&gt;"",$G71,IFERROR(INDEX(ProcValor,MATCH($E71,ProcNome,0)),0)))</f>
        <v>130</v>
      </c>
      <c r="N71" s="27">
        <f>IF($M71="","",IF($F71="Compareceu",$M71,0))</f>
        <v>130</v>
      </c>
      <c r="O71" s="27">
        <f>IF($M71="","",IF($F71="Faltou",$M71,0))</f>
        <v>0</v>
      </c>
      <c r="P71" s="27">
        <f>IF($M71="","",IF($F71="Compareceu",MAX(0,$M71-N($H71)),0))</f>
        <v>0</v>
      </c>
      <c r="Q71" s="19">
        <f>IF(AND($F71="Compareceu",$E71&lt;&gt;"",$A71&lt;&gt;""),IF(IFERROR(INDEX(ProcRet,MATCH($E71,ProcNome,0)),0)&gt;0,$A71+INDEX(ProcRet,MATCH($E71,ProcNome,0)),""),"")</f>
        <v>46317.0</v>
      </c>
      <c r="R71" s="26" t="str">
        <f>IF($Q71="","",IF(COUNTIFS(AgPac,$D71,AgData,"&gt;"&amp;$A71,AgStatus,"&lt;&gt;Cancelado",AgStatus,"&lt;&gt;Remarcado")&gt;0,"Sim","Não"))</f>
        <v>Sim</v>
      </c>
      <c r="S71" s="28">
        <f>IF($A71="","",IF(AND($F71="Agendado",$A71-Hoje&gt;=0,$A71-Hoje&lt;=DiasConf),"CONFIRMAR",IF(AND($A71&lt;Hoje,OR($F71="Agendado",$F71="Confirmado")),"Atualizar status",IF(AND($F71="Compareceu",$P71&gt;0.005),"Cobrar",IF($F71="Faltou","Falta: reagendar","")))))</f>
        <v>0</v>
      </c>
      <c r="T71" s="29">
        <f>IF($A71="","",DATE(YEAR($A71),MONTH($A71),1))</f>
        <v>46204.0</v>
      </c>
      <c r="U71" s="30">
        <f>IF($S71="CONFIRMAR",MAX($U$4:$U70)+1,"")</f>
        <v>0</v>
      </c>
      <c r="V71" s="30">
        <f>IF(AND($R71="Não",$Q71&lt;&gt;"",$Q71&lt;=Hoje+JanelaRet,$Q71&gt;=Hoje-60),MAX($V$4:$V70)+1,"")</f>
        <v>0</v>
      </c>
    </row>
    <row r="72" spans="1:22">
      <c r="A72" s="16">
        <v>46227</v>
      </c>
      <c r="B72" s="23">
        <v>0.5208333333333334</v>
      </c>
      <c r="C72" s="15" t="s">
        <v>53</v>
      </c>
      <c r="D72" s="15" t="s">
        <v>163</v>
      </c>
      <c r="E72" s="15" t="s">
        <v>59</v>
      </c>
      <c r="F72" s="24" t="s">
        <v>79</v>
      </c>
      <c r="G72" s="17">
        <v>90</v>
      </c>
      <c r="H72" s="17">
        <v>90</v>
      </c>
      <c r="I72" s="15" t="s">
        <v>74</v>
      </c>
      <c r="J72" s="25" t="str">
        <f>IF($D72="","",IFERROR(INDEX(PacNome,MATCH($D72,PacCod,0)),"Paciente não cadastrado"))</f>
        <v>Paciente 022</v>
      </c>
      <c r="K72" s="26" t="str">
        <f>IF($D72="","",IFERROR(INDEX(PacConv,MATCH($D72,PacCod,0))&amp;"",""))</f>
        <v>Convênio A</v>
      </c>
      <c r="L72" s="26" t="str">
        <f>IF($A72="","",CHOOSE(WEEKDAY($A72,2),"Seg","Ter","Qua","Qui","Sex","Sáb","Dom"))</f>
        <v>Sex</v>
      </c>
      <c r="M72" s="27">
        <f>IF($E72="","",IF($G72&lt;&gt;"",$G72,IFERROR(INDEX(ProcValor,MATCH($E72,ProcNome,0)),0)))</f>
        <v>90</v>
      </c>
      <c r="N72" s="27">
        <f>IF($M72="","",IF($F72="Compareceu",$M72,0))</f>
        <v>90</v>
      </c>
      <c r="O72" s="27">
        <f>IF($M72="","",IF($F72="Faltou",$M72,0))</f>
        <v>0</v>
      </c>
      <c r="P72" s="27">
        <f>IF($M72="","",IF($F72="Compareceu",MAX(0,$M72-N($H72)),0))</f>
        <v>0</v>
      </c>
      <c r="Q72" s="19">
        <f>IF(AND($F72="Compareceu",$E72&lt;&gt;"",$A72&lt;&gt;""),IF(IFERROR(INDEX(ProcRet,MATCH($E72,ProcNome,0)),0)&gt;0,$A72+INDEX(ProcRet,MATCH($E72,ProcNome,0)),""),"")</f>
        <v>0</v>
      </c>
      <c r="R72" s="26">
        <f>IF($Q72="","",IF(COUNTIFS(AgPac,$D72,AgData,"&gt;"&amp;$A72,AgStatus,"&lt;&gt;Cancelado",AgStatus,"&lt;&gt;Remarcado")&gt;0,"Sim","Não"))</f>
        <v>0</v>
      </c>
      <c r="S72" s="28">
        <f>IF($A72="","",IF(AND($F72="Agendado",$A72-Hoje&gt;=0,$A72-Hoje&lt;=DiasConf),"CONFIRMAR",IF(AND($A72&lt;Hoje,OR($F72="Agendado",$F72="Confirmado")),"Atualizar status",IF(AND($F72="Compareceu",$P72&gt;0.005),"Cobrar",IF($F72="Faltou","Falta: reagendar","")))))</f>
        <v>0</v>
      </c>
      <c r="T72" s="29">
        <f>IF($A72="","",DATE(YEAR($A72),MONTH($A72),1))</f>
        <v>46204.0</v>
      </c>
      <c r="U72" s="30">
        <f>IF($S72="CONFIRMAR",MAX($U$4:$U71)+1,"")</f>
        <v>0</v>
      </c>
      <c r="V72" s="30">
        <f>IF(AND($R72="Não",$Q72&lt;&gt;"",$Q72&lt;=Hoje+JanelaRet,$Q72&gt;=Hoje-60),MAX($V$4:$V71)+1,"")</f>
        <v>0</v>
      </c>
    </row>
    <row r="73" spans="1:22">
      <c r="A73" s="16">
        <v>46227</v>
      </c>
      <c r="B73" s="23">
        <v>0.6041666666666666</v>
      </c>
      <c r="C73" s="15" t="s">
        <v>52</v>
      </c>
      <c r="D73" s="15" t="s">
        <v>202</v>
      </c>
      <c r="E73" s="15" t="s">
        <v>59</v>
      </c>
      <c r="F73" s="24" t="s">
        <v>79</v>
      </c>
      <c r="G73" s="17"/>
      <c r="H73" s="17">
        <v>150</v>
      </c>
      <c r="I73" s="15" t="s">
        <v>75</v>
      </c>
      <c r="J73" s="25" t="str">
        <f>IF($D73="","",IFERROR(INDEX(PacNome,MATCH($D73,PacCod,0)),"Paciente não cadastrado"))</f>
        <v>Paciente 035</v>
      </c>
      <c r="K73" s="26" t="str">
        <f>IF($D73="","",IFERROR(INDEX(PacConv,MATCH($D73,PacCod,0))&amp;"",""))</f>
        <v>Particular</v>
      </c>
      <c r="L73" s="26" t="str">
        <f>IF($A73="","",CHOOSE(WEEKDAY($A73,2),"Seg","Ter","Qua","Qui","Sex","Sáb","Dom"))</f>
        <v>Sex</v>
      </c>
      <c r="M73" s="27">
        <f>IF($E73="","",IF($G73&lt;&gt;"",$G73,IFERROR(INDEX(ProcValor,MATCH($E73,ProcNome,0)),0)))</f>
        <v>150</v>
      </c>
      <c r="N73" s="27">
        <f>IF($M73="","",IF($F73="Compareceu",$M73,0))</f>
        <v>150</v>
      </c>
      <c r="O73" s="27">
        <f>IF($M73="","",IF($F73="Faltou",$M73,0))</f>
        <v>0</v>
      </c>
      <c r="P73" s="27">
        <f>IF($M73="","",IF($F73="Compareceu",MAX(0,$M73-N($H73)),0))</f>
        <v>0</v>
      </c>
      <c r="Q73" s="19">
        <f>IF(AND($F73="Compareceu",$E73&lt;&gt;"",$A73&lt;&gt;""),IF(IFERROR(INDEX(ProcRet,MATCH($E73,ProcNome,0)),0)&gt;0,$A73+INDEX(ProcRet,MATCH($E73,ProcNome,0)),""),"")</f>
        <v>0</v>
      </c>
      <c r="R73" s="26">
        <f>IF($Q73="","",IF(COUNTIFS(AgPac,$D73,AgData,"&gt;"&amp;$A73,AgStatus,"&lt;&gt;Cancelado",AgStatus,"&lt;&gt;Remarcado")&gt;0,"Sim","Não"))</f>
        <v>0</v>
      </c>
      <c r="S73" s="28">
        <f>IF($A73="","",IF(AND($F73="Agendado",$A73-Hoje&gt;=0,$A73-Hoje&lt;=DiasConf),"CONFIRMAR",IF(AND($A73&lt;Hoje,OR($F73="Agendado",$F73="Confirmado")),"Atualizar status",IF(AND($F73="Compareceu",$P73&gt;0.005),"Cobrar",IF($F73="Faltou","Falta: reagendar","")))))</f>
        <v>0</v>
      </c>
      <c r="T73" s="29">
        <f>IF($A73="","",DATE(YEAR($A73),MONTH($A73),1))</f>
        <v>46204.0</v>
      </c>
      <c r="U73" s="30">
        <f>IF($S73="CONFIRMAR",MAX($U$4:$U72)+1,"")</f>
        <v>0</v>
      </c>
      <c r="V73" s="30">
        <f>IF(AND($R73="Não",$Q73&lt;&gt;"",$Q73&lt;=Hoje+JanelaRet,$Q73&gt;=Hoje-60),MAX($V$4:$V72)+1,"")</f>
        <v>0</v>
      </c>
    </row>
    <row r="74" spans="1:22">
      <c r="A74" s="16">
        <v>46227</v>
      </c>
      <c r="B74" s="23">
        <v>0.6666666666666666</v>
      </c>
      <c r="C74" s="15" t="s">
        <v>51</v>
      </c>
      <c r="D74" s="15" t="s">
        <v>226</v>
      </c>
      <c r="E74" s="15" t="s">
        <v>59</v>
      </c>
      <c r="F74" s="24" t="s">
        <v>80</v>
      </c>
      <c r="G74" s="17"/>
      <c r="H74" s="17"/>
      <c r="I74" s="15"/>
      <c r="J74" s="25" t="str">
        <f>IF($D74="","",IFERROR(INDEX(PacNome,MATCH($D74,PacCod,0)),"Paciente não cadastrado"))</f>
        <v>Paciente 043</v>
      </c>
      <c r="K74" s="26" t="str">
        <f>IF($D74="","",IFERROR(INDEX(PacConv,MATCH($D74,PacCod,0))&amp;"",""))</f>
        <v>Convênio A</v>
      </c>
      <c r="L74" s="26" t="str">
        <f>IF($A74="","",CHOOSE(WEEKDAY($A74,2),"Seg","Ter","Qua","Qui","Sex","Sáb","Dom"))</f>
        <v>Sex</v>
      </c>
      <c r="M74" s="27">
        <f>IF($E74="","",IF($G74&lt;&gt;"",$G74,IFERROR(INDEX(ProcValor,MATCH($E74,ProcNome,0)),0)))</f>
        <v>150</v>
      </c>
      <c r="N74" s="27">
        <f>IF($M74="","",IF($F74="Compareceu",$M74,0))</f>
        <v>0</v>
      </c>
      <c r="O74" s="27">
        <f>IF($M74="","",IF($F74="Faltou",$M74,0))</f>
        <v>150</v>
      </c>
      <c r="P74" s="27">
        <f>IF($M74="","",IF($F74="Compareceu",MAX(0,$M74-N($H74)),0))</f>
        <v>0</v>
      </c>
      <c r="Q74" s="19">
        <f>IF(AND($F74="Compareceu",$E74&lt;&gt;"",$A74&lt;&gt;""),IF(IFERROR(INDEX(ProcRet,MATCH($E74,ProcNome,0)),0)&gt;0,$A74+INDEX(ProcRet,MATCH($E74,ProcNome,0)),""),"")</f>
        <v>0</v>
      </c>
      <c r="R74" s="26">
        <f>IF($Q74="","",IF(COUNTIFS(AgPac,$D74,AgData,"&gt;"&amp;$A74,AgStatus,"&lt;&gt;Cancelado",AgStatus,"&lt;&gt;Remarcado")&gt;0,"Sim","Não"))</f>
        <v>0</v>
      </c>
      <c r="S74" s="28" t="str">
        <f>IF($A74="","",IF(AND($F74="Agendado",$A74-Hoje&gt;=0,$A74-Hoje&lt;=DiasConf),"CONFIRMAR",IF(AND($A74&lt;Hoje,OR($F74="Agendado",$F74="Confirmado")),"Atualizar status",IF(AND($F74="Compareceu",$P74&gt;0.005),"Cobrar",IF($F74="Faltou","Falta: reagendar","")))))</f>
        <v>Falta: reagendar</v>
      </c>
      <c r="T74" s="29">
        <f>IF($A74="","",DATE(YEAR($A74),MONTH($A74),1))</f>
        <v>46204.0</v>
      </c>
      <c r="U74" s="30">
        <f>IF($S74="CONFIRMAR",MAX($U$4:$U73)+1,"")</f>
        <v>0</v>
      </c>
      <c r="V74" s="30">
        <f>IF(AND($R74="Não",$Q74&lt;&gt;"",$Q74&lt;=Hoje+JanelaRet,$Q74&gt;=Hoje-60),MAX($V$4:$V73)+1,"")</f>
        <v>0</v>
      </c>
    </row>
    <row r="75" spans="1:22">
      <c r="A75" s="16">
        <v>46228</v>
      </c>
      <c r="B75" s="23">
        <v>0.625</v>
      </c>
      <c r="C75" s="15" t="s">
        <v>51</v>
      </c>
      <c r="D75" s="15" t="s">
        <v>124</v>
      </c>
      <c r="E75" s="15" t="s">
        <v>59</v>
      </c>
      <c r="F75" s="24" t="s">
        <v>79</v>
      </c>
      <c r="G75" s="17">
        <v>90</v>
      </c>
      <c r="H75" s="17">
        <v>90</v>
      </c>
      <c r="I75" s="15" t="s">
        <v>71</v>
      </c>
      <c r="J75" s="25" t="str">
        <f>IF($D75="","",IFERROR(INDEX(PacNome,MATCH($D75,PacCod,0)),"Paciente não cadastrado"))</f>
        <v>Paciente 009</v>
      </c>
      <c r="K75" s="26" t="str">
        <f>IF($D75="","",IFERROR(INDEX(PacConv,MATCH($D75,PacCod,0))&amp;"",""))</f>
        <v>Convênio A</v>
      </c>
      <c r="L75" s="26" t="str">
        <f>IF($A75="","",CHOOSE(WEEKDAY($A75,2),"Seg","Ter","Qua","Qui","Sex","Sáb","Dom"))</f>
        <v>Sáb</v>
      </c>
      <c r="M75" s="27">
        <f>IF($E75="","",IF($G75&lt;&gt;"",$G75,IFERROR(INDEX(ProcValor,MATCH($E75,ProcNome,0)),0)))</f>
        <v>90</v>
      </c>
      <c r="N75" s="27">
        <f>IF($M75="","",IF($F75="Compareceu",$M75,0))</f>
        <v>90</v>
      </c>
      <c r="O75" s="27">
        <f>IF($M75="","",IF($F75="Faltou",$M75,0))</f>
        <v>0</v>
      </c>
      <c r="P75" s="27">
        <f>IF($M75="","",IF($F75="Compareceu",MAX(0,$M75-N($H75)),0))</f>
        <v>0</v>
      </c>
      <c r="Q75" s="19">
        <f>IF(AND($F75="Compareceu",$E75&lt;&gt;"",$A75&lt;&gt;""),IF(IFERROR(INDEX(ProcRet,MATCH($E75,ProcNome,0)),0)&gt;0,$A75+INDEX(ProcRet,MATCH($E75,ProcNome,0)),""),"")</f>
        <v>0</v>
      </c>
      <c r="R75" s="26">
        <f>IF($Q75="","",IF(COUNTIFS(AgPac,$D75,AgData,"&gt;"&amp;$A75,AgStatus,"&lt;&gt;Cancelado",AgStatus,"&lt;&gt;Remarcado")&gt;0,"Sim","Não"))</f>
        <v>0</v>
      </c>
      <c r="S75" s="28">
        <f>IF($A75="","",IF(AND($F75="Agendado",$A75-Hoje&gt;=0,$A75-Hoje&lt;=DiasConf),"CONFIRMAR",IF(AND($A75&lt;Hoje,OR($F75="Agendado",$F75="Confirmado")),"Atualizar status",IF(AND($F75="Compareceu",$P75&gt;0.005),"Cobrar",IF($F75="Faltou","Falta: reagendar","")))))</f>
        <v>0</v>
      </c>
      <c r="T75" s="29">
        <f>IF($A75="","",DATE(YEAR($A75),MONTH($A75),1))</f>
        <v>46204.0</v>
      </c>
      <c r="U75" s="30">
        <f>IF($S75="CONFIRMAR",MAX($U$4:$U74)+1,"")</f>
        <v>0</v>
      </c>
      <c r="V75" s="30">
        <f>IF(AND($R75="Não",$Q75&lt;&gt;"",$Q75&lt;=Hoje+JanelaRet,$Q75&gt;=Hoje-60),MAX($V$4:$V74)+1,"")</f>
        <v>0</v>
      </c>
    </row>
    <row r="76" spans="1:22">
      <c r="A76" s="16">
        <v>46228</v>
      </c>
      <c r="B76" s="23">
        <v>0.7083333333333334</v>
      </c>
      <c r="C76" s="15" t="s">
        <v>52</v>
      </c>
      <c r="D76" s="15" t="s">
        <v>130</v>
      </c>
      <c r="E76" s="15" t="s">
        <v>63</v>
      </c>
      <c r="F76" s="24" t="s">
        <v>79</v>
      </c>
      <c r="G76" s="17">
        <v>84</v>
      </c>
      <c r="H76" s="17">
        <v>84</v>
      </c>
      <c r="I76" s="15" t="s">
        <v>73</v>
      </c>
      <c r="J76" s="25" t="str">
        <f>IF($D76="","",IFERROR(INDEX(PacNome,MATCH($D76,PacCod,0)),"Paciente não cadastrado"))</f>
        <v>Paciente 011</v>
      </c>
      <c r="K76" s="26" t="str">
        <f>IF($D76="","",IFERROR(INDEX(PacConv,MATCH($D76,PacCod,0))&amp;"",""))</f>
        <v>Convênio A</v>
      </c>
      <c r="L76" s="26" t="str">
        <f>IF($A76="","",CHOOSE(WEEKDAY($A76,2),"Seg","Ter","Qua","Qui","Sex","Sáb","Dom"))</f>
        <v>Sáb</v>
      </c>
      <c r="M76" s="27">
        <f>IF($E76="","",IF($G76&lt;&gt;"",$G76,IFERROR(INDEX(ProcValor,MATCH($E76,ProcNome,0)),0)))</f>
        <v>84</v>
      </c>
      <c r="N76" s="27">
        <f>IF($M76="","",IF($F76="Compareceu",$M76,0))</f>
        <v>84</v>
      </c>
      <c r="O76" s="27">
        <f>IF($M76="","",IF($F76="Faltou",$M76,0))</f>
        <v>0</v>
      </c>
      <c r="P76" s="27">
        <f>IF($M76="","",IF($F76="Compareceu",MAX(0,$M76-N($H76)),0))</f>
        <v>0</v>
      </c>
      <c r="Q76" s="19">
        <f>IF(AND($F76="Compareceu",$E76&lt;&gt;"",$A76&lt;&gt;""),IF(IFERROR(INDEX(ProcRet,MATCH($E76,ProcNome,0)),0)&gt;0,$A76+INDEX(ProcRet,MATCH($E76,ProcNome,0)),""),"")</f>
        <v>46235.0</v>
      </c>
      <c r="R76" s="26" t="str">
        <f>IF($Q76="","",IF(COUNTIFS(AgPac,$D76,AgData,"&gt;"&amp;$A76,AgStatus,"&lt;&gt;Cancelado",AgStatus,"&lt;&gt;Remarcado")&gt;0,"Sim","Não"))</f>
        <v>Sim</v>
      </c>
      <c r="S76" s="28">
        <f>IF($A76="","",IF(AND($F76="Agendado",$A76-Hoje&gt;=0,$A76-Hoje&lt;=DiasConf),"CONFIRMAR",IF(AND($A76&lt;Hoje,OR($F76="Agendado",$F76="Confirmado")),"Atualizar status",IF(AND($F76="Compareceu",$P76&gt;0.005),"Cobrar",IF($F76="Faltou","Falta: reagendar","")))))</f>
        <v>0</v>
      </c>
      <c r="T76" s="29">
        <f>IF($A76="","",DATE(YEAR($A76),MONTH($A76),1))</f>
        <v>46204.0</v>
      </c>
      <c r="U76" s="30">
        <f>IF($S76="CONFIRMAR",MAX($U$4:$U75)+1,"")</f>
        <v>0</v>
      </c>
      <c r="V76" s="30">
        <f>IF(AND($R76="Não",$Q76&lt;&gt;"",$Q76&lt;=Hoje+JanelaRet,$Q76&gt;=Hoje-60),MAX($V$4:$V75)+1,"")</f>
        <v>0</v>
      </c>
    </row>
    <row r="77" spans="1:22">
      <c r="A77" s="16">
        <v>46230</v>
      </c>
      <c r="B77" s="23">
        <v>0.3958333333333333</v>
      </c>
      <c r="C77" s="15" t="s">
        <v>53</v>
      </c>
      <c r="D77" s="15" t="s">
        <v>151</v>
      </c>
      <c r="E77" s="15" t="s">
        <v>63</v>
      </c>
      <c r="F77" s="24" t="s">
        <v>79</v>
      </c>
      <c r="G77" s="17"/>
      <c r="H77" s="17">
        <v>140</v>
      </c>
      <c r="I77" s="15" t="s">
        <v>72</v>
      </c>
      <c r="J77" s="25" t="str">
        <f>IF($D77="","",IFERROR(INDEX(PacNome,MATCH($D77,PacCod,0)),"Paciente não cadastrado"))</f>
        <v>Paciente 018</v>
      </c>
      <c r="K77" s="26" t="str">
        <f>IF($D77="","",IFERROR(INDEX(PacConv,MATCH($D77,PacCod,0))&amp;"",""))</f>
        <v>Particular</v>
      </c>
      <c r="L77" s="26" t="str">
        <f>IF($A77="","",CHOOSE(WEEKDAY($A77,2),"Seg","Ter","Qua","Qui","Sex","Sáb","Dom"))</f>
        <v>Seg</v>
      </c>
      <c r="M77" s="27">
        <f>IF($E77="","",IF($G77&lt;&gt;"",$G77,IFERROR(INDEX(ProcValor,MATCH($E77,ProcNome,0)),0)))</f>
        <v>140</v>
      </c>
      <c r="N77" s="27">
        <f>IF($M77="","",IF($F77="Compareceu",$M77,0))</f>
        <v>140</v>
      </c>
      <c r="O77" s="27">
        <f>IF($M77="","",IF($F77="Faltou",$M77,0))</f>
        <v>0</v>
      </c>
      <c r="P77" s="27">
        <f>IF($M77="","",IF($F77="Compareceu",MAX(0,$M77-N($H77)),0))</f>
        <v>0</v>
      </c>
      <c r="Q77" s="19">
        <f>IF(AND($F77="Compareceu",$E77&lt;&gt;"",$A77&lt;&gt;""),IF(IFERROR(INDEX(ProcRet,MATCH($E77,ProcNome,0)),0)&gt;0,$A77+INDEX(ProcRet,MATCH($E77,ProcNome,0)),""),"")</f>
        <v>46237.0</v>
      </c>
      <c r="R77" s="26" t="str">
        <f>IF($Q77="","",IF(COUNTIFS(AgPac,$D77,AgData,"&gt;"&amp;$A77,AgStatus,"&lt;&gt;Cancelado",AgStatus,"&lt;&gt;Remarcado")&gt;0,"Sim","Não"))</f>
        <v>Sim</v>
      </c>
      <c r="S77" s="28">
        <f>IF($A77="","",IF(AND($F77="Agendado",$A77-Hoje&gt;=0,$A77-Hoje&lt;=DiasConf),"CONFIRMAR",IF(AND($A77&lt;Hoje,OR($F77="Agendado",$F77="Confirmado")),"Atualizar status",IF(AND($F77="Compareceu",$P77&gt;0.005),"Cobrar",IF($F77="Faltou","Falta: reagendar","")))))</f>
        <v>0</v>
      </c>
      <c r="T77" s="29">
        <f>IF($A77="","",DATE(YEAR($A77),MONTH($A77),1))</f>
        <v>46204.0</v>
      </c>
      <c r="U77" s="30">
        <f>IF($S77="CONFIRMAR",MAX($U$4:$U76)+1,"")</f>
        <v>0</v>
      </c>
      <c r="V77" s="30">
        <f>IF(AND($R77="Não",$Q77&lt;&gt;"",$Q77&lt;=Hoje+JanelaRet,$Q77&gt;=Hoje-60),MAX($V$4:$V76)+1,"")</f>
        <v>0</v>
      </c>
    </row>
    <row r="78" spans="1:22">
      <c r="A78" s="16">
        <v>46230</v>
      </c>
      <c r="B78" s="23">
        <v>0.4791666666666667</v>
      </c>
      <c r="C78" s="15" t="s">
        <v>52</v>
      </c>
      <c r="D78" s="15" t="s">
        <v>121</v>
      </c>
      <c r="E78" s="15" t="s">
        <v>65</v>
      </c>
      <c r="F78" s="24" t="s">
        <v>79</v>
      </c>
      <c r="G78" s="17"/>
      <c r="H78" s="17">
        <v>130</v>
      </c>
      <c r="I78" s="15" t="s">
        <v>71</v>
      </c>
      <c r="J78" s="25" t="str">
        <f>IF($D78="","",IFERROR(INDEX(PacNome,MATCH($D78,PacCod,0)),"Paciente não cadastrado"))</f>
        <v>Paciente 008</v>
      </c>
      <c r="K78" s="26" t="str">
        <f>IF($D78="","",IFERROR(INDEX(PacConv,MATCH($D78,PacCod,0))&amp;"",""))</f>
        <v>Particular</v>
      </c>
      <c r="L78" s="26" t="str">
        <f>IF($A78="","",CHOOSE(WEEKDAY($A78,2),"Seg","Ter","Qua","Qui","Sex","Sáb","Dom"))</f>
        <v>Seg</v>
      </c>
      <c r="M78" s="27">
        <f>IF($E78="","",IF($G78&lt;&gt;"",$G78,IFERROR(INDEX(ProcValor,MATCH($E78,ProcNome,0)),0)))</f>
        <v>130</v>
      </c>
      <c r="N78" s="27">
        <f>IF($M78="","",IF($F78="Compareceu",$M78,0))</f>
        <v>130</v>
      </c>
      <c r="O78" s="27">
        <f>IF($M78="","",IF($F78="Faltou",$M78,0))</f>
        <v>0</v>
      </c>
      <c r="P78" s="27">
        <f>IF($M78="","",IF($F78="Compareceu",MAX(0,$M78-N($H78)),0))</f>
        <v>0</v>
      </c>
      <c r="Q78" s="19">
        <f>IF(AND($F78="Compareceu",$E78&lt;&gt;"",$A78&lt;&gt;""),IF(IFERROR(INDEX(ProcRet,MATCH($E78,ProcNome,0)),0)&gt;0,$A78+INDEX(ProcRet,MATCH($E78,ProcNome,0)),""),"")</f>
        <v>46320.0</v>
      </c>
      <c r="R78" s="26" t="str">
        <f>IF($Q78="","",IF(COUNTIFS(AgPac,$D78,AgData,"&gt;"&amp;$A78,AgStatus,"&lt;&gt;Cancelado",AgStatus,"&lt;&gt;Remarcado")&gt;0,"Sim","Não"))</f>
        <v>Sim</v>
      </c>
      <c r="S78" s="28">
        <f>IF($A78="","",IF(AND($F78="Agendado",$A78-Hoje&gt;=0,$A78-Hoje&lt;=DiasConf),"CONFIRMAR",IF(AND($A78&lt;Hoje,OR($F78="Agendado",$F78="Confirmado")),"Atualizar status",IF(AND($F78="Compareceu",$P78&gt;0.005),"Cobrar",IF($F78="Faltou","Falta: reagendar","")))))</f>
        <v>0</v>
      </c>
      <c r="T78" s="29">
        <f>IF($A78="","",DATE(YEAR($A78),MONTH($A78),1))</f>
        <v>46204.0</v>
      </c>
      <c r="U78" s="30">
        <f>IF($S78="CONFIRMAR",MAX($U$4:$U77)+1,"")</f>
        <v>0</v>
      </c>
      <c r="V78" s="30">
        <f>IF(AND($R78="Não",$Q78&lt;&gt;"",$Q78&lt;=Hoje+JanelaRet,$Q78&gt;=Hoje-60),MAX($V$4:$V77)+1,"")</f>
        <v>0</v>
      </c>
    </row>
    <row r="79" spans="1:22">
      <c r="A79" s="16">
        <v>46230</v>
      </c>
      <c r="B79" s="23">
        <v>0.5625</v>
      </c>
      <c r="C79" s="15" t="s">
        <v>53</v>
      </c>
      <c r="D79" s="15" t="s">
        <v>175</v>
      </c>
      <c r="E79" s="15" t="s">
        <v>61</v>
      </c>
      <c r="F79" s="24" t="s">
        <v>81</v>
      </c>
      <c r="G79" s="17"/>
      <c r="H79" s="17"/>
      <c r="I79" s="15"/>
      <c r="J79" s="25" t="str">
        <f>IF($D79="","",IFERROR(INDEX(PacNome,MATCH($D79,PacCod,0)),"Paciente não cadastrado"))</f>
        <v>Paciente 026</v>
      </c>
      <c r="K79" s="26" t="str">
        <f>IF($D79="","",IFERROR(INDEX(PacConv,MATCH($D79,PacCod,0))&amp;"",""))</f>
        <v>Convênio A</v>
      </c>
      <c r="L79" s="26" t="str">
        <f>IF($A79="","",CHOOSE(WEEKDAY($A79,2),"Seg","Ter","Qua","Qui","Sex","Sáb","Dom"))</f>
        <v>Seg</v>
      </c>
      <c r="M79" s="27">
        <f>IF($E79="","",IF($G79&lt;&gt;"",$G79,IFERROR(INDEX(ProcValor,MATCH($E79,ProcNome,0)),0)))</f>
        <v>120</v>
      </c>
      <c r="N79" s="27">
        <f>IF($M79="","",IF($F79="Compareceu",$M79,0))</f>
        <v>0</v>
      </c>
      <c r="O79" s="27">
        <f>IF($M79="","",IF($F79="Faltou",$M79,0))</f>
        <v>0</v>
      </c>
      <c r="P79" s="27">
        <f>IF($M79="","",IF($F79="Compareceu",MAX(0,$M79-N($H79)),0))</f>
        <v>0</v>
      </c>
      <c r="Q79" s="19">
        <f>IF(AND($F79="Compareceu",$E79&lt;&gt;"",$A79&lt;&gt;""),IF(IFERROR(INDEX(ProcRet,MATCH($E79,ProcNome,0)),0)&gt;0,$A79+INDEX(ProcRet,MATCH($E79,ProcNome,0)),""),"")</f>
        <v>0</v>
      </c>
      <c r="R79" s="26">
        <f>IF($Q79="","",IF(COUNTIFS(AgPac,$D79,AgData,"&gt;"&amp;$A79,AgStatus,"&lt;&gt;Cancelado",AgStatus,"&lt;&gt;Remarcado")&gt;0,"Sim","Não"))</f>
        <v>0</v>
      </c>
      <c r="S79" s="28">
        <f>IF($A79="","",IF(AND($F79="Agendado",$A79-Hoje&gt;=0,$A79-Hoje&lt;=DiasConf),"CONFIRMAR",IF(AND($A79&lt;Hoje,OR($F79="Agendado",$F79="Confirmado")),"Atualizar status",IF(AND($F79="Compareceu",$P79&gt;0.005),"Cobrar",IF($F79="Faltou","Falta: reagendar","")))))</f>
        <v>0</v>
      </c>
      <c r="T79" s="29">
        <f>IF($A79="","",DATE(YEAR($A79),MONTH($A79),1))</f>
        <v>46204.0</v>
      </c>
      <c r="U79" s="30">
        <f>IF($S79="CONFIRMAR",MAX($U$4:$U78)+1,"")</f>
        <v>0</v>
      </c>
      <c r="V79" s="30">
        <f>IF(AND($R79="Não",$Q79&lt;&gt;"",$Q79&lt;=Hoje+JanelaRet,$Q79&gt;=Hoje-60),MAX($V$4:$V78)+1,"")</f>
        <v>0</v>
      </c>
    </row>
    <row r="80" spans="1:22">
      <c r="A80" s="16">
        <v>46230</v>
      </c>
      <c r="B80" s="23">
        <v>0.625</v>
      </c>
      <c r="C80" s="15" t="s">
        <v>52</v>
      </c>
      <c r="D80" s="15" t="s">
        <v>109</v>
      </c>
      <c r="E80" s="15" t="s">
        <v>64</v>
      </c>
      <c r="F80" s="24" t="s">
        <v>80</v>
      </c>
      <c r="G80" s="17"/>
      <c r="H80" s="17"/>
      <c r="I80" s="15"/>
      <c r="J80" s="25" t="str">
        <f>IF($D80="","",IFERROR(INDEX(PacNome,MATCH($D80,PacCod,0)),"Paciente não cadastrado"))</f>
        <v>Paciente 004</v>
      </c>
      <c r="K80" s="26" t="str">
        <f>IF($D80="","",IFERROR(INDEX(PacConv,MATCH($D80,PacCod,0))&amp;"",""))</f>
        <v>Particular</v>
      </c>
      <c r="L80" s="26" t="str">
        <f>IF($A80="","",CHOOSE(WEEKDAY($A80,2),"Seg","Ter","Qua","Qui","Sex","Sáb","Dom"))</f>
        <v>Seg</v>
      </c>
      <c r="M80" s="27">
        <f>IF($E80="","",IF($G80&lt;&gt;"",$G80,IFERROR(INDEX(ProcValor,MATCH($E80,ProcNome,0)),0)))</f>
        <v>90</v>
      </c>
      <c r="N80" s="27">
        <f>IF($M80="","",IF($F80="Compareceu",$M80,0))</f>
        <v>0</v>
      </c>
      <c r="O80" s="27">
        <f>IF($M80="","",IF($F80="Faltou",$M80,0))</f>
        <v>90</v>
      </c>
      <c r="P80" s="27">
        <f>IF($M80="","",IF($F80="Compareceu",MAX(0,$M80-N($H80)),0))</f>
        <v>0</v>
      </c>
      <c r="Q80" s="19">
        <f>IF(AND($F80="Compareceu",$E80&lt;&gt;"",$A80&lt;&gt;""),IF(IFERROR(INDEX(ProcRet,MATCH($E80,ProcNome,0)),0)&gt;0,$A80+INDEX(ProcRet,MATCH($E80,ProcNome,0)),""),"")</f>
        <v>0</v>
      </c>
      <c r="R80" s="26">
        <f>IF($Q80="","",IF(COUNTIFS(AgPac,$D80,AgData,"&gt;"&amp;$A80,AgStatus,"&lt;&gt;Cancelado",AgStatus,"&lt;&gt;Remarcado")&gt;0,"Sim","Não"))</f>
        <v>0</v>
      </c>
      <c r="S80" s="28" t="str">
        <f>IF($A80="","",IF(AND($F80="Agendado",$A80-Hoje&gt;=0,$A80-Hoje&lt;=DiasConf),"CONFIRMAR",IF(AND($A80&lt;Hoje,OR($F80="Agendado",$F80="Confirmado")),"Atualizar status",IF(AND($F80="Compareceu",$P80&gt;0.005),"Cobrar",IF($F80="Faltou","Falta: reagendar","")))))</f>
        <v>Falta: reagendar</v>
      </c>
      <c r="T80" s="29">
        <f>IF($A80="","",DATE(YEAR($A80),MONTH($A80),1))</f>
        <v>46204.0</v>
      </c>
      <c r="U80" s="30">
        <f>IF($S80="CONFIRMAR",MAX($U$4:$U79)+1,"")</f>
        <v>0</v>
      </c>
      <c r="V80" s="30">
        <f>IF(AND($R80="Não",$Q80&lt;&gt;"",$Q80&lt;=Hoje+JanelaRet,$Q80&gt;=Hoje-60),MAX($V$4:$V79)+1,"")</f>
        <v>0</v>
      </c>
    </row>
    <row r="81" spans="1:22">
      <c r="A81" s="16">
        <v>46231</v>
      </c>
      <c r="B81" s="23">
        <v>0.3333333333333333</v>
      </c>
      <c r="C81" s="15" t="s">
        <v>53</v>
      </c>
      <c r="D81" s="15" t="s">
        <v>202</v>
      </c>
      <c r="E81" s="15" t="s">
        <v>61</v>
      </c>
      <c r="F81" s="24" t="s">
        <v>79</v>
      </c>
      <c r="G81" s="17"/>
      <c r="H81" s="17">
        <v>120</v>
      </c>
      <c r="I81" s="15" t="s">
        <v>75</v>
      </c>
      <c r="J81" s="25" t="str">
        <f>IF($D81="","",IFERROR(INDEX(PacNome,MATCH($D81,PacCod,0)),"Paciente não cadastrado"))</f>
        <v>Paciente 035</v>
      </c>
      <c r="K81" s="26" t="str">
        <f>IF($D81="","",IFERROR(INDEX(PacConv,MATCH($D81,PacCod,0))&amp;"",""))</f>
        <v>Particular</v>
      </c>
      <c r="L81" s="26" t="str">
        <f>IF($A81="","",CHOOSE(WEEKDAY($A81,2),"Seg","Ter","Qua","Qui","Sex","Sáb","Dom"))</f>
        <v>Ter</v>
      </c>
      <c r="M81" s="27">
        <f>IF($E81="","",IF($G81&lt;&gt;"",$G81,IFERROR(INDEX(ProcValor,MATCH($E81,ProcNome,0)),0)))</f>
        <v>120</v>
      </c>
      <c r="N81" s="27">
        <f>IF($M81="","",IF($F81="Compareceu",$M81,0))</f>
        <v>120</v>
      </c>
      <c r="O81" s="27">
        <f>IF($M81="","",IF($F81="Faltou",$M81,0))</f>
        <v>0</v>
      </c>
      <c r="P81" s="27">
        <f>IF($M81="","",IF($F81="Compareceu",MAX(0,$M81-N($H81)),0))</f>
        <v>0</v>
      </c>
      <c r="Q81" s="19">
        <f>IF(AND($F81="Compareceu",$E81&lt;&gt;"",$A81&lt;&gt;""),IF(IFERROR(INDEX(ProcRet,MATCH($E81,ProcNome,0)),0)&gt;0,$A81+INDEX(ProcRet,MATCH($E81,ProcNome,0)),""),"")</f>
        <v>46261.0</v>
      </c>
      <c r="R81" s="26" t="str">
        <f>IF($Q81="","",IF(COUNTIFS(AgPac,$D81,AgData,"&gt;"&amp;$A81,AgStatus,"&lt;&gt;Cancelado",AgStatus,"&lt;&gt;Remarcado")&gt;0,"Sim","Não"))</f>
        <v>Sim</v>
      </c>
      <c r="S81" s="28">
        <f>IF($A81="","",IF(AND($F81="Agendado",$A81-Hoje&gt;=0,$A81-Hoje&lt;=DiasConf),"CONFIRMAR",IF(AND($A81&lt;Hoje,OR($F81="Agendado",$F81="Confirmado")),"Atualizar status",IF(AND($F81="Compareceu",$P81&gt;0.005),"Cobrar",IF($F81="Faltou","Falta: reagendar","")))))</f>
        <v>0</v>
      </c>
      <c r="T81" s="29">
        <f>IF($A81="","",DATE(YEAR($A81),MONTH($A81),1))</f>
        <v>46204.0</v>
      </c>
      <c r="U81" s="30">
        <f>IF($S81="CONFIRMAR",MAX($U$4:$U80)+1,"")</f>
        <v>0</v>
      </c>
      <c r="V81" s="30">
        <f>IF(AND($R81="Não",$Q81&lt;&gt;"",$Q81&lt;=Hoje+JanelaRet,$Q81&gt;=Hoje-60),MAX($V$4:$V80)+1,"")</f>
        <v>0</v>
      </c>
    </row>
    <row r="82" spans="1:22">
      <c r="A82" s="16">
        <v>46231</v>
      </c>
      <c r="B82" s="23">
        <v>0.5416666666666666</v>
      </c>
      <c r="C82" s="15" t="s">
        <v>52</v>
      </c>
      <c r="D82" s="15" t="s">
        <v>118</v>
      </c>
      <c r="E82" s="15" t="s">
        <v>59</v>
      </c>
      <c r="F82" s="24" t="s">
        <v>79</v>
      </c>
      <c r="G82" s="17"/>
      <c r="H82" s="17">
        <v>150</v>
      </c>
      <c r="I82" s="15" t="s">
        <v>75</v>
      </c>
      <c r="J82" s="25" t="str">
        <f>IF($D82="","",IFERROR(INDEX(PacNome,MATCH($D82,PacCod,0)),"Paciente não cadastrado"))</f>
        <v>Paciente 007</v>
      </c>
      <c r="K82" s="26" t="str">
        <f>IF($D82="","",IFERROR(INDEX(PacConv,MATCH($D82,PacCod,0))&amp;"",""))</f>
        <v>Particular</v>
      </c>
      <c r="L82" s="26" t="str">
        <f>IF($A82="","",CHOOSE(WEEKDAY($A82,2),"Seg","Ter","Qua","Qui","Sex","Sáb","Dom"))</f>
        <v>Ter</v>
      </c>
      <c r="M82" s="27">
        <f>IF($E82="","",IF($G82&lt;&gt;"",$G82,IFERROR(INDEX(ProcValor,MATCH($E82,ProcNome,0)),0)))</f>
        <v>150</v>
      </c>
      <c r="N82" s="27">
        <f>IF($M82="","",IF($F82="Compareceu",$M82,0))</f>
        <v>150</v>
      </c>
      <c r="O82" s="27">
        <f>IF($M82="","",IF($F82="Faltou",$M82,0))</f>
        <v>0</v>
      </c>
      <c r="P82" s="27">
        <f>IF($M82="","",IF($F82="Compareceu",MAX(0,$M82-N($H82)),0))</f>
        <v>0</v>
      </c>
      <c r="Q82" s="19">
        <f>IF(AND($F82="Compareceu",$E82&lt;&gt;"",$A82&lt;&gt;""),IF(IFERROR(INDEX(ProcRet,MATCH($E82,ProcNome,0)),0)&gt;0,$A82+INDEX(ProcRet,MATCH($E82,ProcNome,0)),""),"")</f>
        <v>0</v>
      </c>
      <c r="R82" s="26">
        <f>IF($Q82="","",IF(COUNTIFS(AgPac,$D82,AgData,"&gt;"&amp;$A82,AgStatus,"&lt;&gt;Cancelado",AgStatus,"&lt;&gt;Remarcado")&gt;0,"Sim","Não"))</f>
        <v>0</v>
      </c>
      <c r="S82" s="28">
        <f>IF($A82="","",IF(AND($F82="Agendado",$A82-Hoje&gt;=0,$A82-Hoje&lt;=DiasConf),"CONFIRMAR",IF(AND($A82&lt;Hoje,OR($F82="Agendado",$F82="Confirmado")),"Atualizar status",IF(AND($F82="Compareceu",$P82&gt;0.005),"Cobrar",IF($F82="Faltou","Falta: reagendar","")))))</f>
        <v>0</v>
      </c>
      <c r="T82" s="29">
        <f>IF($A82="","",DATE(YEAR($A82),MONTH($A82),1))</f>
        <v>46204.0</v>
      </c>
      <c r="U82" s="30">
        <f>IF($S82="CONFIRMAR",MAX($U$4:$U81)+1,"")</f>
        <v>0</v>
      </c>
      <c r="V82" s="30">
        <f>IF(AND($R82="Não",$Q82&lt;&gt;"",$Q82&lt;=Hoje+JanelaRet,$Q82&gt;=Hoje-60),MAX($V$4:$V81)+1,"")</f>
        <v>0</v>
      </c>
    </row>
    <row r="83" spans="1:22">
      <c r="A83" s="16">
        <v>46231</v>
      </c>
      <c r="B83" s="23">
        <v>0.6666666666666666</v>
      </c>
      <c r="C83" s="15" t="s">
        <v>51</v>
      </c>
      <c r="D83" s="15" t="s">
        <v>172</v>
      </c>
      <c r="E83" s="15" t="s">
        <v>63</v>
      </c>
      <c r="F83" s="24" t="s">
        <v>81</v>
      </c>
      <c r="G83" s="17"/>
      <c r="H83" s="17"/>
      <c r="I83" s="15"/>
      <c r="J83" s="25" t="str">
        <f>IF($D83="","",IFERROR(INDEX(PacNome,MATCH($D83,PacCod,0)),"Paciente não cadastrado"))</f>
        <v>Paciente 025</v>
      </c>
      <c r="K83" s="26" t="str">
        <f>IF($D83="","",IFERROR(INDEX(PacConv,MATCH($D83,PacCod,0))&amp;"",""))</f>
        <v>Convênio A</v>
      </c>
      <c r="L83" s="26" t="str">
        <f>IF($A83="","",CHOOSE(WEEKDAY($A83,2),"Seg","Ter","Qua","Qui","Sex","Sáb","Dom"))</f>
        <v>Ter</v>
      </c>
      <c r="M83" s="27">
        <f>IF($E83="","",IF($G83&lt;&gt;"",$G83,IFERROR(INDEX(ProcValor,MATCH($E83,ProcNome,0)),0)))</f>
        <v>140</v>
      </c>
      <c r="N83" s="27">
        <f>IF($M83="","",IF($F83="Compareceu",$M83,0))</f>
        <v>0</v>
      </c>
      <c r="O83" s="27">
        <f>IF($M83="","",IF($F83="Faltou",$M83,0))</f>
        <v>0</v>
      </c>
      <c r="P83" s="27">
        <f>IF($M83="","",IF($F83="Compareceu",MAX(0,$M83-N($H83)),0))</f>
        <v>0</v>
      </c>
      <c r="Q83" s="19">
        <f>IF(AND($F83="Compareceu",$E83&lt;&gt;"",$A83&lt;&gt;""),IF(IFERROR(INDEX(ProcRet,MATCH($E83,ProcNome,0)),0)&gt;0,$A83+INDEX(ProcRet,MATCH($E83,ProcNome,0)),""),"")</f>
        <v>0</v>
      </c>
      <c r="R83" s="26">
        <f>IF($Q83="","",IF(COUNTIFS(AgPac,$D83,AgData,"&gt;"&amp;$A83,AgStatus,"&lt;&gt;Cancelado",AgStatus,"&lt;&gt;Remarcado")&gt;0,"Sim","Não"))</f>
        <v>0</v>
      </c>
      <c r="S83" s="28">
        <f>IF($A83="","",IF(AND($F83="Agendado",$A83-Hoje&gt;=0,$A83-Hoje&lt;=DiasConf),"CONFIRMAR",IF(AND($A83&lt;Hoje,OR($F83="Agendado",$F83="Confirmado")),"Atualizar status",IF(AND($F83="Compareceu",$P83&gt;0.005),"Cobrar",IF($F83="Faltou","Falta: reagendar","")))))</f>
        <v>0</v>
      </c>
      <c r="T83" s="29">
        <f>IF($A83="","",DATE(YEAR($A83),MONTH($A83),1))</f>
        <v>46204.0</v>
      </c>
      <c r="U83" s="30">
        <f>IF($S83="CONFIRMAR",MAX($U$4:$U82)+1,"")</f>
        <v>0</v>
      </c>
      <c r="V83" s="30">
        <f>IF(AND($R83="Não",$Q83&lt;&gt;"",$Q83&lt;=Hoje+JanelaRet,$Q83&gt;=Hoje-60),MAX($V$4:$V82)+1,"")</f>
        <v>0</v>
      </c>
    </row>
    <row r="84" spans="1:22">
      <c r="A84" s="16">
        <v>46231</v>
      </c>
      <c r="B84" s="23">
        <v>0.7083333333333334</v>
      </c>
      <c r="C84" s="15" t="s">
        <v>51</v>
      </c>
      <c r="D84" s="15" t="s">
        <v>109</v>
      </c>
      <c r="E84" s="15" t="s">
        <v>59</v>
      </c>
      <c r="F84" s="24" t="s">
        <v>79</v>
      </c>
      <c r="G84" s="17"/>
      <c r="H84" s="17">
        <v>150</v>
      </c>
      <c r="I84" s="15" t="s">
        <v>72</v>
      </c>
      <c r="J84" s="25" t="str">
        <f>IF($D84="","",IFERROR(INDEX(PacNome,MATCH($D84,PacCod,0)),"Paciente não cadastrado"))</f>
        <v>Paciente 004</v>
      </c>
      <c r="K84" s="26" t="str">
        <f>IF($D84="","",IFERROR(INDEX(PacConv,MATCH($D84,PacCod,0))&amp;"",""))</f>
        <v>Particular</v>
      </c>
      <c r="L84" s="26" t="str">
        <f>IF($A84="","",CHOOSE(WEEKDAY($A84,2),"Seg","Ter","Qua","Qui","Sex","Sáb","Dom"))</f>
        <v>Ter</v>
      </c>
      <c r="M84" s="27">
        <f>IF($E84="","",IF($G84&lt;&gt;"",$G84,IFERROR(INDEX(ProcValor,MATCH($E84,ProcNome,0)),0)))</f>
        <v>150</v>
      </c>
      <c r="N84" s="27">
        <f>IF($M84="","",IF($F84="Compareceu",$M84,0))</f>
        <v>150</v>
      </c>
      <c r="O84" s="27">
        <f>IF($M84="","",IF($F84="Faltou",$M84,0))</f>
        <v>0</v>
      </c>
      <c r="P84" s="27">
        <f>IF($M84="","",IF($F84="Compareceu",MAX(0,$M84-N($H84)),0))</f>
        <v>0</v>
      </c>
      <c r="Q84" s="19">
        <f>IF(AND($F84="Compareceu",$E84&lt;&gt;"",$A84&lt;&gt;""),IF(IFERROR(INDEX(ProcRet,MATCH($E84,ProcNome,0)),0)&gt;0,$A84+INDEX(ProcRet,MATCH($E84,ProcNome,0)),""),"")</f>
        <v>0</v>
      </c>
      <c r="R84" s="26">
        <f>IF($Q84="","",IF(COUNTIFS(AgPac,$D84,AgData,"&gt;"&amp;$A84,AgStatus,"&lt;&gt;Cancelado",AgStatus,"&lt;&gt;Remarcado")&gt;0,"Sim","Não"))</f>
        <v>0</v>
      </c>
      <c r="S84" s="28">
        <f>IF($A84="","",IF(AND($F84="Agendado",$A84-Hoje&gt;=0,$A84-Hoje&lt;=DiasConf),"CONFIRMAR",IF(AND($A84&lt;Hoje,OR($F84="Agendado",$F84="Confirmado")),"Atualizar status",IF(AND($F84="Compareceu",$P84&gt;0.005),"Cobrar",IF($F84="Faltou","Falta: reagendar","")))))</f>
        <v>0</v>
      </c>
      <c r="T84" s="29">
        <f>IF($A84="","",DATE(YEAR($A84),MONTH($A84),1))</f>
        <v>46204.0</v>
      </c>
      <c r="U84" s="30">
        <f>IF($S84="CONFIRMAR",MAX($U$4:$U83)+1,"")</f>
        <v>0</v>
      </c>
      <c r="V84" s="30">
        <f>IF(AND($R84="Não",$Q84&lt;&gt;"",$Q84&lt;=Hoje+JanelaRet,$Q84&gt;=Hoje-60),MAX($V$4:$V83)+1,"")</f>
        <v>0</v>
      </c>
    </row>
    <row r="85" spans="1:22">
      <c r="A85" s="16">
        <v>46232</v>
      </c>
      <c r="B85" s="23">
        <v>0.3541666666666667</v>
      </c>
      <c r="C85" s="15" t="s">
        <v>52</v>
      </c>
      <c r="D85" s="15" t="s">
        <v>217</v>
      </c>
      <c r="E85" s="15" t="s">
        <v>59</v>
      </c>
      <c r="F85" s="24" t="s">
        <v>79</v>
      </c>
      <c r="G85" s="17"/>
      <c r="H85" s="17">
        <v>150</v>
      </c>
      <c r="I85" s="15" t="s">
        <v>72</v>
      </c>
      <c r="J85" s="25" t="str">
        <f>IF($D85="","",IFERROR(INDEX(PacNome,MATCH($D85,PacCod,0)),"Paciente não cadastrado"))</f>
        <v>Paciente 040</v>
      </c>
      <c r="K85" s="26" t="str">
        <f>IF($D85="","",IFERROR(INDEX(PacConv,MATCH($D85,PacCod,0))&amp;"",""))</f>
        <v>Particular</v>
      </c>
      <c r="L85" s="26" t="str">
        <f>IF($A85="","",CHOOSE(WEEKDAY($A85,2),"Seg","Ter","Qua","Qui","Sex","Sáb","Dom"))</f>
        <v>Qua</v>
      </c>
      <c r="M85" s="27">
        <f>IF($E85="","",IF($G85&lt;&gt;"",$G85,IFERROR(INDEX(ProcValor,MATCH($E85,ProcNome,0)),0)))</f>
        <v>150</v>
      </c>
      <c r="N85" s="27">
        <f>IF($M85="","",IF($F85="Compareceu",$M85,0))</f>
        <v>150</v>
      </c>
      <c r="O85" s="27">
        <f>IF($M85="","",IF($F85="Faltou",$M85,0))</f>
        <v>0</v>
      </c>
      <c r="P85" s="27">
        <f>IF($M85="","",IF($F85="Compareceu",MAX(0,$M85-N($H85)),0))</f>
        <v>0</v>
      </c>
      <c r="Q85" s="19">
        <f>IF(AND($F85="Compareceu",$E85&lt;&gt;"",$A85&lt;&gt;""),IF(IFERROR(INDEX(ProcRet,MATCH($E85,ProcNome,0)),0)&gt;0,$A85+INDEX(ProcRet,MATCH($E85,ProcNome,0)),""),"")</f>
        <v>0</v>
      </c>
      <c r="R85" s="26">
        <f>IF($Q85="","",IF(COUNTIFS(AgPac,$D85,AgData,"&gt;"&amp;$A85,AgStatus,"&lt;&gt;Cancelado",AgStatus,"&lt;&gt;Remarcado")&gt;0,"Sim","Não"))</f>
        <v>0</v>
      </c>
      <c r="S85" s="28">
        <f>IF($A85="","",IF(AND($F85="Agendado",$A85-Hoje&gt;=0,$A85-Hoje&lt;=DiasConf),"CONFIRMAR",IF(AND($A85&lt;Hoje,OR($F85="Agendado",$F85="Confirmado")),"Atualizar status",IF(AND($F85="Compareceu",$P85&gt;0.005),"Cobrar",IF($F85="Faltou","Falta: reagendar","")))))</f>
        <v>0</v>
      </c>
      <c r="T85" s="29">
        <f>IF($A85="","",DATE(YEAR($A85),MONTH($A85),1))</f>
        <v>46204.0</v>
      </c>
      <c r="U85" s="30">
        <f>IF($S85="CONFIRMAR",MAX($U$4:$U84)+1,"")</f>
        <v>0</v>
      </c>
      <c r="V85" s="30">
        <f>IF(AND($R85="Não",$Q85&lt;&gt;"",$Q85&lt;=Hoje+JanelaRet,$Q85&gt;=Hoje-60),MAX($V$4:$V84)+1,"")</f>
        <v>0</v>
      </c>
    </row>
    <row r="86" spans="1:22">
      <c r="A86" s="16">
        <v>46232</v>
      </c>
      <c r="B86" s="23">
        <v>0.3958333333333333</v>
      </c>
      <c r="C86" s="15" t="s">
        <v>53</v>
      </c>
      <c r="D86" s="15" t="s">
        <v>193</v>
      </c>
      <c r="E86" s="15" t="s">
        <v>61</v>
      </c>
      <c r="F86" s="24" t="s">
        <v>79</v>
      </c>
      <c r="G86" s="17">
        <v>72</v>
      </c>
      <c r="H86" s="17">
        <v>72</v>
      </c>
      <c r="I86" s="15" t="s">
        <v>73</v>
      </c>
      <c r="J86" s="25" t="str">
        <f>IF($D86="","",IFERROR(INDEX(PacNome,MATCH($D86,PacCod,0)),"Paciente não cadastrado"))</f>
        <v>Paciente 032</v>
      </c>
      <c r="K86" s="26" t="str">
        <f>IF($D86="","",IFERROR(INDEX(PacConv,MATCH($D86,PacCod,0))&amp;"",""))</f>
        <v>Convênio A</v>
      </c>
      <c r="L86" s="26" t="str">
        <f>IF($A86="","",CHOOSE(WEEKDAY($A86,2),"Seg","Ter","Qua","Qui","Sex","Sáb","Dom"))</f>
        <v>Qua</v>
      </c>
      <c r="M86" s="27">
        <f>IF($E86="","",IF($G86&lt;&gt;"",$G86,IFERROR(INDEX(ProcValor,MATCH($E86,ProcNome,0)),0)))</f>
        <v>72</v>
      </c>
      <c r="N86" s="27">
        <f>IF($M86="","",IF($F86="Compareceu",$M86,0))</f>
        <v>72</v>
      </c>
      <c r="O86" s="27">
        <f>IF($M86="","",IF($F86="Faltou",$M86,0))</f>
        <v>0</v>
      </c>
      <c r="P86" s="27">
        <f>IF($M86="","",IF($F86="Compareceu",MAX(0,$M86-N($H86)),0))</f>
        <v>0</v>
      </c>
      <c r="Q86" s="19">
        <f>IF(AND($F86="Compareceu",$E86&lt;&gt;"",$A86&lt;&gt;""),IF(IFERROR(INDEX(ProcRet,MATCH($E86,ProcNome,0)),0)&gt;0,$A86+INDEX(ProcRet,MATCH($E86,ProcNome,0)),""),"")</f>
        <v>46262.0</v>
      </c>
      <c r="R86" s="26" t="str">
        <f>IF($Q86="","",IF(COUNTIFS(AgPac,$D86,AgData,"&gt;"&amp;$A86,AgStatus,"&lt;&gt;Cancelado",AgStatus,"&lt;&gt;Remarcado")&gt;0,"Sim","Não"))</f>
        <v>Sim</v>
      </c>
      <c r="S86" s="28">
        <f>IF($A86="","",IF(AND($F86="Agendado",$A86-Hoje&gt;=0,$A86-Hoje&lt;=DiasConf),"CONFIRMAR",IF(AND($A86&lt;Hoje,OR($F86="Agendado",$F86="Confirmado")),"Atualizar status",IF(AND($F86="Compareceu",$P86&gt;0.005),"Cobrar",IF($F86="Faltou","Falta: reagendar","")))))</f>
        <v>0</v>
      </c>
      <c r="T86" s="29">
        <f>IF($A86="","",DATE(YEAR($A86),MONTH($A86),1))</f>
        <v>46204.0</v>
      </c>
      <c r="U86" s="30">
        <f>IF($S86="CONFIRMAR",MAX($U$4:$U85)+1,"")</f>
        <v>0</v>
      </c>
      <c r="V86" s="30">
        <f>IF(AND($R86="Não",$Q86&lt;&gt;"",$Q86&lt;=Hoje+JanelaRet,$Q86&gt;=Hoje-60),MAX($V$4:$V85)+1,"")</f>
        <v>0</v>
      </c>
    </row>
    <row r="87" spans="1:22">
      <c r="A87" s="16">
        <v>46232</v>
      </c>
      <c r="B87" s="23">
        <v>0.4375</v>
      </c>
      <c r="C87" s="15" t="s">
        <v>54</v>
      </c>
      <c r="D87" s="15" t="s">
        <v>223</v>
      </c>
      <c r="E87" s="15" t="s">
        <v>59</v>
      </c>
      <c r="F87" s="24" t="s">
        <v>79</v>
      </c>
      <c r="G87" s="17"/>
      <c r="H87" s="17">
        <v>150</v>
      </c>
      <c r="I87" s="15" t="s">
        <v>75</v>
      </c>
      <c r="J87" s="25" t="str">
        <f>IF($D87="","",IFERROR(INDEX(PacNome,MATCH($D87,PacCod,0)),"Paciente não cadastrado"))</f>
        <v>Paciente 042</v>
      </c>
      <c r="K87" s="26" t="str">
        <f>IF($D87="","",IFERROR(INDEX(PacConv,MATCH($D87,PacCod,0))&amp;"",""))</f>
        <v>Particular</v>
      </c>
      <c r="L87" s="26" t="str">
        <f>IF($A87="","",CHOOSE(WEEKDAY($A87,2),"Seg","Ter","Qua","Qui","Sex","Sáb","Dom"))</f>
        <v>Qua</v>
      </c>
      <c r="M87" s="27">
        <f>IF($E87="","",IF($G87&lt;&gt;"",$G87,IFERROR(INDEX(ProcValor,MATCH($E87,ProcNome,0)),0)))</f>
        <v>150</v>
      </c>
      <c r="N87" s="27">
        <f>IF($M87="","",IF($F87="Compareceu",$M87,0))</f>
        <v>150</v>
      </c>
      <c r="O87" s="27">
        <f>IF($M87="","",IF($F87="Faltou",$M87,0))</f>
        <v>0</v>
      </c>
      <c r="P87" s="27">
        <f>IF($M87="","",IF($F87="Compareceu",MAX(0,$M87-N($H87)),0))</f>
        <v>0</v>
      </c>
      <c r="Q87" s="19">
        <f>IF(AND($F87="Compareceu",$E87&lt;&gt;"",$A87&lt;&gt;""),IF(IFERROR(INDEX(ProcRet,MATCH($E87,ProcNome,0)),0)&gt;0,$A87+INDEX(ProcRet,MATCH($E87,ProcNome,0)),""),"")</f>
        <v>0</v>
      </c>
      <c r="R87" s="26">
        <f>IF($Q87="","",IF(COUNTIFS(AgPac,$D87,AgData,"&gt;"&amp;$A87,AgStatus,"&lt;&gt;Cancelado",AgStatus,"&lt;&gt;Remarcado")&gt;0,"Sim","Não"))</f>
        <v>0</v>
      </c>
      <c r="S87" s="28">
        <f>IF($A87="","",IF(AND($F87="Agendado",$A87-Hoje&gt;=0,$A87-Hoje&lt;=DiasConf),"CONFIRMAR",IF(AND($A87&lt;Hoje,OR($F87="Agendado",$F87="Confirmado")),"Atualizar status",IF(AND($F87="Compareceu",$P87&gt;0.005),"Cobrar",IF($F87="Faltou","Falta: reagendar","")))))</f>
        <v>0</v>
      </c>
      <c r="T87" s="29">
        <f>IF($A87="","",DATE(YEAR($A87),MONTH($A87),1))</f>
        <v>46204.0</v>
      </c>
      <c r="U87" s="30">
        <f>IF($S87="CONFIRMAR",MAX($U$4:$U86)+1,"")</f>
        <v>0</v>
      </c>
      <c r="V87" s="30">
        <f>IF(AND($R87="Não",$Q87&lt;&gt;"",$Q87&lt;=Hoje+JanelaRet,$Q87&gt;=Hoje-60),MAX($V$4:$V86)+1,"")</f>
        <v>0</v>
      </c>
    </row>
    <row r="88" spans="1:22">
      <c r="A88" s="16">
        <v>46232</v>
      </c>
      <c r="B88" s="23">
        <v>0.4583333333333333</v>
      </c>
      <c r="C88" s="15" t="s">
        <v>53</v>
      </c>
      <c r="D88" s="15" t="s">
        <v>181</v>
      </c>
      <c r="E88" s="15" t="s">
        <v>63</v>
      </c>
      <c r="F88" s="24" t="s">
        <v>79</v>
      </c>
      <c r="G88" s="17">
        <v>84</v>
      </c>
      <c r="H88" s="17">
        <v>84</v>
      </c>
      <c r="I88" s="15" t="s">
        <v>71</v>
      </c>
      <c r="J88" s="25" t="str">
        <f>IF($D88="","",IFERROR(INDEX(PacNome,MATCH($D88,PacCod,0)),"Paciente não cadastrado"))</f>
        <v>Paciente 028</v>
      </c>
      <c r="K88" s="26" t="str">
        <f>IF($D88="","",IFERROR(INDEX(PacConv,MATCH($D88,PacCod,0))&amp;"",""))</f>
        <v>Convênio B</v>
      </c>
      <c r="L88" s="26" t="str">
        <f>IF($A88="","",CHOOSE(WEEKDAY($A88,2),"Seg","Ter","Qua","Qui","Sex","Sáb","Dom"))</f>
        <v>Qua</v>
      </c>
      <c r="M88" s="27">
        <f>IF($E88="","",IF($G88&lt;&gt;"",$G88,IFERROR(INDEX(ProcValor,MATCH($E88,ProcNome,0)),0)))</f>
        <v>84</v>
      </c>
      <c r="N88" s="27">
        <f>IF($M88="","",IF($F88="Compareceu",$M88,0))</f>
        <v>84</v>
      </c>
      <c r="O88" s="27">
        <f>IF($M88="","",IF($F88="Faltou",$M88,0))</f>
        <v>0</v>
      </c>
      <c r="P88" s="27">
        <f>IF($M88="","",IF($F88="Compareceu",MAX(0,$M88-N($H88)),0))</f>
        <v>0</v>
      </c>
      <c r="Q88" s="19">
        <f>IF(AND($F88="Compareceu",$E88&lt;&gt;"",$A88&lt;&gt;""),IF(IFERROR(INDEX(ProcRet,MATCH($E88,ProcNome,0)),0)&gt;0,$A88+INDEX(ProcRet,MATCH($E88,ProcNome,0)),""),"")</f>
        <v>46239.0</v>
      </c>
      <c r="R88" s="26" t="str">
        <f>IF($Q88="","",IF(COUNTIFS(AgPac,$D88,AgData,"&gt;"&amp;$A88,AgStatus,"&lt;&gt;Cancelado",AgStatus,"&lt;&gt;Remarcado")&gt;0,"Sim","Não"))</f>
        <v>Sim</v>
      </c>
      <c r="S88" s="28">
        <f>IF($A88="","",IF(AND($F88="Agendado",$A88-Hoje&gt;=0,$A88-Hoje&lt;=DiasConf),"CONFIRMAR",IF(AND($A88&lt;Hoje,OR($F88="Agendado",$F88="Confirmado")),"Atualizar status",IF(AND($F88="Compareceu",$P88&gt;0.005),"Cobrar",IF($F88="Faltou","Falta: reagendar","")))))</f>
        <v>0</v>
      </c>
      <c r="T88" s="29">
        <f>IF($A88="","",DATE(YEAR($A88),MONTH($A88),1))</f>
        <v>46204.0</v>
      </c>
      <c r="U88" s="30">
        <f>IF($S88="CONFIRMAR",MAX($U$4:$U87)+1,"")</f>
        <v>0</v>
      </c>
      <c r="V88" s="30">
        <f>IF(AND($R88="Não",$Q88&lt;&gt;"",$Q88&lt;=Hoje+JanelaRet,$Q88&gt;=Hoje-60),MAX($V$4:$V87)+1,"")</f>
        <v>0</v>
      </c>
    </row>
    <row r="89" spans="1:22">
      <c r="A89" s="16">
        <v>46232</v>
      </c>
      <c r="B89" s="23">
        <v>0.5625</v>
      </c>
      <c r="C89" s="15" t="s">
        <v>51</v>
      </c>
      <c r="D89" s="15" t="s">
        <v>208</v>
      </c>
      <c r="E89" s="15" t="s">
        <v>62</v>
      </c>
      <c r="F89" s="24" t="s">
        <v>79</v>
      </c>
      <c r="G89" s="17">
        <v>210</v>
      </c>
      <c r="H89" s="17">
        <v>210</v>
      </c>
      <c r="I89" s="15" t="s">
        <v>72</v>
      </c>
      <c r="J89" s="25" t="str">
        <f>IF($D89="","",IFERROR(INDEX(PacNome,MATCH($D89,PacCod,0)),"Paciente não cadastrado"))</f>
        <v>Paciente 037</v>
      </c>
      <c r="K89" s="26" t="str">
        <f>IF($D89="","",IFERROR(INDEX(PacConv,MATCH($D89,PacCod,0))&amp;"",""))</f>
        <v>Convênio B</v>
      </c>
      <c r="L89" s="26" t="str">
        <f>IF($A89="","",CHOOSE(WEEKDAY($A89,2),"Seg","Ter","Qua","Qui","Sex","Sáb","Dom"))</f>
        <v>Qua</v>
      </c>
      <c r="M89" s="27">
        <f>IF($E89="","",IF($G89&lt;&gt;"",$G89,IFERROR(INDEX(ProcValor,MATCH($E89,ProcNome,0)),0)))</f>
        <v>210</v>
      </c>
      <c r="N89" s="27">
        <f>IF($M89="","",IF($F89="Compareceu",$M89,0))</f>
        <v>210</v>
      </c>
      <c r="O89" s="27">
        <f>IF($M89="","",IF($F89="Faltou",$M89,0))</f>
        <v>0</v>
      </c>
      <c r="P89" s="27">
        <f>IF($M89="","",IF($F89="Compareceu",MAX(0,$M89-N($H89)),0))</f>
        <v>0</v>
      </c>
      <c r="Q89" s="19">
        <f>IF(AND($F89="Compareceu",$E89&lt;&gt;"",$A89&lt;&gt;""),IF(IFERROR(INDEX(ProcRet,MATCH($E89,ProcNome,0)),0)&gt;0,$A89+INDEX(ProcRet,MATCH($E89,ProcNome,0)),""),"")</f>
        <v>46247.0</v>
      </c>
      <c r="R89" s="26" t="str">
        <f>IF($Q89="","",IF(COUNTIFS(AgPac,$D89,AgData,"&gt;"&amp;$A89,AgStatus,"&lt;&gt;Cancelado",AgStatus,"&lt;&gt;Remarcado")&gt;0,"Sim","Não"))</f>
        <v>Sim</v>
      </c>
      <c r="S89" s="28">
        <f>IF($A89="","",IF(AND($F89="Agendado",$A89-Hoje&gt;=0,$A89-Hoje&lt;=DiasConf),"CONFIRMAR",IF(AND($A89&lt;Hoje,OR($F89="Agendado",$F89="Confirmado")),"Atualizar status",IF(AND($F89="Compareceu",$P89&gt;0.005),"Cobrar",IF($F89="Faltou","Falta: reagendar","")))))</f>
        <v>0</v>
      </c>
      <c r="T89" s="29">
        <f>IF($A89="","",DATE(YEAR($A89),MONTH($A89),1))</f>
        <v>46204.0</v>
      </c>
      <c r="U89" s="30">
        <f>IF($S89="CONFIRMAR",MAX($U$4:$U88)+1,"")</f>
        <v>0</v>
      </c>
      <c r="V89" s="30">
        <f>IF(AND($R89="Não",$Q89&lt;&gt;"",$Q89&lt;=Hoje+JanelaRet,$Q89&gt;=Hoje-60),MAX($V$4:$V88)+1,"")</f>
        <v>0</v>
      </c>
    </row>
    <row r="90" spans="1:22">
      <c r="A90" s="16">
        <v>46233</v>
      </c>
      <c r="B90" s="23">
        <v>0.3541666666666667</v>
      </c>
      <c r="C90" s="15" t="s">
        <v>52</v>
      </c>
      <c r="D90" s="15" t="s">
        <v>160</v>
      </c>
      <c r="E90" s="15" t="s">
        <v>60</v>
      </c>
      <c r="F90" s="24" t="s">
        <v>79</v>
      </c>
      <c r="G90" s="17">
        <v>108</v>
      </c>
      <c r="H90" s="17">
        <v>108</v>
      </c>
      <c r="I90" s="15" t="s">
        <v>73</v>
      </c>
      <c r="J90" s="25" t="str">
        <f>IF($D90="","",IFERROR(INDEX(PacNome,MATCH($D90,PacCod,0)),"Paciente não cadastrado"))</f>
        <v>Paciente 021</v>
      </c>
      <c r="K90" s="26" t="str">
        <f>IF($D90="","",IFERROR(INDEX(PacConv,MATCH($D90,PacCod,0))&amp;"",""))</f>
        <v>Convênio A</v>
      </c>
      <c r="L90" s="26" t="str">
        <f>IF($A90="","",CHOOSE(WEEKDAY($A90,2),"Seg","Ter","Qua","Qui","Sex","Sáb","Dom"))</f>
        <v>Qui</v>
      </c>
      <c r="M90" s="27">
        <f>IF($E90="","",IF($G90&lt;&gt;"",$G90,IFERROR(INDEX(ProcValor,MATCH($E90,ProcNome,0)),0)))</f>
        <v>108</v>
      </c>
      <c r="N90" s="27">
        <f>IF($M90="","",IF($F90="Compareceu",$M90,0))</f>
        <v>108</v>
      </c>
      <c r="O90" s="27">
        <f>IF($M90="","",IF($F90="Faltou",$M90,0))</f>
        <v>0</v>
      </c>
      <c r="P90" s="27">
        <f>IF($M90="","",IF($F90="Compareceu",MAX(0,$M90-N($H90)),0))</f>
        <v>0</v>
      </c>
      <c r="Q90" s="19">
        <f>IF(AND($F90="Compareceu",$E90&lt;&gt;"",$A90&lt;&gt;""),IF(IFERROR(INDEX(ProcRet,MATCH($E90,ProcNome,0)),0)&gt;0,$A90+INDEX(ProcRet,MATCH($E90,ProcNome,0)),""),"")</f>
        <v>46413.0</v>
      </c>
      <c r="R90" s="26" t="str">
        <f>IF($Q90="","",IF(COUNTIFS(AgPac,$D90,AgData,"&gt;"&amp;$A90,AgStatus,"&lt;&gt;Cancelado",AgStatus,"&lt;&gt;Remarcado")&gt;0,"Sim","Não"))</f>
        <v>Sim</v>
      </c>
      <c r="S90" s="28">
        <f>IF($A90="","",IF(AND($F90="Agendado",$A90-Hoje&gt;=0,$A90-Hoje&lt;=DiasConf),"CONFIRMAR",IF(AND($A90&lt;Hoje,OR($F90="Agendado",$F90="Confirmado")),"Atualizar status",IF(AND($F90="Compareceu",$P90&gt;0.005),"Cobrar",IF($F90="Faltou","Falta: reagendar","")))))</f>
        <v>0</v>
      </c>
      <c r="T90" s="29">
        <f>IF($A90="","",DATE(YEAR($A90),MONTH($A90),1))</f>
        <v>46204.0</v>
      </c>
      <c r="U90" s="30">
        <f>IF($S90="CONFIRMAR",MAX($U$4:$U89)+1,"")</f>
        <v>0</v>
      </c>
      <c r="V90" s="30">
        <f>IF(AND($R90="Não",$Q90&lt;&gt;"",$Q90&lt;=Hoje+JanelaRet,$Q90&gt;=Hoje-60),MAX($V$4:$V89)+1,"")</f>
        <v>0</v>
      </c>
    </row>
    <row r="91" spans="1:22">
      <c r="A91" s="16">
        <v>46233</v>
      </c>
      <c r="B91" s="23">
        <v>0.3958333333333333</v>
      </c>
      <c r="C91" s="15" t="s">
        <v>52</v>
      </c>
      <c r="D91" s="15" t="s">
        <v>154</v>
      </c>
      <c r="E91" s="15" t="s">
        <v>61</v>
      </c>
      <c r="F91" s="24" t="s">
        <v>79</v>
      </c>
      <c r="G91" s="17"/>
      <c r="H91" s="17">
        <v>120</v>
      </c>
      <c r="I91" s="15" t="s">
        <v>73</v>
      </c>
      <c r="J91" s="25" t="str">
        <f>IF($D91="","",IFERROR(INDEX(PacNome,MATCH($D91,PacCod,0)),"Paciente não cadastrado"))</f>
        <v>Paciente 019</v>
      </c>
      <c r="K91" s="26" t="str">
        <f>IF($D91="","",IFERROR(INDEX(PacConv,MATCH($D91,PacCod,0))&amp;"",""))</f>
        <v>Particular</v>
      </c>
      <c r="L91" s="26" t="str">
        <f>IF($A91="","",CHOOSE(WEEKDAY($A91,2),"Seg","Ter","Qua","Qui","Sex","Sáb","Dom"))</f>
        <v>Qui</v>
      </c>
      <c r="M91" s="27">
        <f>IF($E91="","",IF($G91&lt;&gt;"",$G91,IFERROR(INDEX(ProcValor,MATCH($E91,ProcNome,0)),0)))</f>
        <v>120</v>
      </c>
      <c r="N91" s="27">
        <f>IF($M91="","",IF($F91="Compareceu",$M91,0))</f>
        <v>120</v>
      </c>
      <c r="O91" s="27">
        <f>IF($M91="","",IF($F91="Faltou",$M91,0))</f>
        <v>0</v>
      </c>
      <c r="P91" s="27">
        <f>IF($M91="","",IF($F91="Compareceu",MAX(0,$M91-N($H91)),0))</f>
        <v>0</v>
      </c>
      <c r="Q91" s="19">
        <f>IF(AND($F91="Compareceu",$E91&lt;&gt;"",$A91&lt;&gt;""),IF(IFERROR(INDEX(ProcRet,MATCH($E91,ProcNome,0)),0)&gt;0,$A91+INDEX(ProcRet,MATCH($E91,ProcNome,0)),""),"")</f>
        <v>46263.0</v>
      </c>
      <c r="R91" s="26" t="str">
        <f>IF($Q91="","",IF(COUNTIFS(AgPac,$D91,AgData,"&gt;"&amp;$A91,AgStatus,"&lt;&gt;Cancelado",AgStatus,"&lt;&gt;Remarcado")&gt;0,"Sim","Não"))</f>
        <v>Sim</v>
      </c>
      <c r="S91" s="28">
        <f>IF($A91="","",IF(AND($F91="Agendado",$A91-Hoje&gt;=0,$A91-Hoje&lt;=DiasConf),"CONFIRMAR",IF(AND($A91&lt;Hoje,OR($F91="Agendado",$F91="Confirmado")),"Atualizar status",IF(AND($F91="Compareceu",$P91&gt;0.005),"Cobrar",IF($F91="Faltou","Falta: reagendar","")))))</f>
        <v>0</v>
      </c>
      <c r="T91" s="29">
        <f>IF($A91="","",DATE(YEAR($A91),MONTH($A91),1))</f>
        <v>46204.0</v>
      </c>
      <c r="U91" s="30">
        <f>IF($S91="CONFIRMAR",MAX($U$4:$U90)+1,"")</f>
        <v>0</v>
      </c>
      <c r="V91" s="30">
        <f>IF(AND($R91="Não",$Q91&lt;&gt;"",$Q91&lt;=Hoje+JanelaRet,$Q91&gt;=Hoje-60),MAX($V$4:$V90)+1,"")</f>
        <v>0</v>
      </c>
    </row>
    <row r="92" spans="1:22">
      <c r="A92" s="16">
        <v>46233</v>
      </c>
      <c r="B92" s="23">
        <v>0.4791666666666667</v>
      </c>
      <c r="C92" s="15" t="s">
        <v>51</v>
      </c>
      <c r="D92" s="15" t="s">
        <v>211</v>
      </c>
      <c r="E92" s="15" t="s">
        <v>64</v>
      </c>
      <c r="F92" s="24" t="s">
        <v>79</v>
      </c>
      <c r="G92" s="17">
        <v>54</v>
      </c>
      <c r="H92" s="17">
        <v>54</v>
      </c>
      <c r="I92" s="15" t="s">
        <v>75</v>
      </c>
      <c r="J92" s="25" t="str">
        <f>IF($D92="","",IFERROR(INDEX(PacNome,MATCH($D92,PacCod,0)),"Paciente não cadastrado"))</f>
        <v>Paciente 038</v>
      </c>
      <c r="K92" s="26" t="str">
        <f>IF($D92="","",IFERROR(INDEX(PacConv,MATCH($D92,PacCod,0))&amp;"",""))</f>
        <v>Convênio A</v>
      </c>
      <c r="L92" s="26" t="str">
        <f>IF($A92="","",CHOOSE(WEEKDAY($A92,2),"Seg","Ter","Qua","Qui","Sex","Sáb","Dom"))</f>
        <v>Qui</v>
      </c>
      <c r="M92" s="27">
        <f>IF($E92="","",IF($G92&lt;&gt;"",$G92,IFERROR(INDEX(ProcValor,MATCH($E92,ProcNome,0)),0)))</f>
        <v>54</v>
      </c>
      <c r="N92" s="27">
        <f>IF($M92="","",IF($F92="Compareceu",$M92,0))</f>
        <v>54</v>
      </c>
      <c r="O92" s="27">
        <f>IF($M92="","",IF($F92="Faltou",$M92,0))</f>
        <v>0</v>
      </c>
      <c r="P92" s="27">
        <f>IF($M92="","",IF($F92="Compareceu",MAX(0,$M92-N($H92)),0))</f>
        <v>0</v>
      </c>
      <c r="Q92" s="19">
        <f>IF(AND($F92="Compareceu",$E92&lt;&gt;"",$A92&lt;&gt;""),IF(IFERROR(INDEX(ProcRet,MATCH($E92,ProcNome,0)),0)&gt;0,$A92+INDEX(ProcRet,MATCH($E92,ProcNome,0)),""),"")</f>
        <v>0</v>
      </c>
      <c r="R92" s="26">
        <f>IF($Q92="","",IF(COUNTIFS(AgPac,$D92,AgData,"&gt;"&amp;$A92,AgStatus,"&lt;&gt;Cancelado",AgStatus,"&lt;&gt;Remarcado")&gt;0,"Sim","Não"))</f>
        <v>0</v>
      </c>
      <c r="S92" s="28">
        <f>IF($A92="","",IF(AND($F92="Agendado",$A92-Hoje&gt;=0,$A92-Hoje&lt;=DiasConf),"CONFIRMAR",IF(AND($A92&lt;Hoje,OR($F92="Agendado",$F92="Confirmado")),"Atualizar status",IF(AND($F92="Compareceu",$P92&gt;0.005),"Cobrar",IF($F92="Faltou","Falta: reagendar","")))))</f>
        <v>0</v>
      </c>
      <c r="T92" s="29">
        <f>IF($A92="","",DATE(YEAR($A92),MONTH($A92),1))</f>
        <v>46204.0</v>
      </c>
      <c r="U92" s="30">
        <f>IF($S92="CONFIRMAR",MAX($U$4:$U91)+1,"")</f>
        <v>0</v>
      </c>
      <c r="V92" s="30">
        <f>IF(AND($R92="Não",$Q92&lt;&gt;"",$Q92&lt;=Hoje+JanelaRet,$Q92&gt;=Hoje-60),MAX($V$4:$V91)+1,"")</f>
        <v>0</v>
      </c>
    </row>
    <row r="93" spans="1:22">
      <c r="A93" s="16">
        <v>46233</v>
      </c>
      <c r="B93" s="23">
        <v>0.5</v>
      </c>
      <c r="C93" s="15" t="s">
        <v>54</v>
      </c>
      <c r="D93" s="15" t="s">
        <v>127</v>
      </c>
      <c r="E93" s="15" t="s">
        <v>61</v>
      </c>
      <c r="F93" s="24" t="s">
        <v>79</v>
      </c>
      <c r="G93" s="17"/>
      <c r="H93" s="17">
        <v>120</v>
      </c>
      <c r="I93" s="15" t="s">
        <v>72</v>
      </c>
      <c r="J93" s="25" t="str">
        <f>IF($D93="","",IFERROR(INDEX(PacNome,MATCH($D93,PacCod,0)),"Paciente não cadastrado"))</f>
        <v>Paciente 010</v>
      </c>
      <c r="K93" s="26" t="str">
        <f>IF($D93="","",IFERROR(INDEX(PacConv,MATCH($D93,PacCod,0))&amp;"",""))</f>
        <v>Particular</v>
      </c>
      <c r="L93" s="26" t="str">
        <f>IF($A93="","",CHOOSE(WEEKDAY($A93,2),"Seg","Ter","Qua","Qui","Sex","Sáb","Dom"))</f>
        <v>Qui</v>
      </c>
      <c r="M93" s="27">
        <f>IF($E93="","",IF($G93&lt;&gt;"",$G93,IFERROR(INDEX(ProcValor,MATCH($E93,ProcNome,0)),0)))</f>
        <v>120</v>
      </c>
      <c r="N93" s="27">
        <f>IF($M93="","",IF($F93="Compareceu",$M93,0))</f>
        <v>120</v>
      </c>
      <c r="O93" s="27">
        <f>IF($M93="","",IF($F93="Faltou",$M93,0))</f>
        <v>0</v>
      </c>
      <c r="P93" s="27">
        <f>IF($M93="","",IF($F93="Compareceu",MAX(0,$M93-N($H93)),0))</f>
        <v>0</v>
      </c>
      <c r="Q93" s="19">
        <f>IF(AND($F93="Compareceu",$E93&lt;&gt;"",$A93&lt;&gt;""),IF(IFERROR(INDEX(ProcRet,MATCH($E93,ProcNome,0)),0)&gt;0,$A93+INDEX(ProcRet,MATCH($E93,ProcNome,0)),""),"")</f>
        <v>46263.0</v>
      </c>
      <c r="R93" s="26" t="str">
        <f>IF($Q93="","",IF(COUNTIFS(AgPac,$D93,AgData,"&gt;"&amp;$A93,AgStatus,"&lt;&gt;Cancelado",AgStatus,"&lt;&gt;Remarcado")&gt;0,"Sim","Não"))</f>
        <v>Sim</v>
      </c>
      <c r="S93" s="28">
        <f>IF($A93="","",IF(AND($F93="Agendado",$A93-Hoje&gt;=0,$A93-Hoje&lt;=DiasConf),"CONFIRMAR",IF(AND($A93&lt;Hoje,OR($F93="Agendado",$F93="Confirmado")),"Atualizar status",IF(AND($F93="Compareceu",$P93&gt;0.005),"Cobrar",IF($F93="Faltou","Falta: reagendar","")))))</f>
        <v>0</v>
      </c>
      <c r="T93" s="29">
        <f>IF($A93="","",DATE(YEAR($A93),MONTH($A93),1))</f>
        <v>46204.0</v>
      </c>
      <c r="U93" s="30">
        <f>IF($S93="CONFIRMAR",MAX($U$4:$U92)+1,"")</f>
        <v>0</v>
      </c>
      <c r="V93" s="30">
        <f>IF(AND($R93="Não",$Q93&lt;&gt;"",$Q93&lt;=Hoje+JanelaRet,$Q93&gt;=Hoje-60),MAX($V$4:$V92)+1,"")</f>
        <v>0</v>
      </c>
    </row>
    <row r="94" spans="1:22">
      <c r="A94" s="16">
        <v>46233</v>
      </c>
      <c r="B94" s="23">
        <v>0.6666666666666666</v>
      </c>
      <c r="C94" s="15" t="s">
        <v>52</v>
      </c>
      <c r="D94" s="15" t="s">
        <v>226</v>
      </c>
      <c r="E94" s="15" t="s">
        <v>64</v>
      </c>
      <c r="F94" s="24" t="s">
        <v>79</v>
      </c>
      <c r="G94" s="17">
        <v>54</v>
      </c>
      <c r="H94" s="17">
        <v>54</v>
      </c>
      <c r="I94" s="15" t="s">
        <v>73</v>
      </c>
      <c r="J94" s="25" t="str">
        <f>IF($D94="","",IFERROR(INDEX(PacNome,MATCH($D94,PacCod,0)),"Paciente não cadastrado"))</f>
        <v>Paciente 043</v>
      </c>
      <c r="K94" s="26" t="str">
        <f>IF($D94="","",IFERROR(INDEX(PacConv,MATCH($D94,PacCod,0))&amp;"",""))</f>
        <v>Convênio A</v>
      </c>
      <c r="L94" s="26" t="str">
        <f>IF($A94="","",CHOOSE(WEEKDAY($A94,2),"Seg","Ter","Qua","Qui","Sex","Sáb","Dom"))</f>
        <v>Qui</v>
      </c>
      <c r="M94" s="27">
        <f>IF($E94="","",IF($G94&lt;&gt;"",$G94,IFERROR(INDEX(ProcValor,MATCH($E94,ProcNome,0)),0)))</f>
        <v>54</v>
      </c>
      <c r="N94" s="27">
        <f>IF($M94="","",IF($F94="Compareceu",$M94,0))</f>
        <v>54</v>
      </c>
      <c r="O94" s="27">
        <f>IF($M94="","",IF($F94="Faltou",$M94,0))</f>
        <v>0</v>
      </c>
      <c r="P94" s="27">
        <f>IF($M94="","",IF($F94="Compareceu",MAX(0,$M94-N($H94)),0))</f>
        <v>0</v>
      </c>
      <c r="Q94" s="19">
        <f>IF(AND($F94="Compareceu",$E94&lt;&gt;"",$A94&lt;&gt;""),IF(IFERROR(INDEX(ProcRet,MATCH($E94,ProcNome,0)),0)&gt;0,$A94+INDEX(ProcRet,MATCH($E94,ProcNome,0)),""),"")</f>
        <v>0</v>
      </c>
      <c r="R94" s="26">
        <f>IF($Q94="","",IF(COUNTIFS(AgPac,$D94,AgData,"&gt;"&amp;$A94,AgStatus,"&lt;&gt;Cancelado",AgStatus,"&lt;&gt;Remarcado")&gt;0,"Sim","Não"))</f>
        <v>0</v>
      </c>
      <c r="S94" s="28">
        <f>IF($A94="","",IF(AND($F94="Agendado",$A94-Hoje&gt;=0,$A94-Hoje&lt;=DiasConf),"CONFIRMAR",IF(AND($A94&lt;Hoje,OR($F94="Agendado",$F94="Confirmado")),"Atualizar status",IF(AND($F94="Compareceu",$P94&gt;0.005),"Cobrar",IF($F94="Faltou","Falta: reagendar","")))))</f>
        <v>0</v>
      </c>
      <c r="T94" s="29">
        <f>IF($A94="","",DATE(YEAR($A94),MONTH($A94),1))</f>
        <v>46204.0</v>
      </c>
      <c r="U94" s="30">
        <f>IF($S94="CONFIRMAR",MAX($U$4:$U93)+1,"")</f>
        <v>0</v>
      </c>
      <c r="V94" s="30">
        <f>IF(AND($R94="Não",$Q94&lt;&gt;"",$Q94&lt;=Hoje+JanelaRet,$Q94&gt;=Hoje-60),MAX($V$4:$V93)+1,"")</f>
        <v>0</v>
      </c>
    </row>
    <row r="95" spans="1:22">
      <c r="A95" s="16">
        <v>46234</v>
      </c>
      <c r="B95" s="23">
        <v>0.375</v>
      </c>
      <c r="C95" s="15" t="s">
        <v>53</v>
      </c>
      <c r="D95" s="15" t="s">
        <v>163</v>
      </c>
      <c r="E95" s="15" t="s">
        <v>60</v>
      </c>
      <c r="F95" s="24" t="s">
        <v>81</v>
      </c>
      <c r="G95" s="17"/>
      <c r="H95" s="17"/>
      <c r="I95" s="15"/>
      <c r="J95" s="25" t="str">
        <f>IF($D95="","",IFERROR(INDEX(PacNome,MATCH($D95,PacCod,0)),"Paciente não cadastrado"))</f>
        <v>Paciente 022</v>
      </c>
      <c r="K95" s="26" t="str">
        <f>IF($D95="","",IFERROR(INDEX(PacConv,MATCH($D95,PacCod,0))&amp;"",""))</f>
        <v>Convênio A</v>
      </c>
      <c r="L95" s="26" t="str">
        <f>IF($A95="","",CHOOSE(WEEKDAY($A95,2),"Seg","Ter","Qua","Qui","Sex","Sáb","Dom"))</f>
        <v>Sex</v>
      </c>
      <c r="M95" s="27">
        <f>IF($E95="","",IF($G95&lt;&gt;"",$G95,IFERROR(INDEX(ProcValor,MATCH($E95,ProcNome,0)),0)))</f>
        <v>180</v>
      </c>
      <c r="N95" s="27">
        <f>IF($M95="","",IF($F95="Compareceu",$M95,0))</f>
        <v>0</v>
      </c>
      <c r="O95" s="27">
        <f>IF($M95="","",IF($F95="Faltou",$M95,0))</f>
        <v>0</v>
      </c>
      <c r="P95" s="27">
        <f>IF($M95="","",IF($F95="Compareceu",MAX(0,$M95-N($H95)),0))</f>
        <v>0</v>
      </c>
      <c r="Q95" s="19">
        <f>IF(AND($F95="Compareceu",$E95&lt;&gt;"",$A95&lt;&gt;""),IF(IFERROR(INDEX(ProcRet,MATCH($E95,ProcNome,0)),0)&gt;0,$A95+INDEX(ProcRet,MATCH($E95,ProcNome,0)),""),"")</f>
        <v>0</v>
      </c>
      <c r="R95" s="26">
        <f>IF($Q95="","",IF(COUNTIFS(AgPac,$D95,AgData,"&gt;"&amp;$A95,AgStatus,"&lt;&gt;Cancelado",AgStatus,"&lt;&gt;Remarcado")&gt;0,"Sim","Não"))</f>
        <v>0</v>
      </c>
      <c r="S95" s="28">
        <f>IF($A95="","",IF(AND($F95="Agendado",$A95-Hoje&gt;=0,$A95-Hoje&lt;=DiasConf),"CONFIRMAR",IF(AND($A95&lt;Hoje,OR($F95="Agendado",$F95="Confirmado")),"Atualizar status",IF(AND($F95="Compareceu",$P95&gt;0.005),"Cobrar",IF($F95="Faltou","Falta: reagendar","")))))</f>
        <v>0</v>
      </c>
      <c r="T95" s="29">
        <f>IF($A95="","",DATE(YEAR($A95),MONTH($A95),1))</f>
        <v>46204.0</v>
      </c>
      <c r="U95" s="30">
        <f>IF($S95="CONFIRMAR",MAX($U$4:$U94)+1,"")</f>
        <v>0</v>
      </c>
      <c r="V95" s="30">
        <f>IF(AND($R95="Não",$Q95&lt;&gt;"",$Q95&lt;=Hoje+JanelaRet,$Q95&gt;=Hoje-60),MAX($V$4:$V94)+1,"")</f>
        <v>0</v>
      </c>
    </row>
    <row r="96" spans="1:22">
      <c r="A96" s="16">
        <v>46234</v>
      </c>
      <c r="B96" s="23">
        <v>0.5625</v>
      </c>
      <c r="C96" s="15" t="s">
        <v>51</v>
      </c>
      <c r="D96" s="15" t="s">
        <v>232</v>
      </c>
      <c r="E96" s="15" t="s">
        <v>64</v>
      </c>
      <c r="F96" s="24" t="s">
        <v>79</v>
      </c>
      <c r="G96" s="17">
        <v>54</v>
      </c>
      <c r="H96" s="17">
        <v>54</v>
      </c>
      <c r="I96" s="15" t="s">
        <v>71</v>
      </c>
      <c r="J96" s="25" t="str">
        <f>IF($D96="","",IFERROR(INDEX(PacNome,MATCH($D96,PacCod,0)),"Paciente não cadastrado"))</f>
        <v>Paciente 045</v>
      </c>
      <c r="K96" s="26" t="str">
        <f>IF($D96="","",IFERROR(INDEX(PacConv,MATCH($D96,PacCod,0))&amp;"",""))</f>
        <v>Convênio A</v>
      </c>
      <c r="L96" s="26" t="str">
        <f>IF($A96="","",CHOOSE(WEEKDAY($A96,2),"Seg","Ter","Qua","Qui","Sex","Sáb","Dom"))</f>
        <v>Sex</v>
      </c>
      <c r="M96" s="27">
        <f>IF($E96="","",IF($G96&lt;&gt;"",$G96,IFERROR(INDEX(ProcValor,MATCH($E96,ProcNome,0)),0)))</f>
        <v>54</v>
      </c>
      <c r="N96" s="27">
        <f>IF($M96="","",IF($F96="Compareceu",$M96,0))</f>
        <v>54</v>
      </c>
      <c r="O96" s="27">
        <f>IF($M96="","",IF($F96="Faltou",$M96,0))</f>
        <v>0</v>
      </c>
      <c r="P96" s="27">
        <f>IF($M96="","",IF($F96="Compareceu",MAX(0,$M96-N($H96)),0))</f>
        <v>0</v>
      </c>
      <c r="Q96" s="19">
        <f>IF(AND($F96="Compareceu",$E96&lt;&gt;"",$A96&lt;&gt;""),IF(IFERROR(INDEX(ProcRet,MATCH($E96,ProcNome,0)),0)&gt;0,$A96+INDEX(ProcRet,MATCH($E96,ProcNome,0)),""),"")</f>
        <v>0</v>
      </c>
      <c r="R96" s="26">
        <f>IF($Q96="","",IF(COUNTIFS(AgPac,$D96,AgData,"&gt;"&amp;$A96,AgStatus,"&lt;&gt;Cancelado",AgStatus,"&lt;&gt;Remarcado")&gt;0,"Sim","Não"))</f>
        <v>0</v>
      </c>
      <c r="S96" s="28">
        <f>IF($A96="","",IF(AND($F96="Agendado",$A96-Hoje&gt;=0,$A96-Hoje&lt;=DiasConf),"CONFIRMAR",IF(AND($A96&lt;Hoje,OR($F96="Agendado",$F96="Confirmado")),"Atualizar status",IF(AND($F96="Compareceu",$P96&gt;0.005),"Cobrar",IF($F96="Faltou","Falta: reagendar","")))))</f>
        <v>0</v>
      </c>
      <c r="T96" s="29">
        <f>IF($A96="","",DATE(YEAR($A96),MONTH($A96),1))</f>
        <v>46204.0</v>
      </c>
      <c r="U96" s="30">
        <f>IF($S96="CONFIRMAR",MAX($U$4:$U95)+1,"")</f>
        <v>0</v>
      </c>
      <c r="V96" s="30">
        <f>IF(AND($R96="Não",$Q96&lt;&gt;"",$Q96&lt;=Hoje+JanelaRet,$Q96&gt;=Hoje-60),MAX($V$4:$V95)+1,"")</f>
        <v>0</v>
      </c>
    </row>
    <row r="97" spans="1:22">
      <c r="A97" s="16">
        <v>46234</v>
      </c>
      <c r="B97" s="23">
        <v>0.6666666666666666</v>
      </c>
      <c r="C97" s="15" t="s">
        <v>52</v>
      </c>
      <c r="D97" s="15" t="s">
        <v>232</v>
      </c>
      <c r="E97" s="15" t="s">
        <v>59</v>
      </c>
      <c r="F97" s="24" t="s">
        <v>79</v>
      </c>
      <c r="G97" s="17">
        <v>90</v>
      </c>
      <c r="H97" s="17">
        <v>90</v>
      </c>
      <c r="I97" s="15" t="s">
        <v>75</v>
      </c>
      <c r="J97" s="25" t="str">
        <f>IF($D97="","",IFERROR(INDEX(PacNome,MATCH($D97,PacCod,0)),"Paciente não cadastrado"))</f>
        <v>Paciente 045</v>
      </c>
      <c r="K97" s="26" t="str">
        <f>IF($D97="","",IFERROR(INDEX(PacConv,MATCH($D97,PacCod,0))&amp;"",""))</f>
        <v>Convênio A</v>
      </c>
      <c r="L97" s="26" t="str">
        <f>IF($A97="","",CHOOSE(WEEKDAY($A97,2),"Seg","Ter","Qua","Qui","Sex","Sáb","Dom"))</f>
        <v>Sex</v>
      </c>
      <c r="M97" s="27">
        <f>IF($E97="","",IF($G97&lt;&gt;"",$G97,IFERROR(INDEX(ProcValor,MATCH($E97,ProcNome,0)),0)))</f>
        <v>90</v>
      </c>
      <c r="N97" s="27">
        <f>IF($M97="","",IF($F97="Compareceu",$M97,0))</f>
        <v>90</v>
      </c>
      <c r="O97" s="27">
        <f>IF($M97="","",IF($F97="Faltou",$M97,0))</f>
        <v>0</v>
      </c>
      <c r="P97" s="27">
        <f>IF($M97="","",IF($F97="Compareceu",MAX(0,$M97-N($H97)),0))</f>
        <v>0</v>
      </c>
      <c r="Q97" s="19">
        <f>IF(AND($F97="Compareceu",$E97&lt;&gt;"",$A97&lt;&gt;""),IF(IFERROR(INDEX(ProcRet,MATCH($E97,ProcNome,0)),0)&gt;0,$A97+INDEX(ProcRet,MATCH($E97,ProcNome,0)),""),"")</f>
        <v>0</v>
      </c>
      <c r="R97" s="26">
        <f>IF($Q97="","",IF(COUNTIFS(AgPac,$D97,AgData,"&gt;"&amp;$A97,AgStatus,"&lt;&gt;Cancelado",AgStatus,"&lt;&gt;Remarcado")&gt;0,"Sim","Não"))</f>
        <v>0</v>
      </c>
      <c r="S97" s="28">
        <f>IF($A97="","",IF(AND($F97="Agendado",$A97-Hoje&gt;=0,$A97-Hoje&lt;=DiasConf),"CONFIRMAR",IF(AND($A97&lt;Hoje,OR($F97="Agendado",$F97="Confirmado")),"Atualizar status",IF(AND($F97="Compareceu",$P97&gt;0.005),"Cobrar",IF($F97="Faltou","Falta: reagendar","")))))</f>
        <v>0</v>
      </c>
      <c r="T97" s="29">
        <f>IF($A97="","",DATE(YEAR($A97),MONTH($A97),1))</f>
        <v>46204.0</v>
      </c>
      <c r="U97" s="30">
        <f>IF($S97="CONFIRMAR",MAX($U$4:$U96)+1,"")</f>
        <v>0</v>
      </c>
      <c r="V97" s="30">
        <f>IF(AND($R97="Não",$Q97&lt;&gt;"",$Q97&lt;=Hoje+JanelaRet,$Q97&gt;=Hoje-60),MAX($V$4:$V96)+1,"")</f>
        <v>0</v>
      </c>
    </row>
    <row r="98" spans="1:22">
      <c r="A98" s="16">
        <v>46234</v>
      </c>
      <c r="B98" s="23">
        <v>0.7083333333333334</v>
      </c>
      <c r="C98" s="15" t="s">
        <v>52</v>
      </c>
      <c r="D98" s="15" t="s">
        <v>142</v>
      </c>
      <c r="E98" s="15" t="s">
        <v>64</v>
      </c>
      <c r="F98" s="24" t="s">
        <v>79</v>
      </c>
      <c r="G98" s="17">
        <v>54</v>
      </c>
      <c r="H98" s="17">
        <v>54</v>
      </c>
      <c r="I98" s="15" t="s">
        <v>72</v>
      </c>
      <c r="J98" s="25" t="str">
        <f>IF($D98="","",IFERROR(INDEX(PacNome,MATCH($D98,PacCod,0)),"Paciente não cadastrado"))</f>
        <v>Paciente 015</v>
      </c>
      <c r="K98" s="26" t="str">
        <f>IF($D98="","",IFERROR(INDEX(PacConv,MATCH($D98,PacCod,0))&amp;"",""))</f>
        <v>Convênio A</v>
      </c>
      <c r="L98" s="26" t="str">
        <f>IF($A98="","",CHOOSE(WEEKDAY($A98,2),"Seg","Ter","Qua","Qui","Sex","Sáb","Dom"))</f>
        <v>Sex</v>
      </c>
      <c r="M98" s="27">
        <f>IF($E98="","",IF($G98&lt;&gt;"",$G98,IFERROR(INDEX(ProcValor,MATCH($E98,ProcNome,0)),0)))</f>
        <v>54</v>
      </c>
      <c r="N98" s="27">
        <f>IF($M98="","",IF($F98="Compareceu",$M98,0))</f>
        <v>54</v>
      </c>
      <c r="O98" s="27">
        <f>IF($M98="","",IF($F98="Faltou",$M98,0))</f>
        <v>0</v>
      </c>
      <c r="P98" s="27">
        <f>IF($M98="","",IF($F98="Compareceu",MAX(0,$M98-N($H98)),0))</f>
        <v>0</v>
      </c>
      <c r="Q98" s="19">
        <f>IF(AND($F98="Compareceu",$E98&lt;&gt;"",$A98&lt;&gt;""),IF(IFERROR(INDEX(ProcRet,MATCH($E98,ProcNome,0)),0)&gt;0,$A98+INDEX(ProcRet,MATCH($E98,ProcNome,0)),""),"")</f>
        <v>0</v>
      </c>
      <c r="R98" s="26">
        <f>IF($Q98="","",IF(COUNTIFS(AgPac,$D98,AgData,"&gt;"&amp;$A98,AgStatus,"&lt;&gt;Cancelado",AgStatus,"&lt;&gt;Remarcado")&gt;0,"Sim","Não"))</f>
        <v>0</v>
      </c>
      <c r="S98" s="28">
        <f>IF($A98="","",IF(AND($F98="Agendado",$A98-Hoje&gt;=0,$A98-Hoje&lt;=DiasConf),"CONFIRMAR",IF(AND($A98&lt;Hoje,OR($F98="Agendado",$F98="Confirmado")),"Atualizar status",IF(AND($F98="Compareceu",$P98&gt;0.005),"Cobrar",IF($F98="Faltou","Falta: reagendar","")))))</f>
        <v>0</v>
      </c>
      <c r="T98" s="29">
        <f>IF($A98="","",DATE(YEAR($A98),MONTH($A98),1))</f>
        <v>46204.0</v>
      </c>
      <c r="U98" s="30">
        <f>IF($S98="CONFIRMAR",MAX($U$4:$U97)+1,"")</f>
        <v>0</v>
      </c>
      <c r="V98" s="30">
        <f>IF(AND($R98="Não",$Q98&lt;&gt;"",$Q98&lt;=Hoje+JanelaRet,$Q98&gt;=Hoje-60),MAX($V$4:$V97)+1,"")</f>
        <v>0</v>
      </c>
    </row>
    <row r="99" spans="1:22">
      <c r="A99" s="16">
        <v>46235</v>
      </c>
      <c r="B99" s="23">
        <v>0.3333333333333333</v>
      </c>
      <c r="C99" s="15" t="s">
        <v>53</v>
      </c>
      <c r="D99" s="15" t="s">
        <v>121</v>
      </c>
      <c r="E99" s="15" t="s">
        <v>64</v>
      </c>
      <c r="F99" s="24" t="s">
        <v>79</v>
      </c>
      <c r="G99" s="17"/>
      <c r="H99" s="17">
        <v>90</v>
      </c>
      <c r="I99" s="15" t="s">
        <v>73</v>
      </c>
      <c r="J99" s="25" t="str">
        <f>IF($D99="","",IFERROR(INDEX(PacNome,MATCH($D99,PacCod,0)),"Paciente não cadastrado"))</f>
        <v>Paciente 008</v>
      </c>
      <c r="K99" s="26" t="str">
        <f>IF($D99="","",IFERROR(INDEX(PacConv,MATCH($D99,PacCod,0))&amp;"",""))</f>
        <v>Particular</v>
      </c>
      <c r="L99" s="26" t="str">
        <f>IF($A99="","",CHOOSE(WEEKDAY($A99,2),"Seg","Ter","Qua","Qui","Sex","Sáb","Dom"))</f>
        <v>Sáb</v>
      </c>
      <c r="M99" s="27">
        <f>IF($E99="","",IF($G99&lt;&gt;"",$G99,IFERROR(INDEX(ProcValor,MATCH($E99,ProcNome,0)),0)))</f>
        <v>90</v>
      </c>
      <c r="N99" s="27">
        <f>IF($M99="","",IF($F99="Compareceu",$M99,0))</f>
        <v>90</v>
      </c>
      <c r="O99" s="27">
        <f>IF($M99="","",IF($F99="Faltou",$M99,0))</f>
        <v>0</v>
      </c>
      <c r="P99" s="27">
        <f>IF($M99="","",IF($F99="Compareceu",MAX(0,$M99-N($H99)),0))</f>
        <v>0</v>
      </c>
      <c r="Q99" s="19">
        <f>IF(AND($F99="Compareceu",$E99&lt;&gt;"",$A99&lt;&gt;""),IF(IFERROR(INDEX(ProcRet,MATCH($E99,ProcNome,0)),0)&gt;0,$A99+INDEX(ProcRet,MATCH($E99,ProcNome,0)),""),"")</f>
        <v>0</v>
      </c>
      <c r="R99" s="26">
        <f>IF($Q99="","",IF(COUNTIFS(AgPac,$D99,AgData,"&gt;"&amp;$A99,AgStatus,"&lt;&gt;Cancelado",AgStatus,"&lt;&gt;Remarcado")&gt;0,"Sim","Não"))</f>
        <v>0</v>
      </c>
      <c r="S99" s="28">
        <f>IF($A99="","",IF(AND($F99="Agendado",$A99-Hoje&gt;=0,$A99-Hoje&lt;=DiasConf),"CONFIRMAR",IF(AND($A99&lt;Hoje,OR($F99="Agendado",$F99="Confirmado")),"Atualizar status",IF(AND($F99="Compareceu",$P99&gt;0.005),"Cobrar",IF($F99="Faltou","Falta: reagendar","")))))</f>
        <v>0</v>
      </c>
      <c r="T99" s="29">
        <f>IF($A99="","",DATE(YEAR($A99),MONTH($A99),1))</f>
        <v>46235.0</v>
      </c>
      <c r="U99" s="30">
        <f>IF($S99="CONFIRMAR",MAX($U$4:$U98)+1,"")</f>
        <v>0</v>
      </c>
      <c r="V99" s="30">
        <f>IF(AND($R99="Não",$Q99&lt;&gt;"",$Q99&lt;=Hoje+JanelaRet,$Q99&gt;=Hoje-60),MAX($V$4:$V98)+1,"")</f>
        <v>0</v>
      </c>
    </row>
    <row r="100" spans="1:22">
      <c r="A100" s="16">
        <v>46235</v>
      </c>
      <c r="B100" s="23">
        <v>0.4375</v>
      </c>
      <c r="C100" s="15" t="s">
        <v>54</v>
      </c>
      <c r="D100" s="15" t="s">
        <v>160</v>
      </c>
      <c r="E100" s="15" t="s">
        <v>58</v>
      </c>
      <c r="F100" s="24" t="s">
        <v>79</v>
      </c>
      <c r="G100" s="17">
        <v>150</v>
      </c>
      <c r="H100" s="17">
        <v>150</v>
      </c>
      <c r="I100" s="15" t="s">
        <v>74</v>
      </c>
      <c r="J100" s="25" t="str">
        <f>IF($D100="","",IFERROR(INDEX(PacNome,MATCH($D100,PacCod,0)),"Paciente não cadastrado"))</f>
        <v>Paciente 021</v>
      </c>
      <c r="K100" s="26" t="str">
        <f>IF($D100="","",IFERROR(INDEX(PacConv,MATCH($D100,PacCod,0))&amp;"",""))</f>
        <v>Convênio A</v>
      </c>
      <c r="L100" s="26" t="str">
        <f>IF($A100="","",CHOOSE(WEEKDAY($A100,2),"Seg","Ter","Qua","Qui","Sex","Sáb","Dom"))</f>
        <v>Sáb</v>
      </c>
      <c r="M100" s="27">
        <f>IF($E100="","",IF($G100&lt;&gt;"",$G100,IFERROR(INDEX(ProcValor,MATCH($E100,ProcNome,0)),0)))</f>
        <v>150</v>
      </c>
      <c r="N100" s="27">
        <f>IF($M100="","",IF($F100="Compareceu",$M100,0))</f>
        <v>150</v>
      </c>
      <c r="O100" s="27">
        <f>IF($M100="","",IF($F100="Faltou",$M100,0))</f>
        <v>0</v>
      </c>
      <c r="P100" s="27">
        <f>IF($M100="","",IF($F100="Compareceu",MAX(0,$M100-N($H100)),0))</f>
        <v>0</v>
      </c>
      <c r="Q100" s="19">
        <f>IF(AND($F100="Compareceu",$E100&lt;&gt;"",$A100&lt;&gt;""),IF(IFERROR(INDEX(ProcRet,MATCH($E100,ProcNome,0)),0)&gt;0,$A100+INDEX(ProcRet,MATCH($E100,ProcNome,0)),""),"")</f>
        <v>0</v>
      </c>
      <c r="R100" s="26">
        <f>IF($Q100="","",IF(COUNTIFS(AgPac,$D100,AgData,"&gt;"&amp;$A100,AgStatus,"&lt;&gt;Cancelado",AgStatus,"&lt;&gt;Remarcado")&gt;0,"Sim","Não"))</f>
        <v>0</v>
      </c>
      <c r="S100" s="28">
        <f>IF($A100="","",IF(AND($F100="Agendado",$A100-Hoje&gt;=0,$A100-Hoje&lt;=DiasConf),"CONFIRMAR",IF(AND($A100&lt;Hoje,OR($F100="Agendado",$F100="Confirmado")),"Atualizar status",IF(AND($F100="Compareceu",$P100&gt;0.005),"Cobrar",IF($F100="Faltou","Falta: reagendar","")))))</f>
        <v>0</v>
      </c>
      <c r="T100" s="29">
        <f>IF($A100="","",DATE(YEAR($A100),MONTH($A100),1))</f>
        <v>46235.0</v>
      </c>
      <c r="U100" s="30">
        <f>IF($S100="CONFIRMAR",MAX($U$4:$U99)+1,"")</f>
        <v>0</v>
      </c>
      <c r="V100" s="30">
        <f>IF(AND($R100="Não",$Q100&lt;&gt;"",$Q100&lt;=Hoje+JanelaRet,$Q100&gt;=Hoje-60),MAX($V$4:$V99)+1,"")</f>
        <v>0</v>
      </c>
    </row>
    <row r="101" spans="1:22">
      <c r="A101" s="16">
        <v>46237</v>
      </c>
      <c r="B101" s="23">
        <v>0.3333333333333333</v>
      </c>
      <c r="C101" s="15" t="s">
        <v>54</v>
      </c>
      <c r="D101" s="15" t="s">
        <v>211</v>
      </c>
      <c r="E101" s="15" t="s">
        <v>59</v>
      </c>
      <c r="F101" s="24" t="s">
        <v>80</v>
      </c>
      <c r="G101" s="17"/>
      <c r="H101" s="17"/>
      <c r="I101" s="15"/>
      <c r="J101" s="25" t="str">
        <f>IF($D101="","",IFERROR(INDEX(PacNome,MATCH($D101,PacCod,0)),"Paciente não cadastrado"))</f>
        <v>Paciente 038</v>
      </c>
      <c r="K101" s="26" t="str">
        <f>IF($D101="","",IFERROR(INDEX(PacConv,MATCH($D101,PacCod,0))&amp;"",""))</f>
        <v>Convênio A</v>
      </c>
      <c r="L101" s="26" t="str">
        <f>IF($A101="","",CHOOSE(WEEKDAY($A101,2),"Seg","Ter","Qua","Qui","Sex","Sáb","Dom"))</f>
        <v>Seg</v>
      </c>
      <c r="M101" s="27">
        <f>IF($E101="","",IF($G101&lt;&gt;"",$G101,IFERROR(INDEX(ProcValor,MATCH($E101,ProcNome,0)),0)))</f>
        <v>150</v>
      </c>
      <c r="N101" s="27">
        <f>IF($M101="","",IF($F101="Compareceu",$M101,0))</f>
        <v>0</v>
      </c>
      <c r="O101" s="27">
        <f>IF($M101="","",IF($F101="Faltou",$M101,0))</f>
        <v>150</v>
      </c>
      <c r="P101" s="27">
        <f>IF($M101="","",IF($F101="Compareceu",MAX(0,$M101-N($H101)),0))</f>
        <v>0</v>
      </c>
      <c r="Q101" s="19">
        <f>IF(AND($F101="Compareceu",$E101&lt;&gt;"",$A101&lt;&gt;""),IF(IFERROR(INDEX(ProcRet,MATCH($E101,ProcNome,0)),0)&gt;0,$A101+INDEX(ProcRet,MATCH($E101,ProcNome,0)),""),"")</f>
        <v>0</v>
      </c>
      <c r="R101" s="26">
        <f>IF($Q101="","",IF(COUNTIFS(AgPac,$D101,AgData,"&gt;"&amp;$A101,AgStatus,"&lt;&gt;Cancelado",AgStatus,"&lt;&gt;Remarcado")&gt;0,"Sim","Não"))</f>
        <v>0</v>
      </c>
      <c r="S101" s="28" t="str">
        <f>IF($A101="","",IF(AND($F101="Agendado",$A101-Hoje&gt;=0,$A101-Hoje&lt;=DiasConf),"CONFIRMAR",IF(AND($A101&lt;Hoje,OR($F101="Agendado",$F101="Confirmado")),"Atualizar status",IF(AND($F101="Compareceu",$P101&gt;0.005),"Cobrar",IF($F101="Faltou","Falta: reagendar","")))))</f>
        <v>Falta: reagendar</v>
      </c>
      <c r="T101" s="29">
        <f>IF($A101="","",DATE(YEAR($A101),MONTH($A101),1))</f>
        <v>46235.0</v>
      </c>
      <c r="U101" s="30">
        <f>IF($S101="CONFIRMAR",MAX($U$4:$U100)+1,"")</f>
        <v>0</v>
      </c>
      <c r="V101" s="30">
        <f>IF(AND($R101="Não",$Q101&lt;&gt;"",$Q101&lt;=Hoje+JanelaRet,$Q101&gt;=Hoje-60),MAX($V$4:$V100)+1,"")</f>
        <v>0</v>
      </c>
    </row>
    <row r="102" spans="1:22">
      <c r="A102" s="16">
        <v>46237</v>
      </c>
      <c r="B102" s="23">
        <v>0.4791666666666667</v>
      </c>
      <c r="C102" s="15" t="s">
        <v>54</v>
      </c>
      <c r="D102" s="15" t="s">
        <v>226</v>
      </c>
      <c r="E102" s="15" t="s">
        <v>64</v>
      </c>
      <c r="F102" s="24" t="s">
        <v>80</v>
      </c>
      <c r="G102" s="17"/>
      <c r="H102" s="17"/>
      <c r="I102" s="15"/>
      <c r="J102" s="25" t="str">
        <f>IF($D102="","",IFERROR(INDEX(PacNome,MATCH($D102,PacCod,0)),"Paciente não cadastrado"))</f>
        <v>Paciente 043</v>
      </c>
      <c r="K102" s="26" t="str">
        <f>IF($D102="","",IFERROR(INDEX(PacConv,MATCH($D102,PacCod,0))&amp;"",""))</f>
        <v>Convênio A</v>
      </c>
      <c r="L102" s="26" t="str">
        <f>IF($A102="","",CHOOSE(WEEKDAY($A102,2),"Seg","Ter","Qua","Qui","Sex","Sáb","Dom"))</f>
        <v>Seg</v>
      </c>
      <c r="M102" s="27">
        <f>IF($E102="","",IF($G102&lt;&gt;"",$G102,IFERROR(INDEX(ProcValor,MATCH($E102,ProcNome,0)),0)))</f>
        <v>90</v>
      </c>
      <c r="N102" s="27">
        <f>IF($M102="","",IF($F102="Compareceu",$M102,0))</f>
        <v>0</v>
      </c>
      <c r="O102" s="27">
        <f>IF($M102="","",IF($F102="Faltou",$M102,0))</f>
        <v>90</v>
      </c>
      <c r="P102" s="27">
        <f>IF($M102="","",IF($F102="Compareceu",MAX(0,$M102-N($H102)),0))</f>
        <v>0</v>
      </c>
      <c r="Q102" s="19">
        <f>IF(AND($F102="Compareceu",$E102&lt;&gt;"",$A102&lt;&gt;""),IF(IFERROR(INDEX(ProcRet,MATCH($E102,ProcNome,0)),0)&gt;0,$A102+INDEX(ProcRet,MATCH($E102,ProcNome,0)),""),"")</f>
        <v>0</v>
      </c>
      <c r="R102" s="26">
        <f>IF($Q102="","",IF(COUNTIFS(AgPac,$D102,AgData,"&gt;"&amp;$A102,AgStatus,"&lt;&gt;Cancelado",AgStatus,"&lt;&gt;Remarcado")&gt;0,"Sim","Não"))</f>
        <v>0</v>
      </c>
      <c r="S102" s="28" t="str">
        <f>IF($A102="","",IF(AND($F102="Agendado",$A102-Hoje&gt;=0,$A102-Hoje&lt;=DiasConf),"CONFIRMAR",IF(AND($A102&lt;Hoje,OR($F102="Agendado",$F102="Confirmado")),"Atualizar status",IF(AND($F102="Compareceu",$P102&gt;0.005),"Cobrar",IF($F102="Faltou","Falta: reagendar","")))))</f>
        <v>Falta: reagendar</v>
      </c>
      <c r="T102" s="29">
        <f>IF($A102="","",DATE(YEAR($A102),MONTH($A102),1))</f>
        <v>46235.0</v>
      </c>
      <c r="U102" s="30">
        <f>IF($S102="CONFIRMAR",MAX($U$4:$U101)+1,"")</f>
        <v>0</v>
      </c>
      <c r="V102" s="30">
        <f>IF(AND($R102="Não",$Q102&lt;&gt;"",$Q102&lt;=Hoje+JanelaRet,$Q102&gt;=Hoje-60),MAX($V$4:$V101)+1,"")</f>
        <v>0</v>
      </c>
    </row>
    <row r="103" spans="1:22">
      <c r="A103" s="16">
        <v>46237</v>
      </c>
      <c r="B103" s="23">
        <v>0.5</v>
      </c>
      <c r="C103" s="15" t="s">
        <v>54</v>
      </c>
      <c r="D103" s="15" t="s">
        <v>127</v>
      </c>
      <c r="E103" s="15" t="s">
        <v>61</v>
      </c>
      <c r="F103" s="24" t="s">
        <v>79</v>
      </c>
      <c r="G103" s="17"/>
      <c r="H103" s="17">
        <v>120</v>
      </c>
      <c r="I103" s="15" t="s">
        <v>71</v>
      </c>
      <c r="J103" s="25" t="str">
        <f>IF($D103="","",IFERROR(INDEX(PacNome,MATCH($D103,PacCod,0)),"Paciente não cadastrado"))</f>
        <v>Paciente 010</v>
      </c>
      <c r="K103" s="26" t="str">
        <f>IF($D103="","",IFERROR(INDEX(PacConv,MATCH($D103,PacCod,0))&amp;"",""))</f>
        <v>Particular</v>
      </c>
      <c r="L103" s="26" t="str">
        <f>IF($A103="","",CHOOSE(WEEKDAY($A103,2),"Seg","Ter","Qua","Qui","Sex","Sáb","Dom"))</f>
        <v>Seg</v>
      </c>
      <c r="M103" s="27">
        <f>IF($E103="","",IF($G103&lt;&gt;"",$G103,IFERROR(INDEX(ProcValor,MATCH($E103,ProcNome,0)),0)))</f>
        <v>120</v>
      </c>
      <c r="N103" s="27">
        <f>IF($M103="","",IF($F103="Compareceu",$M103,0))</f>
        <v>120</v>
      </c>
      <c r="O103" s="27">
        <f>IF($M103="","",IF($F103="Faltou",$M103,0))</f>
        <v>0</v>
      </c>
      <c r="P103" s="27">
        <f>IF($M103="","",IF($F103="Compareceu",MAX(0,$M103-N($H103)),0))</f>
        <v>0</v>
      </c>
      <c r="Q103" s="19">
        <f>IF(AND($F103="Compareceu",$E103&lt;&gt;"",$A103&lt;&gt;""),IF(IFERROR(INDEX(ProcRet,MATCH($E103,ProcNome,0)),0)&gt;0,$A103+INDEX(ProcRet,MATCH($E103,ProcNome,0)),""),"")</f>
        <v>46267.0</v>
      </c>
      <c r="R103" s="26" t="str">
        <f>IF($Q103="","",IF(COUNTIFS(AgPac,$D103,AgData,"&gt;"&amp;$A103,AgStatus,"&lt;&gt;Cancelado",AgStatus,"&lt;&gt;Remarcado")&gt;0,"Sim","Não"))</f>
        <v>Sim</v>
      </c>
      <c r="S103" s="28">
        <f>IF($A103="","",IF(AND($F103="Agendado",$A103-Hoje&gt;=0,$A103-Hoje&lt;=DiasConf),"CONFIRMAR",IF(AND($A103&lt;Hoje,OR($F103="Agendado",$F103="Confirmado")),"Atualizar status",IF(AND($F103="Compareceu",$P103&gt;0.005),"Cobrar",IF($F103="Faltou","Falta: reagendar","")))))</f>
        <v>0</v>
      </c>
      <c r="T103" s="29">
        <f>IF($A103="","",DATE(YEAR($A103),MONTH($A103),1))</f>
        <v>46235.0</v>
      </c>
      <c r="U103" s="30">
        <f>IF($S103="CONFIRMAR",MAX($U$4:$U102)+1,"")</f>
        <v>0</v>
      </c>
      <c r="V103" s="30">
        <f>IF(AND($R103="Não",$Q103&lt;&gt;"",$Q103&lt;=Hoje+JanelaRet,$Q103&gt;=Hoje-60),MAX($V$4:$V102)+1,"")</f>
        <v>0</v>
      </c>
    </row>
    <row r="104" spans="1:22">
      <c r="A104" s="16">
        <v>46237</v>
      </c>
      <c r="B104" s="23">
        <v>0.6875</v>
      </c>
      <c r="C104" s="15" t="s">
        <v>54</v>
      </c>
      <c r="D104" s="15" t="s">
        <v>190</v>
      </c>
      <c r="E104" s="15" t="s">
        <v>65</v>
      </c>
      <c r="F104" s="24" t="s">
        <v>79</v>
      </c>
      <c r="G104" s="17"/>
      <c r="H104" s="17">
        <v>130</v>
      </c>
      <c r="I104" s="15" t="s">
        <v>71</v>
      </c>
      <c r="J104" s="25" t="str">
        <f>IF($D104="","",IFERROR(INDEX(PacNome,MATCH($D104,PacCod,0)),"Paciente não cadastrado"))</f>
        <v>Paciente 031</v>
      </c>
      <c r="K104" s="26" t="str">
        <f>IF($D104="","",IFERROR(INDEX(PacConv,MATCH($D104,PacCod,0))&amp;"",""))</f>
        <v>Particular</v>
      </c>
      <c r="L104" s="26" t="str">
        <f>IF($A104="","",CHOOSE(WEEKDAY($A104,2),"Seg","Ter","Qua","Qui","Sex","Sáb","Dom"))</f>
        <v>Seg</v>
      </c>
      <c r="M104" s="27">
        <f>IF($E104="","",IF($G104&lt;&gt;"",$G104,IFERROR(INDEX(ProcValor,MATCH($E104,ProcNome,0)),0)))</f>
        <v>130</v>
      </c>
      <c r="N104" s="27">
        <f>IF($M104="","",IF($F104="Compareceu",$M104,0))</f>
        <v>130</v>
      </c>
      <c r="O104" s="27">
        <f>IF($M104="","",IF($F104="Faltou",$M104,0))</f>
        <v>0</v>
      </c>
      <c r="P104" s="27">
        <f>IF($M104="","",IF($F104="Compareceu",MAX(0,$M104-N($H104)),0))</f>
        <v>0</v>
      </c>
      <c r="Q104" s="19">
        <f>IF(AND($F104="Compareceu",$E104&lt;&gt;"",$A104&lt;&gt;""),IF(IFERROR(INDEX(ProcRet,MATCH($E104,ProcNome,0)),0)&gt;0,$A104+INDEX(ProcRet,MATCH($E104,ProcNome,0)),""),"")</f>
        <v>46327.0</v>
      </c>
      <c r="R104" s="26" t="str">
        <f>IF($Q104="","",IF(COUNTIFS(AgPac,$D104,AgData,"&gt;"&amp;$A104,AgStatus,"&lt;&gt;Cancelado",AgStatus,"&lt;&gt;Remarcado")&gt;0,"Sim","Não"))</f>
        <v>Sim</v>
      </c>
      <c r="S104" s="28">
        <f>IF($A104="","",IF(AND($F104="Agendado",$A104-Hoje&gt;=0,$A104-Hoje&lt;=DiasConf),"CONFIRMAR",IF(AND($A104&lt;Hoje,OR($F104="Agendado",$F104="Confirmado")),"Atualizar status",IF(AND($F104="Compareceu",$P104&gt;0.005),"Cobrar",IF($F104="Faltou","Falta: reagendar","")))))</f>
        <v>0</v>
      </c>
      <c r="T104" s="29">
        <f>IF($A104="","",DATE(YEAR($A104),MONTH($A104),1))</f>
        <v>46235.0</v>
      </c>
      <c r="U104" s="30">
        <f>IF($S104="CONFIRMAR",MAX($U$4:$U103)+1,"")</f>
        <v>0</v>
      </c>
      <c r="V104" s="30">
        <f>IF(AND($R104="Não",$Q104&lt;&gt;"",$Q104&lt;=Hoje+JanelaRet,$Q104&gt;=Hoje-60),MAX($V$4:$V103)+1,"")</f>
        <v>0</v>
      </c>
    </row>
    <row r="105" spans="1:22">
      <c r="A105" s="16">
        <v>46237</v>
      </c>
      <c r="B105" s="23">
        <v>0.7083333333333334</v>
      </c>
      <c r="C105" s="15" t="s">
        <v>52</v>
      </c>
      <c r="D105" s="15" t="s">
        <v>166</v>
      </c>
      <c r="E105" s="15" t="s">
        <v>61</v>
      </c>
      <c r="F105" s="24" t="s">
        <v>79</v>
      </c>
      <c r="G105" s="17"/>
      <c r="H105" s="17">
        <v>120</v>
      </c>
      <c r="I105" s="15" t="s">
        <v>71</v>
      </c>
      <c r="J105" s="25" t="str">
        <f>IF($D105="","",IFERROR(INDEX(PacNome,MATCH($D105,PacCod,0)),"Paciente não cadastrado"))</f>
        <v>Paciente 023</v>
      </c>
      <c r="K105" s="26" t="str">
        <f>IF($D105="","",IFERROR(INDEX(PacConv,MATCH($D105,PacCod,0))&amp;"",""))</f>
        <v>Particular</v>
      </c>
      <c r="L105" s="26" t="str">
        <f>IF($A105="","",CHOOSE(WEEKDAY($A105,2),"Seg","Ter","Qua","Qui","Sex","Sáb","Dom"))</f>
        <v>Seg</v>
      </c>
      <c r="M105" s="27">
        <f>IF($E105="","",IF($G105&lt;&gt;"",$G105,IFERROR(INDEX(ProcValor,MATCH($E105,ProcNome,0)),0)))</f>
        <v>120</v>
      </c>
      <c r="N105" s="27">
        <f>IF($M105="","",IF($F105="Compareceu",$M105,0))</f>
        <v>120</v>
      </c>
      <c r="O105" s="27">
        <f>IF($M105="","",IF($F105="Faltou",$M105,0))</f>
        <v>0</v>
      </c>
      <c r="P105" s="27">
        <f>IF($M105="","",IF($F105="Compareceu",MAX(0,$M105-N($H105)),0))</f>
        <v>0</v>
      </c>
      <c r="Q105" s="19">
        <f>IF(AND($F105="Compareceu",$E105&lt;&gt;"",$A105&lt;&gt;""),IF(IFERROR(INDEX(ProcRet,MATCH($E105,ProcNome,0)),0)&gt;0,$A105+INDEX(ProcRet,MATCH($E105,ProcNome,0)),""),"")</f>
        <v>46267.0</v>
      </c>
      <c r="R105" s="26" t="str">
        <f>IF($Q105="","",IF(COUNTIFS(AgPac,$D105,AgData,"&gt;"&amp;$A105,AgStatus,"&lt;&gt;Cancelado",AgStatus,"&lt;&gt;Remarcado")&gt;0,"Sim","Não"))</f>
        <v>Sim</v>
      </c>
      <c r="S105" s="28">
        <f>IF($A105="","",IF(AND($F105="Agendado",$A105-Hoje&gt;=0,$A105-Hoje&lt;=DiasConf),"CONFIRMAR",IF(AND($A105&lt;Hoje,OR($F105="Agendado",$F105="Confirmado")),"Atualizar status",IF(AND($F105="Compareceu",$P105&gt;0.005),"Cobrar",IF($F105="Faltou","Falta: reagendar","")))))</f>
        <v>0</v>
      </c>
      <c r="T105" s="29">
        <f>IF($A105="","",DATE(YEAR($A105),MONTH($A105),1))</f>
        <v>46235.0</v>
      </c>
      <c r="U105" s="30">
        <f>IF($S105="CONFIRMAR",MAX($U$4:$U104)+1,"")</f>
        <v>0</v>
      </c>
      <c r="V105" s="30">
        <f>IF(AND($R105="Não",$Q105&lt;&gt;"",$Q105&lt;=Hoje+JanelaRet,$Q105&gt;=Hoje-60),MAX($V$4:$V104)+1,"")</f>
        <v>0</v>
      </c>
    </row>
    <row r="106" spans="1:22">
      <c r="A106" s="16">
        <v>46238</v>
      </c>
      <c r="B106" s="23">
        <v>0.3333333333333333</v>
      </c>
      <c r="C106" s="15" t="s">
        <v>53</v>
      </c>
      <c r="D106" s="15" t="s">
        <v>232</v>
      </c>
      <c r="E106" s="15" t="s">
        <v>59</v>
      </c>
      <c r="F106" s="24" t="s">
        <v>79</v>
      </c>
      <c r="G106" s="17">
        <v>90</v>
      </c>
      <c r="H106" s="17">
        <v>90</v>
      </c>
      <c r="I106" s="15" t="s">
        <v>72</v>
      </c>
      <c r="J106" s="25" t="str">
        <f>IF($D106="","",IFERROR(INDEX(PacNome,MATCH($D106,PacCod,0)),"Paciente não cadastrado"))</f>
        <v>Paciente 045</v>
      </c>
      <c r="K106" s="26" t="str">
        <f>IF($D106="","",IFERROR(INDEX(PacConv,MATCH($D106,PacCod,0))&amp;"",""))</f>
        <v>Convênio A</v>
      </c>
      <c r="L106" s="26" t="str">
        <f>IF($A106="","",CHOOSE(WEEKDAY($A106,2),"Seg","Ter","Qua","Qui","Sex","Sáb","Dom"))</f>
        <v>Ter</v>
      </c>
      <c r="M106" s="27">
        <f>IF($E106="","",IF($G106&lt;&gt;"",$G106,IFERROR(INDEX(ProcValor,MATCH($E106,ProcNome,0)),0)))</f>
        <v>90</v>
      </c>
      <c r="N106" s="27">
        <f>IF($M106="","",IF($F106="Compareceu",$M106,0))</f>
        <v>90</v>
      </c>
      <c r="O106" s="27">
        <f>IF($M106="","",IF($F106="Faltou",$M106,0))</f>
        <v>0</v>
      </c>
      <c r="P106" s="27">
        <f>IF($M106="","",IF($F106="Compareceu",MAX(0,$M106-N($H106)),0))</f>
        <v>0</v>
      </c>
      <c r="Q106" s="19">
        <f>IF(AND($F106="Compareceu",$E106&lt;&gt;"",$A106&lt;&gt;""),IF(IFERROR(INDEX(ProcRet,MATCH($E106,ProcNome,0)),0)&gt;0,$A106+INDEX(ProcRet,MATCH($E106,ProcNome,0)),""),"")</f>
        <v>0</v>
      </c>
      <c r="R106" s="26">
        <f>IF($Q106="","",IF(COUNTIFS(AgPac,$D106,AgData,"&gt;"&amp;$A106,AgStatus,"&lt;&gt;Cancelado",AgStatus,"&lt;&gt;Remarcado")&gt;0,"Sim","Não"))</f>
        <v>0</v>
      </c>
      <c r="S106" s="28">
        <f>IF($A106="","",IF(AND($F106="Agendado",$A106-Hoje&gt;=0,$A106-Hoje&lt;=DiasConf),"CONFIRMAR",IF(AND($A106&lt;Hoje,OR($F106="Agendado",$F106="Confirmado")),"Atualizar status",IF(AND($F106="Compareceu",$P106&gt;0.005),"Cobrar",IF($F106="Faltou","Falta: reagendar","")))))</f>
        <v>0</v>
      </c>
      <c r="T106" s="29">
        <f>IF($A106="","",DATE(YEAR($A106),MONTH($A106),1))</f>
        <v>46235.0</v>
      </c>
      <c r="U106" s="30">
        <f>IF($S106="CONFIRMAR",MAX($U$4:$U105)+1,"")</f>
        <v>0</v>
      </c>
      <c r="V106" s="30">
        <f>IF(AND($R106="Não",$Q106&lt;&gt;"",$Q106&lt;=Hoje+JanelaRet,$Q106&gt;=Hoje-60),MAX($V$4:$V105)+1,"")</f>
        <v>0</v>
      </c>
    </row>
    <row r="107" spans="1:22">
      <c r="A107" s="16">
        <v>46238</v>
      </c>
      <c r="B107" s="23">
        <v>0.5208333333333334</v>
      </c>
      <c r="C107" s="15" t="s">
        <v>52</v>
      </c>
      <c r="D107" s="15" t="s">
        <v>169</v>
      </c>
      <c r="E107" s="15" t="s">
        <v>60</v>
      </c>
      <c r="F107" s="24" t="s">
        <v>79</v>
      </c>
      <c r="G107" s="17"/>
      <c r="H107" s="17">
        <v>180</v>
      </c>
      <c r="I107" s="15" t="s">
        <v>71</v>
      </c>
      <c r="J107" s="25" t="str">
        <f>IF($D107="","",IFERROR(INDEX(PacNome,MATCH($D107,PacCod,0)),"Paciente não cadastrado"))</f>
        <v>Paciente 024</v>
      </c>
      <c r="K107" s="26" t="str">
        <f>IF($D107="","",IFERROR(INDEX(PacConv,MATCH($D107,PacCod,0))&amp;"",""))</f>
        <v>Particular</v>
      </c>
      <c r="L107" s="26" t="str">
        <f>IF($A107="","",CHOOSE(WEEKDAY($A107,2),"Seg","Ter","Qua","Qui","Sex","Sáb","Dom"))</f>
        <v>Ter</v>
      </c>
      <c r="M107" s="27">
        <f>IF($E107="","",IF($G107&lt;&gt;"",$G107,IFERROR(INDEX(ProcValor,MATCH($E107,ProcNome,0)),0)))</f>
        <v>180</v>
      </c>
      <c r="N107" s="27">
        <f>IF($M107="","",IF($F107="Compareceu",$M107,0))</f>
        <v>180</v>
      </c>
      <c r="O107" s="27">
        <f>IF($M107="","",IF($F107="Faltou",$M107,0))</f>
        <v>0</v>
      </c>
      <c r="P107" s="27">
        <f>IF($M107="","",IF($F107="Compareceu",MAX(0,$M107-N($H107)),0))</f>
        <v>0</v>
      </c>
      <c r="Q107" s="19">
        <f>IF(AND($F107="Compareceu",$E107&lt;&gt;"",$A107&lt;&gt;""),IF(IFERROR(INDEX(ProcRet,MATCH($E107,ProcNome,0)),0)&gt;0,$A107+INDEX(ProcRet,MATCH($E107,ProcNome,0)),""),"")</f>
        <v>46418.0</v>
      </c>
      <c r="R107" s="26" t="str">
        <f>IF($Q107="","",IF(COUNTIFS(AgPac,$D107,AgData,"&gt;"&amp;$A107,AgStatus,"&lt;&gt;Cancelado",AgStatus,"&lt;&gt;Remarcado")&gt;0,"Sim","Não"))</f>
        <v>Sim</v>
      </c>
      <c r="S107" s="28">
        <f>IF($A107="","",IF(AND($F107="Agendado",$A107-Hoje&gt;=0,$A107-Hoje&lt;=DiasConf),"CONFIRMAR",IF(AND($A107&lt;Hoje,OR($F107="Agendado",$F107="Confirmado")),"Atualizar status",IF(AND($F107="Compareceu",$P107&gt;0.005),"Cobrar",IF($F107="Faltou","Falta: reagendar","")))))</f>
        <v>0</v>
      </c>
      <c r="T107" s="29">
        <f>IF($A107="","",DATE(YEAR($A107),MONTH($A107),1))</f>
        <v>46235.0</v>
      </c>
      <c r="U107" s="30">
        <f>IF($S107="CONFIRMAR",MAX($U$4:$U106)+1,"")</f>
        <v>0</v>
      </c>
      <c r="V107" s="30">
        <f>IF(AND($R107="Não",$Q107&lt;&gt;"",$Q107&lt;=Hoje+JanelaRet,$Q107&gt;=Hoje-60),MAX($V$4:$V106)+1,"")</f>
        <v>0</v>
      </c>
    </row>
    <row r="108" spans="1:22">
      <c r="A108" s="16">
        <v>46238</v>
      </c>
      <c r="B108" s="23">
        <v>0.5625</v>
      </c>
      <c r="C108" s="15" t="s">
        <v>51</v>
      </c>
      <c r="D108" s="15" t="s">
        <v>202</v>
      </c>
      <c r="E108" s="15" t="s">
        <v>63</v>
      </c>
      <c r="F108" s="24" t="s">
        <v>79</v>
      </c>
      <c r="G108" s="17"/>
      <c r="H108" s="17">
        <v>140</v>
      </c>
      <c r="I108" s="15" t="s">
        <v>74</v>
      </c>
      <c r="J108" s="25" t="str">
        <f>IF($D108="","",IFERROR(INDEX(PacNome,MATCH($D108,PacCod,0)),"Paciente não cadastrado"))</f>
        <v>Paciente 035</v>
      </c>
      <c r="K108" s="26" t="str">
        <f>IF($D108="","",IFERROR(INDEX(PacConv,MATCH($D108,PacCod,0))&amp;"",""))</f>
        <v>Particular</v>
      </c>
      <c r="L108" s="26" t="str">
        <f>IF($A108="","",CHOOSE(WEEKDAY($A108,2),"Seg","Ter","Qua","Qui","Sex","Sáb","Dom"))</f>
        <v>Ter</v>
      </c>
      <c r="M108" s="27">
        <f>IF($E108="","",IF($G108&lt;&gt;"",$G108,IFERROR(INDEX(ProcValor,MATCH($E108,ProcNome,0)),0)))</f>
        <v>140</v>
      </c>
      <c r="N108" s="27">
        <f>IF($M108="","",IF($F108="Compareceu",$M108,0))</f>
        <v>140</v>
      </c>
      <c r="O108" s="27">
        <f>IF($M108="","",IF($F108="Faltou",$M108,0))</f>
        <v>0</v>
      </c>
      <c r="P108" s="27">
        <f>IF($M108="","",IF($F108="Compareceu",MAX(0,$M108-N($H108)),0))</f>
        <v>0</v>
      </c>
      <c r="Q108" s="19">
        <f>IF(AND($F108="Compareceu",$E108&lt;&gt;"",$A108&lt;&gt;""),IF(IFERROR(INDEX(ProcRet,MATCH($E108,ProcNome,0)),0)&gt;0,$A108+INDEX(ProcRet,MATCH($E108,ProcNome,0)),""),"")</f>
        <v>46245.0</v>
      </c>
      <c r="R108" s="26" t="str">
        <f>IF($Q108="","",IF(COUNTIFS(AgPac,$D108,AgData,"&gt;"&amp;$A108,AgStatus,"&lt;&gt;Cancelado",AgStatus,"&lt;&gt;Remarcado")&gt;0,"Sim","Não"))</f>
        <v>Sim</v>
      </c>
      <c r="S108" s="28">
        <f>IF($A108="","",IF(AND($F108="Agendado",$A108-Hoje&gt;=0,$A108-Hoje&lt;=DiasConf),"CONFIRMAR",IF(AND($A108&lt;Hoje,OR($F108="Agendado",$F108="Confirmado")),"Atualizar status",IF(AND($F108="Compareceu",$P108&gt;0.005),"Cobrar",IF($F108="Faltou","Falta: reagendar","")))))</f>
        <v>0</v>
      </c>
      <c r="T108" s="29">
        <f>IF($A108="","",DATE(YEAR($A108),MONTH($A108),1))</f>
        <v>46235.0</v>
      </c>
      <c r="U108" s="30">
        <f>IF($S108="CONFIRMAR",MAX($U$4:$U107)+1,"")</f>
        <v>0</v>
      </c>
      <c r="V108" s="30">
        <f>IF(AND($R108="Não",$Q108&lt;&gt;"",$Q108&lt;=Hoje+JanelaRet,$Q108&gt;=Hoje-60),MAX($V$4:$V107)+1,"")</f>
        <v>0</v>
      </c>
    </row>
    <row r="109" spans="1:22">
      <c r="A109" s="16">
        <v>46238</v>
      </c>
      <c r="B109" s="23">
        <v>0.6458333333333334</v>
      </c>
      <c r="C109" s="15" t="s">
        <v>52</v>
      </c>
      <c r="D109" s="15" t="s">
        <v>148</v>
      </c>
      <c r="E109" s="15" t="s">
        <v>61</v>
      </c>
      <c r="F109" s="24" t="s">
        <v>82</v>
      </c>
      <c r="G109" s="17"/>
      <c r="H109" s="17"/>
      <c r="I109" s="15"/>
      <c r="J109" s="25" t="str">
        <f>IF($D109="","",IFERROR(INDEX(PacNome,MATCH($D109,PacCod,0)),"Paciente não cadastrado"))</f>
        <v>Paciente 017</v>
      </c>
      <c r="K109" s="26" t="str">
        <f>IF($D109="","",IFERROR(INDEX(PacConv,MATCH($D109,PacCod,0))&amp;"",""))</f>
        <v>Particular</v>
      </c>
      <c r="L109" s="26" t="str">
        <f>IF($A109="","",CHOOSE(WEEKDAY($A109,2),"Seg","Ter","Qua","Qui","Sex","Sáb","Dom"))</f>
        <v>Ter</v>
      </c>
      <c r="M109" s="27">
        <f>IF($E109="","",IF($G109&lt;&gt;"",$G109,IFERROR(INDEX(ProcValor,MATCH($E109,ProcNome,0)),0)))</f>
        <v>120</v>
      </c>
      <c r="N109" s="27">
        <f>IF($M109="","",IF($F109="Compareceu",$M109,0))</f>
        <v>0</v>
      </c>
      <c r="O109" s="27">
        <f>IF($M109="","",IF($F109="Faltou",$M109,0))</f>
        <v>0</v>
      </c>
      <c r="P109" s="27">
        <f>IF($M109="","",IF($F109="Compareceu",MAX(0,$M109-N($H109)),0))</f>
        <v>0</v>
      </c>
      <c r="Q109" s="19">
        <f>IF(AND($F109="Compareceu",$E109&lt;&gt;"",$A109&lt;&gt;""),IF(IFERROR(INDEX(ProcRet,MATCH($E109,ProcNome,0)),0)&gt;0,$A109+INDEX(ProcRet,MATCH($E109,ProcNome,0)),""),"")</f>
        <v>0</v>
      </c>
      <c r="R109" s="26">
        <f>IF($Q109="","",IF(COUNTIFS(AgPac,$D109,AgData,"&gt;"&amp;$A109,AgStatus,"&lt;&gt;Cancelado",AgStatus,"&lt;&gt;Remarcado")&gt;0,"Sim","Não"))</f>
        <v>0</v>
      </c>
      <c r="S109" s="28">
        <f>IF($A109="","",IF(AND($F109="Agendado",$A109-Hoje&gt;=0,$A109-Hoje&lt;=DiasConf),"CONFIRMAR",IF(AND($A109&lt;Hoje,OR($F109="Agendado",$F109="Confirmado")),"Atualizar status",IF(AND($F109="Compareceu",$P109&gt;0.005),"Cobrar",IF($F109="Faltou","Falta: reagendar","")))))</f>
        <v>0</v>
      </c>
      <c r="T109" s="29">
        <f>IF($A109="","",DATE(YEAR($A109),MONTH($A109),1))</f>
        <v>46235.0</v>
      </c>
      <c r="U109" s="30">
        <f>IF($S109="CONFIRMAR",MAX($U$4:$U108)+1,"")</f>
        <v>0</v>
      </c>
      <c r="V109" s="30">
        <f>IF(AND($R109="Não",$Q109&lt;&gt;"",$Q109&lt;=Hoje+JanelaRet,$Q109&gt;=Hoje-60),MAX($V$4:$V108)+1,"")</f>
        <v>0</v>
      </c>
    </row>
    <row r="110" spans="1:22">
      <c r="A110" s="16">
        <v>46238</v>
      </c>
      <c r="B110" s="23">
        <v>0.6666666666666666</v>
      </c>
      <c r="C110" s="15" t="s">
        <v>51</v>
      </c>
      <c r="D110" s="15" t="s">
        <v>193</v>
      </c>
      <c r="E110" s="15" t="s">
        <v>60</v>
      </c>
      <c r="F110" s="24" t="s">
        <v>79</v>
      </c>
      <c r="G110" s="17">
        <v>108</v>
      </c>
      <c r="H110" s="17">
        <v>108</v>
      </c>
      <c r="I110" s="15" t="s">
        <v>73</v>
      </c>
      <c r="J110" s="25" t="str">
        <f>IF($D110="","",IFERROR(INDEX(PacNome,MATCH($D110,PacCod,0)),"Paciente não cadastrado"))</f>
        <v>Paciente 032</v>
      </c>
      <c r="K110" s="26" t="str">
        <f>IF($D110="","",IFERROR(INDEX(PacConv,MATCH($D110,PacCod,0))&amp;"",""))</f>
        <v>Convênio A</v>
      </c>
      <c r="L110" s="26" t="str">
        <f>IF($A110="","",CHOOSE(WEEKDAY($A110,2),"Seg","Ter","Qua","Qui","Sex","Sáb","Dom"))</f>
        <v>Ter</v>
      </c>
      <c r="M110" s="27">
        <f>IF($E110="","",IF($G110&lt;&gt;"",$G110,IFERROR(INDEX(ProcValor,MATCH($E110,ProcNome,0)),0)))</f>
        <v>108</v>
      </c>
      <c r="N110" s="27">
        <f>IF($M110="","",IF($F110="Compareceu",$M110,0))</f>
        <v>108</v>
      </c>
      <c r="O110" s="27">
        <f>IF($M110="","",IF($F110="Faltou",$M110,0))</f>
        <v>0</v>
      </c>
      <c r="P110" s="27">
        <f>IF($M110="","",IF($F110="Compareceu",MAX(0,$M110-N($H110)),0))</f>
        <v>0</v>
      </c>
      <c r="Q110" s="19">
        <f>IF(AND($F110="Compareceu",$E110&lt;&gt;"",$A110&lt;&gt;""),IF(IFERROR(INDEX(ProcRet,MATCH($E110,ProcNome,0)),0)&gt;0,$A110+INDEX(ProcRet,MATCH($E110,ProcNome,0)),""),"")</f>
        <v>46418.0</v>
      </c>
      <c r="R110" s="26" t="str">
        <f>IF($Q110="","",IF(COUNTIFS(AgPac,$D110,AgData,"&gt;"&amp;$A110,AgStatus,"&lt;&gt;Cancelado",AgStatus,"&lt;&gt;Remarcado")&gt;0,"Sim","Não"))</f>
        <v>Sim</v>
      </c>
      <c r="S110" s="28">
        <f>IF($A110="","",IF(AND($F110="Agendado",$A110-Hoje&gt;=0,$A110-Hoje&lt;=DiasConf),"CONFIRMAR",IF(AND($A110&lt;Hoje,OR($F110="Agendado",$F110="Confirmado")),"Atualizar status",IF(AND($F110="Compareceu",$P110&gt;0.005),"Cobrar",IF($F110="Faltou","Falta: reagendar","")))))</f>
        <v>0</v>
      </c>
      <c r="T110" s="29">
        <f>IF($A110="","",DATE(YEAR($A110),MONTH($A110),1))</f>
        <v>46235.0</v>
      </c>
      <c r="U110" s="30">
        <f>IF($S110="CONFIRMAR",MAX($U$4:$U109)+1,"")</f>
        <v>0</v>
      </c>
      <c r="V110" s="30">
        <f>IF(AND($R110="Não",$Q110&lt;&gt;"",$Q110&lt;=Hoje+JanelaRet,$Q110&gt;=Hoje-60),MAX($V$4:$V109)+1,"")</f>
        <v>0</v>
      </c>
    </row>
    <row r="111" spans="1:22">
      <c r="A111" s="16">
        <v>46239</v>
      </c>
      <c r="B111" s="23">
        <v>0.5625</v>
      </c>
      <c r="C111" s="15" t="s">
        <v>52</v>
      </c>
      <c r="D111" s="15" t="s">
        <v>127</v>
      </c>
      <c r="E111" s="15" t="s">
        <v>65</v>
      </c>
      <c r="F111" s="24" t="s">
        <v>79</v>
      </c>
      <c r="G111" s="17"/>
      <c r="H111" s="17">
        <v>130</v>
      </c>
      <c r="I111" s="15" t="s">
        <v>73</v>
      </c>
      <c r="J111" s="25" t="str">
        <f>IF($D111="","",IFERROR(INDEX(PacNome,MATCH($D111,PacCod,0)),"Paciente não cadastrado"))</f>
        <v>Paciente 010</v>
      </c>
      <c r="K111" s="26" t="str">
        <f>IF($D111="","",IFERROR(INDEX(PacConv,MATCH($D111,PacCod,0))&amp;"",""))</f>
        <v>Particular</v>
      </c>
      <c r="L111" s="26" t="str">
        <f>IF($A111="","",CHOOSE(WEEKDAY($A111,2),"Seg","Ter","Qua","Qui","Sex","Sáb","Dom"))</f>
        <v>Qua</v>
      </c>
      <c r="M111" s="27">
        <f>IF($E111="","",IF($G111&lt;&gt;"",$G111,IFERROR(INDEX(ProcValor,MATCH($E111,ProcNome,0)),0)))</f>
        <v>130</v>
      </c>
      <c r="N111" s="27">
        <f>IF($M111="","",IF($F111="Compareceu",$M111,0))</f>
        <v>130</v>
      </c>
      <c r="O111" s="27">
        <f>IF($M111="","",IF($F111="Faltou",$M111,0))</f>
        <v>0</v>
      </c>
      <c r="P111" s="27">
        <f>IF($M111="","",IF($F111="Compareceu",MAX(0,$M111-N($H111)),0))</f>
        <v>0</v>
      </c>
      <c r="Q111" s="19">
        <f>IF(AND($F111="Compareceu",$E111&lt;&gt;"",$A111&lt;&gt;""),IF(IFERROR(INDEX(ProcRet,MATCH($E111,ProcNome,0)),0)&gt;0,$A111+INDEX(ProcRet,MATCH($E111,ProcNome,0)),""),"")</f>
        <v>46329.0</v>
      </c>
      <c r="R111" s="26" t="str">
        <f>IF($Q111="","",IF(COUNTIFS(AgPac,$D111,AgData,"&gt;"&amp;$A111,AgStatus,"&lt;&gt;Cancelado",AgStatus,"&lt;&gt;Remarcado")&gt;0,"Sim","Não"))</f>
        <v>Sim</v>
      </c>
      <c r="S111" s="28">
        <f>IF($A111="","",IF(AND($F111="Agendado",$A111-Hoje&gt;=0,$A111-Hoje&lt;=DiasConf),"CONFIRMAR",IF(AND($A111&lt;Hoje,OR($F111="Agendado",$F111="Confirmado")),"Atualizar status",IF(AND($F111="Compareceu",$P111&gt;0.005),"Cobrar",IF($F111="Faltou","Falta: reagendar","")))))</f>
        <v>0</v>
      </c>
      <c r="T111" s="29">
        <f>IF($A111="","",DATE(YEAR($A111),MONTH($A111),1))</f>
        <v>46235.0</v>
      </c>
      <c r="U111" s="30">
        <f>IF($S111="CONFIRMAR",MAX($U$4:$U110)+1,"")</f>
        <v>0</v>
      </c>
      <c r="V111" s="30">
        <f>IF(AND($R111="Não",$Q111&lt;&gt;"",$Q111&lt;=Hoje+JanelaRet,$Q111&gt;=Hoje-60),MAX($V$4:$V110)+1,"")</f>
        <v>0</v>
      </c>
    </row>
    <row r="112" spans="1:22">
      <c r="A112" s="16">
        <v>46239</v>
      </c>
      <c r="B112" s="23">
        <v>0.6041666666666666</v>
      </c>
      <c r="C112" s="15" t="s">
        <v>54</v>
      </c>
      <c r="D112" s="15" t="s">
        <v>175</v>
      </c>
      <c r="E112" s="15" t="s">
        <v>62</v>
      </c>
      <c r="F112" s="24" t="s">
        <v>81</v>
      </c>
      <c r="G112" s="17"/>
      <c r="H112" s="17"/>
      <c r="I112" s="15"/>
      <c r="J112" s="25" t="str">
        <f>IF($D112="","",IFERROR(INDEX(PacNome,MATCH($D112,PacCod,0)),"Paciente não cadastrado"))</f>
        <v>Paciente 026</v>
      </c>
      <c r="K112" s="26" t="str">
        <f>IF($D112="","",IFERROR(INDEX(PacConv,MATCH($D112,PacCod,0))&amp;"",""))</f>
        <v>Convênio A</v>
      </c>
      <c r="L112" s="26" t="str">
        <f>IF($A112="","",CHOOSE(WEEKDAY($A112,2),"Seg","Ter","Qua","Qui","Sex","Sáb","Dom"))</f>
        <v>Qua</v>
      </c>
      <c r="M112" s="27">
        <f>IF($E112="","",IF($G112&lt;&gt;"",$G112,IFERROR(INDEX(ProcValor,MATCH($E112,ProcNome,0)),0)))</f>
        <v>350</v>
      </c>
      <c r="N112" s="27">
        <f>IF($M112="","",IF($F112="Compareceu",$M112,0))</f>
        <v>0</v>
      </c>
      <c r="O112" s="27">
        <f>IF($M112="","",IF($F112="Faltou",$M112,0))</f>
        <v>0</v>
      </c>
      <c r="P112" s="27">
        <f>IF($M112="","",IF($F112="Compareceu",MAX(0,$M112-N($H112)),0))</f>
        <v>0</v>
      </c>
      <c r="Q112" s="19">
        <f>IF(AND($F112="Compareceu",$E112&lt;&gt;"",$A112&lt;&gt;""),IF(IFERROR(INDEX(ProcRet,MATCH($E112,ProcNome,0)),0)&gt;0,$A112+INDEX(ProcRet,MATCH($E112,ProcNome,0)),""),"")</f>
        <v>0</v>
      </c>
      <c r="R112" s="26">
        <f>IF($Q112="","",IF(COUNTIFS(AgPac,$D112,AgData,"&gt;"&amp;$A112,AgStatus,"&lt;&gt;Cancelado",AgStatus,"&lt;&gt;Remarcado")&gt;0,"Sim","Não"))</f>
        <v>0</v>
      </c>
      <c r="S112" s="28">
        <f>IF($A112="","",IF(AND($F112="Agendado",$A112-Hoje&gt;=0,$A112-Hoje&lt;=DiasConf),"CONFIRMAR",IF(AND($A112&lt;Hoje,OR($F112="Agendado",$F112="Confirmado")),"Atualizar status",IF(AND($F112="Compareceu",$P112&gt;0.005),"Cobrar",IF($F112="Faltou","Falta: reagendar","")))))</f>
        <v>0</v>
      </c>
      <c r="T112" s="29">
        <f>IF($A112="","",DATE(YEAR($A112),MONTH($A112),1))</f>
        <v>46235.0</v>
      </c>
      <c r="U112" s="30">
        <f>IF($S112="CONFIRMAR",MAX($U$4:$U111)+1,"")</f>
        <v>0</v>
      </c>
      <c r="V112" s="30">
        <f>IF(AND($R112="Não",$Q112&lt;&gt;"",$Q112&lt;=Hoje+JanelaRet,$Q112&gt;=Hoje-60),MAX($V$4:$V111)+1,"")</f>
        <v>0</v>
      </c>
    </row>
    <row r="113" spans="1:22">
      <c r="A113" s="16">
        <v>46239</v>
      </c>
      <c r="B113" s="23">
        <v>0.625</v>
      </c>
      <c r="C113" s="15" t="s">
        <v>52</v>
      </c>
      <c r="D113" s="15" t="s">
        <v>196</v>
      </c>
      <c r="E113" s="15" t="s">
        <v>61</v>
      </c>
      <c r="F113" s="24" t="s">
        <v>80</v>
      </c>
      <c r="G113" s="17"/>
      <c r="H113" s="17"/>
      <c r="I113" s="15"/>
      <c r="J113" s="25" t="str">
        <f>IF($D113="","",IFERROR(INDEX(PacNome,MATCH($D113,PacCod,0)),"Paciente não cadastrado"))</f>
        <v>Paciente 033</v>
      </c>
      <c r="K113" s="26" t="str">
        <f>IF($D113="","",IFERROR(INDEX(PacConv,MATCH($D113,PacCod,0))&amp;"",""))</f>
        <v>Convênio B</v>
      </c>
      <c r="L113" s="26" t="str">
        <f>IF($A113="","",CHOOSE(WEEKDAY($A113,2),"Seg","Ter","Qua","Qui","Sex","Sáb","Dom"))</f>
        <v>Qua</v>
      </c>
      <c r="M113" s="27">
        <f>IF($E113="","",IF($G113&lt;&gt;"",$G113,IFERROR(INDEX(ProcValor,MATCH($E113,ProcNome,0)),0)))</f>
        <v>120</v>
      </c>
      <c r="N113" s="27">
        <f>IF($M113="","",IF($F113="Compareceu",$M113,0))</f>
        <v>0</v>
      </c>
      <c r="O113" s="27">
        <f>IF($M113="","",IF($F113="Faltou",$M113,0))</f>
        <v>120</v>
      </c>
      <c r="P113" s="27">
        <f>IF($M113="","",IF($F113="Compareceu",MAX(0,$M113-N($H113)),0))</f>
        <v>0</v>
      </c>
      <c r="Q113" s="19">
        <f>IF(AND($F113="Compareceu",$E113&lt;&gt;"",$A113&lt;&gt;""),IF(IFERROR(INDEX(ProcRet,MATCH($E113,ProcNome,0)),0)&gt;0,$A113+INDEX(ProcRet,MATCH($E113,ProcNome,0)),""),"")</f>
        <v>0</v>
      </c>
      <c r="R113" s="26">
        <f>IF($Q113="","",IF(COUNTIFS(AgPac,$D113,AgData,"&gt;"&amp;$A113,AgStatus,"&lt;&gt;Cancelado",AgStatus,"&lt;&gt;Remarcado")&gt;0,"Sim","Não"))</f>
        <v>0</v>
      </c>
      <c r="S113" s="28" t="str">
        <f>IF($A113="","",IF(AND($F113="Agendado",$A113-Hoje&gt;=0,$A113-Hoje&lt;=DiasConf),"CONFIRMAR",IF(AND($A113&lt;Hoje,OR($F113="Agendado",$F113="Confirmado")),"Atualizar status",IF(AND($F113="Compareceu",$P113&gt;0.005),"Cobrar",IF($F113="Faltou","Falta: reagendar","")))))</f>
        <v>Falta: reagendar</v>
      </c>
      <c r="T113" s="29">
        <f>IF($A113="","",DATE(YEAR($A113),MONTH($A113),1))</f>
        <v>46235.0</v>
      </c>
      <c r="U113" s="30">
        <f>IF($S113="CONFIRMAR",MAX($U$4:$U112)+1,"")</f>
        <v>0</v>
      </c>
      <c r="V113" s="30">
        <f>IF(AND($R113="Não",$Q113&lt;&gt;"",$Q113&lt;=Hoje+JanelaRet,$Q113&gt;=Hoje-60),MAX($V$4:$V112)+1,"")</f>
        <v>0</v>
      </c>
    </row>
    <row r="114" spans="1:22">
      <c r="A114" s="16">
        <v>46239</v>
      </c>
      <c r="B114" s="23">
        <v>0.7083333333333334</v>
      </c>
      <c r="C114" s="15" t="s">
        <v>51</v>
      </c>
      <c r="D114" s="15" t="s">
        <v>103</v>
      </c>
      <c r="E114" s="15" t="s">
        <v>64</v>
      </c>
      <c r="F114" s="24" t="s">
        <v>79</v>
      </c>
      <c r="G114" s="17">
        <v>54</v>
      </c>
      <c r="H114" s="17">
        <v>27</v>
      </c>
      <c r="I114" s="15" t="s">
        <v>71</v>
      </c>
      <c r="J114" s="25" t="str">
        <f>IF($D114="","",IFERROR(INDEX(PacNome,MATCH($D114,PacCod,0)),"Paciente não cadastrado"))</f>
        <v>Paciente 002</v>
      </c>
      <c r="K114" s="26" t="str">
        <f>IF($D114="","",IFERROR(INDEX(PacConv,MATCH($D114,PacCod,0))&amp;"",""))</f>
        <v>Convênio A</v>
      </c>
      <c r="L114" s="26" t="str">
        <f>IF($A114="","",CHOOSE(WEEKDAY($A114,2),"Seg","Ter","Qua","Qui","Sex","Sáb","Dom"))</f>
        <v>Qua</v>
      </c>
      <c r="M114" s="27">
        <f>IF($E114="","",IF($G114&lt;&gt;"",$G114,IFERROR(INDEX(ProcValor,MATCH($E114,ProcNome,0)),0)))</f>
        <v>54</v>
      </c>
      <c r="N114" s="27">
        <f>IF($M114="","",IF($F114="Compareceu",$M114,0))</f>
        <v>54</v>
      </c>
      <c r="O114" s="27">
        <f>IF($M114="","",IF($F114="Faltou",$M114,0))</f>
        <v>0</v>
      </c>
      <c r="P114" s="27">
        <f>IF($M114="","",IF($F114="Compareceu",MAX(0,$M114-N($H114)),0))</f>
        <v>27</v>
      </c>
      <c r="Q114" s="19">
        <f>IF(AND($F114="Compareceu",$E114&lt;&gt;"",$A114&lt;&gt;""),IF(IFERROR(INDEX(ProcRet,MATCH($E114,ProcNome,0)),0)&gt;0,$A114+INDEX(ProcRet,MATCH($E114,ProcNome,0)),""),"")</f>
        <v>0</v>
      </c>
      <c r="R114" s="26">
        <f>IF($Q114="","",IF(COUNTIFS(AgPac,$D114,AgData,"&gt;"&amp;$A114,AgStatus,"&lt;&gt;Cancelado",AgStatus,"&lt;&gt;Remarcado")&gt;0,"Sim","Não"))</f>
        <v>0</v>
      </c>
      <c r="S114" s="28" t="str">
        <f>IF($A114="","",IF(AND($F114="Agendado",$A114-Hoje&gt;=0,$A114-Hoje&lt;=DiasConf),"CONFIRMAR",IF(AND($A114&lt;Hoje,OR($F114="Agendado",$F114="Confirmado")),"Atualizar status",IF(AND($F114="Compareceu",$P114&gt;0.005),"Cobrar",IF($F114="Faltou","Falta: reagendar","")))))</f>
        <v>Cobrar</v>
      </c>
      <c r="T114" s="29">
        <f>IF($A114="","",DATE(YEAR($A114),MONTH($A114),1))</f>
        <v>46235.0</v>
      </c>
      <c r="U114" s="30">
        <f>IF($S114="CONFIRMAR",MAX($U$4:$U113)+1,"")</f>
        <v>0</v>
      </c>
      <c r="V114" s="30">
        <f>IF(AND($R114="Não",$Q114&lt;&gt;"",$Q114&lt;=Hoje+JanelaRet,$Q114&gt;=Hoje-60),MAX($V$4:$V113)+1,"")</f>
        <v>0</v>
      </c>
    </row>
    <row r="115" spans="1:22">
      <c r="A115" s="16">
        <v>46240</v>
      </c>
      <c r="B115" s="23">
        <v>0.3958333333333333</v>
      </c>
      <c r="C115" s="15" t="s">
        <v>53</v>
      </c>
      <c r="D115" s="15" t="s">
        <v>136</v>
      </c>
      <c r="E115" s="15" t="s">
        <v>58</v>
      </c>
      <c r="F115" s="24" t="s">
        <v>81</v>
      </c>
      <c r="G115" s="17"/>
      <c r="H115" s="17"/>
      <c r="I115" s="15"/>
      <c r="J115" s="25" t="str">
        <f>IF($D115="","",IFERROR(INDEX(PacNome,MATCH($D115,PacCod,0)),"Paciente não cadastrado"))</f>
        <v>Paciente 013</v>
      </c>
      <c r="K115" s="26" t="str">
        <f>IF($D115="","",IFERROR(INDEX(PacConv,MATCH($D115,PacCod,0))&amp;"",""))</f>
        <v>Particular</v>
      </c>
      <c r="L115" s="26" t="str">
        <f>IF($A115="","",CHOOSE(WEEKDAY($A115,2),"Seg","Ter","Qua","Qui","Sex","Sáb","Dom"))</f>
        <v>Qui</v>
      </c>
      <c r="M115" s="27">
        <f>IF($E115="","",IF($G115&lt;&gt;"",$G115,IFERROR(INDEX(ProcValor,MATCH($E115,ProcNome,0)),0)))</f>
        <v>250</v>
      </c>
      <c r="N115" s="27">
        <f>IF($M115="","",IF($F115="Compareceu",$M115,0))</f>
        <v>0</v>
      </c>
      <c r="O115" s="27">
        <f>IF($M115="","",IF($F115="Faltou",$M115,0))</f>
        <v>0</v>
      </c>
      <c r="P115" s="27">
        <f>IF($M115="","",IF($F115="Compareceu",MAX(0,$M115-N($H115)),0))</f>
        <v>0</v>
      </c>
      <c r="Q115" s="19">
        <f>IF(AND($F115="Compareceu",$E115&lt;&gt;"",$A115&lt;&gt;""),IF(IFERROR(INDEX(ProcRet,MATCH($E115,ProcNome,0)),0)&gt;0,$A115+INDEX(ProcRet,MATCH($E115,ProcNome,0)),""),"")</f>
        <v>0</v>
      </c>
      <c r="R115" s="26">
        <f>IF($Q115="","",IF(COUNTIFS(AgPac,$D115,AgData,"&gt;"&amp;$A115,AgStatus,"&lt;&gt;Cancelado",AgStatus,"&lt;&gt;Remarcado")&gt;0,"Sim","Não"))</f>
        <v>0</v>
      </c>
      <c r="S115" s="28">
        <f>IF($A115="","",IF(AND($F115="Agendado",$A115-Hoje&gt;=0,$A115-Hoje&lt;=DiasConf),"CONFIRMAR",IF(AND($A115&lt;Hoje,OR($F115="Agendado",$F115="Confirmado")),"Atualizar status",IF(AND($F115="Compareceu",$P115&gt;0.005),"Cobrar",IF($F115="Faltou","Falta: reagendar","")))))</f>
        <v>0</v>
      </c>
      <c r="T115" s="29">
        <f>IF($A115="","",DATE(YEAR($A115),MONTH($A115),1))</f>
        <v>46235.0</v>
      </c>
      <c r="U115" s="30">
        <f>IF($S115="CONFIRMAR",MAX($U$4:$U114)+1,"")</f>
        <v>0</v>
      </c>
      <c r="V115" s="30">
        <f>IF(AND($R115="Não",$Q115&lt;&gt;"",$Q115&lt;=Hoje+JanelaRet,$Q115&gt;=Hoje-60),MAX($V$4:$V114)+1,"")</f>
        <v>0</v>
      </c>
    </row>
    <row r="116" spans="1:22">
      <c r="A116" s="16">
        <v>46240</v>
      </c>
      <c r="B116" s="23">
        <v>0.5625</v>
      </c>
      <c r="C116" s="15" t="s">
        <v>53</v>
      </c>
      <c r="D116" s="15" t="s">
        <v>205</v>
      </c>
      <c r="E116" s="15" t="s">
        <v>63</v>
      </c>
      <c r="F116" s="24" t="s">
        <v>79</v>
      </c>
      <c r="G116" s="17">
        <v>84</v>
      </c>
      <c r="H116" s="17"/>
      <c r="I116" s="15"/>
      <c r="J116" s="25" t="str">
        <f>IF($D116="","",IFERROR(INDEX(PacNome,MATCH($D116,PacCod,0)),"Paciente não cadastrado"))</f>
        <v>Paciente 036</v>
      </c>
      <c r="K116" s="26" t="str">
        <f>IF($D116="","",IFERROR(INDEX(PacConv,MATCH($D116,PacCod,0))&amp;"",""))</f>
        <v>Convênio B</v>
      </c>
      <c r="L116" s="26" t="str">
        <f>IF($A116="","",CHOOSE(WEEKDAY($A116,2),"Seg","Ter","Qua","Qui","Sex","Sáb","Dom"))</f>
        <v>Qui</v>
      </c>
      <c r="M116" s="27">
        <f>IF($E116="","",IF($G116&lt;&gt;"",$G116,IFERROR(INDEX(ProcValor,MATCH($E116,ProcNome,0)),0)))</f>
        <v>84</v>
      </c>
      <c r="N116" s="27">
        <f>IF($M116="","",IF($F116="Compareceu",$M116,0))</f>
        <v>84</v>
      </c>
      <c r="O116" s="27">
        <f>IF($M116="","",IF($F116="Faltou",$M116,0))</f>
        <v>0</v>
      </c>
      <c r="P116" s="27">
        <f>IF($M116="","",IF($F116="Compareceu",MAX(0,$M116-N($H116)),0))</f>
        <v>84</v>
      </c>
      <c r="Q116" s="19">
        <f>IF(AND($F116="Compareceu",$E116&lt;&gt;"",$A116&lt;&gt;""),IF(IFERROR(INDEX(ProcRet,MATCH($E116,ProcNome,0)),0)&gt;0,$A116+INDEX(ProcRet,MATCH($E116,ProcNome,0)),""),"")</f>
        <v>46247.0</v>
      </c>
      <c r="R116" s="26" t="str">
        <f>IF($Q116="","",IF(COUNTIFS(AgPac,$D116,AgData,"&gt;"&amp;$A116,AgStatus,"&lt;&gt;Cancelado",AgStatus,"&lt;&gt;Remarcado")&gt;0,"Sim","Não"))</f>
        <v>Sim</v>
      </c>
      <c r="S116" s="28" t="str">
        <f>IF($A116="","",IF(AND($F116="Agendado",$A116-Hoje&gt;=0,$A116-Hoje&lt;=DiasConf),"CONFIRMAR",IF(AND($A116&lt;Hoje,OR($F116="Agendado",$F116="Confirmado")),"Atualizar status",IF(AND($F116="Compareceu",$P116&gt;0.005),"Cobrar",IF($F116="Faltou","Falta: reagendar","")))))</f>
        <v>Cobrar</v>
      </c>
      <c r="T116" s="29">
        <f>IF($A116="","",DATE(YEAR($A116),MONTH($A116),1))</f>
        <v>46235.0</v>
      </c>
      <c r="U116" s="30">
        <f>IF($S116="CONFIRMAR",MAX($U$4:$U115)+1,"")</f>
        <v>0</v>
      </c>
      <c r="V116" s="30">
        <f>IF(AND($R116="Não",$Q116&lt;&gt;"",$Q116&lt;=Hoje+JanelaRet,$Q116&gt;=Hoje-60),MAX($V$4:$V115)+1,"")</f>
        <v>0</v>
      </c>
    </row>
    <row r="117" spans="1:22">
      <c r="A117" s="16">
        <v>46240</v>
      </c>
      <c r="B117" s="23">
        <v>0.5833333333333334</v>
      </c>
      <c r="C117" s="15" t="s">
        <v>53</v>
      </c>
      <c r="D117" s="15" t="s">
        <v>190</v>
      </c>
      <c r="E117" s="15" t="s">
        <v>61</v>
      </c>
      <c r="F117" s="24" t="s">
        <v>79</v>
      </c>
      <c r="G117" s="17"/>
      <c r="H117" s="17">
        <v>120</v>
      </c>
      <c r="I117" s="15" t="s">
        <v>71</v>
      </c>
      <c r="J117" s="25" t="str">
        <f>IF($D117="","",IFERROR(INDEX(PacNome,MATCH($D117,PacCod,0)),"Paciente não cadastrado"))</f>
        <v>Paciente 031</v>
      </c>
      <c r="K117" s="26" t="str">
        <f>IF($D117="","",IFERROR(INDEX(PacConv,MATCH($D117,PacCod,0))&amp;"",""))</f>
        <v>Particular</v>
      </c>
      <c r="L117" s="26" t="str">
        <f>IF($A117="","",CHOOSE(WEEKDAY($A117,2),"Seg","Ter","Qua","Qui","Sex","Sáb","Dom"))</f>
        <v>Qui</v>
      </c>
      <c r="M117" s="27">
        <f>IF($E117="","",IF($G117&lt;&gt;"",$G117,IFERROR(INDEX(ProcValor,MATCH($E117,ProcNome,0)),0)))</f>
        <v>120</v>
      </c>
      <c r="N117" s="27">
        <f>IF($M117="","",IF($F117="Compareceu",$M117,0))</f>
        <v>120</v>
      </c>
      <c r="O117" s="27">
        <f>IF($M117="","",IF($F117="Faltou",$M117,0))</f>
        <v>0</v>
      </c>
      <c r="P117" s="27">
        <f>IF($M117="","",IF($F117="Compareceu",MAX(0,$M117-N($H117)),0))</f>
        <v>0</v>
      </c>
      <c r="Q117" s="19">
        <f>IF(AND($F117="Compareceu",$E117&lt;&gt;"",$A117&lt;&gt;""),IF(IFERROR(INDEX(ProcRet,MATCH($E117,ProcNome,0)),0)&gt;0,$A117+INDEX(ProcRet,MATCH($E117,ProcNome,0)),""),"")</f>
        <v>46270.0</v>
      </c>
      <c r="R117" s="26" t="str">
        <f>IF($Q117="","",IF(COUNTIFS(AgPac,$D117,AgData,"&gt;"&amp;$A117,AgStatus,"&lt;&gt;Cancelado",AgStatus,"&lt;&gt;Remarcado")&gt;0,"Sim","Não"))</f>
        <v>Sim</v>
      </c>
      <c r="S117" s="28">
        <f>IF($A117="","",IF(AND($F117="Agendado",$A117-Hoje&gt;=0,$A117-Hoje&lt;=DiasConf),"CONFIRMAR",IF(AND($A117&lt;Hoje,OR($F117="Agendado",$F117="Confirmado")),"Atualizar status",IF(AND($F117="Compareceu",$P117&gt;0.005),"Cobrar",IF($F117="Faltou","Falta: reagendar","")))))</f>
        <v>0</v>
      </c>
      <c r="T117" s="29">
        <f>IF($A117="","",DATE(YEAR($A117),MONTH($A117),1))</f>
        <v>46235.0</v>
      </c>
      <c r="U117" s="30">
        <f>IF($S117="CONFIRMAR",MAX($U$4:$U116)+1,"")</f>
        <v>0</v>
      </c>
      <c r="V117" s="30">
        <f>IF(AND($R117="Não",$Q117&lt;&gt;"",$Q117&lt;=Hoje+JanelaRet,$Q117&gt;=Hoje-60),MAX($V$4:$V116)+1,"")</f>
        <v>0</v>
      </c>
    </row>
    <row r="118" spans="1:22">
      <c r="A118" s="16">
        <v>46240</v>
      </c>
      <c r="B118" s="23">
        <v>0.6458333333333334</v>
      </c>
      <c r="C118" s="15" t="s">
        <v>54</v>
      </c>
      <c r="D118" s="15" t="s">
        <v>103</v>
      </c>
      <c r="E118" s="15" t="s">
        <v>65</v>
      </c>
      <c r="F118" s="24" t="s">
        <v>79</v>
      </c>
      <c r="G118" s="17">
        <v>78</v>
      </c>
      <c r="H118" s="17">
        <v>78</v>
      </c>
      <c r="I118" s="15" t="s">
        <v>75</v>
      </c>
      <c r="J118" s="25" t="str">
        <f>IF($D118="","",IFERROR(INDEX(PacNome,MATCH($D118,PacCod,0)),"Paciente não cadastrado"))</f>
        <v>Paciente 002</v>
      </c>
      <c r="K118" s="26" t="str">
        <f>IF($D118="","",IFERROR(INDEX(PacConv,MATCH($D118,PacCod,0))&amp;"",""))</f>
        <v>Convênio A</v>
      </c>
      <c r="L118" s="26" t="str">
        <f>IF($A118="","",CHOOSE(WEEKDAY($A118,2),"Seg","Ter","Qua","Qui","Sex","Sáb","Dom"))</f>
        <v>Qui</v>
      </c>
      <c r="M118" s="27">
        <f>IF($E118="","",IF($G118&lt;&gt;"",$G118,IFERROR(INDEX(ProcValor,MATCH($E118,ProcNome,0)),0)))</f>
        <v>78</v>
      </c>
      <c r="N118" s="27">
        <f>IF($M118="","",IF($F118="Compareceu",$M118,0))</f>
        <v>78</v>
      </c>
      <c r="O118" s="27">
        <f>IF($M118="","",IF($F118="Faltou",$M118,0))</f>
        <v>0</v>
      </c>
      <c r="P118" s="27">
        <f>IF($M118="","",IF($F118="Compareceu",MAX(0,$M118-N($H118)),0))</f>
        <v>0</v>
      </c>
      <c r="Q118" s="19">
        <f>IF(AND($F118="Compareceu",$E118&lt;&gt;"",$A118&lt;&gt;""),IF(IFERROR(INDEX(ProcRet,MATCH($E118,ProcNome,0)),0)&gt;0,$A118+INDEX(ProcRet,MATCH($E118,ProcNome,0)),""),"")</f>
        <v>46330.0</v>
      </c>
      <c r="R118" s="26" t="str">
        <f>IF($Q118="","",IF(COUNTIFS(AgPac,$D118,AgData,"&gt;"&amp;$A118,AgStatus,"&lt;&gt;Cancelado",AgStatus,"&lt;&gt;Remarcado")&gt;0,"Sim","Não"))</f>
        <v>Sim</v>
      </c>
      <c r="S118" s="28">
        <f>IF($A118="","",IF(AND($F118="Agendado",$A118-Hoje&gt;=0,$A118-Hoje&lt;=DiasConf),"CONFIRMAR",IF(AND($A118&lt;Hoje,OR($F118="Agendado",$F118="Confirmado")),"Atualizar status",IF(AND($F118="Compareceu",$P118&gt;0.005),"Cobrar",IF($F118="Faltou","Falta: reagendar","")))))</f>
        <v>0</v>
      </c>
      <c r="T118" s="29">
        <f>IF($A118="","",DATE(YEAR($A118),MONTH($A118),1))</f>
        <v>46235.0</v>
      </c>
      <c r="U118" s="30">
        <f>IF($S118="CONFIRMAR",MAX($U$4:$U117)+1,"")</f>
        <v>0</v>
      </c>
      <c r="V118" s="30">
        <f>IF(AND($R118="Não",$Q118&lt;&gt;"",$Q118&lt;=Hoje+JanelaRet,$Q118&gt;=Hoje-60),MAX($V$4:$V117)+1,"")</f>
        <v>0</v>
      </c>
    </row>
    <row r="119" spans="1:22">
      <c r="A119" s="16">
        <v>46240</v>
      </c>
      <c r="B119" s="23">
        <v>0.6666666666666666</v>
      </c>
      <c r="C119" s="15" t="s">
        <v>51</v>
      </c>
      <c r="D119" s="15" t="s">
        <v>166</v>
      </c>
      <c r="E119" s="15" t="s">
        <v>59</v>
      </c>
      <c r="F119" s="24" t="s">
        <v>79</v>
      </c>
      <c r="G119" s="17"/>
      <c r="H119" s="17">
        <v>150</v>
      </c>
      <c r="I119" s="15" t="s">
        <v>73</v>
      </c>
      <c r="J119" s="25" t="str">
        <f>IF($D119="","",IFERROR(INDEX(PacNome,MATCH($D119,PacCod,0)),"Paciente não cadastrado"))</f>
        <v>Paciente 023</v>
      </c>
      <c r="K119" s="26" t="str">
        <f>IF($D119="","",IFERROR(INDEX(PacConv,MATCH($D119,PacCod,0))&amp;"",""))</f>
        <v>Particular</v>
      </c>
      <c r="L119" s="26" t="str">
        <f>IF($A119="","",CHOOSE(WEEKDAY($A119,2),"Seg","Ter","Qua","Qui","Sex","Sáb","Dom"))</f>
        <v>Qui</v>
      </c>
      <c r="M119" s="27">
        <f>IF($E119="","",IF($G119&lt;&gt;"",$G119,IFERROR(INDEX(ProcValor,MATCH($E119,ProcNome,0)),0)))</f>
        <v>150</v>
      </c>
      <c r="N119" s="27">
        <f>IF($M119="","",IF($F119="Compareceu",$M119,0))</f>
        <v>150</v>
      </c>
      <c r="O119" s="27">
        <f>IF($M119="","",IF($F119="Faltou",$M119,0))</f>
        <v>0</v>
      </c>
      <c r="P119" s="27">
        <f>IF($M119="","",IF($F119="Compareceu",MAX(0,$M119-N($H119)),0))</f>
        <v>0</v>
      </c>
      <c r="Q119" s="19">
        <f>IF(AND($F119="Compareceu",$E119&lt;&gt;"",$A119&lt;&gt;""),IF(IFERROR(INDEX(ProcRet,MATCH($E119,ProcNome,0)),0)&gt;0,$A119+INDEX(ProcRet,MATCH($E119,ProcNome,0)),""),"")</f>
        <v>0</v>
      </c>
      <c r="R119" s="26">
        <f>IF($Q119="","",IF(COUNTIFS(AgPac,$D119,AgData,"&gt;"&amp;$A119,AgStatus,"&lt;&gt;Cancelado",AgStatus,"&lt;&gt;Remarcado")&gt;0,"Sim","Não"))</f>
        <v>0</v>
      </c>
      <c r="S119" s="28">
        <f>IF($A119="","",IF(AND($F119="Agendado",$A119-Hoje&gt;=0,$A119-Hoje&lt;=DiasConf),"CONFIRMAR",IF(AND($A119&lt;Hoje,OR($F119="Agendado",$F119="Confirmado")),"Atualizar status",IF(AND($F119="Compareceu",$P119&gt;0.005),"Cobrar",IF($F119="Faltou","Falta: reagendar","")))))</f>
        <v>0</v>
      </c>
      <c r="T119" s="29">
        <f>IF($A119="","",DATE(YEAR($A119),MONTH($A119),1))</f>
        <v>46235.0</v>
      </c>
      <c r="U119" s="30">
        <f>IF($S119="CONFIRMAR",MAX($U$4:$U118)+1,"")</f>
        <v>0</v>
      </c>
      <c r="V119" s="30">
        <f>IF(AND($R119="Não",$Q119&lt;&gt;"",$Q119&lt;=Hoje+JanelaRet,$Q119&gt;=Hoje-60),MAX($V$4:$V118)+1,"")</f>
        <v>0</v>
      </c>
    </row>
    <row r="120" spans="1:22">
      <c r="A120" s="16">
        <v>46241</v>
      </c>
      <c r="B120" s="23">
        <v>0.3333333333333333</v>
      </c>
      <c r="C120" s="15" t="s">
        <v>53</v>
      </c>
      <c r="D120" s="15" t="s">
        <v>145</v>
      </c>
      <c r="E120" s="15" t="s">
        <v>58</v>
      </c>
      <c r="F120" s="24" t="s">
        <v>82</v>
      </c>
      <c r="G120" s="17"/>
      <c r="H120" s="17"/>
      <c r="I120" s="15"/>
      <c r="J120" s="25" t="str">
        <f>IF($D120="","",IFERROR(INDEX(PacNome,MATCH($D120,PacCod,0)),"Paciente não cadastrado"))</f>
        <v>Paciente 016</v>
      </c>
      <c r="K120" s="26" t="str">
        <f>IF($D120="","",IFERROR(INDEX(PacConv,MATCH($D120,PacCod,0))&amp;"",""))</f>
        <v>Particular</v>
      </c>
      <c r="L120" s="26" t="str">
        <f>IF($A120="","",CHOOSE(WEEKDAY($A120,2),"Seg","Ter","Qua","Qui","Sex","Sáb","Dom"))</f>
        <v>Sex</v>
      </c>
      <c r="M120" s="27">
        <f>IF($E120="","",IF($G120&lt;&gt;"",$G120,IFERROR(INDEX(ProcValor,MATCH($E120,ProcNome,0)),0)))</f>
        <v>250</v>
      </c>
      <c r="N120" s="27">
        <f>IF($M120="","",IF($F120="Compareceu",$M120,0))</f>
        <v>0</v>
      </c>
      <c r="O120" s="27">
        <f>IF($M120="","",IF($F120="Faltou",$M120,0))</f>
        <v>0</v>
      </c>
      <c r="P120" s="27">
        <f>IF($M120="","",IF($F120="Compareceu",MAX(0,$M120-N($H120)),0))</f>
        <v>0</v>
      </c>
      <c r="Q120" s="19">
        <f>IF(AND($F120="Compareceu",$E120&lt;&gt;"",$A120&lt;&gt;""),IF(IFERROR(INDEX(ProcRet,MATCH($E120,ProcNome,0)),0)&gt;0,$A120+INDEX(ProcRet,MATCH($E120,ProcNome,0)),""),"")</f>
        <v>0</v>
      </c>
      <c r="R120" s="26">
        <f>IF($Q120="","",IF(COUNTIFS(AgPac,$D120,AgData,"&gt;"&amp;$A120,AgStatus,"&lt;&gt;Cancelado",AgStatus,"&lt;&gt;Remarcado")&gt;0,"Sim","Não"))</f>
        <v>0</v>
      </c>
      <c r="S120" s="28">
        <f>IF($A120="","",IF(AND($F120="Agendado",$A120-Hoje&gt;=0,$A120-Hoje&lt;=DiasConf),"CONFIRMAR",IF(AND($A120&lt;Hoje,OR($F120="Agendado",$F120="Confirmado")),"Atualizar status",IF(AND($F120="Compareceu",$P120&gt;0.005),"Cobrar",IF($F120="Faltou","Falta: reagendar","")))))</f>
        <v>0</v>
      </c>
      <c r="T120" s="29">
        <f>IF($A120="","",DATE(YEAR($A120),MONTH($A120),1))</f>
        <v>46235.0</v>
      </c>
      <c r="U120" s="30">
        <f>IF($S120="CONFIRMAR",MAX($U$4:$U119)+1,"")</f>
        <v>0</v>
      </c>
      <c r="V120" s="30">
        <f>IF(AND($R120="Não",$Q120&lt;&gt;"",$Q120&lt;=Hoje+JanelaRet,$Q120&gt;=Hoje-60),MAX($V$4:$V119)+1,"")</f>
        <v>0</v>
      </c>
    </row>
    <row r="121" spans="1:22">
      <c r="A121" s="16">
        <v>46241</v>
      </c>
      <c r="B121" s="23">
        <v>0.4791666666666667</v>
      </c>
      <c r="C121" s="15" t="s">
        <v>54</v>
      </c>
      <c r="D121" s="15" t="s">
        <v>109</v>
      </c>
      <c r="E121" s="15" t="s">
        <v>64</v>
      </c>
      <c r="F121" s="24" t="s">
        <v>79</v>
      </c>
      <c r="G121" s="17"/>
      <c r="H121" s="17">
        <v>90</v>
      </c>
      <c r="I121" s="15" t="s">
        <v>75</v>
      </c>
      <c r="J121" s="25" t="str">
        <f>IF($D121="","",IFERROR(INDEX(PacNome,MATCH($D121,PacCod,0)),"Paciente não cadastrado"))</f>
        <v>Paciente 004</v>
      </c>
      <c r="K121" s="26" t="str">
        <f>IF($D121="","",IFERROR(INDEX(PacConv,MATCH($D121,PacCod,0))&amp;"",""))</f>
        <v>Particular</v>
      </c>
      <c r="L121" s="26" t="str">
        <f>IF($A121="","",CHOOSE(WEEKDAY($A121,2),"Seg","Ter","Qua","Qui","Sex","Sáb","Dom"))</f>
        <v>Sex</v>
      </c>
      <c r="M121" s="27">
        <f>IF($E121="","",IF($G121&lt;&gt;"",$G121,IFERROR(INDEX(ProcValor,MATCH($E121,ProcNome,0)),0)))</f>
        <v>90</v>
      </c>
      <c r="N121" s="27">
        <f>IF($M121="","",IF($F121="Compareceu",$M121,0))</f>
        <v>90</v>
      </c>
      <c r="O121" s="27">
        <f>IF($M121="","",IF($F121="Faltou",$M121,0))</f>
        <v>0</v>
      </c>
      <c r="P121" s="27">
        <f>IF($M121="","",IF($F121="Compareceu",MAX(0,$M121-N($H121)),0))</f>
        <v>0</v>
      </c>
      <c r="Q121" s="19">
        <f>IF(AND($F121="Compareceu",$E121&lt;&gt;"",$A121&lt;&gt;""),IF(IFERROR(INDEX(ProcRet,MATCH($E121,ProcNome,0)),0)&gt;0,$A121+INDEX(ProcRet,MATCH($E121,ProcNome,0)),""),"")</f>
        <v>0</v>
      </c>
      <c r="R121" s="26">
        <f>IF($Q121="","",IF(COUNTIFS(AgPac,$D121,AgData,"&gt;"&amp;$A121,AgStatus,"&lt;&gt;Cancelado",AgStatus,"&lt;&gt;Remarcado")&gt;0,"Sim","Não"))</f>
        <v>0</v>
      </c>
      <c r="S121" s="28">
        <f>IF($A121="","",IF(AND($F121="Agendado",$A121-Hoje&gt;=0,$A121-Hoje&lt;=DiasConf),"CONFIRMAR",IF(AND($A121&lt;Hoje,OR($F121="Agendado",$F121="Confirmado")),"Atualizar status",IF(AND($F121="Compareceu",$P121&gt;0.005),"Cobrar",IF($F121="Faltou","Falta: reagendar","")))))</f>
        <v>0</v>
      </c>
      <c r="T121" s="29">
        <f>IF($A121="","",DATE(YEAR($A121),MONTH($A121),1))</f>
        <v>46235.0</v>
      </c>
      <c r="U121" s="30">
        <f>IF($S121="CONFIRMAR",MAX($U$4:$U120)+1,"")</f>
        <v>0</v>
      </c>
      <c r="V121" s="30">
        <f>IF(AND($R121="Não",$Q121&lt;&gt;"",$Q121&lt;=Hoje+JanelaRet,$Q121&gt;=Hoje-60),MAX($V$4:$V120)+1,"")</f>
        <v>0</v>
      </c>
    </row>
    <row r="122" spans="1:22">
      <c r="A122" s="16">
        <v>46241</v>
      </c>
      <c r="B122" s="23">
        <v>0.5</v>
      </c>
      <c r="C122" s="15" t="s">
        <v>54</v>
      </c>
      <c r="D122" s="15" t="s">
        <v>136</v>
      </c>
      <c r="E122" s="15" t="s">
        <v>63</v>
      </c>
      <c r="F122" s="24" t="s">
        <v>79</v>
      </c>
      <c r="G122" s="17"/>
      <c r="H122" s="17">
        <v>140</v>
      </c>
      <c r="I122" s="15" t="s">
        <v>73</v>
      </c>
      <c r="J122" s="25" t="str">
        <f>IF($D122="","",IFERROR(INDEX(PacNome,MATCH($D122,PacCod,0)),"Paciente não cadastrado"))</f>
        <v>Paciente 013</v>
      </c>
      <c r="K122" s="26" t="str">
        <f>IF($D122="","",IFERROR(INDEX(PacConv,MATCH($D122,PacCod,0))&amp;"",""))</f>
        <v>Particular</v>
      </c>
      <c r="L122" s="26" t="str">
        <f>IF($A122="","",CHOOSE(WEEKDAY($A122,2),"Seg","Ter","Qua","Qui","Sex","Sáb","Dom"))</f>
        <v>Sex</v>
      </c>
      <c r="M122" s="27">
        <f>IF($E122="","",IF($G122&lt;&gt;"",$G122,IFERROR(INDEX(ProcValor,MATCH($E122,ProcNome,0)),0)))</f>
        <v>140</v>
      </c>
      <c r="N122" s="27">
        <f>IF($M122="","",IF($F122="Compareceu",$M122,0))</f>
        <v>140</v>
      </c>
      <c r="O122" s="27">
        <f>IF($M122="","",IF($F122="Faltou",$M122,0))</f>
        <v>0</v>
      </c>
      <c r="P122" s="27">
        <f>IF($M122="","",IF($F122="Compareceu",MAX(0,$M122-N($H122)),0))</f>
        <v>0</v>
      </c>
      <c r="Q122" s="19">
        <f>IF(AND($F122="Compareceu",$E122&lt;&gt;"",$A122&lt;&gt;""),IF(IFERROR(INDEX(ProcRet,MATCH($E122,ProcNome,0)),0)&gt;0,$A122+INDEX(ProcRet,MATCH($E122,ProcNome,0)),""),"")</f>
        <v>46248.0</v>
      </c>
      <c r="R122" s="26" t="str">
        <f>IF($Q122="","",IF(COUNTIFS(AgPac,$D122,AgData,"&gt;"&amp;$A122,AgStatus,"&lt;&gt;Cancelado",AgStatus,"&lt;&gt;Remarcado")&gt;0,"Sim","Não"))</f>
        <v>Sim</v>
      </c>
      <c r="S122" s="28">
        <f>IF($A122="","",IF(AND($F122="Agendado",$A122-Hoje&gt;=0,$A122-Hoje&lt;=DiasConf),"CONFIRMAR",IF(AND($A122&lt;Hoje,OR($F122="Agendado",$F122="Confirmado")),"Atualizar status",IF(AND($F122="Compareceu",$P122&gt;0.005),"Cobrar",IF($F122="Faltou","Falta: reagendar","")))))</f>
        <v>0</v>
      </c>
      <c r="T122" s="29">
        <f>IF($A122="","",DATE(YEAR($A122),MONTH($A122),1))</f>
        <v>46235.0</v>
      </c>
      <c r="U122" s="30">
        <f>IF($S122="CONFIRMAR",MAX($U$4:$U121)+1,"")</f>
        <v>0</v>
      </c>
      <c r="V122" s="30">
        <f>IF(AND($R122="Não",$Q122&lt;&gt;"",$Q122&lt;=Hoje+JanelaRet,$Q122&gt;=Hoje-60),MAX($V$4:$V121)+1,"")</f>
        <v>0</v>
      </c>
    </row>
    <row r="123" spans="1:22">
      <c r="A123" s="16">
        <v>46241</v>
      </c>
      <c r="B123" s="23">
        <v>0.6458333333333334</v>
      </c>
      <c r="C123" s="15" t="s">
        <v>51</v>
      </c>
      <c r="D123" s="15" t="s">
        <v>139</v>
      </c>
      <c r="E123" s="15" t="s">
        <v>64</v>
      </c>
      <c r="F123" s="24" t="s">
        <v>79</v>
      </c>
      <c r="G123" s="17"/>
      <c r="H123" s="17">
        <v>90</v>
      </c>
      <c r="I123" s="15" t="s">
        <v>73</v>
      </c>
      <c r="J123" s="25" t="str">
        <f>IF($D123="","",IFERROR(INDEX(PacNome,MATCH($D123,PacCod,0)),"Paciente não cadastrado"))</f>
        <v>Paciente 014</v>
      </c>
      <c r="K123" s="26" t="str">
        <f>IF($D123="","",IFERROR(INDEX(PacConv,MATCH($D123,PacCod,0))&amp;"",""))</f>
        <v>Particular</v>
      </c>
      <c r="L123" s="26" t="str">
        <f>IF($A123="","",CHOOSE(WEEKDAY($A123,2),"Seg","Ter","Qua","Qui","Sex","Sáb","Dom"))</f>
        <v>Sex</v>
      </c>
      <c r="M123" s="27">
        <f>IF($E123="","",IF($G123&lt;&gt;"",$G123,IFERROR(INDEX(ProcValor,MATCH($E123,ProcNome,0)),0)))</f>
        <v>90</v>
      </c>
      <c r="N123" s="27">
        <f>IF($M123="","",IF($F123="Compareceu",$M123,0))</f>
        <v>90</v>
      </c>
      <c r="O123" s="27">
        <f>IF($M123="","",IF($F123="Faltou",$M123,0))</f>
        <v>0</v>
      </c>
      <c r="P123" s="27">
        <f>IF($M123="","",IF($F123="Compareceu",MAX(0,$M123-N($H123)),0))</f>
        <v>0</v>
      </c>
      <c r="Q123" s="19">
        <f>IF(AND($F123="Compareceu",$E123&lt;&gt;"",$A123&lt;&gt;""),IF(IFERROR(INDEX(ProcRet,MATCH($E123,ProcNome,0)),0)&gt;0,$A123+INDEX(ProcRet,MATCH($E123,ProcNome,0)),""),"")</f>
        <v>0</v>
      </c>
      <c r="R123" s="26">
        <f>IF($Q123="","",IF(COUNTIFS(AgPac,$D123,AgData,"&gt;"&amp;$A123,AgStatus,"&lt;&gt;Cancelado",AgStatus,"&lt;&gt;Remarcado")&gt;0,"Sim","Não"))</f>
        <v>0</v>
      </c>
      <c r="S123" s="28">
        <f>IF($A123="","",IF(AND($F123="Agendado",$A123-Hoje&gt;=0,$A123-Hoje&lt;=DiasConf),"CONFIRMAR",IF(AND($A123&lt;Hoje,OR($F123="Agendado",$F123="Confirmado")),"Atualizar status",IF(AND($F123="Compareceu",$P123&gt;0.005),"Cobrar",IF($F123="Faltou","Falta: reagendar","")))))</f>
        <v>0</v>
      </c>
      <c r="T123" s="29">
        <f>IF($A123="","",DATE(YEAR($A123),MONTH($A123),1))</f>
        <v>46235.0</v>
      </c>
      <c r="U123" s="30">
        <f>IF($S123="CONFIRMAR",MAX($U$4:$U122)+1,"")</f>
        <v>0</v>
      </c>
      <c r="V123" s="30">
        <f>IF(AND($R123="Não",$Q123&lt;&gt;"",$Q123&lt;=Hoje+JanelaRet,$Q123&gt;=Hoje-60),MAX($V$4:$V122)+1,"")</f>
        <v>0</v>
      </c>
    </row>
    <row r="124" spans="1:22">
      <c r="A124" s="16">
        <v>46241</v>
      </c>
      <c r="B124" s="23">
        <v>0.7083333333333334</v>
      </c>
      <c r="C124" s="15" t="s">
        <v>51</v>
      </c>
      <c r="D124" s="15" t="s">
        <v>196</v>
      </c>
      <c r="E124" s="15" t="s">
        <v>64</v>
      </c>
      <c r="F124" s="24" t="s">
        <v>80</v>
      </c>
      <c r="G124" s="17"/>
      <c r="H124" s="17"/>
      <c r="I124" s="15"/>
      <c r="J124" s="25" t="str">
        <f>IF($D124="","",IFERROR(INDEX(PacNome,MATCH($D124,PacCod,0)),"Paciente não cadastrado"))</f>
        <v>Paciente 033</v>
      </c>
      <c r="K124" s="26" t="str">
        <f>IF($D124="","",IFERROR(INDEX(PacConv,MATCH($D124,PacCod,0))&amp;"",""))</f>
        <v>Convênio B</v>
      </c>
      <c r="L124" s="26" t="str">
        <f>IF($A124="","",CHOOSE(WEEKDAY($A124,2),"Seg","Ter","Qua","Qui","Sex","Sáb","Dom"))</f>
        <v>Sex</v>
      </c>
      <c r="M124" s="27">
        <f>IF($E124="","",IF($G124&lt;&gt;"",$G124,IFERROR(INDEX(ProcValor,MATCH($E124,ProcNome,0)),0)))</f>
        <v>90</v>
      </c>
      <c r="N124" s="27">
        <f>IF($M124="","",IF($F124="Compareceu",$M124,0))</f>
        <v>0</v>
      </c>
      <c r="O124" s="27">
        <f>IF($M124="","",IF($F124="Faltou",$M124,0))</f>
        <v>90</v>
      </c>
      <c r="P124" s="27">
        <f>IF($M124="","",IF($F124="Compareceu",MAX(0,$M124-N($H124)),0))</f>
        <v>0</v>
      </c>
      <c r="Q124" s="19">
        <f>IF(AND($F124="Compareceu",$E124&lt;&gt;"",$A124&lt;&gt;""),IF(IFERROR(INDEX(ProcRet,MATCH($E124,ProcNome,0)),0)&gt;0,$A124+INDEX(ProcRet,MATCH($E124,ProcNome,0)),""),"")</f>
        <v>0</v>
      </c>
      <c r="R124" s="26">
        <f>IF($Q124="","",IF(COUNTIFS(AgPac,$D124,AgData,"&gt;"&amp;$A124,AgStatus,"&lt;&gt;Cancelado",AgStatus,"&lt;&gt;Remarcado")&gt;0,"Sim","Não"))</f>
        <v>0</v>
      </c>
      <c r="S124" s="28" t="str">
        <f>IF($A124="","",IF(AND($F124="Agendado",$A124-Hoje&gt;=0,$A124-Hoje&lt;=DiasConf),"CONFIRMAR",IF(AND($A124&lt;Hoje,OR($F124="Agendado",$F124="Confirmado")),"Atualizar status",IF(AND($F124="Compareceu",$P124&gt;0.005),"Cobrar",IF($F124="Faltou","Falta: reagendar","")))))</f>
        <v>Falta: reagendar</v>
      </c>
      <c r="T124" s="29">
        <f>IF($A124="","",DATE(YEAR($A124),MONTH($A124),1))</f>
        <v>46235.0</v>
      </c>
      <c r="U124" s="30">
        <f>IF($S124="CONFIRMAR",MAX($U$4:$U123)+1,"")</f>
        <v>0</v>
      </c>
      <c r="V124" s="30">
        <f>IF(AND($R124="Não",$Q124&lt;&gt;"",$Q124&lt;=Hoje+JanelaRet,$Q124&gt;=Hoje-60),MAX($V$4:$V123)+1,"")</f>
        <v>0</v>
      </c>
    </row>
    <row r="125" spans="1:22">
      <c r="A125" s="16">
        <v>46242</v>
      </c>
      <c r="B125" s="23">
        <v>0.3541666666666667</v>
      </c>
      <c r="C125" s="15" t="s">
        <v>51</v>
      </c>
      <c r="D125" s="15" t="s">
        <v>220</v>
      </c>
      <c r="E125" s="15" t="s">
        <v>59</v>
      </c>
      <c r="F125" s="24" t="s">
        <v>79</v>
      </c>
      <c r="G125" s="17">
        <v>90</v>
      </c>
      <c r="H125" s="17">
        <v>90</v>
      </c>
      <c r="I125" s="15" t="s">
        <v>74</v>
      </c>
      <c r="J125" s="25" t="str">
        <f>IF($D125="","",IFERROR(INDEX(PacNome,MATCH($D125,PacCod,0)),"Paciente não cadastrado"))</f>
        <v>Paciente 041</v>
      </c>
      <c r="K125" s="26" t="str">
        <f>IF($D125="","",IFERROR(INDEX(PacConv,MATCH($D125,PacCod,0))&amp;"",""))</f>
        <v>Convênio B</v>
      </c>
      <c r="L125" s="26" t="str">
        <f>IF($A125="","",CHOOSE(WEEKDAY($A125,2),"Seg","Ter","Qua","Qui","Sex","Sáb","Dom"))</f>
        <v>Sáb</v>
      </c>
      <c r="M125" s="27">
        <f>IF($E125="","",IF($G125&lt;&gt;"",$G125,IFERROR(INDEX(ProcValor,MATCH($E125,ProcNome,0)),0)))</f>
        <v>90</v>
      </c>
      <c r="N125" s="27">
        <f>IF($M125="","",IF($F125="Compareceu",$M125,0))</f>
        <v>90</v>
      </c>
      <c r="O125" s="27">
        <f>IF($M125="","",IF($F125="Faltou",$M125,0))</f>
        <v>0</v>
      </c>
      <c r="P125" s="27">
        <f>IF($M125="","",IF($F125="Compareceu",MAX(0,$M125-N($H125)),0))</f>
        <v>0</v>
      </c>
      <c r="Q125" s="19">
        <f>IF(AND($F125="Compareceu",$E125&lt;&gt;"",$A125&lt;&gt;""),IF(IFERROR(INDEX(ProcRet,MATCH($E125,ProcNome,0)),0)&gt;0,$A125+INDEX(ProcRet,MATCH($E125,ProcNome,0)),""),"")</f>
        <v>0</v>
      </c>
      <c r="R125" s="26">
        <f>IF($Q125="","",IF(COUNTIFS(AgPac,$D125,AgData,"&gt;"&amp;$A125,AgStatus,"&lt;&gt;Cancelado",AgStatus,"&lt;&gt;Remarcado")&gt;0,"Sim","Não"))</f>
        <v>0</v>
      </c>
      <c r="S125" s="28">
        <f>IF($A125="","",IF(AND($F125="Agendado",$A125-Hoje&gt;=0,$A125-Hoje&lt;=DiasConf),"CONFIRMAR",IF(AND($A125&lt;Hoje,OR($F125="Agendado",$F125="Confirmado")),"Atualizar status",IF(AND($F125="Compareceu",$P125&gt;0.005),"Cobrar",IF($F125="Faltou","Falta: reagendar","")))))</f>
        <v>0</v>
      </c>
      <c r="T125" s="29">
        <f>IF($A125="","",DATE(YEAR($A125),MONTH($A125),1))</f>
        <v>46235.0</v>
      </c>
      <c r="U125" s="30">
        <f>IF($S125="CONFIRMAR",MAX($U$4:$U124)+1,"")</f>
        <v>0</v>
      </c>
      <c r="V125" s="30">
        <f>IF(AND($R125="Não",$Q125&lt;&gt;"",$Q125&lt;=Hoje+JanelaRet,$Q125&gt;=Hoje-60),MAX($V$4:$V124)+1,"")</f>
        <v>0</v>
      </c>
    </row>
    <row r="126" spans="1:22">
      <c r="A126" s="16">
        <v>46242</v>
      </c>
      <c r="B126" s="23">
        <v>0.5</v>
      </c>
      <c r="C126" s="15" t="s">
        <v>54</v>
      </c>
      <c r="D126" s="15" t="s">
        <v>172</v>
      </c>
      <c r="E126" s="15" t="s">
        <v>63</v>
      </c>
      <c r="F126" s="24" t="s">
        <v>79</v>
      </c>
      <c r="G126" s="17">
        <v>84</v>
      </c>
      <c r="H126" s="17">
        <v>84</v>
      </c>
      <c r="I126" s="15" t="s">
        <v>72</v>
      </c>
      <c r="J126" s="25" t="str">
        <f>IF($D126="","",IFERROR(INDEX(PacNome,MATCH($D126,PacCod,0)),"Paciente não cadastrado"))</f>
        <v>Paciente 025</v>
      </c>
      <c r="K126" s="26" t="str">
        <f>IF($D126="","",IFERROR(INDEX(PacConv,MATCH($D126,PacCod,0))&amp;"",""))</f>
        <v>Convênio A</v>
      </c>
      <c r="L126" s="26" t="str">
        <f>IF($A126="","",CHOOSE(WEEKDAY($A126,2),"Seg","Ter","Qua","Qui","Sex","Sáb","Dom"))</f>
        <v>Sáb</v>
      </c>
      <c r="M126" s="27">
        <f>IF($E126="","",IF($G126&lt;&gt;"",$G126,IFERROR(INDEX(ProcValor,MATCH($E126,ProcNome,0)),0)))</f>
        <v>84</v>
      </c>
      <c r="N126" s="27">
        <f>IF($M126="","",IF($F126="Compareceu",$M126,0))</f>
        <v>84</v>
      </c>
      <c r="O126" s="27">
        <f>IF($M126="","",IF($F126="Faltou",$M126,0))</f>
        <v>0</v>
      </c>
      <c r="P126" s="27">
        <f>IF($M126="","",IF($F126="Compareceu",MAX(0,$M126-N($H126)),0))</f>
        <v>0</v>
      </c>
      <c r="Q126" s="19">
        <f>IF(AND($F126="Compareceu",$E126&lt;&gt;"",$A126&lt;&gt;""),IF(IFERROR(INDEX(ProcRet,MATCH($E126,ProcNome,0)),0)&gt;0,$A126+INDEX(ProcRet,MATCH($E126,ProcNome,0)),""),"")</f>
        <v>46249.0</v>
      </c>
      <c r="R126" s="26" t="str">
        <f>IF($Q126="","",IF(COUNTIFS(AgPac,$D126,AgData,"&gt;"&amp;$A126,AgStatus,"&lt;&gt;Cancelado",AgStatus,"&lt;&gt;Remarcado")&gt;0,"Sim","Não"))</f>
        <v>Sim</v>
      </c>
      <c r="S126" s="28">
        <f>IF($A126="","",IF(AND($F126="Agendado",$A126-Hoje&gt;=0,$A126-Hoje&lt;=DiasConf),"CONFIRMAR",IF(AND($A126&lt;Hoje,OR($F126="Agendado",$F126="Confirmado")),"Atualizar status",IF(AND($F126="Compareceu",$P126&gt;0.005),"Cobrar",IF($F126="Faltou","Falta: reagendar","")))))</f>
        <v>0</v>
      </c>
      <c r="T126" s="29">
        <f>IF($A126="","",DATE(YEAR($A126),MONTH($A126),1))</f>
        <v>46235.0</v>
      </c>
      <c r="U126" s="30">
        <f>IF($S126="CONFIRMAR",MAX($U$4:$U125)+1,"")</f>
        <v>0</v>
      </c>
      <c r="V126" s="30">
        <f>IF(AND($R126="Não",$Q126&lt;&gt;"",$Q126&lt;=Hoje+JanelaRet,$Q126&gt;=Hoje-60),MAX($V$4:$V125)+1,"")</f>
        <v>0</v>
      </c>
    </row>
    <row r="127" spans="1:22">
      <c r="A127" s="16">
        <v>46242</v>
      </c>
      <c r="B127" s="23">
        <v>0.5416666666666666</v>
      </c>
      <c r="C127" s="15" t="s">
        <v>54</v>
      </c>
      <c r="D127" s="15" t="s">
        <v>211</v>
      </c>
      <c r="E127" s="15" t="s">
        <v>65</v>
      </c>
      <c r="F127" s="24" t="s">
        <v>79</v>
      </c>
      <c r="G127" s="17">
        <v>78</v>
      </c>
      <c r="H127" s="17">
        <v>78</v>
      </c>
      <c r="I127" s="15" t="s">
        <v>73</v>
      </c>
      <c r="J127" s="25" t="str">
        <f>IF($D127="","",IFERROR(INDEX(PacNome,MATCH($D127,PacCod,0)),"Paciente não cadastrado"))</f>
        <v>Paciente 038</v>
      </c>
      <c r="K127" s="26" t="str">
        <f>IF($D127="","",IFERROR(INDEX(PacConv,MATCH($D127,PacCod,0))&amp;"",""))</f>
        <v>Convênio A</v>
      </c>
      <c r="L127" s="26" t="str">
        <f>IF($A127="","",CHOOSE(WEEKDAY($A127,2),"Seg","Ter","Qua","Qui","Sex","Sáb","Dom"))</f>
        <v>Sáb</v>
      </c>
      <c r="M127" s="27">
        <f>IF($E127="","",IF($G127&lt;&gt;"",$G127,IFERROR(INDEX(ProcValor,MATCH($E127,ProcNome,0)),0)))</f>
        <v>78</v>
      </c>
      <c r="N127" s="27">
        <f>IF($M127="","",IF($F127="Compareceu",$M127,0))</f>
        <v>78</v>
      </c>
      <c r="O127" s="27">
        <f>IF($M127="","",IF($F127="Faltou",$M127,0))</f>
        <v>0</v>
      </c>
      <c r="P127" s="27">
        <f>IF($M127="","",IF($F127="Compareceu",MAX(0,$M127-N($H127)),0))</f>
        <v>0</v>
      </c>
      <c r="Q127" s="19">
        <f>IF(AND($F127="Compareceu",$E127&lt;&gt;"",$A127&lt;&gt;""),IF(IFERROR(INDEX(ProcRet,MATCH($E127,ProcNome,0)),0)&gt;0,$A127+INDEX(ProcRet,MATCH($E127,ProcNome,0)),""),"")</f>
        <v>46332.0</v>
      </c>
      <c r="R127" s="26" t="str">
        <f>IF($Q127="","",IF(COUNTIFS(AgPac,$D127,AgData,"&gt;"&amp;$A127,AgStatus,"&lt;&gt;Cancelado",AgStatus,"&lt;&gt;Remarcado")&gt;0,"Sim","Não"))</f>
        <v>Sim</v>
      </c>
      <c r="S127" s="28">
        <f>IF($A127="","",IF(AND($F127="Agendado",$A127-Hoje&gt;=0,$A127-Hoje&lt;=DiasConf),"CONFIRMAR",IF(AND($A127&lt;Hoje,OR($F127="Agendado",$F127="Confirmado")),"Atualizar status",IF(AND($F127="Compareceu",$P127&gt;0.005),"Cobrar",IF($F127="Faltou","Falta: reagendar","")))))</f>
        <v>0</v>
      </c>
      <c r="T127" s="29">
        <f>IF($A127="","",DATE(YEAR($A127),MONTH($A127),1))</f>
        <v>46235.0</v>
      </c>
      <c r="U127" s="30">
        <f>IF($S127="CONFIRMAR",MAX($U$4:$U126)+1,"")</f>
        <v>0</v>
      </c>
      <c r="V127" s="30">
        <f>IF(AND($R127="Não",$Q127&lt;&gt;"",$Q127&lt;=Hoje+JanelaRet,$Q127&gt;=Hoje-60),MAX($V$4:$V126)+1,"")</f>
        <v>0</v>
      </c>
    </row>
    <row r="128" spans="1:22">
      <c r="A128" s="16">
        <v>46244</v>
      </c>
      <c r="B128" s="23">
        <v>0.3958333333333333</v>
      </c>
      <c r="C128" s="15" t="s">
        <v>53</v>
      </c>
      <c r="D128" s="15" t="s">
        <v>145</v>
      </c>
      <c r="E128" s="15" t="s">
        <v>58</v>
      </c>
      <c r="F128" s="24" t="s">
        <v>79</v>
      </c>
      <c r="G128" s="17"/>
      <c r="H128" s="17">
        <v>250</v>
      </c>
      <c r="I128" s="15" t="s">
        <v>71</v>
      </c>
      <c r="J128" s="25" t="str">
        <f>IF($D128="","",IFERROR(INDEX(PacNome,MATCH($D128,PacCod,0)),"Paciente não cadastrado"))</f>
        <v>Paciente 016</v>
      </c>
      <c r="K128" s="26" t="str">
        <f>IF($D128="","",IFERROR(INDEX(PacConv,MATCH($D128,PacCod,0))&amp;"",""))</f>
        <v>Particular</v>
      </c>
      <c r="L128" s="26" t="str">
        <f>IF($A128="","",CHOOSE(WEEKDAY($A128,2),"Seg","Ter","Qua","Qui","Sex","Sáb","Dom"))</f>
        <v>Seg</v>
      </c>
      <c r="M128" s="27">
        <f>IF($E128="","",IF($G128&lt;&gt;"",$G128,IFERROR(INDEX(ProcValor,MATCH($E128,ProcNome,0)),0)))</f>
        <v>250</v>
      </c>
      <c r="N128" s="27">
        <f>IF($M128="","",IF($F128="Compareceu",$M128,0))</f>
        <v>250</v>
      </c>
      <c r="O128" s="27">
        <f>IF($M128="","",IF($F128="Faltou",$M128,0))</f>
        <v>0</v>
      </c>
      <c r="P128" s="27">
        <f>IF($M128="","",IF($F128="Compareceu",MAX(0,$M128-N($H128)),0))</f>
        <v>0</v>
      </c>
      <c r="Q128" s="19">
        <f>IF(AND($F128="Compareceu",$E128&lt;&gt;"",$A128&lt;&gt;""),IF(IFERROR(INDEX(ProcRet,MATCH($E128,ProcNome,0)),0)&gt;0,$A128+INDEX(ProcRet,MATCH($E128,ProcNome,0)),""),"")</f>
        <v>0</v>
      </c>
      <c r="R128" s="26">
        <f>IF($Q128="","",IF(COUNTIFS(AgPac,$D128,AgData,"&gt;"&amp;$A128,AgStatus,"&lt;&gt;Cancelado",AgStatus,"&lt;&gt;Remarcado")&gt;0,"Sim","Não"))</f>
        <v>0</v>
      </c>
      <c r="S128" s="28">
        <f>IF($A128="","",IF(AND($F128="Agendado",$A128-Hoje&gt;=0,$A128-Hoje&lt;=DiasConf),"CONFIRMAR",IF(AND($A128&lt;Hoje,OR($F128="Agendado",$F128="Confirmado")),"Atualizar status",IF(AND($F128="Compareceu",$P128&gt;0.005),"Cobrar",IF($F128="Faltou","Falta: reagendar","")))))</f>
        <v>0</v>
      </c>
      <c r="T128" s="29">
        <f>IF($A128="","",DATE(YEAR($A128),MONTH($A128),1))</f>
        <v>46235.0</v>
      </c>
      <c r="U128" s="30">
        <f>IF($S128="CONFIRMAR",MAX($U$4:$U127)+1,"")</f>
        <v>0</v>
      </c>
      <c r="V128" s="30">
        <f>IF(AND($R128="Não",$Q128&lt;&gt;"",$Q128&lt;=Hoje+JanelaRet,$Q128&gt;=Hoje-60),MAX($V$4:$V127)+1,"")</f>
        <v>0</v>
      </c>
    </row>
    <row r="129" spans="1:22">
      <c r="A129" s="16">
        <v>46244</v>
      </c>
      <c r="B129" s="23">
        <v>0.4375</v>
      </c>
      <c r="C129" s="15" t="s">
        <v>53</v>
      </c>
      <c r="D129" s="15" t="s">
        <v>205</v>
      </c>
      <c r="E129" s="15" t="s">
        <v>63</v>
      </c>
      <c r="F129" s="24" t="s">
        <v>79</v>
      </c>
      <c r="G129" s="17">
        <v>84</v>
      </c>
      <c r="H129" s="17">
        <v>84</v>
      </c>
      <c r="I129" s="15" t="s">
        <v>71</v>
      </c>
      <c r="J129" s="25" t="str">
        <f>IF($D129="","",IFERROR(INDEX(PacNome,MATCH($D129,PacCod,0)),"Paciente não cadastrado"))</f>
        <v>Paciente 036</v>
      </c>
      <c r="K129" s="26" t="str">
        <f>IF($D129="","",IFERROR(INDEX(PacConv,MATCH($D129,PacCod,0))&amp;"",""))</f>
        <v>Convênio B</v>
      </c>
      <c r="L129" s="26" t="str">
        <f>IF($A129="","",CHOOSE(WEEKDAY($A129,2),"Seg","Ter","Qua","Qui","Sex","Sáb","Dom"))</f>
        <v>Seg</v>
      </c>
      <c r="M129" s="27">
        <f>IF($E129="","",IF($G129&lt;&gt;"",$G129,IFERROR(INDEX(ProcValor,MATCH($E129,ProcNome,0)),0)))</f>
        <v>84</v>
      </c>
      <c r="N129" s="27">
        <f>IF($M129="","",IF($F129="Compareceu",$M129,0))</f>
        <v>84</v>
      </c>
      <c r="O129" s="27">
        <f>IF($M129="","",IF($F129="Faltou",$M129,0))</f>
        <v>0</v>
      </c>
      <c r="P129" s="27">
        <f>IF($M129="","",IF($F129="Compareceu",MAX(0,$M129-N($H129)),0))</f>
        <v>0</v>
      </c>
      <c r="Q129" s="19">
        <f>IF(AND($F129="Compareceu",$E129&lt;&gt;"",$A129&lt;&gt;""),IF(IFERROR(INDEX(ProcRet,MATCH($E129,ProcNome,0)),0)&gt;0,$A129+INDEX(ProcRet,MATCH($E129,ProcNome,0)),""),"")</f>
        <v>46251.0</v>
      </c>
      <c r="R129" s="26" t="str">
        <f>IF($Q129="","",IF(COUNTIFS(AgPac,$D129,AgData,"&gt;"&amp;$A129,AgStatus,"&lt;&gt;Cancelado",AgStatus,"&lt;&gt;Remarcado")&gt;0,"Sim","Não"))</f>
        <v>Sim</v>
      </c>
      <c r="S129" s="28">
        <f>IF($A129="","",IF(AND($F129="Agendado",$A129-Hoje&gt;=0,$A129-Hoje&lt;=DiasConf),"CONFIRMAR",IF(AND($A129&lt;Hoje,OR($F129="Agendado",$F129="Confirmado")),"Atualizar status",IF(AND($F129="Compareceu",$P129&gt;0.005),"Cobrar",IF($F129="Faltou","Falta: reagendar","")))))</f>
        <v>0</v>
      </c>
      <c r="T129" s="29">
        <f>IF($A129="","",DATE(YEAR($A129),MONTH($A129),1))</f>
        <v>46235.0</v>
      </c>
      <c r="U129" s="30">
        <f>IF($S129="CONFIRMAR",MAX($U$4:$U128)+1,"")</f>
        <v>0</v>
      </c>
      <c r="V129" s="30">
        <f>IF(AND($R129="Não",$Q129&lt;&gt;"",$Q129&lt;=Hoje+JanelaRet,$Q129&gt;=Hoje-60),MAX($V$4:$V128)+1,"")</f>
        <v>0</v>
      </c>
    </row>
    <row r="130" spans="1:22">
      <c r="A130" s="16">
        <v>46244</v>
      </c>
      <c r="B130" s="23">
        <v>0.6041666666666666</v>
      </c>
      <c r="C130" s="15" t="s">
        <v>52</v>
      </c>
      <c r="D130" s="15" t="s">
        <v>211</v>
      </c>
      <c r="E130" s="15" t="s">
        <v>61</v>
      </c>
      <c r="F130" s="24" t="s">
        <v>79</v>
      </c>
      <c r="G130" s="17">
        <v>72</v>
      </c>
      <c r="H130" s="17">
        <v>72</v>
      </c>
      <c r="I130" s="15" t="s">
        <v>73</v>
      </c>
      <c r="J130" s="25" t="str">
        <f>IF($D130="","",IFERROR(INDEX(PacNome,MATCH($D130,PacCod,0)),"Paciente não cadastrado"))</f>
        <v>Paciente 038</v>
      </c>
      <c r="K130" s="26" t="str">
        <f>IF($D130="","",IFERROR(INDEX(PacConv,MATCH($D130,PacCod,0))&amp;"",""))</f>
        <v>Convênio A</v>
      </c>
      <c r="L130" s="26" t="str">
        <f>IF($A130="","",CHOOSE(WEEKDAY($A130,2),"Seg","Ter","Qua","Qui","Sex","Sáb","Dom"))</f>
        <v>Seg</v>
      </c>
      <c r="M130" s="27">
        <f>IF($E130="","",IF($G130&lt;&gt;"",$G130,IFERROR(INDEX(ProcValor,MATCH($E130,ProcNome,0)),0)))</f>
        <v>72</v>
      </c>
      <c r="N130" s="27">
        <f>IF($M130="","",IF($F130="Compareceu",$M130,0))</f>
        <v>72</v>
      </c>
      <c r="O130" s="27">
        <f>IF($M130="","",IF($F130="Faltou",$M130,0))</f>
        <v>0</v>
      </c>
      <c r="P130" s="27">
        <f>IF($M130="","",IF($F130="Compareceu",MAX(0,$M130-N($H130)),0))</f>
        <v>0</v>
      </c>
      <c r="Q130" s="19">
        <f>IF(AND($F130="Compareceu",$E130&lt;&gt;"",$A130&lt;&gt;""),IF(IFERROR(INDEX(ProcRet,MATCH($E130,ProcNome,0)),0)&gt;0,$A130+INDEX(ProcRet,MATCH($E130,ProcNome,0)),""),"")</f>
        <v>46274.0</v>
      </c>
      <c r="R130" s="26" t="str">
        <f>IF($Q130="","",IF(COUNTIFS(AgPac,$D130,AgData,"&gt;"&amp;$A130,AgStatus,"&lt;&gt;Cancelado",AgStatus,"&lt;&gt;Remarcado")&gt;0,"Sim","Não"))</f>
        <v>Sim</v>
      </c>
      <c r="S130" s="28">
        <f>IF($A130="","",IF(AND($F130="Agendado",$A130-Hoje&gt;=0,$A130-Hoje&lt;=DiasConf),"CONFIRMAR",IF(AND($A130&lt;Hoje,OR($F130="Agendado",$F130="Confirmado")),"Atualizar status",IF(AND($F130="Compareceu",$P130&gt;0.005),"Cobrar",IF($F130="Faltou","Falta: reagendar","")))))</f>
        <v>0</v>
      </c>
      <c r="T130" s="29">
        <f>IF($A130="","",DATE(YEAR($A130),MONTH($A130),1))</f>
        <v>46235.0</v>
      </c>
      <c r="U130" s="30">
        <f>IF($S130="CONFIRMAR",MAX($U$4:$U129)+1,"")</f>
        <v>0</v>
      </c>
      <c r="V130" s="30">
        <f>IF(AND($R130="Não",$Q130&lt;&gt;"",$Q130&lt;=Hoje+JanelaRet,$Q130&gt;=Hoje-60),MAX($V$4:$V129)+1,"")</f>
        <v>0</v>
      </c>
    </row>
    <row r="131" spans="1:22">
      <c r="A131" s="16">
        <v>46244</v>
      </c>
      <c r="B131" s="23">
        <v>0.6875</v>
      </c>
      <c r="C131" s="15" t="s">
        <v>51</v>
      </c>
      <c r="D131" s="15" t="s">
        <v>151</v>
      </c>
      <c r="E131" s="15" t="s">
        <v>63</v>
      </c>
      <c r="F131" s="24" t="s">
        <v>79</v>
      </c>
      <c r="G131" s="17"/>
      <c r="H131" s="17">
        <v>140</v>
      </c>
      <c r="I131" s="15" t="s">
        <v>71</v>
      </c>
      <c r="J131" s="25" t="str">
        <f>IF($D131="","",IFERROR(INDEX(PacNome,MATCH($D131,PacCod,0)),"Paciente não cadastrado"))</f>
        <v>Paciente 018</v>
      </c>
      <c r="K131" s="26" t="str">
        <f>IF($D131="","",IFERROR(INDEX(PacConv,MATCH($D131,PacCod,0))&amp;"",""))</f>
        <v>Particular</v>
      </c>
      <c r="L131" s="26" t="str">
        <f>IF($A131="","",CHOOSE(WEEKDAY($A131,2),"Seg","Ter","Qua","Qui","Sex","Sáb","Dom"))</f>
        <v>Seg</v>
      </c>
      <c r="M131" s="27">
        <f>IF($E131="","",IF($G131&lt;&gt;"",$G131,IFERROR(INDEX(ProcValor,MATCH($E131,ProcNome,0)),0)))</f>
        <v>140</v>
      </c>
      <c r="N131" s="27">
        <f>IF($M131="","",IF($F131="Compareceu",$M131,0))</f>
        <v>140</v>
      </c>
      <c r="O131" s="27">
        <f>IF($M131="","",IF($F131="Faltou",$M131,0))</f>
        <v>0</v>
      </c>
      <c r="P131" s="27">
        <f>IF($M131="","",IF($F131="Compareceu",MAX(0,$M131-N($H131)),0))</f>
        <v>0</v>
      </c>
      <c r="Q131" s="19">
        <f>IF(AND($F131="Compareceu",$E131&lt;&gt;"",$A131&lt;&gt;""),IF(IFERROR(INDEX(ProcRet,MATCH($E131,ProcNome,0)),0)&gt;0,$A131+INDEX(ProcRet,MATCH($E131,ProcNome,0)),""),"")</f>
        <v>46251.0</v>
      </c>
      <c r="R131" s="26" t="str">
        <f>IF($Q131="","",IF(COUNTIFS(AgPac,$D131,AgData,"&gt;"&amp;$A131,AgStatus,"&lt;&gt;Cancelado",AgStatus,"&lt;&gt;Remarcado")&gt;0,"Sim","Não"))</f>
        <v>Sim</v>
      </c>
      <c r="S131" s="28">
        <f>IF($A131="","",IF(AND($F131="Agendado",$A131-Hoje&gt;=0,$A131-Hoje&lt;=DiasConf),"CONFIRMAR",IF(AND($A131&lt;Hoje,OR($F131="Agendado",$F131="Confirmado")),"Atualizar status",IF(AND($F131="Compareceu",$P131&gt;0.005),"Cobrar",IF($F131="Faltou","Falta: reagendar","")))))</f>
        <v>0</v>
      </c>
      <c r="T131" s="29">
        <f>IF($A131="","",DATE(YEAR($A131),MONTH($A131),1))</f>
        <v>46235.0</v>
      </c>
      <c r="U131" s="30">
        <f>IF($S131="CONFIRMAR",MAX($U$4:$U130)+1,"")</f>
        <v>0</v>
      </c>
      <c r="V131" s="30">
        <f>IF(AND($R131="Não",$Q131&lt;&gt;"",$Q131&lt;=Hoje+JanelaRet,$Q131&gt;=Hoje-60),MAX($V$4:$V130)+1,"")</f>
        <v>0</v>
      </c>
    </row>
    <row r="132" spans="1:22">
      <c r="A132" s="16">
        <v>46245</v>
      </c>
      <c r="B132" s="23">
        <v>0.3541666666666667</v>
      </c>
      <c r="C132" s="15" t="s">
        <v>52</v>
      </c>
      <c r="D132" s="15" t="s">
        <v>157</v>
      </c>
      <c r="E132" s="15" t="s">
        <v>65</v>
      </c>
      <c r="F132" s="24" t="s">
        <v>79</v>
      </c>
      <c r="G132" s="17"/>
      <c r="H132" s="17">
        <v>130</v>
      </c>
      <c r="I132" s="15" t="s">
        <v>73</v>
      </c>
      <c r="J132" s="25" t="str">
        <f>IF($D132="","",IFERROR(INDEX(PacNome,MATCH($D132,PacCod,0)),"Paciente não cadastrado"))</f>
        <v>Paciente 020</v>
      </c>
      <c r="K132" s="26" t="str">
        <f>IF($D132="","",IFERROR(INDEX(PacConv,MATCH($D132,PacCod,0))&amp;"",""))</f>
        <v>Particular</v>
      </c>
      <c r="L132" s="26" t="str">
        <f>IF($A132="","",CHOOSE(WEEKDAY($A132,2),"Seg","Ter","Qua","Qui","Sex","Sáb","Dom"))</f>
        <v>Ter</v>
      </c>
      <c r="M132" s="27">
        <f>IF($E132="","",IF($G132&lt;&gt;"",$G132,IFERROR(INDEX(ProcValor,MATCH($E132,ProcNome,0)),0)))</f>
        <v>130</v>
      </c>
      <c r="N132" s="27">
        <f>IF($M132="","",IF($F132="Compareceu",$M132,0))</f>
        <v>130</v>
      </c>
      <c r="O132" s="27">
        <f>IF($M132="","",IF($F132="Faltou",$M132,0))</f>
        <v>0</v>
      </c>
      <c r="P132" s="27">
        <f>IF($M132="","",IF($F132="Compareceu",MAX(0,$M132-N($H132)),0))</f>
        <v>0</v>
      </c>
      <c r="Q132" s="19">
        <f>IF(AND($F132="Compareceu",$E132&lt;&gt;"",$A132&lt;&gt;""),IF(IFERROR(INDEX(ProcRet,MATCH($E132,ProcNome,0)),0)&gt;0,$A132+INDEX(ProcRet,MATCH($E132,ProcNome,0)),""),"")</f>
        <v>46335.0</v>
      </c>
      <c r="R132" s="26" t="str">
        <f>IF($Q132="","",IF(COUNTIFS(AgPac,$D132,AgData,"&gt;"&amp;$A132,AgStatus,"&lt;&gt;Cancelado",AgStatus,"&lt;&gt;Remarcado")&gt;0,"Sim","Não"))</f>
        <v>Sim</v>
      </c>
      <c r="S132" s="28">
        <f>IF($A132="","",IF(AND($F132="Agendado",$A132-Hoje&gt;=0,$A132-Hoje&lt;=DiasConf),"CONFIRMAR",IF(AND($A132&lt;Hoje,OR($F132="Agendado",$F132="Confirmado")),"Atualizar status",IF(AND($F132="Compareceu",$P132&gt;0.005),"Cobrar",IF($F132="Faltou","Falta: reagendar","")))))</f>
        <v>0</v>
      </c>
      <c r="T132" s="29">
        <f>IF($A132="","",DATE(YEAR($A132),MONTH($A132),1))</f>
        <v>46235.0</v>
      </c>
      <c r="U132" s="30">
        <f>IF($S132="CONFIRMAR",MAX($U$4:$U131)+1,"")</f>
        <v>0</v>
      </c>
      <c r="V132" s="30">
        <f>IF(AND($R132="Não",$Q132&lt;&gt;"",$Q132&lt;=Hoje+JanelaRet,$Q132&gt;=Hoje-60),MAX($V$4:$V131)+1,"")</f>
        <v>0</v>
      </c>
    </row>
    <row r="133" spans="1:22">
      <c r="A133" s="16">
        <v>46245</v>
      </c>
      <c r="B133" s="23">
        <v>0.4375</v>
      </c>
      <c r="C133" s="15" t="s">
        <v>52</v>
      </c>
      <c r="D133" s="15" t="s">
        <v>166</v>
      </c>
      <c r="E133" s="15" t="s">
        <v>63</v>
      </c>
      <c r="F133" s="24" t="s">
        <v>79</v>
      </c>
      <c r="G133" s="17"/>
      <c r="H133" s="17">
        <v>140</v>
      </c>
      <c r="I133" s="15" t="s">
        <v>75</v>
      </c>
      <c r="J133" s="25" t="str">
        <f>IF($D133="","",IFERROR(INDEX(PacNome,MATCH($D133,PacCod,0)),"Paciente não cadastrado"))</f>
        <v>Paciente 023</v>
      </c>
      <c r="K133" s="26" t="str">
        <f>IF($D133="","",IFERROR(INDEX(PacConv,MATCH($D133,PacCod,0))&amp;"",""))</f>
        <v>Particular</v>
      </c>
      <c r="L133" s="26" t="str">
        <f>IF($A133="","",CHOOSE(WEEKDAY($A133,2),"Seg","Ter","Qua","Qui","Sex","Sáb","Dom"))</f>
        <v>Ter</v>
      </c>
      <c r="M133" s="27">
        <f>IF($E133="","",IF($G133&lt;&gt;"",$G133,IFERROR(INDEX(ProcValor,MATCH($E133,ProcNome,0)),0)))</f>
        <v>140</v>
      </c>
      <c r="N133" s="27">
        <f>IF($M133="","",IF($F133="Compareceu",$M133,0))</f>
        <v>140</v>
      </c>
      <c r="O133" s="27">
        <f>IF($M133="","",IF($F133="Faltou",$M133,0))</f>
        <v>0</v>
      </c>
      <c r="P133" s="27">
        <f>IF($M133="","",IF($F133="Compareceu",MAX(0,$M133-N($H133)),0))</f>
        <v>0</v>
      </c>
      <c r="Q133" s="19">
        <f>IF(AND($F133="Compareceu",$E133&lt;&gt;"",$A133&lt;&gt;""),IF(IFERROR(INDEX(ProcRet,MATCH($E133,ProcNome,0)),0)&gt;0,$A133+INDEX(ProcRet,MATCH($E133,ProcNome,0)),""),"")</f>
        <v>46252.0</v>
      </c>
      <c r="R133" s="26" t="str">
        <f>IF($Q133="","",IF(COUNTIFS(AgPac,$D133,AgData,"&gt;"&amp;$A133,AgStatus,"&lt;&gt;Cancelado",AgStatus,"&lt;&gt;Remarcado")&gt;0,"Sim","Não"))</f>
        <v>Sim</v>
      </c>
      <c r="S133" s="28">
        <f>IF($A133="","",IF(AND($F133="Agendado",$A133-Hoje&gt;=0,$A133-Hoje&lt;=DiasConf),"CONFIRMAR",IF(AND($A133&lt;Hoje,OR($F133="Agendado",$F133="Confirmado")),"Atualizar status",IF(AND($F133="Compareceu",$P133&gt;0.005),"Cobrar",IF($F133="Faltou","Falta: reagendar","")))))</f>
        <v>0</v>
      </c>
      <c r="T133" s="29">
        <f>IF($A133="","",DATE(YEAR($A133),MONTH($A133),1))</f>
        <v>46235.0</v>
      </c>
      <c r="U133" s="30">
        <f>IF($S133="CONFIRMAR",MAX($U$4:$U132)+1,"")</f>
        <v>0</v>
      </c>
      <c r="V133" s="30">
        <f>IF(AND($R133="Não",$Q133&lt;&gt;"",$Q133&lt;=Hoje+JanelaRet,$Q133&gt;=Hoje-60),MAX($V$4:$V132)+1,"")</f>
        <v>0</v>
      </c>
    </row>
    <row r="134" spans="1:22">
      <c r="A134" s="16">
        <v>46245</v>
      </c>
      <c r="B134" s="23">
        <v>0.4791666666666667</v>
      </c>
      <c r="C134" s="15" t="s">
        <v>53</v>
      </c>
      <c r="D134" s="15" t="s">
        <v>202</v>
      </c>
      <c r="E134" s="15" t="s">
        <v>59</v>
      </c>
      <c r="F134" s="24" t="s">
        <v>80</v>
      </c>
      <c r="G134" s="17"/>
      <c r="H134" s="17"/>
      <c r="I134" s="15"/>
      <c r="J134" s="25" t="str">
        <f>IF($D134="","",IFERROR(INDEX(PacNome,MATCH($D134,PacCod,0)),"Paciente não cadastrado"))</f>
        <v>Paciente 035</v>
      </c>
      <c r="K134" s="26" t="str">
        <f>IF($D134="","",IFERROR(INDEX(PacConv,MATCH($D134,PacCod,0))&amp;"",""))</f>
        <v>Particular</v>
      </c>
      <c r="L134" s="26" t="str">
        <f>IF($A134="","",CHOOSE(WEEKDAY($A134,2),"Seg","Ter","Qua","Qui","Sex","Sáb","Dom"))</f>
        <v>Ter</v>
      </c>
      <c r="M134" s="27">
        <f>IF($E134="","",IF($G134&lt;&gt;"",$G134,IFERROR(INDEX(ProcValor,MATCH($E134,ProcNome,0)),0)))</f>
        <v>150</v>
      </c>
      <c r="N134" s="27">
        <f>IF($M134="","",IF($F134="Compareceu",$M134,0))</f>
        <v>0</v>
      </c>
      <c r="O134" s="27">
        <f>IF($M134="","",IF($F134="Faltou",$M134,0))</f>
        <v>150</v>
      </c>
      <c r="P134" s="27">
        <f>IF($M134="","",IF($F134="Compareceu",MAX(0,$M134-N($H134)),0))</f>
        <v>0</v>
      </c>
      <c r="Q134" s="19">
        <f>IF(AND($F134="Compareceu",$E134&lt;&gt;"",$A134&lt;&gt;""),IF(IFERROR(INDEX(ProcRet,MATCH($E134,ProcNome,0)),0)&gt;0,$A134+INDEX(ProcRet,MATCH($E134,ProcNome,0)),""),"")</f>
        <v>0</v>
      </c>
      <c r="R134" s="26">
        <f>IF($Q134="","",IF(COUNTIFS(AgPac,$D134,AgData,"&gt;"&amp;$A134,AgStatus,"&lt;&gt;Cancelado",AgStatus,"&lt;&gt;Remarcado")&gt;0,"Sim","Não"))</f>
        <v>0</v>
      </c>
      <c r="S134" s="28" t="str">
        <f>IF($A134="","",IF(AND($F134="Agendado",$A134-Hoje&gt;=0,$A134-Hoje&lt;=DiasConf),"CONFIRMAR",IF(AND($A134&lt;Hoje,OR($F134="Agendado",$F134="Confirmado")),"Atualizar status",IF(AND($F134="Compareceu",$P134&gt;0.005),"Cobrar",IF($F134="Faltou","Falta: reagendar","")))))</f>
        <v>Falta: reagendar</v>
      </c>
      <c r="T134" s="29">
        <f>IF($A134="","",DATE(YEAR($A134),MONTH($A134),1))</f>
        <v>46235.0</v>
      </c>
      <c r="U134" s="30">
        <f>IF($S134="CONFIRMAR",MAX($U$4:$U133)+1,"")</f>
        <v>0</v>
      </c>
      <c r="V134" s="30">
        <f>IF(AND($R134="Não",$Q134&lt;&gt;"",$Q134&lt;=Hoje+JanelaRet,$Q134&gt;=Hoje-60),MAX($V$4:$V133)+1,"")</f>
        <v>0</v>
      </c>
    </row>
    <row r="135" spans="1:22">
      <c r="A135" s="16">
        <v>46245</v>
      </c>
      <c r="B135" s="23">
        <v>0.5208333333333334</v>
      </c>
      <c r="C135" s="15" t="s">
        <v>51</v>
      </c>
      <c r="D135" s="15" t="s">
        <v>157</v>
      </c>
      <c r="E135" s="15" t="s">
        <v>61</v>
      </c>
      <c r="F135" s="24" t="s">
        <v>79</v>
      </c>
      <c r="G135" s="17"/>
      <c r="H135" s="17">
        <v>120</v>
      </c>
      <c r="I135" s="15" t="s">
        <v>75</v>
      </c>
      <c r="J135" s="25" t="str">
        <f>IF($D135="","",IFERROR(INDEX(PacNome,MATCH($D135,PacCod,0)),"Paciente não cadastrado"))</f>
        <v>Paciente 020</v>
      </c>
      <c r="K135" s="26" t="str">
        <f>IF($D135="","",IFERROR(INDEX(PacConv,MATCH($D135,PacCod,0))&amp;"",""))</f>
        <v>Particular</v>
      </c>
      <c r="L135" s="26" t="str">
        <f>IF($A135="","",CHOOSE(WEEKDAY($A135,2),"Seg","Ter","Qua","Qui","Sex","Sáb","Dom"))</f>
        <v>Ter</v>
      </c>
      <c r="M135" s="27">
        <f>IF($E135="","",IF($G135&lt;&gt;"",$G135,IFERROR(INDEX(ProcValor,MATCH($E135,ProcNome,0)),0)))</f>
        <v>120</v>
      </c>
      <c r="N135" s="27">
        <f>IF($M135="","",IF($F135="Compareceu",$M135,0))</f>
        <v>120</v>
      </c>
      <c r="O135" s="27">
        <f>IF($M135="","",IF($F135="Faltou",$M135,0))</f>
        <v>0</v>
      </c>
      <c r="P135" s="27">
        <f>IF($M135="","",IF($F135="Compareceu",MAX(0,$M135-N($H135)),0))</f>
        <v>0</v>
      </c>
      <c r="Q135" s="19">
        <f>IF(AND($F135="Compareceu",$E135&lt;&gt;"",$A135&lt;&gt;""),IF(IFERROR(INDEX(ProcRet,MATCH($E135,ProcNome,0)),0)&gt;0,$A135+INDEX(ProcRet,MATCH($E135,ProcNome,0)),""),"")</f>
        <v>46275.0</v>
      </c>
      <c r="R135" s="26" t="str">
        <f>IF($Q135="","",IF(COUNTIFS(AgPac,$D135,AgData,"&gt;"&amp;$A135,AgStatus,"&lt;&gt;Cancelado",AgStatus,"&lt;&gt;Remarcado")&gt;0,"Sim","Não"))</f>
        <v>Sim</v>
      </c>
      <c r="S135" s="28">
        <f>IF($A135="","",IF(AND($F135="Agendado",$A135-Hoje&gt;=0,$A135-Hoje&lt;=DiasConf),"CONFIRMAR",IF(AND($A135&lt;Hoje,OR($F135="Agendado",$F135="Confirmado")),"Atualizar status",IF(AND($F135="Compareceu",$P135&gt;0.005),"Cobrar",IF($F135="Faltou","Falta: reagendar","")))))</f>
        <v>0</v>
      </c>
      <c r="T135" s="29">
        <f>IF($A135="","",DATE(YEAR($A135),MONTH($A135),1))</f>
        <v>46235.0</v>
      </c>
      <c r="U135" s="30">
        <f>IF($S135="CONFIRMAR",MAX($U$4:$U134)+1,"")</f>
        <v>0</v>
      </c>
      <c r="V135" s="30">
        <f>IF(AND($R135="Não",$Q135&lt;&gt;"",$Q135&lt;=Hoje+JanelaRet,$Q135&gt;=Hoje-60),MAX($V$4:$V134)+1,"")</f>
        <v>0</v>
      </c>
    </row>
    <row r="136" spans="1:22">
      <c r="A136" s="16">
        <v>46245</v>
      </c>
      <c r="B136" s="23">
        <v>0.7291666666666666</v>
      </c>
      <c r="C136" s="15" t="s">
        <v>54</v>
      </c>
      <c r="D136" s="15" t="s">
        <v>127</v>
      </c>
      <c r="E136" s="15" t="s">
        <v>59</v>
      </c>
      <c r="F136" s="24" t="s">
        <v>81</v>
      </c>
      <c r="G136" s="17"/>
      <c r="H136" s="17"/>
      <c r="I136" s="15"/>
      <c r="J136" s="25" t="str">
        <f>IF($D136="","",IFERROR(INDEX(PacNome,MATCH($D136,PacCod,0)),"Paciente não cadastrado"))</f>
        <v>Paciente 010</v>
      </c>
      <c r="K136" s="26" t="str">
        <f>IF($D136="","",IFERROR(INDEX(PacConv,MATCH($D136,PacCod,0))&amp;"",""))</f>
        <v>Particular</v>
      </c>
      <c r="L136" s="26" t="str">
        <f>IF($A136="","",CHOOSE(WEEKDAY($A136,2),"Seg","Ter","Qua","Qui","Sex","Sáb","Dom"))</f>
        <v>Ter</v>
      </c>
      <c r="M136" s="27">
        <f>IF($E136="","",IF($G136&lt;&gt;"",$G136,IFERROR(INDEX(ProcValor,MATCH($E136,ProcNome,0)),0)))</f>
        <v>150</v>
      </c>
      <c r="N136" s="27">
        <f>IF($M136="","",IF($F136="Compareceu",$M136,0))</f>
        <v>0</v>
      </c>
      <c r="O136" s="27">
        <f>IF($M136="","",IF($F136="Faltou",$M136,0))</f>
        <v>0</v>
      </c>
      <c r="P136" s="27">
        <f>IF($M136="","",IF($F136="Compareceu",MAX(0,$M136-N($H136)),0))</f>
        <v>0</v>
      </c>
      <c r="Q136" s="19">
        <f>IF(AND($F136="Compareceu",$E136&lt;&gt;"",$A136&lt;&gt;""),IF(IFERROR(INDEX(ProcRet,MATCH($E136,ProcNome,0)),0)&gt;0,$A136+INDEX(ProcRet,MATCH($E136,ProcNome,0)),""),"")</f>
        <v>0</v>
      </c>
      <c r="R136" s="26">
        <f>IF($Q136="","",IF(COUNTIFS(AgPac,$D136,AgData,"&gt;"&amp;$A136,AgStatus,"&lt;&gt;Cancelado",AgStatus,"&lt;&gt;Remarcado")&gt;0,"Sim","Não"))</f>
        <v>0</v>
      </c>
      <c r="S136" s="28">
        <f>IF($A136="","",IF(AND($F136="Agendado",$A136-Hoje&gt;=0,$A136-Hoje&lt;=DiasConf),"CONFIRMAR",IF(AND($A136&lt;Hoje,OR($F136="Agendado",$F136="Confirmado")),"Atualizar status",IF(AND($F136="Compareceu",$P136&gt;0.005),"Cobrar",IF($F136="Faltou","Falta: reagendar","")))))</f>
        <v>0</v>
      </c>
      <c r="T136" s="29">
        <f>IF($A136="","",DATE(YEAR($A136),MONTH($A136),1))</f>
        <v>46235.0</v>
      </c>
      <c r="U136" s="30">
        <f>IF($S136="CONFIRMAR",MAX($U$4:$U135)+1,"")</f>
        <v>0</v>
      </c>
      <c r="V136" s="30">
        <f>IF(AND($R136="Não",$Q136&lt;&gt;"",$Q136&lt;=Hoje+JanelaRet,$Q136&gt;=Hoje-60),MAX($V$4:$V135)+1,"")</f>
        <v>0</v>
      </c>
    </row>
    <row r="137" spans="1:22">
      <c r="A137" s="16">
        <v>46246</v>
      </c>
      <c r="B137" s="23">
        <v>0.375</v>
      </c>
      <c r="C137" s="15" t="s">
        <v>53</v>
      </c>
      <c r="D137" s="15" t="s">
        <v>190</v>
      </c>
      <c r="E137" s="15" t="s">
        <v>64</v>
      </c>
      <c r="F137" s="24" t="s">
        <v>80</v>
      </c>
      <c r="G137" s="17"/>
      <c r="H137" s="17"/>
      <c r="I137" s="15"/>
      <c r="J137" s="25" t="str">
        <f>IF($D137="","",IFERROR(INDEX(PacNome,MATCH($D137,PacCod,0)),"Paciente não cadastrado"))</f>
        <v>Paciente 031</v>
      </c>
      <c r="K137" s="26" t="str">
        <f>IF($D137="","",IFERROR(INDEX(PacConv,MATCH($D137,PacCod,0))&amp;"",""))</f>
        <v>Particular</v>
      </c>
      <c r="L137" s="26" t="str">
        <f>IF($A137="","",CHOOSE(WEEKDAY($A137,2),"Seg","Ter","Qua","Qui","Sex","Sáb","Dom"))</f>
        <v>Qua</v>
      </c>
      <c r="M137" s="27">
        <f>IF($E137="","",IF($G137&lt;&gt;"",$G137,IFERROR(INDEX(ProcValor,MATCH($E137,ProcNome,0)),0)))</f>
        <v>90</v>
      </c>
      <c r="N137" s="27">
        <f>IF($M137="","",IF($F137="Compareceu",$M137,0))</f>
        <v>0</v>
      </c>
      <c r="O137" s="27">
        <f>IF($M137="","",IF($F137="Faltou",$M137,0))</f>
        <v>90</v>
      </c>
      <c r="P137" s="27">
        <f>IF($M137="","",IF($F137="Compareceu",MAX(0,$M137-N($H137)),0))</f>
        <v>0</v>
      </c>
      <c r="Q137" s="19">
        <f>IF(AND($F137="Compareceu",$E137&lt;&gt;"",$A137&lt;&gt;""),IF(IFERROR(INDEX(ProcRet,MATCH($E137,ProcNome,0)),0)&gt;0,$A137+INDEX(ProcRet,MATCH($E137,ProcNome,0)),""),"")</f>
        <v>0</v>
      </c>
      <c r="R137" s="26">
        <f>IF($Q137="","",IF(COUNTIFS(AgPac,$D137,AgData,"&gt;"&amp;$A137,AgStatus,"&lt;&gt;Cancelado",AgStatus,"&lt;&gt;Remarcado")&gt;0,"Sim","Não"))</f>
        <v>0</v>
      </c>
      <c r="S137" s="28" t="str">
        <f>IF($A137="","",IF(AND($F137="Agendado",$A137-Hoje&gt;=0,$A137-Hoje&lt;=DiasConf),"CONFIRMAR",IF(AND($A137&lt;Hoje,OR($F137="Agendado",$F137="Confirmado")),"Atualizar status",IF(AND($F137="Compareceu",$P137&gt;0.005),"Cobrar",IF($F137="Faltou","Falta: reagendar","")))))</f>
        <v>Falta: reagendar</v>
      </c>
      <c r="T137" s="29">
        <f>IF($A137="","",DATE(YEAR($A137),MONTH($A137),1))</f>
        <v>46235.0</v>
      </c>
      <c r="U137" s="30">
        <f>IF($S137="CONFIRMAR",MAX($U$4:$U136)+1,"")</f>
        <v>0</v>
      </c>
      <c r="V137" s="30">
        <f>IF(AND($R137="Não",$Q137&lt;&gt;"",$Q137&lt;=Hoje+JanelaRet,$Q137&gt;=Hoje-60),MAX($V$4:$V136)+1,"")</f>
        <v>0</v>
      </c>
    </row>
    <row r="138" spans="1:22">
      <c r="A138" s="16">
        <v>46246</v>
      </c>
      <c r="B138" s="23">
        <v>0.5208333333333334</v>
      </c>
      <c r="C138" s="15" t="s">
        <v>51</v>
      </c>
      <c r="D138" s="15" t="s">
        <v>220</v>
      </c>
      <c r="E138" s="15" t="s">
        <v>61</v>
      </c>
      <c r="F138" s="24" t="s">
        <v>79</v>
      </c>
      <c r="G138" s="17">
        <v>72</v>
      </c>
      <c r="H138" s="17">
        <v>72</v>
      </c>
      <c r="I138" s="15" t="s">
        <v>71</v>
      </c>
      <c r="J138" s="25" t="str">
        <f>IF($D138="","",IFERROR(INDEX(PacNome,MATCH($D138,PacCod,0)),"Paciente não cadastrado"))</f>
        <v>Paciente 041</v>
      </c>
      <c r="K138" s="26" t="str">
        <f>IF($D138="","",IFERROR(INDEX(PacConv,MATCH($D138,PacCod,0))&amp;"",""))</f>
        <v>Convênio B</v>
      </c>
      <c r="L138" s="26" t="str">
        <f>IF($A138="","",CHOOSE(WEEKDAY($A138,2),"Seg","Ter","Qua","Qui","Sex","Sáb","Dom"))</f>
        <v>Qua</v>
      </c>
      <c r="M138" s="27">
        <f>IF($E138="","",IF($G138&lt;&gt;"",$G138,IFERROR(INDEX(ProcValor,MATCH($E138,ProcNome,0)),0)))</f>
        <v>72</v>
      </c>
      <c r="N138" s="27">
        <f>IF($M138="","",IF($F138="Compareceu",$M138,0))</f>
        <v>72</v>
      </c>
      <c r="O138" s="27">
        <f>IF($M138="","",IF($F138="Faltou",$M138,0))</f>
        <v>0</v>
      </c>
      <c r="P138" s="27">
        <f>IF($M138="","",IF($F138="Compareceu",MAX(0,$M138-N($H138)),0))</f>
        <v>0</v>
      </c>
      <c r="Q138" s="19">
        <f>IF(AND($F138="Compareceu",$E138&lt;&gt;"",$A138&lt;&gt;""),IF(IFERROR(INDEX(ProcRet,MATCH($E138,ProcNome,0)),0)&gt;0,$A138+INDEX(ProcRet,MATCH($E138,ProcNome,0)),""),"")</f>
        <v>46276.0</v>
      </c>
      <c r="R138" s="26" t="str">
        <f>IF($Q138="","",IF(COUNTIFS(AgPac,$D138,AgData,"&gt;"&amp;$A138,AgStatus,"&lt;&gt;Cancelado",AgStatus,"&lt;&gt;Remarcado")&gt;0,"Sim","Não"))</f>
        <v>Sim</v>
      </c>
      <c r="S138" s="28">
        <f>IF($A138="","",IF(AND($F138="Agendado",$A138-Hoje&gt;=0,$A138-Hoje&lt;=DiasConf),"CONFIRMAR",IF(AND($A138&lt;Hoje,OR($F138="Agendado",$F138="Confirmado")),"Atualizar status",IF(AND($F138="Compareceu",$P138&gt;0.005),"Cobrar",IF($F138="Faltou","Falta: reagendar","")))))</f>
        <v>0</v>
      </c>
      <c r="T138" s="29">
        <f>IF($A138="","",DATE(YEAR($A138),MONTH($A138),1))</f>
        <v>46235.0</v>
      </c>
      <c r="U138" s="30">
        <f>IF($S138="CONFIRMAR",MAX($U$4:$U137)+1,"")</f>
        <v>0</v>
      </c>
      <c r="V138" s="30">
        <f>IF(AND($R138="Não",$Q138&lt;&gt;"",$Q138&lt;=Hoje+JanelaRet,$Q138&gt;=Hoje-60),MAX($V$4:$V137)+1,"")</f>
        <v>0</v>
      </c>
    </row>
    <row r="139" spans="1:22">
      <c r="A139" s="16">
        <v>46246</v>
      </c>
      <c r="B139" s="23">
        <v>0.6666666666666666</v>
      </c>
      <c r="C139" s="15" t="s">
        <v>53</v>
      </c>
      <c r="D139" s="15" t="s">
        <v>136</v>
      </c>
      <c r="E139" s="15" t="s">
        <v>65</v>
      </c>
      <c r="F139" s="24" t="s">
        <v>79</v>
      </c>
      <c r="G139" s="17"/>
      <c r="H139" s="17">
        <v>130</v>
      </c>
      <c r="I139" s="15" t="s">
        <v>73</v>
      </c>
      <c r="J139" s="25" t="str">
        <f>IF($D139="","",IFERROR(INDEX(PacNome,MATCH($D139,PacCod,0)),"Paciente não cadastrado"))</f>
        <v>Paciente 013</v>
      </c>
      <c r="K139" s="26" t="str">
        <f>IF($D139="","",IFERROR(INDEX(PacConv,MATCH($D139,PacCod,0))&amp;"",""))</f>
        <v>Particular</v>
      </c>
      <c r="L139" s="26" t="str">
        <f>IF($A139="","",CHOOSE(WEEKDAY($A139,2),"Seg","Ter","Qua","Qui","Sex","Sáb","Dom"))</f>
        <v>Qua</v>
      </c>
      <c r="M139" s="27">
        <f>IF($E139="","",IF($G139&lt;&gt;"",$G139,IFERROR(INDEX(ProcValor,MATCH($E139,ProcNome,0)),0)))</f>
        <v>130</v>
      </c>
      <c r="N139" s="27">
        <f>IF($M139="","",IF($F139="Compareceu",$M139,0))</f>
        <v>130</v>
      </c>
      <c r="O139" s="27">
        <f>IF($M139="","",IF($F139="Faltou",$M139,0))</f>
        <v>0</v>
      </c>
      <c r="P139" s="27">
        <f>IF($M139="","",IF($F139="Compareceu",MAX(0,$M139-N($H139)),0))</f>
        <v>0</v>
      </c>
      <c r="Q139" s="19">
        <f>IF(AND($F139="Compareceu",$E139&lt;&gt;"",$A139&lt;&gt;""),IF(IFERROR(INDEX(ProcRet,MATCH($E139,ProcNome,0)),0)&gt;0,$A139+INDEX(ProcRet,MATCH($E139,ProcNome,0)),""),"")</f>
        <v>46336.0</v>
      </c>
      <c r="R139" s="26" t="str">
        <f>IF($Q139="","",IF(COUNTIFS(AgPac,$D139,AgData,"&gt;"&amp;$A139,AgStatus,"&lt;&gt;Cancelado",AgStatus,"&lt;&gt;Remarcado")&gt;0,"Sim","Não"))</f>
        <v>Sim</v>
      </c>
      <c r="S139" s="28">
        <f>IF($A139="","",IF(AND($F139="Agendado",$A139-Hoje&gt;=0,$A139-Hoje&lt;=DiasConf),"CONFIRMAR",IF(AND($A139&lt;Hoje,OR($F139="Agendado",$F139="Confirmado")),"Atualizar status",IF(AND($F139="Compareceu",$P139&gt;0.005),"Cobrar",IF($F139="Faltou","Falta: reagendar","")))))</f>
        <v>0</v>
      </c>
      <c r="T139" s="29">
        <f>IF($A139="","",DATE(YEAR($A139),MONTH($A139),1))</f>
        <v>46235.0</v>
      </c>
      <c r="U139" s="30">
        <f>IF($S139="CONFIRMAR",MAX($U$4:$U138)+1,"")</f>
        <v>0</v>
      </c>
      <c r="V139" s="30">
        <f>IF(AND($R139="Não",$Q139&lt;&gt;"",$Q139&lt;=Hoje+JanelaRet,$Q139&gt;=Hoje-60),MAX($V$4:$V138)+1,"")</f>
        <v>0</v>
      </c>
    </row>
    <row r="140" spans="1:22">
      <c r="A140" s="16">
        <v>46247</v>
      </c>
      <c r="B140" s="23">
        <v>0.3541666666666667</v>
      </c>
      <c r="C140" s="15" t="s">
        <v>51</v>
      </c>
      <c r="D140" s="15" t="s">
        <v>196</v>
      </c>
      <c r="E140" s="15" t="s">
        <v>64</v>
      </c>
      <c r="F140" s="24" t="s">
        <v>80</v>
      </c>
      <c r="G140" s="17"/>
      <c r="H140" s="17"/>
      <c r="I140" s="15"/>
      <c r="J140" s="25" t="str">
        <f>IF($D140="","",IFERROR(INDEX(PacNome,MATCH($D140,PacCod,0)),"Paciente não cadastrado"))</f>
        <v>Paciente 033</v>
      </c>
      <c r="K140" s="26" t="str">
        <f>IF($D140="","",IFERROR(INDEX(PacConv,MATCH($D140,PacCod,0))&amp;"",""))</f>
        <v>Convênio B</v>
      </c>
      <c r="L140" s="26" t="str">
        <f>IF($A140="","",CHOOSE(WEEKDAY($A140,2),"Seg","Ter","Qua","Qui","Sex","Sáb","Dom"))</f>
        <v>Qui</v>
      </c>
      <c r="M140" s="27">
        <f>IF($E140="","",IF($G140&lt;&gt;"",$G140,IFERROR(INDEX(ProcValor,MATCH($E140,ProcNome,0)),0)))</f>
        <v>90</v>
      </c>
      <c r="N140" s="27">
        <f>IF($M140="","",IF($F140="Compareceu",$M140,0))</f>
        <v>0</v>
      </c>
      <c r="O140" s="27">
        <f>IF($M140="","",IF($F140="Faltou",$M140,0))</f>
        <v>90</v>
      </c>
      <c r="P140" s="27">
        <f>IF($M140="","",IF($F140="Compareceu",MAX(0,$M140-N($H140)),0))</f>
        <v>0</v>
      </c>
      <c r="Q140" s="19">
        <f>IF(AND($F140="Compareceu",$E140&lt;&gt;"",$A140&lt;&gt;""),IF(IFERROR(INDEX(ProcRet,MATCH($E140,ProcNome,0)),0)&gt;0,$A140+INDEX(ProcRet,MATCH($E140,ProcNome,0)),""),"")</f>
        <v>0</v>
      </c>
      <c r="R140" s="26">
        <f>IF($Q140="","",IF(COUNTIFS(AgPac,$D140,AgData,"&gt;"&amp;$A140,AgStatus,"&lt;&gt;Cancelado",AgStatus,"&lt;&gt;Remarcado")&gt;0,"Sim","Não"))</f>
        <v>0</v>
      </c>
      <c r="S140" s="28" t="str">
        <f>IF($A140="","",IF(AND($F140="Agendado",$A140-Hoje&gt;=0,$A140-Hoje&lt;=DiasConf),"CONFIRMAR",IF(AND($A140&lt;Hoje,OR($F140="Agendado",$F140="Confirmado")),"Atualizar status",IF(AND($F140="Compareceu",$P140&gt;0.005),"Cobrar",IF($F140="Faltou","Falta: reagendar","")))))</f>
        <v>Falta: reagendar</v>
      </c>
      <c r="T140" s="29">
        <f>IF($A140="","",DATE(YEAR($A140),MONTH($A140),1))</f>
        <v>46235.0</v>
      </c>
      <c r="U140" s="30">
        <f>IF($S140="CONFIRMAR",MAX($U$4:$U139)+1,"")</f>
        <v>0</v>
      </c>
      <c r="V140" s="30">
        <f>IF(AND($R140="Não",$Q140&lt;&gt;"",$Q140&lt;=Hoje+JanelaRet,$Q140&gt;=Hoje-60),MAX($V$4:$V139)+1,"")</f>
        <v>0</v>
      </c>
    </row>
    <row r="141" spans="1:22">
      <c r="A141" s="16">
        <v>46247</v>
      </c>
      <c r="B141" s="23">
        <v>0.375</v>
      </c>
      <c r="C141" s="15" t="s">
        <v>52</v>
      </c>
      <c r="D141" s="15" t="s">
        <v>217</v>
      </c>
      <c r="E141" s="15" t="s">
        <v>60</v>
      </c>
      <c r="F141" s="24" t="s">
        <v>79</v>
      </c>
      <c r="G141" s="17"/>
      <c r="H141" s="17"/>
      <c r="I141" s="15"/>
      <c r="J141" s="25" t="str">
        <f>IF($D141="","",IFERROR(INDEX(PacNome,MATCH($D141,PacCod,0)),"Paciente não cadastrado"))</f>
        <v>Paciente 040</v>
      </c>
      <c r="K141" s="26" t="str">
        <f>IF($D141="","",IFERROR(INDEX(PacConv,MATCH($D141,PacCod,0))&amp;"",""))</f>
        <v>Particular</v>
      </c>
      <c r="L141" s="26" t="str">
        <f>IF($A141="","",CHOOSE(WEEKDAY($A141,2),"Seg","Ter","Qua","Qui","Sex","Sáb","Dom"))</f>
        <v>Qui</v>
      </c>
      <c r="M141" s="27">
        <f>IF($E141="","",IF($G141&lt;&gt;"",$G141,IFERROR(INDEX(ProcValor,MATCH($E141,ProcNome,0)),0)))</f>
        <v>180</v>
      </c>
      <c r="N141" s="27">
        <f>IF($M141="","",IF($F141="Compareceu",$M141,0))</f>
        <v>180</v>
      </c>
      <c r="O141" s="27">
        <f>IF($M141="","",IF($F141="Faltou",$M141,0))</f>
        <v>0</v>
      </c>
      <c r="P141" s="27">
        <f>IF($M141="","",IF($F141="Compareceu",MAX(0,$M141-N($H141)),0))</f>
        <v>180</v>
      </c>
      <c r="Q141" s="19">
        <f>IF(AND($F141="Compareceu",$E141&lt;&gt;"",$A141&lt;&gt;""),IF(IFERROR(INDEX(ProcRet,MATCH($E141,ProcNome,0)),0)&gt;0,$A141+INDEX(ProcRet,MATCH($E141,ProcNome,0)),""),"")</f>
        <v>46427.0</v>
      </c>
      <c r="R141" s="26" t="str">
        <f>IF($Q141="","",IF(COUNTIFS(AgPac,$D141,AgData,"&gt;"&amp;$A141,AgStatus,"&lt;&gt;Cancelado",AgStatus,"&lt;&gt;Remarcado")&gt;0,"Sim","Não"))</f>
        <v>Sim</v>
      </c>
      <c r="S141" s="28" t="str">
        <f>IF($A141="","",IF(AND($F141="Agendado",$A141-Hoje&gt;=0,$A141-Hoje&lt;=DiasConf),"CONFIRMAR",IF(AND($A141&lt;Hoje,OR($F141="Agendado",$F141="Confirmado")),"Atualizar status",IF(AND($F141="Compareceu",$P141&gt;0.005),"Cobrar",IF($F141="Faltou","Falta: reagendar","")))))</f>
        <v>Cobrar</v>
      </c>
      <c r="T141" s="29">
        <f>IF($A141="","",DATE(YEAR($A141),MONTH($A141),1))</f>
        <v>46235.0</v>
      </c>
      <c r="U141" s="30">
        <f>IF($S141="CONFIRMAR",MAX($U$4:$U140)+1,"")</f>
        <v>0</v>
      </c>
      <c r="V141" s="30">
        <f>IF(AND($R141="Não",$Q141&lt;&gt;"",$Q141&lt;=Hoje+JanelaRet,$Q141&gt;=Hoje-60),MAX($V$4:$V140)+1,"")</f>
        <v>0</v>
      </c>
    </row>
    <row r="142" spans="1:22">
      <c r="A142" s="16">
        <v>46247</v>
      </c>
      <c r="B142" s="23">
        <v>0.5</v>
      </c>
      <c r="C142" s="15" t="s">
        <v>54</v>
      </c>
      <c r="D142" s="15" t="s">
        <v>235</v>
      </c>
      <c r="E142" s="15" t="s">
        <v>63</v>
      </c>
      <c r="F142" s="24" t="s">
        <v>79</v>
      </c>
      <c r="G142" s="17">
        <v>84</v>
      </c>
      <c r="H142" s="17">
        <v>84</v>
      </c>
      <c r="I142" s="15" t="s">
        <v>75</v>
      </c>
      <c r="J142" s="25" t="str">
        <f>IF($D142="","",IFERROR(INDEX(PacNome,MATCH($D142,PacCod,0)),"Paciente não cadastrado"))</f>
        <v>Paciente 046</v>
      </c>
      <c r="K142" s="26" t="str">
        <f>IF($D142="","",IFERROR(INDEX(PacConv,MATCH($D142,PacCod,0))&amp;"",""))</f>
        <v>Convênio A</v>
      </c>
      <c r="L142" s="26" t="str">
        <f>IF($A142="","",CHOOSE(WEEKDAY($A142,2),"Seg","Ter","Qua","Qui","Sex","Sáb","Dom"))</f>
        <v>Qui</v>
      </c>
      <c r="M142" s="27">
        <f>IF($E142="","",IF($G142&lt;&gt;"",$G142,IFERROR(INDEX(ProcValor,MATCH($E142,ProcNome,0)),0)))</f>
        <v>84</v>
      </c>
      <c r="N142" s="27">
        <f>IF($M142="","",IF($F142="Compareceu",$M142,0))</f>
        <v>84</v>
      </c>
      <c r="O142" s="27">
        <f>IF($M142="","",IF($F142="Faltou",$M142,0))</f>
        <v>0</v>
      </c>
      <c r="P142" s="27">
        <f>IF($M142="","",IF($F142="Compareceu",MAX(0,$M142-N($H142)),0))</f>
        <v>0</v>
      </c>
      <c r="Q142" s="19">
        <f>IF(AND($F142="Compareceu",$E142&lt;&gt;"",$A142&lt;&gt;""),IF(IFERROR(INDEX(ProcRet,MATCH($E142,ProcNome,0)),0)&gt;0,$A142+INDEX(ProcRet,MATCH($E142,ProcNome,0)),""),"")</f>
        <v>46254.0</v>
      </c>
      <c r="R142" s="26" t="str">
        <f>IF($Q142="","",IF(COUNTIFS(AgPac,$D142,AgData,"&gt;"&amp;$A142,AgStatus,"&lt;&gt;Cancelado",AgStatus,"&lt;&gt;Remarcado")&gt;0,"Sim","Não"))</f>
        <v>Sim</v>
      </c>
      <c r="S142" s="28">
        <f>IF($A142="","",IF(AND($F142="Agendado",$A142-Hoje&gt;=0,$A142-Hoje&lt;=DiasConf),"CONFIRMAR",IF(AND($A142&lt;Hoje,OR($F142="Agendado",$F142="Confirmado")),"Atualizar status",IF(AND($F142="Compareceu",$P142&gt;0.005),"Cobrar",IF($F142="Faltou","Falta: reagendar","")))))</f>
        <v>0</v>
      </c>
      <c r="T142" s="29">
        <f>IF($A142="","",DATE(YEAR($A142),MONTH($A142),1))</f>
        <v>46235.0</v>
      </c>
      <c r="U142" s="30">
        <f>IF($S142="CONFIRMAR",MAX($U$4:$U141)+1,"")</f>
        <v>0</v>
      </c>
      <c r="V142" s="30">
        <f>IF(AND($R142="Não",$Q142&lt;&gt;"",$Q142&lt;=Hoje+JanelaRet,$Q142&gt;=Hoje-60),MAX($V$4:$V141)+1,"")</f>
        <v>0</v>
      </c>
    </row>
    <row r="143" spans="1:22">
      <c r="A143" s="16">
        <v>46247</v>
      </c>
      <c r="B143" s="23">
        <v>0.6041666666666666</v>
      </c>
      <c r="C143" s="15" t="s">
        <v>52</v>
      </c>
      <c r="D143" s="15" t="s">
        <v>106</v>
      </c>
      <c r="E143" s="15" t="s">
        <v>59</v>
      </c>
      <c r="F143" s="24" t="s">
        <v>80</v>
      </c>
      <c r="G143" s="17"/>
      <c r="H143" s="17"/>
      <c r="I143" s="15"/>
      <c r="J143" s="25" t="str">
        <f>IF($D143="","",IFERROR(INDEX(PacNome,MATCH($D143,PacCod,0)),"Paciente não cadastrado"))</f>
        <v>Paciente 003</v>
      </c>
      <c r="K143" s="26" t="str">
        <f>IF($D143="","",IFERROR(INDEX(PacConv,MATCH($D143,PacCod,0))&amp;"",""))</f>
        <v>Particular</v>
      </c>
      <c r="L143" s="26" t="str">
        <f>IF($A143="","",CHOOSE(WEEKDAY($A143,2),"Seg","Ter","Qua","Qui","Sex","Sáb","Dom"))</f>
        <v>Qui</v>
      </c>
      <c r="M143" s="27">
        <f>IF($E143="","",IF($G143&lt;&gt;"",$G143,IFERROR(INDEX(ProcValor,MATCH($E143,ProcNome,0)),0)))</f>
        <v>150</v>
      </c>
      <c r="N143" s="27">
        <f>IF($M143="","",IF($F143="Compareceu",$M143,0))</f>
        <v>0</v>
      </c>
      <c r="O143" s="27">
        <f>IF($M143="","",IF($F143="Faltou",$M143,0))</f>
        <v>150</v>
      </c>
      <c r="P143" s="27">
        <f>IF($M143="","",IF($F143="Compareceu",MAX(0,$M143-N($H143)),0))</f>
        <v>0</v>
      </c>
      <c r="Q143" s="19">
        <f>IF(AND($F143="Compareceu",$E143&lt;&gt;"",$A143&lt;&gt;""),IF(IFERROR(INDEX(ProcRet,MATCH($E143,ProcNome,0)),0)&gt;0,$A143+INDEX(ProcRet,MATCH($E143,ProcNome,0)),""),"")</f>
        <v>0</v>
      </c>
      <c r="R143" s="26">
        <f>IF($Q143="","",IF(COUNTIFS(AgPac,$D143,AgData,"&gt;"&amp;$A143,AgStatus,"&lt;&gt;Cancelado",AgStatus,"&lt;&gt;Remarcado")&gt;0,"Sim","Não"))</f>
        <v>0</v>
      </c>
      <c r="S143" s="28" t="str">
        <f>IF($A143="","",IF(AND($F143="Agendado",$A143-Hoje&gt;=0,$A143-Hoje&lt;=DiasConf),"CONFIRMAR",IF(AND($A143&lt;Hoje,OR($F143="Agendado",$F143="Confirmado")),"Atualizar status",IF(AND($F143="Compareceu",$P143&gt;0.005),"Cobrar",IF($F143="Faltou","Falta: reagendar","")))))</f>
        <v>Falta: reagendar</v>
      </c>
      <c r="T143" s="29">
        <f>IF($A143="","",DATE(YEAR($A143),MONTH($A143),1))</f>
        <v>46235.0</v>
      </c>
      <c r="U143" s="30">
        <f>IF($S143="CONFIRMAR",MAX($U$4:$U142)+1,"")</f>
        <v>0</v>
      </c>
      <c r="V143" s="30">
        <f>IF(AND($R143="Não",$Q143&lt;&gt;"",$Q143&lt;=Hoje+JanelaRet,$Q143&gt;=Hoje-60),MAX($V$4:$V142)+1,"")</f>
        <v>0</v>
      </c>
    </row>
    <row r="144" spans="1:22">
      <c r="A144" s="16">
        <v>46248</v>
      </c>
      <c r="B144" s="23">
        <v>0.3333333333333333</v>
      </c>
      <c r="C144" s="15" t="s">
        <v>53</v>
      </c>
      <c r="D144" s="15" t="s">
        <v>220</v>
      </c>
      <c r="E144" s="15" t="s">
        <v>63</v>
      </c>
      <c r="F144" s="24" t="s">
        <v>79</v>
      </c>
      <c r="G144" s="17">
        <v>84</v>
      </c>
      <c r="H144" s="17">
        <v>84</v>
      </c>
      <c r="I144" s="15" t="s">
        <v>73</v>
      </c>
      <c r="J144" s="25" t="str">
        <f>IF($D144="","",IFERROR(INDEX(PacNome,MATCH($D144,PacCod,0)),"Paciente não cadastrado"))</f>
        <v>Paciente 041</v>
      </c>
      <c r="K144" s="26" t="str">
        <f>IF($D144="","",IFERROR(INDEX(PacConv,MATCH($D144,PacCod,0))&amp;"",""))</f>
        <v>Convênio B</v>
      </c>
      <c r="L144" s="26" t="str">
        <f>IF($A144="","",CHOOSE(WEEKDAY($A144,2),"Seg","Ter","Qua","Qui","Sex","Sáb","Dom"))</f>
        <v>Sex</v>
      </c>
      <c r="M144" s="27">
        <f>IF($E144="","",IF($G144&lt;&gt;"",$G144,IFERROR(INDEX(ProcValor,MATCH($E144,ProcNome,0)),0)))</f>
        <v>84</v>
      </c>
      <c r="N144" s="27">
        <f>IF($M144="","",IF($F144="Compareceu",$M144,0))</f>
        <v>84</v>
      </c>
      <c r="O144" s="27">
        <f>IF($M144="","",IF($F144="Faltou",$M144,0))</f>
        <v>0</v>
      </c>
      <c r="P144" s="27">
        <f>IF($M144="","",IF($F144="Compareceu",MAX(0,$M144-N($H144)),0))</f>
        <v>0</v>
      </c>
      <c r="Q144" s="19">
        <f>IF(AND($F144="Compareceu",$E144&lt;&gt;"",$A144&lt;&gt;""),IF(IFERROR(INDEX(ProcRet,MATCH($E144,ProcNome,0)),0)&gt;0,$A144+INDEX(ProcRet,MATCH($E144,ProcNome,0)),""),"")</f>
        <v>46255.0</v>
      </c>
      <c r="R144" s="26" t="str">
        <f>IF($Q144="","",IF(COUNTIFS(AgPac,$D144,AgData,"&gt;"&amp;$A144,AgStatus,"&lt;&gt;Cancelado",AgStatus,"&lt;&gt;Remarcado")&gt;0,"Sim","Não"))</f>
        <v>Sim</v>
      </c>
      <c r="S144" s="28">
        <f>IF($A144="","",IF(AND($F144="Agendado",$A144-Hoje&gt;=0,$A144-Hoje&lt;=DiasConf),"CONFIRMAR",IF(AND($A144&lt;Hoje,OR($F144="Agendado",$F144="Confirmado")),"Atualizar status",IF(AND($F144="Compareceu",$P144&gt;0.005),"Cobrar",IF($F144="Faltou","Falta: reagendar","")))))</f>
        <v>0</v>
      </c>
      <c r="T144" s="29">
        <f>IF($A144="","",DATE(YEAR($A144),MONTH($A144),1))</f>
        <v>46235.0</v>
      </c>
      <c r="U144" s="30">
        <f>IF($S144="CONFIRMAR",MAX($U$4:$U143)+1,"")</f>
        <v>0</v>
      </c>
      <c r="V144" s="30">
        <f>IF(AND($R144="Não",$Q144&lt;&gt;"",$Q144&lt;=Hoje+JanelaRet,$Q144&gt;=Hoje-60),MAX($V$4:$V143)+1,"")</f>
        <v>0</v>
      </c>
    </row>
    <row r="145" spans="1:22">
      <c r="A145" s="16">
        <v>46248</v>
      </c>
      <c r="B145" s="23">
        <v>0.3958333333333333</v>
      </c>
      <c r="C145" s="15" t="s">
        <v>52</v>
      </c>
      <c r="D145" s="15" t="s">
        <v>115</v>
      </c>
      <c r="E145" s="15" t="s">
        <v>62</v>
      </c>
      <c r="F145" s="24" t="s">
        <v>79</v>
      </c>
      <c r="G145" s="17">
        <v>210</v>
      </c>
      <c r="H145" s="17">
        <v>210</v>
      </c>
      <c r="I145" s="15" t="s">
        <v>73</v>
      </c>
      <c r="J145" s="25" t="str">
        <f>IF($D145="","",IFERROR(INDEX(PacNome,MATCH($D145,PacCod,0)),"Paciente não cadastrado"))</f>
        <v>Paciente 006</v>
      </c>
      <c r="K145" s="26" t="str">
        <f>IF($D145="","",IFERROR(INDEX(PacConv,MATCH($D145,PacCod,0))&amp;"",""))</f>
        <v>Convênio B</v>
      </c>
      <c r="L145" s="26" t="str">
        <f>IF($A145="","",CHOOSE(WEEKDAY($A145,2),"Seg","Ter","Qua","Qui","Sex","Sáb","Dom"))</f>
        <v>Sex</v>
      </c>
      <c r="M145" s="27">
        <f>IF($E145="","",IF($G145&lt;&gt;"",$G145,IFERROR(INDEX(ProcValor,MATCH($E145,ProcNome,0)),0)))</f>
        <v>210</v>
      </c>
      <c r="N145" s="27">
        <f>IF($M145="","",IF($F145="Compareceu",$M145,0))</f>
        <v>210</v>
      </c>
      <c r="O145" s="27">
        <f>IF($M145="","",IF($F145="Faltou",$M145,0))</f>
        <v>0</v>
      </c>
      <c r="P145" s="27">
        <f>IF($M145="","",IF($F145="Compareceu",MAX(0,$M145-N($H145)),0))</f>
        <v>0</v>
      </c>
      <c r="Q145" s="19">
        <f>IF(AND($F145="Compareceu",$E145&lt;&gt;"",$A145&lt;&gt;""),IF(IFERROR(INDEX(ProcRet,MATCH($E145,ProcNome,0)),0)&gt;0,$A145+INDEX(ProcRet,MATCH($E145,ProcNome,0)),""),"")</f>
        <v>46263.0</v>
      </c>
      <c r="R145" s="26" t="str">
        <f>IF($Q145="","",IF(COUNTIFS(AgPac,$D145,AgData,"&gt;"&amp;$A145,AgStatus,"&lt;&gt;Cancelado",AgStatus,"&lt;&gt;Remarcado")&gt;0,"Sim","Não"))</f>
        <v>Sim</v>
      </c>
      <c r="S145" s="28">
        <f>IF($A145="","",IF(AND($F145="Agendado",$A145-Hoje&gt;=0,$A145-Hoje&lt;=DiasConf),"CONFIRMAR",IF(AND($A145&lt;Hoje,OR($F145="Agendado",$F145="Confirmado")),"Atualizar status",IF(AND($F145="Compareceu",$P145&gt;0.005),"Cobrar",IF($F145="Faltou","Falta: reagendar","")))))</f>
        <v>0</v>
      </c>
      <c r="T145" s="29">
        <f>IF($A145="","",DATE(YEAR($A145),MONTH($A145),1))</f>
        <v>46235.0</v>
      </c>
      <c r="U145" s="30">
        <f>IF($S145="CONFIRMAR",MAX($U$4:$U144)+1,"")</f>
        <v>0</v>
      </c>
      <c r="V145" s="30">
        <f>IF(AND($R145="Não",$Q145&lt;&gt;"",$Q145&lt;=Hoje+JanelaRet,$Q145&gt;=Hoje-60),MAX($V$4:$V144)+1,"")</f>
        <v>0</v>
      </c>
    </row>
    <row r="146" spans="1:22">
      <c r="A146" s="16">
        <v>46248</v>
      </c>
      <c r="B146" s="23">
        <v>0.4583333333333333</v>
      </c>
      <c r="C146" s="15" t="s">
        <v>54</v>
      </c>
      <c r="D146" s="15" t="s">
        <v>163</v>
      </c>
      <c r="E146" s="15" t="s">
        <v>63</v>
      </c>
      <c r="F146" s="24" t="s">
        <v>79</v>
      </c>
      <c r="G146" s="17">
        <v>84</v>
      </c>
      <c r="H146" s="17">
        <v>84</v>
      </c>
      <c r="I146" s="15" t="s">
        <v>72</v>
      </c>
      <c r="J146" s="25" t="str">
        <f>IF($D146="","",IFERROR(INDEX(PacNome,MATCH($D146,PacCod,0)),"Paciente não cadastrado"))</f>
        <v>Paciente 022</v>
      </c>
      <c r="K146" s="26" t="str">
        <f>IF($D146="","",IFERROR(INDEX(PacConv,MATCH($D146,PacCod,0))&amp;"",""))</f>
        <v>Convênio A</v>
      </c>
      <c r="L146" s="26" t="str">
        <f>IF($A146="","",CHOOSE(WEEKDAY($A146,2),"Seg","Ter","Qua","Qui","Sex","Sáb","Dom"))</f>
        <v>Sex</v>
      </c>
      <c r="M146" s="27">
        <f>IF($E146="","",IF($G146&lt;&gt;"",$G146,IFERROR(INDEX(ProcValor,MATCH($E146,ProcNome,0)),0)))</f>
        <v>84</v>
      </c>
      <c r="N146" s="27">
        <f>IF($M146="","",IF($F146="Compareceu",$M146,0))</f>
        <v>84</v>
      </c>
      <c r="O146" s="27">
        <f>IF($M146="","",IF($F146="Faltou",$M146,0))</f>
        <v>0</v>
      </c>
      <c r="P146" s="27">
        <f>IF($M146="","",IF($F146="Compareceu",MAX(0,$M146-N($H146)),0))</f>
        <v>0</v>
      </c>
      <c r="Q146" s="19">
        <f>IF(AND($F146="Compareceu",$E146&lt;&gt;"",$A146&lt;&gt;""),IF(IFERROR(INDEX(ProcRet,MATCH($E146,ProcNome,0)),0)&gt;0,$A146+INDEX(ProcRet,MATCH($E146,ProcNome,0)),""),"")</f>
        <v>46255.0</v>
      </c>
      <c r="R146" s="26" t="str">
        <f>IF($Q146="","",IF(COUNTIFS(AgPac,$D146,AgData,"&gt;"&amp;$A146,AgStatus,"&lt;&gt;Cancelado",AgStatus,"&lt;&gt;Remarcado")&gt;0,"Sim","Não"))</f>
        <v>Sim</v>
      </c>
      <c r="S146" s="28">
        <f>IF($A146="","",IF(AND($F146="Agendado",$A146-Hoje&gt;=0,$A146-Hoje&lt;=DiasConf),"CONFIRMAR",IF(AND($A146&lt;Hoje,OR($F146="Agendado",$F146="Confirmado")),"Atualizar status",IF(AND($F146="Compareceu",$P146&gt;0.005),"Cobrar",IF($F146="Faltou","Falta: reagendar","")))))</f>
        <v>0</v>
      </c>
      <c r="T146" s="29">
        <f>IF($A146="","",DATE(YEAR($A146),MONTH($A146),1))</f>
        <v>46235.0</v>
      </c>
      <c r="U146" s="30">
        <f>IF($S146="CONFIRMAR",MAX($U$4:$U145)+1,"")</f>
        <v>0</v>
      </c>
      <c r="V146" s="30">
        <f>IF(AND($R146="Não",$Q146&lt;&gt;"",$Q146&lt;=Hoje+JanelaRet,$Q146&gt;=Hoje-60),MAX($V$4:$V145)+1,"")</f>
        <v>0</v>
      </c>
    </row>
    <row r="147" spans="1:22">
      <c r="A147" s="16">
        <v>46248</v>
      </c>
      <c r="B147" s="23">
        <v>0.6875</v>
      </c>
      <c r="C147" s="15" t="s">
        <v>51</v>
      </c>
      <c r="D147" s="15" t="s">
        <v>166</v>
      </c>
      <c r="E147" s="15" t="s">
        <v>61</v>
      </c>
      <c r="F147" s="24" t="s">
        <v>80</v>
      </c>
      <c r="G147" s="17"/>
      <c r="H147" s="17"/>
      <c r="I147" s="15"/>
      <c r="J147" s="25" t="str">
        <f>IF($D147="","",IFERROR(INDEX(PacNome,MATCH($D147,PacCod,0)),"Paciente não cadastrado"))</f>
        <v>Paciente 023</v>
      </c>
      <c r="K147" s="26" t="str">
        <f>IF($D147="","",IFERROR(INDEX(PacConv,MATCH($D147,PacCod,0))&amp;"",""))</f>
        <v>Particular</v>
      </c>
      <c r="L147" s="26" t="str">
        <f>IF($A147="","",CHOOSE(WEEKDAY($A147,2),"Seg","Ter","Qua","Qui","Sex","Sáb","Dom"))</f>
        <v>Sex</v>
      </c>
      <c r="M147" s="27">
        <f>IF($E147="","",IF($G147&lt;&gt;"",$G147,IFERROR(INDEX(ProcValor,MATCH($E147,ProcNome,0)),0)))</f>
        <v>120</v>
      </c>
      <c r="N147" s="27">
        <f>IF($M147="","",IF($F147="Compareceu",$M147,0))</f>
        <v>0</v>
      </c>
      <c r="O147" s="27">
        <f>IF($M147="","",IF($F147="Faltou",$M147,0))</f>
        <v>120</v>
      </c>
      <c r="P147" s="27">
        <f>IF($M147="","",IF($F147="Compareceu",MAX(0,$M147-N($H147)),0))</f>
        <v>0</v>
      </c>
      <c r="Q147" s="19">
        <f>IF(AND($F147="Compareceu",$E147&lt;&gt;"",$A147&lt;&gt;""),IF(IFERROR(INDEX(ProcRet,MATCH($E147,ProcNome,0)),0)&gt;0,$A147+INDEX(ProcRet,MATCH($E147,ProcNome,0)),""),"")</f>
        <v>0</v>
      </c>
      <c r="R147" s="26">
        <f>IF($Q147="","",IF(COUNTIFS(AgPac,$D147,AgData,"&gt;"&amp;$A147,AgStatus,"&lt;&gt;Cancelado",AgStatus,"&lt;&gt;Remarcado")&gt;0,"Sim","Não"))</f>
        <v>0</v>
      </c>
      <c r="S147" s="28" t="str">
        <f>IF($A147="","",IF(AND($F147="Agendado",$A147-Hoje&gt;=0,$A147-Hoje&lt;=DiasConf),"CONFIRMAR",IF(AND($A147&lt;Hoje,OR($F147="Agendado",$F147="Confirmado")),"Atualizar status",IF(AND($F147="Compareceu",$P147&gt;0.005),"Cobrar",IF($F147="Faltou","Falta: reagendar","")))))</f>
        <v>Falta: reagendar</v>
      </c>
      <c r="T147" s="29">
        <f>IF($A147="","",DATE(YEAR($A147),MONTH($A147),1))</f>
        <v>46235.0</v>
      </c>
      <c r="U147" s="30">
        <f>IF($S147="CONFIRMAR",MAX($U$4:$U146)+1,"")</f>
        <v>0</v>
      </c>
      <c r="V147" s="30">
        <f>IF(AND($R147="Não",$Q147&lt;&gt;"",$Q147&lt;=Hoje+JanelaRet,$Q147&gt;=Hoje-60),MAX($V$4:$V146)+1,"")</f>
        <v>0</v>
      </c>
    </row>
    <row r="148" spans="1:22">
      <c r="A148" s="16">
        <v>46248</v>
      </c>
      <c r="B148" s="23">
        <v>0.7083333333333334</v>
      </c>
      <c r="C148" s="15" t="s">
        <v>52</v>
      </c>
      <c r="D148" s="15" t="s">
        <v>202</v>
      </c>
      <c r="E148" s="15" t="s">
        <v>58</v>
      </c>
      <c r="F148" s="24" t="s">
        <v>79</v>
      </c>
      <c r="G148" s="17"/>
      <c r="H148" s="17">
        <v>250</v>
      </c>
      <c r="I148" s="15" t="s">
        <v>74</v>
      </c>
      <c r="J148" s="25" t="str">
        <f>IF($D148="","",IFERROR(INDEX(PacNome,MATCH($D148,PacCod,0)),"Paciente não cadastrado"))</f>
        <v>Paciente 035</v>
      </c>
      <c r="K148" s="26" t="str">
        <f>IF($D148="","",IFERROR(INDEX(PacConv,MATCH($D148,PacCod,0))&amp;"",""))</f>
        <v>Particular</v>
      </c>
      <c r="L148" s="26" t="str">
        <f>IF($A148="","",CHOOSE(WEEKDAY($A148,2),"Seg","Ter","Qua","Qui","Sex","Sáb","Dom"))</f>
        <v>Sex</v>
      </c>
      <c r="M148" s="27">
        <f>IF($E148="","",IF($G148&lt;&gt;"",$G148,IFERROR(INDEX(ProcValor,MATCH($E148,ProcNome,0)),0)))</f>
        <v>250</v>
      </c>
      <c r="N148" s="27">
        <f>IF($M148="","",IF($F148="Compareceu",$M148,0))</f>
        <v>250</v>
      </c>
      <c r="O148" s="27">
        <f>IF($M148="","",IF($F148="Faltou",$M148,0))</f>
        <v>0</v>
      </c>
      <c r="P148" s="27">
        <f>IF($M148="","",IF($F148="Compareceu",MAX(0,$M148-N($H148)),0))</f>
        <v>0</v>
      </c>
      <c r="Q148" s="19">
        <f>IF(AND($F148="Compareceu",$E148&lt;&gt;"",$A148&lt;&gt;""),IF(IFERROR(INDEX(ProcRet,MATCH($E148,ProcNome,0)),0)&gt;0,$A148+INDEX(ProcRet,MATCH($E148,ProcNome,0)),""),"")</f>
        <v>0</v>
      </c>
      <c r="R148" s="26">
        <f>IF($Q148="","",IF(COUNTIFS(AgPac,$D148,AgData,"&gt;"&amp;$A148,AgStatus,"&lt;&gt;Cancelado",AgStatus,"&lt;&gt;Remarcado")&gt;0,"Sim","Não"))</f>
        <v>0</v>
      </c>
      <c r="S148" s="28">
        <f>IF($A148="","",IF(AND($F148="Agendado",$A148-Hoje&gt;=0,$A148-Hoje&lt;=DiasConf),"CONFIRMAR",IF(AND($A148&lt;Hoje,OR($F148="Agendado",$F148="Confirmado")),"Atualizar status",IF(AND($F148="Compareceu",$P148&gt;0.005),"Cobrar",IF($F148="Faltou","Falta: reagendar","")))))</f>
        <v>0</v>
      </c>
      <c r="T148" s="29">
        <f>IF($A148="","",DATE(YEAR($A148),MONTH($A148),1))</f>
        <v>46235.0</v>
      </c>
      <c r="U148" s="30">
        <f>IF($S148="CONFIRMAR",MAX($U$4:$U147)+1,"")</f>
        <v>0</v>
      </c>
      <c r="V148" s="30">
        <f>IF(AND($R148="Não",$Q148&lt;&gt;"",$Q148&lt;=Hoje+JanelaRet,$Q148&gt;=Hoje-60),MAX($V$4:$V147)+1,"")</f>
        <v>0</v>
      </c>
    </row>
    <row r="149" spans="1:22">
      <c r="A149" s="16">
        <v>46249</v>
      </c>
      <c r="B149" s="23">
        <v>0.4375</v>
      </c>
      <c r="C149" s="15" t="s">
        <v>52</v>
      </c>
      <c r="D149" s="15" t="s">
        <v>157</v>
      </c>
      <c r="E149" s="15" t="s">
        <v>63</v>
      </c>
      <c r="F149" s="24" t="s">
        <v>79</v>
      </c>
      <c r="G149" s="17"/>
      <c r="H149" s="17">
        <v>140</v>
      </c>
      <c r="I149" s="15" t="s">
        <v>73</v>
      </c>
      <c r="J149" s="25" t="str">
        <f>IF($D149="","",IFERROR(INDEX(PacNome,MATCH($D149,PacCod,0)),"Paciente não cadastrado"))</f>
        <v>Paciente 020</v>
      </c>
      <c r="K149" s="26" t="str">
        <f>IF($D149="","",IFERROR(INDEX(PacConv,MATCH($D149,PacCod,0))&amp;"",""))</f>
        <v>Particular</v>
      </c>
      <c r="L149" s="26" t="str">
        <f>IF($A149="","",CHOOSE(WEEKDAY($A149,2),"Seg","Ter","Qua","Qui","Sex","Sáb","Dom"))</f>
        <v>Sáb</v>
      </c>
      <c r="M149" s="27">
        <f>IF($E149="","",IF($G149&lt;&gt;"",$G149,IFERROR(INDEX(ProcValor,MATCH($E149,ProcNome,0)),0)))</f>
        <v>140</v>
      </c>
      <c r="N149" s="27">
        <f>IF($M149="","",IF($F149="Compareceu",$M149,0))</f>
        <v>140</v>
      </c>
      <c r="O149" s="27">
        <f>IF($M149="","",IF($F149="Faltou",$M149,0))</f>
        <v>0</v>
      </c>
      <c r="P149" s="27">
        <f>IF($M149="","",IF($F149="Compareceu",MAX(0,$M149-N($H149)),0))</f>
        <v>0</v>
      </c>
      <c r="Q149" s="19">
        <f>IF(AND($F149="Compareceu",$E149&lt;&gt;"",$A149&lt;&gt;""),IF(IFERROR(INDEX(ProcRet,MATCH($E149,ProcNome,0)),0)&gt;0,$A149+INDEX(ProcRet,MATCH($E149,ProcNome,0)),""),"")</f>
        <v>46256.0</v>
      </c>
      <c r="R149" s="26" t="str">
        <f>IF($Q149="","",IF(COUNTIFS(AgPac,$D149,AgData,"&gt;"&amp;$A149,AgStatus,"&lt;&gt;Cancelado",AgStatus,"&lt;&gt;Remarcado")&gt;0,"Sim","Não"))</f>
        <v>Sim</v>
      </c>
      <c r="S149" s="28">
        <f>IF($A149="","",IF(AND($F149="Agendado",$A149-Hoje&gt;=0,$A149-Hoje&lt;=DiasConf),"CONFIRMAR",IF(AND($A149&lt;Hoje,OR($F149="Agendado",$F149="Confirmado")),"Atualizar status",IF(AND($F149="Compareceu",$P149&gt;0.005),"Cobrar",IF($F149="Faltou","Falta: reagendar","")))))</f>
        <v>0</v>
      </c>
      <c r="T149" s="29">
        <f>IF($A149="","",DATE(YEAR($A149),MONTH($A149),1))</f>
        <v>46235.0</v>
      </c>
      <c r="U149" s="30">
        <f>IF($S149="CONFIRMAR",MAX($U$4:$U148)+1,"")</f>
        <v>0</v>
      </c>
      <c r="V149" s="30">
        <f>IF(AND($R149="Não",$Q149&lt;&gt;"",$Q149&lt;=Hoje+JanelaRet,$Q149&gt;=Hoje-60),MAX($V$4:$V148)+1,"")</f>
        <v>0</v>
      </c>
    </row>
    <row r="150" spans="1:22">
      <c r="A150" s="16">
        <v>46249</v>
      </c>
      <c r="B150" s="23">
        <v>0.4791666666666667</v>
      </c>
      <c r="C150" s="15" t="s">
        <v>53</v>
      </c>
      <c r="D150" s="15" t="s">
        <v>208</v>
      </c>
      <c r="E150" s="15" t="s">
        <v>60</v>
      </c>
      <c r="F150" s="24" t="s">
        <v>79</v>
      </c>
      <c r="G150" s="17">
        <v>108</v>
      </c>
      <c r="H150" s="17">
        <v>108</v>
      </c>
      <c r="I150" s="15" t="s">
        <v>72</v>
      </c>
      <c r="J150" s="25" t="str">
        <f>IF($D150="","",IFERROR(INDEX(PacNome,MATCH($D150,PacCod,0)),"Paciente não cadastrado"))</f>
        <v>Paciente 037</v>
      </c>
      <c r="K150" s="26" t="str">
        <f>IF($D150="","",IFERROR(INDEX(PacConv,MATCH($D150,PacCod,0))&amp;"",""))</f>
        <v>Convênio B</v>
      </c>
      <c r="L150" s="26" t="str">
        <f>IF($A150="","",CHOOSE(WEEKDAY($A150,2),"Seg","Ter","Qua","Qui","Sex","Sáb","Dom"))</f>
        <v>Sáb</v>
      </c>
      <c r="M150" s="27">
        <f>IF($E150="","",IF($G150&lt;&gt;"",$G150,IFERROR(INDEX(ProcValor,MATCH($E150,ProcNome,0)),0)))</f>
        <v>108</v>
      </c>
      <c r="N150" s="27">
        <f>IF($M150="","",IF($F150="Compareceu",$M150,0))</f>
        <v>108</v>
      </c>
      <c r="O150" s="27">
        <f>IF($M150="","",IF($F150="Faltou",$M150,0))</f>
        <v>0</v>
      </c>
      <c r="P150" s="27">
        <f>IF($M150="","",IF($F150="Compareceu",MAX(0,$M150-N($H150)),0))</f>
        <v>0</v>
      </c>
      <c r="Q150" s="19">
        <f>IF(AND($F150="Compareceu",$E150&lt;&gt;"",$A150&lt;&gt;""),IF(IFERROR(INDEX(ProcRet,MATCH($E150,ProcNome,0)),0)&gt;0,$A150+INDEX(ProcRet,MATCH($E150,ProcNome,0)),""),"")</f>
        <v>46429.0</v>
      </c>
      <c r="R150" s="26" t="str">
        <f>IF($Q150="","",IF(COUNTIFS(AgPac,$D150,AgData,"&gt;"&amp;$A150,AgStatus,"&lt;&gt;Cancelado",AgStatus,"&lt;&gt;Remarcado")&gt;0,"Sim","Não"))</f>
        <v>Sim</v>
      </c>
      <c r="S150" s="28">
        <f>IF($A150="","",IF(AND($F150="Agendado",$A150-Hoje&gt;=0,$A150-Hoje&lt;=DiasConf),"CONFIRMAR",IF(AND($A150&lt;Hoje,OR($F150="Agendado",$F150="Confirmado")),"Atualizar status",IF(AND($F150="Compareceu",$P150&gt;0.005),"Cobrar",IF($F150="Faltou","Falta: reagendar","")))))</f>
        <v>0</v>
      </c>
      <c r="T150" s="29">
        <f>IF($A150="","",DATE(YEAR($A150),MONTH($A150),1))</f>
        <v>46235.0</v>
      </c>
      <c r="U150" s="30">
        <f>IF($S150="CONFIRMAR",MAX($U$4:$U149)+1,"")</f>
        <v>0</v>
      </c>
      <c r="V150" s="30">
        <f>IF(AND($R150="Não",$Q150&lt;&gt;"",$Q150&lt;=Hoje+JanelaRet,$Q150&gt;=Hoje-60),MAX($V$4:$V149)+1,"")</f>
        <v>0</v>
      </c>
    </row>
    <row r="151" spans="1:22">
      <c r="A151" s="16">
        <v>46251</v>
      </c>
      <c r="B151" s="23">
        <v>0.4791666666666667</v>
      </c>
      <c r="C151" s="15" t="s">
        <v>51</v>
      </c>
      <c r="D151" s="15" t="s">
        <v>118</v>
      </c>
      <c r="E151" s="15" t="s">
        <v>61</v>
      </c>
      <c r="F151" s="24" t="s">
        <v>80</v>
      </c>
      <c r="G151" s="17"/>
      <c r="H151" s="17"/>
      <c r="I151" s="15"/>
      <c r="J151" s="25" t="str">
        <f>IF($D151="","",IFERROR(INDEX(PacNome,MATCH($D151,PacCod,0)),"Paciente não cadastrado"))</f>
        <v>Paciente 007</v>
      </c>
      <c r="K151" s="26" t="str">
        <f>IF($D151="","",IFERROR(INDEX(PacConv,MATCH($D151,PacCod,0))&amp;"",""))</f>
        <v>Particular</v>
      </c>
      <c r="L151" s="26" t="str">
        <f>IF($A151="","",CHOOSE(WEEKDAY($A151,2),"Seg","Ter","Qua","Qui","Sex","Sáb","Dom"))</f>
        <v>Seg</v>
      </c>
      <c r="M151" s="27">
        <f>IF($E151="","",IF($G151&lt;&gt;"",$G151,IFERROR(INDEX(ProcValor,MATCH($E151,ProcNome,0)),0)))</f>
        <v>120</v>
      </c>
      <c r="N151" s="27">
        <f>IF($M151="","",IF($F151="Compareceu",$M151,0))</f>
        <v>0</v>
      </c>
      <c r="O151" s="27">
        <f>IF($M151="","",IF($F151="Faltou",$M151,0))</f>
        <v>120</v>
      </c>
      <c r="P151" s="27">
        <f>IF($M151="","",IF($F151="Compareceu",MAX(0,$M151-N($H151)),0))</f>
        <v>0</v>
      </c>
      <c r="Q151" s="19">
        <f>IF(AND($F151="Compareceu",$E151&lt;&gt;"",$A151&lt;&gt;""),IF(IFERROR(INDEX(ProcRet,MATCH($E151,ProcNome,0)),0)&gt;0,$A151+INDEX(ProcRet,MATCH($E151,ProcNome,0)),""),"")</f>
        <v>0</v>
      </c>
      <c r="R151" s="26">
        <f>IF($Q151="","",IF(COUNTIFS(AgPac,$D151,AgData,"&gt;"&amp;$A151,AgStatus,"&lt;&gt;Cancelado",AgStatus,"&lt;&gt;Remarcado")&gt;0,"Sim","Não"))</f>
        <v>0</v>
      </c>
      <c r="S151" s="28" t="str">
        <f>IF($A151="","",IF(AND($F151="Agendado",$A151-Hoje&gt;=0,$A151-Hoje&lt;=DiasConf),"CONFIRMAR",IF(AND($A151&lt;Hoje,OR($F151="Agendado",$F151="Confirmado")),"Atualizar status",IF(AND($F151="Compareceu",$P151&gt;0.005),"Cobrar",IF($F151="Faltou","Falta: reagendar","")))))</f>
        <v>Falta: reagendar</v>
      </c>
      <c r="T151" s="29">
        <f>IF($A151="","",DATE(YEAR($A151),MONTH($A151),1))</f>
        <v>46235.0</v>
      </c>
      <c r="U151" s="30">
        <f>IF($S151="CONFIRMAR",MAX($U$4:$U150)+1,"")</f>
        <v>0</v>
      </c>
      <c r="V151" s="30">
        <f>IF(AND($R151="Não",$Q151&lt;&gt;"",$Q151&lt;=Hoje+JanelaRet,$Q151&gt;=Hoje-60),MAX($V$4:$V150)+1,"")</f>
        <v>0</v>
      </c>
    </row>
    <row r="152" spans="1:22">
      <c r="A152" s="16">
        <v>46251</v>
      </c>
      <c r="B152" s="23">
        <v>0.5625</v>
      </c>
      <c r="C152" s="15" t="s">
        <v>51</v>
      </c>
      <c r="D152" s="15" t="s">
        <v>169</v>
      </c>
      <c r="E152" s="15" t="s">
        <v>59</v>
      </c>
      <c r="F152" s="24" t="s">
        <v>79</v>
      </c>
      <c r="G152" s="17"/>
      <c r="H152" s="17">
        <v>150</v>
      </c>
      <c r="I152" s="15" t="s">
        <v>73</v>
      </c>
      <c r="J152" s="25" t="str">
        <f>IF($D152="","",IFERROR(INDEX(PacNome,MATCH($D152,PacCod,0)),"Paciente não cadastrado"))</f>
        <v>Paciente 024</v>
      </c>
      <c r="K152" s="26" t="str">
        <f>IF($D152="","",IFERROR(INDEX(PacConv,MATCH($D152,PacCod,0))&amp;"",""))</f>
        <v>Particular</v>
      </c>
      <c r="L152" s="26" t="str">
        <f>IF($A152="","",CHOOSE(WEEKDAY($A152,2),"Seg","Ter","Qua","Qui","Sex","Sáb","Dom"))</f>
        <v>Seg</v>
      </c>
      <c r="M152" s="27">
        <f>IF($E152="","",IF($G152&lt;&gt;"",$G152,IFERROR(INDEX(ProcValor,MATCH($E152,ProcNome,0)),0)))</f>
        <v>150</v>
      </c>
      <c r="N152" s="27">
        <f>IF($M152="","",IF($F152="Compareceu",$M152,0))</f>
        <v>150</v>
      </c>
      <c r="O152" s="27">
        <f>IF($M152="","",IF($F152="Faltou",$M152,0))</f>
        <v>0</v>
      </c>
      <c r="P152" s="27">
        <f>IF($M152="","",IF($F152="Compareceu",MAX(0,$M152-N($H152)),0))</f>
        <v>0</v>
      </c>
      <c r="Q152" s="19">
        <f>IF(AND($F152="Compareceu",$E152&lt;&gt;"",$A152&lt;&gt;""),IF(IFERROR(INDEX(ProcRet,MATCH($E152,ProcNome,0)),0)&gt;0,$A152+INDEX(ProcRet,MATCH($E152,ProcNome,0)),""),"")</f>
        <v>0</v>
      </c>
      <c r="R152" s="26">
        <f>IF($Q152="","",IF(COUNTIFS(AgPac,$D152,AgData,"&gt;"&amp;$A152,AgStatus,"&lt;&gt;Cancelado",AgStatus,"&lt;&gt;Remarcado")&gt;0,"Sim","Não"))</f>
        <v>0</v>
      </c>
      <c r="S152" s="28">
        <f>IF($A152="","",IF(AND($F152="Agendado",$A152-Hoje&gt;=0,$A152-Hoje&lt;=DiasConf),"CONFIRMAR",IF(AND($A152&lt;Hoje,OR($F152="Agendado",$F152="Confirmado")),"Atualizar status",IF(AND($F152="Compareceu",$P152&gt;0.005),"Cobrar",IF($F152="Faltou","Falta: reagendar","")))))</f>
        <v>0</v>
      </c>
      <c r="T152" s="29">
        <f>IF($A152="","",DATE(YEAR($A152),MONTH($A152),1))</f>
        <v>46235.0</v>
      </c>
      <c r="U152" s="30">
        <f>IF($S152="CONFIRMAR",MAX($U$4:$U151)+1,"")</f>
        <v>0</v>
      </c>
      <c r="V152" s="30">
        <f>IF(AND($R152="Não",$Q152&lt;&gt;"",$Q152&lt;=Hoje+JanelaRet,$Q152&gt;=Hoje-60),MAX($V$4:$V151)+1,"")</f>
        <v>0</v>
      </c>
    </row>
    <row r="153" spans="1:22">
      <c r="A153" s="16">
        <v>46251</v>
      </c>
      <c r="B153" s="23">
        <v>0.6041666666666666</v>
      </c>
      <c r="C153" s="15" t="s">
        <v>54</v>
      </c>
      <c r="D153" s="15" t="s">
        <v>205</v>
      </c>
      <c r="E153" s="15" t="s">
        <v>58</v>
      </c>
      <c r="F153" s="24" t="s">
        <v>79</v>
      </c>
      <c r="G153" s="17">
        <v>150</v>
      </c>
      <c r="H153" s="17">
        <v>150</v>
      </c>
      <c r="I153" s="15" t="s">
        <v>75</v>
      </c>
      <c r="J153" s="25" t="str">
        <f>IF($D153="","",IFERROR(INDEX(PacNome,MATCH($D153,PacCod,0)),"Paciente não cadastrado"))</f>
        <v>Paciente 036</v>
      </c>
      <c r="K153" s="26" t="str">
        <f>IF($D153="","",IFERROR(INDEX(PacConv,MATCH($D153,PacCod,0))&amp;"",""))</f>
        <v>Convênio B</v>
      </c>
      <c r="L153" s="26" t="str">
        <f>IF($A153="","",CHOOSE(WEEKDAY($A153,2),"Seg","Ter","Qua","Qui","Sex","Sáb","Dom"))</f>
        <v>Seg</v>
      </c>
      <c r="M153" s="27">
        <f>IF($E153="","",IF($G153&lt;&gt;"",$G153,IFERROR(INDEX(ProcValor,MATCH($E153,ProcNome,0)),0)))</f>
        <v>150</v>
      </c>
      <c r="N153" s="27">
        <f>IF($M153="","",IF($F153="Compareceu",$M153,0))</f>
        <v>150</v>
      </c>
      <c r="O153" s="27">
        <f>IF($M153="","",IF($F153="Faltou",$M153,0))</f>
        <v>0</v>
      </c>
      <c r="P153" s="27">
        <f>IF($M153="","",IF($F153="Compareceu",MAX(0,$M153-N($H153)),0))</f>
        <v>0</v>
      </c>
      <c r="Q153" s="19">
        <f>IF(AND($F153="Compareceu",$E153&lt;&gt;"",$A153&lt;&gt;""),IF(IFERROR(INDEX(ProcRet,MATCH($E153,ProcNome,0)),0)&gt;0,$A153+INDEX(ProcRet,MATCH($E153,ProcNome,0)),""),"")</f>
        <v>0</v>
      </c>
      <c r="R153" s="26">
        <f>IF($Q153="","",IF(COUNTIFS(AgPac,$D153,AgData,"&gt;"&amp;$A153,AgStatus,"&lt;&gt;Cancelado",AgStatus,"&lt;&gt;Remarcado")&gt;0,"Sim","Não"))</f>
        <v>0</v>
      </c>
      <c r="S153" s="28">
        <f>IF($A153="","",IF(AND($F153="Agendado",$A153-Hoje&gt;=0,$A153-Hoje&lt;=DiasConf),"CONFIRMAR",IF(AND($A153&lt;Hoje,OR($F153="Agendado",$F153="Confirmado")),"Atualizar status",IF(AND($F153="Compareceu",$P153&gt;0.005),"Cobrar",IF($F153="Faltou","Falta: reagendar","")))))</f>
        <v>0</v>
      </c>
      <c r="T153" s="29">
        <f>IF($A153="","",DATE(YEAR($A153),MONTH($A153),1))</f>
        <v>46235.0</v>
      </c>
      <c r="U153" s="30">
        <f>IF($S153="CONFIRMAR",MAX($U$4:$U152)+1,"")</f>
        <v>0</v>
      </c>
      <c r="V153" s="30">
        <f>IF(AND($R153="Não",$Q153&lt;&gt;"",$Q153&lt;=Hoje+JanelaRet,$Q153&gt;=Hoje-60),MAX($V$4:$V152)+1,"")</f>
        <v>0</v>
      </c>
    </row>
    <row r="154" spans="1:22">
      <c r="A154" s="16">
        <v>46251</v>
      </c>
      <c r="B154" s="23">
        <v>0.7083333333333334</v>
      </c>
      <c r="C154" s="15" t="s">
        <v>54</v>
      </c>
      <c r="D154" s="15" t="s">
        <v>187</v>
      </c>
      <c r="E154" s="15" t="s">
        <v>60</v>
      </c>
      <c r="F154" s="24" t="s">
        <v>80</v>
      </c>
      <c r="G154" s="17"/>
      <c r="H154" s="17"/>
      <c r="I154" s="15"/>
      <c r="J154" s="25" t="str">
        <f>IF($D154="","",IFERROR(INDEX(PacNome,MATCH($D154,PacCod,0)),"Paciente não cadastrado"))</f>
        <v>Paciente 030</v>
      </c>
      <c r="K154" s="26" t="str">
        <f>IF($D154="","",IFERROR(INDEX(PacConv,MATCH($D154,PacCod,0))&amp;"",""))</f>
        <v>Particular</v>
      </c>
      <c r="L154" s="26" t="str">
        <f>IF($A154="","",CHOOSE(WEEKDAY($A154,2),"Seg","Ter","Qua","Qui","Sex","Sáb","Dom"))</f>
        <v>Seg</v>
      </c>
      <c r="M154" s="27">
        <f>IF($E154="","",IF($G154&lt;&gt;"",$G154,IFERROR(INDEX(ProcValor,MATCH($E154,ProcNome,0)),0)))</f>
        <v>180</v>
      </c>
      <c r="N154" s="27">
        <f>IF($M154="","",IF($F154="Compareceu",$M154,0))</f>
        <v>0</v>
      </c>
      <c r="O154" s="27">
        <f>IF($M154="","",IF($F154="Faltou",$M154,0))</f>
        <v>180</v>
      </c>
      <c r="P154" s="27">
        <f>IF($M154="","",IF($F154="Compareceu",MAX(0,$M154-N($H154)),0))</f>
        <v>0</v>
      </c>
      <c r="Q154" s="19">
        <f>IF(AND($F154="Compareceu",$E154&lt;&gt;"",$A154&lt;&gt;""),IF(IFERROR(INDEX(ProcRet,MATCH($E154,ProcNome,0)),0)&gt;0,$A154+INDEX(ProcRet,MATCH($E154,ProcNome,0)),""),"")</f>
        <v>0</v>
      </c>
      <c r="R154" s="26">
        <f>IF($Q154="","",IF(COUNTIFS(AgPac,$D154,AgData,"&gt;"&amp;$A154,AgStatus,"&lt;&gt;Cancelado",AgStatus,"&lt;&gt;Remarcado")&gt;0,"Sim","Não"))</f>
        <v>0</v>
      </c>
      <c r="S154" s="28" t="str">
        <f>IF($A154="","",IF(AND($F154="Agendado",$A154-Hoje&gt;=0,$A154-Hoje&lt;=DiasConf),"CONFIRMAR",IF(AND($A154&lt;Hoje,OR($F154="Agendado",$F154="Confirmado")),"Atualizar status",IF(AND($F154="Compareceu",$P154&gt;0.005),"Cobrar",IF($F154="Faltou","Falta: reagendar","")))))</f>
        <v>Falta: reagendar</v>
      </c>
      <c r="T154" s="29">
        <f>IF($A154="","",DATE(YEAR($A154),MONTH($A154),1))</f>
        <v>46235.0</v>
      </c>
      <c r="U154" s="30">
        <f>IF($S154="CONFIRMAR",MAX($U$4:$U153)+1,"")</f>
        <v>0</v>
      </c>
      <c r="V154" s="30">
        <f>IF(AND($R154="Não",$Q154&lt;&gt;"",$Q154&lt;=Hoje+JanelaRet,$Q154&gt;=Hoje-60),MAX($V$4:$V153)+1,"")</f>
        <v>0</v>
      </c>
    </row>
    <row r="155" spans="1:22">
      <c r="A155" s="16">
        <v>46252</v>
      </c>
      <c r="B155" s="23">
        <v>0.4791666666666667</v>
      </c>
      <c r="C155" s="15" t="s">
        <v>53</v>
      </c>
      <c r="D155" s="15" t="s">
        <v>154</v>
      </c>
      <c r="E155" s="15" t="s">
        <v>65</v>
      </c>
      <c r="F155" s="24" t="s">
        <v>80</v>
      </c>
      <c r="G155" s="17"/>
      <c r="H155" s="17"/>
      <c r="I155" s="15"/>
      <c r="J155" s="25" t="str">
        <f>IF($D155="","",IFERROR(INDEX(PacNome,MATCH($D155,PacCod,0)),"Paciente não cadastrado"))</f>
        <v>Paciente 019</v>
      </c>
      <c r="K155" s="26" t="str">
        <f>IF($D155="","",IFERROR(INDEX(PacConv,MATCH($D155,PacCod,0))&amp;"",""))</f>
        <v>Particular</v>
      </c>
      <c r="L155" s="26" t="str">
        <f>IF($A155="","",CHOOSE(WEEKDAY($A155,2),"Seg","Ter","Qua","Qui","Sex","Sáb","Dom"))</f>
        <v>Ter</v>
      </c>
      <c r="M155" s="27">
        <f>IF($E155="","",IF($G155&lt;&gt;"",$G155,IFERROR(INDEX(ProcValor,MATCH($E155,ProcNome,0)),0)))</f>
        <v>130</v>
      </c>
      <c r="N155" s="27">
        <f>IF($M155="","",IF($F155="Compareceu",$M155,0))</f>
        <v>0</v>
      </c>
      <c r="O155" s="27">
        <f>IF($M155="","",IF($F155="Faltou",$M155,0))</f>
        <v>130</v>
      </c>
      <c r="P155" s="27">
        <f>IF($M155="","",IF($F155="Compareceu",MAX(0,$M155-N($H155)),0))</f>
        <v>0</v>
      </c>
      <c r="Q155" s="19">
        <f>IF(AND($F155="Compareceu",$E155&lt;&gt;"",$A155&lt;&gt;""),IF(IFERROR(INDEX(ProcRet,MATCH($E155,ProcNome,0)),0)&gt;0,$A155+INDEX(ProcRet,MATCH($E155,ProcNome,0)),""),"")</f>
        <v>0</v>
      </c>
      <c r="R155" s="26">
        <f>IF($Q155="","",IF(COUNTIFS(AgPac,$D155,AgData,"&gt;"&amp;$A155,AgStatus,"&lt;&gt;Cancelado",AgStatus,"&lt;&gt;Remarcado")&gt;0,"Sim","Não"))</f>
        <v>0</v>
      </c>
      <c r="S155" s="28" t="str">
        <f>IF($A155="","",IF(AND($F155="Agendado",$A155-Hoje&gt;=0,$A155-Hoje&lt;=DiasConf),"CONFIRMAR",IF(AND($A155&lt;Hoje,OR($F155="Agendado",$F155="Confirmado")),"Atualizar status",IF(AND($F155="Compareceu",$P155&gt;0.005),"Cobrar",IF($F155="Faltou","Falta: reagendar","")))))</f>
        <v>Falta: reagendar</v>
      </c>
      <c r="T155" s="29">
        <f>IF($A155="","",DATE(YEAR($A155),MONTH($A155),1))</f>
        <v>46235.0</v>
      </c>
      <c r="U155" s="30">
        <f>IF($S155="CONFIRMAR",MAX($U$4:$U154)+1,"")</f>
        <v>0</v>
      </c>
      <c r="V155" s="30">
        <f>IF(AND($R155="Não",$Q155&lt;&gt;"",$Q155&lt;=Hoje+JanelaRet,$Q155&gt;=Hoje-60),MAX($V$4:$V154)+1,"")</f>
        <v>0</v>
      </c>
    </row>
    <row r="156" spans="1:22">
      <c r="A156" s="16">
        <v>46252</v>
      </c>
      <c r="B156" s="23">
        <v>0.5833333333333334</v>
      </c>
      <c r="C156" s="15" t="s">
        <v>54</v>
      </c>
      <c r="D156" s="15" t="s">
        <v>205</v>
      </c>
      <c r="E156" s="15" t="s">
        <v>60</v>
      </c>
      <c r="F156" s="24" t="s">
        <v>79</v>
      </c>
      <c r="G156" s="17">
        <v>108</v>
      </c>
      <c r="H156" s="17">
        <v>108</v>
      </c>
      <c r="I156" s="15" t="s">
        <v>75</v>
      </c>
      <c r="J156" s="25" t="str">
        <f>IF($D156="","",IFERROR(INDEX(PacNome,MATCH($D156,PacCod,0)),"Paciente não cadastrado"))</f>
        <v>Paciente 036</v>
      </c>
      <c r="K156" s="26" t="str">
        <f>IF($D156="","",IFERROR(INDEX(PacConv,MATCH($D156,PacCod,0))&amp;"",""))</f>
        <v>Convênio B</v>
      </c>
      <c r="L156" s="26" t="str">
        <f>IF($A156="","",CHOOSE(WEEKDAY($A156,2),"Seg","Ter","Qua","Qui","Sex","Sáb","Dom"))</f>
        <v>Ter</v>
      </c>
      <c r="M156" s="27">
        <f>IF($E156="","",IF($G156&lt;&gt;"",$G156,IFERROR(INDEX(ProcValor,MATCH($E156,ProcNome,0)),0)))</f>
        <v>108</v>
      </c>
      <c r="N156" s="27">
        <f>IF($M156="","",IF($F156="Compareceu",$M156,0))</f>
        <v>108</v>
      </c>
      <c r="O156" s="27">
        <f>IF($M156="","",IF($F156="Faltou",$M156,0))</f>
        <v>0</v>
      </c>
      <c r="P156" s="27">
        <f>IF($M156="","",IF($F156="Compareceu",MAX(0,$M156-N($H156)),0))</f>
        <v>0</v>
      </c>
      <c r="Q156" s="19">
        <f>IF(AND($F156="Compareceu",$E156&lt;&gt;"",$A156&lt;&gt;""),IF(IFERROR(INDEX(ProcRet,MATCH($E156,ProcNome,0)),0)&gt;0,$A156+INDEX(ProcRet,MATCH($E156,ProcNome,0)),""),"")</f>
        <v>46432.0</v>
      </c>
      <c r="R156" s="26" t="str">
        <f>IF($Q156="","",IF(COUNTIFS(AgPac,$D156,AgData,"&gt;"&amp;$A156,AgStatus,"&lt;&gt;Cancelado",AgStatus,"&lt;&gt;Remarcado")&gt;0,"Sim","Não"))</f>
        <v>Sim</v>
      </c>
      <c r="S156" s="28">
        <f>IF($A156="","",IF(AND($F156="Agendado",$A156-Hoje&gt;=0,$A156-Hoje&lt;=DiasConf),"CONFIRMAR",IF(AND($A156&lt;Hoje,OR($F156="Agendado",$F156="Confirmado")),"Atualizar status",IF(AND($F156="Compareceu",$P156&gt;0.005),"Cobrar",IF($F156="Faltou","Falta: reagendar","")))))</f>
        <v>0</v>
      </c>
      <c r="T156" s="29">
        <f>IF($A156="","",DATE(YEAR($A156),MONTH($A156),1))</f>
        <v>46235.0</v>
      </c>
      <c r="U156" s="30">
        <f>IF($S156="CONFIRMAR",MAX($U$4:$U155)+1,"")</f>
        <v>0</v>
      </c>
      <c r="V156" s="30">
        <f>IF(AND($R156="Não",$Q156&lt;&gt;"",$Q156&lt;=Hoje+JanelaRet,$Q156&gt;=Hoje-60),MAX($V$4:$V155)+1,"")</f>
        <v>0</v>
      </c>
    </row>
    <row r="157" spans="1:22">
      <c r="A157" s="16">
        <v>46252</v>
      </c>
      <c r="B157" s="23">
        <v>0.6458333333333334</v>
      </c>
      <c r="C157" s="15" t="s">
        <v>52</v>
      </c>
      <c r="D157" s="15" t="s">
        <v>166</v>
      </c>
      <c r="E157" s="15" t="s">
        <v>63</v>
      </c>
      <c r="F157" s="24" t="s">
        <v>79</v>
      </c>
      <c r="G157" s="17"/>
      <c r="H157" s="17">
        <v>140</v>
      </c>
      <c r="I157" s="15" t="s">
        <v>74</v>
      </c>
      <c r="J157" s="25" t="str">
        <f>IF($D157="","",IFERROR(INDEX(PacNome,MATCH($D157,PacCod,0)),"Paciente não cadastrado"))</f>
        <v>Paciente 023</v>
      </c>
      <c r="K157" s="26" t="str">
        <f>IF($D157="","",IFERROR(INDEX(PacConv,MATCH($D157,PacCod,0))&amp;"",""))</f>
        <v>Particular</v>
      </c>
      <c r="L157" s="26" t="str">
        <f>IF($A157="","",CHOOSE(WEEKDAY($A157,2),"Seg","Ter","Qua","Qui","Sex","Sáb","Dom"))</f>
        <v>Ter</v>
      </c>
      <c r="M157" s="27">
        <f>IF($E157="","",IF($G157&lt;&gt;"",$G157,IFERROR(INDEX(ProcValor,MATCH($E157,ProcNome,0)),0)))</f>
        <v>140</v>
      </c>
      <c r="N157" s="27">
        <f>IF($M157="","",IF($F157="Compareceu",$M157,0))</f>
        <v>140</v>
      </c>
      <c r="O157" s="27">
        <f>IF($M157="","",IF($F157="Faltou",$M157,0))</f>
        <v>0</v>
      </c>
      <c r="P157" s="27">
        <f>IF($M157="","",IF($F157="Compareceu",MAX(0,$M157-N($H157)),0))</f>
        <v>0</v>
      </c>
      <c r="Q157" s="19">
        <f>IF(AND($F157="Compareceu",$E157&lt;&gt;"",$A157&lt;&gt;""),IF(IFERROR(INDEX(ProcRet,MATCH($E157,ProcNome,0)),0)&gt;0,$A157+INDEX(ProcRet,MATCH($E157,ProcNome,0)),""),"")</f>
        <v>46259.0</v>
      </c>
      <c r="R157" s="26" t="str">
        <f>IF($Q157="","",IF(COUNTIFS(AgPac,$D157,AgData,"&gt;"&amp;$A157,AgStatus,"&lt;&gt;Cancelado",AgStatus,"&lt;&gt;Remarcado")&gt;0,"Sim","Não"))</f>
        <v>Sim</v>
      </c>
      <c r="S157" s="28">
        <f>IF($A157="","",IF(AND($F157="Agendado",$A157-Hoje&gt;=0,$A157-Hoje&lt;=DiasConf),"CONFIRMAR",IF(AND($A157&lt;Hoje,OR($F157="Agendado",$F157="Confirmado")),"Atualizar status",IF(AND($F157="Compareceu",$P157&gt;0.005),"Cobrar",IF($F157="Faltou","Falta: reagendar","")))))</f>
        <v>0</v>
      </c>
      <c r="T157" s="29">
        <f>IF($A157="","",DATE(YEAR($A157),MONTH($A157),1))</f>
        <v>46235.0</v>
      </c>
      <c r="U157" s="30">
        <f>IF($S157="CONFIRMAR",MAX($U$4:$U156)+1,"")</f>
        <v>0</v>
      </c>
      <c r="V157" s="30">
        <f>IF(AND($R157="Não",$Q157&lt;&gt;"",$Q157&lt;=Hoje+JanelaRet,$Q157&gt;=Hoje-60),MAX($V$4:$V156)+1,"")</f>
        <v>0</v>
      </c>
    </row>
    <row r="158" spans="1:22">
      <c r="A158" s="16">
        <v>46252</v>
      </c>
      <c r="B158" s="23">
        <v>0.6666666666666666</v>
      </c>
      <c r="C158" s="15" t="s">
        <v>54</v>
      </c>
      <c r="D158" s="15" t="s">
        <v>208</v>
      </c>
      <c r="E158" s="15" t="s">
        <v>65</v>
      </c>
      <c r="F158" s="24" t="s">
        <v>79</v>
      </c>
      <c r="G158" s="17">
        <v>78</v>
      </c>
      <c r="H158" s="17">
        <v>78</v>
      </c>
      <c r="I158" s="15" t="s">
        <v>75</v>
      </c>
      <c r="J158" s="25" t="str">
        <f>IF($D158="","",IFERROR(INDEX(PacNome,MATCH($D158,PacCod,0)),"Paciente não cadastrado"))</f>
        <v>Paciente 037</v>
      </c>
      <c r="K158" s="26" t="str">
        <f>IF($D158="","",IFERROR(INDEX(PacConv,MATCH($D158,PacCod,0))&amp;"",""))</f>
        <v>Convênio B</v>
      </c>
      <c r="L158" s="26" t="str">
        <f>IF($A158="","",CHOOSE(WEEKDAY($A158,2),"Seg","Ter","Qua","Qui","Sex","Sáb","Dom"))</f>
        <v>Ter</v>
      </c>
      <c r="M158" s="27">
        <f>IF($E158="","",IF($G158&lt;&gt;"",$G158,IFERROR(INDEX(ProcValor,MATCH($E158,ProcNome,0)),0)))</f>
        <v>78</v>
      </c>
      <c r="N158" s="27">
        <f>IF($M158="","",IF($F158="Compareceu",$M158,0))</f>
        <v>78</v>
      </c>
      <c r="O158" s="27">
        <f>IF($M158="","",IF($F158="Faltou",$M158,0))</f>
        <v>0</v>
      </c>
      <c r="P158" s="27">
        <f>IF($M158="","",IF($F158="Compareceu",MAX(0,$M158-N($H158)),0))</f>
        <v>0</v>
      </c>
      <c r="Q158" s="19">
        <f>IF(AND($F158="Compareceu",$E158&lt;&gt;"",$A158&lt;&gt;""),IF(IFERROR(INDEX(ProcRet,MATCH($E158,ProcNome,0)),0)&gt;0,$A158+INDEX(ProcRet,MATCH($E158,ProcNome,0)),""),"")</f>
        <v>46342.0</v>
      </c>
      <c r="R158" s="26" t="str">
        <f>IF($Q158="","",IF(COUNTIFS(AgPac,$D158,AgData,"&gt;"&amp;$A158,AgStatus,"&lt;&gt;Cancelado",AgStatus,"&lt;&gt;Remarcado")&gt;0,"Sim","Não"))</f>
        <v>Sim</v>
      </c>
      <c r="S158" s="28">
        <f>IF($A158="","",IF(AND($F158="Agendado",$A158-Hoje&gt;=0,$A158-Hoje&lt;=DiasConf),"CONFIRMAR",IF(AND($A158&lt;Hoje,OR($F158="Agendado",$F158="Confirmado")),"Atualizar status",IF(AND($F158="Compareceu",$P158&gt;0.005),"Cobrar",IF($F158="Faltou","Falta: reagendar","")))))</f>
        <v>0</v>
      </c>
      <c r="T158" s="29">
        <f>IF($A158="","",DATE(YEAR($A158),MONTH($A158),1))</f>
        <v>46235.0</v>
      </c>
      <c r="U158" s="30">
        <f>IF($S158="CONFIRMAR",MAX($U$4:$U157)+1,"")</f>
        <v>0</v>
      </c>
      <c r="V158" s="30">
        <f>IF(AND($R158="Não",$Q158&lt;&gt;"",$Q158&lt;=Hoje+JanelaRet,$Q158&gt;=Hoje-60),MAX($V$4:$V157)+1,"")</f>
        <v>0</v>
      </c>
    </row>
    <row r="159" spans="1:22">
      <c r="A159" s="16">
        <v>46252</v>
      </c>
      <c r="B159" s="23">
        <v>0.7083333333333334</v>
      </c>
      <c r="C159" s="15" t="s">
        <v>52</v>
      </c>
      <c r="D159" s="15" t="s">
        <v>112</v>
      </c>
      <c r="E159" s="15" t="s">
        <v>64</v>
      </c>
      <c r="F159" s="24" t="s">
        <v>79</v>
      </c>
      <c r="G159" s="17"/>
      <c r="H159" s="17">
        <v>90</v>
      </c>
      <c r="I159" s="15" t="s">
        <v>72</v>
      </c>
      <c r="J159" s="25" t="str">
        <f>IF($D159="","",IFERROR(INDEX(PacNome,MATCH($D159,PacCod,0)),"Paciente não cadastrado"))</f>
        <v>Paciente 005</v>
      </c>
      <c r="K159" s="26" t="str">
        <f>IF($D159="","",IFERROR(INDEX(PacConv,MATCH($D159,PacCod,0))&amp;"",""))</f>
        <v>Particular</v>
      </c>
      <c r="L159" s="26" t="str">
        <f>IF($A159="","",CHOOSE(WEEKDAY($A159,2),"Seg","Ter","Qua","Qui","Sex","Sáb","Dom"))</f>
        <v>Ter</v>
      </c>
      <c r="M159" s="27">
        <f>IF($E159="","",IF($G159&lt;&gt;"",$G159,IFERROR(INDEX(ProcValor,MATCH($E159,ProcNome,0)),0)))</f>
        <v>90</v>
      </c>
      <c r="N159" s="27">
        <f>IF($M159="","",IF($F159="Compareceu",$M159,0))</f>
        <v>90</v>
      </c>
      <c r="O159" s="27">
        <f>IF($M159="","",IF($F159="Faltou",$M159,0))</f>
        <v>0</v>
      </c>
      <c r="P159" s="27">
        <f>IF($M159="","",IF($F159="Compareceu",MAX(0,$M159-N($H159)),0))</f>
        <v>0</v>
      </c>
      <c r="Q159" s="19">
        <f>IF(AND($F159="Compareceu",$E159&lt;&gt;"",$A159&lt;&gt;""),IF(IFERROR(INDEX(ProcRet,MATCH($E159,ProcNome,0)),0)&gt;0,$A159+INDEX(ProcRet,MATCH($E159,ProcNome,0)),""),"")</f>
        <v>0</v>
      </c>
      <c r="R159" s="26">
        <f>IF($Q159="","",IF(COUNTIFS(AgPac,$D159,AgData,"&gt;"&amp;$A159,AgStatus,"&lt;&gt;Cancelado",AgStatus,"&lt;&gt;Remarcado")&gt;0,"Sim","Não"))</f>
        <v>0</v>
      </c>
      <c r="S159" s="28">
        <f>IF($A159="","",IF(AND($F159="Agendado",$A159-Hoje&gt;=0,$A159-Hoje&lt;=DiasConf),"CONFIRMAR",IF(AND($A159&lt;Hoje,OR($F159="Agendado",$F159="Confirmado")),"Atualizar status",IF(AND($F159="Compareceu",$P159&gt;0.005),"Cobrar",IF($F159="Faltou","Falta: reagendar","")))))</f>
        <v>0</v>
      </c>
      <c r="T159" s="29">
        <f>IF($A159="","",DATE(YEAR($A159),MONTH($A159),1))</f>
        <v>46235.0</v>
      </c>
      <c r="U159" s="30">
        <f>IF($S159="CONFIRMAR",MAX($U$4:$U158)+1,"")</f>
        <v>0</v>
      </c>
      <c r="V159" s="30">
        <f>IF(AND($R159="Não",$Q159&lt;&gt;"",$Q159&lt;=Hoje+JanelaRet,$Q159&gt;=Hoje-60),MAX($V$4:$V158)+1,"")</f>
        <v>0</v>
      </c>
    </row>
    <row r="160" spans="1:22">
      <c r="A160" s="16">
        <v>46253</v>
      </c>
      <c r="B160" s="23">
        <v>0.3958333333333333</v>
      </c>
      <c r="C160" s="15" t="s">
        <v>51</v>
      </c>
      <c r="D160" s="15" t="s">
        <v>130</v>
      </c>
      <c r="E160" s="15" t="s">
        <v>63</v>
      </c>
      <c r="F160" s="24" t="s">
        <v>80</v>
      </c>
      <c r="G160" s="17"/>
      <c r="H160" s="17"/>
      <c r="I160" s="15"/>
      <c r="J160" s="25" t="str">
        <f>IF($D160="","",IFERROR(INDEX(PacNome,MATCH($D160,PacCod,0)),"Paciente não cadastrado"))</f>
        <v>Paciente 011</v>
      </c>
      <c r="K160" s="26" t="str">
        <f>IF($D160="","",IFERROR(INDEX(PacConv,MATCH($D160,PacCod,0))&amp;"",""))</f>
        <v>Convênio A</v>
      </c>
      <c r="L160" s="26" t="str">
        <f>IF($A160="","",CHOOSE(WEEKDAY($A160,2),"Seg","Ter","Qua","Qui","Sex","Sáb","Dom"))</f>
        <v>Qua</v>
      </c>
      <c r="M160" s="27">
        <f>IF($E160="","",IF($G160&lt;&gt;"",$G160,IFERROR(INDEX(ProcValor,MATCH($E160,ProcNome,0)),0)))</f>
        <v>140</v>
      </c>
      <c r="N160" s="27">
        <f>IF($M160="","",IF($F160="Compareceu",$M160,0))</f>
        <v>0</v>
      </c>
      <c r="O160" s="27">
        <f>IF($M160="","",IF($F160="Faltou",$M160,0))</f>
        <v>140</v>
      </c>
      <c r="P160" s="27">
        <f>IF($M160="","",IF($F160="Compareceu",MAX(0,$M160-N($H160)),0))</f>
        <v>0</v>
      </c>
      <c r="Q160" s="19">
        <f>IF(AND($F160="Compareceu",$E160&lt;&gt;"",$A160&lt;&gt;""),IF(IFERROR(INDEX(ProcRet,MATCH($E160,ProcNome,0)),0)&gt;0,$A160+INDEX(ProcRet,MATCH($E160,ProcNome,0)),""),"")</f>
        <v>0</v>
      </c>
      <c r="R160" s="26">
        <f>IF($Q160="","",IF(COUNTIFS(AgPac,$D160,AgData,"&gt;"&amp;$A160,AgStatus,"&lt;&gt;Cancelado",AgStatus,"&lt;&gt;Remarcado")&gt;0,"Sim","Não"))</f>
        <v>0</v>
      </c>
      <c r="S160" s="28" t="str">
        <f>IF($A160="","",IF(AND($F160="Agendado",$A160-Hoje&gt;=0,$A160-Hoje&lt;=DiasConf),"CONFIRMAR",IF(AND($A160&lt;Hoje,OR($F160="Agendado",$F160="Confirmado")),"Atualizar status",IF(AND($F160="Compareceu",$P160&gt;0.005),"Cobrar",IF($F160="Faltou","Falta: reagendar","")))))</f>
        <v>Falta: reagendar</v>
      </c>
      <c r="T160" s="29">
        <f>IF($A160="","",DATE(YEAR($A160),MONTH($A160),1))</f>
        <v>46235.0</v>
      </c>
      <c r="U160" s="30">
        <f>IF($S160="CONFIRMAR",MAX($U$4:$U159)+1,"")</f>
        <v>0</v>
      </c>
      <c r="V160" s="30">
        <f>IF(AND($R160="Não",$Q160&lt;&gt;"",$Q160&lt;=Hoje+JanelaRet,$Q160&gt;=Hoje-60),MAX($V$4:$V159)+1,"")</f>
        <v>0</v>
      </c>
    </row>
    <row r="161" spans="1:22">
      <c r="A161" s="16">
        <v>46253</v>
      </c>
      <c r="B161" s="23">
        <v>0.4583333333333333</v>
      </c>
      <c r="C161" s="15" t="s">
        <v>51</v>
      </c>
      <c r="D161" s="15" t="s">
        <v>223</v>
      </c>
      <c r="E161" s="15" t="s">
        <v>58</v>
      </c>
      <c r="F161" s="24" t="s">
        <v>79</v>
      </c>
      <c r="G161" s="17"/>
      <c r="H161" s="17">
        <v>125</v>
      </c>
      <c r="I161" s="15" t="s">
        <v>75</v>
      </c>
      <c r="J161" s="25" t="str">
        <f>IF($D161="","",IFERROR(INDEX(PacNome,MATCH($D161,PacCod,0)),"Paciente não cadastrado"))</f>
        <v>Paciente 042</v>
      </c>
      <c r="K161" s="26" t="str">
        <f>IF($D161="","",IFERROR(INDEX(PacConv,MATCH($D161,PacCod,0))&amp;"",""))</f>
        <v>Particular</v>
      </c>
      <c r="L161" s="26" t="str">
        <f>IF($A161="","",CHOOSE(WEEKDAY($A161,2),"Seg","Ter","Qua","Qui","Sex","Sáb","Dom"))</f>
        <v>Qua</v>
      </c>
      <c r="M161" s="27">
        <f>IF($E161="","",IF($G161&lt;&gt;"",$G161,IFERROR(INDEX(ProcValor,MATCH($E161,ProcNome,0)),0)))</f>
        <v>250</v>
      </c>
      <c r="N161" s="27">
        <f>IF($M161="","",IF($F161="Compareceu",$M161,0))</f>
        <v>250</v>
      </c>
      <c r="O161" s="27">
        <f>IF($M161="","",IF($F161="Faltou",$M161,0))</f>
        <v>0</v>
      </c>
      <c r="P161" s="27">
        <f>IF($M161="","",IF($F161="Compareceu",MAX(0,$M161-N($H161)),0))</f>
        <v>125</v>
      </c>
      <c r="Q161" s="19">
        <f>IF(AND($F161="Compareceu",$E161&lt;&gt;"",$A161&lt;&gt;""),IF(IFERROR(INDEX(ProcRet,MATCH($E161,ProcNome,0)),0)&gt;0,$A161+INDEX(ProcRet,MATCH($E161,ProcNome,0)),""),"")</f>
        <v>0</v>
      </c>
      <c r="R161" s="26">
        <f>IF($Q161="","",IF(COUNTIFS(AgPac,$D161,AgData,"&gt;"&amp;$A161,AgStatus,"&lt;&gt;Cancelado",AgStatus,"&lt;&gt;Remarcado")&gt;0,"Sim","Não"))</f>
        <v>0</v>
      </c>
      <c r="S161" s="28" t="str">
        <f>IF($A161="","",IF(AND($F161="Agendado",$A161-Hoje&gt;=0,$A161-Hoje&lt;=DiasConf),"CONFIRMAR",IF(AND($A161&lt;Hoje,OR($F161="Agendado",$F161="Confirmado")),"Atualizar status",IF(AND($F161="Compareceu",$P161&gt;0.005),"Cobrar",IF($F161="Faltou","Falta: reagendar","")))))</f>
        <v>Cobrar</v>
      </c>
      <c r="T161" s="29">
        <f>IF($A161="","",DATE(YEAR($A161),MONTH($A161),1))</f>
        <v>46235.0</v>
      </c>
      <c r="U161" s="30">
        <f>IF($S161="CONFIRMAR",MAX($U$4:$U160)+1,"")</f>
        <v>0</v>
      </c>
      <c r="V161" s="30">
        <f>IF(AND($R161="Não",$Q161&lt;&gt;"",$Q161&lt;=Hoje+JanelaRet,$Q161&gt;=Hoje-60),MAX($V$4:$V160)+1,"")</f>
        <v>0</v>
      </c>
    </row>
    <row r="162" spans="1:22">
      <c r="A162" s="16">
        <v>46253</v>
      </c>
      <c r="B162" s="23">
        <v>0.5625</v>
      </c>
      <c r="C162" s="15" t="s">
        <v>53</v>
      </c>
      <c r="D162" s="15" t="s">
        <v>187</v>
      </c>
      <c r="E162" s="15" t="s">
        <v>58</v>
      </c>
      <c r="F162" s="24" t="s">
        <v>79</v>
      </c>
      <c r="G162" s="17"/>
      <c r="H162" s="17">
        <v>250</v>
      </c>
      <c r="I162" s="15" t="s">
        <v>71</v>
      </c>
      <c r="J162" s="25" t="str">
        <f>IF($D162="","",IFERROR(INDEX(PacNome,MATCH($D162,PacCod,0)),"Paciente não cadastrado"))</f>
        <v>Paciente 030</v>
      </c>
      <c r="K162" s="26" t="str">
        <f>IF($D162="","",IFERROR(INDEX(PacConv,MATCH($D162,PacCod,0))&amp;"",""))</f>
        <v>Particular</v>
      </c>
      <c r="L162" s="26" t="str">
        <f>IF($A162="","",CHOOSE(WEEKDAY($A162,2),"Seg","Ter","Qua","Qui","Sex","Sáb","Dom"))</f>
        <v>Qua</v>
      </c>
      <c r="M162" s="27">
        <f>IF($E162="","",IF($G162&lt;&gt;"",$G162,IFERROR(INDEX(ProcValor,MATCH($E162,ProcNome,0)),0)))</f>
        <v>250</v>
      </c>
      <c r="N162" s="27">
        <f>IF($M162="","",IF($F162="Compareceu",$M162,0))</f>
        <v>250</v>
      </c>
      <c r="O162" s="27">
        <f>IF($M162="","",IF($F162="Faltou",$M162,0))</f>
        <v>0</v>
      </c>
      <c r="P162" s="27">
        <f>IF($M162="","",IF($F162="Compareceu",MAX(0,$M162-N($H162)),0))</f>
        <v>0</v>
      </c>
      <c r="Q162" s="19">
        <f>IF(AND($F162="Compareceu",$E162&lt;&gt;"",$A162&lt;&gt;""),IF(IFERROR(INDEX(ProcRet,MATCH($E162,ProcNome,0)),0)&gt;0,$A162+INDEX(ProcRet,MATCH($E162,ProcNome,0)),""),"")</f>
        <v>0</v>
      </c>
      <c r="R162" s="26">
        <f>IF($Q162="","",IF(COUNTIFS(AgPac,$D162,AgData,"&gt;"&amp;$A162,AgStatus,"&lt;&gt;Cancelado",AgStatus,"&lt;&gt;Remarcado")&gt;0,"Sim","Não"))</f>
        <v>0</v>
      </c>
      <c r="S162" s="28">
        <f>IF($A162="","",IF(AND($F162="Agendado",$A162-Hoje&gt;=0,$A162-Hoje&lt;=DiasConf),"CONFIRMAR",IF(AND($A162&lt;Hoje,OR($F162="Agendado",$F162="Confirmado")),"Atualizar status",IF(AND($F162="Compareceu",$P162&gt;0.005),"Cobrar",IF($F162="Faltou","Falta: reagendar","")))))</f>
        <v>0</v>
      </c>
      <c r="T162" s="29">
        <f>IF($A162="","",DATE(YEAR($A162),MONTH($A162),1))</f>
        <v>46235.0</v>
      </c>
      <c r="U162" s="30">
        <f>IF($S162="CONFIRMAR",MAX($U$4:$U161)+1,"")</f>
        <v>0</v>
      </c>
      <c r="V162" s="30">
        <f>IF(AND($R162="Não",$Q162&lt;&gt;"",$Q162&lt;=Hoje+JanelaRet,$Q162&gt;=Hoje-60),MAX($V$4:$V161)+1,"")</f>
        <v>0</v>
      </c>
    </row>
    <row r="163" spans="1:22">
      <c r="A163" s="16">
        <v>46254</v>
      </c>
      <c r="B163" s="23">
        <v>0.3333333333333333</v>
      </c>
      <c r="C163" s="15" t="s">
        <v>52</v>
      </c>
      <c r="D163" s="15" t="s">
        <v>124</v>
      </c>
      <c r="E163" s="15" t="s">
        <v>63</v>
      </c>
      <c r="F163" s="24" t="s">
        <v>79</v>
      </c>
      <c r="G163" s="17">
        <v>84</v>
      </c>
      <c r="H163" s="17"/>
      <c r="I163" s="15"/>
      <c r="J163" s="25" t="str">
        <f>IF($D163="","",IFERROR(INDEX(PacNome,MATCH($D163,PacCod,0)),"Paciente não cadastrado"))</f>
        <v>Paciente 009</v>
      </c>
      <c r="K163" s="26" t="str">
        <f>IF($D163="","",IFERROR(INDEX(PacConv,MATCH($D163,PacCod,0))&amp;"",""))</f>
        <v>Convênio A</v>
      </c>
      <c r="L163" s="26" t="str">
        <f>IF($A163="","",CHOOSE(WEEKDAY($A163,2),"Seg","Ter","Qua","Qui","Sex","Sáb","Dom"))</f>
        <v>Qui</v>
      </c>
      <c r="M163" s="27">
        <f>IF($E163="","",IF($G163&lt;&gt;"",$G163,IFERROR(INDEX(ProcValor,MATCH($E163,ProcNome,0)),0)))</f>
        <v>84</v>
      </c>
      <c r="N163" s="27">
        <f>IF($M163="","",IF($F163="Compareceu",$M163,0))</f>
        <v>84</v>
      </c>
      <c r="O163" s="27">
        <f>IF($M163="","",IF($F163="Faltou",$M163,0))</f>
        <v>0</v>
      </c>
      <c r="P163" s="27">
        <f>IF($M163="","",IF($F163="Compareceu",MAX(0,$M163-N($H163)),0))</f>
        <v>84</v>
      </c>
      <c r="Q163" s="19">
        <f>IF(AND($F163="Compareceu",$E163&lt;&gt;"",$A163&lt;&gt;""),IF(IFERROR(INDEX(ProcRet,MATCH($E163,ProcNome,0)),0)&gt;0,$A163+INDEX(ProcRet,MATCH($E163,ProcNome,0)),""),"")</f>
        <v>46261.0</v>
      </c>
      <c r="R163" s="26" t="str">
        <f>IF($Q163="","",IF(COUNTIFS(AgPac,$D163,AgData,"&gt;"&amp;$A163,AgStatus,"&lt;&gt;Cancelado",AgStatus,"&lt;&gt;Remarcado")&gt;0,"Sim","Não"))</f>
        <v>Sim</v>
      </c>
      <c r="S163" s="28" t="str">
        <f>IF($A163="","",IF(AND($F163="Agendado",$A163-Hoje&gt;=0,$A163-Hoje&lt;=DiasConf),"CONFIRMAR",IF(AND($A163&lt;Hoje,OR($F163="Agendado",$F163="Confirmado")),"Atualizar status",IF(AND($F163="Compareceu",$P163&gt;0.005),"Cobrar",IF($F163="Faltou","Falta: reagendar","")))))</f>
        <v>Cobrar</v>
      </c>
      <c r="T163" s="29">
        <f>IF($A163="","",DATE(YEAR($A163),MONTH($A163),1))</f>
        <v>46235.0</v>
      </c>
      <c r="U163" s="30">
        <f>IF($S163="CONFIRMAR",MAX($U$4:$U162)+1,"")</f>
        <v>0</v>
      </c>
      <c r="V163" s="30">
        <f>IF(AND($R163="Não",$Q163&lt;&gt;"",$Q163&lt;=Hoje+JanelaRet,$Q163&gt;=Hoje-60),MAX($V$4:$V162)+1,"")</f>
        <v>0</v>
      </c>
    </row>
    <row r="164" spans="1:22">
      <c r="A164" s="16">
        <v>46254</v>
      </c>
      <c r="B164" s="23">
        <v>0.4791666666666667</v>
      </c>
      <c r="C164" s="15" t="s">
        <v>54</v>
      </c>
      <c r="D164" s="15" t="s">
        <v>184</v>
      </c>
      <c r="E164" s="15" t="s">
        <v>60</v>
      </c>
      <c r="F164" s="24" t="s">
        <v>79</v>
      </c>
      <c r="G164" s="17">
        <v>108</v>
      </c>
      <c r="H164" s="17">
        <v>54</v>
      </c>
      <c r="I164" s="15" t="s">
        <v>74</v>
      </c>
      <c r="J164" s="25" t="str">
        <f>IF($D164="","",IFERROR(INDEX(PacNome,MATCH($D164,PacCod,0)),"Paciente não cadastrado"))</f>
        <v>Paciente 029</v>
      </c>
      <c r="K164" s="26" t="str">
        <f>IF($D164="","",IFERROR(INDEX(PacConv,MATCH($D164,PacCod,0))&amp;"",""))</f>
        <v>Convênio B</v>
      </c>
      <c r="L164" s="26" t="str">
        <f>IF($A164="","",CHOOSE(WEEKDAY($A164,2),"Seg","Ter","Qua","Qui","Sex","Sáb","Dom"))</f>
        <v>Qui</v>
      </c>
      <c r="M164" s="27">
        <f>IF($E164="","",IF($G164&lt;&gt;"",$G164,IFERROR(INDEX(ProcValor,MATCH($E164,ProcNome,0)),0)))</f>
        <v>108</v>
      </c>
      <c r="N164" s="27">
        <f>IF($M164="","",IF($F164="Compareceu",$M164,0))</f>
        <v>108</v>
      </c>
      <c r="O164" s="27">
        <f>IF($M164="","",IF($F164="Faltou",$M164,0))</f>
        <v>0</v>
      </c>
      <c r="P164" s="27">
        <f>IF($M164="","",IF($F164="Compareceu",MAX(0,$M164-N($H164)),0))</f>
        <v>54</v>
      </c>
      <c r="Q164" s="19">
        <f>IF(AND($F164="Compareceu",$E164&lt;&gt;"",$A164&lt;&gt;""),IF(IFERROR(INDEX(ProcRet,MATCH($E164,ProcNome,0)),0)&gt;0,$A164+INDEX(ProcRet,MATCH($E164,ProcNome,0)),""),"")</f>
        <v>46434.0</v>
      </c>
      <c r="R164" s="26" t="str">
        <f>IF($Q164="","",IF(COUNTIFS(AgPac,$D164,AgData,"&gt;"&amp;$A164,AgStatus,"&lt;&gt;Cancelado",AgStatus,"&lt;&gt;Remarcado")&gt;0,"Sim","Não"))</f>
        <v>Sim</v>
      </c>
      <c r="S164" s="28" t="str">
        <f>IF($A164="","",IF(AND($F164="Agendado",$A164-Hoje&gt;=0,$A164-Hoje&lt;=DiasConf),"CONFIRMAR",IF(AND($A164&lt;Hoje,OR($F164="Agendado",$F164="Confirmado")),"Atualizar status",IF(AND($F164="Compareceu",$P164&gt;0.005),"Cobrar",IF($F164="Faltou","Falta: reagendar","")))))</f>
        <v>Cobrar</v>
      </c>
      <c r="T164" s="29">
        <f>IF($A164="","",DATE(YEAR($A164),MONTH($A164),1))</f>
        <v>46235.0</v>
      </c>
      <c r="U164" s="30">
        <f>IF($S164="CONFIRMAR",MAX($U$4:$U163)+1,"")</f>
        <v>0</v>
      </c>
      <c r="V164" s="30">
        <f>IF(AND($R164="Não",$Q164&lt;&gt;"",$Q164&lt;=Hoje+JanelaRet,$Q164&gt;=Hoje-60),MAX($V$4:$V163)+1,"")</f>
        <v>0</v>
      </c>
    </row>
    <row r="165" spans="1:22">
      <c r="A165" s="16">
        <v>46254</v>
      </c>
      <c r="B165" s="23">
        <v>0.5</v>
      </c>
      <c r="C165" s="15" t="s">
        <v>51</v>
      </c>
      <c r="D165" s="15" t="s">
        <v>157</v>
      </c>
      <c r="E165" s="15" t="s">
        <v>58</v>
      </c>
      <c r="F165" s="24" t="s">
        <v>80</v>
      </c>
      <c r="G165" s="17"/>
      <c r="H165" s="17"/>
      <c r="I165" s="15"/>
      <c r="J165" s="25" t="str">
        <f>IF($D165="","",IFERROR(INDEX(PacNome,MATCH($D165,PacCod,0)),"Paciente não cadastrado"))</f>
        <v>Paciente 020</v>
      </c>
      <c r="K165" s="26" t="str">
        <f>IF($D165="","",IFERROR(INDEX(PacConv,MATCH($D165,PacCod,0))&amp;"",""))</f>
        <v>Particular</v>
      </c>
      <c r="L165" s="26" t="str">
        <f>IF($A165="","",CHOOSE(WEEKDAY($A165,2),"Seg","Ter","Qua","Qui","Sex","Sáb","Dom"))</f>
        <v>Qui</v>
      </c>
      <c r="M165" s="27">
        <f>IF($E165="","",IF($G165&lt;&gt;"",$G165,IFERROR(INDEX(ProcValor,MATCH($E165,ProcNome,0)),0)))</f>
        <v>250</v>
      </c>
      <c r="N165" s="27">
        <f>IF($M165="","",IF($F165="Compareceu",$M165,0))</f>
        <v>0</v>
      </c>
      <c r="O165" s="27">
        <f>IF($M165="","",IF($F165="Faltou",$M165,0))</f>
        <v>250</v>
      </c>
      <c r="P165" s="27">
        <f>IF($M165="","",IF($F165="Compareceu",MAX(0,$M165-N($H165)),0))</f>
        <v>0</v>
      </c>
      <c r="Q165" s="19">
        <f>IF(AND($F165="Compareceu",$E165&lt;&gt;"",$A165&lt;&gt;""),IF(IFERROR(INDEX(ProcRet,MATCH($E165,ProcNome,0)),0)&gt;0,$A165+INDEX(ProcRet,MATCH($E165,ProcNome,0)),""),"")</f>
        <v>0</v>
      </c>
      <c r="R165" s="26">
        <f>IF($Q165="","",IF(COUNTIFS(AgPac,$D165,AgData,"&gt;"&amp;$A165,AgStatus,"&lt;&gt;Cancelado",AgStatus,"&lt;&gt;Remarcado")&gt;0,"Sim","Não"))</f>
        <v>0</v>
      </c>
      <c r="S165" s="28" t="str">
        <f>IF($A165="","",IF(AND($F165="Agendado",$A165-Hoje&gt;=0,$A165-Hoje&lt;=DiasConf),"CONFIRMAR",IF(AND($A165&lt;Hoje,OR($F165="Agendado",$F165="Confirmado")),"Atualizar status",IF(AND($F165="Compareceu",$P165&gt;0.005),"Cobrar",IF($F165="Faltou","Falta: reagendar","")))))</f>
        <v>Falta: reagendar</v>
      </c>
      <c r="T165" s="29">
        <f>IF($A165="","",DATE(YEAR($A165),MONTH($A165),1))</f>
        <v>46235.0</v>
      </c>
      <c r="U165" s="30">
        <f>IF($S165="CONFIRMAR",MAX($U$4:$U164)+1,"")</f>
        <v>0</v>
      </c>
      <c r="V165" s="30">
        <f>IF(AND($R165="Não",$Q165&lt;&gt;"",$Q165&lt;=Hoje+JanelaRet,$Q165&gt;=Hoje-60),MAX($V$4:$V164)+1,"")</f>
        <v>0</v>
      </c>
    </row>
    <row r="166" spans="1:22">
      <c r="A166" s="16">
        <v>46254</v>
      </c>
      <c r="B166" s="23">
        <v>0.6041666666666666</v>
      </c>
      <c r="C166" s="15" t="s">
        <v>51</v>
      </c>
      <c r="D166" s="15" t="s">
        <v>127</v>
      </c>
      <c r="E166" s="15" t="s">
        <v>61</v>
      </c>
      <c r="F166" s="24" t="s">
        <v>79</v>
      </c>
      <c r="G166" s="17"/>
      <c r="H166" s="17">
        <v>120</v>
      </c>
      <c r="I166" s="15" t="s">
        <v>71</v>
      </c>
      <c r="J166" s="25" t="str">
        <f>IF($D166="","",IFERROR(INDEX(PacNome,MATCH($D166,PacCod,0)),"Paciente não cadastrado"))</f>
        <v>Paciente 010</v>
      </c>
      <c r="K166" s="26" t="str">
        <f>IF($D166="","",IFERROR(INDEX(PacConv,MATCH($D166,PacCod,0))&amp;"",""))</f>
        <v>Particular</v>
      </c>
      <c r="L166" s="26" t="str">
        <f>IF($A166="","",CHOOSE(WEEKDAY($A166,2),"Seg","Ter","Qua","Qui","Sex","Sáb","Dom"))</f>
        <v>Qui</v>
      </c>
      <c r="M166" s="27">
        <f>IF($E166="","",IF($G166&lt;&gt;"",$G166,IFERROR(INDEX(ProcValor,MATCH($E166,ProcNome,0)),0)))</f>
        <v>120</v>
      </c>
      <c r="N166" s="27">
        <f>IF($M166="","",IF($F166="Compareceu",$M166,0))</f>
        <v>120</v>
      </c>
      <c r="O166" s="27">
        <f>IF($M166="","",IF($F166="Faltou",$M166,0))</f>
        <v>0</v>
      </c>
      <c r="P166" s="27">
        <f>IF($M166="","",IF($F166="Compareceu",MAX(0,$M166-N($H166)),0))</f>
        <v>0</v>
      </c>
      <c r="Q166" s="19">
        <f>IF(AND($F166="Compareceu",$E166&lt;&gt;"",$A166&lt;&gt;""),IF(IFERROR(INDEX(ProcRet,MATCH($E166,ProcNome,0)),0)&gt;0,$A166+INDEX(ProcRet,MATCH($E166,ProcNome,0)),""),"")</f>
        <v>46284.0</v>
      </c>
      <c r="R166" s="26" t="str">
        <f>IF($Q166="","",IF(COUNTIFS(AgPac,$D166,AgData,"&gt;"&amp;$A166,AgStatus,"&lt;&gt;Cancelado",AgStatus,"&lt;&gt;Remarcado")&gt;0,"Sim","Não"))</f>
        <v>Sim</v>
      </c>
      <c r="S166" s="28">
        <f>IF($A166="","",IF(AND($F166="Agendado",$A166-Hoje&gt;=0,$A166-Hoje&lt;=DiasConf),"CONFIRMAR",IF(AND($A166&lt;Hoje,OR($F166="Agendado",$F166="Confirmado")),"Atualizar status",IF(AND($F166="Compareceu",$P166&gt;0.005),"Cobrar",IF($F166="Faltou","Falta: reagendar","")))))</f>
        <v>0</v>
      </c>
      <c r="T166" s="29">
        <f>IF($A166="","",DATE(YEAR($A166),MONTH($A166),1))</f>
        <v>46235.0</v>
      </c>
      <c r="U166" s="30">
        <f>IF($S166="CONFIRMAR",MAX($U$4:$U165)+1,"")</f>
        <v>0</v>
      </c>
      <c r="V166" s="30">
        <f>IF(AND($R166="Não",$Q166&lt;&gt;"",$Q166&lt;=Hoje+JanelaRet,$Q166&gt;=Hoje-60),MAX($V$4:$V165)+1,"")</f>
        <v>0</v>
      </c>
    </row>
    <row r="167" spans="1:22">
      <c r="A167" s="16">
        <v>46254</v>
      </c>
      <c r="B167" s="23">
        <v>0.7083333333333334</v>
      </c>
      <c r="C167" s="15" t="s">
        <v>52</v>
      </c>
      <c r="D167" s="15" t="s">
        <v>181</v>
      </c>
      <c r="E167" s="15" t="s">
        <v>64</v>
      </c>
      <c r="F167" s="24" t="s">
        <v>79</v>
      </c>
      <c r="G167" s="17">
        <v>54</v>
      </c>
      <c r="H167" s="17">
        <v>27</v>
      </c>
      <c r="I167" s="15" t="s">
        <v>73</v>
      </c>
      <c r="J167" s="25" t="str">
        <f>IF($D167="","",IFERROR(INDEX(PacNome,MATCH($D167,PacCod,0)),"Paciente não cadastrado"))</f>
        <v>Paciente 028</v>
      </c>
      <c r="K167" s="26" t="str">
        <f>IF($D167="","",IFERROR(INDEX(PacConv,MATCH($D167,PacCod,0))&amp;"",""))</f>
        <v>Convênio B</v>
      </c>
      <c r="L167" s="26" t="str">
        <f>IF($A167="","",CHOOSE(WEEKDAY($A167,2),"Seg","Ter","Qua","Qui","Sex","Sáb","Dom"))</f>
        <v>Qui</v>
      </c>
      <c r="M167" s="27">
        <f>IF($E167="","",IF($G167&lt;&gt;"",$G167,IFERROR(INDEX(ProcValor,MATCH($E167,ProcNome,0)),0)))</f>
        <v>54</v>
      </c>
      <c r="N167" s="27">
        <f>IF($M167="","",IF($F167="Compareceu",$M167,0))</f>
        <v>54</v>
      </c>
      <c r="O167" s="27">
        <f>IF($M167="","",IF($F167="Faltou",$M167,0))</f>
        <v>0</v>
      </c>
      <c r="P167" s="27">
        <f>IF($M167="","",IF($F167="Compareceu",MAX(0,$M167-N($H167)),0))</f>
        <v>27</v>
      </c>
      <c r="Q167" s="19">
        <f>IF(AND($F167="Compareceu",$E167&lt;&gt;"",$A167&lt;&gt;""),IF(IFERROR(INDEX(ProcRet,MATCH($E167,ProcNome,0)),0)&gt;0,$A167+INDEX(ProcRet,MATCH($E167,ProcNome,0)),""),"")</f>
        <v>0</v>
      </c>
      <c r="R167" s="26">
        <f>IF($Q167="","",IF(COUNTIFS(AgPac,$D167,AgData,"&gt;"&amp;$A167,AgStatus,"&lt;&gt;Cancelado",AgStatus,"&lt;&gt;Remarcado")&gt;0,"Sim","Não"))</f>
        <v>0</v>
      </c>
      <c r="S167" s="28" t="str">
        <f>IF($A167="","",IF(AND($F167="Agendado",$A167-Hoje&gt;=0,$A167-Hoje&lt;=DiasConf),"CONFIRMAR",IF(AND($A167&lt;Hoje,OR($F167="Agendado",$F167="Confirmado")),"Atualizar status",IF(AND($F167="Compareceu",$P167&gt;0.005),"Cobrar",IF($F167="Faltou","Falta: reagendar","")))))</f>
        <v>Cobrar</v>
      </c>
      <c r="T167" s="29">
        <f>IF($A167="","",DATE(YEAR($A167),MONTH($A167),1))</f>
        <v>46235.0</v>
      </c>
      <c r="U167" s="30">
        <f>IF($S167="CONFIRMAR",MAX($U$4:$U166)+1,"")</f>
        <v>0</v>
      </c>
      <c r="V167" s="30">
        <f>IF(AND($R167="Não",$Q167&lt;&gt;"",$Q167&lt;=Hoje+JanelaRet,$Q167&gt;=Hoje-60),MAX($V$4:$V166)+1,"")</f>
        <v>0</v>
      </c>
    </row>
    <row r="168" spans="1:22">
      <c r="A168" s="16">
        <v>46255</v>
      </c>
      <c r="B168" s="23">
        <v>0.375</v>
      </c>
      <c r="C168" s="15" t="s">
        <v>52</v>
      </c>
      <c r="D168" s="15" t="s">
        <v>190</v>
      </c>
      <c r="E168" s="15" t="s">
        <v>64</v>
      </c>
      <c r="F168" s="24" t="s">
        <v>80</v>
      </c>
      <c r="G168" s="17"/>
      <c r="H168" s="17"/>
      <c r="I168" s="15"/>
      <c r="J168" s="25" t="str">
        <f>IF($D168="","",IFERROR(INDEX(PacNome,MATCH($D168,PacCod,0)),"Paciente não cadastrado"))</f>
        <v>Paciente 031</v>
      </c>
      <c r="K168" s="26" t="str">
        <f>IF($D168="","",IFERROR(INDEX(PacConv,MATCH($D168,PacCod,0))&amp;"",""))</f>
        <v>Particular</v>
      </c>
      <c r="L168" s="26" t="str">
        <f>IF($A168="","",CHOOSE(WEEKDAY($A168,2),"Seg","Ter","Qua","Qui","Sex","Sáb","Dom"))</f>
        <v>Sex</v>
      </c>
      <c r="M168" s="27">
        <f>IF($E168="","",IF($G168&lt;&gt;"",$G168,IFERROR(INDEX(ProcValor,MATCH($E168,ProcNome,0)),0)))</f>
        <v>90</v>
      </c>
      <c r="N168" s="27">
        <f>IF($M168="","",IF($F168="Compareceu",$M168,0))</f>
        <v>0</v>
      </c>
      <c r="O168" s="27">
        <f>IF($M168="","",IF($F168="Faltou",$M168,0))</f>
        <v>90</v>
      </c>
      <c r="P168" s="27">
        <f>IF($M168="","",IF($F168="Compareceu",MAX(0,$M168-N($H168)),0))</f>
        <v>0</v>
      </c>
      <c r="Q168" s="19">
        <f>IF(AND($F168="Compareceu",$E168&lt;&gt;"",$A168&lt;&gt;""),IF(IFERROR(INDEX(ProcRet,MATCH($E168,ProcNome,0)),0)&gt;0,$A168+INDEX(ProcRet,MATCH($E168,ProcNome,0)),""),"")</f>
        <v>0</v>
      </c>
      <c r="R168" s="26">
        <f>IF($Q168="","",IF(COUNTIFS(AgPac,$D168,AgData,"&gt;"&amp;$A168,AgStatus,"&lt;&gt;Cancelado",AgStatus,"&lt;&gt;Remarcado")&gt;0,"Sim","Não"))</f>
        <v>0</v>
      </c>
      <c r="S168" s="28" t="str">
        <f>IF($A168="","",IF(AND($F168="Agendado",$A168-Hoje&gt;=0,$A168-Hoje&lt;=DiasConf),"CONFIRMAR",IF(AND($A168&lt;Hoje,OR($F168="Agendado",$F168="Confirmado")),"Atualizar status",IF(AND($F168="Compareceu",$P168&gt;0.005),"Cobrar",IF($F168="Faltou","Falta: reagendar","")))))</f>
        <v>Falta: reagendar</v>
      </c>
      <c r="T168" s="29">
        <f>IF($A168="","",DATE(YEAR($A168),MONTH($A168),1))</f>
        <v>46235.0</v>
      </c>
      <c r="U168" s="30">
        <f>IF($S168="CONFIRMAR",MAX($U$4:$U167)+1,"")</f>
        <v>0</v>
      </c>
      <c r="V168" s="30">
        <f>IF(AND($R168="Não",$Q168&lt;&gt;"",$Q168&lt;=Hoje+JanelaRet,$Q168&gt;=Hoje-60),MAX($V$4:$V167)+1,"")</f>
        <v>0</v>
      </c>
    </row>
    <row r="169" spans="1:22">
      <c r="A169" s="16">
        <v>46255</v>
      </c>
      <c r="B169" s="23">
        <v>0.4166666666666667</v>
      </c>
      <c r="C169" s="15" t="s">
        <v>52</v>
      </c>
      <c r="D169" s="15" t="s">
        <v>160</v>
      </c>
      <c r="E169" s="15" t="s">
        <v>63</v>
      </c>
      <c r="F169" s="24" t="s">
        <v>80</v>
      </c>
      <c r="G169" s="17"/>
      <c r="H169" s="17"/>
      <c r="I169" s="15"/>
      <c r="J169" s="25" t="str">
        <f>IF($D169="","",IFERROR(INDEX(PacNome,MATCH($D169,PacCod,0)),"Paciente não cadastrado"))</f>
        <v>Paciente 021</v>
      </c>
      <c r="K169" s="26" t="str">
        <f>IF($D169="","",IFERROR(INDEX(PacConv,MATCH($D169,PacCod,0))&amp;"",""))</f>
        <v>Convênio A</v>
      </c>
      <c r="L169" s="26" t="str">
        <f>IF($A169="","",CHOOSE(WEEKDAY($A169,2),"Seg","Ter","Qua","Qui","Sex","Sáb","Dom"))</f>
        <v>Sex</v>
      </c>
      <c r="M169" s="27">
        <f>IF($E169="","",IF($G169&lt;&gt;"",$G169,IFERROR(INDEX(ProcValor,MATCH($E169,ProcNome,0)),0)))</f>
        <v>140</v>
      </c>
      <c r="N169" s="27">
        <f>IF($M169="","",IF($F169="Compareceu",$M169,0))</f>
        <v>0</v>
      </c>
      <c r="O169" s="27">
        <f>IF($M169="","",IF($F169="Faltou",$M169,0))</f>
        <v>140</v>
      </c>
      <c r="P169" s="27">
        <f>IF($M169="","",IF($F169="Compareceu",MAX(0,$M169-N($H169)),0))</f>
        <v>0</v>
      </c>
      <c r="Q169" s="19">
        <f>IF(AND($F169="Compareceu",$E169&lt;&gt;"",$A169&lt;&gt;""),IF(IFERROR(INDEX(ProcRet,MATCH($E169,ProcNome,0)),0)&gt;0,$A169+INDEX(ProcRet,MATCH($E169,ProcNome,0)),""),"")</f>
        <v>0</v>
      </c>
      <c r="R169" s="26">
        <f>IF($Q169="","",IF(COUNTIFS(AgPac,$D169,AgData,"&gt;"&amp;$A169,AgStatus,"&lt;&gt;Cancelado",AgStatus,"&lt;&gt;Remarcado")&gt;0,"Sim","Não"))</f>
        <v>0</v>
      </c>
      <c r="S169" s="28" t="str">
        <f>IF($A169="","",IF(AND($F169="Agendado",$A169-Hoje&gt;=0,$A169-Hoje&lt;=DiasConf),"CONFIRMAR",IF(AND($A169&lt;Hoje,OR($F169="Agendado",$F169="Confirmado")),"Atualizar status",IF(AND($F169="Compareceu",$P169&gt;0.005),"Cobrar",IF($F169="Faltou","Falta: reagendar","")))))</f>
        <v>Falta: reagendar</v>
      </c>
      <c r="T169" s="29">
        <f>IF($A169="","",DATE(YEAR($A169),MONTH($A169),1))</f>
        <v>46235.0</v>
      </c>
      <c r="U169" s="30">
        <f>IF($S169="CONFIRMAR",MAX($U$4:$U168)+1,"")</f>
        <v>0</v>
      </c>
      <c r="V169" s="30">
        <f>IF(AND($R169="Não",$Q169&lt;&gt;"",$Q169&lt;=Hoje+JanelaRet,$Q169&gt;=Hoje-60),MAX($V$4:$V168)+1,"")</f>
        <v>0</v>
      </c>
    </row>
    <row r="170" spans="1:22">
      <c r="A170" s="16">
        <v>46255</v>
      </c>
      <c r="B170" s="23">
        <v>0.5208333333333334</v>
      </c>
      <c r="C170" s="15" t="s">
        <v>53</v>
      </c>
      <c r="D170" s="15" t="s">
        <v>202</v>
      </c>
      <c r="E170" s="15" t="s">
        <v>58</v>
      </c>
      <c r="F170" s="24" t="s">
        <v>79</v>
      </c>
      <c r="G170" s="17"/>
      <c r="H170" s="17">
        <v>250</v>
      </c>
      <c r="I170" s="15" t="s">
        <v>73</v>
      </c>
      <c r="J170" s="25" t="str">
        <f>IF($D170="","",IFERROR(INDEX(PacNome,MATCH($D170,PacCod,0)),"Paciente não cadastrado"))</f>
        <v>Paciente 035</v>
      </c>
      <c r="K170" s="26" t="str">
        <f>IF($D170="","",IFERROR(INDEX(PacConv,MATCH($D170,PacCod,0))&amp;"",""))</f>
        <v>Particular</v>
      </c>
      <c r="L170" s="26" t="str">
        <f>IF($A170="","",CHOOSE(WEEKDAY($A170,2),"Seg","Ter","Qua","Qui","Sex","Sáb","Dom"))</f>
        <v>Sex</v>
      </c>
      <c r="M170" s="27">
        <f>IF($E170="","",IF($G170&lt;&gt;"",$G170,IFERROR(INDEX(ProcValor,MATCH($E170,ProcNome,0)),0)))</f>
        <v>250</v>
      </c>
      <c r="N170" s="27">
        <f>IF($M170="","",IF($F170="Compareceu",$M170,0))</f>
        <v>250</v>
      </c>
      <c r="O170" s="27">
        <f>IF($M170="","",IF($F170="Faltou",$M170,0))</f>
        <v>0</v>
      </c>
      <c r="P170" s="27">
        <f>IF($M170="","",IF($F170="Compareceu",MAX(0,$M170-N($H170)),0))</f>
        <v>0</v>
      </c>
      <c r="Q170" s="19">
        <f>IF(AND($F170="Compareceu",$E170&lt;&gt;"",$A170&lt;&gt;""),IF(IFERROR(INDEX(ProcRet,MATCH($E170,ProcNome,0)),0)&gt;0,$A170+INDEX(ProcRet,MATCH($E170,ProcNome,0)),""),"")</f>
        <v>0</v>
      </c>
      <c r="R170" s="26">
        <f>IF($Q170="","",IF(COUNTIFS(AgPac,$D170,AgData,"&gt;"&amp;$A170,AgStatus,"&lt;&gt;Cancelado",AgStatus,"&lt;&gt;Remarcado")&gt;0,"Sim","Não"))</f>
        <v>0</v>
      </c>
      <c r="S170" s="28">
        <f>IF($A170="","",IF(AND($F170="Agendado",$A170-Hoje&gt;=0,$A170-Hoje&lt;=DiasConf),"CONFIRMAR",IF(AND($A170&lt;Hoje,OR($F170="Agendado",$F170="Confirmado")),"Atualizar status",IF(AND($F170="Compareceu",$P170&gt;0.005),"Cobrar",IF($F170="Faltou","Falta: reagendar","")))))</f>
        <v>0</v>
      </c>
      <c r="T170" s="29">
        <f>IF($A170="","",DATE(YEAR($A170),MONTH($A170),1))</f>
        <v>46235.0</v>
      </c>
      <c r="U170" s="30">
        <f>IF($S170="CONFIRMAR",MAX($U$4:$U169)+1,"")</f>
        <v>0</v>
      </c>
      <c r="V170" s="30">
        <f>IF(AND($R170="Não",$Q170&lt;&gt;"",$Q170&lt;=Hoje+JanelaRet,$Q170&gt;=Hoje-60),MAX($V$4:$V169)+1,"")</f>
        <v>0</v>
      </c>
    </row>
    <row r="171" spans="1:22">
      <c r="A171" s="16">
        <v>46255</v>
      </c>
      <c r="B171" s="23">
        <v>0.6458333333333334</v>
      </c>
      <c r="C171" s="15" t="s">
        <v>51</v>
      </c>
      <c r="D171" s="15" t="s">
        <v>151</v>
      </c>
      <c r="E171" s="15" t="s">
        <v>58</v>
      </c>
      <c r="F171" s="24" t="s">
        <v>80</v>
      </c>
      <c r="G171" s="17"/>
      <c r="H171" s="17"/>
      <c r="I171" s="15"/>
      <c r="J171" s="25" t="str">
        <f>IF($D171="","",IFERROR(INDEX(PacNome,MATCH($D171,PacCod,0)),"Paciente não cadastrado"))</f>
        <v>Paciente 018</v>
      </c>
      <c r="K171" s="26" t="str">
        <f>IF($D171="","",IFERROR(INDEX(PacConv,MATCH($D171,PacCod,0))&amp;"",""))</f>
        <v>Particular</v>
      </c>
      <c r="L171" s="26" t="str">
        <f>IF($A171="","",CHOOSE(WEEKDAY($A171,2),"Seg","Ter","Qua","Qui","Sex","Sáb","Dom"))</f>
        <v>Sex</v>
      </c>
      <c r="M171" s="27">
        <f>IF($E171="","",IF($G171&lt;&gt;"",$G171,IFERROR(INDEX(ProcValor,MATCH($E171,ProcNome,0)),0)))</f>
        <v>250</v>
      </c>
      <c r="N171" s="27">
        <f>IF($M171="","",IF($F171="Compareceu",$M171,0))</f>
        <v>0</v>
      </c>
      <c r="O171" s="27">
        <f>IF($M171="","",IF($F171="Faltou",$M171,0))</f>
        <v>250</v>
      </c>
      <c r="P171" s="27">
        <f>IF($M171="","",IF($F171="Compareceu",MAX(0,$M171-N($H171)),0))</f>
        <v>0</v>
      </c>
      <c r="Q171" s="19">
        <f>IF(AND($F171="Compareceu",$E171&lt;&gt;"",$A171&lt;&gt;""),IF(IFERROR(INDEX(ProcRet,MATCH($E171,ProcNome,0)),0)&gt;0,$A171+INDEX(ProcRet,MATCH($E171,ProcNome,0)),""),"")</f>
        <v>0</v>
      </c>
      <c r="R171" s="26">
        <f>IF($Q171="","",IF(COUNTIFS(AgPac,$D171,AgData,"&gt;"&amp;$A171,AgStatus,"&lt;&gt;Cancelado",AgStatus,"&lt;&gt;Remarcado")&gt;0,"Sim","Não"))</f>
        <v>0</v>
      </c>
      <c r="S171" s="28" t="str">
        <f>IF($A171="","",IF(AND($F171="Agendado",$A171-Hoje&gt;=0,$A171-Hoje&lt;=DiasConf),"CONFIRMAR",IF(AND($A171&lt;Hoje,OR($F171="Agendado",$F171="Confirmado")),"Atualizar status",IF(AND($F171="Compareceu",$P171&gt;0.005),"Cobrar",IF($F171="Faltou","Falta: reagendar","")))))</f>
        <v>Falta: reagendar</v>
      </c>
      <c r="T171" s="29">
        <f>IF($A171="","",DATE(YEAR($A171),MONTH($A171),1))</f>
        <v>46235.0</v>
      </c>
      <c r="U171" s="30">
        <f>IF($S171="CONFIRMAR",MAX($U$4:$U170)+1,"")</f>
        <v>0</v>
      </c>
      <c r="V171" s="30">
        <f>IF(AND($R171="Não",$Q171&lt;&gt;"",$Q171&lt;=Hoje+JanelaRet,$Q171&gt;=Hoje-60),MAX($V$4:$V170)+1,"")</f>
        <v>0</v>
      </c>
    </row>
    <row r="172" spans="1:22">
      <c r="A172" s="16">
        <v>46255</v>
      </c>
      <c r="B172" s="23">
        <v>0.6666666666666666</v>
      </c>
      <c r="C172" s="15" t="s">
        <v>51</v>
      </c>
      <c r="D172" s="15" t="s">
        <v>187</v>
      </c>
      <c r="E172" s="15" t="s">
        <v>62</v>
      </c>
      <c r="F172" s="24" t="s">
        <v>79</v>
      </c>
      <c r="G172" s="17"/>
      <c r="H172" s="17">
        <v>350</v>
      </c>
      <c r="I172" s="15" t="s">
        <v>73</v>
      </c>
      <c r="J172" s="25" t="str">
        <f>IF($D172="","",IFERROR(INDEX(PacNome,MATCH($D172,PacCod,0)),"Paciente não cadastrado"))</f>
        <v>Paciente 030</v>
      </c>
      <c r="K172" s="26" t="str">
        <f>IF($D172="","",IFERROR(INDEX(PacConv,MATCH($D172,PacCod,0))&amp;"",""))</f>
        <v>Particular</v>
      </c>
      <c r="L172" s="26" t="str">
        <f>IF($A172="","",CHOOSE(WEEKDAY($A172,2),"Seg","Ter","Qua","Qui","Sex","Sáb","Dom"))</f>
        <v>Sex</v>
      </c>
      <c r="M172" s="27">
        <f>IF($E172="","",IF($G172&lt;&gt;"",$G172,IFERROR(INDEX(ProcValor,MATCH($E172,ProcNome,0)),0)))</f>
        <v>350</v>
      </c>
      <c r="N172" s="27">
        <f>IF($M172="","",IF($F172="Compareceu",$M172,0))</f>
        <v>350</v>
      </c>
      <c r="O172" s="27">
        <f>IF($M172="","",IF($F172="Faltou",$M172,0))</f>
        <v>0</v>
      </c>
      <c r="P172" s="27">
        <f>IF($M172="","",IF($F172="Compareceu",MAX(0,$M172-N($H172)),0))</f>
        <v>0</v>
      </c>
      <c r="Q172" s="19">
        <f>IF(AND($F172="Compareceu",$E172&lt;&gt;"",$A172&lt;&gt;""),IF(IFERROR(INDEX(ProcRet,MATCH($E172,ProcNome,0)),0)&gt;0,$A172+INDEX(ProcRet,MATCH($E172,ProcNome,0)),""),"")</f>
        <v>46270.0</v>
      </c>
      <c r="R172" s="26" t="str">
        <f>IF($Q172="","",IF(COUNTIFS(AgPac,$D172,AgData,"&gt;"&amp;$A172,AgStatus,"&lt;&gt;Cancelado",AgStatus,"&lt;&gt;Remarcado")&gt;0,"Sim","Não"))</f>
        <v>Sim</v>
      </c>
      <c r="S172" s="28">
        <f>IF($A172="","",IF(AND($F172="Agendado",$A172-Hoje&gt;=0,$A172-Hoje&lt;=DiasConf),"CONFIRMAR",IF(AND($A172&lt;Hoje,OR($F172="Agendado",$F172="Confirmado")),"Atualizar status",IF(AND($F172="Compareceu",$P172&gt;0.005),"Cobrar",IF($F172="Faltou","Falta: reagendar","")))))</f>
        <v>0</v>
      </c>
      <c r="T172" s="29">
        <f>IF($A172="","",DATE(YEAR($A172),MONTH($A172),1))</f>
        <v>46235.0</v>
      </c>
      <c r="U172" s="30">
        <f>IF($S172="CONFIRMAR",MAX($U$4:$U171)+1,"")</f>
        <v>0</v>
      </c>
      <c r="V172" s="30">
        <f>IF(AND($R172="Não",$Q172&lt;&gt;"",$Q172&lt;=Hoje+JanelaRet,$Q172&gt;=Hoje-60),MAX($V$4:$V171)+1,"")</f>
        <v>0</v>
      </c>
    </row>
    <row r="173" spans="1:22">
      <c r="A173" s="16">
        <v>46256</v>
      </c>
      <c r="B173" s="23">
        <v>0.5625</v>
      </c>
      <c r="C173" s="15" t="s">
        <v>54</v>
      </c>
      <c r="D173" s="15" t="s">
        <v>157</v>
      </c>
      <c r="E173" s="15" t="s">
        <v>61</v>
      </c>
      <c r="F173" s="24" t="s">
        <v>79</v>
      </c>
      <c r="G173" s="17"/>
      <c r="H173" s="17"/>
      <c r="I173" s="15"/>
      <c r="J173" s="25" t="str">
        <f>IF($D173="","",IFERROR(INDEX(PacNome,MATCH($D173,PacCod,0)),"Paciente não cadastrado"))</f>
        <v>Paciente 020</v>
      </c>
      <c r="K173" s="26" t="str">
        <f>IF($D173="","",IFERROR(INDEX(PacConv,MATCH($D173,PacCod,0))&amp;"",""))</f>
        <v>Particular</v>
      </c>
      <c r="L173" s="26" t="str">
        <f>IF($A173="","",CHOOSE(WEEKDAY($A173,2),"Seg","Ter","Qua","Qui","Sex","Sáb","Dom"))</f>
        <v>Sáb</v>
      </c>
      <c r="M173" s="27">
        <f>IF($E173="","",IF($G173&lt;&gt;"",$G173,IFERROR(INDEX(ProcValor,MATCH($E173,ProcNome,0)),0)))</f>
        <v>120</v>
      </c>
      <c r="N173" s="27">
        <f>IF($M173="","",IF($F173="Compareceu",$M173,0))</f>
        <v>120</v>
      </c>
      <c r="O173" s="27">
        <f>IF($M173="","",IF($F173="Faltou",$M173,0))</f>
        <v>0</v>
      </c>
      <c r="P173" s="27">
        <f>IF($M173="","",IF($F173="Compareceu",MAX(0,$M173-N($H173)),0))</f>
        <v>120</v>
      </c>
      <c r="Q173" s="19">
        <f>IF(AND($F173="Compareceu",$E173&lt;&gt;"",$A173&lt;&gt;""),IF(IFERROR(INDEX(ProcRet,MATCH($E173,ProcNome,0)),0)&gt;0,$A173+INDEX(ProcRet,MATCH($E173,ProcNome,0)),""),"")</f>
        <v>46286.0</v>
      </c>
      <c r="R173" s="26" t="str">
        <f>IF($Q173="","",IF(COUNTIFS(AgPac,$D173,AgData,"&gt;"&amp;$A173,AgStatus,"&lt;&gt;Cancelado",AgStatus,"&lt;&gt;Remarcado")&gt;0,"Sim","Não"))</f>
        <v>Sim</v>
      </c>
      <c r="S173" s="28" t="str">
        <f>IF($A173="","",IF(AND($F173="Agendado",$A173-Hoje&gt;=0,$A173-Hoje&lt;=DiasConf),"CONFIRMAR",IF(AND($A173&lt;Hoje,OR($F173="Agendado",$F173="Confirmado")),"Atualizar status",IF(AND($F173="Compareceu",$P173&gt;0.005),"Cobrar",IF($F173="Faltou","Falta: reagendar","")))))</f>
        <v>Cobrar</v>
      </c>
      <c r="T173" s="29">
        <f>IF($A173="","",DATE(YEAR($A173),MONTH($A173),1))</f>
        <v>46235.0</v>
      </c>
      <c r="U173" s="30">
        <f>IF($S173="CONFIRMAR",MAX($U$4:$U172)+1,"")</f>
        <v>0</v>
      </c>
      <c r="V173" s="30">
        <f>IF(AND($R173="Não",$Q173&lt;&gt;"",$Q173&lt;=Hoje+JanelaRet,$Q173&gt;=Hoje-60),MAX($V$4:$V172)+1,"")</f>
        <v>0</v>
      </c>
    </row>
    <row r="174" spans="1:22">
      <c r="A174" s="16">
        <v>46256</v>
      </c>
      <c r="B174" s="23">
        <v>0.6458333333333334</v>
      </c>
      <c r="C174" s="15" t="s">
        <v>51</v>
      </c>
      <c r="D174" s="15" t="s">
        <v>181</v>
      </c>
      <c r="E174" s="15" t="s">
        <v>64</v>
      </c>
      <c r="F174" s="24" t="s">
        <v>79</v>
      </c>
      <c r="G174" s="17">
        <v>54</v>
      </c>
      <c r="H174" s="17">
        <v>54</v>
      </c>
      <c r="I174" s="15" t="s">
        <v>73</v>
      </c>
      <c r="J174" s="25" t="str">
        <f>IF($D174="","",IFERROR(INDEX(PacNome,MATCH($D174,PacCod,0)),"Paciente não cadastrado"))</f>
        <v>Paciente 028</v>
      </c>
      <c r="K174" s="26" t="str">
        <f>IF($D174="","",IFERROR(INDEX(PacConv,MATCH($D174,PacCod,0))&amp;"",""))</f>
        <v>Convênio B</v>
      </c>
      <c r="L174" s="26" t="str">
        <f>IF($A174="","",CHOOSE(WEEKDAY($A174,2),"Seg","Ter","Qua","Qui","Sex","Sáb","Dom"))</f>
        <v>Sáb</v>
      </c>
      <c r="M174" s="27">
        <f>IF($E174="","",IF($G174&lt;&gt;"",$G174,IFERROR(INDEX(ProcValor,MATCH($E174,ProcNome,0)),0)))</f>
        <v>54</v>
      </c>
      <c r="N174" s="27">
        <f>IF($M174="","",IF($F174="Compareceu",$M174,0))</f>
        <v>54</v>
      </c>
      <c r="O174" s="27">
        <f>IF($M174="","",IF($F174="Faltou",$M174,0))</f>
        <v>0</v>
      </c>
      <c r="P174" s="27">
        <f>IF($M174="","",IF($F174="Compareceu",MAX(0,$M174-N($H174)),0))</f>
        <v>0</v>
      </c>
      <c r="Q174" s="19">
        <f>IF(AND($F174="Compareceu",$E174&lt;&gt;"",$A174&lt;&gt;""),IF(IFERROR(INDEX(ProcRet,MATCH($E174,ProcNome,0)),0)&gt;0,$A174+INDEX(ProcRet,MATCH($E174,ProcNome,0)),""),"")</f>
        <v>0</v>
      </c>
      <c r="R174" s="26">
        <f>IF($Q174="","",IF(COUNTIFS(AgPac,$D174,AgData,"&gt;"&amp;$A174,AgStatus,"&lt;&gt;Cancelado",AgStatus,"&lt;&gt;Remarcado")&gt;0,"Sim","Não"))</f>
        <v>0</v>
      </c>
      <c r="S174" s="28">
        <f>IF($A174="","",IF(AND($F174="Agendado",$A174-Hoje&gt;=0,$A174-Hoje&lt;=DiasConf),"CONFIRMAR",IF(AND($A174&lt;Hoje,OR($F174="Agendado",$F174="Confirmado")),"Atualizar status",IF(AND($F174="Compareceu",$P174&gt;0.005),"Cobrar",IF($F174="Faltou","Falta: reagendar","")))))</f>
        <v>0</v>
      </c>
      <c r="T174" s="29">
        <f>IF($A174="","",DATE(YEAR($A174),MONTH($A174),1))</f>
        <v>46235.0</v>
      </c>
      <c r="U174" s="30">
        <f>IF($S174="CONFIRMAR",MAX($U$4:$U173)+1,"")</f>
        <v>0</v>
      </c>
      <c r="V174" s="30">
        <f>IF(AND($R174="Não",$Q174&lt;&gt;"",$Q174&lt;=Hoje+JanelaRet,$Q174&gt;=Hoje-60),MAX($V$4:$V173)+1,"")</f>
        <v>0</v>
      </c>
    </row>
    <row r="175" spans="1:22">
      <c r="A175" s="16">
        <v>46258</v>
      </c>
      <c r="B175" s="23">
        <v>0.3333333333333333</v>
      </c>
      <c r="C175" s="15" t="s">
        <v>53</v>
      </c>
      <c r="D175" s="15" t="s">
        <v>166</v>
      </c>
      <c r="E175" s="15" t="s">
        <v>64</v>
      </c>
      <c r="F175" s="24" t="s">
        <v>79</v>
      </c>
      <c r="G175" s="17"/>
      <c r="H175" s="17">
        <v>90</v>
      </c>
      <c r="I175" s="15" t="s">
        <v>72</v>
      </c>
      <c r="J175" s="25" t="str">
        <f>IF($D175="","",IFERROR(INDEX(PacNome,MATCH($D175,PacCod,0)),"Paciente não cadastrado"))</f>
        <v>Paciente 023</v>
      </c>
      <c r="K175" s="26" t="str">
        <f>IF($D175="","",IFERROR(INDEX(PacConv,MATCH($D175,PacCod,0))&amp;"",""))</f>
        <v>Particular</v>
      </c>
      <c r="L175" s="26" t="str">
        <f>IF($A175="","",CHOOSE(WEEKDAY($A175,2),"Seg","Ter","Qua","Qui","Sex","Sáb","Dom"))</f>
        <v>Seg</v>
      </c>
      <c r="M175" s="27">
        <f>IF($E175="","",IF($G175&lt;&gt;"",$G175,IFERROR(INDEX(ProcValor,MATCH($E175,ProcNome,0)),0)))</f>
        <v>90</v>
      </c>
      <c r="N175" s="27">
        <f>IF($M175="","",IF($F175="Compareceu",$M175,0))</f>
        <v>90</v>
      </c>
      <c r="O175" s="27">
        <f>IF($M175="","",IF($F175="Faltou",$M175,0))</f>
        <v>0</v>
      </c>
      <c r="P175" s="27">
        <f>IF($M175="","",IF($F175="Compareceu",MAX(0,$M175-N($H175)),0))</f>
        <v>0</v>
      </c>
      <c r="Q175" s="19">
        <f>IF(AND($F175="Compareceu",$E175&lt;&gt;"",$A175&lt;&gt;""),IF(IFERROR(INDEX(ProcRet,MATCH($E175,ProcNome,0)),0)&gt;0,$A175+INDEX(ProcRet,MATCH($E175,ProcNome,0)),""),"")</f>
        <v>0</v>
      </c>
      <c r="R175" s="26">
        <f>IF($Q175="","",IF(COUNTIFS(AgPac,$D175,AgData,"&gt;"&amp;$A175,AgStatus,"&lt;&gt;Cancelado",AgStatus,"&lt;&gt;Remarcado")&gt;0,"Sim","Não"))</f>
        <v>0</v>
      </c>
      <c r="S175" s="28">
        <f>IF($A175="","",IF(AND($F175="Agendado",$A175-Hoje&gt;=0,$A175-Hoje&lt;=DiasConf),"CONFIRMAR",IF(AND($A175&lt;Hoje,OR($F175="Agendado",$F175="Confirmado")),"Atualizar status",IF(AND($F175="Compareceu",$P175&gt;0.005),"Cobrar",IF($F175="Faltou","Falta: reagendar","")))))</f>
        <v>0</v>
      </c>
      <c r="T175" s="29">
        <f>IF($A175="","",DATE(YEAR($A175),MONTH($A175),1))</f>
        <v>46235.0</v>
      </c>
      <c r="U175" s="30">
        <f>IF($S175="CONFIRMAR",MAX($U$4:$U174)+1,"")</f>
        <v>0</v>
      </c>
      <c r="V175" s="30">
        <f>IF(AND($R175="Não",$Q175&lt;&gt;"",$Q175&lt;=Hoje+JanelaRet,$Q175&gt;=Hoje-60),MAX($V$4:$V174)+1,"")</f>
        <v>0</v>
      </c>
    </row>
    <row r="176" spans="1:22">
      <c r="A176" s="16">
        <v>46258</v>
      </c>
      <c r="B176" s="23">
        <v>0.5208333333333334</v>
      </c>
      <c r="C176" s="15" t="s">
        <v>51</v>
      </c>
      <c r="D176" s="15" t="s">
        <v>133</v>
      </c>
      <c r="E176" s="15" t="s">
        <v>63</v>
      </c>
      <c r="F176" s="24" t="s">
        <v>79</v>
      </c>
      <c r="G176" s="17"/>
      <c r="H176" s="17">
        <v>140</v>
      </c>
      <c r="I176" s="15" t="s">
        <v>71</v>
      </c>
      <c r="J176" s="25" t="str">
        <f>IF($D176="","",IFERROR(INDEX(PacNome,MATCH($D176,PacCod,0)),"Paciente não cadastrado"))</f>
        <v>Paciente 012</v>
      </c>
      <c r="K176" s="26" t="str">
        <f>IF($D176="","",IFERROR(INDEX(PacConv,MATCH($D176,PacCod,0))&amp;"",""))</f>
        <v>Particular</v>
      </c>
      <c r="L176" s="26" t="str">
        <f>IF($A176="","",CHOOSE(WEEKDAY($A176,2),"Seg","Ter","Qua","Qui","Sex","Sáb","Dom"))</f>
        <v>Seg</v>
      </c>
      <c r="M176" s="27">
        <f>IF($E176="","",IF($G176&lt;&gt;"",$G176,IFERROR(INDEX(ProcValor,MATCH($E176,ProcNome,0)),0)))</f>
        <v>140</v>
      </c>
      <c r="N176" s="27">
        <f>IF($M176="","",IF($F176="Compareceu",$M176,0))</f>
        <v>140</v>
      </c>
      <c r="O176" s="27">
        <f>IF($M176="","",IF($F176="Faltou",$M176,0))</f>
        <v>0</v>
      </c>
      <c r="P176" s="27">
        <f>IF($M176="","",IF($F176="Compareceu",MAX(0,$M176-N($H176)),0))</f>
        <v>0</v>
      </c>
      <c r="Q176" s="19">
        <f>IF(AND($F176="Compareceu",$E176&lt;&gt;"",$A176&lt;&gt;""),IF(IFERROR(INDEX(ProcRet,MATCH($E176,ProcNome,0)),0)&gt;0,$A176+INDEX(ProcRet,MATCH($E176,ProcNome,0)),""),"")</f>
        <v>46265.0</v>
      </c>
      <c r="R176" s="26" t="str">
        <f>IF($Q176="","",IF(COUNTIFS(AgPac,$D176,AgData,"&gt;"&amp;$A176,AgStatus,"&lt;&gt;Cancelado",AgStatus,"&lt;&gt;Remarcado")&gt;0,"Sim","Não"))</f>
        <v>Sim</v>
      </c>
      <c r="S176" s="28">
        <f>IF($A176="","",IF(AND($F176="Agendado",$A176-Hoje&gt;=0,$A176-Hoje&lt;=DiasConf),"CONFIRMAR",IF(AND($A176&lt;Hoje,OR($F176="Agendado",$F176="Confirmado")),"Atualizar status",IF(AND($F176="Compareceu",$P176&gt;0.005),"Cobrar",IF($F176="Faltou","Falta: reagendar","")))))</f>
        <v>0</v>
      </c>
      <c r="T176" s="29">
        <f>IF($A176="","",DATE(YEAR($A176),MONTH($A176),1))</f>
        <v>46235.0</v>
      </c>
      <c r="U176" s="30">
        <f>IF($S176="CONFIRMAR",MAX($U$4:$U175)+1,"")</f>
        <v>0</v>
      </c>
      <c r="V176" s="30">
        <f>IF(AND($R176="Não",$Q176&lt;&gt;"",$Q176&lt;=Hoje+JanelaRet,$Q176&gt;=Hoje-60),MAX($V$4:$V175)+1,"")</f>
        <v>0</v>
      </c>
    </row>
    <row r="177" spans="1:22">
      <c r="A177" s="16">
        <v>46258</v>
      </c>
      <c r="B177" s="23">
        <v>0.6875</v>
      </c>
      <c r="C177" s="15" t="s">
        <v>52</v>
      </c>
      <c r="D177" s="15" t="s">
        <v>172</v>
      </c>
      <c r="E177" s="15" t="s">
        <v>61</v>
      </c>
      <c r="F177" s="24" t="s">
        <v>79</v>
      </c>
      <c r="G177" s="17">
        <v>72</v>
      </c>
      <c r="H177" s="17">
        <v>72</v>
      </c>
      <c r="I177" s="15" t="s">
        <v>75</v>
      </c>
      <c r="J177" s="25" t="str">
        <f>IF($D177="","",IFERROR(INDEX(PacNome,MATCH($D177,PacCod,0)),"Paciente não cadastrado"))</f>
        <v>Paciente 025</v>
      </c>
      <c r="K177" s="26" t="str">
        <f>IF($D177="","",IFERROR(INDEX(PacConv,MATCH($D177,PacCod,0))&amp;"",""))</f>
        <v>Convênio A</v>
      </c>
      <c r="L177" s="26" t="str">
        <f>IF($A177="","",CHOOSE(WEEKDAY($A177,2),"Seg","Ter","Qua","Qui","Sex","Sáb","Dom"))</f>
        <v>Seg</v>
      </c>
      <c r="M177" s="27">
        <f>IF($E177="","",IF($G177&lt;&gt;"",$G177,IFERROR(INDEX(ProcValor,MATCH($E177,ProcNome,0)),0)))</f>
        <v>72</v>
      </c>
      <c r="N177" s="27">
        <f>IF($M177="","",IF($F177="Compareceu",$M177,0))</f>
        <v>72</v>
      </c>
      <c r="O177" s="27">
        <f>IF($M177="","",IF($F177="Faltou",$M177,0))</f>
        <v>0</v>
      </c>
      <c r="P177" s="27">
        <f>IF($M177="","",IF($F177="Compareceu",MAX(0,$M177-N($H177)),0))</f>
        <v>0</v>
      </c>
      <c r="Q177" s="19">
        <f>IF(AND($F177="Compareceu",$E177&lt;&gt;"",$A177&lt;&gt;""),IF(IFERROR(INDEX(ProcRet,MATCH($E177,ProcNome,0)),0)&gt;0,$A177+INDEX(ProcRet,MATCH($E177,ProcNome,0)),""),"")</f>
        <v>46288.0</v>
      </c>
      <c r="R177" s="26" t="str">
        <f>IF($Q177="","",IF(COUNTIFS(AgPac,$D177,AgData,"&gt;"&amp;$A177,AgStatus,"&lt;&gt;Cancelado",AgStatus,"&lt;&gt;Remarcado")&gt;0,"Sim","Não"))</f>
        <v>Sim</v>
      </c>
      <c r="S177" s="28">
        <f>IF($A177="","",IF(AND($F177="Agendado",$A177-Hoje&gt;=0,$A177-Hoje&lt;=DiasConf),"CONFIRMAR",IF(AND($A177&lt;Hoje,OR($F177="Agendado",$F177="Confirmado")),"Atualizar status",IF(AND($F177="Compareceu",$P177&gt;0.005),"Cobrar",IF($F177="Faltou","Falta: reagendar","")))))</f>
        <v>0</v>
      </c>
      <c r="T177" s="29">
        <f>IF($A177="","",DATE(YEAR($A177),MONTH($A177),1))</f>
        <v>46235.0</v>
      </c>
      <c r="U177" s="30">
        <f>IF($S177="CONFIRMAR",MAX($U$4:$U176)+1,"")</f>
        <v>0</v>
      </c>
      <c r="V177" s="30">
        <f>IF(AND($R177="Não",$Q177&lt;&gt;"",$Q177&lt;=Hoje+JanelaRet,$Q177&gt;=Hoje-60),MAX($V$4:$V176)+1,"")</f>
        <v>0</v>
      </c>
    </row>
    <row r="178" spans="1:22">
      <c r="A178" s="16">
        <v>46259</v>
      </c>
      <c r="B178" s="23">
        <v>0.3333333333333333</v>
      </c>
      <c r="C178" s="15" t="s">
        <v>52</v>
      </c>
      <c r="D178" s="15" t="s">
        <v>118</v>
      </c>
      <c r="E178" s="15" t="s">
        <v>64</v>
      </c>
      <c r="F178" s="24" t="s">
        <v>79</v>
      </c>
      <c r="G178" s="17"/>
      <c r="H178" s="17">
        <v>90</v>
      </c>
      <c r="I178" s="15" t="s">
        <v>72</v>
      </c>
      <c r="J178" s="25" t="str">
        <f>IF($D178="","",IFERROR(INDEX(PacNome,MATCH($D178,PacCod,0)),"Paciente não cadastrado"))</f>
        <v>Paciente 007</v>
      </c>
      <c r="K178" s="26" t="str">
        <f>IF($D178="","",IFERROR(INDEX(PacConv,MATCH($D178,PacCod,0))&amp;"",""))</f>
        <v>Particular</v>
      </c>
      <c r="L178" s="26" t="str">
        <f>IF($A178="","",CHOOSE(WEEKDAY($A178,2),"Seg","Ter","Qua","Qui","Sex","Sáb","Dom"))</f>
        <v>Ter</v>
      </c>
      <c r="M178" s="27">
        <f>IF($E178="","",IF($G178&lt;&gt;"",$G178,IFERROR(INDEX(ProcValor,MATCH($E178,ProcNome,0)),0)))</f>
        <v>90</v>
      </c>
      <c r="N178" s="27">
        <f>IF($M178="","",IF($F178="Compareceu",$M178,0))</f>
        <v>90</v>
      </c>
      <c r="O178" s="27">
        <f>IF($M178="","",IF($F178="Faltou",$M178,0))</f>
        <v>0</v>
      </c>
      <c r="P178" s="27">
        <f>IF($M178="","",IF($F178="Compareceu",MAX(0,$M178-N($H178)),0))</f>
        <v>0</v>
      </c>
      <c r="Q178" s="19">
        <f>IF(AND($F178="Compareceu",$E178&lt;&gt;"",$A178&lt;&gt;""),IF(IFERROR(INDEX(ProcRet,MATCH($E178,ProcNome,0)),0)&gt;0,$A178+INDEX(ProcRet,MATCH($E178,ProcNome,0)),""),"")</f>
        <v>0</v>
      </c>
      <c r="R178" s="26">
        <f>IF($Q178="","",IF(COUNTIFS(AgPac,$D178,AgData,"&gt;"&amp;$A178,AgStatus,"&lt;&gt;Cancelado",AgStatus,"&lt;&gt;Remarcado")&gt;0,"Sim","Não"))</f>
        <v>0</v>
      </c>
      <c r="S178" s="28">
        <f>IF($A178="","",IF(AND($F178="Agendado",$A178-Hoje&gt;=0,$A178-Hoje&lt;=DiasConf),"CONFIRMAR",IF(AND($A178&lt;Hoje,OR($F178="Agendado",$F178="Confirmado")),"Atualizar status",IF(AND($F178="Compareceu",$P178&gt;0.005),"Cobrar",IF($F178="Faltou","Falta: reagendar","")))))</f>
        <v>0</v>
      </c>
      <c r="T178" s="29">
        <f>IF($A178="","",DATE(YEAR($A178),MONTH($A178),1))</f>
        <v>46235.0</v>
      </c>
      <c r="U178" s="30">
        <f>IF($S178="CONFIRMAR",MAX($U$4:$U177)+1,"")</f>
        <v>0</v>
      </c>
      <c r="V178" s="30">
        <f>IF(AND($R178="Não",$Q178&lt;&gt;"",$Q178&lt;=Hoje+JanelaRet,$Q178&gt;=Hoje-60),MAX($V$4:$V177)+1,"")</f>
        <v>0</v>
      </c>
    </row>
    <row r="179" spans="1:22">
      <c r="A179" s="16">
        <v>46259</v>
      </c>
      <c r="B179" s="23">
        <v>0.625</v>
      </c>
      <c r="C179" s="15" t="s">
        <v>54</v>
      </c>
      <c r="D179" s="15" t="s">
        <v>100</v>
      </c>
      <c r="E179" s="15" t="s">
        <v>58</v>
      </c>
      <c r="F179" s="24" t="s">
        <v>79</v>
      </c>
      <c r="G179" s="17"/>
      <c r="H179" s="17">
        <v>250</v>
      </c>
      <c r="I179" s="15" t="s">
        <v>75</v>
      </c>
      <c r="J179" s="25" t="str">
        <f>IF($D179="","",IFERROR(INDEX(PacNome,MATCH($D179,PacCod,0)),"Paciente não cadastrado"))</f>
        <v>Paciente 001</v>
      </c>
      <c r="K179" s="26" t="str">
        <f>IF($D179="","",IFERROR(INDEX(PacConv,MATCH($D179,PacCod,0))&amp;"",""))</f>
        <v>Particular</v>
      </c>
      <c r="L179" s="26" t="str">
        <f>IF($A179="","",CHOOSE(WEEKDAY($A179,2),"Seg","Ter","Qua","Qui","Sex","Sáb","Dom"))</f>
        <v>Ter</v>
      </c>
      <c r="M179" s="27">
        <f>IF($E179="","",IF($G179&lt;&gt;"",$G179,IFERROR(INDEX(ProcValor,MATCH($E179,ProcNome,0)),0)))</f>
        <v>250</v>
      </c>
      <c r="N179" s="27">
        <f>IF($M179="","",IF($F179="Compareceu",$M179,0))</f>
        <v>250</v>
      </c>
      <c r="O179" s="27">
        <f>IF($M179="","",IF($F179="Faltou",$M179,0))</f>
        <v>0</v>
      </c>
      <c r="P179" s="27">
        <f>IF($M179="","",IF($F179="Compareceu",MAX(0,$M179-N($H179)),0))</f>
        <v>0</v>
      </c>
      <c r="Q179" s="19">
        <f>IF(AND($F179="Compareceu",$E179&lt;&gt;"",$A179&lt;&gt;""),IF(IFERROR(INDEX(ProcRet,MATCH($E179,ProcNome,0)),0)&gt;0,$A179+INDEX(ProcRet,MATCH($E179,ProcNome,0)),""),"")</f>
        <v>0</v>
      </c>
      <c r="R179" s="26">
        <f>IF($Q179="","",IF(COUNTIFS(AgPac,$D179,AgData,"&gt;"&amp;$A179,AgStatus,"&lt;&gt;Cancelado",AgStatus,"&lt;&gt;Remarcado")&gt;0,"Sim","Não"))</f>
        <v>0</v>
      </c>
      <c r="S179" s="28">
        <f>IF($A179="","",IF(AND($F179="Agendado",$A179-Hoje&gt;=0,$A179-Hoje&lt;=DiasConf),"CONFIRMAR",IF(AND($A179&lt;Hoje,OR($F179="Agendado",$F179="Confirmado")),"Atualizar status",IF(AND($F179="Compareceu",$P179&gt;0.005),"Cobrar",IF($F179="Faltou","Falta: reagendar","")))))</f>
        <v>0</v>
      </c>
      <c r="T179" s="29">
        <f>IF($A179="","",DATE(YEAR($A179),MONTH($A179),1))</f>
        <v>46235.0</v>
      </c>
      <c r="U179" s="30">
        <f>IF($S179="CONFIRMAR",MAX($U$4:$U178)+1,"")</f>
        <v>0</v>
      </c>
      <c r="V179" s="30">
        <f>IF(AND($R179="Não",$Q179&lt;&gt;"",$Q179&lt;=Hoje+JanelaRet,$Q179&gt;=Hoje-60),MAX($V$4:$V178)+1,"")</f>
        <v>0</v>
      </c>
    </row>
    <row r="180" spans="1:22">
      <c r="A180" s="16">
        <v>46259</v>
      </c>
      <c r="B180" s="23">
        <v>0.7291666666666666</v>
      </c>
      <c r="C180" s="15" t="s">
        <v>51</v>
      </c>
      <c r="D180" s="15" t="s">
        <v>226</v>
      </c>
      <c r="E180" s="15" t="s">
        <v>60</v>
      </c>
      <c r="F180" s="24" t="s">
        <v>79</v>
      </c>
      <c r="G180" s="17">
        <v>108</v>
      </c>
      <c r="H180" s="17">
        <v>108</v>
      </c>
      <c r="I180" s="15" t="s">
        <v>74</v>
      </c>
      <c r="J180" s="25" t="str">
        <f>IF($D180="","",IFERROR(INDEX(PacNome,MATCH($D180,PacCod,0)),"Paciente não cadastrado"))</f>
        <v>Paciente 043</v>
      </c>
      <c r="K180" s="26" t="str">
        <f>IF($D180="","",IFERROR(INDEX(PacConv,MATCH($D180,PacCod,0))&amp;"",""))</f>
        <v>Convênio A</v>
      </c>
      <c r="L180" s="26" t="str">
        <f>IF($A180="","",CHOOSE(WEEKDAY($A180,2),"Seg","Ter","Qua","Qui","Sex","Sáb","Dom"))</f>
        <v>Ter</v>
      </c>
      <c r="M180" s="27">
        <f>IF($E180="","",IF($G180&lt;&gt;"",$G180,IFERROR(INDEX(ProcValor,MATCH($E180,ProcNome,0)),0)))</f>
        <v>108</v>
      </c>
      <c r="N180" s="27">
        <f>IF($M180="","",IF($F180="Compareceu",$M180,0))</f>
        <v>108</v>
      </c>
      <c r="O180" s="27">
        <f>IF($M180="","",IF($F180="Faltou",$M180,0))</f>
        <v>0</v>
      </c>
      <c r="P180" s="27">
        <f>IF($M180="","",IF($F180="Compareceu",MAX(0,$M180-N($H180)),0))</f>
        <v>0</v>
      </c>
      <c r="Q180" s="19">
        <f>IF(AND($F180="Compareceu",$E180&lt;&gt;"",$A180&lt;&gt;""),IF(IFERROR(INDEX(ProcRet,MATCH($E180,ProcNome,0)),0)&gt;0,$A180+INDEX(ProcRet,MATCH($E180,ProcNome,0)),""),"")</f>
        <v>46439.0</v>
      </c>
      <c r="R180" s="26" t="str">
        <f>IF($Q180="","",IF(COUNTIFS(AgPac,$D180,AgData,"&gt;"&amp;$A180,AgStatus,"&lt;&gt;Cancelado",AgStatus,"&lt;&gt;Remarcado")&gt;0,"Sim","Não"))</f>
        <v>Sim</v>
      </c>
      <c r="S180" s="28">
        <f>IF($A180="","",IF(AND($F180="Agendado",$A180-Hoje&gt;=0,$A180-Hoje&lt;=DiasConf),"CONFIRMAR",IF(AND($A180&lt;Hoje,OR($F180="Agendado",$F180="Confirmado")),"Atualizar status",IF(AND($F180="Compareceu",$P180&gt;0.005),"Cobrar",IF($F180="Faltou","Falta: reagendar","")))))</f>
        <v>0</v>
      </c>
      <c r="T180" s="29">
        <f>IF($A180="","",DATE(YEAR($A180),MONTH($A180),1))</f>
        <v>46235.0</v>
      </c>
      <c r="U180" s="30">
        <f>IF($S180="CONFIRMAR",MAX($U$4:$U179)+1,"")</f>
        <v>0</v>
      </c>
      <c r="V180" s="30">
        <f>IF(AND($R180="Não",$Q180&lt;&gt;"",$Q180&lt;=Hoje+JanelaRet,$Q180&gt;=Hoje-60),MAX($V$4:$V179)+1,"")</f>
        <v>0</v>
      </c>
    </row>
    <row r="181" spans="1:22">
      <c r="A181" s="16">
        <v>46260</v>
      </c>
      <c r="B181" s="23">
        <v>0.4583333333333333</v>
      </c>
      <c r="C181" s="15" t="s">
        <v>52</v>
      </c>
      <c r="D181" s="15" t="s">
        <v>139</v>
      </c>
      <c r="E181" s="15" t="s">
        <v>63</v>
      </c>
      <c r="F181" s="24" t="s">
        <v>79</v>
      </c>
      <c r="G181" s="17"/>
      <c r="H181" s="17">
        <v>140</v>
      </c>
      <c r="I181" s="15" t="s">
        <v>74</v>
      </c>
      <c r="J181" s="25" t="str">
        <f>IF($D181="","",IFERROR(INDEX(PacNome,MATCH($D181,PacCod,0)),"Paciente não cadastrado"))</f>
        <v>Paciente 014</v>
      </c>
      <c r="K181" s="26" t="str">
        <f>IF($D181="","",IFERROR(INDEX(PacConv,MATCH($D181,PacCod,0))&amp;"",""))</f>
        <v>Particular</v>
      </c>
      <c r="L181" s="26" t="str">
        <f>IF($A181="","",CHOOSE(WEEKDAY($A181,2),"Seg","Ter","Qua","Qui","Sex","Sáb","Dom"))</f>
        <v>Qua</v>
      </c>
      <c r="M181" s="27">
        <f>IF($E181="","",IF($G181&lt;&gt;"",$G181,IFERROR(INDEX(ProcValor,MATCH($E181,ProcNome,0)),0)))</f>
        <v>140</v>
      </c>
      <c r="N181" s="27">
        <f>IF($M181="","",IF($F181="Compareceu",$M181,0))</f>
        <v>140</v>
      </c>
      <c r="O181" s="27">
        <f>IF($M181="","",IF($F181="Faltou",$M181,0))</f>
        <v>0</v>
      </c>
      <c r="P181" s="27">
        <f>IF($M181="","",IF($F181="Compareceu",MAX(0,$M181-N($H181)),0))</f>
        <v>0</v>
      </c>
      <c r="Q181" s="19">
        <f>IF(AND($F181="Compareceu",$E181&lt;&gt;"",$A181&lt;&gt;""),IF(IFERROR(INDEX(ProcRet,MATCH($E181,ProcNome,0)),0)&gt;0,$A181+INDEX(ProcRet,MATCH($E181,ProcNome,0)),""),"")</f>
        <v>46267.0</v>
      </c>
      <c r="R181" s="26" t="str">
        <f>IF($Q181="","",IF(COUNTIFS(AgPac,$D181,AgData,"&gt;"&amp;$A181,AgStatus,"&lt;&gt;Cancelado",AgStatus,"&lt;&gt;Remarcado")&gt;0,"Sim","Não"))</f>
        <v>Sim</v>
      </c>
      <c r="S181" s="28">
        <f>IF($A181="","",IF(AND($F181="Agendado",$A181-Hoje&gt;=0,$A181-Hoje&lt;=DiasConf),"CONFIRMAR",IF(AND($A181&lt;Hoje,OR($F181="Agendado",$F181="Confirmado")),"Atualizar status",IF(AND($F181="Compareceu",$P181&gt;0.005),"Cobrar",IF($F181="Faltou","Falta: reagendar","")))))</f>
        <v>0</v>
      </c>
      <c r="T181" s="29">
        <f>IF($A181="","",DATE(YEAR($A181),MONTH($A181),1))</f>
        <v>46235.0</v>
      </c>
      <c r="U181" s="30">
        <f>IF($S181="CONFIRMAR",MAX($U$4:$U180)+1,"")</f>
        <v>0</v>
      </c>
      <c r="V181" s="30">
        <f>IF(AND($R181="Não",$Q181&lt;&gt;"",$Q181&lt;=Hoje+JanelaRet,$Q181&gt;=Hoje-60),MAX($V$4:$V180)+1,"")</f>
        <v>0</v>
      </c>
    </row>
    <row r="182" spans="1:22">
      <c r="A182" s="16">
        <v>46260</v>
      </c>
      <c r="B182" s="23">
        <v>0.5208333333333334</v>
      </c>
      <c r="C182" s="15" t="s">
        <v>52</v>
      </c>
      <c r="D182" s="15" t="s">
        <v>163</v>
      </c>
      <c r="E182" s="15" t="s">
        <v>60</v>
      </c>
      <c r="F182" s="24" t="s">
        <v>79</v>
      </c>
      <c r="G182" s="17">
        <v>108</v>
      </c>
      <c r="H182" s="17">
        <v>108</v>
      </c>
      <c r="I182" s="15" t="s">
        <v>75</v>
      </c>
      <c r="J182" s="25" t="str">
        <f>IF($D182="","",IFERROR(INDEX(PacNome,MATCH($D182,PacCod,0)),"Paciente não cadastrado"))</f>
        <v>Paciente 022</v>
      </c>
      <c r="K182" s="26" t="str">
        <f>IF($D182="","",IFERROR(INDEX(PacConv,MATCH($D182,PacCod,0))&amp;"",""))</f>
        <v>Convênio A</v>
      </c>
      <c r="L182" s="26" t="str">
        <f>IF($A182="","",CHOOSE(WEEKDAY($A182,2),"Seg","Ter","Qua","Qui","Sex","Sáb","Dom"))</f>
        <v>Qua</v>
      </c>
      <c r="M182" s="27">
        <f>IF($E182="","",IF($G182&lt;&gt;"",$G182,IFERROR(INDEX(ProcValor,MATCH($E182,ProcNome,0)),0)))</f>
        <v>108</v>
      </c>
      <c r="N182" s="27">
        <f>IF($M182="","",IF($F182="Compareceu",$M182,0))</f>
        <v>108</v>
      </c>
      <c r="O182" s="27">
        <f>IF($M182="","",IF($F182="Faltou",$M182,0))</f>
        <v>0</v>
      </c>
      <c r="P182" s="27">
        <f>IF($M182="","",IF($F182="Compareceu",MAX(0,$M182-N($H182)),0))</f>
        <v>0</v>
      </c>
      <c r="Q182" s="19">
        <f>IF(AND($F182="Compareceu",$E182&lt;&gt;"",$A182&lt;&gt;""),IF(IFERROR(INDEX(ProcRet,MATCH($E182,ProcNome,0)),0)&gt;0,$A182+INDEX(ProcRet,MATCH($E182,ProcNome,0)),""),"")</f>
        <v>46440.0</v>
      </c>
      <c r="R182" s="26" t="str">
        <f>IF($Q182="","",IF(COUNTIFS(AgPac,$D182,AgData,"&gt;"&amp;$A182,AgStatus,"&lt;&gt;Cancelado",AgStatus,"&lt;&gt;Remarcado")&gt;0,"Sim","Não"))</f>
        <v>Sim</v>
      </c>
      <c r="S182" s="28">
        <f>IF($A182="","",IF(AND($F182="Agendado",$A182-Hoje&gt;=0,$A182-Hoje&lt;=DiasConf),"CONFIRMAR",IF(AND($A182&lt;Hoje,OR($F182="Agendado",$F182="Confirmado")),"Atualizar status",IF(AND($F182="Compareceu",$P182&gt;0.005),"Cobrar",IF($F182="Faltou","Falta: reagendar","")))))</f>
        <v>0</v>
      </c>
      <c r="T182" s="29">
        <f>IF($A182="","",DATE(YEAR($A182),MONTH($A182),1))</f>
        <v>46235.0</v>
      </c>
      <c r="U182" s="30">
        <f>IF($S182="CONFIRMAR",MAX($U$4:$U181)+1,"")</f>
        <v>0</v>
      </c>
      <c r="V182" s="30">
        <f>IF(AND($R182="Não",$Q182&lt;&gt;"",$Q182&lt;=Hoje+JanelaRet,$Q182&gt;=Hoje-60),MAX($V$4:$V181)+1,"")</f>
        <v>0</v>
      </c>
    </row>
    <row r="183" spans="1:22">
      <c r="A183" s="16">
        <v>46260</v>
      </c>
      <c r="B183" s="23">
        <v>0.625</v>
      </c>
      <c r="C183" s="15" t="s">
        <v>54</v>
      </c>
      <c r="D183" s="15" t="s">
        <v>232</v>
      </c>
      <c r="E183" s="15" t="s">
        <v>63</v>
      </c>
      <c r="F183" s="24" t="s">
        <v>81</v>
      </c>
      <c r="G183" s="17"/>
      <c r="H183" s="17"/>
      <c r="I183" s="15"/>
      <c r="J183" s="25" t="str">
        <f>IF($D183="","",IFERROR(INDEX(PacNome,MATCH($D183,PacCod,0)),"Paciente não cadastrado"))</f>
        <v>Paciente 045</v>
      </c>
      <c r="K183" s="26" t="str">
        <f>IF($D183="","",IFERROR(INDEX(PacConv,MATCH($D183,PacCod,0))&amp;"",""))</f>
        <v>Convênio A</v>
      </c>
      <c r="L183" s="26" t="str">
        <f>IF($A183="","",CHOOSE(WEEKDAY($A183,2),"Seg","Ter","Qua","Qui","Sex","Sáb","Dom"))</f>
        <v>Qua</v>
      </c>
      <c r="M183" s="27">
        <f>IF($E183="","",IF($G183&lt;&gt;"",$G183,IFERROR(INDEX(ProcValor,MATCH($E183,ProcNome,0)),0)))</f>
        <v>140</v>
      </c>
      <c r="N183" s="27">
        <f>IF($M183="","",IF($F183="Compareceu",$M183,0))</f>
        <v>0</v>
      </c>
      <c r="O183" s="27">
        <f>IF($M183="","",IF($F183="Faltou",$M183,0))</f>
        <v>0</v>
      </c>
      <c r="P183" s="27">
        <f>IF($M183="","",IF($F183="Compareceu",MAX(0,$M183-N($H183)),0))</f>
        <v>0</v>
      </c>
      <c r="Q183" s="19">
        <f>IF(AND($F183="Compareceu",$E183&lt;&gt;"",$A183&lt;&gt;""),IF(IFERROR(INDEX(ProcRet,MATCH($E183,ProcNome,0)),0)&gt;0,$A183+INDEX(ProcRet,MATCH($E183,ProcNome,0)),""),"")</f>
        <v>0</v>
      </c>
      <c r="R183" s="26">
        <f>IF($Q183="","",IF(COUNTIFS(AgPac,$D183,AgData,"&gt;"&amp;$A183,AgStatus,"&lt;&gt;Cancelado",AgStatus,"&lt;&gt;Remarcado")&gt;0,"Sim","Não"))</f>
        <v>0</v>
      </c>
      <c r="S183" s="28">
        <f>IF($A183="","",IF(AND($F183="Agendado",$A183-Hoje&gt;=0,$A183-Hoje&lt;=DiasConf),"CONFIRMAR",IF(AND($A183&lt;Hoje,OR($F183="Agendado",$F183="Confirmado")),"Atualizar status",IF(AND($F183="Compareceu",$P183&gt;0.005),"Cobrar",IF($F183="Faltou","Falta: reagendar","")))))</f>
        <v>0</v>
      </c>
      <c r="T183" s="29">
        <f>IF($A183="","",DATE(YEAR($A183),MONTH($A183),1))</f>
        <v>46235.0</v>
      </c>
      <c r="U183" s="30">
        <f>IF($S183="CONFIRMAR",MAX($U$4:$U182)+1,"")</f>
        <v>0</v>
      </c>
      <c r="V183" s="30">
        <f>IF(AND($R183="Não",$Q183&lt;&gt;"",$Q183&lt;=Hoje+JanelaRet,$Q183&gt;=Hoje-60),MAX($V$4:$V182)+1,"")</f>
        <v>0</v>
      </c>
    </row>
    <row r="184" spans="1:22">
      <c r="A184" s="16">
        <v>46260</v>
      </c>
      <c r="B184" s="23">
        <v>0.6666666666666666</v>
      </c>
      <c r="C184" s="15" t="s">
        <v>54</v>
      </c>
      <c r="D184" s="15" t="s">
        <v>181</v>
      </c>
      <c r="E184" s="15" t="s">
        <v>60</v>
      </c>
      <c r="F184" s="24" t="s">
        <v>79</v>
      </c>
      <c r="G184" s="17">
        <v>108</v>
      </c>
      <c r="H184" s="17">
        <v>108</v>
      </c>
      <c r="I184" s="15" t="s">
        <v>74</v>
      </c>
      <c r="J184" s="25" t="str">
        <f>IF($D184="","",IFERROR(INDEX(PacNome,MATCH($D184,PacCod,0)),"Paciente não cadastrado"))</f>
        <v>Paciente 028</v>
      </c>
      <c r="K184" s="26" t="str">
        <f>IF($D184="","",IFERROR(INDEX(PacConv,MATCH($D184,PacCod,0))&amp;"",""))</f>
        <v>Convênio B</v>
      </c>
      <c r="L184" s="26" t="str">
        <f>IF($A184="","",CHOOSE(WEEKDAY($A184,2),"Seg","Ter","Qua","Qui","Sex","Sáb","Dom"))</f>
        <v>Qua</v>
      </c>
      <c r="M184" s="27">
        <f>IF($E184="","",IF($G184&lt;&gt;"",$G184,IFERROR(INDEX(ProcValor,MATCH($E184,ProcNome,0)),0)))</f>
        <v>108</v>
      </c>
      <c r="N184" s="27">
        <f>IF($M184="","",IF($F184="Compareceu",$M184,0))</f>
        <v>108</v>
      </c>
      <c r="O184" s="27">
        <f>IF($M184="","",IF($F184="Faltou",$M184,0))</f>
        <v>0</v>
      </c>
      <c r="P184" s="27">
        <f>IF($M184="","",IF($F184="Compareceu",MAX(0,$M184-N($H184)),0))</f>
        <v>0</v>
      </c>
      <c r="Q184" s="19">
        <f>IF(AND($F184="Compareceu",$E184&lt;&gt;"",$A184&lt;&gt;""),IF(IFERROR(INDEX(ProcRet,MATCH($E184,ProcNome,0)),0)&gt;0,$A184+INDEX(ProcRet,MATCH($E184,ProcNome,0)),""),"")</f>
        <v>46440.0</v>
      </c>
      <c r="R184" s="26" t="str">
        <f>IF($Q184="","",IF(COUNTIFS(AgPac,$D184,AgData,"&gt;"&amp;$A184,AgStatus,"&lt;&gt;Cancelado",AgStatus,"&lt;&gt;Remarcado")&gt;0,"Sim","Não"))</f>
        <v>Sim</v>
      </c>
      <c r="S184" s="28">
        <f>IF($A184="","",IF(AND($F184="Agendado",$A184-Hoje&gt;=0,$A184-Hoje&lt;=DiasConf),"CONFIRMAR",IF(AND($A184&lt;Hoje,OR($F184="Agendado",$F184="Confirmado")),"Atualizar status",IF(AND($F184="Compareceu",$P184&gt;0.005),"Cobrar",IF($F184="Faltou","Falta: reagendar","")))))</f>
        <v>0</v>
      </c>
      <c r="T184" s="29">
        <f>IF($A184="","",DATE(YEAR($A184),MONTH($A184),1))</f>
        <v>46235.0</v>
      </c>
      <c r="U184" s="30">
        <f>IF($S184="CONFIRMAR",MAX($U$4:$U183)+1,"")</f>
        <v>0</v>
      </c>
      <c r="V184" s="30">
        <f>IF(AND($R184="Não",$Q184&lt;&gt;"",$Q184&lt;=Hoje+JanelaRet,$Q184&gt;=Hoje-60),MAX($V$4:$V183)+1,"")</f>
        <v>0</v>
      </c>
    </row>
    <row r="185" spans="1:22">
      <c r="A185" s="16">
        <v>46261</v>
      </c>
      <c r="B185" s="23">
        <v>0.375</v>
      </c>
      <c r="C185" s="15" t="s">
        <v>52</v>
      </c>
      <c r="D185" s="15" t="s">
        <v>187</v>
      </c>
      <c r="E185" s="15" t="s">
        <v>64</v>
      </c>
      <c r="F185" s="24" t="s">
        <v>79</v>
      </c>
      <c r="G185" s="17"/>
      <c r="H185" s="17">
        <v>90</v>
      </c>
      <c r="I185" s="15" t="s">
        <v>71</v>
      </c>
      <c r="J185" s="25" t="str">
        <f>IF($D185="","",IFERROR(INDEX(PacNome,MATCH($D185,PacCod,0)),"Paciente não cadastrado"))</f>
        <v>Paciente 030</v>
      </c>
      <c r="K185" s="26" t="str">
        <f>IF($D185="","",IFERROR(INDEX(PacConv,MATCH($D185,PacCod,0))&amp;"",""))</f>
        <v>Particular</v>
      </c>
      <c r="L185" s="26" t="str">
        <f>IF($A185="","",CHOOSE(WEEKDAY($A185,2),"Seg","Ter","Qua","Qui","Sex","Sáb","Dom"))</f>
        <v>Qui</v>
      </c>
      <c r="M185" s="27">
        <f>IF($E185="","",IF($G185&lt;&gt;"",$G185,IFERROR(INDEX(ProcValor,MATCH($E185,ProcNome,0)),0)))</f>
        <v>90</v>
      </c>
      <c r="N185" s="27">
        <f>IF($M185="","",IF($F185="Compareceu",$M185,0))</f>
        <v>90</v>
      </c>
      <c r="O185" s="27">
        <f>IF($M185="","",IF($F185="Faltou",$M185,0))</f>
        <v>0</v>
      </c>
      <c r="P185" s="27">
        <f>IF($M185="","",IF($F185="Compareceu",MAX(0,$M185-N($H185)),0))</f>
        <v>0</v>
      </c>
      <c r="Q185" s="19">
        <f>IF(AND($F185="Compareceu",$E185&lt;&gt;"",$A185&lt;&gt;""),IF(IFERROR(INDEX(ProcRet,MATCH($E185,ProcNome,0)),0)&gt;0,$A185+INDEX(ProcRet,MATCH($E185,ProcNome,0)),""),"")</f>
        <v>0</v>
      </c>
      <c r="R185" s="26">
        <f>IF($Q185="","",IF(COUNTIFS(AgPac,$D185,AgData,"&gt;"&amp;$A185,AgStatus,"&lt;&gt;Cancelado",AgStatus,"&lt;&gt;Remarcado")&gt;0,"Sim","Não"))</f>
        <v>0</v>
      </c>
      <c r="S185" s="28">
        <f>IF($A185="","",IF(AND($F185="Agendado",$A185-Hoje&gt;=0,$A185-Hoje&lt;=DiasConf),"CONFIRMAR",IF(AND($A185&lt;Hoje,OR($F185="Agendado",$F185="Confirmado")),"Atualizar status",IF(AND($F185="Compareceu",$P185&gt;0.005),"Cobrar",IF($F185="Faltou","Falta: reagendar","")))))</f>
        <v>0</v>
      </c>
      <c r="T185" s="29">
        <f>IF($A185="","",DATE(YEAR($A185),MONTH($A185),1))</f>
        <v>46235.0</v>
      </c>
      <c r="U185" s="30">
        <f>IF($S185="CONFIRMAR",MAX($U$4:$U184)+1,"")</f>
        <v>0</v>
      </c>
      <c r="V185" s="30">
        <f>IF(AND($R185="Não",$Q185&lt;&gt;"",$Q185&lt;=Hoje+JanelaRet,$Q185&gt;=Hoje-60),MAX($V$4:$V184)+1,"")</f>
        <v>0</v>
      </c>
    </row>
    <row r="186" spans="1:22">
      <c r="A186" s="16">
        <v>46261</v>
      </c>
      <c r="B186" s="23">
        <v>0.5</v>
      </c>
      <c r="C186" s="15" t="s">
        <v>54</v>
      </c>
      <c r="D186" s="15" t="s">
        <v>151</v>
      </c>
      <c r="E186" s="15" t="s">
        <v>58</v>
      </c>
      <c r="F186" s="24" t="s">
        <v>79</v>
      </c>
      <c r="G186" s="17"/>
      <c r="H186" s="17">
        <v>250</v>
      </c>
      <c r="I186" s="15" t="s">
        <v>71</v>
      </c>
      <c r="J186" s="25" t="str">
        <f>IF($D186="","",IFERROR(INDEX(PacNome,MATCH($D186,PacCod,0)),"Paciente não cadastrado"))</f>
        <v>Paciente 018</v>
      </c>
      <c r="K186" s="26" t="str">
        <f>IF($D186="","",IFERROR(INDEX(PacConv,MATCH($D186,PacCod,0))&amp;"",""))</f>
        <v>Particular</v>
      </c>
      <c r="L186" s="26" t="str">
        <f>IF($A186="","",CHOOSE(WEEKDAY($A186,2),"Seg","Ter","Qua","Qui","Sex","Sáb","Dom"))</f>
        <v>Qui</v>
      </c>
      <c r="M186" s="27">
        <f>IF($E186="","",IF($G186&lt;&gt;"",$G186,IFERROR(INDEX(ProcValor,MATCH($E186,ProcNome,0)),0)))</f>
        <v>250</v>
      </c>
      <c r="N186" s="27">
        <f>IF($M186="","",IF($F186="Compareceu",$M186,0))</f>
        <v>250</v>
      </c>
      <c r="O186" s="27">
        <f>IF($M186="","",IF($F186="Faltou",$M186,0))</f>
        <v>0</v>
      </c>
      <c r="P186" s="27">
        <f>IF($M186="","",IF($F186="Compareceu",MAX(0,$M186-N($H186)),0))</f>
        <v>0</v>
      </c>
      <c r="Q186" s="19">
        <f>IF(AND($F186="Compareceu",$E186&lt;&gt;"",$A186&lt;&gt;""),IF(IFERROR(INDEX(ProcRet,MATCH($E186,ProcNome,0)),0)&gt;0,$A186+INDEX(ProcRet,MATCH($E186,ProcNome,0)),""),"")</f>
        <v>0</v>
      </c>
      <c r="R186" s="26">
        <f>IF($Q186="","",IF(COUNTIFS(AgPac,$D186,AgData,"&gt;"&amp;$A186,AgStatus,"&lt;&gt;Cancelado",AgStatus,"&lt;&gt;Remarcado")&gt;0,"Sim","Não"))</f>
        <v>0</v>
      </c>
      <c r="S186" s="28">
        <f>IF($A186="","",IF(AND($F186="Agendado",$A186-Hoje&gt;=0,$A186-Hoje&lt;=DiasConf),"CONFIRMAR",IF(AND($A186&lt;Hoje,OR($F186="Agendado",$F186="Confirmado")),"Atualizar status",IF(AND($F186="Compareceu",$P186&gt;0.005),"Cobrar",IF($F186="Faltou","Falta: reagendar","")))))</f>
        <v>0</v>
      </c>
      <c r="T186" s="29">
        <f>IF($A186="","",DATE(YEAR($A186),MONTH($A186),1))</f>
        <v>46235.0</v>
      </c>
      <c r="U186" s="30">
        <f>IF($S186="CONFIRMAR",MAX($U$4:$U185)+1,"")</f>
        <v>0</v>
      </c>
      <c r="V186" s="30">
        <f>IF(AND($R186="Não",$Q186&lt;&gt;"",$Q186&lt;=Hoje+JanelaRet,$Q186&gt;=Hoje-60),MAX($V$4:$V185)+1,"")</f>
        <v>0</v>
      </c>
    </row>
    <row r="187" spans="1:22">
      <c r="A187" s="16">
        <v>46261</v>
      </c>
      <c r="B187" s="23">
        <v>0.5416666666666666</v>
      </c>
      <c r="C187" s="15" t="s">
        <v>52</v>
      </c>
      <c r="D187" s="15" t="s">
        <v>106</v>
      </c>
      <c r="E187" s="15" t="s">
        <v>63</v>
      </c>
      <c r="F187" s="24" t="s">
        <v>79</v>
      </c>
      <c r="G187" s="17"/>
      <c r="H187" s="17">
        <v>140</v>
      </c>
      <c r="I187" s="15" t="s">
        <v>74</v>
      </c>
      <c r="J187" s="25" t="str">
        <f>IF($D187="","",IFERROR(INDEX(PacNome,MATCH($D187,PacCod,0)),"Paciente não cadastrado"))</f>
        <v>Paciente 003</v>
      </c>
      <c r="K187" s="26" t="str">
        <f>IF($D187="","",IFERROR(INDEX(PacConv,MATCH($D187,PacCod,0))&amp;"",""))</f>
        <v>Particular</v>
      </c>
      <c r="L187" s="26" t="str">
        <f>IF($A187="","",CHOOSE(WEEKDAY($A187,2),"Seg","Ter","Qua","Qui","Sex","Sáb","Dom"))</f>
        <v>Qui</v>
      </c>
      <c r="M187" s="27">
        <f>IF($E187="","",IF($G187&lt;&gt;"",$G187,IFERROR(INDEX(ProcValor,MATCH($E187,ProcNome,0)),0)))</f>
        <v>140</v>
      </c>
      <c r="N187" s="27">
        <f>IF($M187="","",IF($F187="Compareceu",$M187,0))</f>
        <v>140</v>
      </c>
      <c r="O187" s="27">
        <f>IF($M187="","",IF($F187="Faltou",$M187,0))</f>
        <v>0</v>
      </c>
      <c r="P187" s="27">
        <f>IF($M187="","",IF($F187="Compareceu",MAX(0,$M187-N($H187)),0))</f>
        <v>0</v>
      </c>
      <c r="Q187" s="19">
        <f>IF(AND($F187="Compareceu",$E187&lt;&gt;"",$A187&lt;&gt;""),IF(IFERROR(INDEX(ProcRet,MATCH($E187,ProcNome,0)),0)&gt;0,$A187+INDEX(ProcRet,MATCH($E187,ProcNome,0)),""),"")</f>
        <v>46268.0</v>
      </c>
      <c r="R187" s="26" t="str">
        <f>IF($Q187="","",IF(COUNTIFS(AgPac,$D187,AgData,"&gt;"&amp;$A187,AgStatus,"&lt;&gt;Cancelado",AgStatus,"&lt;&gt;Remarcado")&gt;0,"Sim","Não"))</f>
        <v>Sim</v>
      </c>
      <c r="S187" s="28">
        <f>IF($A187="","",IF(AND($F187="Agendado",$A187-Hoje&gt;=0,$A187-Hoje&lt;=DiasConf),"CONFIRMAR",IF(AND($A187&lt;Hoje,OR($F187="Agendado",$F187="Confirmado")),"Atualizar status",IF(AND($F187="Compareceu",$P187&gt;0.005),"Cobrar",IF($F187="Faltou","Falta: reagendar","")))))</f>
        <v>0</v>
      </c>
      <c r="T187" s="29">
        <f>IF($A187="","",DATE(YEAR($A187),MONTH($A187),1))</f>
        <v>46235.0</v>
      </c>
      <c r="U187" s="30">
        <f>IF($S187="CONFIRMAR",MAX($U$4:$U186)+1,"")</f>
        <v>0</v>
      </c>
      <c r="V187" s="30">
        <f>IF(AND($R187="Não",$Q187&lt;&gt;"",$Q187&lt;=Hoje+JanelaRet,$Q187&gt;=Hoje-60),MAX($V$4:$V186)+1,"")</f>
        <v>0</v>
      </c>
    </row>
    <row r="188" spans="1:22">
      <c r="A188" s="16">
        <v>46261</v>
      </c>
      <c r="B188" s="23">
        <v>0.7291666666666666</v>
      </c>
      <c r="C188" s="15" t="s">
        <v>51</v>
      </c>
      <c r="D188" s="15" t="s">
        <v>151</v>
      </c>
      <c r="E188" s="15" t="s">
        <v>61</v>
      </c>
      <c r="F188" s="24" t="s">
        <v>79</v>
      </c>
      <c r="G188" s="17"/>
      <c r="H188" s="17"/>
      <c r="I188" s="15"/>
      <c r="J188" s="25" t="str">
        <f>IF($D188="","",IFERROR(INDEX(PacNome,MATCH($D188,PacCod,0)),"Paciente não cadastrado"))</f>
        <v>Paciente 018</v>
      </c>
      <c r="K188" s="26" t="str">
        <f>IF($D188="","",IFERROR(INDEX(PacConv,MATCH($D188,PacCod,0))&amp;"",""))</f>
        <v>Particular</v>
      </c>
      <c r="L188" s="26" t="str">
        <f>IF($A188="","",CHOOSE(WEEKDAY($A188,2),"Seg","Ter","Qua","Qui","Sex","Sáb","Dom"))</f>
        <v>Qui</v>
      </c>
      <c r="M188" s="27">
        <f>IF($E188="","",IF($G188&lt;&gt;"",$G188,IFERROR(INDEX(ProcValor,MATCH($E188,ProcNome,0)),0)))</f>
        <v>120</v>
      </c>
      <c r="N188" s="27">
        <f>IF($M188="","",IF($F188="Compareceu",$M188,0))</f>
        <v>120</v>
      </c>
      <c r="O188" s="27">
        <f>IF($M188="","",IF($F188="Faltou",$M188,0))</f>
        <v>0</v>
      </c>
      <c r="P188" s="27">
        <f>IF($M188="","",IF($F188="Compareceu",MAX(0,$M188-N($H188)),0))</f>
        <v>120</v>
      </c>
      <c r="Q188" s="19">
        <f>IF(AND($F188="Compareceu",$E188&lt;&gt;"",$A188&lt;&gt;""),IF(IFERROR(INDEX(ProcRet,MATCH($E188,ProcNome,0)),0)&gt;0,$A188+INDEX(ProcRet,MATCH($E188,ProcNome,0)),""),"")</f>
        <v>46291.0</v>
      </c>
      <c r="R188" s="26" t="str">
        <f>IF($Q188="","",IF(COUNTIFS(AgPac,$D188,AgData,"&gt;"&amp;$A188,AgStatus,"&lt;&gt;Cancelado",AgStatus,"&lt;&gt;Remarcado")&gt;0,"Sim","Não"))</f>
        <v>Sim</v>
      </c>
      <c r="S188" s="28" t="str">
        <f>IF($A188="","",IF(AND($F188="Agendado",$A188-Hoje&gt;=0,$A188-Hoje&lt;=DiasConf),"CONFIRMAR",IF(AND($A188&lt;Hoje,OR($F188="Agendado",$F188="Confirmado")),"Atualizar status",IF(AND($F188="Compareceu",$P188&gt;0.005),"Cobrar",IF($F188="Faltou","Falta: reagendar","")))))</f>
        <v>Cobrar</v>
      </c>
      <c r="T188" s="29">
        <f>IF($A188="","",DATE(YEAR($A188),MONTH($A188),1))</f>
        <v>46235.0</v>
      </c>
      <c r="U188" s="30">
        <f>IF($S188="CONFIRMAR",MAX($U$4:$U187)+1,"")</f>
        <v>0</v>
      </c>
      <c r="V188" s="30">
        <f>IF(AND($R188="Não",$Q188&lt;&gt;"",$Q188&lt;=Hoje+JanelaRet,$Q188&gt;=Hoje-60),MAX($V$4:$V187)+1,"")</f>
        <v>0</v>
      </c>
    </row>
    <row r="189" spans="1:22">
      <c r="A189" s="16">
        <v>46262</v>
      </c>
      <c r="B189" s="23">
        <v>0.4166666666666667</v>
      </c>
      <c r="C189" s="15" t="s">
        <v>54</v>
      </c>
      <c r="D189" s="15" t="s">
        <v>169</v>
      </c>
      <c r="E189" s="15" t="s">
        <v>63</v>
      </c>
      <c r="F189" s="24" t="s">
        <v>79</v>
      </c>
      <c r="G189" s="17"/>
      <c r="H189" s="17">
        <v>140</v>
      </c>
      <c r="I189" s="15" t="s">
        <v>73</v>
      </c>
      <c r="J189" s="25" t="str">
        <f>IF($D189="","",IFERROR(INDEX(PacNome,MATCH($D189,PacCod,0)),"Paciente não cadastrado"))</f>
        <v>Paciente 024</v>
      </c>
      <c r="K189" s="26" t="str">
        <f>IF($D189="","",IFERROR(INDEX(PacConv,MATCH($D189,PacCod,0))&amp;"",""))</f>
        <v>Particular</v>
      </c>
      <c r="L189" s="26" t="str">
        <f>IF($A189="","",CHOOSE(WEEKDAY($A189,2),"Seg","Ter","Qua","Qui","Sex","Sáb","Dom"))</f>
        <v>Sex</v>
      </c>
      <c r="M189" s="27">
        <f>IF($E189="","",IF($G189&lt;&gt;"",$G189,IFERROR(INDEX(ProcValor,MATCH($E189,ProcNome,0)),0)))</f>
        <v>140</v>
      </c>
      <c r="N189" s="27">
        <f>IF($M189="","",IF($F189="Compareceu",$M189,0))</f>
        <v>140</v>
      </c>
      <c r="O189" s="27">
        <f>IF($M189="","",IF($F189="Faltou",$M189,0))</f>
        <v>0</v>
      </c>
      <c r="P189" s="27">
        <f>IF($M189="","",IF($F189="Compareceu",MAX(0,$M189-N($H189)),0))</f>
        <v>0</v>
      </c>
      <c r="Q189" s="19">
        <f>IF(AND($F189="Compareceu",$E189&lt;&gt;"",$A189&lt;&gt;""),IF(IFERROR(INDEX(ProcRet,MATCH($E189,ProcNome,0)),0)&gt;0,$A189+INDEX(ProcRet,MATCH($E189,ProcNome,0)),""),"")</f>
        <v>46269.0</v>
      </c>
      <c r="R189" s="26" t="str">
        <f>IF($Q189="","",IF(COUNTIFS(AgPac,$D189,AgData,"&gt;"&amp;$A189,AgStatus,"&lt;&gt;Cancelado",AgStatus,"&lt;&gt;Remarcado")&gt;0,"Sim","Não"))</f>
        <v>Sim</v>
      </c>
      <c r="S189" s="28">
        <f>IF($A189="","",IF(AND($F189="Agendado",$A189-Hoje&gt;=0,$A189-Hoje&lt;=DiasConf),"CONFIRMAR",IF(AND($A189&lt;Hoje,OR($F189="Agendado",$F189="Confirmado")),"Atualizar status",IF(AND($F189="Compareceu",$P189&gt;0.005),"Cobrar",IF($F189="Faltou","Falta: reagendar","")))))</f>
        <v>0</v>
      </c>
      <c r="T189" s="29">
        <f>IF($A189="","",DATE(YEAR($A189),MONTH($A189),1))</f>
        <v>46235.0</v>
      </c>
      <c r="U189" s="30">
        <f>IF($S189="CONFIRMAR",MAX($U$4:$U188)+1,"")</f>
        <v>0</v>
      </c>
      <c r="V189" s="30">
        <f>IF(AND($R189="Não",$Q189&lt;&gt;"",$Q189&lt;=Hoje+JanelaRet,$Q189&gt;=Hoje-60),MAX($V$4:$V188)+1,"")</f>
        <v>0</v>
      </c>
    </row>
    <row r="190" spans="1:22">
      <c r="A190" s="16">
        <v>46262</v>
      </c>
      <c r="B190" s="23">
        <v>0.5</v>
      </c>
      <c r="C190" s="15" t="s">
        <v>52</v>
      </c>
      <c r="D190" s="15" t="s">
        <v>208</v>
      </c>
      <c r="E190" s="15" t="s">
        <v>61</v>
      </c>
      <c r="F190" s="24" t="s">
        <v>79</v>
      </c>
      <c r="G190" s="17">
        <v>72</v>
      </c>
      <c r="H190" s="17">
        <v>72</v>
      </c>
      <c r="I190" s="15" t="s">
        <v>72</v>
      </c>
      <c r="J190" s="25" t="str">
        <f>IF($D190="","",IFERROR(INDEX(PacNome,MATCH($D190,PacCod,0)),"Paciente não cadastrado"))</f>
        <v>Paciente 037</v>
      </c>
      <c r="K190" s="26" t="str">
        <f>IF($D190="","",IFERROR(INDEX(PacConv,MATCH($D190,PacCod,0))&amp;"",""))</f>
        <v>Convênio B</v>
      </c>
      <c r="L190" s="26" t="str">
        <f>IF($A190="","",CHOOSE(WEEKDAY($A190,2),"Seg","Ter","Qua","Qui","Sex","Sáb","Dom"))</f>
        <v>Sex</v>
      </c>
      <c r="M190" s="27">
        <f>IF($E190="","",IF($G190&lt;&gt;"",$G190,IFERROR(INDEX(ProcValor,MATCH($E190,ProcNome,0)),0)))</f>
        <v>72</v>
      </c>
      <c r="N190" s="27">
        <f>IF($M190="","",IF($F190="Compareceu",$M190,0))</f>
        <v>72</v>
      </c>
      <c r="O190" s="27">
        <f>IF($M190="","",IF($F190="Faltou",$M190,0))</f>
        <v>0</v>
      </c>
      <c r="P190" s="27">
        <f>IF($M190="","",IF($F190="Compareceu",MAX(0,$M190-N($H190)),0))</f>
        <v>0</v>
      </c>
      <c r="Q190" s="19">
        <f>IF(AND($F190="Compareceu",$E190&lt;&gt;"",$A190&lt;&gt;""),IF(IFERROR(INDEX(ProcRet,MATCH($E190,ProcNome,0)),0)&gt;0,$A190+INDEX(ProcRet,MATCH($E190,ProcNome,0)),""),"")</f>
        <v>46292.0</v>
      </c>
      <c r="R190" s="26" t="str">
        <f>IF($Q190="","",IF(COUNTIFS(AgPac,$D190,AgData,"&gt;"&amp;$A190,AgStatus,"&lt;&gt;Cancelado",AgStatus,"&lt;&gt;Remarcado")&gt;0,"Sim","Não"))</f>
        <v>Sim</v>
      </c>
      <c r="S190" s="28">
        <f>IF($A190="","",IF(AND($F190="Agendado",$A190-Hoje&gt;=0,$A190-Hoje&lt;=DiasConf),"CONFIRMAR",IF(AND($A190&lt;Hoje,OR($F190="Agendado",$F190="Confirmado")),"Atualizar status",IF(AND($F190="Compareceu",$P190&gt;0.005),"Cobrar",IF($F190="Faltou","Falta: reagendar","")))))</f>
        <v>0</v>
      </c>
      <c r="T190" s="29">
        <f>IF($A190="","",DATE(YEAR($A190),MONTH($A190),1))</f>
        <v>46235.0</v>
      </c>
      <c r="U190" s="30">
        <f>IF($S190="CONFIRMAR",MAX($U$4:$U189)+1,"")</f>
        <v>0</v>
      </c>
      <c r="V190" s="30">
        <f>IF(AND($R190="Não",$Q190&lt;&gt;"",$Q190&lt;=Hoje+JanelaRet,$Q190&gt;=Hoje-60),MAX($V$4:$V189)+1,"")</f>
        <v>0</v>
      </c>
    </row>
    <row r="191" spans="1:22">
      <c r="A191" s="16">
        <v>46262</v>
      </c>
      <c r="B191" s="23">
        <v>0.5833333333333334</v>
      </c>
      <c r="C191" s="15" t="s">
        <v>54</v>
      </c>
      <c r="D191" s="15" t="s">
        <v>160</v>
      </c>
      <c r="E191" s="15" t="s">
        <v>63</v>
      </c>
      <c r="F191" s="24" t="s">
        <v>79</v>
      </c>
      <c r="G191" s="17">
        <v>84</v>
      </c>
      <c r="H191" s="17"/>
      <c r="I191" s="15"/>
      <c r="J191" s="25" t="str">
        <f>IF($D191="","",IFERROR(INDEX(PacNome,MATCH($D191,PacCod,0)),"Paciente não cadastrado"))</f>
        <v>Paciente 021</v>
      </c>
      <c r="K191" s="26" t="str">
        <f>IF($D191="","",IFERROR(INDEX(PacConv,MATCH($D191,PacCod,0))&amp;"",""))</f>
        <v>Convênio A</v>
      </c>
      <c r="L191" s="26" t="str">
        <f>IF($A191="","",CHOOSE(WEEKDAY($A191,2),"Seg","Ter","Qua","Qui","Sex","Sáb","Dom"))</f>
        <v>Sex</v>
      </c>
      <c r="M191" s="27">
        <f>IF($E191="","",IF($G191&lt;&gt;"",$G191,IFERROR(INDEX(ProcValor,MATCH($E191,ProcNome,0)),0)))</f>
        <v>84</v>
      </c>
      <c r="N191" s="27">
        <f>IF($M191="","",IF($F191="Compareceu",$M191,0))</f>
        <v>84</v>
      </c>
      <c r="O191" s="27">
        <f>IF($M191="","",IF($F191="Faltou",$M191,0))</f>
        <v>0</v>
      </c>
      <c r="P191" s="27">
        <f>IF($M191="","",IF($F191="Compareceu",MAX(0,$M191-N($H191)),0))</f>
        <v>84</v>
      </c>
      <c r="Q191" s="19">
        <f>IF(AND($F191="Compareceu",$E191&lt;&gt;"",$A191&lt;&gt;""),IF(IFERROR(INDEX(ProcRet,MATCH($E191,ProcNome,0)),0)&gt;0,$A191+INDEX(ProcRet,MATCH($E191,ProcNome,0)),""),"")</f>
        <v>46269.0</v>
      </c>
      <c r="R191" s="26" t="str">
        <f>IF($Q191="","",IF(COUNTIFS(AgPac,$D191,AgData,"&gt;"&amp;$A191,AgStatus,"&lt;&gt;Cancelado",AgStatus,"&lt;&gt;Remarcado")&gt;0,"Sim","Não"))</f>
        <v>Sim</v>
      </c>
      <c r="S191" s="28" t="str">
        <f>IF($A191="","",IF(AND($F191="Agendado",$A191-Hoje&gt;=0,$A191-Hoje&lt;=DiasConf),"CONFIRMAR",IF(AND($A191&lt;Hoje,OR($F191="Agendado",$F191="Confirmado")),"Atualizar status",IF(AND($F191="Compareceu",$P191&gt;0.005),"Cobrar",IF($F191="Faltou","Falta: reagendar","")))))</f>
        <v>Cobrar</v>
      </c>
      <c r="T191" s="29">
        <f>IF($A191="","",DATE(YEAR($A191),MONTH($A191),1))</f>
        <v>46235.0</v>
      </c>
      <c r="U191" s="30">
        <f>IF($S191="CONFIRMAR",MAX($U$4:$U190)+1,"")</f>
        <v>0</v>
      </c>
      <c r="V191" s="30">
        <f>IF(AND($R191="Não",$Q191&lt;&gt;"",$Q191&lt;=Hoje+JanelaRet,$Q191&gt;=Hoje-60),MAX($V$4:$V190)+1,"")</f>
        <v>0</v>
      </c>
    </row>
    <row r="192" spans="1:22">
      <c r="A192" s="16">
        <v>46262</v>
      </c>
      <c r="B192" s="23">
        <v>0.6458333333333334</v>
      </c>
      <c r="C192" s="15" t="s">
        <v>51</v>
      </c>
      <c r="D192" s="15" t="s">
        <v>130</v>
      </c>
      <c r="E192" s="15" t="s">
        <v>58</v>
      </c>
      <c r="F192" s="24" t="s">
        <v>79</v>
      </c>
      <c r="G192" s="17">
        <v>150</v>
      </c>
      <c r="H192" s="17">
        <v>150</v>
      </c>
      <c r="I192" s="15" t="s">
        <v>75</v>
      </c>
      <c r="J192" s="25" t="str">
        <f>IF($D192="","",IFERROR(INDEX(PacNome,MATCH($D192,PacCod,0)),"Paciente não cadastrado"))</f>
        <v>Paciente 011</v>
      </c>
      <c r="K192" s="26" t="str">
        <f>IF($D192="","",IFERROR(INDEX(PacConv,MATCH($D192,PacCod,0))&amp;"",""))</f>
        <v>Convênio A</v>
      </c>
      <c r="L192" s="26" t="str">
        <f>IF($A192="","",CHOOSE(WEEKDAY($A192,2),"Seg","Ter","Qua","Qui","Sex","Sáb","Dom"))</f>
        <v>Sex</v>
      </c>
      <c r="M192" s="27">
        <f>IF($E192="","",IF($G192&lt;&gt;"",$G192,IFERROR(INDEX(ProcValor,MATCH($E192,ProcNome,0)),0)))</f>
        <v>150</v>
      </c>
      <c r="N192" s="27">
        <f>IF($M192="","",IF($F192="Compareceu",$M192,0))</f>
        <v>150</v>
      </c>
      <c r="O192" s="27">
        <f>IF($M192="","",IF($F192="Faltou",$M192,0))</f>
        <v>0</v>
      </c>
      <c r="P192" s="27">
        <f>IF($M192="","",IF($F192="Compareceu",MAX(0,$M192-N($H192)),0))</f>
        <v>0</v>
      </c>
      <c r="Q192" s="19">
        <f>IF(AND($F192="Compareceu",$E192&lt;&gt;"",$A192&lt;&gt;""),IF(IFERROR(INDEX(ProcRet,MATCH($E192,ProcNome,0)),0)&gt;0,$A192+INDEX(ProcRet,MATCH($E192,ProcNome,0)),""),"")</f>
        <v>0</v>
      </c>
      <c r="R192" s="26">
        <f>IF($Q192="","",IF(COUNTIFS(AgPac,$D192,AgData,"&gt;"&amp;$A192,AgStatus,"&lt;&gt;Cancelado",AgStatus,"&lt;&gt;Remarcado")&gt;0,"Sim","Não"))</f>
        <v>0</v>
      </c>
      <c r="S192" s="28">
        <f>IF($A192="","",IF(AND($F192="Agendado",$A192-Hoje&gt;=0,$A192-Hoje&lt;=DiasConf),"CONFIRMAR",IF(AND($A192&lt;Hoje,OR($F192="Agendado",$F192="Confirmado")),"Atualizar status",IF(AND($F192="Compareceu",$P192&gt;0.005),"Cobrar",IF($F192="Faltou","Falta: reagendar","")))))</f>
        <v>0</v>
      </c>
      <c r="T192" s="29">
        <f>IF($A192="","",DATE(YEAR($A192),MONTH($A192),1))</f>
        <v>46235.0</v>
      </c>
      <c r="U192" s="30">
        <f>IF($S192="CONFIRMAR",MAX($U$4:$U191)+1,"")</f>
        <v>0</v>
      </c>
      <c r="V192" s="30">
        <f>IF(AND($R192="Não",$Q192&lt;&gt;"",$Q192&lt;=Hoje+JanelaRet,$Q192&gt;=Hoje-60),MAX($V$4:$V191)+1,"")</f>
        <v>0</v>
      </c>
    </row>
    <row r="193" spans="1:22">
      <c r="A193" s="16">
        <v>46262</v>
      </c>
      <c r="B193" s="23">
        <v>0.7291666666666666</v>
      </c>
      <c r="C193" s="15" t="s">
        <v>51</v>
      </c>
      <c r="D193" s="15" t="s">
        <v>223</v>
      </c>
      <c r="E193" s="15" t="s">
        <v>62</v>
      </c>
      <c r="F193" s="24" t="s">
        <v>79</v>
      </c>
      <c r="G193" s="17"/>
      <c r="H193" s="17">
        <v>350</v>
      </c>
      <c r="I193" s="15" t="s">
        <v>72</v>
      </c>
      <c r="J193" s="25" t="str">
        <f>IF($D193="","",IFERROR(INDEX(PacNome,MATCH($D193,PacCod,0)),"Paciente não cadastrado"))</f>
        <v>Paciente 042</v>
      </c>
      <c r="K193" s="26" t="str">
        <f>IF($D193="","",IFERROR(INDEX(PacConv,MATCH($D193,PacCod,0))&amp;"",""))</f>
        <v>Particular</v>
      </c>
      <c r="L193" s="26" t="str">
        <f>IF($A193="","",CHOOSE(WEEKDAY($A193,2),"Seg","Ter","Qua","Qui","Sex","Sáb","Dom"))</f>
        <v>Sex</v>
      </c>
      <c r="M193" s="27">
        <f>IF($E193="","",IF($G193&lt;&gt;"",$G193,IFERROR(INDEX(ProcValor,MATCH($E193,ProcNome,0)),0)))</f>
        <v>350</v>
      </c>
      <c r="N193" s="27">
        <f>IF($M193="","",IF($F193="Compareceu",$M193,0))</f>
        <v>350</v>
      </c>
      <c r="O193" s="27">
        <f>IF($M193="","",IF($F193="Faltou",$M193,0))</f>
        <v>0</v>
      </c>
      <c r="P193" s="27">
        <f>IF($M193="","",IF($F193="Compareceu",MAX(0,$M193-N($H193)),0))</f>
        <v>0</v>
      </c>
      <c r="Q193" s="19">
        <f>IF(AND($F193="Compareceu",$E193&lt;&gt;"",$A193&lt;&gt;""),IF(IFERROR(INDEX(ProcRet,MATCH($E193,ProcNome,0)),0)&gt;0,$A193+INDEX(ProcRet,MATCH($E193,ProcNome,0)),""),"")</f>
        <v>46277.0</v>
      </c>
      <c r="R193" s="26" t="str">
        <f>IF($Q193="","",IF(COUNTIFS(AgPac,$D193,AgData,"&gt;"&amp;$A193,AgStatus,"&lt;&gt;Cancelado",AgStatus,"&lt;&gt;Remarcado")&gt;0,"Sim","Não"))</f>
        <v>Sim</v>
      </c>
      <c r="S193" s="28">
        <f>IF($A193="","",IF(AND($F193="Agendado",$A193-Hoje&gt;=0,$A193-Hoje&lt;=DiasConf),"CONFIRMAR",IF(AND($A193&lt;Hoje,OR($F193="Agendado",$F193="Confirmado")),"Atualizar status",IF(AND($F193="Compareceu",$P193&gt;0.005),"Cobrar",IF($F193="Faltou","Falta: reagendar","")))))</f>
        <v>0</v>
      </c>
      <c r="T193" s="29">
        <f>IF($A193="","",DATE(YEAR($A193),MONTH($A193),1))</f>
        <v>46235.0</v>
      </c>
      <c r="U193" s="30">
        <f>IF($S193="CONFIRMAR",MAX($U$4:$U192)+1,"")</f>
        <v>0</v>
      </c>
      <c r="V193" s="30">
        <f>IF(AND($R193="Não",$Q193&lt;&gt;"",$Q193&lt;=Hoje+JanelaRet,$Q193&gt;=Hoje-60),MAX($V$4:$V192)+1,"")</f>
        <v>0</v>
      </c>
    </row>
    <row r="194" spans="1:22">
      <c r="A194" s="16">
        <v>46263</v>
      </c>
      <c r="B194" s="23">
        <v>0.3541666666666667</v>
      </c>
      <c r="C194" s="15" t="s">
        <v>53</v>
      </c>
      <c r="D194" s="15" t="s">
        <v>178</v>
      </c>
      <c r="E194" s="15" t="s">
        <v>63</v>
      </c>
      <c r="F194" s="24" t="s">
        <v>79</v>
      </c>
      <c r="G194" s="17"/>
      <c r="H194" s="17"/>
      <c r="I194" s="15"/>
      <c r="J194" s="25" t="str">
        <f>IF($D194="","",IFERROR(INDEX(PacNome,MATCH($D194,PacCod,0)),"Paciente não cadastrado"))</f>
        <v>Paciente 027</v>
      </c>
      <c r="K194" s="26" t="str">
        <f>IF($D194="","",IFERROR(INDEX(PacConv,MATCH($D194,PacCod,0))&amp;"",""))</f>
        <v>Particular</v>
      </c>
      <c r="L194" s="26" t="str">
        <f>IF($A194="","",CHOOSE(WEEKDAY($A194,2),"Seg","Ter","Qua","Qui","Sex","Sáb","Dom"))</f>
        <v>Sáb</v>
      </c>
      <c r="M194" s="27">
        <f>IF($E194="","",IF($G194&lt;&gt;"",$G194,IFERROR(INDEX(ProcValor,MATCH($E194,ProcNome,0)),0)))</f>
        <v>140</v>
      </c>
      <c r="N194" s="27">
        <f>IF($M194="","",IF($F194="Compareceu",$M194,0))</f>
        <v>140</v>
      </c>
      <c r="O194" s="27">
        <f>IF($M194="","",IF($F194="Faltou",$M194,0))</f>
        <v>0</v>
      </c>
      <c r="P194" s="27">
        <f>IF($M194="","",IF($F194="Compareceu",MAX(0,$M194-N($H194)),0))</f>
        <v>140</v>
      </c>
      <c r="Q194" s="19">
        <f>IF(AND($F194="Compareceu",$E194&lt;&gt;"",$A194&lt;&gt;""),IF(IFERROR(INDEX(ProcRet,MATCH($E194,ProcNome,0)),0)&gt;0,$A194+INDEX(ProcRet,MATCH($E194,ProcNome,0)),""),"")</f>
        <v>46270.0</v>
      </c>
      <c r="R194" s="26" t="str">
        <f>IF($Q194="","",IF(COUNTIFS(AgPac,$D194,AgData,"&gt;"&amp;$A194,AgStatus,"&lt;&gt;Cancelado",AgStatus,"&lt;&gt;Remarcado")&gt;0,"Sim","Não"))</f>
        <v>Sim</v>
      </c>
      <c r="S194" s="28" t="str">
        <f>IF($A194="","",IF(AND($F194="Agendado",$A194-Hoje&gt;=0,$A194-Hoje&lt;=DiasConf),"CONFIRMAR",IF(AND($A194&lt;Hoje,OR($F194="Agendado",$F194="Confirmado")),"Atualizar status",IF(AND($F194="Compareceu",$P194&gt;0.005),"Cobrar",IF($F194="Faltou","Falta: reagendar","")))))</f>
        <v>Cobrar</v>
      </c>
      <c r="T194" s="29">
        <f>IF($A194="","",DATE(YEAR($A194),MONTH($A194),1))</f>
        <v>46235.0</v>
      </c>
      <c r="U194" s="30">
        <f>IF($S194="CONFIRMAR",MAX($U$4:$U193)+1,"")</f>
        <v>0</v>
      </c>
      <c r="V194" s="30">
        <f>IF(AND($R194="Não",$Q194&lt;&gt;"",$Q194&lt;=Hoje+JanelaRet,$Q194&gt;=Hoje-60),MAX($V$4:$V193)+1,"")</f>
        <v>0</v>
      </c>
    </row>
    <row r="195" spans="1:22">
      <c r="A195" s="16">
        <v>46263</v>
      </c>
      <c r="B195" s="23">
        <v>0.4583333333333333</v>
      </c>
      <c r="C195" s="15" t="s">
        <v>54</v>
      </c>
      <c r="D195" s="15" t="s">
        <v>136</v>
      </c>
      <c r="E195" s="15" t="s">
        <v>60</v>
      </c>
      <c r="F195" s="24" t="s">
        <v>80</v>
      </c>
      <c r="G195" s="17"/>
      <c r="H195" s="17"/>
      <c r="I195" s="15"/>
      <c r="J195" s="25" t="str">
        <f>IF($D195="","",IFERROR(INDEX(PacNome,MATCH($D195,PacCod,0)),"Paciente não cadastrado"))</f>
        <v>Paciente 013</v>
      </c>
      <c r="K195" s="26" t="str">
        <f>IF($D195="","",IFERROR(INDEX(PacConv,MATCH($D195,PacCod,0))&amp;"",""))</f>
        <v>Particular</v>
      </c>
      <c r="L195" s="26" t="str">
        <f>IF($A195="","",CHOOSE(WEEKDAY($A195,2),"Seg","Ter","Qua","Qui","Sex","Sáb","Dom"))</f>
        <v>Sáb</v>
      </c>
      <c r="M195" s="27">
        <f>IF($E195="","",IF($G195&lt;&gt;"",$G195,IFERROR(INDEX(ProcValor,MATCH($E195,ProcNome,0)),0)))</f>
        <v>180</v>
      </c>
      <c r="N195" s="27">
        <f>IF($M195="","",IF($F195="Compareceu",$M195,0))</f>
        <v>0</v>
      </c>
      <c r="O195" s="27">
        <f>IF($M195="","",IF($F195="Faltou",$M195,0))</f>
        <v>180</v>
      </c>
      <c r="P195" s="27">
        <f>IF($M195="","",IF($F195="Compareceu",MAX(0,$M195-N($H195)),0))</f>
        <v>0</v>
      </c>
      <c r="Q195" s="19">
        <f>IF(AND($F195="Compareceu",$E195&lt;&gt;"",$A195&lt;&gt;""),IF(IFERROR(INDEX(ProcRet,MATCH($E195,ProcNome,0)),0)&gt;0,$A195+INDEX(ProcRet,MATCH($E195,ProcNome,0)),""),"")</f>
        <v>0</v>
      </c>
      <c r="R195" s="26">
        <f>IF($Q195="","",IF(COUNTIFS(AgPac,$D195,AgData,"&gt;"&amp;$A195,AgStatus,"&lt;&gt;Cancelado",AgStatus,"&lt;&gt;Remarcado")&gt;0,"Sim","Não"))</f>
        <v>0</v>
      </c>
      <c r="S195" s="28" t="str">
        <f>IF($A195="","",IF(AND($F195="Agendado",$A195-Hoje&gt;=0,$A195-Hoje&lt;=DiasConf),"CONFIRMAR",IF(AND($A195&lt;Hoje,OR($F195="Agendado",$F195="Confirmado")),"Atualizar status",IF(AND($F195="Compareceu",$P195&gt;0.005),"Cobrar",IF($F195="Faltou","Falta: reagendar","")))))</f>
        <v>Falta: reagendar</v>
      </c>
      <c r="T195" s="29">
        <f>IF($A195="","",DATE(YEAR($A195),MONTH($A195),1))</f>
        <v>46235.0</v>
      </c>
      <c r="U195" s="30">
        <f>IF($S195="CONFIRMAR",MAX($U$4:$U194)+1,"")</f>
        <v>0</v>
      </c>
      <c r="V195" s="30">
        <f>IF(AND($R195="Não",$Q195&lt;&gt;"",$Q195&lt;=Hoje+JanelaRet,$Q195&gt;=Hoje-60),MAX($V$4:$V194)+1,"")</f>
        <v>0</v>
      </c>
    </row>
    <row r="196" spans="1:22">
      <c r="A196" s="16">
        <v>46265</v>
      </c>
      <c r="B196" s="23">
        <v>0.3541666666666667</v>
      </c>
      <c r="C196" s="15" t="s">
        <v>53</v>
      </c>
      <c r="D196" s="15" t="s">
        <v>118</v>
      </c>
      <c r="E196" s="15" t="s">
        <v>61</v>
      </c>
      <c r="F196" s="24" t="s">
        <v>80</v>
      </c>
      <c r="G196" s="17"/>
      <c r="H196" s="17"/>
      <c r="I196" s="15"/>
      <c r="J196" s="25" t="str">
        <f>IF($D196="","",IFERROR(INDEX(PacNome,MATCH($D196,PacCod,0)),"Paciente não cadastrado"))</f>
        <v>Paciente 007</v>
      </c>
      <c r="K196" s="26" t="str">
        <f>IF($D196="","",IFERROR(INDEX(PacConv,MATCH($D196,PacCod,0))&amp;"",""))</f>
        <v>Particular</v>
      </c>
      <c r="L196" s="26" t="str">
        <f>IF($A196="","",CHOOSE(WEEKDAY($A196,2),"Seg","Ter","Qua","Qui","Sex","Sáb","Dom"))</f>
        <v>Seg</v>
      </c>
      <c r="M196" s="27">
        <f>IF($E196="","",IF($G196&lt;&gt;"",$G196,IFERROR(INDEX(ProcValor,MATCH($E196,ProcNome,0)),0)))</f>
        <v>120</v>
      </c>
      <c r="N196" s="27">
        <f>IF($M196="","",IF($F196="Compareceu",$M196,0))</f>
        <v>0</v>
      </c>
      <c r="O196" s="27">
        <f>IF($M196="","",IF($F196="Faltou",$M196,0))</f>
        <v>120</v>
      </c>
      <c r="P196" s="27">
        <f>IF($M196="","",IF($F196="Compareceu",MAX(0,$M196-N($H196)),0))</f>
        <v>0</v>
      </c>
      <c r="Q196" s="19">
        <f>IF(AND($F196="Compareceu",$E196&lt;&gt;"",$A196&lt;&gt;""),IF(IFERROR(INDEX(ProcRet,MATCH($E196,ProcNome,0)),0)&gt;0,$A196+INDEX(ProcRet,MATCH($E196,ProcNome,0)),""),"")</f>
        <v>0</v>
      </c>
      <c r="R196" s="26">
        <f>IF($Q196="","",IF(COUNTIFS(AgPac,$D196,AgData,"&gt;"&amp;$A196,AgStatus,"&lt;&gt;Cancelado",AgStatus,"&lt;&gt;Remarcado")&gt;0,"Sim","Não"))</f>
        <v>0</v>
      </c>
      <c r="S196" s="28" t="str">
        <f>IF($A196="","",IF(AND($F196="Agendado",$A196-Hoje&gt;=0,$A196-Hoje&lt;=DiasConf),"CONFIRMAR",IF(AND($A196&lt;Hoje,OR($F196="Agendado",$F196="Confirmado")),"Atualizar status",IF(AND($F196="Compareceu",$P196&gt;0.005),"Cobrar",IF($F196="Faltou","Falta: reagendar","")))))</f>
        <v>Falta: reagendar</v>
      </c>
      <c r="T196" s="29">
        <f>IF($A196="","",DATE(YEAR($A196),MONTH($A196),1))</f>
        <v>46235.0</v>
      </c>
      <c r="U196" s="30">
        <f>IF($S196="CONFIRMAR",MAX($U$4:$U195)+1,"")</f>
        <v>0</v>
      </c>
      <c r="V196" s="30">
        <f>IF(AND($R196="Não",$Q196&lt;&gt;"",$Q196&lt;=Hoje+JanelaRet,$Q196&gt;=Hoje-60),MAX($V$4:$V195)+1,"")</f>
        <v>0</v>
      </c>
    </row>
    <row r="197" spans="1:22">
      <c r="A197" s="16">
        <v>46265</v>
      </c>
      <c r="B197" s="23">
        <v>0.3958333333333333</v>
      </c>
      <c r="C197" s="15" t="s">
        <v>51</v>
      </c>
      <c r="D197" s="15" t="s">
        <v>157</v>
      </c>
      <c r="E197" s="15" t="s">
        <v>63</v>
      </c>
      <c r="F197" s="24" t="s">
        <v>79</v>
      </c>
      <c r="G197" s="17"/>
      <c r="H197" s="17">
        <v>140</v>
      </c>
      <c r="I197" s="15" t="s">
        <v>73</v>
      </c>
      <c r="J197" s="25" t="str">
        <f>IF($D197="","",IFERROR(INDEX(PacNome,MATCH($D197,PacCod,0)),"Paciente não cadastrado"))</f>
        <v>Paciente 020</v>
      </c>
      <c r="K197" s="26" t="str">
        <f>IF($D197="","",IFERROR(INDEX(PacConv,MATCH($D197,PacCod,0))&amp;"",""))</f>
        <v>Particular</v>
      </c>
      <c r="L197" s="26" t="str">
        <f>IF($A197="","",CHOOSE(WEEKDAY($A197,2),"Seg","Ter","Qua","Qui","Sex","Sáb","Dom"))</f>
        <v>Seg</v>
      </c>
      <c r="M197" s="27">
        <f>IF($E197="","",IF($G197&lt;&gt;"",$G197,IFERROR(INDEX(ProcValor,MATCH($E197,ProcNome,0)),0)))</f>
        <v>140</v>
      </c>
      <c r="N197" s="27">
        <f>IF($M197="","",IF($F197="Compareceu",$M197,0))</f>
        <v>140</v>
      </c>
      <c r="O197" s="27">
        <f>IF($M197="","",IF($F197="Faltou",$M197,0))</f>
        <v>0</v>
      </c>
      <c r="P197" s="27">
        <f>IF($M197="","",IF($F197="Compareceu",MAX(0,$M197-N($H197)),0))</f>
        <v>0</v>
      </c>
      <c r="Q197" s="19">
        <f>IF(AND($F197="Compareceu",$E197&lt;&gt;"",$A197&lt;&gt;""),IF(IFERROR(INDEX(ProcRet,MATCH($E197,ProcNome,0)),0)&gt;0,$A197+INDEX(ProcRet,MATCH($E197,ProcNome,0)),""),"")</f>
        <v>46272.0</v>
      </c>
      <c r="R197" s="26" t="str">
        <f>IF($Q197="","",IF(COUNTIFS(AgPac,$D197,AgData,"&gt;"&amp;$A197,AgStatus,"&lt;&gt;Cancelado",AgStatus,"&lt;&gt;Remarcado")&gt;0,"Sim","Não"))</f>
        <v>Sim</v>
      </c>
      <c r="S197" s="28">
        <f>IF($A197="","",IF(AND($F197="Agendado",$A197-Hoje&gt;=0,$A197-Hoje&lt;=DiasConf),"CONFIRMAR",IF(AND($A197&lt;Hoje,OR($F197="Agendado",$F197="Confirmado")),"Atualizar status",IF(AND($F197="Compareceu",$P197&gt;0.005),"Cobrar",IF($F197="Faltou","Falta: reagendar","")))))</f>
        <v>0</v>
      </c>
      <c r="T197" s="29">
        <f>IF($A197="","",DATE(YEAR($A197),MONTH($A197),1))</f>
        <v>46235.0</v>
      </c>
      <c r="U197" s="30">
        <f>IF($S197="CONFIRMAR",MAX($U$4:$U196)+1,"")</f>
        <v>0</v>
      </c>
      <c r="V197" s="30">
        <f>IF(AND($R197="Não",$Q197&lt;&gt;"",$Q197&lt;=Hoje+JanelaRet,$Q197&gt;=Hoje-60),MAX($V$4:$V196)+1,"")</f>
        <v>0</v>
      </c>
    </row>
    <row r="198" spans="1:22">
      <c r="A198" s="16">
        <v>46265</v>
      </c>
      <c r="B198" s="23">
        <v>0.5</v>
      </c>
      <c r="C198" s="15" t="s">
        <v>54</v>
      </c>
      <c r="D198" s="15" t="s">
        <v>211</v>
      </c>
      <c r="E198" s="15" t="s">
        <v>60</v>
      </c>
      <c r="F198" s="24" t="s">
        <v>80</v>
      </c>
      <c r="G198" s="17"/>
      <c r="H198" s="17"/>
      <c r="I198" s="15"/>
      <c r="J198" s="25" t="str">
        <f>IF($D198="","",IFERROR(INDEX(PacNome,MATCH($D198,PacCod,0)),"Paciente não cadastrado"))</f>
        <v>Paciente 038</v>
      </c>
      <c r="K198" s="26" t="str">
        <f>IF($D198="","",IFERROR(INDEX(PacConv,MATCH($D198,PacCod,0))&amp;"",""))</f>
        <v>Convênio A</v>
      </c>
      <c r="L198" s="26" t="str">
        <f>IF($A198="","",CHOOSE(WEEKDAY($A198,2),"Seg","Ter","Qua","Qui","Sex","Sáb","Dom"))</f>
        <v>Seg</v>
      </c>
      <c r="M198" s="27">
        <f>IF($E198="","",IF($G198&lt;&gt;"",$G198,IFERROR(INDEX(ProcValor,MATCH($E198,ProcNome,0)),0)))</f>
        <v>180</v>
      </c>
      <c r="N198" s="27">
        <f>IF($M198="","",IF($F198="Compareceu",$M198,0))</f>
        <v>0</v>
      </c>
      <c r="O198" s="27">
        <f>IF($M198="","",IF($F198="Faltou",$M198,0))</f>
        <v>180</v>
      </c>
      <c r="P198" s="27">
        <f>IF($M198="","",IF($F198="Compareceu",MAX(0,$M198-N($H198)),0))</f>
        <v>0</v>
      </c>
      <c r="Q198" s="19">
        <f>IF(AND($F198="Compareceu",$E198&lt;&gt;"",$A198&lt;&gt;""),IF(IFERROR(INDEX(ProcRet,MATCH($E198,ProcNome,0)),0)&gt;0,$A198+INDEX(ProcRet,MATCH($E198,ProcNome,0)),""),"")</f>
        <v>0</v>
      </c>
      <c r="R198" s="26">
        <f>IF($Q198="","",IF(COUNTIFS(AgPac,$D198,AgData,"&gt;"&amp;$A198,AgStatus,"&lt;&gt;Cancelado",AgStatus,"&lt;&gt;Remarcado")&gt;0,"Sim","Não"))</f>
        <v>0</v>
      </c>
      <c r="S198" s="28" t="str">
        <f>IF($A198="","",IF(AND($F198="Agendado",$A198-Hoje&gt;=0,$A198-Hoje&lt;=DiasConf),"CONFIRMAR",IF(AND($A198&lt;Hoje,OR($F198="Agendado",$F198="Confirmado")),"Atualizar status",IF(AND($F198="Compareceu",$P198&gt;0.005),"Cobrar",IF($F198="Faltou","Falta: reagendar","")))))</f>
        <v>Falta: reagendar</v>
      </c>
      <c r="T198" s="29">
        <f>IF($A198="","",DATE(YEAR($A198),MONTH($A198),1))</f>
        <v>46235.0</v>
      </c>
      <c r="U198" s="30">
        <f>IF($S198="CONFIRMAR",MAX($U$4:$U197)+1,"")</f>
        <v>0</v>
      </c>
      <c r="V198" s="30">
        <f>IF(AND($R198="Não",$Q198&lt;&gt;"",$Q198&lt;=Hoje+JanelaRet,$Q198&gt;=Hoje-60),MAX($V$4:$V197)+1,"")</f>
        <v>0</v>
      </c>
    </row>
    <row r="199" spans="1:22">
      <c r="A199" s="16">
        <v>46265</v>
      </c>
      <c r="B199" s="23">
        <v>0.7083333333333334</v>
      </c>
      <c r="C199" s="15" t="s">
        <v>51</v>
      </c>
      <c r="D199" s="15" t="s">
        <v>103</v>
      </c>
      <c r="E199" s="15" t="s">
        <v>60</v>
      </c>
      <c r="F199" s="24" t="s">
        <v>81</v>
      </c>
      <c r="G199" s="17"/>
      <c r="H199" s="17"/>
      <c r="I199" s="15"/>
      <c r="J199" s="25" t="str">
        <f>IF($D199="","",IFERROR(INDEX(PacNome,MATCH($D199,PacCod,0)),"Paciente não cadastrado"))</f>
        <v>Paciente 002</v>
      </c>
      <c r="K199" s="26" t="str">
        <f>IF($D199="","",IFERROR(INDEX(PacConv,MATCH($D199,PacCod,0))&amp;"",""))</f>
        <v>Convênio A</v>
      </c>
      <c r="L199" s="26" t="str">
        <f>IF($A199="","",CHOOSE(WEEKDAY($A199,2),"Seg","Ter","Qua","Qui","Sex","Sáb","Dom"))</f>
        <v>Seg</v>
      </c>
      <c r="M199" s="27">
        <f>IF($E199="","",IF($G199&lt;&gt;"",$G199,IFERROR(INDEX(ProcValor,MATCH($E199,ProcNome,0)),0)))</f>
        <v>180</v>
      </c>
      <c r="N199" s="27">
        <f>IF($M199="","",IF($F199="Compareceu",$M199,0))</f>
        <v>0</v>
      </c>
      <c r="O199" s="27">
        <f>IF($M199="","",IF($F199="Faltou",$M199,0))</f>
        <v>0</v>
      </c>
      <c r="P199" s="27">
        <f>IF($M199="","",IF($F199="Compareceu",MAX(0,$M199-N($H199)),0))</f>
        <v>0</v>
      </c>
      <c r="Q199" s="19">
        <f>IF(AND($F199="Compareceu",$E199&lt;&gt;"",$A199&lt;&gt;""),IF(IFERROR(INDEX(ProcRet,MATCH($E199,ProcNome,0)),0)&gt;0,$A199+INDEX(ProcRet,MATCH($E199,ProcNome,0)),""),"")</f>
        <v>0</v>
      </c>
      <c r="R199" s="26">
        <f>IF($Q199="","",IF(COUNTIFS(AgPac,$D199,AgData,"&gt;"&amp;$A199,AgStatus,"&lt;&gt;Cancelado",AgStatus,"&lt;&gt;Remarcado")&gt;0,"Sim","Não"))</f>
        <v>0</v>
      </c>
      <c r="S199" s="28">
        <f>IF($A199="","",IF(AND($F199="Agendado",$A199-Hoje&gt;=0,$A199-Hoje&lt;=DiasConf),"CONFIRMAR",IF(AND($A199&lt;Hoje,OR($F199="Agendado",$F199="Confirmado")),"Atualizar status",IF(AND($F199="Compareceu",$P199&gt;0.005),"Cobrar",IF($F199="Faltou","Falta: reagendar","")))))</f>
        <v>0</v>
      </c>
      <c r="T199" s="29">
        <f>IF($A199="","",DATE(YEAR($A199),MONTH($A199),1))</f>
        <v>46235.0</v>
      </c>
      <c r="U199" s="30">
        <f>IF($S199="CONFIRMAR",MAX($U$4:$U198)+1,"")</f>
        <v>0</v>
      </c>
      <c r="V199" s="30">
        <f>IF(AND($R199="Não",$Q199&lt;&gt;"",$Q199&lt;=Hoje+JanelaRet,$Q199&gt;=Hoje-60),MAX($V$4:$V198)+1,"")</f>
        <v>0</v>
      </c>
    </row>
    <row r="200" spans="1:22">
      <c r="A200" s="16">
        <v>46266</v>
      </c>
      <c r="B200" s="23">
        <v>0.375</v>
      </c>
      <c r="C200" s="15" t="s">
        <v>53</v>
      </c>
      <c r="D200" s="15" t="s">
        <v>121</v>
      </c>
      <c r="E200" s="15" t="s">
        <v>65</v>
      </c>
      <c r="F200" s="24" t="s">
        <v>79</v>
      </c>
      <c r="G200" s="17"/>
      <c r="H200" s="17">
        <v>130</v>
      </c>
      <c r="I200" s="15" t="s">
        <v>71</v>
      </c>
      <c r="J200" s="25" t="str">
        <f>IF($D200="","",IFERROR(INDEX(PacNome,MATCH($D200,PacCod,0)),"Paciente não cadastrado"))</f>
        <v>Paciente 008</v>
      </c>
      <c r="K200" s="26" t="str">
        <f>IF($D200="","",IFERROR(INDEX(PacConv,MATCH($D200,PacCod,0))&amp;"",""))</f>
        <v>Particular</v>
      </c>
      <c r="L200" s="26" t="str">
        <f>IF($A200="","",CHOOSE(WEEKDAY($A200,2),"Seg","Ter","Qua","Qui","Sex","Sáb","Dom"))</f>
        <v>Ter</v>
      </c>
      <c r="M200" s="27">
        <f>IF($E200="","",IF($G200&lt;&gt;"",$G200,IFERROR(INDEX(ProcValor,MATCH($E200,ProcNome,0)),0)))</f>
        <v>130</v>
      </c>
      <c r="N200" s="27">
        <f>IF($M200="","",IF($F200="Compareceu",$M200,0))</f>
        <v>130</v>
      </c>
      <c r="O200" s="27">
        <f>IF($M200="","",IF($F200="Faltou",$M200,0))</f>
        <v>0</v>
      </c>
      <c r="P200" s="27">
        <f>IF($M200="","",IF($F200="Compareceu",MAX(0,$M200-N($H200)),0))</f>
        <v>0</v>
      </c>
      <c r="Q200" s="19">
        <f>IF(AND($F200="Compareceu",$E200&lt;&gt;"",$A200&lt;&gt;""),IF(IFERROR(INDEX(ProcRet,MATCH($E200,ProcNome,0)),0)&gt;0,$A200+INDEX(ProcRet,MATCH($E200,ProcNome,0)),""),"")</f>
        <v>46356.0</v>
      </c>
      <c r="R200" s="26" t="str">
        <f>IF($Q200="","",IF(COUNTIFS(AgPac,$D200,AgData,"&gt;"&amp;$A200,AgStatus,"&lt;&gt;Cancelado",AgStatus,"&lt;&gt;Remarcado")&gt;0,"Sim","Não"))</f>
        <v>Sim</v>
      </c>
      <c r="S200" s="28">
        <f>IF($A200="","",IF(AND($F200="Agendado",$A200-Hoje&gt;=0,$A200-Hoje&lt;=DiasConf),"CONFIRMAR",IF(AND($A200&lt;Hoje,OR($F200="Agendado",$F200="Confirmado")),"Atualizar status",IF(AND($F200="Compareceu",$P200&gt;0.005),"Cobrar",IF($F200="Faltou","Falta: reagendar","")))))</f>
        <v>0</v>
      </c>
      <c r="T200" s="29">
        <f>IF($A200="","",DATE(YEAR($A200),MONTH($A200),1))</f>
        <v>46266.0</v>
      </c>
      <c r="U200" s="30">
        <f>IF($S200="CONFIRMAR",MAX($U$4:$U199)+1,"")</f>
        <v>0</v>
      </c>
      <c r="V200" s="30">
        <f>IF(AND($R200="Não",$Q200&lt;&gt;"",$Q200&lt;=Hoje+JanelaRet,$Q200&gt;=Hoje-60),MAX($V$4:$V199)+1,"")</f>
        <v>0</v>
      </c>
    </row>
    <row r="201" spans="1:22">
      <c r="A201" s="16">
        <v>46266</v>
      </c>
      <c r="B201" s="23">
        <v>0.625</v>
      </c>
      <c r="C201" s="15" t="s">
        <v>54</v>
      </c>
      <c r="D201" s="15" t="s">
        <v>148</v>
      </c>
      <c r="E201" s="15" t="s">
        <v>61</v>
      </c>
      <c r="F201" s="24" t="s">
        <v>81</v>
      </c>
      <c r="G201" s="17"/>
      <c r="H201" s="17"/>
      <c r="I201" s="15"/>
      <c r="J201" s="25" t="str">
        <f>IF($D201="","",IFERROR(INDEX(PacNome,MATCH($D201,PacCod,0)),"Paciente não cadastrado"))</f>
        <v>Paciente 017</v>
      </c>
      <c r="K201" s="26" t="str">
        <f>IF($D201="","",IFERROR(INDEX(PacConv,MATCH($D201,PacCod,0))&amp;"",""))</f>
        <v>Particular</v>
      </c>
      <c r="L201" s="26" t="str">
        <f>IF($A201="","",CHOOSE(WEEKDAY($A201,2),"Seg","Ter","Qua","Qui","Sex","Sáb","Dom"))</f>
        <v>Ter</v>
      </c>
      <c r="M201" s="27">
        <f>IF($E201="","",IF($G201&lt;&gt;"",$G201,IFERROR(INDEX(ProcValor,MATCH($E201,ProcNome,0)),0)))</f>
        <v>120</v>
      </c>
      <c r="N201" s="27">
        <f>IF($M201="","",IF($F201="Compareceu",$M201,0))</f>
        <v>0</v>
      </c>
      <c r="O201" s="27">
        <f>IF($M201="","",IF($F201="Faltou",$M201,0))</f>
        <v>0</v>
      </c>
      <c r="P201" s="27">
        <f>IF($M201="","",IF($F201="Compareceu",MAX(0,$M201-N($H201)),0))</f>
        <v>0</v>
      </c>
      <c r="Q201" s="19">
        <f>IF(AND($F201="Compareceu",$E201&lt;&gt;"",$A201&lt;&gt;""),IF(IFERROR(INDEX(ProcRet,MATCH($E201,ProcNome,0)),0)&gt;0,$A201+INDEX(ProcRet,MATCH($E201,ProcNome,0)),""),"")</f>
        <v>0</v>
      </c>
      <c r="R201" s="26">
        <f>IF($Q201="","",IF(COUNTIFS(AgPac,$D201,AgData,"&gt;"&amp;$A201,AgStatus,"&lt;&gt;Cancelado",AgStatus,"&lt;&gt;Remarcado")&gt;0,"Sim","Não"))</f>
        <v>0</v>
      </c>
      <c r="S201" s="28">
        <f>IF($A201="","",IF(AND($F201="Agendado",$A201-Hoje&gt;=0,$A201-Hoje&lt;=DiasConf),"CONFIRMAR",IF(AND($A201&lt;Hoje,OR($F201="Agendado",$F201="Confirmado")),"Atualizar status",IF(AND($F201="Compareceu",$P201&gt;0.005),"Cobrar",IF($F201="Faltou","Falta: reagendar","")))))</f>
        <v>0</v>
      </c>
      <c r="T201" s="29">
        <f>IF($A201="","",DATE(YEAR($A201),MONTH($A201),1))</f>
        <v>46266.0</v>
      </c>
      <c r="U201" s="30">
        <f>IF($S201="CONFIRMAR",MAX($U$4:$U200)+1,"")</f>
        <v>0</v>
      </c>
      <c r="V201" s="30">
        <f>IF(AND($R201="Não",$Q201&lt;&gt;"",$Q201&lt;=Hoje+JanelaRet,$Q201&gt;=Hoje-60),MAX($V$4:$V200)+1,"")</f>
        <v>0</v>
      </c>
    </row>
    <row r="202" spans="1:22">
      <c r="A202" s="16">
        <v>46266</v>
      </c>
      <c r="B202" s="23">
        <v>0.7291666666666666</v>
      </c>
      <c r="C202" s="15" t="s">
        <v>54</v>
      </c>
      <c r="D202" s="15" t="s">
        <v>193</v>
      </c>
      <c r="E202" s="15" t="s">
        <v>63</v>
      </c>
      <c r="F202" s="24" t="s">
        <v>79</v>
      </c>
      <c r="G202" s="17">
        <v>84</v>
      </c>
      <c r="H202" s="17">
        <v>84</v>
      </c>
      <c r="I202" s="15" t="s">
        <v>71</v>
      </c>
      <c r="J202" s="25" t="str">
        <f>IF($D202="","",IFERROR(INDEX(PacNome,MATCH($D202,PacCod,0)),"Paciente não cadastrado"))</f>
        <v>Paciente 032</v>
      </c>
      <c r="K202" s="26" t="str">
        <f>IF($D202="","",IFERROR(INDEX(PacConv,MATCH($D202,PacCod,0))&amp;"",""))</f>
        <v>Convênio A</v>
      </c>
      <c r="L202" s="26" t="str">
        <f>IF($A202="","",CHOOSE(WEEKDAY($A202,2),"Seg","Ter","Qua","Qui","Sex","Sáb","Dom"))</f>
        <v>Ter</v>
      </c>
      <c r="M202" s="27">
        <f>IF($E202="","",IF($G202&lt;&gt;"",$G202,IFERROR(INDEX(ProcValor,MATCH($E202,ProcNome,0)),0)))</f>
        <v>84</v>
      </c>
      <c r="N202" s="27">
        <f>IF($M202="","",IF($F202="Compareceu",$M202,0))</f>
        <v>84</v>
      </c>
      <c r="O202" s="27">
        <f>IF($M202="","",IF($F202="Faltou",$M202,0))</f>
        <v>0</v>
      </c>
      <c r="P202" s="27">
        <f>IF($M202="","",IF($F202="Compareceu",MAX(0,$M202-N($H202)),0))</f>
        <v>0</v>
      </c>
      <c r="Q202" s="19">
        <f>IF(AND($F202="Compareceu",$E202&lt;&gt;"",$A202&lt;&gt;""),IF(IFERROR(INDEX(ProcRet,MATCH($E202,ProcNome,0)),0)&gt;0,$A202+INDEX(ProcRet,MATCH($E202,ProcNome,0)),""),"")</f>
        <v>46273.0</v>
      </c>
      <c r="R202" s="26" t="str">
        <f>IF($Q202="","",IF(COUNTIFS(AgPac,$D202,AgData,"&gt;"&amp;$A202,AgStatus,"&lt;&gt;Cancelado",AgStatus,"&lt;&gt;Remarcado")&gt;0,"Sim","Não"))</f>
        <v>Sim</v>
      </c>
      <c r="S202" s="28">
        <f>IF($A202="","",IF(AND($F202="Agendado",$A202-Hoje&gt;=0,$A202-Hoje&lt;=DiasConf),"CONFIRMAR",IF(AND($A202&lt;Hoje,OR($F202="Agendado",$F202="Confirmado")),"Atualizar status",IF(AND($F202="Compareceu",$P202&gt;0.005),"Cobrar",IF($F202="Faltou","Falta: reagendar","")))))</f>
        <v>0</v>
      </c>
      <c r="T202" s="29">
        <f>IF($A202="","",DATE(YEAR($A202),MONTH($A202),1))</f>
        <v>46266.0</v>
      </c>
      <c r="U202" s="30">
        <f>IF($S202="CONFIRMAR",MAX($U$4:$U201)+1,"")</f>
        <v>0</v>
      </c>
      <c r="V202" s="30">
        <f>IF(AND($R202="Não",$Q202&lt;&gt;"",$Q202&lt;=Hoje+JanelaRet,$Q202&gt;=Hoje-60),MAX($V$4:$V201)+1,"")</f>
        <v>0</v>
      </c>
    </row>
    <row r="203" spans="1:22">
      <c r="A203" s="16">
        <v>46267</v>
      </c>
      <c r="B203" s="23">
        <v>0.5625</v>
      </c>
      <c r="C203" s="15" t="s">
        <v>51</v>
      </c>
      <c r="D203" s="15" t="s">
        <v>130</v>
      </c>
      <c r="E203" s="15" t="s">
        <v>63</v>
      </c>
      <c r="F203" s="24" t="s">
        <v>79</v>
      </c>
      <c r="G203" s="17">
        <v>84</v>
      </c>
      <c r="H203" s="17">
        <v>42</v>
      </c>
      <c r="I203" s="15" t="s">
        <v>75</v>
      </c>
      <c r="J203" s="25" t="str">
        <f>IF($D203="","",IFERROR(INDEX(PacNome,MATCH($D203,PacCod,0)),"Paciente não cadastrado"))</f>
        <v>Paciente 011</v>
      </c>
      <c r="K203" s="26" t="str">
        <f>IF($D203="","",IFERROR(INDEX(PacConv,MATCH($D203,PacCod,0))&amp;"",""))</f>
        <v>Convênio A</v>
      </c>
      <c r="L203" s="26" t="str">
        <f>IF($A203="","",CHOOSE(WEEKDAY($A203,2),"Seg","Ter","Qua","Qui","Sex","Sáb","Dom"))</f>
        <v>Qua</v>
      </c>
      <c r="M203" s="27">
        <f>IF($E203="","",IF($G203&lt;&gt;"",$G203,IFERROR(INDEX(ProcValor,MATCH($E203,ProcNome,0)),0)))</f>
        <v>84</v>
      </c>
      <c r="N203" s="27">
        <f>IF($M203="","",IF($F203="Compareceu",$M203,0))</f>
        <v>84</v>
      </c>
      <c r="O203" s="27">
        <f>IF($M203="","",IF($F203="Faltou",$M203,0))</f>
        <v>0</v>
      </c>
      <c r="P203" s="27">
        <f>IF($M203="","",IF($F203="Compareceu",MAX(0,$M203-N($H203)),0))</f>
        <v>42</v>
      </c>
      <c r="Q203" s="19">
        <f>IF(AND($F203="Compareceu",$E203&lt;&gt;"",$A203&lt;&gt;""),IF(IFERROR(INDEX(ProcRet,MATCH($E203,ProcNome,0)),0)&gt;0,$A203+INDEX(ProcRet,MATCH($E203,ProcNome,0)),""),"")</f>
        <v>46274.0</v>
      </c>
      <c r="R203" s="26" t="str">
        <f>IF($Q203="","",IF(COUNTIFS(AgPac,$D203,AgData,"&gt;"&amp;$A203,AgStatus,"&lt;&gt;Cancelado",AgStatus,"&lt;&gt;Remarcado")&gt;0,"Sim","Não"))</f>
        <v>Não</v>
      </c>
      <c r="S203" s="28" t="str">
        <f>IF($A203="","",IF(AND($F203="Agendado",$A203-Hoje&gt;=0,$A203-Hoje&lt;=DiasConf),"CONFIRMAR",IF(AND($A203&lt;Hoje,OR($F203="Agendado",$F203="Confirmado")),"Atualizar status",IF(AND($F203="Compareceu",$P203&gt;0.005),"Cobrar",IF($F203="Faltou","Falta: reagendar","")))))</f>
        <v>Cobrar</v>
      </c>
      <c r="T203" s="29">
        <f>IF($A203="","",DATE(YEAR($A203),MONTH($A203),1))</f>
        <v>46266.0</v>
      </c>
      <c r="U203" s="30">
        <f>IF($S203="CONFIRMAR",MAX($U$4:$U202)+1,"")</f>
        <v>0</v>
      </c>
      <c r="V203" s="30">
        <f>IF(AND($R203="Não",$Q203&lt;&gt;"",$Q203&lt;=Hoje+JanelaRet,$Q203&gt;=Hoje-60),MAX($V$4:$V202)+1,"")</f>
        <v>1</v>
      </c>
    </row>
    <row r="204" spans="1:22">
      <c r="A204" s="16">
        <v>46267</v>
      </c>
      <c r="B204" s="23">
        <v>0.625</v>
      </c>
      <c r="C204" s="15" t="s">
        <v>51</v>
      </c>
      <c r="D204" s="15" t="s">
        <v>157</v>
      </c>
      <c r="E204" s="15" t="s">
        <v>60</v>
      </c>
      <c r="F204" s="24" t="s">
        <v>79</v>
      </c>
      <c r="G204" s="17"/>
      <c r="H204" s="17">
        <v>180</v>
      </c>
      <c r="I204" s="15" t="s">
        <v>75</v>
      </c>
      <c r="J204" s="25" t="str">
        <f>IF($D204="","",IFERROR(INDEX(PacNome,MATCH($D204,PacCod,0)),"Paciente não cadastrado"))</f>
        <v>Paciente 020</v>
      </c>
      <c r="K204" s="26" t="str">
        <f>IF($D204="","",IFERROR(INDEX(PacConv,MATCH($D204,PacCod,0))&amp;"",""))</f>
        <v>Particular</v>
      </c>
      <c r="L204" s="26" t="str">
        <f>IF($A204="","",CHOOSE(WEEKDAY($A204,2),"Seg","Ter","Qua","Qui","Sex","Sáb","Dom"))</f>
        <v>Qua</v>
      </c>
      <c r="M204" s="27">
        <f>IF($E204="","",IF($G204&lt;&gt;"",$G204,IFERROR(INDEX(ProcValor,MATCH($E204,ProcNome,0)),0)))</f>
        <v>180</v>
      </c>
      <c r="N204" s="27">
        <f>IF($M204="","",IF($F204="Compareceu",$M204,0))</f>
        <v>180</v>
      </c>
      <c r="O204" s="27">
        <f>IF($M204="","",IF($F204="Faltou",$M204,0))</f>
        <v>0</v>
      </c>
      <c r="P204" s="27">
        <f>IF($M204="","",IF($F204="Compareceu",MAX(0,$M204-N($H204)),0))</f>
        <v>0</v>
      </c>
      <c r="Q204" s="19">
        <f>IF(AND($F204="Compareceu",$E204&lt;&gt;"",$A204&lt;&gt;""),IF(IFERROR(INDEX(ProcRet,MATCH($E204,ProcNome,0)),0)&gt;0,$A204+INDEX(ProcRet,MATCH($E204,ProcNome,0)),""),"")</f>
        <v>46447.0</v>
      </c>
      <c r="R204" s="26" t="str">
        <f>IF($Q204="","",IF(COUNTIFS(AgPac,$D204,AgData,"&gt;"&amp;$A204,AgStatus,"&lt;&gt;Cancelado",AgStatus,"&lt;&gt;Remarcado")&gt;0,"Sim","Não"))</f>
        <v>Sim</v>
      </c>
      <c r="S204" s="28">
        <f>IF($A204="","",IF(AND($F204="Agendado",$A204-Hoje&gt;=0,$A204-Hoje&lt;=DiasConf),"CONFIRMAR",IF(AND($A204&lt;Hoje,OR($F204="Agendado",$F204="Confirmado")),"Atualizar status",IF(AND($F204="Compareceu",$P204&gt;0.005),"Cobrar",IF($F204="Faltou","Falta: reagendar","")))))</f>
        <v>0</v>
      </c>
      <c r="T204" s="29">
        <f>IF($A204="","",DATE(YEAR($A204),MONTH($A204),1))</f>
        <v>46266.0</v>
      </c>
      <c r="U204" s="30">
        <f>IF($S204="CONFIRMAR",MAX($U$4:$U203)+1,"")</f>
        <v>0</v>
      </c>
      <c r="V204" s="30">
        <f>IF(AND($R204="Não",$Q204&lt;&gt;"",$Q204&lt;=Hoje+JanelaRet,$Q204&gt;=Hoje-60),MAX($V$4:$V203)+1,"")</f>
        <v>0</v>
      </c>
    </row>
    <row r="205" spans="1:22">
      <c r="A205" s="16">
        <v>46267</v>
      </c>
      <c r="B205" s="23">
        <v>0.7083333333333334</v>
      </c>
      <c r="C205" s="15" t="s">
        <v>51</v>
      </c>
      <c r="D205" s="15" t="s">
        <v>100</v>
      </c>
      <c r="E205" s="15" t="s">
        <v>60</v>
      </c>
      <c r="F205" s="24" t="s">
        <v>79</v>
      </c>
      <c r="G205" s="17"/>
      <c r="H205" s="17">
        <v>180</v>
      </c>
      <c r="I205" s="15" t="s">
        <v>71</v>
      </c>
      <c r="J205" s="25" t="str">
        <f>IF($D205="","",IFERROR(INDEX(PacNome,MATCH($D205,PacCod,0)),"Paciente não cadastrado"))</f>
        <v>Paciente 001</v>
      </c>
      <c r="K205" s="26" t="str">
        <f>IF($D205="","",IFERROR(INDEX(PacConv,MATCH($D205,PacCod,0))&amp;"",""))</f>
        <v>Particular</v>
      </c>
      <c r="L205" s="26" t="str">
        <f>IF($A205="","",CHOOSE(WEEKDAY($A205,2),"Seg","Ter","Qua","Qui","Sex","Sáb","Dom"))</f>
        <v>Qua</v>
      </c>
      <c r="M205" s="27">
        <f>IF($E205="","",IF($G205&lt;&gt;"",$G205,IFERROR(INDEX(ProcValor,MATCH($E205,ProcNome,0)),0)))</f>
        <v>180</v>
      </c>
      <c r="N205" s="27">
        <f>IF($M205="","",IF($F205="Compareceu",$M205,0))</f>
        <v>180</v>
      </c>
      <c r="O205" s="27">
        <f>IF($M205="","",IF($F205="Faltou",$M205,0))</f>
        <v>0</v>
      </c>
      <c r="P205" s="27">
        <f>IF($M205="","",IF($F205="Compareceu",MAX(0,$M205-N($H205)),0))</f>
        <v>0</v>
      </c>
      <c r="Q205" s="19">
        <f>IF(AND($F205="Compareceu",$E205&lt;&gt;"",$A205&lt;&gt;""),IF(IFERROR(INDEX(ProcRet,MATCH($E205,ProcNome,0)),0)&gt;0,$A205+INDEX(ProcRet,MATCH($E205,ProcNome,0)),""),"")</f>
        <v>46447.0</v>
      </c>
      <c r="R205" s="26" t="str">
        <f>IF($Q205="","",IF(COUNTIFS(AgPac,$D205,AgData,"&gt;"&amp;$A205,AgStatus,"&lt;&gt;Cancelado",AgStatus,"&lt;&gt;Remarcado")&gt;0,"Sim","Não"))</f>
        <v>Sim</v>
      </c>
      <c r="S205" s="28">
        <f>IF($A205="","",IF(AND($F205="Agendado",$A205-Hoje&gt;=0,$A205-Hoje&lt;=DiasConf),"CONFIRMAR",IF(AND($A205&lt;Hoje,OR($F205="Agendado",$F205="Confirmado")),"Atualizar status",IF(AND($F205="Compareceu",$P205&gt;0.005),"Cobrar",IF($F205="Faltou","Falta: reagendar","")))))</f>
        <v>0</v>
      </c>
      <c r="T205" s="29">
        <f>IF($A205="","",DATE(YEAR($A205),MONTH($A205),1))</f>
        <v>46266.0</v>
      </c>
      <c r="U205" s="30">
        <f>IF($S205="CONFIRMAR",MAX($U$4:$U204)+1,"")</f>
        <v>0</v>
      </c>
      <c r="V205" s="30">
        <f>IF(AND($R205="Não",$Q205&lt;&gt;"",$Q205&lt;=Hoje+JanelaRet,$Q205&gt;=Hoje-60),MAX($V$4:$V204)+1,"")</f>
        <v>0</v>
      </c>
    </row>
    <row r="206" spans="1:22">
      <c r="A206" s="16">
        <v>46268</v>
      </c>
      <c r="B206" s="23">
        <v>0.4166666666666667</v>
      </c>
      <c r="C206" s="15" t="s">
        <v>54</v>
      </c>
      <c r="D206" s="15" t="s">
        <v>205</v>
      </c>
      <c r="E206" s="15" t="s">
        <v>63</v>
      </c>
      <c r="F206" s="24" t="s">
        <v>79</v>
      </c>
      <c r="G206" s="17">
        <v>84</v>
      </c>
      <c r="H206" s="17">
        <v>84</v>
      </c>
      <c r="I206" s="15" t="s">
        <v>71</v>
      </c>
      <c r="J206" s="25" t="str">
        <f>IF($D206="","",IFERROR(INDEX(PacNome,MATCH($D206,PacCod,0)),"Paciente não cadastrado"))</f>
        <v>Paciente 036</v>
      </c>
      <c r="K206" s="26" t="str">
        <f>IF($D206="","",IFERROR(INDEX(PacConv,MATCH($D206,PacCod,0))&amp;"",""))</f>
        <v>Convênio B</v>
      </c>
      <c r="L206" s="26" t="str">
        <f>IF($A206="","",CHOOSE(WEEKDAY($A206,2),"Seg","Ter","Qua","Qui","Sex","Sáb","Dom"))</f>
        <v>Qui</v>
      </c>
      <c r="M206" s="27">
        <f>IF($E206="","",IF($G206&lt;&gt;"",$G206,IFERROR(INDEX(ProcValor,MATCH($E206,ProcNome,0)),0)))</f>
        <v>84</v>
      </c>
      <c r="N206" s="27">
        <f>IF($M206="","",IF($F206="Compareceu",$M206,0))</f>
        <v>84</v>
      </c>
      <c r="O206" s="27">
        <f>IF($M206="","",IF($F206="Faltou",$M206,0))</f>
        <v>0</v>
      </c>
      <c r="P206" s="27">
        <f>IF($M206="","",IF($F206="Compareceu",MAX(0,$M206-N($H206)),0))</f>
        <v>0</v>
      </c>
      <c r="Q206" s="19">
        <f>IF(AND($F206="Compareceu",$E206&lt;&gt;"",$A206&lt;&gt;""),IF(IFERROR(INDEX(ProcRet,MATCH($E206,ProcNome,0)),0)&gt;0,$A206+INDEX(ProcRet,MATCH($E206,ProcNome,0)),""),"")</f>
        <v>46275.0</v>
      </c>
      <c r="R206" s="26" t="str">
        <f>IF($Q206="","",IF(COUNTIFS(AgPac,$D206,AgData,"&gt;"&amp;$A206,AgStatus,"&lt;&gt;Cancelado",AgStatus,"&lt;&gt;Remarcado")&gt;0,"Sim","Não"))</f>
        <v>Sim</v>
      </c>
      <c r="S206" s="28">
        <f>IF($A206="","",IF(AND($F206="Agendado",$A206-Hoje&gt;=0,$A206-Hoje&lt;=DiasConf),"CONFIRMAR",IF(AND($A206&lt;Hoje,OR($F206="Agendado",$F206="Confirmado")),"Atualizar status",IF(AND($F206="Compareceu",$P206&gt;0.005),"Cobrar",IF($F206="Faltou","Falta: reagendar","")))))</f>
        <v>0</v>
      </c>
      <c r="T206" s="29">
        <f>IF($A206="","",DATE(YEAR($A206),MONTH($A206),1))</f>
        <v>46266.0</v>
      </c>
      <c r="U206" s="30">
        <f>IF($S206="CONFIRMAR",MAX($U$4:$U205)+1,"")</f>
        <v>0</v>
      </c>
      <c r="V206" s="30">
        <f>IF(AND($R206="Não",$Q206&lt;&gt;"",$Q206&lt;=Hoje+JanelaRet,$Q206&gt;=Hoje-60),MAX($V$4:$V205)+1,"")</f>
        <v>0</v>
      </c>
    </row>
    <row r="207" spans="1:22">
      <c r="A207" s="16">
        <v>46268</v>
      </c>
      <c r="B207" s="23">
        <v>0.5</v>
      </c>
      <c r="C207" s="15" t="s">
        <v>54</v>
      </c>
      <c r="D207" s="15" t="s">
        <v>184</v>
      </c>
      <c r="E207" s="15" t="s">
        <v>58</v>
      </c>
      <c r="F207" s="24" t="s">
        <v>79</v>
      </c>
      <c r="G207" s="17">
        <v>150</v>
      </c>
      <c r="H207" s="17">
        <v>150</v>
      </c>
      <c r="I207" s="15" t="s">
        <v>75</v>
      </c>
      <c r="J207" s="25" t="str">
        <f>IF($D207="","",IFERROR(INDEX(PacNome,MATCH($D207,PacCod,0)),"Paciente não cadastrado"))</f>
        <v>Paciente 029</v>
      </c>
      <c r="K207" s="26" t="str">
        <f>IF($D207="","",IFERROR(INDEX(PacConv,MATCH($D207,PacCod,0))&amp;"",""))</f>
        <v>Convênio B</v>
      </c>
      <c r="L207" s="26" t="str">
        <f>IF($A207="","",CHOOSE(WEEKDAY($A207,2),"Seg","Ter","Qua","Qui","Sex","Sáb","Dom"))</f>
        <v>Qui</v>
      </c>
      <c r="M207" s="27">
        <f>IF($E207="","",IF($G207&lt;&gt;"",$G207,IFERROR(INDEX(ProcValor,MATCH($E207,ProcNome,0)),0)))</f>
        <v>150</v>
      </c>
      <c r="N207" s="27">
        <f>IF($M207="","",IF($F207="Compareceu",$M207,0))</f>
        <v>150</v>
      </c>
      <c r="O207" s="27">
        <f>IF($M207="","",IF($F207="Faltou",$M207,0))</f>
        <v>0</v>
      </c>
      <c r="P207" s="27">
        <f>IF($M207="","",IF($F207="Compareceu",MAX(0,$M207-N($H207)),0))</f>
        <v>0</v>
      </c>
      <c r="Q207" s="19">
        <f>IF(AND($F207="Compareceu",$E207&lt;&gt;"",$A207&lt;&gt;""),IF(IFERROR(INDEX(ProcRet,MATCH($E207,ProcNome,0)),0)&gt;0,$A207+INDEX(ProcRet,MATCH($E207,ProcNome,0)),""),"")</f>
        <v>0</v>
      </c>
      <c r="R207" s="26">
        <f>IF($Q207="","",IF(COUNTIFS(AgPac,$D207,AgData,"&gt;"&amp;$A207,AgStatus,"&lt;&gt;Cancelado",AgStatus,"&lt;&gt;Remarcado")&gt;0,"Sim","Não"))</f>
        <v>0</v>
      </c>
      <c r="S207" s="28">
        <f>IF($A207="","",IF(AND($F207="Agendado",$A207-Hoje&gt;=0,$A207-Hoje&lt;=DiasConf),"CONFIRMAR",IF(AND($A207&lt;Hoje,OR($F207="Agendado",$F207="Confirmado")),"Atualizar status",IF(AND($F207="Compareceu",$P207&gt;0.005),"Cobrar",IF($F207="Faltou","Falta: reagendar","")))))</f>
        <v>0</v>
      </c>
      <c r="T207" s="29">
        <f>IF($A207="","",DATE(YEAR($A207),MONTH($A207),1))</f>
        <v>46266.0</v>
      </c>
      <c r="U207" s="30">
        <f>IF($S207="CONFIRMAR",MAX($U$4:$U206)+1,"")</f>
        <v>0</v>
      </c>
      <c r="V207" s="30">
        <f>IF(AND($R207="Não",$Q207&lt;&gt;"",$Q207&lt;=Hoje+JanelaRet,$Q207&gt;=Hoje-60),MAX($V$4:$V206)+1,"")</f>
        <v>0</v>
      </c>
    </row>
    <row r="208" spans="1:22">
      <c r="A208" s="16">
        <v>46268</v>
      </c>
      <c r="B208" s="23">
        <v>0.5833333333333334</v>
      </c>
      <c r="C208" s="15" t="s">
        <v>53</v>
      </c>
      <c r="D208" s="15" t="s">
        <v>133</v>
      </c>
      <c r="E208" s="15" t="s">
        <v>61</v>
      </c>
      <c r="F208" s="24" t="s">
        <v>79</v>
      </c>
      <c r="G208" s="17"/>
      <c r="H208" s="17">
        <v>120</v>
      </c>
      <c r="I208" s="15" t="s">
        <v>73</v>
      </c>
      <c r="J208" s="25" t="str">
        <f>IF($D208="","",IFERROR(INDEX(PacNome,MATCH($D208,PacCod,0)),"Paciente não cadastrado"))</f>
        <v>Paciente 012</v>
      </c>
      <c r="K208" s="26" t="str">
        <f>IF($D208="","",IFERROR(INDEX(PacConv,MATCH($D208,PacCod,0))&amp;"",""))</f>
        <v>Particular</v>
      </c>
      <c r="L208" s="26" t="str">
        <f>IF($A208="","",CHOOSE(WEEKDAY($A208,2),"Seg","Ter","Qua","Qui","Sex","Sáb","Dom"))</f>
        <v>Qui</v>
      </c>
      <c r="M208" s="27">
        <f>IF($E208="","",IF($G208&lt;&gt;"",$G208,IFERROR(INDEX(ProcValor,MATCH($E208,ProcNome,0)),0)))</f>
        <v>120</v>
      </c>
      <c r="N208" s="27">
        <f>IF($M208="","",IF($F208="Compareceu",$M208,0))</f>
        <v>120</v>
      </c>
      <c r="O208" s="27">
        <f>IF($M208="","",IF($F208="Faltou",$M208,0))</f>
        <v>0</v>
      </c>
      <c r="P208" s="27">
        <f>IF($M208="","",IF($F208="Compareceu",MAX(0,$M208-N($H208)),0))</f>
        <v>0</v>
      </c>
      <c r="Q208" s="19">
        <f>IF(AND($F208="Compareceu",$E208&lt;&gt;"",$A208&lt;&gt;""),IF(IFERROR(INDEX(ProcRet,MATCH($E208,ProcNome,0)),0)&gt;0,$A208+INDEX(ProcRet,MATCH($E208,ProcNome,0)),""),"")</f>
        <v>46298.0</v>
      </c>
      <c r="R208" s="26" t="str">
        <f>IF($Q208="","",IF(COUNTIFS(AgPac,$D208,AgData,"&gt;"&amp;$A208,AgStatus,"&lt;&gt;Cancelado",AgStatus,"&lt;&gt;Remarcado")&gt;0,"Sim","Não"))</f>
        <v>Sim</v>
      </c>
      <c r="S208" s="28">
        <f>IF($A208="","",IF(AND($F208="Agendado",$A208-Hoje&gt;=0,$A208-Hoje&lt;=DiasConf),"CONFIRMAR",IF(AND($A208&lt;Hoje,OR($F208="Agendado",$F208="Confirmado")),"Atualizar status",IF(AND($F208="Compareceu",$P208&gt;0.005),"Cobrar",IF($F208="Faltou","Falta: reagendar","")))))</f>
        <v>0</v>
      </c>
      <c r="T208" s="29">
        <f>IF($A208="","",DATE(YEAR($A208),MONTH($A208),1))</f>
        <v>46266.0</v>
      </c>
      <c r="U208" s="30">
        <f>IF($S208="CONFIRMAR",MAX($U$4:$U207)+1,"")</f>
        <v>0</v>
      </c>
      <c r="V208" s="30">
        <f>IF(AND($R208="Não",$Q208&lt;&gt;"",$Q208&lt;=Hoje+JanelaRet,$Q208&gt;=Hoje-60),MAX($V$4:$V207)+1,"")</f>
        <v>0</v>
      </c>
    </row>
    <row r="209" spans="1:22">
      <c r="A209" s="16">
        <v>46269</v>
      </c>
      <c r="B209" s="23">
        <v>0.4166666666666667</v>
      </c>
      <c r="C209" s="15" t="s">
        <v>53</v>
      </c>
      <c r="D209" s="15" t="s">
        <v>223</v>
      </c>
      <c r="E209" s="15" t="s">
        <v>61</v>
      </c>
      <c r="F209" s="24" t="s">
        <v>79</v>
      </c>
      <c r="G209" s="17"/>
      <c r="H209" s="17">
        <v>120</v>
      </c>
      <c r="I209" s="15" t="s">
        <v>73</v>
      </c>
      <c r="J209" s="25" t="str">
        <f>IF($D209="","",IFERROR(INDEX(PacNome,MATCH($D209,PacCod,0)),"Paciente não cadastrado"))</f>
        <v>Paciente 042</v>
      </c>
      <c r="K209" s="26" t="str">
        <f>IF($D209="","",IFERROR(INDEX(PacConv,MATCH($D209,PacCod,0))&amp;"",""))</f>
        <v>Particular</v>
      </c>
      <c r="L209" s="26" t="str">
        <f>IF($A209="","",CHOOSE(WEEKDAY($A209,2),"Seg","Ter","Qua","Qui","Sex","Sáb","Dom"))</f>
        <v>Sex</v>
      </c>
      <c r="M209" s="27">
        <f>IF($E209="","",IF($G209&lt;&gt;"",$G209,IFERROR(INDEX(ProcValor,MATCH($E209,ProcNome,0)),0)))</f>
        <v>120</v>
      </c>
      <c r="N209" s="27">
        <f>IF($M209="","",IF($F209="Compareceu",$M209,0))</f>
        <v>120</v>
      </c>
      <c r="O209" s="27">
        <f>IF($M209="","",IF($F209="Faltou",$M209,0))</f>
        <v>0</v>
      </c>
      <c r="P209" s="27">
        <f>IF($M209="","",IF($F209="Compareceu",MAX(0,$M209-N($H209)),0))</f>
        <v>0</v>
      </c>
      <c r="Q209" s="19">
        <f>IF(AND($F209="Compareceu",$E209&lt;&gt;"",$A209&lt;&gt;""),IF(IFERROR(INDEX(ProcRet,MATCH($E209,ProcNome,0)),0)&gt;0,$A209+INDEX(ProcRet,MATCH($E209,ProcNome,0)),""),"")</f>
        <v>46299.0</v>
      </c>
      <c r="R209" s="26" t="str">
        <f>IF($Q209="","",IF(COUNTIFS(AgPac,$D209,AgData,"&gt;"&amp;$A209,AgStatus,"&lt;&gt;Cancelado",AgStatus,"&lt;&gt;Remarcado")&gt;0,"Sim","Não"))</f>
        <v>Sim</v>
      </c>
      <c r="S209" s="28">
        <f>IF($A209="","",IF(AND($F209="Agendado",$A209-Hoje&gt;=0,$A209-Hoje&lt;=DiasConf),"CONFIRMAR",IF(AND($A209&lt;Hoje,OR($F209="Agendado",$F209="Confirmado")),"Atualizar status",IF(AND($F209="Compareceu",$P209&gt;0.005),"Cobrar",IF($F209="Faltou","Falta: reagendar","")))))</f>
        <v>0</v>
      </c>
      <c r="T209" s="29">
        <f>IF($A209="","",DATE(YEAR($A209),MONTH($A209),1))</f>
        <v>46266.0</v>
      </c>
      <c r="U209" s="30">
        <f>IF($S209="CONFIRMAR",MAX($U$4:$U208)+1,"")</f>
        <v>0</v>
      </c>
      <c r="V209" s="30">
        <f>IF(AND($R209="Não",$Q209&lt;&gt;"",$Q209&lt;=Hoje+JanelaRet,$Q209&gt;=Hoje-60),MAX($V$4:$V208)+1,"")</f>
        <v>0</v>
      </c>
    </row>
    <row r="210" spans="1:22">
      <c r="A210" s="16">
        <v>46269</v>
      </c>
      <c r="B210" s="23">
        <v>0.4583333333333333</v>
      </c>
      <c r="C210" s="15" t="s">
        <v>54</v>
      </c>
      <c r="D210" s="15" t="s">
        <v>127</v>
      </c>
      <c r="E210" s="15" t="s">
        <v>63</v>
      </c>
      <c r="F210" s="24" t="s">
        <v>79</v>
      </c>
      <c r="G210" s="17"/>
      <c r="H210" s="17">
        <v>140</v>
      </c>
      <c r="I210" s="15" t="s">
        <v>75</v>
      </c>
      <c r="J210" s="25" t="str">
        <f>IF($D210="","",IFERROR(INDEX(PacNome,MATCH($D210,PacCod,0)),"Paciente não cadastrado"))</f>
        <v>Paciente 010</v>
      </c>
      <c r="K210" s="26" t="str">
        <f>IF($D210="","",IFERROR(INDEX(PacConv,MATCH($D210,PacCod,0))&amp;"",""))</f>
        <v>Particular</v>
      </c>
      <c r="L210" s="26" t="str">
        <f>IF($A210="","",CHOOSE(WEEKDAY($A210,2),"Seg","Ter","Qua","Qui","Sex","Sáb","Dom"))</f>
        <v>Sex</v>
      </c>
      <c r="M210" s="27">
        <f>IF($E210="","",IF($G210&lt;&gt;"",$G210,IFERROR(INDEX(ProcValor,MATCH($E210,ProcNome,0)),0)))</f>
        <v>140</v>
      </c>
      <c r="N210" s="27">
        <f>IF($M210="","",IF($F210="Compareceu",$M210,0))</f>
        <v>140</v>
      </c>
      <c r="O210" s="27">
        <f>IF($M210="","",IF($F210="Faltou",$M210,0))</f>
        <v>0</v>
      </c>
      <c r="P210" s="27">
        <f>IF($M210="","",IF($F210="Compareceu",MAX(0,$M210-N($H210)),0))</f>
        <v>0</v>
      </c>
      <c r="Q210" s="19">
        <f>IF(AND($F210="Compareceu",$E210&lt;&gt;"",$A210&lt;&gt;""),IF(IFERROR(INDEX(ProcRet,MATCH($E210,ProcNome,0)),0)&gt;0,$A210+INDEX(ProcRet,MATCH($E210,ProcNome,0)),""),"")</f>
        <v>46276.0</v>
      </c>
      <c r="R210" s="26" t="str">
        <f>IF($Q210="","",IF(COUNTIFS(AgPac,$D210,AgData,"&gt;"&amp;$A210,AgStatus,"&lt;&gt;Cancelado",AgStatus,"&lt;&gt;Remarcado")&gt;0,"Sim","Não"))</f>
        <v>Sim</v>
      </c>
      <c r="S210" s="28">
        <f>IF($A210="","",IF(AND($F210="Agendado",$A210-Hoje&gt;=0,$A210-Hoje&lt;=DiasConf),"CONFIRMAR",IF(AND($A210&lt;Hoje,OR($F210="Agendado",$F210="Confirmado")),"Atualizar status",IF(AND($F210="Compareceu",$P210&gt;0.005),"Cobrar",IF($F210="Faltou","Falta: reagendar","")))))</f>
        <v>0</v>
      </c>
      <c r="T210" s="29">
        <f>IF($A210="","",DATE(YEAR($A210),MONTH($A210),1))</f>
        <v>46266.0</v>
      </c>
      <c r="U210" s="30">
        <f>IF($S210="CONFIRMAR",MAX($U$4:$U209)+1,"")</f>
        <v>0</v>
      </c>
      <c r="V210" s="30">
        <f>IF(AND($R210="Não",$Q210&lt;&gt;"",$Q210&lt;=Hoje+JanelaRet,$Q210&gt;=Hoje-60),MAX($V$4:$V209)+1,"")</f>
        <v>0</v>
      </c>
    </row>
    <row r="211" spans="1:22">
      <c r="A211" s="16">
        <v>46269</v>
      </c>
      <c r="B211" s="23">
        <v>0.5</v>
      </c>
      <c r="C211" s="15" t="s">
        <v>54</v>
      </c>
      <c r="D211" s="15" t="s">
        <v>151</v>
      </c>
      <c r="E211" s="15" t="s">
        <v>62</v>
      </c>
      <c r="F211" s="24" t="s">
        <v>79</v>
      </c>
      <c r="G211" s="17"/>
      <c r="H211" s="17">
        <v>175</v>
      </c>
      <c r="I211" s="15" t="s">
        <v>73</v>
      </c>
      <c r="J211" s="25" t="str">
        <f>IF($D211="","",IFERROR(INDEX(PacNome,MATCH($D211,PacCod,0)),"Paciente não cadastrado"))</f>
        <v>Paciente 018</v>
      </c>
      <c r="K211" s="26" t="str">
        <f>IF($D211="","",IFERROR(INDEX(PacConv,MATCH($D211,PacCod,0))&amp;"",""))</f>
        <v>Particular</v>
      </c>
      <c r="L211" s="26" t="str">
        <f>IF($A211="","",CHOOSE(WEEKDAY($A211,2),"Seg","Ter","Qua","Qui","Sex","Sáb","Dom"))</f>
        <v>Sex</v>
      </c>
      <c r="M211" s="27">
        <f>IF($E211="","",IF($G211&lt;&gt;"",$G211,IFERROR(INDEX(ProcValor,MATCH($E211,ProcNome,0)),0)))</f>
        <v>350</v>
      </c>
      <c r="N211" s="27">
        <f>IF($M211="","",IF($F211="Compareceu",$M211,0))</f>
        <v>350</v>
      </c>
      <c r="O211" s="27">
        <f>IF($M211="","",IF($F211="Faltou",$M211,0))</f>
        <v>0</v>
      </c>
      <c r="P211" s="27">
        <f>IF($M211="","",IF($F211="Compareceu",MAX(0,$M211-N($H211)),0))</f>
        <v>175</v>
      </c>
      <c r="Q211" s="19">
        <f>IF(AND($F211="Compareceu",$E211&lt;&gt;"",$A211&lt;&gt;""),IF(IFERROR(INDEX(ProcRet,MATCH($E211,ProcNome,0)),0)&gt;0,$A211+INDEX(ProcRet,MATCH($E211,ProcNome,0)),""),"")</f>
        <v>46284.0</v>
      </c>
      <c r="R211" s="26" t="str">
        <f>IF($Q211="","",IF(COUNTIFS(AgPac,$D211,AgData,"&gt;"&amp;$A211,AgStatus,"&lt;&gt;Cancelado",AgStatus,"&lt;&gt;Remarcado")&gt;0,"Sim","Não"))</f>
        <v>Sim</v>
      </c>
      <c r="S211" s="28" t="str">
        <f>IF($A211="","",IF(AND($F211="Agendado",$A211-Hoje&gt;=0,$A211-Hoje&lt;=DiasConf),"CONFIRMAR",IF(AND($A211&lt;Hoje,OR($F211="Agendado",$F211="Confirmado")),"Atualizar status",IF(AND($F211="Compareceu",$P211&gt;0.005),"Cobrar",IF($F211="Faltou","Falta: reagendar","")))))</f>
        <v>Cobrar</v>
      </c>
      <c r="T211" s="29">
        <f>IF($A211="","",DATE(YEAR($A211),MONTH($A211),1))</f>
        <v>46266.0</v>
      </c>
      <c r="U211" s="30">
        <f>IF($S211="CONFIRMAR",MAX($U$4:$U210)+1,"")</f>
        <v>0</v>
      </c>
      <c r="V211" s="30">
        <f>IF(AND($R211="Não",$Q211&lt;&gt;"",$Q211&lt;=Hoje+JanelaRet,$Q211&gt;=Hoje-60),MAX($V$4:$V210)+1,"")</f>
        <v>0</v>
      </c>
    </row>
    <row r="212" spans="1:22">
      <c r="A212" s="16">
        <v>46269</v>
      </c>
      <c r="B212" s="23">
        <v>0.5416666666666666</v>
      </c>
      <c r="C212" s="15" t="s">
        <v>51</v>
      </c>
      <c r="D212" s="15" t="s">
        <v>214</v>
      </c>
      <c r="E212" s="15" t="s">
        <v>60</v>
      </c>
      <c r="F212" s="24" t="s">
        <v>79</v>
      </c>
      <c r="G212" s="17"/>
      <c r="H212" s="17">
        <v>180</v>
      </c>
      <c r="I212" s="15" t="s">
        <v>74</v>
      </c>
      <c r="J212" s="25" t="str">
        <f>IF($D212="","",IFERROR(INDEX(PacNome,MATCH($D212,PacCod,0)),"Paciente não cadastrado"))</f>
        <v>Paciente 039</v>
      </c>
      <c r="K212" s="26" t="str">
        <f>IF($D212="","",IFERROR(INDEX(PacConv,MATCH($D212,PacCod,0))&amp;"",""))</f>
        <v>Particular</v>
      </c>
      <c r="L212" s="26" t="str">
        <f>IF($A212="","",CHOOSE(WEEKDAY($A212,2),"Seg","Ter","Qua","Qui","Sex","Sáb","Dom"))</f>
        <v>Sex</v>
      </c>
      <c r="M212" s="27">
        <f>IF($E212="","",IF($G212&lt;&gt;"",$G212,IFERROR(INDEX(ProcValor,MATCH($E212,ProcNome,0)),0)))</f>
        <v>180</v>
      </c>
      <c r="N212" s="27">
        <f>IF($M212="","",IF($F212="Compareceu",$M212,0))</f>
        <v>180</v>
      </c>
      <c r="O212" s="27">
        <f>IF($M212="","",IF($F212="Faltou",$M212,0))</f>
        <v>0</v>
      </c>
      <c r="P212" s="27">
        <f>IF($M212="","",IF($F212="Compareceu",MAX(0,$M212-N($H212)),0))</f>
        <v>0</v>
      </c>
      <c r="Q212" s="19">
        <f>IF(AND($F212="Compareceu",$E212&lt;&gt;"",$A212&lt;&gt;""),IF(IFERROR(INDEX(ProcRet,MATCH($E212,ProcNome,0)),0)&gt;0,$A212+INDEX(ProcRet,MATCH($E212,ProcNome,0)),""),"")</f>
        <v>46449.0</v>
      </c>
      <c r="R212" s="26" t="str">
        <f>IF($Q212="","",IF(COUNTIFS(AgPac,$D212,AgData,"&gt;"&amp;$A212,AgStatus,"&lt;&gt;Cancelado",AgStatus,"&lt;&gt;Remarcado")&gt;0,"Sim","Não"))</f>
        <v>Sim</v>
      </c>
      <c r="S212" s="28">
        <f>IF($A212="","",IF(AND($F212="Agendado",$A212-Hoje&gt;=0,$A212-Hoje&lt;=DiasConf),"CONFIRMAR",IF(AND($A212&lt;Hoje,OR($F212="Agendado",$F212="Confirmado")),"Atualizar status",IF(AND($F212="Compareceu",$P212&gt;0.005),"Cobrar",IF($F212="Faltou","Falta: reagendar","")))))</f>
        <v>0</v>
      </c>
      <c r="T212" s="29">
        <f>IF($A212="","",DATE(YEAR($A212),MONTH($A212),1))</f>
        <v>46266.0</v>
      </c>
      <c r="U212" s="30">
        <f>IF($S212="CONFIRMAR",MAX($U$4:$U211)+1,"")</f>
        <v>0</v>
      </c>
      <c r="V212" s="30">
        <f>IF(AND($R212="Não",$Q212&lt;&gt;"",$Q212&lt;=Hoje+JanelaRet,$Q212&gt;=Hoje-60),MAX($V$4:$V211)+1,"")</f>
        <v>0</v>
      </c>
    </row>
    <row r="213" spans="1:22">
      <c r="A213" s="16">
        <v>46270</v>
      </c>
      <c r="B213" s="23">
        <v>0.6875</v>
      </c>
      <c r="C213" s="15" t="s">
        <v>53</v>
      </c>
      <c r="D213" s="15" t="s">
        <v>184</v>
      </c>
      <c r="E213" s="15" t="s">
        <v>61</v>
      </c>
      <c r="F213" s="24" t="s">
        <v>79</v>
      </c>
      <c r="G213" s="17">
        <v>72</v>
      </c>
      <c r="H213" s="17">
        <v>36</v>
      </c>
      <c r="I213" s="15" t="s">
        <v>74</v>
      </c>
      <c r="J213" s="25" t="str">
        <f>IF($D213="","",IFERROR(INDEX(PacNome,MATCH($D213,PacCod,0)),"Paciente não cadastrado"))</f>
        <v>Paciente 029</v>
      </c>
      <c r="K213" s="26" t="str">
        <f>IF($D213="","",IFERROR(INDEX(PacConv,MATCH($D213,PacCod,0))&amp;"",""))</f>
        <v>Convênio B</v>
      </c>
      <c r="L213" s="26" t="str">
        <f>IF($A213="","",CHOOSE(WEEKDAY($A213,2),"Seg","Ter","Qua","Qui","Sex","Sáb","Dom"))</f>
        <v>Sáb</v>
      </c>
      <c r="M213" s="27">
        <f>IF($E213="","",IF($G213&lt;&gt;"",$G213,IFERROR(INDEX(ProcValor,MATCH($E213,ProcNome,0)),0)))</f>
        <v>72</v>
      </c>
      <c r="N213" s="27">
        <f>IF($M213="","",IF($F213="Compareceu",$M213,0))</f>
        <v>72</v>
      </c>
      <c r="O213" s="27">
        <f>IF($M213="","",IF($F213="Faltou",$M213,0))</f>
        <v>0</v>
      </c>
      <c r="P213" s="27">
        <f>IF($M213="","",IF($F213="Compareceu",MAX(0,$M213-N($H213)),0))</f>
        <v>36</v>
      </c>
      <c r="Q213" s="19">
        <f>IF(AND($F213="Compareceu",$E213&lt;&gt;"",$A213&lt;&gt;""),IF(IFERROR(INDEX(ProcRet,MATCH($E213,ProcNome,0)),0)&gt;0,$A213+INDEX(ProcRet,MATCH($E213,ProcNome,0)),""),"")</f>
        <v>46300.0</v>
      </c>
      <c r="R213" s="26" t="str">
        <f>IF($Q213="","",IF(COUNTIFS(AgPac,$D213,AgData,"&gt;"&amp;$A213,AgStatus,"&lt;&gt;Cancelado",AgStatus,"&lt;&gt;Remarcado")&gt;0,"Sim","Não"))</f>
        <v>Sim</v>
      </c>
      <c r="S213" s="28" t="str">
        <f>IF($A213="","",IF(AND($F213="Agendado",$A213-Hoje&gt;=0,$A213-Hoje&lt;=DiasConf),"CONFIRMAR",IF(AND($A213&lt;Hoje,OR($F213="Agendado",$F213="Confirmado")),"Atualizar status",IF(AND($F213="Compareceu",$P213&gt;0.005),"Cobrar",IF($F213="Faltou","Falta: reagendar","")))))</f>
        <v>Cobrar</v>
      </c>
      <c r="T213" s="29">
        <f>IF($A213="","",DATE(YEAR($A213),MONTH($A213),1))</f>
        <v>46266.0</v>
      </c>
      <c r="U213" s="30">
        <f>IF($S213="CONFIRMAR",MAX($U$4:$U212)+1,"")</f>
        <v>0</v>
      </c>
      <c r="V213" s="30">
        <f>IF(AND($R213="Não",$Q213&lt;&gt;"",$Q213&lt;=Hoje+JanelaRet,$Q213&gt;=Hoje-60),MAX($V$4:$V212)+1,"")</f>
        <v>0</v>
      </c>
    </row>
    <row r="214" spans="1:22">
      <c r="A214" s="16">
        <v>46270</v>
      </c>
      <c r="B214" s="23">
        <v>0.7291666666666666</v>
      </c>
      <c r="C214" s="15" t="s">
        <v>54</v>
      </c>
      <c r="D214" s="15" t="s">
        <v>145</v>
      </c>
      <c r="E214" s="15" t="s">
        <v>60</v>
      </c>
      <c r="F214" s="24" t="s">
        <v>81</v>
      </c>
      <c r="G214" s="17"/>
      <c r="H214" s="17"/>
      <c r="I214" s="15"/>
      <c r="J214" s="25" t="str">
        <f>IF($D214="","",IFERROR(INDEX(PacNome,MATCH($D214,PacCod,0)),"Paciente não cadastrado"))</f>
        <v>Paciente 016</v>
      </c>
      <c r="K214" s="26" t="str">
        <f>IF($D214="","",IFERROR(INDEX(PacConv,MATCH($D214,PacCod,0))&amp;"",""))</f>
        <v>Particular</v>
      </c>
      <c r="L214" s="26" t="str">
        <f>IF($A214="","",CHOOSE(WEEKDAY($A214,2),"Seg","Ter","Qua","Qui","Sex","Sáb","Dom"))</f>
        <v>Sáb</v>
      </c>
      <c r="M214" s="27">
        <f>IF($E214="","",IF($G214&lt;&gt;"",$G214,IFERROR(INDEX(ProcValor,MATCH($E214,ProcNome,0)),0)))</f>
        <v>180</v>
      </c>
      <c r="N214" s="27">
        <f>IF($M214="","",IF($F214="Compareceu",$M214,0))</f>
        <v>0</v>
      </c>
      <c r="O214" s="27">
        <f>IF($M214="","",IF($F214="Faltou",$M214,0))</f>
        <v>0</v>
      </c>
      <c r="P214" s="27">
        <f>IF($M214="","",IF($F214="Compareceu",MAX(0,$M214-N($H214)),0))</f>
        <v>0</v>
      </c>
      <c r="Q214" s="19">
        <f>IF(AND($F214="Compareceu",$E214&lt;&gt;"",$A214&lt;&gt;""),IF(IFERROR(INDEX(ProcRet,MATCH($E214,ProcNome,0)),0)&gt;0,$A214+INDEX(ProcRet,MATCH($E214,ProcNome,0)),""),"")</f>
        <v>0</v>
      </c>
      <c r="R214" s="26">
        <f>IF($Q214="","",IF(COUNTIFS(AgPac,$D214,AgData,"&gt;"&amp;$A214,AgStatus,"&lt;&gt;Cancelado",AgStatus,"&lt;&gt;Remarcado")&gt;0,"Sim","Não"))</f>
        <v>0</v>
      </c>
      <c r="S214" s="28">
        <f>IF($A214="","",IF(AND($F214="Agendado",$A214-Hoje&gt;=0,$A214-Hoje&lt;=DiasConf),"CONFIRMAR",IF(AND($A214&lt;Hoje,OR($F214="Agendado",$F214="Confirmado")),"Atualizar status",IF(AND($F214="Compareceu",$P214&gt;0.005),"Cobrar",IF($F214="Faltou","Falta: reagendar","")))))</f>
        <v>0</v>
      </c>
      <c r="T214" s="29">
        <f>IF($A214="","",DATE(YEAR($A214),MONTH($A214),1))</f>
        <v>46266.0</v>
      </c>
      <c r="U214" s="30">
        <f>IF($S214="CONFIRMAR",MAX($U$4:$U213)+1,"")</f>
        <v>0</v>
      </c>
      <c r="V214" s="30">
        <f>IF(AND($R214="Não",$Q214&lt;&gt;"",$Q214&lt;=Hoje+JanelaRet,$Q214&gt;=Hoje-60),MAX($V$4:$V213)+1,"")</f>
        <v>0</v>
      </c>
    </row>
    <row r="215" spans="1:22">
      <c r="A215" s="16">
        <v>46272</v>
      </c>
      <c r="B215" s="23">
        <v>0.3958333333333333</v>
      </c>
      <c r="C215" s="15" t="s">
        <v>51</v>
      </c>
      <c r="D215" s="15" t="s">
        <v>151</v>
      </c>
      <c r="E215" s="15" t="s">
        <v>63</v>
      </c>
      <c r="F215" s="24" t="s">
        <v>79</v>
      </c>
      <c r="G215" s="17"/>
      <c r="H215" s="17">
        <v>140</v>
      </c>
      <c r="I215" s="15" t="s">
        <v>75</v>
      </c>
      <c r="J215" s="25" t="str">
        <f>IF($D215="","",IFERROR(INDEX(PacNome,MATCH($D215,PacCod,0)),"Paciente não cadastrado"))</f>
        <v>Paciente 018</v>
      </c>
      <c r="K215" s="26" t="str">
        <f>IF($D215="","",IFERROR(INDEX(PacConv,MATCH($D215,PacCod,0))&amp;"",""))</f>
        <v>Particular</v>
      </c>
      <c r="L215" s="26" t="str">
        <f>IF($A215="","",CHOOSE(WEEKDAY($A215,2),"Seg","Ter","Qua","Qui","Sex","Sáb","Dom"))</f>
        <v>Seg</v>
      </c>
      <c r="M215" s="27">
        <f>IF($E215="","",IF($G215&lt;&gt;"",$G215,IFERROR(INDEX(ProcValor,MATCH($E215,ProcNome,0)),0)))</f>
        <v>140</v>
      </c>
      <c r="N215" s="27">
        <f>IF($M215="","",IF($F215="Compareceu",$M215,0))</f>
        <v>140</v>
      </c>
      <c r="O215" s="27">
        <f>IF($M215="","",IF($F215="Faltou",$M215,0))</f>
        <v>0</v>
      </c>
      <c r="P215" s="27">
        <f>IF($M215="","",IF($F215="Compareceu",MAX(0,$M215-N($H215)),0))</f>
        <v>0</v>
      </c>
      <c r="Q215" s="19">
        <f>IF(AND($F215="Compareceu",$E215&lt;&gt;"",$A215&lt;&gt;""),IF(IFERROR(INDEX(ProcRet,MATCH($E215,ProcNome,0)),0)&gt;0,$A215+INDEX(ProcRet,MATCH($E215,ProcNome,0)),""),"")</f>
        <v>46279.0</v>
      </c>
      <c r="R215" s="26" t="str">
        <f>IF($Q215="","",IF(COUNTIFS(AgPac,$D215,AgData,"&gt;"&amp;$A215,AgStatus,"&lt;&gt;Cancelado",AgStatus,"&lt;&gt;Remarcado")&gt;0,"Sim","Não"))</f>
        <v>Sim</v>
      </c>
      <c r="S215" s="28">
        <f>IF($A215="","",IF(AND($F215="Agendado",$A215-Hoje&gt;=0,$A215-Hoje&lt;=DiasConf),"CONFIRMAR",IF(AND($A215&lt;Hoje,OR($F215="Agendado",$F215="Confirmado")),"Atualizar status",IF(AND($F215="Compareceu",$P215&gt;0.005),"Cobrar",IF($F215="Faltou","Falta: reagendar","")))))</f>
        <v>0</v>
      </c>
      <c r="T215" s="29">
        <f>IF($A215="","",DATE(YEAR($A215),MONTH($A215),1))</f>
        <v>46266.0</v>
      </c>
      <c r="U215" s="30">
        <f>IF($S215="CONFIRMAR",MAX($U$4:$U214)+1,"")</f>
        <v>0</v>
      </c>
      <c r="V215" s="30">
        <f>IF(AND($R215="Não",$Q215&lt;&gt;"",$Q215&lt;=Hoje+JanelaRet,$Q215&gt;=Hoje-60),MAX($V$4:$V214)+1,"")</f>
        <v>0</v>
      </c>
    </row>
    <row r="216" spans="1:22">
      <c r="A216" s="16">
        <v>46272</v>
      </c>
      <c r="B216" s="23">
        <v>0.4375</v>
      </c>
      <c r="C216" s="15" t="s">
        <v>51</v>
      </c>
      <c r="D216" s="15" t="s">
        <v>139</v>
      </c>
      <c r="E216" s="15" t="s">
        <v>62</v>
      </c>
      <c r="F216" s="24" t="s">
        <v>79</v>
      </c>
      <c r="G216" s="17"/>
      <c r="H216" s="17">
        <v>350</v>
      </c>
      <c r="I216" s="15" t="s">
        <v>73</v>
      </c>
      <c r="J216" s="25" t="str">
        <f>IF($D216="","",IFERROR(INDEX(PacNome,MATCH($D216,PacCod,0)),"Paciente não cadastrado"))</f>
        <v>Paciente 014</v>
      </c>
      <c r="K216" s="26" t="str">
        <f>IF($D216="","",IFERROR(INDEX(PacConv,MATCH($D216,PacCod,0))&amp;"",""))</f>
        <v>Particular</v>
      </c>
      <c r="L216" s="26" t="str">
        <f>IF($A216="","",CHOOSE(WEEKDAY($A216,2),"Seg","Ter","Qua","Qui","Sex","Sáb","Dom"))</f>
        <v>Seg</v>
      </c>
      <c r="M216" s="27">
        <f>IF($E216="","",IF($G216&lt;&gt;"",$G216,IFERROR(INDEX(ProcValor,MATCH($E216,ProcNome,0)),0)))</f>
        <v>350</v>
      </c>
      <c r="N216" s="27">
        <f>IF($M216="","",IF($F216="Compareceu",$M216,0))</f>
        <v>350</v>
      </c>
      <c r="O216" s="27">
        <f>IF($M216="","",IF($F216="Faltou",$M216,0))</f>
        <v>0</v>
      </c>
      <c r="P216" s="27">
        <f>IF($M216="","",IF($F216="Compareceu",MAX(0,$M216-N($H216)),0))</f>
        <v>0</v>
      </c>
      <c r="Q216" s="19">
        <f>IF(AND($F216="Compareceu",$E216&lt;&gt;"",$A216&lt;&gt;""),IF(IFERROR(INDEX(ProcRet,MATCH($E216,ProcNome,0)),0)&gt;0,$A216+INDEX(ProcRet,MATCH($E216,ProcNome,0)),""),"")</f>
        <v>46287.0</v>
      </c>
      <c r="R216" s="26" t="str">
        <f>IF($Q216="","",IF(COUNTIFS(AgPac,$D216,AgData,"&gt;"&amp;$A216,AgStatus,"&lt;&gt;Cancelado",AgStatus,"&lt;&gt;Remarcado")&gt;0,"Sim","Não"))</f>
        <v>Sim</v>
      </c>
      <c r="S216" s="28">
        <f>IF($A216="","",IF(AND($F216="Agendado",$A216-Hoje&gt;=0,$A216-Hoje&lt;=DiasConf),"CONFIRMAR",IF(AND($A216&lt;Hoje,OR($F216="Agendado",$F216="Confirmado")),"Atualizar status",IF(AND($F216="Compareceu",$P216&gt;0.005),"Cobrar",IF($F216="Faltou","Falta: reagendar","")))))</f>
        <v>0</v>
      </c>
      <c r="T216" s="29">
        <f>IF($A216="","",DATE(YEAR($A216),MONTH($A216),1))</f>
        <v>46266.0</v>
      </c>
      <c r="U216" s="30">
        <f>IF($S216="CONFIRMAR",MAX($U$4:$U215)+1,"")</f>
        <v>0</v>
      </c>
      <c r="V216" s="30">
        <f>IF(AND($R216="Não",$Q216&lt;&gt;"",$Q216&lt;=Hoje+JanelaRet,$Q216&gt;=Hoje-60),MAX($V$4:$V215)+1,"")</f>
        <v>0</v>
      </c>
    </row>
    <row r="217" spans="1:22">
      <c r="A217" s="16">
        <v>46272</v>
      </c>
      <c r="B217" s="23">
        <v>0.6041666666666666</v>
      </c>
      <c r="C217" s="15" t="s">
        <v>54</v>
      </c>
      <c r="D217" s="15" t="s">
        <v>184</v>
      </c>
      <c r="E217" s="15" t="s">
        <v>61</v>
      </c>
      <c r="F217" s="24" t="s">
        <v>79</v>
      </c>
      <c r="G217" s="17">
        <v>72</v>
      </c>
      <c r="H217" s="17">
        <v>72</v>
      </c>
      <c r="I217" s="15" t="s">
        <v>72</v>
      </c>
      <c r="J217" s="25" t="str">
        <f>IF($D217="","",IFERROR(INDEX(PacNome,MATCH($D217,PacCod,0)),"Paciente não cadastrado"))</f>
        <v>Paciente 029</v>
      </c>
      <c r="K217" s="26" t="str">
        <f>IF($D217="","",IFERROR(INDEX(PacConv,MATCH($D217,PacCod,0))&amp;"",""))</f>
        <v>Convênio B</v>
      </c>
      <c r="L217" s="26" t="str">
        <f>IF($A217="","",CHOOSE(WEEKDAY($A217,2),"Seg","Ter","Qua","Qui","Sex","Sáb","Dom"))</f>
        <v>Seg</v>
      </c>
      <c r="M217" s="27">
        <f>IF($E217="","",IF($G217&lt;&gt;"",$G217,IFERROR(INDEX(ProcValor,MATCH($E217,ProcNome,0)),0)))</f>
        <v>72</v>
      </c>
      <c r="N217" s="27">
        <f>IF($M217="","",IF($F217="Compareceu",$M217,0))</f>
        <v>72</v>
      </c>
      <c r="O217" s="27">
        <f>IF($M217="","",IF($F217="Faltou",$M217,0))</f>
        <v>0</v>
      </c>
      <c r="P217" s="27">
        <f>IF($M217="","",IF($F217="Compareceu",MAX(0,$M217-N($H217)),0))</f>
        <v>0</v>
      </c>
      <c r="Q217" s="19">
        <f>IF(AND($F217="Compareceu",$E217&lt;&gt;"",$A217&lt;&gt;""),IF(IFERROR(INDEX(ProcRet,MATCH($E217,ProcNome,0)),0)&gt;0,$A217+INDEX(ProcRet,MATCH($E217,ProcNome,0)),""),"")</f>
        <v>46302.0</v>
      </c>
      <c r="R217" s="26" t="str">
        <f>IF($Q217="","",IF(COUNTIFS(AgPac,$D217,AgData,"&gt;"&amp;$A217,AgStatus,"&lt;&gt;Cancelado",AgStatus,"&lt;&gt;Remarcado")&gt;0,"Sim","Não"))</f>
        <v>Sim</v>
      </c>
      <c r="S217" s="28">
        <f>IF($A217="","",IF(AND($F217="Agendado",$A217-Hoje&gt;=0,$A217-Hoje&lt;=DiasConf),"CONFIRMAR",IF(AND($A217&lt;Hoje,OR($F217="Agendado",$F217="Confirmado")),"Atualizar status",IF(AND($F217="Compareceu",$P217&gt;0.005),"Cobrar",IF($F217="Faltou","Falta: reagendar","")))))</f>
        <v>0</v>
      </c>
      <c r="T217" s="29">
        <f>IF($A217="","",DATE(YEAR($A217),MONTH($A217),1))</f>
        <v>46266.0</v>
      </c>
      <c r="U217" s="30">
        <f>IF($S217="CONFIRMAR",MAX($U$4:$U216)+1,"")</f>
        <v>0</v>
      </c>
      <c r="V217" s="30">
        <f>IF(AND($R217="Não",$Q217&lt;&gt;"",$Q217&lt;=Hoje+JanelaRet,$Q217&gt;=Hoje-60),MAX($V$4:$V216)+1,"")</f>
        <v>0</v>
      </c>
    </row>
    <row r="218" spans="1:22">
      <c r="A218" s="16">
        <v>46272</v>
      </c>
      <c r="B218" s="23">
        <v>0.6666666666666666</v>
      </c>
      <c r="C218" s="15" t="s">
        <v>53</v>
      </c>
      <c r="D218" s="15" t="s">
        <v>166</v>
      </c>
      <c r="E218" s="15" t="s">
        <v>62</v>
      </c>
      <c r="F218" s="24" t="s">
        <v>79</v>
      </c>
      <c r="G218" s="17"/>
      <c r="H218" s="17">
        <v>175</v>
      </c>
      <c r="I218" s="15" t="s">
        <v>71</v>
      </c>
      <c r="J218" s="25" t="str">
        <f>IF($D218="","",IFERROR(INDEX(PacNome,MATCH($D218,PacCod,0)),"Paciente não cadastrado"))</f>
        <v>Paciente 023</v>
      </c>
      <c r="K218" s="26" t="str">
        <f>IF($D218="","",IFERROR(INDEX(PacConv,MATCH($D218,PacCod,0))&amp;"",""))</f>
        <v>Particular</v>
      </c>
      <c r="L218" s="26" t="str">
        <f>IF($A218="","",CHOOSE(WEEKDAY($A218,2),"Seg","Ter","Qua","Qui","Sex","Sáb","Dom"))</f>
        <v>Seg</v>
      </c>
      <c r="M218" s="27">
        <f>IF($E218="","",IF($G218&lt;&gt;"",$G218,IFERROR(INDEX(ProcValor,MATCH($E218,ProcNome,0)),0)))</f>
        <v>350</v>
      </c>
      <c r="N218" s="27">
        <f>IF($M218="","",IF($F218="Compareceu",$M218,0))</f>
        <v>350</v>
      </c>
      <c r="O218" s="27">
        <f>IF($M218="","",IF($F218="Faltou",$M218,0))</f>
        <v>0</v>
      </c>
      <c r="P218" s="27">
        <f>IF($M218="","",IF($F218="Compareceu",MAX(0,$M218-N($H218)),0))</f>
        <v>175</v>
      </c>
      <c r="Q218" s="19">
        <f>IF(AND($F218="Compareceu",$E218&lt;&gt;"",$A218&lt;&gt;""),IF(IFERROR(INDEX(ProcRet,MATCH($E218,ProcNome,0)),0)&gt;0,$A218+INDEX(ProcRet,MATCH($E218,ProcNome,0)),""),"")</f>
        <v>46287.0</v>
      </c>
      <c r="R218" s="26" t="str">
        <f>IF($Q218="","",IF(COUNTIFS(AgPac,$D218,AgData,"&gt;"&amp;$A218,AgStatus,"&lt;&gt;Cancelado",AgStatus,"&lt;&gt;Remarcado")&gt;0,"Sim","Não"))</f>
        <v>Sim</v>
      </c>
      <c r="S218" s="28" t="str">
        <f>IF($A218="","",IF(AND($F218="Agendado",$A218-Hoje&gt;=0,$A218-Hoje&lt;=DiasConf),"CONFIRMAR",IF(AND($A218&lt;Hoje,OR($F218="Agendado",$F218="Confirmado")),"Atualizar status",IF(AND($F218="Compareceu",$P218&gt;0.005),"Cobrar",IF($F218="Faltou","Falta: reagendar","")))))</f>
        <v>Cobrar</v>
      </c>
      <c r="T218" s="29">
        <f>IF($A218="","",DATE(YEAR($A218),MONTH($A218),1))</f>
        <v>46266.0</v>
      </c>
      <c r="U218" s="30">
        <f>IF($S218="CONFIRMAR",MAX($U$4:$U217)+1,"")</f>
        <v>0</v>
      </c>
      <c r="V218" s="30">
        <f>IF(AND($R218="Não",$Q218&lt;&gt;"",$Q218&lt;=Hoje+JanelaRet,$Q218&gt;=Hoje-60),MAX($V$4:$V217)+1,"")</f>
        <v>0</v>
      </c>
    </row>
    <row r="219" spans="1:22">
      <c r="A219" s="16">
        <v>46273</v>
      </c>
      <c r="B219" s="23">
        <v>0.3958333333333333</v>
      </c>
      <c r="C219" s="15" t="s">
        <v>51</v>
      </c>
      <c r="D219" s="15" t="s">
        <v>103</v>
      </c>
      <c r="E219" s="15" t="s">
        <v>61</v>
      </c>
      <c r="F219" s="24" t="s">
        <v>79</v>
      </c>
      <c r="G219" s="17">
        <v>72</v>
      </c>
      <c r="H219" s="17"/>
      <c r="I219" s="15"/>
      <c r="J219" s="25" t="str">
        <f>IF($D219="","",IFERROR(INDEX(PacNome,MATCH($D219,PacCod,0)),"Paciente não cadastrado"))</f>
        <v>Paciente 002</v>
      </c>
      <c r="K219" s="26" t="str">
        <f>IF($D219="","",IFERROR(INDEX(PacConv,MATCH($D219,PacCod,0))&amp;"",""))</f>
        <v>Convênio A</v>
      </c>
      <c r="L219" s="26" t="str">
        <f>IF($A219="","",CHOOSE(WEEKDAY($A219,2),"Seg","Ter","Qua","Qui","Sex","Sáb","Dom"))</f>
        <v>Ter</v>
      </c>
      <c r="M219" s="27">
        <f>IF($E219="","",IF($G219&lt;&gt;"",$G219,IFERROR(INDEX(ProcValor,MATCH($E219,ProcNome,0)),0)))</f>
        <v>72</v>
      </c>
      <c r="N219" s="27">
        <f>IF($M219="","",IF($F219="Compareceu",$M219,0))</f>
        <v>72</v>
      </c>
      <c r="O219" s="27">
        <f>IF($M219="","",IF($F219="Faltou",$M219,0))</f>
        <v>0</v>
      </c>
      <c r="P219" s="27">
        <f>IF($M219="","",IF($F219="Compareceu",MAX(0,$M219-N($H219)),0))</f>
        <v>72</v>
      </c>
      <c r="Q219" s="19">
        <f>IF(AND($F219="Compareceu",$E219&lt;&gt;"",$A219&lt;&gt;""),IF(IFERROR(INDEX(ProcRet,MATCH($E219,ProcNome,0)),0)&gt;0,$A219+INDEX(ProcRet,MATCH($E219,ProcNome,0)),""),"")</f>
        <v>46303.0</v>
      </c>
      <c r="R219" s="26" t="str">
        <f>IF($Q219="","",IF(COUNTIFS(AgPac,$D219,AgData,"&gt;"&amp;$A219,AgStatus,"&lt;&gt;Cancelado",AgStatus,"&lt;&gt;Remarcado")&gt;0,"Sim","Não"))</f>
        <v>Sim</v>
      </c>
      <c r="S219" s="28" t="str">
        <f>IF($A219="","",IF(AND($F219="Agendado",$A219-Hoje&gt;=0,$A219-Hoje&lt;=DiasConf),"CONFIRMAR",IF(AND($A219&lt;Hoje,OR($F219="Agendado",$F219="Confirmado")),"Atualizar status",IF(AND($F219="Compareceu",$P219&gt;0.005),"Cobrar",IF($F219="Faltou","Falta: reagendar","")))))</f>
        <v>Cobrar</v>
      </c>
      <c r="T219" s="29">
        <f>IF($A219="","",DATE(YEAR($A219),MONTH($A219),1))</f>
        <v>46266.0</v>
      </c>
      <c r="U219" s="30">
        <f>IF($S219="CONFIRMAR",MAX($U$4:$U218)+1,"")</f>
        <v>0</v>
      </c>
      <c r="V219" s="30">
        <f>IF(AND($R219="Não",$Q219&lt;&gt;"",$Q219&lt;=Hoje+JanelaRet,$Q219&gt;=Hoje-60),MAX($V$4:$V218)+1,"")</f>
        <v>0</v>
      </c>
    </row>
    <row r="220" spans="1:22">
      <c r="A220" s="16">
        <v>46273</v>
      </c>
      <c r="B220" s="23">
        <v>0.5625</v>
      </c>
      <c r="C220" s="15" t="s">
        <v>52</v>
      </c>
      <c r="D220" s="15" t="s">
        <v>127</v>
      </c>
      <c r="E220" s="15" t="s">
        <v>61</v>
      </c>
      <c r="F220" s="24" t="s">
        <v>79</v>
      </c>
      <c r="G220" s="17"/>
      <c r="H220" s="17">
        <v>120</v>
      </c>
      <c r="I220" s="15" t="s">
        <v>73</v>
      </c>
      <c r="J220" s="25" t="str">
        <f>IF($D220="","",IFERROR(INDEX(PacNome,MATCH($D220,PacCod,0)),"Paciente não cadastrado"))</f>
        <v>Paciente 010</v>
      </c>
      <c r="K220" s="26" t="str">
        <f>IF($D220="","",IFERROR(INDEX(PacConv,MATCH($D220,PacCod,0))&amp;"",""))</f>
        <v>Particular</v>
      </c>
      <c r="L220" s="26" t="str">
        <f>IF($A220="","",CHOOSE(WEEKDAY($A220,2),"Seg","Ter","Qua","Qui","Sex","Sáb","Dom"))</f>
        <v>Ter</v>
      </c>
      <c r="M220" s="27">
        <f>IF($E220="","",IF($G220&lt;&gt;"",$G220,IFERROR(INDEX(ProcValor,MATCH($E220,ProcNome,0)),0)))</f>
        <v>120</v>
      </c>
      <c r="N220" s="27">
        <f>IF($M220="","",IF($F220="Compareceu",$M220,0))</f>
        <v>120</v>
      </c>
      <c r="O220" s="27">
        <f>IF($M220="","",IF($F220="Faltou",$M220,0))</f>
        <v>0</v>
      </c>
      <c r="P220" s="27">
        <f>IF($M220="","",IF($F220="Compareceu",MAX(0,$M220-N($H220)),0))</f>
        <v>0</v>
      </c>
      <c r="Q220" s="19">
        <f>IF(AND($F220="Compareceu",$E220&lt;&gt;"",$A220&lt;&gt;""),IF(IFERROR(INDEX(ProcRet,MATCH($E220,ProcNome,0)),0)&gt;0,$A220+INDEX(ProcRet,MATCH($E220,ProcNome,0)),""),"")</f>
        <v>46303.0</v>
      </c>
      <c r="R220" s="26" t="str">
        <f>IF($Q220="","",IF(COUNTIFS(AgPac,$D220,AgData,"&gt;"&amp;$A220,AgStatus,"&lt;&gt;Cancelado",AgStatus,"&lt;&gt;Remarcado")&gt;0,"Sim","Não"))</f>
        <v>Sim</v>
      </c>
      <c r="S220" s="28">
        <f>IF($A220="","",IF(AND($F220="Agendado",$A220-Hoje&gt;=0,$A220-Hoje&lt;=DiasConf),"CONFIRMAR",IF(AND($A220&lt;Hoje,OR($F220="Agendado",$F220="Confirmado")),"Atualizar status",IF(AND($F220="Compareceu",$P220&gt;0.005),"Cobrar",IF($F220="Faltou","Falta: reagendar","")))))</f>
        <v>0</v>
      </c>
      <c r="T220" s="29">
        <f>IF($A220="","",DATE(YEAR($A220),MONTH($A220),1))</f>
        <v>46266.0</v>
      </c>
      <c r="U220" s="30">
        <f>IF($S220="CONFIRMAR",MAX($U$4:$U219)+1,"")</f>
        <v>0</v>
      </c>
      <c r="V220" s="30">
        <f>IF(AND($R220="Não",$Q220&lt;&gt;"",$Q220&lt;=Hoje+JanelaRet,$Q220&gt;=Hoje-60),MAX($V$4:$V219)+1,"")</f>
        <v>0</v>
      </c>
    </row>
    <row r="221" spans="1:22">
      <c r="A221" s="16">
        <v>46273</v>
      </c>
      <c r="B221" s="23">
        <v>0.625</v>
      </c>
      <c r="C221" s="15" t="s">
        <v>52</v>
      </c>
      <c r="D221" s="15" t="s">
        <v>220</v>
      </c>
      <c r="E221" s="15" t="s">
        <v>59</v>
      </c>
      <c r="F221" s="24" t="s">
        <v>79</v>
      </c>
      <c r="G221" s="17">
        <v>90</v>
      </c>
      <c r="H221" s="17">
        <v>90</v>
      </c>
      <c r="I221" s="15" t="s">
        <v>72</v>
      </c>
      <c r="J221" s="25" t="str">
        <f>IF($D221="","",IFERROR(INDEX(PacNome,MATCH($D221,PacCod,0)),"Paciente não cadastrado"))</f>
        <v>Paciente 041</v>
      </c>
      <c r="K221" s="26" t="str">
        <f>IF($D221="","",IFERROR(INDEX(PacConv,MATCH($D221,PacCod,0))&amp;"",""))</f>
        <v>Convênio B</v>
      </c>
      <c r="L221" s="26" t="str">
        <f>IF($A221="","",CHOOSE(WEEKDAY($A221,2),"Seg","Ter","Qua","Qui","Sex","Sáb","Dom"))</f>
        <v>Ter</v>
      </c>
      <c r="M221" s="27">
        <f>IF($E221="","",IF($G221&lt;&gt;"",$G221,IFERROR(INDEX(ProcValor,MATCH($E221,ProcNome,0)),0)))</f>
        <v>90</v>
      </c>
      <c r="N221" s="27">
        <f>IF($M221="","",IF($F221="Compareceu",$M221,0))</f>
        <v>90</v>
      </c>
      <c r="O221" s="27">
        <f>IF($M221="","",IF($F221="Faltou",$M221,0))</f>
        <v>0</v>
      </c>
      <c r="P221" s="27">
        <f>IF($M221="","",IF($F221="Compareceu",MAX(0,$M221-N($H221)),0))</f>
        <v>0</v>
      </c>
      <c r="Q221" s="19">
        <f>IF(AND($F221="Compareceu",$E221&lt;&gt;"",$A221&lt;&gt;""),IF(IFERROR(INDEX(ProcRet,MATCH($E221,ProcNome,0)),0)&gt;0,$A221+INDEX(ProcRet,MATCH($E221,ProcNome,0)),""),"")</f>
        <v>0</v>
      </c>
      <c r="R221" s="26">
        <f>IF($Q221="","",IF(COUNTIFS(AgPac,$D221,AgData,"&gt;"&amp;$A221,AgStatus,"&lt;&gt;Cancelado",AgStatus,"&lt;&gt;Remarcado")&gt;0,"Sim","Não"))</f>
        <v>0</v>
      </c>
      <c r="S221" s="28">
        <f>IF($A221="","",IF(AND($F221="Agendado",$A221-Hoje&gt;=0,$A221-Hoje&lt;=DiasConf),"CONFIRMAR",IF(AND($A221&lt;Hoje,OR($F221="Agendado",$F221="Confirmado")),"Atualizar status",IF(AND($F221="Compareceu",$P221&gt;0.005),"Cobrar",IF($F221="Faltou","Falta: reagendar","")))))</f>
        <v>0</v>
      </c>
      <c r="T221" s="29">
        <f>IF($A221="","",DATE(YEAR($A221),MONTH($A221),1))</f>
        <v>46266.0</v>
      </c>
      <c r="U221" s="30">
        <f>IF($S221="CONFIRMAR",MAX($U$4:$U220)+1,"")</f>
        <v>0</v>
      </c>
      <c r="V221" s="30">
        <f>IF(AND($R221="Não",$Q221&lt;&gt;"",$Q221&lt;=Hoje+JanelaRet,$Q221&gt;=Hoje-60),MAX($V$4:$V220)+1,"")</f>
        <v>0</v>
      </c>
    </row>
    <row r="222" spans="1:22">
      <c r="A222" s="16">
        <v>46273</v>
      </c>
      <c r="B222" s="23">
        <v>0.6875</v>
      </c>
      <c r="C222" s="15" t="s">
        <v>54</v>
      </c>
      <c r="D222" s="15" t="s">
        <v>127</v>
      </c>
      <c r="E222" s="15" t="s">
        <v>58</v>
      </c>
      <c r="F222" s="24" t="s">
        <v>79</v>
      </c>
      <c r="G222" s="17"/>
      <c r="H222" s="17">
        <v>250</v>
      </c>
      <c r="I222" s="15" t="s">
        <v>72</v>
      </c>
      <c r="J222" s="25" t="str">
        <f>IF($D222="","",IFERROR(INDEX(PacNome,MATCH($D222,PacCod,0)),"Paciente não cadastrado"))</f>
        <v>Paciente 010</v>
      </c>
      <c r="K222" s="26" t="str">
        <f>IF($D222="","",IFERROR(INDEX(PacConv,MATCH($D222,PacCod,0))&amp;"",""))</f>
        <v>Particular</v>
      </c>
      <c r="L222" s="26" t="str">
        <f>IF($A222="","",CHOOSE(WEEKDAY($A222,2),"Seg","Ter","Qua","Qui","Sex","Sáb","Dom"))</f>
        <v>Ter</v>
      </c>
      <c r="M222" s="27">
        <f>IF($E222="","",IF($G222&lt;&gt;"",$G222,IFERROR(INDEX(ProcValor,MATCH($E222,ProcNome,0)),0)))</f>
        <v>250</v>
      </c>
      <c r="N222" s="27">
        <f>IF($M222="","",IF($F222="Compareceu",$M222,0))</f>
        <v>250</v>
      </c>
      <c r="O222" s="27">
        <f>IF($M222="","",IF($F222="Faltou",$M222,0))</f>
        <v>0</v>
      </c>
      <c r="P222" s="27">
        <f>IF($M222="","",IF($F222="Compareceu",MAX(0,$M222-N($H222)),0))</f>
        <v>0</v>
      </c>
      <c r="Q222" s="19">
        <f>IF(AND($F222="Compareceu",$E222&lt;&gt;"",$A222&lt;&gt;""),IF(IFERROR(INDEX(ProcRet,MATCH($E222,ProcNome,0)),0)&gt;0,$A222+INDEX(ProcRet,MATCH($E222,ProcNome,0)),""),"")</f>
        <v>0</v>
      </c>
      <c r="R222" s="26">
        <f>IF($Q222="","",IF(COUNTIFS(AgPac,$D222,AgData,"&gt;"&amp;$A222,AgStatus,"&lt;&gt;Cancelado",AgStatus,"&lt;&gt;Remarcado")&gt;0,"Sim","Não"))</f>
        <v>0</v>
      </c>
      <c r="S222" s="28">
        <f>IF($A222="","",IF(AND($F222="Agendado",$A222-Hoje&gt;=0,$A222-Hoje&lt;=DiasConf),"CONFIRMAR",IF(AND($A222&lt;Hoje,OR($F222="Agendado",$F222="Confirmado")),"Atualizar status",IF(AND($F222="Compareceu",$P222&gt;0.005),"Cobrar",IF($F222="Faltou","Falta: reagendar","")))))</f>
        <v>0</v>
      </c>
      <c r="T222" s="29">
        <f>IF($A222="","",DATE(YEAR($A222),MONTH($A222),1))</f>
        <v>46266.0</v>
      </c>
      <c r="U222" s="30">
        <f>IF($S222="CONFIRMAR",MAX($U$4:$U221)+1,"")</f>
        <v>0</v>
      </c>
      <c r="V222" s="30">
        <f>IF(AND($R222="Não",$Q222&lt;&gt;"",$Q222&lt;=Hoje+JanelaRet,$Q222&gt;=Hoje-60),MAX($V$4:$V221)+1,"")</f>
        <v>0</v>
      </c>
    </row>
    <row r="223" spans="1:22">
      <c r="A223" s="16">
        <v>46273</v>
      </c>
      <c r="B223" s="23">
        <v>0.7291666666666666</v>
      </c>
      <c r="C223" s="15" t="s">
        <v>54</v>
      </c>
      <c r="D223" s="15" t="s">
        <v>115</v>
      </c>
      <c r="E223" s="15" t="s">
        <v>61</v>
      </c>
      <c r="F223" s="24" t="s">
        <v>79</v>
      </c>
      <c r="G223" s="17">
        <v>72</v>
      </c>
      <c r="H223" s="17">
        <v>36</v>
      </c>
      <c r="I223" s="15" t="s">
        <v>74</v>
      </c>
      <c r="J223" s="25" t="str">
        <f>IF($D223="","",IFERROR(INDEX(PacNome,MATCH($D223,PacCod,0)),"Paciente não cadastrado"))</f>
        <v>Paciente 006</v>
      </c>
      <c r="K223" s="26" t="str">
        <f>IF($D223="","",IFERROR(INDEX(PacConv,MATCH($D223,PacCod,0))&amp;"",""))</f>
        <v>Convênio B</v>
      </c>
      <c r="L223" s="26" t="str">
        <f>IF($A223="","",CHOOSE(WEEKDAY($A223,2),"Seg","Ter","Qua","Qui","Sex","Sáb","Dom"))</f>
        <v>Ter</v>
      </c>
      <c r="M223" s="27">
        <f>IF($E223="","",IF($G223&lt;&gt;"",$G223,IFERROR(INDEX(ProcValor,MATCH($E223,ProcNome,0)),0)))</f>
        <v>72</v>
      </c>
      <c r="N223" s="27">
        <f>IF($M223="","",IF($F223="Compareceu",$M223,0))</f>
        <v>72</v>
      </c>
      <c r="O223" s="27">
        <f>IF($M223="","",IF($F223="Faltou",$M223,0))</f>
        <v>0</v>
      </c>
      <c r="P223" s="27">
        <f>IF($M223="","",IF($F223="Compareceu",MAX(0,$M223-N($H223)),0))</f>
        <v>36</v>
      </c>
      <c r="Q223" s="19">
        <f>IF(AND($F223="Compareceu",$E223&lt;&gt;"",$A223&lt;&gt;""),IF(IFERROR(INDEX(ProcRet,MATCH($E223,ProcNome,0)),0)&gt;0,$A223+INDEX(ProcRet,MATCH($E223,ProcNome,0)),""),"")</f>
        <v>46303.0</v>
      </c>
      <c r="R223" s="26" t="str">
        <f>IF($Q223="","",IF(COUNTIFS(AgPac,$D223,AgData,"&gt;"&amp;$A223,AgStatus,"&lt;&gt;Cancelado",AgStatus,"&lt;&gt;Remarcado")&gt;0,"Sim","Não"))</f>
        <v>Sim</v>
      </c>
      <c r="S223" s="28" t="str">
        <f>IF($A223="","",IF(AND($F223="Agendado",$A223-Hoje&gt;=0,$A223-Hoje&lt;=DiasConf),"CONFIRMAR",IF(AND($A223&lt;Hoje,OR($F223="Agendado",$F223="Confirmado")),"Atualizar status",IF(AND($F223="Compareceu",$P223&gt;0.005),"Cobrar",IF($F223="Faltou","Falta: reagendar","")))))</f>
        <v>Cobrar</v>
      </c>
      <c r="T223" s="29">
        <f>IF($A223="","",DATE(YEAR($A223),MONTH($A223),1))</f>
        <v>46266.0</v>
      </c>
      <c r="U223" s="30">
        <f>IF($S223="CONFIRMAR",MAX($U$4:$U222)+1,"")</f>
        <v>0</v>
      </c>
      <c r="V223" s="30">
        <f>IF(AND($R223="Não",$Q223&lt;&gt;"",$Q223&lt;=Hoje+JanelaRet,$Q223&gt;=Hoje-60),MAX($V$4:$V222)+1,"")</f>
        <v>0</v>
      </c>
    </row>
    <row r="224" spans="1:22">
      <c r="A224" s="16">
        <v>46274</v>
      </c>
      <c r="B224" s="23">
        <v>0.3541666666666667</v>
      </c>
      <c r="C224" s="15" t="s">
        <v>51</v>
      </c>
      <c r="D224" s="15" t="s">
        <v>166</v>
      </c>
      <c r="E224" s="15" t="s">
        <v>59</v>
      </c>
      <c r="F224" s="24" t="s">
        <v>79</v>
      </c>
      <c r="G224" s="17"/>
      <c r="H224" s="17">
        <v>150</v>
      </c>
      <c r="I224" s="15" t="s">
        <v>72</v>
      </c>
      <c r="J224" s="25" t="str">
        <f>IF($D224="","",IFERROR(INDEX(PacNome,MATCH($D224,PacCod,0)),"Paciente não cadastrado"))</f>
        <v>Paciente 023</v>
      </c>
      <c r="K224" s="26" t="str">
        <f>IF($D224="","",IFERROR(INDEX(PacConv,MATCH($D224,PacCod,0))&amp;"",""))</f>
        <v>Particular</v>
      </c>
      <c r="L224" s="26" t="str">
        <f>IF($A224="","",CHOOSE(WEEKDAY($A224,2),"Seg","Ter","Qua","Qui","Sex","Sáb","Dom"))</f>
        <v>Qua</v>
      </c>
      <c r="M224" s="27">
        <f>IF($E224="","",IF($G224&lt;&gt;"",$G224,IFERROR(INDEX(ProcValor,MATCH($E224,ProcNome,0)),0)))</f>
        <v>150</v>
      </c>
      <c r="N224" s="27">
        <f>IF($M224="","",IF($F224="Compareceu",$M224,0))</f>
        <v>150</v>
      </c>
      <c r="O224" s="27">
        <f>IF($M224="","",IF($F224="Faltou",$M224,0))</f>
        <v>0</v>
      </c>
      <c r="P224" s="27">
        <f>IF($M224="","",IF($F224="Compareceu",MAX(0,$M224-N($H224)),0))</f>
        <v>0</v>
      </c>
      <c r="Q224" s="19">
        <f>IF(AND($F224="Compareceu",$E224&lt;&gt;"",$A224&lt;&gt;""),IF(IFERROR(INDEX(ProcRet,MATCH($E224,ProcNome,0)),0)&gt;0,$A224+INDEX(ProcRet,MATCH($E224,ProcNome,0)),""),"")</f>
        <v>0</v>
      </c>
      <c r="R224" s="26">
        <f>IF($Q224="","",IF(COUNTIFS(AgPac,$D224,AgData,"&gt;"&amp;$A224,AgStatus,"&lt;&gt;Cancelado",AgStatus,"&lt;&gt;Remarcado")&gt;0,"Sim","Não"))</f>
        <v>0</v>
      </c>
      <c r="S224" s="28">
        <f>IF($A224="","",IF(AND($F224="Agendado",$A224-Hoje&gt;=0,$A224-Hoje&lt;=DiasConf),"CONFIRMAR",IF(AND($A224&lt;Hoje,OR($F224="Agendado",$F224="Confirmado")),"Atualizar status",IF(AND($F224="Compareceu",$P224&gt;0.005),"Cobrar",IF($F224="Faltou","Falta: reagendar","")))))</f>
        <v>0</v>
      </c>
      <c r="T224" s="29">
        <f>IF($A224="","",DATE(YEAR($A224),MONTH($A224),1))</f>
        <v>46266.0</v>
      </c>
      <c r="U224" s="30">
        <f>IF($S224="CONFIRMAR",MAX($U$4:$U223)+1,"")</f>
        <v>0</v>
      </c>
      <c r="V224" s="30">
        <f>IF(AND($R224="Não",$Q224&lt;&gt;"",$Q224&lt;=Hoje+JanelaRet,$Q224&gt;=Hoje-60),MAX($V$4:$V223)+1,"")</f>
        <v>0</v>
      </c>
    </row>
    <row r="225" spans="1:22">
      <c r="A225" s="16">
        <v>46274</v>
      </c>
      <c r="B225" s="23">
        <v>0.4791666666666667</v>
      </c>
      <c r="C225" s="15" t="s">
        <v>51</v>
      </c>
      <c r="D225" s="15" t="s">
        <v>145</v>
      </c>
      <c r="E225" s="15" t="s">
        <v>60</v>
      </c>
      <c r="F225" s="24" t="s">
        <v>79</v>
      </c>
      <c r="G225" s="17"/>
      <c r="H225" s="17">
        <v>180</v>
      </c>
      <c r="I225" s="15" t="s">
        <v>74</v>
      </c>
      <c r="J225" s="25" t="str">
        <f>IF($D225="","",IFERROR(INDEX(PacNome,MATCH($D225,PacCod,0)),"Paciente não cadastrado"))</f>
        <v>Paciente 016</v>
      </c>
      <c r="K225" s="26" t="str">
        <f>IF($D225="","",IFERROR(INDEX(PacConv,MATCH($D225,PacCod,0))&amp;"",""))</f>
        <v>Particular</v>
      </c>
      <c r="L225" s="26" t="str">
        <f>IF($A225="","",CHOOSE(WEEKDAY($A225,2),"Seg","Ter","Qua","Qui","Sex","Sáb","Dom"))</f>
        <v>Qua</v>
      </c>
      <c r="M225" s="27">
        <f>IF($E225="","",IF($G225&lt;&gt;"",$G225,IFERROR(INDEX(ProcValor,MATCH($E225,ProcNome,0)),0)))</f>
        <v>180</v>
      </c>
      <c r="N225" s="27">
        <f>IF($M225="","",IF($F225="Compareceu",$M225,0))</f>
        <v>180</v>
      </c>
      <c r="O225" s="27">
        <f>IF($M225="","",IF($F225="Faltou",$M225,0))</f>
        <v>0</v>
      </c>
      <c r="P225" s="27">
        <f>IF($M225="","",IF($F225="Compareceu",MAX(0,$M225-N($H225)),0))</f>
        <v>0</v>
      </c>
      <c r="Q225" s="19">
        <f>IF(AND($F225="Compareceu",$E225&lt;&gt;"",$A225&lt;&gt;""),IF(IFERROR(INDEX(ProcRet,MATCH($E225,ProcNome,0)),0)&gt;0,$A225+INDEX(ProcRet,MATCH($E225,ProcNome,0)),""),"")</f>
        <v>46454.0</v>
      </c>
      <c r="R225" s="26" t="str">
        <f>IF($Q225="","",IF(COUNTIFS(AgPac,$D225,AgData,"&gt;"&amp;$A225,AgStatus,"&lt;&gt;Cancelado",AgStatus,"&lt;&gt;Remarcado")&gt;0,"Sim","Não"))</f>
        <v>Sim</v>
      </c>
      <c r="S225" s="28">
        <f>IF($A225="","",IF(AND($F225="Agendado",$A225-Hoje&gt;=0,$A225-Hoje&lt;=DiasConf),"CONFIRMAR",IF(AND($A225&lt;Hoje,OR($F225="Agendado",$F225="Confirmado")),"Atualizar status",IF(AND($F225="Compareceu",$P225&gt;0.005),"Cobrar",IF($F225="Faltou","Falta: reagendar","")))))</f>
        <v>0</v>
      </c>
      <c r="T225" s="29">
        <f>IF($A225="","",DATE(YEAR($A225),MONTH($A225),1))</f>
        <v>46266.0</v>
      </c>
      <c r="U225" s="30">
        <f>IF($S225="CONFIRMAR",MAX($U$4:$U224)+1,"")</f>
        <v>0</v>
      </c>
      <c r="V225" s="30">
        <f>IF(AND($R225="Não",$Q225&lt;&gt;"",$Q225&lt;=Hoje+JanelaRet,$Q225&gt;=Hoje-60),MAX($V$4:$V224)+1,"")</f>
        <v>0</v>
      </c>
    </row>
    <row r="226" spans="1:22">
      <c r="A226" s="16">
        <v>46274</v>
      </c>
      <c r="B226" s="23">
        <v>0.5</v>
      </c>
      <c r="C226" s="15" t="s">
        <v>51</v>
      </c>
      <c r="D226" s="15" t="s">
        <v>121</v>
      </c>
      <c r="E226" s="15" t="s">
        <v>63</v>
      </c>
      <c r="F226" s="24" t="s">
        <v>80</v>
      </c>
      <c r="G226" s="17"/>
      <c r="H226" s="17"/>
      <c r="I226" s="15"/>
      <c r="J226" s="25" t="str">
        <f>IF($D226="","",IFERROR(INDEX(PacNome,MATCH($D226,PacCod,0)),"Paciente não cadastrado"))</f>
        <v>Paciente 008</v>
      </c>
      <c r="K226" s="26" t="str">
        <f>IF($D226="","",IFERROR(INDEX(PacConv,MATCH($D226,PacCod,0))&amp;"",""))</f>
        <v>Particular</v>
      </c>
      <c r="L226" s="26" t="str">
        <f>IF($A226="","",CHOOSE(WEEKDAY($A226,2),"Seg","Ter","Qua","Qui","Sex","Sáb","Dom"))</f>
        <v>Qua</v>
      </c>
      <c r="M226" s="27">
        <f>IF($E226="","",IF($G226&lt;&gt;"",$G226,IFERROR(INDEX(ProcValor,MATCH($E226,ProcNome,0)),0)))</f>
        <v>140</v>
      </c>
      <c r="N226" s="27">
        <f>IF($M226="","",IF($F226="Compareceu",$M226,0))</f>
        <v>0</v>
      </c>
      <c r="O226" s="27">
        <f>IF($M226="","",IF($F226="Faltou",$M226,0))</f>
        <v>140</v>
      </c>
      <c r="P226" s="27">
        <f>IF($M226="","",IF($F226="Compareceu",MAX(0,$M226-N($H226)),0))</f>
        <v>0</v>
      </c>
      <c r="Q226" s="19">
        <f>IF(AND($F226="Compareceu",$E226&lt;&gt;"",$A226&lt;&gt;""),IF(IFERROR(INDEX(ProcRet,MATCH($E226,ProcNome,0)),0)&gt;0,$A226+INDEX(ProcRet,MATCH($E226,ProcNome,0)),""),"")</f>
        <v>0</v>
      </c>
      <c r="R226" s="26">
        <f>IF($Q226="","",IF(COUNTIFS(AgPac,$D226,AgData,"&gt;"&amp;$A226,AgStatus,"&lt;&gt;Cancelado",AgStatus,"&lt;&gt;Remarcado")&gt;0,"Sim","Não"))</f>
        <v>0</v>
      </c>
      <c r="S226" s="28" t="str">
        <f>IF($A226="","",IF(AND($F226="Agendado",$A226-Hoje&gt;=0,$A226-Hoje&lt;=DiasConf),"CONFIRMAR",IF(AND($A226&lt;Hoje,OR($F226="Agendado",$F226="Confirmado")),"Atualizar status",IF(AND($F226="Compareceu",$P226&gt;0.005),"Cobrar",IF($F226="Faltou","Falta: reagendar","")))))</f>
        <v>Falta: reagendar</v>
      </c>
      <c r="T226" s="29">
        <f>IF($A226="","",DATE(YEAR($A226),MONTH($A226),1))</f>
        <v>46266.0</v>
      </c>
      <c r="U226" s="30">
        <f>IF($S226="CONFIRMAR",MAX($U$4:$U225)+1,"")</f>
        <v>0</v>
      </c>
      <c r="V226" s="30">
        <f>IF(AND($R226="Não",$Q226&lt;&gt;"",$Q226&lt;=Hoje+JanelaRet,$Q226&gt;=Hoje-60),MAX($V$4:$V225)+1,"")</f>
        <v>0</v>
      </c>
    </row>
    <row r="227" spans="1:22">
      <c r="A227" s="16">
        <v>46274</v>
      </c>
      <c r="B227" s="23">
        <v>0.6458333333333334</v>
      </c>
      <c r="C227" s="15" t="s">
        <v>53</v>
      </c>
      <c r="D227" s="15" t="s">
        <v>226</v>
      </c>
      <c r="E227" s="15" t="s">
        <v>61</v>
      </c>
      <c r="F227" s="24" t="s">
        <v>81</v>
      </c>
      <c r="G227" s="17"/>
      <c r="H227" s="17"/>
      <c r="I227" s="15"/>
      <c r="J227" s="25" t="str">
        <f>IF($D227="","",IFERROR(INDEX(PacNome,MATCH($D227,PacCod,0)),"Paciente não cadastrado"))</f>
        <v>Paciente 043</v>
      </c>
      <c r="K227" s="26" t="str">
        <f>IF($D227="","",IFERROR(INDEX(PacConv,MATCH($D227,PacCod,0))&amp;"",""))</f>
        <v>Convênio A</v>
      </c>
      <c r="L227" s="26" t="str">
        <f>IF($A227="","",CHOOSE(WEEKDAY($A227,2),"Seg","Ter","Qua","Qui","Sex","Sáb","Dom"))</f>
        <v>Qua</v>
      </c>
      <c r="M227" s="27">
        <f>IF($E227="","",IF($G227&lt;&gt;"",$G227,IFERROR(INDEX(ProcValor,MATCH($E227,ProcNome,0)),0)))</f>
        <v>120</v>
      </c>
      <c r="N227" s="27">
        <f>IF($M227="","",IF($F227="Compareceu",$M227,0))</f>
        <v>0</v>
      </c>
      <c r="O227" s="27">
        <f>IF($M227="","",IF($F227="Faltou",$M227,0))</f>
        <v>0</v>
      </c>
      <c r="P227" s="27">
        <f>IF($M227="","",IF($F227="Compareceu",MAX(0,$M227-N($H227)),0))</f>
        <v>0</v>
      </c>
      <c r="Q227" s="19">
        <f>IF(AND($F227="Compareceu",$E227&lt;&gt;"",$A227&lt;&gt;""),IF(IFERROR(INDEX(ProcRet,MATCH($E227,ProcNome,0)),0)&gt;0,$A227+INDEX(ProcRet,MATCH($E227,ProcNome,0)),""),"")</f>
        <v>0</v>
      </c>
      <c r="R227" s="26">
        <f>IF($Q227="","",IF(COUNTIFS(AgPac,$D227,AgData,"&gt;"&amp;$A227,AgStatus,"&lt;&gt;Cancelado",AgStatus,"&lt;&gt;Remarcado")&gt;0,"Sim","Não"))</f>
        <v>0</v>
      </c>
      <c r="S227" s="28">
        <f>IF($A227="","",IF(AND($F227="Agendado",$A227-Hoje&gt;=0,$A227-Hoje&lt;=DiasConf),"CONFIRMAR",IF(AND($A227&lt;Hoje,OR($F227="Agendado",$F227="Confirmado")),"Atualizar status",IF(AND($F227="Compareceu",$P227&gt;0.005),"Cobrar",IF($F227="Faltou","Falta: reagendar","")))))</f>
        <v>0</v>
      </c>
      <c r="T227" s="29">
        <f>IF($A227="","",DATE(YEAR($A227),MONTH($A227),1))</f>
        <v>46266.0</v>
      </c>
      <c r="U227" s="30">
        <f>IF($S227="CONFIRMAR",MAX($U$4:$U226)+1,"")</f>
        <v>0</v>
      </c>
      <c r="V227" s="30">
        <f>IF(AND($R227="Não",$Q227&lt;&gt;"",$Q227&lt;=Hoje+JanelaRet,$Q227&gt;=Hoje-60),MAX($V$4:$V226)+1,"")</f>
        <v>0</v>
      </c>
    </row>
    <row r="228" spans="1:22">
      <c r="A228" s="16">
        <v>46274</v>
      </c>
      <c r="B228" s="23">
        <v>0.7083333333333334</v>
      </c>
      <c r="C228" s="15" t="s">
        <v>52</v>
      </c>
      <c r="D228" s="15" t="s">
        <v>196</v>
      </c>
      <c r="E228" s="15" t="s">
        <v>60</v>
      </c>
      <c r="F228" s="24" t="s">
        <v>81</v>
      </c>
      <c r="G228" s="17"/>
      <c r="H228" s="17"/>
      <c r="I228" s="15"/>
      <c r="J228" s="25" t="str">
        <f>IF($D228="","",IFERROR(INDEX(PacNome,MATCH($D228,PacCod,0)),"Paciente não cadastrado"))</f>
        <v>Paciente 033</v>
      </c>
      <c r="K228" s="26" t="str">
        <f>IF($D228="","",IFERROR(INDEX(PacConv,MATCH($D228,PacCod,0))&amp;"",""))</f>
        <v>Convênio B</v>
      </c>
      <c r="L228" s="26" t="str">
        <f>IF($A228="","",CHOOSE(WEEKDAY($A228,2),"Seg","Ter","Qua","Qui","Sex","Sáb","Dom"))</f>
        <v>Qua</v>
      </c>
      <c r="M228" s="27">
        <f>IF($E228="","",IF($G228&lt;&gt;"",$G228,IFERROR(INDEX(ProcValor,MATCH($E228,ProcNome,0)),0)))</f>
        <v>180</v>
      </c>
      <c r="N228" s="27">
        <f>IF($M228="","",IF($F228="Compareceu",$M228,0))</f>
        <v>0</v>
      </c>
      <c r="O228" s="27">
        <f>IF($M228="","",IF($F228="Faltou",$M228,0))</f>
        <v>0</v>
      </c>
      <c r="P228" s="27">
        <f>IF($M228="","",IF($F228="Compareceu",MAX(0,$M228-N($H228)),0))</f>
        <v>0</v>
      </c>
      <c r="Q228" s="19">
        <f>IF(AND($F228="Compareceu",$E228&lt;&gt;"",$A228&lt;&gt;""),IF(IFERROR(INDEX(ProcRet,MATCH($E228,ProcNome,0)),0)&gt;0,$A228+INDEX(ProcRet,MATCH($E228,ProcNome,0)),""),"")</f>
        <v>0</v>
      </c>
      <c r="R228" s="26">
        <f>IF($Q228="","",IF(COUNTIFS(AgPac,$D228,AgData,"&gt;"&amp;$A228,AgStatus,"&lt;&gt;Cancelado",AgStatus,"&lt;&gt;Remarcado")&gt;0,"Sim","Não"))</f>
        <v>0</v>
      </c>
      <c r="S228" s="28">
        <f>IF($A228="","",IF(AND($F228="Agendado",$A228-Hoje&gt;=0,$A228-Hoje&lt;=DiasConf),"CONFIRMAR",IF(AND($A228&lt;Hoje,OR($F228="Agendado",$F228="Confirmado")),"Atualizar status",IF(AND($F228="Compareceu",$P228&gt;0.005),"Cobrar",IF($F228="Faltou","Falta: reagendar","")))))</f>
        <v>0</v>
      </c>
      <c r="T228" s="29">
        <f>IF($A228="","",DATE(YEAR($A228),MONTH($A228),1))</f>
        <v>46266.0</v>
      </c>
      <c r="U228" s="30">
        <f>IF($S228="CONFIRMAR",MAX($U$4:$U227)+1,"")</f>
        <v>0</v>
      </c>
      <c r="V228" s="30">
        <f>IF(AND($R228="Não",$Q228&lt;&gt;"",$Q228&lt;=Hoje+JanelaRet,$Q228&gt;=Hoje-60),MAX($V$4:$V227)+1,"")</f>
        <v>0</v>
      </c>
    </row>
    <row r="229" spans="1:22">
      <c r="A229" s="16">
        <v>46275</v>
      </c>
      <c r="B229" s="23">
        <v>0.3333333333333333</v>
      </c>
      <c r="C229" s="15" t="s">
        <v>52</v>
      </c>
      <c r="D229" s="15" t="s">
        <v>133</v>
      </c>
      <c r="E229" s="15" t="s">
        <v>62</v>
      </c>
      <c r="F229" s="24" t="s">
        <v>79</v>
      </c>
      <c r="G229" s="17"/>
      <c r="H229" s="17">
        <v>350</v>
      </c>
      <c r="I229" s="15" t="s">
        <v>72</v>
      </c>
      <c r="J229" s="25" t="str">
        <f>IF($D229="","",IFERROR(INDEX(PacNome,MATCH($D229,PacCod,0)),"Paciente não cadastrado"))</f>
        <v>Paciente 012</v>
      </c>
      <c r="K229" s="26" t="str">
        <f>IF($D229="","",IFERROR(INDEX(PacConv,MATCH($D229,PacCod,0))&amp;"",""))</f>
        <v>Particular</v>
      </c>
      <c r="L229" s="26" t="str">
        <f>IF($A229="","",CHOOSE(WEEKDAY($A229,2),"Seg","Ter","Qua","Qui","Sex","Sáb","Dom"))</f>
        <v>Qui</v>
      </c>
      <c r="M229" s="27">
        <f>IF($E229="","",IF($G229&lt;&gt;"",$G229,IFERROR(INDEX(ProcValor,MATCH($E229,ProcNome,0)),0)))</f>
        <v>350</v>
      </c>
      <c r="N229" s="27">
        <f>IF($M229="","",IF($F229="Compareceu",$M229,0))</f>
        <v>350</v>
      </c>
      <c r="O229" s="27">
        <f>IF($M229="","",IF($F229="Faltou",$M229,0))</f>
        <v>0</v>
      </c>
      <c r="P229" s="27">
        <f>IF($M229="","",IF($F229="Compareceu",MAX(0,$M229-N($H229)),0))</f>
        <v>0</v>
      </c>
      <c r="Q229" s="19">
        <f>IF(AND($F229="Compareceu",$E229&lt;&gt;"",$A229&lt;&gt;""),IF(IFERROR(INDEX(ProcRet,MATCH($E229,ProcNome,0)),0)&gt;0,$A229+INDEX(ProcRet,MATCH($E229,ProcNome,0)),""),"")</f>
        <v>46290.0</v>
      </c>
      <c r="R229" s="26" t="str">
        <f>IF($Q229="","",IF(COUNTIFS(AgPac,$D229,AgData,"&gt;"&amp;$A229,AgStatus,"&lt;&gt;Cancelado",AgStatus,"&lt;&gt;Remarcado")&gt;0,"Sim","Não"))</f>
        <v>Sim</v>
      </c>
      <c r="S229" s="28">
        <f>IF($A229="","",IF(AND($F229="Agendado",$A229-Hoje&gt;=0,$A229-Hoje&lt;=DiasConf),"CONFIRMAR",IF(AND($A229&lt;Hoje,OR($F229="Agendado",$F229="Confirmado")),"Atualizar status",IF(AND($F229="Compareceu",$P229&gt;0.005),"Cobrar",IF($F229="Faltou","Falta: reagendar","")))))</f>
        <v>0</v>
      </c>
      <c r="T229" s="29">
        <f>IF($A229="","",DATE(YEAR($A229),MONTH($A229),1))</f>
        <v>46266.0</v>
      </c>
      <c r="U229" s="30">
        <f>IF($S229="CONFIRMAR",MAX($U$4:$U228)+1,"")</f>
        <v>0</v>
      </c>
      <c r="V229" s="30">
        <f>IF(AND($R229="Não",$Q229&lt;&gt;"",$Q229&lt;=Hoje+JanelaRet,$Q229&gt;=Hoje-60),MAX($V$4:$V228)+1,"")</f>
        <v>0</v>
      </c>
    </row>
    <row r="230" spans="1:22">
      <c r="A230" s="16">
        <v>46275</v>
      </c>
      <c r="B230" s="23">
        <v>0.4375</v>
      </c>
      <c r="C230" s="15" t="s">
        <v>52</v>
      </c>
      <c r="D230" s="15" t="s">
        <v>151</v>
      </c>
      <c r="E230" s="15" t="s">
        <v>59</v>
      </c>
      <c r="F230" s="24" t="s">
        <v>79</v>
      </c>
      <c r="G230" s="17"/>
      <c r="H230" s="17">
        <v>150</v>
      </c>
      <c r="I230" s="15" t="s">
        <v>75</v>
      </c>
      <c r="J230" s="25" t="str">
        <f>IF($D230="","",IFERROR(INDEX(PacNome,MATCH($D230,PacCod,0)),"Paciente não cadastrado"))</f>
        <v>Paciente 018</v>
      </c>
      <c r="K230" s="26" t="str">
        <f>IF($D230="","",IFERROR(INDEX(PacConv,MATCH($D230,PacCod,0))&amp;"",""))</f>
        <v>Particular</v>
      </c>
      <c r="L230" s="26" t="str">
        <f>IF($A230="","",CHOOSE(WEEKDAY($A230,2),"Seg","Ter","Qua","Qui","Sex","Sáb","Dom"))</f>
        <v>Qui</v>
      </c>
      <c r="M230" s="27">
        <f>IF($E230="","",IF($G230&lt;&gt;"",$G230,IFERROR(INDEX(ProcValor,MATCH($E230,ProcNome,0)),0)))</f>
        <v>150</v>
      </c>
      <c r="N230" s="27">
        <f>IF($M230="","",IF($F230="Compareceu",$M230,0))</f>
        <v>150</v>
      </c>
      <c r="O230" s="27">
        <f>IF($M230="","",IF($F230="Faltou",$M230,0))</f>
        <v>0</v>
      </c>
      <c r="P230" s="27">
        <f>IF($M230="","",IF($F230="Compareceu",MAX(0,$M230-N($H230)),0))</f>
        <v>0</v>
      </c>
      <c r="Q230" s="19">
        <f>IF(AND($F230="Compareceu",$E230&lt;&gt;"",$A230&lt;&gt;""),IF(IFERROR(INDEX(ProcRet,MATCH($E230,ProcNome,0)),0)&gt;0,$A230+INDEX(ProcRet,MATCH($E230,ProcNome,0)),""),"")</f>
        <v>0</v>
      </c>
      <c r="R230" s="26">
        <f>IF($Q230="","",IF(COUNTIFS(AgPac,$D230,AgData,"&gt;"&amp;$A230,AgStatus,"&lt;&gt;Cancelado",AgStatus,"&lt;&gt;Remarcado")&gt;0,"Sim","Não"))</f>
        <v>0</v>
      </c>
      <c r="S230" s="28">
        <f>IF($A230="","",IF(AND($F230="Agendado",$A230-Hoje&gt;=0,$A230-Hoje&lt;=DiasConf),"CONFIRMAR",IF(AND($A230&lt;Hoje,OR($F230="Agendado",$F230="Confirmado")),"Atualizar status",IF(AND($F230="Compareceu",$P230&gt;0.005),"Cobrar",IF($F230="Faltou","Falta: reagendar","")))))</f>
        <v>0</v>
      </c>
      <c r="T230" s="29">
        <f>IF($A230="","",DATE(YEAR($A230),MONTH($A230),1))</f>
        <v>46266.0</v>
      </c>
      <c r="U230" s="30">
        <f>IF($S230="CONFIRMAR",MAX($U$4:$U229)+1,"")</f>
        <v>0</v>
      </c>
      <c r="V230" s="30">
        <f>IF(AND($R230="Não",$Q230&lt;&gt;"",$Q230&lt;=Hoje+JanelaRet,$Q230&gt;=Hoje-60),MAX($V$4:$V229)+1,"")</f>
        <v>0</v>
      </c>
    </row>
    <row r="231" spans="1:22">
      <c r="A231" s="16">
        <v>46275</v>
      </c>
      <c r="B231" s="23">
        <v>0.5833333333333334</v>
      </c>
      <c r="C231" s="15" t="s">
        <v>54</v>
      </c>
      <c r="D231" s="15" t="s">
        <v>178</v>
      </c>
      <c r="E231" s="15" t="s">
        <v>59</v>
      </c>
      <c r="F231" s="24" t="s">
        <v>80</v>
      </c>
      <c r="G231" s="17"/>
      <c r="H231" s="17"/>
      <c r="I231" s="15"/>
      <c r="J231" s="25" t="str">
        <f>IF($D231="","",IFERROR(INDEX(PacNome,MATCH($D231,PacCod,0)),"Paciente não cadastrado"))</f>
        <v>Paciente 027</v>
      </c>
      <c r="K231" s="26" t="str">
        <f>IF($D231="","",IFERROR(INDEX(PacConv,MATCH($D231,PacCod,0))&amp;"",""))</f>
        <v>Particular</v>
      </c>
      <c r="L231" s="26" t="str">
        <f>IF($A231="","",CHOOSE(WEEKDAY($A231,2),"Seg","Ter","Qua","Qui","Sex","Sáb","Dom"))</f>
        <v>Qui</v>
      </c>
      <c r="M231" s="27">
        <f>IF($E231="","",IF($G231&lt;&gt;"",$G231,IFERROR(INDEX(ProcValor,MATCH($E231,ProcNome,0)),0)))</f>
        <v>150</v>
      </c>
      <c r="N231" s="27">
        <f>IF($M231="","",IF($F231="Compareceu",$M231,0))</f>
        <v>0</v>
      </c>
      <c r="O231" s="27">
        <f>IF($M231="","",IF($F231="Faltou",$M231,0))</f>
        <v>150</v>
      </c>
      <c r="P231" s="27">
        <f>IF($M231="","",IF($F231="Compareceu",MAX(0,$M231-N($H231)),0))</f>
        <v>0</v>
      </c>
      <c r="Q231" s="19">
        <f>IF(AND($F231="Compareceu",$E231&lt;&gt;"",$A231&lt;&gt;""),IF(IFERROR(INDEX(ProcRet,MATCH($E231,ProcNome,0)),0)&gt;0,$A231+INDEX(ProcRet,MATCH($E231,ProcNome,0)),""),"")</f>
        <v>0</v>
      </c>
      <c r="R231" s="26">
        <f>IF($Q231="","",IF(COUNTIFS(AgPac,$D231,AgData,"&gt;"&amp;$A231,AgStatus,"&lt;&gt;Cancelado",AgStatus,"&lt;&gt;Remarcado")&gt;0,"Sim","Não"))</f>
        <v>0</v>
      </c>
      <c r="S231" s="28" t="str">
        <f>IF($A231="","",IF(AND($F231="Agendado",$A231-Hoje&gt;=0,$A231-Hoje&lt;=DiasConf),"CONFIRMAR",IF(AND($A231&lt;Hoje,OR($F231="Agendado",$F231="Confirmado")),"Atualizar status",IF(AND($F231="Compareceu",$P231&gt;0.005),"Cobrar",IF($F231="Faltou","Falta: reagendar","")))))</f>
        <v>Falta: reagendar</v>
      </c>
      <c r="T231" s="29">
        <f>IF($A231="","",DATE(YEAR($A231),MONTH($A231),1))</f>
        <v>46266.0</v>
      </c>
      <c r="U231" s="30">
        <f>IF($S231="CONFIRMAR",MAX($U$4:$U230)+1,"")</f>
        <v>0</v>
      </c>
      <c r="V231" s="30">
        <f>IF(AND($R231="Não",$Q231&lt;&gt;"",$Q231&lt;=Hoje+JanelaRet,$Q231&gt;=Hoje-60),MAX($V$4:$V230)+1,"")</f>
        <v>0</v>
      </c>
    </row>
    <row r="232" spans="1:22">
      <c r="A232" s="16">
        <v>46275</v>
      </c>
      <c r="B232" s="23">
        <v>0.625</v>
      </c>
      <c r="C232" s="15" t="s">
        <v>51</v>
      </c>
      <c r="D232" s="15" t="s">
        <v>145</v>
      </c>
      <c r="E232" s="15" t="s">
        <v>59</v>
      </c>
      <c r="F232" s="24" t="s">
        <v>79</v>
      </c>
      <c r="G232" s="17"/>
      <c r="H232" s="17">
        <v>150</v>
      </c>
      <c r="I232" s="15" t="s">
        <v>75</v>
      </c>
      <c r="J232" s="25" t="str">
        <f>IF($D232="","",IFERROR(INDEX(PacNome,MATCH($D232,PacCod,0)),"Paciente não cadastrado"))</f>
        <v>Paciente 016</v>
      </c>
      <c r="K232" s="26" t="str">
        <f>IF($D232="","",IFERROR(INDEX(PacConv,MATCH($D232,PacCod,0))&amp;"",""))</f>
        <v>Particular</v>
      </c>
      <c r="L232" s="26" t="str">
        <f>IF($A232="","",CHOOSE(WEEKDAY($A232,2),"Seg","Ter","Qua","Qui","Sex","Sáb","Dom"))</f>
        <v>Qui</v>
      </c>
      <c r="M232" s="27">
        <f>IF($E232="","",IF($G232&lt;&gt;"",$G232,IFERROR(INDEX(ProcValor,MATCH($E232,ProcNome,0)),0)))</f>
        <v>150</v>
      </c>
      <c r="N232" s="27">
        <f>IF($M232="","",IF($F232="Compareceu",$M232,0))</f>
        <v>150</v>
      </c>
      <c r="O232" s="27">
        <f>IF($M232="","",IF($F232="Faltou",$M232,0))</f>
        <v>0</v>
      </c>
      <c r="P232" s="27">
        <f>IF($M232="","",IF($F232="Compareceu",MAX(0,$M232-N($H232)),0))</f>
        <v>0</v>
      </c>
      <c r="Q232" s="19">
        <f>IF(AND($F232="Compareceu",$E232&lt;&gt;"",$A232&lt;&gt;""),IF(IFERROR(INDEX(ProcRet,MATCH($E232,ProcNome,0)),0)&gt;0,$A232+INDEX(ProcRet,MATCH($E232,ProcNome,0)),""),"")</f>
        <v>0</v>
      </c>
      <c r="R232" s="26">
        <f>IF($Q232="","",IF(COUNTIFS(AgPac,$D232,AgData,"&gt;"&amp;$A232,AgStatus,"&lt;&gt;Cancelado",AgStatus,"&lt;&gt;Remarcado")&gt;0,"Sim","Não"))</f>
        <v>0</v>
      </c>
      <c r="S232" s="28">
        <f>IF($A232="","",IF(AND($F232="Agendado",$A232-Hoje&gt;=0,$A232-Hoje&lt;=DiasConf),"CONFIRMAR",IF(AND($A232&lt;Hoje,OR($F232="Agendado",$F232="Confirmado")),"Atualizar status",IF(AND($F232="Compareceu",$P232&gt;0.005),"Cobrar",IF($F232="Faltou","Falta: reagendar","")))))</f>
        <v>0</v>
      </c>
      <c r="T232" s="29">
        <f>IF($A232="","",DATE(YEAR($A232),MONTH($A232),1))</f>
        <v>46266.0</v>
      </c>
      <c r="U232" s="30">
        <f>IF($S232="CONFIRMAR",MAX($U$4:$U231)+1,"")</f>
        <v>0</v>
      </c>
      <c r="V232" s="30">
        <f>IF(AND($R232="Não",$Q232&lt;&gt;"",$Q232&lt;=Hoje+JanelaRet,$Q232&gt;=Hoje-60),MAX($V$4:$V231)+1,"")</f>
        <v>0</v>
      </c>
    </row>
    <row r="233" spans="1:22">
      <c r="A233" s="16">
        <v>46276</v>
      </c>
      <c r="B233" s="23">
        <v>0.3958333333333333</v>
      </c>
      <c r="C233" s="15" t="s">
        <v>53</v>
      </c>
      <c r="D233" s="15" t="s">
        <v>106</v>
      </c>
      <c r="E233" s="15" t="s">
        <v>58</v>
      </c>
      <c r="F233" s="24" t="s">
        <v>79</v>
      </c>
      <c r="G233" s="17"/>
      <c r="H233" s="17">
        <v>250</v>
      </c>
      <c r="I233" s="15" t="s">
        <v>72</v>
      </c>
      <c r="J233" s="25" t="str">
        <f>IF($D233="","",IFERROR(INDEX(PacNome,MATCH($D233,PacCod,0)),"Paciente não cadastrado"))</f>
        <v>Paciente 003</v>
      </c>
      <c r="K233" s="26" t="str">
        <f>IF($D233="","",IFERROR(INDEX(PacConv,MATCH($D233,PacCod,0))&amp;"",""))</f>
        <v>Particular</v>
      </c>
      <c r="L233" s="26" t="str">
        <f>IF($A233="","",CHOOSE(WEEKDAY($A233,2),"Seg","Ter","Qua","Qui","Sex","Sáb","Dom"))</f>
        <v>Sex</v>
      </c>
      <c r="M233" s="27">
        <f>IF($E233="","",IF($G233&lt;&gt;"",$G233,IFERROR(INDEX(ProcValor,MATCH($E233,ProcNome,0)),0)))</f>
        <v>250</v>
      </c>
      <c r="N233" s="27">
        <f>IF($M233="","",IF($F233="Compareceu",$M233,0))</f>
        <v>250</v>
      </c>
      <c r="O233" s="27">
        <f>IF($M233="","",IF($F233="Faltou",$M233,0))</f>
        <v>0</v>
      </c>
      <c r="P233" s="27">
        <f>IF($M233="","",IF($F233="Compareceu",MAX(0,$M233-N($H233)),0))</f>
        <v>0</v>
      </c>
      <c r="Q233" s="19">
        <f>IF(AND($F233="Compareceu",$E233&lt;&gt;"",$A233&lt;&gt;""),IF(IFERROR(INDEX(ProcRet,MATCH($E233,ProcNome,0)),0)&gt;0,$A233+INDEX(ProcRet,MATCH($E233,ProcNome,0)),""),"")</f>
        <v>0</v>
      </c>
      <c r="R233" s="26">
        <f>IF($Q233="","",IF(COUNTIFS(AgPac,$D233,AgData,"&gt;"&amp;$A233,AgStatus,"&lt;&gt;Cancelado",AgStatus,"&lt;&gt;Remarcado")&gt;0,"Sim","Não"))</f>
        <v>0</v>
      </c>
      <c r="S233" s="28">
        <f>IF($A233="","",IF(AND($F233="Agendado",$A233-Hoje&gt;=0,$A233-Hoje&lt;=DiasConf),"CONFIRMAR",IF(AND($A233&lt;Hoje,OR($F233="Agendado",$F233="Confirmado")),"Atualizar status",IF(AND($F233="Compareceu",$P233&gt;0.005),"Cobrar",IF($F233="Faltou","Falta: reagendar","")))))</f>
        <v>0</v>
      </c>
      <c r="T233" s="29">
        <f>IF($A233="","",DATE(YEAR($A233),MONTH($A233),1))</f>
        <v>46266.0</v>
      </c>
      <c r="U233" s="30">
        <f>IF($S233="CONFIRMAR",MAX($U$4:$U232)+1,"")</f>
        <v>0</v>
      </c>
      <c r="V233" s="30">
        <f>IF(AND($R233="Não",$Q233&lt;&gt;"",$Q233&lt;=Hoje+JanelaRet,$Q233&gt;=Hoje-60),MAX($V$4:$V232)+1,"")</f>
        <v>0</v>
      </c>
    </row>
    <row r="234" spans="1:22">
      <c r="A234" s="16">
        <v>46276</v>
      </c>
      <c r="B234" s="23">
        <v>0.4583333333333333</v>
      </c>
      <c r="C234" s="15" t="s">
        <v>54</v>
      </c>
      <c r="D234" s="15" t="s">
        <v>226</v>
      </c>
      <c r="E234" s="15" t="s">
        <v>60</v>
      </c>
      <c r="F234" s="24" t="s">
        <v>80</v>
      </c>
      <c r="G234" s="17"/>
      <c r="H234" s="17"/>
      <c r="I234" s="15"/>
      <c r="J234" s="25" t="str">
        <f>IF($D234="","",IFERROR(INDEX(PacNome,MATCH($D234,PacCod,0)),"Paciente não cadastrado"))</f>
        <v>Paciente 043</v>
      </c>
      <c r="K234" s="26" t="str">
        <f>IF($D234="","",IFERROR(INDEX(PacConv,MATCH($D234,PacCod,0))&amp;"",""))</f>
        <v>Convênio A</v>
      </c>
      <c r="L234" s="26" t="str">
        <f>IF($A234="","",CHOOSE(WEEKDAY($A234,2),"Seg","Ter","Qua","Qui","Sex","Sáb","Dom"))</f>
        <v>Sex</v>
      </c>
      <c r="M234" s="27">
        <f>IF($E234="","",IF($G234&lt;&gt;"",$G234,IFERROR(INDEX(ProcValor,MATCH($E234,ProcNome,0)),0)))</f>
        <v>180</v>
      </c>
      <c r="N234" s="27">
        <f>IF($M234="","",IF($F234="Compareceu",$M234,0))</f>
        <v>0</v>
      </c>
      <c r="O234" s="27">
        <f>IF($M234="","",IF($F234="Faltou",$M234,0))</f>
        <v>180</v>
      </c>
      <c r="P234" s="27">
        <f>IF($M234="","",IF($F234="Compareceu",MAX(0,$M234-N($H234)),0))</f>
        <v>0</v>
      </c>
      <c r="Q234" s="19">
        <f>IF(AND($F234="Compareceu",$E234&lt;&gt;"",$A234&lt;&gt;""),IF(IFERROR(INDEX(ProcRet,MATCH($E234,ProcNome,0)),0)&gt;0,$A234+INDEX(ProcRet,MATCH($E234,ProcNome,0)),""),"")</f>
        <v>0</v>
      </c>
      <c r="R234" s="26">
        <f>IF($Q234="","",IF(COUNTIFS(AgPac,$D234,AgData,"&gt;"&amp;$A234,AgStatus,"&lt;&gt;Cancelado",AgStatus,"&lt;&gt;Remarcado")&gt;0,"Sim","Não"))</f>
        <v>0</v>
      </c>
      <c r="S234" s="28" t="str">
        <f>IF($A234="","",IF(AND($F234="Agendado",$A234-Hoje&gt;=0,$A234-Hoje&lt;=DiasConf),"CONFIRMAR",IF(AND($A234&lt;Hoje,OR($F234="Agendado",$F234="Confirmado")),"Atualizar status",IF(AND($F234="Compareceu",$P234&gt;0.005),"Cobrar",IF($F234="Faltou","Falta: reagendar","")))))</f>
        <v>Falta: reagendar</v>
      </c>
      <c r="T234" s="29">
        <f>IF($A234="","",DATE(YEAR($A234),MONTH($A234),1))</f>
        <v>46266.0</v>
      </c>
      <c r="U234" s="30">
        <f>IF($S234="CONFIRMAR",MAX($U$4:$U233)+1,"")</f>
        <v>0</v>
      </c>
      <c r="V234" s="30">
        <f>IF(AND($R234="Não",$Q234&lt;&gt;"",$Q234&lt;=Hoje+JanelaRet,$Q234&gt;=Hoje-60),MAX($V$4:$V233)+1,"")</f>
        <v>0</v>
      </c>
    </row>
    <row r="235" spans="1:22">
      <c r="A235" s="16">
        <v>46276</v>
      </c>
      <c r="B235" s="23">
        <v>0.5</v>
      </c>
      <c r="C235" s="15" t="s">
        <v>54</v>
      </c>
      <c r="D235" s="15" t="s">
        <v>100</v>
      </c>
      <c r="E235" s="15" t="s">
        <v>59</v>
      </c>
      <c r="F235" s="24" t="s">
        <v>79</v>
      </c>
      <c r="G235" s="17"/>
      <c r="H235" s="17">
        <v>150</v>
      </c>
      <c r="I235" s="15" t="s">
        <v>72</v>
      </c>
      <c r="J235" s="25" t="str">
        <f>IF($D235="","",IFERROR(INDEX(PacNome,MATCH($D235,PacCod,0)),"Paciente não cadastrado"))</f>
        <v>Paciente 001</v>
      </c>
      <c r="K235" s="26" t="str">
        <f>IF($D235="","",IFERROR(INDEX(PacConv,MATCH($D235,PacCod,0))&amp;"",""))</f>
        <v>Particular</v>
      </c>
      <c r="L235" s="26" t="str">
        <f>IF($A235="","",CHOOSE(WEEKDAY($A235,2),"Seg","Ter","Qua","Qui","Sex","Sáb","Dom"))</f>
        <v>Sex</v>
      </c>
      <c r="M235" s="27">
        <f>IF($E235="","",IF($G235&lt;&gt;"",$G235,IFERROR(INDEX(ProcValor,MATCH($E235,ProcNome,0)),0)))</f>
        <v>150</v>
      </c>
      <c r="N235" s="27">
        <f>IF($M235="","",IF($F235="Compareceu",$M235,0))</f>
        <v>150</v>
      </c>
      <c r="O235" s="27">
        <f>IF($M235="","",IF($F235="Faltou",$M235,0))</f>
        <v>0</v>
      </c>
      <c r="P235" s="27">
        <f>IF($M235="","",IF($F235="Compareceu",MAX(0,$M235-N($H235)),0))</f>
        <v>0</v>
      </c>
      <c r="Q235" s="19">
        <f>IF(AND($F235="Compareceu",$E235&lt;&gt;"",$A235&lt;&gt;""),IF(IFERROR(INDEX(ProcRet,MATCH($E235,ProcNome,0)),0)&gt;0,$A235+INDEX(ProcRet,MATCH($E235,ProcNome,0)),""),"")</f>
        <v>0</v>
      </c>
      <c r="R235" s="26">
        <f>IF($Q235="","",IF(COUNTIFS(AgPac,$D235,AgData,"&gt;"&amp;$A235,AgStatus,"&lt;&gt;Cancelado",AgStatus,"&lt;&gt;Remarcado")&gt;0,"Sim","Não"))</f>
        <v>0</v>
      </c>
      <c r="S235" s="28">
        <f>IF($A235="","",IF(AND($F235="Agendado",$A235-Hoje&gt;=0,$A235-Hoje&lt;=DiasConf),"CONFIRMAR",IF(AND($A235&lt;Hoje,OR($F235="Agendado",$F235="Confirmado")),"Atualizar status",IF(AND($F235="Compareceu",$P235&gt;0.005),"Cobrar",IF($F235="Faltou","Falta: reagendar","")))))</f>
        <v>0</v>
      </c>
      <c r="T235" s="29">
        <f>IF($A235="","",DATE(YEAR($A235),MONTH($A235),1))</f>
        <v>46266.0</v>
      </c>
      <c r="U235" s="30">
        <f>IF($S235="CONFIRMAR",MAX($U$4:$U234)+1,"")</f>
        <v>0</v>
      </c>
      <c r="V235" s="30">
        <f>IF(AND($R235="Não",$Q235&lt;&gt;"",$Q235&lt;=Hoje+JanelaRet,$Q235&gt;=Hoje-60),MAX($V$4:$V234)+1,"")</f>
        <v>0</v>
      </c>
    </row>
    <row r="236" spans="1:22">
      <c r="A236" s="16">
        <v>46276</v>
      </c>
      <c r="B236" s="23">
        <v>0.5833333333333334</v>
      </c>
      <c r="C236" s="15" t="s">
        <v>53</v>
      </c>
      <c r="D236" s="15" t="s">
        <v>229</v>
      </c>
      <c r="E236" s="15" t="s">
        <v>58</v>
      </c>
      <c r="F236" s="24" t="s">
        <v>80</v>
      </c>
      <c r="G236" s="17"/>
      <c r="H236" s="17"/>
      <c r="I236" s="15"/>
      <c r="J236" s="25" t="str">
        <f>IF($D236="","",IFERROR(INDEX(PacNome,MATCH($D236,PacCod,0)),"Paciente não cadastrado"))</f>
        <v>Paciente 044</v>
      </c>
      <c r="K236" s="26" t="str">
        <f>IF($D236="","",IFERROR(INDEX(PacConv,MATCH($D236,PacCod,0))&amp;"",""))</f>
        <v>Particular</v>
      </c>
      <c r="L236" s="26" t="str">
        <f>IF($A236="","",CHOOSE(WEEKDAY($A236,2),"Seg","Ter","Qua","Qui","Sex","Sáb","Dom"))</f>
        <v>Sex</v>
      </c>
      <c r="M236" s="27">
        <f>IF($E236="","",IF($G236&lt;&gt;"",$G236,IFERROR(INDEX(ProcValor,MATCH($E236,ProcNome,0)),0)))</f>
        <v>250</v>
      </c>
      <c r="N236" s="27">
        <f>IF($M236="","",IF($F236="Compareceu",$M236,0))</f>
        <v>0</v>
      </c>
      <c r="O236" s="27">
        <f>IF($M236="","",IF($F236="Faltou",$M236,0))</f>
        <v>250</v>
      </c>
      <c r="P236" s="27">
        <f>IF($M236="","",IF($F236="Compareceu",MAX(0,$M236-N($H236)),0))</f>
        <v>0</v>
      </c>
      <c r="Q236" s="19">
        <f>IF(AND($F236="Compareceu",$E236&lt;&gt;"",$A236&lt;&gt;""),IF(IFERROR(INDEX(ProcRet,MATCH($E236,ProcNome,0)),0)&gt;0,$A236+INDEX(ProcRet,MATCH($E236,ProcNome,0)),""),"")</f>
        <v>0</v>
      </c>
      <c r="R236" s="26">
        <f>IF($Q236="","",IF(COUNTIFS(AgPac,$D236,AgData,"&gt;"&amp;$A236,AgStatus,"&lt;&gt;Cancelado",AgStatus,"&lt;&gt;Remarcado")&gt;0,"Sim","Não"))</f>
        <v>0</v>
      </c>
      <c r="S236" s="28" t="str">
        <f>IF($A236="","",IF(AND($F236="Agendado",$A236-Hoje&gt;=0,$A236-Hoje&lt;=DiasConf),"CONFIRMAR",IF(AND($A236&lt;Hoje,OR($F236="Agendado",$F236="Confirmado")),"Atualizar status",IF(AND($F236="Compareceu",$P236&gt;0.005),"Cobrar",IF($F236="Faltou","Falta: reagendar","")))))</f>
        <v>Falta: reagendar</v>
      </c>
      <c r="T236" s="29">
        <f>IF($A236="","",DATE(YEAR($A236),MONTH($A236),1))</f>
        <v>46266.0</v>
      </c>
      <c r="U236" s="30">
        <f>IF($S236="CONFIRMAR",MAX($U$4:$U235)+1,"")</f>
        <v>0</v>
      </c>
      <c r="V236" s="30">
        <f>IF(AND($R236="Não",$Q236&lt;&gt;"",$Q236&lt;=Hoje+JanelaRet,$Q236&gt;=Hoje-60),MAX($V$4:$V235)+1,"")</f>
        <v>0</v>
      </c>
    </row>
    <row r="237" spans="1:22">
      <c r="A237" s="16">
        <v>46277</v>
      </c>
      <c r="B237" s="23">
        <v>0.4166666666666667</v>
      </c>
      <c r="C237" s="15" t="s">
        <v>52</v>
      </c>
      <c r="D237" s="15" t="s">
        <v>118</v>
      </c>
      <c r="E237" s="15" t="s">
        <v>61</v>
      </c>
      <c r="F237" s="24" t="s">
        <v>81</v>
      </c>
      <c r="G237" s="17"/>
      <c r="H237" s="17"/>
      <c r="I237" s="15"/>
      <c r="J237" s="25" t="str">
        <f>IF($D237="","",IFERROR(INDEX(PacNome,MATCH($D237,PacCod,0)),"Paciente não cadastrado"))</f>
        <v>Paciente 007</v>
      </c>
      <c r="K237" s="26" t="str">
        <f>IF($D237="","",IFERROR(INDEX(PacConv,MATCH($D237,PacCod,0))&amp;"",""))</f>
        <v>Particular</v>
      </c>
      <c r="L237" s="26" t="str">
        <f>IF($A237="","",CHOOSE(WEEKDAY($A237,2),"Seg","Ter","Qua","Qui","Sex","Sáb","Dom"))</f>
        <v>Sáb</v>
      </c>
      <c r="M237" s="27">
        <f>IF($E237="","",IF($G237&lt;&gt;"",$G237,IFERROR(INDEX(ProcValor,MATCH($E237,ProcNome,0)),0)))</f>
        <v>120</v>
      </c>
      <c r="N237" s="27">
        <f>IF($M237="","",IF($F237="Compareceu",$M237,0))</f>
        <v>0</v>
      </c>
      <c r="O237" s="27">
        <f>IF($M237="","",IF($F237="Faltou",$M237,0))</f>
        <v>0</v>
      </c>
      <c r="P237" s="27">
        <f>IF($M237="","",IF($F237="Compareceu",MAX(0,$M237-N($H237)),0))</f>
        <v>0</v>
      </c>
      <c r="Q237" s="19">
        <f>IF(AND($F237="Compareceu",$E237&lt;&gt;"",$A237&lt;&gt;""),IF(IFERROR(INDEX(ProcRet,MATCH($E237,ProcNome,0)),0)&gt;0,$A237+INDEX(ProcRet,MATCH($E237,ProcNome,0)),""),"")</f>
        <v>0</v>
      </c>
      <c r="R237" s="26">
        <f>IF($Q237="","",IF(COUNTIFS(AgPac,$D237,AgData,"&gt;"&amp;$A237,AgStatus,"&lt;&gt;Cancelado",AgStatus,"&lt;&gt;Remarcado")&gt;0,"Sim","Não"))</f>
        <v>0</v>
      </c>
      <c r="S237" s="28">
        <f>IF($A237="","",IF(AND($F237="Agendado",$A237-Hoje&gt;=0,$A237-Hoje&lt;=DiasConf),"CONFIRMAR",IF(AND($A237&lt;Hoje,OR($F237="Agendado",$F237="Confirmado")),"Atualizar status",IF(AND($F237="Compareceu",$P237&gt;0.005),"Cobrar",IF($F237="Faltou","Falta: reagendar","")))))</f>
        <v>0</v>
      </c>
      <c r="T237" s="29">
        <f>IF($A237="","",DATE(YEAR($A237),MONTH($A237),1))</f>
        <v>46266.0</v>
      </c>
      <c r="U237" s="30">
        <f>IF($S237="CONFIRMAR",MAX($U$4:$U236)+1,"")</f>
        <v>0</v>
      </c>
      <c r="V237" s="30">
        <f>IF(AND($R237="Não",$Q237&lt;&gt;"",$Q237&lt;=Hoje+JanelaRet,$Q237&gt;=Hoje-60),MAX($V$4:$V236)+1,"")</f>
        <v>0</v>
      </c>
    </row>
    <row r="238" spans="1:22">
      <c r="A238" s="16">
        <v>46277</v>
      </c>
      <c r="B238" s="23">
        <v>0.5416666666666666</v>
      </c>
      <c r="C238" s="15" t="s">
        <v>52</v>
      </c>
      <c r="D238" s="15" t="s">
        <v>223</v>
      </c>
      <c r="E238" s="15" t="s">
        <v>59</v>
      </c>
      <c r="F238" s="24" t="s">
        <v>79</v>
      </c>
      <c r="G238" s="17"/>
      <c r="H238" s="17">
        <v>150</v>
      </c>
      <c r="I238" s="15" t="s">
        <v>75</v>
      </c>
      <c r="J238" s="25" t="str">
        <f>IF($D238="","",IFERROR(INDEX(PacNome,MATCH($D238,PacCod,0)),"Paciente não cadastrado"))</f>
        <v>Paciente 042</v>
      </c>
      <c r="K238" s="26" t="str">
        <f>IF($D238="","",IFERROR(INDEX(PacConv,MATCH($D238,PacCod,0))&amp;"",""))</f>
        <v>Particular</v>
      </c>
      <c r="L238" s="26" t="str">
        <f>IF($A238="","",CHOOSE(WEEKDAY($A238,2),"Seg","Ter","Qua","Qui","Sex","Sáb","Dom"))</f>
        <v>Sáb</v>
      </c>
      <c r="M238" s="27">
        <f>IF($E238="","",IF($G238&lt;&gt;"",$G238,IFERROR(INDEX(ProcValor,MATCH($E238,ProcNome,0)),0)))</f>
        <v>150</v>
      </c>
      <c r="N238" s="27">
        <f>IF($M238="","",IF($F238="Compareceu",$M238,0))</f>
        <v>150</v>
      </c>
      <c r="O238" s="27">
        <f>IF($M238="","",IF($F238="Faltou",$M238,0))</f>
        <v>0</v>
      </c>
      <c r="P238" s="27">
        <f>IF($M238="","",IF($F238="Compareceu",MAX(0,$M238-N($H238)),0))</f>
        <v>0</v>
      </c>
      <c r="Q238" s="19">
        <f>IF(AND($F238="Compareceu",$E238&lt;&gt;"",$A238&lt;&gt;""),IF(IFERROR(INDEX(ProcRet,MATCH($E238,ProcNome,0)),0)&gt;0,$A238+INDEX(ProcRet,MATCH($E238,ProcNome,0)),""),"")</f>
        <v>0</v>
      </c>
      <c r="R238" s="26">
        <f>IF($Q238="","",IF(COUNTIFS(AgPac,$D238,AgData,"&gt;"&amp;$A238,AgStatus,"&lt;&gt;Cancelado",AgStatus,"&lt;&gt;Remarcado")&gt;0,"Sim","Não"))</f>
        <v>0</v>
      </c>
      <c r="S238" s="28">
        <f>IF($A238="","",IF(AND($F238="Agendado",$A238-Hoje&gt;=0,$A238-Hoje&lt;=DiasConf),"CONFIRMAR",IF(AND($A238&lt;Hoje,OR($F238="Agendado",$F238="Confirmado")),"Atualizar status",IF(AND($F238="Compareceu",$P238&gt;0.005),"Cobrar",IF($F238="Faltou","Falta: reagendar","")))))</f>
        <v>0</v>
      </c>
      <c r="T238" s="29">
        <f>IF($A238="","",DATE(YEAR($A238),MONTH($A238),1))</f>
        <v>46266.0</v>
      </c>
      <c r="U238" s="30">
        <f>IF($S238="CONFIRMAR",MAX($U$4:$U237)+1,"")</f>
        <v>0</v>
      </c>
      <c r="V238" s="30">
        <f>IF(AND($R238="Não",$Q238&lt;&gt;"",$Q238&lt;=Hoje+JanelaRet,$Q238&gt;=Hoje-60),MAX($V$4:$V237)+1,"")</f>
        <v>0</v>
      </c>
    </row>
    <row r="239" spans="1:22">
      <c r="A239" s="16">
        <v>46277</v>
      </c>
      <c r="B239" s="23">
        <v>0.7291666666666666</v>
      </c>
      <c r="C239" s="15" t="s">
        <v>54</v>
      </c>
      <c r="D239" s="15" t="s">
        <v>217</v>
      </c>
      <c r="E239" s="15" t="s">
        <v>58</v>
      </c>
      <c r="F239" s="24" t="s">
        <v>79</v>
      </c>
      <c r="G239" s="17"/>
      <c r="H239" s="17">
        <v>250</v>
      </c>
      <c r="I239" s="15" t="s">
        <v>71</v>
      </c>
      <c r="J239" s="25" t="str">
        <f>IF($D239="","",IFERROR(INDEX(PacNome,MATCH($D239,PacCod,0)),"Paciente não cadastrado"))</f>
        <v>Paciente 040</v>
      </c>
      <c r="K239" s="26" t="str">
        <f>IF($D239="","",IFERROR(INDEX(PacConv,MATCH($D239,PacCod,0))&amp;"",""))</f>
        <v>Particular</v>
      </c>
      <c r="L239" s="26" t="str">
        <f>IF($A239="","",CHOOSE(WEEKDAY($A239,2),"Seg","Ter","Qua","Qui","Sex","Sáb","Dom"))</f>
        <v>Sáb</v>
      </c>
      <c r="M239" s="27">
        <f>IF($E239="","",IF($G239&lt;&gt;"",$G239,IFERROR(INDEX(ProcValor,MATCH($E239,ProcNome,0)),0)))</f>
        <v>250</v>
      </c>
      <c r="N239" s="27">
        <f>IF($M239="","",IF($F239="Compareceu",$M239,0))</f>
        <v>250</v>
      </c>
      <c r="O239" s="27">
        <f>IF($M239="","",IF($F239="Faltou",$M239,0))</f>
        <v>0</v>
      </c>
      <c r="P239" s="27">
        <f>IF($M239="","",IF($F239="Compareceu",MAX(0,$M239-N($H239)),0))</f>
        <v>0</v>
      </c>
      <c r="Q239" s="19">
        <f>IF(AND($F239="Compareceu",$E239&lt;&gt;"",$A239&lt;&gt;""),IF(IFERROR(INDEX(ProcRet,MATCH($E239,ProcNome,0)),0)&gt;0,$A239+INDEX(ProcRet,MATCH($E239,ProcNome,0)),""),"")</f>
        <v>0</v>
      </c>
      <c r="R239" s="26">
        <f>IF($Q239="","",IF(COUNTIFS(AgPac,$D239,AgData,"&gt;"&amp;$A239,AgStatus,"&lt;&gt;Cancelado",AgStatus,"&lt;&gt;Remarcado")&gt;0,"Sim","Não"))</f>
        <v>0</v>
      </c>
      <c r="S239" s="28">
        <f>IF($A239="","",IF(AND($F239="Agendado",$A239-Hoje&gt;=0,$A239-Hoje&lt;=DiasConf),"CONFIRMAR",IF(AND($A239&lt;Hoje,OR($F239="Agendado",$F239="Confirmado")),"Atualizar status",IF(AND($F239="Compareceu",$P239&gt;0.005),"Cobrar",IF($F239="Faltou","Falta: reagendar","")))))</f>
        <v>0</v>
      </c>
      <c r="T239" s="29">
        <f>IF($A239="","",DATE(YEAR($A239),MONTH($A239),1))</f>
        <v>46266.0</v>
      </c>
      <c r="U239" s="30">
        <f>IF($S239="CONFIRMAR",MAX($U$4:$U238)+1,"")</f>
        <v>0</v>
      </c>
      <c r="V239" s="30">
        <f>IF(AND($R239="Não",$Q239&lt;&gt;"",$Q239&lt;=Hoje+JanelaRet,$Q239&gt;=Hoje-60),MAX($V$4:$V238)+1,"")</f>
        <v>0</v>
      </c>
    </row>
    <row r="240" spans="1:22">
      <c r="A240" s="16">
        <v>46279</v>
      </c>
      <c r="B240" s="23">
        <v>0.4166666666666667</v>
      </c>
      <c r="C240" s="15" t="s">
        <v>51</v>
      </c>
      <c r="D240" s="15" t="s">
        <v>235</v>
      </c>
      <c r="E240" s="15" t="s">
        <v>62</v>
      </c>
      <c r="F240" s="24" t="s">
        <v>80</v>
      </c>
      <c r="G240" s="17"/>
      <c r="H240" s="17"/>
      <c r="I240" s="15"/>
      <c r="J240" s="25" t="str">
        <f>IF($D240="","",IFERROR(INDEX(PacNome,MATCH($D240,PacCod,0)),"Paciente não cadastrado"))</f>
        <v>Paciente 046</v>
      </c>
      <c r="K240" s="26" t="str">
        <f>IF($D240="","",IFERROR(INDEX(PacConv,MATCH($D240,PacCod,0))&amp;"",""))</f>
        <v>Convênio A</v>
      </c>
      <c r="L240" s="26" t="str">
        <f>IF($A240="","",CHOOSE(WEEKDAY($A240,2),"Seg","Ter","Qua","Qui","Sex","Sáb","Dom"))</f>
        <v>Seg</v>
      </c>
      <c r="M240" s="27">
        <f>IF($E240="","",IF($G240&lt;&gt;"",$G240,IFERROR(INDEX(ProcValor,MATCH($E240,ProcNome,0)),0)))</f>
        <v>350</v>
      </c>
      <c r="N240" s="27">
        <f>IF($M240="","",IF($F240="Compareceu",$M240,0))</f>
        <v>0</v>
      </c>
      <c r="O240" s="27">
        <f>IF($M240="","",IF($F240="Faltou",$M240,0))</f>
        <v>350</v>
      </c>
      <c r="P240" s="27">
        <f>IF($M240="","",IF($F240="Compareceu",MAX(0,$M240-N($H240)),0))</f>
        <v>0</v>
      </c>
      <c r="Q240" s="19">
        <f>IF(AND($F240="Compareceu",$E240&lt;&gt;"",$A240&lt;&gt;""),IF(IFERROR(INDEX(ProcRet,MATCH($E240,ProcNome,0)),0)&gt;0,$A240+INDEX(ProcRet,MATCH($E240,ProcNome,0)),""),"")</f>
        <v>0</v>
      </c>
      <c r="R240" s="26">
        <f>IF($Q240="","",IF(COUNTIFS(AgPac,$D240,AgData,"&gt;"&amp;$A240,AgStatus,"&lt;&gt;Cancelado",AgStatus,"&lt;&gt;Remarcado")&gt;0,"Sim","Não"))</f>
        <v>0</v>
      </c>
      <c r="S240" s="28" t="str">
        <f>IF($A240="","",IF(AND($F240="Agendado",$A240-Hoje&gt;=0,$A240-Hoje&lt;=DiasConf),"CONFIRMAR",IF(AND($A240&lt;Hoje,OR($F240="Agendado",$F240="Confirmado")),"Atualizar status",IF(AND($F240="Compareceu",$P240&gt;0.005),"Cobrar",IF($F240="Faltou","Falta: reagendar","")))))</f>
        <v>Falta: reagendar</v>
      </c>
      <c r="T240" s="29">
        <f>IF($A240="","",DATE(YEAR($A240),MONTH($A240),1))</f>
        <v>46266.0</v>
      </c>
      <c r="U240" s="30">
        <f>IF($S240="CONFIRMAR",MAX($U$4:$U239)+1,"")</f>
        <v>0</v>
      </c>
      <c r="V240" s="30">
        <f>IF(AND($R240="Não",$Q240&lt;&gt;"",$Q240&lt;=Hoje+JanelaRet,$Q240&gt;=Hoje-60),MAX($V$4:$V239)+1,"")</f>
        <v>0</v>
      </c>
    </row>
    <row r="241" spans="1:22">
      <c r="A241" s="16">
        <v>46279</v>
      </c>
      <c r="B241" s="23">
        <v>0.4791666666666667</v>
      </c>
      <c r="C241" s="15" t="s">
        <v>54</v>
      </c>
      <c r="D241" s="15" t="s">
        <v>199</v>
      </c>
      <c r="E241" s="15" t="s">
        <v>63</v>
      </c>
      <c r="F241" s="24" t="s">
        <v>80</v>
      </c>
      <c r="G241" s="17"/>
      <c r="H241" s="17"/>
      <c r="I241" s="15"/>
      <c r="J241" s="25" t="str">
        <f>IF($D241="","",IFERROR(INDEX(PacNome,MATCH($D241,PacCod,0)),"Paciente não cadastrado"))</f>
        <v>Paciente 034</v>
      </c>
      <c r="K241" s="26" t="str">
        <f>IF($D241="","",IFERROR(INDEX(PacConv,MATCH($D241,PacCod,0))&amp;"",""))</f>
        <v>Particular</v>
      </c>
      <c r="L241" s="26" t="str">
        <f>IF($A241="","",CHOOSE(WEEKDAY($A241,2),"Seg","Ter","Qua","Qui","Sex","Sáb","Dom"))</f>
        <v>Seg</v>
      </c>
      <c r="M241" s="27">
        <f>IF($E241="","",IF($G241&lt;&gt;"",$G241,IFERROR(INDEX(ProcValor,MATCH($E241,ProcNome,0)),0)))</f>
        <v>140</v>
      </c>
      <c r="N241" s="27">
        <f>IF($M241="","",IF($F241="Compareceu",$M241,0))</f>
        <v>0</v>
      </c>
      <c r="O241" s="27">
        <f>IF($M241="","",IF($F241="Faltou",$M241,0))</f>
        <v>140</v>
      </c>
      <c r="P241" s="27">
        <f>IF($M241="","",IF($F241="Compareceu",MAX(0,$M241-N($H241)),0))</f>
        <v>0</v>
      </c>
      <c r="Q241" s="19">
        <f>IF(AND($F241="Compareceu",$E241&lt;&gt;"",$A241&lt;&gt;""),IF(IFERROR(INDEX(ProcRet,MATCH($E241,ProcNome,0)),0)&gt;0,$A241+INDEX(ProcRet,MATCH($E241,ProcNome,0)),""),"")</f>
        <v>0</v>
      </c>
      <c r="R241" s="26">
        <f>IF($Q241="","",IF(COUNTIFS(AgPac,$D241,AgData,"&gt;"&amp;$A241,AgStatus,"&lt;&gt;Cancelado",AgStatus,"&lt;&gt;Remarcado")&gt;0,"Sim","Não"))</f>
        <v>0</v>
      </c>
      <c r="S241" s="28" t="str">
        <f>IF($A241="","",IF(AND($F241="Agendado",$A241-Hoje&gt;=0,$A241-Hoje&lt;=DiasConf),"CONFIRMAR",IF(AND($A241&lt;Hoje,OR($F241="Agendado",$F241="Confirmado")),"Atualizar status",IF(AND($F241="Compareceu",$P241&gt;0.005),"Cobrar",IF($F241="Faltou","Falta: reagendar","")))))</f>
        <v>Falta: reagendar</v>
      </c>
      <c r="T241" s="29">
        <f>IF($A241="","",DATE(YEAR($A241),MONTH($A241),1))</f>
        <v>46266.0</v>
      </c>
      <c r="U241" s="30">
        <f>IF($S241="CONFIRMAR",MAX($U$4:$U240)+1,"")</f>
        <v>0</v>
      </c>
      <c r="V241" s="30">
        <f>IF(AND($R241="Não",$Q241&lt;&gt;"",$Q241&lt;=Hoje+JanelaRet,$Q241&gt;=Hoje-60),MAX($V$4:$V240)+1,"")</f>
        <v>0</v>
      </c>
    </row>
    <row r="242" spans="1:22">
      <c r="A242" s="16">
        <v>46279</v>
      </c>
      <c r="B242" s="23">
        <v>0.5208333333333334</v>
      </c>
      <c r="C242" s="15" t="s">
        <v>53</v>
      </c>
      <c r="D242" s="15" t="s">
        <v>148</v>
      </c>
      <c r="E242" s="15" t="s">
        <v>64</v>
      </c>
      <c r="F242" s="24" t="s">
        <v>79</v>
      </c>
      <c r="G242" s="17"/>
      <c r="H242" s="17">
        <v>90</v>
      </c>
      <c r="I242" s="15" t="s">
        <v>74</v>
      </c>
      <c r="J242" s="25" t="str">
        <f>IF($D242="","",IFERROR(INDEX(PacNome,MATCH($D242,PacCod,0)),"Paciente não cadastrado"))</f>
        <v>Paciente 017</v>
      </c>
      <c r="K242" s="26" t="str">
        <f>IF($D242="","",IFERROR(INDEX(PacConv,MATCH($D242,PacCod,0))&amp;"",""))</f>
        <v>Particular</v>
      </c>
      <c r="L242" s="26" t="str">
        <f>IF($A242="","",CHOOSE(WEEKDAY($A242,2),"Seg","Ter","Qua","Qui","Sex","Sáb","Dom"))</f>
        <v>Seg</v>
      </c>
      <c r="M242" s="27">
        <f>IF($E242="","",IF($G242&lt;&gt;"",$G242,IFERROR(INDEX(ProcValor,MATCH($E242,ProcNome,0)),0)))</f>
        <v>90</v>
      </c>
      <c r="N242" s="27">
        <f>IF($M242="","",IF($F242="Compareceu",$M242,0))</f>
        <v>90</v>
      </c>
      <c r="O242" s="27">
        <f>IF($M242="","",IF($F242="Faltou",$M242,0))</f>
        <v>0</v>
      </c>
      <c r="P242" s="27">
        <f>IF($M242="","",IF($F242="Compareceu",MAX(0,$M242-N($H242)),0))</f>
        <v>0</v>
      </c>
      <c r="Q242" s="19">
        <f>IF(AND($F242="Compareceu",$E242&lt;&gt;"",$A242&lt;&gt;""),IF(IFERROR(INDEX(ProcRet,MATCH($E242,ProcNome,0)),0)&gt;0,$A242+INDEX(ProcRet,MATCH($E242,ProcNome,0)),""),"")</f>
        <v>0</v>
      </c>
      <c r="R242" s="26">
        <f>IF($Q242="","",IF(COUNTIFS(AgPac,$D242,AgData,"&gt;"&amp;$A242,AgStatus,"&lt;&gt;Cancelado",AgStatus,"&lt;&gt;Remarcado")&gt;0,"Sim","Não"))</f>
        <v>0</v>
      </c>
      <c r="S242" s="28">
        <f>IF($A242="","",IF(AND($F242="Agendado",$A242-Hoje&gt;=0,$A242-Hoje&lt;=DiasConf),"CONFIRMAR",IF(AND($A242&lt;Hoje,OR($F242="Agendado",$F242="Confirmado")),"Atualizar status",IF(AND($F242="Compareceu",$P242&gt;0.005),"Cobrar",IF($F242="Faltou","Falta: reagendar","")))))</f>
        <v>0</v>
      </c>
      <c r="T242" s="29">
        <f>IF($A242="","",DATE(YEAR($A242),MONTH($A242),1))</f>
        <v>46266.0</v>
      </c>
      <c r="U242" s="30">
        <f>IF($S242="CONFIRMAR",MAX($U$4:$U241)+1,"")</f>
        <v>0</v>
      </c>
      <c r="V242" s="30">
        <f>IF(AND($R242="Não",$Q242&lt;&gt;"",$Q242&lt;=Hoje+JanelaRet,$Q242&gt;=Hoje-60),MAX($V$4:$V241)+1,"")</f>
        <v>0</v>
      </c>
    </row>
    <row r="243" spans="1:22">
      <c r="A243" s="16">
        <v>46279</v>
      </c>
      <c r="B243" s="23">
        <v>0.6458333333333334</v>
      </c>
      <c r="C243" s="15" t="s">
        <v>51</v>
      </c>
      <c r="D243" s="15" t="s">
        <v>103</v>
      </c>
      <c r="E243" s="15" t="s">
        <v>63</v>
      </c>
      <c r="F243" s="24" t="s">
        <v>79</v>
      </c>
      <c r="G243" s="17">
        <v>84</v>
      </c>
      <c r="H243" s="17">
        <v>84</v>
      </c>
      <c r="I243" s="15" t="s">
        <v>73</v>
      </c>
      <c r="J243" s="25" t="str">
        <f>IF($D243="","",IFERROR(INDEX(PacNome,MATCH($D243,PacCod,0)),"Paciente não cadastrado"))</f>
        <v>Paciente 002</v>
      </c>
      <c r="K243" s="26" t="str">
        <f>IF($D243="","",IFERROR(INDEX(PacConv,MATCH($D243,PacCod,0))&amp;"",""))</f>
        <v>Convênio A</v>
      </c>
      <c r="L243" s="26" t="str">
        <f>IF($A243="","",CHOOSE(WEEKDAY($A243,2),"Seg","Ter","Qua","Qui","Sex","Sáb","Dom"))</f>
        <v>Seg</v>
      </c>
      <c r="M243" s="27">
        <f>IF($E243="","",IF($G243&lt;&gt;"",$G243,IFERROR(INDEX(ProcValor,MATCH($E243,ProcNome,0)),0)))</f>
        <v>84</v>
      </c>
      <c r="N243" s="27">
        <f>IF($M243="","",IF($F243="Compareceu",$M243,0))</f>
        <v>84</v>
      </c>
      <c r="O243" s="27">
        <f>IF($M243="","",IF($F243="Faltou",$M243,0))</f>
        <v>0</v>
      </c>
      <c r="P243" s="27">
        <f>IF($M243="","",IF($F243="Compareceu",MAX(0,$M243-N($H243)),0))</f>
        <v>0</v>
      </c>
      <c r="Q243" s="19">
        <f>IF(AND($F243="Compareceu",$E243&lt;&gt;"",$A243&lt;&gt;""),IF(IFERROR(INDEX(ProcRet,MATCH($E243,ProcNome,0)),0)&gt;0,$A243+INDEX(ProcRet,MATCH($E243,ProcNome,0)),""),"")</f>
        <v>46286.0</v>
      </c>
      <c r="R243" s="26" t="str">
        <f>IF($Q243="","",IF(COUNTIFS(AgPac,$D243,AgData,"&gt;"&amp;$A243,AgStatus,"&lt;&gt;Cancelado",AgStatus,"&lt;&gt;Remarcado")&gt;0,"Sim","Não"))</f>
        <v>Sim</v>
      </c>
      <c r="S243" s="28">
        <f>IF($A243="","",IF(AND($F243="Agendado",$A243-Hoje&gt;=0,$A243-Hoje&lt;=DiasConf),"CONFIRMAR",IF(AND($A243&lt;Hoje,OR($F243="Agendado",$F243="Confirmado")),"Atualizar status",IF(AND($F243="Compareceu",$P243&gt;0.005),"Cobrar",IF($F243="Faltou","Falta: reagendar","")))))</f>
        <v>0</v>
      </c>
      <c r="T243" s="29">
        <f>IF($A243="","",DATE(YEAR($A243),MONTH($A243),1))</f>
        <v>46266.0</v>
      </c>
      <c r="U243" s="30">
        <f>IF($S243="CONFIRMAR",MAX($U$4:$U242)+1,"")</f>
        <v>0</v>
      </c>
      <c r="V243" s="30">
        <f>IF(AND($R243="Não",$Q243&lt;&gt;"",$Q243&lt;=Hoje+JanelaRet,$Q243&gt;=Hoje-60),MAX($V$4:$V242)+1,"")</f>
        <v>0</v>
      </c>
    </row>
    <row r="244" spans="1:22">
      <c r="A244" s="16">
        <v>46279</v>
      </c>
      <c r="B244" s="23">
        <v>0.6666666666666666</v>
      </c>
      <c r="C244" s="15" t="s">
        <v>52</v>
      </c>
      <c r="D244" s="15" t="s">
        <v>172</v>
      </c>
      <c r="E244" s="15" t="s">
        <v>59</v>
      </c>
      <c r="F244" s="24" t="s">
        <v>79</v>
      </c>
      <c r="G244" s="17">
        <v>90</v>
      </c>
      <c r="H244" s="17">
        <v>90</v>
      </c>
      <c r="I244" s="15" t="s">
        <v>72</v>
      </c>
      <c r="J244" s="25" t="str">
        <f>IF($D244="","",IFERROR(INDEX(PacNome,MATCH($D244,PacCod,0)),"Paciente não cadastrado"))</f>
        <v>Paciente 025</v>
      </c>
      <c r="K244" s="26" t="str">
        <f>IF($D244="","",IFERROR(INDEX(PacConv,MATCH($D244,PacCod,0))&amp;"",""))</f>
        <v>Convênio A</v>
      </c>
      <c r="L244" s="26" t="str">
        <f>IF($A244="","",CHOOSE(WEEKDAY($A244,2),"Seg","Ter","Qua","Qui","Sex","Sáb","Dom"))</f>
        <v>Seg</v>
      </c>
      <c r="M244" s="27">
        <f>IF($E244="","",IF($G244&lt;&gt;"",$G244,IFERROR(INDEX(ProcValor,MATCH($E244,ProcNome,0)),0)))</f>
        <v>90</v>
      </c>
      <c r="N244" s="27">
        <f>IF($M244="","",IF($F244="Compareceu",$M244,0))</f>
        <v>90</v>
      </c>
      <c r="O244" s="27">
        <f>IF($M244="","",IF($F244="Faltou",$M244,0))</f>
        <v>0</v>
      </c>
      <c r="P244" s="27">
        <f>IF($M244="","",IF($F244="Compareceu",MAX(0,$M244-N($H244)),0))</f>
        <v>0</v>
      </c>
      <c r="Q244" s="19">
        <f>IF(AND($F244="Compareceu",$E244&lt;&gt;"",$A244&lt;&gt;""),IF(IFERROR(INDEX(ProcRet,MATCH($E244,ProcNome,0)),0)&gt;0,$A244+INDEX(ProcRet,MATCH($E244,ProcNome,0)),""),"")</f>
        <v>0</v>
      </c>
      <c r="R244" s="26">
        <f>IF($Q244="","",IF(COUNTIFS(AgPac,$D244,AgData,"&gt;"&amp;$A244,AgStatus,"&lt;&gt;Cancelado",AgStatus,"&lt;&gt;Remarcado")&gt;0,"Sim","Não"))</f>
        <v>0</v>
      </c>
      <c r="S244" s="28">
        <f>IF($A244="","",IF(AND($F244="Agendado",$A244-Hoje&gt;=0,$A244-Hoje&lt;=DiasConf),"CONFIRMAR",IF(AND($A244&lt;Hoje,OR($F244="Agendado",$F244="Confirmado")),"Atualizar status",IF(AND($F244="Compareceu",$P244&gt;0.005),"Cobrar",IF($F244="Faltou","Falta: reagendar","")))))</f>
        <v>0</v>
      </c>
      <c r="T244" s="29">
        <f>IF($A244="","",DATE(YEAR($A244),MONTH($A244),1))</f>
        <v>46266.0</v>
      </c>
      <c r="U244" s="30">
        <f>IF($S244="CONFIRMAR",MAX($U$4:$U243)+1,"")</f>
        <v>0</v>
      </c>
      <c r="V244" s="30">
        <f>IF(AND($R244="Não",$Q244&lt;&gt;"",$Q244&lt;=Hoje+JanelaRet,$Q244&gt;=Hoje-60),MAX($V$4:$V243)+1,"")</f>
        <v>0</v>
      </c>
    </row>
    <row r="245" spans="1:22">
      <c r="A245" s="16">
        <v>46280</v>
      </c>
      <c r="B245" s="23">
        <v>0.3333333333333333</v>
      </c>
      <c r="C245" s="15" t="s">
        <v>52</v>
      </c>
      <c r="D245" s="15" t="s">
        <v>136</v>
      </c>
      <c r="E245" s="15" t="s">
        <v>61</v>
      </c>
      <c r="F245" s="24" t="s">
        <v>79</v>
      </c>
      <c r="G245" s="17"/>
      <c r="H245" s="17">
        <v>120</v>
      </c>
      <c r="I245" s="15" t="s">
        <v>75</v>
      </c>
      <c r="J245" s="25" t="str">
        <f>IF($D245="","",IFERROR(INDEX(PacNome,MATCH($D245,PacCod,0)),"Paciente não cadastrado"))</f>
        <v>Paciente 013</v>
      </c>
      <c r="K245" s="26" t="str">
        <f>IF($D245="","",IFERROR(INDEX(PacConv,MATCH($D245,PacCod,0))&amp;"",""))</f>
        <v>Particular</v>
      </c>
      <c r="L245" s="26" t="str">
        <f>IF($A245="","",CHOOSE(WEEKDAY($A245,2),"Seg","Ter","Qua","Qui","Sex","Sáb","Dom"))</f>
        <v>Ter</v>
      </c>
      <c r="M245" s="27">
        <f>IF($E245="","",IF($G245&lt;&gt;"",$G245,IFERROR(INDEX(ProcValor,MATCH($E245,ProcNome,0)),0)))</f>
        <v>120</v>
      </c>
      <c r="N245" s="27">
        <f>IF($M245="","",IF($F245="Compareceu",$M245,0))</f>
        <v>120</v>
      </c>
      <c r="O245" s="27">
        <f>IF($M245="","",IF($F245="Faltou",$M245,0))</f>
        <v>0</v>
      </c>
      <c r="P245" s="27">
        <f>IF($M245="","",IF($F245="Compareceu",MAX(0,$M245-N($H245)),0))</f>
        <v>0</v>
      </c>
      <c r="Q245" s="19">
        <f>IF(AND($F245="Compareceu",$E245&lt;&gt;"",$A245&lt;&gt;""),IF(IFERROR(INDEX(ProcRet,MATCH($E245,ProcNome,0)),0)&gt;0,$A245+INDEX(ProcRet,MATCH($E245,ProcNome,0)),""),"")</f>
        <v>46310.0</v>
      </c>
      <c r="R245" s="26" t="str">
        <f>IF($Q245="","",IF(COUNTIFS(AgPac,$D245,AgData,"&gt;"&amp;$A245,AgStatus,"&lt;&gt;Cancelado",AgStatus,"&lt;&gt;Remarcado")&gt;0,"Sim","Não"))</f>
        <v>Sim</v>
      </c>
      <c r="S245" s="28">
        <f>IF($A245="","",IF(AND($F245="Agendado",$A245-Hoje&gt;=0,$A245-Hoje&lt;=DiasConf),"CONFIRMAR",IF(AND($A245&lt;Hoje,OR($F245="Agendado",$F245="Confirmado")),"Atualizar status",IF(AND($F245="Compareceu",$P245&gt;0.005),"Cobrar",IF($F245="Faltou","Falta: reagendar","")))))</f>
        <v>0</v>
      </c>
      <c r="T245" s="29">
        <f>IF($A245="","",DATE(YEAR($A245),MONTH($A245),1))</f>
        <v>46266.0</v>
      </c>
      <c r="U245" s="30">
        <f>IF($S245="CONFIRMAR",MAX($U$4:$U244)+1,"")</f>
        <v>0</v>
      </c>
      <c r="V245" s="30">
        <f>IF(AND($R245="Não",$Q245&lt;&gt;"",$Q245&lt;=Hoje+JanelaRet,$Q245&gt;=Hoje-60),MAX($V$4:$V244)+1,"")</f>
        <v>0</v>
      </c>
    </row>
    <row r="246" spans="1:22">
      <c r="A246" s="16">
        <v>46280</v>
      </c>
      <c r="B246" s="23">
        <v>0.3958333333333333</v>
      </c>
      <c r="C246" s="15" t="s">
        <v>54</v>
      </c>
      <c r="D246" s="15" t="s">
        <v>100</v>
      </c>
      <c r="E246" s="15" t="s">
        <v>62</v>
      </c>
      <c r="F246" s="24" t="s">
        <v>79</v>
      </c>
      <c r="G246" s="17"/>
      <c r="H246" s="17"/>
      <c r="I246" s="15"/>
      <c r="J246" s="25" t="str">
        <f>IF($D246="","",IFERROR(INDEX(PacNome,MATCH($D246,PacCod,0)),"Paciente não cadastrado"))</f>
        <v>Paciente 001</v>
      </c>
      <c r="K246" s="26" t="str">
        <f>IF($D246="","",IFERROR(INDEX(PacConv,MATCH($D246,PacCod,0))&amp;"",""))</f>
        <v>Particular</v>
      </c>
      <c r="L246" s="26" t="str">
        <f>IF($A246="","",CHOOSE(WEEKDAY($A246,2),"Seg","Ter","Qua","Qui","Sex","Sáb","Dom"))</f>
        <v>Ter</v>
      </c>
      <c r="M246" s="27">
        <f>IF($E246="","",IF($G246&lt;&gt;"",$G246,IFERROR(INDEX(ProcValor,MATCH($E246,ProcNome,0)),0)))</f>
        <v>350</v>
      </c>
      <c r="N246" s="27">
        <f>IF($M246="","",IF($F246="Compareceu",$M246,0))</f>
        <v>350</v>
      </c>
      <c r="O246" s="27">
        <f>IF($M246="","",IF($F246="Faltou",$M246,0))</f>
        <v>0</v>
      </c>
      <c r="P246" s="27">
        <f>IF($M246="","",IF($F246="Compareceu",MAX(0,$M246-N($H246)),0))</f>
        <v>350</v>
      </c>
      <c r="Q246" s="19">
        <f>IF(AND($F246="Compareceu",$E246&lt;&gt;"",$A246&lt;&gt;""),IF(IFERROR(INDEX(ProcRet,MATCH($E246,ProcNome,0)),0)&gt;0,$A246+INDEX(ProcRet,MATCH($E246,ProcNome,0)),""),"")</f>
        <v>46295.0</v>
      </c>
      <c r="R246" s="26" t="str">
        <f>IF($Q246="","",IF(COUNTIFS(AgPac,$D246,AgData,"&gt;"&amp;$A246,AgStatus,"&lt;&gt;Cancelado",AgStatus,"&lt;&gt;Remarcado")&gt;0,"Sim","Não"))</f>
        <v>Sim</v>
      </c>
      <c r="S246" s="28" t="str">
        <f>IF($A246="","",IF(AND($F246="Agendado",$A246-Hoje&gt;=0,$A246-Hoje&lt;=DiasConf),"CONFIRMAR",IF(AND($A246&lt;Hoje,OR($F246="Agendado",$F246="Confirmado")),"Atualizar status",IF(AND($F246="Compareceu",$P246&gt;0.005),"Cobrar",IF($F246="Faltou","Falta: reagendar","")))))</f>
        <v>Cobrar</v>
      </c>
      <c r="T246" s="29">
        <f>IF($A246="","",DATE(YEAR($A246),MONTH($A246),1))</f>
        <v>46266.0</v>
      </c>
      <c r="U246" s="30">
        <f>IF($S246="CONFIRMAR",MAX($U$4:$U245)+1,"")</f>
        <v>0</v>
      </c>
      <c r="V246" s="30">
        <f>IF(AND($R246="Não",$Q246&lt;&gt;"",$Q246&lt;=Hoje+JanelaRet,$Q246&gt;=Hoje-60),MAX($V$4:$V245)+1,"")</f>
        <v>0</v>
      </c>
    </row>
    <row r="247" spans="1:22">
      <c r="A247" s="16">
        <v>46280</v>
      </c>
      <c r="B247" s="23">
        <v>0.4583333333333333</v>
      </c>
      <c r="C247" s="15" t="s">
        <v>53</v>
      </c>
      <c r="D247" s="15" t="s">
        <v>154</v>
      </c>
      <c r="E247" s="15" t="s">
        <v>62</v>
      </c>
      <c r="F247" s="24" t="s">
        <v>79</v>
      </c>
      <c r="G247" s="17"/>
      <c r="H247" s="17">
        <v>350</v>
      </c>
      <c r="I247" s="15" t="s">
        <v>73</v>
      </c>
      <c r="J247" s="25" t="str">
        <f>IF($D247="","",IFERROR(INDEX(PacNome,MATCH($D247,PacCod,0)),"Paciente não cadastrado"))</f>
        <v>Paciente 019</v>
      </c>
      <c r="K247" s="26" t="str">
        <f>IF($D247="","",IFERROR(INDEX(PacConv,MATCH($D247,PacCod,0))&amp;"",""))</f>
        <v>Particular</v>
      </c>
      <c r="L247" s="26" t="str">
        <f>IF($A247="","",CHOOSE(WEEKDAY($A247,2),"Seg","Ter","Qua","Qui","Sex","Sáb","Dom"))</f>
        <v>Ter</v>
      </c>
      <c r="M247" s="27">
        <f>IF($E247="","",IF($G247&lt;&gt;"",$G247,IFERROR(INDEX(ProcValor,MATCH($E247,ProcNome,0)),0)))</f>
        <v>350</v>
      </c>
      <c r="N247" s="27">
        <f>IF($M247="","",IF($F247="Compareceu",$M247,0))</f>
        <v>350</v>
      </c>
      <c r="O247" s="27">
        <f>IF($M247="","",IF($F247="Faltou",$M247,0))</f>
        <v>0</v>
      </c>
      <c r="P247" s="27">
        <f>IF($M247="","",IF($F247="Compareceu",MAX(0,$M247-N($H247)),0))</f>
        <v>0</v>
      </c>
      <c r="Q247" s="19">
        <f>IF(AND($F247="Compareceu",$E247&lt;&gt;"",$A247&lt;&gt;""),IF(IFERROR(INDEX(ProcRet,MATCH($E247,ProcNome,0)),0)&gt;0,$A247+INDEX(ProcRet,MATCH($E247,ProcNome,0)),""),"")</f>
        <v>46295.0</v>
      </c>
      <c r="R247" s="26" t="str">
        <f>IF($Q247="","",IF(COUNTIFS(AgPac,$D247,AgData,"&gt;"&amp;$A247,AgStatus,"&lt;&gt;Cancelado",AgStatus,"&lt;&gt;Remarcado")&gt;0,"Sim","Não"))</f>
        <v>Não</v>
      </c>
      <c r="S247" s="28">
        <f>IF($A247="","",IF(AND($F247="Agendado",$A247-Hoje&gt;=0,$A247-Hoje&lt;=DiasConf),"CONFIRMAR",IF(AND($A247&lt;Hoje,OR($F247="Agendado",$F247="Confirmado")),"Atualizar status",IF(AND($F247="Compareceu",$P247&gt;0.005),"Cobrar",IF($F247="Faltou","Falta: reagendar","")))))</f>
        <v>0</v>
      </c>
      <c r="T247" s="29">
        <f>IF($A247="","",DATE(YEAR($A247),MONTH($A247),1))</f>
        <v>46266.0</v>
      </c>
      <c r="U247" s="30">
        <f>IF($S247="CONFIRMAR",MAX($U$4:$U246)+1,"")</f>
        <v>0</v>
      </c>
      <c r="V247" s="30">
        <f>IF(AND($R247="Não",$Q247&lt;&gt;"",$Q247&lt;=Hoje+JanelaRet,$Q247&gt;=Hoje-60),MAX($V$4:$V246)+1,"")</f>
        <v>2</v>
      </c>
    </row>
    <row r="248" spans="1:22">
      <c r="A248" s="16">
        <v>46280</v>
      </c>
      <c r="B248" s="23">
        <v>0.5208333333333334</v>
      </c>
      <c r="C248" s="15" t="s">
        <v>51</v>
      </c>
      <c r="D248" s="15" t="s">
        <v>172</v>
      </c>
      <c r="E248" s="15" t="s">
        <v>60</v>
      </c>
      <c r="F248" s="24" t="s">
        <v>79</v>
      </c>
      <c r="G248" s="17">
        <v>108</v>
      </c>
      <c r="H248" s="17">
        <v>108</v>
      </c>
      <c r="I248" s="15" t="s">
        <v>73</v>
      </c>
      <c r="J248" s="25" t="str">
        <f>IF($D248="","",IFERROR(INDEX(PacNome,MATCH($D248,PacCod,0)),"Paciente não cadastrado"))</f>
        <v>Paciente 025</v>
      </c>
      <c r="K248" s="26" t="str">
        <f>IF($D248="","",IFERROR(INDEX(PacConv,MATCH($D248,PacCod,0))&amp;"",""))</f>
        <v>Convênio A</v>
      </c>
      <c r="L248" s="26" t="str">
        <f>IF($A248="","",CHOOSE(WEEKDAY($A248,2),"Seg","Ter","Qua","Qui","Sex","Sáb","Dom"))</f>
        <v>Ter</v>
      </c>
      <c r="M248" s="27">
        <f>IF($E248="","",IF($G248&lt;&gt;"",$G248,IFERROR(INDEX(ProcValor,MATCH($E248,ProcNome,0)),0)))</f>
        <v>108</v>
      </c>
      <c r="N248" s="27">
        <f>IF($M248="","",IF($F248="Compareceu",$M248,0))</f>
        <v>108</v>
      </c>
      <c r="O248" s="27">
        <f>IF($M248="","",IF($F248="Faltou",$M248,0))</f>
        <v>0</v>
      </c>
      <c r="P248" s="27">
        <f>IF($M248="","",IF($F248="Compareceu",MAX(0,$M248-N($H248)),0))</f>
        <v>0</v>
      </c>
      <c r="Q248" s="19">
        <f>IF(AND($F248="Compareceu",$E248&lt;&gt;"",$A248&lt;&gt;""),IF(IFERROR(INDEX(ProcRet,MATCH($E248,ProcNome,0)),0)&gt;0,$A248+INDEX(ProcRet,MATCH($E248,ProcNome,0)),""),"")</f>
        <v>46460.0</v>
      </c>
      <c r="R248" s="26" t="str">
        <f>IF($Q248="","",IF(COUNTIFS(AgPac,$D248,AgData,"&gt;"&amp;$A248,AgStatus,"&lt;&gt;Cancelado",AgStatus,"&lt;&gt;Remarcado")&gt;0,"Sim","Não"))</f>
        <v>Sim</v>
      </c>
      <c r="S248" s="28">
        <f>IF($A248="","",IF(AND($F248="Agendado",$A248-Hoje&gt;=0,$A248-Hoje&lt;=DiasConf),"CONFIRMAR",IF(AND($A248&lt;Hoje,OR($F248="Agendado",$F248="Confirmado")),"Atualizar status",IF(AND($F248="Compareceu",$P248&gt;0.005),"Cobrar",IF($F248="Faltou","Falta: reagendar","")))))</f>
        <v>0</v>
      </c>
      <c r="T248" s="29">
        <f>IF($A248="","",DATE(YEAR($A248),MONTH($A248),1))</f>
        <v>46266.0</v>
      </c>
      <c r="U248" s="30">
        <f>IF($S248="CONFIRMAR",MAX($U$4:$U247)+1,"")</f>
        <v>0</v>
      </c>
      <c r="V248" s="30">
        <f>IF(AND($R248="Não",$Q248&lt;&gt;"",$Q248&lt;=Hoje+JanelaRet,$Q248&gt;=Hoje-60),MAX($V$4:$V247)+1,"")</f>
        <v>0</v>
      </c>
    </row>
    <row r="249" spans="1:22">
      <c r="A249" s="16">
        <v>46281</v>
      </c>
      <c r="B249" s="23">
        <v>0.3333333333333333</v>
      </c>
      <c r="C249" s="15" t="s">
        <v>52</v>
      </c>
      <c r="D249" s="15" t="s">
        <v>109</v>
      </c>
      <c r="E249" s="15" t="s">
        <v>63</v>
      </c>
      <c r="F249" s="24" t="s">
        <v>79</v>
      </c>
      <c r="G249" s="17"/>
      <c r="H249" s="17">
        <v>140</v>
      </c>
      <c r="I249" s="15" t="s">
        <v>73</v>
      </c>
      <c r="J249" s="25" t="str">
        <f>IF($D249="","",IFERROR(INDEX(PacNome,MATCH($D249,PacCod,0)),"Paciente não cadastrado"))</f>
        <v>Paciente 004</v>
      </c>
      <c r="K249" s="26" t="str">
        <f>IF($D249="","",IFERROR(INDEX(PacConv,MATCH($D249,PacCod,0))&amp;"",""))</f>
        <v>Particular</v>
      </c>
      <c r="L249" s="26" t="str">
        <f>IF($A249="","",CHOOSE(WEEKDAY($A249,2),"Seg","Ter","Qua","Qui","Sex","Sáb","Dom"))</f>
        <v>Qua</v>
      </c>
      <c r="M249" s="27">
        <f>IF($E249="","",IF($G249&lt;&gt;"",$G249,IFERROR(INDEX(ProcValor,MATCH($E249,ProcNome,0)),0)))</f>
        <v>140</v>
      </c>
      <c r="N249" s="27">
        <f>IF($M249="","",IF($F249="Compareceu",$M249,0))</f>
        <v>140</v>
      </c>
      <c r="O249" s="27">
        <f>IF($M249="","",IF($F249="Faltou",$M249,0))</f>
        <v>0</v>
      </c>
      <c r="P249" s="27">
        <f>IF($M249="","",IF($F249="Compareceu",MAX(0,$M249-N($H249)),0))</f>
        <v>0</v>
      </c>
      <c r="Q249" s="19">
        <f>IF(AND($F249="Compareceu",$E249&lt;&gt;"",$A249&lt;&gt;""),IF(IFERROR(INDEX(ProcRet,MATCH($E249,ProcNome,0)),0)&gt;0,$A249+INDEX(ProcRet,MATCH($E249,ProcNome,0)),""),"")</f>
        <v>46288.0</v>
      </c>
      <c r="R249" s="26" t="str">
        <f>IF($Q249="","",IF(COUNTIFS(AgPac,$D249,AgData,"&gt;"&amp;$A249,AgStatus,"&lt;&gt;Cancelado",AgStatus,"&lt;&gt;Remarcado")&gt;0,"Sim","Não"))</f>
        <v>Não</v>
      </c>
      <c r="S249" s="28">
        <f>IF($A249="","",IF(AND($F249="Agendado",$A249-Hoje&gt;=0,$A249-Hoje&lt;=DiasConf),"CONFIRMAR",IF(AND($A249&lt;Hoje,OR($F249="Agendado",$F249="Confirmado")),"Atualizar status",IF(AND($F249="Compareceu",$P249&gt;0.005),"Cobrar",IF($F249="Faltou","Falta: reagendar","")))))</f>
        <v>0</v>
      </c>
      <c r="T249" s="29">
        <f>IF($A249="","",DATE(YEAR($A249),MONTH($A249),1))</f>
        <v>46266.0</v>
      </c>
      <c r="U249" s="30">
        <f>IF($S249="CONFIRMAR",MAX($U$4:$U248)+1,"")</f>
        <v>0</v>
      </c>
      <c r="V249" s="30">
        <f>IF(AND($R249="Não",$Q249&lt;&gt;"",$Q249&lt;=Hoje+JanelaRet,$Q249&gt;=Hoje-60),MAX($V$4:$V248)+1,"")</f>
        <v>3</v>
      </c>
    </row>
    <row r="250" spans="1:22">
      <c r="A250" s="16">
        <v>46281</v>
      </c>
      <c r="B250" s="23">
        <v>0.4583333333333333</v>
      </c>
      <c r="C250" s="15" t="s">
        <v>52</v>
      </c>
      <c r="D250" s="15" t="s">
        <v>205</v>
      </c>
      <c r="E250" s="15" t="s">
        <v>59</v>
      </c>
      <c r="F250" s="24" t="s">
        <v>79</v>
      </c>
      <c r="G250" s="17">
        <v>90</v>
      </c>
      <c r="H250" s="17">
        <v>90</v>
      </c>
      <c r="I250" s="15" t="s">
        <v>72</v>
      </c>
      <c r="J250" s="25" t="str">
        <f>IF($D250="","",IFERROR(INDEX(PacNome,MATCH($D250,PacCod,0)),"Paciente não cadastrado"))</f>
        <v>Paciente 036</v>
      </c>
      <c r="K250" s="26" t="str">
        <f>IF($D250="","",IFERROR(INDEX(PacConv,MATCH($D250,PacCod,0))&amp;"",""))</f>
        <v>Convênio B</v>
      </c>
      <c r="L250" s="26" t="str">
        <f>IF($A250="","",CHOOSE(WEEKDAY($A250,2),"Seg","Ter","Qua","Qui","Sex","Sáb","Dom"))</f>
        <v>Qua</v>
      </c>
      <c r="M250" s="27">
        <f>IF($E250="","",IF($G250&lt;&gt;"",$G250,IFERROR(INDEX(ProcValor,MATCH($E250,ProcNome,0)),0)))</f>
        <v>90</v>
      </c>
      <c r="N250" s="27">
        <f>IF($M250="","",IF($F250="Compareceu",$M250,0))</f>
        <v>90</v>
      </c>
      <c r="O250" s="27">
        <f>IF($M250="","",IF($F250="Faltou",$M250,0))</f>
        <v>0</v>
      </c>
      <c r="P250" s="27">
        <f>IF($M250="","",IF($F250="Compareceu",MAX(0,$M250-N($H250)),0))</f>
        <v>0</v>
      </c>
      <c r="Q250" s="19">
        <f>IF(AND($F250="Compareceu",$E250&lt;&gt;"",$A250&lt;&gt;""),IF(IFERROR(INDEX(ProcRet,MATCH($E250,ProcNome,0)),0)&gt;0,$A250+INDEX(ProcRet,MATCH($E250,ProcNome,0)),""),"")</f>
        <v>0</v>
      </c>
      <c r="R250" s="26">
        <f>IF($Q250="","",IF(COUNTIFS(AgPac,$D250,AgData,"&gt;"&amp;$A250,AgStatus,"&lt;&gt;Cancelado",AgStatus,"&lt;&gt;Remarcado")&gt;0,"Sim","Não"))</f>
        <v>0</v>
      </c>
      <c r="S250" s="28">
        <f>IF($A250="","",IF(AND($F250="Agendado",$A250-Hoje&gt;=0,$A250-Hoje&lt;=DiasConf),"CONFIRMAR",IF(AND($A250&lt;Hoje,OR($F250="Agendado",$F250="Confirmado")),"Atualizar status",IF(AND($F250="Compareceu",$P250&gt;0.005),"Cobrar",IF($F250="Faltou","Falta: reagendar","")))))</f>
        <v>0</v>
      </c>
      <c r="T250" s="29">
        <f>IF($A250="","",DATE(YEAR($A250),MONTH($A250),1))</f>
        <v>46266.0</v>
      </c>
      <c r="U250" s="30">
        <f>IF($S250="CONFIRMAR",MAX($U$4:$U249)+1,"")</f>
        <v>0</v>
      </c>
      <c r="V250" s="30">
        <f>IF(AND($R250="Não",$Q250&lt;&gt;"",$Q250&lt;=Hoje+JanelaRet,$Q250&gt;=Hoje-60),MAX($V$4:$V249)+1,"")</f>
        <v>0</v>
      </c>
    </row>
    <row r="251" spans="1:22">
      <c r="A251" s="16">
        <v>46281</v>
      </c>
      <c r="B251" s="23">
        <v>0.5</v>
      </c>
      <c r="C251" s="15" t="s">
        <v>53</v>
      </c>
      <c r="D251" s="15" t="s">
        <v>169</v>
      </c>
      <c r="E251" s="15" t="s">
        <v>63</v>
      </c>
      <c r="F251" s="24" t="s">
        <v>79</v>
      </c>
      <c r="G251" s="17"/>
      <c r="H251" s="17"/>
      <c r="I251" s="15"/>
      <c r="J251" s="25" t="str">
        <f>IF($D251="","",IFERROR(INDEX(PacNome,MATCH($D251,PacCod,0)),"Paciente não cadastrado"))</f>
        <v>Paciente 024</v>
      </c>
      <c r="K251" s="26" t="str">
        <f>IF($D251="","",IFERROR(INDEX(PacConv,MATCH($D251,PacCod,0))&amp;"",""))</f>
        <v>Particular</v>
      </c>
      <c r="L251" s="26" t="str">
        <f>IF($A251="","",CHOOSE(WEEKDAY($A251,2),"Seg","Ter","Qua","Qui","Sex","Sáb","Dom"))</f>
        <v>Qua</v>
      </c>
      <c r="M251" s="27">
        <f>IF($E251="","",IF($G251&lt;&gt;"",$G251,IFERROR(INDEX(ProcValor,MATCH($E251,ProcNome,0)),0)))</f>
        <v>140</v>
      </c>
      <c r="N251" s="27">
        <f>IF($M251="","",IF($F251="Compareceu",$M251,0))</f>
        <v>140</v>
      </c>
      <c r="O251" s="27">
        <f>IF($M251="","",IF($F251="Faltou",$M251,0))</f>
        <v>0</v>
      </c>
      <c r="P251" s="27">
        <f>IF($M251="","",IF($F251="Compareceu",MAX(0,$M251-N($H251)),0))</f>
        <v>140</v>
      </c>
      <c r="Q251" s="19">
        <f>IF(AND($F251="Compareceu",$E251&lt;&gt;"",$A251&lt;&gt;""),IF(IFERROR(INDEX(ProcRet,MATCH($E251,ProcNome,0)),0)&gt;0,$A251+INDEX(ProcRet,MATCH($E251,ProcNome,0)),""),"")</f>
        <v>46288.0</v>
      </c>
      <c r="R251" s="26" t="str">
        <f>IF($Q251="","",IF(COUNTIFS(AgPac,$D251,AgData,"&gt;"&amp;$A251,AgStatus,"&lt;&gt;Cancelado",AgStatus,"&lt;&gt;Remarcado")&gt;0,"Sim","Não"))</f>
        <v>Sim</v>
      </c>
      <c r="S251" s="28" t="str">
        <f>IF($A251="","",IF(AND($F251="Agendado",$A251-Hoje&gt;=0,$A251-Hoje&lt;=DiasConf),"CONFIRMAR",IF(AND($A251&lt;Hoje,OR($F251="Agendado",$F251="Confirmado")),"Atualizar status",IF(AND($F251="Compareceu",$P251&gt;0.005),"Cobrar",IF($F251="Faltou","Falta: reagendar","")))))</f>
        <v>Cobrar</v>
      </c>
      <c r="T251" s="29">
        <f>IF($A251="","",DATE(YEAR($A251),MONTH($A251),1))</f>
        <v>46266.0</v>
      </c>
      <c r="U251" s="30">
        <f>IF($S251="CONFIRMAR",MAX($U$4:$U250)+1,"")</f>
        <v>0</v>
      </c>
      <c r="V251" s="30">
        <f>IF(AND($R251="Não",$Q251&lt;&gt;"",$Q251&lt;=Hoje+JanelaRet,$Q251&gt;=Hoje-60),MAX($V$4:$V250)+1,"")</f>
        <v>0</v>
      </c>
    </row>
    <row r="252" spans="1:22">
      <c r="A252" s="16">
        <v>46281</v>
      </c>
      <c r="B252" s="23">
        <v>0.5833333333333334</v>
      </c>
      <c r="C252" s="15" t="s">
        <v>53</v>
      </c>
      <c r="D252" s="15" t="s">
        <v>139</v>
      </c>
      <c r="E252" s="15" t="s">
        <v>62</v>
      </c>
      <c r="F252" s="24" t="s">
        <v>79</v>
      </c>
      <c r="G252" s="17"/>
      <c r="H252" s="17">
        <v>350</v>
      </c>
      <c r="I252" s="15" t="s">
        <v>74</v>
      </c>
      <c r="J252" s="25" t="str">
        <f>IF($D252="","",IFERROR(INDEX(PacNome,MATCH($D252,PacCod,0)),"Paciente não cadastrado"))</f>
        <v>Paciente 014</v>
      </c>
      <c r="K252" s="26" t="str">
        <f>IF($D252="","",IFERROR(INDEX(PacConv,MATCH($D252,PacCod,0))&amp;"",""))</f>
        <v>Particular</v>
      </c>
      <c r="L252" s="26" t="str">
        <f>IF($A252="","",CHOOSE(WEEKDAY($A252,2),"Seg","Ter","Qua","Qui","Sex","Sáb","Dom"))</f>
        <v>Qua</v>
      </c>
      <c r="M252" s="27">
        <f>IF($E252="","",IF($G252&lt;&gt;"",$G252,IFERROR(INDEX(ProcValor,MATCH($E252,ProcNome,0)),0)))</f>
        <v>350</v>
      </c>
      <c r="N252" s="27">
        <f>IF($M252="","",IF($F252="Compareceu",$M252,0))</f>
        <v>350</v>
      </c>
      <c r="O252" s="27">
        <f>IF($M252="","",IF($F252="Faltou",$M252,0))</f>
        <v>0</v>
      </c>
      <c r="P252" s="27">
        <f>IF($M252="","",IF($F252="Compareceu",MAX(0,$M252-N($H252)),0))</f>
        <v>0</v>
      </c>
      <c r="Q252" s="19">
        <f>IF(AND($F252="Compareceu",$E252&lt;&gt;"",$A252&lt;&gt;""),IF(IFERROR(INDEX(ProcRet,MATCH($E252,ProcNome,0)),0)&gt;0,$A252+INDEX(ProcRet,MATCH($E252,ProcNome,0)),""),"")</f>
        <v>46296.0</v>
      </c>
      <c r="R252" s="26" t="str">
        <f>IF($Q252="","",IF(COUNTIFS(AgPac,$D252,AgData,"&gt;"&amp;$A252,AgStatus,"&lt;&gt;Cancelado",AgStatus,"&lt;&gt;Remarcado")&gt;0,"Sim","Não"))</f>
        <v>Sim</v>
      </c>
      <c r="S252" s="28">
        <f>IF($A252="","",IF(AND($F252="Agendado",$A252-Hoje&gt;=0,$A252-Hoje&lt;=DiasConf),"CONFIRMAR",IF(AND($A252&lt;Hoje,OR($F252="Agendado",$F252="Confirmado")),"Atualizar status",IF(AND($F252="Compareceu",$P252&gt;0.005),"Cobrar",IF($F252="Faltou","Falta: reagendar","")))))</f>
        <v>0</v>
      </c>
      <c r="T252" s="29">
        <f>IF($A252="","",DATE(YEAR($A252),MONTH($A252),1))</f>
        <v>46266.0</v>
      </c>
      <c r="U252" s="30">
        <f>IF($S252="CONFIRMAR",MAX($U$4:$U251)+1,"")</f>
        <v>0</v>
      </c>
      <c r="V252" s="30">
        <f>IF(AND($R252="Não",$Q252&lt;&gt;"",$Q252&lt;=Hoje+JanelaRet,$Q252&gt;=Hoje-60),MAX($V$4:$V251)+1,"")</f>
        <v>0</v>
      </c>
    </row>
    <row r="253" spans="1:22">
      <c r="A253" s="16">
        <v>46281</v>
      </c>
      <c r="B253" s="23">
        <v>0.6875</v>
      </c>
      <c r="C253" s="15" t="s">
        <v>52</v>
      </c>
      <c r="D253" s="15" t="s">
        <v>118</v>
      </c>
      <c r="E253" s="15" t="s">
        <v>58</v>
      </c>
      <c r="F253" s="24" t="s">
        <v>79</v>
      </c>
      <c r="G253" s="17"/>
      <c r="H253" s="17">
        <v>250</v>
      </c>
      <c r="I253" s="15" t="s">
        <v>72</v>
      </c>
      <c r="J253" s="25" t="str">
        <f>IF($D253="","",IFERROR(INDEX(PacNome,MATCH($D253,PacCod,0)),"Paciente não cadastrado"))</f>
        <v>Paciente 007</v>
      </c>
      <c r="K253" s="26" t="str">
        <f>IF($D253="","",IFERROR(INDEX(PacConv,MATCH($D253,PacCod,0))&amp;"",""))</f>
        <v>Particular</v>
      </c>
      <c r="L253" s="26" t="str">
        <f>IF($A253="","",CHOOSE(WEEKDAY($A253,2),"Seg","Ter","Qua","Qui","Sex","Sáb","Dom"))</f>
        <v>Qua</v>
      </c>
      <c r="M253" s="27">
        <f>IF($E253="","",IF($G253&lt;&gt;"",$G253,IFERROR(INDEX(ProcValor,MATCH($E253,ProcNome,0)),0)))</f>
        <v>250</v>
      </c>
      <c r="N253" s="27">
        <f>IF($M253="","",IF($F253="Compareceu",$M253,0))</f>
        <v>250</v>
      </c>
      <c r="O253" s="27">
        <f>IF($M253="","",IF($F253="Faltou",$M253,0))</f>
        <v>0</v>
      </c>
      <c r="P253" s="27">
        <f>IF($M253="","",IF($F253="Compareceu",MAX(0,$M253-N($H253)),0))</f>
        <v>0</v>
      </c>
      <c r="Q253" s="19">
        <f>IF(AND($F253="Compareceu",$E253&lt;&gt;"",$A253&lt;&gt;""),IF(IFERROR(INDEX(ProcRet,MATCH($E253,ProcNome,0)),0)&gt;0,$A253+INDEX(ProcRet,MATCH($E253,ProcNome,0)),""),"")</f>
        <v>0</v>
      </c>
      <c r="R253" s="26">
        <f>IF($Q253="","",IF(COUNTIFS(AgPac,$D253,AgData,"&gt;"&amp;$A253,AgStatus,"&lt;&gt;Cancelado",AgStatus,"&lt;&gt;Remarcado")&gt;0,"Sim","Não"))</f>
        <v>0</v>
      </c>
      <c r="S253" s="28">
        <f>IF($A253="","",IF(AND($F253="Agendado",$A253-Hoje&gt;=0,$A253-Hoje&lt;=DiasConf),"CONFIRMAR",IF(AND($A253&lt;Hoje,OR($F253="Agendado",$F253="Confirmado")),"Atualizar status",IF(AND($F253="Compareceu",$P253&gt;0.005),"Cobrar",IF($F253="Faltou","Falta: reagendar","")))))</f>
        <v>0</v>
      </c>
      <c r="T253" s="29">
        <f>IF($A253="","",DATE(YEAR($A253),MONTH($A253),1))</f>
        <v>46266.0</v>
      </c>
      <c r="U253" s="30">
        <f>IF($S253="CONFIRMAR",MAX($U$4:$U252)+1,"")</f>
        <v>0</v>
      </c>
      <c r="V253" s="30">
        <f>IF(AND($R253="Não",$Q253&lt;&gt;"",$Q253&lt;=Hoje+JanelaRet,$Q253&gt;=Hoje-60),MAX($V$4:$V252)+1,"")</f>
        <v>0</v>
      </c>
    </row>
    <row r="254" spans="1:22">
      <c r="A254" s="16">
        <v>46282</v>
      </c>
      <c r="B254" s="23">
        <v>0.3541666666666667</v>
      </c>
      <c r="C254" s="15" t="s">
        <v>52</v>
      </c>
      <c r="D254" s="15" t="s">
        <v>232</v>
      </c>
      <c r="E254" s="15" t="s">
        <v>64</v>
      </c>
      <c r="F254" s="24" t="s">
        <v>81</v>
      </c>
      <c r="G254" s="17"/>
      <c r="H254" s="17"/>
      <c r="I254" s="15"/>
      <c r="J254" s="25" t="str">
        <f>IF($D254="","",IFERROR(INDEX(PacNome,MATCH($D254,PacCod,0)),"Paciente não cadastrado"))</f>
        <v>Paciente 045</v>
      </c>
      <c r="K254" s="26" t="str">
        <f>IF($D254="","",IFERROR(INDEX(PacConv,MATCH($D254,PacCod,0))&amp;"",""))</f>
        <v>Convênio A</v>
      </c>
      <c r="L254" s="26" t="str">
        <f>IF($A254="","",CHOOSE(WEEKDAY($A254,2),"Seg","Ter","Qua","Qui","Sex","Sáb","Dom"))</f>
        <v>Qui</v>
      </c>
      <c r="M254" s="27">
        <f>IF($E254="","",IF($G254&lt;&gt;"",$G254,IFERROR(INDEX(ProcValor,MATCH($E254,ProcNome,0)),0)))</f>
        <v>90</v>
      </c>
      <c r="N254" s="27">
        <f>IF($M254="","",IF($F254="Compareceu",$M254,0))</f>
        <v>0</v>
      </c>
      <c r="O254" s="27">
        <f>IF($M254="","",IF($F254="Faltou",$M254,0))</f>
        <v>0</v>
      </c>
      <c r="P254" s="27">
        <f>IF($M254="","",IF($F254="Compareceu",MAX(0,$M254-N($H254)),0))</f>
        <v>0</v>
      </c>
      <c r="Q254" s="19">
        <f>IF(AND($F254="Compareceu",$E254&lt;&gt;"",$A254&lt;&gt;""),IF(IFERROR(INDEX(ProcRet,MATCH($E254,ProcNome,0)),0)&gt;0,$A254+INDEX(ProcRet,MATCH($E254,ProcNome,0)),""),"")</f>
        <v>0</v>
      </c>
      <c r="R254" s="26">
        <f>IF($Q254="","",IF(COUNTIFS(AgPac,$D254,AgData,"&gt;"&amp;$A254,AgStatus,"&lt;&gt;Cancelado",AgStatus,"&lt;&gt;Remarcado")&gt;0,"Sim","Não"))</f>
        <v>0</v>
      </c>
      <c r="S254" s="28">
        <f>IF($A254="","",IF(AND($F254="Agendado",$A254-Hoje&gt;=0,$A254-Hoje&lt;=DiasConf),"CONFIRMAR",IF(AND($A254&lt;Hoje,OR($F254="Agendado",$F254="Confirmado")),"Atualizar status",IF(AND($F254="Compareceu",$P254&gt;0.005),"Cobrar",IF($F254="Faltou","Falta: reagendar","")))))</f>
        <v>0</v>
      </c>
      <c r="T254" s="29">
        <f>IF($A254="","",DATE(YEAR($A254),MONTH($A254),1))</f>
        <v>46266.0</v>
      </c>
      <c r="U254" s="30">
        <f>IF($S254="CONFIRMAR",MAX($U$4:$U253)+1,"")</f>
        <v>0</v>
      </c>
      <c r="V254" s="30">
        <f>IF(AND($R254="Não",$Q254&lt;&gt;"",$Q254&lt;=Hoje+JanelaRet,$Q254&gt;=Hoje-60),MAX($V$4:$V253)+1,"")</f>
        <v>0</v>
      </c>
    </row>
    <row r="255" spans="1:22">
      <c r="A255" s="16">
        <v>46282</v>
      </c>
      <c r="B255" s="23">
        <v>0.4166666666666667</v>
      </c>
      <c r="C255" s="15" t="s">
        <v>51</v>
      </c>
      <c r="D255" s="15" t="s">
        <v>112</v>
      </c>
      <c r="E255" s="15" t="s">
        <v>63</v>
      </c>
      <c r="F255" s="24" t="s">
        <v>81</v>
      </c>
      <c r="G255" s="17"/>
      <c r="H255" s="17"/>
      <c r="I255" s="15"/>
      <c r="J255" s="25" t="str">
        <f>IF($D255="","",IFERROR(INDEX(PacNome,MATCH($D255,PacCod,0)),"Paciente não cadastrado"))</f>
        <v>Paciente 005</v>
      </c>
      <c r="K255" s="26" t="str">
        <f>IF($D255="","",IFERROR(INDEX(PacConv,MATCH($D255,PacCod,0))&amp;"",""))</f>
        <v>Particular</v>
      </c>
      <c r="L255" s="26" t="str">
        <f>IF($A255="","",CHOOSE(WEEKDAY($A255,2),"Seg","Ter","Qua","Qui","Sex","Sáb","Dom"))</f>
        <v>Qui</v>
      </c>
      <c r="M255" s="27">
        <f>IF($E255="","",IF($G255&lt;&gt;"",$G255,IFERROR(INDEX(ProcValor,MATCH($E255,ProcNome,0)),0)))</f>
        <v>140</v>
      </c>
      <c r="N255" s="27">
        <f>IF($M255="","",IF($F255="Compareceu",$M255,0))</f>
        <v>0</v>
      </c>
      <c r="O255" s="27">
        <f>IF($M255="","",IF($F255="Faltou",$M255,0))</f>
        <v>0</v>
      </c>
      <c r="P255" s="27">
        <f>IF($M255="","",IF($F255="Compareceu",MAX(0,$M255-N($H255)),0))</f>
        <v>0</v>
      </c>
      <c r="Q255" s="19">
        <f>IF(AND($F255="Compareceu",$E255&lt;&gt;"",$A255&lt;&gt;""),IF(IFERROR(INDEX(ProcRet,MATCH($E255,ProcNome,0)),0)&gt;0,$A255+INDEX(ProcRet,MATCH($E255,ProcNome,0)),""),"")</f>
        <v>0</v>
      </c>
      <c r="R255" s="26">
        <f>IF($Q255="","",IF(COUNTIFS(AgPac,$D255,AgData,"&gt;"&amp;$A255,AgStatus,"&lt;&gt;Cancelado",AgStatus,"&lt;&gt;Remarcado")&gt;0,"Sim","Não"))</f>
        <v>0</v>
      </c>
      <c r="S255" s="28">
        <f>IF($A255="","",IF(AND($F255="Agendado",$A255-Hoje&gt;=0,$A255-Hoje&lt;=DiasConf),"CONFIRMAR",IF(AND($A255&lt;Hoje,OR($F255="Agendado",$F255="Confirmado")),"Atualizar status",IF(AND($F255="Compareceu",$P255&gt;0.005),"Cobrar",IF($F255="Faltou","Falta: reagendar","")))))</f>
        <v>0</v>
      </c>
      <c r="T255" s="29">
        <f>IF($A255="","",DATE(YEAR($A255),MONTH($A255),1))</f>
        <v>46266.0</v>
      </c>
      <c r="U255" s="30">
        <f>IF($S255="CONFIRMAR",MAX($U$4:$U254)+1,"")</f>
        <v>0</v>
      </c>
      <c r="V255" s="30">
        <f>IF(AND($R255="Não",$Q255&lt;&gt;"",$Q255&lt;=Hoje+JanelaRet,$Q255&gt;=Hoje-60),MAX($V$4:$V254)+1,"")</f>
        <v>0</v>
      </c>
    </row>
    <row r="256" spans="1:22">
      <c r="A256" s="16">
        <v>46282</v>
      </c>
      <c r="B256" s="23">
        <v>0.4583333333333333</v>
      </c>
      <c r="C256" s="15" t="s">
        <v>53</v>
      </c>
      <c r="D256" s="15" t="s">
        <v>214</v>
      </c>
      <c r="E256" s="15" t="s">
        <v>62</v>
      </c>
      <c r="F256" s="24" t="s">
        <v>79</v>
      </c>
      <c r="G256" s="17"/>
      <c r="H256" s="17">
        <v>350</v>
      </c>
      <c r="I256" s="15" t="s">
        <v>71</v>
      </c>
      <c r="J256" s="25" t="str">
        <f>IF($D256="","",IFERROR(INDEX(PacNome,MATCH($D256,PacCod,0)),"Paciente não cadastrado"))</f>
        <v>Paciente 039</v>
      </c>
      <c r="K256" s="26" t="str">
        <f>IF($D256="","",IFERROR(INDEX(PacConv,MATCH($D256,PacCod,0))&amp;"",""))</f>
        <v>Particular</v>
      </c>
      <c r="L256" s="26" t="str">
        <f>IF($A256="","",CHOOSE(WEEKDAY($A256,2),"Seg","Ter","Qua","Qui","Sex","Sáb","Dom"))</f>
        <v>Qui</v>
      </c>
      <c r="M256" s="27">
        <f>IF($E256="","",IF($G256&lt;&gt;"",$G256,IFERROR(INDEX(ProcValor,MATCH($E256,ProcNome,0)),0)))</f>
        <v>350</v>
      </c>
      <c r="N256" s="27">
        <f>IF($M256="","",IF($F256="Compareceu",$M256,0))</f>
        <v>350</v>
      </c>
      <c r="O256" s="27">
        <f>IF($M256="","",IF($F256="Faltou",$M256,0))</f>
        <v>0</v>
      </c>
      <c r="P256" s="27">
        <f>IF($M256="","",IF($F256="Compareceu",MAX(0,$M256-N($H256)),0))</f>
        <v>0</v>
      </c>
      <c r="Q256" s="19">
        <f>IF(AND($F256="Compareceu",$E256&lt;&gt;"",$A256&lt;&gt;""),IF(IFERROR(INDEX(ProcRet,MATCH($E256,ProcNome,0)),0)&gt;0,$A256+INDEX(ProcRet,MATCH($E256,ProcNome,0)),""),"")</f>
        <v>46297.0</v>
      </c>
      <c r="R256" s="26" t="str">
        <f>IF($Q256="","",IF(COUNTIFS(AgPac,$D256,AgData,"&gt;"&amp;$A256,AgStatus,"&lt;&gt;Cancelado",AgStatus,"&lt;&gt;Remarcado")&gt;0,"Sim","Não"))</f>
        <v>Sim</v>
      </c>
      <c r="S256" s="28">
        <f>IF($A256="","",IF(AND($F256="Agendado",$A256-Hoje&gt;=0,$A256-Hoje&lt;=DiasConf),"CONFIRMAR",IF(AND($A256&lt;Hoje,OR($F256="Agendado",$F256="Confirmado")),"Atualizar status",IF(AND($F256="Compareceu",$P256&gt;0.005),"Cobrar",IF($F256="Faltou","Falta: reagendar","")))))</f>
        <v>0</v>
      </c>
      <c r="T256" s="29">
        <f>IF($A256="","",DATE(YEAR($A256),MONTH($A256),1))</f>
        <v>46266.0</v>
      </c>
      <c r="U256" s="30">
        <f>IF($S256="CONFIRMAR",MAX($U$4:$U255)+1,"")</f>
        <v>0</v>
      </c>
      <c r="V256" s="30">
        <f>IF(AND($R256="Não",$Q256&lt;&gt;"",$Q256&lt;=Hoje+JanelaRet,$Q256&gt;=Hoje-60),MAX($V$4:$V255)+1,"")</f>
        <v>0</v>
      </c>
    </row>
    <row r="257" spans="1:22">
      <c r="A257" s="16">
        <v>46283</v>
      </c>
      <c r="B257" s="23">
        <v>0.3333333333333333</v>
      </c>
      <c r="C257" s="15" t="s">
        <v>53</v>
      </c>
      <c r="D257" s="15" t="s">
        <v>148</v>
      </c>
      <c r="E257" s="15" t="s">
        <v>63</v>
      </c>
      <c r="F257" s="24" t="s">
        <v>79</v>
      </c>
      <c r="G257" s="17"/>
      <c r="H257" s="17">
        <v>140</v>
      </c>
      <c r="I257" s="15" t="s">
        <v>73</v>
      </c>
      <c r="J257" s="25" t="str">
        <f>IF($D257="","",IFERROR(INDEX(PacNome,MATCH($D257,PacCod,0)),"Paciente não cadastrado"))</f>
        <v>Paciente 017</v>
      </c>
      <c r="K257" s="26" t="str">
        <f>IF($D257="","",IFERROR(INDEX(PacConv,MATCH($D257,PacCod,0))&amp;"",""))</f>
        <v>Particular</v>
      </c>
      <c r="L257" s="26" t="str">
        <f>IF($A257="","",CHOOSE(WEEKDAY($A257,2),"Seg","Ter","Qua","Qui","Sex","Sáb","Dom"))</f>
        <v>Sex</v>
      </c>
      <c r="M257" s="27">
        <f>IF($E257="","",IF($G257&lt;&gt;"",$G257,IFERROR(INDEX(ProcValor,MATCH($E257,ProcNome,0)),0)))</f>
        <v>140</v>
      </c>
      <c r="N257" s="27">
        <f>IF($M257="","",IF($F257="Compareceu",$M257,0))</f>
        <v>140</v>
      </c>
      <c r="O257" s="27">
        <f>IF($M257="","",IF($F257="Faltou",$M257,0))</f>
        <v>0</v>
      </c>
      <c r="P257" s="27">
        <f>IF($M257="","",IF($F257="Compareceu",MAX(0,$M257-N($H257)),0))</f>
        <v>0</v>
      </c>
      <c r="Q257" s="19">
        <f>IF(AND($F257="Compareceu",$E257&lt;&gt;"",$A257&lt;&gt;""),IF(IFERROR(INDEX(ProcRet,MATCH($E257,ProcNome,0)),0)&gt;0,$A257+INDEX(ProcRet,MATCH($E257,ProcNome,0)),""),"")</f>
        <v>46290.0</v>
      </c>
      <c r="R257" s="26" t="str">
        <f>IF($Q257="","",IF(COUNTIFS(AgPac,$D257,AgData,"&gt;"&amp;$A257,AgStatus,"&lt;&gt;Cancelado",AgStatus,"&lt;&gt;Remarcado")&gt;0,"Sim","Não"))</f>
        <v>Não</v>
      </c>
      <c r="S257" s="28">
        <f>IF($A257="","",IF(AND($F257="Agendado",$A257-Hoje&gt;=0,$A257-Hoje&lt;=DiasConf),"CONFIRMAR",IF(AND($A257&lt;Hoje,OR($F257="Agendado",$F257="Confirmado")),"Atualizar status",IF(AND($F257="Compareceu",$P257&gt;0.005),"Cobrar",IF($F257="Faltou","Falta: reagendar","")))))</f>
        <v>0</v>
      </c>
      <c r="T257" s="29">
        <f>IF($A257="","",DATE(YEAR($A257),MONTH($A257),1))</f>
        <v>46266.0</v>
      </c>
      <c r="U257" s="30">
        <f>IF($S257="CONFIRMAR",MAX($U$4:$U256)+1,"")</f>
        <v>0</v>
      </c>
      <c r="V257" s="30">
        <f>IF(AND($R257="Não",$Q257&lt;&gt;"",$Q257&lt;=Hoje+JanelaRet,$Q257&gt;=Hoje-60),MAX($V$4:$V256)+1,"")</f>
        <v>4</v>
      </c>
    </row>
    <row r="258" spans="1:22">
      <c r="A258" s="16">
        <v>46283</v>
      </c>
      <c r="B258" s="23">
        <v>0.3958333333333333</v>
      </c>
      <c r="C258" s="15" t="s">
        <v>54</v>
      </c>
      <c r="D258" s="15" t="s">
        <v>175</v>
      </c>
      <c r="E258" s="15" t="s">
        <v>60</v>
      </c>
      <c r="F258" s="24" t="s">
        <v>79</v>
      </c>
      <c r="G258" s="17">
        <v>108</v>
      </c>
      <c r="H258" s="17">
        <v>108</v>
      </c>
      <c r="I258" s="15" t="s">
        <v>75</v>
      </c>
      <c r="J258" s="25" t="str">
        <f>IF($D258="","",IFERROR(INDEX(PacNome,MATCH($D258,PacCod,0)),"Paciente não cadastrado"))</f>
        <v>Paciente 026</v>
      </c>
      <c r="K258" s="26" t="str">
        <f>IF($D258="","",IFERROR(INDEX(PacConv,MATCH($D258,PacCod,0))&amp;"",""))</f>
        <v>Convênio A</v>
      </c>
      <c r="L258" s="26" t="str">
        <f>IF($A258="","",CHOOSE(WEEKDAY($A258,2),"Seg","Ter","Qua","Qui","Sex","Sáb","Dom"))</f>
        <v>Sex</v>
      </c>
      <c r="M258" s="27">
        <f>IF($E258="","",IF($G258&lt;&gt;"",$G258,IFERROR(INDEX(ProcValor,MATCH($E258,ProcNome,0)),0)))</f>
        <v>108</v>
      </c>
      <c r="N258" s="27">
        <f>IF($M258="","",IF($F258="Compareceu",$M258,0))</f>
        <v>108</v>
      </c>
      <c r="O258" s="27">
        <f>IF($M258="","",IF($F258="Faltou",$M258,0))</f>
        <v>0</v>
      </c>
      <c r="P258" s="27">
        <f>IF($M258="","",IF($F258="Compareceu",MAX(0,$M258-N($H258)),0))</f>
        <v>0</v>
      </c>
      <c r="Q258" s="19">
        <f>IF(AND($F258="Compareceu",$E258&lt;&gt;"",$A258&lt;&gt;""),IF(IFERROR(INDEX(ProcRet,MATCH($E258,ProcNome,0)),0)&gt;0,$A258+INDEX(ProcRet,MATCH($E258,ProcNome,0)),""),"")</f>
        <v>46463.0</v>
      </c>
      <c r="R258" s="26" t="str">
        <f>IF($Q258="","",IF(COUNTIFS(AgPac,$D258,AgData,"&gt;"&amp;$A258,AgStatus,"&lt;&gt;Cancelado",AgStatus,"&lt;&gt;Remarcado")&gt;0,"Sim","Não"))</f>
        <v>Sim</v>
      </c>
      <c r="S258" s="28">
        <f>IF($A258="","",IF(AND($F258="Agendado",$A258-Hoje&gt;=0,$A258-Hoje&lt;=DiasConf),"CONFIRMAR",IF(AND($A258&lt;Hoje,OR($F258="Agendado",$F258="Confirmado")),"Atualizar status",IF(AND($F258="Compareceu",$P258&gt;0.005),"Cobrar",IF($F258="Faltou","Falta: reagendar","")))))</f>
        <v>0</v>
      </c>
      <c r="T258" s="29">
        <f>IF($A258="","",DATE(YEAR($A258),MONTH($A258),1))</f>
        <v>46266.0</v>
      </c>
      <c r="U258" s="30">
        <f>IF($S258="CONFIRMAR",MAX($U$4:$U257)+1,"")</f>
        <v>0</v>
      </c>
      <c r="V258" s="30">
        <f>IF(AND($R258="Não",$Q258&lt;&gt;"",$Q258&lt;=Hoje+JanelaRet,$Q258&gt;=Hoje-60),MAX($V$4:$V257)+1,"")</f>
        <v>0</v>
      </c>
    </row>
    <row r="259" spans="1:22">
      <c r="A259" s="16">
        <v>46283</v>
      </c>
      <c r="B259" s="23">
        <v>0.4166666666666667</v>
      </c>
      <c r="C259" s="15" t="s">
        <v>52</v>
      </c>
      <c r="D259" s="15" t="s">
        <v>172</v>
      </c>
      <c r="E259" s="15" t="s">
        <v>63</v>
      </c>
      <c r="F259" s="24" t="s">
        <v>79</v>
      </c>
      <c r="G259" s="17">
        <v>84</v>
      </c>
      <c r="H259" s="17">
        <v>84</v>
      </c>
      <c r="I259" s="15" t="s">
        <v>74</v>
      </c>
      <c r="J259" s="25" t="str">
        <f>IF($D259="","",IFERROR(INDEX(PacNome,MATCH($D259,PacCod,0)),"Paciente não cadastrado"))</f>
        <v>Paciente 025</v>
      </c>
      <c r="K259" s="26" t="str">
        <f>IF($D259="","",IFERROR(INDEX(PacConv,MATCH($D259,PacCod,0))&amp;"",""))</f>
        <v>Convênio A</v>
      </c>
      <c r="L259" s="26" t="str">
        <f>IF($A259="","",CHOOSE(WEEKDAY($A259,2),"Seg","Ter","Qua","Qui","Sex","Sáb","Dom"))</f>
        <v>Sex</v>
      </c>
      <c r="M259" s="27">
        <f>IF($E259="","",IF($G259&lt;&gt;"",$G259,IFERROR(INDEX(ProcValor,MATCH($E259,ProcNome,0)),0)))</f>
        <v>84</v>
      </c>
      <c r="N259" s="27">
        <f>IF($M259="","",IF($F259="Compareceu",$M259,0))</f>
        <v>84</v>
      </c>
      <c r="O259" s="27">
        <f>IF($M259="","",IF($F259="Faltou",$M259,0))</f>
        <v>0</v>
      </c>
      <c r="P259" s="27">
        <f>IF($M259="","",IF($F259="Compareceu",MAX(0,$M259-N($H259)),0))</f>
        <v>0</v>
      </c>
      <c r="Q259" s="19">
        <f>IF(AND($F259="Compareceu",$E259&lt;&gt;"",$A259&lt;&gt;""),IF(IFERROR(INDEX(ProcRet,MATCH($E259,ProcNome,0)),0)&gt;0,$A259+INDEX(ProcRet,MATCH($E259,ProcNome,0)),""),"")</f>
        <v>46290.0</v>
      </c>
      <c r="R259" s="26" t="str">
        <f>IF($Q259="","",IF(COUNTIFS(AgPac,$D259,AgData,"&gt;"&amp;$A259,AgStatus,"&lt;&gt;Cancelado",AgStatus,"&lt;&gt;Remarcado")&gt;0,"Sim","Não"))</f>
        <v>Sim</v>
      </c>
      <c r="S259" s="28">
        <f>IF($A259="","",IF(AND($F259="Agendado",$A259-Hoje&gt;=0,$A259-Hoje&lt;=DiasConf),"CONFIRMAR",IF(AND($A259&lt;Hoje,OR($F259="Agendado",$F259="Confirmado")),"Atualizar status",IF(AND($F259="Compareceu",$P259&gt;0.005),"Cobrar",IF($F259="Faltou","Falta: reagendar","")))))</f>
        <v>0</v>
      </c>
      <c r="T259" s="29">
        <f>IF($A259="","",DATE(YEAR($A259),MONTH($A259),1))</f>
        <v>46266.0</v>
      </c>
      <c r="U259" s="30">
        <f>IF($S259="CONFIRMAR",MAX($U$4:$U258)+1,"")</f>
        <v>0</v>
      </c>
      <c r="V259" s="30">
        <f>IF(AND($R259="Não",$Q259&lt;&gt;"",$Q259&lt;=Hoje+JanelaRet,$Q259&gt;=Hoje-60),MAX($V$4:$V258)+1,"")</f>
        <v>0</v>
      </c>
    </row>
    <row r="260" spans="1:22">
      <c r="A260" s="16">
        <v>46283</v>
      </c>
      <c r="B260" s="23">
        <v>0.5833333333333334</v>
      </c>
      <c r="C260" s="15" t="s">
        <v>52</v>
      </c>
      <c r="D260" s="15" t="s">
        <v>139</v>
      </c>
      <c r="E260" s="15" t="s">
        <v>64</v>
      </c>
      <c r="F260" s="24" t="s">
        <v>80</v>
      </c>
      <c r="G260" s="17"/>
      <c r="H260" s="17"/>
      <c r="I260" s="15"/>
      <c r="J260" s="25" t="str">
        <f>IF($D260="","",IFERROR(INDEX(PacNome,MATCH($D260,PacCod,0)),"Paciente não cadastrado"))</f>
        <v>Paciente 014</v>
      </c>
      <c r="K260" s="26" t="str">
        <f>IF($D260="","",IFERROR(INDEX(PacConv,MATCH($D260,PacCod,0))&amp;"",""))</f>
        <v>Particular</v>
      </c>
      <c r="L260" s="26" t="str">
        <f>IF($A260="","",CHOOSE(WEEKDAY($A260,2),"Seg","Ter","Qua","Qui","Sex","Sáb","Dom"))</f>
        <v>Sex</v>
      </c>
      <c r="M260" s="27">
        <f>IF($E260="","",IF($G260&lt;&gt;"",$G260,IFERROR(INDEX(ProcValor,MATCH($E260,ProcNome,0)),0)))</f>
        <v>90</v>
      </c>
      <c r="N260" s="27">
        <f>IF($M260="","",IF($F260="Compareceu",$M260,0))</f>
        <v>0</v>
      </c>
      <c r="O260" s="27">
        <f>IF($M260="","",IF($F260="Faltou",$M260,0))</f>
        <v>90</v>
      </c>
      <c r="P260" s="27">
        <f>IF($M260="","",IF($F260="Compareceu",MAX(0,$M260-N($H260)),0))</f>
        <v>0</v>
      </c>
      <c r="Q260" s="19">
        <f>IF(AND($F260="Compareceu",$E260&lt;&gt;"",$A260&lt;&gt;""),IF(IFERROR(INDEX(ProcRet,MATCH($E260,ProcNome,0)),0)&gt;0,$A260+INDEX(ProcRet,MATCH($E260,ProcNome,0)),""),"")</f>
        <v>0</v>
      </c>
      <c r="R260" s="26">
        <f>IF($Q260="","",IF(COUNTIFS(AgPac,$D260,AgData,"&gt;"&amp;$A260,AgStatus,"&lt;&gt;Cancelado",AgStatus,"&lt;&gt;Remarcado")&gt;0,"Sim","Não"))</f>
        <v>0</v>
      </c>
      <c r="S260" s="28" t="str">
        <f>IF($A260="","",IF(AND($F260="Agendado",$A260-Hoje&gt;=0,$A260-Hoje&lt;=DiasConf),"CONFIRMAR",IF(AND($A260&lt;Hoje,OR($F260="Agendado",$F260="Confirmado")),"Atualizar status",IF(AND($F260="Compareceu",$P260&gt;0.005),"Cobrar",IF($F260="Faltou","Falta: reagendar","")))))</f>
        <v>Falta: reagendar</v>
      </c>
      <c r="T260" s="29">
        <f>IF($A260="","",DATE(YEAR($A260),MONTH($A260),1))</f>
        <v>46266.0</v>
      </c>
      <c r="U260" s="30">
        <f>IF($S260="CONFIRMAR",MAX($U$4:$U259)+1,"")</f>
        <v>0</v>
      </c>
      <c r="V260" s="30">
        <f>IF(AND($R260="Não",$Q260&lt;&gt;"",$Q260&lt;=Hoje+JanelaRet,$Q260&gt;=Hoje-60),MAX($V$4:$V259)+1,"")</f>
        <v>0</v>
      </c>
    </row>
    <row r="261" spans="1:22">
      <c r="A261" s="16">
        <v>46283</v>
      </c>
      <c r="B261" s="23">
        <v>0.7291666666666666</v>
      </c>
      <c r="C261" s="15" t="s">
        <v>54</v>
      </c>
      <c r="D261" s="15" t="s">
        <v>166</v>
      </c>
      <c r="E261" s="15" t="s">
        <v>61</v>
      </c>
      <c r="F261" s="24" t="s">
        <v>81</v>
      </c>
      <c r="G261" s="17"/>
      <c r="H261" s="17"/>
      <c r="I261" s="15"/>
      <c r="J261" s="25" t="str">
        <f>IF($D261="","",IFERROR(INDEX(PacNome,MATCH($D261,PacCod,0)),"Paciente não cadastrado"))</f>
        <v>Paciente 023</v>
      </c>
      <c r="K261" s="26" t="str">
        <f>IF($D261="","",IFERROR(INDEX(PacConv,MATCH($D261,PacCod,0))&amp;"",""))</f>
        <v>Particular</v>
      </c>
      <c r="L261" s="26" t="str">
        <f>IF($A261="","",CHOOSE(WEEKDAY($A261,2),"Seg","Ter","Qua","Qui","Sex","Sáb","Dom"))</f>
        <v>Sex</v>
      </c>
      <c r="M261" s="27">
        <f>IF($E261="","",IF($G261&lt;&gt;"",$G261,IFERROR(INDEX(ProcValor,MATCH($E261,ProcNome,0)),0)))</f>
        <v>120</v>
      </c>
      <c r="N261" s="27">
        <f>IF($M261="","",IF($F261="Compareceu",$M261,0))</f>
        <v>0</v>
      </c>
      <c r="O261" s="27">
        <f>IF($M261="","",IF($F261="Faltou",$M261,0))</f>
        <v>0</v>
      </c>
      <c r="P261" s="27">
        <f>IF($M261="","",IF($F261="Compareceu",MAX(0,$M261-N($H261)),0))</f>
        <v>0</v>
      </c>
      <c r="Q261" s="19">
        <f>IF(AND($F261="Compareceu",$E261&lt;&gt;"",$A261&lt;&gt;""),IF(IFERROR(INDEX(ProcRet,MATCH($E261,ProcNome,0)),0)&gt;0,$A261+INDEX(ProcRet,MATCH($E261,ProcNome,0)),""),"")</f>
        <v>0</v>
      </c>
      <c r="R261" s="26">
        <f>IF($Q261="","",IF(COUNTIFS(AgPac,$D261,AgData,"&gt;"&amp;$A261,AgStatus,"&lt;&gt;Cancelado",AgStatus,"&lt;&gt;Remarcado")&gt;0,"Sim","Não"))</f>
        <v>0</v>
      </c>
      <c r="S261" s="28">
        <f>IF($A261="","",IF(AND($F261="Agendado",$A261-Hoje&gt;=0,$A261-Hoje&lt;=DiasConf),"CONFIRMAR",IF(AND($A261&lt;Hoje,OR($F261="Agendado",$F261="Confirmado")),"Atualizar status",IF(AND($F261="Compareceu",$P261&gt;0.005),"Cobrar",IF($F261="Faltou","Falta: reagendar","")))))</f>
        <v>0</v>
      </c>
      <c r="T261" s="29">
        <f>IF($A261="","",DATE(YEAR($A261),MONTH($A261),1))</f>
        <v>46266.0</v>
      </c>
      <c r="U261" s="30">
        <f>IF($S261="CONFIRMAR",MAX($U$4:$U260)+1,"")</f>
        <v>0</v>
      </c>
      <c r="V261" s="30">
        <f>IF(AND($R261="Não",$Q261&lt;&gt;"",$Q261&lt;=Hoje+JanelaRet,$Q261&gt;=Hoje-60),MAX($V$4:$V260)+1,"")</f>
        <v>0</v>
      </c>
    </row>
    <row r="262" spans="1:22">
      <c r="A262" s="16">
        <v>46284</v>
      </c>
      <c r="B262" s="23">
        <v>0.375</v>
      </c>
      <c r="C262" s="15" t="s">
        <v>54</v>
      </c>
      <c r="D262" s="15" t="s">
        <v>193</v>
      </c>
      <c r="E262" s="15" t="s">
        <v>59</v>
      </c>
      <c r="F262" s="24" t="s">
        <v>79</v>
      </c>
      <c r="G262" s="17">
        <v>90</v>
      </c>
      <c r="H262" s="17">
        <v>90</v>
      </c>
      <c r="I262" s="15" t="s">
        <v>74</v>
      </c>
      <c r="J262" s="25" t="str">
        <f>IF($D262="","",IFERROR(INDEX(PacNome,MATCH($D262,PacCod,0)),"Paciente não cadastrado"))</f>
        <v>Paciente 032</v>
      </c>
      <c r="K262" s="26" t="str">
        <f>IF($D262="","",IFERROR(INDEX(PacConv,MATCH($D262,PacCod,0))&amp;"",""))</f>
        <v>Convênio A</v>
      </c>
      <c r="L262" s="26" t="str">
        <f>IF($A262="","",CHOOSE(WEEKDAY($A262,2),"Seg","Ter","Qua","Qui","Sex","Sáb","Dom"))</f>
        <v>Sáb</v>
      </c>
      <c r="M262" s="27">
        <f>IF($E262="","",IF($G262&lt;&gt;"",$G262,IFERROR(INDEX(ProcValor,MATCH($E262,ProcNome,0)),0)))</f>
        <v>90</v>
      </c>
      <c r="N262" s="27">
        <f>IF($M262="","",IF($F262="Compareceu",$M262,0))</f>
        <v>90</v>
      </c>
      <c r="O262" s="27">
        <f>IF($M262="","",IF($F262="Faltou",$M262,0))</f>
        <v>0</v>
      </c>
      <c r="P262" s="27">
        <f>IF($M262="","",IF($F262="Compareceu",MAX(0,$M262-N($H262)),0))</f>
        <v>0</v>
      </c>
      <c r="Q262" s="19">
        <f>IF(AND($F262="Compareceu",$E262&lt;&gt;"",$A262&lt;&gt;""),IF(IFERROR(INDEX(ProcRet,MATCH($E262,ProcNome,0)),0)&gt;0,$A262+INDEX(ProcRet,MATCH($E262,ProcNome,0)),""),"")</f>
        <v>0</v>
      </c>
      <c r="R262" s="26">
        <f>IF($Q262="","",IF(COUNTIFS(AgPac,$D262,AgData,"&gt;"&amp;$A262,AgStatus,"&lt;&gt;Cancelado",AgStatus,"&lt;&gt;Remarcado")&gt;0,"Sim","Não"))</f>
        <v>0</v>
      </c>
      <c r="S262" s="28">
        <f>IF($A262="","",IF(AND($F262="Agendado",$A262-Hoje&gt;=0,$A262-Hoje&lt;=DiasConf),"CONFIRMAR",IF(AND($A262&lt;Hoje,OR($F262="Agendado",$F262="Confirmado")),"Atualizar status",IF(AND($F262="Compareceu",$P262&gt;0.005),"Cobrar",IF($F262="Faltou","Falta: reagendar","")))))</f>
        <v>0</v>
      </c>
      <c r="T262" s="29">
        <f>IF($A262="","",DATE(YEAR($A262),MONTH($A262),1))</f>
        <v>46266.0</v>
      </c>
      <c r="U262" s="30">
        <f>IF($S262="CONFIRMAR",MAX($U$4:$U261)+1,"")</f>
        <v>0</v>
      </c>
      <c r="V262" s="30">
        <f>IF(AND($R262="Não",$Q262&lt;&gt;"",$Q262&lt;=Hoje+JanelaRet,$Q262&gt;=Hoje-60),MAX($V$4:$V261)+1,"")</f>
        <v>0</v>
      </c>
    </row>
    <row r="263" spans="1:22">
      <c r="A263" s="16">
        <v>46284</v>
      </c>
      <c r="B263" s="23">
        <v>0.4583333333333333</v>
      </c>
      <c r="C263" s="15" t="s">
        <v>53</v>
      </c>
      <c r="D263" s="15" t="s">
        <v>139</v>
      </c>
      <c r="E263" s="15" t="s">
        <v>63</v>
      </c>
      <c r="F263" s="24" t="s">
        <v>79</v>
      </c>
      <c r="G263" s="17"/>
      <c r="H263" s="17">
        <v>140</v>
      </c>
      <c r="I263" s="15" t="s">
        <v>75</v>
      </c>
      <c r="J263" s="25" t="str">
        <f>IF($D263="","",IFERROR(INDEX(PacNome,MATCH($D263,PacCod,0)),"Paciente não cadastrado"))</f>
        <v>Paciente 014</v>
      </c>
      <c r="K263" s="26" t="str">
        <f>IF($D263="","",IFERROR(INDEX(PacConv,MATCH($D263,PacCod,0))&amp;"",""))</f>
        <v>Particular</v>
      </c>
      <c r="L263" s="26" t="str">
        <f>IF($A263="","",CHOOSE(WEEKDAY($A263,2),"Seg","Ter","Qua","Qui","Sex","Sáb","Dom"))</f>
        <v>Sáb</v>
      </c>
      <c r="M263" s="27">
        <f>IF($E263="","",IF($G263&lt;&gt;"",$G263,IFERROR(INDEX(ProcValor,MATCH($E263,ProcNome,0)),0)))</f>
        <v>140</v>
      </c>
      <c r="N263" s="27">
        <f>IF($M263="","",IF($F263="Compareceu",$M263,0))</f>
        <v>140</v>
      </c>
      <c r="O263" s="27">
        <f>IF($M263="","",IF($F263="Faltou",$M263,0))</f>
        <v>0</v>
      </c>
      <c r="P263" s="27">
        <f>IF($M263="","",IF($F263="Compareceu",MAX(0,$M263-N($H263)),0))</f>
        <v>0</v>
      </c>
      <c r="Q263" s="19">
        <f>IF(AND($F263="Compareceu",$E263&lt;&gt;"",$A263&lt;&gt;""),IF(IFERROR(INDEX(ProcRet,MATCH($E263,ProcNome,0)),0)&gt;0,$A263+INDEX(ProcRet,MATCH($E263,ProcNome,0)),""),"")</f>
        <v>46291.0</v>
      </c>
      <c r="R263" s="26" t="str">
        <f>IF($Q263="","",IF(COUNTIFS(AgPac,$D263,AgData,"&gt;"&amp;$A263,AgStatus,"&lt;&gt;Cancelado",AgStatus,"&lt;&gt;Remarcado")&gt;0,"Sim","Não"))</f>
        <v>Sim</v>
      </c>
      <c r="S263" s="28">
        <f>IF($A263="","",IF(AND($F263="Agendado",$A263-Hoje&gt;=0,$A263-Hoje&lt;=DiasConf),"CONFIRMAR",IF(AND($A263&lt;Hoje,OR($F263="Agendado",$F263="Confirmado")),"Atualizar status",IF(AND($F263="Compareceu",$P263&gt;0.005),"Cobrar",IF($F263="Faltou","Falta: reagendar","")))))</f>
        <v>0</v>
      </c>
      <c r="T263" s="29">
        <f>IF($A263="","",DATE(YEAR($A263),MONTH($A263),1))</f>
        <v>46266.0</v>
      </c>
      <c r="U263" s="30">
        <f>IF($S263="CONFIRMAR",MAX($U$4:$U262)+1,"")</f>
        <v>0</v>
      </c>
      <c r="V263" s="30">
        <f>IF(AND($R263="Não",$Q263&lt;&gt;"",$Q263&lt;=Hoje+JanelaRet,$Q263&gt;=Hoje-60),MAX($V$4:$V262)+1,"")</f>
        <v>0</v>
      </c>
    </row>
    <row r="264" spans="1:22">
      <c r="A264" s="16">
        <v>46284</v>
      </c>
      <c r="B264" s="23">
        <v>0.6041666666666666</v>
      </c>
      <c r="C264" s="15" t="s">
        <v>51</v>
      </c>
      <c r="D264" s="15" t="s">
        <v>103</v>
      </c>
      <c r="E264" s="15" t="s">
        <v>62</v>
      </c>
      <c r="F264" s="24" t="s">
        <v>79</v>
      </c>
      <c r="G264" s="17">
        <v>210</v>
      </c>
      <c r="H264" s="17">
        <v>210</v>
      </c>
      <c r="I264" s="15" t="s">
        <v>75</v>
      </c>
      <c r="J264" s="25" t="str">
        <f>IF($D264="","",IFERROR(INDEX(PacNome,MATCH($D264,PacCod,0)),"Paciente não cadastrado"))</f>
        <v>Paciente 002</v>
      </c>
      <c r="K264" s="26" t="str">
        <f>IF($D264="","",IFERROR(INDEX(PacConv,MATCH($D264,PacCod,0))&amp;"",""))</f>
        <v>Convênio A</v>
      </c>
      <c r="L264" s="26" t="str">
        <f>IF($A264="","",CHOOSE(WEEKDAY($A264,2),"Seg","Ter","Qua","Qui","Sex","Sáb","Dom"))</f>
        <v>Sáb</v>
      </c>
      <c r="M264" s="27">
        <f>IF($E264="","",IF($G264&lt;&gt;"",$G264,IFERROR(INDEX(ProcValor,MATCH($E264,ProcNome,0)),0)))</f>
        <v>210</v>
      </c>
      <c r="N264" s="27">
        <f>IF($M264="","",IF($F264="Compareceu",$M264,0))</f>
        <v>210</v>
      </c>
      <c r="O264" s="27">
        <f>IF($M264="","",IF($F264="Faltou",$M264,0))</f>
        <v>0</v>
      </c>
      <c r="P264" s="27">
        <f>IF($M264="","",IF($F264="Compareceu",MAX(0,$M264-N($H264)),0))</f>
        <v>0</v>
      </c>
      <c r="Q264" s="19">
        <f>IF(AND($F264="Compareceu",$E264&lt;&gt;"",$A264&lt;&gt;""),IF(IFERROR(INDEX(ProcRet,MATCH($E264,ProcNome,0)),0)&gt;0,$A264+INDEX(ProcRet,MATCH($E264,ProcNome,0)),""),"")</f>
        <v>46299.0</v>
      </c>
      <c r="R264" s="26" t="str">
        <f>IF($Q264="","",IF(COUNTIFS(AgPac,$D264,AgData,"&gt;"&amp;$A264,AgStatus,"&lt;&gt;Cancelado",AgStatus,"&lt;&gt;Remarcado")&gt;0,"Sim","Não"))</f>
        <v>Sim</v>
      </c>
      <c r="S264" s="28">
        <f>IF($A264="","",IF(AND($F264="Agendado",$A264-Hoje&gt;=0,$A264-Hoje&lt;=DiasConf),"CONFIRMAR",IF(AND($A264&lt;Hoje,OR($F264="Agendado",$F264="Confirmado")),"Atualizar status",IF(AND($F264="Compareceu",$P264&gt;0.005),"Cobrar",IF($F264="Faltou","Falta: reagendar","")))))</f>
        <v>0</v>
      </c>
      <c r="T264" s="29">
        <f>IF($A264="","",DATE(YEAR($A264),MONTH($A264),1))</f>
        <v>46266.0</v>
      </c>
      <c r="U264" s="30">
        <f>IF($S264="CONFIRMAR",MAX($U$4:$U263)+1,"")</f>
        <v>0</v>
      </c>
      <c r="V264" s="30">
        <f>IF(AND($R264="Não",$Q264&lt;&gt;"",$Q264&lt;=Hoje+JanelaRet,$Q264&gt;=Hoje-60),MAX($V$4:$V263)+1,"")</f>
        <v>0</v>
      </c>
    </row>
    <row r="265" spans="1:22">
      <c r="A265" s="16">
        <v>46286</v>
      </c>
      <c r="B265" s="23">
        <v>0.3333333333333333</v>
      </c>
      <c r="C265" s="15" t="s">
        <v>54</v>
      </c>
      <c r="D265" s="15" t="s">
        <v>235</v>
      </c>
      <c r="E265" s="15" t="s">
        <v>63</v>
      </c>
      <c r="F265" s="24" t="s">
        <v>79</v>
      </c>
      <c r="G265" s="17">
        <v>84</v>
      </c>
      <c r="H265" s="17">
        <v>84</v>
      </c>
      <c r="I265" s="15" t="s">
        <v>71</v>
      </c>
      <c r="J265" s="25" t="str">
        <f>IF($D265="","",IFERROR(INDEX(PacNome,MATCH($D265,PacCod,0)),"Paciente não cadastrado"))</f>
        <v>Paciente 046</v>
      </c>
      <c r="K265" s="26" t="str">
        <f>IF($D265="","",IFERROR(INDEX(PacConv,MATCH($D265,PacCod,0))&amp;"",""))</f>
        <v>Convênio A</v>
      </c>
      <c r="L265" s="26" t="str">
        <f>IF($A265="","",CHOOSE(WEEKDAY($A265,2),"Seg","Ter","Qua","Qui","Sex","Sáb","Dom"))</f>
        <v>Seg</v>
      </c>
      <c r="M265" s="27">
        <f>IF($E265="","",IF($G265&lt;&gt;"",$G265,IFERROR(INDEX(ProcValor,MATCH($E265,ProcNome,0)),0)))</f>
        <v>84</v>
      </c>
      <c r="N265" s="27">
        <f>IF($M265="","",IF($F265="Compareceu",$M265,0))</f>
        <v>84</v>
      </c>
      <c r="O265" s="27">
        <f>IF($M265="","",IF($F265="Faltou",$M265,0))</f>
        <v>0</v>
      </c>
      <c r="P265" s="27">
        <f>IF($M265="","",IF($F265="Compareceu",MAX(0,$M265-N($H265)),0))</f>
        <v>0</v>
      </c>
      <c r="Q265" s="19">
        <f>IF(AND($F265="Compareceu",$E265&lt;&gt;"",$A265&lt;&gt;""),IF(IFERROR(INDEX(ProcRet,MATCH($E265,ProcNome,0)),0)&gt;0,$A265+INDEX(ProcRet,MATCH($E265,ProcNome,0)),""),"")</f>
        <v>46293.0</v>
      </c>
      <c r="R265" s="26" t="str">
        <f>IF($Q265="","",IF(COUNTIFS(AgPac,$D265,AgData,"&gt;"&amp;$A265,AgStatus,"&lt;&gt;Cancelado",AgStatus,"&lt;&gt;Remarcado")&gt;0,"Sim","Não"))</f>
        <v>Sim</v>
      </c>
      <c r="S265" s="28">
        <f>IF($A265="","",IF(AND($F265="Agendado",$A265-Hoje&gt;=0,$A265-Hoje&lt;=DiasConf),"CONFIRMAR",IF(AND($A265&lt;Hoje,OR($F265="Agendado",$F265="Confirmado")),"Atualizar status",IF(AND($F265="Compareceu",$P265&gt;0.005),"Cobrar",IF($F265="Faltou","Falta: reagendar","")))))</f>
        <v>0</v>
      </c>
      <c r="T265" s="29">
        <f>IF($A265="","",DATE(YEAR($A265),MONTH($A265),1))</f>
        <v>46266.0</v>
      </c>
      <c r="U265" s="30">
        <f>IF($S265="CONFIRMAR",MAX($U$4:$U264)+1,"")</f>
        <v>0</v>
      </c>
      <c r="V265" s="30">
        <f>IF(AND($R265="Não",$Q265&lt;&gt;"",$Q265&lt;=Hoje+JanelaRet,$Q265&gt;=Hoje-60),MAX($V$4:$V264)+1,"")</f>
        <v>0</v>
      </c>
    </row>
    <row r="266" spans="1:22">
      <c r="A266" s="16">
        <v>46286</v>
      </c>
      <c r="B266" s="23">
        <v>0.4166666666666667</v>
      </c>
      <c r="C266" s="15" t="s">
        <v>53</v>
      </c>
      <c r="D266" s="15" t="s">
        <v>214</v>
      </c>
      <c r="E266" s="15" t="s">
        <v>61</v>
      </c>
      <c r="F266" s="24" t="s">
        <v>79</v>
      </c>
      <c r="G266" s="17"/>
      <c r="H266" s="17">
        <v>120</v>
      </c>
      <c r="I266" s="15" t="s">
        <v>71</v>
      </c>
      <c r="J266" s="25" t="str">
        <f>IF($D266="","",IFERROR(INDEX(PacNome,MATCH($D266,PacCod,0)),"Paciente não cadastrado"))</f>
        <v>Paciente 039</v>
      </c>
      <c r="K266" s="26" t="str">
        <f>IF($D266="","",IFERROR(INDEX(PacConv,MATCH($D266,PacCod,0))&amp;"",""))</f>
        <v>Particular</v>
      </c>
      <c r="L266" s="26" t="str">
        <f>IF($A266="","",CHOOSE(WEEKDAY($A266,2),"Seg","Ter","Qua","Qui","Sex","Sáb","Dom"))</f>
        <v>Seg</v>
      </c>
      <c r="M266" s="27">
        <f>IF($E266="","",IF($G266&lt;&gt;"",$G266,IFERROR(INDEX(ProcValor,MATCH($E266,ProcNome,0)),0)))</f>
        <v>120</v>
      </c>
      <c r="N266" s="27">
        <f>IF($M266="","",IF($F266="Compareceu",$M266,0))</f>
        <v>120</v>
      </c>
      <c r="O266" s="27">
        <f>IF($M266="","",IF($F266="Faltou",$M266,0))</f>
        <v>0</v>
      </c>
      <c r="P266" s="27">
        <f>IF($M266="","",IF($F266="Compareceu",MAX(0,$M266-N($H266)),0))</f>
        <v>0</v>
      </c>
      <c r="Q266" s="19">
        <f>IF(AND($F266="Compareceu",$E266&lt;&gt;"",$A266&lt;&gt;""),IF(IFERROR(INDEX(ProcRet,MATCH($E266,ProcNome,0)),0)&gt;0,$A266+INDEX(ProcRet,MATCH($E266,ProcNome,0)),""),"")</f>
        <v>46316.0</v>
      </c>
      <c r="R266" s="26" t="str">
        <f>IF($Q266="","",IF(COUNTIFS(AgPac,$D266,AgData,"&gt;"&amp;$A266,AgStatus,"&lt;&gt;Cancelado",AgStatus,"&lt;&gt;Remarcado")&gt;0,"Sim","Não"))</f>
        <v>Sim</v>
      </c>
      <c r="S266" s="28">
        <f>IF($A266="","",IF(AND($F266="Agendado",$A266-Hoje&gt;=0,$A266-Hoje&lt;=DiasConf),"CONFIRMAR",IF(AND($A266&lt;Hoje,OR($F266="Agendado",$F266="Confirmado")),"Atualizar status",IF(AND($F266="Compareceu",$P266&gt;0.005),"Cobrar",IF($F266="Faltou","Falta: reagendar","")))))</f>
        <v>0</v>
      </c>
      <c r="T266" s="29">
        <f>IF($A266="","",DATE(YEAR($A266),MONTH($A266),1))</f>
        <v>46266.0</v>
      </c>
      <c r="U266" s="30">
        <f>IF($S266="CONFIRMAR",MAX($U$4:$U265)+1,"")</f>
        <v>0</v>
      </c>
      <c r="V266" s="30">
        <f>IF(AND($R266="Não",$Q266&lt;&gt;"",$Q266&lt;=Hoje+JanelaRet,$Q266&gt;=Hoje-60),MAX($V$4:$V265)+1,"")</f>
        <v>0</v>
      </c>
    </row>
    <row r="267" spans="1:22">
      <c r="A267" s="16">
        <v>46286</v>
      </c>
      <c r="B267" s="23">
        <v>0.5</v>
      </c>
      <c r="C267" s="15" t="s">
        <v>54</v>
      </c>
      <c r="D267" s="15" t="s">
        <v>169</v>
      </c>
      <c r="E267" s="15" t="s">
        <v>63</v>
      </c>
      <c r="F267" s="24" t="s">
        <v>79</v>
      </c>
      <c r="G267" s="17"/>
      <c r="H267" s="17">
        <v>140</v>
      </c>
      <c r="I267" s="15" t="s">
        <v>71</v>
      </c>
      <c r="J267" s="25" t="str">
        <f>IF($D267="","",IFERROR(INDEX(PacNome,MATCH($D267,PacCod,0)),"Paciente não cadastrado"))</f>
        <v>Paciente 024</v>
      </c>
      <c r="K267" s="26" t="str">
        <f>IF($D267="","",IFERROR(INDEX(PacConv,MATCH($D267,PacCod,0))&amp;"",""))</f>
        <v>Particular</v>
      </c>
      <c r="L267" s="26" t="str">
        <f>IF($A267="","",CHOOSE(WEEKDAY($A267,2),"Seg","Ter","Qua","Qui","Sex","Sáb","Dom"))</f>
        <v>Seg</v>
      </c>
      <c r="M267" s="27">
        <f>IF($E267="","",IF($G267&lt;&gt;"",$G267,IFERROR(INDEX(ProcValor,MATCH($E267,ProcNome,0)),0)))</f>
        <v>140</v>
      </c>
      <c r="N267" s="27">
        <f>IF($M267="","",IF($F267="Compareceu",$M267,0))</f>
        <v>140</v>
      </c>
      <c r="O267" s="27">
        <f>IF($M267="","",IF($F267="Faltou",$M267,0))</f>
        <v>0</v>
      </c>
      <c r="P267" s="27">
        <f>IF($M267="","",IF($F267="Compareceu",MAX(0,$M267-N($H267)),0))</f>
        <v>0</v>
      </c>
      <c r="Q267" s="19">
        <f>IF(AND($F267="Compareceu",$E267&lt;&gt;"",$A267&lt;&gt;""),IF(IFERROR(INDEX(ProcRet,MATCH($E267,ProcNome,0)),0)&gt;0,$A267+INDEX(ProcRet,MATCH($E267,ProcNome,0)),""),"")</f>
        <v>46293.0</v>
      </c>
      <c r="R267" s="26" t="str">
        <f>IF($Q267="","",IF(COUNTIFS(AgPac,$D267,AgData,"&gt;"&amp;$A267,AgStatus,"&lt;&gt;Cancelado",AgStatus,"&lt;&gt;Remarcado")&gt;0,"Sim","Não"))</f>
        <v>Sim</v>
      </c>
      <c r="S267" s="28">
        <f>IF($A267="","",IF(AND($F267="Agendado",$A267-Hoje&gt;=0,$A267-Hoje&lt;=DiasConf),"CONFIRMAR",IF(AND($A267&lt;Hoje,OR($F267="Agendado",$F267="Confirmado")),"Atualizar status",IF(AND($F267="Compareceu",$P267&gt;0.005),"Cobrar",IF($F267="Faltou","Falta: reagendar","")))))</f>
        <v>0</v>
      </c>
      <c r="T267" s="29">
        <f>IF($A267="","",DATE(YEAR($A267),MONTH($A267),1))</f>
        <v>46266.0</v>
      </c>
      <c r="U267" s="30">
        <f>IF($S267="CONFIRMAR",MAX($U$4:$U266)+1,"")</f>
        <v>0</v>
      </c>
      <c r="V267" s="30">
        <f>IF(AND($R267="Não",$Q267&lt;&gt;"",$Q267&lt;=Hoje+JanelaRet,$Q267&gt;=Hoje-60),MAX($V$4:$V266)+1,"")</f>
        <v>0</v>
      </c>
    </row>
    <row r="268" spans="1:22">
      <c r="A268" s="16">
        <v>46286</v>
      </c>
      <c r="B268" s="23">
        <v>0.5625</v>
      </c>
      <c r="C268" s="15" t="s">
        <v>53</v>
      </c>
      <c r="D268" s="15" t="s">
        <v>121</v>
      </c>
      <c r="E268" s="15" t="s">
        <v>63</v>
      </c>
      <c r="F268" s="24" t="s">
        <v>81</v>
      </c>
      <c r="G268" s="17"/>
      <c r="H268" s="17"/>
      <c r="I268" s="15"/>
      <c r="J268" s="25" t="str">
        <f>IF($D268="","",IFERROR(INDEX(PacNome,MATCH($D268,PacCod,0)),"Paciente não cadastrado"))</f>
        <v>Paciente 008</v>
      </c>
      <c r="K268" s="26" t="str">
        <f>IF($D268="","",IFERROR(INDEX(PacConv,MATCH($D268,PacCod,0))&amp;"",""))</f>
        <v>Particular</v>
      </c>
      <c r="L268" s="26" t="str">
        <f>IF($A268="","",CHOOSE(WEEKDAY($A268,2),"Seg","Ter","Qua","Qui","Sex","Sáb","Dom"))</f>
        <v>Seg</v>
      </c>
      <c r="M268" s="27">
        <f>IF($E268="","",IF($G268&lt;&gt;"",$G268,IFERROR(INDEX(ProcValor,MATCH($E268,ProcNome,0)),0)))</f>
        <v>140</v>
      </c>
      <c r="N268" s="27">
        <f>IF($M268="","",IF($F268="Compareceu",$M268,0))</f>
        <v>0</v>
      </c>
      <c r="O268" s="27">
        <f>IF($M268="","",IF($F268="Faltou",$M268,0))</f>
        <v>0</v>
      </c>
      <c r="P268" s="27">
        <f>IF($M268="","",IF($F268="Compareceu",MAX(0,$M268-N($H268)),0))</f>
        <v>0</v>
      </c>
      <c r="Q268" s="19">
        <f>IF(AND($F268="Compareceu",$E268&lt;&gt;"",$A268&lt;&gt;""),IF(IFERROR(INDEX(ProcRet,MATCH($E268,ProcNome,0)),0)&gt;0,$A268+INDEX(ProcRet,MATCH($E268,ProcNome,0)),""),"")</f>
        <v>0</v>
      </c>
      <c r="R268" s="26">
        <f>IF($Q268="","",IF(COUNTIFS(AgPac,$D268,AgData,"&gt;"&amp;$A268,AgStatus,"&lt;&gt;Cancelado",AgStatus,"&lt;&gt;Remarcado")&gt;0,"Sim","Não"))</f>
        <v>0</v>
      </c>
      <c r="S268" s="28">
        <f>IF($A268="","",IF(AND($F268="Agendado",$A268-Hoje&gt;=0,$A268-Hoje&lt;=DiasConf),"CONFIRMAR",IF(AND($A268&lt;Hoje,OR($F268="Agendado",$F268="Confirmado")),"Atualizar status",IF(AND($F268="Compareceu",$P268&gt;0.005),"Cobrar",IF($F268="Faltou","Falta: reagendar","")))))</f>
        <v>0</v>
      </c>
      <c r="T268" s="29">
        <f>IF($A268="","",DATE(YEAR($A268),MONTH($A268),1))</f>
        <v>46266.0</v>
      </c>
      <c r="U268" s="30">
        <f>IF($S268="CONFIRMAR",MAX($U$4:$U267)+1,"")</f>
        <v>0</v>
      </c>
      <c r="V268" s="30">
        <f>IF(AND($R268="Não",$Q268&lt;&gt;"",$Q268&lt;=Hoje+JanelaRet,$Q268&gt;=Hoje-60),MAX($V$4:$V267)+1,"")</f>
        <v>0</v>
      </c>
    </row>
    <row r="269" spans="1:22">
      <c r="A269" s="16">
        <v>46286</v>
      </c>
      <c r="B269" s="23">
        <v>0.6666666666666666</v>
      </c>
      <c r="C269" s="15" t="s">
        <v>52</v>
      </c>
      <c r="D269" s="15" t="s">
        <v>202</v>
      </c>
      <c r="E269" s="15" t="s">
        <v>60</v>
      </c>
      <c r="F269" s="24" t="s">
        <v>79</v>
      </c>
      <c r="G269" s="17"/>
      <c r="H269" s="17">
        <v>180</v>
      </c>
      <c r="I269" s="15" t="s">
        <v>71</v>
      </c>
      <c r="J269" s="25" t="str">
        <f>IF($D269="","",IFERROR(INDEX(PacNome,MATCH($D269,PacCod,0)),"Paciente não cadastrado"))</f>
        <v>Paciente 035</v>
      </c>
      <c r="K269" s="26" t="str">
        <f>IF($D269="","",IFERROR(INDEX(PacConv,MATCH($D269,PacCod,0))&amp;"",""))</f>
        <v>Particular</v>
      </c>
      <c r="L269" s="26" t="str">
        <f>IF($A269="","",CHOOSE(WEEKDAY($A269,2),"Seg","Ter","Qua","Qui","Sex","Sáb","Dom"))</f>
        <v>Seg</v>
      </c>
      <c r="M269" s="27">
        <f>IF($E269="","",IF($G269&lt;&gt;"",$G269,IFERROR(INDEX(ProcValor,MATCH($E269,ProcNome,0)),0)))</f>
        <v>180</v>
      </c>
      <c r="N269" s="27">
        <f>IF($M269="","",IF($F269="Compareceu",$M269,0))</f>
        <v>180</v>
      </c>
      <c r="O269" s="27">
        <f>IF($M269="","",IF($F269="Faltou",$M269,0))</f>
        <v>0</v>
      </c>
      <c r="P269" s="27">
        <f>IF($M269="","",IF($F269="Compareceu",MAX(0,$M269-N($H269)),0))</f>
        <v>0</v>
      </c>
      <c r="Q269" s="19">
        <f>IF(AND($F269="Compareceu",$E269&lt;&gt;"",$A269&lt;&gt;""),IF(IFERROR(INDEX(ProcRet,MATCH($E269,ProcNome,0)),0)&gt;0,$A269+INDEX(ProcRet,MATCH($E269,ProcNome,0)),""),"")</f>
        <v>46466.0</v>
      </c>
      <c r="R269" s="26" t="str">
        <f>IF($Q269="","",IF(COUNTIFS(AgPac,$D269,AgData,"&gt;"&amp;$A269,AgStatus,"&lt;&gt;Cancelado",AgStatus,"&lt;&gt;Remarcado")&gt;0,"Sim","Não"))</f>
        <v>Não</v>
      </c>
      <c r="S269" s="28">
        <f>IF($A269="","",IF(AND($F269="Agendado",$A269-Hoje&gt;=0,$A269-Hoje&lt;=DiasConf),"CONFIRMAR",IF(AND($A269&lt;Hoje,OR($F269="Agendado",$F269="Confirmado")),"Atualizar status",IF(AND($F269="Compareceu",$P269&gt;0.005),"Cobrar",IF($F269="Faltou","Falta: reagendar","")))))</f>
        <v>0</v>
      </c>
      <c r="T269" s="29">
        <f>IF($A269="","",DATE(YEAR($A269),MONTH($A269),1))</f>
        <v>46266.0</v>
      </c>
      <c r="U269" s="30">
        <f>IF($S269="CONFIRMAR",MAX($U$4:$U268)+1,"")</f>
        <v>0</v>
      </c>
      <c r="V269" s="30">
        <f>IF(AND($R269="Não",$Q269&lt;&gt;"",$Q269&lt;=Hoje+JanelaRet,$Q269&gt;=Hoje-60),MAX($V$4:$V268)+1,"")</f>
        <v>0</v>
      </c>
    </row>
    <row r="270" spans="1:22">
      <c r="A270" s="16">
        <v>46287</v>
      </c>
      <c r="B270" s="23">
        <v>0.4166666666666667</v>
      </c>
      <c r="C270" s="15" t="s">
        <v>53</v>
      </c>
      <c r="D270" s="15" t="s">
        <v>235</v>
      </c>
      <c r="E270" s="15" t="s">
        <v>60</v>
      </c>
      <c r="F270" s="24" t="s">
        <v>79</v>
      </c>
      <c r="G270" s="17">
        <v>108</v>
      </c>
      <c r="H270" s="17">
        <v>108</v>
      </c>
      <c r="I270" s="15" t="s">
        <v>73</v>
      </c>
      <c r="J270" s="25" t="str">
        <f>IF($D270="","",IFERROR(INDEX(PacNome,MATCH($D270,PacCod,0)),"Paciente não cadastrado"))</f>
        <v>Paciente 046</v>
      </c>
      <c r="K270" s="26" t="str">
        <f>IF($D270="","",IFERROR(INDEX(PacConv,MATCH($D270,PacCod,0))&amp;"",""))</f>
        <v>Convênio A</v>
      </c>
      <c r="L270" s="26" t="str">
        <f>IF($A270="","",CHOOSE(WEEKDAY($A270,2),"Seg","Ter","Qua","Qui","Sex","Sáb","Dom"))</f>
        <v>Ter</v>
      </c>
      <c r="M270" s="27">
        <f>IF($E270="","",IF($G270&lt;&gt;"",$G270,IFERROR(INDEX(ProcValor,MATCH($E270,ProcNome,0)),0)))</f>
        <v>108</v>
      </c>
      <c r="N270" s="27">
        <f>IF($M270="","",IF($F270="Compareceu",$M270,0))</f>
        <v>108</v>
      </c>
      <c r="O270" s="27">
        <f>IF($M270="","",IF($F270="Faltou",$M270,0))</f>
        <v>0</v>
      </c>
      <c r="P270" s="27">
        <f>IF($M270="","",IF($F270="Compareceu",MAX(0,$M270-N($H270)),0))</f>
        <v>0</v>
      </c>
      <c r="Q270" s="19">
        <f>IF(AND($F270="Compareceu",$E270&lt;&gt;"",$A270&lt;&gt;""),IF(IFERROR(INDEX(ProcRet,MATCH($E270,ProcNome,0)),0)&gt;0,$A270+INDEX(ProcRet,MATCH($E270,ProcNome,0)),""),"")</f>
        <v>46467.0</v>
      </c>
      <c r="R270" s="26" t="str">
        <f>IF($Q270="","",IF(COUNTIFS(AgPac,$D270,AgData,"&gt;"&amp;$A270,AgStatus,"&lt;&gt;Cancelado",AgStatus,"&lt;&gt;Remarcado")&gt;0,"Sim","Não"))</f>
        <v>Sim</v>
      </c>
      <c r="S270" s="28">
        <f>IF($A270="","",IF(AND($F270="Agendado",$A270-Hoje&gt;=0,$A270-Hoje&lt;=DiasConf),"CONFIRMAR",IF(AND($A270&lt;Hoje,OR($F270="Agendado",$F270="Confirmado")),"Atualizar status",IF(AND($F270="Compareceu",$P270&gt;0.005),"Cobrar",IF($F270="Faltou","Falta: reagendar","")))))</f>
        <v>0</v>
      </c>
      <c r="T270" s="29">
        <f>IF($A270="","",DATE(YEAR($A270),MONTH($A270),1))</f>
        <v>46266.0</v>
      </c>
      <c r="U270" s="30">
        <f>IF($S270="CONFIRMAR",MAX($U$4:$U269)+1,"")</f>
        <v>0</v>
      </c>
      <c r="V270" s="30">
        <f>IF(AND($R270="Não",$Q270&lt;&gt;"",$Q270&lt;=Hoje+JanelaRet,$Q270&gt;=Hoje-60),MAX($V$4:$V269)+1,"")</f>
        <v>0</v>
      </c>
    </row>
    <row r="271" spans="1:22">
      <c r="A271" s="16">
        <v>46287</v>
      </c>
      <c r="B271" s="23">
        <v>0.4583333333333333</v>
      </c>
      <c r="C271" s="15" t="s">
        <v>53</v>
      </c>
      <c r="D271" s="15" t="s">
        <v>100</v>
      </c>
      <c r="E271" s="15" t="s">
        <v>58</v>
      </c>
      <c r="F271" s="24" t="s">
        <v>79</v>
      </c>
      <c r="G271" s="17"/>
      <c r="H271" s="17">
        <v>250</v>
      </c>
      <c r="I271" s="15" t="s">
        <v>72</v>
      </c>
      <c r="J271" s="25" t="str">
        <f>IF($D271="","",IFERROR(INDEX(PacNome,MATCH($D271,PacCod,0)),"Paciente não cadastrado"))</f>
        <v>Paciente 001</v>
      </c>
      <c r="K271" s="26" t="str">
        <f>IF($D271="","",IFERROR(INDEX(PacConv,MATCH($D271,PacCod,0))&amp;"",""))</f>
        <v>Particular</v>
      </c>
      <c r="L271" s="26" t="str">
        <f>IF($A271="","",CHOOSE(WEEKDAY($A271,2),"Seg","Ter","Qua","Qui","Sex","Sáb","Dom"))</f>
        <v>Ter</v>
      </c>
      <c r="M271" s="27">
        <f>IF($E271="","",IF($G271&lt;&gt;"",$G271,IFERROR(INDEX(ProcValor,MATCH($E271,ProcNome,0)),0)))</f>
        <v>250</v>
      </c>
      <c r="N271" s="27">
        <f>IF($M271="","",IF($F271="Compareceu",$M271,0))</f>
        <v>250</v>
      </c>
      <c r="O271" s="27">
        <f>IF($M271="","",IF($F271="Faltou",$M271,0))</f>
        <v>0</v>
      </c>
      <c r="P271" s="27">
        <f>IF($M271="","",IF($F271="Compareceu",MAX(0,$M271-N($H271)),0))</f>
        <v>0</v>
      </c>
      <c r="Q271" s="19">
        <f>IF(AND($F271="Compareceu",$E271&lt;&gt;"",$A271&lt;&gt;""),IF(IFERROR(INDEX(ProcRet,MATCH($E271,ProcNome,0)),0)&gt;0,$A271+INDEX(ProcRet,MATCH($E271,ProcNome,0)),""),"")</f>
        <v>0</v>
      </c>
      <c r="R271" s="26">
        <f>IF($Q271="","",IF(COUNTIFS(AgPac,$D271,AgData,"&gt;"&amp;$A271,AgStatus,"&lt;&gt;Cancelado",AgStatus,"&lt;&gt;Remarcado")&gt;0,"Sim","Não"))</f>
        <v>0</v>
      </c>
      <c r="S271" s="28">
        <f>IF($A271="","",IF(AND($F271="Agendado",$A271-Hoje&gt;=0,$A271-Hoje&lt;=DiasConf),"CONFIRMAR",IF(AND($A271&lt;Hoje,OR($F271="Agendado",$F271="Confirmado")),"Atualizar status",IF(AND($F271="Compareceu",$P271&gt;0.005),"Cobrar",IF($F271="Faltou","Falta: reagendar","")))))</f>
        <v>0</v>
      </c>
      <c r="T271" s="29">
        <f>IF($A271="","",DATE(YEAR($A271),MONTH($A271),1))</f>
        <v>46266.0</v>
      </c>
      <c r="U271" s="30">
        <f>IF($S271="CONFIRMAR",MAX($U$4:$U270)+1,"")</f>
        <v>0</v>
      </c>
      <c r="V271" s="30">
        <f>IF(AND($R271="Não",$Q271&lt;&gt;"",$Q271&lt;=Hoje+JanelaRet,$Q271&gt;=Hoje-60),MAX($V$4:$V270)+1,"")</f>
        <v>0</v>
      </c>
    </row>
    <row r="272" spans="1:22">
      <c r="A272" s="16">
        <v>46287</v>
      </c>
      <c r="B272" s="23">
        <v>0.5833333333333334</v>
      </c>
      <c r="C272" s="15" t="s">
        <v>52</v>
      </c>
      <c r="D272" s="15" t="s">
        <v>208</v>
      </c>
      <c r="E272" s="15" t="s">
        <v>65</v>
      </c>
      <c r="F272" s="24" t="s">
        <v>79</v>
      </c>
      <c r="G272" s="17">
        <v>78</v>
      </c>
      <c r="H272" s="17">
        <v>78</v>
      </c>
      <c r="I272" s="15" t="s">
        <v>71</v>
      </c>
      <c r="J272" s="25" t="str">
        <f>IF($D272="","",IFERROR(INDEX(PacNome,MATCH($D272,PacCod,0)),"Paciente não cadastrado"))</f>
        <v>Paciente 037</v>
      </c>
      <c r="K272" s="26" t="str">
        <f>IF($D272="","",IFERROR(INDEX(PacConv,MATCH($D272,PacCod,0))&amp;"",""))</f>
        <v>Convênio B</v>
      </c>
      <c r="L272" s="26" t="str">
        <f>IF($A272="","",CHOOSE(WEEKDAY($A272,2),"Seg","Ter","Qua","Qui","Sex","Sáb","Dom"))</f>
        <v>Ter</v>
      </c>
      <c r="M272" s="27">
        <f>IF($E272="","",IF($G272&lt;&gt;"",$G272,IFERROR(INDEX(ProcValor,MATCH($E272,ProcNome,0)),0)))</f>
        <v>78</v>
      </c>
      <c r="N272" s="27">
        <f>IF($M272="","",IF($F272="Compareceu",$M272,0))</f>
        <v>78</v>
      </c>
      <c r="O272" s="27">
        <f>IF($M272="","",IF($F272="Faltou",$M272,0))</f>
        <v>0</v>
      </c>
      <c r="P272" s="27">
        <f>IF($M272="","",IF($F272="Compareceu",MAX(0,$M272-N($H272)),0))</f>
        <v>0</v>
      </c>
      <c r="Q272" s="19">
        <f>IF(AND($F272="Compareceu",$E272&lt;&gt;"",$A272&lt;&gt;""),IF(IFERROR(INDEX(ProcRet,MATCH($E272,ProcNome,0)),0)&gt;0,$A272+INDEX(ProcRet,MATCH($E272,ProcNome,0)),""),"")</f>
        <v>46377.0</v>
      </c>
      <c r="R272" s="26" t="str">
        <f>IF($Q272="","",IF(COUNTIFS(AgPac,$D272,AgData,"&gt;"&amp;$A272,AgStatus,"&lt;&gt;Cancelado",AgStatus,"&lt;&gt;Remarcado")&gt;0,"Sim","Não"))</f>
        <v>Sim</v>
      </c>
      <c r="S272" s="28">
        <f>IF($A272="","",IF(AND($F272="Agendado",$A272-Hoje&gt;=0,$A272-Hoje&lt;=DiasConf),"CONFIRMAR",IF(AND($A272&lt;Hoje,OR($F272="Agendado",$F272="Confirmado")),"Atualizar status",IF(AND($F272="Compareceu",$P272&gt;0.005),"Cobrar",IF($F272="Faltou","Falta: reagendar","")))))</f>
        <v>0</v>
      </c>
      <c r="T272" s="29">
        <f>IF($A272="","",DATE(YEAR($A272),MONTH($A272),1))</f>
        <v>46266.0</v>
      </c>
      <c r="U272" s="30">
        <f>IF($S272="CONFIRMAR",MAX($U$4:$U271)+1,"")</f>
        <v>0</v>
      </c>
      <c r="V272" s="30">
        <f>IF(AND($R272="Não",$Q272&lt;&gt;"",$Q272&lt;=Hoje+JanelaRet,$Q272&gt;=Hoje-60),MAX($V$4:$V271)+1,"")</f>
        <v>0</v>
      </c>
    </row>
    <row r="273" spans="1:22">
      <c r="A273" s="16">
        <v>46288</v>
      </c>
      <c r="B273" s="23">
        <v>0.4791666666666667</v>
      </c>
      <c r="C273" s="15" t="s">
        <v>54</v>
      </c>
      <c r="D273" s="15" t="s">
        <v>169</v>
      </c>
      <c r="E273" s="15" t="s">
        <v>60</v>
      </c>
      <c r="F273" s="24" t="s">
        <v>80</v>
      </c>
      <c r="G273" s="17"/>
      <c r="H273" s="17"/>
      <c r="I273" s="15"/>
      <c r="J273" s="25" t="str">
        <f>IF($D273="","",IFERROR(INDEX(PacNome,MATCH($D273,PacCod,0)),"Paciente não cadastrado"))</f>
        <v>Paciente 024</v>
      </c>
      <c r="K273" s="26" t="str">
        <f>IF($D273="","",IFERROR(INDEX(PacConv,MATCH($D273,PacCod,0))&amp;"",""))</f>
        <v>Particular</v>
      </c>
      <c r="L273" s="26" t="str">
        <f>IF($A273="","",CHOOSE(WEEKDAY($A273,2),"Seg","Ter","Qua","Qui","Sex","Sáb","Dom"))</f>
        <v>Qua</v>
      </c>
      <c r="M273" s="27">
        <f>IF($E273="","",IF($G273&lt;&gt;"",$G273,IFERROR(INDEX(ProcValor,MATCH($E273,ProcNome,0)),0)))</f>
        <v>180</v>
      </c>
      <c r="N273" s="27">
        <f>IF($M273="","",IF($F273="Compareceu",$M273,0))</f>
        <v>0</v>
      </c>
      <c r="O273" s="27">
        <f>IF($M273="","",IF($F273="Faltou",$M273,0))</f>
        <v>180</v>
      </c>
      <c r="P273" s="27">
        <f>IF($M273="","",IF($F273="Compareceu",MAX(0,$M273-N($H273)),0))</f>
        <v>0</v>
      </c>
      <c r="Q273" s="19">
        <f>IF(AND($F273="Compareceu",$E273&lt;&gt;"",$A273&lt;&gt;""),IF(IFERROR(INDEX(ProcRet,MATCH($E273,ProcNome,0)),0)&gt;0,$A273+INDEX(ProcRet,MATCH($E273,ProcNome,0)),""),"")</f>
        <v>0</v>
      </c>
      <c r="R273" s="26">
        <f>IF($Q273="","",IF(COUNTIFS(AgPac,$D273,AgData,"&gt;"&amp;$A273,AgStatus,"&lt;&gt;Cancelado",AgStatus,"&lt;&gt;Remarcado")&gt;0,"Sim","Não"))</f>
        <v>0</v>
      </c>
      <c r="S273" s="28" t="str">
        <f>IF($A273="","",IF(AND($F273="Agendado",$A273-Hoje&gt;=0,$A273-Hoje&lt;=DiasConf),"CONFIRMAR",IF(AND($A273&lt;Hoje,OR($F273="Agendado",$F273="Confirmado")),"Atualizar status",IF(AND($F273="Compareceu",$P273&gt;0.005),"Cobrar",IF($F273="Faltou","Falta: reagendar","")))))</f>
        <v>Falta: reagendar</v>
      </c>
      <c r="T273" s="29">
        <f>IF($A273="","",DATE(YEAR($A273),MONTH($A273),1))</f>
        <v>46266.0</v>
      </c>
      <c r="U273" s="30">
        <f>IF($S273="CONFIRMAR",MAX($U$4:$U272)+1,"")</f>
        <v>0</v>
      </c>
      <c r="V273" s="30">
        <f>IF(AND($R273="Não",$Q273&lt;&gt;"",$Q273&lt;=Hoje+JanelaRet,$Q273&gt;=Hoje-60),MAX($V$4:$V272)+1,"")</f>
        <v>0</v>
      </c>
    </row>
    <row r="274" spans="1:22">
      <c r="A274" s="16">
        <v>46288</v>
      </c>
      <c r="B274" s="23">
        <v>0.625</v>
      </c>
      <c r="C274" s="15" t="s">
        <v>52</v>
      </c>
      <c r="D274" s="15" t="s">
        <v>214</v>
      </c>
      <c r="E274" s="15" t="s">
        <v>58</v>
      </c>
      <c r="F274" s="24" t="s">
        <v>79</v>
      </c>
      <c r="G274" s="17"/>
      <c r="H274" s="17">
        <v>250</v>
      </c>
      <c r="I274" s="15" t="s">
        <v>72</v>
      </c>
      <c r="J274" s="25" t="str">
        <f>IF($D274="","",IFERROR(INDEX(PacNome,MATCH($D274,PacCod,0)),"Paciente não cadastrado"))</f>
        <v>Paciente 039</v>
      </c>
      <c r="K274" s="26" t="str">
        <f>IF($D274="","",IFERROR(INDEX(PacConv,MATCH($D274,PacCod,0))&amp;"",""))</f>
        <v>Particular</v>
      </c>
      <c r="L274" s="26" t="str">
        <f>IF($A274="","",CHOOSE(WEEKDAY($A274,2),"Seg","Ter","Qua","Qui","Sex","Sáb","Dom"))</f>
        <v>Qua</v>
      </c>
      <c r="M274" s="27">
        <f>IF($E274="","",IF($G274&lt;&gt;"",$G274,IFERROR(INDEX(ProcValor,MATCH($E274,ProcNome,0)),0)))</f>
        <v>250</v>
      </c>
      <c r="N274" s="27">
        <f>IF($M274="","",IF($F274="Compareceu",$M274,0))</f>
        <v>250</v>
      </c>
      <c r="O274" s="27">
        <f>IF($M274="","",IF($F274="Faltou",$M274,0))</f>
        <v>0</v>
      </c>
      <c r="P274" s="27">
        <f>IF($M274="","",IF($F274="Compareceu",MAX(0,$M274-N($H274)),0))</f>
        <v>0</v>
      </c>
      <c r="Q274" s="19">
        <f>IF(AND($F274="Compareceu",$E274&lt;&gt;"",$A274&lt;&gt;""),IF(IFERROR(INDEX(ProcRet,MATCH($E274,ProcNome,0)),0)&gt;0,$A274+INDEX(ProcRet,MATCH($E274,ProcNome,0)),""),"")</f>
        <v>0</v>
      </c>
      <c r="R274" s="26">
        <f>IF($Q274="","",IF(COUNTIFS(AgPac,$D274,AgData,"&gt;"&amp;$A274,AgStatus,"&lt;&gt;Cancelado",AgStatus,"&lt;&gt;Remarcado")&gt;0,"Sim","Não"))</f>
        <v>0</v>
      </c>
      <c r="S274" s="28">
        <f>IF($A274="","",IF(AND($F274="Agendado",$A274-Hoje&gt;=0,$A274-Hoje&lt;=DiasConf),"CONFIRMAR",IF(AND($A274&lt;Hoje,OR($F274="Agendado",$F274="Confirmado")),"Atualizar status",IF(AND($F274="Compareceu",$P274&gt;0.005),"Cobrar",IF($F274="Faltou","Falta: reagendar","")))))</f>
        <v>0</v>
      </c>
      <c r="T274" s="29">
        <f>IF($A274="","",DATE(YEAR($A274),MONTH($A274),1))</f>
        <v>46266.0</v>
      </c>
      <c r="U274" s="30">
        <f>IF($S274="CONFIRMAR",MAX($U$4:$U273)+1,"")</f>
        <v>0</v>
      </c>
      <c r="V274" s="30">
        <f>IF(AND($R274="Não",$Q274&lt;&gt;"",$Q274&lt;=Hoje+JanelaRet,$Q274&gt;=Hoje-60),MAX($V$4:$V273)+1,"")</f>
        <v>0</v>
      </c>
    </row>
    <row r="275" spans="1:22">
      <c r="A275" s="16">
        <v>46288</v>
      </c>
      <c r="B275" s="23">
        <v>0.7291666666666666</v>
      </c>
      <c r="C275" s="15" t="s">
        <v>52</v>
      </c>
      <c r="D275" s="15" t="s">
        <v>121</v>
      </c>
      <c r="E275" s="15" t="s">
        <v>58</v>
      </c>
      <c r="F275" s="24" t="s">
        <v>79</v>
      </c>
      <c r="G275" s="17"/>
      <c r="H275" s="17">
        <v>250</v>
      </c>
      <c r="I275" s="15" t="s">
        <v>74</v>
      </c>
      <c r="J275" s="25" t="str">
        <f>IF($D275="","",IFERROR(INDEX(PacNome,MATCH($D275,PacCod,0)),"Paciente não cadastrado"))</f>
        <v>Paciente 008</v>
      </c>
      <c r="K275" s="26" t="str">
        <f>IF($D275="","",IFERROR(INDEX(PacConv,MATCH($D275,PacCod,0))&amp;"",""))</f>
        <v>Particular</v>
      </c>
      <c r="L275" s="26" t="str">
        <f>IF($A275="","",CHOOSE(WEEKDAY($A275,2),"Seg","Ter","Qua","Qui","Sex","Sáb","Dom"))</f>
        <v>Qua</v>
      </c>
      <c r="M275" s="27">
        <f>IF($E275="","",IF($G275&lt;&gt;"",$G275,IFERROR(INDEX(ProcValor,MATCH($E275,ProcNome,0)),0)))</f>
        <v>250</v>
      </c>
      <c r="N275" s="27">
        <f>IF($M275="","",IF($F275="Compareceu",$M275,0))</f>
        <v>250</v>
      </c>
      <c r="O275" s="27">
        <f>IF($M275="","",IF($F275="Faltou",$M275,0))</f>
        <v>0</v>
      </c>
      <c r="P275" s="27">
        <f>IF($M275="","",IF($F275="Compareceu",MAX(0,$M275-N($H275)),0))</f>
        <v>0</v>
      </c>
      <c r="Q275" s="19">
        <f>IF(AND($F275="Compareceu",$E275&lt;&gt;"",$A275&lt;&gt;""),IF(IFERROR(INDEX(ProcRet,MATCH($E275,ProcNome,0)),0)&gt;0,$A275+INDEX(ProcRet,MATCH($E275,ProcNome,0)),""),"")</f>
        <v>0</v>
      </c>
      <c r="R275" s="26">
        <f>IF($Q275="","",IF(COUNTIFS(AgPac,$D275,AgData,"&gt;"&amp;$A275,AgStatus,"&lt;&gt;Cancelado",AgStatus,"&lt;&gt;Remarcado")&gt;0,"Sim","Não"))</f>
        <v>0</v>
      </c>
      <c r="S275" s="28">
        <f>IF($A275="","",IF(AND($F275="Agendado",$A275-Hoje&gt;=0,$A275-Hoje&lt;=DiasConf),"CONFIRMAR",IF(AND($A275&lt;Hoje,OR($F275="Agendado",$F275="Confirmado")),"Atualizar status",IF(AND($F275="Compareceu",$P275&gt;0.005),"Cobrar",IF($F275="Faltou","Falta: reagendar","")))))</f>
        <v>0</v>
      </c>
      <c r="T275" s="29">
        <f>IF($A275="","",DATE(YEAR($A275),MONTH($A275),1))</f>
        <v>46266.0</v>
      </c>
      <c r="U275" s="30">
        <f>IF($S275="CONFIRMAR",MAX($U$4:$U274)+1,"")</f>
        <v>0</v>
      </c>
      <c r="V275" s="30">
        <f>IF(AND($R275="Não",$Q275&lt;&gt;"",$Q275&lt;=Hoje+JanelaRet,$Q275&gt;=Hoje-60),MAX($V$4:$V274)+1,"")</f>
        <v>0</v>
      </c>
    </row>
    <row r="276" spans="1:22">
      <c r="A276" s="16">
        <v>46289</v>
      </c>
      <c r="B276" s="23">
        <v>0.3541666666666667</v>
      </c>
      <c r="C276" s="15" t="s">
        <v>52</v>
      </c>
      <c r="D276" s="15" t="s">
        <v>208</v>
      </c>
      <c r="E276" s="15" t="s">
        <v>61</v>
      </c>
      <c r="F276" s="24" t="s">
        <v>79</v>
      </c>
      <c r="G276" s="17">
        <v>72</v>
      </c>
      <c r="H276" s="17">
        <v>72</v>
      </c>
      <c r="I276" s="15" t="s">
        <v>74</v>
      </c>
      <c r="J276" s="25" t="str">
        <f>IF($D276="","",IFERROR(INDEX(PacNome,MATCH($D276,PacCod,0)),"Paciente não cadastrado"))</f>
        <v>Paciente 037</v>
      </c>
      <c r="K276" s="26" t="str">
        <f>IF($D276="","",IFERROR(INDEX(PacConv,MATCH($D276,PacCod,0))&amp;"",""))</f>
        <v>Convênio B</v>
      </c>
      <c r="L276" s="26" t="str">
        <f>IF($A276="","",CHOOSE(WEEKDAY($A276,2),"Seg","Ter","Qua","Qui","Sex","Sáb","Dom"))</f>
        <v>Qui</v>
      </c>
      <c r="M276" s="27">
        <f>IF($E276="","",IF($G276&lt;&gt;"",$G276,IFERROR(INDEX(ProcValor,MATCH($E276,ProcNome,0)),0)))</f>
        <v>72</v>
      </c>
      <c r="N276" s="27">
        <f>IF($M276="","",IF($F276="Compareceu",$M276,0))</f>
        <v>72</v>
      </c>
      <c r="O276" s="27">
        <f>IF($M276="","",IF($F276="Faltou",$M276,0))</f>
        <v>0</v>
      </c>
      <c r="P276" s="27">
        <f>IF($M276="","",IF($F276="Compareceu",MAX(0,$M276-N($H276)),0))</f>
        <v>0</v>
      </c>
      <c r="Q276" s="19">
        <f>IF(AND($F276="Compareceu",$E276&lt;&gt;"",$A276&lt;&gt;""),IF(IFERROR(INDEX(ProcRet,MATCH($E276,ProcNome,0)),0)&gt;0,$A276+INDEX(ProcRet,MATCH($E276,ProcNome,0)),""),"")</f>
        <v>46319.0</v>
      </c>
      <c r="R276" s="26" t="str">
        <f>IF($Q276="","",IF(COUNTIFS(AgPac,$D276,AgData,"&gt;"&amp;$A276,AgStatus,"&lt;&gt;Cancelado",AgStatus,"&lt;&gt;Remarcado")&gt;0,"Sim","Não"))</f>
        <v>Sim</v>
      </c>
      <c r="S276" s="28">
        <f>IF($A276="","",IF(AND($F276="Agendado",$A276-Hoje&gt;=0,$A276-Hoje&lt;=DiasConf),"CONFIRMAR",IF(AND($A276&lt;Hoje,OR($F276="Agendado",$F276="Confirmado")),"Atualizar status",IF(AND($F276="Compareceu",$P276&gt;0.005),"Cobrar",IF($F276="Faltou","Falta: reagendar","")))))</f>
        <v>0</v>
      </c>
      <c r="T276" s="29">
        <f>IF($A276="","",DATE(YEAR($A276),MONTH($A276),1))</f>
        <v>46266.0</v>
      </c>
      <c r="U276" s="30">
        <f>IF($S276="CONFIRMAR",MAX($U$4:$U275)+1,"")</f>
        <v>0</v>
      </c>
      <c r="V276" s="30">
        <f>IF(AND($R276="Não",$Q276&lt;&gt;"",$Q276&lt;=Hoje+JanelaRet,$Q276&gt;=Hoje-60),MAX($V$4:$V275)+1,"")</f>
        <v>0</v>
      </c>
    </row>
    <row r="277" spans="1:22">
      <c r="A277" s="16">
        <v>46289</v>
      </c>
      <c r="B277" s="23">
        <v>0.4791666666666667</v>
      </c>
      <c r="C277" s="15" t="s">
        <v>52</v>
      </c>
      <c r="D277" s="15" t="s">
        <v>133</v>
      </c>
      <c r="E277" s="15" t="s">
        <v>65</v>
      </c>
      <c r="F277" s="24" t="s">
        <v>79</v>
      </c>
      <c r="G277" s="17"/>
      <c r="H277" s="17">
        <v>130</v>
      </c>
      <c r="I277" s="15" t="s">
        <v>71</v>
      </c>
      <c r="J277" s="25" t="str">
        <f>IF($D277="","",IFERROR(INDEX(PacNome,MATCH($D277,PacCod,0)),"Paciente não cadastrado"))</f>
        <v>Paciente 012</v>
      </c>
      <c r="K277" s="26" t="str">
        <f>IF($D277="","",IFERROR(INDEX(PacConv,MATCH($D277,PacCod,0))&amp;"",""))</f>
        <v>Particular</v>
      </c>
      <c r="L277" s="26" t="str">
        <f>IF($A277="","",CHOOSE(WEEKDAY($A277,2),"Seg","Ter","Qua","Qui","Sex","Sáb","Dom"))</f>
        <v>Qui</v>
      </c>
      <c r="M277" s="27">
        <f>IF($E277="","",IF($G277&lt;&gt;"",$G277,IFERROR(INDEX(ProcValor,MATCH($E277,ProcNome,0)),0)))</f>
        <v>130</v>
      </c>
      <c r="N277" s="27">
        <f>IF($M277="","",IF($F277="Compareceu",$M277,0))</f>
        <v>130</v>
      </c>
      <c r="O277" s="27">
        <f>IF($M277="","",IF($F277="Faltou",$M277,0))</f>
        <v>0</v>
      </c>
      <c r="P277" s="27">
        <f>IF($M277="","",IF($F277="Compareceu",MAX(0,$M277-N($H277)),0))</f>
        <v>0</v>
      </c>
      <c r="Q277" s="19">
        <f>IF(AND($F277="Compareceu",$E277&lt;&gt;"",$A277&lt;&gt;""),IF(IFERROR(INDEX(ProcRet,MATCH($E277,ProcNome,0)),0)&gt;0,$A277+INDEX(ProcRet,MATCH($E277,ProcNome,0)),""),"")</f>
        <v>46379.0</v>
      </c>
      <c r="R277" s="26" t="str">
        <f>IF($Q277="","",IF(COUNTIFS(AgPac,$D277,AgData,"&gt;"&amp;$A277,AgStatus,"&lt;&gt;Cancelado",AgStatus,"&lt;&gt;Remarcado")&gt;0,"Sim","Não"))</f>
        <v>Sim</v>
      </c>
      <c r="S277" s="28">
        <f>IF($A277="","",IF(AND($F277="Agendado",$A277-Hoje&gt;=0,$A277-Hoje&lt;=DiasConf),"CONFIRMAR",IF(AND($A277&lt;Hoje,OR($F277="Agendado",$F277="Confirmado")),"Atualizar status",IF(AND($F277="Compareceu",$P277&gt;0.005),"Cobrar",IF($F277="Faltou","Falta: reagendar","")))))</f>
        <v>0</v>
      </c>
      <c r="T277" s="29">
        <f>IF($A277="","",DATE(YEAR($A277),MONTH($A277),1))</f>
        <v>46266.0</v>
      </c>
      <c r="U277" s="30">
        <f>IF($S277="CONFIRMAR",MAX($U$4:$U276)+1,"")</f>
        <v>0</v>
      </c>
      <c r="V277" s="30">
        <f>IF(AND($R277="Não",$Q277&lt;&gt;"",$Q277&lt;=Hoje+JanelaRet,$Q277&gt;=Hoje-60),MAX($V$4:$V276)+1,"")</f>
        <v>0</v>
      </c>
    </row>
    <row r="278" spans="1:22">
      <c r="A278" s="16">
        <v>46289</v>
      </c>
      <c r="B278" s="23">
        <v>0.5208333333333334</v>
      </c>
      <c r="C278" s="15" t="s">
        <v>53</v>
      </c>
      <c r="D278" s="15" t="s">
        <v>205</v>
      </c>
      <c r="E278" s="15" t="s">
        <v>60</v>
      </c>
      <c r="F278" s="24" t="s">
        <v>80</v>
      </c>
      <c r="G278" s="17"/>
      <c r="H278" s="17"/>
      <c r="I278" s="15"/>
      <c r="J278" s="25" t="str">
        <f>IF($D278="","",IFERROR(INDEX(PacNome,MATCH($D278,PacCod,0)),"Paciente não cadastrado"))</f>
        <v>Paciente 036</v>
      </c>
      <c r="K278" s="26" t="str">
        <f>IF($D278="","",IFERROR(INDEX(PacConv,MATCH($D278,PacCod,0))&amp;"",""))</f>
        <v>Convênio B</v>
      </c>
      <c r="L278" s="26" t="str">
        <f>IF($A278="","",CHOOSE(WEEKDAY($A278,2),"Seg","Ter","Qua","Qui","Sex","Sáb","Dom"))</f>
        <v>Qui</v>
      </c>
      <c r="M278" s="27">
        <f>IF($E278="","",IF($G278&lt;&gt;"",$G278,IFERROR(INDEX(ProcValor,MATCH($E278,ProcNome,0)),0)))</f>
        <v>180</v>
      </c>
      <c r="N278" s="27">
        <f>IF($M278="","",IF($F278="Compareceu",$M278,0))</f>
        <v>0</v>
      </c>
      <c r="O278" s="27">
        <f>IF($M278="","",IF($F278="Faltou",$M278,0))</f>
        <v>180</v>
      </c>
      <c r="P278" s="27">
        <f>IF($M278="","",IF($F278="Compareceu",MAX(0,$M278-N($H278)),0))</f>
        <v>0</v>
      </c>
      <c r="Q278" s="19">
        <f>IF(AND($F278="Compareceu",$E278&lt;&gt;"",$A278&lt;&gt;""),IF(IFERROR(INDEX(ProcRet,MATCH($E278,ProcNome,0)),0)&gt;0,$A278+INDEX(ProcRet,MATCH($E278,ProcNome,0)),""),"")</f>
        <v>0</v>
      </c>
      <c r="R278" s="26">
        <f>IF($Q278="","",IF(COUNTIFS(AgPac,$D278,AgData,"&gt;"&amp;$A278,AgStatus,"&lt;&gt;Cancelado",AgStatus,"&lt;&gt;Remarcado")&gt;0,"Sim","Não"))</f>
        <v>0</v>
      </c>
      <c r="S278" s="28" t="str">
        <f>IF($A278="","",IF(AND($F278="Agendado",$A278-Hoje&gt;=0,$A278-Hoje&lt;=DiasConf),"CONFIRMAR",IF(AND($A278&lt;Hoje,OR($F278="Agendado",$F278="Confirmado")),"Atualizar status",IF(AND($F278="Compareceu",$P278&gt;0.005),"Cobrar",IF($F278="Faltou","Falta: reagendar","")))))</f>
        <v>Falta: reagendar</v>
      </c>
      <c r="T278" s="29">
        <f>IF($A278="","",DATE(YEAR($A278),MONTH($A278),1))</f>
        <v>46266.0</v>
      </c>
      <c r="U278" s="30">
        <f>IF($S278="CONFIRMAR",MAX($U$4:$U277)+1,"")</f>
        <v>0</v>
      </c>
      <c r="V278" s="30">
        <f>IF(AND($R278="Não",$Q278&lt;&gt;"",$Q278&lt;=Hoje+JanelaRet,$Q278&gt;=Hoje-60),MAX($V$4:$V277)+1,"")</f>
        <v>0</v>
      </c>
    </row>
    <row r="279" spans="1:22">
      <c r="A279" s="16">
        <v>46290</v>
      </c>
      <c r="B279" s="23">
        <v>0.375</v>
      </c>
      <c r="C279" s="15" t="s">
        <v>53</v>
      </c>
      <c r="D279" s="15" t="s">
        <v>157</v>
      </c>
      <c r="E279" s="15" t="s">
        <v>59</v>
      </c>
      <c r="F279" s="24" t="s">
        <v>80</v>
      </c>
      <c r="G279" s="17"/>
      <c r="H279" s="17"/>
      <c r="I279" s="15"/>
      <c r="J279" s="25" t="str">
        <f>IF($D279="","",IFERROR(INDEX(PacNome,MATCH($D279,PacCod,0)),"Paciente não cadastrado"))</f>
        <v>Paciente 020</v>
      </c>
      <c r="K279" s="26" t="str">
        <f>IF($D279="","",IFERROR(INDEX(PacConv,MATCH($D279,PacCod,0))&amp;"",""))</f>
        <v>Particular</v>
      </c>
      <c r="L279" s="26" t="str">
        <f>IF($A279="","",CHOOSE(WEEKDAY($A279,2),"Seg","Ter","Qua","Qui","Sex","Sáb","Dom"))</f>
        <v>Sex</v>
      </c>
      <c r="M279" s="27">
        <f>IF($E279="","",IF($G279&lt;&gt;"",$G279,IFERROR(INDEX(ProcValor,MATCH($E279,ProcNome,0)),0)))</f>
        <v>150</v>
      </c>
      <c r="N279" s="27">
        <f>IF($M279="","",IF($F279="Compareceu",$M279,0))</f>
        <v>0</v>
      </c>
      <c r="O279" s="27">
        <f>IF($M279="","",IF($F279="Faltou",$M279,0))</f>
        <v>150</v>
      </c>
      <c r="P279" s="27">
        <f>IF($M279="","",IF($F279="Compareceu",MAX(0,$M279-N($H279)),0))</f>
        <v>0</v>
      </c>
      <c r="Q279" s="19">
        <f>IF(AND($F279="Compareceu",$E279&lt;&gt;"",$A279&lt;&gt;""),IF(IFERROR(INDEX(ProcRet,MATCH($E279,ProcNome,0)),0)&gt;0,$A279+INDEX(ProcRet,MATCH($E279,ProcNome,0)),""),"")</f>
        <v>0</v>
      </c>
      <c r="R279" s="26">
        <f>IF($Q279="","",IF(COUNTIFS(AgPac,$D279,AgData,"&gt;"&amp;$A279,AgStatus,"&lt;&gt;Cancelado",AgStatus,"&lt;&gt;Remarcado")&gt;0,"Sim","Não"))</f>
        <v>0</v>
      </c>
      <c r="S279" s="28" t="str">
        <f>IF($A279="","",IF(AND($F279="Agendado",$A279-Hoje&gt;=0,$A279-Hoje&lt;=DiasConf),"CONFIRMAR",IF(AND($A279&lt;Hoje,OR($F279="Agendado",$F279="Confirmado")),"Atualizar status",IF(AND($F279="Compareceu",$P279&gt;0.005),"Cobrar",IF($F279="Faltou","Falta: reagendar","")))))</f>
        <v>Falta: reagendar</v>
      </c>
      <c r="T279" s="29">
        <f>IF($A279="","",DATE(YEAR($A279),MONTH($A279),1))</f>
        <v>46266.0</v>
      </c>
      <c r="U279" s="30">
        <f>IF($S279="CONFIRMAR",MAX($U$4:$U278)+1,"")</f>
        <v>0</v>
      </c>
      <c r="V279" s="30">
        <f>IF(AND($R279="Não",$Q279&lt;&gt;"",$Q279&lt;=Hoje+JanelaRet,$Q279&gt;=Hoje-60),MAX($V$4:$V278)+1,"")</f>
        <v>0</v>
      </c>
    </row>
    <row r="280" spans="1:22">
      <c r="A280" s="16">
        <v>46290</v>
      </c>
      <c r="B280" s="23">
        <v>0.4583333333333333</v>
      </c>
      <c r="C280" s="15" t="s">
        <v>52</v>
      </c>
      <c r="D280" s="15" t="s">
        <v>184</v>
      </c>
      <c r="E280" s="15" t="s">
        <v>64</v>
      </c>
      <c r="F280" s="24" t="s">
        <v>80</v>
      </c>
      <c r="G280" s="17"/>
      <c r="H280" s="17"/>
      <c r="I280" s="15"/>
      <c r="J280" s="25" t="str">
        <f>IF($D280="","",IFERROR(INDEX(PacNome,MATCH($D280,PacCod,0)),"Paciente não cadastrado"))</f>
        <v>Paciente 029</v>
      </c>
      <c r="K280" s="26" t="str">
        <f>IF($D280="","",IFERROR(INDEX(PacConv,MATCH($D280,PacCod,0))&amp;"",""))</f>
        <v>Convênio B</v>
      </c>
      <c r="L280" s="26" t="str">
        <f>IF($A280="","",CHOOSE(WEEKDAY($A280,2),"Seg","Ter","Qua","Qui","Sex","Sáb","Dom"))</f>
        <v>Sex</v>
      </c>
      <c r="M280" s="27">
        <f>IF($E280="","",IF($G280&lt;&gt;"",$G280,IFERROR(INDEX(ProcValor,MATCH($E280,ProcNome,0)),0)))</f>
        <v>90</v>
      </c>
      <c r="N280" s="27">
        <f>IF($M280="","",IF($F280="Compareceu",$M280,0))</f>
        <v>0</v>
      </c>
      <c r="O280" s="27">
        <f>IF($M280="","",IF($F280="Faltou",$M280,0))</f>
        <v>90</v>
      </c>
      <c r="P280" s="27">
        <f>IF($M280="","",IF($F280="Compareceu",MAX(0,$M280-N($H280)),0))</f>
        <v>0</v>
      </c>
      <c r="Q280" s="19">
        <f>IF(AND($F280="Compareceu",$E280&lt;&gt;"",$A280&lt;&gt;""),IF(IFERROR(INDEX(ProcRet,MATCH($E280,ProcNome,0)),0)&gt;0,$A280+INDEX(ProcRet,MATCH($E280,ProcNome,0)),""),"")</f>
        <v>0</v>
      </c>
      <c r="R280" s="26">
        <f>IF($Q280="","",IF(COUNTIFS(AgPac,$D280,AgData,"&gt;"&amp;$A280,AgStatus,"&lt;&gt;Cancelado",AgStatus,"&lt;&gt;Remarcado")&gt;0,"Sim","Não"))</f>
        <v>0</v>
      </c>
      <c r="S280" s="28" t="str">
        <f>IF($A280="","",IF(AND($F280="Agendado",$A280-Hoje&gt;=0,$A280-Hoje&lt;=DiasConf),"CONFIRMAR",IF(AND($A280&lt;Hoje,OR($F280="Agendado",$F280="Confirmado")),"Atualizar status",IF(AND($F280="Compareceu",$P280&gt;0.005),"Cobrar",IF($F280="Faltou","Falta: reagendar","")))))</f>
        <v>Falta: reagendar</v>
      </c>
      <c r="T280" s="29">
        <f>IF($A280="","",DATE(YEAR($A280),MONTH($A280),1))</f>
        <v>46266.0</v>
      </c>
      <c r="U280" s="30">
        <f>IF($S280="CONFIRMAR",MAX($U$4:$U279)+1,"")</f>
        <v>0</v>
      </c>
      <c r="V280" s="30">
        <f>IF(AND($R280="Não",$Q280&lt;&gt;"",$Q280&lt;=Hoje+JanelaRet,$Q280&gt;=Hoje-60),MAX($V$4:$V279)+1,"")</f>
        <v>0</v>
      </c>
    </row>
    <row r="281" spans="1:22">
      <c r="A281" s="16">
        <v>46290</v>
      </c>
      <c r="B281" s="23">
        <v>0.5208333333333334</v>
      </c>
      <c r="C281" s="15" t="s">
        <v>51</v>
      </c>
      <c r="D281" s="15" t="s">
        <v>121</v>
      </c>
      <c r="E281" s="15" t="s">
        <v>59</v>
      </c>
      <c r="F281" s="24" t="s">
        <v>79</v>
      </c>
      <c r="G281" s="17"/>
      <c r="H281" s="17">
        <v>150</v>
      </c>
      <c r="I281" s="15" t="s">
        <v>74</v>
      </c>
      <c r="J281" s="25" t="str">
        <f>IF($D281="","",IFERROR(INDEX(PacNome,MATCH($D281,PacCod,0)),"Paciente não cadastrado"))</f>
        <v>Paciente 008</v>
      </c>
      <c r="K281" s="26" t="str">
        <f>IF($D281="","",IFERROR(INDEX(PacConv,MATCH($D281,PacCod,0))&amp;"",""))</f>
        <v>Particular</v>
      </c>
      <c r="L281" s="26" t="str">
        <f>IF($A281="","",CHOOSE(WEEKDAY($A281,2),"Seg","Ter","Qua","Qui","Sex","Sáb","Dom"))</f>
        <v>Sex</v>
      </c>
      <c r="M281" s="27">
        <f>IF($E281="","",IF($G281&lt;&gt;"",$G281,IFERROR(INDEX(ProcValor,MATCH($E281,ProcNome,0)),0)))</f>
        <v>150</v>
      </c>
      <c r="N281" s="27">
        <f>IF($M281="","",IF($F281="Compareceu",$M281,0))</f>
        <v>150</v>
      </c>
      <c r="O281" s="27">
        <f>IF($M281="","",IF($F281="Faltou",$M281,0))</f>
        <v>0</v>
      </c>
      <c r="P281" s="27">
        <f>IF($M281="","",IF($F281="Compareceu",MAX(0,$M281-N($H281)),0))</f>
        <v>0</v>
      </c>
      <c r="Q281" s="19">
        <f>IF(AND($F281="Compareceu",$E281&lt;&gt;"",$A281&lt;&gt;""),IF(IFERROR(INDEX(ProcRet,MATCH($E281,ProcNome,0)),0)&gt;0,$A281+INDEX(ProcRet,MATCH($E281,ProcNome,0)),""),"")</f>
        <v>0</v>
      </c>
      <c r="R281" s="26">
        <f>IF($Q281="","",IF(COUNTIFS(AgPac,$D281,AgData,"&gt;"&amp;$A281,AgStatus,"&lt;&gt;Cancelado",AgStatus,"&lt;&gt;Remarcado")&gt;0,"Sim","Não"))</f>
        <v>0</v>
      </c>
      <c r="S281" s="28">
        <f>IF($A281="","",IF(AND($F281="Agendado",$A281-Hoje&gt;=0,$A281-Hoje&lt;=DiasConf),"CONFIRMAR",IF(AND($A281&lt;Hoje,OR($F281="Agendado",$F281="Confirmado")),"Atualizar status",IF(AND($F281="Compareceu",$P281&gt;0.005),"Cobrar",IF($F281="Faltou","Falta: reagendar","")))))</f>
        <v>0</v>
      </c>
      <c r="T281" s="29">
        <f>IF($A281="","",DATE(YEAR($A281),MONTH($A281),1))</f>
        <v>46266.0</v>
      </c>
      <c r="U281" s="30">
        <f>IF($S281="CONFIRMAR",MAX($U$4:$U280)+1,"")</f>
        <v>0</v>
      </c>
      <c r="V281" s="30">
        <f>IF(AND($R281="Não",$Q281&lt;&gt;"",$Q281&lt;=Hoje+JanelaRet,$Q281&gt;=Hoje-60),MAX($V$4:$V280)+1,"")</f>
        <v>0</v>
      </c>
    </row>
    <row r="282" spans="1:22">
      <c r="A282" s="16">
        <v>46290</v>
      </c>
      <c r="B282" s="23">
        <v>0.7291666666666666</v>
      </c>
      <c r="C282" s="15" t="s">
        <v>53</v>
      </c>
      <c r="D282" s="15" t="s">
        <v>208</v>
      </c>
      <c r="E282" s="15" t="s">
        <v>59</v>
      </c>
      <c r="F282" s="24" t="s">
        <v>79</v>
      </c>
      <c r="G282" s="17">
        <v>90</v>
      </c>
      <c r="H282" s="17"/>
      <c r="I282" s="15"/>
      <c r="J282" s="25" t="str">
        <f>IF($D282="","",IFERROR(INDEX(PacNome,MATCH($D282,PacCod,0)),"Paciente não cadastrado"))</f>
        <v>Paciente 037</v>
      </c>
      <c r="K282" s="26" t="str">
        <f>IF($D282="","",IFERROR(INDEX(PacConv,MATCH($D282,PacCod,0))&amp;"",""))</f>
        <v>Convênio B</v>
      </c>
      <c r="L282" s="26" t="str">
        <f>IF($A282="","",CHOOSE(WEEKDAY($A282,2),"Seg","Ter","Qua","Qui","Sex","Sáb","Dom"))</f>
        <v>Sex</v>
      </c>
      <c r="M282" s="27">
        <f>IF($E282="","",IF($G282&lt;&gt;"",$G282,IFERROR(INDEX(ProcValor,MATCH($E282,ProcNome,0)),0)))</f>
        <v>90</v>
      </c>
      <c r="N282" s="27">
        <f>IF($M282="","",IF($F282="Compareceu",$M282,0))</f>
        <v>90</v>
      </c>
      <c r="O282" s="27">
        <f>IF($M282="","",IF($F282="Faltou",$M282,0))</f>
        <v>0</v>
      </c>
      <c r="P282" s="27">
        <f>IF($M282="","",IF($F282="Compareceu",MAX(0,$M282-N($H282)),0))</f>
        <v>90</v>
      </c>
      <c r="Q282" s="19">
        <f>IF(AND($F282="Compareceu",$E282&lt;&gt;"",$A282&lt;&gt;""),IF(IFERROR(INDEX(ProcRet,MATCH($E282,ProcNome,0)),0)&gt;0,$A282+INDEX(ProcRet,MATCH($E282,ProcNome,0)),""),"")</f>
        <v>0</v>
      </c>
      <c r="R282" s="26">
        <f>IF($Q282="","",IF(COUNTIFS(AgPac,$D282,AgData,"&gt;"&amp;$A282,AgStatus,"&lt;&gt;Cancelado",AgStatus,"&lt;&gt;Remarcado")&gt;0,"Sim","Não"))</f>
        <v>0</v>
      </c>
      <c r="S282" s="28" t="str">
        <f>IF($A282="","",IF(AND($F282="Agendado",$A282-Hoje&gt;=0,$A282-Hoje&lt;=DiasConf),"CONFIRMAR",IF(AND($A282&lt;Hoje,OR($F282="Agendado",$F282="Confirmado")),"Atualizar status",IF(AND($F282="Compareceu",$P282&gt;0.005),"Cobrar",IF($F282="Faltou","Falta: reagendar","")))))</f>
        <v>Cobrar</v>
      </c>
      <c r="T282" s="29">
        <f>IF($A282="","",DATE(YEAR($A282),MONTH($A282),1))</f>
        <v>46266.0</v>
      </c>
      <c r="U282" s="30">
        <f>IF($S282="CONFIRMAR",MAX($U$4:$U281)+1,"")</f>
        <v>0</v>
      </c>
      <c r="V282" s="30">
        <f>IF(AND($R282="Não",$Q282&lt;&gt;"",$Q282&lt;=Hoje+JanelaRet,$Q282&gt;=Hoje-60),MAX($V$4:$V281)+1,"")</f>
        <v>0</v>
      </c>
    </row>
    <row r="283" spans="1:22">
      <c r="A283" s="16">
        <v>46291</v>
      </c>
      <c r="B283" s="23">
        <v>0.6041666666666666</v>
      </c>
      <c r="C283" s="15" t="s">
        <v>52</v>
      </c>
      <c r="D283" s="15" t="s">
        <v>208</v>
      </c>
      <c r="E283" s="15" t="s">
        <v>58</v>
      </c>
      <c r="F283" s="24" t="s">
        <v>79</v>
      </c>
      <c r="G283" s="17">
        <v>150</v>
      </c>
      <c r="H283" s="17">
        <v>150</v>
      </c>
      <c r="I283" s="15" t="s">
        <v>75</v>
      </c>
      <c r="J283" s="25" t="str">
        <f>IF($D283="","",IFERROR(INDEX(PacNome,MATCH($D283,PacCod,0)),"Paciente não cadastrado"))</f>
        <v>Paciente 037</v>
      </c>
      <c r="K283" s="26" t="str">
        <f>IF($D283="","",IFERROR(INDEX(PacConv,MATCH($D283,PacCod,0))&amp;"",""))</f>
        <v>Convênio B</v>
      </c>
      <c r="L283" s="26" t="str">
        <f>IF($A283="","",CHOOSE(WEEKDAY($A283,2),"Seg","Ter","Qua","Qui","Sex","Sáb","Dom"))</f>
        <v>Sáb</v>
      </c>
      <c r="M283" s="27">
        <f>IF($E283="","",IF($G283&lt;&gt;"",$G283,IFERROR(INDEX(ProcValor,MATCH($E283,ProcNome,0)),0)))</f>
        <v>150</v>
      </c>
      <c r="N283" s="27">
        <f>IF($M283="","",IF($F283="Compareceu",$M283,0))</f>
        <v>150</v>
      </c>
      <c r="O283" s="27">
        <f>IF($M283="","",IF($F283="Faltou",$M283,0))</f>
        <v>0</v>
      </c>
      <c r="P283" s="27">
        <f>IF($M283="","",IF($F283="Compareceu",MAX(0,$M283-N($H283)),0))</f>
        <v>0</v>
      </c>
      <c r="Q283" s="19">
        <f>IF(AND($F283="Compareceu",$E283&lt;&gt;"",$A283&lt;&gt;""),IF(IFERROR(INDEX(ProcRet,MATCH($E283,ProcNome,0)),0)&gt;0,$A283+INDEX(ProcRet,MATCH($E283,ProcNome,0)),""),"")</f>
        <v>0</v>
      </c>
      <c r="R283" s="26">
        <f>IF($Q283="","",IF(COUNTIFS(AgPac,$D283,AgData,"&gt;"&amp;$A283,AgStatus,"&lt;&gt;Cancelado",AgStatus,"&lt;&gt;Remarcado")&gt;0,"Sim","Não"))</f>
        <v>0</v>
      </c>
      <c r="S283" s="28">
        <f>IF($A283="","",IF(AND($F283="Agendado",$A283-Hoje&gt;=0,$A283-Hoje&lt;=DiasConf),"CONFIRMAR",IF(AND($A283&lt;Hoje,OR($F283="Agendado",$F283="Confirmado")),"Atualizar status",IF(AND($F283="Compareceu",$P283&gt;0.005),"Cobrar",IF($F283="Faltou","Falta: reagendar","")))))</f>
        <v>0</v>
      </c>
      <c r="T283" s="29">
        <f>IF($A283="","",DATE(YEAR($A283),MONTH($A283),1))</f>
        <v>46266.0</v>
      </c>
      <c r="U283" s="30">
        <f>IF($S283="CONFIRMAR",MAX($U$4:$U282)+1,"")</f>
        <v>0</v>
      </c>
      <c r="V283" s="30">
        <f>IF(AND($R283="Não",$Q283&lt;&gt;"",$Q283&lt;=Hoje+JanelaRet,$Q283&gt;=Hoje-60),MAX($V$4:$V282)+1,"")</f>
        <v>0</v>
      </c>
    </row>
    <row r="284" spans="1:22">
      <c r="A284" s="16">
        <v>46291</v>
      </c>
      <c r="B284" s="23">
        <v>0.6458333333333334</v>
      </c>
      <c r="C284" s="15" t="s">
        <v>52</v>
      </c>
      <c r="D284" s="15" t="s">
        <v>187</v>
      </c>
      <c r="E284" s="15" t="s">
        <v>58</v>
      </c>
      <c r="F284" s="24" t="s">
        <v>80</v>
      </c>
      <c r="G284" s="17"/>
      <c r="H284" s="17"/>
      <c r="I284" s="15"/>
      <c r="J284" s="25" t="str">
        <f>IF($D284="","",IFERROR(INDEX(PacNome,MATCH($D284,PacCod,0)),"Paciente não cadastrado"))</f>
        <v>Paciente 030</v>
      </c>
      <c r="K284" s="26" t="str">
        <f>IF($D284="","",IFERROR(INDEX(PacConv,MATCH($D284,PacCod,0))&amp;"",""))</f>
        <v>Particular</v>
      </c>
      <c r="L284" s="26" t="str">
        <f>IF($A284="","",CHOOSE(WEEKDAY($A284,2),"Seg","Ter","Qua","Qui","Sex","Sáb","Dom"))</f>
        <v>Sáb</v>
      </c>
      <c r="M284" s="27">
        <f>IF($E284="","",IF($G284&lt;&gt;"",$G284,IFERROR(INDEX(ProcValor,MATCH($E284,ProcNome,0)),0)))</f>
        <v>250</v>
      </c>
      <c r="N284" s="27">
        <f>IF($M284="","",IF($F284="Compareceu",$M284,0))</f>
        <v>0</v>
      </c>
      <c r="O284" s="27">
        <f>IF($M284="","",IF($F284="Faltou",$M284,0))</f>
        <v>250</v>
      </c>
      <c r="P284" s="27">
        <f>IF($M284="","",IF($F284="Compareceu",MAX(0,$M284-N($H284)),0))</f>
        <v>0</v>
      </c>
      <c r="Q284" s="19">
        <f>IF(AND($F284="Compareceu",$E284&lt;&gt;"",$A284&lt;&gt;""),IF(IFERROR(INDEX(ProcRet,MATCH($E284,ProcNome,0)),0)&gt;0,$A284+INDEX(ProcRet,MATCH($E284,ProcNome,0)),""),"")</f>
        <v>0</v>
      </c>
      <c r="R284" s="26">
        <f>IF($Q284="","",IF(COUNTIFS(AgPac,$D284,AgData,"&gt;"&amp;$A284,AgStatus,"&lt;&gt;Cancelado",AgStatus,"&lt;&gt;Remarcado")&gt;0,"Sim","Não"))</f>
        <v>0</v>
      </c>
      <c r="S284" s="28" t="str">
        <f>IF($A284="","",IF(AND($F284="Agendado",$A284-Hoje&gt;=0,$A284-Hoje&lt;=DiasConf),"CONFIRMAR",IF(AND($A284&lt;Hoje,OR($F284="Agendado",$F284="Confirmado")),"Atualizar status",IF(AND($F284="Compareceu",$P284&gt;0.005),"Cobrar",IF($F284="Faltou","Falta: reagendar","")))))</f>
        <v>Falta: reagendar</v>
      </c>
      <c r="T284" s="29">
        <f>IF($A284="","",DATE(YEAR($A284),MONTH($A284),1))</f>
        <v>46266.0</v>
      </c>
      <c r="U284" s="30">
        <f>IF($S284="CONFIRMAR",MAX($U$4:$U283)+1,"")</f>
        <v>0</v>
      </c>
      <c r="V284" s="30">
        <f>IF(AND($R284="Não",$Q284&lt;&gt;"",$Q284&lt;=Hoje+JanelaRet,$Q284&gt;=Hoje-60),MAX($V$4:$V283)+1,"")</f>
        <v>0</v>
      </c>
    </row>
    <row r="285" spans="1:22">
      <c r="A285" s="16">
        <v>46293</v>
      </c>
      <c r="B285" s="23">
        <v>0.3333333333333333</v>
      </c>
      <c r="C285" s="15" t="s">
        <v>52</v>
      </c>
      <c r="D285" s="15" t="s">
        <v>139</v>
      </c>
      <c r="E285" s="15" t="s">
        <v>61</v>
      </c>
      <c r="F285" s="24" t="s">
        <v>79</v>
      </c>
      <c r="G285" s="17"/>
      <c r="H285" s="17">
        <v>120</v>
      </c>
      <c r="I285" s="15" t="s">
        <v>74</v>
      </c>
      <c r="J285" s="25" t="str">
        <f>IF($D285="","",IFERROR(INDEX(PacNome,MATCH($D285,PacCod,0)),"Paciente não cadastrado"))</f>
        <v>Paciente 014</v>
      </c>
      <c r="K285" s="26" t="str">
        <f>IF($D285="","",IFERROR(INDEX(PacConv,MATCH($D285,PacCod,0))&amp;"",""))</f>
        <v>Particular</v>
      </c>
      <c r="L285" s="26" t="str">
        <f>IF($A285="","",CHOOSE(WEEKDAY($A285,2),"Seg","Ter","Qua","Qui","Sex","Sáb","Dom"))</f>
        <v>Seg</v>
      </c>
      <c r="M285" s="27">
        <f>IF($E285="","",IF($G285&lt;&gt;"",$G285,IFERROR(INDEX(ProcValor,MATCH($E285,ProcNome,0)),0)))</f>
        <v>120</v>
      </c>
      <c r="N285" s="27">
        <f>IF($M285="","",IF($F285="Compareceu",$M285,0))</f>
        <v>120</v>
      </c>
      <c r="O285" s="27">
        <f>IF($M285="","",IF($F285="Faltou",$M285,0))</f>
        <v>0</v>
      </c>
      <c r="P285" s="27">
        <f>IF($M285="","",IF($F285="Compareceu",MAX(0,$M285-N($H285)),0))</f>
        <v>0</v>
      </c>
      <c r="Q285" s="19">
        <f>IF(AND($F285="Compareceu",$E285&lt;&gt;"",$A285&lt;&gt;""),IF(IFERROR(INDEX(ProcRet,MATCH($E285,ProcNome,0)),0)&gt;0,$A285+INDEX(ProcRet,MATCH($E285,ProcNome,0)),""),"")</f>
        <v>46323.0</v>
      </c>
      <c r="R285" s="26" t="str">
        <f>IF($Q285="","",IF(COUNTIFS(AgPac,$D285,AgData,"&gt;"&amp;$A285,AgStatus,"&lt;&gt;Cancelado",AgStatus,"&lt;&gt;Remarcado")&gt;0,"Sim","Não"))</f>
        <v>Não</v>
      </c>
      <c r="S285" s="28">
        <f>IF($A285="","",IF(AND($F285="Agendado",$A285-Hoje&gt;=0,$A285-Hoje&lt;=DiasConf),"CONFIRMAR",IF(AND($A285&lt;Hoje,OR($F285="Agendado",$F285="Confirmado")),"Atualizar status",IF(AND($F285="Compareceu",$P285&gt;0.005),"Cobrar",IF($F285="Faltou","Falta: reagendar","")))))</f>
        <v>0</v>
      </c>
      <c r="T285" s="29">
        <f>IF($A285="","",DATE(YEAR($A285),MONTH($A285),1))</f>
        <v>46266.0</v>
      </c>
      <c r="U285" s="30">
        <f>IF($S285="CONFIRMAR",MAX($U$4:$U284)+1,"")</f>
        <v>0</v>
      </c>
      <c r="V285" s="30">
        <f>IF(AND($R285="Não",$Q285&lt;&gt;"",$Q285&lt;=Hoje+JanelaRet,$Q285&gt;=Hoje-60),MAX($V$4:$V284)+1,"")</f>
        <v>0</v>
      </c>
    </row>
    <row r="286" spans="1:22">
      <c r="A286" s="16">
        <v>46293</v>
      </c>
      <c r="B286" s="23">
        <v>0.4791666666666667</v>
      </c>
      <c r="C286" s="15" t="s">
        <v>52</v>
      </c>
      <c r="D286" s="15" t="s">
        <v>175</v>
      </c>
      <c r="E286" s="15" t="s">
        <v>65</v>
      </c>
      <c r="F286" s="24" t="s">
        <v>79</v>
      </c>
      <c r="G286" s="17">
        <v>78</v>
      </c>
      <c r="H286" s="17">
        <v>78</v>
      </c>
      <c r="I286" s="15" t="s">
        <v>72</v>
      </c>
      <c r="J286" s="25" t="str">
        <f>IF($D286="","",IFERROR(INDEX(PacNome,MATCH($D286,PacCod,0)),"Paciente não cadastrado"))</f>
        <v>Paciente 026</v>
      </c>
      <c r="K286" s="26" t="str">
        <f>IF($D286="","",IFERROR(INDEX(PacConv,MATCH($D286,PacCod,0))&amp;"",""))</f>
        <v>Convênio A</v>
      </c>
      <c r="L286" s="26" t="str">
        <f>IF($A286="","",CHOOSE(WEEKDAY($A286,2),"Seg","Ter","Qua","Qui","Sex","Sáb","Dom"))</f>
        <v>Seg</v>
      </c>
      <c r="M286" s="27">
        <f>IF($E286="","",IF($G286&lt;&gt;"",$G286,IFERROR(INDEX(ProcValor,MATCH($E286,ProcNome,0)),0)))</f>
        <v>78</v>
      </c>
      <c r="N286" s="27">
        <f>IF($M286="","",IF($F286="Compareceu",$M286,0))</f>
        <v>78</v>
      </c>
      <c r="O286" s="27">
        <f>IF($M286="","",IF($F286="Faltou",$M286,0))</f>
        <v>0</v>
      </c>
      <c r="P286" s="27">
        <f>IF($M286="","",IF($F286="Compareceu",MAX(0,$M286-N($H286)),0))</f>
        <v>0</v>
      </c>
      <c r="Q286" s="19">
        <f>IF(AND($F286="Compareceu",$E286&lt;&gt;"",$A286&lt;&gt;""),IF(IFERROR(INDEX(ProcRet,MATCH($E286,ProcNome,0)),0)&gt;0,$A286+INDEX(ProcRet,MATCH($E286,ProcNome,0)),""),"")</f>
        <v>46383.0</v>
      </c>
      <c r="R286" s="26" t="str">
        <f>IF($Q286="","",IF(COUNTIFS(AgPac,$D286,AgData,"&gt;"&amp;$A286,AgStatus,"&lt;&gt;Cancelado",AgStatus,"&lt;&gt;Remarcado")&gt;0,"Sim","Não"))</f>
        <v>Sim</v>
      </c>
      <c r="S286" s="28">
        <f>IF($A286="","",IF(AND($F286="Agendado",$A286-Hoje&gt;=0,$A286-Hoje&lt;=DiasConf),"CONFIRMAR",IF(AND($A286&lt;Hoje,OR($F286="Agendado",$F286="Confirmado")),"Atualizar status",IF(AND($F286="Compareceu",$P286&gt;0.005),"Cobrar",IF($F286="Faltou","Falta: reagendar","")))))</f>
        <v>0</v>
      </c>
      <c r="T286" s="29">
        <f>IF($A286="","",DATE(YEAR($A286),MONTH($A286),1))</f>
        <v>46266.0</v>
      </c>
      <c r="U286" s="30">
        <f>IF($S286="CONFIRMAR",MAX($U$4:$U285)+1,"")</f>
        <v>0</v>
      </c>
      <c r="V286" s="30">
        <f>IF(AND($R286="Não",$Q286&lt;&gt;"",$Q286&lt;=Hoje+JanelaRet,$Q286&gt;=Hoje-60),MAX($V$4:$V285)+1,"")</f>
        <v>0</v>
      </c>
    </row>
    <row r="287" spans="1:22">
      <c r="A287" s="16">
        <v>46293</v>
      </c>
      <c r="B287" s="23">
        <v>0.5833333333333334</v>
      </c>
      <c r="C287" s="15" t="s">
        <v>51</v>
      </c>
      <c r="D287" s="15" t="s">
        <v>136</v>
      </c>
      <c r="E287" s="15" t="s">
        <v>62</v>
      </c>
      <c r="F287" s="24" t="s">
        <v>79</v>
      </c>
      <c r="G287" s="17"/>
      <c r="H287" s="17">
        <v>350</v>
      </c>
      <c r="I287" s="15" t="s">
        <v>75</v>
      </c>
      <c r="J287" s="25" t="str">
        <f>IF($D287="","",IFERROR(INDEX(PacNome,MATCH($D287,PacCod,0)),"Paciente não cadastrado"))</f>
        <v>Paciente 013</v>
      </c>
      <c r="K287" s="26" t="str">
        <f>IF($D287="","",IFERROR(INDEX(PacConv,MATCH($D287,PacCod,0))&amp;"",""))</f>
        <v>Particular</v>
      </c>
      <c r="L287" s="26" t="str">
        <f>IF($A287="","",CHOOSE(WEEKDAY($A287,2),"Seg","Ter","Qua","Qui","Sex","Sáb","Dom"))</f>
        <v>Seg</v>
      </c>
      <c r="M287" s="27">
        <f>IF($E287="","",IF($G287&lt;&gt;"",$G287,IFERROR(INDEX(ProcValor,MATCH($E287,ProcNome,0)),0)))</f>
        <v>350</v>
      </c>
      <c r="N287" s="27">
        <f>IF($M287="","",IF($F287="Compareceu",$M287,0))</f>
        <v>350</v>
      </c>
      <c r="O287" s="27">
        <f>IF($M287="","",IF($F287="Faltou",$M287,0))</f>
        <v>0</v>
      </c>
      <c r="P287" s="27">
        <f>IF($M287="","",IF($F287="Compareceu",MAX(0,$M287-N($H287)),0))</f>
        <v>0</v>
      </c>
      <c r="Q287" s="19">
        <f>IF(AND($F287="Compareceu",$E287&lt;&gt;"",$A287&lt;&gt;""),IF(IFERROR(INDEX(ProcRet,MATCH($E287,ProcNome,0)),0)&gt;0,$A287+INDEX(ProcRet,MATCH($E287,ProcNome,0)),""),"")</f>
        <v>46308.0</v>
      </c>
      <c r="R287" s="26" t="str">
        <f>IF($Q287="","",IF(COUNTIFS(AgPac,$D287,AgData,"&gt;"&amp;$A287,AgStatus,"&lt;&gt;Cancelado",AgStatus,"&lt;&gt;Remarcado")&gt;0,"Sim","Não"))</f>
        <v>Não</v>
      </c>
      <c r="S287" s="28">
        <f>IF($A287="","",IF(AND($F287="Agendado",$A287-Hoje&gt;=0,$A287-Hoje&lt;=DiasConf),"CONFIRMAR",IF(AND($A287&lt;Hoje,OR($F287="Agendado",$F287="Confirmado")),"Atualizar status",IF(AND($F287="Compareceu",$P287&gt;0.005),"Cobrar",IF($F287="Faltou","Falta: reagendar","")))))</f>
        <v>0</v>
      </c>
      <c r="T287" s="29">
        <f>IF($A287="","",DATE(YEAR($A287),MONTH($A287),1))</f>
        <v>46266.0</v>
      </c>
      <c r="U287" s="30">
        <f>IF($S287="CONFIRMAR",MAX($U$4:$U286)+1,"")</f>
        <v>0</v>
      </c>
      <c r="V287" s="30">
        <f>IF(AND($R287="Não",$Q287&lt;&gt;"",$Q287&lt;=Hoje+JanelaRet,$Q287&gt;=Hoje-60),MAX($V$4:$V286)+1,"")</f>
        <v>5</v>
      </c>
    </row>
    <row r="288" spans="1:22">
      <c r="A288" s="16">
        <v>46293</v>
      </c>
      <c r="B288" s="23">
        <v>0.7083333333333334</v>
      </c>
      <c r="C288" s="15" t="s">
        <v>52</v>
      </c>
      <c r="D288" s="15" t="s">
        <v>151</v>
      </c>
      <c r="E288" s="15" t="s">
        <v>58</v>
      </c>
      <c r="F288" s="24" t="s">
        <v>79</v>
      </c>
      <c r="G288" s="17"/>
      <c r="H288" s="17">
        <v>250</v>
      </c>
      <c r="I288" s="15" t="s">
        <v>74</v>
      </c>
      <c r="J288" s="25" t="str">
        <f>IF($D288="","",IFERROR(INDEX(PacNome,MATCH($D288,PacCod,0)),"Paciente não cadastrado"))</f>
        <v>Paciente 018</v>
      </c>
      <c r="K288" s="26" t="str">
        <f>IF($D288="","",IFERROR(INDEX(PacConv,MATCH($D288,PacCod,0))&amp;"",""))</f>
        <v>Particular</v>
      </c>
      <c r="L288" s="26" t="str">
        <f>IF($A288="","",CHOOSE(WEEKDAY($A288,2),"Seg","Ter","Qua","Qui","Sex","Sáb","Dom"))</f>
        <v>Seg</v>
      </c>
      <c r="M288" s="27">
        <f>IF($E288="","",IF($G288&lt;&gt;"",$G288,IFERROR(INDEX(ProcValor,MATCH($E288,ProcNome,0)),0)))</f>
        <v>250</v>
      </c>
      <c r="N288" s="27">
        <f>IF($M288="","",IF($F288="Compareceu",$M288,0))</f>
        <v>250</v>
      </c>
      <c r="O288" s="27">
        <f>IF($M288="","",IF($F288="Faltou",$M288,0))</f>
        <v>0</v>
      </c>
      <c r="P288" s="27">
        <f>IF($M288="","",IF($F288="Compareceu",MAX(0,$M288-N($H288)),0))</f>
        <v>0</v>
      </c>
      <c r="Q288" s="19">
        <f>IF(AND($F288="Compareceu",$E288&lt;&gt;"",$A288&lt;&gt;""),IF(IFERROR(INDEX(ProcRet,MATCH($E288,ProcNome,0)),0)&gt;0,$A288+INDEX(ProcRet,MATCH($E288,ProcNome,0)),""),"")</f>
        <v>0</v>
      </c>
      <c r="R288" s="26">
        <f>IF($Q288="","",IF(COUNTIFS(AgPac,$D288,AgData,"&gt;"&amp;$A288,AgStatus,"&lt;&gt;Cancelado",AgStatus,"&lt;&gt;Remarcado")&gt;0,"Sim","Não"))</f>
        <v>0</v>
      </c>
      <c r="S288" s="28">
        <f>IF($A288="","",IF(AND($F288="Agendado",$A288-Hoje&gt;=0,$A288-Hoje&lt;=DiasConf),"CONFIRMAR",IF(AND($A288&lt;Hoje,OR($F288="Agendado",$F288="Confirmado")),"Atualizar status",IF(AND($F288="Compareceu",$P288&gt;0.005),"Cobrar",IF($F288="Faltou","Falta: reagendar","")))))</f>
        <v>0</v>
      </c>
      <c r="T288" s="29">
        <f>IF($A288="","",DATE(YEAR($A288),MONTH($A288),1))</f>
        <v>46266.0</v>
      </c>
      <c r="U288" s="30">
        <f>IF($S288="CONFIRMAR",MAX($U$4:$U287)+1,"")</f>
        <v>0</v>
      </c>
      <c r="V288" s="30">
        <f>IF(AND($R288="Não",$Q288&lt;&gt;"",$Q288&lt;=Hoje+JanelaRet,$Q288&gt;=Hoje-60),MAX($V$4:$V287)+1,"")</f>
        <v>0</v>
      </c>
    </row>
    <row r="289" spans="1:22">
      <c r="A289" s="16">
        <v>46294</v>
      </c>
      <c r="B289" s="23">
        <v>0.3958333333333333</v>
      </c>
      <c r="C289" s="15" t="s">
        <v>52</v>
      </c>
      <c r="D289" s="15" t="s">
        <v>118</v>
      </c>
      <c r="E289" s="15" t="s">
        <v>63</v>
      </c>
      <c r="F289" s="24" t="s">
        <v>79</v>
      </c>
      <c r="G289" s="17"/>
      <c r="H289" s="17">
        <v>140</v>
      </c>
      <c r="I289" s="15" t="s">
        <v>74</v>
      </c>
      <c r="J289" s="25" t="str">
        <f>IF($D289="","",IFERROR(INDEX(PacNome,MATCH($D289,PacCod,0)),"Paciente não cadastrado"))</f>
        <v>Paciente 007</v>
      </c>
      <c r="K289" s="26" t="str">
        <f>IF($D289="","",IFERROR(INDEX(PacConv,MATCH($D289,PacCod,0))&amp;"",""))</f>
        <v>Particular</v>
      </c>
      <c r="L289" s="26" t="str">
        <f>IF($A289="","",CHOOSE(WEEKDAY($A289,2),"Seg","Ter","Qua","Qui","Sex","Sáb","Dom"))</f>
        <v>Ter</v>
      </c>
      <c r="M289" s="27">
        <f>IF($E289="","",IF($G289&lt;&gt;"",$G289,IFERROR(INDEX(ProcValor,MATCH($E289,ProcNome,0)),0)))</f>
        <v>140</v>
      </c>
      <c r="N289" s="27">
        <f>IF($M289="","",IF($F289="Compareceu",$M289,0))</f>
        <v>140</v>
      </c>
      <c r="O289" s="27">
        <f>IF($M289="","",IF($F289="Faltou",$M289,0))</f>
        <v>0</v>
      </c>
      <c r="P289" s="27">
        <f>IF($M289="","",IF($F289="Compareceu",MAX(0,$M289-N($H289)),0))</f>
        <v>0</v>
      </c>
      <c r="Q289" s="19">
        <f>IF(AND($F289="Compareceu",$E289&lt;&gt;"",$A289&lt;&gt;""),IF(IFERROR(INDEX(ProcRet,MATCH($E289,ProcNome,0)),0)&gt;0,$A289+INDEX(ProcRet,MATCH($E289,ProcNome,0)),""),"")</f>
        <v>46301.0</v>
      </c>
      <c r="R289" s="26" t="str">
        <f>IF($Q289="","",IF(COUNTIFS(AgPac,$D289,AgData,"&gt;"&amp;$A289,AgStatus,"&lt;&gt;Cancelado",AgStatus,"&lt;&gt;Remarcado")&gt;0,"Sim","Não"))</f>
        <v>Sim</v>
      </c>
      <c r="S289" s="28">
        <f>IF($A289="","",IF(AND($F289="Agendado",$A289-Hoje&gt;=0,$A289-Hoje&lt;=DiasConf),"CONFIRMAR",IF(AND($A289&lt;Hoje,OR($F289="Agendado",$F289="Confirmado")),"Atualizar status",IF(AND($F289="Compareceu",$P289&gt;0.005),"Cobrar",IF($F289="Faltou","Falta: reagendar","")))))</f>
        <v>0</v>
      </c>
      <c r="T289" s="29">
        <f>IF($A289="","",DATE(YEAR($A289),MONTH($A289),1))</f>
        <v>46266.0</v>
      </c>
      <c r="U289" s="30">
        <f>IF($S289="CONFIRMAR",MAX($U$4:$U288)+1,"")</f>
        <v>0</v>
      </c>
      <c r="V289" s="30">
        <f>IF(AND($R289="Não",$Q289&lt;&gt;"",$Q289&lt;=Hoje+JanelaRet,$Q289&gt;=Hoje-60),MAX($V$4:$V288)+1,"")</f>
        <v>0</v>
      </c>
    </row>
    <row r="290" spans="1:22">
      <c r="A290" s="16">
        <v>46294</v>
      </c>
      <c r="B290" s="23">
        <v>0.6041666666666666</v>
      </c>
      <c r="C290" s="15" t="s">
        <v>52</v>
      </c>
      <c r="D290" s="15" t="s">
        <v>229</v>
      </c>
      <c r="E290" s="15" t="s">
        <v>64</v>
      </c>
      <c r="F290" s="24" t="s">
        <v>79</v>
      </c>
      <c r="G290" s="17"/>
      <c r="H290" s="17">
        <v>90</v>
      </c>
      <c r="I290" s="15" t="s">
        <v>74</v>
      </c>
      <c r="J290" s="25" t="str">
        <f>IF($D290="","",IFERROR(INDEX(PacNome,MATCH($D290,PacCod,0)),"Paciente não cadastrado"))</f>
        <v>Paciente 044</v>
      </c>
      <c r="K290" s="26" t="str">
        <f>IF($D290="","",IFERROR(INDEX(PacConv,MATCH($D290,PacCod,0))&amp;"",""))</f>
        <v>Particular</v>
      </c>
      <c r="L290" s="26" t="str">
        <f>IF($A290="","",CHOOSE(WEEKDAY($A290,2),"Seg","Ter","Qua","Qui","Sex","Sáb","Dom"))</f>
        <v>Ter</v>
      </c>
      <c r="M290" s="27">
        <f>IF($E290="","",IF($G290&lt;&gt;"",$G290,IFERROR(INDEX(ProcValor,MATCH($E290,ProcNome,0)),0)))</f>
        <v>90</v>
      </c>
      <c r="N290" s="27">
        <f>IF($M290="","",IF($F290="Compareceu",$M290,0))</f>
        <v>90</v>
      </c>
      <c r="O290" s="27">
        <f>IF($M290="","",IF($F290="Faltou",$M290,0))</f>
        <v>0</v>
      </c>
      <c r="P290" s="27">
        <f>IF($M290="","",IF($F290="Compareceu",MAX(0,$M290-N($H290)),0))</f>
        <v>0</v>
      </c>
      <c r="Q290" s="19">
        <f>IF(AND($F290="Compareceu",$E290&lt;&gt;"",$A290&lt;&gt;""),IF(IFERROR(INDEX(ProcRet,MATCH($E290,ProcNome,0)),0)&gt;0,$A290+INDEX(ProcRet,MATCH($E290,ProcNome,0)),""),"")</f>
        <v>0</v>
      </c>
      <c r="R290" s="26">
        <f>IF($Q290="","",IF(COUNTIFS(AgPac,$D290,AgData,"&gt;"&amp;$A290,AgStatus,"&lt;&gt;Cancelado",AgStatus,"&lt;&gt;Remarcado")&gt;0,"Sim","Não"))</f>
        <v>0</v>
      </c>
      <c r="S290" s="28">
        <f>IF($A290="","",IF(AND($F290="Agendado",$A290-Hoje&gt;=0,$A290-Hoje&lt;=DiasConf),"CONFIRMAR",IF(AND($A290&lt;Hoje,OR($F290="Agendado",$F290="Confirmado")),"Atualizar status",IF(AND($F290="Compareceu",$P290&gt;0.005),"Cobrar",IF($F290="Faltou","Falta: reagendar","")))))</f>
        <v>0</v>
      </c>
      <c r="T290" s="29">
        <f>IF($A290="","",DATE(YEAR($A290),MONTH($A290),1))</f>
        <v>46266.0</v>
      </c>
      <c r="U290" s="30">
        <f>IF($S290="CONFIRMAR",MAX($U$4:$U289)+1,"")</f>
        <v>0</v>
      </c>
      <c r="V290" s="30">
        <f>IF(AND($R290="Não",$Q290&lt;&gt;"",$Q290&lt;=Hoje+JanelaRet,$Q290&gt;=Hoje-60),MAX($V$4:$V289)+1,"")</f>
        <v>0</v>
      </c>
    </row>
    <row r="291" spans="1:22">
      <c r="A291" s="16">
        <v>46294</v>
      </c>
      <c r="B291" s="23">
        <v>0.6666666666666666</v>
      </c>
      <c r="C291" s="15" t="s">
        <v>52</v>
      </c>
      <c r="D291" s="15" t="s">
        <v>235</v>
      </c>
      <c r="E291" s="15" t="s">
        <v>62</v>
      </c>
      <c r="F291" s="24" t="s">
        <v>79</v>
      </c>
      <c r="G291" s="17">
        <v>210</v>
      </c>
      <c r="H291" s="17">
        <v>210</v>
      </c>
      <c r="I291" s="15" t="s">
        <v>74</v>
      </c>
      <c r="J291" s="25" t="str">
        <f>IF($D291="","",IFERROR(INDEX(PacNome,MATCH($D291,PacCod,0)),"Paciente não cadastrado"))</f>
        <v>Paciente 046</v>
      </c>
      <c r="K291" s="26" t="str">
        <f>IF($D291="","",IFERROR(INDEX(PacConv,MATCH($D291,PacCod,0))&amp;"",""))</f>
        <v>Convênio A</v>
      </c>
      <c r="L291" s="26" t="str">
        <f>IF($A291="","",CHOOSE(WEEKDAY($A291,2),"Seg","Ter","Qua","Qui","Sex","Sáb","Dom"))</f>
        <v>Ter</v>
      </c>
      <c r="M291" s="27">
        <f>IF($E291="","",IF($G291&lt;&gt;"",$G291,IFERROR(INDEX(ProcValor,MATCH($E291,ProcNome,0)),0)))</f>
        <v>210</v>
      </c>
      <c r="N291" s="27">
        <f>IF($M291="","",IF($F291="Compareceu",$M291,0))</f>
        <v>210</v>
      </c>
      <c r="O291" s="27">
        <f>IF($M291="","",IF($F291="Faltou",$M291,0))</f>
        <v>0</v>
      </c>
      <c r="P291" s="27">
        <f>IF($M291="","",IF($F291="Compareceu",MAX(0,$M291-N($H291)),0))</f>
        <v>0</v>
      </c>
      <c r="Q291" s="19">
        <f>IF(AND($F291="Compareceu",$E291&lt;&gt;"",$A291&lt;&gt;""),IF(IFERROR(INDEX(ProcRet,MATCH($E291,ProcNome,0)),0)&gt;0,$A291+INDEX(ProcRet,MATCH($E291,ProcNome,0)),""),"")</f>
        <v>46309.0</v>
      </c>
      <c r="R291" s="26" t="str">
        <f>IF($Q291="","",IF(COUNTIFS(AgPac,$D291,AgData,"&gt;"&amp;$A291,AgStatus,"&lt;&gt;Cancelado",AgStatus,"&lt;&gt;Remarcado")&gt;0,"Sim","Não"))</f>
        <v>Sim</v>
      </c>
      <c r="S291" s="28">
        <f>IF($A291="","",IF(AND($F291="Agendado",$A291-Hoje&gt;=0,$A291-Hoje&lt;=DiasConf),"CONFIRMAR",IF(AND($A291&lt;Hoje,OR($F291="Agendado",$F291="Confirmado")),"Atualizar status",IF(AND($F291="Compareceu",$P291&gt;0.005),"Cobrar",IF($F291="Faltou","Falta: reagendar","")))))</f>
        <v>0</v>
      </c>
      <c r="T291" s="29">
        <f>IF($A291="","",DATE(YEAR($A291),MONTH($A291),1))</f>
        <v>46266.0</v>
      </c>
      <c r="U291" s="30">
        <f>IF($S291="CONFIRMAR",MAX($U$4:$U290)+1,"")</f>
        <v>0</v>
      </c>
      <c r="V291" s="30">
        <f>IF(AND($R291="Não",$Q291&lt;&gt;"",$Q291&lt;=Hoje+JanelaRet,$Q291&gt;=Hoje-60),MAX($V$4:$V290)+1,"")</f>
        <v>0</v>
      </c>
    </row>
    <row r="292" spans="1:22">
      <c r="A292" s="16">
        <v>46295</v>
      </c>
      <c r="B292" s="23">
        <v>0.375</v>
      </c>
      <c r="C292" s="15" t="s">
        <v>53</v>
      </c>
      <c r="D292" s="15" t="s">
        <v>169</v>
      </c>
      <c r="E292" s="15" t="s">
        <v>59</v>
      </c>
      <c r="F292" s="24" t="s">
        <v>79</v>
      </c>
      <c r="G292" s="17"/>
      <c r="H292" s="17">
        <v>150</v>
      </c>
      <c r="I292" s="15" t="s">
        <v>74</v>
      </c>
      <c r="J292" s="25" t="str">
        <f>IF($D292="","",IFERROR(INDEX(PacNome,MATCH($D292,PacCod,0)),"Paciente não cadastrado"))</f>
        <v>Paciente 024</v>
      </c>
      <c r="K292" s="26" t="str">
        <f>IF($D292="","",IFERROR(INDEX(PacConv,MATCH($D292,PacCod,0))&amp;"",""))</f>
        <v>Particular</v>
      </c>
      <c r="L292" s="26" t="str">
        <f>IF($A292="","",CHOOSE(WEEKDAY($A292,2),"Seg","Ter","Qua","Qui","Sex","Sáb","Dom"))</f>
        <v>Qua</v>
      </c>
      <c r="M292" s="27">
        <f>IF($E292="","",IF($G292&lt;&gt;"",$G292,IFERROR(INDEX(ProcValor,MATCH($E292,ProcNome,0)),0)))</f>
        <v>150</v>
      </c>
      <c r="N292" s="27">
        <f>IF($M292="","",IF($F292="Compareceu",$M292,0))</f>
        <v>150</v>
      </c>
      <c r="O292" s="27">
        <f>IF($M292="","",IF($F292="Faltou",$M292,0))</f>
        <v>0</v>
      </c>
      <c r="P292" s="27">
        <f>IF($M292="","",IF($F292="Compareceu",MAX(0,$M292-N($H292)),0))</f>
        <v>0</v>
      </c>
      <c r="Q292" s="19">
        <f>IF(AND($F292="Compareceu",$E292&lt;&gt;"",$A292&lt;&gt;""),IF(IFERROR(INDEX(ProcRet,MATCH($E292,ProcNome,0)),0)&gt;0,$A292+INDEX(ProcRet,MATCH($E292,ProcNome,0)),""),"")</f>
        <v>0</v>
      </c>
      <c r="R292" s="26">
        <f>IF($Q292="","",IF(COUNTIFS(AgPac,$D292,AgData,"&gt;"&amp;$A292,AgStatus,"&lt;&gt;Cancelado",AgStatus,"&lt;&gt;Remarcado")&gt;0,"Sim","Não"))</f>
        <v>0</v>
      </c>
      <c r="S292" s="28">
        <f>IF($A292="","",IF(AND($F292="Agendado",$A292-Hoje&gt;=0,$A292-Hoje&lt;=DiasConf),"CONFIRMAR",IF(AND($A292&lt;Hoje,OR($F292="Agendado",$F292="Confirmado")),"Atualizar status",IF(AND($F292="Compareceu",$P292&gt;0.005),"Cobrar",IF($F292="Faltou","Falta: reagendar","")))))</f>
        <v>0</v>
      </c>
      <c r="T292" s="29">
        <f>IF($A292="","",DATE(YEAR($A292),MONTH($A292),1))</f>
        <v>46266.0</v>
      </c>
      <c r="U292" s="30">
        <f>IF($S292="CONFIRMAR",MAX($U$4:$U291)+1,"")</f>
        <v>0</v>
      </c>
      <c r="V292" s="30">
        <f>IF(AND($R292="Não",$Q292&lt;&gt;"",$Q292&lt;=Hoje+JanelaRet,$Q292&gt;=Hoje-60),MAX($V$4:$V291)+1,"")</f>
        <v>0</v>
      </c>
    </row>
    <row r="293" spans="1:22">
      <c r="A293" s="16">
        <v>46295</v>
      </c>
      <c r="B293" s="23">
        <v>0.4166666666666667</v>
      </c>
      <c r="C293" s="15" t="s">
        <v>54</v>
      </c>
      <c r="D293" s="15" t="s">
        <v>211</v>
      </c>
      <c r="E293" s="15" t="s">
        <v>64</v>
      </c>
      <c r="F293" s="24" t="s">
        <v>82</v>
      </c>
      <c r="G293" s="17"/>
      <c r="H293" s="17"/>
      <c r="I293" s="15"/>
      <c r="J293" s="25" t="str">
        <f>IF($D293="","",IFERROR(INDEX(PacNome,MATCH($D293,PacCod,0)),"Paciente não cadastrado"))</f>
        <v>Paciente 038</v>
      </c>
      <c r="K293" s="26" t="str">
        <f>IF($D293="","",IFERROR(INDEX(PacConv,MATCH($D293,PacCod,0))&amp;"",""))</f>
        <v>Convênio A</v>
      </c>
      <c r="L293" s="26" t="str">
        <f>IF($A293="","",CHOOSE(WEEKDAY($A293,2),"Seg","Ter","Qua","Qui","Sex","Sáb","Dom"))</f>
        <v>Qua</v>
      </c>
      <c r="M293" s="27">
        <f>IF($E293="","",IF($G293&lt;&gt;"",$G293,IFERROR(INDEX(ProcValor,MATCH($E293,ProcNome,0)),0)))</f>
        <v>90</v>
      </c>
      <c r="N293" s="27">
        <f>IF($M293="","",IF($F293="Compareceu",$M293,0))</f>
        <v>0</v>
      </c>
      <c r="O293" s="27">
        <f>IF($M293="","",IF($F293="Faltou",$M293,0))</f>
        <v>0</v>
      </c>
      <c r="P293" s="27">
        <f>IF($M293="","",IF($F293="Compareceu",MAX(0,$M293-N($H293)),0))</f>
        <v>0</v>
      </c>
      <c r="Q293" s="19">
        <f>IF(AND($F293="Compareceu",$E293&lt;&gt;"",$A293&lt;&gt;""),IF(IFERROR(INDEX(ProcRet,MATCH($E293,ProcNome,0)),0)&gt;0,$A293+INDEX(ProcRet,MATCH($E293,ProcNome,0)),""),"")</f>
        <v>0</v>
      </c>
      <c r="R293" s="26">
        <f>IF($Q293="","",IF(COUNTIFS(AgPac,$D293,AgData,"&gt;"&amp;$A293,AgStatus,"&lt;&gt;Cancelado",AgStatus,"&lt;&gt;Remarcado")&gt;0,"Sim","Não"))</f>
        <v>0</v>
      </c>
      <c r="S293" s="28">
        <f>IF($A293="","",IF(AND($F293="Agendado",$A293-Hoje&gt;=0,$A293-Hoje&lt;=DiasConf),"CONFIRMAR",IF(AND($A293&lt;Hoje,OR($F293="Agendado",$F293="Confirmado")),"Atualizar status",IF(AND($F293="Compareceu",$P293&gt;0.005),"Cobrar",IF($F293="Faltou","Falta: reagendar","")))))</f>
        <v>0</v>
      </c>
      <c r="T293" s="29">
        <f>IF($A293="","",DATE(YEAR($A293),MONTH($A293),1))</f>
        <v>46266.0</v>
      </c>
      <c r="U293" s="30">
        <f>IF($S293="CONFIRMAR",MAX($U$4:$U292)+1,"")</f>
        <v>0</v>
      </c>
      <c r="V293" s="30">
        <f>IF(AND($R293="Não",$Q293&lt;&gt;"",$Q293&lt;=Hoje+JanelaRet,$Q293&gt;=Hoje-60),MAX($V$4:$V292)+1,"")</f>
        <v>0</v>
      </c>
    </row>
    <row r="294" spans="1:22">
      <c r="A294" s="16">
        <v>46295</v>
      </c>
      <c r="B294" s="23">
        <v>0.6875</v>
      </c>
      <c r="C294" s="15" t="s">
        <v>52</v>
      </c>
      <c r="D294" s="15" t="s">
        <v>157</v>
      </c>
      <c r="E294" s="15" t="s">
        <v>62</v>
      </c>
      <c r="F294" s="24" t="s">
        <v>80</v>
      </c>
      <c r="G294" s="17"/>
      <c r="H294" s="17"/>
      <c r="I294" s="15"/>
      <c r="J294" s="25" t="str">
        <f>IF($D294="","",IFERROR(INDEX(PacNome,MATCH($D294,PacCod,0)),"Paciente não cadastrado"))</f>
        <v>Paciente 020</v>
      </c>
      <c r="K294" s="26" t="str">
        <f>IF($D294="","",IFERROR(INDEX(PacConv,MATCH($D294,PacCod,0))&amp;"",""))</f>
        <v>Particular</v>
      </c>
      <c r="L294" s="26" t="str">
        <f>IF($A294="","",CHOOSE(WEEKDAY($A294,2),"Seg","Ter","Qua","Qui","Sex","Sáb","Dom"))</f>
        <v>Qua</v>
      </c>
      <c r="M294" s="27">
        <f>IF($E294="","",IF($G294&lt;&gt;"",$G294,IFERROR(INDEX(ProcValor,MATCH($E294,ProcNome,0)),0)))</f>
        <v>350</v>
      </c>
      <c r="N294" s="27">
        <f>IF($M294="","",IF($F294="Compareceu",$M294,0))</f>
        <v>0</v>
      </c>
      <c r="O294" s="27">
        <f>IF($M294="","",IF($F294="Faltou",$M294,0))</f>
        <v>350</v>
      </c>
      <c r="P294" s="27">
        <f>IF($M294="","",IF($F294="Compareceu",MAX(0,$M294-N($H294)),0))</f>
        <v>0</v>
      </c>
      <c r="Q294" s="19">
        <f>IF(AND($F294="Compareceu",$E294&lt;&gt;"",$A294&lt;&gt;""),IF(IFERROR(INDEX(ProcRet,MATCH($E294,ProcNome,0)),0)&gt;0,$A294+INDEX(ProcRet,MATCH($E294,ProcNome,0)),""),"")</f>
        <v>0</v>
      </c>
      <c r="R294" s="26">
        <f>IF($Q294="","",IF(COUNTIFS(AgPac,$D294,AgData,"&gt;"&amp;$A294,AgStatus,"&lt;&gt;Cancelado",AgStatus,"&lt;&gt;Remarcado")&gt;0,"Sim","Não"))</f>
        <v>0</v>
      </c>
      <c r="S294" s="28" t="str">
        <f>IF($A294="","",IF(AND($F294="Agendado",$A294-Hoje&gt;=0,$A294-Hoje&lt;=DiasConf),"CONFIRMAR",IF(AND($A294&lt;Hoje,OR($F294="Agendado",$F294="Confirmado")),"Atualizar status",IF(AND($F294="Compareceu",$P294&gt;0.005),"Cobrar",IF($F294="Faltou","Falta: reagendar","")))))</f>
        <v>Falta: reagendar</v>
      </c>
      <c r="T294" s="29">
        <f>IF($A294="","",DATE(YEAR($A294),MONTH($A294),1))</f>
        <v>46266.0</v>
      </c>
      <c r="U294" s="30">
        <f>IF($S294="CONFIRMAR",MAX($U$4:$U293)+1,"")</f>
        <v>0</v>
      </c>
      <c r="V294" s="30">
        <f>IF(AND($R294="Não",$Q294&lt;&gt;"",$Q294&lt;=Hoje+JanelaRet,$Q294&gt;=Hoje-60),MAX($V$4:$V293)+1,"")</f>
        <v>0</v>
      </c>
    </row>
    <row r="295" spans="1:22">
      <c r="A295" s="16">
        <v>46296</v>
      </c>
      <c r="B295" s="23">
        <v>0.5208333333333334</v>
      </c>
      <c r="C295" s="15" t="s">
        <v>53</v>
      </c>
      <c r="D295" s="15" t="s">
        <v>217</v>
      </c>
      <c r="E295" s="15" t="s">
        <v>58</v>
      </c>
      <c r="F295" s="24" t="s">
        <v>79</v>
      </c>
      <c r="G295" s="17"/>
      <c r="H295" s="17">
        <v>250</v>
      </c>
      <c r="I295" s="15" t="s">
        <v>72</v>
      </c>
      <c r="J295" s="25" t="str">
        <f>IF($D295="","",IFERROR(INDEX(PacNome,MATCH($D295,PacCod,0)),"Paciente não cadastrado"))</f>
        <v>Paciente 040</v>
      </c>
      <c r="K295" s="26" t="str">
        <f>IF($D295="","",IFERROR(INDEX(PacConv,MATCH($D295,PacCod,0))&amp;"",""))</f>
        <v>Particular</v>
      </c>
      <c r="L295" s="26" t="str">
        <f>IF($A295="","",CHOOSE(WEEKDAY($A295,2),"Seg","Ter","Qua","Qui","Sex","Sáb","Dom"))</f>
        <v>Qui</v>
      </c>
      <c r="M295" s="27">
        <f>IF($E295="","",IF($G295&lt;&gt;"",$G295,IFERROR(INDEX(ProcValor,MATCH($E295,ProcNome,0)),0)))</f>
        <v>250</v>
      </c>
      <c r="N295" s="27">
        <f>IF($M295="","",IF($F295="Compareceu",$M295,0))</f>
        <v>250</v>
      </c>
      <c r="O295" s="27">
        <f>IF($M295="","",IF($F295="Faltou",$M295,0))</f>
        <v>0</v>
      </c>
      <c r="P295" s="27">
        <f>IF($M295="","",IF($F295="Compareceu",MAX(0,$M295-N($H295)),0))</f>
        <v>0</v>
      </c>
      <c r="Q295" s="19">
        <f>IF(AND($F295="Compareceu",$E295&lt;&gt;"",$A295&lt;&gt;""),IF(IFERROR(INDEX(ProcRet,MATCH($E295,ProcNome,0)),0)&gt;0,$A295+INDEX(ProcRet,MATCH($E295,ProcNome,0)),""),"")</f>
        <v>0</v>
      </c>
      <c r="R295" s="26">
        <f>IF($Q295="","",IF(COUNTIFS(AgPac,$D295,AgData,"&gt;"&amp;$A295,AgStatus,"&lt;&gt;Cancelado",AgStatus,"&lt;&gt;Remarcado")&gt;0,"Sim","Não"))</f>
        <v>0</v>
      </c>
      <c r="S295" s="28">
        <f>IF($A295="","",IF(AND($F295="Agendado",$A295-Hoje&gt;=0,$A295-Hoje&lt;=DiasConf),"CONFIRMAR",IF(AND($A295&lt;Hoje,OR($F295="Agendado",$F295="Confirmado")),"Atualizar status",IF(AND($F295="Compareceu",$P295&gt;0.005),"Cobrar",IF($F295="Faltou","Falta: reagendar","")))))</f>
        <v>0</v>
      </c>
      <c r="T295" s="29">
        <f>IF($A295="","",DATE(YEAR($A295),MONTH($A295),1))</f>
        <v>46296.0</v>
      </c>
      <c r="U295" s="30">
        <f>IF($S295="CONFIRMAR",MAX($U$4:$U294)+1,"")</f>
        <v>0</v>
      </c>
      <c r="V295" s="30">
        <f>IF(AND($R295="Não",$Q295&lt;&gt;"",$Q295&lt;=Hoje+JanelaRet,$Q295&gt;=Hoje-60),MAX($V$4:$V294)+1,"")</f>
        <v>0</v>
      </c>
    </row>
    <row r="296" spans="1:22">
      <c r="A296" s="16">
        <v>46296</v>
      </c>
      <c r="B296" s="23">
        <v>0.5416666666666666</v>
      </c>
      <c r="C296" s="15" t="s">
        <v>52</v>
      </c>
      <c r="D296" s="15" t="s">
        <v>220</v>
      </c>
      <c r="E296" s="15" t="s">
        <v>63</v>
      </c>
      <c r="F296" s="24" t="s">
        <v>79</v>
      </c>
      <c r="G296" s="17">
        <v>84</v>
      </c>
      <c r="H296" s="17">
        <v>84</v>
      </c>
      <c r="I296" s="15" t="s">
        <v>73</v>
      </c>
      <c r="J296" s="25" t="str">
        <f>IF($D296="","",IFERROR(INDEX(PacNome,MATCH($D296,PacCod,0)),"Paciente não cadastrado"))</f>
        <v>Paciente 041</v>
      </c>
      <c r="K296" s="26" t="str">
        <f>IF($D296="","",IFERROR(INDEX(PacConv,MATCH($D296,PacCod,0))&amp;"",""))</f>
        <v>Convênio B</v>
      </c>
      <c r="L296" s="26" t="str">
        <f>IF($A296="","",CHOOSE(WEEKDAY($A296,2),"Seg","Ter","Qua","Qui","Sex","Sáb","Dom"))</f>
        <v>Qui</v>
      </c>
      <c r="M296" s="27">
        <f>IF($E296="","",IF($G296&lt;&gt;"",$G296,IFERROR(INDEX(ProcValor,MATCH($E296,ProcNome,0)),0)))</f>
        <v>84</v>
      </c>
      <c r="N296" s="27">
        <f>IF($M296="","",IF($F296="Compareceu",$M296,0))</f>
        <v>84</v>
      </c>
      <c r="O296" s="27">
        <f>IF($M296="","",IF($F296="Faltou",$M296,0))</f>
        <v>0</v>
      </c>
      <c r="P296" s="27">
        <f>IF($M296="","",IF($F296="Compareceu",MAX(0,$M296-N($H296)),0))</f>
        <v>0</v>
      </c>
      <c r="Q296" s="19">
        <f>IF(AND($F296="Compareceu",$E296&lt;&gt;"",$A296&lt;&gt;""),IF(IFERROR(INDEX(ProcRet,MATCH($E296,ProcNome,0)),0)&gt;0,$A296+INDEX(ProcRet,MATCH($E296,ProcNome,0)),""),"")</f>
        <v>46303.0</v>
      </c>
      <c r="R296" s="26" t="str">
        <f>IF($Q296="","",IF(COUNTIFS(AgPac,$D296,AgData,"&gt;"&amp;$A296,AgStatus,"&lt;&gt;Cancelado",AgStatus,"&lt;&gt;Remarcado")&gt;0,"Sim","Não"))</f>
        <v>Sim</v>
      </c>
      <c r="S296" s="28">
        <f>IF($A296="","",IF(AND($F296="Agendado",$A296-Hoje&gt;=0,$A296-Hoje&lt;=DiasConf),"CONFIRMAR",IF(AND($A296&lt;Hoje,OR($F296="Agendado",$F296="Confirmado")),"Atualizar status",IF(AND($F296="Compareceu",$P296&gt;0.005),"Cobrar",IF($F296="Faltou","Falta: reagendar","")))))</f>
        <v>0</v>
      </c>
      <c r="T296" s="29">
        <f>IF($A296="","",DATE(YEAR($A296),MONTH($A296),1))</f>
        <v>46296.0</v>
      </c>
      <c r="U296" s="30">
        <f>IF($S296="CONFIRMAR",MAX($U$4:$U295)+1,"")</f>
        <v>0</v>
      </c>
      <c r="V296" s="30">
        <f>IF(AND($R296="Não",$Q296&lt;&gt;"",$Q296&lt;=Hoje+JanelaRet,$Q296&gt;=Hoje-60),MAX($V$4:$V295)+1,"")</f>
        <v>0</v>
      </c>
    </row>
    <row r="297" spans="1:22">
      <c r="A297" s="16">
        <v>46296</v>
      </c>
      <c r="B297" s="23">
        <v>0.6458333333333334</v>
      </c>
      <c r="C297" s="15" t="s">
        <v>52</v>
      </c>
      <c r="D297" s="15" t="s">
        <v>193</v>
      </c>
      <c r="E297" s="15" t="s">
        <v>64</v>
      </c>
      <c r="F297" s="24" t="s">
        <v>79</v>
      </c>
      <c r="G297" s="17">
        <v>54</v>
      </c>
      <c r="H297" s="17">
        <v>54</v>
      </c>
      <c r="I297" s="15" t="s">
        <v>73</v>
      </c>
      <c r="J297" s="25" t="str">
        <f>IF($D297="","",IFERROR(INDEX(PacNome,MATCH($D297,PacCod,0)),"Paciente não cadastrado"))</f>
        <v>Paciente 032</v>
      </c>
      <c r="K297" s="26" t="str">
        <f>IF($D297="","",IFERROR(INDEX(PacConv,MATCH($D297,PacCod,0))&amp;"",""))</f>
        <v>Convênio A</v>
      </c>
      <c r="L297" s="26" t="str">
        <f>IF($A297="","",CHOOSE(WEEKDAY($A297,2),"Seg","Ter","Qua","Qui","Sex","Sáb","Dom"))</f>
        <v>Qui</v>
      </c>
      <c r="M297" s="27">
        <f>IF($E297="","",IF($G297&lt;&gt;"",$G297,IFERROR(INDEX(ProcValor,MATCH($E297,ProcNome,0)),0)))</f>
        <v>54</v>
      </c>
      <c r="N297" s="27">
        <f>IF($M297="","",IF($F297="Compareceu",$M297,0))</f>
        <v>54</v>
      </c>
      <c r="O297" s="27">
        <f>IF($M297="","",IF($F297="Faltou",$M297,0))</f>
        <v>0</v>
      </c>
      <c r="P297" s="27">
        <f>IF($M297="","",IF($F297="Compareceu",MAX(0,$M297-N($H297)),0))</f>
        <v>0</v>
      </c>
      <c r="Q297" s="19">
        <f>IF(AND($F297="Compareceu",$E297&lt;&gt;"",$A297&lt;&gt;""),IF(IFERROR(INDEX(ProcRet,MATCH($E297,ProcNome,0)),0)&gt;0,$A297+INDEX(ProcRet,MATCH($E297,ProcNome,0)),""),"")</f>
        <v>0</v>
      </c>
      <c r="R297" s="26">
        <f>IF($Q297="","",IF(COUNTIFS(AgPac,$D297,AgData,"&gt;"&amp;$A297,AgStatus,"&lt;&gt;Cancelado",AgStatus,"&lt;&gt;Remarcado")&gt;0,"Sim","Não"))</f>
        <v>0</v>
      </c>
      <c r="S297" s="28">
        <f>IF($A297="","",IF(AND($F297="Agendado",$A297-Hoje&gt;=0,$A297-Hoje&lt;=DiasConf),"CONFIRMAR",IF(AND($A297&lt;Hoje,OR($F297="Agendado",$F297="Confirmado")),"Atualizar status",IF(AND($F297="Compareceu",$P297&gt;0.005),"Cobrar",IF($F297="Faltou","Falta: reagendar","")))))</f>
        <v>0</v>
      </c>
      <c r="T297" s="29">
        <f>IF($A297="","",DATE(YEAR($A297),MONTH($A297),1))</f>
        <v>46296.0</v>
      </c>
      <c r="U297" s="30">
        <f>IF($S297="CONFIRMAR",MAX($U$4:$U296)+1,"")</f>
        <v>0</v>
      </c>
      <c r="V297" s="30">
        <f>IF(AND($R297="Não",$Q297&lt;&gt;"",$Q297&lt;=Hoje+JanelaRet,$Q297&gt;=Hoje-60),MAX($V$4:$V296)+1,"")</f>
        <v>0</v>
      </c>
    </row>
    <row r="298" spans="1:22">
      <c r="A298" s="16">
        <v>46296</v>
      </c>
      <c r="B298" s="23">
        <v>0.6666666666666666</v>
      </c>
      <c r="C298" s="15" t="s">
        <v>53</v>
      </c>
      <c r="D298" s="15" t="s">
        <v>217</v>
      </c>
      <c r="E298" s="15" t="s">
        <v>64</v>
      </c>
      <c r="F298" s="24" t="s">
        <v>79</v>
      </c>
      <c r="G298" s="17"/>
      <c r="H298" s="17">
        <v>90</v>
      </c>
      <c r="I298" s="15" t="s">
        <v>71</v>
      </c>
      <c r="J298" s="25" t="str">
        <f>IF($D298="","",IFERROR(INDEX(PacNome,MATCH($D298,PacCod,0)),"Paciente não cadastrado"))</f>
        <v>Paciente 040</v>
      </c>
      <c r="K298" s="26" t="str">
        <f>IF($D298="","",IFERROR(INDEX(PacConv,MATCH($D298,PacCod,0))&amp;"",""))</f>
        <v>Particular</v>
      </c>
      <c r="L298" s="26" t="str">
        <f>IF($A298="","",CHOOSE(WEEKDAY($A298,2),"Seg","Ter","Qua","Qui","Sex","Sáb","Dom"))</f>
        <v>Qui</v>
      </c>
      <c r="M298" s="27">
        <f>IF($E298="","",IF($G298&lt;&gt;"",$G298,IFERROR(INDEX(ProcValor,MATCH($E298,ProcNome,0)),0)))</f>
        <v>90</v>
      </c>
      <c r="N298" s="27">
        <f>IF($M298="","",IF($F298="Compareceu",$M298,0))</f>
        <v>90</v>
      </c>
      <c r="O298" s="27">
        <f>IF($M298="","",IF($F298="Faltou",$M298,0))</f>
        <v>0</v>
      </c>
      <c r="P298" s="27">
        <f>IF($M298="","",IF($F298="Compareceu",MAX(0,$M298-N($H298)),0))</f>
        <v>0</v>
      </c>
      <c r="Q298" s="19">
        <f>IF(AND($F298="Compareceu",$E298&lt;&gt;"",$A298&lt;&gt;""),IF(IFERROR(INDEX(ProcRet,MATCH($E298,ProcNome,0)),0)&gt;0,$A298+INDEX(ProcRet,MATCH($E298,ProcNome,0)),""),"")</f>
        <v>0</v>
      </c>
      <c r="R298" s="26">
        <f>IF($Q298="","",IF(COUNTIFS(AgPac,$D298,AgData,"&gt;"&amp;$A298,AgStatus,"&lt;&gt;Cancelado",AgStatus,"&lt;&gt;Remarcado")&gt;0,"Sim","Não"))</f>
        <v>0</v>
      </c>
      <c r="S298" s="28">
        <f>IF($A298="","",IF(AND($F298="Agendado",$A298-Hoje&gt;=0,$A298-Hoje&lt;=DiasConf),"CONFIRMAR",IF(AND($A298&lt;Hoje,OR($F298="Agendado",$F298="Confirmado")),"Atualizar status",IF(AND($F298="Compareceu",$P298&gt;0.005),"Cobrar",IF($F298="Faltou","Falta: reagendar","")))))</f>
        <v>0</v>
      </c>
      <c r="T298" s="29">
        <f>IF($A298="","",DATE(YEAR($A298),MONTH($A298),1))</f>
        <v>46296.0</v>
      </c>
      <c r="U298" s="30">
        <f>IF($S298="CONFIRMAR",MAX($U$4:$U297)+1,"")</f>
        <v>0</v>
      </c>
      <c r="V298" s="30">
        <f>IF(AND($R298="Não",$Q298&lt;&gt;"",$Q298&lt;=Hoje+JanelaRet,$Q298&gt;=Hoje-60),MAX($V$4:$V297)+1,"")</f>
        <v>0</v>
      </c>
    </row>
    <row r="299" spans="1:22">
      <c r="A299" s="16">
        <v>46296</v>
      </c>
      <c r="B299" s="23">
        <v>0.7291666666666666</v>
      </c>
      <c r="C299" s="15" t="s">
        <v>52</v>
      </c>
      <c r="D299" s="15" t="s">
        <v>133</v>
      </c>
      <c r="E299" s="15" t="s">
        <v>63</v>
      </c>
      <c r="F299" s="24" t="s">
        <v>79</v>
      </c>
      <c r="G299" s="17"/>
      <c r="H299" s="17">
        <v>140</v>
      </c>
      <c r="I299" s="15" t="s">
        <v>75</v>
      </c>
      <c r="J299" s="25" t="str">
        <f>IF($D299="","",IFERROR(INDEX(PacNome,MATCH($D299,PacCod,0)),"Paciente não cadastrado"))</f>
        <v>Paciente 012</v>
      </c>
      <c r="K299" s="26" t="str">
        <f>IF($D299="","",IFERROR(INDEX(PacConv,MATCH($D299,PacCod,0))&amp;"",""))</f>
        <v>Particular</v>
      </c>
      <c r="L299" s="26" t="str">
        <f>IF($A299="","",CHOOSE(WEEKDAY($A299,2),"Seg","Ter","Qua","Qui","Sex","Sáb","Dom"))</f>
        <v>Qui</v>
      </c>
      <c r="M299" s="27">
        <f>IF($E299="","",IF($G299&lt;&gt;"",$G299,IFERROR(INDEX(ProcValor,MATCH($E299,ProcNome,0)),0)))</f>
        <v>140</v>
      </c>
      <c r="N299" s="27">
        <f>IF($M299="","",IF($F299="Compareceu",$M299,0))</f>
        <v>140</v>
      </c>
      <c r="O299" s="27">
        <f>IF($M299="","",IF($F299="Faltou",$M299,0))</f>
        <v>0</v>
      </c>
      <c r="P299" s="27">
        <f>IF($M299="","",IF($F299="Compareceu",MAX(0,$M299-N($H299)),0))</f>
        <v>0</v>
      </c>
      <c r="Q299" s="19">
        <f>IF(AND($F299="Compareceu",$E299&lt;&gt;"",$A299&lt;&gt;""),IF(IFERROR(INDEX(ProcRet,MATCH($E299,ProcNome,0)),0)&gt;0,$A299+INDEX(ProcRet,MATCH($E299,ProcNome,0)),""),"")</f>
        <v>46303.0</v>
      </c>
      <c r="R299" s="26" t="str">
        <f>IF($Q299="","",IF(COUNTIFS(AgPac,$D299,AgData,"&gt;"&amp;$A299,AgStatus,"&lt;&gt;Cancelado",AgStatus,"&lt;&gt;Remarcado")&gt;0,"Sim","Não"))</f>
        <v>Sim</v>
      </c>
      <c r="S299" s="28">
        <f>IF($A299="","",IF(AND($F299="Agendado",$A299-Hoje&gt;=0,$A299-Hoje&lt;=DiasConf),"CONFIRMAR",IF(AND($A299&lt;Hoje,OR($F299="Agendado",$F299="Confirmado")),"Atualizar status",IF(AND($F299="Compareceu",$P299&gt;0.005),"Cobrar",IF($F299="Faltou","Falta: reagendar","")))))</f>
        <v>0</v>
      </c>
      <c r="T299" s="29">
        <f>IF($A299="","",DATE(YEAR($A299),MONTH($A299),1))</f>
        <v>46296.0</v>
      </c>
      <c r="U299" s="30">
        <f>IF($S299="CONFIRMAR",MAX($U$4:$U298)+1,"")</f>
        <v>0</v>
      </c>
      <c r="V299" s="30">
        <f>IF(AND($R299="Não",$Q299&lt;&gt;"",$Q299&lt;=Hoje+JanelaRet,$Q299&gt;=Hoje-60),MAX($V$4:$V298)+1,"")</f>
        <v>0</v>
      </c>
    </row>
    <row r="300" spans="1:22">
      <c r="A300" s="16">
        <v>46297</v>
      </c>
      <c r="B300" s="23">
        <v>0.4166666666666667</v>
      </c>
      <c r="C300" s="15" t="s">
        <v>51</v>
      </c>
      <c r="D300" s="15" t="s">
        <v>172</v>
      </c>
      <c r="E300" s="15" t="s">
        <v>63</v>
      </c>
      <c r="F300" s="24" t="s">
        <v>79</v>
      </c>
      <c r="G300" s="17">
        <v>84</v>
      </c>
      <c r="H300" s="17">
        <v>84</v>
      </c>
      <c r="I300" s="15" t="s">
        <v>72</v>
      </c>
      <c r="J300" s="25" t="str">
        <f>IF($D300="","",IFERROR(INDEX(PacNome,MATCH($D300,PacCod,0)),"Paciente não cadastrado"))</f>
        <v>Paciente 025</v>
      </c>
      <c r="K300" s="26" t="str">
        <f>IF($D300="","",IFERROR(INDEX(PacConv,MATCH($D300,PacCod,0))&amp;"",""))</f>
        <v>Convênio A</v>
      </c>
      <c r="L300" s="26" t="str">
        <f>IF($A300="","",CHOOSE(WEEKDAY($A300,2),"Seg","Ter","Qua","Qui","Sex","Sáb","Dom"))</f>
        <v>Sex</v>
      </c>
      <c r="M300" s="27">
        <f>IF($E300="","",IF($G300&lt;&gt;"",$G300,IFERROR(INDEX(ProcValor,MATCH($E300,ProcNome,0)),0)))</f>
        <v>84</v>
      </c>
      <c r="N300" s="27">
        <f>IF($M300="","",IF($F300="Compareceu",$M300,0))</f>
        <v>84</v>
      </c>
      <c r="O300" s="27">
        <f>IF($M300="","",IF($F300="Faltou",$M300,0))</f>
        <v>0</v>
      </c>
      <c r="P300" s="27">
        <f>IF($M300="","",IF($F300="Compareceu",MAX(0,$M300-N($H300)),0))</f>
        <v>0</v>
      </c>
      <c r="Q300" s="19">
        <f>IF(AND($F300="Compareceu",$E300&lt;&gt;"",$A300&lt;&gt;""),IF(IFERROR(INDEX(ProcRet,MATCH($E300,ProcNome,0)),0)&gt;0,$A300+INDEX(ProcRet,MATCH($E300,ProcNome,0)),""),"")</f>
        <v>46304.0</v>
      </c>
      <c r="R300" s="26" t="str">
        <f>IF($Q300="","",IF(COUNTIFS(AgPac,$D300,AgData,"&gt;"&amp;$A300,AgStatus,"&lt;&gt;Cancelado",AgStatus,"&lt;&gt;Remarcado")&gt;0,"Sim","Não"))</f>
        <v>Sim</v>
      </c>
      <c r="S300" s="28">
        <f>IF($A300="","",IF(AND($F300="Agendado",$A300-Hoje&gt;=0,$A300-Hoje&lt;=DiasConf),"CONFIRMAR",IF(AND($A300&lt;Hoje,OR($F300="Agendado",$F300="Confirmado")),"Atualizar status",IF(AND($F300="Compareceu",$P300&gt;0.005),"Cobrar",IF($F300="Faltou","Falta: reagendar","")))))</f>
        <v>0</v>
      </c>
      <c r="T300" s="29">
        <f>IF($A300="","",DATE(YEAR($A300),MONTH($A300),1))</f>
        <v>46296.0</v>
      </c>
      <c r="U300" s="30">
        <f>IF($S300="CONFIRMAR",MAX($U$4:$U299)+1,"")</f>
        <v>0</v>
      </c>
      <c r="V300" s="30">
        <f>IF(AND($R300="Não",$Q300&lt;&gt;"",$Q300&lt;=Hoje+JanelaRet,$Q300&gt;=Hoje-60),MAX($V$4:$V299)+1,"")</f>
        <v>0</v>
      </c>
    </row>
    <row r="301" spans="1:22">
      <c r="A301" s="16">
        <v>46297</v>
      </c>
      <c r="B301" s="23">
        <v>0.5625</v>
      </c>
      <c r="C301" s="15" t="s">
        <v>53</v>
      </c>
      <c r="D301" s="15" t="s">
        <v>196</v>
      </c>
      <c r="E301" s="15" t="s">
        <v>59</v>
      </c>
      <c r="F301" s="24" t="s">
        <v>79</v>
      </c>
      <c r="G301" s="17">
        <v>90</v>
      </c>
      <c r="H301" s="17"/>
      <c r="I301" s="15"/>
      <c r="J301" s="25" t="str">
        <f>IF($D301="","",IFERROR(INDEX(PacNome,MATCH($D301,PacCod,0)),"Paciente não cadastrado"))</f>
        <v>Paciente 033</v>
      </c>
      <c r="K301" s="26" t="str">
        <f>IF($D301="","",IFERROR(INDEX(PacConv,MATCH($D301,PacCod,0))&amp;"",""))</f>
        <v>Convênio B</v>
      </c>
      <c r="L301" s="26" t="str">
        <f>IF($A301="","",CHOOSE(WEEKDAY($A301,2),"Seg","Ter","Qua","Qui","Sex","Sáb","Dom"))</f>
        <v>Sex</v>
      </c>
      <c r="M301" s="27">
        <f>IF($E301="","",IF($G301&lt;&gt;"",$G301,IFERROR(INDEX(ProcValor,MATCH($E301,ProcNome,0)),0)))</f>
        <v>90</v>
      </c>
      <c r="N301" s="27">
        <f>IF($M301="","",IF($F301="Compareceu",$M301,0))</f>
        <v>90</v>
      </c>
      <c r="O301" s="27">
        <f>IF($M301="","",IF($F301="Faltou",$M301,0))</f>
        <v>0</v>
      </c>
      <c r="P301" s="27">
        <f>IF($M301="","",IF($F301="Compareceu",MAX(0,$M301-N($H301)),0))</f>
        <v>90</v>
      </c>
      <c r="Q301" s="19">
        <f>IF(AND($F301="Compareceu",$E301&lt;&gt;"",$A301&lt;&gt;""),IF(IFERROR(INDEX(ProcRet,MATCH($E301,ProcNome,0)),0)&gt;0,$A301+INDEX(ProcRet,MATCH($E301,ProcNome,0)),""),"")</f>
        <v>0</v>
      </c>
      <c r="R301" s="26">
        <f>IF($Q301="","",IF(COUNTIFS(AgPac,$D301,AgData,"&gt;"&amp;$A301,AgStatus,"&lt;&gt;Cancelado",AgStatus,"&lt;&gt;Remarcado")&gt;0,"Sim","Não"))</f>
        <v>0</v>
      </c>
      <c r="S301" s="28" t="str">
        <f>IF($A301="","",IF(AND($F301="Agendado",$A301-Hoje&gt;=0,$A301-Hoje&lt;=DiasConf),"CONFIRMAR",IF(AND($A301&lt;Hoje,OR($F301="Agendado",$F301="Confirmado")),"Atualizar status",IF(AND($F301="Compareceu",$P301&gt;0.005),"Cobrar",IF($F301="Faltou","Falta: reagendar","")))))</f>
        <v>Cobrar</v>
      </c>
      <c r="T301" s="29">
        <f>IF($A301="","",DATE(YEAR($A301),MONTH($A301),1))</f>
        <v>46296.0</v>
      </c>
      <c r="U301" s="30">
        <f>IF($S301="CONFIRMAR",MAX($U$4:$U300)+1,"")</f>
        <v>0</v>
      </c>
      <c r="V301" s="30">
        <f>IF(AND($R301="Não",$Q301&lt;&gt;"",$Q301&lt;=Hoje+JanelaRet,$Q301&gt;=Hoje-60),MAX($V$4:$V300)+1,"")</f>
        <v>0</v>
      </c>
    </row>
    <row r="302" spans="1:22">
      <c r="A302" s="16">
        <v>46297</v>
      </c>
      <c r="B302" s="23">
        <v>0.7083333333333334</v>
      </c>
      <c r="C302" s="15" t="s">
        <v>54</v>
      </c>
      <c r="D302" s="15" t="s">
        <v>187</v>
      </c>
      <c r="E302" s="15" t="s">
        <v>64</v>
      </c>
      <c r="F302" s="24" t="s">
        <v>79</v>
      </c>
      <c r="G302" s="17"/>
      <c r="H302" s="17">
        <v>90</v>
      </c>
      <c r="I302" s="15" t="s">
        <v>75</v>
      </c>
      <c r="J302" s="25" t="str">
        <f>IF($D302="","",IFERROR(INDEX(PacNome,MATCH($D302,PacCod,0)),"Paciente não cadastrado"))</f>
        <v>Paciente 030</v>
      </c>
      <c r="K302" s="26" t="str">
        <f>IF($D302="","",IFERROR(INDEX(PacConv,MATCH($D302,PacCod,0))&amp;"",""))</f>
        <v>Particular</v>
      </c>
      <c r="L302" s="26" t="str">
        <f>IF($A302="","",CHOOSE(WEEKDAY($A302,2),"Seg","Ter","Qua","Qui","Sex","Sáb","Dom"))</f>
        <v>Sex</v>
      </c>
      <c r="M302" s="27">
        <f>IF($E302="","",IF($G302&lt;&gt;"",$G302,IFERROR(INDEX(ProcValor,MATCH($E302,ProcNome,0)),0)))</f>
        <v>90</v>
      </c>
      <c r="N302" s="27">
        <f>IF($M302="","",IF($F302="Compareceu",$M302,0))</f>
        <v>90</v>
      </c>
      <c r="O302" s="27">
        <f>IF($M302="","",IF($F302="Faltou",$M302,0))</f>
        <v>0</v>
      </c>
      <c r="P302" s="27">
        <f>IF($M302="","",IF($F302="Compareceu",MAX(0,$M302-N($H302)),0))</f>
        <v>0</v>
      </c>
      <c r="Q302" s="19">
        <f>IF(AND($F302="Compareceu",$E302&lt;&gt;"",$A302&lt;&gt;""),IF(IFERROR(INDEX(ProcRet,MATCH($E302,ProcNome,0)),0)&gt;0,$A302+INDEX(ProcRet,MATCH($E302,ProcNome,0)),""),"")</f>
        <v>0</v>
      </c>
      <c r="R302" s="26">
        <f>IF($Q302="","",IF(COUNTIFS(AgPac,$D302,AgData,"&gt;"&amp;$A302,AgStatus,"&lt;&gt;Cancelado",AgStatus,"&lt;&gt;Remarcado")&gt;0,"Sim","Não"))</f>
        <v>0</v>
      </c>
      <c r="S302" s="28">
        <f>IF($A302="","",IF(AND($F302="Agendado",$A302-Hoje&gt;=0,$A302-Hoje&lt;=DiasConf),"CONFIRMAR",IF(AND($A302&lt;Hoje,OR($F302="Agendado",$F302="Confirmado")),"Atualizar status",IF(AND($F302="Compareceu",$P302&gt;0.005),"Cobrar",IF($F302="Faltou","Falta: reagendar","")))))</f>
        <v>0</v>
      </c>
      <c r="T302" s="29">
        <f>IF($A302="","",DATE(YEAR($A302),MONTH($A302),1))</f>
        <v>46296.0</v>
      </c>
      <c r="U302" s="30">
        <f>IF($S302="CONFIRMAR",MAX($U$4:$U301)+1,"")</f>
        <v>0</v>
      </c>
      <c r="V302" s="30">
        <f>IF(AND($R302="Não",$Q302&lt;&gt;"",$Q302&lt;=Hoje+JanelaRet,$Q302&gt;=Hoje-60),MAX($V$4:$V301)+1,"")</f>
        <v>0</v>
      </c>
    </row>
    <row r="303" spans="1:22">
      <c r="A303" s="16">
        <v>46298</v>
      </c>
      <c r="B303" s="23">
        <v>0.4583333333333333</v>
      </c>
      <c r="C303" s="15" t="s">
        <v>53</v>
      </c>
      <c r="D303" s="15" t="s">
        <v>214</v>
      </c>
      <c r="E303" s="15" t="s">
        <v>64</v>
      </c>
      <c r="F303" s="24" t="s">
        <v>79</v>
      </c>
      <c r="G303" s="17"/>
      <c r="H303" s="17">
        <v>45</v>
      </c>
      <c r="I303" s="15" t="s">
        <v>75</v>
      </c>
      <c r="J303" s="25" t="str">
        <f>IF($D303="","",IFERROR(INDEX(PacNome,MATCH($D303,PacCod,0)),"Paciente não cadastrado"))</f>
        <v>Paciente 039</v>
      </c>
      <c r="K303" s="26" t="str">
        <f>IF($D303="","",IFERROR(INDEX(PacConv,MATCH($D303,PacCod,0))&amp;"",""))</f>
        <v>Particular</v>
      </c>
      <c r="L303" s="26" t="str">
        <f>IF($A303="","",CHOOSE(WEEKDAY($A303,2),"Seg","Ter","Qua","Qui","Sex","Sáb","Dom"))</f>
        <v>Sáb</v>
      </c>
      <c r="M303" s="27">
        <f>IF($E303="","",IF($G303&lt;&gt;"",$G303,IFERROR(INDEX(ProcValor,MATCH($E303,ProcNome,0)),0)))</f>
        <v>90</v>
      </c>
      <c r="N303" s="27">
        <f>IF($M303="","",IF($F303="Compareceu",$M303,0))</f>
        <v>90</v>
      </c>
      <c r="O303" s="27">
        <f>IF($M303="","",IF($F303="Faltou",$M303,0))</f>
        <v>0</v>
      </c>
      <c r="P303" s="27">
        <f>IF($M303="","",IF($F303="Compareceu",MAX(0,$M303-N($H303)),0))</f>
        <v>45</v>
      </c>
      <c r="Q303" s="19">
        <f>IF(AND($F303="Compareceu",$E303&lt;&gt;"",$A303&lt;&gt;""),IF(IFERROR(INDEX(ProcRet,MATCH($E303,ProcNome,0)),0)&gt;0,$A303+INDEX(ProcRet,MATCH($E303,ProcNome,0)),""),"")</f>
        <v>0</v>
      </c>
      <c r="R303" s="26">
        <f>IF($Q303="","",IF(COUNTIFS(AgPac,$D303,AgData,"&gt;"&amp;$A303,AgStatus,"&lt;&gt;Cancelado",AgStatus,"&lt;&gt;Remarcado")&gt;0,"Sim","Não"))</f>
        <v>0</v>
      </c>
      <c r="S303" s="28" t="str">
        <f>IF($A303="","",IF(AND($F303="Agendado",$A303-Hoje&gt;=0,$A303-Hoje&lt;=DiasConf),"CONFIRMAR",IF(AND($A303&lt;Hoje,OR($F303="Agendado",$F303="Confirmado")),"Atualizar status",IF(AND($F303="Compareceu",$P303&gt;0.005),"Cobrar",IF($F303="Faltou","Falta: reagendar","")))))</f>
        <v>Cobrar</v>
      </c>
      <c r="T303" s="29">
        <f>IF($A303="","",DATE(YEAR($A303),MONTH($A303),1))</f>
        <v>46296.0</v>
      </c>
      <c r="U303" s="30">
        <f>IF($S303="CONFIRMAR",MAX($U$4:$U302)+1,"")</f>
        <v>0</v>
      </c>
      <c r="V303" s="30">
        <f>IF(AND($R303="Não",$Q303&lt;&gt;"",$Q303&lt;=Hoje+JanelaRet,$Q303&gt;=Hoje-60),MAX($V$4:$V302)+1,"")</f>
        <v>0</v>
      </c>
    </row>
    <row r="304" spans="1:22">
      <c r="A304" s="16">
        <v>46298</v>
      </c>
      <c r="B304" s="23">
        <v>0.5416666666666666</v>
      </c>
      <c r="C304" s="15" t="s">
        <v>54</v>
      </c>
      <c r="D304" s="15" t="s">
        <v>148</v>
      </c>
      <c r="E304" s="15" t="s">
        <v>63</v>
      </c>
      <c r="F304" s="24" t="s">
        <v>81</v>
      </c>
      <c r="G304" s="17"/>
      <c r="H304" s="17"/>
      <c r="I304" s="15"/>
      <c r="J304" s="25" t="str">
        <f>IF($D304="","",IFERROR(INDEX(PacNome,MATCH($D304,PacCod,0)),"Paciente não cadastrado"))</f>
        <v>Paciente 017</v>
      </c>
      <c r="K304" s="26" t="str">
        <f>IF($D304="","",IFERROR(INDEX(PacConv,MATCH($D304,PacCod,0))&amp;"",""))</f>
        <v>Particular</v>
      </c>
      <c r="L304" s="26" t="str">
        <f>IF($A304="","",CHOOSE(WEEKDAY($A304,2),"Seg","Ter","Qua","Qui","Sex","Sáb","Dom"))</f>
        <v>Sáb</v>
      </c>
      <c r="M304" s="27">
        <f>IF($E304="","",IF($G304&lt;&gt;"",$G304,IFERROR(INDEX(ProcValor,MATCH($E304,ProcNome,0)),0)))</f>
        <v>140</v>
      </c>
      <c r="N304" s="27">
        <f>IF($M304="","",IF($F304="Compareceu",$M304,0))</f>
        <v>0</v>
      </c>
      <c r="O304" s="27">
        <f>IF($M304="","",IF($F304="Faltou",$M304,0))</f>
        <v>0</v>
      </c>
      <c r="P304" s="27">
        <f>IF($M304="","",IF($F304="Compareceu",MAX(0,$M304-N($H304)),0))</f>
        <v>0</v>
      </c>
      <c r="Q304" s="19">
        <f>IF(AND($F304="Compareceu",$E304&lt;&gt;"",$A304&lt;&gt;""),IF(IFERROR(INDEX(ProcRet,MATCH($E304,ProcNome,0)),0)&gt;0,$A304+INDEX(ProcRet,MATCH($E304,ProcNome,0)),""),"")</f>
        <v>0</v>
      </c>
      <c r="R304" s="26">
        <f>IF($Q304="","",IF(COUNTIFS(AgPac,$D304,AgData,"&gt;"&amp;$A304,AgStatus,"&lt;&gt;Cancelado",AgStatus,"&lt;&gt;Remarcado")&gt;0,"Sim","Não"))</f>
        <v>0</v>
      </c>
      <c r="S304" s="28">
        <f>IF($A304="","",IF(AND($F304="Agendado",$A304-Hoje&gt;=0,$A304-Hoje&lt;=DiasConf),"CONFIRMAR",IF(AND($A304&lt;Hoje,OR($F304="Agendado",$F304="Confirmado")),"Atualizar status",IF(AND($F304="Compareceu",$P304&gt;0.005),"Cobrar",IF($F304="Faltou","Falta: reagendar","")))))</f>
        <v>0</v>
      </c>
      <c r="T304" s="29">
        <f>IF($A304="","",DATE(YEAR($A304),MONTH($A304),1))</f>
        <v>46296.0</v>
      </c>
      <c r="U304" s="30">
        <f>IF($S304="CONFIRMAR",MAX($U$4:$U303)+1,"")</f>
        <v>0</v>
      </c>
      <c r="V304" s="30">
        <f>IF(AND($R304="Não",$Q304&lt;&gt;"",$Q304&lt;=Hoje+JanelaRet,$Q304&gt;=Hoje-60),MAX($V$4:$V303)+1,"")</f>
        <v>0</v>
      </c>
    </row>
    <row r="305" spans="1:22">
      <c r="A305" s="16">
        <v>46298</v>
      </c>
      <c r="B305" s="23">
        <v>0.5833333333333334</v>
      </c>
      <c r="C305" s="15" t="s">
        <v>53</v>
      </c>
      <c r="D305" s="15" t="s">
        <v>124</v>
      </c>
      <c r="E305" s="15" t="s">
        <v>63</v>
      </c>
      <c r="F305" s="24" t="s">
        <v>79</v>
      </c>
      <c r="G305" s="17">
        <v>84</v>
      </c>
      <c r="H305" s="17">
        <v>84</v>
      </c>
      <c r="I305" s="15" t="s">
        <v>71</v>
      </c>
      <c r="J305" s="25" t="str">
        <f>IF($D305="","",IFERROR(INDEX(PacNome,MATCH($D305,PacCod,0)),"Paciente não cadastrado"))</f>
        <v>Paciente 009</v>
      </c>
      <c r="K305" s="26" t="str">
        <f>IF($D305="","",IFERROR(INDEX(PacConv,MATCH($D305,PacCod,0))&amp;"",""))</f>
        <v>Convênio A</v>
      </c>
      <c r="L305" s="26" t="str">
        <f>IF($A305="","",CHOOSE(WEEKDAY($A305,2),"Seg","Ter","Qua","Qui","Sex","Sáb","Dom"))</f>
        <v>Sáb</v>
      </c>
      <c r="M305" s="27">
        <f>IF($E305="","",IF($G305&lt;&gt;"",$G305,IFERROR(INDEX(ProcValor,MATCH($E305,ProcNome,0)),0)))</f>
        <v>84</v>
      </c>
      <c r="N305" s="27">
        <f>IF($M305="","",IF($F305="Compareceu",$M305,0))</f>
        <v>84</v>
      </c>
      <c r="O305" s="27">
        <f>IF($M305="","",IF($F305="Faltou",$M305,0))</f>
        <v>0</v>
      </c>
      <c r="P305" s="27">
        <f>IF($M305="","",IF($F305="Compareceu",MAX(0,$M305-N($H305)),0))</f>
        <v>0</v>
      </c>
      <c r="Q305" s="19">
        <f>IF(AND($F305="Compareceu",$E305&lt;&gt;"",$A305&lt;&gt;""),IF(IFERROR(INDEX(ProcRet,MATCH($E305,ProcNome,0)),0)&gt;0,$A305+INDEX(ProcRet,MATCH($E305,ProcNome,0)),""),"")</f>
        <v>46305.0</v>
      </c>
      <c r="R305" s="26" t="str">
        <f>IF($Q305="","",IF(COUNTIFS(AgPac,$D305,AgData,"&gt;"&amp;$A305,AgStatus,"&lt;&gt;Cancelado",AgStatus,"&lt;&gt;Remarcado")&gt;0,"Sim","Não"))</f>
        <v>Não</v>
      </c>
      <c r="S305" s="28">
        <f>IF($A305="","",IF(AND($F305="Agendado",$A305-Hoje&gt;=0,$A305-Hoje&lt;=DiasConf),"CONFIRMAR",IF(AND($A305&lt;Hoje,OR($F305="Agendado",$F305="Confirmado")),"Atualizar status",IF(AND($F305="Compareceu",$P305&gt;0.005),"Cobrar",IF($F305="Faltou","Falta: reagendar","")))))</f>
        <v>0</v>
      </c>
      <c r="T305" s="29">
        <f>IF($A305="","",DATE(YEAR($A305),MONTH($A305),1))</f>
        <v>46296.0</v>
      </c>
      <c r="U305" s="30">
        <f>IF($S305="CONFIRMAR",MAX($U$4:$U304)+1,"")</f>
        <v>0</v>
      </c>
      <c r="V305" s="30">
        <f>IF(AND($R305="Não",$Q305&lt;&gt;"",$Q305&lt;=Hoje+JanelaRet,$Q305&gt;=Hoje-60),MAX($V$4:$V304)+1,"")</f>
        <v>6</v>
      </c>
    </row>
    <row r="306" spans="1:22">
      <c r="A306" s="16">
        <v>46300</v>
      </c>
      <c r="B306" s="23">
        <v>0.4166666666666667</v>
      </c>
      <c r="C306" s="15" t="s">
        <v>53</v>
      </c>
      <c r="D306" s="15" t="s">
        <v>181</v>
      </c>
      <c r="E306" s="15" t="s">
        <v>63</v>
      </c>
      <c r="F306" s="24" t="s">
        <v>80</v>
      </c>
      <c r="G306" s="17"/>
      <c r="H306" s="17"/>
      <c r="I306" s="15"/>
      <c r="J306" s="25" t="str">
        <f>IF($D306="","",IFERROR(INDEX(PacNome,MATCH($D306,PacCod,0)),"Paciente não cadastrado"))</f>
        <v>Paciente 028</v>
      </c>
      <c r="K306" s="26" t="str">
        <f>IF($D306="","",IFERROR(INDEX(PacConv,MATCH($D306,PacCod,0))&amp;"",""))</f>
        <v>Convênio B</v>
      </c>
      <c r="L306" s="26" t="str">
        <f>IF($A306="","",CHOOSE(WEEKDAY($A306,2),"Seg","Ter","Qua","Qui","Sex","Sáb","Dom"))</f>
        <v>Seg</v>
      </c>
      <c r="M306" s="27">
        <f>IF($E306="","",IF($G306&lt;&gt;"",$G306,IFERROR(INDEX(ProcValor,MATCH($E306,ProcNome,0)),0)))</f>
        <v>140</v>
      </c>
      <c r="N306" s="27">
        <f>IF($M306="","",IF($F306="Compareceu",$M306,0))</f>
        <v>0</v>
      </c>
      <c r="O306" s="27">
        <f>IF($M306="","",IF($F306="Faltou",$M306,0))</f>
        <v>140</v>
      </c>
      <c r="P306" s="27">
        <f>IF($M306="","",IF($F306="Compareceu",MAX(0,$M306-N($H306)),0))</f>
        <v>0</v>
      </c>
      <c r="Q306" s="19">
        <f>IF(AND($F306="Compareceu",$E306&lt;&gt;"",$A306&lt;&gt;""),IF(IFERROR(INDEX(ProcRet,MATCH($E306,ProcNome,0)),0)&gt;0,$A306+INDEX(ProcRet,MATCH($E306,ProcNome,0)),""),"")</f>
        <v>0</v>
      </c>
      <c r="R306" s="26">
        <f>IF($Q306="","",IF(COUNTIFS(AgPac,$D306,AgData,"&gt;"&amp;$A306,AgStatus,"&lt;&gt;Cancelado",AgStatus,"&lt;&gt;Remarcado")&gt;0,"Sim","Não"))</f>
        <v>0</v>
      </c>
      <c r="S306" s="28" t="str">
        <f>IF($A306="","",IF(AND($F306="Agendado",$A306-Hoje&gt;=0,$A306-Hoje&lt;=DiasConf),"CONFIRMAR",IF(AND($A306&lt;Hoje,OR($F306="Agendado",$F306="Confirmado")),"Atualizar status",IF(AND($F306="Compareceu",$P306&gt;0.005),"Cobrar",IF($F306="Faltou","Falta: reagendar","")))))</f>
        <v>Falta: reagendar</v>
      </c>
      <c r="T306" s="29">
        <f>IF($A306="","",DATE(YEAR($A306),MONTH($A306),1))</f>
        <v>46296.0</v>
      </c>
      <c r="U306" s="30">
        <f>IF($S306="CONFIRMAR",MAX($U$4:$U305)+1,"")</f>
        <v>0</v>
      </c>
      <c r="V306" s="30">
        <f>IF(AND($R306="Não",$Q306&lt;&gt;"",$Q306&lt;=Hoje+JanelaRet,$Q306&gt;=Hoje-60),MAX($V$4:$V305)+1,"")</f>
        <v>0</v>
      </c>
    </row>
    <row r="307" spans="1:22">
      <c r="A307" s="16">
        <v>46300</v>
      </c>
      <c r="B307" s="23">
        <v>0.5</v>
      </c>
      <c r="C307" s="15" t="s">
        <v>54</v>
      </c>
      <c r="D307" s="15" t="s">
        <v>103</v>
      </c>
      <c r="E307" s="15" t="s">
        <v>64</v>
      </c>
      <c r="F307" s="24" t="s">
        <v>79</v>
      </c>
      <c r="G307" s="17">
        <v>54</v>
      </c>
      <c r="H307" s="17">
        <v>54</v>
      </c>
      <c r="I307" s="15" t="s">
        <v>72</v>
      </c>
      <c r="J307" s="25" t="str">
        <f>IF($D307="","",IFERROR(INDEX(PacNome,MATCH($D307,PacCod,0)),"Paciente não cadastrado"))</f>
        <v>Paciente 002</v>
      </c>
      <c r="K307" s="26" t="str">
        <f>IF($D307="","",IFERROR(INDEX(PacConv,MATCH($D307,PacCod,0))&amp;"",""))</f>
        <v>Convênio A</v>
      </c>
      <c r="L307" s="26" t="str">
        <f>IF($A307="","",CHOOSE(WEEKDAY($A307,2),"Seg","Ter","Qua","Qui","Sex","Sáb","Dom"))</f>
        <v>Seg</v>
      </c>
      <c r="M307" s="27">
        <f>IF($E307="","",IF($G307&lt;&gt;"",$G307,IFERROR(INDEX(ProcValor,MATCH($E307,ProcNome,0)),0)))</f>
        <v>54</v>
      </c>
      <c r="N307" s="27">
        <f>IF($M307="","",IF($F307="Compareceu",$M307,0))</f>
        <v>54</v>
      </c>
      <c r="O307" s="27">
        <f>IF($M307="","",IF($F307="Faltou",$M307,0))</f>
        <v>0</v>
      </c>
      <c r="P307" s="27">
        <f>IF($M307="","",IF($F307="Compareceu",MAX(0,$M307-N($H307)),0))</f>
        <v>0</v>
      </c>
      <c r="Q307" s="19">
        <f>IF(AND($F307="Compareceu",$E307&lt;&gt;"",$A307&lt;&gt;""),IF(IFERROR(INDEX(ProcRet,MATCH($E307,ProcNome,0)),0)&gt;0,$A307+INDEX(ProcRet,MATCH($E307,ProcNome,0)),""),"")</f>
        <v>0</v>
      </c>
      <c r="R307" s="26">
        <f>IF($Q307="","",IF(COUNTIFS(AgPac,$D307,AgData,"&gt;"&amp;$A307,AgStatus,"&lt;&gt;Cancelado",AgStatus,"&lt;&gt;Remarcado")&gt;0,"Sim","Não"))</f>
        <v>0</v>
      </c>
      <c r="S307" s="28">
        <f>IF($A307="","",IF(AND($F307="Agendado",$A307-Hoje&gt;=0,$A307-Hoje&lt;=DiasConf),"CONFIRMAR",IF(AND($A307&lt;Hoje,OR($F307="Agendado",$F307="Confirmado")),"Atualizar status",IF(AND($F307="Compareceu",$P307&gt;0.005),"Cobrar",IF($F307="Faltou","Falta: reagendar","")))))</f>
        <v>0</v>
      </c>
      <c r="T307" s="29">
        <f>IF($A307="","",DATE(YEAR($A307),MONTH($A307),1))</f>
        <v>46296.0</v>
      </c>
      <c r="U307" s="30">
        <f>IF($S307="CONFIRMAR",MAX($U$4:$U306)+1,"")</f>
        <v>0</v>
      </c>
      <c r="V307" s="30">
        <f>IF(AND($R307="Não",$Q307&lt;&gt;"",$Q307&lt;=Hoje+JanelaRet,$Q307&gt;=Hoje-60),MAX($V$4:$V306)+1,"")</f>
        <v>0</v>
      </c>
    </row>
    <row r="308" spans="1:22">
      <c r="A308" s="16">
        <v>46300</v>
      </c>
      <c r="B308" s="23">
        <v>0.5416666666666666</v>
      </c>
      <c r="C308" s="15" t="s">
        <v>52</v>
      </c>
      <c r="D308" s="15" t="s">
        <v>142</v>
      </c>
      <c r="E308" s="15" t="s">
        <v>62</v>
      </c>
      <c r="F308" s="24" t="s">
        <v>79</v>
      </c>
      <c r="G308" s="17">
        <v>210</v>
      </c>
      <c r="H308" s="17">
        <v>210</v>
      </c>
      <c r="I308" s="15" t="s">
        <v>73</v>
      </c>
      <c r="J308" s="25" t="str">
        <f>IF($D308="","",IFERROR(INDEX(PacNome,MATCH($D308,PacCod,0)),"Paciente não cadastrado"))</f>
        <v>Paciente 015</v>
      </c>
      <c r="K308" s="26" t="str">
        <f>IF($D308="","",IFERROR(INDEX(PacConv,MATCH($D308,PacCod,0))&amp;"",""))</f>
        <v>Convênio A</v>
      </c>
      <c r="L308" s="26" t="str">
        <f>IF($A308="","",CHOOSE(WEEKDAY($A308,2),"Seg","Ter","Qua","Qui","Sex","Sáb","Dom"))</f>
        <v>Seg</v>
      </c>
      <c r="M308" s="27">
        <f>IF($E308="","",IF($G308&lt;&gt;"",$G308,IFERROR(INDEX(ProcValor,MATCH($E308,ProcNome,0)),0)))</f>
        <v>210</v>
      </c>
      <c r="N308" s="27">
        <f>IF($M308="","",IF($F308="Compareceu",$M308,0))</f>
        <v>210</v>
      </c>
      <c r="O308" s="27">
        <f>IF($M308="","",IF($F308="Faltou",$M308,0))</f>
        <v>0</v>
      </c>
      <c r="P308" s="27">
        <f>IF($M308="","",IF($F308="Compareceu",MAX(0,$M308-N($H308)),0))</f>
        <v>0</v>
      </c>
      <c r="Q308" s="19">
        <f>IF(AND($F308="Compareceu",$E308&lt;&gt;"",$A308&lt;&gt;""),IF(IFERROR(INDEX(ProcRet,MATCH($E308,ProcNome,0)),0)&gt;0,$A308+INDEX(ProcRet,MATCH($E308,ProcNome,0)),""),"")</f>
        <v>46315.0</v>
      </c>
      <c r="R308" s="26" t="str">
        <f>IF($Q308="","",IF(COUNTIFS(AgPac,$D308,AgData,"&gt;"&amp;$A308,AgStatus,"&lt;&gt;Cancelado",AgStatus,"&lt;&gt;Remarcado")&gt;0,"Sim","Não"))</f>
        <v>Não</v>
      </c>
      <c r="S308" s="28">
        <f>IF($A308="","",IF(AND($F308="Agendado",$A308-Hoje&gt;=0,$A308-Hoje&lt;=DiasConf),"CONFIRMAR",IF(AND($A308&lt;Hoje,OR($F308="Agendado",$F308="Confirmado")),"Atualizar status",IF(AND($F308="Compareceu",$P308&gt;0.005),"Cobrar",IF($F308="Faltou","Falta: reagendar","")))))</f>
        <v>0</v>
      </c>
      <c r="T308" s="29">
        <f>IF($A308="","",DATE(YEAR($A308),MONTH($A308),1))</f>
        <v>46296.0</v>
      </c>
      <c r="U308" s="30">
        <f>IF($S308="CONFIRMAR",MAX($U$4:$U307)+1,"")</f>
        <v>0</v>
      </c>
      <c r="V308" s="30">
        <f>IF(AND($R308="Não",$Q308&lt;&gt;"",$Q308&lt;=Hoje+JanelaRet,$Q308&gt;=Hoje-60),MAX($V$4:$V307)+1,"")</f>
        <v>7</v>
      </c>
    </row>
    <row r="309" spans="1:22">
      <c r="A309" s="16">
        <v>46300</v>
      </c>
      <c r="B309" s="23">
        <v>0.5833333333333334</v>
      </c>
      <c r="C309" s="15" t="s">
        <v>52</v>
      </c>
      <c r="D309" s="15" t="s">
        <v>112</v>
      </c>
      <c r="E309" s="15" t="s">
        <v>58</v>
      </c>
      <c r="F309" s="24" t="s">
        <v>79</v>
      </c>
      <c r="G309" s="17"/>
      <c r="H309" s="17">
        <v>250</v>
      </c>
      <c r="I309" s="15" t="s">
        <v>74</v>
      </c>
      <c r="J309" s="25" t="str">
        <f>IF($D309="","",IFERROR(INDEX(PacNome,MATCH($D309,PacCod,0)),"Paciente não cadastrado"))</f>
        <v>Paciente 005</v>
      </c>
      <c r="K309" s="26" t="str">
        <f>IF($D309="","",IFERROR(INDEX(PacConv,MATCH($D309,PacCod,0))&amp;"",""))</f>
        <v>Particular</v>
      </c>
      <c r="L309" s="26" t="str">
        <f>IF($A309="","",CHOOSE(WEEKDAY($A309,2),"Seg","Ter","Qua","Qui","Sex","Sáb","Dom"))</f>
        <v>Seg</v>
      </c>
      <c r="M309" s="27">
        <f>IF($E309="","",IF($G309&lt;&gt;"",$G309,IFERROR(INDEX(ProcValor,MATCH($E309,ProcNome,0)),0)))</f>
        <v>250</v>
      </c>
      <c r="N309" s="27">
        <f>IF($M309="","",IF($F309="Compareceu",$M309,0))</f>
        <v>250</v>
      </c>
      <c r="O309" s="27">
        <f>IF($M309="","",IF($F309="Faltou",$M309,0))</f>
        <v>0</v>
      </c>
      <c r="P309" s="27">
        <f>IF($M309="","",IF($F309="Compareceu",MAX(0,$M309-N($H309)),0))</f>
        <v>0</v>
      </c>
      <c r="Q309" s="19">
        <f>IF(AND($F309="Compareceu",$E309&lt;&gt;"",$A309&lt;&gt;""),IF(IFERROR(INDEX(ProcRet,MATCH($E309,ProcNome,0)),0)&gt;0,$A309+INDEX(ProcRet,MATCH($E309,ProcNome,0)),""),"")</f>
        <v>0</v>
      </c>
      <c r="R309" s="26">
        <f>IF($Q309="","",IF(COUNTIFS(AgPac,$D309,AgData,"&gt;"&amp;$A309,AgStatus,"&lt;&gt;Cancelado",AgStatus,"&lt;&gt;Remarcado")&gt;0,"Sim","Não"))</f>
        <v>0</v>
      </c>
      <c r="S309" s="28">
        <f>IF($A309="","",IF(AND($F309="Agendado",$A309-Hoje&gt;=0,$A309-Hoje&lt;=DiasConf),"CONFIRMAR",IF(AND($A309&lt;Hoje,OR($F309="Agendado",$F309="Confirmado")),"Atualizar status",IF(AND($F309="Compareceu",$P309&gt;0.005),"Cobrar",IF($F309="Faltou","Falta: reagendar","")))))</f>
        <v>0</v>
      </c>
      <c r="T309" s="29">
        <f>IF($A309="","",DATE(YEAR($A309),MONTH($A309),1))</f>
        <v>46296.0</v>
      </c>
      <c r="U309" s="30">
        <f>IF($S309="CONFIRMAR",MAX($U$4:$U308)+1,"")</f>
        <v>0</v>
      </c>
      <c r="V309" s="30">
        <f>IF(AND($R309="Não",$Q309&lt;&gt;"",$Q309&lt;=Hoje+JanelaRet,$Q309&gt;=Hoje-60),MAX($V$4:$V308)+1,"")</f>
        <v>0</v>
      </c>
    </row>
    <row r="310" spans="1:22">
      <c r="A310" s="16">
        <v>46300</v>
      </c>
      <c r="B310" s="23">
        <v>0.6666666666666666</v>
      </c>
      <c r="C310" s="15" t="s">
        <v>53</v>
      </c>
      <c r="D310" s="15" t="s">
        <v>217</v>
      </c>
      <c r="E310" s="15" t="s">
        <v>59</v>
      </c>
      <c r="F310" s="24" t="s">
        <v>79</v>
      </c>
      <c r="G310" s="17"/>
      <c r="H310" s="17"/>
      <c r="I310" s="15"/>
      <c r="J310" s="25" t="str">
        <f>IF($D310="","",IFERROR(INDEX(PacNome,MATCH($D310,PacCod,0)),"Paciente não cadastrado"))</f>
        <v>Paciente 040</v>
      </c>
      <c r="K310" s="26" t="str">
        <f>IF($D310="","",IFERROR(INDEX(PacConv,MATCH($D310,PacCod,0))&amp;"",""))</f>
        <v>Particular</v>
      </c>
      <c r="L310" s="26" t="str">
        <f>IF($A310="","",CHOOSE(WEEKDAY($A310,2),"Seg","Ter","Qua","Qui","Sex","Sáb","Dom"))</f>
        <v>Seg</v>
      </c>
      <c r="M310" s="27">
        <f>IF($E310="","",IF($G310&lt;&gt;"",$G310,IFERROR(INDEX(ProcValor,MATCH($E310,ProcNome,0)),0)))</f>
        <v>150</v>
      </c>
      <c r="N310" s="27">
        <f>IF($M310="","",IF($F310="Compareceu",$M310,0))</f>
        <v>150</v>
      </c>
      <c r="O310" s="27">
        <f>IF($M310="","",IF($F310="Faltou",$M310,0))</f>
        <v>0</v>
      </c>
      <c r="P310" s="27">
        <f>IF($M310="","",IF($F310="Compareceu",MAX(0,$M310-N($H310)),0))</f>
        <v>150</v>
      </c>
      <c r="Q310" s="19">
        <f>IF(AND($F310="Compareceu",$E310&lt;&gt;"",$A310&lt;&gt;""),IF(IFERROR(INDEX(ProcRet,MATCH($E310,ProcNome,0)),0)&gt;0,$A310+INDEX(ProcRet,MATCH($E310,ProcNome,0)),""),"")</f>
        <v>0</v>
      </c>
      <c r="R310" s="26">
        <f>IF($Q310="","",IF(COUNTIFS(AgPac,$D310,AgData,"&gt;"&amp;$A310,AgStatus,"&lt;&gt;Cancelado",AgStatus,"&lt;&gt;Remarcado")&gt;0,"Sim","Não"))</f>
        <v>0</v>
      </c>
      <c r="S310" s="28" t="str">
        <f>IF($A310="","",IF(AND($F310="Agendado",$A310-Hoje&gt;=0,$A310-Hoje&lt;=DiasConf),"CONFIRMAR",IF(AND($A310&lt;Hoje,OR($F310="Agendado",$F310="Confirmado")),"Atualizar status",IF(AND($F310="Compareceu",$P310&gt;0.005),"Cobrar",IF($F310="Faltou","Falta: reagendar","")))))</f>
        <v>Cobrar</v>
      </c>
      <c r="T310" s="29">
        <f>IF($A310="","",DATE(YEAR($A310),MONTH($A310),1))</f>
        <v>46296.0</v>
      </c>
      <c r="U310" s="30">
        <f>IF($S310="CONFIRMAR",MAX($U$4:$U309)+1,"")</f>
        <v>0</v>
      </c>
      <c r="V310" s="30">
        <f>IF(AND($R310="Não",$Q310&lt;&gt;"",$Q310&lt;=Hoje+JanelaRet,$Q310&gt;=Hoje-60),MAX($V$4:$V309)+1,"")</f>
        <v>0</v>
      </c>
    </row>
    <row r="311" spans="1:22">
      <c r="A311" s="16">
        <v>46301</v>
      </c>
      <c r="B311" s="23">
        <v>0.3541666666666667</v>
      </c>
      <c r="C311" s="15" t="s">
        <v>53</v>
      </c>
      <c r="D311" s="15" t="s">
        <v>190</v>
      </c>
      <c r="E311" s="15" t="s">
        <v>61</v>
      </c>
      <c r="F311" s="24" t="s">
        <v>79</v>
      </c>
      <c r="G311" s="17"/>
      <c r="H311" s="17">
        <v>120</v>
      </c>
      <c r="I311" s="15" t="s">
        <v>75</v>
      </c>
      <c r="J311" s="25" t="str">
        <f>IF($D311="","",IFERROR(INDEX(PacNome,MATCH($D311,PacCod,0)),"Paciente não cadastrado"))</f>
        <v>Paciente 031</v>
      </c>
      <c r="K311" s="26" t="str">
        <f>IF($D311="","",IFERROR(INDEX(PacConv,MATCH($D311,PacCod,0))&amp;"",""))</f>
        <v>Particular</v>
      </c>
      <c r="L311" s="26" t="str">
        <f>IF($A311="","",CHOOSE(WEEKDAY($A311,2),"Seg","Ter","Qua","Qui","Sex","Sáb","Dom"))</f>
        <v>Ter</v>
      </c>
      <c r="M311" s="27">
        <f>IF($E311="","",IF($G311&lt;&gt;"",$G311,IFERROR(INDEX(ProcValor,MATCH($E311,ProcNome,0)),0)))</f>
        <v>120</v>
      </c>
      <c r="N311" s="27">
        <f>IF($M311="","",IF($F311="Compareceu",$M311,0))</f>
        <v>120</v>
      </c>
      <c r="O311" s="27">
        <f>IF($M311="","",IF($F311="Faltou",$M311,0))</f>
        <v>0</v>
      </c>
      <c r="P311" s="27">
        <f>IF($M311="","",IF($F311="Compareceu",MAX(0,$M311-N($H311)),0))</f>
        <v>0</v>
      </c>
      <c r="Q311" s="19">
        <f>IF(AND($F311="Compareceu",$E311&lt;&gt;"",$A311&lt;&gt;""),IF(IFERROR(INDEX(ProcRet,MATCH($E311,ProcNome,0)),0)&gt;0,$A311+INDEX(ProcRet,MATCH($E311,ProcNome,0)),""),"")</f>
        <v>46331.0</v>
      </c>
      <c r="R311" s="26" t="str">
        <f>IF($Q311="","",IF(COUNTIFS(AgPac,$D311,AgData,"&gt;"&amp;$A311,AgStatus,"&lt;&gt;Cancelado",AgStatus,"&lt;&gt;Remarcado")&gt;0,"Sim","Não"))</f>
        <v>Sim</v>
      </c>
      <c r="S311" s="28">
        <f>IF($A311="","",IF(AND($F311="Agendado",$A311-Hoje&gt;=0,$A311-Hoje&lt;=DiasConf),"CONFIRMAR",IF(AND($A311&lt;Hoje,OR($F311="Agendado",$F311="Confirmado")),"Atualizar status",IF(AND($F311="Compareceu",$P311&gt;0.005),"Cobrar",IF($F311="Faltou","Falta: reagendar","")))))</f>
        <v>0</v>
      </c>
      <c r="T311" s="29">
        <f>IF($A311="","",DATE(YEAR($A311),MONTH($A311),1))</f>
        <v>46296.0</v>
      </c>
      <c r="U311" s="30">
        <f>IF($S311="CONFIRMAR",MAX($U$4:$U310)+1,"")</f>
        <v>0</v>
      </c>
      <c r="V311" s="30">
        <f>IF(AND($R311="Não",$Q311&lt;&gt;"",$Q311&lt;=Hoje+JanelaRet,$Q311&gt;=Hoje-60),MAX($V$4:$V310)+1,"")</f>
        <v>0</v>
      </c>
    </row>
    <row r="312" spans="1:22">
      <c r="A312" s="16">
        <v>46301</v>
      </c>
      <c r="B312" s="23">
        <v>0.3958333333333333</v>
      </c>
      <c r="C312" s="15" t="s">
        <v>53</v>
      </c>
      <c r="D312" s="15" t="s">
        <v>211</v>
      </c>
      <c r="E312" s="15" t="s">
        <v>59</v>
      </c>
      <c r="F312" s="24" t="s">
        <v>79</v>
      </c>
      <c r="G312" s="17">
        <v>90</v>
      </c>
      <c r="H312" s="17">
        <v>90</v>
      </c>
      <c r="I312" s="15" t="s">
        <v>73</v>
      </c>
      <c r="J312" s="25" t="str">
        <f>IF($D312="","",IFERROR(INDEX(PacNome,MATCH($D312,PacCod,0)),"Paciente não cadastrado"))</f>
        <v>Paciente 038</v>
      </c>
      <c r="K312" s="26" t="str">
        <f>IF($D312="","",IFERROR(INDEX(PacConv,MATCH($D312,PacCod,0))&amp;"",""))</f>
        <v>Convênio A</v>
      </c>
      <c r="L312" s="26" t="str">
        <f>IF($A312="","",CHOOSE(WEEKDAY($A312,2),"Seg","Ter","Qua","Qui","Sex","Sáb","Dom"))</f>
        <v>Ter</v>
      </c>
      <c r="M312" s="27">
        <f>IF($E312="","",IF($G312&lt;&gt;"",$G312,IFERROR(INDEX(ProcValor,MATCH($E312,ProcNome,0)),0)))</f>
        <v>90</v>
      </c>
      <c r="N312" s="27">
        <f>IF($M312="","",IF($F312="Compareceu",$M312,0))</f>
        <v>90</v>
      </c>
      <c r="O312" s="27">
        <f>IF($M312="","",IF($F312="Faltou",$M312,0))</f>
        <v>0</v>
      </c>
      <c r="P312" s="27">
        <f>IF($M312="","",IF($F312="Compareceu",MAX(0,$M312-N($H312)),0))</f>
        <v>0</v>
      </c>
      <c r="Q312" s="19">
        <f>IF(AND($F312="Compareceu",$E312&lt;&gt;"",$A312&lt;&gt;""),IF(IFERROR(INDEX(ProcRet,MATCH($E312,ProcNome,0)),0)&gt;0,$A312+INDEX(ProcRet,MATCH($E312,ProcNome,0)),""),"")</f>
        <v>0</v>
      </c>
      <c r="R312" s="26">
        <f>IF($Q312="","",IF(COUNTIFS(AgPac,$D312,AgData,"&gt;"&amp;$A312,AgStatus,"&lt;&gt;Cancelado",AgStatus,"&lt;&gt;Remarcado")&gt;0,"Sim","Não"))</f>
        <v>0</v>
      </c>
      <c r="S312" s="28">
        <f>IF($A312="","",IF(AND($F312="Agendado",$A312-Hoje&gt;=0,$A312-Hoje&lt;=DiasConf),"CONFIRMAR",IF(AND($A312&lt;Hoje,OR($F312="Agendado",$F312="Confirmado")),"Atualizar status",IF(AND($F312="Compareceu",$P312&gt;0.005),"Cobrar",IF($F312="Faltou","Falta: reagendar","")))))</f>
        <v>0</v>
      </c>
      <c r="T312" s="29">
        <f>IF($A312="","",DATE(YEAR($A312),MONTH($A312),1))</f>
        <v>46296.0</v>
      </c>
      <c r="U312" s="30">
        <f>IF($S312="CONFIRMAR",MAX($U$4:$U311)+1,"")</f>
        <v>0</v>
      </c>
      <c r="V312" s="30">
        <f>IF(AND($R312="Não",$Q312&lt;&gt;"",$Q312&lt;=Hoje+JanelaRet,$Q312&gt;=Hoje-60),MAX($V$4:$V311)+1,"")</f>
        <v>0</v>
      </c>
    </row>
    <row r="313" spans="1:22">
      <c r="A313" s="16">
        <v>46301</v>
      </c>
      <c r="B313" s="23">
        <v>0.5</v>
      </c>
      <c r="C313" s="15" t="s">
        <v>54</v>
      </c>
      <c r="D313" s="15" t="s">
        <v>169</v>
      </c>
      <c r="E313" s="15" t="s">
        <v>60</v>
      </c>
      <c r="F313" s="24" t="s">
        <v>79</v>
      </c>
      <c r="G313" s="17"/>
      <c r="H313" s="17">
        <v>180</v>
      </c>
      <c r="I313" s="15" t="s">
        <v>75</v>
      </c>
      <c r="J313" s="25" t="str">
        <f>IF($D313="","",IFERROR(INDEX(PacNome,MATCH($D313,PacCod,0)),"Paciente não cadastrado"))</f>
        <v>Paciente 024</v>
      </c>
      <c r="K313" s="26" t="str">
        <f>IF($D313="","",IFERROR(INDEX(PacConv,MATCH($D313,PacCod,0))&amp;"",""))</f>
        <v>Particular</v>
      </c>
      <c r="L313" s="26" t="str">
        <f>IF($A313="","",CHOOSE(WEEKDAY($A313,2),"Seg","Ter","Qua","Qui","Sex","Sáb","Dom"))</f>
        <v>Ter</v>
      </c>
      <c r="M313" s="27">
        <f>IF($E313="","",IF($G313&lt;&gt;"",$G313,IFERROR(INDEX(ProcValor,MATCH($E313,ProcNome,0)),0)))</f>
        <v>180</v>
      </c>
      <c r="N313" s="27">
        <f>IF($M313="","",IF($F313="Compareceu",$M313,0))</f>
        <v>180</v>
      </c>
      <c r="O313" s="27">
        <f>IF($M313="","",IF($F313="Faltou",$M313,0))</f>
        <v>0</v>
      </c>
      <c r="P313" s="27">
        <f>IF($M313="","",IF($F313="Compareceu",MAX(0,$M313-N($H313)),0))</f>
        <v>0</v>
      </c>
      <c r="Q313" s="19">
        <f>IF(AND($F313="Compareceu",$E313&lt;&gt;"",$A313&lt;&gt;""),IF(IFERROR(INDEX(ProcRet,MATCH($E313,ProcNome,0)),0)&gt;0,$A313+INDEX(ProcRet,MATCH($E313,ProcNome,0)),""),"")</f>
        <v>46481.0</v>
      </c>
      <c r="R313" s="26" t="str">
        <f>IF($Q313="","",IF(COUNTIFS(AgPac,$D313,AgData,"&gt;"&amp;$A313,AgStatus,"&lt;&gt;Cancelado",AgStatus,"&lt;&gt;Remarcado")&gt;0,"Sim","Não"))</f>
        <v>Sim</v>
      </c>
      <c r="S313" s="28">
        <f>IF($A313="","",IF(AND($F313="Agendado",$A313-Hoje&gt;=0,$A313-Hoje&lt;=DiasConf),"CONFIRMAR",IF(AND($A313&lt;Hoje,OR($F313="Agendado",$F313="Confirmado")),"Atualizar status",IF(AND($F313="Compareceu",$P313&gt;0.005),"Cobrar",IF($F313="Faltou","Falta: reagendar","")))))</f>
        <v>0</v>
      </c>
      <c r="T313" s="29">
        <f>IF($A313="","",DATE(YEAR($A313),MONTH($A313),1))</f>
        <v>46296.0</v>
      </c>
      <c r="U313" s="30">
        <f>IF($S313="CONFIRMAR",MAX($U$4:$U312)+1,"")</f>
        <v>0</v>
      </c>
      <c r="V313" s="30">
        <f>IF(AND($R313="Não",$Q313&lt;&gt;"",$Q313&lt;=Hoje+JanelaRet,$Q313&gt;=Hoje-60),MAX($V$4:$V312)+1,"")</f>
        <v>0</v>
      </c>
    </row>
    <row r="314" spans="1:22">
      <c r="A314" s="16">
        <v>46301</v>
      </c>
      <c r="B314" s="23">
        <v>0.5833333333333334</v>
      </c>
      <c r="C314" s="15" t="s">
        <v>52</v>
      </c>
      <c r="D314" s="15" t="s">
        <v>172</v>
      </c>
      <c r="E314" s="15" t="s">
        <v>63</v>
      </c>
      <c r="F314" s="24" t="s">
        <v>79</v>
      </c>
      <c r="G314" s="17">
        <v>84</v>
      </c>
      <c r="H314" s="17">
        <v>84</v>
      </c>
      <c r="I314" s="15" t="s">
        <v>72</v>
      </c>
      <c r="J314" s="25" t="str">
        <f>IF($D314="","",IFERROR(INDEX(PacNome,MATCH($D314,PacCod,0)),"Paciente não cadastrado"))</f>
        <v>Paciente 025</v>
      </c>
      <c r="K314" s="26" t="str">
        <f>IF($D314="","",IFERROR(INDEX(PacConv,MATCH($D314,PacCod,0))&amp;"",""))</f>
        <v>Convênio A</v>
      </c>
      <c r="L314" s="26" t="str">
        <f>IF($A314="","",CHOOSE(WEEKDAY($A314,2),"Seg","Ter","Qua","Qui","Sex","Sáb","Dom"))</f>
        <v>Ter</v>
      </c>
      <c r="M314" s="27">
        <f>IF($E314="","",IF($G314&lt;&gt;"",$G314,IFERROR(INDEX(ProcValor,MATCH($E314,ProcNome,0)),0)))</f>
        <v>84</v>
      </c>
      <c r="N314" s="27">
        <f>IF($M314="","",IF($F314="Compareceu",$M314,0))</f>
        <v>84</v>
      </c>
      <c r="O314" s="27">
        <f>IF($M314="","",IF($F314="Faltou",$M314,0))</f>
        <v>0</v>
      </c>
      <c r="P314" s="27">
        <f>IF($M314="","",IF($F314="Compareceu",MAX(0,$M314-N($H314)),0))</f>
        <v>0</v>
      </c>
      <c r="Q314" s="19">
        <f>IF(AND($F314="Compareceu",$E314&lt;&gt;"",$A314&lt;&gt;""),IF(IFERROR(INDEX(ProcRet,MATCH($E314,ProcNome,0)),0)&gt;0,$A314+INDEX(ProcRet,MATCH($E314,ProcNome,0)),""),"")</f>
        <v>46308.0</v>
      </c>
      <c r="R314" s="26" t="str">
        <f>IF($Q314="","",IF(COUNTIFS(AgPac,$D314,AgData,"&gt;"&amp;$A314,AgStatus,"&lt;&gt;Cancelado",AgStatus,"&lt;&gt;Remarcado")&gt;0,"Sim","Não"))</f>
        <v>Não</v>
      </c>
      <c r="S314" s="28">
        <f>IF($A314="","",IF(AND($F314="Agendado",$A314-Hoje&gt;=0,$A314-Hoje&lt;=DiasConf),"CONFIRMAR",IF(AND($A314&lt;Hoje,OR($F314="Agendado",$F314="Confirmado")),"Atualizar status",IF(AND($F314="Compareceu",$P314&gt;0.005),"Cobrar",IF($F314="Faltou","Falta: reagendar","")))))</f>
        <v>0</v>
      </c>
      <c r="T314" s="29">
        <f>IF($A314="","",DATE(YEAR($A314),MONTH($A314),1))</f>
        <v>46296.0</v>
      </c>
      <c r="U314" s="30">
        <f>IF($S314="CONFIRMAR",MAX($U$4:$U313)+1,"")</f>
        <v>0</v>
      </c>
      <c r="V314" s="30">
        <f>IF(AND($R314="Não",$Q314&lt;&gt;"",$Q314&lt;=Hoje+JanelaRet,$Q314&gt;=Hoje-60),MAX($V$4:$V313)+1,"")</f>
        <v>8</v>
      </c>
    </row>
    <row r="315" spans="1:22">
      <c r="A315" s="16">
        <v>46301</v>
      </c>
      <c r="B315" s="23">
        <v>0.7083333333333334</v>
      </c>
      <c r="C315" s="15" t="s">
        <v>53</v>
      </c>
      <c r="D315" s="15" t="s">
        <v>211</v>
      </c>
      <c r="E315" s="15" t="s">
        <v>63</v>
      </c>
      <c r="F315" s="24" t="s">
        <v>80</v>
      </c>
      <c r="G315" s="17"/>
      <c r="H315" s="17"/>
      <c r="I315" s="15"/>
      <c r="J315" s="25" t="str">
        <f>IF($D315="","",IFERROR(INDEX(PacNome,MATCH($D315,PacCod,0)),"Paciente não cadastrado"))</f>
        <v>Paciente 038</v>
      </c>
      <c r="K315" s="26" t="str">
        <f>IF($D315="","",IFERROR(INDEX(PacConv,MATCH($D315,PacCod,0))&amp;"",""))</f>
        <v>Convênio A</v>
      </c>
      <c r="L315" s="26" t="str">
        <f>IF($A315="","",CHOOSE(WEEKDAY($A315,2),"Seg","Ter","Qua","Qui","Sex","Sáb","Dom"))</f>
        <v>Ter</v>
      </c>
      <c r="M315" s="27">
        <f>IF($E315="","",IF($G315&lt;&gt;"",$G315,IFERROR(INDEX(ProcValor,MATCH($E315,ProcNome,0)),0)))</f>
        <v>140</v>
      </c>
      <c r="N315" s="27">
        <f>IF($M315="","",IF($F315="Compareceu",$M315,0))</f>
        <v>0</v>
      </c>
      <c r="O315" s="27">
        <f>IF($M315="","",IF($F315="Faltou",$M315,0))</f>
        <v>140</v>
      </c>
      <c r="P315" s="27">
        <f>IF($M315="","",IF($F315="Compareceu",MAX(0,$M315-N($H315)),0))</f>
        <v>0</v>
      </c>
      <c r="Q315" s="19">
        <f>IF(AND($F315="Compareceu",$E315&lt;&gt;"",$A315&lt;&gt;""),IF(IFERROR(INDEX(ProcRet,MATCH($E315,ProcNome,0)),0)&gt;0,$A315+INDEX(ProcRet,MATCH($E315,ProcNome,0)),""),"")</f>
        <v>0</v>
      </c>
      <c r="R315" s="26">
        <f>IF($Q315="","",IF(COUNTIFS(AgPac,$D315,AgData,"&gt;"&amp;$A315,AgStatus,"&lt;&gt;Cancelado",AgStatus,"&lt;&gt;Remarcado")&gt;0,"Sim","Não"))</f>
        <v>0</v>
      </c>
      <c r="S315" s="28" t="str">
        <f>IF($A315="","",IF(AND($F315="Agendado",$A315-Hoje&gt;=0,$A315-Hoje&lt;=DiasConf),"CONFIRMAR",IF(AND($A315&lt;Hoje,OR($F315="Agendado",$F315="Confirmado")),"Atualizar status",IF(AND($F315="Compareceu",$P315&gt;0.005),"Cobrar",IF($F315="Faltou","Falta: reagendar","")))))</f>
        <v>Falta: reagendar</v>
      </c>
      <c r="T315" s="29">
        <f>IF($A315="","",DATE(YEAR($A315),MONTH($A315),1))</f>
        <v>46296.0</v>
      </c>
      <c r="U315" s="30">
        <f>IF($S315="CONFIRMAR",MAX($U$4:$U314)+1,"")</f>
        <v>0</v>
      </c>
      <c r="V315" s="30">
        <f>IF(AND($R315="Não",$Q315&lt;&gt;"",$Q315&lt;=Hoje+JanelaRet,$Q315&gt;=Hoje-60),MAX($V$4:$V314)+1,"")</f>
        <v>0</v>
      </c>
    </row>
    <row r="316" spans="1:22">
      <c r="A316" s="16">
        <v>46302</v>
      </c>
      <c r="B316" s="23">
        <v>0.3958333333333333</v>
      </c>
      <c r="C316" s="15" t="s">
        <v>52</v>
      </c>
      <c r="D316" s="15" t="s">
        <v>145</v>
      </c>
      <c r="E316" s="15" t="s">
        <v>62</v>
      </c>
      <c r="F316" s="24" t="s">
        <v>79</v>
      </c>
      <c r="G316" s="17"/>
      <c r="H316" s="17">
        <v>350</v>
      </c>
      <c r="I316" s="15" t="s">
        <v>71</v>
      </c>
      <c r="J316" s="25" t="str">
        <f>IF($D316="","",IFERROR(INDEX(PacNome,MATCH($D316,PacCod,0)),"Paciente não cadastrado"))</f>
        <v>Paciente 016</v>
      </c>
      <c r="K316" s="26" t="str">
        <f>IF($D316="","",IFERROR(INDEX(PacConv,MATCH($D316,PacCod,0))&amp;"",""))</f>
        <v>Particular</v>
      </c>
      <c r="L316" s="26" t="str">
        <f>IF($A316="","",CHOOSE(WEEKDAY($A316,2),"Seg","Ter","Qua","Qui","Sex","Sáb","Dom"))</f>
        <v>Qua</v>
      </c>
      <c r="M316" s="27">
        <f>IF($E316="","",IF($G316&lt;&gt;"",$G316,IFERROR(INDEX(ProcValor,MATCH($E316,ProcNome,0)),0)))</f>
        <v>350</v>
      </c>
      <c r="N316" s="27">
        <f>IF($M316="","",IF($F316="Compareceu",$M316,0))</f>
        <v>350</v>
      </c>
      <c r="O316" s="27">
        <f>IF($M316="","",IF($F316="Faltou",$M316,0))</f>
        <v>0</v>
      </c>
      <c r="P316" s="27">
        <f>IF($M316="","",IF($F316="Compareceu",MAX(0,$M316-N($H316)),0))</f>
        <v>0</v>
      </c>
      <c r="Q316" s="19">
        <f>IF(AND($F316="Compareceu",$E316&lt;&gt;"",$A316&lt;&gt;""),IF(IFERROR(INDEX(ProcRet,MATCH($E316,ProcNome,0)),0)&gt;0,$A316+INDEX(ProcRet,MATCH($E316,ProcNome,0)),""),"")</f>
        <v>46317.0</v>
      </c>
      <c r="R316" s="26" t="str">
        <f>IF($Q316="","",IF(COUNTIFS(AgPac,$D316,AgData,"&gt;"&amp;$A316,AgStatus,"&lt;&gt;Cancelado",AgStatus,"&lt;&gt;Remarcado")&gt;0,"Sim","Não"))</f>
        <v>Sim</v>
      </c>
      <c r="S316" s="28">
        <f>IF($A316="","",IF(AND($F316="Agendado",$A316-Hoje&gt;=0,$A316-Hoje&lt;=DiasConf),"CONFIRMAR",IF(AND($A316&lt;Hoje,OR($F316="Agendado",$F316="Confirmado")),"Atualizar status",IF(AND($F316="Compareceu",$P316&gt;0.005),"Cobrar",IF($F316="Faltou","Falta: reagendar","")))))</f>
        <v>0</v>
      </c>
      <c r="T316" s="29">
        <f>IF($A316="","",DATE(YEAR($A316),MONTH($A316),1))</f>
        <v>46296.0</v>
      </c>
      <c r="U316" s="30">
        <f>IF($S316="CONFIRMAR",MAX($U$4:$U315)+1,"")</f>
        <v>0</v>
      </c>
      <c r="V316" s="30">
        <f>IF(AND($R316="Não",$Q316&lt;&gt;"",$Q316&lt;=Hoje+JanelaRet,$Q316&gt;=Hoje-60),MAX($V$4:$V315)+1,"")</f>
        <v>0</v>
      </c>
    </row>
    <row r="317" spans="1:22">
      <c r="A317" s="16">
        <v>46302</v>
      </c>
      <c r="B317" s="23">
        <v>0.4375</v>
      </c>
      <c r="C317" s="15" t="s">
        <v>51</v>
      </c>
      <c r="D317" s="15" t="s">
        <v>214</v>
      </c>
      <c r="E317" s="15" t="s">
        <v>60</v>
      </c>
      <c r="F317" s="24" t="s">
        <v>79</v>
      </c>
      <c r="G317" s="17"/>
      <c r="H317" s="17">
        <v>180</v>
      </c>
      <c r="I317" s="15" t="s">
        <v>74</v>
      </c>
      <c r="J317" s="25" t="str">
        <f>IF($D317="","",IFERROR(INDEX(PacNome,MATCH($D317,PacCod,0)),"Paciente não cadastrado"))</f>
        <v>Paciente 039</v>
      </c>
      <c r="K317" s="26" t="str">
        <f>IF($D317="","",IFERROR(INDEX(PacConv,MATCH($D317,PacCod,0))&amp;"",""))</f>
        <v>Particular</v>
      </c>
      <c r="L317" s="26" t="str">
        <f>IF($A317="","",CHOOSE(WEEKDAY($A317,2),"Seg","Ter","Qua","Qui","Sex","Sáb","Dom"))</f>
        <v>Qua</v>
      </c>
      <c r="M317" s="27">
        <f>IF($E317="","",IF($G317&lt;&gt;"",$G317,IFERROR(INDEX(ProcValor,MATCH($E317,ProcNome,0)),0)))</f>
        <v>180</v>
      </c>
      <c r="N317" s="27">
        <f>IF($M317="","",IF($F317="Compareceu",$M317,0))</f>
        <v>180</v>
      </c>
      <c r="O317" s="27">
        <f>IF($M317="","",IF($F317="Faltou",$M317,0))</f>
        <v>0</v>
      </c>
      <c r="P317" s="27">
        <f>IF($M317="","",IF($F317="Compareceu",MAX(0,$M317-N($H317)),0))</f>
        <v>0</v>
      </c>
      <c r="Q317" s="19">
        <f>IF(AND($F317="Compareceu",$E317&lt;&gt;"",$A317&lt;&gt;""),IF(IFERROR(INDEX(ProcRet,MATCH($E317,ProcNome,0)),0)&gt;0,$A317+INDEX(ProcRet,MATCH($E317,ProcNome,0)),""),"")</f>
        <v>46482.0</v>
      </c>
      <c r="R317" s="26" t="str">
        <f>IF($Q317="","",IF(COUNTIFS(AgPac,$D317,AgData,"&gt;"&amp;$A317,AgStatus,"&lt;&gt;Cancelado",AgStatus,"&lt;&gt;Remarcado")&gt;0,"Sim","Não"))</f>
        <v>Não</v>
      </c>
      <c r="S317" s="28">
        <f>IF($A317="","",IF(AND($F317="Agendado",$A317-Hoje&gt;=0,$A317-Hoje&lt;=DiasConf),"CONFIRMAR",IF(AND($A317&lt;Hoje,OR($F317="Agendado",$F317="Confirmado")),"Atualizar status",IF(AND($F317="Compareceu",$P317&gt;0.005),"Cobrar",IF($F317="Faltou","Falta: reagendar","")))))</f>
        <v>0</v>
      </c>
      <c r="T317" s="29">
        <f>IF($A317="","",DATE(YEAR($A317),MONTH($A317),1))</f>
        <v>46296.0</v>
      </c>
      <c r="U317" s="30">
        <f>IF($S317="CONFIRMAR",MAX($U$4:$U316)+1,"")</f>
        <v>0</v>
      </c>
      <c r="V317" s="30">
        <f>IF(AND($R317="Não",$Q317&lt;&gt;"",$Q317&lt;=Hoje+JanelaRet,$Q317&gt;=Hoje-60),MAX($V$4:$V316)+1,"")</f>
        <v>0</v>
      </c>
    </row>
    <row r="318" spans="1:22">
      <c r="A318" s="16">
        <v>46302</v>
      </c>
      <c r="B318" s="23">
        <v>0.5416666666666666</v>
      </c>
      <c r="C318" s="15" t="s">
        <v>53</v>
      </c>
      <c r="D318" s="15" t="s">
        <v>151</v>
      </c>
      <c r="E318" s="15" t="s">
        <v>63</v>
      </c>
      <c r="F318" s="24" t="s">
        <v>82</v>
      </c>
      <c r="G318" s="17"/>
      <c r="H318" s="17"/>
      <c r="I318" s="15"/>
      <c r="J318" s="25" t="str">
        <f>IF($D318="","",IFERROR(INDEX(PacNome,MATCH($D318,PacCod,0)),"Paciente não cadastrado"))</f>
        <v>Paciente 018</v>
      </c>
      <c r="K318" s="26" t="str">
        <f>IF($D318="","",IFERROR(INDEX(PacConv,MATCH($D318,PacCod,0))&amp;"",""))</f>
        <v>Particular</v>
      </c>
      <c r="L318" s="26" t="str">
        <f>IF($A318="","",CHOOSE(WEEKDAY($A318,2),"Seg","Ter","Qua","Qui","Sex","Sáb","Dom"))</f>
        <v>Qua</v>
      </c>
      <c r="M318" s="27">
        <f>IF($E318="","",IF($G318&lt;&gt;"",$G318,IFERROR(INDEX(ProcValor,MATCH($E318,ProcNome,0)),0)))</f>
        <v>140</v>
      </c>
      <c r="N318" s="27">
        <f>IF($M318="","",IF($F318="Compareceu",$M318,0))</f>
        <v>0</v>
      </c>
      <c r="O318" s="27">
        <f>IF($M318="","",IF($F318="Faltou",$M318,0))</f>
        <v>0</v>
      </c>
      <c r="P318" s="27">
        <f>IF($M318="","",IF($F318="Compareceu",MAX(0,$M318-N($H318)),0))</f>
        <v>0</v>
      </c>
      <c r="Q318" s="19">
        <f>IF(AND($F318="Compareceu",$E318&lt;&gt;"",$A318&lt;&gt;""),IF(IFERROR(INDEX(ProcRet,MATCH($E318,ProcNome,0)),0)&gt;0,$A318+INDEX(ProcRet,MATCH($E318,ProcNome,0)),""),"")</f>
        <v>0</v>
      </c>
      <c r="R318" s="26">
        <f>IF($Q318="","",IF(COUNTIFS(AgPac,$D318,AgData,"&gt;"&amp;$A318,AgStatus,"&lt;&gt;Cancelado",AgStatus,"&lt;&gt;Remarcado")&gt;0,"Sim","Não"))</f>
        <v>0</v>
      </c>
      <c r="S318" s="28">
        <f>IF($A318="","",IF(AND($F318="Agendado",$A318-Hoje&gt;=0,$A318-Hoje&lt;=DiasConf),"CONFIRMAR",IF(AND($A318&lt;Hoje,OR($F318="Agendado",$F318="Confirmado")),"Atualizar status",IF(AND($F318="Compareceu",$P318&gt;0.005),"Cobrar",IF($F318="Faltou","Falta: reagendar","")))))</f>
        <v>0</v>
      </c>
      <c r="T318" s="29">
        <f>IF($A318="","",DATE(YEAR($A318),MONTH($A318),1))</f>
        <v>46296.0</v>
      </c>
      <c r="U318" s="30">
        <f>IF($S318="CONFIRMAR",MAX($U$4:$U317)+1,"")</f>
        <v>0</v>
      </c>
      <c r="V318" s="30">
        <f>IF(AND($R318="Não",$Q318&lt;&gt;"",$Q318&lt;=Hoje+JanelaRet,$Q318&gt;=Hoje-60),MAX($V$4:$V317)+1,"")</f>
        <v>0</v>
      </c>
    </row>
    <row r="319" spans="1:22">
      <c r="A319" s="16">
        <v>46302</v>
      </c>
      <c r="B319" s="23">
        <v>0.7291666666666666</v>
      </c>
      <c r="C319" s="15" t="s">
        <v>51</v>
      </c>
      <c r="D319" s="15" t="s">
        <v>103</v>
      </c>
      <c r="E319" s="15" t="s">
        <v>61</v>
      </c>
      <c r="F319" s="24" t="s">
        <v>79</v>
      </c>
      <c r="G319" s="17">
        <v>72</v>
      </c>
      <c r="H319" s="17">
        <v>72</v>
      </c>
      <c r="I319" s="15" t="s">
        <v>73</v>
      </c>
      <c r="J319" s="25" t="str">
        <f>IF($D319="","",IFERROR(INDEX(PacNome,MATCH($D319,PacCod,0)),"Paciente não cadastrado"))</f>
        <v>Paciente 002</v>
      </c>
      <c r="K319" s="26" t="str">
        <f>IF($D319="","",IFERROR(INDEX(PacConv,MATCH($D319,PacCod,0))&amp;"",""))</f>
        <v>Convênio A</v>
      </c>
      <c r="L319" s="26" t="str">
        <f>IF($A319="","",CHOOSE(WEEKDAY($A319,2),"Seg","Ter","Qua","Qui","Sex","Sáb","Dom"))</f>
        <v>Qua</v>
      </c>
      <c r="M319" s="27">
        <f>IF($E319="","",IF($G319&lt;&gt;"",$G319,IFERROR(INDEX(ProcValor,MATCH($E319,ProcNome,0)),0)))</f>
        <v>72</v>
      </c>
      <c r="N319" s="27">
        <f>IF($M319="","",IF($F319="Compareceu",$M319,0))</f>
        <v>72</v>
      </c>
      <c r="O319" s="27">
        <f>IF($M319="","",IF($F319="Faltou",$M319,0))</f>
        <v>0</v>
      </c>
      <c r="P319" s="27">
        <f>IF($M319="","",IF($F319="Compareceu",MAX(0,$M319-N($H319)),0))</f>
        <v>0</v>
      </c>
      <c r="Q319" s="19">
        <f>IF(AND($F319="Compareceu",$E319&lt;&gt;"",$A319&lt;&gt;""),IF(IFERROR(INDEX(ProcRet,MATCH($E319,ProcNome,0)),0)&gt;0,$A319+INDEX(ProcRet,MATCH($E319,ProcNome,0)),""),"")</f>
        <v>46332.0</v>
      </c>
      <c r="R319" s="26" t="str">
        <f>IF($Q319="","",IF(COUNTIFS(AgPac,$D319,AgData,"&gt;"&amp;$A319,AgStatus,"&lt;&gt;Cancelado",AgStatus,"&lt;&gt;Remarcado")&gt;0,"Sim","Não"))</f>
        <v>Sim</v>
      </c>
      <c r="S319" s="28">
        <f>IF($A319="","",IF(AND($F319="Agendado",$A319-Hoje&gt;=0,$A319-Hoje&lt;=DiasConf),"CONFIRMAR",IF(AND($A319&lt;Hoje,OR($F319="Agendado",$F319="Confirmado")),"Atualizar status",IF(AND($F319="Compareceu",$P319&gt;0.005),"Cobrar",IF($F319="Faltou","Falta: reagendar","")))))</f>
        <v>0</v>
      </c>
      <c r="T319" s="29">
        <f>IF($A319="","",DATE(YEAR($A319),MONTH($A319),1))</f>
        <v>46296.0</v>
      </c>
      <c r="U319" s="30">
        <f>IF($S319="CONFIRMAR",MAX($U$4:$U318)+1,"")</f>
        <v>0</v>
      </c>
      <c r="V319" s="30">
        <f>IF(AND($R319="Não",$Q319&lt;&gt;"",$Q319&lt;=Hoje+JanelaRet,$Q319&gt;=Hoje-60),MAX($V$4:$V318)+1,"")</f>
        <v>0</v>
      </c>
    </row>
    <row r="320" spans="1:22">
      <c r="A320" s="16">
        <v>46303</v>
      </c>
      <c r="B320" s="23">
        <v>0.4166666666666667</v>
      </c>
      <c r="C320" s="15" t="s">
        <v>54</v>
      </c>
      <c r="D320" s="15" t="s">
        <v>166</v>
      </c>
      <c r="E320" s="15" t="s">
        <v>60</v>
      </c>
      <c r="F320" s="24" t="s">
        <v>78</v>
      </c>
      <c r="G320" s="17"/>
      <c r="H320" s="17"/>
      <c r="I320" s="15"/>
      <c r="J320" s="25" t="str">
        <f>IF($D320="","",IFERROR(INDEX(PacNome,MATCH($D320,PacCod,0)),"Paciente não cadastrado"))</f>
        <v>Paciente 023</v>
      </c>
      <c r="K320" s="26" t="str">
        <f>IF($D320="","",IFERROR(INDEX(PacConv,MATCH($D320,PacCod,0))&amp;"",""))</f>
        <v>Particular</v>
      </c>
      <c r="L320" s="26" t="str">
        <f>IF($A320="","",CHOOSE(WEEKDAY($A320,2),"Seg","Ter","Qua","Qui","Sex","Sáb","Dom"))</f>
        <v>Qui</v>
      </c>
      <c r="M320" s="27">
        <f>IF($E320="","",IF($G320&lt;&gt;"",$G320,IFERROR(INDEX(ProcValor,MATCH($E320,ProcNome,0)),0)))</f>
        <v>180</v>
      </c>
      <c r="N320" s="27">
        <f>IF($M320="","",IF($F320="Compareceu",$M320,0))</f>
        <v>0</v>
      </c>
      <c r="O320" s="27">
        <f>IF($M320="","",IF($F320="Faltou",$M320,0))</f>
        <v>0</v>
      </c>
      <c r="P320" s="27">
        <f>IF($M320="","",IF($F320="Compareceu",MAX(0,$M320-N($H320)),0))</f>
        <v>0</v>
      </c>
      <c r="Q320" s="19">
        <f>IF(AND($F320="Compareceu",$E320&lt;&gt;"",$A320&lt;&gt;""),IF(IFERROR(INDEX(ProcRet,MATCH($E320,ProcNome,0)),0)&gt;0,$A320+INDEX(ProcRet,MATCH($E320,ProcNome,0)),""),"")</f>
        <v>0</v>
      </c>
      <c r="R320" s="26">
        <f>IF($Q320="","",IF(COUNTIFS(AgPac,$D320,AgData,"&gt;"&amp;$A320,AgStatus,"&lt;&gt;Cancelado",AgStatus,"&lt;&gt;Remarcado")&gt;0,"Sim","Não"))</f>
        <v>0</v>
      </c>
      <c r="S320" s="28">
        <f>IF($A320="","",IF(AND($F320="Agendado",$A320-Hoje&gt;=0,$A320-Hoje&lt;=DiasConf),"CONFIRMAR",IF(AND($A320&lt;Hoje,OR($F320="Agendado",$F320="Confirmado")),"Atualizar status",IF(AND($F320="Compareceu",$P320&gt;0.005),"Cobrar",IF($F320="Faltou","Falta: reagendar","")))))</f>
        <v>0</v>
      </c>
      <c r="T320" s="29">
        <f>IF($A320="","",DATE(YEAR($A320),MONTH($A320),1))</f>
        <v>46296.0</v>
      </c>
      <c r="U320" s="30">
        <f>IF($S320="CONFIRMAR",MAX($U$4:$U319)+1,"")</f>
        <v>0</v>
      </c>
      <c r="V320" s="30">
        <f>IF(AND($R320="Não",$Q320&lt;&gt;"",$Q320&lt;=Hoje+JanelaRet,$Q320&gt;=Hoje-60),MAX($V$4:$V319)+1,"")</f>
        <v>0</v>
      </c>
    </row>
    <row r="321" spans="1:22">
      <c r="A321" s="16">
        <v>46303</v>
      </c>
      <c r="B321" s="23">
        <v>0.4791666666666667</v>
      </c>
      <c r="C321" s="15" t="s">
        <v>52</v>
      </c>
      <c r="D321" s="15" t="s">
        <v>184</v>
      </c>
      <c r="E321" s="15" t="s">
        <v>64</v>
      </c>
      <c r="F321" s="24" t="s">
        <v>78</v>
      </c>
      <c r="G321" s="17"/>
      <c r="H321" s="17"/>
      <c r="I321" s="15"/>
      <c r="J321" s="25" t="str">
        <f>IF($D321="","",IFERROR(INDEX(PacNome,MATCH($D321,PacCod,0)),"Paciente não cadastrado"))</f>
        <v>Paciente 029</v>
      </c>
      <c r="K321" s="26" t="str">
        <f>IF($D321="","",IFERROR(INDEX(PacConv,MATCH($D321,PacCod,0))&amp;"",""))</f>
        <v>Convênio B</v>
      </c>
      <c r="L321" s="26" t="str">
        <f>IF($A321="","",CHOOSE(WEEKDAY($A321,2),"Seg","Ter","Qua","Qui","Sex","Sáb","Dom"))</f>
        <v>Qui</v>
      </c>
      <c r="M321" s="27">
        <f>IF($E321="","",IF($G321&lt;&gt;"",$G321,IFERROR(INDEX(ProcValor,MATCH($E321,ProcNome,0)),0)))</f>
        <v>90</v>
      </c>
      <c r="N321" s="27">
        <f>IF($M321="","",IF($F321="Compareceu",$M321,0))</f>
        <v>0</v>
      </c>
      <c r="O321" s="27">
        <f>IF($M321="","",IF($F321="Faltou",$M321,0))</f>
        <v>0</v>
      </c>
      <c r="P321" s="27">
        <f>IF($M321="","",IF($F321="Compareceu",MAX(0,$M321-N($H321)),0))</f>
        <v>0</v>
      </c>
      <c r="Q321" s="19">
        <f>IF(AND($F321="Compareceu",$E321&lt;&gt;"",$A321&lt;&gt;""),IF(IFERROR(INDEX(ProcRet,MATCH($E321,ProcNome,0)),0)&gt;0,$A321+INDEX(ProcRet,MATCH($E321,ProcNome,0)),""),"")</f>
        <v>0</v>
      </c>
      <c r="R321" s="26">
        <f>IF($Q321="","",IF(COUNTIFS(AgPac,$D321,AgData,"&gt;"&amp;$A321,AgStatus,"&lt;&gt;Cancelado",AgStatus,"&lt;&gt;Remarcado")&gt;0,"Sim","Não"))</f>
        <v>0</v>
      </c>
      <c r="S321" s="28">
        <f>IF($A321="","",IF(AND($F321="Agendado",$A321-Hoje&gt;=0,$A321-Hoje&lt;=DiasConf),"CONFIRMAR",IF(AND($A321&lt;Hoje,OR($F321="Agendado",$F321="Confirmado")),"Atualizar status",IF(AND($F321="Compareceu",$P321&gt;0.005),"Cobrar",IF($F321="Faltou","Falta: reagendar","")))))</f>
        <v>0</v>
      </c>
      <c r="T321" s="29">
        <f>IF($A321="","",DATE(YEAR($A321),MONTH($A321),1))</f>
        <v>46296.0</v>
      </c>
      <c r="U321" s="30">
        <f>IF($S321="CONFIRMAR",MAX($U$4:$U320)+1,"")</f>
        <v>0</v>
      </c>
      <c r="V321" s="30">
        <f>IF(AND($R321="Não",$Q321&lt;&gt;"",$Q321&lt;=Hoje+JanelaRet,$Q321&gt;=Hoje-60),MAX($V$4:$V320)+1,"")</f>
        <v>0</v>
      </c>
    </row>
    <row r="322" spans="1:22">
      <c r="A322" s="16">
        <v>46303</v>
      </c>
      <c r="B322" s="23">
        <v>0.5416666666666666</v>
      </c>
      <c r="C322" s="15" t="s">
        <v>51</v>
      </c>
      <c r="D322" s="15" t="s">
        <v>229</v>
      </c>
      <c r="E322" s="15" t="s">
        <v>61</v>
      </c>
      <c r="F322" s="24" t="s">
        <v>77</v>
      </c>
      <c r="G322" s="17"/>
      <c r="H322" s="17"/>
      <c r="I322" s="15"/>
      <c r="J322" s="25" t="str">
        <f>IF($D322="","",IFERROR(INDEX(PacNome,MATCH($D322,PacCod,0)),"Paciente não cadastrado"))</f>
        <v>Paciente 044</v>
      </c>
      <c r="K322" s="26" t="str">
        <f>IF($D322="","",IFERROR(INDEX(PacConv,MATCH($D322,PacCod,0))&amp;"",""))</f>
        <v>Particular</v>
      </c>
      <c r="L322" s="26" t="str">
        <f>IF($A322="","",CHOOSE(WEEKDAY($A322,2),"Seg","Ter","Qua","Qui","Sex","Sáb","Dom"))</f>
        <v>Qui</v>
      </c>
      <c r="M322" s="27">
        <f>IF($E322="","",IF($G322&lt;&gt;"",$G322,IFERROR(INDEX(ProcValor,MATCH($E322,ProcNome,0)),0)))</f>
        <v>120</v>
      </c>
      <c r="N322" s="27">
        <f>IF($M322="","",IF($F322="Compareceu",$M322,0))</f>
        <v>0</v>
      </c>
      <c r="O322" s="27">
        <f>IF($M322="","",IF($F322="Faltou",$M322,0))</f>
        <v>0</v>
      </c>
      <c r="P322" s="27">
        <f>IF($M322="","",IF($F322="Compareceu",MAX(0,$M322-N($H322)),0))</f>
        <v>0</v>
      </c>
      <c r="Q322" s="19">
        <f>IF(AND($F322="Compareceu",$E322&lt;&gt;"",$A322&lt;&gt;""),IF(IFERROR(INDEX(ProcRet,MATCH($E322,ProcNome,0)),0)&gt;0,$A322+INDEX(ProcRet,MATCH($E322,ProcNome,0)),""),"")</f>
        <v>0</v>
      </c>
      <c r="R322" s="26">
        <f>IF($Q322="","",IF(COUNTIFS(AgPac,$D322,AgData,"&gt;"&amp;$A322,AgStatus,"&lt;&gt;Cancelado",AgStatus,"&lt;&gt;Remarcado")&gt;0,"Sim","Não"))</f>
        <v>0</v>
      </c>
      <c r="S322" s="28" t="str">
        <f>IF($A322="","",IF(AND($F322="Agendado",$A322-Hoje&gt;=0,$A322-Hoje&lt;=DiasConf),"CONFIRMAR",IF(AND($A322&lt;Hoje,OR($F322="Agendado",$F322="Confirmado")),"Atualizar status",IF(AND($F322="Compareceu",$P322&gt;0.005),"Cobrar",IF($F322="Faltou","Falta: reagendar","")))))</f>
        <v>CONFIRMAR</v>
      </c>
      <c r="T322" s="29">
        <f>IF($A322="","",DATE(YEAR($A322),MONTH($A322),1))</f>
        <v>46296.0</v>
      </c>
      <c r="U322" s="30">
        <f>IF($S322="CONFIRMAR",MAX($U$4:$U321)+1,"")</f>
        <v>1</v>
      </c>
      <c r="V322" s="30">
        <f>IF(AND($R322="Não",$Q322&lt;&gt;"",$Q322&lt;=Hoje+JanelaRet,$Q322&gt;=Hoje-60),MAX($V$4:$V321)+1,"")</f>
        <v>0</v>
      </c>
    </row>
    <row r="323" spans="1:22">
      <c r="A323" s="16">
        <v>46303</v>
      </c>
      <c r="B323" s="23">
        <v>0.6875</v>
      </c>
      <c r="C323" s="15" t="s">
        <v>54</v>
      </c>
      <c r="D323" s="15" t="s">
        <v>145</v>
      </c>
      <c r="E323" s="15" t="s">
        <v>61</v>
      </c>
      <c r="F323" s="24" t="s">
        <v>78</v>
      </c>
      <c r="G323" s="17"/>
      <c r="H323" s="17"/>
      <c r="I323" s="15"/>
      <c r="J323" s="25" t="str">
        <f>IF($D323="","",IFERROR(INDEX(PacNome,MATCH($D323,PacCod,0)),"Paciente não cadastrado"))</f>
        <v>Paciente 016</v>
      </c>
      <c r="K323" s="26" t="str">
        <f>IF($D323="","",IFERROR(INDEX(PacConv,MATCH($D323,PacCod,0))&amp;"",""))</f>
        <v>Particular</v>
      </c>
      <c r="L323" s="26" t="str">
        <f>IF($A323="","",CHOOSE(WEEKDAY($A323,2),"Seg","Ter","Qua","Qui","Sex","Sáb","Dom"))</f>
        <v>Qui</v>
      </c>
      <c r="M323" s="27">
        <f>IF($E323="","",IF($G323&lt;&gt;"",$G323,IFERROR(INDEX(ProcValor,MATCH($E323,ProcNome,0)),0)))</f>
        <v>120</v>
      </c>
      <c r="N323" s="27">
        <f>IF($M323="","",IF($F323="Compareceu",$M323,0))</f>
        <v>0</v>
      </c>
      <c r="O323" s="27">
        <f>IF($M323="","",IF($F323="Faltou",$M323,0))</f>
        <v>0</v>
      </c>
      <c r="P323" s="27">
        <f>IF($M323="","",IF($F323="Compareceu",MAX(0,$M323-N($H323)),0))</f>
        <v>0</v>
      </c>
      <c r="Q323" s="19">
        <f>IF(AND($F323="Compareceu",$E323&lt;&gt;"",$A323&lt;&gt;""),IF(IFERROR(INDEX(ProcRet,MATCH($E323,ProcNome,0)),0)&gt;0,$A323+INDEX(ProcRet,MATCH($E323,ProcNome,0)),""),"")</f>
        <v>0</v>
      </c>
      <c r="R323" s="26">
        <f>IF($Q323="","",IF(COUNTIFS(AgPac,$D323,AgData,"&gt;"&amp;$A323,AgStatus,"&lt;&gt;Cancelado",AgStatus,"&lt;&gt;Remarcado")&gt;0,"Sim","Não"))</f>
        <v>0</v>
      </c>
      <c r="S323" s="28">
        <f>IF($A323="","",IF(AND($F323="Agendado",$A323-Hoje&gt;=0,$A323-Hoje&lt;=DiasConf),"CONFIRMAR",IF(AND($A323&lt;Hoje,OR($F323="Agendado",$F323="Confirmado")),"Atualizar status",IF(AND($F323="Compareceu",$P323&gt;0.005),"Cobrar",IF($F323="Faltou","Falta: reagendar","")))))</f>
        <v>0</v>
      </c>
      <c r="T323" s="29">
        <f>IF($A323="","",DATE(YEAR($A323),MONTH($A323),1))</f>
        <v>46296.0</v>
      </c>
      <c r="U323" s="30">
        <f>IF($S323="CONFIRMAR",MAX($U$4:$U322)+1,"")</f>
        <v>0</v>
      </c>
      <c r="V323" s="30">
        <f>IF(AND($R323="Não",$Q323&lt;&gt;"",$Q323&lt;=Hoje+JanelaRet,$Q323&gt;=Hoje-60),MAX($V$4:$V322)+1,"")</f>
        <v>0</v>
      </c>
    </row>
    <row r="324" spans="1:22">
      <c r="A324" s="16">
        <v>46304</v>
      </c>
      <c r="B324" s="23">
        <v>0.375</v>
      </c>
      <c r="C324" s="15" t="s">
        <v>52</v>
      </c>
      <c r="D324" s="15" t="s">
        <v>103</v>
      </c>
      <c r="E324" s="15" t="s">
        <v>63</v>
      </c>
      <c r="F324" s="24" t="s">
        <v>78</v>
      </c>
      <c r="G324" s="17"/>
      <c r="H324" s="17"/>
      <c r="I324" s="15"/>
      <c r="J324" s="25" t="str">
        <f>IF($D324="","",IFERROR(INDEX(PacNome,MATCH($D324,PacCod,0)),"Paciente não cadastrado"))</f>
        <v>Paciente 002</v>
      </c>
      <c r="K324" s="26" t="str">
        <f>IF($D324="","",IFERROR(INDEX(PacConv,MATCH($D324,PacCod,0))&amp;"",""))</f>
        <v>Convênio A</v>
      </c>
      <c r="L324" s="26" t="str">
        <f>IF($A324="","",CHOOSE(WEEKDAY($A324,2),"Seg","Ter","Qua","Qui","Sex","Sáb","Dom"))</f>
        <v>Sex</v>
      </c>
      <c r="M324" s="27">
        <f>IF($E324="","",IF($G324&lt;&gt;"",$G324,IFERROR(INDEX(ProcValor,MATCH($E324,ProcNome,0)),0)))</f>
        <v>140</v>
      </c>
      <c r="N324" s="27">
        <f>IF($M324="","",IF($F324="Compareceu",$M324,0))</f>
        <v>0</v>
      </c>
      <c r="O324" s="27">
        <f>IF($M324="","",IF($F324="Faltou",$M324,0))</f>
        <v>0</v>
      </c>
      <c r="P324" s="27">
        <f>IF($M324="","",IF($F324="Compareceu",MAX(0,$M324-N($H324)),0))</f>
        <v>0</v>
      </c>
      <c r="Q324" s="19">
        <f>IF(AND($F324="Compareceu",$E324&lt;&gt;"",$A324&lt;&gt;""),IF(IFERROR(INDEX(ProcRet,MATCH($E324,ProcNome,0)),0)&gt;0,$A324+INDEX(ProcRet,MATCH($E324,ProcNome,0)),""),"")</f>
        <v>0</v>
      </c>
      <c r="R324" s="26">
        <f>IF($Q324="","",IF(COUNTIFS(AgPac,$D324,AgData,"&gt;"&amp;$A324,AgStatus,"&lt;&gt;Cancelado",AgStatus,"&lt;&gt;Remarcado")&gt;0,"Sim","Não"))</f>
        <v>0</v>
      </c>
      <c r="S324" s="28">
        <f>IF($A324="","",IF(AND($F324="Agendado",$A324-Hoje&gt;=0,$A324-Hoje&lt;=DiasConf),"CONFIRMAR",IF(AND($A324&lt;Hoje,OR($F324="Agendado",$F324="Confirmado")),"Atualizar status",IF(AND($F324="Compareceu",$P324&gt;0.005),"Cobrar",IF($F324="Faltou","Falta: reagendar","")))))</f>
        <v>0</v>
      </c>
      <c r="T324" s="29">
        <f>IF($A324="","",DATE(YEAR($A324),MONTH($A324),1))</f>
        <v>46296.0</v>
      </c>
      <c r="U324" s="30">
        <f>IF($S324="CONFIRMAR",MAX($U$4:$U323)+1,"")</f>
        <v>0</v>
      </c>
      <c r="V324" s="30">
        <f>IF(AND($R324="Não",$Q324&lt;&gt;"",$Q324&lt;=Hoje+JanelaRet,$Q324&gt;=Hoje-60),MAX($V$4:$V323)+1,"")</f>
        <v>0</v>
      </c>
    </row>
    <row r="325" spans="1:22">
      <c r="A325" s="16">
        <v>46304</v>
      </c>
      <c r="B325" s="23">
        <v>0.5</v>
      </c>
      <c r="C325" s="15" t="s">
        <v>53</v>
      </c>
      <c r="D325" s="15" t="s">
        <v>235</v>
      </c>
      <c r="E325" s="15" t="s">
        <v>59</v>
      </c>
      <c r="F325" s="24" t="s">
        <v>77</v>
      </c>
      <c r="G325" s="17"/>
      <c r="H325" s="17"/>
      <c r="I325" s="15"/>
      <c r="J325" s="25" t="str">
        <f>IF($D325="","",IFERROR(INDEX(PacNome,MATCH($D325,PacCod,0)),"Paciente não cadastrado"))</f>
        <v>Paciente 046</v>
      </c>
      <c r="K325" s="26" t="str">
        <f>IF($D325="","",IFERROR(INDEX(PacConv,MATCH($D325,PacCod,0))&amp;"",""))</f>
        <v>Convênio A</v>
      </c>
      <c r="L325" s="26" t="str">
        <f>IF($A325="","",CHOOSE(WEEKDAY($A325,2),"Seg","Ter","Qua","Qui","Sex","Sáb","Dom"))</f>
        <v>Sex</v>
      </c>
      <c r="M325" s="27">
        <f>IF($E325="","",IF($G325&lt;&gt;"",$G325,IFERROR(INDEX(ProcValor,MATCH($E325,ProcNome,0)),0)))</f>
        <v>150</v>
      </c>
      <c r="N325" s="27">
        <f>IF($M325="","",IF($F325="Compareceu",$M325,0))</f>
        <v>0</v>
      </c>
      <c r="O325" s="27">
        <f>IF($M325="","",IF($F325="Faltou",$M325,0))</f>
        <v>0</v>
      </c>
      <c r="P325" s="27">
        <f>IF($M325="","",IF($F325="Compareceu",MAX(0,$M325-N($H325)),0))</f>
        <v>0</v>
      </c>
      <c r="Q325" s="19">
        <f>IF(AND($F325="Compareceu",$E325&lt;&gt;"",$A325&lt;&gt;""),IF(IFERROR(INDEX(ProcRet,MATCH($E325,ProcNome,0)),0)&gt;0,$A325+INDEX(ProcRet,MATCH($E325,ProcNome,0)),""),"")</f>
        <v>0</v>
      </c>
      <c r="R325" s="26">
        <f>IF($Q325="","",IF(COUNTIFS(AgPac,$D325,AgData,"&gt;"&amp;$A325,AgStatus,"&lt;&gt;Cancelado",AgStatus,"&lt;&gt;Remarcado")&gt;0,"Sim","Não"))</f>
        <v>0</v>
      </c>
      <c r="S325" s="28" t="str">
        <f>IF($A325="","",IF(AND($F325="Agendado",$A325-Hoje&gt;=0,$A325-Hoje&lt;=DiasConf),"CONFIRMAR",IF(AND($A325&lt;Hoje,OR($F325="Agendado",$F325="Confirmado")),"Atualizar status",IF(AND($F325="Compareceu",$P325&gt;0.005),"Cobrar",IF($F325="Faltou","Falta: reagendar","")))))</f>
        <v>CONFIRMAR</v>
      </c>
      <c r="T325" s="29">
        <f>IF($A325="","",DATE(YEAR($A325),MONTH($A325),1))</f>
        <v>46296.0</v>
      </c>
      <c r="U325" s="30">
        <f>IF($S325="CONFIRMAR",MAX($U$4:$U324)+1,"")</f>
        <v>2</v>
      </c>
      <c r="V325" s="30">
        <f>IF(AND($R325="Não",$Q325&lt;&gt;"",$Q325&lt;=Hoje+JanelaRet,$Q325&gt;=Hoje-60),MAX($V$4:$V324)+1,"")</f>
        <v>0</v>
      </c>
    </row>
    <row r="326" spans="1:22">
      <c r="A326" s="16">
        <v>46304</v>
      </c>
      <c r="B326" s="23">
        <v>0.5416666666666666</v>
      </c>
      <c r="C326" s="15" t="s">
        <v>53</v>
      </c>
      <c r="D326" s="15" t="s">
        <v>175</v>
      </c>
      <c r="E326" s="15" t="s">
        <v>64</v>
      </c>
      <c r="F326" s="24" t="s">
        <v>77</v>
      </c>
      <c r="G326" s="17"/>
      <c r="H326" s="17"/>
      <c r="I326" s="15"/>
      <c r="J326" s="25" t="str">
        <f>IF($D326="","",IFERROR(INDEX(PacNome,MATCH($D326,PacCod,0)),"Paciente não cadastrado"))</f>
        <v>Paciente 026</v>
      </c>
      <c r="K326" s="26" t="str">
        <f>IF($D326="","",IFERROR(INDEX(PacConv,MATCH($D326,PacCod,0))&amp;"",""))</f>
        <v>Convênio A</v>
      </c>
      <c r="L326" s="26" t="str">
        <f>IF($A326="","",CHOOSE(WEEKDAY($A326,2),"Seg","Ter","Qua","Qui","Sex","Sáb","Dom"))</f>
        <v>Sex</v>
      </c>
      <c r="M326" s="27">
        <f>IF($E326="","",IF($G326&lt;&gt;"",$G326,IFERROR(INDEX(ProcValor,MATCH($E326,ProcNome,0)),0)))</f>
        <v>90</v>
      </c>
      <c r="N326" s="27">
        <f>IF($M326="","",IF($F326="Compareceu",$M326,0))</f>
        <v>0</v>
      </c>
      <c r="O326" s="27">
        <f>IF($M326="","",IF($F326="Faltou",$M326,0))</f>
        <v>0</v>
      </c>
      <c r="P326" s="27">
        <f>IF($M326="","",IF($F326="Compareceu",MAX(0,$M326-N($H326)),0))</f>
        <v>0</v>
      </c>
      <c r="Q326" s="19">
        <f>IF(AND($F326="Compareceu",$E326&lt;&gt;"",$A326&lt;&gt;""),IF(IFERROR(INDEX(ProcRet,MATCH($E326,ProcNome,0)),0)&gt;0,$A326+INDEX(ProcRet,MATCH($E326,ProcNome,0)),""),"")</f>
        <v>0</v>
      </c>
      <c r="R326" s="26">
        <f>IF($Q326="","",IF(COUNTIFS(AgPac,$D326,AgData,"&gt;"&amp;$A326,AgStatus,"&lt;&gt;Cancelado",AgStatus,"&lt;&gt;Remarcado")&gt;0,"Sim","Não"))</f>
        <v>0</v>
      </c>
      <c r="S326" s="28" t="str">
        <f>IF($A326="","",IF(AND($F326="Agendado",$A326-Hoje&gt;=0,$A326-Hoje&lt;=DiasConf),"CONFIRMAR",IF(AND($A326&lt;Hoje,OR($F326="Agendado",$F326="Confirmado")),"Atualizar status",IF(AND($F326="Compareceu",$P326&gt;0.005),"Cobrar",IF($F326="Faltou","Falta: reagendar","")))))</f>
        <v>CONFIRMAR</v>
      </c>
      <c r="T326" s="29">
        <f>IF($A326="","",DATE(YEAR($A326),MONTH($A326),1))</f>
        <v>46296.0</v>
      </c>
      <c r="U326" s="30">
        <f>IF($S326="CONFIRMAR",MAX($U$4:$U325)+1,"")</f>
        <v>3</v>
      </c>
      <c r="V326" s="30">
        <f>IF(AND($R326="Não",$Q326&lt;&gt;"",$Q326&lt;=Hoje+JanelaRet,$Q326&gt;=Hoje-60),MAX($V$4:$V325)+1,"")</f>
        <v>0</v>
      </c>
    </row>
    <row r="327" spans="1:22">
      <c r="A327" s="16">
        <v>46305</v>
      </c>
      <c r="B327" s="23">
        <v>0.4166666666666667</v>
      </c>
      <c r="C327" s="15" t="s">
        <v>54</v>
      </c>
      <c r="D327" s="15" t="s">
        <v>121</v>
      </c>
      <c r="E327" s="15" t="s">
        <v>59</v>
      </c>
      <c r="F327" s="24" t="s">
        <v>77</v>
      </c>
      <c r="G327" s="17"/>
      <c r="H327" s="17"/>
      <c r="I327" s="15"/>
      <c r="J327" s="25" t="str">
        <f>IF($D327="","",IFERROR(INDEX(PacNome,MATCH($D327,PacCod,0)),"Paciente não cadastrado"))</f>
        <v>Paciente 008</v>
      </c>
      <c r="K327" s="26" t="str">
        <f>IF($D327="","",IFERROR(INDEX(PacConv,MATCH($D327,PacCod,0))&amp;"",""))</f>
        <v>Particular</v>
      </c>
      <c r="L327" s="26" t="str">
        <f>IF($A327="","",CHOOSE(WEEKDAY($A327,2),"Seg","Ter","Qua","Qui","Sex","Sáb","Dom"))</f>
        <v>Sáb</v>
      </c>
      <c r="M327" s="27">
        <f>IF($E327="","",IF($G327&lt;&gt;"",$G327,IFERROR(INDEX(ProcValor,MATCH($E327,ProcNome,0)),0)))</f>
        <v>150</v>
      </c>
      <c r="N327" s="27">
        <f>IF($M327="","",IF($F327="Compareceu",$M327,0))</f>
        <v>0</v>
      </c>
      <c r="O327" s="27">
        <f>IF($M327="","",IF($F327="Faltou",$M327,0))</f>
        <v>0</v>
      </c>
      <c r="P327" s="27">
        <f>IF($M327="","",IF($F327="Compareceu",MAX(0,$M327-N($H327)),0))</f>
        <v>0</v>
      </c>
      <c r="Q327" s="19">
        <f>IF(AND($F327="Compareceu",$E327&lt;&gt;"",$A327&lt;&gt;""),IF(IFERROR(INDEX(ProcRet,MATCH($E327,ProcNome,0)),0)&gt;0,$A327+INDEX(ProcRet,MATCH($E327,ProcNome,0)),""),"")</f>
        <v>0</v>
      </c>
      <c r="R327" s="26">
        <f>IF($Q327="","",IF(COUNTIFS(AgPac,$D327,AgData,"&gt;"&amp;$A327,AgStatus,"&lt;&gt;Cancelado",AgStatus,"&lt;&gt;Remarcado")&gt;0,"Sim","Não"))</f>
        <v>0</v>
      </c>
      <c r="S327" s="28" t="str">
        <f>IF($A327="","",IF(AND($F327="Agendado",$A327-Hoje&gt;=0,$A327-Hoje&lt;=DiasConf),"CONFIRMAR",IF(AND($A327&lt;Hoje,OR($F327="Agendado",$F327="Confirmado")),"Atualizar status",IF(AND($F327="Compareceu",$P327&gt;0.005),"Cobrar",IF($F327="Faltou","Falta: reagendar","")))))</f>
        <v>CONFIRMAR</v>
      </c>
      <c r="T327" s="29">
        <f>IF($A327="","",DATE(YEAR($A327),MONTH($A327),1))</f>
        <v>46296.0</v>
      </c>
      <c r="U327" s="30">
        <f>IF($S327="CONFIRMAR",MAX($U$4:$U326)+1,"")</f>
        <v>4</v>
      </c>
      <c r="V327" s="30">
        <f>IF(AND($R327="Não",$Q327&lt;&gt;"",$Q327&lt;=Hoje+JanelaRet,$Q327&gt;=Hoje-60),MAX($V$4:$V326)+1,"")</f>
        <v>0</v>
      </c>
    </row>
    <row r="328" spans="1:22">
      <c r="A328" s="16">
        <v>46305</v>
      </c>
      <c r="B328" s="23">
        <v>0.625</v>
      </c>
      <c r="C328" s="15" t="s">
        <v>51</v>
      </c>
      <c r="D328" s="15" t="s">
        <v>160</v>
      </c>
      <c r="E328" s="15" t="s">
        <v>59</v>
      </c>
      <c r="F328" s="24" t="s">
        <v>77</v>
      </c>
      <c r="G328" s="17"/>
      <c r="H328" s="17"/>
      <c r="I328" s="15"/>
      <c r="J328" s="25" t="str">
        <f>IF($D328="","",IFERROR(INDEX(PacNome,MATCH($D328,PacCod,0)),"Paciente não cadastrado"))</f>
        <v>Paciente 021</v>
      </c>
      <c r="K328" s="26" t="str">
        <f>IF($D328="","",IFERROR(INDEX(PacConv,MATCH($D328,PacCod,0))&amp;"",""))</f>
        <v>Convênio A</v>
      </c>
      <c r="L328" s="26" t="str">
        <f>IF($A328="","",CHOOSE(WEEKDAY($A328,2),"Seg","Ter","Qua","Qui","Sex","Sáb","Dom"))</f>
        <v>Sáb</v>
      </c>
      <c r="M328" s="27">
        <f>IF($E328="","",IF($G328&lt;&gt;"",$G328,IFERROR(INDEX(ProcValor,MATCH($E328,ProcNome,0)),0)))</f>
        <v>150</v>
      </c>
      <c r="N328" s="27">
        <f>IF($M328="","",IF($F328="Compareceu",$M328,0))</f>
        <v>0</v>
      </c>
      <c r="O328" s="27">
        <f>IF($M328="","",IF($F328="Faltou",$M328,0))</f>
        <v>0</v>
      </c>
      <c r="P328" s="27">
        <f>IF($M328="","",IF($F328="Compareceu",MAX(0,$M328-N($H328)),0))</f>
        <v>0</v>
      </c>
      <c r="Q328" s="19">
        <f>IF(AND($F328="Compareceu",$E328&lt;&gt;"",$A328&lt;&gt;""),IF(IFERROR(INDEX(ProcRet,MATCH($E328,ProcNome,0)),0)&gt;0,$A328+INDEX(ProcRet,MATCH($E328,ProcNome,0)),""),"")</f>
        <v>0</v>
      </c>
      <c r="R328" s="26">
        <f>IF($Q328="","",IF(COUNTIFS(AgPac,$D328,AgData,"&gt;"&amp;$A328,AgStatus,"&lt;&gt;Cancelado",AgStatus,"&lt;&gt;Remarcado")&gt;0,"Sim","Não"))</f>
        <v>0</v>
      </c>
      <c r="S328" s="28" t="str">
        <f>IF($A328="","",IF(AND($F328="Agendado",$A328-Hoje&gt;=0,$A328-Hoje&lt;=DiasConf),"CONFIRMAR",IF(AND($A328&lt;Hoje,OR($F328="Agendado",$F328="Confirmado")),"Atualizar status",IF(AND($F328="Compareceu",$P328&gt;0.005),"Cobrar",IF($F328="Faltou","Falta: reagendar","")))))</f>
        <v>CONFIRMAR</v>
      </c>
      <c r="T328" s="29">
        <f>IF($A328="","",DATE(YEAR($A328),MONTH($A328),1))</f>
        <v>46296.0</v>
      </c>
      <c r="U328" s="30">
        <f>IF($S328="CONFIRMAR",MAX($U$4:$U327)+1,"")</f>
        <v>5</v>
      </c>
      <c r="V328" s="30">
        <f>IF(AND($R328="Não",$Q328&lt;&gt;"",$Q328&lt;=Hoje+JanelaRet,$Q328&gt;=Hoje-60),MAX($V$4:$V327)+1,"")</f>
        <v>0</v>
      </c>
    </row>
    <row r="329" spans="1:22">
      <c r="A329" s="16">
        <v>46307</v>
      </c>
      <c r="B329" s="23">
        <v>0.4375</v>
      </c>
      <c r="C329" s="15" t="s">
        <v>54</v>
      </c>
      <c r="D329" s="15" t="s">
        <v>103</v>
      </c>
      <c r="E329" s="15" t="s">
        <v>60</v>
      </c>
      <c r="F329" s="24" t="s">
        <v>77</v>
      </c>
      <c r="G329" s="17"/>
      <c r="H329" s="17"/>
      <c r="I329" s="15"/>
      <c r="J329" s="25" t="str">
        <f>IF($D329="","",IFERROR(INDEX(PacNome,MATCH($D329,PacCod,0)),"Paciente não cadastrado"))</f>
        <v>Paciente 002</v>
      </c>
      <c r="K329" s="26" t="str">
        <f>IF($D329="","",IFERROR(INDEX(PacConv,MATCH($D329,PacCod,0))&amp;"",""))</f>
        <v>Convênio A</v>
      </c>
      <c r="L329" s="26" t="str">
        <f>IF($A329="","",CHOOSE(WEEKDAY($A329,2),"Seg","Ter","Qua","Qui","Sex","Sáb","Dom"))</f>
        <v>Seg</v>
      </c>
      <c r="M329" s="27">
        <f>IF($E329="","",IF($G329&lt;&gt;"",$G329,IFERROR(INDEX(ProcValor,MATCH($E329,ProcNome,0)),0)))</f>
        <v>180</v>
      </c>
      <c r="N329" s="27">
        <f>IF($M329="","",IF($F329="Compareceu",$M329,0))</f>
        <v>0</v>
      </c>
      <c r="O329" s="27">
        <f>IF($M329="","",IF($F329="Faltou",$M329,0))</f>
        <v>0</v>
      </c>
      <c r="P329" s="27">
        <f>IF($M329="","",IF($F329="Compareceu",MAX(0,$M329-N($H329)),0))</f>
        <v>0</v>
      </c>
      <c r="Q329" s="19">
        <f>IF(AND($F329="Compareceu",$E329&lt;&gt;"",$A329&lt;&gt;""),IF(IFERROR(INDEX(ProcRet,MATCH($E329,ProcNome,0)),0)&gt;0,$A329+INDEX(ProcRet,MATCH($E329,ProcNome,0)),""),"")</f>
        <v>0</v>
      </c>
      <c r="R329" s="26">
        <f>IF($Q329="","",IF(COUNTIFS(AgPac,$D329,AgData,"&gt;"&amp;$A329,AgStatus,"&lt;&gt;Cancelado",AgStatus,"&lt;&gt;Remarcado")&gt;0,"Sim","Não"))</f>
        <v>0</v>
      </c>
      <c r="S329" s="28">
        <f>IF($A329="","",IF(AND($F329="Agendado",$A329-Hoje&gt;=0,$A329-Hoje&lt;=DiasConf),"CONFIRMAR",IF(AND($A329&lt;Hoje,OR($F329="Agendado",$F329="Confirmado")),"Atualizar status",IF(AND($F329="Compareceu",$P329&gt;0.005),"Cobrar",IF($F329="Faltou","Falta: reagendar","")))))</f>
        <v>0</v>
      </c>
      <c r="T329" s="29">
        <f>IF($A329="","",DATE(YEAR($A329),MONTH($A329),1))</f>
        <v>46296.0</v>
      </c>
      <c r="U329" s="30">
        <f>IF($S329="CONFIRMAR",MAX($U$4:$U328)+1,"")</f>
        <v>0</v>
      </c>
      <c r="V329" s="30">
        <f>IF(AND($R329="Não",$Q329&lt;&gt;"",$Q329&lt;=Hoje+JanelaRet,$Q329&gt;=Hoje-60),MAX($V$4:$V328)+1,"")</f>
        <v>0</v>
      </c>
    </row>
    <row r="330" spans="1:22">
      <c r="A330" s="16">
        <v>46307</v>
      </c>
      <c r="B330" s="23">
        <v>0.4583333333333333</v>
      </c>
      <c r="C330" s="15" t="s">
        <v>52</v>
      </c>
      <c r="D330" s="15" t="s">
        <v>106</v>
      </c>
      <c r="E330" s="15" t="s">
        <v>59</v>
      </c>
      <c r="F330" s="24" t="s">
        <v>77</v>
      </c>
      <c r="G330" s="17"/>
      <c r="H330" s="17"/>
      <c r="I330" s="15"/>
      <c r="J330" s="25" t="str">
        <f>IF($D330="","",IFERROR(INDEX(PacNome,MATCH($D330,PacCod,0)),"Paciente não cadastrado"))</f>
        <v>Paciente 003</v>
      </c>
      <c r="K330" s="26" t="str">
        <f>IF($D330="","",IFERROR(INDEX(PacConv,MATCH($D330,PacCod,0))&amp;"",""))</f>
        <v>Particular</v>
      </c>
      <c r="L330" s="26" t="str">
        <f>IF($A330="","",CHOOSE(WEEKDAY($A330,2),"Seg","Ter","Qua","Qui","Sex","Sáb","Dom"))</f>
        <v>Seg</v>
      </c>
      <c r="M330" s="27">
        <f>IF($E330="","",IF($G330&lt;&gt;"",$G330,IFERROR(INDEX(ProcValor,MATCH($E330,ProcNome,0)),0)))</f>
        <v>150</v>
      </c>
      <c r="N330" s="27">
        <f>IF($M330="","",IF($F330="Compareceu",$M330,0))</f>
        <v>0</v>
      </c>
      <c r="O330" s="27">
        <f>IF($M330="","",IF($F330="Faltou",$M330,0))</f>
        <v>0</v>
      </c>
      <c r="P330" s="27">
        <f>IF($M330="","",IF($F330="Compareceu",MAX(0,$M330-N($H330)),0))</f>
        <v>0</v>
      </c>
      <c r="Q330" s="19">
        <f>IF(AND($F330="Compareceu",$E330&lt;&gt;"",$A330&lt;&gt;""),IF(IFERROR(INDEX(ProcRet,MATCH($E330,ProcNome,0)),0)&gt;0,$A330+INDEX(ProcRet,MATCH($E330,ProcNome,0)),""),"")</f>
        <v>0</v>
      </c>
      <c r="R330" s="26">
        <f>IF($Q330="","",IF(COUNTIFS(AgPac,$D330,AgData,"&gt;"&amp;$A330,AgStatus,"&lt;&gt;Cancelado",AgStatus,"&lt;&gt;Remarcado")&gt;0,"Sim","Não"))</f>
        <v>0</v>
      </c>
      <c r="S330" s="28">
        <f>IF($A330="","",IF(AND($F330="Agendado",$A330-Hoje&gt;=0,$A330-Hoje&lt;=DiasConf),"CONFIRMAR",IF(AND($A330&lt;Hoje,OR($F330="Agendado",$F330="Confirmado")),"Atualizar status",IF(AND($F330="Compareceu",$P330&gt;0.005),"Cobrar",IF($F330="Faltou","Falta: reagendar","")))))</f>
        <v>0</v>
      </c>
      <c r="T330" s="29">
        <f>IF($A330="","",DATE(YEAR($A330),MONTH($A330),1))</f>
        <v>46296.0</v>
      </c>
      <c r="U330" s="30">
        <f>IF($S330="CONFIRMAR",MAX($U$4:$U329)+1,"")</f>
        <v>0</v>
      </c>
      <c r="V330" s="30">
        <f>IF(AND($R330="Não",$Q330&lt;&gt;"",$Q330&lt;=Hoje+JanelaRet,$Q330&gt;=Hoje-60),MAX($V$4:$V329)+1,"")</f>
        <v>0</v>
      </c>
    </row>
    <row r="331" spans="1:22">
      <c r="A331" s="16">
        <v>46307</v>
      </c>
      <c r="B331" s="23">
        <v>0.5833333333333334</v>
      </c>
      <c r="C331" s="15" t="s">
        <v>53</v>
      </c>
      <c r="D331" s="15" t="s">
        <v>106</v>
      </c>
      <c r="E331" s="15" t="s">
        <v>63</v>
      </c>
      <c r="F331" s="24" t="s">
        <v>77</v>
      </c>
      <c r="G331" s="17"/>
      <c r="H331" s="17"/>
      <c r="I331" s="15"/>
      <c r="J331" s="25" t="str">
        <f>IF($D331="","",IFERROR(INDEX(PacNome,MATCH($D331,PacCod,0)),"Paciente não cadastrado"))</f>
        <v>Paciente 003</v>
      </c>
      <c r="K331" s="26" t="str">
        <f>IF($D331="","",IFERROR(INDEX(PacConv,MATCH($D331,PacCod,0))&amp;"",""))</f>
        <v>Particular</v>
      </c>
      <c r="L331" s="26" t="str">
        <f>IF($A331="","",CHOOSE(WEEKDAY($A331,2),"Seg","Ter","Qua","Qui","Sex","Sáb","Dom"))</f>
        <v>Seg</v>
      </c>
      <c r="M331" s="27">
        <f>IF($E331="","",IF($G331&lt;&gt;"",$G331,IFERROR(INDEX(ProcValor,MATCH($E331,ProcNome,0)),0)))</f>
        <v>140</v>
      </c>
      <c r="N331" s="27">
        <f>IF($M331="","",IF($F331="Compareceu",$M331,0))</f>
        <v>0</v>
      </c>
      <c r="O331" s="27">
        <f>IF($M331="","",IF($F331="Faltou",$M331,0))</f>
        <v>0</v>
      </c>
      <c r="P331" s="27">
        <f>IF($M331="","",IF($F331="Compareceu",MAX(0,$M331-N($H331)),0))</f>
        <v>0</v>
      </c>
      <c r="Q331" s="19">
        <f>IF(AND($F331="Compareceu",$E331&lt;&gt;"",$A331&lt;&gt;""),IF(IFERROR(INDEX(ProcRet,MATCH($E331,ProcNome,0)),0)&gt;0,$A331+INDEX(ProcRet,MATCH($E331,ProcNome,0)),""),"")</f>
        <v>0</v>
      </c>
      <c r="R331" s="26">
        <f>IF($Q331="","",IF(COUNTIFS(AgPac,$D331,AgData,"&gt;"&amp;$A331,AgStatus,"&lt;&gt;Cancelado",AgStatus,"&lt;&gt;Remarcado")&gt;0,"Sim","Não"))</f>
        <v>0</v>
      </c>
      <c r="S331" s="28">
        <f>IF($A331="","",IF(AND($F331="Agendado",$A331-Hoje&gt;=0,$A331-Hoje&lt;=DiasConf),"CONFIRMAR",IF(AND($A331&lt;Hoje,OR($F331="Agendado",$F331="Confirmado")),"Atualizar status",IF(AND($F331="Compareceu",$P331&gt;0.005),"Cobrar",IF($F331="Faltou","Falta: reagendar","")))))</f>
        <v>0</v>
      </c>
      <c r="T331" s="29">
        <f>IF($A331="","",DATE(YEAR($A331),MONTH($A331),1))</f>
        <v>46296.0</v>
      </c>
      <c r="U331" s="30">
        <f>IF($S331="CONFIRMAR",MAX($U$4:$U330)+1,"")</f>
        <v>0</v>
      </c>
      <c r="V331" s="30">
        <f>IF(AND($R331="Não",$Q331&lt;&gt;"",$Q331&lt;=Hoje+JanelaRet,$Q331&gt;=Hoje-60),MAX($V$4:$V330)+1,"")</f>
        <v>0</v>
      </c>
    </row>
    <row r="332" spans="1:22">
      <c r="A332" s="16">
        <v>46307</v>
      </c>
      <c r="B332" s="23">
        <v>0.6875</v>
      </c>
      <c r="C332" s="15" t="s">
        <v>52</v>
      </c>
      <c r="D332" s="15" t="s">
        <v>178</v>
      </c>
      <c r="E332" s="15" t="s">
        <v>61</v>
      </c>
      <c r="F332" s="24" t="s">
        <v>77</v>
      </c>
      <c r="G332" s="17"/>
      <c r="H332" s="17"/>
      <c r="I332" s="15"/>
      <c r="J332" s="25" t="str">
        <f>IF($D332="","",IFERROR(INDEX(PacNome,MATCH($D332,PacCod,0)),"Paciente não cadastrado"))</f>
        <v>Paciente 027</v>
      </c>
      <c r="K332" s="26" t="str">
        <f>IF($D332="","",IFERROR(INDEX(PacConv,MATCH($D332,PacCod,0))&amp;"",""))</f>
        <v>Particular</v>
      </c>
      <c r="L332" s="26" t="str">
        <f>IF($A332="","",CHOOSE(WEEKDAY($A332,2),"Seg","Ter","Qua","Qui","Sex","Sáb","Dom"))</f>
        <v>Seg</v>
      </c>
      <c r="M332" s="27">
        <f>IF($E332="","",IF($G332&lt;&gt;"",$G332,IFERROR(INDEX(ProcValor,MATCH($E332,ProcNome,0)),0)))</f>
        <v>120</v>
      </c>
      <c r="N332" s="27">
        <f>IF($M332="","",IF($F332="Compareceu",$M332,0))</f>
        <v>0</v>
      </c>
      <c r="O332" s="27">
        <f>IF($M332="","",IF($F332="Faltou",$M332,0))</f>
        <v>0</v>
      </c>
      <c r="P332" s="27">
        <f>IF($M332="","",IF($F332="Compareceu",MAX(0,$M332-N($H332)),0))</f>
        <v>0</v>
      </c>
      <c r="Q332" s="19">
        <f>IF(AND($F332="Compareceu",$E332&lt;&gt;"",$A332&lt;&gt;""),IF(IFERROR(INDEX(ProcRet,MATCH($E332,ProcNome,0)),0)&gt;0,$A332+INDEX(ProcRet,MATCH($E332,ProcNome,0)),""),"")</f>
        <v>0</v>
      </c>
      <c r="R332" s="26">
        <f>IF($Q332="","",IF(COUNTIFS(AgPac,$D332,AgData,"&gt;"&amp;$A332,AgStatus,"&lt;&gt;Cancelado",AgStatus,"&lt;&gt;Remarcado")&gt;0,"Sim","Não"))</f>
        <v>0</v>
      </c>
      <c r="S332" s="28">
        <f>IF($A332="","",IF(AND($F332="Agendado",$A332-Hoje&gt;=0,$A332-Hoje&lt;=DiasConf),"CONFIRMAR",IF(AND($A332&lt;Hoje,OR($F332="Agendado",$F332="Confirmado")),"Atualizar status",IF(AND($F332="Compareceu",$P332&gt;0.005),"Cobrar",IF($F332="Faltou","Falta: reagendar","")))))</f>
        <v>0</v>
      </c>
      <c r="T332" s="29">
        <f>IF($A332="","",DATE(YEAR($A332),MONTH($A332),1))</f>
        <v>46296.0</v>
      </c>
      <c r="U332" s="30">
        <f>IF($S332="CONFIRMAR",MAX($U$4:$U331)+1,"")</f>
        <v>0</v>
      </c>
      <c r="V332" s="30">
        <f>IF(AND($R332="Não",$Q332&lt;&gt;"",$Q332&lt;=Hoje+JanelaRet,$Q332&gt;=Hoje-60),MAX($V$4:$V331)+1,"")</f>
        <v>0</v>
      </c>
    </row>
    <row r="333" spans="1:22">
      <c r="A333" s="16">
        <v>46308</v>
      </c>
      <c r="B333" s="23">
        <v>0.4791666666666667</v>
      </c>
      <c r="C333" s="15" t="s">
        <v>51</v>
      </c>
      <c r="D333" s="15" t="s">
        <v>115</v>
      </c>
      <c r="E333" s="15" t="s">
        <v>63</v>
      </c>
      <c r="F333" s="24" t="s">
        <v>77</v>
      </c>
      <c r="G333" s="17"/>
      <c r="H333" s="17"/>
      <c r="I333" s="15"/>
      <c r="J333" s="25" t="str">
        <f>IF($D333="","",IFERROR(INDEX(PacNome,MATCH($D333,PacCod,0)),"Paciente não cadastrado"))</f>
        <v>Paciente 006</v>
      </c>
      <c r="K333" s="26" t="str">
        <f>IF($D333="","",IFERROR(INDEX(PacConv,MATCH($D333,PacCod,0))&amp;"",""))</f>
        <v>Convênio B</v>
      </c>
      <c r="L333" s="26" t="str">
        <f>IF($A333="","",CHOOSE(WEEKDAY($A333,2),"Seg","Ter","Qua","Qui","Sex","Sáb","Dom"))</f>
        <v>Ter</v>
      </c>
      <c r="M333" s="27">
        <f>IF($E333="","",IF($G333&lt;&gt;"",$G333,IFERROR(INDEX(ProcValor,MATCH($E333,ProcNome,0)),0)))</f>
        <v>140</v>
      </c>
      <c r="N333" s="27">
        <f>IF($M333="","",IF($F333="Compareceu",$M333,0))</f>
        <v>0</v>
      </c>
      <c r="O333" s="27">
        <f>IF($M333="","",IF($F333="Faltou",$M333,0))</f>
        <v>0</v>
      </c>
      <c r="P333" s="27">
        <f>IF($M333="","",IF($F333="Compareceu",MAX(0,$M333-N($H333)),0))</f>
        <v>0</v>
      </c>
      <c r="Q333" s="19">
        <f>IF(AND($F333="Compareceu",$E333&lt;&gt;"",$A333&lt;&gt;""),IF(IFERROR(INDEX(ProcRet,MATCH($E333,ProcNome,0)),0)&gt;0,$A333+INDEX(ProcRet,MATCH($E333,ProcNome,0)),""),"")</f>
        <v>0</v>
      </c>
      <c r="R333" s="26">
        <f>IF($Q333="","",IF(COUNTIFS(AgPac,$D333,AgData,"&gt;"&amp;$A333,AgStatus,"&lt;&gt;Cancelado",AgStatus,"&lt;&gt;Remarcado")&gt;0,"Sim","Não"))</f>
        <v>0</v>
      </c>
      <c r="S333" s="28">
        <f>IF($A333="","",IF(AND($F333="Agendado",$A333-Hoje&gt;=0,$A333-Hoje&lt;=DiasConf),"CONFIRMAR",IF(AND($A333&lt;Hoje,OR($F333="Agendado",$F333="Confirmado")),"Atualizar status",IF(AND($F333="Compareceu",$P333&gt;0.005),"Cobrar",IF($F333="Faltou","Falta: reagendar","")))))</f>
        <v>0</v>
      </c>
      <c r="T333" s="29">
        <f>IF($A333="","",DATE(YEAR($A333),MONTH($A333),1))</f>
        <v>46296.0</v>
      </c>
      <c r="U333" s="30">
        <f>IF($S333="CONFIRMAR",MAX($U$4:$U332)+1,"")</f>
        <v>0</v>
      </c>
      <c r="V333" s="30">
        <f>IF(AND($R333="Não",$Q333&lt;&gt;"",$Q333&lt;=Hoje+JanelaRet,$Q333&gt;=Hoje-60),MAX($V$4:$V332)+1,"")</f>
        <v>0</v>
      </c>
    </row>
    <row r="334" spans="1:22">
      <c r="A334" s="16">
        <v>46308</v>
      </c>
      <c r="B334" s="23">
        <v>0.5416666666666666</v>
      </c>
      <c r="C334" s="15" t="s">
        <v>54</v>
      </c>
      <c r="D334" s="15" t="s">
        <v>184</v>
      </c>
      <c r="E334" s="15" t="s">
        <v>63</v>
      </c>
      <c r="F334" s="24" t="s">
        <v>77</v>
      </c>
      <c r="G334" s="17"/>
      <c r="H334" s="17"/>
      <c r="I334" s="15"/>
      <c r="J334" s="25" t="str">
        <f>IF($D334="","",IFERROR(INDEX(PacNome,MATCH($D334,PacCod,0)),"Paciente não cadastrado"))</f>
        <v>Paciente 029</v>
      </c>
      <c r="K334" s="26" t="str">
        <f>IF($D334="","",IFERROR(INDEX(PacConv,MATCH($D334,PacCod,0))&amp;"",""))</f>
        <v>Convênio B</v>
      </c>
      <c r="L334" s="26" t="str">
        <f>IF($A334="","",CHOOSE(WEEKDAY($A334,2),"Seg","Ter","Qua","Qui","Sex","Sáb","Dom"))</f>
        <v>Ter</v>
      </c>
      <c r="M334" s="27">
        <f>IF($E334="","",IF($G334&lt;&gt;"",$G334,IFERROR(INDEX(ProcValor,MATCH($E334,ProcNome,0)),0)))</f>
        <v>140</v>
      </c>
      <c r="N334" s="27">
        <f>IF($M334="","",IF($F334="Compareceu",$M334,0))</f>
        <v>0</v>
      </c>
      <c r="O334" s="27">
        <f>IF($M334="","",IF($F334="Faltou",$M334,0))</f>
        <v>0</v>
      </c>
      <c r="P334" s="27">
        <f>IF($M334="","",IF($F334="Compareceu",MAX(0,$M334-N($H334)),0))</f>
        <v>0</v>
      </c>
      <c r="Q334" s="19">
        <f>IF(AND($F334="Compareceu",$E334&lt;&gt;"",$A334&lt;&gt;""),IF(IFERROR(INDEX(ProcRet,MATCH($E334,ProcNome,0)),0)&gt;0,$A334+INDEX(ProcRet,MATCH($E334,ProcNome,0)),""),"")</f>
        <v>0</v>
      </c>
      <c r="R334" s="26">
        <f>IF($Q334="","",IF(COUNTIFS(AgPac,$D334,AgData,"&gt;"&amp;$A334,AgStatus,"&lt;&gt;Cancelado",AgStatus,"&lt;&gt;Remarcado")&gt;0,"Sim","Não"))</f>
        <v>0</v>
      </c>
      <c r="S334" s="28">
        <f>IF($A334="","",IF(AND($F334="Agendado",$A334-Hoje&gt;=0,$A334-Hoje&lt;=DiasConf),"CONFIRMAR",IF(AND($A334&lt;Hoje,OR($F334="Agendado",$F334="Confirmado")),"Atualizar status",IF(AND($F334="Compareceu",$P334&gt;0.005),"Cobrar",IF($F334="Faltou","Falta: reagendar","")))))</f>
        <v>0</v>
      </c>
      <c r="T334" s="29">
        <f>IF($A334="","",DATE(YEAR($A334),MONTH($A334),1))</f>
        <v>46296.0</v>
      </c>
      <c r="U334" s="30">
        <f>IF($S334="CONFIRMAR",MAX($U$4:$U333)+1,"")</f>
        <v>0</v>
      </c>
      <c r="V334" s="30">
        <f>IF(AND($R334="Não",$Q334&lt;&gt;"",$Q334&lt;=Hoje+JanelaRet,$Q334&gt;=Hoje-60),MAX($V$4:$V333)+1,"")</f>
        <v>0</v>
      </c>
    </row>
    <row r="335" spans="1:22">
      <c r="A335" s="16">
        <v>46308</v>
      </c>
      <c r="B335" s="23">
        <v>0.6041666666666666</v>
      </c>
      <c r="C335" s="15" t="s">
        <v>51</v>
      </c>
      <c r="D335" s="15" t="s">
        <v>100</v>
      </c>
      <c r="E335" s="15" t="s">
        <v>63</v>
      </c>
      <c r="F335" s="24" t="s">
        <v>77</v>
      </c>
      <c r="G335" s="17"/>
      <c r="H335" s="17"/>
      <c r="I335" s="15"/>
      <c r="J335" s="25" t="str">
        <f>IF($D335="","",IFERROR(INDEX(PacNome,MATCH($D335,PacCod,0)),"Paciente não cadastrado"))</f>
        <v>Paciente 001</v>
      </c>
      <c r="K335" s="26" t="str">
        <f>IF($D335="","",IFERROR(INDEX(PacConv,MATCH($D335,PacCod,0))&amp;"",""))</f>
        <v>Particular</v>
      </c>
      <c r="L335" s="26" t="str">
        <f>IF($A335="","",CHOOSE(WEEKDAY($A335,2),"Seg","Ter","Qua","Qui","Sex","Sáb","Dom"))</f>
        <v>Ter</v>
      </c>
      <c r="M335" s="27">
        <f>IF($E335="","",IF($G335&lt;&gt;"",$G335,IFERROR(INDEX(ProcValor,MATCH($E335,ProcNome,0)),0)))</f>
        <v>140</v>
      </c>
      <c r="N335" s="27">
        <f>IF($M335="","",IF($F335="Compareceu",$M335,0))</f>
        <v>0</v>
      </c>
      <c r="O335" s="27">
        <f>IF($M335="","",IF($F335="Faltou",$M335,0))</f>
        <v>0</v>
      </c>
      <c r="P335" s="27">
        <f>IF($M335="","",IF($F335="Compareceu",MAX(0,$M335-N($H335)),0))</f>
        <v>0</v>
      </c>
      <c r="Q335" s="19">
        <f>IF(AND($F335="Compareceu",$E335&lt;&gt;"",$A335&lt;&gt;""),IF(IFERROR(INDEX(ProcRet,MATCH($E335,ProcNome,0)),0)&gt;0,$A335+INDEX(ProcRet,MATCH($E335,ProcNome,0)),""),"")</f>
        <v>0</v>
      </c>
      <c r="R335" s="26">
        <f>IF($Q335="","",IF(COUNTIFS(AgPac,$D335,AgData,"&gt;"&amp;$A335,AgStatus,"&lt;&gt;Cancelado",AgStatus,"&lt;&gt;Remarcado")&gt;0,"Sim","Não"))</f>
        <v>0</v>
      </c>
      <c r="S335" s="28">
        <f>IF($A335="","",IF(AND($F335="Agendado",$A335-Hoje&gt;=0,$A335-Hoje&lt;=DiasConf),"CONFIRMAR",IF(AND($A335&lt;Hoje,OR($F335="Agendado",$F335="Confirmado")),"Atualizar status",IF(AND($F335="Compareceu",$P335&gt;0.005),"Cobrar",IF($F335="Faltou","Falta: reagendar","")))))</f>
        <v>0</v>
      </c>
      <c r="T335" s="29">
        <f>IF($A335="","",DATE(YEAR($A335),MONTH($A335),1))</f>
        <v>46296.0</v>
      </c>
      <c r="U335" s="30">
        <f>IF($S335="CONFIRMAR",MAX($U$4:$U334)+1,"")</f>
        <v>0</v>
      </c>
      <c r="V335" s="30">
        <f>IF(AND($R335="Não",$Q335&lt;&gt;"",$Q335&lt;=Hoje+JanelaRet,$Q335&gt;=Hoje-60),MAX($V$4:$V334)+1,"")</f>
        <v>0</v>
      </c>
    </row>
    <row r="336" spans="1:22">
      <c r="A336" s="16">
        <v>46308</v>
      </c>
      <c r="B336" s="23">
        <v>0.6666666666666666</v>
      </c>
      <c r="C336" s="15" t="s">
        <v>53</v>
      </c>
      <c r="D336" s="15" t="s">
        <v>235</v>
      </c>
      <c r="E336" s="15" t="s">
        <v>61</v>
      </c>
      <c r="F336" s="24" t="s">
        <v>77</v>
      </c>
      <c r="G336" s="17"/>
      <c r="H336" s="17"/>
      <c r="I336" s="15"/>
      <c r="J336" s="25" t="str">
        <f>IF($D336="","",IFERROR(INDEX(PacNome,MATCH($D336,PacCod,0)),"Paciente não cadastrado"))</f>
        <v>Paciente 046</v>
      </c>
      <c r="K336" s="26" t="str">
        <f>IF($D336="","",IFERROR(INDEX(PacConv,MATCH($D336,PacCod,0))&amp;"",""))</f>
        <v>Convênio A</v>
      </c>
      <c r="L336" s="26" t="str">
        <f>IF($A336="","",CHOOSE(WEEKDAY($A336,2),"Seg","Ter","Qua","Qui","Sex","Sáb","Dom"))</f>
        <v>Ter</v>
      </c>
      <c r="M336" s="27">
        <f>IF($E336="","",IF($G336&lt;&gt;"",$G336,IFERROR(INDEX(ProcValor,MATCH($E336,ProcNome,0)),0)))</f>
        <v>120</v>
      </c>
      <c r="N336" s="27">
        <f>IF($M336="","",IF($F336="Compareceu",$M336,0))</f>
        <v>0</v>
      </c>
      <c r="O336" s="27">
        <f>IF($M336="","",IF($F336="Faltou",$M336,0))</f>
        <v>0</v>
      </c>
      <c r="P336" s="27">
        <f>IF($M336="","",IF($F336="Compareceu",MAX(0,$M336-N($H336)),0))</f>
        <v>0</v>
      </c>
      <c r="Q336" s="19">
        <f>IF(AND($F336="Compareceu",$E336&lt;&gt;"",$A336&lt;&gt;""),IF(IFERROR(INDEX(ProcRet,MATCH($E336,ProcNome,0)),0)&gt;0,$A336+INDEX(ProcRet,MATCH($E336,ProcNome,0)),""),"")</f>
        <v>0</v>
      </c>
      <c r="R336" s="26">
        <f>IF($Q336="","",IF(COUNTIFS(AgPac,$D336,AgData,"&gt;"&amp;$A336,AgStatus,"&lt;&gt;Cancelado",AgStatus,"&lt;&gt;Remarcado")&gt;0,"Sim","Não"))</f>
        <v>0</v>
      </c>
      <c r="S336" s="28">
        <f>IF($A336="","",IF(AND($F336="Agendado",$A336-Hoje&gt;=0,$A336-Hoje&lt;=DiasConf),"CONFIRMAR",IF(AND($A336&lt;Hoje,OR($F336="Agendado",$F336="Confirmado")),"Atualizar status",IF(AND($F336="Compareceu",$P336&gt;0.005),"Cobrar",IF($F336="Faltou","Falta: reagendar","")))))</f>
        <v>0</v>
      </c>
      <c r="T336" s="29">
        <f>IF($A336="","",DATE(YEAR($A336),MONTH($A336),1))</f>
        <v>46296.0</v>
      </c>
      <c r="U336" s="30">
        <f>IF($S336="CONFIRMAR",MAX($U$4:$U335)+1,"")</f>
        <v>0</v>
      </c>
      <c r="V336" s="30">
        <f>IF(AND($R336="Não",$Q336&lt;&gt;"",$Q336&lt;=Hoje+JanelaRet,$Q336&gt;=Hoje-60),MAX($V$4:$V335)+1,"")</f>
        <v>0</v>
      </c>
    </row>
    <row r="337" spans="1:22">
      <c r="A337" s="16">
        <v>46309</v>
      </c>
      <c r="B337" s="23">
        <v>0.375</v>
      </c>
      <c r="C337" s="15" t="s">
        <v>54</v>
      </c>
      <c r="D337" s="15" t="s">
        <v>211</v>
      </c>
      <c r="E337" s="15" t="s">
        <v>63</v>
      </c>
      <c r="F337" s="24" t="s">
        <v>77</v>
      </c>
      <c r="G337" s="17"/>
      <c r="H337" s="17"/>
      <c r="I337" s="15"/>
      <c r="J337" s="25" t="str">
        <f>IF($D337="","",IFERROR(INDEX(PacNome,MATCH($D337,PacCod,0)),"Paciente não cadastrado"))</f>
        <v>Paciente 038</v>
      </c>
      <c r="K337" s="26" t="str">
        <f>IF($D337="","",IFERROR(INDEX(PacConv,MATCH($D337,PacCod,0))&amp;"",""))</f>
        <v>Convênio A</v>
      </c>
      <c r="L337" s="26" t="str">
        <f>IF($A337="","",CHOOSE(WEEKDAY($A337,2),"Seg","Ter","Qua","Qui","Sex","Sáb","Dom"))</f>
        <v>Qua</v>
      </c>
      <c r="M337" s="27">
        <f>IF($E337="","",IF($G337&lt;&gt;"",$G337,IFERROR(INDEX(ProcValor,MATCH($E337,ProcNome,0)),0)))</f>
        <v>140</v>
      </c>
      <c r="N337" s="27">
        <f>IF($M337="","",IF($F337="Compareceu",$M337,0))</f>
        <v>0</v>
      </c>
      <c r="O337" s="27">
        <f>IF($M337="","",IF($F337="Faltou",$M337,0))</f>
        <v>0</v>
      </c>
      <c r="P337" s="27">
        <f>IF($M337="","",IF($F337="Compareceu",MAX(0,$M337-N($H337)),0))</f>
        <v>0</v>
      </c>
      <c r="Q337" s="19">
        <f>IF(AND($F337="Compareceu",$E337&lt;&gt;"",$A337&lt;&gt;""),IF(IFERROR(INDEX(ProcRet,MATCH($E337,ProcNome,0)),0)&gt;0,$A337+INDEX(ProcRet,MATCH($E337,ProcNome,0)),""),"")</f>
        <v>0</v>
      </c>
      <c r="R337" s="26">
        <f>IF($Q337="","",IF(COUNTIFS(AgPac,$D337,AgData,"&gt;"&amp;$A337,AgStatus,"&lt;&gt;Cancelado",AgStatus,"&lt;&gt;Remarcado")&gt;0,"Sim","Não"))</f>
        <v>0</v>
      </c>
      <c r="S337" s="28">
        <f>IF($A337="","",IF(AND($F337="Agendado",$A337-Hoje&gt;=0,$A337-Hoje&lt;=DiasConf),"CONFIRMAR",IF(AND($A337&lt;Hoje,OR($F337="Agendado",$F337="Confirmado")),"Atualizar status",IF(AND($F337="Compareceu",$P337&gt;0.005),"Cobrar",IF($F337="Faltou","Falta: reagendar","")))))</f>
        <v>0</v>
      </c>
      <c r="T337" s="29">
        <f>IF($A337="","",DATE(YEAR($A337),MONTH($A337),1))</f>
        <v>46296.0</v>
      </c>
      <c r="U337" s="30">
        <f>IF($S337="CONFIRMAR",MAX($U$4:$U336)+1,"")</f>
        <v>0</v>
      </c>
      <c r="V337" s="30">
        <f>IF(AND($R337="Não",$Q337&lt;&gt;"",$Q337&lt;=Hoje+JanelaRet,$Q337&gt;=Hoje-60),MAX($V$4:$V336)+1,"")</f>
        <v>0</v>
      </c>
    </row>
    <row r="338" spans="1:22">
      <c r="A338" s="16">
        <v>46309</v>
      </c>
      <c r="B338" s="23">
        <v>0.4583333333333333</v>
      </c>
      <c r="C338" s="15" t="s">
        <v>51</v>
      </c>
      <c r="D338" s="15" t="s">
        <v>163</v>
      </c>
      <c r="E338" s="15" t="s">
        <v>63</v>
      </c>
      <c r="F338" s="24" t="s">
        <v>77</v>
      </c>
      <c r="G338" s="17"/>
      <c r="H338" s="17"/>
      <c r="I338" s="15"/>
      <c r="J338" s="25" t="str">
        <f>IF($D338="","",IFERROR(INDEX(PacNome,MATCH($D338,PacCod,0)),"Paciente não cadastrado"))</f>
        <v>Paciente 022</v>
      </c>
      <c r="K338" s="26" t="str">
        <f>IF($D338="","",IFERROR(INDEX(PacConv,MATCH($D338,PacCod,0))&amp;"",""))</f>
        <v>Convênio A</v>
      </c>
      <c r="L338" s="26" t="str">
        <f>IF($A338="","",CHOOSE(WEEKDAY($A338,2),"Seg","Ter","Qua","Qui","Sex","Sáb","Dom"))</f>
        <v>Qua</v>
      </c>
      <c r="M338" s="27">
        <f>IF($E338="","",IF($G338&lt;&gt;"",$G338,IFERROR(INDEX(ProcValor,MATCH($E338,ProcNome,0)),0)))</f>
        <v>140</v>
      </c>
      <c r="N338" s="27">
        <f>IF($M338="","",IF($F338="Compareceu",$M338,0))</f>
        <v>0</v>
      </c>
      <c r="O338" s="27">
        <f>IF($M338="","",IF($F338="Faltou",$M338,0))</f>
        <v>0</v>
      </c>
      <c r="P338" s="27">
        <f>IF($M338="","",IF($F338="Compareceu",MAX(0,$M338-N($H338)),0))</f>
        <v>0</v>
      </c>
      <c r="Q338" s="19">
        <f>IF(AND($F338="Compareceu",$E338&lt;&gt;"",$A338&lt;&gt;""),IF(IFERROR(INDEX(ProcRet,MATCH($E338,ProcNome,0)),0)&gt;0,$A338+INDEX(ProcRet,MATCH($E338,ProcNome,0)),""),"")</f>
        <v>0</v>
      </c>
      <c r="R338" s="26">
        <f>IF($Q338="","",IF(COUNTIFS(AgPac,$D338,AgData,"&gt;"&amp;$A338,AgStatus,"&lt;&gt;Cancelado",AgStatus,"&lt;&gt;Remarcado")&gt;0,"Sim","Não"))</f>
        <v>0</v>
      </c>
      <c r="S338" s="28">
        <f>IF($A338="","",IF(AND($F338="Agendado",$A338-Hoje&gt;=0,$A338-Hoje&lt;=DiasConf),"CONFIRMAR",IF(AND($A338&lt;Hoje,OR($F338="Agendado",$F338="Confirmado")),"Atualizar status",IF(AND($F338="Compareceu",$P338&gt;0.005),"Cobrar",IF($F338="Faltou","Falta: reagendar","")))))</f>
        <v>0</v>
      </c>
      <c r="T338" s="29">
        <f>IF($A338="","",DATE(YEAR($A338),MONTH($A338),1))</f>
        <v>46296.0</v>
      </c>
      <c r="U338" s="30">
        <f>IF($S338="CONFIRMAR",MAX($U$4:$U337)+1,"")</f>
        <v>0</v>
      </c>
      <c r="V338" s="30">
        <f>IF(AND($R338="Não",$Q338&lt;&gt;"",$Q338&lt;=Hoje+JanelaRet,$Q338&gt;=Hoje-60),MAX($V$4:$V337)+1,"")</f>
        <v>0</v>
      </c>
    </row>
    <row r="339" spans="1:22">
      <c r="A339" s="16">
        <v>46309</v>
      </c>
      <c r="B339" s="23">
        <v>0.5</v>
      </c>
      <c r="C339" s="15" t="s">
        <v>52</v>
      </c>
      <c r="D339" s="15" t="s">
        <v>220</v>
      </c>
      <c r="E339" s="15" t="s">
        <v>58</v>
      </c>
      <c r="F339" s="24" t="s">
        <v>77</v>
      </c>
      <c r="G339" s="17"/>
      <c r="H339" s="17"/>
      <c r="I339" s="15"/>
      <c r="J339" s="25" t="str">
        <f>IF($D339="","",IFERROR(INDEX(PacNome,MATCH($D339,PacCod,0)),"Paciente não cadastrado"))</f>
        <v>Paciente 041</v>
      </c>
      <c r="K339" s="26" t="str">
        <f>IF($D339="","",IFERROR(INDEX(PacConv,MATCH($D339,PacCod,0))&amp;"",""))</f>
        <v>Convênio B</v>
      </c>
      <c r="L339" s="26" t="str">
        <f>IF($A339="","",CHOOSE(WEEKDAY($A339,2),"Seg","Ter","Qua","Qui","Sex","Sáb","Dom"))</f>
        <v>Qua</v>
      </c>
      <c r="M339" s="27">
        <f>IF($E339="","",IF($G339&lt;&gt;"",$G339,IFERROR(INDEX(ProcValor,MATCH($E339,ProcNome,0)),0)))</f>
        <v>250</v>
      </c>
      <c r="N339" s="27">
        <f>IF($M339="","",IF($F339="Compareceu",$M339,0))</f>
        <v>0</v>
      </c>
      <c r="O339" s="27">
        <f>IF($M339="","",IF($F339="Faltou",$M339,0))</f>
        <v>0</v>
      </c>
      <c r="P339" s="27">
        <f>IF($M339="","",IF($F339="Compareceu",MAX(0,$M339-N($H339)),0))</f>
        <v>0</v>
      </c>
      <c r="Q339" s="19">
        <f>IF(AND($F339="Compareceu",$E339&lt;&gt;"",$A339&lt;&gt;""),IF(IFERROR(INDEX(ProcRet,MATCH($E339,ProcNome,0)),0)&gt;0,$A339+INDEX(ProcRet,MATCH($E339,ProcNome,0)),""),"")</f>
        <v>0</v>
      </c>
      <c r="R339" s="26">
        <f>IF($Q339="","",IF(COUNTIFS(AgPac,$D339,AgData,"&gt;"&amp;$A339,AgStatus,"&lt;&gt;Cancelado",AgStatus,"&lt;&gt;Remarcado")&gt;0,"Sim","Não"))</f>
        <v>0</v>
      </c>
      <c r="S339" s="28">
        <f>IF($A339="","",IF(AND($F339="Agendado",$A339-Hoje&gt;=0,$A339-Hoje&lt;=DiasConf),"CONFIRMAR",IF(AND($A339&lt;Hoje,OR($F339="Agendado",$F339="Confirmado")),"Atualizar status",IF(AND($F339="Compareceu",$P339&gt;0.005),"Cobrar",IF($F339="Faltou","Falta: reagendar","")))))</f>
        <v>0</v>
      </c>
      <c r="T339" s="29">
        <f>IF($A339="","",DATE(YEAR($A339),MONTH($A339),1))</f>
        <v>46296.0</v>
      </c>
      <c r="U339" s="30">
        <f>IF($S339="CONFIRMAR",MAX($U$4:$U338)+1,"")</f>
        <v>0</v>
      </c>
      <c r="V339" s="30">
        <f>IF(AND($R339="Não",$Q339&lt;&gt;"",$Q339&lt;=Hoje+JanelaRet,$Q339&gt;=Hoje-60),MAX($V$4:$V338)+1,"")</f>
        <v>0</v>
      </c>
    </row>
    <row r="340" spans="1:22">
      <c r="A340" s="16">
        <v>46309</v>
      </c>
      <c r="B340" s="23">
        <v>0.625</v>
      </c>
      <c r="C340" s="15" t="s">
        <v>52</v>
      </c>
      <c r="D340" s="15" t="s">
        <v>163</v>
      </c>
      <c r="E340" s="15" t="s">
        <v>63</v>
      </c>
      <c r="F340" s="24" t="s">
        <v>77</v>
      </c>
      <c r="G340" s="17"/>
      <c r="H340" s="17"/>
      <c r="I340" s="15"/>
      <c r="J340" s="25" t="str">
        <f>IF($D340="","",IFERROR(INDEX(PacNome,MATCH($D340,PacCod,0)),"Paciente não cadastrado"))</f>
        <v>Paciente 022</v>
      </c>
      <c r="K340" s="26" t="str">
        <f>IF($D340="","",IFERROR(INDEX(PacConv,MATCH($D340,PacCod,0))&amp;"",""))</f>
        <v>Convênio A</v>
      </c>
      <c r="L340" s="26" t="str">
        <f>IF($A340="","",CHOOSE(WEEKDAY($A340,2),"Seg","Ter","Qua","Qui","Sex","Sáb","Dom"))</f>
        <v>Qua</v>
      </c>
      <c r="M340" s="27">
        <f>IF($E340="","",IF($G340&lt;&gt;"",$G340,IFERROR(INDEX(ProcValor,MATCH($E340,ProcNome,0)),0)))</f>
        <v>140</v>
      </c>
      <c r="N340" s="27">
        <f>IF($M340="","",IF($F340="Compareceu",$M340,0))</f>
        <v>0</v>
      </c>
      <c r="O340" s="27">
        <f>IF($M340="","",IF($F340="Faltou",$M340,0))</f>
        <v>0</v>
      </c>
      <c r="P340" s="27">
        <f>IF($M340="","",IF($F340="Compareceu",MAX(0,$M340-N($H340)),0))</f>
        <v>0</v>
      </c>
      <c r="Q340" s="19">
        <f>IF(AND($F340="Compareceu",$E340&lt;&gt;"",$A340&lt;&gt;""),IF(IFERROR(INDEX(ProcRet,MATCH($E340,ProcNome,0)),0)&gt;0,$A340+INDEX(ProcRet,MATCH($E340,ProcNome,0)),""),"")</f>
        <v>0</v>
      </c>
      <c r="R340" s="26">
        <f>IF($Q340="","",IF(COUNTIFS(AgPac,$D340,AgData,"&gt;"&amp;$A340,AgStatus,"&lt;&gt;Cancelado",AgStatus,"&lt;&gt;Remarcado")&gt;0,"Sim","Não"))</f>
        <v>0</v>
      </c>
      <c r="S340" s="28">
        <f>IF($A340="","",IF(AND($F340="Agendado",$A340-Hoje&gt;=0,$A340-Hoje&lt;=DiasConf),"CONFIRMAR",IF(AND($A340&lt;Hoje,OR($F340="Agendado",$F340="Confirmado")),"Atualizar status",IF(AND($F340="Compareceu",$P340&gt;0.005),"Cobrar",IF($F340="Faltou","Falta: reagendar","")))))</f>
        <v>0</v>
      </c>
      <c r="T340" s="29">
        <f>IF($A340="","",DATE(YEAR($A340),MONTH($A340),1))</f>
        <v>46296.0</v>
      </c>
      <c r="U340" s="30">
        <f>IF($S340="CONFIRMAR",MAX($U$4:$U339)+1,"")</f>
        <v>0</v>
      </c>
      <c r="V340" s="30">
        <f>IF(AND($R340="Não",$Q340&lt;&gt;"",$Q340&lt;=Hoje+JanelaRet,$Q340&gt;=Hoje-60),MAX($V$4:$V339)+1,"")</f>
        <v>0</v>
      </c>
    </row>
    <row r="341" spans="1:22">
      <c r="A341" s="16">
        <v>46309</v>
      </c>
      <c r="B341" s="23">
        <v>0.6875</v>
      </c>
      <c r="C341" s="15" t="s">
        <v>54</v>
      </c>
      <c r="D341" s="15" t="s">
        <v>190</v>
      </c>
      <c r="E341" s="15" t="s">
        <v>61</v>
      </c>
      <c r="F341" s="24" t="s">
        <v>77</v>
      </c>
      <c r="G341" s="17"/>
      <c r="H341" s="17"/>
      <c r="I341" s="15"/>
      <c r="J341" s="25" t="str">
        <f>IF($D341="","",IFERROR(INDEX(PacNome,MATCH($D341,PacCod,0)),"Paciente não cadastrado"))</f>
        <v>Paciente 031</v>
      </c>
      <c r="K341" s="26" t="str">
        <f>IF($D341="","",IFERROR(INDEX(PacConv,MATCH($D341,PacCod,0))&amp;"",""))</f>
        <v>Particular</v>
      </c>
      <c r="L341" s="26" t="str">
        <f>IF($A341="","",CHOOSE(WEEKDAY($A341,2),"Seg","Ter","Qua","Qui","Sex","Sáb","Dom"))</f>
        <v>Qua</v>
      </c>
      <c r="M341" s="27">
        <f>IF($E341="","",IF($G341&lt;&gt;"",$G341,IFERROR(INDEX(ProcValor,MATCH($E341,ProcNome,0)),0)))</f>
        <v>120</v>
      </c>
      <c r="N341" s="27">
        <f>IF($M341="","",IF($F341="Compareceu",$M341,0))</f>
        <v>0</v>
      </c>
      <c r="O341" s="27">
        <f>IF($M341="","",IF($F341="Faltou",$M341,0))</f>
        <v>0</v>
      </c>
      <c r="P341" s="27">
        <f>IF($M341="","",IF($F341="Compareceu",MAX(0,$M341-N($H341)),0))</f>
        <v>0</v>
      </c>
      <c r="Q341" s="19">
        <f>IF(AND($F341="Compareceu",$E341&lt;&gt;"",$A341&lt;&gt;""),IF(IFERROR(INDEX(ProcRet,MATCH($E341,ProcNome,0)),0)&gt;0,$A341+INDEX(ProcRet,MATCH($E341,ProcNome,0)),""),"")</f>
        <v>0</v>
      </c>
      <c r="R341" s="26">
        <f>IF($Q341="","",IF(COUNTIFS(AgPac,$D341,AgData,"&gt;"&amp;$A341,AgStatus,"&lt;&gt;Cancelado",AgStatus,"&lt;&gt;Remarcado")&gt;0,"Sim","Não"))</f>
        <v>0</v>
      </c>
      <c r="S341" s="28">
        <f>IF($A341="","",IF(AND($F341="Agendado",$A341-Hoje&gt;=0,$A341-Hoje&lt;=DiasConf),"CONFIRMAR",IF(AND($A341&lt;Hoje,OR($F341="Agendado",$F341="Confirmado")),"Atualizar status",IF(AND($F341="Compareceu",$P341&gt;0.005),"Cobrar",IF($F341="Faltou","Falta: reagendar","")))))</f>
        <v>0</v>
      </c>
      <c r="T341" s="29">
        <f>IF($A341="","",DATE(YEAR($A341),MONTH($A341),1))</f>
        <v>46296.0</v>
      </c>
      <c r="U341" s="30">
        <f>IF($S341="CONFIRMAR",MAX($U$4:$U340)+1,"")</f>
        <v>0</v>
      </c>
      <c r="V341" s="30">
        <f>IF(AND($R341="Não",$Q341&lt;&gt;"",$Q341&lt;=Hoje+JanelaRet,$Q341&gt;=Hoje-60),MAX($V$4:$V340)+1,"")</f>
        <v>0</v>
      </c>
    </row>
    <row r="342" spans="1:22">
      <c r="A342" s="16">
        <v>46310</v>
      </c>
      <c r="B342" s="23">
        <v>0.375</v>
      </c>
      <c r="C342" s="15" t="s">
        <v>53</v>
      </c>
      <c r="D342" s="15" t="s">
        <v>121</v>
      </c>
      <c r="E342" s="15" t="s">
        <v>63</v>
      </c>
      <c r="F342" s="24" t="s">
        <v>77</v>
      </c>
      <c r="G342" s="17"/>
      <c r="H342" s="17"/>
      <c r="I342" s="15"/>
      <c r="J342" s="25" t="str">
        <f>IF($D342="","",IFERROR(INDEX(PacNome,MATCH($D342,PacCod,0)),"Paciente não cadastrado"))</f>
        <v>Paciente 008</v>
      </c>
      <c r="K342" s="26" t="str">
        <f>IF($D342="","",IFERROR(INDEX(PacConv,MATCH($D342,PacCod,0))&amp;"",""))</f>
        <v>Particular</v>
      </c>
      <c r="L342" s="26" t="str">
        <f>IF($A342="","",CHOOSE(WEEKDAY($A342,2),"Seg","Ter","Qua","Qui","Sex","Sáb","Dom"))</f>
        <v>Qui</v>
      </c>
      <c r="M342" s="27">
        <f>IF($E342="","",IF($G342&lt;&gt;"",$G342,IFERROR(INDEX(ProcValor,MATCH($E342,ProcNome,0)),0)))</f>
        <v>140</v>
      </c>
      <c r="N342" s="27">
        <f>IF($M342="","",IF($F342="Compareceu",$M342,0))</f>
        <v>0</v>
      </c>
      <c r="O342" s="27">
        <f>IF($M342="","",IF($F342="Faltou",$M342,0))</f>
        <v>0</v>
      </c>
      <c r="P342" s="27">
        <f>IF($M342="","",IF($F342="Compareceu",MAX(0,$M342-N($H342)),0))</f>
        <v>0</v>
      </c>
      <c r="Q342" s="19">
        <f>IF(AND($F342="Compareceu",$E342&lt;&gt;"",$A342&lt;&gt;""),IF(IFERROR(INDEX(ProcRet,MATCH($E342,ProcNome,0)),0)&gt;0,$A342+INDEX(ProcRet,MATCH($E342,ProcNome,0)),""),"")</f>
        <v>0</v>
      </c>
      <c r="R342" s="26">
        <f>IF($Q342="","",IF(COUNTIFS(AgPac,$D342,AgData,"&gt;"&amp;$A342,AgStatus,"&lt;&gt;Cancelado",AgStatus,"&lt;&gt;Remarcado")&gt;0,"Sim","Não"))</f>
        <v>0</v>
      </c>
      <c r="S342" s="28">
        <f>IF($A342="","",IF(AND($F342="Agendado",$A342-Hoje&gt;=0,$A342-Hoje&lt;=DiasConf),"CONFIRMAR",IF(AND($A342&lt;Hoje,OR($F342="Agendado",$F342="Confirmado")),"Atualizar status",IF(AND($F342="Compareceu",$P342&gt;0.005),"Cobrar",IF($F342="Faltou","Falta: reagendar","")))))</f>
        <v>0</v>
      </c>
      <c r="T342" s="29">
        <f>IF($A342="","",DATE(YEAR($A342),MONTH($A342),1))</f>
        <v>46296.0</v>
      </c>
      <c r="U342" s="30">
        <f>IF($S342="CONFIRMAR",MAX($U$4:$U341)+1,"")</f>
        <v>0</v>
      </c>
      <c r="V342" s="30">
        <f>IF(AND($R342="Não",$Q342&lt;&gt;"",$Q342&lt;=Hoje+JanelaRet,$Q342&gt;=Hoje-60),MAX($V$4:$V341)+1,"")</f>
        <v>0</v>
      </c>
    </row>
    <row r="343" spans="1:22">
      <c r="A343" s="16">
        <v>46310</v>
      </c>
      <c r="B343" s="23">
        <v>0.4375</v>
      </c>
      <c r="C343" s="15" t="s">
        <v>52</v>
      </c>
      <c r="D343" s="15" t="s">
        <v>169</v>
      </c>
      <c r="E343" s="15" t="s">
        <v>62</v>
      </c>
      <c r="F343" s="24" t="s">
        <v>77</v>
      </c>
      <c r="G343" s="17"/>
      <c r="H343" s="17"/>
      <c r="I343" s="15"/>
      <c r="J343" s="25" t="str">
        <f>IF($D343="","",IFERROR(INDEX(PacNome,MATCH($D343,PacCod,0)),"Paciente não cadastrado"))</f>
        <v>Paciente 024</v>
      </c>
      <c r="K343" s="26" t="str">
        <f>IF($D343="","",IFERROR(INDEX(PacConv,MATCH($D343,PacCod,0))&amp;"",""))</f>
        <v>Particular</v>
      </c>
      <c r="L343" s="26" t="str">
        <f>IF($A343="","",CHOOSE(WEEKDAY($A343,2),"Seg","Ter","Qua","Qui","Sex","Sáb","Dom"))</f>
        <v>Qui</v>
      </c>
      <c r="M343" s="27">
        <f>IF($E343="","",IF($G343&lt;&gt;"",$G343,IFERROR(INDEX(ProcValor,MATCH($E343,ProcNome,0)),0)))</f>
        <v>350</v>
      </c>
      <c r="N343" s="27">
        <f>IF($M343="","",IF($F343="Compareceu",$M343,0))</f>
        <v>0</v>
      </c>
      <c r="O343" s="27">
        <f>IF($M343="","",IF($F343="Faltou",$M343,0))</f>
        <v>0</v>
      </c>
      <c r="P343" s="27">
        <f>IF($M343="","",IF($F343="Compareceu",MAX(0,$M343-N($H343)),0))</f>
        <v>0</v>
      </c>
      <c r="Q343" s="19">
        <f>IF(AND($F343="Compareceu",$E343&lt;&gt;"",$A343&lt;&gt;""),IF(IFERROR(INDEX(ProcRet,MATCH($E343,ProcNome,0)),0)&gt;0,$A343+INDEX(ProcRet,MATCH($E343,ProcNome,0)),""),"")</f>
        <v>0</v>
      </c>
      <c r="R343" s="26">
        <f>IF($Q343="","",IF(COUNTIFS(AgPac,$D343,AgData,"&gt;"&amp;$A343,AgStatus,"&lt;&gt;Cancelado",AgStatus,"&lt;&gt;Remarcado")&gt;0,"Sim","Não"))</f>
        <v>0</v>
      </c>
      <c r="S343" s="28">
        <f>IF($A343="","",IF(AND($F343="Agendado",$A343-Hoje&gt;=0,$A343-Hoje&lt;=DiasConf),"CONFIRMAR",IF(AND($A343&lt;Hoje,OR($F343="Agendado",$F343="Confirmado")),"Atualizar status",IF(AND($F343="Compareceu",$P343&gt;0.005),"Cobrar",IF($F343="Faltou","Falta: reagendar","")))))</f>
        <v>0</v>
      </c>
      <c r="T343" s="29">
        <f>IF($A343="","",DATE(YEAR($A343),MONTH($A343),1))</f>
        <v>46296.0</v>
      </c>
      <c r="U343" s="30">
        <f>IF($S343="CONFIRMAR",MAX($U$4:$U342)+1,"")</f>
        <v>0</v>
      </c>
      <c r="V343" s="30">
        <f>IF(AND($R343="Não",$Q343&lt;&gt;"",$Q343&lt;=Hoje+JanelaRet,$Q343&gt;=Hoje-60),MAX($V$4:$V342)+1,"")</f>
        <v>0</v>
      </c>
    </row>
    <row r="344" spans="1:22">
      <c r="A344" s="16">
        <v>46310</v>
      </c>
      <c r="B344" s="23">
        <v>0.4583333333333333</v>
      </c>
      <c r="C344" s="15" t="s">
        <v>52</v>
      </c>
      <c r="D344" s="15" t="s">
        <v>100</v>
      </c>
      <c r="E344" s="15" t="s">
        <v>60</v>
      </c>
      <c r="F344" s="24" t="s">
        <v>77</v>
      </c>
      <c r="G344" s="17"/>
      <c r="H344" s="17"/>
      <c r="I344" s="15"/>
      <c r="J344" s="25" t="str">
        <f>IF($D344="","",IFERROR(INDEX(PacNome,MATCH($D344,PacCod,0)),"Paciente não cadastrado"))</f>
        <v>Paciente 001</v>
      </c>
      <c r="K344" s="26" t="str">
        <f>IF($D344="","",IFERROR(INDEX(PacConv,MATCH($D344,PacCod,0))&amp;"",""))</f>
        <v>Particular</v>
      </c>
      <c r="L344" s="26" t="str">
        <f>IF($A344="","",CHOOSE(WEEKDAY($A344,2),"Seg","Ter","Qua","Qui","Sex","Sáb","Dom"))</f>
        <v>Qui</v>
      </c>
      <c r="M344" s="27">
        <f>IF($E344="","",IF($G344&lt;&gt;"",$G344,IFERROR(INDEX(ProcValor,MATCH($E344,ProcNome,0)),0)))</f>
        <v>180</v>
      </c>
      <c r="N344" s="27">
        <f>IF($M344="","",IF($F344="Compareceu",$M344,0))</f>
        <v>0</v>
      </c>
      <c r="O344" s="27">
        <f>IF($M344="","",IF($F344="Faltou",$M344,0))</f>
        <v>0</v>
      </c>
      <c r="P344" s="27">
        <f>IF($M344="","",IF($F344="Compareceu",MAX(0,$M344-N($H344)),0))</f>
        <v>0</v>
      </c>
      <c r="Q344" s="19">
        <f>IF(AND($F344="Compareceu",$E344&lt;&gt;"",$A344&lt;&gt;""),IF(IFERROR(INDEX(ProcRet,MATCH($E344,ProcNome,0)),0)&gt;0,$A344+INDEX(ProcRet,MATCH($E344,ProcNome,0)),""),"")</f>
        <v>0</v>
      </c>
      <c r="R344" s="26">
        <f>IF($Q344="","",IF(COUNTIFS(AgPac,$D344,AgData,"&gt;"&amp;$A344,AgStatus,"&lt;&gt;Cancelado",AgStatus,"&lt;&gt;Remarcado")&gt;0,"Sim","Não"))</f>
        <v>0</v>
      </c>
      <c r="S344" s="28">
        <f>IF($A344="","",IF(AND($F344="Agendado",$A344-Hoje&gt;=0,$A344-Hoje&lt;=DiasConf),"CONFIRMAR",IF(AND($A344&lt;Hoje,OR($F344="Agendado",$F344="Confirmado")),"Atualizar status",IF(AND($F344="Compareceu",$P344&gt;0.005),"Cobrar",IF($F344="Faltou","Falta: reagendar","")))))</f>
        <v>0</v>
      </c>
      <c r="T344" s="29">
        <f>IF($A344="","",DATE(YEAR($A344),MONTH($A344),1))</f>
        <v>46296.0</v>
      </c>
      <c r="U344" s="30">
        <f>IF($S344="CONFIRMAR",MAX($U$4:$U343)+1,"")</f>
        <v>0</v>
      </c>
      <c r="V344" s="30">
        <f>IF(AND($R344="Não",$Q344&lt;&gt;"",$Q344&lt;=Hoje+JanelaRet,$Q344&gt;=Hoje-60),MAX($V$4:$V343)+1,"")</f>
        <v>0</v>
      </c>
    </row>
    <row r="345" spans="1:22">
      <c r="A345" s="16">
        <v>46310</v>
      </c>
      <c r="B345" s="23">
        <v>0.5416666666666666</v>
      </c>
      <c r="C345" s="15" t="s">
        <v>54</v>
      </c>
      <c r="D345" s="15" t="s">
        <v>190</v>
      </c>
      <c r="E345" s="15" t="s">
        <v>60</v>
      </c>
      <c r="F345" s="24" t="s">
        <v>77</v>
      </c>
      <c r="G345" s="17"/>
      <c r="H345" s="17"/>
      <c r="I345" s="15"/>
      <c r="J345" s="25" t="str">
        <f>IF($D345="","",IFERROR(INDEX(PacNome,MATCH($D345,PacCod,0)),"Paciente não cadastrado"))</f>
        <v>Paciente 031</v>
      </c>
      <c r="K345" s="26" t="str">
        <f>IF($D345="","",IFERROR(INDEX(PacConv,MATCH($D345,PacCod,0))&amp;"",""))</f>
        <v>Particular</v>
      </c>
      <c r="L345" s="26" t="str">
        <f>IF($A345="","",CHOOSE(WEEKDAY($A345,2),"Seg","Ter","Qua","Qui","Sex","Sáb","Dom"))</f>
        <v>Qui</v>
      </c>
      <c r="M345" s="27">
        <f>IF($E345="","",IF($G345&lt;&gt;"",$G345,IFERROR(INDEX(ProcValor,MATCH($E345,ProcNome,0)),0)))</f>
        <v>180</v>
      </c>
      <c r="N345" s="27">
        <f>IF($M345="","",IF($F345="Compareceu",$M345,0))</f>
        <v>0</v>
      </c>
      <c r="O345" s="27">
        <f>IF($M345="","",IF($F345="Faltou",$M345,0))</f>
        <v>0</v>
      </c>
      <c r="P345" s="27">
        <f>IF($M345="","",IF($F345="Compareceu",MAX(0,$M345-N($H345)),0))</f>
        <v>0</v>
      </c>
      <c r="Q345" s="19">
        <f>IF(AND($F345="Compareceu",$E345&lt;&gt;"",$A345&lt;&gt;""),IF(IFERROR(INDEX(ProcRet,MATCH($E345,ProcNome,0)),0)&gt;0,$A345+INDEX(ProcRet,MATCH($E345,ProcNome,0)),""),"")</f>
        <v>0</v>
      </c>
      <c r="R345" s="26">
        <f>IF($Q345="","",IF(COUNTIFS(AgPac,$D345,AgData,"&gt;"&amp;$A345,AgStatus,"&lt;&gt;Cancelado",AgStatus,"&lt;&gt;Remarcado")&gt;0,"Sim","Não"))</f>
        <v>0</v>
      </c>
      <c r="S345" s="28">
        <f>IF($A345="","",IF(AND($F345="Agendado",$A345-Hoje&gt;=0,$A345-Hoje&lt;=DiasConf),"CONFIRMAR",IF(AND($A345&lt;Hoje,OR($F345="Agendado",$F345="Confirmado")),"Atualizar status",IF(AND($F345="Compareceu",$P345&gt;0.005),"Cobrar",IF($F345="Faltou","Falta: reagendar","")))))</f>
        <v>0</v>
      </c>
      <c r="T345" s="29">
        <f>IF($A345="","",DATE(YEAR($A345),MONTH($A345),1))</f>
        <v>46296.0</v>
      </c>
      <c r="U345" s="30">
        <f>IF($S345="CONFIRMAR",MAX($U$4:$U344)+1,"")</f>
        <v>0</v>
      </c>
      <c r="V345" s="30">
        <f>IF(AND($R345="Não",$Q345&lt;&gt;"",$Q345&lt;=Hoje+JanelaRet,$Q345&gt;=Hoje-60),MAX($V$4:$V344)+1,"")</f>
        <v>0</v>
      </c>
    </row>
    <row r="346" spans="1:22">
      <c r="A346" s="16">
        <v>46310</v>
      </c>
      <c r="B346" s="23">
        <v>0.6666666666666666</v>
      </c>
      <c r="C346" s="15" t="s">
        <v>54</v>
      </c>
      <c r="D346" s="15" t="s">
        <v>190</v>
      </c>
      <c r="E346" s="15" t="s">
        <v>64</v>
      </c>
      <c r="F346" s="24" t="s">
        <v>77</v>
      </c>
      <c r="G346" s="17"/>
      <c r="H346" s="17"/>
      <c r="I346" s="15"/>
      <c r="J346" s="25" t="str">
        <f>IF($D346="","",IFERROR(INDEX(PacNome,MATCH($D346,PacCod,0)),"Paciente não cadastrado"))</f>
        <v>Paciente 031</v>
      </c>
      <c r="K346" s="26" t="str">
        <f>IF($D346="","",IFERROR(INDEX(PacConv,MATCH($D346,PacCod,0))&amp;"",""))</f>
        <v>Particular</v>
      </c>
      <c r="L346" s="26" t="str">
        <f>IF($A346="","",CHOOSE(WEEKDAY($A346,2),"Seg","Ter","Qua","Qui","Sex","Sáb","Dom"))</f>
        <v>Qui</v>
      </c>
      <c r="M346" s="27">
        <f>IF($E346="","",IF($G346&lt;&gt;"",$G346,IFERROR(INDEX(ProcValor,MATCH($E346,ProcNome,0)),0)))</f>
        <v>90</v>
      </c>
      <c r="N346" s="27">
        <f>IF($M346="","",IF($F346="Compareceu",$M346,0))</f>
        <v>0</v>
      </c>
      <c r="O346" s="27">
        <f>IF($M346="","",IF($F346="Faltou",$M346,0))</f>
        <v>0</v>
      </c>
      <c r="P346" s="27">
        <f>IF($M346="","",IF($F346="Compareceu",MAX(0,$M346-N($H346)),0))</f>
        <v>0</v>
      </c>
      <c r="Q346" s="19">
        <f>IF(AND($F346="Compareceu",$E346&lt;&gt;"",$A346&lt;&gt;""),IF(IFERROR(INDEX(ProcRet,MATCH($E346,ProcNome,0)),0)&gt;0,$A346+INDEX(ProcRet,MATCH($E346,ProcNome,0)),""),"")</f>
        <v>0</v>
      </c>
      <c r="R346" s="26">
        <f>IF($Q346="","",IF(COUNTIFS(AgPac,$D346,AgData,"&gt;"&amp;$A346,AgStatus,"&lt;&gt;Cancelado",AgStatus,"&lt;&gt;Remarcado")&gt;0,"Sim","Não"))</f>
        <v>0</v>
      </c>
      <c r="S346" s="28">
        <f>IF($A346="","",IF(AND($F346="Agendado",$A346-Hoje&gt;=0,$A346-Hoje&lt;=DiasConf),"CONFIRMAR",IF(AND($A346&lt;Hoje,OR($F346="Agendado",$F346="Confirmado")),"Atualizar status",IF(AND($F346="Compareceu",$P346&gt;0.005),"Cobrar",IF($F346="Faltou","Falta: reagendar","")))))</f>
        <v>0</v>
      </c>
      <c r="T346" s="29">
        <f>IF($A346="","",DATE(YEAR($A346),MONTH($A346),1))</f>
        <v>46296.0</v>
      </c>
      <c r="U346" s="30">
        <f>IF($S346="CONFIRMAR",MAX($U$4:$U345)+1,"")</f>
        <v>0</v>
      </c>
      <c r="V346" s="30">
        <f>IF(AND($R346="Não",$Q346&lt;&gt;"",$Q346&lt;=Hoje+JanelaRet,$Q346&gt;=Hoje-60),MAX($V$4:$V345)+1,"")</f>
        <v>0</v>
      </c>
    </row>
    <row r="347" spans="1:22">
      <c r="A347" s="16">
        <v>46311</v>
      </c>
      <c r="B347" s="23">
        <v>0.3541666666666667</v>
      </c>
      <c r="C347" s="15" t="s">
        <v>54</v>
      </c>
      <c r="D347" s="15" t="s">
        <v>199</v>
      </c>
      <c r="E347" s="15" t="s">
        <v>64</v>
      </c>
      <c r="F347" s="24" t="s">
        <v>77</v>
      </c>
      <c r="G347" s="17"/>
      <c r="H347" s="17"/>
      <c r="I347" s="15"/>
      <c r="J347" s="25" t="str">
        <f>IF($D347="","",IFERROR(INDEX(PacNome,MATCH($D347,PacCod,0)),"Paciente não cadastrado"))</f>
        <v>Paciente 034</v>
      </c>
      <c r="K347" s="26" t="str">
        <f>IF($D347="","",IFERROR(INDEX(PacConv,MATCH($D347,PacCod,0))&amp;"",""))</f>
        <v>Particular</v>
      </c>
      <c r="L347" s="26" t="str">
        <f>IF($A347="","",CHOOSE(WEEKDAY($A347,2),"Seg","Ter","Qua","Qui","Sex","Sáb","Dom"))</f>
        <v>Sex</v>
      </c>
      <c r="M347" s="27">
        <f>IF($E347="","",IF($G347&lt;&gt;"",$G347,IFERROR(INDEX(ProcValor,MATCH($E347,ProcNome,0)),0)))</f>
        <v>90</v>
      </c>
      <c r="N347" s="27">
        <f>IF($M347="","",IF($F347="Compareceu",$M347,0))</f>
        <v>0</v>
      </c>
      <c r="O347" s="27">
        <f>IF($M347="","",IF($F347="Faltou",$M347,0))</f>
        <v>0</v>
      </c>
      <c r="P347" s="27">
        <f>IF($M347="","",IF($F347="Compareceu",MAX(0,$M347-N($H347)),0))</f>
        <v>0</v>
      </c>
      <c r="Q347" s="19">
        <f>IF(AND($F347="Compareceu",$E347&lt;&gt;"",$A347&lt;&gt;""),IF(IFERROR(INDEX(ProcRet,MATCH($E347,ProcNome,0)),0)&gt;0,$A347+INDEX(ProcRet,MATCH($E347,ProcNome,0)),""),"")</f>
        <v>0</v>
      </c>
      <c r="R347" s="26">
        <f>IF($Q347="","",IF(COUNTIFS(AgPac,$D347,AgData,"&gt;"&amp;$A347,AgStatus,"&lt;&gt;Cancelado",AgStatus,"&lt;&gt;Remarcado")&gt;0,"Sim","Não"))</f>
        <v>0</v>
      </c>
      <c r="S347" s="28">
        <f>IF($A347="","",IF(AND($F347="Agendado",$A347-Hoje&gt;=0,$A347-Hoje&lt;=DiasConf),"CONFIRMAR",IF(AND($A347&lt;Hoje,OR($F347="Agendado",$F347="Confirmado")),"Atualizar status",IF(AND($F347="Compareceu",$P347&gt;0.005),"Cobrar",IF($F347="Faltou","Falta: reagendar","")))))</f>
        <v>0</v>
      </c>
      <c r="T347" s="29">
        <f>IF($A347="","",DATE(YEAR($A347),MONTH($A347),1))</f>
        <v>46296.0</v>
      </c>
      <c r="U347" s="30">
        <f>IF($S347="CONFIRMAR",MAX($U$4:$U346)+1,"")</f>
        <v>0</v>
      </c>
      <c r="V347" s="30">
        <f>IF(AND($R347="Não",$Q347&lt;&gt;"",$Q347&lt;=Hoje+JanelaRet,$Q347&gt;=Hoje-60),MAX($V$4:$V346)+1,"")</f>
        <v>0</v>
      </c>
    </row>
    <row r="348" spans="1:22">
      <c r="A348" s="16">
        <v>46311</v>
      </c>
      <c r="B348" s="23">
        <v>0.5</v>
      </c>
      <c r="C348" s="15" t="s">
        <v>52</v>
      </c>
      <c r="D348" s="15" t="s">
        <v>127</v>
      </c>
      <c r="E348" s="15" t="s">
        <v>64</v>
      </c>
      <c r="F348" s="24" t="s">
        <v>77</v>
      </c>
      <c r="G348" s="17"/>
      <c r="H348" s="17"/>
      <c r="I348" s="15"/>
      <c r="J348" s="25" t="str">
        <f>IF($D348="","",IFERROR(INDEX(PacNome,MATCH($D348,PacCod,0)),"Paciente não cadastrado"))</f>
        <v>Paciente 010</v>
      </c>
      <c r="K348" s="26" t="str">
        <f>IF($D348="","",IFERROR(INDEX(PacConv,MATCH($D348,PacCod,0))&amp;"",""))</f>
        <v>Particular</v>
      </c>
      <c r="L348" s="26" t="str">
        <f>IF($A348="","",CHOOSE(WEEKDAY($A348,2),"Seg","Ter","Qua","Qui","Sex","Sáb","Dom"))</f>
        <v>Sex</v>
      </c>
      <c r="M348" s="27">
        <f>IF($E348="","",IF($G348&lt;&gt;"",$G348,IFERROR(INDEX(ProcValor,MATCH($E348,ProcNome,0)),0)))</f>
        <v>90</v>
      </c>
      <c r="N348" s="27">
        <f>IF($M348="","",IF($F348="Compareceu",$M348,0))</f>
        <v>0</v>
      </c>
      <c r="O348" s="27">
        <f>IF($M348="","",IF($F348="Faltou",$M348,0))</f>
        <v>0</v>
      </c>
      <c r="P348" s="27">
        <f>IF($M348="","",IF($F348="Compareceu",MAX(0,$M348-N($H348)),0))</f>
        <v>0</v>
      </c>
      <c r="Q348" s="19">
        <f>IF(AND($F348="Compareceu",$E348&lt;&gt;"",$A348&lt;&gt;""),IF(IFERROR(INDEX(ProcRet,MATCH($E348,ProcNome,0)),0)&gt;0,$A348+INDEX(ProcRet,MATCH($E348,ProcNome,0)),""),"")</f>
        <v>0</v>
      </c>
      <c r="R348" s="26">
        <f>IF($Q348="","",IF(COUNTIFS(AgPac,$D348,AgData,"&gt;"&amp;$A348,AgStatus,"&lt;&gt;Cancelado",AgStatus,"&lt;&gt;Remarcado")&gt;0,"Sim","Não"))</f>
        <v>0</v>
      </c>
      <c r="S348" s="28">
        <f>IF($A348="","",IF(AND($F348="Agendado",$A348-Hoje&gt;=0,$A348-Hoje&lt;=DiasConf),"CONFIRMAR",IF(AND($A348&lt;Hoje,OR($F348="Agendado",$F348="Confirmado")),"Atualizar status",IF(AND($F348="Compareceu",$P348&gt;0.005),"Cobrar",IF($F348="Faltou","Falta: reagendar","")))))</f>
        <v>0</v>
      </c>
      <c r="T348" s="29">
        <f>IF($A348="","",DATE(YEAR($A348),MONTH($A348),1))</f>
        <v>46296.0</v>
      </c>
      <c r="U348" s="30">
        <f>IF($S348="CONFIRMAR",MAX($U$4:$U347)+1,"")</f>
        <v>0</v>
      </c>
      <c r="V348" s="30">
        <f>IF(AND($R348="Não",$Q348&lt;&gt;"",$Q348&lt;=Hoje+JanelaRet,$Q348&gt;=Hoje-60),MAX($V$4:$V347)+1,"")</f>
        <v>0</v>
      </c>
    </row>
    <row r="349" spans="1:22">
      <c r="A349" s="16">
        <v>46311</v>
      </c>
      <c r="B349" s="23">
        <v>0.6666666666666666</v>
      </c>
      <c r="C349" s="15" t="s">
        <v>54</v>
      </c>
      <c r="D349" s="15" t="s">
        <v>118</v>
      </c>
      <c r="E349" s="15" t="s">
        <v>60</v>
      </c>
      <c r="F349" s="24" t="s">
        <v>77</v>
      </c>
      <c r="G349" s="17"/>
      <c r="H349" s="17"/>
      <c r="I349" s="15"/>
      <c r="J349" s="25" t="str">
        <f>IF($D349="","",IFERROR(INDEX(PacNome,MATCH($D349,PacCod,0)),"Paciente não cadastrado"))</f>
        <v>Paciente 007</v>
      </c>
      <c r="K349" s="26" t="str">
        <f>IF($D349="","",IFERROR(INDEX(PacConv,MATCH($D349,PacCod,0))&amp;"",""))</f>
        <v>Particular</v>
      </c>
      <c r="L349" s="26" t="str">
        <f>IF($A349="","",CHOOSE(WEEKDAY($A349,2),"Seg","Ter","Qua","Qui","Sex","Sáb","Dom"))</f>
        <v>Sex</v>
      </c>
      <c r="M349" s="27">
        <f>IF($E349="","",IF($G349&lt;&gt;"",$G349,IFERROR(INDEX(ProcValor,MATCH($E349,ProcNome,0)),0)))</f>
        <v>180</v>
      </c>
      <c r="N349" s="27">
        <f>IF($M349="","",IF($F349="Compareceu",$M349,0))</f>
        <v>0</v>
      </c>
      <c r="O349" s="27">
        <f>IF($M349="","",IF($F349="Faltou",$M349,0))</f>
        <v>0</v>
      </c>
      <c r="P349" s="27">
        <f>IF($M349="","",IF($F349="Compareceu",MAX(0,$M349-N($H349)),0))</f>
        <v>0</v>
      </c>
      <c r="Q349" s="19">
        <f>IF(AND($F349="Compareceu",$E349&lt;&gt;"",$A349&lt;&gt;""),IF(IFERROR(INDEX(ProcRet,MATCH($E349,ProcNome,0)),0)&gt;0,$A349+INDEX(ProcRet,MATCH($E349,ProcNome,0)),""),"")</f>
        <v>0</v>
      </c>
      <c r="R349" s="26">
        <f>IF($Q349="","",IF(COUNTIFS(AgPac,$D349,AgData,"&gt;"&amp;$A349,AgStatus,"&lt;&gt;Cancelado",AgStatus,"&lt;&gt;Remarcado")&gt;0,"Sim","Não"))</f>
        <v>0</v>
      </c>
      <c r="S349" s="28">
        <f>IF($A349="","",IF(AND($F349="Agendado",$A349-Hoje&gt;=0,$A349-Hoje&lt;=DiasConf),"CONFIRMAR",IF(AND($A349&lt;Hoje,OR($F349="Agendado",$F349="Confirmado")),"Atualizar status",IF(AND($F349="Compareceu",$P349&gt;0.005),"Cobrar",IF($F349="Faltou","Falta: reagendar","")))))</f>
        <v>0</v>
      </c>
      <c r="T349" s="29">
        <f>IF($A349="","",DATE(YEAR($A349),MONTH($A349),1))</f>
        <v>46296.0</v>
      </c>
      <c r="U349" s="30">
        <f>IF($S349="CONFIRMAR",MAX($U$4:$U348)+1,"")</f>
        <v>0</v>
      </c>
      <c r="V349" s="30">
        <f>IF(AND($R349="Não",$Q349&lt;&gt;"",$Q349&lt;=Hoje+JanelaRet,$Q349&gt;=Hoje-60),MAX($V$4:$V348)+1,"")</f>
        <v>0</v>
      </c>
    </row>
    <row r="350" spans="1:22">
      <c r="A350" s="16">
        <v>46311</v>
      </c>
      <c r="B350" s="23">
        <v>0.7083333333333334</v>
      </c>
      <c r="C350" s="15" t="s">
        <v>51</v>
      </c>
      <c r="D350" s="15" t="s">
        <v>133</v>
      </c>
      <c r="E350" s="15" t="s">
        <v>60</v>
      </c>
      <c r="F350" s="24" t="s">
        <v>77</v>
      </c>
      <c r="G350" s="17"/>
      <c r="H350" s="17"/>
      <c r="I350" s="15"/>
      <c r="J350" s="25" t="str">
        <f>IF($D350="","",IFERROR(INDEX(PacNome,MATCH($D350,PacCod,0)),"Paciente não cadastrado"))</f>
        <v>Paciente 012</v>
      </c>
      <c r="K350" s="26" t="str">
        <f>IF($D350="","",IFERROR(INDEX(PacConv,MATCH($D350,PacCod,0))&amp;"",""))</f>
        <v>Particular</v>
      </c>
      <c r="L350" s="26" t="str">
        <f>IF($A350="","",CHOOSE(WEEKDAY($A350,2),"Seg","Ter","Qua","Qui","Sex","Sáb","Dom"))</f>
        <v>Sex</v>
      </c>
      <c r="M350" s="27">
        <f>IF($E350="","",IF($G350&lt;&gt;"",$G350,IFERROR(INDEX(ProcValor,MATCH($E350,ProcNome,0)),0)))</f>
        <v>180</v>
      </c>
      <c r="N350" s="27">
        <f>IF($M350="","",IF($F350="Compareceu",$M350,0))</f>
        <v>0</v>
      </c>
      <c r="O350" s="27">
        <f>IF($M350="","",IF($F350="Faltou",$M350,0))</f>
        <v>0</v>
      </c>
      <c r="P350" s="27">
        <f>IF($M350="","",IF($F350="Compareceu",MAX(0,$M350-N($H350)),0))</f>
        <v>0</v>
      </c>
      <c r="Q350" s="19">
        <f>IF(AND($F350="Compareceu",$E350&lt;&gt;"",$A350&lt;&gt;""),IF(IFERROR(INDEX(ProcRet,MATCH($E350,ProcNome,0)),0)&gt;0,$A350+INDEX(ProcRet,MATCH($E350,ProcNome,0)),""),"")</f>
        <v>0</v>
      </c>
      <c r="R350" s="26">
        <f>IF($Q350="","",IF(COUNTIFS(AgPac,$D350,AgData,"&gt;"&amp;$A350,AgStatus,"&lt;&gt;Cancelado",AgStatus,"&lt;&gt;Remarcado")&gt;0,"Sim","Não"))</f>
        <v>0</v>
      </c>
      <c r="S350" s="28">
        <f>IF($A350="","",IF(AND($F350="Agendado",$A350-Hoje&gt;=0,$A350-Hoje&lt;=DiasConf),"CONFIRMAR",IF(AND($A350&lt;Hoje,OR($F350="Agendado",$F350="Confirmado")),"Atualizar status",IF(AND($F350="Compareceu",$P350&gt;0.005),"Cobrar",IF($F350="Faltou","Falta: reagendar","")))))</f>
        <v>0</v>
      </c>
      <c r="T350" s="29">
        <f>IF($A350="","",DATE(YEAR($A350),MONTH($A350),1))</f>
        <v>46296.0</v>
      </c>
      <c r="U350" s="30">
        <f>IF($S350="CONFIRMAR",MAX($U$4:$U349)+1,"")</f>
        <v>0</v>
      </c>
      <c r="V350" s="30">
        <f>IF(AND($R350="Não",$Q350&lt;&gt;"",$Q350&lt;=Hoje+JanelaRet,$Q350&gt;=Hoje-60),MAX($V$4:$V349)+1,"")</f>
        <v>0</v>
      </c>
    </row>
    <row r="351" spans="1:22">
      <c r="A351" s="16">
        <v>46312</v>
      </c>
      <c r="B351" s="23">
        <v>0.3958333333333333</v>
      </c>
      <c r="C351" s="15" t="s">
        <v>54</v>
      </c>
      <c r="D351" s="15" t="s">
        <v>217</v>
      </c>
      <c r="E351" s="15" t="s">
        <v>62</v>
      </c>
      <c r="F351" s="24" t="s">
        <v>77</v>
      </c>
      <c r="G351" s="17"/>
      <c r="H351" s="17"/>
      <c r="I351" s="15"/>
      <c r="J351" s="25" t="str">
        <f>IF($D351="","",IFERROR(INDEX(PacNome,MATCH($D351,PacCod,0)),"Paciente não cadastrado"))</f>
        <v>Paciente 040</v>
      </c>
      <c r="K351" s="26" t="str">
        <f>IF($D351="","",IFERROR(INDEX(PacConv,MATCH($D351,PacCod,0))&amp;"",""))</f>
        <v>Particular</v>
      </c>
      <c r="L351" s="26" t="str">
        <f>IF($A351="","",CHOOSE(WEEKDAY($A351,2),"Seg","Ter","Qua","Qui","Sex","Sáb","Dom"))</f>
        <v>Sáb</v>
      </c>
      <c r="M351" s="27">
        <f>IF($E351="","",IF($G351&lt;&gt;"",$G351,IFERROR(INDEX(ProcValor,MATCH($E351,ProcNome,0)),0)))</f>
        <v>350</v>
      </c>
      <c r="N351" s="27">
        <f>IF($M351="","",IF($F351="Compareceu",$M351,0))</f>
        <v>0</v>
      </c>
      <c r="O351" s="27">
        <f>IF($M351="","",IF($F351="Faltou",$M351,0))</f>
        <v>0</v>
      </c>
      <c r="P351" s="27">
        <f>IF($M351="","",IF($F351="Compareceu",MAX(0,$M351-N($H351)),0))</f>
        <v>0</v>
      </c>
      <c r="Q351" s="19">
        <f>IF(AND($F351="Compareceu",$E351&lt;&gt;"",$A351&lt;&gt;""),IF(IFERROR(INDEX(ProcRet,MATCH($E351,ProcNome,0)),0)&gt;0,$A351+INDEX(ProcRet,MATCH($E351,ProcNome,0)),""),"")</f>
        <v>0</v>
      </c>
      <c r="R351" s="26">
        <f>IF($Q351="","",IF(COUNTIFS(AgPac,$D351,AgData,"&gt;"&amp;$A351,AgStatus,"&lt;&gt;Cancelado",AgStatus,"&lt;&gt;Remarcado")&gt;0,"Sim","Não"))</f>
        <v>0</v>
      </c>
      <c r="S351" s="28">
        <f>IF($A351="","",IF(AND($F351="Agendado",$A351-Hoje&gt;=0,$A351-Hoje&lt;=DiasConf),"CONFIRMAR",IF(AND($A351&lt;Hoje,OR($F351="Agendado",$F351="Confirmado")),"Atualizar status",IF(AND($F351="Compareceu",$P351&gt;0.005),"Cobrar",IF($F351="Faltou","Falta: reagendar","")))))</f>
        <v>0</v>
      </c>
      <c r="T351" s="29">
        <f>IF($A351="","",DATE(YEAR($A351),MONTH($A351),1))</f>
        <v>46296.0</v>
      </c>
      <c r="U351" s="30">
        <f>IF($S351="CONFIRMAR",MAX($U$4:$U350)+1,"")</f>
        <v>0</v>
      </c>
      <c r="V351" s="30">
        <f>IF(AND($R351="Não",$Q351&lt;&gt;"",$Q351&lt;=Hoje+JanelaRet,$Q351&gt;=Hoje-60),MAX($V$4:$V350)+1,"")</f>
        <v>0</v>
      </c>
    </row>
    <row r="352" spans="1:22">
      <c r="A352" s="16">
        <v>46312</v>
      </c>
      <c r="B352" s="23">
        <v>0.5625</v>
      </c>
      <c r="C352" s="15" t="s">
        <v>53</v>
      </c>
      <c r="D352" s="15" t="s">
        <v>235</v>
      </c>
      <c r="E352" s="15" t="s">
        <v>59</v>
      </c>
      <c r="F352" s="24" t="s">
        <v>77</v>
      </c>
      <c r="G352" s="17"/>
      <c r="H352" s="17"/>
      <c r="I352" s="15"/>
      <c r="J352" s="25" t="str">
        <f>IF($D352="","",IFERROR(INDEX(PacNome,MATCH($D352,PacCod,0)),"Paciente não cadastrado"))</f>
        <v>Paciente 046</v>
      </c>
      <c r="K352" s="26" t="str">
        <f>IF($D352="","",IFERROR(INDEX(PacConv,MATCH($D352,PacCod,0))&amp;"",""))</f>
        <v>Convênio A</v>
      </c>
      <c r="L352" s="26" t="str">
        <f>IF($A352="","",CHOOSE(WEEKDAY($A352,2),"Seg","Ter","Qua","Qui","Sex","Sáb","Dom"))</f>
        <v>Sáb</v>
      </c>
      <c r="M352" s="27">
        <f>IF($E352="","",IF($G352&lt;&gt;"",$G352,IFERROR(INDEX(ProcValor,MATCH($E352,ProcNome,0)),0)))</f>
        <v>150</v>
      </c>
      <c r="N352" s="27">
        <f>IF($M352="","",IF($F352="Compareceu",$M352,0))</f>
        <v>0</v>
      </c>
      <c r="O352" s="27">
        <f>IF($M352="","",IF($F352="Faltou",$M352,0))</f>
        <v>0</v>
      </c>
      <c r="P352" s="27">
        <f>IF($M352="","",IF($F352="Compareceu",MAX(0,$M352-N($H352)),0))</f>
        <v>0</v>
      </c>
      <c r="Q352" s="19">
        <f>IF(AND($F352="Compareceu",$E352&lt;&gt;"",$A352&lt;&gt;""),IF(IFERROR(INDEX(ProcRet,MATCH($E352,ProcNome,0)),0)&gt;0,$A352+INDEX(ProcRet,MATCH($E352,ProcNome,0)),""),"")</f>
        <v>0</v>
      </c>
      <c r="R352" s="26">
        <f>IF($Q352="","",IF(COUNTIFS(AgPac,$D352,AgData,"&gt;"&amp;$A352,AgStatus,"&lt;&gt;Cancelado",AgStatus,"&lt;&gt;Remarcado")&gt;0,"Sim","Não"))</f>
        <v>0</v>
      </c>
      <c r="S352" s="28">
        <f>IF($A352="","",IF(AND($F352="Agendado",$A352-Hoje&gt;=0,$A352-Hoje&lt;=DiasConf),"CONFIRMAR",IF(AND($A352&lt;Hoje,OR($F352="Agendado",$F352="Confirmado")),"Atualizar status",IF(AND($F352="Compareceu",$P352&gt;0.005),"Cobrar",IF($F352="Faltou","Falta: reagendar","")))))</f>
        <v>0</v>
      </c>
      <c r="T352" s="29">
        <f>IF($A352="","",DATE(YEAR($A352),MONTH($A352),1))</f>
        <v>46296.0</v>
      </c>
      <c r="U352" s="30">
        <f>IF($S352="CONFIRMAR",MAX($U$4:$U351)+1,"")</f>
        <v>0</v>
      </c>
      <c r="V352" s="30">
        <f>IF(AND($R352="Não",$Q352&lt;&gt;"",$Q352&lt;=Hoje+JanelaRet,$Q352&gt;=Hoje-60),MAX($V$4:$V351)+1,"")</f>
        <v>0</v>
      </c>
    </row>
    <row r="353" spans="1:22">
      <c r="A353" s="16">
        <v>46312</v>
      </c>
      <c r="B353" s="23">
        <v>0.7083333333333334</v>
      </c>
      <c r="C353" s="15" t="s">
        <v>54</v>
      </c>
      <c r="D353" s="15" t="s">
        <v>112</v>
      </c>
      <c r="E353" s="15" t="s">
        <v>62</v>
      </c>
      <c r="F353" s="24" t="s">
        <v>77</v>
      </c>
      <c r="G353" s="17"/>
      <c r="H353" s="17"/>
      <c r="I353" s="15"/>
      <c r="J353" s="25" t="str">
        <f>IF($D353="","",IFERROR(INDEX(PacNome,MATCH($D353,PacCod,0)),"Paciente não cadastrado"))</f>
        <v>Paciente 005</v>
      </c>
      <c r="K353" s="26" t="str">
        <f>IF($D353="","",IFERROR(INDEX(PacConv,MATCH($D353,PacCod,0))&amp;"",""))</f>
        <v>Particular</v>
      </c>
      <c r="L353" s="26" t="str">
        <f>IF($A353="","",CHOOSE(WEEKDAY($A353,2),"Seg","Ter","Qua","Qui","Sex","Sáb","Dom"))</f>
        <v>Sáb</v>
      </c>
      <c r="M353" s="27">
        <f>IF($E353="","",IF($G353&lt;&gt;"",$G353,IFERROR(INDEX(ProcValor,MATCH($E353,ProcNome,0)),0)))</f>
        <v>350</v>
      </c>
      <c r="N353" s="27">
        <f>IF($M353="","",IF($F353="Compareceu",$M353,0))</f>
        <v>0</v>
      </c>
      <c r="O353" s="27">
        <f>IF($M353="","",IF($F353="Faltou",$M353,0))</f>
        <v>0</v>
      </c>
      <c r="P353" s="27">
        <f>IF($M353="","",IF($F353="Compareceu",MAX(0,$M353-N($H353)),0))</f>
        <v>0</v>
      </c>
      <c r="Q353" s="19">
        <f>IF(AND($F353="Compareceu",$E353&lt;&gt;"",$A353&lt;&gt;""),IF(IFERROR(INDEX(ProcRet,MATCH($E353,ProcNome,0)),0)&gt;0,$A353+INDEX(ProcRet,MATCH($E353,ProcNome,0)),""),"")</f>
        <v>0</v>
      </c>
      <c r="R353" s="26">
        <f>IF($Q353="","",IF(COUNTIFS(AgPac,$D353,AgData,"&gt;"&amp;$A353,AgStatus,"&lt;&gt;Cancelado",AgStatus,"&lt;&gt;Remarcado")&gt;0,"Sim","Não"))</f>
        <v>0</v>
      </c>
      <c r="S353" s="28">
        <f>IF($A353="","",IF(AND($F353="Agendado",$A353-Hoje&gt;=0,$A353-Hoje&lt;=DiasConf),"CONFIRMAR",IF(AND($A353&lt;Hoje,OR($F353="Agendado",$F353="Confirmado")),"Atualizar status",IF(AND($F353="Compareceu",$P353&gt;0.005),"Cobrar",IF($F353="Faltou","Falta: reagendar","")))))</f>
        <v>0</v>
      </c>
      <c r="T353" s="29">
        <f>IF($A353="","",DATE(YEAR($A353),MONTH($A353),1))</f>
        <v>46296.0</v>
      </c>
      <c r="U353" s="30">
        <f>IF($S353="CONFIRMAR",MAX($U$4:$U352)+1,"")</f>
        <v>0</v>
      </c>
      <c r="V353" s="30">
        <f>IF(AND($R353="Não",$Q353&lt;&gt;"",$Q353&lt;=Hoje+JanelaRet,$Q353&gt;=Hoje-60),MAX($V$4:$V352)+1,"")</f>
        <v>0</v>
      </c>
    </row>
    <row r="354" spans="1:22">
      <c r="A354" s="16">
        <v>46314</v>
      </c>
      <c r="B354" s="23">
        <v>0.4166666666666667</v>
      </c>
      <c r="C354" s="15" t="s">
        <v>52</v>
      </c>
      <c r="D354" s="15" t="s">
        <v>193</v>
      </c>
      <c r="E354" s="15" t="s">
        <v>64</v>
      </c>
      <c r="F354" s="24" t="s">
        <v>77</v>
      </c>
      <c r="G354" s="17"/>
      <c r="H354" s="17"/>
      <c r="I354" s="15"/>
      <c r="J354" s="25" t="str">
        <f>IF($D354="","",IFERROR(INDEX(PacNome,MATCH($D354,PacCod,0)),"Paciente não cadastrado"))</f>
        <v>Paciente 032</v>
      </c>
      <c r="K354" s="26" t="str">
        <f>IF($D354="","",IFERROR(INDEX(PacConv,MATCH($D354,PacCod,0))&amp;"",""))</f>
        <v>Convênio A</v>
      </c>
      <c r="L354" s="26" t="str">
        <f>IF($A354="","",CHOOSE(WEEKDAY($A354,2),"Seg","Ter","Qua","Qui","Sex","Sáb","Dom"))</f>
        <v>Seg</v>
      </c>
      <c r="M354" s="27">
        <f>IF($E354="","",IF($G354&lt;&gt;"",$G354,IFERROR(INDEX(ProcValor,MATCH($E354,ProcNome,0)),0)))</f>
        <v>90</v>
      </c>
      <c r="N354" s="27">
        <f>IF($M354="","",IF($F354="Compareceu",$M354,0))</f>
        <v>0</v>
      </c>
      <c r="O354" s="27">
        <f>IF($M354="","",IF($F354="Faltou",$M354,0))</f>
        <v>0</v>
      </c>
      <c r="P354" s="27">
        <f>IF($M354="","",IF($F354="Compareceu",MAX(0,$M354-N($H354)),0))</f>
        <v>0</v>
      </c>
      <c r="Q354" s="19">
        <f>IF(AND($F354="Compareceu",$E354&lt;&gt;"",$A354&lt;&gt;""),IF(IFERROR(INDEX(ProcRet,MATCH($E354,ProcNome,0)),0)&gt;0,$A354+INDEX(ProcRet,MATCH($E354,ProcNome,0)),""),"")</f>
        <v>0</v>
      </c>
      <c r="R354" s="26">
        <f>IF($Q354="","",IF(COUNTIFS(AgPac,$D354,AgData,"&gt;"&amp;$A354,AgStatus,"&lt;&gt;Cancelado",AgStatus,"&lt;&gt;Remarcado")&gt;0,"Sim","Não"))</f>
        <v>0</v>
      </c>
      <c r="S354" s="28">
        <f>IF($A354="","",IF(AND($F354="Agendado",$A354-Hoje&gt;=0,$A354-Hoje&lt;=DiasConf),"CONFIRMAR",IF(AND($A354&lt;Hoje,OR($F354="Agendado",$F354="Confirmado")),"Atualizar status",IF(AND($F354="Compareceu",$P354&gt;0.005),"Cobrar",IF($F354="Faltou","Falta: reagendar","")))))</f>
        <v>0</v>
      </c>
      <c r="T354" s="29">
        <f>IF($A354="","",DATE(YEAR($A354),MONTH($A354),1))</f>
        <v>46296.0</v>
      </c>
      <c r="U354" s="30">
        <f>IF($S354="CONFIRMAR",MAX($U$4:$U353)+1,"")</f>
        <v>0</v>
      </c>
      <c r="V354" s="30">
        <f>IF(AND($R354="Não",$Q354&lt;&gt;"",$Q354&lt;=Hoje+JanelaRet,$Q354&gt;=Hoje-60),MAX($V$4:$V353)+1,"")</f>
        <v>0</v>
      </c>
    </row>
    <row r="355" spans="1:22">
      <c r="A355" s="16">
        <v>46314</v>
      </c>
      <c r="B355" s="23">
        <v>0.5833333333333334</v>
      </c>
      <c r="C355" s="15" t="s">
        <v>52</v>
      </c>
      <c r="D355" s="15" t="s">
        <v>226</v>
      </c>
      <c r="E355" s="15" t="s">
        <v>65</v>
      </c>
      <c r="F355" s="24" t="s">
        <v>77</v>
      </c>
      <c r="G355" s="17"/>
      <c r="H355" s="17"/>
      <c r="I355" s="15"/>
      <c r="J355" s="25" t="str">
        <f>IF($D355="","",IFERROR(INDEX(PacNome,MATCH($D355,PacCod,0)),"Paciente não cadastrado"))</f>
        <v>Paciente 043</v>
      </c>
      <c r="K355" s="26" t="str">
        <f>IF($D355="","",IFERROR(INDEX(PacConv,MATCH($D355,PacCod,0))&amp;"",""))</f>
        <v>Convênio A</v>
      </c>
      <c r="L355" s="26" t="str">
        <f>IF($A355="","",CHOOSE(WEEKDAY($A355,2),"Seg","Ter","Qua","Qui","Sex","Sáb","Dom"))</f>
        <v>Seg</v>
      </c>
      <c r="M355" s="27">
        <f>IF($E355="","",IF($G355&lt;&gt;"",$G355,IFERROR(INDEX(ProcValor,MATCH($E355,ProcNome,0)),0)))</f>
        <v>130</v>
      </c>
      <c r="N355" s="27">
        <f>IF($M355="","",IF($F355="Compareceu",$M355,0))</f>
        <v>0</v>
      </c>
      <c r="O355" s="27">
        <f>IF($M355="","",IF($F355="Faltou",$M355,0))</f>
        <v>0</v>
      </c>
      <c r="P355" s="27">
        <f>IF($M355="","",IF($F355="Compareceu",MAX(0,$M355-N($H355)),0))</f>
        <v>0</v>
      </c>
      <c r="Q355" s="19">
        <f>IF(AND($F355="Compareceu",$E355&lt;&gt;"",$A355&lt;&gt;""),IF(IFERROR(INDEX(ProcRet,MATCH($E355,ProcNome,0)),0)&gt;0,$A355+INDEX(ProcRet,MATCH($E355,ProcNome,0)),""),"")</f>
        <v>0</v>
      </c>
      <c r="R355" s="26">
        <f>IF($Q355="","",IF(COUNTIFS(AgPac,$D355,AgData,"&gt;"&amp;$A355,AgStatus,"&lt;&gt;Cancelado",AgStatus,"&lt;&gt;Remarcado")&gt;0,"Sim","Não"))</f>
        <v>0</v>
      </c>
      <c r="S355" s="28">
        <f>IF($A355="","",IF(AND($F355="Agendado",$A355-Hoje&gt;=0,$A355-Hoje&lt;=DiasConf),"CONFIRMAR",IF(AND($A355&lt;Hoje,OR($F355="Agendado",$F355="Confirmado")),"Atualizar status",IF(AND($F355="Compareceu",$P355&gt;0.005),"Cobrar",IF($F355="Faltou","Falta: reagendar","")))))</f>
        <v>0</v>
      </c>
      <c r="T355" s="29">
        <f>IF($A355="","",DATE(YEAR($A355),MONTH($A355),1))</f>
        <v>46296.0</v>
      </c>
      <c r="U355" s="30">
        <f>IF($S355="CONFIRMAR",MAX($U$4:$U354)+1,"")</f>
        <v>0</v>
      </c>
      <c r="V355" s="30">
        <f>IF(AND($R355="Não",$Q355&lt;&gt;"",$Q355&lt;=Hoje+JanelaRet,$Q355&gt;=Hoje-60),MAX($V$4:$V354)+1,"")</f>
        <v>0</v>
      </c>
    </row>
    <row r="356" spans="1:22">
      <c r="A356" s="16">
        <v>46314</v>
      </c>
      <c r="B356" s="23">
        <v>0.6875</v>
      </c>
      <c r="C356" s="15" t="s">
        <v>53</v>
      </c>
      <c r="D356" s="15" t="s">
        <v>175</v>
      </c>
      <c r="E356" s="15" t="s">
        <v>63</v>
      </c>
      <c r="F356" s="24" t="s">
        <v>77</v>
      </c>
      <c r="G356" s="17"/>
      <c r="H356" s="17"/>
      <c r="I356" s="15"/>
      <c r="J356" s="25" t="str">
        <f>IF($D356="","",IFERROR(INDEX(PacNome,MATCH($D356,PacCod,0)),"Paciente não cadastrado"))</f>
        <v>Paciente 026</v>
      </c>
      <c r="K356" s="26" t="str">
        <f>IF($D356="","",IFERROR(INDEX(PacConv,MATCH($D356,PacCod,0))&amp;"",""))</f>
        <v>Convênio A</v>
      </c>
      <c r="L356" s="26" t="str">
        <f>IF($A356="","",CHOOSE(WEEKDAY($A356,2),"Seg","Ter","Qua","Qui","Sex","Sáb","Dom"))</f>
        <v>Seg</v>
      </c>
      <c r="M356" s="27">
        <f>IF($E356="","",IF($G356&lt;&gt;"",$G356,IFERROR(INDEX(ProcValor,MATCH($E356,ProcNome,0)),0)))</f>
        <v>140</v>
      </c>
      <c r="N356" s="27">
        <f>IF($M356="","",IF($F356="Compareceu",$M356,0))</f>
        <v>0</v>
      </c>
      <c r="O356" s="27">
        <f>IF($M356="","",IF($F356="Faltou",$M356,0))</f>
        <v>0</v>
      </c>
      <c r="P356" s="27">
        <f>IF($M356="","",IF($F356="Compareceu",MAX(0,$M356-N($H356)),0))</f>
        <v>0</v>
      </c>
      <c r="Q356" s="19">
        <f>IF(AND($F356="Compareceu",$E356&lt;&gt;"",$A356&lt;&gt;""),IF(IFERROR(INDEX(ProcRet,MATCH($E356,ProcNome,0)),0)&gt;0,$A356+INDEX(ProcRet,MATCH($E356,ProcNome,0)),""),"")</f>
        <v>0</v>
      </c>
      <c r="R356" s="26">
        <f>IF($Q356="","",IF(COUNTIFS(AgPac,$D356,AgData,"&gt;"&amp;$A356,AgStatus,"&lt;&gt;Cancelado",AgStatus,"&lt;&gt;Remarcado")&gt;0,"Sim","Não"))</f>
        <v>0</v>
      </c>
      <c r="S356" s="28">
        <f>IF($A356="","",IF(AND($F356="Agendado",$A356-Hoje&gt;=0,$A356-Hoje&lt;=DiasConf),"CONFIRMAR",IF(AND($A356&lt;Hoje,OR($F356="Agendado",$F356="Confirmado")),"Atualizar status",IF(AND($F356="Compareceu",$P356&gt;0.005),"Cobrar",IF($F356="Faltou","Falta: reagendar","")))))</f>
        <v>0</v>
      </c>
      <c r="T356" s="29">
        <f>IF($A356="","",DATE(YEAR($A356),MONTH($A356),1))</f>
        <v>46296.0</v>
      </c>
      <c r="U356" s="30">
        <f>IF($S356="CONFIRMAR",MAX($U$4:$U355)+1,"")</f>
        <v>0</v>
      </c>
      <c r="V356" s="30">
        <f>IF(AND($R356="Não",$Q356&lt;&gt;"",$Q356&lt;=Hoje+JanelaRet,$Q356&gt;=Hoje-60),MAX($V$4:$V355)+1,"")</f>
        <v>0</v>
      </c>
    </row>
    <row r="357" spans="1:22">
      <c r="A357" s="16">
        <v>46315</v>
      </c>
      <c r="B357" s="23">
        <v>0.3333333333333333</v>
      </c>
      <c r="C357" s="15" t="s">
        <v>53</v>
      </c>
      <c r="D357" s="15" t="s">
        <v>133</v>
      </c>
      <c r="E357" s="15" t="s">
        <v>58</v>
      </c>
      <c r="F357" s="24" t="s">
        <v>77</v>
      </c>
      <c r="G357" s="17"/>
      <c r="H357" s="17"/>
      <c r="I357" s="15"/>
      <c r="J357" s="25" t="str">
        <f>IF($D357="","",IFERROR(INDEX(PacNome,MATCH($D357,PacCod,0)),"Paciente não cadastrado"))</f>
        <v>Paciente 012</v>
      </c>
      <c r="K357" s="26" t="str">
        <f>IF($D357="","",IFERROR(INDEX(PacConv,MATCH($D357,PacCod,0))&amp;"",""))</f>
        <v>Particular</v>
      </c>
      <c r="L357" s="26" t="str">
        <f>IF($A357="","",CHOOSE(WEEKDAY($A357,2),"Seg","Ter","Qua","Qui","Sex","Sáb","Dom"))</f>
        <v>Ter</v>
      </c>
      <c r="M357" s="27">
        <f>IF($E357="","",IF($G357&lt;&gt;"",$G357,IFERROR(INDEX(ProcValor,MATCH($E357,ProcNome,0)),0)))</f>
        <v>250</v>
      </c>
      <c r="N357" s="27">
        <f>IF($M357="","",IF($F357="Compareceu",$M357,0))</f>
        <v>0</v>
      </c>
      <c r="O357" s="27">
        <f>IF($M357="","",IF($F357="Faltou",$M357,0))</f>
        <v>0</v>
      </c>
      <c r="P357" s="27">
        <f>IF($M357="","",IF($F357="Compareceu",MAX(0,$M357-N($H357)),0))</f>
        <v>0</v>
      </c>
      <c r="Q357" s="19">
        <f>IF(AND($F357="Compareceu",$E357&lt;&gt;"",$A357&lt;&gt;""),IF(IFERROR(INDEX(ProcRet,MATCH($E357,ProcNome,0)),0)&gt;0,$A357+INDEX(ProcRet,MATCH($E357,ProcNome,0)),""),"")</f>
        <v>0</v>
      </c>
      <c r="R357" s="26">
        <f>IF($Q357="","",IF(COUNTIFS(AgPac,$D357,AgData,"&gt;"&amp;$A357,AgStatus,"&lt;&gt;Cancelado",AgStatus,"&lt;&gt;Remarcado")&gt;0,"Sim","Não"))</f>
        <v>0</v>
      </c>
      <c r="S357" s="28">
        <f>IF($A357="","",IF(AND($F357="Agendado",$A357-Hoje&gt;=0,$A357-Hoje&lt;=DiasConf),"CONFIRMAR",IF(AND($A357&lt;Hoje,OR($F357="Agendado",$F357="Confirmado")),"Atualizar status",IF(AND($F357="Compareceu",$P357&gt;0.005),"Cobrar",IF($F357="Faltou","Falta: reagendar","")))))</f>
        <v>0</v>
      </c>
      <c r="T357" s="29">
        <f>IF($A357="","",DATE(YEAR($A357),MONTH($A357),1))</f>
        <v>46296.0</v>
      </c>
      <c r="U357" s="30">
        <f>IF($S357="CONFIRMAR",MAX($U$4:$U356)+1,"")</f>
        <v>0</v>
      </c>
      <c r="V357" s="30">
        <f>IF(AND($R357="Não",$Q357&lt;&gt;"",$Q357&lt;=Hoje+JanelaRet,$Q357&gt;=Hoje-60),MAX($V$4:$V356)+1,"")</f>
        <v>0</v>
      </c>
    </row>
    <row r="358" spans="1:22">
      <c r="A358" s="16">
        <v>46315</v>
      </c>
      <c r="B358" s="23">
        <v>0.4583333333333333</v>
      </c>
      <c r="C358" s="15" t="s">
        <v>53</v>
      </c>
      <c r="D358" s="15" t="s">
        <v>193</v>
      </c>
      <c r="E358" s="15" t="s">
        <v>63</v>
      </c>
      <c r="F358" s="24" t="s">
        <v>77</v>
      </c>
      <c r="G358" s="17"/>
      <c r="H358" s="17"/>
      <c r="I358" s="15"/>
      <c r="J358" s="25" t="str">
        <f>IF($D358="","",IFERROR(INDEX(PacNome,MATCH($D358,PacCod,0)),"Paciente não cadastrado"))</f>
        <v>Paciente 032</v>
      </c>
      <c r="K358" s="26" t="str">
        <f>IF($D358="","",IFERROR(INDEX(PacConv,MATCH($D358,PacCod,0))&amp;"",""))</f>
        <v>Convênio A</v>
      </c>
      <c r="L358" s="26" t="str">
        <f>IF($A358="","",CHOOSE(WEEKDAY($A358,2),"Seg","Ter","Qua","Qui","Sex","Sáb","Dom"))</f>
        <v>Ter</v>
      </c>
      <c r="M358" s="27">
        <f>IF($E358="","",IF($G358&lt;&gt;"",$G358,IFERROR(INDEX(ProcValor,MATCH($E358,ProcNome,0)),0)))</f>
        <v>140</v>
      </c>
      <c r="N358" s="27">
        <f>IF($M358="","",IF($F358="Compareceu",$M358,0))</f>
        <v>0</v>
      </c>
      <c r="O358" s="27">
        <f>IF($M358="","",IF($F358="Faltou",$M358,0))</f>
        <v>0</v>
      </c>
      <c r="P358" s="27">
        <f>IF($M358="","",IF($F358="Compareceu",MAX(0,$M358-N($H358)),0))</f>
        <v>0</v>
      </c>
      <c r="Q358" s="19">
        <f>IF(AND($F358="Compareceu",$E358&lt;&gt;"",$A358&lt;&gt;""),IF(IFERROR(INDEX(ProcRet,MATCH($E358,ProcNome,0)),0)&gt;0,$A358+INDEX(ProcRet,MATCH($E358,ProcNome,0)),""),"")</f>
        <v>0</v>
      </c>
      <c r="R358" s="26">
        <f>IF($Q358="","",IF(COUNTIFS(AgPac,$D358,AgData,"&gt;"&amp;$A358,AgStatus,"&lt;&gt;Cancelado",AgStatus,"&lt;&gt;Remarcado")&gt;0,"Sim","Não"))</f>
        <v>0</v>
      </c>
      <c r="S358" s="28">
        <f>IF($A358="","",IF(AND($F358="Agendado",$A358-Hoje&gt;=0,$A358-Hoje&lt;=DiasConf),"CONFIRMAR",IF(AND($A358&lt;Hoje,OR($F358="Agendado",$F358="Confirmado")),"Atualizar status",IF(AND($F358="Compareceu",$P358&gt;0.005),"Cobrar",IF($F358="Faltou","Falta: reagendar","")))))</f>
        <v>0</v>
      </c>
      <c r="T358" s="29">
        <f>IF($A358="","",DATE(YEAR($A358),MONTH($A358),1))</f>
        <v>46296.0</v>
      </c>
      <c r="U358" s="30">
        <f>IF($S358="CONFIRMAR",MAX($U$4:$U357)+1,"")</f>
        <v>0</v>
      </c>
      <c r="V358" s="30">
        <f>IF(AND($R358="Não",$Q358&lt;&gt;"",$Q358&lt;=Hoje+JanelaRet,$Q358&gt;=Hoje-60),MAX($V$4:$V357)+1,"")</f>
        <v>0</v>
      </c>
    </row>
    <row r="359" spans="1:22">
      <c r="A359" s="16">
        <v>46315</v>
      </c>
      <c r="B359" s="23">
        <v>0.5208333333333334</v>
      </c>
      <c r="C359" s="15" t="s">
        <v>54</v>
      </c>
      <c r="D359" s="15" t="s">
        <v>145</v>
      </c>
      <c r="E359" s="15" t="s">
        <v>63</v>
      </c>
      <c r="F359" s="24" t="s">
        <v>77</v>
      </c>
      <c r="G359" s="17"/>
      <c r="H359" s="17"/>
      <c r="I359" s="15"/>
      <c r="J359" s="25" t="str">
        <f>IF($D359="","",IFERROR(INDEX(PacNome,MATCH($D359,PacCod,0)),"Paciente não cadastrado"))</f>
        <v>Paciente 016</v>
      </c>
      <c r="K359" s="26" t="str">
        <f>IF($D359="","",IFERROR(INDEX(PacConv,MATCH($D359,PacCod,0))&amp;"",""))</f>
        <v>Particular</v>
      </c>
      <c r="L359" s="26" t="str">
        <f>IF($A359="","",CHOOSE(WEEKDAY($A359,2),"Seg","Ter","Qua","Qui","Sex","Sáb","Dom"))</f>
        <v>Ter</v>
      </c>
      <c r="M359" s="27">
        <f>IF($E359="","",IF($G359&lt;&gt;"",$G359,IFERROR(INDEX(ProcValor,MATCH($E359,ProcNome,0)),0)))</f>
        <v>140</v>
      </c>
      <c r="N359" s="27">
        <f>IF($M359="","",IF($F359="Compareceu",$M359,0))</f>
        <v>0</v>
      </c>
      <c r="O359" s="27">
        <f>IF($M359="","",IF($F359="Faltou",$M359,0))</f>
        <v>0</v>
      </c>
      <c r="P359" s="27">
        <f>IF($M359="","",IF($F359="Compareceu",MAX(0,$M359-N($H359)),0))</f>
        <v>0</v>
      </c>
      <c r="Q359" s="19">
        <f>IF(AND($F359="Compareceu",$E359&lt;&gt;"",$A359&lt;&gt;""),IF(IFERROR(INDEX(ProcRet,MATCH($E359,ProcNome,0)),0)&gt;0,$A359+INDEX(ProcRet,MATCH($E359,ProcNome,0)),""),"")</f>
        <v>0</v>
      </c>
      <c r="R359" s="26">
        <f>IF($Q359="","",IF(COUNTIFS(AgPac,$D359,AgData,"&gt;"&amp;$A359,AgStatus,"&lt;&gt;Cancelado",AgStatus,"&lt;&gt;Remarcado")&gt;0,"Sim","Não"))</f>
        <v>0</v>
      </c>
      <c r="S359" s="28">
        <f>IF($A359="","",IF(AND($F359="Agendado",$A359-Hoje&gt;=0,$A359-Hoje&lt;=DiasConf),"CONFIRMAR",IF(AND($A359&lt;Hoje,OR($F359="Agendado",$F359="Confirmado")),"Atualizar status",IF(AND($F359="Compareceu",$P359&gt;0.005),"Cobrar",IF($F359="Faltou","Falta: reagendar","")))))</f>
        <v>0</v>
      </c>
      <c r="T359" s="29">
        <f>IF($A359="","",DATE(YEAR($A359),MONTH($A359),1))</f>
        <v>46296.0</v>
      </c>
      <c r="U359" s="30">
        <f>IF($S359="CONFIRMAR",MAX($U$4:$U358)+1,"")</f>
        <v>0</v>
      </c>
      <c r="V359" s="30">
        <f>IF(AND($R359="Não",$Q359&lt;&gt;"",$Q359&lt;=Hoje+JanelaRet,$Q359&gt;=Hoje-60),MAX($V$4:$V358)+1,"")</f>
        <v>0</v>
      </c>
    </row>
    <row r="360" spans="1:22">
      <c r="A360" s="16">
        <v>46315</v>
      </c>
      <c r="B360" s="23">
        <v>0.6458333333333334</v>
      </c>
      <c r="C360" s="15" t="s">
        <v>51</v>
      </c>
      <c r="D360" s="15" t="s">
        <v>103</v>
      </c>
      <c r="E360" s="15" t="s">
        <v>65</v>
      </c>
      <c r="F360" s="24" t="s">
        <v>77</v>
      </c>
      <c r="G360" s="17"/>
      <c r="H360" s="17"/>
      <c r="I360" s="15"/>
      <c r="J360" s="25" t="str">
        <f>IF($D360="","",IFERROR(INDEX(PacNome,MATCH($D360,PacCod,0)),"Paciente não cadastrado"))</f>
        <v>Paciente 002</v>
      </c>
      <c r="K360" s="26" t="str">
        <f>IF($D360="","",IFERROR(INDEX(PacConv,MATCH($D360,PacCod,0))&amp;"",""))</f>
        <v>Convênio A</v>
      </c>
      <c r="L360" s="26" t="str">
        <f>IF($A360="","",CHOOSE(WEEKDAY($A360,2),"Seg","Ter","Qua","Qui","Sex","Sáb","Dom"))</f>
        <v>Ter</v>
      </c>
      <c r="M360" s="27">
        <f>IF($E360="","",IF($G360&lt;&gt;"",$G360,IFERROR(INDEX(ProcValor,MATCH($E360,ProcNome,0)),0)))</f>
        <v>130</v>
      </c>
      <c r="N360" s="27">
        <f>IF($M360="","",IF($F360="Compareceu",$M360,0))</f>
        <v>0</v>
      </c>
      <c r="O360" s="27">
        <f>IF($M360="","",IF($F360="Faltou",$M360,0))</f>
        <v>0</v>
      </c>
      <c r="P360" s="27">
        <f>IF($M360="","",IF($F360="Compareceu",MAX(0,$M360-N($H360)),0))</f>
        <v>0</v>
      </c>
      <c r="Q360" s="19">
        <f>IF(AND($F360="Compareceu",$E360&lt;&gt;"",$A360&lt;&gt;""),IF(IFERROR(INDEX(ProcRet,MATCH($E360,ProcNome,0)),0)&gt;0,$A360+INDEX(ProcRet,MATCH($E360,ProcNome,0)),""),"")</f>
        <v>0</v>
      </c>
      <c r="R360" s="26">
        <f>IF($Q360="","",IF(COUNTIFS(AgPac,$D360,AgData,"&gt;"&amp;$A360,AgStatus,"&lt;&gt;Cancelado",AgStatus,"&lt;&gt;Remarcado")&gt;0,"Sim","Não"))</f>
        <v>0</v>
      </c>
      <c r="S360" s="28">
        <f>IF($A360="","",IF(AND($F360="Agendado",$A360-Hoje&gt;=0,$A360-Hoje&lt;=DiasConf),"CONFIRMAR",IF(AND($A360&lt;Hoje,OR($F360="Agendado",$F360="Confirmado")),"Atualizar status",IF(AND($F360="Compareceu",$P360&gt;0.005),"Cobrar",IF($F360="Faltou","Falta: reagendar","")))))</f>
        <v>0</v>
      </c>
      <c r="T360" s="29">
        <f>IF($A360="","",DATE(YEAR($A360),MONTH($A360),1))</f>
        <v>46296.0</v>
      </c>
      <c r="U360" s="30">
        <f>IF($S360="CONFIRMAR",MAX($U$4:$U359)+1,"")</f>
        <v>0</v>
      </c>
      <c r="V360" s="30">
        <f>IF(AND($R360="Não",$Q360&lt;&gt;"",$Q360&lt;=Hoje+JanelaRet,$Q360&gt;=Hoje-60),MAX($V$4:$V359)+1,"")</f>
        <v>0</v>
      </c>
    </row>
    <row r="361" spans="1:22">
      <c r="A361" s="16"/>
      <c r="B361" s="23"/>
      <c r="C361" s="15"/>
      <c r="D361" s="15"/>
      <c r="E361" s="15"/>
      <c r="F361" s="24"/>
      <c r="G361" s="17"/>
      <c r="H361" s="17"/>
      <c r="I361" s="15"/>
      <c r="J361" s="25">
        <f>IF($D361="","",IFERROR(INDEX(PacNome,MATCH($D361,PacCod,0)),"Paciente não cadastrado"))</f>
        <v>0</v>
      </c>
      <c r="K361" s="26">
        <f>IF($D361="","",IFERROR(INDEX(PacConv,MATCH($D361,PacCod,0))&amp;"",""))</f>
        <v>0</v>
      </c>
      <c r="L361" s="26">
        <f>IF($A361="","",CHOOSE(WEEKDAY($A361,2),"Seg","Ter","Qua","Qui","Sex","Sáb","Dom"))</f>
        <v>0</v>
      </c>
      <c r="M361" s="27">
        <f>IF($E361="","",IF($G361&lt;&gt;"",$G361,IFERROR(INDEX(ProcValor,MATCH($E361,ProcNome,0)),0)))</f>
        <v>0</v>
      </c>
      <c r="N361" s="27">
        <f>IF($M361="","",IF($F361="Compareceu",$M361,0))</f>
        <v>0</v>
      </c>
      <c r="O361" s="27">
        <f>IF($M361="","",IF($F361="Faltou",$M361,0))</f>
        <v>0</v>
      </c>
      <c r="P361" s="27">
        <f>IF($M361="","",IF($F361="Compareceu",MAX(0,$M361-N($H361)),0))</f>
        <v>0</v>
      </c>
      <c r="Q361" s="19">
        <f>IF(AND($F361="Compareceu",$E361&lt;&gt;"",$A361&lt;&gt;""),IF(IFERROR(INDEX(ProcRet,MATCH($E361,ProcNome,0)),0)&gt;0,$A361+INDEX(ProcRet,MATCH($E361,ProcNome,0)),""),"")</f>
        <v>0</v>
      </c>
      <c r="R361" s="26">
        <f>IF($Q361="","",IF(COUNTIFS(AgPac,$D361,AgData,"&gt;"&amp;$A361,AgStatus,"&lt;&gt;Cancelado",AgStatus,"&lt;&gt;Remarcado")&gt;0,"Sim","Não"))</f>
        <v>0</v>
      </c>
      <c r="S361" s="28">
        <f>IF($A361="","",IF(AND($F361="Agendado",$A361-Hoje&gt;=0,$A361-Hoje&lt;=DiasConf),"CONFIRMAR",IF(AND($A361&lt;Hoje,OR($F361="Agendado",$F361="Confirmado")),"Atualizar status",IF(AND($F361="Compareceu",$P361&gt;0.005),"Cobrar",IF($F361="Faltou","Falta: reagendar","")))))</f>
        <v>0</v>
      </c>
      <c r="T361" s="29">
        <f>IF($A361="","",DATE(YEAR($A361),MONTH($A361),1))</f>
        <v>0</v>
      </c>
      <c r="U361" s="30">
        <f>IF($S361="CONFIRMAR",MAX($U$4:$U360)+1,"")</f>
        <v>0</v>
      </c>
      <c r="V361" s="30">
        <f>IF(AND($R361="Não",$Q361&lt;&gt;"",$Q361&lt;=Hoje+JanelaRet,$Q361&gt;=Hoje-60),MAX($V$4:$V360)+1,"")</f>
        <v>0</v>
      </c>
    </row>
    <row r="362" spans="1:22">
      <c r="A362" s="16"/>
      <c r="B362" s="23"/>
      <c r="C362" s="15"/>
      <c r="D362" s="15"/>
      <c r="E362" s="15"/>
      <c r="F362" s="24"/>
      <c r="G362" s="17"/>
      <c r="H362" s="17"/>
      <c r="I362" s="15"/>
      <c r="J362" s="25">
        <f>IF($D362="","",IFERROR(INDEX(PacNome,MATCH($D362,PacCod,0)),"Paciente não cadastrado"))</f>
        <v>0</v>
      </c>
      <c r="K362" s="26">
        <f>IF($D362="","",IFERROR(INDEX(PacConv,MATCH($D362,PacCod,0))&amp;"",""))</f>
        <v>0</v>
      </c>
      <c r="L362" s="26">
        <f>IF($A362="","",CHOOSE(WEEKDAY($A362,2),"Seg","Ter","Qua","Qui","Sex","Sáb","Dom"))</f>
        <v>0</v>
      </c>
      <c r="M362" s="27">
        <f>IF($E362="","",IF($G362&lt;&gt;"",$G362,IFERROR(INDEX(ProcValor,MATCH($E362,ProcNome,0)),0)))</f>
        <v>0</v>
      </c>
      <c r="N362" s="27">
        <f>IF($M362="","",IF($F362="Compareceu",$M362,0))</f>
        <v>0</v>
      </c>
      <c r="O362" s="27">
        <f>IF($M362="","",IF($F362="Faltou",$M362,0))</f>
        <v>0</v>
      </c>
      <c r="P362" s="27">
        <f>IF($M362="","",IF($F362="Compareceu",MAX(0,$M362-N($H362)),0))</f>
        <v>0</v>
      </c>
      <c r="Q362" s="19">
        <f>IF(AND($F362="Compareceu",$E362&lt;&gt;"",$A362&lt;&gt;""),IF(IFERROR(INDEX(ProcRet,MATCH($E362,ProcNome,0)),0)&gt;0,$A362+INDEX(ProcRet,MATCH($E362,ProcNome,0)),""),"")</f>
        <v>0</v>
      </c>
      <c r="R362" s="26">
        <f>IF($Q362="","",IF(COUNTIFS(AgPac,$D362,AgData,"&gt;"&amp;$A362,AgStatus,"&lt;&gt;Cancelado",AgStatus,"&lt;&gt;Remarcado")&gt;0,"Sim","Não"))</f>
        <v>0</v>
      </c>
      <c r="S362" s="28">
        <f>IF($A362="","",IF(AND($F362="Agendado",$A362-Hoje&gt;=0,$A362-Hoje&lt;=DiasConf),"CONFIRMAR",IF(AND($A362&lt;Hoje,OR($F362="Agendado",$F362="Confirmado")),"Atualizar status",IF(AND($F362="Compareceu",$P362&gt;0.005),"Cobrar",IF($F362="Faltou","Falta: reagendar","")))))</f>
        <v>0</v>
      </c>
      <c r="T362" s="29">
        <f>IF($A362="","",DATE(YEAR($A362),MONTH($A362),1))</f>
        <v>0</v>
      </c>
      <c r="U362" s="30">
        <f>IF($S362="CONFIRMAR",MAX($U$4:$U361)+1,"")</f>
        <v>0</v>
      </c>
      <c r="V362" s="30">
        <f>IF(AND($R362="Não",$Q362&lt;&gt;"",$Q362&lt;=Hoje+JanelaRet,$Q362&gt;=Hoje-60),MAX($V$4:$V361)+1,"")</f>
        <v>0</v>
      </c>
    </row>
    <row r="363" spans="1:22">
      <c r="A363" s="16"/>
      <c r="B363" s="23"/>
      <c r="C363" s="15"/>
      <c r="D363" s="15"/>
      <c r="E363" s="15"/>
      <c r="F363" s="24"/>
      <c r="G363" s="17"/>
      <c r="H363" s="17"/>
      <c r="I363" s="15"/>
      <c r="J363" s="25">
        <f>IF($D363="","",IFERROR(INDEX(PacNome,MATCH($D363,PacCod,0)),"Paciente não cadastrado"))</f>
        <v>0</v>
      </c>
      <c r="K363" s="26">
        <f>IF($D363="","",IFERROR(INDEX(PacConv,MATCH($D363,PacCod,0))&amp;"",""))</f>
        <v>0</v>
      </c>
      <c r="L363" s="26">
        <f>IF($A363="","",CHOOSE(WEEKDAY($A363,2),"Seg","Ter","Qua","Qui","Sex","Sáb","Dom"))</f>
        <v>0</v>
      </c>
      <c r="M363" s="27">
        <f>IF($E363="","",IF($G363&lt;&gt;"",$G363,IFERROR(INDEX(ProcValor,MATCH($E363,ProcNome,0)),0)))</f>
        <v>0</v>
      </c>
      <c r="N363" s="27">
        <f>IF($M363="","",IF($F363="Compareceu",$M363,0))</f>
        <v>0</v>
      </c>
      <c r="O363" s="27">
        <f>IF($M363="","",IF($F363="Faltou",$M363,0))</f>
        <v>0</v>
      </c>
      <c r="P363" s="27">
        <f>IF($M363="","",IF($F363="Compareceu",MAX(0,$M363-N($H363)),0))</f>
        <v>0</v>
      </c>
      <c r="Q363" s="19">
        <f>IF(AND($F363="Compareceu",$E363&lt;&gt;"",$A363&lt;&gt;""),IF(IFERROR(INDEX(ProcRet,MATCH($E363,ProcNome,0)),0)&gt;0,$A363+INDEX(ProcRet,MATCH($E363,ProcNome,0)),""),"")</f>
        <v>0</v>
      </c>
      <c r="R363" s="26">
        <f>IF($Q363="","",IF(COUNTIFS(AgPac,$D363,AgData,"&gt;"&amp;$A363,AgStatus,"&lt;&gt;Cancelado",AgStatus,"&lt;&gt;Remarcado")&gt;0,"Sim","Não"))</f>
        <v>0</v>
      </c>
      <c r="S363" s="28">
        <f>IF($A363="","",IF(AND($F363="Agendado",$A363-Hoje&gt;=0,$A363-Hoje&lt;=DiasConf),"CONFIRMAR",IF(AND($A363&lt;Hoje,OR($F363="Agendado",$F363="Confirmado")),"Atualizar status",IF(AND($F363="Compareceu",$P363&gt;0.005),"Cobrar",IF($F363="Faltou","Falta: reagendar","")))))</f>
        <v>0</v>
      </c>
      <c r="T363" s="29">
        <f>IF($A363="","",DATE(YEAR($A363),MONTH($A363),1))</f>
        <v>0</v>
      </c>
      <c r="U363" s="30">
        <f>IF($S363="CONFIRMAR",MAX($U$4:$U362)+1,"")</f>
        <v>0</v>
      </c>
      <c r="V363" s="30">
        <f>IF(AND($R363="Não",$Q363&lt;&gt;"",$Q363&lt;=Hoje+JanelaRet,$Q363&gt;=Hoje-60),MAX($V$4:$V362)+1,"")</f>
        <v>0</v>
      </c>
    </row>
    <row r="364" spans="1:22">
      <c r="A364" s="16"/>
      <c r="B364" s="23"/>
      <c r="C364" s="15"/>
      <c r="D364" s="15"/>
      <c r="E364" s="15"/>
      <c r="F364" s="24"/>
      <c r="G364" s="17"/>
      <c r="H364" s="17"/>
      <c r="I364" s="15"/>
      <c r="J364" s="25">
        <f>IF($D364="","",IFERROR(INDEX(PacNome,MATCH($D364,PacCod,0)),"Paciente não cadastrado"))</f>
        <v>0</v>
      </c>
      <c r="K364" s="26">
        <f>IF($D364="","",IFERROR(INDEX(PacConv,MATCH($D364,PacCod,0))&amp;"",""))</f>
        <v>0</v>
      </c>
      <c r="L364" s="26">
        <f>IF($A364="","",CHOOSE(WEEKDAY($A364,2),"Seg","Ter","Qua","Qui","Sex","Sáb","Dom"))</f>
        <v>0</v>
      </c>
      <c r="M364" s="27">
        <f>IF($E364="","",IF($G364&lt;&gt;"",$G364,IFERROR(INDEX(ProcValor,MATCH($E364,ProcNome,0)),0)))</f>
        <v>0</v>
      </c>
      <c r="N364" s="27">
        <f>IF($M364="","",IF($F364="Compareceu",$M364,0))</f>
        <v>0</v>
      </c>
      <c r="O364" s="27">
        <f>IF($M364="","",IF($F364="Faltou",$M364,0))</f>
        <v>0</v>
      </c>
      <c r="P364" s="27">
        <f>IF($M364="","",IF($F364="Compareceu",MAX(0,$M364-N($H364)),0))</f>
        <v>0</v>
      </c>
      <c r="Q364" s="19">
        <f>IF(AND($F364="Compareceu",$E364&lt;&gt;"",$A364&lt;&gt;""),IF(IFERROR(INDEX(ProcRet,MATCH($E364,ProcNome,0)),0)&gt;0,$A364+INDEX(ProcRet,MATCH($E364,ProcNome,0)),""),"")</f>
        <v>0</v>
      </c>
      <c r="R364" s="26">
        <f>IF($Q364="","",IF(COUNTIFS(AgPac,$D364,AgData,"&gt;"&amp;$A364,AgStatus,"&lt;&gt;Cancelado",AgStatus,"&lt;&gt;Remarcado")&gt;0,"Sim","Não"))</f>
        <v>0</v>
      </c>
      <c r="S364" s="28">
        <f>IF($A364="","",IF(AND($F364="Agendado",$A364-Hoje&gt;=0,$A364-Hoje&lt;=DiasConf),"CONFIRMAR",IF(AND($A364&lt;Hoje,OR($F364="Agendado",$F364="Confirmado")),"Atualizar status",IF(AND($F364="Compareceu",$P364&gt;0.005),"Cobrar",IF($F364="Faltou","Falta: reagendar","")))))</f>
        <v>0</v>
      </c>
      <c r="T364" s="29">
        <f>IF($A364="","",DATE(YEAR($A364),MONTH($A364),1))</f>
        <v>0</v>
      </c>
      <c r="U364" s="30">
        <f>IF($S364="CONFIRMAR",MAX($U$4:$U363)+1,"")</f>
        <v>0</v>
      </c>
      <c r="V364" s="30">
        <f>IF(AND($R364="Não",$Q364&lt;&gt;"",$Q364&lt;=Hoje+JanelaRet,$Q364&gt;=Hoje-60),MAX($V$4:$V363)+1,"")</f>
        <v>0</v>
      </c>
    </row>
    <row r="365" spans="1:22">
      <c r="A365" s="16"/>
      <c r="B365" s="23"/>
      <c r="C365" s="15"/>
      <c r="D365" s="15"/>
      <c r="E365" s="15"/>
      <c r="F365" s="24"/>
      <c r="G365" s="17"/>
      <c r="H365" s="17"/>
      <c r="I365" s="15"/>
      <c r="J365" s="25">
        <f>IF($D365="","",IFERROR(INDEX(PacNome,MATCH($D365,PacCod,0)),"Paciente não cadastrado"))</f>
        <v>0</v>
      </c>
      <c r="K365" s="26">
        <f>IF($D365="","",IFERROR(INDEX(PacConv,MATCH($D365,PacCod,0))&amp;"",""))</f>
        <v>0</v>
      </c>
      <c r="L365" s="26">
        <f>IF($A365="","",CHOOSE(WEEKDAY($A365,2),"Seg","Ter","Qua","Qui","Sex","Sáb","Dom"))</f>
        <v>0</v>
      </c>
      <c r="M365" s="27">
        <f>IF($E365="","",IF($G365&lt;&gt;"",$G365,IFERROR(INDEX(ProcValor,MATCH($E365,ProcNome,0)),0)))</f>
        <v>0</v>
      </c>
      <c r="N365" s="27">
        <f>IF($M365="","",IF($F365="Compareceu",$M365,0))</f>
        <v>0</v>
      </c>
      <c r="O365" s="27">
        <f>IF($M365="","",IF($F365="Faltou",$M365,0))</f>
        <v>0</v>
      </c>
      <c r="P365" s="27">
        <f>IF($M365="","",IF($F365="Compareceu",MAX(0,$M365-N($H365)),0))</f>
        <v>0</v>
      </c>
      <c r="Q365" s="19">
        <f>IF(AND($F365="Compareceu",$E365&lt;&gt;"",$A365&lt;&gt;""),IF(IFERROR(INDEX(ProcRet,MATCH($E365,ProcNome,0)),0)&gt;0,$A365+INDEX(ProcRet,MATCH($E365,ProcNome,0)),""),"")</f>
        <v>0</v>
      </c>
      <c r="R365" s="26">
        <f>IF($Q365="","",IF(COUNTIFS(AgPac,$D365,AgData,"&gt;"&amp;$A365,AgStatus,"&lt;&gt;Cancelado",AgStatus,"&lt;&gt;Remarcado")&gt;0,"Sim","Não"))</f>
        <v>0</v>
      </c>
      <c r="S365" s="28">
        <f>IF($A365="","",IF(AND($F365="Agendado",$A365-Hoje&gt;=0,$A365-Hoje&lt;=DiasConf),"CONFIRMAR",IF(AND($A365&lt;Hoje,OR($F365="Agendado",$F365="Confirmado")),"Atualizar status",IF(AND($F365="Compareceu",$P365&gt;0.005),"Cobrar",IF($F365="Faltou","Falta: reagendar","")))))</f>
        <v>0</v>
      </c>
      <c r="T365" s="29">
        <f>IF($A365="","",DATE(YEAR($A365),MONTH($A365),1))</f>
        <v>0</v>
      </c>
      <c r="U365" s="30">
        <f>IF($S365="CONFIRMAR",MAX($U$4:$U364)+1,"")</f>
        <v>0</v>
      </c>
      <c r="V365" s="30">
        <f>IF(AND($R365="Não",$Q365&lt;&gt;"",$Q365&lt;=Hoje+JanelaRet,$Q365&gt;=Hoje-60),MAX($V$4:$V364)+1,"")</f>
        <v>0</v>
      </c>
    </row>
    <row r="366" spans="1:22">
      <c r="A366" s="16"/>
      <c r="B366" s="23"/>
      <c r="C366" s="15"/>
      <c r="D366" s="15"/>
      <c r="E366" s="15"/>
      <c r="F366" s="24"/>
      <c r="G366" s="17"/>
      <c r="H366" s="17"/>
      <c r="I366" s="15"/>
      <c r="J366" s="25">
        <f>IF($D366="","",IFERROR(INDEX(PacNome,MATCH($D366,PacCod,0)),"Paciente não cadastrado"))</f>
        <v>0</v>
      </c>
      <c r="K366" s="26">
        <f>IF($D366="","",IFERROR(INDEX(PacConv,MATCH($D366,PacCod,0))&amp;"",""))</f>
        <v>0</v>
      </c>
      <c r="L366" s="26">
        <f>IF($A366="","",CHOOSE(WEEKDAY($A366,2),"Seg","Ter","Qua","Qui","Sex","Sáb","Dom"))</f>
        <v>0</v>
      </c>
      <c r="M366" s="27">
        <f>IF($E366="","",IF($G366&lt;&gt;"",$G366,IFERROR(INDEX(ProcValor,MATCH($E366,ProcNome,0)),0)))</f>
        <v>0</v>
      </c>
      <c r="N366" s="27">
        <f>IF($M366="","",IF($F366="Compareceu",$M366,0))</f>
        <v>0</v>
      </c>
      <c r="O366" s="27">
        <f>IF($M366="","",IF($F366="Faltou",$M366,0))</f>
        <v>0</v>
      </c>
      <c r="P366" s="27">
        <f>IF($M366="","",IF($F366="Compareceu",MAX(0,$M366-N($H366)),0))</f>
        <v>0</v>
      </c>
      <c r="Q366" s="19">
        <f>IF(AND($F366="Compareceu",$E366&lt;&gt;"",$A366&lt;&gt;""),IF(IFERROR(INDEX(ProcRet,MATCH($E366,ProcNome,0)),0)&gt;0,$A366+INDEX(ProcRet,MATCH($E366,ProcNome,0)),""),"")</f>
        <v>0</v>
      </c>
      <c r="R366" s="26">
        <f>IF($Q366="","",IF(COUNTIFS(AgPac,$D366,AgData,"&gt;"&amp;$A366,AgStatus,"&lt;&gt;Cancelado",AgStatus,"&lt;&gt;Remarcado")&gt;0,"Sim","Não"))</f>
        <v>0</v>
      </c>
      <c r="S366" s="28">
        <f>IF($A366="","",IF(AND($F366="Agendado",$A366-Hoje&gt;=0,$A366-Hoje&lt;=DiasConf),"CONFIRMAR",IF(AND($A366&lt;Hoje,OR($F366="Agendado",$F366="Confirmado")),"Atualizar status",IF(AND($F366="Compareceu",$P366&gt;0.005),"Cobrar",IF($F366="Faltou","Falta: reagendar","")))))</f>
        <v>0</v>
      </c>
      <c r="T366" s="29">
        <f>IF($A366="","",DATE(YEAR($A366),MONTH($A366),1))</f>
        <v>0</v>
      </c>
      <c r="U366" s="30">
        <f>IF($S366="CONFIRMAR",MAX($U$4:$U365)+1,"")</f>
        <v>0</v>
      </c>
      <c r="V366" s="30">
        <f>IF(AND($R366="Não",$Q366&lt;&gt;"",$Q366&lt;=Hoje+JanelaRet,$Q366&gt;=Hoje-60),MAX($V$4:$V365)+1,"")</f>
        <v>0</v>
      </c>
    </row>
    <row r="367" spans="1:22">
      <c r="A367" s="16"/>
      <c r="B367" s="23"/>
      <c r="C367" s="15"/>
      <c r="D367" s="15"/>
      <c r="E367" s="15"/>
      <c r="F367" s="24"/>
      <c r="G367" s="17"/>
      <c r="H367" s="17"/>
      <c r="I367" s="15"/>
      <c r="J367" s="25">
        <f>IF($D367="","",IFERROR(INDEX(PacNome,MATCH($D367,PacCod,0)),"Paciente não cadastrado"))</f>
        <v>0</v>
      </c>
      <c r="K367" s="26">
        <f>IF($D367="","",IFERROR(INDEX(PacConv,MATCH($D367,PacCod,0))&amp;"",""))</f>
        <v>0</v>
      </c>
      <c r="L367" s="26">
        <f>IF($A367="","",CHOOSE(WEEKDAY($A367,2),"Seg","Ter","Qua","Qui","Sex","Sáb","Dom"))</f>
        <v>0</v>
      </c>
      <c r="M367" s="27">
        <f>IF($E367="","",IF($G367&lt;&gt;"",$G367,IFERROR(INDEX(ProcValor,MATCH($E367,ProcNome,0)),0)))</f>
        <v>0</v>
      </c>
      <c r="N367" s="27">
        <f>IF($M367="","",IF($F367="Compareceu",$M367,0))</f>
        <v>0</v>
      </c>
      <c r="O367" s="27">
        <f>IF($M367="","",IF($F367="Faltou",$M367,0))</f>
        <v>0</v>
      </c>
      <c r="P367" s="27">
        <f>IF($M367="","",IF($F367="Compareceu",MAX(0,$M367-N($H367)),0))</f>
        <v>0</v>
      </c>
      <c r="Q367" s="19">
        <f>IF(AND($F367="Compareceu",$E367&lt;&gt;"",$A367&lt;&gt;""),IF(IFERROR(INDEX(ProcRet,MATCH($E367,ProcNome,0)),0)&gt;0,$A367+INDEX(ProcRet,MATCH($E367,ProcNome,0)),""),"")</f>
        <v>0</v>
      </c>
      <c r="R367" s="26">
        <f>IF($Q367="","",IF(COUNTIFS(AgPac,$D367,AgData,"&gt;"&amp;$A367,AgStatus,"&lt;&gt;Cancelado",AgStatus,"&lt;&gt;Remarcado")&gt;0,"Sim","Não"))</f>
        <v>0</v>
      </c>
      <c r="S367" s="28">
        <f>IF($A367="","",IF(AND($F367="Agendado",$A367-Hoje&gt;=0,$A367-Hoje&lt;=DiasConf),"CONFIRMAR",IF(AND($A367&lt;Hoje,OR($F367="Agendado",$F367="Confirmado")),"Atualizar status",IF(AND($F367="Compareceu",$P367&gt;0.005),"Cobrar",IF($F367="Faltou","Falta: reagendar","")))))</f>
        <v>0</v>
      </c>
      <c r="T367" s="29">
        <f>IF($A367="","",DATE(YEAR($A367),MONTH($A367),1))</f>
        <v>0</v>
      </c>
      <c r="U367" s="30">
        <f>IF($S367="CONFIRMAR",MAX($U$4:$U366)+1,"")</f>
        <v>0</v>
      </c>
      <c r="V367" s="30">
        <f>IF(AND($R367="Não",$Q367&lt;&gt;"",$Q367&lt;=Hoje+JanelaRet,$Q367&gt;=Hoje-60),MAX($V$4:$V366)+1,"")</f>
        <v>0</v>
      </c>
    </row>
    <row r="368" spans="1:22">
      <c r="A368" s="16"/>
      <c r="B368" s="23"/>
      <c r="C368" s="15"/>
      <c r="D368" s="15"/>
      <c r="E368" s="15"/>
      <c r="F368" s="24"/>
      <c r="G368" s="17"/>
      <c r="H368" s="17"/>
      <c r="I368" s="15"/>
      <c r="J368" s="25">
        <f>IF($D368="","",IFERROR(INDEX(PacNome,MATCH($D368,PacCod,0)),"Paciente não cadastrado"))</f>
        <v>0</v>
      </c>
      <c r="K368" s="26">
        <f>IF($D368="","",IFERROR(INDEX(PacConv,MATCH($D368,PacCod,0))&amp;"",""))</f>
        <v>0</v>
      </c>
      <c r="L368" s="26">
        <f>IF($A368="","",CHOOSE(WEEKDAY($A368,2),"Seg","Ter","Qua","Qui","Sex","Sáb","Dom"))</f>
        <v>0</v>
      </c>
      <c r="M368" s="27">
        <f>IF($E368="","",IF($G368&lt;&gt;"",$G368,IFERROR(INDEX(ProcValor,MATCH($E368,ProcNome,0)),0)))</f>
        <v>0</v>
      </c>
      <c r="N368" s="27">
        <f>IF($M368="","",IF($F368="Compareceu",$M368,0))</f>
        <v>0</v>
      </c>
      <c r="O368" s="27">
        <f>IF($M368="","",IF($F368="Faltou",$M368,0))</f>
        <v>0</v>
      </c>
      <c r="P368" s="27">
        <f>IF($M368="","",IF($F368="Compareceu",MAX(0,$M368-N($H368)),0))</f>
        <v>0</v>
      </c>
      <c r="Q368" s="19">
        <f>IF(AND($F368="Compareceu",$E368&lt;&gt;"",$A368&lt;&gt;""),IF(IFERROR(INDEX(ProcRet,MATCH($E368,ProcNome,0)),0)&gt;0,$A368+INDEX(ProcRet,MATCH($E368,ProcNome,0)),""),"")</f>
        <v>0</v>
      </c>
      <c r="R368" s="26">
        <f>IF($Q368="","",IF(COUNTIFS(AgPac,$D368,AgData,"&gt;"&amp;$A368,AgStatus,"&lt;&gt;Cancelado",AgStatus,"&lt;&gt;Remarcado")&gt;0,"Sim","Não"))</f>
        <v>0</v>
      </c>
      <c r="S368" s="28">
        <f>IF($A368="","",IF(AND($F368="Agendado",$A368-Hoje&gt;=0,$A368-Hoje&lt;=DiasConf),"CONFIRMAR",IF(AND($A368&lt;Hoje,OR($F368="Agendado",$F368="Confirmado")),"Atualizar status",IF(AND($F368="Compareceu",$P368&gt;0.005),"Cobrar",IF($F368="Faltou","Falta: reagendar","")))))</f>
        <v>0</v>
      </c>
      <c r="T368" s="29">
        <f>IF($A368="","",DATE(YEAR($A368),MONTH($A368),1))</f>
        <v>0</v>
      </c>
      <c r="U368" s="30">
        <f>IF($S368="CONFIRMAR",MAX($U$4:$U367)+1,"")</f>
        <v>0</v>
      </c>
      <c r="V368" s="30">
        <f>IF(AND($R368="Não",$Q368&lt;&gt;"",$Q368&lt;=Hoje+JanelaRet,$Q368&gt;=Hoje-60),MAX($V$4:$V367)+1,"")</f>
        <v>0</v>
      </c>
    </row>
    <row r="369" spans="1:22">
      <c r="A369" s="16"/>
      <c r="B369" s="23"/>
      <c r="C369" s="15"/>
      <c r="D369" s="15"/>
      <c r="E369" s="15"/>
      <c r="F369" s="24"/>
      <c r="G369" s="17"/>
      <c r="H369" s="17"/>
      <c r="I369" s="15"/>
      <c r="J369" s="25">
        <f>IF($D369="","",IFERROR(INDEX(PacNome,MATCH($D369,PacCod,0)),"Paciente não cadastrado"))</f>
        <v>0</v>
      </c>
      <c r="K369" s="26">
        <f>IF($D369="","",IFERROR(INDEX(PacConv,MATCH($D369,PacCod,0))&amp;"",""))</f>
        <v>0</v>
      </c>
      <c r="L369" s="26">
        <f>IF($A369="","",CHOOSE(WEEKDAY($A369,2),"Seg","Ter","Qua","Qui","Sex","Sáb","Dom"))</f>
        <v>0</v>
      </c>
      <c r="M369" s="27">
        <f>IF($E369="","",IF($G369&lt;&gt;"",$G369,IFERROR(INDEX(ProcValor,MATCH($E369,ProcNome,0)),0)))</f>
        <v>0</v>
      </c>
      <c r="N369" s="27">
        <f>IF($M369="","",IF($F369="Compareceu",$M369,0))</f>
        <v>0</v>
      </c>
      <c r="O369" s="27">
        <f>IF($M369="","",IF($F369="Faltou",$M369,0))</f>
        <v>0</v>
      </c>
      <c r="P369" s="27">
        <f>IF($M369="","",IF($F369="Compareceu",MAX(0,$M369-N($H369)),0))</f>
        <v>0</v>
      </c>
      <c r="Q369" s="19">
        <f>IF(AND($F369="Compareceu",$E369&lt;&gt;"",$A369&lt;&gt;""),IF(IFERROR(INDEX(ProcRet,MATCH($E369,ProcNome,0)),0)&gt;0,$A369+INDEX(ProcRet,MATCH($E369,ProcNome,0)),""),"")</f>
        <v>0</v>
      </c>
      <c r="R369" s="26">
        <f>IF($Q369="","",IF(COUNTIFS(AgPac,$D369,AgData,"&gt;"&amp;$A369,AgStatus,"&lt;&gt;Cancelado",AgStatus,"&lt;&gt;Remarcado")&gt;0,"Sim","Não"))</f>
        <v>0</v>
      </c>
      <c r="S369" s="28">
        <f>IF($A369="","",IF(AND($F369="Agendado",$A369-Hoje&gt;=0,$A369-Hoje&lt;=DiasConf),"CONFIRMAR",IF(AND($A369&lt;Hoje,OR($F369="Agendado",$F369="Confirmado")),"Atualizar status",IF(AND($F369="Compareceu",$P369&gt;0.005),"Cobrar",IF($F369="Faltou","Falta: reagendar","")))))</f>
        <v>0</v>
      </c>
      <c r="T369" s="29">
        <f>IF($A369="","",DATE(YEAR($A369),MONTH($A369),1))</f>
        <v>0</v>
      </c>
      <c r="U369" s="30">
        <f>IF($S369="CONFIRMAR",MAX($U$4:$U368)+1,"")</f>
        <v>0</v>
      </c>
      <c r="V369" s="30">
        <f>IF(AND($R369="Não",$Q369&lt;&gt;"",$Q369&lt;=Hoje+JanelaRet,$Q369&gt;=Hoje-60),MAX($V$4:$V368)+1,"")</f>
        <v>0</v>
      </c>
    </row>
    <row r="370" spans="1:22">
      <c r="A370" s="16"/>
      <c r="B370" s="23"/>
      <c r="C370" s="15"/>
      <c r="D370" s="15"/>
      <c r="E370" s="15"/>
      <c r="F370" s="24"/>
      <c r="G370" s="17"/>
      <c r="H370" s="17"/>
      <c r="I370" s="15"/>
      <c r="J370" s="25">
        <f>IF($D370="","",IFERROR(INDEX(PacNome,MATCH($D370,PacCod,0)),"Paciente não cadastrado"))</f>
        <v>0</v>
      </c>
      <c r="K370" s="26">
        <f>IF($D370="","",IFERROR(INDEX(PacConv,MATCH($D370,PacCod,0))&amp;"",""))</f>
        <v>0</v>
      </c>
      <c r="L370" s="26">
        <f>IF($A370="","",CHOOSE(WEEKDAY($A370,2),"Seg","Ter","Qua","Qui","Sex","Sáb","Dom"))</f>
        <v>0</v>
      </c>
      <c r="M370" s="27">
        <f>IF($E370="","",IF($G370&lt;&gt;"",$G370,IFERROR(INDEX(ProcValor,MATCH($E370,ProcNome,0)),0)))</f>
        <v>0</v>
      </c>
      <c r="N370" s="27">
        <f>IF($M370="","",IF($F370="Compareceu",$M370,0))</f>
        <v>0</v>
      </c>
      <c r="O370" s="27">
        <f>IF($M370="","",IF($F370="Faltou",$M370,0))</f>
        <v>0</v>
      </c>
      <c r="P370" s="27">
        <f>IF($M370="","",IF($F370="Compareceu",MAX(0,$M370-N($H370)),0))</f>
        <v>0</v>
      </c>
      <c r="Q370" s="19">
        <f>IF(AND($F370="Compareceu",$E370&lt;&gt;"",$A370&lt;&gt;""),IF(IFERROR(INDEX(ProcRet,MATCH($E370,ProcNome,0)),0)&gt;0,$A370+INDEX(ProcRet,MATCH($E370,ProcNome,0)),""),"")</f>
        <v>0</v>
      </c>
      <c r="R370" s="26">
        <f>IF($Q370="","",IF(COUNTIFS(AgPac,$D370,AgData,"&gt;"&amp;$A370,AgStatus,"&lt;&gt;Cancelado",AgStatus,"&lt;&gt;Remarcado")&gt;0,"Sim","Não"))</f>
        <v>0</v>
      </c>
      <c r="S370" s="28">
        <f>IF($A370="","",IF(AND($F370="Agendado",$A370-Hoje&gt;=0,$A370-Hoje&lt;=DiasConf),"CONFIRMAR",IF(AND($A370&lt;Hoje,OR($F370="Agendado",$F370="Confirmado")),"Atualizar status",IF(AND($F370="Compareceu",$P370&gt;0.005),"Cobrar",IF($F370="Faltou","Falta: reagendar","")))))</f>
        <v>0</v>
      </c>
      <c r="T370" s="29">
        <f>IF($A370="","",DATE(YEAR($A370),MONTH($A370),1))</f>
        <v>0</v>
      </c>
      <c r="U370" s="30">
        <f>IF($S370="CONFIRMAR",MAX($U$4:$U369)+1,"")</f>
        <v>0</v>
      </c>
      <c r="V370" s="30">
        <f>IF(AND($R370="Não",$Q370&lt;&gt;"",$Q370&lt;=Hoje+JanelaRet,$Q370&gt;=Hoje-60),MAX($V$4:$V369)+1,"")</f>
        <v>0</v>
      </c>
    </row>
    <row r="371" spans="1:22">
      <c r="A371" s="16"/>
      <c r="B371" s="23"/>
      <c r="C371" s="15"/>
      <c r="D371" s="15"/>
      <c r="E371" s="15"/>
      <c r="F371" s="24"/>
      <c r="G371" s="17"/>
      <c r="H371" s="17"/>
      <c r="I371" s="15"/>
      <c r="J371" s="25">
        <f>IF($D371="","",IFERROR(INDEX(PacNome,MATCH($D371,PacCod,0)),"Paciente não cadastrado"))</f>
        <v>0</v>
      </c>
      <c r="K371" s="26">
        <f>IF($D371="","",IFERROR(INDEX(PacConv,MATCH($D371,PacCod,0))&amp;"",""))</f>
        <v>0</v>
      </c>
      <c r="L371" s="26">
        <f>IF($A371="","",CHOOSE(WEEKDAY($A371,2),"Seg","Ter","Qua","Qui","Sex","Sáb","Dom"))</f>
        <v>0</v>
      </c>
      <c r="M371" s="27">
        <f>IF($E371="","",IF($G371&lt;&gt;"",$G371,IFERROR(INDEX(ProcValor,MATCH($E371,ProcNome,0)),0)))</f>
        <v>0</v>
      </c>
      <c r="N371" s="27">
        <f>IF($M371="","",IF($F371="Compareceu",$M371,0))</f>
        <v>0</v>
      </c>
      <c r="O371" s="27">
        <f>IF($M371="","",IF($F371="Faltou",$M371,0))</f>
        <v>0</v>
      </c>
      <c r="P371" s="27">
        <f>IF($M371="","",IF($F371="Compareceu",MAX(0,$M371-N($H371)),0))</f>
        <v>0</v>
      </c>
      <c r="Q371" s="19">
        <f>IF(AND($F371="Compareceu",$E371&lt;&gt;"",$A371&lt;&gt;""),IF(IFERROR(INDEX(ProcRet,MATCH($E371,ProcNome,0)),0)&gt;0,$A371+INDEX(ProcRet,MATCH($E371,ProcNome,0)),""),"")</f>
        <v>0</v>
      </c>
      <c r="R371" s="26">
        <f>IF($Q371="","",IF(COUNTIFS(AgPac,$D371,AgData,"&gt;"&amp;$A371,AgStatus,"&lt;&gt;Cancelado",AgStatus,"&lt;&gt;Remarcado")&gt;0,"Sim","Não"))</f>
        <v>0</v>
      </c>
      <c r="S371" s="28">
        <f>IF($A371="","",IF(AND($F371="Agendado",$A371-Hoje&gt;=0,$A371-Hoje&lt;=DiasConf),"CONFIRMAR",IF(AND($A371&lt;Hoje,OR($F371="Agendado",$F371="Confirmado")),"Atualizar status",IF(AND($F371="Compareceu",$P371&gt;0.005),"Cobrar",IF($F371="Faltou","Falta: reagendar","")))))</f>
        <v>0</v>
      </c>
      <c r="T371" s="29">
        <f>IF($A371="","",DATE(YEAR($A371),MONTH($A371),1))</f>
        <v>0</v>
      </c>
      <c r="U371" s="30">
        <f>IF($S371="CONFIRMAR",MAX($U$4:$U370)+1,"")</f>
        <v>0</v>
      </c>
      <c r="V371" s="30">
        <f>IF(AND($R371="Não",$Q371&lt;&gt;"",$Q371&lt;=Hoje+JanelaRet,$Q371&gt;=Hoje-60),MAX($V$4:$V370)+1,"")</f>
        <v>0</v>
      </c>
    </row>
    <row r="372" spans="1:22">
      <c r="A372" s="16"/>
      <c r="B372" s="23"/>
      <c r="C372" s="15"/>
      <c r="D372" s="15"/>
      <c r="E372" s="15"/>
      <c r="F372" s="24"/>
      <c r="G372" s="17"/>
      <c r="H372" s="17"/>
      <c r="I372" s="15"/>
      <c r="J372" s="25">
        <f>IF($D372="","",IFERROR(INDEX(PacNome,MATCH($D372,PacCod,0)),"Paciente não cadastrado"))</f>
        <v>0</v>
      </c>
      <c r="K372" s="26">
        <f>IF($D372="","",IFERROR(INDEX(PacConv,MATCH($D372,PacCod,0))&amp;"",""))</f>
        <v>0</v>
      </c>
      <c r="L372" s="26">
        <f>IF($A372="","",CHOOSE(WEEKDAY($A372,2),"Seg","Ter","Qua","Qui","Sex","Sáb","Dom"))</f>
        <v>0</v>
      </c>
      <c r="M372" s="27">
        <f>IF($E372="","",IF($G372&lt;&gt;"",$G372,IFERROR(INDEX(ProcValor,MATCH($E372,ProcNome,0)),0)))</f>
        <v>0</v>
      </c>
      <c r="N372" s="27">
        <f>IF($M372="","",IF($F372="Compareceu",$M372,0))</f>
        <v>0</v>
      </c>
      <c r="O372" s="27">
        <f>IF($M372="","",IF($F372="Faltou",$M372,0))</f>
        <v>0</v>
      </c>
      <c r="P372" s="27">
        <f>IF($M372="","",IF($F372="Compareceu",MAX(0,$M372-N($H372)),0))</f>
        <v>0</v>
      </c>
      <c r="Q372" s="19">
        <f>IF(AND($F372="Compareceu",$E372&lt;&gt;"",$A372&lt;&gt;""),IF(IFERROR(INDEX(ProcRet,MATCH($E372,ProcNome,0)),0)&gt;0,$A372+INDEX(ProcRet,MATCH($E372,ProcNome,0)),""),"")</f>
        <v>0</v>
      </c>
      <c r="R372" s="26">
        <f>IF($Q372="","",IF(COUNTIFS(AgPac,$D372,AgData,"&gt;"&amp;$A372,AgStatus,"&lt;&gt;Cancelado",AgStatus,"&lt;&gt;Remarcado")&gt;0,"Sim","Não"))</f>
        <v>0</v>
      </c>
      <c r="S372" s="28">
        <f>IF($A372="","",IF(AND($F372="Agendado",$A372-Hoje&gt;=0,$A372-Hoje&lt;=DiasConf),"CONFIRMAR",IF(AND($A372&lt;Hoje,OR($F372="Agendado",$F372="Confirmado")),"Atualizar status",IF(AND($F372="Compareceu",$P372&gt;0.005),"Cobrar",IF($F372="Faltou","Falta: reagendar","")))))</f>
        <v>0</v>
      </c>
      <c r="T372" s="29">
        <f>IF($A372="","",DATE(YEAR($A372),MONTH($A372),1))</f>
        <v>0</v>
      </c>
      <c r="U372" s="30">
        <f>IF($S372="CONFIRMAR",MAX($U$4:$U371)+1,"")</f>
        <v>0</v>
      </c>
      <c r="V372" s="30">
        <f>IF(AND($R372="Não",$Q372&lt;&gt;"",$Q372&lt;=Hoje+JanelaRet,$Q372&gt;=Hoje-60),MAX($V$4:$V371)+1,"")</f>
        <v>0</v>
      </c>
    </row>
    <row r="373" spans="1:22">
      <c r="A373" s="16"/>
      <c r="B373" s="23"/>
      <c r="C373" s="15"/>
      <c r="D373" s="15"/>
      <c r="E373" s="15"/>
      <c r="F373" s="24"/>
      <c r="G373" s="17"/>
      <c r="H373" s="17"/>
      <c r="I373" s="15"/>
      <c r="J373" s="25">
        <f>IF($D373="","",IFERROR(INDEX(PacNome,MATCH($D373,PacCod,0)),"Paciente não cadastrado"))</f>
        <v>0</v>
      </c>
      <c r="K373" s="26">
        <f>IF($D373="","",IFERROR(INDEX(PacConv,MATCH($D373,PacCod,0))&amp;"",""))</f>
        <v>0</v>
      </c>
      <c r="L373" s="26">
        <f>IF($A373="","",CHOOSE(WEEKDAY($A373,2),"Seg","Ter","Qua","Qui","Sex","Sáb","Dom"))</f>
        <v>0</v>
      </c>
      <c r="M373" s="27">
        <f>IF($E373="","",IF($G373&lt;&gt;"",$G373,IFERROR(INDEX(ProcValor,MATCH($E373,ProcNome,0)),0)))</f>
        <v>0</v>
      </c>
      <c r="N373" s="27">
        <f>IF($M373="","",IF($F373="Compareceu",$M373,0))</f>
        <v>0</v>
      </c>
      <c r="O373" s="27">
        <f>IF($M373="","",IF($F373="Faltou",$M373,0))</f>
        <v>0</v>
      </c>
      <c r="P373" s="27">
        <f>IF($M373="","",IF($F373="Compareceu",MAX(0,$M373-N($H373)),0))</f>
        <v>0</v>
      </c>
      <c r="Q373" s="19">
        <f>IF(AND($F373="Compareceu",$E373&lt;&gt;"",$A373&lt;&gt;""),IF(IFERROR(INDEX(ProcRet,MATCH($E373,ProcNome,0)),0)&gt;0,$A373+INDEX(ProcRet,MATCH($E373,ProcNome,0)),""),"")</f>
        <v>0</v>
      </c>
      <c r="R373" s="26">
        <f>IF($Q373="","",IF(COUNTIFS(AgPac,$D373,AgData,"&gt;"&amp;$A373,AgStatus,"&lt;&gt;Cancelado",AgStatus,"&lt;&gt;Remarcado")&gt;0,"Sim","Não"))</f>
        <v>0</v>
      </c>
      <c r="S373" s="28">
        <f>IF($A373="","",IF(AND($F373="Agendado",$A373-Hoje&gt;=0,$A373-Hoje&lt;=DiasConf),"CONFIRMAR",IF(AND($A373&lt;Hoje,OR($F373="Agendado",$F373="Confirmado")),"Atualizar status",IF(AND($F373="Compareceu",$P373&gt;0.005),"Cobrar",IF($F373="Faltou","Falta: reagendar","")))))</f>
        <v>0</v>
      </c>
      <c r="T373" s="29">
        <f>IF($A373="","",DATE(YEAR($A373),MONTH($A373),1))</f>
        <v>0</v>
      </c>
      <c r="U373" s="30">
        <f>IF($S373="CONFIRMAR",MAX($U$4:$U372)+1,"")</f>
        <v>0</v>
      </c>
      <c r="V373" s="30">
        <f>IF(AND($R373="Não",$Q373&lt;&gt;"",$Q373&lt;=Hoje+JanelaRet,$Q373&gt;=Hoje-60),MAX($V$4:$V372)+1,"")</f>
        <v>0</v>
      </c>
    </row>
    <row r="374" spans="1:22">
      <c r="A374" s="16"/>
      <c r="B374" s="23"/>
      <c r="C374" s="15"/>
      <c r="D374" s="15"/>
      <c r="E374" s="15"/>
      <c r="F374" s="24"/>
      <c r="G374" s="17"/>
      <c r="H374" s="17"/>
      <c r="I374" s="15"/>
      <c r="J374" s="25">
        <f>IF($D374="","",IFERROR(INDEX(PacNome,MATCH($D374,PacCod,0)),"Paciente não cadastrado"))</f>
        <v>0</v>
      </c>
      <c r="K374" s="26">
        <f>IF($D374="","",IFERROR(INDEX(PacConv,MATCH($D374,PacCod,0))&amp;"",""))</f>
        <v>0</v>
      </c>
      <c r="L374" s="26">
        <f>IF($A374="","",CHOOSE(WEEKDAY($A374,2),"Seg","Ter","Qua","Qui","Sex","Sáb","Dom"))</f>
        <v>0</v>
      </c>
      <c r="M374" s="27">
        <f>IF($E374="","",IF($G374&lt;&gt;"",$G374,IFERROR(INDEX(ProcValor,MATCH($E374,ProcNome,0)),0)))</f>
        <v>0</v>
      </c>
      <c r="N374" s="27">
        <f>IF($M374="","",IF($F374="Compareceu",$M374,0))</f>
        <v>0</v>
      </c>
      <c r="O374" s="27">
        <f>IF($M374="","",IF($F374="Faltou",$M374,0))</f>
        <v>0</v>
      </c>
      <c r="P374" s="27">
        <f>IF($M374="","",IF($F374="Compareceu",MAX(0,$M374-N($H374)),0))</f>
        <v>0</v>
      </c>
      <c r="Q374" s="19">
        <f>IF(AND($F374="Compareceu",$E374&lt;&gt;"",$A374&lt;&gt;""),IF(IFERROR(INDEX(ProcRet,MATCH($E374,ProcNome,0)),0)&gt;0,$A374+INDEX(ProcRet,MATCH($E374,ProcNome,0)),""),"")</f>
        <v>0</v>
      </c>
      <c r="R374" s="26">
        <f>IF($Q374="","",IF(COUNTIFS(AgPac,$D374,AgData,"&gt;"&amp;$A374,AgStatus,"&lt;&gt;Cancelado",AgStatus,"&lt;&gt;Remarcado")&gt;0,"Sim","Não"))</f>
        <v>0</v>
      </c>
      <c r="S374" s="28">
        <f>IF($A374="","",IF(AND($F374="Agendado",$A374-Hoje&gt;=0,$A374-Hoje&lt;=DiasConf),"CONFIRMAR",IF(AND($A374&lt;Hoje,OR($F374="Agendado",$F374="Confirmado")),"Atualizar status",IF(AND($F374="Compareceu",$P374&gt;0.005),"Cobrar",IF($F374="Faltou","Falta: reagendar","")))))</f>
        <v>0</v>
      </c>
      <c r="T374" s="29">
        <f>IF($A374="","",DATE(YEAR($A374),MONTH($A374),1))</f>
        <v>0</v>
      </c>
      <c r="U374" s="30">
        <f>IF($S374="CONFIRMAR",MAX($U$4:$U373)+1,"")</f>
        <v>0</v>
      </c>
      <c r="V374" s="30">
        <f>IF(AND($R374="Não",$Q374&lt;&gt;"",$Q374&lt;=Hoje+JanelaRet,$Q374&gt;=Hoje-60),MAX($V$4:$V373)+1,"")</f>
        <v>0</v>
      </c>
    </row>
    <row r="375" spans="1:22">
      <c r="A375" s="16"/>
      <c r="B375" s="23"/>
      <c r="C375" s="15"/>
      <c r="D375" s="15"/>
      <c r="E375" s="15"/>
      <c r="F375" s="24"/>
      <c r="G375" s="17"/>
      <c r="H375" s="17"/>
      <c r="I375" s="15"/>
      <c r="J375" s="25">
        <f>IF($D375="","",IFERROR(INDEX(PacNome,MATCH($D375,PacCod,0)),"Paciente não cadastrado"))</f>
        <v>0</v>
      </c>
      <c r="K375" s="26">
        <f>IF($D375="","",IFERROR(INDEX(PacConv,MATCH($D375,PacCod,0))&amp;"",""))</f>
        <v>0</v>
      </c>
      <c r="L375" s="26">
        <f>IF($A375="","",CHOOSE(WEEKDAY($A375,2),"Seg","Ter","Qua","Qui","Sex","Sáb","Dom"))</f>
        <v>0</v>
      </c>
      <c r="M375" s="27">
        <f>IF($E375="","",IF($G375&lt;&gt;"",$G375,IFERROR(INDEX(ProcValor,MATCH($E375,ProcNome,0)),0)))</f>
        <v>0</v>
      </c>
      <c r="N375" s="27">
        <f>IF($M375="","",IF($F375="Compareceu",$M375,0))</f>
        <v>0</v>
      </c>
      <c r="O375" s="27">
        <f>IF($M375="","",IF($F375="Faltou",$M375,0))</f>
        <v>0</v>
      </c>
      <c r="P375" s="27">
        <f>IF($M375="","",IF($F375="Compareceu",MAX(0,$M375-N($H375)),0))</f>
        <v>0</v>
      </c>
      <c r="Q375" s="19">
        <f>IF(AND($F375="Compareceu",$E375&lt;&gt;"",$A375&lt;&gt;""),IF(IFERROR(INDEX(ProcRet,MATCH($E375,ProcNome,0)),0)&gt;0,$A375+INDEX(ProcRet,MATCH($E375,ProcNome,0)),""),"")</f>
        <v>0</v>
      </c>
      <c r="R375" s="26">
        <f>IF($Q375="","",IF(COUNTIFS(AgPac,$D375,AgData,"&gt;"&amp;$A375,AgStatus,"&lt;&gt;Cancelado",AgStatus,"&lt;&gt;Remarcado")&gt;0,"Sim","Não"))</f>
        <v>0</v>
      </c>
      <c r="S375" s="28">
        <f>IF($A375="","",IF(AND($F375="Agendado",$A375-Hoje&gt;=0,$A375-Hoje&lt;=DiasConf),"CONFIRMAR",IF(AND($A375&lt;Hoje,OR($F375="Agendado",$F375="Confirmado")),"Atualizar status",IF(AND($F375="Compareceu",$P375&gt;0.005),"Cobrar",IF($F375="Faltou","Falta: reagendar","")))))</f>
        <v>0</v>
      </c>
      <c r="T375" s="29">
        <f>IF($A375="","",DATE(YEAR($A375),MONTH($A375),1))</f>
        <v>0</v>
      </c>
      <c r="U375" s="30">
        <f>IF($S375="CONFIRMAR",MAX($U$4:$U374)+1,"")</f>
        <v>0</v>
      </c>
      <c r="V375" s="30">
        <f>IF(AND($R375="Não",$Q375&lt;&gt;"",$Q375&lt;=Hoje+JanelaRet,$Q375&gt;=Hoje-60),MAX($V$4:$V374)+1,"")</f>
        <v>0</v>
      </c>
    </row>
    <row r="376" spans="1:22">
      <c r="A376" s="16"/>
      <c r="B376" s="23"/>
      <c r="C376" s="15"/>
      <c r="D376" s="15"/>
      <c r="E376" s="15"/>
      <c r="F376" s="24"/>
      <c r="G376" s="17"/>
      <c r="H376" s="17"/>
      <c r="I376" s="15"/>
      <c r="J376" s="25">
        <f>IF($D376="","",IFERROR(INDEX(PacNome,MATCH($D376,PacCod,0)),"Paciente não cadastrado"))</f>
        <v>0</v>
      </c>
      <c r="K376" s="26">
        <f>IF($D376="","",IFERROR(INDEX(PacConv,MATCH($D376,PacCod,0))&amp;"",""))</f>
        <v>0</v>
      </c>
      <c r="L376" s="26">
        <f>IF($A376="","",CHOOSE(WEEKDAY($A376,2),"Seg","Ter","Qua","Qui","Sex","Sáb","Dom"))</f>
        <v>0</v>
      </c>
      <c r="M376" s="27">
        <f>IF($E376="","",IF($G376&lt;&gt;"",$G376,IFERROR(INDEX(ProcValor,MATCH($E376,ProcNome,0)),0)))</f>
        <v>0</v>
      </c>
      <c r="N376" s="27">
        <f>IF($M376="","",IF($F376="Compareceu",$M376,0))</f>
        <v>0</v>
      </c>
      <c r="O376" s="27">
        <f>IF($M376="","",IF($F376="Faltou",$M376,0))</f>
        <v>0</v>
      </c>
      <c r="P376" s="27">
        <f>IF($M376="","",IF($F376="Compareceu",MAX(0,$M376-N($H376)),0))</f>
        <v>0</v>
      </c>
      <c r="Q376" s="19">
        <f>IF(AND($F376="Compareceu",$E376&lt;&gt;"",$A376&lt;&gt;""),IF(IFERROR(INDEX(ProcRet,MATCH($E376,ProcNome,0)),0)&gt;0,$A376+INDEX(ProcRet,MATCH($E376,ProcNome,0)),""),"")</f>
        <v>0</v>
      </c>
      <c r="R376" s="26">
        <f>IF($Q376="","",IF(COUNTIFS(AgPac,$D376,AgData,"&gt;"&amp;$A376,AgStatus,"&lt;&gt;Cancelado",AgStatus,"&lt;&gt;Remarcado")&gt;0,"Sim","Não"))</f>
        <v>0</v>
      </c>
      <c r="S376" s="28">
        <f>IF($A376="","",IF(AND($F376="Agendado",$A376-Hoje&gt;=0,$A376-Hoje&lt;=DiasConf),"CONFIRMAR",IF(AND($A376&lt;Hoje,OR($F376="Agendado",$F376="Confirmado")),"Atualizar status",IF(AND($F376="Compareceu",$P376&gt;0.005),"Cobrar",IF($F376="Faltou","Falta: reagendar","")))))</f>
        <v>0</v>
      </c>
      <c r="T376" s="29">
        <f>IF($A376="","",DATE(YEAR($A376),MONTH($A376),1))</f>
        <v>0</v>
      </c>
      <c r="U376" s="30">
        <f>IF($S376="CONFIRMAR",MAX($U$4:$U375)+1,"")</f>
        <v>0</v>
      </c>
      <c r="V376" s="30">
        <f>IF(AND($R376="Não",$Q376&lt;&gt;"",$Q376&lt;=Hoje+JanelaRet,$Q376&gt;=Hoje-60),MAX($V$4:$V375)+1,"")</f>
        <v>0</v>
      </c>
    </row>
    <row r="377" spans="1:22">
      <c r="A377" s="16"/>
      <c r="B377" s="23"/>
      <c r="C377" s="15"/>
      <c r="D377" s="15"/>
      <c r="E377" s="15"/>
      <c r="F377" s="24"/>
      <c r="G377" s="17"/>
      <c r="H377" s="17"/>
      <c r="I377" s="15"/>
      <c r="J377" s="25">
        <f>IF($D377="","",IFERROR(INDEX(PacNome,MATCH($D377,PacCod,0)),"Paciente não cadastrado"))</f>
        <v>0</v>
      </c>
      <c r="K377" s="26">
        <f>IF($D377="","",IFERROR(INDEX(PacConv,MATCH($D377,PacCod,0))&amp;"",""))</f>
        <v>0</v>
      </c>
      <c r="L377" s="26">
        <f>IF($A377="","",CHOOSE(WEEKDAY($A377,2),"Seg","Ter","Qua","Qui","Sex","Sáb","Dom"))</f>
        <v>0</v>
      </c>
      <c r="M377" s="27">
        <f>IF($E377="","",IF($G377&lt;&gt;"",$G377,IFERROR(INDEX(ProcValor,MATCH($E377,ProcNome,0)),0)))</f>
        <v>0</v>
      </c>
      <c r="N377" s="27">
        <f>IF($M377="","",IF($F377="Compareceu",$M377,0))</f>
        <v>0</v>
      </c>
      <c r="O377" s="27">
        <f>IF($M377="","",IF($F377="Faltou",$M377,0))</f>
        <v>0</v>
      </c>
      <c r="P377" s="27">
        <f>IF($M377="","",IF($F377="Compareceu",MAX(0,$M377-N($H377)),0))</f>
        <v>0</v>
      </c>
      <c r="Q377" s="19">
        <f>IF(AND($F377="Compareceu",$E377&lt;&gt;"",$A377&lt;&gt;""),IF(IFERROR(INDEX(ProcRet,MATCH($E377,ProcNome,0)),0)&gt;0,$A377+INDEX(ProcRet,MATCH($E377,ProcNome,0)),""),"")</f>
        <v>0</v>
      </c>
      <c r="R377" s="26">
        <f>IF($Q377="","",IF(COUNTIFS(AgPac,$D377,AgData,"&gt;"&amp;$A377,AgStatus,"&lt;&gt;Cancelado",AgStatus,"&lt;&gt;Remarcado")&gt;0,"Sim","Não"))</f>
        <v>0</v>
      </c>
      <c r="S377" s="28">
        <f>IF($A377="","",IF(AND($F377="Agendado",$A377-Hoje&gt;=0,$A377-Hoje&lt;=DiasConf),"CONFIRMAR",IF(AND($A377&lt;Hoje,OR($F377="Agendado",$F377="Confirmado")),"Atualizar status",IF(AND($F377="Compareceu",$P377&gt;0.005),"Cobrar",IF($F377="Faltou","Falta: reagendar","")))))</f>
        <v>0</v>
      </c>
      <c r="T377" s="29">
        <f>IF($A377="","",DATE(YEAR($A377),MONTH($A377),1))</f>
        <v>0</v>
      </c>
      <c r="U377" s="30">
        <f>IF($S377="CONFIRMAR",MAX($U$4:$U376)+1,"")</f>
        <v>0</v>
      </c>
      <c r="V377" s="30">
        <f>IF(AND($R377="Não",$Q377&lt;&gt;"",$Q377&lt;=Hoje+JanelaRet,$Q377&gt;=Hoje-60),MAX($V$4:$V376)+1,"")</f>
        <v>0</v>
      </c>
    </row>
    <row r="378" spans="1:22">
      <c r="A378" s="16"/>
      <c r="B378" s="23"/>
      <c r="C378" s="15"/>
      <c r="D378" s="15"/>
      <c r="E378" s="15"/>
      <c r="F378" s="24"/>
      <c r="G378" s="17"/>
      <c r="H378" s="17"/>
      <c r="I378" s="15"/>
      <c r="J378" s="25">
        <f>IF($D378="","",IFERROR(INDEX(PacNome,MATCH($D378,PacCod,0)),"Paciente não cadastrado"))</f>
        <v>0</v>
      </c>
      <c r="K378" s="26">
        <f>IF($D378="","",IFERROR(INDEX(PacConv,MATCH($D378,PacCod,0))&amp;"",""))</f>
        <v>0</v>
      </c>
      <c r="L378" s="26">
        <f>IF($A378="","",CHOOSE(WEEKDAY($A378,2),"Seg","Ter","Qua","Qui","Sex","Sáb","Dom"))</f>
        <v>0</v>
      </c>
      <c r="M378" s="27">
        <f>IF($E378="","",IF($G378&lt;&gt;"",$G378,IFERROR(INDEX(ProcValor,MATCH($E378,ProcNome,0)),0)))</f>
        <v>0</v>
      </c>
      <c r="N378" s="27">
        <f>IF($M378="","",IF($F378="Compareceu",$M378,0))</f>
        <v>0</v>
      </c>
      <c r="O378" s="27">
        <f>IF($M378="","",IF($F378="Faltou",$M378,0))</f>
        <v>0</v>
      </c>
      <c r="P378" s="27">
        <f>IF($M378="","",IF($F378="Compareceu",MAX(0,$M378-N($H378)),0))</f>
        <v>0</v>
      </c>
      <c r="Q378" s="19">
        <f>IF(AND($F378="Compareceu",$E378&lt;&gt;"",$A378&lt;&gt;""),IF(IFERROR(INDEX(ProcRet,MATCH($E378,ProcNome,0)),0)&gt;0,$A378+INDEX(ProcRet,MATCH($E378,ProcNome,0)),""),"")</f>
        <v>0</v>
      </c>
      <c r="R378" s="26">
        <f>IF($Q378="","",IF(COUNTIFS(AgPac,$D378,AgData,"&gt;"&amp;$A378,AgStatus,"&lt;&gt;Cancelado",AgStatus,"&lt;&gt;Remarcado")&gt;0,"Sim","Não"))</f>
        <v>0</v>
      </c>
      <c r="S378" s="28">
        <f>IF($A378="","",IF(AND($F378="Agendado",$A378-Hoje&gt;=0,$A378-Hoje&lt;=DiasConf),"CONFIRMAR",IF(AND($A378&lt;Hoje,OR($F378="Agendado",$F378="Confirmado")),"Atualizar status",IF(AND($F378="Compareceu",$P378&gt;0.005),"Cobrar",IF($F378="Faltou","Falta: reagendar","")))))</f>
        <v>0</v>
      </c>
      <c r="T378" s="29">
        <f>IF($A378="","",DATE(YEAR($A378),MONTH($A378),1))</f>
        <v>0</v>
      </c>
      <c r="U378" s="30">
        <f>IF($S378="CONFIRMAR",MAX($U$4:$U377)+1,"")</f>
        <v>0</v>
      </c>
      <c r="V378" s="30">
        <f>IF(AND($R378="Não",$Q378&lt;&gt;"",$Q378&lt;=Hoje+JanelaRet,$Q378&gt;=Hoje-60),MAX($V$4:$V377)+1,"")</f>
        <v>0</v>
      </c>
    </row>
    <row r="379" spans="1:22">
      <c r="A379" s="16"/>
      <c r="B379" s="23"/>
      <c r="C379" s="15"/>
      <c r="D379" s="15"/>
      <c r="E379" s="15"/>
      <c r="F379" s="24"/>
      <c r="G379" s="17"/>
      <c r="H379" s="17"/>
      <c r="I379" s="15"/>
      <c r="J379" s="25">
        <f>IF($D379="","",IFERROR(INDEX(PacNome,MATCH($D379,PacCod,0)),"Paciente não cadastrado"))</f>
        <v>0</v>
      </c>
      <c r="K379" s="26">
        <f>IF($D379="","",IFERROR(INDEX(PacConv,MATCH($D379,PacCod,0))&amp;"",""))</f>
        <v>0</v>
      </c>
      <c r="L379" s="26">
        <f>IF($A379="","",CHOOSE(WEEKDAY($A379,2),"Seg","Ter","Qua","Qui","Sex","Sáb","Dom"))</f>
        <v>0</v>
      </c>
      <c r="M379" s="27">
        <f>IF($E379="","",IF($G379&lt;&gt;"",$G379,IFERROR(INDEX(ProcValor,MATCH($E379,ProcNome,0)),0)))</f>
        <v>0</v>
      </c>
      <c r="N379" s="27">
        <f>IF($M379="","",IF($F379="Compareceu",$M379,0))</f>
        <v>0</v>
      </c>
      <c r="O379" s="27">
        <f>IF($M379="","",IF($F379="Faltou",$M379,0))</f>
        <v>0</v>
      </c>
      <c r="P379" s="27">
        <f>IF($M379="","",IF($F379="Compareceu",MAX(0,$M379-N($H379)),0))</f>
        <v>0</v>
      </c>
      <c r="Q379" s="19">
        <f>IF(AND($F379="Compareceu",$E379&lt;&gt;"",$A379&lt;&gt;""),IF(IFERROR(INDEX(ProcRet,MATCH($E379,ProcNome,0)),0)&gt;0,$A379+INDEX(ProcRet,MATCH($E379,ProcNome,0)),""),"")</f>
        <v>0</v>
      </c>
      <c r="R379" s="26">
        <f>IF($Q379="","",IF(COUNTIFS(AgPac,$D379,AgData,"&gt;"&amp;$A379,AgStatus,"&lt;&gt;Cancelado",AgStatus,"&lt;&gt;Remarcado")&gt;0,"Sim","Não"))</f>
        <v>0</v>
      </c>
      <c r="S379" s="28">
        <f>IF($A379="","",IF(AND($F379="Agendado",$A379-Hoje&gt;=0,$A379-Hoje&lt;=DiasConf),"CONFIRMAR",IF(AND($A379&lt;Hoje,OR($F379="Agendado",$F379="Confirmado")),"Atualizar status",IF(AND($F379="Compareceu",$P379&gt;0.005),"Cobrar",IF($F379="Faltou","Falta: reagendar","")))))</f>
        <v>0</v>
      </c>
      <c r="T379" s="29">
        <f>IF($A379="","",DATE(YEAR($A379),MONTH($A379),1))</f>
        <v>0</v>
      </c>
      <c r="U379" s="30">
        <f>IF($S379="CONFIRMAR",MAX($U$4:$U378)+1,"")</f>
        <v>0</v>
      </c>
      <c r="V379" s="30">
        <f>IF(AND($R379="Não",$Q379&lt;&gt;"",$Q379&lt;=Hoje+JanelaRet,$Q379&gt;=Hoje-60),MAX($V$4:$V378)+1,"")</f>
        <v>0</v>
      </c>
    </row>
    <row r="380" spans="1:22">
      <c r="A380" s="16"/>
      <c r="B380" s="23"/>
      <c r="C380" s="15"/>
      <c r="D380" s="15"/>
      <c r="E380" s="15"/>
      <c r="F380" s="24"/>
      <c r="G380" s="17"/>
      <c r="H380" s="17"/>
      <c r="I380" s="15"/>
      <c r="J380" s="25">
        <f>IF($D380="","",IFERROR(INDEX(PacNome,MATCH($D380,PacCod,0)),"Paciente não cadastrado"))</f>
        <v>0</v>
      </c>
      <c r="K380" s="26">
        <f>IF($D380="","",IFERROR(INDEX(PacConv,MATCH($D380,PacCod,0))&amp;"",""))</f>
        <v>0</v>
      </c>
      <c r="L380" s="26">
        <f>IF($A380="","",CHOOSE(WEEKDAY($A380,2),"Seg","Ter","Qua","Qui","Sex","Sáb","Dom"))</f>
        <v>0</v>
      </c>
      <c r="M380" s="27">
        <f>IF($E380="","",IF($G380&lt;&gt;"",$G380,IFERROR(INDEX(ProcValor,MATCH($E380,ProcNome,0)),0)))</f>
        <v>0</v>
      </c>
      <c r="N380" s="27">
        <f>IF($M380="","",IF($F380="Compareceu",$M380,0))</f>
        <v>0</v>
      </c>
      <c r="O380" s="27">
        <f>IF($M380="","",IF($F380="Faltou",$M380,0))</f>
        <v>0</v>
      </c>
      <c r="P380" s="27">
        <f>IF($M380="","",IF($F380="Compareceu",MAX(0,$M380-N($H380)),0))</f>
        <v>0</v>
      </c>
      <c r="Q380" s="19">
        <f>IF(AND($F380="Compareceu",$E380&lt;&gt;"",$A380&lt;&gt;""),IF(IFERROR(INDEX(ProcRet,MATCH($E380,ProcNome,0)),0)&gt;0,$A380+INDEX(ProcRet,MATCH($E380,ProcNome,0)),""),"")</f>
        <v>0</v>
      </c>
      <c r="R380" s="26">
        <f>IF($Q380="","",IF(COUNTIFS(AgPac,$D380,AgData,"&gt;"&amp;$A380,AgStatus,"&lt;&gt;Cancelado",AgStatus,"&lt;&gt;Remarcado")&gt;0,"Sim","Não"))</f>
        <v>0</v>
      </c>
      <c r="S380" s="28">
        <f>IF($A380="","",IF(AND($F380="Agendado",$A380-Hoje&gt;=0,$A380-Hoje&lt;=DiasConf),"CONFIRMAR",IF(AND($A380&lt;Hoje,OR($F380="Agendado",$F380="Confirmado")),"Atualizar status",IF(AND($F380="Compareceu",$P380&gt;0.005),"Cobrar",IF($F380="Faltou","Falta: reagendar","")))))</f>
        <v>0</v>
      </c>
      <c r="T380" s="29">
        <f>IF($A380="","",DATE(YEAR($A380),MONTH($A380),1))</f>
        <v>0</v>
      </c>
      <c r="U380" s="30">
        <f>IF($S380="CONFIRMAR",MAX($U$4:$U379)+1,"")</f>
        <v>0</v>
      </c>
      <c r="V380" s="30">
        <f>IF(AND($R380="Não",$Q380&lt;&gt;"",$Q380&lt;=Hoje+JanelaRet,$Q380&gt;=Hoje-60),MAX($V$4:$V379)+1,"")</f>
        <v>0</v>
      </c>
    </row>
    <row r="381" spans="1:22">
      <c r="A381" s="16"/>
      <c r="B381" s="23"/>
      <c r="C381" s="15"/>
      <c r="D381" s="15"/>
      <c r="E381" s="15"/>
      <c r="F381" s="24"/>
      <c r="G381" s="17"/>
      <c r="H381" s="17"/>
      <c r="I381" s="15"/>
      <c r="J381" s="25">
        <f>IF($D381="","",IFERROR(INDEX(PacNome,MATCH($D381,PacCod,0)),"Paciente não cadastrado"))</f>
        <v>0</v>
      </c>
      <c r="K381" s="26">
        <f>IF($D381="","",IFERROR(INDEX(PacConv,MATCH($D381,PacCod,0))&amp;"",""))</f>
        <v>0</v>
      </c>
      <c r="L381" s="26">
        <f>IF($A381="","",CHOOSE(WEEKDAY($A381,2),"Seg","Ter","Qua","Qui","Sex","Sáb","Dom"))</f>
        <v>0</v>
      </c>
      <c r="M381" s="27">
        <f>IF($E381="","",IF($G381&lt;&gt;"",$G381,IFERROR(INDEX(ProcValor,MATCH($E381,ProcNome,0)),0)))</f>
        <v>0</v>
      </c>
      <c r="N381" s="27">
        <f>IF($M381="","",IF($F381="Compareceu",$M381,0))</f>
        <v>0</v>
      </c>
      <c r="O381" s="27">
        <f>IF($M381="","",IF($F381="Faltou",$M381,0))</f>
        <v>0</v>
      </c>
      <c r="P381" s="27">
        <f>IF($M381="","",IF($F381="Compareceu",MAX(0,$M381-N($H381)),0))</f>
        <v>0</v>
      </c>
      <c r="Q381" s="19">
        <f>IF(AND($F381="Compareceu",$E381&lt;&gt;"",$A381&lt;&gt;""),IF(IFERROR(INDEX(ProcRet,MATCH($E381,ProcNome,0)),0)&gt;0,$A381+INDEX(ProcRet,MATCH($E381,ProcNome,0)),""),"")</f>
        <v>0</v>
      </c>
      <c r="R381" s="26">
        <f>IF($Q381="","",IF(COUNTIFS(AgPac,$D381,AgData,"&gt;"&amp;$A381,AgStatus,"&lt;&gt;Cancelado",AgStatus,"&lt;&gt;Remarcado")&gt;0,"Sim","Não"))</f>
        <v>0</v>
      </c>
      <c r="S381" s="28">
        <f>IF($A381="","",IF(AND($F381="Agendado",$A381-Hoje&gt;=0,$A381-Hoje&lt;=DiasConf),"CONFIRMAR",IF(AND($A381&lt;Hoje,OR($F381="Agendado",$F381="Confirmado")),"Atualizar status",IF(AND($F381="Compareceu",$P381&gt;0.005),"Cobrar",IF($F381="Faltou","Falta: reagendar","")))))</f>
        <v>0</v>
      </c>
      <c r="T381" s="29">
        <f>IF($A381="","",DATE(YEAR($A381),MONTH($A381),1))</f>
        <v>0</v>
      </c>
      <c r="U381" s="30">
        <f>IF($S381="CONFIRMAR",MAX($U$4:$U380)+1,"")</f>
        <v>0</v>
      </c>
      <c r="V381" s="30">
        <f>IF(AND($R381="Não",$Q381&lt;&gt;"",$Q381&lt;=Hoje+JanelaRet,$Q381&gt;=Hoje-60),MAX($V$4:$V380)+1,"")</f>
        <v>0</v>
      </c>
    </row>
    <row r="382" spans="1:22">
      <c r="A382" s="16"/>
      <c r="B382" s="23"/>
      <c r="C382" s="15"/>
      <c r="D382" s="15"/>
      <c r="E382" s="15"/>
      <c r="F382" s="24"/>
      <c r="G382" s="17"/>
      <c r="H382" s="17"/>
      <c r="I382" s="15"/>
      <c r="J382" s="25">
        <f>IF($D382="","",IFERROR(INDEX(PacNome,MATCH($D382,PacCod,0)),"Paciente não cadastrado"))</f>
        <v>0</v>
      </c>
      <c r="K382" s="26">
        <f>IF($D382="","",IFERROR(INDEX(PacConv,MATCH($D382,PacCod,0))&amp;"",""))</f>
        <v>0</v>
      </c>
      <c r="L382" s="26">
        <f>IF($A382="","",CHOOSE(WEEKDAY($A382,2),"Seg","Ter","Qua","Qui","Sex","Sáb","Dom"))</f>
        <v>0</v>
      </c>
      <c r="M382" s="27">
        <f>IF($E382="","",IF($G382&lt;&gt;"",$G382,IFERROR(INDEX(ProcValor,MATCH($E382,ProcNome,0)),0)))</f>
        <v>0</v>
      </c>
      <c r="N382" s="27">
        <f>IF($M382="","",IF($F382="Compareceu",$M382,0))</f>
        <v>0</v>
      </c>
      <c r="O382" s="27">
        <f>IF($M382="","",IF($F382="Faltou",$M382,0))</f>
        <v>0</v>
      </c>
      <c r="P382" s="27">
        <f>IF($M382="","",IF($F382="Compareceu",MAX(0,$M382-N($H382)),0))</f>
        <v>0</v>
      </c>
      <c r="Q382" s="19">
        <f>IF(AND($F382="Compareceu",$E382&lt;&gt;"",$A382&lt;&gt;""),IF(IFERROR(INDEX(ProcRet,MATCH($E382,ProcNome,0)),0)&gt;0,$A382+INDEX(ProcRet,MATCH($E382,ProcNome,0)),""),"")</f>
        <v>0</v>
      </c>
      <c r="R382" s="26">
        <f>IF($Q382="","",IF(COUNTIFS(AgPac,$D382,AgData,"&gt;"&amp;$A382,AgStatus,"&lt;&gt;Cancelado",AgStatus,"&lt;&gt;Remarcado")&gt;0,"Sim","Não"))</f>
        <v>0</v>
      </c>
      <c r="S382" s="28">
        <f>IF($A382="","",IF(AND($F382="Agendado",$A382-Hoje&gt;=0,$A382-Hoje&lt;=DiasConf),"CONFIRMAR",IF(AND($A382&lt;Hoje,OR($F382="Agendado",$F382="Confirmado")),"Atualizar status",IF(AND($F382="Compareceu",$P382&gt;0.005),"Cobrar",IF($F382="Faltou","Falta: reagendar","")))))</f>
        <v>0</v>
      </c>
      <c r="T382" s="29">
        <f>IF($A382="","",DATE(YEAR($A382),MONTH($A382),1))</f>
        <v>0</v>
      </c>
      <c r="U382" s="30">
        <f>IF($S382="CONFIRMAR",MAX($U$4:$U381)+1,"")</f>
        <v>0</v>
      </c>
      <c r="V382" s="30">
        <f>IF(AND($R382="Não",$Q382&lt;&gt;"",$Q382&lt;=Hoje+JanelaRet,$Q382&gt;=Hoje-60),MAX($V$4:$V381)+1,"")</f>
        <v>0</v>
      </c>
    </row>
    <row r="383" spans="1:22">
      <c r="A383" s="16"/>
      <c r="B383" s="23"/>
      <c r="C383" s="15"/>
      <c r="D383" s="15"/>
      <c r="E383" s="15"/>
      <c r="F383" s="24"/>
      <c r="G383" s="17"/>
      <c r="H383" s="17"/>
      <c r="I383" s="15"/>
      <c r="J383" s="25">
        <f>IF($D383="","",IFERROR(INDEX(PacNome,MATCH($D383,PacCod,0)),"Paciente não cadastrado"))</f>
        <v>0</v>
      </c>
      <c r="K383" s="26">
        <f>IF($D383="","",IFERROR(INDEX(PacConv,MATCH($D383,PacCod,0))&amp;"",""))</f>
        <v>0</v>
      </c>
      <c r="L383" s="26">
        <f>IF($A383="","",CHOOSE(WEEKDAY($A383,2),"Seg","Ter","Qua","Qui","Sex","Sáb","Dom"))</f>
        <v>0</v>
      </c>
      <c r="M383" s="27">
        <f>IF($E383="","",IF($G383&lt;&gt;"",$G383,IFERROR(INDEX(ProcValor,MATCH($E383,ProcNome,0)),0)))</f>
        <v>0</v>
      </c>
      <c r="N383" s="27">
        <f>IF($M383="","",IF($F383="Compareceu",$M383,0))</f>
        <v>0</v>
      </c>
      <c r="O383" s="27">
        <f>IF($M383="","",IF($F383="Faltou",$M383,0))</f>
        <v>0</v>
      </c>
      <c r="P383" s="27">
        <f>IF($M383="","",IF($F383="Compareceu",MAX(0,$M383-N($H383)),0))</f>
        <v>0</v>
      </c>
      <c r="Q383" s="19">
        <f>IF(AND($F383="Compareceu",$E383&lt;&gt;"",$A383&lt;&gt;""),IF(IFERROR(INDEX(ProcRet,MATCH($E383,ProcNome,0)),0)&gt;0,$A383+INDEX(ProcRet,MATCH($E383,ProcNome,0)),""),"")</f>
        <v>0</v>
      </c>
      <c r="R383" s="26">
        <f>IF($Q383="","",IF(COUNTIFS(AgPac,$D383,AgData,"&gt;"&amp;$A383,AgStatus,"&lt;&gt;Cancelado",AgStatus,"&lt;&gt;Remarcado")&gt;0,"Sim","Não"))</f>
        <v>0</v>
      </c>
      <c r="S383" s="28">
        <f>IF($A383="","",IF(AND($F383="Agendado",$A383-Hoje&gt;=0,$A383-Hoje&lt;=DiasConf),"CONFIRMAR",IF(AND($A383&lt;Hoje,OR($F383="Agendado",$F383="Confirmado")),"Atualizar status",IF(AND($F383="Compareceu",$P383&gt;0.005),"Cobrar",IF($F383="Faltou","Falta: reagendar","")))))</f>
        <v>0</v>
      </c>
      <c r="T383" s="29">
        <f>IF($A383="","",DATE(YEAR($A383),MONTH($A383),1))</f>
        <v>0</v>
      </c>
      <c r="U383" s="30">
        <f>IF($S383="CONFIRMAR",MAX($U$4:$U382)+1,"")</f>
        <v>0</v>
      </c>
      <c r="V383" s="30">
        <f>IF(AND($R383="Não",$Q383&lt;&gt;"",$Q383&lt;=Hoje+JanelaRet,$Q383&gt;=Hoje-60),MAX($V$4:$V382)+1,"")</f>
        <v>0</v>
      </c>
    </row>
    <row r="384" spans="1:22">
      <c r="A384" s="16"/>
      <c r="B384" s="23"/>
      <c r="C384" s="15"/>
      <c r="D384" s="15"/>
      <c r="E384" s="15"/>
      <c r="F384" s="24"/>
      <c r="G384" s="17"/>
      <c r="H384" s="17"/>
      <c r="I384" s="15"/>
      <c r="J384" s="25">
        <f>IF($D384="","",IFERROR(INDEX(PacNome,MATCH($D384,PacCod,0)),"Paciente não cadastrado"))</f>
        <v>0</v>
      </c>
      <c r="K384" s="26">
        <f>IF($D384="","",IFERROR(INDEX(PacConv,MATCH($D384,PacCod,0))&amp;"",""))</f>
        <v>0</v>
      </c>
      <c r="L384" s="26">
        <f>IF($A384="","",CHOOSE(WEEKDAY($A384,2),"Seg","Ter","Qua","Qui","Sex","Sáb","Dom"))</f>
        <v>0</v>
      </c>
      <c r="M384" s="27">
        <f>IF($E384="","",IF($G384&lt;&gt;"",$G384,IFERROR(INDEX(ProcValor,MATCH($E384,ProcNome,0)),0)))</f>
        <v>0</v>
      </c>
      <c r="N384" s="27">
        <f>IF($M384="","",IF($F384="Compareceu",$M384,0))</f>
        <v>0</v>
      </c>
      <c r="O384" s="27">
        <f>IF($M384="","",IF($F384="Faltou",$M384,0))</f>
        <v>0</v>
      </c>
      <c r="P384" s="27">
        <f>IF($M384="","",IF($F384="Compareceu",MAX(0,$M384-N($H384)),0))</f>
        <v>0</v>
      </c>
      <c r="Q384" s="19">
        <f>IF(AND($F384="Compareceu",$E384&lt;&gt;"",$A384&lt;&gt;""),IF(IFERROR(INDEX(ProcRet,MATCH($E384,ProcNome,0)),0)&gt;0,$A384+INDEX(ProcRet,MATCH($E384,ProcNome,0)),""),"")</f>
        <v>0</v>
      </c>
      <c r="R384" s="26">
        <f>IF($Q384="","",IF(COUNTIFS(AgPac,$D384,AgData,"&gt;"&amp;$A384,AgStatus,"&lt;&gt;Cancelado",AgStatus,"&lt;&gt;Remarcado")&gt;0,"Sim","Não"))</f>
        <v>0</v>
      </c>
      <c r="S384" s="28">
        <f>IF($A384="","",IF(AND($F384="Agendado",$A384-Hoje&gt;=0,$A384-Hoje&lt;=DiasConf),"CONFIRMAR",IF(AND($A384&lt;Hoje,OR($F384="Agendado",$F384="Confirmado")),"Atualizar status",IF(AND($F384="Compareceu",$P384&gt;0.005),"Cobrar",IF($F384="Faltou","Falta: reagendar","")))))</f>
        <v>0</v>
      </c>
      <c r="T384" s="29">
        <f>IF($A384="","",DATE(YEAR($A384),MONTH($A384),1))</f>
        <v>0</v>
      </c>
      <c r="U384" s="30">
        <f>IF($S384="CONFIRMAR",MAX($U$4:$U383)+1,"")</f>
        <v>0</v>
      </c>
      <c r="V384" s="30">
        <f>IF(AND($R384="Não",$Q384&lt;&gt;"",$Q384&lt;=Hoje+JanelaRet,$Q384&gt;=Hoje-60),MAX($V$4:$V383)+1,"")</f>
        <v>0</v>
      </c>
    </row>
    <row r="385" spans="1:22">
      <c r="A385" s="16"/>
      <c r="B385" s="23"/>
      <c r="C385" s="15"/>
      <c r="D385" s="15"/>
      <c r="E385" s="15"/>
      <c r="F385" s="24"/>
      <c r="G385" s="17"/>
      <c r="H385" s="17"/>
      <c r="I385" s="15"/>
      <c r="J385" s="25">
        <f>IF($D385="","",IFERROR(INDEX(PacNome,MATCH($D385,PacCod,0)),"Paciente não cadastrado"))</f>
        <v>0</v>
      </c>
      <c r="K385" s="26">
        <f>IF($D385="","",IFERROR(INDEX(PacConv,MATCH($D385,PacCod,0))&amp;"",""))</f>
        <v>0</v>
      </c>
      <c r="L385" s="26">
        <f>IF($A385="","",CHOOSE(WEEKDAY($A385,2),"Seg","Ter","Qua","Qui","Sex","Sáb","Dom"))</f>
        <v>0</v>
      </c>
      <c r="M385" s="27">
        <f>IF($E385="","",IF($G385&lt;&gt;"",$G385,IFERROR(INDEX(ProcValor,MATCH($E385,ProcNome,0)),0)))</f>
        <v>0</v>
      </c>
      <c r="N385" s="27">
        <f>IF($M385="","",IF($F385="Compareceu",$M385,0))</f>
        <v>0</v>
      </c>
      <c r="O385" s="27">
        <f>IF($M385="","",IF($F385="Faltou",$M385,0))</f>
        <v>0</v>
      </c>
      <c r="P385" s="27">
        <f>IF($M385="","",IF($F385="Compareceu",MAX(0,$M385-N($H385)),0))</f>
        <v>0</v>
      </c>
      <c r="Q385" s="19">
        <f>IF(AND($F385="Compareceu",$E385&lt;&gt;"",$A385&lt;&gt;""),IF(IFERROR(INDEX(ProcRet,MATCH($E385,ProcNome,0)),0)&gt;0,$A385+INDEX(ProcRet,MATCH($E385,ProcNome,0)),""),"")</f>
        <v>0</v>
      </c>
      <c r="R385" s="26">
        <f>IF($Q385="","",IF(COUNTIFS(AgPac,$D385,AgData,"&gt;"&amp;$A385,AgStatus,"&lt;&gt;Cancelado",AgStatus,"&lt;&gt;Remarcado")&gt;0,"Sim","Não"))</f>
        <v>0</v>
      </c>
      <c r="S385" s="28">
        <f>IF($A385="","",IF(AND($F385="Agendado",$A385-Hoje&gt;=0,$A385-Hoje&lt;=DiasConf),"CONFIRMAR",IF(AND($A385&lt;Hoje,OR($F385="Agendado",$F385="Confirmado")),"Atualizar status",IF(AND($F385="Compareceu",$P385&gt;0.005),"Cobrar",IF($F385="Faltou","Falta: reagendar","")))))</f>
        <v>0</v>
      </c>
      <c r="T385" s="29">
        <f>IF($A385="","",DATE(YEAR($A385),MONTH($A385),1))</f>
        <v>0</v>
      </c>
      <c r="U385" s="30">
        <f>IF($S385="CONFIRMAR",MAX($U$4:$U384)+1,"")</f>
        <v>0</v>
      </c>
      <c r="V385" s="30">
        <f>IF(AND($R385="Não",$Q385&lt;&gt;"",$Q385&lt;=Hoje+JanelaRet,$Q385&gt;=Hoje-60),MAX($V$4:$V384)+1,"")</f>
        <v>0</v>
      </c>
    </row>
    <row r="386" spans="1:22">
      <c r="A386" s="16"/>
      <c r="B386" s="23"/>
      <c r="C386" s="15"/>
      <c r="D386" s="15"/>
      <c r="E386" s="15"/>
      <c r="F386" s="24"/>
      <c r="G386" s="17"/>
      <c r="H386" s="17"/>
      <c r="I386" s="15"/>
      <c r="J386" s="25">
        <f>IF($D386="","",IFERROR(INDEX(PacNome,MATCH($D386,PacCod,0)),"Paciente não cadastrado"))</f>
        <v>0</v>
      </c>
      <c r="K386" s="26">
        <f>IF($D386="","",IFERROR(INDEX(PacConv,MATCH($D386,PacCod,0))&amp;"",""))</f>
        <v>0</v>
      </c>
      <c r="L386" s="26">
        <f>IF($A386="","",CHOOSE(WEEKDAY($A386,2),"Seg","Ter","Qua","Qui","Sex","Sáb","Dom"))</f>
        <v>0</v>
      </c>
      <c r="M386" s="27">
        <f>IF($E386="","",IF($G386&lt;&gt;"",$G386,IFERROR(INDEX(ProcValor,MATCH($E386,ProcNome,0)),0)))</f>
        <v>0</v>
      </c>
      <c r="N386" s="27">
        <f>IF($M386="","",IF($F386="Compareceu",$M386,0))</f>
        <v>0</v>
      </c>
      <c r="O386" s="27">
        <f>IF($M386="","",IF($F386="Faltou",$M386,0))</f>
        <v>0</v>
      </c>
      <c r="P386" s="27">
        <f>IF($M386="","",IF($F386="Compareceu",MAX(0,$M386-N($H386)),0))</f>
        <v>0</v>
      </c>
      <c r="Q386" s="19">
        <f>IF(AND($F386="Compareceu",$E386&lt;&gt;"",$A386&lt;&gt;""),IF(IFERROR(INDEX(ProcRet,MATCH($E386,ProcNome,0)),0)&gt;0,$A386+INDEX(ProcRet,MATCH($E386,ProcNome,0)),""),"")</f>
        <v>0</v>
      </c>
      <c r="R386" s="26">
        <f>IF($Q386="","",IF(COUNTIFS(AgPac,$D386,AgData,"&gt;"&amp;$A386,AgStatus,"&lt;&gt;Cancelado",AgStatus,"&lt;&gt;Remarcado")&gt;0,"Sim","Não"))</f>
        <v>0</v>
      </c>
      <c r="S386" s="28">
        <f>IF($A386="","",IF(AND($F386="Agendado",$A386-Hoje&gt;=0,$A386-Hoje&lt;=DiasConf),"CONFIRMAR",IF(AND($A386&lt;Hoje,OR($F386="Agendado",$F386="Confirmado")),"Atualizar status",IF(AND($F386="Compareceu",$P386&gt;0.005),"Cobrar",IF($F386="Faltou","Falta: reagendar","")))))</f>
        <v>0</v>
      </c>
      <c r="T386" s="29">
        <f>IF($A386="","",DATE(YEAR($A386),MONTH($A386),1))</f>
        <v>0</v>
      </c>
      <c r="U386" s="30">
        <f>IF($S386="CONFIRMAR",MAX($U$4:$U385)+1,"")</f>
        <v>0</v>
      </c>
      <c r="V386" s="30">
        <f>IF(AND($R386="Não",$Q386&lt;&gt;"",$Q386&lt;=Hoje+JanelaRet,$Q386&gt;=Hoje-60),MAX($V$4:$V385)+1,"")</f>
        <v>0</v>
      </c>
    </row>
    <row r="387" spans="1:22">
      <c r="A387" s="16"/>
      <c r="B387" s="23"/>
      <c r="C387" s="15"/>
      <c r="D387" s="15"/>
      <c r="E387" s="15"/>
      <c r="F387" s="24"/>
      <c r="G387" s="17"/>
      <c r="H387" s="17"/>
      <c r="I387" s="15"/>
      <c r="J387" s="25">
        <f>IF($D387="","",IFERROR(INDEX(PacNome,MATCH($D387,PacCod,0)),"Paciente não cadastrado"))</f>
        <v>0</v>
      </c>
      <c r="K387" s="26">
        <f>IF($D387="","",IFERROR(INDEX(PacConv,MATCH($D387,PacCod,0))&amp;"",""))</f>
        <v>0</v>
      </c>
      <c r="L387" s="26">
        <f>IF($A387="","",CHOOSE(WEEKDAY($A387,2),"Seg","Ter","Qua","Qui","Sex","Sáb","Dom"))</f>
        <v>0</v>
      </c>
      <c r="M387" s="27">
        <f>IF($E387="","",IF($G387&lt;&gt;"",$G387,IFERROR(INDEX(ProcValor,MATCH($E387,ProcNome,0)),0)))</f>
        <v>0</v>
      </c>
      <c r="N387" s="27">
        <f>IF($M387="","",IF($F387="Compareceu",$M387,0))</f>
        <v>0</v>
      </c>
      <c r="O387" s="27">
        <f>IF($M387="","",IF($F387="Faltou",$M387,0))</f>
        <v>0</v>
      </c>
      <c r="P387" s="27">
        <f>IF($M387="","",IF($F387="Compareceu",MAX(0,$M387-N($H387)),0))</f>
        <v>0</v>
      </c>
      <c r="Q387" s="19">
        <f>IF(AND($F387="Compareceu",$E387&lt;&gt;"",$A387&lt;&gt;""),IF(IFERROR(INDEX(ProcRet,MATCH($E387,ProcNome,0)),0)&gt;0,$A387+INDEX(ProcRet,MATCH($E387,ProcNome,0)),""),"")</f>
        <v>0</v>
      </c>
      <c r="R387" s="26">
        <f>IF($Q387="","",IF(COUNTIFS(AgPac,$D387,AgData,"&gt;"&amp;$A387,AgStatus,"&lt;&gt;Cancelado",AgStatus,"&lt;&gt;Remarcado")&gt;0,"Sim","Não"))</f>
        <v>0</v>
      </c>
      <c r="S387" s="28">
        <f>IF($A387="","",IF(AND($F387="Agendado",$A387-Hoje&gt;=0,$A387-Hoje&lt;=DiasConf),"CONFIRMAR",IF(AND($A387&lt;Hoje,OR($F387="Agendado",$F387="Confirmado")),"Atualizar status",IF(AND($F387="Compareceu",$P387&gt;0.005),"Cobrar",IF($F387="Faltou","Falta: reagendar","")))))</f>
        <v>0</v>
      </c>
      <c r="T387" s="29">
        <f>IF($A387="","",DATE(YEAR($A387),MONTH($A387),1))</f>
        <v>0</v>
      </c>
      <c r="U387" s="30">
        <f>IF($S387="CONFIRMAR",MAX($U$4:$U386)+1,"")</f>
        <v>0</v>
      </c>
      <c r="V387" s="30">
        <f>IF(AND($R387="Não",$Q387&lt;&gt;"",$Q387&lt;=Hoje+JanelaRet,$Q387&gt;=Hoje-60),MAX($V$4:$V386)+1,"")</f>
        <v>0</v>
      </c>
    </row>
    <row r="388" spans="1:22">
      <c r="A388" s="16"/>
      <c r="B388" s="23"/>
      <c r="C388" s="15"/>
      <c r="D388" s="15"/>
      <c r="E388" s="15"/>
      <c r="F388" s="24"/>
      <c r="G388" s="17"/>
      <c r="H388" s="17"/>
      <c r="I388" s="15"/>
      <c r="J388" s="25">
        <f>IF($D388="","",IFERROR(INDEX(PacNome,MATCH($D388,PacCod,0)),"Paciente não cadastrado"))</f>
        <v>0</v>
      </c>
      <c r="K388" s="26">
        <f>IF($D388="","",IFERROR(INDEX(PacConv,MATCH($D388,PacCod,0))&amp;"",""))</f>
        <v>0</v>
      </c>
      <c r="L388" s="26">
        <f>IF($A388="","",CHOOSE(WEEKDAY($A388,2),"Seg","Ter","Qua","Qui","Sex","Sáb","Dom"))</f>
        <v>0</v>
      </c>
      <c r="M388" s="27">
        <f>IF($E388="","",IF($G388&lt;&gt;"",$G388,IFERROR(INDEX(ProcValor,MATCH($E388,ProcNome,0)),0)))</f>
        <v>0</v>
      </c>
      <c r="N388" s="27">
        <f>IF($M388="","",IF($F388="Compareceu",$M388,0))</f>
        <v>0</v>
      </c>
      <c r="O388" s="27">
        <f>IF($M388="","",IF($F388="Faltou",$M388,0))</f>
        <v>0</v>
      </c>
      <c r="P388" s="27">
        <f>IF($M388="","",IF($F388="Compareceu",MAX(0,$M388-N($H388)),0))</f>
        <v>0</v>
      </c>
      <c r="Q388" s="19">
        <f>IF(AND($F388="Compareceu",$E388&lt;&gt;"",$A388&lt;&gt;""),IF(IFERROR(INDEX(ProcRet,MATCH($E388,ProcNome,0)),0)&gt;0,$A388+INDEX(ProcRet,MATCH($E388,ProcNome,0)),""),"")</f>
        <v>0</v>
      </c>
      <c r="R388" s="26">
        <f>IF($Q388="","",IF(COUNTIFS(AgPac,$D388,AgData,"&gt;"&amp;$A388,AgStatus,"&lt;&gt;Cancelado",AgStatus,"&lt;&gt;Remarcado")&gt;0,"Sim","Não"))</f>
        <v>0</v>
      </c>
      <c r="S388" s="28">
        <f>IF($A388="","",IF(AND($F388="Agendado",$A388-Hoje&gt;=0,$A388-Hoje&lt;=DiasConf),"CONFIRMAR",IF(AND($A388&lt;Hoje,OR($F388="Agendado",$F388="Confirmado")),"Atualizar status",IF(AND($F388="Compareceu",$P388&gt;0.005),"Cobrar",IF($F388="Faltou","Falta: reagendar","")))))</f>
        <v>0</v>
      </c>
      <c r="T388" s="29">
        <f>IF($A388="","",DATE(YEAR($A388),MONTH($A388),1))</f>
        <v>0</v>
      </c>
      <c r="U388" s="30">
        <f>IF($S388="CONFIRMAR",MAX($U$4:$U387)+1,"")</f>
        <v>0</v>
      </c>
      <c r="V388" s="30">
        <f>IF(AND($R388="Não",$Q388&lt;&gt;"",$Q388&lt;=Hoje+JanelaRet,$Q388&gt;=Hoje-60),MAX($V$4:$V387)+1,"")</f>
        <v>0</v>
      </c>
    </row>
    <row r="389" spans="1:22">
      <c r="A389" s="16"/>
      <c r="B389" s="23"/>
      <c r="C389" s="15"/>
      <c r="D389" s="15"/>
      <c r="E389" s="15"/>
      <c r="F389" s="24"/>
      <c r="G389" s="17"/>
      <c r="H389" s="17"/>
      <c r="I389" s="15"/>
      <c r="J389" s="25">
        <f>IF($D389="","",IFERROR(INDEX(PacNome,MATCH($D389,PacCod,0)),"Paciente não cadastrado"))</f>
        <v>0</v>
      </c>
      <c r="K389" s="26">
        <f>IF($D389="","",IFERROR(INDEX(PacConv,MATCH($D389,PacCod,0))&amp;"",""))</f>
        <v>0</v>
      </c>
      <c r="L389" s="26">
        <f>IF($A389="","",CHOOSE(WEEKDAY($A389,2),"Seg","Ter","Qua","Qui","Sex","Sáb","Dom"))</f>
        <v>0</v>
      </c>
      <c r="M389" s="27">
        <f>IF($E389="","",IF($G389&lt;&gt;"",$G389,IFERROR(INDEX(ProcValor,MATCH($E389,ProcNome,0)),0)))</f>
        <v>0</v>
      </c>
      <c r="N389" s="27">
        <f>IF($M389="","",IF($F389="Compareceu",$M389,0))</f>
        <v>0</v>
      </c>
      <c r="O389" s="27">
        <f>IF($M389="","",IF($F389="Faltou",$M389,0))</f>
        <v>0</v>
      </c>
      <c r="P389" s="27">
        <f>IF($M389="","",IF($F389="Compareceu",MAX(0,$M389-N($H389)),0))</f>
        <v>0</v>
      </c>
      <c r="Q389" s="19">
        <f>IF(AND($F389="Compareceu",$E389&lt;&gt;"",$A389&lt;&gt;""),IF(IFERROR(INDEX(ProcRet,MATCH($E389,ProcNome,0)),0)&gt;0,$A389+INDEX(ProcRet,MATCH($E389,ProcNome,0)),""),"")</f>
        <v>0</v>
      </c>
      <c r="R389" s="26">
        <f>IF($Q389="","",IF(COUNTIFS(AgPac,$D389,AgData,"&gt;"&amp;$A389,AgStatus,"&lt;&gt;Cancelado",AgStatus,"&lt;&gt;Remarcado")&gt;0,"Sim","Não"))</f>
        <v>0</v>
      </c>
      <c r="S389" s="28">
        <f>IF($A389="","",IF(AND($F389="Agendado",$A389-Hoje&gt;=0,$A389-Hoje&lt;=DiasConf),"CONFIRMAR",IF(AND($A389&lt;Hoje,OR($F389="Agendado",$F389="Confirmado")),"Atualizar status",IF(AND($F389="Compareceu",$P389&gt;0.005),"Cobrar",IF($F389="Faltou","Falta: reagendar","")))))</f>
        <v>0</v>
      </c>
      <c r="T389" s="29">
        <f>IF($A389="","",DATE(YEAR($A389),MONTH($A389),1))</f>
        <v>0</v>
      </c>
      <c r="U389" s="30">
        <f>IF($S389="CONFIRMAR",MAX($U$4:$U388)+1,"")</f>
        <v>0</v>
      </c>
      <c r="V389" s="30">
        <f>IF(AND($R389="Não",$Q389&lt;&gt;"",$Q389&lt;=Hoje+JanelaRet,$Q389&gt;=Hoje-60),MAX($V$4:$V388)+1,"")</f>
        <v>0</v>
      </c>
    </row>
    <row r="390" spans="1:22">
      <c r="A390" s="16"/>
      <c r="B390" s="23"/>
      <c r="C390" s="15"/>
      <c r="D390" s="15"/>
      <c r="E390" s="15"/>
      <c r="F390" s="24"/>
      <c r="G390" s="17"/>
      <c r="H390" s="17"/>
      <c r="I390" s="15"/>
      <c r="J390" s="25">
        <f>IF($D390="","",IFERROR(INDEX(PacNome,MATCH($D390,PacCod,0)),"Paciente não cadastrado"))</f>
        <v>0</v>
      </c>
      <c r="K390" s="26">
        <f>IF($D390="","",IFERROR(INDEX(PacConv,MATCH($D390,PacCod,0))&amp;"",""))</f>
        <v>0</v>
      </c>
      <c r="L390" s="26">
        <f>IF($A390="","",CHOOSE(WEEKDAY($A390,2),"Seg","Ter","Qua","Qui","Sex","Sáb","Dom"))</f>
        <v>0</v>
      </c>
      <c r="M390" s="27">
        <f>IF($E390="","",IF($G390&lt;&gt;"",$G390,IFERROR(INDEX(ProcValor,MATCH($E390,ProcNome,0)),0)))</f>
        <v>0</v>
      </c>
      <c r="N390" s="27">
        <f>IF($M390="","",IF($F390="Compareceu",$M390,0))</f>
        <v>0</v>
      </c>
      <c r="O390" s="27">
        <f>IF($M390="","",IF($F390="Faltou",$M390,0))</f>
        <v>0</v>
      </c>
      <c r="P390" s="27">
        <f>IF($M390="","",IF($F390="Compareceu",MAX(0,$M390-N($H390)),0))</f>
        <v>0</v>
      </c>
      <c r="Q390" s="19">
        <f>IF(AND($F390="Compareceu",$E390&lt;&gt;"",$A390&lt;&gt;""),IF(IFERROR(INDEX(ProcRet,MATCH($E390,ProcNome,0)),0)&gt;0,$A390+INDEX(ProcRet,MATCH($E390,ProcNome,0)),""),"")</f>
        <v>0</v>
      </c>
      <c r="R390" s="26">
        <f>IF($Q390="","",IF(COUNTIFS(AgPac,$D390,AgData,"&gt;"&amp;$A390,AgStatus,"&lt;&gt;Cancelado",AgStatus,"&lt;&gt;Remarcado")&gt;0,"Sim","Não"))</f>
        <v>0</v>
      </c>
      <c r="S390" s="28">
        <f>IF($A390="","",IF(AND($F390="Agendado",$A390-Hoje&gt;=0,$A390-Hoje&lt;=DiasConf),"CONFIRMAR",IF(AND($A390&lt;Hoje,OR($F390="Agendado",$F390="Confirmado")),"Atualizar status",IF(AND($F390="Compareceu",$P390&gt;0.005),"Cobrar",IF($F390="Faltou","Falta: reagendar","")))))</f>
        <v>0</v>
      </c>
      <c r="T390" s="29">
        <f>IF($A390="","",DATE(YEAR($A390),MONTH($A390),1))</f>
        <v>0</v>
      </c>
      <c r="U390" s="30">
        <f>IF($S390="CONFIRMAR",MAX($U$4:$U389)+1,"")</f>
        <v>0</v>
      </c>
      <c r="V390" s="30">
        <f>IF(AND($R390="Não",$Q390&lt;&gt;"",$Q390&lt;=Hoje+JanelaRet,$Q390&gt;=Hoje-60),MAX($V$4:$V389)+1,"")</f>
        <v>0</v>
      </c>
    </row>
    <row r="391" spans="1:22">
      <c r="A391" s="16"/>
      <c r="B391" s="23"/>
      <c r="C391" s="15"/>
      <c r="D391" s="15"/>
      <c r="E391" s="15"/>
      <c r="F391" s="24"/>
      <c r="G391" s="17"/>
      <c r="H391" s="17"/>
      <c r="I391" s="15"/>
      <c r="J391" s="25">
        <f>IF($D391="","",IFERROR(INDEX(PacNome,MATCH($D391,PacCod,0)),"Paciente não cadastrado"))</f>
        <v>0</v>
      </c>
      <c r="K391" s="26">
        <f>IF($D391="","",IFERROR(INDEX(PacConv,MATCH($D391,PacCod,0))&amp;"",""))</f>
        <v>0</v>
      </c>
      <c r="L391" s="26">
        <f>IF($A391="","",CHOOSE(WEEKDAY($A391,2),"Seg","Ter","Qua","Qui","Sex","Sáb","Dom"))</f>
        <v>0</v>
      </c>
      <c r="M391" s="27">
        <f>IF($E391="","",IF($G391&lt;&gt;"",$G391,IFERROR(INDEX(ProcValor,MATCH($E391,ProcNome,0)),0)))</f>
        <v>0</v>
      </c>
      <c r="N391" s="27">
        <f>IF($M391="","",IF($F391="Compareceu",$M391,0))</f>
        <v>0</v>
      </c>
      <c r="O391" s="27">
        <f>IF($M391="","",IF($F391="Faltou",$M391,0))</f>
        <v>0</v>
      </c>
      <c r="P391" s="27">
        <f>IF($M391="","",IF($F391="Compareceu",MAX(0,$M391-N($H391)),0))</f>
        <v>0</v>
      </c>
      <c r="Q391" s="19">
        <f>IF(AND($F391="Compareceu",$E391&lt;&gt;"",$A391&lt;&gt;""),IF(IFERROR(INDEX(ProcRet,MATCH($E391,ProcNome,0)),0)&gt;0,$A391+INDEX(ProcRet,MATCH($E391,ProcNome,0)),""),"")</f>
        <v>0</v>
      </c>
      <c r="R391" s="26">
        <f>IF($Q391="","",IF(COUNTIFS(AgPac,$D391,AgData,"&gt;"&amp;$A391,AgStatus,"&lt;&gt;Cancelado",AgStatus,"&lt;&gt;Remarcado")&gt;0,"Sim","Não"))</f>
        <v>0</v>
      </c>
      <c r="S391" s="28">
        <f>IF($A391="","",IF(AND($F391="Agendado",$A391-Hoje&gt;=0,$A391-Hoje&lt;=DiasConf),"CONFIRMAR",IF(AND($A391&lt;Hoje,OR($F391="Agendado",$F391="Confirmado")),"Atualizar status",IF(AND($F391="Compareceu",$P391&gt;0.005),"Cobrar",IF($F391="Faltou","Falta: reagendar","")))))</f>
        <v>0</v>
      </c>
      <c r="T391" s="29">
        <f>IF($A391="","",DATE(YEAR($A391),MONTH($A391),1))</f>
        <v>0</v>
      </c>
      <c r="U391" s="30">
        <f>IF($S391="CONFIRMAR",MAX($U$4:$U390)+1,"")</f>
        <v>0</v>
      </c>
      <c r="V391" s="30">
        <f>IF(AND($R391="Não",$Q391&lt;&gt;"",$Q391&lt;=Hoje+JanelaRet,$Q391&gt;=Hoje-60),MAX($V$4:$V390)+1,"")</f>
        <v>0</v>
      </c>
    </row>
    <row r="392" spans="1:22">
      <c r="A392" s="16"/>
      <c r="B392" s="23"/>
      <c r="C392" s="15"/>
      <c r="D392" s="15"/>
      <c r="E392" s="15"/>
      <c r="F392" s="24"/>
      <c r="G392" s="17"/>
      <c r="H392" s="17"/>
      <c r="I392" s="15"/>
      <c r="J392" s="25">
        <f>IF($D392="","",IFERROR(INDEX(PacNome,MATCH($D392,PacCod,0)),"Paciente não cadastrado"))</f>
        <v>0</v>
      </c>
      <c r="K392" s="26">
        <f>IF($D392="","",IFERROR(INDEX(PacConv,MATCH($D392,PacCod,0))&amp;"",""))</f>
        <v>0</v>
      </c>
      <c r="L392" s="26">
        <f>IF($A392="","",CHOOSE(WEEKDAY($A392,2),"Seg","Ter","Qua","Qui","Sex","Sáb","Dom"))</f>
        <v>0</v>
      </c>
      <c r="M392" s="27">
        <f>IF($E392="","",IF($G392&lt;&gt;"",$G392,IFERROR(INDEX(ProcValor,MATCH($E392,ProcNome,0)),0)))</f>
        <v>0</v>
      </c>
      <c r="N392" s="27">
        <f>IF($M392="","",IF($F392="Compareceu",$M392,0))</f>
        <v>0</v>
      </c>
      <c r="O392" s="27">
        <f>IF($M392="","",IF($F392="Faltou",$M392,0))</f>
        <v>0</v>
      </c>
      <c r="P392" s="27">
        <f>IF($M392="","",IF($F392="Compareceu",MAX(0,$M392-N($H392)),0))</f>
        <v>0</v>
      </c>
      <c r="Q392" s="19">
        <f>IF(AND($F392="Compareceu",$E392&lt;&gt;"",$A392&lt;&gt;""),IF(IFERROR(INDEX(ProcRet,MATCH($E392,ProcNome,0)),0)&gt;0,$A392+INDEX(ProcRet,MATCH($E392,ProcNome,0)),""),"")</f>
        <v>0</v>
      </c>
      <c r="R392" s="26">
        <f>IF($Q392="","",IF(COUNTIFS(AgPac,$D392,AgData,"&gt;"&amp;$A392,AgStatus,"&lt;&gt;Cancelado",AgStatus,"&lt;&gt;Remarcado")&gt;0,"Sim","Não"))</f>
        <v>0</v>
      </c>
      <c r="S392" s="28">
        <f>IF($A392="","",IF(AND($F392="Agendado",$A392-Hoje&gt;=0,$A392-Hoje&lt;=DiasConf),"CONFIRMAR",IF(AND($A392&lt;Hoje,OR($F392="Agendado",$F392="Confirmado")),"Atualizar status",IF(AND($F392="Compareceu",$P392&gt;0.005),"Cobrar",IF($F392="Faltou","Falta: reagendar","")))))</f>
        <v>0</v>
      </c>
      <c r="T392" s="29">
        <f>IF($A392="","",DATE(YEAR($A392),MONTH($A392),1))</f>
        <v>0</v>
      </c>
      <c r="U392" s="30">
        <f>IF($S392="CONFIRMAR",MAX($U$4:$U391)+1,"")</f>
        <v>0</v>
      </c>
      <c r="V392" s="30">
        <f>IF(AND($R392="Não",$Q392&lt;&gt;"",$Q392&lt;=Hoje+JanelaRet,$Q392&gt;=Hoje-60),MAX($V$4:$V391)+1,"")</f>
        <v>0</v>
      </c>
    </row>
    <row r="393" spans="1:22">
      <c r="A393" s="16"/>
      <c r="B393" s="23"/>
      <c r="C393" s="15"/>
      <c r="D393" s="15"/>
      <c r="E393" s="15"/>
      <c r="F393" s="24"/>
      <c r="G393" s="17"/>
      <c r="H393" s="17"/>
      <c r="I393" s="15"/>
      <c r="J393" s="25">
        <f>IF($D393="","",IFERROR(INDEX(PacNome,MATCH($D393,PacCod,0)),"Paciente não cadastrado"))</f>
        <v>0</v>
      </c>
      <c r="K393" s="26">
        <f>IF($D393="","",IFERROR(INDEX(PacConv,MATCH($D393,PacCod,0))&amp;"",""))</f>
        <v>0</v>
      </c>
      <c r="L393" s="26">
        <f>IF($A393="","",CHOOSE(WEEKDAY($A393,2),"Seg","Ter","Qua","Qui","Sex","Sáb","Dom"))</f>
        <v>0</v>
      </c>
      <c r="M393" s="27">
        <f>IF($E393="","",IF($G393&lt;&gt;"",$G393,IFERROR(INDEX(ProcValor,MATCH($E393,ProcNome,0)),0)))</f>
        <v>0</v>
      </c>
      <c r="N393" s="27">
        <f>IF($M393="","",IF($F393="Compareceu",$M393,0))</f>
        <v>0</v>
      </c>
      <c r="O393" s="27">
        <f>IF($M393="","",IF($F393="Faltou",$M393,0))</f>
        <v>0</v>
      </c>
      <c r="P393" s="27">
        <f>IF($M393="","",IF($F393="Compareceu",MAX(0,$M393-N($H393)),0))</f>
        <v>0</v>
      </c>
      <c r="Q393" s="19">
        <f>IF(AND($F393="Compareceu",$E393&lt;&gt;"",$A393&lt;&gt;""),IF(IFERROR(INDEX(ProcRet,MATCH($E393,ProcNome,0)),0)&gt;0,$A393+INDEX(ProcRet,MATCH($E393,ProcNome,0)),""),"")</f>
        <v>0</v>
      </c>
      <c r="R393" s="26">
        <f>IF($Q393="","",IF(COUNTIFS(AgPac,$D393,AgData,"&gt;"&amp;$A393,AgStatus,"&lt;&gt;Cancelado",AgStatus,"&lt;&gt;Remarcado")&gt;0,"Sim","Não"))</f>
        <v>0</v>
      </c>
      <c r="S393" s="28">
        <f>IF($A393="","",IF(AND($F393="Agendado",$A393-Hoje&gt;=0,$A393-Hoje&lt;=DiasConf),"CONFIRMAR",IF(AND($A393&lt;Hoje,OR($F393="Agendado",$F393="Confirmado")),"Atualizar status",IF(AND($F393="Compareceu",$P393&gt;0.005),"Cobrar",IF($F393="Faltou","Falta: reagendar","")))))</f>
        <v>0</v>
      </c>
      <c r="T393" s="29">
        <f>IF($A393="","",DATE(YEAR($A393),MONTH($A393),1))</f>
        <v>0</v>
      </c>
      <c r="U393" s="30">
        <f>IF($S393="CONFIRMAR",MAX($U$4:$U392)+1,"")</f>
        <v>0</v>
      </c>
      <c r="V393" s="30">
        <f>IF(AND($R393="Não",$Q393&lt;&gt;"",$Q393&lt;=Hoje+JanelaRet,$Q393&gt;=Hoje-60),MAX($V$4:$V392)+1,"")</f>
        <v>0</v>
      </c>
    </row>
    <row r="394" spans="1:22">
      <c r="A394" s="16"/>
      <c r="B394" s="23"/>
      <c r="C394" s="15"/>
      <c r="D394" s="15"/>
      <c r="E394" s="15"/>
      <c r="F394" s="24"/>
      <c r="G394" s="17"/>
      <c r="H394" s="17"/>
      <c r="I394" s="15"/>
      <c r="J394" s="25">
        <f>IF($D394="","",IFERROR(INDEX(PacNome,MATCH($D394,PacCod,0)),"Paciente não cadastrado"))</f>
        <v>0</v>
      </c>
      <c r="K394" s="26">
        <f>IF($D394="","",IFERROR(INDEX(PacConv,MATCH($D394,PacCod,0))&amp;"",""))</f>
        <v>0</v>
      </c>
      <c r="L394" s="26">
        <f>IF($A394="","",CHOOSE(WEEKDAY($A394,2),"Seg","Ter","Qua","Qui","Sex","Sáb","Dom"))</f>
        <v>0</v>
      </c>
      <c r="M394" s="27">
        <f>IF($E394="","",IF($G394&lt;&gt;"",$G394,IFERROR(INDEX(ProcValor,MATCH($E394,ProcNome,0)),0)))</f>
        <v>0</v>
      </c>
      <c r="N394" s="27">
        <f>IF($M394="","",IF($F394="Compareceu",$M394,0))</f>
        <v>0</v>
      </c>
      <c r="O394" s="27">
        <f>IF($M394="","",IF($F394="Faltou",$M394,0))</f>
        <v>0</v>
      </c>
      <c r="P394" s="27">
        <f>IF($M394="","",IF($F394="Compareceu",MAX(0,$M394-N($H394)),0))</f>
        <v>0</v>
      </c>
      <c r="Q394" s="19">
        <f>IF(AND($F394="Compareceu",$E394&lt;&gt;"",$A394&lt;&gt;""),IF(IFERROR(INDEX(ProcRet,MATCH($E394,ProcNome,0)),0)&gt;0,$A394+INDEX(ProcRet,MATCH($E394,ProcNome,0)),""),"")</f>
        <v>0</v>
      </c>
      <c r="R394" s="26">
        <f>IF($Q394="","",IF(COUNTIFS(AgPac,$D394,AgData,"&gt;"&amp;$A394,AgStatus,"&lt;&gt;Cancelado",AgStatus,"&lt;&gt;Remarcado")&gt;0,"Sim","Não"))</f>
        <v>0</v>
      </c>
      <c r="S394" s="28">
        <f>IF($A394="","",IF(AND($F394="Agendado",$A394-Hoje&gt;=0,$A394-Hoje&lt;=DiasConf),"CONFIRMAR",IF(AND($A394&lt;Hoje,OR($F394="Agendado",$F394="Confirmado")),"Atualizar status",IF(AND($F394="Compareceu",$P394&gt;0.005),"Cobrar",IF($F394="Faltou","Falta: reagendar","")))))</f>
        <v>0</v>
      </c>
      <c r="T394" s="29">
        <f>IF($A394="","",DATE(YEAR($A394),MONTH($A394),1))</f>
        <v>0</v>
      </c>
      <c r="U394" s="30">
        <f>IF($S394="CONFIRMAR",MAX($U$4:$U393)+1,"")</f>
        <v>0</v>
      </c>
      <c r="V394" s="30">
        <f>IF(AND($R394="Não",$Q394&lt;&gt;"",$Q394&lt;=Hoje+JanelaRet,$Q394&gt;=Hoje-60),MAX($V$4:$V393)+1,"")</f>
        <v>0</v>
      </c>
    </row>
    <row r="395" spans="1:22">
      <c r="A395" s="16"/>
      <c r="B395" s="23"/>
      <c r="C395" s="15"/>
      <c r="D395" s="15"/>
      <c r="E395" s="15"/>
      <c r="F395" s="24"/>
      <c r="G395" s="17"/>
      <c r="H395" s="17"/>
      <c r="I395" s="15"/>
      <c r="J395" s="25">
        <f>IF($D395="","",IFERROR(INDEX(PacNome,MATCH($D395,PacCod,0)),"Paciente não cadastrado"))</f>
        <v>0</v>
      </c>
      <c r="K395" s="26">
        <f>IF($D395="","",IFERROR(INDEX(PacConv,MATCH($D395,PacCod,0))&amp;"",""))</f>
        <v>0</v>
      </c>
      <c r="L395" s="26">
        <f>IF($A395="","",CHOOSE(WEEKDAY($A395,2),"Seg","Ter","Qua","Qui","Sex","Sáb","Dom"))</f>
        <v>0</v>
      </c>
      <c r="M395" s="27">
        <f>IF($E395="","",IF($G395&lt;&gt;"",$G395,IFERROR(INDEX(ProcValor,MATCH($E395,ProcNome,0)),0)))</f>
        <v>0</v>
      </c>
      <c r="N395" s="27">
        <f>IF($M395="","",IF($F395="Compareceu",$M395,0))</f>
        <v>0</v>
      </c>
      <c r="O395" s="27">
        <f>IF($M395="","",IF($F395="Faltou",$M395,0))</f>
        <v>0</v>
      </c>
      <c r="P395" s="27">
        <f>IF($M395="","",IF($F395="Compareceu",MAX(0,$M395-N($H395)),0))</f>
        <v>0</v>
      </c>
      <c r="Q395" s="19">
        <f>IF(AND($F395="Compareceu",$E395&lt;&gt;"",$A395&lt;&gt;""),IF(IFERROR(INDEX(ProcRet,MATCH($E395,ProcNome,0)),0)&gt;0,$A395+INDEX(ProcRet,MATCH($E395,ProcNome,0)),""),"")</f>
        <v>0</v>
      </c>
      <c r="R395" s="26">
        <f>IF($Q395="","",IF(COUNTIFS(AgPac,$D395,AgData,"&gt;"&amp;$A395,AgStatus,"&lt;&gt;Cancelado",AgStatus,"&lt;&gt;Remarcado")&gt;0,"Sim","Não"))</f>
        <v>0</v>
      </c>
      <c r="S395" s="28">
        <f>IF($A395="","",IF(AND($F395="Agendado",$A395-Hoje&gt;=0,$A395-Hoje&lt;=DiasConf),"CONFIRMAR",IF(AND($A395&lt;Hoje,OR($F395="Agendado",$F395="Confirmado")),"Atualizar status",IF(AND($F395="Compareceu",$P395&gt;0.005),"Cobrar",IF($F395="Faltou","Falta: reagendar","")))))</f>
        <v>0</v>
      </c>
      <c r="T395" s="29">
        <f>IF($A395="","",DATE(YEAR($A395),MONTH($A395),1))</f>
        <v>0</v>
      </c>
      <c r="U395" s="30">
        <f>IF($S395="CONFIRMAR",MAX($U$4:$U394)+1,"")</f>
        <v>0</v>
      </c>
      <c r="V395" s="30">
        <f>IF(AND($R395="Não",$Q395&lt;&gt;"",$Q395&lt;=Hoje+JanelaRet,$Q395&gt;=Hoje-60),MAX($V$4:$V394)+1,"")</f>
        <v>0</v>
      </c>
    </row>
    <row r="396" spans="1:22">
      <c r="A396" s="16"/>
      <c r="B396" s="23"/>
      <c r="C396" s="15"/>
      <c r="D396" s="15"/>
      <c r="E396" s="15"/>
      <c r="F396" s="24"/>
      <c r="G396" s="17"/>
      <c r="H396" s="17"/>
      <c r="I396" s="15"/>
      <c r="J396" s="25">
        <f>IF($D396="","",IFERROR(INDEX(PacNome,MATCH($D396,PacCod,0)),"Paciente não cadastrado"))</f>
        <v>0</v>
      </c>
      <c r="K396" s="26">
        <f>IF($D396="","",IFERROR(INDEX(PacConv,MATCH($D396,PacCod,0))&amp;"",""))</f>
        <v>0</v>
      </c>
      <c r="L396" s="26">
        <f>IF($A396="","",CHOOSE(WEEKDAY($A396,2),"Seg","Ter","Qua","Qui","Sex","Sáb","Dom"))</f>
        <v>0</v>
      </c>
      <c r="M396" s="27">
        <f>IF($E396="","",IF($G396&lt;&gt;"",$G396,IFERROR(INDEX(ProcValor,MATCH($E396,ProcNome,0)),0)))</f>
        <v>0</v>
      </c>
      <c r="N396" s="27">
        <f>IF($M396="","",IF($F396="Compareceu",$M396,0))</f>
        <v>0</v>
      </c>
      <c r="O396" s="27">
        <f>IF($M396="","",IF($F396="Faltou",$M396,0))</f>
        <v>0</v>
      </c>
      <c r="P396" s="27">
        <f>IF($M396="","",IF($F396="Compareceu",MAX(0,$M396-N($H396)),0))</f>
        <v>0</v>
      </c>
      <c r="Q396" s="19">
        <f>IF(AND($F396="Compareceu",$E396&lt;&gt;"",$A396&lt;&gt;""),IF(IFERROR(INDEX(ProcRet,MATCH($E396,ProcNome,0)),0)&gt;0,$A396+INDEX(ProcRet,MATCH($E396,ProcNome,0)),""),"")</f>
        <v>0</v>
      </c>
      <c r="R396" s="26">
        <f>IF($Q396="","",IF(COUNTIFS(AgPac,$D396,AgData,"&gt;"&amp;$A396,AgStatus,"&lt;&gt;Cancelado",AgStatus,"&lt;&gt;Remarcado")&gt;0,"Sim","Não"))</f>
        <v>0</v>
      </c>
      <c r="S396" s="28">
        <f>IF($A396="","",IF(AND($F396="Agendado",$A396-Hoje&gt;=0,$A396-Hoje&lt;=DiasConf),"CONFIRMAR",IF(AND($A396&lt;Hoje,OR($F396="Agendado",$F396="Confirmado")),"Atualizar status",IF(AND($F396="Compareceu",$P396&gt;0.005),"Cobrar",IF($F396="Faltou","Falta: reagendar","")))))</f>
        <v>0</v>
      </c>
      <c r="T396" s="29">
        <f>IF($A396="","",DATE(YEAR($A396),MONTH($A396),1))</f>
        <v>0</v>
      </c>
      <c r="U396" s="30">
        <f>IF($S396="CONFIRMAR",MAX($U$4:$U395)+1,"")</f>
        <v>0</v>
      </c>
      <c r="V396" s="30">
        <f>IF(AND($R396="Não",$Q396&lt;&gt;"",$Q396&lt;=Hoje+JanelaRet,$Q396&gt;=Hoje-60),MAX($V$4:$V395)+1,"")</f>
        <v>0</v>
      </c>
    </row>
    <row r="397" spans="1:22">
      <c r="A397" s="16"/>
      <c r="B397" s="23"/>
      <c r="C397" s="15"/>
      <c r="D397" s="15"/>
      <c r="E397" s="15"/>
      <c r="F397" s="24"/>
      <c r="G397" s="17"/>
      <c r="H397" s="17"/>
      <c r="I397" s="15"/>
      <c r="J397" s="25">
        <f>IF($D397="","",IFERROR(INDEX(PacNome,MATCH($D397,PacCod,0)),"Paciente não cadastrado"))</f>
        <v>0</v>
      </c>
      <c r="K397" s="26">
        <f>IF($D397="","",IFERROR(INDEX(PacConv,MATCH($D397,PacCod,0))&amp;"",""))</f>
        <v>0</v>
      </c>
      <c r="L397" s="26">
        <f>IF($A397="","",CHOOSE(WEEKDAY($A397,2),"Seg","Ter","Qua","Qui","Sex","Sáb","Dom"))</f>
        <v>0</v>
      </c>
      <c r="M397" s="27">
        <f>IF($E397="","",IF($G397&lt;&gt;"",$G397,IFERROR(INDEX(ProcValor,MATCH($E397,ProcNome,0)),0)))</f>
        <v>0</v>
      </c>
      <c r="N397" s="27">
        <f>IF($M397="","",IF($F397="Compareceu",$M397,0))</f>
        <v>0</v>
      </c>
      <c r="O397" s="27">
        <f>IF($M397="","",IF($F397="Faltou",$M397,0))</f>
        <v>0</v>
      </c>
      <c r="P397" s="27">
        <f>IF($M397="","",IF($F397="Compareceu",MAX(0,$M397-N($H397)),0))</f>
        <v>0</v>
      </c>
      <c r="Q397" s="19">
        <f>IF(AND($F397="Compareceu",$E397&lt;&gt;"",$A397&lt;&gt;""),IF(IFERROR(INDEX(ProcRet,MATCH($E397,ProcNome,0)),0)&gt;0,$A397+INDEX(ProcRet,MATCH($E397,ProcNome,0)),""),"")</f>
        <v>0</v>
      </c>
      <c r="R397" s="26">
        <f>IF($Q397="","",IF(COUNTIFS(AgPac,$D397,AgData,"&gt;"&amp;$A397,AgStatus,"&lt;&gt;Cancelado",AgStatus,"&lt;&gt;Remarcado")&gt;0,"Sim","Não"))</f>
        <v>0</v>
      </c>
      <c r="S397" s="28">
        <f>IF($A397="","",IF(AND($F397="Agendado",$A397-Hoje&gt;=0,$A397-Hoje&lt;=DiasConf),"CONFIRMAR",IF(AND($A397&lt;Hoje,OR($F397="Agendado",$F397="Confirmado")),"Atualizar status",IF(AND($F397="Compareceu",$P397&gt;0.005),"Cobrar",IF($F397="Faltou","Falta: reagendar","")))))</f>
        <v>0</v>
      </c>
      <c r="T397" s="29">
        <f>IF($A397="","",DATE(YEAR($A397),MONTH($A397),1))</f>
        <v>0</v>
      </c>
      <c r="U397" s="30">
        <f>IF($S397="CONFIRMAR",MAX($U$4:$U396)+1,"")</f>
        <v>0</v>
      </c>
      <c r="V397" s="30">
        <f>IF(AND($R397="Não",$Q397&lt;&gt;"",$Q397&lt;=Hoje+JanelaRet,$Q397&gt;=Hoje-60),MAX($V$4:$V396)+1,"")</f>
        <v>0</v>
      </c>
    </row>
    <row r="398" spans="1:22">
      <c r="A398" s="16"/>
      <c r="B398" s="23"/>
      <c r="C398" s="15"/>
      <c r="D398" s="15"/>
      <c r="E398" s="15"/>
      <c r="F398" s="24"/>
      <c r="G398" s="17"/>
      <c r="H398" s="17"/>
      <c r="I398" s="15"/>
      <c r="J398" s="25">
        <f>IF($D398="","",IFERROR(INDEX(PacNome,MATCH($D398,PacCod,0)),"Paciente não cadastrado"))</f>
        <v>0</v>
      </c>
      <c r="K398" s="26">
        <f>IF($D398="","",IFERROR(INDEX(PacConv,MATCH($D398,PacCod,0))&amp;"",""))</f>
        <v>0</v>
      </c>
      <c r="L398" s="26">
        <f>IF($A398="","",CHOOSE(WEEKDAY($A398,2),"Seg","Ter","Qua","Qui","Sex","Sáb","Dom"))</f>
        <v>0</v>
      </c>
      <c r="M398" s="27">
        <f>IF($E398="","",IF($G398&lt;&gt;"",$G398,IFERROR(INDEX(ProcValor,MATCH($E398,ProcNome,0)),0)))</f>
        <v>0</v>
      </c>
      <c r="N398" s="27">
        <f>IF($M398="","",IF($F398="Compareceu",$M398,0))</f>
        <v>0</v>
      </c>
      <c r="O398" s="27">
        <f>IF($M398="","",IF($F398="Faltou",$M398,0))</f>
        <v>0</v>
      </c>
      <c r="P398" s="27">
        <f>IF($M398="","",IF($F398="Compareceu",MAX(0,$M398-N($H398)),0))</f>
        <v>0</v>
      </c>
      <c r="Q398" s="19">
        <f>IF(AND($F398="Compareceu",$E398&lt;&gt;"",$A398&lt;&gt;""),IF(IFERROR(INDEX(ProcRet,MATCH($E398,ProcNome,0)),0)&gt;0,$A398+INDEX(ProcRet,MATCH($E398,ProcNome,0)),""),"")</f>
        <v>0</v>
      </c>
      <c r="R398" s="26">
        <f>IF($Q398="","",IF(COUNTIFS(AgPac,$D398,AgData,"&gt;"&amp;$A398,AgStatus,"&lt;&gt;Cancelado",AgStatus,"&lt;&gt;Remarcado")&gt;0,"Sim","Não"))</f>
        <v>0</v>
      </c>
      <c r="S398" s="28">
        <f>IF($A398="","",IF(AND($F398="Agendado",$A398-Hoje&gt;=0,$A398-Hoje&lt;=DiasConf),"CONFIRMAR",IF(AND($A398&lt;Hoje,OR($F398="Agendado",$F398="Confirmado")),"Atualizar status",IF(AND($F398="Compareceu",$P398&gt;0.005),"Cobrar",IF($F398="Faltou","Falta: reagendar","")))))</f>
        <v>0</v>
      </c>
      <c r="T398" s="29">
        <f>IF($A398="","",DATE(YEAR($A398),MONTH($A398),1))</f>
        <v>0</v>
      </c>
      <c r="U398" s="30">
        <f>IF($S398="CONFIRMAR",MAX($U$4:$U397)+1,"")</f>
        <v>0</v>
      </c>
      <c r="V398" s="30">
        <f>IF(AND($R398="Não",$Q398&lt;&gt;"",$Q398&lt;=Hoje+JanelaRet,$Q398&gt;=Hoje-60),MAX($V$4:$V397)+1,"")</f>
        <v>0</v>
      </c>
    </row>
    <row r="399" spans="1:22">
      <c r="A399" s="16"/>
      <c r="B399" s="23"/>
      <c r="C399" s="15"/>
      <c r="D399" s="15"/>
      <c r="E399" s="15"/>
      <c r="F399" s="24"/>
      <c r="G399" s="17"/>
      <c r="H399" s="17"/>
      <c r="I399" s="15"/>
      <c r="J399" s="25">
        <f>IF($D399="","",IFERROR(INDEX(PacNome,MATCH($D399,PacCod,0)),"Paciente não cadastrado"))</f>
        <v>0</v>
      </c>
      <c r="K399" s="26">
        <f>IF($D399="","",IFERROR(INDEX(PacConv,MATCH($D399,PacCod,0))&amp;"",""))</f>
        <v>0</v>
      </c>
      <c r="L399" s="26">
        <f>IF($A399="","",CHOOSE(WEEKDAY($A399,2),"Seg","Ter","Qua","Qui","Sex","Sáb","Dom"))</f>
        <v>0</v>
      </c>
      <c r="M399" s="27">
        <f>IF($E399="","",IF($G399&lt;&gt;"",$G399,IFERROR(INDEX(ProcValor,MATCH($E399,ProcNome,0)),0)))</f>
        <v>0</v>
      </c>
      <c r="N399" s="27">
        <f>IF($M399="","",IF($F399="Compareceu",$M399,0))</f>
        <v>0</v>
      </c>
      <c r="O399" s="27">
        <f>IF($M399="","",IF($F399="Faltou",$M399,0))</f>
        <v>0</v>
      </c>
      <c r="P399" s="27">
        <f>IF($M399="","",IF($F399="Compareceu",MAX(0,$M399-N($H399)),0))</f>
        <v>0</v>
      </c>
      <c r="Q399" s="19">
        <f>IF(AND($F399="Compareceu",$E399&lt;&gt;"",$A399&lt;&gt;""),IF(IFERROR(INDEX(ProcRet,MATCH($E399,ProcNome,0)),0)&gt;0,$A399+INDEX(ProcRet,MATCH($E399,ProcNome,0)),""),"")</f>
        <v>0</v>
      </c>
      <c r="R399" s="26">
        <f>IF($Q399="","",IF(COUNTIFS(AgPac,$D399,AgData,"&gt;"&amp;$A399,AgStatus,"&lt;&gt;Cancelado",AgStatus,"&lt;&gt;Remarcado")&gt;0,"Sim","Não"))</f>
        <v>0</v>
      </c>
      <c r="S399" s="28">
        <f>IF($A399="","",IF(AND($F399="Agendado",$A399-Hoje&gt;=0,$A399-Hoje&lt;=DiasConf),"CONFIRMAR",IF(AND($A399&lt;Hoje,OR($F399="Agendado",$F399="Confirmado")),"Atualizar status",IF(AND($F399="Compareceu",$P399&gt;0.005),"Cobrar",IF($F399="Faltou","Falta: reagendar","")))))</f>
        <v>0</v>
      </c>
      <c r="T399" s="29">
        <f>IF($A399="","",DATE(YEAR($A399),MONTH($A399),1))</f>
        <v>0</v>
      </c>
      <c r="U399" s="30">
        <f>IF($S399="CONFIRMAR",MAX($U$4:$U398)+1,"")</f>
        <v>0</v>
      </c>
      <c r="V399" s="30">
        <f>IF(AND($R399="Não",$Q399&lt;&gt;"",$Q399&lt;=Hoje+JanelaRet,$Q399&gt;=Hoje-60),MAX($V$4:$V398)+1,"")</f>
        <v>0</v>
      </c>
    </row>
    <row r="400" spans="1:22">
      <c r="A400" s="16"/>
      <c r="B400" s="23"/>
      <c r="C400" s="15"/>
      <c r="D400" s="15"/>
      <c r="E400" s="15"/>
      <c r="F400" s="24"/>
      <c r="G400" s="17"/>
      <c r="H400" s="17"/>
      <c r="I400" s="15"/>
      <c r="J400" s="25">
        <f>IF($D400="","",IFERROR(INDEX(PacNome,MATCH($D400,PacCod,0)),"Paciente não cadastrado"))</f>
        <v>0</v>
      </c>
      <c r="K400" s="26">
        <f>IF($D400="","",IFERROR(INDEX(PacConv,MATCH($D400,PacCod,0))&amp;"",""))</f>
        <v>0</v>
      </c>
      <c r="L400" s="26">
        <f>IF($A400="","",CHOOSE(WEEKDAY($A400,2),"Seg","Ter","Qua","Qui","Sex","Sáb","Dom"))</f>
        <v>0</v>
      </c>
      <c r="M400" s="27">
        <f>IF($E400="","",IF($G400&lt;&gt;"",$G400,IFERROR(INDEX(ProcValor,MATCH($E400,ProcNome,0)),0)))</f>
        <v>0</v>
      </c>
      <c r="N400" s="27">
        <f>IF($M400="","",IF($F400="Compareceu",$M400,0))</f>
        <v>0</v>
      </c>
      <c r="O400" s="27">
        <f>IF($M400="","",IF($F400="Faltou",$M400,0))</f>
        <v>0</v>
      </c>
      <c r="P400" s="27">
        <f>IF($M400="","",IF($F400="Compareceu",MAX(0,$M400-N($H400)),0))</f>
        <v>0</v>
      </c>
      <c r="Q400" s="19">
        <f>IF(AND($F400="Compareceu",$E400&lt;&gt;"",$A400&lt;&gt;""),IF(IFERROR(INDEX(ProcRet,MATCH($E400,ProcNome,0)),0)&gt;0,$A400+INDEX(ProcRet,MATCH($E400,ProcNome,0)),""),"")</f>
        <v>0</v>
      </c>
      <c r="R400" s="26">
        <f>IF($Q400="","",IF(COUNTIFS(AgPac,$D400,AgData,"&gt;"&amp;$A400,AgStatus,"&lt;&gt;Cancelado",AgStatus,"&lt;&gt;Remarcado")&gt;0,"Sim","Não"))</f>
        <v>0</v>
      </c>
      <c r="S400" s="28">
        <f>IF($A400="","",IF(AND($F400="Agendado",$A400-Hoje&gt;=0,$A400-Hoje&lt;=DiasConf),"CONFIRMAR",IF(AND($A400&lt;Hoje,OR($F400="Agendado",$F400="Confirmado")),"Atualizar status",IF(AND($F400="Compareceu",$P400&gt;0.005),"Cobrar",IF($F400="Faltou","Falta: reagendar","")))))</f>
        <v>0</v>
      </c>
      <c r="T400" s="29">
        <f>IF($A400="","",DATE(YEAR($A400),MONTH($A400),1))</f>
        <v>0</v>
      </c>
      <c r="U400" s="30">
        <f>IF($S400="CONFIRMAR",MAX($U$4:$U399)+1,"")</f>
        <v>0</v>
      </c>
      <c r="V400" s="30">
        <f>IF(AND($R400="Não",$Q400&lt;&gt;"",$Q400&lt;=Hoje+JanelaRet,$Q400&gt;=Hoje-60),MAX($V$4:$V399)+1,"")</f>
        <v>0</v>
      </c>
    </row>
    <row r="401" spans="1:22">
      <c r="A401" s="16"/>
      <c r="B401" s="23"/>
      <c r="C401" s="15"/>
      <c r="D401" s="15"/>
      <c r="E401" s="15"/>
      <c r="F401" s="24"/>
      <c r="G401" s="17"/>
      <c r="H401" s="17"/>
      <c r="I401" s="15"/>
      <c r="J401" s="25">
        <f>IF($D401="","",IFERROR(INDEX(PacNome,MATCH($D401,PacCod,0)),"Paciente não cadastrado"))</f>
        <v>0</v>
      </c>
      <c r="K401" s="26">
        <f>IF($D401="","",IFERROR(INDEX(PacConv,MATCH($D401,PacCod,0))&amp;"",""))</f>
        <v>0</v>
      </c>
      <c r="L401" s="26">
        <f>IF($A401="","",CHOOSE(WEEKDAY($A401,2),"Seg","Ter","Qua","Qui","Sex","Sáb","Dom"))</f>
        <v>0</v>
      </c>
      <c r="M401" s="27">
        <f>IF($E401="","",IF($G401&lt;&gt;"",$G401,IFERROR(INDEX(ProcValor,MATCH($E401,ProcNome,0)),0)))</f>
        <v>0</v>
      </c>
      <c r="N401" s="27">
        <f>IF($M401="","",IF($F401="Compareceu",$M401,0))</f>
        <v>0</v>
      </c>
      <c r="O401" s="27">
        <f>IF($M401="","",IF($F401="Faltou",$M401,0))</f>
        <v>0</v>
      </c>
      <c r="P401" s="27">
        <f>IF($M401="","",IF($F401="Compareceu",MAX(0,$M401-N($H401)),0))</f>
        <v>0</v>
      </c>
      <c r="Q401" s="19">
        <f>IF(AND($F401="Compareceu",$E401&lt;&gt;"",$A401&lt;&gt;""),IF(IFERROR(INDEX(ProcRet,MATCH($E401,ProcNome,0)),0)&gt;0,$A401+INDEX(ProcRet,MATCH($E401,ProcNome,0)),""),"")</f>
        <v>0</v>
      </c>
      <c r="R401" s="26">
        <f>IF($Q401="","",IF(COUNTIFS(AgPac,$D401,AgData,"&gt;"&amp;$A401,AgStatus,"&lt;&gt;Cancelado",AgStatus,"&lt;&gt;Remarcado")&gt;0,"Sim","Não"))</f>
        <v>0</v>
      </c>
      <c r="S401" s="28">
        <f>IF($A401="","",IF(AND($F401="Agendado",$A401-Hoje&gt;=0,$A401-Hoje&lt;=DiasConf),"CONFIRMAR",IF(AND($A401&lt;Hoje,OR($F401="Agendado",$F401="Confirmado")),"Atualizar status",IF(AND($F401="Compareceu",$P401&gt;0.005),"Cobrar",IF($F401="Faltou","Falta: reagendar","")))))</f>
        <v>0</v>
      </c>
      <c r="T401" s="29">
        <f>IF($A401="","",DATE(YEAR($A401),MONTH($A401),1))</f>
        <v>0</v>
      </c>
      <c r="U401" s="30">
        <f>IF($S401="CONFIRMAR",MAX($U$4:$U400)+1,"")</f>
        <v>0</v>
      </c>
      <c r="V401" s="30">
        <f>IF(AND($R401="Não",$Q401&lt;&gt;"",$Q401&lt;=Hoje+JanelaRet,$Q401&gt;=Hoje-60),MAX($V$4:$V400)+1,"")</f>
        <v>0</v>
      </c>
    </row>
    <row r="402" spans="1:22">
      <c r="A402" s="16"/>
      <c r="B402" s="23"/>
      <c r="C402" s="15"/>
      <c r="D402" s="15"/>
      <c r="E402" s="15"/>
      <c r="F402" s="24"/>
      <c r="G402" s="17"/>
      <c r="H402" s="17"/>
      <c r="I402" s="15"/>
      <c r="J402" s="25">
        <f>IF($D402="","",IFERROR(INDEX(PacNome,MATCH($D402,PacCod,0)),"Paciente não cadastrado"))</f>
        <v>0</v>
      </c>
      <c r="K402" s="26">
        <f>IF($D402="","",IFERROR(INDEX(PacConv,MATCH($D402,PacCod,0))&amp;"",""))</f>
        <v>0</v>
      </c>
      <c r="L402" s="26">
        <f>IF($A402="","",CHOOSE(WEEKDAY($A402,2),"Seg","Ter","Qua","Qui","Sex","Sáb","Dom"))</f>
        <v>0</v>
      </c>
      <c r="M402" s="27">
        <f>IF($E402="","",IF($G402&lt;&gt;"",$G402,IFERROR(INDEX(ProcValor,MATCH($E402,ProcNome,0)),0)))</f>
        <v>0</v>
      </c>
      <c r="N402" s="27">
        <f>IF($M402="","",IF($F402="Compareceu",$M402,0))</f>
        <v>0</v>
      </c>
      <c r="O402" s="27">
        <f>IF($M402="","",IF($F402="Faltou",$M402,0))</f>
        <v>0</v>
      </c>
      <c r="P402" s="27">
        <f>IF($M402="","",IF($F402="Compareceu",MAX(0,$M402-N($H402)),0))</f>
        <v>0</v>
      </c>
      <c r="Q402" s="19">
        <f>IF(AND($F402="Compareceu",$E402&lt;&gt;"",$A402&lt;&gt;""),IF(IFERROR(INDEX(ProcRet,MATCH($E402,ProcNome,0)),0)&gt;0,$A402+INDEX(ProcRet,MATCH($E402,ProcNome,0)),""),"")</f>
        <v>0</v>
      </c>
      <c r="R402" s="26">
        <f>IF($Q402="","",IF(COUNTIFS(AgPac,$D402,AgData,"&gt;"&amp;$A402,AgStatus,"&lt;&gt;Cancelado",AgStatus,"&lt;&gt;Remarcado")&gt;0,"Sim","Não"))</f>
        <v>0</v>
      </c>
      <c r="S402" s="28">
        <f>IF($A402="","",IF(AND($F402="Agendado",$A402-Hoje&gt;=0,$A402-Hoje&lt;=DiasConf),"CONFIRMAR",IF(AND($A402&lt;Hoje,OR($F402="Agendado",$F402="Confirmado")),"Atualizar status",IF(AND($F402="Compareceu",$P402&gt;0.005),"Cobrar",IF($F402="Faltou","Falta: reagendar","")))))</f>
        <v>0</v>
      </c>
      <c r="T402" s="29">
        <f>IF($A402="","",DATE(YEAR($A402),MONTH($A402),1))</f>
        <v>0</v>
      </c>
      <c r="U402" s="30">
        <f>IF($S402="CONFIRMAR",MAX($U$4:$U401)+1,"")</f>
        <v>0</v>
      </c>
      <c r="V402" s="30">
        <f>IF(AND($R402="Não",$Q402&lt;&gt;"",$Q402&lt;=Hoje+JanelaRet,$Q402&gt;=Hoje-60),MAX($V$4:$V401)+1,"")</f>
        <v>0</v>
      </c>
    </row>
    <row r="403" spans="1:22">
      <c r="A403" s="16"/>
      <c r="B403" s="23"/>
      <c r="C403" s="15"/>
      <c r="D403" s="15"/>
      <c r="E403" s="15"/>
      <c r="F403" s="24"/>
      <c r="G403" s="17"/>
      <c r="H403" s="17"/>
      <c r="I403" s="15"/>
      <c r="J403" s="25">
        <f>IF($D403="","",IFERROR(INDEX(PacNome,MATCH($D403,PacCod,0)),"Paciente não cadastrado"))</f>
        <v>0</v>
      </c>
      <c r="K403" s="26">
        <f>IF($D403="","",IFERROR(INDEX(PacConv,MATCH($D403,PacCod,0))&amp;"",""))</f>
        <v>0</v>
      </c>
      <c r="L403" s="26">
        <f>IF($A403="","",CHOOSE(WEEKDAY($A403,2),"Seg","Ter","Qua","Qui","Sex","Sáb","Dom"))</f>
        <v>0</v>
      </c>
      <c r="M403" s="27">
        <f>IF($E403="","",IF($G403&lt;&gt;"",$G403,IFERROR(INDEX(ProcValor,MATCH($E403,ProcNome,0)),0)))</f>
        <v>0</v>
      </c>
      <c r="N403" s="27">
        <f>IF($M403="","",IF($F403="Compareceu",$M403,0))</f>
        <v>0</v>
      </c>
      <c r="O403" s="27">
        <f>IF($M403="","",IF($F403="Faltou",$M403,0))</f>
        <v>0</v>
      </c>
      <c r="P403" s="27">
        <f>IF($M403="","",IF($F403="Compareceu",MAX(0,$M403-N($H403)),0))</f>
        <v>0</v>
      </c>
      <c r="Q403" s="19">
        <f>IF(AND($F403="Compareceu",$E403&lt;&gt;"",$A403&lt;&gt;""),IF(IFERROR(INDEX(ProcRet,MATCH($E403,ProcNome,0)),0)&gt;0,$A403+INDEX(ProcRet,MATCH($E403,ProcNome,0)),""),"")</f>
        <v>0</v>
      </c>
      <c r="R403" s="26">
        <f>IF($Q403="","",IF(COUNTIFS(AgPac,$D403,AgData,"&gt;"&amp;$A403,AgStatus,"&lt;&gt;Cancelado",AgStatus,"&lt;&gt;Remarcado")&gt;0,"Sim","Não"))</f>
        <v>0</v>
      </c>
      <c r="S403" s="28">
        <f>IF($A403="","",IF(AND($F403="Agendado",$A403-Hoje&gt;=0,$A403-Hoje&lt;=DiasConf),"CONFIRMAR",IF(AND($A403&lt;Hoje,OR($F403="Agendado",$F403="Confirmado")),"Atualizar status",IF(AND($F403="Compareceu",$P403&gt;0.005),"Cobrar",IF($F403="Faltou","Falta: reagendar","")))))</f>
        <v>0</v>
      </c>
      <c r="T403" s="29">
        <f>IF($A403="","",DATE(YEAR($A403),MONTH($A403),1))</f>
        <v>0</v>
      </c>
      <c r="U403" s="30">
        <f>IF($S403="CONFIRMAR",MAX($U$4:$U402)+1,"")</f>
        <v>0</v>
      </c>
      <c r="V403" s="30">
        <f>IF(AND($R403="Não",$Q403&lt;&gt;"",$Q403&lt;=Hoje+JanelaRet,$Q403&gt;=Hoje-60),MAX($V$4:$V402)+1,"")</f>
        <v>0</v>
      </c>
    </row>
    <row r="404" spans="1:22">
      <c r="A404" s="16"/>
      <c r="B404" s="23"/>
      <c r="C404" s="15"/>
      <c r="D404" s="15"/>
      <c r="E404" s="15"/>
      <c r="F404" s="24"/>
      <c r="G404" s="17"/>
      <c r="H404" s="17"/>
      <c r="I404" s="15"/>
      <c r="J404" s="25">
        <f>IF($D404="","",IFERROR(INDEX(PacNome,MATCH($D404,PacCod,0)),"Paciente não cadastrado"))</f>
        <v>0</v>
      </c>
      <c r="K404" s="26">
        <f>IF($D404="","",IFERROR(INDEX(PacConv,MATCH($D404,PacCod,0))&amp;"",""))</f>
        <v>0</v>
      </c>
      <c r="L404" s="26">
        <f>IF($A404="","",CHOOSE(WEEKDAY($A404,2),"Seg","Ter","Qua","Qui","Sex","Sáb","Dom"))</f>
        <v>0</v>
      </c>
      <c r="M404" s="27">
        <f>IF($E404="","",IF($G404&lt;&gt;"",$G404,IFERROR(INDEX(ProcValor,MATCH($E404,ProcNome,0)),0)))</f>
        <v>0</v>
      </c>
      <c r="N404" s="27">
        <f>IF($M404="","",IF($F404="Compareceu",$M404,0))</f>
        <v>0</v>
      </c>
      <c r="O404" s="27">
        <f>IF($M404="","",IF($F404="Faltou",$M404,0))</f>
        <v>0</v>
      </c>
      <c r="P404" s="27">
        <f>IF($M404="","",IF($F404="Compareceu",MAX(0,$M404-N($H404)),0))</f>
        <v>0</v>
      </c>
      <c r="Q404" s="19">
        <f>IF(AND($F404="Compareceu",$E404&lt;&gt;"",$A404&lt;&gt;""),IF(IFERROR(INDEX(ProcRet,MATCH($E404,ProcNome,0)),0)&gt;0,$A404+INDEX(ProcRet,MATCH($E404,ProcNome,0)),""),"")</f>
        <v>0</v>
      </c>
      <c r="R404" s="26">
        <f>IF($Q404="","",IF(COUNTIFS(AgPac,$D404,AgData,"&gt;"&amp;$A404,AgStatus,"&lt;&gt;Cancelado",AgStatus,"&lt;&gt;Remarcado")&gt;0,"Sim","Não"))</f>
        <v>0</v>
      </c>
      <c r="S404" s="28">
        <f>IF($A404="","",IF(AND($F404="Agendado",$A404-Hoje&gt;=0,$A404-Hoje&lt;=DiasConf),"CONFIRMAR",IF(AND($A404&lt;Hoje,OR($F404="Agendado",$F404="Confirmado")),"Atualizar status",IF(AND($F404="Compareceu",$P404&gt;0.005),"Cobrar",IF($F404="Faltou","Falta: reagendar","")))))</f>
        <v>0</v>
      </c>
      <c r="T404" s="29">
        <f>IF($A404="","",DATE(YEAR($A404),MONTH($A404),1))</f>
        <v>0</v>
      </c>
      <c r="U404" s="30">
        <f>IF($S404="CONFIRMAR",MAX($U$4:$U403)+1,"")</f>
        <v>0</v>
      </c>
      <c r="V404" s="30">
        <f>IF(AND($R404="Não",$Q404&lt;&gt;"",$Q404&lt;=Hoje+JanelaRet,$Q404&gt;=Hoje-60),MAX($V$4:$V403)+1,"")</f>
        <v>0</v>
      </c>
    </row>
    <row r="405" spans="1:22">
      <c r="A405" s="16"/>
      <c r="B405" s="23"/>
      <c r="C405" s="15"/>
      <c r="D405" s="15"/>
      <c r="E405" s="15"/>
      <c r="F405" s="24"/>
      <c r="G405" s="17"/>
      <c r="H405" s="17"/>
      <c r="I405" s="15"/>
      <c r="J405" s="25">
        <f>IF($D405="","",IFERROR(INDEX(PacNome,MATCH($D405,PacCod,0)),"Paciente não cadastrado"))</f>
        <v>0</v>
      </c>
      <c r="K405" s="26">
        <f>IF($D405="","",IFERROR(INDEX(PacConv,MATCH($D405,PacCod,0))&amp;"",""))</f>
        <v>0</v>
      </c>
      <c r="L405" s="26">
        <f>IF($A405="","",CHOOSE(WEEKDAY($A405,2),"Seg","Ter","Qua","Qui","Sex","Sáb","Dom"))</f>
        <v>0</v>
      </c>
      <c r="M405" s="27">
        <f>IF($E405="","",IF($G405&lt;&gt;"",$G405,IFERROR(INDEX(ProcValor,MATCH($E405,ProcNome,0)),0)))</f>
        <v>0</v>
      </c>
      <c r="N405" s="27">
        <f>IF($M405="","",IF($F405="Compareceu",$M405,0))</f>
        <v>0</v>
      </c>
      <c r="O405" s="27">
        <f>IF($M405="","",IF($F405="Faltou",$M405,0))</f>
        <v>0</v>
      </c>
      <c r="P405" s="27">
        <f>IF($M405="","",IF($F405="Compareceu",MAX(0,$M405-N($H405)),0))</f>
        <v>0</v>
      </c>
      <c r="Q405" s="19">
        <f>IF(AND($F405="Compareceu",$E405&lt;&gt;"",$A405&lt;&gt;""),IF(IFERROR(INDEX(ProcRet,MATCH($E405,ProcNome,0)),0)&gt;0,$A405+INDEX(ProcRet,MATCH($E405,ProcNome,0)),""),"")</f>
        <v>0</v>
      </c>
      <c r="R405" s="26">
        <f>IF($Q405="","",IF(COUNTIFS(AgPac,$D405,AgData,"&gt;"&amp;$A405,AgStatus,"&lt;&gt;Cancelado",AgStatus,"&lt;&gt;Remarcado")&gt;0,"Sim","Não"))</f>
        <v>0</v>
      </c>
      <c r="S405" s="28">
        <f>IF($A405="","",IF(AND($F405="Agendado",$A405-Hoje&gt;=0,$A405-Hoje&lt;=DiasConf),"CONFIRMAR",IF(AND($A405&lt;Hoje,OR($F405="Agendado",$F405="Confirmado")),"Atualizar status",IF(AND($F405="Compareceu",$P405&gt;0.005),"Cobrar",IF($F405="Faltou","Falta: reagendar","")))))</f>
        <v>0</v>
      </c>
      <c r="T405" s="29">
        <f>IF($A405="","",DATE(YEAR($A405),MONTH($A405),1))</f>
        <v>0</v>
      </c>
      <c r="U405" s="30">
        <f>IF($S405="CONFIRMAR",MAX($U$4:$U404)+1,"")</f>
        <v>0</v>
      </c>
      <c r="V405" s="30">
        <f>IF(AND($R405="Não",$Q405&lt;&gt;"",$Q405&lt;=Hoje+JanelaRet,$Q405&gt;=Hoje-60),MAX($V$4:$V404)+1,"")</f>
        <v>0</v>
      </c>
    </row>
    <row r="406" spans="1:22">
      <c r="A406" s="16"/>
      <c r="B406" s="23"/>
      <c r="C406" s="15"/>
      <c r="D406" s="15"/>
      <c r="E406" s="15"/>
      <c r="F406" s="24"/>
      <c r="G406" s="17"/>
      <c r="H406" s="17"/>
      <c r="I406" s="15"/>
      <c r="J406" s="25">
        <f>IF($D406="","",IFERROR(INDEX(PacNome,MATCH($D406,PacCod,0)),"Paciente não cadastrado"))</f>
        <v>0</v>
      </c>
      <c r="K406" s="26">
        <f>IF($D406="","",IFERROR(INDEX(PacConv,MATCH($D406,PacCod,0))&amp;"",""))</f>
        <v>0</v>
      </c>
      <c r="L406" s="26">
        <f>IF($A406="","",CHOOSE(WEEKDAY($A406,2),"Seg","Ter","Qua","Qui","Sex","Sáb","Dom"))</f>
        <v>0</v>
      </c>
      <c r="M406" s="27">
        <f>IF($E406="","",IF($G406&lt;&gt;"",$G406,IFERROR(INDEX(ProcValor,MATCH($E406,ProcNome,0)),0)))</f>
        <v>0</v>
      </c>
      <c r="N406" s="27">
        <f>IF($M406="","",IF($F406="Compareceu",$M406,0))</f>
        <v>0</v>
      </c>
      <c r="O406" s="27">
        <f>IF($M406="","",IF($F406="Faltou",$M406,0))</f>
        <v>0</v>
      </c>
      <c r="P406" s="27">
        <f>IF($M406="","",IF($F406="Compareceu",MAX(0,$M406-N($H406)),0))</f>
        <v>0</v>
      </c>
      <c r="Q406" s="19">
        <f>IF(AND($F406="Compareceu",$E406&lt;&gt;"",$A406&lt;&gt;""),IF(IFERROR(INDEX(ProcRet,MATCH($E406,ProcNome,0)),0)&gt;0,$A406+INDEX(ProcRet,MATCH($E406,ProcNome,0)),""),"")</f>
        <v>0</v>
      </c>
      <c r="R406" s="26">
        <f>IF($Q406="","",IF(COUNTIFS(AgPac,$D406,AgData,"&gt;"&amp;$A406,AgStatus,"&lt;&gt;Cancelado",AgStatus,"&lt;&gt;Remarcado")&gt;0,"Sim","Não"))</f>
        <v>0</v>
      </c>
      <c r="S406" s="28">
        <f>IF($A406="","",IF(AND($F406="Agendado",$A406-Hoje&gt;=0,$A406-Hoje&lt;=DiasConf),"CONFIRMAR",IF(AND($A406&lt;Hoje,OR($F406="Agendado",$F406="Confirmado")),"Atualizar status",IF(AND($F406="Compareceu",$P406&gt;0.005),"Cobrar",IF($F406="Faltou","Falta: reagendar","")))))</f>
        <v>0</v>
      </c>
      <c r="T406" s="29">
        <f>IF($A406="","",DATE(YEAR($A406),MONTH($A406),1))</f>
        <v>0</v>
      </c>
      <c r="U406" s="30">
        <f>IF($S406="CONFIRMAR",MAX($U$4:$U405)+1,"")</f>
        <v>0</v>
      </c>
      <c r="V406" s="30">
        <f>IF(AND($R406="Não",$Q406&lt;&gt;"",$Q406&lt;=Hoje+JanelaRet,$Q406&gt;=Hoje-60),MAX($V$4:$V405)+1,"")</f>
        <v>0</v>
      </c>
    </row>
    <row r="407" spans="1:22">
      <c r="A407" s="16"/>
      <c r="B407" s="23"/>
      <c r="C407" s="15"/>
      <c r="D407" s="15"/>
      <c r="E407" s="15"/>
      <c r="F407" s="24"/>
      <c r="G407" s="17"/>
      <c r="H407" s="17"/>
      <c r="I407" s="15"/>
      <c r="J407" s="25">
        <f>IF($D407="","",IFERROR(INDEX(PacNome,MATCH($D407,PacCod,0)),"Paciente não cadastrado"))</f>
        <v>0</v>
      </c>
      <c r="K407" s="26">
        <f>IF($D407="","",IFERROR(INDEX(PacConv,MATCH($D407,PacCod,0))&amp;"",""))</f>
        <v>0</v>
      </c>
      <c r="L407" s="26">
        <f>IF($A407="","",CHOOSE(WEEKDAY($A407,2),"Seg","Ter","Qua","Qui","Sex","Sáb","Dom"))</f>
        <v>0</v>
      </c>
      <c r="M407" s="27">
        <f>IF($E407="","",IF($G407&lt;&gt;"",$G407,IFERROR(INDEX(ProcValor,MATCH($E407,ProcNome,0)),0)))</f>
        <v>0</v>
      </c>
      <c r="N407" s="27">
        <f>IF($M407="","",IF($F407="Compareceu",$M407,0))</f>
        <v>0</v>
      </c>
      <c r="O407" s="27">
        <f>IF($M407="","",IF($F407="Faltou",$M407,0))</f>
        <v>0</v>
      </c>
      <c r="P407" s="27">
        <f>IF($M407="","",IF($F407="Compareceu",MAX(0,$M407-N($H407)),0))</f>
        <v>0</v>
      </c>
      <c r="Q407" s="19">
        <f>IF(AND($F407="Compareceu",$E407&lt;&gt;"",$A407&lt;&gt;""),IF(IFERROR(INDEX(ProcRet,MATCH($E407,ProcNome,0)),0)&gt;0,$A407+INDEX(ProcRet,MATCH($E407,ProcNome,0)),""),"")</f>
        <v>0</v>
      </c>
      <c r="R407" s="26">
        <f>IF($Q407="","",IF(COUNTIFS(AgPac,$D407,AgData,"&gt;"&amp;$A407,AgStatus,"&lt;&gt;Cancelado",AgStatus,"&lt;&gt;Remarcado")&gt;0,"Sim","Não"))</f>
        <v>0</v>
      </c>
      <c r="S407" s="28">
        <f>IF($A407="","",IF(AND($F407="Agendado",$A407-Hoje&gt;=0,$A407-Hoje&lt;=DiasConf),"CONFIRMAR",IF(AND($A407&lt;Hoje,OR($F407="Agendado",$F407="Confirmado")),"Atualizar status",IF(AND($F407="Compareceu",$P407&gt;0.005),"Cobrar",IF($F407="Faltou","Falta: reagendar","")))))</f>
        <v>0</v>
      </c>
      <c r="T407" s="29">
        <f>IF($A407="","",DATE(YEAR($A407),MONTH($A407),1))</f>
        <v>0</v>
      </c>
      <c r="U407" s="30">
        <f>IF($S407="CONFIRMAR",MAX($U$4:$U406)+1,"")</f>
        <v>0</v>
      </c>
      <c r="V407" s="30">
        <f>IF(AND($R407="Não",$Q407&lt;&gt;"",$Q407&lt;=Hoje+JanelaRet,$Q407&gt;=Hoje-60),MAX($V$4:$V406)+1,"")</f>
        <v>0</v>
      </c>
    </row>
    <row r="408" spans="1:22">
      <c r="A408" s="16"/>
      <c r="B408" s="23"/>
      <c r="C408" s="15"/>
      <c r="D408" s="15"/>
      <c r="E408" s="15"/>
      <c r="F408" s="24"/>
      <c r="G408" s="17"/>
      <c r="H408" s="17"/>
      <c r="I408" s="15"/>
      <c r="J408" s="25">
        <f>IF($D408="","",IFERROR(INDEX(PacNome,MATCH($D408,PacCod,0)),"Paciente não cadastrado"))</f>
        <v>0</v>
      </c>
      <c r="K408" s="26">
        <f>IF($D408="","",IFERROR(INDEX(PacConv,MATCH($D408,PacCod,0))&amp;"",""))</f>
        <v>0</v>
      </c>
      <c r="L408" s="26">
        <f>IF($A408="","",CHOOSE(WEEKDAY($A408,2),"Seg","Ter","Qua","Qui","Sex","Sáb","Dom"))</f>
        <v>0</v>
      </c>
      <c r="M408" s="27">
        <f>IF($E408="","",IF($G408&lt;&gt;"",$G408,IFERROR(INDEX(ProcValor,MATCH($E408,ProcNome,0)),0)))</f>
        <v>0</v>
      </c>
      <c r="N408" s="27">
        <f>IF($M408="","",IF($F408="Compareceu",$M408,0))</f>
        <v>0</v>
      </c>
      <c r="O408" s="27">
        <f>IF($M408="","",IF($F408="Faltou",$M408,0))</f>
        <v>0</v>
      </c>
      <c r="P408" s="27">
        <f>IF($M408="","",IF($F408="Compareceu",MAX(0,$M408-N($H408)),0))</f>
        <v>0</v>
      </c>
      <c r="Q408" s="19">
        <f>IF(AND($F408="Compareceu",$E408&lt;&gt;"",$A408&lt;&gt;""),IF(IFERROR(INDEX(ProcRet,MATCH($E408,ProcNome,0)),0)&gt;0,$A408+INDEX(ProcRet,MATCH($E408,ProcNome,0)),""),"")</f>
        <v>0</v>
      </c>
      <c r="R408" s="26">
        <f>IF($Q408="","",IF(COUNTIFS(AgPac,$D408,AgData,"&gt;"&amp;$A408,AgStatus,"&lt;&gt;Cancelado",AgStatus,"&lt;&gt;Remarcado")&gt;0,"Sim","Não"))</f>
        <v>0</v>
      </c>
      <c r="S408" s="28">
        <f>IF($A408="","",IF(AND($F408="Agendado",$A408-Hoje&gt;=0,$A408-Hoje&lt;=DiasConf),"CONFIRMAR",IF(AND($A408&lt;Hoje,OR($F408="Agendado",$F408="Confirmado")),"Atualizar status",IF(AND($F408="Compareceu",$P408&gt;0.005),"Cobrar",IF($F408="Faltou","Falta: reagendar","")))))</f>
        <v>0</v>
      </c>
      <c r="T408" s="29">
        <f>IF($A408="","",DATE(YEAR($A408),MONTH($A408),1))</f>
        <v>0</v>
      </c>
      <c r="U408" s="30">
        <f>IF($S408="CONFIRMAR",MAX($U$4:$U407)+1,"")</f>
        <v>0</v>
      </c>
      <c r="V408" s="30">
        <f>IF(AND($R408="Não",$Q408&lt;&gt;"",$Q408&lt;=Hoje+JanelaRet,$Q408&gt;=Hoje-60),MAX($V$4:$V407)+1,"")</f>
        <v>0</v>
      </c>
    </row>
    <row r="409" spans="1:22">
      <c r="A409" s="16"/>
      <c r="B409" s="23"/>
      <c r="C409" s="15"/>
      <c r="D409" s="15"/>
      <c r="E409" s="15"/>
      <c r="F409" s="24"/>
      <c r="G409" s="17"/>
      <c r="H409" s="17"/>
      <c r="I409" s="15"/>
      <c r="J409" s="25">
        <f>IF($D409="","",IFERROR(INDEX(PacNome,MATCH($D409,PacCod,0)),"Paciente não cadastrado"))</f>
        <v>0</v>
      </c>
      <c r="K409" s="26">
        <f>IF($D409="","",IFERROR(INDEX(PacConv,MATCH($D409,PacCod,0))&amp;"",""))</f>
        <v>0</v>
      </c>
      <c r="L409" s="26">
        <f>IF($A409="","",CHOOSE(WEEKDAY($A409,2),"Seg","Ter","Qua","Qui","Sex","Sáb","Dom"))</f>
        <v>0</v>
      </c>
      <c r="M409" s="27">
        <f>IF($E409="","",IF($G409&lt;&gt;"",$G409,IFERROR(INDEX(ProcValor,MATCH($E409,ProcNome,0)),0)))</f>
        <v>0</v>
      </c>
      <c r="N409" s="27">
        <f>IF($M409="","",IF($F409="Compareceu",$M409,0))</f>
        <v>0</v>
      </c>
      <c r="O409" s="27">
        <f>IF($M409="","",IF($F409="Faltou",$M409,0))</f>
        <v>0</v>
      </c>
      <c r="P409" s="27">
        <f>IF($M409="","",IF($F409="Compareceu",MAX(0,$M409-N($H409)),0))</f>
        <v>0</v>
      </c>
      <c r="Q409" s="19">
        <f>IF(AND($F409="Compareceu",$E409&lt;&gt;"",$A409&lt;&gt;""),IF(IFERROR(INDEX(ProcRet,MATCH($E409,ProcNome,0)),0)&gt;0,$A409+INDEX(ProcRet,MATCH($E409,ProcNome,0)),""),"")</f>
        <v>0</v>
      </c>
      <c r="R409" s="26">
        <f>IF($Q409="","",IF(COUNTIFS(AgPac,$D409,AgData,"&gt;"&amp;$A409,AgStatus,"&lt;&gt;Cancelado",AgStatus,"&lt;&gt;Remarcado")&gt;0,"Sim","Não"))</f>
        <v>0</v>
      </c>
      <c r="S409" s="28">
        <f>IF($A409="","",IF(AND($F409="Agendado",$A409-Hoje&gt;=0,$A409-Hoje&lt;=DiasConf),"CONFIRMAR",IF(AND($A409&lt;Hoje,OR($F409="Agendado",$F409="Confirmado")),"Atualizar status",IF(AND($F409="Compareceu",$P409&gt;0.005),"Cobrar",IF($F409="Faltou","Falta: reagendar","")))))</f>
        <v>0</v>
      </c>
      <c r="T409" s="29">
        <f>IF($A409="","",DATE(YEAR($A409),MONTH($A409),1))</f>
        <v>0</v>
      </c>
      <c r="U409" s="30">
        <f>IF($S409="CONFIRMAR",MAX($U$4:$U408)+1,"")</f>
        <v>0</v>
      </c>
      <c r="V409" s="30">
        <f>IF(AND($R409="Não",$Q409&lt;&gt;"",$Q409&lt;=Hoje+JanelaRet,$Q409&gt;=Hoje-60),MAX($V$4:$V408)+1,"")</f>
        <v>0</v>
      </c>
    </row>
    <row r="410" spans="1:22">
      <c r="A410" s="16"/>
      <c r="B410" s="23"/>
      <c r="C410" s="15"/>
      <c r="D410" s="15"/>
      <c r="E410" s="15"/>
      <c r="F410" s="24"/>
      <c r="G410" s="17"/>
      <c r="H410" s="17"/>
      <c r="I410" s="15"/>
      <c r="J410" s="25">
        <f>IF($D410="","",IFERROR(INDEX(PacNome,MATCH($D410,PacCod,0)),"Paciente não cadastrado"))</f>
        <v>0</v>
      </c>
      <c r="K410" s="26">
        <f>IF($D410="","",IFERROR(INDEX(PacConv,MATCH($D410,PacCod,0))&amp;"",""))</f>
        <v>0</v>
      </c>
      <c r="L410" s="26">
        <f>IF($A410="","",CHOOSE(WEEKDAY($A410,2),"Seg","Ter","Qua","Qui","Sex","Sáb","Dom"))</f>
        <v>0</v>
      </c>
      <c r="M410" s="27">
        <f>IF($E410="","",IF($G410&lt;&gt;"",$G410,IFERROR(INDEX(ProcValor,MATCH($E410,ProcNome,0)),0)))</f>
        <v>0</v>
      </c>
      <c r="N410" s="27">
        <f>IF($M410="","",IF($F410="Compareceu",$M410,0))</f>
        <v>0</v>
      </c>
      <c r="O410" s="27">
        <f>IF($M410="","",IF($F410="Faltou",$M410,0))</f>
        <v>0</v>
      </c>
      <c r="P410" s="27">
        <f>IF($M410="","",IF($F410="Compareceu",MAX(0,$M410-N($H410)),0))</f>
        <v>0</v>
      </c>
      <c r="Q410" s="19">
        <f>IF(AND($F410="Compareceu",$E410&lt;&gt;"",$A410&lt;&gt;""),IF(IFERROR(INDEX(ProcRet,MATCH($E410,ProcNome,0)),0)&gt;0,$A410+INDEX(ProcRet,MATCH($E410,ProcNome,0)),""),"")</f>
        <v>0</v>
      </c>
      <c r="R410" s="26">
        <f>IF($Q410="","",IF(COUNTIFS(AgPac,$D410,AgData,"&gt;"&amp;$A410,AgStatus,"&lt;&gt;Cancelado",AgStatus,"&lt;&gt;Remarcado")&gt;0,"Sim","Não"))</f>
        <v>0</v>
      </c>
      <c r="S410" s="28">
        <f>IF($A410="","",IF(AND($F410="Agendado",$A410-Hoje&gt;=0,$A410-Hoje&lt;=DiasConf),"CONFIRMAR",IF(AND($A410&lt;Hoje,OR($F410="Agendado",$F410="Confirmado")),"Atualizar status",IF(AND($F410="Compareceu",$P410&gt;0.005),"Cobrar",IF($F410="Faltou","Falta: reagendar","")))))</f>
        <v>0</v>
      </c>
      <c r="T410" s="29">
        <f>IF($A410="","",DATE(YEAR($A410),MONTH($A410),1))</f>
        <v>0</v>
      </c>
      <c r="U410" s="30">
        <f>IF($S410="CONFIRMAR",MAX($U$4:$U409)+1,"")</f>
        <v>0</v>
      </c>
      <c r="V410" s="30">
        <f>IF(AND($R410="Não",$Q410&lt;&gt;"",$Q410&lt;=Hoje+JanelaRet,$Q410&gt;=Hoje-60),MAX($V$4:$V409)+1,"")</f>
        <v>0</v>
      </c>
    </row>
    <row r="411" spans="1:22">
      <c r="A411" s="16"/>
      <c r="B411" s="23"/>
      <c r="C411" s="15"/>
      <c r="D411" s="15"/>
      <c r="E411" s="15"/>
      <c r="F411" s="24"/>
      <c r="G411" s="17"/>
      <c r="H411" s="17"/>
      <c r="I411" s="15"/>
      <c r="J411" s="25">
        <f>IF($D411="","",IFERROR(INDEX(PacNome,MATCH($D411,PacCod,0)),"Paciente não cadastrado"))</f>
        <v>0</v>
      </c>
      <c r="K411" s="26">
        <f>IF($D411="","",IFERROR(INDEX(PacConv,MATCH($D411,PacCod,0))&amp;"",""))</f>
        <v>0</v>
      </c>
      <c r="L411" s="26">
        <f>IF($A411="","",CHOOSE(WEEKDAY($A411,2),"Seg","Ter","Qua","Qui","Sex","Sáb","Dom"))</f>
        <v>0</v>
      </c>
      <c r="M411" s="27">
        <f>IF($E411="","",IF($G411&lt;&gt;"",$G411,IFERROR(INDEX(ProcValor,MATCH($E411,ProcNome,0)),0)))</f>
        <v>0</v>
      </c>
      <c r="N411" s="27">
        <f>IF($M411="","",IF($F411="Compareceu",$M411,0))</f>
        <v>0</v>
      </c>
      <c r="O411" s="27">
        <f>IF($M411="","",IF($F411="Faltou",$M411,0))</f>
        <v>0</v>
      </c>
      <c r="P411" s="27">
        <f>IF($M411="","",IF($F411="Compareceu",MAX(0,$M411-N($H411)),0))</f>
        <v>0</v>
      </c>
      <c r="Q411" s="19">
        <f>IF(AND($F411="Compareceu",$E411&lt;&gt;"",$A411&lt;&gt;""),IF(IFERROR(INDEX(ProcRet,MATCH($E411,ProcNome,0)),0)&gt;0,$A411+INDEX(ProcRet,MATCH($E411,ProcNome,0)),""),"")</f>
        <v>0</v>
      </c>
      <c r="R411" s="26">
        <f>IF($Q411="","",IF(COUNTIFS(AgPac,$D411,AgData,"&gt;"&amp;$A411,AgStatus,"&lt;&gt;Cancelado",AgStatus,"&lt;&gt;Remarcado")&gt;0,"Sim","Não"))</f>
        <v>0</v>
      </c>
      <c r="S411" s="28">
        <f>IF($A411="","",IF(AND($F411="Agendado",$A411-Hoje&gt;=0,$A411-Hoje&lt;=DiasConf),"CONFIRMAR",IF(AND($A411&lt;Hoje,OR($F411="Agendado",$F411="Confirmado")),"Atualizar status",IF(AND($F411="Compareceu",$P411&gt;0.005),"Cobrar",IF($F411="Faltou","Falta: reagendar","")))))</f>
        <v>0</v>
      </c>
      <c r="T411" s="29">
        <f>IF($A411="","",DATE(YEAR($A411),MONTH($A411),1))</f>
        <v>0</v>
      </c>
      <c r="U411" s="30">
        <f>IF($S411="CONFIRMAR",MAX($U$4:$U410)+1,"")</f>
        <v>0</v>
      </c>
      <c r="V411" s="30">
        <f>IF(AND($R411="Não",$Q411&lt;&gt;"",$Q411&lt;=Hoje+JanelaRet,$Q411&gt;=Hoje-60),MAX($V$4:$V410)+1,"")</f>
        <v>0</v>
      </c>
    </row>
    <row r="412" spans="1:22">
      <c r="A412" s="16"/>
      <c r="B412" s="23"/>
      <c r="C412" s="15"/>
      <c r="D412" s="15"/>
      <c r="E412" s="15"/>
      <c r="F412" s="24"/>
      <c r="G412" s="17"/>
      <c r="H412" s="17"/>
      <c r="I412" s="15"/>
      <c r="J412" s="25">
        <f>IF($D412="","",IFERROR(INDEX(PacNome,MATCH($D412,PacCod,0)),"Paciente não cadastrado"))</f>
        <v>0</v>
      </c>
      <c r="K412" s="26">
        <f>IF($D412="","",IFERROR(INDEX(PacConv,MATCH($D412,PacCod,0))&amp;"",""))</f>
        <v>0</v>
      </c>
      <c r="L412" s="26">
        <f>IF($A412="","",CHOOSE(WEEKDAY($A412,2),"Seg","Ter","Qua","Qui","Sex","Sáb","Dom"))</f>
        <v>0</v>
      </c>
      <c r="M412" s="27">
        <f>IF($E412="","",IF($G412&lt;&gt;"",$G412,IFERROR(INDEX(ProcValor,MATCH($E412,ProcNome,0)),0)))</f>
        <v>0</v>
      </c>
      <c r="N412" s="27">
        <f>IF($M412="","",IF($F412="Compareceu",$M412,0))</f>
        <v>0</v>
      </c>
      <c r="O412" s="27">
        <f>IF($M412="","",IF($F412="Faltou",$M412,0))</f>
        <v>0</v>
      </c>
      <c r="P412" s="27">
        <f>IF($M412="","",IF($F412="Compareceu",MAX(0,$M412-N($H412)),0))</f>
        <v>0</v>
      </c>
      <c r="Q412" s="19">
        <f>IF(AND($F412="Compareceu",$E412&lt;&gt;"",$A412&lt;&gt;""),IF(IFERROR(INDEX(ProcRet,MATCH($E412,ProcNome,0)),0)&gt;0,$A412+INDEX(ProcRet,MATCH($E412,ProcNome,0)),""),"")</f>
        <v>0</v>
      </c>
      <c r="R412" s="26">
        <f>IF($Q412="","",IF(COUNTIFS(AgPac,$D412,AgData,"&gt;"&amp;$A412,AgStatus,"&lt;&gt;Cancelado",AgStatus,"&lt;&gt;Remarcado")&gt;0,"Sim","Não"))</f>
        <v>0</v>
      </c>
      <c r="S412" s="28">
        <f>IF($A412="","",IF(AND($F412="Agendado",$A412-Hoje&gt;=0,$A412-Hoje&lt;=DiasConf),"CONFIRMAR",IF(AND($A412&lt;Hoje,OR($F412="Agendado",$F412="Confirmado")),"Atualizar status",IF(AND($F412="Compareceu",$P412&gt;0.005),"Cobrar",IF($F412="Faltou","Falta: reagendar","")))))</f>
        <v>0</v>
      </c>
      <c r="T412" s="29">
        <f>IF($A412="","",DATE(YEAR($A412),MONTH($A412),1))</f>
        <v>0</v>
      </c>
      <c r="U412" s="30">
        <f>IF($S412="CONFIRMAR",MAX($U$4:$U411)+1,"")</f>
        <v>0</v>
      </c>
      <c r="V412" s="30">
        <f>IF(AND($R412="Não",$Q412&lt;&gt;"",$Q412&lt;=Hoje+JanelaRet,$Q412&gt;=Hoje-60),MAX($V$4:$V411)+1,"")</f>
        <v>0</v>
      </c>
    </row>
    <row r="413" spans="1:22">
      <c r="A413" s="16"/>
      <c r="B413" s="23"/>
      <c r="C413" s="15"/>
      <c r="D413" s="15"/>
      <c r="E413" s="15"/>
      <c r="F413" s="24"/>
      <c r="G413" s="17"/>
      <c r="H413" s="17"/>
      <c r="I413" s="15"/>
      <c r="J413" s="25">
        <f>IF($D413="","",IFERROR(INDEX(PacNome,MATCH($D413,PacCod,0)),"Paciente não cadastrado"))</f>
        <v>0</v>
      </c>
      <c r="K413" s="26">
        <f>IF($D413="","",IFERROR(INDEX(PacConv,MATCH($D413,PacCod,0))&amp;"",""))</f>
        <v>0</v>
      </c>
      <c r="L413" s="26">
        <f>IF($A413="","",CHOOSE(WEEKDAY($A413,2),"Seg","Ter","Qua","Qui","Sex","Sáb","Dom"))</f>
        <v>0</v>
      </c>
      <c r="M413" s="27">
        <f>IF($E413="","",IF($G413&lt;&gt;"",$G413,IFERROR(INDEX(ProcValor,MATCH($E413,ProcNome,0)),0)))</f>
        <v>0</v>
      </c>
      <c r="N413" s="27">
        <f>IF($M413="","",IF($F413="Compareceu",$M413,0))</f>
        <v>0</v>
      </c>
      <c r="O413" s="27">
        <f>IF($M413="","",IF($F413="Faltou",$M413,0))</f>
        <v>0</v>
      </c>
      <c r="P413" s="27">
        <f>IF($M413="","",IF($F413="Compareceu",MAX(0,$M413-N($H413)),0))</f>
        <v>0</v>
      </c>
      <c r="Q413" s="19">
        <f>IF(AND($F413="Compareceu",$E413&lt;&gt;"",$A413&lt;&gt;""),IF(IFERROR(INDEX(ProcRet,MATCH($E413,ProcNome,0)),0)&gt;0,$A413+INDEX(ProcRet,MATCH($E413,ProcNome,0)),""),"")</f>
        <v>0</v>
      </c>
      <c r="R413" s="26">
        <f>IF($Q413="","",IF(COUNTIFS(AgPac,$D413,AgData,"&gt;"&amp;$A413,AgStatus,"&lt;&gt;Cancelado",AgStatus,"&lt;&gt;Remarcado")&gt;0,"Sim","Não"))</f>
        <v>0</v>
      </c>
      <c r="S413" s="28">
        <f>IF($A413="","",IF(AND($F413="Agendado",$A413-Hoje&gt;=0,$A413-Hoje&lt;=DiasConf),"CONFIRMAR",IF(AND($A413&lt;Hoje,OR($F413="Agendado",$F413="Confirmado")),"Atualizar status",IF(AND($F413="Compareceu",$P413&gt;0.005),"Cobrar",IF($F413="Faltou","Falta: reagendar","")))))</f>
        <v>0</v>
      </c>
      <c r="T413" s="29">
        <f>IF($A413="","",DATE(YEAR($A413),MONTH($A413),1))</f>
        <v>0</v>
      </c>
      <c r="U413" s="30">
        <f>IF($S413="CONFIRMAR",MAX($U$4:$U412)+1,"")</f>
        <v>0</v>
      </c>
      <c r="V413" s="30">
        <f>IF(AND($R413="Não",$Q413&lt;&gt;"",$Q413&lt;=Hoje+JanelaRet,$Q413&gt;=Hoje-60),MAX($V$4:$V412)+1,"")</f>
        <v>0</v>
      </c>
    </row>
    <row r="414" spans="1:22">
      <c r="A414" s="16"/>
      <c r="B414" s="23"/>
      <c r="C414" s="15"/>
      <c r="D414" s="15"/>
      <c r="E414" s="15"/>
      <c r="F414" s="24"/>
      <c r="G414" s="17"/>
      <c r="H414" s="17"/>
      <c r="I414" s="15"/>
      <c r="J414" s="25">
        <f>IF($D414="","",IFERROR(INDEX(PacNome,MATCH($D414,PacCod,0)),"Paciente não cadastrado"))</f>
        <v>0</v>
      </c>
      <c r="K414" s="26">
        <f>IF($D414="","",IFERROR(INDEX(PacConv,MATCH($D414,PacCod,0))&amp;"",""))</f>
        <v>0</v>
      </c>
      <c r="L414" s="26">
        <f>IF($A414="","",CHOOSE(WEEKDAY($A414,2),"Seg","Ter","Qua","Qui","Sex","Sáb","Dom"))</f>
        <v>0</v>
      </c>
      <c r="M414" s="27">
        <f>IF($E414="","",IF($G414&lt;&gt;"",$G414,IFERROR(INDEX(ProcValor,MATCH($E414,ProcNome,0)),0)))</f>
        <v>0</v>
      </c>
      <c r="N414" s="27">
        <f>IF($M414="","",IF($F414="Compareceu",$M414,0))</f>
        <v>0</v>
      </c>
      <c r="O414" s="27">
        <f>IF($M414="","",IF($F414="Faltou",$M414,0))</f>
        <v>0</v>
      </c>
      <c r="P414" s="27">
        <f>IF($M414="","",IF($F414="Compareceu",MAX(0,$M414-N($H414)),0))</f>
        <v>0</v>
      </c>
      <c r="Q414" s="19">
        <f>IF(AND($F414="Compareceu",$E414&lt;&gt;"",$A414&lt;&gt;""),IF(IFERROR(INDEX(ProcRet,MATCH($E414,ProcNome,0)),0)&gt;0,$A414+INDEX(ProcRet,MATCH($E414,ProcNome,0)),""),"")</f>
        <v>0</v>
      </c>
      <c r="R414" s="26">
        <f>IF($Q414="","",IF(COUNTIFS(AgPac,$D414,AgData,"&gt;"&amp;$A414,AgStatus,"&lt;&gt;Cancelado",AgStatus,"&lt;&gt;Remarcado")&gt;0,"Sim","Não"))</f>
        <v>0</v>
      </c>
      <c r="S414" s="28">
        <f>IF($A414="","",IF(AND($F414="Agendado",$A414-Hoje&gt;=0,$A414-Hoje&lt;=DiasConf),"CONFIRMAR",IF(AND($A414&lt;Hoje,OR($F414="Agendado",$F414="Confirmado")),"Atualizar status",IF(AND($F414="Compareceu",$P414&gt;0.005),"Cobrar",IF($F414="Faltou","Falta: reagendar","")))))</f>
        <v>0</v>
      </c>
      <c r="T414" s="29">
        <f>IF($A414="","",DATE(YEAR($A414),MONTH($A414),1))</f>
        <v>0</v>
      </c>
      <c r="U414" s="30">
        <f>IF($S414="CONFIRMAR",MAX($U$4:$U413)+1,"")</f>
        <v>0</v>
      </c>
      <c r="V414" s="30">
        <f>IF(AND($R414="Não",$Q414&lt;&gt;"",$Q414&lt;=Hoje+JanelaRet,$Q414&gt;=Hoje-60),MAX($V$4:$V413)+1,"")</f>
        <v>0</v>
      </c>
    </row>
    <row r="415" spans="1:22">
      <c r="A415" s="16"/>
      <c r="B415" s="23"/>
      <c r="C415" s="15"/>
      <c r="D415" s="15"/>
      <c r="E415" s="15"/>
      <c r="F415" s="24"/>
      <c r="G415" s="17"/>
      <c r="H415" s="17"/>
      <c r="I415" s="15"/>
      <c r="J415" s="25">
        <f>IF($D415="","",IFERROR(INDEX(PacNome,MATCH($D415,PacCod,0)),"Paciente não cadastrado"))</f>
        <v>0</v>
      </c>
      <c r="K415" s="26">
        <f>IF($D415="","",IFERROR(INDEX(PacConv,MATCH($D415,PacCod,0))&amp;"",""))</f>
        <v>0</v>
      </c>
      <c r="L415" s="26">
        <f>IF($A415="","",CHOOSE(WEEKDAY($A415,2),"Seg","Ter","Qua","Qui","Sex","Sáb","Dom"))</f>
        <v>0</v>
      </c>
      <c r="M415" s="27">
        <f>IF($E415="","",IF($G415&lt;&gt;"",$G415,IFERROR(INDEX(ProcValor,MATCH($E415,ProcNome,0)),0)))</f>
        <v>0</v>
      </c>
      <c r="N415" s="27">
        <f>IF($M415="","",IF($F415="Compareceu",$M415,0))</f>
        <v>0</v>
      </c>
      <c r="O415" s="27">
        <f>IF($M415="","",IF($F415="Faltou",$M415,0))</f>
        <v>0</v>
      </c>
      <c r="P415" s="27">
        <f>IF($M415="","",IF($F415="Compareceu",MAX(0,$M415-N($H415)),0))</f>
        <v>0</v>
      </c>
      <c r="Q415" s="19">
        <f>IF(AND($F415="Compareceu",$E415&lt;&gt;"",$A415&lt;&gt;""),IF(IFERROR(INDEX(ProcRet,MATCH($E415,ProcNome,0)),0)&gt;0,$A415+INDEX(ProcRet,MATCH($E415,ProcNome,0)),""),"")</f>
        <v>0</v>
      </c>
      <c r="R415" s="26">
        <f>IF($Q415="","",IF(COUNTIFS(AgPac,$D415,AgData,"&gt;"&amp;$A415,AgStatus,"&lt;&gt;Cancelado",AgStatus,"&lt;&gt;Remarcado")&gt;0,"Sim","Não"))</f>
        <v>0</v>
      </c>
      <c r="S415" s="28">
        <f>IF($A415="","",IF(AND($F415="Agendado",$A415-Hoje&gt;=0,$A415-Hoje&lt;=DiasConf),"CONFIRMAR",IF(AND($A415&lt;Hoje,OR($F415="Agendado",$F415="Confirmado")),"Atualizar status",IF(AND($F415="Compareceu",$P415&gt;0.005),"Cobrar",IF($F415="Faltou","Falta: reagendar","")))))</f>
        <v>0</v>
      </c>
      <c r="T415" s="29">
        <f>IF($A415="","",DATE(YEAR($A415),MONTH($A415),1))</f>
        <v>0</v>
      </c>
      <c r="U415" s="30">
        <f>IF($S415="CONFIRMAR",MAX($U$4:$U414)+1,"")</f>
        <v>0</v>
      </c>
      <c r="V415" s="30">
        <f>IF(AND($R415="Não",$Q415&lt;&gt;"",$Q415&lt;=Hoje+JanelaRet,$Q415&gt;=Hoje-60),MAX($V$4:$V414)+1,"")</f>
        <v>0</v>
      </c>
    </row>
    <row r="416" spans="1:22">
      <c r="A416" s="16"/>
      <c r="B416" s="23"/>
      <c r="C416" s="15"/>
      <c r="D416" s="15"/>
      <c r="E416" s="15"/>
      <c r="F416" s="24"/>
      <c r="G416" s="17"/>
      <c r="H416" s="17"/>
      <c r="I416" s="15"/>
      <c r="J416" s="25">
        <f>IF($D416="","",IFERROR(INDEX(PacNome,MATCH($D416,PacCod,0)),"Paciente não cadastrado"))</f>
        <v>0</v>
      </c>
      <c r="K416" s="26">
        <f>IF($D416="","",IFERROR(INDEX(PacConv,MATCH($D416,PacCod,0))&amp;"",""))</f>
        <v>0</v>
      </c>
      <c r="L416" s="26">
        <f>IF($A416="","",CHOOSE(WEEKDAY($A416,2),"Seg","Ter","Qua","Qui","Sex","Sáb","Dom"))</f>
        <v>0</v>
      </c>
      <c r="M416" s="27">
        <f>IF($E416="","",IF($G416&lt;&gt;"",$G416,IFERROR(INDEX(ProcValor,MATCH($E416,ProcNome,0)),0)))</f>
        <v>0</v>
      </c>
      <c r="N416" s="27">
        <f>IF($M416="","",IF($F416="Compareceu",$M416,0))</f>
        <v>0</v>
      </c>
      <c r="O416" s="27">
        <f>IF($M416="","",IF($F416="Faltou",$M416,0))</f>
        <v>0</v>
      </c>
      <c r="P416" s="27">
        <f>IF($M416="","",IF($F416="Compareceu",MAX(0,$M416-N($H416)),0))</f>
        <v>0</v>
      </c>
      <c r="Q416" s="19">
        <f>IF(AND($F416="Compareceu",$E416&lt;&gt;"",$A416&lt;&gt;""),IF(IFERROR(INDEX(ProcRet,MATCH($E416,ProcNome,0)),0)&gt;0,$A416+INDEX(ProcRet,MATCH($E416,ProcNome,0)),""),"")</f>
        <v>0</v>
      </c>
      <c r="R416" s="26">
        <f>IF($Q416="","",IF(COUNTIFS(AgPac,$D416,AgData,"&gt;"&amp;$A416,AgStatus,"&lt;&gt;Cancelado",AgStatus,"&lt;&gt;Remarcado")&gt;0,"Sim","Não"))</f>
        <v>0</v>
      </c>
      <c r="S416" s="28">
        <f>IF($A416="","",IF(AND($F416="Agendado",$A416-Hoje&gt;=0,$A416-Hoje&lt;=DiasConf),"CONFIRMAR",IF(AND($A416&lt;Hoje,OR($F416="Agendado",$F416="Confirmado")),"Atualizar status",IF(AND($F416="Compareceu",$P416&gt;0.005),"Cobrar",IF($F416="Faltou","Falta: reagendar","")))))</f>
        <v>0</v>
      </c>
      <c r="T416" s="29">
        <f>IF($A416="","",DATE(YEAR($A416),MONTH($A416),1))</f>
        <v>0</v>
      </c>
      <c r="U416" s="30">
        <f>IF($S416="CONFIRMAR",MAX($U$4:$U415)+1,"")</f>
        <v>0</v>
      </c>
      <c r="V416" s="30">
        <f>IF(AND($R416="Não",$Q416&lt;&gt;"",$Q416&lt;=Hoje+JanelaRet,$Q416&gt;=Hoje-60),MAX($V$4:$V415)+1,"")</f>
        <v>0</v>
      </c>
    </row>
    <row r="417" spans="1:22">
      <c r="A417" s="16"/>
      <c r="B417" s="23"/>
      <c r="C417" s="15"/>
      <c r="D417" s="15"/>
      <c r="E417" s="15"/>
      <c r="F417" s="24"/>
      <c r="G417" s="17"/>
      <c r="H417" s="17"/>
      <c r="I417" s="15"/>
      <c r="J417" s="25">
        <f>IF($D417="","",IFERROR(INDEX(PacNome,MATCH($D417,PacCod,0)),"Paciente não cadastrado"))</f>
        <v>0</v>
      </c>
      <c r="K417" s="26">
        <f>IF($D417="","",IFERROR(INDEX(PacConv,MATCH($D417,PacCod,0))&amp;"",""))</f>
        <v>0</v>
      </c>
      <c r="L417" s="26">
        <f>IF($A417="","",CHOOSE(WEEKDAY($A417,2),"Seg","Ter","Qua","Qui","Sex","Sáb","Dom"))</f>
        <v>0</v>
      </c>
      <c r="M417" s="27">
        <f>IF($E417="","",IF($G417&lt;&gt;"",$G417,IFERROR(INDEX(ProcValor,MATCH($E417,ProcNome,0)),0)))</f>
        <v>0</v>
      </c>
      <c r="N417" s="27">
        <f>IF($M417="","",IF($F417="Compareceu",$M417,0))</f>
        <v>0</v>
      </c>
      <c r="O417" s="27">
        <f>IF($M417="","",IF($F417="Faltou",$M417,0))</f>
        <v>0</v>
      </c>
      <c r="P417" s="27">
        <f>IF($M417="","",IF($F417="Compareceu",MAX(0,$M417-N($H417)),0))</f>
        <v>0</v>
      </c>
      <c r="Q417" s="19">
        <f>IF(AND($F417="Compareceu",$E417&lt;&gt;"",$A417&lt;&gt;""),IF(IFERROR(INDEX(ProcRet,MATCH($E417,ProcNome,0)),0)&gt;0,$A417+INDEX(ProcRet,MATCH($E417,ProcNome,0)),""),"")</f>
        <v>0</v>
      </c>
      <c r="R417" s="26">
        <f>IF($Q417="","",IF(COUNTIFS(AgPac,$D417,AgData,"&gt;"&amp;$A417,AgStatus,"&lt;&gt;Cancelado",AgStatus,"&lt;&gt;Remarcado")&gt;0,"Sim","Não"))</f>
        <v>0</v>
      </c>
      <c r="S417" s="28">
        <f>IF($A417="","",IF(AND($F417="Agendado",$A417-Hoje&gt;=0,$A417-Hoje&lt;=DiasConf),"CONFIRMAR",IF(AND($A417&lt;Hoje,OR($F417="Agendado",$F417="Confirmado")),"Atualizar status",IF(AND($F417="Compareceu",$P417&gt;0.005),"Cobrar",IF($F417="Faltou","Falta: reagendar","")))))</f>
        <v>0</v>
      </c>
      <c r="T417" s="29">
        <f>IF($A417="","",DATE(YEAR($A417),MONTH($A417),1))</f>
        <v>0</v>
      </c>
      <c r="U417" s="30">
        <f>IF($S417="CONFIRMAR",MAX($U$4:$U416)+1,"")</f>
        <v>0</v>
      </c>
      <c r="V417" s="30">
        <f>IF(AND($R417="Não",$Q417&lt;&gt;"",$Q417&lt;=Hoje+JanelaRet,$Q417&gt;=Hoje-60),MAX($V$4:$V416)+1,"")</f>
        <v>0</v>
      </c>
    </row>
    <row r="418" spans="1:22">
      <c r="A418" s="16"/>
      <c r="B418" s="23"/>
      <c r="C418" s="15"/>
      <c r="D418" s="15"/>
      <c r="E418" s="15"/>
      <c r="F418" s="24"/>
      <c r="G418" s="17"/>
      <c r="H418" s="17"/>
      <c r="I418" s="15"/>
      <c r="J418" s="25">
        <f>IF($D418="","",IFERROR(INDEX(PacNome,MATCH($D418,PacCod,0)),"Paciente não cadastrado"))</f>
        <v>0</v>
      </c>
      <c r="K418" s="26">
        <f>IF($D418="","",IFERROR(INDEX(PacConv,MATCH($D418,PacCod,0))&amp;"",""))</f>
        <v>0</v>
      </c>
      <c r="L418" s="26">
        <f>IF($A418="","",CHOOSE(WEEKDAY($A418,2),"Seg","Ter","Qua","Qui","Sex","Sáb","Dom"))</f>
        <v>0</v>
      </c>
      <c r="M418" s="27">
        <f>IF($E418="","",IF($G418&lt;&gt;"",$G418,IFERROR(INDEX(ProcValor,MATCH($E418,ProcNome,0)),0)))</f>
        <v>0</v>
      </c>
      <c r="N418" s="27">
        <f>IF($M418="","",IF($F418="Compareceu",$M418,0))</f>
        <v>0</v>
      </c>
      <c r="O418" s="27">
        <f>IF($M418="","",IF($F418="Faltou",$M418,0))</f>
        <v>0</v>
      </c>
      <c r="P418" s="27">
        <f>IF($M418="","",IF($F418="Compareceu",MAX(0,$M418-N($H418)),0))</f>
        <v>0</v>
      </c>
      <c r="Q418" s="19">
        <f>IF(AND($F418="Compareceu",$E418&lt;&gt;"",$A418&lt;&gt;""),IF(IFERROR(INDEX(ProcRet,MATCH($E418,ProcNome,0)),0)&gt;0,$A418+INDEX(ProcRet,MATCH($E418,ProcNome,0)),""),"")</f>
        <v>0</v>
      </c>
      <c r="R418" s="26">
        <f>IF($Q418="","",IF(COUNTIFS(AgPac,$D418,AgData,"&gt;"&amp;$A418,AgStatus,"&lt;&gt;Cancelado",AgStatus,"&lt;&gt;Remarcado")&gt;0,"Sim","Não"))</f>
        <v>0</v>
      </c>
      <c r="S418" s="28">
        <f>IF($A418="","",IF(AND($F418="Agendado",$A418-Hoje&gt;=0,$A418-Hoje&lt;=DiasConf),"CONFIRMAR",IF(AND($A418&lt;Hoje,OR($F418="Agendado",$F418="Confirmado")),"Atualizar status",IF(AND($F418="Compareceu",$P418&gt;0.005),"Cobrar",IF($F418="Faltou","Falta: reagendar","")))))</f>
        <v>0</v>
      </c>
      <c r="T418" s="29">
        <f>IF($A418="","",DATE(YEAR($A418),MONTH($A418),1))</f>
        <v>0</v>
      </c>
      <c r="U418" s="30">
        <f>IF($S418="CONFIRMAR",MAX($U$4:$U417)+1,"")</f>
        <v>0</v>
      </c>
      <c r="V418" s="30">
        <f>IF(AND($R418="Não",$Q418&lt;&gt;"",$Q418&lt;=Hoje+JanelaRet,$Q418&gt;=Hoje-60),MAX($V$4:$V417)+1,"")</f>
        <v>0</v>
      </c>
    </row>
    <row r="419" spans="1:22">
      <c r="A419" s="16"/>
      <c r="B419" s="23"/>
      <c r="C419" s="15"/>
      <c r="D419" s="15"/>
      <c r="E419" s="15"/>
      <c r="F419" s="24"/>
      <c r="G419" s="17"/>
      <c r="H419" s="17"/>
      <c r="I419" s="15"/>
      <c r="J419" s="25">
        <f>IF($D419="","",IFERROR(INDEX(PacNome,MATCH($D419,PacCod,0)),"Paciente não cadastrado"))</f>
        <v>0</v>
      </c>
      <c r="K419" s="26">
        <f>IF($D419="","",IFERROR(INDEX(PacConv,MATCH($D419,PacCod,0))&amp;"",""))</f>
        <v>0</v>
      </c>
      <c r="L419" s="26">
        <f>IF($A419="","",CHOOSE(WEEKDAY($A419,2),"Seg","Ter","Qua","Qui","Sex","Sáb","Dom"))</f>
        <v>0</v>
      </c>
      <c r="M419" s="27">
        <f>IF($E419="","",IF($G419&lt;&gt;"",$G419,IFERROR(INDEX(ProcValor,MATCH($E419,ProcNome,0)),0)))</f>
        <v>0</v>
      </c>
      <c r="N419" s="27">
        <f>IF($M419="","",IF($F419="Compareceu",$M419,0))</f>
        <v>0</v>
      </c>
      <c r="O419" s="27">
        <f>IF($M419="","",IF($F419="Faltou",$M419,0))</f>
        <v>0</v>
      </c>
      <c r="P419" s="27">
        <f>IF($M419="","",IF($F419="Compareceu",MAX(0,$M419-N($H419)),0))</f>
        <v>0</v>
      </c>
      <c r="Q419" s="19">
        <f>IF(AND($F419="Compareceu",$E419&lt;&gt;"",$A419&lt;&gt;""),IF(IFERROR(INDEX(ProcRet,MATCH($E419,ProcNome,0)),0)&gt;0,$A419+INDEX(ProcRet,MATCH($E419,ProcNome,0)),""),"")</f>
        <v>0</v>
      </c>
      <c r="R419" s="26">
        <f>IF($Q419="","",IF(COUNTIFS(AgPac,$D419,AgData,"&gt;"&amp;$A419,AgStatus,"&lt;&gt;Cancelado",AgStatus,"&lt;&gt;Remarcado")&gt;0,"Sim","Não"))</f>
        <v>0</v>
      </c>
      <c r="S419" s="28">
        <f>IF($A419="","",IF(AND($F419="Agendado",$A419-Hoje&gt;=0,$A419-Hoje&lt;=DiasConf),"CONFIRMAR",IF(AND($A419&lt;Hoje,OR($F419="Agendado",$F419="Confirmado")),"Atualizar status",IF(AND($F419="Compareceu",$P419&gt;0.005),"Cobrar",IF($F419="Faltou","Falta: reagendar","")))))</f>
        <v>0</v>
      </c>
      <c r="T419" s="29">
        <f>IF($A419="","",DATE(YEAR($A419),MONTH($A419),1))</f>
        <v>0</v>
      </c>
      <c r="U419" s="30">
        <f>IF($S419="CONFIRMAR",MAX($U$4:$U418)+1,"")</f>
        <v>0</v>
      </c>
      <c r="V419" s="30">
        <f>IF(AND($R419="Não",$Q419&lt;&gt;"",$Q419&lt;=Hoje+JanelaRet,$Q419&gt;=Hoje-60),MAX($V$4:$V418)+1,"")</f>
        <v>0</v>
      </c>
    </row>
    <row r="420" spans="1:22">
      <c r="A420" s="16"/>
      <c r="B420" s="23"/>
      <c r="C420" s="15"/>
      <c r="D420" s="15"/>
      <c r="E420" s="15"/>
      <c r="F420" s="24"/>
      <c r="G420" s="17"/>
      <c r="H420" s="17"/>
      <c r="I420" s="15"/>
      <c r="J420" s="25">
        <f>IF($D420="","",IFERROR(INDEX(PacNome,MATCH($D420,PacCod,0)),"Paciente não cadastrado"))</f>
        <v>0</v>
      </c>
      <c r="K420" s="26">
        <f>IF($D420="","",IFERROR(INDEX(PacConv,MATCH($D420,PacCod,0))&amp;"",""))</f>
        <v>0</v>
      </c>
      <c r="L420" s="26">
        <f>IF($A420="","",CHOOSE(WEEKDAY($A420,2),"Seg","Ter","Qua","Qui","Sex","Sáb","Dom"))</f>
        <v>0</v>
      </c>
      <c r="M420" s="27">
        <f>IF($E420="","",IF($G420&lt;&gt;"",$G420,IFERROR(INDEX(ProcValor,MATCH($E420,ProcNome,0)),0)))</f>
        <v>0</v>
      </c>
      <c r="N420" s="27">
        <f>IF($M420="","",IF($F420="Compareceu",$M420,0))</f>
        <v>0</v>
      </c>
      <c r="O420" s="27">
        <f>IF($M420="","",IF($F420="Faltou",$M420,0))</f>
        <v>0</v>
      </c>
      <c r="P420" s="27">
        <f>IF($M420="","",IF($F420="Compareceu",MAX(0,$M420-N($H420)),0))</f>
        <v>0</v>
      </c>
      <c r="Q420" s="19">
        <f>IF(AND($F420="Compareceu",$E420&lt;&gt;"",$A420&lt;&gt;""),IF(IFERROR(INDEX(ProcRet,MATCH($E420,ProcNome,0)),0)&gt;0,$A420+INDEX(ProcRet,MATCH($E420,ProcNome,0)),""),"")</f>
        <v>0</v>
      </c>
      <c r="R420" s="26">
        <f>IF($Q420="","",IF(COUNTIFS(AgPac,$D420,AgData,"&gt;"&amp;$A420,AgStatus,"&lt;&gt;Cancelado",AgStatus,"&lt;&gt;Remarcado")&gt;0,"Sim","Não"))</f>
        <v>0</v>
      </c>
      <c r="S420" s="28">
        <f>IF($A420="","",IF(AND($F420="Agendado",$A420-Hoje&gt;=0,$A420-Hoje&lt;=DiasConf),"CONFIRMAR",IF(AND($A420&lt;Hoje,OR($F420="Agendado",$F420="Confirmado")),"Atualizar status",IF(AND($F420="Compareceu",$P420&gt;0.005),"Cobrar",IF($F420="Faltou","Falta: reagendar","")))))</f>
        <v>0</v>
      </c>
      <c r="T420" s="29">
        <f>IF($A420="","",DATE(YEAR($A420),MONTH($A420),1))</f>
        <v>0</v>
      </c>
      <c r="U420" s="30">
        <f>IF($S420="CONFIRMAR",MAX($U$4:$U419)+1,"")</f>
        <v>0</v>
      </c>
      <c r="V420" s="30">
        <f>IF(AND($R420="Não",$Q420&lt;&gt;"",$Q420&lt;=Hoje+JanelaRet,$Q420&gt;=Hoje-60),MAX($V$4:$V419)+1,"")</f>
        <v>0</v>
      </c>
    </row>
    <row r="421" spans="1:22">
      <c r="A421" s="16"/>
      <c r="B421" s="23"/>
      <c r="C421" s="15"/>
      <c r="D421" s="15"/>
      <c r="E421" s="15"/>
      <c r="F421" s="24"/>
      <c r="G421" s="17"/>
      <c r="H421" s="17"/>
      <c r="I421" s="15"/>
      <c r="J421" s="25">
        <f>IF($D421="","",IFERROR(INDEX(PacNome,MATCH($D421,PacCod,0)),"Paciente não cadastrado"))</f>
        <v>0</v>
      </c>
      <c r="K421" s="26">
        <f>IF($D421="","",IFERROR(INDEX(PacConv,MATCH($D421,PacCod,0))&amp;"",""))</f>
        <v>0</v>
      </c>
      <c r="L421" s="26">
        <f>IF($A421="","",CHOOSE(WEEKDAY($A421,2),"Seg","Ter","Qua","Qui","Sex","Sáb","Dom"))</f>
        <v>0</v>
      </c>
      <c r="M421" s="27">
        <f>IF($E421="","",IF($G421&lt;&gt;"",$G421,IFERROR(INDEX(ProcValor,MATCH($E421,ProcNome,0)),0)))</f>
        <v>0</v>
      </c>
      <c r="N421" s="27">
        <f>IF($M421="","",IF($F421="Compareceu",$M421,0))</f>
        <v>0</v>
      </c>
      <c r="O421" s="27">
        <f>IF($M421="","",IF($F421="Faltou",$M421,0))</f>
        <v>0</v>
      </c>
      <c r="P421" s="27">
        <f>IF($M421="","",IF($F421="Compareceu",MAX(0,$M421-N($H421)),0))</f>
        <v>0</v>
      </c>
      <c r="Q421" s="19">
        <f>IF(AND($F421="Compareceu",$E421&lt;&gt;"",$A421&lt;&gt;""),IF(IFERROR(INDEX(ProcRet,MATCH($E421,ProcNome,0)),0)&gt;0,$A421+INDEX(ProcRet,MATCH($E421,ProcNome,0)),""),"")</f>
        <v>0</v>
      </c>
      <c r="R421" s="26">
        <f>IF($Q421="","",IF(COUNTIFS(AgPac,$D421,AgData,"&gt;"&amp;$A421,AgStatus,"&lt;&gt;Cancelado",AgStatus,"&lt;&gt;Remarcado")&gt;0,"Sim","Não"))</f>
        <v>0</v>
      </c>
      <c r="S421" s="28">
        <f>IF($A421="","",IF(AND($F421="Agendado",$A421-Hoje&gt;=0,$A421-Hoje&lt;=DiasConf),"CONFIRMAR",IF(AND($A421&lt;Hoje,OR($F421="Agendado",$F421="Confirmado")),"Atualizar status",IF(AND($F421="Compareceu",$P421&gt;0.005),"Cobrar",IF($F421="Faltou","Falta: reagendar","")))))</f>
        <v>0</v>
      </c>
      <c r="T421" s="29">
        <f>IF($A421="","",DATE(YEAR($A421),MONTH($A421),1))</f>
        <v>0</v>
      </c>
      <c r="U421" s="30">
        <f>IF($S421="CONFIRMAR",MAX($U$4:$U420)+1,"")</f>
        <v>0</v>
      </c>
      <c r="V421" s="30">
        <f>IF(AND($R421="Não",$Q421&lt;&gt;"",$Q421&lt;=Hoje+JanelaRet,$Q421&gt;=Hoje-60),MAX($V$4:$V420)+1,"")</f>
        <v>0</v>
      </c>
    </row>
    <row r="422" spans="1:22">
      <c r="A422" s="16"/>
      <c r="B422" s="23"/>
      <c r="C422" s="15"/>
      <c r="D422" s="15"/>
      <c r="E422" s="15"/>
      <c r="F422" s="24"/>
      <c r="G422" s="17"/>
      <c r="H422" s="17"/>
      <c r="I422" s="15"/>
      <c r="J422" s="25">
        <f>IF($D422="","",IFERROR(INDEX(PacNome,MATCH($D422,PacCod,0)),"Paciente não cadastrado"))</f>
        <v>0</v>
      </c>
      <c r="K422" s="26">
        <f>IF($D422="","",IFERROR(INDEX(PacConv,MATCH($D422,PacCod,0))&amp;"",""))</f>
        <v>0</v>
      </c>
      <c r="L422" s="26">
        <f>IF($A422="","",CHOOSE(WEEKDAY($A422,2),"Seg","Ter","Qua","Qui","Sex","Sáb","Dom"))</f>
        <v>0</v>
      </c>
      <c r="M422" s="27">
        <f>IF($E422="","",IF($G422&lt;&gt;"",$G422,IFERROR(INDEX(ProcValor,MATCH($E422,ProcNome,0)),0)))</f>
        <v>0</v>
      </c>
      <c r="N422" s="27">
        <f>IF($M422="","",IF($F422="Compareceu",$M422,0))</f>
        <v>0</v>
      </c>
      <c r="O422" s="27">
        <f>IF($M422="","",IF($F422="Faltou",$M422,0))</f>
        <v>0</v>
      </c>
      <c r="P422" s="27">
        <f>IF($M422="","",IF($F422="Compareceu",MAX(0,$M422-N($H422)),0))</f>
        <v>0</v>
      </c>
      <c r="Q422" s="19">
        <f>IF(AND($F422="Compareceu",$E422&lt;&gt;"",$A422&lt;&gt;""),IF(IFERROR(INDEX(ProcRet,MATCH($E422,ProcNome,0)),0)&gt;0,$A422+INDEX(ProcRet,MATCH($E422,ProcNome,0)),""),"")</f>
        <v>0</v>
      </c>
      <c r="R422" s="26">
        <f>IF($Q422="","",IF(COUNTIFS(AgPac,$D422,AgData,"&gt;"&amp;$A422,AgStatus,"&lt;&gt;Cancelado",AgStatus,"&lt;&gt;Remarcado")&gt;0,"Sim","Não"))</f>
        <v>0</v>
      </c>
      <c r="S422" s="28">
        <f>IF($A422="","",IF(AND($F422="Agendado",$A422-Hoje&gt;=0,$A422-Hoje&lt;=DiasConf),"CONFIRMAR",IF(AND($A422&lt;Hoje,OR($F422="Agendado",$F422="Confirmado")),"Atualizar status",IF(AND($F422="Compareceu",$P422&gt;0.005),"Cobrar",IF($F422="Faltou","Falta: reagendar","")))))</f>
        <v>0</v>
      </c>
      <c r="T422" s="29">
        <f>IF($A422="","",DATE(YEAR($A422),MONTH($A422),1))</f>
        <v>0</v>
      </c>
      <c r="U422" s="30">
        <f>IF($S422="CONFIRMAR",MAX($U$4:$U421)+1,"")</f>
        <v>0</v>
      </c>
      <c r="V422" s="30">
        <f>IF(AND($R422="Não",$Q422&lt;&gt;"",$Q422&lt;=Hoje+JanelaRet,$Q422&gt;=Hoje-60),MAX($V$4:$V421)+1,"")</f>
        <v>0</v>
      </c>
    </row>
    <row r="423" spans="1:22">
      <c r="A423" s="16"/>
      <c r="B423" s="23"/>
      <c r="C423" s="15"/>
      <c r="D423" s="15"/>
      <c r="E423" s="15"/>
      <c r="F423" s="24"/>
      <c r="G423" s="17"/>
      <c r="H423" s="17"/>
      <c r="I423" s="15"/>
      <c r="J423" s="25">
        <f>IF($D423="","",IFERROR(INDEX(PacNome,MATCH($D423,PacCod,0)),"Paciente não cadastrado"))</f>
        <v>0</v>
      </c>
      <c r="K423" s="26">
        <f>IF($D423="","",IFERROR(INDEX(PacConv,MATCH($D423,PacCod,0))&amp;"",""))</f>
        <v>0</v>
      </c>
      <c r="L423" s="26">
        <f>IF($A423="","",CHOOSE(WEEKDAY($A423,2),"Seg","Ter","Qua","Qui","Sex","Sáb","Dom"))</f>
        <v>0</v>
      </c>
      <c r="M423" s="27">
        <f>IF($E423="","",IF($G423&lt;&gt;"",$G423,IFERROR(INDEX(ProcValor,MATCH($E423,ProcNome,0)),0)))</f>
        <v>0</v>
      </c>
      <c r="N423" s="27">
        <f>IF($M423="","",IF($F423="Compareceu",$M423,0))</f>
        <v>0</v>
      </c>
      <c r="O423" s="27">
        <f>IF($M423="","",IF($F423="Faltou",$M423,0))</f>
        <v>0</v>
      </c>
      <c r="P423" s="27">
        <f>IF($M423="","",IF($F423="Compareceu",MAX(0,$M423-N($H423)),0))</f>
        <v>0</v>
      </c>
      <c r="Q423" s="19">
        <f>IF(AND($F423="Compareceu",$E423&lt;&gt;"",$A423&lt;&gt;""),IF(IFERROR(INDEX(ProcRet,MATCH($E423,ProcNome,0)),0)&gt;0,$A423+INDEX(ProcRet,MATCH($E423,ProcNome,0)),""),"")</f>
        <v>0</v>
      </c>
      <c r="R423" s="26">
        <f>IF($Q423="","",IF(COUNTIFS(AgPac,$D423,AgData,"&gt;"&amp;$A423,AgStatus,"&lt;&gt;Cancelado",AgStatus,"&lt;&gt;Remarcado")&gt;0,"Sim","Não"))</f>
        <v>0</v>
      </c>
      <c r="S423" s="28">
        <f>IF($A423="","",IF(AND($F423="Agendado",$A423-Hoje&gt;=0,$A423-Hoje&lt;=DiasConf),"CONFIRMAR",IF(AND($A423&lt;Hoje,OR($F423="Agendado",$F423="Confirmado")),"Atualizar status",IF(AND($F423="Compareceu",$P423&gt;0.005),"Cobrar",IF($F423="Faltou","Falta: reagendar","")))))</f>
        <v>0</v>
      </c>
      <c r="T423" s="29">
        <f>IF($A423="","",DATE(YEAR($A423),MONTH($A423),1))</f>
        <v>0</v>
      </c>
      <c r="U423" s="30">
        <f>IF($S423="CONFIRMAR",MAX($U$4:$U422)+1,"")</f>
        <v>0</v>
      </c>
      <c r="V423" s="30">
        <f>IF(AND($R423="Não",$Q423&lt;&gt;"",$Q423&lt;=Hoje+JanelaRet,$Q423&gt;=Hoje-60),MAX($V$4:$V422)+1,"")</f>
        <v>0</v>
      </c>
    </row>
    <row r="424" spans="1:22">
      <c r="A424" s="16"/>
      <c r="B424" s="23"/>
      <c r="C424" s="15"/>
      <c r="D424" s="15"/>
      <c r="E424" s="15"/>
      <c r="F424" s="24"/>
      <c r="G424" s="17"/>
      <c r="H424" s="17"/>
      <c r="I424" s="15"/>
      <c r="J424" s="25">
        <f>IF($D424="","",IFERROR(INDEX(PacNome,MATCH($D424,PacCod,0)),"Paciente não cadastrado"))</f>
        <v>0</v>
      </c>
      <c r="K424" s="26">
        <f>IF($D424="","",IFERROR(INDEX(PacConv,MATCH($D424,PacCod,0))&amp;"",""))</f>
        <v>0</v>
      </c>
      <c r="L424" s="26">
        <f>IF($A424="","",CHOOSE(WEEKDAY($A424,2),"Seg","Ter","Qua","Qui","Sex","Sáb","Dom"))</f>
        <v>0</v>
      </c>
      <c r="M424" s="27">
        <f>IF($E424="","",IF($G424&lt;&gt;"",$G424,IFERROR(INDEX(ProcValor,MATCH($E424,ProcNome,0)),0)))</f>
        <v>0</v>
      </c>
      <c r="N424" s="27">
        <f>IF($M424="","",IF($F424="Compareceu",$M424,0))</f>
        <v>0</v>
      </c>
      <c r="O424" s="27">
        <f>IF($M424="","",IF($F424="Faltou",$M424,0))</f>
        <v>0</v>
      </c>
      <c r="P424" s="27">
        <f>IF($M424="","",IF($F424="Compareceu",MAX(0,$M424-N($H424)),0))</f>
        <v>0</v>
      </c>
      <c r="Q424" s="19">
        <f>IF(AND($F424="Compareceu",$E424&lt;&gt;"",$A424&lt;&gt;""),IF(IFERROR(INDEX(ProcRet,MATCH($E424,ProcNome,0)),0)&gt;0,$A424+INDEX(ProcRet,MATCH($E424,ProcNome,0)),""),"")</f>
        <v>0</v>
      </c>
      <c r="R424" s="26">
        <f>IF($Q424="","",IF(COUNTIFS(AgPac,$D424,AgData,"&gt;"&amp;$A424,AgStatus,"&lt;&gt;Cancelado",AgStatus,"&lt;&gt;Remarcado")&gt;0,"Sim","Não"))</f>
        <v>0</v>
      </c>
      <c r="S424" s="28">
        <f>IF($A424="","",IF(AND($F424="Agendado",$A424-Hoje&gt;=0,$A424-Hoje&lt;=DiasConf),"CONFIRMAR",IF(AND($A424&lt;Hoje,OR($F424="Agendado",$F424="Confirmado")),"Atualizar status",IF(AND($F424="Compareceu",$P424&gt;0.005),"Cobrar",IF($F424="Faltou","Falta: reagendar","")))))</f>
        <v>0</v>
      </c>
      <c r="T424" s="29">
        <f>IF($A424="","",DATE(YEAR($A424),MONTH($A424),1))</f>
        <v>0</v>
      </c>
      <c r="U424" s="30">
        <f>IF($S424="CONFIRMAR",MAX($U$4:$U423)+1,"")</f>
        <v>0</v>
      </c>
      <c r="V424" s="30">
        <f>IF(AND($R424="Não",$Q424&lt;&gt;"",$Q424&lt;=Hoje+JanelaRet,$Q424&gt;=Hoje-60),MAX($V$4:$V423)+1,"")</f>
        <v>0</v>
      </c>
    </row>
    <row r="425" spans="1:22">
      <c r="A425" s="16"/>
      <c r="B425" s="23"/>
      <c r="C425" s="15"/>
      <c r="D425" s="15"/>
      <c r="E425" s="15"/>
      <c r="F425" s="24"/>
      <c r="G425" s="17"/>
      <c r="H425" s="17"/>
      <c r="I425" s="15"/>
      <c r="J425" s="25">
        <f>IF($D425="","",IFERROR(INDEX(PacNome,MATCH($D425,PacCod,0)),"Paciente não cadastrado"))</f>
        <v>0</v>
      </c>
      <c r="K425" s="26">
        <f>IF($D425="","",IFERROR(INDEX(PacConv,MATCH($D425,PacCod,0))&amp;"",""))</f>
        <v>0</v>
      </c>
      <c r="L425" s="26">
        <f>IF($A425="","",CHOOSE(WEEKDAY($A425,2),"Seg","Ter","Qua","Qui","Sex","Sáb","Dom"))</f>
        <v>0</v>
      </c>
      <c r="M425" s="27">
        <f>IF($E425="","",IF($G425&lt;&gt;"",$G425,IFERROR(INDEX(ProcValor,MATCH($E425,ProcNome,0)),0)))</f>
        <v>0</v>
      </c>
      <c r="N425" s="27">
        <f>IF($M425="","",IF($F425="Compareceu",$M425,0))</f>
        <v>0</v>
      </c>
      <c r="O425" s="27">
        <f>IF($M425="","",IF($F425="Faltou",$M425,0))</f>
        <v>0</v>
      </c>
      <c r="P425" s="27">
        <f>IF($M425="","",IF($F425="Compareceu",MAX(0,$M425-N($H425)),0))</f>
        <v>0</v>
      </c>
      <c r="Q425" s="19">
        <f>IF(AND($F425="Compareceu",$E425&lt;&gt;"",$A425&lt;&gt;""),IF(IFERROR(INDEX(ProcRet,MATCH($E425,ProcNome,0)),0)&gt;0,$A425+INDEX(ProcRet,MATCH($E425,ProcNome,0)),""),"")</f>
        <v>0</v>
      </c>
      <c r="R425" s="26">
        <f>IF($Q425="","",IF(COUNTIFS(AgPac,$D425,AgData,"&gt;"&amp;$A425,AgStatus,"&lt;&gt;Cancelado",AgStatus,"&lt;&gt;Remarcado")&gt;0,"Sim","Não"))</f>
        <v>0</v>
      </c>
      <c r="S425" s="28">
        <f>IF($A425="","",IF(AND($F425="Agendado",$A425-Hoje&gt;=0,$A425-Hoje&lt;=DiasConf),"CONFIRMAR",IF(AND($A425&lt;Hoje,OR($F425="Agendado",$F425="Confirmado")),"Atualizar status",IF(AND($F425="Compareceu",$P425&gt;0.005),"Cobrar",IF($F425="Faltou","Falta: reagendar","")))))</f>
        <v>0</v>
      </c>
      <c r="T425" s="29">
        <f>IF($A425="","",DATE(YEAR($A425),MONTH($A425),1))</f>
        <v>0</v>
      </c>
      <c r="U425" s="30">
        <f>IF($S425="CONFIRMAR",MAX($U$4:$U424)+1,"")</f>
        <v>0</v>
      </c>
      <c r="V425" s="30">
        <f>IF(AND($R425="Não",$Q425&lt;&gt;"",$Q425&lt;=Hoje+JanelaRet,$Q425&gt;=Hoje-60),MAX($V$4:$V424)+1,"")</f>
        <v>0</v>
      </c>
    </row>
    <row r="426" spans="1:22">
      <c r="A426" s="16"/>
      <c r="B426" s="23"/>
      <c r="C426" s="15"/>
      <c r="D426" s="15"/>
      <c r="E426" s="15"/>
      <c r="F426" s="24"/>
      <c r="G426" s="17"/>
      <c r="H426" s="17"/>
      <c r="I426" s="15"/>
      <c r="J426" s="25">
        <f>IF($D426="","",IFERROR(INDEX(PacNome,MATCH($D426,PacCod,0)),"Paciente não cadastrado"))</f>
        <v>0</v>
      </c>
      <c r="K426" s="26">
        <f>IF($D426="","",IFERROR(INDEX(PacConv,MATCH($D426,PacCod,0))&amp;"",""))</f>
        <v>0</v>
      </c>
      <c r="L426" s="26">
        <f>IF($A426="","",CHOOSE(WEEKDAY($A426,2),"Seg","Ter","Qua","Qui","Sex","Sáb","Dom"))</f>
        <v>0</v>
      </c>
      <c r="M426" s="27">
        <f>IF($E426="","",IF($G426&lt;&gt;"",$G426,IFERROR(INDEX(ProcValor,MATCH($E426,ProcNome,0)),0)))</f>
        <v>0</v>
      </c>
      <c r="N426" s="27">
        <f>IF($M426="","",IF($F426="Compareceu",$M426,0))</f>
        <v>0</v>
      </c>
      <c r="O426" s="27">
        <f>IF($M426="","",IF($F426="Faltou",$M426,0))</f>
        <v>0</v>
      </c>
      <c r="P426" s="27">
        <f>IF($M426="","",IF($F426="Compareceu",MAX(0,$M426-N($H426)),0))</f>
        <v>0</v>
      </c>
      <c r="Q426" s="19">
        <f>IF(AND($F426="Compareceu",$E426&lt;&gt;"",$A426&lt;&gt;""),IF(IFERROR(INDEX(ProcRet,MATCH($E426,ProcNome,0)),0)&gt;0,$A426+INDEX(ProcRet,MATCH($E426,ProcNome,0)),""),"")</f>
        <v>0</v>
      </c>
      <c r="R426" s="26">
        <f>IF($Q426="","",IF(COUNTIFS(AgPac,$D426,AgData,"&gt;"&amp;$A426,AgStatus,"&lt;&gt;Cancelado",AgStatus,"&lt;&gt;Remarcado")&gt;0,"Sim","Não"))</f>
        <v>0</v>
      </c>
      <c r="S426" s="28">
        <f>IF($A426="","",IF(AND($F426="Agendado",$A426-Hoje&gt;=0,$A426-Hoje&lt;=DiasConf),"CONFIRMAR",IF(AND($A426&lt;Hoje,OR($F426="Agendado",$F426="Confirmado")),"Atualizar status",IF(AND($F426="Compareceu",$P426&gt;0.005),"Cobrar",IF($F426="Faltou","Falta: reagendar","")))))</f>
        <v>0</v>
      </c>
      <c r="T426" s="29">
        <f>IF($A426="","",DATE(YEAR($A426),MONTH($A426),1))</f>
        <v>0</v>
      </c>
      <c r="U426" s="30">
        <f>IF($S426="CONFIRMAR",MAX($U$4:$U425)+1,"")</f>
        <v>0</v>
      </c>
      <c r="V426" s="30">
        <f>IF(AND($R426="Não",$Q426&lt;&gt;"",$Q426&lt;=Hoje+JanelaRet,$Q426&gt;=Hoje-60),MAX($V$4:$V425)+1,"")</f>
        <v>0</v>
      </c>
    </row>
    <row r="427" spans="1:22">
      <c r="A427" s="16"/>
      <c r="B427" s="23"/>
      <c r="C427" s="15"/>
      <c r="D427" s="15"/>
      <c r="E427" s="15"/>
      <c r="F427" s="24"/>
      <c r="G427" s="17"/>
      <c r="H427" s="17"/>
      <c r="I427" s="15"/>
      <c r="J427" s="25">
        <f>IF($D427="","",IFERROR(INDEX(PacNome,MATCH($D427,PacCod,0)),"Paciente não cadastrado"))</f>
        <v>0</v>
      </c>
      <c r="K427" s="26">
        <f>IF($D427="","",IFERROR(INDEX(PacConv,MATCH($D427,PacCod,0))&amp;"",""))</f>
        <v>0</v>
      </c>
      <c r="L427" s="26">
        <f>IF($A427="","",CHOOSE(WEEKDAY($A427,2),"Seg","Ter","Qua","Qui","Sex","Sáb","Dom"))</f>
        <v>0</v>
      </c>
      <c r="M427" s="27">
        <f>IF($E427="","",IF($G427&lt;&gt;"",$G427,IFERROR(INDEX(ProcValor,MATCH($E427,ProcNome,0)),0)))</f>
        <v>0</v>
      </c>
      <c r="N427" s="27">
        <f>IF($M427="","",IF($F427="Compareceu",$M427,0))</f>
        <v>0</v>
      </c>
      <c r="O427" s="27">
        <f>IF($M427="","",IF($F427="Faltou",$M427,0))</f>
        <v>0</v>
      </c>
      <c r="P427" s="27">
        <f>IF($M427="","",IF($F427="Compareceu",MAX(0,$M427-N($H427)),0))</f>
        <v>0</v>
      </c>
      <c r="Q427" s="19">
        <f>IF(AND($F427="Compareceu",$E427&lt;&gt;"",$A427&lt;&gt;""),IF(IFERROR(INDEX(ProcRet,MATCH($E427,ProcNome,0)),0)&gt;0,$A427+INDEX(ProcRet,MATCH($E427,ProcNome,0)),""),"")</f>
        <v>0</v>
      </c>
      <c r="R427" s="26">
        <f>IF($Q427="","",IF(COUNTIFS(AgPac,$D427,AgData,"&gt;"&amp;$A427,AgStatus,"&lt;&gt;Cancelado",AgStatus,"&lt;&gt;Remarcado")&gt;0,"Sim","Não"))</f>
        <v>0</v>
      </c>
      <c r="S427" s="28">
        <f>IF($A427="","",IF(AND($F427="Agendado",$A427-Hoje&gt;=0,$A427-Hoje&lt;=DiasConf),"CONFIRMAR",IF(AND($A427&lt;Hoje,OR($F427="Agendado",$F427="Confirmado")),"Atualizar status",IF(AND($F427="Compareceu",$P427&gt;0.005),"Cobrar",IF($F427="Faltou","Falta: reagendar","")))))</f>
        <v>0</v>
      </c>
      <c r="T427" s="29">
        <f>IF($A427="","",DATE(YEAR($A427),MONTH($A427),1))</f>
        <v>0</v>
      </c>
      <c r="U427" s="30">
        <f>IF($S427="CONFIRMAR",MAX($U$4:$U426)+1,"")</f>
        <v>0</v>
      </c>
      <c r="V427" s="30">
        <f>IF(AND($R427="Não",$Q427&lt;&gt;"",$Q427&lt;=Hoje+JanelaRet,$Q427&gt;=Hoje-60),MAX($V$4:$V426)+1,"")</f>
        <v>0</v>
      </c>
    </row>
    <row r="428" spans="1:22">
      <c r="A428" s="16"/>
      <c r="B428" s="23"/>
      <c r="C428" s="15"/>
      <c r="D428" s="15"/>
      <c r="E428" s="15"/>
      <c r="F428" s="24"/>
      <c r="G428" s="17"/>
      <c r="H428" s="17"/>
      <c r="I428" s="15"/>
      <c r="J428" s="25">
        <f>IF($D428="","",IFERROR(INDEX(PacNome,MATCH($D428,PacCod,0)),"Paciente não cadastrado"))</f>
        <v>0</v>
      </c>
      <c r="K428" s="26">
        <f>IF($D428="","",IFERROR(INDEX(PacConv,MATCH($D428,PacCod,0))&amp;"",""))</f>
        <v>0</v>
      </c>
      <c r="L428" s="26">
        <f>IF($A428="","",CHOOSE(WEEKDAY($A428,2),"Seg","Ter","Qua","Qui","Sex","Sáb","Dom"))</f>
        <v>0</v>
      </c>
      <c r="M428" s="27">
        <f>IF($E428="","",IF($G428&lt;&gt;"",$G428,IFERROR(INDEX(ProcValor,MATCH($E428,ProcNome,0)),0)))</f>
        <v>0</v>
      </c>
      <c r="N428" s="27">
        <f>IF($M428="","",IF($F428="Compareceu",$M428,0))</f>
        <v>0</v>
      </c>
      <c r="O428" s="27">
        <f>IF($M428="","",IF($F428="Faltou",$M428,0))</f>
        <v>0</v>
      </c>
      <c r="P428" s="27">
        <f>IF($M428="","",IF($F428="Compareceu",MAX(0,$M428-N($H428)),0))</f>
        <v>0</v>
      </c>
      <c r="Q428" s="19">
        <f>IF(AND($F428="Compareceu",$E428&lt;&gt;"",$A428&lt;&gt;""),IF(IFERROR(INDEX(ProcRet,MATCH($E428,ProcNome,0)),0)&gt;0,$A428+INDEX(ProcRet,MATCH($E428,ProcNome,0)),""),"")</f>
        <v>0</v>
      </c>
      <c r="R428" s="26">
        <f>IF($Q428="","",IF(COUNTIFS(AgPac,$D428,AgData,"&gt;"&amp;$A428,AgStatus,"&lt;&gt;Cancelado",AgStatus,"&lt;&gt;Remarcado")&gt;0,"Sim","Não"))</f>
        <v>0</v>
      </c>
      <c r="S428" s="28">
        <f>IF($A428="","",IF(AND($F428="Agendado",$A428-Hoje&gt;=0,$A428-Hoje&lt;=DiasConf),"CONFIRMAR",IF(AND($A428&lt;Hoje,OR($F428="Agendado",$F428="Confirmado")),"Atualizar status",IF(AND($F428="Compareceu",$P428&gt;0.005),"Cobrar",IF($F428="Faltou","Falta: reagendar","")))))</f>
        <v>0</v>
      </c>
      <c r="T428" s="29">
        <f>IF($A428="","",DATE(YEAR($A428),MONTH($A428),1))</f>
        <v>0</v>
      </c>
      <c r="U428" s="30">
        <f>IF($S428="CONFIRMAR",MAX($U$4:$U427)+1,"")</f>
        <v>0</v>
      </c>
      <c r="V428" s="30">
        <f>IF(AND($R428="Não",$Q428&lt;&gt;"",$Q428&lt;=Hoje+JanelaRet,$Q428&gt;=Hoje-60),MAX($V$4:$V427)+1,"")</f>
        <v>0</v>
      </c>
    </row>
    <row r="429" spans="1:22">
      <c r="A429" s="16"/>
      <c r="B429" s="23"/>
      <c r="C429" s="15"/>
      <c r="D429" s="15"/>
      <c r="E429" s="15"/>
      <c r="F429" s="24"/>
      <c r="G429" s="17"/>
      <c r="H429" s="17"/>
      <c r="I429" s="15"/>
      <c r="J429" s="25">
        <f>IF($D429="","",IFERROR(INDEX(PacNome,MATCH($D429,PacCod,0)),"Paciente não cadastrado"))</f>
        <v>0</v>
      </c>
      <c r="K429" s="26">
        <f>IF($D429="","",IFERROR(INDEX(PacConv,MATCH($D429,PacCod,0))&amp;"",""))</f>
        <v>0</v>
      </c>
      <c r="L429" s="26">
        <f>IF($A429="","",CHOOSE(WEEKDAY($A429,2),"Seg","Ter","Qua","Qui","Sex","Sáb","Dom"))</f>
        <v>0</v>
      </c>
      <c r="M429" s="27">
        <f>IF($E429="","",IF($G429&lt;&gt;"",$G429,IFERROR(INDEX(ProcValor,MATCH($E429,ProcNome,0)),0)))</f>
        <v>0</v>
      </c>
      <c r="N429" s="27">
        <f>IF($M429="","",IF($F429="Compareceu",$M429,0))</f>
        <v>0</v>
      </c>
      <c r="O429" s="27">
        <f>IF($M429="","",IF($F429="Faltou",$M429,0))</f>
        <v>0</v>
      </c>
      <c r="P429" s="27">
        <f>IF($M429="","",IF($F429="Compareceu",MAX(0,$M429-N($H429)),0))</f>
        <v>0</v>
      </c>
      <c r="Q429" s="19">
        <f>IF(AND($F429="Compareceu",$E429&lt;&gt;"",$A429&lt;&gt;""),IF(IFERROR(INDEX(ProcRet,MATCH($E429,ProcNome,0)),0)&gt;0,$A429+INDEX(ProcRet,MATCH($E429,ProcNome,0)),""),"")</f>
        <v>0</v>
      </c>
      <c r="R429" s="26">
        <f>IF($Q429="","",IF(COUNTIFS(AgPac,$D429,AgData,"&gt;"&amp;$A429,AgStatus,"&lt;&gt;Cancelado",AgStatus,"&lt;&gt;Remarcado")&gt;0,"Sim","Não"))</f>
        <v>0</v>
      </c>
      <c r="S429" s="28">
        <f>IF($A429="","",IF(AND($F429="Agendado",$A429-Hoje&gt;=0,$A429-Hoje&lt;=DiasConf),"CONFIRMAR",IF(AND($A429&lt;Hoje,OR($F429="Agendado",$F429="Confirmado")),"Atualizar status",IF(AND($F429="Compareceu",$P429&gt;0.005),"Cobrar",IF($F429="Faltou","Falta: reagendar","")))))</f>
        <v>0</v>
      </c>
      <c r="T429" s="29">
        <f>IF($A429="","",DATE(YEAR($A429),MONTH($A429),1))</f>
        <v>0</v>
      </c>
      <c r="U429" s="30">
        <f>IF($S429="CONFIRMAR",MAX($U$4:$U428)+1,"")</f>
        <v>0</v>
      </c>
      <c r="V429" s="30">
        <f>IF(AND($R429="Não",$Q429&lt;&gt;"",$Q429&lt;=Hoje+JanelaRet,$Q429&gt;=Hoje-60),MAX($V$4:$V428)+1,"")</f>
        <v>0</v>
      </c>
    </row>
    <row r="430" spans="1:22">
      <c r="A430" s="16"/>
      <c r="B430" s="23"/>
      <c r="C430" s="15"/>
      <c r="D430" s="15"/>
      <c r="E430" s="15"/>
      <c r="F430" s="24"/>
      <c r="G430" s="17"/>
      <c r="H430" s="17"/>
      <c r="I430" s="15"/>
      <c r="J430" s="25">
        <f>IF($D430="","",IFERROR(INDEX(PacNome,MATCH($D430,PacCod,0)),"Paciente não cadastrado"))</f>
        <v>0</v>
      </c>
      <c r="K430" s="26">
        <f>IF($D430="","",IFERROR(INDEX(PacConv,MATCH($D430,PacCod,0))&amp;"",""))</f>
        <v>0</v>
      </c>
      <c r="L430" s="26">
        <f>IF($A430="","",CHOOSE(WEEKDAY($A430,2),"Seg","Ter","Qua","Qui","Sex","Sáb","Dom"))</f>
        <v>0</v>
      </c>
      <c r="M430" s="27">
        <f>IF($E430="","",IF($G430&lt;&gt;"",$G430,IFERROR(INDEX(ProcValor,MATCH($E430,ProcNome,0)),0)))</f>
        <v>0</v>
      </c>
      <c r="N430" s="27">
        <f>IF($M430="","",IF($F430="Compareceu",$M430,0))</f>
        <v>0</v>
      </c>
      <c r="O430" s="27">
        <f>IF($M430="","",IF($F430="Faltou",$M430,0))</f>
        <v>0</v>
      </c>
      <c r="P430" s="27">
        <f>IF($M430="","",IF($F430="Compareceu",MAX(0,$M430-N($H430)),0))</f>
        <v>0</v>
      </c>
      <c r="Q430" s="19">
        <f>IF(AND($F430="Compareceu",$E430&lt;&gt;"",$A430&lt;&gt;""),IF(IFERROR(INDEX(ProcRet,MATCH($E430,ProcNome,0)),0)&gt;0,$A430+INDEX(ProcRet,MATCH($E430,ProcNome,0)),""),"")</f>
        <v>0</v>
      </c>
      <c r="R430" s="26">
        <f>IF($Q430="","",IF(COUNTIFS(AgPac,$D430,AgData,"&gt;"&amp;$A430,AgStatus,"&lt;&gt;Cancelado",AgStatus,"&lt;&gt;Remarcado")&gt;0,"Sim","Não"))</f>
        <v>0</v>
      </c>
      <c r="S430" s="28">
        <f>IF($A430="","",IF(AND($F430="Agendado",$A430-Hoje&gt;=0,$A430-Hoje&lt;=DiasConf),"CONFIRMAR",IF(AND($A430&lt;Hoje,OR($F430="Agendado",$F430="Confirmado")),"Atualizar status",IF(AND($F430="Compareceu",$P430&gt;0.005),"Cobrar",IF($F430="Faltou","Falta: reagendar","")))))</f>
        <v>0</v>
      </c>
      <c r="T430" s="29">
        <f>IF($A430="","",DATE(YEAR($A430),MONTH($A430),1))</f>
        <v>0</v>
      </c>
      <c r="U430" s="30">
        <f>IF($S430="CONFIRMAR",MAX($U$4:$U429)+1,"")</f>
        <v>0</v>
      </c>
      <c r="V430" s="30">
        <f>IF(AND($R430="Não",$Q430&lt;&gt;"",$Q430&lt;=Hoje+JanelaRet,$Q430&gt;=Hoje-60),MAX($V$4:$V429)+1,"")</f>
        <v>0</v>
      </c>
    </row>
    <row r="431" spans="1:22">
      <c r="A431" s="16"/>
      <c r="B431" s="23"/>
      <c r="C431" s="15"/>
      <c r="D431" s="15"/>
      <c r="E431" s="15"/>
      <c r="F431" s="24"/>
      <c r="G431" s="17"/>
      <c r="H431" s="17"/>
      <c r="I431" s="15"/>
      <c r="J431" s="25">
        <f>IF($D431="","",IFERROR(INDEX(PacNome,MATCH($D431,PacCod,0)),"Paciente não cadastrado"))</f>
        <v>0</v>
      </c>
      <c r="K431" s="26">
        <f>IF($D431="","",IFERROR(INDEX(PacConv,MATCH($D431,PacCod,0))&amp;"",""))</f>
        <v>0</v>
      </c>
      <c r="L431" s="26">
        <f>IF($A431="","",CHOOSE(WEEKDAY($A431,2),"Seg","Ter","Qua","Qui","Sex","Sáb","Dom"))</f>
        <v>0</v>
      </c>
      <c r="M431" s="27">
        <f>IF($E431="","",IF($G431&lt;&gt;"",$G431,IFERROR(INDEX(ProcValor,MATCH($E431,ProcNome,0)),0)))</f>
        <v>0</v>
      </c>
      <c r="N431" s="27">
        <f>IF($M431="","",IF($F431="Compareceu",$M431,0))</f>
        <v>0</v>
      </c>
      <c r="O431" s="27">
        <f>IF($M431="","",IF($F431="Faltou",$M431,0))</f>
        <v>0</v>
      </c>
      <c r="P431" s="27">
        <f>IF($M431="","",IF($F431="Compareceu",MAX(0,$M431-N($H431)),0))</f>
        <v>0</v>
      </c>
      <c r="Q431" s="19">
        <f>IF(AND($F431="Compareceu",$E431&lt;&gt;"",$A431&lt;&gt;""),IF(IFERROR(INDEX(ProcRet,MATCH($E431,ProcNome,0)),0)&gt;0,$A431+INDEX(ProcRet,MATCH($E431,ProcNome,0)),""),"")</f>
        <v>0</v>
      </c>
      <c r="R431" s="26">
        <f>IF($Q431="","",IF(COUNTIFS(AgPac,$D431,AgData,"&gt;"&amp;$A431,AgStatus,"&lt;&gt;Cancelado",AgStatus,"&lt;&gt;Remarcado")&gt;0,"Sim","Não"))</f>
        <v>0</v>
      </c>
      <c r="S431" s="28">
        <f>IF($A431="","",IF(AND($F431="Agendado",$A431-Hoje&gt;=0,$A431-Hoje&lt;=DiasConf),"CONFIRMAR",IF(AND($A431&lt;Hoje,OR($F431="Agendado",$F431="Confirmado")),"Atualizar status",IF(AND($F431="Compareceu",$P431&gt;0.005),"Cobrar",IF($F431="Faltou","Falta: reagendar","")))))</f>
        <v>0</v>
      </c>
      <c r="T431" s="29">
        <f>IF($A431="","",DATE(YEAR($A431),MONTH($A431),1))</f>
        <v>0</v>
      </c>
      <c r="U431" s="30">
        <f>IF($S431="CONFIRMAR",MAX($U$4:$U430)+1,"")</f>
        <v>0</v>
      </c>
      <c r="V431" s="30">
        <f>IF(AND($R431="Não",$Q431&lt;&gt;"",$Q431&lt;=Hoje+JanelaRet,$Q431&gt;=Hoje-60),MAX($V$4:$V430)+1,"")</f>
        <v>0</v>
      </c>
    </row>
    <row r="432" spans="1:22">
      <c r="A432" s="16"/>
      <c r="B432" s="23"/>
      <c r="C432" s="15"/>
      <c r="D432" s="15"/>
      <c r="E432" s="15"/>
      <c r="F432" s="24"/>
      <c r="G432" s="17"/>
      <c r="H432" s="17"/>
      <c r="I432" s="15"/>
      <c r="J432" s="25">
        <f>IF($D432="","",IFERROR(INDEX(PacNome,MATCH($D432,PacCod,0)),"Paciente não cadastrado"))</f>
        <v>0</v>
      </c>
      <c r="K432" s="26">
        <f>IF($D432="","",IFERROR(INDEX(PacConv,MATCH($D432,PacCod,0))&amp;"",""))</f>
        <v>0</v>
      </c>
      <c r="L432" s="26">
        <f>IF($A432="","",CHOOSE(WEEKDAY($A432,2),"Seg","Ter","Qua","Qui","Sex","Sáb","Dom"))</f>
        <v>0</v>
      </c>
      <c r="M432" s="27">
        <f>IF($E432="","",IF($G432&lt;&gt;"",$G432,IFERROR(INDEX(ProcValor,MATCH($E432,ProcNome,0)),0)))</f>
        <v>0</v>
      </c>
      <c r="N432" s="27">
        <f>IF($M432="","",IF($F432="Compareceu",$M432,0))</f>
        <v>0</v>
      </c>
      <c r="O432" s="27">
        <f>IF($M432="","",IF($F432="Faltou",$M432,0))</f>
        <v>0</v>
      </c>
      <c r="P432" s="27">
        <f>IF($M432="","",IF($F432="Compareceu",MAX(0,$M432-N($H432)),0))</f>
        <v>0</v>
      </c>
      <c r="Q432" s="19">
        <f>IF(AND($F432="Compareceu",$E432&lt;&gt;"",$A432&lt;&gt;""),IF(IFERROR(INDEX(ProcRet,MATCH($E432,ProcNome,0)),0)&gt;0,$A432+INDEX(ProcRet,MATCH($E432,ProcNome,0)),""),"")</f>
        <v>0</v>
      </c>
      <c r="R432" s="26">
        <f>IF($Q432="","",IF(COUNTIFS(AgPac,$D432,AgData,"&gt;"&amp;$A432,AgStatus,"&lt;&gt;Cancelado",AgStatus,"&lt;&gt;Remarcado")&gt;0,"Sim","Não"))</f>
        <v>0</v>
      </c>
      <c r="S432" s="28">
        <f>IF($A432="","",IF(AND($F432="Agendado",$A432-Hoje&gt;=0,$A432-Hoje&lt;=DiasConf),"CONFIRMAR",IF(AND($A432&lt;Hoje,OR($F432="Agendado",$F432="Confirmado")),"Atualizar status",IF(AND($F432="Compareceu",$P432&gt;0.005),"Cobrar",IF($F432="Faltou","Falta: reagendar","")))))</f>
        <v>0</v>
      </c>
      <c r="T432" s="29">
        <f>IF($A432="","",DATE(YEAR($A432),MONTH($A432),1))</f>
        <v>0</v>
      </c>
      <c r="U432" s="30">
        <f>IF($S432="CONFIRMAR",MAX($U$4:$U431)+1,"")</f>
        <v>0</v>
      </c>
      <c r="V432" s="30">
        <f>IF(AND($R432="Não",$Q432&lt;&gt;"",$Q432&lt;=Hoje+JanelaRet,$Q432&gt;=Hoje-60),MAX($V$4:$V431)+1,"")</f>
        <v>0</v>
      </c>
    </row>
    <row r="433" spans="1:22">
      <c r="A433" s="16"/>
      <c r="B433" s="23"/>
      <c r="C433" s="15"/>
      <c r="D433" s="15"/>
      <c r="E433" s="15"/>
      <c r="F433" s="24"/>
      <c r="G433" s="17"/>
      <c r="H433" s="17"/>
      <c r="I433" s="15"/>
      <c r="J433" s="25">
        <f>IF($D433="","",IFERROR(INDEX(PacNome,MATCH($D433,PacCod,0)),"Paciente não cadastrado"))</f>
        <v>0</v>
      </c>
      <c r="K433" s="26">
        <f>IF($D433="","",IFERROR(INDEX(PacConv,MATCH($D433,PacCod,0))&amp;"",""))</f>
        <v>0</v>
      </c>
      <c r="L433" s="26">
        <f>IF($A433="","",CHOOSE(WEEKDAY($A433,2),"Seg","Ter","Qua","Qui","Sex","Sáb","Dom"))</f>
        <v>0</v>
      </c>
      <c r="M433" s="27">
        <f>IF($E433="","",IF($G433&lt;&gt;"",$G433,IFERROR(INDEX(ProcValor,MATCH($E433,ProcNome,0)),0)))</f>
        <v>0</v>
      </c>
      <c r="N433" s="27">
        <f>IF($M433="","",IF($F433="Compareceu",$M433,0))</f>
        <v>0</v>
      </c>
      <c r="O433" s="27">
        <f>IF($M433="","",IF($F433="Faltou",$M433,0))</f>
        <v>0</v>
      </c>
      <c r="P433" s="27">
        <f>IF($M433="","",IF($F433="Compareceu",MAX(0,$M433-N($H433)),0))</f>
        <v>0</v>
      </c>
      <c r="Q433" s="19">
        <f>IF(AND($F433="Compareceu",$E433&lt;&gt;"",$A433&lt;&gt;""),IF(IFERROR(INDEX(ProcRet,MATCH($E433,ProcNome,0)),0)&gt;0,$A433+INDEX(ProcRet,MATCH($E433,ProcNome,0)),""),"")</f>
        <v>0</v>
      </c>
      <c r="R433" s="26">
        <f>IF($Q433="","",IF(COUNTIFS(AgPac,$D433,AgData,"&gt;"&amp;$A433,AgStatus,"&lt;&gt;Cancelado",AgStatus,"&lt;&gt;Remarcado")&gt;0,"Sim","Não"))</f>
        <v>0</v>
      </c>
      <c r="S433" s="28">
        <f>IF($A433="","",IF(AND($F433="Agendado",$A433-Hoje&gt;=0,$A433-Hoje&lt;=DiasConf),"CONFIRMAR",IF(AND($A433&lt;Hoje,OR($F433="Agendado",$F433="Confirmado")),"Atualizar status",IF(AND($F433="Compareceu",$P433&gt;0.005),"Cobrar",IF($F433="Faltou","Falta: reagendar","")))))</f>
        <v>0</v>
      </c>
      <c r="T433" s="29">
        <f>IF($A433="","",DATE(YEAR($A433),MONTH($A433),1))</f>
        <v>0</v>
      </c>
      <c r="U433" s="30">
        <f>IF($S433="CONFIRMAR",MAX($U$4:$U432)+1,"")</f>
        <v>0</v>
      </c>
      <c r="V433" s="30">
        <f>IF(AND($R433="Não",$Q433&lt;&gt;"",$Q433&lt;=Hoje+JanelaRet,$Q433&gt;=Hoje-60),MAX($V$4:$V432)+1,"")</f>
        <v>0</v>
      </c>
    </row>
    <row r="434" spans="1:22">
      <c r="A434" s="16"/>
      <c r="B434" s="23"/>
      <c r="C434" s="15"/>
      <c r="D434" s="15"/>
      <c r="E434" s="15"/>
      <c r="F434" s="24"/>
      <c r="G434" s="17"/>
      <c r="H434" s="17"/>
      <c r="I434" s="15"/>
      <c r="J434" s="25">
        <f>IF($D434="","",IFERROR(INDEX(PacNome,MATCH($D434,PacCod,0)),"Paciente não cadastrado"))</f>
        <v>0</v>
      </c>
      <c r="K434" s="26">
        <f>IF($D434="","",IFERROR(INDEX(PacConv,MATCH($D434,PacCod,0))&amp;"",""))</f>
        <v>0</v>
      </c>
      <c r="L434" s="26">
        <f>IF($A434="","",CHOOSE(WEEKDAY($A434,2),"Seg","Ter","Qua","Qui","Sex","Sáb","Dom"))</f>
        <v>0</v>
      </c>
      <c r="M434" s="27">
        <f>IF($E434="","",IF($G434&lt;&gt;"",$G434,IFERROR(INDEX(ProcValor,MATCH($E434,ProcNome,0)),0)))</f>
        <v>0</v>
      </c>
      <c r="N434" s="27">
        <f>IF($M434="","",IF($F434="Compareceu",$M434,0))</f>
        <v>0</v>
      </c>
      <c r="O434" s="27">
        <f>IF($M434="","",IF($F434="Faltou",$M434,0))</f>
        <v>0</v>
      </c>
      <c r="P434" s="27">
        <f>IF($M434="","",IF($F434="Compareceu",MAX(0,$M434-N($H434)),0))</f>
        <v>0</v>
      </c>
      <c r="Q434" s="19">
        <f>IF(AND($F434="Compareceu",$E434&lt;&gt;"",$A434&lt;&gt;""),IF(IFERROR(INDEX(ProcRet,MATCH($E434,ProcNome,0)),0)&gt;0,$A434+INDEX(ProcRet,MATCH($E434,ProcNome,0)),""),"")</f>
        <v>0</v>
      </c>
      <c r="R434" s="26">
        <f>IF($Q434="","",IF(COUNTIFS(AgPac,$D434,AgData,"&gt;"&amp;$A434,AgStatus,"&lt;&gt;Cancelado",AgStatus,"&lt;&gt;Remarcado")&gt;0,"Sim","Não"))</f>
        <v>0</v>
      </c>
      <c r="S434" s="28">
        <f>IF($A434="","",IF(AND($F434="Agendado",$A434-Hoje&gt;=0,$A434-Hoje&lt;=DiasConf),"CONFIRMAR",IF(AND($A434&lt;Hoje,OR($F434="Agendado",$F434="Confirmado")),"Atualizar status",IF(AND($F434="Compareceu",$P434&gt;0.005),"Cobrar",IF($F434="Faltou","Falta: reagendar","")))))</f>
        <v>0</v>
      </c>
      <c r="T434" s="29">
        <f>IF($A434="","",DATE(YEAR($A434),MONTH($A434),1))</f>
        <v>0</v>
      </c>
      <c r="U434" s="30">
        <f>IF($S434="CONFIRMAR",MAX($U$4:$U433)+1,"")</f>
        <v>0</v>
      </c>
      <c r="V434" s="30">
        <f>IF(AND($R434="Não",$Q434&lt;&gt;"",$Q434&lt;=Hoje+JanelaRet,$Q434&gt;=Hoje-60),MAX($V$4:$V433)+1,"")</f>
        <v>0</v>
      </c>
    </row>
    <row r="435" spans="1:22">
      <c r="A435" s="16"/>
      <c r="B435" s="23"/>
      <c r="C435" s="15"/>
      <c r="D435" s="15"/>
      <c r="E435" s="15"/>
      <c r="F435" s="24"/>
      <c r="G435" s="17"/>
      <c r="H435" s="17"/>
      <c r="I435" s="15"/>
      <c r="J435" s="25">
        <f>IF($D435="","",IFERROR(INDEX(PacNome,MATCH($D435,PacCod,0)),"Paciente não cadastrado"))</f>
        <v>0</v>
      </c>
      <c r="K435" s="26">
        <f>IF($D435="","",IFERROR(INDEX(PacConv,MATCH($D435,PacCod,0))&amp;"",""))</f>
        <v>0</v>
      </c>
      <c r="L435" s="26">
        <f>IF($A435="","",CHOOSE(WEEKDAY($A435,2),"Seg","Ter","Qua","Qui","Sex","Sáb","Dom"))</f>
        <v>0</v>
      </c>
      <c r="M435" s="27">
        <f>IF($E435="","",IF($G435&lt;&gt;"",$G435,IFERROR(INDEX(ProcValor,MATCH($E435,ProcNome,0)),0)))</f>
        <v>0</v>
      </c>
      <c r="N435" s="27">
        <f>IF($M435="","",IF($F435="Compareceu",$M435,0))</f>
        <v>0</v>
      </c>
      <c r="O435" s="27">
        <f>IF($M435="","",IF($F435="Faltou",$M435,0))</f>
        <v>0</v>
      </c>
      <c r="P435" s="27">
        <f>IF($M435="","",IF($F435="Compareceu",MAX(0,$M435-N($H435)),0))</f>
        <v>0</v>
      </c>
      <c r="Q435" s="19">
        <f>IF(AND($F435="Compareceu",$E435&lt;&gt;"",$A435&lt;&gt;""),IF(IFERROR(INDEX(ProcRet,MATCH($E435,ProcNome,0)),0)&gt;0,$A435+INDEX(ProcRet,MATCH($E435,ProcNome,0)),""),"")</f>
        <v>0</v>
      </c>
      <c r="R435" s="26">
        <f>IF($Q435="","",IF(COUNTIFS(AgPac,$D435,AgData,"&gt;"&amp;$A435,AgStatus,"&lt;&gt;Cancelado",AgStatus,"&lt;&gt;Remarcado")&gt;0,"Sim","Não"))</f>
        <v>0</v>
      </c>
      <c r="S435" s="28">
        <f>IF($A435="","",IF(AND($F435="Agendado",$A435-Hoje&gt;=0,$A435-Hoje&lt;=DiasConf),"CONFIRMAR",IF(AND($A435&lt;Hoje,OR($F435="Agendado",$F435="Confirmado")),"Atualizar status",IF(AND($F435="Compareceu",$P435&gt;0.005),"Cobrar",IF($F435="Faltou","Falta: reagendar","")))))</f>
        <v>0</v>
      </c>
      <c r="T435" s="29">
        <f>IF($A435="","",DATE(YEAR($A435),MONTH($A435),1))</f>
        <v>0</v>
      </c>
      <c r="U435" s="30">
        <f>IF($S435="CONFIRMAR",MAX($U$4:$U434)+1,"")</f>
        <v>0</v>
      </c>
      <c r="V435" s="30">
        <f>IF(AND($R435="Não",$Q435&lt;&gt;"",$Q435&lt;=Hoje+JanelaRet,$Q435&gt;=Hoje-60),MAX($V$4:$V434)+1,"")</f>
        <v>0</v>
      </c>
    </row>
    <row r="436" spans="1:22">
      <c r="A436" s="16"/>
      <c r="B436" s="23"/>
      <c r="C436" s="15"/>
      <c r="D436" s="15"/>
      <c r="E436" s="15"/>
      <c r="F436" s="24"/>
      <c r="G436" s="17"/>
      <c r="H436" s="17"/>
      <c r="I436" s="15"/>
      <c r="J436" s="25">
        <f>IF($D436="","",IFERROR(INDEX(PacNome,MATCH($D436,PacCod,0)),"Paciente não cadastrado"))</f>
        <v>0</v>
      </c>
      <c r="K436" s="26">
        <f>IF($D436="","",IFERROR(INDEX(PacConv,MATCH($D436,PacCod,0))&amp;"",""))</f>
        <v>0</v>
      </c>
      <c r="L436" s="26">
        <f>IF($A436="","",CHOOSE(WEEKDAY($A436,2),"Seg","Ter","Qua","Qui","Sex","Sáb","Dom"))</f>
        <v>0</v>
      </c>
      <c r="M436" s="27">
        <f>IF($E436="","",IF($G436&lt;&gt;"",$G436,IFERROR(INDEX(ProcValor,MATCH($E436,ProcNome,0)),0)))</f>
        <v>0</v>
      </c>
      <c r="N436" s="27">
        <f>IF($M436="","",IF($F436="Compareceu",$M436,0))</f>
        <v>0</v>
      </c>
      <c r="O436" s="27">
        <f>IF($M436="","",IF($F436="Faltou",$M436,0))</f>
        <v>0</v>
      </c>
      <c r="P436" s="27">
        <f>IF($M436="","",IF($F436="Compareceu",MAX(0,$M436-N($H436)),0))</f>
        <v>0</v>
      </c>
      <c r="Q436" s="19">
        <f>IF(AND($F436="Compareceu",$E436&lt;&gt;"",$A436&lt;&gt;""),IF(IFERROR(INDEX(ProcRet,MATCH($E436,ProcNome,0)),0)&gt;0,$A436+INDEX(ProcRet,MATCH($E436,ProcNome,0)),""),"")</f>
        <v>0</v>
      </c>
      <c r="R436" s="26">
        <f>IF($Q436="","",IF(COUNTIFS(AgPac,$D436,AgData,"&gt;"&amp;$A436,AgStatus,"&lt;&gt;Cancelado",AgStatus,"&lt;&gt;Remarcado")&gt;0,"Sim","Não"))</f>
        <v>0</v>
      </c>
      <c r="S436" s="28">
        <f>IF($A436="","",IF(AND($F436="Agendado",$A436-Hoje&gt;=0,$A436-Hoje&lt;=DiasConf),"CONFIRMAR",IF(AND($A436&lt;Hoje,OR($F436="Agendado",$F436="Confirmado")),"Atualizar status",IF(AND($F436="Compareceu",$P436&gt;0.005),"Cobrar",IF($F436="Faltou","Falta: reagendar","")))))</f>
        <v>0</v>
      </c>
      <c r="T436" s="29">
        <f>IF($A436="","",DATE(YEAR($A436),MONTH($A436),1))</f>
        <v>0</v>
      </c>
      <c r="U436" s="30">
        <f>IF($S436="CONFIRMAR",MAX($U$4:$U435)+1,"")</f>
        <v>0</v>
      </c>
      <c r="V436" s="30">
        <f>IF(AND($R436="Não",$Q436&lt;&gt;"",$Q436&lt;=Hoje+JanelaRet,$Q436&gt;=Hoje-60),MAX($V$4:$V435)+1,"")</f>
        <v>0</v>
      </c>
    </row>
    <row r="437" spans="1:22">
      <c r="A437" s="16"/>
      <c r="B437" s="23"/>
      <c r="C437" s="15"/>
      <c r="D437" s="15"/>
      <c r="E437" s="15"/>
      <c r="F437" s="24"/>
      <c r="G437" s="17"/>
      <c r="H437" s="17"/>
      <c r="I437" s="15"/>
      <c r="J437" s="25">
        <f>IF($D437="","",IFERROR(INDEX(PacNome,MATCH($D437,PacCod,0)),"Paciente não cadastrado"))</f>
        <v>0</v>
      </c>
      <c r="K437" s="26">
        <f>IF($D437="","",IFERROR(INDEX(PacConv,MATCH($D437,PacCod,0))&amp;"",""))</f>
        <v>0</v>
      </c>
      <c r="L437" s="26">
        <f>IF($A437="","",CHOOSE(WEEKDAY($A437,2),"Seg","Ter","Qua","Qui","Sex","Sáb","Dom"))</f>
        <v>0</v>
      </c>
      <c r="M437" s="27">
        <f>IF($E437="","",IF($G437&lt;&gt;"",$G437,IFERROR(INDEX(ProcValor,MATCH($E437,ProcNome,0)),0)))</f>
        <v>0</v>
      </c>
      <c r="N437" s="27">
        <f>IF($M437="","",IF($F437="Compareceu",$M437,0))</f>
        <v>0</v>
      </c>
      <c r="O437" s="27">
        <f>IF($M437="","",IF($F437="Faltou",$M437,0))</f>
        <v>0</v>
      </c>
      <c r="P437" s="27">
        <f>IF($M437="","",IF($F437="Compareceu",MAX(0,$M437-N($H437)),0))</f>
        <v>0</v>
      </c>
      <c r="Q437" s="19">
        <f>IF(AND($F437="Compareceu",$E437&lt;&gt;"",$A437&lt;&gt;""),IF(IFERROR(INDEX(ProcRet,MATCH($E437,ProcNome,0)),0)&gt;0,$A437+INDEX(ProcRet,MATCH($E437,ProcNome,0)),""),"")</f>
        <v>0</v>
      </c>
      <c r="R437" s="26">
        <f>IF($Q437="","",IF(COUNTIFS(AgPac,$D437,AgData,"&gt;"&amp;$A437,AgStatus,"&lt;&gt;Cancelado",AgStatus,"&lt;&gt;Remarcado")&gt;0,"Sim","Não"))</f>
        <v>0</v>
      </c>
      <c r="S437" s="28">
        <f>IF($A437="","",IF(AND($F437="Agendado",$A437-Hoje&gt;=0,$A437-Hoje&lt;=DiasConf),"CONFIRMAR",IF(AND($A437&lt;Hoje,OR($F437="Agendado",$F437="Confirmado")),"Atualizar status",IF(AND($F437="Compareceu",$P437&gt;0.005),"Cobrar",IF($F437="Faltou","Falta: reagendar","")))))</f>
        <v>0</v>
      </c>
      <c r="T437" s="29">
        <f>IF($A437="","",DATE(YEAR($A437),MONTH($A437),1))</f>
        <v>0</v>
      </c>
      <c r="U437" s="30">
        <f>IF($S437="CONFIRMAR",MAX($U$4:$U436)+1,"")</f>
        <v>0</v>
      </c>
      <c r="V437" s="30">
        <f>IF(AND($R437="Não",$Q437&lt;&gt;"",$Q437&lt;=Hoje+JanelaRet,$Q437&gt;=Hoje-60),MAX($V$4:$V436)+1,"")</f>
        <v>0</v>
      </c>
    </row>
    <row r="438" spans="1:22">
      <c r="A438" s="16"/>
      <c r="B438" s="23"/>
      <c r="C438" s="15"/>
      <c r="D438" s="15"/>
      <c r="E438" s="15"/>
      <c r="F438" s="24"/>
      <c r="G438" s="17"/>
      <c r="H438" s="17"/>
      <c r="I438" s="15"/>
      <c r="J438" s="25">
        <f>IF($D438="","",IFERROR(INDEX(PacNome,MATCH($D438,PacCod,0)),"Paciente não cadastrado"))</f>
        <v>0</v>
      </c>
      <c r="K438" s="26">
        <f>IF($D438="","",IFERROR(INDEX(PacConv,MATCH($D438,PacCod,0))&amp;"",""))</f>
        <v>0</v>
      </c>
      <c r="L438" s="26">
        <f>IF($A438="","",CHOOSE(WEEKDAY($A438,2),"Seg","Ter","Qua","Qui","Sex","Sáb","Dom"))</f>
        <v>0</v>
      </c>
      <c r="M438" s="27">
        <f>IF($E438="","",IF($G438&lt;&gt;"",$G438,IFERROR(INDEX(ProcValor,MATCH($E438,ProcNome,0)),0)))</f>
        <v>0</v>
      </c>
      <c r="N438" s="27">
        <f>IF($M438="","",IF($F438="Compareceu",$M438,0))</f>
        <v>0</v>
      </c>
      <c r="O438" s="27">
        <f>IF($M438="","",IF($F438="Faltou",$M438,0))</f>
        <v>0</v>
      </c>
      <c r="P438" s="27">
        <f>IF($M438="","",IF($F438="Compareceu",MAX(0,$M438-N($H438)),0))</f>
        <v>0</v>
      </c>
      <c r="Q438" s="19">
        <f>IF(AND($F438="Compareceu",$E438&lt;&gt;"",$A438&lt;&gt;""),IF(IFERROR(INDEX(ProcRet,MATCH($E438,ProcNome,0)),0)&gt;0,$A438+INDEX(ProcRet,MATCH($E438,ProcNome,0)),""),"")</f>
        <v>0</v>
      </c>
      <c r="R438" s="26">
        <f>IF($Q438="","",IF(COUNTIFS(AgPac,$D438,AgData,"&gt;"&amp;$A438,AgStatus,"&lt;&gt;Cancelado",AgStatus,"&lt;&gt;Remarcado")&gt;0,"Sim","Não"))</f>
        <v>0</v>
      </c>
      <c r="S438" s="28">
        <f>IF($A438="","",IF(AND($F438="Agendado",$A438-Hoje&gt;=0,$A438-Hoje&lt;=DiasConf),"CONFIRMAR",IF(AND($A438&lt;Hoje,OR($F438="Agendado",$F438="Confirmado")),"Atualizar status",IF(AND($F438="Compareceu",$P438&gt;0.005),"Cobrar",IF($F438="Faltou","Falta: reagendar","")))))</f>
        <v>0</v>
      </c>
      <c r="T438" s="29">
        <f>IF($A438="","",DATE(YEAR($A438),MONTH($A438),1))</f>
        <v>0</v>
      </c>
      <c r="U438" s="30">
        <f>IF($S438="CONFIRMAR",MAX($U$4:$U437)+1,"")</f>
        <v>0</v>
      </c>
      <c r="V438" s="30">
        <f>IF(AND($R438="Não",$Q438&lt;&gt;"",$Q438&lt;=Hoje+JanelaRet,$Q438&gt;=Hoje-60),MAX($V$4:$V437)+1,"")</f>
        <v>0</v>
      </c>
    </row>
    <row r="439" spans="1:22">
      <c r="A439" s="16"/>
      <c r="B439" s="23"/>
      <c r="C439" s="15"/>
      <c r="D439" s="15"/>
      <c r="E439" s="15"/>
      <c r="F439" s="24"/>
      <c r="G439" s="17"/>
      <c r="H439" s="17"/>
      <c r="I439" s="15"/>
      <c r="J439" s="25">
        <f>IF($D439="","",IFERROR(INDEX(PacNome,MATCH($D439,PacCod,0)),"Paciente não cadastrado"))</f>
        <v>0</v>
      </c>
      <c r="K439" s="26">
        <f>IF($D439="","",IFERROR(INDEX(PacConv,MATCH($D439,PacCod,0))&amp;"",""))</f>
        <v>0</v>
      </c>
      <c r="L439" s="26">
        <f>IF($A439="","",CHOOSE(WEEKDAY($A439,2),"Seg","Ter","Qua","Qui","Sex","Sáb","Dom"))</f>
        <v>0</v>
      </c>
      <c r="M439" s="27">
        <f>IF($E439="","",IF($G439&lt;&gt;"",$G439,IFERROR(INDEX(ProcValor,MATCH($E439,ProcNome,0)),0)))</f>
        <v>0</v>
      </c>
      <c r="N439" s="27">
        <f>IF($M439="","",IF($F439="Compareceu",$M439,0))</f>
        <v>0</v>
      </c>
      <c r="O439" s="27">
        <f>IF($M439="","",IF($F439="Faltou",$M439,0))</f>
        <v>0</v>
      </c>
      <c r="P439" s="27">
        <f>IF($M439="","",IF($F439="Compareceu",MAX(0,$M439-N($H439)),0))</f>
        <v>0</v>
      </c>
      <c r="Q439" s="19">
        <f>IF(AND($F439="Compareceu",$E439&lt;&gt;"",$A439&lt;&gt;""),IF(IFERROR(INDEX(ProcRet,MATCH($E439,ProcNome,0)),0)&gt;0,$A439+INDEX(ProcRet,MATCH($E439,ProcNome,0)),""),"")</f>
        <v>0</v>
      </c>
      <c r="R439" s="26">
        <f>IF($Q439="","",IF(COUNTIFS(AgPac,$D439,AgData,"&gt;"&amp;$A439,AgStatus,"&lt;&gt;Cancelado",AgStatus,"&lt;&gt;Remarcado")&gt;0,"Sim","Não"))</f>
        <v>0</v>
      </c>
      <c r="S439" s="28">
        <f>IF($A439="","",IF(AND($F439="Agendado",$A439-Hoje&gt;=0,$A439-Hoje&lt;=DiasConf),"CONFIRMAR",IF(AND($A439&lt;Hoje,OR($F439="Agendado",$F439="Confirmado")),"Atualizar status",IF(AND($F439="Compareceu",$P439&gt;0.005),"Cobrar",IF($F439="Faltou","Falta: reagendar","")))))</f>
        <v>0</v>
      </c>
      <c r="T439" s="29">
        <f>IF($A439="","",DATE(YEAR($A439),MONTH($A439),1))</f>
        <v>0</v>
      </c>
      <c r="U439" s="30">
        <f>IF($S439="CONFIRMAR",MAX($U$4:$U438)+1,"")</f>
        <v>0</v>
      </c>
      <c r="V439" s="30">
        <f>IF(AND($R439="Não",$Q439&lt;&gt;"",$Q439&lt;=Hoje+JanelaRet,$Q439&gt;=Hoje-60),MAX($V$4:$V438)+1,"")</f>
        <v>0</v>
      </c>
    </row>
    <row r="440" spans="1:22">
      <c r="A440" s="16"/>
      <c r="B440" s="23"/>
      <c r="C440" s="15"/>
      <c r="D440" s="15"/>
      <c r="E440" s="15"/>
      <c r="F440" s="24"/>
      <c r="G440" s="17"/>
      <c r="H440" s="17"/>
      <c r="I440" s="15"/>
      <c r="J440" s="25">
        <f>IF($D440="","",IFERROR(INDEX(PacNome,MATCH($D440,PacCod,0)),"Paciente não cadastrado"))</f>
        <v>0</v>
      </c>
      <c r="K440" s="26">
        <f>IF($D440="","",IFERROR(INDEX(PacConv,MATCH($D440,PacCod,0))&amp;"",""))</f>
        <v>0</v>
      </c>
      <c r="L440" s="26">
        <f>IF($A440="","",CHOOSE(WEEKDAY($A440,2),"Seg","Ter","Qua","Qui","Sex","Sáb","Dom"))</f>
        <v>0</v>
      </c>
      <c r="M440" s="27">
        <f>IF($E440="","",IF($G440&lt;&gt;"",$G440,IFERROR(INDEX(ProcValor,MATCH($E440,ProcNome,0)),0)))</f>
        <v>0</v>
      </c>
      <c r="N440" s="27">
        <f>IF($M440="","",IF($F440="Compareceu",$M440,0))</f>
        <v>0</v>
      </c>
      <c r="O440" s="27">
        <f>IF($M440="","",IF($F440="Faltou",$M440,0))</f>
        <v>0</v>
      </c>
      <c r="P440" s="27">
        <f>IF($M440="","",IF($F440="Compareceu",MAX(0,$M440-N($H440)),0))</f>
        <v>0</v>
      </c>
      <c r="Q440" s="19">
        <f>IF(AND($F440="Compareceu",$E440&lt;&gt;"",$A440&lt;&gt;""),IF(IFERROR(INDEX(ProcRet,MATCH($E440,ProcNome,0)),0)&gt;0,$A440+INDEX(ProcRet,MATCH($E440,ProcNome,0)),""),"")</f>
        <v>0</v>
      </c>
      <c r="R440" s="26">
        <f>IF($Q440="","",IF(COUNTIFS(AgPac,$D440,AgData,"&gt;"&amp;$A440,AgStatus,"&lt;&gt;Cancelado",AgStatus,"&lt;&gt;Remarcado")&gt;0,"Sim","Não"))</f>
        <v>0</v>
      </c>
      <c r="S440" s="28">
        <f>IF($A440="","",IF(AND($F440="Agendado",$A440-Hoje&gt;=0,$A440-Hoje&lt;=DiasConf),"CONFIRMAR",IF(AND($A440&lt;Hoje,OR($F440="Agendado",$F440="Confirmado")),"Atualizar status",IF(AND($F440="Compareceu",$P440&gt;0.005),"Cobrar",IF($F440="Faltou","Falta: reagendar","")))))</f>
        <v>0</v>
      </c>
      <c r="T440" s="29">
        <f>IF($A440="","",DATE(YEAR($A440),MONTH($A440),1))</f>
        <v>0</v>
      </c>
      <c r="U440" s="30">
        <f>IF($S440="CONFIRMAR",MAX($U$4:$U439)+1,"")</f>
        <v>0</v>
      </c>
      <c r="V440" s="30">
        <f>IF(AND($R440="Não",$Q440&lt;&gt;"",$Q440&lt;=Hoje+JanelaRet,$Q440&gt;=Hoje-60),MAX($V$4:$V439)+1,"")</f>
        <v>0</v>
      </c>
    </row>
    <row r="441" spans="1:22">
      <c r="A441" s="16"/>
      <c r="B441" s="23"/>
      <c r="C441" s="15"/>
      <c r="D441" s="15"/>
      <c r="E441" s="15"/>
      <c r="F441" s="24"/>
      <c r="G441" s="17"/>
      <c r="H441" s="17"/>
      <c r="I441" s="15"/>
      <c r="J441" s="25">
        <f>IF($D441="","",IFERROR(INDEX(PacNome,MATCH($D441,PacCod,0)),"Paciente não cadastrado"))</f>
        <v>0</v>
      </c>
      <c r="K441" s="26">
        <f>IF($D441="","",IFERROR(INDEX(PacConv,MATCH($D441,PacCod,0))&amp;"",""))</f>
        <v>0</v>
      </c>
      <c r="L441" s="26">
        <f>IF($A441="","",CHOOSE(WEEKDAY($A441,2),"Seg","Ter","Qua","Qui","Sex","Sáb","Dom"))</f>
        <v>0</v>
      </c>
      <c r="M441" s="27">
        <f>IF($E441="","",IF($G441&lt;&gt;"",$G441,IFERROR(INDEX(ProcValor,MATCH($E441,ProcNome,0)),0)))</f>
        <v>0</v>
      </c>
      <c r="N441" s="27">
        <f>IF($M441="","",IF($F441="Compareceu",$M441,0))</f>
        <v>0</v>
      </c>
      <c r="O441" s="27">
        <f>IF($M441="","",IF($F441="Faltou",$M441,0))</f>
        <v>0</v>
      </c>
      <c r="P441" s="27">
        <f>IF($M441="","",IF($F441="Compareceu",MAX(0,$M441-N($H441)),0))</f>
        <v>0</v>
      </c>
      <c r="Q441" s="19">
        <f>IF(AND($F441="Compareceu",$E441&lt;&gt;"",$A441&lt;&gt;""),IF(IFERROR(INDEX(ProcRet,MATCH($E441,ProcNome,0)),0)&gt;0,$A441+INDEX(ProcRet,MATCH($E441,ProcNome,0)),""),"")</f>
        <v>0</v>
      </c>
      <c r="R441" s="26">
        <f>IF($Q441="","",IF(COUNTIFS(AgPac,$D441,AgData,"&gt;"&amp;$A441,AgStatus,"&lt;&gt;Cancelado",AgStatus,"&lt;&gt;Remarcado")&gt;0,"Sim","Não"))</f>
        <v>0</v>
      </c>
      <c r="S441" s="28">
        <f>IF($A441="","",IF(AND($F441="Agendado",$A441-Hoje&gt;=0,$A441-Hoje&lt;=DiasConf),"CONFIRMAR",IF(AND($A441&lt;Hoje,OR($F441="Agendado",$F441="Confirmado")),"Atualizar status",IF(AND($F441="Compareceu",$P441&gt;0.005),"Cobrar",IF($F441="Faltou","Falta: reagendar","")))))</f>
        <v>0</v>
      </c>
      <c r="T441" s="29">
        <f>IF($A441="","",DATE(YEAR($A441),MONTH($A441),1))</f>
        <v>0</v>
      </c>
      <c r="U441" s="30">
        <f>IF($S441="CONFIRMAR",MAX($U$4:$U440)+1,"")</f>
        <v>0</v>
      </c>
      <c r="V441" s="30">
        <f>IF(AND($R441="Não",$Q441&lt;&gt;"",$Q441&lt;=Hoje+JanelaRet,$Q441&gt;=Hoje-60),MAX($V$4:$V440)+1,"")</f>
        <v>0</v>
      </c>
    </row>
    <row r="442" spans="1:22">
      <c r="A442" s="16"/>
      <c r="B442" s="23"/>
      <c r="C442" s="15"/>
      <c r="D442" s="15"/>
      <c r="E442" s="15"/>
      <c r="F442" s="24"/>
      <c r="G442" s="17"/>
      <c r="H442" s="17"/>
      <c r="I442" s="15"/>
      <c r="J442" s="25">
        <f>IF($D442="","",IFERROR(INDEX(PacNome,MATCH($D442,PacCod,0)),"Paciente não cadastrado"))</f>
        <v>0</v>
      </c>
      <c r="K442" s="26">
        <f>IF($D442="","",IFERROR(INDEX(PacConv,MATCH($D442,PacCod,0))&amp;"",""))</f>
        <v>0</v>
      </c>
      <c r="L442" s="26">
        <f>IF($A442="","",CHOOSE(WEEKDAY($A442,2),"Seg","Ter","Qua","Qui","Sex","Sáb","Dom"))</f>
        <v>0</v>
      </c>
      <c r="M442" s="27">
        <f>IF($E442="","",IF($G442&lt;&gt;"",$G442,IFERROR(INDEX(ProcValor,MATCH($E442,ProcNome,0)),0)))</f>
        <v>0</v>
      </c>
      <c r="N442" s="27">
        <f>IF($M442="","",IF($F442="Compareceu",$M442,0))</f>
        <v>0</v>
      </c>
      <c r="O442" s="27">
        <f>IF($M442="","",IF($F442="Faltou",$M442,0))</f>
        <v>0</v>
      </c>
      <c r="P442" s="27">
        <f>IF($M442="","",IF($F442="Compareceu",MAX(0,$M442-N($H442)),0))</f>
        <v>0</v>
      </c>
      <c r="Q442" s="19">
        <f>IF(AND($F442="Compareceu",$E442&lt;&gt;"",$A442&lt;&gt;""),IF(IFERROR(INDEX(ProcRet,MATCH($E442,ProcNome,0)),0)&gt;0,$A442+INDEX(ProcRet,MATCH($E442,ProcNome,0)),""),"")</f>
        <v>0</v>
      </c>
      <c r="R442" s="26">
        <f>IF($Q442="","",IF(COUNTIFS(AgPac,$D442,AgData,"&gt;"&amp;$A442,AgStatus,"&lt;&gt;Cancelado",AgStatus,"&lt;&gt;Remarcado")&gt;0,"Sim","Não"))</f>
        <v>0</v>
      </c>
      <c r="S442" s="28">
        <f>IF($A442="","",IF(AND($F442="Agendado",$A442-Hoje&gt;=0,$A442-Hoje&lt;=DiasConf),"CONFIRMAR",IF(AND($A442&lt;Hoje,OR($F442="Agendado",$F442="Confirmado")),"Atualizar status",IF(AND($F442="Compareceu",$P442&gt;0.005),"Cobrar",IF($F442="Faltou","Falta: reagendar","")))))</f>
        <v>0</v>
      </c>
      <c r="T442" s="29">
        <f>IF($A442="","",DATE(YEAR($A442),MONTH($A442),1))</f>
        <v>0</v>
      </c>
      <c r="U442" s="30">
        <f>IF($S442="CONFIRMAR",MAX($U$4:$U441)+1,"")</f>
        <v>0</v>
      </c>
      <c r="V442" s="30">
        <f>IF(AND($R442="Não",$Q442&lt;&gt;"",$Q442&lt;=Hoje+JanelaRet,$Q442&gt;=Hoje-60),MAX($V$4:$V441)+1,"")</f>
        <v>0</v>
      </c>
    </row>
    <row r="443" spans="1:22">
      <c r="A443" s="16"/>
      <c r="B443" s="23"/>
      <c r="C443" s="15"/>
      <c r="D443" s="15"/>
      <c r="E443" s="15"/>
      <c r="F443" s="24"/>
      <c r="G443" s="17"/>
      <c r="H443" s="17"/>
      <c r="I443" s="15"/>
      <c r="J443" s="25">
        <f>IF($D443="","",IFERROR(INDEX(PacNome,MATCH($D443,PacCod,0)),"Paciente não cadastrado"))</f>
        <v>0</v>
      </c>
      <c r="K443" s="26">
        <f>IF($D443="","",IFERROR(INDEX(PacConv,MATCH($D443,PacCod,0))&amp;"",""))</f>
        <v>0</v>
      </c>
      <c r="L443" s="26">
        <f>IF($A443="","",CHOOSE(WEEKDAY($A443,2),"Seg","Ter","Qua","Qui","Sex","Sáb","Dom"))</f>
        <v>0</v>
      </c>
      <c r="M443" s="27">
        <f>IF($E443="","",IF($G443&lt;&gt;"",$G443,IFERROR(INDEX(ProcValor,MATCH($E443,ProcNome,0)),0)))</f>
        <v>0</v>
      </c>
      <c r="N443" s="27">
        <f>IF($M443="","",IF($F443="Compareceu",$M443,0))</f>
        <v>0</v>
      </c>
      <c r="O443" s="27">
        <f>IF($M443="","",IF($F443="Faltou",$M443,0))</f>
        <v>0</v>
      </c>
      <c r="P443" s="27">
        <f>IF($M443="","",IF($F443="Compareceu",MAX(0,$M443-N($H443)),0))</f>
        <v>0</v>
      </c>
      <c r="Q443" s="19">
        <f>IF(AND($F443="Compareceu",$E443&lt;&gt;"",$A443&lt;&gt;""),IF(IFERROR(INDEX(ProcRet,MATCH($E443,ProcNome,0)),0)&gt;0,$A443+INDEX(ProcRet,MATCH($E443,ProcNome,0)),""),"")</f>
        <v>0</v>
      </c>
      <c r="R443" s="26">
        <f>IF($Q443="","",IF(COUNTIFS(AgPac,$D443,AgData,"&gt;"&amp;$A443,AgStatus,"&lt;&gt;Cancelado",AgStatus,"&lt;&gt;Remarcado")&gt;0,"Sim","Não"))</f>
        <v>0</v>
      </c>
      <c r="S443" s="28">
        <f>IF($A443="","",IF(AND($F443="Agendado",$A443-Hoje&gt;=0,$A443-Hoje&lt;=DiasConf),"CONFIRMAR",IF(AND($A443&lt;Hoje,OR($F443="Agendado",$F443="Confirmado")),"Atualizar status",IF(AND($F443="Compareceu",$P443&gt;0.005),"Cobrar",IF($F443="Faltou","Falta: reagendar","")))))</f>
        <v>0</v>
      </c>
      <c r="T443" s="29">
        <f>IF($A443="","",DATE(YEAR($A443),MONTH($A443),1))</f>
        <v>0</v>
      </c>
      <c r="U443" s="30">
        <f>IF($S443="CONFIRMAR",MAX($U$4:$U442)+1,"")</f>
        <v>0</v>
      </c>
      <c r="V443" s="30">
        <f>IF(AND($R443="Não",$Q443&lt;&gt;"",$Q443&lt;=Hoje+JanelaRet,$Q443&gt;=Hoje-60),MAX($V$4:$V442)+1,"")</f>
        <v>0</v>
      </c>
    </row>
    <row r="444" spans="1:22">
      <c r="A444" s="16"/>
      <c r="B444" s="23"/>
      <c r="C444" s="15"/>
      <c r="D444" s="15"/>
      <c r="E444" s="15"/>
      <c r="F444" s="24"/>
      <c r="G444" s="17"/>
      <c r="H444" s="17"/>
      <c r="I444" s="15"/>
      <c r="J444" s="25">
        <f>IF($D444="","",IFERROR(INDEX(PacNome,MATCH($D444,PacCod,0)),"Paciente não cadastrado"))</f>
        <v>0</v>
      </c>
      <c r="K444" s="26">
        <f>IF($D444="","",IFERROR(INDEX(PacConv,MATCH($D444,PacCod,0))&amp;"",""))</f>
        <v>0</v>
      </c>
      <c r="L444" s="26">
        <f>IF($A444="","",CHOOSE(WEEKDAY($A444,2),"Seg","Ter","Qua","Qui","Sex","Sáb","Dom"))</f>
        <v>0</v>
      </c>
      <c r="M444" s="27">
        <f>IF($E444="","",IF($G444&lt;&gt;"",$G444,IFERROR(INDEX(ProcValor,MATCH($E444,ProcNome,0)),0)))</f>
        <v>0</v>
      </c>
      <c r="N444" s="27">
        <f>IF($M444="","",IF($F444="Compareceu",$M444,0))</f>
        <v>0</v>
      </c>
      <c r="O444" s="27">
        <f>IF($M444="","",IF($F444="Faltou",$M444,0))</f>
        <v>0</v>
      </c>
      <c r="P444" s="27">
        <f>IF($M444="","",IF($F444="Compareceu",MAX(0,$M444-N($H444)),0))</f>
        <v>0</v>
      </c>
      <c r="Q444" s="19">
        <f>IF(AND($F444="Compareceu",$E444&lt;&gt;"",$A444&lt;&gt;""),IF(IFERROR(INDEX(ProcRet,MATCH($E444,ProcNome,0)),0)&gt;0,$A444+INDEX(ProcRet,MATCH($E444,ProcNome,0)),""),"")</f>
        <v>0</v>
      </c>
      <c r="R444" s="26">
        <f>IF($Q444="","",IF(COUNTIFS(AgPac,$D444,AgData,"&gt;"&amp;$A444,AgStatus,"&lt;&gt;Cancelado",AgStatus,"&lt;&gt;Remarcado")&gt;0,"Sim","Não"))</f>
        <v>0</v>
      </c>
      <c r="S444" s="28">
        <f>IF($A444="","",IF(AND($F444="Agendado",$A444-Hoje&gt;=0,$A444-Hoje&lt;=DiasConf),"CONFIRMAR",IF(AND($A444&lt;Hoje,OR($F444="Agendado",$F444="Confirmado")),"Atualizar status",IF(AND($F444="Compareceu",$P444&gt;0.005),"Cobrar",IF($F444="Faltou","Falta: reagendar","")))))</f>
        <v>0</v>
      </c>
      <c r="T444" s="29">
        <f>IF($A444="","",DATE(YEAR($A444),MONTH($A444),1))</f>
        <v>0</v>
      </c>
      <c r="U444" s="30">
        <f>IF($S444="CONFIRMAR",MAX($U$4:$U443)+1,"")</f>
        <v>0</v>
      </c>
      <c r="V444" s="30">
        <f>IF(AND($R444="Não",$Q444&lt;&gt;"",$Q444&lt;=Hoje+JanelaRet,$Q444&gt;=Hoje-60),MAX($V$4:$V443)+1,"")</f>
        <v>0</v>
      </c>
    </row>
    <row r="445" spans="1:22">
      <c r="A445" s="16"/>
      <c r="B445" s="23"/>
      <c r="C445" s="15"/>
      <c r="D445" s="15"/>
      <c r="E445" s="15"/>
      <c r="F445" s="24"/>
      <c r="G445" s="17"/>
      <c r="H445" s="17"/>
      <c r="I445" s="15"/>
      <c r="J445" s="25">
        <f>IF($D445="","",IFERROR(INDEX(PacNome,MATCH($D445,PacCod,0)),"Paciente não cadastrado"))</f>
        <v>0</v>
      </c>
      <c r="K445" s="26">
        <f>IF($D445="","",IFERROR(INDEX(PacConv,MATCH($D445,PacCod,0))&amp;"",""))</f>
        <v>0</v>
      </c>
      <c r="L445" s="26">
        <f>IF($A445="","",CHOOSE(WEEKDAY($A445,2),"Seg","Ter","Qua","Qui","Sex","Sáb","Dom"))</f>
        <v>0</v>
      </c>
      <c r="M445" s="27">
        <f>IF($E445="","",IF($G445&lt;&gt;"",$G445,IFERROR(INDEX(ProcValor,MATCH($E445,ProcNome,0)),0)))</f>
        <v>0</v>
      </c>
      <c r="N445" s="27">
        <f>IF($M445="","",IF($F445="Compareceu",$M445,0))</f>
        <v>0</v>
      </c>
      <c r="O445" s="27">
        <f>IF($M445="","",IF($F445="Faltou",$M445,0))</f>
        <v>0</v>
      </c>
      <c r="P445" s="27">
        <f>IF($M445="","",IF($F445="Compareceu",MAX(0,$M445-N($H445)),0))</f>
        <v>0</v>
      </c>
      <c r="Q445" s="19">
        <f>IF(AND($F445="Compareceu",$E445&lt;&gt;"",$A445&lt;&gt;""),IF(IFERROR(INDEX(ProcRet,MATCH($E445,ProcNome,0)),0)&gt;0,$A445+INDEX(ProcRet,MATCH($E445,ProcNome,0)),""),"")</f>
        <v>0</v>
      </c>
      <c r="R445" s="26">
        <f>IF($Q445="","",IF(COUNTIFS(AgPac,$D445,AgData,"&gt;"&amp;$A445,AgStatus,"&lt;&gt;Cancelado",AgStatus,"&lt;&gt;Remarcado")&gt;0,"Sim","Não"))</f>
        <v>0</v>
      </c>
      <c r="S445" s="28">
        <f>IF($A445="","",IF(AND($F445="Agendado",$A445-Hoje&gt;=0,$A445-Hoje&lt;=DiasConf),"CONFIRMAR",IF(AND($A445&lt;Hoje,OR($F445="Agendado",$F445="Confirmado")),"Atualizar status",IF(AND($F445="Compareceu",$P445&gt;0.005),"Cobrar",IF($F445="Faltou","Falta: reagendar","")))))</f>
        <v>0</v>
      </c>
      <c r="T445" s="29">
        <f>IF($A445="","",DATE(YEAR($A445),MONTH($A445),1))</f>
        <v>0</v>
      </c>
      <c r="U445" s="30">
        <f>IF($S445="CONFIRMAR",MAX($U$4:$U444)+1,"")</f>
        <v>0</v>
      </c>
      <c r="V445" s="30">
        <f>IF(AND($R445="Não",$Q445&lt;&gt;"",$Q445&lt;=Hoje+JanelaRet,$Q445&gt;=Hoje-60),MAX($V$4:$V444)+1,"")</f>
        <v>0</v>
      </c>
    </row>
    <row r="446" spans="1:22">
      <c r="A446" s="16"/>
      <c r="B446" s="23"/>
      <c r="C446" s="15"/>
      <c r="D446" s="15"/>
      <c r="E446" s="15"/>
      <c r="F446" s="24"/>
      <c r="G446" s="17"/>
      <c r="H446" s="17"/>
      <c r="I446" s="15"/>
      <c r="J446" s="25">
        <f>IF($D446="","",IFERROR(INDEX(PacNome,MATCH($D446,PacCod,0)),"Paciente não cadastrado"))</f>
        <v>0</v>
      </c>
      <c r="K446" s="26">
        <f>IF($D446="","",IFERROR(INDEX(PacConv,MATCH($D446,PacCod,0))&amp;"",""))</f>
        <v>0</v>
      </c>
      <c r="L446" s="26">
        <f>IF($A446="","",CHOOSE(WEEKDAY($A446,2),"Seg","Ter","Qua","Qui","Sex","Sáb","Dom"))</f>
        <v>0</v>
      </c>
      <c r="M446" s="27">
        <f>IF($E446="","",IF($G446&lt;&gt;"",$G446,IFERROR(INDEX(ProcValor,MATCH($E446,ProcNome,0)),0)))</f>
        <v>0</v>
      </c>
      <c r="N446" s="27">
        <f>IF($M446="","",IF($F446="Compareceu",$M446,0))</f>
        <v>0</v>
      </c>
      <c r="O446" s="27">
        <f>IF($M446="","",IF($F446="Faltou",$M446,0))</f>
        <v>0</v>
      </c>
      <c r="P446" s="27">
        <f>IF($M446="","",IF($F446="Compareceu",MAX(0,$M446-N($H446)),0))</f>
        <v>0</v>
      </c>
      <c r="Q446" s="19">
        <f>IF(AND($F446="Compareceu",$E446&lt;&gt;"",$A446&lt;&gt;""),IF(IFERROR(INDEX(ProcRet,MATCH($E446,ProcNome,0)),0)&gt;0,$A446+INDEX(ProcRet,MATCH($E446,ProcNome,0)),""),"")</f>
        <v>0</v>
      </c>
      <c r="R446" s="26">
        <f>IF($Q446="","",IF(COUNTIFS(AgPac,$D446,AgData,"&gt;"&amp;$A446,AgStatus,"&lt;&gt;Cancelado",AgStatus,"&lt;&gt;Remarcado")&gt;0,"Sim","Não"))</f>
        <v>0</v>
      </c>
      <c r="S446" s="28">
        <f>IF($A446="","",IF(AND($F446="Agendado",$A446-Hoje&gt;=0,$A446-Hoje&lt;=DiasConf),"CONFIRMAR",IF(AND($A446&lt;Hoje,OR($F446="Agendado",$F446="Confirmado")),"Atualizar status",IF(AND($F446="Compareceu",$P446&gt;0.005),"Cobrar",IF($F446="Faltou","Falta: reagendar","")))))</f>
        <v>0</v>
      </c>
      <c r="T446" s="29">
        <f>IF($A446="","",DATE(YEAR($A446),MONTH($A446),1))</f>
        <v>0</v>
      </c>
      <c r="U446" s="30">
        <f>IF($S446="CONFIRMAR",MAX($U$4:$U445)+1,"")</f>
        <v>0</v>
      </c>
      <c r="V446" s="30">
        <f>IF(AND($R446="Não",$Q446&lt;&gt;"",$Q446&lt;=Hoje+JanelaRet,$Q446&gt;=Hoje-60),MAX($V$4:$V445)+1,"")</f>
        <v>0</v>
      </c>
    </row>
    <row r="447" spans="1:22">
      <c r="A447" s="16"/>
      <c r="B447" s="23"/>
      <c r="C447" s="15"/>
      <c r="D447" s="15"/>
      <c r="E447" s="15"/>
      <c r="F447" s="24"/>
      <c r="G447" s="17"/>
      <c r="H447" s="17"/>
      <c r="I447" s="15"/>
      <c r="J447" s="25">
        <f>IF($D447="","",IFERROR(INDEX(PacNome,MATCH($D447,PacCod,0)),"Paciente não cadastrado"))</f>
        <v>0</v>
      </c>
      <c r="K447" s="26">
        <f>IF($D447="","",IFERROR(INDEX(PacConv,MATCH($D447,PacCod,0))&amp;"",""))</f>
        <v>0</v>
      </c>
      <c r="L447" s="26">
        <f>IF($A447="","",CHOOSE(WEEKDAY($A447,2),"Seg","Ter","Qua","Qui","Sex","Sáb","Dom"))</f>
        <v>0</v>
      </c>
      <c r="M447" s="27">
        <f>IF($E447="","",IF($G447&lt;&gt;"",$G447,IFERROR(INDEX(ProcValor,MATCH($E447,ProcNome,0)),0)))</f>
        <v>0</v>
      </c>
      <c r="N447" s="27">
        <f>IF($M447="","",IF($F447="Compareceu",$M447,0))</f>
        <v>0</v>
      </c>
      <c r="O447" s="27">
        <f>IF($M447="","",IF($F447="Faltou",$M447,0))</f>
        <v>0</v>
      </c>
      <c r="P447" s="27">
        <f>IF($M447="","",IF($F447="Compareceu",MAX(0,$M447-N($H447)),0))</f>
        <v>0</v>
      </c>
      <c r="Q447" s="19">
        <f>IF(AND($F447="Compareceu",$E447&lt;&gt;"",$A447&lt;&gt;""),IF(IFERROR(INDEX(ProcRet,MATCH($E447,ProcNome,0)),0)&gt;0,$A447+INDEX(ProcRet,MATCH($E447,ProcNome,0)),""),"")</f>
        <v>0</v>
      </c>
      <c r="R447" s="26">
        <f>IF($Q447="","",IF(COUNTIFS(AgPac,$D447,AgData,"&gt;"&amp;$A447,AgStatus,"&lt;&gt;Cancelado",AgStatus,"&lt;&gt;Remarcado")&gt;0,"Sim","Não"))</f>
        <v>0</v>
      </c>
      <c r="S447" s="28">
        <f>IF($A447="","",IF(AND($F447="Agendado",$A447-Hoje&gt;=0,$A447-Hoje&lt;=DiasConf),"CONFIRMAR",IF(AND($A447&lt;Hoje,OR($F447="Agendado",$F447="Confirmado")),"Atualizar status",IF(AND($F447="Compareceu",$P447&gt;0.005),"Cobrar",IF($F447="Faltou","Falta: reagendar","")))))</f>
        <v>0</v>
      </c>
      <c r="T447" s="29">
        <f>IF($A447="","",DATE(YEAR($A447),MONTH($A447),1))</f>
        <v>0</v>
      </c>
      <c r="U447" s="30">
        <f>IF($S447="CONFIRMAR",MAX($U$4:$U446)+1,"")</f>
        <v>0</v>
      </c>
      <c r="V447" s="30">
        <f>IF(AND($R447="Não",$Q447&lt;&gt;"",$Q447&lt;=Hoje+JanelaRet,$Q447&gt;=Hoje-60),MAX($V$4:$V446)+1,"")</f>
        <v>0</v>
      </c>
    </row>
    <row r="448" spans="1:22">
      <c r="A448" s="16"/>
      <c r="B448" s="23"/>
      <c r="C448" s="15"/>
      <c r="D448" s="15"/>
      <c r="E448" s="15"/>
      <c r="F448" s="24"/>
      <c r="G448" s="17"/>
      <c r="H448" s="17"/>
      <c r="I448" s="15"/>
      <c r="J448" s="25">
        <f>IF($D448="","",IFERROR(INDEX(PacNome,MATCH($D448,PacCod,0)),"Paciente não cadastrado"))</f>
        <v>0</v>
      </c>
      <c r="K448" s="26">
        <f>IF($D448="","",IFERROR(INDEX(PacConv,MATCH($D448,PacCod,0))&amp;"",""))</f>
        <v>0</v>
      </c>
      <c r="L448" s="26">
        <f>IF($A448="","",CHOOSE(WEEKDAY($A448,2),"Seg","Ter","Qua","Qui","Sex","Sáb","Dom"))</f>
        <v>0</v>
      </c>
      <c r="M448" s="27">
        <f>IF($E448="","",IF($G448&lt;&gt;"",$G448,IFERROR(INDEX(ProcValor,MATCH($E448,ProcNome,0)),0)))</f>
        <v>0</v>
      </c>
      <c r="N448" s="27">
        <f>IF($M448="","",IF($F448="Compareceu",$M448,0))</f>
        <v>0</v>
      </c>
      <c r="O448" s="27">
        <f>IF($M448="","",IF($F448="Faltou",$M448,0))</f>
        <v>0</v>
      </c>
      <c r="P448" s="27">
        <f>IF($M448="","",IF($F448="Compareceu",MAX(0,$M448-N($H448)),0))</f>
        <v>0</v>
      </c>
      <c r="Q448" s="19">
        <f>IF(AND($F448="Compareceu",$E448&lt;&gt;"",$A448&lt;&gt;""),IF(IFERROR(INDEX(ProcRet,MATCH($E448,ProcNome,0)),0)&gt;0,$A448+INDEX(ProcRet,MATCH($E448,ProcNome,0)),""),"")</f>
        <v>0</v>
      </c>
      <c r="R448" s="26">
        <f>IF($Q448="","",IF(COUNTIFS(AgPac,$D448,AgData,"&gt;"&amp;$A448,AgStatus,"&lt;&gt;Cancelado",AgStatus,"&lt;&gt;Remarcado")&gt;0,"Sim","Não"))</f>
        <v>0</v>
      </c>
      <c r="S448" s="28">
        <f>IF($A448="","",IF(AND($F448="Agendado",$A448-Hoje&gt;=0,$A448-Hoje&lt;=DiasConf),"CONFIRMAR",IF(AND($A448&lt;Hoje,OR($F448="Agendado",$F448="Confirmado")),"Atualizar status",IF(AND($F448="Compareceu",$P448&gt;0.005),"Cobrar",IF($F448="Faltou","Falta: reagendar","")))))</f>
        <v>0</v>
      </c>
      <c r="T448" s="29">
        <f>IF($A448="","",DATE(YEAR($A448),MONTH($A448),1))</f>
        <v>0</v>
      </c>
      <c r="U448" s="30">
        <f>IF($S448="CONFIRMAR",MAX($U$4:$U447)+1,"")</f>
        <v>0</v>
      </c>
      <c r="V448" s="30">
        <f>IF(AND($R448="Não",$Q448&lt;&gt;"",$Q448&lt;=Hoje+JanelaRet,$Q448&gt;=Hoje-60),MAX($V$4:$V447)+1,"")</f>
        <v>0</v>
      </c>
    </row>
    <row r="449" spans="1:22">
      <c r="A449" s="16"/>
      <c r="B449" s="23"/>
      <c r="C449" s="15"/>
      <c r="D449" s="15"/>
      <c r="E449" s="15"/>
      <c r="F449" s="24"/>
      <c r="G449" s="17"/>
      <c r="H449" s="17"/>
      <c r="I449" s="15"/>
      <c r="J449" s="25">
        <f>IF($D449="","",IFERROR(INDEX(PacNome,MATCH($D449,PacCod,0)),"Paciente não cadastrado"))</f>
        <v>0</v>
      </c>
      <c r="K449" s="26">
        <f>IF($D449="","",IFERROR(INDEX(PacConv,MATCH($D449,PacCod,0))&amp;"",""))</f>
        <v>0</v>
      </c>
      <c r="L449" s="26">
        <f>IF($A449="","",CHOOSE(WEEKDAY($A449,2),"Seg","Ter","Qua","Qui","Sex","Sáb","Dom"))</f>
        <v>0</v>
      </c>
      <c r="M449" s="27">
        <f>IF($E449="","",IF($G449&lt;&gt;"",$G449,IFERROR(INDEX(ProcValor,MATCH($E449,ProcNome,0)),0)))</f>
        <v>0</v>
      </c>
      <c r="N449" s="27">
        <f>IF($M449="","",IF($F449="Compareceu",$M449,0))</f>
        <v>0</v>
      </c>
      <c r="O449" s="27">
        <f>IF($M449="","",IF($F449="Faltou",$M449,0))</f>
        <v>0</v>
      </c>
      <c r="P449" s="27">
        <f>IF($M449="","",IF($F449="Compareceu",MAX(0,$M449-N($H449)),0))</f>
        <v>0</v>
      </c>
      <c r="Q449" s="19">
        <f>IF(AND($F449="Compareceu",$E449&lt;&gt;"",$A449&lt;&gt;""),IF(IFERROR(INDEX(ProcRet,MATCH($E449,ProcNome,0)),0)&gt;0,$A449+INDEX(ProcRet,MATCH($E449,ProcNome,0)),""),"")</f>
        <v>0</v>
      </c>
      <c r="R449" s="26">
        <f>IF($Q449="","",IF(COUNTIFS(AgPac,$D449,AgData,"&gt;"&amp;$A449,AgStatus,"&lt;&gt;Cancelado",AgStatus,"&lt;&gt;Remarcado")&gt;0,"Sim","Não"))</f>
        <v>0</v>
      </c>
      <c r="S449" s="28">
        <f>IF($A449="","",IF(AND($F449="Agendado",$A449-Hoje&gt;=0,$A449-Hoje&lt;=DiasConf),"CONFIRMAR",IF(AND($A449&lt;Hoje,OR($F449="Agendado",$F449="Confirmado")),"Atualizar status",IF(AND($F449="Compareceu",$P449&gt;0.005),"Cobrar",IF($F449="Faltou","Falta: reagendar","")))))</f>
        <v>0</v>
      </c>
      <c r="T449" s="29">
        <f>IF($A449="","",DATE(YEAR($A449),MONTH($A449),1))</f>
        <v>0</v>
      </c>
      <c r="U449" s="30">
        <f>IF($S449="CONFIRMAR",MAX($U$4:$U448)+1,"")</f>
        <v>0</v>
      </c>
      <c r="V449" s="30">
        <f>IF(AND($R449="Não",$Q449&lt;&gt;"",$Q449&lt;=Hoje+JanelaRet,$Q449&gt;=Hoje-60),MAX($V$4:$V448)+1,"")</f>
        <v>0</v>
      </c>
    </row>
    <row r="450" spans="1:22">
      <c r="A450" s="16"/>
      <c r="B450" s="23"/>
      <c r="C450" s="15"/>
      <c r="D450" s="15"/>
      <c r="E450" s="15"/>
      <c r="F450" s="24"/>
      <c r="G450" s="17"/>
      <c r="H450" s="17"/>
      <c r="I450" s="15"/>
      <c r="J450" s="25">
        <f>IF($D450="","",IFERROR(INDEX(PacNome,MATCH($D450,PacCod,0)),"Paciente não cadastrado"))</f>
        <v>0</v>
      </c>
      <c r="K450" s="26">
        <f>IF($D450="","",IFERROR(INDEX(PacConv,MATCH($D450,PacCod,0))&amp;"",""))</f>
        <v>0</v>
      </c>
      <c r="L450" s="26">
        <f>IF($A450="","",CHOOSE(WEEKDAY($A450,2),"Seg","Ter","Qua","Qui","Sex","Sáb","Dom"))</f>
        <v>0</v>
      </c>
      <c r="M450" s="27">
        <f>IF($E450="","",IF($G450&lt;&gt;"",$G450,IFERROR(INDEX(ProcValor,MATCH($E450,ProcNome,0)),0)))</f>
        <v>0</v>
      </c>
      <c r="N450" s="27">
        <f>IF($M450="","",IF($F450="Compareceu",$M450,0))</f>
        <v>0</v>
      </c>
      <c r="O450" s="27">
        <f>IF($M450="","",IF($F450="Faltou",$M450,0))</f>
        <v>0</v>
      </c>
      <c r="P450" s="27">
        <f>IF($M450="","",IF($F450="Compareceu",MAX(0,$M450-N($H450)),0))</f>
        <v>0</v>
      </c>
      <c r="Q450" s="19">
        <f>IF(AND($F450="Compareceu",$E450&lt;&gt;"",$A450&lt;&gt;""),IF(IFERROR(INDEX(ProcRet,MATCH($E450,ProcNome,0)),0)&gt;0,$A450+INDEX(ProcRet,MATCH($E450,ProcNome,0)),""),"")</f>
        <v>0</v>
      </c>
      <c r="R450" s="26">
        <f>IF($Q450="","",IF(COUNTIFS(AgPac,$D450,AgData,"&gt;"&amp;$A450,AgStatus,"&lt;&gt;Cancelado",AgStatus,"&lt;&gt;Remarcado")&gt;0,"Sim","Não"))</f>
        <v>0</v>
      </c>
      <c r="S450" s="28">
        <f>IF($A450="","",IF(AND($F450="Agendado",$A450-Hoje&gt;=0,$A450-Hoje&lt;=DiasConf),"CONFIRMAR",IF(AND($A450&lt;Hoje,OR($F450="Agendado",$F450="Confirmado")),"Atualizar status",IF(AND($F450="Compareceu",$P450&gt;0.005),"Cobrar",IF($F450="Faltou","Falta: reagendar","")))))</f>
        <v>0</v>
      </c>
      <c r="T450" s="29">
        <f>IF($A450="","",DATE(YEAR($A450),MONTH($A450),1))</f>
        <v>0</v>
      </c>
      <c r="U450" s="30">
        <f>IF($S450="CONFIRMAR",MAX($U$4:$U449)+1,"")</f>
        <v>0</v>
      </c>
      <c r="V450" s="30">
        <f>IF(AND($R450="Não",$Q450&lt;&gt;"",$Q450&lt;=Hoje+JanelaRet,$Q450&gt;=Hoje-60),MAX($V$4:$V449)+1,"")</f>
        <v>0</v>
      </c>
    </row>
    <row r="451" spans="1:22">
      <c r="A451" s="16"/>
      <c r="B451" s="23"/>
      <c r="C451" s="15"/>
      <c r="D451" s="15"/>
      <c r="E451" s="15"/>
      <c r="F451" s="24"/>
      <c r="G451" s="17"/>
      <c r="H451" s="17"/>
      <c r="I451" s="15"/>
      <c r="J451" s="25">
        <f>IF($D451="","",IFERROR(INDEX(PacNome,MATCH($D451,PacCod,0)),"Paciente não cadastrado"))</f>
        <v>0</v>
      </c>
      <c r="K451" s="26">
        <f>IF($D451="","",IFERROR(INDEX(PacConv,MATCH($D451,PacCod,0))&amp;"",""))</f>
        <v>0</v>
      </c>
      <c r="L451" s="26">
        <f>IF($A451="","",CHOOSE(WEEKDAY($A451,2),"Seg","Ter","Qua","Qui","Sex","Sáb","Dom"))</f>
        <v>0</v>
      </c>
      <c r="M451" s="27">
        <f>IF($E451="","",IF($G451&lt;&gt;"",$G451,IFERROR(INDEX(ProcValor,MATCH($E451,ProcNome,0)),0)))</f>
        <v>0</v>
      </c>
      <c r="N451" s="27">
        <f>IF($M451="","",IF($F451="Compareceu",$M451,0))</f>
        <v>0</v>
      </c>
      <c r="O451" s="27">
        <f>IF($M451="","",IF($F451="Faltou",$M451,0))</f>
        <v>0</v>
      </c>
      <c r="P451" s="27">
        <f>IF($M451="","",IF($F451="Compareceu",MAX(0,$M451-N($H451)),0))</f>
        <v>0</v>
      </c>
      <c r="Q451" s="19">
        <f>IF(AND($F451="Compareceu",$E451&lt;&gt;"",$A451&lt;&gt;""),IF(IFERROR(INDEX(ProcRet,MATCH($E451,ProcNome,0)),0)&gt;0,$A451+INDEX(ProcRet,MATCH($E451,ProcNome,0)),""),"")</f>
        <v>0</v>
      </c>
      <c r="R451" s="26">
        <f>IF($Q451="","",IF(COUNTIFS(AgPac,$D451,AgData,"&gt;"&amp;$A451,AgStatus,"&lt;&gt;Cancelado",AgStatus,"&lt;&gt;Remarcado")&gt;0,"Sim","Não"))</f>
        <v>0</v>
      </c>
      <c r="S451" s="28">
        <f>IF($A451="","",IF(AND($F451="Agendado",$A451-Hoje&gt;=0,$A451-Hoje&lt;=DiasConf),"CONFIRMAR",IF(AND($A451&lt;Hoje,OR($F451="Agendado",$F451="Confirmado")),"Atualizar status",IF(AND($F451="Compareceu",$P451&gt;0.005),"Cobrar",IF($F451="Faltou","Falta: reagendar","")))))</f>
        <v>0</v>
      </c>
      <c r="T451" s="29">
        <f>IF($A451="","",DATE(YEAR($A451),MONTH($A451),1))</f>
        <v>0</v>
      </c>
      <c r="U451" s="30">
        <f>IF($S451="CONFIRMAR",MAX($U$4:$U450)+1,"")</f>
        <v>0</v>
      </c>
      <c r="V451" s="30">
        <f>IF(AND($R451="Não",$Q451&lt;&gt;"",$Q451&lt;=Hoje+JanelaRet,$Q451&gt;=Hoje-60),MAX($V$4:$V450)+1,"")</f>
        <v>0</v>
      </c>
    </row>
    <row r="452" spans="1:22">
      <c r="A452" s="16"/>
      <c r="B452" s="23"/>
      <c r="C452" s="15"/>
      <c r="D452" s="15"/>
      <c r="E452" s="15"/>
      <c r="F452" s="24"/>
      <c r="G452" s="17"/>
      <c r="H452" s="17"/>
      <c r="I452" s="15"/>
      <c r="J452" s="25">
        <f>IF($D452="","",IFERROR(INDEX(PacNome,MATCH($D452,PacCod,0)),"Paciente não cadastrado"))</f>
        <v>0</v>
      </c>
      <c r="K452" s="26">
        <f>IF($D452="","",IFERROR(INDEX(PacConv,MATCH($D452,PacCod,0))&amp;"",""))</f>
        <v>0</v>
      </c>
      <c r="L452" s="26">
        <f>IF($A452="","",CHOOSE(WEEKDAY($A452,2),"Seg","Ter","Qua","Qui","Sex","Sáb","Dom"))</f>
        <v>0</v>
      </c>
      <c r="M452" s="27">
        <f>IF($E452="","",IF($G452&lt;&gt;"",$G452,IFERROR(INDEX(ProcValor,MATCH($E452,ProcNome,0)),0)))</f>
        <v>0</v>
      </c>
      <c r="N452" s="27">
        <f>IF($M452="","",IF($F452="Compareceu",$M452,0))</f>
        <v>0</v>
      </c>
      <c r="O452" s="27">
        <f>IF($M452="","",IF($F452="Faltou",$M452,0))</f>
        <v>0</v>
      </c>
      <c r="P452" s="27">
        <f>IF($M452="","",IF($F452="Compareceu",MAX(0,$M452-N($H452)),0))</f>
        <v>0</v>
      </c>
      <c r="Q452" s="19">
        <f>IF(AND($F452="Compareceu",$E452&lt;&gt;"",$A452&lt;&gt;""),IF(IFERROR(INDEX(ProcRet,MATCH($E452,ProcNome,0)),0)&gt;0,$A452+INDEX(ProcRet,MATCH($E452,ProcNome,0)),""),"")</f>
        <v>0</v>
      </c>
      <c r="R452" s="26">
        <f>IF($Q452="","",IF(COUNTIFS(AgPac,$D452,AgData,"&gt;"&amp;$A452,AgStatus,"&lt;&gt;Cancelado",AgStatus,"&lt;&gt;Remarcado")&gt;0,"Sim","Não"))</f>
        <v>0</v>
      </c>
      <c r="S452" s="28">
        <f>IF($A452="","",IF(AND($F452="Agendado",$A452-Hoje&gt;=0,$A452-Hoje&lt;=DiasConf),"CONFIRMAR",IF(AND($A452&lt;Hoje,OR($F452="Agendado",$F452="Confirmado")),"Atualizar status",IF(AND($F452="Compareceu",$P452&gt;0.005),"Cobrar",IF($F452="Faltou","Falta: reagendar","")))))</f>
        <v>0</v>
      </c>
      <c r="T452" s="29">
        <f>IF($A452="","",DATE(YEAR($A452),MONTH($A452),1))</f>
        <v>0</v>
      </c>
      <c r="U452" s="30">
        <f>IF($S452="CONFIRMAR",MAX($U$4:$U451)+1,"")</f>
        <v>0</v>
      </c>
      <c r="V452" s="30">
        <f>IF(AND($R452="Não",$Q452&lt;&gt;"",$Q452&lt;=Hoje+JanelaRet,$Q452&gt;=Hoje-60),MAX($V$4:$V451)+1,"")</f>
        <v>0</v>
      </c>
    </row>
    <row r="453" spans="1:22">
      <c r="A453" s="16"/>
      <c r="B453" s="23"/>
      <c r="C453" s="15"/>
      <c r="D453" s="15"/>
      <c r="E453" s="15"/>
      <c r="F453" s="24"/>
      <c r="G453" s="17"/>
      <c r="H453" s="17"/>
      <c r="I453" s="15"/>
      <c r="J453" s="25">
        <f>IF($D453="","",IFERROR(INDEX(PacNome,MATCH($D453,PacCod,0)),"Paciente não cadastrado"))</f>
        <v>0</v>
      </c>
      <c r="K453" s="26">
        <f>IF($D453="","",IFERROR(INDEX(PacConv,MATCH($D453,PacCod,0))&amp;"",""))</f>
        <v>0</v>
      </c>
      <c r="L453" s="26">
        <f>IF($A453="","",CHOOSE(WEEKDAY($A453,2),"Seg","Ter","Qua","Qui","Sex","Sáb","Dom"))</f>
        <v>0</v>
      </c>
      <c r="M453" s="27">
        <f>IF($E453="","",IF($G453&lt;&gt;"",$G453,IFERROR(INDEX(ProcValor,MATCH($E453,ProcNome,0)),0)))</f>
        <v>0</v>
      </c>
      <c r="N453" s="27">
        <f>IF($M453="","",IF($F453="Compareceu",$M453,0))</f>
        <v>0</v>
      </c>
      <c r="O453" s="27">
        <f>IF($M453="","",IF($F453="Faltou",$M453,0))</f>
        <v>0</v>
      </c>
      <c r="P453" s="27">
        <f>IF($M453="","",IF($F453="Compareceu",MAX(0,$M453-N($H453)),0))</f>
        <v>0</v>
      </c>
      <c r="Q453" s="19">
        <f>IF(AND($F453="Compareceu",$E453&lt;&gt;"",$A453&lt;&gt;""),IF(IFERROR(INDEX(ProcRet,MATCH($E453,ProcNome,0)),0)&gt;0,$A453+INDEX(ProcRet,MATCH($E453,ProcNome,0)),""),"")</f>
        <v>0</v>
      </c>
      <c r="R453" s="26">
        <f>IF($Q453="","",IF(COUNTIFS(AgPac,$D453,AgData,"&gt;"&amp;$A453,AgStatus,"&lt;&gt;Cancelado",AgStatus,"&lt;&gt;Remarcado")&gt;0,"Sim","Não"))</f>
        <v>0</v>
      </c>
      <c r="S453" s="28">
        <f>IF($A453="","",IF(AND($F453="Agendado",$A453-Hoje&gt;=0,$A453-Hoje&lt;=DiasConf),"CONFIRMAR",IF(AND($A453&lt;Hoje,OR($F453="Agendado",$F453="Confirmado")),"Atualizar status",IF(AND($F453="Compareceu",$P453&gt;0.005),"Cobrar",IF($F453="Faltou","Falta: reagendar","")))))</f>
        <v>0</v>
      </c>
      <c r="T453" s="29">
        <f>IF($A453="","",DATE(YEAR($A453),MONTH($A453),1))</f>
        <v>0</v>
      </c>
      <c r="U453" s="30">
        <f>IF($S453="CONFIRMAR",MAX($U$4:$U452)+1,"")</f>
        <v>0</v>
      </c>
      <c r="V453" s="30">
        <f>IF(AND($R453="Não",$Q453&lt;&gt;"",$Q453&lt;=Hoje+JanelaRet,$Q453&gt;=Hoje-60),MAX($V$4:$V452)+1,"")</f>
        <v>0</v>
      </c>
    </row>
    <row r="454" spans="1:22">
      <c r="A454" s="16"/>
      <c r="B454" s="23"/>
      <c r="C454" s="15"/>
      <c r="D454" s="15"/>
      <c r="E454" s="15"/>
      <c r="F454" s="24"/>
      <c r="G454" s="17"/>
      <c r="H454" s="17"/>
      <c r="I454" s="15"/>
      <c r="J454" s="25">
        <f>IF($D454="","",IFERROR(INDEX(PacNome,MATCH($D454,PacCod,0)),"Paciente não cadastrado"))</f>
        <v>0</v>
      </c>
      <c r="K454" s="26">
        <f>IF($D454="","",IFERROR(INDEX(PacConv,MATCH($D454,PacCod,0))&amp;"",""))</f>
        <v>0</v>
      </c>
      <c r="L454" s="26">
        <f>IF($A454="","",CHOOSE(WEEKDAY($A454,2),"Seg","Ter","Qua","Qui","Sex","Sáb","Dom"))</f>
        <v>0</v>
      </c>
      <c r="M454" s="27">
        <f>IF($E454="","",IF($G454&lt;&gt;"",$G454,IFERROR(INDEX(ProcValor,MATCH($E454,ProcNome,0)),0)))</f>
        <v>0</v>
      </c>
      <c r="N454" s="27">
        <f>IF($M454="","",IF($F454="Compareceu",$M454,0))</f>
        <v>0</v>
      </c>
      <c r="O454" s="27">
        <f>IF($M454="","",IF($F454="Faltou",$M454,0))</f>
        <v>0</v>
      </c>
      <c r="P454" s="27">
        <f>IF($M454="","",IF($F454="Compareceu",MAX(0,$M454-N($H454)),0))</f>
        <v>0</v>
      </c>
      <c r="Q454" s="19">
        <f>IF(AND($F454="Compareceu",$E454&lt;&gt;"",$A454&lt;&gt;""),IF(IFERROR(INDEX(ProcRet,MATCH($E454,ProcNome,0)),0)&gt;0,$A454+INDEX(ProcRet,MATCH($E454,ProcNome,0)),""),"")</f>
        <v>0</v>
      </c>
      <c r="R454" s="26">
        <f>IF($Q454="","",IF(COUNTIFS(AgPac,$D454,AgData,"&gt;"&amp;$A454,AgStatus,"&lt;&gt;Cancelado",AgStatus,"&lt;&gt;Remarcado")&gt;0,"Sim","Não"))</f>
        <v>0</v>
      </c>
      <c r="S454" s="28">
        <f>IF($A454="","",IF(AND($F454="Agendado",$A454-Hoje&gt;=0,$A454-Hoje&lt;=DiasConf),"CONFIRMAR",IF(AND($A454&lt;Hoje,OR($F454="Agendado",$F454="Confirmado")),"Atualizar status",IF(AND($F454="Compareceu",$P454&gt;0.005),"Cobrar",IF($F454="Faltou","Falta: reagendar","")))))</f>
        <v>0</v>
      </c>
      <c r="T454" s="29">
        <f>IF($A454="","",DATE(YEAR($A454),MONTH($A454),1))</f>
        <v>0</v>
      </c>
      <c r="U454" s="30">
        <f>IF($S454="CONFIRMAR",MAX($U$4:$U453)+1,"")</f>
        <v>0</v>
      </c>
      <c r="V454" s="30">
        <f>IF(AND($R454="Não",$Q454&lt;&gt;"",$Q454&lt;=Hoje+JanelaRet,$Q454&gt;=Hoje-60),MAX($V$4:$V453)+1,"")</f>
        <v>0</v>
      </c>
    </row>
    <row r="455" spans="1:22">
      <c r="A455" s="16"/>
      <c r="B455" s="23"/>
      <c r="C455" s="15"/>
      <c r="D455" s="15"/>
      <c r="E455" s="15"/>
      <c r="F455" s="24"/>
      <c r="G455" s="17"/>
      <c r="H455" s="17"/>
      <c r="I455" s="15"/>
      <c r="J455" s="25">
        <f>IF($D455="","",IFERROR(INDEX(PacNome,MATCH($D455,PacCod,0)),"Paciente não cadastrado"))</f>
        <v>0</v>
      </c>
      <c r="K455" s="26">
        <f>IF($D455="","",IFERROR(INDEX(PacConv,MATCH($D455,PacCod,0))&amp;"",""))</f>
        <v>0</v>
      </c>
      <c r="L455" s="26">
        <f>IF($A455="","",CHOOSE(WEEKDAY($A455,2),"Seg","Ter","Qua","Qui","Sex","Sáb","Dom"))</f>
        <v>0</v>
      </c>
      <c r="M455" s="27">
        <f>IF($E455="","",IF($G455&lt;&gt;"",$G455,IFERROR(INDEX(ProcValor,MATCH($E455,ProcNome,0)),0)))</f>
        <v>0</v>
      </c>
      <c r="N455" s="27">
        <f>IF($M455="","",IF($F455="Compareceu",$M455,0))</f>
        <v>0</v>
      </c>
      <c r="O455" s="27">
        <f>IF($M455="","",IF($F455="Faltou",$M455,0))</f>
        <v>0</v>
      </c>
      <c r="P455" s="27">
        <f>IF($M455="","",IF($F455="Compareceu",MAX(0,$M455-N($H455)),0))</f>
        <v>0</v>
      </c>
      <c r="Q455" s="19">
        <f>IF(AND($F455="Compareceu",$E455&lt;&gt;"",$A455&lt;&gt;""),IF(IFERROR(INDEX(ProcRet,MATCH($E455,ProcNome,0)),0)&gt;0,$A455+INDEX(ProcRet,MATCH($E455,ProcNome,0)),""),"")</f>
        <v>0</v>
      </c>
      <c r="R455" s="26">
        <f>IF($Q455="","",IF(COUNTIFS(AgPac,$D455,AgData,"&gt;"&amp;$A455,AgStatus,"&lt;&gt;Cancelado",AgStatus,"&lt;&gt;Remarcado")&gt;0,"Sim","Não"))</f>
        <v>0</v>
      </c>
      <c r="S455" s="28">
        <f>IF($A455="","",IF(AND($F455="Agendado",$A455-Hoje&gt;=0,$A455-Hoje&lt;=DiasConf),"CONFIRMAR",IF(AND($A455&lt;Hoje,OR($F455="Agendado",$F455="Confirmado")),"Atualizar status",IF(AND($F455="Compareceu",$P455&gt;0.005),"Cobrar",IF($F455="Faltou","Falta: reagendar","")))))</f>
        <v>0</v>
      </c>
      <c r="T455" s="29">
        <f>IF($A455="","",DATE(YEAR($A455),MONTH($A455),1))</f>
        <v>0</v>
      </c>
      <c r="U455" s="30">
        <f>IF($S455="CONFIRMAR",MAX($U$4:$U454)+1,"")</f>
        <v>0</v>
      </c>
      <c r="V455" s="30">
        <f>IF(AND($R455="Não",$Q455&lt;&gt;"",$Q455&lt;=Hoje+JanelaRet,$Q455&gt;=Hoje-60),MAX($V$4:$V454)+1,"")</f>
        <v>0</v>
      </c>
    </row>
    <row r="456" spans="1:22">
      <c r="A456" s="16"/>
      <c r="B456" s="23"/>
      <c r="C456" s="15"/>
      <c r="D456" s="15"/>
      <c r="E456" s="15"/>
      <c r="F456" s="24"/>
      <c r="G456" s="17"/>
      <c r="H456" s="17"/>
      <c r="I456" s="15"/>
      <c r="J456" s="25">
        <f>IF($D456="","",IFERROR(INDEX(PacNome,MATCH($D456,PacCod,0)),"Paciente não cadastrado"))</f>
        <v>0</v>
      </c>
      <c r="K456" s="26">
        <f>IF($D456="","",IFERROR(INDEX(PacConv,MATCH($D456,PacCod,0))&amp;"",""))</f>
        <v>0</v>
      </c>
      <c r="L456" s="26">
        <f>IF($A456="","",CHOOSE(WEEKDAY($A456,2),"Seg","Ter","Qua","Qui","Sex","Sáb","Dom"))</f>
        <v>0</v>
      </c>
      <c r="M456" s="27">
        <f>IF($E456="","",IF($G456&lt;&gt;"",$G456,IFERROR(INDEX(ProcValor,MATCH($E456,ProcNome,0)),0)))</f>
        <v>0</v>
      </c>
      <c r="N456" s="27">
        <f>IF($M456="","",IF($F456="Compareceu",$M456,0))</f>
        <v>0</v>
      </c>
      <c r="O456" s="27">
        <f>IF($M456="","",IF($F456="Faltou",$M456,0))</f>
        <v>0</v>
      </c>
      <c r="P456" s="27">
        <f>IF($M456="","",IF($F456="Compareceu",MAX(0,$M456-N($H456)),0))</f>
        <v>0</v>
      </c>
      <c r="Q456" s="19">
        <f>IF(AND($F456="Compareceu",$E456&lt;&gt;"",$A456&lt;&gt;""),IF(IFERROR(INDEX(ProcRet,MATCH($E456,ProcNome,0)),0)&gt;0,$A456+INDEX(ProcRet,MATCH($E456,ProcNome,0)),""),"")</f>
        <v>0</v>
      </c>
      <c r="R456" s="26">
        <f>IF($Q456="","",IF(COUNTIFS(AgPac,$D456,AgData,"&gt;"&amp;$A456,AgStatus,"&lt;&gt;Cancelado",AgStatus,"&lt;&gt;Remarcado")&gt;0,"Sim","Não"))</f>
        <v>0</v>
      </c>
      <c r="S456" s="28">
        <f>IF($A456="","",IF(AND($F456="Agendado",$A456-Hoje&gt;=0,$A456-Hoje&lt;=DiasConf),"CONFIRMAR",IF(AND($A456&lt;Hoje,OR($F456="Agendado",$F456="Confirmado")),"Atualizar status",IF(AND($F456="Compareceu",$P456&gt;0.005),"Cobrar",IF($F456="Faltou","Falta: reagendar","")))))</f>
        <v>0</v>
      </c>
      <c r="T456" s="29">
        <f>IF($A456="","",DATE(YEAR($A456),MONTH($A456),1))</f>
        <v>0</v>
      </c>
      <c r="U456" s="30">
        <f>IF($S456="CONFIRMAR",MAX($U$4:$U455)+1,"")</f>
        <v>0</v>
      </c>
      <c r="V456" s="30">
        <f>IF(AND($R456="Não",$Q456&lt;&gt;"",$Q456&lt;=Hoje+JanelaRet,$Q456&gt;=Hoje-60),MAX($V$4:$V455)+1,"")</f>
        <v>0</v>
      </c>
    </row>
    <row r="457" spans="1:22">
      <c r="A457" s="16"/>
      <c r="B457" s="23"/>
      <c r="C457" s="15"/>
      <c r="D457" s="15"/>
      <c r="E457" s="15"/>
      <c r="F457" s="24"/>
      <c r="G457" s="17"/>
      <c r="H457" s="17"/>
      <c r="I457" s="15"/>
      <c r="J457" s="25">
        <f>IF($D457="","",IFERROR(INDEX(PacNome,MATCH($D457,PacCod,0)),"Paciente não cadastrado"))</f>
        <v>0</v>
      </c>
      <c r="K457" s="26">
        <f>IF($D457="","",IFERROR(INDEX(PacConv,MATCH($D457,PacCod,0))&amp;"",""))</f>
        <v>0</v>
      </c>
      <c r="L457" s="26">
        <f>IF($A457="","",CHOOSE(WEEKDAY($A457,2),"Seg","Ter","Qua","Qui","Sex","Sáb","Dom"))</f>
        <v>0</v>
      </c>
      <c r="M457" s="27">
        <f>IF($E457="","",IF($G457&lt;&gt;"",$G457,IFERROR(INDEX(ProcValor,MATCH($E457,ProcNome,0)),0)))</f>
        <v>0</v>
      </c>
      <c r="N457" s="27">
        <f>IF($M457="","",IF($F457="Compareceu",$M457,0))</f>
        <v>0</v>
      </c>
      <c r="O457" s="27">
        <f>IF($M457="","",IF($F457="Faltou",$M457,0))</f>
        <v>0</v>
      </c>
      <c r="P457" s="27">
        <f>IF($M457="","",IF($F457="Compareceu",MAX(0,$M457-N($H457)),0))</f>
        <v>0</v>
      </c>
      <c r="Q457" s="19">
        <f>IF(AND($F457="Compareceu",$E457&lt;&gt;"",$A457&lt;&gt;""),IF(IFERROR(INDEX(ProcRet,MATCH($E457,ProcNome,0)),0)&gt;0,$A457+INDEX(ProcRet,MATCH($E457,ProcNome,0)),""),"")</f>
        <v>0</v>
      </c>
      <c r="R457" s="26">
        <f>IF($Q457="","",IF(COUNTIFS(AgPac,$D457,AgData,"&gt;"&amp;$A457,AgStatus,"&lt;&gt;Cancelado",AgStatus,"&lt;&gt;Remarcado")&gt;0,"Sim","Não"))</f>
        <v>0</v>
      </c>
      <c r="S457" s="28">
        <f>IF($A457="","",IF(AND($F457="Agendado",$A457-Hoje&gt;=0,$A457-Hoje&lt;=DiasConf),"CONFIRMAR",IF(AND($A457&lt;Hoje,OR($F457="Agendado",$F457="Confirmado")),"Atualizar status",IF(AND($F457="Compareceu",$P457&gt;0.005),"Cobrar",IF($F457="Faltou","Falta: reagendar","")))))</f>
        <v>0</v>
      </c>
      <c r="T457" s="29">
        <f>IF($A457="","",DATE(YEAR($A457),MONTH($A457),1))</f>
        <v>0</v>
      </c>
      <c r="U457" s="30">
        <f>IF($S457="CONFIRMAR",MAX($U$4:$U456)+1,"")</f>
        <v>0</v>
      </c>
      <c r="V457" s="30">
        <f>IF(AND($R457="Não",$Q457&lt;&gt;"",$Q457&lt;=Hoje+JanelaRet,$Q457&gt;=Hoje-60),MAX($V$4:$V456)+1,"")</f>
        <v>0</v>
      </c>
    </row>
    <row r="458" spans="1:22">
      <c r="A458" s="16"/>
      <c r="B458" s="23"/>
      <c r="C458" s="15"/>
      <c r="D458" s="15"/>
      <c r="E458" s="15"/>
      <c r="F458" s="24"/>
      <c r="G458" s="17"/>
      <c r="H458" s="17"/>
      <c r="I458" s="15"/>
      <c r="J458" s="25">
        <f>IF($D458="","",IFERROR(INDEX(PacNome,MATCH($D458,PacCod,0)),"Paciente não cadastrado"))</f>
        <v>0</v>
      </c>
      <c r="K458" s="26">
        <f>IF($D458="","",IFERROR(INDEX(PacConv,MATCH($D458,PacCod,0))&amp;"",""))</f>
        <v>0</v>
      </c>
      <c r="L458" s="26">
        <f>IF($A458="","",CHOOSE(WEEKDAY($A458,2),"Seg","Ter","Qua","Qui","Sex","Sáb","Dom"))</f>
        <v>0</v>
      </c>
      <c r="M458" s="27">
        <f>IF($E458="","",IF($G458&lt;&gt;"",$G458,IFERROR(INDEX(ProcValor,MATCH($E458,ProcNome,0)),0)))</f>
        <v>0</v>
      </c>
      <c r="N458" s="27">
        <f>IF($M458="","",IF($F458="Compareceu",$M458,0))</f>
        <v>0</v>
      </c>
      <c r="O458" s="27">
        <f>IF($M458="","",IF($F458="Faltou",$M458,0))</f>
        <v>0</v>
      </c>
      <c r="P458" s="27">
        <f>IF($M458="","",IF($F458="Compareceu",MAX(0,$M458-N($H458)),0))</f>
        <v>0</v>
      </c>
      <c r="Q458" s="19">
        <f>IF(AND($F458="Compareceu",$E458&lt;&gt;"",$A458&lt;&gt;""),IF(IFERROR(INDEX(ProcRet,MATCH($E458,ProcNome,0)),0)&gt;0,$A458+INDEX(ProcRet,MATCH($E458,ProcNome,0)),""),"")</f>
        <v>0</v>
      </c>
      <c r="R458" s="26">
        <f>IF($Q458="","",IF(COUNTIFS(AgPac,$D458,AgData,"&gt;"&amp;$A458,AgStatus,"&lt;&gt;Cancelado",AgStatus,"&lt;&gt;Remarcado")&gt;0,"Sim","Não"))</f>
        <v>0</v>
      </c>
      <c r="S458" s="28">
        <f>IF($A458="","",IF(AND($F458="Agendado",$A458-Hoje&gt;=0,$A458-Hoje&lt;=DiasConf),"CONFIRMAR",IF(AND($A458&lt;Hoje,OR($F458="Agendado",$F458="Confirmado")),"Atualizar status",IF(AND($F458="Compareceu",$P458&gt;0.005),"Cobrar",IF($F458="Faltou","Falta: reagendar","")))))</f>
        <v>0</v>
      </c>
      <c r="T458" s="29">
        <f>IF($A458="","",DATE(YEAR($A458),MONTH($A458),1))</f>
        <v>0</v>
      </c>
      <c r="U458" s="30">
        <f>IF($S458="CONFIRMAR",MAX($U$4:$U457)+1,"")</f>
        <v>0</v>
      </c>
      <c r="V458" s="30">
        <f>IF(AND($R458="Não",$Q458&lt;&gt;"",$Q458&lt;=Hoje+JanelaRet,$Q458&gt;=Hoje-60),MAX($V$4:$V457)+1,"")</f>
        <v>0</v>
      </c>
    </row>
    <row r="459" spans="1:22">
      <c r="A459" s="16"/>
      <c r="B459" s="23"/>
      <c r="C459" s="15"/>
      <c r="D459" s="15"/>
      <c r="E459" s="15"/>
      <c r="F459" s="24"/>
      <c r="G459" s="17"/>
      <c r="H459" s="17"/>
      <c r="I459" s="15"/>
      <c r="J459" s="25">
        <f>IF($D459="","",IFERROR(INDEX(PacNome,MATCH($D459,PacCod,0)),"Paciente não cadastrado"))</f>
        <v>0</v>
      </c>
      <c r="K459" s="26">
        <f>IF($D459="","",IFERROR(INDEX(PacConv,MATCH($D459,PacCod,0))&amp;"",""))</f>
        <v>0</v>
      </c>
      <c r="L459" s="26">
        <f>IF($A459="","",CHOOSE(WEEKDAY($A459,2),"Seg","Ter","Qua","Qui","Sex","Sáb","Dom"))</f>
        <v>0</v>
      </c>
      <c r="M459" s="27">
        <f>IF($E459="","",IF($G459&lt;&gt;"",$G459,IFERROR(INDEX(ProcValor,MATCH($E459,ProcNome,0)),0)))</f>
        <v>0</v>
      </c>
      <c r="N459" s="27">
        <f>IF($M459="","",IF($F459="Compareceu",$M459,0))</f>
        <v>0</v>
      </c>
      <c r="O459" s="27">
        <f>IF($M459="","",IF($F459="Faltou",$M459,0))</f>
        <v>0</v>
      </c>
      <c r="P459" s="27">
        <f>IF($M459="","",IF($F459="Compareceu",MAX(0,$M459-N($H459)),0))</f>
        <v>0</v>
      </c>
      <c r="Q459" s="19">
        <f>IF(AND($F459="Compareceu",$E459&lt;&gt;"",$A459&lt;&gt;""),IF(IFERROR(INDEX(ProcRet,MATCH($E459,ProcNome,0)),0)&gt;0,$A459+INDEX(ProcRet,MATCH($E459,ProcNome,0)),""),"")</f>
        <v>0</v>
      </c>
      <c r="R459" s="26">
        <f>IF($Q459="","",IF(COUNTIFS(AgPac,$D459,AgData,"&gt;"&amp;$A459,AgStatus,"&lt;&gt;Cancelado",AgStatus,"&lt;&gt;Remarcado")&gt;0,"Sim","Não"))</f>
        <v>0</v>
      </c>
      <c r="S459" s="28">
        <f>IF($A459="","",IF(AND($F459="Agendado",$A459-Hoje&gt;=0,$A459-Hoje&lt;=DiasConf),"CONFIRMAR",IF(AND($A459&lt;Hoje,OR($F459="Agendado",$F459="Confirmado")),"Atualizar status",IF(AND($F459="Compareceu",$P459&gt;0.005),"Cobrar",IF($F459="Faltou","Falta: reagendar","")))))</f>
        <v>0</v>
      </c>
      <c r="T459" s="29">
        <f>IF($A459="","",DATE(YEAR($A459),MONTH($A459),1))</f>
        <v>0</v>
      </c>
      <c r="U459" s="30">
        <f>IF($S459="CONFIRMAR",MAX($U$4:$U458)+1,"")</f>
        <v>0</v>
      </c>
      <c r="V459" s="30">
        <f>IF(AND($R459="Não",$Q459&lt;&gt;"",$Q459&lt;=Hoje+JanelaRet,$Q459&gt;=Hoje-60),MAX($V$4:$V458)+1,"")</f>
        <v>0</v>
      </c>
    </row>
    <row r="460" spans="1:22">
      <c r="A460" s="16"/>
      <c r="B460" s="23"/>
      <c r="C460" s="15"/>
      <c r="D460" s="15"/>
      <c r="E460" s="15"/>
      <c r="F460" s="24"/>
      <c r="G460" s="17"/>
      <c r="H460" s="17"/>
      <c r="I460" s="15"/>
      <c r="J460" s="25">
        <f>IF($D460="","",IFERROR(INDEX(PacNome,MATCH($D460,PacCod,0)),"Paciente não cadastrado"))</f>
        <v>0</v>
      </c>
      <c r="K460" s="26">
        <f>IF($D460="","",IFERROR(INDEX(PacConv,MATCH($D460,PacCod,0))&amp;"",""))</f>
        <v>0</v>
      </c>
      <c r="L460" s="26">
        <f>IF($A460="","",CHOOSE(WEEKDAY($A460,2),"Seg","Ter","Qua","Qui","Sex","Sáb","Dom"))</f>
        <v>0</v>
      </c>
      <c r="M460" s="27">
        <f>IF($E460="","",IF($G460&lt;&gt;"",$G460,IFERROR(INDEX(ProcValor,MATCH($E460,ProcNome,0)),0)))</f>
        <v>0</v>
      </c>
      <c r="N460" s="27">
        <f>IF($M460="","",IF($F460="Compareceu",$M460,0))</f>
        <v>0</v>
      </c>
      <c r="O460" s="27">
        <f>IF($M460="","",IF($F460="Faltou",$M460,0))</f>
        <v>0</v>
      </c>
      <c r="P460" s="27">
        <f>IF($M460="","",IF($F460="Compareceu",MAX(0,$M460-N($H460)),0))</f>
        <v>0</v>
      </c>
      <c r="Q460" s="19">
        <f>IF(AND($F460="Compareceu",$E460&lt;&gt;"",$A460&lt;&gt;""),IF(IFERROR(INDEX(ProcRet,MATCH($E460,ProcNome,0)),0)&gt;0,$A460+INDEX(ProcRet,MATCH($E460,ProcNome,0)),""),"")</f>
        <v>0</v>
      </c>
      <c r="R460" s="26">
        <f>IF($Q460="","",IF(COUNTIFS(AgPac,$D460,AgData,"&gt;"&amp;$A460,AgStatus,"&lt;&gt;Cancelado",AgStatus,"&lt;&gt;Remarcado")&gt;0,"Sim","Não"))</f>
        <v>0</v>
      </c>
      <c r="S460" s="28">
        <f>IF($A460="","",IF(AND($F460="Agendado",$A460-Hoje&gt;=0,$A460-Hoje&lt;=DiasConf),"CONFIRMAR",IF(AND($A460&lt;Hoje,OR($F460="Agendado",$F460="Confirmado")),"Atualizar status",IF(AND($F460="Compareceu",$P460&gt;0.005),"Cobrar",IF($F460="Faltou","Falta: reagendar","")))))</f>
        <v>0</v>
      </c>
      <c r="T460" s="29">
        <f>IF($A460="","",DATE(YEAR($A460),MONTH($A460),1))</f>
        <v>0</v>
      </c>
      <c r="U460" s="30">
        <f>IF($S460="CONFIRMAR",MAX($U$4:$U459)+1,"")</f>
        <v>0</v>
      </c>
      <c r="V460" s="30">
        <f>IF(AND($R460="Não",$Q460&lt;&gt;"",$Q460&lt;=Hoje+JanelaRet,$Q460&gt;=Hoje-60),MAX($V$4:$V459)+1,"")</f>
        <v>0</v>
      </c>
    </row>
    <row r="461" spans="1:22">
      <c r="A461" s="16"/>
      <c r="B461" s="23"/>
      <c r="C461" s="15"/>
      <c r="D461" s="15"/>
      <c r="E461" s="15"/>
      <c r="F461" s="24"/>
      <c r="G461" s="17"/>
      <c r="H461" s="17"/>
      <c r="I461" s="15"/>
      <c r="J461" s="25">
        <f>IF($D461="","",IFERROR(INDEX(PacNome,MATCH($D461,PacCod,0)),"Paciente não cadastrado"))</f>
        <v>0</v>
      </c>
      <c r="K461" s="26">
        <f>IF($D461="","",IFERROR(INDEX(PacConv,MATCH($D461,PacCod,0))&amp;"",""))</f>
        <v>0</v>
      </c>
      <c r="L461" s="26">
        <f>IF($A461="","",CHOOSE(WEEKDAY($A461,2),"Seg","Ter","Qua","Qui","Sex","Sáb","Dom"))</f>
        <v>0</v>
      </c>
      <c r="M461" s="27">
        <f>IF($E461="","",IF($G461&lt;&gt;"",$G461,IFERROR(INDEX(ProcValor,MATCH($E461,ProcNome,0)),0)))</f>
        <v>0</v>
      </c>
      <c r="N461" s="27">
        <f>IF($M461="","",IF($F461="Compareceu",$M461,0))</f>
        <v>0</v>
      </c>
      <c r="O461" s="27">
        <f>IF($M461="","",IF($F461="Faltou",$M461,0))</f>
        <v>0</v>
      </c>
      <c r="P461" s="27">
        <f>IF($M461="","",IF($F461="Compareceu",MAX(0,$M461-N($H461)),0))</f>
        <v>0</v>
      </c>
      <c r="Q461" s="19">
        <f>IF(AND($F461="Compareceu",$E461&lt;&gt;"",$A461&lt;&gt;""),IF(IFERROR(INDEX(ProcRet,MATCH($E461,ProcNome,0)),0)&gt;0,$A461+INDEX(ProcRet,MATCH($E461,ProcNome,0)),""),"")</f>
        <v>0</v>
      </c>
      <c r="R461" s="26">
        <f>IF($Q461="","",IF(COUNTIFS(AgPac,$D461,AgData,"&gt;"&amp;$A461,AgStatus,"&lt;&gt;Cancelado",AgStatus,"&lt;&gt;Remarcado")&gt;0,"Sim","Não"))</f>
        <v>0</v>
      </c>
      <c r="S461" s="28">
        <f>IF($A461="","",IF(AND($F461="Agendado",$A461-Hoje&gt;=0,$A461-Hoje&lt;=DiasConf),"CONFIRMAR",IF(AND($A461&lt;Hoje,OR($F461="Agendado",$F461="Confirmado")),"Atualizar status",IF(AND($F461="Compareceu",$P461&gt;0.005),"Cobrar",IF($F461="Faltou","Falta: reagendar","")))))</f>
        <v>0</v>
      </c>
      <c r="T461" s="29">
        <f>IF($A461="","",DATE(YEAR($A461),MONTH($A461),1))</f>
        <v>0</v>
      </c>
      <c r="U461" s="30">
        <f>IF($S461="CONFIRMAR",MAX($U$4:$U460)+1,"")</f>
        <v>0</v>
      </c>
      <c r="V461" s="30">
        <f>IF(AND($R461="Não",$Q461&lt;&gt;"",$Q461&lt;=Hoje+JanelaRet,$Q461&gt;=Hoje-60),MAX($V$4:$V460)+1,"")</f>
        <v>0</v>
      </c>
    </row>
    <row r="462" spans="1:22">
      <c r="A462" s="16"/>
      <c r="B462" s="23"/>
      <c r="C462" s="15"/>
      <c r="D462" s="15"/>
      <c r="E462" s="15"/>
      <c r="F462" s="24"/>
      <c r="G462" s="17"/>
      <c r="H462" s="17"/>
      <c r="I462" s="15"/>
      <c r="J462" s="25">
        <f>IF($D462="","",IFERROR(INDEX(PacNome,MATCH($D462,PacCod,0)),"Paciente não cadastrado"))</f>
        <v>0</v>
      </c>
      <c r="K462" s="26">
        <f>IF($D462="","",IFERROR(INDEX(PacConv,MATCH($D462,PacCod,0))&amp;"",""))</f>
        <v>0</v>
      </c>
      <c r="L462" s="26">
        <f>IF($A462="","",CHOOSE(WEEKDAY($A462,2),"Seg","Ter","Qua","Qui","Sex","Sáb","Dom"))</f>
        <v>0</v>
      </c>
      <c r="M462" s="27">
        <f>IF($E462="","",IF($G462&lt;&gt;"",$G462,IFERROR(INDEX(ProcValor,MATCH($E462,ProcNome,0)),0)))</f>
        <v>0</v>
      </c>
      <c r="N462" s="27">
        <f>IF($M462="","",IF($F462="Compareceu",$M462,0))</f>
        <v>0</v>
      </c>
      <c r="O462" s="27">
        <f>IF($M462="","",IF($F462="Faltou",$M462,0))</f>
        <v>0</v>
      </c>
      <c r="P462" s="27">
        <f>IF($M462="","",IF($F462="Compareceu",MAX(0,$M462-N($H462)),0))</f>
        <v>0</v>
      </c>
      <c r="Q462" s="19">
        <f>IF(AND($F462="Compareceu",$E462&lt;&gt;"",$A462&lt;&gt;""),IF(IFERROR(INDEX(ProcRet,MATCH($E462,ProcNome,0)),0)&gt;0,$A462+INDEX(ProcRet,MATCH($E462,ProcNome,0)),""),"")</f>
        <v>0</v>
      </c>
      <c r="R462" s="26">
        <f>IF($Q462="","",IF(COUNTIFS(AgPac,$D462,AgData,"&gt;"&amp;$A462,AgStatus,"&lt;&gt;Cancelado",AgStatus,"&lt;&gt;Remarcado")&gt;0,"Sim","Não"))</f>
        <v>0</v>
      </c>
      <c r="S462" s="28">
        <f>IF($A462="","",IF(AND($F462="Agendado",$A462-Hoje&gt;=0,$A462-Hoje&lt;=DiasConf),"CONFIRMAR",IF(AND($A462&lt;Hoje,OR($F462="Agendado",$F462="Confirmado")),"Atualizar status",IF(AND($F462="Compareceu",$P462&gt;0.005),"Cobrar",IF($F462="Faltou","Falta: reagendar","")))))</f>
        <v>0</v>
      </c>
      <c r="T462" s="29">
        <f>IF($A462="","",DATE(YEAR($A462),MONTH($A462),1))</f>
        <v>0</v>
      </c>
      <c r="U462" s="30">
        <f>IF($S462="CONFIRMAR",MAX($U$4:$U461)+1,"")</f>
        <v>0</v>
      </c>
      <c r="V462" s="30">
        <f>IF(AND($R462="Não",$Q462&lt;&gt;"",$Q462&lt;=Hoje+JanelaRet,$Q462&gt;=Hoje-60),MAX($V$4:$V461)+1,"")</f>
        <v>0</v>
      </c>
    </row>
    <row r="463" spans="1:22">
      <c r="A463" s="16"/>
      <c r="B463" s="23"/>
      <c r="C463" s="15"/>
      <c r="D463" s="15"/>
      <c r="E463" s="15"/>
      <c r="F463" s="24"/>
      <c r="G463" s="17"/>
      <c r="H463" s="17"/>
      <c r="I463" s="15"/>
      <c r="J463" s="25">
        <f>IF($D463="","",IFERROR(INDEX(PacNome,MATCH($D463,PacCod,0)),"Paciente não cadastrado"))</f>
        <v>0</v>
      </c>
      <c r="K463" s="26">
        <f>IF($D463="","",IFERROR(INDEX(PacConv,MATCH($D463,PacCod,0))&amp;"",""))</f>
        <v>0</v>
      </c>
      <c r="L463" s="26">
        <f>IF($A463="","",CHOOSE(WEEKDAY($A463,2),"Seg","Ter","Qua","Qui","Sex","Sáb","Dom"))</f>
        <v>0</v>
      </c>
      <c r="M463" s="27">
        <f>IF($E463="","",IF($G463&lt;&gt;"",$G463,IFERROR(INDEX(ProcValor,MATCH($E463,ProcNome,0)),0)))</f>
        <v>0</v>
      </c>
      <c r="N463" s="27">
        <f>IF($M463="","",IF($F463="Compareceu",$M463,0))</f>
        <v>0</v>
      </c>
      <c r="O463" s="27">
        <f>IF($M463="","",IF($F463="Faltou",$M463,0))</f>
        <v>0</v>
      </c>
      <c r="P463" s="27">
        <f>IF($M463="","",IF($F463="Compareceu",MAX(0,$M463-N($H463)),0))</f>
        <v>0</v>
      </c>
      <c r="Q463" s="19">
        <f>IF(AND($F463="Compareceu",$E463&lt;&gt;"",$A463&lt;&gt;""),IF(IFERROR(INDEX(ProcRet,MATCH($E463,ProcNome,0)),0)&gt;0,$A463+INDEX(ProcRet,MATCH($E463,ProcNome,0)),""),"")</f>
        <v>0</v>
      </c>
      <c r="R463" s="26">
        <f>IF($Q463="","",IF(COUNTIFS(AgPac,$D463,AgData,"&gt;"&amp;$A463,AgStatus,"&lt;&gt;Cancelado",AgStatus,"&lt;&gt;Remarcado")&gt;0,"Sim","Não"))</f>
        <v>0</v>
      </c>
      <c r="S463" s="28">
        <f>IF($A463="","",IF(AND($F463="Agendado",$A463-Hoje&gt;=0,$A463-Hoje&lt;=DiasConf),"CONFIRMAR",IF(AND($A463&lt;Hoje,OR($F463="Agendado",$F463="Confirmado")),"Atualizar status",IF(AND($F463="Compareceu",$P463&gt;0.005),"Cobrar",IF($F463="Faltou","Falta: reagendar","")))))</f>
        <v>0</v>
      </c>
      <c r="T463" s="29">
        <f>IF($A463="","",DATE(YEAR($A463),MONTH($A463),1))</f>
        <v>0</v>
      </c>
      <c r="U463" s="30">
        <f>IF($S463="CONFIRMAR",MAX($U$4:$U462)+1,"")</f>
        <v>0</v>
      </c>
      <c r="V463" s="30">
        <f>IF(AND($R463="Não",$Q463&lt;&gt;"",$Q463&lt;=Hoje+JanelaRet,$Q463&gt;=Hoje-60),MAX($V$4:$V462)+1,"")</f>
        <v>0</v>
      </c>
    </row>
    <row r="464" spans="1:22">
      <c r="A464" s="16"/>
      <c r="B464" s="23"/>
      <c r="C464" s="15"/>
      <c r="D464" s="15"/>
      <c r="E464" s="15"/>
      <c r="F464" s="24"/>
      <c r="G464" s="17"/>
      <c r="H464" s="17"/>
      <c r="I464" s="15"/>
      <c r="J464" s="25">
        <f>IF($D464="","",IFERROR(INDEX(PacNome,MATCH($D464,PacCod,0)),"Paciente não cadastrado"))</f>
        <v>0</v>
      </c>
      <c r="K464" s="26">
        <f>IF($D464="","",IFERROR(INDEX(PacConv,MATCH($D464,PacCod,0))&amp;"",""))</f>
        <v>0</v>
      </c>
      <c r="L464" s="26">
        <f>IF($A464="","",CHOOSE(WEEKDAY($A464,2),"Seg","Ter","Qua","Qui","Sex","Sáb","Dom"))</f>
        <v>0</v>
      </c>
      <c r="M464" s="27">
        <f>IF($E464="","",IF($G464&lt;&gt;"",$G464,IFERROR(INDEX(ProcValor,MATCH($E464,ProcNome,0)),0)))</f>
        <v>0</v>
      </c>
      <c r="N464" s="27">
        <f>IF($M464="","",IF($F464="Compareceu",$M464,0))</f>
        <v>0</v>
      </c>
      <c r="O464" s="27">
        <f>IF($M464="","",IF($F464="Faltou",$M464,0))</f>
        <v>0</v>
      </c>
      <c r="P464" s="27">
        <f>IF($M464="","",IF($F464="Compareceu",MAX(0,$M464-N($H464)),0))</f>
        <v>0</v>
      </c>
      <c r="Q464" s="19">
        <f>IF(AND($F464="Compareceu",$E464&lt;&gt;"",$A464&lt;&gt;""),IF(IFERROR(INDEX(ProcRet,MATCH($E464,ProcNome,0)),0)&gt;0,$A464+INDEX(ProcRet,MATCH($E464,ProcNome,0)),""),"")</f>
        <v>0</v>
      </c>
      <c r="R464" s="26">
        <f>IF($Q464="","",IF(COUNTIFS(AgPac,$D464,AgData,"&gt;"&amp;$A464,AgStatus,"&lt;&gt;Cancelado",AgStatus,"&lt;&gt;Remarcado")&gt;0,"Sim","Não"))</f>
        <v>0</v>
      </c>
      <c r="S464" s="28">
        <f>IF($A464="","",IF(AND($F464="Agendado",$A464-Hoje&gt;=0,$A464-Hoje&lt;=DiasConf),"CONFIRMAR",IF(AND($A464&lt;Hoje,OR($F464="Agendado",$F464="Confirmado")),"Atualizar status",IF(AND($F464="Compareceu",$P464&gt;0.005),"Cobrar",IF($F464="Faltou","Falta: reagendar","")))))</f>
        <v>0</v>
      </c>
      <c r="T464" s="29">
        <f>IF($A464="","",DATE(YEAR($A464),MONTH($A464),1))</f>
        <v>0</v>
      </c>
      <c r="U464" s="30">
        <f>IF($S464="CONFIRMAR",MAX($U$4:$U463)+1,"")</f>
        <v>0</v>
      </c>
      <c r="V464" s="30">
        <f>IF(AND($R464="Não",$Q464&lt;&gt;"",$Q464&lt;=Hoje+JanelaRet,$Q464&gt;=Hoje-60),MAX($V$4:$V463)+1,"")</f>
        <v>0</v>
      </c>
    </row>
    <row r="465" spans="1:22">
      <c r="A465" s="16"/>
      <c r="B465" s="23"/>
      <c r="C465" s="15"/>
      <c r="D465" s="15"/>
      <c r="E465" s="15"/>
      <c r="F465" s="24"/>
      <c r="G465" s="17"/>
      <c r="H465" s="17"/>
      <c r="I465" s="15"/>
      <c r="J465" s="25">
        <f>IF($D465="","",IFERROR(INDEX(PacNome,MATCH($D465,PacCod,0)),"Paciente não cadastrado"))</f>
        <v>0</v>
      </c>
      <c r="K465" s="26">
        <f>IF($D465="","",IFERROR(INDEX(PacConv,MATCH($D465,PacCod,0))&amp;"",""))</f>
        <v>0</v>
      </c>
      <c r="L465" s="26">
        <f>IF($A465="","",CHOOSE(WEEKDAY($A465,2),"Seg","Ter","Qua","Qui","Sex","Sáb","Dom"))</f>
        <v>0</v>
      </c>
      <c r="M465" s="27">
        <f>IF($E465="","",IF($G465&lt;&gt;"",$G465,IFERROR(INDEX(ProcValor,MATCH($E465,ProcNome,0)),0)))</f>
        <v>0</v>
      </c>
      <c r="N465" s="27">
        <f>IF($M465="","",IF($F465="Compareceu",$M465,0))</f>
        <v>0</v>
      </c>
      <c r="O465" s="27">
        <f>IF($M465="","",IF($F465="Faltou",$M465,0))</f>
        <v>0</v>
      </c>
      <c r="P465" s="27">
        <f>IF($M465="","",IF($F465="Compareceu",MAX(0,$M465-N($H465)),0))</f>
        <v>0</v>
      </c>
      <c r="Q465" s="19">
        <f>IF(AND($F465="Compareceu",$E465&lt;&gt;"",$A465&lt;&gt;""),IF(IFERROR(INDEX(ProcRet,MATCH($E465,ProcNome,0)),0)&gt;0,$A465+INDEX(ProcRet,MATCH($E465,ProcNome,0)),""),"")</f>
        <v>0</v>
      </c>
      <c r="R465" s="26">
        <f>IF($Q465="","",IF(COUNTIFS(AgPac,$D465,AgData,"&gt;"&amp;$A465,AgStatus,"&lt;&gt;Cancelado",AgStatus,"&lt;&gt;Remarcado")&gt;0,"Sim","Não"))</f>
        <v>0</v>
      </c>
      <c r="S465" s="28">
        <f>IF($A465="","",IF(AND($F465="Agendado",$A465-Hoje&gt;=0,$A465-Hoje&lt;=DiasConf),"CONFIRMAR",IF(AND($A465&lt;Hoje,OR($F465="Agendado",$F465="Confirmado")),"Atualizar status",IF(AND($F465="Compareceu",$P465&gt;0.005),"Cobrar",IF($F465="Faltou","Falta: reagendar","")))))</f>
        <v>0</v>
      </c>
      <c r="T465" s="29">
        <f>IF($A465="","",DATE(YEAR($A465),MONTH($A465),1))</f>
        <v>0</v>
      </c>
      <c r="U465" s="30">
        <f>IF($S465="CONFIRMAR",MAX($U$4:$U464)+1,"")</f>
        <v>0</v>
      </c>
      <c r="V465" s="30">
        <f>IF(AND($R465="Não",$Q465&lt;&gt;"",$Q465&lt;=Hoje+JanelaRet,$Q465&gt;=Hoje-60),MAX($V$4:$V464)+1,"")</f>
        <v>0</v>
      </c>
    </row>
    <row r="466" spans="1:22">
      <c r="A466" s="16"/>
      <c r="B466" s="23"/>
      <c r="C466" s="15"/>
      <c r="D466" s="15"/>
      <c r="E466" s="15"/>
      <c r="F466" s="24"/>
      <c r="G466" s="17"/>
      <c r="H466" s="17"/>
      <c r="I466" s="15"/>
      <c r="J466" s="25">
        <f>IF($D466="","",IFERROR(INDEX(PacNome,MATCH($D466,PacCod,0)),"Paciente não cadastrado"))</f>
        <v>0</v>
      </c>
      <c r="K466" s="26">
        <f>IF($D466="","",IFERROR(INDEX(PacConv,MATCH($D466,PacCod,0))&amp;"",""))</f>
        <v>0</v>
      </c>
      <c r="L466" s="26">
        <f>IF($A466="","",CHOOSE(WEEKDAY($A466,2),"Seg","Ter","Qua","Qui","Sex","Sáb","Dom"))</f>
        <v>0</v>
      </c>
      <c r="M466" s="27">
        <f>IF($E466="","",IF($G466&lt;&gt;"",$G466,IFERROR(INDEX(ProcValor,MATCH($E466,ProcNome,0)),0)))</f>
        <v>0</v>
      </c>
      <c r="N466" s="27">
        <f>IF($M466="","",IF($F466="Compareceu",$M466,0))</f>
        <v>0</v>
      </c>
      <c r="O466" s="27">
        <f>IF($M466="","",IF($F466="Faltou",$M466,0))</f>
        <v>0</v>
      </c>
      <c r="P466" s="27">
        <f>IF($M466="","",IF($F466="Compareceu",MAX(0,$M466-N($H466)),0))</f>
        <v>0</v>
      </c>
      <c r="Q466" s="19">
        <f>IF(AND($F466="Compareceu",$E466&lt;&gt;"",$A466&lt;&gt;""),IF(IFERROR(INDEX(ProcRet,MATCH($E466,ProcNome,0)),0)&gt;0,$A466+INDEX(ProcRet,MATCH($E466,ProcNome,0)),""),"")</f>
        <v>0</v>
      </c>
      <c r="R466" s="26">
        <f>IF($Q466="","",IF(COUNTIFS(AgPac,$D466,AgData,"&gt;"&amp;$A466,AgStatus,"&lt;&gt;Cancelado",AgStatus,"&lt;&gt;Remarcado")&gt;0,"Sim","Não"))</f>
        <v>0</v>
      </c>
      <c r="S466" s="28">
        <f>IF($A466="","",IF(AND($F466="Agendado",$A466-Hoje&gt;=0,$A466-Hoje&lt;=DiasConf),"CONFIRMAR",IF(AND($A466&lt;Hoje,OR($F466="Agendado",$F466="Confirmado")),"Atualizar status",IF(AND($F466="Compareceu",$P466&gt;0.005),"Cobrar",IF($F466="Faltou","Falta: reagendar","")))))</f>
        <v>0</v>
      </c>
      <c r="T466" s="29">
        <f>IF($A466="","",DATE(YEAR($A466),MONTH($A466),1))</f>
        <v>0</v>
      </c>
      <c r="U466" s="30">
        <f>IF($S466="CONFIRMAR",MAX($U$4:$U465)+1,"")</f>
        <v>0</v>
      </c>
      <c r="V466" s="30">
        <f>IF(AND($R466="Não",$Q466&lt;&gt;"",$Q466&lt;=Hoje+JanelaRet,$Q466&gt;=Hoje-60),MAX($V$4:$V465)+1,"")</f>
        <v>0</v>
      </c>
    </row>
    <row r="467" spans="1:22">
      <c r="A467" s="16"/>
      <c r="B467" s="23"/>
      <c r="C467" s="15"/>
      <c r="D467" s="15"/>
      <c r="E467" s="15"/>
      <c r="F467" s="24"/>
      <c r="G467" s="17"/>
      <c r="H467" s="17"/>
      <c r="I467" s="15"/>
      <c r="J467" s="25">
        <f>IF($D467="","",IFERROR(INDEX(PacNome,MATCH($D467,PacCod,0)),"Paciente não cadastrado"))</f>
        <v>0</v>
      </c>
      <c r="K467" s="26">
        <f>IF($D467="","",IFERROR(INDEX(PacConv,MATCH($D467,PacCod,0))&amp;"",""))</f>
        <v>0</v>
      </c>
      <c r="L467" s="26">
        <f>IF($A467="","",CHOOSE(WEEKDAY($A467,2),"Seg","Ter","Qua","Qui","Sex","Sáb","Dom"))</f>
        <v>0</v>
      </c>
      <c r="M467" s="27">
        <f>IF($E467="","",IF($G467&lt;&gt;"",$G467,IFERROR(INDEX(ProcValor,MATCH($E467,ProcNome,0)),0)))</f>
        <v>0</v>
      </c>
      <c r="N467" s="27">
        <f>IF($M467="","",IF($F467="Compareceu",$M467,0))</f>
        <v>0</v>
      </c>
      <c r="O467" s="27">
        <f>IF($M467="","",IF($F467="Faltou",$M467,0))</f>
        <v>0</v>
      </c>
      <c r="P467" s="27">
        <f>IF($M467="","",IF($F467="Compareceu",MAX(0,$M467-N($H467)),0))</f>
        <v>0</v>
      </c>
      <c r="Q467" s="19">
        <f>IF(AND($F467="Compareceu",$E467&lt;&gt;"",$A467&lt;&gt;""),IF(IFERROR(INDEX(ProcRet,MATCH($E467,ProcNome,0)),0)&gt;0,$A467+INDEX(ProcRet,MATCH($E467,ProcNome,0)),""),"")</f>
        <v>0</v>
      </c>
      <c r="R467" s="26">
        <f>IF($Q467="","",IF(COUNTIFS(AgPac,$D467,AgData,"&gt;"&amp;$A467,AgStatus,"&lt;&gt;Cancelado",AgStatus,"&lt;&gt;Remarcado")&gt;0,"Sim","Não"))</f>
        <v>0</v>
      </c>
      <c r="S467" s="28">
        <f>IF($A467="","",IF(AND($F467="Agendado",$A467-Hoje&gt;=0,$A467-Hoje&lt;=DiasConf),"CONFIRMAR",IF(AND($A467&lt;Hoje,OR($F467="Agendado",$F467="Confirmado")),"Atualizar status",IF(AND($F467="Compareceu",$P467&gt;0.005),"Cobrar",IF($F467="Faltou","Falta: reagendar","")))))</f>
        <v>0</v>
      </c>
      <c r="T467" s="29">
        <f>IF($A467="","",DATE(YEAR($A467),MONTH($A467),1))</f>
        <v>0</v>
      </c>
      <c r="U467" s="30">
        <f>IF($S467="CONFIRMAR",MAX($U$4:$U466)+1,"")</f>
        <v>0</v>
      </c>
      <c r="V467" s="30">
        <f>IF(AND($R467="Não",$Q467&lt;&gt;"",$Q467&lt;=Hoje+JanelaRet,$Q467&gt;=Hoje-60),MAX($V$4:$V466)+1,"")</f>
        <v>0</v>
      </c>
    </row>
    <row r="468" spans="1:22">
      <c r="A468" s="16"/>
      <c r="B468" s="23"/>
      <c r="C468" s="15"/>
      <c r="D468" s="15"/>
      <c r="E468" s="15"/>
      <c r="F468" s="24"/>
      <c r="G468" s="17"/>
      <c r="H468" s="17"/>
      <c r="I468" s="15"/>
      <c r="J468" s="25">
        <f>IF($D468="","",IFERROR(INDEX(PacNome,MATCH($D468,PacCod,0)),"Paciente não cadastrado"))</f>
        <v>0</v>
      </c>
      <c r="K468" s="26">
        <f>IF($D468="","",IFERROR(INDEX(PacConv,MATCH($D468,PacCod,0))&amp;"",""))</f>
        <v>0</v>
      </c>
      <c r="L468" s="26">
        <f>IF($A468="","",CHOOSE(WEEKDAY($A468,2),"Seg","Ter","Qua","Qui","Sex","Sáb","Dom"))</f>
        <v>0</v>
      </c>
      <c r="M468" s="27">
        <f>IF($E468="","",IF($G468&lt;&gt;"",$G468,IFERROR(INDEX(ProcValor,MATCH($E468,ProcNome,0)),0)))</f>
        <v>0</v>
      </c>
      <c r="N468" s="27">
        <f>IF($M468="","",IF($F468="Compareceu",$M468,0))</f>
        <v>0</v>
      </c>
      <c r="O468" s="27">
        <f>IF($M468="","",IF($F468="Faltou",$M468,0))</f>
        <v>0</v>
      </c>
      <c r="P468" s="27">
        <f>IF($M468="","",IF($F468="Compareceu",MAX(0,$M468-N($H468)),0))</f>
        <v>0</v>
      </c>
      <c r="Q468" s="19">
        <f>IF(AND($F468="Compareceu",$E468&lt;&gt;"",$A468&lt;&gt;""),IF(IFERROR(INDEX(ProcRet,MATCH($E468,ProcNome,0)),0)&gt;0,$A468+INDEX(ProcRet,MATCH($E468,ProcNome,0)),""),"")</f>
        <v>0</v>
      </c>
      <c r="R468" s="26">
        <f>IF($Q468="","",IF(COUNTIFS(AgPac,$D468,AgData,"&gt;"&amp;$A468,AgStatus,"&lt;&gt;Cancelado",AgStatus,"&lt;&gt;Remarcado")&gt;0,"Sim","Não"))</f>
        <v>0</v>
      </c>
      <c r="S468" s="28">
        <f>IF($A468="","",IF(AND($F468="Agendado",$A468-Hoje&gt;=0,$A468-Hoje&lt;=DiasConf),"CONFIRMAR",IF(AND($A468&lt;Hoje,OR($F468="Agendado",$F468="Confirmado")),"Atualizar status",IF(AND($F468="Compareceu",$P468&gt;0.005),"Cobrar",IF($F468="Faltou","Falta: reagendar","")))))</f>
        <v>0</v>
      </c>
      <c r="T468" s="29">
        <f>IF($A468="","",DATE(YEAR($A468),MONTH($A468),1))</f>
        <v>0</v>
      </c>
      <c r="U468" s="30">
        <f>IF($S468="CONFIRMAR",MAX($U$4:$U467)+1,"")</f>
        <v>0</v>
      </c>
      <c r="V468" s="30">
        <f>IF(AND($R468="Não",$Q468&lt;&gt;"",$Q468&lt;=Hoje+JanelaRet,$Q468&gt;=Hoje-60),MAX($V$4:$V467)+1,"")</f>
        <v>0</v>
      </c>
    </row>
    <row r="469" spans="1:22">
      <c r="A469" s="16"/>
      <c r="B469" s="23"/>
      <c r="C469" s="15"/>
      <c r="D469" s="15"/>
      <c r="E469" s="15"/>
      <c r="F469" s="24"/>
      <c r="G469" s="17"/>
      <c r="H469" s="17"/>
      <c r="I469" s="15"/>
      <c r="J469" s="25">
        <f>IF($D469="","",IFERROR(INDEX(PacNome,MATCH($D469,PacCod,0)),"Paciente não cadastrado"))</f>
        <v>0</v>
      </c>
      <c r="K469" s="26">
        <f>IF($D469="","",IFERROR(INDEX(PacConv,MATCH($D469,PacCod,0))&amp;"",""))</f>
        <v>0</v>
      </c>
      <c r="L469" s="26">
        <f>IF($A469="","",CHOOSE(WEEKDAY($A469,2),"Seg","Ter","Qua","Qui","Sex","Sáb","Dom"))</f>
        <v>0</v>
      </c>
      <c r="M469" s="27">
        <f>IF($E469="","",IF($G469&lt;&gt;"",$G469,IFERROR(INDEX(ProcValor,MATCH($E469,ProcNome,0)),0)))</f>
        <v>0</v>
      </c>
      <c r="N469" s="27">
        <f>IF($M469="","",IF($F469="Compareceu",$M469,0))</f>
        <v>0</v>
      </c>
      <c r="O469" s="27">
        <f>IF($M469="","",IF($F469="Faltou",$M469,0))</f>
        <v>0</v>
      </c>
      <c r="P469" s="27">
        <f>IF($M469="","",IF($F469="Compareceu",MAX(0,$M469-N($H469)),0))</f>
        <v>0</v>
      </c>
      <c r="Q469" s="19">
        <f>IF(AND($F469="Compareceu",$E469&lt;&gt;"",$A469&lt;&gt;""),IF(IFERROR(INDEX(ProcRet,MATCH($E469,ProcNome,0)),0)&gt;0,$A469+INDEX(ProcRet,MATCH($E469,ProcNome,0)),""),"")</f>
        <v>0</v>
      </c>
      <c r="R469" s="26">
        <f>IF($Q469="","",IF(COUNTIFS(AgPac,$D469,AgData,"&gt;"&amp;$A469,AgStatus,"&lt;&gt;Cancelado",AgStatus,"&lt;&gt;Remarcado")&gt;0,"Sim","Não"))</f>
        <v>0</v>
      </c>
      <c r="S469" s="28">
        <f>IF($A469="","",IF(AND($F469="Agendado",$A469-Hoje&gt;=0,$A469-Hoje&lt;=DiasConf),"CONFIRMAR",IF(AND($A469&lt;Hoje,OR($F469="Agendado",$F469="Confirmado")),"Atualizar status",IF(AND($F469="Compareceu",$P469&gt;0.005),"Cobrar",IF($F469="Faltou","Falta: reagendar","")))))</f>
        <v>0</v>
      </c>
      <c r="T469" s="29">
        <f>IF($A469="","",DATE(YEAR($A469),MONTH($A469),1))</f>
        <v>0</v>
      </c>
      <c r="U469" s="30">
        <f>IF($S469="CONFIRMAR",MAX($U$4:$U468)+1,"")</f>
        <v>0</v>
      </c>
      <c r="V469" s="30">
        <f>IF(AND($R469="Não",$Q469&lt;&gt;"",$Q469&lt;=Hoje+JanelaRet,$Q469&gt;=Hoje-60),MAX($V$4:$V468)+1,"")</f>
        <v>0</v>
      </c>
    </row>
    <row r="470" spans="1:22">
      <c r="A470" s="16"/>
      <c r="B470" s="23"/>
      <c r="C470" s="15"/>
      <c r="D470" s="15"/>
      <c r="E470" s="15"/>
      <c r="F470" s="24"/>
      <c r="G470" s="17"/>
      <c r="H470" s="17"/>
      <c r="I470" s="15"/>
      <c r="J470" s="25">
        <f>IF($D470="","",IFERROR(INDEX(PacNome,MATCH($D470,PacCod,0)),"Paciente não cadastrado"))</f>
        <v>0</v>
      </c>
      <c r="K470" s="26">
        <f>IF($D470="","",IFERROR(INDEX(PacConv,MATCH($D470,PacCod,0))&amp;"",""))</f>
        <v>0</v>
      </c>
      <c r="L470" s="26">
        <f>IF($A470="","",CHOOSE(WEEKDAY($A470,2),"Seg","Ter","Qua","Qui","Sex","Sáb","Dom"))</f>
        <v>0</v>
      </c>
      <c r="M470" s="27">
        <f>IF($E470="","",IF($G470&lt;&gt;"",$G470,IFERROR(INDEX(ProcValor,MATCH($E470,ProcNome,0)),0)))</f>
        <v>0</v>
      </c>
      <c r="N470" s="27">
        <f>IF($M470="","",IF($F470="Compareceu",$M470,0))</f>
        <v>0</v>
      </c>
      <c r="O470" s="27">
        <f>IF($M470="","",IF($F470="Faltou",$M470,0))</f>
        <v>0</v>
      </c>
      <c r="P470" s="27">
        <f>IF($M470="","",IF($F470="Compareceu",MAX(0,$M470-N($H470)),0))</f>
        <v>0</v>
      </c>
      <c r="Q470" s="19">
        <f>IF(AND($F470="Compareceu",$E470&lt;&gt;"",$A470&lt;&gt;""),IF(IFERROR(INDEX(ProcRet,MATCH($E470,ProcNome,0)),0)&gt;0,$A470+INDEX(ProcRet,MATCH($E470,ProcNome,0)),""),"")</f>
        <v>0</v>
      </c>
      <c r="R470" s="26">
        <f>IF($Q470="","",IF(COUNTIFS(AgPac,$D470,AgData,"&gt;"&amp;$A470,AgStatus,"&lt;&gt;Cancelado",AgStatus,"&lt;&gt;Remarcado")&gt;0,"Sim","Não"))</f>
        <v>0</v>
      </c>
      <c r="S470" s="28">
        <f>IF($A470="","",IF(AND($F470="Agendado",$A470-Hoje&gt;=0,$A470-Hoje&lt;=DiasConf),"CONFIRMAR",IF(AND($A470&lt;Hoje,OR($F470="Agendado",$F470="Confirmado")),"Atualizar status",IF(AND($F470="Compareceu",$P470&gt;0.005),"Cobrar",IF($F470="Faltou","Falta: reagendar","")))))</f>
        <v>0</v>
      </c>
      <c r="T470" s="29">
        <f>IF($A470="","",DATE(YEAR($A470),MONTH($A470),1))</f>
        <v>0</v>
      </c>
      <c r="U470" s="30">
        <f>IF($S470="CONFIRMAR",MAX($U$4:$U469)+1,"")</f>
        <v>0</v>
      </c>
      <c r="V470" s="30">
        <f>IF(AND($R470="Não",$Q470&lt;&gt;"",$Q470&lt;=Hoje+JanelaRet,$Q470&gt;=Hoje-60),MAX($V$4:$V469)+1,"")</f>
        <v>0</v>
      </c>
    </row>
    <row r="471" spans="1:22">
      <c r="A471" s="16"/>
      <c r="B471" s="23"/>
      <c r="C471" s="15"/>
      <c r="D471" s="15"/>
      <c r="E471" s="15"/>
      <c r="F471" s="24"/>
      <c r="G471" s="17"/>
      <c r="H471" s="17"/>
      <c r="I471" s="15"/>
      <c r="J471" s="25">
        <f>IF($D471="","",IFERROR(INDEX(PacNome,MATCH($D471,PacCod,0)),"Paciente não cadastrado"))</f>
        <v>0</v>
      </c>
      <c r="K471" s="26">
        <f>IF($D471="","",IFERROR(INDEX(PacConv,MATCH($D471,PacCod,0))&amp;"",""))</f>
        <v>0</v>
      </c>
      <c r="L471" s="26">
        <f>IF($A471="","",CHOOSE(WEEKDAY($A471,2),"Seg","Ter","Qua","Qui","Sex","Sáb","Dom"))</f>
        <v>0</v>
      </c>
      <c r="M471" s="27">
        <f>IF($E471="","",IF($G471&lt;&gt;"",$G471,IFERROR(INDEX(ProcValor,MATCH($E471,ProcNome,0)),0)))</f>
        <v>0</v>
      </c>
      <c r="N471" s="27">
        <f>IF($M471="","",IF($F471="Compareceu",$M471,0))</f>
        <v>0</v>
      </c>
      <c r="O471" s="27">
        <f>IF($M471="","",IF($F471="Faltou",$M471,0))</f>
        <v>0</v>
      </c>
      <c r="P471" s="27">
        <f>IF($M471="","",IF($F471="Compareceu",MAX(0,$M471-N($H471)),0))</f>
        <v>0</v>
      </c>
      <c r="Q471" s="19">
        <f>IF(AND($F471="Compareceu",$E471&lt;&gt;"",$A471&lt;&gt;""),IF(IFERROR(INDEX(ProcRet,MATCH($E471,ProcNome,0)),0)&gt;0,$A471+INDEX(ProcRet,MATCH($E471,ProcNome,0)),""),"")</f>
        <v>0</v>
      </c>
      <c r="R471" s="26">
        <f>IF($Q471="","",IF(COUNTIFS(AgPac,$D471,AgData,"&gt;"&amp;$A471,AgStatus,"&lt;&gt;Cancelado",AgStatus,"&lt;&gt;Remarcado")&gt;0,"Sim","Não"))</f>
        <v>0</v>
      </c>
      <c r="S471" s="28">
        <f>IF($A471="","",IF(AND($F471="Agendado",$A471-Hoje&gt;=0,$A471-Hoje&lt;=DiasConf),"CONFIRMAR",IF(AND($A471&lt;Hoje,OR($F471="Agendado",$F471="Confirmado")),"Atualizar status",IF(AND($F471="Compareceu",$P471&gt;0.005),"Cobrar",IF($F471="Faltou","Falta: reagendar","")))))</f>
        <v>0</v>
      </c>
      <c r="T471" s="29">
        <f>IF($A471="","",DATE(YEAR($A471),MONTH($A471),1))</f>
        <v>0</v>
      </c>
      <c r="U471" s="30">
        <f>IF($S471="CONFIRMAR",MAX($U$4:$U470)+1,"")</f>
        <v>0</v>
      </c>
      <c r="V471" s="30">
        <f>IF(AND($R471="Não",$Q471&lt;&gt;"",$Q471&lt;=Hoje+JanelaRet,$Q471&gt;=Hoje-60),MAX($V$4:$V470)+1,"")</f>
        <v>0</v>
      </c>
    </row>
    <row r="472" spans="1:22">
      <c r="A472" s="16"/>
      <c r="B472" s="23"/>
      <c r="C472" s="15"/>
      <c r="D472" s="15"/>
      <c r="E472" s="15"/>
      <c r="F472" s="24"/>
      <c r="G472" s="17"/>
      <c r="H472" s="17"/>
      <c r="I472" s="15"/>
      <c r="J472" s="25">
        <f>IF($D472="","",IFERROR(INDEX(PacNome,MATCH($D472,PacCod,0)),"Paciente não cadastrado"))</f>
        <v>0</v>
      </c>
      <c r="K472" s="26">
        <f>IF($D472="","",IFERROR(INDEX(PacConv,MATCH($D472,PacCod,0))&amp;"",""))</f>
        <v>0</v>
      </c>
      <c r="L472" s="26">
        <f>IF($A472="","",CHOOSE(WEEKDAY($A472,2),"Seg","Ter","Qua","Qui","Sex","Sáb","Dom"))</f>
        <v>0</v>
      </c>
      <c r="M472" s="27">
        <f>IF($E472="","",IF($G472&lt;&gt;"",$G472,IFERROR(INDEX(ProcValor,MATCH($E472,ProcNome,0)),0)))</f>
        <v>0</v>
      </c>
      <c r="N472" s="27">
        <f>IF($M472="","",IF($F472="Compareceu",$M472,0))</f>
        <v>0</v>
      </c>
      <c r="O472" s="27">
        <f>IF($M472="","",IF($F472="Faltou",$M472,0))</f>
        <v>0</v>
      </c>
      <c r="P472" s="27">
        <f>IF($M472="","",IF($F472="Compareceu",MAX(0,$M472-N($H472)),0))</f>
        <v>0</v>
      </c>
      <c r="Q472" s="19">
        <f>IF(AND($F472="Compareceu",$E472&lt;&gt;"",$A472&lt;&gt;""),IF(IFERROR(INDEX(ProcRet,MATCH($E472,ProcNome,0)),0)&gt;0,$A472+INDEX(ProcRet,MATCH($E472,ProcNome,0)),""),"")</f>
        <v>0</v>
      </c>
      <c r="R472" s="26">
        <f>IF($Q472="","",IF(COUNTIFS(AgPac,$D472,AgData,"&gt;"&amp;$A472,AgStatus,"&lt;&gt;Cancelado",AgStatus,"&lt;&gt;Remarcado")&gt;0,"Sim","Não"))</f>
        <v>0</v>
      </c>
      <c r="S472" s="28">
        <f>IF($A472="","",IF(AND($F472="Agendado",$A472-Hoje&gt;=0,$A472-Hoje&lt;=DiasConf),"CONFIRMAR",IF(AND($A472&lt;Hoje,OR($F472="Agendado",$F472="Confirmado")),"Atualizar status",IF(AND($F472="Compareceu",$P472&gt;0.005),"Cobrar",IF($F472="Faltou","Falta: reagendar","")))))</f>
        <v>0</v>
      </c>
      <c r="T472" s="29">
        <f>IF($A472="","",DATE(YEAR($A472),MONTH($A472),1))</f>
        <v>0</v>
      </c>
      <c r="U472" s="30">
        <f>IF($S472="CONFIRMAR",MAX($U$4:$U471)+1,"")</f>
        <v>0</v>
      </c>
      <c r="V472" s="30">
        <f>IF(AND($R472="Não",$Q472&lt;&gt;"",$Q472&lt;=Hoje+JanelaRet,$Q472&gt;=Hoje-60),MAX($V$4:$V471)+1,"")</f>
        <v>0</v>
      </c>
    </row>
    <row r="473" spans="1:22">
      <c r="A473" s="16"/>
      <c r="B473" s="23"/>
      <c r="C473" s="15"/>
      <c r="D473" s="15"/>
      <c r="E473" s="15"/>
      <c r="F473" s="24"/>
      <c r="G473" s="17"/>
      <c r="H473" s="17"/>
      <c r="I473" s="15"/>
      <c r="J473" s="25">
        <f>IF($D473="","",IFERROR(INDEX(PacNome,MATCH($D473,PacCod,0)),"Paciente não cadastrado"))</f>
        <v>0</v>
      </c>
      <c r="K473" s="26">
        <f>IF($D473="","",IFERROR(INDEX(PacConv,MATCH($D473,PacCod,0))&amp;"",""))</f>
        <v>0</v>
      </c>
      <c r="L473" s="26">
        <f>IF($A473="","",CHOOSE(WEEKDAY($A473,2),"Seg","Ter","Qua","Qui","Sex","Sáb","Dom"))</f>
        <v>0</v>
      </c>
      <c r="M473" s="27">
        <f>IF($E473="","",IF($G473&lt;&gt;"",$G473,IFERROR(INDEX(ProcValor,MATCH($E473,ProcNome,0)),0)))</f>
        <v>0</v>
      </c>
      <c r="N473" s="27">
        <f>IF($M473="","",IF($F473="Compareceu",$M473,0))</f>
        <v>0</v>
      </c>
      <c r="O473" s="27">
        <f>IF($M473="","",IF($F473="Faltou",$M473,0))</f>
        <v>0</v>
      </c>
      <c r="P473" s="27">
        <f>IF($M473="","",IF($F473="Compareceu",MAX(0,$M473-N($H473)),0))</f>
        <v>0</v>
      </c>
      <c r="Q473" s="19">
        <f>IF(AND($F473="Compareceu",$E473&lt;&gt;"",$A473&lt;&gt;""),IF(IFERROR(INDEX(ProcRet,MATCH($E473,ProcNome,0)),0)&gt;0,$A473+INDEX(ProcRet,MATCH($E473,ProcNome,0)),""),"")</f>
        <v>0</v>
      </c>
      <c r="R473" s="26">
        <f>IF($Q473="","",IF(COUNTIFS(AgPac,$D473,AgData,"&gt;"&amp;$A473,AgStatus,"&lt;&gt;Cancelado",AgStatus,"&lt;&gt;Remarcado")&gt;0,"Sim","Não"))</f>
        <v>0</v>
      </c>
      <c r="S473" s="28">
        <f>IF($A473="","",IF(AND($F473="Agendado",$A473-Hoje&gt;=0,$A473-Hoje&lt;=DiasConf),"CONFIRMAR",IF(AND($A473&lt;Hoje,OR($F473="Agendado",$F473="Confirmado")),"Atualizar status",IF(AND($F473="Compareceu",$P473&gt;0.005),"Cobrar",IF($F473="Faltou","Falta: reagendar","")))))</f>
        <v>0</v>
      </c>
      <c r="T473" s="29">
        <f>IF($A473="","",DATE(YEAR($A473),MONTH($A473),1))</f>
        <v>0</v>
      </c>
      <c r="U473" s="30">
        <f>IF($S473="CONFIRMAR",MAX($U$4:$U472)+1,"")</f>
        <v>0</v>
      </c>
      <c r="V473" s="30">
        <f>IF(AND($R473="Não",$Q473&lt;&gt;"",$Q473&lt;=Hoje+JanelaRet,$Q473&gt;=Hoje-60),MAX($V$4:$V472)+1,"")</f>
        <v>0</v>
      </c>
    </row>
    <row r="474" spans="1:22">
      <c r="A474" s="16"/>
      <c r="B474" s="23"/>
      <c r="C474" s="15"/>
      <c r="D474" s="15"/>
      <c r="E474" s="15"/>
      <c r="F474" s="24"/>
      <c r="G474" s="17"/>
      <c r="H474" s="17"/>
      <c r="I474" s="15"/>
      <c r="J474" s="25">
        <f>IF($D474="","",IFERROR(INDEX(PacNome,MATCH($D474,PacCod,0)),"Paciente não cadastrado"))</f>
        <v>0</v>
      </c>
      <c r="K474" s="26">
        <f>IF($D474="","",IFERROR(INDEX(PacConv,MATCH($D474,PacCod,0))&amp;"",""))</f>
        <v>0</v>
      </c>
      <c r="L474" s="26">
        <f>IF($A474="","",CHOOSE(WEEKDAY($A474,2),"Seg","Ter","Qua","Qui","Sex","Sáb","Dom"))</f>
        <v>0</v>
      </c>
      <c r="M474" s="27">
        <f>IF($E474="","",IF($G474&lt;&gt;"",$G474,IFERROR(INDEX(ProcValor,MATCH($E474,ProcNome,0)),0)))</f>
        <v>0</v>
      </c>
      <c r="N474" s="27">
        <f>IF($M474="","",IF($F474="Compareceu",$M474,0))</f>
        <v>0</v>
      </c>
      <c r="O474" s="27">
        <f>IF($M474="","",IF($F474="Faltou",$M474,0))</f>
        <v>0</v>
      </c>
      <c r="P474" s="27">
        <f>IF($M474="","",IF($F474="Compareceu",MAX(0,$M474-N($H474)),0))</f>
        <v>0</v>
      </c>
      <c r="Q474" s="19">
        <f>IF(AND($F474="Compareceu",$E474&lt;&gt;"",$A474&lt;&gt;""),IF(IFERROR(INDEX(ProcRet,MATCH($E474,ProcNome,0)),0)&gt;0,$A474+INDEX(ProcRet,MATCH($E474,ProcNome,0)),""),"")</f>
        <v>0</v>
      </c>
      <c r="R474" s="26">
        <f>IF($Q474="","",IF(COUNTIFS(AgPac,$D474,AgData,"&gt;"&amp;$A474,AgStatus,"&lt;&gt;Cancelado",AgStatus,"&lt;&gt;Remarcado")&gt;0,"Sim","Não"))</f>
        <v>0</v>
      </c>
      <c r="S474" s="28">
        <f>IF($A474="","",IF(AND($F474="Agendado",$A474-Hoje&gt;=0,$A474-Hoje&lt;=DiasConf),"CONFIRMAR",IF(AND($A474&lt;Hoje,OR($F474="Agendado",$F474="Confirmado")),"Atualizar status",IF(AND($F474="Compareceu",$P474&gt;0.005),"Cobrar",IF($F474="Faltou","Falta: reagendar","")))))</f>
        <v>0</v>
      </c>
      <c r="T474" s="29">
        <f>IF($A474="","",DATE(YEAR($A474),MONTH($A474),1))</f>
        <v>0</v>
      </c>
      <c r="U474" s="30">
        <f>IF($S474="CONFIRMAR",MAX($U$4:$U473)+1,"")</f>
        <v>0</v>
      </c>
      <c r="V474" s="30">
        <f>IF(AND($R474="Não",$Q474&lt;&gt;"",$Q474&lt;=Hoje+JanelaRet,$Q474&gt;=Hoje-60),MAX($V$4:$V473)+1,"")</f>
        <v>0</v>
      </c>
    </row>
    <row r="475" spans="1:22">
      <c r="A475" s="16"/>
      <c r="B475" s="23"/>
      <c r="C475" s="15"/>
      <c r="D475" s="15"/>
      <c r="E475" s="15"/>
      <c r="F475" s="24"/>
      <c r="G475" s="17"/>
      <c r="H475" s="17"/>
      <c r="I475" s="15"/>
      <c r="J475" s="25">
        <f>IF($D475="","",IFERROR(INDEX(PacNome,MATCH($D475,PacCod,0)),"Paciente não cadastrado"))</f>
        <v>0</v>
      </c>
      <c r="K475" s="26">
        <f>IF($D475="","",IFERROR(INDEX(PacConv,MATCH($D475,PacCod,0))&amp;"",""))</f>
        <v>0</v>
      </c>
      <c r="L475" s="26">
        <f>IF($A475="","",CHOOSE(WEEKDAY($A475,2),"Seg","Ter","Qua","Qui","Sex","Sáb","Dom"))</f>
        <v>0</v>
      </c>
      <c r="M475" s="27">
        <f>IF($E475="","",IF($G475&lt;&gt;"",$G475,IFERROR(INDEX(ProcValor,MATCH($E475,ProcNome,0)),0)))</f>
        <v>0</v>
      </c>
      <c r="N475" s="27">
        <f>IF($M475="","",IF($F475="Compareceu",$M475,0))</f>
        <v>0</v>
      </c>
      <c r="O475" s="27">
        <f>IF($M475="","",IF($F475="Faltou",$M475,0))</f>
        <v>0</v>
      </c>
      <c r="P475" s="27">
        <f>IF($M475="","",IF($F475="Compareceu",MAX(0,$M475-N($H475)),0))</f>
        <v>0</v>
      </c>
      <c r="Q475" s="19">
        <f>IF(AND($F475="Compareceu",$E475&lt;&gt;"",$A475&lt;&gt;""),IF(IFERROR(INDEX(ProcRet,MATCH($E475,ProcNome,0)),0)&gt;0,$A475+INDEX(ProcRet,MATCH($E475,ProcNome,0)),""),"")</f>
        <v>0</v>
      </c>
      <c r="R475" s="26">
        <f>IF($Q475="","",IF(COUNTIFS(AgPac,$D475,AgData,"&gt;"&amp;$A475,AgStatus,"&lt;&gt;Cancelado",AgStatus,"&lt;&gt;Remarcado")&gt;0,"Sim","Não"))</f>
        <v>0</v>
      </c>
      <c r="S475" s="28">
        <f>IF($A475="","",IF(AND($F475="Agendado",$A475-Hoje&gt;=0,$A475-Hoje&lt;=DiasConf),"CONFIRMAR",IF(AND($A475&lt;Hoje,OR($F475="Agendado",$F475="Confirmado")),"Atualizar status",IF(AND($F475="Compareceu",$P475&gt;0.005),"Cobrar",IF($F475="Faltou","Falta: reagendar","")))))</f>
        <v>0</v>
      </c>
      <c r="T475" s="29">
        <f>IF($A475="","",DATE(YEAR($A475),MONTH($A475),1))</f>
        <v>0</v>
      </c>
      <c r="U475" s="30">
        <f>IF($S475="CONFIRMAR",MAX($U$4:$U474)+1,"")</f>
        <v>0</v>
      </c>
      <c r="V475" s="30">
        <f>IF(AND($R475="Não",$Q475&lt;&gt;"",$Q475&lt;=Hoje+JanelaRet,$Q475&gt;=Hoje-60),MAX($V$4:$V474)+1,"")</f>
        <v>0</v>
      </c>
    </row>
    <row r="476" spans="1:22">
      <c r="A476" s="16"/>
      <c r="B476" s="23"/>
      <c r="C476" s="15"/>
      <c r="D476" s="15"/>
      <c r="E476" s="15"/>
      <c r="F476" s="24"/>
      <c r="G476" s="17"/>
      <c r="H476" s="17"/>
      <c r="I476" s="15"/>
      <c r="J476" s="25">
        <f>IF($D476="","",IFERROR(INDEX(PacNome,MATCH($D476,PacCod,0)),"Paciente não cadastrado"))</f>
        <v>0</v>
      </c>
      <c r="K476" s="26">
        <f>IF($D476="","",IFERROR(INDEX(PacConv,MATCH($D476,PacCod,0))&amp;"",""))</f>
        <v>0</v>
      </c>
      <c r="L476" s="26">
        <f>IF($A476="","",CHOOSE(WEEKDAY($A476,2),"Seg","Ter","Qua","Qui","Sex","Sáb","Dom"))</f>
        <v>0</v>
      </c>
      <c r="M476" s="27">
        <f>IF($E476="","",IF($G476&lt;&gt;"",$G476,IFERROR(INDEX(ProcValor,MATCH($E476,ProcNome,0)),0)))</f>
        <v>0</v>
      </c>
      <c r="N476" s="27">
        <f>IF($M476="","",IF($F476="Compareceu",$M476,0))</f>
        <v>0</v>
      </c>
      <c r="O476" s="27">
        <f>IF($M476="","",IF($F476="Faltou",$M476,0))</f>
        <v>0</v>
      </c>
      <c r="P476" s="27">
        <f>IF($M476="","",IF($F476="Compareceu",MAX(0,$M476-N($H476)),0))</f>
        <v>0</v>
      </c>
      <c r="Q476" s="19">
        <f>IF(AND($F476="Compareceu",$E476&lt;&gt;"",$A476&lt;&gt;""),IF(IFERROR(INDEX(ProcRet,MATCH($E476,ProcNome,0)),0)&gt;0,$A476+INDEX(ProcRet,MATCH($E476,ProcNome,0)),""),"")</f>
        <v>0</v>
      </c>
      <c r="R476" s="26">
        <f>IF($Q476="","",IF(COUNTIFS(AgPac,$D476,AgData,"&gt;"&amp;$A476,AgStatus,"&lt;&gt;Cancelado",AgStatus,"&lt;&gt;Remarcado")&gt;0,"Sim","Não"))</f>
        <v>0</v>
      </c>
      <c r="S476" s="28">
        <f>IF($A476="","",IF(AND($F476="Agendado",$A476-Hoje&gt;=0,$A476-Hoje&lt;=DiasConf),"CONFIRMAR",IF(AND($A476&lt;Hoje,OR($F476="Agendado",$F476="Confirmado")),"Atualizar status",IF(AND($F476="Compareceu",$P476&gt;0.005),"Cobrar",IF($F476="Faltou","Falta: reagendar","")))))</f>
        <v>0</v>
      </c>
      <c r="T476" s="29">
        <f>IF($A476="","",DATE(YEAR($A476),MONTH($A476),1))</f>
        <v>0</v>
      </c>
      <c r="U476" s="30">
        <f>IF($S476="CONFIRMAR",MAX($U$4:$U475)+1,"")</f>
        <v>0</v>
      </c>
      <c r="V476" s="30">
        <f>IF(AND($R476="Não",$Q476&lt;&gt;"",$Q476&lt;=Hoje+JanelaRet,$Q476&gt;=Hoje-60),MAX($V$4:$V475)+1,"")</f>
        <v>0</v>
      </c>
    </row>
    <row r="477" spans="1:22">
      <c r="A477" s="16"/>
      <c r="B477" s="23"/>
      <c r="C477" s="15"/>
      <c r="D477" s="15"/>
      <c r="E477" s="15"/>
      <c r="F477" s="24"/>
      <c r="G477" s="17"/>
      <c r="H477" s="17"/>
      <c r="I477" s="15"/>
      <c r="J477" s="25">
        <f>IF($D477="","",IFERROR(INDEX(PacNome,MATCH($D477,PacCod,0)),"Paciente não cadastrado"))</f>
        <v>0</v>
      </c>
      <c r="K477" s="26">
        <f>IF($D477="","",IFERROR(INDEX(PacConv,MATCH($D477,PacCod,0))&amp;"",""))</f>
        <v>0</v>
      </c>
      <c r="L477" s="26">
        <f>IF($A477="","",CHOOSE(WEEKDAY($A477,2),"Seg","Ter","Qua","Qui","Sex","Sáb","Dom"))</f>
        <v>0</v>
      </c>
      <c r="M477" s="27">
        <f>IF($E477="","",IF($G477&lt;&gt;"",$G477,IFERROR(INDEX(ProcValor,MATCH($E477,ProcNome,0)),0)))</f>
        <v>0</v>
      </c>
      <c r="N477" s="27">
        <f>IF($M477="","",IF($F477="Compareceu",$M477,0))</f>
        <v>0</v>
      </c>
      <c r="O477" s="27">
        <f>IF($M477="","",IF($F477="Faltou",$M477,0))</f>
        <v>0</v>
      </c>
      <c r="P477" s="27">
        <f>IF($M477="","",IF($F477="Compareceu",MAX(0,$M477-N($H477)),0))</f>
        <v>0</v>
      </c>
      <c r="Q477" s="19">
        <f>IF(AND($F477="Compareceu",$E477&lt;&gt;"",$A477&lt;&gt;""),IF(IFERROR(INDEX(ProcRet,MATCH($E477,ProcNome,0)),0)&gt;0,$A477+INDEX(ProcRet,MATCH($E477,ProcNome,0)),""),"")</f>
        <v>0</v>
      </c>
      <c r="R477" s="26">
        <f>IF($Q477="","",IF(COUNTIFS(AgPac,$D477,AgData,"&gt;"&amp;$A477,AgStatus,"&lt;&gt;Cancelado",AgStatus,"&lt;&gt;Remarcado")&gt;0,"Sim","Não"))</f>
        <v>0</v>
      </c>
      <c r="S477" s="28">
        <f>IF($A477="","",IF(AND($F477="Agendado",$A477-Hoje&gt;=0,$A477-Hoje&lt;=DiasConf),"CONFIRMAR",IF(AND($A477&lt;Hoje,OR($F477="Agendado",$F477="Confirmado")),"Atualizar status",IF(AND($F477="Compareceu",$P477&gt;0.005),"Cobrar",IF($F477="Faltou","Falta: reagendar","")))))</f>
        <v>0</v>
      </c>
      <c r="T477" s="29">
        <f>IF($A477="","",DATE(YEAR($A477),MONTH($A477),1))</f>
        <v>0</v>
      </c>
      <c r="U477" s="30">
        <f>IF($S477="CONFIRMAR",MAX($U$4:$U476)+1,"")</f>
        <v>0</v>
      </c>
      <c r="V477" s="30">
        <f>IF(AND($R477="Não",$Q477&lt;&gt;"",$Q477&lt;=Hoje+JanelaRet,$Q477&gt;=Hoje-60),MAX($V$4:$V476)+1,"")</f>
        <v>0</v>
      </c>
    </row>
    <row r="478" spans="1:22">
      <c r="A478" s="16"/>
      <c r="B478" s="23"/>
      <c r="C478" s="15"/>
      <c r="D478" s="15"/>
      <c r="E478" s="15"/>
      <c r="F478" s="24"/>
      <c r="G478" s="17"/>
      <c r="H478" s="17"/>
      <c r="I478" s="15"/>
      <c r="J478" s="25">
        <f>IF($D478="","",IFERROR(INDEX(PacNome,MATCH($D478,PacCod,0)),"Paciente não cadastrado"))</f>
        <v>0</v>
      </c>
      <c r="K478" s="26">
        <f>IF($D478="","",IFERROR(INDEX(PacConv,MATCH($D478,PacCod,0))&amp;"",""))</f>
        <v>0</v>
      </c>
      <c r="L478" s="26">
        <f>IF($A478="","",CHOOSE(WEEKDAY($A478,2),"Seg","Ter","Qua","Qui","Sex","Sáb","Dom"))</f>
        <v>0</v>
      </c>
      <c r="M478" s="27">
        <f>IF($E478="","",IF($G478&lt;&gt;"",$G478,IFERROR(INDEX(ProcValor,MATCH($E478,ProcNome,0)),0)))</f>
        <v>0</v>
      </c>
      <c r="N478" s="27">
        <f>IF($M478="","",IF($F478="Compareceu",$M478,0))</f>
        <v>0</v>
      </c>
      <c r="O478" s="27">
        <f>IF($M478="","",IF($F478="Faltou",$M478,0))</f>
        <v>0</v>
      </c>
      <c r="P478" s="27">
        <f>IF($M478="","",IF($F478="Compareceu",MAX(0,$M478-N($H478)),0))</f>
        <v>0</v>
      </c>
      <c r="Q478" s="19">
        <f>IF(AND($F478="Compareceu",$E478&lt;&gt;"",$A478&lt;&gt;""),IF(IFERROR(INDEX(ProcRet,MATCH($E478,ProcNome,0)),0)&gt;0,$A478+INDEX(ProcRet,MATCH($E478,ProcNome,0)),""),"")</f>
        <v>0</v>
      </c>
      <c r="R478" s="26">
        <f>IF($Q478="","",IF(COUNTIFS(AgPac,$D478,AgData,"&gt;"&amp;$A478,AgStatus,"&lt;&gt;Cancelado",AgStatus,"&lt;&gt;Remarcado")&gt;0,"Sim","Não"))</f>
        <v>0</v>
      </c>
      <c r="S478" s="28">
        <f>IF($A478="","",IF(AND($F478="Agendado",$A478-Hoje&gt;=0,$A478-Hoje&lt;=DiasConf),"CONFIRMAR",IF(AND($A478&lt;Hoje,OR($F478="Agendado",$F478="Confirmado")),"Atualizar status",IF(AND($F478="Compareceu",$P478&gt;0.005),"Cobrar",IF($F478="Faltou","Falta: reagendar","")))))</f>
        <v>0</v>
      </c>
      <c r="T478" s="29">
        <f>IF($A478="","",DATE(YEAR($A478),MONTH($A478),1))</f>
        <v>0</v>
      </c>
      <c r="U478" s="30">
        <f>IF($S478="CONFIRMAR",MAX($U$4:$U477)+1,"")</f>
        <v>0</v>
      </c>
      <c r="V478" s="30">
        <f>IF(AND($R478="Não",$Q478&lt;&gt;"",$Q478&lt;=Hoje+JanelaRet,$Q478&gt;=Hoje-60),MAX($V$4:$V477)+1,"")</f>
        <v>0</v>
      </c>
    </row>
    <row r="479" spans="1:22">
      <c r="A479" s="16"/>
      <c r="B479" s="23"/>
      <c r="C479" s="15"/>
      <c r="D479" s="15"/>
      <c r="E479" s="15"/>
      <c r="F479" s="24"/>
      <c r="G479" s="17"/>
      <c r="H479" s="17"/>
      <c r="I479" s="15"/>
      <c r="J479" s="25">
        <f>IF($D479="","",IFERROR(INDEX(PacNome,MATCH($D479,PacCod,0)),"Paciente não cadastrado"))</f>
        <v>0</v>
      </c>
      <c r="K479" s="26">
        <f>IF($D479="","",IFERROR(INDEX(PacConv,MATCH($D479,PacCod,0))&amp;"",""))</f>
        <v>0</v>
      </c>
      <c r="L479" s="26">
        <f>IF($A479="","",CHOOSE(WEEKDAY($A479,2),"Seg","Ter","Qua","Qui","Sex","Sáb","Dom"))</f>
        <v>0</v>
      </c>
      <c r="M479" s="27">
        <f>IF($E479="","",IF($G479&lt;&gt;"",$G479,IFERROR(INDEX(ProcValor,MATCH($E479,ProcNome,0)),0)))</f>
        <v>0</v>
      </c>
      <c r="N479" s="27">
        <f>IF($M479="","",IF($F479="Compareceu",$M479,0))</f>
        <v>0</v>
      </c>
      <c r="O479" s="27">
        <f>IF($M479="","",IF($F479="Faltou",$M479,0))</f>
        <v>0</v>
      </c>
      <c r="P479" s="27">
        <f>IF($M479="","",IF($F479="Compareceu",MAX(0,$M479-N($H479)),0))</f>
        <v>0</v>
      </c>
      <c r="Q479" s="19">
        <f>IF(AND($F479="Compareceu",$E479&lt;&gt;"",$A479&lt;&gt;""),IF(IFERROR(INDEX(ProcRet,MATCH($E479,ProcNome,0)),0)&gt;0,$A479+INDEX(ProcRet,MATCH($E479,ProcNome,0)),""),"")</f>
        <v>0</v>
      </c>
      <c r="R479" s="26">
        <f>IF($Q479="","",IF(COUNTIFS(AgPac,$D479,AgData,"&gt;"&amp;$A479,AgStatus,"&lt;&gt;Cancelado",AgStatus,"&lt;&gt;Remarcado")&gt;0,"Sim","Não"))</f>
        <v>0</v>
      </c>
      <c r="S479" s="28">
        <f>IF($A479="","",IF(AND($F479="Agendado",$A479-Hoje&gt;=0,$A479-Hoje&lt;=DiasConf),"CONFIRMAR",IF(AND($A479&lt;Hoje,OR($F479="Agendado",$F479="Confirmado")),"Atualizar status",IF(AND($F479="Compareceu",$P479&gt;0.005),"Cobrar",IF($F479="Faltou","Falta: reagendar","")))))</f>
        <v>0</v>
      </c>
      <c r="T479" s="29">
        <f>IF($A479="","",DATE(YEAR($A479),MONTH($A479),1))</f>
        <v>0</v>
      </c>
      <c r="U479" s="30">
        <f>IF($S479="CONFIRMAR",MAX($U$4:$U478)+1,"")</f>
        <v>0</v>
      </c>
      <c r="V479" s="30">
        <f>IF(AND($R479="Não",$Q479&lt;&gt;"",$Q479&lt;=Hoje+JanelaRet,$Q479&gt;=Hoje-60),MAX($V$4:$V478)+1,"")</f>
        <v>0</v>
      </c>
    </row>
    <row r="480" spans="1:22">
      <c r="A480" s="16"/>
      <c r="B480" s="23"/>
      <c r="C480" s="15"/>
      <c r="D480" s="15"/>
      <c r="E480" s="15"/>
      <c r="F480" s="24"/>
      <c r="G480" s="17"/>
      <c r="H480" s="17"/>
      <c r="I480" s="15"/>
      <c r="J480" s="25">
        <f>IF($D480="","",IFERROR(INDEX(PacNome,MATCH($D480,PacCod,0)),"Paciente não cadastrado"))</f>
        <v>0</v>
      </c>
      <c r="K480" s="26">
        <f>IF($D480="","",IFERROR(INDEX(PacConv,MATCH($D480,PacCod,0))&amp;"",""))</f>
        <v>0</v>
      </c>
      <c r="L480" s="26">
        <f>IF($A480="","",CHOOSE(WEEKDAY($A480,2),"Seg","Ter","Qua","Qui","Sex","Sáb","Dom"))</f>
        <v>0</v>
      </c>
      <c r="M480" s="27">
        <f>IF($E480="","",IF($G480&lt;&gt;"",$G480,IFERROR(INDEX(ProcValor,MATCH($E480,ProcNome,0)),0)))</f>
        <v>0</v>
      </c>
      <c r="N480" s="27">
        <f>IF($M480="","",IF($F480="Compareceu",$M480,0))</f>
        <v>0</v>
      </c>
      <c r="O480" s="27">
        <f>IF($M480="","",IF($F480="Faltou",$M480,0))</f>
        <v>0</v>
      </c>
      <c r="P480" s="27">
        <f>IF($M480="","",IF($F480="Compareceu",MAX(0,$M480-N($H480)),0))</f>
        <v>0</v>
      </c>
      <c r="Q480" s="19">
        <f>IF(AND($F480="Compareceu",$E480&lt;&gt;"",$A480&lt;&gt;""),IF(IFERROR(INDEX(ProcRet,MATCH($E480,ProcNome,0)),0)&gt;0,$A480+INDEX(ProcRet,MATCH($E480,ProcNome,0)),""),"")</f>
        <v>0</v>
      </c>
      <c r="R480" s="26">
        <f>IF($Q480="","",IF(COUNTIFS(AgPac,$D480,AgData,"&gt;"&amp;$A480,AgStatus,"&lt;&gt;Cancelado",AgStatus,"&lt;&gt;Remarcado")&gt;0,"Sim","Não"))</f>
        <v>0</v>
      </c>
      <c r="S480" s="28">
        <f>IF($A480="","",IF(AND($F480="Agendado",$A480-Hoje&gt;=0,$A480-Hoje&lt;=DiasConf),"CONFIRMAR",IF(AND($A480&lt;Hoje,OR($F480="Agendado",$F480="Confirmado")),"Atualizar status",IF(AND($F480="Compareceu",$P480&gt;0.005),"Cobrar",IF($F480="Faltou","Falta: reagendar","")))))</f>
        <v>0</v>
      </c>
      <c r="T480" s="29">
        <f>IF($A480="","",DATE(YEAR($A480),MONTH($A480),1))</f>
        <v>0</v>
      </c>
      <c r="U480" s="30">
        <f>IF($S480="CONFIRMAR",MAX($U$4:$U479)+1,"")</f>
        <v>0</v>
      </c>
      <c r="V480" s="30">
        <f>IF(AND($R480="Não",$Q480&lt;&gt;"",$Q480&lt;=Hoje+JanelaRet,$Q480&gt;=Hoje-60),MAX($V$4:$V479)+1,"")</f>
        <v>0</v>
      </c>
    </row>
    <row r="481" spans="1:22">
      <c r="A481" s="16"/>
      <c r="B481" s="23"/>
      <c r="C481" s="15"/>
      <c r="D481" s="15"/>
      <c r="E481" s="15"/>
      <c r="F481" s="24"/>
      <c r="G481" s="17"/>
      <c r="H481" s="17"/>
      <c r="I481" s="15"/>
      <c r="J481" s="25">
        <f>IF($D481="","",IFERROR(INDEX(PacNome,MATCH($D481,PacCod,0)),"Paciente não cadastrado"))</f>
        <v>0</v>
      </c>
      <c r="K481" s="26">
        <f>IF($D481="","",IFERROR(INDEX(PacConv,MATCH($D481,PacCod,0))&amp;"",""))</f>
        <v>0</v>
      </c>
      <c r="L481" s="26">
        <f>IF($A481="","",CHOOSE(WEEKDAY($A481,2),"Seg","Ter","Qua","Qui","Sex","Sáb","Dom"))</f>
        <v>0</v>
      </c>
      <c r="M481" s="27">
        <f>IF($E481="","",IF($G481&lt;&gt;"",$G481,IFERROR(INDEX(ProcValor,MATCH($E481,ProcNome,0)),0)))</f>
        <v>0</v>
      </c>
      <c r="N481" s="27">
        <f>IF($M481="","",IF($F481="Compareceu",$M481,0))</f>
        <v>0</v>
      </c>
      <c r="O481" s="27">
        <f>IF($M481="","",IF($F481="Faltou",$M481,0))</f>
        <v>0</v>
      </c>
      <c r="P481" s="27">
        <f>IF($M481="","",IF($F481="Compareceu",MAX(0,$M481-N($H481)),0))</f>
        <v>0</v>
      </c>
      <c r="Q481" s="19">
        <f>IF(AND($F481="Compareceu",$E481&lt;&gt;"",$A481&lt;&gt;""),IF(IFERROR(INDEX(ProcRet,MATCH($E481,ProcNome,0)),0)&gt;0,$A481+INDEX(ProcRet,MATCH($E481,ProcNome,0)),""),"")</f>
        <v>0</v>
      </c>
      <c r="R481" s="26">
        <f>IF($Q481="","",IF(COUNTIFS(AgPac,$D481,AgData,"&gt;"&amp;$A481,AgStatus,"&lt;&gt;Cancelado",AgStatus,"&lt;&gt;Remarcado")&gt;0,"Sim","Não"))</f>
        <v>0</v>
      </c>
      <c r="S481" s="28">
        <f>IF($A481="","",IF(AND($F481="Agendado",$A481-Hoje&gt;=0,$A481-Hoje&lt;=DiasConf),"CONFIRMAR",IF(AND($A481&lt;Hoje,OR($F481="Agendado",$F481="Confirmado")),"Atualizar status",IF(AND($F481="Compareceu",$P481&gt;0.005),"Cobrar",IF($F481="Faltou","Falta: reagendar","")))))</f>
        <v>0</v>
      </c>
      <c r="T481" s="29">
        <f>IF($A481="","",DATE(YEAR($A481),MONTH($A481),1))</f>
        <v>0</v>
      </c>
      <c r="U481" s="30">
        <f>IF($S481="CONFIRMAR",MAX($U$4:$U480)+1,"")</f>
        <v>0</v>
      </c>
      <c r="V481" s="30">
        <f>IF(AND($R481="Não",$Q481&lt;&gt;"",$Q481&lt;=Hoje+JanelaRet,$Q481&gt;=Hoje-60),MAX($V$4:$V480)+1,"")</f>
        <v>0</v>
      </c>
    </row>
    <row r="482" spans="1:22">
      <c r="A482" s="16"/>
      <c r="B482" s="23"/>
      <c r="C482" s="15"/>
      <c r="D482" s="15"/>
      <c r="E482" s="15"/>
      <c r="F482" s="24"/>
      <c r="G482" s="17"/>
      <c r="H482" s="17"/>
      <c r="I482" s="15"/>
      <c r="J482" s="25">
        <f>IF($D482="","",IFERROR(INDEX(PacNome,MATCH($D482,PacCod,0)),"Paciente não cadastrado"))</f>
        <v>0</v>
      </c>
      <c r="K482" s="26">
        <f>IF($D482="","",IFERROR(INDEX(PacConv,MATCH($D482,PacCod,0))&amp;"",""))</f>
        <v>0</v>
      </c>
      <c r="L482" s="26">
        <f>IF($A482="","",CHOOSE(WEEKDAY($A482,2),"Seg","Ter","Qua","Qui","Sex","Sáb","Dom"))</f>
        <v>0</v>
      </c>
      <c r="M482" s="27">
        <f>IF($E482="","",IF($G482&lt;&gt;"",$G482,IFERROR(INDEX(ProcValor,MATCH($E482,ProcNome,0)),0)))</f>
        <v>0</v>
      </c>
      <c r="N482" s="27">
        <f>IF($M482="","",IF($F482="Compareceu",$M482,0))</f>
        <v>0</v>
      </c>
      <c r="O482" s="27">
        <f>IF($M482="","",IF($F482="Faltou",$M482,0))</f>
        <v>0</v>
      </c>
      <c r="P482" s="27">
        <f>IF($M482="","",IF($F482="Compareceu",MAX(0,$M482-N($H482)),0))</f>
        <v>0</v>
      </c>
      <c r="Q482" s="19">
        <f>IF(AND($F482="Compareceu",$E482&lt;&gt;"",$A482&lt;&gt;""),IF(IFERROR(INDEX(ProcRet,MATCH($E482,ProcNome,0)),0)&gt;0,$A482+INDEX(ProcRet,MATCH($E482,ProcNome,0)),""),"")</f>
        <v>0</v>
      </c>
      <c r="R482" s="26">
        <f>IF($Q482="","",IF(COUNTIFS(AgPac,$D482,AgData,"&gt;"&amp;$A482,AgStatus,"&lt;&gt;Cancelado",AgStatus,"&lt;&gt;Remarcado")&gt;0,"Sim","Não"))</f>
        <v>0</v>
      </c>
      <c r="S482" s="28">
        <f>IF($A482="","",IF(AND($F482="Agendado",$A482-Hoje&gt;=0,$A482-Hoje&lt;=DiasConf),"CONFIRMAR",IF(AND($A482&lt;Hoje,OR($F482="Agendado",$F482="Confirmado")),"Atualizar status",IF(AND($F482="Compareceu",$P482&gt;0.005),"Cobrar",IF($F482="Faltou","Falta: reagendar","")))))</f>
        <v>0</v>
      </c>
      <c r="T482" s="29">
        <f>IF($A482="","",DATE(YEAR($A482),MONTH($A482),1))</f>
        <v>0</v>
      </c>
      <c r="U482" s="30">
        <f>IF($S482="CONFIRMAR",MAX($U$4:$U481)+1,"")</f>
        <v>0</v>
      </c>
      <c r="V482" s="30">
        <f>IF(AND($R482="Não",$Q482&lt;&gt;"",$Q482&lt;=Hoje+JanelaRet,$Q482&gt;=Hoje-60),MAX($V$4:$V481)+1,"")</f>
        <v>0</v>
      </c>
    </row>
    <row r="483" spans="1:22">
      <c r="A483" s="16"/>
      <c r="B483" s="23"/>
      <c r="C483" s="15"/>
      <c r="D483" s="15"/>
      <c r="E483" s="15"/>
      <c r="F483" s="24"/>
      <c r="G483" s="17"/>
      <c r="H483" s="17"/>
      <c r="I483" s="15"/>
      <c r="J483" s="25">
        <f>IF($D483="","",IFERROR(INDEX(PacNome,MATCH($D483,PacCod,0)),"Paciente não cadastrado"))</f>
        <v>0</v>
      </c>
      <c r="K483" s="26">
        <f>IF($D483="","",IFERROR(INDEX(PacConv,MATCH($D483,PacCod,0))&amp;"",""))</f>
        <v>0</v>
      </c>
      <c r="L483" s="26">
        <f>IF($A483="","",CHOOSE(WEEKDAY($A483,2),"Seg","Ter","Qua","Qui","Sex","Sáb","Dom"))</f>
        <v>0</v>
      </c>
      <c r="M483" s="27">
        <f>IF($E483="","",IF($G483&lt;&gt;"",$G483,IFERROR(INDEX(ProcValor,MATCH($E483,ProcNome,0)),0)))</f>
        <v>0</v>
      </c>
      <c r="N483" s="27">
        <f>IF($M483="","",IF($F483="Compareceu",$M483,0))</f>
        <v>0</v>
      </c>
      <c r="O483" s="27">
        <f>IF($M483="","",IF($F483="Faltou",$M483,0))</f>
        <v>0</v>
      </c>
      <c r="P483" s="27">
        <f>IF($M483="","",IF($F483="Compareceu",MAX(0,$M483-N($H483)),0))</f>
        <v>0</v>
      </c>
      <c r="Q483" s="19">
        <f>IF(AND($F483="Compareceu",$E483&lt;&gt;"",$A483&lt;&gt;""),IF(IFERROR(INDEX(ProcRet,MATCH($E483,ProcNome,0)),0)&gt;0,$A483+INDEX(ProcRet,MATCH($E483,ProcNome,0)),""),"")</f>
        <v>0</v>
      </c>
      <c r="R483" s="26">
        <f>IF($Q483="","",IF(COUNTIFS(AgPac,$D483,AgData,"&gt;"&amp;$A483,AgStatus,"&lt;&gt;Cancelado",AgStatus,"&lt;&gt;Remarcado")&gt;0,"Sim","Não"))</f>
        <v>0</v>
      </c>
      <c r="S483" s="28">
        <f>IF($A483="","",IF(AND($F483="Agendado",$A483-Hoje&gt;=0,$A483-Hoje&lt;=DiasConf),"CONFIRMAR",IF(AND($A483&lt;Hoje,OR($F483="Agendado",$F483="Confirmado")),"Atualizar status",IF(AND($F483="Compareceu",$P483&gt;0.005),"Cobrar",IF($F483="Faltou","Falta: reagendar","")))))</f>
        <v>0</v>
      </c>
      <c r="T483" s="29">
        <f>IF($A483="","",DATE(YEAR($A483),MONTH($A483),1))</f>
        <v>0</v>
      </c>
      <c r="U483" s="30">
        <f>IF($S483="CONFIRMAR",MAX($U$4:$U482)+1,"")</f>
        <v>0</v>
      </c>
      <c r="V483" s="30">
        <f>IF(AND($R483="Não",$Q483&lt;&gt;"",$Q483&lt;=Hoje+JanelaRet,$Q483&gt;=Hoje-60),MAX($V$4:$V482)+1,"")</f>
        <v>0</v>
      </c>
    </row>
    <row r="484" spans="1:22">
      <c r="A484" s="16"/>
      <c r="B484" s="23"/>
      <c r="C484" s="15"/>
      <c r="D484" s="15"/>
      <c r="E484" s="15"/>
      <c r="F484" s="24"/>
      <c r="G484" s="17"/>
      <c r="H484" s="17"/>
      <c r="I484" s="15"/>
      <c r="J484" s="25">
        <f>IF($D484="","",IFERROR(INDEX(PacNome,MATCH($D484,PacCod,0)),"Paciente não cadastrado"))</f>
        <v>0</v>
      </c>
      <c r="K484" s="26">
        <f>IF($D484="","",IFERROR(INDEX(PacConv,MATCH($D484,PacCod,0))&amp;"",""))</f>
        <v>0</v>
      </c>
      <c r="L484" s="26">
        <f>IF($A484="","",CHOOSE(WEEKDAY($A484,2),"Seg","Ter","Qua","Qui","Sex","Sáb","Dom"))</f>
        <v>0</v>
      </c>
      <c r="M484" s="27">
        <f>IF($E484="","",IF($G484&lt;&gt;"",$G484,IFERROR(INDEX(ProcValor,MATCH($E484,ProcNome,0)),0)))</f>
        <v>0</v>
      </c>
      <c r="N484" s="27">
        <f>IF($M484="","",IF($F484="Compareceu",$M484,0))</f>
        <v>0</v>
      </c>
      <c r="O484" s="27">
        <f>IF($M484="","",IF($F484="Faltou",$M484,0))</f>
        <v>0</v>
      </c>
      <c r="P484" s="27">
        <f>IF($M484="","",IF($F484="Compareceu",MAX(0,$M484-N($H484)),0))</f>
        <v>0</v>
      </c>
      <c r="Q484" s="19">
        <f>IF(AND($F484="Compareceu",$E484&lt;&gt;"",$A484&lt;&gt;""),IF(IFERROR(INDEX(ProcRet,MATCH($E484,ProcNome,0)),0)&gt;0,$A484+INDEX(ProcRet,MATCH($E484,ProcNome,0)),""),"")</f>
        <v>0</v>
      </c>
      <c r="R484" s="26">
        <f>IF($Q484="","",IF(COUNTIFS(AgPac,$D484,AgData,"&gt;"&amp;$A484,AgStatus,"&lt;&gt;Cancelado",AgStatus,"&lt;&gt;Remarcado")&gt;0,"Sim","Não"))</f>
        <v>0</v>
      </c>
      <c r="S484" s="28">
        <f>IF($A484="","",IF(AND($F484="Agendado",$A484-Hoje&gt;=0,$A484-Hoje&lt;=DiasConf),"CONFIRMAR",IF(AND($A484&lt;Hoje,OR($F484="Agendado",$F484="Confirmado")),"Atualizar status",IF(AND($F484="Compareceu",$P484&gt;0.005),"Cobrar",IF($F484="Faltou","Falta: reagendar","")))))</f>
        <v>0</v>
      </c>
      <c r="T484" s="29">
        <f>IF($A484="","",DATE(YEAR($A484),MONTH($A484),1))</f>
        <v>0</v>
      </c>
      <c r="U484" s="30">
        <f>IF($S484="CONFIRMAR",MAX($U$4:$U483)+1,"")</f>
        <v>0</v>
      </c>
      <c r="V484" s="30">
        <f>IF(AND($R484="Não",$Q484&lt;&gt;"",$Q484&lt;=Hoje+JanelaRet,$Q484&gt;=Hoje-60),MAX($V$4:$V483)+1,"")</f>
        <v>0</v>
      </c>
    </row>
    <row r="485" spans="1:22">
      <c r="A485" s="16"/>
      <c r="B485" s="23"/>
      <c r="C485" s="15"/>
      <c r="D485" s="15"/>
      <c r="E485" s="15"/>
      <c r="F485" s="24"/>
      <c r="G485" s="17"/>
      <c r="H485" s="17"/>
      <c r="I485" s="15"/>
      <c r="J485" s="25">
        <f>IF($D485="","",IFERROR(INDEX(PacNome,MATCH($D485,PacCod,0)),"Paciente não cadastrado"))</f>
        <v>0</v>
      </c>
      <c r="K485" s="26">
        <f>IF($D485="","",IFERROR(INDEX(PacConv,MATCH($D485,PacCod,0))&amp;"",""))</f>
        <v>0</v>
      </c>
      <c r="L485" s="26">
        <f>IF($A485="","",CHOOSE(WEEKDAY($A485,2),"Seg","Ter","Qua","Qui","Sex","Sáb","Dom"))</f>
        <v>0</v>
      </c>
      <c r="M485" s="27">
        <f>IF($E485="","",IF($G485&lt;&gt;"",$G485,IFERROR(INDEX(ProcValor,MATCH($E485,ProcNome,0)),0)))</f>
        <v>0</v>
      </c>
      <c r="N485" s="27">
        <f>IF($M485="","",IF($F485="Compareceu",$M485,0))</f>
        <v>0</v>
      </c>
      <c r="O485" s="27">
        <f>IF($M485="","",IF($F485="Faltou",$M485,0))</f>
        <v>0</v>
      </c>
      <c r="P485" s="27">
        <f>IF($M485="","",IF($F485="Compareceu",MAX(0,$M485-N($H485)),0))</f>
        <v>0</v>
      </c>
      <c r="Q485" s="19">
        <f>IF(AND($F485="Compareceu",$E485&lt;&gt;"",$A485&lt;&gt;""),IF(IFERROR(INDEX(ProcRet,MATCH($E485,ProcNome,0)),0)&gt;0,$A485+INDEX(ProcRet,MATCH($E485,ProcNome,0)),""),"")</f>
        <v>0</v>
      </c>
      <c r="R485" s="26">
        <f>IF($Q485="","",IF(COUNTIFS(AgPac,$D485,AgData,"&gt;"&amp;$A485,AgStatus,"&lt;&gt;Cancelado",AgStatus,"&lt;&gt;Remarcado")&gt;0,"Sim","Não"))</f>
        <v>0</v>
      </c>
      <c r="S485" s="28">
        <f>IF($A485="","",IF(AND($F485="Agendado",$A485-Hoje&gt;=0,$A485-Hoje&lt;=DiasConf),"CONFIRMAR",IF(AND($A485&lt;Hoje,OR($F485="Agendado",$F485="Confirmado")),"Atualizar status",IF(AND($F485="Compareceu",$P485&gt;0.005),"Cobrar",IF($F485="Faltou","Falta: reagendar","")))))</f>
        <v>0</v>
      </c>
      <c r="T485" s="29">
        <f>IF($A485="","",DATE(YEAR($A485),MONTH($A485),1))</f>
        <v>0</v>
      </c>
      <c r="U485" s="30">
        <f>IF($S485="CONFIRMAR",MAX($U$4:$U484)+1,"")</f>
        <v>0</v>
      </c>
      <c r="V485" s="30">
        <f>IF(AND($R485="Não",$Q485&lt;&gt;"",$Q485&lt;=Hoje+JanelaRet,$Q485&gt;=Hoje-60),MAX($V$4:$V484)+1,"")</f>
        <v>0</v>
      </c>
    </row>
    <row r="486" spans="1:22">
      <c r="A486" s="16"/>
      <c r="B486" s="23"/>
      <c r="C486" s="15"/>
      <c r="D486" s="15"/>
      <c r="E486" s="15"/>
      <c r="F486" s="24"/>
      <c r="G486" s="17"/>
      <c r="H486" s="17"/>
      <c r="I486" s="15"/>
      <c r="J486" s="25">
        <f>IF($D486="","",IFERROR(INDEX(PacNome,MATCH($D486,PacCod,0)),"Paciente não cadastrado"))</f>
        <v>0</v>
      </c>
      <c r="K486" s="26">
        <f>IF($D486="","",IFERROR(INDEX(PacConv,MATCH($D486,PacCod,0))&amp;"",""))</f>
        <v>0</v>
      </c>
      <c r="L486" s="26">
        <f>IF($A486="","",CHOOSE(WEEKDAY($A486,2),"Seg","Ter","Qua","Qui","Sex","Sáb","Dom"))</f>
        <v>0</v>
      </c>
      <c r="M486" s="27">
        <f>IF($E486="","",IF($G486&lt;&gt;"",$G486,IFERROR(INDEX(ProcValor,MATCH($E486,ProcNome,0)),0)))</f>
        <v>0</v>
      </c>
      <c r="N486" s="27">
        <f>IF($M486="","",IF($F486="Compareceu",$M486,0))</f>
        <v>0</v>
      </c>
      <c r="O486" s="27">
        <f>IF($M486="","",IF($F486="Faltou",$M486,0))</f>
        <v>0</v>
      </c>
      <c r="P486" s="27">
        <f>IF($M486="","",IF($F486="Compareceu",MAX(0,$M486-N($H486)),0))</f>
        <v>0</v>
      </c>
      <c r="Q486" s="19">
        <f>IF(AND($F486="Compareceu",$E486&lt;&gt;"",$A486&lt;&gt;""),IF(IFERROR(INDEX(ProcRet,MATCH($E486,ProcNome,0)),0)&gt;0,$A486+INDEX(ProcRet,MATCH($E486,ProcNome,0)),""),"")</f>
        <v>0</v>
      </c>
      <c r="R486" s="26">
        <f>IF($Q486="","",IF(COUNTIFS(AgPac,$D486,AgData,"&gt;"&amp;$A486,AgStatus,"&lt;&gt;Cancelado",AgStatus,"&lt;&gt;Remarcado")&gt;0,"Sim","Não"))</f>
        <v>0</v>
      </c>
      <c r="S486" s="28">
        <f>IF($A486="","",IF(AND($F486="Agendado",$A486-Hoje&gt;=0,$A486-Hoje&lt;=DiasConf),"CONFIRMAR",IF(AND($A486&lt;Hoje,OR($F486="Agendado",$F486="Confirmado")),"Atualizar status",IF(AND($F486="Compareceu",$P486&gt;0.005),"Cobrar",IF($F486="Faltou","Falta: reagendar","")))))</f>
        <v>0</v>
      </c>
      <c r="T486" s="29">
        <f>IF($A486="","",DATE(YEAR($A486),MONTH($A486),1))</f>
        <v>0</v>
      </c>
      <c r="U486" s="30">
        <f>IF($S486="CONFIRMAR",MAX($U$4:$U485)+1,"")</f>
        <v>0</v>
      </c>
      <c r="V486" s="30">
        <f>IF(AND($R486="Não",$Q486&lt;&gt;"",$Q486&lt;=Hoje+JanelaRet,$Q486&gt;=Hoje-60),MAX($V$4:$V485)+1,"")</f>
        <v>0</v>
      </c>
    </row>
    <row r="487" spans="1:22">
      <c r="A487" s="16"/>
      <c r="B487" s="23"/>
      <c r="C487" s="15"/>
      <c r="D487" s="15"/>
      <c r="E487" s="15"/>
      <c r="F487" s="24"/>
      <c r="G487" s="17"/>
      <c r="H487" s="17"/>
      <c r="I487" s="15"/>
      <c r="J487" s="25">
        <f>IF($D487="","",IFERROR(INDEX(PacNome,MATCH($D487,PacCod,0)),"Paciente não cadastrado"))</f>
        <v>0</v>
      </c>
      <c r="K487" s="26">
        <f>IF($D487="","",IFERROR(INDEX(PacConv,MATCH($D487,PacCod,0))&amp;"",""))</f>
        <v>0</v>
      </c>
      <c r="L487" s="26">
        <f>IF($A487="","",CHOOSE(WEEKDAY($A487,2),"Seg","Ter","Qua","Qui","Sex","Sáb","Dom"))</f>
        <v>0</v>
      </c>
      <c r="M487" s="27">
        <f>IF($E487="","",IF($G487&lt;&gt;"",$G487,IFERROR(INDEX(ProcValor,MATCH($E487,ProcNome,0)),0)))</f>
        <v>0</v>
      </c>
      <c r="N487" s="27">
        <f>IF($M487="","",IF($F487="Compareceu",$M487,0))</f>
        <v>0</v>
      </c>
      <c r="O487" s="27">
        <f>IF($M487="","",IF($F487="Faltou",$M487,0))</f>
        <v>0</v>
      </c>
      <c r="P487" s="27">
        <f>IF($M487="","",IF($F487="Compareceu",MAX(0,$M487-N($H487)),0))</f>
        <v>0</v>
      </c>
      <c r="Q487" s="19">
        <f>IF(AND($F487="Compareceu",$E487&lt;&gt;"",$A487&lt;&gt;""),IF(IFERROR(INDEX(ProcRet,MATCH($E487,ProcNome,0)),0)&gt;0,$A487+INDEX(ProcRet,MATCH($E487,ProcNome,0)),""),"")</f>
        <v>0</v>
      </c>
      <c r="R487" s="26">
        <f>IF($Q487="","",IF(COUNTIFS(AgPac,$D487,AgData,"&gt;"&amp;$A487,AgStatus,"&lt;&gt;Cancelado",AgStatus,"&lt;&gt;Remarcado")&gt;0,"Sim","Não"))</f>
        <v>0</v>
      </c>
      <c r="S487" s="28">
        <f>IF($A487="","",IF(AND($F487="Agendado",$A487-Hoje&gt;=0,$A487-Hoje&lt;=DiasConf),"CONFIRMAR",IF(AND($A487&lt;Hoje,OR($F487="Agendado",$F487="Confirmado")),"Atualizar status",IF(AND($F487="Compareceu",$P487&gt;0.005),"Cobrar",IF($F487="Faltou","Falta: reagendar","")))))</f>
        <v>0</v>
      </c>
      <c r="T487" s="29">
        <f>IF($A487="","",DATE(YEAR($A487),MONTH($A487),1))</f>
        <v>0</v>
      </c>
      <c r="U487" s="30">
        <f>IF($S487="CONFIRMAR",MAX($U$4:$U486)+1,"")</f>
        <v>0</v>
      </c>
      <c r="V487" s="30">
        <f>IF(AND($R487="Não",$Q487&lt;&gt;"",$Q487&lt;=Hoje+JanelaRet,$Q487&gt;=Hoje-60),MAX($V$4:$V486)+1,"")</f>
        <v>0</v>
      </c>
    </row>
    <row r="488" spans="1:22">
      <c r="A488" s="16"/>
      <c r="B488" s="23"/>
      <c r="C488" s="15"/>
      <c r="D488" s="15"/>
      <c r="E488" s="15"/>
      <c r="F488" s="24"/>
      <c r="G488" s="17"/>
      <c r="H488" s="17"/>
      <c r="I488" s="15"/>
      <c r="J488" s="25">
        <f>IF($D488="","",IFERROR(INDEX(PacNome,MATCH($D488,PacCod,0)),"Paciente não cadastrado"))</f>
        <v>0</v>
      </c>
      <c r="K488" s="26">
        <f>IF($D488="","",IFERROR(INDEX(PacConv,MATCH($D488,PacCod,0))&amp;"",""))</f>
        <v>0</v>
      </c>
      <c r="L488" s="26">
        <f>IF($A488="","",CHOOSE(WEEKDAY($A488,2),"Seg","Ter","Qua","Qui","Sex","Sáb","Dom"))</f>
        <v>0</v>
      </c>
      <c r="M488" s="27">
        <f>IF($E488="","",IF($G488&lt;&gt;"",$G488,IFERROR(INDEX(ProcValor,MATCH($E488,ProcNome,0)),0)))</f>
        <v>0</v>
      </c>
      <c r="N488" s="27">
        <f>IF($M488="","",IF($F488="Compareceu",$M488,0))</f>
        <v>0</v>
      </c>
      <c r="O488" s="27">
        <f>IF($M488="","",IF($F488="Faltou",$M488,0))</f>
        <v>0</v>
      </c>
      <c r="P488" s="27">
        <f>IF($M488="","",IF($F488="Compareceu",MAX(0,$M488-N($H488)),0))</f>
        <v>0</v>
      </c>
      <c r="Q488" s="19">
        <f>IF(AND($F488="Compareceu",$E488&lt;&gt;"",$A488&lt;&gt;""),IF(IFERROR(INDEX(ProcRet,MATCH($E488,ProcNome,0)),0)&gt;0,$A488+INDEX(ProcRet,MATCH($E488,ProcNome,0)),""),"")</f>
        <v>0</v>
      </c>
      <c r="R488" s="26">
        <f>IF($Q488="","",IF(COUNTIFS(AgPac,$D488,AgData,"&gt;"&amp;$A488,AgStatus,"&lt;&gt;Cancelado",AgStatus,"&lt;&gt;Remarcado")&gt;0,"Sim","Não"))</f>
        <v>0</v>
      </c>
      <c r="S488" s="28">
        <f>IF($A488="","",IF(AND($F488="Agendado",$A488-Hoje&gt;=0,$A488-Hoje&lt;=DiasConf),"CONFIRMAR",IF(AND($A488&lt;Hoje,OR($F488="Agendado",$F488="Confirmado")),"Atualizar status",IF(AND($F488="Compareceu",$P488&gt;0.005),"Cobrar",IF($F488="Faltou","Falta: reagendar","")))))</f>
        <v>0</v>
      </c>
      <c r="T488" s="29">
        <f>IF($A488="","",DATE(YEAR($A488),MONTH($A488),1))</f>
        <v>0</v>
      </c>
      <c r="U488" s="30">
        <f>IF($S488="CONFIRMAR",MAX($U$4:$U487)+1,"")</f>
        <v>0</v>
      </c>
      <c r="V488" s="30">
        <f>IF(AND($R488="Não",$Q488&lt;&gt;"",$Q488&lt;=Hoje+JanelaRet,$Q488&gt;=Hoje-60),MAX($V$4:$V487)+1,"")</f>
        <v>0</v>
      </c>
    </row>
    <row r="489" spans="1:22">
      <c r="A489" s="16"/>
      <c r="B489" s="23"/>
      <c r="C489" s="15"/>
      <c r="D489" s="15"/>
      <c r="E489" s="15"/>
      <c r="F489" s="24"/>
      <c r="G489" s="17"/>
      <c r="H489" s="17"/>
      <c r="I489" s="15"/>
      <c r="J489" s="25">
        <f>IF($D489="","",IFERROR(INDEX(PacNome,MATCH($D489,PacCod,0)),"Paciente não cadastrado"))</f>
        <v>0</v>
      </c>
      <c r="K489" s="26">
        <f>IF($D489="","",IFERROR(INDEX(PacConv,MATCH($D489,PacCod,0))&amp;"",""))</f>
        <v>0</v>
      </c>
      <c r="L489" s="26">
        <f>IF($A489="","",CHOOSE(WEEKDAY($A489,2),"Seg","Ter","Qua","Qui","Sex","Sáb","Dom"))</f>
        <v>0</v>
      </c>
      <c r="M489" s="27">
        <f>IF($E489="","",IF($G489&lt;&gt;"",$G489,IFERROR(INDEX(ProcValor,MATCH($E489,ProcNome,0)),0)))</f>
        <v>0</v>
      </c>
      <c r="N489" s="27">
        <f>IF($M489="","",IF($F489="Compareceu",$M489,0))</f>
        <v>0</v>
      </c>
      <c r="O489" s="27">
        <f>IF($M489="","",IF($F489="Faltou",$M489,0))</f>
        <v>0</v>
      </c>
      <c r="P489" s="27">
        <f>IF($M489="","",IF($F489="Compareceu",MAX(0,$M489-N($H489)),0))</f>
        <v>0</v>
      </c>
      <c r="Q489" s="19">
        <f>IF(AND($F489="Compareceu",$E489&lt;&gt;"",$A489&lt;&gt;""),IF(IFERROR(INDEX(ProcRet,MATCH($E489,ProcNome,0)),0)&gt;0,$A489+INDEX(ProcRet,MATCH($E489,ProcNome,0)),""),"")</f>
        <v>0</v>
      </c>
      <c r="R489" s="26">
        <f>IF($Q489="","",IF(COUNTIFS(AgPac,$D489,AgData,"&gt;"&amp;$A489,AgStatus,"&lt;&gt;Cancelado",AgStatus,"&lt;&gt;Remarcado")&gt;0,"Sim","Não"))</f>
        <v>0</v>
      </c>
      <c r="S489" s="28">
        <f>IF($A489="","",IF(AND($F489="Agendado",$A489-Hoje&gt;=0,$A489-Hoje&lt;=DiasConf),"CONFIRMAR",IF(AND($A489&lt;Hoje,OR($F489="Agendado",$F489="Confirmado")),"Atualizar status",IF(AND($F489="Compareceu",$P489&gt;0.005),"Cobrar",IF($F489="Faltou","Falta: reagendar","")))))</f>
        <v>0</v>
      </c>
      <c r="T489" s="29">
        <f>IF($A489="","",DATE(YEAR($A489),MONTH($A489),1))</f>
        <v>0</v>
      </c>
      <c r="U489" s="30">
        <f>IF($S489="CONFIRMAR",MAX($U$4:$U488)+1,"")</f>
        <v>0</v>
      </c>
      <c r="V489" s="30">
        <f>IF(AND($R489="Não",$Q489&lt;&gt;"",$Q489&lt;=Hoje+JanelaRet,$Q489&gt;=Hoje-60),MAX($V$4:$V488)+1,"")</f>
        <v>0</v>
      </c>
    </row>
    <row r="490" spans="1:22">
      <c r="A490" s="16"/>
      <c r="B490" s="23"/>
      <c r="C490" s="15"/>
      <c r="D490" s="15"/>
      <c r="E490" s="15"/>
      <c r="F490" s="24"/>
      <c r="G490" s="17"/>
      <c r="H490" s="17"/>
      <c r="I490" s="15"/>
      <c r="J490" s="25">
        <f>IF($D490="","",IFERROR(INDEX(PacNome,MATCH($D490,PacCod,0)),"Paciente não cadastrado"))</f>
        <v>0</v>
      </c>
      <c r="K490" s="26">
        <f>IF($D490="","",IFERROR(INDEX(PacConv,MATCH($D490,PacCod,0))&amp;"",""))</f>
        <v>0</v>
      </c>
      <c r="L490" s="26">
        <f>IF($A490="","",CHOOSE(WEEKDAY($A490,2),"Seg","Ter","Qua","Qui","Sex","Sáb","Dom"))</f>
        <v>0</v>
      </c>
      <c r="M490" s="27">
        <f>IF($E490="","",IF($G490&lt;&gt;"",$G490,IFERROR(INDEX(ProcValor,MATCH($E490,ProcNome,0)),0)))</f>
        <v>0</v>
      </c>
      <c r="N490" s="27">
        <f>IF($M490="","",IF($F490="Compareceu",$M490,0))</f>
        <v>0</v>
      </c>
      <c r="O490" s="27">
        <f>IF($M490="","",IF($F490="Faltou",$M490,0))</f>
        <v>0</v>
      </c>
      <c r="P490" s="27">
        <f>IF($M490="","",IF($F490="Compareceu",MAX(0,$M490-N($H490)),0))</f>
        <v>0</v>
      </c>
      <c r="Q490" s="19">
        <f>IF(AND($F490="Compareceu",$E490&lt;&gt;"",$A490&lt;&gt;""),IF(IFERROR(INDEX(ProcRet,MATCH($E490,ProcNome,0)),0)&gt;0,$A490+INDEX(ProcRet,MATCH($E490,ProcNome,0)),""),"")</f>
        <v>0</v>
      </c>
      <c r="R490" s="26">
        <f>IF($Q490="","",IF(COUNTIFS(AgPac,$D490,AgData,"&gt;"&amp;$A490,AgStatus,"&lt;&gt;Cancelado",AgStatus,"&lt;&gt;Remarcado")&gt;0,"Sim","Não"))</f>
        <v>0</v>
      </c>
      <c r="S490" s="28">
        <f>IF($A490="","",IF(AND($F490="Agendado",$A490-Hoje&gt;=0,$A490-Hoje&lt;=DiasConf),"CONFIRMAR",IF(AND($A490&lt;Hoje,OR($F490="Agendado",$F490="Confirmado")),"Atualizar status",IF(AND($F490="Compareceu",$P490&gt;0.005),"Cobrar",IF($F490="Faltou","Falta: reagendar","")))))</f>
        <v>0</v>
      </c>
      <c r="T490" s="29">
        <f>IF($A490="","",DATE(YEAR($A490),MONTH($A490),1))</f>
        <v>0</v>
      </c>
      <c r="U490" s="30">
        <f>IF($S490="CONFIRMAR",MAX($U$4:$U489)+1,"")</f>
        <v>0</v>
      </c>
      <c r="V490" s="30">
        <f>IF(AND($R490="Não",$Q490&lt;&gt;"",$Q490&lt;=Hoje+JanelaRet,$Q490&gt;=Hoje-60),MAX($V$4:$V489)+1,"")</f>
        <v>0</v>
      </c>
    </row>
    <row r="491" spans="1:22">
      <c r="A491" s="16"/>
      <c r="B491" s="23"/>
      <c r="C491" s="15"/>
      <c r="D491" s="15"/>
      <c r="E491" s="15"/>
      <c r="F491" s="24"/>
      <c r="G491" s="17"/>
      <c r="H491" s="17"/>
      <c r="I491" s="15"/>
      <c r="J491" s="25">
        <f>IF($D491="","",IFERROR(INDEX(PacNome,MATCH($D491,PacCod,0)),"Paciente não cadastrado"))</f>
        <v>0</v>
      </c>
      <c r="K491" s="26">
        <f>IF($D491="","",IFERROR(INDEX(PacConv,MATCH($D491,PacCod,0))&amp;"",""))</f>
        <v>0</v>
      </c>
      <c r="L491" s="26">
        <f>IF($A491="","",CHOOSE(WEEKDAY($A491,2),"Seg","Ter","Qua","Qui","Sex","Sáb","Dom"))</f>
        <v>0</v>
      </c>
      <c r="M491" s="27">
        <f>IF($E491="","",IF($G491&lt;&gt;"",$G491,IFERROR(INDEX(ProcValor,MATCH($E491,ProcNome,0)),0)))</f>
        <v>0</v>
      </c>
      <c r="N491" s="27">
        <f>IF($M491="","",IF($F491="Compareceu",$M491,0))</f>
        <v>0</v>
      </c>
      <c r="O491" s="27">
        <f>IF($M491="","",IF($F491="Faltou",$M491,0))</f>
        <v>0</v>
      </c>
      <c r="P491" s="27">
        <f>IF($M491="","",IF($F491="Compareceu",MAX(0,$M491-N($H491)),0))</f>
        <v>0</v>
      </c>
      <c r="Q491" s="19">
        <f>IF(AND($F491="Compareceu",$E491&lt;&gt;"",$A491&lt;&gt;""),IF(IFERROR(INDEX(ProcRet,MATCH($E491,ProcNome,0)),0)&gt;0,$A491+INDEX(ProcRet,MATCH($E491,ProcNome,0)),""),"")</f>
        <v>0</v>
      </c>
      <c r="R491" s="26">
        <f>IF($Q491="","",IF(COUNTIFS(AgPac,$D491,AgData,"&gt;"&amp;$A491,AgStatus,"&lt;&gt;Cancelado",AgStatus,"&lt;&gt;Remarcado")&gt;0,"Sim","Não"))</f>
        <v>0</v>
      </c>
      <c r="S491" s="28">
        <f>IF($A491="","",IF(AND($F491="Agendado",$A491-Hoje&gt;=0,$A491-Hoje&lt;=DiasConf),"CONFIRMAR",IF(AND($A491&lt;Hoje,OR($F491="Agendado",$F491="Confirmado")),"Atualizar status",IF(AND($F491="Compareceu",$P491&gt;0.005),"Cobrar",IF($F491="Faltou","Falta: reagendar","")))))</f>
        <v>0</v>
      </c>
      <c r="T491" s="29">
        <f>IF($A491="","",DATE(YEAR($A491),MONTH($A491),1))</f>
        <v>0</v>
      </c>
      <c r="U491" s="30">
        <f>IF($S491="CONFIRMAR",MAX($U$4:$U490)+1,"")</f>
        <v>0</v>
      </c>
      <c r="V491" s="30">
        <f>IF(AND($R491="Não",$Q491&lt;&gt;"",$Q491&lt;=Hoje+JanelaRet,$Q491&gt;=Hoje-60),MAX($V$4:$V490)+1,"")</f>
        <v>0</v>
      </c>
    </row>
    <row r="492" spans="1:22">
      <c r="A492" s="16"/>
      <c r="B492" s="23"/>
      <c r="C492" s="15"/>
      <c r="D492" s="15"/>
      <c r="E492" s="15"/>
      <c r="F492" s="24"/>
      <c r="G492" s="17"/>
      <c r="H492" s="17"/>
      <c r="I492" s="15"/>
      <c r="J492" s="25">
        <f>IF($D492="","",IFERROR(INDEX(PacNome,MATCH($D492,PacCod,0)),"Paciente não cadastrado"))</f>
        <v>0</v>
      </c>
      <c r="K492" s="26">
        <f>IF($D492="","",IFERROR(INDEX(PacConv,MATCH($D492,PacCod,0))&amp;"",""))</f>
        <v>0</v>
      </c>
      <c r="L492" s="26">
        <f>IF($A492="","",CHOOSE(WEEKDAY($A492,2),"Seg","Ter","Qua","Qui","Sex","Sáb","Dom"))</f>
        <v>0</v>
      </c>
      <c r="M492" s="27">
        <f>IF($E492="","",IF($G492&lt;&gt;"",$G492,IFERROR(INDEX(ProcValor,MATCH($E492,ProcNome,0)),0)))</f>
        <v>0</v>
      </c>
      <c r="N492" s="27">
        <f>IF($M492="","",IF($F492="Compareceu",$M492,0))</f>
        <v>0</v>
      </c>
      <c r="O492" s="27">
        <f>IF($M492="","",IF($F492="Faltou",$M492,0))</f>
        <v>0</v>
      </c>
      <c r="P492" s="27">
        <f>IF($M492="","",IF($F492="Compareceu",MAX(0,$M492-N($H492)),0))</f>
        <v>0</v>
      </c>
      <c r="Q492" s="19">
        <f>IF(AND($F492="Compareceu",$E492&lt;&gt;"",$A492&lt;&gt;""),IF(IFERROR(INDEX(ProcRet,MATCH($E492,ProcNome,0)),0)&gt;0,$A492+INDEX(ProcRet,MATCH($E492,ProcNome,0)),""),"")</f>
        <v>0</v>
      </c>
      <c r="R492" s="26">
        <f>IF($Q492="","",IF(COUNTIFS(AgPac,$D492,AgData,"&gt;"&amp;$A492,AgStatus,"&lt;&gt;Cancelado",AgStatus,"&lt;&gt;Remarcado")&gt;0,"Sim","Não"))</f>
        <v>0</v>
      </c>
      <c r="S492" s="28">
        <f>IF($A492="","",IF(AND($F492="Agendado",$A492-Hoje&gt;=0,$A492-Hoje&lt;=DiasConf),"CONFIRMAR",IF(AND($A492&lt;Hoje,OR($F492="Agendado",$F492="Confirmado")),"Atualizar status",IF(AND($F492="Compareceu",$P492&gt;0.005),"Cobrar",IF($F492="Faltou","Falta: reagendar","")))))</f>
        <v>0</v>
      </c>
      <c r="T492" s="29">
        <f>IF($A492="","",DATE(YEAR($A492),MONTH($A492),1))</f>
        <v>0</v>
      </c>
      <c r="U492" s="30">
        <f>IF($S492="CONFIRMAR",MAX($U$4:$U491)+1,"")</f>
        <v>0</v>
      </c>
      <c r="V492" s="30">
        <f>IF(AND($R492="Não",$Q492&lt;&gt;"",$Q492&lt;=Hoje+JanelaRet,$Q492&gt;=Hoje-60),MAX($V$4:$V491)+1,"")</f>
        <v>0</v>
      </c>
    </row>
    <row r="493" spans="1:22">
      <c r="A493" s="16"/>
      <c r="B493" s="23"/>
      <c r="C493" s="15"/>
      <c r="D493" s="15"/>
      <c r="E493" s="15"/>
      <c r="F493" s="24"/>
      <c r="G493" s="17"/>
      <c r="H493" s="17"/>
      <c r="I493" s="15"/>
      <c r="J493" s="25">
        <f>IF($D493="","",IFERROR(INDEX(PacNome,MATCH($D493,PacCod,0)),"Paciente não cadastrado"))</f>
        <v>0</v>
      </c>
      <c r="K493" s="26">
        <f>IF($D493="","",IFERROR(INDEX(PacConv,MATCH($D493,PacCod,0))&amp;"",""))</f>
        <v>0</v>
      </c>
      <c r="L493" s="26">
        <f>IF($A493="","",CHOOSE(WEEKDAY($A493,2),"Seg","Ter","Qua","Qui","Sex","Sáb","Dom"))</f>
        <v>0</v>
      </c>
      <c r="M493" s="27">
        <f>IF($E493="","",IF($G493&lt;&gt;"",$G493,IFERROR(INDEX(ProcValor,MATCH($E493,ProcNome,0)),0)))</f>
        <v>0</v>
      </c>
      <c r="N493" s="27">
        <f>IF($M493="","",IF($F493="Compareceu",$M493,0))</f>
        <v>0</v>
      </c>
      <c r="O493" s="27">
        <f>IF($M493="","",IF($F493="Faltou",$M493,0))</f>
        <v>0</v>
      </c>
      <c r="P493" s="27">
        <f>IF($M493="","",IF($F493="Compareceu",MAX(0,$M493-N($H493)),0))</f>
        <v>0</v>
      </c>
      <c r="Q493" s="19">
        <f>IF(AND($F493="Compareceu",$E493&lt;&gt;"",$A493&lt;&gt;""),IF(IFERROR(INDEX(ProcRet,MATCH($E493,ProcNome,0)),0)&gt;0,$A493+INDEX(ProcRet,MATCH($E493,ProcNome,0)),""),"")</f>
        <v>0</v>
      </c>
      <c r="R493" s="26">
        <f>IF($Q493="","",IF(COUNTIFS(AgPac,$D493,AgData,"&gt;"&amp;$A493,AgStatus,"&lt;&gt;Cancelado",AgStatus,"&lt;&gt;Remarcado")&gt;0,"Sim","Não"))</f>
        <v>0</v>
      </c>
      <c r="S493" s="28">
        <f>IF($A493="","",IF(AND($F493="Agendado",$A493-Hoje&gt;=0,$A493-Hoje&lt;=DiasConf),"CONFIRMAR",IF(AND($A493&lt;Hoje,OR($F493="Agendado",$F493="Confirmado")),"Atualizar status",IF(AND($F493="Compareceu",$P493&gt;0.005),"Cobrar",IF($F493="Faltou","Falta: reagendar","")))))</f>
        <v>0</v>
      </c>
      <c r="T493" s="29">
        <f>IF($A493="","",DATE(YEAR($A493),MONTH($A493),1))</f>
        <v>0</v>
      </c>
      <c r="U493" s="30">
        <f>IF($S493="CONFIRMAR",MAX($U$4:$U492)+1,"")</f>
        <v>0</v>
      </c>
      <c r="V493" s="30">
        <f>IF(AND($R493="Não",$Q493&lt;&gt;"",$Q493&lt;=Hoje+JanelaRet,$Q493&gt;=Hoje-60),MAX($V$4:$V492)+1,"")</f>
        <v>0</v>
      </c>
    </row>
    <row r="494" spans="1:22">
      <c r="A494" s="16"/>
      <c r="B494" s="23"/>
      <c r="C494" s="15"/>
      <c r="D494" s="15"/>
      <c r="E494" s="15"/>
      <c r="F494" s="24"/>
      <c r="G494" s="17"/>
      <c r="H494" s="17"/>
      <c r="I494" s="15"/>
      <c r="J494" s="25">
        <f>IF($D494="","",IFERROR(INDEX(PacNome,MATCH($D494,PacCod,0)),"Paciente não cadastrado"))</f>
        <v>0</v>
      </c>
      <c r="K494" s="26">
        <f>IF($D494="","",IFERROR(INDEX(PacConv,MATCH($D494,PacCod,0))&amp;"",""))</f>
        <v>0</v>
      </c>
      <c r="L494" s="26">
        <f>IF($A494="","",CHOOSE(WEEKDAY($A494,2),"Seg","Ter","Qua","Qui","Sex","Sáb","Dom"))</f>
        <v>0</v>
      </c>
      <c r="M494" s="27">
        <f>IF($E494="","",IF($G494&lt;&gt;"",$G494,IFERROR(INDEX(ProcValor,MATCH($E494,ProcNome,0)),0)))</f>
        <v>0</v>
      </c>
      <c r="N494" s="27">
        <f>IF($M494="","",IF($F494="Compareceu",$M494,0))</f>
        <v>0</v>
      </c>
      <c r="O494" s="27">
        <f>IF($M494="","",IF($F494="Faltou",$M494,0))</f>
        <v>0</v>
      </c>
      <c r="P494" s="27">
        <f>IF($M494="","",IF($F494="Compareceu",MAX(0,$M494-N($H494)),0))</f>
        <v>0</v>
      </c>
      <c r="Q494" s="19">
        <f>IF(AND($F494="Compareceu",$E494&lt;&gt;"",$A494&lt;&gt;""),IF(IFERROR(INDEX(ProcRet,MATCH($E494,ProcNome,0)),0)&gt;0,$A494+INDEX(ProcRet,MATCH($E494,ProcNome,0)),""),"")</f>
        <v>0</v>
      </c>
      <c r="R494" s="26">
        <f>IF($Q494="","",IF(COUNTIFS(AgPac,$D494,AgData,"&gt;"&amp;$A494,AgStatus,"&lt;&gt;Cancelado",AgStatus,"&lt;&gt;Remarcado")&gt;0,"Sim","Não"))</f>
        <v>0</v>
      </c>
      <c r="S494" s="28">
        <f>IF($A494="","",IF(AND($F494="Agendado",$A494-Hoje&gt;=0,$A494-Hoje&lt;=DiasConf),"CONFIRMAR",IF(AND($A494&lt;Hoje,OR($F494="Agendado",$F494="Confirmado")),"Atualizar status",IF(AND($F494="Compareceu",$P494&gt;0.005),"Cobrar",IF($F494="Faltou","Falta: reagendar","")))))</f>
        <v>0</v>
      </c>
      <c r="T494" s="29">
        <f>IF($A494="","",DATE(YEAR($A494),MONTH($A494),1))</f>
        <v>0</v>
      </c>
      <c r="U494" s="30">
        <f>IF($S494="CONFIRMAR",MAX($U$4:$U493)+1,"")</f>
        <v>0</v>
      </c>
      <c r="V494" s="30">
        <f>IF(AND($R494="Não",$Q494&lt;&gt;"",$Q494&lt;=Hoje+JanelaRet,$Q494&gt;=Hoje-60),MAX($V$4:$V493)+1,"")</f>
        <v>0</v>
      </c>
    </row>
    <row r="495" spans="1:22">
      <c r="A495" s="16"/>
      <c r="B495" s="23"/>
      <c r="C495" s="15"/>
      <c r="D495" s="15"/>
      <c r="E495" s="15"/>
      <c r="F495" s="24"/>
      <c r="G495" s="17"/>
      <c r="H495" s="17"/>
      <c r="I495" s="15"/>
      <c r="J495" s="25">
        <f>IF($D495="","",IFERROR(INDEX(PacNome,MATCH($D495,PacCod,0)),"Paciente não cadastrado"))</f>
        <v>0</v>
      </c>
      <c r="K495" s="26">
        <f>IF($D495="","",IFERROR(INDEX(PacConv,MATCH($D495,PacCod,0))&amp;"",""))</f>
        <v>0</v>
      </c>
      <c r="L495" s="26">
        <f>IF($A495="","",CHOOSE(WEEKDAY($A495,2),"Seg","Ter","Qua","Qui","Sex","Sáb","Dom"))</f>
        <v>0</v>
      </c>
      <c r="M495" s="27">
        <f>IF($E495="","",IF($G495&lt;&gt;"",$G495,IFERROR(INDEX(ProcValor,MATCH($E495,ProcNome,0)),0)))</f>
        <v>0</v>
      </c>
      <c r="N495" s="27">
        <f>IF($M495="","",IF($F495="Compareceu",$M495,0))</f>
        <v>0</v>
      </c>
      <c r="O495" s="27">
        <f>IF($M495="","",IF($F495="Faltou",$M495,0))</f>
        <v>0</v>
      </c>
      <c r="P495" s="27">
        <f>IF($M495="","",IF($F495="Compareceu",MAX(0,$M495-N($H495)),0))</f>
        <v>0</v>
      </c>
      <c r="Q495" s="19">
        <f>IF(AND($F495="Compareceu",$E495&lt;&gt;"",$A495&lt;&gt;""),IF(IFERROR(INDEX(ProcRet,MATCH($E495,ProcNome,0)),0)&gt;0,$A495+INDEX(ProcRet,MATCH($E495,ProcNome,0)),""),"")</f>
        <v>0</v>
      </c>
      <c r="R495" s="26">
        <f>IF($Q495="","",IF(COUNTIFS(AgPac,$D495,AgData,"&gt;"&amp;$A495,AgStatus,"&lt;&gt;Cancelado",AgStatus,"&lt;&gt;Remarcado")&gt;0,"Sim","Não"))</f>
        <v>0</v>
      </c>
      <c r="S495" s="28">
        <f>IF($A495="","",IF(AND($F495="Agendado",$A495-Hoje&gt;=0,$A495-Hoje&lt;=DiasConf),"CONFIRMAR",IF(AND($A495&lt;Hoje,OR($F495="Agendado",$F495="Confirmado")),"Atualizar status",IF(AND($F495="Compareceu",$P495&gt;0.005),"Cobrar",IF($F495="Faltou","Falta: reagendar","")))))</f>
        <v>0</v>
      </c>
      <c r="T495" s="29">
        <f>IF($A495="","",DATE(YEAR($A495),MONTH($A495),1))</f>
        <v>0</v>
      </c>
      <c r="U495" s="30">
        <f>IF($S495="CONFIRMAR",MAX($U$4:$U494)+1,"")</f>
        <v>0</v>
      </c>
      <c r="V495" s="30">
        <f>IF(AND($R495="Não",$Q495&lt;&gt;"",$Q495&lt;=Hoje+JanelaRet,$Q495&gt;=Hoje-60),MAX($V$4:$V494)+1,"")</f>
        <v>0</v>
      </c>
    </row>
    <row r="496" spans="1:22">
      <c r="A496" s="16"/>
      <c r="B496" s="23"/>
      <c r="C496" s="15"/>
      <c r="D496" s="15"/>
      <c r="E496" s="15"/>
      <c r="F496" s="24"/>
      <c r="G496" s="17"/>
      <c r="H496" s="17"/>
      <c r="I496" s="15"/>
      <c r="J496" s="25">
        <f>IF($D496="","",IFERROR(INDEX(PacNome,MATCH($D496,PacCod,0)),"Paciente não cadastrado"))</f>
        <v>0</v>
      </c>
      <c r="K496" s="26">
        <f>IF($D496="","",IFERROR(INDEX(PacConv,MATCH($D496,PacCod,0))&amp;"",""))</f>
        <v>0</v>
      </c>
      <c r="L496" s="26">
        <f>IF($A496="","",CHOOSE(WEEKDAY($A496,2),"Seg","Ter","Qua","Qui","Sex","Sáb","Dom"))</f>
        <v>0</v>
      </c>
      <c r="M496" s="27">
        <f>IF($E496="","",IF($G496&lt;&gt;"",$G496,IFERROR(INDEX(ProcValor,MATCH($E496,ProcNome,0)),0)))</f>
        <v>0</v>
      </c>
      <c r="N496" s="27">
        <f>IF($M496="","",IF($F496="Compareceu",$M496,0))</f>
        <v>0</v>
      </c>
      <c r="O496" s="27">
        <f>IF($M496="","",IF($F496="Faltou",$M496,0))</f>
        <v>0</v>
      </c>
      <c r="P496" s="27">
        <f>IF($M496="","",IF($F496="Compareceu",MAX(0,$M496-N($H496)),0))</f>
        <v>0</v>
      </c>
      <c r="Q496" s="19">
        <f>IF(AND($F496="Compareceu",$E496&lt;&gt;"",$A496&lt;&gt;""),IF(IFERROR(INDEX(ProcRet,MATCH($E496,ProcNome,0)),0)&gt;0,$A496+INDEX(ProcRet,MATCH($E496,ProcNome,0)),""),"")</f>
        <v>0</v>
      </c>
      <c r="R496" s="26">
        <f>IF($Q496="","",IF(COUNTIFS(AgPac,$D496,AgData,"&gt;"&amp;$A496,AgStatus,"&lt;&gt;Cancelado",AgStatus,"&lt;&gt;Remarcado")&gt;0,"Sim","Não"))</f>
        <v>0</v>
      </c>
      <c r="S496" s="28">
        <f>IF($A496="","",IF(AND($F496="Agendado",$A496-Hoje&gt;=0,$A496-Hoje&lt;=DiasConf),"CONFIRMAR",IF(AND($A496&lt;Hoje,OR($F496="Agendado",$F496="Confirmado")),"Atualizar status",IF(AND($F496="Compareceu",$P496&gt;0.005),"Cobrar",IF($F496="Faltou","Falta: reagendar","")))))</f>
        <v>0</v>
      </c>
      <c r="T496" s="29">
        <f>IF($A496="","",DATE(YEAR($A496),MONTH($A496),1))</f>
        <v>0</v>
      </c>
      <c r="U496" s="30">
        <f>IF($S496="CONFIRMAR",MAX($U$4:$U495)+1,"")</f>
        <v>0</v>
      </c>
      <c r="V496" s="30">
        <f>IF(AND($R496="Não",$Q496&lt;&gt;"",$Q496&lt;=Hoje+JanelaRet,$Q496&gt;=Hoje-60),MAX($V$4:$V495)+1,"")</f>
        <v>0</v>
      </c>
    </row>
    <row r="497" spans="1:22">
      <c r="A497" s="16"/>
      <c r="B497" s="23"/>
      <c r="C497" s="15"/>
      <c r="D497" s="15"/>
      <c r="E497" s="15"/>
      <c r="F497" s="24"/>
      <c r="G497" s="17"/>
      <c r="H497" s="17"/>
      <c r="I497" s="15"/>
      <c r="J497" s="25">
        <f>IF($D497="","",IFERROR(INDEX(PacNome,MATCH($D497,PacCod,0)),"Paciente não cadastrado"))</f>
        <v>0</v>
      </c>
      <c r="K497" s="26">
        <f>IF($D497="","",IFERROR(INDEX(PacConv,MATCH($D497,PacCod,0))&amp;"",""))</f>
        <v>0</v>
      </c>
      <c r="L497" s="26">
        <f>IF($A497="","",CHOOSE(WEEKDAY($A497,2),"Seg","Ter","Qua","Qui","Sex","Sáb","Dom"))</f>
        <v>0</v>
      </c>
      <c r="M497" s="27">
        <f>IF($E497="","",IF($G497&lt;&gt;"",$G497,IFERROR(INDEX(ProcValor,MATCH($E497,ProcNome,0)),0)))</f>
        <v>0</v>
      </c>
      <c r="N497" s="27">
        <f>IF($M497="","",IF($F497="Compareceu",$M497,0))</f>
        <v>0</v>
      </c>
      <c r="O497" s="27">
        <f>IF($M497="","",IF($F497="Faltou",$M497,0))</f>
        <v>0</v>
      </c>
      <c r="P497" s="27">
        <f>IF($M497="","",IF($F497="Compareceu",MAX(0,$M497-N($H497)),0))</f>
        <v>0</v>
      </c>
      <c r="Q497" s="19">
        <f>IF(AND($F497="Compareceu",$E497&lt;&gt;"",$A497&lt;&gt;""),IF(IFERROR(INDEX(ProcRet,MATCH($E497,ProcNome,0)),0)&gt;0,$A497+INDEX(ProcRet,MATCH($E497,ProcNome,0)),""),"")</f>
        <v>0</v>
      </c>
      <c r="R497" s="26">
        <f>IF($Q497="","",IF(COUNTIFS(AgPac,$D497,AgData,"&gt;"&amp;$A497,AgStatus,"&lt;&gt;Cancelado",AgStatus,"&lt;&gt;Remarcado")&gt;0,"Sim","Não"))</f>
        <v>0</v>
      </c>
      <c r="S497" s="28">
        <f>IF($A497="","",IF(AND($F497="Agendado",$A497-Hoje&gt;=0,$A497-Hoje&lt;=DiasConf),"CONFIRMAR",IF(AND($A497&lt;Hoje,OR($F497="Agendado",$F497="Confirmado")),"Atualizar status",IF(AND($F497="Compareceu",$P497&gt;0.005),"Cobrar",IF($F497="Faltou","Falta: reagendar","")))))</f>
        <v>0</v>
      </c>
      <c r="T497" s="29">
        <f>IF($A497="","",DATE(YEAR($A497),MONTH($A497),1))</f>
        <v>0</v>
      </c>
      <c r="U497" s="30">
        <f>IF($S497="CONFIRMAR",MAX($U$4:$U496)+1,"")</f>
        <v>0</v>
      </c>
      <c r="V497" s="30">
        <f>IF(AND($R497="Não",$Q497&lt;&gt;"",$Q497&lt;=Hoje+JanelaRet,$Q497&gt;=Hoje-60),MAX($V$4:$V496)+1,"")</f>
        <v>0</v>
      </c>
    </row>
    <row r="498" spans="1:22">
      <c r="A498" s="16"/>
      <c r="B498" s="23"/>
      <c r="C498" s="15"/>
      <c r="D498" s="15"/>
      <c r="E498" s="15"/>
      <c r="F498" s="24"/>
      <c r="G498" s="17"/>
      <c r="H498" s="17"/>
      <c r="I498" s="15"/>
      <c r="J498" s="25">
        <f>IF($D498="","",IFERROR(INDEX(PacNome,MATCH($D498,PacCod,0)),"Paciente não cadastrado"))</f>
        <v>0</v>
      </c>
      <c r="K498" s="26">
        <f>IF($D498="","",IFERROR(INDEX(PacConv,MATCH($D498,PacCod,0))&amp;"",""))</f>
        <v>0</v>
      </c>
      <c r="L498" s="26">
        <f>IF($A498="","",CHOOSE(WEEKDAY($A498,2),"Seg","Ter","Qua","Qui","Sex","Sáb","Dom"))</f>
        <v>0</v>
      </c>
      <c r="M498" s="27">
        <f>IF($E498="","",IF($G498&lt;&gt;"",$G498,IFERROR(INDEX(ProcValor,MATCH($E498,ProcNome,0)),0)))</f>
        <v>0</v>
      </c>
      <c r="N498" s="27">
        <f>IF($M498="","",IF($F498="Compareceu",$M498,0))</f>
        <v>0</v>
      </c>
      <c r="O498" s="27">
        <f>IF($M498="","",IF($F498="Faltou",$M498,0))</f>
        <v>0</v>
      </c>
      <c r="P498" s="27">
        <f>IF($M498="","",IF($F498="Compareceu",MAX(0,$M498-N($H498)),0))</f>
        <v>0</v>
      </c>
      <c r="Q498" s="19">
        <f>IF(AND($F498="Compareceu",$E498&lt;&gt;"",$A498&lt;&gt;""),IF(IFERROR(INDEX(ProcRet,MATCH($E498,ProcNome,0)),0)&gt;0,$A498+INDEX(ProcRet,MATCH($E498,ProcNome,0)),""),"")</f>
        <v>0</v>
      </c>
      <c r="R498" s="26">
        <f>IF($Q498="","",IF(COUNTIFS(AgPac,$D498,AgData,"&gt;"&amp;$A498,AgStatus,"&lt;&gt;Cancelado",AgStatus,"&lt;&gt;Remarcado")&gt;0,"Sim","Não"))</f>
        <v>0</v>
      </c>
      <c r="S498" s="28">
        <f>IF($A498="","",IF(AND($F498="Agendado",$A498-Hoje&gt;=0,$A498-Hoje&lt;=DiasConf),"CONFIRMAR",IF(AND($A498&lt;Hoje,OR($F498="Agendado",$F498="Confirmado")),"Atualizar status",IF(AND($F498="Compareceu",$P498&gt;0.005),"Cobrar",IF($F498="Faltou","Falta: reagendar","")))))</f>
        <v>0</v>
      </c>
      <c r="T498" s="29">
        <f>IF($A498="","",DATE(YEAR($A498),MONTH($A498),1))</f>
        <v>0</v>
      </c>
      <c r="U498" s="30">
        <f>IF($S498="CONFIRMAR",MAX($U$4:$U497)+1,"")</f>
        <v>0</v>
      </c>
      <c r="V498" s="30">
        <f>IF(AND($R498="Não",$Q498&lt;&gt;"",$Q498&lt;=Hoje+JanelaRet,$Q498&gt;=Hoje-60),MAX($V$4:$V497)+1,"")</f>
        <v>0</v>
      </c>
    </row>
    <row r="499" spans="1:22">
      <c r="A499" s="16"/>
      <c r="B499" s="23"/>
      <c r="C499" s="15"/>
      <c r="D499" s="15"/>
      <c r="E499" s="15"/>
      <c r="F499" s="24"/>
      <c r="G499" s="17"/>
      <c r="H499" s="17"/>
      <c r="I499" s="15"/>
      <c r="J499" s="25">
        <f>IF($D499="","",IFERROR(INDEX(PacNome,MATCH($D499,PacCod,0)),"Paciente não cadastrado"))</f>
        <v>0</v>
      </c>
      <c r="K499" s="26">
        <f>IF($D499="","",IFERROR(INDEX(PacConv,MATCH($D499,PacCod,0))&amp;"",""))</f>
        <v>0</v>
      </c>
      <c r="L499" s="26">
        <f>IF($A499="","",CHOOSE(WEEKDAY($A499,2),"Seg","Ter","Qua","Qui","Sex","Sáb","Dom"))</f>
        <v>0</v>
      </c>
      <c r="M499" s="27">
        <f>IF($E499="","",IF($G499&lt;&gt;"",$G499,IFERROR(INDEX(ProcValor,MATCH($E499,ProcNome,0)),0)))</f>
        <v>0</v>
      </c>
      <c r="N499" s="27">
        <f>IF($M499="","",IF($F499="Compareceu",$M499,0))</f>
        <v>0</v>
      </c>
      <c r="O499" s="27">
        <f>IF($M499="","",IF($F499="Faltou",$M499,0))</f>
        <v>0</v>
      </c>
      <c r="P499" s="27">
        <f>IF($M499="","",IF($F499="Compareceu",MAX(0,$M499-N($H499)),0))</f>
        <v>0</v>
      </c>
      <c r="Q499" s="19">
        <f>IF(AND($F499="Compareceu",$E499&lt;&gt;"",$A499&lt;&gt;""),IF(IFERROR(INDEX(ProcRet,MATCH($E499,ProcNome,0)),0)&gt;0,$A499+INDEX(ProcRet,MATCH($E499,ProcNome,0)),""),"")</f>
        <v>0</v>
      </c>
      <c r="R499" s="26">
        <f>IF($Q499="","",IF(COUNTIFS(AgPac,$D499,AgData,"&gt;"&amp;$A499,AgStatus,"&lt;&gt;Cancelado",AgStatus,"&lt;&gt;Remarcado")&gt;0,"Sim","Não"))</f>
        <v>0</v>
      </c>
      <c r="S499" s="28">
        <f>IF($A499="","",IF(AND($F499="Agendado",$A499-Hoje&gt;=0,$A499-Hoje&lt;=DiasConf),"CONFIRMAR",IF(AND($A499&lt;Hoje,OR($F499="Agendado",$F499="Confirmado")),"Atualizar status",IF(AND($F499="Compareceu",$P499&gt;0.005),"Cobrar",IF($F499="Faltou","Falta: reagendar","")))))</f>
        <v>0</v>
      </c>
      <c r="T499" s="29">
        <f>IF($A499="","",DATE(YEAR($A499),MONTH($A499),1))</f>
        <v>0</v>
      </c>
      <c r="U499" s="30">
        <f>IF($S499="CONFIRMAR",MAX($U$4:$U498)+1,"")</f>
        <v>0</v>
      </c>
      <c r="V499" s="30">
        <f>IF(AND($R499="Não",$Q499&lt;&gt;"",$Q499&lt;=Hoje+JanelaRet,$Q499&gt;=Hoje-60),MAX($V$4:$V498)+1,"")</f>
        <v>0</v>
      </c>
    </row>
    <row r="500" spans="1:22">
      <c r="A500" s="16"/>
      <c r="B500" s="23"/>
      <c r="C500" s="15"/>
      <c r="D500" s="15"/>
      <c r="E500" s="15"/>
      <c r="F500" s="24"/>
      <c r="G500" s="17"/>
      <c r="H500" s="17"/>
      <c r="I500" s="15"/>
      <c r="J500" s="25">
        <f>IF($D500="","",IFERROR(INDEX(PacNome,MATCH($D500,PacCod,0)),"Paciente não cadastrado"))</f>
        <v>0</v>
      </c>
      <c r="K500" s="26">
        <f>IF($D500="","",IFERROR(INDEX(PacConv,MATCH($D500,PacCod,0))&amp;"",""))</f>
        <v>0</v>
      </c>
      <c r="L500" s="26">
        <f>IF($A500="","",CHOOSE(WEEKDAY($A500,2),"Seg","Ter","Qua","Qui","Sex","Sáb","Dom"))</f>
        <v>0</v>
      </c>
      <c r="M500" s="27">
        <f>IF($E500="","",IF($G500&lt;&gt;"",$G500,IFERROR(INDEX(ProcValor,MATCH($E500,ProcNome,0)),0)))</f>
        <v>0</v>
      </c>
      <c r="N500" s="27">
        <f>IF($M500="","",IF($F500="Compareceu",$M500,0))</f>
        <v>0</v>
      </c>
      <c r="O500" s="27">
        <f>IF($M500="","",IF($F500="Faltou",$M500,0))</f>
        <v>0</v>
      </c>
      <c r="P500" s="27">
        <f>IF($M500="","",IF($F500="Compareceu",MAX(0,$M500-N($H500)),0))</f>
        <v>0</v>
      </c>
      <c r="Q500" s="19">
        <f>IF(AND($F500="Compareceu",$E500&lt;&gt;"",$A500&lt;&gt;""),IF(IFERROR(INDEX(ProcRet,MATCH($E500,ProcNome,0)),0)&gt;0,$A500+INDEX(ProcRet,MATCH($E500,ProcNome,0)),""),"")</f>
        <v>0</v>
      </c>
      <c r="R500" s="26">
        <f>IF($Q500="","",IF(COUNTIFS(AgPac,$D500,AgData,"&gt;"&amp;$A500,AgStatus,"&lt;&gt;Cancelado",AgStatus,"&lt;&gt;Remarcado")&gt;0,"Sim","Não"))</f>
        <v>0</v>
      </c>
      <c r="S500" s="28">
        <f>IF($A500="","",IF(AND($F500="Agendado",$A500-Hoje&gt;=0,$A500-Hoje&lt;=DiasConf),"CONFIRMAR",IF(AND($A500&lt;Hoje,OR($F500="Agendado",$F500="Confirmado")),"Atualizar status",IF(AND($F500="Compareceu",$P500&gt;0.005),"Cobrar",IF($F500="Faltou","Falta: reagendar","")))))</f>
        <v>0</v>
      </c>
      <c r="T500" s="29">
        <f>IF($A500="","",DATE(YEAR($A500),MONTH($A500),1))</f>
        <v>0</v>
      </c>
      <c r="U500" s="30">
        <f>IF($S500="CONFIRMAR",MAX($U$4:$U499)+1,"")</f>
        <v>0</v>
      </c>
      <c r="V500" s="30">
        <f>IF(AND($R500="Não",$Q500&lt;&gt;"",$Q500&lt;=Hoje+JanelaRet,$Q500&gt;=Hoje-60),MAX($V$4:$V499)+1,"")</f>
        <v>0</v>
      </c>
    </row>
    <row r="501" spans="1:22">
      <c r="A501" s="16"/>
      <c r="B501" s="23"/>
      <c r="C501" s="15"/>
      <c r="D501" s="15"/>
      <c r="E501" s="15"/>
      <c r="F501" s="24"/>
      <c r="G501" s="17"/>
      <c r="H501" s="17"/>
      <c r="I501" s="15"/>
      <c r="J501" s="25">
        <f>IF($D501="","",IFERROR(INDEX(PacNome,MATCH($D501,PacCod,0)),"Paciente não cadastrado"))</f>
        <v>0</v>
      </c>
      <c r="K501" s="26">
        <f>IF($D501="","",IFERROR(INDEX(PacConv,MATCH($D501,PacCod,0))&amp;"",""))</f>
        <v>0</v>
      </c>
      <c r="L501" s="26">
        <f>IF($A501="","",CHOOSE(WEEKDAY($A501,2),"Seg","Ter","Qua","Qui","Sex","Sáb","Dom"))</f>
        <v>0</v>
      </c>
      <c r="M501" s="27">
        <f>IF($E501="","",IF($G501&lt;&gt;"",$G501,IFERROR(INDEX(ProcValor,MATCH($E501,ProcNome,0)),0)))</f>
        <v>0</v>
      </c>
      <c r="N501" s="27">
        <f>IF($M501="","",IF($F501="Compareceu",$M501,0))</f>
        <v>0</v>
      </c>
      <c r="O501" s="27">
        <f>IF($M501="","",IF($F501="Faltou",$M501,0))</f>
        <v>0</v>
      </c>
      <c r="P501" s="27">
        <f>IF($M501="","",IF($F501="Compareceu",MAX(0,$M501-N($H501)),0))</f>
        <v>0</v>
      </c>
      <c r="Q501" s="19">
        <f>IF(AND($F501="Compareceu",$E501&lt;&gt;"",$A501&lt;&gt;""),IF(IFERROR(INDEX(ProcRet,MATCH($E501,ProcNome,0)),0)&gt;0,$A501+INDEX(ProcRet,MATCH($E501,ProcNome,0)),""),"")</f>
        <v>0</v>
      </c>
      <c r="R501" s="26">
        <f>IF($Q501="","",IF(COUNTIFS(AgPac,$D501,AgData,"&gt;"&amp;$A501,AgStatus,"&lt;&gt;Cancelado",AgStatus,"&lt;&gt;Remarcado")&gt;0,"Sim","Não"))</f>
        <v>0</v>
      </c>
      <c r="S501" s="28">
        <f>IF($A501="","",IF(AND($F501="Agendado",$A501-Hoje&gt;=0,$A501-Hoje&lt;=DiasConf),"CONFIRMAR",IF(AND($A501&lt;Hoje,OR($F501="Agendado",$F501="Confirmado")),"Atualizar status",IF(AND($F501="Compareceu",$P501&gt;0.005),"Cobrar",IF($F501="Faltou","Falta: reagendar","")))))</f>
        <v>0</v>
      </c>
      <c r="T501" s="29">
        <f>IF($A501="","",DATE(YEAR($A501),MONTH($A501),1))</f>
        <v>0</v>
      </c>
      <c r="U501" s="30">
        <f>IF($S501="CONFIRMAR",MAX($U$4:$U500)+1,"")</f>
        <v>0</v>
      </c>
      <c r="V501" s="30">
        <f>IF(AND($R501="Não",$Q501&lt;&gt;"",$Q501&lt;=Hoje+JanelaRet,$Q501&gt;=Hoje-60),MAX($V$4:$V500)+1,"")</f>
        <v>0</v>
      </c>
    </row>
    <row r="502" spans="1:22">
      <c r="A502" s="16"/>
      <c r="B502" s="23"/>
      <c r="C502" s="15"/>
      <c r="D502" s="15"/>
      <c r="E502" s="15"/>
      <c r="F502" s="24"/>
      <c r="G502" s="17"/>
      <c r="H502" s="17"/>
      <c r="I502" s="15"/>
      <c r="J502" s="25">
        <f>IF($D502="","",IFERROR(INDEX(PacNome,MATCH($D502,PacCod,0)),"Paciente não cadastrado"))</f>
        <v>0</v>
      </c>
      <c r="K502" s="26">
        <f>IF($D502="","",IFERROR(INDEX(PacConv,MATCH($D502,PacCod,0))&amp;"",""))</f>
        <v>0</v>
      </c>
      <c r="L502" s="26">
        <f>IF($A502="","",CHOOSE(WEEKDAY($A502,2),"Seg","Ter","Qua","Qui","Sex","Sáb","Dom"))</f>
        <v>0</v>
      </c>
      <c r="M502" s="27">
        <f>IF($E502="","",IF($G502&lt;&gt;"",$G502,IFERROR(INDEX(ProcValor,MATCH($E502,ProcNome,0)),0)))</f>
        <v>0</v>
      </c>
      <c r="N502" s="27">
        <f>IF($M502="","",IF($F502="Compareceu",$M502,0))</f>
        <v>0</v>
      </c>
      <c r="O502" s="27">
        <f>IF($M502="","",IF($F502="Faltou",$M502,0))</f>
        <v>0</v>
      </c>
      <c r="P502" s="27">
        <f>IF($M502="","",IF($F502="Compareceu",MAX(0,$M502-N($H502)),0))</f>
        <v>0</v>
      </c>
      <c r="Q502" s="19">
        <f>IF(AND($F502="Compareceu",$E502&lt;&gt;"",$A502&lt;&gt;""),IF(IFERROR(INDEX(ProcRet,MATCH($E502,ProcNome,0)),0)&gt;0,$A502+INDEX(ProcRet,MATCH($E502,ProcNome,0)),""),"")</f>
        <v>0</v>
      </c>
      <c r="R502" s="26">
        <f>IF($Q502="","",IF(COUNTIFS(AgPac,$D502,AgData,"&gt;"&amp;$A502,AgStatus,"&lt;&gt;Cancelado",AgStatus,"&lt;&gt;Remarcado")&gt;0,"Sim","Não"))</f>
        <v>0</v>
      </c>
      <c r="S502" s="28">
        <f>IF($A502="","",IF(AND($F502="Agendado",$A502-Hoje&gt;=0,$A502-Hoje&lt;=DiasConf),"CONFIRMAR",IF(AND($A502&lt;Hoje,OR($F502="Agendado",$F502="Confirmado")),"Atualizar status",IF(AND($F502="Compareceu",$P502&gt;0.005),"Cobrar",IF($F502="Faltou","Falta: reagendar","")))))</f>
        <v>0</v>
      </c>
      <c r="T502" s="29">
        <f>IF($A502="","",DATE(YEAR($A502),MONTH($A502),1))</f>
        <v>0</v>
      </c>
      <c r="U502" s="30">
        <f>IF($S502="CONFIRMAR",MAX($U$4:$U501)+1,"")</f>
        <v>0</v>
      </c>
      <c r="V502" s="30">
        <f>IF(AND($R502="Não",$Q502&lt;&gt;"",$Q502&lt;=Hoje+JanelaRet,$Q502&gt;=Hoje-60),MAX($V$4:$V501)+1,"")</f>
        <v>0</v>
      </c>
    </row>
    <row r="503" spans="1:22">
      <c r="A503" s="16"/>
      <c r="B503" s="23"/>
      <c r="C503" s="15"/>
      <c r="D503" s="15"/>
      <c r="E503" s="15"/>
      <c r="F503" s="24"/>
      <c r="G503" s="17"/>
      <c r="H503" s="17"/>
      <c r="I503" s="15"/>
      <c r="J503" s="25">
        <f>IF($D503="","",IFERROR(INDEX(PacNome,MATCH($D503,PacCod,0)),"Paciente não cadastrado"))</f>
        <v>0</v>
      </c>
      <c r="K503" s="26">
        <f>IF($D503="","",IFERROR(INDEX(PacConv,MATCH($D503,PacCod,0))&amp;"",""))</f>
        <v>0</v>
      </c>
      <c r="L503" s="26">
        <f>IF($A503="","",CHOOSE(WEEKDAY($A503,2),"Seg","Ter","Qua","Qui","Sex","Sáb","Dom"))</f>
        <v>0</v>
      </c>
      <c r="M503" s="27">
        <f>IF($E503="","",IF($G503&lt;&gt;"",$G503,IFERROR(INDEX(ProcValor,MATCH($E503,ProcNome,0)),0)))</f>
        <v>0</v>
      </c>
      <c r="N503" s="27">
        <f>IF($M503="","",IF($F503="Compareceu",$M503,0))</f>
        <v>0</v>
      </c>
      <c r="O503" s="27">
        <f>IF($M503="","",IF($F503="Faltou",$M503,0))</f>
        <v>0</v>
      </c>
      <c r="P503" s="27">
        <f>IF($M503="","",IF($F503="Compareceu",MAX(0,$M503-N($H503)),0))</f>
        <v>0</v>
      </c>
      <c r="Q503" s="19">
        <f>IF(AND($F503="Compareceu",$E503&lt;&gt;"",$A503&lt;&gt;""),IF(IFERROR(INDEX(ProcRet,MATCH($E503,ProcNome,0)),0)&gt;0,$A503+INDEX(ProcRet,MATCH($E503,ProcNome,0)),""),"")</f>
        <v>0</v>
      </c>
      <c r="R503" s="26">
        <f>IF($Q503="","",IF(COUNTIFS(AgPac,$D503,AgData,"&gt;"&amp;$A503,AgStatus,"&lt;&gt;Cancelado",AgStatus,"&lt;&gt;Remarcado")&gt;0,"Sim","Não"))</f>
        <v>0</v>
      </c>
      <c r="S503" s="28">
        <f>IF($A503="","",IF(AND($F503="Agendado",$A503-Hoje&gt;=0,$A503-Hoje&lt;=DiasConf),"CONFIRMAR",IF(AND($A503&lt;Hoje,OR($F503="Agendado",$F503="Confirmado")),"Atualizar status",IF(AND($F503="Compareceu",$P503&gt;0.005),"Cobrar",IF($F503="Faltou","Falta: reagendar","")))))</f>
        <v>0</v>
      </c>
      <c r="T503" s="29">
        <f>IF($A503="","",DATE(YEAR($A503),MONTH($A503),1))</f>
        <v>0</v>
      </c>
      <c r="U503" s="30">
        <f>IF($S503="CONFIRMAR",MAX($U$4:$U502)+1,"")</f>
        <v>0</v>
      </c>
      <c r="V503" s="30">
        <f>IF(AND($R503="Não",$Q503&lt;&gt;"",$Q503&lt;=Hoje+JanelaRet,$Q503&gt;=Hoje-60),MAX($V$4:$V502)+1,"")</f>
        <v>0</v>
      </c>
    </row>
    <row r="504" spans="1:22">
      <c r="A504" s="16"/>
      <c r="B504" s="23"/>
      <c r="C504" s="15"/>
      <c r="D504" s="15"/>
      <c r="E504" s="15"/>
      <c r="F504" s="24"/>
      <c r="G504" s="17"/>
      <c r="H504" s="17"/>
      <c r="I504" s="15"/>
      <c r="J504" s="25">
        <f>IF($D504="","",IFERROR(INDEX(PacNome,MATCH($D504,PacCod,0)),"Paciente não cadastrado"))</f>
        <v>0</v>
      </c>
      <c r="K504" s="26">
        <f>IF($D504="","",IFERROR(INDEX(PacConv,MATCH($D504,PacCod,0))&amp;"",""))</f>
        <v>0</v>
      </c>
      <c r="L504" s="26">
        <f>IF($A504="","",CHOOSE(WEEKDAY($A504,2),"Seg","Ter","Qua","Qui","Sex","Sáb","Dom"))</f>
        <v>0</v>
      </c>
      <c r="M504" s="27">
        <f>IF($E504="","",IF($G504&lt;&gt;"",$G504,IFERROR(INDEX(ProcValor,MATCH($E504,ProcNome,0)),0)))</f>
        <v>0</v>
      </c>
      <c r="N504" s="27">
        <f>IF($M504="","",IF($F504="Compareceu",$M504,0))</f>
        <v>0</v>
      </c>
      <c r="O504" s="27">
        <f>IF($M504="","",IF($F504="Faltou",$M504,0))</f>
        <v>0</v>
      </c>
      <c r="P504" s="27">
        <f>IF($M504="","",IF($F504="Compareceu",MAX(0,$M504-N($H504)),0))</f>
        <v>0</v>
      </c>
      <c r="Q504" s="19">
        <f>IF(AND($F504="Compareceu",$E504&lt;&gt;"",$A504&lt;&gt;""),IF(IFERROR(INDEX(ProcRet,MATCH($E504,ProcNome,0)),0)&gt;0,$A504+INDEX(ProcRet,MATCH($E504,ProcNome,0)),""),"")</f>
        <v>0</v>
      </c>
      <c r="R504" s="26">
        <f>IF($Q504="","",IF(COUNTIFS(AgPac,$D504,AgData,"&gt;"&amp;$A504,AgStatus,"&lt;&gt;Cancelado",AgStatus,"&lt;&gt;Remarcado")&gt;0,"Sim","Não"))</f>
        <v>0</v>
      </c>
      <c r="S504" s="28">
        <f>IF($A504="","",IF(AND($F504="Agendado",$A504-Hoje&gt;=0,$A504-Hoje&lt;=DiasConf),"CONFIRMAR",IF(AND($A504&lt;Hoje,OR($F504="Agendado",$F504="Confirmado")),"Atualizar status",IF(AND($F504="Compareceu",$P504&gt;0.005),"Cobrar",IF($F504="Faltou","Falta: reagendar","")))))</f>
        <v>0</v>
      </c>
      <c r="T504" s="29">
        <f>IF($A504="","",DATE(YEAR($A504),MONTH($A504),1))</f>
        <v>0</v>
      </c>
      <c r="U504" s="30">
        <f>IF($S504="CONFIRMAR",MAX($U$4:$U503)+1,"")</f>
        <v>0</v>
      </c>
      <c r="V504" s="30">
        <f>IF(AND($R504="Não",$Q504&lt;&gt;"",$Q504&lt;=Hoje+JanelaRet,$Q504&gt;=Hoje-60),MAX($V$4:$V503)+1,"")</f>
        <v>0</v>
      </c>
    </row>
    <row r="505" spans="1:22">
      <c r="A505" s="16"/>
      <c r="B505" s="23"/>
      <c r="C505" s="15"/>
      <c r="D505" s="15"/>
      <c r="E505" s="15"/>
      <c r="F505" s="24"/>
      <c r="G505" s="17"/>
      <c r="H505" s="17"/>
      <c r="I505" s="15"/>
      <c r="J505" s="25">
        <f>IF($D505="","",IFERROR(INDEX(PacNome,MATCH($D505,PacCod,0)),"Paciente não cadastrado"))</f>
        <v>0</v>
      </c>
      <c r="K505" s="26">
        <f>IF($D505="","",IFERROR(INDEX(PacConv,MATCH($D505,PacCod,0))&amp;"",""))</f>
        <v>0</v>
      </c>
      <c r="L505" s="26">
        <f>IF($A505="","",CHOOSE(WEEKDAY($A505,2),"Seg","Ter","Qua","Qui","Sex","Sáb","Dom"))</f>
        <v>0</v>
      </c>
      <c r="M505" s="27">
        <f>IF($E505="","",IF($G505&lt;&gt;"",$G505,IFERROR(INDEX(ProcValor,MATCH($E505,ProcNome,0)),0)))</f>
        <v>0</v>
      </c>
      <c r="N505" s="27">
        <f>IF($M505="","",IF($F505="Compareceu",$M505,0))</f>
        <v>0</v>
      </c>
      <c r="O505" s="27">
        <f>IF($M505="","",IF($F505="Faltou",$M505,0))</f>
        <v>0</v>
      </c>
      <c r="P505" s="27">
        <f>IF($M505="","",IF($F505="Compareceu",MAX(0,$M505-N($H505)),0))</f>
        <v>0</v>
      </c>
      <c r="Q505" s="19">
        <f>IF(AND($F505="Compareceu",$E505&lt;&gt;"",$A505&lt;&gt;""),IF(IFERROR(INDEX(ProcRet,MATCH($E505,ProcNome,0)),0)&gt;0,$A505+INDEX(ProcRet,MATCH($E505,ProcNome,0)),""),"")</f>
        <v>0</v>
      </c>
      <c r="R505" s="26">
        <f>IF($Q505="","",IF(COUNTIFS(AgPac,$D505,AgData,"&gt;"&amp;$A505,AgStatus,"&lt;&gt;Cancelado",AgStatus,"&lt;&gt;Remarcado")&gt;0,"Sim","Não"))</f>
        <v>0</v>
      </c>
      <c r="S505" s="28">
        <f>IF($A505="","",IF(AND($F505="Agendado",$A505-Hoje&gt;=0,$A505-Hoje&lt;=DiasConf),"CONFIRMAR",IF(AND($A505&lt;Hoje,OR($F505="Agendado",$F505="Confirmado")),"Atualizar status",IF(AND($F505="Compareceu",$P505&gt;0.005),"Cobrar",IF($F505="Faltou","Falta: reagendar","")))))</f>
        <v>0</v>
      </c>
      <c r="T505" s="29">
        <f>IF($A505="","",DATE(YEAR($A505),MONTH($A505),1))</f>
        <v>0</v>
      </c>
      <c r="U505" s="30">
        <f>IF($S505="CONFIRMAR",MAX($U$4:$U504)+1,"")</f>
        <v>0</v>
      </c>
      <c r="V505" s="30">
        <f>IF(AND($R505="Não",$Q505&lt;&gt;"",$Q505&lt;=Hoje+JanelaRet,$Q505&gt;=Hoje-60),MAX($V$4:$V504)+1,"")</f>
        <v>0</v>
      </c>
    </row>
    <row r="506" spans="1:22">
      <c r="A506" s="16"/>
      <c r="B506" s="23"/>
      <c r="C506" s="15"/>
      <c r="D506" s="15"/>
      <c r="E506" s="15"/>
      <c r="F506" s="24"/>
      <c r="G506" s="17"/>
      <c r="H506" s="17"/>
      <c r="I506" s="15"/>
      <c r="J506" s="25">
        <f>IF($D506="","",IFERROR(INDEX(PacNome,MATCH($D506,PacCod,0)),"Paciente não cadastrado"))</f>
        <v>0</v>
      </c>
      <c r="K506" s="26">
        <f>IF($D506="","",IFERROR(INDEX(PacConv,MATCH($D506,PacCod,0))&amp;"",""))</f>
        <v>0</v>
      </c>
      <c r="L506" s="26">
        <f>IF($A506="","",CHOOSE(WEEKDAY($A506,2),"Seg","Ter","Qua","Qui","Sex","Sáb","Dom"))</f>
        <v>0</v>
      </c>
      <c r="M506" s="27">
        <f>IF($E506="","",IF($G506&lt;&gt;"",$G506,IFERROR(INDEX(ProcValor,MATCH($E506,ProcNome,0)),0)))</f>
        <v>0</v>
      </c>
      <c r="N506" s="27">
        <f>IF($M506="","",IF($F506="Compareceu",$M506,0))</f>
        <v>0</v>
      </c>
      <c r="O506" s="27">
        <f>IF($M506="","",IF($F506="Faltou",$M506,0))</f>
        <v>0</v>
      </c>
      <c r="P506" s="27">
        <f>IF($M506="","",IF($F506="Compareceu",MAX(0,$M506-N($H506)),0))</f>
        <v>0</v>
      </c>
      <c r="Q506" s="19">
        <f>IF(AND($F506="Compareceu",$E506&lt;&gt;"",$A506&lt;&gt;""),IF(IFERROR(INDEX(ProcRet,MATCH($E506,ProcNome,0)),0)&gt;0,$A506+INDEX(ProcRet,MATCH($E506,ProcNome,0)),""),"")</f>
        <v>0</v>
      </c>
      <c r="R506" s="26">
        <f>IF($Q506="","",IF(COUNTIFS(AgPac,$D506,AgData,"&gt;"&amp;$A506,AgStatus,"&lt;&gt;Cancelado",AgStatus,"&lt;&gt;Remarcado")&gt;0,"Sim","Não"))</f>
        <v>0</v>
      </c>
      <c r="S506" s="28">
        <f>IF($A506="","",IF(AND($F506="Agendado",$A506-Hoje&gt;=0,$A506-Hoje&lt;=DiasConf),"CONFIRMAR",IF(AND($A506&lt;Hoje,OR($F506="Agendado",$F506="Confirmado")),"Atualizar status",IF(AND($F506="Compareceu",$P506&gt;0.005),"Cobrar",IF($F506="Faltou","Falta: reagendar","")))))</f>
        <v>0</v>
      </c>
      <c r="T506" s="29">
        <f>IF($A506="","",DATE(YEAR($A506),MONTH($A506),1))</f>
        <v>0</v>
      </c>
      <c r="U506" s="30">
        <f>IF($S506="CONFIRMAR",MAX($U$4:$U505)+1,"")</f>
        <v>0</v>
      </c>
      <c r="V506" s="30">
        <f>IF(AND($R506="Não",$Q506&lt;&gt;"",$Q506&lt;=Hoje+JanelaRet,$Q506&gt;=Hoje-60),MAX($V$4:$V505)+1,"")</f>
        <v>0</v>
      </c>
    </row>
    <row r="507" spans="1:22">
      <c r="A507" s="16"/>
      <c r="B507" s="23"/>
      <c r="C507" s="15"/>
      <c r="D507" s="15"/>
      <c r="E507" s="15"/>
      <c r="F507" s="24"/>
      <c r="G507" s="17"/>
      <c r="H507" s="17"/>
      <c r="I507" s="15"/>
      <c r="J507" s="25">
        <f>IF($D507="","",IFERROR(INDEX(PacNome,MATCH($D507,PacCod,0)),"Paciente não cadastrado"))</f>
        <v>0</v>
      </c>
      <c r="K507" s="26">
        <f>IF($D507="","",IFERROR(INDEX(PacConv,MATCH($D507,PacCod,0))&amp;"",""))</f>
        <v>0</v>
      </c>
      <c r="L507" s="26">
        <f>IF($A507="","",CHOOSE(WEEKDAY($A507,2),"Seg","Ter","Qua","Qui","Sex","Sáb","Dom"))</f>
        <v>0</v>
      </c>
      <c r="M507" s="27">
        <f>IF($E507="","",IF($G507&lt;&gt;"",$G507,IFERROR(INDEX(ProcValor,MATCH($E507,ProcNome,0)),0)))</f>
        <v>0</v>
      </c>
      <c r="N507" s="27">
        <f>IF($M507="","",IF($F507="Compareceu",$M507,0))</f>
        <v>0</v>
      </c>
      <c r="O507" s="27">
        <f>IF($M507="","",IF($F507="Faltou",$M507,0))</f>
        <v>0</v>
      </c>
      <c r="P507" s="27">
        <f>IF($M507="","",IF($F507="Compareceu",MAX(0,$M507-N($H507)),0))</f>
        <v>0</v>
      </c>
      <c r="Q507" s="19">
        <f>IF(AND($F507="Compareceu",$E507&lt;&gt;"",$A507&lt;&gt;""),IF(IFERROR(INDEX(ProcRet,MATCH($E507,ProcNome,0)),0)&gt;0,$A507+INDEX(ProcRet,MATCH($E507,ProcNome,0)),""),"")</f>
        <v>0</v>
      </c>
      <c r="R507" s="26">
        <f>IF($Q507="","",IF(COUNTIFS(AgPac,$D507,AgData,"&gt;"&amp;$A507,AgStatus,"&lt;&gt;Cancelado",AgStatus,"&lt;&gt;Remarcado")&gt;0,"Sim","Não"))</f>
        <v>0</v>
      </c>
      <c r="S507" s="28">
        <f>IF($A507="","",IF(AND($F507="Agendado",$A507-Hoje&gt;=0,$A507-Hoje&lt;=DiasConf),"CONFIRMAR",IF(AND($A507&lt;Hoje,OR($F507="Agendado",$F507="Confirmado")),"Atualizar status",IF(AND($F507="Compareceu",$P507&gt;0.005),"Cobrar",IF($F507="Faltou","Falta: reagendar","")))))</f>
        <v>0</v>
      </c>
      <c r="T507" s="29">
        <f>IF($A507="","",DATE(YEAR($A507),MONTH($A507),1))</f>
        <v>0</v>
      </c>
      <c r="U507" s="30">
        <f>IF($S507="CONFIRMAR",MAX($U$4:$U506)+1,"")</f>
        <v>0</v>
      </c>
      <c r="V507" s="30">
        <f>IF(AND($R507="Não",$Q507&lt;&gt;"",$Q507&lt;=Hoje+JanelaRet,$Q507&gt;=Hoje-60),MAX($V$4:$V506)+1,"")</f>
        <v>0</v>
      </c>
    </row>
    <row r="508" spans="1:22">
      <c r="A508" s="16"/>
      <c r="B508" s="23"/>
      <c r="C508" s="15"/>
      <c r="D508" s="15"/>
      <c r="E508" s="15"/>
      <c r="F508" s="24"/>
      <c r="G508" s="17"/>
      <c r="H508" s="17"/>
      <c r="I508" s="15"/>
      <c r="J508" s="25">
        <f>IF($D508="","",IFERROR(INDEX(PacNome,MATCH($D508,PacCod,0)),"Paciente não cadastrado"))</f>
        <v>0</v>
      </c>
      <c r="K508" s="26">
        <f>IF($D508="","",IFERROR(INDEX(PacConv,MATCH($D508,PacCod,0))&amp;"",""))</f>
        <v>0</v>
      </c>
      <c r="L508" s="26">
        <f>IF($A508="","",CHOOSE(WEEKDAY($A508,2),"Seg","Ter","Qua","Qui","Sex","Sáb","Dom"))</f>
        <v>0</v>
      </c>
      <c r="M508" s="27">
        <f>IF($E508="","",IF($G508&lt;&gt;"",$G508,IFERROR(INDEX(ProcValor,MATCH($E508,ProcNome,0)),0)))</f>
        <v>0</v>
      </c>
      <c r="N508" s="27">
        <f>IF($M508="","",IF($F508="Compareceu",$M508,0))</f>
        <v>0</v>
      </c>
      <c r="O508" s="27">
        <f>IF($M508="","",IF($F508="Faltou",$M508,0))</f>
        <v>0</v>
      </c>
      <c r="P508" s="27">
        <f>IF($M508="","",IF($F508="Compareceu",MAX(0,$M508-N($H508)),0))</f>
        <v>0</v>
      </c>
      <c r="Q508" s="19">
        <f>IF(AND($F508="Compareceu",$E508&lt;&gt;"",$A508&lt;&gt;""),IF(IFERROR(INDEX(ProcRet,MATCH($E508,ProcNome,0)),0)&gt;0,$A508+INDEX(ProcRet,MATCH($E508,ProcNome,0)),""),"")</f>
        <v>0</v>
      </c>
      <c r="R508" s="26">
        <f>IF($Q508="","",IF(COUNTIFS(AgPac,$D508,AgData,"&gt;"&amp;$A508,AgStatus,"&lt;&gt;Cancelado",AgStatus,"&lt;&gt;Remarcado")&gt;0,"Sim","Não"))</f>
        <v>0</v>
      </c>
      <c r="S508" s="28">
        <f>IF($A508="","",IF(AND($F508="Agendado",$A508-Hoje&gt;=0,$A508-Hoje&lt;=DiasConf),"CONFIRMAR",IF(AND($A508&lt;Hoje,OR($F508="Agendado",$F508="Confirmado")),"Atualizar status",IF(AND($F508="Compareceu",$P508&gt;0.005),"Cobrar",IF($F508="Faltou","Falta: reagendar","")))))</f>
        <v>0</v>
      </c>
      <c r="T508" s="29">
        <f>IF($A508="","",DATE(YEAR($A508),MONTH($A508),1))</f>
        <v>0</v>
      </c>
      <c r="U508" s="30">
        <f>IF($S508="CONFIRMAR",MAX($U$4:$U507)+1,"")</f>
        <v>0</v>
      </c>
      <c r="V508" s="30">
        <f>IF(AND($R508="Não",$Q508&lt;&gt;"",$Q508&lt;=Hoje+JanelaRet,$Q508&gt;=Hoje-60),MAX($V$4:$V507)+1,"")</f>
        <v>0</v>
      </c>
    </row>
    <row r="509" spans="1:22">
      <c r="A509" s="16"/>
      <c r="B509" s="23"/>
      <c r="C509" s="15"/>
      <c r="D509" s="15"/>
      <c r="E509" s="15"/>
      <c r="F509" s="24"/>
      <c r="G509" s="17"/>
      <c r="H509" s="17"/>
      <c r="I509" s="15"/>
      <c r="J509" s="25">
        <f>IF($D509="","",IFERROR(INDEX(PacNome,MATCH($D509,PacCod,0)),"Paciente não cadastrado"))</f>
        <v>0</v>
      </c>
      <c r="K509" s="26">
        <f>IF($D509="","",IFERROR(INDEX(PacConv,MATCH($D509,PacCod,0))&amp;"",""))</f>
        <v>0</v>
      </c>
      <c r="L509" s="26">
        <f>IF($A509="","",CHOOSE(WEEKDAY($A509,2),"Seg","Ter","Qua","Qui","Sex","Sáb","Dom"))</f>
        <v>0</v>
      </c>
      <c r="M509" s="27">
        <f>IF($E509="","",IF($G509&lt;&gt;"",$G509,IFERROR(INDEX(ProcValor,MATCH($E509,ProcNome,0)),0)))</f>
        <v>0</v>
      </c>
      <c r="N509" s="27">
        <f>IF($M509="","",IF($F509="Compareceu",$M509,0))</f>
        <v>0</v>
      </c>
      <c r="O509" s="27">
        <f>IF($M509="","",IF($F509="Faltou",$M509,0))</f>
        <v>0</v>
      </c>
      <c r="P509" s="27">
        <f>IF($M509="","",IF($F509="Compareceu",MAX(0,$M509-N($H509)),0))</f>
        <v>0</v>
      </c>
      <c r="Q509" s="19">
        <f>IF(AND($F509="Compareceu",$E509&lt;&gt;"",$A509&lt;&gt;""),IF(IFERROR(INDEX(ProcRet,MATCH($E509,ProcNome,0)),0)&gt;0,$A509+INDEX(ProcRet,MATCH($E509,ProcNome,0)),""),"")</f>
        <v>0</v>
      </c>
      <c r="R509" s="26">
        <f>IF($Q509="","",IF(COUNTIFS(AgPac,$D509,AgData,"&gt;"&amp;$A509,AgStatus,"&lt;&gt;Cancelado",AgStatus,"&lt;&gt;Remarcado")&gt;0,"Sim","Não"))</f>
        <v>0</v>
      </c>
      <c r="S509" s="28">
        <f>IF($A509="","",IF(AND($F509="Agendado",$A509-Hoje&gt;=0,$A509-Hoje&lt;=DiasConf),"CONFIRMAR",IF(AND($A509&lt;Hoje,OR($F509="Agendado",$F509="Confirmado")),"Atualizar status",IF(AND($F509="Compareceu",$P509&gt;0.005),"Cobrar",IF($F509="Faltou","Falta: reagendar","")))))</f>
        <v>0</v>
      </c>
      <c r="T509" s="29">
        <f>IF($A509="","",DATE(YEAR($A509),MONTH($A509),1))</f>
        <v>0</v>
      </c>
      <c r="U509" s="30">
        <f>IF($S509="CONFIRMAR",MAX($U$4:$U508)+1,"")</f>
        <v>0</v>
      </c>
      <c r="V509" s="30">
        <f>IF(AND($R509="Não",$Q509&lt;&gt;"",$Q509&lt;=Hoje+JanelaRet,$Q509&gt;=Hoje-60),MAX($V$4:$V508)+1,"")</f>
        <v>0</v>
      </c>
    </row>
    <row r="510" spans="1:22">
      <c r="A510" s="16"/>
      <c r="B510" s="23"/>
      <c r="C510" s="15"/>
      <c r="D510" s="15"/>
      <c r="E510" s="15"/>
      <c r="F510" s="24"/>
      <c r="G510" s="17"/>
      <c r="H510" s="17"/>
      <c r="I510" s="15"/>
      <c r="J510" s="25">
        <f>IF($D510="","",IFERROR(INDEX(PacNome,MATCH($D510,PacCod,0)),"Paciente não cadastrado"))</f>
        <v>0</v>
      </c>
      <c r="K510" s="26">
        <f>IF($D510="","",IFERROR(INDEX(PacConv,MATCH($D510,PacCod,0))&amp;"",""))</f>
        <v>0</v>
      </c>
      <c r="L510" s="26">
        <f>IF($A510="","",CHOOSE(WEEKDAY($A510,2),"Seg","Ter","Qua","Qui","Sex","Sáb","Dom"))</f>
        <v>0</v>
      </c>
      <c r="M510" s="27">
        <f>IF($E510="","",IF($G510&lt;&gt;"",$G510,IFERROR(INDEX(ProcValor,MATCH($E510,ProcNome,0)),0)))</f>
        <v>0</v>
      </c>
      <c r="N510" s="27">
        <f>IF($M510="","",IF($F510="Compareceu",$M510,0))</f>
        <v>0</v>
      </c>
      <c r="O510" s="27">
        <f>IF($M510="","",IF($F510="Faltou",$M510,0))</f>
        <v>0</v>
      </c>
      <c r="P510" s="27">
        <f>IF($M510="","",IF($F510="Compareceu",MAX(0,$M510-N($H510)),0))</f>
        <v>0</v>
      </c>
      <c r="Q510" s="19">
        <f>IF(AND($F510="Compareceu",$E510&lt;&gt;"",$A510&lt;&gt;""),IF(IFERROR(INDEX(ProcRet,MATCH($E510,ProcNome,0)),0)&gt;0,$A510+INDEX(ProcRet,MATCH($E510,ProcNome,0)),""),"")</f>
        <v>0</v>
      </c>
      <c r="R510" s="26">
        <f>IF($Q510="","",IF(COUNTIFS(AgPac,$D510,AgData,"&gt;"&amp;$A510,AgStatus,"&lt;&gt;Cancelado",AgStatus,"&lt;&gt;Remarcado")&gt;0,"Sim","Não"))</f>
        <v>0</v>
      </c>
      <c r="S510" s="28">
        <f>IF($A510="","",IF(AND($F510="Agendado",$A510-Hoje&gt;=0,$A510-Hoje&lt;=DiasConf),"CONFIRMAR",IF(AND($A510&lt;Hoje,OR($F510="Agendado",$F510="Confirmado")),"Atualizar status",IF(AND($F510="Compareceu",$P510&gt;0.005),"Cobrar",IF($F510="Faltou","Falta: reagendar","")))))</f>
        <v>0</v>
      </c>
      <c r="T510" s="29">
        <f>IF($A510="","",DATE(YEAR($A510),MONTH($A510),1))</f>
        <v>0</v>
      </c>
      <c r="U510" s="30">
        <f>IF($S510="CONFIRMAR",MAX($U$4:$U509)+1,"")</f>
        <v>0</v>
      </c>
      <c r="V510" s="30">
        <f>IF(AND($R510="Não",$Q510&lt;&gt;"",$Q510&lt;=Hoje+JanelaRet,$Q510&gt;=Hoje-60),MAX($V$4:$V509)+1,"")</f>
        <v>0</v>
      </c>
    </row>
    <row r="511" spans="1:22">
      <c r="A511" s="16"/>
      <c r="B511" s="23"/>
      <c r="C511" s="15"/>
      <c r="D511" s="15"/>
      <c r="E511" s="15"/>
      <c r="F511" s="24"/>
      <c r="G511" s="17"/>
      <c r="H511" s="17"/>
      <c r="I511" s="15"/>
      <c r="J511" s="25">
        <f>IF($D511="","",IFERROR(INDEX(PacNome,MATCH($D511,PacCod,0)),"Paciente não cadastrado"))</f>
        <v>0</v>
      </c>
      <c r="K511" s="26">
        <f>IF($D511="","",IFERROR(INDEX(PacConv,MATCH($D511,PacCod,0))&amp;"",""))</f>
        <v>0</v>
      </c>
      <c r="L511" s="26">
        <f>IF($A511="","",CHOOSE(WEEKDAY($A511,2),"Seg","Ter","Qua","Qui","Sex","Sáb","Dom"))</f>
        <v>0</v>
      </c>
      <c r="M511" s="27">
        <f>IF($E511="","",IF($G511&lt;&gt;"",$G511,IFERROR(INDEX(ProcValor,MATCH($E511,ProcNome,0)),0)))</f>
        <v>0</v>
      </c>
      <c r="N511" s="27">
        <f>IF($M511="","",IF($F511="Compareceu",$M511,0))</f>
        <v>0</v>
      </c>
      <c r="O511" s="27">
        <f>IF($M511="","",IF($F511="Faltou",$M511,0))</f>
        <v>0</v>
      </c>
      <c r="P511" s="27">
        <f>IF($M511="","",IF($F511="Compareceu",MAX(0,$M511-N($H511)),0))</f>
        <v>0</v>
      </c>
      <c r="Q511" s="19">
        <f>IF(AND($F511="Compareceu",$E511&lt;&gt;"",$A511&lt;&gt;""),IF(IFERROR(INDEX(ProcRet,MATCH($E511,ProcNome,0)),0)&gt;0,$A511+INDEX(ProcRet,MATCH($E511,ProcNome,0)),""),"")</f>
        <v>0</v>
      </c>
      <c r="R511" s="26">
        <f>IF($Q511="","",IF(COUNTIFS(AgPac,$D511,AgData,"&gt;"&amp;$A511,AgStatus,"&lt;&gt;Cancelado",AgStatus,"&lt;&gt;Remarcado")&gt;0,"Sim","Não"))</f>
        <v>0</v>
      </c>
      <c r="S511" s="28">
        <f>IF($A511="","",IF(AND($F511="Agendado",$A511-Hoje&gt;=0,$A511-Hoje&lt;=DiasConf),"CONFIRMAR",IF(AND($A511&lt;Hoje,OR($F511="Agendado",$F511="Confirmado")),"Atualizar status",IF(AND($F511="Compareceu",$P511&gt;0.005),"Cobrar",IF($F511="Faltou","Falta: reagendar","")))))</f>
        <v>0</v>
      </c>
      <c r="T511" s="29">
        <f>IF($A511="","",DATE(YEAR($A511),MONTH($A511),1))</f>
        <v>0</v>
      </c>
      <c r="U511" s="30">
        <f>IF($S511="CONFIRMAR",MAX($U$4:$U510)+1,"")</f>
        <v>0</v>
      </c>
      <c r="V511" s="30">
        <f>IF(AND($R511="Não",$Q511&lt;&gt;"",$Q511&lt;=Hoje+JanelaRet,$Q511&gt;=Hoje-60),MAX($V$4:$V510)+1,"")</f>
        <v>0</v>
      </c>
    </row>
    <row r="512" spans="1:22">
      <c r="A512" s="16"/>
      <c r="B512" s="23"/>
      <c r="C512" s="15"/>
      <c r="D512" s="15"/>
      <c r="E512" s="15"/>
      <c r="F512" s="24"/>
      <c r="G512" s="17"/>
      <c r="H512" s="17"/>
      <c r="I512" s="15"/>
      <c r="J512" s="25">
        <f>IF($D512="","",IFERROR(INDEX(PacNome,MATCH($D512,PacCod,0)),"Paciente não cadastrado"))</f>
        <v>0</v>
      </c>
      <c r="K512" s="26">
        <f>IF($D512="","",IFERROR(INDEX(PacConv,MATCH($D512,PacCod,0))&amp;"",""))</f>
        <v>0</v>
      </c>
      <c r="L512" s="26">
        <f>IF($A512="","",CHOOSE(WEEKDAY($A512,2),"Seg","Ter","Qua","Qui","Sex","Sáb","Dom"))</f>
        <v>0</v>
      </c>
      <c r="M512" s="27">
        <f>IF($E512="","",IF($G512&lt;&gt;"",$G512,IFERROR(INDEX(ProcValor,MATCH($E512,ProcNome,0)),0)))</f>
        <v>0</v>
      </c>
      <c r="N512" s="27">
        <f>IF($M512="","",IF($F512="Compareceu",$M512,0))</f>
        <v>0</v>
      </c>
      <c r="O512" s="27">
        <f>IF($M512="","",IF($F512="Faltou",$M512,0))</f>
        <v>0</v>
      </c>
      <c r="P512" s="27">
        <f>IF($M512="","",IF($F512="Compareceu",MAX(0,$M512-N($H512)),0))</f>
        <v>0</v>
      </c>
      <c r="Q512" s="19">
        <f>IF(AND($F512="Compareceu",$E512&lt;&gt;"",$A512&lt;&gt;""),IF(IFERROR(INDEX(ProcRet,MATCH($E512,ProcNome,0)),0)&gt;0,$A512+INDEX(ProcRet,MATCH($E512,ProcNome,0)),""),"")</f>
        <v>0</v>
      </c>
      <c r="R512" s="26">
        <f>IF($Q512="","",IF(COUNTIFS(AgPac,$D512,AgData,"&gt;"&amp;$A512,AgStatus,"&lt;&gt;Cancelado",AgStatus,"&lt;&gt;Remarcado")&gt;0,"Sim","Não"))</f>
        <v>0</v>
      </c>
      <c r="S512" s="28">
        <f>IF($A512="","",IF(AND($F512="Agendado",$A512-Hoje&gt;=0,$A512-Hoje&lt;=DiasConf),"CONFIRMAR",IF(AND($A512&lt;Hoje,OR($F512="Agendado",$F512="Confirmado")),"Atualizar status",IF(AND($F512="Compareceu",$P512&gt;0.005),"Cobrar",IF($F512="Faltou","Falta: reagendar","")))))</f>
        <v>0</v>
      </c>
      <c r="T512" s="29">
        <f>IF($A512="","",DATE(YEAR($A512),MONTH($A512),1))</f>
        <v>0</v>
      </c>
      <c r="U512" s="30">
        <f>IF($S512="CONFIRMAR",MAX($U$4:$U511)+1,"")</f>
        <v>0</v>
      </c>
      <c r="V512" s="30">
        <f>IF(AND($R512="Não",$Q512&lt;&gt;"",$Q512&lt;=Hoje+JanelaRet,$Q512&gt;=Hoje-60),MAX($V$4:$V511)+1,"")</f>
        <v>0</v>
      </c>
    </row>
    <row r="513" spans="1:22">
      <c r="A513" s="16"/>
      <c r="B513" s="23"/>
      <c r="C513" s="15"/>
      <c r="D513" s="15"/>
      <c r="E513" s="15"/>
      <c r="F513" s="24"/>
      <c r="G513" s="17"/>
      <c r="H513" s="17"/>
      <c r="I513" s="15"/>
      <c r="J513" s="25">
        <f>IF($D513="","",IFERROR(INDEX(PacNome,MATCH($D513,PacCod,0)),"Paciente não cadastrado"))</f>
        <v>0</v>
      </c>
      <c r="K513" s="26">
        <f>IF($D513="","",IFERROR(INDEX(PacConv,MATCH($D513,PacCod,0))&amp;"",""))</f>
        <v>0</v>
      </c>
      <c r="L513" s="26">
        <f>IF($A513="","",CHOOSE(WEEKDAY($A513,2),"Seg","Ter","Qua","Qui","Sex","Sáb","Dom"))</f>
        <v>0</v>
      </c>
      <c r="M513" s="27">
        <f>IF($E513="","",IF($G513&lt;&gt;"",$G513,IFERROR(INDEX(ProcValor,MATCH($E513,ProcNome,0)),0)))</f>
        <v>0</v>
      </c>
      <c r="N513" s="27">
        <f>IF($M513="","",IF($F513="Compareceu",$M513,0))</f>
        <v>0</v>
      </c>
      <c r="O513" s="27">
        <f>IF($M513="","",IF($F513="Faltou",$M513,0))</f>
        <v>0</v>
      </c>
      <c r="P513" s="27">
        <f>IF($M513="","",IF($F513="Compareceu",MAX(0,$M513-N($H513)),0))</f>
        <v>0</v>
      </c>
      <c r="Q513" s="19">
        <f>IF(AND($F513="Compareceu",$E513&lt;&gt;"",$A513&lt;&gt;""),IF(IFERROR(INDEX(ProcRet,MATCH($E513,ProcNome,0)),0)&gt;0,$A513+INDEX(ProcRet,MATCH($E513,ProcNome,0)),""),"")</f>
        <v>0</v>
      </c>
      <c r="R513" s="26">
        <f>IF($Q513="","",IF(COUNTIFS(AgPac,$D513,AgData,"&gt;"&amp;$A513,AgStatus,"&lt;&gt;Cancelado",AgStatus,"&lt;&gt;Remarcado")&gt;0,"Sim","Não"))</f>
        <v>0</v>
      </c>
      <c r="S513" s="28">
        <f>IF($A513="","",IF(AND($F513="Agendado",$A513-Hoje&gt;=0,$A513-Hoje&lt;=DiasConf),"CONFIRMAR",IF(AND($A513&lt;Hoje,OR($F513="Agendado",$F513="Confirmado")),"Atualizar status",IF(AND($F513="Compareceu",$P513&gt;0.005),"Cobrar",IF($F513="Faltou","Falta: reagendar","")))))</f>
        <v>0</v>
      </c>
      <c r="T513" s="29">
        <f>IF($A513="","",DATE(YEAR($A513),MONTH($A513),1))</f>
        <v>0</v>
      </c>
      <c r="U513" s="30">
        <f>IF($S513="CONFIRMAR",MAX($U$4:$U512)+1,"")</f>
        <v>0</v>
      </c>
      <c r="V513" s="30">
        <f>IF(AND($R513="Não",$Q513&lt;&gt;"",$Q513&lt;=Hoje+JanelaRet,$Q513&gt;=Hoje-60),MAX($V$4:$V512)+1,"")</f>
        <v>0</v>
      </c>
    </row>
    <row r="514" spans="1:22">
      <c r="A514" s="16"/>
      <c r="B514" s="23"/>
      <c r="C514" s="15"/>
      <c r="D514" s="15"/>
      <c r="E514" s="15"/>
      <c r="F514" s="24"/>
      <c r="G514" s="17"/>
      <c r="H514" s="17"/>
      <c r="I514" s="15"/>
      <c r="J514" s="25">
        <f>IF($D514="","",IFERROR(INDEX(PacNome,MATCH($D514,PacCod,0)),"Paciente não cadastrado"))</f>
        <v>0</v>
      </c>
      <c r="K514" s="26">
        <f>IF($D514="","",IFERROR(INDEX(PacConv,MATCH($D514,PacCod,0))&amp;"",""))</f>
        <v>0</v>
      </c>
      <c r="L514" s="26">
        <f>IF($A514="","",CHOOSE(WEEKDAY($A514,2),"Seg","Ter","Qua","Qui","Sex","Sáb","Dom"))</f>
        <v>0</v>
      </c>
      <c r="M514" s="27">
        <f>IF($E514="","",IF($G514&lt;&gt;"",$G514,IFERROR(INDEX(ProcValor,MATCH($E514,ProcNome,0)),0)))</f>
        <v>0</v>
      </c>
      <c r="N514" s="27">
        <f>IF($M514="","",IF($F514="Compareceu",$M514,0))</f>
        <v>0</v>
      </c>
      <c r="O514" s="27">
        <f>IF($M514="","",IF($F514="Faltou",$M514,0))</f>
        <v>0</v>
      </c>
      <c r="P514" s="27">
        <f>IF($M514="","",IF($F514="Compareceu",MAX(0,$M514-N($H514)),0))</f>
        <v>0</v>
      </c>
      <c r="Q514" s="19">
        <f>IF(AND($F514="Compareceu",$E514&lt;&gt;"",$A514&lt;&gt;""),IF(IFERROR(INDEX(ProcRet,MATCH($E514,ProcNome,0)),0)&gt;0,$A514+INDEX(ProcRet,MATCH($E514,ProcNome,0)),""),"")</f>
        <v>0</v>
      </c>
      <c r="R514" s="26">
        <f>IF($Q514="","",IF(COUNTIFS(AgPac,$D514,AgData,"&gt;"&amp;$A514,AgStatus,"&lt;&gt;Cancelado",AgStatus,"&lt;&gt;Remarcado")&gt;0,"Sim","Não"))</f>
        <v>0</v>
      </c>
      <c r="S514" s="28">
        <f>IF($A514="","",IF(AND($F514="Agendado",$A514-Hoje&gt;=0,$A514-Hoje&lt;=DiasConf),"CONFIRMAR",IF(AND($A514&lt;Hoje,OR($F514="Agendado",$F514="Confirmado")),"Atualizar status",IF(AND($F514="Compareceu",$P514&gt;0.005),"Cobrar",IF($F514="Faltou","Falta: reagendar","")))))</f>
        <v>0</v>
      </c>
      <c r="T514" s="29">
        <f>IF($A514="","",DATE(YEAR($A514),MONTH($A514),1))</f>
        <v>0</v>
      </c>
      <c r="U514" s="30">
        <f>IF($S514="CONFIRMAR",MAX($U$4:$U513)+1,"")</f>
        <v>0</v>
      </c>
      <c r="V514" s="30">
        <f>IF(AND($R514="Não",$Q514&lt;&gt;"",$Q514&lt;=Hoje+JanelaRet,$Q514&gt;=Hoje-60),MAX($V$4:$V513)+1,"")</f>
        <v>0</v>
      </c>
    </row>
    <row r="515" spans="1:22">
      <c r="A515" s="16"/>
      <c r="B515" s="23"/>
      <c r="C515" s="15"/>
      <c r="D515" s="15"/>
      <c r="E515" s="15"/>
      <c r="F515" s="24"/>
      <c r="G515" s="17"/>
      <c r="H515" s="17"/>
      <c r="I515" s="15"/>
      <c r="J515" s="25">
        <f>IF($D515="","",IFERROR(INDEX(PacNome,MATCH($D515,PacCod,0)),"Paciente não cadastrado"))</f>
        <v>0</v>
      </c>
      <c r="K515" s="26">
        <f>IF($D515="","",IFERROR(INDEX(PacConv,MATCH($D515,PacCod,0))&amp;"",""))</f>
        <v>0</v>
      </c>
      <c r="L515" s="26">
        <f>IF($A515="","",CHOOSE(WEEKDAY($A515,2),"Seg","Ter","Qua","Qui","Sex","Sáb","Dom"))</f>
        <v>0</v>
      </c>
      <c r="M515" s="27">
        <f>IF($E515="","",IF($G515&lt;&gt;"",$G515,IFERROR(INDEX(ProcValor,MATCH($E515,ProcNome,0)),0)))</f>
        <v>0</v>
      </c>
      <c r="N515" s="27">
        <f>IF($M515="","",IF($F515="Compareceu",$M515,0))</f>
        <v>0</v>
      </c>
      <c r="O515" s="27">
        <f>IF($M515="","",IF($F515="Faltou",$M515,0))</f>
        <v>0</v>
      </c>
      <c r="P515" s="27">
        <f>IF($M515="","",IF($F515="Compareceu",MAX(0,$M515-N($H515)),0))</f>
        <v>0</v>
      </c>
      <c r="Q515" s="19">
        <f>IF(AND($F515="Compareceu",$E515&lt;&gt;"",$A515&lt;&gt;""),IF(IFERROR(INDEX(ProcRet,MATCH($E515,ProcNome,0)),0)&gt;0,$A515+INDEX(ProcRet,MATCH($E515,ProcNome,0)),""),"")</f>
        <v>0</v>
      </c>
      <c r="R515" s="26">
        <f>IF($Q515="","",IF(COUNTIFS(AgPac,$D515,AgData,"&gt;"&amp;$A515,AgStatus,"&lt;&gt;Cancelado",AgStatus,"&lt;&gt;Remarcado")&gt;0,"Sim","Não"))</f>
        <v>0</v>
      </c>
      <c r="S515" s="28">
        <f>IF($A515="","",IF(AND($F515="Agendado",$A515-Hoje&gt;=0,$A515-Hoje&lt;=DiasConf),"CONFIRMAR",IF(AND($A515&lt;Hoje,OR($F515="Agendado",$F515="Confirmado")),"Atualizar status",IF(AND($F515="Compareceu",$P515&gt;0.005),"Cobrar",IF($F515="Faltou","Falta: reagendar","")))))</f>
        <v>0</v>
      </c>
      <c r="T515" s="29">
        <f>IF($A515="","",DATE(YEAR($A515),MONTH($A515),1))</f>
        <v>0</v>
      </c>
      <c r="U515" s="30">
        <f>IF($S515="CONFIRMAR",MAX($U$4:$U514)+1,"")</f>
        <v>0</v>
      </c>
      <c r="V515" s="30">
        <f>IF(AND($R515="Não",$Q515&lt;&gt;"",$Q515&lt;=Hoje+JanelaRet,$Q515&gt;=Hoje-60),MAX($V$4:$V514)+1,"")</f>
        <v>0</v>
      </c>
    </row>
    <row r="516" spans="1:22">
      <c r="A516" s="16"/>
      <c r="B516" s="23"/>
      <c r="C516" s="15"/>
      <c r="D516" s="15"/>
      <c r="E516" s="15"/>
      <c r="F516" s="24"/>
      <c r="G516" s="17"/>
      <c r="H516" s="17"/>
      <c r="I516" s="15"/>
      <c r="J516" s="25">
        <f>IF($D516="","",IFERROR(INDEX(PacNome,MATCH($D516,PacCod,0)),"Paciente não cadastrado"))</f>
        <v>0</v>
      </c>
      <c r="K516" s="26">
        <f>IF($D516="","",IFERROR(INDEX(PacConv,MATCH($D516,PacCod,0))&amp;"",""))</f>
        <v>0</v>
      </c>
      <c r="L516" s="26">
        <f>IF($A516="","",CHOOSE(WEEKDAY($A516,2),"Seg","Ter","Qua","Qui","Sex","Sáb","Dom"))</f>
        <v>0</v>
      </c>
      <c r="M516" s="27">
        <f>IF($E516="","",IF($G516&lt;&gt;"",$G516,IFERROR(INDEX(ProcValor,MATCH($E516,ProcNome,0)),0)))</f>
        <v>0</v>
      </c>
      <c r="N516" s="27">
        <f>IF($M516="","",IF($F516="Compareceu",$M516,0))</f>
        <v>0</v>
      </c>
      <c r="O516" s="27">
        <f>IF($M516="","",IF($F516="Faltou",$M516,0))</f>
        <v>0</v>
      </c>
      <c r="P516" s="27">
        <f>IF($M516="","",IF($F516="Compareceu",MAX(0,$M516-N($H516)),0))</f>
        <v>0</v>
      </c>
      <c r="Q516" s="19">
        <f>IF(AND($F516="Compareceu",$E516&lt;&gt;"",$A516&lt;&gt;""),IF(IFERROR(INDEX(ProcRet,MATCH($E516,ProcNome,0)),0)&gt;0,$A516+INDEX(ProcRet,MATCH($E516,ProcNome,0)),""),"")</f>
        <v>0</v>
      </c>
      <c r="R516" s="26">
        <f>IF($Q516="","",IF(COUNTIFS(AgPac,$D516,AgData,"&gt;"&amp;$A516,AgStatus,"&lt;&gt;Cancelado",AgStatus,"&lt;&gt;Remarcado")&gt;0,"Sim","Não"))</f>
        <v>0</v>
      </c>
      <c r="S516" s="28">
        <f>IF($A516="","",IF(AND($F516="Agendado",$A516-Hoje&gt;=0,$A516-Hoje&lt;=DiasConf),"CONFIRMAR",IF(AND($A516&lt;Hoje,OR($F516="Agendado",$F516="Confirmado")),"Atualizar status",IF(AND($F516="Compareceu",$P516&gt;0.005),"Cobrar",IF($F516="Faltou","Falta: reagendar","")))))</f>
        <v>0</v>
      </c>
      <c r="T516" s="29">
        <f>IF($A516="","",DATE(YEAR($A516),MONTH($A516),1))</f>
        <v>0</v>
      </c>
      <c r="U516" s="30">
        <f>IF($S516="CONFIRMAR",MAX($U$4:$U515)+1,"")</f>
        <v>0</v>
      </c>
      <c r="V516" s="30">
        <f>IF(AND($R516="Não",$Q516&lt;&gt;"",$Q516&lt;=Hoje+JanelaRet,$Q516&gt;=Hoje-60),MAX($V$4:$V515)+1,"")</f>
        <v>0</v>
      </c>
    </row>
    <row r="517" spans="1:22">
      <c r="A517" s="16"/>
      <c r="B517" s="23"/>
      <c r="C517" s="15"/>
      <c r="D517" s="15"/>
      <c r="E517" s="15"/>
      <c r="F517" s="24"/>
      <c r="G517" s="17"/>
      <c r="H517" s="17"/>
      <c r="I517" s="15"/>
      <c r="J517" s="25">
        <f>IF($D517="","",IFERROR(INDEX(PacNome,MATCH($D517,PacCod,0)),"Paciente não cadastrado"))</f>
        <v>0</v>
      </c>
      <c r="K517" s="26">
        <f>IF($D517="","",IFERROR(INDEX(PacConv,MATCH($D517,PacCod,0))&amp;"",""))</f>
        <v>0</v>
      </c>
      <c r="L517" s="26">
        <f>IF($A517="","",CHOOSE(WEEKDAY($A517,2),"Seg","Ter","Qua","Qui","Sex","Sáb","Dom"))</f>
        <v>0</v>
      </c>
      <c r="M517" s="27">
        <f>IF($E517="","",IF($G517&lt;&gt;"",$G517,IFERROR(INDEX(ProcValor,MATCH($E517,ProcNome,0)),0)))</f>
        <v>0</v>
      </c>
      <c r="N517" s="27">
        <f>IF($M517="","",IF($F517="Compareceu",$M517,0))</f>
        <v>0</v>
      </c>
      <c r="O517" s="27">
        <f>IF($M517="","",IF($F517="Faltou",$M517,0))</f>
        <v>0</v>
      </c>
      <c r="P517" s="27">
        <f>IF($M517="","",IF($F517="Compareceu",MAX(0,$M517-N($H517)),0))</f>
        <v>0</v>
      </c>
      <c r="Q517" s="19">
        <f>IF(AND($F517="Compareceu",$E517&lt;&gt;"",$A517&lt;&gt;""),IF(IFERROR(INDEX(ProcRet,MATCH($E517,ProcNome,0)),0)&gt;0,$A517+INDEX(ProcRet,MATCH($E517,ProcNome,0)),""),"")</f>
        <v>0</v>
      </c>
      <c r="R517" s="26">
        <f>IF($Q517="","",IF(COUNTIFS(AgPac,$D517,AgData,"&gt;"&amp;$A517,AgStatus,"&lt;&gt;Cancelado",AgStatus,"&lt;&gt;Remarcado")&gt;0,"Sim","Não"))</f>
        <v>0</v>
      </c>
      <c r="S517" s="28">
        <f>IF($A517="","",IF(AND($F517="Agendado",$A517-Hoje&gt;=0,$A517-Hoje&lt;=DiasConf),"CONFIRMAR",IF(AND($A517&lt;Hoje,OR($F517="Agendado",$F517="Confirmado")),"Atualizar status",IF(AND($F517="Compareceu",$P517&gt;0.005),"Cobrar",IF($F517="Faltou","Falta: reagendar","")))))</f>
        <v>0</v>
      </c>
      <c r="T517" s="29">
        <f>IF($A517="","",DATE(YEAR($A517),MONTH($A517),1))</f>
        <v>0</v>
      </c>
      <c r="U517" s="30">
        <f>IF($S517="CONFIRMAR",MAX($U$4:$U516)+1,"")</f>
        <v>0</v>
      </c>
      <c r="V517" s="30">
        <f>IF(AND($R517="Não",$Q517&lt;&gt;"",$Q517&lt;=Hoje+JanelaRet,$Q517&gt;=Hoje-60),MAX($V$4:$V516)+1,"")</f>
        <v>0</v>
      </c>
    </row>
    <row r="518" spans="1:22">
      <c r="A518" s="16"/>
      <c r="B518" s="23"/>
      <c r="C518" s="15"/>
      <c r="D518" s="15"/>
      <c r="E518" s="15"/>
      <c r="F518" s="24"/>
      <c r="G518" s="17"/>
      <c r="H518" s="17"/>
      <c r="I518" s="15"/>
      <c r="J518" s="25">
        <f>IF($D518="","",IFERROR(INDEX(PacNome,MATCH($D518,PacCod,0)),"Paciente não cadastrado"))</f>
        <v>0</v>
      </c>
      <c r="K518" s="26">
        <f>IF($D518="","",IFERROR(INDEX(PacConv,MATCH($D518,PacCod,0))&amp;"",""))</f>
        <v>0</v>
      </c>
      <c r="L518" s="26">
        <f>IF($A518="","",CHOOSE(WEEKDAY($A518,2),"Seg","Ter","Qua","Qui","Sex","Sáb","Dom"))</f>
        <v>0</v>
      </c>
      <c r="M518" s="27">
        <f>IF($E518="","",IF($G518&lt;&gt;"",$G518,IFERROR(INDEX(ProcValor,MATCH($E518,ProcNome,0)),0)))</f>
        <v>0</v>
      </c>
      <c r="N518" s="27">
        <f>IF($M518="","",IF($F518="Compareceu",$M518,0))</f>
        <v>0</v>
      </c>
      <c r="O518" s="27">
        <f>IF($M518="","",IF($F518="Faltou",$M518,0))</f>
        <v>0</v>
      </c>
      <c r="P518" s="27">
        <f>IF($M518="","",IF($F518="Compareceu",MAX(0,$M518-N($H518)),0))</f>
        <v>0</v>
      </c>
      <c r="Q518" s="19">
        <f>IF(AND($F518="Compareceu",$E518&lt;&gt;"",$A518&lt;&gt;""),IF(IFERROR(INDEX(ProcRet,MATCH($E518,ProcNome,0)),0)&gt;0,$A518+INDEX(ProcRet,MATCH($E518,ProcNome,0)),""),"")</f>
        <v>0</v>
      </c>
      <c r="R518" s="26">
        <f>IF($Q518="","",IF(COUNTIFS(AgPac,$D518,AgData,"&gt;"&amp;$A518,AgStatus,"&lt;&gt;Cancelado",AgStatus,"&lt;&gt;Remarcado")&gt;0,"Sim","Não"))</f>
        <v>0</v>
      </c>
      <c r="S518" s="28">
        <f>IF($A518="","",IF(AND($F518="Agendado",$A518-Hoje&gt;=0,$A518-Hoje&lt;=DiasConf),"CONFIRMAR",IF(AND($A518&lt;Hoje,OR($F518="Agendado",$F518="Confirmado")),"Atualizar status",IF(AND($F518="Compareceu",$P518&gt;0.005),"Cobrar",IF($F518="Faltou","Falta: reagendar","")))))</f>
        <v>0</v>
      </c>
      <c r="T518" s="29">
        <f>IF($A518="","",DATE(YEAR($A518),MONTH($A518),1))</f>
        <v>0</v>
      </c>
      <c r="U518" s="30">
        <f>IF($S518="CONFIRMAR",MAX($U$4:$U517)+1,"")</f>
        <v>0</v>
      </c>
      <c r="V518" s="30">
        <f>IF(AND($R518="Não",$Q518&lt;&gt;"",$Q518&lt;=Hoje+JanelaRet,$Q518&gt;=Hoje-60),MAX($V$4:$V517)+1,"")</f>
        <v>0</v>
      </c>
    </row>
    <row r="519" spans="1:22">
      <c r="A519" s="16"/>
      <c r="B519" s="23"/>
      <c r="C519" s="15"/>
      <c r="D519" s="15"/>
      <c r="E519" s="15"/>
      <c r="F519" s="24"/>
      <c r="G519" s="17"/>
      <c r="H519" s="17"/>
      <c r="I519" s="15"/>
      <c r="J519" s="25">
        <f>IF($D519="","",IFERROR(INDEX(PacNome,MATCH($D519,PacCod,0)),"Paciente não cadastrado"))</f>
        <v>0</v>
      </c>
      <c r="K519" s="26">
        <f>IF($D519="","",IFERROR(INDEX(PacConv,MATCH($D519,PacCod,0))&amp;"",""))</f>
        <v>0</v>
      </c>
      <c r="L519" s="26">
        <f>IF($A519="","",CHOOSE(WEEKDAY($A519,2),"Seg","Ter","Qua","Qui","Sex","Sáb","Dom"))</f>
        <v>0</v>
      </c>
      <c r="M519" s="27">
        <f>IF($E519="","",IF($G519&lt;&gt;"",$G519,IFERROR(INDEX(ProcValor,MATCH($E519,ProcNome,0)),0)))</f>
        <v>0</v>
      </c>
      <c r="N519" s="27">
        <f>IF($M519="","",IF($F519="Compareceu",$M519,0))</f>
        <v>0</v>
      </c>
      <c r="O519" s="27">
        <f>IF($M519="","",IF($F519="Faltou",$M519,0))</f>
        <v>0</v>
      </c>
      <c r="P519" s="27">
        <f>IF($M519="","",IF($F519="Compareceu",MAX(0,$M519-N($H519)),0))</f>
        <v>0</v>
      </c>
      <c r="Q519" s="19">
        <f>IF(AND($F519="Compareceu",$E519&lt;&gt;"",$A519&lt;&gt;""),IF(IFERROR(INDEX(ProcRet,MATCH($E519,ProcNome,0)),0)&gt;0,$A519+INDEX(ProcRet,MATCH($E519,ProcNome,0)),""),"")</f>
        <v>0</v>
      </c>
      <c r="R519" s="26">
        <f>IF($Q519="","",IF(COUNTIFS(AgPac,$D519,AgData,"&gt;"&amp;$A519,AgStatus,"&lt;&gt;Cancelado",AgStatus,"&lt;&gt;Remarcado")&gt;0,"Sim","Não"))</f>
        <v>0</v>
      </c>
      <c r="S519" s="28">
        <f>IF($A519="","",IF(AND($F519="Agendado",$A519-Hoje&gt;=0,$A519-Hoje&lt;=DiasConf),"CONFIRMAR",IF(AND($A519&lt;Hoje,OR($F519="Agendado",$F519="Confirmado")),"Atualizar status",IF(AND($F519="Compareceu",$P519&gt;0.005),"Cobrar",IF($F519="Faltou","Falta: reagendar","")))))</f>
        <v>0</v>
      </c>
      <c r="T519" s="29">
        <f>IF($A519="","",DATE(YEAR($A519),MONTH($A519),1))</f>
        <v>0</v>
      </c>
      <c r="U519" s="30">
        <f>IF($S519="CONFIRMAR",MAX($U$4:$U518)+1,"")</f>
        <v>0</v>
      </c>
      <c r="V519" s="30">
        <f>IF(AND($R519="Não",$Q519&lt;&gt;"",$Q519&lt;=Hoje+JanelaRet,$Q519&gt;=Hoje-60),MAX($V$4:$V518)+1,"")</f>
        <v>0</v>
      </c>
    </row>
    <row r="520" spans="1:22">
      <c r="A520" s="16"/>
      <c r="B520" s="23"/>
      <c r="C520" s="15"/>
      <c r="D520" s="15"/>
      <c r="E520" s="15"/>
      <c r="F520" s="24"/>
      <c r="G520" s="17"/>
      <c r="H520" s="17"/>
      <c r="I520" s="15"/>
      <c r="J520" s="25">
        <f>IF($D520="","",IFERROR(INDEX(PacNome,MATCH($D520,PacCod,0)),"Paciente não cadastrado"))</f>
        <v>0</v>
      </c>
      <c r="K520" s="26">
        <f>IF($D520="","",IFERROR(INDEX(PacConv,MATCH($D520,PacCod,0))&amp;"",""))</f>
        <v>0</v>
      </c>
      <c r="L520" s="26">
        <f>IF($A520="","",CHOOSE(WEEKDAY($A520,2),"Seg","Ter","Qua","Qui","Sex","Sáb","Dom"))</f>
        <v>0</v>
      </c>
      <c r="M520" s="27">
        <f>IF($E520="","",IF($G520&lt;&gt;"",$G520,IFERROR(INDEX(ProcValor,MATCH($E520,ProcNome,0)),0)))</f>
        <v>0</v>
      </c>
      <c r="N520" s="27">
        <f>IF($M520="","",IF($F520="Compareceu",$M520,0))</f>
        <v>0</v>
      </c>
      <c r="O520" s="27">
        <f>IF($M520="","",IF($F520="Faltou",$M520,0))</f>
        <v>0</v>
      </c>
      <c r="P520" s="27">
        <f>IF($M520="","",IF($F520="Compareceu",MAX(0,$M520-N($H520)),0))</f>
        <v>0</v>
      </c>
      <c r="Q520" s="19">
        <f>IF(AND($F520="Compareceu",$E520&lt;&gt;"",$A520&lt;&gt;""),IF(IFERROR(INDEX(ProcRet,MATCH($E520,ProcNome,0)),0)&gt;0,$A520+INDEX(ProcRet,MATCH($E520,ProcNome,0)),""),"")</f>
        <v>0</v>
      </c>
      <c r="R520" s="26">
        <f>IF($Q520="","",IF(COUNTIFS(AgPac,$D520,AgData,"&gt;"&amp;$A520,AgStatus,"&lt;&gt;Cancelado",AgStatus,"&lt;&gt;Remarcado")&gt;0,"Sim","Não"))</f>
        <v>0</v>
      </c>
      <c r="S520" s="28">
        <f>IF($A520="","",IF(AND($F520="Agendado",$A520-Hoje&gt;=0,$A520-Hoje&lt;=DiasConf),"CONFIRMAR",IF(AND($A520&lt;Hoje,OR($F520="Agendado",$F520="Confirmado")),"Atualizar status",IF(AND($F520="Compareceu",$P520&gt;0.005),"Cobrar",IF($F520="Faltou","Falta: reagendar","")))))</f>
        <v>0</v>
      </c>
      <c r="T520" s="29">
        <f>IF($A520="","",DATE(YEAR($A520),MONTH($A520),1))</f>
        <v>0</v>
      </c>
      <c r="U520" s="30">
        <f>IF($S520="CONFIRMAR",MAX($U$4:$U519)+1,"")</f>
        <v>0</v>
      </c>
      <c r="V520" s="30">
        <f>IF(AND($R520="Não",$Q520&lt;&gt;"",$Q520&lt;=Hoje+JanelaRet,$Q520&gt;=Hoje-60),MAX($V$4:$V519)+1,"")</f>
        <v>0</v>
      </c>
    </row>
    <row r="521" spans="1:22">
      <c r="A521" s="16"/>
      <c r="B521" s="23"/>
      <c r="C521" s="15"/>
      <c r="D521" s="15"/>
      <c r="E521" s="15"/>
      <c r="F521" s="24"/>
      <c r="G521" s="17"/>
      <c r="H521" s="17"/>
      <c r="I521" s="15"/>
      <c r="J521" s="25">
        <f>IF($D521="","",IFERROR(INDEX(PacNome,MATCH($D521,PacCod,0)),"Paciente não cadastrado"))</f>
        <v>0</v>
      </c>
      <c r="K521" s="26">
        <f>IF($D521="","",IFERROR(INDEX(PacConv,MATCH($D521,PacCod,0))&amp;"",""))</f>
        <v>0</v>
      </c>
      <c r="L521" s="26">
        <f>IF($A521="","",CHOOSE(WEEKDAY($A521,2),"Seg","Ter","Qua","Qui","Sex","Sáb","Dom"))</f>
        <v>0</v>
      </c>
      <c r="M521" s="27">
        <f>IF($E521="","",IF($G521&lt;&gt;"",$G521,IFERROR(INDEX(ProcValor,MATCH($E521,ProcNome,0)),0)))</f>
        <v>0</v>
      </c>
      <c r="N521" s="27">
        <f>IF($M521="","",IF($F521="Compareceu",$M521,0))</f>
        <v>0</v>
      </c>
      <c r="O521" s="27">
        <f>IF($M521="","",IF($F521="Faltou",$M521,0))</f>
        <v>0</v>
      </c>
      <c r="P521" s="27">
        <f>IF($M521="","",IF($F521="Compareceu",MAX(0,$M521-N($H521)),0))</f>
        <v>0</v>
      </c>
      <c r="Q521" s="19">
        <f>IF(AND($F521="Compareceu",$E521&lt;&gt;"",$A521&lt;&gt;""),IF(IFERROR(INDEX(ProcRet,MATCH($E521,ProcNome,0)),0)&gt;0,$A521+INDEX(ProcRet,MATCH($E521,ProcNome,0)),""),"")</f>
        <v>0</v>
      </c>
      <c r="R521" s="26">
        <f>IF($Q521="","",IF(COUNTIFS(AgPac,$D521,AgData,"&gt;"&amp;$A521,AgStatus,"&lt;&gt;Cancelado",AgStatus,"&lt;&gt;Remarcado")&gt;0,"Sim","Não"))</f>
        <v>0</v>
      </c>
      <c r="S521" s="28">
        <f>IF($A521="","",IF(AND($F521="Agendado",$A521-Hoje&gt;=0,$A521-Hoje&lt;=DiasConf),"CONFIRMAR",IF(AND($A521&lt;Hoje,OR($F521="Agendado",$F521="Confirmado")),"Atualizar status",IF(AND($F521="Compareceu",$P521&gt;0.005),"Cobrar",IF($F521="Faltou","Falta: reagendar","")))))</f>
        <v>0</v>
      </c>
      <c r="T521" s="29">
        <f>IF($A521="","",DATE(YEAR($A521),MONTH($A521),1))</f>
        <v>0</v>
      </c>
      <c r="U521" s="30">
        <f>IF($S521="CONFIRMAR",MAX($U$4:$U520)+1,"")</f>
        <v>0</v>
      </c>
      <c r="V521" s="30">
        <f>IF(AND($R521="Não",$Q521&lt;&gt;"",$Q521&lt;=Hoje+JanelaRet,$Q521&gt;=Hoje-60),MAX($V$4:$V520)+1,"")</f>
        <v>0</v>
      </c>
    </row>
    <row r="522" spans="1:22">
      <c r="A522" s="16"/>
      <c r="B522" s="23"/>
      <c r="C522" s="15"/>
      <c r="D522" s="15"/>
      <c r="E522" s="15"/>
      <c r="F522" s="24"/>
      <c r="G522" s="17"/>
      <c r="H522" s="17"/>
      <c r="I522" s="15"/>
      <c r="J522" s="25">
        <f>IF($D522="","",IFERROR(INDEX(PacNome,MATCH($D522,PacCod,0)),"Paciente não cadastrado"))</f>
        <v>0</v>
      </c>
      <c r="K522" s="26">
        <f>IF($D522="","",IFERROR(INDEX(PacConv,MATCH($D522,PacCod,0))&amp;"",""))</f>
        <v>0</v>
      </c>
      <c r="L522" s="26">
        <f>IF($A522="","",CHOOSE(WEEKDAY($A522,2),"Seg","Ter","Qua","Qui","Sex","Sáb","Dom"))</f>
        <v>0</v>
      </c>
      <c r="M522" s="27">
        <f>IF($E522="","",IF($G522&lt;&gt;"",$G522,IFERROR(INDEX(ProcValor,MATCH($E522,ProcNome,0)),0)))</f>
        <v>0</v>
      </c>
      <c r="N522" s="27">
        <f>IF($M522="","",IF($F522="Compareceu",$M522,0))</f>
        <v>0</v>
      </c>
      <c r="O522" s="27">
        <f>IF($M522="","",IF($F522="Faltou",$M522,0))</f>
        <v>0</v>
      </c>
      <c r="P522" s="27">
        <f>IF($M522="","",IF($F522="Compareceu",MAX(0,$M522-N($H522)),0))</f>
        <v>0</v>
      </c>
      <c r="Q522" s="19">
        <f>IF(AND($F522="Compareceu",$E522&lt;&gt;"",$A522&lt;&gt;""),IF(IFERROR(INDEX(ProcRet,MATCH($E522,ProcNome,0)),0)&gt;0,$A522+INDEX(ProcRet,MATCH($E522,ProcNome,0)),""),"")</f>
        <v>0</v>
      </c>
      <c r="R522" s="26">
        <f>IF($Q522="","",IF(COUNTIFS(AgPac,$D522,AgData,"&gt;"&amp;$A522,AgStatus,"&lt;&gt;Cancelado",AgStatus,"&lt;&gt;Remarcado")&gt;0,"Sim","Não"))</f>
        <v>0</v>
      </c>
      <c r="S522" s="28">
        <f>IF($A522="","",IF(AND($F522="Agendado",$A522-Hoje&gt;=0,$A522-Hoje&lt;=DiasConf),"CONFIRMAR",IF(AND($A522&lt;Hoje,OR($F522="Agendado",$F522="Confirmado")),"Atualizar status",IF(AND($F522="Compareceu",$P522&gt;0.005),"Cobrar",IF($F522="Faltou","Falta: reagendar","")))))</f>
        <v>0</v>
      </c>
      <c r="T522" s="29">
        <f>IF($A522="","",DATE(YEAR($A522),MONTH($A522),1))</f>
        <v>0</v>
      </c>
      <c r="U522" s="30">
        <f>IF($S522="CONFIRMAR",MAX($U$4:$U521)+1,"")</f>
        <v>0</v>
      </c>
      <c r="V522" s="30">
        <f>IF(AND($R522="Não",$Q522&lt;&gt;"",$Q522&lt;=Hoje+JanelaRet,$Q522&gt;=Hoje-60),MAX($V$4:$V521)+1,"")</f>
        <v>0</v>
      </c>
    </row>
    <row r="523" spans="1:22">
      <c r="A523" s="16"/>
      <c r="B523" s="23"/>
      <c r="C523" s="15"/>
      <c r="D523" s="15"/>
      <c r="E523" s="15"/>
      <c r="F523" s="24"/>
      <c r="G523" s="17"/>
      <c r="H523" s="17"/>
      <c r="I523" s="15"/>
      <c r="J523" s="25">
        <f>IF($D523="","",IFERROR(INDEX(PacNome,MATCH($D523,PacCod,0)),"Paciente não cadastrado"))</f>
        <v>0</v>
      </c>
      <c r="K523" s="26">
        <f>IF($D523="","",IFERROR(INDEX(PacConv,MATCH($D523,PacCod,0))&amp;"",""))</f>
        <v>0</v>
      </c>
      <c r="L523" s="26">
        <f>IF($A523="","",CHOOSE(WEEKDAY($A523,2),"Seg","Ter","Qua","Qui","Sex","Sáb","Dom"))</f>
        <v>0</v>
      </c>
      <c r="M523" s="27">
        <f>IF($E523="","",IF($G523&lt;&gt;"",$G523,IFERROR(INDEX(ProcValor,MATCH($E523,ProcNome,0)),0)))</f>
        <v>0</v>
      </c>
      <c r="N523" s="27">
        <f>IF($M523="","",IF($F523="Compareceu",$M523,0))</f>
        <v>0</v>
      </c>
      <c r="O523" s="27">
        <f>IF($M523="","",IF($F523="Faltou",$M523,0))</f>
        <v>0</v>
      </c>
      <c r="P523" s="27">
        <f>IF($M523="","",IF($F523="Compareceu",MAX(0,$M523-N($H523)),0))</f>
        <v>0</v>
      </c>
      <c r="Q523" s="19">
        <f>IF(AND($F523="Compareceu",$E523&lt;&gt;"",$A523&lt;&gt;""),IF(IFERROR(INDEX(ProcRet,MATCH($E523,ProcNome,0)),0)&gt;0,$A523+INDEX(ProcRet,MATCH($E523,ProcNome,0)),""),"")</f>
        <v>0</v>
      </c>
      <c r="R523" s="26">
        <f>IF($Q523="","",IF(COUNTIFS(AgPac,$D523,AgData,"&gt;"&amp;$A523,AgStatus,"&lt;&gt;Cancelado",AgStatus,"&lt;&gt;Remarcado")&gt;0,"Sim","Não"))</f>
        <v>0</v>
      </c>
      <c r="S523" s="28">
        <f>IF($A523="","",IF(AND($F523="Agendado",$A523-Hoje&gt;=0,$A523-Hoje&lt;=DiasConf),"CONFIRMAR",IF(AND($A523&lt;Hoje,OR($F523="Agendado",$F523="Confirmado")),"Atualizar status",IF(AND($F523="Compareceu",$P523&gt;0.005),"Cobrar",IF($F523="Faltou","Falta: reagendar","")))))</f>
        <v>0</v>
      </c>
      <c r="T523" s="29">
        <f>IF($A523="","",DATE(YEAR($A523),MONTH($A523),1))</f>
        <v>0</v>
      </c>
      <c r="U523" s="30">
        <f>IF($S523="CONFIRMAR",MAX($U$4:$U522)+1,"")</f>
        <v>0</v>
      </c>
      <c r="V523" s="30">
        <f>IF(AND($R523="Não",$Q523&lt;&gt;"",$Q523&lt;=Hoje+JanelaRet,$Q523&gt;=Hoje-60),MAX($V$4:$V522)+1,"")</f>
        <v>0</v>
      </c>
    </row>
    <row r="524" spans="1:22">
      <c r="A524" s="16"/>
      <c r="B524" s="23"/>
      <c r="C524" s="15"/>
      <c r="D524" s="15"/>
      <c r="E524" s="15"/>
      <c r="F524" s="24"/>
      <c r="G524" s="17"/>
      <c r="H524" s="17"/>
      <c r="I524" s="15"/>
      <c r="J524" s="25">
        <f>IF($D524="","",IFERROR(INDEX(PacNome,MATCH($D524,PacCod,0)),"Paciente não cadastrado"))</f>
        <v>0</v>
      </c>
      <c r="K524" s="26">
        <f>IF($D524="","",IFERROR(INDEX(PacConv,MATCH($D524,PacCod,0))&amp;"",""))</f>
        <v>0</v>
      </c>
      <c r="L524" s="26">
        <f>IF($A524="","",CHOOSE(WEEKDAY($A524,2),"Seg","Ter","Qua","Qui","Sex","Sáb","Dom"))</f>
        <v>0</v>
      </c>
      <c r="M524" s="27">
        <f>IF($E524="","",IF($G524&lt;&gt;"",$G524,IFERROR(INDEX(ProcValor,MATCH($E524,ProcNome,0)),0)))</f>
        <v>0</v>
      </c>
      <c r="N524" s="27">
        <f>IF($M524="","",IF($F524="Compareceu",$M524,0))</f>
        <v>0</v>
      </c>
      <c r="O524" s="27">
        <f>IF($M524="","",IF($F524="Faltou",$M524,0))</f>
        <v>0</v>
      </c>
      <c r="P524" s="27">
        <f>IF($M524="","",IF($F524="Compareceu",MAX(0,$M524-N($H524)),0))</f>
        <v>0</v>
      </c>
      <c r="Q524" s="19">
        <f>IF(AND($F524="Compareceu",$E524&lt;&gt;"",$A524&lt;&gt;""),IF(IFERROR(INDEX(ProcRet,MATCH($E524,ProcNome,0)),0)&gt;0,$A524+INDEX(ProcRet,MATCH($E524,ProcNome,0)),""),"")</f>
        <v>0</v>
      </c>
      <c r="R524" s="26">
        <f>IF($Q524="","",IF(COUNTIFS(AgPac,$D524,AgData,"&gt;"&amp;$A524,AgStatus,"&lt;&gt;Cancelado",AgStatus,"&lt;&gt;Remarcado")&gt;0,"Sim","Não"))</f>
        <v>0</v>
      </c>
      <c r="S524" s="28">
        <f>IF($A524="","",IF(AND($F524="Agendado",$A524-Hoje&gt;=0,$A524-Hoje&lt;=DiasConf),"CONFIRMAR",IF(AND($A524&lt;Hoje,OR($F524="Agendado",$F524="Confirmado")),"Atualizar status",IF(AND($F524="Compareceu",$P524&gt;0.005),"Cobrar",IF($F524="Faltou","Falta: reagendar","")))))</f>
        <v>0</v>
      </c>
      <c r="T524" s="29">
        <f>IF($A524="","",DATE(YEAR($A524),MONTH($A524),1))</f>
        <v>0</v>
      </c>
      <c r="U524" s="30">
        <f>IF($S524="CONFIRMAR",MAX($U$4:$U523)+1,"")</f>
        <v>0</v>
      </c>
      <c r="V524" s="30">
        <f>IF(AND($R524="Não",$Q524&lt;&gt;"",$Q524&lt;=Hoje+JanelaRet,$Q524&gt;=Hoje-60),MAX($V$4:$V523)+1,"")</f>
        <v>0</v>
      </c>
    </row>
    <row r="525" spans="1:22">
      <c r="A525" s="16"/>
      <c r="B525" s="23"/>
      <c r="C525" s="15"/>
      <c r="D525" s="15"/>
      <c r="E525" s="15"/>
      <c r="F525" s="24"/>
      <c r="G525" s="17"/>
      <c r="H525" s="17"/>
      <c r="I525" s="15"/>
      <c r="J525" s="25">
        <f>IF($D525="","",IFERROR(INDEX(PacNome,MATCH($D525,PacCod,0)),"Paciente não cadastrado"))</f>
        <v>0</v>
      </c>
      <c r="K525" s="26">
        <f>IF($D525="","",IFERROR(INDEX(PacConv,MATCH($D525,PacCod,0))&amp;"",""))</f>
        <v>0</v>
      </c>
      <c r="L525" s="26">
        <f>IF($A525="","",CHOOSE(WEEKDAY($A525,2),"Seg","Ter","Qua","Qui","Sex","Sáb","Dom"))</f>
        <v>0</v>
      </c>
      <c r="M525" s="27">
        <f>IF($E525="","",IF($G525&lt;&gt;"",$G525,IFERROR(INDEX(ProcValor,MATCH($E525,ProcNome,0)),0)))</f>
        <v>0</v>
      </c>
      <c r="N525" s="27">
        <f>IF($M525="","",IF($F525="Compareceu",$M525,0))</f>
        <v>0</v>
      </c>
      <c r="O525" s="27">
        <f>IF($M525="","",IF($F525="Faltou",$M525,0))</f>
        <v>0</v>
      </c>
      <c r="P525" s="27">
        <f>IF($M525="","",IF($F525="Compareceu",MAX(0,$M525-N($H525)),0))</f>
        <v>0</v>
      </c>
      <c r="Q525" s="19">
        <f>IF(AND($F525="Compareceu",$E525&lt;&gt;"",$A525&lt;&gt;""),IF(IFERROR(INDEX(ProcRet,MATCH($E525,ProcNome,0)),0)&gt;0,$A525+INDEX(ProcRet,MATCH($E525,ProcNome,0)),""),"")</f>
        <v>0</v>
      </c>
      <c r="R525" s="26">
        <f>IF($Q525="","",IF(COUNTIFS(AgPac,$D525,AgData,"&gt;"&amp;$A525,AgStatus,"&lt;&gt;Cancelado",AgStatus,"&lt;&gt;Remarcado")&gt;0,"Sim","Não"))</f>
        <v>0</v>
      </c>
      <c r="S525" s="28">
        <f>IF($A525="","",IF(AND($F525="Agendado",$A525-Hoje&gt;=0,$A525-Hoje&lt;=DiasConf),"CONFIRMAR",IF(AND($A525&lt;Hoje,OR($F525="Agendado",$F525="Confirmado")),"Atualizar status",IF(AND($F525="Compareceu",$P525&gt;0.005),"Cobrar",IF($F525="Faltou","Falta: reagendar","")))))</f>
        <v>0</v>
      </c>
      <c r="T525" s="29">
        <f>IF($A525="","",DATE(YEAR($A525),MONTH($A525),1))</f>
        <v>0</v>
      </c>
      <c r="U525" s="30">
        <f>IF($S525="CONFIRMAR",MAX($U$4:$U524)+1,"")</f>
        <v>0</v>
      </c>
      <c r="V525" s="30">
        <f>IF(AND($R525="Não",$Q525&lt;&gt;"",$Q525&lt;=Hoje+JanelaRet,$Q525&gt;=Hoje-60),MAX($V$4:$V524)+1,"")</f>
        <v>0</v>
      </c>
    </row>
    <row r="526" spans="1:22">
      <c r="A526" s="16"/>
      <c r="B526" s="23"/>
      <c r="C526" s="15"/>
      <c r="D526" s="15"/>
      <c r="E526" s="15"/>
      <c r="F526" s="24"/>
      <c r="G526" s="17"/>
      <c r="H526" s="17"/>
      <c r="I526" s="15"/>
      <c r="J526" s="25">
        <f>IF($D526="","",IFERROR(INDEX(PacNome,MATCH($D526,PacCod,0)),"Paciente não cadastrado"))</f>
        <v>0</v>
      </c>
      <c r="K526" s="26">
        <f>IF($D526="","",IFERROR(INDEX(PacConv,MATCH($D526,PacCod,0))&amp;"",""))</f>
        <v>0</v>
      </c>
      <c r="L526" s="26">
        <f>IF($A526="","",CHOOSE(WEEKDAY($A526,2),"Seg","Ter","Qua","Qui","Sex","Sáb","Dom"))</f>
        <v>0</v>
      </c>
      <c r="M526" s="27">
        <f>IF($E526="","",IF($G526&lt;&gt;"",$G526,IFERROR(INDEX(ProcValor,MATCH($E526,ProcNome,0)),0)))</f>
        <v>0</v>
      </c>
      <c r="N526" s="27">
        <f>IF($M526="","",IF($F526="Compareceu",$M526,0))</f>
        <v>0</v>
      </c>
      <c r="O526" s="27">
        <f>IF($M526="","",IF($F526="Faltou",$M526,0))</f>
        <v>0</v>
      </c>
      <c r="P526" s="27">
        <f>IF($M526="","",IF($F526="Compareceu",MAX(0,$M526-N($H526)),0))</f>
        <v>0</v>
      </c>
      <c r="Q526" s="19">
        <f>IF(AND($F526="Compareceu",$E526&lt;&gt;"",$A526&lt;&gt;""),IF(IFERROR(INDEX(ProcRet,MATCH($E526,ProcNome,0)),0)&gt;0,$A526+INDEX(ProcRet,MATCH($E526,ProcNome,0)),""),"")</f>
        <v>0</v>
      </c>
      <c r="R526" s="26">
        <f>IF($Q526="","",IF(COUNTIFS(AgPac,$D526,AgData,"&gt;"&amp;$A526,AgStatus,"&lt;&gt;Cancelado",AgStatus,"&lt;&gt;Remarcado")&gt;0,"Sim","Não"))</f>
        <v>0</v>
      </c>
      <c r="S526" s="28">
        <f>IF($A526="","",IF(AND($F526="Agendado",$A526-Hoje&gt;=0,$A526-Hoje&lt;=DiasConf),"CONFIRMAR",IF(AND($A526&lt;Hoje,OR($F526="Agendado",$F526="Confirmado")),"Atualizar status",IF(AND($F526="Compareceu",$P526&gt;0.005),"Cobrar",IF($F526="Faltou","Falta: reagendar","")))))</f>
        <v>0</v>
      </c>
      <c r="T526" s="29">
        <f>IF($A526="","",DATE(YEAR($A526),MONTH($A526),1))</f>
        <v>0</v>
      </c>
      <c r="U526" s="30">
        <f>IF($S526="CONFIRMAR",MAX($U$4:$U525)+1,"")</f>
        <v>0</v>
      </c>
      <c r="V526" s="30">
        <f>IF(AND($R526="Não",$Q526&lt;&gt;"",$Q526&lt;=Hoje+JanelaRet,$Q526&gt;=Hoje-60),MAX($V$4:$V525)+1,"")</f>
        <v>0</v>
      </c>
    </row>
    <row r="527" spans="1:22">
      <c r="A527" s="16"/>
      <c r="B527" s="23"/>
      <c r="C527" s="15"/>
      <c r="D527" s="15"/>
      <c r="E527" s="15"/>
      <c r="F527" s="24"/>
      <c r="G527" s="17"/>
      <c r="H527" s="17"/>
      <c r="I527" s="15"/>
      <c r="J527" s="25">
        <f>IF($D527="","",IFERROR(INDEX(PacNome,MATCH($D527,PacCod,0)),"Paciente não cadastrado"))</f>
        <v>0</v>
      </c>
      <c r="K527" s="26">
        <f>IF($D527="","",IFERROR(INDEX(PacConv,MATCH($D527,PacCod,0))&amp;"",""))</f>
        <v>0</v>
      </c>
      <c r="L527" s="26">
        <f>IF($A527="","",CHOOSE(WEEKDAY($A527,2),"Seg","Ter","Qua","Qui","Sex","Sáb","Dom"))</f>
        <v>0</v>
      </c>
      <c r="M527" s="27">
        <f>IF($E527="","",IF($G527&lt;&gt;"",$G527,IFERROR(INDEX(ProcValor,MATCH($E527,ProcNome,0)),0)))</f>
        <v>0</v>
      </c>
      <c r="N527" s="27">
        <f>IF($M527="","",IF($F527="Compareceu",$M527,0))</f>
        <v>0</v>
      </c>
      <c r="O527" s="27">
        <f>IF($M527="","",IF($F527="Faltou",$M527,0))</f>
        <v>0</v>
      </c>
      <c r="P527" s="27">
        <f>IF($M527="","",IF($F527="Compareceu",MAX(0,$M527-N($H527)),0))</f>
        <v>0</v>
      </c>
      <c r="Q527" s="19">
        <f>IF(AND($F527="Compareceu",$E527&lt;&gt;"",$A527&lt;&gt;""),IF(IFERROR(INDEX(ProcRet,MATCH($E527,ProcNome,0)),0)&gt;0,$A527+INDEX(ProcRet,MATCH($E527,ProcNome,0)),""),"")</f>
        <v>0</v>
      </c>
      <c r="R527" s="26">
        <f>IF($Q527="","",IF(COUNTIFS(AgPac,$D527,AgData,"&gt;"&amp;$A527,AgStatus,"&lt;&gt;Cancelado",AgStatus,"&lt;&gt;Remarcado")&gt;0,"Sim","Não"))</f>
        <v>0</v>
      </c>
      <c r="S527" s="28">
        <f>IF($A527="","",IF(AND($F527="Agendado",$A527-Hoje&gt;=0,$A527-Hoje&lt;=DiasConf),"CONFIRMAR",IF(AND($A527&lt;Hoje,OR($F527="Agendado",$F527="Confirmado")),"Atualizar status",IF(AND($F527="Compareceu",$P527&gt;0.005),"Cobrar",IF($F527="Faltou","Falta: reagendar","")))))</f>
        <v>0</v>
      </c>
      <c r="T527" s="29">
        <f>IF($A527="","",DATE(YEAR($A527),MONTH($A527),1))</f>
        <v>0</v>
      </c>
      <c r="U527" s="30">
        <f>IF($S527="CONFIRMAR",MAX($U$4:$U526)+1,"")</f>
        <v>0</v>
      </c>
      <c r="V527" s="30">
        <f>IF(AND($R527="Não",$Q527&lt;&gt;"",$Q527&lt;=Hoje+JanelaRet,$Q527&gt;=Hoje-60),MAX($V$4:$V526)+1,"")</f>
        <v>0</v>
      </c>
    </row>
    <row r="528" spans="1:22">
      <c r="A528" s="16"/>
      <c r="B528" s="23"/>
      <c r="C528" s="15"/>
      <c r="D528" s="15"/>
      <c r="E528" s="15"/>
      <c r="F528" s="24"/>
      <c r="G528" s="17"/>
      <c r="H528" s="17"/>
      <c r="I528" s="15"/>
      <c r="J528" s="25">
        <f>IF($D528="","",IFERROR(INDEX(PacNome,MATCH($D528,PacCod,0)),"Paciente não cadastrado"))</f>
        <v>0</v>
      </c>
      <c r="K528" s="26">
        <f>IF($D528="","",IFERROR(INDEX(PacConv,MATCH($D528,PacCod,0))&amp;"",""))</f>
        <v>0</v>
      </c>
      <c r="L528" s="26">
        <f>IF($A528="","",CHOOSE(WEEKDAY($A528,2),"Seg","Ter","Qua","Qui","Sex","Sáb","Dom"))</f>
        <v>0</v>
      </c>
      <c r="M528" s="27">
        <f>IF($E528="","",IF($G528&lt;&gt;"",$G528,IFERROR(INDEX(ProcValor,MATCH($E528,ProcNome,0)),0)))</f>
        <v>0</v>
      </c>
      <c r="N528" s="27">
        <f>IF($M528="","",IF($F528="Compareceu",$M528,0))</f>
        <v>0</v>
      </c>
      <c r="O528" s="27">
        <f>IF($M528="","",IF($F528="Faltou",$M528,0))</f>
        <v>0</v>
      </c>
      <c r="P528" s="27">
        <f>IF($M528="","",IF($F528="Compareceu",MAX(0,$M528-N($H528)),0))</f>
        <v>0</v>
      </c>
      <c r="Q528" s="19">
        <f>IF(AND($F528="Compareceu",$E528&lt;&gt;"",$A528&lt;&gt;""),IF(IFERROR(INDEX(ProcRet,MATCH($E528,ProcNome,0)),0)&gt;0,$A528+INDEX(ProcRet,MATCH($E528,ProcNome,0)),""),"")</f>
        <v>0</v>
      </c>
      <c r="R528" s="26">
        <f>IF($Q528="","",IF(COUNTIFS(AgPac,$D528,AgData,"&gt;"&amp;$A528,AgStatus,"&lt;&gt;Cancelado",AgStatus,"&lt;&gt;Remarcado")&gt;0,"Sim","Não"))</f>
        <v>0</v>
      </c>
      <c r="S528" s="28">
        <f>IF($A528="","",IF(AND($F528="Agendado",$A528-Hoje&gt;=0,$A528-Hoje&lt;=DiasConf),"CONFIRMAR",IF(AND($A528&lt;Hoje,OR($F528="Agendado",$F528="Confirmado")),"Atualizar status",IF(AND($F528="Compareceu",$P528&gt;0.005),"Cobrar",IF($F528="Faltou","Falta: reagendar","")))))</f>
        <v>0</v>
      </c>
      <c r="T528" s="29">
        <f>IF($A528="","",DATE(YEAR($A528),MONTH($A528),1))</f>
        <v>0</v>
      </c>
      <c r="U528" s="30">
        <f>IF($S528="CONFIRMAR",MAX($U$4:$U527)+1,"")</f>
        <v>0</v>
      </c>
      <c r="V528" s="30">
        <f>IF(AND($R528="Não",$Q528&lt;&gt;"",$Q528&lt;=Hoje+JanelaRet,$Q528&gt;=Hoje-60),MAX($V$4:$V527)+1,"")</f>
        <v>0</v>
      </c>
    </row>
    <row r="529" spans="1:22">
      <c r="A529" s="16"/>
      <c r="B529" s="23"/>
      <c r="C529" s="15"/>
      <c r="D529" s="15"/>
      <c r="E529" s="15"/>
      <c r="F529" s="24"/>
      <c r="G529" s="17"/>
      <c r="H529" s="17"/>
      <c r="I529" s="15"/>
      <c r="J529" s="25">
        <f>IF($D529="","",IFERROR(INDEX(PacNome,MATCH($D529,PacCod,0)),"Paciente não cadastrado"))</f>
        <v>0</v>
      </c>
      <c r="K529" s="26">
        <f>IF($D529="","",IFERROR(INDEX(PacConv,MATCH($D529,PacCod,0))&amp;"",""))</f>
        <v>0</v>
      </c>
      <c r="L529" s="26">
        <f>IF($A529="","",CHOOSE(WEEKDAY($A529,2),"Seg","Ter","Qua","Qui","Sex","Sáb","Dom"))</f>
        <v>0</v>
      </c>
      <c r="M529" s="27">
        <f>IF($E529="","",IF($G529&lt;&gt;"",$G529,IFERROR(INDEX(ProcValor,MATCH($E529,ProcNome,0)),0)))</f>
        <v>0</v>
      </c>
      <c r="N529" s="27">
        <f>IF($M529="","",IF($F529="Compareceu",$M529,0))</f>
        <v>0</v>
      </c>
      <c r="O529" s="27">
        <f>IF($M529="","",IF($F529="Faltou",$M529,0))</f>
        <v>0</v>
      </c>
      <c r="P529" s="27">
        <f>IF($M529="","",IF($F529="Compareceu",MAX(0,$M529-N($H529)),0))</f>
        <v>0</v>
      </c>
      <c r="Q529" s="19">
        <f>IF(AND($F529="Compareceu",$E529&lt;&gt;"",$A529&lt;&gt;""),IF(IFERROR(INDEX(ProcRet,MATCH($E529,ProcNome,0)),0)&gt;0,$A529+INDEX(ProcRet,MATCH($E529,ProcNome,0)),""),"")</f>
        <v>0</v>
      </c>
      <c r="R529" s="26">
        <f>IF($Q529="","",IF(COUNTIFS(AgPac,$D529,AgData,"&gt;"&amp;$A529,AgStatus,"&lt;&gt;Cancelado",AgStatus,"&lt;&gt;Remarcado")&gt;0,"Sim","Não"))</f>
        <v>0</v>
      </c>
      <c r="S529" s="28">
        <f>IF($A529="","",IF(AND($F529="Agendado",$A529-Hoje&gt;=0,$A529-Hoje&lt;=DiasConf),"CONFIRMAR",IF(AND($A529&lt;Hoje,OR($F529="Agendado",$F529="Confirmado")),"Atualizar status",IF(AND($F529="Compareceu",$P529&gt;0.005),"Cobrar",IF($F529="Faltou","Falta: reagendar","")))))</f>
        <v>0</v>
      </c>
      <c r="T529" s="29">
        <f>IF($A529="","",DATE(YEAR($A529),MONTH($A529),1))</f>
        <v>0</v>
      </c>
      <c r="U529" s="30">
        <f>IF($S529="CONFIRMAR",MAX($U$4:$U528)+1,"")</f>
        <v>0</v>
      </c>
      <c r="V529" s="30">
        <f>IF(AND($R529="Não",$Q529&lt;&gt;"",$Q529&lt;=Hoje+JanelaRet,$Q529&gt;=Hoje-60),MAX($V$4:$V528)+1,"")</f>
        <v>0</v>
      </c>
    </row>
    <row r="530" spans="1:22">
      <c r="A530" s="16"/>
      <c r="B530" s="23"/>
      <c r="C530" s="15"/>
      <c r="D530" s="15"/>
      <c r="E530" s="15"/>
      <c r="F530" s="24"/>
      <c r="G530" s="17"/>
      <c r="H530" s="17"/>
      <c r="I530" s="15"/>
      <c r="J530" s="25">
        <f>IF($D530="","",IFERROR(INDEX(PacNome,MATCH($D530,PacCod,0)),"Paciente não cadastrado"))</f>
        <v>0</v>
      </c>
      <c r="K530" s="26">
        <f>IF($D530="","",IFERROR(INDEX(PacConv,MATCH($D530,PacCod,0))&amp;"",""))</f>
        <v>0</v>
      </c>
      <c r="L530" s="26">
        <f>IF($A530="","",CHOOSE(WEEKDAY($A530,2),"Seg","Ter","Qua","Qui","Sex","Sáb","Dom"))</f>
        <v>0</v>
      </c>
      <c r="M530" s="27">
        <f>IF($E530="","",IF($G530&lt;&gt;"",$G530,IFERROR(INDEX(ProcValor,MATCH($E530,ProcNome,0)),0)))</f>
        <v>0</v>
      </c>
      <c r="N530" s="27">
        <f>IF($M530="","",IF($F530="Compareceu",$M530,0))</f>
        <v>0</v>
      </c>
      <c r="O530" s="27">
        <f>IF($M530="","",IF($F530="Faltou",$M530,0))</f>
        <v>0</v>
      </c>
      <c r="P530" s="27">
        <f>IF($M530="","",IF($F530="Compareceu",MAX(0,$M530-N($H530)),0))</f>
        <v>0</v>
      </c>
      <c r="Q530" s="19">
        <f>IF(AND($F530="Compareceu",$E530&lt;&gt;"",$A530&lt;&gt;""),IF(IFERROR(INDEX(ProcRet,MATCH($E530,ProcNome,0)),0)&gt;0,$A530+INDEX(ProcRet,MATCH($E530,ProcNome,0)),""),"")</f>
        <v>0</v>
      </c>
      <c r="R530" s="26">
        <f>IF($Q530="","",IF(COUNTIFS(AgPac,$D530,AgData,"&gt;"&amp;$A530,AgStatus,"&lt;&gt;Cancelado",AgStatus,"&lt;&gt;Remarcado")&gt;0,"Sim","Não"))</f>
        <v>0</v>
      </c>
      <c r="S530" s="28">
        <f>IF($A530="","",IF(AND($F530="Agendado",$A530-Hoje&gt;=0,$A530-Hoje&lt;=DiasConf),"CONFIRMAR",IF(AND($A530&lt;Hoje,OR($F530="Agendado",$F530="Confirmado")),"Atualizar status",IF(AND($F530="Compareceu",$P530&gt;0.005),"Cobrar",IF($F530="Faltou","Falta: reagendar","")))))</f>
        <v>0</v>
      </c>
      <c r="T530" s="29">
        <f>IF($A530="","",DATE(YEAR($A530),MONTH($A530),1))</f>
        <v>0</v>
      </c>
      <c r="U530" s="30">
        <f>IF($S530="CONFIRMAR",MAX($U$4:$U529)+1,"")</f>
        <v>0</v>
      </c>
      <c r="V530" s="30">
        <f>IF(AND($R530="Não",$Q530&lt;&gt;"",$Q530&lt;=Hoje+JanelaRet,$Q530&gt;=Hoje-60),MAX($V$4:$V529)+1,"")</f>
        <v>0</v>
      </c>
    </row>
    <row r="531" spans="1:22">
      <c r="A531" s="16"/>
      <c r="B531" s="23"/>
      <c r="C531" s="15"/>
      <c r="D531" s="15"/>
      <c r="E531" s="15"/>
      <c r="F531" s="24"/>
      <c r="G531" s="17"/>
      <c r="H531" s="17"/>
      <c r="I531" s="15"/>
      <c r="J531" s="25">
        <f>IF($D531="","",IFERROR(INDEX(PacNome,MATCH($D531,PacCod,0)),"Paciente não cadastrado"))</f>
        <v>0</v>
      </c>
      <c r="K531" s="26">
        <f>IF($D531="","",IFERROR(INDEX(PacConv,MATCH($D531,PacCod,0))&amp;"",""))</f>
        <v>0</v>
      </c>
      <c r="L531" s="26">
        <f>IF($A531="","",CHOOSE(WEEKDAY($A531,2),"Seg","Ter","Qua","Qui","Sex","Sáb","Dom"))</f>
        <v>0</v>
      </c>
      <c r="M531" s="27">
        <f>IF($E531="","",IF($G531&lt;&gt;"",$G531,IFERROR(INDEX(ProcValor,MATCH($E531,ProcNome,0)),0)))</f>
        <v>0</v>
      </c>
      <c r="N531" s="27">
        <f>IF($M531="","",IF($F531="Compareceu",$M531,0))</f>
        <v>0</v>
      </c>
      <c r="O531" s="27">
        <f>IF($M531="","",IF($F531="Faltou",$M531,0))</f>
        <v>0</v>
      </c>
      <c r="P531" s="27">
        <f>IF($M531="","",IF($F531="Compareceu",MAX(0,$M531-N($H531)),0))</f>
        <v>0</v>
      </c>
      <c r="Q531" s="19">
        <f>IF(AND($F531="Compareceu",$E531&lt;&gt;"",$A531&lt;&gt;""),IF(IFERROR(INDEX(ProcRet,MATCH($E531,ProcNome,0)),0)&gt;0,$A531+INDEX(ProcRet,MATCH($E531,ProcNome,0)),""),"")</f>
        <v>0</v>
      </c>
      <c r="R531" s="26">
        <f>IF($Q531="","",IF(COUNTIFS(AgPac,$D531,AgData,"&gt;"&amp;$A531,AgStatus,"&lt;&gt;Cancelado",AgStatus,"&lt;&gt;Remarcado")&gt;0,"Sim","Não"))</f>
        <v>0</v>
      </c>
      <c r="S531" s="28">
        <f>IF($A531="","",IF(AND($F531="Agendado",$A531-Hoje&gt;=0,$A531-Hoje&lt;=DiasConf),"CONFIRMAR",IF(AND($A531&lt;Hoje,OR($F531="Agendado",$F531="Confirmado")),"Atualizar status",IF(AND($F531="Compareceu",$P531&gt;0.005),"Cobrar",IF($F531="Faltou","Falta: reagendar","")))))</f>
        <v>0</v>
      </c>
      <c r="T531" s="29">
        <f>IF($A531="","",DATE(YEAR($A531),MONTH($A531),1))</f>
        <v>0</v>
      </c>
      <c r="U531" s="30">
        <f>IF($S531="CONFIRMAR",MAX($U$4:$U530)+1,"")</f>
        <v>0</v>
      </c>
      <c r="V531" s="30">
        <f>IF(AND($R531="Não",$Q531&lt;&gt;"",$Q531&lt;=Hoje+JanelaRet,$Q531&gt;=Hoje-60),MAX($V$4:$V530)+1,"")</f>
        <v>0</v>
      </c>
    </row>
    <row r="532" spans="1:22">
      <c r="A532" s="16"/>
      <c r="B532" s="23"/>
      <c r="C532" s="15"/>
      <c r="D532" s="15"/>
      <c r="E532" s="15"/>
      <c r="F532" s="24"/>
      <c r="G532" s="17"/>
      <c r="H532" s="17"/>
      <c r="I532" s="15"/>
      <c r="J532" s="25">
        <f>IF($D532="","",IFERROR(INDEX(PacNome,MATCH($D532,PacCod,0)),"Paciente não cadastrado"))</f>
        <v>0</v>
      </c>
      <c r="K532" s="26">
        <f>IF($D532="","",IFERROR(INDEX(PacConv,MATCH($D532,PacCod,0))&amp;"",""))</f>
        <v>0</v>
      </c>
      <c r="L532" s="26">
        <f>IF($A532="","",CHOOSE(WEEKDAY($A532,2),"Seg","Ter","Qua","Qui","Sex","Sáb","Dom"))</f>
        <v>0</v>
      </c>
      <c r="M532" s="27">
        <f>IF($E532="","",IF($G532&lt;&gt;"",$G532,IFERROR(INDEX(ProcValor,MATCH($E532,ProcNome,0)),0)))</f>
        <v>0</v>
      </c>
      <c r="N532" s="27">
        <f>IF($M532="","",IF($F532="Compareceu",$M532,0))</f>
        <v>0</v>
      </c>
      <c r="O532" s="27">
        <f>IF($M532="","",IF($F532="Faltou",$M532,0))</f>
        <v>0</v>
      </c>
      <c r="P532" s="27">
        <f>IF($M532="","",IF($F532="Compareceu",MAX(0,$M532-N($H532)),0))</f>
        <v>0</v>
      </c>
      <c r="Q532" s="19">
        <f>IF(AND($F532="Compareceu",$E532&lt;&gt;"",$A532&lt;&gt;""),IF(IFERROR(INDEX(ProcRet,MATCH($E532,ProcNome,0)),0)&gt;0,$A532+INDEX(ProcRet,MATCH($E532,ProcNome,0)),""),"")</f>
        <v>0</v>
      </c>
      <c r="R532" s="26">
        <f>IF($Q532="","",IF(COUNTIFS(AgPac,$D532,AgData,"&gt;"&amp;$A532,AgStatus,"&lt;&gt;Cancelado",AgStatus,"&lt;&gt;Remarcado")&gt;0,"Sim","Não"))</f>
        <v>0</v>
      </c>
      <c r="S532" s="28">
        <f>IF($A532="","",IF(AND($F532="Agendado",$A532-Hoje&gt;=0,$A532-Hoje&lt;=DiasConf),"CONFIRMAR",IF(AND($A532&lt;Hoje,OR($F532="Agendado",$F532="Confirmado")),"Atualizar status",IF(AND($F532="Compareceu",$P532&gt;0.005),"Cobrar",IF($F532="Faltou","Falta: reagendar","")))))</f>
        <v>0</v>
      </c>
      <c r="T532" s="29">
        <f>IF($A532="","",DATE(YEAR($A532),MONTH($A532),1))</f>
        <v>0</v>
      </c>
      <c r="U532" s="30">
        <f>IF($S532="CONFIRMAR",MAX($U$4:$U531)+1,"")</f>
        <v>0</v>
      </c>
      <c r="V532" s="30">
        <f>IF(AND($R532="Não",$Q532&lt;&gt;"",$Q532&lt;=Hoje+JanelaRet,$Q532&gt;=Hoje-60),MAX($V$4:$V531)+1,"")</f>
        <v>0</v>
      </c>
    </row>
    <row r="533" spans="1:22">
      <c r="A533" s="16"/>
      <c r="B533" s="23"/>
      <c r="C533" s="15"/>
      <c r="D533" s="15"/>
      <c r="E533" s="15"/>
      <c r="F533" s="24"/>
      <c r="G533" s="17"/>
      <c r="H533" s="17"/>
      <c r="I533" s="15"/>
      <c r="J533" s="25">
        <f>IF($D533="","",IFERROR(INDEX(PacNome,MATCH($D533,PacCod,0)),"Paciente não cadastrado"))</f>
        <v>0</v>
      </c>
      <c r="K533" s="26">
        <f>IF($D533="","",IFERROR(INDEX(PacConv,MATCH($D533,PacCod,0))&amp;"",""))</f>
        <v>0</v>
      </c>
      <c r="L533" s="26">
        <f>IF($A533="","",CHOOSE(WEEKDAY($A533,2),"Seg","Ter","Qua","Qui","Sex","Sáb","Dom"))</f>
        <v>0</v>
      </c>
      <c r="M533" s="27">
        <f>IF($E533="","",IF($G533&lt;&gt;"",$G533,IFERROR(INDEX(ProcValor,MATCH($E533,ProcNome,0)),0)))</f>
        <v>0</v>
      </c>
      <c r="N533" s="27">
        <f>IF($M533="","",IF($F533="Compareceu",$M533,0))</f>
        <v>0</v>
      </c>
      <c r="O533" s="27">
        <f>IF($M533="","",IF($F533="Faltou",$M533,0))</f>
        <v>0</v>
      </c>
      <c r="P533" s="27">
        <f>IF($M533="","",IF($F533="Compareceu",MAX(0,$M533-N($H533)),0))</f>
        <v>0</v>
      </c>
      <c r="Q533" s="19">
        <f>IF(AND($F533="Compareceu",$E533&lt;&gt;"",$A533&lt;&gt;""),IF(IFERROR(INDEX(ProcRet,MATCH($E533,ProcNome,0)),0)&gt;0,$A533+INDEX(ProcRet,MATCH($E533,ProcNome,0)),""),"")</f>
        <v>0</v>
      </c>
      <c r="R533" s="26">
        <f>IF($Q533="","",IF(COUNTIFS(AgPac,$D533,AgData,"&gt;"&amp;$A533,AgStatus,"&lt;&gt;Cancelado",AgStatus,"&lt;&gt;Remarcado")&gt;0,"Sim","Não"))</f>
        <v>0</v>
      </c>
      <c r="S533" s="28">
        <f>IF($A533="","",IF(AND($F533="Agendado",$A533-Hoje&gt;=0,$A533-Hoje&lt;=DiasConf),"CONFIRMAR",IF(AND($A533&lt;Hoje,OR($F533="Agendado",$F533="Confirmado")),"Atualizar status",IF(AND($F533="Compareceu",$P533&gt;0.005),"Cobrar",IF($F533="Faltou","Falta: reagendar","")))))</f>
        <v>0</v>
      </c>
      <c r="T533" s="29">
        <f>IF($A533="","",DATE(YEAR($A533),MONTH($A533),1))</f>
        <v>0</v>
      </c>
      <c r="U533" s="30">
        <f>IF($S533="CONFIRMAR",MAX($U$4:$U532)+1,"")</f>
        <v>0</v>
      </c>
      <c r="V533" s="30">
        <f>IF(AND($R533="Não",$Q533&lt;&gt;"",$Q533&lt;=Hoje+JanelaRet,$Q533&gt;=Hoje-60),MAX($V$4:$V532)+1,"")</f>
        <v>0</v>
      </c>
    </row>
    <row r="534" spans="1:22">
      <c r="A534" s="16"/>
      <c r="B534" s="23"/>
      <c r="C534" s="15"/>
      <c r="D534" s="15"/>
      <c r="E534" s="15"/>
      <c r="F534" s="24"/>
      <c r="G534" s="17"/>
      <c r="H534" s="17"/>
      <c r="I534" s="15"/>
      <c r="J534" s="25">
        <f>IF($D534="","",IFERROR(INDEX(PacNome,MATCH($D534,PacCod,0)),"Paciente não cadastrado"))</f>
        <v>0</v>
      </c>
      <c r="K534" s="26">
        <f>IF($D534="","",IFERROR(INDEX(PacConv,MATCH($D534,PacCod,0))&amp;"",""))</f>
        <v>0</v>
      </c>
      <c r="L534" s="26">
        <f>IF($A534="","",CHOOSE(WEEKDAY($A534,2),"Seg","Ter","Qua","Qui","Sex","Sáb","Dom"))</f>
        <v>0</v>
      </c>
      <c r="M534" s="27">
        <f>IF($E534="","",IF($G534&lt;&gt;"",$G534,IFERROR(INDEX(ProcValor,MATCH($E534,ProcNome,0)),0)))</f>
        <v>0</v>
      </c>
      <c r="N534" s="27">
        <f>IF($M534="","",IF($F534="Compareceu",$M534,0))</f>
        <v>0</v>
      </c>
      <c r="O534" s="27">
        <f>IF($M534="","",IF($F534="Faltou",$M534,0))</f>
        <v>0</v>
      </c>
      <c r="P534" s="27">
        <f>IF($M534="","",IF($F534="Compareceu",MAX(0,$M534-N($H534)),0))</f>
        <v>0</v>
      </c>
      <c r="Q534" s="19">
        <f>IF(AND($F534="Compareceu",$E534&lt;&gt;"",$A534&lt;&gt;""),IF(IFERROR(INDEX(ProcRet,MATCH($E534,ProcNome,0)),0)&gt;0,$A534+INDEX(ProcRet,MATCH($E534,ProcNome,0)),""),"")</f>
        <v>0</v>
      </c>
      <c r="R534" s="26">
        <f>IF($Q534="","",IF(COUNTIFS(AgPac,$D534,AgData,"&gt;"&amp;$A534,AgStatus,"&lt;&gt;Cancelado",AgStatus,"&lt;&gt;Remarcado")&gt;0,"Sim","Não"))</f>
        <v>0</v>
      </c>
      <c r="S534" s="28">
        <f>IF($A534="","",IF(AND($F534="Agendado",$A534-Hoje&gt;=0,$A534-Hoje&lt;=DiasConf),"CONFIRMAR",IF(AND($A534&lt;Hoje,OR($F534="Agendado",$F534="Confirmado")),"Atualizar status",IF(AND($F534="Compareceu",$P534&gt;0.005),"Cobrar",IF($F534="Faltou","Falta: reagendar","")))))</f>
        <v>0</v>
      </c>
      <c r="T534" s="29">
        <f>IF($A534="","",DATE(YEAR($A534),MONTH($A534),1))</f>
        <v>0</v>
      </c>
      <c r="U534" s="30">
        <f>IF($S534="CONFIRMAR",MAX($U$4:$U533)+1,"")</f>
        <v>0</v>
      </c>
      <c r="V534" s="30">
        <f>IF(AND($R534="Não",$Q534&lt;&gt;"",$Q534&lt;=Hoje+JanelaRet,$Q534&gt;=Hoje-60),MAX($V$4:$V533)+1,"")</f>
        <v>0</v>
      </c>
    </row>
    <row r="535" spans="1:22">
      <c r="A535" s="16"/>
      <c r="B535" s="23"/>
      <c r="C535" s="15"/>
      <c r="D535" s="15"/>
      <c r="E535" s="15"/>
      <c r="F535" s="24"/>
      <c r="G535" s="17"/>
      <c r="H535" s="17"/>
      <c r="I535" s="15"/>
      <c r="J535" s="25">
        <f>IF($D535="","",IFERROR(INDEX(PacNome,MATCH($D535,PacCod,0)),"Paciente não cadastrado"))</f>
        <v>0</v>
      </c>
      <c r="K535" s="26">
        <f>IF($D535="","",IFERROR(INDEX(PacConv,MATCH($D535,PacCod,0))&amp;"",""))</f>
        <v>0</v>
      </c>
      <c r="L535" s="26">
        <f>IF($A535="","",CHOOSE(WEEKDAY($A535,2),"Seg","Ter","Qua","Qui","Sex","Sáb","Dom"))</f>
        <v>0</v>
      </c>
      <c r="M535" s="27">
        <f>IF($E535="","",IF($G535&lt;&gt;"",$G535,IFERROR(INDEX(ProcValor,MATCH($E535,ProcNome,0)),0)))</f>
        <v>0</v>
      </c>
      <c r="N535" s="27">
        <f>IF($M535="","",IF($F535="Compareceu",$M535,0))</f>
        <v>0</v>
      </c>
      <c r="O535" s="27">
        <f>IF($M535="","",IF($F535="Faltou",$M535,0))</f>
        <v>0</v>
      </c>
      <c r="P535" s="27">
        <f>IF($M535="","",IF($F535="Compareceu",MAX(0,$M535-N($H535)),0))</f>
        <v>0</v>
      </c>
      <c r="Q535" s="19">
        <f>IF(AND($F535="Compareceu",$E535&lt;&gt;"",$A535&lt;&gt;""),IF(IFERROR(INDEX(ProcRet,MATCH($E535,ProcNome,0)),0)&gt;0,$A535+INDEX(ProcRet,MATCH($E535,ProcNome,0)),""),"")</f>
        <v>0</v>
      </c>
      <c r="R535" s="26">
        <f>IF($Q535="","",IF(COUNTIFS(AgPac,$D535,AgData,"&gt;"&amp;$A535,AgStatus,"&lt;&gt;Cancelado",AgStatus,"&lt;&gt;Remarcado")&gt;0,"Sim","Não"))</f>
        <v>0</v>
      </c>
      <c r="S535" s="28">
        <f>IF($A535="","",IF(AND($F535="Agendado",$A535-Hoje&gt;=0,$A535-Hoje&lt;=DiasConf),"CONFIRMAR",IF(AND($A535&lt;Hoje,OR($F535="Agendado",$F535="Confirmado")),"Atualizar status",IF(AND($F535="Compareceu",$P535&gt;0.005),"Cobrar",IF($F535="Faltou","Falta: reagendar","")))))</f>
        <v>0</v>
      </c>
      <c r="T535" s="29">
        <f>IF($A535="","",DATE(YEAR($A535),MONTH($A535),1))</f>
        <v>0</v>
      </c>
      <c r="U535" s="30">
        <f>IF($S535="CONFIRMAR",MAX($U$4:$U534)+1,"")</f>
        <v>0</v>
      </c>
      <c r="V535" s="30">
        <f>IF(AND($R535="Não",$Q535&lt;&gt;"",$Q535&lt;=Hoje+JanelaRet,$Q535&gt;=Hoje-60),MAX($V$4:$V534)+1,"")</f>
        <v>0</v>
      </c>
    </row>
    <row r="536" spans="1:22">
      <c r="A536" s="16"/>
      <c r="B536" s="23"/>
      <c r="C536" s="15"/>
      <c r="D536" s="15"/>
      <c r="E536" s="15"/>
      <c r="F536" s="24"/>
      <c r="G536" s="17"/>
      <c r="H536" s="17"/>
      <c r="I536" s="15"/>
      <c r="J536" s="25">
        <f>IF($D536="","",IFERROR(INDEX(PacNome,MATCH($D536,PacCod,0)),"Paciente não cadastrado"))</f>
        <v>0</v>
      </c>
      <c r="K536" s="26">
        <f>IF($D536="","",IFERROR(INDEX(PacConv,MATCH($D536,PacCod,0))&amp;"",""))</f>
        <v>0</v>
      </c>
      <c r="L536" s="26">
        <f>IF($A536="","",CHOOSE(WEEKDAY($A536,2),"Seg","Ter","Qua","Qui","Sex","Sáb","Dom"))</f>
        <v>0</v>
      </c>
      <c r="M536" s="27">
        <f>IF($E536="","",IF($G536&lt;&gt;"",$G536,IFERROR(INDEX(ProcValor,MATCH($E536,ProcNome,0)),0)))</f>
        <v>0</v>
      </c>
      <c r="N536" s="27">
        <f>IF($M536="","",IF($F536="Compareceu",$M536,0))</f>
        <v>0</v>
      </c>
      <c r="O536" s="27">
        <f>IF($M536="","",IF($F536="Faltou",$M536,0))</f>
        <v>0</v>
      </c>
      <c r="P536" s="27">
        <f>IF($M536="","",IF($F536="Compareceu",MAX(0,$M536-N($H536)),0))</f>
        <v>0</v>
      </c>
      <c r="Q536" s="19">
        <f>IF(AND($F536="Compareceu",$E536&lt;&gt;"",$A536&lt;&gt;""),IF(IFERROR(INDEX(ProcRet,MATCH($E536,ProcNome,0)),0)&gt;0,$A536+INDEX(ProcRet,MATCH($E536,ProcNome,0)),""),"")</f>
        <v>0</v>
      </c>
      <c r="R536" s="26">
        <f>IF($Q536="","",IF(COUNTIFS(AgPac,$D536,AgData,"&gt;"&amp;$A536,AgStatus,"&lt;&gt;Cancelado",AgStatus,"&lt;&gt;Remarcado")&gt;0,"Sim","Não"))</f>
        <v>0</v>
      </c>
      <c r="S536" s="28">
        <f>IF($A536="","",IF(AND($F536="Agendado",$A536-Hoje&gt;=0,$A536-Hoje&lt;=DiasConf),"CONFIRMAR",IF(AND($A536&lt;Hoje,OR($F536="Agendado",$F536="Confirmado")),"Atualizar status",IF(AND($F536="Compareceu",$P536&gt;0.005),"Cobrar",IF($F536="Faltou","Falta: reagendar","")))))</f>
        <v>0</v>
      </c>
      <c r="T536" s="29">
        <f>IF($A536="","",DATE(YEAR($A536),MONTH($A536),1))</f>
        <v>0</v>
      </c>
      <c r="U536" s="30">
        <f>IF($S536="CONFIRMAR",MAX($U$4:$U535)+1,"")</f>
        <v>0</v>
      </c>
      <c r="V536" s="30">
        <f>IF(AND($R536="Não",$Q536&lt;&gt;"",$Q536&lt;=Hoje+JanelaRet,$Q536&gt;=Hoje-60),MAX($V$4:$V535)+1,"")</f>
        <v>0</v>
      </c>
    </row>
    <row r="537" spans="1:22">
      <c r="A537" s="16"/>
      <c r="B537" s="23"/>
      <c r="C537" s="15"/>
      <c r="D537" s="15"/>
      <c r="E537" s="15"/>
      <c r="F537" s="24"/>
      <c r="G537" s="17"/>
      <c r="H537" s="17"/>
      <c r="I537" s="15"/>
      <c r="J537" s="25">
        <f>IF($D537="","",IFERROR(INDEX(PacNome,MATCH($D537,PacCod,0)),"Paciente não cadastrado"))</f>
        <v>0</v>
      </c>
      <c r="K537" s="26">
        <f>IF($D537="","",IFERROR(INDEX(PacConv,MATCH($D537,PacCod,0))&amp;"",""))</f>
        <v>0</v>
      </c>
      <c r="L537" s="26">
        <f>IF($A537="","",CHOOSE(WEEKDAY($A537,2),"Seg","Ter","Qua","Qui","Sex","Sáb","Dom"))</f>
        <v>0</v>
      </c>
      <c r="M537" s="27">
        <f>IF($E537="","",IF($G537&lt;&gt;"",$G537,IFERROR(INDEX(ProcValor,MATCH($E537,ProcNome,0)),0)))</f>
        <v>0</v>
      </c>
      <c r="N537" s="27">
        <f>IF($M537="","",IF($F537="Compareceu",$M537,0))</f>
        <v>0</v>
      </c>
      <c r="O537" s="27">
        <f>IF($M537="","",IF($F537="Faltou",$M537,0))</f>
        <v>0</v>
      </c>
      <c r="P537" s="27">
        <f>IF($M537="","",IF($F537="Compareceu",MAX(0,$M537-N($H537)),0))</f>
        <v>0</v>
      </c>
      <c r="Q537" s="19">
        <f>IF(AND($F537="Compareceu",$E537&lt;&gt;"",$A537&lt;&gt;""),IF(IFERROR(INDEX(ProcRet,MATCH($E537,ProcNome,0)),0)&gt;0,$A537+INDEX(ProcRet,MATCH($E537,ProcNome,0)),""),"")</f>
        <v>0</v>
      </c>
      <c r="R537" s="26">
        <f>IF($Q537="","",IF(COUNTIFS(AgPac,$D537,AgData,"&gt;"&amp;$A537,AgStatus,"&lt;&gt;Cancelado",AgStatus,"&lt;&gt;Remarcado")&gt;0,"Sim","Não"))</f>
        <v>0</v>
      </c>
      <c r="S537" s="28">
        <f>IF($A537="","",IF(AND($F537="Agendado",$A537-Hoje&gt;=0,$A537-Hoje&lt;=DiasConf),"CONFIRMAR",IF(AND($A537&lt;Hoje,OR($F537="Agendado",$F537="Confirmado")),"Atualizar status",IF(AND($F537="Compareceu",$P537&gt;0.005),"Cobrar",IF($F537="Faltou","Falta: reagendar","")))))</f>
        <v>0</v>
      </c>
      <c r="T537" s="29">
        <f>IF($A537="","",DATE(YEAR($A537),MONTH($A537),1))</f>
        <v>0</v>
      </c>
      <c r="U537" s="30">
        <f>IF($S537="CONFIRMAR",MAX($U$4:$U536)+1,"")</f>
        <v>0</v>
      </c>
      <c r="V537" s="30">
        <f>IF(AND($R537="Não",$Q537&lt;&gt;"",$Q537&lt;=Hoje+JanelaRet,$Q537&gt;=Hoje-60),MAX($V$4:$V536)+1,"")</f>
        <v>0</v>
      </c>
    </row>
    <row r="538" spans="1:22">
      <c r="A538" s="16"/>
      <c r="B538" s="23"/>
      <c r="C538" s="15"/>
      <c r="D538" s="15"/>
      <c r="E538" s="15"/>
      <c r="F538" s="24"/>
      <c r="G538" s="17"/>
      <c r="H538" s="17"/>
      <c r="I538" s="15"/>
      <c r="J538" s="25">
        <f>IF($D538="","",IFERROR(INDEX(PacNome,MATCH($D538,PacCod,0)),"Paciente não cadastrado"))</f>
        <v>0</v>
      </c>
      <c r="K538" s="26">
        <f>IF($D538="","",IFERROR(INDEX(PacConv,MATCH($D538,PacCod,0))&amp;"",""))</f>
        <v>0</v>
      </c>
      <c r="L538" s="26">
        <f>IF($A538="","",CHOOSE(WEEKDAY($A538,2),"Seg","Ter","Qua","Qui","Sex","Sáb","Dom"))</f>
        <v>0</v>
      </c>
      <c r="M538" s="27">
        <f>IF($E538="","",IF($G538&lt;&gt;"",$G538,IFERROR(INDEX(ProcValor,MATCH($E538,ProcNome,0)),0)))</f>
        <v>0</v>
      </c>
      <c r="N538" s="27">
        <f>IF($M538="","",IF($F538="Compareceu",$M538,0))</f>
        <v>0</v>
      </c>
      <c r="O538" s="27">
        <f>IF($M538="","",IF($F538="Faltou",$M538,0))</f>
        <v>0</v>
      </c>
      <c r="P538" s="27">
        <f>IF($M538="","",IF($F538="Compareceu",MAX(0,$M538-N($H538)),0))</f>
        <v>0</v>
      </c>
      <c r="Q538" s="19">
        <f>IF(AND($F538="Compareceu",$E538&lt;&gt;"",$A538&lt;&gt;""),IF(IFERROR(INDEX(ProcRet,MATCH($E538,ProcNome,0)),0)&gt;0,$A538+INDEX(ProcRet,MATCH($E538,ProcNome,0)),""),"")</f>
        <v>0</v>
      </c>
      <c r="R538" s="26">
        <f>IF($Q538="","",IF(COUNTIFS(AgPac,$D538,AgData,"&gt;"&amp;$A538,AgStatus,"&lt;&gt;Cancelado",AgStatus,"&lt;&gt;Remarcado")&gt;0,"Sim","Não"))</f>
        <v>0</v>
      </c>
      <c r="S538" s="28">
        <f>IF($A538="","",IF(AND($F538="Agendado",$A538-Hoje&gt;=0,$A538-Hoje&lt;=DiasConf),"CONFIRMAR",IF(AND($A538&lt;Hoje,OR($F538="Agendado",$F538="Confirmado")),"Atualizar status",IF(AND($F538="Compareceu",$P538&gt;0.005),"Cobrar",IF($F538="Faltou","Falta: reagendar","")))))</f>
        <v>0</v>
      </c>
      <c r="T538" s="29">
        <f>IF($A538="","",DATE(YEAR($A538),MONTH($A538),1))</f>
        <v>0</v>
      </c>
      <c r="U538" s="30">
        <f>IF($S538="CONFIRMAR",MAX($U$4:$U537)+1,"")</f>
        <v>0</v>
      </c>
      <c r="V538" s="30">
        <f>IF(AND($R538="Não",$Q538&lt;&gt;"",$Q538&lt;=Hoje+JanelaRet,$Q538&gt;=Hoje-60),MAX($V$4:$V537)+1,"")</f>
        <v>0</v>
      </c>
    </row>
    <row r="539" spans="1:22">
      <c r="A539" s="16"/>
      <c r="B539" s="23"/>
      <c r="C539" s="15"/>
      <c r="D539" s="15"/>
      <c r="E539" s="15"/>
      <c r="F539" s="24"/>
      <c r="G539" s="17"/>
      <c r="H539" s="17"/>
      <c r="I539" s="15"/>
      <c r="J539" s="25">
        <f>IF($D539="","",IFERROR(INDEX(PacNome,MATCH($D539,PacCod,0)),"Paciente não cadastrado"))</f>
        <v>0</v>
      </c>
      <c r="K539" s="26">
        <f>IF($D539="","",IFERROR(INDEX(PacConv,MATCH($D539,PacCod,0))&amp;"",""))</f>
        <v>0</v>
      </c>
      <c r="L539" s="26">
        <f>IF($A539="","",CHOOSE(WEEKDAY($A539,2),"Seg","Ter","Qua","Qui","Sex","Sáb","Dom"))</f>
        <v>0</v>
      </c>
      <c r="M539" s="27">
        <f>IF($E539="","",IF($G539&lt;&gt;"",$G539,IFERROR(INDEX(ProcValor,MATCH($E539,ProcNome,0)),0)))</f>
        <v>0</v>
      </c>
      <c r="N539" s="27">
        <f>IF($M539="","",IF($F539="Compareceu",$M539,0))</f>
        <v>0</v>
      </c>
      <c r="O539" s="27">
        <f>IF($M539="","",IF($F539="Faltou",$M539,0))</f>
        <v>0</v>
      </c>
      <c r="P539" s="27">
        <f>IF($M539="","",IF($F539="Compareceu",MAX(0,$M539-N($H539)),0))</f>
        <v>0</v>
      </c>
      <c r="Q539" s="19">
        <f>IF(AND($F539="Compareceu",$E539&lt;&gt;"",$A539&lt;&gt;""),IF(IFERROR(INDEX(ProcRet,MATCH($E539,ProcNome,0)),0)&gt;0,$A539+INDEX(ProcRet,MATCH($E539,ProcNome,0)),""),"")</f>
        <v>0</v>
      </c>
      <c r="R539" s="26">
        <f>IF($Q539="","",IF(COUNTIFS(AgPac,$D539,AgData,"&gt;"&amp;$A539,AgStatus,"&lt;&gt;Cancelado",AgStatus,"&lt;&gt;Remarcado")&gt;0,"Sim","Não"))</f>
        <v>0</v>
      </c>
      <c r="S539" s="28">
        <f>IF($A539="","",IF(AND($F539="Agendado",$A539-Hoje&gt;=0,$A539-Hoje&lt;=DiasConf),"CONFIRMAR",IF(AND($A539&lt;Hoje,OR($F539="Agendado",$F539="Confirmado")),"Atualizar status",IF(AND($F539="Compareceu",$P539&gt;0.005),"Cobrar",IF($F539="Faltou","Falta: reagendar","")))))</f>
        <v>0</v>
      </c>
      <c r="T539" s="29">
        <f>IF($A539="","",DATE(YEAR($A539),MONTH($A539),1))</f>
        <v>0</v>
      </c>
      <c r="U539" s="30">
        <f>IF($S539="CONFIRMAR",MAX($U$4:$U538)+1,"")</f>
        <v>0</v>
      </c>
      <c r="V539" s="30">
        <f>IF(AND($R539="Não",$Q539&lt;&gt;"",$Q539&lt;=Hoje+JanelaRet,$Q539&gt;=Hoje-60),MAX($V$4:$V538)+1,"")</f>
        <v>0</v>
      </c>
    </row>
    <row r="540" spans="1:22">
      <c r="A540" s="16"/>
      <c r="B540" s="23"/>
      <c r="C540" s="15"/>
      <c r="D540" s="15"/>
      <c r="E540" s="15"/>
      <c r="F540" s="24"/>
      <c r="G540" s="17"/>
      <c r="H540" s="17"/>
      <c r="I540" s="15"/>
      <c r="J540" s="25">
        <f>IF($D540="","",IFERROR(INDEX(PacNome,MATCH($D540,PacCod,0)),"Paciente não cadastrado"))</f>
        <v>0</v>
      </c>
      <c r="K540" s="26">
        <f>IF($D540="","",IFERROR(INDEX(PacConv,MATCH($D540,PacCod,0))&amp;"",""))</f>
        <v>0</v>
      </c>
      <c r="L540" s="26">
        <f>IF($A540="","",CHOOSE(WEEKDAY($A540,2),"Seg","Ter","Qua","Qui","Sex","Sáb","Dom"))</f>
        <v>0</v>
      </c>
      <c r="M540" s="27">
        <f>IF($E540="","",IF($G540&lt;&gt;"",$G540,IFERROR(INDEX(ProcValor,MATCH($E540,ProcNome,0)),0)))</f>
        <v>0</v>
      </c>
      <c r="N540" s="27">
        <f>IF($M540="","",IF($F540="Compareceu",$M540,0))</f>
        <v>0</v>
      </c>
      <c r="O540" s="27">
        <f>IF($M540="","",IF($F540="Faltou",$M540,0))</f>
        <v>0</v>
      </c>
      <c r="P540" s="27">
        <f>IF($M540="","",IF($F540="Compareceu",MAX(0,$M540-N($H540)),0))</f>
        <v>0</v>
      </c>
      <c r="Q540" s="19">
        <f>IF(AND($F540="Compareceu",$E540&lt;&gt;"",$A540&lt;&gt;""),IF(IFERROR(INDEX(ProcRet,MATCH($E540,ProcNome,0)),0)&gt;0,$A540+INDEX(ProcRet,MATCH($E540,ProcNome,0)),""),"")</f>
        <v>0</v>
      </c>
      <c r="R540" s="26">
        <f>IF($Q540="","",IF(COUNTIFS(AgPac,$D540,AgData,"&gt;"&amp;$A540,AgStatus,"&lt;&gt;Cancelado",AgStatus,"&lt;&gt;Remarcado")&gt;0,"Sim","Não"))</f>
        <v>0</v>
      </c>
      <c r="S540" s="28">
        <f>IF($A540="","",IF(AND($F540="Agendado",$A540-Hoje&gt;=0,$A540-Hoje&lt;=DiasConf),"CONFIRMAR",IF(AND($A540&lt;Hoje,OR($F540="Agendado",$F540="Confirmado")),"Atualizar status",IF(AND($F540="Compareceu",$P540&gt;0.005),"Cobrar",IF($F540="Faltou","Falta: reagendar","")))))</f>
        <v>0</v>
      </c>
      <c r="T540" s="29">
        <f>IF($A540="","",DATE(YEAR($A540),MONTH($A540),1))</f>
        <v>0</v>
      </c>
      <c r="U540" s="30">
        <f>IF($S540="CONFIRMAR",MAX($U$4:$U539)+1,"")</f>
        <v>0</v>
      </c>
      <c r="V540" s="30">
        <f>IF(AND($R540="Não",$Q540&lt;&gt;"",$Q540&lt;=Hoje+JanelaRet,$Q540&gt;=Hoje-60),MAX($V$4:$V539)+1,"")</f>
        <v>0</v>
      </c>
    </row>
    <row r="541" spans="1:22">
      <c r="A541" s="16"/>
      <c r="B541" s="23"/>
      <c r="C541" s="15"/>
      <c r="D541" s="15"/>
      <c r="E541" s="15"/>
      <c r="F541" s="24"/>
      <c r="G541" s="17"/>
      <c r="H541" s="17"/>
      <c r="I541" s="15"/>
      <c r="J541" s="25">
        <f>IF($D541="","",IFERROR(INDEX(PacNome,MATCH($D541,PacCod,0)),"Paciente não cadastrado"))</f>
        <v>0</v>
      </c>
      <c r="K541" s="26">
        <f>IF($D541="","",IFERROR(INDEX(PacConv,MATCH($D541,PacCod,0))&amp;"",""))</f>
        <v>0</v>
      </c>
      <c r="L541" s="26">
        <f>IF($A541="","",CHOOSE(WEEKDAY($A541,2),"Seg","Ter","Qua","Qui","Sex","Sáb","Dom"))</f>
        <v>0</v>
      </c>
      <c r="M541" s="27">
        <f>IF($E541="","",IF($G541&lt;&gt;"",$G541,IFERROR(INDEX(ProcValor,MATCH($E541,ProcNome,0)),0)))</f>
        <v>0</v>
      </c>
      <c r="N541" s="27">
        <f>IF($M541="","",IF($F541="Compareceu",$M541,0))</f>
        <v>0</v>
      </c>
      <c r="O541" s="27">
        <f>IF($M541="","",IF($F541="Faltou",$M541,0))</f>
        <v>0</v>
      </c>
      <c r="P541" s="27">
        <f>IF($M541="","",IF($F541="Compareceu",MAX(0,$M541-N($H541)),0))</f>
        <v>0</v>
      </c>
      <c r="Q541" s="19">
        <f>IF(AND($F541="Compareceu",$E541&lt;&gt;"",$A541&lt;&gt;""),IF(IFERROR(INDEX(ProcRet,MATCH($E541,ProcNome,0)),0)&gt;0,$A541+INDEX(ProcRet,MATCH($E541,ProcNome,0)),""),"")</f>
        <v>0</v>
      </c>
      <c r="R541" s="26">
        <f>IF($Q541="","",IF(COUNTIFS(AgPac,$D541,AgData,"&gt;"&amp;$A541,AgStatus,"&lt;&gt;Cancelado",AgStatus,"&lt;&gt;Remarcado")&gt;0,"Sim","Não"))</f>
        <v>0</v>
      </c>
      <c r="S541" s="28">
        <f>IF($A541="","",IF(AND($F541="Agendado",$A541-Hoje&gt;=0,$A541-Hoje&lt;=DiasConf),"CONFIRMAR",IF(AND($A541&lt;Hoje,OR($F541="Agendado",$F541="Confirmado")),"Atualizar status",IF(AND($F541="Compareceu",$P541&gt;0.005),"Cobrar",IF($F541="Faltou","Falta: reagendar","")))))</f>
        <v>0</v>
      </c>
      <c r="T541" s="29">
        <f>IF($A541="","",DATE(YEAR($A541),MONTH($A541),1))</f>
        <v>0</v>
      </c>
      <c r="U541" s="30">
        <f>IF($S541="CONFIRMAR",MAX($U$4:$U540)+1,"")</f>
        <v>0</v>
      </c>
      <c r="V541" s="30">
        <f>IF(AND($R541="Não",$Q541&lt;&gt;"",$Q541&lt;=Hoje+JanelaRet,$Q541&gt;=Hoje-60),MAX($V$4:$V540)+1,"")</f>
        <v>0</v>
      </c>
    </row>
    <row r="542" spans="1:22">
      <c r="A542" s="16"/>
      <c r="B542" s="23"/>
      <c r="C542" s="15"/>
      <c r="D542" s="15"/>
      <c r="E542" s="15"/>
      <c r="F542" s="24"/>
      <c r="G542" s="17"/>
      <c r="H542" s="17"/>
      <c r="I542" s="15"/>
      <c r="J542" s="25">
        <f>IF($D542="","",IFERROR(INDEX(PacNome,MATCH($D542,PacCod,0)),"Paciente não cadastrado"))</f>
        <v>0</v>
      </c>
      <c r="K542" s="26">
        <f>IF($D542="","",IFERROR(INDEX(PacConv,MATCH($D542,PacCod,0))&amp;"",""))</f>
        <v>0</v>
      </c>
      <c r="L542" s="26">
        <f>IF($A542="","",CHOOSE(WEEKDAY($A542,2),"Seg","Ter","Qua","Qui","Sex","Sáb","Dom"))</f>
        <v>0</v>
      </c>
      <c r="M542" s="27">
        <f>IF($E542="","",IF($G542&lt;&gt;"",$G542,IFERROR(INDEX(ProcValor,MATCH($E542,ProcNome,0)),0)))</f>
        <v>0</v>
      </c>
      <c r="N542" s="27">
        <f>IF($M542="","",IF($F542="Compareceu",$M542,0))</f>
        <v>0</v>
      </c>
      <c r="O542" s="27">
        <f>IF($M542="","",IF($F542="Faltou",$M542,0))</f>
        <v>0</v>
      </c>
      <c r="P542" s="27">
        <f>IF($M542="","",IF($F542="Compareceu",MAX(0,$M542-N($H542)),0))</f>
        <v>0</v>
      </c>
      <c r="Q542" s="19">
        <f>IF(AND($F542="Compareceu",$E542&lt;&gt;"",$A542&lt;&gt;""),IF(IFERROR(INDEX(ProcRet,MATCH($E542,ProcNome,0)),0)&gt;0,$A542+INDEX(ProcRet,MATCH($E542,ProcNome,0)),""),"")</f>
        <v>0</v>
      </c>
      <c r="R542" s="26">
        <f>IF($Q542="","",IF(COUNTIFS(AgPac,$D542,AgData,"&gt;"&amp;$A542,AgStatus,"&lt;&gt;Cancelado",AgStatus,"&lt;&gt;Remarcado")&gt;0,"Sim","Não"))</f>
        <v>0</v>
      </c>
      <c r="S542" s="28">
        <f>IF($A542="","",IF(AND($F542="Agendado",$A542-Hoje&gt;=0,$A542-Hoje&lt;=DiasConf),"CONFIRMAR",IF(AND($A542&lt;Hoje,OR($F542="Agendado",$F542="Confirmado")),"Atualizar status",IF(AND($F542="Compareceu",$P542&gt;0.005),"Cobrar",IF($F542="Faltou","Falta: reagendar","")))))</f>
        <v>0</v>
      </c>
      <c r="T542" s="29">
        <f>IF($A542="","",DATE(YEAR($A542),MONTH($A542),1))</f>
        <v>0</v>
      </c>
      <c r="U542" s="30">
        <f>IF($S542="CONFIRMAR",MAX($U$4:$U541)+1,"")</f>
        <v>0</v>
      </c>
      <c r="V542" s="30">
        <f>IF(AND($R542="Não",$Q542&lt;&gt;"",$Q542&lt;=Hoje+JanelaRet,$Q542&gt;=Hoje-60),MAX($V$4:$V541)+1,"")</f>
        <v>0</v>
      </c>
    </row>
    <row r="543" spans="1:22">
      <c r="A543" s="16"/>
      <c r="B543" s="23"/>
      <c r="C543" s="15"/>
      <c r="D543" s="15"/>
      <c r="E543" s="15"/>
      <c r="F543" s="24"/>
      <c r="G543" s="17"/>
      <c r="H543" s="17"/>
      <c r="I543" s="15"/>
      <c r="J543" s="25">
        <f>IF($D543="","",IFERROR(INDEX(PacNome,MATCH($D543,PacCod,0)),"Paciente não cadastrado"))</f>
        <v>0</v>
      </c>
      <c r="K543" s="26">
        <f>IF($D543="","",IFERROR(INDEX(PacConv,MATCH($D543,PacCod,0))&amp;"",""))</f>
        <v>0</v>
      </c>
      <c r="L543" s="26">
        <f>IF($A543="","",CHOOSE(WEEKDAY($A543,2),"Seg","Ter","Qua","Qui","Sex","Sáb","Dom"))</f>
        <v>0</v>
      </c>
      <c r="M543" s="27">
        <f>IF($E543="","",IF($G543&lt;&gt;"",$G543,IFERROR(INDEX(ProcValor,MATCH($E543,ProcNome,0)),0)))</f>
        <v>0</v>
      </c>
      <c r="N543" s="27">
        <f>IF($M543="","",IF($F543="Compareceu",$M543,0))</f>
        <v>0</v>
      </c>
      <c r="O543" s="27">
        <f>IF($M543="","",IF($F543="Faltou",$M543,0))</f>
        <v>0</v>
      </c>
      <c r="P543" s="27">
        <f>IF($M543="","",IF($F543="Compareceu",MAX(0,$M543-N($H543)),0))</f>
        <v>0</v>
      </c>
      <c r="Q543" s="19">
        <f>IF(AND($F543="Compareceu",$E543&lt;&gt;"",$A543&lt;&gt;""),IF(IFERROR(INDEX(ProcRet,MATCH($E543,ProcNome,0)),0)&gt;0,$A543+INDEX(ProcRet,MATCH($E543,ProcNome,0)),""),"")</f>
        <v>0</v>
      </c>
      <c r="R543" s="26">
        <f>IF($Q543="","",IF(COUNTIFS(AgPac,$D543,AgData,"&gt;"&amp;$A543,AgStatus,"&lt;&gt;Cancelado",AgStatus,"&lt;&gt;Remarcado")&gt;0,"Sim","Não"))</f>
        <v>0</v>
      </c>
      <c r="S543" s="28">
        <f>IF($A543="","",IF(AND($F543="Agendado",$A543-Hoje&gt;=0,$A543-Hoje&lt;=DiasConf),"CONFIRMAR",IF(AND($A543&lt;Hoje,OR($F543="Agendado",$F543="Confirmado")),"Atualizar status",IF(AND($F543="Compareceu",$P543&gt;0.005),"Cobrar",IF($F543="Faltou","Falta: reagendar","")))))</f>
        <v>0</v>
      </c>
      <c r="T543" s="29">
        <f>IF($A543="","",DATE(YEAR($A543),MONTH($A543),1))</f>
        <v>0</v>
      </c>
      <c r="U543" s="30">
        <f>IF($S543="CONFIRMAR",MAX($U$4:$U542)+1,"")</f>
        <v>0</v>
      </c>
      <c r="V543" s="30">
        <f>IF(AND($R543="Não",$Q543&lt;&gt;"",$Q543&lt;=Hoje+JanelaRet,$Q543&gt;=Hoje-60),MAX($V$4:$V542)+1,"")</f>
        <v>0</v>
      </c>
    </row>
    <row r="544" spans="1:22">
      <c r="A544" s="16"/>
      <c r="B544" s="23"/>
      <c r="C544" s="15"/>
      <c r="D544" s="15"/>
      <c r="E544" s="15"/>
      <c r="F544" s="24"/>
      <c r="G544" s="17"/>
      <c r="H544" s="17"/>
      <c r="I544" s="15"/>
      <c r="J544" s="25">
        <f>IF($D544="","",IFERROR(INDEX(PacNome,MATCH($D544,PacCod,0)),"Paciente não cadastrado"))</f>
        <v>0</v>
      </c>
      <c r="K544" s="26">
        <f>IF($D544="","",IFERROR(INDEX(PacConv,MATCH($D544,PacCod,0))&amp;"",""))</f>
        <v>0</v>
      </c>
      <c r="L544" s="26">
        <f>IF($A544="","",CHOOSE(WEEKDAY($A544,2),"Seg","Ter","Qua","Qui","Sex","Sáb","Dom"))</f>
        <v>0</v>
      </c>
      <c r="M544" s="27">
        <f>IF($E544="","",IF($G544&lt;&gt;"",$G544,IFERROR(INDEX(ProcValor,MATCH($E544,ProcNome,0)),0)))</f>
        <v>0</v>
      </c>
      <c r="N544" s="27">
        <f>IF($M544="","",IF($F544="Compareceu",$M544,0))</f>
        <v>0</v>
      </c>
      <c r="O544" s="27">
        <f>IF($M544="","",IF($F544="Faltou",$M544,0))</f>
        <v>0</v>
      </c>
      <c r="P544" s="27">
        <f>IF($M544="","",IF($F544="Compareceu",MAX(0,$M544-N($H544)),0))</f>
        <v>0</v>
      </c>
      <c r="Q544" s="19">
        <f>IF(AND($F544="Compareceu",$E544&lt;&gt;"",$A544&lt;&gt;""),IF(IFERROR(INDEX(ProcRet,MATCH($E544,ProcNome,0)),0)&gt;0,$A544+INDEX(ProcRet,MATCH($E544,ProcNome,0)),""),"")</f>
        <v>0</v>
      </c>
      <c r="R544" s="26">
        <f>IF($Q544="","",IF(COUNTIFS(AgPac,$D544,AgData,"&gt;"&amp;$A544,AgStatus,"&lt;&gt;Cancelado",AgStatus,"&lt;&gt;Remarcado")&gt;0,"Sim","Não"))</f>
        <v>0</v>
      </c>
      <c r="S544" s="28">
        <f>IF($A544="","",IF(AND($F544="Agendado",$A544-Hoje&gt;=0,$A544-Hoje&lt;=DiasConf),"CONFIRMAR",IF(AND($A544&lt;Hoje,OR($F544="Agendado",$F544="Confirmado")),"Atualizar status",IF(AND($F544="Compareceu",$P544&gt;0.005),"Cobrar",IF($F544="Faltou","Falta: reagendar","")))))</f>
        <v>0</v>
      </c>
      <c r="T544" s="29">
        <f>IF($A544="","",DATE(YEAR($A544),MONTH($A544),1))</f>
        <v>0</v>
      </c>
      <c r="U544" s="30">
        <f>IF($S544="CONFIRMAR",MAX($U$4:$U543)+1,"")</f>
        <v>0</v>
      </c>
      <c r="V544" s="30">
        <f>IF(AND($R544="Não",$Q544&lt;&gt;"",$Q544&lt;=Hoje+JanelaRet,$Q544&gt;=Hoje-60),MAX($V$4:$V543)+1,"")</f>
        <v>0</v>
      </c>
    </row>
    <row r="545" spans="1:22">
      <c r="A545" s="16"/>
      <c r="B545" s="23"/>
      <c r="C545" s="15"/>
      <c r="D545" s="15"/>
      <c r="E545" s="15"/>
      <c r="F545" s="24"/>
      <c r="G545" s="17"/>
      <c r="H545" s="17"/>
      <c r="I545" s="15"/>
      <c r="J545" s="25">
        <f>IF($D545="","",IFERROR(INDEX(PacNome,MATCH($D545,PacCod,0)),"Paciente não cadastrado"))</f>
        <v>0</v>
      </c>
      <c r="K545" s="26">
        <f>IF($D545="","",IFERROR(INDEX(PacConv,MATCH($D545,PacCod,0))&amp;"",""))</f>
        <v>0</v>
      </c>
      <c r="L545" s="26">
        <f>IF($A545="","",CHOOSE(WEEKDAY($A545,2),"Seg","Ter","Qua","Qui","Sex","Sáb","Dom"))</f>
        <v>0</v>
      </c>
      <c r="M545" s="27">
        <f>IF($E545="","",IF($G545&lt;&gt;"",$G545,IFERROR(INDEX(ProcValor,MATCH($E545,ProcNome,0)),0)))</f>
        <v>0</v>
      </c>
      <c r="N545" s="27">
        <f>IF($M545="","",IF($F545="Compareceu",$M545,0))</f>
        <v>0</v>
      </c>
      <c r="O545" s="27">
        <f>IF($M545="","",IF($F545="Faltou",$M545,0))</f>
        <v>0</v>
      </c>
      <c r="P545" s="27">
        <f>IF($M545="","",IF($F545="Compareceu",MAX(0,$M545-N($H545)),0))</f>
        <v>0</v>
      </c>
      <c r="Q545" s="19">
        <f>IF(AND($F545="Compareceu",$E545&lt;&gt;"",$A545&lt;&gt;""),IF(IFERROR(INDEX(ProcRet,MATCH($E545,ProcNome,0)),0)&gt;0,$A545+INDEX(ProcRet,MATCH($E545,ProcNome,0)),""),"")</f>
        <v>0</v>
      </c>
      <c r="R545" s="26">
        <f>IF($Q545="","",IF(COUNTIFS(AgPac,$D545,AgData,"&gt;"&amp;$A545,AgStatus,"&lt;&gt;Cancelado",AgStatus,"&lt;&gt;Remarcado")&gt;0,"Sim","Não"))</f>
        <v>0</v>
      </c>
      <c r="S545" s="28">
        <f>IF($A545="","",IF(AND($F545="Agendado",$A545-Hoje&gt;=0,$A545-Hoje&lt;=DiasConf),"CONFIRMAR",IF(AND($A545&lt;Hoje,OR($F545="Agendado",$F545="Confirmado")),"Atualizar status",IF(AND($F545="Compareceu",$P545&gt;0.005),"Cobrar",IF($F545="Faltou","Falta: reagendar","")))))</f>
        <v>0</v>
      </c>
      <c r="T545" s="29">
        <f>IF($A545="","",DATE(YEAR($A545),MONTH($A545),1))</f>
        <v>0</v>
      </c>
      <c r="U545" s="30">
        <f>IF($S545="CONFIRMAR",MAX($U$4:$U544)+1,"")</f>
        <v>0</v>
      </c>
      <c r="V545" s="30">
        <f>IF(AND($R545="Não",$Q545&lt;&gt;"",$Q545&lt;=Hoje+JanelaRet,$Q545&gt;=Hoje-60),MAX($V$4:$V544)+1,"")</f>
        <v>0</v>
      </c>
    </row>
    <row r="546" spans="1:22">
      <c r="A546" s="16"/>
      <c r="B546" s="23"/>
      <c r="C546" s="15"/>
      <c r="D546" s="15"/>
      <c r="E546" s="15"/>
      <c r="F546" s="24"/>
      <c r="G546" s="17"/>
      <c r="H546" s="17"/>
      <c r="I546" s="15"/>
      <c r="J546" s="25">
        <f>IF($D546="","",IFERROR(INDEX(PacNome,MATCH($D546,PacCod,0)),"Paciente não cadastrado"))</f>
        <v>0</v>
      </c>
      <c r="K546" s="26">
        <f>IF($D546="","",IFERROR(INDEX(PacConv,MATCH($D546,PacCod,0))&amp;"",""))</f>
        <v>0</v>
      </c>
      <c r="L546" s="26">
        <f>IF($A546="","",CHOOSE(WEEKDAY($A546,2),"Seg","Ter","Qua","Qui","Sex","Sáb","Dom"))</f>
        <v>0</v>
      </c>
      <c r="M546" s="27">
        <f>IF($E546="","",IF($G546&lt;&gt;"",$G546,IFERROR(INDEX(ProcValor,MATCH($E546,ProcNome,0)),0)))</f>
        <v>0</v>
      </c>
      <c r="N546" s="27">
        <f>IF($M546="","",IF($F546="Compareceu",$M546,0))</f>
        <v>0</v>
      </c>
      <c r="O546" s="27">
        <f>IF($M546="","",IF($F546="Faltou",$M546,0))</f>
        <v>0</v>
      </c>
      <c r="P546" s="27">
        <f>IF($M546="","",IF($F546="Compareceu",MAX(0,$M546-N($H546)),0))</f>
        <v>0</v>
      </c>
      <c r="Q546" s="19">
        <f>IF(AND($F546="Compareceu",$E546&lt;&gt;"",$A546&lt;&gt;""),IF(IFERROR(INDEX(ProcRet,MATCH($E546,ProcNome,0)),0)&gt;0,$A546+INDEX(ProcRet,MATCH($E546,ProcNome,0)),""),"")</f>
        <v>0</v>
      </c>
      <c r="R546" s="26">
        <f>IF($Q546="","",IF(COUNTIFS(AgPac,$D546,AgData,"&gt;"&amp;$A546,AgStatus,"&lt;&gt;Cancelado",AgStatus,"&lt;&gt;Remarcado")&gt;0,"Sim","Não"))</f>
        <v>0</v>
      </c>
      <c r="S546" s="28">
        <f>IF($A546="","",IF(AND($F546="Agendado",$A546-Hoje&gt;=0,$A546-Hoje&lt;=DiasConf),"CONFIRMAR",IF(AND($A546&lt;Hoje,OR($F546="Agendado",$F546="Confirmado")),"Atualizar status",IF(AND($F546="Compareceu",$P546&gt;0.005),"Cobrar",IF($F546="Faltou","Falta: reagendar","")))))</f>
        <v>0</v>
      </c>
      <c r="T546" s="29">
        <f>IF($A546="","",DATE(YEAR($A546),MONTH($A546),1))</f>
        <v>0</v>
      </c>
      <c r="U546" s="30">
        <f>IF($S546="CONFIRMAR",MAX($U$4:$U545)+1,"")</f>
        <v>0</v>
      </c>
      <c r="V546" s="30">
        <f>IF(AND($R546="Não",$Q546&lt;&gt;"",$Q546&lt;=Hoje+JanelaRet,$Q546&gt;=Hoje-60),MAX($V$4:$V545)+1,"")</f>
        <v>0</v>
      </c>
    </row>
    <row r="547" spans="1:22">
      <c r="A547" s="16"/>
      <c r="B547" s="23"/>
      <c r="C547" s="15"/>
      <c r="D547" s="15"/>
      <c r="E547" s="15"/>
      <c r="F547" s="24"/>
      <c r="G547" s="17"/>
      <c r="H547" s="17"/>
      <c r="I547" s="15"/>
      <c r="J547" s="25">
        <f>IF($D547="","",IFERROR(INDEX(PacNome,MATCH($D547,PacCod,0)),"Paciente não cadastrado"))</f>
        <v>0</v>
      </c>
      <c r="K547" s="26">
        <f>IF($D547="","",IFERROR(INDEX(PacConv,MATCH($D547,PacCod,0))&amp;"",""))</f>
        <v>0</v>
      </c>
      <c r="L547" s="26">
        <f>IF($A547="","",CHOOSE(WEEKDAY($A547,2),"Seg","Ter","Qua","Qui","Sex","Sáb","Dom"))</f>
        <v>0</v>
      </c>
      <c r="M547" s="27">
        <f>IF($E547="","",IF($G547&lt;&gt;"",$G547,IFERROR(INDEX(ProcValor,MATCH($E547,ProcNome,0)),0)))</f>
        <v>0</v>
      </c>
      <c r="N547" s="27">
        <f>IF($M547="","",IF($F547="Compareceu",$M547,0))</f>
        <v>0</v>
      </c>
      <c r="O547" s="27">
        <f>IF($M547="","",IF($F547="Faltou",$M547,0))</f>
        <v>0</v>
      </c>
      <c r="P547" s="27">
        <f>IF($M547="","",IF($F547="Compareceu",MAX(0,$M547-N($H547)),0))</f>
        <v>0</v>
      </c>
      <c r="Q547" s="19">
        <f>IF(AND($F547="Compareceu",$E547&lt;&gt;"",$A547&lt;&gt;""),IF(IFERROR(INDEX(ProcRet,MATCH($E547,ProcNome,0)),0)&gt;0,$A547+INDEX(ProcRet,MATCH($E547,ProcNome,0)),""),"")</f>
        <v>0</v>
      </c>
      <c r="R547" s="26">
        <f>IF($Q547="","",IF(COUNTIFS(AgPac,$D547,AgData,"&gt;"&amp;$A547,AgStatus,"&lt;&gt;Cancelado",AgStatus,"&lt;&gt;Remarcado")&gt;0,"Sim","Não"))</f>
        <v>0</v>
      </c>
      <c r="S547" s="28">
        <f>IF($A547="","",IF(AND($F547="Agendado",$A547-Hoje&gt;=0,$A547-Hoje&lt;=DiasConf),"CONFIRMAR",IF(AND($A547&lt;Hoje,OR($F547="Agendado",$F547="Confirmado")),"Atualizar status",IF(AND($F547="Compareceu",$P547&gt;0.005),"Cobrar",IF($F547="Faltou","Falta: reagendar","")))))</f>
        <v>0</v>
      </c>
      <c r="T547" s="29">
        <f>IF($A547="","",DATE(YEAR($A547),MONTH($A547),1))</f>
        <v>0</v>
      </c>
      <c r="U547" s="30">
        <f>IF($S547="CONFIRMAR",MAX($U$4:$U546)+1,"")</f>
        <v>0</v>
      </c>
      <c r="V547" s="30">
        <f>IF(AND($R547="Não",$Q547&lt;&gt;"",$Q547&lt;=Hoje+JanelaRet,$Q547&gt;=Hoje-60),MAX($V$4:$V546)+1,"")</f>
        <v>0</v>
      </c>
    </row>
    <row r="548" spans="1:22">
      <c r="A548" s="16"/>
      <c r="B548" s="23"/>
      <c r="C548" s="15"/>
      <c r="D548" s="15"/>
      <c r="E548" s="15"/>
      <c r="F548" s="24"/>
      <c r="G548" s="17"/>
      <c r="H548" s="17"/>
      <c r="I548" s="15"/>
      <c r="J548" s="25">
        <f>IF($D548="","",IFERROR(INDEX(PacNome,MATCH($D548,PacCod,0)),"Paciente não cadastrado"))</f>
        <v>0</v>
      </c>
      <c r="K548" s="26">
        <f>IF($D548="","",IFERROR(INDEX(PacConv,MATCH($D548,PacCod,0))&amp;"",""))</f>
        <v>0</v>
      </c>
      <c r="L548" s="26">
        <f>IF($A548="","",CHOOSE(WEEKDAY($A548,2),"Seg","Ter","Qua","Qui","Sex","Sáb","Dom"))</f>
        <v>0</v>
      </c>
      <c r="M548" s="27">
        <f>IF($E548="","",IF($G548&lt;&gt;"",$G548,IFERROR(INDEX(ProcValor,MATCH($E548,ProcNome,0)),0)))</f>
        <v>0</v>
      </c>
      <c r="N548" s="27">
        <f>IF($M548="","",IF($F548="Compareceu",$M548,0))</f>
        <v>0</v>
      </c>
      <c r="O548" s="27">
        <f>IF($M548="","",IF($F548="Faltou",$M548,0))</f>
        <v>0</v>
      </c>
      <c r="P548" s="27">
        <f>IF($M548="","",IF($F548="Compareceu",MAX(0,$M548-N($H548)),0))</f>
        <v>0</v>
      </c>
      <c r="Q548" s="19">
        <f>IF(AND($F548="Compareceu",$E548&lt;&gt;"",$A548&lt;&gt;""),IF(IFERROR(INDEX(ProcRet,MATCH($E548,ProcNome,0)),0)&gt;0,$A548+INDEX(ProcRet,MATCH($E548,ProcNome,0)),""),"")</f>
        <v>0</v>
      </c>
      <c r="R548" s="26">
        <f>IF($Q548="","",IF(COUNTIFS(AgPac,$D548,AgData,"&gt;"&amp;$A548,AgStatus,"&lt;&gt;Cancelado",AgStatus,"&lt;&gt;Remarcado")&gt;0,"Sim","Não"))</f>
        <v>0</v>
      </c>
      <c r="S548" s="28">
        <f>IF($A548="","",IF(AND($F548="Agendado",$A548-Hoje&gt;=0,$A548-Hoje&lt;=DiasConf),"CONFIRMAR",IF(AND($A548&lt;Hoje,OR($F548="Agendado",$F548="Confirmado")),"Atualizar status",IF(AND($F548="Compareceu",$P548&gt;0.005),"Cobrar",IF($F548="Faltou","Falta: reagendar","")))))</f>
        <v>0</v>
      </c>
      <c r="T548" s="29">
        <f>IF($A548="","",DATE(YEAR($A548),MONTH($A548),1))</f>
        <v>0</v>
      </c>
      <c r="U548" s="30">
        <f>IF($S548="CONFIRMAR",MAX($U$4:$U547)+1,"")</f>
        <v>0</v>
      </c>
      <c r="V548" s="30">
        <f>IF(AND($R548="Não",$Q548&lt;&gt;"",$Q548&lt;=Hoje+JanelaRet,$Q548&gt;=Hoje-60),MAX($V$4:$V547)+1,"")</f>
        <v>0</v>
      </c>
    </row>
    <row r="549" spans="1:22">
      <c r="A549" s="16"/>
      <c r="B549" s="23"/>
      <c r="C549" s="15"/>
      <c r="D549" s="15"/>
      <c r="E549" s="15"/>
      <c r="F549" s="24"/>
      <c r="G549" s="17"/>
      <c r="H549" s="17"/>
      <c r="I549" s="15"/>
      <c r="J549" s="25">
        <f>IF($D549="","",IFERROR(INDEX(PacNome,MATCH($D549,PacCod,0)),"Paciente não cadastrado"))</f>
        <v>0</v>
      </c>
      <c r="K549" s="26">
        <f>IF($D549="","",IFERROR(INDEX(PacConv,MATCH($D549,PacCod,0))&amp;"",""))</f>
        <v>0</v>
      </c>
      <c r="L549" s="26">
        <f>IF($A549="","",CHOOSE(WEEKDAY($A549,2),"Seg","Ter","Qua","Qui","Sex","Sáb","Dom"))</f>
        <v>0</v>
      </c>
      <c r="M549" s="27">
        <f>IF($E549="","",IF($G549&lt;&gt;"",$G549,IFERROR(INDEX(ProcValor,MATCH($E549,ProcNome,0)),0)))</f>
        <v>0</v>
      </c>
      <c r="N549" s="27">
        <f>IF($M549="","",IF($F549="Compareceu",$M549,0))</f>
        <v>0</v>
      </c>
      <c r="O549" s="27">
        <f>IF($M549="","",IF($F549="Faltou",$M549,0))</f>
        <v>0</v>
      </c>
      <c r="P549" s="27">
        <f>IF($M549="","",IF($F549="Compareceu",MAX(0,$M549-N($H549)),0))</f>
        <v>0</v>
      </c>
      <c r="Q549" s="19">
        <f>IF(AND($F549="Compareceu",$E549&lt;&gt;"",$A549&lt;&gt;""),IF(IFERROR(INDEX(ProcRet,MATCH($E549,ProcNome,0)),0)&gt;0,$A549+INDEX(ProcRet,MATCH($E549,ProcNome,0)),""),"")</f>
        <v>0</v>
      </c>
      <c r="R549" s="26">
        <f>IF($Q549="","",IF(COUNTIFS(AgPac,$D549,AgData,"&gt;"&amp;$A549,AgStatus,"&lt;&gt;Cancelado",AgStatus,"&lt;&gt;Remarcado")&gt;0,"Sim","Não"))</f>
        <v>0</v>
      </c>
      <c r="S549" s="28">
        <f>IF($A549="","",IF(AND($F549="Agendado",$A549-Hoje&gt;=0,$A549-Hoje&lt;=DiasConf),"CONFIRMAR",IF(AND($A549&lt;Hoje,OR($F549="Agendado",$F549="Confirmado")),"Atualizar status",IF(AND($F549="Compareceu",$P549&gt;0.005),"Cobrar",IF($F549="Faltou","Falta: reagendar","")))))</f>
        <v>0</v>
      </c>
      <c r="T549" s="29">
        <f>IF($A549="","",DATE(YEAR($A549),MONTH($A549),1))</f>
        <v>0</v>
      </c>
      <c r="U549" s="30">
        <f>IF($S549="CONFIRMAR",MAX($U$4:$U548)+1,"")</f>
        <v>0</v>
      </c>
      <c r="V549" s="30">
        <f>IF(AND($R549="Não",$Q549&lt;&gt;"",$Q549&lt;=Hoje+JanelaRet,$Q549&gt;=Hoje-60),MAX($V$4:$V548)+1,"")</f>
        <v>0</v>
      </c>
    </row>
    <row r="550" spans="1:22">
      <c r="A550" s="16"/>
      <c r="B550" s="23"/>
      <c r="C550" s="15"/>
      <c r="D550" s="15"/>
      <c r="E550" s="15"/>
      <c r="F550" s="24"/>
      <c r="G550" s="17"/>
      <c r="H550" s="17"/>
      <c r="I550" s="15"/>
      <c r="J550" s="25">
        <f>IF($D550="","",IFERROR(INDEX(PacNome,MATCH($D550,PacCod,0)),"Paciente não cadastrado"))</f>
        <v>0</v>
      </c>
      <c r="K550" s="26">
        <f>IF($D550="","",IFERROR(INDEX(PacConv,MATCH($D550,PacCod,0))&amp;"",""))</f>
        <v>0</v>
      </c>
      <c r="L550" s="26">
        <f>IF($A550="","",CHOOSE(WEEKDAY($A550,2),"Seg","Ter","Qua","Qui","Sex","Sáb","Dom"))</f>
        <v>0</v>
      </c>
      <c r="M550" s="27">
        <f>IF($E550="","",IF($G550&lt;&gt;"",$G550,IFERROR(INDEX(ProcValor,MATCH($E550,ProcNome,0)),0)))</f>
        <v>0</v>
      </c>
      <c r="N550" s="27">
        <f>IF($M550="","",IF($F550="Compareceu",$M550,0))</f>
        <v>0</v>
      </c>
      <c r="O550" s="27">
        <f>IF($M550="","",IF($F550="Faltou",$M550,0))</f>
        <v>0</v>
      </c>
      <c r="P550" s="27">
        <f>IF($M550="","",IF($F550="Compareceu",MAX(0,$M550-N($H550)),0))</f>
        <v>0</v>
      </c>
      <c r="Q550" s="19">
        <f>IF(AND($F550="Compareceu",$E550&lt;&gt;"",$A550&lt;&gt;""),IF(IFERROR(INDEX(ProcRet,MATCH($E550,ProcNome,0)),0)&gt;0,$A550+INDEX(ProcRet,MATCH($E550,ProcNome,0)),""),"")</f>
        <v>0</v>
      </c>
      <c r="R550" s="26">
        <f>IF($Q550="","",IF(COUNTIFS(AgPac,$D550,AgData,"&gt;"&amp;$A550,AgStatus,"&lt;&gt;Cancelado",AgStatus,"&lt;&gt;Remarcado")&gt;0,"Sim","Não"))</f>
        <v>0</v>
      </c>
      <c r="S550" s="28">
        <f>IF($A550="","",IF(AND($F550="Agendado",$A550-Hoje&gt;=0,$A550-Hoje&lt;=DiasConf),"CONFIRMAR",IF(AND($A550&lt;Hoje,OR($F550="Agendado",$F550="Confirmado")),"Atualizar status",IF(AND($F550="Compareceu",$P550&gt;0.005),"Cobrar",IF($F550="Faltou","Falta: reagendar","")))))</f>
        <v>0</v>
      </c>
      <c r="T550" s="29">
        <f>IF($A550="","",DATE(YEAR($A550),MONTH($A550),1))</f>
        <v>0</v>
      </c>
      <c r="U550" s="30">
        <f>IF($S550="CONFIRMAR",MAX($U$4:$U549)+1,"")</f>
        <v>0</v>
      </c>
      <c r="V550" s="30">
        <f>IF(AND($R550="Não",$Q550&lt;&gt;"",$Q550&lt;=Hoje+JanelaRet,$Q550&gt;=Hoje-60),MAX($V$4:$V549)+1,"")</f>
        <v>0</v>
      </c>
    </row>
    <row r="551" spans="1:22">
      <c r="A551" s="16"/>
      <c r="B551" s="23"/>
      <c r="C551" s="15"/>
      <c r="D551" s="15"/>
      <c r="E551" s="15"/>
      <c r="F551" s="24"/>
      <c r="G551" s="17"/>
      <c r="H551" s="17"/>
      <c r="I551" s="15"/>
      <c r="J551" s="25">
        <f>IF($D551="","",IFERROR(INDEX(PacNome,MATCH($D551,PacCod,0)),"Paciente não cadastrado"))</f>
        <v>0</v>
      </c>
      <c r="K551" s="26">
        <f>IF($D551="","",IFERROR(INDEX(PacConv,MATCH($D551,PacCod,0))&amp;"",""))</f>
        <v>0</v>
      </c>
      <c r="L551" s="26">
        <f>IF($A551="","",CHOOSE(WEEKDAY($A551,2),"Seg","Ter","Qua","Qui","Sex","Sáb","Dom"))</f>
        <v>0</v>
      </c>
      <c r="M551" s="27">
        <f>IF($E551="","",IF($G551&lt;&gt;"",$G551,IFERROR(INDEX(ProcValor,MATCH($E551,ProcNome,0)),0)))</f>
        <v>0</v>
      </c>
      <c r="N551" s="27">
        <f>IF($M551="","",IF($F551="Compareceu",$M551,0))</f>
        <v>0</v>
      </c>
      <c r="O551" s="27">
        <f>IF($M551="","",IF($F551="Faltou",$M551,0))</f>
        <v>0</v>
      </c>
      <c r="P551" s="27">
        <f>IF($M551="","",IF($F551="Compareceu",MAX(0,$M551-N($H551)),0))</f>
        <v>0</v>
      </c>
      <c r="Q551" s="19">
        <f>IF(AND($F551="Compareceu",$E551&lt;&gt;"",$A551&lt;&gt;""),IF(IFERROR(INDEX(ProcRet,MATCH($E551,ProcNome,0)),0)&gt;0,$A551+INDEX(ProcRet,MATCH($E551,ProcNome,0)),""),"")</f>
        <v>0</v>
      </c>
      <c r="R551" s="26">
        <f>IF($Q551="","",IF(COUNTIFS(AgPac,$D551,AgData,"&gt;"&amp;$A551,AgStatus,"&lt;&gt;Cancelado",AgStatus,"&lt;&gt;Remarcado")&gt;0,"Sim","Não"))</f>
        <v>0</v>
      </c>
      <c r="S551" s="28">
        <f>IF($A551="","",IF(AND($F551="Agendado",$A551-Hoje&gt;=0,$A551-Hoje&lt;=DiasConf),"CONFIRMAR",IF(AND($A551&lt;Hoje,OR($F551="Agendado",$F551="Confirmado")),"Atualizar status",IF(AND($F551="Compareceu",$P551&gt;0.005),"Cobrar",IF($F551="Faltou","Falta: reagendar","")))))</f>
        <v>0</v>
      </c>
      <c r="T551" s="29">
        <f>IF($A551="","",DATE(YEAR($A551),MONTH($A551),1))</f>
        <v>0</v>
      </c>
      <c r="U551" s="30">
        <f>IF($S551="CONFIRMAR",MAX($U$4:$U550)+1,"")</f>
        <v>0</v>
      </c>
      <c r="V551" s="30">
        <f>IF(AND($R551="Não",$Q551&lt;&gt;"",$Q551&lt;=Hoje+JanelaRet,$Q551&gt;=Hoje-60),MAX($V$4:$V550)+1,"")</f>
        <v>0</v>
      </c>
    </row>
    <row r="552" spans="1:22">
      <c r="A552" s="16"/>
      <c r="B552" s="23"/>
      <c r="C552" s="15"/>
      <c r="D552" s="15"/>
      <c r="E552" s="15"/>
      <c r="F552" s="24"/>
      <c r="G552" s="17"/>
      <c r="H552" s="17"/>
      <c r="I552" s="15"/>
      <c r="J552" s="25">
        <f>IF($D552="","",IFERROR(INDEX(PacNome,MATCH($D552,PacCod,0)),"Paciente não cadastrado"))</f>
        <v>0</v>
      </c>
      <c r="K552" s="26">
        <f>IF($D552="","",IFERROR(INDEX(PacConv,MATCH($D552,PacCod,0))&amp;"",""))</f>
        <v>0</v>
      </c>
      <c r="L552" s="26">
        <f>IF($A552="","",CHOOSE(WEEKDAY($A552,2),"Seg","Ter","Qua","Qui","Sex","Sáb","Dom"))</f>
        <v>0</v>
      </c>
      <c r="M552" s="27">
        <f>IF($E552="","",IF($G552&lt;&gt;"",$G552,IFERROR(INDEX(ProcValor,MATCH($E552,ProcNome,0)),0)))</f>
        <v>0</v>
      </c>
      <c r="N552" s="27">
        <f>IF($M552="","",IF($F552="Compareceu",$M552,0))</f>
        <v>0</v>
      </c>
      <c r="O552" s="27">
        <f>IF($M552="","",IF($F552="Faltou",$M552,0))</f>
        <v>0</v>
      </c>
      <c r="P552" s="27">
        <f>IF($M552="","",IF($F552="Compareceu",MAX(0,$M552-N($H552)),0))</f>
        <v>0</v>
      </c>
      <c r="Q552" s="19">
        <f>IF(AND($F552="Compareceu",$E552&lt;&gt;"",$A552&lt;&gt;""),IF(IFERROR(INDEX(ProcRet,MATCH($E552,ProcNome,0)),0)&gt;0,$A552+INDEX(ProcRet,MATCH($E552,ProcNome,0)),""),"")</f>
        <v>0</v>
      </c>
      <c r="R552" s="26">
        <f>IF($Q552="","",IF(COUNTIFS(AgPac,$D552,AgData,"&gt;"&amp;$A552,AgStatus,"&lt;&gt;Cancelado",AgStatus,"&lt;&gt;Remarcado")&gt;0,"Sim","Não"))</f>
        <v>0</v>
      </c>
      <c r="S552" s="28">
        <f>IF($A552="","",IF(AND($F552="Agendado",$A552-Hoje&gt;=0,$A552-Hoje&lt;=DiasConf),"CONFIRMAR",IF(AND($A552&lt;Hoje,OR($F552="Agendado",$F552="Confirmado")),"Atualizar status",IF(AND($F552="Compareceu",$P552&gt;0.005),"Cobrar",IF($F552="Faltou","Falta: reagendar","")))))</f>
        <v>0</v>
      </c>
      <c r="T552" s="29">
        <f>IF($A552="","",DATE(YEAR($A552),MONTH($A552),1))</f>
        <v>0</v>
      </c>
      <c r="U552" s="30">
        <f>IF($S552="CONFIRMAR",MAX($U$4:$U551)+1,"")</f>
        <v>0</v>
      </c>
      <c r="V552" s="30">
        <f>IF(AND($R552="Não",$Q552&lt;&gt;"",$Q552&lt;=Hoje+JanelaRet,$Q552&gt;=Hoje-60),MAX($V$4:$V551)+1,"")</f>
        <v>0</v>
      </c>
    </row>
    <row r="553" spans="1:22">
      <c r="A553" s="16"/>
      <c r="B553" s="23"/>
      <c r="C553" s="15"/>
      <c r="D553" s="15"/>
      <c r="E553" s="15"/>
      <c r="F553" s="24"/>
      <c r="G553" s="17"/>
      <c r="H553" s="17"/>
      <c r="I553" s="15"/>
      <c r="J553" s="25">
        <f>IF($D553="","",IFERROR(INDEX(PacNome,MATCH($D553,PacCod,0)),"Paciente não cadastrado"))</f>
        <v>0</v>
      </c>
      <c r="K553" s="26">
        <f>IF($D553="","",IFERROR(INDEX(PacConv,MATCH($D553,PacCod,0))&amp;"",""))</f>
        <v>0</v>
      </c>
      <c r="L553" s="26">
        <f>IF($A553="","",CHOOSE(WEEKDAY($A553,2),"Seg","Ter","Qua","Qui","Sex","Sáb","Dom"))</f>
        <v>0</v>
      </c>
      <c r="M553" s="27">
        <f>IF($E553="","",IF($G553&lt;&gt;"",$G553,IFERROR(INDEX(ProcValor,MATCH($E553,ProcNome,0)),0)))</f>
        <v>0</v>
      </c>
      <c r="N553" s="27">
        <f>IF($M553="","",IF($F553="Compareceu",$M553,0))</f>
        <v>0</v>
      </c>
      <c r="O553" s="27">
        <f>IF($M553="","",IF($F553="Faltou",$M553,0))</f>
        <v>0</v>
      </c>
      <c r="P553" s="27">
        <f>IF($M553="","",IF($F553="Compareceu",MAX(0,$M553-N($H553)),0))</f>
        <v>0</v>
      </c>
      <c r="Q553" s="19">
        <f>IF(AND($F553="Compareceu",$E553&lt;&gt;"",$A553&lt;&gt;""),IF(IFERROR(INDEX(ProcRet,MATCH($E553,ProcNome,0)),0)&gt;0,$A553+INDEX(ProcRet,MATCH($E553,ProcNome,0)),""),"")</f>
        <v>0</v>
      </c>
      <c r="R553" s="26">
        <f>IF($Q553="","",IF(COUNTIFS(AgPac,$D553,AgData,"&gt;"&amp;$A553,AgStatus,"&lt;&gt;Cancelado",AgStatus,"&lt;&gt;Remarcado")&gt;0,"Sim","Não"))</f>
        <v>0</v>
      </c>
      <c r="S553" s="28">
        <f>IF($A553="","",IF(AND($F553="Agendado",$A553-Hoje&gt;=0,$A553-Hoje&lt;=DiasConf),"CONFIRMAR",IF(AND($A553&lt;Hoje,OR($F553="Agendado",$F553="Confirmado")),"Atualizar status",IF(AND($F553="Compareceu",$P553&gt;0.005),"Cobrar",IF($F553="Faltou","Falta: reagendar","")))))</f>
        <v>0</v>
      </c>
      <c r="T553" s="29">
        <f>IF($A553="","",DATE(YEAR($A553),MONTH($A553),1))</f>
        <v>0</v>
      </c>
      <c r="U553" s="30">
        <f>IF($S553="CONFIRMAR",MAX($U$4:$U552)+1,"")</f>
        <v>0</v>
      </c>
      <c r="V553" s="30">
        <f>IF(AND($R553="Não",$Q553&lt;&gt;"",$Q553&lt;=Hoje+JanelaRet,$Q553&gt;=Hoje-60),MAX($V$4:$V552)+1,"")</f>
        <v>0</v>
      </c>
    </row>
    <row r="554" spans="1:22">
      <c r="A554" s="16"/>
      <c r="B554" s="23"/>
      <c r="C554" s="15"/>
      <c r="D554" s="15"/>
      <c r="E554" s="15"/>
      <c r="F554" s="24"/>
      <c r="G554" s="17"/>
      <c r="H554" s="17"/>
      <c r="I554" s="15"/>
      <c r="J554" s="25">
        <f>IF($D554="","",IFERROR(INDEX(PacNome,MATCH($D554,PacCod,0)),"Paciente não cadastrado"))</f>
        <v>0</v>
      </c>
      <c r="K554" s="26">
        <f>IF($D554="","",IFERROR(INDEX(PacConv,MATCH($D554,PacCod,0))&amp;"",""))</f>
        <v>0</v>
      </c>
      <c r="L554" s="26">
        <f>IF($A554="","",CHOOSE(WEEKDAY($A554,2),"Seg","Ter","Qua","Qui","Sex","Sáb","Dom"))</f>
        <v>0</v>
      </c>
      <c r="M554" s="27">
        <f>IF($E554="","",IF($G554&lt;&gt;"",$G554,IFERROR(INDEX(ProcValor,MATCH($E554,ProcNome,0)),0)))</f>
        <v>0</v>
      </c>
      <c r="N554" s="27">
        <f>IF($M554="","",IF($F554="Compareceu",$M554,0))</f>
        <v>0</v>
      </c>
      <c r="O554" s="27">
        <f>IF($M554="","",IF($F554="Faltou",$M554,0))</f>
        <v>0</v>
      </c>
      <c r="P554" s="27">
        <f>IF($M554="","",IF($F554="Compareceu",MAX(0,$M554-N($H554)),0))</f>
        <v>0</v>
      </c>
      <c r="Q554" s="19">
        <f>IF(AND($F554="Compareceu",$E554&lt;&gt;"",$A554&lt;&gt;""),IF(IFERROR(INDEX(ProcRet,MATCH($E554,ProcNome,0)),0)&gt;0,$A554+INDEX(ProcRet,MATCH($E554,ProcNome,0)),""),"")</f>
        <v>0</v>
      </c>
      <c r="R554" s="26">
        <f>IF($Q554="","",IF(COUNTIFS(AgPac,$D554,AgData,"&gt;"&amp;$A554,AgStatus,"&lt;&gt;Cancelado",AgStatus,"&lt;&gt;Remarcado")&gt;0,"Sim","Não"))</f>
        <v>0</v>
      </c>
      <c r="S554" s="28">
        <f>IF($A554="","",IF(AND($F554="Agendado",$A554-Hoje&gt;=0,$A554-Hoje&lt;=DiasConf),"CONFIRMAR",IF(AND($A554&lt;Hoje,OR($F554="Agendado",$F554="Confirmado")),"Atualizar status",IF(AND($F554="Compareceu",$P554&gt;0.005),"Cobrar",IF($F554="Faltou","Falta: reagendar","")))))</f>
        <v>0</v>
      </c>
      <c r="T554" s="29">
        <f>IF($A554="","",DATE(YEAR($A554),MONTH($A554),1))</f>
        <v>0</v>
      </c>
      <c r="U554" s="30">
        <f>IF($S554="CONFIRMAR",MAX($U$4:$U553)+1,"")</f>
        <v>0</v>
      </c>
      <c r="V554" s="30">
        <f>IF(AND($R554="Não",$Q554&lt;&gt;"",$Q554&lt;=Hoje+JanelaRet,$Q554&gt;=Hoje-60),MAX($V$4:$V553)+1,"")</f>
        <v>0</v>
      </c>
    </row>
    <row r="555" spans="1:22">
      <c r="A555" s="16"/>
      <c r="B555" s="23"/>
      <c r="C555" s="15"/>
      <c r="D555" s="15"/>
      <c r="E555" s="15"/>
      <c r="F555" s="24"/>
      <c r="G555" s="17"/>
      <c r="H555" s="17"/>
      <c r="I555" s="15"/>
      <c r="J555" s="25">
        <f>IF($D555="","",IFERROR(INDEX(PacNome,MATCH($D555,PacCod,0)),"Paciente não cadastrado"))</f>
        <v>0</v>
      </c>
      <c r="K555" s="26">
        <f>IF($D555="","",IFERROR(INDEX(PacConv,MATCH($D555,PacCod,0))&amp;"",""))</f>
        <v>0</v>
      </c>
      <c r="L555" s="26">
        <f>IF($A555="","",CHOOSE(WEEKDAY($A555,2),"Seg","Ter","Qua","Qui","Sex","Sáb","Dom"))</f>
        <v>0</v>
      </c>
      <c r="M555" s="27">
        <f>IF($E555="","",IF($G555&lt;&gt;"",$G555,IFERROR(INDEX(ProcValor,MATCH($E555,ProcNome,0)),0)))</f>
        <v>0</v>
      </c>
      <c r="N555" s="27">
        <f>IF($M555="","",IF($F555="Compareceu",$M555,0))</f>
        <v>0</v>
      </c>
      <c r="O555" s="27">
        <f>IF($M555="","",IF($F555="Faltou",$M555,0))</f>
        <v>0</v>
      </c>
      <c r="P555" s="27">
        <f>IF($M555="","",IF($F555="Compareceu",MAX(0,$M555-N($H555)),0))</f>
        <v>0</v>
      </c>
      <c r="Q555" s="19">
        <f>IF(AND($F555="Compareceu",$E555&lt;&gt;"",$A555&lt;&gt;""),IF(IFERROR(INDEX(ProcRet,MATCH($E555,ProcNome,0)),0)&gt;0,$A555+INDEX(ProcRet,MATCH($E555,ProcNome,0)),""),"")</f>
        <v>0</v>
      </c>
      <c r="R555" s="26">
        <f>IF($Q555="","",IF(COUNTIFS(AgPac,$D555,AgData,"&gt;"&amp;$A555,AgStatus,"&lt;&gt;Cancelado",AgStatus,"&lt;&gt;Remarcado")&gt;0,"Sim","Não"))</f>
        <v>0</v>
      </c>
      <c r="S555" s="28">
        <f>IF($A555="","",IF(AND($F555="Agendado",$A555-Hoje&gt;=0,$A555-Hoje&lt;=DiasConf),"CONFIRMAR",IF(AND($A555&lt;Hoje,OR($F555="Agendado",$F555="Confirmado")),"Atualizar status",IF(AND($F555="Compareceu",$P555&gt;0.005),"Cobrar",IF($F555="Faltou","Falta: reagendar","")))))</f>
        <v>0</v>
      </c>
      <c r="T555" s="29">
        <f>IF($A555="","",DATE(YEAR($A555),MONTH($A555),1))</f>
        <v>0</v>
      </c>
      <c r="U555" s="30">
        <f>IF($S555="CONFIRMAR",MAX($U$4:$U554)+1,"")</f>
        <v>0</v>
      </c>
      <c r="V555" s="30">
        <f>IF(AND($R555="Não",$Q555&lt;&gt;"",$Q555&lt;=Hoje+JanelaRet,$Q555&gt;=Hoje-60),MAX($V$4:$V554)+1,"")</f>
        <v>0</v>
      </c>
    </row>
    <row r="556" spans="1:22">
      <c r="A556" s="16"/>
      <c r="B556" s="23"/>
      <c r="C556" s="15"/>
      <c r="D556" s="15"/>
      <c r="E556" s="15"/>
      <c r="F556" s="24"/>
      <c r="G556" s="17"/>
      <c r="H556" s="17"/>
      <c r="I556" s="15"/>
      <c r="J556" s="25">
        <f>IF($D556="","",IFERROR(INDEX(PacNome,MATCH($D556,PacCod,0)),"Paciente não cadastrado"))</f>
        <v>0</v>
      </c>
      <c r="K556" s="26">
        <f>IF($D556="","",IFERROR(INDEX(PacConv,MATCH($D556,PacCod,0))&amp;"",""))</f>
        <v>0</v>
      </c>
      <c r="L556" s="26">
        <f>IF($A556="","",CHOOSE(WEEKDAY($A556,2),"Seg","Ter","Qua","Qui","Sex","Sáb","Dom"))</f>
        <v>0</v>
      </c>
      <c r="M556" s="27">
        <f>IF($E556="","",IF($G556&lt;&gt;"",$G556,IFERROR(INDEX(ProcValor,MATCH($E556,ProcNome,0)),0)))</f>
        <v>0</v>
      </c>
      <c r="N556" s="27">
        <f>IF($M556="","",IF($F556="Compareceu",$M556,0))</f>
        <v>0</v>
      </c>
      <c r="O556" s="27">
        <f>IF($M556="","",IF($F556="Faltou",$M556,0))</f>
        <v>0</v>
      </c>
      <c r="P556" s="27">
        <f>IF($M556="","",IF($F556="Compareceu",MAX(0,$M556-N($H556)),0))</f>
        <v>0</v>
      </c>
      <c r="Q556" s="19">
        <f>IF(AND($F556="Compareceu",$E556&lt;&gt;"",$A556&lt;&gt;""),IF(IFERROR(INDEX(ProcRet,MATCH($E556,ProcNome,0)),0)&gt;0,$A556+INDEX(ProcRet,MATCH($E556,ProcNome,0)),""),"")</f>
        <v>0</v>
      </c>
      <c r="R556" s="26">
        <f>IF($Q556="","",IF(COUNTIFS(AgPac,$D556,AgData,"&gt;"&amp;$A556,AgStatus,"&lt;&gt;Cancelado",AgStatus,"&lt;&gt;Remarcado")&gt;0,"Sim","Não"))</f>
        <v>0</v>
      </c>
      <c r="S556" s="28">
        <f>IF($A556="","",IF(AND($F556="Agendado",$A556-Hoje&gt;=0,$A556-Hoje&lt;=DiasConf),"CONFIRMAR",IF(AND($A556&lt;Hoje,OR($F556="Agendado",$F556="Confirmado")),"Atualizar status",IF(AND($F556="Compareceu",$P556&gt;0.005),"Cobrar",IF($F556="Faltou","Falta: reagendar","")))))</f>
        <v>0</v>
      </c>
      <c r="T556" s="29">
        <f>IF($A556="","",DATE(YEAR($A556),MONTH($A556),1))</f>
        <v>0</v>
      </c>
      <c r="U556" s="30">
        <f>IF($S556="CONFIRMAR",MAX($U$4:$U555)+1,"")</f>
        <v>0</v>
      </c>
      <c r="V556" s="30">
        <f>IF(AND($R556="Não",$Q556&lt;&gt;"",$Q556&lt;=Hoje+JanelaRet,$Q556&gt;=Hoje-60),MAX($V$4:$V555)+1,"")</f>
        <v>0</v>
      </c>
    </row>
    <row r="557" spans="1:22">
      <c r="A557" s="16"/>
      <c r="B557" s="23"/>
      <c r="C557" s="15"/>
      <c r="D557" s="15"/>
      <c r="E557" s="15"/>
      <c r="F557" s="24"/>
      <c r="G557" s="17"/>
      <c r="H557" s="17"/>
      <c r="I557" s="15"/>
      <c r="J557" s="25">
        <f>IF($D557="","",IFERROR(INDEX(PacNome,MATCH($D557,PacCod,0)),"Paciente não cadastrado"))</f>
        <v>0</v>
      </c>
      <c r="K557" s="26">
        <f>IF($D557="","",IFERROR(INDEX(PacConv,MATCH($D557,PacCod,0))&amp;"",""))</f>
        <v>0</v>
      </c>
      <c r="L557" s="26">
        <f>IF($A557="","",CHOOSE(WEEKDAY($A557,2),"Seg","Ter","Qua","Qui","Sex","Sáb","Dom"))</f>
        <v>0</v>
      </c>
      <c r="M557" s="27">
        <f>IF($E557="","",IF($G557&lt;&gt;"",$G557,IFERROR(INDEX(ProcValor,MATCH($E557,ProcNome,0)),0)))</f>
        <v>0</v>
      </c>
      <c r="N557" s="27">
        <f>IF($M557="","",IF($F557="Compareceu",$M557,0))</f>
        <v>0</v>
      </c>
      <c r="O557" s="27">
        <f>IF($M557="","",IF($F557="Faltou",$M557,0))</f>
        <v>0</v>
      </c>
      <c r="P557" s="27">
        <f>IF($M557="","",IF($F557="Compareceu",MAX(0,$M557-N($H557)),0))</f>
        <v>0</v>
      </c>
      <c r="Q557" s="19">
        <f>IF(AND($F557="Compareceu",$E557&lt;&gt;"",$A557&lt;&gt;""),IF(IFERROR(INDEX(ProcRet,MATCH($E557,ProcNome,0)),0)&gt;0,$A557+INDEX(ProcRet,MATCH($E557,ProcNome,0)),""),"")</f>
        <v>0</v>
      </c>
      <c r="R557" s="26">
        <f>IF($Q557="","",IF(COUNTIFS(AgPac,$D557,AgData,"&gt;"&amp;$A557,AgStatus,"&lt;&gt;Cancelado",AgStatus,"&lt;&gt;Remarcado")&gt;0,"Sim","Não"))</f>
        <v>0</v>
      </c>
      <c r="S557" s="28">
        <f>IF($A557="","",IF(AND($F557="Agendado",$A557-Hoje&gt;=0,$A557-Hoje&lt;=DiasConf),"CONFIRMAR",IF(AND($A557&lt;Hoje,OR($F557="Agendado",$F557="Confirmado")),"Atualizar status",IF(AND($F557="Compareceu",$P557&gt;0.005),"Cobrar",IF($F557="Faltou","Falta: reagendar","")))))</f>
        <v>0</v>
      </c>
      <c r="T557" s="29">
        <f>IF($A557="","",DATE(YEAR($A557),MONTH($A557),1))</f>
        <v>0</v>
      </c>
      <c r="U557" s="30">
        <f>IF($S557="CONFIRMAR",MAX($U$4:$U556)+1,"")</f>
        <v>0</v>
      </c>
      <c r="V557" s="30">
        <f>IF(AND($R557="Não",$Q557&lt;&gt;"",$Q557&lt;=Hoje+JanelaRet,$Q557&gt;=Hoje-60),MAX($V$4:$V556)+1,"")</f>
        <v>0</v>
      </c>
    </row>
    <row r="558" spans="1:22">
      <c r="A558" s="16"/>
      <c r="B558" s="23"/>
      <c r="C558" s="15"/>
      <c r="D558" s="15"/>
      <c r="E558" s="15"/>
      <c r="F558" s="24"/>
      <c r="G558" s="17"/>
      <c r="H558" s="17"/>
      <c r="I558" s="15"/>
      <c r="J558" s="25">
        <f>IF($D558="","",IFERROR(INDEX(PacNome,MATCH($D558,PacCod,0)),"Paciente não cadastrado"))</f>
        <v>0</v>
      </c>
      <c r="K558" s="26">
        <f>IF($D558="","",IFERROR(INDEX(PacConv,MATCH($D558,PacCod,0))&amp;"",""))</f>
        <v>0</v>
      </c>
      <c r="L558" s="26">
        <f>IF($A558="","",CHOOSE(WEEKDAY($A558,2),"Seg","Ter","Qua","Qui","Sex","Sáb","Dom"))</f>
        <v>0</v>
      </c>
      <c r="M558" s="27">
        <f>IF($E558="","",IF($G558&lt;&gt;"",$G558,IFERROR(INDEX(ProcValor,MATCH($E558,ProcNome,0)),0)))</f>
        <v>0</v>
      </c>
      <c r="N558" s="27">
        <f>IF($M558="","",IF($F558="Compareceu",$M558,0))</f>
        <v>0</v>
      </c>
      <c r="O558" s="27">
        <f>IF($M558="","",IF($F558="Faltou",$M558,0))</f>
        <v>0</v>
      </c>
      <c r="P558" s="27">
        <f>IF($M558="","",IF($F558="Compareceu",MAX(0,$M558-N($H558)),0))</f>
        <v>0</v>
      </c>
      <c r="Q558" s="19">
        <f>IF(AND($F558="Compareceu",$E558&lt;&gt;"",$A558&lt;&gt;""),IF(IFERROR(INDEX(ProcRet,MATCH($E558,ProcNome,0)),0)&gt;0,$A558+INDEX(ProcRet,MATCH($E558,ProcNome,0)),""),"")</f>
        <v>0</v>
      </c>
      <c r="R558" s="26">
        <f>IF($Q558="","",IF(COUNTIFS(AgPac,$D558,AgData,"&gt;"&amp;$A558,AgStatus,"&lt;&gt;Cancelado",AgStatus,"&lt;&gt;Remarcado")&gt;0,"Sim","Não"))</f>
        <v>0</v>
      </c>
      <c r="S558" s="28">
        <f>IF($A558="","",IF(AND($F558="Agendado",$A558-Hoje&gt;=0,$A558-Hoje&lt;=DiasConf),"CONFIRMAR",IF(AND($A558&lt;Hoje,OR($F558="Agendado",$F558="Confirmado")),"Atualizar status",IF(AND($F558="Compareceu",$P558&gt;0.005),"Cobrar",IF($F558="Faltou","Falta: reagendar","")))))</f>
        <v>0</v>
      </c>
      <c r="T558" s="29">
        <f>IF($A558="","",DATE(YEAR($A558),MONTH($A558),1))</f>
        <v>0</v>
      </c>
      <c r="U558" s="30">
        <f>IF($S558="CONFIRMAR",MAX($U$4:$U557)+1,"")</f>
        <v>0</v>
      </c>
      <c r="V558" s="30">
        <f>IF(AND($R558="Não",$Q558&lt;&gt;"",$Q558&lt;=Hoje+JanelaRet,$Q558&gt;=Hoje-60),MAX($V$4:$V557)+1,"")</f>
        <v>0</v>
      </c>
    </row>
    <row r="559" spans="1:22">
      <c r="A559" s="16"/>
      <c r="B559" s="23"/>
      <c r="C559" s="15"/>
      <c r="D559" s="15"/>
      <c r="E559" s="15"/>
      <c r="F559" s="24"/>
      <c r="G559" s="17"/>
      <c r="H559" s="17"/>
      <c r="I559" s="15"/>
      <c r="J559" s="25">
        <f>IF($D559="","",IFERROR(INDEX(PacNome,MATCH($D559,PacCod,0)),"Paciente não cadastrado"))</f>
        <v>0</v>
      </c>
      <c r="K559" s="26">
        <f>IF($D559="","",IFERROR(INDEX(PacConv,MATCH($D559,PacCod,0))&amp;"",""))</f>
        <v>0</v>
      </c>
      <c r="L559" s="26">
        <f>IF($A559="","",CHOOSE(WEEKDAY($A559,2),"Seg","Ter","Qua","Qui","Sex","Sáb","Dom"))</f>
        <v>0</v>
      </c>
      <c r="M559" s="27">
        <f>IF($E559="","",IF($G559&lt;&gt;"",$G559,IFERROR(INDEX(ProcValor,MATCH($E559,ProcNome,0)),0)))</f>
        <v>0</v>
      </c>
      <c r="N559" s="27">
        <f>IF($M559="","",IF($F559="Compareceu",$M559,0))</f>
        <v>0</v>
      </c>
      <c r="O559" s="27">
        <f>IF($M559="","",IF($F559="Faltou",$M559,0))</f>
        <v>0</v>
      </c>
      <c r="P559" s="27">
        <f>IF($M559="","",IF($F559="Compareceu",MAX(0,$M559-N($H559)),0))</f>
        <v>0</v>
      </c>
      <c r="Q559" s="19">
        <f>IF(AND($F559="Compareceu",$E559&lt;&gt;"",$A559&lt;&gt;""),IF(IFERROR(INDEX(ProcRet,MATCH($E559,ProcNome,0)),0)&gt;0,$A559+INDEX(ProcRet,MATCH($E559,ProcNome,0)),""),"")</f>
        <v>0</v>
      </c>
      <c r="R559" s="26">
        <f>IF($Q559="","",IF(COUNTIFS(AgPac,$D559,AgData,"&gt;"&amp;$A559,AgStatus,"&lt;&gt;Cancelado",AgStatus,"&lt;&gt;Remarcado")&gt;0,"Sim","Não"))</f>
        <v>0</v>
      </c>
      <c r="S559" s="28">
        <f>IF($A559="","",IF(AND($F559="Agendado",$A559-Hoje&gt;=0,$A559-Hoje&lt;=DiasConf),"CONFIRMAR",IF(AND($A559&lt;Hoje,OR($F559="Agendado",$F559="Confirmado")),"Atualizar status",IF(AND($F559="Compareceu",$P559&gt;0.005),"Cobrar",IF($F559="Faltou","Falta: reagendar","")))))</f>
        <v>0</v>
      </c>
      <c r="T559" s="29">
        <f>IF($A559="","",DATE(YEAR($A559),MONTH($A559),1))</f>
        <v>0</v>
      </c>
      <c r="U559" s="30">
        <f>IF($S559="CONFIRMAR",MAX($U$4:$U558)+1,"")</f>
        <v>0</v>
      </c>
      <c r="V559" s="30">
        <f>IF(AND($R559="Não",$Q559&lt;&gt;"",$Q559&lt;=Hoje+JanelaRet,$Q559&gt;=Hoje-60),MAX($V$4:$V558)+1,"")</f>
        <v>0</v>
      </c>
    </row>
    <row r="560" spans="1:22">
      <c r="A560" s="16"/>
      <c r="B560" s="23"/>
      <c r="C560" s="15"/>
      <c r="D560" s="15"/>
      <c r="E560" s="15"/>
      <c r="F560" s="24"/>
      <c r="G560" s="17"/>
      <c r="H560" s="17"/>
      <c r="I560" s="15"/>
      <c r="J560" s="25">
        <f>IF($D560="","",IFERROR(INDEX(PacNome,MATCH($D560,PacCod,0)),"Paciente não cadastrado"))</f>
        <v>0</v>
      </c>
      <c r="K560" s="26">
        <f>IF($D560="","",IFERROR(INDEX(PacConv,MATCH($D560,PacCod,0))&amp;"",""))</f>
        <v>0</v>
      </c>
      <c r="L560" s="26">
        <f>IF($A560="","",CHOOSE(WEEKDAY($A560,2),"Seg","Ter","Qua","Qui","Sex","Sáb","Dom"))</f>
        <v>0</v>
      </c>
      <c r="M560" s="27">
        <f>IF($E560="","",IF($G560&lt;&gt;"",$G560,IFERROR(INDEX(ProcValor,MATCH($E560,ProcNome,0)),0)))</f>
        <v>0</v>
      </c>
      <c r="N560" s="27">
        <f>IF($M560="","",IF($F560="Compareceu",$M560,0))</f>
        <v>0</v>
      </c>
      <c r="O560" s="27">
        <f>IF($M560="","",IF($F560="Faltou",$M560,0))</f>
        <v>0</v>
      </c>
      <c r="P560" s="27">
        <f>IF($M560="","",IF($F560="Compareceu",MAX(0,$M560-N($H560)),0))</f>
        <v>0</v>
      </c>
      <c r="Q560" s="19">
        <f>IF(AND($F560="Compareceu",$E560&lt;&gt;"",$A560&lt;&gt;""),IF(IFERROR(INDEX(ProcRet,MATCH($E560,ProcNome,0)),0)&gt;0,$A560+INDEX(ProcRet,MATCH($E560,ProcNome,0)),""),"")</f>
        <v>0</v>
      </c>
      <c r="R560" s="26">
        <f>IF($Q560="","",IF(COUNTIFS(AgPac,$D560,AgData,"&gt;"&amp;$A560,AgStatus,"&lt;&gt;Cancelado",AgStatus,"&lt;&gt;Remarcado")&gt;0,"Sim","Não"))</f>
        <v>0</v>
      </c>
      <c r="S560" s="28">
        <f>IF($A560="","",IF(AND($F560="Agendado",$A560-Hoje&gt;=0,$A560-Hoje&lt;=DiasConf),"CONFIRMAR",IF(AND($A560&lt;Hoje,OR($F560="Agendado",$F560="Confirmado")),"Atualizar status",IF(AND($F560="Compareceu",$P560&gt;0.005),"Cobrar",IF($F560="Faltou","Falta: reagendar","")))))</f>
        <v>0</v>
      </c>
      <c r="T560" s="29">
        <f>IF($A560="","",DATE(YEAR($A560),MONTH($A560),1))</f>
        <v>0</v>
      </c>
      <c r="U560" s="30">
        <f>IF($S560="CONFIRMAR",MAX($U$4:$U559)+1,"")</f>
        <v>0</v>
      </c>
      <c r="V560" s="30">
        <f>IF(AND($R560="Não",$Q560&lt;&gt;"",$Q560&lt;=Hoje+JanelaRet,$Q560&gt;=Hoje-60),MAX($V$4:$V559)+1,"")</f>
        <v>0</v>
      </c>
    </row>
    <row r="561" spans="1:22">
      <c r="A561" s="16"/>
      <c r="B561" s="23"/>
      <c r="C561" s="15"/>
      <c r="D561" s="15"/>
      <c r="E561" s="15"/>
      <c r="F561" s="24"/>
      <c r="G561" s="17"/>
      <c r="H561" s="17"/>
      <c r="I561" s="15"/>
      <c r="J561" s="25">
        <f>IF($D561="","",IFERROR(INDEX(PacNome,MATCH($D561,PacCod,0)),"Paciente não cadastrado"))</f>
        <v>0</v>
      </c>
      <c r="K561" s="26">
        <f>IF($D561="","",IFERROR(INDEX(PacConv,MATCH($D561,PacCod,0))&amp;"",""))</f>
        <v>0</v>
      </c>
      <c r="L561" s="26">
        <f>IF($A561="","",CHOOSE(WEEKDAY($A561,2),"Seg","Ter","Qua","Qui","Sex","Sáb","Dom"))</f>
        <v>0</v>
      </c>
      <c r="M561" s="27">
        <f>IF($E561="","",IF($G561&lt;&gt;"",$G561,IFERROR(INDEX(ProcValor,MATCH($E561,ProcNome,0)),0)))</f>
        <v>0</v>
      </c>
      <c r="N561" s="27">
        <f>IF($M561="","",IF($F561="Compareceu",$M561,0))</f>
        <v>0</v>
      </c>
      <c r="O561" s="27">
        <f>IF($M561="","",IF($F561="Faltou",$M561,0))</f>
        <v>0</v>
      </c>
      <c r="P561" s="27">
        <f>IF($M561="","",IF($F561="Compareceu",MAX(0,$M561-N($H561)),0))</f>
        <v>0</v>
      </c>
      <c r="Q561" s="19">
        <f>IF(AND($F561="Compareceu",$E561&lt;&gt;"",$A561&lt;&gt;""),IF(IFERROR(INDEX(ProcRet,MATCH($E561,ProcNome,0)),0)&gt;0,$A561+INDEX(ProcRet,MATCH($E561,ProcNome,0)),""),"")</f>
        <v>0</v>
      </c>
      <c r="R561" s="26">
        <f>IF($Q561="","",IF(COUNTIFS(AgPac,$D561,AgData,"&gt;"&amp;$A561,AgStatus,"&lt;&gt;Cancelado",AgStatus,"&lt;&gt;Remarcado")&gt;0,"Sim","Não"))</f>
        <v>0</v>
      </c>
      <c r="S561" s="28">
        <f>IF($A561="","",IF(AND($F561="Agendado",$A561-Hoje&gt;=0,$A561-Hoje&lt;=DiasConf),"CONFIRMAR",IF(AND($A561&lt;Hoje,OR($F561="Agendado",$F561="Confirmado")),"Atualizar status",IF(AND($F561="Compareceu",$P561&gt;0.005),"Cobrar",IF($F561="Faltou","Falta: reagendar","")))))</f>
        <v>0</v>
      </c>
      <c r="T561" s="29">
        <f>IF($A561="","",DATE(YEAR($A561),MONTH($A561),1))</f>
        <v>0</v>
      </c>
      <c r="U561" s="30">
        <f>IF($S561="CONFIRMAR",MAX($U$4:$U560)+1,"")</f>
        <v>0</v>
      </c>
      <c r="V561" s="30">
        <f>IF(AND($R561="Não",$Q561&lt;&gt;"",$Q561&lt;=Hoje+JanelaRet,$Q561&gt;=Hoje-60),MAX($V$4:$V560)+1,"")</f>
        <v>0</v>
      </c>
    </row>
    <row r="562" spans="1:22">
      <c r="A562" s="16"/>
      <c r="B562" s="23"/>
      <c r="C562" s="15"/>
      <c r="D562" s="15"/>
      <c r="E562" s="15"/>
      <c r="F562" s="24"/>
      <c r="G562" s="17"/>
      <c r="H562" s="17"/>
      <c r="I562" s="15"/>
      <c r="J562" s="25">
        <f>IF($D562="","",IFERROR(INDEX(PacNome,MATCH($D562,PacCod,0)),"Paciente não cadastrado"))</f>
        <v>0</v>
      </c>
      <c r="K562" s="26">
        <f>IF($D562="","",IFERROR(INDEX(PacConv,MATCH($D562,PacCod,0))&amp;"",""))</f>
        <v>0</v>
      </c>
      <c r="L562" s="26">
        <f>IF($A562="","",CHOOSE(WEEKDAY($A562,2),"Seg","Ter","Qua","Qui","Sex","Sáb","Dom"))</f>
        <v>0</v>
      </c>
      <c r="M562" s="27">
        <f>IF($E562="","",IF($G562&lt;&gt;"",$G562,IFERROR(INDEX(ProcValor,MATCH($E562,ProcNome,0)),0)))</f>
        <v>0</v>
      </c>
      <c r="N562" s="27">
        <f>IF($M562="","",IF($F562="Compareceu",$M562,0))</f>
        <v>0</v>
      </c>
      <c r="O562" s="27">
        <f>IF($M562="","",IF($F562="Faltou",$M562,0))</f>
        <v>0</v>
      </c>
      <c r="P562" s="27">
        <f>IF($M562="","",IF($F562="Compareceu",MAX(0,$M562-N($H562)),0))</f>
        <v>0</v>
      </c>
      <c r="Q562" s="19">
        <f>IF(AND($F562="Compareceu",$E562&lt;&gt;"",$A562&lt;&gt;""),IF(IFERROR(INDEX(ProcRet,MATCH($E562,ProcNome,0)),0)&gt;0,$A562+INDEX(ProcRet,MATCH($E562,ProcNome,0)),""),"")</f>
        <v>0</v>
      </c>
      <c r="R562" s="26">
        <f>IF($Q562="","",IF(COUNTIFS(AgPac,$D562,AgData,"&gt;"&amp;$A562,AgStatus,"&lt;&gt;Cancelado",AgStatus,"&lt;&gt;Remarcado")&gt;0,"Sim","Não"))</f>
        <v>0</v>
      </c>
      <c r="S562" s="28">
        <f>IF($A562="","",IF(AND($F562="Agendado",$A562-Hoje&gt;=0,$A562-Hoje&lt;=DiasConf),"CONFIRMAR",IF(AND($A562&lt;Hoje,OR($F562="Agendado",$F562="Confirmado")),"Atualizar status",IF(AND($F562="Compareceu",$P562&gt;0.005),"Cobrar",IF($F562="Faltou","Falta: reagendar","")))))</f>
        <v>0</v>
      </c>
      <c r="T562" s="29">
        <f>IF($A562="","",DATE(YEAR($A562),MONTH($A562),1))</f>
        <v>0</v>
      </c>
      <c r="U562" s="30">
        <f>IF($S562="CONFIRMAR",MAX($U$4:$U561)+1,"")</f>
        <v>0</v>
      </c>
      <c r="V562" s="30">
        <f>IF(AND($R562="Não",$Q562&lt;&gt;"",$Q562&lt;=Hoje+JanelaRet,$Q562&gt;=Hoje-60),MAX($V$4:$V561)+1,"")</f>
        <v>0</v>
      </c>
    </row>
    <row r="563" spans="1:22">
      <c r="A563" s="16"/>
      <c r="B563" s="23"/>
      <c r="C563" s="15"/>
      <c r="D563" s="15"/>
      <c r="E563" s="15"/>
      <c r="F563" s="24"/>
      <c r="G563" s="17"/>
      <c r="H563" s="17"/>
      <c r="I563" s="15"/>
      <c r="J563" s="25">
        <f>IF($D563="","",IFERROR(INDEX(PacNome,MATCH($D563,PacCod,0)),"Paciente não cadastrado"))</f>
        <v>0</v>
      </c>
      <c r="K563" s="26">
        <f>IF($D563="","",IFERROR(INDEX(PacConv,MATCH($D563,PacCod,0))&amp;"",""))</f>
        <v>0</v>
      </c>
      <c r="L563" s="26">
        <f>IF($A563="","",CHOOSE(WEEKDAY($A563,2),"Seg","Ter","Qua","Qui","Sex","Sáb","Dom"))</f>
        <v>0</v>
      </c>
      <c r="M563" s="27">
        <f>IF($E563="","",IF($G563&lt;&gt;"",$G563,IFERROR(INDEX(ProcValor,MATCH($E563,ProcNome,0)),0)))</f>
        <v>0</v>
      </c>
      <c r="N563" s="27">
        <f>IF($M563="","",IF($F563="Compareceu",$M563,0))</f>
        <v>0</v>
      </c>
      <c r="O563" s="27">
        <f>IF($M563="","",IF($F563="Faltou",$M563,0))</f>
        <v>0</v>
      </c>
      <c r="P563" s="27">
        <f>IF($M563="","",IF($F563="Compareceu",MAX(0,$M563-N($H563)),0))</f>
        <v>0</v>
      </c>
      <c r="Q563" s="19">
        <f>IF(AND($F563="Compareceu",$E563&lt;&gt;"",$A563&lt;&gt;""),IF(IFERROR(INDEX(ProcRet,MATCH($E563,ProcNome,0)),0)&gt;0,$A563+INDEX(ProcRet,MATCH($E563,ProcNome,0)),""),"")</f>
        <v>0</v>
      </c>
      <c r="R563" s="26">
        <f>IF($Q563="","",IF(COUNTIFS(AgPac,$D563,AgData,"&gt;"&amp;$A563,AgStatus,"&lt;&gt;Cancelado",AgStatus,"&lt;&gt;Remarcado")&gt;0,"Sim","Não"))</f>
        <v>0</v>
      </c>
      <c r="S563" s="28">
        <f>IF($A563="","",IF(AND($F563="Agendado",$A563-Hoje&gt;=0,$A563-Hoje&lt;=DiasConf),"CONFIRMAR",IF(AND($A563&lt;Hoje,OR($F563="Agendado",$F563="Confirmado")),"Atualizar status",IF(AND($F563="Compareceu",$P563&gt;0.005),"Cobrar",IF($F563="Faltou","Falta: reagendar","")))))</f>
        <v>0</v>
      </c>
      <c r="T563" s="29">
        <f>IF($A563="","",DATE(YEAR($A563),MONTH($A563),1))</f>
        <v>0</v>
      </c>
      <c r="U563" s="30">
        <f>IF($S563="CONFIRMAR",MAX($U$4:$U562)+1,"")</f>
        <v>0</v>
      </c>
      <c r="V563" s="30">
        <f>IF(AND($R563="Não",$Q563&lt;&gt;"",$Q563&lt;=Hoje+JanelaRet,$Q563&gt;=Hoje-60),MAX($V$4:$V562)+1,"")</f>
        <v>0</v>
      </c>
    </row>
    <row r="564" spans="1:22">
      <c r="A564" s="16"/>
      <c r="B564" s="23"/>
      <c r="C564" s="15"/>
      <c r="D564" s="15"/>
      <c r="E564" s="15"/>
      <c r="F564" s="24"/>
      <c r="G564" s="17"/>
      <c r="H564" s="17"/>
      <c r="I564" s="15"/>
      <c r="J564" s="25">
        <f>IF($D564="","",IFERROR(INDEX(PacNome,MATCH($D564,PacCod,0)),"Paciente não cadastrado"))</f>
        <v>0</v>
      </c>
      <c r="K564" s="26">
        <f>IF($D564="","",IFERROR(INDEX(PacConv,MATCH($D564,PacCod,0))&amp;"",""))</f>
        <v>0</v>
      </c>
      <c r="L564" s="26">
        <f>IF($A564="","",CHOOSE(WEEKDAY($A564,2),"Seg","Ter","Qua","Qui","Sex","Sáb","Dom"))</f>
        <v>0</v>
      </c>
      <c r="M564" s="27">
        <f>IF($E564="","",IF($G564&lt;&gt;"",$G564,IFERROR(INDEX(ProcValor,MATCH($E564,ProcNome,0)),0)))</f>
        <v>0</v>
      </c>
      <c r="N564" s="27">
        <f>IF($M564="","",IF($F564="Compareceu",$M564,0))</f>
        <v>0</v>
      </c>
      <c r="O564" s="27">
        <f>IF($M564="","",IF($F564="Faltou",$M564,0))</f>
        <v>0</v>
      </c>
      <c r="P564" s="27">
        <f>IF($M564="","",IF($F564="Compareceu",MAX(0,$M564-N($H564)),0))</f>
        <v>0</v>
      </c>
      <c r="Q564" s="19">
        <f>IF(AND($F564="Compareceu",$E564&lt;&gt;"",$A564&lt;&gt;""),IF(IFERROR(INDEX(ProcRet,MATCH($E564,ProcNome,0)),0)&gt;0,$A564+INDEX(ProcRet,MATCH($E564,ProcNome,0)),""),"")</f>
        <v>0</v>
      </c>
      <c r="R564" s="26">
        <f>IF($Q564="","",IF(COUNTIFS(AgPac,$D564,AgData,"&gt;"&amp;$A564,AgStatus,"&lt;&gt;Cancelado",AgStatus,"&lt;&gt;Remarcado")&gt;0,"Sim","Não"))</f>
        <v>0</v>
      </c>
      <c r="S564" s="28">
        <f>IF($A564="","",IF(AND($F564="Agendado",$A564-Hoje&gt;=0,$A564-Hoje&lt;=DiasConf),"CONFIRMAR",IF(AND($A564&lt;Hoje,OR($F564="Agendado",$F564="Confirmado")),"Atualizar status",IF(AND($F564="Compareceu",$P564&gt;0.005),"Cobrar",IF($F564="Faltou","Falta: reagendar","")))))</f>
        <v>0</v>
      </c>
      <c r="T564" s="29">
        <f>IF($A564="","",DATE(YEAR($A564),MONTH($A564),1))</f>
        <v>0</v>
      </c>
      <c r="U564" s="30">
        <f>IF($S564="CONFIRMAR",MAX($U$4:$U563)+1,"")</f>
        <v>0</v>
      </c>
      <c r="V564" s="30">
        <f>IF(AND($R564="Não",$Q564&lt;&gt;"",$Q564&lt;=Hoje+JanelaRet,$Q564&gt;=Hoje-60),MAX($V$4:$V563)+1,"")</f>
        <v>0</v>
      </c>
    </row>
    <row r="565" spans="1:22">
      <c r="A565" s="16"/>
      <c r="B565" s="23"/>
      <c r="C565" s="15"/>
      <c r="D565" s="15"/>
      <c r="E565" s="15"/>
      <c r="F565" s="24"/>
      <c r="G565" s="17"/>
      <c r="H565" s="17"/>
      <c r="I565" s="15"/>
      <c r="J565" s="25">
        <f>IF($D565="","",IFERROR(INDEX(PacNome,MATCH($D565,PacCod,0)),"Paciente não cadastrado"))</f>
        <v>0</v>
      </c>
      <c r="K565" s="26">
        <f>IF($D565="","",IFERROR(INDEX(PacConv,MATCH($D565,PacCod,0))&amp;"",""))</f>
        <v>0</v>
      </c>
      <c r="L565" s="26">
        <f>IF($A565="","",CHOOSE(WEEKDAY($A565,2),"Seg","Ter","Qua","Qui","Sex","Sáb","Dom"))</f>
        <v>0</v>
      </c>
      <c r="M565" s="27">
        <f>IF($E565="","",IF($G565&lt;&gt;"",$G565,IFERROR(INDEX(ProcValor,MATCH($E565,ProcNome,0)),0)))</f>
        <v>0</v>
      </c>
      <c r="N565" s="27">
        <f>IF($M565="","",IF($F565="Compareceu",$M565,0))</f>
        <v>0</v>
      </c>
      <c r="O565" s="27">
        <f>IF($M565="","",IF($F565="Faltou",$M565,0))</f>
        <v>0</v>
      </c>
      <c r="P565" s="27">
        <f>IF($M565="","",IF($F565="Compareceu",MAX(0,$M565-N($H565)),0))</f>
        <v>0</v>
      </c>
      <c r="Q565" s="19">
        <f>IF(AND($F565="Compareceu",$E565&lt;&gt;"",$A565&lt;&gt;""),IF(IFERROR(INDEX(ProcRet,MATCH($E565,ProcNome,0)),0)&gt;0,$A565+INDEX(ProcRet,MATCH($E565,ProcNome,0)),""),"")</f>
        <v>0</v>
      </c>
      <c r="R565" s="26">
        <f>IF($Q565="","",IF(COUNTIFS(AgPac,$D565,AgData,"&gt;"&amp;$A565,AgStatus,"&lt;&gt;Cancelado",AgStatus,"&lt;&gt;Remarcado")&gt;0,"Sim","Não"))</f>
        <v>0</v>
      </c>
      <c r="S565" s="28">
        <f>IF($A565="","",IF(AND($F565="Agendado",$A565-Hoje&gt;=0,$A565-Hoje&lt;=DiasConf),"CONFIRMAR",IF(AND($A565&lt;Hoje,OR($F565="Agendado",$F565="Confirmado")),"Atualizar status",IF(AND($F565="Compareceu",$P565&gt;0.005),"Cobrar",IF($F565="Faltou","Falta: reagendar","")))))</f>
        <v>0</v>
      </c>
      <c r="T565" s="29">
        <f>IF($A565="","",DATE(YEAR($A565),MONTH($A565),1))</f>
        <v>0</v>
      </c>
      <c r="U565" s="30">
        <f>IF($S565="CONFIRMAR",MAX($U$4:$U564)+1,"")</f>
        <v>0</v>
      </c>
      <c r="V565" s="30">
        <f>IF(AND($R565="Não",$Q565&lt;&gt;"",$Q565&lt;=Hoje+JanelaRet,$Q565&gt;=Hoje-60),MAX($V$4:$V564)+1,"")</f>
        <v>0</v>
      </c>
    </row>
    <row r="566" spans="1:22">
      <c r="A566" s="16"/>
      <c r="B566" s="23"/>
      <c r="C566" s="15"/>
      <c r="D566" s="15"/>
      <c r="E566" s="15"/>
      <c r="F566" s="24"/>
      <c r="G566" s="17"/>
      <c r="H566" s="17"/>
      <c r="I566" s="15"/>
      <c r="J566" s="25">
        <f>IF($D566="","",IFERROR(INDEX(PacNome,MATCH($D566,PacCod,0)),"Paciente não cadastrado"))</f>
        <v>0</v>
      </c>
      <c r="K566" s="26">
        <f>IF($D566="","",IFERROR(INDEX(PacConv,MATCH($D566,PacCod,0))&amp;"",""))</f>
        <v>0</v>
      </c>
      <c r="L566" s="26">
        <f>IF($A566="","",CHOOSE(WEEKDAY($A566,2),"Seg","Ter","Qua","Qui","Sex","Sáb","Dom"))</f>
        <v>0</v>
      </c>
      <c r="M566" s="27">
        <f>IF($E566="","",IF($G566&lt;&gt;"",$G566,IFERROR(INDEX(ProcValor,MATCH($E566,ProcNome,0)),0)))</f>
        <v>0</v>
      </c>
      <c r="N566" s="27">
        <f>IF($M566="","",IF($F566="Compareceu",$M566,0))</f>
        <v>0</v>
      </c>
      <c r="O566" s="27">
        <f>IF($M566="","",IF($F566="Faltou",$M566,0))</f>
        <v>0</v>
      </c>
      <c r="P566" s="27">
        <f>IF($M566="","",IF($F566="Compareceu",MAX(0,$M566-N($H566)),0))</f>
        <v>0</v>
      </c>
      <c r="Q566" s="19">
        <f>IF(AND($F566="Compareceu",$E566&lt;&gt;"",$A566&lt;&gt;""),IF(IFERROR(INDEX(ProcRet,MATCH($E566,ProcNome,0)),0)&gt;0,$A566+INDEX(ProcRet,MATCH($E566,ProcNome,0)),""),"")</f>
        <v>0</v>
      </c>
      <c r="R566" s="26">
        <f>IF($Q566="","",IF(COUNTIFS(AgPac,$D566,AgData,"&gt;"&amp;$A566,AgStatus,"&lt;&gt;Cancelado",AgStatus,"&lt;&gt;Remarcado")&gt;0,"Sim","Não"))</f>
        <v>0</v>
      </c>
      <c r="S566" s="28">
        <f>IF($A566="","",IF(AND($F566="Agendado",$A566-Hoje&gt;=0,$A566-Hoje&lt;=DiasConf),"CONFIRMAR",IF(AND($A566&lt;Hoje,OR($F566="Agendado",$F566="Confirmado")),"Atualizar status",IF(AND($F566="Compareceu",$P566&gt;0.005),"Cobrar",IF($F566="Faltou","Falta: reagendar","")))))</f>
        <v>0</v>
      </c>
      <c r="T566" s="29">
        <f>IF($A566="","",DATE(YEAR($A566),MONTH($A566),1))</f>
        <v>0</v>
      </c>
      <c r="U566" s="30">
        <f>IF($S566="CONFIRMAR",MAX($U$4:$U565)+1,"")</f>
        <v>0</v>
      </c>
      <c r="V566" s="30">
        <f>IF(AND($R566="Não",$Q566&lt;&gt;"",$Q566&lt;=Hoje+JanelaRet,$Q566&gt;=Hoje-60),MAX($V$4:$V565)+1,"")</f>
        <v>0</v>
      </c>
    </row>
    <row r="567" spans="1:22">
      <c r="A567" s="16"/>
      <c r="B567" s="23"/>
      <c r="C567" s="15"/>
      <c r="D567" s="15"/>
      <c r="E567" s="15"/>
      <c r="F567" s="24"/>
      <c r="G567" s="17"/>
      <c r="H567" s="17"/>
      <c r="I567" s="15"/>
      <c r="J567" s="25">
        <f>IF($D567="","",IFERROR(INDEX(PacNome,MATCH($D567,PacCod,0)),"Paciente não cadastrado"))</f>
        <v>0</v>
      </c>
      <c r="K567" s="26">
        <f>IF($D567="","",IFERROR(INDEX(PacConv,MATCH($D567,PacCod,0))&amp;"",""))</f>
        <v>0</v>
      </c>
      <c r="L567" s="26">
        <f>IF($A567="","",CHOOSE(WEEKDAY($A567,2),"Seg","Ter","Qua","Qui","Sex","Sáb","Dom"))</f>
        <v>0</v>
      </c>
      <c r="M567" s="27">
        <f>IF($E567="","",IF($G567&lt;&gt;"",$G567,IFERROR(INDEX(ProcValor,MATCH($E567,ProcNome,0)),0)))</f>
        <v>0</v>
      </c>
      <c r="N567" s="27">
        <f>IF($M567="","",IF($F567="Compareceu",$M567,0))</f>
        <v>0</v>
      </c>
      <c r="O567" s="27">
        <f>IF($M567="","",IF($F567="Faltou",$M567,0))</f>
        <v>0</v>
      </c>
      <c r="P567" s="27">
        <f>IF($M567="","",IF($F567="Compareceu",MAX(0,$M567-N($H567)),0))</f>
        <v>0</v>
      </c>
      <c r="Q567" s="19">
        <f>IF(AND($F567="Compareceu",$E567&lt;&gt;"",$A567&lt;&gt;""),IF(IFERROR(INDEX(ProcRet,MATCH($E567,ProcNome,0)),0)&gt;0,$A567+INDEX(ProcRet,MATCH($E567,ProcNome,0)),""),"")</f>
        <v>0</v>
      </c>
      <c r="R567" s="26">
        <f>IF($Q567="","",IF(COUNTIFS(AgPac,$D567,AgData,"&gt;"&amp;$A567,AgStatus,"&lt;&gt;Cancelado",AgStatus,"&lt;&gt;Remarcado")&gt;0,"Sim","Não"))</f>
        <v>0</v>
      </c>
      <c r="S567" s="28">
        <f>IF($A567="","",IF(AND($F567="Agendado",$A567-Hoje&gt;=0,$A567-Hoje&lt;=DiasConf),"CONFIRMAR",IF(AND($A567&lt;Hoje,OR($F567="Agendado",$F567="Confirmado")),"Atualizar status",IF(AND($F567="Compareceu",$P567&gt;0.005),"Cobrar",IF($F567="Faltou","Falta: reagendar","")))))</f>
        <v>0</v>
      </c>
      <c r="T567" s="29">
        <f>IF($A567="","",DATE(YEAR($A567),MONTH($A567),1))</f>
        <v>0</v>
      </c>
      <c r="U567" s="30">
        <f>IF($S567="CONFIRMAR",MAX($U$4:$U566)+1,"")</f>
        <v>0</v>
      </c>
      <c r="V567" s="30">
        <f>IF(AND($R567="Não",$Q567&lt;&gt;"",$Q567&lt;=Hoje+JanelaRet,$Q567&gt;=Hoje-60),MAX($V$4:$V566)+1,"")</f>
        <v>0</v>
      </c>
    </row>
    <row r="568" spans="1:22">
      <c r="A568" s="16"/>
      <c r="B568" s="23"/>
      <c r="C568" s="15"/>
      <c r="D568" s="15"/>
      <c r="E568" s="15"/>
      <c r="F568" s="24"/>
      <c r="G568" s="17"/>
      <c r="H568" s="17"/>
      <c r="I568" s="15"/>
      <c r="J568" s="25">
        <f>IF($D568="","",IFERROR(INDEX(PacNome,MATCH($D568,PacCod,0)),"Paciente não cadastrado"))</f>
        <v>0</v>
      </c>
      <c r="K568" s="26">
        <f>IF($D568="","",IFERROR(INDEX(PacConv,MATCH($D568,PacCod,0))&amp;"",""))</f>
        <v>0</v>
      </c>
      <c r="L568" s="26">
        <f>IF($A568="","",CHOOSE(WEEKDAY($A568,2),"Seg","Ter","Qua","Qui","Sex","Sáb","Dom"))</f>
        <v>0</v>
      </c>
      <c r="M568" s="27">
        <f>IF($E568="","",IF($G568&lt;&gt;"",$G568,IFERROR(INDEX(ProcValor,MATCH($E568,ProcNome,0)),0)))</f>
        <v>0</v>
      </c>
      <c r="N568" s="27">
        <f>IF($M568="","",IF($F568="Compareceu",$M568,0))</f>
        <v>0</v>
      </c>
      <c r="O568" s="27">
        <f>IF($M568="","",IF($F568="Faltou",$M568,0))</f>
        <v>0</v>
      </c>
      <c r="P568" s="27">
        <f>IF($M568="","",IF($F568="Compareceu",MAX(0,$M568-N($H568)),0))</f>
        <v>0</v>
      </c>
      <c r="Q568" s="19">
        <f>IF(AND($F568="Compareceu",$E568&lt;&gt;"",$A568&lt;&gt;""),IF(IFERROR(INDEX(ProcRet,MATCH($E568,ProcNome,0)),0)&gt;0,$A568+INDEX(ProcRet,MATCH($E568,ProcNome,0)),""),"")</f>
        <v>0</v>
      </c>
      <c r="R568" s="26">
        <f>IF($Q568="","",IF(COUNTIFS(AgPac,$D568,AgData,"&gt;"&amp;$A568,AgStatus,"&lt;&gt;Cancelado",AgStatus,"&lt;&gt;Remarcado")&gt;0,"Sim","Não"))</f>
        <v>0</v>
      </c>
      <c r="S568" s="28">
        <f>IF($A568="","",IF(AND($F568="Agendado",$A568-Hoje&gt;=0,$A568-Hoje&lt;=DiasConf),"CONFIRMAR",IF(AND($A568&lt;Hoje,OR($F568="Agendado",$F568="Confirmado")),"Atualizar status",IF(AND($F568="Compareceu",$P568&gt;0.005),"Cobrar",IF($F568="Faltou","Falta: reagendar","")))))</f>
        <v>0</v>
      </c>
      <c r="T568" s="29">
        <f>IF($A568="","",DATE(YEAR($A568),MONTH($A568),1))</f>
        <v>0</v>
      </c>
      <c r="U568" s="30">
        <f>IF($S568="CONFIRMAR",MAX($U$4:$U567)+1,"")</f>
        <v>0</v>
      </c>
      <c r="V568" s="30">
        <f>IF(AND($R568="Não",$Q568&lt;&gt;"",$Q568&lt;=Hoje+JanelaRet,$Q568&gt;=Hoje-60),MAX($V$4:$V567)+1,"")</f>
        <v>0</v>
      </c>
    </row>
    <row r="569" spans="1:22">
      <c r="A569" s="16"/>
      <c r="B569" s="23"/>
      <c r="C569" s="15"/>
      <c r="D569" s="15"/>
      <c r="E569" s="15"/>
      <c r="F569" s="24"/>
      <c r="G569" s="17"/>
      <c r="H569" s="17"/>
      <c r="I569" s="15"/>
      <c r="J569" s="25">
        <f>IF($D569="","",IFERROR(INDEX(PacNome,MATCH($D569,PacCod,0)),"Paciente não cadastrado"))</f>
        <v>0</v>
      </c>
      <c r="K569" s="26">
        <f>IF($D569="","",IFERROR(INDEX(PacConv,MATCH($D569,PacCod,0))&amp;"",""))</f>
        <v>0</v>
      </c>
      <c r="L569" s="26">
        <f>IF($A569="","",CHOOSE(WEEKDAY($A569,2),"Seg","Ter","Qua","Qui","Sex","Sáb","Dom"))</f>
        <v>0</v>
      </c>
      <c r="M569" s="27">
        <f>IF($E569="","",IF($G569&lt;&gt;"",$G569,IFERROR(INDEX(ProcValor,MATCH($E569,ProcNome,0)),0)))</f>
        <v>0</v>
      </c>
      <c r="N569" s="27">
        <f>IF($M569="","",IF($F569="Compareceu",$M569,0))</f>
        <v>0</v>
      </c>
      <c r="O569" s="27">
        <f>IF($M569="","",IF($F569="Faltou",$M569,0))</f>
        <v>0</v>
      </c>
      <c r="P569" s="27">
        <f>IF($M569="","",IF($F569="Compareceu",MAX(0,$M569-N($H569)),0))</f>
        <v>0</v>
      </c>
      <c r="Q569" s="19">
        <f>IF(AND($F569="Compareceu",$E569&lt;&gt;"",$A569&lt;&gt;""),IF(IFERROR(INDEX(ProcRet,MATCH($E569,ProcNome,0)),0)&gt;0,$A569+INDEX(ProcRet,MATCH($E569,ProcNome,0)),""),"")</f>
        <v>0</v>
      </c>
      <c r="R569" s="26">
        <f>IF($Q569="","",IF(COUNTIFS(AgPac,$D569,AgData,"&gt;"&amp;$A569,AgStatus,"&lt;&gt;Cancelado",AgStatus,"&lt;&gt;Remarcado")&gt;0,"Sim","Não"))</f>
        <v>0</v>
      </c>
      <c r="S569" s="28">
        <f>IF($A569="","",IF(AND($F569="Agendado",$A569-Hoje&gt;=0,$A569-Hoje&lt;=DiasConf),"CONFIRMAR",IF(AND($A569&lt;Hoje,OR($F569="Agendado",$F569="Confirmado")),"Atualizar status",IF(AND($F569="Compareceu",$P569&gt;0.005),"Cobrar",IF($F569="Faltou","Falta: reagendar","")))))</f>
        <v>0</v>
      </c>
      <c r="T569" s="29">
        <f>IF($A569="","",DATE(YEAR($A569),MONTH($A569),1))</f>
        <v>0</v>
      </c>
      <c r="U569" s="30">
        <f>IF($S569="CONFIRMAR",MAX($U$4:$U568)+1,"")</f>
        <v>0</v>
      </c>
      <c r="V569" s="30">
        <f>IF(AND($R569="Não",$Q569&lt;&gt;"",$Q569&lt;=Hoje+JanelaRet,$Q569&gt;=Hoje-60),MAX($V$4:$V568)+1,"")</f>
        <v>0</v>
      </c>
    </row>
    <row r="570" spans="1:22">
      <c r="A570" s="16"/>
      <c r="B570" s="23"/>
      <c r="C570" s="15"/>
      <c r="D570" s="15"/>
      <c r="E570" s="15"/>
      <c r="F570" s="24"/>
      <c r="G570" s="17"/>
      <c r="H570" s="17"/>
      <c r="I570" s="15"/>
      <c r="J570" s="25">
        <f>IF($D570="","",IFERROR(INDEX(PacNome,MATCH($D570,PacCod,0)),"Paciente não cadastrado"))</f>
        <v>0</v>
      </c>
      <c r="K570" s="26">
        <f>IF($D570="","",IFERROR(INDEX(PacConv,MATCH($D570,PacCod,0))&amp;"",""))</f>
        <v>0</v>
      </c>
      <c r="L570" s="26">
        <f>IF($A570="","",CHOOSE(WEEKDAY($A570,2),"Seg","Ter","Qua","Qui","Sex","Sáb","Dom"))</f>
        <v>0</v>
      </c>
      <c r="M570" s="27">
        <f>IF($E570="","",IF($G570&lt;&gt;"",$G570,IFERROR(INDEX(ProcValor,MATCH($E570,ProcNome,0)),0)))</f>
        <v>0</v>
      </c>
      <c r="N570" s="27">
        <f>IF($M570="","",IF($F570="Compareceu",$M570,0))</f>
        <v>0</v>
      </c>
      <c r="O570" s="27">
        <f>IF($M570="","",IF($F570="Faltou",$M570,0))</f>
        <v>0</v>
      </c>
      <c r="P570" s="27">
        <f>IF($M570="","",IF($F570="Compareceu",MAX(0,$M570-N($H570)),0))</f>
        <v>0</v>
      </c>
      <c r="Q570" s="19">
        <f>IF(AND($F570="Compareceu",$E570&lt;&gt;"",$A570&lt;&gt;""),IF(IFERROR(INDEX(ProcRet,MATCH($E570,ProcNome,0)),0)&gt;0,$A570+INDEX(ProcRet,MATCH($E570,ProcNome,0)),""),"")</f>
        <v>0</v>
      </c>
      <c r="R570" s="26">
        <f>IF($Q570="","",IF(COUNTIFS(AgPac,$D570,AgData,"&gt;"&amp;$A570,AgStatus,"&lt;&gt;Cancelado",AgStatus,"&lt;&gt;Remarcado")&gt;0,"Sim","Não"))</f>
        <v>0</v>
      </c>
      <c r="S570" s="28">
        <f>IF($A570="","",IF(AND($F570="Agendado",$A570-Hoje&gt;=0,$A570-Hoje&lt;=DiasConf),"CONFIRMAR",IF(AND($A570&lt;Hoje,OR($F570="Agendado",$F570="Confirmado")),"Atualizar status",IF(AND($F570="Compareceu",$P570&gt;0.005),"Cobrar",IF($F570="Faltou","Falta: reagendar","")))))</f>
        <v>0</v>
      </c>
      <c r="T570" s="29">
        <f>IF($A570="","",DATE(YEAR($A570),MONTH($A570),1))</f>
        <v>0</v>
      </c>
      <c r="U570" s="30">
        <f>IF($S570="CONFIRMAR",MAX($U$4:$U569)+1,"")</f>
        <v>0</v>
      </c>
      <c r="V570" s="30">
        <f>IF(AND($R570="Não",$Q570&lt;&gt;"",$Q570&lt;=Hoje+JanelaRet,$Q570&gt;=Hoje-60),MAX($V$4:$V569)+1,"")</f>
        <v>0</v>
      </c>
    </row>
    <row r="571" spans="1:22">
      <c r="A571" s="16"/>
      <c r="B571" s="23"/>
      <c r="C571" s="15"/>
      <c r="D571" s="15"/>
      <c r="E571" s="15"/>
      <c r="F571" s="24"/>
      <c r="G571" s="17"/>
      <c r="H571" s="17"/>
      <c r="I571" s="15"/>
      <c r="J571" s="25">
        <f>IF($D571="","",IFERROR(INDEX(PacNome,MATCH($D571,PacCod,0)),"Paciente não cadastrado"))</f>
        <v>0</v>
      </c>
      <c r="K571" s="26">
        <f>IF($D571="","",IFERROR(INDEX(PacConv,MATCH($D571,PacCod,0))&amp;"",""))</f>
        <v>0</v>
      </c>
      <c r="L571" s="26">
        <f>IF($A571="","",CHOOSE(WEEKDAY($A571,2),"Seg","Ter","Qua","Qui","Sex","Sáb","Dom"))</f>
        <v>0</v>
      </c>
      <c r="M571" s="27">
        <f>IF($E571="","",IF($G571&lt;&gt;"",$G571,IFERROR(INDEX(ProcValor,MATCH($E571,ProcNome,0)),0)))</f>
        <v>0</v>
      </c>
      <c r="N571" s="27">
        <f>IF($M571="","",IF($F571="Compareceu",$M571,0))</f>
        <v>0</v>
      </c>
      <c r="O571" s="27">
        <f>IF($M571="","",IF($F571="Faltou",$M571,0))</f>
        <v>0</v>
      </c>
      <c r="P571" s="27">
        <f>IF($M571="","",IF($F571="Compareceu",MAX(0,$M571-N($H571)),0))</f>
        <v>0</v>
      </c>
      <c r="Q571" s="19">
        <f>IF(AND($F571="Compareceu",$E571&lt;&gt;"",$A571&lt;&gt;""),IF(IFERROR(INDEX(ProcRet,MATCH($E571,ProcNome,0)),0)&gt;0,$A571+INDEX(ProcRet,MATCH($E571,ProcNome,0)),""),"")</f>
        <v>0</v>
      </c>
      <c r="R571" s="26">
        <f>IF($Q571="","",IF(COUNTIFS(AgPac,$D571,AgData,"&gt;"&amp;$A571,AgStatus,"&lt;&gt;Cancelado",AgStatus,"&lt;&gt;Remarcado")&gt;0,"Sim","Não"))</f>
        <v>0</v>
      </c>
      <c r="S571" s="28">
        <f>IF($A571="","",IF(AND($F571="Agendado",$A571-Hoje&gt;=0,$A571-Hoje&lt;=DiasConf),"CONFIRMAR",IF(AND($A571&lt;Hoje,OR($F571="Agendado",$F571="Confirmado")),"Atualizar status",IF(AND($F571="Compareceu",$P571&gt;0.005),"Cobrar",IF($F571="Faltou","Falta: reagendar","")))))</f>
        <v>0</v>
      </c>
      <c r="T571" s="29">
        <f>IF($A571="","",DATE(YEAR($A571),MONTH($A571),1))</f>
        <v>0</v>
      </c>
      <c r="U571" s="30">
        <f>IF($S571="CONFIRMAR",MAX($U$4:$U570)+1,"")</f>
        <v>0</v>
      </c>
      <c r="V571" s="30">
        <f>IF(AND($R571="Não",$Q571&lt;&gt;"",$Q571&lt;=Hoje+JanelaRet,$Q571&gt;=Hoje-60),MAX($V$4:$V570)+1,"")</f>
        <v>0</v>
      </c>
    </row>
    <row r="572" spans="1:22">
      <c r="A572" s="16"/>
      <c r="B572" s="23"/>
      <c r="C572" s="15"/>
      <c r="D572" s="15"/>
      <c r="E572" s="15"/>
      <c r="F572" s="24"/>
      <c r="G572" s="17"/>
      <c r="H572" s="17"/>
      <c r="I572" s="15"/>
      <c r="J572" s="25">
        <f>IF($D572="","",IFERROR(INDEX(PacNome,MATCH($D572,PacCod,0)),"Paciente não cadastrado"))</f>
        <v>0</v>
      </c>
      <c r="K572" s="26">
        <f>IF($D572="","",IFERROR(INDEX(PacConv,MATCH($D572,PacCod,0))&amp;"",""))</f>
        <v>0</v>
      </c>
      <c r="L572" s="26">
        <f>IF($A572="","",CHOOSE(WEEKDAY($A572,2),"Seg","Ter","Qua","Qui","Sex","Sáb","Dom"))</f>
        <v>0</v>
      </c>
      <c r="M572" s="27">
        <f>IF($E572="","",IF($G572&lt;&gt;"",$G572,IFERROR(INDEX(ProcValor,MATCH($E572,ProcNome,0)),0)))</f>
        <v>0</v>
      </c>
      <c r="N572" s="27">
        <f>IF($M572="","",IF($F572="Compareceu",$M572,0))</f>
        <v>0</v>
      </c>
      <c r="O572" s="27">
        <f>IF($M572="","",IF($F572="Faltou",$M572,0))</f>
        <v>0</v>
      </c>
      <c r="P572" s="27">
        <f>IF($M572="","",IF($F572="Compareceu",MAX(0,$M572-N($H572)),0))</f>
        <v>0</v>
      </c>
      <c r="Q572" s="19">
        <f>IF(AND($F572="Compareceu",$E572&lt;&gt;"",$A572&lt;&gt;""),IF(IFERROR(INDEX(ProcRet,MATCH($E572,ProcNome,0)),0)&gt;0,$A572+INDEX(ProcRet,MATCH($E572,ProcNome,0)),""),"")</f>
        <v>0</v>
      </c>
      <c r="R572" s="26">
        <f>IF($Q572="","",IF(COUNTIFS(AgPac,$D572,AgData,"&gt;"&amp;$A572,AgStatus,"&lt;&gt;Cancelado",AgStatus,"&lt;&gt;Remarcado")&gt;0,"Sim","Não"))</f>
        <v>0</v>
      </c>
      <c r="S572" s="28">
        <f>IF($A572="","",IF(AND($F572="Agendado",$A572-Hoje&gt;=0,$A572-Hoje&lt;=DiasConf),"CONFIRMAR",IF(AND($A572&lt;Hoje,OR($F572="Agendado",$F572="Confirmado")),"Atualizar status",IF(AND($F572="Compareceu",$P572&gt;0.005),"Cobrar",IF($F572="Faltou","Falta: reagendar","")))))</f>
        <v>0</v>
      </c>
      <c r="T572" s="29">
        <f>IF($A572="","",DATE(YEAR($A572),MONTH($A572),1))</f>
        <v>0</v>
      </c>
      <c r="U572" s="30">
        <f>IF($S572="CONFIRMAR",MAX($U$4:$U571)+1,"")</f>
        <v>0</v>
      </c>
      <c r="V572" s="30">
        <f>IF(AND($R572="Não",$Q572&lt;&gt;"",$Q572&lt;=Hoje+JanelaRet,$Q572&gt;=Hoje-60),MAX($V$4:$V571)+1,"")</f>
        <v>0</v>
      </c>
    </row>
    <row r="573" spans="1:22">
      <c r="A573" s="16"/>
      <c r="B573" s="23"/>
      <c r="C573" s="15"/>
      <c r="D573" s="15"/>
      <c r="E573" s="15"/>
      <c r="F573" s="24"/>
      <c r="G573" s="17"/>
      <c r="H573" s="17"/>
      <c r="I573" s="15"/>
      <c r="J573" s="25">
        <f>IF($D573="","",IFERROR(INDEX(PacNome,MATCH($D573,PacCod,0)),"Paciente não cadastrado"))</f>
        <v>0</v>
      </c>
      <c r="K573" s="26">
        <f>IF($D573="","",IFERROR(INDEX(PacConv,MATCH($D573,PacCod,0))&amp;"",""))</f>
        <v>0</v>
      </c>
      <c r="L573" s="26">
        <f>IF($A573="","",CHOOSE(WEEKDAY($A573,2),"Seg","Ter","Qua","Qui","Sex","Sáb","Dom"))</f>
        <v>0</v>
      </c>
      <c r="M573" s="27">
        <f>IF($E573="","",IF($G573&lt;&gt;"",$G573,IFERROR(INDEX(ProcValor,MATCH($E573,ProcNome,0)),0)))</f>
        <v>0</v>
      </c>
      <c r="N573" s="27">
        <f>IF($M573="","",IF($F573="Compareceu",$M573,0))</f>
        <v>0</v>
      </c>
      <c r="O573" s="27">
        <f>IF($M573="","",IF($F573="Faltou",$M573,0))</f>
        <v>0</v>
      </c>
      <c r="P573" s="27">
        <f>IF($M573="","",IF($F573="Compareceu",MAX(0,$M573-N($H573)),0))</f>
        <v>0</v>
      </c>
      <c r="Q573" s="19">
        <f>IF(AND($F573="Compareceu",$E573&lt;&gt;"",$A573&lt;&gt;""),IF(IFERROR(INDEX(ProcRet,MATCH($E573,ProcNome,0)),0)&gt;0,$A573+INDEX(ProcRet,MATCH($E573,ProcNome,0)),""),"")</f>
        <v>0</v>
      </c>
      <c r="R573" s="26">
        <f>IF($Q573="","",IF(COUNTIFS(AgPac,$D573,AgData,"&gt;"&amp;$A573,AgStatus,"&lt;&gt;Cancelado",AgStatus,"&lt;&gt;Remarcado")&gt;0,"Sim","Não"))</f>
        <v>0</v>
      </c>
      <c r="S573" s="28">
        <f>IF($A573="","",IF(AND($F573="Agendado",$A573-Hoje&gt;=0,$A573-Hoje&lt;=DiasConf),"CONFIRMAR",IF(AND($A573&lt;Hoje,OR($F573="Agendado",$F573="Confirmado")),"Atualizar status",IF(AND($F573="Compareceu",$P573&gt;0.005),"Cobrar",IF($F573="Faltou","Falta: reagendar","")))))</f>
        <v>0</v>
      </c>
      <c r="T573" s="29">
        <f>IF($A573="","",DATE(YEAR($A573),MONTH($A573),1))</f>
        <v>0</v>
      </c>
      <c r="U573" s="30">
        <f>IF($S573="CONFIRMAR",MAX($U$4:$U572)+1,"")</f>
        <v>0</v>
      </c>
      <c r="V573" s="30">
        <f>IF(AND($R573="Não",$Q573&lt;&gt;"",$Q573&lt;=Hoje+JanelaRet,$Q573&gt;=Hoje-60),MAX($V$4:$V572)+1,"")</f>
        <v>0</v>
      </c>
    </row>
    <row r="574" spans="1:22">
      <c r="A574" s="16"/>
      <c r="B574" s="23"/>
      <c r="C574" s="15"/>
      <c r="D574" s="15"/>
      <c r="E574" s="15"/>
      <c r="F574" s="24"/>
      <c r="G574" s="17"/>
      <c r="H574" s="17"/>
      <c r="I574" s="15"/>
      <c r="J574" s="25">
        <f>IF($D574="","",IFERROR(INDEX(PacNome,MATCH($D574,PacCod,0)),"Paciente não cadastrado"))</f>
        <v>0</v>
      </c>
      <c r="K574" s="26">
        <f>IF($D574="","",IFERROR(INDEX(PacConv,MATCH($D574,PacCod,0))&amp;"",""))</f>
        <v>0</v>
      </c>
      <c r="L574" s="26">
        <f>IF($A574="","",CHOOSE(WEEKDAY($A574,2),"Seg","Ter","Qua","Qui","Sex","Sáb","Dom"))</f>
        <v>0</v>
      </c>
      <c r="M574" s="27">
        <f>IF($E574="","",IF($G574&lt;&gt;"",$G574,IFERROR(INDEX(ProcValor,MATCH($E574,ProcNome,0)),0)))</f>
        <v>0</v>
      </c>
      <c r="N574" s="27">
        <f>IF($M574="","",IF($F574="Compareceu",$M574,0))</f>
        <v>0</v>
      </c>
      <c r="O574" s="27">
        <f>IF($M574="","",IF($F574="Faltou",$M574,0))</f>
        <v>0</v>
      </c>
      <c r="P574" s="27">
        <f>IF($M574="","",IF($F574="Compareceu",MAX(0,$M574-N($H574)),0))</f>
        <v>0</v>
      </c>
      <c r="Q574" s="19">
        <f>IF(AND($F574="Compareceu",$E574&lt;&gt;"",$A574&lt;&gt;""),IF(IFERROR(INDEX(ProcRet,MATCH($E574,ProcNome,0)),0)&gt;0,$A574+INDEX(ProcRet,MATCH($E574,ProcNome,0)),""),"")</f>
        <v>0</v>
      </c>
      <c r="R574" s="26">
        <f>IF($Q574="","",IF(COUNTIFS(AgPac,$D574,AgData,"&gt;"&amp;$A574,AgStatus,"&lt;&gt;Cancelado",AgStatus,"&lt;&gt;Remarcado")&gt;0,"Sim","Não"))</f>
        <v>0</v>
      </c>
      <c r="S574" s="28">
        <f>IF($A574="","",IF(AND($F574="Agendado",$A574-Hoje&gt;=0,$A574-Hoje&lt;=DiasConf),"CONFIRMAR",IF(AND($A574&lt;Hoje,OR($F574="Agendado",$F574="Confirmado")),"Atualizar status",IF(AND($F574="Compareceu",$P574&gt;0.005),"Cobrar",IF($F574="Faltou","Falta: reagendar","")))))</f>
        <v>0</v>
      </c>
      <c r="T574" s="29">
        <f>IF($A574="","",DATE(YEAR($A574),MONTH($A574),1))</f>
        <v>0</v>
      </c>
      <c r="U574" s="30">
        <f>IF($S574="CONFIRMAR",MAX($U$4:$U573)+1,"")</f>
        <v>0</v>
      </c>
      <c r="V574" s="30">
        <f>IF(AND($R574="Não",$Q574&lt;&gt;"",$Q574&lt;=Hoje+JanelaRet,$Q574&gt;=Hoje-60),MAX($V$4:$V573)+1,"")</f>
        <v>0</v>
      </c>
    </row>
    <row r="575" spans="1:22">
      <c r="A575" s="16"/>
      <c r="B575" s="23"/>
      <c r="C575" s="15"/>
      <c r="D575" s="15"/>
      <c r="E575" s="15"/>
      <c r="F575" s="24"/>
      <c r="G575" s="17"/>
      <c r="H575" s="17"/>
      <c r="I575" s="15"/>
      <c r="J575" s="25">
        <f>IF($D575="","",IFERROR(INDEX(PacNome,MATCH($D575,PacCod,0)),"Paciente não cadastrado"))</f>
        <v>0</v>
      </c>
      <c r="K575" s="26">
        <f>IF($D575="","",IFERROR(INDEX(PacConv,MATCH($D575,PacCod,0))&amp;"",""))</f>
        <v>0</v>
      </c>
      <c r="L575" s="26">
        <f>IF($A575="","",CHOOSE(WEEKDAY($A575,2),"Seg","Ter","Qua","Qui","Sex","Sáb","Dom"))</f>
        <v>0</v>
      </c>
      <c r="M575" s="27">
        <f>IF($E575="","",IF($G575&lt;&gt;"",$G575,IFERROR(INDEX(ProcValor,MATCH($E575,ProcNome,0)),0)))</f>
        <v>0</v>
      </c>
      <c r="N575" s="27">
        <f>IF($M575="","",IF($F575="Compareceu",$M575,0))</f>
        <v>0</v>
      </c>
      <c r="O575" s="27">
        <f>IF($M575="","",IF($F575="Faltou",$M575,0))</f>
        <v>0</v>
      </c>
      <c r="P575" s="27">
        <f>IF($M575="","",IF($F575="Compareceu",MAX(0,$M575-N($H575)),0))</f>
        <v>0</v>
      </c>
      <c r="Q575" s="19">
        <f>IF(AND($F575="Compareceu",$E575&lt;&gt;"",$A575&lt;&gt;""),IF(IFERROR(INDEX(ProcRet,MATCH($E575,ProcNome,0)),0)&gt;0,$A575+INDEX(ProcRet,MATCH($E575,ProcNome,0)),""),"")</f>
        <v>0</v>
      </c>
      <c r="R575" s="26">
        <f>IF($Q575="","",IF(COUNTIFS(AgPac,$D575,AgData,"&gt;"&amp;$A575,AgStatus,"&lt;&gt;Cancelado",AgStatus,"&lt;&gt;Remarcado")&gt;0,"Sim","Não"))</f>
        <v>0</v>
      </c>
      <c r="S575" s="28">
        <f>IF($A575="","",IF(AND($F575="Agendado",$A575-Hoje&gt;=0,$A575-Hoje&lt;=DiasConf),"CONFIRMAR",IF(AND($A575&lt;Hoje,OR($F575="Agendado",$F575="Confirmado")),"Atualizar status",IF(AND($F575="Compareceu",$P575&gt;0.005),"Cobrar",IF($F575="Faltou","Falta: reagendar","")))))</f>
        <v>0</v>
      </c>
      <c r="T575" s="29">
        <f>IF($A575="","",DATE(YEAR($A575),MONTH($A575),1))</f>
        <v>0</v>
      </c>
      <c r="U575" s="30">
        <f>IF($S575="CONFIRMAR",MAX($U$4:$U574)+1,"")</f>
        <v>0</v>
      </c>
      <c r="V575" s="30">
        <f>IF(AND($R575="Não",$Q575&lt;&gt;"",$Q575&lt;=Hoje+JanelaRet,$Q575&gt;=Hoje-60),MAX($V$4:$V574)+1,"")</f>
        <v>0</v>
      </c>
    </row>
    <row r="576" spans="1:22">
      <c r="A576" s="16"/>
      <c r="B576" s="23"/>
      <c r="C576" s="15"/>
      <c r="D576" s="15"/>
      <c r="E576" s="15"/>
      <c r="F576" s="24"/>
      <c r="G576" s="17"/>
      <c r="H576" s="17"/>
      <c r="I576" s="15"/>
      <c r="J576" s="25">
        <f>IF($D576="","",IFERROR(INDEX(PacNome,MATCH($D576,PacCod,0)),"Paciente não cadastrado"))</f>
        <v>0</v>
      </c>
      <c r="K576" s="26">
        <f>IF($D576="","",IFERROR(INDEX(PacConv,MATCH($D576,PacCod,0))&amp;"",""))</f>
        <v>0</v>
      </c>
      <c r="L576" s="26">
        <f>IF($A576="","",CHOOSE(WEEKDAY($A576,2),"Seg","Ter","Qua","Qui","Sex","Sáb","Dom"))</f>
        <v>0</v>
      </c>
      <c r="M576" s="27">
        <f>IF($E576="","",IF($G576&lt;&gt;"",$G576,IFERROR(INDEX(ProcValor,MATCH($E576,ProcNome,0)),0)))</f>
        <v>0</v>
      </c>
      <c r="N576" s="27">
        <f>IF($M576="","",IF($F576="Compareceu",$M576,0))</f>
        <v>0</v>
      </c>
      <c r="O576" s="27">
        <f>IF($M576="","",IF($F576="Faltou",$M576,0))</f>
        <v>0</v>
      </c>
      <c r="P576" s="27">
        <f>IF($M576="","",IF($F576="Compareceu",MAX(0,$M576-N($H576)),0))</f>
        <v>0</v>
      </c>
      <c r="Q576" s="19">
        <f>IF(AND($F576="Compareceu",$E576&lt;&gt;"",$A576&lt;&gt;""),IF(IFERROR(INDEX(ProcRet,MATCH($E576,ProcNome,0)),0)&gt;0,$A576+INDEX(ProcRet,MATCH($E576,ProcNome,0)),""),"")</f>
        <v>0</v>
      </c>
      <c r="R576" s="26">
        <f>IF($Q576="","",IF(COUNTIFS(AgPac,$D576,AgData,"&gt;"&amp;$A576,AgStatus,"&lt;&gt;Cancelado",AgStatus,"&lt;&gt;Remarcado")&gt;0,"Sim","Não"))</f>
        <v>0</v>
      </c>
      <c r="S576" s="28">
        <f>IF($A576="","",IF(AND($F576="Agendado",$A576-Hoje&gt;=0,$A576-Hoje&lt;=DiasConf),"CONFIRMAR",IF(AND($A576&lt;Hoje,OR($F576="Agendado",$F576="Confirmado")),"Atualizar status",IF(AND($F576="Compareceu",$P576&gt;0.005),"Cobrar",IF($F576="Faltou","Falta: reagendar","")))))</f>
        <v>0</v>
      </c>
      <c r="T576" s="29">
        <f>IF($A576="","",DATE(YEAR($A576),MONTH($A576),1))</f>
        <v>0</v>
      </c>
      <c r="U576" s="30">
        <f>IF($S576="CONFIRMAR",MAX($U$4:$U575)+1,"")</f>
        <v>0</v>
      </c>
      <c r="V576" s="30">
        <f>IF(AND($R576="Não",$Q576&lt;&gt;"",$Q576&lt;=Hoje+JanelaRet,$Q576&gt;=Hoje-60),MAX($V$4:$V575)+1,"")</f>
        <v>0</v>
      </c>
    </row>
    <row r="577" spans="1:22">
      <c r="A577" s="16"/>
      <c r="B577" s="23"/>
      <c r="C577" s="15"/>
      <c r="D577" s="15"/>
      <c r="E577" s="15"/>
      <c r="F577" s="24"/>
      <c r="G577" s="17"/>
      <c r="H577" s="17"/>
      <c r="I577" s="15"/>
      <c r="J577" s="25">
        <f>IF($D577="","",IFERROR(INDEX(PacNome,MATCH($D577,PacCod,0)),"Paciente não cadastrado"))</f>
        <v>0</v>
      </c>
      <c r="K577" s="26">
        <f>IF($D577="","",IFERROR(INDEX(PacConv,MATCH($D577,PacCod,0))&amp;"",""))</f>
        <v>0</v>
      </c>
      <c r="L577" s="26">
        <f>IF($A577="","",CHOOSE(WEEKDAY($A577,2),"Seg","Ter","Qua","Qui","Sex","Sáb","Dom"))</f>
        <v>0</v>
      </c>
      <c r="M577" s="27">
        <f>IF($E577="","",IF($G577&lt;&gt;"",$G577,IFERROR(INDEX(ProcValor,MATCH($E577,ProcNome,0)),0)))</f>
        <v>0</v>
      </c>
      <c r="N577" s="27">
        <f>IF($M577="","",IF($F577="Compareceu",$M577,0))</f>
        <v>0</v>
      </c>
      <c r="O577" s="27">
        <f>IF($M577="","",IF($F577="Faltou",$M577,0))</f>
        <v>0</v>
      </c>
      <c r="P577" s="27">
        <f>IF($M577="","",IF($F577="Compareceu",MAX(0,$M577-N($H577)),0))</f>
        <v>0</v>
      </c>
      <c r="Q577" s="19">
        <f>IF(AND($F577="Compareceu",$E577&lt;&gt;"",$A577&lt;&gt;""),IF(IFERROR(INDEX(ProcRet,MATCH($E577,ProcNome,0)),0)&gt;0,$A577+INDEX(ProcRet,MATCH($E577,ProcNome,0)),""),"")</f>
        <v>0</v>
      </c>
      <c r="R577" s="26">
        <f>IF($Q577="","",IF(COUNTIFS(AgPac,$D577,AgData,"&gt;"&amp;$A577,AgStatus,"&lt;&gt;Cancelado",AgStatus,"&lt;&gt;Remarcado")&gt;0,"Sim","Não"))</f>
        <v>0</v>
      </c>
      <c r="S577" s="28">
        <f>IF($A577="","",IF(AND($F577="Agendado",$A577-Hoje&gt;=0,$A577-Hoje&lt;=DiasConf),"CONFIRMAR",IF(AND($A577&lt;Hoje,OR($F577="Agendado",$F577="Confirmado")),"Atualizar status",IF(AND($F577="Compareceu",$P577&gt;0.005),"Cobrar",IF($F577="Faltou","Falta: reagendar","")))))</f>
        <v>0</v>
      </c>
      <c r="T577" s="29">
        <f>IF($A577="","",DATE(YEAR($A577),MONTH($A577),1))</f>
        <v>0</v>
      </c>
      <c r="U577" s="30">
        <f>IF($S577="CONFIRMAR",MAX($U$4:$U576)+1,"")</f>
        <v>0</v>
      </c>
      <c r="V577" s="30">
        <f>IF(AND($R577="Não",$Q577&lt;&gt;"",$Q577&lt;=Hoje+JanelaRet,$Q577&gt;=Hoje-60),MAX($V$4:$V576)+1,"")</f>
        <v>0</v>
      </c>
    </row>
    <row r="578" spans="1:22">
      <c r="A578" s="16"/>
      <c r="B578" s="23"/>
      <c r="C578" s="15"/>
      <c r="D578" s="15"/>
      <c r="E578" s="15"/>
      <c r="F578" s="24"/>
      <c r="G578" s="17"/>
      <c r="H578" s="17"/>
      <c r="I578" s="15"/>
      <c r="J578" s="25">
        <f>IF($D578="","",IFERROR(INDEX(PacNome,MATCH($D578,PacCod,0)),"Paciente não cadastrado"))</f>
        <v>0</v>
      </c>
      <c r="K578" s="26">
        <f>IF($D578="","",IFERROR(INDEX(PacConv,MATCH($D578,PacCod,0))&amp;"",""))</f>
        <v>0</v>
      </c>
      <c r="L578" s="26">
        <f>IF($A578="","",CHOOSE(WEEKDAY($A578,2),"Seg","Ter","Qua","Qui","Sex","Sáb","Dom"))</f>
        <v>0</v>
      </c>
      <c r="M578" s="27">
        <f>IF($E578="","",IF($G578&lt;&gt;"",$G578,IFERROR(INDEX(ProcValor,MATCH($E578,ProcNome,0)),0)))</f>
        <v>0</v>
      </c>
      <c r="N578" s="27">
        <f>IF($M578="","",IF($F578="Compareceu",$M578,0))</f>
        <v>0</v>
      </c>
      <c r="O578" s="27">
        <f>IF($M578="","",IF($F578="Faltou",$M578,0))</f>
        <v>0</v>
      </c>
      <c r="P578" s="27">
        <f>IF($M578="","",IF($F578="Compareceu",MAX(0,$M578-N($H578)),0))</f>
        <v>0</v>
      </c>
      <c r="Q578" s="19">
        <f>IF(AND($F578="Compareceu",$E578&lt;&gt;"",$A578&lt;&gt;""),IF(IFERROR(INDEX(ProcRet,MATCH($E578,ProcNome,0)),0)&gt;0,$A578+INDEX(ProcRet,MATCH($E578,ProcNome,0)),""),"")</f>
        <v>0</v>
      </c>
      <c r="R578" s="26">
        <f>IF($Q578="","",IF(COUNTIFS(AgPac,$D578,AgData,"&gt;"&amp;$A578,AgStatus,"&lt;&gt;Cancelado",AgStatus,"&lt;&gt;Remarcado")&gt;0,"Sim","Não"))</f>
        <v>0</v>
      </c>
      <c r="S578" s="28">
        <f>IF($A578="","",IF(AND($F578="Agendado",$A578-Hoje&gt;=0,$A578-Hoje&lt;=DiasConf),"CONFIRMAR",IF(AND($A578&lt;Hoje,OR($F578="Agendado",$F578="Confirmado")),"Atualizar status",IF(AND($F578="Compareceu",$P578&gt;0.005),"Cobrar",IF($F578="Faltou","Falta: reagendar","")))))</f>
        <v>0</v>
      </c>
      <c r="T578" s="29">
        <f>IF($A578="","",DATE(YEAR($A578),MONTH($A578),1))</f>
        <v>0</v>
      </c>
      <c r="U578" s="30">
        <f>IF($S578="CONFIRMAR",MAX($U$4:$U577)+1,"")</f>
        <v>0</v>
      </c>
      <c r="V578" s="30">
        <f>IF(AND($R578="Não",$Q578&lt;&gt;"",$Q578&lt;=Hoje+JanelaRet,$Q578&gt;=Hoje-60),MAX($V$4:$V577)+1,"")</f>
        <v>0</v>
      </c>
    </row>
    <row r="579" spans="1:22">
      <c r="A579" s="16"/>
      <c r="B579" s="23"/>
      <c r="C579" s="15"/>
      <c r="D579" s="15"/>
      <c r="E579" s="15"/>
      <c r="F579" s="24"/>
      <c r="G579" s="17"/>
      <c r="H579" s="17"/>
      <c r="I579" s="15"/>
      <c r="J579" s="25">
        <f>IF($D579="","",IFERROR(INDEX(PacNome,MATCH($D579,PacCod,0)),"Paciente não cadastrado"))</f>
        <v>0</v>
      </c>
      <c r="K579" s="26">
        <f>IF($D579="","",IFERROR(INDEX(PacConv,MATCH($D579,PacCod,0))&amp;"",""))</f>
        <v>0</v>
      </c>
      <c r="L579" s="26">
        <f>IF($A579="","",CHOOSE(WEEKDAY($A579,2),"Seg","Ter","Qua","Qui","Sex","Sáb","Dom"))</f>
        <v>0</v>
      </c>
      <c r="M579" s="27">
        <f>IF($E579="","",IF($G579&lt;&gt;"",$G579,IFERROR(INDEX(ProcValor,MATCH($E579,ProcNome,0)),0)))</f>
        <v>0</v>
      </c>
      <c r="N579" s="27">
        <f>IF($M579="","",IF($F579="Compareceu",$M579,0))</f>
        <v>0</v>
      </c>
      <c r="O579" s="27">
        <f>IF($M579="","",IF($F579="Faltou",$M579,0))</f>
        <v>0</v>
      </c>
      <c r="P579" s="27">
        <f>IF($M579="","",IF($F579="Compareceu",MAX(0,$M579-N($H579)),0))</f>
        <v>0</v>
      </c>
      <c r="Q579" s="19">
        <f>IF(AND($F579="Compareceu",$E579&lt;&gt;"",$A579&lt;&gt;""),IF(IFERROR(INDEX(ProcRet,MATCH($E579,ProcNome,0)),0)&gt;0,$A579+INDEX(ProcRet,MATCH($E579,ProcNome,0)),""),"")</f>
        <v>0</v>
      </c>
      <c r="R579" s="26">
        <f>IF($Q579="","",IF(COUNTIFS(AgPac,$D579,AgData,"&gt;"&amp;$A579,AgStatus,"&lt;&gt;Cancelado",AgStatus,"&lt;&gt;Remarcado")&gt;0,"Sim","Não"))</f>
        <v>0</v>
      </c>
      <c r="S579" s="28">
        <f>IF($A579="","",IF(AND($F579="Agendado",$A579-Hoje&gt;=0,$A579-Hoje&lt;=DiasConf),"CONFIRMAR",IF(AND($A579&lt;Hoje,OR($F579="Agendado",$F579="Confirmado")),"Atualizar status",IF(AND($F579="Compareceu",$P579&gt;0.005),"Cobrar",IF($F579="Faltou","Falta: reagendar","")))))</f>
        <v>0</v>
      </c>
      <c r="T579" s="29">
        <f>IF($A579="","",DATE(YEAR($A579),MONTH($A579),1))</f>
        <v>0</v>
      </c>
      <c r="U579" s="30">
        <f>IF($S579="CONFIRMAR",MAX($U$4:$U578)+1,"")</f>
        <v>0</v>
      </c>
      <c r="V579" s="30">
        <f>IF(AND($R579="Não",$Q579&lt;&gt;"",$Q579&lt;=Hoje+JanelaRet,$Q579&gt;=Hoje-60),MAX($V$4:$V578)+1,"")</f>
        <v>0</v>
      </c>
    </row>
    <row r="580" spans="1:22">
      <c r="A580" s="16"/>
      <c r="B580" s="23"/>
      <c r="C580" s="15"/>
      <c r="D580" s="15"/>
      <c r="E580" s="15"/>
      <c r="F580" s="24"/>
      <c r="G580" s="17"/>
      <c r="H580" s="17"/>
      <c r="I580" s="15"/>
      <c r="J580" s="25">
        <f>IF($D580="","",IFERROR(INDEX(PacNome,MATCH($D580,PacCod,0)),"Paciente não cadastrado"))</f>
        <v>0</v>
      </c>
      <c r="K580" s="26">
        <f>IF($D580="","",IFERROR(INDEX(PacConv,MATCH($D580,PacCod,0))&amp;"",""))</f>
        <v>0</v>
      </c>
      <c r="L580" s="26">
        <f>IF($A580="","",CHOOSE(WEEKDAY($A580,2),"Seg","Ter","Qua","Qui","Sex","Sáb","Dom"))</f>
        <v>0</v>
      </c>
      <c r="M580" s="27">
        <f>IF($E580="","",IF($G580&lt;&gt;"",$G580,IFERROR(INDEX(ProcValor,MATCH($E580,ProcNome,0)),0)))</f>
        <v>0</v>
      </c>
      <c r="N580" s="27">
        <f>IF($M580="","",IF($F580="Compareceu",$M580,0))</f>
        <v>0</v>
      </c>
      <c r="O580" s="27">
        <f>IF($M580="","",IF($F580="Faltou",$M580,0))</f>
        <v>0</v>
      </c>
      <c r="P580" s="27">
        <f>IF($M580="","",IF($F580="Compareceu",MAX(0,$M580-N($H580)),0))</f>
        <v>0</v>
      </c>
      <c r="Q580" s="19">
        <f>IF(AND($F580="Compareceu",$E580&lt;&gt;"",$A580&lt;&gt;""),IF(IFERROR(INDEX(ProcRet,MATCH($E580,ProcNome,0)),0)&gt;0,$A580+INDEX(ProcRet,MATCH($E580,ProcNome,0)),""),"")</f>
        <v>0</v>
      </c>
      <c r="R580" s="26">
        <f>IF($Q580="","",IF(COUNTIFS(AgPac,$D580,AgData,"&gt;"&amp;$A580,AgStatus,"&lt;&gt;Cancelado",AgStatus,"&lt;&gt;Remarcado")&gt;0,"Sim","Não"))</f>
        <v>0</v>
      </c>
      <c r="S580" s="28">
        <f>IF($A580="","",IF(AND($F580="Agendado",$A580-Hoje&gt;=0,$A580-Hoje&lt;=DiasConf),"CONFIRMAR",IF(AND($A580&lt;Hoje,OR($F580="Agendado",$F580="Confirmado")),"Atualizar status",IF(AND($F580="Compareceu",$P580&gt;0.005),"Cobrar",IF($F580="Faltou","Falta: reagendar","")))))</f>
        <v>0</v>
      </c>
      <c r="T580" s="29">
        <f>IF($A580="","",DATE(YEAR($A580),MONTH($A580),1))</f>
        <v>0</v>
      </c>
      <c r="U580" s="30">
        <f>IF($S580="CONFIRMAR",MAX($U$4:$U579)+1,"")</f>
        <v>0</v>
      </c>
      <c r="V580" s="30">
        <f>IF(AND($R580="Não",$Q580&lt;&gt;"",$Q580&lt;=Hoje+JanelaRet,$Q580&gt;=Hoje-60),MAX($V$4:$V579)+1,"")</f>
        <v>0</v>
      </c>
    </row>
    <row r="581" spans="1:22">
      <c r="A581" s="16"/>
      <c r="B581" s="23"/>
      <c r="C581" s="15"/>
      <c r="D581" s="15"/>
      <c r="E581" s="15"/>
      <c r="F581" s="24"/>
      <c r="G581" s="17"/>
      <c r="H581" s="17"/>
      <c r="I581" s="15"/>
      <c r="J581" s="25">
        <f>IF($D581="","",IFERROR(INDEX(PacNome,MATCH($D581,PacCod,0)),"Paciente não cadastrado"))</f>
        <v>0</v>
      </c>
      <c r="K581" s="26">
        <f>IF($D581="","",IFERROR(INDEX(PacConv,MATCH($D581,PacCod,0))&amp;"",""))</f>
        <v>0</v>
      </c>
      <c r="L581" s="26">
        <f>IF($A581="","",CHOOSE(WEEKDAY($A581,2),"Seg","Ter","Qua","Qui","Sex","Sáb","Dom"))</f>
        <v>0</v>
      </c>
      <c r="M581" s="27">
        <f>IF($E581="","",IF($G581&lt;&gt;"",$G581,IFERROR(INDEX(ProcValor,MATCH($E581,ProcNome,0)),0)))</f>
        <v>0</v>
      </c>
      <c r="N581" s="27">
        <f>IF($M581="","",IF($F581="Compareceu",$M581,0))</f>
        <v>0</v>
      </c>
      <c r="O581" s="27">
        <f>IF($M581="","",IF($F581="Faltou",$M581,0))</f>
        <v>0</v>
      </c>
      <c r="P581" s="27">
        <f>IF($M581="","",IF($F581="Compareceu",MAX(0,$M581-N($H581)),0))</f>
        <v>0</v>
      </c>
      <c r="Q581" s="19">
        <f>IF(AND($F581="Compareceu",$E581&lt;&gt;"",$A581&lt;&gt;""),IF(IFERROR(INDEX(ProcRet,MATCH($E581,ProcNome,0)),0)&gt;0,$A581+INDEX(ProcRet,MATCH($E581,ProcNome,0)),""),"")</f>
        <v>0</v>
      </c>
      <c r="R581" s="26">
        <f>IF($Q581="","",IF(COUNTIFS(AgPac,$D581,AgData,"&gt;"&amp;$A581,AgStatus,"&lt;&gt;Cancelado",AgStatus,"&lt;&gt;Remarcado")&gt;0,"Sim","Não"))</f>
        <v>0</v>
      </c>
      <c r="S581" s="28">
        <f>IF($A581="","",IF(AND($F581="Agendado",$A581-Hoje&gt;=0,$A581-Hoje&lt;=DiasConf),"CONFIRMAR",IF(AND($A581&lt;Hoje,OR($F581="Agendado",$F581="Confirmado")),"Atualizar status",IF(AND($F581="Compareceu",$P581&gt;0.005),"Cobrar",IF($F581="Faltou","Falta: reagendar","")))))</f>
        <v>0</v>
      </c>
      <c r="T581" s="29">
        <f>IF($A581="","",DATE(YEAR($A581),MONTH($A581),1))</f>
        <v>0</v>
      </c>
      <c r="U581" s="30">
        <f>IF($S581="CONFIRMAR",MAX($U$4:$U580)+1,"")</f>
        <v>0</v>
      </c>
      <c r="V581" s="30">
        <f>IF(AND($R581="Não",$Q581&lt;&gt;"",$Q581&lt;=Hoje+JanelaRet,$Q581&gt;=Hoje-60),MAX($V$4:$V580)+1,"")</f>
        <v>0</v>
      </c>
    </row>
    <row r="582" spans="1:22">
      <c r="A582" s="16"/>
      <c r="B582" s="23"/>
      <c r="C582" s="15"/>
      <c r="D582" s="15"/>
      <c r="E582" s="15"/>
      <c r="F582" s="24"/>
      <c r="G582" s="17"/>
      <c r="H582" s="17"/>
      <c r="I582" s="15"/>
      <c r="J582" s="25">
        <f>IF($D582="","",IFERROR(INDEX(PacNome,MATCH($D582,PacCod,0)),"Paciente não cadastrado"))</f>
        <v>0</v>
      </c>
      <c r="K582" s="26">
        <f>IF($D582="","",IFERROR(INDEX(PacConv,MATCH($D582,PacCod,0))&amp;"",""))</f>
        <v>0</v>
      </c>
      <c r="L582" s="26">
        <f>IF($A582="","",CHOOSE(WEEKDAY($A582,2),"Seg","Ter","Qua","Qui","Sex","Sáb","Dom"))</f>
        <v>0</v>
      </c>
      <c r="M582" s="27">
        <f>IF($E582="","",IF($G582&lt;&gt;"",$G582,IFERROR(INDEX(ProcValor,MATCH($E582,ProcNome,0)),0)))</f>
        <v>0</v>
      </c>
      <c r="N582" s="27">
        <f>IF($M582="","",IF($F582="Compareceu",$M582,0))</f>
        <v>0</v>
      </c>
      <c r="O582" s="27">
        <f>IF($M582="","",IF($F582="Faltou",$M582,0))</f>
        <v>0</v>
      </c>
      <c r="P582" s="27">
        <f>IF($M582="","",IF($F582="Compareceu",MAX(0,$M582-N($H582)),0))</f>
        <v>0</v>
      </c>
      <c r="Q582" s="19">
        <f>IF(AND($F582="Compareceu",$E582&lt;&gt;"",$A582&lt;&gt;""),IF(IFERROR(INDEX(ProcRet,MATCH($E582,ProcNome,0)),0)&gt;0,$A582+INDEX(ProcRet,MATCH($E582,ProcNome,0)),""),"")</f>
        <v>0</v>
      </c>
      <c r="R582" s="26">
        <f>IF($Q582="","",IF(COUNTIFS(AgPac,$D582,AgData,"&gt;"&amp;$A582,AgStatus,"&lt;&gt;Cancelado",AgStatus,"&lt;&gt;Remarcado")&gt;0,"Sim","Não"))</f>
        <v>0</v>
      </c>
      <c r="S582" s="28">
        <f>IF($A582="","",IF(AND($F582="Agendado",$A582-Hoje&gt;=0,$A582-Hoje&lt;=DiasConf),"CONFIRMAR",IF(AND($A582&lt;Hoje,OR($F582="Agendado",$F582="Confirmado")),"Atualizar status",IF(AND($F582="Compareceu",$P582&gt;0.005),"Cobrar",IF($F582="Faltou","Falta: reagendar","")))))</f>
        <v>0</v>
      </c>
      <c r="T582" s="29">
        <f>IF($A582="","",DATE(YEAR($A582),MONTH($A582),1))</f>
        <v>0</v>
      </c>
      <c r="U582" s="30">
        <f>IF($S582="CONFIRMAR",MAX($U$4:$U581)+1,"")</f>
        <v>0</v>
      </c>
      <c r="V582" s="30">
        <f>IF(AND($R582="Não",$Q582&lt;&gt;"",$Q582&lt;=Hoje+JanelaRet,$Q582&gt;=Hoje-60),MAX($V$4:$V581)+1,"")</f>
        <v>0</v>
      </c>
    </row>
    <row r="583" spans="1:22">
      <c r="A583" s="16"/>
      <c r="B583" s="23"/>
      <c r="C583" s="15"/>
      <c r="D583" s="15"/>
      <c r="E583" s="15"/>
      <c r="F583" s="24"/>
      <c r="G583" s="17"/>
      <c r="H583" s="17"/>
      <c r="I583" s="15"/>
      <c r="J583" s="25">
        <f>IF($D583="","",IFERROR(INDEX(PacNome,MATCH($D583,PacCod,0)),"Paciente não cadastrado"))</f>
        <v>0</v>
      </c>
      <c r="K583" s="26">
        <f>IF($D583="","",IFERROR(INDEX(PacConv,MATCH($D583,PacCod,0))&amp;"",""))</f>
        <v>0</v>
      </c>
      <c r="L583" s="26">
        <f>IF($A583="","",CHOOSE(WEEKDAY($A583,2),"Seg","Ter","Qua","Qui","Sex","Sáb","Dom"))</f>
        <v>0</v>
      </c>
      <c r="M583" s="27">
        <f>IF($E583="","",IF($G583&lt;&gt;"",$G583,IFERROR(INDEX(ProcValor,MATCH($E583,ProcNome,0)),0)))</f>
        <v>0</v>
      </c>
      <c r="N583" s="27">
        <f>IF($M583="","",IF($F583="Compareceu",$M583,0))</f>
        <v>0</v>
      </c>
      <c r="O583" s="27">
        <f>IF($M583="","",IF($F583="Faltou",$M583,0))</f>
        <v>0</v>
      </c>
      <c r="P583" s="27">
        <f>IF($M583="","",IF($F583="Compareceu",MAX(0,$M583-N($H583)),0))</f>
        <v>0</v>
      </c>
      <c r="Q583" s="19">
        <f>IF(AND($F583="Compareceu",$E583&lt;&gt;"",$A583&lt;&gt;""),IF(IFERROR(INDEX(ProcRet,MATCH($E583,ProcNome,0)),0)&gt;0,$A583+INDEX(ProcRet,MATCH($E583,ProcNome,0)),""),"")</f>
        <v>0</v>
      </c>
      <c r="R583" s="26">
        <f>IF($Q583="","",IF(COUNTIFS(AgPac,$D583,AgData,"&gt;"&amp;$A583,AgStatus,"&lt;&gt;Cancelado",AgStatus,"&lt;&gt;Remarcado")&gt;0,"Sim","Não"))</f>
        <v>0</v>
      </c>
      <c r="S583" s="28">
        <f>IF($A583="","",IF(AND($F583="Agendado",$A583-Hoje&gt;=0,$A583-Hoje&lt;=DiasConf),"CONFIRMAR",IF(AND($A583&lt;Hoje,OR($F583="Agendado",$F583="Confirmado")),"Atualizar status",IF(AND($F583="Compareceu",$P583&gt;0.005),"Cobrar",IF($F583="Faltou","Falta: reagendar","")))))</f>
        <v>0</v>
      </c>
      <c r="T583" s="29">
        <f>IF($A583="","",DATE(YEAR($A583),MONTH($A583),1))</f>
        <v>0</v>
      </c>
      <c r="U583" s="30">
        <f>IF($S583="CONFIRMAR",MAX($U$4:$U582)+1,"")</f>
        <v>0</v>
      </c>
      <c r="V583" s="30">
        <f>IF(AND($R583="Não",$Q583&lt;&gt;"",$Q583&lt;=Hoje+JanelaRet,$Q583&gt;=Hoje-60),MAX($V$4:$V582)+1,"")</f>
        <v>0</v>
      </c>
    </row>
    <row r="584" spans="1:22">
      <c r="A584" s="16"/>
      <c r="B584" s="23"/>
      <c r="C584" s="15"/>
      <c r="D584" s="15"/>
      <c r="E584" s="15"/>
      <c r="F584" s="24"/>
      <c r="G584" s="17"/>
      <c r="H584" s="17"/>
      <c r="I584" s="15"/>
      <c r="J584" s="25">
        <f>IF($D584="","",IFERROR(INDEX(PacNome,MATCH($D584,PacCod,0)),"Paciente não cadastrado"))</f>
        <v>0</v>
      </c>
      <c r="K584" s="26">
        <f>IF($D584="","",IFERROR(INDEX(PacConv,MATCH($D584,PacCod,0))&amp;"",""))</f>
        <v>0</v>
      </c>
      <c r="L584" s="26">
        <f>IF($A584="","",CHOOSE(WEEKDAY($A584,2),"Seg","Ter","Qua","Qui","Sex","Sáb","Dom"))</f>
        <v>0</v>
      </c>
      <c r="M584" s="27">
        <f>IF($E584="","",IF($G584&lt;&gt;"",$G584,IFERROR(INDEX(ProcValor,MATCH($E584,ProcNome,0)),0)))</f>
        <v>0</v>
      </c>
      <c r="N584" s="27">
        <f>IF($M584="","",IF($F584="Compareceu",$M584,0))</f>
        <v>0</v>
      </c>
      <c r="O584" s="27">
        <f>IF($M584="","",IF($F584="Faltou",$M584,0))</f>
        <v>0</v>
      </c>
      <c r="P584" s="27">
        <f>IF($M584="","",IF($F584="Compareceu",MAX(0,$M584-N($H584)),0))</f>
        <v>0</v>
      </c>
      <c r="Q584" s="19">
        <f>IF(AND($F584="Compareceu",$E584&lt;&gt;"",$A584&lt;&gt;""),IF(IFERROR(INDEX(ProcRet,MATCH($E584,ProcNome,0)),0)&gt;0,$A584+INDEX(ProcRet,MATCH($E584,ProcNome,0)),""),"")</f>
        <v>0</v>
      </c>
      <c r="R584" s="26">
        <f>IF($Q584="","",IF(COUNTIFS(AgPac,$D584,AgData,"&gt;"&amp;$A584,AgStatus,"&lt;&gt;Cancelado",AgStatus,"&lt;&gt;Remarcado")&gt;0,"Sim","Não"))</f>
        <v>0</v>
      </c>
      <c r="S584" s="28">
        <f>IF($A584="","",IF(AND($F584="Agendado",$A584-Hoje&gt;=0,$A584-Hoje&lt;=DiasConf),"CONFIRMAR",IF(AND($A584&lt;Hoje,OR($F584="Agendado",$F584="Confirmado")),"Atualizar status",IF(AND($F584="Compareceu",$P584&gt;0.005),"Cobrar",IF($F584="Faltou","Falta: reagendar","")))))</f>
        <v>0</v>
      </c>
      <c r="T584" s="29">
        <f>IF($A584="","",DATE(YEAR($A584),MONTH($A584),1))</f>
        <v>0</v>
      </c>
      <c r="U584" s="30">
        <f>IF($S584="CONFIRMAR",MAX($U$4:$U583)+1,"")</f>
        <v>0</v>
      </c>
      <c r="V584" s="30">
        <f>IF(AND($R584="Não",$Q584&lt;&gt;"",$Q584&lt;=Hoje+JanelaRet,$Q584&gt;=Hoje-60),MAX($V$4:$V583)+1,"")</f>
        <v>0</v>
      </c>
    </row>
    <row r="585" spans="1:22">
      <c r="A585" s="16"/>
      <c r="B585" s="23"/>
      <c r="C585" s="15"/>
      <c r="D585" s="15"/>
      <c r="E585" s="15"/>
      <c r="F585" s="24"/>
      <c r="G585" s="17"/>
      <c r="H585" s="17"/>
      <c r="I585" s="15"/>
      <c r="J585" s="25">
        <f>IF($D585="","",IFERROR(INDEX(PacNome,MATCH($D585,PacCod,0)),"Paciente não cadastrado"))</f>
        <v>0</v>
      </c>
      <c r="K585" s="26">
        <f>IF($D585="","",IFERROR(INDEX(PacConv,MATCH($D585,PacCod,0))&amp;"",""))</f>
        <v>0</v>
      </c>
      <c r="L585" s="26">
        <f>IF($A585="","",CHOOSE(WEEKDAY($A585,2),"Seg","Ter","Qua","Qui","Sex","Sáb","Dom"))</f>
        <v>0</v>
      </c>
      <c r="M585" s="27">
        <f>IF($E585="","",IF($G585&lt;&gt;"",$G585,IFERROR(INDEX(ProcValor,MATCH($E585,ProcNome,0)),0)))</f>
        <v>0</v>
      </c>
      <c r="N585" s="27">
        <f>IF($M585="","",IF($F585="Compareceu",$M585,0))</f>
        <v>0</v>
      </c>
      <c r="O585" s="27">
        <f>IF($M585="","",IF($F585="Faltou",$M585,0))</f>
        <v>0</v>
      </c>
      <c r="P585" s="27">
        <f>IF($M585="","",IF($F585="Compareceu",MAX(0,$M585-N($H585)),0))</f>
        <v>0</v>
      </c>
      <c r="Q585" s="19">
        <f>IF(AND($F585="Compareceu",$E585&lt;&gt;"",$A585&lt;&gt;""),IF(IFERROR(INDEX(ProcRet,MATCH($E585,ProcNome,0)),0)&gt;0,$A585+INDEX(ProcRet,MATCH($E585,ProcNome,0)),""),"")</f>
        <v>0</v>
      </c>
      <c r="R585" s="26">
        <f>IF($Q585="","",IF(COUNTIFS(AgPac,$D585,AgData,"&gt;"&amp;$A585,AgStatus,"&lt;&gt;Cancelado",AgStatus,"&lt;&gt;Remarcado")&gt;0,"Sim","Não"))</f>
        <v>0</v>
      </c>
      <c r="S585" s="28">
        <f>IF($A585="","",IF(AND($F585="Agendado",$A585-Hoje&gt;=0,$A585-Hoje&lt;=DiasConf),"CONFIRMAR",IF(AND($A585&lt;Hoje,OR($F585="Agendado",$F585="Confirmado")),"Atualizar status",IF(AND($F585="Compareceu",$P585&gt;0.005),"Cobrar",IF($F585="Faltou","Falta: reagendar","")))))</f>
        <v>0</v>
      </c>
      <c r="T585" s="29">
        <f>IF($A585="","",DATE(YEAR($A585),MONTH($A585),1))</f>
        <v>0</v>
      </c>
      <c r="U585" s="30">
        <f>IF($S585="CONFIRMAR",MAX($U$4:$U584)+1,"")</f>
        <v>0</v>
      </c>
      <c r="V585" s="30">
        <f>IF(AND($R585="Não",$Q585&lt;&gt;"",$Q585&lt;=Hoje+JanelaRet,$Q585&gt;=Hoje-60),MAX($V$4:$V584)+1,"")</f>
        <v>0</v>
      </c>
    </row>
    <row r="586" spans="1:22">
      <c r="A586" s="16"/>
      <c r="B586" s="23"/>
      <c r="C586" s="15"/>
      <c r="D586" s="15"/>
      <c r="E586" s="15"/>
      <c r="F586" s="24"/>
      <c r="G586" s="17"/>
      <c r="H586" s="17"/>
      <c r="I586" s="15"/>
      <c r="J586" s="25">
        <f>IF($D586="","",IFERROR(INDEX(PacNome,MATCH($D586,PacCod,0)),"Paciente não cadastrado"))</f>
        <v>0</v>
      </c>
      <c r="K586" s="26">
        <f>IF($D586="","",IFERROR(INDEX(PacConv,MATCH($D586,PacCod,0))&amp;"",""))</f>
        <v>0</v>
      </c>
      <c r="L586" s="26">
        <f>IF($A586="","",CHOOSE(WEEKDAY($A586,2),"Seg","Ter","Qua","Qui","Sex","Sáb","Dom"))</f>
        <v>0</v>
      </c>
      <c r="M586" s="27">
        <f>IF($E586="","",IF($G586&lt;&gt;"",$G586,IFERROR(INDEX(ProcValor,MATCH($E586,ProcNome,0)),0)))</f>
        <v>0</v>
      </c>
      <c r="N586" s="27">
        <f>IF($M586="","",IF($F586="Compareceu",$M586,0))</f>
        <v>0</v>
      </c>
      <c r="O586" s="27">
        <f>IF($M586="","",IF($F586="Faltou",$M586,0))</f>
        <v>0</v>
      </c>
      <c r="P586" s="27">
        <f>IF($M586="","",IF($F586="Compareceu",MAX(0,$M586-N($H586)),0))</f>
        <v>0</v>
      </c>
      <c r="Q586" s="19">
        <f>IF(AND($F586="Compareceu",$E586&lt;&gt;"",$A586&lt;&gt;""),IF(IFERROR(INDEX(ProcRet,MATCH($E586,ProcNome,0)),0)&gt;0,$A586+INDEX(ProcRet,MATCH($E586,ProcNome,0)),""),"")</f>
        <v>0</v>
      </c>
      <c r="R586" s="26">
        <f>IF($Q586="","",IF(COUNTIFS(AgPac,$D586,AgData,"&gt;"&amp;$A586,AgStatus,"&lt;&gt;Cancelado",AgStatus,"&lt;&gt;Remarcado")&gt;0,"Sim","Não"))</f>
        <v>0</v>
      </c>
      <c r="S586" s="28">
        <f>IF($A586="","",IF(AND($F586="Agendado",$A586-Hoje&gt;=0,$A586-Hoje&lt;=DiasConf),"CONFIRMAR",IF(AND($A586&lt;Hoje,OR($F586="Agendado",$F586="Confirmado")),"Atualizar status",IF(AND($F586="Compareceu",$P586&gt;0.005),"Cobrar",IF($F586="Faltou","Falta: reagendar","")))))</f>
        <v>0</v>
      </c>
      <c r="T586" s="29">
        <f>IF($A586="","",DATE(YEAR($A586),MONTH($A586),1))</f>
        <v>0</v>
      </c>
      <c r="U586" s="30">
        <f>IF($S586="CONFIRMAR",MAX($U$4:$U585)+1,"")</f>
        <v>0</v>
      </c>
      <c r="V586" s="30">
        <f>IF(AND($R586="Não",$Q586&lt;&gt;"",$Q586&lt;=Hoje+JanelaRet,$Q586&gt;=Hoje-60),MAX($V$4:$V585)+1,"")</f>
        <v>0</v>
      </c>
    </row>
    <row r="587" spans="1:22">
      <c r="A587" s="16"/>
      <c r="B587" s="23"/>
      <c r="C587" s="15"/>
      <c r="D587" s="15"/>
      <c r="E587" s="15"/>
      <c r="F587" s="24"/>
      <c r="G587" s="17"/>
      <c r="H587" s="17"/>
      <c r="I587" s="15"/>
      <c r="J587" s="25">
        <f>IF($D587="","",IFERROR(INDEX(PacNome,MATCH($D587,PacCod,0)),"Paciente não cadastrado"))</f>
        <v>0</v>
      </c>
      <c r="K587" s="26">
        <f>IF($D587="","",IFERROR(INDEX(PacConv,MATCH($D587,PacCod,0))&amp;"",""))</f>
        <v>0</v>
      </c>
      <c r="L587" s="26">
        <f>IF($A587="","",CHOOSE(WEEKDAY($A587,2),"Seg","Ter","Qua","Qui","Sex","Sáb","Dom"))</f>
        <v>0</v>
      </c>
      <c r="M587" s="27">
        <f>IF($E587="","",IF($G587&lt;&gt;"",$G587,IFERROR(INDEX(ProcValor,MATCH($E587,ProcNome,0)),0)))</f>
        <v>0</v>
      </c>
      <c r="N587" s="27">
        <f>IF($M587="","",IF($F587="Compareceu",$M587,0))</f>
        <v>0</v>
      </c>
      <c r="O587" s="27">
        <f>IF($M587="","",IF($F587="Faltou",$M587,0))</f>
        <v>0</v>
      </c>
      <c r="P587" s="27">
        <f>IF($M587="","",IF($F587="Compareceu",MAX(0,$M587-N($H587)),0))</f>
        <v>0</v>
      </c>
      <c r="Q587" s="19">
        <f>IF(AND($F587="Compareceu",$E587&lt;&gt;"",$A587&lt;&gt;""),IF(IFERROR(INDEX(ProcRet,MATCH($E587,ProcNome,0)),0)&gt;0,$A587+INDEX(ProcRet,MATCH($E587,ProcNome,0)),""),"")</f>
        <v>0</v>
      </c>
      <c r="R587" s="26">
        <f>IF($Q587="","",IF(COUNTIFS(AgPac,$D587,AgData,"&gt;"&amp;$A587,AgStatus,"&lt;&gt;Cancelado",AgStatus,"&lt;&gt;Remarcado")&gt;0,"Sim","Não"))</f>
        <v>0</v>
      </c>
      <c r="S587" s="28">
        <f>IF($A587="","",IF(AND($F587="Agendado",$A587-Hoje&gt;=0,$A587-Hoje&lt;=DiasConf),"CONFIRMAR",IF(AND($A587&lt;Hoje,OR($F587="Agendado",$F587="Confirmado")),"Atualizar status",IF(AND($F587="Compareceu",$P587&gt;0.005),"Cobrar",IF($F587="Faltou","Falta: reagendar","")))))</f>
        <v>0</v>
      </c>
      <c r="T587" s="29">
        <f>IF($A587="","",DATE(YEAR($A587),MONTH($A587),1))</f>
        <v>0</v>
      </c>
      <c r="U587" s="30">
        <f>IF($S587="CONFIRMAR",MAX($U$4:$U586)+1,"")</f>
        <v>0</v>
      </c>
      <c r="V587" s="30">
        <f>IF(AND($R587="Não",$Q587&lt;&gt;"",$Q587&lt;=Hoje+JanelaRet,$Q587&gt;=Hoje-60),MAX($V$4:$V586)+1,"")</f>
        <v>0</v>
      </c>
    </row>
    <row r="588" spans="1:22">
      <c r="A588" s="16"/>
      <c r="B588" s="23"/>
      <c r="C588" s="15"/>
      <c r="D588" s="15"/>
      <c r="E588" s="15"/>
      <c r="F588" s="24"/>
      <c r="G588" s="17"/>
      <c r="H588" s="17"/>
      <c r="I588" s="15"/>
      <c r="J588" s="25">
        <f>IF($D588="","",IFERROR(INDEX(PacNome,MATCH($D588,PacCod,0)),"Paciente não cadastrado"))</f>
        <v>0</v>
      </c>
      <c r="K588" s="26">
        <f>IF($D588="","",IFERROR(INDEX(PacConv,MATCH($D588,PacCod,0))&amp;"",""))</f>
        <v>0</v>
      </c>
      <c r="L588" s="26">
        <f>IF($A588="","",CHOOSE(WEEKDAY($A588,2),"Seg","Ter","Qua","Qui","Sex","Sáb","Dom"))</f>
        <v>0</v>
      </c>
      <c r="M588" s="27">
        <f>IF($E588="","",IF($G588&lt;&gt;"",$G588,IFERROR(INDEX(ProcValor,MATCH($E588,ProcNome,0)),0)))</f>
        <v>0</v>
      </c>
      <c r="N588" s="27">
        <f>IF($M588="","",IF($F588="Compareceu",$M588,0))</f>
        <v>0</v>
      </c>
      <c r="O588" s="27">
        <f>IF($M588="","",IF($F588="Faltou",$M588,0))</f>
        <v>0</v>
      </c>
      <c r="P588" s="27">
        <f>IF($M588="","",IF($F588="Compareceu",MAX(0,$M588-N($H588)),0))</f>
        <v>0</v>
      </c>
      <c r="Q588" s="19">
        <f>IF(AND($F588="Compareceu",$E588&lt;&gt;"",$A588&lt;&gt;""),IF(IFERROR(INDEX(ProcRet,MATCH($E588,ProcNome,0)),0)&gt;0,$A588+INDEX(ProcRet,MATCH($E588,ProcNome,0)),""),"")</f>
        <v>0</v>
      </c>
      <c r="R588" s="26">
        <f>IF($Q588="","",IF(COUNTIFS(AgPac,$D588,AgData,"&gt;"&amp;$A588,AgStatus,"&lt;&gt;Cancelado",AgStatus,"&lt;&gt;Remarcado")&gt;0,"Sim","Não"))</f>
        <v>0</v>
      </c>
      <c r="S588" s="28">
        <f>IF($A588="","",IF(AND($F588="Agendado",$A588-Hoje&gt;=0,$A588-Hoje&lt;=DiasConf),"CONFIRMAR",IF(AND($A588&lt;Hoje,OR($F588="Agendado",$F588="Confirmado")),"Atualizar status",IF(AND($F588="Compareceu",$P588&gt;0.005),"Cobrar",IF($F588="Faltou","Falta: reagendar","")))))</f>
        <v>0</v>
      </c>
      <c r="T588" s="29">
        <f>IF($A588="","",DATE(YEAR($A588),MONTH($A588),1))</f>
        <v>0</v>
      </c>
      <c r="U588" s="30">
        <f>IF($S588="CONFIRMAR",MAX($U$4:$U587)+1,"")</f>
        <v>0</v>
      </c>
      <c r="V588" s="30">
        <f>IF(AND($R588="Não",$Q588&lt;&gt;"",$Q588&lt;=Hoje+JanelaRet,$Q588&gt;=Hoje-60),MAX($V$4:$V587)+1,"")</f>
        <v>0</v>
      </c>
    </row>
    <row r="589" spans="1:22">
      <c r="A589" s="16"/>
      <c r="B589" s="23"/>
      <c r="C589" s="15"/>
      <c r="D589" s="15"/>
      <c r="E589" s="15"/>
      <c r="F589" s="24"/>
      <c r="G589" s="17"/>
      <c r="H589" s="17"/>
      <c r="I589" s="15"/>
      <c r="J589" s="25">
        <f>IF($D589="","",IFERROR(INDEX(PacNome,MATCH($D589,PacCod,0)),"Paciente não cadastrado"))</f>
        <v>0</v>
      </c>
      <c r="K589" s="26">
        <f>IF($D589="","",IFERROR(INDEX(PacConv,MATCH($D589,PacCod,0))&amp;"",""))</f>
        <v>0</v>
      </c>
      <c r="L589" s="26">
        <f>IF($A589="","",CHOOSE(WEEKDAY($A589,2),"Seg","Ter","Qua","Qui","Sex","Sáb","Dom"))</f>
        <v>0</v>
      </c>
      <c r="M589" s="27">
        <f>IF($E589="","",IF($G589&lt;&gt;"",$G589,IFERROR(INDEX(ProcValor,MATCH($E589,ProcNome,0)),0)))</f>
        <v>0</v>
      </c>
      <c r="N589" s="27">
        <f>IF($M589="","",IF($F589="Compareceu",$M589,0))</f>
        <v>0</v>
      </c>
      <c r="O589" s="27">
        <f>IF($M589="","",IF($F589="Faltou",$M589,0))</f>
        <v>0</v>
      </c>
      <c r="P589" s="27">
        <f>IF($M589="","",IF($F589="Compareceu",MAX(0,$M589-N($H589)),0))</f>
        <v>0</v>
      </c>
      <c r="Q589" s="19">
        <f>IF(AND($F589="Compareceu",$E589&lt;&gt;"",$A589&lt;&gt;""),IF(IFERROR(INDEX(ProcRet,MATCH($E589,ProcNome,0)),0)&gt;0,$A589+INDEX(ProcRet,MATCH($E589,ProcNome,0)),""),"")</f>
        <v>0</v>
      </c>
      <c r="R589" s="26">
        <f>IF($Q589="","",IF(COUNTIFS(AgPac,$D589,AgData,"&gt;"&amp;$A589,AgStatus,"&lt;&gt;Cancelado",AgStatus,"&lt;&gt;Remarcado")&gt;0,"Sim","Não"))</f>
        <v>0</v>
      </c>
      <c r="S589" s="28">
        <f>IF($A589="","",IF(AND($F589="Agendado",$A589-Hoje&gt;=0,$A589-Hoje&lt;=DiasConf),"CONFIRMAR",IF(AND($A589&lt;Hoje,OR($F589="Agendado",$F589="Confirmado")),"Atualizar status",IF(AND($F589="Compareceu",$P589&gt;0.005),"Cobrar",IF($F589="Faltou","Falta: reagendar","")))))</f>
        <v>0</v>
      </c>
      <c r="T589" s="29">
        <f>IF($A589="","",DATE(YEAR($A589),MONTH($A589),1))</f>
        <v>0</v>
      </c>
      <c r="U589" s="30">
        <f>IF($S589="CONFIRMAR",MAX($U$4:$U588)+1,"")</f>
        <v>0</v>
      </c>
      <c r="V589" s="30">
        <f>IF(AND($R589="Não",$Q589&lt;&gt;"",$Q589&lt;=Hoje+JanelaRet,$Q589&gt;=Hoje-60),MAX($V$4:$V588)+1,"")</f>
        <v>0</v>
      </c>
    </row>
    <row r="590" spans="1:22">
      <c r="A590" s="16"/>
      <c r="B590" s="23"/>
      <c r="C590" s="15"/>
      <c r="D590" s="15"/>
      <c r="E590" s="15"/>
      <c r="F590" s="24"/>
      <c r="G590" s="17"/>
      <c r="H590" s="17"/>
      <c r="I590" s="15"/>
      <c r="J590" s="25">
        <f>IF($D590="","",IFERROR(INDEX(PacNome,MATCH($D590,PacCod,0)),"Paciente não cadastrado"))</f>
        <v>0</v>
      </c>
      <c r="K590" s="26">
        <f>IF($D590="","",IFERROR(INDEX(PacConv,MATCH($D590,PacCod,0))&amp;"",""))</f>
        <v>0</v>
      </c>
      <c r="L590" s="26">
        <f>IF($A590="","",CHOOSE(WEEKDAY($A590,2),"Seg","Ter","Qua","Qui","Sex","Sáb","Dom"))</f>
        <v>0</v>
      </c>
      <c r="M590" s="27">
        <f>IF($E590="","",IF($G590&lt;&gt;"",$G590,IFERROR(INDEX(ProcValor,MATCH($E590,ProcNome,0)),0)))</f>
        <v>0</v>
      </c>
      <c r="N590" s="27">
        <f>IF($M590="","",IF($F590="Compareceu",$M590,0))</f>
        <v>0</v>
      </c>
      <c r="O590" s="27">
        <f>IF($M590="","",IF($F590="Faltou",$M590,0))</f>
        <v>0</v>
      </c>
      <c r="P590" s="27">
        <f>IF($M590="","",IF($F590="Compareceu",MAX(0,$M590-N($H590)),0))</f>
        <v>0</v>
      </c>
      <c r="Q590" s="19">
        <f>IF(AND($F590="Compareceu",$E590&lt;&gt;"",$A590&lt;&gt;""),IF(IFERROR(INDEX(ProcRet,MATCH($E590,ProcNome,0)),0)&gt;0,$A590+INDEX(ProcRet,MATCH($E590,ProcNome,0)),""),"")</f>
        <v>0</v>
      </c>
      <c r="R590" s="26">
        <f>IF($Q590="","",IF(COUNTIFS(AgPac,$D590,AgData,"&gt;"&amp;$A590,AgStatus,"&lt;&gt;Cancelado",AgStatus,"&lt;&gt;Remarcado")&gt;0,"Sim","Não"))</f>
        <v>0</v>
      </c>
      <c r="S590" s="28">
        <f>IF($A590="","",IF(AND($F590="Agendado",$A590-Hoje&gt;=0,$A590-Hoje&lt;=DiasConf),"CONFIRMAR",IF(AND($A590&lt;Hoje,OR($F590="Agendado",$F590="Confirmado")),"Atualizar status",IF(AND($F590="Compareceu",$P590&gt;0.005),"Cobrar",IF($F590="Faltou","Falta: reagendar","")))))</f>
        <v>0</v>
      </c>
      <c r="T590" s="29">
        <f>IF($A590="","",DATE(YEAR($A590),MONTH($A590),1))</f>
        <v>0</v>
      </c>
      <c r="U590" s="30">
        <f>IF($S590="CONFIRMAR",MAX($U$4:$U589)+1,"")</f>
        <v>0</v>
      </c>
      <c r="V590" s="30">
        <f>IF(AND($R590="Não",$Q590&lt;&gt;"",$Q590&lt;=Hoje+JanelaRet,$Q590&gt;=Hoje-60),MAX($V$4:$V589)+1,"")</f>
        <v>0</v>
      </c>
    </row>
    <row r="591" spans="1:22">
      <c r="A591" s="16"/>
      <c r="B591" s="23"/>
      <c r="C591" s="15"/>
      <c r="D591" s="15"/>
      <c r="E591" s="15"/>
      <c r="F591" s="24"/>
      <c r="G591" s="17"/>
      <c r="H591" s="17"/>
      <c r="I591" s="15"/>
      <c r="J591" s="25">
        <f>IF($D591="","",IFERROR(INDEX(PacNome,MATCH($D591,PacCod,0)),"Paciente não cadastrado"))</f>
        <v>0</v>
      </c>
      <c r="K591" s="26">
        <f>IF($D591="","",IFERROR(INDEX(PacConv,MATCH($D591,PacCod,0))&amp;"",""))</f>
        <v>0</v>
      </c>
      <c r="L591" s="26">
        <f>IF($A591="","",CHOOSE(WEEKDAY($A591,2),"Seg","Ter","Qua","Qui","Sex","Sáb","Dom"))</f>
        <v>0</v>
      </c>
      <c r="M591" s="27">
        <f>IF($E591="","",IF($G591&lt;&gt;"",$G591,IFERROR(INDEX(ProcValor,MATCH($E591,ProcNome,0)),0)))</f>
        <v>0</v>
      </c>
      <c r="N591" s="27">
        <f>IF($M591="","",IF($F591="Compareceu",$M591,0))</f>
        <v>0</v>
      </c>
      <c r="O591" s="27">
        <f>IF($M591="","",IF($F591="Faltou",$M591,0))</f>
        <v>0</v>
      </c>
      <c r="P591" s="27">
        <f>IF($M591="","",IF($F591="Compareceu",MAX(0,$M591-N($H591)),0))</f>
        <v>0</v>
      </c>
      <c r="Q591" s="19">
        <f>IF(AND($F591="Compareceu",$E591&lt;&gt;"",$A591&lt;&gt;""),IF(IFERROR(INDEX(ProcRet,MATCH($E591,ProcNome,0)),0)&gt;0,$A591+INDEX(ProcRet,MATCH($E591,ProcNome,0)),""),"")</f>
        <v>0</v>
      </c>
      <c r="R591" s="26">
        <f>IF($Q591="","",IF(COUNTIFS(AgPac,$D591,AgData,"&gt;"&amp;$A591,AgStatus,"&lt;&gt;Cancelado",AgStatus,"&lt;&gt;Remarcado")&gt;0,"Sim","Não"))</f>
        <v>0</v>
      </c>
      <c r="S591" s="28">
        <f>IF($A591="","",IF(AND($F591="Agendado",$A591-Hoje&gt;=0,$A591-Hoje&lt;=DiasConf),"CONFIRMAR",IF(AND($A591&lt;Hoje,OR($F591="Agendado",$F591="Confirmado")),"Atualizar status",IF(AND($F591="Compareceu",$P591&gt;0.005),"Cobrar",IF($F591="Faltou","Falta: reagendar","")))))</f>
        <v>0</v>
      </c>
      <c r="T591" s="29">
        <f>IF($A591="","",DATE(YEAR($A591),MONTH($A591),1))</f>
        <v>0</v>
      </c>
      <c r="U591" s="30">
        <f>IF($S591="CONFIRMAR",MAX($U$4:$U590)+1,"")</f>
        <v>0</v>
      </c>
      <c r="V591" s="30">
        <f>IF(AND($R591="Não",$Q591&lt;&gt;"",$Q591&lt;=Hoje+JanelaRet,$Q591&gt;=Hoje-60),MAX($V$4:$V590)+1,"")</f>
        <v>0</v>
      </c>
    </row>
    <row r="592" spans="1:22">
      <c r="A592" s="16"/>
      <c r="B592" s="23"/>
      <c r="C592" s="15"/>
      <c r="D592" s="15"/>
      <c r="E592" s="15"/>
      <c r="F592" s="24"/>
      <c r="G592" s="17"/>
      <c r="H592" s="17"/>
      <c r="I592" s="15"/>
      <c r="J592" s="25">
        <f>IF($D592="","",IFERROR(INDEX(PacNome,MATCH($D592,PacCod,0)),"Paciente não cadastrado"))</f>
        <v>0</v>
      </c>
      <c r="K592" s="26">
        <f>IF($D592="","",IFERROR(INDEX(PacConv,MATCH($D592,PacCod,0))&amp;"",""))</f>
        <v>0</v>
      </c>
      <c r="L592" s="26">
        <f>IF($A592="","",CHOOSE(WEEKDAY($A592,2),"Seg","Ter","Qua","Qui","Sex","Sáb","Dom"))</f>
        <v>0</v>
      </c>
      <c r="M592" s="27">
        <f>IF($E592="","",IF($G592&lt;&gt;"",$G592,IFERROR(INDEX(ProcValor,MATCH($E592,ProcNome,0)),0)))</f>
        <v>0</v>
      </c>
      <c r="N592" s="27">
        <f>IF($M592="","",IF($F592="Compareceu",$M592,0))</f>
        <v>0</v>
      </c>
      <c r="O592" s="27">
        <f>IF($M592="","",IF($F592="Faltou",$M592,0))</f>
        <v>0</v>
      </c>
      <c r="P592" s="27">
        <f>IF($M592="","",IF($F592="Compareceu",MAX(0,$M592-N($H592)),0))</f>
        <v>0</v>
      </c>
      <c r="Q592" s="19">
        <f>IF(AND($F592="Compareceu",$E592&lt;&gt;"",$A592&lt;&gt;""),IF(IFERROR(INDEX(ProcRet,MATCH($E592,ProcNome,0)),0)&gt;0,$A592+INDEX(ProcRet,MATCH($E592,ProcNome,0)),""),"")</f>
        <v>0</v>
      </c>
      <c r="R592" s="26">
        <f>IF($Q592="","",IF(COUNTIFS(AgPac,$D592,AgData,"&gt;"&amp;$A592,AgStatus,"&lt;&gt;Cancelado",AgStatus,"&lt;&gt;Remarcado")&gt;0,"Sim","Não"))</f>
        <v>0</v>
      </c>
      <c r="S592" s="28">
        <f>IF($A592="","",IF(AND($F592="Agendado",$A592-Hoje&gt;=0,$A592-Hoje&lt;=DiasConf),"CONFIRMAR",IF(AND($A592&lt;Hoje,OR($F592="Agendado",$F592="Confirmado")),"Atualizar status",IF(AND($F592="Compareceu",$P592&gt;0.005),"Cobrar",IF($F592="Faltou","Falta: reagendar","")))))</f>
        <v>0</v>
      </c>
      <c r="T592" s="29">
        <f>IF($A592="","",DATE(YEAR($A592),MONTH($A592),1))</f>
        <v>0</v>
      </c>
      <c r="U592" s="30">
        <f>IF($S592="CONFIRMAR",MAX($U$4:$U591)+1,"")</f>
        <v>0</v>
      </c>
      <c r="V592" s="30">
        <f>IF(AND($R592="Não",$Q592&lt;&gt;"",$Q592&lt;=Hoje+JanelaRet,$Q592&gt;=Hoje-60),MAX($V$4:$V591)+1,"")</f>
        <v>0</v>
      </c>
    </row>
    <row r="593" spans="1:22">
      <c r="A593" s="16"/>
      <c r="B593" s="23"/>
      <c r="C593" s="15"/>
      <c r="D593" s="15"/>
      <c r="E593" s="15"/>
      <c r="F593" s="24"/>
      <c r="G593" s="17"/>
      <c r="H593" s="17"/>
      <c r="I593" s="15"/>
      <c r="J593" s="25">
        <f>IF($D593="","",IFERROR(INDEX(PacNome,MATCH($D593,PacCod,0)),"Paciente não cadastrado"))</f>
        <v>0</v>
      </c>
      <c r="K593" s="26">
        <f>IF($D593="","",IFERROR(INDEX(PacConv,MATCH($D593,PacCod,0))&amp;"",""))</f>
        <v>0</v>
      </c>
      <c r="L593" s="26">
        <f>IF($A593="","",CHOOSE(WEEKDAY($A593,2),"Seg","Ter","Qua","Qui","Sex","Sáb","Dom"))</f>
        <v>0</v>
      </c>
      <c r="M593" s="27">
        <f>IF($E593="","",IF($G593&lt;&gt;"",$G593,IFERROR(INDEX(ProcValor,MATCH($E593,ProcNome,0)),0)))</f>
        <v>0</v>
      </c>
      <c r="N593" s="27">
        <f>IF($M593="","",IF($F593="Compareceu",$M593,0))</f>
        <v>0</v>
      </c>
      <c r="O593" s="27">
        <f>IF($M593="","",IF($F593="Faltou",$M593,0))</f>
        <v>0</v>
      </c>
      <c r="P593" s="27">
        <f>IF($M593="","",IF($F593="Compareceu",MAX(0,$M593-N($H593)),0))</f>
        <v>0</v>
      </c>
      <c r="Q593" s="19">
        <f>IF(AND($F593="Compareceu",$E593&lt;&gt;"",$A593&lt;&gt;""),IF(IFERROR(INDEX(ProcRet,MATCH($E593,ProcNome,0)),0)&gt;0,$A593+INDEX(ProcRet,MATCH($E593,ProcNome,0)),""),"")</f>
        <v>0</v>
      </c>
      <c r="R593" s="26">
        <f>IF($Q593="","",IF(COUNTIFS(AgPac,$D593,AgData,"&gt;"&amp;$A593,AgStatus,"&lt;&gt;Cancelado",AgStatus,"&lt;&gt;Remarcado")&gt;0,"Sim","Não"))</f>
        <v>0</v>
      </c>
      <c r="S593" s="28">
        <f>IF($A593="","",IF(AND($F593="Agendado",$A593-Hoje&gt;=0,$A593-Hoje&lt;=DiasConf),"CONFIRMAR",IF(AND($A593&lt;Hoje,OR($F593="Agendado",$F593="Confirmado")),"Atualizar status",IF(AND($F593="Compareceu",$P593&gt;0.005),"Cobrar",IF($F593="Faltou","Falta: reagendar","")))))</f>
        <v>0</v>
      </c>
      <c r="T593" s="29">
        <f>IF($A593="","",DATE(YEAR($A593),MONTH($A593),1))</f>
        <v>0</v>
      </c>
      <c r="U593" s="30">
        <f>IF($S593="CONFIRMAR",MAX($U$4:$U592)+1,"")</f>
        <v>0</v>
      </c>
      <c r="V593" s="30">
        <f>IF(AND($R593="Não",$Q593&lt;&gt;"",$Q593&lt;=Hoje+JanelaRet,$Q593&gt;=Hoje-60),MAX($V$4:$V592)+1,"")</f>
        <v>0</v>
      </c>
    </row>
    <row r="594" spans="1:22">
      <c r="A594" s="16"/>
      <c r="B594" s="23"/>
      <c r="C594" s="15"/>
      <c r="D594" s="15"/>
      <c r="E594" s="15"/>
      <c r="F594" s="24"/>
      <c r="G594" s="17"/>
      <c r="H594" s="17"/>
      <c r="I594" s="15"/>
      <c r="J594" s="25">
        <f>IF($D594="","",IFERROR(INDEX(PacNome,MATCH($D594,PacCod,0)),"Paciente não cadastrado"))</f>
        <v>0</v>
      </c>
      <c r="K594" s="26">
        <f>IF($D594="","",IFERROR(INDEX(PacConv,MATCH($D594,PacCod,0))&amp;"",""))</f>
        <v>0</v>
      </c>
      <c r="L594" s="26">
        <f>IF($A594="","",CHOOSE(WEEKDAY($A594,2),"Seg","Ter","Qua","Qui","Sex","Sáb","Dom"))</f>
        <v>0</v>
      </c>
      <c r="M594" s="27">
        <f>IF($E594="","",IF($G594&lt;&gt;"",$G594,IFERROR(INDEX(ProcValor,MATCH($E594,ProcNome,0)),0)))</f>
        <v>0</v>
      </c>
      <c r="N594" s="27">
        <f>IF($M594="","",IF($F594="Compareceu",$M594,0))</f>
        <v>0</v>
      </c>
      <c r="O594" s="27">
        <f>IF($M594="","",IF($F594="Faltou",$M594,0))</f>
        <v>0</v>
      </c>
      <c r="P594" s="27">
        <f>IF($M594="","",IF($F594="Compareceu",MAX(0,$M594-N($H594)),0))</f>
        <v>0</v>
      </c>
      <c r="Q594" s="19">
        <f>IF(AND($F594="Compareceu",$E594&lt;&gt;"",$A594&lt;&gt;""),IF(IFERROR(INDEX(ProcRet,MATCH($E594,ProcNome,0)),0)&gt;0,$A594+INDEX(ProcRet,MATCH($E594,ProcNome,0)),""),"")</f>
        <v>0</v>
      </c>
      <c r="R594" s="26">
        <f>IF($Q594="","",IF(COUNTIFS(AgPac,$D594,AgData,"&gt;"&amp;$A594,AgStatus,"&lt;&gt;Cancelado",AgStatus,"&lt;&gt;Remarcado")&gt;0,"Sim","Não"))</f>
        <v>0</v>
      </c>
      <c r="S594" s="28">
        <f>IF($A594="","",IF(AND($F594="Agendado",$A594-Hoje&gt;=0,$A594-Hoje&lt;=DiasConf),"CONFIRMAR",IF(AND($A594&lt;Hoje,OR($F594="Agendado",$F594="Confirmado")),"Atualizar status",IF(AND($F594="Compareceu",$P594&gt;0.005),"Cobrar",IF($F594="Faltou","Falta: reagendar","")))))</f>
        <v>0</v>
      </c>
      <c r="T594" s="29">
        <f>IF($A594="","",DATE(YEAR($A594),MONTH($A594),1))</f>
        <v>0</v>
      </c>
      <c r="U594" s="30">
        <f>IF($S594="CONFIRMAR",MAX($U$4:$U593)+1,"")</f>
        <v>0</v>
      </c>
      <c r="V594" s="30">
        <f>IF(AND($R594="Não",$Q594&lt;&gt;"",$Q594&lt;=Hoje+JanelaRet,$Q594&gt;=Hoje-60),MAX($V$4:$V593)+1,"")</f>
        <v>0</v>
      </c>
    </row>
    <row r="595" spans="1:22">
      <c r="A595" s="16"/>
      <c r="B595" s="23"/>
      <c r="C595" s="15"/>
      <c r="D595" s="15"/>
      <c r="E595" s="15"/>
      <c r="F595" s="24"/>
      <c r="G595" s="17"/>
      <c r="H595" s="17"/>
      <c r="I595" s="15"/>
      <c r="J595" s="25">
        <f>IF($D595="","",IFERROR(INDEX(PacNome,MATCH($D595,PacCod,0)),"Paciente não cadastrado"))</f>
        <v>0</v>
      </c>
      <c r="K595" s="26">
        <f>IF($D595="","",IFERROR(INDEX(PacConv,MATCH($D595,PacCod,0))&amp;"",""))</f>
        <v>0</v>
      </c>
      <c r="L595" s="26">
        <f>IF($A595="","",CHOOSE(WEEKDAY($A595,2),"Seg","Ter","Qua","Qui","Sex","Sáb","Dom"))</f>
        <v>0</v>
      </c>
      <c r="M595" s="27">
        <f>IF($E595="","",IF($G595&lt;&gt;"",$G595,IFERROR(INDEX(ProcValor,MATCH($E595,ProcNome,0)),0)))</f>
        <v>0</v>
      </c>
      <c r="N595" s="27">
        <f>IF($M595="","",IF($F595="Compareceu",$M595,0))</f>
        <v>0</v>
      </c>
      <c r="O595" s="27">
        <f>IF($M595="","",IF($F595="Faltou",$M595,0))</f>
        <v>0</v>
      </c>
      <c r="P595" s="27">
        <f>IF($M595="","",IF($F595="Compareceu",MAX(0,$M595-N($H595)),0))</f>
        <v>0</v>
      </c>
      <c r="Q595" s="19">
        <f>IF(AND($F595="Compareceu",$E595&lt;&gt;"",$A595&lt;&gt;""),IF(IFERROR(INDEX(ProcRet,MATCH($E595,ProcNome,0)),0)&gt;0,$A595+INDEX(ProcRet,MATCH($E595,ProcNome,0)),""),"")</f>
        <v>0</v>
      </c>
      <c r="R595" s="26">
        <f>IF($Q595="","",IF(COUNTIFS(AgPac,$D595,AgData,"&gt;"&amp;$A595,AgStatus,"&lt;&gt;Cancelado",AgStatus,"&lt;&gt;Remarcado")&gt;0,"Sim","Não"))</f>
        <v>0</v>
      </c>
      <c r="S595" s="28">
        <f>IF($A595="","",IF(AND($F595="Agendado",$A595-Hoje&gt;=0,$A595-Hoje&lt;=DiasConf),"CONFIRMAR",IF(AND($A595&lt;Hoje,OR($F595="Agendado",$F595="Confirmado")),"Atualizar status",IF(AND($F595="Compareceu",$P595&gt;0.005),"Cobrar",IF($F595="Faltou","Falta: reagendar","")))))</f>
        <v>0</v>
      </c>
      <c r="T595" s="29">
        <f>IF($A595="","",DATE(YEAR($A595),MONTH($A595),1))</f>
        <v>0</v>
      </c>
      <c r="U595" s="30">
        <f>IF($S595="CONFIRMAR",MAX($U$4:$U594)+1,"")</f>
        <v>0</v>
      </c>
      <c r="V595" s="30">
        <f>IF(AND($R595="Não",$Q595&lt;&gt;"",$Q595&lt;=Hoje+JanelaRet,$Q595&gt;=Hoje-60),MAX($V$4:$V594)+1,"")</f>
        <v>0</v>
      </c>
    </row>
    <row r="596" spans="1:22">
      <c r="A596" s="16"/>
      <c r="B596" s="23"/>
      <c r="C596" s="15"/>
      <c r="D596" s="15"/>
      <c r="E596" s="15"/>
      <c r="F596" s="24"/>
      <c r="G596" s="17"/>
      <c r="H596" s="17"/>
      <c r="I596" s="15"/>
      <c r="J596" s="25">
        <f>IF($D596="","",IFERROR(INDEX(PacNome,MATCH($D596,PacCod,0)),"Paciente não cadastrado"))</f>
        <v>0</v>
      </c>
      <c r="K596" s="26">
        <f>IF($D596="","",IFERROR(INDEX(PacConv,MATCH($D596,PacCod,0))&amp;"",""))</f>
        <v>0</v>
      </c>
      <c r="L596" s="26">
        <f>IF($A596="","",CHOOSE(WEEKDAY($A596,2),"Seg","Ter","Qua","Qui","Sex","Sáb","Dom"))</f>
        <v>0</v>
      </c>
      <c r="M596" s="27">
        <f>IF($E596="","",IF($G596&lt;&gt;"",$G596,IFERROR(INDEX(ProcValor,MATCH($E596,ProcNome,0)),0)))</f>
        <v>0</v>
      </c>
      <c r="N596" s="27">
        <f>IF($M596="","",IF($F596="Compareceu",$M596,0))</f>
        <v>0</v>
      </c>
      <c r="O596" s="27">
        <f>IF($M596="","",IF($F596="Faltou",$M596,0))</f>
        <v>0</v>
      </c>
      <c r="P596" s="27">
        <f>IF($M596="","",IF($F596="Compareceu",MAX(0,$M596-N($H596)),0))</f>
        <v>0</v>
      </c>
      <c r="Q596" s="19">
        <f>IF(AND($F596="Compareceu",$E596&lt;&gt;"",$A596&lt;&gt;""),IF(IFERROR(INDEX(ProcRet,MATCH($E596,ProcNome,0)),0)&gt;0,$A596+INDEX(ProcRet,MATCH($E596,ProcNome,0)),""),"")</f>
        <v>0</v>
      </c>
      <c r="R596" s="26">
        <f>IF($Q596="","",IF(COUNTIFS(AgPac,$D596,AgData,"&gt;"&amp;$A596,AgStatus,"&lt;&gt;Cancelado",AgStatus,"&lt;&gt;Remarcado")&gt;0,"Sim","Não"))</f>
        <v>0</v>
      </c>
      <c r="S596" s="28">
        <f>IF($A596="","",IF(AND($F596="Agendado",$A596-Hoje&gt;=0,$A596-Hoje&lt;=DiasConf),"CONFIRMAR",IF(AND($A596&lt;Hoje,OR($F596="Agendado",$F596="Confirmado")),"Atualizar status",IF(AND($F596="Compareceu",$P596&gt;0.005),"Cobrar",IF($F596="Faltou","Falta: reagendar","")))))</f>
        <v>0</v>
      </c>
      <c r="T596" s="29">
        <f>IF($A596="","",DATE(YEAR($A596),MONTH($A596),1))</f>
        <v>0</v>
      </c>
      <c r="U596" s="30">
        <f>IF($S596="CONFIRMAR",MAX($U$4:$U595)+1,"")</f>
        <v>0</v>
      </c>
      <c r="V596" s="30">
        <f>IF(AND($R596="Não",$Q596&lt;&gt;"",$Q596&lt;=Hoje+JanelaRet,$Q596&gt;=Hoje-60),MAX($V$4:$V595)+1,"")</f>
        <v>0</v>
      </c>
    </row>
    <row r="597" spans="1:22">
      <c r="A597" s="16"/>
      <c r="B597" s="23"/>
      <c r="C597" s="15"/>
      <c r="D597" s="15"/>
      <c r="E597" s="15"/>
      <c r="F597" s="24"/>
      <c r="G597" s="17"/>
      <c r="H597" s="17"/>
      <c r="I597" s="15"/>
      <c r="J597" s="25">
        <f>IF($D597="","",IFERROR(INDEX(PacNome,MATCH($D597,PacCod,0)),"Paciente não cadastrado"))</f>
        <v>0</v>
      </c>
      <c r="K597" s="26">
        <f>IF($D597="","",IFERROR(INDEX(PacConv,MATCH($D597,PacCod,0))&amp;"",""))</f>
        <v>0</v>
      </c>
      <c r="L597" s="26">
        <f>IF($A597="","",CHOOSE(WEEKDAY($A597,2),"Seg","Ter","Qua","Qui","Sex","Sáb","Dom"))</f>
        <v>0</v>
      </c>
      <c r="M597" s="27">
        <f>IF($E597="","",IF($G597&lt;&gt;"",$G597,IFERROR(INDEX(ProcValor,MATCH($E597,ProcNome,0)),0)))</f>
        <v>0</v>
      </c>
      <c r="N597" s="27">
        <f>IF($M597="","",IF($F597="Compareceu",$M597,0))</f>
        <v>0</v>
      </c>
      <c r="O597" s="27">
        <f>IF($M597="","",IF($F597="Faltou",$M597,0))</f>
        <v>0</v>
      </c>
      <c r="P597" s="27">
        <f>IF($M597="","",IF($F597="Compareceu",MAX(0,$M597-N($H597)),0))</f>
        <v>0</v>
      </c>
      <c r="Q597" s="19">
        <f>IF(AND($F597="Compareceu",$E597&lt;&gt;"",$A597&lt;&gt;""),IF(IFERROR(INDEX(ProcRet,MATCH($E597,ProcNome,0)),0)&gt;0,$A597+INDEX(ProcRet,MATCH($E597,ProcNome,0)),""),"")</f>
        <v>0</v>
      </c>
      <c r="R597" s="26">
        <f>IF($Q597="","",IF(COUNTIFS(AgPac,$D597,AgData,"&gt;"&amp;$A597,AgStatus,"&lt;&gt;Cancelado",AgStatus,"&lt;&gt;Remarcado")&gt;0,"Sim","Não"))</f>
        <v>0</v>
      </c>
      <c r="S597" s="28">
        <f>IF($A597="","",IF(AND($F597="Agendado",$A597-Hoje&gt;=0,$A597-Hoje&lt;=DiasConf),"CONFIRMAR",IF(AND($A597&lt;Hoje,OR($F597="Agendado",$F597="Confirmado")),"Atualizar status",IF(AND($F597="Compareceu",$P597&gt;0.005),"Cobrar",IF($F597="Faltou","Falta: reagendar","")))))</f>
        <v>0</v>
      </c>
      <c r="T597" s="29">
        <f>IF($A597="","",DATE(YEAR($A597),MONTH($A597),1))</f>
        <v>0</v>
      </c>
      <c r="U597" s="30">
        <f>IF($S597="CONFIRMAR",MAX($U$4:$U596)+1,"")</f>
        <v>0</v>
      </c>
      <c r="V597" s="30">
        <f>IF(AND($R597="Não",$Q597&lt;&gt;"",$Q597&lt;=Hoje+JanelaRet,$Q597&gt;=Hoje-60),MAX($V$4:$V596)+1,"")</f>
        <v>0</v>
      </c>
    </row>
    <row r="598" spans="1:22">
      <c r="A598" s="16"/>
      <c r="B598" s="23"/>
      <c r="C598" s="15"/>
      <c r="D598" s="15"/>
      <c r="E598" s="15"/>
      <c r="F598" s="24"/>
      <c r="G598" s="17"/>
      <c r="H598" s="17"/>
      <c r="I598" s="15"/>
      <c r="J598" s="25">
        <f>IF($D598="","",IFERROR(INDEX(PacNome,MATCH($D598,PacCod,0)),"Paciente não cadastrado"))</f>
        <v>0</v>
      </c>
      <c r="K598" s="26">
        <f>IF($D598="","",IFERROR(INDEX(PacConv,MATCH($D598,PacCod,0))&amp;"",""))</f>
        <v>0</v>
      </c>
      <c r="L598" s="26">
        <f>IF($A598="","",CHOOSE(WEEKDAY($A598,2),"Seg","Ter","Qua","Qui","Sex","Sáb","Dom"))</f>
        <v>0</v>
      </c>
      <c r="M598" s="27">
        <f>IF($E598="","",IF($G598&lt;&gt;"",$G598,IFERROR(INDEX(ProcValor,MATCH($E598,ProcNome,0)),0)))</f>
        <v>0</v>
      </c>
      <c r="N598" s="27">
        <f>IF($M598="","",IF($F598="Compareceu",$M598,0))</f>
        <v>0</v>
      </c>
      <c r="O598" s="27">
        <f>IF($M598="","",IF($F598="Faltou",$M598,0))</f>
        <v>0</v>
      </c>
      <c r="P598" s="27">
        <f>IF($M598="","",IF($F598="Compareceu",MAX(0,$M598-N($H598)),0))</f>
        <v>0</v>
      </c>
      <c r="Q598" s="19">
        <f>IF(AND($F598="Compareceu",$E598&lt;&gt;"",$A598&lt;&gt;""),IF(IFERROR(INDEX(ProcRet,MATCH($E598,ProcNome,0)),0)&gt;0,$A598+INDEX(ProcRet,MATCH($E598,ProcNome,0)),""),"")</f>
        <v>0</v>
      </c>
      <c r="R598" s="26">
        <f>IF($Q598="","",IF(COUNTIFS(AgPac,$D598,AgData,"&gt;"&amp;$A598,AgStatus,"&lt;&gt;Cancelado",AgStatus,"&lt;&gt;Remarcado")&gt;0,"Sim","Não"))</f>
        <v>0</v>
      </c>
      <c r="S598" s="28">
        <f>IF($A598="","",IF(AND($F598="Agendado",$A598-Hoje&gt;=0,$A598-Hoje&lt;=DiasConf),"CONFIRMAR",IF(AND($A598&lt;Hoje,OR($F598="Agendado",$F598="Confirmado")),"Atualizar status",IF(AND($F598="Compareceu",$P598&gt;0.005),"Cobrar",IF($F598="Faltou","Falta: reagendar","")))))</f>
        <v>0</v>
      </c>
      <c r="T598" s="29">
        <f>IF($A598="","",DATE(YEAR($A598),MONTH($A598),1))</f>
        <v>0</v>
      </c>
      <c r="U598" s="30">
        <f>IF($S598="CONFIRMAR",MAX($U$4:$U597)+1,"")</f>
        <v>0</v>
      </c>
      <c r="V598" s="30">
        <f>IF(AND($R598="Não",$Q598&lt;&gt;"",$Q598&lt;=Hoje+JanelaRet,$Q598&gt;=Hoje-60),MAX($V$4:$V597)+1,"")</f>
        <v>0</v>
      </c>
    </row>
    <row r="599" spans="1:22">
      <c r="A599" s="16"/>
      <c r="B599" s="23"/>
      <c r="C599" s="15"/>
      <c r="D599" s="15"/>
      <c r="E599" s="15"/>
      <c r="F599" s="24"/>
      <c r="G599" s="17"/>
      <c r="H599" s="17"/>
      <c r="I599" s="15"/>
      <c r="J599" s="25">
        <f>IF($D599="","",IFERROR(INDEX(PacNome,MATCH($D599,PacCod,0)),"Paciente não cadastrado"))</f>
        <v>0</v>
      </c>
      <c r="K599" s="26">
        <f>IF($D599="","",IFERROR(INDEX(PacConv,MATCH($D599,PacCod,0))&amp;"",""))</f>
        <v>0</v>
      </c>
      <c r="L599" s="26">
        <f>IF($A599="","",CHOOSE(WEEKDAY($A599,2),"Seg","Ter","Qua","Qui","Sex","Sáb","Dom"))</f>
        <v>0</v>
      </c>
      <c r="M599" s="27">
        <f>IF($E599="","",IF($G599&lt;&gt;"",$G599,IFERROR(INDEX(ProcValor,MATCH($E599,ProcNome,0)),0)))</f>
        <v>0</v>
      </c>
      <c r="N599" s="27">
        <f>IF($M599="","",IF($F599="Compareceu",$M599,0))</f>
        <v>0</v>
      </c>
      <c r="O599" s="27">
        <f>IF($M599="","",IF($F599="Faltou",$M599,0))</f>
        <v>0</v>
      </c>
      <c r="P599" s="27">
        <f>IF($M599="","",IF($F599="Compareceu",MAX(0,$M599-N($H599)),0))</f>
        <v>0</v>
      </c>
      <c r="Q599" s="19">
        <f>IF(AND($F599="Compareceu",$E599&lt;&gt;"",$A599&lt;&gt;""),IF(IFERROR(INDEX(ProcRet,MATCH($E599,ProcNome,0)),0)&gt;0,$A599+INDEX(ProcRet,MATCH($E599,ProcNome,0)),""),"")</f>
        <v>0</v>
      </c>
      <c r="R599" s="26">
        <f>IF($Q599="","",IF(COUNTIFS(AgPac,$D599,AgData,"&gt;"&amp;$A599,AgStatus,"&lt;&gt;Cancelado",AgStatus,"&lt;&gt;Remarcado")&gt;0,"Sim","Não"))</f>
        <v>0</v>
      </c>
      <c r="S599" s="28">
        <f>IF($A599="","",IF(AND($F599="Agendado",$A599-Hoje&gt;=0,$A599-Hoje&lt;=DiasConf),"CONFIRMAR",IF(AND($A599&lt;Hoje,OR($F599="Agendado",$F599="Confirmado")),"Atualizar status",IF(AND($F599="Compareceu",$P599&gt;0.005),"Cobrar",IF($F599="Faltou","Falta: reagendar","")))))</f>
        <v>0</v>
      </c>
      <c r="T599" s="29">
        <f>IF($A599="","",DATE(YEAR($A599),MONTH($A599),1))</f>
        <v>0</v>
      </c>
      <c r="U599" s="30">
        <f>IF($S599="CONFIRMAR",MAX($U$4:$U598)+1,"")</f>
        <v>0</v>
      </c>
      <c r="V599" s="30">
        <f>IF(AND($R599="Não",$Q599&lt;&gt;"",$Q599&lt;=Hoje+JanelaRet,$Q599&gt;=Hoje-60),MAX($V$4:$V598)+1,"")</f>
        <v>0</v>
      </c>
    </row>
    <row r="600" spans="1:22">
      <c r="A600" s="16"/>
      <c r="B600" s="23"/>
      <c r="C600" s="15"/>
      <c r="D600" s="15"/>
      <c r="E600" s="15"/>
      <c r="F600" s="24"/>
      <c r="G600" s="17"/>
      <c r="H600" s="17"/>
      <c r="I600" s="15"/>
      <c r="J600" s="25">
        <f>IF($D600="","",IFERROR(INDEX(PacNome,MATCH($D600,PacCod,0)),"Paciente não cadastrado"))</f>
        <v>0</v>
      </c>
      <c r="K600" s="26">
        <f>IF($D600="","",IFERROR(INDEX(PacConv,MATCH($D600,PacCod,0))&amp;"",""))</f>
        <v>0</v>
      </c>
      <c r="L600" s="26">
        <f>IF($A600="","",CHOOSE(WEEKDAY($A600,2),"Seg","Ter","Qua","Qui","Sex","Sáb","Dom"))</f>
        <v>0</v>
      </c>
      <c r="M600" s="27">
        <f>IF($E600="","",IF($G600&lt;&gt;"",$G600,IFERROR(INDEX(ProcValor,MATCH($E600,ProcNome,0)),0)))</f>
        <v>0</v>
      </c>
      <c r="N600" s="27">
        <f>IF($M600="","",IF($F600="Compareceu",$M600,0))</f>
        <v>0</v>
      </c>
      <c r="O600" s="27">
        <f>IF($M600="","",IF($F600="Faltou",$M600,0))</f>
        <v>0</v>
      </c>
      <c r="P600" s="27">
        <f>IF($M600="","",IF($F600="Compareceu",MAX(0,$M600-N($H600)),0))</f>
        <v>0</v>
      </c>
      <c r="Q600" s="19">
        <f>IF(AND($F600="Compareceu",$E600&lt;&gt;"",$A600&lt;&gt;""),IF(IFERROR(INDEX(ProcRet,MATCH($E600,ProcNome,0)),0)&gt;0,$A600+INDEX(ProcRet,MATCH($E600,ProcNome,0)),""),"")</f>
        <v>0</v>
      </c>
      <c r="R600" s="26">
        <f>IF($Q600="","",IF(COUNTIFS(AgPac,$D600,AgData,"&gt;"&amp;$A600,AgStatus,"&lt;&gt;Cancelado",AgStatus,"&lt;&gt;Remarcado")&gt;0,"Sim","Não"))</f>
        <v>0</v>
      </c>
      <c r="S600" s="28">
        <f>IF($A600="","",IF(AND($F600="Agendado",$A600-Hoje&gt;=0,$A600-Hoje&lt;=DiasConf),"CONFIRMAR",IF(AND($A600&lt;Hoje,OR($F600="Agendado",$F600="Confirmado")),"Atualizar status",IF(AND($F600="Compareceu",$P600&gt;0.005),"Cobrar",IF($F600="Faltou","Falta: reagendar","")))))</f>
        <v>0</v>
      </c>
      <c r="T600" s="29">
        <f>IF($A600="","",DATE(YEAR($A600),MONTH($A600),1))</f>
        <v>0</v>
      </c>
      <c r="U600" s="30">
        <f>IF($S600="CONFIRMAR",MAX($U$4:$U599)+1,"")</f>
        <v>0</v>
      </c>
      <c r="V600" s="30">
        <f>IF(AND($R600="Não",$Q600&lt;&gt;"",$Q600&lt;=Hoje+JanelaRet,$Q600&gt;=Hoje-60),MAX($V$4:$V599)+1,"")</f>
        <v>0</v>
      </c>
    </row>
    <row r="601" spans="1:22">
      <c r="A601" s="16"/>
      <c r="B601" s="23"/>
      <c r="C601" s="15"/>
      <c r="D601" s="15"/>
      <c r="E601" s="15"/>
      <c r="F601" s="24"/>
      <c r="G601" s="17"/>
      <c r="H601" s="17"/>
      <c r="I601" s="15"/>
      <c r="J601" s="25">
        <f>IF($D601="","",IFERROR(INDEX(PacNome,MATCH($D601,PacCod,0)),"Paciente não cadastrado"))</f>
        <v>0</v>
      </c>
      <c r="K601" s="26">
        <f>IF($D601="","",IFERROR(INDEX(PacConv,MATCH($D601,PacCod,0))&amp;"",""))</f>
        <v>0</v>
      </c>
      <c r="L601" s="26">
        <f>IF($A601="","",CHOOSE(WEEKDAY($A601,2),"Seg","Ter","Qua","Qui","Sex","Sáb","Dom"))</f>
        <v>0</v>
      </c>
      <c r="M601" s="27">
        <f>IF($E601="","",IF($G601&lt;&gt;"",$G601,IFERROR(INDEX(ProcValor,MATCH($E601,ProcNome,0)),0)))</f>
        <v>0</v>
      </c>
      <c r="N601" s="27">
        <f>IF($M601="","",IF($F601="Compareceu",$M601,0))</f>
        <v>0</v>
      </c>
      <c r="O601" s="27">
        <f>IF($M601="","",IF($F601="Faltou",$M601,0))</f>
        <v>0</v>
      </c>
      <c r="P601" s="27">
        <f>IF($M601="","",IF($F601="Compareceu",MAX(0,$M601-N($H601)),0))</f>
        <v>0</v>
      </c>
      <c r="Q601" s="19">
        <f>IF(AND($F601="Compareceu",$E601&lt;&gt;"",$A601&lt;&gt;""),IF(IFERROR(INDEX(ProcRet,MATCH($E601,ProcNome,0)),0)&gt;0,$A601+INDEX(ProcRet,MATCH($E601,ProcNome,0)),""),"")</f>
        <v>0</v>
      </c>
      <c r="R601" s="26">
        <f>IF($Q601="","",IF(COUNTIFS(AgPac,$D601,AgData,"&gt;"&amp;$A601,AgStatus,"&lt;&gt;Cancelado",AgStatus,"&lt;&gt;Remarcado")&gt;0,"Sim","Não"))</f>
        <v>0</v>
      </c>
      <c r="S601" s="28">
        <f>IF($A601="","",IF(AND($F601="Agendado",$A601-Hoje&gt;=0,$A601-Hoje&lt;=DiasConf),"CONFIRMAR",IF(AND($A601&lt;Hoje,OR($F601="Agendado",$F601="Confirmado")),"Atualizar status",IF(AND($F601="Compareceu",$P601&gt;0.005),"Cobrar",IF($F601="Faltou","Falta: reagendar","")))))</f>
        <v>0</v>
      </c>
      <c r="T601" s="29">
        <f>IF($A601="","",DATE(YEAR($A601),MONTH($A601),1))</f>
        <v>0</v>
      </c>
      <c r="U601" s="30">
        <f>IF($S601="CONFIRMAR",MAX($U$4:$U600)+1,"")</f>
        <v>0</v>
      </c>
      <c r="V601" s="30">
        <f>IF(AND($R601="Não",$Q601&lt;&gt;"",$Q601&lt;=Hoje+JanelaRet,$Q601&gt;=Hoje-60),MAX($V$4:$V600)+1,"")</f>
        <v>0</v>
      </c>
    </row>
    <row r="602" spans="1:22">
      <c r="A602" s="16"/>
      <c r="B602" s="23"/>
      <c r="C602" s="15"/>
      <c r="D602" s="15"/>
      <c r="E602" s="15"/>
      <c r="F602" s="24"/>
      <c r="G602" s="17"/>
      <c r="H602" s="17"/>
      <c r="I602" s="15"/>
      <c r="J602" s="25">
        <f>IF($D602="","",IFERROR(INDEX(PacNome,MATCH($D602,PacCod,0)),"Paciente não cadastrado"))</f>
        <v>0</v>
      </c>
      <c r="K602" s="26">
        <f>IF($D602="","",IFERROR(INDEX(PacConv,MATCH($D602,PacCod,0))&amp;"",""))</f>
        <v>0</v>
      </c>
      <c r="L602" s="26">
        <f>IF($A602="","",CHOOSE(WEEKDAY($A602,2),"Seg","Ter","Qua","Qui","Sex","Sáb","Dom"))</f>
        <v>0</v>
      </c>
      <c r="M602" s="27">
        <f>IF($E602="","",IF($G602&lt;&gt;"",$G602,IFERROR(INDEX(ProcValor,MATCH($E602,ProcNome,0)),0)))</f>
        <v>0</v>
      </c>
      <c r="N602" s="27">
        <f>IF($M602="","",IF($F602="Compareceu",$M602,0))</f>
        <v>0</v>
      </c>
      <c r="O602" s="27">
        <f>IF($M602="","",IF($F602="Faltou",$M602,0))</f>
        <v>0</v>
      </c>
      <c r="P602" s="27">
        <f>IF($M602="","",IF($F602="Compareceu",MAX(0,$M602-N($H602)),0))</f>
        <v>0</v>
      </c>
      <c r="Q602" s="19">
        <f>IF(AND($F602="Compareceu",$E602&lt;&gt;"",$A602&lt;&gt;""),IF(IFERROR(INDEX(ProcRet,MATCH($E602,ProcNome,0)),0)&gt;0,$A602+INDEX(ProcRet,MATCH($E602,ProcNome,0)),""),"")</f>
        <v>0</v>
      </c>
      <c r="R602" s="26">
        <f>IF($Q602="","",IF(COUNTIFS(AgPac,$D602,AgData,"&gt;"&amp;$A602,AgStatus,"&lt;&gt;Cancelado",AgStatus,"&lt;&gt;Remarcado")&gt;0,"Sim","Não"))</f>
        <v>0</v>
      </c>
      <c r="S602" s="28">
        <f>IF($A602="","",IF(AND($F602="Agendado",$A602-Hoje&gt;=0,$A602-Hoje&lt;=DiasConf),"CONFIRMAR",IF(AND($A602&lt;Hoje,OR($F602="Agendado",$F602="Confirmado")),"Atualizar status",IF(AND($F602="Compareceu",$P602&gt;0.005),"Cobrar",IF($F602="Faltou","Falta: reagendar","")))))</f>
        <v>0</v>
      </c>
      <c r="T602" s="29">
        <f>IF($A602="","",DATE(YEAR($A602),MONTH($A602),1))</f>
        <v>0</v>
      </c>
      <c r="U602" s="30">
        <f>IF($S602="CONFIRMAR",MAX($U$4:$U601)+1,"")</f>
        <v>0</v>
      </c>
      <c r="V602" s="30">
        <f>IF(AND($R602="Não",$Q602&lt;&gt;"",$Q602&lt;=Hoje+JanelaRet,$Q602&gt;=Hoje-60),MAX($V$4:$V601)+1,"")</f>
        <v>0</v>
      </c>
    </row>
    <row r="603" spans="1:22">
      <c r="A603" s="16"/>
      <c r="B603" s="23"/>
      <c r="C603" s="15"/>
      <c r="D603" s="15"/>
      <c r="E603" s="15"/>
      <c r="F603" s="24"/>
      <c r="G603" s="17"/>
      <c r="H603" s="17"/>
      <c r="I603" s="15"/>
      <c r="J603" s="25">
        <f>IF($D603="","",IFERROR(INDEX(PacNome,MATCH($D603,PacCod,0)),"Paciente não cadastrado"))</f>
        <v>0</v>
      </c>
      <c r="K603" s="26">
        <f>IF($D603="","",IFERROR(INDEX(PacConv,MATCH($D603,PacCod,0))&amp;"",""))</f>
        <v>0</v>
      </c>
      <c r="L603" s="26">
        <f>IF($A603="","",CHOOSE(WEEKDAY($A603,2),"Seg","Ter","Qua","Qui","Sex","Sáb","Dom"))</f>
        <v>0</v>
      </c>
      <c r="M603" s="27">
        <f>IF($E603="","",IF($G603&lt;&gt;"",$G603,IFERROR(INDEX(ProcValor,MATCH($E603,ProcNome,0)),0)))</f>
        <v>0</v>
      </c>
      <c r="N603" s="27">
        <f>IF($M603="","",IF($F603="Compareceu",$M603,0))</f>
        <v>0</v>
      </c>
      <c r="O603" s="27">
        <f>IF($M603="","",IF($F603="Faltou",$M603,0))</f>
        <v>0</v>
      </c>
      <c r="P603" s="27">
        <f>IF($M603="","",IF($F603="Compareceu",MAX(0,$M603-N($H603)),0))</f>
        <v>0</v>
      </c>
      <c r="Q603" s="19">
        <f>IF(AND($F603="Compareceu",$E603&lt;&gt;"",$A603&lt;&gt;""),IF(IFERROR(INDEX(ProcRet,MATCH($E603,ProcNome,0)),0)&gt;0,$A603+INDEX(ProcRet,MATCH($E603,ProcNome,0)),""),"")</f>
        <v>0</v>
      </c>
      <c r="R603" s="26">
        <f>IF($Q603="","",IF(COUNTIFS(AgPac,$D603,AgData,"&gt;"&amp;$A603,AgStatus,"&lt;&gt;Cancelado",AgStatus,"&lt;&gt;Remarcado")&gt;0,"Sim","Não"))</f>
        <v>0</v>
      </c>
      <c r="S603" s="28">
        <f>IF($A603="","",IF(AND($F603="Agendado",$A603-Hoje&gt;=0,$A603-Hoje&lt;=DiasConf),"CONFIRMAR",IF(AND($A603&lt;Hoje,OR($F603="Agendado",$F603="Confirmado")),"Atualizar status",IF(AND($F603="Compareceu",$P603&gt;0.005),"Cobrar",IF($F603="Faltou","Falta: reagendar","")))))</f>
        <v>0</v>
      </c>
      <c r="T603" s="29">
        <f>IF($A603="","",DATE(YEAR($A603),MONTH($A603),1))</f>
        <v>0</v>
      </c>
      <c r="U603" s="30">
        <f>IF($S603="CONFIRMAR",MAX($U$4:$U602)+1,"")</f>
        <v>0</v>
      </c>
      <c r="V603" s="30">
        <f>IF(AND($R603="Não",$Q603&lt;&gt;"",$Q603&lt;=Hoje+JanelaRet,$Q603&gt;=Hoje-60),MAX($V$4:$V602)+1,"")</f>
        <v>0</v>
      </c>
    </row>
    <row r="604" spans="1:22">
      <c r="A604" s="16"/>
      <c r="B604" s="23"/>
      <c r="C604" s="15"/>
      <c r="D604" s="15"/>
      <c r="E604" s="15"/>
      <c r="F604" s="24"/>
      <c r="G604" s="17"/>
      <c r="H604" s="17"/>
      <c r="I604" s="15"/>
      <c r="J604" s="25">
        <f>IF($D604="","",IFERROR(INDEX(PacNome,MATCH($D604,PacCod,0)),"Paciente não cadastrado"))</f>
        <v>0</v>
      </c>
      <c r="K604" s="26">
        <f>IF($D604="","",IFERROR(INDEX(PacConv,MATCH($D604,PacCod,0))&amp;"",""))</f>
        <v>0</v>
      </c>
      <c r="L604" s="26">
        <f>IF($A604="","",CHOOSE(WEEKDAY($A604,2),"Seg","Ter","Qua","Qui","Sex","Sáb","Dom"))</f>
        <v>0</v>
      </c>
      <c r="M604" s="27">
        <f>IF($E604="","",IF($G604&lt;&gt;"",$G604,IFERROR(INDEX(ProcValor,MATCH($E604,ProcNome,0)),0)))</f>
        <v>0</v>
      </c>
      <c r="N604" s="27">
        <f>IF($M604="","",IF($F604="Compareceu",$M604,0))</f>
        <v>0</v>
      </c>
      <c r="O604" s="27">
        <f>IF($M604="","",IF($F604="Faltou",$M604,0))</f>
        <v>0</v>
      </c>
      <c r="P604" s="27">
        <f>IF($M604="","",IF($F604="Compareceu",MAX(0,$M604-N($H604)),0))</f>
        <v>0</v>
      </c>
      <c r="Q604" s="19">
        <f>IF(AND($F604="Compareceu",$E604&lt;&gt;"",$A604&lt;&gt;""),IF(IFERROR(INDEX(ProcRet,MATCH($E604,ProcNome,0)),0)&gt;0,$A604+INDEX(ProcRet,MATCH($E604,ProcNome,0)),""),"")</f>
        <v>0</v>
      </c>
      <c r="R604" s="26">
        <f>IF($Q604="","",IF(COUNTIFS(AgPac,$D604,AgData,"&gt;"&amp;$A604,AgStatus,"&lt;&gt;Cancelado",AgStatus,"&lt;&gt;Remarcado")&gt;0,"Sim","Não"))</f>
        <v>0</v>
      </c>
      <c r="S604" s="28">
        <f>IF($A604="","",IF(AND($F604="Agendado",$A604-Hoje&gt;=0,$A604-Hoje&lt;=DiasConf),"CONFIRMAR",IF(AND($A604&lt;Hoje,OR($F604="Agendado",$F604="Confirmado")),"Atualizar status",IF(AND($F604="Compareceu",$P604&gt;0.005),"Cobrar",IF($F604="Faltou","Falta: reagendar","")))))</f>
        <v>0</v>
      </c>
      <c r="T604" s="29">
        <f>IF($A604="","",DATE(YEAR($A604),MONTH($A604),1))</f>
        <v>0</v>
      </c>
      <c r="U604" s="30">
        <f>IF($S604="CONFIRMAR",MAX($U$4:$U603)+1,"")</f>
        <v>0</v>
      </c>
      <c r="V604" s="30">
        <f>IF(AND($R604="Não",$Q604&lt;&gt;"",$Q604&lt;=Hoje+JanelaRet,$Q604&gt;=Hoje-60),MAX($V$4:$V603)+1,"")</f>
        <v>0</v>
      </c>
    </row>
    <row r="605" spans="1:22">
      <c r="A605" s="16"/>
      <c r="B605" s="23"/>
      <c r="C605" s="15"/>
      <c r="D605" s="15"/>
      <c r="E605" s="15"/>
      <c r="F605" s="24"/>
      <c r="G605" s="17"/>
      <c r="H605" s="17"/>
      <c r="I605" s="15"/>
      <c r="J605" s="25">
        <f>IF($D605="","",IFERROR(INDEX(PacNome,MATCH($D605,PacCod,0)),"Paciente não cadastrado"))</f>
        <v>0</v>
      </c>
      <c r="K605" s="26">
        <f>IF($D605="","",IFERROR(INDEX(PacConv,MATCH($D605,PacCod,0))&amp;"",""))</f>
        <v>0</v>
      </c>
      <c r="L605" s="26">
        <f>IF($A605="","",CHOOSE(WEEKDAY($A605,2),"Seg","Ter","Qua","Qui","Sex","Sáb","Dom"))</f>
        <v>0</v>
      </c>
      <c r="M605" s="27">
        <f>IF($E605="","",IF($G605&lt;&gt;"",$G605,IFERROR(INDEX(ProcValor,MATCH($E605,ProcNome,0)),0)))</f>
        <v>0</v>
      </c>
      <c r="N605" s="27">
        <f>IF($M605="","",IF($F605="Compareceu",$M605,0))</f>
        <v>0</v>
      </c>
      <c r="O605" s="27">
        <f>IF($M605="","",IF($F605="Faltou",$M605,0))</f>
        <v>0</v>
      </c>
      <c r="P605" s="27">
        <f>IF($M605="","",IF($F605="Compareceu",MAX(0,$M605-N($H605)),0))</f>
        <v>0</v>
      </c>
      <c r="Q605" s="19">
        <f>IF(AND($F605="Compareceu",$E605&lt;&gt;"",$A605&lt;&gt;""),IF(IFERROR(INDEX(ProcRet,MATCH($E605,ProcNome,0)),0)&gt;0,$A605+INDEX(ProcRet,MATCH($E605,ProcNome,0)),""),"")</f>
        <v>0</v>
      </c>
      <c r="R605" s="26">
        <f>IF($Q605="","",IF(COUNTIFS(AgPac,$D605,AgData,"&gt;"&amp;$A605,AgStatus,"&lt;&gt;Cancelado",AgStatus,"&lt;&gt;Remarcado")&gt;0,"Sim","Não"))</f>
        <v>0</v>
      </c>
      <c r="S605" s="28">
        <f>IF($A605="","",IF(AND($F605="Agendado",$A605-Hoje&gt;=0,$A605-Hoje&lt;=DiasConf),"CONFIRMAR",IF(AND($A605&lt;Hoje,OR($F605="Agendado",$F605="Confirmado")),"Atualizar status",IF(AND($F605="Compareceu",$P605&gt;0.005),"Cobrar",IF($F605="Faltou","Falta: reagendar","")))))</f>
        <v>0</v>
      </c>
      <c r="T605" s="29">
        <f>IF($A605="","",DATE(YEAR($A605),MONTH($A605),1))</f>
        <v>0</v>
      </c>
      <c r="U605" s="30">
        <f>IF($S605="CONFIRMAR",MAX($U$4:$U604)+1,"")</f>
        <v>0</v>
      </c>
      <c r="V605" s="30">
        <f>IF(AND($R605="Não",$Q605&lt;&gt;"",$Q605&lt;=Hoje+JanelaRet,$Q605&gt;=Hoje-60),MAX($V$4:$V604)+1,"")</f>
        <v>0</v>
      </c>
    </row>
    <row r="606" spans="1:22">
      <c r="A606" s="16"/>
      <c r="B606" s="23"/>
      <c r="C606" s="15"/>
      <c r="D606" s="15"/>
      <c r="E606" s="15"/>
      <c r="F606" s="24"/>
      <c r="G606" s="17"/>
      <c r="H606" s="17"/>
      <c r="I606" s="15"/>
      <c r="J606" s="25">
        <f>IF($D606="","",IFERROR(INDEX(PacNome,MATCH($D606,PacCod,0)),"Paciente não cadastrado"))</f>
        <v>0</v>
      </c>
      <c r="K606" s="26">
        <f>IF($D606="","",IFERROR(INDEX(PacConv,MATCH($D606,PacCod,0))&amp;"",""))</f>
        <v>0</v>
      </c>
      <c r="L606" s="26">
        <f>IF($A606="","",CHOOSE(WEEKDAY($A606,2),"Seg","Ter","Qua","Qui","Sex","Sáb","Dom"))</f>
        <v>0</v>
      </c>
      <c r="M606" s="27">
        <f>IF($E606="","",IF($G606&lt;&gt;"",$G606,IFERROR(INDEX(ProcValor,MATCH($E606,ProcNome,0)),0)))</f>
        <v>0</v>
      </c>
      <c r="N606" s="27">
        <f>IF($M606="","",IF($F606="Compareceu",$M606,0))</f>
        <v>0</v>
      </c>
      <c r="O606" s="27">
        <f>IF($M606="","",IF($F606="Faltou",$M606,0))</f>
        <v>0</v>
      </c>
      <c r="P606" s="27">
        <f>IF($M606="","",IF($F606="Compareceu",MAX(0,$M606-N($H606)),0))</f>
        <v>0</v>
      </c>
      <c r="Q606" s="19">
        <f>IF(AND($F606="Compareceu",$E606&lt;&gt;"",$A606&lt;&gt;""),IF(IFERROR(INDEX(ProcRet,MATCH($E606,ProcNome,0)),0)&gt;0,$A606+INDEX(ProcRet,MATCH($E606,ProcNome,0)),""),"")</f>
        <v>0</v>
      </c>
      <c r="R606" s="26">
        <f>IF($Q606="","",IF(COUNTIFS(AgPac,$D606,AgData,"&gt;"&amp;$A606,AgStatus,"&lt;&gt;Cancelado",AgStatus,"&lt;&gt;Remarcado")&gt;0,"Sim","Não"))</f>
        <v>0</v>
      </c>
      <c r="S606" s="28">
        <f>IF($A606="","",IF(AND($F606="Agendado",$A606-Hoje&gt;=0,$A606-Hoje&lt;=DiasConf),"CONFIRMAR",IF(AND($A606&lt;Hoje,OR($F606="Agendado",$F606="Confirmado")),"Atualizar status",IF(AND($F606="Compareceu",$P606&gt;0.005),"Cobrar",IF($F606="Faltou","Falta: reagendar","")))))</f>
        <v>0</v>
      </c>
      <c r="T606" s="29">
        <f>IF($A606="","",DATE(YEAR($A606),MONTH($A606),1))</f>
        <v>0</v>
      </c>
      <c r="U606" s="30">
        <f>IF($S606="CONFIRMAR",MAX($U$4:$U605)+1,"")</f>
        <v>0</v>
      </c>
      <c r="V606" s="30">
        <f>IF(AND($R606="Não",$Q606&lt;&gt;"",$Q606&lt;=Hoje+JanelaRet,$Q606&gt;=Hoje-60),MAX($V$4:$V605)+1,"")</f>
        <v>0</v>
      </c>
    </row>
    <row r="607" spans="1:22">
      <c r="A607" s="16"/>
      <c r="B607" s="23"/>
      <c r="C607" s="15"/>
      <c r="D607" s="15"/>
      <c r="E607" s="15"/>
      <c r="F607" s="24"/>
      <c r="G607" s="17"/>
      <c r="H607" s="17"/>
      <c r="I607" s="15"/>
      <c r="J607" s="25">
        <f>IF($D607="","",IFERROR(INDEX(PacNome,MATCH($D607,PacCod,0)),"Paciente não cadastrado"))</f>
        <v>0</v>
      </c>
      <c r="K607" s="26">
        <f>IF($D607="","",IFERROR(INDEX(PacConv,MATCH($D607,PacCod,0))&amp;"",""))</f>
        <v>0</v>
      </c>
      <c r="L607" s="26">
        <f>IF($A607="","",CHOOSE(WEEKDAY($A607,2),"Seg","Ter","Qua","Qui","Sex","Sáb","Dom"))</f>
        <v>0</v>
      </c>
      <c r="M607" s="27">
        <f>IF($E607="","",IF($G607&lt;&gt;"",$G607,IFERROR(INDEX(ProcValor,MATCH($E607,ProcNome,0)),0)))</f>
        <v>0</v>
      </c>
      <c r="N607" s="27">
        <f>IF($M607="","",IF($F607="Compareceu",$M607,0))</f>
        <v>0</v>
      </c>
      <c r="O607" s="27">
        <f>IF($M607="","",IF($F607="Faltou",$M607,0))</f>
        <v>0</v>
      </c>
      <c r="P607" s="27">
        <f>IF($M607="","",IF($F607="Compareceu",MAX(0,$M607-N($H607)),0))</f>
        <v>0</v>
      </c>
      <c r="Q607" s="19">
        <f>IF(AND($F607="Compareceu",$E607&lt;&gt;"",$A607&lt;&gt;""),IF(IFERROR(INDEX(ProcRet,MATCH($E607,ProcNome,0)),0)&gt;0,$A607+INDEX(ProcRet,MATCH($E607,ProcNome,0)),""),"")</f>
        <v>0</v>
      </c>
      <c r="R607" s="26">
        <f>IF($Q607="","",IF(COUNTIFS(AgPac,$D607,AgData,"&gt;"&amp;$A607,AgStatus,"&lt;&gt;Cancelado",AgStatus,"&lt;&gt;Remarcado")&gt;0,"Sim","Não"))</f>
        <v>0</v>
      </c>
      <c r="S607" s="28">
        <f>IF($A607="","",IF(AND($F607="Agendado",$A607-Hoje&gt;=0,$A607-Hoje&lt;=DiasConf),"CONFIRMAR",IF(AND($A607&lt;Hoje,OR($F607="Agendado",$F607="Confirmado")),"Atualizar status",IF(AND($F607="Compareceu",$P607&gt;0.005),"Cobrar",IF($F607="Faltou","Falta: reagendar","")))))</f>
        <v>0</v>
      </c>
      <c r="T607" s="29">
        <f>IF($A607="","",DATE(YEAR($A607),MONTH($A607),1))</f>
        <v>0</v>
      </c>
      <c r="U607" s="30">
        <f>IF($S607="CONFIRMAR",MAX($U$4:$U606)+1,"")</f>
        <v>0</v>
      </c>
      <c r="V607" s="30">
        <f>IF(AND($R607="Não",$Q607&lt;&gt;"",$Q607&lt;=Hoje+JanelaRet,$Q607&gt;=Hoje-60),MAX($V$4:$V606)+1,"")</f>
        <v>0</v>
      </c>
    </row>
    <row r="608" spans="1:22">
      <c r="A608" s="16"/>
      <c r="B608" s="23"/>
      <c r="C608" s="15"/>
      <c r="D608" s="15"/>
      <c r="E608" s="15"/>
      <c r="F608" s="24"/>
      <c r="G608" s="17"/>
      <c r="H608" s="17"/>
      <c r="I608" s="15"/>
      <c r="J608" s="25">
        <f>IF($D608="","",IFERROR(INDEX(PacNome,MATCH($D608,PacCod,0)),"Paciente não cadastrado"))</f>
        <v>0</v>
      </c>
      <c r="K608" s="26">
        <f>IF($D608="","",IFERROR(INDEX(PacConv,MATCH($D608,PacCod,0))&amp;"",""))</f>
        <v>0</v>
      </c>
      <c r="L608" s="26">
        <f>IF($A608="","",CHOOSE(WEEKDAY($A608,2),"Seg","Ter","Qua","Qui","Sex","Sáb","Dom"))</f>
        <v>0</v>
      </c>
      <c r="M608" s="27">
        <f>IF($E608="","",IF($G608&lt;&gt;"",$G608,IFERROR(INDEX(ProcValor,MATCH($E608,ProcNome,0)),0)))</f>
        <v>0</v>
      </c>
      <c r="N608" s="27">
        <f>IF($M608="","",IF($F608="Compareceu",$M608,0))</f>
        <v>0</v>
      </c>
      <c r="O608" s="27">
        <f>IF($M608="","",IF($F608="Faltou",$M608,0))</f>
        <v>0</v>
      </c>
      <c r="P608" s="27">
        <f>IF($M608="","",IF($F608="Compareceu",MAX(0,$M608-N($H608)),0))</f>
        <v>0</v>
      </c>
      <c r="Q608" s="19">
        <f>IF(AND($F608="Compareceu",$E608&lt;&gt;"",$A608&lt;&gt;""),IF(IFERROR(INDEX(ProcRet,MATCH($E608,ProcNome,0)),0)&gt;0,$A608+INDEX(ProcRet,MATCH($E608,ProcNome,0)),""),"")</f>
        <v>0</v>
      </c>
      <c r="R608" s="26">
        <f>IF($Q608="","",IF(COUNTIFS(AgPac,$D608,AgData,"&gt;"&amp;$A608,AgStatus,"&lt;&gt;Cancelado",AgStatus,"&lt;&gt;Remarcado")&gt;0,"Sim","Não"))</f>
        <v>0</v>
      </c>
      <c r="S608" s="28">
        <f>IF($A608="","",IF(AND($F608="Agendado",$A608-Hoje&gt;=0,$A608-Hoje&lt;=DiasConf),"CONFIRMAR",IF(AND($A608&lt;Hoje,OR($F608="Agendado",$F608="Confirmado")),"Atualizar status",IF(AND($F608="Compareceu",$P608&gt;0.005),"Cobrar",IF($F608="Faltou","Falta: reagendar","")))))</f>
        <v>0</v>
      </c>
      <c r="T608" s="29">
        <f>IF($A608="","",DATE(YEAR($A608),MONTH($A608),1))</f>
        <v>0</v>
      </c>
      <c r="U608" s="30">
        <f>IF($S608="CONFIRMAR",MAX($U$4:$U607)+1,"")</f>
        <v>0</v>
      </c>
      <c r="V608" s="30">
        <f>IF(AND($R608="Não",$Q608&lt;&gt;"",$Q608&lt;=Hoje+JanelaRet,$Q608&gt;=Hoje-60),MAX($V$4:$V607)+1,"")</f>
        <v>0</v>
      </c>
    </row>
    <row r="609" spans="1:22">
      <c r="A609" s="16"/>
      <c r="B609" s="23"/>
      <c r="C609" s="15"/>
      <c r="D609" s="15"/>
      <c r="E609" s="15"/>
      <c r="F609" s="24"/>
      <c r="G609" s="17"/>
      <c r="H609" s="17"/>
      <c r="I609" s="15"/>
      <c r="J609" s="25">
        <f>IF($D609="","",IFERROR(INDEX(PacNome,MATCH($D609,PacCod,0)),"Paciente não cadastrado"))</f>
        <v>0</v>
      </c>
      <c r="K609" s="26">
        <f>IF($D609="","",IFERROR(INDEX(PacConv,MATCH($D609,PacCod,0))&amp;"",""))</f>
        <v>0</v>
      </c>
      <c r="L609" s="26">
        <f>IF($A609="","",CHOOSE(WEEKDAY($A609,2),"Seg","Ter","Qua","Qui","Sex","Sáb","Dom"))</f>
        <v>0</v>
      </c>
      <c r="M609" s="27">
        <f>IF($E609="","",IF($G609&lt;&gt;"",$G609,IFERROR(INDEX(ProcValor,MATCH($E609,ProcNome,0)),0)))</f>
        <v>0</v>
      </c>
      <c r="N609" s="27">
        <f>IF($M609="","",IF($F609="Compareceu",$M609,0))</f>
        <v>0</v>
      </c>
      <c r="O609" s="27">
        <f>IF($M609="","",IF($F609="Faltou",$M609,0))</f>
        <v>0</v>
      </c>
      <c r="P609" s="27">
        <f>IF($M609="","",IF($F609="Compareceu",MAX(0,$M609-N($H609)),0))</f>
        <v>0</v>
      </c>
      <c r="Q609" s="19">
        <f>IF(AND($F609="Compareceu",$E609&lt;&gt;"",$A609&lt;&gt;""),IF(IFERROR(INDEX(ProcRet,MATCH($E609,ProcNome,0)),0)&gt;0,$A609+INDEX(ProcRet,MATCH($E609,ProcNome,0)),""),"")</f>
        <v>0</v>
      </c>
      <c r="R609" s="26">
        <f>IF($Q609="","",IF(COUNTIFS(AgPac,$D609,AgData,"&gt;"&amp;$A609,AgStatus,"&lt;&gt;Cancelado",AgStatus,"&lt;&gt;Remarcado")&gt;0,"Sim","Não"))</f>
        <v>0</v>
      </c>
      <c r="S609" s="28">
        <f>IF($A609="","",IF(AND($F609="Agendado",$A609-Hoje&gt;=0,$A609-Hoje&lt;=DiasConf),"CONFIRMAR",IF(AND($A609&lt;Hoje,OR($F609="Agendado",$F609="Confirmado")),"Atualizar status",IF(AND($F609="Compareceu",$P609&gt;0.005),"Cobrar",IF($F609="Faltou","Falta: reagendar","")))))</f>
        <v>0</v>
      </c>
      <c r="T609" s="29">
        <f>IF($A609="","",DATE(YEAR($A609),MONTH($A609),1))</f>
        <v>0</v>
      </c>
      <c r="U609" s="30">
        <f>IF($S609="CONFIRMAR",MAX($U$4:$U608)+1,"")</f>
        <v>0</v>
      </c>
      <c r="V609" s="30">
        <f>IF(AND($R609="Não",$Q609&lt;&gt;"",$Q609&lt;=Hoje+JanelaRet,$Q609&gt;=Hoje-60),MAX($V$4:$V608)+1,"")</f>
        <v>0</v>
      </c>
    </row>
    <row r="610" spans="1:22">
      <c r="A610" s="16"/>
      <c r="B610" s="23"/>
      <c r="C610" s="15"/>
      <c r="D610" s="15"/>
      <c r="E610" s="15"/>
      <c r="F610" s="24"/>
      <c r="G610" s="17"/>
      <c r="H610" s="17"/>
      <c r="I610" s="15"/>
      <c r="J610" s="25">
        <f>IF($D610="","",IFERROR(INDEX(PacNome,MATCH($D610,PacCod,0)),"Paciente não cadastrado"))</f>
        <v>0</v>
      </c>
      <c r="K610" s="26">
        <f>IF($D610="","",IFERROR(INDEX(PacConv,MATCH($D610,PacCod,0))&amp;"",""))</f>
        <v>0</v>
      </c>
      <c r="L610" s="26">
        <f>IF($A610="","",CHOOSE(WEEKDAY($A610,2),"Seg","Ter","Qua","Qui","Sex","Sáb","Dom"))</f>
        <v>0</v>
      </c>
      <c r="M610" s="27">
        <f>IF($E610="","",IF($G610&lt;&gt;"",$G610,IFERROR(INDEX(ProcValor,MATCH($E610,ProcNome,0)),0)))</f>
        <v>0</v>
      </c>
      <c r="N610" s="27">
        <f>IF($M610="","",IF($F610="Compareceu",$M610,0))</f>
        <v>0</v>
      </c>
      <c r="O610" s="27">
        <f>IF($M610="","",IF($F610="Faltou",$M610,0))</f>
        <v>0</v>
      </c>
      <c r="P610" s="27">
        <f>IF($M610="","",IF($F610="Compareceu",MAX(0,$M610-N($H610)),0))</f>
        <v>0</v>
      </c>
      <c r="Q610" s="19">
        <f>IF(AND($F610="Compareceu",$E610&lt;&gt;"",$A610&lt;&gt;""),IF(IFERROR(INDEX(ProcRet,MATCH($E610,ProcNome,0)),0)&gt;0,$A610+INDEX(ProcRet,MATCH($E610,ProcNome,0)),""),"")</f>
        <v>0</v>
      </c>
      <c r="R610" s="26">
        <f>IF($Q610="","",IF(COUNTIFS(AgPac,$D610,AgData,"&gt;"&amp;$A610,AgStatus,"&lt;&gt;Cancelado",AgStatus,"&lt;&gt;Remarcado")&gt;0,"Sim","Não"))</f>
        <v>0</v>
      </c>
      <c r="S610" s="28">
        <f>IF($A610="","",IF(AND($F610="Agendado",$A610-Hoje&gt;=0,$A610-Hoje&lt;=DiasConf),"CONFIRMAR",IF(AND($A610&lt;Hoje,OR($F610="Agendado",$F610="Confirmado")),"Atualizar status",IF(AND($F610="Compareceu",$P610&gt;0.005),"Cobrar",IF($F610="Faltou","Falta: reagendar","")))))</f>
        <v>0</v>
      </c>
      <c r="T610" s="29">
        <f>IF($A610="","",DATE(YEAR($A610),MONTH($A610),1))</f>
        <v>0</v>
      </c>
      <c r="U610" s="30">
        <f>IF($S610="CONFIRMAR",MAX($U$4:$U609)+1,"")</f>
        <v>0</v>
      </c>
      <c r="V610" s="30">
        <f>IF(AND($R610="Não",$Q610&lt;&gt;"",$Q610&lt;=Hoje+JanelaRet,$Q610&gt;=Hoje-60),MAX($V$4:$V609)+1,"")</f>
        <v>0</v>
      </c>
    </row>
    <row r="611" spans="1:22">
      <c r="A611" s="16"/>
      <c r="B611" s="23"/>
      <c r="C611" s="15"/>
      <c r="D611" s="15"/>
      <c r="E611" s="15"/>
      <c r="F611" s="24"/>
      <c r="G611" s="17"/>
      <c r="H611" s="17"/>
      <c r="I611" s="15"/>
      <c r="J611" s="25">
        <f>IF($D611="","",IFERROR(INDEX(PacNome,MATCH($D611,PacCod,0)),"Paciente não cadastrado"))</f>
        <v>0</v>
      </c>
      <c r="K611" s="26">
        <f>IF($D611="","",IFERROR(INDEX(PacConv,MATCH($D611,PacCod,0))&amp;"",""))</f>
        <v>0</v>
      </c>
      <c r="L611" s="26">
        <f>IF($A611="","",CHOOSE(WEEKDAY($A611,2),"Seg","Ter","Qua","Qui","Sex","Sáb","Dom"))</f>
        <v>0</v>
      </c>
      <c r="M611" s="27">
        <f>IF($E611="","",IF($G611&lt;&gt;"",$G611,IFERROR(INDEX(ProcValor,MATCH($E611,ProcNome,0)),0)))</f>
        <v>0</v>
      </c>
      <c r="N611" s="27">
        <f>IF($M611="","",IF($F611="Compareceu",$M611,0))</f>
        <v>0</v>
      </c>
      <c r="O611" s="27">
        <f>IF($M611="","",IF($F611="Faltou",$M611,0))</f>
        <v>0</v>
      </c>
      <c r="P611" s="27">
        <f>IF($M611="","",IF($F611="Compareceu",MAX(0,$M611-N($H611)),0))</f>
        <v>0</v>
      </c>
      <c r="Q611" s="19">
        <f>IF(AND($F611="Compareceu",$E611&lt;&gt;"",$A611&lt;&gt;""),IF(IFERROR(INDEX(ProcRet,MATCH($E611,ProcNome,0)),0)&gt;0,$A611+INDEX(ProcRet,MATCH($E611,ProcNome,0)),""),"")</f>
        <v>0</v>
      </c>
      <c r="R611" s="26">
        <f>IF($Q611="","",IF(COUNTIFS(AgPac,$D611,AgData,"&gt;"&amp;$A611,AgStatus,"&lt;&gt;Cancelado",AgStatus,"&lt;&gt;Remarcado")&gt;0,"Sim","Não"))</f>
        <v>0</v>
      </c>
      <c r="S611" s="28">
        <f>IF($A611="","",IF(AND($F611="Agendado",$A611-Hoje&gt;=0,$A611-Hoje&lt;=DiasConf),"CONFIRMAR",IF(AND($A611&lt;Hoje,OR($F611="Agendado",$F611="Confirmado")),"Atualizar status",IF(AND($F611="Compareceu",$P611&gt;0.005),"Cobrar",IF($F611="Faltou","Falta: reagendar","")))))</f>
        <v>0</v>
      </c>
      <c r="T611" s="29">
        <f>IF($A611="","",DATE(YEAR($A611),MONTH($A611),1))</f>
        <v>0</v>
      </c>
      <c r="U611" s="30">
        <f>IF($S611="CONFIRMAR",MAX($U$4:$U610)+1,"")</f>
        <v>0</v>
      </c>
      <c r="V611" s="30">
        <f>IF(AND($R611="Não",$Q611&lt;&gt;"",$Q611&lt;=Hoje+JanelaRet,$Q611&gt;=Hoje-60),MAX($V$4:$V610)+1,"")</f>
        <v>0</v>
      </c>
    </row>
    <row r="612" spans="1:22">
      <c r="A612" s="16"/>
      <c r="B612" s="23"/>
      <c r="C612" s="15"/>
      <c r="D612" s="15"/>
      <c r="E612" s="15"/>
      <c r="F612" s="24"/>
      <c r="G612" s="17"/>
      <c r="H612" s="17"/>
      <c r="I612" s="15"/>
      <c r="J612" s="25">
        <f>IF($D612="","",IFERROR(INDEX(PacNome,MATCH($D612,PacCod,0)),"Paciente não cadastrado"))</f>
        <v>0</v>
      </c>
      <c r="K612" s="26">
        <f>IF($D612="","",IFERROR(INDEX(PacConv,MATCH($D612,PacCod,0))&amp;"",""))</f>
        <v>0</v>
      </c>
      <c r="L612" s="26">
        <f>IF($A612="","",CHOOSE(WEEKDAY($A612,2),"Seg","Ter","Qua","Qui","Sex","Sáb","Dom"))</f>
        <v>0</v>
      </c>
      <c r="M612" s="27">
        <f>IF($E612="","",IF($G612&lt;&gt;"",$G612,IFERROR(INDEX(ProcValor,MATCH($E612,ProcNome,0)),0)))</f>
        <v>0</v>
      </c>
      <c r="N612" s="27">
        <f>IF($M612="","",IF($F612="Compareceu",$M612,0))</f>
        <v>0</v>
      </c>
      <c r="O612" s="27">
        <f>IF($M612="","",IF($F612="Faltou",$M612,0))</f>
        <v>0</v>
      </c>
      <c r="P612" s="27">
        <f>IF($M612="","",IF($F612="Compareceu",MAX(0,$M612-N($H612)),0))</f>
        <v>0</v>
      </c>
      <c r="Q612" s="19">
        <f>IF(AND($F612="Compareceu",$E612&lt;&gt;"",$A612&lt;&gt;""),IF(IFERROR(INDEX(ProcRet,MATCH($E612,ProcNome,0)),0)&gt;0,$A612+INDEX(ProcRet,MATCH($E612,ProcNome,0)),""),"")</f>
        <v>0</v>
      </c>
      <c r="R612" s="26">
        <f>IF($Q612="","",IF(COUNTIFS(AgPac,$D612,AgData,"&gt;"&amp;$A612,AgStatus,"&lt;&gt;Cancelado",AgStatus,"&lt;&gt;Remarcado")&gt;0,"Sim","Não"))</f>
        <v>0</v>
      </c>
      <c r="S612" s="28">
        <f>IF($A612="","",IF(AND($F612="Agendado",$A612-Hoje&gt;=0,$A612-Hoje&lt;=DiasConf),"CONFIRMAR",IF(AND($A612&lt;Hoje,OR($F612="Agendado",$F612="Confirmado")),"Atualizar status",IF(AND($F612="Compareceu",$P612&gt;0.005),"Cobrar",IF($F612="Faltou","Falta: reagendar","")))))</f>
        <v>0</v>
      </c>
      <c r="T612" s="29">
        <f>IF($A612="","",DATE(YEAR($A612),MONTH($A612),1))</f>
        <v>0</v>
      </c>
      <c r="U612" s="30">
        <f>IF($S612="CONFIRMAR",MAX($U$4:$U611)+1,"")</f>
        <v>0</v>
      </c>
      <c r="V612" s="30">
        <f>IF(AND($R612="Não",$Q612&lt;&gt;"",$Q612&lt;=Hoje+JanelaRet,$Q612&gt;=Hoje-60),MAX($V$4:$V611)+1,"")</f>
        <v>0</v>
      </c>
    </row>
    <row r="613" spans="1:22">
      <c r="A613" s="16"/>
      <c r="B613" s="23"/>
      <c r="C613" s="15"/>
      <c r="D613" s="15"/>
      <c r="E613" s="15"/>
      <c r="F613" s="24"/>
      <c r="G613" s="17"/>
      <c r="H613" s="17"/>
      <c r="I613" s="15"/>
      <c r="J613" s="25">
        <f>IF($D613="","",IFERROR(INDEX(PacNome,MATCH($D613,PacCod,0)),"Paciente não cadastrado"))</f>
        <v>0</v>
      </c>
      <c r="K613" s="26">
        <f>IF($D613="","",IFERROR(INDEX(PacConv,MATCH($D613,PacCod,0))&amp;"",""))</f>
        <v>0</v>
      </c>
      <c r="L613" s="26">
        <f>IF($A613="","",CHOOSE(WEEKDAY($A613,2),"Seg","Ter","Qua","Qui","Sex","Sáb","Dom"))</f>
        <v>0</v>
      </c>
      <c r="M613" s="27">
        <f>IF($E613="","",IF($G613&lt;&gt;"",$G613,IFERROR(INDEX(ProcValor,MATCH($E613,ProcNome,0)),0)))</f>
        <v>0</v>
      </c>
      <c r="N613" s="27">
        <f>IF($M613="","",IF($F613="Compareceu",$M613,0))</f>
        <v>0</v>
      </c>
      <c r="O613" s="27">
        <f>IF($M613="","",IF($F613="Faltou",$M613,0))</f>
        <v>0</v>
      </c>
      <c r="P613" s="27">
        <f>IF($M613="","",IF($F613="Compareceu",MAX(0,$M613-N($H613)),0))</f>
        <v>0</v>
      </c>
      <c r="Q613" s="19">
        <f>IF(AND($F613="Compareceu",$E613&lt;&gt;"",$A613&lt;&gt;""),IF(IFERROR(INDEX(ProcRet,MATCH($E613,ProcNome,0)),0)&gt;0,$A613+INDEX(ProcRet,MATCH($E613,ProcNome,0)),""),"")</f>
        <v>0</v>
      </c>
      <c r="R613" s="26">
        <f>IF($Q613="","",IF(COUNTIFS(AgPac,$D613,AgData,"&gt;"&amp;$A613,AgStatus,"&lt;&gt;Cancelado",AgStatus,"&lt;&gt;Remarcado")&gt;0,"Sim","Não"))</f>
        <v>0</v>
      </c>
      <c r="S613" s="28">
        <f>IF($A613="","",IF(AND($F613="Agendado",$A613-Hoje&gt;=0,$A613-Hoje&lt;=DiasConf),"CONFIRMAR",IF(AND($A613&lt;Hoje,OR($F613="Agendado",$F613="Confirmado")),"Atualizar status",IF(AND($F613="Compareceu",$P613&gt;0.005),"Cobrar",IF($F613="Faltou","Falta: reagendar","")))))</f>
        <v>0</v>
      </c>
      <c r="T613" s="29">
        <f>IF($A613="","",DATE(YEAR($A613),MONTH($A613),1))</f>
        <v>0</v>
      </c>
      <c r="U613" s="30">
        <f>IF($S613="CONFIRMAR",MAX($U$4:$U612)+1,"")</f>
        <v>0</v>
      </c>
      <c r="V613" s="30">
        <f>IF(AND($R613="Não",$Q613&lt;&gt;"",$Q613&lt;=Hoje+JanelaRet,$Q613&gt;=Hoje-60),MAX($V$4:$V612)+1,"")</f>
        <v>0</v>
      </c>
    </row>
    <row r="614" spans="1:22">
      <c r="A614" s="16"/>
      <c r="B614" s="23"/>
      <c r="C614" s="15"/>
      <c r="D614" s="15"/>
      <c r="E614" s="15"/>
      <c r="F614" s="24"/>
      <c r="G614" s="17"/>
      <c r="H614" s="17"/>
      <c r="I614" s="15"/>
      <c r="J614" s="25">
        <f>IF($D614="","",IFERROR(INDEX(PacNome,MATCH($D614,PacCod,0)),"Paciente não cadastrado"))</f>
        <v>0</v>
      </c>
      <c r="K614" s="26">
        <f>IF($D614="","",IFERROR(INDEX(PacConv,MATCH($D614,PacCod,0))&amp;"",""))</f>
        <v>0</v>
      </c>
      <c r="L614" s="26">
        <f>IF($A614="","",CHOOSE(WEEKDAY($A614,2),"Seg","Ter","Qua","Qui","Sex","Sáb","Dom"))</f>
        <v>0</v>
      </c>
      <c r="M614" s="27">
        <f>IF($E614="","",IF($G614&lt;&gt;"",$G614,IFERROR(INDEX(ProcValor,MATCH($E614,ProcNome,0)),0)))</f>
        <v>0</v>
      </c>
      <c r="N614" s="27">
        <f>IF($M614="","",IF($F614="Compareceu",$M614,0))</f>
        <v>0</v>
      </c>
      <c r="O614" s="27">
        <f>IF($M614="","",IF($F614="Faltou",$M614,0))</f>
        <v>0</v>
      </c>
      <c r="P614" s="27">
        <f>IF($M614="","",IF($F614="Compareceu",MAX(0,$M614-N($H614)),0))</f>
        <v>0</v>
      </c>
      <c r="Q614" s="19">
        <f>IF(AND($F614="Compareceu",$E614&lt;&gt;"",$A614&lt;&gt;""),IF(IFERROR(INDEX(ProcRet,MATCH($E614,ProcNome,0)),0)&gt;0,$A614+INDEX(ProcRet,MATCH($E614,ProcNome,0)),""),"")</f>
        <v>0</v>
      </c>
      <c r="R614" s="26">
        <f>IF($Q614="","",IF(COUNTIFS(AgPac,$D614,AgData,"&gt;"&amp;$A614,AgStatus,"&lt;&gt;Cancelado",AgStatus,"&lt;&gt;Remarcado")&gt;0,"Sim","Não"))</f>
        <v>0</v>
      </c>
      <c r="S614" s="28">
        <f>IF($A614="","",IF(AND($F614="Agendado",$A614-Hoje&gt;=0,$A614-Hoje&lt;=DiasConf),"CONFIRMAR",IF(AND($A614&lt;Hoje,OR($F614="Agendado",$F614="Confirmado")),"Atualizar status",IF(AND($F614="Compareceu",$P614&gt;0.005),"Cobrar",IF($F614="Faltou","Falta: reagendar","")))))</f>
        <v>0</v>
      </c>
      <c r="T614" s="29">
        <f>IF($A614="","",DATE(YEAR($A614),MONTH($A614),1))</f>
        <v>0</v>
      </c>
      <c r="U614" s="30">
        <f>IF($S614="CONFIRMAR",MAX($U$4:$U613)+1,"")</f>
        <v>0</v>
      </c>
      <c r="V614" s="30">
        <f>IF(AND($R614="Não",$Q614&lt;&gt;"",$Q614&lt;=Hoje+JanelaRet,$Q614&gt;=Hoje-60),MAX($V$4:$V613)+1,"")</f>
        <v>0</v>
      </c>
    </row>
    <row r="615" spans="1:22">
      <c r="A615" s="16"/>
      <c r="B615" s="23"/>
      <c r="C615" s="15"/>
      <c r="D615" s="15"/>
      <c r="E615" s="15"/>
      <c r="F615" s="24"/>
      <c r="G615" s="17"/>
      <c r="H615" s="17"/>
      <c r="I615" s="15"/>
      <c r="J615" s="25">
        <f>IF($D615="","",IFERROR(INDEX(PacNome,MATCH($D615,PacCod,0)),"Paciente não cadastrado"))</f>
        <v>0</v>
      </c>
      <c r="K615" s="26">
        <f>IF($D615="","",IFERROR(INDEX(PacConv,MATCH($D615,PacCod,0))&amp;"",""))</f>
        <v>0</v>
      </c>
      <c r="L615" s="26">
        <f>IF($A615="","",CHOOSE(WEEKDAY($A615,2),"Seg","Ter","Qua","Qui","Sex","Sáb","Dom"))</f>
        <v>0</v>
      </c>
      <c r="M615" s="27">
        <f>IF($E615="","",IF($G615&lt;&gt;"",$G615,IFERROR(INDEX(ProcValor,MATCH($E615,ProcNome,0)),0)))</f>
        <v>0</v>
      </c>
      <c r="N615" s="27">
        <f>IF($M615="","",IF($F615="Compareceu",$M615,0))</f>
        <v>0</v>
      </c>
      <c r="O615" s="27">
        <f>IF($M615="","",IF($F615="Faltou",$M615,0))</f>
        <v>0</v>
      </c>
      <c r="P615" s="27">
        <f>IF($M615="","",IF($F615="Compareceu",MAX(0,$M615-N($H615)),0))</f>
        <v>0</v>
      </c>
      <c r="Q615" s="19">
        <f>IF(AND($F615="Compareceu",$E615&lt;&gt;"",$A615&lt;&gt;""),IF(IFERROR(INDEX(ProcRet,MATCH($E615,ProcNome,0)),0)&gt;0,$A615+INDEX(ProcRet,MATCH($E615,ProcNome,0)),""),"")</f>
        <v>0</v>
      </c>
      <c r="R615" s="26">
        <f>IF($Q615="","",IF(COUNTIFS(AgPac,$D615,AgData,"&gt;"&amp;$A615,AgStatus,"&lt;&gt;Cancelado",AgStatus,"&lt;&gt;Remarcado")&gt;0,"Sim","Não"))</f>
        <v>0</v>
      </c>
      <c r="S615" s="28">
        <f>IF($A615="","",IF(AND($F615="Agendado",$A615-Hoje&gt;=0,$A615-Hoje&lt;=DiasConf),"CONFIRMAR",IF(AND($A615&lt;Hoje,OR($F615="Agendado",$F615="Confirmado")),"Atualizar status",IF(AND($F615="Compareceu",$P615&gt;0.005),"Cobrar",IF($F615="Faltou","Falta: reagendar","")))))</f>
        <v>0</v>
      </c>
      <c r="T615" s="29">
        <f>IF($A615="","",DATE(YEAR($A615),MONTH($A615),1))</f>
        <v>0</v>
      </c>
      <c r="U615" s="30">
        <f>IF($S615="CONFIRMAR",MAX($U$4:$U614)+1,"")</f>
        <v>0</v>
      </c>
      <c r="V615" s="30">
        <f>IF(AND($R615="Não",$Q615&lt;&gt;"",$Q615&lt;=Hoje+JanelaRet,$Q615&gt;=Hoje-60),MAX($V$4:$V614)+1,"")</f>
        <v>0</v>
      </c>
    </row>
    <row r="616" spans="1:22">
      <c r="A616" s="16"/>
      <c r="B616" s="23"/>
      <c r="C616" s="15"/>
      <c r="D616" s="15"/>
      <c r="E616" s="15"/>
      <c r="F616" s="24"/>
      <c r="G616" s="17"/>
      <c r="H616" s="17"/>
      <c r="I616" s="15"/>
      <c r="J616" s="25">
        <f>IF($D616="","",IFERROR(INDEX(PacNome,MATCH($D616,PacCod,0)),"Paciente não cadastrado"))</f>
        <v>0</v>
      </c>
      <c r="K616" s="26">
        <f>IF($D616="","",IFERROR(INDEX(PacConv,MATCH($D616,PacCod,0))&amp;"",""))</f>
        <v>0</v>
      </c>
      <c r="L616" s="26">
        <f>IF($A616="","",CHOOSE(WEEKDAY($A616,2),"Seg","Ter","Qua","Qui","Sex","Sáb","Dom"))</f>
        <v>0</v>
      </c>
      <c r="M616" s="27">
        <f>IF($E616="","",IF($G616&lt;&gt;"",$G616,IFERROR(INDEX(ProcValor,MATCH($E616,ProcNome,0)),0)))</f>
        <v>0</v>
      </c>
      <c r="N616" s="27">
        <f>IF($M616="","",IF($F616="Compareceu",$M616,0))</f>
        <v>0</v>
      </c>
      <c r="O616" s="27">
        <f>IF($M616="","",IF($F616="Faltou",$M616,0))</f>
        <v>0</v>
      </c>
      <c r="P616" s="27">
        <f>IF($M616="","",IF($F616="Compareceu",MAX(0,$M616-N($H616)),0))</f>
        <v>0</v>
      </c>
      <c r="Q616" s="19">
        <f>IF(AND($F616="Compareceu",$E616&lt;&gt;"",$A616&lt;&gt;""),IF(IFERROR(INDEX(ProcRet,MATCH($E616,ProcNome,0)),0)&gt;0,$A616+INDEX(ProcRet,MATCH($E616,ProcNome,0)),""),"")</f>
        <v>0</v>
      </c>
      <c r="R616" s="26">
        <f>IF($Q616="","",IF(COUNTIFS(AgPac,$D616,AgData,"&gt;"&amp;$A616,AgStatus,"&lt;&gt;Cancelado",AgStatus,"&lt;&gt;Remarcado")&gt;0,"Sim","Não"))</f>
        <v>0</v>
      </c>
      <c r="S616" s="28">
        <f>IF($A616="","",IF(AND($F616="Agendado",$A616-Hoje&gt;=0,$A616-Hoje&lt;=DiasConf),"CONFIRMAR",IF(AND($A616&lt;Hoje,OR($F616="Agendado",$F616="Confirmado")),"Atualizar status",IF(AND($F616="Compareceu",$P616&gt;0.005),"Cobrar",IF($F616="Faltou","Falta: reagendar","")))))</f>
        <v>0</v>
      </c>
      <c r="T616" s="29">
        <f>IF($A616="","",DATE(YEAR($A616),MONTH($A616),1))</f>
        <v>0</v>
      </c>
      <c r="U616" s="30">
        <f>IF($S616="CONFIRMAR",MAX($U$4:$U615)+1,"")</f>
        <v>0</v>
      </c>
      <c r="V616" s="30">
        <f>IF(AND($R616="Não",$Q616&lt;&gt;"",$Q616&lt;=Hoje+JanelaRet,$Q616&gt;=Hoje-60),MAX($V$4:$V615)+1,"")</f>
        <v>0</v>
      </c>
    </row>
    <row r="617" spans="1:22">
      <c r="A617" s="16"/>
      <c r="B617" s="23"/>
      <c r="C617" s="15"/>
      <c r="D617" s="15"/>
      <c r="E617" s="15"/>
      <c r="F617" s="24"/>
      <c r="G617" s="17"/>
      <c r="H617" s="17"/>
      <c r="I617" s="15"/>
      <c r="J617" s="25">
        <f>IF($D617="","",IFERROR(INDEX(PacNome,MATCH($D617,PacCod,0)),"Paciente não cadastrado"))</f>
        <v>0</v>
      </c>
      <c r="K617" s="26">
        <f>IF($D617="","",IFERROR(INDEX(PacConv,MATCH($D617,PacCod,0))&amp;"",""))</f>
        <v>0</v>
      </c>
      <c r="L617" s="26">
        <f>IF($A617="","",CHOOSE(WEEKDAY($A617,2),"Seg","Ter","Qua","Qui","Sex","Sáb","Dom"))</f>
        <v>0</v>
      </c>
      <c r="M617" s="27">
        <f>IF($E617="","",IF($G617&lt;&gt;"",$G617,IFERROR(INDEX(ProcValor,MATCH($E617,ProcNome,0)),0)))</f>
        <v>0</v>
      </c>
      <c r="N617" s="27">
        <f>IF($M617="","",IF($F617="Compareceu",$M617,0))</f>
        <v>0</v>
      </c>
      <c r="O617" s="27">
        <f>IF($M617="","",IF($F617="Faltou",$M617,0))</f>
        <v>0</v>
      </c>
      <c r="P617" s="27">
        <f>IF($M617="","",IF($F617="Compareceu",MAX(0,$M617-N($H617)),0))</f>
        <v>0</v>
      </c>
      <c r="Q617" s="19">
        <f>IF(AND($F617="Compareceu",$E617&lt;&gt;"",$A617&lt;&gt;""),IF(IFERROR(INDEX(ProcRet,MATCH($E617,ProcNome,0)),0)&gt;0,$A617+INDEX(ProcRet,MATCH($E617,ProcNome,0)),""),"")</f>
        <v>0</v>
      </c>
      <c r="R617" s="26">
        <f>IF($Q617="","",IF(COUNTIFS(AgPac,$D617,AgData,"&gt;"&amp;$A617,AgStatus,"&lt;&gt;Cancelado",AgStatus,"&lt;&gt;Remarcado")&gt;0,"Sim","Não"))</f>
        <v>0</v>
      </c>
      <c r="S617" s="28">
        <f>IF($A617="","",IF(AND($F617="Agendado",$A617-Hoje&gt;=0,$A617-Hoje&lt;=DiasConf),"CONFIRMAR",IF(AND($A617&lt;Hoje,OR($F617="Agendado",$F617="Confirmado")),"Atualizar status",IF(AND($F617="Compareceu",$P617&gt;0.005),"Cobrar",IF($F617="Faltou","Falta: reagendar","")))))</f>
        <v>0</v>
      </c>
      <c r="T617" s="29">
        <f>IF($A617="","",DATE(YEAR($A617),MONTH($A617),1))</f>
        <v>0</v>
      </c>
      <c r="U617" s="30">
        <f>IF($S617="CONFIRMAR",MAX($U$4:$U616)+1,"")</f>
        <v>0</v>
      </c>
      <c r="V617" s="30">
        <f>IF(AND($R617="Não",$Q617&lt;&gt;"",$Q617&lt;=Hoje+JanelaRet,$Q617&gt;=Hoje-60),MAX($V$4:$V616)+1,"")</f>
        <v>0</v>
      </c>
    </row>
    <row r="618" spans="1:22">
      <c r="A618" s="16"/>
      <c r="B618" s="23"/>
      <c r="C618" s="15"/>
      <c r="D618" s="15"/>
      <c r="E618" s="15"/>
      <c r="F618" s="24"/>
      <c r="G618" s="17"/>
      <c r="H618" s="17"/>
      <c r="I618" s="15"/>
      <c r="J618" s="25">
        <f>IF($D618="","",IFERROR(INDEX(PacNome,MATCH($D618,PacCod,0)),"Paciente não cadastrado"))</f>
        <v>0</v>
      </c>
      <c r="K618" s="26">
        <f>IF($D618="","",IFERROR(INDEX(PacConv,MATCH($D618,PacCod,0))&amp;"",""))</f>
        <v>0</v>
      </c>
      <c r="L618" s="26">
        <f>IF($A618="","",CHOOSE(WEEKDAY($A618,2),"Seg","Ter","Qua","Qui","Sex","Sáb","Dom"))</f>
        <v>0</v>
      </c>
      <c r="M618" s="27">
        <f>IF($E618="","",IF($G618&lt;&gt;"",$G618,IFERROR(INDEX(ProcValor,MATCH($E618,ProcNome,0)),0)))</f>
        <v>0</v>
      </c>
      <c r="N618" s="27">
        <f>IF($M618="","",IF($F618="Compareceu",$M618,0))</f>
        <v>0</v>
      </c>
      <c r="O618" s="27">
        <f>IF($M618="","",IF($F618="Faltou",$M618,0))</f>
        <v>0</v>
      </c>
      <c r="P618" s="27">
        <f>IF($M618="","",IF($F618="Compareceu",MAX(0,$M618-N($H618)),0))</f>
        <v>0</v>
      </c>
      <c r="Q618" s="19">
        <f>IF(AND($F618="Compareceu",$E618&lt;&gt;"",$A618&lt;&gt;""),IF(IFERROR(INDEX(ProcRet,MATCH($E618,ProcNome,0)),0)&gt;0,$A618+INDEX(ProcRet,MATCH($E618,ProcNome,0)),""),"")</f>
        <v>0</v>
      </c>
      <c r="R618" s="26">
        <f>IF($Q618="","",IF(COUNTIFS(AgPac,$D618,AgData,"&gt;"&amp;$A618,AgStatus,"&lt;&gt;Cancelado",AgStatus,"&lt;&gt;Remarcado")&gt;0,"Sim","Não"))</f>
        <v>0</v>
      </c>
      <c r="S618" s="28">
        <f>IF($A618="","",IF(AND($F618="Agendado",$A618-Hoje&gt;=0,$A618-Hoje&lt;=DiasConf),"CONFIRMAR",IF(AND($A618&lt;Hoje,OR($F618="Agendado",$F618="Confirmado")),"Atualizar status",IF(AND($F618="Compareceu",$P618&gt;0.005),"Cobrar",IF($F618="Faltou","Falta: reagendar","")))))</f>
        <v>0</v>
      </c>
      <c r="T618" s="29">
        <f>IF($A618="","",DATE(YEAR($A618),MONTH($A618),1))</f>
        <v>0</v>
      </c>
      <c r="U618" s="30">
        <f>IF($S618="CONFIRMAR",MAX($U$4:$U617)+1,"")</f>
        <v>0</v>
      </c>
      <c r="V618" s="30">
        <f>IF(AND($R618="Não",$Q618&lt;&gt;"",$Q618&lt;=Hoje+JanelaRet,$Q618&gt;=Hoje-60),MAX($V$4:$V617)+1,"")</f>
        <v>0</v>
      </c>
    </row>
    <row r="619" spans="1:22">
      <c r="A619" s="16"/>
      <c r="B619" s="23"/>
      <c r="C619" s="15"/>
      <c r="D619" s="15"/>
      <c r="E619" s="15"/>
      <c r="F619" s="24"/>
      <c r="G619" s="17"/>
      <c r="H619" s="17"/>
      <c r="I619" s="15"/>
      <c r="J619" s="25">
        <f>IF($D619="","",IFERROR(INDEX(PacNome,MATCH($D619,PacCod,0)),"Paciente não cadastrado"))</f>
        <v>0</v>
      </c>
      <c r="K619" s="26">
        <f>IF($D619="","",IFERROR(INDEX(PacConv,MATCH($D619,PacCod,0))&amp;"",""))</f>
        <v>0</v>
      </c>
      <c r="L619" s="26">
        <f>IF($A619="","",CHOOSE(WEEKDAY($A619,2),"Seg","Ter","Qua","Qui","Sex","Sáb","Dom"))</f>
        <v>0</v>
      </c>
      <c r="M619" s="27">
        <f>IF($E619="","",IF($G619&lt;&gt;"",$G619,IFERROR(INDEX(ProcValor,MATCH($E619,ProcNome,0)),0)))</f>
        <v>0</v>
      </c>
      <c r="N619" s="27">
        <f>IF($M619="","",IF($F619="Compareceu",$M619,0))</f>
        <v>0</v>
      </c>
      <c r="O619" s="27">
        <f>IF($M619="","",IF($F619="Faltou",$M619,0))</f>
        <v>0</v>
      </c>
      <c r="P619" s="27">
        <f>IF($M619="","",IF($F619="Compareceu",MAX(0,$M619-N($H619)),0))</f>
        <v>0</v>
      </c>
      <c r="Q619" s="19">
        <f>IF(AND($F619="Compareceu",$E619&lt;&gt;"",$A619&lt;&gt;""),IF(IFERROR(INDEX(ProcRet,MATCH($E619,ProcNome,0)),0)&gt;0,$A619+INDEX(ProcRet,MATCH($E619,ProcNome,0)),""),"")</f>
        <v>0</v>
      </c>
      <c r="R619" s="26">
        <f>IF($Q619="","",IF(COUNTIFS(AgPac,$D619,AgData,"&gt;"&amp;$A619,AgStatus,"&lt;&gt;Cancelado",AgStatus,"&lt;&gt;Remarcado")&gt;0,"Sim","Não"))</f>
        <v>0</v>
      </c>
      <c r="S619" s="28">
        <f>IF($A619="","",IF(AND($F619="Agendado",$A619-Hoje&gt;=0,$A619-Hoje&lt;=DiasConf),"CONFIRMAR",IF(AND($A619&lt;Hoje,OR($F619="Agendado",$F619="Confirmado")),"Atualizar status",IF(AND($F619="Compareceu",$P619&gt;0.005),"Cobrar",IF($F619="Faltou","Falta: reagendar","")))))</f>
        <v>0</v>
      </c>
      <c r="T619" s="29">
        <f>IF($A619="","",DATE(YEAR($A619),MONTH($A619),1))</f>
        <v>0</v>
      </c>
      <c r="U619" s="30">
        <f>IF($S619="CONFIRMAR",MAX($U$4:$U618)+1,"")</f>
        <v>0</v>
      </c>
      <c r="V619" s="30">
        <f>IF(AND($R619="Não",$Q619&lt;&gt;"",$Q619&lt;=Hoje+JanelaRet,$Q619&gt;=Hoje-60),MAX($V$4:$V618)+1,"")</f>
        <v>0</v>
      </c>
    </row>
    <row r="620" spans="1:22">
      <c r="A620" s="16"/>
      <c r="B620" s="23"/>
      <c r="C620" s="15"/>
      <c r="D620" s="15"/>
      <c r="E620" s="15"/>
      <c r="F620" s="24"/>
      <c r="G620" s="17"/>
      <c r="H620" s="17"/>
      <c r="I620" s="15"/>
      <c r="J620" s="25">
        <f>IF($D620="","",IFERROR(INDEX(PacNome,MATCH($D620,PacCod,0)),"Paciente não cadastrado"))</f>
        <v>0</v>
      </c>
      <c r="K620" s="26">
        <f>IF($D620="","",IFERROR(INDEX(PacConv,MATCH($D620,PacCod,0))&amp;"",""))</f>
        <v>0</v>
      </c>
      <c r="L620" s="26">
        <f>IF($A620="","",CHOOSE(WEEKDAY($A620,2),"Seg","Ter","Qua","Qui","Sex","Sáb","Dom"))</f>
        <v>0</v>
      </c>
      <c r="M620" s="27">
        <f>IF($E620="","",IF($G620&lt;&gt;"",$G620,IFERROR(INDEX(ProcValor,MATCH($E620,ProcNome,0)),0)))</f>
        <v>0</v>
      </c>
      <c r="N620" s="27">
        <f>IF($M620="","",IF($F620="Compareceu",$M620,0))</f>
        <v>0</v>
      </c>
      <c r="O620" s="27">
        <f>IF($M620="","",IF($F620="Faltou",$M620,0))</f>
        <v>0</v>
      </c>
      <c r="P620" s="27">
        <f>IF($M620="","",IF($F620="Compareceu",MAX(0,$M620-N($H620)),0))</f>
        <v>0</v>
      </c>
      <c r="Q620" s="19">
        <f>IF(AND($F620="Compareceu",$E620&lt;&gt;"",$A620&lt;&gt;""),IF(IFERROR(INDEX(ProcRet,MATCH($E620,ProcNome,0)),0)&gt;0,$A620+INDEX(ProcRet,MATCH($E620,ProcNome,0)),""),"")</f>
        <v>0</v>
      </c>
      <c r="R620" s="26">
        <f>IF($Q620="","",IF(COUNTIFS(AgPac,$D620,AgData,"&gt;"&amp;$A620,AgStatus,"&lt;&gt;Cancelado",AgStatus,"&lt;&gt;Remarcado")&gt;0,"Sim","Não"))</f>
        <v>0</v>
      </c>
      <c r="S620" s="28">
        <f>IF($A620="","",IF(AND($F620="Agendado",$A620-Hoje&gt;=0,$A620-Hoje&lt;=DiasConf),"CONFIRMAR",IF(AND($A620&lt;Hoje,OR($F620="Agendado",$F620="Confirmado")),"Atualizar status",IF(AND($F620="Compareceu",$P620&gt;0.005),"Cobrar",IF($F620="Faltou","Falta: reagendar","")))))</f>
        <v>0</v>
      </c>
      <c r="T620" s="29">
        <f>IF($A620="","",DATE(YEAR($A620),MONTH($A620),1))</f>
        <v>0</v>
      </c>
      <c r="U620" s="30">
        <f>IF($S620="CONFIRMAR",MAX($U$4:$U619)+1,"")</f>
        <v>0</v>
      </c>
      <c r="V620" s="30">
        <f>IF(AND($R620="Não",$Q620&lt;&gt;"",$Q620&lt;=Hoje+JanelaRet,$Q620&gt;=Hoje-60),MAX($V$4:$V619)+1,"")</f>
        <v>0</v>
      </c>
    </row>
    <row r="621" spans="1:22">
      <c r="A621" s="16"/>
      <c r="B621" s="23"/>
      <c r="C621" s="15"/>
      <c r="D621" s="15"/>
      <c r="E621" s="15"/>
      <c r="F621" s="24"/>
      <c r="G621" s="17"/>
      <c r="H621" s="17"/>
      <c r="I621" s="15"/>
      <c r="J621" s="25">
        <f>IF($D621="","",IFERROR(INDEX(PacNome,MATCH($D621,PacCod,0)),"Paciente não cadastrado"))</f>
        <v>0</v>
      </c>
      <c r="K621" s="26">
        <f>IF($D621="","",IFERROR(INDEX(PacConv,MATCH($D621,PacCod,0))&amp;"",""))</f>
        <v>0</v>
      </c>
      <c r="L621" s="26">
        <f>IF($A621="","",CHOOSE(WEEKDAY($A621,2),"Seg","Ter","Qua","Qui","Sex","Sáb","Dom"))</f>
        <v>0</v>
      </c>
      <c r="M621" s="27">
        <f>IF($E621="","",IF($G621&lt;&gt;"",$G621,IFERROR(INDEX(ProcValor,MATCH($E621,ProcNome,0)),0)))</f>
        <v>0</v>
      </c>
      <c r="N621" s="27">
        <f>IF($M621="","",IF($F621="Compareceu",$M621,0))</f>
        <v>0</v>
      </c>
      <c r="O621" s="27">
        <f>IF($M621="","",IF($F621="Faltou",$M621,0))</f>
        <v>0</v>
      </c>
      <c r="P621" s="27">
        <f>IF($M621="","",IF($F621="Compareceu",MAX(0,$M621-N($H621)),0))</f>
        <v>0</v>
      </c>
      <c r="Q621" s="19">
        <f>IF(AND($F621="Compareceu",$E621&lt;&gt;"",$A621&lt;&gt;""),IF(IFERROR(INDEX(ProcRet,MATCH($E621,ProcNome,0)),0)&gt;0,$A621+INDEX(ProcRet,MATCH($E621,ProcNome,0)),""),"")</f>
        <v>0</v>
      </c>
      <c r="R621" s="26">
        <f>IF($Q621="","",IF(COUNTIFS(AgPac,$D621,AgData,"&gt;"&amp;$A621,AgStatus,"&lt;&gt;Cancelado",AgStatus,"&lt;&gt;Remarcado")&gt;0,"Sim","Não"))</f>
        <v>0</v>
      </c>
      <c r="S621" s="28">
        <f>IF($A621="","",IF(AND($F621="Agendado",$A621-Hoje&gt;=0,$A621-Hoje&lt;=DiasConf),"CONFIRMAR",IF(AND($A621&lt;Hoje,OR($F621="Agendado",$F621="Confirmado")),"Atualizar status",IF(AND($F621="Compareceu",$P621&gt;0.005),"Cobrar",IF($F621="Faltou","Falta: reagendar","")))))</f>
        <v>0</v>
      </c>
      <c r="T621" s="29">
        <f>IF($A621="","",DATE(YEAR($A621),MONTH($A621),1))</f>
        <v>0</v>
      </c>
      <c r="U621" s="30">
        <f>IF($S621="CONFIRMAR",MAX($U$4:$U620)+1,"")</f>
        <v>0</v>
      </c>
      <c r="V621" s="30">
        <f>IF(AND($R621="Não",$Q621&lt;&gt;"",$Q621&lt;=Hoje+JanelaRet,$Q621&gt;=Hoje-60),MAX($V$4:$V620)+1,"")</f>
        <v>0</v>
      </c>
    </row>
    <row r="622" spans="1:22">
      <c r="A622" s="16"/>
      <c r="B622" s="23"/>
      <c r="C622" s="15"/>
      <c r="D622" s="15"/>
      <c r="E622" s="15"/>
      <c r="F622" s="24"/>
      <c r="G622" s="17"/>
      <c r="H622" s="17"/>
      <c r="I622" s="15"/>
      <c r="J622" s="25">
        <f>IF($D622="","",IFERROR(INDEX(PacNome,MATCH($D622,PacCod,0)),"Paciente não cadastrado"))</f>
        <v>0</v>
      </c>
      <c r="K622" s="26">
        <f>IF($D622="","",IFERROR(INDEX(PacConv,MATCH($D622,PacCod,0))&amp;"",""))</f>
        <v>0</v>
      </c>
      <c r="L622" s="26">
        <f>IF($A622="","",CHOOSE(WEEKDAY($A622,2),"Seg","Ter","Qua","Qui","Sex","Sáb","Dom"))</f>
        <v>0</v>
      </c>
      <c r="M622" s="27">
        <f>IF($E622="","",IF($G622&lt;&gt;"",$G622,IFERROR(INDEX(ProcValor,MATCH($E622,ProcNome,0)),0)))</f>
        <v>0</v>
      </c>
      <c r="N622" s="27">
        <f>IF($M622="","",IF($F622="Compareceu",$M622,0))</f>
        <v>0</v>
      </c>
      <c r="O622" s="27">
        <f>IF($M622="","",IF($F622="Faltou",$M622,0))</f>
        <v>0</v>
      </c>
      <c r="P622" s="27">
        <f>IF($M622="","",IF($F622="Compareceu",MAX(0,$M622-N($H622)),0))</f>
        <v>0</v>
      </c>
      <c r="Q622" s="19">
        <f>IF(AND($F622="Compareceu",$E622&lt;&gt;"",$A622&lt;&gt;""),IF(IFERROR(INDEX(ProcRet,MATCH($E622,ProcNome,0)),0)&gt;0,$A622+INDEX(ProcRet,MATCH($E622,ProcNome,0)),""),"")</f>
        <v>0</v>
      </c>
      <c r="R622" s="26">
        <f>IF($Q622="","",IF(COUNTIFS(AgPac,$D622,AgData,"&gt;"&amp;$A622,AgStatus,"&lt;&gt;Cancelado",AgStatus,"&lt;&gt;Remarcado")&gt;0,"Sim","Não"))</f>
        <v>0</v>
      </c>
      <c r="S622" s="28">
        <f>IF($A622="","",IF(AND($F622="Agendado",$A622-Hoje&gt;=0,$A622-Hoje&lt;=DiasConf),"CONFIRMAR",IF(AND($A622&lt;Hoje,OR($F622="Agendado",$F622="Confirmado")),"Atualizar status",IF(AND($F622="Compareceu",$P622&gt;0.005),"Cobrar",IF($F622="Faltou","Falta: reagendar","")))))</f>
        <v>0</v>
      </c>
      <c r="T622" s="29">
        <f>IF($A622="","",DATE(YEAR($A622),MONTH($A622),1))</f>
        <v>0</v>
      </c>
      <c r="U622" s="30">
        <f>IF($S622="CONFIRMAR",MAX($U$4:$U621)+1,"")</f>
        <v>0</v>
      </c>
      <c r="V622" s="30">
        <f>IF(AND($R622="Não",$Q622&lt;&gt;"",$Q622&lt;=Hoje+JanelaRet,$Q622&gt;=Hoje-60),MAX($V$4:$V621)+1,"")</f>
        <v>0</v>
      </c>
    </row>
    <row r="623" spans="1:22">
      <c r="A623" s="16"/>
      <c r="B623" s="23"/>
      <c r="C623" s="15"/>
      <c r="D623" s="15"/>
      <c r="E623" s="15"/>
      <c r="F623" s="24"/>
      <c r="G623" s="17"/>
      <c r="H623" s="17"/>
      <c r="I623" s="15"/>
      <c r="J623" s="25">
        <f>IF($D623="","",IFERROR(INDEX(PacNome,MATCH($D623,PacCod,0)),"Paciente não cadastrado"))</f>
        <v>0</v>
      </c>
      <c r="K623" s="26">
        <f>IF($D623="","",IFERROR(INDEX(PacConv,MATCH($D623,PacCod,0))&amp;"",""))</f>
        <v>0</v>
      </c>
      <c r="L623" s="26">
        <f>IF($A623="","",CHOOSE(WEEKDAY($A623,2),"Seg","Ter","Qua","Qui","Sex","Sáb","Dom"))</f>
        <v>0</v>
      </c>
      <c r="M623" s="27">
        <f>IF($E623="","",IF($G623&lt;&gt;"",$G623,IFERROR(INDEX(ProcValor,MATCH($E623,ProcNome,0)),0)))</f>
        <v>0</v>
      </c>
      <c r="N623" s="27">
        <f>IF($M623="","",IF($F623="Compareceu",$M623,0))</f>
        <v>0</v>
      </c>
      <c r="O623" s="27">
        <f>IF($M623="","",IF($F623="Faltou",$M623,0))</f>
        <v>0</v>
      </c>
      <c r="P623" s="27">
        <f>IF($M623="","",IF($F623="Compareceu",MAX(0,$M623-N($H623)),0))</f>
        <v>0</v>
      </c>
      <c r="Q623" s="19">
        <f>IF(AND($F623="Compareceu",$E623&lt;&gt;"",$A623&lt;&gt;""),IF(IFERROR(INDEX(ProcRet,MATCH($E623,ProcNome,0)),0)&gt;0,$A623+INDEX(ProcRet,MATCH($E623,ProcNome,0)),""),"")</f>
        <v>0</v>
      </c>
      <c r="R623" s="26">
        <f>IF($Q623="","",IF(COUNTIFS(AgPac,$D623,AgData,"&gt;"&amp;$A623,AgStatus,"&lt;&gt;Cancelado",AgStatus,"&lt;&gt;Remarcado")&gt;0,"Sim","Não"))</f>
        <v>0</v>
      </c>
      <c r="S623" s="28">
        <f>IF($A623="","",IF(AND($F623="Agendado",$A623-Hoje&gt;=0,$A623-Hoje&lt;=DiasConf),"CONFIRMAR",IF(AND($A623&lt;Hoje,OR($F623="Agendado",$F623="Confirmado")),"Atualizar status",IF(AND($F623="Compareceu",$P623&gt;0.005),"Cobrar",IF($F623="Faltou","Falta: reagendar","")))))</f>
        <v>0</v>
      </c>
      <c r="T623" s="29">
        <f>IF($A623="","",DATE(YEAR($A623),MONTH($A623),1))</f>
        <v>0</v>
      </c>
      <c r="U623" s="30">
        <f>IF($S623="CONFIRMAR",MAX($U$4:$U622)+1,"")</f>
        <v>0</v>
      </c>
      <c r="V623" s="30">
        <f>IF(AND($R623="Não",$Q623&lt;&gt;"",$Q623&lt;=Hoje+JanelaRet,$Q623&gt;=Hoje-60),MAX($V$4:$V622)+1,"")</f>
        <v>0</v>
      </c>
    </row>
    <row r="624" spans="1:22">
      <c r="A624" s="16"/>
      <c r="B624" s="23"/>
      <c r="C624" s="15"/>
      <c r="D624" s="15"/>
      <c r="E624" s="15"/>
      <c r="F624" s="24"/>
      <c r="G624" s="17"/>
      <c r="H624" s="17"/>
      <c r="I624" s="15"/>
      <c r="J624" s="25">
        <f>IF($D624="","",IFERROR(INDEX(PacNome,MATCH($D624,PacCod,0)),"Paciente não cadastrado"))</f>
        <v>0</v>
      </c>
      <c r="K624" s="26">
        <f>IF($D624="","",IFERROR(INDEX(PacConv,MATCH($D624,PacCod,0))&amp;"",""))</f>
        <v>0</v>
      </c>
      <c r="L624" s="26">
        <f>IF($A624="","",CHOOSE(WEEKDAY($A624,2),"Seg","Ter","Qua","Qui","Sex","Sáb","Dom"))</f>
        <v>0</v>
      </c>
      <c r="M624" s="27">
        <f>IF($E624="","",IF($G624&lt;&gt;"",$G624,IFERROR(INDEX(ProcValor,MATCH($E624,ProcNome,0)),0)))</f>
        <v>0</v>
      </c>
      <c r="N624" s="27">
        <f>IF($M624="","",IF($F624="Compareceu",$M624,0))</f>
        <v>0</v>
      </c>
      <c r="O624" s="27">
        <f>IF($M624="","",IF($F624="Faltou",$M624,0))</f>
        <v>0</v>
      </c>
      <c r="P624" s="27">
        <f>IF($M624="","",IF($F624="Compareceu",MAX(0,$M624-N($H624)),0))</f>
        <v>0</v>
      </c>
      <c r="Q624" s="19">
        <f>IF(AND($F624="Compareceu",$E624&lt;&gt;"",$A624&lt;&gt;""),IF(IFERROR(INDEX(ProcRet,MATCH($E624,ProcNome,0)),0)&gt;0,$A624+INDEX(ProcRet,MATCH($E624,ProcNome,0)),""),"")</f>
        <v>0</v>
      </c>
      <c r="R624" s="26">
        <f>IF($Q624="","",IF(COUNTIFS(AgPac,$D624,AgData,"&gt;"&amp;$A624,AgStatus,"&lt;&gt;Cancelado",AgStatus,"&lt;&gt;Remarcado")&gt;0,"Sim","Não"))</f>
        <v>0</v>
      </c>
      <c r="S624" s="28">
        <f>IF($A624="","",IF(AND($F624="Agendado",$A624-Hoje&gt;=0,$A624-Hoje&lt;=DiasConf),"CONFIRMAR",IF(AND($A624&lt;Hoje,OR($F624="Agendado",$F624="Confirmado")),"Atualizar status",IF(AND($F624="Compareceu",$P624&gt;0.005),"Cobrar",IF($F624="Faltou","Falta: reagendar","")))))</f>
        <v>0</v>
      </c>
      <c r="T624" s="29">
        <f>IF($A624="","",DATE(YEAR($A624),MONTH($A624),1))</f>
        <v>0</v>
      </c>
      <c r="U624" s="30">
        <f>IF($S624="CONFIRMAR",MAX($U$4:$U623)+1,"")</f>
        <v>0</v>
      </c>
      <c r="V624" s="30">
        <f>IF(AND($R624="Não",$Q624&lt;&gt;"",$Q624&lt;=Hoje+JanelaRet,$Q624&gt;=Hoje-60),MAX($V$4:$V623)+1,"")</f>
        <v>0</v>
      </c>
    </row>
    <row r="625" spans="1:22">
      <c r="A625" s="16"/>
      <c r="B625" s="23"/>
      <c r="C625" s="15"/>
      <c r="D625" s="15"/>
      <c r="E625" s="15"/>
      <c r="F625" s="24"/>
      <c r="G625" s="17"/>
      <c r="H625" s="17"/>
      <c r="I625" s="15"/>
      <c r="J625" s="25">
        <f>IF($D625="","",IFERROR(INDEX(PacNome,MATCH($D625,PacCod,0)),"Paciente não cadastrado"))</f>
        <v>0</v>
      </c>
      <c r="K625" s="26">
        <f>IF($D625="","",IFERROR(INDEX(PacConv,MATCH($D625,PacCod,0))&amp;"",""))</f>
        <v>0</v>
      </c>
      <c r="L625" s="26">
        <f>IF($A625="","",CHOOSE(WEEKDAY($A625,2),"Seg","Ter","Qua","Qui","Sex","Sáb","Dom"))</f>
        <v>0</v>
      </c>
      <c r="M625" s="27">
        <f>IF($E625="","",IF($G625&lt;&gt;"",$G625,IFERROR(INDEX(ProcValor,MATCH($E625,ProcNome,0)),0)))</f>
        <v>0</v>
      </c>
      <c r="N625" s="27">
        <f>IF($M625="","",IF($F625="Compareceu",$M625,0))</f>
        <v>0</v>
      </c>
      <c r="O625" s="27">
        <f>IF($M625="","",IF($F625="Faltou",$M625,0))</f>
        <v>0</v>
      </c>
      <c r="P625" s="27">
        <f>IF($M625="","",IF($F625="Compareceu",MAX(0,$M625-N($H625)),0))</f>
        <v>0</v>
      </c>
      <c r="Q625" s="19">
        <f>IF(AND($F625="Compareceu",$E625&lt;&gt;"",$A625&lt;&gt;""),IF(IFERROR(INDEX(ProcRet,MATCH($E625,ProcNome,0)),0)&gt;0,$A625+INDEX(ProcRet,MATCH($E625,ProcNome,0)),""),"")</f>
        <v>0</v>
      </c>
      <c r="R625" s="26">
        <f>IF($Q625="","",IF(COUNTIFS(AgPac,$D625,AgData,"&gt;"&amp;$A625,AgStatus,"&lt;&gt;Cancelado",AgStatus,"&lt;&gt;Remarcado")&gt;0,"Sim","Não"))</f>
        <v>0</v>
      </c>
      <c r="S625" s="28">
        <f>IF($A625="","",IF(AND($F625="Agendado",$A625-Hoje&gt;=0,$A625-Hoje&lt;=DiasConf),"CONFIRMAR",IF(AND($A625&lt;Hoje,OR($F625="Agendado",$F625="Confirmado")),"Atualizar status",IF(AND($F625="Compareceu",$P625&gt;0.005),"Cobrar",IF($F625="Faltou","Falta: reagendar","")))))</f>
        <v>0</v>
      </c>
      <c r="T625" s="29">
        <f>IF($A625="","",DATE(YEAR($A625),MONTH($A625),1))</f>
        <v>0</v>
      </c>
      <c r="U625" s="30">
        <f>IF($S625="CONFIRMAR",MAX($U$4:$U624)+1,"")</f>
        <v>0</v>
      </c>
      <c r="V625" s="30">
        <f>IF(AND($R625="Não",$Q625&lt;&gt;"",$Q625&lt;=Hoje+JanelaRet,$Q625&gt;=Hoje-60),MAX($V$4:$V624)+1,"")</f>
        <v>0</v>
      </c>
    </row>
    <row r="626" spans="1:22">
      <c r="A626" s="16"/>
      <c r="B626" s="23"/>
      <c r="C626" s="15"/>
      <c r="D626" s="15"/>
      <c r="E626" s="15"/>
      <c r="F626" s="24"/>
      <c r="G626" s="17"/>
      <c r="H626" s="17"/>
      <c r="I626" s="15"/>
      <c r="J626" s="25">
        <f>IF($D626="","",IFERROR(INDEX(PacNome,MATCH($D626,PacCod,0)),"Paciente não cadastrado"))</f>
        <v>0</v>
      </c>
      <c r="K626" s="26">
        <f>IF($D626="","",IFERROR(INDEX(PacConv,MATCH($D626,PacCod,0))&amp;"",""))</f>
        <v>0</v>
      </c>
      <c r="L626" s="26">
        <f>IF($A626="","",CHOOSE(WEEKDAY($A626,2),"Seg","Ter","Qua","Qui","Sex","Sáb","Dom"))</f>
        <v>0</v>
      </c>
      <c r="M626" s="27">
        <f>IF($E626="","",IF($G626&lt;&gt;"",$G626,IFERROR(INDEX(ProcValor,MATCH($E626,ProcNome,0)),0)))</f>
        <v>0</v>
      </c>
      <c r="N626" s="27">
        <f>IF($M626="","",IF($F626="Compareceu",$M626,0))</f>
        <v>0</v>
      </c>
      <c r="O626" s="27">
        <f>IF($M626="","",IF($F626="Faltou",$M626,0))</f>
        <v>0</v>
      </c>
      <c r="P626" s="27">
        <f>IF($M626="","",IF($F626="Compareceu",MAX(0,$M626-N($H626)),0))</f>
        <v>0</v>
      </c>
      <c r="Q626" s="19">
        <f>IF(AND($F626="Compareceu",$E626&lt;&gt;"",$A626&lt;&gt;""),IF(IFERROR(INDEX(ProcRet,MATCH($E626,ProcNome,0)),0)&gt;0,$A626+INDEX(ProcRet,MATCH($E626,ProcNome,0)),""),"")</f>
        <v>0</v>
      </c>
      <c r="R626" s="26">
        <f>IF($Q626="","",IF(COUNTIFS(AgPac,$D626,AgData,"&gt;"&amp;$A626,AgStatus,"&lt;&gt;Cancelado",AgStatus,"&lt;&gt;Remarcado")&gt;0,"Sim","Não"))</f>
        <v>0</v>
      </c>
      <c r="S626" s="28">
        <f>IF($A626="","",IF(AND($F626="Agendado",$A626-Hoje&gt;=0,$A626-Hoje&lt;=DiasConf),"CONFIRMAR",IF(AND($A626&lt;Hoje,OR($F626="Agendado",$F626="Confirmado")),"Atualizar status",IF(AND($F626="Compareceu",$P626&gt;0.005),"Cobrar",IF($F626="Faltou","Falta: reagendar","")))))</f>
        <v>0</v>
      </c>
      <c r="T626" s="29">
        <f>IF($A626="","",DATE(YEAR($A626),MONTH($A626),1))</f>
        <v>0</v>
      </c>
      <c r="U626" s="30">
        <f>IF($S626="CONFIRMAR",MAX($U$4:$U625)+1,"")</f>
        <v>0</v>
      </c>
      <c r="V626" s="30">
        <f>IF(AND($R626="Não",$Q626&lt;&gt;"",$Q626&lt;=Hoje+JanelaRet,$Q626&gt;=Hoje-60),MAX($V$4:$V625)+1,"")</f>
        <v>0</v>
      </c>
    </row>
    <row r="627" spans="1:22">
      <c r="A627" s="16"/>
      <c r="B627" s="23"/>
      <c r="C627" s="15"/>
      <c r="D627" s="15"/>
      <c r="E627" s="15"/>
      <c r="F627" s="24"/>
      <c r="G627" s="17"/>
      <c r="H627" s="17"/>
      <c r="I627" s="15"/>
      <c r="J627" s="25">
        <f>IF($D627="","",IFERROR(INDEX(PacNome,MATCH($D627,PacCod,0)),"Paciente não cadastrado"))</f>
        <v>0</v>
      </c>
      <c r="K627" s="26">
        <f>IF($D627="","",IFERROR(INDEX(PacConv,MATCH($D627,PacCod,0))&amp;"",""))</f>
        <v>0</v>
      </c>
      <c r="L627" s="26">
        <f>IF($A627="","",CHOOSE(WEEKDAY($A627,2),"Seg","Ter","Qua","Qui","Sex","Sáb","Dom"))</f>
        <v>0</v>
      </c>
      <c r="M627" s="27">
        <f>IF($E627="","",IF($G627&lt;&gt;"",$G627,IFERROR(INDEX(ProcValor,MATCH($E627,ProcNome,0)),0)))</f>
        <v>0</v>
      </c>
      <c r="N627" s="27">
        <f>IF($M627="","",IF($F627="Compareceu",$M627,0))</f>
        <v>0</v>
      </c>
      <c r="O627" s="27">
        <f>IF($M627="","",IF($F627="Faltou",$M627,0))</f>
        <v>0</v>
      </c>
      <c r="P627" s="27">
        <f>IF($M627="","",IF($F627="Compareceu",MAX(0,$M627-N($H627)),0))</f>
        <v>0</v>
      </c>
      <c r="Q627" s="19">
        <f>IF(AND($F627="Compareceu",$E627&lt;&gt;"",$A627&lt;&gt;""),IF(IFERROR(INDEX(ProcRet,MATCH($E627,ProcNome,0)),0)&gt;0,$A627+INDEX(ProcRet,MATCH($E627,ProcNome,0)),""),"")</f>
        <v>0</v>
      </c>
      <c r="R627" s="26">
        <f>IF($Q627="","",IF(COUNTIFS(AgPac,$D627,AgData,"&gt;"&amp;$A627,AgStatus,"&lt;&gt;Cancelado",AgStatus,"&lt;&gt;Remarcado")&gt;0,"Sim","Não"))</f>
        <v>0</v>
      </c>
      <c r="S627" s="28">
        <f>IF($A627="","",IF(AND($F627="Agendado",$A627-Hoje&gt;=0,$A627-Hoje&lt;=DiasConf),"CONFIRMAR",IF(AND($A627&lt;Hoje,OR($F627="Agendado",$F627="Confirmado")),"Atualizar status",IF(AND($F627="Compareceu",$P627&gt;0.005),"Cobrar",IF($F627="Faltou","Falta: reagendar","")))))</f>
        <v>0</v>
      </c>
      <c r="T627" s="29">
        <f>IF($A627="","",DATE(YEAR($A627),MONTH($A627),1))</f>
        <v>0</v>
      </c>
      <c r="U627" s="30">
        <f>IF($S627="CONFIRMAR",MAX($U$4:$U626)+1,"")</f>
        <v>0</v>
      </c>
      <c r="V627" s="30">
        <f>IF(AND($R627="Não",$Q627&lt;&gt;"",$Q627&lt;=Hoje+JanelaRet,$Q627&gt;=Hoje-60),MAX($V$4:$V626)+1,"")</f>
        <v>0</v>
      </c>
    </row>
    <row r="628" spans="1:22">
      <c r="A628" s="16"/>
      <c r="B628" s="23"/>
      <c r="C628" s="15"/>
      <c r="D628" s="15"/>
      <c r="E628" s="15"/>
      <c r="F628" s="24"/>
      <c r="G628" s="17"/>
      <c r="H628" s="17"/>
      <c r="I628" s="15"/>
      <c r="J628" s="25">
        <f>IF($D628="","",IFERROR(INDEX(PacNome,MATCH($D628,PacCod,0)),"Paciente não cadastrado"))</f>
        <v>0</v>
      </c>
      <c r="K628" s="26">
        <f>IF($D628="","",IFERROR(INDEX(PacConv,MATCH($D628,PacCod,0))&amp;"",""))</f>
        <v>0</v>
      </c>
      <c r="L628" s="26">
        <f>IF($A628="","",CHOOSE(WEEKDAY($A628,2),"Seg","Ter","Qua","Qui","Sex","Sáb","Dom"))</f>
        <v>0</v>
      </c>
      <c r="M628" s="27">
        <f>IF($E628="","",IF($G628&lt;&gt;"",$G628,IFERROR(INDEX(ProcValor,MATCH($E628,ProcNome,0)),0)))</f>
        <v>0</v>
      </c>
      <c r="N628" s="27">
        <f>IF($M628="","",IF($F628="Compareceu",$M628,0))</f>
        <v>0</v>
      </c>
      <c r="O628" s="27">
        <f>IF($M628="","",IF($F628="Faltou",$M628,0))</f>
        <v>0</v>
      </c>
      <c r="P628" s="27">
        <f>IF($M628="","",IF($F628="Compareceu",MAX(0,$M628-N($H628)),0))</f>
        <v>0</v>
      </c>
      <c r="Q628" s="19">
        <f>IF(AND($F628="Compareceu",$E628&lt;&gt;"",$A628&lt;&gt;""),IF(IFERROR(INDEX(ProcRet,MATCH($E628,ProcNome,0)),0)&gt;0,$A628+INDEX(ProcRet,MATCH($E628,ProcNome,0)),""),"")</f>
        <v>0</v>
      </c>
      <c r="R628" s="26">
        <f>IF($Q628="","",IF(COUNTIFS(AgPac,$D628,AgData,"&gt;"&amp;$A628,AgStatus,"&lt;&gt;Cancelado",AgStatus,"&lt;&gt;Remarcado")&gt;0,"Sim","Não"))</f>
        <v>0</v>
      </c>
      <c r="S628" s="28">
        <f>IF($A628="","",IF(AND($F628="Agendado",$A628-Hoje&gt;=0,$A628-Hoje&lt;=DiasConf),"CONFIRMAR",IF(AND($A628&lt;Hoje,OR($F628="Agendado",$F628="Confirmado")),"Atualizar status",IF(AND($F628="Compareceu",$P628&gt;0.005),"Cobrar",IF($F628="Faltou","Falta: reagendar","")))))</f>
        <v>0</v>
      </c>
      <c r="T628" s="29">
        <f>IF($A628="","",DATE(YEAR($A628),MONTH($A628),1))</f>
        <v>0</v>
      </c>
      <c r="U628" s="30">
        <f>IF($S628="CONFIRMAR",MAX($U$4:$U627)+1,"")</f>
        <v>0</v>
      </c>
      <c r="V628" s="30">
        <f>IF(AND($R628="Não",$Q628&lt;&gt;"",$Q628&lt;=Hoje+JanelaRet,$Q628&gt;=Hoje-60),MAX($V$4:$V627)+1,"")</f>
        <v>0</v>
      </c>
    </row>
    <row r="629" spans="1:22">
      <c r="A629" s="16"/>
      <c r="B629" s="23"/>
      <c r="C629" s="15"/>
      <c r="D629" s="15"/>
      <c r="E629" s="15"/>
      <c r="F629" s="24"/>
      <c r="G629" s="17"/>
      <c r="H629" s="17"/>
      <c r="I629" s="15"/>
      <c r="J629" s="25">
        <f>IF($D629="","",IFERROR(INDEX(PacNome,MATCH($D629,PacCod,0)),"Paciente não cadastrado"))</f>
        <v>0</v>
      </c>
      <c r="K629" s="26">
        <f>IF($D629="","",IFERROR(INDEX(PacConv,MATCH($D629,PacCod,0))&amp;"",""))</f>
        <v>0</v>
      </c>
      <c r="L629" s="26">
        <f>IF($A629="","",CHOOSE(WEEKDAY($A629,2),"Seg","Ter","Qua","Qui","Sex","Sáb","Dom"))</f>
        <v>0</v>
      </c>
      <c r="M629" s="27">
        <f>IF($E629="","",IF($G629&lt;&gt;"",$G629,IFERROR(INDEX(ProcValor,MATCH($E629,ProcNome,0)),0)))</f>
        <v>0</v>
      </c>
      <c r="N629" s="27">
        <f>IF($M629="","",IF($F629="Compareceu",$M629,0))</f>
        <v>0</v>
      </c>
      <c r="O629" s="27">
        <f>IF($M629="","",IF($F629="Faltou",$M629,0))</f>
        <v>0</v>
      </c>
      <c r="P629" s="27">
        <f>IF($M629="","",IF($F629="Compareceu",MAX(0,$M629-N($H629)),0))</f>
        <v>0</v>
      </c>
      <c r="Q629" s="19">
        <f>IF(AND($F629="Compareceu",$E629&lt;&gt;"",$A629&lt;&gt;""),IF(IFERROR(INDEX(ProcRet,MATCH($E629,ProcNome,0)),0)&gt;0,$A629+INDEX(ProcRet,MATCH($E629,ProcNome,0)),""),"")</f>
        <v>0</v>
      </c>
      <c r="R629" s="26">
        <f>IF($Q629="","",IF(COUNTIFS(AgPac,$D629,AgData,"&gt;"&amp;$A629,AgStatus,"&lt;&gt;Cancelado",AgStatus,"&lt;&gt;Remarcado")&gt;0,"Sim","Não"))</f>
        <v>0</v>
      </c>
      <c r="S629" s="28">
        <f>IF($A629="","",IF(AND($F629="Agendado",$A629-Hoje&gt;=0,$A629-Hoje&lt;=DiasConf),"CONFIRMAR",IF(AND($A629&lt;Hoje,OR($F629="Agendado",$F629="Confirmado")),"Atualizar status",IF(AND($F629="Compareceu",$P629&gt;0.005),"Cobrar",IF($F629="Faltou","Falta: reagendar","")))))</f>
        <v>0</v>
      </c>
      <c r="T629" s="29">
        <f>IF($A629="","",DATE(YEAR($A629),MONTH($A629),1))</f>
        <v>0</v>
      </c>
      <c r="U629" s="30">
        <f>IF($S629="CONFIRMAR",MAX($U$4:$U628)+1,"")</f>
        <v>0</v>
      </c>
      <c r="V629" s="30">
        <f>IF(AND($R629="Não",$Q629&lt;&gt;"",$Q629&lt;=Hoje+JanelaRet,$Q629&gt;=Hoje-60),MAX($V$4:$V628)+1,"")</f>
        <v>0</v>
      </c>
    </row>
    <row r="630" spans="1:22">
      <c r="A630" s="16"/>
      <c r="B630" s="23"/>
      <c r="C630" s="15"/>
      <c r="D630" s="15"/>
      <c r="E630" s="15"/>
      <c r="F630" s="24"/>
      <c r="G630" s="17"/>
      <c r="H630" s="17"/>
      <c r="I630" s="15"/>
      <c r="J630" s="25">
        <f>IF($D630="","",IFERROR(INDEX(PacNome,MATCH($D630,PacCod,0)),"Paciente não cadastrado"))</f>
        <v>0</v>
      </c>
      <c r="K630" s="26">
        <f>IF($D630="","",IFERROR(INDEX(PacConv,MATCH($D630,PacCod,0))&amp;"",""))</f>
        <v>0</v>
      </c>
      <c r="L630" s="26">
        <f>IF($A630="","",CHOOSE(WEEKDAY($A630,2),"Seg","Ter","Qua","Qui","Sex","Sáb","Dom"))</f>
        <v>0</v>
      </c>
      <c r="M630" s="27">
        <f>IF($E630="","",IF($G630&lt;&gt;"",$G630,IFERROR(INDEX(ProcValor,MATCH($E630,ProcNome,0)),0)))</f>
        <v>0</v>
      </c>
      <c r="N630" s="27">
        <f>IF($M630="","",IF($F630="Compareceu",$M630,0))</f>
        <v>0</v>
      </c>
      <c r="O630" s="27">
        <f>IF($M630="","",IF($F630="Faltou",$M630,0))</f>
        <v>0</v>
      </c>
      <c r="P630" s="27">
        <f>IF($M630="","",IF($F630="Compareceu",MAX(0,$M630-N($H630)),0))</f>
        <v>0</v>
      </c>
      <c r="Q630" s="19">
        <f>IF(AND($F630="Compareceu",$E630&lt;&gt;"",$A630&lt;&gt;""),IF(IFERROR(INDEX(ProcRet,MATCH($E630,ProcNome,0)),0)&gt;0,$A630+INDEX(ProcRet,MATCH($E630,ProcNome,0)),""),"")</f>
        <v>0</v>
      </c>
      <c r="R630" s="26">
        <f>IF($Q630="","",IF(COUNTIFS(AgPac,$D630,AgData,"&gt;"&amp;$A630,AgStatus,"&lt;&gt;Cancelado",AgStatus,"&lt;&gt;Remarcado")&gt;0,"Sim","Não"))</f>
        <v>0</v>
      </c>
      <c r="S630" s="28">
        <f>IF($A630="","",IF(AND($F630="Agendado",$A630-Hoje&gt;=0,$A630-Hoje&lt;=DiasConf),"CONFIRMAR",IF(AND($A630&lt;Hoje,OR($F630="Agendado",$F630="Confirmado")),"Atualizar status",IF(AND($F630="Compareceu",$P630&gt;0.005),"Cobrar",IF($F630="Faltou","Falta: reagendar","")))))</f>
        <v>0</v>
      </c>
      <c r="T630" s="29">
        <f>IF($A630="","",DATE(YEAR($A630),MONTH($A630),1))</f>
        <v>0</v>
      </c>
      <c r="U630" s="30">
        <f>IF($S630="CONFIRMAR",MAX($U$4:$U629)+1,"")</f>
        <v>0</v>
      </c>
      <c r="V630" s="30">
        <f>IF(AND($R630="Não",$Q630&lt;&gt;"",$Q630&lt;=Hoje+JanelaRet,$Q630&gt;=Hoje-60),MAX($V$4:$V629)+1,"")</f>
        <v>0</v>
      </c>
    </row>
    <row r="631" spans="1:22">
      <c r="A631" s="16"/>
      <c r="B631" s="23"/>
      <c r="C631" s="15"/>
      <c r="D631" s="15"/>
      <c r="E631" s="15"/>
      <c r="F631" s="24"/>
      <c r="G631" s="17"/>
      <c r="H631" s="17"/>
      <c r="I631" s="15"/>
      <c r="J631" s="25">
        <f>IF($D631="","",IFERROR(INDEX(PacNome,MATCH($D631,PacCod,0)),"Paciente não cadastrado"))</f>
        <v>0</v>
      </c>
      <c r="K631" s="26">
        <f>IF($D631="","",IFERROR(INDEX(PacConv,MATCH($D631,PacCod,0))&amp;"",""))</f>
        <v>0</v>
      </c>
      <c r="L631" s="26">
        <f>IF($A631="","",CHOOSE(WEEKDAY($A631,2),"Seg","Ter","Qua","Qui","Sex","Sáb","Dom"))</f>
        <v>0</v>
      </c>
      <c r="M631" s="27">
        <f>IF($E631="","",IF($G631&lt;&gt;"",$G631,IFERROR(INDEX(ProcValor,MATCH($E631,ProcNome,0)),0)))</f>
        <v>0</v>
      </c>
      <c r="N631" s="27">
        <f>IF($M631="","",IF($F631="Compareceu",$M631,0))</f>
        <v>0</v>
      </c>
      <c r="O631" s="27">
        <f>IF($M631="","",IF($F631="Faltou",$M631,0))</f>
        <v>0</v>
      </c>
      <c r="P631" s="27">
        <f>IF($M631="","",IF($F631="Compareceu",MAX(0,$M631-N($H631)),0))</f>
        <v>0</v>
      </c>
      <c r="Q631" s="19">
        <f>IF(AND($F631="Compareceu",$E631&lt;&gt;"",$A631&lt;&gt;""),IF(IFERROR(INDEX(ProcRet,MATCH($E631,ProcNome,0)),0)&gt;0,$A631+INDEX(ProcRet,MATCH($E631,ProcNome,0)),""),"")</f>
        <v>0</v>
      </c>
      <c r="R631" s="26">
        <f>IF($Q631="","",IF(COUNTIFS(AgPac,$D631,AgData,"&gt;"&amp;$A631,AgStatus,"&lt;&gt;Cancelado",AgStatus,"&lt;&gt;Remarcado")&gt;0,"Sim","Não"))</f>
        <v>0</v>
      </c>
      <c r="S631" s="28">
        <f>IF($A631="","",IF(AND($F631="Agendado",$A631-Hoje&gt;=0,$A631-Hoje&lt;=DiasConf),"CONFIRMAR",IF(AND($A631&lt;Hoje,OR($F631="Agendado",$F631="Confirmado")),"Atualizar status",IF(AND($F631="Compareceu",$P631&gt;0.005),"Cobrar",IF($F631="Faltou","Falta: reagendar","")))))</f>
        <v>0</v>
      </c>
      <c r="T631" s="29">
        <f>IF($A631="","",DATE(YEAR($A631),MONTH($A631),1))</f>
        <v>0</v>
      </c>
      <c r="U631" s="30">
        <f>IF($S631="CONFIRMAR",MAX($U$4:$U630)+1,"")</f>
        <v>0</v>
      </c>
      <c r="V631" s="30">
        <f>IF(AND($R631="Não",$Q631&lt;&gt;"",$Q631&lt;=Hoje+JanelaRet,$Q631&gt;=Hoje-60),MAX($V$4:$V630)+1,"")</f>
        <v>0</v>
      </c>
    </row>
    <row r="632" spans="1:22">
      <c r="A632" s="16"/>
      <c r="B632" s="23"/>
      <c r="C632" s="15"/>
      <c r="D632" s="15"/>
      <c r="E632" s="15"/>
      <c r="F632" s="24"/>
      <c r="G632" s="17"/>
      <c r="H632" s="17"/>
      <c r="I632" s="15"/>
      <c r="J632" s="25">
        <f>IF($D632="","",IFERROR(INDEX(PacNome,MATCH($D632,PacCod,0)),"Paciente não cadastrado"))</f>
        <v>0</v>
      </c>
      <c r="K632" s="26">
        <f>IF($D632="","",IFERROR(INDEX(PacConv,MATCH($D632,PacCod,0))&amp;"",""))</f>
        <v>0</v>
      </c>
      <c r="L632" s="26">
        <f>IF($A632="","",CHOOSE(WEEKDAY($A632,2),"Seg","Ter","Qua","Qui","Sex","Sáb","Dom"))</f>
        <v>0</v>
      </c>
      <c r="M632" s="27">
        <f>IF($E632="","",IF($G632&lt;&gt;"",$G632,IFERROR(INDEX(ProcValor,MATCH($E632,ProcNome,0)),0)))</f>
        <v>0</v>
      </c>
      <c r="N632" s="27">
        <f>IF($M632="","",IF($F632="Compareceu",$M632,0))</f>
        <v>0</v>
      </c>
      <c r="O632" s="27">
        <f>IF($M632="","",IF($F632="Faltou",$M632,0))</f>
        <v>0</v>
      </c>
      <c r="P632" s="27">
        <f>IF($M632="","",IF($F632="Compareceu",MAX(0,$M632-N($H632)),0))</f>
        <v>0</v>
      </c>
      <c r="Q632" s="19">
        <f>IF(AND($F632="Compareceu",$E632&lt;&gt;"",$A632&lt;&gt;""),IF(IFERROR(INDEX(ProcRet,MATCH($E632,ProcNome,0)),0)&gt;0,$A632+INDEX(ProcRet,MATCH($E632,ProcNome,0)),""),"")</f>
        <v>0</v>
      </c>
      <c r="R632" s="26">
        <f>IF($Q632="","",IF(COUNTIFS(AgPac,$D632,AgData,"&gt;"&amp;$A632,AgStatus,"&lt;&gt;Cancelado",AgStatus,"&lt;&gt;Remarcado")&gt;0,"Sim","Não"))</f>
        <v>0</v>
      </c>
      <c r="S632" s="28">
        <f>IF($A632="","",IF(AND($F632="Agendado",$A632-Hoje&gt;=0,$A632-Hoje&lt;=DiasConf),"CONFIRMAR",IF(AND($A632&lt;Hoje,OR($F632="Agendado",$F632="Confirmado")),"Atualizar status",IF(AND($F632="Compareceu",$P632&gt;0.005),"Cobrar",IF($F632="Faltou","Falta: reagendar","")))))</f>
        <v>0</v>
      </c>
      <c r="T632" s="29">
        <f>IF($A632="","",DATE(YEAR($A632),MONTH($A632),1))</f>
        <v>0</v>
      </c>
      <c r="U632" s="30">
        <f>IF($S632="CONFIRMAR",MAX($U$4:$U631)+1,"")</f>
        <v>0</v>
      </c>
      <c r="V632" s="30">
        <f>IF(AND($R632="Não",$Q632&lt;&gt;"",$Q632&lt;=Hoje+JanelaRet,$Q632&gt;=Hoje-60),MAX($V$4:$V631)+1,"")</f>
        <v>0</v>
      </c>
    </row>
    <row r="633" spans="1:22">
      <c r="A633" s="16"/>
      <c r="B633" s="23"/>
      <c r="C633" s="15"/>
      <c r="D633" s="15"/>
      <c r="E633" s="15"/>
      <c r="F633" s="24"/>
      <c r="G633" s="17"/>
      <c r="H633" s="17"/>
      <c r="I633" s="15"/>
      <c r="J633" s="25">
        <f>IF($D633="","",IFERROR(INDEX(PacNome,MATCH($D633,PacCod,0)),"Paciente não cadastrado"))</f>
        <v>0</v>
      </c>
      <c r="K633" s="26">
        <f>IF($D633="","",IFERROR(INDEX(PacConv,MATCH($D633,PacCod,0))&amp;"",""))</f>
        <v>0</v>
      </c>
      <c r="L633" s="26">
        <f>IF($A633="","",CHOOSE(WEEKDAY($A633,2),"Seg","Ter","Qua","Qui","Sex","Sáb","Dom"))</f>
        <v>0</v>
      </c>
      <c r="M633" s="27">
        <f>IF($E633="","",IF($G633&lt;&gt;"",$G633,IFERROR(INDEX(ProcValor,MATCH($E633,ProcNome,0)),0)))</f>
        <v>0</v>
      </c>
      <c r="N633" s="27">
        <f>IF($M633="","",IF($F633="Compareceu",$M633,0))</f>
        <v>0</v>
      </c>
      <c r="O633" s="27">
        <f>IF($M633="","",IF($F633="Faltou",$M633,0))</f>
        <v>0</v>
      </c>
      <c r="P633" s="27">
        <f>IF($M633="","",IF($F633="Compareceu",MAX(0,$M633-N($H633)),0))</f>
        <v>0</v>
      </c>
      <c r="Q633" s="19">
        <f>IF(AND($F633="Compareceu",$E633&lt;&gt;"",$A633&lt;&gt;""),IF(IFERROR(INDEX(ProcRet,MATCH($E633,ProcNome,0)),0)&gt;0,$A633+INDEX(ProcRet,MATCH($E633,ProcNome,0)),""),"")</f>
        <v>0</v>
      </c>
      <c r="R633" s="26">
        <f>IF($Q633="","",IF(COUNTIFS(AgPac,$D633,AgData,"&gt;"&amp;$A633,AgStatus,"&lt;&gt;Cancelado",AgStatus,"&lt;&gt;Remarcado")&gt;0,"Sim","Não"))</f>
        <v>0</v>
      </c>
      <c r="S633" s="28">
        <f>IF($A633="","",IF(AND($F633="Agendado",$A633-Hoje&gt;=0,$A633-Hoje&lt;=DiasConf),"CONFIRMAR",IF(AND($A633&lt;Hoje,OR($F633="Agendado",$F633="Confirmado")),"Atualizar status",IF(AND($F633="Compareceu",$P633&gt;0.005),"Cobrar",IF($F633="Faltou","Falta: reagendar","")))))</f>
        <v>0</v>
      </c>
      <c r="T633" s="29">
        <f>IF($A633="","",DATE(YEAR($A633),MONTH($A633),1))</f>
        <v>0</v>
      </c>
      <c r="U633" s="30">
        <f>IF($S633="CONFIRMAR",MAX($U$4:$U632)+1,"")</f>
        <v>0</v>
      </c>
      <c r="V633" s="30">
        <f>IF(AND($R633="Não",$Q633&lt;&gt;"",$Q633&lt;=Hoje+JanelaRet,$Q633&gt;=Hoje-60),MAX($V$4:$V632)+1,"")</f>
        <v>0</v>
      </c>
    </row>
    <row r="634" spans="1:22">
      <c r="A634" s="16"/>
      <c r="B634" s="23"/>
      <c r="C634" s="15"/>
      <c r="D634" s="15"/>
      <c r="E634" s="15"/>
      <c r="F634" s="24"/>
      <c r="G634" s="17"/>
      <c r="H634" s="17"/>
      <c r="I634" s="15"/>
      <c r="J634" s="25">
        <f>IF($D634="","",IFERROR(INDEX(PacNome,MATCH($D634,PacCod,0)),"Paciente não cadastrado"))</f>
        <v>0</v>
      </c>
      <c r="K634" s="26">
        <f>IF($D634="","",IFERROR(INDEX(PacConv,MATCH($D634,PacCod,0))&amp;"",""))</f>
        <v>0</v>
      </c>
      <c r="L634" s="26">
        <f>IF($A634="","",CHOOSE(WEEKDAY($A634,2),"Seg","Ter","Qua","Qui","Sex","Sáb","Dom"))</f>
        <v>0</v>
      </c>
      <c r="M634" s="27">
        <f>IF($E634="","",IF($G634&lt;&gt;"",$G634,IFERROR(INDEX(ProcValor,MATCH($E634,ProcNome,0)),0)))</f>
        <v>0</v>
      </c>
      <c r="N634" s="27">
        <f>IF($M634="","",IF($F634="Compareceu",$M634,0))</f>
        <v>0</v>
      </c>
      <c r="O634" s="27">
        <f>IF($M634="","",IF($F634="Faltou",$M634,0))</f>
        <v>0</v>
      </c>
      <c r="P634" s="27">
        <f>IF($M634="","",IF($F634="Compareceu",MAX(0,$M634-N($H634)),0))</f>
        <v>0</v>
      </c>
      <c r="Q634" s="19">
        <f>IF(AND($F634="Compareceu",$E634&lt;&gt;"",$A634&lt;&gt;""),IF(IFERROR(INDEX(ProcRet,MATCH($E634,ProcNome,0)),0)&gt;0,$A634+INDEX(ProcRet,MATCH($E634,ProcNome,0)),""),"")</f>
        <v>0</v>
      </c>
      <c r="R634" s="26">
        <f>IF($Q634="","",IF(COUNTIFS(AgPac,$D634,AgData,"&gt;"&amp;$A634,AgStatus,"&lt;&gt;Cancelado",AgStatus,"&lt;&gt;Remarcado")&gt;0,"Sim","Não"))</f>
        <v>0</v>
      </c>
      <c r="S634" s="28">
        <f>IF($A634="","",IF(AND($F634="Agendado",$A634-Hoje&gt;=0,$A634-Hoje&lt;=DiasConf),"CONFIRMAR",IF(AND($A634&lt;Hoje,OR($F634="Agendado",$F634="Confirmado")),"Atualizar status",IF(AND($F634="Compareceu",$P634&gt;0.005),"Cobrar",IF($F634="Faltou","Falta: reagendar","")))))</f>
        <v>0</v>
      </c>
      <c r="T634" s="29">
        <f>IF($A634="","",DATE(YEAR($A634),MONTH($A634),1))</f>
        <v>0</v>
      </c>
      <c r="U634" s="30">
        <f>IF($S634="CONFIRMAR",MAX($U$4:$U633)+1,"")</f>
        <v>0</v>
      </c>
      <c r="V634" s="30">
        <f>IF(AND($R634="Não",$Q634&lt;&gt;"",$Q634&lt;=Hoje+JanelaRet,$Q634&gt;=Hoje-60),MAX($V$4:$V633)+1,"")</f>
        <v>0</v>
      </c>
    </row>
    <row r="635" spans="1:22">
      <c r="A635" s="16"/>
      <c r="B635" s="23"/>
      <c r="C635" s="15"/>
      <c r="D635" s="15"/>
      <c r="E635" s="15"/>
      <c r="F635" s="24"/>
      <c r="G635" s="17"/>
      <c r="H635" s="17"/>
      <c r="I635" s="15"/>
      <c r="J635" s="25">
        <f>IF($D635="","",IFERROR(INDEX(PacNome,MATCH($D635,PacCod,0)),"Paciente não cadastrado"))</f>
        <v>0</v>
      </c>
      <c r="K635" s="26">
        <f>IF($D635="","",IFERROR(INDEX(PacConv,MATCH($D635,PacCod,0))&amp;"",""))</f>
        <v>0</v>
      </c>
      <c r="L635" s="26">
        <f>IF($A635="","",CHOOSE(WEEKDAY($A635,2),"Seg","Ter","Qua","Qui","Sex","Sáb","Dom"))</f>
        <v>0</v>
      </c>
      <c r="M635" s="27">
        <f>IF($E635="","",IF($G635&lt;&gt;"",$G635,IFERROR(INDEX(ProcValor,MATCH($E635,ProcNome,0)),0)))</f>
        <v>0</v>
      </c>
      <c r="N635" s="27">
        <f>IF($M635="","",IF($F635="Compareceu",$M635,0))</f>
        <v>0</v>
      </c>
      <c r="O635" s="27">
        <f>IF($M635="","",IF($F635="Faltou",$M635,0))</f>
        <v>0</v>
      </c>
      <c r="P635" s="27">
        <f>IF($M635="","",IF($F635="Compareceu",MAX(0,$M635-N($H635)),0))</f>
        <v>0</v>
      </c>
      <c r="Q635" s="19">
        <f>IF(AND($F635="Compareceu",$E635&lt;&gt;"",$A635&lt;&gt;""),IF(IFERROR(INDEX(ProcRet,MATCH($E635,ProcNome,0)),0)&gt;0,$A635+INDEX(ProcRet,MATCH($E635,ProcNome,0)),""),"")</f>
        <v>0</v>
      </c>
      <c r="R635" s="26">
        <f>IF($Q635="","",IF(COUNTIFS(AgPac,$D635,AgData,"&gt;"&amp;$A635,AgStatus,"&lt;&gt;Cancelado",AgStatus,"&lt;&gt;Remarcado")&gt;0,"Sim","Não"))</f>
        <v>0</v>
      </c>
      <c r="S635" s="28">
        <f>IF($A635="","",IF(AND($F635="Agendado",$A635-Hoje&gt;=0,$A635-Hoje&lt;=DiasConf),"CONFIRMAR",IF(AND($A635&lt;Hoje,OR($F635="Agendado",$F635="Confirmado")),"Atualizar status",IF(AND($F635="Compareceu",$P635&gt;0.005),"Cobrar",IF($F635="Faltou","Falta: reagendar","")))))</f>
        <v>0</v>
      </c>
      <c r="T635" s="29">
        <f>IF($A635="","",DATE(YEAR($A635),MONTH($A635),1))</f>
        <v>0</v>
      </c>
      <c r="U635" s="30">
        <f>IF($S635="CONFIRMAR",MAX($U$4:$U634)+1,"")</f>
        <v>0</v>
      </c>
      <c r="V635" s="30">
        <f>IF(AND($R635="Não",$Q635&lt;&gt;"",$Q635&lt;=Hoje+JanelaRet,$Q635&gt;=Hoje-60),MAX($V$4:$V634)+1,"")</f>
        <v>0</v>
      </c>
    </row>
    <row r="636" spans="1:22">
      <c r="A636" s="16"/>
      <c r="B636" s="23"/>
      <c r="C636" s="15"/>
      <c r="D636" s="15"/>
      <c r="E636" s="15"/>
      <c r="F636" s="24"/>
      <c r="G636" s="17"/>
      <c r="H636" s="17"/>
      <c r="I636" s="15"/>
      <c r="J636" s="25">
        <f>IF($D636="","",IFERROR(INDEX(PacNome,MATCH($D636,PacCod,0)),"Paciente não cadastrado"))</f>
        <v>0</v>
      </c>
      <c r="K636" s="26">
        <f>IF($D636="","",IFERROR(INDEX(PacConv,MATCH($D636,PacCod,0))&amp;"",""))</f>
        <v>0</v>
      </c>
      <c r="L636" s="26">
        <f>IF($A636="","",CHOOSE(WEEKDAY($A636,2),"Seg","Ter","Qua","Qui","Sex","Sáb","Dom"))</f>
        <v>0</v>
      </c>
      <c r="M636" s="27">
        <f>IF($E636="","",IF($G636&lt;&gt;"",$G636,IFERROR(INDEX(ProcValor,MATCH($E636,ProcNome,0)),0)))</f>
        <v>0</v>
      </c>
      <c r="N636" s="27">
        <f>IF($M636="","",IF($F636="Compareceu",$M636,0))</f>
        <v>0</v>
      </c>
      <c r="O636" s="27">
        <f>IF($M636="","",IF($F636="Faltou",$M636,0))</f>
        <v>0</v>
      </c>
      <c r="P636" s="27">
        <f>IF($M636="","",IF($F636="Compareceu",MAX(0,$M636-N($H636)),0))</f>
        <v>0</v>
      </c>
      <c r="Q636" s="19">
        <f>IF(AND($F636="Compareceu",$E636&lt;&gt;"",$A636&lt;&gt;""),IF(IFERROR(INDEX(ProcRet,MATCH($E636,ProcNome,0)),0)&gt;0,$A636+INDEX(ProcRet,MATCH($E636,ProcNome,0)),""),"")</f>
        <v>0</v>
      </c>
      <c r="R636" s="26">
        <f>IF($Q636="","",IF(COUNTIFS(AgPac,$D636,AgData,"&gt;"&amp;$A636,AgStatus,"&lt;&gt;Cancelado",AgStatus,"&lt;&gt;Remarcado")&gt;0,"Sim","Não"))</f>
        <v>0</v>
      </c>
      <c r="S636" s="28">
        <f>IF($A636="","",IF(AND($F636="Agendado",$A636-Hoje&gt;=0,$A636-Hoje&lt;=DiasConf),"CONFIRMAR",IF(AND($A636&lt;Hoje,OR($F636="Agendado",$F636="Confirmado")),"Atualizar status",IF(AND($F636="Compareceu",$P636&gt;0.005),"Cobrar",IF($F636="Faltou","Falta: reagendar","")))))</f>
        <v>0</v>
      </c>
      <c r="T636" s="29">
        <f>IF($A636="","",DATE(YEAR($A636),MONTH($A636),1))</f>
        <v>0</v>
      </c>
      <c r="U636" s="30">
        <f>IF($S636="CONFIRMAR",MAX($U$4:$U635)+1,"")</f>
        <v>0</v>
      </c>
      <c r="V636" s="30">
        <f>IF(AND($R636="Não",$Q636&lt;&gt;"",$Q636&lt;=Hoje+JanelaRet,$Q636&gt;=Hoje-60),MAX($V$4:$V635)+1,"")</f>
        <v>0</v>
      </c>
    </row>
    <row r="637" spans="1:22">
      <c r="A637" s="16"/>
      <c r="B637" s="23"/>
      <c r="C637" s="15"/>
      <c r="D637" s="15"/>
      <c r="E637" s="15"/>
      <c r="F637" s="24"/>
      <c r="G637" s="17"/>
      <c r="H637" s="17"/>
      <c r="I637" s="15"/>
      <c r="J637" s="25">
        <f>IF($D637="","",IFERROR(INDEX(PacNome,MATCH($D637,PacCod,0)),"Paciente não cadastrado"))</f>
        <v>0</v>
      </c>
      <c r="K637" s="26">
        <f>IF($D637="","",IFERROR(INDEX(PacConv,MATCH($D637,PacCod,0))&amp;"",""))</f>
        <v>0</v>
      </c>
      <c r="L637" s="26">
        <f>IF($A637="","",CHOOSE(WEEKDAY($A637,2),"Seg","Ter","Qua","Qui","Sex","Sáb","Dom"))</f>
        <v>0</v>
      </c>
      <c r="M637" s="27">
        <f>IF($E637="","",IF($G637&lt;&gt;"",$G637,IFERROR(INDEX(ProcValor,MATCH($E637,ProcNome,0)),0)))</f>
        <v>0</v>
      </c>
      <c r="N637" s="27">
        <f>IF($M637="","",IF($F637="Compareceu",$M637,0))</f>
        <v>0</v>
      </c>
      <c r="O637" s="27">
        <f>IF($M637="","",IF($F637="Faltou",$M637,0))</f>
        <v>0</v>
      </c>
      <c r="P637" s="27">
        <f>IF($M637="","",IF($F637="Compareceu",MAX(0,$M637-N($H637)),0))</f>
        <v>0</v>
      </c>
      <c r="Q637" s="19">
        <f>IF(AND($F637="Compareceu",$E637&lt;&gt;"",$A637&lt;&gt;""),IF(IFERROR(INDEX(ProcRet,MATCH($E637,ProcNome,0)),0)&gt;0,$A637+INDEX(ProcRet,MATCH($E637,ProcNome,0)),""),"")</f>
        <v>0</v>
      </c>
      <c r="R637" s="26">
        <f>IF($Q637="","",IF(COUNTIFS(AgPac,$D637,AgData,"&gt;"&amp;$A637,AgStatus,"&lt;&gt;Cancelado",AgStatus,"&lt;&gt;Remarcado")&gt;0,"Sim","Não"))</f>
        <v>0</v>
      </c>
      <c r="S637" s="28">
        <f>IF($A637="","",IF(AND($F637="Agendado",$A637-Hoje&gt;=0,$A637-Hoje&lt;=DiasConf),"CONFIRMAR",IF(AND($A637&lt;Hoje,OR($F637="Agendado",$F637="Confirmado")),"Atualizar status",IF(AND($F637="Compareceu",$P637&gt;0.005),"Cobrar",IF($F637="Faltou","Falta: reagendar","")))))</f>
        <v>0</v>
      </c>
      <c r="T637" s="29">
        <f>IF($A637="","",DATE(YEAR($A637),MONTH($A637),1))</f>
        <v>0</v>
      </c>
      <c r="U637" s="30">
        <f>IF($S637="CONFIRMAR",MAX($U$4:$U636)+1,"")</f>
        <v>0</v>
      </c>
      <c r="V637" s="30">
        <f>IF(AND($R637="Não",$Q637&lt;&gt;"",$Q637&lt;=Hoje+JanelaRet,$Q637&gt;=Hoje-60),MAX($V$4:$V636)+1,"")</f>
        <v>0</v>
      </c>
    </row>
    <row r="638" spans="1:22">
      <c r="A638" s="16"/>
      <c r="B638" s="23"/>
      <c r="C638" s="15"/>
      <c r="D638" s="15"/>
      <c r="E638" s="15"/>
      <c r="F638" s="24"/>
      <c r="G638" s="17"/>
      <c r="H638" s="17"/>
      <c r="I638" s="15"/>
      <c r="J638" s="25">
        <f>IF($D638="","",IFERROR(INDEX(PacNome,MATCH($D638,PacCod,0)),"Paciente não cadastrado"))</f>
        <v>0</v>
      </c>
      <c r="K638" s="26">
        <f>IF($D638="","",IFERROR(INDEX(PacConv,MATCH($D638,PacCod,0))&amp;"",""))</f>
        <v>0</v>
      </c>
      <c r="L638" s="26">
        <f>IF($A638="","",CHOOSE(WEEKDAY($A638,2),"Seg","Ter","Qua","Qui","Sex","Sáb","Dom"))</f>
        <v>0</v>
      </c>
      <c r="M638" s="27">
        <f>IF($E638="","",IF($G638&lt;&gt;"",$G638,IFERROR(INDEX(ProcValor,MATCH($E638,ProcNome,0)),0)))</f>
        <v>0</v>
      </c>
      <c r="N638" s="27">
        <f>IF($M638="","",IF($F638="Compareceu",$M638,0))</f>
        <v>0</v>
      </c>
      <c r="O638" s="27">
        <f>IF($M638="","",IF($F638="Faltou",$M638,0))</f>
        <v>0</v>
      </c>
      <c r="P638" s="27">
        <f>IF($M638="","",IF($F638="Compareceu",MAX(0,$M638-N($H638)),0))</f>
        <v>0</v>
      </c>
      <c r="Q638" s="19">
        <f>IF(AND($F638="Compareceu",$E638&lt;&gt;"",$A638&lt;&gt;""),IF(IFERROR(INDEX(ProcRet,MATCH($E638,ProcNome,0)),0)&gt;0,$A638+INDEX(ProcRet,MATCH($E638,ProcNome,0)),""),"")</f>
        <v>0</v>
      </c>
      <c r="R638" s="26">
        <f>IF($Q638="","",IF(COUNTIFS(AgPac,$D638,AgData,"&gt;"&amp;$A638,AgStatus,"&lt;&gt;Cancelado",AgStatus,"&lt;&gt;Remarcado")&gt;0,"Sim","Não"))</f>
        <v>0</v>
      </c>
      <c r="S638" s="28">
        <f>IF($A638="","",IF(AND($F638="Agendado",$A638-Hoje&gt;=0,$A638-Hoje&lt;=DiasConf),"CONFIRMAR",IF(AND($A638&lt;Hoje,OR($F638="Agendado",$F638="Confirmado")),"Atualizar status",IF(AND($F638="Compareceu",$P638&gt;0.005),"Cobrar",IF($F638="Faltou","Falta: reagendar","")))))</f>
        <v>0</v>
      </c>
      <c r="T638" s="29">
        <f>IF($A638="","",DATE(YEAR($A638),MONTH($A638),1))</f>
        <v>0</v>
      </c>
      <c r="U638" s="30">
        <f>IF($S638="CONFIRMAR",MAX($U$4:$U637)+1,"")</f>
        <v>0</v>
      </c>
      <c r="V638" s="30">
        <f>IF(AND($R638="Não",$Q638&lt;&gt;"",$Q638&lt;=Hoje+JanelaRet,$Q638&gt;=Hoje-60),MAX($V$4:$V637)+1,"")</f>
        <v>0</v>
      </c>
    </row>
    <row r="639" spans="1:22">
      <c r="A639" s="16"/>
      <c r="B639" s="23"/>
      <c r="C639" s="15"/>
      <c r="D639" s="15"/>
      <c r="E639" s="15"/>
      <c r="F639" s="24"/>
      <c r="G639" s="17"/>
      <c r="H639" s="17"/>
      <c r="I639" s="15"/>
      <c r="J639" s="25">
        <f>IF($D639="","",IFERROR(INDEX(PacNome,MATCH($D639,PacCod,0)),"Paciente não cadastrado"))</f>
        <v>0</v>
      </c>
      <c r="K639" s="26">
        <f>IF($D639="","",IFERROR(INDEX(PacConv,MATCH($D639,PacCod,0))&amp;"",""))</f>
        <v>0</v>
      </c>
      <c r="L639" s="26">
        <f>IF($A639="","",CHOOSE(WEEKDAY($A639,2),"Seg","Ter","Qua","Qui","Sex","Sáb","Dom"))</f>
        <v>0</v>
      </c>
      <c r="M639" s="27">
        <f>IF($E639="","",IF($G639&lt;&gt;"",$G639,IFERROR(INDEX(ProcValor,MATCH($E639,ProcNome,0)),0)))</f>
        <v>0</v>
      </c>
      <c r="N639" s="27">
        <f>IF($M639="","",IF($F639="Compareceu",$M639,0))</f>
        <v>0</v>
      </c>
      <c r="O639" s="27">
        <f>IF($M639="","",IF($F639="Faltou",$M639,0))</f>
        <v>0</v>
      </c>
      <c r="P639" s="27">
        <f>IF($M639="","",IF($F639="Compareceu",MAX(0,$M639-N($H639)),0))</f>
        <v>0</v>
      </c>
      <c r="Q639" s="19">
        <f>IF(AND($F639="Compareceu",$E639&lt;&gt;"",$A639&lt;&gt;""),IF(IFERROR(INDEX(ProcRet,MATCH($E639,ProcNome,0)),0)&gt;0,$A639+INDEX(ProcRet,MATCH($E639,ProcNome,0)),""),"")</f>
        <v>0</v>
      </c>
      <c r="R639" s="26">
        <f>IF($Q639="","",IF(COUNTIFS(AgPac,$D639,AgData,"&gt;"&amp;$A639,AgStatus,"&lt;&gt;Cancelado",AgStatus,"&lt;&gt;Remarcado")&gt;0,"Sim","Não"))</f>
        <v>0</v>
      </c>
      <c r="S639" s="28">
        <f>IF($A639="","",IF(AND($F639="Agendado",$A639-Hoje&gt;=0,$A639-Hoje&lt;=DiasConf),"CONFIRMAR",IF(AND($A639&lt;Hoje,OR($F639="Agendado",$F639="Confirmado")),"Atualizar status",IF(AND($F639="Compareceu",$P639&gt;0.005),"Cobrar",IF($F639="Faltou","Falta: reagendar","")))))</f>
        <v>0</v>
      </c>
      <c r="T639" s="29">
        <f>IF($A639="","",DATE(YEAR($A639),MONTH($A639),1))</f>
        <v>0</v>
      </c>
      <c r="U639" s="30">
        <f>IF($S639="CONFIRMAR",MAX($U$4:$U638)+1,"")</f>
        <v>0</v>
      </c>
      <c r="V639" s="30">
        <f>IF(AND($R639="Não",$Q639&lt;&gt;"",$Q639&lt;=Hoje+JanelaRet,$Q639&gt;=Hoje-60),MAX($V$4:$V638)+1,"")</f>
        <v>0</v>
      </c>
    </row>
    <row r="640" spans="1:22">
      <c r="A640" s="16"/>
      <c r="B640" s="23"/>
      <c r="C640" s="15"/>
      <c r="D640" s="15"/>
      <c r="E640" s="15"/>
      <c r="F640" s="24"/>
      <c r="G640" s="17"/>
      <c r="H640" s="17"/>
      <c r="I640" s="15"/>
      <c r="J640" s="25">
        <f>IF($D640="","",IFERROR(INDEX(PacNome,MATCH($D640,PacCod,0)),"Paciente não cadastrado"))</f>
        <v>0</v>
      </c>
      <c r="K640" s="26">
        <f>IF($D640="","",IFERROR(INDEX(PacConv,MATCH($D640,PacCod,0))&amp;"",""))</f>
        <v>0</v>
      </c>
      <c r="L640" s="26">
        <f>IF($A640="","",CHOOSE(WEEKDAY($A640,2),"Seg","Ter","Qua","Qui","Sex","Sáb","Dom"))</f>
        <v>0</v>
      </c>
      <c r="M640" s="27">
        <f>IF($E640="","",IF($G640&lt;&gt;"",$G640,IFERROR(INDEX(ProcValor,MATCH($E640,ProcNome,0)),0)))</f>
        <v>0</v>
      </c>
      <c r="N640" s="27">
        <f>IF($M640="","",IF($F640="Compareceu",$M640,0))</f>
        <v>0</v>
      </c>
      <c r="O640" s="27">
        <f>IF($M640="","",IF($F640="Faltou",$M640,0))</f>
        <v>0</v>
      </c>
      <c r="P640" s="27">
        <f>IF($M640="","",IF($F640="Compareceu",MAX(0,$M640-N($H640)),0))</f>
        <v>0</v>
      </c>
      <c r="Q640" s="19">
        <f>IF(AND($F640="Compareceu",$E640&lt;&gt;"",$A640&lt;&gt;""),IF(IFERROR(INDEX(ProcRet,MATCH($E640,ProcNome,0)),0)&gt;0,$A640+INDEX(ProcRet,MATCH($E640,ProcNome,0)),""),"")</f>
        <v>0</v>
      </c>
      <c r="R640" s="26">
        <f>IF($Q640="","",IF(COUNTIFS(AgPac,$D640,AgData,"&gt;"&amp;$A640,AgStatus,"&lt;&gt;Cancelado",AgStatus,"&lt;&gt;Remarcado")&gt;0,"Sim","Não"))</f>
        <v>0</v>
      </c>
      <c r="S640" s="28">
        <f>IF($A640="","",IF(AND($F640="Agendado",$A640-Hoje&gt;=0,$A640-Hoje&lt;=DiasConf),"CONFIRMAR",IF(AND($A640&lt;Hoje,OR($F640="Agendado",$F640="Confirmado")),"Atualizar status",IF(AND($F640="Compareceu",$P640&gt;0.005),"Cobrar",IF($F640="Faltou","Falta: reagendar","")))))</f>
        <v>0</v>
      </c>
      <c r="T640" s="29">
        <f>IF($A640="","",DATE(YEAR($A640),MONTH($A640),1))</f>
        <v>0</v>
      </c>
      <c r="U640" s="30">
        <f>IF($S640="CONFIRMAR",MAX($U$4:$U639)+1,"")</f>
        <v>0</v>
      </c>
      <c r="V640" s="30">
        <f>IF(AND($R640="Não",$Q640&lt;&gt;"",$Q640&lt;=Hoje+JanelaRet,$Q640&gt;=Hoje-60),MAX($V$4:$V639)+1,"")</f>
        <v>0</v>
      </c>
    </row>
    <row r="641" spans="1:22">
      <c r="A641" s="16"/>
      <c r="B641" s="23"/>
      <c r="C641" s="15"/>
      <c r="D641" s="15"/>
      <c r="E641" s="15"/>
      <c r="F641" s="24"/>
      <c r="G641" s="17"/>
      <c r="H641" s="17"/>
      <c r="I641" s="15"/>
      <c r="J641" s="25">
        <f>IF($D641="","",IFERROR(INDEX(PacNome,MATCH($D641,PacCod,0)),"Paciente não cadastrado"))</f>
        <v>0</v>
      </c>
      <c r="K641" s="26">
        <f>IF($D641="","",IFERROR(INDEX(PacConv,MATCH($D641,PacCod,0))&amp;"",""))</f>
        <v>0</v>
      </c>
      <c r="L641" s="26">
        <f>IF($A641="","",CHOOSE(WEEKDAY($A641,2),"Seg","Ter","Qua","Qui","Sex","Sáb","Dom"))</f>
        <v>0</v>
      </c>
      <c r="M641" s="27">
        <f>IF($E641="","",IF($G641&lt;&gt;"",$G641,IFERROR(INDEX(ProcValor,MATCH($E641,ProcNome,0)),0)))</f>
        <v>0</v>
      </c>
      <c r="N641" s="27">
        <f>IF($M641="","",IF($F641="Compareceu",$M641,0))</f>
        <v>0</v>
      </c>
      <c r="O641" s="27">
        <f>IF($M641="","",IF($F641="Faltou",$M641,0))</f>
        <v>0</v>
      </c>
      <c r="P641" s="27">
        <f>IF($M641="","",IF($F641="Compareceu",MAX(0,$M641-N($H641)),0))</f>
        <v>0</v>
      </c>
      <c r="Q641" s="19">
        <f>IF(AND($F641="Compareceu",$E641&lt;&gt;"",$A641&lt;&gt;""),IF(IFERROR(INDEX(ProcRet,MATCH($E641,ProcNome,0)),0)&gt;0,$A641+INDEX(ProcRet,MATCH($E641,ProcNome,0)),""),"")</f>
        <v>0</v>
      </c>
      <c r="R641" s="26">
        <f>IF($Q641="","",IF(COUNTIFS(AgPac,$D641,AgData,"&gt;"&amp;$A641,AgStatus,"&lt;&gt;Cancelado",AgStatus,"&lt;&gt;Remarcado")&gt;0,"Sim","Não"))</f>
        <v>0</v>
      </c>
      <c r="S641" s="28">
        <f>IF($A641="","",IF(AND($F641="Agendado",$A641-Hoje&gt;=0,$A641-Hoje&lt;=DiasConf),"CONFIRMAR",IF(AND($A641&lt;Hoje,OR($F641="Agendado",$F641="Confirmado")),"Atualizar status",IF(AND($F641="Compareceu",$P641&gt;0.005),"Cobrar",IF($F641="Faltou","Falta: reagendar","")))))</f>
        <v>0</v>
      </c>
      <c r="T641" s="29">
        <f>IF($A641="","",DATE(YEAR($A641),MONTH($A641),1))</f>
        <v>0</v>
      </c>
      <c r="U641" s="30">
        <f>IF($S641="CONFIRMAR",MAX($U$4:$U640)+1,"")</f>
        <v>0</v>
      </c>
      <c r="V641" s="30">
        <f>IF(AND($R641="Não",$Q641&lt;&gt;"",$Q641&lt;=Hoje+JanelaRet,$Q641&gt;=Hoje-60),MAX($V$4:$V640)+1,"")</f>
        <v>0</v>
      </c>
    </row>
    <row r="642" spans="1:22">
      <c r="A642" s="16"/>
      <c r="B642" s="23"/>
      <c r="C642" s="15"/>
      <c r="D642" s="15"/>
      <c r="E642" s="15"/>
      <c r="F642" s="24"/>
      <c r="G642" s="17"/>
      <c r="H642" s="17"/>
      <c r="I642" s="15"/>
      <c r="J642" s="25">
        <f>IF($D642="","",IFERROR(INDEX(PacNome,MATCH($D642,PacCod,0)),"Paciente não cadastrado"))</f>
        <v>0</v>
      </c>
      <c r="K642" s="26">
        <f>IF($D642="","",IFERROR(INDEX(PacConv,MATCH($D642,PacCod,0))&amp;"",""))</f>
        <v>0</v>
      </c>
      <c r="L642" s="26">
        <f>IF($A642="","",CHOOSE(WEEKDAY($A642,2),"Seg","Ter","Qua","Qui","Sex","Sáb","Dom"))</f>
        <v>0</v>
      </c>
      <c r="M642" s="27">
        <f>IF($E642="","",IF($G642&lt;&gt;"",$G642,IFERROR(INDEX(ProcValor,MATCH($E642,ProcNome,0)),0)))</f>
        <v>0</v>
      </c>
      <c r="N642" s="27">
        <f>IF($M642="","",IF($F642="Compareceu",$M642,0))</f>
        <v>0</v>
      </c>
      <c r="O642" s="27">
        <f>IF($M642="","",IF($F642="Faltou",$M642,0))</f>
        <v>0</v>
      </c>
      <c r="P642" s="27">
        <f>IF($M642="","",IF($F642="Compareceu",MAX(0,$M642-N($H642)),0))</f>
        <v>0</v>
      </c>
      <c r="Q642" s="19">
        <f>IF(AND($F642="Compareceu",$E642&lt;&gt;"",$A642&lt;&gt;""),IF(IFERROR(INDEX(ProcRet,MATCH($E642,ProcNome,0)),0)&gt;0,$A642+INDEX(ProcRet,MATCH($E642,ProcNome,0)),""),"")</f>
        <v>0</v>
      </c>
      <c r="R642" s="26">
        <f>IF($Q642="","",IF(COUNTIFS(AgPac,$D642,AgData,"&gt;"&amp;$A642,AgStatus,"&lt;&gt;Cancelado",AgStatus,"&lt;&gt;Remarcado")&gt;0,"Sim","Não"))</f>
        <v>0</v>
      </c>
      <c r="S642" s="28">
        <f>IF($A642="","",IF(AND($F642="Agendado",$A642-Hoje&gt;=0,$A642-Hoje&lt;=DiasConf),"CONFIRMAR",IF(AND($A642&lt;Hoje,OR($F642="Agendado",$F642="Confirmado")),"Atualizar status",IF(AND($F642="Compareceu",$P642&gt;0.005),"Cobrar",IF($F642="Faltou","Falta: reagendar","")))))</f>
        <v>0</v>
      </c>
      <c r="T642" s="29">
        <f>IF($A642="","",DATE(YEAR($A642),MONTH($A642),1))</f>
        <v>0</v>
      </c>
      <c r="U642" s="30">
        <f>IF($S642="CONFIRMAR",MAX($U$4:$U641)+1,"")</f>
        <v>0</v>
      </c>
      <c r="V642" s="30">
        <f>IF(AND($R642="Não",$Q642&lt;&gt;"",$Q642&lt;=Hoje+JanelaRet,$Q642&gt;=Hoje-60),MAX($V$4:$V641)+1,"")</f>
        <v>0</v>
      </c>
    </row>
    <row r="643" spans="1:22">
      <c r="A643" s="16"/>
      <c r="B643" s="23"/>
      <c r="C643" s="15"/>
      <c r="D643" s="15"/>
      <c r="E643" s="15"/>
      <c r="F643" s="24"/>
      <c r="G643" s="17"/>
      <c r="H643" s="17"/>
      <c r="I643" s="15"/>
      <c r="J643" s="25">
        <f>IF($D643="","",IFERROR(INDEX(PacNome,MATCH($D643,PacCod,0)),"Paciente não cadastrado"))</f>
        <v>0</v>
      </c>
      <c r="K643" s="26">
        <f>IF($D643="","",IFERROR(INDEX(PacConv,MATCH($D643,PacCod,0))&amp;"",""))</f>
        <v>0</v>
      </c>
      <c r="L643" s="26">
        <f>IF($A643="","",CHOOSE(WEEKDAY($A643,2),"Seg","Ter","Qua","Qui","Sex","Sáb","Dom"))</f>
        <v>0</v>
      </c>
      <c r="M643" s="27">
        <f>IF($E643="","",IF($G643&lt;&gt;"",$G643,IFERROR(INDEX(ProcValor,MATCH($E643,ProcNome,0)),0)))</f>
        <v>0</v>
      </c>
      <c r="N643" s="27">
        <f>IF($M643="","",IF($F643="Compareceu",$M643,0))</f>
        <v>0</v>
      </c>
      <c r="O643" s="27">
        <f>IF($M643="","",IF($F643="Faltou",$M643,0))</f>
        <v>0</v>
      </c>
      <c r="P643" s="27">
        <f>IF($M643="","",IF($F643="Compareceu",MAX(0,$M643-N($H643)),0))</f>
        <v>0</v>
      </c>
      <c r="Q643" s="19">
        <f>IF(AND($F643="Compareceu",$E643&lt;&gt;"",$A643&lt;&gt;""),IF(IFERROR(INDEX(ProcRet,MATCH($E643,ProcNome,0)),0)&gt;0,$A643+INDEX(ProcRet,MATCH($E643,ProcNome,0)),""),"")</f>
        <v>0</v>
      </c>
      <c r="R643" s="26">
        <f>IF($Q643="","",IF(COUNTIFS(AgPac,$D643,AgData,"&gt;"&amp;$A643,AgStatus,"&lt;&gt;Cancelado",AgStatus,"&lt;&gt;Remarcado")&gt;0,"Sim","Não"))</f>
        <v>0</v>
      </c>
      <c r="S643" s="28">
        <f>IF($A643="","",IF(AND($F643="Agendado",$A643-Hoje&gt;=0,$A643-Hoje&lt;=DiasConf),"CONFIRMAR",IF(AND($A643&lt;Hoje,OR($F643="Agendado",$F643="Confirmado")),"Atualizar status",IF(AND($F643="Compareceu",$P643&gt;0.005),"Cobrar",IF($F643="Faltou","Falta: reagendar","")))))</f>
        <v>0</v>
      </c>
      <c r="T643" s="29">
        <f>IF($A643="","",DATE(YEAR($A643),MONTH($A643),1))</f>
        <v>0</v>
      </c>
      <c r="U643" s="30">
        <f>IF($S643="CONFIRMAR",MAX($U$4:$U642)+1,"")</f>
        <v>0</v>
      </c>
      <c r="V643" s="30">
        <f>IF(AND($R643="Não",$Q643&lt;&gt;"",$Q643&lt;=Hoje+JanelaRet,$Q643&gt;=Hoje-60),MAX($V$4:$V642)+1,"")</f>
        <v>0</v>
      </c>
    </row>
    <row r="644" spans="1:22">
      <c r="A644" s="16"/>
      <c r="B644" s="23"/>
      <c r="C644" s="15"/>
      <c r="D644" s="15"/>
      <c r="E644" s="15"/>
      <c r="F644" s="24"/>
      <c r="G644" s="17"/>
      <c r="H644" s="17"/>
      <c r="I644" s="15"/>
      <c r="J644" s="25">
        <f>IF($D644="","",IFERROR(INDEX(PacNome,MATCH($D644,PacCod,0)),"Paciente não cadastrado"))</f>
        <v>0</v>
      </c>
      <c r="K644" s="26">
        <f>IF($D644="","",IFERROR(INDEX(PacConv,MATCH($D644,PacCod,0))&amp;"",""))</f>
        <v>0</v>
      </c>
      <c r="L644" s="26">
        <f>IF($A644="","",CHOOSE(WEEKDAY($A644,2),"Seg","Ter","Qua","Qui","Sex","Sáb","Dom"))</f>
        <v>0</v>
      </c>
      <c r="M644" s="27">
        <f>IF($E644="","",IF($G644&lt;&gt;"",$G644,IFERROR(INDEX(ProcValor,MATCH($E644,ProcNome,0)),0)))</f>
        <v>0</v>
      </c>
      <c r="N644" s="27">
        <f>IF($M644="","",IF($F644="Compareceu",$M644,0))</f>
        <v>0</v>
      </c>
      <c r="O644" s="27">
        <f>IF($M644="","",IF($F644="Faltou",$M644,0))</f>
        <v>0</v>
      </c>
      <c r="P644" s="27">
        <f>IF($M644="","",IF($F644="Compareceu",MAX(0,$M644-N($H644)),0))</f>
        <v>0</v>
      </c>
      <c r="Q644" s="19">
        <f>IF(AND($F644="Compareceu",$E644&lt;&gt;"",$A644&lt;&gt;""),IF(IFERROR(INDEX(ProcRet,MATCH($E644,ProcNome,0)),0)&gt;0,$A644+INDEX(ProcRet,MATCH($E644,ProcNome,0)),""),"")</f>
        <v>0</v>
      </c>
      <c r="R644" s="26">
        <f>IF($Q644="","",IF(COUNTIFS(AgPac,$D644,AgData,"&gt;"&amp;$A644,AgStatus,"&lt;&gt;Cancelado",AgStatus,"&lt;&gt;Remarcado")&gt;0,"Sim","Não"))</f>
        <v>0</v>
      </c>
      <c r="S644" s="28">
        <f>IF($A644="","",IF(AND($F644="Agendado",$A644-Hoje&gt;=0,$A644-Hoje&lt;=DiasConf),"CONFIRMAR",IF(AND($A644&lt;Hoje,OR($F644="Agendado",$F644="Confirmado")),"Atualizar status",IF(AND($F644="Compareceu",$P644&gt;0.005),"Cobrar",IF($F644="Faltou","Falta: reagendar","")))))</f>
        <v>0</v>
      </c>
      <c r="T644" s="29">
        <f>IF($A644="","",DATE(YEAR($A644),MONTH($A644),1))</f>
        <v>0</v>
      </c>
      <c r="U644" s="30">
        <f>IF($S644="CONFIRMAR",MAX($U$4:$U643)+1,"")</f>
        <v>0</v>
      </c>
      <c r="V644" s="30">
        <f>IF(AND($R644="Não",$Q644&lt;&gt;"",$Q644&lt;=Hoje+JanelaRet,$Q644&gt;=Hoje-60),MAX($V$4:$V643)+1,"")</f>
        <v>0</v>
      </c>
    </row>
    <row r="645" spans="1:22">
      <c r="A645" s="16"/>
      <c r="B645" s="23"/>
      <c r="C645" s="15"/>
      <c r="D645" s="15"/>
      <c r="E645" s="15"/>
      <c r="F645" s="24"/>
      <c r="G645" s="17"/>
      <c r="H645" s="17"/>
      <c r="I645" s="15"/>
      <c r="J645" s="25">
        <f>IF($D645="","",IFERROR(INDEX(PacNome,MATCH($D645,PacCod,0)),"Paciente não cadastrado"))</f>
        <v>0</v>
      </c>
      <c r="K645" s="26">
        <f>IF($D645="","",IFERROR(INDEX(PacConv,MATCH($D645,PacCod,0))&amp;"",""))</f>
        <v>0</v>
      </c>
      <c r="L645" s="26">
        <f>IF($A645="","",CHOOSE(WEEKDAY($A645,2),"Seg","Ter","Qua","Qui","Sex","Sáb","Dom"))</f>
        <v>0</v>
      </c>
      <c r="M645" s="27">
        <f>IF($E645="","",IF($G645&lt;&gt;"",$G645,IFERROR(INDEX(ProcValor,MATCH($E645,ProcNome,0)),0)))</f>
        <v>0</v>
      </c>
      <c r="N645" s="27">
        <f>IF($M645="","",IF($F645="Compareceu",$M645,0))</f>
        <v>0</v>
      </c>
      <c r="O645" s="27">
        <f>IF($M645="","",IF($F645="Faltou",$M645,0))</f>
        <v>0</v>
      </c>
      <c r="P645" s="27">
        <f>IF($M645="","",IF($F645="Compareceu",MAX(0,$M645-N($H645)),0))</f>
        <v>0</v>
      </c>
      <c r="Q645" s="19">
        <f>IF(AND($F645="Compareceu",$E645&lt;&gt;"",$A645&lt;&gt;""),IF(IFERROR(INDEX(ProcRet,MATCH($E645,ProcNome,0)),0)&gt;0,$A645+INDEX(ProcRet,MATCH($E645,ProcNome,0)),""),"")</f>
        <v>0</v>
      </c>
      <c r="R645" s="26">
        <f>IF($Q645="","",IF(COUNTIFS(AgPac,$D645,AgData,"&gt;"&amp;$A645,AgStatus,"&lt;&gt;Cancelado",AgStatus,"&lt;&gt;Remarcado")&gt;0,"Sim","Não"))</f>
        <v>0</v>
      </c>
      <c r="S645" s="28">
        <f>IF($A645="","",IF(AND($F645="Agendado",$A645-Hoje&gt;=0,$A645-Hoje&lt;=DiasConf),"CONFIRMAR",IF(AND($A645&lt;Hoje,OR($F645="Agendado",$F645="Confirmado")),"Atualizar status",IF(AND($F645="Compareceu",$P645&gt;0.005),"Cobrar",IF($F645="Faltou","Falta: reagendar","")))))</f>
        <v>0</v>
      </c>
      <c r="T645" s="29">
        <f>IF($A645="","",DATE(YEAR($A645),MONTH($A645),1))</f>
        <v>0</v>
      </c>
      <c r="U645" s="30">
        <f>IF($S645="CONFIRMAR",MAX($U$4:$U644)+1,"")</f>
        <v>0</v>
      </c>
      <c r="V645" s="30">
        <f>IF(AND($R645="Não",$Q645&lt;&gt;"",$Q645&lt;=Hoje+JanelaRet,$Q645&gt;=Hoje-60),MAX($V$4:$V644)+1,"")</f>
        <v>0</v>
      </c>
    </row>
    <row r="646" spans="1:22">
      <c r="A646" s="16"/>
      <c r="B646" s="23"/>
      <c r="C646" s="15"/>
      <c r="D646" s="15"/>
      <c r="E646" s="15"/>
      <c r="F646" s="24"/>
      <c r="G646" s="17"/>
      <c r="H646" s="17"/>
      <c r="I646" s="15"/>
      <c r="J646" s="25">
        <f>IF($D646="","",IFERROR(INDEX(PacNome,MATCH($D646,PacCod,0)),"Paciente não cadastrado"))</f>
        <v>0</v>
      </c>
      <c r="K646" s="26">
        <f>IF($D646="","",IFERROR(INDEX(PacConv,MATCH($D646,PacCod,0))&amp;"",""))</f>
        <v>0</v>
      </c>
      <c r="L646" s="26">
        <f>IF($A646="","",CHOOSE(WEEKDAY($A646,2),"Seg","Ter","Qua","Qui","Sex","Sáb","Dom"))</f>
        <v>0</v>
      </c>
      <c r="M646" s="27">
        <f>IF($E646="","",IF($G646&lt;&gt;"",$G646,IFERROR(INDEX(ProcValor,MATCH($E646,ProcNome,0)),0)))</f>
        <v>0</v>
      </c>
      <c r="N646" s="27">
        <f>IF($M646="","",IF($F646="Compareceu",$M646,0))</f>
        <v>0</v>
      </c>
      <c r="O646" s="27">
        <f>IF($M646="","",IF($F646="Faltou",$M646,0))</f>
        <v>0</v>
      </c>
      <c r="P646" s="27">
        <f>IF($M646="","",IF($F646="Compareceu",MAX(0,$M646-N($H646)),0))</f>
        <v>0</v>
      </c>
      <c r="Q646" s="19">
        <f>IF(AND($F646="Compareceu",$E646&lt;&gt;"",$A646&lt;&gt;""),IF(IFERROR(INDEX(ProcRet,MATCH($E646,ProcNome,0)),0)&gt;0,$A646+INDEX(ProcRet,MATCH($E646,ProcNome,0)),""),"")</f>
        <v>0</v>
      </c>
      <c r="R646" s="26">
        <f>IF($Q646="","",IF(COUNTIFS(AgPac,$D646,AgData,"&gt;"&amp;$A646,AgStatus,"&lt;&gt;Cancelado",AgStatus,"&lt;&gt;Remarcado")&gt;0,"Sim","Não"))</f>
        <v>0</v>
      </c>
      <c r="S646" s="28">
        <f>IF($A646="","",IF(AND($F646="Agendado",$A646-Hoje&gt;=0,$A646-Hoje&lt;=DiasConf),"CONFIRMAR",IF(AND($A646&lt;Hoje,OR($F646="Agendado",$F646="Confirmado")),"Atualizar status",IF(AND($F646="Compareceu",$P646&gt;0.005),"Cobrar",IF($F646="Faltou","Falta: reagendar","")))))</f>
        <v>0</v>
      </c>
      <c r="T646" s="29">
        <f>IF($A646="","",DATE(YEAR($A646),MONTH($A646),1))</f>
        <v>0</v>
      </c>
      <c r="U646" s="30">
        <f>IF($S646="CONFIRMAR",MAX($U$4:$U645)+1,"")</f>
        <v>0</v>
      </c>
      <c r="V646" s="30">
        <f>IF(AND($R646="Não",$Q646&lt;&gt;"",$Q646&lt;=Hoje+JanelaRet,$Q646&gt;=Hoje-60),MAX($V$4:$V645)+1,"")</f>
        <v>0</v>
      </c>
    </row>
    <row r="647" spans="1:22">
      <c r="A647" s="16"/>
      <c r="B647" s="23"/>
      <c r="C647" s="15"/>
      <c r="D647" s="15"/>
      <c r="E647" s="15"/>
      <c r="F647" s="24"/>
      <c r="G647" s="17"/>
      <c r="H647" s="17"/>
      <c r="I647" s="15"/>
      <c r="J647" s="25">
        <f>IF($D647="","",IFERROR(INDEX(PacNome,MATCH($D647,PacCod,0)),"Paciente não cadastrado"))</f>
        <v>0</v>
      </c>
      <c r="K647" s="26">
        <f>IF($D647="","",IFERROR(INDEX(PacConv,MATCH($D647,PacCod,0))&amp;"",""))</f>
        <v>0</v>
      </c>
      <c r="L647" s="26">
        <f>IF($A647="","",CHOOSE(WEEKDAY($A647,2),"Seg","Ter","Qua","Qui","Sex","Sáb","Dom"))</f>
        <v>0</v>
      </c>
      <c r="M647" s="27">
        <f>IF($E647="","",IF($G647&lt;&gt;"",$G647,IFERROR(INDEX(ProcValor,MATCH($E647,ProcNome,0)),0)))</f>
        <v>0</v>
      </c>
      <c r="N647" s="27">
        <f>IF($M647="","",IF($F647="Compareceu",$M647,0))</f>
        <v>0</v>
      </c>
      <c r="O647" s="27">
        <f>IF($M647="","",IF($F647="Faltou",$M647,0))</f>
        <v>0</v>
      </c>
      <c r="P647" s="27">
        <f>IF($M647="","",IF($F647="Compareceu",MAX(0,$M647-N($H647)),0))</f>
        <v>0</v>
      </c>
      <c r="Q647" s="19">
        <f>IF(AND($F647="Compareceu",$E647&lt;&gt;"",$A647&lt;&gt;""),IF(IFERROR(INDEX(ProcRet,MATCH($E647,ProcNome,0)),0)&gt;0,$A647+INDEX(ProcRet,MATCH($E647,ProcNome,0)),""),"")</f>
        <v>0</v>
      </c>
      <c r="R647" s="26">
        <f>IF($Q647="","",IF(COUNTIFS(AgPac,$D647,AgData,"&gt;"&amp;$A647,AgStatus,"&lt;&gt;Cancelado",AgStatus,"&lt;&gt;Remarcado")&gt;0,"Sim","Não"))</f>
        <v>0</v>
      </c>
      <c r="S647" s="28">
        <f>IF($A647="","",IF(AND($F647="Agendado",$A647-Hoje&gt;=0,$A647-Hoje&lt;=DiasConf),"CONFIRMAR",IF(AND($A647&lt;Hoje,OR($F647="Agendado",$F647="Confirmado")),"Atualizar status",IF(AND($F647="Compareceu",$P647&gt;0.005),"Cobrar",IF($F647="Faltou","Falta: reagendar","")))))</f>
        <v>0</v>
      </c>
      <c r="T647" s="29">
        <f>IF($A647="","",DATE(YEAR($A647),MONTH($A647),1))</f>
        <v>0</v>
      </c>
      <c r="U647" s="30">
        <f>IF($S647="CONFIRMAR",MAX($U$4:$U646)+1,"")</f>
        <v>0</v>
      </c>
      <c r="V647" s="30">
        <f>IF(AND($R647="Não",$Q647&lt;&gt;"",$Q647&lt;=Hoje+JanelaRet,$Q647&gt;=Hoje-60),MAX($V$4:$V646)+1,"")</f>
        <v>0</v>
      </c>
    </row>
    <row r="648" spans="1:22">
      <c r="A648" s="16"/>
      <c r="B648" s="23"/>
      <c r="C648" s="15"/>
      <c r="D648" s="15"/>
      <c r="E648" s="15"/>
      <c r="F648" s="24"/>
      <c r="G648" s="17"/>
      <c r="H648" s="17"/>
      <c r="I648" s="15"/>
      <c r="J648" s="25">
        <f>IF($D648="","",IFERROR(INDEX(PacNome,MATCH($D648,PacCod,0)),"Paciente não cadastrado"))</f>
        <v>0</v>
      </c>
      <c r="K648" s="26">
        <f>IF($D648="","",IFERROR(INDEX(PacConv,MATCH($D648,PacCod,0))&amp;"",""))</f>
        <v>0</v>
      </c>
      <c r="L648" s="26">
        <f>IF($A648="","",CHOOSE(WEEKDAY($A648,2),"Seg","Ter","Qua","Qui","Sex","Sáb","Dom"))</f>
        <v>0</v>
      </c>
      <c r="M648" s="27">
        <f>IF($E648="","",IF($G648&lt;&gt;"",$G648,IFERROR(INDEX(ProcValor,MATCH($E648,ProcNome,0)),0)))</f>
        <v>0</v>
      </c>
      <c r="N648" s="27">
        <f>IF($M648="","",IF($F648="Compareceu",$M648,0))</f>
        <v>0</v>
      </c>
      <c r="O648" s="27">
        <f>IF($M648="","",IF($F648="Faltou",$M648,0))</f>
        <v>0</v>
      </c>
      <c r="P648" s="27">
        <f>IF($M648="","",IF($F648="Compareceu",MAX(0,$M648-N($H648)),0))</f>
        <v>0</v>
      </c>
      <c r="Q648" s="19">
        <f>IF(AND($F648="Compareceu",$E648&lt;&gt;"",$A648&lt;&gt;""),IF(IFERROR(INDEX(ProcRet,MATCH($E648,ProcNome,0)),0)&gt;0,$A648+INDEX(ProcRet,MATCH($E648,ProcNome,0)),""),"")</f>
        <v>0</v>
      </c>
      <c r="R648" s="26">
        <f>IF($Q648="","",IF(COUNTIFS(AgPac,$D648,AgData,"&gt;"&amp;$A648,AgStatus,"&lt;&gt;Cancelado",AgStatus,"&lt;&gt;Remarcado")&gt;0,"Sim","Não"))</f>
        <v>0</v>
      </c>
      <c r="S648" s="28">
        <f>IF($A648="","",IF(AND($F648="Agendado",$A648-Hoje&gt;=0,$A648-Hoje&lt;=DiasConf),"CONFIRMAR",IF(AND($A648&lt;Hoje,OR($F648="Agendado",$F648="Confirmado")),"Atualizar status",IF(AND($F648="Compareceu",$P648&gt;0.005),"Cobrar",IF($F648="Faltou","Falta: reagendar","")))))</f>
        <v>0</v>
      </c>
      <c r="T648" s="29">
        <f>IF($A648="","",DATE(YEAR($A648),MONTH($A648),1))</f>
        <v>0</v>
      </c>
      <c r="U648" s="30">
        <f>IF($S648="CONFIRMAR",MAX($U$4:$U647)+1,"")</f>
        <v>0</v>
      </c>
      <c r="V648" s="30">
        <f>IF(AND($R648="Não",$Q648&lt;&gt;"",$Q648&lt;=Hoje+JanelaRet,$Q648&gt;=Hoje-60),MAX($V$4:$V647)+1,"")</f>
        <v>0</v>
      </c>
    </row>
    <row r="649" spans="1:22">
      <c r="A649" s="16"/>
      <c r="B649" s="23"/>
      <c r="C649" s="15"/>
      <c r="D649" s="15"/>
      <c r="E649" s="15"/>
      <c r="F649" s="24"/>
      <c r="G649" s="17"/>
      <c r="H649" s="17"/>
      <c r="I649" s="15"/>
      <c r="J649" s="25">
        <f>IF($D649="","",IFERROR(INDEX(PacNome,MATCH($D649,PacCod,0)),"Paciente não cadastrado"))</f>
        <v>0</v>
      </c>
      <c r="K649" s="26">
        <f>IF($D649="","",IFERROR(INDEX(PacConv,MATCH($D649,PacCod,0))&amp;"",""))</f>
        <v>0</v>
      </c>
      <c r="L649" s="26">
        <f>IF($A649="","",CHOOSE(WEEKDAY($A649,2),"Seg","Ter","Qua","Qui","Sex","Sáb","Dom"))</f>
        <v>0</v>
      </c>
      <c r="M649" s="27">
        <f>IF($E649="","",IF($G649&lt;&gt;"",$G649,IFERROR(INDEX(ProcValor,MATCH($E649,ProcNome,0)),0)))</f>
        <v>0</v>
      </c>
      <c r="N649" s="27">
        <f>IF($M649="","",IF($F649="Compareceu",$M649,0))</f>
        <v>0</v>
      </c>
      <c r="O649" s="27">
        <f>IF($M649="","",IF($F649="Faltou",$M649,0))</f>
        <v>0</v>
      </c>
      <c r="P649" s="27">
        <f>IF($M649="","",IF($F649="Compareceu",MAX(0,$M649-N($H649)),0))</f>
        <v>0</v>
      </c>
      <c r="Q649" s="19">
        <f>IF(AND($F649="Compareceu",$E649&lt;&gt;"",$A649&lt;&gt;""),IF(IFERROR(INDEX(ProcRet,MATCH($E649,ProcNome,0)),0)&gt;0,$A649+INDEX(ProcRet,MATCH($E649,ProcNome,0)),""),"")</f>
        <v>0</v>
      </c>
      <c r="R649" s="26">
        <f>IF($Q649="","",IF(COUNTIFS(AgPac,$D649,AgData,"&gt;"&amp;$A649,AgStatus,"&lt;&gt;Cancelado",AgStatus,"&lt;&gt;Remarcado")&gt;0,"Sim","Não"))</f>
        <v>0</v>
      </c>
      <c r="S649" s="28">
        <f>IF($A649="","",IF(AND($F649="Agendado",$A649-Hoje&gt;=0,$A649-Hoje&lt;=DiasConf),"CONFIRMAR",IF(AND($A649&lt;Hoje,OR($F649="Agendado",$F649="Confirmado")),"Atualizar status",IF(AND($F649="Compareceu",$P649&gt;0.005),"Cobrar",IF($F649="Faltou","Falta: reagendar","")))))</f>
        <v>0</v>
      </c>
      <c r="T649" s="29">
        <f>IF($A649="","",DATE(YEAR($A649),MONTH($A649),1))</f>
        <v>0</v>
      </c>
      <c r="U649" s="30">
        <f>IF($S649="CONFIRMAR",MAX($U$4:$U648)+1,"")</f>
        <v>0</v>
      </c>
      <c r="V649" s="30">
        <f>IF(AND($R649="Não",$Q649&lt;&gt;"",$Q649&lt;=Hoje+JanelaRet,$Q649&gt;=Hoje-60),MAX($V$4:$V648)+1,"")</f>
        <v>0</v>
      </c>
    </row>
    <row r="650" spans="1:22">
      <c r="A650" s="16"/>
      <c r="B650" s="23"/>
      <c r="C650" s="15"/>
      <c r="D650" s="15"/>
      <c r="E650" s="15"/>
      <c r="F650" s="24"/>
      <c r="G650" s="17"/>
      <c r="H650" s="17"/>
      <c r="I650" s="15"/>
      <c r="J650" s="25">
        <f>IF($D650="","",IFERROR(INDEX(PacNome,MATCH($D650,PacCod,0)),"Paciente não cadastrado"))</f>
        <v>0</v>
      </c>
      <c r="K650" s="26">
        <f>IF($D650="","",IFERROR(INDEX(PacConv,MATCH($D650,PacCod,0))&amp;"",""))</f>
        <v>0</v>
      </c>
      <c r="L650" s="26">
        <f>IF($A650="","",CHOOSE(WEEKDAY($A650,2),"Seg","Ter","Qua","Qui","Sex","Sáb","Dom"))</f>
        <v>0</v>
      </c>
      <c r="M650" s="27">
        <f>IF($E650="","",IF($G650&lt;&gt;"",$G650,IFERROR(INDEX(ProcValor,MATCH($E650,ProcNome,0)),0)))</f>
        <v>0</v>
      </c>
      <c r="N650" s="27">
        <f>IF($M650="","",IF($F650="Compareceu",$M650,0))</f>
        <v>0</v>
      </c>
      <c r="O650" s="27">
        <f>IF($M650="","",IF($F650="Faltou",$M650,0))</f>
        <v>0</v>
      </c>
      <c r="P650" s="27">
        <f>IF($M650="","",IF($F650="Compareceu",MAX(0,$M650-N($H650)),0))</f>
        <v>0</v>
      </c>
      <c r="Q650" s="19">
        <f>IF(AND($F650="Compareceu",$E650&lt;&gt;"",$A650&lt;&gt;""),IF(IFERROR(INDEX(ProcRet,MATCH($E650,ProcNome,0)),0)&gt;0,$A650+INDEX(ProcRet,MATCH($E650,ProcNome,0)),""),"")</f>
        <v>0</v>
      </c>
      <c r="R650" s="26">
        <f>IF($Q650="","",IF(COUNTIFS(AgPac,$D650,AgData,"&gt;"&amp;$A650,AgStatus,"&lt;&gt;Cancelado",AgStatus,"&lt;&gt;Remarcado")&gt;0,"Sim","Não"))</f>
        <v>0</v>
      </c>
      <c r="S650" s="28">
        <f>IF($A650="","",IF(AND($F650="Agendado",$A650-Hoje&gt;=0,$A650-Hoje&lt;=DiasConf),"CONFIRMAR",IF(AND($A650&lt;Hoje,OR($F650="Agendado",$F650="Confirmado")),"Atualizar status",IF(AND($F650="Compareceu",$P650&gt;0.005),"Cobrar",IF($F650="Faltou","Falta: reagendar","")))))</f>
        <v>0</v>
      </c>
      <c r="T650" s="29">
        <f>IF($A650="","",DATE(YEAR($A650),MONTH($A650),1))</f>
        <v>0</v>
      </c>
      <c r="U650" s="30">
        <f>IF($S650="CONFIRMAR",MAX($U$4:$U649)+1,"")</f>
        <v>0</v>
      </c>
      <c r="V650" s="30">
        <f>IF(AND($R650="Não",$Q650&lt;&gt;"",$Q650&lt;=Hoje+JanelaRet,$Q650&gt;=Hoje-60),MAX($V$4:$V649)+1,"")</f>
        <v>0</v>
      </c>
    </row>
    <row r="651" spans="1:22">
      <c r="A651" s="16"/>
      <c r="B651" s="23"/>
      <c r="C651" s="15"/>
      <c r="D651" s="15"/>
      <c r="E651" s="15"/>
      <c r="F651" s="24"/>
      <c r="G651" s="17"/>
      <c r="H651" s="17"/>
      <c r="I651" s="15"/>
      <c r="J651" s="25">
        <f>IF($D651="","",IFERROR(INDEX(PacNome,MATCH($D651,PacCod,0)),"Paciente não cadastrado"))</f>
        <v>0</v>
      </c>
      <c r="K651" s="26">
        <f>IF($D651="","",IFERROR(INDEX(PacConv,MATCH($D651,PacCod,0))&amp;"",""))</f>
        <v>0</v>
      </c>
      <c r="L651" s="26">
        <f>IF($A651="","",CHOOSE(WEEKDAY($A651,2),"Seg","Ter","Qua","Qui","Sex","Sáb","Dom"))</f>
        <v>0</v>
      </c>
      <c r="M651" s="27">
        <f>IF($E651="","",IF($G651&lt;&gt;"",$G651,IFERROR(INDEX(ProcValor,MATCH($E651,ProcNome,0)),0)))</f>
        <v>0</v>
      </c>
      <c r="N651" s="27">
        <f>IF($M651="","",IF($F651="Compareceu",$M651,0))</f>
        <v>0</v>
      </c>
      <c r="O651" s="27">
        <f>IF($M651="","",IF($F651="Faltou",$M651,0))</f>
        <v>0</v>
      </c>
      <c r="P651" s="27">
        <f>IF($M651="","",IF($F651="Compareceu",MAX(0,$M651-N($H651)),0))</f>
        <v>0</v>
      </c>
      <c r="Q651" s="19">
        <f>IF(AND($F651="Compareceu",$E651&lt;&gt;"",$A651&lt;&gt;""),IF(IFERROR(INDEX(ProcRet,MATCH($E651,ProcNome,0)),0)&gt;0,$A651+INDEX(ProcRet,MATCH($E651,ProcNome,0)),""),"")</f>
        <v>0</v>
      </c>
      <c r="R651" s="26">
        <f>IF($Q651="","",IF(COUNTIFS(AgPac,$D651,AgData,"&gt;"&amp;$A651,AgStatus,"&lt;&gt;Cancelado",AgStatus,"&lt;&gt;Remarcado")&gt;0,"Sim","Não"))</f>
        <v>0</v>
      </c>
      <c r="S651" s="28">
        <f>IF($A651="","",IF(AND($F651="Agendado",$A651-Hoje&gt;=0,$A651-Hoje&lt;=DiasConf),"CONFIRMAR",IF(AND($A651&lt;Hoje,OR($F651="Agendado",$F651="Confirmado")),"Atualizar status",IF(AND($F651="Compareceu",$P651&gt;0.005),"Cobrar",IF($F651="Faltou","Falta: reagendar","")))))</f>
        <v>0</v>
      </c>
      <c r="T651" s="29">
        <f>IF($A651="","",DATE(YEAR($A651),MONTH($A651),1))</f>
        <v>0</v>
      </c>
      <c r="U651" s="30">
        <f>IF($S651="CONFIRMAR",MAX($U$4:$U650)+1,"")</f>
        <v>0</v>
      </c>
      <c r="V651" s="30">
        <f>IF(AND($R651="Não",$Q651&lt;&gt;"",$Q651&lt;=Hoje+JanelaRet,$Q651&gt;=Hoje-60),MAX($V$4:$V650)+1,"")</f>
        <v>0</v>
      </c>
    </row>
    <row r="652" spans="1:22">
      <c r="A652" s="16"/>
      <c r="B652" s="23"/>
      <c r="C652" s="15"/>
      <c r="D652" s="15"/>
      <c r="E652" s="15"/>
      <c r="F652" s="24"/>
      <c r="G652" s="17"/>
      <c r="H652" s="17"/>
      <c r="I652" s="15"/>
      <c r="J652" s="25">
        <f>IF($D652="","",IFERROR(INDEX(PacNome,MATCH($D652,PacCod,0)),"Paciente não cadastrado"))</f>
        <v>0</v>
      </c>
      <c r="K652" s="26">
        <f>IF($D652="","",IFERROR(INDEX(PacConv,MATCH($D652,PacCod,0))&amp;"",""))</f>
        <v>0</v>
      </c>
      <c r="L652" s="26">
        <f>IF($A652="","",CHOOSE(WEEKDAY($A652,2),"Seg","Ter","Qua","Qui","Sex","Sáb","Dom"))</f>
        <v>0</v>
      </c>
      <c r="M652" s="27">
        <f>IF($E652="","",IF($G652&lt;&gt;"",$G652,IFERROR(INDEX(ProcValor,MATCH($E652,ProcNome,0)),0)))</f>
        <v>0</v>
      </c>
      <c r="N652" s="27">
        <f>IF($M652="","",IF($F652="Compareceu",$M652,0))</f>
        <v>0</v>
      </c>
      <c r="O652" s="27">
        <f>IF($M652="","",IF($F652="Faltou",$M652,0))</f>
        <v>0</v>
      </c>
      <c r="P652" s="27">
        <f>IF($M652="","",IF($F652="Compareceu",MAX(0,$M652-N($H652)),0))</f>
        <v>0</v>
      </c>
      <c r="Q652" s="19">
        <f>IF(AND($F652="Compareceu",$E652&lt;&gt;"",$A652&lt;&gt;""),IF(IFERROR(INDEX(ProcRet,MATCH($E652,ProcNome,0)),0)&gt;0,$A652+INDEX(ProcRet,MATCH($E652,ProcNome,0)),""),"")</f>
        <v>0</v>
      </c>
      <c r="R652" s="26">
        <f>IF($Q652="","",IF(COUNTIFS(AgPac,$D652,AgData,"&gt;"&amp;$A652,AgStatus,"&lt;&gt;Cancelado",AgStatus,"&lt;&gt;Remarcado")&gt;0,"Sim","Não"))</f>
        <v>0</v>
      </c>
      <c r="S652" s="28">
        <f>IF($A652="","",IF(AND($F652="Agendado",$A652-Hoje&gt;=0,$A652-Hoje&lt;=DiasConf),"CONFIRMAR",IF(AND($A652&lt;Hoje,OR($F652="Agendado",$F652="Confirmado")),"Atualizar status",IF(AND($F652="Compareceu",$P652&gt;0.005),"Cobrar",IF($F652="Faltou","Falta: reagendar","")))))</f>
        <v>0</v>
      </c>
      <c r="T652" s="29">
        <f>IF($A652="","",DATE(YEAR($A652),MONTH($A652),1))</f>
        <v>0</v>
      </c>
      <c r="U652" s="30">
        <f>IF($S652="CONFIRMAR",MAX($U$4:$U651)+1,"")</f>
        <v>0</v>
      </c>
      <c r="V652" s="30">
        <f>IF(AND($R652="Não",$Q652&lt;&gt;"",$Q652&lt;=Hoje+JanelaRet,$Q652&gt;=Hoje-60),MAX($V$4:$V651)+1,"")</f>
        <v>0</v>
      </c>
    </row>
    <row r="653" spans="1:22">
      <c r="A653" s="16"/>
      <c r="B653" s="23"/>
      <c r="C653" s="15"/>
      <c r="D653" s="15"/>
      <c r="E653" s="15"/>
      <c r="F653" s="24"/>
      <c r="G653" s="17"/>
      <c r="H653" s="17"/>
      <c r="I653" s="15"/>
      <c r="J653" s="25">
        <f>IF($D653="","",IFERROR(INDEX(PacNome,MATCH($D653,PacCod,0)),"Paciente não cadastrado"))</f>
        <v>0</v>
      </c>
      <c r="K653" s="26">
        <f>IF($D653="","",IFERROR(INDEX(PacConv,MATCH($D653,PacCod,0))&amp;"",""))</f>
        <v>0</v>
      </c>
      <c r="L653" s="26">
        <f>IF($A653="","",CHOOSE(WEEKDAY($A653,2),"Seg","Ter","Qua","Qui","Sex","Sáb","Dom"))</f>
        <v>0</v>
      </c>
      <c r="M653" s="27">
        <f>IF($E653="","",IF($G653&lt;&gt;"",$G653,IFERROR(INDEX(ProcValor,MATCH($E653,ProcNome,0)),0)))</f>
        <v>0</v>
      </c>
      <c r="N653" s="27">
        <f>IF($M653="","",IF($F653="Compareceu",$M653,0))</f>
        <v>0</v>
      </c>
      <c r="O653" s="27">
        <f>IF($M653="","",IF($F653="Faltou",$M653,0))</f>
        <v>0</v>
      </c>
      <c r="P653" s="27">
        <f>IF($M653="","",IF($F653="Compareceu",MAX(0,$M653-N($H653)),0))</f>
        <v>0</v>
      </c>
      <c r="Q653" s="19">
        <f>IF(AND($F653="Compareceu",$E653&lt;&gt;"",$A653&lt;&gt;""),IF(IFERROR(INDEX(ProcRet,MATCH($E653,ProcNome,0)),0)&gt;0,$A653+INDEX(ProcRet,MATCH($E653,ProcNome,0)),""),"")</f>
        <v>0</v>
      </c>
      <c r="R653" s="26">
        <f>IF($Q653="","",IF(COUNTIFS(AgPac,$D653,AgData,"&gt;"&amp;$A653,AgStatus,"&lt;&gt;Cancelado",AgStatus,"&lt;&gt;Remarcado")&gt;0,"Sim","Não"))</f>
        <v>0</v>
      </c>
      <c r="S653" s="28">
        <f>IF($A653="","",IF(AND($F653="Agendado",$A653-Hoje&gt;=0,$A653-Hoje&lt;=DiasConf),"CONFIRMAR",IF(AND($A653&lt;Hoje,OR($F653="Agendado",$F653="Confirmado")),"Atualizar status",IF(AND($F653="Compareceu",$P653&gt;0.005),"Cobrar",IF($F653="Faltou","Falta: reagendar","")))))</f>
        <v>0</v>
      </c>
      <c r="T653" s="29">
        <f>IF($A653="","",DATE(YEAR($A653),MONTH($A653),1))</f>
        <v>0</v>
      </c>
      <c r="U653" s="30">
        <f>IF($S653="CONFIRMAR",MAX($U$4:$U652)+1,"")</f>
        <v>0</v>
      </c>
      <c r="V653" s="30">
        <f>IF(AND($R653="Não",$Q653&lt;&gt;"",$Q653&lt;=Hoje+JanelaRet,$Q653&gt;=Hoje-60),MAX($V$4:$V652)+1,"")</f>
        <v>0</v>
      </c>
    </row>
    <row r="654" spans="1:22">
      <c r="A654" s="16"/>
      <c r="B654" s="23"/>
      <c r="C654" s="15"/>
      <c r="D654" s="15"/>
      <c r="E654" s="15"/>
      <c r="F654" s="24"/>
      <c r="G654" s="17"/>
      <c r="H654" s="17"/>
      <c r="I654" s="15"/>
      <c r="J654" s="25">
        <f>IF($D654="","",IFERROR(INDEX(PacNome,MATCH($D654,PacCod,0)),"Paciente não cadastrado"))</f>
        <v>0</v>
      </c>
      <c r="K654" s="26">
        <f>IF($D654="","",IFERROR(INDEX(PacConv,MATCH($D654,PacCod,0))&amp;"",""))</f>
        <v>0</v>
      </c>
      <c r="L654" s="26">
        <f>IF($A654="","",CHOOSE(WEEKDAY($A654,2),"Seg","Ter","Qua","Qui","Sex","Sáb","Dom"))</f>
        <v>0</v>
      </c>
      <c r="M654" s="27">
        <f>IF($E654="","",IF($G654&lt;&gt;"",$G654,IFERROR(INDEX(ProcValor,MATCH($E654,ProcNome,0)),0)))</f>
        <v>0</v>
      </c>
      <c r="N654" s="27">
        <f>IF($M654="","",IF($F654="Compareceu",$M654,0))</f>
        <v>0</v>
      </c>
      <c r="O654" s="27">
        <f>IF($M654="","",IF($F654="Faltou",$M654,0))</f>
        <v>0</v>
      </c>
      <c r="P654" s="27">
        <f>IF($M654="","",IF($F654="Compareceu",MAX(0,$M654-N($H654)),0))</f>
        <v>0</v>
      </c>
      <c r="Q654" s="19">
        <f>IF(AND($F654="Compareceu",$E654&lt;&gt;"",$A654&lt;&gt;""),IF(IFERROR(INDEX(ProcRet,MATCH($E654,ProcNome,0)),0)&gt;0,$A654+INDEX(ProcRet,MATCH($E654,ProcNome,0)),""),"")</f>
        <v>0</v>
      </c>
      <c r="R654" s="26">
        <f>IF($Q654="","",IF(COUNTIFS(AgPac,$D654,AgData,"&gt;"&amp;$A654,AgStatus,"&lt;&gt;Cancelado",AgStatus,"&lt;&gt;Remarcado")&gt;0,"Sim","Não"))</f>
        <v>0</v>
      </c>
      <c r="S654" s="28">
        <f>IF($A654="","",IF(AND($F654="Agendado",$A654-Hoje&gt;=0,$A654-Hoje&lt;=DiasConf),"CONFIRMAR",IF(AND($A654&lt;Hoje,OR($F654="Agendado",$F654="Confirmado")),"Atualizar status",IF(AND($F654="Compareceu",$P654&gt;0.005),"Cobrar",IF($F654="Faltou","Falta: reagendar","")))))</f>
        <v>0</v>
      </c>
      <c r="T654" s="29">
        <f>IF($A654="","",DATE(YEAR($A654),MONTH($A654),1))</f>
        <v>0</v>
      </c>
      <c r="U654" s="30">
        <f>IF($S654="CONFIRMAR",MAX($U$4:$U653)+1,"")</f>
        <v>0</v>
      </c>
      <c r="V654" s="30">
        <f>IF(AND($R654="Não",$Q654&lt;&gt;"",$Q654&lt;=Hoje+JanelaRet,$Q654&gt;=Hoje-60),MAX($V$4:$V653)+1,"")</f>
        <v>0</v>
      </c>
    </row>
    <row r="655" spans="1:22">
      <c r="A655" s="16"/>
      <c r="B655" s="23"/>
      <c r="C655" s="15"/>
      <c r="D655" s="15"/>
      <c r="E655" s="15"/>
      <c r="F655" s="24"/>
      <c r="G655" s="17"/>
      <c r="H655" s="17"/>
      <c r="I655" s="15"/>
      <c r="J655" s="25">
        <f>IF($D655="","",IFERROR(INDEX(PacNome,MATCH($D655,PacCod,0)),"Paciente não cadastrado"))</f>
        <v>0</v>
      </c>
      <c r="K655" s="26">
        <f>IF($D655="","",IFERROR(INDEX(PacConv,MATCH($D655,PacCod,0))&amp;"",""))</f>
        <v>0</v>
      </c>
      <c r="L655" s="26">
        <f>IF($A655="","",CHOOSE(WEEKDAY($A655,2),"Seg","Ter","Qua","Qui","Sex","Sáb","Dom"))</f>
        <v>0</v>
      </c>
      <c r="M655" s="27">
        <f>IF($E655="","",IF($G655&lt;&gt;"",$G655,IFERROR(INDEX(ProcValor,MATCH($E655,ProcNome,0)),0)))</f>
        <v>0</v>
      </c>
      <c r="N655" s="27">
        <f>IF($M655="","",IF($F655="Compareceu",$M655,0))</f>
        <v>0</v>
      </c>
      <c r="O655" s="27">
        <f>IF($M655="","",IF($F655="Faltou",$M655,0))</f>
        <v>0</v>
      </c>
      <c r="P655" s="27">
        <f>IF($M655="","",IF($F655="Compareceu",MAX(0,$M655-N($H655)),0))</f>
        <v>0</v>
      </c>
      <c r="Q655" s="19">
        <f>IF(AND($F655="Compareceu",$E655&lt;&gt;"",$A655&lt;&gt;""),IF(IFERROR(INDEX(ProcRet,MATCH($E655,ProcNome,0)),0)&gt;0,$A655+INDEX(ProcRet,MATCH($E655,ProcNome,0)),""),"")</f>
        <v>0</v>
      </c>
      <c r="R655" s="26">
        <f>IF($Q655="","",IF(COUNTIFS(AgPac,$D655,AgData,"&gt;"&amp;$A655,AgStatus,"&lt;&gt;Cancelado",AgStatus,"&lt;&gt;Remarcado")&gt;0,"Sim","Não"))</f>
        <v>0</v>
      </c>
      <c r="S655" s="28">
        <f>IF($A655="","",IF(AND($F655="Agendado",$A655-Hoje&gt;=0,$A655-Hoje&lt;=DiasConf),"CONFIRMAR",IF(AND($A655&lt;Hoje,OR($F655="Agendado",$F655="Confirmado")),"Atualizar status",IF(AND($F655="Compareceu",$P655&gt;0.005),"Cobrar",IF($F655="Faltou","Falta: reagendar","")))))</f>
        <v>0</v>
      </c>
      <c r="T655" s="29">
        <f>IF($A655="","",DATE(YEAR($A655),MONTH($A655),1))</f>
        <v>0</v>
      </c>
      <c r="U655" s="30">
        <f>IF($S655="CONFIRMAR",MAX($U$4:$U654)+1,"")</f>
        <v>0</v>
      </c>
      <c r="V655" s="30">
        <f>IF(AND($R655="Não",$Q655&lt;&gt;"",$Q655&lt;=Hoje+JanelaRet,$Q655&gt;=Hoje-60),MAX($V$4:$V654)+1,"")</f>
        <v>0</v>
      </c>
    </row>
    <row r="656" spans="1:22">
      <c r="A656" s="16"/>
      <c r="B656" s="23"/>
      <c r="C656" s="15"/>
      <c r="D656" s="15"/>
      <c r="E656" s="15"/>
      <c r="F656" s="24"/>
      <c r="G656" s="17"/>
      <c r="H656" s="17"/>
      <c r="I656" s="15"/>
      <c r="J656" s="25">
        <f>IF($D656="","",IFERROR(INDEX(PacNome,MATCH($D656,PacCod,0)),"Paciente não cadastrado"))</f>
        <v>0</v>
      </c>
      <c r="K656" s="26">
        <f>IF($D656="","",IFERROR(INDEX(PacConv,MATCH($D656,PacCod,0))&amp;"",""))</f>
        <v>0</v>
      </c>
      <c r="L656" s="26">
        <f>IF($A656="","",CHOOSE(WEEKDAY($A656,2),"Seg","Ter","Qua","Qui","Sex","Sáb","Dom"))</f>
        <v>0</v>
      </c>
      <c r="M656" s="27">
        <f>IF($E656="","",IF($G656&lt;&gt;"",$G656,IFERROR(INDEX(ProcValor,MATCH($E656,ProcNome,0)),0)))</f>
        <v>0</v>
      </c>
      <c r="N656" s="27">
        <f>IF($M656="","",IF($F656="Compareceu",$M656,0))</f>
        <v>0</v>
      </c>
      <c r="O656" s="27">
        <f>IF($M656="","",IF($F656="Faltou",$M656,0))</f>
        <v>0</v>
      </c>
      <c r="P656" s="27">
        <f>IF($M656="","",IF($F656="Compareceu",MAX(0,$M656-N($H656)),0))</f>
        <v>0</v>
      </c>
      <c r="Q656" s="19">
        <f>IF(AND($F656="Compareceu",$E656&lt;&gt;"",$A656&lt;&gt;""),IF(IFERROR(INDEX(ProcRet,MATCH($E656,ProcNome,0)),0)&gt;0,$A656+INDEX(ProcRet,MATCH($E656,ProcNome,0)),""),"")</f>
        <v>0</v>
      </c>
      <c r="R656" s="26">
        <f>IF($Q656="","",IF(COUNTIFS(AgPac,$D656,AgData,"&gt;"&amp;$A656,AgStatus,"&lt;&gt;Cancelado",AgStatus,"&lt;&gt;Remarcado")&gt;0,"Sim","Não"))</f>
        <v>0</v>
      </c>
      <c r="S656" s="28">
        <f>IF($A656="","",IF(AND($F656="Agendado",$A656-Hoje&gt;=0,$A656-Hoje&lt;=DiasConf),"CONFIRMAR",IF(AND($A656&lt;Hoje,OR($F656="Agendado",$F656="Confirmado")),"Atualizar status",IF(AND($F656="Compareceu",$P656&gt;0.005),"Cobrar",IF($F656="Faltou","Falta: reagendar","")))))</f>
        <v>0</v>
      </c>
      <c r="T656" s="29">
        <f>IF($A656="","",DATE(YEAR($A656),MONTH($A656),1))</f>
        <v>0</v>
      </c>
      <c r="U656" s="30">
        <f>IF($S656="CONFIRMAR",MAX($U$4:$U655)+1,"")</f>
        <v>0</v>
      </c>
      <c r="V656" s="30">
        <f>IF(AND($R656="Não",$Q656&lt;&gt;"",$Q656&lt;=Hoje+JanelaRet,$Q656&gt;=Hoje-60),MAX($V$4:$V655)+1,"")</f>
        <v>0</v>
      </c>
    </row>
    <row r="657" spans="1:22">
      <c r="A657" s="16"/>
      <c r="B657" s="23"/>
      <c r="C657" s="15"/>
      <c r="D657" s="15"/>
      <c r="E657" s="15"/>
      <c r="F657" s="24"/>
      <c r="G657" s="17"/>
      <c r="H657" s="17"/>
      <c r="I657" s="15"/>
      <c r="J657" s="25">
        <f>IF($D657="","",IFERROR(INDEX(PacNome,MATCH($D657,PacCod,0)),"Paciente não cadastrado"))</f>
        <v>0</v>
      </c>
      <c r="K657" s="26">
        <f>IF($D657="","",IFERROR(INDEX(PacConv,MATCH($D657,PacCod,0))&amp;"",""))</f>
        <v>0</v>
      </c>
      <c r="L657" s="26">
        <f>IF($A657="","",CHOOSE(WEEKDAY($A657,2),"Seg","Ter","Qua","Qui","Sex","Sáb","Dom"))</f>
        <v>0</v>
      </c>
      <c r="M657" s="27">
        <f>IF($E657="","",IF($G657&lt;&gt;"",$G657,IFERROR(INDEX(ProcValor,MATCH($E657,ProcNome,0)),0)))</f>
        <v>0</v>
      </c>
      <c r="N657" s="27">
        <f>IF($M657="","",IF($F657="Compareceu",$M657,0))</f>
        <v>0</v>
      </c>
      <c r="O657" s="27">
        <f>IF($M657="","",IF($F657="Faltou",$M657,0))</f>
        <v>0</v>
      </c>
      <c r="P657" s="27">
        <f>IF($M657="","",IF($F657="Compareceu",MAX(0,$M657-N($H657)),0))</f>
        <v>0</v>
      </c>
      <c r="Q657" s="19">
        <f>IF(AND($F657="Compareceu",$E657&lt;&gt;"",$A657&lt;&gt;""),IF(IFERROR(INDEX(ProcRet,MATCH($E657,ProcNome,0)),0)&gt;0,$A657+INDEX(ProcRet,MATCH($E657,ProcNome,0)),""),"")</f>
        <v>0</v>
      </c>
      <c r="R657" s="26">
        <f>IF($Q657="","",IF(COUNTIFS(AgPac,$D657,AgData,"&gt;"&amp;$A657,AgStatus,"&lt;&gt;Cancelado",AgStatus,"&lt;&gt;Remarcado")&gt;0,"Sim","Não"))</f>
        <v>0</v>
      </c>
      <c r="S657" s="28">
        <f>IF($A657="","",IF(AND($F657="Agendado",$A657-Hoje&gt;=0,$A657-Hoje&lt;=DiasConf),"CONFIRMAR",IF(AND($A657&lt;Hoje,OR($F657="Agendado",$F657="Confirmado")),"Atualizar status",IF(AND($F657="Compareceu",$P657&gt;0.005),"Cobrar",IF($F657="Faltou","Falta: reagendar","")))))</f>
        <v>0</v>
      </c>
      <c r="T657" s="29">
        <f>IF($A657="","",DATE(YEAR($A657),MONTH($A657),1))</f>
        <v>0</v>
      </c>
      <c r="U657" s="30">
        <f>IF($S657="CONFIRMAR",MAX($U$4:$U656)+1,"")</f>
        <v>0</v>
      </c>
      <c r="V657" s="30">
        <f>IF(AND($R657="Não",$Q657&lt;&gt;"",$Q657&lt;=Hoje+JanelaRet,$Q657&gt;=Hoje-60),MAX($V$4:$V656)+1,"")</f>
        <v>0</v>
      </c>
    </row>
    <row r="658" spans="1:22">
      <c r="A658" s="16"/>
      <c r="B658" s="23"/>
      <c r="C658" s="15"/>
      <c r="D658" s="15"/>
      <c r="E658" s="15"/>
      <c r="F658" s="24"/>
      <c r="G658" s="17"/>
      <c r="H658" s="17"/>
      <c r="I658" s="15"/>
      <c r="J658" s="25">
        <f>IF($D658="","",IFERROR(INDEX(PacNome,MATCH($D658,PacCod,0)),"Paciente não cadastrado"))</f>
        <v>0</v>
      </c>
      <c r="K658" s="26">
        <f>IF($D658="","",IFERROR(INDEX(PacConv,MATCH($D658,PacCod,0))&amp;"",""))</f>
        <v>0</v>
      </c>
      <c r="L658" s="26">
        <f>IF($A658="","",CHOOSE(WEEKDAY($A658,2),"Seg","Ter","Qua","Qui","Sex","Sáb","Dom"))</f>
        <v>0</v>
      </c>
      <c r="M658" s="27">
        <f>IF($E658="","",IF($G658&lt;&gt;"",$G658,IFERROR(INDEX(ProcValor,MATCH($E658,ProcNome,0)),0)))</f>
        <v>0</v>
      </c>
      <c r="N658" s="27">
        <f>IF($M658="","",IF($F658="Compareceu",$M658,0))</f>
        <v>0</v>
      </c>
      <c r="O658" s="27">
        <f>IF($M658="","",IF($F658="Faltou",$M658,0))</f>
        <v>0</v>
      </c>
      <c r="P658" s="27">
        <f>IF($M658="","",IF($F658="Compareceu",MAX(0,$M658-N($H658)),0))</f>
        <v>0</v>
      </c>
      <c r="Q658" s="19">
        <f>IF(AND($F658="Compareceu",$E658&lt;&gt;"",$A658&lt;&gt;""),IF(IFERROR(INDEX(ProcRet,MATCH($E658,ProcNome,0)),0)&gt;0,$A658+INDEX(ProcRet,MATCH($E658,ProcNome,0)),""),"")</f>
        <v>0</v>
      </c>
      <c r="R658" s="26">
        <f>IF($Q658="","",IF(COUNTIFS(AgPac,$D658,AgData,"&gt;"&amp;$A658,AgStatus,"&lt;&gt;Cancelado",AgStatus,"&lt;&gt;Remarcado")&gt;0,"Sim","Não"))</f>
        <v>0</v>
      </c>
      <c r="S658" s="28">
        <f>IF($A658="","",IF(AND($F658="Agendado",$A658-Hoje&gt;=0,$A658-Hoje&lt;=DiasConf),"CONFIRMAR",IF(AND($A658&lt;Hoje,OR($F658="Agendado",$F658="Confirmado")),"Atualizar status",IF(AND($F658="Compareceu",$P658&gt;0.005),"Cobrar",IF($F658="Faltou","Falta: reagendar","")))))</f>
        <v>0</v>
      </c>
      <c r="T658" s="29">
        <f>IF($A658="","",DATE(YEAR($A658),MONTH($A658),1))</f>
        <v>0</v>
      </c>
      <c r="U658" s="30">
        <f>IF($S658="CONFIRMAR",MAX($U$4:$U657)+1,"")</f>
        <v>0</v>
      </c>
      <c r="V658" s="30">
        <f>IF(AND($R658="Não",$Q658&lt;&gt;"",$Q658&lt;=Hoje+JanelaRet,$Q658&gt;=Hoje-60),MAX($V$4:$V657)+1,"")</f>
        <v>0</v>
      </c>
    </row>
    <row r="659" spans="1:22">
      <c r="A659" s="16"/>
      <c r="B659" s="23"/>
      <c r="C659" s="15"/>
      <c r="D659" s="15"/>
      <c r="E659" s="15"/>
      <c r="F659" s="24"/>
      <c r="G659" s="17"/>
      <c r="H659" s="17"/>
      <c r="I659" s="15"/>
      <c r="J659" s="25">
        <f>IF($D659="","",IFERROR(INDEX(PacNome,MATCH($D659,PacCod,0)),"Paciente não cadastrado"))</f>
        <v>0</v>
      </c>
      <c r="K659" s="26">
        <f>IF($D659="","",IFERROR(INDEX(PacConv,MATCH($D659,PacCod,0))&amp;"",""))</f>
        <v>0</v>
      </c>
      <c r="L659" s="26">
        <f>IF($A659="","",CHOOSE(WEEKDAY($A659,2),"Seg","Ter","Qua","Qui","Sex","Sáb","Dom"))</f>
        <v>0</v>
      </c>
      <c r="M659" s="27">
        <f>IF($E659="","",IF($G659&lt;&gt;"",$G659,IFERROR(INDEX(ProcValor,MATCH($E659,ProcNome,0)),0)))</f>
        <v>0</v>
      </c>
      <c r="N659" s="27">
        <f>IF($M659="","",IF($F659="Compareceu",$M659,0))</f>
        <v>0</v>
      </c>
      <c r="O659" s="27">
        <f>IF($M659="","",IF($F659="Faltou",$M659,0))</f>
        <v>0</v>
      </c>
      <c r="P659" s="27">
        <f>IF($M659="","",IF($F659="Compareceu",MAX(0,$M659-N($H659)),0))</f>
        <v>0</v>
      </c>
      <c r="Q659" s="19">
        <f>IF(AND($F659="Compareceu",$E659&lt;&gt;"",$A659&lt;&gt;""),IF(IFERROR(INDEX(ProcRet,MATCH($E659,ProcNome,0)),0)&gt;0,$A659+INDEX(ProcRet,MATCH($E659,ProcNome,0)),""),"")</f>
        <v>0</v>
      </c>
      <c r="R659" s="26">
        <f>IF($Q659="","",IF(COUNTIFS(AgPac,$D659,AgData,"&gt;"&amp;$A659,AgStatus,"&lt;&gt;Cancelado",AgStatus,"&lt;&gt;Remarcado")&gt;0,"Sim","Não"))</f>
        <v>0</v>
      </c>
      <c r="S659" s="28">
        <f>IF($A659="","",IF(AND($F659="Agendado",$A659-Hoje&gt;=0,$A659-Hoje&lt;=DiasConf),"CONFIRMAR",IF(AND($A659&lt;Hoje,OR($F659="Agendado",$F659="Confirmado")),"Atualizar status",IF(AND($F659="Compareceu",$P659&gt;0.005),"Cobrar",IF($F659="Faltou","Falta: reagendar","")))))</f>
        <v>0</v>
      </c>
      <c r="T659" s="29">
        <f>IF($A659="","",DATE(YEAR($A659),MONTH($A659),1))</f>
        <v>0</v>
      </c>
      <c r="U659" s="30">
        <f>IF($S659="CONFIRMAR",MAX($U$4:$U658)+1,"")</f>
        <v>0</v>
      </c>
      <c r="V659" s="30">
        <f>IF(AND($R659="Não",$Q659&lt;&gt;"",$Q659&lt;=Hoje+JanelaRet,$Q659&gt;=Hoje-60),MAX($V$4:$V658)+1,"")</f>
        <v>0</v>
      </c>
    </row>
    <row r="660" spans="1:22">
      <c r="A660" s="16"/>
      <c r="B660" s="23"/>
      <c r="C660" s="15"/>
      <c r="D660" s="15"/>
      <c r="E660" s="15"/>
      <c r="F660" s="24"/>
      <c r="G660" s="17"/>
      <c r="H660" s="17"/>
      <c r="I660" s="15"/>
      <c r="J660" s="25">
        <f>IF($D660="","",IFERROR(INDEX(PacNome,MATCH($D660,PacCod,0)),"Paciente não cadastrado"))</f>
        <v>0</v>
      </c>
      <c r="K660" s="26">
        <f>IF($D660="","",IFERROR(INDEX(PacConv,MATCH($D660,PacCod,0))&amp;"",""))</f>
        <v>0</v>
      </c>
      <c r="L660" s="26">
        <f>IF($A660="","",CHOOSE(WEEKDAY($A660,2),"Seg","Ter","Qua","Qui","Sex","Sáb","Dom"))</f>
        <v>0</v>
      </c>
      <c r="M660" s="27">
        <f>IF($E660="","",IF($G660&lt;&gt;"",$G660,IFERROR(INDEX(ProcValor,MATCH($E660,ProcNome,0)),0)))</f>
        <v>0</v>
      </c>
      <c r="N660" s="27">
        <f>IF($M660="","",IF($F660="Compareceu",$M660,0))</f>
        <v>0</v>
      </c>
      <c r="O660" s="27">
        <f>IF($M660="","",IF($F660="Faltou",$M660,0))</f>
        <v>0</v>
      </c>
      <c r="P660" s="27">
        <f>IF($M660="","",IF($F660="Compareceu",MAX(0,$M660-N($H660)),0))</f>
        <v>0</v>
      </c>
      <c r="Q660" s="19">
        <f>IF(AND($F660="Compareceu",$E660&lt;&gt;"",$A660&lt;&gt;""),IF(IFERROR(INDEX(ProcRet,MATCH($E660,ProcNome,0)),0)&gt;0,$A660+INDEX(ProcRet,MATCH($E660,ProcNome,0)),""),"")</f>
        <v>0</v>
      </c>
      <c r="R660" s="26">
        <f>IF($Q660="","",IF(COUNTIFS(AgPac,$D660,AgData,"&gt;"&amp;$A660,AgStatus,"&lt;&gt;Cancelado",AgStatus,"&lt;&gt;Remarcado")&gt;0,"Sim","Não"))</f>
        <v>0</v>
      </c>
      <c r="S660" s="28">
        <f>IF($A660="","",IF(AND($F660="Agendado",$A660-Hoje&gt;=0,$A660-Hoje&lt;=DiasConf),"CONFIRMAR",IF(AND($A660&lt;Hoje,OR($F660="Agendado",$F660="Confirmado")),"Atualizar status",IF(AND($F660="Compareceu",$P660&gt;0.005),"Cobrar",IF($F660="Faltou","Falta: reagendar","")))))</f>
        <v>0</v>
      </c>
      <c r="T660" s="29">
        <f>IF($A660="","",DATE(YEAR($A660),MONTH($A660),1))</f>
        <v>0</v>
      </c>
      <c r="U660" s="30">
        <f>IF($S660="CONFIRMAR",MAX($U$4:$U659)+1,"")</f>
        <v>0</v>
      </c>
      <c r="V660" s="30">
        <f>IF(AND($R660="Não",$Q660&lt;&gt;"",$Q660&lt;=Hoje+JanelaRet,$Q660&gt;=Hoje-60),MAX($V$4:$V659)+1,"")</f>
        <v>0</v>
      </c>
    </row>
    <row r="661" spans="1:22">
      <c r="A661" s="16"/>
      <c r="B661" s="23"/>
      <c r="C661" s="15"/>
      <c r="D661" s="15"/>
      <c r="E661" s="15"/>
      <c r="F661" s="24"/>
      <c r="G661" s="17"/>
      <c r="H661" s="17"/>
      <c r="I661" s="15"/>
      <c r="J661" s="25">
        <f>IF($D661="","",IFERROR(INDEX(PacNome,MATCH($D661,PacCod,0)),"Paciente não cadastrado"))</f>
        <v>0</v>
      </c>
      <c r="K661" s="26">
        <f>IF($D661="","",IFERROR(INDEX(PacConv,MATCH($D661,PacCod,0))&amp;"",""))</f>
        <v>0</v>
      </c>
      <c r="L661" s="26">
        <f>IF($A661="","",CHOOSE(WEEKDAY($A661,2),"Seg","Ter","Qua","Qui","Sex","Sáb","Dom"))</f>
        <v>0</v>
      </c>
      <c r="M661" s="27">
        <f>IF($E661="","",IF($G661&lt;&gt;"",$G661,IFERROR(INDEX(ProcValor,MATCH($E661,ProcNome,0)),0)))</f>
        <v>0</v>
      </c>
      <c r="N661" s="27">
        <f>IF($M661="","",IF($F661="Compareceu",$M661,0))</f>
        <v>0</v>
      </c>
      <c r="O661" s="27">
        <f>IF($M661="","",IF($F661="Faltou",$M661,0))</f>
        <v>0</v>
      </c>
      <c r="P661" s="27">
        <f>IF($M661="","",IF($F661="Compareceu",MAX(0,$M661-N($H661)),0))</f>
        <v>0</v>
      </c>
      <c r="Q661" s="19">
        <f>IF(AND($F661="Compareceu",$E661&lt;&gt;"",$A661&lt;&gt;""),IF(IFERROR(INDEX(ProcRet,MATCH($E661,ProcNome,0)),0)&gt;0,$A661+INDEX(ProcRet,MATCH($E661,ProcNome,0)),""),"")</f>
        <v>0</v>
      </c>
      <c r="R661" s="26">
        <f>IF($Q661="","",IF(COUNTIFS(AgPac,$D661,AgData,"&gt;"&amp;$A661,AgStatus,"&lt;&gt;Cancelado",AgStatus,"&lt;&gt;Remarcado")&gt;0,"Sim","Não"))</f>
        <v>0</v>
      </c>
      <c r="S661" s="28">
        <f>IF($A661="","",IF(AND($F661="Agendado",$A661-Hoje&gt;=0,$A661-Hoje&lt;=DiasConf),"CONFIRMAR",IF(AND($A661&lt;Hoje,OR($F661="Agendado",$F661="Confirmado")),"Atualizar status",IF(AND($F661="Compareceu",$P661&gt;0.005),"Cobrar",IF($F661="Faltou","Falta: reagendar","")))))</f>
        <v>0</v>
      </c>
      <c r="T661" s="29">
        <f>IF($A661="","",DATE(YEAR($A661),MONTH($A661),1))</f>
        <v>0</v>
      </c>
      <c r="U661" s="30">
        <f>IF($S661="CONFIRMAR",MAX($U$4:$U660)+1,"")</f>
        <v>0</v>
      </c>
      <c r="V661" s="30">
        <f>IF(AND($R661="Não",$Q661&lt;&gt;"",$Q661&lt;=Hoje+JanelaRet,$Q661&gt;=Hoje-60),MAX($V$4:$V660)+1,"")</f>
        <v>0</v>
      </c>
    </row>
    <row r="662" spans="1:22">
      <c r="A662" s="16"/>
      <c r="B662" s="23"/>
      <c r="C662" s="15"/>
      <c r="D662" s="15"/>
      <c r="E662" s="15"/>
      <c r="F662" s="24"/>
      <c r="G662" s="17"/>
      <c r="H662" s="17"/>
      <c r="I662" s="15"/>
      <c r="J662" s="25">
        <f>IF($D662="","",IFERROR(INDEX(PacNome,MATCH($D662,PacCod,0)),"Paciente não cadastrado"))</f>
        <v>0</v>
      </c>
      <c r="K662" s="26">
        <f>IF($D662="","",IFERROR(INDEX(PacConv,MATCH($D662,PacCod,0))&amp;"",""))</f>
        <v>0</v>
      </c>
      <c r="L662" s="26">
        <f>IF($A662="","",CHOOSE(WEEKDAY($A662,2),"Seg","Ter","Qua","Qui","Sex","Sáb","Dom"))</f>
        <v>0</v>
      </c>
      <c r="M662" s="27">
        <f>IF($E662="","",IF($G662&lt;&gt;"",$G662,IFERROR(INDEX(ProcValor,MATCH($E662,ProcNome,0)),0)))</f>
        <v>0</v>
      </c>
      <c r="N662" s="27">
        <f>IF($M662="","",IF($F662="Compareceu",$M662,0))</f>
        <v>0</v>
      </c>
      <c r="O662" s="27">
        <f>IF($M662="","",IF($F662="Faltou",$M662,0))</f>
        <v>0</v>
      </c>
      <c r="P662" s="27">
        <f>IF($M662="","",IF($F662="Compareceu",MAX(0,$M662-N($H662)),0))</f>
        <v>0</v>
      </c>
      <c r="Q662" s="19">
        <f>IF(AND($F662="Compareceu",$E662&lt;&gt;"",$A662&lt;&gt;""),IF(IFERROR(INDEX(ProcRet,MATCH($E662,ProcNome,0)),0)&gt;0,$A662+INDEX(ProcRet,MATCH($E662,ProcNome,0)),""),"")</f>
        <v>0</v>
      </c>
      <c r="R662" s="26">
        <f>IF($Q662="","",IF(COUNTIFS(AgPac,$D662,AgData,"&gt;"&amp;$A662,AgStatus,"&lt;&gt;Cancelado",AgStatus,"&lt;&gt;Remarcado")&gt;0,"Sim","Não"))</f>
        <v>0</v>
      </c>
      <c r="S662" s="28">
        <f>IF($A662="","",IF(AND($F662="Agendado",$A662-Hoje&gt;=0,$A662-Hoje&lt;=DiasConf),"CONFIRMAR",IF(AND($A662&lt;Hoje,OR($F662="Agendado",$F662="Confirmado")),"Atualizar status",IF(AND($F662="Compareceu",$P662&gt;0.005),"Cobrar",IF($F662="Faltou","Falta: reagendar","")))))</f>
        <v>0</v>
      </c>
      <c r="T662" s="29">
        <f>IF($A662="","",DATE(YEAR($A662),MONTH($A662),1))</f>
        <v>0</v>
      </c>
      <c r="U662" s="30">
        <f>IF($S662="CONFIRMAR",MAX($U$4:$U661)+1,"")</f>
        <v>0</v>
      </c>
      <c r="V662" s="30">
        <f>IF(AND($R662="Não",$Q662&lt;&gt;"",$Q662&lt;=Hoje+JanelaRet,$Q662&gt;=Hoje-60),MAX($V$4:$V661)+1,"")</f>
        <v>0</v>
      </c>
    </row>
    <row r="663" spans="1:22">
      <c r="A663" s="16"/>
      <c r="B663" s="23"/>
      <c r="C663" s="15"/>
      <c r="D663" s="15"/>
      <c r="E663" s="15"/>
      <c r="F663" s="24"/>
      <c r="G663" s="17"/>
      <c r="H663" s="17"/>
      <c r="I663" s="15"/>
      <c r="J663" s="25">
        <f>IF($D663="","",IFERROR(INDEX(PacNome,MATCH($D663,PacCod,0)),"Paciente não cadastrado"))</f>
        <v>0</v>
      </c>
      <c r="K663" s="26">
        <f>IF($D663="","",IFERROR(INDEX(PacConv,MATCH($D663,PacCod,0))&amp;"",""))</f>
        <v>0</v>
      </c>
      <c r="L663" s="26">
        <f>IF($A663="","",CHOOSE(WEEKDAY($A663,2),"Seg","Ter","Qua","Qui","Sex","Sáb","Dom"))</f>
        <v>0</v>
      </c>
      <c r="M663" s="27">
        <f>IF($E663="","",IF($G663&lt;&gt;"",$G663,IFERROR(INDEX(ProcValor,MATCH($E663,ProcNome,0)),0)))</f>
        <v>0</v>
      </c>
      <c r="N663" s="27">
        <f>IF($M663="","",IF($F663="Compareceu",$M663,0))</f>
        <v>0</v>
      </c>
      <c r="O663" s="27">
        <f>IF($M663="","",IF($F663="Faltou",$M663,0))</f>
        <v>0</v>
      </c>
      <c r="P663" s="27">
        <f>IF($M663="","",IF($F663="Compareceu",MAX(0,$M663-N($H663)),0))</f>
        <v>0</v>
      </c>
      <c r="Q663" s="19">
        <f>IF(AND($F663="Compareceu",$E663&lt;&gt;"",$A663&lt;&gt;""),IF(IFERROR(INDEX(ProcRet,MATCH($E663,ProcNome,0)),0)&gt;0,$A663+INDEX(ProcRet,MATCH($E663,ProcNome,0)),""),"")</f>
        <v>0</v>
      </c>
      <c r="R663" s="26">
        <f>IF($Q663="","",IF(COUNTIFS(AgPac,$D663,AgData,"&gt;"&amp;$A663,AgStatus,"&lt;&gt;Cancelado",AgStatus,"&lt;&gt;Remarcado")&gt;0,"Sim","Não"))</f>
        <v>0</v>
      </c>
      <c r="S663" s="28">
        <f>IF($A663="","",IF(AND($F663="Agendado",$A663-Hoje&gt;=0,$A663-Hoje&lt;=DiasConf),"CONFIRMAR",IF(AND($A663&lt;Hoje,OR($F663="Agendado",$F663="Confirmado")),"Atualizar status",IF(AND($F663="Compareceu",$P663&gt;0.005),"Cobrar",IF($F663="Faltou","Falta: reagendar","")))))</f>
        <v>0</v>
      </c>
      <c r="T663" s="29">
        <f>IF($A663="","",DATE(YEAR($A663),MONTH($A663),1))</f>
        <v>0</v>
      </c>
      <c r="U663" s="30">
        <f>IF($S663="CONFIRMAR",MAX($U$4:$U662)+1,"")</f>
        <v>0</v>
      </c>
      <c r="V663" s="30">
        <f>IF(AND($R663="Não",$Q663&lt;&gt;"",$Q663&lt;=Hoje+JanelaRet,$Q663&gt;=Hoje-60),MAX($V$4:$V662)+1,"")</f>
        <v>0</v>
      </c>
    </row>
    <row r="664" spans="1:22">
      <c r="A664" s="16"/>
      <c r="B664" s="23"/>
      <c r="C664" s="15"/>
      <c r="D664" s="15"/>
      <c r="E664" s="15"/>
      <c r="F664" s="24"/>
      <c r="G664" s="17"/>
      <c r="H664" s="17"/>
      <c r="I664" s="15"/>
      <c r="J664" s="25">
        <f>IF($D664="","",IFERROR(INDEX(PacNome,MATCH($D664,PacCod,0)),"Paciente não cadastrado"))</f>
        <v>0</v>
      </c>
      <c r="K664" s="26">
        <f>IF($D664="","",IFERROR(INDEX(PacConv,MATCH($D664,PacCod,0))&amp;"",""))</f>
        <v>0</v>
      </c>
      <c r="L664" s="26">
        <f>IF($A664="","",CHOOSE(WEEKDAY($A664,2),"Seg","Ter","Qua","Qui","Sex","Sáb","Dom"))</f>
        <v>0</v>
      </c>
      <c r="M664" s="27">
        <f>IF($E664="","",IF($G664&lt;&gt;"",$G664,IFERROR(INDEX(ProcValor,MATCH($E664,ProcNome,0)),0)))</f>
        <v>0</v>
      </c>
      <c r="N664" s="27">
        <f>IF($M664="","",IF($F664="Compareceu",$M664,0))</f>
        <v>0</v>
      </c>
      <c r="O664" s="27">
        <f>IF($M664="","",IF($F664="Faltou",$M664,0))</f>
        <v>0</v>
      </c>
      <c r="P664" s="27">
        <f>IF($M664="","",IF($F664="Compareceu",MAX(0,$M664-N($H664)),0))</f>
        <v>0</v>
      </c>
      <c r="Q664" s="19">
        <f>IF(AND($F664="Compareceu",$E664&lt;&gt;"",$A664&lt;&gt;""),IF(IFERROR(INDEX(ProcRet,MATCH($E664,ProcNome,0)),0)&gt;0,$A664+INDEX(ProcRet,MATCH($E664,ProcNome,0)),""),"")</f>
        <v>0</v>
      </c>
      <c r="R664" s="26">
        <f>IF($Q664="","",IF(COUNTIFS(AgPac,$D664,AgData,"&gt;"&amp;$A664,AgStatus,"&lt;&gt;Cancelado",AgStatus,"&lt;&gt;Remarcado")&gt;0,"Sim","Não"))</f>
        <v>0</v>
      </c>
      <c r="S664" s="28">
        <f>IF($A664="","",IF(AND($F664="Agendado",$A664-Hoje&gt;=0,$A664-Hoje&lt;=DiasConf),"CONFIRMAR",IF(AND($A664&lt;Hoje,OR($F664="Agendado",$F664="Confirmado")),"Atualizar status",IF(AND($F664="Compareceu",$P664&gt;0.005),"Cobrar",IF($F664="Faltou","Falta: reagendar","")))))</f>
        <v>0</v>
      </c>
      <c r="T664" s="29">
        <f>IF($A664="","",DATE(YEAR($A664),MONTH($A664),1))</f>
        <v>0</v>
      </c>
      <c r="U664" s="30">
        <f>IF($S664="CONFIRMAR",MAX($U$4:$U663)+1,"")</f>
        <v>0</v>
      </c>
      <c r="V664" s="30">
        <f>IF(AND($R664="Não",$Q664&lt;&gt;"",$Q664&lt;=Hoje+JanelaRet,$Q664&gt;=Hoje-60),MAX($V$4:$V663)+1,"")</f>
        <v>0</v>
      </c>
    </row>
    <row r="665" spans="1:22">
      <c r="A665" s="16"/>
      <c r="B665" s="23"/>
      <c r="C665" s="15"/>
      <c r="D665" s="15"/>
      <c r="E665" s="15"/>
      <c r="F665" s="24"/>
      <c r="G665" s="17"/>
      <c r="H665" s="17"/>
      <c r="I665" s="15"/>
      <c r="J665" s="25">
        <f>IF($D665="","",IFERROR(INDEX(PacNome,MATCH($D665,PacCod,0)),"Paciente não cadastrado"))</f>
        <v>0</v>
      </c>
      <c r="K665" s="26">
        <f>IF($D665="","",IFERROR(INDEX(PacConv,MATCH($D665,PacCod,0))&amp;"",""))</f>
        <v>0</v>
      </c>
      <c r="L665" s="26">
        <f>IF($A665="","",CHOOSE(WEEKDAY($A665,2),"Seg","Ter","Qua","Qui","Sex","Sáb","Dom"))</f>
        <v>0</v>
      </c>
      <c r="M665" s="27">
        <f>IF($E665="","",IF($G665&lt;&gt;"",$G665,IFERROR(INDEX(ProcValor,MATCH($E665,ProcNome,0)),0)))</f>
        <v>0</v>
      </c>
      <c r="N665" s="27">
        <f>IF($M665="","",IF($F665="Compareceu",$M665,0))</f>
        <v>0</v>
      </c>
      <c r="O665" s="27">
        <f>IF($M665="","",IF($F665="Faltou",$M665,0))</f>
        <v>0</v>
      </c>
      <c r="P665" s="27">
        <f>IF($M665="","",IF($F665="Compareceu",MAX(0,$M665-N($H665)),0))</f>
        <v>0</v>
      </c>
      <c r="Q665" s="19">
        <f>IF(AND($F665="Compareceu",$E665&lt;&gt;"",$A665&lt;&gt;""),IF(IFERROR(INDEX(ProcRet,MATCH($E665,ProcNome,0)),0)&gt;0,$A665+INDEX(ProcRet,MATCH($E665,ProcNome,0)),""),"")</f>
        <v>0</v>
      </c>
      <c r="R665" s="26">
        <f>IF($Q665="","",IF(COUNTIFS(AgPac,$D665,AgData,"&gt;"&amp;$A665,AgStatus,"&lt;&gt;Cancelado",AgStatus,"&lt;&gt;Remarcado")&gt;0,"Sim","Não"))</f>
        <v>0</v>
      </c>
      <c r="S665" s="28">
        <f>IF($A665="","",IF(AND($F665="Agendado",$A665-Hoje&gt;=0,$A665-Hoje&lt;=DiasConf),"CONFIRMAR",IF(AND($A665&lt;Hoje,OR($F665="Agendado",$F665="Confirmado")),"Atualizar status",IF(AND($F665="Compareceu",$P665&gt;0.005),"Cobrar",IF($F665="Faltou","Falta: reagendar","")))))</f>
        <v>0</v>
      </c>
      <c r="T665" s="29">
        <f>IF($A665="","",DATE(YEAR($A665),MONTH($A665),1))</f>
        <v>0</v>
      </c>
      <c r="U665" s="30">
        <f>IF($S665="CONFIRMAR",MAX($U$4:$U664)+1,"")</f>
        <v>0</v>
      </c>
      <c r="V665" s="30">
        <f>IF(AND($R665="Não",$Q665&lt;&gt;"",$Q665&lt;=Hoje+JanelaRet,$Q665&gt;=Hoje-60),MAX($V$4:$V664)+1,"")</f>
        <v>0</v>
      </c>
    </row>
    <row r="666" spans="1:22">
      <c r="A666" s="16"/>
      <c r="B666" s="23"/>
      <c r="C666" s="15"/>
      <c r="D666" s="15"/>
      <c r="E666" s="15"/>
      <c r="F666" s="24"/>
      <c r="G666" s="17"/>
      <c r="H666" s="17"/>
      <c r="I666" s="15"/>
      <c r="J666" s="25">
        <f>IF($D666="","",IFERROR(INDEX(PacNome,MATCH($D666,PacCod,0)),"Paciente não cadastrado"))</f>
        <v>0</v>
      </c>
      <c r="K666" s="26">
        <f>IF($D666="","",IFERROR(INDEX(PacConv,MATCH($D666,PacCod,0))&amp;"",""))</f>
        <v>0</v>
      </c>
      <c r="L666" s="26">
        <f>IF($A666="","",CHOOSE(WEEKDAY($A666,2),"Seg","Ter","Qua","Qui","Sex","Sáb","Dom"))</f>
        <v>0</v>
      </c>
      <c r="M666" s="27">
        <f>IF($E666="","",IF($G666&lt;&gt;"",$G666,IFERROR(INDEX(ProcValor,MATCH($E666,ProcNome,0)),0)))</f>
        <v>0</v>
      </c>
      <c r="N666" s="27">
        <f>IF($M666="","",IF($F666="Compareceu",$M666,0))</f>
        <v>0</v>
      </c>
      <c r="O666" s="27">
        <f>IF($M666="","",IF($F666="Faltou",$M666,0))</f>
        <v>0</v>
      </c>
      <c r="P666" s="27">
        <f>IF($M666="","",IF($F666="Compareceu",MAX(0,$M666-N($H666)),0))</f>
        <v>0</v>
      </c>
      <c r="Q666" s="19">
        <f>IF(AND($F666="Compareceu",$E666&lt;&gt;"",$A666&lt;&gt;""),IF(IFERROR(INDEX(ProcRet,MATCH($E666,ProcNome,0)),0)&gt;0,$A666+INDEX(ProcRet,MATCH($E666,ProcNome,0)),""),"")</f>
        <v>0</v>
      </c>
      <c r="R666" s="26">
        <f>IF($Q666="","",IF(COUNTIFS(AgPac,$D666,AgData,"&gt;"&amp;$A666,AgStatus,"&lt;&gt;Cancelado",AgStatus,"&lt;&gt;Remarcado")&gt;0,"Sim","Não"))</f>
        <v>0</v>
      </c>
      <c r="S666" s="28">
        <f>IF($A666="","",IF(AND($F666="Agendado",$A666-Hoje&gt;=0,$A666-Hoje&lt;=DiasConf),"CONFIRMAR",IF(AND($A666&lt;Hoje,OR($F666="Agendado",$F666="Confirmado")),"Atualizar status",IF(AND($F666="Compareceu",$P666&gt;0.005),"Cobrar",IF($F666="Faltou","Falta: reagendar","")))))</f>
        <v>0</v>
      </c>
      <c r="T666" s="29">
        <f>IF($A666="","",DATE(YEAR($A666),MONTH($A666),1))</f>
        <v>0</v>
      </c>
      <c r="U666" s="30">
        <f>IF($S666="CONFIRMAR",MAX($U$4:$U665)+1,"")</f>
        <v>0</v>
      </c>
      <c r="V666" s="30">
        <f>IF(AND($R666="Não",$Q666&lt;&gt;"",$Q666&lt;=Hoje+JanelaRet,$Q666&gt;=Hoje-60),MAX($V$4:$V665)+1,"")</f>
        <v>0</v>
      </c>
    </row>
    <row r="667" spans="1:22">
      <c r="A667" s="16"/>
      <c r="B667" s="23"/>
      <c r="C667" s="15"/>
      <c r="D667" s="15"/>
      <c r="E667" s="15"/>
      <c r="F667" s="24"/>
      <c r="G667" s="17"/>
      <c r="H667" s="17"/>
      <c r="I667" s="15"/>
      <c r="J667" s="25">
        <f>IF($D667="","",IFERROR(INDEX(PacNome,MATCH($D667,PacCod,0)),"Paciente não cadastrado"))</f>
        <v>0</v>
      </c>
      <c r="K667" s="26">
        <f>IF($D667="","",IFERROR(INDEX(PacConv,MATCH($D667,PacCod,0))&amp;"",""))</f>
        <v>0</v>
      </c>
      <c r="L667" s="26">
        <f>IF($A667="","",CHOOSE(WEEKDAY($A667,2),"Seg","Ter","Qua","Qui","Sex","Sáb","Dom"))</f>
        <v>0</v>
      </c>
      <c r="M667" s="27">
        <f>IF($E667="","",IF($G667&lt;&gt;"",$G667,IFERROR(INDEX(ProcValor,MATCH($E667,ProcNome,0)),0)))</f>
        <v>0</v>
      </c>
      <c r="N667" s="27">
        <f>IF($M667="","",IF($F667="Compareceu",$M667,0))</f>
        <v>0</v>
      </c>
      <c r="O667" s="27">
        <f>IF($M667="","",IF($F667="Faltou",$M667,0))</f>
        <v>0</v>
      </c>
      <c r="P667" s="27">
        <f>IF($M667="","",IF($F667="Compareceu",MAX(0,$M667-N($H667)),0))</f>
        <v>0</v>
      </c>
      <c r="Q667" s="19">
        <f>IF(AND($F667="Compareceu",$E667&lt;&gt;"",$A667&lt;&gt;""),IF(IFERROR(INDEX(ProcRet,MATCH($E667,ProcNome,0)),0)&gt;0,$A667+INDEX(ProcRet,MATCH($E667,ProcNome,0)),""),"")</f>
        <v>0</v>
      </c>
      <c r="R667" s="26">
        <f>IF($Q667="","",IF(COUNTIFS(AgPac,$D667,AgData,"&gt;"&amp;$A667,AgStatus,"&lt;&gt;Cancelado",AgStatus,"&lt;&gt;Remarcado")&gt;0,"Sim","Não"))</f>
        <v>0</v>
      </c>
      <c r="S667" s="28">
        <f>IF($A667="","",IF(AND($F667="Agendado",$A667-Hoje&gt;=0,$A667-Hoje&lt;=DiasConf),"CONFIRMAR",IF(AND($A667&lt;Hoje,OR($F667="Agendado",$F667="Confirmado")),"Atualizar status",IF(AND($F667="Compareceu",$P667&gt;0.005),"Cobrar",IF($F667="Faltou","Falta: reagendar","")))))</f>
        <v>0</v>
      </c>
      <c r="T667" s="29">
        <f>IF($A667="","",DATE(YEAR($A667),MONTH($A667),1))</f>
        <v>0</v>
      </c>
      <c r="U667" s="30">
        <f>IF($S667="CONFIRMAR",MAX($U$4:$U666)+1,"")</f>
        <v>0</v>
      </c>
      <c r="V667" s="30">
        <f>IF(AND($R667="Não",$Q667&lt;&gt;"",$Q667&lt;=Hoje+JanelaRet,$Q667&gt;=Hoje-60),MAX($V$4:$V666)+1,"")</f>
        <v>0</v>
      </c>
    </row>
    <row r="668" spans="1:22">
      <c r="A668" s="16"/>
      <c r="B668" s="23"/>
      <c r="C668" s="15"/>
      <c r="D668" s="15"/>
      <c r="E668" s="15"/>
      <c r="F668" s="24"/>
      <c r="G668" s="17"/>
      <c r="H668" s="17"/>
      <c r="I668" s="15"/>
      <c r="J668" s="25">
        <f>IF($D668="","",IFERROR(INDEX(PacNome,MATCH($D668,PacCod,0)),"Paciente não cadastrado"))</f>
        <v>0</v>
      </c>
      <c r="K668" s="26">
        <f>IF($D668="","",IFERROR(INDEX(PacConv,MATCH($D668,PacCod,0))&amp;"",""))</f>
        <v>0</v>
      </c>
      <c r="L668" s="26">
        <f>IF($A668="","",CHOOSE(WEEKDAY($A668,2),"Seg","Ter","Qua","Qui","Sex","Sáb","Dom"))</f>
        <v>0</v>
      </c>
      <c r="M668" s="27">
        <f>IF($E668="","",IF($G668&lt;&gt;"",$G668,IFERROR(INDEX(ProcValor,MATCH($E668,ProcNome,0)),0)))</f>
        <v>0</v>
      </c>
      <c r="N668" s="27">
        <f>IF($M668="","",IF($F668="Compareceu",$M668,0))</f>
        <v>0</v>
      </c>
      <c r="O668" s="27">
        <f>IF($M668="","",IF($F668="Faltou",$M668,0))</f>
        <v>0</v>
      </c>
      <c r="P668" s="27">
        <f>IF($M668="","",IF($F668="Compareceu",MAX(0,$M668-N($H668)),0))</f>
        <v>0</v>
      </c>
      <c r="Q668" s="19">
        <f>IF(AND($F668="Compareceu",$E668&lt;&gt;"",$A668&lt;&gt;""),IF(IFERROR(INDEX(ProcRet,MATCH($E668,ProcNome,0)),0)&gt;0,$A668+INDEX(ProcRet,MATCH($E668,ProcNome,0)),""),"")</f>
        <v>0</v>
      </c>
      <c r="R668" s="26">
        <f>IF($Q668="","",IF(COUNTIFS(AgPac,$D668,AgData,"&gt;"&amp;$A668,AgStatus,"&lt;&gt;Cancelado",AgStatus,"&lt;&gt;Remarcado")&gt;0,"Sim","Não"))</f>
        <v>0</v>
      </c>
      <c r="S668" s="28">
        <f>IF($A668="","",IF(AND($F668="Agendado",$A668-Hoje&gt;=0,$A668-Hoje&lt;=DiasConf),"CONFIRMAR",IF(AND($A668&lt;Hoje,OR($F668="Agendado",$F668="Confirmado")),"Atualizar status",IF(AND($F668="Compareceu",$P668&gt;0.005),"Cobrar",IF($F668="Faltou","Falta: reagendar","")))))</f>
        <v>0</v>
      </c>
      <c r="T668" s="29">
        <f>IF($A668="","",DATE(YEAR($A668),MONTH($A668),1))</f>
        <v>0</v>
      </c>
      <c r="U668" s="30">
        <f>IF($S668="CONFIRMAR",MAX($U$4:$U667)+1,"")</f>
        <v>0</v>
      </c>
      <c r="V668" s="30">
        <f>IF(AND($R668="Não",$Q668&lt;&gt;"",$Q668&lt;=Hoje+JanelaRet,$Q668&gt;=Hoje-60),MAX($V$4:$V667)+1,"")</f>
        <v>0</v>
      </c>
    </row>
    <row r="669" spans="1:22">
      <c r="A669" s="16"/>
      <c r="B669" s="23"/>
      <c r="C669" s="15"/>
      <c r="D669" s="15"/>
      <c r="E669" s="15"/>
      <c r="F669" s="24"/>
      <c r="G669" s="17"/>
      <c r="H669" s="17"/>
      <c r="I669" s="15"/>
      <c r="J669" s="25">
        <f>IF($D669="","",IFERROR(INDEX(PacNome,MATCH($D669,PacCod,0)),"Paciente não cadastrado"))</f>
        <v>0</v>
      </c>
      <c r="K669" s="26">
        <f>IF($D669="","",IFERROR(INDEX(PacConv,MATCH($D669,PacCod,0))&amp;"",""))</f>
        <v>0</v>
      </c>
      <c r="L669" s="26">
        <f>IF($A669="","",CHOOSE(WEEKDAY($A669,2),"Seg","Ter","Qua","Qui","Sex","Sáb","Dom"))</f>
        <v>0</v>
      </c>
      <c r="M669" s="27">
        <f>IF($E669="","",IF($G669&lt;&gt;"",$G669,IFERROR(INDEX(ProcValor,MATCH($E669,ProcNome,0)),0)))</f>
        <v>0</v>
      </c>
      <c r="N669" s="27">
        <f>IF($M669="","",IF($F669="Compareceu",$M669,0))</f>
        <v>0</v>
      </c>
      <c r="O669" s="27">
        <f>IF($M669="","",IF($F669="Faltou",$M669,0))</f>
        <v>0</v>
      </c>
      <c r="P669" s="27">
        <f>IF($M669="","",IF($F669="Compareceu",MAX(0,$M669-N($H669)),0))</f>
        <v>0</v>
      </c>
      <c r="Q669" s="19">
        <f>IF(AND($F669="Compareceu",$E669&lt;&gt;"",$A669&lt;&gt;""),IF(IFERROR(INDEX(ProcRet,MATCH($E669,ProcNome,0)),0)&gt;0,$A669+INDEX(ProcRet,MATCH($E669,ProcNome,0)),""),"")</f>
        <v>0</v>
      </c>
      <c r="R669" s="26">
        <f>IF($Q669="","",IF(COUNTIFS(AgPac,$D669,AgData,"&gt;"&amp;$A669,AgStatus,"&lt;&gt;Cancelado",AgStatus,"&lt;&gt;Remarcado")&gt;0,"Sim","Não"))</f>
        <v>0</v>
      </c>
      <c r="S669" s="28">
        <f>IF($A669="","",IF(AND($F669="Agendado",$A669-Hoje&gt;=0,$A669-Hoje&lt;=DiasConf),"CONFIRMAR",IF(AND($A669&lt;Hoje,OR($F669="Agendado",$F669="Confirmado")),"Atualizar status",IF(AND($F669="Compareceu",$P669&gt;0.005),"Cobrar",IF($F669="Faltou","Falta: reagendar","")))))</f>
        <v>0</v>
      </c>
      <c r="T669" s="29">
        <f>IF($A669="","",DATE(YEAR($A669),MONTH($A669),1))</f>
        <v>0</v>
      </c>
      <c r="U669" s="30">
        <f>IF($S669="CONFIRMAR",MAX($U$4:$U668)+1,"")</f>
        <v>0</v>
      </c>
      <c r="V669" s="30">
        <f>IF(AND($R669="Não",$Q669&lt;&gt;"",$Q669&lt;=Hoje+JanelaRet,$Q669&gt;=Hoje-60),MAX($V$4:$V668)+1,"")</f>
        <v>0</v>
      </c>
    </row>
    <row r="670" spans="1:22">
      <c r="A670" s="16"/>
      <c r="B670" s="23"/>
      <c r="C670" s="15"/>
      <c r="D670" s="15"/>
      <c r="E670" s="15"/>
      <c r="F670" s="24"/>
      <c r="G670" s="17"/>
      <c r="H670" s="17"/>
      <c r="I670" s="15"/>
      <c r="J670" s="25">
        <f>IF($D670="","",IFERROR(INDEX(PacNome,MATCH($D670,PacCod,0)),"Paciente não cadastrado"))</f>
        <v>0</v>
      </c>
      <c r="K670" s="26">
        <f>IF($D670="","",IFERROR(INDEX(PacConv,MATCH($D670,PacCod,0))&amp;"",""))</f>
        <v>0</v>
      </c>
      <c r="L670" s="26">
        <f>IF($A670="","",CHOOSE(WEEKDAY($A670,2),"Seg","Ter","Qua","Qui","Sex","Sáb","Dom"))</f>
        <v>0</v>
      </c>
      <c r="M670" s="27">
        <f>IF($E670="","",IF($G670&lt;&gt;"",$G670,IFERROR(INDEX(ProcValor,MATCH($E670,ProcNome,0)),0)))</f>
        <v>0</v>
      </c>
      <c r="N670" s="27">
        <f>IF($M670="","",IF($F670="Compareceu",$M670,0))</f>
        <v>0</v>
      </c>
      <c r="O670" s="27">
        <f>IF($M670="","",IF($F670="Faltou",$M670,0))</f>
        <v>0</v>
      </c>
      <c r="P670" s="27">
        <f>IF($M670="","",IF($F670="Compareceu",MAX(0,$M670-N($H670)),0))</f>
        <v>0</v>
      </c>
      <c r="Q670" s="19">
        <f>IF(AND($F670="Compareceu",$E670&lt;&gt;"",$A670&lt;&gt;""),IF(IFERROR(INDEX(ProcRet,MATCH($E670,ProcNome,0)),0)&gt;0,$A670+INDEX(ProcRet,MATCH($E670,ProcNome,0)),""),"")</f>
        <v>0</v>
      </c>
      <c r="R670" s="26">
        <f>IF($Q670="","",IF(COUNTIFS(AgPac,$D670,AgData,"&gt;"&amp;$A670,AgStatus,"&lt;&gt;Cancelado",AgStatus,"&lt;&gt;Remarcado")&gt;0,"Sim","Não"))</f>
        <v>0</v>
      </c>
      <c r="S670" s="28">
        <f>IF($A670="","",IF(AND($F670="Agendado",$A670-Hoje&gt;=0,$A670-Hoje&lt;=DiasConf),"CONFIRMAR",IF(AND($A670&lt;Hoje,OR($F670="Agendado",$F670="Confirmado")),"Atualizar status",IF(AND($F670="Compareceu",$P670&gt;0.005),"Cobrar",IF($F670="Faltou","Falta: reagendar","")))))</f>
        <v>0</v>
      </c>
      <c r="T670" s="29">
        <f>IF($A670="","",DATE(YEAR($A670),MONTH($A670),1))</f>
        <v>0</v>
      </c>
      <c r="U670" s="30">
        <f>IF($S670="CONFIRMAR",MAX($U$4:$U669)+1,"")</f>
        <v>0</v>
      </c>
      <c r="V670" s="30">
        <f>IF(AND($R670="Não",$Q670&lt;&gt;"",$Q670&lt;=Hoje+JanelaRet,$Q670&gt;=Hoje-60),MAX($V$4:$V669)+1,"")</f>
        <v>0</v>
      </c>
    </row>
    <row r="671" spans="1:22">
      <c r="A671" s="16"/>
      <c r="B671" s="23"/>
      <c r="C671" s="15"/>
      <c r="D671" s="15"/>
      <c r="E671" s="15"/>
      <c r="F671" s="24"/>
      <c r="G671" s="17"/>
      <c r="H671" s="17"/>
      <c r="I671" s="15"/>
      <c r="J671" s="25">
        <f>IF($D671="","",IFERROR(INDEX(PacNome,MATCH($D671,PacCod,0)),"Paciente não cadastrado"))</f>
        <v>0</v>
      </c>
      <c r="K671" s="26">
        <f>IF($D671="","",IFERROR(INDEX(PacConv,MATCH($D671,PacCod,0))&amp;"",""))</f>
        <v>0</v>
      </c>
      <c r="L671" s="26">
        <f>IF($A671="","",CHOOSE(WEEKDAY($A671,2),"Seg","Ter","Qua","Qui","Sex","Sáb","Dom"))</f>
        <v>0</v>
      </c>
      <c r="M671" s="27">
        <f>IF($E671="","",IF($G671&lt;&gt;"",$G671,IFERROR(INDEX(ProcValor,MATCH($E671,ProcNome,0)),0)))</f>
        <v>0</v>
      </c>
      <c r="N671" s="27">
        <f>IF($M671="","",IF($F671="Compareceu",$M671,0))</f>
        <v>0</v>
      </c>
      <c r="O671" s="27">
        <f>IF($M671="","",IF($F671="Faltou",$M671,0))</f>
        <v>0</v>
      </c>
      <c r="P671" s="27">
        <f>IF($M671="","",IF($F671="Compareceu",MAX(0,$M671-N($H671)),0))</f>
        <v>0</v>
      </c>
      <c r="Q671" s="19">
        <f>IF(AND($F671="Compareceu",$E671&lt;&gt;"",$A671&lt;&gt;""),IF(IFERROR(INDEX(ProcRet,MATCH($E671,ProcNome,0)),0)&gt;0,$A671+INDEX(ProcRet,MATCH($E671,ProcNome,0)),""),"")</f>
        <v>0</v>
      </c>
      <c r="R671" s="26">
        <f>IF($Q671="","",IF(COUNTIFS(AgPac,$D671,AgData,"&gt;"&amp;$A671,AgStatus,"&lt;&gt;Cancelado",AgStatus,"&lt;&gt;Remarcado")&gt;0,"Sim","Não"))</f>
        <v>0</v>
      </c>
      <c r="S671" s="28">
        <f>IF($A671="","",IF(AND($F671="Agendado",$A671-Hoje&gt;=0,$A671-Hoje&lt;=DiasConf),"CONFIRMAR",IF(AND($A671&lt;Hoje,OR($F671="Agendado",$F671="Confirmado")),"Atualizar status",IF(AND($F671="Compareceu",$P671&gt;0.005),"Cobrar",IF($F671="Faltou","Falta: reagendar","")))))</f>
        <v>0</v>
      </c>
      <c r="T671" s="29">
        <f>IF($A671="","",DATE(YEAR($A671),MONTH($A671),1))</f>
        <v>0</v>
      </c>
      <c r="U671" s="30">
        <f>IF($S671="CONFIRMAR",MAX($U$4:$U670)+1,"")</f>
        <v>0</v>
      </c>
      <c r="V671" s="30">
        <f>IF(AND($R671="Não",$Q671&lt;&gt;"",$Q671&lt;=Hoje+JanelaRet,$Q671&gt;=Hoje-60),MAX($V$4:$V670)+1,"")</f>
        <v>0</v>
      </c>
    </row>
    <row r="672" spans="1:22">
      <c r="A672" s="16"/>
      <c r="B672" s="23"/>
      <c r="C672" s="15"/>
      <c r="D672" s="15"/>
      <c r="E672" s="15"/>
      <c r="F672" s="24"/>
      <c r="G672" s="17"/>
      <c r="H672" s="17"/>
      <c r="I672" s="15"/>
      <c r="J672" s="25">
        <f>IF($D672="","",IFERROR(INDEX(PacNome,MATCH($D672,PacCod,0)),"Paciente não cadastrado"))</f>
        <v>0</v>
      </c>
      <c r="K672" s="26">
        <f>IF($D672="","",IFERROR(INDEX(PacConv,MATCH($D672,PacCod,0))&amp;"",""))</f>
        <v>0</v>
      </c>
      <c r="L672" s="26">
        <f>IF($A672="","",CHOOSE(WEEKDAY($A672,2),"Seg","Ter","Qua","Qui","Sex","Sáb","Dom"))</f>
        <v>0</v>
      </c>
      <c r="M672" s="27">
        <f>IF($E672="","",IF($G672&lt;&gt;"",$G672,IFERROR(INDEX(ProcValor,MATCH($E672,ProcNome,0)),0)))</f>
        <v>0</v>
      </c>
      <c r="N672" s="27">
        <f>IF($M672="","",IF($F672="Compareceu",$M672,0))</f>
        <v>0</v>
      </c>
      <c r="O672" s="27">
        <f>IF($M672="","",IF($F672="Faltou",$M672,0))</f>
        <v>0</v>
      </c>
      <c r="P672" s="27">
        <f>IF($M672="","",IF($F672="Compareceu",MAX(0,$M672-N($H672)),0))</f>
        <v>0</v>
      </c>
      <c r="Q672" s="19">
        <f>IF(AND($F672="Compareceu",$E672&lt;&gt;"",$A672&lt;&gt;""),IF(IFERROR(INDEX(ProcRet,MATCH($E672,ProcNome,0)),0)&gt;0,$A672+INDEX(ProcRet,MATCH($E672,ProcNome,0)),""),"")</f>
        <v>0</v>
      </c>
      <c r="R672" s="26">
        <f>IF($Q672="","",IF(COUNTIFS(AgPac,$D672,AgData,"&gt;"&amp;$A672,AgStatus,"&lt;&gt;Cancelado",AgStatus,"&lt;&gt;Remarcado")&gt;0,"Sim","Não"))</f>
        <v>0</v>
      </c>
      <c r="S672" s="28">
        <f>IF($A672="","",IF(AND($F672="Agendado",$A672-Hoje&gt;=0,$A672-Hoje&lt;=DiasConf),"CONFIRMAR",IF(AND($A672&lt;Hoje,OR($F672="Agendado",$F672="Confirmado")),"Atualizar status",IF(AND($F672="Compareceu",$P672&gt;0.005),"Cobrar",IF($F672="Faltou","Falta: reagendar","")))))</f>
        <v>0</v>
      </c>
      <c r="T672" s="29">
        <f>IF($A672="","",DATE(YEAR($A672),MONTH($A672),1))</f>
        <v>0</v>
      </c>
      <c r="U672" s="30">
        <f>IF($S672="CONFIRMAR",MAX($U$4:$U671)+1,"")</f>
        <v>0</v>
      </c>
      <c r="V672" s="30">
        <f>IF(AND($R672="Não",$Q672&lt;&gt;"",$Q672&lt;=Hoje+JanelaRet,$Q672&gt;=Hoje-60),MAX($V$4:$V671)+1,"")</f>
        <v>0</v>
      </c>
    </row>
    <row r="673" spans="1:22">
      <c r="A673" s="16"/>
      <c r="B673" s="23"/>
      <c r="C673" s="15"/>
      <c r="D673" s="15"/>
      <c r="E673" s="15"/>
      <c r="F673" s="24"/>
      <c r="G673" s="17"/>
      <c r="H673" s="17"/>
      <c r="I673" s="15"/>
      <c r="J673" s="25">
        <f>IF($D673="","",IFERROR(INDEX(PacNome,MATCH($D673,PacCod,0)),"Paciente não cadastrado"))</f>
        <v>0</v>
      </c>
      <c r="K673" s="26">
        <f>IF($D673="","",IFERROR(INDEX(PacConv,MATCH($D673,PacCod,0))&amp;"",""))</f>
        <v>0</v>
      </c>
      <c r="L673" s="26">
        <f>IF($A673="","",CHOOSE(WEEKDAY($A673,2),"Seg","Ter","Qua","Qui","Sex","Sáb","Dom"))</f>
        <v>0</v>
      </c>
      <c r="M673" s="27">
        <f>IF($E673="","",IF($G673&lt;&gt;"",$G673,IFERROR(INDEX(ProcValor,MATCH($E673,ProcNome,0)),0)))</f>
        <v>0</v>
      </c>
      <c r="N673" s="27">
        <f>IF($M673="","",IF($F673="Compareceu",$M673,0))</f>
        <v>0</v>
      </c>
      <c r="O673" s="27">
        <f>IF($M673="","",IF($F673="Faltou",$M673,0))</f>
        <v>0</v>
      </c>
      <c r="P673" s="27">
        <f>IF($M673="","",IF($F673="Compareceu",MAX(0,$M673-N($H673)),0))</f>
        <v>0</v>
      </c>
      <c r="Q673" s="19">
        <f>IF(AND($F673="Compareceu",$E673&lt;&gt;"",$A673&lt;&gt;""),IF(IFERROR(INDEX(ProcRet,MATCH($E673,ProcNome,0)),0)&gt;0,$A673+INDEX(ProcRet,MATCH($E673,ProcNome,0)),""),"")</f>
        <v>0</v>
      </c>
      <c r="R673" s="26">
        <f>IF($Q673="","",IF(COUNTIFS(AgPac,$D673,AgData,"&gt;"&amp;$A673,AgStatus,"&lt;&gt;Cancelado",AgStatus,"&lt;&gt;Remarcado")&gt;0,"Sim","Não"))</f>
        <v>0</v>
      </c>
      <c r="S673" s="28">
        <f>IF($A673="","",IF(AND($F673="Agendado",$A673-Hoje&gt;=0,$A673-Hoje&lt;=DiasConf),"CONFIRMAR",IF(AND($A673&lt;Hoje,OR($F673="Agendado",$F673="Confirmado")),"Atualizar status",IF(AND($F673="Compareceu",$P673&gt;0.005),"Cobrar",IF($F673="Faltou","Falta: reagendar","")))))</f>
        <v>0</v>
      </c>
      <c r="T673" s="29">
        <f>IF($A673="","",DATE(YEAR($A673),MONTH($A673),1))</f>
        <v>0</v>
      </c>
      <c r="U673" s="30">
        <f>IF($S673="CONFIRMAR",MAX($U$4:$U672)+1,"")</f>
        <v>0</v>
      </c>
      <c r="V673" s="30">
        <f>IF(AND($R673="Não",$Q673&lt;&gt;"",$Q673&lt;=Hoje+JanelaRet,$Q673&gt;=Hoje-60),MAX($V$4:$V672)+1,"")</f>
        <v>0</v>
      </c>
    </row>
    <row r="674" spans="1:22">
      <c r="A674" s="16"/>
      <c r="B674" s="23"/>
      <c r="C674" s="15"/>
      <c r="D674" s="15"/>
      <c r="E674" s="15"/>
      <c r="F674" s="24"/>
      <c r="G674" s="17"/>
      <c r="H674" s="17"/>
      <c r="I674" s="15"/>
      <c r="J674" s="25">
        <f>IF($D674="","",IFERROR(INDEX(PacNome,MATCH($D674,PacCod,0)),"Paciente não cadastrado"))</f>
        <v>0</v>
      </c>
      <c r="K674" s="26">
        <f>IF($D674="","",IFERROR(INDEX(PacConv,MATCH($D674,PacCod,0))&amp;"",""))</f>
        <v>0</v>
      </c>
      <c r="L674" s="26">
        <f>IF($A674="","",CHOOSE(WEEKDAY($A674,2),"Seg","Ter","Qua","Qui","Sex","Sáb","Dom"))</f>
        <v>0</v>
      </c>
      <c r="M674" s="27">
        <f>IF($E674="","",IF($G674&lt;&gt;"",$G674,IFERROR(INDEX(ProcValor,MATCH($E674,ProcNome,0)),0)))</f>
        <v>0</v>
      </c>
      <c r="N674" s="27">
        <f>IF($M674="","",IF($F674="Compareceu",$M674,0))</f>
        <v>0</v>
      </c>
      <c r="O674" s="27">
        <f>IF($M674="","",IF($F674="Faltou",$M674,0))</f>
        <v>0</v>
      </c>
      <c r="P674" s="27">
        <f>IF($M674="","",IF($F674="Compareceu",MAX(0,$M674-N($H674)),0))</f>
        <v>0</v>
      </c>
      <c r="Q674" s="19">
        <f>IF(AND($F674="Compareceu",$E674&lt;&gt;"",$A674&lt;&gt;""),IF(IFERROR(INDEX(ProcRet,MATCH($E674,ProcNome,0)),0)&gt;0,$A674+INDEX(ProcRet,MATCH($E674,ProcNome,0)),""),"")</f>
        <v>0</v>
      </c>
      <c r="R674" s="26">
        <f>IF($Q674="","",IF(COUNTIFS(AgPac,$D674,AgData,"&gt;"&amp;$A674,AgStatus,"&lt;&gt;Cancelado",AgStatus,"&lt;&gt;Remarcado")&gt;0,"Sim","Não"))</f>
        <v>0</v>
      </c>
      <c r="S674" s="28">
        <f>IF($A674="","",IF(AND($F674="Agendado",$A674-Hoje&gt;=0,$A674-Hoje&lt;=DiasConf),"CONFIRMAR",IF(AND($A674&lt;Hoje,OR($F674="Agendado",$F674="Confirmado")),"Atualizar status",IF(AND($F674="Compareceu",$P674&gt;0.005),"Cobrar",IF($F674="Faltou","Falta: reagendar","")))))</f>
        <v>0</v>
      </c>
      <c r="T674" s="29">
        <f>IF($A674="","",DATE(YEAR($A674),MONTH($A674),1))</f>
        <v>0</v>
      </c>
      <c r="U674" s="30">
        <f>IF($S674="CONFIRMAR",MAX($U$4:$U673)+1,"")</f>
        <v>0</v>
      </c>
      <c r="V674" s="30">
        <f>IF(AND($R674="Não",$Q674&lt;&gt;"",$Q674&lt;=Hoje+JanelaRet,$Q674&gt;=Hoje-60),MAX($V$4:$V673)+1,"")</f>
        <v>0</v>
      </c>
    </row>
    <row r="675" spans="1:22">
      <c r="A675" s="16"/>
      <c r="B675" s="23"/>
      <c r="C675" s="15"/>
      <c r="D675" s="15"/>
      <c r="E675" s="15"/>
      <c r="F675" s="24"/>
      <c r="G675" s="17"/>
      <c r="H675" s="17"/>
      <c r="I675" s="15"/>
      <c r="J675" s="25">
        <f>IF($D675="","",IFERROR(INDEX(PacNome,MATCH($D675,PacCod,0)),"Paciente não cadastrado"))</f>
        <v>0</v>
      </c>
      <c r="K675" s="26">
        <f>IF($D675="","",IFERROR(INDEX(PacConv,MATCH($D675,PacCod,0))&amp;"",""))</f>
        <v>0</v>
      </c>
      <c r="L675" s="26">
        <f>IF($A675="","",CHOOSE(WEEKDAY($A675,2),"Seg","Ter","Qua","Qui","Sex","Sáb","Dom"))</f>
        <v>0</v>
      </c>
      <c r="M675" s="27">
        <f>IF($E675="","",IF($G675&lt;&gt;"",$G675,IFERROR(INDEX(ProcValor,MATCH($E675,ProcNome,0)),0)))</f>
        <v>0</v>
      </c>
      <c r="N675" s="27">
        <f>IF($M675="","",IF($F675="Compareceu",$M675,0))</f>
        <v>0</v>
      </c>
      <c r="O675" s="27">
        <f>IF($M675="","",IF($F675="Faltou",$M675,0))</f>
        <v>0</v>
      </c>
      <c r="P675" s="27">
        <f>IF($M675="","",IF($F675="Compareceu",MAX(0,$M675-N($H675)),0))</f>
        <v>0</v>
      </c>
      <c r="Q675" s="19">
        <f>IF(AND($F675="Compareceu",$E675&lt;&gt;"",$A675&lt;&gt;""),IF(IFERROR(INDEX(ProcRet,MATCH($E675,ProcNome,0)),0)&gt;0,$A675+INDEX(ProcRet,MATCH($E675,ProcNome,0)),""),"")</f>
        <v>0</v>
      </c>
      <c r="R675" s="26">
        <f>IF($Q675="","",IF(COUNTIFS(AgPac,$D675,AgData,"&gt;"&amp;$A675,AgStatus,"&lt;&gt;Cancelado",AgStatus,"&lt;&gt;Remarcado")&gt;0,"Sim","Não"))</f>
        <v>0</v>
      </c>
      <c r="S675" s="28">
        <f>IF($A675="","",IF(AND($F675="Agendado",$A675-Hoje&gt;=0,$A675-Hoje&lt;=DiasConf),"CONFIRMAR",IF(AND($A675&lt;Hoje,OR($F675="Agendado",$F675="Confirmado")),"Atualizar status",IF(AND($F675="Compareceu",$P675&gt;0.005),"Cobrar",IF($F675="Faltou","Falta: reagendar","")))))</f>
        <v>0</v>
      </c>
      <c r="T675" s="29">
        <f>IF($A675="","",DATE(YEAR($A675),MONTH($A675),1))</f>
        <v>0</v>
      </c>
      <c r="U675" s="30">
        <f>IF($S675="CONFIRMAR",MAX($U$4:$U674)+1,"")</f>
        <v>0</v>
      </c>
      <c r="V675" s="30">
        <f>IF(AND($R675="Não",$Q675&lt;&gt;"",$Q675&lt;=Hoje+JanelaRet,$Q675&gt;=Hoje-60),MAX($V$4:$V674)+1,"")</f>
        <v>0</v>
      </c>
    </row>
    <row r="676" spans="1:22">
      <c r="A676" s="16"/>
      <c r="B676" s="23"/>
      <c r="C676" s="15"/>
      <c r="D676" s="15"/>
      <c r="E676" s="15"/>
      <c r="F676" s="24"/>
      <c r="G676" s="17"/>
      <c r="H676" s="17"/>
      <c r="I676" s="15"/>
      <c r="J676" s="25">
        <f>IF($D676="","",IFERROR(INDEX(PacNome,MATCH($D676,PacCod,0)),"Paciente não cadastrado"))</f>
        <v>0</v>
      </c>
      <c r="K676" s="26">
        <f>IF($D676="","",IFERROR(INDEX(PacConv,MATCH($D676,PacCod,0))&amp;"",""))</f>
        <v>0</v>
      </c>
      <c r="L676" s="26">
        <f>IF($A676="","",CHOOSE(WEEKDAY($A676,2),"Seg","Ter","Qua","Qui","Sex","Sáb","Dom"))</f>
        <v>0</v>
      </c>
      <c r="M676" s="27">
        <f>IF($E676="","",IF($G676&lt;&gt;"",$G676,IFERROR(INDEX(ProcValor,MATCH($E676,ProcNome,0)),0)))</f>
        <v>0</v>
      </c>
      <c r="N676" s="27">
        <f>IF($M676="","",IF($F676="Compareceu",$M676,0))</f>
        <v>0</v>
      </c>
      <c r="O676" s="27">
        <f>IF($M676="","",IF($F676="Faltou",$M676,0))</f>
        <v>0</v>
      </c>
      <c r="P676" s="27">
        <f>IF($M676="","",IF($F676="Compareceu",MAX(0,$M676-N($H676)),0))</f>
        <v>0</v>
      </c>
      <c r="Q676" s="19">
        <f>IF(AND($F676="Compareceu",$E676&lt;&gt;"",$A676&lt;&gt;""),IF(IFERROR(INDEX(ProcRet,MATCH($E676,ProcNome,0)),0)&gt;0,$A676+INDEX(ProcRet,MATCH($E676,ProcNome,0)),""),"")</f>
        <v>0</v>
      </c>
      <c r="R676" s="26">
        <f>IF($Q676="","",IF(COUNTIFS(AgPac,$D676,AgData,"&gt;"&amp;$A676,AgStatus,"&lt;&gt;Cancelado",AgStatus,"&lt;&gt;Remarcado")&gt;0,"Sim","Não"))</f>
        <v>0</v>
      </c>
      <c r="S676" s="28">
        <f>IF($A676="","",IF(AND($F676="Agendado",$A676-Hoje&gt;=0,$A676-Hoje&lt;=DiasConf),"CONFIRMAR",IF(AND($A676&lt;Hoje,OR($F676="Agendado",$F676="Confirmado")),"Atualizar status",IF(AND($F676="Compareceu",$P676&gt;0.005),"Cobrar",IF($F676="Faltou","Falta: reagendar","")))))</f>
        <v>0</v>
      </c>
      <c r="T676" s="29">
        <f>IF($A676="","",DATE(YEAR($A676),MONTH($A676),1))</f>
        <v>0</v>
      </c>
      <c r="U676" s="30">
        <f>IF($S676="CONFIRMAR",MAX($U$4:$U675)+1,"")</f>
        <v>0</v>
      </c>
      <c r="V676" s="30">
        <f>IF(AND($R676="Não",$Q676&lt;&gt;"",$Q676&lt;=Hoje+JanelaRet,$Q676&gt;=Hoje-60),MAX($V$4:$V675)+1,"")</f>
        <v>0</v>
      </c>
    </row>
    <row r="677" spans="1:22">
      <c r="A677" s="16"/>
      <c r="B677" s="23"/>
      <c r="C677" s="15"/>
      <c r="D677" s="15"/>
      <c r="E677" s="15"/>
      <c r="F677" s="24"/>
      <c r="G677" s="17"/>
      <c r="H677" s="17"/>
      <c r="I677" s="15"/>
      <c r="J677" s="25">
        <f>IF($D677="","",IFERROR(INDEX(PacNome,MATCH($D677,PacCod,0)),"Paciente não cadastrado"))</f>
        <v>0</v>
      </c>
      <c r="K677" s="26">
        <f>IF($D677="","",IFERROR(INDEX(PacConv,MATCH($D677,PacCod,0))&amp;"",""))</f>
        <v>0</v>
      </c>
      <c r="L677" s="26">
        <f>IF($A677="","",CHOOSE(WEEKDAY($A677,2),"Seg","Ter","Qua","Qui","Sex","Sáb","Dom"))</f>
        <v>0</v>
      </c>
      <c r="M677" s="27">
        <f>IF($E677="","",IF($G677&lt;&gt;"",$G677,IFERROR(INDEX(ProcValor,MATCH($E677,ProcNome,0)),0)))</f>
        <v>0</v>
      </c>
      <c r="N677" s="27">
        <f>IF($M677="","",IF($F677="Compareceu",$M677,0))</f>
        <v>0</v>
      </c>
      <c r="O677" s="27">
        <f>IF($M677="","",IF($F677="Faltou",$M677,0))</f>
        <v>0</v>
      </c>
      <c r="P677" s="27">
        <f>IF($M677="","",IF($F677="Compareceu",MAX(0,$M677-N($H677)),0))</f>
        <v>0</v>
      </c>
      <c r="Q677" s="19">
        <f>IF(AND($F677="Compareceu",$E677&lt;&gt;"",$A677&lt;&gt;""),IF(IFERROR(INDEX(ProcRet,MATCH($E677,ProcNome,0)),0)&gt;0,$A677+INDEX(ProcRet,MATCH($E677,ProcNome,0)),""),"")</f>
        <v>0</v>
      </c>
      <c r="R677" s="26">
        <f>IF($Q677="","",IF(COUNTIFS(AgPac,$D677,AgData,"&gt;"&amp;$A677,AgStatus,"&lt;&gt;Cancelado",AgStatus,"&lt;&gt;Remarcado")&gt;0,"Sim","Não"))</f>
        <v>0</v>
      </c>
      <c r="S677" s="28">
        <f>IF($A677="","",IF(AND($F677="Agendado",$A677-Hoje&gt;=0,$A677-Hoje&lt;=DiasConf),"CONFIRMAR",IF(AND($A677&lt;Hoje,OR($F677="Agendado",$F677="Confirmado")),"Atualizar status",IF(AND($F677="Compareceu",$P677&gt;0.005),"Cobrar",IF($F677="Faltou","Falta: reagendar","")))))</f>
        <v>0</v>
      </c>
      <c r="T677" s="29">
        <f>IF($A677="","",DATE(YEAR($A677),MONTH($A677),1))</f>
        <v>0</v>
      </c>
      <c r="U677" s="30">
        <f>IF($S677="CONFIRMAR",MAX($U$4:$U676)+1,"")</f>
        <v>0</v>
      </c>
      <c r="V677" s="30">
        <f>IF(AND($R677="Não",$Q677&lt;&gt;"",$Q677&lt;=Hoje+JanelaRet,$Q677&gt;=Hoje-60),MAX($V$4:$V676)+1,"")</f>
        <v>0</v>
      </c>
    </row>
    <row r="678" spans="1:22">
      <c r="A678" s="16"/>
      <c r="B678" s="23"/>
      <c r="C678" s="15"/>
      <c r="D678" s="15"/>
      <c r="E678" s="15"/>
      <c r="F678" s="24"/>
      <c r="G678" s="17"/>
      <c r="H678" s="17"/>
      <c r="I678" s="15"/>
      <c r="J678" s="25">
        <f>IF($D678="","",IFERROR(INDEX(PacNome,MATCH($D678,PacCod,0)),"Paciente não cadastrado"))</f>
        <v>0</v>
      </c>
      <c r="K678" s="26">
        <f>IF($D678="","",IFERROR(INDEX(PacConv,MATCH($D678,PacCod,0))&amp;"",""))</f>
        <v>0</v>
      </c>
      <c r="L678" s="26">
        <f>IF($A678="","",CHOOSE(WEEKDAY($A678,2),"Seg","Ter","Qua","Qui","Sex","Sáb","Dom"))</f>
        <v>0</v>
      </c>
      <c r="M678" s="27">
        <f>IF($E678="","",IF($G678&lt;&gt;"",$G678,IFERROR(INDEX(ProcValor,MATCH($E678,ProcNome,0)),0)))</f>
        <v>0</v>
      </c>
      <c r="N678" s="27">
        <f>IF($M678="","",IF($F678="Compareceu",$M678,0))</f>
        <v>0</v>
      </c>
      <c r="O678" s="27">
        <f>IF($M678="","",IF($F678="Faltou",$M678,0))</f>
        <v>0</v>
      </c>
      <c r="P678" s="27">
        <f>IF($M678="","",IF($F678="Compareceu",MAX(0,$M678-N($H678)),0))</f>
        <v>0</v>
      </c>
      <c r="Q678" s="19">
        <f>IF(AND($F678="Compareceu",$E678&lt;&gt;"",$A678&lt;&gt;""),IF(IFERROR(INDEX(ProcRet,MATCH($E678,ProcNome,0)),0)&gt;0,$A678+INDEX(ProcRet,MATCH($E678,ProcNome,0)),""),"")</f>
        <v>0</v>
      </c>
      <c r="R678" s="26">
        <f>IF($Q678="","",IF(COUNTIFS(AgPac,$D678,AgData,"&gt;"&amp;$A678,AgStatus,"&lt;&gt;Cancelado",AgStatus,"&lt;&gt;Remarcado")&gt;0,"Sim","Não"))</f>
        <v>0</v>
      </c>
      <c r="S678" s="28">
        <f>IF($A678="","",IF(AND($F678="Agendado",$A678-Hoje&gt;=0,$A678-Hoje&lt;=DiasConf),"CONFIRMAR",IF(AND($A678&lt;Hoje,OR($F678="Agendado",$F678="Confirmado")),"Atualizar status",IF(AND($F678="Compareceu",$P678&gt;0.005),"Cobrar",IF($F678="Faltou","Falta: reagendar","")))))</f>
        <v>0</v>
      </c>
      <c r="T678" s="29">
        <f>IF($A678="","",DATE(YEAR($A678),MONTH($A678),1))</f>
        <v>0</v>
      </c>
      <c r="U678" s="30">
        <f>IF($S678="CONFIRMAR",MAX($U$4:$U677)+1,"")</f>
        <v>0</v>
      </c>
      <c r="V678" s="30">
        <f>IF(AND($R678="Não",$Q678&lt;&gt;"",$Q678&lt;=Hoje+JanelaRet,$Q678&gt;=Hoje-60),MAX($V$4:$V677)+1,"")</f>
        <v>0</v>
      </c>
    </row>
    <row r="679" spans="1:22">
      <c r="A679" s="16"/>
      <c r="B679" s="23"/>
      <c r="C679" s="15"/>
      <c r="D679" s="15"/>
      <c r="E679" s="15"/>
      <c r="F679" s="24"/>
      <c r="G679" s="17"/>
      <c r="H679" s="17"/>
      <c r="I679" s="15"/>
      <c r="J679" s="25">
        <f>IF($D679="","",IFERROR(INDEX(PacNome,MATCH($D679,PacCod,0)),"Paciente não cadastrado"))</f>
        <v>0</v>
      </c>
      <c r="K679" s="26">
        <f>IF($D679="","",IFERROR(INDEX(PacConv,MATCH($D679,PacCod,0))&amp;"",""))</f>
        <v>0</v>
      </c>
      <c r="L679" s="26">
        <f>IF($A679="","",CHOOSE(WEEKDAY($A679,2),"Seg","Ter","Qua","Qui","Sex","Sáb","Dom"))</f>
        <v>0</v>
      </c>
      <c r="M679" s="27">
        <f>IF($E679="","",IF($G679&lt;&gt;"",$G679,IFERROR(INDEX(ProcValor,MATCH($E679,ProcNome,0)),0)))</f>
        <v>0</v>
      </c>
      <c r="N679" s="27">
        <f>IF($M679="","",IF($F679="Compareceu",$M679,0))</f>
        <v>0</v>
      </c>
      <c r="O679" s="27">
        <f>IF($M679="","",IF($F679="Faltou",$M679,0))</f>
        <v>0</v>
      </c>
      <c r="P679" s="27">
        <f>IF($M679="","",IF($F679="Compareceu",MAX(0,$M679-N($H679)),0))</f>
        <v>0</v>
      </c>
      <c r="Q679" s="19">
        <f>IF(AND($F679="Compareceu",$E679&lt;&gt;"",$A679&lt;&gt;""),IF(IFERROR(INDEX(ProcRet,MATCH($E679,ProcNome,0)),0)&gt;0,$A679+INDEX(ProcRet,MATCH($E679,ProcNome,0)),""),"")</f>
        <v>0</v>
      </c>
      <c r="R679" s="26">
        <f>IF($Q679="","",IF(COUNTIFS(AgPac,$D679,AgData,"&gt;"&amp;$A679,AgStatus,"&lt;&gt;Cancelado",AgStatus,"&lt;&gt;Remarcado")&gt;0,"Sim","Não"))</f>
        <v>0</v>
      </c>
      <c r="S679" s="28">
        <f>IF($A679="","",IF(AND($F679="Agendado",$A679-Hoje&gt;=0,$A679-Hoje&lt;=DiasConf),"CONFIRMAR",IF(AND($A679&lt;Hoje,OR($F679="Agendado",$F679="Confirmado")),"Atualizar status",IF(AND($F679="Compareceu",$P679&gt;0.005),"Cobrar",IF($F679="Faltou","Falta: reagendar","")))))</f>
        <v>0</v>
      </c>
      <c r="T679" s="29">
        <f>IF($A679="","",DATE(YEAR($A679),MONTH($A679),1))</f>
        <v>0</v>
      </c>
      <c r="U679" s="30">
        <f>IF($S679="CONFIRMAR",MAX($U$4:$U678)+1,"")</f>
        <v>0</v>
      </c>
      <c r="V679" s="30">
        <f>IF(AND($R679="Não",$Q679&lt;&gt;"",$Q679&lt;=Hoje+JanelaRet,$Q679&gt;=Hoje-60),MAX($V$4:$V678)+1,"")</f>
        <v>0</v>
      </c>
    </row>
    <row r="680" spans="1:22">
      <c r="A680" s="16"/>
      <c r="B680" s="23"/>
      <c r="C680" s="15"/>
      <c r="D680" s="15"/>
      <c r="E680" s="15"/>
      <c r="F680" s="24"/>
      <c r="G680" s="17"/>
      <c r="H680" s="17"/>
      <c r="I680" s="15"/>
      <c r="J680" s="25">
        <f>IF($D680="","",IFERROR(INDEX(PacNome,MATCH($D680,PacCod,0)),"Paciente não cadastrado"))</f>
        <v>0</v>
      </c>
      <c r="K680" s="26">
        <f>IF($D680="","",IFERROR(INDEX(PacConv,MATCH($D680,PacCod,0))&amp;"",""))</f>
        <v>0</v>
      </c>
      <c r="L680" s="26">
        <f>IF($A680="","",CHOOSE(WEEKDAY($A680,2),"Seg","Ter","Qua","Qui","Sex","Sáb","Dom"))</f>
        <v>0</v>
      </c>
      <c r="M680" s="27">
        <f>IF($E680="","",IF($G680&lt;&gt;"",$G680,IFERROR(INDEX(ProcValor,MATCH($E680,ProcNome,0)),0)))</f>
        <v>0</v>
      </c>
      <c r="N680" s="27">
        <f>IF($M680="","",IF($F680="Compareceu",$M680,0))</f>
        <v>0</v>
      </c>
      <c r="O680" s="27">
        <f>IF($M680="","",IF($F680="Faltou",$M680,0))</f>
        <v>0</v>
      </c>
      <c r="P680" s="27">
        <f>IF($M680="","",IF($F680="Compareceu",MAX(0,$M680-N($H680)),0))</f>
        <v>0</v>
      </c>
      <c r="Q680" s="19">
        <f>IF(AND($F680="Compareceu",$E680&lt;&gt;"",$A680&lt;&gt;""),IF(IFERROR(INDEX(ProcRet,MATCH($E680,ProcNome,0)),0)&gt;0,$A680+INDEX(ProcRet,MATCH($E680,ProcNome,0)),""),"")</f>
        <v>0</v>
      </c>
      <c r="R680" s="26">
        <f>IF($Q680="","",IF(COUNTIFS(AgPac,$D680,AgData,"&gt;"&amp;$A680,AgStatus,"&lt;&gt;Cancelado",AgStatus,"&lt;&gt;Remarcado")&gt;0,"Sim","Não"))</f>
        <v>0</v>
      </c>
      <c r="S680" s="28">
        <f>IF($A680="","",IF(AND($F680="Agendado",$A680-Hoje&gt;=0,$A680-Hoje&lt;=DiasConf),"CONFIRMAR",IF(AND($A680&lt;Hoje,OR($F680="Agendado",$F680="Confirmado")),"Atualizar status",IF(AND($F680="Compareceu",$P680&gt;0.005),"Cobrar",IF($F680="Faltou","Falta: reagendar","")))))</f>
        <v>0</v>
      </c>
      <c r="T680" s="29">
        <f>IF($A680="","",DATE(YEAR($A680),MONTH($A680),1))</f>
        <v>0</v>
      </c>
      <c r="U680" s="30">
        <f>IF($S680="CONFIRMAR",MAX($U$4:$U679)+1,"")</f>
        <v>0</v>
      </c>
      <c r="V680" s="30">
        <f>IF(AND($R680="Não",$Q680&lt;&gt;"",$Q680&lt;=Hoje+JanelaRet,$Q680&gt;=Hoje-60),MAX($V$4:$V679)+1,"")</f>
        <v>0</v>
      </c>
    </row>
    <row r="681" spans="1:22">
      <c r="A681" s="16"/>
      <c r="B681" s="23"/>
      <c r="C681" s="15"/>
      <c r="D681" s="15"/>
      <c r="E681" s="15"/>
      <c r="F681" s="24"/>
      <c r="G681" s="17"/>
      <c r="H681" s="17"/>
      <c r="I681" s="15"/>
      <c r="J681" s="25">
        <f>IF($D681="","",IFERROR(INDEX(PacNome,MATCH($D681,PacCod,0)),"Paciente não cadastrado"))</f>
        <v>0</v>
      </c>
      <c r="K681" s="26">
        <f>IF($D681="","",IFERROR(INDEX(PacConv,MATCH($D681,PacCod,0))&amp;"",""))</f>
        <v>0</v>
      </c>
      <c r="L681" s="26">
        <f>IF($A681="","",CHOOSE(WEEKDAY($A681,2),"Seg","Ter","Qua","Qui","Sex","Sáb","Dom"))</f>
        <v>0</v>
      </c>
      <c r="M681" s="27">
        <f>IF($E681="","",IF($G681&lt;&gt;"",$G681,IFERROR(INDEX(ProcValor,MATCH($E681,ProcNome,0)),0)))</f>
        <v>0</v>
      </c>
      <c r="N681" s="27">
        <f>IF($M681="","",IF($F681="Compareceu",$M681,0))</f>
        <v>0</v>
      </c>
      <c r="O681" s="27">
        <f>IF($M681="","",IF($F681="Faltou",$M681,0))</f>
        <v>0</v>
      </c>
      <c r="P681" s="27">
        <f>IF($M681="","",IF($F681="Compareceu",MAX(0,$M681-N($H681)),0))</f>
        <v>0</v>
      </c>
      <c r="Q681" s="19">
        <f>IF(AND($F681="Compareceu",$E681&lt;&gt;"",$A681&lt;&gt;""),IF(IFERROR(INDEX(ProcRet,MATCH($E681,ProcNome,0)),0)&gt;0,$A681+INDEX(ProcRet,MATCH($E681,ProcNome,0)),""),"")</f>
        <v>0</v>
      </c>
      <c r="R681" s="26">
        <f>IF($Q681="","",IF(COUNTIFS(AgPac,$D681,AgData,"&gt;"&amp;$A681,AgStatus,"&lt;&gt;Cancelado",AgStatus,"&lt;&gt;Remarcado")&gt;0,"Sim","Não"))</f>
        <v>0</v>
      </c>
      <c r="S681" s="28">
        <f>IF($A681="","",IF(AND($F681="Agendado",$A681-Hoje&gt;=0,$A681-Hoje&lt;=DiasConf),"CONFIRMAR",IF(AND($A681&lt;Hoje,OR($F681="Agendado",$F681="Confirmado")),"Atualizar status",IF(AND($F681="Compareceu",$P681&gt;0.005),"Cobrar",IF($F681="Faltou","Falta: reagendar","")))))</f>
        <v>0</v>
      </c>
      <c r="T681" s="29">
        <f>IF($A681="","",DATE(YEAR($A681),MONTH($A681),1))</f>
        <v>0</v>
      </c>
      <c r="U681" s="30">
        <f>IF($S681="CONFIRMAR",MAX($U$4:$U680)+1,"")</f>
        <v>0</v>
      </c>
      <c r="V681" s="30">
        <f>IF(AND($R681="Não",$Q681&lt;&gt;"",$Q681&lt;=Hoje+JanelaRet,$Q681&gt;=Hoje-60),MAX($V$4:$V680)+1,"")</f>
        <v>0</v>
      </c>
    </row>
    <row r="682" spans="1:22">
      <c r="A682" s="16"/>
      <c r="B682" s="23"/>
      <c r="C682" s="15"/>
      <c r="D682" s="15"/>
      <c r="E682" s="15"/>
      <c r="F682" s="24"/>
      <c r="G682" s="17"/>
      <c r="H682" s="17"/>
      <c r="I682" s="15"/>
      <c r="J682" s="25">
        <f>IF($D682="","",IFERROR(INDEX(PacNome,MATCH($D682,PacCod,0)),"Paciente não cadastrado"))</f>
        <v>0</v>
      </c>
      <c r="K682" s="26">
        <f>IF($D682="","",IFERROR(INDEX(PacConv,MATCH($D682,PacCod,0))&amp;"",""))</f>
        <v>0</v>
      </c>
      <c r="L682" s="26">
        <f>IF($A682="","",CHOOSE(WEEKDAY($A682,2),"Seg","Ter","Qua","Qui","Sex","Sáb","Dom"))</f>
        <v>0</v>
      </c>
      <c r="M682" s="27">
        <f>IF($E682="","",IF($G682&lt;&gt;"",$G682,IFERROR(INDEX(ProcValor,MATCH($E682,ProcNome,0)),0)))</f>
        <v>0</v>
      </c>
      <c r="N682" s="27">
        <f>IF($M682="","",IF($F682="Compareceu",$M682,0))</f>
        <v>0</v>
      </c>
      <c r="O682" s="27">
        <f>IF($M682="","",IF($F682="Faltou",$M682,0))</f>
        <v>0</v>
      </c>
      <c r="P682" s="27">
        <f>IF($M682="","",IF($F682="Compareceu",MAX(0,$M682-N($H682)),0))</f>
        <v>0</v>
      </c>
      <c r="Q682" s="19">
        <f>IF(AND($F682="Compareceu",$E682&lt;&gt;"",$A682&lt;&gt;""),IF(IFERROR(INDEX(ProcRet,MATCH($E682,ProcNome,0)),0)&gt;0,$A682+INDEX(ProcRet,MATCH($E682,ProcNome,0)),""),"")</f>
        <v>0</v>
      </c>
      <c r="R682" s="26">
        <f>IF($Q682="","",IF(COUNTIFS(AgPac,$D682,AgData,"&gt;"&amp;$A682,AgStatus,"&lt;&gt;Cancelado",AgStatus,"&lt;&gt;Remarcado")&gt;0,"Sim","Não"))</f>
        <v>0</v>
      </c>
      <c r="S682" s="28">
        <f>IF($A682="","",IF(AND($F682="Agendado",$A682-Hoje&gt;=0,$A682-Hoje&lt;=DiasConf),"CONFIRMAR",IF(AND($A682&lt;Hoje,OR($F682="Agendado",$F682="Confirmado")),"Atualizar status",IF(AND($F682="Compareceu",$P682&gt;0.005),"Cobrar",IF($F682="Faltou","Falta: reagendar","")))))</f>
        <v>0</v>
      </c>
      <c r="T682" s="29">
        <f>IF($A682="","",DATE(YEAR($A682),MONTH($A682),1))</f>
        <v>0</v>
      </c>
      <c r="U682" s="30">
        <f>IF($S682="CONFIRMAR",MAX($U$4:$U681)+1,"")</f>
        <v>0</v>
      </c>
      <c r="V682" s="30">
        <f>IF(AND($R682="Não",$Q682&lt;&gt;"",$Q682&lt;=Hoje+JanelaRet,$Q682&gt;=Hoje-60),MAX($V$4:$V681)+1,"")</f>
        <v>0</v>
      </c>
    </row>
    <row r="683" spans="1:22">
      <c r="A683" s="16"/>
      <c r="B683" s="23"/>
      <c r="C683" s="15"/>
      <c r="D683" s="15"/>
      <c r="E683" s="15"/>
      <c r="F683" s="24"/>
      <c r="G683" s="17"/>
      <c r="H683" s="17"/>
      <c r="I683" s="15"/>
      <c r="J683" s="25">
        <f>IF($D683="","",IFERROR(INDEX(PacNome,MATCH($D683,PacCod,0)),"Paciente não cadastrado"))</f>
        <v>0</v>
      </c>
      <c r="K683" s="26">
        <f>IF($D683="","",IFERROR(INDEX(PacConv,MATCH($D683,PacCod,0))&amp;"",""))</f>
        <v>0</v>
      </c>
      <c r="L683" s="26">
        <f>IF($A683="","",CHOOSE(WEEKDAY($A683,2),"Seg","Ter","Qua","Qui","Sex","Sáb","Dom"))</f>
        <v>0</v>
      </c>
      <c r="M683" s="27">
        <f>IF($E683="","",IF($G683&lt;&gt;"",$G683,IFERROR(INDEX(ProcValor,MATCH($E683,ProcNome,0)),0)))</f>
        <v>0</v>
      </c>
      <c r="N683" s="27">
        <f>IF($M683="","",IF($F683="Compareceu",$M683,0))</f>
        <v>0</v>
      </c>
      <c r="O683" s="27">
        <f>IF($M683="","",IF($F683="Faltou",$M683,0))</f>
        <v>0</v>
      </c>
      <c r="P683" s="27">
        <f>IF($M683="","",IF($F683="Compareceu",MAX(0,$M683-N($H683)),0))</f>
        <v>0</v>
      </c>
      <c r="Q683" s="19">
        <f>IF(AND($F683="Compareceu",$E683&lt;&gt;"",$A683&lt;&gt;""),IF(IFERROR(INDEX(ProcRet,MATCH($E683,ProcNome,0)),0)&gt;0,$A683+INDEX(ProcRet,MATCH($E683,ProcNome,0)),""),"")</f>
        <v>0</v>
      </c>
      <c r="R683" s="26">
        <f>IF($Q683="","",IF(COUNTIFS(AgPac,$D683,AgData,"&gt;"&amp;$A683,AgStatus,"&lt;&gt;Cancelado",AgStatus,"&lt;&gt;Remarcado")&gt;0,"Sim","Não"))</f>
        <v>0</v>
      </c>
      <c r="S683" s="28">
        <f>IF($A683="","",IF(AND($F683="Agendado",$A683-Hoje&gt;=0,$A683-Hoje&lt;=DiasConf),"CONFIRMAR",IF(AND($A683&lt;Hoje,OR($F683="Agendado",$F683="Confirmado")),"Atualizar status",IF(AND($F683="Compareceu",$P683&gt;0.005),"Cobrar",IF($F683="Faltou","Falta: reagendar","")))))</f>
        <v>0</v>
      </c>
      <c r="T683" s="29">
        <f>IF($A683="","",DATE(YEAR($A683),MONTH($A683),1))</f>
        <v>0</v>
      </c>
      <c r="U683" s="30">
        <f>IF($S683="CONFIRMAR",MAX($U$4:$U682)+1,"")</f>
        <v>0</v>
      </c>
      <c r="V683" s="30">
        <f>IF(AND($R683="Não",$Q683&lt;&gt;"",$Q683&lt;=Hoje+JanelaRet,$Q683&gt;=Hoje-60),MAX($V$4:$V682)+1,"")</f>
        <v>0</v>
      </c>
    </row>
    <row r="684" spans="1:22">
      <c r="A684" s="16"/>
      <c r="B684" s="23"/>
      <c r="C684" s="15"/>
      <c r="D684" s="15"/>
      <c r="E684" s="15"/>
      <c r="F684" s="24"/>
      <c r="G684" s="17"/>
      <c r="H684" s="17"/>
      <c r="I684" s="15"/>
      <c r="J684" s="25">
        <f>IF($D684="","",IFERROR(INDEX(PacNome,MATCH($D684,PacCod,0)),"Paciente não cadastrado"))</f>
        <v>0</v>
      </c>
      <c r="K684" s="26">
        <f>IF($D684="","",IFERROR(INDEX(PacConv,MATCH($D684,PacCod,0))&amp;"",""))</f>
        <v>0</v>
      </c>
      <c r="L684" s="26">
        <f>IF($A684="","",CHOOSE(WEEKDAY($A684,2),"Seg","Ter","Qua","Qui","Sex","Sáb","Dom"))</f>
        <v>0</v>
      </c>
      <c r="M684" s="27">
        <f>IF($E684="","",IF($G684&lt;&gt;"",$G684,IFERROR(INDEX(ProcValor,MATCH($E684,ProcNome,0)),0)))</f>
        <v>0</v>
      </c>
      <c r="N684" s="27">
        <f>IF($M684="","",IF($F684="Compareceu",$M684,0))</f>
        <v>0</v>
      </c>
      <c r="O684" s="27">
        <f>IF($M684="","",IF($F684="Faltou",$M684,0))</f>
        <v>0</v>
      </c>
      <c r="P684" s="27">
        <f>IF($M684="","",IF($F684="Compareceu",MAX(0,$M684-N($H684)),0))</f>
        <v>0</v>
      </c>
      <c r="Q684" s="19">
        <f>IF(AND($F684="Compareceu",$E684&lt;&gt;"",$A684&lt;&gt;""),IF(IFERROR(INDEX(ProcRet,MATCH($E684,ProcNome,0)),0)&gt;0,$A684+INDEX(ProcRet,MATCH($E684,ProcNome,0)),""),"")</f>
        <v>0</v>
      </c>
      <c r="R684" s="26">
        <f>IF($Q684="","",IF(COUNTIFS(AgPac,$D684,AgData,"&gt;"&amp;$A684,AgStatus,"&lt;&gt;Cancelado",AgStatus,"&lt;&gt;Remarcado")&gt;0,"Sim","Não"))</f>
        <v>0</v>
      </c>
      <c r="S684" s="28">
        <f>IF($A684="","",IF(AND($F684="Agendado",$A684-Hoje&gt;=0,$A684-Hoje&lt;=DiasConf),"CONFIRMAR",IF(AND($A684&lt;Hoje,OR($F684="Agendado",$F684="Confirmado")),"Atualizar status",IF(AND($F684="Compareceu",$P684&gt;0.005),"Cobrar",IF($F684="Faltou","Falta: reagendar","")))))</f>
        <v>0</v>
      </c>
      <c r="T684" s="29">
        <f>IF($A684="","",DATE(YEAR($A684),MONTH($A684),1))</f>
        <v>0</v>
      </c>
      <c r="U684" s="30">
        <f>IF($S684="CONFIRMAR",MAX($U$4:$U683)+1,"")</f>
        <v>0</v>
      </c>
      <c r="V684" s="30">
        <f>IF(AND($R684="Não",$Q684&lt;&gt;"",$Q684&lt;=Hoje+JanelaRet,$Q684&gt;=Hoje-60),MAX($V$4:$V683)+1,"")</f>
        <v>0</v>
      </c>
    </row>
    <row r="685" spans="1:22">
      <c r="A685" s="16"/>
      <c r="B685" s="23"/>
      <c r="C685" s="15"/>
      <c r="D685" s="15"/>
      <c r="E685" s="15"/>
      <c r="F685" s="24"/>
      <c r="G685" s="17"/>
      <c r="H685" s="17"/>
      <c r="I685" s="15"/>
      <c r="J685" s="25">
        <f>IF($D685="","",IFERROR(INDEX(PacNome,MATCH($D685,PacCod,0)),"Paciente não cadastrado"))</f>
        <v>0</v>
      </c>
      <c r="K685" s="26">
        <f>IF($D685="","",IFERROR(INDEX(PacConv,MATCH($D685,PacCod,0))&amp;"",""))</f>
        <v>0</v>
      </c>
      <c r="L685" s="26">
        <f>IF($A685="","",CHOOSE(WEEKDAY($A685,2),"Seg","Ter","Qua","Qui","Sex","Sáb","Dom"))</f>
        <v>0</v>
      </c>
      <c r="M685" s="27">
        <f>IF($E685="","",IF($G685&lt;&gt;"",$G685,IFERROR(INDEX(ProcValor,MATCH($E685,ProcNome,0)),0)))</f>
        <v>0</v>
      </c>
      <c r="N685" s="27">
        <f>IF($M685="","",IF($F685="Compareceu",$M685,0))</f>
        <v>0</v>
      </c>
      <c r="O685" s="27">
        <f>IF($M685="","",IF($F685="Faltou",$M685,0))</f>
        <v>0</v>
      </c>
      <c r="P685" s="27">
        <f>IF($M685="","",IF($F685="Compareceu",MAX(0,$M685-N($H685)),0))</f>
        <v>0</v>
      </c>
      <c r="Q685" s="19">
        <f>IF(AND($F685="Compareceu",$E685&lt;&gt;"",$A685&lt;&gt;""),IF(IFERROR(INDEX(ProcRet,MATCH($E685,ProcNome,0)),0)&gt;0,$A685+INDEX(ProcRet,MATCH($E685,ProcNome,0)),""),"")</f>
        <v>0</v>
      </c>
      <c r="R685" s="26">
        <f>IF($Q685="","",IF(COUNTIFS(AgPac,$D685,AgData,"&gt;"&amp;$A685,AgStatus,"&lt;&gt;Cancelado",AgStatus,"&lt;&gt;Remarcado")&gt;0,"Sim","Não"))</f>
        <v>0</v>
      </c>
      <c r="S685" s="28">
        <f>IF($A685="","",IF(AND($F685="Agendado",$A685-Hoje&gt;=0,$A685-Hoje&lt;=DiasConf),"CONFIRMAR",IF(AND($A685&lt;Hoje,OR($F685="Agendado",$F685="Confirmado")),"Atualizar status",IF(AND($F685="Compareceu",$P685&gt;0.005),"Cobrar",IF($F685="Faltou","Falta: reagendar","")))))</f>
        <v>0</v>
      </c>
      <c r="T685" s="29">
        <f>IF($A685="","",DATE(YEAR($A685),MONTH($A685),1))</f>
        <v>0</v>
      </c>
      <c r="U685" s="30">
        <f>IF($S685="CONFIRMAR",MAX($U$4:$U684)+1,"")</f>
        <v>0</v>
      </c>
      <c r="V685" s="30">
        <f>IF(AND($R685="Não",$Q685&lt;&gt;"",$Q685&lt;=Hoje+JanelaRet,$Q685&gt;=Hoje-60),MAX($V$4:$V684)+1,"")</f>
        <v>0</v>
      </c>
    </row>
    <row r="686" spans="1:22">
      <c r="A686" s="16"/>
      <c r="B686" s="23"/>
      <c r="C686" s="15"/>
      <c r="D686" s="15"/>
      <c r="E686" s="15"/>
      <c r="F686" s="24"/>
      <c r="G686" s="17"/>
      <c r="H686" s="17"/>
      <c r="I686" s="15"/>
      <c r="J686" s="25">
        <f>IF($D686="","",IFERROR(INDEX(PacNome,MATCH($D686,PacCod,0)),"Paciente não cadastrado"))</f>
        <v>0</v>
      </c>
      <c r="K686" s="26">
        <f>IF($D686="","",IFERROR(INDEX(PacConv,MATCH($D686,PacCod,0))&amp;"",""))</f>
        <v>0</v>
      </c>
      <c r="L686" s="26">
        <f>IF($A686="","",CHOOSE(WEEKDAY($A686,2),"Seg","Ter","Qua","Qui","Sex","Sáb","Dom"))</f>
        <v>0</v>
      </c>
      <c r="M686" s="27">
        <f>IF($E686="","",IF($G686&lt;&gt;"",$G686,IFERROR(INDEX(ProcValor,MATCH($E686,ProcNome,0)),0)))</f>
        <v>0</v>
      </c>
      <c r="N686" s="27">
        <f>IF($M686="","",IF($F686="Compareceu",$M686,0))</f>
        <v>0</v>
      </c>
      <c r="O686" s="27">
        <f>IF($M686="","",IF($F686="Faltou",$M686,0))</f>
        <v>0</v>
      </c>
      <c r="P686" s="27">
        <f>IF($M686="","",IF($F686="Compareceu",MAX(0,$M686-N($H686)),0))</f>
        <v>0</v>
      </c>
      <c r="Q686" s="19">
        <f>IF(AND($F686="Compareceu",$E686&lt;&gt;"",$A686&lt;&gt;""),IF(IFERROR(INDEX(ProcRet,MATCH($E686,ProcNome,0)),0)&gt;0,$A686+INDEX(ProcRet,MATCH($E686,ProcNome,0)),""),"")</f>
        <v>0</v>
      </c>
      <c r="R686" s="26">
        <f>IF($Q686="","",IF(COUNTIFS(AgPac,$D686,AgData,"&gt;"&amp;$A686,AgStatus,"&lt;&gt;Cancelado",AgStatus,"&lt;&gt;Remarcado")&gt;0,"Sim","Não"))</f>
        <v>0</v>
      </c>
      <c r="S686" s="28">
        <f>IF($A686="","",IF(AND($F686="Agendado",$A686-Hoje&gt;=0,$A686-Hoje&lt;=DiasConf),"CONFIRMAR",IF(AND($A686&lt;Hoje,OR($F686="Agendado",$F686="Confirmado")),"Atualizar status",IF(AND($F686="Compareceu",$P686&gt;0.005),"Cobrar",IF($F686="Faltou","Falta: reagendar","")))))</f>
        <v>0</v>
      </c>
      <c r="T686" s="29">
        <f>IF($A686="","",DATE(YEAR($A686),MONTH($A686),1))</f>
        <v>0</v>
      </c>
      <c r="U686" s="30">
        <f>IF($S686="CONFIRMAR",MAX($U$4:$U685)+1,"")</f>
        <v>0</v>
      </c>
      <c r="V686" s="30">
        <f>IF(AND($R686="Não",$Q686&lt;&gt;"",$Q686&lt;=Hoje+JanelaRet,$Q686&gt;=Hoje-60),MAX($V$4:$V685)+1,"")</f>
        <v>0</v>
      </c>
    </row>
    <row r="687" spans="1:22">
      <c r="A687" s="16"/>
      <c r="B687" s="23"/>
      <c r="C687" s="15"/>
      <c r="D687" s="15"/>
      <c r="E687" s="15"/>
      <c r="F687" s="24"/>
      <c r="G687" s="17"/>
      <c r="H687" s="17"/>
      <c r="I687" s="15"/>
      <c r="J687" s="25">
        <f>IF($D687="","",IFERROR(INDEX(PacNome,MATCH($D687,PacCod,0)),"Paciente não cadastrado"))</f>
        <v>0</v>
      </c>
      <c r="K687" s="26">
        <f>IF($D687="","",IFERROR(INDEX(PacConv,MATCH($D687,PacCod,0))&amp;"",""))</f>
        <v>0</v>
      </c>
      <c r="L687" s="26">
        <f>IF($A687="","",CHOOSE(WEEKDAY($A687,2),"Seg","Ter","Qua","Qui","Sex","Sáb","Dom"))</f>
        <v>0</v>
      </c>
      <c r="M687" s="27">
        <f>IF($E687="","",IF($G687&lt;&gt;"",$G687,IFERROR(INDEX(ProcValor,MATCH($E687,ProcNome,0)),0)))</f>
        <v>0</v>
      </c>
      <c r="N687" s="27">
        <f>IF($M687="","",IF($F687="Compareceu",$M687,0))</f>
        <v>0</v>
      </c>
      <c r="O687" s="27">
        <f>IF($M687="","",IF($F687="Faltou",$M687,0))</f>
        <v>0</v>
      </c>
      <c r="P687" s="27">
        <f>IF($M687="","",IF($F687="Compareceu",MAX(0,$M687-N($H687)),0))</f>
        <v>0</v>
      </c>
      <c r="Q687" s="19">
        <f>IF(AND($F687="Compareceu",$E687&lt;&gt;"",$A687&lt;&gt;""),IF(IFERROR(INDEX(ProcRet,MATCH($E687,ProcNome,0)),0)&gt;0,$A687+INDEX(ProcRet,MATCH($E687,ProcNome,0)),""),"")</f>
        <v>0</v>
      </c>
      <c r="R687" s="26">
        <f>IF($Q687="","",IF(COUNTIFS(AgPac,$D687,AgData,"&gt;"&amp;$A687,AgStatus,"&lt;&gt;Cancelado",AgStatus,"&lt;&gt;Remarcado")&gt;0,"Sim","Não"))</f>
        <v>0</v>
      </c>
      <c r="S687" s="28">
        <f>IF($A687="","",IF(AND($F687="Agendado",$A687-Hoje&gt;=0,$A687-Hoje&lt;=DiasConf),"CONFIRMAR",IF(AND($A687&lt;Hoje,OR($F687="Agendado",$F687="Confirmado")),"Atualizar status",IF(AND($F687="Compareceu",$P687&gt;0.005),"Cobrar",IF($F687="Faltou","Falta: reagendar","")))))</f>
        <v>0</v>
      </c>
      <c r="T687" s="29">
        <f>IF($A687="","",DATE(YEAR($A687),MONTH($A687),1))</f>
        <v>0</v>
      </c>
      <c r="U687" s="30">
        <f>IF($S687="CONFIRMAR",MAX($U$4:$U686)+1,"")</f>
        <v>0</v>
      </c>
      <c r="V687" s="30">
        <f>IF(AND($R687="Não",$Q687&lt;&gt;"",$Q687&lt;=Hoje+JanelaRet,$Q687&gt;=Hoje-60),MAX($V$4:$V686)+1,"")</f>
        <v>0</v>
      </c>
    </row>
    <row r="688" spans="1:22">
      <c r="A688" s="16"/>
      <c r="B688" s="23"/>
      <c r="C688" s="15"/>
      <c r="D688" s="15"/>
      <c r="E688" s="15"/>
      <c r="F688" s="24"/>
      <c r="G688" s="17"/>
      <c r="H688" s="17"/>
      <c r="I688" s="15"/>
      <c r="J688" s="25">
        <f>IF($D688="","",IFERROR(INDEX(PacNome,MATCH($D688,PacCod,0)),"Paciente não cadastrado"))</f>
        <v>0</v>
      </c>
      <c r="K688" s="26">
        <f>IF($D688="","",IFERROR(INDEX(PacConv,MATCH($D688,PacCod,0))&amp;"",""))</f>
        <v>0</v>
      </c>
      <c r="L688" s="26">
        <f>IF($A688="","",CHOOSE(WEEKDAY($A688,2),"Seg","Ter","Qua","Qui","Sex","Sáb","Dom"))</f>
        <v>0</v>
      </c>
      <c r="M688" s="27">
        <f>IF($E688="","",IF($G688&lt;&gt;"",$G688,IFERROR(INDEX(ProcValor,MATCH($E688,ProcNome,0)),0)))</f>
        <v>0</v>
      </c>
      <c r="N688" s="27">
        <f>IF($M688="","",IF($F688="Compareceu",$M688,0))</f>
        <v>0</v>
      </c>
      <c r="O688" s="27">
        <f>IF($M688="","",IF($F688="Faltou",$M688,0))</f>
        <v>0</v>
      </c>
      <c r="P688" s="27">
        <f>IF($M688="","",IF($F688="Compareceu",MAX(0,$M688-N($H688)),0))</f>
        <v>0</v>
      </c>
      <c r="Q688" s="19">
        <f>IF(AND($F688="Compareceu",$E688&lt;&gt;"",$A688&lt;&gt;""),IF(IFERROR(INDEX(ProcRet,MATCH($E688,ProcNome,0)),0)&gt;0,$A688+INDEX(ProcRet,MATCH($E688,ProcNome,0)),""),"")</f>
        <v>0</v>
      </c>
      <c r="R688" s="26">
        <f>IF($Q688="","",IF(COUNTIFS(AgPac,$D688,AgData,"&gt;"&amp;$A688,AgStatus,"&lt;&gt;Cancelado",AgStatus,"&lt;&gt;Remarcado")&gt;0,"Sim","Não"))</f>
        <v>0</v>
      </c>
      <c r="S688" s="28">
        <f>IF($A688="","",IF(AND($F688="Agendado",$A688-Hoje&gt;=0,$A688-Hoje&lt;=DiasConf),"CONFIRMAR",IF(AND($A688&lt;Hoje,OR($F688="Agendado",$F688="Confirmado")),"Atualizar status",IF(AND($F688="Compareceu",$P688&gt;0.005),"Cobrar",IF($F688="Faltou","Falta: reagendar","")))))</f>
        <v>0</v>
      </c>
      <c r="T688" s="29">
        <f>IF($A688="","",DATE(YEAR($A688),MONTH($A688),1))</f>
        <v>0</v>
      </c>
      <c r="U688" s="30">
        <f>IF($S688="CONFIRMAR",MAX($U$4:$U687)+1,"")</f>
        <v>0</v>
      </c>
      <c r="V688" s="30">
        <f>IF(AND($R688="Não",$Q688&lt;&gt;"",$Q688&lt;=Hoje+JanelaRet,$Q688&gt;=Hoje-60),MAX($V$4:$V687)+1,"")</f>
        <v>0</v>
      </c>
    </row>
    <row r="689" spans="1:22">
      <c r="A689" s="16"/>
      <c r="B689" s="23"/>
      <c r="C689" s="15"/>
      <c r="D689" s="15"/>
      <c r="E689" s="15"/>
      <c r="F689" s="24"/>
      <c r="G689" s="17"/>
      <c r="H689" s="17"/>
      <c r="I689" s="15"/>
      <c r="J689" s="25">
        <f>IF($D689="","",IFERROR(INDEX(PacNome,MATCH($D689,PacCod,0)),"Paciente não cadastrado"))</f>
        <v>0</v>
      </c>
      <c r="K689" s="26">
        <f>IF($D689="","",IFERROR(INDEX(PacConv,MATCH($D689,PacCod,0))&amp;"",""))</f>
        <v>0</v>
      </c>
      <c r="L689" s="26">
        <f>IF($A689="","",CHOOSE(WEEKDAY($A689,2),"Seg","Ter","Qua","Qui","Sex","Sáb","Dom"))</f>
        <v>0</v>
      </c>
      <c r="M689" s="27">
        <f>IF($E689="","",IF($G689&lt;&gt;"",$G689,IFERROR(INDEX(ProcValor,MATCH($E689,ProcNome,0)),0)))</f>
        <v>0</v>
      </c>
      <c r="N689" s="27">
        <f>IF($M689="","",IF($F689="Compareceu",$M689,0))</f>
        <v>0</v>
      </c>
      <c r="O689" s="27">
        <f>IF($M689="","",IF($F689="Faltou",$M689,0))</f>
        <v>0</v>
      </c>
      <c r="P689" s="27">
        <f>IF($M689="","",IF($F689="Compareceu",MAX(0,$M689-N($H689)),0))</f>
        <v>0</v>
      </c>
      <c r="Q689" s="19">
        <f>IF(AND($F689="Compareceu",$E689&lt;&gt;"",$A689&lt;&gt;""),IF(IFERROR(INDEX(ProcRet,MATCH($E689,ProcNome,0)),0)&gt;0,$A689+INDEX(ProcRet,MATCH($E689,ProcNome,0)),""),"")</f>
        <v>0</v>
      </c>
      <c r="R689" s="26">
        <f>IF($Q689="","",IF(COUNTIFS(AgPac,$D689,AgData,"&gt;"&amp;$A689,AgStatus,"&lt;&gt;Cancelado",AgStatus,"&lt;&gt;Remarcado")&gt;0,"Sim","Não"))</f>
        <v>0</v>
      </c>
      <c r="S689" s="28">
        <f>IF($A689="","",IF(AND($F689="Agendado",$A689-Hoje&gt;=0,$A689-Hoje&lt;=DiasConf),"CONFIRMAR",IF(AND($A689&lt;Hoje,OR($F689="Agendado",$F689="Confirmado")),"Atualizar status",IF(AND($F689="Compareceu",$P689&gt;0.005),"Cobrar",IF($F689="Faltou","Falta: reagendar","")))))</f>
        <v>0</v>
      </c>
      <c r="T689" s="29">
        <f>IF($A689="","",DATE(YEAR($A689),MONTH($A689),1))</f>
        <v>0</v>
      </c>
      <c r="U689" s="30">
        <f>IF($S689="CONFIRMAR",MAX($U$4:$U688)+1,"")</f>
        <v>0</v>
      </c>
      <c r="V689" s="30">
        <f>IF(AND($R689="Não",$Q689&lt;&gt;"",$Q689&lt;=Hoje+JanelaRet,$Q689&gt;=Hoje-60),MAX($V$4:$V688)+1,"")</f>
        <v>0</v>
      </c>
    </row>
    <row r="690" spans="1:22">
      <c r="A690" s="16"/>
      <c r="B690" s="23"/>
      <c r="C690" s="15"/>
      <c r="D690" s="15"/>
      <c r="E690" s="15"/>
      <c r="F690" s="24"/>
      <c r="G690" s="17"/>
      <c r="H690" s="17"/>
      <c r="I690" s="15"/>
      <c r="J690" s="25">
        <f>IF($D690="","",IFERROR(INDEX(PacNome,MATCH($D690,PacCod,0)),"Paciente não cadastrado"))</f>
        <v>0</v>
      </c>
      <c r="K690" s="26">
        <f>IF($D690="","",IFERROR(INDEX(PacConv,MATCH($D690,PacCod,0))&amp;"",""))</f>
        <v>0</v>
      </c>
      <c r="L690" s="26">
        <f>IF($A690="","",CHOOSE(WEEKDAY($A690,2),"Seg","Ter","Qua","Qui","Sex","Sáb","Dom"))</f>
        <v>0</v>
      </c>
      <c r="M690" s="27">
        <f>IF($E690="","",IF($G690&lt;&gt;"",$G690,IFERROR(INDEX(ProcValor,MATCH($E690,ProcNome,0)),0)))</f>
        <v>0</v>
      </c>
      <c r="N690" s="27">
        <f>IF($M690="","",IF($F690="Compareceu",$M690,0))</f>
        <v>0</v>
      </c>
      <c r="O690" s="27">
        <f>IF($M690="","",IF($F690="Faltou",$M690,0))</f>
        <v>0</v>
      </c>
      <c r="P690" s="27">
        <f>IF($M690="","",IF($F690="Compareceu",MAX(0,$M690-N($H690)),0))</f>
        <v>0</v>
      </c>
      <c r="Q690" s="19">
        <f>IF(AND($F690="Compareceu",$E690&lt;&gt;"",$A690&lt;&gt;""),IF(IFERROR(INDEX(ProcRet,MATCH($E690,ProcNome,0)),0)&gt;0,$A690+INDEX(ProcRet,MATCH($E690,ProcNome,0)),""),"")</f>
        <v>0</v>
      </c>
      <c r="R690" s="26">
        <f>IF($Q690="","",IF(COUNTIFS(AgPac,$D690,AgData,"&gt;"&amp;$A690,AgStatus,"&lt;&gt;Cancelado",AgStatus,"&lt;&gt;Remarcado")&gt;0,"Sim","Não"))</f>
        <v>0</v>
      </c>
      <c r="S690" s="28">
        <f>IF($A690="","",IF(AND($F690="Agendado",$A690-Hoje&gt;=0,$A690-Hoje&lt;=DiasConf),"CONFIRMAR",IF(AND($A690&lt;Hoje,OR($F690="Agendado",$F690="Confirmado")),"Atualizar status",IF(AND($F690="Compareceu",$P690&gt;0.005),"Cobrar",IF($F690="Faltou","Falta: reagendar","")))))</f>
        <v>0</v>
      </c>
      <c r="T690" s="29">
        <f>IF($A690="","",DATE(YEAR($A690),MONTH($A690),1))</f>
        <v>0</v>
      </c>
      <c r="U690" s="30">
        <f>IF($S690="CONFIRMAR",MAX($U$4:$U689)+1,"")</f>
        <v>0</v>
      </c>
      <c r="V690" s="30">
        <f>IF(AND($R690="Não",$Q690&lt;&gt;"",$Q690&lt;=Hoje+JanelaRet,$Q690&gt;=Hoje-60),MAX($V$4:$V689)+1,"")</f>
        <v>0</v>
      </c>
    </row>
    <row r="691" spans="1:22">
      <c r="A691" s="16"/>
      <c r="B691" s="23"/>
      <c r="C691" s="15"/>
      <c r="D691" s="15"/>
      <c r="E691" s="15"/>
      <c r="F691" s="24"/>
      <c r="G691" s="17"/>
      <c r="H691" s="17"/>
      <c r="I691" s="15"/>
      <c r="J691" s="25">
        <f>IF($D691="","",IFERROR(INDEX(PacNome,MATCH($D691,PacCod,0)),"Paciente não cadastrado"))</f>
        <v>0</v>
      </c>
      <c r="K691" s="26">
        <f>IF($D691="","",IFERROR(INDEX(PacConv,MATCH($D691,PacCod,0))&amp;"",""))</f>
        <v>0</v>
      </c>
      <c r="L691" s="26">
        <f>IF($A691="","",CHOOSE(WEEKDAY($A691,2),"Seg","Ter","Qua","Qui","Sex","Sáb","Dom"))</f>
        <v>0</v>
      </c>
      <c r="M691" s="27">
        <f>IF($E691="","",IF($G691&lt;&gt;"",$G691,IFERROR(INDEX(ProcValor,MATCH($E691,ProcNome,0)),0)))</f>
        <v>0</v>
      </c>
      <c r="N691" s="27">
        <f>IF($M691="","",IF($F691="Compareceu",$M691,0))</f>
        <v>0</v>
      </c>
      <c r="O691" s="27">
        <f>IF($M691="","",IF($F691="Faltou",$M691,0))</f>
        <v>0</v>
      </c>
      <c r="P691" s="27">
        <f>IF($M691="","",IF($F691="Compareceu",MAX(0,$M691-N($H691)),0))</f>
        <v>0</v>
      </c>
      <c r="Q691" s="19">
        <f>IF(AND($F691="Compareceu",$E691&lt;&gt;"",$A691&lt;&gt;""),IF(IFERROR(INDEX(ProcRet,MATCH($E691,ProcNome,0)),0)&gt;0,$A691+INDEX(ProcRet,MATCH($E691,ProcNome,0)),""),"")</f>
        <v>0</v>
      </c>
      <c r="R691" s="26">
        <f>IF($Q691="","",IF(COUNTIFS(AgPac,$D691,AgData,"&gt;"&amp;$A691,AgStatus,"&lt;&gt;Cancelado",AgStatus,"&lt;&gt;Remarcado")&gt;0,"Sim","Não"))</f>
        <v>0</v>
      </c>
      <c r="S691" s="28">
        <f>IF($A691="","",IF(AND($F691="Agendado",$A691-Hoje&gt;=0,$A691-Hoje&lt;=DiasConf),"CONFIRMAR",IF(AND($A691&lt;Hoje,OR($F691="Agendado",$F691="Confirmado")),"Atualizar status",IF(AND($F691="Compareceu",$P691&gt;0.005),"Cobrar",IF($F691="Faltou","Falta: reagendar","")))))</f>
        <v>0</v>
      </c>
      <c r="T691" s="29">
        <f>IF($A691="","",DATE(YEAR($A691),MONTH($A691),1))</f>
        <v>0</v>
      </c>
      <c r="U691" s="30">
        <f>IF($S691="CONFIRMAR",MAX($U$4:$U690)+1,"")</f>
        <v>0</v>
      </c>
      <c r="V691" s="30">
        <f>IF(AND($R691="Não",$Q691&lt;&gt;"",$Q691&lt;=Hoje+JanelaRet,$Q691&gt;=Hoje-60),MAX($V$4:$V690)+1,"")</f>
        <v>0</v>
      </c>
    </row>
    <row r="692" spans="1:22">
      <c r="A692" s="16"/>
      <c r="B692" s="23"/>
      <c r="C692" s="15"/>
      <c r="D692" s="15"/>
      <c r="E692" s="15"/>
      <c r="F692" s="24"/>
      <c r="G692" s="17"/>
      <c r="H692" s="17"/>
      <c r="I692" s="15"/>
      <c r="J692" s="25">
        <f>IF($D692="","",IFERROR(INDEX(PacNome,MATCH($D692,PacCod,0)),"Paciente não cadastrado"))</f>
        <v>0</v>
      </c>
      <c r="K692" s="26">
        <f>IF($D692="","",IFERROR(INDEX(PacConv,MATCH($D692,PacCod,0))&amp;"",""))</f>
        <v>0</v>
      </c>
      <c r="L692" s="26">
        <f>IF($A692="","",CHOOSE(WEEKDAY($A692,2),"Seg","Ter","Qua","Qui","Sex","Sáb","Dom"))</f>
        <v>0</v>
      </c>
      <c r="M692" s="27">
        <f>IF($E692="","",IF($G692&lt;&gt;"",$G692,IFERROR(INDEX(ProcValor,MATCH($E692,ProcNome,0)),0)))</f>
        <v>0</v>
      </c>
      <c r="N692" s="27">
        <f>IF($M692="","",IF($F692="Compareceu",$M692,0))</f>
        <v>0</v>
      </c>
      <c r="O692" s="27">
        <f>IF($M692="","",IF($F692="Faltou",$M692,0))</f>
        <v>0</v>
      </c>
      <c r="P692" s="27">
        <f>IF($M692="","",IF($F692="Compareceu",MAX(0,$M692-N($H692)),0))</f>
        <v>0</v>
      </c>
      <c r="Q692" s="19">
        <f>IF(AND($F692="Compareceu",$E692&lt;&gt;"",$A692&lt;&gt;""),IF(IFERROR(INDEX(ProcRet,MATCH($E692,ProcNome,0)),0)&gt;0,$A692+INDEX(ProcRet,MATCH($E692,ProcNome,0)),""),"")</f>
        <v>0</v>
      </c>
      <c r="R692" s="26">
        <f>IF($Q692="","",IF(COUNTIFS(AgPac,$D692,AgData,"&gt;"&amp;$A692,AgStatus,"&lt;&gt;Cancelado",AgStatus,"&lt;&gt;Remarcado")&gt;0,"Sim","Não"))</f>
        <v>0</v>
      </c>
      <c r="S692" s="28">
        <f>IF($A692="","",IF(AND($F692="Agendado",$A692-Hoje&gt;=0,$A692-Hoje&lt;=DiasConf),"CONFIRMAR",IF(AND($A692&lt;Hoje,OR($F692="Agendado",$F692="Confirmado")),"Atualizar status",IF(AND($F692="Compareceu",$P692&gt;0.005),"Cobrar",IF($F692="Faltou","Falta: reagendar","")))))</f>
        <v>0</v>
      </c>
      <c r="T692" s="29">
        <f>IF($A692="","",DATE(YEAR($A692),MONTH($A692),1))</f>
        <v>0</v>
      </c>
      <c r="U692" s="30">
        <f>IF($S692="CONFIRMAR",MAX($U$4:$U691)+1,"")</f>
        <v>0</v>
      </c>
      <c r="V692" s="30">
        <f>IF(AND($R692="Não",$Q692&lt;&gt;"",$Q692&lt;=Hoje+JanelaRet,$Q692&gt;=Hoje-60),MAX($V$4:$V691)+1,"")</f>
        <v>0</v>
      </c>
    </row>
    <row r="693" spans="1:22">
      <c r="A693" s="16"/>
      <c r="B693" s="23"/>
      <c r="C693" s="15"/>
      <c r="D693" s="15"/>
      <c r="E693" s="15"/>
      <c r="F693" s="24"/>
      <c r="G693" s="17"/>
      <c r="H693" s="17"/>
      <c r="I693" s="15"/>
      <c r="J693" s="25">
        <f>IF($D693="","",IFERROR(INDEX(PacNome,MATCH($D693,PacCod,0)),"Paciente não cadastrado"))</f>
        <v>0</v>
      </c>
      <c r="K693" s="26">
        <f>IF($D693="","",IFERROR(INDEX(PacConv,MATCH($D693,PacCod,0))&amp;"",""))</f>
        <v>0</v>
      </c>
      <c r="L693" s="26">
        <f>IF($A693="","",CHOOSE(WEEKDAY($A693,2),"Seg","Ter","Qua","Qui","Sex","Sáb","Dom"))</f>
        <v>0</v>
      </c>
      <c r="M693" s="27">
        <f>IF($E693="","",IF($G693&lt;&gt;"",$G693,IFERROR(INDEX(ProcValor,MATCH($E693,ProcNome,0)),0)))</f>
        <v>0</v>
      </c>
      <c r="N693" s="27">
        <f>IF($M693="","",IF($F693="Compareceu",$M693,0))</f>
        <v>0</v>
      </c>
      <c r="O693" s="27">
        <f>IF($M693="","",IF($F693="Faltou",$M693,0))</f>
        <v>0</v>
      </c>
      <c r="P693" s="27">
        <f>IF($M693="","",IF($F693="Compareceu",MAX(0,$M693-N($H693)),0))</f>
        <v>0</v>
      </c>
      <c r="Q693" s="19">
        <f>IF(AND($F693="Compareceu",$E693&lt;&gt;"",$A693&lt;&gt;""),IF(IFERROR(INDEX(ProcRet,MATCH($E693,ProcNome,0)),0)&gt;0,$A693+INDEX(ProcRet,MATCH($E693,ProcNome,0)),""),"")</f>
        <v>0</v>
      </c>
      <c r="R693" s="26">
        <f>IF($Q693="","",IF(COUNTIFS(AgPac,$D693,AgData,"&gt;"&amp;$A693,AgStatus,"&lt;&gt;Cancelado",AgStatus,"&lt;&gt;Remarcado")&gt;0,"Sim","Não"))</f>
        <v>0</v>
      </c>
      <c r="S693" s="28">
        <f>IF($A693="","",IF(AND($F693="Agendado",$A693-Hoje&gt;=0,$A693-Hoje&lt;=DiasConf),"CONFIRMAR",IF(AND($A693&lt;Hoje,OR($F693="Agendado",$F693="Confirmado")),"Atualizar status",IF(AND($F693="Compareceu",$P693&gt;0.005),"Cobrar",IF($F693="Faltou","Falta: reagendar","")))))</f>
        <v>0</v>
      </c>
      <c r="T693" s="29">
        <f>IF($A693="","",DATE(YEAR($A693),MONTH($A693),1))</f>
        <v>0</v>
      </c>
      <c r="U693" s="30">
        <f>IF($S693="CONFIRMAR",MAX($U$4:$U692)+1,"")</f>
        <v>0</v>
      </c>
      <c r="V693" s="30">
        <f>IF(AND($R693="Não",$Q693&lt;&gt;"",$Q693&lt;=Hoje+JanelaRet,$Q693&gt;=Hoje-60),MAX($V$4:$V692)+1,"")</f>
        <v>0</v>
      </c>
    </row>
    <row r="694" spans="1:22">
      <c r="A694" s="16"/>
      <c r="B694" s="23"/>
      <c r="C694" s="15"/>
      <c r="D694" s="15"/>
      <c r="E694" s="15"/>
      <c r="F694" s="24"/>
      <c r="G694" s="17"/>
      <c r="H694" s="17"/>
      <c r="I694" s="15"/>
      <c r="J694" s="25">
        <f>IF($D694="","",IFERROR(INDEX(PacNome,MATCH($D694,PacCod,0)),"Paciente não cadastrado"))</f>
        <v>0</v>
      </c>
      <c r="K694" s="26">
        <f>IF($D694="","",IFERROR(INDEX(PacConv,MATCH($D694,PacCod,0))&amp;"",""))</f>
        <v>0</v>
      </c>
      <c r="L694" s="26">
        <f>IF($A694="","",CHOOSE(WEEKDAY($A694,2),"Seg","Ter","Qua","Qui","Sex","Sáb","Dom"))</f>
        <v>0</v>
      </c>
      <c r="M694" s="27">
        <f>IF($E694="","",IF($G694&lt;&gt;"",$G694,IFERROR(INDEX(ProcValor,MATCH($E694,ProcNome,0)),0)))</f>
        <v>0</v>
      </c>
      <c r="N694" s="27">
        <f>IF($M694="","",IF($F694="Compareceu",$M694,0))</f>
        <v>0</v>
      </c>
      <c r="O694" s="27">
        <f>IF($M694="","",IF($F694="Faltou",$M694,0))</f>
        <v>0</v>
      </c>
      <c r="P694" s="27">
        <f>IF($M694="","",IF($F694="Compareceu",MAX(0,$M694-N($H694)),0))</f>
        <v>0</v>
      </c>
      <c r="Q694" s="19">
        <f>IF(AND($F694="Compareceu",$E694&lt;&gt;"",$A694&lt;&gt;""),IF(IFERROR(INDEX(ProcRet,MATCH($E694,ProcNome,0)),0)&gt;0,$A694+INDEX(ProcRet,MATCH($E694,ProcNome,0)),""),"")</f>
        <v>0</v>
      </c>
      <c r="R694" s="26">
        <f>IF($Q694="","",IF(COUNTIFS(AgPac,$D694,AgData,"&gt;"&amp;$A694,AgStatus,"&lt;&gt;Cancelado",AgStatus,"&lt;&gt;Remarcado")&gt;0,"Sim","Não"))</f>
        <v>0</v>
      </c>
      <c r="S694" s="28">
        <f>IF($A694="","",IF(AND($F694="Agendado",$A694-Hoje&gt;=0,$A694-Hoje&lt;=DiasConf),"CONFIRMAR",IF(AND($A694&lt;Hoje,OR($F694="Agendado",$F694="Confirmado")),"Atualizar status",IF(AND($F694="Compareceu",$P694&gt;0.005),"Cobrar",IF($F694="Faltou","Falta: reagendar","")))))</f>
        <v>0</v>
      </c>
      <c r="T694" s="29">
        <f>IF($A694="","",DATE(YEAR($A694),MONTH($A694),1))</f>
        <v>0</v>
      </c>
      <c r="U694" s="30">
        <f>IF($S694="CONFIRMAR",MAX($U$4:$U693)+1,"")</f>
        <v>0</v>
      </c>
      <c r="V694" s="30">
        <f>IF(AND($R694="Não",$Q694&lt;&gt;"",$Q694&lt;=Hoje+JanelaRet,$Q694&gt;=Hoje-60),MAX($V$4:$V693)+1,"")</f>
        <v>0</v>
      </c>
    </row>
    <row r="695" spans="1:22">
      <c r="A695" s="16"/>
      <c r="B695" s="23"/>
      <c r="C695" s="15"/>
      <c r="D695" s="15"/>
      <c r="E695" s="15"/>
      <c r="F695" s="24"/>
      <c r="G695" s="17"/>
      <c r="H695" s="17"/>
      <c r="I695" s="15"/>
      <c r="J695" s="25">
        <f>IF($D695="","",IFERROR(INDEX(PacNome,MATCH($D695,PacCod,0)),"Paciente não cadastrado"))</f>
        <v>0</v>
      </c>
      <c r="K695" s="26">
        <f>IF($D695="","",IFERROR(INDEX(PacConv,MATCH($D695,PacCod,0))&amp;"",""))</f>
        <v>0</v>
      </c>
      <c r="L695" s="26">
        <f>IF($A695="","",CHOOSE(WEEKDAY($A695,2),"Seg","Ter","Qua","Qui","Sex","Sáb","Dom"))</f>
        <v>0</v>
      </c>
      <c r="M695" s="27">
        <f>IF($E695="","",IF($G695&lt;&gt;"",$G695,IFERROR(INDEX(ProcValor,MATCH($E695,ProcNome,0)),0)))</f>
        <v>0</v>
      </c>
      <c r="N695" s="27">
        <f>IF($M695="","",IF($F695="Compareceu",$M695,0))</f>
        <v>0</v>
      </c>
      <c r="O695" s="27">
        <f>IF($M695="","",IF($F695="Faltou",$M695,0))</f>
        <v>0</v>
      </c>
      <c r="P695" s="27">
        <f>IF($M695="","",IF($F695="Compareceu",MAX(0,$M695-N($H695)),0))</f>
        <v>0</v>
      </c>
      <c r="Q695" s="19">
        <f>IF(AND($F695="Compareceu",$E695&lt;&gt;"",$A695&lt;&gt;""),IF(IFERROR(INDEX(ProcRet,MATCH($E695,ProcNome,0)),0)&gt;0,$A695+INDEX(ProcRet,MATCH($E695,ProcNome,0)),""),"")</f>
        <v>0</v>
      </c>
      <c r="R695" s="26">
        <f>IF($Q695="","",IF(COUNTIFS(AgPac,$D695,AgData,"&gt;"&amp;$A695,AgStatus,"&lt;&gt;Cancelado",AgStatus,"&lt;&gt;Remarcado")&gt;0,"Sim","Não"))</f>
        <v>0</v>
      </c>
      <c r="S695" s="28">
        <f>IF($A695="","",IF(AND($F695="Agendado",$A695-Hoje&gt;=0,$A695-Hoje&lt;=DiasConf),"CONFIRMAR",IF(AND($A695&lt;Hoje,OR($F695="Agendado",$F695="Confirmado")),"Atualizar status",IF(AND($F695="Compareceu",$P695&gt;0.005),"Cobrar",IF($F695="Faltou","Falta: reagendar","")))))</f>
        <v>0</v>
      </c>
      <c r="T695" s="29">
        <f>IF($A695="","",DATE(YEAR($A695),MONTH($A695),1))</f>
        <v>0</v>
      </c>
      <c r="U695" s="30">
        <f>IF($S695="CONFIRMAR",MAX($U$4:$U694)+1,"")</f>
        <v>0</v>
      </c>
      <c r="V695" s="30">
        <f>IF(AND($R695="Não",$Q695&lt;&gt;"",$Q695&lt;=Hoje+JanelaRet,$Q695&gt;=Hoje-60),MAX($V$4:$V694)+1,"")</f>
        <v>0</v>
      </c>
    </row>
    <row r="696" spans="1:22">
      <c r="A696" s="16"/>
      <c r="B696" s="23"/>
      <c r="C696" s="15"/>
      <c r="D696" s="15"/>
      <c r="E696" s="15"/>
      <c r="F696" s="24"/>
      <c r="G696" s="17"/>
      <c r="H696" s="17"/>
      <c r="I696" s="15"/>
      <c r="J696" s="25">
        <f>IF($D696="","",IFERROR(INDEX(PacNome,MATCH($D696,PacCod,0)),"Paciente não cadastrado"))</f>
        <v>0</v>
      </c>
      <c r="K696" s="26">
        <f>IF($D696="","",IFERROR(INDEX(PacConv,MATCH($D696,PacCod,0))&amp;"",""))</f>
        <v>0</v>
      </c>
      <c r="L696" s="26">
        <f>IF($A696="","",CHOOSE(WEEKDAY($A696,2),"Seg","Ter","Qua","Qui","Sex","Sáb","Dom"))</f>
        <v>0</v>
      </c>
      <c r="M696" s="27">
        <f>IF($E696="","",IF($G696&lt;&gt;"",$G696,IFERROR(INDEX(ProcValor,MATCH($E696,ProcNome,0)),0)))</f>
        <v>0</v>
      </c>
      <c r="N696" s="27">
        <f>IF($M696="","",IF($F696="Compareceu",$M696,0))</f>
        <v>0</v>
      </c>
      <c r="O696" s="27">
        <f>IF($M696="","",IF($F696="Faltou",$M696,0))</f>
        <v>0</v>
      </c>
      <c r="P696" s="27">
        <f>IF($M696="","",IF($F696="Compareceu",MAX(0,$M696-N($H696)),0))</f>
        <v>0</v>
      </c>
      <c r="Q696" s="19">
        <f>IF(AND($F696="Compareceu",$E696&lt;&gt;"",$A696&lt;&gt;""),IF(IFERROR(INDEX(ProcRet,MATCH($E696,ProcNome,0)),0)&gt;0,$A696+INDEX(ProcRet,MATCH($E696,ProcNome,0)),""),"")</f>
        <v>0</v>
      </c>
      <c r="R696" s="26">
        <f>IF($Q696="","",IF(COUNTIFS(AgPac,$D696,AgData,"&gt;"&amp;$A696,AgStatus,"&lt;&gt;Cancelado",AgStatus,"&lt;&gt;Remarcado")&gt;0,"Sim","Não"))</f>
        <v>0</v>
      </c>
      <c r="S696" s="28">
        <f>IF($A696="","",IF(AND($F696="Agendado",$A696-Hoje&gt;=0,$A696-Hoje&lt;=DiasConf),"CONFIRMAR",IF(AND($A696&lt;Hoje,OR($F696="Agendado",$F696="Confirmado")),"Atualizar status",IF(AND($F696="Compareceu",$P696&gt;0.005),"Cobrar",IF($F696="Faltou","Falta: reagendar","")))))</f>
        <v>0</v>
      </c>
      <c r="T696" s="29">
        <f>IF($A696="","",DATE(YEAR($A696),MONTH($A696),1))</f>
        <v>0</v>
      </c>
      <c r="U696" s="30">
        <f>IF($S696="CONFIRMAR",MAX($U$4:$U695)+1,"")</f>
        <v>0</v>
      </c>
      <c r="V696" s="30">
        <f>IF(AND($R696="Não",$Q696&lt;&gt;"",$Q696&lt;=Hoje+JanelaRet,$Q696&gt;=Hoje-60),MAX($V$4:$V695)+1,"")</f>
        <v>0</v>
      </c>
    </row>
    <row r="697" spans="1:22">
      <c r="A697" s="16"/>
      <c r="B697" s="23"/>
      <c r="C697" s="15"/>
      <c r="D697" s="15"/>
      <c r="E697" s="15"/>
      <c r="F697" s="24"/>
      <c r="G697" s="17"/>
      <c r="H697" s="17"/>
      <c r="I697" s="15"/>
      <c r="J697" s="25">
        <f>IF($D697="","",IFERROR(INDEX(PacNome,MATCH($D697,PacCod,0)),"Paciente não cadastrado"))</f>
        <v>0</v>
      </c>
      <c r="K697" s="26">
        <f>IF($D697="","",IFERROR(INDEX(PacConv,MATCH($D697,PacCod,0))&amp;"",""))</f>
        <v>0</v>
      </c>
      <c r="L697" s="26">
        <f>IF($A697="","",CHOOSE(WEEKDAY($A697,2),"Seg","Ter","Qua","Qui","Sex","Sáb","Dom"))</f>
        <v>0</v>
      </c>
      <c r="M697" s="27">
        <f>IF($E697="","",IF($G697&lt;&gt;"",$G697,IFERROR(INDEX(ProcValor,MATCH($E697,ProcNome,0)),0)))</f>
        <v>0</v>
      </c>
      <c r="N697" s="27">
        <f>IF($M697="","",IF($F697="Compareceu",$M697,0))</f>
        <v>0</v>
      </c>
      <c r="O697" s="27">
        <f>IF($M697="","",IF($F697="Faltou",$M697,0))</f>
        <v>0</v>
      </c>
      <c r="P697" s="27">
        <f>IF($M697="","",IF($F697="Compareceu",MAX(0,$M697-N($H697)),0))</f>
        <v>0</v>
      </c>
      <c r="Q697" s="19">
        <f>IF(AND($F697="Compareceu",$E697&lt;&gt;"",$A697&lt;&gt;""),IF(IFERROR(INDEX(ProcRet,MATCH($E697,ProcNome,0)),0)&gt;0,$A697+INDEX(ProcRet,MATCH($E697,ProcNome,0)),""),"")</f>
        <v>0</v>
      </c>
      <c r="R697" s="26">
        <f>IF($Q697="","",IF(COUNTIFS(AgPac,$D697,AgData,"&gt;"&amp;$A697,AgStatus,"&lt;&gt;Cancelado",AgStatus,"&lt;&gt;Remarcado")&gt;0,"Sim","Não"))</f>
        <v>0</v>
      </c>
      <c r="S697" s="28">
        <f>IF($A697="","",IF(AND($F697="Agendado",$A697-Hoje&gt;=0,$A697-Hoje&lt;=DiasConf),"CONFIRMAR",IF(AND($A697&lt;Hoje,OR($F697="Agendado",$F697="Confirmado")),"Atualizar status",IF(AND($F697="Compareceu",$P697&gt;0.005),"Cobrar",IF($F697="Faltou","Falta: reagendar","")))))</f>
        <v>0</v>
      </c>
      <c r="T697" s="29">
        <f>IF($A697="","",DATE(YEAR($A697),MONTH($A697),1))</f>
        <v>0</v>
      </c>
      <c r="U697" s="30">
        <f>IF($S697="CONFIRMAR",MAX($U$4:$U696)+1,"")</f>
        <v>0</v>
      </c>
      <c r="V697" s="30">
        <f>IF(AND($R697="Não",$Q697&lt;&gt;"",$Q697&lt;=Hoje+JanelaRet,$Q697&gt;=Hoje-60),MAX($V$4:$V696)+1,"")</f>
        <v>0</v>
      </c>
    </row>
    <row r="698" spans="1:22">
      <c r="A698" s="16"/>
      <c r="B698" s="23"/>
      <c r="C698" s="15"/>
      <c r="D698" s="15"/>
      <c r="E698" s="15"/>
      <c r="F698" s="24"/>
      <c r="G698" s="17"/>
      <c r="H698" s="17"/>
      <c r="I698" s="15"/>
      <c r="J698" s="25">
        <f>IF($D698="","",IFERROR(INDEX(PacNome,MATCH($D698,PacCod,0)),"Paciente não cadastrado"))</f>
        <v>0</v>
      </c>
      <c r="K698" s="26">
        <f>IF($D698="","",IFERROR(INDEX(PacConv,MATCH($D698,PacCod,0))&amp;"",""))</f>
        <v>0</v>
      </c>
      <c r="L698" s="26">
        <f>IF($A698="","",CHOOSE(WEEKDAY($A698,2),"Seg","Ter","Qua","Qui","Sex","Sáb","Dom"))</f>
        <v>0</v>
      </c>
      <c r="M698" s="27">
        <f>IF($E698="","",IF($G698&lt;&gt;"",$G698,IFERROR(INDEX(ProcValor,MATCH($E698,ProcNome,0)),0)))</f>
        <v>0</v>
      </c>
      <c r="N698" s="27">
        <f>IF($M698="","",IF($F698="Compareceu",$M698,0))</f>
        <v>0</v>
      </c>
      <c r="O698" s="27">
        <f>IF($M698="","",IF($F698="Faltou",$M698,0))</f>
        <v>0</v>
      </c>
      <c r="P698" s="27">
        <f>IF($M698="","",IF($F698="Compareceu",MAX(0,$M698-N($H698)),0))</f>
        <v>0</v>
      </c>
      <c r="Q698" s="19">
        <f>IF(AND($F698="Compareceu",$E698&lt;&gt;"",$A698&lt;&gt;""),IF(IFERROR(INDEX(ProcRet,MATCH($E698,ProcNome,0)),0)&gt;0,$A698+INDEX(ProcRet,MATCH($E698,ProcNome,0)),""),"")</f>
        <v>0</v>
      </c>
      <c r="R698" s="26">
        <f>IF($Q698="","",IF(COUNTIFS(AgPac,$D698,AgData,"&gt;"&amp;$A698,AgStatus,"&lt;&gt;Cancelado",AgStatus,"&lt;&gt;Remarcado")&gt;0,"Sim","Não"))</f>
        <v>0</v>
      </c>
      <c r="S698" s="28">
        <f>IF($A698="","",IF(AND($F698="Agendado",$A698-Hoje&gt;=0,$A698-Hoje&lt;=DiasConf),"CONFIRMAR",IF(AND($A698&lt;Hoje,OR($F698="Agendado",$F698="Confirmado")),"Atualizar status",IF(AND($F698="Compareceu",$P698&gt;0.005),"Cobrar",IF($F698="Faltou","Falta: reagendar","")))))</f>
        <v>0</v>
      </c>
      <c r="T698" s="29">
        <f>IF($A698="","",DATE(YEAR($A698),MONTH($A698),1))</f>
        <v>0</v>
      </c>
      <c r="U698" s="30">
        <f>IF($S698="CONFIRMAR",MAX($U$4:$U697)+1,"")</f>
        <v>0</v>
      </c>
      <c r="V698" s="30">
        <f>IF(AND($R698="Não",$Q698&lt;&gt;"",$Q698&lt;=Hoje+JanelaRet,$Q698&gt;=Hoje-60),MAX($V$4:$V697)+1,"")</f>
        <v>0</v>
      </c>
    </row>
    <row r="699" spans="1:22">
      <c r="A699" s="16"/>
      <c r="B699" s="23"/>
      <c r="C699" s="15"/>
      <c r="D699" s="15"/>
      <c r="E699" s="15"/>
      <c r="F699" s="24"/>
      <c r="G699" s="17"/>
      <c r="H699" s="17"/>
      <c r="I699" s="15"/>
      <c r="J699" s="25">
        <f>IF($D699="","",IFERROR(INDEX(PacNome,MATCH($D699,PacCod,0)),"Paciente não cadastrado"))</f>
        <v>0</v>
      </c>
      <c r="K699" s="26">
        <f>IF($D699="","",IFERROR(INDEX(PacConv,MATCH($D699,PacCod,0))&amp;"",""))</f>
        <v>0</v>
      </c>
      <c r="L699" s="26">
        <f>IF($A699="","",CHOOSE(WEEKDAY($A699,2),"Seg","Ter","Qua","Qui","Sex","Sáb","Dom"))</f>
        <v>0</v>
      </c>
      <c r="M699" s="27">
        <f>IF($E699="","",IF($G699&lt;&gt;"",$G699,IFERROR(INDEX(ProcValor,MATCH($E699,ProcNome,0)),0)))</f>
        <v>0</v>
      </c>
      <c r="N699" s="27">
        <f>IF($M699="","",IF($F699="Compareceu",$M699,0))</f>
        <v>0</v>
      </c>
      <c r="O699" s="27">
        <f>IF($M699="","",IF($F699="Faltou",$M699,0))</f>
        <v>0</v>
      </c>
      <c r="P699" s="27">
        <f>IF($M699="","",IF($F699="Compareceu",MAX(0,$M699-N($H699)),0))</f>
        <v>0</v>
      </c>
      <c r="Q699" s="19">
        <f>IF(AND($F699="Compareceu",$E699&lt;&gt;"",$A699&lt;&gt;""),IF(IFERROR(INDEX(ProcRet,MATCH($E699,ProcNome,0)),0)&gt;0,$A699+INDEX(ProcRet,MATCH($E699,ProcNome,0)),""),"")</f>
        <v>0</v>
      </c>
      <c r="R699" s="26">
        <f>IF($Q699="","",IF(COUNTIFS(AgPac,$D699,AgData,"&gt;"&amp;$A699,AgStatus,"&lt;&gt;Cancelado",AgStatus,"&lt;&gt;Remarcado")&gt;0,"Sim","Não"))</f>
        <v>0</v>
      </c>
      <c r="S699" s="28">
        <f>IF($A699="","",IF(AND($F699="Agendado",$A699-Hoje&gt;=0,$A699-Hoje&lt;=DiasConf),"CONFIRMAR",IF(AND($A699&lt;Hoje,OR($F699="Agendado",$F699="Confirmado")),"Atualizar status",IF(AND($F699="Compareceu",$P699&gt;0.005),"Cobrar",IF($F699="Faltou","Falta: reagendar","")))))</f>
        <v>0</v>
      </c>
      <c r="T699" s="29">
        <f>IF($A699="","",DATE(YEAR($A699),MONTH($A699),1))</f>
        <v>0</v>
      </c>
      <c r="U699" s="30">
        <f>IF($S699="CONFIRMAR",MAX($U$4:$U698)+1,"")</f>
        <v>0</v>
      </c>
      <c r="V699" s="30">
        <f>IF(AND($R699="Não",$Q699&lt;&gt;"",$Q699&lt;=Hoje+JanelaRet,$Q699&gt;=Hoje-60),MAX($V$4:$V698)+1,"")</f>
        <v>0</v>
      </c>
    </row>
    <row r="700" spans="1:22">
      <c r="A700" s="16"/>
      <c r="B700" s="23"/>
      <c r="C700" s="15"/>
      <c r="D700" s="15"/>
      <c r="E700" s="15"/>
      <c r="F700" s="24"/>
      <c r="G700" s="17"/>
      <c r="H700" s="17"/>
      <c r="I700" s="15"/>
      <c r="J700" s="25">
        <f>IF($D700="","",IFERROR(INDEX(PacNome,MATCH($D700,PacCod,0)),"Paciente não cadastrado"))</f>
        <v>0</v>
      </c>
      <c r="K700" s="26">
        <f>IF($D700="","",IFERROR(INDEX(PacConv,MATCH($D700,PacCod,0))&amp;"",""))</f>
        <v>0</v>
      </c>
      <c r="L700" s="26">
        <f>IF($A700="","",CHOOSE(WEEKDAY($A700,2),"Seg","Ter","Qua","Qui","Sex","Sáb","Dom"))</f>
        <v>0</v>
      </c>
      <c r="M700" s="27">
        <f>IF($E700="","",IF($G700&lt;&gt;"",$G700,IFERROR(INDEX(ProcValor,MATCH($E700,ProcNome,0)),0)))</f>
        <v>0</v>
      </c>
      <c r="N700" s="27">
        <f>IF($M700="","",IF($F700="Compareceu",$M700,0))</f>
        <v>0</v>
      </c>
      <c r="O700" s="27">
        <f>IF($M700="","",IF($F700="Faltou",$M700,0))</f>
        <v>0</v>
      </c>
      <c r="P700" s="27">
        <f>IF($M700="","",IF($F700="Compareceu",MAX(0,$M700-N($H700)),0))</f>
        <v>0</v>
      </c>
      <c r="Q700" s="19">
        <f>IF(AND($F700="Compareceu",$E700&lt;&gt;"",$A700&lt;&gt;""),IF(IFERROR(INDEX(ProcRet,MATCH($E700,ProcNome,0)),0)&gt;0,$A700+INDEX(ProcRet,MATCH($E700,ProcNome,0)),""),"")</f>
        <v>0</v>
      </c>
      <c r="R700" s="26">
        <f>IF($Q700="","",IF(COUNTIFS(AgPac,$D700,AgData,"&gt;"&amp;$A700,AgStatus,"&lt;&gt;Cancelado",AgStatus,"&lt;&gt;Remarcado")&gt;0,"Sim","Não"))</f>
        <v>0</v>
      </c>
      <c r="S700" s="28">
        <f>IF($A700="","",IF(AND($F700="Agendado",$A700-Hoje&gt;=0,$A700-Hoje&lt;=DiasConf),"CONFIRMAR",IF(AND($A700&lt;Hoje,OR($F700="Agendado",$F700="Confirmado")),"Atualizar status",IF(AND($F700="Compareceu",$P700&gt;0.005),"Cobrar",IF($F700="Faltou","Falta: reagendar","")))))</f>
        <v>0</v>
      </c>
      <c r="T700" s="29">
        <f>IF($A700="","",DATE(YEAR($A700),MONTH($A700),1))</f>
        <v>0</v>
      </c>
      <c r="U700" s="30">
        <f>IF($S700="CONFIRMAR",MAX($U$4:$U699)+1,"")</f>
        <v>0</v>
      </c>
      <c r="V700" s="30">
        <f>IF(AND($R700="Não",$Q700&lt;&gt;"",$Q700&lt;=Hoje+JanelaRet,$Q700&gt;=Hoje-60),MAX($V$4:$V699)+1,"")</f>
        <v>0</v>
      </c>
    </row>
    <row r="701" spans="1:22">
      <c r="A701" s="16"/>
      <c r="B701" s="23"/>
      <c r="C701" s="15"/>
      <c r="D701" s="15"/>
      <c r="E701" s="15"/>
      <c r="F701" s="24"/>
      <c r="G701" s="17"/>
      <c r="H701" s="17"/>
      <c r="I701" s="15"/>
      <c r="J701" s="25">
        <f>IF($D701="","",IFERROR(INDEX(PacNome,MATCH($D701,PacCod,0)),"Paciente não cadastrado"))</f>
        <v>0</v>
      </c>
      <c r="K701" s="26">
        <f>IF($D701="","",IFERROR(INDEX(PacConv,MATCH($D701,PacCod,0))&amp;"",""))</f>
        <v>0</v>
      </c>
      <c r="L701" s="26">
        <f>IF($A701="","",CHOOSE(WEEKDAY($A701,2),"Seg","Ter","Qua","Qui","Sex","Sáb","Dom"))</f>
        <v>0</v>
      </c>
      <c r="M701" s="27">
        <f>IF($E701="","",IF($G701&lt;&gt;"",$G701,IFERROR(INDEX(ProcValor,MATCH($E701,ProcNome,0)),0)))</f>
        <v>0</v>
      </c>
      <c r="N701" s="27">
        <f>IF($M701="","",IF($F701="Compareceu",$M701,0))</f>
        <v>0</v>
      </c>
      <c r="O701" s="27">
        <f>IF($M701="","",IF($F701="Faltou",$M701,0))</f>
        <v>0</v>
      </c>
      <c r="P701" s="27">
        <f>IF($M701="","",IF($F701="Compareceu",MAX(0,$M701-N($H701)),0))</f>
        <v>0</v>
      </c>
      <c r="Q701" s="19">
        <f>IF(AND($F701="Compareceu",$E701&lt;&gt;"",$A701&lt;&gt;""),IF(IFERROR(INDEX(ProcRet,MATCH($E701,ProcNome,0)),0)&gt;0,$A701+INDEX(ProcRet,MATCH($E701,ProcNome,0)),""),"")</f>
        <v>0</v>
      </c>
      <c r="R701" s="26">
        <f>IF($Q701="","",IF(COUNTIFS(AgPac,$D701,AgData,"&gt;"&amp;$A701,AgStatus,"&lt;&gt;Cancelado",AgStatus,"&lt;&gt;Remarcado")&gt;0,"Sim","Não"))</f>
        <v>0</v>
      </c>
      <c r="S701" s="28">
        <f>IF($A701="","",IF(AND($F701="Agendado",$A701-Hoje&gt;=0,$A701-Hoje&lt;=DiasConf),"CONFIRMAR",IF(AND($A701&lt;Hoje,OR($F701="Agendado",$F701="Confirmado")),"Atualizar status",IF(AND($F701="Compareceu",$P701&gt;0.005),"Cobrar",IF($F701="Faltou","Falta: reagendar","")))))</f>
        <v>0</v>
      </c>
      <c r="T701" s="29">
        <f>IF($A701="","",DATE(YEAR($A701),MONTH($A701),1))</f>
        <v>0</v>
      </c>
      <c r="U701" s="30">
        <f>IF($S701="CONFIRMAR",MAX($U$4:$U700)+1,"")</f>
        <v>0</v>
      </c>
      <c r="V701" s="30">
        <f>IF(AND($R701="Não",$Q701&lt;&gt;"",$Q701&lt;=Hoje+JanelaRet,$Q701&gt;=Hoje-60),MAX($V$4:$V700)+1,"")</f>
        <v>0</v>
      </c>
    </row>
    <row r="702" spans="1:22">
      <c r="A702" s="16"/>
      <c r="B702" s="23"/>
      <c r="C702" s="15"/>
      <c r="D702" s="15"/>
      <c r="E702" s="15"/>
      <c r="F702" s="24"/>
      <c r="G702" s="17"/>
      <c r="H702" s="17"/>
      <c r="I702" s="15"/>
      <c r="J702" s="25">
        <f>IF($D702="","",IFERROR(INDEX(PacNome,MATCH($D702,PacCod,0)),"Paciente não cadastrado"))</f>
        <v>0</v>
      </c>
      <c r="K702" s="26">
        <f>IF($D702="","",IFERROR(INDEX(PacConv,MATCH($D702,PacCod,0))&amp;"",""))</f>
        <v>0</v>
      </c>
      <c r="L702" s="26">
        <f>IF($A702="","",CHOOSE(WEEKDAY($A702,2),"Seg","Ter","Qua","Qui","Sex","Sáb","Dom"))</f>
        <v>0</v>
      </c>
      <c r="M702" s="27">
        <f>IF($E702="","",IF($G702&lt;&gt;"",$G702,IFERROR(INDEX(ProcValor,MATCH($E702,ProcNome,0)),0)))</f>
        <v>0</v>
      </c>
      <c r="N702" s="27">
        <f>IF($M702="","",IF($F702="Compareceu",$M702,0))</f>
        <v>0</v>
      </c>
      <c r="O702" s="27">
        <f>IF($M702="","",IF($F702="Faltou",$M702,0))</f>
        <v>0</v>
      </c>
      <c r="P702" s="27">
        <f>IF($M702="","",IF($F702="Compareceu",MAX(0,$M702-N($H702)),0))</f>
        <v>0</v>
      </c>
      <c r="Q702" s="19">
        <f>IF(AND($F702="Compareceu",$E702&lt;&gt;"",$A702&lt;&gt;""),IF(IFERROR(INDEX(ProcRet,MATCH($E702,ProcNome,0)),0)&gt;0,$A702+INDEX(ProcRet,MATCH($E702,ProcNome,0)),""),"")</f>
        <v>0</v>
      </c>
      <c r="R702" s="26">
        <f>IF($Q702="","",IF(COUNTIFS(AgPac,$D702,AgData,"&gt;"&amp;$A702,AgStatus,"&lt;&gt;Cancelado",AgStatus,"&lt;&gt;Remarcado")&gt;0,"Sim","Não"))</f>
        <v>0</v>
      </c>
      <c r="S702" s="28">
        <f>IF($A702="","",IF(AND($F702="Agendado",$A702-Hoje&gt;=0,$A702-Hoje&lt;=DiasConf),"CONFIRMAR",IF(AND($A702&lt;Hoje,OR($F702="Agendado",$F702="Confirmado")),"Atualizar status",IF(AND($F702="Compareceu",$P702&gt;0.005),"Cobrar",IF($F702="Faltou","Falta: reagendar","")))))</f>
        <v>0</v>
      </c>
      <c r="T702" s="29">
        <f>IF($A702="","",DATE(YEAR($A702),MONTH($A702),1))</f>
        <v>0</v>
      </c>
      <c r="U702" s="30">
        <f>IF($S702="CONFIRMAR",MAX($U$4:$U701)+1,"")</f>
        <v>0</v>
      </c>
      <c r="V702" s="30">
        <f>IF(AND($R702="Não",$Q702&lt;&gt;"",$Q702&lt;=Hoje+JanelaRet,$Q702&gt;=Hoje-60),MAX($V$4:$V701)+1,"")</f>
        <v>0</v>
      </c>
    </row>
    <row r="703" spans="1:22">
      <c r="A703" s="16"/>
      <c r="B703" s="23"/>
      <c r="C703" s="15"/>
      <c r="D703" s="15"/>
      <c r="E703" s="15"/>
      <c r="F703" s="24"/>
      <c r="G703" s="17"/>
      <c r="H703" s="17"/>
      <c r="I703" s="15"/>
      <c r="J703" s="25">
        <f>IF($D703="","",IFERROR(INDEX(PacNome,MATCH($D703,PacCod,0)),"Paciente não cadastrado"))</f>
        <v>0</v>
      </c>
      <c r="K703" s="26">
        <f>IF($D703="","",IFERROR(INDEX(PacConv,MATCH($D703,PacCod,0))&amp;"",""))</f>
        <v>0</v>
      </c>
      <c r="L703" s="26">
        <f>IF($A703="","",CHOOSE(WEEKDAY($A703,2),"Seg","Ter","Qua","Qui","Sex","Sáb","Dom"))</f>
        <v>0</v>
      </c>
      <c r="M703" s="27">
        <f>IF($E703="","",IF($G703&lt;&gt;"",$G703,IFERROR(INDEX(ProcValor,MATCH($E703,ProcNome,0)),0)))</f>
        <v>0</v>
      </c>
      <c r="N703" s="27">
        <f>IF($M703="","",IF($F703="Compareceu",$M703,0))</f>
        <v>0</v>
      </c>
      <c r="O703" s="27">
        <f>IF($M703="","",IF($F703="Faltou",$M703,0))</f>
        <v>0</v>
      </c>
      <c r="P703" s="27">
        <f>IF($M703="","",IF($F703="Compareceu",MAX(0,$M703-N($H703)),0))</f>
        <v>0</v>
      </c>
      <c r="Q703" s="19">
        <f>IF(AND($F703="Compareceu",$E703&lt;&gt;"",$A703&lt;&gt;""),IF(IFERROR(INDEX(ProcRet,MATCH($E703,ProcNome,0)),0)&gt;0,$A703+INDEX(ProcRet,MATCH($E703,ProcNome,0)),""),"")</f>
        <v>0</v>
      </c>
      <c r="R703" s="26">
        <f>IF($Q703="","",IF(COUNTIFS(AgPac,$D703,AgData,"&gt;"&amp;$A703,AgStatus,"&lt;&gt;Cancelado",AgStatus,"&lt;&gt;Remarcado")&gt;0,"Sim","Não"))</f>
        <v>0</v>
      </c>
      <c r="S703" s="28">
        <f>IF($A703="","",IF(AND($F703="Agendado",$A703-Hoje&gt;=0,$A703-Hoje&lt;=DiasConf),"CONFIRMAR",IF(AND($A703&lt;Hoje,OR($F703="Agendado",$F703="Confirmado")),"Atualizar status",IF(AND($F703="Compareceu",$P703&gt;0.005),"Cobrar",IF($F703="Faltou","Falta: reagendar","")))))</f>
        <v>0</v>
      </c>
      <c r="T703" s="29">
        <f>IF($A703="","",DATE(YEAR($A703),MONTH($A703),1))</f>
        <v>0</v>
      </c>
      <c r="U703" s="30">
        <f>IF($S703="CONFIRMAR",MAX($U$4:$U702)+1,"")</f>
        <v>0</v>
      </c>
      <c r="V703" s="30">
        <f>IF(AND($R703="Não",$Q703&lt;&gt;"",$Q703&lt;=Hoje+JanelaRet,$Q703&gt;=Hoje-60),MAX($V$4:$V702)+1,"")</f>
        <v>0</v>
      </c>
    </row>
    <row r="704" spans="1:22">
      <c r="A704" s="16"/>
      <c r="B704" s="23"/>
      <c r="C704" s="15"/>
      <c r="D704" s="15"/>
      <c r="E704" s="15"/>
      <c r="F704" s="24"/>
      <c r="G704" s="17"/>
      <c r="H704" s="17"/>
      <c r="I704" s="15"/>
      <c r="J704" s="25">
        <f>IF($D704="","",IFERROR(INDEX(PacNome,MATCH($D704,PacCod,0)),"Paciente não cadastrado"))</f>
        <v>0</v>
      </c>
      <c r="K704" s="26">
        <f>IF($D704="","",IFERROR(INDEX(PacConv,MATCH($D704,PacCod,0))&amp;"",""))</f>
        <v>0</v>
      </c>
      <c r="L704" s="26">
        <f>IF($A704="","",CHOOSE(WEEKDAY($A704,2),"Seg","Ter","Qua","Qui","Sex","Sáb","Dom"))</f>
        <v>0</v>
      </c>
      <c r="M704" s="27">
        <f>IF($E704="","",IF($G704&lt;&gt;"",$G704,IFERROR(INDEX(ProcValor,MATCH($E704,ProcNome,0)),0)))</f>
        <v>0</v>
      </c>
      <c r="N704" s="27">
        <f>IF($M704="","",IF($F704="Compareceu",$M704,0))</f>
        <v>0</v>
      </c>
      <c r="O704" s="27">
        <f>IF($M704="","",IF($F704="Faltou",$M704,0))</f>
        <v>0</v>
      </c>
      <c r="P704" s="27">
        <f>IF($M704="","",IF($F704="Compareceu",MAX(0,$M704-N($H704)),0))</f>
        <v>0</v>
      </c>
      <c r="Q704" s="19">
        <f>IF(AND($F704="Compareceu",$E704&lt;&gt;"",$A704&lt;&gt;""),IF(IFERROR(INDEX(ProcRet,MATCH($E704,ProcNome,0)),0)&gt;0,$A704+INDEX(ProcRet,MATCH($E704,ProcNome,0)),""),"")</f>
        <v>0</v>
      </c>
      <c r="R704" s="26">
        <f>IF($Q704="","",IF(COUNTIFS(AgPac,$D704,AgData,"&gt;"&amp;$A704,AgStatus,"&lt;&gt;Cancelado",AgStatus,"&lt;&gt;Remarcado")&gt;0,"Sim","Não"))</f>
        <v>0</v>
      </c>
      <c r="S704" s="28">
        <f>IF($A704="","",IF(AND($F704="Agendado",$A704-Hoje&gt;=0,$A704-Hoje&lt;=DiasConf),"CONFIRMAR",IF(AND($A704&lt;Hoje,OR($F704="Agendado",$F704="Confirmado")),"Atualizar status",IF(AND($F704="Compareceu",$P704&gt;0.005),"Cobrar",IF($F704="Faltou","Falta: reagendar","")))))</f>
        <v>0</v>
      </c>
      <c r="T704" s="29">
        <f>IF($A704="","",DATE(YEAR($A704),MONTH($A704),1))</f>
        <v>0</v>
      </c>
      <c r="U704" s="30">
        <f>IF($S704="CONFIRMAR",MAX($U$4:$U703)+1,"")</f>
        <v>0</v>
      </c>
      <c r="V704" s="30">
        <f>IF(AND($R704="Não",$Q704&lt;&gt;"",$Q704&lt;=Hoje+JanelaRet,$Q704&gt;=Hoje-60),MAX($V$4:$V703)+1,"")</f>
        <v>0</v>
      </c>
    </row>
    <row r="705" spans="1:22">
      <c r="A705" s="16"/>
      <c r="B705" s="23"/>
      <c r="C705" s="15"/>
      <c r="D705" s="15"/>
      <c r="E705" s="15"/>
      <c r="F705" s="24"/>
      <c r="G705" s="17"/>
      <c r="H705" s="17"/>
      <c r="I705" s="15"/>
      <c r="J705" s="25">
        <f>IF($D705="","",IFERROR(INDEX(PacNome,MATCH($D705,PacCod,0)),"Paciente não cadastrado"))</f>
        <v>0</v>
      </c>
      <c r="K705" s="26">
        <f>IF($D705="","",IFERROR(INDEX(PacConv,MATCH($D705,PacCod,0))&amp;"",""))</f>
        <v>0</v>
      </c>
      <c r="L705" s="26">
        <f>IF($A705="","",CHOOSE(WEEKDAY($A705,2),"Seg","Ter","Qua","Qui","Sex","Sáb","Dom"))</f>
        <v>0</v>
      </c>
      <c r="M705" s="27">
        <f>IF($E705="","",IF($G705&lt;&gt;"",$G705,IFERROR(INDEX(ProcValor,MATCH($E705,ProcNome,0)),0)))</f>
        <v>0</v>
      </c>
      <c r="N705" s="27">
        <f>IF($M705="","",IF($F705="Compareceu",$M705,0))</f>
        <v>0</v>
      </c>
      <c r="O705" s="27">
        <f>IF($M705="","",IF($F705="Faltou",$M705,0))</f>
        <v>0</v>
      </c>
      <c r="P705" s="27">
        <f>IF($M705="","",IF($F705="Compareceu",MAX(0,$M705-N($H705)),0))</f>
        <v>0</v>
      </c>
      <c r="Q705" s="19">
        <f>IF(AND($F705="Compareceu",$E705&lt;&gt;"",$A705&lt;&gt;""),IF(IFERROR(INDEX(ProcRet,MATCH($E705,ProcNome,0)),0)&gt;0,$A705+INDEX(ProcRet,MATCH($E705,ProcNome,0)),""),"")</f>
        <v>0</v>
      </c>
      <c r="R705" s="26">
        <f>IF($Q705="","",IF(COUNTIFS(AgPac,$D705,AgData,"&gt;"&amp;$A705,AgStatus,"&lt;&gt;Cancelado",AgStatus,"&lt;&gt;Remarcado")&gt;0,"Sim","Não"))</f>
        <v>0</v>
      </c>
      <c r="S705" s="28">
        <f>IF($A705="","",IF(AND($F705="Agendado",$A705-Hoje&gt;=0,$A705-Hoje&lt;=DiasConf),"CONFIRMAR",IF(AND($A705&lt;Hoje,OR($F705="Agendado",$F705="Confirmado")),"Atualizar status",IF(AND($F705="Compareceu",$P705&gt;0.005),"Cobrar",IF($F705="Faltou","Falta: reagendar","")))))</f>
        <v>0</v>
      </c>
      <c r="T705" s="29">
        <f>IF($A705="","",DATE(YEAR($A705),MONTH($A705),1))</f>
        <v>0</v>
      </c>
      <c r="U705" s="30">
        <f>IF($S705="CONFIRMAR",MAX($U$4:$U704)+1,"")</f>
        <v>0</v>
      </c>
      <c r="V705" s="30">
        <f>IF(AND($R705="Não",$Q705&lt;&gt;"",$Q705&lt;=Hoje+JanelaRet,$Q705&gt;=Hoje-60),MAX($V$4:$V704)+1,"")</f>
        <v>0</v>
      </c>
    </row>
    <row r="706" spans="1:22">
      <c r="A706" s="16"/>
      <c r="B706" s="23"/>
      <c r="C706" s="15"/>
      <c r="D706" s="15"/>
      <c r="E706" s="15"/>
      <c r="F706" s="24"/>
      <c r="G706" s="17"/>
      <c r="H706" s="17"/>
      <c r="I706" s="15"/>
      <c r="J706" s="25">
        <f>IF($D706="","",IFERROR(INDEX(PacNome,MATCH($D706,PacCod,0)),"Paciente não cadastrado"))</f>
        <v>0</v>
      </c>
      <c r="K706" s="26">
        <f>IF($D706="","",IFERROR(INDEX(PacConv,MATCH($D706,PacCod,0))&amp;"",""))</f>
        <v>0</v>
      </c>
      <c r="L706" s="26">
        <f>IF($A706="","",CHOOSE(WEEKDAY($A706,2),"Seg","Ter","Qua","Qui","Sex","Sáb","Dom"))</f>
        <v>0</v>
      </c>
      <c r="M706" s="27">
        <f>IF($E706="","",IF($G706&lt;&gt;"",$G706,IFERROR(INDEX(ProcValor,MATCH($E706,ProcNome,0)),0)))</f>
        <v>0</v>
      </c>
      <c r="N706" s="27">
        <f>IF($M706="","",IF($F706="Compareceu",$M706,0))</f>
        <v>0</v>
      </c>
      <c r="O706" s="27">
        <f>IF($M706="","",IF($F706="Faltou",$M706,0))</f>
        <v>0</v>
      </c>
      <c r="P706" s="27">
        <f>IF($M706="","",IF($F706="Compareceu",MAX(0,$M706-N($H706)),0))</f>
        <v>0</v>
      </c>
      <c r="Q706" s="19">
        <f>IF(AND($F706="Compareceu",$E706&lt;&gt;"",$A706&lt;&gt;""),IF(IFERROR(INDEX(ProcRet,MATCH($E706,ProcNome,0)),0)&gt;0,$A706+INDEX(ProcRet,MATCH($E706,ProcNome,0)),""),"")</f>
        <v>0</v>
      </c>
      <c r="R706" s="26">
        <f>IF($Q706="","",IF(COUNTIFS(AgPac,$D706,AgData,"&gt;"&amp;$A706,AgStatus,"&lt;&gt;Cancelado",AgStatus,"&lt;&gt;Remarcado")&gt;0,"Sim","Não"))</f>
        <v>0</v>
      </c>
      <c r="S706" s="28">
        <f>IF($A706="","",IF(AND($F706="Agendado",$A706-Hoje&gt;=0,$A706-Hoje&lt;=DiasConf),"CONFIRMAR",IF(AND($A706&lt;Hoje,OR($F706="Agendado",$F706="Confirmado")),"Atualizar status",IF(AND($F706="Compareceu",$P706&gt;0.005),"Cobrar",IF($F706="Faltou","Falta: reagendar","")))))</f>
        <v>0</v>
      </c>
      <c r="T706" s="29">
        <f>IF($A706="","",DATE(YEAR($A706),MONTH($A706),1))</f>
        <v>0</v>
      </c>
      <c r="U706" s="30">
        <f>IF($S706="CONFIRMAR",MAX($U$4:$U705)+1,"")</f>
        <v>0</v>
      </c>
      <c r="V706" s="30">
        <f>IF(AND($R706="Não",$Q706&lt;&gt;"",$Q706&lt;=Hoje+JanelaRet,$Q706&gt;=Hoje-60),MAX($V$4:$V705)+1,"")</f>
        <v>0</v>
      </c>
    </row>
    <row r="707" spans="1:22">
      <c r="A707" s="16"/>
      <c r="B707" s="23"/>
      <c r="C707" s="15"/>
      <c r="D707" s="15"/>
      <c r="E707" s="15"/>
      <c r="F707" s="24"/>
      <c r="G707" s="17"/>
      <c r="H707" s="17"/>
      <c r="I707" s="15"/>
      <c r="J707" s="25">
        <f>IF($D707="","",IFERROR(INDEX(PacNome,MATCH($D707,PacCod,0)),"Paciente não cadastrado"))</f>
        <v>0</v>
      </c>
      <c r="K707" s="26">
        <f>IF($D707="","",IFERROR(INDEX(PacConv,MATCH($D707,PacCod,0))&amp;"",""))</f>
        <v>0</v>
      </c>
      <c r="L707" s="26">
        <f>IF($A707="","",CHOOSE(WEEKDAY($A707,2),"Seg","Ter","Qua","Qui","Sex","Sáb","Dom"))</f>
        <v>0</v>
      </c>
      <c r="M707" s="27">
        <f>IF($E707="","",IF($G707&lt;&gt;"",$G707,IFERROR(INDEX(ProcValor,MATCH($E707,ProcNome,0)),0)))</f>
        <v>0</v>
      </c>
      <c r="N707" s="27">
        <f>IF($M707="","",IF($F707="Compareceu",$M707,0))</f>
        <v>0</v>
      </c>
      <c r="O707" s="27">
        <f>IF($M707="","",IF($F707="Faltou",$M707,0))</f>
        <v>0</v>
      </c>
      <c r="P707" s="27">
        <f>IF($M707="","",IF($F707="Compareceu",MAX(0,$M707-N($H707)),0))</f>
        <v>0</v>
      </c>
      <c r="Q707" s="19">
        <f>IF(AND($F707="Compareceu",$E707&lt;&gt;"",$A707&lt;&gt;""),IF(IFERROR(INDEX(ProcRet,MATCH($E707,ProcNome,0)),0)&gt;0,$A707+INDEX(ProcRet,MATCH($E707,ProcNome,0)),""),"")</f>
        <v>0</v>
      </c>
      <c r="R707" s="26">
        <f>IF($Q707="","",IF(COUNTIFS(AgPac,$D707,AgData,"&gt;"&amp;$A707,AgStatus,"&lt;&gt;Cancelado",AgStatus,"&lt;&gt;Remarcado")&gt;0,"Sim","Não"))</f>
        <v>0</v>
      </c>
      <c r="S707" s="28">
        <f>IF($A707="","",IF(AND($F707="Agendado",$A707-Hoje&gt;=0,$A707-Hoje&lt;=DiasConf),"CONFIRMAR",IF(AND($A707&lt;Hoje,OR($F707="Agendado",$F707="Confirmado")),"Atualizar status",IF(AND($F707="Compareceu",$P707&gt;0.005),"Cobrar",IF($F707="Faltou","Falta: reagendar","")))))</f>
        <v>0</v>
      </c>
      <c r="T707" s="29">
        <f>IF($A707="","",DATE(YEAR($A707),MONTH($A707),1))</f>
        <v>0</v>
      </c>
      <c r="U707" s="30">
        <f>IF($S707="CONFIRMAR",MAX($U$4:$U706)+1,"")</f>
        <v>0</v>
      </c>
      <c r="V707" s="30">
        <f>IF(AND($R707="Não",$Q707&lt;&gt;"",$Q707&lt;=Hoje+JanelaRet,$Q707&gt;=Hoje-60),MAX($V$4:$V706)+1,"")</f>
        <v>0</v>
      </c>
    </row>
    <row r="708" spans="1:22">
      <c r="A708" s="16"/>
      <c r="B708" s="23"/>
      <c r="C708" s="15"/>
      <c r="D708" s="15"/>
      <c r="E708" s="15"/>
      <c r="F708" s="24"/>
      <c r="G708" s="17"/>
      <c r="H708" s="17"/>
      <c r="I708" s="15"/>
      <c r="J708" s="25">
        <f>IF($D708="","",IFERROR(INDEX(PacNome,MATCH($D708,PacCod,0)),"Paciente não cadastrado"))</f>
        <v>0</v>
      </c>
      <c r="K708" s="26">
        <f>IF($D708="","",IFERROR(INDEX(PacConv,MATCH($D708,PacCod,0))&amp;"",""))</f>
        <v>0</v>
      </c>
      <c r="L708" s="26">
        <f>IF($A708="","",CHOOSE(WEEKDAY($A708,2),"Seg","Ter","Qua","Qui","Sex","Sáb","Dom"))</f>
        <v>0</v>
      </c>
      <c r="M708" s="27">
        <f>IF($E708="","",IF($G708&lt;&gt;"",$G708,IFERROR(INDEX(ProcValor,MATCH($E708,ProcNome,0)),0)))</f>
        <v>0</v>
      </c>
      <c r="N708" s="27">
        <f>IF($M708="","",IF($F708="Compareceu",$M708,0))</f>
        <v>0</v>
      </c>
      <c r="O708" s="27">
        <f>IF($M708="","",IF($F708="Faltou",$M708,0))</f>
        <v>0</v>
      </c>
      <c r="P708" s="27">
        <f>IF($M708="","",IF($F708="Compareceu",MAX(0,$M708-N($H708)),0))</f>
        <v>0</v>
      </c>
      <c r="Q708" s="19">
        <f>IF(AND($F708="Compareceu",$E708&lt;&gt;"",$A708&lt;&gt;""),IF(IFERROR(INDEX(ProcRet,MATCH($E708,ProcNome,0)),0)&gt;0,$A708+INDEX(ProcRet,MATCH($E708,ProcNome,0)),""),"")</f>
        <v>0</v>
      </c>
      <c r="R708" s="26">
        <f>IF($Q708="","",IF(COUNTIFS(AgPac,$D708,AgData,"&gt;"&amp;$A708,AgStatus,"&lt;&gt;Cancelado",AgStatus,"&lt;&gt;Remarcado")&gt;0,"Sim","Não"))</f>
        <v>0</v>
      </c>
      <c r="S708" s="28">
        <f>IF($A708="","",IF(AND($F708="Agendado",$A708-Hoje&gt;=0,$A708-Hoje&lt;=DiasConf),"CONFIRMAR",IF(AND($A708&lt;Hoje,OR($F708="Agendado",$F708="Confirmado")),"Atualizar status",IF(AND($F708="Compareceu",$P708&gt;0.005),"Cobrar",IF($F708="Faltou","Falta: reagendar","")))))</f>
        <v>0</v>
      </c>
      <c r="T708" s="29">
        <f>IF($A708="","",DATE(YEAR($A708),MONTH($A708),1))</f>
        <v>0</v>
      </c>
      <c r="U708" s="30">
        <f>IF($S708="CONFIRMAR",MAX($U$4:$U707)+1,"")</f>
        <v>0</v>
      </c>
      <c r="V708" s="30">
        <f>IF(AND($R708="Não",$Q708&lt;&gt;"",$Q708&lt;=Hoje+JanelaRet,$Q708&gt;=Hoje-60),MAX($V$4:$V707)+1,"")</f>
        <v>0</v>
      </c>
    </row>
    <row r="709" spans="1:22">
      <c r="A709" s="16"/>
      <c r="B709" s="23"/>
      <c r="C709" s="15"/>
      <c r="D709" s="15"/>
      <c r="E709" s="15"/>
      <c r="F709" s="24"/>
      <c r="G709" s="17"/>
      <c r="H709" s="17"/>
      <c r="I709" s="15"/>
      <c r="J709" s="25">
        <f>IF($D709="","",IFERROR(INDEX(PacNome,MATCH($D709,PacCod,0)),"Paciente não cadastrado"))</f>
        <v>0</v>
      </c>
      <c r="K709" s="26">
        <f>IF($D709="","",IFERROR(INDEX(PacConv,MATCH($D709,PacCod,0))&amp;"",""))</f>
        <v>0</v>
      </c>
      <c r="L709" s="26">
        <f>IF($A709="","",CHOOSE(WEEKDAY($A709,2),"Seg","Ter","Qua","Qui","Sex","Sáb","Dom"))</f>
        <v>0</v>
      </c>
      <c r="M709" s="27">
        <f>IF($E709="","",IF($G709&lt;&gt;"",$G709,IFERROR(INDEX(ProcValor,MATCH($E709,ProcNome,0)),0)))</f>
        <v>0</v>
      </c>
      <c r="N709" s="27">
        <f>IF($M709="","",IF($F709="Compareceu",$M709,0))</f>
        <v>0</v>
      </c>
      <c r="O709" s="27">
        <f>IF($M709="","",IF($F709="Faltou",$M709,0))</f>
        <v>0</v>
      </c>
      <c r="P709" s="27">
        <f>IF($M709="","",IF($F709="Compareceu",MAX(0,$M709-N($H709)),0))</f>
        <v>0</v>
      </c>
      <c r="Q709" s="19">
        <f>IF(AND($F709="Compareceu",$E709&lt;&gt;"",$A709&lt;&gt;""),IF(IFERROR(INDEX(ProcRet,MATCH($E709,ProcNome,0)),0)&gt;0,$A709+INDEX(ProcRet,MATCH($E709,ProcNome,0)),""),"")</f>
        <v>0</v>
      </c>
      <c r="R709" s="26">
        <f>IF($Q709="","",IF(COUNTIFS(AgPac,$D709,AgData,"&gt;"&amp;$A709,AgStatus,"&lt;&gt;Cancelado",AgStatus,"&lt;&gt;Remarcado")&gt;0,"Sim","Não"))</f>
        <v>0</v>
      </c>
      <c r="S709" s="28">
        <f>IF($A709="","",IF(AND($F709="Agendado",$A709-Hoje&gt;=0,$A709-Hoje&lt;=DiasConf),"CONFIRMAR",IF(AND($A709&lt;Hoje,OR($F709="Agendado",$F709="Confirmado")),"Atualizar status",IF(AND($F709="Compareceu",$P709&gt;0.005),"Cobrar",IF($F709="Faltou","Falta: reagendar","")))))</f>
        <v>0</v>
      </c>
      <c r="T709" s="29">
        <f>IF($A709="","",DATE(YEAR($A709),MONTH($A709),1))</f>
        <v>0</v>
      </c>
      <c r="U709" s="30">
        <f>IF($S709="CONFIRMAR",MAX($U$4:$U708)+1,"")</f>
        <v>0</v>
      </c>
      <c r="V709" s="30">
        <f>IF(AND($R709="Não",$Q709&lt;&gt;"",$Q709&lt;=Hoje+JanelaRet,$Q709&gt;=Hoje-60),MAX($V$4:$V708)+1,"")</f>
        <v>0</v>
      </c>
    </row>
    <row r="710" spans="1:22">
      <c r="A710" s="16"/>
      <c r="B710" s="23"/>
      <c r="C710" s="15"/>
      <c r="D710" s="15"/>
      <c r="E710" s="15"/>
      <c r="F710" s="24"/>
      <c r="G710" s="17"/>
      <c r="H710" s="17"/>
      <c r="I710" s="15"/>
      <c r="J710" s="25">
        <f>IF($D710="","",IFERROR(INDEX(PacNome,MATCH($D710,PacCod,0)),"Paciente não cadastrado"))</f>
        <v>0</v>
      </c>
      <c r="K710" s="26">
        <f>IF($D710="","",IFERROR(INDEX(PacConv,MATCH($D710,PacCod,0))&amp;"",""))</f>
        <v>0</v>
      </c>
      <c r="L710" s="26">
        <f>IF($A710="","",CHOOSE(WEEKDAY($A710,2),"Seg","Ter","Qua","Qui","Sex","Sáb","Dom"))</f>
        <v>0</v>
      </c>
      <c r="M710" s="27">
        <f>IF($E710="","",IF($G710&lt;&gt;"",$G710,IFERROR(INDEX(ProcValor,MATCH($E710,ProcNome,0)),0)))</f>
        <v>0</v>
      </c>
      <c r="N710" s="27">
        <f>IF($M710="","",IF($F710="Compareceu",$M710,0))</f>
        <v>0</v>
      </c>
      <c r="O710" s="27">
        <f>IF($M710="","",IF($F710="Faltou",$M710,0))</f>
        <v>0</v>
      </c>
      <c r="P710" s="27">
        <f>IF($M710="","",IF($F710="Compareceu",MAX(0,$M710-N($H710)),0))</f>
        <v>0</v>
      </c>
      <c r="Q710" s="19">
        <f>IF(AND($F710="Compareceu",$E710&lt;&gt;"",$A710&lt;&gt;""),IF(IFERROR(INDEX(ProcRet,MATCH($E710,ProcNome,0)),0)&gt;0,$A710+INDEX(ProcRet,MATCH($E710,ProcNome,0)),""),"")</f>
        <v>0</v>
      </c>
      <c r="R710" s="26">
        <f>IF($Q710="","",IF(COUNTIFS(AgPac,$D710,AgData,"&gt;"&amp;$A710,AgStatus,"&lt;&gt;Cancelado",AgStatus,"&lt;&gt;Remarcado")&gt;0,"Sim","Não"))</f>
        <v>0</v>
      </c>
      <c r="S710" s="28">
        <f>IF($A710="","",IF(AND($F710="Agendado",$A710-Hoje&gt;=0,$A710-Hoje&lt;=DiasConf),"CONFIRMAR",IF(AND($A710&lt;Hoje,OR($F710="Agendado",$F710="Confirmado")),"Atualizar status",IF(AND($F710="Compareceu",$P710&gt;0.005),"Cobrar",IF($F710="Faltou","Falta: reagendar","")))))</f>
        <v>0</v>
      </c>
      <c r="T710" s="29">
        <f>IF($A710="","",DATE(YEAR($A710),MONTH($A710),1))</f>
        <v>0</v>
      </c>
      <c r="U710" s="30">
        <f>IF($S710="CONFIRMAR",MAX($U$4:$U709)+1,"")</f>
        <v>0</v>
      </c>
      <c r="V710" s="30">
        <f>IF(AND($R710="Não",$Q710&lt;&gt;"",$Q710&lt;=Hoje+JanelaRet,$Q710&gt;=Hoje-60),MAX($V$4:$V709)+1,"")</f>
        <v>0</v>
      </c>
    </row>
    <row r="711" spans="1:22">
      <c r="A711" s="16"/>
      <c r="B711" s="23"/>
      <c r="C711" s="15"/>
      <c r="D711" s="15"/>
      <c r="E711" s="15"/>
      <c r="F711" s="24"/>
      <c r="G711" s="17"/>
      <c r="H711" s="17"/>
      <c r="I711" s="15"/>
      <c r="J711" s="25">
        <f>IF($D711="","",IFERROR(INDEX(PacNome,MATCH($D711,PacCod,0)),"Paciente não cadastrado"))</f>
        <v>0</v>
      </c>
      <c r="K711" s="26">
        <f>IF($D711="","",IFERROR(INDEX(PacConv,MATCH($D711,PacCod,0))&amp;"",""))</f>
        <v>0</v>
      </c>
      <c r="L711" s="26">
        <f>IF($A711="","",CHOOSE(WEEKDAY($A711,2),"Seg","Ter","Qua","Qui","Sex","Sáb","Dom"))</f>
        <v>0</v>
      </c>
      <c r="M711" s="27">
        <f>IF($E711="","",IF($G711&lt;&gt;"",$G711,IFERROR(INDEX(ProcValor,MATCH($E711,ProcNome,0)),0)))</f>
        <v>0</v>
      </c>
      <c r="N711" s="27">
        <f>IF($M711="","",IF($F711="Compareceu",$M711,0))</f>
        <v>0</v>
      </c>
      <c r="O711" s="27">
        <f>IF($M711="","",IF($F711="Faltou",$M711,0))</f>
        <v>0</v>
      </c>
      <c r="P711" s="27">
        <f>IF($M711="","",IF($F711="Compareceu",MAX(0,$M711-N($H711)),0))</f>
        <v>0</v>
      </c>
      <c r="Q711" s="19">
        <f>IF(AND($F711="Compareceu",$E711&lt;&gt;"",$A711&lt;&gt;""),IF(IFERROR(INDEX(ProcRet,MATCH($E711,ProcNome,0)),0)&gt;0,$A711+INDEX(ProcRet,MATCH($E711,ProcNome,0)),""),"")</f>
        <v>0</v>
      </c>
      <c r="R711" s="26">
        <f>IF($Q711="","",IF(COUNTIFS(AgPac,$D711,AgData,"&gt;"&amp;$A711,AgStatus,"&lt;&gt;Cancelado",AgStatus,"&lt;&gt;Remarcado")&gt;0,"Sim","Não"))</f>
        <v>0</v>
      </c>
      <c r="S711" s="28">
        <f>IF($A711="","",IF(AND($F711="Agendado",$A711-Hoje&gt;=0,$A711-Hoje&lt;=DiasConf),"CONFIRMAR",IF(AND($A711&lt;Hoje,OR($F711="Agendado",$F711="Confirmado")),"Atualizar status",IF(AND($F711="Compareceu",$P711&gt;0.005),"Cobrar",IF($F711="Faltou","Falta: reagendar","")))))</f>
        <v>0</v>
      </c>
      <c r="T711" s="29">
        <f>IF($A711="","",DATE(YEAR($A711),MONTH($A711),1))</f>
        <v>0</v>
      </c>
      <c r="U711" s="30">
        <f>IF($S711="CONFIRMAR",MAX($U$4:$U710)+1,"")</f>
        <v>0</v>
      </c>
      <c r="V711" s="30">
        <f>IF(AND($R711="Não",$Q711&lt;&gt;"",$Q711&lt;=Hoje+JanelaRet,$Q711&gt;=Hoje-60),MAX($V$4:$V710)+1,"")</f>
        <v>0</v>
      </c>
    </row>
    <row r="712" spans="1:22">
      <c r="A712" s="16"/>
      <c r="B712" s="23"/>
      <c r="C712" s="15"/>
      <c r="D712" s="15"/>
      <c r="E712" s="15"/>
      <c r="F712" s="24"/>
      <c r="G712" s="17"/>
      <c r="H712" s="17"/>
      <c r="I712" s="15"/>
      <c r="J712" s="25">
        <f>IF($D712="","",IFERROR(INDEX(PacNome,MATCH($D712,PacCod,0)),"Paciente não cadastrado"))</f>
        <v>0</v>
      </c>
      <c r="K712" s="26">
        <f>IF($D712="","",IFERROR(INDEX(PacConv,MATCH($D712,PacCod,0))&amp;"",""))</f>
        <v>0</v>
      </c>
      <c r="L712" s="26">
        <f>IF($A712="","",CHOOSE(WEEKDAY($A712,2),"Seg","Ter","Qua","Qui","Sex","Sáb","Dom"))</f>
        <v>0</v>
      </c>
      <c r="M712" s="27">
        <f>IF($E712="","",IF($G712&lt;&gt;"",$G712,IFERROR(INDEX(ProcValor,MATCH($E712,ProcNome,0)),0)))</f>
        <v>0</v>
      </c>
      <c r="N712" s="27">
        <f>IF($M712="","",IF($F712="Compareceu",$M712,0))</f>
        <v>0</v>
      </c>
      <c r="O712" s="27">
        <f>IF($M712="","",IF($F712="Faltou",$M712,0))</f>
        <v>0</v>
      </c>
      <c r="P712" s="27">
        <f>IF($M712="","",IF($F712="Compareceu",MAX(0,$M712-N($H712)),0))</f>
        <v>0</v>
      </c>
      <c r="Q712" s="19">
        <f>IF(AND($F712="Compareceu",$E712&lt;&gt;"",$A712&lt;&gt;""),IF(IFERROR(INDEX(ProcRet,MATCH($E712,ProcNome,0)),0)&gt;0,$A712+INDEX(ProcRet,MATCH($E712,ProcNome,0)),""),"")</f>
        <v>0</v>
      </c>
      <c r="R712" s="26">
        <f>IF($Q712="","",IF(COUNTIFS(AgPac,$D712,AgData,"&gt;"&amp;$A712,AgStatus,"&lt;&gt;Cancelado",AgStatus,"&lt;&gt;Remarcado")&gt;0,"Sim","Não"))</f>
        <v>0</v>
      </c>
      <c r="S712" s="28">
        <f>IF($A712="","",IF(AND($F712="Agendado",$A712-Hoje&gt;=0,$A712-Hoje&lt;=DiasConf),"CONFIRMAR",IF(AND($A712&lt;Hoje,OR($F712="Agendado",$F712="Confirmado")),"Atualizar status",IF(AND($F712="Compareceu",$P712&gt;0.005),"Cobrar",IF($F712="Faltou","Falta: reagendar","")))))</f>
        <v>0</v>
      </c>
      <c r="T712" s="29">
        <f>IF($A712="","",DATE(YEAR($A712),MONTH($A712),1))</f>
        <v>0</v>
      </c>
      <c r="U712" s="30">
        <f>IF($S712="CONFIRMAR",MAX($U$4:$U711)+1,"")</f>
        <v>0</v>
      </c>
      <c r="V712" s="30">
        <f>IF(AND($R712="Não",$Q712&lt;&gt;"",$Q712&lt;=Hoje+JanelaRet,$Q712&gt;=Hoje-60),MAX($V$4:$V711)+1,"")</f>
        <v>0</v>
      </c>
    </row>
    <row r="713" spans="1:22">
      <c r="A713" s="16"/>
      <c r="B713" s="23"/>
      <c r="C713" s="15"/>
      <c r="D713" s="15"/>
      <c r="E713" s="15"/>
      <c r="F713" s="24"/>
      <c r="G713" s="17"/>
      <c r="H713" s="17"/>
      <c r="I713" s="15"/>
      <c r="J713" s="25">
        <f>IF($D713="","",IFERROR(INDEX(PacNome,MATCH($D713,PacCod,0)),"Paciente não cadastrado"))</f>
        <v>0</v>
      </c>
      <c r="K713" s="26">
        <f>IF($D713="","",IFERROR(INDEX(PacConv,MATCH($D713,PacCod,0))&amp;"",""))</f>
        <v>0</v>
      </c>
      <c r="L713" s="26">
        <f>IF($A713="","",CHOOSE(WEEKDAY($A713,2),"Seg","Ter","Qua","Qui","Sex","Sáb","Dom"))</f>
        <v>0</v>
      </c>
      <c r="M713" s="27">
        <f>IF($E713="","",IF($G713&lt;&gt;"",$G713,IFERROR(INDEX(ProcValor,MATCH($E713,ProcNome,0)),0)))</f>
        <v>0</v>
      </c>
      <c r="N713" s="27">
        <f>IF($M713="","",IF($F713="Compareceu",$M713,0))</f>
        <v>0</v>
      </c>
      <c r="O713" s="27">
        <f>IF($M713="","",IF($F713="Faltou",$M713,0))</f>
        <v>0</v>
      </c>
      <c r="P713" s="27">
        <f>IF($M713="","",IF($F713="Compareceu",MAX(0,$M713-N($H713)),0))</f>
        <v>0</v>
      </c>
      <c r="Q713" s="19">
        <f>IF(AND($F713="Compareceu",$E713&lt;&gt;"",$A713&lt;&gt;""),IF(IFERROR(INDEX(ProcRet,MATCH($E713,ProcNome,0)),0)&gt;0,$A713+INDEX(ProcRet,MATCH($E713,ProcNome,0)),""),"")</f>
        <v>0</v>
      </c>
      <c r="R713" s="26">
        <f>IF($Q713="","",IF(COUNTIFS(AgPac,$D713,AgData,"&gt;"&amp;$A713,AgStatus,"&lt;&gt;Cancelado",AgStatus,"&lt;&gt;Remarcado")&gt;0,"Sim","Não"))</f>
        <v>0</v>
      </c>
      <c r="S713" s="28">
        <f>IF($A713="","",IF(AND($F713="Agendado",$A713-Hoje&gt;=0,$A713-Hoje&lt;=DiasConf),"CONFIRMAR",IF(AND($A713&lt;Hoje,OR($F713="Agendado",$F713="Confirmado")),"Atualizar status",IF(AND($F713="Compareceu",$P713&gt;0.005),"Cobrar",IF($F713="Faltou","Falta: reagendar","")))))</f>
        <v>0</v>
      </c>
      <c r="T713" s="29">
        <f>IF($A713="","",DATE(YEAR($A713),MONTH($A713),1))</f>
        <v>0</v>
      </c>
      <c r="U713" s="30">
        <f>IF($S713="CONFIRMAR",MAX($U$4:$U712)+1,"")</f>
        <v>0</v>
      </c>
      <c r="V713" s="30">
        <f>IF(AND($R713="Não",$Q713&lt;&gt;"",$Q713&lt;=Hoje+JanelaRet,$Q713&gt;=Hoje-60),MAX($V$4:$V712)+1,"")</f>
        <v>0</v>
      </c>
    </row>
    <row r="714" spans="1:22">
      <c r="A714" s="16"/>
      <c r="B714" s="23"/>
      <c r="C714" s="15"/>
      <c r="D714" s="15"/>
      <c r="E714" s="15"/>
      <c r="F714" s="24"/>
      <c r="G714" s="17"/>
      <c r="H714" s="17"/>
      <c r="I714" s="15"/>
      <c r="J714" s="25">
        <f>IF($D714="","",IFERROR(INDEX(PacNome,MATCH($D714,PacCod,0)),"Paciente não cadastrado"))</f>
        <v>0</v>
      </c>
      <c r="K714" s="26">
        <f>IF($D714="","",IFERROR(INDEX(PacConv,MATCH($D714,PacCod,0))&amp;"",""))</f>
        <v>0</v>
      </c>
      <c r="L714" s="26">
        <f>IF($A714="","",CHOOSE(WEEKDAY($A714,2),"Seg","Ter","Qua","Qui","Sex","Sáb","Dom"))</f>
        <v>0</v>
      </c>
      <c r="M714" s="27">
        <f>IF($E714="","",IF($G714&lt;&gt;"",$G714,IFERROR(INDEX(ProcValor,MATCH($E714,ProcNome,0)),0)))</f>
        <v>0</v>
      </c>
      <c r="N714" s="27">
        <f>IF($M714="","",IF($F714="Compareceu",$M714,0))</f>
        <v>0</v>
      </c>
      <c r="O714" s="27">
        <f>IF($M714="","",IF($F714="Faltou",$M714,0))</f>
        <v>0</v>
      </c>
      <c r="P714" s="27">
        <f>IF($M714="","",IF($F714="Compareceu",MAX(0,$M714-N($H714)),0))</f>
        <v>0</v>
      </c>
      <c r="Q714" s="19">
        <f>IF(AND($F714="Compareceu",$E714&lt;&gt;"",$A714&lt;&gt;""),IF(IFERROR(INDEX(ProcRet,MATCH($E714,ProcNome,0)),0)&gt;0,$A714+INDEX(ProcRet,MATCH($E714,ProcNome,0)),""),"")</f>
        <v>0</v>
      </c>
      <c r="R714" s="26">
        <f>IF($Q714="","",IF(COUNTIFS(AgPac,$D714,AgData,"&gt;"&amp;$A714,AgStatus,"&lt;&gt;Cancelado",AgStatus,"&lt;&gt;Remarcado")&gt;0,"Sim","Não"))</f>
        <v>0</v>
      </c>
      <c r="S714" s="28">
        <f>IF($A714="","",IF(AND($F714="Agendado",$A714-Hoje&gt;=0,$A714-Hoje&lt;=DiasConf),"CONFIRMAR",IF(AND($A714&lt;Hoje,OR($F714="Agendado",$F714="Confirmado")),"Atualizar status",IF(AND($F714="Compareceu",$P714&gt;0.005),"Cobrar",IF($F714="Faltou","Falta: reagendar","")))))</f>
        <v>0</v>
      </c>
      <c r="T714" s="29">
        <f>IF($A714="","",DATE(YEAR($A714),MONTH($A714),1))</f>
        <v>0</v>
      </c>
      <c r="U714" s="30">
        <f>IF($S714="CONFIRMAR",MAX($U$4:$U713)+1,"")</f>
        <v>0</v>
      </c>
      <c r="V714" s="30">
        <f>IF(AND($R714="Não",$Q714&lt;&gt;"",$Q714&lt;=Hoje+JanelaRet,$Q714&gt;=Hoje-60),MAX($V$4:$V713)+1,"")</f>
        <v>0</v>
      </c>
    </row>
    <row r="715" spans="1:22">
      <c r="A715" s="16"/>
      <c r="B715" s="23"/>
      <c r="C715" s="15"/>
      <c r="D715" s="15"/>
      <c r="E715" s="15"/>
      <c r="F715" s="24"/>
      <c r="G715" s="17"/>
      <c r="H715" s="17"/>
      <c r="I715" s="15"/>
      <c r="J715" s="25">
        <f>IF($D715="","",IFERROR(INDEX(PacNome,MATCH($D715,PacCod,0)),"Paciente não cadastrado"))</f>
        <v>0</v>
      </c>
      <c r="K715" s="26">
        <f>IF($D715="","",IFERROR(INDEX(PacConv,MATCH($D715,PacCod,0))&amp;"",""))</f>
        <v>0</v>
      </c>
      <c r="L715" s="26">
        <f>IF($A715="","",CHOOSE(WEEKDAY($A715,2),"Seg","Ter","Qua","Qui","Sex","Sáb","Dom"))</f>
        <v>0</v>
      </c>
      <c r="M715" s="27">
        <f>IF($E715="","",IF($G715&lt;&gt;"",$G715,IFERROR(INDEX(ProcValor,MATCH($E715,ProcNome,0)),0)))</f>
        <v>0</v>
      </c>
      <c r="N715" s="27">
        <f>IF($M715="","",IF($F715="Compareceu",$M715,0))</f>
        <v>0</v>
      </c>
      <c r="O715" s="27">
        <f>IF($M715="","",IF($F715="Faltou",$M715,0))</f>
        <v>0</v>
      </c>
      <c r="P715" s="27">
        <f>IF($M715="","",IF($F715="Compareceu",MAX(0,$M715-N($H715)),0))</f>
        <v>0</v>
      </c>
      <c r="Q715" s="19">
        <f>IF(AND($F715="Compareceu",$E715&lt;&gt;"",$A715&lt;&gt;""),IF(IFERROR(INDEX(ProcRet,MATCH($E715,ProcNome,0)),0)&gt;0,$A715+INDEX(ProcRet,MATCH($E715,ProcNome,0)),""),"")</f>
        <v>0</v>
      </c>
      <c r="R715" s="26">
        <f>IF($Q715="","",IF(COUNTIFS(AgPac,$D715,AgData,"&gt;"&amp;$A715,AgStatus,"&lt;&gt;Cancelado",AgStatus,"&lt;&gt;Remarcado")&gt;0,"Sim","Não"))</f>
        <v>0</v>
      </c>
      <c r="S715" s="28">
        <f>IF($A715="","",IF(AND($F715="Agendado",$A715-Hoje&gt;=0,$A715-Hoje&lt;=DiasConf),"CONFIRMAR",IF(AND($A715&lt;Hoje,OR($F715="Agendado",$F715="Confirmado")),"Atualizar status",IF(AND($F715="Compareceu",$P715&gt;0.005),"Cobrar",IF($F715="Faltou","Falta: reagendar","")))))</f>
        <v>0</v>
      </c>
      <c r="T715" s="29">
        <f>IF($A715="","",DATE(YEAR($A715),MONTH($A715),1))</f>
        <v>0</v>
      </c>
      <c r="U715" s="30">
        <f>IF($S715="CONFIRMAR",MAX($U$4:$U714)+1,"")</f>
        <v>0</v>
      </c>
      <c r="V715" s="30">
        <f>IF(AND($R715="Não",$Q715&lt;&gt;"",$Q715&lt;=Hoje+JanelaRet,$Q715&gt;=Hoje-60),MAX($V$4:$V714)+1,"")</f>
        <v>0</v>
      </c>
    </row>
    <row r="716" spans="1:22">
      <c r="A716" s="16"/>
      <c r="B716" s="23"/>
      <c r="C716" s="15"/>
      <c r="D716" s="15"/>
      <c r="E716" s="15"/>
      <c r="F716" s="24"/>
      <c r="G716" s="17"/>
      <c r="H716" s="17"/>
      <c r="I716" s="15"/>
      <c r="J716" s="25">
        <f>IF($D716="","",IFERROR(INDEX(PacNome,MATCH($D716,PacCod,0)),"Paciente não cadastrado"))</f>
        <v>0</v>
      </c>
      <c r="K716" s="26">
        <f>IF($D716="","",IFERROR(INDEX(PacConv,MATCH($D716,PacCod,0))&amp;"",""))</f>
        <v>0</v>
      </c>
      <c r="L716" s="26">
        <f>IF($A716="","",CHOOSE(WEEKDAY($A716,2),"Seg","Ter","Qua","Qui","Sex","Sáb","Dom"))</f>
        <v>0</v>
      </c>
      <c r="M716" s="27">
        <f>IF($E716="","",IF($G716&lt;&gt;"",$G716,IFERROR(INDEX(ProcValor,MATCH($E716,ProcNome,0)),0)))</f>
        <v>0</v>
      </c>
      <c r="N716" s="27">
        <f>IF($M716="","",IF($F716="Compareceu",$M716,0))</f>
        <v>0</v>
      </c>
      <c r="O716" s="27">
        <f>IF($M716="","",IF($F716="Faltou",$M716,0))</f>
        <v>0</v>
      </c>
      <c r="P716" s="27">
        <f>IF($M716="","",IF($F716="Compareceu",MAX(0,$M716-N($H716)),0))</f>
        <v>0</v>
      </c>
      <c r="Q716" s="19">
        <f>IF(AND($F716="Compareceu",$E716&lt;&gt;"",$A716&lt;&gt;""),IF(IFERROR(INDEX(ProcRet,MATCH($E716,ProcNome,0)),0)&gt;0,$A716+INDEX(ProcRet,MATCH($E716,ProcNome,0)),""),"")</f>
        <v>0</v>
      </c>
      <c r="R716" s="26">
        <f>IF($Q716="","",IF(COUNTIFS(AgPac,$D716,AgData,"&gt;"&amp;$A716,AgStatus,"&lt;&gt;Cancelado",AgStatus,"&lt;&gt;Remarcado")&gt;0,"Sim","Não"))</f>
        <v>0</v>
      </c>
      <c r="S716" s="28">
        <f>IF($A716="","",IF(AND($F716="Agendado",$A716-Hoje&gt;=0,$A716-Hoje&lt;=DiasConf),"CONFIRMAR",IF(AND($A716&lt;Hoje,OR($F716="Agendado",$F716="Confirmado")),"Atualizar status",IF(AND($F716="Compareceu",$P716&gt;0.005),"Cobrar",IF($F716="Faltou","Falta: reagendar","")))))</f>
        <v>0</v>
      </c>
      <c r="T716" s="29">
        <f>IF($A716="","",DATE(YEAR($A716),MONTH($A716),1))</f>
        <v>0</v>
      </c>
      <c r="U716" s="30">
        <f>IF($S716="CONFIRMAR",MAX($U$4:$U715)+1,"")</f>
        <v>0</v>
      </c>
      <c r="V716" s="30">
        <f>IF(AND($R716="Não",$Q716&lt;&gt;"",$Q716&lt;=Hoje+JanelaRet,$Q716&gt;=Hoje-60),MAX($V$4:$V715)+1,"")</f>
        <v>0</v>
      </c>
    </row>
    <row r="717" spans="1:22">
      <c r="A717" s="16"/>
      <c r="B717" s="23"/>
      <c r="C717" s="15"/>
      <c r="D717" s="15"/>
      <c r="E717" s="15"/>
      <c r="F717" s="24"/>
      <c r="G717" s="17"/>
      <c r="H717" s="17"/>
      <c r="I717" s="15"/>
      <c r="J717" s="25">
        <f>IF($D717="","",IFERROR(INDEX(PacNome,MATCH($D717,PacCod,0)),"Paciente não cadastrado"))</f>
        <v>0</v>
      </c>
      <c r="K717" s="26">
        <f>IF($D717="","",IFERROR(INDEX(PacConv,MATCH($D717,PacCod,0))&amp;"",""))</f>
        <v>0</v>
      </c>
      <c r="L717" s="26">
        <f>IF($A717="","",CHOOSE(WEEKDAY($A717,2),"Seg","Ter","Qua","Qui","Sex","Sáb","Dom"))</f>
        <v>0</v>
      </c>
      <c r="M717" s="27">
        <f>IF($E717="","",IF($G717&lt;&gt;"",$G717,IFERROR(INDEX(ProcValor,MATCH($E717,ProcNome,0)),0)))</f>
        <v>0</v>
      </c>
      <c r="N717" s="27">
        <f>IF($M717="","",IF($F717="Compareceu",$M717,0))</f>
        <v>0</v>
      </c>
      <c r="O717" s="27">
        <f>IF($M717="","",IF($F717="Faltou",$M717,0))</f>
        <v>0</v>
      </c>
      <c r="P717" s="27">
        <f>IF($M717="","",IF($F717="Compareceu",MAX(0,$M717-N($H717)),0))</f>
        <v>0</v>
      </c>
      <c r="Q717" s="19">
        <f>IF(AND($F717="Compareceu",$E717&lt;&gt;"",$A717&lt;&gt;""),IF(IFERROR(INDEX(ProcRet,MATCH($E717,ProcNome,0)),0)&gt;0,$A717+INDEX(ProcRet,MATCH($E717,ProcNome,0)),""),"")</f>
        <v>0</v>
      </c>
      <c r="R717" s="26">
        <f>IF($Q717="","",IF(COUNTIFS(AgPac,$D717,AgData,"&gt;"&amp;$A717,AgStatus,"&lt;&gt;Cancelado",AgStatus,"&lt;&gt;Remarcado")&gt;0,"Sim","Não"))</f>
        <v>0</v>
      </c>
      <c r="S717" s="28">
        <f>IF($A717="","",IF(AND($F717="Agendado",$A717-Hoje&gt;=0,$A717-Hoje&lt;=DiasConf),"CONFIRMAR",IF(AND($A717&lt;Hoje,OR($F717="Agendado",$F717="Confirmado")),"Atualizar status",IF(AND($F717="Compareceu",$P717&gt;0.005),"Cobrar",IF($F717="Faltou","Falta: reagendar","")))))</f>
        <v>0</v>
      </c>
      <c r="T717" s="29">
        <f>IF($A717="","",DATE(YEAR($A717),MONTH($A717),1))</f>
        <v>0</v>
      </c>
      <c r="U717" s="30">
        <f>IF($S717="CONFIRMAR",MAX($U$4:$U716)+1,"")</f>
        <v>0</v>
      </c>
      <c r="V717" s="30">
        <f>IF(AND($R717="Não",$Q717&lt;&gt;"",$Q717&lt;=Hoje+JanelaRet,$Q717&gt;=Hoje-60),MAX($V$4:$V716)+1,"")</f>
        <v>0</v>
      </c>
    </row>
    <row r="718" spans="1:22">
      <c r="A718" s="16"/>
      <c r="B718" s="23"/>
      <c r="C718" s="15"/>
      <c r="D718" s="15"/>
      <c r="E718" s="15"/>
      <c r="F718" s="24"/>
      <c r="G718" s="17"/>
      <c r="H718" s="17"/>
      <c r="I718" s="15"/>
      <c r="J718" s="25">
        <f>IF($D718="","",IFERROR(INDEX(PacNome,MATCH($D718,PacCod,0)),"Paciente não cadastrado"))</f>
        <v>0</v>
      </c>
      <c r="K718" s="26">
        <f>IF($D718="","",IFERROR(INDEX(PacConv,MATCH($D718,PacCod,0))&amp;"",""))</f>
        <v>0</v>
      </c>
      <c r="L718" s="26">
        <f>IF($A718="","",CHOOSE(WEEKDAY($A718,2),"Seg","Ter","Qua","Qui","Sex","Sáb","Dom"))</f>
        <v>0</v>
      </c>
      <c r="M718" s="27">
        <f>IF($E718="","",IF($G718&lt;&gt;"",$G718,IFERROR(INDEX(ProcValor,MATCH($E718,ProcNome,0)),0)))</f>
        <v>0</v>
      </c>
      <c r="N718" s="27">
        <f>IF($M718="","",IF($F718="Compareceu",$M718,0))</f>
        <v>0</v>
      </c>
      <c r="O718" s="27">
        <f>IF($M718="","",IF($F718="Faltou",$M718,0))</f>
        <v>0</v>
      </c>
      <c r="P718" s="27">
        <f>IF($M718="","",IF($F718="Compareceu",MAX(0,$M718-N($H718)),0))</f>
        <v>0</v>
      </c>
      <c r="Q718" s="19">
        <f>IF(AND($F718="Compareceu",$E718&lt;&gt;"",$A718&lt;&gt;""),IF(IFERROR(INDEX(ProcRet,MATCH($E718,ProcNome,0)),0)&gt;0,$A718+INDEX(ProcRet,MATCH($E718,ProcNome,0)),""),"")</f>
        <v>0</v>
      </c>
      <c r="R718" s="26">
        <f>IF($Q718="","",IF(COUNTIFS(AgPac,$D718,AgData,"&gt;"&amp;$A718,AgStatus,"&lt;&gt;Cancelado",AgStatus,"&lt;&gt;Remarcado")&gt;0,"Sim","Não"))</f>
        <v>0</v>
      </c>
      <c r="S718" s="28">
        <f>IF($A718="","",IF(AND($F718="Agendado",$A718-Hoje&gt;=0,$A718-Hoje&lt;=DiasConf),"CONFIRMAR",IF(AND($A718&lt;Hoje,OR($F718="Agendado",$F718="Confirmado")),"Atualizar status",IF(AND($F718="Compareceu",$P718&gt;0.005),"Cobrar",IF($F718="Faltou","Falta: reagendar","")))))</f>
        <v>0</v>
      </c>
      <c r="T718" s="29">
        <f>IF($A718="","",DATE(YEAR($A718),MONTH($A718),1))</f>
        <v>0</v>
      </c>
      <c r="U718" s="30">
        <f>IF($S718="CONFIRMAR",MAX($U$4:$U717)+1,"")</f>
        <v>0</v>
      </c>
      <c r="V718" s="30">
        <f>IF(AND($R718="Não",$Q718&lt;&gt;"",$Q718&lt;=Hoje+JanelaRet,$Q718&gt;=Hoje-60),MAX($V$4:$V717)+1,"")</f>
        <v>0</v>
      </c>
    </row>
    <row r="719" spans="1:22">
      <c r="A719" s="16"/>
      <c r="B719" s="23"/>
      <c r="C719" s="15"/>
      <c r="D719" s="15"/>
      <c r="E719" s="15"/>
      <c r="F719" s="24"/>
      <c r="G719" s="17"/>
      <c r="H719" s="17"/>
      <c r="I719" s="15"/>
      <c r="J719" s="25">
        <f>IF($D719="","",IFERROR(INDEX(PacNome,MATCH($D719,PacCod,0)),"Paciente não cadastrado"))</f>
        <v>0</v>
      </c>
      <c r="K719" s="26">
        <f>IF($D719="","",IFERROR(INDEX(PacConv,MATCH($D719,PacCod,0))&amp;"",""))</f>
        <v>0</v>
      </c>
      <c r="L719" s="26">
        <f>IF($A719="","",CHOOSE(WEEKDAY($A719,2),"Seg","Ter","Qua","Qui","Sex","Sáb","Dom"))</f>
        <v>0</v>
      </c>
      <c r="M719" s="27">
        <f>IF($E719="","",IF($G719&lt;&gt;"",$G719,IFERROR(INDEX(ProcValor,MATCH($E719,ProcNome,0)),0)))</f>
        <v>0</v>
      </c>
      <c r="N719" s="27">
        <f>IF($M719="","",IF($F719="Compareceu",$M719,0))</f>
        <v>0</v>
      </c>
      <c r="O719" s="27">
        <f>IF($M719="","",IF($F719="Faltou",$M719,0))</f>
        <v>0</v>
      </c>
      <c r="P719" s="27">
        <f>IF($M719="","",IF($F719="Compareceu",MAX(0,$M719-N($H719)),0))</f>
        <v>0</v>
      </c>
      <c r="Q719" s="19">
        <f>IF(AND($F719="Compareceu",$E719&lt;&gt;"",$A719&lt;&gt;""),IF(IFERROR(INDEX(ProcRet,MATCH($E719,ProcNome,0)),0)&gt;0,$A719+INDEX(ProcRet,MATCH($E719,ProcNome,0)),""),"")</f>
        <v>0</v>
      </c>
      <c r="R719" s="26">
        <f>IF($Q719="","",IF(COUNTIFS(AgPac,$D719,AgData,"&gt;"&amp;$A719,AgStatus,"&lt;&gt;Cancelado",AgStatus,"&lt;&gt;Remarcado")&gt;0,"Sim","Não"))</f>
        <v>0</v>
      </c>
      <c r="S719" s="28">
        <f>IF($A719="","",IF(AND($F719="Agendado",$A719-Hoje&gt;=0,$A719-Hoje&lt;=DiasConf),"CONFIRMAR",IF(AND($A719&lt;Hoje,OR($F719="Agendado",$F719="Confirmado")),"Atualizar status",IF(AND($F719="Compareceu",$P719&gt;0.005),"Cobrar",IF($F719="Faltou","Falta: reagendar","")))))</f>
        <v>0</v>
      </c>
      <c r="T719" s="29">
        <f>IF($A719="","",DATE(YEAR($A719),MONTH($A719),1))</f>
        <v>0</v>
      </c>
      <c r="U719" s="30">
        <f>IF($S719="CONFIRMAR",MAX($U$4:$U718)+1,"")</f>
        <v>0</v>
      </c>
      <c r="V719" s="30">
        <f>IF(AND($R719="Não",$Q719&lt;&gt;"",$Q719&lt;=Hoje+JanelaRet,$Q719&gt;=Hoje-60),MAX($V$4:$V718)+1,"")</f>
        <v>0</v>
      </c>
    </row>
    <row r="720" spans="1:22">
      <c r="A720" s="16"/>
      <c r="B720" s="23"/>
      <c r="C720" s="15"/>
      <c r="D720" s="15"/>
      <c r="E720" s="15"/>
      <c r="F720" s="24"/>
      <c r="G720" s="17"/>
      <c r="H720" s="17"/>
      <c r="I720" s="15"/>
      <c r="J720" s="25">
        <f>IF($D720="","",IFERROR(INDEX(PacNome,MATCH($D720,PacCod,0)),"Paciente não cadastrado"))</f>
        <v>0</v>
      </c>
      <c r="K720" s="26">
        <f>IF($D720="","",IFERROR(INDEX(PacConv,MATCH($D720,PacCod,0))&amp;"",""))</f>
        <v>0</v>
      </c>
      <c r="L720" s="26">
        <f>IF($A720="","",CHOOSE(WEEKDAY($A720,2),"Seg","Ter","Qua","Qui","Sex","Sáb","Dom"))</f>
        <v>0</v>
      </c>
      <c r="M720" s="27">
        <f>IF($E720="","",IF($G720&lt;&gt;"",$G720,IFERROR(INDEX(ProcValor,MATCH($E720,ProcNome,0)),0)))</f>
        <v>0</v>
      </c>
      <c r="N720" s="27">
        <f>IF($M720="","",IF($F720="Compareceu",$M720,0))</f>
        <v>0</v>
      </c>
      <c r="O720" s="27">
        <f>IF($M720="","",IF($F720="Faltou",$M720,0))</f>
        <v>0</v>
      </c>
      <c r="P720" s="27">
        <f>IF($M720="","",IF($F720="Compareceu",MAX(0,$M720-N($H720)),0))</f>
        <v>0</v>
      </c>
      <c r="Q720" s="19">
        <f>IF(AND($F720="Compareceu",$E720&lt;&gt;"",$A720&lt;&gt;""),IF(IFERROR(INDEX(ProcRet,MATCH($E720,ProcNome,0)),0)&gt;0,$A720+INDEX(ProcRet,MATCH($E720,ProcNome,0)),""),"")</f>
        <v>0</v>
      </c>
      <c r="R720" s="26">
        <f>IF($Q720="","",IF(COUNTIFS(AgPac,$D720,AgData,"&gt;"&amp;$A720,AgStatus,"&lt;&gt;Cancelado",AgStatus,"&lt;&gt;Remarcado")&gt;0,"Sim","Não"))</f>
        <v>0</v>
      </c>
      <c r="S720" s="28">
        <f>IF($A720="","",IF(AND($F720="Agendado",$A720-Hoje&gt;=0,$A720-Hoje&lt;=DiasConf),"CONFIRMAR",IF(AND($A720&lt;Hoje,OR($F720="Agendado",$F720="Confirmado")),"Atualizar status",IF(AND($F720="Compareceu",$P720&gt;0.005),"Cobrar",IF($F720="Faltou","Falta: reagendar","")))))</f>
        <v>0</v>
      </c>
      <c r="T720" s="29">
        <f>IF($A720="","",DATE(YEAR($A720),MONTH($A720),1))</f>
        <v>0</v>
      </c>
      <c r="U720" s="30">
        <f>IF($S720="CONFIRMAR",MAX($U$4:$U719)+1,"")</f>
        <v>0</v>
      </c>
      <c r="V720" s="30">
        <f>IF(AND($R720="Não",$Q720&lt;&gt;"",$Q720&lt;=Hoje+JanelaRet,$Q720&gt;=Hoje-60),MAX($V$4:$V719)+1,"")</f>
        <v>0</v>
      </c>
    </row>
    <row r="721" spans="1:22">
      <c r="A721" s="16"/>
      <c r="B721" s="23"/>
      <c r="C721" s="15"/>
      <c r="D721" s="15"/>
      <c r="E721" s="15"/>
      <c r="F721" s="24"/>
      <c r="G721" s="17"/>
      <c r="H721" s="17"/>
      <c r="I721" s="15"/>
      <c r="J721" s="25">
        <f>IF($D721="","",IFERROR(INDEX(PacNome,MATCH($D721,PacCod,0)),"Paciente não cadastrado"))</f>
        <v>0</v>
      </c>
      <c r="K721" s="26">
        <f>IF($D721="","",IFERROR(INDEX(PacConv,MATCH($D721,PacCod,0))&amp;"",""))</f>
        <v>0</v>
      </c>
      <c r="L721" s="26">
        <f>IF($A721="","",CHOOSE(WEEKDAY($A721,2),"Seg","Ter","Qua","Qui","Sex","Sáb","Dom"))</f>
        <v>0</v>
      </c>
      <c r="M721" s="27">
        <f>IF($E721="","",IF($G721&lt;&gt;"",$G721,IFERROR(INDEX(ProcValor,MATCH($E721,ProcNome,0)),0)))</f>
        <v>0</v>
      </c>
      <c r="N721" s="27">
        <f>IF($M721="","",IF($F721="Compareceu",$M721,0))</f>
        <v>0</v>
      </c>
      <c r="O721" s="27">
        <f>IF($M721="","",IF($F721="Faltou",$M721,0))</f>
        <v>0</v>
      </c>
      <c r="P721" s="27">
        <f>IF($M721="","",IF($F721="Compareceu",MAX(0,$M721-N($H721)),0))</f>
        <v>0</v>
      </c>
      <c r="Q721" s="19">
        <f>IF(AND($F721="Compareceu",$E721&lt;&gt;"",$A721&lt;&gt;""),IF(IFERROR(INDEX(ProcRet,MATCH($E721,ProcNome,0)),0)&gt;0,$A721+INDEX(ProcRet,MATCH($E721,ProcNome,0)),""),"")</f>
        <v>0</v>
      </c>
      <c r="R721" s="26">
        <f>IF($Q721="","",IF(COUNTIFS(AgPac,$D721,AgData,"&gt;"&amp;$A721,AgStatus,"&lt;&gt;Cancelado",AgStatus,"&lt;&gt;Remarcado")&gt;0,"Sim","Não"))</f>
        <v>0</v>
      </c>
      <c r="S721" s="28">
        <f>IF($A721="","",IF(AND($F721="Agendado",$A721-Hoje&gt;=0,$A721-Hoje&lt;=DiasConf),"CONFIRMAR",IF(AND($A721&lt;Hoje,OR($F721="Agendado",$F721="Confirmado")),"Atualizar status",IF(AND($F721="Compareceu",$P721&gt;0.005),"Cobrar",IF($F721="Faltou","Falta: reagendar","")))))</f>
        <v>0</v>
      </c>
      <c r="T721" s="29">
        <f>IF($A721="","",DATE(YEAR($A721),MONTH($A721),1))</f>
        <v>0</v>
      </c>
      <c r="U721" s="30">
        <f>IF($S721="CONFIRMAR",MAX($U$4:$U720)+1,"")</f>
        <v>0</v>
      </c>
      <c r="V721" s="30">
        <f>IF(AND($R721="Não",$Q721&lt;&gt;"",$Q721&lt;=Hoje+JanelaRet,$Q721&gt;=Hoje-60),MAX($V$4:$V720)+1,"")</f>
        <v>0</v>
      </c>
    </row>
    <row r="722" spans="1:22">
      <c r="A722" s="16"/>
      <c r="B722" s="23"/>
      <c r="C722" s="15"/>
      <c r="D722" s="15"/>
      <c r="E722" s="15"/>
      <c r="F722" s="24"/>
      <c r="G722" s="17"/>
      <c r="H722" s="17"/>
      <c r="I722" s="15"/>
      <c r="J722" s="25">
        <f>IF($D722="","",IFERROR(INDEX(PacNome,MATCH($D722,PacCod,0)),"Paciente não cadastrado"))</f>
        <v>0</v>
      </c>
      <c r="K722" s="26">
        <f>IF($D722="","",IFERROR(INDEX(PacConv,MATCH($D722,PacCod,0))&amp;"",""))</f>
        <v>0</v>
      </c>
      <c r="L722" s="26">
        <f>IF($A722="","",CHOOSE(WEEKDAY($A722,2),"Seg","Ter","Qua","Qui","Sex","Sáb","Dom"))</f>
        <v>0</v>
      </c>
      <c r="M722" s="27">
        <f>IF($E722="","",IF($G722&lt;&gt;"",$G722,IFERROR(INDEX(ProcValor,MATCH($E722,ProcNome,0)),0)))</f>
        <v>0</v>
      </c>
      <c r="N722" s="27">
        <f>IF($M722="","",IF($F722="Compareceu",$M722,0))</f>
        <v>0</v>
      </c>
      <c r="O722" s="27">
        <f>IF($M722="","",IF($F722="Faltou",$M722,0))</f>
        <v>0</v>
      </c>
      <c r="P722" s="27">
        <f>IF($M722="","",IF($F722="Compareceu",MAX(0,$M722-N($H722)),0))</f>
        <v>0</v>
      </c>
      <c r="Q722" s="19">
        <f>IF(AND($F722="Compareceu",$E722&lt;&gt;"",$A722&lt;&gt;""),IF(IFERROR(INDEX(ProcRet,MATCH($E722,ProcNome,0)),0)&gt;0,$A722+INDEX(ProcRet,MATCH($E722,ProcNome,0)),""),"")</f>
        <v>0</v>
      </c>
      <c r="R722" s="26">
        <f>IF($Q722="","",IF(COUNTIFS(AgPac,$D722,AgData,"&gt;"&amp;$A722,AgStatus,"&lt;&gt;Cancelado",AgStatus,"&lt;&gt;Remarcado")&gt;0,"Sim","Não"))</f>
        <v>0</v>
      </c>
      <c r="S722" s="28">
        <f>IF($A722="","",IF(AND($F722="Agendado",$A722-Hoje&gt;=0,$A722-Hoje&lt;=DiasConf),"CONFIRMAR",IF(AND($A722&lt;Hoje,OR($F722="Agendado",$F722="Confirmado")),"Atualizar status",IF(AND($F722="Compareceu",$P722&gt;0.005),"Cobrar",IF($F722="Faltou","Falta: reagendar","")))))</f>
        <v>0</v>
      </c>
      <c r="T722" s="29">
        <f>IF($A722="","",DATE(YEAR($A722),MONTH($A722),1))</f>
        <v>0</v>
      </c>
      <c r="U722" s="30">
        <f>IF($S722="CONFIRMAR",MAX($U$4:$U721)+1,"")</f>
        <v>0</v>
      </c>
      <c r="V722" s="30">
        <f>IF(AND($R722="Não",$Q722&lt;&gt;"",$Q722&lt;=Hoje+JanelaRet,$Q722&gt;=Hoje-60),MAX($V$4:$V721)+1,"")</f>
        <v>0</v>
      </c>
    </row>
    <row r="723" spans="1:22">
      <c r="A723" s="16"/>
      <c r="B723" s="23"/>
      <c r="C723" s="15"/>
      <c r="D723" s="15"/>
      <c r="E723" s="15"/>
      <c r="F723" s="24"/>
      <c r="G723" s="17"/>
      <c r="H723" s="17"/>
      <c r="I723" s="15"/>
      <c r="J723" s="25">
        <f>IF($D723="","",IFERROR(INDEX(PacNome,MATCH($D723,PacCod,0)),"Paciente não cadastrado"))</f>
        <v>0</v>
      </c>
      <c r="K723" s="26">
        <f>IF($D723="","",IFERROR(INDEX(PacConv,MATCH($D723,PacCod,0))&amp;"",""))</f>
        <v>0</v>
      </c>
      <c r="L723" s="26">
        <f>IF($A723="","",CHOOSE(WEEKDAY($A723,2),"Seg","Ter","Qua","Qui","Sex","Sáb","Dom"))</f>
        <v>0</v>
      </c>
      <c r="M723" s="27">
        <f>IF($E723="","",IF($G723&lt;&gt;"",$G723,IFERROR(INDEX(ProcValor,MATCH($E723,ProcNome,0)),0)))</f>
        <v>0</v>
      </c>
      <c r="N723" s="27">
        <f>IF($M723="","",IF($F723="Compareceu",$M723,0))</f>
        <v>0</v>
      </c>
      <c r="O723" s="27">
        <f>IF($M723="","",IF($F723="Faltou",$M723,0))</f>
        <v>0</v>
      </c>
      <c r="P723" s="27">
        <f>IF($M723="","",IF($F723="Compareceu",MAX(0,$M723-N($H723)),0))</f>
        <v>0</v>
      </c>
      <c r="Q723" s="19">
        <f>IF(AND($F723="Compareceu",$E723&lt;&gt;"",$A723&lt;&gt;""),IF(IFERROR(INDEX(ProcRet,MATCH($E723,ProcNome,0)),0)&gt;0,$A723+INDEX(ProcRet,MATCH($E723,ProcNome,0)),""),"")</f>
        <v>0</v>
      </c>
      <c r="R723" s="26">
        <f>IF($Q723="","",IF(COUNTIFS(AgPac,$D723,AgData,"&gt;"&amp;$A723,AgStatus,"&lt;&gt;Cancelado",AgStatus,"&lt;&gt;Remarcado")&gt;0,"Sim","Não"))</f>
        <v>0</v>
      </c>
      <c r="S723" s="28">
        <f>IF($A723="","",IF(AND($F723="Agendado",$A723-Hoje&gt;=0,$A723-Hoje&lt;=DiasConf),"CONFIRMAR",IF(AND($A723&lt;Hoje,OR($F723="Agendado",$F723="Confirmado")),"Atualizar status",IF(AND($F723="Compareceu",$P723&gt;0.005),"Cobrar",IF($F723="Faltou","Falta: reagendar","")))))</f>
        <v>0</v>
      </c>
      <c r="T723" s="29">
        <f>IF($A723="","",DATE(YEAR($A723),MONTH($A723),1))</f>
        <v>0</v>
      </c>
      <c r="U723" s="30">
        <f>IF($S723="CONFIRMAR",MAX($U$4:$U722)+1,"")</f>
        <v>0</v>
      </c>
      <c r="V723" s="30">
        <f>IF(AND($R723="Não",$Q723&lt;&gt;"",$Q723&lt;=Hoje+JanelaRet,$Q723&gt;=Hoje-60),MAX($V$4:$V722)+1,"")</f>
        <v>0</v>
      </c>
    </row>
    <row r="724" spans="1:22">
      <c r="A724" s="16"/>
      <c r="B724" s="23"/>
      <c r="C724" s="15"/>
      <c r="D724" s="15"/>
      <c r="E724" s="15"/>
      <c r="F724" s="24"/>
      <c r="G724" s="17"/>
      <c r="H724" s="17"/>
      <c r="I724" s="15"/>
      <c r="J724" s="25">
        <f>IF($D724="","",IFERROR(INDEX(PacNome,MATCH($D724,PacCod,0)),"Paciente não cadastrado"))</f>
        <v>0</v>
      </c>
      <c r="K724" s="26">
        <f>IF($D724="","",IFERROR(INDEX(PacConv,MATCH($D724,PacCod,0))&amp;"",""))</f>
        <v>0</v>
      </c>
      <c r="L724" s="26">
        <f>IF($A724="","",CHOOSE(WEEKDAY($A724,2),"Seg","Ter","Qua","Qui","Sex","Sáb","Dom"))</f>
        <v>0</v>
      </c>
      <c r="M724" s="27">
        <f>IF($E724="","",IF($G724&lt;&gt;"",$G724,IFERROR(INDEX(ProcValor,MATCH($E724,ProcNome,0)),0)))</f>
        <v>0</v>
      </c>
      <c r="N724" s="27">
        <f>IF($M724="","",IF($F724="Compareceu",$M724,0))</f>
        <v>0</v>
      </c>
      <c r="O724" s="27">
        <f>IF($M724="","",IF($F724="Faltou",$M724,0))</f>
        <v>0</v>
      </c>
      <c r="P724" s="27">
        <f>IF($M724="","",IF($F724="Compareceu",MAX(0,$M724-N($H724)),0))</f>
        <v>0</v>
      </c>
      <c r="Q724" s="19">
        <f>IF(AND($F724="Compareceu",$E724&lt;&gt;"",$A724&lt;&gt;""),IF(IFERROR(INDEX(ProcRet,MATCH($E724,ProcNome,0)),0)&gt;0,$A724+INDEX(ProcRet,MATCH($E724,ProcNome,0)),""),"")</f>
        <v>0</v>
      </c>
      <c r="R724" s="26">
        <f>IF($Q724="","",IF(COUNTIFS(AgPac,$D724,AgData,"&gt;"&amp;$A724,AgStatus,"&lt;&gt;Cancelado",AgStatus,"&lt;&gt;Remarcado")&gt;0,"Sim","Não"))</f>
        <v>0</v>
      </c>
      <c r="S724" s="28">
        <f>IF($A724="","",IF(AND($F724="Agendado",$A724-Hoje&gt;=0,$A724-Hoje&lt;=DiasConf),"CONFIRMAR",IF(AND($A724&lt;Hoje,OR($F724="Agendado",$F724="Confirmado")),"Atualizar status",IF(AND($F724="Compareceu",$P724&gt;0.005),"Cobrar",IF($F724="Faltou","Falta: reagendar","")))))</f>
        <v>0</v>
      </c>
      <c r="T724" s="29">
        <f>IF($A724="","",DATE(YEAR($A724),MONTH($A724),1))</f>
        <v>0</v>
      </c>
      <c r="U724" s="30">
        <f>IF($S724="CONFIRMAR",MAX($U$4:$U723)+1,"")</f>
        <v>0</v>
      </c>
      <c r="V724" s="30">
        <f>IF(AND($R724="Não",$Q724&lt;&gt;"",$Q724&lt;=Hoje+JanelaRet,$Q724&gt;=Hoje-60),MAX($V$4:$V723)+1,"")</f>
        <v>0</v>
      </c>
    </row>
    <row r="725" spans="1:22">
      <c r="A725" s="16"/>
      <c r="B725" s="23"/>
      <c r="C725" s="15"/>
      <c r="D725" s="15"/>
      <c r="E725" s="15"/>
      <c r="F725" s="24"/>
      <c r="G725" s="17"/>
      <c r="H725" s="17"/>
      <c r="I725" s="15"/>
      <c r="J725" s="25">
        <f>IF($D725="","",IFERROR(INDEX(PacNome,MATCH($D725,PacCod,0)),"Paciente não cadastrado"))</f>
        <v>0</v>
      </c>
      <c r="K725" s="26">
        <f>IF($D725="","",IFERROR(INDEX(PacConv,MATCH($D725,PacCod,0))&amp;"",""))</f>
        <v>0</v>
      </c>
      <c r="L725" s="26">
        <f>IF($A725="","",CHOOSE(WEEKDAY($A725,2),"Seg","Ter","Qua","Qui","Sex","Sáb","Dom"))</f>
        <v>0</v>
      </c>
      <c r="M725" s="27">
        <f>IF($E725="","",IF($G725&lt;&gt;"",$G725,IFERROR(INDEX(ProcValor,MATCH($E725,ProcNome,0)),0)))</f>
        <v>0</v>
      </c>
      <c r="N725" s="27">
        <f>IF($M725="","",IF($F725="Compareceu",$M725,0))</f>
        <v>0</v>
      </c>
      <c r="O725" s="27">
        <f>IF($M725="","",IF($F725="Faltou",$M725,0))</f>
        <v>0</v>
      </c>
      <c r="P725" s="27">
        <f>IF($M725="","",IF($F725="Compareceu",MAX(0,$M725-N($H725)),0))</f>
        <v>0</v>
      </c>
      <c r="Q725" s="19">
        <f>IF(AND($F725="Compareceu",$E725&lt;&gt;"",$A725&lt;&gt;""),IF(IFERROR(INDEX(ProcRet,MATCH($E725,ProcNome,0)),0)&gt;0,$A725+INDEX(ProcRet,MATCH($E725,ProcNome,0)),""),"")</f>
        <v>0</v>
      </c>
      <c r="R725" s="26">
        <f>IF($Q725="","",IF(COUNTIFS(AgPac,$D725,AgData,"&gt;"&amp;$A725,AgStatus,"&lt;&gt;Cancelado",AgStatus,"&lt;&gt;Remarcado")&gt;0,"Sim","Não"))</f>
        <v>0</v>
      </c>
      <c r="S725" s="28">
        <f>IF($A725="","",IF(AND($F725="Agendado",$A725-Hoje&gt;=0,$A725-Hoje&lt;=DiasConf),"CONFIRMAR",IF(AND($A725&lt;Hoje,OR($F725="Agendado",$F725="Confirmado")),"Atualizar status",IF(AND($F725="Compareceu",$P725&gt;0.005),"Cobrar",IF($F725="Faltou","Falta: reagendar","")))))</f>
        <v>0</v>
      </c>
      <c r="T725" s="29">
        <f>IF($A725="","",DATE(YEAR($A725),MONTH($A725),1))</f>
        <v>0</v>
      </c>
      <c r="U725" s="30">
        <f>IF($S725="CONFIRMAR",MAX($U$4:$U724)+1,"")</f>
        <v>0</v>
      </c>
      <c r="V725" s="30">
        <f>IF(AND($R725="Não",$Q725&lt;&gt;"",$Q725&lt;=Hoje+JanelaRet,$Q725&gt;=Hoje-60),MAX($V$4:$V724)+1,"")</f>
        <v>0</v>
      </c>
    </row>
    <row r="726" spans="1:22">
      <c r="A726" s="16"/>
      <c r="B726" s="23"/>
      <c r="C726" s="15"/>
      <c r="D726" s="15"/>
      <c r="E726" s="15"/>
      <c r="F726" s="24"/>
      <c r="G726" s="17"/>
      <c r="H726" s="17"/>
      <c r="I726" s="15"/>
      <c r="J726" s="25">
        <f>IF($D726="","",IFERROR(INDEX(PacNome,MATCH($D726,PacCod,0)),"Paciente não cadastrado"))</f>
        <v>0</v>
      </c>
      <c r="K726" s="26">
        <f>IF($D726="","",IFERROR(INDEX(PacConv,MATCH($D726,PacCod,0))&amp;"",""))</f>
        <v>0</v>
      </c>
      <c r="L726" s="26">
        <f>IF($A726="","",CHOOSE(WEEKDAY($A726,2),"Seg","Ter","Qua","Qui","Sex","Sáb","Dom"))</f>
        <v>0</v>
      </c>
      <c r="M726" s="27">
        <f>IF($E726="","",IF($G726&lt;&gt;"",$G726,IFERROR(INDEX(ProcValor,MATCH($E726,ProcNome,0)),0)))</f>
        <v>0</v>
      </c>
      <c r="N726" s="27">
        <f>IF($M726="","",IF($F726="Compareceu",$M726,0))</f>
        <v>0</v>
      </c>
      <c r="O726" s="27">
        <f>IF($M726="","",IF($F726="Faltou",$M726,0))</f>
        <v>0</v>
      </c>
      <c r="P726" s="27">
        <f>IF($M726="","",IF($F726="Compareceu",MAX(0,$M726-N($H726)),0))</f>
        <v>0</v>
      </c>
      <c r="Q726" s="19">
        <f>IF(AND($F726="Compareceu",$E726&lt;&gt;"",$A726&lt;&gt;""),IF(IFERROR(INDEX(ProcRet,MATCH($E726,ProcNome,0)),0)&gt;0,$A726+INDEX(ProcRet,MATCH($E726,ProcNome,0)),""),"")</f>
        <v>0</v>
      </c>
      <c r="R726" s="26">
        <f>IF($Q726="","",IF(COUNTIFS(AgPac,$D726,AgData,"&gt;"&amp;$A726,AgStatus,"&lt;&gt;Cancelado",AgStatus,"&lt;&gt;Remarcado")&gt;0,"Sim","Não"))</f>
        <v>0</v>
      </c>
      <c r="S726" s="28">
        <f>IF($A726="","",IF(AND($F726="Agendado",$A726-Hoje&gt;=0,$A726-Hoje&lt;=DiasConf),"CONFIRMAR",IF(AND($A726&lt;Hoje,OR($F726="Agendado",$F726="Confirmado")),"Atualizar status",IF(AND($F726="Compareceu",$P726&gt;0.005),"Cobrar",IF($F726="Faltou","Falta: reagendar","")))))</f>
        <v>0</v>
      </c>
      <c r="T726" s="29">
        <f>IF($A726="","",DATE(YEAR($A726),MONTH($A726),1))</f>
        <v>0</v>
      </c>
      <c r="U726" s="30">
        <f>IF($S726="CONFIRMAR",MAX($U$4:$U725)+1,"")</f>
        <v>0</v>
      </c>
      <c r="V726" s="30">
        <f>IF(AND($R726="Não",$Q726&lt;&gt;"",$Q726&lt;=Hoje+JanelaRet,$Q726&gt;=Hoje-60),MAX($V$4:$V725)+1,"")</f>
        <v>0</v>
      </c>
    </row>
    <row r="727" spans="1:22">
      <c r="A727" s="16"/>
      <c r="B727" s="23"/>
      <c r="C727" s="15"/>
      <c r="D727" s="15"/>
      <c r="E727" s="15"/>
      <c r="F727" s="24"/>
      <c r="G727" s="17"/>
      <c r="H727" s="17"/>
      <c r="I727" s="15"/>
      <c r="J727" s="25">
        <f>IF($D727="","",IFERROR(INDEX(PacNome,MATCH($D727,PacCod,0)),"Paciente não cadastrado"))</f>
        <v>0</v>
      </c>
      <c r="K727" s="26">
        <f>IF($D727="","",IFERROR(INDEX(PacConv,MATCH($D727,PacCod,0))&amp;"",""))</f>
        <v>0</v>
      </c>
      <c r="L727" s="26">
        <f>IF($A727="","",CHOOSE(WEEKDAY($A727,2),"Seg","Ter","Qua","Qui","Sex","Sáb","Dom"))</f>
        <v>0</v>
      </c>
      <c r="M727" s="27">
        <f>IF($E727="","",IF($G727&lt;&gt;"",$G727,IFERROR(INDEX(ProcValor,MATCH($E727,ProcNome,0)),0)))</f>
        <v>0</v>
      </c>
      <c r="N727" s="27">
        <f>IF($M727="","",IF($F727="Compareceu",$M727,0))</f>
        <v>0</v>
      </c>
      <c r="O727" s="27">
        <f>IF($M727="","",IF($F727="Faltou",$M727,0))</f>
        <v>0</v>
      </c>
      <c r="P727" s="27">
        <f>IF($M727="","",IF($F727="Compareceu",MAX(0,$M727-N($H727)),0))</f>
        <v>0</v>
      </c>
      <c r="Q727" s="19">
        <f>IF(AND($F727="Compareceu",$E727&lt;&gt;"",$A727&lt;&gt;""),IF(IFERROR(INDEX(ProcRet,MATCH($E727,ProcNome,0)),0)&gt;0,$A727+INDEX(ProcRet,MATCH($E727,ProcNome,0)),""),"")</f>
        <v>0</v>
      </c>
      <c r="R727" s="26">
        <f>IF($Q727="","",IF(COUNTIFS(AgPac,$D727,AgData,"&gt;"&amp;$A727,AgStatus,"&lt;&gt;Cancelado",AgStatus,"&lt;&gt;Remarcado")&gt;0,"Sim","Não"))</f>
        <v>0</v>
      </c>
      <c r="S727" s="28">
        <f>IF($A727="","",IF(AND($F727="Agendado",$A727-Hoje&gt;=0,$A727-Hoje&lt;=DiasConf),"CONFIRMAR",IF(AND($A727&lt;Hoje,OR($F727="Agendado",$F727="Confirmado")),"Atualizar status",IF(AND($F727="Compareceu",$P727&gt;0.005),"Cobrar",IF($F727="Faltou","Falta: reagendar","")))))</f>
        <v>0</v>
      </c>
      <c r="T727" s="29">
        <f>IF($A727="","",DATE(YEAR($A727),MONTH($A727),1))</f>
        <v>0</v>
      </c>
      <c r="U727" s="30">
        <f>IF($S727="CONFIRMAR",MAX($U$4:$U726)+1,"")</f>
        <v>0</v>
      </c>
      <c r="V727" s="30">
        <f>IF(AND($R727="Não",$Q727&lt;&gt;"",$Q727&lt;=Hoje+JanelaRet,$Q727&gt;=Hoje-60),MAX($V$4:$V726)+1,"")</f>
        <v>0</v>
      </c>
    </row>
    <row r="728" spans="1:22">
      <c r="A728" s="16"/>
      <c r="B728" s="23"/>
      <c r="C728" s="15"/>
      <c r="D728" s="15"/>
      <c r="E728" s="15"/>
      <c r="F728" s="24"/>
      <c r="G728" s="17"/>
      <c r="H728" s="17"/>
      <c r="I728" s="15"/>
      <c r="J728" s="25">
        <f>IF($D728="","",IFERROR(INDEX(PacNome,MATCH($D728,PacCod,0)),"Paciente não cadastrado"))</f>
        <v>0</v>
      </c>
      <c r="K728" s="26">
        <f>IF($D728="","",IFERROR(INDEX(PacConv,MATCH($D728,PacCod,0))&amp;"",""))</f>
        <v>0</v>
      </c>
      <c r="L728" s="26">
        <f>IF($A728="","",CHOOSE(WEEKDAY($A728,2),"Seg","Ter","Qua","Qui","Sex","Sáb","Dom"))</f>
        <v>0</v>
      </c>
      <c r="M728" s="27">
        <f>IF($E728="","",IF($G728&lt;&gt;"",$G728,IFERROR(INDEX(ProcValor,MATCH($E728,ProcNome,0)),0)))</f>
        <v>0</v>
      </c>
      <c r="N728" s="27">
        <f>IF($M728="","",IF($F728="Compareceu",$M728,0))</f>
        <v>0</v>
      </c>
      <c r="O728" s="27">
        <f>IF($M728="","",IF($F728="Faltou",$M728,0))</f>
        <v>0</v>
      </c>
      <c r="P728" s="27">
        <f>IF($M728="","",IF($F728="Compareceu",MAX(0,$M728-N($H728)),0))</f>
        <v>0</v>
      </c>
      <c r="Q728" s="19">
        <f>IF(AND($F728="Compareceu",$E728&lt;&gt;"",$A728&lt;&gt;""),IF(IFERROR(INDEX(ProcRet,MATCH($E728,ProcNome,0)),0)&gt;0,$A728+INDEX(ProcRet,MATCH($E728,ProcNome,0)),""),"")</f>
        <v>0</v>
      </c>
      <c r="R728" s="26">
        <f>IF($Q728="","",IF(COUNTIFS(AgPac,$D728,AgData,"&gt;"&amp;$A728,AgStatus,"&lt;&gt;Cancelado",AgStatus,"&lt;&gt;Remarcado")&gt;0,"Sim","Não"))</f>
        <v>0</v>
      </c>
      <c r="S728" s="28">
        <f>IF($A728="","",IF(AND($F728="Agendado",$A728-Hoje&gt;=0,$A728-Hoje&lt;=DiasConf),"CONFIRMAR",IF(AND($A728&lt;Hoje,OR($F728="Agendado",$F728="Confirmado")),"Atualizar status",IF(AND($F728="Compareceu",$P728&gt;0.005),"Cobrar",IF($F728="Faltou","Falta: reagendar","")))))</f>
        <v>0</v>
      </c>
      <c r="T728" s="29">
        <f>IF($A728="","",DATE(YEAR($A728),MONTH($A728),1))</f>
        <v>0</v>
      </c>
      <c r="U728" s="30">
        <f>IF($S728="CONFIRMAR",MAX($U$4:$U727)+1,"")</f>
        <v>0</v>
      </c>
      <c r="V728" s="30">
        <f>IF(AND($R728="Não",$Q728&lt;&gt;"",$Q728&lt;=Hoje+JanelaRet,$Q728&gt;=Hoje-60),MAX($V$4:$V727)+1,"")</f>
        <v>0</v>
      </c>
    </row>
    <row r="729" spans="1:22">
      <c r="A729" s="16"/>
      <c r="B729" s="23"/>
      <c r="C729" s="15"/>
      <c r="D729" s="15"/>
      <c r="E729" s="15"/>
      <c r="F729" s="24"/>
      <c r="G729" s="17"/>
      <c r="H729" s="17"/>
      <c r="I729" s="15"/>
      <c r="J729" s="25">
        <f>IF($D729="","",IFERROR(INDEX(PacNome,MATCH($D729,PacCod,0)),"Paciente não cadastrado"))</f>
        <v>0</v>
      </c>
      <c r="K729" s="26">
        <f>IF($D729="","",IFERROR(INDEX(PacConv,MATCH($D729,PacCod,0))&amp;"",""))</f>
        <v>0</v>
      </c>
      <c r="L729" s="26">
        <f>IF($A729="","",CHOOSE(WEEKDAY($A729,2),"Seg","Ter","Qua","Qui","Sex","Sáb","Dom"))</f>
        <v>0</v>
      </c>
      <c r="M729" s="27">
        <f>IF($E729="","",IF($G729&lt;&gt;"",$G729,IFERROR(INDEX(ProcValor,MATCH($E729,ProcNome,0)),0)))</f>
        <v>0</v>
      </c>
      <c r="N729" s="27">
        <f>IF($M729="","",IF($F729="Compareceu",$M729,0))</f>
        <v>0</v>
      </c>
      <c r="O729" s="27">
        <f>IF($M729="","",IF($F729="Faltou",$M729,0))</f>
        <v>0</v>
      </c>
      <c r="P729" s="27">
        <f>IF($M729="","",IF($F729="Compareceu",MAX(0,$M729-N($H729)),0))</f>
        <v>0</v>
      </c>
      <c r="Q729" s="19">
        <f>IF(AND($F729="Compareceu",$E729&lt;&gt;"",$A729&lt;&gt;""),IF(IFERROR(INDEX(ProcRet,MATCH($E729,ProcNome,0)),0)&gt;0,$A729+INDEX(ProcRet,MATCH($E729,ProcNome,0)),""),"")</f>
        <v>0</v>
      </c>
      <c r="R729" s="26">
        <f>IF($Q729="","",IF(COUNTIFS(AgPac,$D729,AgData,"&gt;"&amp;$A729,AgStatus,"&lt;&gt;Cancelado",AgStatus,"&lt;&gt;Remarcado")&gt;0,"Sim","Não"))</f>
        <v>0</v>
      </c>
      <c r="S729" s="28">
        <f>IF($A729="","",IF(AND($F729="Agendado",$A729-Hoje&gt;=0,$A729-Hoje&lt;=DiasConf),"CONFIRMAR",IF(AND($A729&lt;Hoje,OR($F729="Agendado",$F729="Confirmado")),"Atualizar status",IF(AND($F729="Compareceu",$P729&gt;0.005),"Cobrar",IF($F729="Faltou","Falta: reagendar","")))))</f>
        <v>0</v>
      </c>
      <c r="T729" s="29">
        <f>IF($A729="","",DATE(YEAR($A729),MONTH($A729),1))</f>
        <v>0</v>
      </c>
      <c r="U729" s="30">
        <f>IF($S729="CONFIRMAR",MAX($U$4:$U728)+1,"")</f>
        <v>0</v>
      </c>
      <c r="V729" s="30">
        <f>IF(AND($R729="Não",$Q729&lt;&gt;"",$Q729&lt;=Hoje+JanelaRet,$Q729&gt;=Hoje-60),MAX($V$4:$V728)+1,"")</f>
        <v>0</v>
      </c>
    </row>
    <row r="730" spans="1:22">
      <c r="A730" s="16"/>
      <c r="B730" s="23"/>
      <c r="C730" s="15"/>
      <c r="D730" s="15"/>
      <c r="E730" s="15"/>
      <c r="F730" s="24"/>
      <c r="G730" s="17"/>
      <c r="H730" s="17"/>
      <c r="I730" s="15"/>
      <c r="J730" s="25">
        <f>IF($D730="","",IFERROR(INDEX(PacNome,MATCH($D730,PacCod,0)),"Paciente não cadastrado"))</f>
        <v>0</v>
      </c>
      <c r="K730" s="26">
        <f>IF($D730="","",IFERROR(INDEX(PacConv,MATCH($D730,PacCod,0))&amp;"",""))</f>
        <v>0</v>
      </c>
      <c r="L730" s="26">
        <f>IF($A730="","",CHOOSE(WEEKDAY($A730,2),"Seg","Ter","Qua","Qui","Sex","Sáb","Dom"))</f>
        <v>0</v>
      </c>
      <c r="M730" s="27">
        <f>IF($E730="","",IF($G730&lt;&gt;"",$G730,IFERROR(INDEX(ProcValor,MATCH($E730,ProcNome,0)),0)))</f>
        <v>0</v>
      </c>
      <c r="N730" s="27">
        <f>IF($M730="","",IF($F730="Compareceu",$M730,0))</f>
        <v>0</v>
      </c>
      <c r="O730" s="27">
        <f>IF($M730="","",IF($F730="Faltou",$M730,0))</f>
        <v>0</v>
      </c>
      <c r="P730" s="27">
        <f>IF($M730="","",IF($F730="Compareceu",MAX(0,$M730-N($H730)),0))</f>
        <v>0</v>
      </c>
      <c r="Q730" s="19">
        <f>IF(AND($F730="Compareceu",$E730&lt;&gt;"",$A730&lt;&gt;""),IF(IFERROR(INDEX(ProcRet,MATCH($E730,ProcNome,0)),0)&gt;0,$A730+INDEX(ProcRet,MATCH($E730,ProcNome,0)),""),"")</f>
        <v>0</v>
      </c>
      <c r="R730" s="26">
        <f>IF($Q730="","",IF(COUNTIFS(AgPac,$D730,AgData,"&gt;"&amp;$A730,AgStatus,"&lt;&gt;Cancelado",AgStatus,"&lt;&gt;Remarcado")&gt;0,"Sim","Não"))</f>
        <v>0</v>
      </c>
      <c r="S730" s="28">
        <f>IF($A730="","",IF(AND($F730="Agendado",$A730-Hoje&gt;=0,$A730-Hoje&lt;=DiasConf),"CONFIRMAR",IF(AND($A730&lt;Hoje,OR($F730="Agendado",$F730="Confirmado")),"Atualizar status",IF(AND($F730="Compareceu",$P730&gt;0.005),"Cobrar",IF($F730="Faltou","Falta: reagendar","")))))</f>
        <v>0</v>
      </c>
      <c r="T730" s="29">
        <f>IF($A730="","",DATE(YEAR($A730),MONTH($A730),1))</f>
        <v>0</v>
      </c>
      <c r="U730" s="30">
        <f>IF($S730="CONFIRMAR",MAX($U$4:$U729)+1,"")</f>
        <v>0</v>
      </c>
      <c r="V730" s="30">
        <f>IF(AND($R730="Não",$Q730&lt;&gt;"",$Q730&lt;=Hoje+JanelaRet,$Q730&gt;=Hoje-60),MAX($V$4:$V729)+1,"")</f>
        <v>0</v>
      </c>
    </row>
    <row r="731" spans="1:22">
      <c r="A731" s="16"/>
      <c r="B731" s="23"/>
      <c r="C731" s="15"/>
      <c r="D731" s="15"/>
      <c r="E731" s="15"/>
      <c r="F731" s="24"/>
      <c r="G731" s="17"/>
      <c r="H731" s="17"/>
      <c r="I731" s="15"/>
      <c r="J731" s="25">
        <f>IF($D731="","",IFERROR(INDEX(PacNome,MATCH($D731,PacCod,0)),"Paciente não cadastrado"))</f>
        <v>0</v>
      </c>
      <c r="K731" s="26">
        <f>IF($D731="","",IFERROR(INDEX(PacConv,MATCH($D731,PacCod,0))&amp;"",""))</f>
        <v>0</v>
      </c>
      <c r="L731" s="26">
        <f>IF($A731="","",CHOOSE(WEEKDAY($A731,2),"Seg","Ter","Qua","Qui","Sex","Sáb","Dom"))</f>
        <v>0</v>
      </c>
      <c r="M731" s="27">
        <f>IF($E731="","",IF($G731&lt;&gt;"",$G731,IFERROR(INDEX(ProcValor,MATCH($E731,ProcNome,0)),0)))</f>
        <v>0</v>
      </c>
      <c r="N731" s="27">
        <f>IF($M731="","",IF($F731="Compareceu",$M731,0))</f>
        <v>0</v>
      </c>
      <c r="O731" s="27">
        <f>IF($M731="","",IF($F731="Faltou",$M731,0))</f>
        <v>0</v>
      </c>
      <c r="P731" s="27">
        <f>IF($M731="","",IF($F731="Compareceu",MAX(0,$M731-N($H731)),0))</f>
        <v>0</v>
      </c>
      <c r="Q731" s="19">
        <f>IF(AND($F731="Compareceu",$E731&lt;&gt;"",$A731&lt;&gt;""),IF(IFERROR(INDEX(ProcRet,MATCH($E731,ProcNome,0)),0)&gt;0,$A731+INDEX(ProcRet,MATCH($E731,ProcNome,0)),""),"")</f>
        <v>0</v>
      </c>
      <c r="R731" s="26">
        <f>IF($Q731="","",IF(COUNTIFS(AgPac,$D731,AgData,"&gt;"&amp;$A731,AgStatus,"&lt;&gt;Cancelado",AgStatus,"&lt;&gt;Remarcado")&gt;0,"Sim","Não"))</f>
        <v>0</v>
      </c>
      <c r="S731" s="28">
        <f>IF($A731="","",IF(AND($F731="Agendado",$A731-Hoje&gt;=0,$A731-Hoje&lt;=DiasConf),"CONFIRMAR",IF(AND($A731&lt;Hoje,OR($F731="Agendado",$F731="Confirmado")),"Atualizar status",IF(AND($F731="Compareceu",$P731&gt;0.005),"Cobrar",IF($F731="Faltou","Falta: reagendar","")))))</f>
        <v>0</v>
      </c>
      <c r="T731" s="29">
        <f>IF($A731="","",DATE(YEAR($A731),MONTH($A731),1))</f>
        <v>0</v>
      </c>
      <c r="U731" s="30">
        <f>IF($S731="CONFIRMAR",MAX($U$4:$U730)+1,"")</f>
        <v>0</v>
      </c>
      <c r="V731" s="30">
        <f>IF(AND($R731="Não",$Q731&lt;&gt;"",$Q731&lt;=Hoje+JanelaRet,$Q731&gt;=Hoje-60),MAX($V$4:$V730)+1,"")</f>
        <v>0</v>
      </c>
    </row>
    <row r="732" spans="1:22">
      <c r="A732" s="16"/>
      <c r="B732" s="23"/>
      <c r="C732" s="15"/>
      <c r="D732" s="15"/>
      <c r="E732" s="15"/>
      <c r="F732" s="24"/>
      <c r="G732" s="17"/>
      <c r="H732" s="17"/>
      <c r="I732" s="15"/>
      <c r="J732" s="25">
        <f>IF($D732="","",IFERROR(INDEX(PacNome,MATCH($D732,PacCod,0)),"Paciente não cadastrado"))</f>
        <v>0</v>
      </c>
      <c r="K732" s="26">
        <f>IF($D732="","",IFERROR(INDEX(PacConv,MATCH($D732,PacCod,0))&amp;"",""))</f>
        <v>0</v>
      </c>
      <c r="L732" s="26">
        <f>IF($A732="","",CHOOSE(WEEKDAY($A732,2),"Seg","Ter","Qua","Qui","Sex","Sáb","Dom"))</f>
        <v>0</v>
      </c>
      <c r="M732" s="27">
        <f>IF($E732="","",IF($G732&lt;&gt;"",$G732,IFERROR(INDEX(ProcValor,MATCH($E732,ProcNome,0)),0)))</f>
        <v>0</v>
      </c>
      <c r="N732" s="27">
        <f>IF($M732="","",IF($F732="Compareceu",$M732,0))</f>
        <v>0</v>
      </c>
      <c r="O732" s="27">
        <f>IF($M732="","",IF($F732="Faltou",$M732,0))</f>
        <v>0</v>
      </c>
      <c r="P732" s="27">
        <f>IF($M732="","",IF($F732="Compareceu",MAX(0,$M732-N($H732)),0))</f>
        <v>0</v>
      </c>
      <c r="Q732" s="19">
        <f>IF(AND($F732="Compareceu",$E732&lt;&gt;"",$A732&lt;&gt;""),IF(IFERROR(INDEX(ProcRet,MATCH($E732,ProcNome,0)),0)&gt;0,$A732+INDEX(ProcRet,MATCH($E732,ProcNome,0)),""),"")</f>
        <v>0</v>
      </c>
      <c r="R732" s="26">
        <f>IF($Q732="","",IF(COUNTIFS(AgPac,$D732,AgData,"&gt;"&amp;$A732,AgStatus,"&lt;&gt;Cancelado",AgStatus,"&lt;&gt;Remarcado")&gt;0,"Sim","Não"))</f>
        <v>0</v>
      </c>
      <c r="S732" s="28">
        <f>IF($A732="","",IF(AND($F732="Agendado",$A732-Hoje&gt;=0,$A732-Hoje&lt;=DiasConf),"CONFIRMAR",IF(AND($A732&lt;Hoje,OR($F732="Agendado",$F732="Confirmado")),"Atualizar status",IF(AND($F732="Compareceu",$P732&gt;0.005),"Cobrar",IF($F732="Faltou","Falta: reagendar","")))))</f>
        <v>0</v>
      </c>
      <c r="T732" s="29">
        <f>IF($A732="","",DATE(YEAR($A732),MONTH($A732),1))</f>
        <v>0</v>
      </c>
      <c r="U732" s="30">
        <f>IF($S732="CONFIRMAR",MAX($U$4:$U731)+1,"")</f>
        <v>0</v>
      </c>
      <c r="V732" s="30">
        <f>IF(AND($R732="Não",$Q732&lt;&gt;"",$Q732&lt;=Hoje+JanelaRet,$Q732&gt;=Hoje-60),MAX($V$4:$V731)+1,"")</f>
        <v>0</v>
      </c>
    </row>
    <row r="733" spans="1:22">
      <c r="A733" s="16"/>
      <c r="B733" s="23"/>
      <c r="C733" s="15"/>
      <c r="D733" s="15"/>
      <c r="E733" s="15"/>
      <c r="F733" s="24"/>
      <c r="G733" s="17"/>
      <c r="H733" s="17"/>
      <c r="I733" s="15"/>
      <c r="J733" s="25">
        <f>IF($D733="","",IFERROR(INDEX(PacNome,MATCH($D733,PacCod,0)),"Paciente não cadastrado"))</f>
        <v>0</v>
      </c>
      <c r="K733" s="26">
        <f>IF($D733="","",IFERROR(INDEX(PacConv,MATCH($D733,PacCod,0))&amp;"",""))</f>
        <v>0</v>
      </c>
      <c r="L733" s="26">
        <f>IF($A733="","",CHOOSE(WEEKDAY($A733,2),"Seg","Ter","Qua","Qui","Sex","Sáb","Dom"))</f>
        <v>0</v>
      </c>
      <c r="M733" s="27">
        <f>IF($E733="","",IF($G733&lt;&gt;"",$G733,IFERROR(INDEX(ProcValor,MATCH($E733,ProcNome,0)),0)))</f>
        <v>0</v>
      </c>
      <c r="N733" s="27">
        <f>IF($M733="","",IF($F733="Compareceu",$M733,0))</f>
        <v>0</v>
      </c>
      <c r="O733" s="27">
        <f>IF($M733="","",IF($F733="Faltou",$M733,0))</f>
        <v>0</v>
      </c>
      <c r="P733" s="27">
        <f>IF($M733="","",IF($F733="Compareceu",MAX(0,$M733-N($H733)),0))</f>
        <v>0</v>
      </c>
      <c r="Q733" s="19">
        <f>IF(AND($F733="Compareceu",$E733&lt;&gt;"",$A733&lt;&gt;""),IF(IFERROR(INDEX(ProcRet,MATCH($E733,ProcNome,0)),0)&gt;0,$A733+INDEX(ProcRet,MATCH($E733,ProcNome,0)),""),"")</f>
        <v>0</v>
      </c>
      <c r="R733" s="26">
        <f>IF($Q733="","",IF(COUNTIFS(AgPac,$D733,AgData,"&gt;"&amp;$A733,AgStatus,"&lt;&gt;Cancelado",AgStatus,"&lt;&gt;Remarcado")&gt;0,"Sim","Não"))</f>
        <v>0</v>
      </c>
      <c r="S733" s="28">
        <f>IF($A733="","",IF(AND($F733="Agendado",$A733-Hoje&gt;=0,$A733-Hoje&lt;=DiasConf),"CONFIRMAR",IF(AND($A733&lt;Hoje,OR($F733="Agendado",$F733="Confirmado")),"Atualizar status",IF(AND($F733="Compareceu",$P733&gt;0.005),"Cobrar",IF($F733="Faltou","Falta: reagendar","")))))</f>
        <v>0</v>
      </c>
      <c r="T733" s="29">
        <f>IF($A733="","",DATE(YEAR($A733),MONTH($A733),1))</f>
        <v>0</v>
      </c>
      <c r="U733" s="30">
        <f>IF($S733="CONFIRMAR",MAX($U$4:$U732)+1,"")</f>
        <v>0</v>
      </c>
      <c r="V733" s="30">
        <f>IF(AND($R733="Não",$Q733&lt;&gt;"",$Q733&lt;=Hoje+JanelaRet,$Q733&gt;=Hoje-60),MAX($V$4:$V732)+1,"")</f>
        <v>0</v>
      </c>
    </row>
    <row r="734" spans="1:22">
      <c r="A734" s="16"/>
      <c r="B734" s="23"/>
      <c r="C734" s="15"/>
      <c r="D734" s="15"/>
      <c r="E734" s="15"/>
      <c r="F734" s="24"/>
      <c r="G734" s="17"/>
      <c r="H734" s="17"/>
      <c r="I734" s="15"/>
      <c r="J734" s="25">
        <f>IF($D734="","",IFERROR(INDEX(PacNome,MATCH($D734,PacCod,0)),"Paciente não cadastrado"))</f>
        <v>0</v>
      </c>
      <c r="K734" s="26">
        <f>IF($D734="","",IFERROR(INDEX(PacConv,MATCH($D734,PacCod,0))&amp;"",""))</f>
        <v>0</v>
      </c>
      <c r="L734" s="26">
        <f>IF($A734="","",CHOOSE(WEEKDAY($A734,2),"Seg","Ter","Qua","Qui","Sex","Sáb","Dom"))</f>
        <v>0</v>
      </c>
      <c r="M734" s="27">
        <f>IF($E734="","",IF($G734&lt;&gt;"",$G734,IFERROR(INDEX(ProcValor,MATCH($E734,ProcNome,0)),0)))</f>
        <v>0</v>
      </c>
      <c r="N734" s="27">
        <f>IF($M734="","",IF($F734="Compareceu",$M734,0))</f>
        <v>0</v>
      </c>
      <c r="O734" s="27">
        <f>IF($M734="","",IF($F734="Faltou",$M734,0))</f>
        <v>0</v>
      </c>
      <c r="P734" s="27">
        <f>IF($M734="","",IF($F734="Compareceu",MAX(0,$M734-N($H734)),0))</f>
        <v>0</v>
      </c>
      <c r="Q734" s="19">
        <f>IF(AND($F734="Compareceu",$E734&lt;&gt;"",$A734&lt;&gt;""),IF(IFERROR(INDEX(ProcRet,MATCH($E734,ProcNome,0)),0)&gt;0,$A734+INDEX(ProcRet,MATCH($E734,ProcNome,0)),""),"")</f>
        <v>0</v>
      </c>
      <c r="R734" s="26">
        <f>IF($Q734="","",IF(COUNTIFS(AgPac,$D734,AgData,"&gt;"&amp;$A734,AgStatus,"&lt;&gt;Cancelado",AgStatus,"&lt;&gt;Remarcado")&gt;0,"Sim","Não"))</f>
        <v>0</v>
      </c>
      <c r="S734" s="28">
        <f>IF($A734="","",IF(AND($F734="Agendado",$A734-Hoje&gt;=0,$A734-Hoje&lt;=DiasConf),"CONFIRMAR",IF(AND($A734&lt;Hoje,OR($F734="Agendado",$F734="Confirmado")),"Atualizar status",IF(AND($F734="Compareceu",$P734&gt;0.005),"Cobrar",IF($F734="Faltou","Falta: reagendar","")))))</f>
        <v>0</v>
      </c>
      <c r="T734" s="29">
        <f>IF($A734="","",DATE(YEAR($A734),MONTH($A734),1))</f>
        <v>0</v>
      </c>
      <c r="U734" s="30">
        <f>IF($S734="CONFIRMAR",MAX($U$4:$U733)+1,"")</f>
        <v>0</v>
      </c>
      <c r="V734" s="30">
        <f>IF(AND($R734="Não",$Q734&lt;&gt;"",$Q734&lt;=Hoje+JanelaRet,$Q734&gt;=Hoje-60),MAX($V$4:$V733)+1,"")</f>
        <v>0</v>
      </c>
    </row>
    <row r="735" spans="1:22">
      <c r="A735" s="16"/>
      <c r="B735" s="23"/>
      <c r="C735" s="15"/>
      <c r="D735" s="15"/>
      <c r="E735" s="15"/>
      <c r="F735" s="24"/>
      <c r="G735" s="17"/>
      <c r="H735" s="17"/>
      <c r="I735" s="15"/>
      <c r="J735" s="25">
        <f>IF($D735="","",IFERROR(INDEX(PacNome,MATCH($D735,PacCod,0)),"Paciente não cadastrado"))</f>
        <v>0</v>
      </c>
      <c r="K735" s="26">
        <f>IF($D735="","",IFERROR(INDEX(PacConv,MATCH($D735,PacCod,0))&amp;"",""))</f>
        <v>0</v>
      </c>
      <c r="L735" s="26">
        <f>IF($A735="","",CHOOSE(WEEKDAY($A735,2),"Seg","Ter","Qua","Qui","Sex","Sáb","Dom"))</f>
        <v>0</v>
      </c>
      <c r="M735" s="27">
        <f>IF($E735="","",IF($G735&lt;&gt;"",$G735,IFERROR(INDEX(ProcValor,MATCH($E735,ProcNome,0)),0)))</f>
        <v>0</v>
      </c>
      <c r="N735" s="27">
        <f>IF($M735="","",IF($F735="Compareceu",$M735,0))</f>
        <v>0</v>
      </c>
      <c r="O735" s="27">
        <f>IF($M735="","",IF($F735="Faltou",$M735,0))</f>
        <v>0</v>
      </c>
      <c r="P735" s="27">
        <f>IF($M735="","",IF($F735="Compareceu",MAX(0,$M735-N($H735)),0))</f>
        <v>0</v>
      </c>
      <c r="Q735" s="19">
        <f>IF(AND($F735="Compareceu",$E735&lt;&gt;"",$A735&lt;&gt;""),IF(IFERROR(INDEX(ProcRet,MATCH($E735,ProcNome,0)),0)&gt;0,$A735+INDEX(ProcRet,MATCH($E735,ProcNome,0)),""),"")</f>
        <v>0</v>
      </c>
      <c r="R735" s="26">
        <f>IF($Q735="","",IF(COUNTIFS(AgPac,$D735,AgData,"&gt;"&amp;$A735,AgStatus,"&lt;&gt;Cancelado",AgStatus,"&lt;&gt;Remarcado")&gt;0,"Sim","Não"))</f>
        <v>0</v>
      </c>
      <c r="S735" s="28">
        <f>IF($A735="","",IF(AND($F735="Agendado",$A735-Hoje&gt;=0,$A735-Hoje&lt;=DiasConf),"CONFIRMAR",IF(AND($A735&lt;Hoje,OR($F735="Agendado",$F735="Confirmado")),"Atualizar status",IF(AND($F735="Compareceu",$P735&gt;0.005),"Cobrar",IF($F735="Faltou","Falta: reagendar","")))))</f>
        <v>0</v>
      </c>
      <c r="T735" s="29">
        <f>IF($A735="","",DATE(YEAR($A735),MONTH($A735),1))</f>
        <v>0</v>
      </c>
      <c r="U735" s="30">
        <f>IF($S735="CONFIRMAR",MAX($U$4:$U734)+1,"")</f>
        <v>0</v>
      </c>
      <c r="V735" s="30">
        <f>IF(AND($R735="Não",$Q735&lt;&gt;"",$Q735&lt;=Hoje+JanelaRet,$Q735&gt;=Hoje-60),MAX($V$4:$V734)+1,"")</f>
        <v>0</v>
      </c>
    </row>
    <row r="736" spans="1:22">
      <c r="A736" s="16"/>
      <c r="B736" s="23"/>
      <c r="C736" s="15"/>
      <c r="D736" s="15"/>
      <c r="E736" s="15"/>
      <c r="F736" s="24"/>
      <c r="G736" s="17"/>
      <c r="H736" s="17"/>
      <c r="I736" s="15"/>
      <c r="J736" s="25">
        <f>IF($D736="","",IFERROR(INDEX(PacNome,MATCH($D736,PacCod,0)),"Paciente não cadastrado"))</f>
        <v>0</v>
      </c>
      <c r="K736" s="26">
        <f>IF($D736="","",IFERROR(INDEX(PacConv,MATCH($D736,PacCod,0))&amp;"",""))</f>
        <v>0</v>
      </c>
      <c r="L736" s="26">
        <f>IF($A736="","",CHOOSE(WEEKDAY($A736,2),"Seg","Ter","Qua","Qui","Sex","Sáb","Dom"))</f>
        <v>0</v>
      </c>
      <c r="M736" s="27">
        <f>IF($E736="","",IF($G736&lt;&gt;"",$G736,IFERROR(INDEX(ProcValor,MATCH($E736,ProcNome,0)),0)))</f>
        <v>0</v>
      </c>
      <c r="N736" s="27">
        <f>IF($M736="","",IF($F736="Compareceu",$M736,0))</f>
        <v>0</v>
      </c>
      <c r="O736" s="27">
        <f>IF($M736="","",IF($F736="Faltou",$M736,0))</f>
        <v>0</v>
      </c>
      <c r="P736" s="27">
        <f>IF($M736="","",IF($F736="Compareceu",MAX(0,$M736-N($H736)),0))</f>
        <v>0</v>
      </c>
      <c r="Q736" s="19">
        <f>IF(AND($F736="Compareceu",$E736&lt;&gt;"",$A736&lt;&gt;""),IF(IFERROR(INDEX(ProcRet,MATCH($E736,ProcNome,0)),0)&gt;0,$A736+INDEX(ProcRet,MATCH($E736,ProcNome,0)),""),"")</f>
        <v>0</v>
      </c>
      <c r="R736" s="26">
        <f>IF($Q736="","",IF(COUNTIFS(AgPac,$D736,AgData,"&gt;"&amp;$A736,AgStatus,"&lt;&gt;Cancelado",AgStatus,"&lt;&gt;Remarcado")&gt;0,"Sim","Não"))</f>
        <v>0</v>
      </c>
      <c r="S736" s="28">
        <f>IF($A736="","",IF(AND($F736="Agendado",$A736-Hoje&gt;=0,$A736-Hoje&lt;=DiasConf),"CONFIRMAR",IF(AND($A736&lt;Hoje,OR($F736="Agendado",$F736="Confirmado")),"Atualizar status",IF(AND($F736="Compareceu",$P736&gt;0.005),"Cobrar",IF($F736="Faltou","Falta: reagendar","")))))</f>
        <v>0</v>
      </c>
      <c r="T736" s="29">
        <f>IF($A736="","",DATE(YEAR($A736),MONTH($A736),1))</f>
        <v>0</v>
      </c>
      <c r="U736" s="30">
        <f>IF($S736="CONFIRMAR",MAX($U$4:$U735)+1,"")</f>
        <v>0</v>
      </c>
      <c r="V736" s="30">
        <f>IF(AND($R736="Não",$Q736&lt;&gt;"",$Q736&lt;=Hoje+JanelaRet,$Q736&gt;=Hoje-60),MAX($V$4:$V735)+1,"")</f>
        <v>0</v>
      </c>
    </row>
    <row r="737" spans="1:22">
      <c r="A737" s="16"/>
      <c r="B737" s="23"/>
      <c r="C737" s="15"/>
      <c r="D737" s="15"/>
      <c r="E737" s="15"/>
      <c r="F737" s="24"/>
      <c r="G737" s="17"/>
      <c r="H737" s="17"/>
      <c r="I737" s="15"/>
      <c r="J737" s="25">
        <f>IF($D737="","",IFERROR(INDEX(PacNome,MATCH($D737,PacCod,0)),"Paciente não cadastrado"))</f>
        <v>0</v>
      </c>
      <c r="K737" s="26">
        <f>IF($D737="","",IFERROR(INDEX(PacConv,MATCH($D737,PacCod,0))&amp;"",""))</f>
        <v>0</v>
      </c>
      <c r="L737" s="26">
        <f>IF($A737="","",CHOOSE(WEEKDAY($A737,2),"Seg","Ter","Qua","Qui","Sex","Sáb","Dom"))</f>
        <v>0</v>
      </c>
      <c r="M737" s="27">
        <f>IF($E737="","",IF($G737&lt;&gt;"",$G737,IFERROR(INDEX(ProcValor,MATCH($E737,ProcNome,0)),0)))</f>
        <v>0</v>
      </c>
      <c r="N737" s="27">
        <f>IF($M737="","",IF($F737="Compareceu",$M737,0))</f>
        <v>0</v>
      </c>
      <c r="O737" s="27">
        <f>IF($M737="","",IF($F737="Faltou",$M737,0))</f>
        <v>0</v>
      </c>
      <c r="P737" s="27">
        <f>IF($M737="","",IF($F737="Compareceu",MAX(0,$M737-N($H737)),0))</f>
        <v>0</v>
      </c>
      <c r="Q737" s="19">
        <f>IF(AND($F737="Compareceu",$E737&lt;&gt;"",$A737&lt;&gt;""),IF(IFERROR(INDEX(ProcRet,MATCH($E737,ProcNome,0)),0)&gt;0,$A737+INDEX(ProcRet,MATCH($E737,ProcNome,0)),""),"")</f>
        <v>0</v>
      </c>
      <c r="R737" s="26">
        <f>IF($Q737="","",IF(COUNTIFS(AgPac,$D737,AgData,"&gt;"&amp;$A737,AgStatus,"&lt;&gt;Cancelado",AgStatus,"&lt;&gt;Remarcado")&gt;0,"Sim","Não"))</f>
        <v>0</v>
      </c>
      <c r="S737" s="28">
        <f>IF($A737="","",IF(AND($F737="Agendado",$A737-Hoje&gt;=0,$A737-Hoje&lt;=DiasConf),"CONFIRMAR",IF(AND($A737&lt;Hoje,OR($F737="Agendado",$F737="Confirmado")),"Atualizar status",IF(AND($F737="Compareceu",$P737&gt;0.005),"Cobrar",IF($F737="Faltou","Falta: reagendar","")))))</f>
        <v>0</v>
      </c>
      <c r="T737" s="29">
        <f>IF($A737="","",DATE(YEAR($A737),MONTH($A737),1))</f>
        <v>0</v>
      </c>
      <c r="U737" s="30">
        <f>IF($S737="CONFIRMAR",MAX($U$4:$U736)+1,"")</f>
        <v>0</v>
      </c>
      <c r="V737" s="30">
        <f>IF(AND($R737="Não",$Q737&lt;&gt;"",$Q737&lt;=Hoje+JanelaRet,$Q737&gt;=Hoje-60),MAX($V$4:$V736)+1,"")</f>
        <v>0</v>
      </c>
    </row>
    <row r="738" spans="1:22">
      <c r="A738" s="16"/>
      <c r="B738" s="23"/>
      <c r="C738" s="15"/>
      <c r="D738" s="15"/>
      <c r="E738" s="15"/>
      <c r="F738" s="24"/>
      <c r="G738" s="17"/>
      <c r="H738" s="17"/>
      <c r="I738" s="15"/>
      <c r="J738" s="25">
        <f>IF($D738="","",IFERROR(INDEX(PacNome,MATCH($D738,PacCod,0)),"Paciente não cadastrado"))</f>
        <v>0</v>
      </c>
      <c r="K738" s="26">
        <f>IF($D738="","",IFERROR(INDEX(PacConv,MATCH($D738,PacCod,0))&amp;"",""))</f>
        <v>0</v>
      </c>
      <c r="L738" s="26">
        <f>IF($A738="","",CHOOSE(WEEKDAY($A738,2),"Seg","Ter","Qua","Qui","Sex","Sáb","Dom"))</f>
        <v>0</v>
      </c>
      <c r="M738" s="27">
        <f>IF($E738="","",IF($G738&lt;&gt;"",$G738,IFERROR(INDEX(ProcValor,MATCH($E738,ProcNome,0)),0)))</f>
        <v>0</v>
      </c>
      <c r="N738" s="27">
        <f>IF($M738="","",IF($F738="Compareceu",$M738,0))</f>
        <v>0</v>
      </c>
      <c r="O738" s="27">
        <f>IF($M738="","",IF($F738="Faltou",$M738,0))</f>
        <v>0</v>
      </c>
      <c r="P738" s="27">
        <f>IF($M738="","",IF($F738="Compareceu",MAX(0,$M738-N($H738)),0))</f>
        <v>0</v>
      </c>
      <c r="Q738" s="19">
        <f>IF(AND($F738="Compareceu",$E738&lt;&gt;"",$A738&lt;&gt;""),IF(IFERROR(INDEX(ProcRet,MATCH($E738,ProcNome,0)),0)&gt;0,$A738+INDEX(ProcRet,MATCH($E738,ProcNome,0)),""),"")</f>
        <v>0</v>
      </c>
      <c r="R738" s="26">
        <f>IF($Q738="","",IF(COUNTIFS(AgPac,$D738,AgData,"&gt;"&amp;$A738,AgStatus,"&lt;&gt;Cancelado",AgStatus,"&lt;&gt;Remarcado")&gt;0,"Sim","Não"))</f>
        <v>0</v>
      </c>
      <c r="S738" s="28">
        <f>IF($A738="","",IF(AND($F738="Agendado",$A738-Hoje&gt;=0,$A738-Hoje&lt;=DiasConf),"CONFIRMAR",IF(AND($A738&lt;Hoje,OR($F738="Agendado",$F738="Confirmado")),"Atualizar status",IF(AND($F738="Compareceu",$P738&gt;0.005),"Cobrar",IF($F738="Faltou","Falta: reagendar","")))))</f>
        <v>0</v>
      </c>
      <c r="T738" s="29">
        <f>IF($A738="","",DATE(YEAR($A738),MONTH($A738),1))</f>
        <v>0</v>
      </c>
      <c r="U738" s="30">
        <f>IF($S738="CONFIRMAR",MAX($U$4:$U737)+1,"")</f>
        <v>0</v>
      </c>
      <c r="V738" s="30">
        <f>IF(AND($R738="Não",$Q738&lt;&gt;"",$Q738&lt;=Hoje+JanelaRet,$Q738&gt;=Hoje-60),MAX($V$4:$V737)+1,"")</f>
        <v>0</v>
      </c>
    </row>
    <row r="739" spans="1:22">
      <c r="A739" s="16"/>
      <c r="B739" s="23"/>
      <c r="C739" s="15"/>
      <c r="D739" s="15"/>
      <c r="E739" s="15"/>
      <c r="F739" s="24"/>
      <c r="G739" s="17"/>
      <c r="H739" s="17"/>
      <c r="I739" s="15"/>
      <c r="J739" s="25">
        <f>IF($D739="","",IFERROR(INDEX(PacNome,MATCH($D739,PacCod,0)),"Paciente não cadastrado"))</f>
        <v>0</v>
      </c>
      <c r="K739" s="26">
        <f>IF($D739="","",IFERROR(INDEX(PacConv,MATCH($D739,PacCod,0))&amp;"",""))</f>
        <v>0</v>
      </c>
      <c r="L739" s="26">
        <f>IF($A739="","",CHOOSE(WEEKDAY($A739,2),"Seg","Ter","Qua","Qui","Sex","Sáb","Dom"))</f>
        <v>0</v>
      </c>
      <c r="M739" s="27">
        <f>IF($E739="","",IF($G739&lt;&gt;"",$G739,IFERROR(INDEX(ProcValor,MATCH($E739,ProcNome,0)),0)))</f>
        <v>0</v>
      </c>
      <c r="N739" s="27">
        <f>IF($M739="","",IF($F739="Compareceu",$M739,0))</f>
        <v>0</v>
      </c>
      <c r="O739" s="27">
        <f>IF($M739="","",IF($F739="Faltou",$M739,0))</f>
        <v>0</v>
      </c>
      <c r="P739" s="27">
        <f>IF($M739="","",IF($F739="Compareceu",MAX(0,$M739-N($H739)),0))</f>
        <v>0</v>
      </c>
      <c r="Q739" s="19">
        <f>IF(AND($F739="Compareceu",$E739&lt;&gt;"",$A739&lt;&gt;""),IF(IFERROR(INDEX(ProcRet,MATCH($E739,ProcNome,0)),0)&gt;0,$A739+INDEX(ProcRet,MATCH($E739,ProcNome,0)),""),"")</f>
        <v>0</v>
      </c>
      <c r="R739" s="26">
        <f>IF($Q739="","",IF(COUNTIFS(AgPac,$D739,AgData,"&gt;"&amp;$A739,AgStatus,"&lt;&gt;Cancelado",AgStatus,"&lt;&gt;Remarcado")&gt;0,"Sim","Não"))</f>
        <v>0</v>
      </c>
      <c r="S739" s="28">
        <f>IF($A739="","",IF(AND($F739="Agendado",$A739-Hoje&gt;=0,$A739-Hoje&lt;=DiasConf),"CONFIRMAR",IF(AND($A739&lt;Hoje,OR($F739="Agendado",$F739="Confirmado")),"Atualizar status",IF(AND($F739="Compareceu",$P739&gt;0.005),"Cobrar",IF($F739="Faltou","Falta: reagendar","")))))</f>
        <v>0</v>
      </c>
      <c r="T739" s="29">
        <f>IF($A739="","",DATE(YEAR($A739),MONTH($A739),1))</f>
        <v>0</v>
      </c>
      <c r="U739" s="30">
        <f>IF($S739="CONFIRMAR",MAX($U$4:$U738)+1,"")</f>
        <v>0</v>
      </c>
      <c r="V739" s="30">
        <f>IF(AND($R739="Não",$Q739&lt;&gt;"",$Q739&lt;=Hoje+JanelaRet,$Q739&gt;=Hoje-60),MAX($V$4:$V738)+1,"")</f>
        <v>0</v>
      </c>
    </row>
    <row r="740" spans="1:22">
      <c r="A740" s="16"/>
      <c r="B740" s="23"/>
      <c r="C740" s="15"/>
      <c r="D740" s="15"/>
      <c r="E740" s="15"/>
      <c r="F740" s="24"/>
      <c r="G740" s="17"/>
      <c r="H740" s="17"/>
      <c r="I740" s="15"/>
      <c r="J740" s="25">
        <f>IF($D740="","",IFERROR(INDEX(PacNome,MATCH($D740,PacCod,0)),"Paciente não cadastrado"))</f>
        <v>0</v>
      </c>
      <c r="K740" s="26">
        <f>IF($D740="","",IFERROR(INDEX(PacConv,MATCH($D740,PacCod,0))&amp;"",""))</f>
        <v>0</v>
      </c>
      <c r="L740" s="26">
        <f>IF($A740="","",CHOOSE(WEEKDAY($A740,2),"Seg","Ter","Qua","Qui","Sex","Sáb","Dom"))</f>
        <v>0</v>
      </c>
      <c r="M740" s="27">
        <f>IF($E740="","",IF($G740&lt;&gt;"",$G740,IFERROR(INDEX(ProcValor,MATCH($E740,ProcNome,0)),0)))</f>
        <v>0</v>
      </c>
      <c r="N740" s="27">
        <f>IF($M740="","",IF($F740="Compareceu",$M740,0))</f>
        <v>0</v>
      </c>
      <c r="O740" s="27">
        <f>IF($M740="","",IF($F740="Faltou",$M740,0))</f>
        <v>0</v>
      </c>
      <c r="P740" s="27">
        <f>IF($M740="","",IF($F740="Compareceu",MAX(0,$M740-N($H740)),0))</f>
        <v>0</v>
      </c>
      <c r="Q740" s="19">
        <f>IF(AND($F740="Compareceu",$E740&lt;&gt;"",$A740&lt;&gt;""),IF(IFERROR(INDEX(ProcRet,MATCH($E740,ProcNome,0)),0)&gt;0,$A740+INDEX(ProcRet,MATCH($E740,ProcNome,0)),""),"")</f>
        <v>0</v>
      </c>
      <c r="R740" s="26">
        <f>IF($Q740="","",IF(COUNTIFS(AgPac,$D740,AgData,"&gt;"&amp;$A740,AgStatus,"&lt;&gt;Cancelado",AgStatus,"&lt;&gt;Remarcado")&gt;0,"Sim","Não"))</f>
        <v>0</v>
      </c>
      <c r="S740" s="28">
        <f>IF($A740="","",IF(AND($F740="Agendado",$A740-Hoje&gt;=0,$A740-Hoje&lt;=DiasConf),"CONFIRMAR",IF(AND($A740&lt;Hoje,OR($F740="Agendado",$F740="Confirmado")),"Atualizar status",IF(AND($F740="Compareceu",$P740&gt;0.005),"Cobrar",IF($F740="Faltou","Falta: reagendar","")))))</f>
        <v>0</v>
      </c>
      <c r="T740" s="29">
        <f>IF($A740="","",DATE(YEAR($A740),MONTH($A740),1))</f>
        <v>0</v>
      </c>
      <c r="U740" s="30">
        <f>IF($S740="CONFIRMAR",MAX($U$4:$U739)+1,"")</f>
        <v>0</v>
      </c>
      <c r="V740" s="30">
        <f>IF(AND($R740="Não",$Q740&lt;&gt;"",$Q740&lt;=Hoje+JanelaRet,$Q740&gt;=Hoje-60),MAX($V$4:$V739)+1,"")</f>
        <v>0</v>
      </c>
    </row>
    <row r="741" spans="1:22">
      <c r="A741" s="16"/>
      <c r="B741" s="23"/>
      <c r="C741" s="15"/>
      <c r="D741" s="15"/>
      <c r="E741" s="15"/>
      <c r="F741" s="24"/>
      <c r="G741" s="17"/>
      <c r="H741" s="17"/>
      <c r="I741" s="15"/>
      <c r="J741" s="25">
        <f>IF($D741="","",IFERROR(INDEX(PacNome,MATCH($D741,PacCod,0)),"Paciente não cadastrado"))</f>
        <v>0</v>
      </c>
      <c r="K741" s="26">
        <f>IF($D741="","",IFERROR(INDEX(PacConv,MATCH($D741,PacCod,0))&amp;"",""))</f>
        <v>0</v>
      </c>
      <c r="L741" s="26">
        <f>IF($A741="","",CHOOSE(WEEKDAY($A741,2),"Seg","Ter","Qua","Qui","Sex","Sáb","Dom"))</f>
        <v>0</v>
      </c>
      <c r="M741" s="27">
        <f>IF($E741="","",IF($G741&lt;&gt;"",$G741,IFERROR(INDEX(ProcValor,MATCH($E741,ProcNome,0)),0)))</f>
        <v>0</v>
      </c>
      <c r="N741" s="27">
        <f>IF($M741="","",IF($F741="Compareceu",$M741,0))</f>
        <v>0</v>
      </c>
      <c r="O741" s="27">
        <f>IF($M741="","",IF($F741="Faltou",$M741,0))</f>
        <v>0</v>
      </c>
      <c r="P741" s="27">
        <f>IF($M741="","",IF($F741="Compareceu",MAX(0,$M741-N($H741)),0))</f>
        <v>0</v>
      </c>
      <c r="Q741" s="19">
        <f>IF(AND($F741="Compareceu",$E741&lt;&gt;"",$A741&lt;&gt;""),IF(IFERROR(INDEX(ProcRet,MATCH($E741,ProcNome,0)),0)&gt;0,$A741+INDEX(ProcRet,MATCH($E741,ProcNome,0)),""),"")</f>
        <v>0</v>
      </c>
      <c r="R741" s="26">
        <f>IF($Q741="","",IF(COUNTIFS(AgPac,$D741,AgData,"&gt;"&amp;$A741,AgStatus,"&lt;&gt;Cancelado",AgStatus,"&lt;&gt;Remarcado")&gt;0,"Sim","Não"))</f>
        <v>0</v>
      </c>
      <c r="S741" s="28">
        <f>IF($A741="","",IF(AND($F741="Agendado",$A741-Hoje&gt;=0,$A741-Hoje&lt;=DiasConf),"CONFIRMAR",IF(AND($A741&lt;Hoje,OR($F741="Agendado",$F741="Confirmado")),"Atualizar status",IF(AND($F741="Compareceu",$P741&gt;0.005),"Cobrar",IF($F741="Faltou","Falta: reagendar","")))))</f>
        <v>0</v>
      </c>
      <c r="T741" s="29">
        <f>IF($A741="","",DATE(YEAR($A741),MONTH($A741),1))</f>
        <v>0</v>
      </c>
      <c r="U741" s="30">
        <f>IF($S741="CONFIRMAR",MAX($U$4:$U740)+1,"")</f>
        <v>0</v>
      </c>
      <c r="V741" s="30">
        <f>IF(AND($R741="Não",$Q741&lt;&gt;"",$Q741&lt;=Hoje+JanelaRet,$Q741&gt;=Hoje-60),MAX($V$4:$V740)+1,"")</f>
        <v>0</v>
      </c>
    </row>
    <row r="742" spans="1:22">
      <c r="A742" s="16"/>
      <c r="B742" s="23"/>
      <c r="C742" s="15"/>
      <c r="D742" s="15"/>
      <c r="E742" s="15"/>
      <c r="F742" s="24"/>
      <c r="G742" s="17"/>
      <c r="H742" s="17"/>
      <c r="I742" s="15"/>
      <c r="J742" s="25">
        <f>IF($D742="","",IFERROR(INDEX(PacNome,MATCH($D742,PacCod,0)),"Paciente não cadastrado"))</f>
        <v>0</v>
      </c>
      <c r="K742" s="26">
        <f>IF($D742="","",IFERROR(INDEX(PacConv,MATCH($D742,PacCod,0))&amp;"",""))</f>
        <v>0</v>
      </c>
      <c r="L742" s="26">
        <f>IF($A742="","",CHOOSE(WEEKDAY($A742,2),"Seg","Ter","Qua","Qui","Sex","Sáb","Dom"))</f>
        <v>0</v>
      </c>
      <c r="M742" s="27">
        <f>IF($E742="","",IF($G742&lt;&gt;"",$G742,IFERROR(INDEX(ProcValor,MATCH($E742,ProcNome,0)),0)))</f>
        <v>0</v>
      </c>
      <c r="N742" s="27">
        <f>IF($M742="","",IF($F742="Compareceu",$M742,0))</f>
        <v>0</v>
      </c>
      <c r="O742" s="27">
        <f>IF($M742="","",IF($F742="Faltou",$M742,0))</f>
        <v>0</v>
      </c>
      <c r="P742" s="27">
        <f>IF($M742="","",IF($F742="Compareceu",MAX(0,$M742-N($H742)),0))</f>
        <v>0</v>
      </c>
      <c r="Q742" s="19">
        <f>IF(AND($F742="Compareceu",$E742&lt;&gt;"",$A742&lt;&gt;""),IF(IFERROR(INDEX(ProcRet,MATCH($E742,ProcNome,0)),0)&gt;0,$A742+INDEX(ProcRet,MATCH($E742,ProcNome,0)),""),"")</f>
        <v>0</v>
      </c>
      <c r="R742" s="26">
        <f>IF($Q742="","",IF(COUNTIFS(AgPac,$D742,AgData,"&gt;"&amp;$A742,AgStatus,"&lt;&gt;Cancelado",AgStatus,"&lt;&gt;Remarcado")&gt;0,"Sim","Não"))</f>
        <v>0</v>
      </c>
      <c r="S742" s="28">
        <f>IF($A742="","",IF(AND($F742="Agendado",$A742-Hoje&gt;=0,$A742-Hoje&lt;=DiasConf),"CONFIRMAR",IF(AND($A742&lt;Hoje,OR($F742="Agendado",$F742="Confirmado")),"Atualizar status",IF(AND($F742="Compareceu",$P742&gt;0.005),"Cobrar",IF($F742="Faltou","Falta: reagendar","")))))</f>
        <v>0</v>
      </c>
      <c r="T742" s="29">
        <f>IF($A742="","",DATE(YEAR($A742),MONTH($A742),1))</f>
        <v>0</v>
      </c>
      <c r="U742" s="30">
        <f>IF($S742="CONFIRMAR",MAX($U$4:$U741)+1,"")</f>
        <v>0</v>
      </c>
      <c r="V742" s="30">
        <f>IF(AND($R742="Não",$Q742&lt;&gt;"",$Q742&lt;=Hoje+JanelaRet,$Q742&gt;=Hoje-60),MAX($V$4:$V741)+1,"")</f>
        <v>0</v>
      </c>
    </row>
    <row r="743" spans="1:22">
      <c r="A743" s="16"/>
      <c r="B743" s="23"/>
      <c r="C743" s="15"/>
      <c r="D743" s="15"/>
      <c r="E743" s="15"/>
      <c r="F743" s="24"/>
      <c r="G743" s="17"/>
      <c r="H743" s="17"/>
      <c r="I743" s="15"/>
      <c r="J743" s="25">
        <f>IF($D743="","",IFERROR(INDEX(PacNome,MATCH($D743,PacCod,0)),"Paciente não cadastrado"))</f>
        <v>0</v>
      </c>
      <c r="K743" s="26">
        <f>IF($D743="","",IFERROR(INDEX(PacConv,MATCH($D743,PacCod,0))&amp;"",""))</f>
        <v>0</v>
      </c>
      <c r="L743" s="26">
        <f>IF($A743="","",CHOOSE(WEEKDAY($A743,2),"Seg","Ter","Qua","Qui","Sex","Sáb","Dom"))</f>
        <v>0</v>
      </c>
      <c r="M743" s="27">
        <f>IF($E743="","",IF($G743&lt;&gt;"",$G743,IFERROR(INDEX(ProcValor,MATCH($E743,ProcNome,0)),0)))</f>
        <v>0</v>
      </c>
      <c r="N743" s="27">
        <f>IF($M743="","",IF($F743="Compareceu",$M743,0))</f>
        <v>0</v>
      </c>
      <c r="O743" s="27">
        <f>IF($M743="","",IF($F743="Faltou",$M743,0))</f>
        <v>0</v>
      </c>
      <c r="P743" s="27">
        <f>IF($M743="","",IF($F743="Compareceu",MAX(0,$M743-N($H743)),0))</f>
        <v>0</v>
      </c>
      <c r="Q743" s="19">
        <f>IF(AND($F743="Compareceu",$E743&lt;&gt;"",$A743&lt;&gt;""),IF(IFERROR(INDEX(ProcRet,MATCH($E743,ProcNome,0)),0)&gt;0,$A743+INDEX(ProcRet,MATCH($E743,ProcNome,0)),""),"")</f>
        <v>0</v>
      </c>
      <c r="R743" s="26">
        <f>IF($Q743="","",IF(COUNTIFS(AgPac,$D743,AgData,"&gt;"&amp;$A743,AgStatus,"&lt;&gt;Cancelado",AgStatus,"&lt;&gt;Remarcado")&gt;0,"Sim","Não"))</f>
        <v>0</v>
      </c>
      <c r="S743" s="28">
        <f>IF($A743="","",IF(AND($F743="Agendado",$A743-Hoje&gt;=0,$A743-Hoje&lt;=DiasConf),"CONFIRMAR",IF(AND($A743&lt;Hoje,OR($F743="Agendado",$F743="Confirmado")),"Atualizar status",IF(AND($F743="Compareceu",$P743&gt;0.005),"Cobrar",IF($F743="Faltou","Falta: reagendar","")))))</f>
        <v>0</v>
      </c>
      <c r="T743" s="29">
        <f>IF($A743="","",DATE(YEAR($A743),MONTH($A743),1))</f>
        <v>0</v>
      </c>
      <c r="U743" s="30">
        <f>IF($S743="CONFIRMAR",MAX($U$4:$U742)+1,"")</f>
        <v>0</v>
      </c>
      <c r="V743" s="30">
        <f>IF(AND($R743="Não",$Q743&lt;&gt;"",$Q743&lt;=Hoje+JanelaRet,$Q743&gt;=Hoje-60),MAX($V$4:$V742)+1,"")</f>
        <v>0</v>
      </c>
    </row>
    <row r="744" spans="1:22">
      <c r="A744" s="16"/>
      <c r="B744" s="23"/>
      <c r="C744" s="15"/>
      <c r="D744" s="15"/>
      <c r="E744" s="15"/>
      <c r="F744" s="24"/>
      <c r="G744" s="17"/>
      <c r="H744" s="17"/>
      <c r="I744" s="15"/>
      <c r="J744" s="25">
        <f>IF($D744="","",IFERROR(INDEX(PacNome,MATCH($D744,PacCod,0)),"Paciente não cadastrado"))</f>
        <v>0</v>
      </c>
      <c r="K744" s="26">
        <f>IF($D744="","",IFERROR(INDEX(PacConv,MATCH($D744,PacCod,0))&amp;"",""))</f>
        <v>0</v>
      </c>
      <c r="L744" s="26">
        <f>IF($A744="","",CHOOSE(WEEKDAY($A744,2),"Seg","Ter","Qua","Qui","Sex","Sáb","Dom"))</f>
        <v>0</v>
      </c>
      <c r="M744" s="27">
        <f>IF($E744="","",IF($G744&lt;&gt;"",$G744,IFERROR(INDEX(ProcValor,MATCH($E744,ProcNome,0)),0)))</f>
        <v>0</v>
      </c>
      <c r="N744" s="27">
        <f>IF($M744="","",IF($F744="Compareceu",$M744,0))</f>
        <v>0</v>
      </c>
      <c r="O744" s="27">
        <f>IF($M744="","",IF($F744="Faltou",$M744,0))</f>
        <v>0</v>
      </c>
      <c r="P744" s="27">
        <f>IF($M744="","",IF($F744="Compareceu",MAX(0,$M744-N($H744)),0))</f>
        <v>0</v>
      </c>
      <c r="Q744" s="19">
        <f>IF(AND($F744="Compareceu",$E744&lt;&gt;"",$A744&lt;&gt;""),IF(IFERROR(INDEX(ProcRet,MATCH($E744,ProcNome,0)),0)&gt;0,$A744+INDEX(ProcRet,MATCH($E744,ProcNome,0)),""),"")</f>
        <v>0</v>
      </c>
      <c r="R744" s="26">
        <f>IF($Q744="","",IF(COUNTIFS(AgPac,$D744,AgData,"&gt;"&amp;$A744,AgStatus,"&lt;&gt;Cancelado",AgStatus,"&lt;&gt;Remarcado")&gt;0,"Sim","Não"))</f>
        <v>0</v>
      </c>
      <c r="S744" s="28">
        <f>IF($A744="","",IF(AND($F744="Agendado",$A744-Hoje&gt;=0,$A744-Hoje&lt;=DiasConf),"CONFIRMAR",IF(AND($A744&lt;Hoje,OR($F744="Agendado",$F744="Confirmado")),"Atualizar status",IF(AND($F744="Compareceu",$P744&gt;0.005),"Cobrar",IF($F744="Faltou","Falta: reagendar","")))))</f>
        <v>0</v>
      </c>
      <c r="T744" s="29">
        <f>IF($A744="","",DATE(YEAR($A744),MONTH($A744),1))</f>
        <v>0</v>
      </c>
      <c r="U744" s="30">
        <f>IF($S744="CONFIRMAR",MAX($U$4:$U743)+1,"")</f>
        <v>0</v>
      </c>
      <c r="V744" s="30">
        <f>IF(AND($R744="Não",$Q744&lt;&gt;"",$Q744&lt;=Hoje+JanelaRet,$Q744&gt;=Hoje-60),MAX($V$4:$V743)+1,"")</f>
        <v>0</v>
      </c>
    </row>
    <row r="745" spans="1:22">
      <c r="A745" s="16"/>
      <c r="B745" s="23"/>
      <c r="C745" s="15"/>
      <c r="D745" s="15"/>
      <c r="E745" s="15"/>
      <c r="F745" s="24"/>
      <c r="G745" s="17"/>
      <c r="H745" s="17"/>
      <c r="I745" s="15"/>
      <c r="J745" s="25">
        <f>IF($D745="","",IFERROR(INDEX(PacNome,MATCH($D745,PacCod,0)),"Paciente não cadastrado"))</f>
        <v>0</v>
      </c>
      <c r="K745" s="26">
        <f>IF($D745="","",IFERROR(INDEX(PacConv,MATCH($D745,PacCod,0))&amp;"",""))</f>
        <v>0</v>
      </c>
      <c r="L745" s="26">
        <f>IF($A745="","",CHOOSE(WEEKDAY($A745,2),"Seg","Ter","Qua","Qui","Sex","Sáb","Dom"))</f>
        <v>0</v>
      </c>
      <c r="M745" s="27">
        <f>IF($E745="","",IF($G745&lt;&gt;"",$G745,IFERROR(INDEX(ProcValor,MATCH($E745,ProcNome,0)),0)))</f>
        <v>0</v>
      </c>
      <c r="N745" s="27">
        <f>IF($M745="","",IF($F745="Compareceu",$M745,0))</f>
        <v>0</v>
      </c>
      <c r="O745" s="27">
        <f>IF($M745="","",IF($F745="Faltou",$M745,0))</f>
        <v>0</v>
      </c>
      <c r="P745" s="27">
        <f>IF($M745="","",IF($F745="Compareceu",MAX(0,$M745-N($H745)),0))</f>
        <v>0</v>
      </c>
      <c r="Q745" s="19">
        <f>IF(AND($F745="Compareceu",$E745&lt;&gt;"",$A745&lt;&gt;""),IF(IFERROR(INDEX(ProcRet,MATCH($E745,ProcNome,0)),0)&gt;0,$A745+INDEX(ProcRet,MATCH($E745,ProcNome,0)),""),"")</f>
        <v>0</v>
      </c>
      <c r="R745" s="26">
        <f>IF($Q745="","",IF(COUNTIFS(AgPac,$D745,AgData,"&gt;"&amp;$A745,AgStatus,"&lt;&gt;Cancelado",AgStatus,"&lt;&gt;Remarcado")&gt;0,"Sim","Não"))</f>
        <v>0</v>
      </c>
      <c r="S745" s="28">
        <f>IF($A745="","",IF(AND($F745="Agendado",$A745-Hoje&gt;=0,$A745-Hoje&lt;=DiasConf),"CONFIRMAR",IF(AND($A745&lt;Hoje,OR($F745="Agendado",$F745="Confirmado")),"Atualizar status",IF(AND($F745="Compareceu",$P745&gt;0.005),"Cobrar",IF($F745="Faltou","Falta: reagendar","")))))</f>
        <v>0</v>
      </c>
      <c r="T745" s="29">
        <f>IF($A745="","",DATE(YEAR($A745),MONTH($A745),1))</f>
        <v>0</v>
      </c>
      <c r="U745" s="30">
        <f>IF($S745="CONFIRMAR",MAX($U$4:$U744)+1,"")</f>
        <v>0</v>
      </c>
      <c r="V745" s="30">
        <f>IF(AND($R745="Não",$Q745&lt;&gt;"",$Q745&lt;=Hoje+JanelaRet,$Q745&gt;=Hoje-60),MAX($V$4:$V744)+1,"")</f>
        <v>0</v>
      </c>
    </row>
    <row r="746" spans="1:22">
      <c r="A746" s="16"/>
      <c r="B746" s="23"/>
      <c r="C746" s="15"/>
      <c r="D746" s="15"/>
      <c r="E746" s="15"/>
      <c r="F746" s="24"/>
      <c r="G746" s="17"/>
      <c r="H746" s="17"/>
      <c r="I746" s="15"/>
      <c r="J746" s="25">
        <f>IF($D746="","",IFERROR(INDEX(PacNome,MATCH($D746,PacCod,0)),"Paciente não cadastrado"))</f>
        <v>0</v>
      </c>
      <c r="K746" s="26">
        <f>IF($D746="","",IFERROR(INDEX(PacConv,MATCH($D746,PacCod,0))&amp;"",""))</f>
        <v>0</v>
      </c>
      <c r="L746" s="26">
        <f>IF($A746="","",CHOOSE(WEEKDAY($A746,2),"Seg","Ter","Qua","Qui","Sex","Sáb","Dom"))</f>
        <v>0</v>
      </c>
      <c r="M746" s="27">
        <f>IF($E746="","",IF($G746&lt;&gt;"",$G746,IFERROR(INDEX(ProcValor,MATCH($E746,ProcNome,0)),0)))</f>
        <v>0</v>
      </c>
      <c r="N746" s="27">
        <f>IF($M746="","",IF($F746="Compareceu",$M746,0))</f>
        <v>0</v>
      </c>
      <c r="O746" s="27">
        <f>IF($M746="","",IF($F746="Faltou",$M746,0))</f>
        <v>0</v>
      </c>
      <c r="P746" s="27">
        <f>IF($M746="","",IF($F746="Compareceu",MAX(0,$M746-N($H746)),0))</f>
        <v>0</v>
      </c>
      <c r="Q746" s="19">
        <f>IF(AND($F746="Compareceu",$E746&lt;&gt;"",$A746&lt;&gt;""),IF(IFERROR(INDEX(ProcRet,MATCH($E746,ProcNome,0)),0)&gt;0,$A746+INDEX(ProcRet,MATCH($E746,ProcNome,0)),""),"")</f>
        <v>0</v>
      </c>
      <c r="R746" s="26">
        <f>IF($Q746="","",IF(COUNTIFS(AgPac,$D746,AgData,"&gt;"&amp;$A746,AgStatus,"&lt;&gt;Cancelado",AgStatus,"&lt;&gt;Remarcado")&gt;0,"Sim","Não"))</f>
        <v>0</v>
      </c>
      <c r="S746" s="28">
        <f>IF($A746="","",IF(AND($F746="Agendado",$A746-Hoje&gt;=0,$A746-Hoje&lt;=DiasConf),"CONFIRMAR",IF(AND($A746&lt;Hoje,OR($F746="Agendado",$F746="Confirmado")),"Atualizar status",IF(AND($F746="Compareceu",$P746&gt;0.005),"Cobrar",IF($F746="Faltou","Falta: reagendar","")))))</f>
        <v>0</v>
      </c>
      <c r="T746" s="29">
        <f>IF($A746="","",DATE(YEAR($A746),MONTH($A746),1))</f>
        <v>0</v>
      </c>
      <c r="U746" s="30">
        <f>IF($S746="CONFIRMAR",MAX($U$4:$U745)+1,"")</f>
        <v>0</v>
      </c>
      <c r="V746" s="30">
        <f>IF(AND($R746="Não",$Q746&lt;&gt;"",$Q746&lt;=Hoje+JanelaRet,$Q746&gt;=Hoje-60),MAX($V$4:$V745)+1,"")</f>
        <v>0</v>
      </c>
    </row>
    <row r="747" spans="1:22">
      <c r="A747" s="16"/>
      <c r="B747" s="23"/>
      <c r="C747" s="15"/>
      <c r="D747" s="15"/>
      <c r="E747" s="15"/>
      <c r="F747" s="24"/>
      <c r="G747" s="17"/>
      <c r="H747" s="17"/>
      <c r="I747" s="15"/>
      <c r="J747" s="25">
        <f>IF($D747="","",IFERROR(INDEX(PacNome,MATCH($D747,PacCod,0)),"Paciente não cadastrado"))</f>
        <v>0</v>
      </c>
      <c r="K747" s="26">
        <f>IF($D747="","",IFERROR(INDEX(PacConv,MATCH($D747,PacCod,0))&amp;"",""))</f>
        <v>0</v>
      </c>
      <c r="L747" s="26">
        <f>IF($A747="","",CHOOSE(WEEKDAY($A747,2),"Seg","Ter","Qua","Qui","Sex","Sáb","Dom"))</f>
        <v>0</v>
      </c>
      <c r="M747" s="27">
        <f>IF($E747="","",IF($G747&lt;&gt;"",$G747,IFERROR(INDEX(ProcValor,MATCH($E747,ProcNome,0)),0)))</f>
        <v>0</v>
      </c>
      <c r="N747" s="27">
        <f>IF($M747="","",IF($F747="Compareceu",$M747,0))</f>
        <v>0</v>
      </c>
      <c r="O747" s="27">
        <f>IF($M747="","",IF($F747="Faltou",$M747,0))</f>
        <v>0</v>
      </c>
      <c r="P747" s="27">
        <f>IF($M747="","",IF($F747="Compareceu",MAX(0,$M747-N($H747)),0))</f>
        <v>0</v>
      </c>
      <c r="Q747" s="19">
        <f>IF(AND($F747="Compareceu",$E747&lt;&gt;"",$A747&lt;&gt;""),IF(IFERROR(INDEX(ProcRet,MATCH($E747,ProcNome,0)),0)&gt;0,$A747+INDEX(ProcRet,MATCH($E747,ProcNome,0)),""),"")</f>
        <v>0</v>
      </c>
      <c r="R747" s="26">
        <f>IF($Q747="","",IF(COUNTIFS(AgPac,$D747,AgData,"&gt;"&amp;$A747,AgStatus,"&lt;&gt;Cancelado",AgStatus,"&lt;&gt;Remarcado")&gt;0,"Sim","Não"))</f>
        <v>0</v>
      </c>
      <c r="S747" s="28">
        <f>IF($A747="","",IF(AND($F747="Agendado",$A747-Hoje&gt;=0,$A747-Hoje&lt;=DiasConf),"CONFIRMAR",IF(AND($A747&lt;Hoje,OR($F747="Agendado",$F747="Confirmado")),"Atualizar status",IF(AND($F747="Compareceu",$P747&gt;0.005),"Cobrar",IF($F747="Faltou","Falta: reagendar","")))))</f>
        <v>0</v>
      </c>
      <c r="T747" s="29">
        <f>IF($A747="","",DATE(YEAR($A747),MONTH($A747),1))</f>
        <v>0</v>
      </c>
      <c r="U747" s="30">
        <f>IF($S747="CONFIRMAR",MAX($U$4:$U746)+1,"")</f>
        <v>0</v>
      </c>
      <c r="V747" s="30">
        <f>IF(AND($R747="Não",$Q747&lt;&gt;"",$Q747&lt;=Hoje+JanelaRet,$Q747&gt;=Hoje-60),MAX($V$4:$V746)+1,"")</f>
        <v>0</v>
      </c>
    </row>
    <row r="748" spans="1:22">
      <c r="A748" s="16"/>
      <c r="B748" s="23"/>
      <c r="C748" s="15"/>
      <c r="D748" s="15"/>
      <c r="E748" s="15"/>
      <c r="F748" s="24"/>
      <c r="G748" s="17"/>
      <c r="H748" s="17"/>
      <c r="I748" s="15"/>
      <c r="J748" s="25">
        <f>IF($D748="","",IFERROR(INDEX(PacNome,MATCH($D748,PacCod,0)),"Paciente não cadastrado"))</f>
        <v>0</v>
      </c>
      <c r="K748" s="26">
        <f>IF($D748="","",IFERROR(INDEX(PacConv,MATCH($D748,PacCod,0))&amp;"",""))</f>
        <v>0</v>
      </c>
      <c r="L748" s="26">
        <f>IF($A748="","",CHOOSE(WEEKDAY($A748,2),"Seg","Ter","Qua","Qui","Sex","Sáb","Dom"))</f>
        <v>0</v>
      </c>
      <c r="M748" s="27">
        <f>IF($E748="","",IF($G748&lt;&gt;"",$G748,IFERROR(INDEX(ProcValor,MATCH($E748,ProcNome,0)),0)))</f>
        <v>0</v>
      </c>
      <c r="N748" s="27">
        <f>IF($M748="","",IF($F748="Compareceu",$M748,0))</f>
        <v>0</v>
      </c>
      <c r="O748" s="27">
        <f>IF($M748="","",IF($F748="Faltou",$M748,0))</f>
        <v>0</v>
      </c>
      <c r="P748" s="27">
        <f>IF($M748="","",IF($F748="Compareceu",MAX(0,$M748-N($H748)),0))</f>
        <v>0</v>
      </c>
      <c r="Q748" s="19">
        <f>IF(AND($F748="Compareceu",$E748&lt;&gt;"",$A748&lt;&gt;""),IF(IFERROR(INDEX(ProcRet,MATCH($E748,ProcNome,0)),0)&gt;0,$A748+INDEX(ProcRet,MATCH($E748,ProcNome,0)),""),"")</f>
        <v>0</v>
      </c>
      <c r="R748" s="26">
        <f>IF($Q748="","",IF(COUNTIFS(AgPac,$D748,AgData,"&gt;"&amp;$A748,AgStatus,"&lt;&gt;Cancelado",AgStatus,"&lt;&gt;Remarcado")&gt;0,"Sim","Não"))</f>
        <v>0</v>
      </c>
      <c r="S748" s="28">
        <f>IF($A748="","",IF(AND($F748="Agendado",$A748-Hoje&gt;=0,$A748-Hoje&lt;=DiasConf),"CONFIRMAR",IF(AND($A748&lt;Hoje,OR($F748="Agendado",$F748="Confirmado")),"Atualizar status",IF(AND($F748="Compareceu",$P748&gt;0.005),"Cobrar",IF($F748="Faltou","Falta: reagendar","")))))</f>
        <v>0</v>
      </c>
      <c r="T748" s="29">
        <f>IF($A748="","",DATE(YEAR($A748),MONTH($A748),1))</f>
        <v>0</v>
      </c>
      <c r="U748" s="30">
        <f>IF($S748="CONFIRMAR",MAX($U$4:$U747)+1,"")</f>
        <v>0</v>
      </c>
      <c r="V748" s="30">
        <f>IF(AND($R748="Não",$Q748&lt;&gt;"",$Q748&lt;=Hoje+JanelaRet,$Q748&gt;=Hoje-60),MAX($V$4:$V747)+1,"")</f>
        <v>0</v>
      </c>
    </row>
    <row r="749" spans="1:22">
      <c r="A749" s="16"/>
      <c r="B749" s="23"/>
      <c r="C749" s="15"/>
      <c r="D749" s="15"/>
      <c r="E749" s="15"/>
      <c r="F749" s="24"/>
      <c r="G749" s="17"/>
      <c r="H749" s="17"/>
      <c r="I749" s="15"/>
      <c r="J749" s="25">
        <f>IF($D749="","",IFERROR(INDEX(PacNome,MATCH($D749,PacCod,0)),"Paciente não cadastrado"))</f>
        <v>0</v>
      </c>
      <c r="K749" s="26">
        <f>IF($D749="","",IFERROR(INDEX(PacConv,MATCH($D749,PacCod,0))&amp;"",""))</f>
        <v>0</v>
      </c>
      <c r="L749" s="26">
        <f>IF($A749="","",CHOOSE(WEEKDAY($A749,2),"Seg","Ter","Qua","Qui","Sex","Sáb","Dom"))</f>
        <v>0</v>
      </c>
      <c r="M749" s="27">
        <f>IF($E749="","",IF($G749&lt;&gt;"",$G749,IFERROR(INDEX(ProcValor,MATCH($E749,ProcNome,0)),0)))</f>
        <v>0</v>
      </c>
      <c r="N749" s="27">
        <f>IF($M749="","",IF($F749="Compareceu",$M749,0))</f>
        <v>0</v>
      </c>
      <c r="O749" s="27">
        <f>IF($M749="","",IF($F749="Faltou",$M749,0))</f>
        <v>0</v>
      </c>
      <c r="P749" s="27">
        <f>IF($M749="","",IF($F749="Compareceu",MAX(0,$M749-N($H749)),0))</f>
        <v>0</v>
      </c>
      <c r="Q749" s="19">
        <f>IF(AND($F749="Compareceu",$E749&lt;&gt;"",$A749&lt;&gt;""),IF(IFERROR(INDEX(ProcRet,MATCH($E749,ProcNome,0)),0)&gt;0,$A749+INDEX(ProcRet,MATCH($E749,ProcNome,0)),""),"")</f>
        <v>0</v>
      </c>
      <c r="R749" s="26">
        <f>IF($Q749="","",IF(COUNTIFS(AgPac,$D749,AgData,"&gt;"&amp;$A749,AgStatus,"&lt;&gt;Cancelado",AgStatus,"&lt;&gt;Remarcado")&gt;0,"Sim","Não"))</f>
        <v>0</v>
      </c>
      <c r="S749" s="28">
        <f>IF($A749="","",IF(AND($F749="Agendado",$A749-Hoje&gt;=0,$A749-Hoje&lt;=DiasConf),"CONFIRMAR",IF(AND($A749&lt;Hoje,OR($F749="Agendado",$F749="Confirmado")),"Atualizar status",IF(AND($F749="Compareceu",$P749&gt;0.005),"Cobrar",IF($F749="Faltou","Falta: reagendar","")))))</f>
        <v>0</v>
      </c>
      <c r="T749" s="29">
        <f>IF($A749="","",DATE(YEAR($A749),MONTH($A749),1))</f>
        <v>0</v>
      </c>
      <c r="U749" s="30">
        <f>IF($S749="CONFIRMAR",MAX($U$4:$U748)+1,"")</f>
        <v>0</v>
      </c>
      <c r="V749" s="30">
        <f>IF(AND($R749="Não",$Q749&lt;&gt;"",$Q749&lt;=Hoje+JanelaRet,$Q749&gt;=Hoje-60),MAX($V$4:$V748)+1,"")</f>
        <v>0</v>
      </c>
    </row>
    <row r="750" spans="1:22">
      <c r="A750" s="16"/>
      <c r="B750" s="23"/>
      <c r="C750" s="15"/>
      <c r="D750" s="15"/>
      <c r="E750" s="15"/>
      <c r="F750" s="24"/>
      <c r="G750" s="17"/>
      <c r="H750" s="17"/>
      <c r="I750" s="15"/>
      <c r="J750" s="25">
        <f>IF($D750="","",IFERROR(INDEX(PacNome,MATCH($D750,PacCod,0)),"Paciente não cadastrado"))</f>
        <v>0</v>
      </c>
      <c r="K750" s="26">
        <f>IF($D750="","",IFERROR(INDEX(PacConv,MATCH($D750,PacCod,0))&amp;"",""))</f>
        <v>0</v>
      </c>
      <c r="L750" s="26">
        <f>IF($A750="","",CHOOSE(WEEKDAY($A750,2),"Seg","Ter","Qua","Qui","Sex","Sáb","Dom"))</f>
        <v>0</v>
      </c>
      <c r="M750" s="27">
        <f>IF($E750="","",IF($G750&lt;&gt;"",$G750,IFERROR(INDEX(ProcValor,MATCH($E750,ProcNome,0)),0)))</f>
        <v>0</v>
      </c>
      <c r="N750" s="27">
        <f>IF($M750="","",IF($F750="Compareceu",$M750,0))</f>
        <v>0</v>
      </c>
      <c r="O750" s="27">
        <f>IF($M750="","",IF($F750="Faltou",$M750,0))</f>
        <v>0</v>
      </c>
      <c r="P750" s="27">
        <f>IF($M750="","",IF($F750="Compareceu",MAX(0,$M750-N($H750)),0))</f>
        <v>0</v>
      </c>
      <c r="Q750" s="19">
        <f>IF(AND($F750="Compareceu",$E750&lt;&gt;"",$A750&lt;&gt;""),IF(IFERROR(INDEX(ProcRet,MATCH($E750,ProcNome,0)),0)&gt;0,$A750+INDEX(ProcRet,MATCH($E750,ProcNome,0)),""),"")</f>
        <v>0</v>
      </c>
      <c r="R750" s="26">
        <f>IF($Q750="","",IF(COUNTIFS(AgPac,$D750,AgData,"&gt;"&amp;$A750,AgStatus,"&lt;&gt;Cancelado",AgStatus,"&lt;&gt;Remarcado")&gt;0,"Sim","Não"))</f>
        <v>0</v>
      </c>
      <c r="S750" s="28">
        <f>IF($A750="","",IF(AND($F750="Agendado",$A750-Hoje&gt;=0,$A750-Hoje&lt;=DiasConf),"CONFIRMAR",IF(AND($A750&lt;Hoje,OR($F750="Agendado",$F750="Confirmado")),"Atualizar status",IF(AND($F750="Compareceu",$P750&gt;0.005),"Cobrar",IF($F750="Faltou","Falta: reagendar","")))))</f>
        <v>0</v>
      </c>
      <c r="T750" s="29">
        <f>IF($A750="","",DATE(YEAR($A750),MONTH($A750),1))</f>
        <v>0</v>
      </c>
      <c r="U750" s="30">
        <f>IF($S750="CONFIRMAR",MAX($U$4:$U749)+1,"")</f>
        <v>0</v>
      </c>
      <c r="V750" s="30">
        <f>IF(AND($R750="Não",$Q750&lt;&gt;"",$Q750&lt;=Hoje+JanelaRet,$Q750&gt;=Hoje-60),MAX($V$4:$V749)+1,"")</f>
        <v>0</v>
      </c>
    </row>
    <row r="751" spans="1:22">
      <c r="A751" s="16"/>
      <c r="B751" s="23"/>
      <c r="C751" s="15"/>
      <c r="D751" s="15"/>
      <c r="E751" s="15"/>
      <c r="F751" s="24"/>
      <c r="G751" s="17"/>
      <c r="H751" s="17"/>
      <c r="I751" s="15"/>
      <c r="J751" s="25">
        <f>IF($D751="","",IFERROR(INDEX(PacNome,MATCH($D751,PacCod,0)),"Paciente não cadastrado"))</f>
        <v>0</v>
      </c>
      <c r="K751" s="26">
        <f>IF($D751="","",IFERROR(INDEX(PacConv,MATCH($D751,PacCod,0))&amp;"",""))</f>
        <v>0</v>
      </c>
      <c r="L751" s="26">
        <f>IF($A751="","",CHOOSE(WEEKDAY($A751,2),"Seg","Ter","Qua","Qui","Sex","Sáb","Dom"))</f>
        <v>0</v>
      </c>
      <c r="M751" s="27">
        <f>IF($E751="","",IF($G751&lt;&gt;"",$G751,IFERROR(INDEX(ProcValor,MATCH($E751,ProcNome,0)),0)))</f>
        <v>0</v>
      </c>
      <c r="N751" s="27">
        <f>IF($M751="","",IF($F751="Compareceu",$M751,0))</f>
        <v>0</v>
      </c>
      <c r="O751" s="27">
        <f>IF($M751="","",IF($F751="Faltou",$M751,0))</f>
        <v>0</v>
      </c>
      <c r="P751" s="27">
        <f>IF($M751="","",IF($F751="Compareceu",MAX(0,$M751-N($H751)),0))</f>
        <v>0</v>
      </c>
      <c r="Q751" s="19">
        <f>IF(AND($F751="Compareceu",$E751&lt;&gt;"",$A751&lt;&gt;""),IF(IFERROR(INDEX(ProcRet,MATCH($E751,ProcNome,0)),0)&gt;0,$A751+INDEX(ProcRet,MATCH($E751,ProcNome,0)),""),"")</f>
        <v>0</v>
      </c>
      <c r="R751" s="26">
        <f>IF($Q751="","",IF(COUNTIFS(AgPac,$D751,AgData,"&gt;"&amp;$A751,AgStatus,"&lt;&gt;Cancelado",AgStatus,"&lt;&gt;Remarcado")&gt;0,"Sim","Não"))</f>
        <v>0</v>
      </c>
      <c r="S751" s="28">
        <f>IF($A751="","",IF(AND($F751="Agendado",$A751-Hoje&gt;=0,$A751-Hoje&lt;=DiasConf),"CONFIRMAR",IF(AND($A751&lt;Hoje,OR($F751="Agendado",$F751="Confirmado")),"Atualizar status",IF(AND($F751="Compareceu",$P751&gt;0.005),"Cobrar",IF($F751="Faltou","Falta: reagendar","")))))</f>
        <v>0</v>
      </c>
      <c r="T751" s="29">
        <f>IF($A751="","",DATE(YEAR($A751),MONTH($A751),1))</f>
        <v>0</v>
      </c>
      <c r="U751" s="30">
        <f>IF($S751="CONFIRMAR",MAX($U$4:$U750)+1,"")</f>
        <v>0</v>
      </c>
      <c r="V751" s="30">
        <f>IF(AND($R751="Não",$Q751&lt;&gt;"",$Q751&lt;=Hoje+JanelaRet,$Q751&gt;=Hoje-60),MAX($V$4:$V750)+1,"")</f>
        <v>0</v>
      </c>
    </row>
    <row r="752" spans="1:22">
      <c r="A752" s="16"/>
      <c r="B752" s="23"/>
      <c r="C752" s="15"/>
      <c r="D752" s="15"/>
      <c r="E752" s="15"/>
      <c r="F752" s="24"/>
      <c r="G752" s="17"/>
      <c r="H752" s="17"/>
      <c r="I752" s="15"/>
      <c r="J752" s="25">
        <f>IF($D752="","",IFERROR(INDEX(PacNome,MATCH($D752,PacCod,0)),"Paciente não cadastrado"))</f>
        <v>0</v>
      </c>
      <c r="K752" s="26">
        <f>IF($D752="","",IFERROR(INDEX(PacConv,MATCH($D752,PacCod,0))&amp;"",""))</f>
        <v>0</v>
      </c>
      <c r="L752" s="26">
        <f>IF($A752="","",CHOOSE(WEEKDAY($A752,2),"Seg","Ter","Qua","Qui","Sex","Sáb","Dom"))</f>
        <v>0</v>
      </c>
      <c r="M752" s="27">
        <f>IF($E752="","",IF($G752&lt;&gt;"",$G752,IFERROR(INDEX(ProcValor,MATCH($E752,ProcNome,0)),0)))</f>
        <v>0</v>
      </c>
      <c r="N752" s="27">
        <f>IF($M752="","",IF($F752="Compareceu",$M752,0))</f>
        <v>0</v>
      </c>
      <c r="O752" s="27">
        <f>IF($M752="","",IF($F752="Faltou",$M752,0))</f>
        <v>0</v>
      </c>
      <c r="P752" s="27">
        <f>IF($M752="","",IF($F752="Compareceu",MAX(0,$M752-N($H752)),0))</f>
        <v>0</v>
      </c>
      <c r="Q752" s="19">
        <f>IF(AND($F752="Compareceu",$E752&lt;&gt;"",$A752&lt;&gt;""),IF(IFERROR(INDEX(ProcRet,MATCH($E752,ProcNome,0)),0)&gt;0,$A752+INDEX(ProcRet,MATCH($E752,ProcNome,0)),""),"")</f>
        <v>0</v>
      </c>
      <c r="R752" s="26">
        <f>IF($Q752="","",IF(COUNTIFS(AgPac,$D752,AgData,"&gt;"&amp;$A752,AgStatus,"&lt;&gt;Cancelado",AgStatus,"&lt;&gt;Remarcado")&gt;0,"Sim","Não"))</f>
        <v>0</v>
      </c>
      <c r="S752" s="28">
        <f>IF($A752="","",IF(AND($F752="Agendado",$A752-Hoje&gt;=0,$A752-Hoje&lt;=DiasConf),"CONFIRMAR",IF(AND($A752&lt;Hoje,OR($F752="Agendado",$F752="Confirmado")),"Atualizar status",IF(AND($F752="Compareceu",$P752&gt;0.005),"Cobrar",IF($F752="Faltou","Falta: reagendar","")))))</f>
        <v>0</v>
      </c>
      <c r="T752" s="29">
        <f>IF($A752="","",DATE(YEAR($A752),MONTH($A752),1))</f>
        <v>0</v>
      </c>
      <c r="U752" s="30">
        <f>IF($S752="CONFIRMAR",MAX($U$4:$U751)+1,"")</f>
        <v>0</v>
      </c>
      <c r="V752" s="30">
        <f>IF(AND($R752="Não",$Q752&lt;&gt;"",$Q752&lt;=Hoje+JanelaRet,$Q752&gt;=Hoje-60),MAX($V$4:$V751)+1,"")</f>
        <v>0</v>
      </c>
    </row>
    <row r="753" spans="1:22">
      <c r="A753" s="16"/>
      <c r="B753" s="23"/>
      <c r="C753" s="15"/>
      <c r="D753" s="15"/>
      <c r="E753" s="15"/>
      <c r="F753" s="24"/>
      <c r="G753" s="17"/>
      <c r="H753" s="17"/>
      <c r="I753" s="15"/>
      <c r="J753" s="25">
        <f>IF($D753="","",IFERROR(INDEX(PacNome,MATCH($D753,PacCod,0)),"Paciente não cadastrado"))</f>
        <v>0</v>
      </c>
      <c r="K753" s="26">
        <f>IF($D753="","",IFERROR(INDEX(PacConv,MATCH($D753,PacCod,0))&amp;"",""))</f>
        <v>0</v>
      </c>
      <c r="L753" s="26">
        <f>IF($A753="","",CHOOSE(WEEKDAY($A753,2),"Seg","Ter","Qua","Qui","Sex","Sáb","Dom"))</f>
        <v>0</v>
      </c>
      <c r="M753" s="27">
        <f>IF($E753="","",IF($G753&lt;&gt;"",$G753,IFERROR(INDEX(ProcValor,MATCH($E753,ProcNome,0)),0)))</f>
        <v>0</v>
      </c>
      <c r="N753" s="27">
        <f>IF($M753="","",IF($F753="Compareceu",$M753,0))</f>
        <v>0</v>
      </c>
      <c r="O753" s="27">
        <f>IF($M753="","",IF($F753="Faltou",$M753,0))</f>
        <v>0</v>
      </c>
      <c r="P753" s="27">
        <f>IF($M753="","",IF($F753="Compareceu",MAX(0,$M753-N($H753)),0))</f>
        <v>0</v>
      </c>
      <c r="Q753" s="19">
        <f>IF(AND($F753="Compareceu",$E753&lt;&gt;"",$A753&lt;&gt;""),IF(IFERROR(INDEX(ProcRet,MATCH($E753,ProcNome,0)),0)&gt;0,$A753+INDEX(ProcRet,MATCH($E753,ProcNome,0)),""),"")</f>
        <v>0</v>
      </c>
      <c r="R753" s="26">
        <f>IF($Q753="","",IF(COUNTIFS(AgPac,$D753,AgData,"&gt;"&amp;$A753,AgStatus,"&lt;&gt;Cancelado",AgStatus,"&lt;&gt;Remarcado")&gt;0,"Sim","Não"))</f>
        <v>0</v>
      </c>
      <c r="S753" s="28">
        <f>IF($A753="","",IF(AND($F753="Agendado",$A753-Hoje&gt;=0,$A753-Hoje&lt;=DiasConf),"CONFIRMAR",IF(AND($A753&lt;Hoje,OR($F753="Agendado",$F753="Confirmado")),"Atualizar status",IF(AND($F753="Compareceu",$P753&gt;0.005),"Cobrar",IF($F753="Faltou","Falta: reagendar","")))))</f>
        <v>0</v>
      </c>
      <c r="T753" s="29">
        <f>IF($A753="","",DATE(YEAR($A753),MONTH($A753),1))</f>
        <v>0</v>
      </c>
      <c r="U753" s="30">
        <f>IF($S753="CONFIRMAR",MAX($U$4:$U752)+1,"")</f>
        <v>0</v>
      </c>
      <c r="V753" s="30">
        <f>IF(AND($R753="Não",$Q753&lt;&gt;"",$Q753&lt;=Hoje+JanelaRet,$Q753&gt;=Hoje-60),MAX($V$4:$V752)+1,"")</f>
        <v>0</v>
      </c>
    </row>
    <row r="754" spans="1:22">
      <c r="A754" s="16"/>
      <c r="B754" s="23"/>
      <c r="C754" s="15"/>
      <c r="D754" s="15"/>
      <c r="E754" s="15"/>
      <c r="F754" s="24"/>
      <c r="G754" s="17"/>
      <c r="H754" s="17"/>
      <c r="I754" s="15"/>
      <c r="J754" s="25">
        <f>IF($D754="","",IFERROR(INDEX(PacNome,MATCH($D754,PacCod,0)),"Paciente não cadastrado"))</f>
        <v>0</v>
      </c>
      <c r="K754" s="26">
        <f>IF($D754="","",IFERROR(INDEX(PacConv,MATCH($D754,PacCod,0))&amp;"",""))</f>
        <v>0</v>
      </c>
      <c r="L754" s="26">
        <f>IF($A754="","",CHOOSE(WEEKDAY($A754,2),"Seg","Ter","Qua","Qui","Sex","Sáb","Dom"))</f>
        <v>0</v>
      </c>
      <c r="M754" s="27">
        <f>IF($E754="","",IF($G754&lt;&gt;"",$G754,IFERROR(INDEX(ProcValor,MATCH($E754,ProcNome,0)),0)))</f>
        <v>0</v>
      </c>
      <c r="N754" s="27">
        <f>IF($M754="","",IF($F754="Compareceu",$M754,0))</f>
        <v>0</v>
      </c>
      <c r="O754" s="27">
        <f>IF($M754="","",IF($F754="Faltou",$M754,0))</f>
        <v>0</v>
      </c>
      <c r="P754" s="27">
        <f>IF($M754="","",IF($F754="Compareceu",MAX(0,$M754-N($H754)),0))</f>
        <v>0</v>
      </c>
      <c r="Q754" s="19">
        <f>IF(AND($F754="Compareceu",$E754&lt;&gt;"",$A754&lt;&gt;""),IF(IFERROR(INDEX(ProcRet,MATCH($E754,ProcNome,0)),0)&gt;0,$A754+INDEX(ProcRet,MATCH($E754,ProcNome,0)),""),"")</f>
        <v>0</v>
      </c>
      <c r="R754" s="26">
        <f>IF($Q754="","",IF(COUNTIFS(AgPac,$D754,AgData,"&gt;"&amp;$A754,AgStatus,"&lt;&gt;Cancelado",AgStatus,"&lt;&gt;Remarcado")&gt;0,"Sim","Não"))</f>
        <v>0</v>
      </c>
      <c r="S754" s="28">
        <f>IF($A754="","",IF(AND($F754="Agendado",$A754-Hoje&gt;=0,$A754-Hoje&lt;=DiasConf),"CONFIRMAR",IF(AND($A754&lt;Hoje,OR($F754="Agendado",$F754="Confirmado")),"Atualizar status",IF(AND($F754="Compareceu",$P754&gt;0.005),"Cobrar",IF($F754="Faltou","Falta: reagendar","")))))</f>
        <v>0</v>
      </c>
      <c r="T754" s="29">
        <f>IF($A754="","",DATE(YEAR($A754),MONTH($A754),1))</f>
        <v>0</v>
      </c>
      <c r="U754" s="30">
        <f>IF($S754="CONFIRMAR",MAX($U$4:$U753)+1,"")</f>
        <v>0</v>
      </c>
      <c r="V754" s="30">
        <f>IF(AND($R754="Não",$Q754&lt;&gt;"",$Q754&lt;=Hoje+JanelaRet,$Q754&gt;=Hoje-60),MAX($V$4:$V753)+1,"")</f>
        <v>0</v>
      </c>
    </row>
    <row r="755" spans="1:22">
      <c r="A755" s="16"/>
      <c r="B755" s="23"/>
      <c r="C755" s="15"/>
      <c r="D755" s="15"/>
      <c r="E755" s="15"/>
      <c r="F755" s="24"/>
      <c r="G755" s="17"/>
      <c r="H755" s="17"/>
      <c r="I755" s="15"/>
      <c r="J755" s="25">
        <f>IF($D755="","",IFERROR(INDEX(PacNome,MATCH($D755,PacCod,0)),"Paciente não cadastrado"))</f>
        <v>0</v>
      </c>
      <c r="K755" s="26">
        <f>IF($D755="","",IFERROR(INDEX(PacConv,MATCH($D755,PacCod,0))&amp;"",""))</f>
        <v>0</v>
      </c>
      <c r="L755" s="26">
        <f>IF($A755="","",CHOOSE(WEEKDAY($A755,2),"Seg","Ter","Qua","Qui","Sex","Sáb","Dom"))</f>
        <v>0</v>
      </c>
      <c r="M755" s="27">
        <f>IF($E755="","",IF($G755&lt;&gt;"",$G755,IFERROR(INDEX(ProcValor,MATCH($E755,ProcNome,0)),0)))</f>
        <v>0</v>
      </c>
      <c r="N755" s="27">
        <f>IF($M755="","",IF($F755="Compareceu",$M755,0))</f>
        <v>0</v>
      </c>
      <c r="O755" s="27">
        <f>IF($M755="","",IF($F755="Faltou",$M755,0))</f>
        <v>0</v>
      </c>
      <c r="P755" s="27">
        <f>IF($M755="","",IF($F755="Compareceu",MAX(0,$M755-N($H755)),0))</f>
        <v>0</v>
      </c>
      <c r="Q755" s="19">
        <f>IF(AND($F755="Compareceu",$E755&lt;&gt;"",$A755&lt;&gt;""),IF(IFERROR(INDEX(ProcRet,MATCH($E755,ProcNome,0)),0)&gt;0,$A755+INDEX(ProcRet,MATCH($E755,ProcNome,0)),""),"")</f>
        <v>0</v>
      </c>
      <c r="R755" s="26">
        <f>IF($Q755="","",IF(COUNTIFS(AgPac,$D755,AgData,"&gt;"&amp;$A755,AgStatus,"&lt;&gt;Cancelado",AgStatus,"&lt;&gt;Remarcado")&gt;0,"Sim","Não"))</f>
        <v>0</v>
      </c>
      <c r="S755" s="28">
        <f>IF($A755="","",IF(AND($F755="Agendado",$A755-Hoje&gt;=0,$A755-Hoje&lt;=DiasConf),"CONFIRMAR",IF(AND($A755&lt;Hoje,OR($F755="Agendado",$F755="Confirmado")),"Atualizar status",IF(AND($F755="Compareceu",$P755&gt;0.005),"Cobrar",IF($F755="Faltou","Falta: reagendar","")))))</f>
        <v>0</v>
      </c>
      <c r="T755" s="29">
        <f>IF($A755="","",DATE(YEAR($A755),MONTH($A755),1))</f>
        <v>0</v>
      </c>
      <c r="U755" s="30">
        <f>IF($S755="CONFIRMAR",MAX($U$4:$U754)+1,"")</f>
        <v>0</v>
      </c>
      <c r="V755" s="30">
        <f>IF(AND($R755="Não",$Q755&lt;&gt;"",$Q755&lt;=Hoje+JanelaRet,$Q755&gt;=Hoje-60),MAX($V$4:$V754)+1,"")</f>
        <v>0</v>
      </c>
    </row>
    <row r="756" spans="1:22">
      <c r="A756" s="16"/>
      <c r="B756" s="23"/>
      <c r="C756" s="15"/>
      <c r="D756" s="15"/>
      <c r="E756" s="15"/>
      <c r="F756" s="24"/>
      <c r="G756" s="17"/>
      <c r="H756" s="17"/>
      <c r="I756" s="15"/>
      <c r="J756" s="25">
        <f>IF($D756="","",IFERROR(INDEX(PacNome,MATCH($D756,PacCod,0)),"Paciente não cadastrado"))</f>
        <v>0</v>
      </c>
      <c r="K756" s="26">
        <f>IF($D756="","",IFERROR(INDEX(PacConv,MATCH($D756,PacCod,0))&amp;"",""))</f>
        <v>0</v>
      </c>
      <c r="L756" s="26">
        <f>IF($A756="","",CHOOSE(WEEKDAY($A756,2),"Seg","Ter","Qua","Qui","Sex","Sáb","Dom"))</f>
        <v>0</v>
      </c>
      <c r="M756" s="27">
        <f>IF($E756="","",IF($G756&lt;&gt;"",$G756,IFERROR(INDEX(ProcValor,MATCH($E756,ProcNome,0)),0)))</f>
        <v>0</v>
      </c>
      <c r="N756" s="27">
        <f>IF($M756="","",IF($F756="Compareceu",$M756,0))</f>
        <v>0</v>
      </c>
      <c r="O756" s="27">
        <f>IF($M756="","",IF($F756="Faltou",$M756,0))</f>
        <v>0</v>
      </c>
      <c r="P756" s="27">
        <f>IF($M756="","",IF($F756="Compareceu",MAX(0,$M756-N($H756)),0))</f>
        <v>0</v>
      </c>
      <c r="Q756" s="19">
        <f>IF(AND($F756="Compareceu",$E756&lt;&gt;"",$A756&lt;&gt;""),IF(IFERROR(INDEX(ProcRet,MATCH($E756,ProcNome,0)),0)&gt;0,$A756+INDEX(ProcRet,MATCH($E756,ProcNome,0)),""),"")</f>
        <v>0</v>
      </c>
      <c r="R756" s="26">
        <f>IF($Q756="","",IF(COUNTIFS(AgPac,$D756,AgData,"&gt;"&amp;$A756,AgStatus,"&lt;&gt;Cancelado",AgStatus,"&lt;&gt;Remarcado")&gt;0,"Sim","Não"))</f>
        <v>0</v>
      </c>
      <c r="S756" s="28">
        <f>IF($A756="","",IF(AND($F756="Agendado",$A756-Hoje&gt;=0,$A756-Hoje&lt;=DiasConf),"CONFIRMAR",IF(AND($A756&lt;Hoje,OR($F756="Agendado",$F756="Confirmado")),"Atualizar status",IF(AND($F756="Compareceu",$P756&gt;0.005),"Cobrar",IF($F756="Faltou","Falta: reagendar","")))))</f>
        <v>0</v>
      </c>
      <c r="T756" s="29">
        <f>IF($A756="","",DATE(YEAR($A756),MONTH($A756),1))</f>
        <v>0</v>
      </c>
      <c r="U756" s="30">
        <f>IF($S756="CONFIRMAR",MAX($U$4:$U755)+1,"")</f>
        <v>0</v>
      </c>
      <c r="V756" s="30">
        <f>IF(AND($R756="Não",$Q756&lt;&gt;"",$Q756&lt;=Hoje+JanelaRet,$Q756&gt;=Hoje-60),MAX($V$4:$V755)+1,"")</f>
        <v>0</v>
      </c>
    </row>
    <row r="757" spans="1:22">
      <c r="A757" s="16"/>
      <c r="B757" s="23"/>
      <c r="C757" s="15"/>
      <c r="D757" s="15"/>
      <c r="E757" s="15"/>
      <c r="F757" s="24"/>
      <c r="G757" s="17"/>
      <c r="H757" s="17"/>
      <c r="I757" s="15"/>
      <c r="J757" s="25">
        <f>IF($D757="","",IFERROR(INDEX(PacNome,MATCH($D757,PacCod,0)),"Paciente não cadastrado"))</f>
        <v>0</v>
      </c>
      <c r="K757" s="26">
        <f>IF($D757="","",IFERROR(INDEX(PacConv,MATCH($D757,PacCod,0))&amp;"",""))</f>
        <v>0</v>
      </c>
      <c r="L757" s="26">
        <f>IF($A757="","",CHOOSE(WEEKDAY($A757,2),"Seg","Ter","Qua","Qui","Sex","Sáb","Dom"))</f>
        <v>0</v>
      </c>
      <c r="M757" s="27">
        <f>IF($E757="","",IF($G757&lt;&gt;"",$G757,IFERROR(INDEX(ProcValor,MATCH($E757,ProcNome,0)),0)))</f>
        <v>0</v>
      </c>
      <c r="N757" s="27">
        <f>IF($M757="","",IF($F757="Compareceu",$M757,0))</f>
        <v>0</v>
      </c>
      <c r="O757" s="27">
        <f>IF($M757="","",IF($F757="Faltou",$M757,0))</f>
        <v>0</v>
      </c>
      <c r="P757" s="27">
        <f>IF($M757="","",IF($F757="Compareceu",MAX(0,$M757-N($H757)),0))</f>
        <v>0</v>
      </c>
      <c r="Q757" s="19">
        <f>IF(AND($F757="Compareceu",$E757&lt;&gt;"",$A757&lt;&gt;""),IF(IFERROR(INDEX(ProcRet,MATCH($E757,ProcNome,0)),0)&gt;0,$A757+INDEX(ProcRet,MATCH($E757,ProcNome,0)),""),"")</f>
        <v>0</v>
      </c>
      <c r="R757" s="26">
        <f>IF($Q757="","",IF(COUNTIFS(AgPac,$D757,AgData,"&gt;"&amp;$A757,AgStatus,"&lt;&gt;Cancelado",AgStatus,"&lt;&gt;Remarcado")&gt;0,"Sim","Não"))</f>
        <v>0</v>
      </c>
      <c r="S757" s="28">
        <f>IF($A757="","",IF(AND($F757="Agendado",$A757-Hoje&gt;=0,$A757-Hoje&lt;=DiasConf),"CONFIRMAR",IF(AND($A757&lt;Hoje,OR($F757="Agendado",$F757="Confirmado")),"Atualizar status",IF(AND($F757="Compareceu",$P757&gt;0.005),"Cobrar",IF($F757="Faltou","Falta: reagendar","")))))</f>
        <v>0</v>
      </c>
      <c r="T757" s="29">
        <f>IF($A757="","",DATE(YEAR($A757),MONTH($A757),1))</f>
        <v>0</v>
      </c>
      <c r="U757" s="30">
        <f>IF($S757="CONFIRMAR",MAX($U$4:$U756)+1,"")</f>
        <v>0</v>
      </c>
      <c r="V757" s="30">
        <f>IF(AND($R757="Não",$Q757&lt;&gt;"",$Q757&lt;=Hoje+JanelaRet,$Q757&gt;=Hoje-60),MAX($V$4:$V756)+1,"")</f>
        <v>0</v>
      </c>
    </row>
    <row r="758" spans="1:22">
      <c r="A758" s="16"/>
      <c r="B758" s="23"/>
      <c r="C758" s="15"/>
      <c r="D758" s="15"/>
      <c r="E758" s="15"/>
      <c r="F758" s="24"/>
      <c r="G758" s="17"/>
      <c r="H758" s="17"/>
      <c r="I758" s="15"/>
      <c r="J758" s="25">
        <f>IF($D758="","",IFERROR(INDEX(PacNome,MATCH($D758,PacCod,0)),"Paciente não cadastrado"))</f>
        <v>0</v>
      </c>
      <c r="K758" s="26">
        <f>IF($D758="","",IFERROR(INDEX(PacConv,MATCH($D758,PacCod,0))&amp;"",""))</f>
        <v>0</v>
      </c>
      <c r="L758" s="26">
        <f>IF($A758="","",CHOOSE(WEEKDAY($A758,2),"Seg","Ter","Qua","Qui","Sex","Sáb","Dom"))</f>
        <v>0</v>
      </c>
      <c r="M758" s="27">
        <f>IF($E758="","",IF($G758&lt;&gt;"",$G758,IFERROR(INDEX(ProcValor,MATCH($E758,ProcNome,0)),0)))</f>
        <v>0</v>
      </c>
      <c r="N758" s="27">
        <f>IF($M758="","",IF($F758="Compareceu",$M758,0))</f>
        <v>0</v>
      </c>
      <c r="O758" s="27">
        <f>IF($M758="","",IF($F758="Faltou",$M758,0))</f>
        <v>0</v>
      </c>
      <c r="P758" s="27">
        <f>IF($M758="","",IF($F758="Compareceu",MAX(0,$M758-N($H758)),0))</f>
        <v>0</v>
      </c>
      <c r="Q758" s="19">
        <f>IF(AND($F758="Compareceu",$E758&lt;&gt;"",$A758&lt;&gt;""),IF(IFERROR(INDEX(ProcRet,MATCH($E758,ProcNome,0)),0)&gt;0,$A758+INDEX(ProcRet,MATCH($E758,ProcNome,0)),""),"")</f>
        <v>0</v>
      </c>
      <c r="R758" s="26">
        <f>IF($Q758="","",IF(COUNTIFS(AgPac,$D758,AgData,"&gt;"&amp;$A758,AgStatus,"&lt;&gt;Cancelado",AgStatus,"&lt;&gt;Remarcado")&gt;0,"Sim","Não"))</f>
        <v>0</v>
      </c>
      <c r="S758" s="28">
        <f>IF($A758="","",IF(AND($F758="Agendado",$A758-Hoje&gt;=0,$A758-Hoje&lt;=DiasConf),"CONFIRMAR",IF(AND($A758&lt;Hoje,OR($F758="Agendado",$F758="Confirmado")),"Atualizar status",IF(AND($F758="Compareceu",$P758&gt;0.005),"Cobrar",IF($F758="Faltou","Falta: reagendar","")))))</f>
        <v>0</v>
      </c>
      <c r="T758" s="29">
        <f>IF($A758="","",DATE(YEAR($A758),MONTH($A758),1))</f>
        <v>0</v>
      </c>
      <c r="U758" s="30">
        <f>IF($S758="CONFIRMAR",MAX($U$4:$U757)+1,"")</f>
        <v>0</v>
      </c>
      <c r="V758" s="30">
        <f>IF(AND($R758="Não",$Q758&lt;&gt;"",$Q758&lt;=Hoje+JanelaRet,$Q758&gt;=Hoje-60),MAX($V$4:$V757)+1,"")</f>
        <v>0</v>
      </c>
    </row>
    <row r="759" spans="1:22">
      <c r="A759" s="16"/>
      <c r="B759" s="23"/>
      <c r="C759" s="15"/>
      <c r="D759" s="15"/>
      <c r="E759" s="15"/>
      <c r="F759" s="24"/>
      <c r="G759" s="17"/>
      <c r="H759" s="17"/>
      <c r="I759" s="15"/>
      <c r="J759" s="25">
        <f>IF($D759="","",IFERROR(INDEX(PacNome,MATCH($D759,PacCod,0)),"Paciente não cadastrado"))</f>
        <v>0</v>
      </c>
      <c r="K759" s="26">
        <f>IF($D759="","",IFERROR(INDEX(PacConv,MATCH($D759,PacCod,0))&amp;"",""))</f>
        <v>0</v>
      </c>
      <c r="L759" s="26">
        <f>IF($A759="","",CHOOSE(WEEKDAY($A759,2),"Seg","Ter","Qua","Qui","Sex","Sáb","Dom"))</f>
        <v>0</v>
      </c>
      <c r="M759" s="27">
        <f>IF($E759="","",IF($G759&lt;&gt;"",$G759,IFERROR(INDEX(ProcValor,MATCH($E759,ProcNome,0)),0)))</f>
        <v>0</v>
      </c>
      <c r="N759" s="27">
        <f>IF($M759="","",IF($F759="Compareceu",$M759,0))</f>
        <v>0</v>
      </c>
      <c r="O759" s="27">
        <f>IF($M759="","",IF($F759="Faltou",$M759,0))</f>
        <v>0</v>
      </c>
      <c r="P759" s="27">
        <f>IF($M759="","",IF($F759="Compareceu",MAX(0,$M759-N($H759)),0))</f>
        <v>0</v>
      </c>
      <c r="Q759" s="19">
        <f>IF(AND($F759="Compareceu",$E759&lt;&gt;"",$A759&lt;&gt;""),IF(IFERROR(INDEX(ProcRet,MATCH($E759,ProcNome,0)),0)&gt;0,$A759+INDEX(ProcRet,MATCH($E759,ProcNome,0)),""),"")</f>
        <v>0</v>
      </c>
      <c r="R759" s="26">
        <f>IF($Q759="","",IF(COUNTIFS(AgPac,$D759,AgData,"&gt;"&amp;$A759,AgStatus,"&lt;&gt;Cancelado",AgStatus,"&lt;&gt;Remarcado")&gt;0,"Sim","Não"))</f>
        <v>0</v>
      </c>
      <c r="S759" s="28">
        <f>IF($A759="","",IF(AND($F759="Agendado",$A759-Hoje&gt;=0,$A759-Hoje&lt;=DiasConf),"CONFIRMAR",IF(AND($A759&lt;Hoje,OR($F759="Agendado",$F759="Confirmado")),"Atualizar status",IF(AND($F759="Compareceu",$P759&gt;0.005),"Cobrar",IF($F759="Faltou","Falta: reagendar","")))))</f>
        <v>0</v>
      </c>
      <c r="T759" s="29">
        <f>IF($A759="","",DATE(YEAR($A759),MONTH($A759),1))</f>
        <v>0</v>
      </c>
      <c r="U759" s="30">
        <f>IF($S759="CONFIRMAR",MAX($U$4:$U758)+1,"")</f>
        <v>0</v>
      </c>
      <c r="V759" s="30">
        <f>IF(AND($R759="Não",$Q759&lt;&gt;"",$Q759&lt;=Hoje+JanelaRet,$Q759&gt;=Hoje-60),MAX($V$4:$V758)+1,"")</f>
        <v>0</v>
      </c>
    </row>
    <row r="760" spans="1:22">
      <c r="A760" s="16"/>
      <c r="B760" s="23"/>
      <c r="C760" s="15"/>
      <c r="D760" s="15"/>
      <c r="E760" s="15"/>
      <c r="F760" s="24"/>
      <c r="G760" s="17"/>
      <c r="H760" s="17"/>
      <c r="I760" s="15"/>
      <c r="J760" s="25">
        <f>IF($D760="","",IFERROR(INDEX(PacNome,MATCH($D760,PacCod,0)),"Paciente não cadastrado"))</f>
        <v>0</v>
      </c>
      <c r="K760" s="26">
        <f>IF($D760="","",IFERROR(INDEX(PacConv,MATCH($D760,PacCod,0))&amp;"",""))</f>
        <v>0</v>
      </c>
      <c r="L760" s="26">
        <f>IF($A760="","",CHOOSE(WEEKDAY($A760,2),"Seg","Ter","Qua","Qui","Sex","Sáb","Dom"))</f>
        <v>0</v>
      </c>
      <c r="M760" s="27">
        <f>IF($E760="","",IF($G760&lt;&gt;"",$G760,IFERROR(INDEX(ProcValor,MATCH($E760,ProcNome,0)),0)))</f>
        <v>0</v>
      </c>
      <c r="N760" s="27">
        <f>IF($M760="","",IF($F760="Compareceu",$M760,0))</f>
        <v>0</v>
      </c>
      <c r="O760" s="27">
        <f>IF($M760="","",IF($F760="Faltou",$M760,0))</f>
        <v>0</v>
      </c>
      <c r="P760" s="27">
        <f>IF($M760="","",IF($F760="Compareceu",MAX(0,$M760-N($H760)),0))</f>
        <v>0</v>
      </c>
      <c r="Q760" s="19">
        <f>IF(AND($F760="Compareceu",$E760&lt;&gt;"",$A760&lt;&gt;""),IF(IFERROR(INDEX(ProcRet,MATCH($E760,ProcNome,0)),0)&gt;0,$A760+INDEX(ProcRet,MATCH($E760,ProcNome,0)),""),"")</f>
        <v>0</v>
      </c>
      <c r="R760" s="26">
        <f>IF($Q760="","",IF(COUNTIFS(AgPac,$D760,AgData,"&gt;"&amp;$A760,AgStatus,"&lt;&gt;Cancelado",AgStatus,"&lt;&gt;Remarcado")&gt;0,"Sim","Não"))</f>
        <v>0</v>
      </c>
      <c r="S760" s="28">
        <f>IF($A760="","",IF(AND($F760="Agendado",$A760-Hoje&gt;=0,$A760-Hoje&lt;=DiasConf),"CONFIRMAR",IF(AND($A760&lt;Hoje,OR($F760="Agendado",$F760="Confirmado")),"Atualizar status",IF(AND($F760="Compareceu",$P760&gt;0.005),"Cobrar",IF($F760="Faltou","Falta: reagendar","")))))</f>
        <v>0</v>
      </c>
      <c r="T760" s="29">
        <f>IF($A760="","",DATE(YEAR($A760),MONTH($A760),1))</f>
        <v>0</v>
      </c>
      <c r="U760" s="30">
        <f>IF($S760="CONFIRMAR",MAX($U$4:$U759)+1,"")</f>
        <v>0</v>
      </c>
      <c r="V760" s="30">
        <f>IF(AND($R760="Não",$Q760&lt;&gt;"",$Q760&lt;=Hoje+JanelaRet,$Q760&gt;=Hoje-60),MAX($V$4:$V759)+1,"")</f>
        <v>0</v>
      </c>
    </row>
    <row r="761" spans="1:22">
      <c r="A761" s="16"/>
      <c r="B761" s="23"/>
      <c r="C761" s="15"/>
      <c r="D761" s="15"/>
      <c r="E761" s="15"/>
      <c r="F761" s="24"/>
      <c r="G761" s="17"/>
      <c r="H761" s="17"/>
      <c r="I761" s="15"/>
      <c r="J761" s="25">
        <f>IF($D761="","",IFERROR(INDEX(PacNome,MATCH($D761,PacCod,0)),"Paciente não cadastrado"))</f>
        <v>0</v>
      </c>
      <c r="K761" s="26">
        <f>IF($D761="","",IFERROR(INDEX(PacConv,MATCH($D761,PacCod,0))&amp;"",""))</f>
        <v>0</v>
      </c>
      <c r="L761" s="26">
        <f>IF($A761="","",CHOOSE(WEEKDAY($A761,2),"Seg","Ter","Qua","Qui","Sex","Sáb","Dom"))</f>
        <v>0</v>
      </c>
      <c r="M761" s="27">
        <f>IF($E761="","",IF($G761&lt;&gt;"",$G761,IFERROR(INDEX(ProcValor,MATCH($E761,ProcNome,0)),0)))</f>
        <v>0</v>
      </c>
      <c r="N761" s="27">
        <f>IF($M761="","",IF($F761="Compareceu",$M761,0))</f>
        <v>0</v>
      </c>
      <c r="O761" s="27">
        <f>IF($M761="","",IF($F761="Faltou",$M761,0))</f>
        <v>0</v>
      </c>
      <c r="P761" s="27">
        <f>IF($M761="","",IF($F761="Compareceu",MAX(0,$M761-N($H761)),0))</f>
        <v>0</v>
      </c>
      <c r="Q761" s="19">
        <f>IF(AND($F761="Compareceu",$E761&lt;&gt;"",$A761&lt;&gt;""),IF(IFERROR(INDEX(ProcRet,MATCH($E761,ProcNome,0)),0)&gt;0,$A761+INDEX(ProcRet,MATCH($E761,ProcNome,0)),""),"")</f>
        <v>0</v>
      </c>
      <c r="R761" s="26">
        <f>IF($Q761="","",IF(COUNTIFS(AgPac,$D761,AgData,"&gt;"&amp;$A761,AgStatus,"&lt;&gt;Cancelado",AgStatus,"&lt;&gt;Remarcado")&gt;0,"Sim","Não"))</f>
        <v>0</v>
      </c>
      <c r="S761" s="28">
        <f>IF($A761="","",IF(AND($F761="Agendado",$A761-Hoje&gt;=0,$A761-Hoje&lt;=DiasConf),"CONFIRMAR",IF(AND($A761&lt;Hoje,OR($F761="Agendado",$F761="Confirmado")),"Atualizar status",IF(AND($F761="Compareceu",$P761&gt;0.005),"Cobrar",IF($F761="Faltou","Falta: reagendar","")))))</f>
        <v>0</v>
      </c>
      <c r="T761" s="29">
        <f>IF($A761="","",DATE(YEAR($A761),MONTH($A761),1))</f>
        <v>0</v>
      </c>
      <c r="U761" s="30">
        <f>IF($S761="CONFIRMAR",MAX($U$4:$U760)+1,"")</f>
        <v>0</v>
      </c>
      <c r="V761" s="30">
        <f>IF(AND($R761="Não",$Q761&lt;&gt;"",$Q761&lt;=Hoje+JanelaRet,$Q761&gt;=Hoje-60),MAX($V$4:$V760)+1,"")</f>
        <v>0</v>
      </c>
    </row>
    <row r="762" spans="1:22">
      <c r="A762" s="16"/>
      <c r="B762" s="23"/>
      <c r="C762" s="15"/>
      <c r="D762" s="15"/>
      <c r="E762" s="15"/>
      <c r="F762" s="24"/>
      <c r="G762" s="17"/>
      <c r="H762" s="17"/>
      <c r="I762" s="15"/>
      <c r="J762" s="25">
        <f>IF($D762="","",IFERROR(INDEX(PacNome,MATCH($D762,PacCod,0)),"Paciente não cadastrado"))</f>
        <v>0</v>
      </c>
      <c r="K762" s="26">
        <f>IF($D762="","",IFERROR(INDEX(PacConv,MATCH($D762,PacCod,0))&amp;"",""))</f>
        <v>0</v>
      </c>
      <c r="L762" s="26">
        <f>IF($A762="","",CHOOSE(WEEKDAY($A762,2),"Seg","Ter","Qua","Qui","Sex","Sáb","Dom"))</f>
        <v>0</v>
      </c>
      <c r="M762" s="27">
        <f>IF($E762="","",IF($G762&lt;&gt;"",$G762,IFERROR(INDEX(ProcValor,MATCH($E762,ProcNome,0)),0)))</f>
        <v>0</v>
      </c>
      <c r="N762" s="27">
        <f>IF($M762="","",IF($F762="Compareceu",$M762,0))</f>
        <v>0</v>
      </c>
      <c r="O762" s="27">
        <f>IF($M762="","",IF($F762="Faltou",$M762,0))</f>
        <v>0</v>
      </c>
      <c r="P762" s="27">
        <f>IF($M762="","",IF($F762="Compareceu",MAX(0,$M762-N($H762)),0))</f>
        <v>0</v>
      </c>
      <c r="Q762" s="19">
        <f>IF(AND($F762="Compareceu",$E762&lt;&gt;"",$A762&lt;&gt;""),IF(IFERROR(INDEX(ProcRet,MATCH($E762,ProcNome,0)),0)&gt;0,$A762+INDEX(ProcRet,MATCH($E762,ProcNome,0)),""),"")</f>
        <v>0</v>
      </c>
      <c r="R762" s="26">
        <f>IF($Q762="","",IF(COUNTIFS(AgPac,$D762,AgData,"&gt;"&amp;$A762,AgStatus,"&lt;&gt;Cancelado",AgStatus,"&lt;&gt;Remarcado")&gt;0,"Sim","Não"))</f>
        <v>0</v>
      </c>
      <c r="S762" s="28">
        <f>IF($A762="","",IF(AND($F762="Agendado",$A762-Hoje&gt;=0,$A762-Hoje&lt;=DiasConf),"CONFIRMAR",IF(AND($A762&lt;Hoje,OR($F762="Agendado",$F762="Confirmado")),"Atualizar status",IF(AND($F762="Compareceu",$P762&gt;0.005),"Cobrar",IF($F762="Faltou","Falta: reagendar","")))))</f>
        <v>0</v>
      </c>
      <c r="T762" s="29">
        <f>IF($A762="","",DATE(YEAR($A762),MONTH($A762),1))</f>
        <v>0</v>
      </c>
      <c r="U762" s="30">
        <f>IF($S762="CONFIRMAR",MAX($U$4:$U761)+1,"")</f>
        <v>0</v>
      </c>
      <c r="V762" s="30">
        <f>IF(AND($R762="Não",$Q762&lt;&gt;"",$Q762&lt;=Hoje+JanelaRet,$Q762&gt;=Hoje-60),MAX($V$4:$V761)+1,"")</f>
        <v>0</v>
      </c>
    </row>
    <row r="763" spans="1:22">
      <c r="A763" s="16"/>
      <c r="B763" s="23"/>
      <c r="C763" s="15"/>
      <c r="D763" s="15"/>
      <c r="E763" s="15"/>
      <c r="F763" s="24"/>
      <c r="G763" s="17"/>
      <c r="H763" s="17"/>
      <c r="I763" s="15"/>
      <c r="J763" s="25">
        <f>IF($D763="","",IFERROR(INDEX(PacNome,MATCH($D763,PacCod,0)),"Paciente não cadastrado"))</f>
        <v>0</v>
      </c>
      <c r="K763" s="26">
        <f>IF($D763="","",IFERROR(INDEX(PacConv,MATCH($D763,PacCod,0))&amp;"",""))</f>
        <v>0</v>
      </c>
      <c r="L763" s="26">
        <f>IF($A763="","",CHOOSE(WEEKDAY($A763,2),"Seg","Ter","Qua","Qui","Sex","Sáb","Dom"))</f>
        <v>0</v>
      </c>
      <c r="M763" s="27">
        <f>IF($E763="","",IF($G763&lt;&gt;"",$G763,IFERROR(INDEX(ProcValor,MATCH($E763,ProcNome,0)),0)))</f>
        <v>0</v>
      </c>
      <c r="N763" s="27">
        <f>IF($M763="","",IF($F763="Compareceu",$M763,0))</f>
        <v>0</v>
      </c>
      <c r="O763" s="27">
        <f>IF($M763="","",IF($F763="Faltou",$M763,0))</f>
        <v>0</v>
      </c>
      <c r="P763" s="27">
        <f>IF($M763="","",IF($F763="Compareceu",MAX(0,$M763-N($H763)),0))</f>
        <v>0</v>
      </c>
      <c r="Q763" s="19">
        <f>IF(AND($F763="Compareceu",$E763&lt;&gt;"",$A763&lt;&gt;""),IF(IFERROR(INDEX(ProcRet,MATCH($E763,ProcNome,0)),0)&gt;0,$A763+INDEX(ProcRet,MATCH($E763,ProcNome,0)),""),"")</f>
        <v>0</v>
      </c>
      <c r="R763" s="26">
        <f>IF($Q763="","",IF(COUNTIFS(AgPac,$D763,AgData,"&gt;"&amp;$A763,AgStatus,"&lt;&gt;Cancelado",AgStatus,"&lt;&gt;Remarcado")&gt;0,"Sim","Não"))</f>
        <v>0</v>
      </c>
      <c r="S763" s="28">
        <f>IF($A763="","",IF(AND($F763="Agendado",$A763-Hoje&gt;=0,$A763-Hoje&lt;=DiasConf),"CONFIRMAR",IF(AND($A763&lt;Hoje,OR($F763="Agendado",$F763="Confirmado")),"Atualizar status",IF(AND($F763="Compareceu",$P763&gt;0.005),"Cobrar",IF($F763="Faltou","Falta: reagendar","")))))</f>
        <v>0</v>
      </c>
      <c r="T763" s="29">
        <f>IF($A763="","",DATE(YEAR($A763),MONTH($A763),1))</f>
        <v>0</v>
      </c>
      <c r="U763" s="30">
        <f>IF($S763="CONFIRMAR",MAX($U$4:$U762)+1,"")</f>
        <v>0</v>
      </c>
      <c r="V763" s="30">
        <f>IF(AND($R763="Não",$Q763&lt;&gt;"",$Q763&lt;=Hoje+JanelaRet,$Q763&gt;=Hoje-60),MAX($V$4:$V762)+1,"")</f>
        <v>0</v>
      </c>
    </row>
    <row r="764" spans="1:22">
      <c r="A764" s="16"/>
      <c r="B764" s="23"/>
      <c r="C764" s="15"/>
      <c r="D764" s="15"/>
      <c r="E764" s="15"/>
      <c r="F764" s="24"/>
      <c r="G764" s="17"/>
      <c r="H764" s="17"/>
      <c r="I764" s="15"/>
      <c r="J764" s="25">
        <f>IF($D764="","",IFERROR(INDEX(PacNome,MATCH($D764,PacCod,0)),"Paciente não cadastrado"))</f>
        <v>0</v>
      </c>
      <c r="K764" s="26">
        <f>IF($D764="","",IFERROR(INDEX(PacConv,MATCH($D764,PacCod,0))&amp;"",""))</f>
        <v>0</v>
      </c>
      <c r="L764" s="26">
        <f>IF($A764="","",CHOOSE(WEEKDAY($A764,2),"Seg","Ter","Qua","Qui","Sex","Sáb","Dom"))</f>
        <v>0</v>
      </c>
      <c r="M764" s="27">
        <f>IF($E764="","",IF($G764&lt;&gt;"",$G764,IFERROR(INDEX(ProcValor,MATCH($E764,ProcNome,0)),0)))</f>
        <v>0</v>
      </c>
      <c r="N764" s="27">
        <f>IF($M764="","",IF($F764="Compareceu",$M764,0))</f>
        <v>0</v>
      </c>
      <c r="O764" s="27">
        <f>IF($M764="","",IF($F764="Faltou",$M764,0))</f>
        <v>0</v>
      </c>
      <c r="P764" s="27">
        <f>IF($M764="","",IF($F764="Compareceu",MAX(0,$M764-N($H764)),0))</f>
        <v>0</v>
      </c>
      <c r="Q764" s="19">
        <f>IF(AND($F764="Compareceu",$E764&lt;&gt;"",$A764&lt;&gt;""),IF(IFERROR(INDEX(ProcRet,MATCH($E764,ProcNome,0)),0)&gt;0,$A764+INDEX(ProcRet,MATCH($E764,ProcNome,0)),""),"")</f>
        <v>0</v>
      </c>
      <c r="R764" s="26">
        <f>IF($Q764="","",IF(COUNTIFS(AgPac,$D764,AgData,"&gt;"&amp;$A764,AgStatus,"&lt;&gt;Cancelado",AgStatus,"&lt;&gt;Remarcado")&gt;0,"Sim","Não"))</f>
        <v>0</v>
      </c>
      <c r="S764" s="28">
        <f>IF($A764="","",IF(AND($F764="Agendado",$A764-Hoje&gt;=0,$A764-Hoje&lt;=DiasConf),"CONFIRMAR",IF(AND($A764&lt;Hoje,OR($F764="Agendado",$F764="Confirmado")),"Atualizar status",IF(AND($F764="Compareceu",$P764&gt;0.005),"Cobrar",IF($F764="Faltou","Falta: reagendar","")))))</f>
        <v>0</v>
      </c>
      <c r="T764" s="29">
        <f>IF($A764="","",DATE(YEAR($A764),MONTH($A764),1))</f>
        <v>0</v>
      </c>
      <c r="U764" s="30">
        <f>IF($S764="CONFIRMAR",MAX($U$4:$U763)+1,"")</f>
        <v>0</v>
      </c>
      <c r="V764" s="30">
        <f>IF(AND($R764="Não",$Q764&lt;&gt;"",$Q764&lt;=Hoje+JanelaRet,$Q764&gt;=Hoje-60),MAX($V$4:$V763)+1,"")</f>
        <v>0</v>
      </c>
    </row>
    <row r="765" spans="1:22">
      <c r="A765" s="16"/>
      <c r="B765" s="23"/>
      <c r="C765" s="15"/>
      <c r="D765" s="15"/>
      <c r="E765" s="15"/>
      <c r="F765" s="24"/>
      <c r="G765" s="17"/>
      <c r="H765" s="17"/>
      <c r="I765" s="15"/>
      <c r="J765" s="25">
        <f>IF($D765="","",IFERROR(INDEX(PacNome,MATCH($D765,PacCod,0)),"Paciente não cadastrado"))</f>
        <v>0</v>
      </c>
      <c r="K765" s="26">
        <f>IF($D765="","",IFERROR(INDEX(PacConv,MATCH($D765,PacCod,0))&amp;"",""))</f>
        <v>0</v>
      </c>
      <c r="L765" s="26">
        <f>IF($A765="","",CHOOSE(WEEKDAY($A765,2),"Seg","Ter","Qua","Qui","Sex","Sáb","Dom"))</f>
        <v>0</v>
      </c>
      <c r="M765" s="27">
        <f>IF($E765="","",IF($G765&lt;&gt;"",$G765,IFERROR(INDEX(ProcValor,MATCH($E765,ProcNome,0)),0)))</f>
        <v>0</v>
      </c>
      <c r="N765" s="27">
        <f>IF($M765="","",IF($F765="Compareceu",$M765,0))</f>
        <v>0</v>
      </c>
      <c r="O765" s="27">
        <f>IF($M765="","",IF($F765="Faltou",$M765,0))</f>
        <v>0</v>
      </c>
      <c r="P765" s="27">
        <f>IF($M765="","",IF($F765="Compareceu",MAX(0,$M765-N($H765)),0))</f>
        <v>0</v>
      </c>
      <c r="Q765" s="19">
        <f>IF(AND($F765="Compareceu",$E765&lt;&gt;"",$A765&lt;&gt;""),IF(IFERROR(INDEX(ProcRet,MATCH($E765,ProcNome,0)),0)&gt;0,$A765+INDEX(ProcRet,MATCH($E765,ProcNome,0)),""),"")</f>
        <v>0</v>
      </c>
      <c r="R765" s="26">
        <f>IF($Q765="","",IF(COUNTIFS(AgPac,$D765,AgData,"&gt;"&amp;$A765,AgStatus,"&lt;&gt;Cancelado",AgStatus,"&lt;&gt;Remarcado")&gt;0,"Sim","Não"))</f>
        <v>0</v>
      </c>
      <c r="S765" s="28">
        <f>IF($A765="","",IF(AND($F765="Agendado",$A765-Hoje&gt;=0,$A765-Hoje&lt;=DiasConf),"CONFIRMAR",IF(AND($A765&lt;Hoje,OR($F765="Agendado",$F765="Confirmado")),"Atualizar status",IF(AND($F765="Compareceu",$P765&gt;0.005),"Cobrar",IF($F765="Faltou","Falta: reagendar","")))))</f>
        <v>0</v>
      </c>
      <c r="T765" s="29">
        <f>IF($A765="","",DATE(YEAR($A765),MONTH($A765),1))</f>
        <v>0</v>
      </c>
      <c r="U765" s="30">
        <f>IF($S765="CONFIRMAR",MAX($U$4:$U764)+1,"")</f>
        <v>0</v>
      </c>
      <c r="V765" s="30">
        <f>IF(AND($R765="Não",$Q765&lt;&gt;"",$Q765&lt;=Hoje+JanelaRet,$Q765&gt;=Hoje-60),MAX($V$4:$V764)+1,"")</f>
        <v>0</v>
      </c>
    </row>
    <row r="766" spans="1:22">
      <c r="A766" s="16"/>
      <c r="B766" s="23"/>
      <c r="C766" s="15"/>
      <c r="D766" s="15"/>
      <c r="E766" s="15"/>
      <c r="F766" s="24"/>
      <c r="G766" s="17"/>
      <c r="H766" s="17"/>
      <c r="I766" s="15"/>
      <c r="J766" s="25">
        <f>IF($D766="","",IFERROR(INDEX(PacNome,MATCH($D766,PacCod,0)),"Paciente não cadastrado"))</f>
        <v>0</v>
      </c>
      <c r="K766" s="26">
        <f>IF($D766="","",IFERROR(INDEX(PacConv,MATCH($D766,PacCod,0))&amp;"",""))</f>
        <v>0</v>
      </c>
      <c r="L766" s="26">
        <f>IF($A766="","",CHOOSE(WEEKDAY($A766,2),"Seg","Ter","Qua","Qui","Sex","Sáb","Dom"))</f>
        <v>0</v>
      </c>
      <c r="M766" s="27">
        <f>IF($E766="","",IF($G766&lt;&gt;"",$G766,IFERROR(INDEX(ProcValor,MATCH($E766,ProcNome,0)),0)))</f>
        <v>0</v>
      </c>
      <c r="N766" s="27">
        <f>IF($M766="","",IF($F766="Compareceu",$M766,0))</f>
        <v>0</v>
      </c>
      <c r="O766" s="27">
        <f>IF($M766="","",IF($F766="Faltou",$M766,0))</f>
        <v>0</v>
      </c>
      <c r="P766" s="27">
        <f>IF($M766="","",IF($F766="Compareceu",MAX(0,$M766-N($H766)),0))</f>
        <v>0</v>
      </c>
      <c r="Q766" s="19">
        <f>IF(AND($F766="Compareceu",$E766&lt;&gt;"",$A766&lt;&gt;""),IF(IFERROR(INDEX(ProcRet,MATCH($E766,ProcNome,0)),0)&gt;0,$A766+INDEX(ProcRet,MATCH($E766,ProcNome,0)),""),"")</f>
        <v>0</v>
      </c>
      <c r="R766" s="26">
        <f>IF($Q766="","",IF(COUNTIFS(AgPac,$D766,AgData,"&gt;"&amp;$A766,AgStatus,"&lt;&gt;Cancelado",AgStatus,"&lt;&gt;Remarcado")&gt;0,"Sim","Não"))</f>
        <v>0</v>
      </c>
      <c r="S766" s="28">
        <f>IF($A766="","",IF(AND($F766="Agendado",$A766-Hoje&gt;=0,$A766-Hoje&lt;=DiasConf),"CONFIRMAR",IF(AND($A766&lt;Hoje,OR($F766="Agendado",$F766="Confirmado")),"Atualizar status",IF(AND($F766="Compareceu",$P766&gt;0.005),"Cobrar",IF($F766="Faltou","Falta: reagendar","")))))</f>
        <v>0</v>
      </c>
      <c r="T766" s="29">
        <f>IF($A766="","",DATE(YEAR($A766),MONTH($A766),1))</f>
        <v>0</v>
      </c>
      <c r="U766" s="30">
        <f>IF($S766="CONFIRMAR",MAX($U$4:$U765)+1,"")</f>
        <v>0</v>
      </c>
      <c r="V766" s="30">
        <f>IF(AND($R766="Não",$Q766&lt;&gt;"",$Q766&lt;=Hoje+JanelaRet,$Q766&gt;=Hoje-60),MAX($V$4:$V765)+1,"")</f>
        <v>0</v>
      </c>
    </row>
    <row r="767" spans="1:22">
      <c r="A767" s="16"/>
      <c r="B767" s="23"/>
      <c r="C767" s="15"/>
      <c r="D767" s="15"/>
      <c r="E767" s="15"/>
      <c r="F767" s="24"/>
      <c r="G767" s="17"/>
      <c r="H767" s="17"/>
      <c r="I767" s="15"/>
      <c r="J767" s="25">
        <f>IF($D767="","",IFERROR(INDEX(PacNome,MATCH($D767,PacCod,0)),"Paciente não cadastrado"))</f>
        <v>0</v>
      </c>
      <c r="K767" s="26">
        <f>IF($D767="","",IFERROR(INDEX(PacConv,MATCH($D767,PacCod,0))&amp;"",""))</f>
        <v>0</v>
      </c>
      <c r="L767" s="26">
        <f>IF($A767="","",CHOOSE(WEEKDAY($A767,2),"Seg","Ter","Qua","Qui","Sex","Sáb","Dom"))</f>
        <v>0</v>
      </c>
      <c r="M767" s="27">
        <f>IF($E767="","",IF($G767&lt;&gt;"",$G767,IFERROR(INDEX(ProcValor,MATCH($E767,ProcNome,0)),0)))</f>
        <v>0</v>
      </c>
      <c r="N767" s="27">
        <f>IF($M767="","",IF($F767="Compareceu",$M767,0))</f>
        <v>0</v>
      </c>
      <c r="O767" s="27">
        <f>IF($M767="","",IF($F767="Faltou",$M767,0))</f>
        <v>0</v>
      </c>
      <c r="P767" s="27">
        <f>IF($M767="","",IF($F767="Compareceu",MAX(0,$M767-N($H767)),0))</f>
        <v>0</v>
      </c>
      <c r="Q767" s="19">
        <f>IF(AND($F767="Compareceu",$E767&lt;&gt;"",$A767&lt;&gt;""),IF(IFERROR(INDEX(ProcRet,MATCH($E767,ProcNome,0)),0)&gt;0,$A767+INDEX(ProcRet,MATCH($E767,ProcNome,0)),""),"")</f>
        <v>0</v>
      </c>
      <c r="R767" s="26">
        <f>IF($Q767="","",IF(COUNTIFS(AgPac,$D767,AgData,"&gt;"&amp;$A767,AgStatus,"&lt;&gt;Cancelado",AgStatus,"&lt;&gt;Remarcado")&gt;0,"Sim","Não"))</f>
        <v>0</v>
      </c>
      <c r="S767" s="28">
        <f>IF($A767="","",IF(AND($F767="Agendado",$A767-Hoje&gt;=0,$A767-Hoje&lt;=DiasConf),"CONFIRMAR",IF(AND($A767&lt;Hoje,OR($F767="Agendado",$F767="Confirmado")),"Atualizar status",IF(AND($F767="Compareceu",$P767&gt;0.005),"Cobrar",IF($F767="Faltou","Falta: reagendar","")))))</f>
        <v>0</v>
      </c>
      <c r="T767" s="29">
        <f>IF($A767="","",DATE(YEAR($A767),MONTH($A767),1))</f>
        <v>0</v>
      </c>
      <c r="U767" s="30">
        <f>IF($S767="CONFIRMAR",MAX($U$4:$U766)+1,"")</f>
        <v>0</v>
      </c>
      <c r="V767" s="30">
        <f>IF(AND($R767="Não",$Q767&lt;&gt;"",$Q767&lt;=Hoje+JanelaRet,$Q767&gt;=Hoje-60),MAX($V$4:$V766)+1,"")</f>
        <v>0</v>
      </c>
    </row>
    <row r="768" spans="1:22">
      <c r="A768" s="16"/>
      <c r="B768" s="23"/>
      <c r="C768" s="15"/>
      <c r="D768" s="15"/>
      <c r="E768" s="15"/>
      <c r="F768" s="24"/>
      <c r="G768" s="17"/>
      <c r="H768" s="17"/>
      <c r="I768" s="15"/>
      <c r="J768" s="25">
        <f>IF($D768="","",IFERROR(INDEX(PacNome,MATCH($D768,PacCod,0)),"Paciente não cadastrado"))</f>
        <v>0</v>
      </c>
      <c r="K768" s="26">
        <f>IF($D768="","",IFERROR(INDEX(PacConv,MATCH($D768,PacCod,0))&amp;"",""))</f>
        <v>0</v>
      </c>
      <c r="L768" s="26">
        <f>IF($A768="","",CHOOSE(WEEKDAY($A768,2),"Seg","Ter","Qua","Qui","Sex","Sáb","Dom"))</f>
        <v>0</v>
      </c>
      <c r="M768" s="27">
        <f>IF($E768="","",IF($G768&lt;&gt;"",$G768,IFERROR(INDEX(ProcValor,MATCH($E768,ProcNome,0)),0)))</f>
        <v>0</v>
      </c>
      <c r="N768" s="27">
        <f>IF($M768="","",IF($F768="Compareceu",$M768,0))</f>
        <v>0</v>
      </c>
      <c r="O768" s="27">
        <f>IF($M768="","",IF($F768="Faltou",$M768,0))</f>
        <v>0</v>
      </c>
      <c r="P768" s="27">
        <f>IF($M768="","",IF($F768="Compareceu",MAX(0,$M768-N($H768)),0))</f>
        <v>0</v>
      </c>
      <c r="Q768" s="19">
        <f>IF(AND($F768="Compareceu",$E768&lt;&gt;"",$A768&lt;&gt;""),IF(IFERROR(INDEX(ProcRet,MATCH($E768,ProcNome,0)),0)&gt;0,$A768+INDEX(ProcRet,MATCH($E768,ProcNome,0)),""),"")</f>
        <v>0</v>
      </c>
      <c r="R768" s="26">
        <f>IF($Q768="","",IF(COUNTIFS(AgPac,$D768,AgData,"&gt;"&amp;$A768,AgStatus,"&lt;&gt;Cancelado",AgStatus,"&lt;&gt;Remarcado")&gt;0,"Sim","Não"))</f>
        <v>0</v>
      </c>
      <c r="S768" s="28">
        <f>IF($A768="","",IF(AND($F768="Agendado",$A768-Hoje&gt;=0,$A768-Hoje&lt;=DiasConf),"CONFIRMAR",IF(AND($A768&lt;Hoje,OR($F768="Agendado",$F768="Confirmado")),"Atualizar status",IF(AND($F768="Compareceu",$P768&gt;0.005),"Cobrar",IF($F768="Faltou","Falta: reagendar","")))))</f>
        <v>0</v>
      </c>
      <c r="T768" s="29">
        <f>IF($A768="","",DATE(YEAR($A768),MONTH($A768),1))</f>
        <v>0</v>
      </c>
      <c r="U768" s="30">
        <f>IF($S768="CONFIRMAR",MAX($U$4:$U767)+1,"")</f>
        <v>0</v>
      </c>
      <c r="V768" s="30">
        <f>IF(AND($R768="Não",$Q768&lt;&gt;"",$Q768&lt;=Hoje+JanelaRet,$Q768&gt;=Hoje-60),MAX($V$4:$V767)+1,"")</f>
        <v>0</v>
      </c>
    </row>
    <row r="769" spans="1:22">
      <c r="A769" s="16"/>
      <c r="B769" s="23"/>
      <c r="C769" s="15"/>
      <c r="D769" s="15"/>
      <c r="E769" s="15"/>
      <c r="F769" s="24"/>
      <c r="G769" s="17"/>
      <c r="H769" s="17"/>
      <c r="I769" s="15"/>
      <c r="J769" s="25">
        <f>IF($D769="","",IFERROR(INDEX(PacNome,MATCH($D769,PacCod,0)),"Paciente não cadastrado"))</f>
        <v>0</v>
      </c>
      <c r="K769" s="26">
        <f>IF($D769="","",IFERROR(INDEX(PacConv,MATCH($D769,PacCod,0))&amp;"",""))</f>
        <v>0</v>
      </c>
      <c r="L769" s="26">
        <f>IF($A769="","",CHOOSE(WEEKDAY($A769,2),"Seg","Ter","Qua","Qui","Sex","Sáb","Dom"))</f>
        <v>0</v>
      </c>
      <c r="M769" s="27">
        <f>IF($E769="","",IF($G769&lt;&gt;"",$G769,IFERROR(INDEX(ProcValor,MATCH($E769,ProcNome,0)),0)))</f>
        <v>0</v>
      </c>
      <c r="N769" s="27">
        <f>IF($M769="","",IF($F769="Compareceu",$M769,0))</f>
        <v>0</v>
      </c>
      <c r="O769" s="27">
        <f>IF($M769="","",IF($F769="Faltou",$M769,0))</f>
        <v>0</v>
      </c>
      <c r="P769" s="27">
        <f>IF($M769="","",IF($F769="Compareceu",MAX(0,$M769-N($H769)),0))</f>
        <v>0</v>
      </c>
      <c r="Q769" s="19">
        <f>IF(AND($F769="Compareceu",$E769&lt;&gt;"",$A769&lt;&gt;""),IF(IFERROR(INDEX(ProcRet,MATCH($E769,ProcNome,0)),0)&gt;0,$A769+INDEX(ProcRet,MATCH($E769,ProcNome,0)),""),"")</f>
        <v>0</v>
      </c>
      <c r="R769" s="26">
        <f>IF($Q769="","",IF(COUNTIFS(AgPac,$D769,AgData,"&gt;"&amp;$A769,AgStatus,"&lt;&gt;Cancelado",AgStatus,"&lt;&gt;Remarcado")&gt;0,"Sim","Não"))</f>
        <v>0</v>
      </c>
      <c r="S769" s="28">
        <f>IF($A769="","",IF(AND($F769="Agendado",$A769-Hoje&gt;=0,$A769-Hoje&lt;=DiasConf),"CONFIRMAR",IF(AND($A769&lt;Hoje,OR($F769="Agendado",$F769="Confirmado")),"Atualizar status",IF(AND($F769="Compareceu",$P769&gt;0.005),"Cobrar",IF($F769="Faltou","Falta: reagendar","")))))</f>
        <v>0</v>
      </c>
      <c r="T769" s="29">
        <f>IF($A769="","",DATE(YEAR($A769),MONTH($A769),1))</f>
        <v>0</v>
      </c>
      <c r="U769" s="30">
        <f>IF($S769="CONFIRMAR",MAX($U$4:$U768)+1,"")</f>
        <v>0</v>
      </c>
      <c r="V769" s="30">
        <f>IF(AND($R769="Não",$Q769&lt;&gt;"",$Q769&lt;=Hoje+JanelaRet,$Q769&gt;=Hoje-60),MAX($V$4:$V768)+1,"")</f>
        <v>0</v>
      </c>
    </row>
    <row r="770" spans="1:22">
      <c r="A770" s="16"/>
      <c r="B770" s="23"/>
      <c r="C770" s="15"/>
      <c r="D770" s="15"/>
      <c r="E770" s="15"/>
      <c r="F770" s="24"/>
      <c r="G770" s="17"/>
      <c r="H770" s="17"/>
      <c r="I770" s="15"/>
      <c r="J770" s="25">
        <f>IF($D770="","",IFERROR(INDEX(PacNome,MATCH($D770,PacCod,0)),"Paciente não cadastrado"))</f>
        <v>0</v>
      </c>
      <c r="K770" s="26">
        <f>IF($D770="","",IFERROR(INDEX(PacConv,MATCH($D770,PacCod,0))&amp;"",""))</f>
        <v>0</v>
      </c>
      <c r="L770" s="26">
        <f>IF($A770="","",CHOOSE(WEEKDAY($A770,2),"Seg","Ter","Qua","Qui","Sex","Sáb","Dom"))</f>
        <v>0</v>
      </c>
      <c r="M770" s="27">
        <f>IF($E770="","",IF($G770&lt;&gt;"",$G770,IFERROR(INDEX(ProcValor,MATCH($E770,ProcNome,0)),0)))</f>
        <v>0</v>
      </c>
      <c r="N770" s="27">
        <f>IF($M770="","",IF($F770="Compareceu",$M770,0))</f>
        <v>0</v>
      </c>
      <c r="O770" s="27">
        <f>IF($M770="","",IF($F770="Faltou",$M770,0))</f>
        <v>0</v>
      </c>
      <c r="P770" s="27">
        <f>IF($M770="","",IF($F770="Compareceu",MAX(0,$M770-N($H770)),0))</f>
        <v>0</v>
      </c>
      <c r="Q770" s="19">
        <f>IF(AND($F770="Compareceu",$E770&lt;&gt;"",$A770&lt;&gt;""),IF(IFERROR(INDEX(ProcRet,MATCH($E770,ProcNome,0)),0)&gt;0,$A770+INDEX(ProcRet,MATCH($E770,ProcNome,0)),""),"")</f>
        <v>0</v>
      </c>
      <c r="R770" s="26">
        <f>IF($Q770="","",IF(COUNTIFS(AgPac,$D770,AgData,"&gt;"&amp;$A770,AgStatus,"&lt;&gt;Cancelado",AgStatus,"&lt;&gt;Remarcado")&gt;0,"Sim","Não"))</f>
        <v>0</v>
      </c>
      <c r="S770" s="28">
        <f>IF($A770="","",IF(AND($F770="Agendado",$A770-Hoje&gt;=0,$A770-Hoje&lt;=DiasConf),"CONFIRMAR",IF(AND($A770&lt;Hoje,OR($F770="Agendado",$F770="Confirmado")),"Atualizar status",IF(AND($F770="Compareceu",$P770&gt;0.005),"Cobrar",IF($F770="Faltou","Falta: reagendar","")))))</f>
        <v>0</v>
      </c>
      <c r="T770" s="29">
        <f>IF($A770="","",DATE(YEAR($A770),MONTH($A770),1))</f>
        <v>0</v>
      </c>
      <c r="U770" s="30">
        <f>IF($S770="CONFIRMAR",MAX($U$4:$U769)+1,"")</f>
        <v>0</v>
      </c>
      <c r="V770" s="30">
        <f>IF(AND($R770="Não",$Q770&lt;&gt;"",$Q770&lt;=Hoje+JanelaRet,$Q770&gt;=Hoje-60),MAX($V$4:$V769)+1,"")</f>
        <v>0</v>
      </c>
    </row>
    <row r="771" spans="1:22">
      <c r="A771" s="16"/>
      <c r="B771" s="23"/>
      <c r="C771" s="15"/>
      <c r="D771" s="15"/>
      <c r="E771" s="15"/>
      <c r="F771" s="24"/>
      <c r="G771" s="17"/>
      <c r="H771" s="17"/>
      <c r="I771" s="15"/>
      <c r="J771" s="25">
        <f>IF($D771="","",IFERROR(INDEX(PacNome,MATCH($D771,PacCod,0)),"Paciente não cadastrado"))</f>
        <v>0</v>
      </c>
      <c r="K771" s="26">
        <f>IF($D771="","",IFERROR(INDEX(PacConv,MATCH($D771,PacCod,0))&amp;"",""))</f>
        <v>0</v>
      </c>
      <c r="L771" s="26">
        <f>IF($A771="","",CHOOSE(WEEKDAY($A771,2),"Seg","Ter","Qua","Qui","Sex","Sáb","Dom"))</f>
        <v>0</v>
      </c>
      <c r="M771" s="27">
        <f>IF($E771="","",IF($G771&lt;&gt;"",$G771,IFERROR(INDEX(ProcValor,MATCH($E771,ProcNome,0)),0)))</f>
        <v>0</v>
      </c>
      <c r="N771" s="27">
        <f>IF($M771="","",IF($F771="Compareceu",$M771,0))</f>
        <v>0</v>
      </c>
      <c r="O771" s="27">
        <f>IF($M771="","",IF($F771="Faltou",$M771,0))</f>
        <v>0</v>
      </c>
      <c r="P771" s="27">
        <f>IF($M771="","",IF($F771="Compareceu",MAX(0,$M771-N($H771)),0))</f>
        <v>0</v>
      </c>
      <c r="Q771" s="19">
        <f>IF(AND($F771="Compareceu",$E771&lt;&gt;"",$A771&lt;&gt;""),IF(IFERROR(INDEX(ProcRet,MATCH($E771,ProcNome,0)),0)&gt;0,$A771+INDEX(ProcRet,MATCH($E771,ProcNome,0)),""),"")</f>
        <v>0</v>
      </c>
      <c r="R771" s="26">
        <f>IF($Q771="","",IF(COUNTIFS(AgPac,$D771,AgData,"&gt;"&amp;$A771,AgStatus,"&lt;&gt;Cancelado",AgStatus,"&lt;&gt;Remarcado")&gt;0,"Sim","Não"))</f>
        <v>0</v>
      </c>
      <c r="S771" s="28">
        <f>IF($A771="","",IF(AND($F771="Agendado",$A771-Hoje&gt;=0,$A771-Hoje&lt;=DiasConf),"CONFIRMAR",IF(AND($A771&lt;Hoje,OR($F771="Agendado",$F771="Confirmado")),"Atualizar status",IF(AND($F771="Compareceu",$P771&gt;0.005),"Cobrar",IF($F771="Faltou","Falta: reagendar","")))))</f>
        <v>0</v>
      </c>
      <c r="T771" s="29">
        <f>IF($A771="","",DATE(YEAR($A771),MONTH($A771),1))</f>
        <v>0</v>
      </c>
      <c r="U771" s="30">
        <f>IF($S771="CONFIRMAR",MAX($U$4:$U770)+1,"")</f>
        <v>0</v>
      </c>
      <c r="V771" s="30">
        <f>IF(AND($R771="Não",$Q771&lt;&gt;"",$Q771&lt;=Hoje+JanelaRet,$Q771&gt;=Hoje-60),MAX($V$4:$V770)+1,"")</f>
        <v>0</v>
      </c>
    </row>
    <row r="772" spans="1:22">
      <c r="A772" s="16"/>
      <c r="B772" s="23"/>
      <c r="C772" s="15"/>
      <c r="D772" s="15"/>
      <c r="E772" s="15"/>
      <c r="F772" s="24"/>
      <c r="G772" s="17"/>
      <c r="H772" s="17"/>
      <c r="I772" s="15"/>
      <c r="J772" s="25">
        <f>IF($D772="","",IFERROR(INDEX(PacNome,MATCH($D772,PacCod,0)),"Paciente não cadastrado"))</f>
        <v>0</v>
      </c>
      <c r="K772" s="26">
        <f>IF($D772="","",IFERROR(INDEX(PacConv,MATCH($D772,PacCod,0))&amp;"",""))</f>
        <v>0</v>
      </c>
      <c r="L772" s="26">
        <f>IF($A772="","",CHOOSE(WEEKDAY($A772,2),"Seg","Ter","Qua","Qui","Sex","Sáb","Dom"))</f>
        <v>0</v>
      </c>
      <c r="M772" s="27">
        <f>IF($E772="","",IF($G772&lt;&gt;"",$G772,IFERROR(INDEX(ProcValor,MATCH($E772,ProcNome,0)),0)))</f>
        <v>0</v>
      </c>
      <c r="N772" s="27">
        <f>IF($M772="","",IF($F772="Compareceu",$M772,0))</f>
        <v>0</v>
      </c>
      <c r="O772" s="27">
        <f>IF($M772="","",IF($F772="Faltou",$M772,0))</f>
        <v>0</v>
      </c>
      <c r="P772" s="27">
        <f>IF($M772="","",IF($F772="Compareceu",MAX(0,$M772-N($H772)),0))</f>
        <v>0</v>
      </c>
      <c r="Q772" s="19">
        <f>IF(AND($F772="Compareceu",$E772&lt;&gt;"",$A772&lt;&gt;""),IF(IFERROR(INDEX(ProcRet,MATCH($E772,ProcNome,0)),0)&gt;0,$A772+INDEX(ProcRet,MATCH($E772,ProcNome,0)),""),"")</f>
        <v>0</v>
      </c>
      <c r="R772" s="26">
        <f>IF($Q772="","",IF(COUNTIFS(AgPac,$D772,AgData,"&gt;"&amp;$A772,AgStatus,"&lt;&gt;Cancelado",AgStatus,"&lt;&gt;Remarcado")&gt;0,"Sim","Não"))</f>
        <v>0</v>
      </c>
      <c r="S772" s="28">
        <f>IF($A772="","",IF(AND($F772="Agendado",$A772-Hoje&gt;=0,$A772-Hoje&lt;=DiasConf),"CONFIRMAR",IF(AND($A772&lt;Hoje,OR($F772="Agendado",$F772="Confirmado")),"Atualizar status",IF(AND($F772="Compareceu",$P772&gt;0.005),"Cobrar",IF($F772="Faltou","Falta: reagendar","")))))</f>
        <v>0</v>
      </c>
      <c r="T772" s="29">
        <f>IF($A772="","",DATE(YEAR($A772),MONTH($A772),1))</f>
        <v>0</v>
      </c>
      <c r="U772" s="30">
        <f>IF($S772="CONFIRMAR",MAX($U$4:$U771)+1,"")</f>
        <v>0</v>
      </c>
      <c r="V772" s="30">
        <f>IF(AND($R772="Não",$Q772&lt;&gt;"",$Q772&lt;=Hoje+JanelaRet,$Q772&gt;=Hoje-60),MAX($V$4:$V771)+1,"")</f>
        <v>0</v>
      </c>
    </row>
    <row r="773" spans="1:22">
      <c r="A773" s="16"/>
      <c r="B773" s="23"/>
      <c r="C773" s="15"/>
      <c r="D773" s="15"/>
      <c r="E773" s="15"/>
      <c r="F773" s="24"/>
      <c r="G773" s="17"/>
      <c r="H773" s="17"/>
      <c r="I773" s="15"/>
      <c r="J773" s="25">
        <f>IF($D773="","",IFERROR(INDEX(PacNome,MATCH($D773,PacCod,0)),"Paciente não cadastrado"))</f>
        <v>0</v>
      </c>
      <c r="K773" s="26">
        <f>IF($D773="","",IFERROR(INDEX(PacConv,MATCH($D773,PacCod,0))&amp;"",""))</f>
        <v>0</v>
      </c>
      <c r="L773" s="26">
        <f>IF($A773="","",CHOOSE(WEEKDAY($A773,2),"Seg","Ter","Qua","Qui","Sex","Sáb","Dom"))</f>
        <v>0</v>
      </c>
      <c r="M773" s="27">
        <f>IF($E773="","",IF($G773&lt;&gt;"",$G773,IFERROR(INDEX(ProcValor,MATCH($E773,ProcNome,0)),0)))</f>
        <v>0</v>
      </c>
      <c r="N773" s="27">
        <f>IF($M773="","",IF($F773="Compareceu",$M773,0))</f>
        <v>0</v>
      </c>
      <c r="O773" s="27">
        <f>IF($M773="","",IF($F773="Faltou",$M773,0))</f>
        <v>0</v>
      </c>
      <c r="P773" s="27">
        <f>IF($M773="","",IF($F773="Compareceu",MAX(0,$M773-N($H773)),0))</f>
        <v>0</v>
      </c>
      <c r="Q773" s="19">
        <f>IF(AND($F773="Compareceu",$E773&lt;&gt;"",$A773&lt;&gt;""),IF(IFERROR(INDEX(ProcRet,MATCH($E773,ProcNome,0)),0)&gt;0,$A773+INDEX(ProcRet,MATCH($E773,ProcNome,0)),""),"")</f>
        <v>0</v>
      </c>
      <c r="R773" s="26">
        <f>IF($Q773="","",IF(COUNTIFS(AgPac,$D773,AgData,"&gt;"&amp;$A773,AgStatus,"&lt;&gt;Cancelado",AgStatus,"&lt;&gt;Remarcado")&gt;0,"Sim","Não"))</f>
        <v>0</v>
      </c>
      <c r="S773" s="28">
        <f>IF($A773="","",IF(AND($F773="Agendado",$A773-Hoje&gt;=0,$A773-Hoje&lt;=DiasConf),"CONFIRMAR",IF(AND($A773&lt;Hoje,OR($F773="Agendado",$F773="Confirmado")),"Atualizar status",IF(AND($F773="Compareceu",$P773&gt;0.005),"Cobrar",IF($F773="Faltou","Falta: reagendar","")))))</f>
        <v>0</v>
      </c>
      <c r="T773" s="29">
        <f>IF($A773="","",DATE(YEAR($A773),MONTH($A773),1))</f>
        <v>0</v>
      </c>
      <c r="U773" s="30">
        <f>IF($S773="CONFIRMAR",MAX($U$4:$U772)+1,"")</f>
        <v>0</v>
      </c>
      <c r="V773" s="30">
        <f>IF(AND($R773="Não",$Q773&lt;&gt;"",$Q773&lt;=Hoje+JanelaRet,$Q773&gt;=Hoje-60),MAX($V$4:$V772)+1,"")</f>
        <v>0</v>
      </c>
    </row>
    <row r="774" spans="1:22">
      <c r="A774" s="16"/>
      <c r="B774" s="23"/>
      <c r="C774" s="15"/>
      <c r="D774" s="15"/>
      <c r="E774" s="15"/>
      <c r="F774" s="24"/>
      <c r="G774" s="17"/>
      <c r="H774" s="17"/>
      <c r="I774" s="15"/>
      <c r="J774" s="25">
        <f>IF($D774="","",IFERROR(INDEX(PacNome,MATCH($D774,PacCod,0)),"Paciente não cadastrado"))</f>
        <v>0</v>
      </c>
      <c r="K774" s="26">
        <f>IF($D774="","",IFERROR(INDEX(PacConv,MATCH($D774,PacCod,0))&amp;"",""))</f>
        <v>0</v>
      </c>
      <c r="L774" s="26">
        <f>IF($A774="","",CHOOSE(WEEKDAY($A774,2),"Seg","Ter","Qua","Qui","Sex","Sáb","Dom"))</f>
        <v>0</v>
      </c>
      <c r="M774" s="27">
        <f>IF($E774="","",IF($G774&lt;&gt;"",$G774,IFERROR(INDEX(ProcValor,MATCH($E774,ProcNome,0)),0)))</f>
        <v>0</v>
      </c>
      <c r="N774" s="27">
        <f>IF($M774="","",IF($F774="Compareceu",$M774,0))</f>
        <v>0</v>
      </c>
      <c r="O774" s="27">
        <f>IF($M774="","",IF($F774="Faltou",$M774,0))</f>
        <v>0</v>
      </c>
      <c r="P774" s="27">
        <f>IF($M774="","",IF($F774="Compareceu",MAX(0,$M774-N($H774)),0))</f>
        <v>0</v>
      </c>
      <c r="Q774" s="19">
        <f>IF(AND($F774="Compareceu",$E774&lt;&gt;"",$A774&lt;&gt;""),IF(IFERROR(INDEX(ProcRet,MATCH($E774,ProcNome,0)),0)&gt;0,$A774+INDEX(ProcRet,MATCH($E774,ProcNome,0)),""),"")</f>
        <v>0</v>
      </c>
      <c r="R774" s="26">
        <f>IF($Q774="","",IF(COUNTIFS(AgPac,$D774,AgData,"&gt;"&amp;$A774,AgStatus,"&lt;&gt;Cancelado",AgStatus,"&lt;&gt;Remarcado")&gt;0,"Sim","Não"))</f>
        <v>0</v>
      </c>
      <c r="S774" s="28">
        <f>IF($A774="","",IF(AND($F774="Agendado",$A774-Hoje&gt;=0,$A774-Hoje&lt;=DiasConf),"CONFIRMAR",IF(AND($A774&lt;Hoje,OR($F774="Agendado",$F774="Confirmado")),"Atualizar status",IF(AND($F774="Compareceu",$P774&gt;0.005),"Cobrar",IF($F774="Faltou","Falta: reagendar","")))))</f>
        <v>0</v>
      </c>
      <c r="T774" s="29">
        <f>IF($A774="","",DATE(YEAR($A774),MONTH($A774),1))</f>
        <v>0</v>
      </c>
      <c r="U774" s="30">
        <f>IF($S774="CONFIRMAR",MAX($U$4:$U773)+1,"")</f>
        <v>0</v>
      </c>
      <c r="V774" s="30">
        <f>IF(AND($R774="Não",$Q774&lt;&gt;"",$Q774&lt;=Hoje+JanelaRet,$Q774&gt;=Hoje-60),MAX($V$4:$V773)+1,"")</f>
        <v>0</v>
      </c>
    </row>
    <row r="775" spans="1:22">
      <c r="A775" s="16"/>
      <c r="B775" s="23"/>
      <c r="C775" s="15"/>
      <c r="D775" s="15"/>
      <c r="E775" s="15"/>
      <c r="F775" s="24"/>
      <c r="G775" s="17"/>
      <c r="H775" s="17"/>
      <c r="I775" s="15"/>
      <c r="J775" s="25">
        <f>IF($D775="","",IFERROR(INDEX(PacNome,MATCH($D775,PacCod,0)),"Paciente não cadastrado"))</f>
        <v>0</v>
      </c>
      <c r="K775" s="26">
        <f>IF($D775="","",IFERROR(INDEX(PacConv,MATCH($D775,PacCod,0))&amp;"",""))</f>
        <v>0</v>
      </c>
      <c r="L775" s="26">
        <f>IF($A775="","",CHOOSE(WEEKDAY($A775,2),"Seg","Ter","Qua","Qui","Sex","Sáb","Dom"))</f>
        <v>0</v>
      </c>
      <c r="M775" s="27">
        <f>IF($E775="","",IF($G775&lt;&gt;"",$G775,IFERROR(INDEX(ProcValor,MATCH($E775,ProcNome,0)),0)))</f>
        <v>0</v>
      </c>
      <c r="N775" s="27">
        <f>IF($M775="","",IF($F775="Compareceu",$M775,0))</f>
        <v>0</v>
      </c>
      <c r="O775" s="27">
        <f>IF($M775="","",IF($F775="Faltou",$M775,0))</f>
        <v>0</v>
      </c>
      <c r="P775" s="27">
        <f>IF($M775="","",IF($F775="Compareceu",MAX(0,$M775-N($H775)),0))</f>
        <v>0</v>
      </c>
      <c r="Q775" s="19">
        <f>IF(AND($F775="Compareceu",$E775&lt;&gt;"",$A775&lt;&gt;""),IF(IFERROR(INDEX(ProcRet,MATCH($E775,ProcNome,0)),0)&gt;0,$A775+INDEX(ProcRet,MATCH($E775,ProcNome,0)),""),"")</f>
        <v>0</v>
      </c>
      <c r="R775" s="26">
        <f>IF($Q775="","",IF(COUNTIFS(AgPac,$D775,AgData,"&gt;"&amp;$A775,AgStatus,"&lt;&gt;Cancelado",AgStatus,"&lt;&gt;Remarcado")&gt;0,"Sim","Não"))</f>
        <v>0</v>
      </c>
      <c r="S775" s="28">
        <f>IF($A775="","",IF(AND($F775="Agendado",$A775-Hoje&gt;=0,$A775-Hoje&lt;=DiasConf),"CONFIRMAR",IF(AND($A775&lt;Hoje,OR($F775="Agendado",$F775="Confirmado")),"Atualizar status",IF(AND($F775="Compareceu",$P775&gt;0.005),"Cobrar",IF($F775="Faltou","Falta: reagendar","")))))</f>
        <v>0</v>
      </c>
      <c r="T775" s="29">
        <f>IF($A775="","",DATE(YEAR($A775),MONTH($A775),1))</f>
        <v>0</v>
      </c>
      <c r="U775" s="30">
        <f>IF($S775="CONFIRMAR",MAX($U$4:$U774)+1,"")</f>
        <v>0</v>
      </c>
      <c r="V775" s="30">
        <f>IF(AND($R775="Não",$Q775&lt;&gt;"",$Q775&lt;=Hoje+JanelaRet,$Q775&gt;=Hoje-60),MAX($V$4:$V774)+1,"")</f>
        <v>0</v>
      </c>
    </row>
    <row r="776" spans="1:22">
      <c r="A776" s="16"/>
      <c r="B776" s="23"/>
      <c r="C776" s="15"/>
      <c r="D776" s="15"/>
      <c r="E776" s="15"/>
      <c r="F776" s="24"/>
      <c r="G776" s="17"/>
      <c r="H776" s="17"/>
      <c r="I776" s="15"/>
      <c r="J776" s="25">
        <f>IF($D776="","",IFERROR(INDEX(PacNome,MATCH($D776,PacCod,0)),"Paciente não cadastrado"))</f>
        <v>0</v>
      </c>
      <c r="K776" s="26">
        <f>IF($D776="","",IFERROR(INDEX(PacConv,MATCH($D776,PacCod,0))&amp;"",""))</f>
        <v>0</v>
      </c>
      <c r="L776" s="26">
        <f>IF($A776="","",CHOOSE(WEEKDAY($A776,2),"Seg","Ter","Qua","Qui","Sex","Sáb","Dom"))</f>
        <v>0</v>
      </c>
      <c r="M776" s="27">
        <f>IF($E776="","",IF($G776&lt;&gt;"",$G776,IFERROR(INDEX(ProcValor,MATCH($E776,ProcNome,0)),0)))</f>
        <v>0</v>
      </c>
      <c r="N776" s="27">
        <f>IF($M776="","",IF($F776="Compareceu",$M776,0))</f>
        <v>0</v>
      </c>
      <c r="O776" s="27">
        <f>IF($M776="","",IF($F776="Faltou",$M776,0))</f>
        <v>0</v>
      </c>
      <c r="P776" s="27">
        <f>IF($M776="","",IF($F776="Compareceu",MAX(0,$M776-N($H776)),0))</f>
        <v>0</v>
      </c>
      <c r="Q776" s="19">
        <f>IF(AND($F776="Compareceu",$E776&lt;&gt;"",$A776&lt;&gt;""),IF(IFERROR(INDEX(ProcRet,MATCH($E776,ProcNome,0)),0)&gt;0,$A776+INDEX(ProcRet,MATCH($E776,ProcNome,0)),""),"")</f>
        <v>0</v>
      </c>
      <c r="R776" s="26">
        <f>IF($Q776="","",IF(COUNTIFS(AgPac,$D776,AgData,"&gt;"&amp;$A776,AgStatus,"&lt;&gt;Cancelado",AgStatus,"&lt;&gt;Remarcado")&gt;0,"Sim","Não"))</f>
        <v>0</v>
      </c>
      <c r="S776" s="28">
        <f>IF($A776="","",IF(AND($F776="Agendado",$A776-Hoje&gt;=0,$A776-Hoje&lt;=DiasConf),"CONFIRMAR",IF(AND($A776&lt;Hoje,OR($F776="Agendado",$F776="Confirmado")),"Atualizar status",IF(AND($F776="Compareceu",$P776&gt;0.005),"Cobrar",IF($F776="Faltou","Falta: reagendar","")))))</f>
        <v>0</v>
      </c>
      <c r="T776" s="29">
        <f>IF($A776="","",DATE(YEAR($A776),MONTH($A776),1))</f>
        <v>0</v>
      </c>
      <c r="U776" s="30">
        <f>IF($S776="CONFIRMAR",MAX($U$4:$U775)+1,"")</f>
        <v>0</v>
      </c>
      <c r="V776" s="30">
        <f>IF(AND($R776="Não",$Q776&lt;&gt;"",$Q776&lt;=Hoje+JanelaRet,$Q776&gt;=Hoje-60),MAX($V$4:$V775)+1,"")</f>
        <v>0</v>
      </c>
    </row>
    <row r="777" spans="1:22">
      <c r="A777" s="16"/>
      <c r="B777" s="23"/>
      <c r="C777" s="15"/>
      <c r="D777" s="15"/>
      <c r="E777" s="15"/>
      <c r="F777" s="24"/>
      <c r="G777" s="17"/>
      <c r="H777" s="17"/>
      <c r="I777" s="15"/>
      <c r="J777" s="25">
        <f>IF($D777="","",IFERROR(INDEX(PacNome,MATCH($D777,PacCod,0)),"Paciente não cadastrado"))</f>
        <v>0</v>
      </c>
      <c r="K777" s="26">
        <f>IF($D777="","",IFERROR(INDEX(PacConv,MATCH($D777,PacCod,0))&amp;"",""))</f>
        <v>0</v>
      </c>
      <c r="L777" s="26">
        <f>IF($A777="","",CHOOSE(WEEKDAY($A777,2),"Seg","Ter","Qua","Qui","Sex","Sáb","Dom"))</f>
        <v>0</v>
      </c>
      <c r="M777" s="27">
        <f>IF($E777="","",IF($G777&lt;&gt;"",$G777,IFERROR(INDEX(ProcValor,MATCH($E777,ProcNome,0)),0)))</f>
        <v>0</v>
      </c>
      <c r="N777" s="27">
        <f>IF($M777="","",IF($F777="Compareceu",$M777,0))</f>
        <v>0</v>
      </c>
      <c r="O777" s="27">
        <f>IF($M777="","",IF($F777="Faltou",$M777,0))</f>
        <v>0</v>
      </c>
      <c r="P777" s="27">
        <f>IF($M777="","",IF($F777="Compareceu",MAX(0,$M777-N($H777)),0))</f>
        <v>0</v>
      </c>
      <c r="Q777" s="19">
        <f>IF(AND($F777="Compareceu",$E777&lt;&gt;"",$A777&lt;&gt;""),IF(IFERROR(INDEX(ProcRet,MATCH($E777,ProcNome,0)),0)&gt;0,$A777+INDEX(ProcRet,MATCH($E777,ProcNome,0)),""),"")</f>
        <v>0</v>
      </c>
      <c r="R777" s="26">
        <f>IF($Q777="","",IF(COUNTIFS(AgPac,$D777,AgData,"&gt;"&amp;$A777,AgStatus,"&lt;&gt;Cancelado",AgStatus,"&lt;&gt;Remarcado")&gt;0,"Sim","Não"))</f>
        <v>0</v>
      </c>
      <c r="S777" s="28">
        <f>IF($A777="","",IF(AND($F777="Agendado",$A777-Hoje&gt;=0,$A777-Hoje&lt;=DiasConf),"CONFIRMAR",IF(AND($A777&lt;Hoje,OR($F777="Agendado",$F777="Confirmado")),"Atualizar status",IF(AND($F777="Compareceu",$P777&gt;0.005),"Cobrar",IF($F777="Faltou","Falta: reagendar","")))))</f>
        <v>0</v>
      </c>
      <c r="T777" s="29">
        <f>IF($A777="","",DATE(YEAR($A777),MONTH($A777),1))</f>
        <v>0</v>
      </c>
      <c r="U777" s="30">
        <f>IF($S777="CONFIRMAR",MAX($U$4:$U776)+1,"")</f>
        <v>0</v>
      </c>
      <c r="V777" s="30">
        <f>IF(AND($R777="Não",$Q777&lt;&gt;"",$Q777&lt;=Hoje+JanelaRet,$Q777&gt;=Hoje-60),MAX($V$4:$V776)+1,"")</f>
        <v>0</v>
      </c>
    </row>
    <row r="778" spans="1:22">
      <c r="A778" s="16"/>
      <c r="B778" s="23"/>
      <c r="C778" s="15"/>
      <c r="D778" s="15"/>
      <c r="E778" s="15"/>
      <c r="F778" s="24"/>
      <c r="G778" s="17"/>
      <c r="H778" s="17"/>
      <c r="I778" s="15"/>
      <c r="J778" s="25">
        <f>IF($D778="","",IFERROR(INDEX(PacNome,MATCH($D778,PacCod,0)),"Paciente não cadastrado"))</f>
        <v>0</v>
      </c>
      <c r="K778" s="26">
        <f>IF($D778="","",IFERROR(INDEX(PacConv,MATCH($D778,PacCod,0))&amp;"",""))</f>
        <v>0</v>
      </c>
      <c r="L778" s="26">
        <f>IF($A778="","",CHOOSE(WEEKDAY($A778,2),"Seg","Ter","Qua","Qui","Sex","Sáb","Dom"))</f>
        <v>0</v>
      </c>
      <c r="M778" s="27">
        <f>IF($E778="","",IF($G778&lt;&gt;"",$G778,IFERROR(INDEX(ProcValor,MATCH($E778,ProcNome,0)),0)))</f>
        <v>0</v>
      </c>
      <c r="N778" s="27">
        <f>IF($M778="","",IF($F778="Compareceu",$M778,0))</f>
        <v>0</v>
      </c>
      <c r="O778" s="27">
        <f>IF($M778="","",IF($F778="Faltou",$M778,0))</f>
        <v>0</v>
      </c>
      <c r="P778" s="27">
        <f>IF($M778="","",IF($F778="Compareceu",MAX(0,$M778-N($H778)),0))</f>
        <v>0</v>
      </c>
      <c r="Q778" s="19">
        <f>IF(AND($F778="Compareceu",$E778&lt;&gt;"",$A778&lt;&gt;""),IF(IFERROR(INDEX(ProcRet,MATCH($E778,ProcNome,0)),0)&gt;0,$A778+INDEX(ProcRet,MATCH($E778,ProcNome,0)),""),"")</f>
        <v>0</v>
      </c>
      <c r="R778" s="26">
        <f>IF($Q778="","",IF(COUNTIFS(AgPac,$D778,AgData,"&gt;"&amp;$A778,AgStatus,"&lt;&gt;Cancelado",AgStatus,"&lt;&gt;Remarcado")&gt;0,"Sim","Não"))</f>
        <v>0</v>
      </c>
      <c r="S778" s="28">
        <f>IF($A778="","",IF(AND($F778="Agendado",$A778-Hoje&gt;=0,$A778-Hoje&lt;=DiasConf),"CONFIRMAR",IF(AND($A778&lt;Hoje,OR($F778="Agendado",$F778="Confirmado")),"Atualizar status",IF(AND($F778="Compareceu",$P778&gt;0.005),"Cobrar",IF($F778="Faltou","Falta: reagendar","")))))</f>
        <v>0</v>
      </c>
      <c r="T778" s="29">
        <f>IF($A778="","",DATE(YEAR($A778),MONTH($A778),1))</f>
        <v>0</v>
      </c>
      <c r="U778" s="30">
        <f>IF($S778="CONFIRMAR",MAX($U$4:$U777)+1,"")</f>
        <v>0</v>
      </c>
      <c r="V778" s="30">
        <f>IF(AND($R778="Não",$Q778&lt;&gt;"",$Q778&lt;=Hoje+JanelaRet,$Q778&gt;=Hoje-60),MAX($V$4:$V777)+1,"")</f>
        <v>0</v>
      </c>
    </row>
    <row r="779" spans="1:22">
      <c r="A779" s="16"/>
      <c r="B779" s="23"/>
      <c r="C779" s="15"/>
      <c r="D779" s="15"/>
      <c r="E779" s="15"/>
      <c r="F779" s="24"/>
      <c r="G779" s="17"/>
      <c r="H779" s="17"/>
      <c r="I779" s="15"/>
      <c r="J779" s="25">
        <f>IF($D779="","",IFERROR(INDEX(PacNome,MATCH($D779,PacCod,0)),"Paciente não cadastrado"))</f>
        <v>0</v>
      </c>
      <c r="K779" s="26">
        <f>IF($D779="","",IFERROR(INDEX(PacConv,MATCH($D779,PacCod,0))&amp;"",""))</f>
        <v>0</v>
      </c>
      <c r="L779" s="26">
        <f>IF($A779="","",CHOOSE(WEEKDAY($A779,2),"Seg","Ter","Qua","Qui","Sex","Sáb","Dom"))</f>
        <v>0</v>
      </c>
      <c r="M779" s="27">
        <f>IF($E779="","",IF($G779&lt;&gt;"",$G779,IFERROR(INDEX(ProcValor,MATCH($E779,ProcNome,0)),0)))</f>
        <v>0</v>
      </c>
      <c r="N779" s="27">
        <f>IF($M779="","",IF($F779="Compareceu",$M779,0))</f>
        <v>0</v>
      </c>
      <c r="O779" s="27">
        <f>IF($M779="","",IF($F779="Faltou",$M779,0))</f>
        <v>0</v>
      </c>
      <c r="P779" s="27">
        <f>IF($M779="","",IF($F779="Compareceu",MAX(0,$M779-N($H779)),0))</f>
        <v>0</v>
      </c>
      <c r="Q779" s="19">
        <f>IF(AND($F779="Compareceu",$E779&lt;&gt;"",$A779&lt;&gt;""),IF(IFERROR(INDEX(ProcRet,MATCH($E779,ProcNome,0)),0)&gt;0,$A779+INDEX(ProcRet,MATCH($E779,ProcNome,0)),""),"")</f>
        <v>0</v>
      </c>
      <c r="R779" s="26">
        <f>IF($Q779="","",IF(COUNTIFS(AgPac,$D779,AgData,"&gt;"&amp;$A779,AgStatus,"&lt;&gt;Cancelado",AgStatus,"&lt;&gt;Remarcado")&gt;0,"Sim","Não"))</f>
        <v>0</v>
      </c>
      <c r="S779" s="28">
        <f>IF($A779="","",IF(AND($F779="Agendado",$A779-Hoje&gt;=0,$A779-Hoje&lt;=DiasConf),"CONFIRMAR",IF(AND($A779&lt;Hoje,OR($F779="Agendado",$F779="Confirmado")),"Atualizar status",IF(AND($F779="Compareceu",$P779&gt;0.005),"Cobrar",IF($F779="Faltou","Falta: reagendar","")))))</f>
        <v>0</v>
      </c>
      <c r="T779" s="29">
        <f>IF($A779="","",DATE(YEAR($A779),MONTH($A779),1))</f>
        <v>0</v>
      </c>
      <c r="U779" s="30">
        <f>IF($S779="CONFIRMAR",MAX($U$4:$U778)+1,"")</f>
        <v>0</v>
      </c>
      <c r="V779" s="30">
        <f>IF(AND($R779="Não",$Q779&lt;&gt;"",$Q779&lt;=Hoje+JanelaRet,$Q779&gt;=Hoje-60),MAX($V$4:$V778)+1,"")</f>
        <v>0</v>
      </c>
    </row>
    <row r="780" spans="1:22">
      <c r="A780" s="16"/>
      <c r="B780" s="23"/>
      <c r="C780" s="15"/>
      <c r="D780" s="15"/>
      <c r="E780" s="15"/>
      <c r="F780" s="24"/>
      <c r="G780" s="17"/>
      <c r="H780" s="17"/>
      <c r="I780" s="15"/>
      <c r="J780" s="25">
        <f>IF($D780="","",IFERROR(INDEX(PacNome,MATCH($D780,PacCod,0)),"Paciente não cadastrado"))</f>
        <v>0</v>
      </c>
      <c r="K780" s="26">
        <f>IF($D780="","",IFERROR(INDEX(PacConv,MATCH($D780,PacCod,0))&amp;"",""))</f>
        <v>0</v>
      </c>
      <c r="L780" s="26">
        <f>IF($A780="","",CHOOSE(WEEKDAY($A780,2),"Seg","Ter","Qua","Qui","Sex","Sáb","Dom"))</f>
        <v>0</v>
      </c>
      <c r="M780" s="27">
        <f>IF($E780="","",IF($G780&lt;&gt;"",$G780,IFERROR(INDEX(ProcValor,MATCH($E780,ProcNome,0)),0)))</f>
        <v>0</v>
      </c>
      <c r="N780" s="27">
        <f>IF($M780="","",IF($F780="Compareceu",$M780,0))</f>
        <v>0</v>
      </c>
      <c r="O780" s="27">
        <f>IF($M780="","",IF($F780="Faltou",$M780,0))</f>
        <v>0</v>
      </c>
      <c r="P780" s="27">
        <f>IF($M780="","",IF($F780="Compareceu",MAX(0,$M780-N($H780)),0))</f>
        <v>0</v>
      </c>
      <c r="Q780" s="19">
        <f>IF(AND($F780="Compareceu",$E780&lt;&gt;"",$A780&lt;&gt;""),IF(IFERROR(INDEX(ProcRet,MATCH($E780,ProcNome,0)),0)&gt;0,$A780+INDEX(ProcRet,MATCH($E780,ProcNome,0)),""),"")</f>
        <v>0</v>
      </c>
      <c r="R780" s="26">
        <f>IF($Q780="","",IF(COUNTIFS(AgPac,$D780,AgData,"&gt;"&amp;$A780,AgStatus,"&lt;&gt;Cancelado",AgStatus,"&lt;&gt;Remarcado")&gt;0,"Sim","Não"))</f>
        <v>0</v>
      </c>
      <c r="S780" s="28">
        <f>IF($A780="","",IF(AND($F780="Agendado",$A780-Hoje&gt;=0,$A780-Hoje&lt;=DiasConf),"CONFIRMAR",IF(AND($A780&lt;Hoje,OR($F780="Agendado",$F780="Confirmado")),"Atualizar status",IF(AND($F780="Compareceu",$P780&gt;0.005),"Cobrar",IF($F780="Faltou","Falta: reagendar","")))))</f>
        <v>0</v>
      </c>
      <c r="T780" s="29">
        <f>IF($A780="","",DATE(YEAR($A780),MONTH($A780),1))</f>
        <v>0</v>
      </c>
      <c r="U780" s="30">
        <f>IF($S780="CONFIRMAR",MAX($U$4:$U779)+1,"")</f>
        <v>0</v>
      </c>
      <c r="V780" s="30">
        <f>IF(AND($R780="Não",$Q780&lt;&gt;"",$Q780&lt;=Hoje+JanelaRet,$Q780&gt;=Hoje-60),MAX($V$4:$V779)+1,"")</f>
        <v>0</v>
      </c>
    </row>
    <row r="781" spans="1:22">
      <c r="A781" s="16"/>
      <c r="B781" s="23"/>
      <c r="C781" s="15"/>
      <c r="D781" s="15"/>
      <c r="E781" s="15"/>
      <c r="F781" s="24"/>
      <c r="G781" s="17"/>
      <c r="H781" s="17"/>
      <c r="I781" s="15"/>
      <c r="J781" s="25">
        <f>IF($D781="","",IFERROR(INDEX(PacNome,MATCH($D781,PacCod,0)),"Paciente não cadastrado"))</f>
        <v>0</v>
      </c>
      <c r="K781" s="26">
        <f>IF($D781="","",IFERROR(INDEX(PacConv,MATCH($D781,PacCod,0))&amp;"",""))</f>
        <v>0</v>
      </c>
      <c r="L781" s="26">
        <f>IF($A781="","",CHOOSE(WEEKDAY($A781,2),"Seg","Ter","Qua","Qui","Sex","Sáb","Dom"))</f>
        <v>0</v>
      </c>
      <c r="M781" s="27">
        <f>IF($E781="","",IF($G781&lt;&gt;"",$G781,IFERROR(INDEX(ProcValor,MATCH($E781,ProcNome,0)),0)))</f>
        <v>0</v>
      </c>
      <c r="N781" s="27">
        <f>IF($M781="","",IF($F781="Compareceu",$M781,0))</f>
        <v>0</v>
      </c>
      <c r="O781" s="27">
        <f>IF($M781="","",IF($F781="Faltou",$M781,0))</f>
        <v>0</v>
      </c>
      <c r="P781" s="27">
        <f>IF($M781="","",IF($F781="Compareceu",MAX(0,$M781-N($H781)),0))</f>
        <v>0</v>
      </c>
      <c r="Q781" s="19">
        <f>IF(AND($F781="Compareceu",$E781&lt;&gt;"",$A781&lt;&gt;""),IF(IFERROR(INDEX(ProcRet,MATCH($E781,ProcNome,0)),0)&gt;0,$A781+INDEX(ProcRet,MATCH($E781,ProcNome,0)),""),"")</f>
        <v>0</v>
      </c>
      <c r="R781" s="26">
        <f>IF($Q781="","",IF(COUNTIFS(AgPac,$D781,AgData,"&gt;"&amp;$A781,AgStatus,"&lt;&gt;Cancelado",AgStatus,"&lt;&gt;Remarcado")&gt;0,"Sim","Não"))</f>
        <v>0</v>
      </c>
      <c r="S781" s="28">
        <f>IF($A781="","",IF(AND($F781="Agendado",$A781-Hoje&gt;=0,$A781-Hoje&lt;=DiasConf),"CONFIRMAR",IF(AND($A781&lt;Hoje,OR($F781="Agendado",$F781="Confirmado")),"Atualizar status",IF(AND($F781="Compareceu",$P781&gt;0.005),"Cobrar",IF($F781="Faltou","Falta: reagendar","")))))</f>
        <v>0</v>
      </c>
      <c r="T781" s="29">
        <f>IF($A781="","",DATE(YEAR($A781),MONTH($A781),1))</f>
        <v>0</v>
      </c>
      <c r="U781" s="30">
        <f>IF($S781="CONFIRMAR",MAX($U$4:$U780)+1,"")</f>
        <v>0</v>
      </c>
      <c r="V781" s="30">
        <f>IF(AND($R781="Não",$Q781&lt;&gt;"",$Q781&lt;=Hoje+JanelaRet,$Q781&gt;=Hoje-60),MAX($V$4:$V780)+1,"")</f>
        <v>0</v>
      </c>
    </row>
    <row r="782" spans="1:22">
      <c r="A782" s="16"/>
      <c r="B782" s="23"/>
      <c r="C782" s="15"/>
      <c r="D782" s="15"/>
      <c r="E782" s="15"/>
      <c r="F782" s="24"/>
      <c r="G782" s="17"/>
      <c r="H782" s="17"/>
      <c r="I782" s="15"/>
      <c r="J782" s="25">
        <f>IF($D782="","",IFERROR(INDEX(PacNome,MATCH($D782,PacCod,0)),"Paciente não cadastrado"))</f>
        <v>0</v>
      </c>
      <c r="K782" s="26">
        <f>IF($D782="","",IFERROR(INDEX(PacConv,MATCH($D782,PacCod,0))&amp;"",""))</f>
        <v>0</v>
      </c>
      <c r="L782" s="26">
        <f>IF($A782="","",CHOOSE(WEEKDAY($A782,2),"Seg","Ter","Qua","Qui","Sex","Sáb","Dom"))</f>
        <v>0</v>
      </c>
      <c r="M782" s="27">
        <f>IF($E782="","",IF($G782&lt;&gt;"",$G782,IFERROR(INDEX(ProcValor,MATCH($E782,ProcNome,0)),0)))</f>
        <v>0</v>
      </c>
      <c r="N782" s="27">
        <f>IF($M782="","",IF($F782="Compareceu",$M782,0))</f>
        <v>0</v>
      </c>
      <c r="O782" s="27">
        <f>IF($M782="","",IF($F782="Faltou",$M782,0))</f>
        <v>0</v>
      </c>
      <c r="P782" s="27">
        <f>IF($M782="","",IF($F782="Compareceu",MAX(0,$M782-N($H782)),0))</f>
        <v>0</v>
      </c>
      <c r="Q782" s="19">
        <f>IF(AND($F782="Compareceu",$E782&lt;&gt;"",$A782&lt;&gt;""),IF(IFERROR(INDEX(ProcRet,MATCH($E782,ProcNome,0)),0)&gt;0,$A782+INDEX(ProcRet,MATCH($E782,ProcNome,0)),""),"")</f>
        <v>0</v>
      </c>
      <c r="R782" s="26">
        <f>IF($Q782="","",IF(COUNTIFS(AgPac,$D782,AgData,"&gt;"&amp;$A782,AgStatus,"&lt;&gt;Cancelado",AgStatus,"&lt;&gt;Remarcado")&gt;0,"Sim","Não"))</f>
        <v>0</v>
      </c>
      <c r="S782" s="28">
        <f>IF($A782="","",IF(AND($F782="Agendado",$A782-Hoje&gt;=0,$A782-Hoje&lt;=DiasConf),"CONFIRMAR",IF(AND($A782&lt;Hoje,OR($F782="Agendado",$F782="Confirmado")),"Atualizar status",IF(AND($F782="Compareceu",$P782&gt;0.005),"Cobrar",IF($F782="Faltou","Falta: reagendar","")))))</f>
        <v>0</v>
      </c>
      <c r="T782" s="29">
        <f>IF($A782="","",DATE(YEAR($A782),MONTH($A782),1))</f>
        <v>0</v>
      </c>
      <c r="U782" s="30">
        <f>IF($S782="CONFIRMAR",MAX($U$4:$U781)+1,"")</f>
        <v>0</v>
      </c>
      <c r="V782" s="30">
        <f>IF(AND($R782="Não",$Q782&lt;&gt;"",$Q782&lt;=Hoje+JanelaRet,$Q782&gt;=Hoje-60),MAX($V$4:$V781)+1,"")</f>
        <v>0</v>
      </c>
    </row>
    <row r="783" spans="1:22">
      <c r="A783" s="16"/>
      <c r="B783" s="23"/>
      <c r="C783" s="15"/>
      <c r="D783" s="15"/>
      <c r="E783" s="15"/>
      <c r="F783" s="24"/>
      <c r="G783" s="17"/>
      <c r="H783" s="17"/>
      <c r="I783" s="15"/>
      <c r="J783" s="25">
        <f>IF($D783="","",IFERROR(INDEX(PacNome,MATCH($D783,PacCod,0)),"Paciente não cadastrado"))</f>
        <v>0</v>
      </c>
      <c r="K783" s="26">
        <f>IF($D783="","",IFERROR(INDEX(PacConv,MATCH($D783,PacCod,0))&amp;"",""))</f>
        <v>0</v>
      </c>
      <c r="L783" s="26">
        <f>IF($A783="","",CHOOSE(WEEKDAY($A783,2),"Seg","Ter","Qua","Qui","Sex","Sáb","Dom"))</f>
        <v>0</v>
      </c>
      <c r="M783" s="27">
        <f>IF($E783="","",IF($G783&lt;&gt;"",$G783,IFERROR(INDEX(ProcValor,MATCH($E783,ProcNome,0)),0)))</f>
        <v>0</v>
      </c>
      <c r="N783" s="27">
        <f>IF($M783="","",IF($F783="Compareceu",$M783,0))</f>
        <v>0</v>
      </c>
      <c r="O783" s="27">
        <f>IF($M783="","",IF($F783="Faltou",$M783,0))</f>
        <v>0</v>
      </c>
      <c r="P783" s="27">
        <f>IF($M783="","",IF($F783="Compareceu",MAX(0,$M783-N($H783)),0))</f>
        <v>0</v>
      </c>
      <c r="Q783" s="19">
        <f>IF(AND($F783="Compareceu",$E783&lt;&gt;"",$A783&lt;&gt;""),IF(IFERROR(INDEX(ProcRet,MATCH($E783,ProcNome,0)),0)&gt;0,$A783+INDEX(ProcRet,MATCH($E783,ProcNome,0)),""),"")</f>
        <v>0</v>
      </c>
      <c r="R783" s="26">
        <f>IF($Q783="","",IF(COUNTIFS(AgPac,$D783,AgData,"&gt;"&amp;$A783,AgStatus,"&lt;&gt;Cancelado",AgStatus,"&lt;&gt;Remarcado")&gt;0,"Sim","Não"))</f>
        <v>0</v>
      </c>
      <c r="S783" s="28">
        <f>IF($A783="","",IF(AND($F783="Agendado",$A783-Hoje&gt;=0,$A783-Hoje&lt;=DiasConf),"CONFIRMAR",IF(AND($A783&lt;Hoje,OR($F783="Agendado",$F783="Confirmado")),"Atualizar status",IF(AND($F783="Compareceu",$P783&gt;0.005),"Cobrar",IF($F783="Faltou","Falta: reagendar","")))))</f>
        <v>0</v>
      </c>
      <c r="T783" s="29">
        <f>IF($A783="","",DATE(YEAR($A783),MONTH($A783),1))</f>
        <v>0</v>
      </c>
      <c r="U783" s="30">
        <f>IF($S783="CONFIRMAR",MAX($U$4:$U782)+1,"")</f>
        <v>0</v>
      </c>
      <c r="V783" s="30">
        <f>IF(AND($R783="Não",$Q783&lt;&gt;"",$Q783&lt;=Hoje+JanelaRet,$Q783&gt;=Hoje-60),MAX($V$4:$V782)+1,"")</f>
        <v>0</v>
      </c>
    </row>
    <row r="784" spans="1:22">
      <c r="A784" s="16"/>
      <c r="B784" s="23"/>
      <c r="C784" s="15"/>
      <c r="D784" s="15"/>
      <c r="E784" s="15"/>
      <c r="F784" s="24"/>
      <c r="G784" s="17"/>
      <c r="H784" s="17"/>
      <c r="I784" s="15"/>
      <c r="J784" s="25">
        <f>IF($D784="","",IFERROR(INDEX(PacNome,MATCH($D784,PacCod,0)),"Paciente não cadastrado"))</f>
        <v>0</v>
      </c>
      <c r="K784" s="26">
        <f>IF($D784="","",IFERROR(INDEX(PacConv,MATCH($D784,PacCod,0))&amp;"",""))</f>
        <v>0</v>
      </c>
      <c r="L784" s="26">
        <f>IF($A784="","",CHOOSE(WEEKDAY($A784,2),"Seg","Ter","Qua","Qui","Sex","Sáb","Dom"))</f>
        <v>0</v>
      </c>
      <c r="M784" s="27">
        <f>IF($E784="","",IF($G784&lt;&gt;"",$G784,IFERROR(INDEX(ProcValor,MATCH($E784,ProcNome,0)),0)))</f>
        <v>0</v>
      </c>
      <c r="N784" s="27">
        <f>IF($M784="","",IF($F784="Compareceu",$M784,0))</f>
        <v>0</v>
      </c>
      <c r="O784" s="27">
        <f>IF($M784="","",IF($F784="Faltou",$M784,0))</f>
        <v>0</v>
      </c>
      <c r="P784" s="27">
        <f>IF($M784="","",IF($F784="Compareceu",MAX(0,$M784-N($H784)),0))</f>
        <v>0</v>
      </c>
      <c r="Q784" s="19">
        <f>IF(AND($F784="Compareceu",$E784&lt;&gt;"",$A784&lt;&gt;""),IF(IFERROR(INDEX(ProcRet,MATCH($E784,ProcNome,0)),0)&gt;0,$A784+INDEX(ProcRet,MATCH($E784,ProcNome,0)),""),"")</f>
        <v>0</v>
      </c>
      <c r="R784" s="26">
        <f>IF($Q784="","",IF(COUNTIFS(AgPac,$D784,AgData,"&gt;"&amp;$A784,AgStatus,"&lt;&gt;Cancelado",AgStatus,"&lt;&gt;Remarcado")&gt;0,"Sim","Não"))</f>
        <v>0</v>
      </c>
      <c r="S784" s="28">
        <f>IF($A784="","",IF(AND($F784="Agendado",$A784-Hoje&gt;=0,$A784-Hoje&lt;=DiasConf),"CONFIRMAR",IF(AND($A784&lt;Hoje,OR($F784="Agendado",$F784="Confirmado")),"Atualizar status",IF(AND($F784="Compareceu",$P784&gt;0.005),"Cobrar",IF($F784="Faltou","Falta: reagendar","")))))</f>
        <v>0</v>
      </c>
      <c r="T784" s="29">
        <f>IF($A784="","",DATE(YEAR($A784),MONTH($A784),1))</f>
        <v>0</v>
      </c>
      <c r="U784" s="30">
        <f>IF($S784="CONFIRMAR",MAX($U$4:$U783)+1,"")</f>
        <v>0</v>
      </c>
      <c r="V784" s="30">
        <f>IF(AND($R784="Não",$Q784&lt;&gt;"",$Q784&lt;=Hoje+JanelaRet,$Q784&gt;=Hoje-60),MAX($V$4:$V783)+1,"")</f>
        <v>0</v>
      </c>
    </row>
    <row r="785" spans="1:22">
      <c r="A785" s="16"/>
      <c r="B785" s="23"/>
      <c r="C785" s="15"/>
      <c r="D785" s="15"/>
      <c r="E785" s="15"/>
      <c r="F785" s="24"/>
      <c r="G785" s="17"/>
      <c r="H785" s="17"/>
      <c r="I785" s="15"/>
      <c r="J785" s="25">
        <f>IF($D785="","",IFERROR(INDEX(PacNome,MATCH($D785,PacCod,0)),"Paciente não cadastrado"))</f>
        <v>0</v>
      </c>
      <c r="K785" s="26">
        <f>IF($D785="","",IFERROR(INDEX(PacConv,MATCH($D785,PacCod,0))&amp;"",""))</f>
        <v>0</v>
      </c>
      <c r="L785" s="26">
        <f>IF($A785="","",CHOOSE(WEEKDAY($A785,2),"Seg","Ter","Qua","Qui","Sex","Sáb","Dom"))</f>
        <v>0</v>
      </c>
      <c r="M785" s="27">
        <f>IF($E785="","",IF($G785&lt;&gt;"",$G785,IFERROR(INDEX(ProcValor,MATCH($E785,ProcNome,0)),0)))</f>
        <v>0</v>
      </c>
      <c r="N785" s="27">
        <f>IF($M785="","",IF($F785="Compareceu",$M785,0))</f>
        <v>0</v>
      </c>
      <c r="O785" s="27">
        <f>IF($M785="","",IF($F785="Faltou",$M785,0))</f>
        <v>0</v>
      </c>
      <c r="P785" s="27">
        <f>IF($M785="","",IF($F785="Compareceu",MAX(0,$M785-N($H785)),0))</f>
        <v>0</v>
      </c>
      <c r="Q785" s="19">
        <f>IF(AND($F785="Compareceu",$E785&lt;&gt;"",$A785&lt;&gt;""),IF(IFERROR(INDEX(ProcRet,MATCH($E785,ProcNome,0)),0)&gt;0,$A785+INDEX(ProcRet,MATCH($E785,ProcNome,0)),""),"")</f>
        <v>0</v>
      </c>
      <c r="R785" s="26">
        <f>IF($Q785="","",IF(COUNTIFS(AgPac,$D785,AgData,"&gt;"&amp;$A785,AgStatus,"&lt;&gt;Cancelado",AgStatus,"&lt;&gt;Remarcado")&gt;0,"Sim","Não"))</f>
        <v>0</v>
      </c>
      <c r="S785" s="28">
        <f>IF($A785="","",IF(AND($F785="Agendado",$A785-Hoje&gt;=0,$A785-Hoje&lt;=DiasConf),"CONFIRMAR",IF(AND($A785&lt;Hoje,OR($F785="Agendado",$F785="Confirmado")),"Atualizar status",IF(AND($F785="Compareceu",$P785&gt;0.005),"Cobrar",IF($F785="Faltou","Falta: reagendar","")))))</f>
        <v>0</v>
      </c>
      <c r="T785" s="29">
        <f>IF($A785="","",DATE(YEAR($A785),MONTH($A785),1))</f>
        <v>0</v>
      </c>
      <c r="U785" s="30">
        <f>IF($S785="CONFIRMAR",MAX($U$4:$U784)+1,"")</f>
        <v>0</v>
      </c>
      <c r="V785" s="30">
        <f>IF(AND($R785="Não",$Q785&lt;&gt;"",$Q785&lt;=Hoje+JanelaRet,$Q785&gt;=Hoje-60),MAX($V$4:$V784)+1,"")</f>
        <v>0</v>
      </c>
    </row>
    <row r="786" spans="1:22">
      <c r="A786" s="16"/>
      <c r="B786" s="23"/>
      <c r="C786" s="15"/>
      <c r="D786" s="15"/>
      <c r="E786" s="15"/>
      <c r="F786" s="24"/>
      <c r="G786" s="17"/>
      <c r="H786" s="17"/>
      <c r="I786" s="15"/>
      <c r="J786" s="25">
        <f>IF($D786="","",IFERROR(INDEX(PacNome,MATCH($D786,PacCod,0)),"Paciente não cadastrado"))</f>
        <v>0</v>
      </c>
      <c r="K786" s="26">
        <f>IF($D786="","",IFERROR(INDEX(PacConv,MATCH($D786,PacCod,0))&amp;"",""))</f>
        <v>0</v>
      </c>
      <c r="L786" s="26">
        <f>IF($A786="","",CHOOSE(WEEKDAY($A786,2),"Seg","Ter","Qua","Qui","Sex","Sáb","Dom"))</f>
        <v>0</v>
      </c>
      <c r="M786" s="27">
        <f>IF($E786="","",IF($G786&lt;&gt;"",$G786,IFERROR(INDEX(ProcValor,MATCH($E786,ProcNome,0)),0)))</f>
        <v>0</v>
      </c>
      <c r="N786" s="27">
        <f>IF($M786="","",IF($F786="Compareceu",$M786,0))</f>
        <v>0</v>
      </c>
      <c r="O786" s="27">
        <f>IF($M786="","",IF($F786="Faltou",$M786,0))</f>
        <v>0</v>
      </c>
      <c r="P786" s="27">
        <f>IF($M786="","",IF($F786="Compareceu",MAX(0,$M786-N($H786)),0))</f>
        <v>0</v>
      </c>
      <c r="Q786" s="19">
        <f>IF(AND($F786="Compareceu",$E786&lt;&gt;"",$A786&lt;&gt;""),IF(IFERROR(INDEX(ProcRet,MATCH($E786,ProcNome,0)),0)&gt;0,$A786+INDEX(ProcRet,MATCH($E786,ProcNome,0)),""),"")</f>
        <v>0</v>
      </c>
      <c r="R786" s="26">
        <f>IF($Q786="","",IF(COUNTIFS(AgPac,$D786,AgData,"&gt;"&amp;$A786,AgStatus,"&lt;&gt;Cancelado",AgStatus,"&lt;&gt;Remarcado")&gt;0,"Sim","Não"))</f>
        <v>0</v>
      </c>
      <c r="S786" s="28">
        <f>IF($A786="","",IF(AND($F786="Agendado",$A786-Hoje&gt;=0,$A786-Hoje&lt;=DiasConf),"CONFIRMAR",IF(AND($A786&lt;Hoje,OR($F786="Agendado",$F786="Confirmado")),"Atualizar status",IF(AND($F786="Compareceu",$P786&gt;0.005),"Cobrar",IF($F786="Faltou","Falta: reagendar","")))))</f>
        <v>0</v>
      </c>
      <c r="T786" s="29">
        <f>IF($A786="","",DATE(YEAR($A786),MONTH($A786),1))</f>
        <v>0</v>
      </c>
      <c r="U786" s="30">
        <f>IF($S786="CONFIRMAR",MAX($U$4:$U785)+1,"")</f>
        <v>0</v>
      </c>
      <c r="V786" s="30">
        <f>IF(AND($R786="Não",$Q786&lt;&gt;"",$Q786&lt;=Hoje+JanelaRet,$Q786&gt;=Hoje-60),MAX($V$4:$V785)+1,"")</f>
        <v>0</v>
      </c>
    </row>
    <row r="787" spans="1:22">
      <c r="A787" s="16"/>
      <c r="B787" s="23"/>
      <c r="C787" s="15"/>
      <c r="D787" s="15"/>
      <c r="E787" s="15"/>
      <c r="F787" s="24"/>
      <c r="G787" s="17"/>
      <c r="H787" s="17"/>
      <c r="I787" s="15"/>
      <c r="J787" s="25">
        <f>IF($D787="","",IFERROR(INDEX(PacNome,MATCH($D787,PacCod,0)),"Paciente não cadastrado"))</f>
        <v>0</v>
      </c>
      <c r="K787" s="26">
        <f>IF($D787="","",IFERROR(INDEX(PacConv,MATCH($D787,PacCod,0))&amp;"",""))</f>
        <v>0</v>
      </c>
      <c r="L787" s="26">
        <f>IF($A787="","",CHOOSE(WEEKDAY($A787,2),"Seg","Ter","Qua","Qui","Sex","Sáb","Dom"))</f>
        <v>0</v>
      </c>
      <c r="M787" s="27">
        <f>IF($E787="","",IF($G787&lt;&gt;"",$G787,IFERROR(INDEX(ProcValor,MATCH($E787,ProcNome,0)),0)))</f>
        <v>0</v>
      </c>
      <c r="N787" s="27">
        <f>IF($M787="","",IF($F787="Compareceu",$M787,0))</f>
        <v>0</v>
      </c>
      <c r="O787" s="27">
        <f>IF($M787="","",IF($F787="Faltou",$M787,0))</f>
        <v>0</v>
      </c>
      <c r="P787" s="27">
        <f>IF($M787="","",IF($F787="Compareceu",MAX(0,$M787-N($H787)),0))</f>
        <v>0</v>
      </c>
      <c r="Q787" s="19">
        <f>IF(AND($F787="Compareceu",$E787&lt;&gt;"",$A787&lt;&gt;""),IF(IFERROR(INDEX(ProcRet,MATCH($E787,ProcNome,0)),0)&gt;0,$A787+INDEX(ProcRet,MATCH($E787,ProcNome,0)),""),"")</f>
        <v>0</v>
      </c>
      <c r="R787" s="26">
        <f>IF($Q787="","",IF(COUNTIFS(AgPac,$D787,AgData,"&gt;"&amp;$A787,AgStatus,"&lt;&gt;Cancelado",AgStatus,"&lt;&gt;Remarcado")&gt;0,"Sim","Não"))</f>
        <v>0</v>
      </c>
      <c r="S787" s="28">
        <f>IF($A787="","",IF(AND($F787="Agendado",$A787-Hoje&gt;=0,$A787-Hoje&lt;=DiasConf),"CONFIRMAR",IF(AND($A787&lt;Hoje,OR($F787="Agendado",$F787="Confirmado")),"Atualizar status",IF(AND($F787="Compareceu",$P787&gt;0.005),"Cobrar",IF($F787="Faltou","Falta: reagendar","")))))</f>
        <v>0</v>
      </c>
      <c r="T787" s="29">
        <f>IF($A787="","",DATE(YEAR($A787),MONTH($A787),1))</f>
        <v>0</v>
      </c>
      <c r="U787" s="30">
        <f>IF($S787="CONFIRMAR",MAX($U$4:$U786)+1,"")</f>
        <v>0</v>
      </c>
      <c r="V787" s="30">
        <f>IF(AND($R787="Não",$Q787&lt;&gt;"",$Q787&lt;=Hoje+JanelaRet,$Q787&gt;=Hoje-60),MAX($V$4:$V786)+1,"")</f>
        <v>0</v>
      </c>
    </row>
    <row r="788" spans="1:22">
      <c r="A788" s="16"/>
      <c r="B788" s="23"/>
      <c r="C788" s="15"/>
      <c r="D788" s="15"/>
      <c r="E788" s="15"/>
      <c r="F788" s="24"/>
      <c r="G788" s="17"/>
      <c r="H788" s="17"/>
      <c r="I788" s="15"/>
      <c r="J788" s="25">
        <f>IF($D788="","",IFERROR(INDEX(PacNome,MATCH($D788,PacCod,0)),"Paciente não cadastrado"))</f>
        <v>0</v>
      </c>
      <c r="K788" s="26">
        <f>IF($D788="","",IFERROR(INDEX(PacConv,MATCH($D788,PacCod,0))&amp;"",""))</f>
        <v>0</v>
      </c>
      <c r="L788" s="26">
        <f>IF($A788="","",CHOOSE(WEEKDAY($A788,2),"Seg","Ter","Qua","Qui","Sex","Sáb","Dom"))</f>
        <v>0</v>
      </c>
      <c r="M788" s="27">
        <f>IF($E788="","",IF($G788&lt;&gt;"",$G788,IFERROR(INDEX(ProcValor,MATCH($E788,ProcNome,0)),0)))</f>
        <v>0</v>
      </c>
      <c r="N788" s="27">
        <f>IF($M788="","",IF($F788="Compareceu",$M788,0))</f>
        <v>0</v>
      </c>
      <c r="O788" s="27">
        <f>IF($M788="","",IF($F788="Faltou",$M788,0))</f>
        <v>0</v>
      </c>
      <c r="P788" s="27">
        <f>IF($M788="","",IF($F788="Compareceu",MAX(0,$M788-N($H788)),0))</f>
        <v>0</v>
      </c>
      <c r="Q788" s="19">
        <f>IF(AND($F788="Compareceu",$E788&lt;&gt;"",$A788&lt;&gt;""),IF(IFERROR(INDEX(ProcRet,MATCH($E788,ProcNome,0)),0)&gt;0,$A788+INDEX(ProcRet,MATCH($E788,ProcNome,0)),""),"")</f>
        <v>0</v>
      </c>
      <c r="R788" s="26">
        <f>IF($Q788="","",IF(COUNTIFS(AgPac,$D788,AgData,"&gt;"&amp;$A788,AgStatus,"&lt;&gt;Cancelado",AgStatus,"&lt;&gt;Remarcado")&gt;0,"Sim","Não"))</f>
        <v>0</v>
      </c>
      <c r="S788" s="28">
        <f>IF($A788="","",IF(AND($F788="Agendado",$A788-Hoje&gt;=0,$A788-Hoje&lt;=DiasConf),"CONFIRMAR",IF(AND($A788&lt;Hoje,OR($F788="Agendado",$F788="Confirmado")),"Atualizar status",IF(AND($F788="Compareceu",$P788&gt;0.005),"Cobrar",IF($F788="Faltou","Falta: reagendar","")))))</f>
        <v>0</v>
      </c>
      <c r="T788" s="29">
        <f>IF($A788="","",DATE(YEAR($A788),MONTH($A788),1))</f>
        <v>0</v>
      </c>
      <c r="U788" s="30">
        <f>IF($S788="CONFIRMAR",MAX($U$4:$U787)+1,"")</f>
        <v>0</v>
      </c>
      <c r="V788" s="30">
        <f>IF(AND($R788="Não",$Q788&lt;&gt;"",$Q788&lt;=Hoje+JanelaRet,$Q788&gt;=Hoje-60),MAX($V$4:$V787)+1,"")</f>
        <v>0</v>
      </c>
    </row>
    <row r="789" spans="1:22">
      <c r="A789" s="16"/>
      <c r="B789" s="23"/>
      <c r="C789" s="15"/>
      <c r="D789" s="15"/>
      <c r="E789" s="15"/>
      <c r="F789" s="24"/>
      <c r="G789" s="17"/>
      <c r="H789" s="17"/>
      <c r="I789" s="15"/>
      <c r="J789" s="25">
        <f>IF($D789="","",IFERROR(INDEX(PacNome,MATCH($D789,PacCod,0)),"Paciente não cadastrado"))</f>
        <v>0</v>
      </c>
      <c r="K789" s="26">
        <f>IF($D789="","",IFERROR(INDEX(PacConv,MATCH($D789,PacCod,0))&amp;"",""))</f>
        <v>0</v>
      </c>
      <c r="L789" s="26">
        <f>IF($A789="","",CHOOSE(WEEKDAY($A789,2),"Seg","Ter","Qua","Qui","Sex","Sáb","Dom"))</f>
        <v>0</v>
      </c>
      <c r="M789" s="27">
        <f>IF($E789="","",IF($G789&lt;&gt;"",$G789,IFERROR(INDEX(ProcValor,MATCH($E789,ProcNome,0)),0)))</f>
        <v>0</v>
      </c>
      <c r="N789" s="27">
        <f>IF($M789="","",IF($F789="Compareceu",$M789,0))</f>
        <v>0</v>
      </c>
      <c r="O789" s="27">
        <f>IF($M789="","",IF($F789="Faltou",$M789,0))</f>
        <v>0</v>
      </c>
      <c r="P789" s="27">
        <f>IF($M789="","",IF($F789="Compareceu",MAX(0,$M789-N($H789)),0))</f>
        <v>0</v>
      </c>
      <c r="Q789" s="19">
        <f>IF(AND($F789="Compareceu",$E789&lt;&gt;"",$A789&lt;&gt;""),IF(IFERROR(INDEX(ProcRet,MATCH($E789,ProcNome,0)),0)&gt;0,$A789+INDEX(ProcRet,MATCH($E789,ProcNome,0)),""),"")</f>
        <v>0</v>
      </c>
      <c r="R789" s="26">
        <f>IF($Q789="","",IF(COUNTIFS(AgPac,$D789,AgData,"&gt;"&amp;$A789,AgStatus,"&lt;&gt;Cancelado",AgStatus,"&lt;&gt;Remarcado")&gt;0,"Sim","Não"))</f>
        <v>0</v>
      </c>
      <c r="S789" s="28">
        <f>IF($A789="","",IF(AND($F789="Agendado",$A789-Hoje&gt;=0,$A789-Hoje&lt;=DiasConf),"CONFIRMAR",IF(AND($A789&lt;Hoje,OR($F789="Agendado",$F789="Confirmado")),"Atualizar status",IF(AND($F789="Compareceu",$P789&gt;0.005),"Cobrar",IF($F789="Faltou","Falta: reagendar","")))))</f>
        <v>0</v>
      </c>
      <c r="T789" s="29">
        <f>IF($A789="","",DATE(YEAR($A789),MONTH($A789),1))</f>
        <v>0</v>
      </c>
      <c r="U789" s="30">
        <f>IF($S789="CONFIRMAR",MAX($U$4:$U788)+1,"")</f>
        <v>0</v>
      </c>
      <c r="V789" s="30">
        <f>IF(AND($R789="Não",$Q789&lt;&gt;"",$Q789&lt;=Hoje+JanelaRet,$Q789&gt;=Hoje-60),MAX($V$4:$V788)+1,"")</f>
        <v>0</v>
      </c>
    </row>
    <row r="790" spans="1:22">
      <c r="A790" s="16"/>
      <c r="B790" s="23"/>
      <c r="C790" s="15"/>
      <c r="D790" s="15"/>
      <c r="E790" s="15"/>
      <c r="F790" s="24"/>
      <c r="G790" s="17"/>
      <c r="H790" s="17"/>
      <c r="I790" s="15"/>
      <c r="J790" s="25">
        <f>IF($D790="","",IFERROR(INDEX(PacNome,MATCH($D790,PacCod,0)),"Paciente não cadastrado"))</f>
        <v>0</v>
      </c>
      <c r="K790" s="26">
        <f>IF($D790="","",IFERROR(INDEX(PacConv,MATCH($D790,PacCod,0))&amp;"",""))</f>
        <v>0</v>
      </c>
      <c r="L790" s="26">
        <f>IF($A790="","",CHOOSE(WEEKDAY($A790,2),"Seg","Ter","Qua","Qui","Sex","Sáb","Dom"))</f>
        <v>0</v>
      </c>
      <c r="M790" s="27">
        <f>IF($E790="","",IF($G790&lt;&gt;"",$G790,IFERROR(INDEX(ProcValor,MATCH($E790,ProcNome,0)),0)))</f>
        <v>0</v>
      </c>
      <c r="N790" s="27">
        <f>IF($M790="","",IF($F790="Compareceu",$M790,0))</f>
        <v>0</v>
      </c>
      <c r="O790" s="27">
        <f>IF($M790="","",IF($F790="Faltou",$M790,0))</f>
        <v>0</v>
      </c>
      <c r="P790" s="27">
        <f>IF($M790="","",IF($F790="Compareceu",MAX(0,$M790-N($H790)),0))</f>
        <v>0</v>
      </c>
      <c r="Q790" s="19">
        <f>IF(AND($F790="Compareceu",$E790&lt;&gt;"",$A790&lt;&gt;""),IF(IFERROR(INDEX(ProcRet,MATCH($E790,ProcNome,0)),0)&gt;0,$A790+INDEX(ProcRet,MATCH($E790,ProcNome,0)),""),"")</f>
        <v>0</v>
      </c>
      <c r="R790" s="26">
        <f>IF($Q790="","",IF(COUNTIFS(AgPac,$D790,AgData,"&gt;"&amp;$A790,AgStatus,"&lt;&gt;Cancelado",AgStatus,"&lt;&gt;Remarcado")&gt;0,"Sim","Não"))</f>
        <v>0</v>
      </c>
      <c r="S790" s="28">
        <f>IF($A790="","",IF(AND($F790="Agendado",$A790-Hoje&gt;=0,$A790-Hoje&lt;=DiasConf),"CONFIRMAR",IF(AND($A790&lt;Hoje,OR($F790="Agendado",$F790="Confirmado")),"Atualizar status",IF(AND($F790="Compareceu",$P790&gt;0.005),"Cobrar",IF($F790="Faltou","Falta: reagendar","")))))</f>
        <v>0</v>
      </c>
      <c r="T790" s="29">
        <f>IF($A790="","",DATE(YEAR($A790),MONTH($A790),1))</f>
        <v>0</v>
      </c>
      <c r="U790" s="30">
        <f>IF($S790="CONFIRMAR",MAX($U$4:$U789)+1,"")</f>
        <v>0</v>
      </c>
      <c r="V790" s="30">
        <f>IF(AND($R790="Não",$Q790&lt;&gt;"",$Q790&lt;=Hoje+JanelaRet,$Q790&gt;=Hoje-60),MAX($V$4:$V789)+1,"")</f>
        <v>0</v>
      </c>
    </row>
    <row r="791" spans="1:22">
      <c r="A791" s="16"/>
      <c r="B791" s="23"/>
      <c r="C791" s="15"/>
      <c r="D791" s="15"/>
      <c r="E791" s="15"/>
      <c r="F791" s="24"/>
      <c r="G791" s="17"/>
      <c r="H791" s="17"/>
      <c r="I791" s="15"/>
      <c r="J791" s="25">
        <f>IF($D791="","",IFERROR(INDEX(PacNome,MATCH($D791,PacCod,0)),"Paciente não cadastrado"))</f>
        <v>0</v>
      </c>
      <c r="K791" s="26">
        <f>IF($D791="","",IFERROR(INDEX(PacConv,MATCH($D791,PacCod,0))&amp;"",""))</f>
        <v>0</v>
      </c>
      <c r="L791" s="26">
        <f>IF($A791="","",CHOOSE(WEEKDAY($A791,2),"Seg","Ter","Qua","Qui","Sex","Sáb","Dom"))</f>
        <v>0</v>
      </c>
      <c r="M791" s="27">
        <f>IF($E791="","",IF($G791&lt;&gt;"",$G791,IFERROR(INDEX(ProcValor,MATCH($E791,ProcNome,0)),0)))</f>
        <v>0</v>
      </c>
      <c r="N791" s="27">
        <f>IF($M791="","",IF($F791="Compareceu",$M791,0))</f>
        <v>0</v>
      </c>
      <c r="O791" s="27">
        <f>IF($M791="","",IF($F791="Faltou",$M791,0))</f>
        <v>0</v>
      </c>
      <c r="P791" s="27">
        <f>IF($M791="","",IF($F791="Compareceu",MAX(0,$M791-N($H791)),0))</f>
        <v>0</v>
      </c>
      <c r="Q791" s="19">
        <f>IF(AND($F791="Compareceu",$E791&lt;&gt;"",$A791&lt;&gt;""),IF(IFERROR(INDEX(ProcRet,MATCH($E791,ProcNome,0)),0)&gt;0,$A791+INDEX(ProcRet,MATCH($E791,ProcNome,0)),""),"")</f>
        <v>0</v>
      </c>
      <c r="R791" s="26">
        <f>IF($Q791="","",IF(COUNTIFS(AgPac,$D791,AgData,"&gt;"&amp;$A791,AgStatus,"&lt;&gt;Cancelado",AgStatus,"&lt;&gt;Remarcado")&gt;0,"Sim","Não"))</f>
        <v>0</v>
      </c>
      <c r="S791" s="28">
        <f>IF($A791="","",IF(AND($F791="Agendado",$A791-Hoje&gt;=0,$A791-Hoje&lt;=DiasConf),"CONFIRMAR",IF(AND($A791&lt;Hoje,OR($F791="Agendado",$F791="Confirmado")),"Atualizar status",IF(AND($F791="Compareceu",$P791&gt;0.005),"Cobrar",IF($F791="Faltou","Falta: reagendar","")))))</f>
        <v>0</v>
      </c>
      <c r="T791" s="29">
        <f>IF($A791="","",DATE(YEAR($A791),MONTH($A791),1))</f>
        <v>0</v>
      </c>
      <c r="U791" s="30">
        <f>IF($S791="CONFIRMAR",MAX($U$4:$U790)+1,"")</f>
        <v>0</v>
      </c>
      <c r="V791" s="30">
        <f>IF(AND($R791="Não",$Q791&lt;&gt;"",$Q791&lt;=Hoje+JanelaRet,$Q791&gt;=Hoje-60),MAX($V$4:$V790)+1,"")</f>
        <v>0</v>
      </c>
    </row>
    <row r="792" spans="1:22">
      <c r="A792" s="16"/>
      <c r="B792" s="23"/>
      <c r="C792" s="15"/>
      <c r="D792" s="15"/>
      <c r="E792" s="15"/>
      <c r="F792" s="24"/>
      <c r="G792" s="17"/>
      <c r="H792" s="17"/>
      <c r="I792" s="15"/>
      <c r="J792" s="25">
        <f>IF($D792="","",IFERROR(INDEX(PacNome,MATCH($D792,PacCod,0)),"Paciente não cadastrado"))</f>
        <v>0</v>
      </c>
      <c r="K792" s="26">
        <f>IF($D792="","",IFERROR(INDEX(PacConv,MATCH($D792,PacCod,0))&amp;"",""))</f>
        <v>0</v>
      </c>
      <c r="L792" s="26">
        <f>IF($A792="","",CHOOSE(WEEKDAY($A792,2),"Seg","Ter","Qua","Qui","Sex","Sáb","Dom"))</f>
        <v>0</v>
      </c>
      <c r="M792" s="27">
        <f>IF($E792="","",IF($G792&lt;&gt;"",$G792,IFERROR(INDEX(ProcValor,MATCH($E792,ProcNome,0)),0)))</f>
        <v>0</v>
      </c>
      <c r="N792" s="27">
        <f>IF($M792="","",IF($F792="Compareceu",$M792,0))</f>
        <v>0</v>
      </c>
      <c r="O792" s="27">
        <f>IF($M792="","",IF($F792="Faltou",$M792,0))</f>
        <v>0</v>
      </c>
      <c r="P792" s="27">
        <f>IF($M792="","",IF($F792="Compareceu",MAX(0,$M792-N($H792)),0))</f>
        <v>0</v>
      </c>
      <c r="Q792" s="19">
        <f>IF(AND($F792="Compareceu",$E792&lt;&gt;"",$A792&lt;&gt;""),IF(IFERROR(INDEX(ProcRet,MATCH($E792,ProcNome,0)),0)&gt;0,$A792+INDEX(ProcRet,MATCH($E792,ProcNome,0)),""),"")</f>
        <v>0</v>
      </c>
      <c r="R792" s="26">
        <f>IF($Q792="","",IF(COUNTIFS(AgPac,$D792,AgData,"&gt;"&amp;$A792,AgStatus,"&lt;&gt;Cancelado",AgStatus,"&lt;&gt;Remarcado")&gt;0,"Sim","Não"))</f>
        <v>0</v>
      </c>
      <c r="S792" s="28">
        <f>IF($A792="","",IF(AND($F792="Agendado",$A792-Hoje&gt;=0,$A792-Hoje&lt;=DiasConf),"CONFIRMAR",IF(AND($A792&lt;Hoje,OR($F792="Agendado",$F792="Confirmado")),"Atualizar status",IF(AND($F792="Compareceu",$P792&gt;0.005),"Cobrar",IF($F792="Faltou","Falta: reagendar","")))))</f>
        <v>0</v>
      </c>
      <c r="T792" s="29">
        <f>IF($A792="","",DATE(YEAR($A792),MONTH($A792),1))</f>
        <v>0</v>
      </c>
      <c r="U792" s="30">
        <f>IF($S792="CONFIRMAR",MAX($U$4:$U791)+1,"")</f>
        <v>0</v>
      </c>
      <c r="V792" s="30">
        <f>IF(AND($R792="Não",$Q792&lt;&gt;"",$Q792&lt;=Hoje+JanelaRet,$Q792&gt;=Hoje-60),MAX($V$4:$V791)+1,"")</f>
        <v>0</v>
      </c>
    </row>
    <row r="793" spans="1:22">
      <c r="A793" s="16"/>
      <c r="B793" s="23"/>
      <c r="C793" s="15"/>
      <c r="D793" s="15"/>
      <c r="E793" s="15"/>
      <c r="F793" s="24"/>
      <c r="G793" s="17"/>
      <c r="H793" s="17"/>
      <c r="I793" s="15"/>
      <c r="J793" s="25">
        <f>IF($D793="","",IFERROR(INDEX(PacNome,MATCH($D793,PacCod,0)),"Paciente não cadastrado"))</f>
        <v>0</v>
      </c>
      <c r="K793" s="26">
        <f>IF($D793="","",IFERROR(INDEX(PacConv,MATCH($D793,PacCod,0))&amp;"",""))</f>
        <v>0</v>
      </c>
      <c r="L793" s="26">
        <f>IF($A793="","",CHOOSE(WEEKDAY($A793,2),"Seg","Ter","Qua","Qui","Sex","Sáb","Dom"))</f>
        <v>0</v>
      </c>
      <c r="M793" s="27">
        <f>IF($E793="","",IF($G793&lt;&gt;"",$G793,IFERROR(INDEX(ProcValor,MATCH($E793,ProcNome,0)),0)))</f>
        <v>0</v>
      </c>
      <c r="N793" s="27">
        <f>IF($M793="","",IF($F793="Compareceu",$M793,0))</f>
        <v>0</v>
      </c>
      <c r="O793" s="27">
        <f>IF($M793="","",IF($F793="Faltou",$M793,0))</f>
        <v>0</v>
      </c>
      <c r="P793" s="27">
        <f>IF($M793="","",IF($F793="Compareceu",MAX(0,$M793-N($H793)),0))</f>
        <v>0</v>
      </c>
      <c r="Q793" s="19">
        <f>IF(AND($F793="Compareceu",$E793&lt;&gt;"",$A793&lt;&gt;""),IF(IFERROR(INDEX(ProcRet,MATCH($E793,ProcNome,0)),0)&gt;0,$A793+INDEX(ProcRet,MATCH($E793,ProcNome,0)),""),"")</f>
        <v>0</v>
      </c>
      <c r="R793" s="26">
        <f>IF($Q793="","",IF(COUNTIFS(AgPac,$D793,AgData,"&gt;"&amp;$A793,AgStatus,"&lt;&gt;Cancelado",AgStatus,"&lt;&gt;Remarcado")&gt;0,"Sim","Não"))</f>
        <v>0</v>
      </c>
      <c r="S793" s="28">
        <f>IF($A793="","",IF(AND($F793="Agendado",$A793-Hoje&gt;=0,$A793-Hoje&lt;=DiasConf),"CONFIRMAR",IF(AND($A793&lt;Hoje,OR($F793="Agendado",$F793="Confirmado")),"Atualizar status",IF(AND($F793="Compareceu",$P793&gt;0.005),"Cobrar",IF($F793="Faltou","Falta: reagendar","")))))</f>
        <v>0</v>
      </c>
      <c r="T793" s="29">
        <f>IF($A793="","",DATE(YEAR($A793),MONTH($A793),1))</f>
        <v>0</v>
      </c>
      <c r="U793" s="30">
        <f>IF($S793="CONFIRMAR",MAX($U$4:$U792)+1,"")</f>
        <v>0</v>
      </c>
      <c r="V793" s="30">
        <f>IF(AND($R793="Não",$Q793&lt;&gt;"",$Q793&lt;=Hoje+JanelaRet,$Q793&gt;=Hoje-60),MAX($V$4:$V792)+1,"")</f>
        <v>0</v>
      </c>
    </row>
    <row r="794" spans="1:22">
      <c r="A794" s="16"/>
      <c r="B794" s="23"/>
      <c r="C794" s="15"/>
      <c r="D794" s="15"/>
      <c r="E794" s="15"/>
      <c r="F794" s="24"/>
      <c r="G794" s="17"/>
      <c r="H794" s="17"/>
      <c r="I794" s="15"/>
      <c r="J794" s="25">
        <f>IF($D794="","",IFERROR(INDEX(PacNome,MATCH($D794,PacCod,0)),"Paciente não cadastrado"))</f>
        <v>0</v>
      </c>
      <c r="K794" s="26">
        <f>IF($D794="","",IFERROR(INDEX(PacConv,MATCH($D794,PacCod,0))&amp;"",""))</f>
        <v>0</v>
      </c>
      <c r="L794" s="26">
        <f>IF($A794="","",CHOOSE(WEEKDAY($A794,2),"Seg","Ter","Qua","Qui","Sex","Sáb","Dom"))</f>
        <v>0</v>
      </c>
      <c r="M794" s="27">
        <f>IF($E794="","",IF($G794&lt;&gt;"",$G794,IFERROR(INDEX(ProcValor,MATCH($E794,ProcNome,0)),0)))</f>
        <v>0</v>
      </c>
      <c r="N794" s="27">
        <f>IF($M794="","",IF($F794="Compareceu",$M794,0))</f>
        <v>0</v>
      </c>
      <c r="O794" s="27">
        <f>IF($M794="","",IF($F794="Faltou",$M794,0))</f>
        <v>0</v>
      </c>
      <c r="P794" s="27">
        <f>IF($M794="","",IF($F794="Compareceu",MAX(0,$M794-N($H794)),0))</f>
        <v>0</v>
      </c>
      <c r="Q794" s="19">
        <f>IF(AND($F794="Compareceu",$E794&lt;&gt;"",$A794&lt;&gt;""),IF(IFERROR(INDEX(ProcRet,MATCH($E794,ProcNome,0)),0)&gt;0,$A794+INDEX(ProcRet,MATCH($E794,ProcNome,0)),""),"")</f>
        <v>0</v>
      </c>
      <c r="R794" s="26">
        <f>IF($Q794="","",IF(COUNTIFS(AgPac,$D794,AgData,"&gt;"&amp;$A794,AgStatus,"&lt;&gt;Cancelado",AgStatus,"&lt;&gt;Remarcado")&gt;0,"Sim","Não"))</f>
        <v>0</v>
      </c>
      <c r="S794" s="28">
        <f>IF($A794="","",IF(AND($F794="Agendado",$A794-Hoje&gt;=0,$A794-Hoje&lt;=DiasConf),"CONFIRMAR",IF(AND($A794&lt;Hoje,OR($F794="Agendado",$F794="Confirmado")),"Atualizar status",IF(AND($F794="Compareceu",$P794&gt;0.005),"Cobrar",IF($F794="Faltou","Falta: reagendar","")))))</f>
        <v>0</v>
      </c>
      <c r="T794" s="29">
        <f>IF($A794="","",DATE(YEAR($A794),MONTH($A794),1))</f>
        <v>0</v>
      </c>
      <c r="U794" s="30">
        <f>IF($S794="CONFIRMAR",MAX($U$4:$U793)+1,"")</f>
        <v>0</v>
      </c>
      <c r="V794" s="30">
        <f>IF(AND($R794="Não",$Q794&lt;&gt;"",$Q794&lt;=Hoje+JanelaRet,$Q794&gt;=Hoje-60),MAX($V$4:$V793)+1,"")</f>
        <v>0</v>
      </c>
    </row>
    <row r="795" spans="1:22">
      <c r="A795" s="16"/>
      <c r="B795" s="23"/>
      <c r="C795" s="15"/>
      <c r="D795" s="15"/>
      <c r="E795" s="15"/>
      <c r="F795" s="24"/>
      <c r="G795" s="17"/>
      <c r="H795" s="17"/>
      <c r="I795" s="15"/>
      <c r="J795" s="25">
        <f>IF($D795="","",IFERROR(INDEX(PacNome,MATCH($D795,PacCod,0)),"Paciente não cadastrado"))</f>
        <v>0</v>
      </c>
      <c r="K795" s="26">
        <f>IF($D795="","",IFERROR(INDEX(PacConv,MATCH($D795,PacCod,0))&amp;"",""))</f>
        <v>0</v>
      </c>
      <c r="L795" s="26">
        <f>IF($A795="","",CHOOSE(WEEKDAY($A795,2),"Seg","Ter","Qua","Qui","Sex","Sáb","Dom"))</f>
        <v>0</v>
      </c>
      <c r="M795" s="27">
        <f>IF($E795="","",IF($G795&lt;&gt;"",$G795,IFERROR(INDEX(ProcValor,MATCH($E795,ProcNome,0)),0)))</f>
        <v>0</v>
      </c>
      <c r="N795" s="27">
        <f>IF($M795="","",IF($F795="Compareceu",$M795,0))</f>
        <v>0</v>
      </c>
      <c r="O795" s="27">
        <f>IF($M795="","",IF($F795="Faltou",$M795,0))</f>
        <v>0</v>
      </c>
      <c r="P795" s="27">
        <f>IF($M795="","",IF($F795="Compareceu",MAX(0,$M795-N($H795)),0))</f>
        <v>0</v>
      </c>
      <c r="Q795" s="19">
        <f>IF(AND($F795="Compareceu",$E795&lt;&gt;"",$A795&lt;&gt;""),IF(IFERROR(INDEX(ProcRet,MATCH($E795,ProcNome,0)),0)&gt;0,$A795+INDEX(ProcRet,MATCH($E795,ProcNome,0)),""),"")</f>
        <v>0</v>
      </c>
      <c r="R795" s="26">
        <f>IF($Q795="","",IF(COUNTIFS(AgPac,$D795,AgData,"&gt;"&amp;$A795,AgStatus,"&lt;&gt;Cancelado",AgStatus,"&lt;&gt;Remarcado")&gt;0,"Sim","Não"))</f>
        <v>0</v>
      </c>
      <c r="S795" s="28">
        <f>IF($A795="","",IF(AND($F795="Agendado",$A795-Hoje&gt;=0,$A795-Hoje&lt;=DiasConf),"CONFIRMAR",IF(AND($A795&lt;Hoje,OR($F795="Agendado",$F795="Confirmado")),"Atualizar status",IF(AND($F795="Compareceu",$P795&gt;0.005),"Cobrar",IF($F795="Faltou","Falta: reagendar","")))))</f>
        <v>0</v>
      </c>
      <c r="T795" s="29">
        <f>IF($A795="","",DATE(YEAR($A795),MONTH($A795),1))</f>
        <v>0</v>
      </c>
      <c r="U795" s="30">
        <f>IF($S795="CONFIRMAR",MAX($U$4:$U794)+1,"")</f>
        <v>0</v>
      </c>
      <c r="V795" s="30">
        <f>IF(AND($R795="Não",$Q795&lt;&gt;"",$Q795&lt;=Hoje+JanelaRet,$Q795&gt;=Hoje-60),MAX($V$4:$V794)+1,"")</f>
        <v>0</v>
      </c>
    </row>
    <row r="796" spans="1:22">
      <c r="A796" s="16"/>
      <c r="B796" s="23"/>
      <c r="C796" s="15"/>
      <c r="D796" s="15"/>
      <c r="E796" s="15"/>
      <c r="F796" s="24"/>
      <c r="G796" s="17"/>
      <c r="H796" s="17"/>
      <c r="I796" s="15"/>
      <c r="J796" s="25">
        <f>IF($D796="","",IFERROR(INDEX(PacNome,MATCH($D796,PacCod,0)),"Paciente não cadastrado"))</f>
        <v>0</v>
      </c>
      <c r="K796" s="26">
        <f>IF($D796="","",IFERROR(INDEX(PacConv,MATCH($D796,PacCod,0))&amp;"",""))</f>
        <v>0</v>
      </c>
      <c r="L796" s="26">
        <f>IF($A796="","",CHOOSE(WEEKDAY($A796,2),"Seg","Ter","Qua","Qui","Sex","Sáb","Dom"))</f>
        <v>0</v>
      </c>
      <c r="M796" s="27">
        <f>IF($E796="","",IF($G796&lt;&gt;"",$G796,IFERROR(INDEX(ProcValor,MATCH($E796,ProcNome,0)),0)))</f>
        <v>0</v>
      </c>
      <c r="N796" s="27">
        <f>IF($M796="","",IF($F796="Compareceu",$M796,0))</f>
        <v>0</v>
      </c>
      <c r="O796" s="27">
        <f>IF($M796="","",IF($F796="Faltou",$M796,0))</f>
        <v>0</v>
      </c>
      <c r="P796" s="27">
        <f>IF($M796="","",IF($F796="Compareceu",MAX(0,$M796-N($H796)),0))</f>
        <v>0</v>
      </c>
      <c r="Q796" s="19">
        <f>IF(AND($F796="Compareceu",$E796&lt;&gt;"",$A796&lt;&gt;""),IF(IFERROR(INDEX(ProcRet,MATCH($E796,ProcNome,0)),0)&gt;0,$A796+INDEX(ProcRet,MATCH($E796,ProcNome,0)),""),"")</f>
        <v>0</v>
      </c>
      <c r="R796" s="26">
        <f>IF($Q796="","",IF(COUNTIFS(AgPac,$D796,AgData,"&gt;"&amp;$A796,AgStatus,"&lt;&gt;Cancelado",AgStatus,"&lt;&gt;Remarcado")&gt;0,"Sim","Não"))</f>
        <v>0</v>
      </c>
      <c r="S796" s="28">
        <f>IF($A796="","",IF(AND($F796="Agendado",$A796-Hoje&gt;=0,$A796-Hoje&lt;=DiasConf),"CONFIRMAR",IF(AND($A796&lt;Hoje,OR($F796="Agendado",$F796="Confirmado")),"Atualizar status",IF(AND($F796="Compareceu",$P796&gt;0.005),"Cobrar",IF($F796="Faltou","Falta: reagendar","")))))</f>
        <v>0</v>
      </c>
      <c r="T796" s="29">
        <f>IF($A796="","",DATE(YEAR($A796),MONTH($A796),1))</f>
        <v>0</v>
      </c>
      <c r="U796" s="30">
        <f>IF($S796="CONFIRMAR",MAX($U$4:$U795)+1,"")</f>
        <v>0</v>
      </c>
      <c r="V796" s="30">
        <f>IF(AND($R796="Não",$Q796&lt;&gt;"",$Q796&lt;=Hoje+JanelaRet,$Q796&gt;=Hoje-60),MAX($V$4:$V795)+1,"")</f>
        <v>0</v>
      </c>
    </row>
    <row r="797" spans="1:22">
      <c r="A797" s="16"/>
      <c r="B797" s="23"/>
      <c r="C797" s="15"/>
      <c r="D797" s="15"/>
      <c r="E797" s="15"/>
      <c r="F797" s="24"/>
      <c r="G797" s="17"/>
      <c r="H797" s="17"/>
      <c r="I797" s="15"/>
      <c r="J797" s="25">
        <f>IF($D797="","",IFERROR(INDEX(PacNome,MATCH($D797,PacCod,0)),"Paciente não cadastrado"))</f>
        <v>0</v>
      </c>
      <c r="K797" s="26">
        <f>IF($D797="","",IFERROR(INDEX(PacConv,MATCH($D797,PacCod,0))&amp;"",""))</f>
        <v>0</v>
      </c>
      <c r="L797" s="26">
        <f>IF($A797="","",CHOOSE(WEEKDAY($A797,2),"Seg","Ter","Qua","Qui","Sex","Sáb","Dom"))</f>
        <v>0</v>
      </c>
      <c r="M797" s="27">
        <f>IF($E797="","",IF($G797&lt;&gt;"",$G797,IFERROR(INDEX(ProcValor,MATCH($E797,ProcNome,0)),0)))</f>
        <v>0</v>
      </c>
      <c r="N797" s="27">
        <f>IF($M797="","",IF($F797="Compareceu",$M797,0))</f>
        <v>0</v>
      </c>
      <c r="O797" s="27">
        <f>IF($M797="","",IF($F797="Faltou",$M797,0))</f>
        <v>0</v>
      </c>
      <c r="P797" s="27">
        <f>IF($M797="","",IF($F797="Compareceu",MAX(0,$M797-N($H797)),0))</f>
        <v>0</v>
      </c>
      <c r="Q797" s="19">
        <f>IF(AND($F797="Compareceu",$E797&lt;&gt;"",$A797&lt;&gt;""),IF(IFERROR(INDEX(ProcRet,MATCH($E797,ProcNome,0)),0)&gt;0,$A797+INDEX(ProcRet,MATCH($E797,ProcNome,0)),""),"")</f>
        <v>0</v>
      </c>
      <c r="R797" s="26">
        <f>IF($Q797="","",IF(COUNTIFS(AgPac,$D797,AgData,"&gt;"&amp;$A797,AgStatus,"&lt;&gt;Cancelado",AgStatus,"&lt;&gt;Remarcado")&gt;0,"Sim","Não"))</f>
        <v>0</v>
      </c>
      <c r="S797" s="28">
        <f>IF($A797="","",IF(AND($F797="Agendado",$A797-Hoje&gt;=0,$A797-Hoje&lt;=DiasConf),"CONFIRMAR",IF(AND($A797&lt;Hoje,OR($F797="Agendado",$F797="Confirmado")),"Atualizar status",IF(AND($F797="Compareceu",$P797&gt;0.005),"Cobrar",IF($F797="Faltou","Falta: reagendar","")))))</f>
        <v>0</v>
      </c>
      <c r="T797" s="29">
        <f>IF($A797="","",DATE(YEAR($A797),MONTH($A797),1))</f>
        <v>0</v>
      </c>
      <c r="U797" s="30">
        <f>IF($S797="CONFIRMAR",MAX($U$4:$U796)+1,"")</f>
        <v>0</v>
      </c>
      <c r="V797" s="30">
        <f>IF(AND($R797="Não",$Q797&lt;&gt;"",$Q797&lt;=Hoje+JanelaRet,$Q797&gt;=Hoje-60),MAX($V$4:$V796)+1,"")</f>
        <v>0</v>
      </c>
    </row>
    <row r="798" spans="1:22">
      <c r="A798" s="16"/>
      <c r="B798" s="23"/>
      <c r="C798" s="15"/>
      <c r="D798" s="15"/>
      <c r="E798" s="15"/>
      <c r="F798" s="24"/>
      <c r="G798" s="17"/>
      <c r="H798" s="17"/>
      <c r="I798" s="15"/>
      <c r="J798" s="25">
        <f>IF($D798="","",IFERROR(INDEX(PacNome,MATCH($D798,PacCod,0)),"Paciente não cadastrado"))</f>
        <v>0</v>
      </c>
      <c r="K798" s="26">
        <f>IF($D798="","",IFERROR(INDEX(PacConv,MATCH($D798,PacCod,0))&amp;"",""))</f>
        <v>0</v>
      </c>
      <c r="L798" s="26">
        <f>IF($A798="","",CHOOSE(WEEKDAY($A798,2),"Seg","Ter","Qua","Qui","Sex","Sáb","Dom"))</f>
        <v>0</v>
      </c>
      <c r="M798" s="27">
        <f>IF($E798="","",IF($G798&lt;&gt;"",$G798,IFERROR(INDEX(ProcValor,MATCH($E798,ProcNome,0)),0)))</f>
        <v>0</v>
      </c>
      <c r="N798" s="27">
        <f>IF($M798="","",IF($F798="Compareceu",$M798,0))</f>
        <v>0</v>
      </c>
      <c r="O798" s="27">
        <f>IF($M798="","",IF($F798="Faltou",$M798,0))</f>
        <v>0</v>
      </c>
      <c r="P798" s="27">
        <f>IF($M798="","",IF($F798="Compareceu",MAX(0,$M798-N($H798)),0))</f>
        <v>0</v>
      </c>
      <c r="Q798" s="19">
        <f>IF(AND($F798="Compareceu",$E798&lt;&gt;"",$A798&lt;&gt;""),IF(IFERROR(INDEX(ProcRet,MATCH($E798,ProcNome,0)),0)&gt;0,$A798+INDEX(ProcRet,MATCH($E798,ProcNome,0)),""),"")</f>
        <v>0</v>
      </c>
      <c r="R798" s="26">
        <f>IF($Q798="","",IF(COUNTIFS(AgPac,$D798,AgData,"&gt;"&amp;$A798,AgStatus,"&lt;&gt;Cancelado",AgStatus,"&lt;&gt;Remarcado")&gt;0,"Sim","Não"))</f>
        <v>0</v>
      </c>
      <c r="S798" s="28">
        <f>IF($A798="","",IF(AND($F798="Agendado",$A798-Hoje&gt;=0,$A798-Hoje&lt;=DiasConf),"CONFIRMAR",IF(AND($A798&lt;Hoje,OR($F798="Agendado",$F798="Confirmado")),"Atualizar status",IF(AND($F798="Compareceu",$P798&gt;0.005),"Cobrar",IF($F798="Faltou","Falta: reagendar","")))))</f>
        <v>0</v>
      </c>
      <c r="T798" s="29">
        <f>IF($A798="","",DATE(YEAR($A798),MONTH($A798),1))</f>
        <v>0</v>
      </c>
      <c r="U798" s="30">
        <f>IF($S798="CONFIRMAR",MAX($U$4:$U797)+1,"")</f>
        <v>0</v>
      </c>
      <c r="V798" s="30">
        <f>IF(AND($R798="Não",$Q798&lt;&gt;"",$Q798&lt;=Hoje+JanelaRet,$Q798&gt;=Hoje-60),MAX($V$4:$V797)+1,"")</f>
        <v>0</v>
      </c>
    </row>
    <row r="799" spans="1:22">
      <c r="A799" s="16"/>
      <c r="B799" s="23"/>
      <c r="C799" s="15"/>
      <c r="D799" s="15"/>
      <c r="E799" s="15"/>
      <c r="F799" s="24"/>
      <c r="G799" s="17"/>
      <c r="H799" s="17"/>
      <c r="I799" s="15"/>
      <c r="J799" s="25">
        <f>IF($D799="","",IFERROR(INDEX(PacNome,MATCH($D799,PacCod,0)),"Paciente não cadastrado"))</f>
        <v>0</v>
      </c>
      <c r="K799" s="26">
        <f>IF($D799="","",IFERROR(INDEX(PacConv,MATCH($D799,PacCod,0))&amp;"",""))</f>
        <v>0</v>
      </c>
      <c r="L799" s="26">
        <f>IF($A799="","",CHOOSE(WEEKDAY($A799,2),"Seg","Ter","Qua","Qui","Sex","Sáb","Dom"))</f>
        <v>0</v>
      </c>
      <c r="M799" s="27">
        <f>IF($E799="","",IF($G799&lt;&gt;"",$G799,IFERROR(INDEX(ProcValor,MATCH($E799,ProcNome,0)),0)))</f>
        <v>0</v>
      </c>
      <c r="N799" s="27">
        <f>IF($M799="","",IF($F799="Compareceu",$M799,0))</f>
        <v>0</v>
      </c>
      <c r="O799" s="27">
        <f>IF($M799="","",IF($F799="Faltou",$M799,0))</f>
        <v>0</v>
      </c>
      <c r="P799" s="27">
        <f>IF($M799="","",IF($F799="Compareceu",MAX(0,$M799-N($H799)),0))</f>
        <v>0</v>
      </c>
      <c r="Q799" s="19">
        <f>IF(AND($F799="Compareceu",$E799&lt;&gt;"",$A799&lt;&gt;""),IF(IFERROR(INDEX(ProcRet,MATCH($E799,ProcNome,0)),0)&gt;0,$A799+INDEX(ProcRet,MATCH($E799,ProcNome,0)),""),"")</f>
        <v>0</v>
      </c>
      <c r="R799" s="26">
        <f>IF($Q799="","",IF(COUNTIFS(AgPac,$D799,AgData,"&gt;"&amp;$A799,AgStatus,"&lt;&gt;Cancelado",AgStatus,"&lt;&gt;Remarcado")&gt;0,"Sim","Não"))</f>
        <v>0</v>
      </c>
      <c r="S799" s="28">
        <f>IF($A799="","",IF(AND($F799="Agendado",$A799-Hoje&gt;=0,$A799-Hoje&lt;=DiasConf),"CONFIRMAR",IF(AND($A799&lt;Hoje,OR($F799="Agendado",$F799="Confirmado")),"Atualizar status",IF(AND($F799="Compareceu",$P799&gt;0.005),"Cobrar",IF($F799="Faltou","Falta: reagendar","")))))</f>
        <v>0</v>
      </c>
      <c r="T799" s="29">
        <f>IF($A799="","",DATE(YEAR($A799),MONTH($A799),1))</f>
        <v>0</v>
      </c>
      <c r="U799" s="30">
        <f>IF($S799="CONFIRMAR",MAX($U$4:$U798)+1,"")</f>
        <v>0</v>
      </c>
      <c r="V799" s="30">
        <f>IF(AND($R799="Não",$Q799&lt;&gt;"",$Q799&lt;=Hoje+JanelaRet,$Q799&gt;=Hoje-60),MAX($V$4:$V798)+1,"")</f>
        <v>0</v>
      </c>
    </row>
    <row r="800" spans="1:22">
      <c r="A800" s="16"/>
      <c r="B800" s="23"/>
      <c r="C800" s="15"/>
      <c r="D800" s="15"/>
      <c r="E800" s="15"/>
      <c r="F800" s="24"/>
      <c r="G800" s="17"/>
      <c r="H800" s="17"/>
      <c r="I800" s="15"/>
      <c r="J800" s="25">
        <f>IF($D800="","",IFERROR(INDEX(PacNome,MATCH($D800,PacCod,0)),"Paciente não cadastrado"))</f>
        <v>0</v>
      </c>
      <c r="K800" s="26">
        <f>IF($D800="","",IFERROR(INDEX(PacConv,MATCH($D800,PacCod,0))&amp;"",""))</f>
        <v>0</v>
      </c>
      <c r="L800" s="26">
        <f>IF($A800="","",CHOOSE(WEEKDAY($A800,2),"Seg","Ter","Qua","Qui","Sex","Sáb","Dom"))</f>
        <v>0</v>
      </c>
      <c r="M800" s="27">
        <f>IF($E800="","",IF($G800&lt;&gt;"",$G800,IFERROR(INDEX(ProcValor,MATCH($E800,ProcNome,0)),0)))</f>
        <v>0</v>
      </c>
      <c r="N800" s="27">
        <f>IF($M800="","",IF($F800="Compareceu",$M800,0))</f>
        <v>0</v>
      </c>
      <c r="O800" s="27">
        <f>IF($M800="","",IF($F800="Faltou",$M800,0))</f>
        <v>0</v>
      </c>
      <c r="P800" s="27">
        <f>IF($M800="","",IF($F800="Compareceu",MAX(0,$M800-N($H800)),0))</f>
        <v>0</v>
      </c>
      <c r="Q800" s="19">
        <f>IF(AND($F800="Compareceu",$E800&lt;&gt;"",$A800&lt;&gt;""),IF(IFERROR(INDEX(ProcRet,MATCH($E800,ProcNome,0)),0)&gt;0,$A800+INDEX(ProcRet,MATCH($E800,ProcNome,0)),""),"")</f>
        <v>0</v>
      </c>
      <c r="R800" s="26">
        <f>IF($Q800="","",IF(COUNTIFS(AgPac,$D800,AgData,"&gt;"&amp;$A800,AgStatus,"&lt;&gt;Cancelado",AgStatus,"&lt;&gt;Remarcado")&gt;0,"Sim","Não"))</f>
        <v>0</v>
      </c>
      <c r="S800" s="28">
        <f>IF($A800="","",IF(AND($F800="Agendado",$A800-Hoje&gt;=0,$A800-Hoje&lt;=DiasConf),"CONFIRMAR",IF(AND($A800&lt;Hoje,OR($F800="Agendado",$F800="Confirmado")),"Atualizar status",IF(AND($F800="Compareceu",$P800&gt;0.005),"Cobrar",IF($F800="Faltou","Falta: reagendar","")))))</f>
        <v>0</v>
      </c>
      <c r="T800" s="29">
        <f>IF($A800="","",DATE(YEAR($A800),MONTH($A800),1))</f>
        <v>0</v>
      </c>
      <c r="U800" s="30">
        <f>IF($S800="CONFIRMAR",MAX($U$4:$U799)+1,"")</f>
        <v>0</v>
      </c>
      <c r="V800" s="30">
        <f>IF(AND($R800="Não",$Q800&lt;&gt;"",$Q800&lt;=Hoje+JanelaRet,$Q800&gt;=Hoje-60),MAX($V$4:$V799)+1,"")</f>
        <v>0</v>
      </c>
    </row>
    <row r="801" spans="1:22">
      <c r="A801" s="16"/>
      <c r="B801" s="23"/>
      <c r="C801" s="15"/>
      <c r="D801" s="15"/>
      <c r="E801" s="15"/>
      <c r="F801" s="24"/>
      <c r="G801" s="17"/>
      <c r="H801" s="17"/>
      <c r="I801" s="15"/>
      <c r="J801" s="25">
        <f>IF($D801="","",IFERROR(INDEX(PacNome,MATCH($D801,PacCod,0)),"Paciente não cadastrado"))</f>
        <v>0</v>
      </c>
      <c r="K801" s="26">
        <f>IF($D801="","",IFERROR(INDEX(PacConv,MATCH($D801,PacCod,0))&amp;"",""))</f>
        <v>0</v>
      </c>
      <c r="L801" s="26">
        <f>IF($A801="","",CHOOSE(WEEKDAY($A801,2),"Seg","Ter","Qua","Qui","Sex","Sáb","Dom"))</f>
        <v>0</v>
      </c>
      <c r="M801" s="27">
        <f>IF($E801="","",IF($G801&lt;&gt;"",$G801,IFERROR(INDEX(ProcValor,MATCH($E801,ProcNome,0)),0)))</f>
        <v>0</v>
      </c>
      <c r="N801" s="27">
        <f>IF($M801="","",IF($F801="Compareceu",$M801,0))</f>
        <v>0</v>
      </c>
      <c r="O801" s="27">
        <f>IF($M801="","",IF($F801="Faltou",$M801,0))</f>
        <v>0</v>
      </c>
      <c r="P801" s="27">
        <f>IF($M801="","",IF($F801="Compareceu",MAX(0,$M801-N($H801)),0))</f>
        <v>0</v>
      </c>
      <c r="Q801" s="19">
        <f>IF(AND($F801="Compareceu",$E801&lt;&gt;"",$A801&lt;&gt;""),IF(IFERROR(INDEX(ProcRet,MATCH($E801,ProcNome,0)),0)&gt;0,$A801+INDEX(ProcRet,MATCH($E801,ProcNome,0)),""),"")</f>
        <v>0</v>
      </c>
      <c r="R801" s="26">
        <f>IF($Q801="","",IF(COUNTIFS(AgPac,$D801,AgData,"&gt;"&amp;$A801,AgStatus,"&lt;&gt;Cancelado",AgStatus,"&lt;&gt;Remarcado")&gt;0,"Sim","Não"))</f>
        <v>0</v>
      </c>
      <c r="S801" s="28">
        <f>IF($A801="","",IF(AND($F801="Agendado",$A801-Hoje&gt;=0,$A801-Hoje&lt;=DiasConf),"CONFIRMAR",IF(AND($A801&lt;Hoje,OR($F801="Agendado",$F801="Confirmado")),"Atualizar status",IF(AND($F801="Compareceu",$P801&gt;0.005),"Cobrar",IF($F801="Faltou","Falta: reagendar","")))))</f>
        <v>0</v>
      </c>
      <c r="T801" s="29">
        <f>IF($A801="","",DATE(YEAR($A801),MONTH($A801),1))</f>
        <v>0</v>
      </c>
      <c r="U801" s="30">
        <f>IF($S801="CONFIRMAR",MAX($U$4:$U800)+1,"")</f>
        <v>0</v>
      </c>
      <c r="V801" s="30">
        <f>IF(AND($R801="Não",$Q801&lt;&gt;"",$Q801&lt;=Hoje+JanelaRet,$Q801&gt;=Hoje-60),MAX($V$4:$V800)+1,"")</f>
        <v>0</v>
      </c>
    </row>
    <row r="802" spans="1:22">
      <c r="A802" s="16"/>
      <c r="B802" s="23"/>
      <c r="C802" s="15"/>
      <c r="D802" s="15"/>
      <c r="E802" s="15"/>
      <c r="F802" s="24"/>
      <c r="G802" s="17"/>
      <c r="H802" s="17"/>
      <c r="I802" s="15"/>
      <c r="J802" s="25">
        <f>IF($D802="","",IFERROR(INDEX(PacNome,MATCH($D802,PacCod,0)),"Paciente não cadastrado"))</f>
        <v>0</v>
      </c>
      <c r="K802" s="26">
        <f>IF($D802="","",IFERROR(INDEX(PacConv,MATCH($D802,PacCod,0))&amp;"",""))</f>
        <v>0</v>
      </c>
      <c r="L802" s="26">
        <f>IF($A802="","",CHOOSE(WEEKDAY($A802,2),"Seg","Ter","Qua","Qui","Sex","Sáb","Dom"))</f>
        <v>0</v>
      </c>
      <c r="M802" s="27">
        <f>IF($E802="","",IF($G802&lt;&gt;"",$G802,IFERROR(INDEX(ProcValor,MATCH($E802,ProcNome,0)),0)))</f>
        <v>0</v>
      </c>
      <c r="N802" s="27">
        <f>IF($M802="","",IF($F802="Compareceu",$M802,0))</f>
        <v>0</v>
      </c>
      <c r="O802" s="27">
        <f>IF($M802="","",IF($F802="Faltou",$M802,0))</f>
        <v>0</v>
      </c>
      <c r="P802" s="27">
        <f>IF($M802="","",IF($F802="Compareceu",MAX(0,$M802-N($H802)),0))</f>
        <v>0</v>
      </c>
      <c r="Q802" s="19">
        <f>IF(AND($F802="Compareceu",$E802&lt;&gt;"",$A802&lt;&gt;""),IF(IFERROR(INDEX(ProcRet,MATCH($E802,ProcNome,0)),0)&gt;0,$A802+INDEX(ProcRet,MATCH($E802,ProcNome,0)),""),"")</f>
        <v>0</v>
      </c>
      <c r="R802" s="26">
        <f>IF($Q802="","",IF(COUNTIFS(AgPac,$D802,AgData,"&gt;"&amp;$A802,AgStatus,"&lt;&gt;Cancelado",AgStatus,"&lt;&gt;Remarcado")&gt;0,"Sim","Não"))</f>
        <v>0</v>
      </c>
      <c r="S802" s="28">
        <f>IF($A802="","",IF(AND($F802="Agendado",$A802-Hoje&gt;=0,$A802-Hoje&lt;=DiasConf),"CONFIRMAR",IF(AND($A802&lt;Hoje,OR($F802="Agendado",$F802="Confirmado")),"Atualizar status",IF(AND($F802="Compareceu",$P802&gt;0.005),"Cobrar",IF($F802="Faltou","Falta: reagendar","")))))</f>
        <v>0</v>
      </c>
      <c r="T802" s="29">
        <f>IF($A802="","",DATE(YEAR($A802),MONTH($A802),1))</f>
        <v>0</v>
      </c>
      <c r="U802" s="30">
        <f>IF($S802="CONFIRMAR",MAX($U$4:$U801)+1,"")</f>
        <v>0</v>
      </c>
      <c r="V802" s="30">
        <f>IF(AND($R802="Não",$Q802&lt;&gt;"",$Q802&lt;=Hoje+JanelaRet,$Q802&gt;=Hoje-60),MAX($V$4:$V801)+1,"")</f>
        <v>0</v>
      </c>
    </row>
    <row r="803" spans="1:22">
      <c r="A803" s="16"/>
      <c r="B803" s="23"/>
      <c r="C803" s="15"/>
      <c r="D803" s="15"/>
      <c r="E803" s="15"/>
      <c r="F803" s="24"/>
      <c r="G803" s="17"/>
      <c r="H803" s="17"/>
      <c r="I803" s="15"/>
      <c r="J803" s="25">
        <f>IF($D803="","",IFERROR(INDEX(PacNome,MATCH($D803,PacCod,0)),"Paciente não cadastrado"))</f>
        <v>0</v>
      </c>
      <c r="K803" s="26">
        <f>IF($D803="","",IFERROR(INDEX(PacConv,MATCH($D803,PacCod,0))&amp;"",""))</f>
        <v>0</v>
      </c>
      <c r="L803" s="26">
        <f>IF($A803="","",CHOOSE(WEEKDAY($A803,2),"Seg","Ter","Qua","Qui","Sex","Sáb","Dom"))</f>
        <v>0</v>
      </c>
      <c r="M803" s="27">
        <f>IF($E803="","",IF($G803&lt;&gt;"",$G803,IFERROR(INDEX(ProcValor,MATCH($E803,ProcNome,0)),0)))</f>
        <v>0</v>
      </c>
      <c r="N803" s="27">
        <f>IF($M803="","",IF($F803="Compareceu",$M803,0))</f>
        <v>0</v>
      </c>
      <c r="O803" s="27">
        <f>IF($M803="","",IF($F803="Faltou",$M803,0))</f>
        <v>0</v>
      </c>
      <c r="P803" s="27">
        <f>IF($M803="","",IF($F803="Compareceu",MAX(0,$M803-N($H803)),0))</f>
        <v>0</v>
      </c>
      <c r="Q803" s="19">
        <f>IF(AND($F803="Compareceu",$E803&lt;&gt;"",$A803&lt;&gt;""),IF(IFERROR(INDEX(ProcRet,MATCH($E803,ProcNome,0)),0)&gt;0,$A803+INDEX(ProcRet,MATCH($E803,ProcNome,0)),""),"")</f>
        <v>0</v>
      </c>
      <c r="R803" s="26">
        <f>IF($Q803="","",IF(COUNTIFS(AgPac,$D803,AgData,"&gt;"&amp;$A803,AgStatus,"&lt;&gt;Cancelado",AgStatus,"&lt;&gt;Remarcado")&gt;0,"Sim","Não"))</f>
        <v>0</v>
      </c>
      <c r="S803" s="28">
        <f>IF($A803="","",IF(AND($F803="Agendado",$A803-Hoje&gt;=0,$A803-Hoje&lt;=DiasConf),"CONFIRMAR",IF(AND($A803&lt;Hoje,OR($F803="Agendado",$F803="Confirmado")),"Atualizar status",IF(AND($F803="Compareceu",$P803&gt;0.005),"Cobrar",IF($F803="Faltou","Falta: reagendar","")))))</f>
        <v>0</v>
      </c>
      <c r="T803" s="29">
        <f>IF($A803="","",DATE(YEAR($A803),MONTH($A803),1))</f>
        <v>0</v>
      </c>
      <c r="U803" s="30">
        <f>IF($S803="CONFIRMAR",MAX($U$4:$U802)+1,"")</f>
        <v>0</v>
      </c>
      <c r="V803" s="30">
        <f>IF(AND($R803="Não",$Q803&lt;&gt;"",$Q803&lt;=Hoje+JanelaRet,$Q803&gt;=Hoje-60),MAX($V$4:$V802)+1,"")</f>
        <v>0</v>
      </c>
    </row>
    <row r="804" spans="1:22">
      <c r="A804" s="16"/>
      <c r="B804" s="23"/>
      <c r="C804" s="15"/>
      <c r="D804" s="15"/>
      <c r="E804" s="15"/>
      <c r="F804" s="24"/>
      <c r="G804" s="17"/>
      <c r="H804" s="17"/>
      <c r="I804" s="15"/>
      <c r="J804" s="25">
        <f>IF($D804="","",IFERROR(INDEX(PacNome,MATCH($D804,PacCod,0)),"Paciente não cadastrado"))</f>
        <v>0</v>
      </c>
      <c r="K804" s="26">
        <f>IF($D804="","",IFERROR(INDEX(PacConv,MATCH($D804,PacCod,0))&amp;"",""))</f>
        <v>0</v>
      </c>
      <c r="L804" s="26">
        <f>IF($A804="","",CHOOSE(WEEKDAY($A804,2),"Seg","Ter","Qua","Qui","Sex","Sáb","Dom"))</f>
        <v>0</v>
      </c>
      <c r="M804" s="27">
        <f>IF($E804="","",IF($G804&lt;&gt;"",$G804,IFERROR(INDEX(ProcValor,MATCH($E804,ProcNome,0)),0)))</f>
        <v>0</v>
      </c>
      <c r="N804" s="27">
        <f>IF($M804="","",IF($F804="Compareceu",$M804,0))</f>
        <v>0</v>
      </c>
      <c r="O804" s="27">
        <f>IF($M804="","",IF($F804="Faltou",$M804,0))</f>
        <v>0</v>
      </c>
      <c r="P804" s="27">
        <f>IF($M804="","",IF($F804="Compareceu",MAX(0,$M804-N($H804)),0))</f>
        <v>0</v>
      </c>
      <c r="Q804" s="19">
        <f>IF(AND($F804="Compareceu",$E804&lt;&gt;"",$A804&lt;&gt;""),IF(IFERROR(INDEX(ProcRet,MATCH($E804,ProcNome,0)),0)&gt;0,$A804+INDEX(ProcRet,MATCH($E804,ProcNome,0)),""),"")</f>
        <v>0</v>
      </c>
      <c r="R804" s="26">
        <f>IF($Q804="","",IF(COUNTIFS(AgPac,$D804,AgData,"&gt;"&amp;$A804,AgStatus,"&lt;&gt;Cancelado",AgStatus,"&lt;&gt;Remarcado")&gt;0,"Sim","Não"))</f>
        <v>0</v>
      </c>
      <c r="S804" s="28">
        <f>IF($A804="","",IF(AND($F804="Agendado",$A804-Hoje&gt;=0,$A804-Hoje&lt;=DiasConf),"CONFIRMAR",IF(AND($A804&lt;Hoje,OR($F804="Agendado",$F804="Confirmado")),"Atualizar status",IF(AND($F804="Compareceu",$P804&gt;0.005),"Cobrar",IF($F804="Faltou","Falta: reagendar","")))))</f>
        <v>0</v>
      </c>
      <c r="T804" s="29">
        <f>IF($A804="","",DATE(YEAR($A804),MONTH($A804),1))</f>
        <v>0</v>
      </c>
      <c r="U804" s="30">
        <f>IF($S804="CONFIRMAR",MAX($U$4:$U803)+1,"")</f>
        <v>0</v>
      </c>
      <c r="V804" s="30">
        <f>IF(AND($R804="Não",$Q804&lt;&gt;"",$Q804&lt;=Hoje+JanelaRet,$Q804&gt;=Hoje-60),MAX($V$4:$V803)+1,"")</f>
        <v>0</v>
      </c>
    </row>
    <row r="805" spans="1:22">
      <c r="A805" s="16"/>
      <c r="B805" s="23"/>
      <c r="C805" s="15"/>
      <c r="D805" s="15"/>
      <c r="E805" s="15"/>
      <c r="F805" s="24"/>
      <c r="G805" s="17"/>
      <c r="H805" s="17"/>
      <c r="I805" s="15"/>
      <c r="J805" s="25">
        <f>IF($D805="","",IFERROR(INDEX(PacNome,MATCH($D805,PacCod,0)),"Paciente não cadastrado"))</f>
        <v>0</v>
      </c>
      <c r="K805" s="26">
        <f>IF($D805="","",IFERROR(INDEX(PacConv,MATCH($D805,PacCod,0))&amp;"",""))</f>
        <v>0</v>
      </c>
      <c r="L805" s="26">
        <f>IF($A805="","",CHOOSE(WEEKDAY($A805,2),"Seg","Ter","Qua","Qui","Sex","Sáb","Dom"))</f>
        <v>0</v>
      </c>
      <c r="M805" s="27">
        <f>IF($E805="","",IF($G805&lt;&gt;"",$G805,IFERROR(INDEX(ProcValor,MATCH($E805,ProcNome,0)),0)))</f>
        <v>0</v>
      </c>
      <c r="N805" s="27">
        <f>IF($M805="","",IF($F805="Compareceu",$M805,0))</f>
        <v>0</v>
      </c>
      <c r="O805" s="27">
        <f>IF($M805="","",IF($F805="Faltou",$M805,0))</f>
        <v>0</v>
      </c>
      <c r="P805" s="27">
        <f>IF($M805="","",IF($F805="Compareceu",MAX(0,$M805-N($H805)),0))</f>
        <v>0</v>
      </c>
      <c r="Q805" s="19">
        <f>IF(AND($F805="Compareceu",$E805&lt;&gt;"",$A805&lt;&gt;""),IF(IFERROR(INDEX(ProcRet,MATCH($E805,ProcNome,0)),0)&gt;0,$A805+INDEX(ProcRet,MATCH($E805,ProcNome,0)),""),"")</f>
        <v>0</v>
      </c>
      <c r="R805" s="26">
        <f>IF($Q805="","",IF(COUNTIFS(AgPac,$D805,AgData,"&gt;"&amp;$A805,AgStatus,"&lt;&gt;Cancelado",AgStatus,"&lt;&gt;Remarcado")&gt;0,"Sim","Não"))</f>
        <v>0</v>
      </c>
      <c r="S805" s="28">
        <f>IF($A805="","",IF(AND($F805="Agendado",$A805-Hoje&gt;=0,$A805-Hoje&lt;=DiasConf),"CONFIRMAR",IF(AND($A805&lt;Hoje,OR($F805="Agendado",$F805="Confirmado")),"Atualizar status",IF(AND($F805="Compareceu",$P805&gt;0.005),"Cobrar",IF($F805="Faltou","Falta: reagendar","")))))</f>
        <v>0</v>
      </c>
      <c r="T805" s="29">
        <f>IF($A805="","",DATE(YEAR($A805),MONTH($A805),1))</f>
        <v>0</v>
      </c>
      <c r="U805" s="30">
        <f>IF($S805="CONFIRMAR",MAX($U$4:$U804)+1,"")</f>
        <v>0</v>
      </c>
      <c r="V805" s="30">
        <f>IF(AND($R805="Não",$Q805&lt;&gt;"",$Q805&lt;=Hoje+JanelaRet,$Q805&gt;=Hoje-60),MAX($V$4:$V804)+1,"")</f>
        <v>0</v>
      </c>
    </row>
    <row r="806" spans="1:22">
      <c r="A806" s="16"/>
      <c r="B806" s="23"/>
      <c r="C806" s="15"/>
      <c r="D806" s="15"/>
      <c r="E806" s="15"/>
      <c r="F806" s="24"/>
      <c r="G806" s="17"/>
      <c r="H806" s="17"/>
      <c r="I806" s="15"/>
      <c r="J806" s="25">
        <f>IF($D806="","",IFERROR(INDEX(PacNome,MATCH($D806,PacCod,0)),"Paciente não cadastrado"))</f>
        <v>0</v>
      </c>
      <c r="K806" s="26">
        <f>IF($D806="","",IFERROR(INDEX(PacConv,MATCH($D806,PacCod,0))&amp;"",""))</f>
        <v>0</v>
      </c>
      <c r="L806" s="26">
        <f>IF($A806="","",CHOOSE(WEEKDAY($A806,2),"Seg","Ter","Qua","Qui","Sex","Sáb","Dom"))</f>
        <v>0</v>
      </c>
      <c r="M806" s="27">
        <f>IF($E806="","",IF($G806&lt;&gt;"",$G806,IFERROR(INDEX(ProcValor,MATCH($E806,ProcNome,0)),0)))</f>
        <v>0</v>
      </c>
      <c r="N806" s="27">
        <f>IF($M806="","",IF($F806="Compareceu",$M806,0))</f>
        <v>0</v>
      </c>
      <c r="O806" s="27">
        <f>IF($M806="","",IF($F806="Faltou",$M806,0))</f>
        <v>0</v>
      </c>
      <c r="P806" s="27">
        <f>IF($M806="","",IF($F806="Compareceu",MAX(0,$M806-N($H806)),0))</f>
        <v>0</v>
      </c>
      <c r="Q806" s="19">
        <f>IF(AND($F806="Compareceu",$E806&lt;&gt;"",$A806&lt;&gt;""),IF(IFERROR(INDEX(ProcRet,MATCH($E806,ProcNome,0)),0)&gt;0,$A806+INDEX(ProcRet,MATCH($E806,ProcNome,0)),""),"")</f>
        <v>0</v>
      </c>
      <c r="R806" s="26">
        <f>IF($Q806="","",IF(COUNTIFS(AgPac,$D806,AgData,"&gt;"&amp;$A806,AgStatus,"&lt;&gt;Cancelado",AgStatus,"&lt;&gt;Remarcado")&gt;0,"Sim","Não"))</f>
        <v>0</v>
      </c>
      <c r="S806" s="28">
        <f>IF($A806="","",IF(AND($F806="Agendado",$A806-Hoje&gt;=0,$A806-Hoje&lt;=DiasConf),"CONFIRMAR",IF(AND($A806&lt;Hoje,OR($F806="Agendado",$F806="Confirmado")),"Atualizar status",IF(AND($F806="Compareceu",$P806&gt;0.005),"Cobrar",IF($F806="Faltou","Falta: reagendar","")))))</f>
        <v>0</v>
      </c>
      <c r="T806" s="29">
        <f>IF($A806="","",DATE(YEAR($A806),MONTH($A806),1))</f>
        <v>0</v>
      </c>
      <c r="U806" s="30">
        <f>IF($S806="CONFIRMAR",MAX($U$4:$U805)+1,"")</f>
        <v>0</v>
      </c>
      <c r="V806" s="30">
        <f>IF(AND($R806="Não",$Q806&lt;&gt;"",$Q806&lt;=Hoje+JanelaRet,$Q806&gt;=Hoje-60),MAX($V$4:$V805)+1,"")</f>
        <v>0</v>
      </c>
    </row>
    <row r="807" spans="1:22">
      <c r="A807" s="16"/>
      <c r="B807" s="23"/>
      <c r="C807" s="15"/>
      <c r="D807" s="15"/>
      <c r="E807" s="15"/>
      <c r="F807" s="24"/>
      <c r="G807" s="17"/>
      <c r="H807" s="17"/>
      <c r="I807" s="15"/>
      <c r="J807" s="25">
        <f>IF($D807="","",IFERROR(INDEX(PacNome,MATCH($D807,PacCod,0)),"Paciente não cadastrado"))</f>
        <v>0</v>
      </c>
      <c r="K807" s="26">
        <f>IF($D807="","",IFERROR(INDEX(PacConv,MATCH($D807,PacCod,0))&amp;"",""))</f>
        <v>0</v>
      </c>
      <c r="L807" s="26">
        <f>IF($A807="","",CHOOSE(WEEKDAY($A807,2),"Seg","Ter","Qua","Qui","Sex","Sáb","Dom"))</f>
        <v>0</v>
      </c>
      <c r="M807" s="27">
        <f>IF($E807="","",IF($G807&lt;&gt;"",$G807,IFERROR(INDEX(ProcValor,MATCH($E807,ProcNome,0)),0)))</f>
        <v>0</v>
      </c>
      <c r="N807" s="27">
        <f>IF($M807="","",IF($F807="Compareceu",$M807,0))</f>
        <v>0</v>
      </c>
      <c r="O807" s="27">
        <f>IF($M807="","",IF($F807="Faltou",$M807,0))</f>
        <v>0</v>
      </c>
      <c r="P807" s="27">
        <f>IF($M807="","",IF($F807="Compareceu",MAX(0,$M807-N($H807)),0))</f>
        <v>0</v>
      </c>
      <c r="Q807" s="19">
        <f>IF(AND($F807="Compareceu",$E807&lt;&gt;"",$A807&lt;&gt;""),IF(IFERROR(INDEX(ProcRet,MATCH($E807,ProcNome,0)),0)&gt;0,$A807+INDEX(ProcRet,MATCH($E807,ProcNome,0)),""),"")</f>
        <v>0</v>
      </c>
      <c r="R807" s="26">
        <f>IF($Q807="","",IF(COUNTIFS(AgPac,$D807,AgData,"&gt;"&amp;$A807,AgStatus,"&lt;&gt;Cancelado",AgStatus,"&lt;&gt;Remarcado")&gt;0,"Sim","Não"))</f>
        <v>0</v>
      </c>
      <c r="S807" s="28">
        <f>IF($A807="","",IF(AND($F807="Agendado",$A807-Hoje&gt;=0,$A807-Hoje&lt;=DiasConf),"CONFIRMAR",IF(AND($A807&lt;Hoje,OR($F807="Agendado",$F807="Confirmado")),"Atualizar status",IF(AND($F807="Compareceu",$P807&gt;0.005),"Cobrar",IF($F807="Faltou","Falta: reagendar","")))))</f>
        <v>0</v>
      </c>
      <c r="T807" s="29">
        <f>IF($A807="","",DATE(YEAR($A807),MONTH($A807),1))</f>
        <v>0</v>
      </c>
      <c r="U807" s="30">
        <f>IF($S807="CONFIRMAR",MAX($U$4:$U806)+1,"")</f>
        <v>0</v>
      </c>
      <c r="V807" s="30">
        <f>IF(AND($R807="Não",$Q807&lt;&gt;"",$Q807&lt;=Hoje+JanelaRet,$Q807&gt;=Hoje-60),MAX($V$4:$V806)+1,"")</f>
        <v>0</v>
      </c>
    </row>
    <row r="808" spans="1:22">
      <c r="A808" s="16"/>
      <c r="B808" s="23"/>
      <c r="C808" s="15"/>
      <c r="D808" s="15"/>
      <c r="E808" s="15"/>
      <c r="F808" s="24"/>
      <c r="G808" s="17"/>
      <c r="H808" s="17"/>
      <c r="I808" s="15"/>
      <c r="J808" s="25">
        <f>IF($D808="","",IFERROR(INDEX(PacNome,MATCH($D808,PacCod,0)),"Paciente não cadastrado"))</f>
        <v>0</v>
      </c>
      <c r="K808" s="26">
        <f>IF($D808="","",IFERROR(INDEX(PacConv,MATCH($D808,PacCod,0))&amp;"",""))</f>
        <v>0</v>
      </c>
      <c r="L808" s="26">
        <f>IF($A808="","",CHOOSE(WEEKDAY($A808,2),"Seg","Ter","Qua","Qui","Sex","Sáb","Dom"))</f>
        <v>0</v>
      </c>
      <c r="M808" s="27">
        <f>IF($E808="","",IF($G808&lt;&gt;"",$G808,IFERROR(INDEX(ProcValor,MATCH($E808,ProcNome,0)),0)))</f>
        <v>0</v>
      </c>
      <c r="N808" s="27">
        <f>IF($M808="","",IF($F808="Compareceu",$M808,0))</f>
        <v>0</v>
      </c>
      <c r="O808" s="27">
        <f>IF($M808="","",IF($F808="Faltou",$M808,0))</f>
        <v>0</v>
      </c>
      <c r="P808" s="27">
        <f>IF($M808="","",IF($F808="Compareceu",MAX(0,$M808-N($H808)),0))</f>
        <v>0</v>
      </c>
      <c r="Q808" s="19">
        <f>IF(AND($F808="Compareceu",$E808&lt;&gt;"",$A808&lt;&gt;""),IF(IFERROR(INDEX(ProcRet,MATCH($E808,ProcNome,0)),0)&gt;0,$A808+INDEX(ProcRet,MATCH($E808,ProcNome,0)),""),"")</f>
        <v>0</v>
      </c>
      <c r="R808" s="26">
        <f>IF($Q808="","",IF(COUNTIFS(AgPac,$D808,AgData,"&gt;"&amp;$A808,AgStatus,"&lt;&gt;Cancelado",AgStatus,"&lt;&gt;Remarcado")&gt;0,"Sim","Não"))</f>
        <v>0</v>
      </c>
      <c r="S808" s="28">
        <f>IF($A808="","",IF(AND($F808="Agendado",$A808-Hoje&gt;=0,$A808-Hoje&lt;=DiasConf),"CONFIRMAR",IF(AND($A808&lt;Hoje,OR($F808="Agendado",$F808="Confirmado")),"Atualizar status",IF(AND($F808="Compareceu",$P808&gt;0.005),"Cobrar",IF($F808="Faltou","Falta: reagendar","")))))</f>
        <v>0</v>
      </c>
      <c r="T808" s="29">
        <f>IF($A808="","",DATE(YEAR($A808),MONTH($A808),1))</f>
        <v>0</v>
      </c>
      <c r="U808" s="30">
        <f>IF($S808="CONFIRMAR",MAX($U$4:$U807)+1,"")</f>
        <v>0</v>
      </c>
      <c r="V808" s="30">
        <f>IF(AND($R808="Não",$Q808&lt;&gt;"",$Q808&lt;=Hoje+JanelaRet,$Q808&gt;=Hoje-60),MAX($V$4:$V807)+1,"")</f>
        <v>0</v>
      </c>
    </row>
    <row r="809" spans="1:22">
      <c r="A809" s="16"/>
      <c r="B809" s="23"/>
      <c r="C809" s="15"/>
      <c r="D809" s="15"/>
      <c r="E809" s="15"/>
      <c r="F809" s="24"/>
      <c r="G809" s="17"/>
      <c r="H809" s="17"/>
      <c r="I809" s="15"/>
      <c r="J809" s="25">
        <f>IF($D809="","",IFERROR(INDEX(PacNome,MATCH($D809,PacCod,0)),"Paciente não cadastrado"))</f>
        <v>0</v>
      </c>
      <c r="K809" s="26">
        <f>IF($D809="","",IFERROR(INDEX(PacConv,MATCH($D809,PacCod,0))&amp;"",""))</f>
        <v>0</v>
      </c>
      <c r="L809" s="26">
        <f>IF($A809="","",CHOOSE(WEEKDAY($A809,2),"Seg","Ter","Qua","Qui","Sex","Sáb","Dom"))</f>
        <v>0</v>
      </c>
      <c r="M809" s="27">
        <f>IF($E809="","",IF($G809&lt;&gt;"",$G809,IFERROR(INDEX(ProcValor,MATCH($E809,ProcNome,0)),0)))</f>
        <v>0</v>
      </c>
      <c r="N809" s="27">
        <f>IF($M809="","",IF($F809="Compareceu",$M809,0))</f>
        <v>0</v>
      </c>
      <c r="O809" s="27">
        <f>IF($M809="","",IF($F809="Faltou",$M809,0))</f>
        <v>0</v>
      </c>
      <c r="P809" s="27">
        <f>IF($M809="","",IF($F809="Compareceu",MAX(0,$M809-N($H809)),0))</f>
        <v>0</v>
      </c>
      <c r="Q809" s="19">
        <f>IF(AND($F809="Compareceu",$E809&lt;&gt;"",$A809&lt;&gt;""),IF(IFERROR(INDEX(ProcRet,MATCH($E809,ProcNome,0)),0)&gt;0,$A809+INDEX(ProcRet,MATCH($E809,ProcNome,0)),""),"")</f>
        <v>0</v>
      </c>
      <c r="R809" s="26">
        <f>IF($Q809="","",IF(COUNTIFS(AgPac,$D809,AgData,"&gt;"&amp;$A809,AgStatus,"&lt;&gt;Cancelado",AgStatus,"&lt;&gt;Remarcado")&gt;0,"Sim","Não"))</f>
        <v>0</v>
      </c>
      <c r="S809" s="28">
        <f>IF($A809="","",IF(AND($F809="Agendado",$A809-Hoje&gt;=0,$A809-Hoje&lt;=DiasConf),"CONFIRMAR",IF(AND($A809&lt;Hoje,OR($F809="Agendado",$F809="Confirmado")),"Atualizar status",IF(AND($F809="Compareceu",$P809&gt;0.005),"Cobrar",IF($F809="Faltou","Falta: reagendar","")))))</f>
        <v>0</v>
      </c>
      <c r="T809" s="29">
        <f>IF($A809="","",DATE(YEAR($A809),MONTH($A809),1))</f>
        <v>0</v>
      </c>
      <c r="U809" s="30">
        <f>IF($S809="CONFIRMAR",MAX($U$4:$U808)+1,"")</f>
        <v>0</v>
      </c>
      <c r="V809" s="30">
        <f>IF(AND($R809="Não",$Q809&lt;&gt;"",$Q809&lt;=Hoje+JanelaRet,$Q809&gt;=Hoje-60),MAX($V$4:$V808)+1,"")</f>
        <v>0</v>
      </c>
    </row>
    <row r="810" spans="1:22">
      <c r="A810" s="16"/>
      <c r="B810" s="23"/>
      <c r="C810" s="15"/>
      <c r="D810" s="15"/>
      <c r="E810" s="15"/>
      <c r="F810" s="24"/>
      <c r="G810" s="17"/>
      <c r="H810" s="17"/>
      <c r="I810" s="15"/>
      <c r="J810" s="25">
        <f>IF($D810="","",IFERROR(INDEX(PacNome,MATCH($D810,PacCod,0)),"Paciente não cadastrado"))</f>
        <v>0</v>
      </c>
      <c r="K810" s="26">
        <f>IF($D810="","",IFERROR(INDEX(PacConv,MATCH($D810,PacCod,0))&amp;"",""))</f>
        <v>0</v>
      </c>
      <c r="L810" s="26">
        <f>IF($A810="","",CHOOSE(WEEKDAY($A810,2),"Seg","Ter","Qua","Qui","Sex","Sáb","Dom"))</f>
        <v>0</v>
      </c>
      <c r="M810" s="27">
        <f>IF($E810="","",IF($G810&lt;&gt;"",$G810,IFERROR(INDEX(ProcValor,MATCH($E810,ProcNome,0)),0)))</f>
        <v>0</v>
      </c>
      <c r="N810" s="27">
        <f>IF($M810="","",IF($F810="Compareceu",$M810,0))</f>
        <v>0</v>
      </c>
      <c r="O810" s="27">
        <f>IF($M810="","",IF($F810="Faltou",$M810,0))</f>
        <v>0</v>
      </c>
      <c r="P810" s="27">
        <f>IF($M810="","",IF($F810="Compareceu",MAX(0,$M810-N($H810)),0))</f>
        <v>0</v>
      </c>
      <c r="Q810" s="19">
        <f>IF(AND($F810="Compareceu",$E810&lt;&gt;"",$A810&lt;&gt;""),IF(IFERROR(INDEX(ProcRet,MATCH($E810,ProcNome,0)),0)&gt;0,$A810+INDEX(ProcRet,MATCH($E810,ProcNome,0)),""),"")</f>
        <v>0</v>
      </c>
      <c r="R810" s="26">
        <f>IF($Q810="","",IF(COUNTIFS(AgPac,$D810,AgData,"&gt;"&amp;$A810,AgStatus,"&lt;&gt;Cancelado",AgStatus,"&lt;&gt;Remarcado")&gt;0,"Sim","Não"))</f>
        <v>0</v>
      </c>
      <c r="S810" s="28">
        <f>IF($A810="","",IF(AND($F810="Agendado",$A810-Hoje&gt;=0,$A810-Hoje&lt;=DiasConf),"CONFIRMAR",IF(AND($A810&lt;Hoje,OR($F810="Agendado",$F810="Confirmado")),"Atualizar status",IF(AND($F810="Compareceu",$P810&gt;0.005),"Cobrar",IF($F810="Faltou","Falta: reagendar","")))))</f>
        <v>0</v>
      </c>
      <c r="T810" s="29">
        <f>IF($A810="","",DATE(YEAR($A810),MONTH($A810),1))</f>
        <v>0</v>
      </c>
      <c r="U810" s="30">
        <f>IF($S810="CONFIRMAR",MAX($U$4:$U809)+1,"")</f>
        <v>0</v>
      </c>
      <c r="V810" s="30">
        <f>IF(AND($R810="Não",$Q810&lt;&gt;"",$Q810&lt;=Hoje+JanelaRet,$Q810&gt;=Hoje-60),MAX($V$4:$V809)+1,"")</f>
        <v>0</v>
      </c>
    </row>
    <row r="811" spans="1:22">
      <c r="A811" s="16"/>
      <c r="B811" s="23"/>
      <c r="C811" s="15"/>
      <c r="D811" s="15"/>
      <c r="E811" s="15"/>
      <c r="F811" s="24"/>
      <c r="G811" s="17"/>
      <c r="H811" s="17"/>
      <c r="I811" s="15"/>
      <c r="J811" s="25">
        <f>IF($D811="","",IFERROR(INDEX(PacNome,MATCH($D811,PacCod,0)),"Paciente não cadastrado"))</f>
        <v>0</v>
      </c>
      <c r="K811" s="26">
        <f>IF($D811="","",IFERROR(INDEX(PacConv,MATCH($D811,PacCod,0))&amp;"",""))</f>
        <v>0</v>
      </c>
      <c r="L811" s="26">
        <f>IF($A811="","",CHOOSE(WEEKDAY($A811,2),"Seg","Ter","Qua","Qui","Sex","Sáb","Dom"))</f>
        <v>0</v>
      </c>
      <c r="M811" s="27">
        <f>IF($E811="","",IF($G811&lt;&gt;"",$G811,IFERROR(INDEX(ProcValor,MATCH($E811,ProcNome,0)),0)))</f>
        <v>0</v>
      </c>
      <c r="N811" s="27">
        <f>IF($M811="","",IF($F811="Compareceu",$M811,0))</f>
        <v>0</v>
      </c>
      <c r="O811" s="27">
        <f>IF($M811="","",IF($F811="Faltou",$M811,0))</f>
        <v>0</v>
      </c>
      <c r="P811" s="27">
        <f>IF($M811="","",IF($F811="Compareceu",MAX(0,$M811-N($H811)),0))</f>
        <v>0</v>
      </c>
      <c r="Q811" s="19">
        <f>IF(AND($F811="Compareceu",$E811&lt;&gt;"",$A811&lt;&gt;""),IF(IFERROR(INDEX(ProcRet,MATCH($E811,ProcNome,0)),0)&gt;0,$A811+INDEX(ProcRet,MATCH($E811,ProcNome,0)),""),"")</f>
        <v>0</v>
      </c>
      <c r="R811" s="26">
        <f>IF($Q811="","",IF(COUNTIFS(AgPac,$D811,AgData,"&gt;"&amp;$A811,AgStatus,"&lt;&gt;Cancelado",AgStatus,"&lt;&gt;Remarcado")&gt;0,"Sim","Não"))</f>
        <v>0</v>
      </c>
      <c r="S811" s="28">
        <f>IF($A811="","",IF(AND($F811="Agendado",$A811-Hoje&gt;=0,$A811-Hoje&lt;=DiasConf),"CONFIRMAR",IF(AND($A811&lt;Hoje,OR($F811="Agendado",$F811="Confirmado")),"Atualizar status",IF(AND($F811="Compareceu",$P811&gt;0.005),"Cobrar",IF($F811="Faltou","Falta: reagendar","")))))</f>
        <v>0</v>
      </c>
      <c r="T811" s="29">
        <f>IF($A811="","",DATE(YEAR($A811),MONTH($A811),1))</f>
        <v>0</v>
      </c>
      <c r="U811" s="30">
        <f>IF($S811="CONFIRMAR",MAX($U$4:$U810)+1,"")</f>
        <v>0</v>
      </c>
      <c r="V811" s="30">
        <f>IF(AND($R811="Não",$Q811&lt;&gt;"",$Q811&lt;=Hoje+JanelaRet,$Q811&gt;=Hoje-60),MAX($V$4:$V810)+1,"")</f>
        <v>0</v>
      </c>
    </row>
    <row r="812" spans="1:22">
      <c r="A812" s="16"/>
      <c r="B812" s="23"/>
      <c r="C812" s="15"/>
      <c r="D812" s="15"/>
      <c r="E812" s="15"/>
      <c r="F812" s="24"/>
      <c r="G812" s="17"/>
      <c r="H812" s="17"/>
      <c r="I812" s="15"/>
      <c r="J812" s="25">
        <f>IF($D812="","",IFERROR(INDEX(PacNome,MATCH($D812,PacCod,0)),"Paciente não cadastrado"))</f>
        <v>0</v>
      </c>
      <c r="K812" s="26">
        <f>IF($D812="","",IFERROR(INDEX(PacConv,MATCH($D812,PacCod,0))&amp;"",""))</f>
        <v>0</v>
      </c>
      <c r="L812" s="26">
        <f>IF($A812="","",CHOOSE(WEEKDAY($A812,2),"Seg","Ter","Qua","Qui","Sex","Sáb","Dom"))</f>
        <v>0</v>
      </c>
      <c r="M812" s="27">
        <f>IF($E812="","",IF($G812&lt;&gt;"",$G812,IFERROR(INDEX(ProcValor,MATCH($E812,ProcNome,0)),0)))</f>
        <v>0</v>
      </c>
      <c r="N812" s="27">
        <f>IF($M812="","",IF($F812="Compareceu",$M812,0))</f>
        <v>0</v>
      </c>
      <c r="O812" s="27">
        <f>IF($M812="","",IF($F812="Faltou",$M812,0))</f>
        <v>0</v>
      </c>
      <c r="P812" s="27">
        <f>IF($M812="","",IF($F812="Compareceu",MAX(0,$M812-N($H812)),0))</f>
        <v>0</v>
      </c>
      <c r="Q812" s="19">
        <f>IF(AND($F812="Compareceu",$E812&lt;&gt;"",$A812&lt;&gt;""),IF(IFERROR(INDEX(ProcRet,MATCH($E812,ProcNome,0)),0)&gt;0,$A812+INDEX(ProcRet,MATCH($E812,ProcNome,0)),""),"")</f>
        <v>0</v>
      </c>
      <c r="R812" s="26">
        <f>IF($Q812="","",IF(COUNTIFS(AgPac,$D812,AgData,"&gt;"&amp;$A812,AgStatus,"&lt;&gt;Cancelado",AgStatus,"&lt;&gt;Remarcado")&gt;0,"Sim","Não"))</f>
        <v>0</v>
      </c>
      <c r="S812" s="28">
        <f>IF($A812="","",IF(AND($F812="Agendado",$A812-Hoje&gt;=0,$A812-Hoje&lt;=DiasConf),"CONFIRMAR",IF(AND($A812&lt;Hoje,OR($F812="Agendado",$F812="Confirmado")),"Atualizar status",IF(AND($F812="Compareceu",$P812&gt;0.005),"Cobrar",IF($F812="Faltou","Falta: reagendar","")))))</f>
        <v>0</v>
      </c>
      <c r="T812" s="29">
        <f>IF($A812="","",DATE(YEAR($A812),MONTH($A812),1))</f>
        <v>0</v>
      </c>
      <c r="U812" s="30">
        <f>IF($S812="CONFIRMAR",MAX($U$4:$U811)+1,"")</f>
        <v>0</v>
      </c>
      <c r="V812" s="30">
        <f>IF(AND($R812="Não",$Q812&lt;&gt;"",$Q812&lt;=Hoje+JanelaRet,$Q812&gt;=Hoje-60),MAX($V$4:$V811)+1,"")</f>
        <v>0</v>
      </c>
    </row>
    <row r="813" spans="1:22">
      <c r="A813" s="16"/>
      <c r="B813" s="23"/>
      <c r="C813" s="15"/>
      <c r="D813" s="15"/>
      <c r="E813" s="15"/>
      <c r="F813" s="24"/>
      <c r="G813" s="17"/>
      <c r="H813" s="17"/>
      <c r="I813" s="15"/>
      <c r="J813" s="25">
        <f>IF($D813="","",IFERROR(INDEX(PacNome,MATCH($D813,PacCod,0)),"Paciente não cadastrado"))</f>
        <v>0</v>
      </c>
      <c r="K813" s="26">
        <f>IF($D813="","",IFERROR(INDEX(PacConv,MATCH($D813,PacCod,0))&amp;"",""))</f>
        <v>0</v>
      </c>
      <c r="L813" s="26">
        <f>IF($A813="","",CHOOSE(WEEKDAY($A813,2),"Seg","Ter","Qua","Qui","Sex","Sáb","Dom"))</f>
        <v>0</v>
      </c>
      <c r="M813" s="27">
        <f>IF($E813="","",IF($G813&lt;&gt;"",$G813,IFERROR(INDEX(ProcValor,MATCH($E813,ProcNome,0)),0)))</f>
        <v>0</v>
      </c>
      <c r="N813" s="27">
        <f>IF($M813="","",IF($F813="Compareceu",$M813,0))</f>
        <v>0</v>
      </c>
      <c r="O813" s="27">
        <f>IF($M813="","",IF($F813="Faltou",$M813,0))</f>
        <v>0</v>
      </c>
      <c r="P813" s="27">
        <f>IF($M813="","",IF($F813="Compareceu",MAX(0,$M813-N($H813)),0))</f>
        <v>0</v>
      </c>
      <c r="Q813" s="19">
        <f>IF(AND($F813="Compareceu",$E813&lt;&gt;"",$A813&lt;&gt;""),IF(IFERROR(INDEX(ProcRet,MATCH($E813,ProcNome,0)),0)&gt;0,$A813+INDEX(ProcRet,MATCH($E813,ProcNome,0)),""),"")</f>
        <v>0</v>
      </c>
      <c r="R813" s="26">
        <f>IF($Q813="","",IF(COUNTIFS(AgPac,$D813,AgData,"&gt;"&amp;$A813,AgStatus,"&lt;&gt;Cancelado",AgStatus,"&lt;&gt;Remarcado")&gt;0,"Sim","Não"))</f>
        <v>0</v>
      </c>
      <c r="S813" s="28">
        <f>IF($A813="","",IF(AND($F813="Agendado",$A813-Hoje&gt;=0,$A813-Hoje&lt;=DiasConf),"CONFIRMAR",IF(AND($A813&lt;Hoje,OR($F813="Agendado",$F813="Confirmado")),"Atualizar status",IF(AND($F813="Compareceu",$P813&gt;0.005),"Cobrar",IF($F813="Faltou","Falta: reagendar","")))))</f>
        <v>0</v>
      </c>
      <c r="T813" s="29">
        <f>IF($A813="","",DATE(YEAR($A813),MONTH($A813),1))</f>
        <v>0</v>
      </c>
      <c r="U813" s="30">
        <f>IF($S813="CONFIRMAR",MAX($U$4:$U812)+1,"")</f>
        <v>0</v>
      </c>
      <c r="V813" s="30">
        <f>IF(AND($R813="Não",$Q813&lt;&gt;"",$Q813&lt;=Hoje+JanelaRet,$Q813&gt;=Hoje-60),MAX($V$4:$V812)+1,"")</f>
        <v>0</v>
      </c>
    </row>
    <row r="814" spans="1:22">
      <c r="A814" s="16"/>
      <c r="B814" s="23"/>
      <c r="C814" s="15"/>
      <c r="D814" s="15"/>
      <c r="E814" s="15"/>
      <c r="F814" s="24"/>
      <c r="G814" s="17"/>
      <c r="H814" s="17"/>
      <c r="I814" s="15"/>
      <c r="J814" s="25">
        <f>IF($D814="","",IFERROR(INDEX(PacNome,MATCH($D814,PacCod,0)),"Paciente não cadastrado"))</f>
        <v>0</v>
      </c>
      <c r="K814" s="26">
        <f>IF($D814="","",IFERROR(INDEX(PacConv,MATCH($D814,PacCod,0))&amp;"",""))</f>
        <v>0</v>
      </c>
      <c r="L814" s="26">
        <f>IF($A814="","",CHOOSE(WEEKDAY($A814,2),"Seg","Ter","Qua","Qui","Sex","Sáb","Dom"))</f>
        <v>0</v>
      </c>
      <c r="M814" s="27">
        <f>IF($E814="","",IF($G814&lt;&gt;"",$G814,IFERROR(INDEX(ProcValor,MATCH($E814,ProcNome,0)),0)))</f>
        <v>0</v>
      </c>
      <c r="N814" s="27">
        <f>IF($M814="","",IF($F814="Compareceu",$M814,0))</f>
        <v>0</v>
      </c>
      <c r="O814" s="27">
        <f>IF($M814="","",IF($F814="Faltou",$M814,0))</f>
        <v>0</v>
      </c>
      <c r="P814" s="27">
        <f>IF($M814="","",IF($F814="Compareceu",MAX(0,$M814-N($H814)),0))</f>
        <v>0</v>
      </c>
      <c r="Q814" s="19">
        <f>IF(AND($F814="Compareceu",$E814&lt;&gt;"",$A814&lt;&gt;""),IF(IFERROR(INDEX(ProcRet,MATCH($E814,ProcNome,0)),0)&gt;0,$A814+INDEX(ProcRet,MATCH($E814,ProcNome,0)),""),"")</f>
        <v>0</v>
      </c>
      <c r="R814" s="26">
        <f>IF($Q814="","",IF(COUNTIFS(AgPac,$D814,AgData,"&gt;"&amp;$A814,AgStatus,"&lt;&gt;Cancelado",AgStatus,"&lt;&gt;Remarcado")&gt;0,"Sim","Não"))</f>
        <v>0</v>
      </c>
      <c r="S814" s="28">
        <f>IF($A814="","",IF(AND($F814="Agendado",$A814-Hoje&gt;=0,$A814-Hoje&lt;=DiasConf),"CONFIRMAR",IF(AND($A814&lt;Hoje,OR($F814="Agendado",$F814="Confirmado")),"Atualizar status",IF(AND($F814="Compareceu",$P814&gt;0.005),"Cobrar",IF($F814="Faltou","Falta: reagendar","")))))</f>
        <v>0</v>
      </c>
      <c r="T814" s="29">
        <f>IF($A814="","",DATE(YEAR($A814),MONTH($A814),1))</f>
        <v>0</v>
      </c>
      <c r="U814" s="30">
        <f>IF($S814="CONFIRMAR",MAX($U$4:$U813)+1,"")</f>
        <v>0</v>
      </c>
      <c r="V814" s="30">
        <f>IF(AND($R814="Não",$Q814&lt;&gt;"",$Q814&lt;=Hoje+JanelaRet,$Q814&gt;=Hoje-60),MAX($V$4:$V813)+1,"")</f>
        <v>0</v>
      </c>
    </row>
    <row r="815" spans="1:22">
      <c r="A815" s="16"/>
      <c r="B815" s="23"/>
      <c r="C815" s="15"/>
      <c r="D815" s="15"/>
      <c r="E815" s="15"/>
      <c r="F815" s="24"/>
      <c r="G815" s="17"/>
      <c r="H815" s="17"/>
      <c r="I815" s="15"/>
      <c r="J815" s="25">
        <f>IF($D815="","",IFERROR(INDEX(PacNome,MATCH($D815,PacCod,0)),"Paciente não cadastrado"))</f>
        <v>0</v>
      </c>
      <c r="K815" s="26">
        <f>IF($D815="","",IFERROR(INDEX(PacConv,MATCH($D815,PacCod,0))&amp;"",""))</f>
        <v>0</v>
      </c>
      <c r="L815" s="26">
        <f>IF($A815="","",CHOOSE(WEEKDAY($A815,2),"Seg","Ter","Qua","Qui","Sex","Sáb","Dom"))</f>
        <v>0</v>
      </c>
      <c r="M815" s="27">
        <f>IF($E815="","",IF($G815&lt;&gt;"",$G815,IFERROR(INDEX(ProcValor,MATCH($E815,ProcNome,0)),0)))</f>
        <v>0</v>
      </c>
      <c r="N815" s="27">
        <f>IF($M815="","",IF($F815="Compareceu",$M815,0))</f>
        <v>0</v>
      </c>
      <c r="O815" s="27">
        <f>IF($M815="","",IF($F815="Faltou",$M815,0))</f>
        <v>0</v>
      </c>
      <c r="P815" s="27">
        <f>IF($M815="","",IF($F815="Compareceu",MAX(0,$M815-N($H815)),0))</f>
        <v>0</v>
      </c>
      <c r="Q815" s="19">
        <f>IF(AND($F815="Compareceu",$E815&lt;&gt;"",$A815&lt;&gt;""),IF(IFERROR(INDEX(ProcRet,MATCH($E815,ProcNome,0)),0)&gt;0,$A815+INDEX(ProcRet,MATCH($E815,ProcNome,0)),""),"")</f>
        <v>0</v>
      </c>
      <c r="R815" s="26">
        <f>IF($Q815="","",IF(COUNTIFS(AgPac,$D815,AgData,"&gt;"&amp;$A815,AgStatus,"&lt;&gt;Cancelado",AgStatus,"&lt;&gt;Remarcado")&gt;0,"Sim","Não"))</f>
        <v>0</v>
      </c>
      <c r="S815" s="28">
        <f>IF($A815="","",IF(AND($F815="Agendado",$A815-Hoje&gt;=0,$A815-Hoje&lt;=DiasConf),"CONFIRMAR",IF(AND($A815&lt;Hoje,OR($F815="Agendado",$F815="Confirmado")),"Atualizar status",IF(AND($F815="Compareceu",$P815&gt;0.005),"Cobrar",IF($F815="Faltou","Falta: reagendar","")))))</f>
        <v>0</v>
      </c>
      <c r="T815" s="29">
        <f>IF($A815="","",DATE(YEAR($A815),MONTH($A815),1))</f>
        <v>0</v>
      </c>
      <c r="U815" s="30">
        <f>IF($S815="CONFIRMAR",MAX($U$4:$U814)+1,"")</f>
        <v>0</v>
      </c>
      <c r="V815" s="30">
        <f>IF(AND($R815="Não",$Q815&lt;&gt;"",$Q815&lt;=Hoje+JanelaRet,$Q815&gt;=Hoje-60),MAX($V$4:$V814)+1,"")</f>
        <v>0</v>
      </c>
    </row>
    <row r="816" spans="1:22">
      <c r="A816" s="16"/>
      <c r="B816" s="23"/>
      <c r="C816" s="15"/>
      <c r="D816" s="15"/>
      <c r="E816" s="15"/>
      <c r="F816" s="24"/>
      <c r="G816" s="17"/>
      <c r="H816" s="17"/>
      <c r="I816" s="15"/>
      <c r="J816" s="25">
        <f>IF($D816="","",IFERROR(INDEX(PacNome,MATCH($D816,PacCod,0)),"Paciente não cadastrado"))</f>
        <v>0</v>
      </c>
      <c r="K816" s="26">
        <f>IF($D816="","",IFERROR(INDEX(PacConv,MATCH($D816,PacCod,0))&amp;"",""))</f>
        <v>0</v>
      </c>
      <c r="L816" s="26">
        <f>IF($A816="","",CHOOSE(WEEKDAY($A816,2),"Seg","Ter","Qua","Qui","Sex","Sáb","Dom"))</f>
        <v>0</v>
      </c>
      <c r="M816" s="27">
        <f>IF($E816="","",IF($G816&lt;&gt;"",$G816,IFERROR(INDEX(ProcValor,MATCH($E816,ProcNome,0)),0)))</f>
        <v>0</v>
      </c>
      <c r="N816" s="27">
        <f>IF($M816="","",IF($F816="Compareceu",$M816,0))</f>
        <v>0</v>
      </c>
      <c r="O816" s="27">
        <f>IF($M816="","",IF($F816="Faltou",$M816,0))</f>
        <v>0</v>
      </c>
      <c r="P816" s="27">
        <f>IF($M816="","",IF($F816="Compareceu",MAX(0,$M816-N($H816)),0))</f>
        <v>0</v>
      </c>
      <c r="Q816" s="19">
        <f>IF(AND($F816="Compareceu",$E816&lt;&gt;"",$A816&lt;&gt;""),IF(IFERROR(INDEX(ProcRet,MATCH($E816,ProcNome,0)),0)&gt;0,$A816+INDEX(ProcRet,MATCH($E816,ProcNome,0)),""),"")</f>
        <v>0</v>
      </c>
      <c r="R816" s="26">
        <f>IF($Q816="","",IF(COUNTIFS(AgPac,$D816,AgData,"&gt;"&amp;$A816,AgStatus,"&lt;&gt;Cancelado",AgStatus,"&lt;&gt;Remarcado")&gt;0,"Sim","Não"))</f>
        <v>0</v>
      </c>
      <c r="S816" s="28">
        <f>IF($A816="","",IF(AND($F816="Agendado",$A816-Hoje&gt;=0,$A816-Hoje&lt;=DiasConf),"CONFIRMAR",IF(AND($A816&lt;Hoje,OR($F816="Agendado",$F816="Confirmado")),"Atualizar status",IF(AND($F816="Compareceu",$P816&gt;0.005),"Cobrar",IF($F816="Faltou","Falta: reagendar","")))))</f>
        <v>0</v>
      </c>
      <c r="T816" s="29">
        <f>IF($A816="","",DATE(YEAR($A816),MONTH($A816),1))</f>
        <v>0</v>
      </c>
      <c r="U816" s="30">
        <f>IF($S816="CONFIRMAR",MAX($U$4:$U815)+1,"")</f>
        <v>0</v>
      </c>
      <c r="V816" s="30">
        <f>IF(AND($R816="Não",$Q816&lt;&gt;"",$Q816&lt;=Hoje+JanelaRet,$Q816&gt;=Hoje-60),MAX($V$4:$V815)+1,"")</f>
        <v>0</v>
      </c>
    </row>
    <row r="817" spans="1:22">
      <c r="A817" s="16"/>
      <c r="B817" s="23"/>
      <c r="C817" s="15"/>
      <c r="D817" s="15"/>
      <c r="E817" s="15"/>
      <c r="F817" s="24"/>
      <c r="G817" s="17"/>
      <c r="H817" s="17"/>
      <c r="I817" s="15"/>
      <c r="J817" s="25">
        <f>IF($D817="","",IFERROR(INDEX(PacNome,MATCH($D817,PacCod,0)),"Paciente não cadastrado"))</f>
        <v>0</v>
      </c>
      <c r="K817" s="26">
        <f>IF($D817="","",IFERROR(INDEX(PacConv,MATCH($D817,PacCod,0))&amp;"",""))</f>
        <v>0</v>
      </c>
      <c r="L817" s="26">
        <f>IF($A817="","",CHOOSE(WEEKDAY($A817,2),"Seg","Ter","Qua","Qui","Sex","Sáb","Dom"))</f>
        <v>0</v>
      </c>
      <c r="M817" s="27">
        <f>IF($E817="","",IF($G817&lt;&gt;"",$G817,IFERROR(INDEX(ProcValor,MATCH($E817,ProcNome,0)),0)))</f>
        <v>0</v>
      </c>
      <c r="N817" s="27">
        <f>IF($M817="","",IF($F817="Compareceu",$M817,0))</f>
        <v>0</v>
      </c>
      <c r="O817" s="27">
        <f>IF($M817="","",IF($F817="Faltou",$M817,0))</f>
        <v>0</v>
      </c>
      <c r="P817" s="27">
        <f>IF($M817="","",IF($F817="Compareceu",MAX(0,$M817-N($H817)),0))</f>
        <v>0</v>
      </c>
      <c r="Q817" s="19">
        <f>IF(AND($F817="Compareceu",$E817&lt;&gt;"",$A817&lt;&gt;""),IF(IFERROR(INDEX(ProcRet,MATCH($E817,ProcNome,0)),0)&gt;0,$A817+INDEX(ProcRet,MATCH($E817,ProcNome,0)),""),"")</f>
        <v>0</v>
      </c>
      <c r="R817" s="26">
        <f>IF($Q817="","",IF(COUNTIFS(AgPac,$D817,AgData,"&gt;"&amp;$A817,AgStatus,"&lt;&gt;Cancelado",AgStatus,"&lt;&gt;Remarcado")&gt;0,"Sim","Não"))</f>
        <v>0</v>
      </c>
      <c r="S817" s="28">
        <f>IF($A817="","",IF(AND($F817="Agendado",$A817-Hoje&gt;=0,$A817-Hoje&lt;=DiasConf),"CONFIRMAR",IF(AND($A817&lt;Hoje,OR($F817="Agendado",$F817="Confirmado")),"Atualizar status",IF(AND($F817="Compareceu",$P817&gt;0.005),"Cobrar",IF($F817="Faltou","Falta: reagendar","")))))</f>
        <v>0</v>
      </c>
      <c r="T817" s="29">
        <f>IF($A817="","",DATE(YEAR($A817),MONTH($A817),1))</f>
        <v>0</v>
      </c>
      <c r="U817" s="30">
        <f>IF($S817="CONFIRMAR",MAX($U$4:$U816)+1,"")</f>
        <v>0</v>
      </c>
      <c r="V817" s="30">
        <f>IF(AND($R817="Não",$Q817&lt;&gt;"",$Q817&lt;=Hoje+JanelaRet,$Q817&gt;=Hoje-60),MAX($V$4:$V816)+1,"")</f>
        <v>0</v>
      </c>
    </row>
    <row r="818" spans="1:22">
      <c r="A818" s="16"/>
      <c r="B818" s="23"/>
      <c r="C818" s="15"/>
      <c r="D818" s="15"/>
      <c r="E818" s="15"/>
      <c r="F818" s="24"/>
      <c r="G818" s="17"/>
      <c r="H818" s="17"/>
      <c r="I818" s="15"/>
      <c r="J818" s="25">
        <f>IF($D818="","",IFERROR(INDEX(PacNome,MATCH($D818,PacCod,0)),"Paciente não cadastrado"))</f>
        <v>0</v>
      </c>
      <c r="K818" s="26">
        <f>IF($D818="","",IFERROR(INDEX(PacConv,MATCH($D818,PacCod,0))&amp;"",""))</f>
        <v>0</v>
      </c>
      <c r="L818" s="26">
        <f>IF($A818="","",CHOOSE(WEEKDAY($A818,2),"Seg","Ter","Qua","Qui","Sex","Sáb","Dom"))</f>
        <v>0</v>
      </c>
      <c r="M818" s="27">
        <f>IF($E818="","",IF($G818&lt;&gt;"",$G818,IFERROR(INDEX(ProcValor,MATCH($E818,ProcNome,0)),0)))</f>
        <v>0</v>
      </c>
      <c r="N818" s="27">
        <f>IF($M818="","",IF($F818="Compareceu",$M818,0))</f>
        <v>0</v>
      </c>
      <c r="O818" s="27">
        <f>IF($M818="","",IF($F818="Faltou",$M818,0))</f>
        <v>0</v>
      </c>
      <c r="P818" s="27">
        <f>IF($M818="","",IF($F818="Compareceu",MAX(0,$M818-N($H818)),0))</f>
        <v>0</v>
      </c>
      <c r="Q818" s="19">
        <f>IF(AND($F818="Compareceu",$E818&lt;&gt;"",$A818&lt;&gt;""),IF(IFERROR(INDEX(ProcRet,MATCH($E818,ProcNome,0)),0)&gt;0,$A818+INDEX(ProcRet,MATCH($E818,ProcNome,0)),""),"")</f>
        <v>0</v>
      </c>
      <c r="R818" s="26">
        <f>IF($Q818="","",IF(COUNTIFS(AgPac,$D818,AgData,"&gt;"&amp;$A818,AgStatus,"&lt;&gt;Cancelado",AgStatus,"&lt;&gt;Remarcado")&gt;0,"Sim","Não"))</f>
        <v>0</v>
      </c>
      <c r="S818" s="28">
        <f>IF($A818="","",IF(AND($F818="Agendado",$A818-Hoje&gt;=0,$A818-Hoje&lt;=DiasConf),"CONFIRMAR",IF(AND($A818&lt;Hoje,OR($F818="Agendado",$F818="Confirmado")),"Atualizar status",IF(AND($F818="Compareceu",$P818&gt;0.005),"Cobrar",IF($F818="Faltou","Falta: reagendar","")))))</f>
        <v>0</v>
      </c>
      <c r="T818" s="29">
        <f>IF($A818="","",DATE(YEAR($A818),MONTH($A818),1))</f>
        <v>0</v>
      </c>
      <c r="U818" s="30">
        <f>IF($S818="CONFIRMAR",MAX($U$4:$U817)+1,"")</f>
        <v>0</v>
      </c>
      <c r="V818" s="30">
        <f>IF(AND($R818="Não",$Q818&lt;&gt;"",$Q818&lt;=Hoje+JanelaRet,$Q818&gt;=Hoje-60),MAX($V$4:$V817)+1,"")</f>
        <v>0</v>
      </c>
    </row>
    <row r="819" spans="1:22">
      <c r="A819" s="16"/>
      <c r="B819" s="23"/>
      <c r="C819" s="15"/>
      <c r="D819" s="15"/>
      <c r="E819" s="15"/>
      <c r="F819" s="24"/>
      <c r="G819" s="17"/>
      <c r="H819" s="17"/>
      <c r="I819" s="15"/>
      <c r="J819" s="25">
        <f>IF($D819="","",IFERROR(INDEX(PacNome,MATCH($D819,PacCod,0)),"Paciente não cadastrado"))</f>
        <v>0</v>
      </c>
      <c r="K819" s="26">
        <f>IF($D819="","",IFERROR(INDEX(PacConv,MATCH($D819,PacCod,0))&amp;"",""))</f>
        <v>0</v>
      </c>
      <c r="L819" s="26">
        <f>IF($A819="","",CHOOSE(WEEKDAY($A819,2),"Seg","Ter","Qua","Qui","Sex","Sáb","Dom"))</f>
        <v>0</v>
      </c>
      <c r="M819" s="27">
        <f>IF($E819="","",IF($G819&lt;&gt;"",$G819,IFERROR(INDEX(ProcValor,MATCH($E819,ProcNome,0)),0)))</f>
        <v>0</v>
      </c>
      <c r="N819" s="27">
        <f>IF($M819="","",IF($F819="Compareceu",$M819,0))</f>
        <v>0</v>
      </c>
      <c r="O819" s="27">
        <f>IF($M819="","",IF($F819="Faltou",$M819,0))</f>
        <v>0</v>
      </c>
      <c r="P819" s="27">
        <f>IF($M819="","",IF($F819="Compareceu",MAX(0,$M819-N($H819)),0))</f>
        <v>0</v>
      </c>
      <c r="Q819" s="19">
        <f>IF(AND($F819="Compareceu",$E819&lt;&gt;"",$A819&lt;&gt;""),IF(IFERROR(INDEX(ProcRet,MATCH($E819,ProcNome,0)),0)&gt;0,$A819+INDEX(ProcRet,MATCH($E819,ProcNome,0)),""),"")</f>
        <v>0</v>
      </c>
      <c r="R819" s="26">
        <f>IF($Q819="","",IF(COUNTIFS(AgPac,$D819,AgData,"&gt;"&amp;$A819,AgStatus,"&lt;&gt;Cancelado",AgStatus,"&lt;&gt;Remarcado")&gt;0,"Sim","Não"))</f>
        <v>0</v>
      </c>
      <c r="S819" s="28">
        <f>IF($A819="","",IF(AND($F819="Agendado",$A819-Hoje&gt;=0,$A819-Hoje&lt;=DiasConf),"CONFIRMAR",IF(AND($A819&lt;Hoje,OR($F819="Agendado",$F819="Confirmado")),"Atualizar status",IF(AND($F819="Compareceu",$P819&gt;0.005),"Cobrar",IF($F819="Faltou","Falta: reagendar","")))))</f>
        <v>0</v>
      </c>
      <c r="T819" s="29">
        <f>IF($A819="","",DATE(YEAR($A819),MONTH($A819),1))</f>
        <v>0</v>
      </c>
      <c r="U819" s="30">
        <f>IF($S819="CONFIRMAR",MAX($U$4:$U818)+1,"")</f>
        <v>0</v>
      </c>
      <c r="V819" s="30">
        <f>IF(AND($R819="Não",$Q819&lt;&gt;"",$Q819&lt;=Hoje+JanelaRet,$Q819&gt;=Hoje-60),MAX($V$4:$V818)+1,"")</f>
        <v>0</v>
      </c>
    </row>
    <row r="820" spans="1:22">
      <c r="A820" s="16"/>
      <c r="B820" s="23"/>
      <c r="C820" s="15"/>
      <c r="D820" s="15"/>
      <c r="E820" s="15"/>
      <c r="F820" s="24"/>
      <c r="G820" s="17"/>
      <c r="H820" s="17"/>
      <c r="I820" s="15"/>
      <c r="J820" s="25">
        <f>IF($D820="","",IFERROR(INDEX(PacNome,MATCH($D820,PacCod,0)),"Paciente não cadastrado"))</f>
        <v>0</v>
      </c>
      <c r="K820" s="26">
        <f>IF($D820="","",IFERROR(INDEX(PacConv,MATCH($D820,PacCod,0))&amp;"",""))</f>
        <v>0</v>
      </c>
      <c r="L820" s="26">
        <f>IF($A820="","",CHOOSE(WEEKDAY($A820,2),"Seg","Ter","Qua","Qui","Sex","Sáb","Dom"))</f>
        <v>0</v>
      </c>
      <c r="M820" s="27">
        <f>IF($E820="","",IF($G820&lt;&gt;"",$G820,IFERROR(INDEX(ProcValor,MATCH($E820,ProcNome,0)),0)))</f>
        <v>0</v>
      </c>
      <c r="N820" s="27">
        <f>IF($M820="","",IF($F820="Compareceu",$M820,0))</f>
        <v>0</v>
      </c>
      <c r="O820" s="27">
        <f>IF($M820="","",IF($F820="Faltou",$M820,0))</f>
        <v>0</v>
      </c>
      <c r="P820" s="27">
        <f>IF($M820="","",IF($F820="Compareceu",MAX(0,$M820-N($H820)),0))</f>
        <v>0</v>
      </c>
      <c r="Q820" s="19">
        <f>IF(AND($F820="Compareceu",$E820&lt;&gt;"",$A820&lt;&gt;""),IF(IFERROR(INDEX(ProcRet,MATCH($E820,ProcNome,0)),0)&gt;0,$A820+INDEX(ProcRet,MATCH($E820,ProcNome,0)),""),"")</f>
        <v>0</v>
      </c>
      <c r="R820" s="26">
        <f>IF($Q820="","",IF(COUNTIFS(AgPac,$D820,AgData,"&gt;"&amp;$A820,AgStatus,"&lt;&gt;Cancelado",AgStatus,"&lt;&gt;Remarcado")&gt;0,"Sim","Não"))</f>
        <v>0</v>
      </c>
      <c r="S820" s="28">
        <f>IF($A820="","",IF(AND($F820="Agendado",$A820-Hoje&gt;=0,$A820-Hoje&lt;=DiasConf),"CONFIRMAR",IF(AND($A820&lt;Hoje,OR($F820="Agendado",$F820="Confirmado")),"Atualizar status",IF(AND($F820="Compareceu",$P820&gt;0.005),"Cobrar",IF($F820="Faltou","Falta: reagendar","")))))</f>
        <v>0</v>
      </c>
      <c r="T820" s="29">
        <f>IF($A820="","",DATE(YEAR($A820),MONTH($A820),1))</f>
        <v>0</v>
      </c>
      <c r="U820" s="30">
        <f>IF($S820="CONFIRMAR",MAX($U$4:$U819)+1,"")</f>
        <v>0</v>
      </c>
      <c r="V820" s="30">
        <f>IF(AND($R820="Não",$Q820&lt;&gt;"",$Q820&lt;=Hoje+JanelaRet,$Q820&gt;=Hoje-60),MAX($V$4:$V819)+1,"")</f>
        <v>0</v>
      </c>
    </row>
    <row r="821" spans="1:22">
      <c r="A821" s="16"/>
      <c r="B821" s="23"/>
      <c r="C821" s="15"/>
      <c r="D821" s="15"/>
      <c r="E821" s="15"/>
      <c r="F821" s="24"/>
      <c r="G821" s="17"/>
      <c r="H821" s="17"/>
      <c r="I821" s="15"/>
      <c r="J821" s="25">
        <f>IF($D821="","",IFERROR(INDEX(PacNome,MATCH($D821,PacCod,0)),"Paciente não cadastrado"))</f>
        <v>0</v>
      </c>
      <c r="K821" s="26">
        <f>IF($D821="","",IFERROR(INDEX(PacConv,MATCH($D821,PacCod,0))&amp;"",""))</f>
        <v>0</v>
      </c>
      <c r="L821" s="26">
        <f>IF($A821="","",CHOOSE(WEEKDAY($A821,2),"Seg","Ter","Qua","Qui","Sex","Sáb","Dom"))</f>
        <v>0</v>
      </c>
      <c r="M821" s="27">
        <f>IF($E821="","",IF($G821&lt;&gt;"",$G821,IFERROR(INDEX(ProcValor,MATCH($E821,ProcNome,0)),0)))</f>
        <v>0</v>
      </c>
      <c r="N821" s="27">
        <f>IF($M821="","",IF($F821="Compareceu",$M821,0))</f>
        <v>0</v>
      </c>
      <c r="O821" s="27">
        <f>IF($M821="","",IF($F821="Faltou",$M821,0))</f>
        <v>0</v>
      </c>
      <c r="P821" s="27">
        <f>IF($M821="","",IF($F821="Compareceu",MAX(0,$M821-N($H821)),0))</f>
        <v>0</v>
      </c>
      <c r="Q821" s="19">
        <f>IF(AND($F821="Compareceu",$E821&lt;&gt;"",$A821&lt;&gt;""),IF(IFERROR(INDEX(ProcRet,MATCH($E821,ProcNome,0)),0)&gt;0,$A821+INDEX(ProcRet,MATCH($E821,ProcNome,0)),""),"")</f>
        <v>0</v>
      </c>
      <c r="R821" s="26">
        <f>IF($Q821="","",IF(COUNTIFS(AgPac,$D821,AgData,"&gt;"&amp;$A821,AgStatus,"&lt;&gt;Cancelado",AgStatus,"&lt;&gt;Remarcado")&gt;0,"Sim","Não"))</f>
        <v>0</v>
      </c>
      <c r="S821" s="28">
        <f>IF($A821="","",IF(AND($F821="Agendado",$A821-Hoje&gt;=0,$A821-Hoje&lt;=DiasConf),"CONFIRMAR",IF(AND($A821&lt;Hoje,OR($F821="Agendado",$F821="Confirmado")),"Atualizar status",IF(AND($F821="Compareceu",$P821&gt;0.005),"Cobrar",IF($F821="Faltou","Falta: reagendar","")))))</f>
        <v>0</v>
      </c>
      <c r="T821" s="29">
        <f>IF($A821="","",DATE(YEAR($A821),MONTH($A821),1))</f>
        <v>0</v>
      </c>
      <c r="U821" s="30">
        <f>IF($S821="CONFIRMAR",MAX($U$4:$U820)+1,"")</f>
        <v>0</v>
      </c>
      <c r="V821" s="30">
        <f>IF(AND($R821="Não",$Q821&lt;&gt;"",$Q821&lt;=Hoje+JanelaRet,$Q821&gt;=Hoje-60),MAX($V$4:$V820)+1,"")</f>
        <v>0</v>
      </c>
    </row>
    <row r="822" spans="1:22">
      <c r="A822" s="16"/>
      <c r="B822" s="23"/>
      <c r="C822" s="15"/>
      <c r="D822" s="15"/>
      <c r="E822" s="15"/>
      <c r="F822" s="24"/>
      <c r="G822" s="17"/>
      <c r="H822" s="17"/>
      <c r="I822" s="15"/>
      <c r="J822" s="25">
        <f>IF($D822="","",IFERROR(INDEX(PacNome,MATCH($D822,PacCod,0)),"Paciente não cadastrado"))</f>
        <v>0</v>
      </c>
      <c r="K822" s="26">
        <f>IF($D822="","",IFERROR(INDEX(PacConv,MATCH($D822,PacCod,0))&amp;"",""))</f>
        <v>0</v>
      </c>
      <c r="L822" s="26">
        <f>IF($A822="","",CHOOSE(WEEKDAY($A822,2),"Seg","Ter","Qua","Qui","Sex","Sáb","Dom"))</f>
        <v>0</v>
      </c>
      <c r="M822" s="27">
        <f>IF($E822="","",IF($G822&lt;&gt;"",$G822,IFERROR(INDEX(ProcValor,MATCH($E822,ProcNome,0)),0)))</f>
        <v>0</v>
      </c>
      <c r="N822" s="27">
        <f>IF($M822="","",IF($F822="Compareceu",$M822,0))</f>
        <v>0</v>
      </c>
      <c r="O822" s="27">
        <f>IF($M822="","",IF($F822="Faltou",$M822,0))</f>
        <v>0</v>
      </c>
      <c r="P822" s="27">
        <f>IF($M822="","",IF($F822="Compareceu",MAX(0,$M822-N($H822)),0))</f>
        <v>0</v>
      </c>
      <c r="Q822" s="19">
        <f>IF(AND($F822="Compareceu",$E822&lt;&gt;"",$A822&lt;&gt;""),IF(IFERROR(INDEX(ProcRet,MATCH($E822,ProcNome,0)),0)&gt;0,$A822+INDEX(ProcRet,MATCH($E822,ProcNome,0)),""),"")</f>
        <v>0</v>
      </c>
      <c r="R822" s="26">
        <f>IF($Q822="","",IF(COUNTIFS(AgPac,$D822,AgData,"&gt;"&amp;$A822,AgStatus,"&lt;&gt;Cancelado",AgStatus,"&lt;&gt;Remarcado")&gt;0,"Sim","Não"))</f>
        <v>0</v>
      </c>
      <c r="S822" s="28">
        <f>IF($A822="","",IF(AND($F822="Agendado",$A822-Hoje&gt;=0,$A822-Hoje&lt;=DiasConf),"CONFIRMAR",IF(AND($A822&lt;Hoje,OR($F822="Agendado",$F822="Confirmado")),"Atualizar status",IF(AND($F822="Compareceu",$P822&gt;0.005),"Cobrar",IF($F822="Faltou","Falta: reagendar","")))))</f>
        <v>0</v>
      </c>
      <c r="T822" s="29">
        <f>IF($A822="","",DATE(YEAR($A822),MONTH($A822),1))</f>
        <v>0</v>
      </c>
      <c r="U822" s="30">
        <f>IF($S822="CONFIRMAR",MAX($U$4:$U821)+1,"")</f>
        <v>0</v>
      </c>
      <c r="V822" s="30">
        <f>IF(AND($R822="Não",$Q822&lt;&gt;"",$Q822&lt;=Hoje+JanelaRet,$Q822&gt;=Hoje-60),MAX($V$4:$V821)+1,"")</f>
        <v>0</v>
      </c>
    </row>
    <row r="823" spans="1:22">
      <c r="A823" s="16"/>
      <c r="B823" s="23"/>
      <c r="C823" s="15"/>
      <c r="D823" s="15"/>
      <c r="E823" s="15"/>
      <c r="F823" s="24"/>
      <c r="G823" s="17"/>
      <c r="H823" s="17"/>
      <c r="I823" s="15"/>
      <c r="J823" s="25">
        <f>IF($D823="","",IFERROR(INDEX(PacNome,MATCH($D823,PacCod,0)),"Paciente não cadastrado"))</f>
        <v>0</v>
      </c>
      <c r="K823" s="26">
        <f>IF($D823="","",IFERROR(INDEX(PacConv,MATCH($D823,PacCod,0))&amp;"",""))</f>
        <v>0</v>
      </c>
      <c r="L823" s="26">
        <f>IF($A823="","",CHOOSE(WEEKDAY($A823,2),"Seg","Ter","Qua","Qui","Sex","Sáb","Dom"))</f>
        <v>0</v>
      </c>
      <c r="M823" s="27">
        <f>IF($E823="","",IF($G823&lt;&gt;"",$G823,IFERROR(INDEX(ProcValor,MATCH($E823,ProcNome,0)),0)))</f>
        <v>0</v>
      </c>
      <c r="N823" s="27">
        <f>IF($M823="","",IF($F823="Compareceu",$M823,0))</f>
        <v>0</v>
      </c>
      <c r="O823" s="27">
        <f>IF($M823="","",IF($F823="Faltou",$M823,0))</f>
        <v>0</v>
      </c>
      <c r="P823" s="27">
        <f>IF($M823="","",IF($F823="Compareceu",MAX(0,$M823-N($H823)),0))</f>
        <v>0</v>
      </c>
      <c r="Q823" s="19">
        <f>IF(AND($F823="Compareceu",$E823&lt;&gt;"",$A823&lt;&gt;""),IF(IFERROR(INDEX(ProcRet,MATCH($E823,ProcNome,0)),0)&gt;0,$A823+INDEX(ProcRet,MATCH($E823,ProcNome,0)),""),"")</f>
        <v>0</v>
      </c>
      <c r="R823" s="26">
        <f>IF($Q823="","",IF(COUNTIFS(AgPac,$D823,AgData,"&gt;"&amp;$A823,AgStatus,"&lt;&gt;Cancelado",AgStatus,"&lt;&gt;Remarcado")&gt;0,"Sim","Não"))</f>
        <v>0</v>
      </c>
      <c r="S823" s="28">
        <f>IF($A823="","",IF(AND($F823="Agendado",$A823-Hoje&gt;=0,$A823-Hoje&lt;=DiasConf),"CONFIRMAR",IF(AND($A823&lt;Hoje,OR($F823="Agendado",$F823="Confirmado")),"Atualizar status",IF(AND($F823="Compareceu",$P823&gt;0.005),"Cobrar",IF($F823="Faltou","Falta: reagendar","")))))</f>
        <v>0</v>
      </c>
      <c r="T823" s="29">
        <f>IF($A823="","",DATE(YEAR($A823),MONTH($A823),1))</f>
        <v>0</v>
      </c>
      <c r="U823" s="30">
        <f>IF($S823="CONFIRMAR",MAX($U$4:$U822)+1,"")</f>
        <v>0</v>
      </c>
      <c r="V823" s="30">
        <f>IF(AND($R823="Não",$Q823&lt;&gt;"",$Q823&lt;=Hoje+JanelaRet,$Q823&gt;=Hoje-60),MAX($V$4:$V822)+1,"")</f>
        <v>0</v>
      </c>
    </row>
    <row r="824" spans="1:22">
      <c r="A824" s="16"/>
      <c r="B824" s="23"/>
      <c r="C824" s="15"/>
      <c r="D824" s="15"/>
      <c r="E824" s="15"/>
      <c r="F824" s="24"/>
      <c r="G824" s="17"/>
      <c r="H824" s="17"/>
      <c r="I824" s="15"/>
      <c r="J824" s="25">
        <f>IF($D824="","",IFERROR(INDEX(PacNome,MATCH($D824,PacCod,0)),"Paciente não cadastrado"))</f>
        <v>0</v>
      </c>
      <c r="K824" s="26">
        <f>IF($D824="","",IFERROR(INDEX(PacConv,MATCH($D824,PacCod,0))&amp;"",""))</f>
        <v>0</v>
      </c>
      <c r="L824" s="26">
        <f>IF($A824="","",CHOOSE(WEEKDAY($A824,2),"Seg","Ter","Qua","Qui","Sex","Sáb","Dom"))</f>
        <v>0</v>
      </c>
      <c r="M824" s="27">
        <f>IF($E824="","",IF($G824&lt;&gt;"",$G824,IFERROR(INDEX(ProcValor,MATCH($E824,ProcNome,0)),0)))</f>
        <v>0</v>
      </c>
      <c r="N824" s="27">
        <f>IF($M824="","",IF($F824="Compareceu",$M824,0))</f>
        <v>0</v>
      </c>
      <c r="O824" s="27">
        <f>IF($M824="","",IF($F824="Faltou",$M824,0))</f>
        <v>0</v>
      </c>
      <c r="P824" s="27">
        <f>IF($M824="","",IF($F824="Compareceu",MAX(0,$M824-N($H824)),0))</f>
        <v>0</v>
      </c>
      <c r="Q824" s="19">
        <f>IF(AND($F824="Compareceu",$E824&lt;&gt;"",$A824&lt;&gt;""),IF(IFERROR(INDEX(ProcRet,MATCH($E824,ProcNome,0)),0)&gt;0,$A824+INDEX(ProcRet,MATCH($E824,ProcNome,0)),""),"")</f>
        <v>0</v>
      </c>
      <c r="R824" s="26">
        <f>IF($Q824="","",IF(COUNTIFS(AgPac,$D824,AgData,"&gt;"&amp;$A824,AgStatus,"&lt;&gt;Cancelado",AgStatus,"&lt;&gt;Remarcado")&gt;0,"Sim","Não"))</f>
        <v>0</v>
      </c>
      <c r="S824" s="28">
        <f>IF($A824="","",IF(AND($F824="Agendado",$A824-Hoje&gt;=0,$A824-Hoje&lt;=DiasConf),"CONFIRMAR",IF(AND($A824&lt;Hoje,OR($F824="Agendado",$F824="Confirmado")),"Atualizar status",IF(AND($F824="Compareceu",$P824&gt;0.005),"Cobrar",IF($F824="Faltou","Falta: reagendar","")))))</f>
        <v>0</v>
      </c>
      <c r="T824" s="29">
        <f>IF($A824="","",DATE(YEAR($A824),MONTH($A824),1))</f>
        <v>0</v>
      </c>
      <c r="U824" s="30">
        <f>IF($S824="CONFIRMAR",MAX($U$4:$U823)+1,"")</f>
        <v>0</v>
      </c>
      <c r="V824" s="30">
        <f>IF(AND($R824="Não",$Q824&lt;&gt;"",$Q824&lt;=Hoje+JanelaRet,$Q824&gt;=Hoje-60),MAX($V$4:$V823)+1,"")</f>
        <v>0</v>
      </c>
    </row>
    <row r="825" spans="1:22">
      <c r="A825" s="16"/>
      <c r="B825" s="23"/>
      <c r="C825" s="15"/>
      <c r="D825" s="15"/>
      <c r="E825" s="15"/>
      <c r="F825" s="24"/>
      <c r="G825" s="17"/>
      <c r="H825" s="17"/>
      <c r="I825" s="15"/>
      <c r="J825" s="25">
        <f>IF($D825="","",IFERROR(INDEX(PacNome,MATCH($D825,PacCod,0)),"Paciente não cadastrado"))</f>
        <v>0</v>
      </c>
      <c r="K825" s="26">
        <f>IF($D825="","",IFERROR(INDEX(PacConv,MATCH($D825,PacCod,0))&amp;"",""))</f>
        <v>0</v>
      </c>
      <c r="L825" s="26">
        <f>IF($A825="","",CHOOSE(WEEKDAY($A825,2),"Seg","Ter","Qua","Qui","Sex","Sáb","Dom"))</f>
        <v>0</v>
      </c>
      <c r="M825" s="27">
        <f>IF($E825="","",IF($G825&lt;&gt;"",$G825,IFERROR(INDEX(ProcValor,MATCH($E825,ProcNome,0)),0)))</f>
        <v>0</v>
      </c>
      <c r="N825" s="27">
        <f>IF($M825="","",IF($F825="Compareceu",$M825,0))</f>
        <v>0</v>
      </c>
      <c r="O825" s="27">
        <f>IF($M825="","",IF($F825="Faltou",$M825,0))</f>
        <v>0</v>
      </c>
      <c r="P825" s="27">
        <f>IF($M825="","",IF($F825="Compareceu",MAX(0,$M825-N($H825)),0))</f>
        <v>0</v>
      </c>
      <c r="Q825" s="19">
        <f>IF(AND($F825="Compareceu",$E825&lt;&gt;"",$A825&lt;&gt;""),IF(IFERROR(INDEX(ProcRet,MATCH($E825,ProcNome,0)),0)&gt;0,$A825+INDEX(ProcRet,MATCH($E825,ProcNome,0)),""),"")</f>
        <v>0</v>
      </c>
      <c r="R825" s="26">
        <f>IF($Q825="","",IF(COUNTIFS(AgPac,$D825,AgData,"&gt;"&amp;$A825,AgStatus,"&lt;&gt;Cancelado",AgStatus,"&lt;&gt;Remarcado")&gt;0,"Sim","Não"))</f>
        <v>0</v>
      </c>
      <c r="S825" s="28">
        <f>IF($A825="","",IF(AND($F825="Agendado",$A825-Hoje&gt;=0,$A825-Hoje&lt;=DiasConf),"CONFIRMAR",IF(AND($A825&lt;Hoje,OR($F825="Agendado",$F825="Confirmado")),"Atualizar status",IF(AND($F825="Compareceu",$P825&gt;0.005),"Cobrar",IF($F825="Faltou","Falta: reagendar","")))))</f>
        <v>0</v>
      </c>
      <c r="T825" s="29">
        <f>IF($A825="","",DATE(YEAR($A825),MONTH($A825),1))</f>
        <v>0</v>
      </c>
      <c r="U825" s="30">
        <f>IF($S825="CONFIRMAR",MAX($U$4:$U824)+1,"")</f>
        <v>0</v>
      </c>
      <c r="V825" s="30">
        <f>IF(AND($R825="Não",$Q825&lt;&gt;"",$Q825&lt;=Hoje+JanelaRet,$Q825&gt;=Hoje-60),MAX($V$4:$V824)+1,"")</f>
        <v>0</v>
      </c>
    </row>
    <row r="826" spans="1:22">
      <c r="A826" s="16"/>
      <c r="B826" s="23"/>
      <c r="C826" s="15"/>
      <c r="D826" s="15"/>
      <c r="E826" s="15"/>
      <c r="F826" s="24"/>
      <c r="G826" s="17"/>
      <c r="H826" s="17"/>
      <c r="I826" s="15"/>
      <c r="J826" s="25">
        <f>IF($D826="","",IFERROR(INDEX(PacNome,MATCH($D826,PacCod,0)),"Paciente não cadastrado"))</f>
        <v>0</v>
      </c>
      <c r="K826" s="26">
        <f>IF($D826="","",IFERROR(INDEX(PacConv,MATCH($D826,PacCod,0))&amp;"",""))</f>
        <v>0</v>
      </c>
      <c r="L826" s="26">
        <f>IF($A826="","",CHOOSE(WEEKDAY($A826,2),"Seg","Ter","Qua","Qui","Sex","Sáb","Dom"))</f>
        <v>0</v>
      </c>
      <c r="M826" s="27">
        <f>IF($E826="","",IF($G826&lt;&gt;"",$G826,IFERROR(INDEX(ProcValor,MATCH($E826,ProcNome,0)),0)))</f>
        <v>0</v>
      </c>
      <c r="N826" s="27">
        <f>IF($M826="","",IF($F826="Compareceu",$M826,0))</f>
        <v>0</v>
      </c>
      <c r="O826" s="27">
        <f>IF($M826="","",IF($F826="Faltou",$M826,0))</f>
        <v>0</v>
      </c>
      <c r="P826" s="27">
        <f>IF($M826="","",IF($F826="Compareceu",MAX(0,$M826-N($H826)),0))</f>
        <v>0</v>
      </c>
      <c r="Q826" s="19">
        <f>IF(AND($F826="Compareceu",$E826&lt;&gt;"",$A826&lt;&gt;""),IF(IFERROR(INDEX(ProcRet,MATCH($E826,ProcNome,0)),0)&gt;0,$A826+INDEX(ProcRet,MATCH($E826,ProcNome,0)),""),"")</f>
        <v>0</v>
      </c>
      <c r="R826" s="26">
        <f>IF($Q826="","",IF(COUNTIFS(AgPac,$D826,AgData,"&gt;"&amp;$A826,AgStatus,"&lt;&gt;Cancelado",AgStatus,"&lt;&gt;Remarcado")&gt;0,"Sim","Não"))</f>
        <v>0</v>
      </c>
      <c r="S826" s="28">
        <f>IF($A826="","",IF(AND($F826="Agendado",$A826-Hoje&gt;=0,$A826-Hoje&lt;=DiasConf),"CONFIRMAR",IF(AND($A826&lt;Hoje,OR($F826="Agendado",$F826="Confirmado")),"Atualizar status",IF(AND($F826="Compareceu",$P826&gt;0.005),"Cobrar",IF($F826="Faltou","Falta: reagendar","")))))</f>
        <v>0</v>
      </c>
      <c r="T826" s="29">
        <f>IF($A826="","",DATE(YEAR($A826),MONTH($A826),1))</f>
        <v>0</v>
      </c>
      <c r="U826" s="30">
        <f>IF($S826="CONFIRMAR",MAX($U$4:$U825)+1,"")</f>
        <v>0</v>
      </c>
      <c r="V826" s="30">
        <f>IF(AND($R826="Não",$Q826&lt;&gt;"",$Q826&lt;=Hoje+JanelaRet,$Q826&gt;=Hoje-60),MAX($V$4:$V825)+1,"")</f>
        <v>0</v>
      </c>
    </row>
    <row r="827" spans="1:22">
      <c r="A827" s="16"/>
      <c r="B827" s="23"/>
      <c r="C827" s="15"/>
      <c r="D827" s="15"/>
      <c r="E827" s="15"/>
      <c r="F827" s="24"/>
      <c r="G827" s="17"/>
      <c r="H827" s="17"/>
      <c r="I827" s="15"/>
      <c r="J827" s="25">
        <f>IF($D827="","",IFERROR(INDEX(PacNome,MATCH($D827,PacCod,0)),"Paciente não cadastrado"))</f>
        <v>0</v>
      </c>
      <c r="K827" s="26">
        <f>IF($D827="","",IFERROR(INDEX(PacConv,MATCH($D827,PacCod,0))&amp;"",""))</f>
        <v>0</v>
      </c>
      <c r="L827" s="26">
        <f>IF($A827="","",CHOOSE(WEEKDAY($A827,2),"Seg","Ter","Qua","Qui","Sex","Sáb","Dom"))</f>
        <v>0</v>
      </c>
      <c r="M827" s="27">
        <f>IF($E827="","",IF($G827&lt;&gt;"",$G827,IFERROR(INDEX(ProcValor,MATCH($E827,ProcNome,0)),0)))</f>
        <v>0</v>
      </c>
      <c r="N827" s="27">
        <f>IF($M827="","",IF($F827="Compareceu",$M827,0))</f>
        <v>0</v>
      </c>
      <c r="O827" s="27">
        <f>IF($M827="","",IF($F827="Faltou",$M827,0))</f>
        <v>0</v>
      </c>
      <c r="P827" s="27">
        <f>IF($M827="","",IF($F827="Compareceu",MAX(0,$M827-N($H827)),0))</f>
        <v>0</v>
      </c>
      <c r="Q827" s="19">
        <f>IF(AND($F827="Compareceu",$E827&lt;&gt;"",$A827&lt;&gt;""),IF(IFERROR(INDEX(ProcRet,MATCH($E827,ProcNome,0)),0)&gt;0,$A827+INDEX(ProcRet,MATCH($E827,ProcNome,0)),""),"")</f>
        <v>0</v>
      </c>
      <c r="R827" s="26">
        <f>IF($Q827="","",IF(COUNTIFS(AgPac,$D827,AgData,"&gt;"&amp;$A827,AgStatus,"&lt;&gt;Cancelado",AgStatus,"&lt;&gt;Remarcado")&gt;0,"Sim","Não"))</f>
        <v>0</v>
      </c>
      <c r="S827" s="28">
        <f>IF($A827="","",IF(AND($F827="Agendado",$A827-Hoje&gt;=0,$A827-Hoje&lt;=DiasConf),"CONFIRMAR",IF(AND($A827&lt;Hoje,OR($F827="Agendado",$F827="Confirmado")),"Atualizar status",IF(AND($F827="Compareceu",$P827&gt;0.005),"Cobrar",IF($F827="Faltou","Falta: reagendar","")))))</f>
        <v>0</v>
      </c>
      <c r="T827" s="29">
        <f>IF($A827="","",DATE(YEAR($A827),MONTH($A827),1))</f>
        <v>0</v>
      </c>
      <c r="U827" s="30">
        <f>IF($S827="CONFIRMAR",MAX($U$4:$U826)+1,"")</f>
        <v>0</v>
      </c>
      <c r="V827" s="30">
        <f>IF(AND($R827="Não",$Q827&lt;&gt;"",$Q827&lt;=Hoje+JanelaRet,$Q827&gt;=Hoje-60),MAX($V$4:$V826)+1,"")</f>
        <v>0</v>
      </c>
    </row>
    <row r="828" spans="1:22">
      <c r="A828" s="16"/>
      <c r="B828" s="23"/>
      <c r="C828" s="15"/>
      <c r="D828" s="15"/>
      <c r="E828" s="15"/>
      <c r="F828" s="24"/>
      <c r="G828" s="17"/>
      <c r="H828" s="17"/>
      <c r="I828" s="15"/>
      <c r="J828" s="25">
        <f>IF($D828="","",IFERROR(INDEX(PacNome,MATCH($D828,PacCod,0)),"Paciente não cadastrado"))</f>
        <v>0</v>
      </c>
      <c r="K828" s="26">
        <f>IF($D828="","",IFERROR(INDEX(PacConv,MATCH($D828,PacCod,0))&amp;"",""))</f>
        <v>0</v>
      </c>
      <c r="L828" s="26">
        <f>IF($A828="","",CHOOSE(WEEKDAY($A828,2),"Seg","Ter","Qua","Qui","Sex","Sáb","Dom"))</f>
        <v>0</v>
      </c>
      <c r="M828" s="27">
        <f>IF($E828="","",IF($G828&lt;&gt;"",$G828,IFERROR(INDEX(ProcValor,MATCH($E828,ProcNome,0)),0)))</f>
        <v>0</v>
      </c>
      <c r="N828" s="27">
        <f>IF($M828="","",IF($F828="Compareceu",$M828,0))</f>
        <v>0</v>
      </c>
      <c r="O828" s="27">
        <f>IF($M828="","",IF($F828="Faltou",$M828,0))</f>
        <v>0</v>
      </c>
      <c r="P828" s="27">
        <f>IF($M828="","",IF($F828="Compareceu",MAX(0,$M828-N($H828)),0))</f>
        <v>0</v>
      </c>
      <c r="Q828" s="19">
        <f>IF(AND($F828="Compareceu",$E828&lt;&gt;"",$A828&lt;&gt;""),IF(IFERROR(INDEX(ProcRet,MATCH($E828,ProcNome,0)),0)&gt;0,$A828+INDEX(ProcRet,MATCH($E828,ProcNome,0)),""),"")</f>
        <v>0</v>
      </c>
      <c r="R828" s="26">
        <f>IF($Q828="","",IF(COUNTIFS(AgPac,$D828,AgData,"&gt;"&amp;$A828,AgStatus,"&lt;&gt;Cancelado",AgStatus,"&lt;&gt;Remarcado")&gt;0,"Sim","Não"))</f>
        <v>0</v>
      </c>
      <c r="S828" s="28">
        <f>IF($A828="","",IF(AND($F828="Agendado",$A828-Hoje&gt;=0,$A828-Hoje&lt;=DiasConf),"CONFIRMAR",IF(AND($A828&lt;Hoje,OR($F828="Agendado",$F828="Confirmado")),"Atualizar status",IF(AND($F828="Compareceu",$P828&gt;0.005),"Cobrar",IF($F828="Faltou","Falta: reagendar","")))))</f>
        <v>0</v>
      </c>
      <c r="T828" s="29">
        <f>IF($A828="","",DATE(YEAR($A828),MONTH($A828),1))</f>
        <v>0</v>
      </c>
      <c r="U828" s="30">
        <f>IF($S828="CONFIRMAR",MAX($U$4:$U827)+1,"")</f>
        <v>0</v>
      </c>
      <c r="V828" s="30">
        <f>IF(AND($R828="Não",$Q828&lt;&gt;"",$Q828&lt;=Hoje+JanelaRet,$Q828&gt;=Hoje-60),MAX($V$4:$V827)+1,"")</f>
        <v>0</v>
      </c>
    </row>
    <row r="829" spans="1:22">
      <c r="A829" s="16"/>
      <c r="B829" s="23"/>
      <c r="C829" s="15"/>
      <c r="D829" s="15"/>
      <c r="E829" s="15"/>
      <c r="F829" s="24"/>
      <c r="G829" s="17"/>
      <c r="H829" s="17"/>
      <c r="I829" s="15"/>
      <c r="J829" s="25">
        <f>IF($D829="","",IFERROR(INDEX(PacNome,MATCH($D829,PacCod,0)),"Paciente não cadastrado"))</f>
        <v>0</v>
      </c>
      <c r="K829" s="26">
        <f>IF($D829="","",IFERROR(INDEX(PacConv,MATCH($D829,PacCod,0))&amp;"",""))</f>
        <v>0</v>
      </c>
      <c r="L829" s="26">
        <f>IF($A829="","",CHOOSE(WEEKDAY($A829,2),"Seg","Ter","Qua","Qui","Sex","Sáb","Dom"))</f>
        <v>0</v>
      </c>
      <c r="M829" s="27">
        <f>IF($E829="","",IF($G829&lt;&gt;"",$G829,IFERROR(INDEX(ProcValor,MATCH($E829,ProcNome,0)),0)))</f>
        <v>0</v>
      </c>
      <c r="N829" s="27">
        <f>IF($M829="","",IF($F829="Compareceu",$M829,0))</f>
        <v>0</v>
      </c>
      <c r="O829" s="27">
        <f>IF($M829="","",IF($F829="Faltou",$M829,0))</f>
        <v>0</v>
      </c>
      <c r="P829" s="27">
        <f>IF($M829="","",IF($F829="Compareceu",MAX(0,$M829-N($H829)),0))</f>
        <v>0</v>
      </c>
      <c r="Q829" s="19">
        <f>IF(AND($F829="Compareceu",$E829&lt;&gt;"",$A829&lt;&gt;""),IF(IFERROR(INDEX(ProcRet,MATCH($E829,ProcNome,0)),0)&gt;0,$A829+INDEX(ProcRet,MATCH($E829,ProcNome,0)),""),"")</f>
        <v>0</v>
      </c>
      <c r="R829" s="26">
        <f>IF($Q829="","",IF(COUNTIFS(AgPac,$D829,AgData,"&gt;"&amp;$A829,AgStatus,"&lt;&gt;Cancelado",AgStatus,"&lt;&gt;Remarcado")&gt;0,"Sim","Não"))</f>
        <v>0</v>
      </c>
      <c r="S829" s="28">
        <f>IF($A829="","",IF(AND($F829="Agendado",$A829-Hoje&gt;=0,$A829-Hoje&lt;=DiasConf),"CONFIRMAR",IF(AND($A829&lt;Hoje,OR($F829="Agendado",$F829="Confirmado")),"Atualizar status",IF(AND($F829="Compareceu",$P829&gt;0.005),"Cobrar",IF($F829="Faltou","Falta: reagendar","")))))</f>
        <v>0</v>
      </c>
      <c r="T829" s="29">
        <f>IF($A829="","",DATE(YEAR($A829),MONTH($A829),1))</f>
        <v>0</v>
      </c>
      <c r="U829" s="30">
        <f>IF($S829="CONFIRMAR",MAX($U$4:$U828)+1,"")</f>
        <v>0</v>
      </c>
      <c r="V829" s="30">
        <f>IF(AND($R829="Não",$Q829&lt;&gt;"",$Q829&lt;=Hoje+JanelaRet,$Q829&gt;=Hoje-60),MAX($V$4:$V828)+1,"")</f>
        <v>0</v>
      </c>
    </row>
    <row r="830" spans="1:22">
      <c r="A830" s="16"/>
      <c r="B830" s="23"/>
      <c r="C830" s="15"/>
      <c r="D830" s="15"/>
      <c r="E830" s="15"/>
      <c r="F830" s="24"/>
      <c r="G830" s="17"/>
      <c r="H830" s="17"/>
      <c r="I830" s="15"/>
      <c r="J830" s="25">
        <f>IF($D830="","",IFERROR(INDEX(PacNome,MATCH($D830,PacCod,0)),"Paciente não cadastrado"))</f>
        <v>0</v>
      </c>
      <c r="K830" s="26">
        <f>IF($D830="","",IFERROR(INDEX(PacConv,MATCH($D830,PacCod,0))&amp;"",""))</f>
        <v>0</v>
      </c>
      <c r="L830" s="26">
        <f>IF($A830="","",CHOOSE(WEEKDAY($A830,2),"Seg","Ter","Qua","Qui","Sex","Sáb","Dom"))</f>
        <v>0</v>
      </c>
      <c r="M830" s="27">
        <f>IF($E830="","",IF($G830&lt;&gt;"",$G830,IFERROR(INDEX(ProcValor,MATCH($E830,ProcNome,0)),0)))</f>
        <v>0</v>
      </c>
      <c r="N830" s="27">
        <f>IF($M830="","",IF($F830="Compareceu",$M830,0))</f>
        <v>0</v>
      </c>
      <c r="O830" s="27">
        <f>IF($M830="","",IF($F830="Faltou",$M830,0))</f>
        <v>0</v>
      </c>
      <c r="P830" s="27">
        <f>IF($M830="","",IF($F830="Compareceu",MAX(0,$M830-N($H830)),0))</f>
        <v>0</v>
      </c>
      <c r="Q830" s="19">
        <f>IF(AND($F830="Compareceu",$E830&lt;&gt;"",$A830&lt;&gt;""),IF(IFERROR(INDEX(ProcRet,MATCH($E830,ProcNome,0)),0)&gt;0,$A830+INDEX(ProcRet,MATCH($E830,ProcNome,0)),""),"")</f>
        <v>0</v>
      </c>
      <c r="R830" s="26">
        <f>IF($Q830="","",IF(COUNTIFS(AgPac,$D830,AgData,"&gt;"&amp;$A830,AgStatus,"&lt;&gt;Cancelado",AgStatus,"&lt;&gt;Remarcado")&gt;0,"Sim","Não"))</f>
        <v>0</v>
      </c>
      <c r="S830" s="28">
        <f>IF($A830="","",IF(AND($F830="Agendado",$A830-Hoje&gt;=0,$A830-Hoje&lt;=DiasConf),"CONFIRMAR",IF(AND($A830&lt;Hoje,OR($F830="Agendado",$F830="Confirmado")),"Atualizar status",IF(AND($F830="Compareceu",$P830&gt;0.005),"Cobrar",IF($F830="Faltou","Falta: reagendar","")))))</f>
        <v>0</v>
      </c>
      <c r="T830" s="29">
        <f>IF($A830="","",DATE(YEAR($A830),MONTH($A830),1))</f>
        <v>0</v>
      </c>
      <c r="U830" s="30">
        <f>IF($S830="CONFIRMAR",MAX($U$4:$U829)+1,"")</f>
        <v>0</v>
      </c>
      <c r="V830" s="30">
        <f>IF(AND($R830="Não",$Q830&lt;&gt;"",$Q830&lt;=Hoje+JanelaRet,$Q830&gt;=Hoje-60),MAX($V$4:$V829)+1,"")</f>
        <v>0</v>
      </c>
    </row>
    <row r="831" spans="1:22">
      <c r="A831" s="16"/>
      <c r="B831" s="23"/>
      <c r="C831" s="15"/>
      <c r="D831" s="15"/>
      <c r="E831" s="15"/>
      <c r="F831" s="24"/>
      <c r="G831" s="17"/>
      <c r="H831" s="17"/>
      <c r="I831" s="15"/>
      <c r="J831" s="25">
        <f>IF($D831="","",IFERROR(INDEX(PacNome,MATCH($D831,PacCod,0)),"Paciente não cadastrado"))</f>
        <v>0</v>
      </c>
      <c r="K831" s="26">
        <f>IF($D831="","",IFERROR(INDEX(PacConv,MATCH($D831,PacCod,0))&amp;"",""))</f>
        <v>0</v>
      </c>
      <c r="L831" s="26">
        <f>IF($A831="","",CHOOSE(WEEKDAY($A831,2),"Seg","Ter","Qua","Qui","Sex","Sáb","Dom"))</f>
        <v>0</v>
      </c>
      <c r="M831" s="27">
        <f>IF($E831="","",IF($G831&lt;&gt;"",$G831,IFERROR(INDEX(ProcValor,MATCH($E831,ProcNome,0)),0)))</f>
        <v>0</v>
      </c>
      <c r="N831" s="27">
        <f>IF($M831="","",IF($F831="Compareceu",$M831,0))</f>
        <v>0</v>
      </c>
      <c r="O831" s="27">
        <f>IF($M831="","",IF($F831="Faltou",$M831,0))</f>
        <v>0</v>
      </c>
      <c r="P831" s="27">
        <f>IF($M831="","",IF($F831="Compareceu",MAX(0,$M831-N($H831)),0))</f>
        <v>0</v>
      </c>
      <c r="Q831" s="19">
        <f>IF(AND($F831="Compareceu",$E831&lt;&gt;"",$A831&lt;&gt;""),IF(IFERROR(INDEX(ProcRet,MATCH($E831,ProcNome,0)),0)&gt;0,$A831+INDEX(ProcRet,MATCH($E831,ProcNome,0)),""),"")</f>
        <v>0</v>
      </c>
      <c r="R831" s="26">
        <f>IF($Q831="","",IF(COUNTIFS(AgPac,$D831,AgData,"&gt;"&amp;$A831,AgStatus,"&lt;&gt;Cancelado",AgStatus,"&lt;&gt;Remarcado")&gt;0,"Sim","Não"))</f>
        <v>0</v>
      </c>
      <c r="S831" s="28">
        <f>IF($A831="","",IF(AND($F831="Agendado",$A831-Hoje&gt;=0,$A831-Hoje&lt;=DiasConf),"CONFIRMAR",IF(AND($A831&lt;Hoje,OR($F831="Agendado",$F831="Confirmado")),"Atualizar status",IF(AND($F831="Compareceu",$P831&gt;0.005),"Cobrar",IF($F831="Faltou","Falta: reagendar","")))))</f>
        <v>0</v>
      </c>
      <c r="T831" s="29">
        <f>IF($A831="","",DATE(YEAR($A831),MONTH($A831),1))</f>
        <v>0</v>
      </c>
      <c r="U831" s="30">
        <f>IF($S831="CONFIRMAR",MAX($U$4:$U830)+1,"")</f>
        <v>0</v>
      </c>
      <c r="V831" s="30">
        <f>IF(AND($R831="Não",$Q831&lt;&gt;"",$Q831&lt;=Hoje+JanelaRet,$Q831&gt;=Hoje-60),MAX($V$4:$V830)+1,"")</f>
        <v>0</v>
      </c>
    </row>
    <row r="832" spans="1:22">
      <c r="A832" s="16"/>
      <c r="B832" s="23"/>
      <c r="C832" s="15"/>
      <c r="D832" s="15"/>
      <c r="E832" s="15"/>
      <c r="F832" s="24"/>
      <c r="G832" s="17"/>
      <c r="H832" s="17"/>
      <c r="I832" s="15"/>
      <c r="J832" s="25">
        <f>IF($D832="","",IFERROR(INDEX(PacNome,MATCH($D832,PacCod,0)),"Paciente não cadastrado"))</f>
        <v>0</v>
      </c>
      <c r="K832" s="26">
        <f>IF($D832="","",IFERROR(INDEX(PacConv,MATCH($D832,PacCod,0))&amp;"",""))</f>
        <v>0</v>
      </c>
      <c r="L832" s="26">
        <f>IF($A832="","",CHOOSE(WEEKDAY($A832,2),"Seg","Ter","Qua","Qui","Sex","Sáb","Dom"))</f>
        <v>0</v>
      </c>
      <c r="M832" s="27">
        <f>IF($E832="","",IF($G832&lt;&gt;"",$G832,IFERROR(INDEX(ProcValor,MATCH($E832,ProcNome,0)),0)))</f>
        <v>0</v>
      </c>
      <c r="N832" s="27">
        <f>IF($M832="","",IF($F832="Compareceu",$M832,0))</f>
        <v>0</v>
      </c>
      <c r="O832" s="27">
        <f>IF($M832="","",IF($F832="Faltou",$M832,0))</f>
        <v>0</v>
      </c>
      <c r="P832" s="27">
        <f>IF($M832="","",IF($F832="Compareceu",MAX(0,$M832-N($H832)),0))</f>
        <v>0</v>
      </c>
      <c r="Q832" s="19">
        <f>IF(AND($F832="Compareceu",$E832&lt;&gt;"",$A832&lt;&gt;""),IF(IFERROR(INDEX(ProcRet,MATCH($E832,ProcNome,0)),0)&gt;0,$A832+INDEX(ProcRet,MATCH($E832,ProcNome,0)),""),"")</f>
        <v>0</v>
      </c>
      <c r="R832" s="26">
        <f>IF($Q832="","",IF(COUNTIFS(AgPac,$D832,AgData,"&gt;"&amp;$A832,AgStatus,"&lt;&gt;Cancelado",AgStatus,"&lt;&gt;Remarcado")&gt;0,"Sim","Não"))</f>
        <v>0</v>
      </c>
      <c r="S832" s="28">
        <f>IF($A832="","",IF(AND($F832="Agendado",$A832-Hoje&gt;=0,$A832-Hoje&lt;=DiasConf),"CONFIRMAR",IF(AND($A832&lt;Hoje,OR($F832="Agendado",$F832="Confirmado")),"Atualizar status",IF(AND($F832="Compareceu",$P832&gt;0.005),"Cobrar",IF($F832="Faltou","Falta: reagendar","")))))</f>
        <v>0</v>
      </c>
      <c r="T832" s="29">
        <f>IF($A832="","",DATE(YEAR($A832),MONTH($A832),1))</f>
        <v>0</v>
      </c>
      <c r="U832" s="30">
        <f>IF($S832="CONFIRMAR",MAX($U$4:$U831)+1,"")</f>
        <v>0</v>
      </c>
      <c r="V832" s="30">
        <f>IF(AND($R832="Não",$Q832&lt;&gt;"",$Q832&lt;=Hoje+JanelaRet,$Q832&gt;=Hoje-60),MAX($V$4:$V831)+1,"")</f>
        <v>0</v>
      </c>
    </row>
    <row r="833" spans="1:22">
      <c r="A833" s="16"/>
      <c r="B833" s="23"/>
      <c r="C833" s="15"/>
      <c r="D833" s="15"/>
      <c r="E833" s="15"/>
      <c r="F833" s="24"/>
      <c r="G833" s="17"/>
      <c r="H833" s="17"/>
      <c r="I833" s="15"/>
      <c r="J833" s="25">
        <f>IF($D833="","",IFERROR(INDEX(PacNome,MATCH($D833,PacCod,0)),"Paciente não cadastrado"))</f>
        <v>0</v>
      </c>
      <c r="K833" s="26">
        <f>IF($D833="","",IFERROR(INDEX(PacConv,MATCH($D833,PacCod,0))&amp;"",""))</f>
        <v>0</v>
      </c>
      <c r="L833" s="26">
        <f>IF($A833="","",CHOOSE(WEEKDAY($A833,2),"Seg","Ter","Qua","Qui","Sex","Sáb","Dom"))</f>
        <v>0</v>
      </c>
      <c r="M833" s="27">
        <f>IF($E833="","",IF($G833&lt;&gt;"",$G833,IFERROR(INDEX(ProcValor,MATCH($E833,ProcNome,0)),0)))</f>
        <v>0</v>
      </c>
      <c r="N833" s="27">
        <f>IF($M833="","",IF($F833="Compareceu",$M833,0))</f>
        <v>0</v>
      </c>
      <c r="O833" s="27">
        <f>IF($M833="","",IF($F833="Faltou",$M833,0))</f>
        <v>0</v>
      </c>
      <c r="P833" s="27">
        <f>IF($M833="","",IF($F833="Compareceu",MAX(0,$M833-N($H833)),0))</f>
        <v>0</v>
      </c>
      <c r="Q833" s="19">
        <f>IF(AND($F833="Compareceu",$E833&lt;&gt;"",$A833&lt;&gt;""),IF(IFERROR(INDEX(ProcRet,MATCH($E833,ProcNome,0)),0)&gt;0,$A833+INDEX(ProcRet,MATCH($E833,ProcNome,0)),""),"")</f>
        <v>0</v>
      </c>
      <c r="R833" s="26">
        <f>IF($Q833="","",IF(COUNTIFS(AgPac,$D833,AgData,"&gt;"&amp;$A833,AgStatus,"&lt;&gt;Cancelado",AgStatus,"&lt;&gt;Remarcado")&gt;0,"Sim","Não"))</f>
        <v>0</v>
      </c>
      <c r="S833" s="28">
        <f>IF($A833="","",IF(AND($F833="Agendado",$A833-Hoje&gt;=0,$A833-Hoje&lt;=DiasConf),"CONFIRMAR",IF(AND($A833&lt;Hoje,OR($F833="Agendado",$F833="Confirmado")),"Atualizar status",IF(AND($F833="Compareceu",$P833&gt;0.005),"Cobrar",IF($F833="Faltou","Falta: reagendar","")))))</f>
        <v>0</v>
      </c>
      <c r="T833" s="29">
        <f>IF($A833="","",DATE(YEAR($A833),MONTH($A833),1))</f>
        <v>0</v>
      </c>
      <c r="U833" s="30">
        <f>IF($S833="CONFIRMAR",MAX($U$4:$U832)+1,"")</f>
        <v>0</v>
      </c>
      <c r="V833" s="30">
        <f>IF(AND($R833="Não",$Q833&lt;&gt;"",$Q833&lt;=Hoje+JanelaRet,$Q833&gt;=Hoje-60),MAX($V$4:$V832)+1,"")</f>
        <v>0</v>
      </c>
    </row>
    <row r="834" spans="1:22">
      <c r="A834" s="16"/>
      <c r="B834" s="23"/>
      <c r="C834" s="15"/>
      <c r="D834" s="15"/>
      <c r="E834" s="15"/>
      <c r="F834" s="24"/>
      <c r="G834" s="17"/>
      <c r="H834" s="17"/>
      <c r="I834" s="15"/>
      <c r="J834" s="25">
        <f>IF($D834="","",IFERROR(INDEX(PacNome,MATCH($D834,PacCod,0)),"Paciente não cadastrado"))</f>
        <v>0</v>
      </c>
      <c r="K834" s="26">
        <f>IF($D834="","",IFERROR(INDEX(PacConv,MATCH($D834,PacCod,0))&amp;"",""))</f>
        <v>0</v>
      </c>
      <c r="L834" s="26">
        <f>IF($A834="","",CHOOSE(WEEKDAY($A834,2),"Seg","Ter","Qua","Qui","Sex","Sáb","Dom"))</f>
        <v>0</v>
      </c>
      <c r="M834" s="27">
        <f>IF($E834="","",IF($G834&lt;&gt;"",$G834,IFERROR(INDEX(ProcValor,MATCH($E834,ProcNome,0)),0)))</f>
        <v>0</v>
      </c>
      <c r="N834" s="27">
        <f>IF($M834="","",IF($F834="Compareceu",$M834,0))</f>
        <v>0</v>
      </c>
      <c r="O834" s="27">
        <f>IF($M834="","",IF($F834="Faltou",$M834,0))</f>
        <v>0</v>
      </c>
      <c r="P834" s="27">
        <f>IF($M834="","",IF($F834="Compareceu",MAX(0,$M834-N($H834)),0))</f>
        <v>0</v>
      </c>
      <c r="Q834" s="19">
        <f>IF(AND($F834="Compareceu",$E834&lt;&gt;"",$A834&lt;&gt;""),IF(IFERROR(INDEX(ProcRet,MATCH($E834,ProcNome,0)),0)&gt;0,$A834+INDEX(ProcRet,MATCH($E834,ProcNome,0)),""),"")</f>
        <v>0</v>
      </c>
      <c r="R834" s="26">
        <f>IF($Q834="","",IF(COUNTIFS(AgPac,$D834,AgData,"&gt;"&amp;$A834,AgStatus,"&lt;&gt;Cancelado",AgStatus,"&lt;&gt;Remarcado")&gt;0,"Sim","Não"))</f>
        <v>0</v>
      </c>
      <c r="S834" s="28">
        <f>IF($A834="","",IF(AND($F834="Agendado",$A834-Hoje&gt;=0,$A834-Hoje&lt;=DiasConf),"CONFIRMAR",IF(AND($A834&lt;Hoje,OR($F834="Agendado",$F834="Confirmado")),"Atualizar status",IF(AND($F834="Compareceu",$P834&gt;0.005),"Cobrar",IF($F834="Faltou","Falta: reagendar","")))))</f>
        <v>0</v>
      </c>
      <c r="T834" s="29">
        <f>IF($A834="","",DATE(YEAR($A834),MONTH($A834),1))</f>
        <v>0</v>
      </c>
      <c r="U834" s="30">
        <f>IF($S834="CONFIRMAR",MAX($U$4:$U833)+1,"")</f>
        <v>0</v>
      </c>
      <c r="V834" s="30">
        <f>IF(AND($R834="Não",$Q834&lt;&gt;"",$Q834&lt;=Hoje+JanelaRet,$Q834&gt;=Hoje-60),MAX($V$4:$V833)+1,"")</f>
        <v>0</v>
      </c>
    </row>
    <row r="835" spans="1:22">
      <c r="A835" s="16"/>
      <c r="B835" s="23"/>
      <c r="C835" s="15"/>
      <c r="D835" s="15"/>
      <c r="E835" s="15"/>
      <c r="F835" s="24"/>
      <c r="G835" s="17"/>
      <c r="H835" s="17"/>
      <c r="I835" s="15"/>
      <c r="J835" s="25">
        <f>IF($D835="","",IFERROR(INDEX(PacNome,MATCH($D835,PacCod,0)),"Paciente não cadastrado"))</f>
        <v>0</v>
      </c>
      <c r="K835" s="26">
        <f>IF($D835="","",IFERROR(INDEX(PacConv,MATCH($D835,PacCod,0))&amp;"",""))</f>
        <v>0</v>
      </c>
      <c r="L835" s="26">
        <f>IF($A835="","",CHOOSE(WEEKDAY($A835,2),"Seg","Ter","Qua","Qui","Sex","Sáb","Dom"))</f>
        <v>0</v>
      </c>
      <c r="M835" s="27">
        <f>IF($E835="","",IF($G835&lt;&gt;"",$G835,IFERROR(INDEX(ProcValor,MATCH($E835,ProcNome,0)),0)))</f>
        <v>0</v>
      </c>
      <c r="N835" s="27">
        <f>IF($M835="","",IF($F835="Compareceu",$M835,0))</f>
        <v>0</v>
      </c>
      <c r="O835" s="27">
        <f>IF($M835="","",IF($F835="Faltou",$M835,0))</f>
        <v>0</v>
      </c>
      <c r="P835" s="27">
        <f>IF($M835="","",IF($F835="Compareceu",MAX(0,$M835-N($H835)),0))</f>
        <v>0</v>
      </c>
      <c r="Q835" s="19">
        <f>IF(AND($F835="Compareceu",$E835&lt;&gt;"",$A835&lt;&gt;""),IF(IFERROR(INDEX(ProcRet,MATCH($E835,ProcNome,0)),0)&gt;0,$A835+INDEX(ProcRet,MATCH($E835,ProcNome,0)),""),"")</f>
        <v>0</v>
      </c>
      <c r="R835" s="26">
        <f>IF($Q835="","",IF(COUNTIFS(AgPac,$D835,AgData,"&gt;"&amp;$A835,AgStatus,"&lt;&gt;Cancelado",AgStatus,"&lt;&gt;Remarcado")&gt;0,"Sim","Não"))</f>
        <v>0</v>
      </c>
      <c r="S835" s="28">
        <f>IF($A835="","",IF(AND($F835="Agendado",$A835-Hoje&gt;=0,$A835-Hoje&lt;=DiasConf),"CONFIRMAR",IF(AND($A835&lt;Hoje,OR($F835="Agendado",$F835="Confirmado")),"Atualizar status",IF(AND($F835="Compareceu",$P835&gt;0.005),"Cobrar",IF($F835="Faltou","Falta: reagendar","")))))</f>
        <v>0</v>
      </c>
      <c r="T835" s="29">
        <f>IF($A835="","",DATE(YEAR($A835),MONTH($A835),1))</f>
        <v>0</v>
      </c>
      <c r="U835" s="30">
        <f>IF($S835="CONFIRMAR",MAX($U$4:$U834)+1,"")</f>
        <v>0</v>
      </c>
      <c r="V835" s="30">
        <f>IF(AND($R835="Não",$Q835&lt;&gt;"",$Q835&lt;=Hoje+JanelaRet,$Q835&gt;=Hoje-60),MAX($V$4:$V834)+1,"")</f>
        <v>0</v>
      </c>
    </row>
    <row r="836" spans="1:22">
      <c r="A836" s="16"/>
      <c r="B836" s="23"/>
      <c r="C836" s="15"/>
      <c r="D836" s="15"/>
      <c r="E836" s="15"/>
      <c r="F836" s="24"/>
      <c r="G836" s="17"/>
      <c r="H836" s="17"/>
      <c r="I836" s="15"/>
      <c r="J836" s="25">
        <f>IF($D836="","",IFERROR(INDEX(PacNome,MATCH($D836,PacCod,0)),"Paciente não cadastrado"))</f>
        <v>0</v>
      </c>
      <c r="K836" s="26">
        <f>IF($D836="","",IFERROR(INDEX(PacConv,MATCH($D836,PacCod,0))&amp;"",""))</f>
        <v>0</v>
      </c>
      <c r="L836" s="26">
        <f>IF($A836="","",CHOOSE(WEEKDAY($A836,2),"Seg","Ter","Qua","Qui","Sex","Sáb","Dom"))</f>
        <v>0</v>
      </c>
      <c r="M836" s="27">
        <f>IF($E836="","",IF($G836&lt;&gt;"",$G836,IFERROR(INDEX(ProcValor,MATCH($E836,ProcNome,0)),0)))</f>
        <v>0</v>
      </c>
      <c r="N836" s="27">
        <f>IF($M836="","",IF($F836="Compareceu",$M836,0))</f>
        <v>0</v>
      </c>
      <c r="O836" s="27">
        <f>IF($M836="","",IF($F836="Faltou",$M836,0))</f>
        <v>0</v>
      </c>
      <c r="P836" s="27">
        <f>IF($M836="","",IF($F836="Compareceu",MAX(0,$M836-N($H836)),0))</f>
        <v>0</v>
      </c>
      <c r="Q836" s="19">
        <f>IF(AND($F836="Compareceu",$E836&lt;&gt;"",$A836&lt;&gt;""),IF(IFERROR(INDEX(ProcRet,MATCH($E836,ProcNome,0)),0)&gt;0,$A836+INDEX(ProcRet,MATCH($E836,ProcNome,0)),""),"")</f>
        <v>0</v>
      </c>
      <c r="R836" s="26">
        <f>IF($Q836="","",IF(COUNTIFS(AgPac,$D836,AgData,"&gt;"&amp;$A836,AgStatus,"&lt;&gt;Cancelado",AgStatus,"&lt;&gt;Remarcado")&gt;0,"Sim","Não"))</f>
        <v>0</v>
      </c>
      <c r="S836" s="28">
        <f>IF($A836="","",IF(AND($F836="Agendado",$A836-Hoje&gt;=0,$A836-Hoje&lt;=DiasConf),"CONFIRMAR",IF(AND($A836&lt;Hoje,OR($F836="Agendado",$F836="Confirmado")),"Atualizar status",IF(AND($F836="Compareceu",$P836&gt;0.005),"Cobrar",IF($F836="Faltou","Falta: reagendar","")))))</f>
        <v>0</v>
      </c>
      <c r="T836" s="29">
        <f>IF($A836="","",DATE(YEAR($A836),MONTH($A836),1))</f>
        <v>0</v>
      </c>
      <c r="U836" s="30">
        <f>IF($S836="CONFIRMAR",MAX($U$4:$U835)+1,"")</f>
        <v>0</v>
      </c>
      <c r="V836" s="30">
        <f>IF(AND($R836="Não",$Q836&lt;&gt;"",$Q836&lt;=Hoje+JanelaRet,$Q836&gt;=Hoje-60),MAX($V$4:$V835)+1,"")</f>
        <v>0</v>
      </c>
    </row>
    <row r="837" spans="1:22">
      <c r="A837" s="16"/>
      <c r="B837" s="23"/>
      <c r="C837" s="15"/>
      <c r="D837" s="15"/>
      <c r="E837" s="15"/>
      <c r="F837" s="24"/>
      <c r="G837" s="17"/>
      <c r="H837" s="17"/>
      <c r="I837" s="15"/>
      <c r="J837" s="25">
        <f>IF($D837="","",IFERROR(INDEX(PacNome,MATCH($D837,PacCod,0)),"Paciente não cadastrado"))</f>
        <v>0</v>
      </c>
      <c r="K837" s="26">
        <f>IF($D837="","",IFERROR(INDEX(PacConv,MATCH($D837,PacCod,0))&amp;"",""))</f>
        <v>0</v>
      </c>
      <c r="L837" s="26">
        <f>IF($A837="","",CHOOSE(WEEKDAY($A837,2),"Seg","Ter","Qua","Qui","Sex","Sáb","Dom"))</f>
        <v>0</v>
      </c>
      <c r="M837" s="27">
        <f>IF($E837="","",IF($G837&lt;&gt;"",$G837,IFERROR(INDEX(ProcValor,MATCH($E837,ProcNome,0)),0)))</f>
        <v>0</v>
      </c>
      <c r="N837" s="27">
        <f>IF($M837="","",IF($F837="Compareceu",$M837,0))</f>
        <v>0</v>
      </c>
      <c r="O837" s="27">
        <f>IF($M837="","",IF($F837="Faltou",$M837,0))</f>
        <v>0</v>
      </c>
      <c r="P837" s="27">
        <f>IF($M837="","",IF($F837="Compareceu",MAX(0,$M837-N($H837)),0))</f>
        <v>0</v>
      </c>
      <c r="Q837" s="19">
        <f>IF(AND($F837="Compareceu",$E837&lt;&gt;"",$A837&lt;&gt;""),IF(IFERROR(INDEX(ProcRet,MATCH($E837,ProcNome,0)),0)&gt;0,$A837+INDEX(ProcRet,MATCH($E837,ProcNome,0)),""),"")</f>
        <v>0</v>
      </c>
      <c r="R837" s="26">
        <f>IF($Q837="","",IF(COUNTIFS(AgPac,$D837,AgData,"&gt;"&amp;$A837,AgStatus,"&lt;&gt;Cancelado",AgStatus,"&lt;&gt;Remarcado")&gt;0,"Sim","Não"))</f>
        <v>0</v>
      </c>
      <c r="S837" s="28">
        <f>IF($A837="","",IF(AND($F837="Agendado",$A837-Hoje&gt;=0,$A837-Hoje&lt;=DiasConf),"CONFIRMAR",IF(AND($A837&lt;Hoje,OR($F837="Agendado",$F837="Confirmado")),"Atualizar status",IF(AND($F837="Compareceu",$P837&gt;0.005),"Cobrar",IF($F837="Faltou","Falta: reagendar","")))))</f>
        <v>0</v>
      </c>
      <c r="T837" s="29">
        <f>IF($A837="","",DATE(YEAR($A837),MONTH($A837),1))</f>
        <v>0</v>
      </c>
      <c r="U837" s="30">
        <f>IF($S837="CONFIRMAR",MAX($U$4:$U836)+1,"")</f>
        <v>0</v>
      </c>
      <c r="V837" s="30">
        <f>IF(AND($R837="Não",$Q837&lt;&gt;"",$Q837&lt;=Hoje+JanelaRet,$Q837&gt;=Hoje-60),MAX($V$4:$V836)+1,"")</f>
        <v>0</v>
      </c>
    </row>
    <row r="838" spans="1:22">
      <c r="A838" s="16"/>
      <c r="B838" s="23"/>
      <c r="C838" s="15"/>
      <c r="D838" s="15"/>
      <c r="E838" s="15"/>
      <c r="F838" s="24"/>
      <c r="G838" s="17"/>
      <c r="H838" s="17"/>
      <c r="I838" s="15"/>
      <c r="J838" s="25">
        <f>IF($D838="","",IFERROR(INDEX(PacNome,MATCH($D838,PacCod,0)),"Paciente não cadastrado"))</f>
        <v>0</v>
      </c>
      <c r="K838" s="26">
        <f>IF($D838="","",IFERROR(INDEX(PacConv,MATCH($D838,PacCod,0))&amp;"",""))</f>
        <v>0</v>
      </c>
      <c r="L838" s="26">
        <f>IF($A838="","",CHOOSE(WEEKDAY($A838,2),"Seg","Ter","Qua","Qui","Sex","Sáb","Dom"))</f>
        <v>0</v>
      </c>
      <c r="M838" s="27">
        <f>IF($E838="","",IF($G838&lt;&gt;"",$G838,IFERROR(INDEX(ProcValor,MATCH($E838,ProcNome,0)),0)))</f>
        <v>0</v>
      </c>
      <c r="N838" s="27">
        <f>IF($M838="","",IF($F838="Compareceu",$M838,0))</f>
        <v>0</v>
      </c>
      <c r="O838" s="27">
        <f>IF($M838="","",IF($F838="Faltou",$M838,0))</f>
        <v>0</v>
      </c>
      <c r="P838" s="27">
        <f>IF($M838="","",IF($F838="Compareceu",MAX(0,$M838-N($H838)),0))</f>
        <v>0</v>
      </c>
      <c r="Q838" s="19">
        <f>IF(AND($F838="Compareceu",$E838&lt;&gt;"",$A838&lt;&gt;""),IF(IFERROR(INDEX(ProcRet,MATCH($E838,ProcNome,0)),0)&gt;0,$A838+INDEX(ProcRet,MATCH($E838,ProcNome,0)),""),"")</f>
        <v>0</v>
      </c>
      <c r="R838" s="26">
        <f>IF($Q838="","",IF(COUNTIFS(AgPac,$D838,AgData,"&gt;"&amp;$A838,AgStatus,"&lt;&gt;Cancelado",AgStatus,"&lt;&gt;Remarcado")&gt;0,"Sim","Não"))</f>
        <v>0</v>
      </c>
      <c r="S838" s="28">
        <f>IF($A838="","",IF(AND($F838="Agendado",$A838-Hoje&gt;=0,$A838-Hoje&lt;=DiasConf),"CONFIRMAR",IF(AND($A838&lt;Hoje,OR($F838="Agendado",$F838="Confirmado")),"Atualizar status",IF(AND($F838="Compareceu",$P838&gt;0.005),"Cobrar",IF($F838="Faltou","Falta: reagendar","")))))</f>
        <v>0</v>
      </c>
      <c r="T838" s="29">
        <f>IF($A838="","",DATE(YEAR($A838),MONTH($A838),1))</f>
        <v>0</v>
      </c>
      <c r="U838" s="30">
        <f>IF($S838="CONFIRMAR",MAX($U$4:$U837)+1,"")</f>
        <v>0</v>
      </c>
      <c r="V838" s="30">
        <f>IF(AND($R838="Não",$Q838&lt;&gt;"",$Q838&lt;=Hoje+JanelaRet,$Q838&gt;=Hoje-60),MAX($V$4:$V837)+1,"")</f>
        <v>0</v>
      </c>
    </row>
    <row r="839" spans="1:22">
      <c r="A839" s="16"/>
      <c r="B839" s="23"/>
      <c r="C839" s="15"/>
      <c r="D839" s="15"/>
      <c r="E839" s="15"/>
      <c r="F839" s="24"/>
      <c r="G839" s="17"/>
      <c r="H839" s="17"/>
      <c r="I839" s="15"/>
      <c r="J839" s="25">
        <f>IF($D839="","",IFERROR(INDEX(PacNome,MATCH($D839,PacCod,0)),"Paciente não cadastrado"))</f>
        <v>0</v>
      </c>
      <c r="K839" s="26">
        <f>IF($D839="","",IFERROR(INDEX(PacConv,MATCH($D839,PacCod,0))&amp;"",""))</f>
        <v>0</v>
      </c>
      <c r="L839" s="26">
        <f>IF($A839="","",CHOOSE(WEEKDAY($A839,2),"Seg","Ter","Qua","Qui","Sex","Sáb","Dom"))</f>
        <v>0</v>
      </c>
      <c r="M839" s="27">
        <f>IF($E839="","",IF($G839&lt;&gt;"",$G839,IFERROR(INDEX(ProcValor,MATCH($E839,ProcNome,0)),0)))</f>
        <v>0</v>
      </c>
      <c r="N839" s="27">
        <f>IF($M839="","",IF($F839="Compareceu",$M839,0))</f>
        <v>0</v>
      </c>
      <c r="O839" s="27">
        <f>IF($M839="","",IF($F839="Faltou",$M839,0))</f>
        <v>0</v>
      </c>
      <c r="P839" s="27">
        <f>IF($M839="","",IF($F839="Compareceu",MAX(0,$M839-N($H839)),0))</f>
        <v>0</v>
      </c>
      <c r="Q839" s="19">
        <f>IF(AND($F839="Compareceu",$E839&lt;&gt;"",$A839&lt;&gt;""),IF(IFERROR(INDEX(ProcRet,MATCH($E839,ProcNome,0)),0)&gt;0,$A839+INDEX(ProcRet,MATCH($E839,ProcNome,0)),""),"")</f>
        <v>0</v>
      </c>
      <c r="R839" s="26">
        <f>IF($Q839="","",IF(COUNTIFS(AgPac,$D839,AgData,"&gt;"&amp;$A839,AgStatus,"&lt;&gt;Cancelado",AgStatus,"&lt;&gt;Remarcado")&gt;0,"Sim","Não"))</f>
        <v>0</v>
      </c>
      <c r="S839" s="28">
        <f>IF($A839="","",IF(AND($F839="Agendado",$A839-Hoje&gt;=0,$A839-Hoje&lt;=DiasConf),"CONFIRMAR",IF(AND($A839&lt;Hoje,OR($F839="Agendado",$F839="Confirmado")),"Atualizar status",IF(AND($F839="Compareceu",$P839&gt;0.005),"Cobrar",IF($F839="Faltou","Falta: reagendar","")))))</f>
        <v>0</v>
      </c>
      <c r="T839" s="29">
        <f>IF($A839="","",DATE(YEAR($A839),MONTH($A839),1))</f>
        <v>0</v>
      </c>
      <c r="U839" s="30">
        <f>IF($S839="CONFIRMAR",MAX($U$4:$U838)+1,"")</f>
        <v>0</v>
      </c>
      <c r="V839" s="30">
        <f>IF(AND($R839="Não",$Q839&lt;&gt;"",$Q839&lt;=Hoje+JanelaRet,$Q839&gt;=Hoje-60),MAX($V$4:$V838)+1,"")</f>
        <v>0</v>
      </c>
    </row>
    <row r="840" spans="1:22">
      <c r="A840" s="16"/>
      <c r="B840" s="23"/>
      <c r="C840" s="15"/>
      <c r="D840" s="15"/>
      <c r="E840" s="15"/>
      <c r="F840" s="24"/>
      <c r="G840" s="17"/>
      <c r="H840" s="17"/>
      <c r="I840" s="15"/>
      <c r="J840" s="25">
        <f>IF($D840="","",IFERROR(INDEX(PacNome,MATCH($D840,PacCod,0)),"Paciente não cadastrado"))</f>
        <v>0</v>
      </c>
      <c r="K840" s="26">
        <f>IF($D840="","",IFERROR(INDEX(PacConv,MATCH($D840,PacCod,0))&amp;"",""))</f>
        <v>0</v>
      </c>
      <c r="L840" s="26">
        <f>IF($A840="","",CHOOSE(WEEKDAY($A840,2),"Seg","Ter","Qua","Qui","Sex","Sáb","Dom"))</f>
        <v>0</v>
      </c>
      <c r="M840" s="27">
        <f>IF($E840="","",IF($G840&lt;&gt;"",$G840,IFERROR(INDEX(ProcValor,MATCH($E840,ProcNome,0)),0)))</f>
        <v>0</v>
      </c>
      <c r="N840" s="27">
        <f>IF($M840="","",IF($F840="Compareceu",$M840,0))</f>
        <v>0</v>
      </c>
      <c r="O840" s="27">
        <f>IF($M840="","",IF($F840="Faltou",$M840,0))</f>
        <v>0</v>
      </c>
      <c r="P840" s="27">
        <f>IF($M840="","",IF($F840="Compareceu",MAX(0,$M840-N($H840)),0))</f>
        <v>0</v>
      </c>
      <c r="Q840" s="19">
        <f>IF(AND($F840="Compareceu",$E840&lt;&gt;"",$A840&lt;&gt;""),IF(IFERROR(INDEX(ProcRet,MATCH($E840,ProcNome,0)),0)&gt;0,$A840+INDEX(ProcRet,MATCH($E840,ProcNome,0)),""),"")</f>
        <v>0</v>
      </c>
      <c r="R840" s="26">
        <f>IF($Q840="","",IF(COUNTIFS(AgPac,$D840,AgData,"&gt;"&amp;$A840,AgStatus,"&lt;&gt;Cancelado",AgStatus,"&lt;&gt;Remarcado")&gt;0,"Sim","Não"))</f>
        <v>0</v>
      </c>
      <c r="S840" s="28">
        <f>IF($A840="","",IF(AND($F840="Agendado",$A840-Hoje&gt;=0,$A840-Hoje&lt;=DiasConf),"CONFIRMAR",IF(AND($A840&lt;Hoje,OR($F840="Agendado",$F840="Confirmado")),"Atualizar status",IF(AND($F840="Compareceu",$P840&gt;0.005),"Cobrar",IF($F840="Faltou","Falta: reagendar","")))))</f>
        <v>0</v>
      </c>
      <c r="T840" s="29">
        <f>IF($A840="","",DATE(YEAR($A840),MONTH($A840),1))</f>
        <v>0</v>
      </c>
      <c r="U840" s="30">
        <f>IF($S840="CONFIRMAR",MAX($U$4:$U839)+1,"")</f>
        <v>0</v>
      </c>
      <c r="V840" s="30">
        <f>IF(AND($R840="Não",$Q840&lt;&gt;"",$Q840&lt;=Hoje+JanelaRet,$Q840&gt;=Hoje-60),MAX($V$4:$V839)+1,"")</f>
        <v>0</v>
      </c>
    </row>
    <row r="841" spans="1:22">
      <c r="A841" s="16"/>
      <c r="B841" s="23"/>
      <c r="C841" s="15"/>
      <c r="D841" s="15"/>
      <c r="E841" s="15"/>
      <c r="F841" s="24"/>
      <c r="G841" s="17"/>
      <c r="H841" s="17"/>
      <c r="I841" s="15"/>
      <c r="J841" s="25">
        <f>IF($D841="","",IFERROR(INDEX(PacNome,MATCH($D841,PacCod,0)),"Paciente não cadastrado"))</f>
        <v>0</v>
      </c>
      <c r="K841" s="26">
        <f>IF($D841="","",IFERROR(INDEX(PacConv,MATCH($D841,PacCod,0))&amp;"",""))</f>
        <v>0</v>
      </c>
      <c r="L841" s="26">
        <f>IF($A841="","",CHOOSE(WEEKDAY($A841,2),"Seg","Ter","Qua","Qui","Sex","Sáb","Dom"))</f>
        <v>0</v>
      </c>
      <c r="M841" s="27">
        <f>IF($E841="","",IF($G841&lt;&gt;"",$G841,IFERROR(INDEX(ProcValor,MATCH($E841,ProcNome,0)),0)))</f>
        <v>0</v>
      </c>
      <c r="N841" s="27">
        <f>IF($M841="","",IF($F841="Compareceu",$M841,0))</f>
        <v>0</v>
      </c>
      <c r="O841" s="27">
        <f>IF($M841="","",IF($F841="Faltou",$M841,0))</f>
        <v>0</v>
      </c>
      <c r="P841" s="27">
        <f>IF($M841="","",IF($F841="Compareceu",MAX(0,$M841-N($H841)),0))</f>
        <v>0</v>
      </c>
      <c r="Q841" s="19">
        <f>IF(AND($F841="Compareceu",$E841&lt;&gt;"",$A841&lt;&gt;""),IF(IFERROR(INDEX(ProcRet,MATCH($E841,ProcNome,0)),0)&gt;0,$A841+INDEX(ProcRet,MATCH($E841,ProcNome,0)),""),"")</f>
        <v>0</v>
      </c>
      <c r="R841" s="26">
        <f>IF($Q841="","",IF(COUNTIFS(AgPac,$D841,AgData,"&gt;"&amp;$A841,AgStatus,"&lt;&gt;Cancelado",AgStatus,"&lt;&gt;Remarcado")&gt;0,"Sim","Não"))</f>
        <v>0</v>
      </c>
      <c r="S841" s="28">
        <f>IF($A841="","",IF(AND($F841="Agendado",$A841-Hoje&gt;=0,$A841-Hoje&lt;=DiasConf),"CONFIRMAR",IF(AND($A841&lt;Hoje,OR($F841="Agendado",$F841="Confirmado")),"Atualizar status",IF(AND($F841="Compareceu",$P841&gt;0.005),"Cobrar",IF($F841="Faltou","Falta: reagendar","")))))</f>
        <v>0</v>
      </c>
      <c r="T841" s="29">
        <f>IF($A841="","",DATE(YEAR($A841),MONTH($A841),1))</f>
        <v>0</v>
      </c>
      <c r="U841" s="30">
        <f>IF($S841="CONFIRMAR",MAX($U$4:$U840)+1,"")</f>
        <v>0</v>
      </c>
      <c r="V841" s="30">
        <f>IF(AND($R841="Não",$Q841&lt;&gt;"",$Q841&lt;=Hoje+JanelaRet,$Q841&gt;=Hoje-60),MAX($V$4:$V840)+1,"")</f>
        <v>0</v>
      </c>
    </row>
    <row r="842" spans="1:22">
      <c r="A842" s="16"/>
      <c r="B842" s="23"/>
      <c r="C842" s="15"/>
      <c r="D842" s="15"/>
      <c r="E842" s="15"/>
      <c r="F842" s="24"/>
      <c r="G842" s="17"/>
      <c r="H842" s="17"/>
      <c r="I842" s="15"/>
      <c r="J842" s="25">
        <f>IF($D842="","",IFERROR(INDEX(PacNome,MATCH($D842,PacCod,0)),"Paciente não cadastrado"))</f>
        <v>0</v>
      </c>
      <c r="K842" s="26">
        <f>IF($D842="","",IFERROR(INDEX(PacConv,MATCH($D842,PacCod,0))&amp;"",""))</f>
        <v>0</v>
      </c>
      <c r="L842" s="26">
        <f>IF($A842="","",CHOOSE(WEEKDAY($A842,2),"Seg","Ter","Qua","Qui","Sex","Sáb","Dom"))</f>
        <v>0</v>
      </c>
      <c r="M842" s="27">
        <f>IF($E842="","",IF($G842&lt;&gt;"",$G842,IFERROR(INDEX(ProcValor,MATCH($E842,ProcNome,0)),0)))</f>
        <v>0</v>
      </c>
      <c r="N842" s="27">
        <f>IF($M842="","",IF($F842="Compareceu",$M842,0))</f>
        <v>0</v>
      </c>
      <c r="O842" s="27">
        <f>IF($M842="","",IF($F842="Faltou",$M842,0))</f>
        <v>0</v>
      </c>
      <c r="P842" s="27">
        <f>IF($M842="","",IF($F842="Compareceu",MAX(0,$M842-N($H842)),0))</f>
        <v>0</v>
      </c>
      <c r="Q842" s="19">
        <f>IF(AND($F842="Compareceu",$E842&lt;&gt;"",$A842&lt;&gt;""),IF(IFERROR(INDEX(ProcRet,MATCH($E842,ProcNome,0)),0)&gt;0,$A842+INDEX(ProcRet,MATCH($E842,ProcNome,0)),""),"")</f>
        <v>0</v>
      </c>
      <c r="R842" s="26">
        <f>IF($Q842="","",IF(COUNTIFS(AgPac,$D842,AgData,"&gt;"&amp;$A842,AgStatus,"&lt;&gt;Cancelado",AgStatus,"&lt;&gt;Remarcado")&gt;0,"Sim","Não"))</f>
        <v>0</v>
      </c>
      <c r="S842" s="28">
        <f>IF($A842="","",IF(AND($F842="Agendado",$A842-Hoje&gt;=0,$A842-Hoje&lt;=DiasConf),"CONFIRMAR",IF(AND($A842&lt;Hoje,OR($F842="Agendado",$F842="Confirmado")),"Atualizar status",IF(AND($F842="Compareceu",$P842&gt;0.005),"Cobrar",IF($F842="Faltou","Falta: reagendar","")))))</f>
        <v>0</v>
      </c>
      <c r="T842" s="29">
        <f>IF($A842="","",DATE(YEAR($A842),MONTH($A842),1))</f>
        <v>0</v>
      </c>
      <c r="U842" s="30">
        <f>IF($S842="CONFIRMAR",MAX($U$4:$U841)+1,"")</f>
        <v>0</v>
      </c>
      <c r="V842" s="30">
        <f>IF(AND($R842="Não",$Q842&lt;&gt;"",$Q842&lt;=Hoje+JanelaRet,$Q842&gt;=Hoje-60),MAX($V$4:$V841)+1,"")</f>
        <v>0</v>
      </c>
    </row>
    <row r="843" spans="1:22">
      <c r="A843" s="16"/>
      <c r="B843" s="23"/>
      <c r="C843" s="15"/>
      <c r="D843" s="15"/>
      <c r="E843" s="15"/>
      <c r="F843" s="24"/>
      <c r="G843" s="17"/>
      <c r="H843" s="17"/>
      <c r="I843" s="15"/>
      <c r="J843" s="25">
        <f>IF($D843="","",IFERROR(INDEX(PacNome,MATCH($D843,PacCod,0)),"Paciente não cadastrado"))</f>
        <v>0</v>
      </c>
      <c r="K843" s="26">
        <f>IF($D843="","",IFERROR(INDEX(PacConv,MATCH($D843,PacCod,0))&amp;"",""))</f>
        <v>0</v>
      </c>
      <c r="L843" s="26">
        <f>IF($A843="","",CHOOSE(WEEKDAY($A843,2),"Seg","Ter","Qua","Qui","Sex","Sáb","Dom"))</f>
        <v>0</v>
      </c>
      <c r="M843" s="27">
        <f>IF($E843="","",IF($G843&lt;&gt;"",$G843,IFERROR(INDEX(ProcValor,MATCH($E843,ProcNome,0)),0)))</f>
        <v>0</v>
      </c>
      <c r="N843" s="27">
        <f>IF($M843="","",IF($F843="Compareceu",$M843,0))</f>
        <v>0</v>
      </c>
      <c r="O843" s="27">
        <f>IF($M843="","",IF($F843="Faltou",$M843,0))</f>
        <v>0</v>
      </c>
      <c r="P843" s="27">
        <f>IF($M843="","",IF($F843="Compareceu",MAX(0,$M843-N($H843)),0))</f>
        <v>0</v>
      </c>
      <c r="Q843" s="19">
        <f>IF(AND($F843="Compareceu",$E843&lt;&gt;"",$A843&lt;&gt;""),IF(IFERROR(INDEX(ProcRet,MATCH($E843,ProcNome,0)),0)&gt;0,$A843+INDEX(ProcRet,MATCH($E843,ProcNome,0)),""),"")</f>
        <v>0</v>
      </c>
      <c r="R843" s="26">
        <f>IF($Q843="","",IF(COUNTIFS(AgPac,$D843,AgData,"&gt;"&amp;$A843,AgStatus,"&lt;&gt;Cancelado",AgStatus,"&lt;&gt;Remarcado")&gt;0,"Sim","Não"))</f>
        <v>0</v>
      </c>
      <c r="S843" s="28">
        <f>IF($A843="","",IF(AND($F843="Agendado",$A843-Hoje&gt;=0,$A843-Hoje&lt;=DiasConf),"CONFIRMAR",IF(AND($A843&lt;Hoje,OR($F843="Agendado",$F843="Confirmado")),"Atualizar status",IF(AND($F843="Compareceu",$P843&gt;0.005),"Cobrar",IF($F843="Faltou","Falta: reagendar","")))))</f>
        <v>0</v>
      </c>
      <c r="T843" s="29">
        <f>IF($A843="","",DATE(YEAR($A843),MONTH($A843),1))</f>
        <v>0</v>
      </c>
      <c r="U843" s="30">
        <f>IF($S843="CONFIRMAR",MAX($U$4:$U842)+1,"")</f>
        <v>0</v>
      </c>
      <c r="V843" s="30">
        <f>IF(AND($R843="Não",$Q843&lt;&gt;"",$Q843&lt;=Hoje+JanelaRet,$Q843&gt;=Hoje-60),MAX($V$4:$V842)+1,"")</f>
        <v>0</v>
      </c>
    </row>
    <row r="844" spans="1:22">
      <c r="A844" s="16"/>
      <c r="B844" s="23"/>
      <c r="C844" s="15"/>
      <c r="D844" s="15"/>
      <c r="E844" s="15"/>
      <c r="F844" s="24"/>
      <c r="G844" s="17"/>
      <c r="H844" s="17"/>
      <c r="I844" s="15"/>
      <c r="J844" s="25">
        <f>IF($D844="","",IFERROR(INDEX(PacNome,MATCH($D844,PacCod,0)),"Paciente não cadastrado"))</f>
        <v>0</v>
      </c>
      <c r="K844" s="26">
        <f>IF($D844="","",IFERROR(INDEX(PacConv,MATCH($D844,PacCod,0))&amp;"",""))</f>
        <v>0</v>
      </c>
      <c r="L844" s="26">
        <f>IF($A844="","",CHOOSE(WEEKDAY($A844,2),"Seg","Ter","Qua","Qui","Sex","Sáb","Dom"))</f>
        <v>0</v>
      </c>
      <c r="M844" s="27">
        <f>IF($E844="","",IF($G844&lt;&gt;"",$G844,IFERROR(INDEX(ProcValor,MATCH($E844,ProcNome,0)),0)))</f>
        <v>0</v>
      </c>
      <c r="N844" s="27">
        <f>IF($M844="","",IF($F844="Compareceu",$M844,0))</f>
        <v>0</v>
      </c>
      <c r="O844" s="27">
        <f>IF($M844="","",IF($F844="Faltou",$M844,0))</f>
        <v>0</v>
      </c>
      <c r="P844" s="27">
        <f>IF($M844="","",IF($F844="Compareceu",MAX(0,$M844-N($H844)),0))</f>
        <v>0</v>
      </c>
      <c r="Q844" s="19">
        <f>IF(AND($F844="Compareceu",$E844&lt;&gt;"",$A844&lt;&gt;""),IF(IFERROR(INDEX(ProcRet,MATCH($E844,ProcNome,0)),0)&gt;0,$A844+INDEX(ProcRet,MATCH($E844,ProcNome,0)),""),"")</f>
        <v>0</v>
      </c>
      <c r="R844" s="26">
        <f>IF($Q844="","",IF(COUNTIFS(AgPac,$D844,AgData,"&gt;"&amp;$A844,AgStatus,"&lt;&gt;Cancelado",AgStatus,"&lt;&gt;Remarcado")&gt;0,"Sim","Não"))</f>
        <v>0</v>
      </c>
      <c r="S844" s="28">
        <f>IF($A844="","",IF(AND($F844="Agendado",$A844-Hoje&gt;=0,$A844-Hoje&lt;=DiasConf),"CONFIRMAR",IF(AND($A844&lt;Hoje,OR($F844="Agendado",$F844="Confirmado")),"Atualizar status",IF(AND($F844="Compareceu",$P844&gt;0.005),"Cobrar",IF($F844="Faltou","Falta: reagendar","")))))</f>
        <v>0</v>
      </c>
      <c r="T844" s="29">
        <f>IF($A844="","",DATE(YEAR($A844),MONTH($A844),1))</f>
        <v>0</v>
      </c>
      <c r="U844" s="30">
        <f>IF($S844="CONFIRMAR",MAX($U$4:$U843)+1,"")</f>
        <v>0</v>
      </c>
      <c r="V844" s="30">
        <f>IF(AND($R844="Não",$Q844&lt;&gt;"",$Q844&lt;=Hoje+JanelaRet,$Q844&gt;=Hoje-60),MAX($V$4:$V843)+1,"")</f>
        <v>0</v>
      </c>
    </row>
    <row r="845" spans="1:22">
      <c r="A845" s="16"/>
      <c r="B845" s="23"/>
      <c r="C845" s="15"/>
      <c r="D845" s="15"/>
      <c r="E845" s="15"/>
      <c r="F845" s="24"/>
      <c r="G845" s="17"/>
      <c r="H845" s="17"/>
      <c r="I845" s="15"/>
      <c r="J845" s="25">
        <f>IF($D845="","",IFERROR(INDEX(PacNome,MATCH($D845,PacCod,0)),"Paciente não cadastrado"))</f>
        <v>0</v>
      </c>
      <c r="K845" s="26">
        <f>IF($D845="","",IFERROR(INDEX(PacConv,MATCH($D845,PacCod,0))&amp;"",""))</f>
        <v>0</v>
      </c>
      <c r="L845" s="26">
        <f>IF($A845="","",CHOOSE(WEEKDAY($A845,2),"Seg","Ter","Qua","Qui","Sex","Sáb","Dom"))</f>
        <v>0</v>
      </c>
      <c r="M845" s="27">
        <f>IF($E845="","",IF($G845&lt;&gt;"",$G845,IFERROR(INDEX(ProcValor,MATCH($E845,ProcNome,0)),0)))</f>
        <v>0</v>
      </c>
      <c r="N845" s="27">
        <f>IF($M845="","",IF($F845="Compareceu",$M845,0))</f>
        <v>0</v>
      </c>
      <c r="O845" s="27">
        <f>IF($M845="","",IF($F845="Faltou",$M845,0))</f>
        <v>0</v>
      </c>
      <c r="P845" s="27">
        <f>IF($M845="","",IF($F845="Compareceu",MAX(0,$M845-N($H845)),0))</f>
        <v>0</v>
      </c>
      <c r="Q845" s="19">
        <f>IF(AND($F845="Compareceu",$E845&lt;&gt;"",$A845&lt;&gt;""),IF(IFERROR(INDEX(ProcRet,MATCH($E845,ProcNome,0)),0)&gt;0,$A845+INDEX(ProcRet,MATCH($E845,ProcNome,0)),""),"")</f>
        <v>0</v>
      </c>
      <c r="R845" s="26">
        <f>IF($Q845="","",IF(COUNTIFS(AgPac,$D845,AgData,"&gt;"&amp;$A845,AgStatus,"&lt;&gt;Cancelado",AgStatus,"&lt;&gt;Remarcado")&gt;0,"Sim","Não"))</f>
        <v>0</v>
      </c>
      <c r="S845" s="28">
        <f>IF($A845="","",IF(AND($F845="Agendado",$A845-Hoje&gt;=0,$A845-Hoje&lt;=DiasConf),"CONFIRMAR",IF(AND($A845&lt;Hoje,OR($F845="Agendado",$F845="Confirmado")),"Atualizar status",IF(AND($F845="Compareceu",$P845&gt;0.005),"Cobrar",IF($F845="Faltou","Falta: reagendar","")))))</f>
        <v>0</v>
      </c>
      <c r="T845" s="29">
        <f>IF($A845="","",DATE(YEAR($A845),MONTH($A845),1))</f>
        <v>0</v>
      </c>
      <c r="U845" s="30">
        <f>IF($S845="CONFIRMAR",MAX($U$4:$U844)+1,"")</f>
        <v>0</v>
      </c>
      <c r="V845" s="30">
        <f>IF(AND($R845="Não",$Q845&lt;&gt;"",$Q845&lt;=Hoje+JanelaRet,$Q845&gt;=Hoje-60),MAX($V$4:$V844)+1,"")</f>
        <v>0</v>
      </c>
    </row>
    <row r="846" spans="1:22">
      <c r="A846" s="16"/>
      <c r="B846" s="23"/>
      <c r="C846" s="15"/>
      <c r="D846" s="15"/>
      <c r="E846" s="15"/>
      <c r="F846" s="24"/>
      <c r="G846" s="17"/>
      <c r="H846" s="17"/>
      <c r="I846" s="15"/>
      <c r="J846" s="25">
        <f>IF($D846="","",IFERROR(INDEX(PacNome,MATCH($D846,PacCod,0)),"Paciente não cadastrado"))</f>
        <v>0</v>
      </c>
      <c r="K846" s="26">
        <f>IF($D846="","",IFERROR(INDEX(PacConv,MATCH($D846,PacCod,0))&amp;"",""))</f>
        <v>0</v>
      </c>
      <c r="L846" s="26">
        <f>IF($A846="","",CHOOSE(WEEKDAY($A846,2),"Seg","Ter","Qua","Qui","Sex","Sáb","Dom"))</f>
        <v>0</v>
      </c>
      <c r="M846" s="27">
        <f>IF($E846="","",IF($G846&lt;&gt;"",$G846,IFERROR(INDEX(ProcValor,MATCH($E846,ProcNome,0)),0)))</f>
        <v>0</v>
      </c>
      <c r="N846" s="27">
        <f>IF($M846="","",IF($F846="Compareceu",$M846,0))</f>
        <v>0</v>
      </c>
      <c r="O846" s="27">
        <f>IF($M846="","",IF($F846="Faltou",$M846,0))</f>
        <v>0</v>
      </c>
      <c r="P846" s="27">
        <f>IF($M846="","",IF($F846="Compareceu",MAX(0,$M846-N($H846)),0))</f>
        <v>0</v>
      </c>
      <c r="Q846" s="19">
        <f>IF(AND($F846="Compareceu",$E846&lt;&gt;"",$A846&lt;&gt;""),IF(IFERROR(INDEX(ProcRet,MATCH($E846,ProcNome,0)),0)&gt;0,$A846+INDEX(ProcRet,MATCH($E846,ProcNome,0)),""),"")</f>
        <v>0</v>
      </c>
      <c r="R846" s="26">
        <f>IF($Q846="","",IF(COUNTIFS(AgPac,$D846,AgData,"&gt;"&amp;$A846,AgStatus,"&lt;&gt;Cancelado",AgStatus,"&lt;&gt;Remarcado")&gt;0,"Sim","Não"))</f>
        <v>0</v>
      </c>
      <c r="S846" s="28">
        <f>IF($A846="","",IF(AND($F846="Agendado",$A846-Hoje&gt;=0,$A846-Hoje&lt;=DiasConf),"CONFIRMAR",IF(AND($A846&lt;Hoje,OR($F846="Agendado",$F846="Confirmado")),"Atualizar status",IF(AND($F846="Compareceu",$P846&gt;0.005),"Cobrar",IF($F846="Faltou","Falta: reagendar","")))))</f>
        <v>0</v>
      </c>
      <c r="T846" s="29">
        <f>IF($A846="","",DATE(YEAR($A846),MONTH($A846),1))</f>
        <v>0</v>
      </c>
      <c r="U846" s="30">
        <f>IF($S846="CONFIRMAR",MAX($U$4:$U845)+1,"")</f>
        <v>0</v>
      </c>
      <c r="V846" s="30">
        <f>IF(AND($R846="Não",$Q846&lt;&gt;"",$Q846&lt;=Hoje+JanelaRet,$Q846&gt;=Hoje-60),MAX($V$4:$V845)+1,"")</f>
        <v>0</v>
      </c>
    </row>
    <row r="847" spans="1:22">
      <c r="A847" s="16"/>
      <c r="B847" s="23"/>
      <c r="C847" s="15"/>
      <c r="D847" s="15"/>
      <c r="E847" s="15"/>
      <c r="F847" s="24"/>
      <c r="G847" s="17"/>
      <c r="H847" s="17"/>
      <c r="I847" s="15"/>
      <c r="J847" s="25">
        <f>IF($D847="","",IFERROR(INDEX(PacNome,MATCH($D847,PacCod,0)),"Paciente não cadastrado"))</f>
        <v>0</v>
      </c>
      <c r="K847" s="26">
        <f>IF($D847="","",IFERROR(INDEX(PacConv,MATCH($D847,PacCod,0))&amp;"",""))</f>
        <v>0</v>
      </c>
      <c r="L847" s="26">
        <f>IF($A847="","",CHOOSE(WEEKDAY($A847,2),"Seg","Ter","Qua","Qui","Sex","Sáb","Dom"))</f>
        <v>0</v>
      </c>
      <c r="M847" s="27">
        <f>IF($E847="","",IF($G847&lt;&gt;"",$G847,IFERROR(INDEX(ProcValor,MATCH($E847,ProcNome,0)),0)))</f>
        <v>0</v>
      </c>
      <c r="N847" s="27">
        <f>IF($M847="","",IF($F847="Compareceu",$M847,0))</f>
        <v>0</v>
      </c>
      <c r="O847" s="27">
        <f>IF($M847="","",IF($F847="Faltou",$M847,0))</f>
        <v>0</v>
      </c>
      <c r="P847" s="27">
        <f>IF($M847="","",IF($F847="Compareceu",MAX(0,$M847-N($H847)),0))</f>
        <v>0</v>
      </c>
      <c r="Q847" s="19">
        <f>IF(AND($F847="Compareceu",$E847&lt;&gt;"",$A847&lt;&gt;""),IF(IFERROR(INDEX(ProcRet,MATCH($E847,ProcNome,0)),0)&gt;0,$A847+INDEX(ProcRet,MATCH($E847,ProcNome,0)),""),"")</f>
        <v>0</v>
      </c>
      <c r="R847" s="26">
        <f>IF($Q847="","",IF(COUNTIFS(AgPac,$D847,AgData,"&gt;"&amp;$A847,AgStatus,"&lt;&gt;Cancelado",AgStatus,"&lt;&gt;Remarcado")&gt;0,"Sim","Não"))</f>
        <v>0</v>
      </c>
      <c r="S847" s="28">
        <f>IF($A847="","",IF(AND($F847="Agendado",$A847-Hoje&gt;=0,$A847-Hoje&lt;=DiasConf),"CONFIRMAR",IF(AND($A847&lt;Hoje,OR($F847="Agendado",$F847="Confirmado")),"Atualizar status",IF(AND($F847="Compareceu",$P847&gt;0.005),"Cobrar",IF($F847="Faltou","Falta: reagendar","")))))</f>
        <v>0</v>
      </c>
      <c r="T847" s="29">
        <f>IF($A847="","",DATE(YEAR($A847),MONTH($A847),1))</f>
        <v>0</v>
      </c>
      <c r="U847" s="30">
        <f>IF($S847="CONFIRMAR",MAX($U$4:$U846)+1,"")</f>
        <v>0</v>
      </c>
      <c r="V847" s="30">
        <f>IF(AND($R847="Não",$Q847&lt;&gt;"",$Q847&lt;=Hoje+JanelaRet,$Q847&gt;=Hoje-60),MAX($V$4:$V846)+1,"")</f>
        <v>0</v>
      </c>
    </row>
    <row r="848" spans="1:22">
      <c r="A848" s="16"/>
      <c r="B848" s="23"/>
      <c r="C848" s="15"/>
      <c r="D848" s="15"/>
      <c r="E848" s="15"/>
      <c r="F848" s="24"/>
      <c r="G848" s="17"/>
      <c r="H848" s="17"/>
      <c r="I848" s="15"/>
      <c r="J848" s="25">
        <f>IF($D848="","",IFERROR(INDEX(PacNome,MATCH($D848,PacCod,0)),"Paciente não cadastrado"))</f>
        <v>0</v>
      </c>
      <c r="K848" s="26">
        <f>IF($D848="","",IFERROR(INDEX(PacConv,MATCH($D848,PacCod,0))&amp;"",""))</f>
        <v>0</v>
      </c>
      <c r="L848" s="26">
        <f>IF($A848="","",CHOOSE(WEEKDAY($A848,2),"Seg","Ter","Qua","Qui","Sex","Sáb","Dom"))</f>
        <v>0</v>
      </c>
      <c r="M848" s="27">
        <f>IF($E848="","",IF($G848&lt;&gt;"",$G848,IFERROR(INDEX(ProcValor,MATCH($E848,ProcNome,0)),0)))</f>
        <v>0</v>
      </c>
      <c r="N848" s="27">
        <f>IF($M848="","",IF($F848="Compareceu",$M848,0))</f>
        <v>0</v>
      </c>
      <c r="O848" s="27">
        <f>IF($M848="","",IF($F848="Faltou",$M848,0))</f>
        <v>0</v>
      </c>
      <c r="P848" s="27">
        <f>IF($M848="","",IF($F848="Compareceu",MAX(0,$M848-N($H848)),0))</f>
        <v>0</v>
      </c>
      <c r="Q848" s="19">
        <f>IF(AND($F848="Compareceu",$E848&lt;&gt;"",$A848&lt;&gt;""),IF(IFERROR(INDEX(ProcRet,MATCH($E848,ProcNome,0)),0)&gt;0,$A848+INDEX(ProcRet,MATCH($E848,ProcNome,0)),""),"")</f>
        <v>0</v>
      </c>
      <c r="R848" s="26">
        <f>IF($Q848="","",IF(COUNTIFS(AgPac,$D848,AgData,"&gt;"&amp;$A848,AgStatus,"&lt;&gt;Cancelado",AgStatus,"&lt;&gt;Remarcado")&gt;0,"Sim","Não"))</f>
        <v>0</v>
      </c>
      <c r="S848" s="28">
        <f>IF($A848="","",IF(AND($F848="Agendado",$A848-Hoje&gt;=0,$A848-Hoje&lt;=DiasConf),"CONFIRMAR",IF(AND($A848&lt;Hoje,OR($F848="Agendado",$F848="Confirmado")),"Atualizar status",IF(AND($F848="Compareceu",$P848&gt;0.005),"Cobrar",IF($F848="Faltou","Falta: reagendar","")))))</f>
        <v>0</v>
      </c>
      <c r="T848" s="29">
        <f>IF($A848="","",DATE(YEAR($A848),MONTH($A848),1))</f>
        <v>0</v>
      </c>
      <c r="U848" s="30">
        <f>IF($S848="CONFIRMAR",MAX($U$4:$U847)+1,"")</f>
        <v>0</v>
      </c>
      <c r="V848" s="30">
        <f>IF(AND($R848="Não",$Q848&lt;&gt;"",$Q848&lt;=Hoje+JanelaRet,$Q848&gt;=Hoje-60),MAX($V$4:$V847)+1,"")</f>
        <v>0</v>
      </c>
    </row>
    <row r="849" spans="1:22">
      <c r="A849" s="16"/>
      <c r="B849" s="23"/>
      <c r="C849" s="15"/>
      <c r="D849" s="15"/>
      <c r="E849" s="15"/>
      <c r="F849" s="24"/>
      <c r="G849" s="17"/>
      <c r="H849" s="17"/>
      <c r="I849" s="15"/>
      <c r="J849" s="25">
        <f>IF($D849="","",IFERROR(INDEX(PacNome,MATCH($D849,PacCod,0)),"Paciente não cadastrado"))</f>
        <v>0</v>
      </c>
      <c r="K849" s="26">
        <f>IF($D849="","",IFERROR(INDEX(PacConv,MATCH($D849,PacCod,0))&amp;"",""))</f>
        <v>0</v>
      </c>
      <c r="L849" s="26">
        <f>IF($A849="","",CHOOSE(WEEKDAY($A849,2),"Seg","Ter","Qua","Qui","Sex","Sáb","Dom"))</f>
        <v>0</v>
      </c>
      <c r="M849" s="27">
        <f>IF($E849="","",IF($G849&lt;&gt;"",$G849,IFERROR(INDEX(ProcValor,MATCH($E849,ProcNome,0)),0)))</f>
        <v>0</v>
      </c>
      <c r="N849" s="27">
        <f>IF($M849="","",IF($F849="Compareceu",$M849,0))</f>
        <v>0</v>
      </c>
      <c r="O849" s="27">
        <f>IF($M849="","",IF($F849="Faltou",$M849,0))</f>
        <v>0</v>
      </c>
      <c r="P849" s="27">
        <f>IF($M849="","",IF($F849="Compareceu",MAX(0,$M849-N($H849)),0))</f>
        <v>0</v>
      </c>
      <c r="Q849" s="19">
        <f>IF(AND($F849="Compareceu",$E849&lt;&gt;"",$A849&lt;&gt;""),IF(IFERROR(INDEX(ProcRet,MATCH($E849,ProcNome,0)),0)&gt;0,$A849+INDEX(ProcRet,MATCH($E849,ProcNome,0)),""),"")</f>
        <v>0</v>
      </c>
      <c r="R849" s="26">
        <f>IF($Q849="","",IF(COUNTIFS(AgPac,$D849,AgData,"&gt;"&amp;$A849,AgStatus,"&lt;&gt;Cancelado",AgStatus,"&lt;&gt;Remarcado")&gt;0,"Sim","Não"))</f>
        <v>0</v>
      </c>
      <c r="S849" s="28">
        <f>IF($A849="","",IF(AND($F849="Agendado",$A849-Hoje&gt;=0,$A849-Hoje&lt;=DiasConf),"CONFIRMAR",IF(AND($A849&lt;Hoje,OR($F849="Agendado",$F849="Confirmado")),"Atualizar status",IF(AND($F849="Compareceu",$P849&gt;0.005),"Cobrar",IF($F849="Faltou","Falta: reagendar","")))))</f>
        <v>0</v>
      </c>
      <c r="T849" s="29">
        <f>IF($A849="","",DATE(YEAR($A849),MONTH($A849),1))</f>
        <v>0</v>
      </c>
      <c r="U849" s="30">
        <f>IF($S849="CONFIRMAR",MAX($U$4:$U848)+1,"")</f>
        <v>0</v>
      </c>
      <c r="V849" s="30">
        <f>IF(AND($R849="Não",$Q849&lt;&gt;"",$Q849&lt;=Hoje+JanelaRet,$Q849&gt;=Hoje-60),MAX($V$4:$V848)+1,"")</f>
        <v>0</v>
      </c>
    </row>
    <row r="850" spans="1:22">
      <c r="A850" s="16"/>
      <c r="B850" s="23"/>
      <c r="C850" s="15"/>
      <c r="D850" s="15"/>
      <c r="E850" s="15"/>
      <c r="F850" s="24"/>
      <c r="G850" s="17"/>
      <c r="H850" s="17"/>
      <c r="I850" s="15"/>
      <c r="J850" s="25">
        <f>IF($D850="","",IFERROR(INDEX(PacNome,MATCH($D850,PacCod,0)),"Paciente não cadastrado"))</f>
        <v>0</v>
      </c>
      <c r="K850" s="26">
        <f>IF($D850="","",IFERROR(INDEX(PacConv,MATCH($D850,PacCod,0))&amp;"",""))</f>
        <v>0</v>
      </c>
      <c r="L850" s="26">
        <f>IF($A850="","",CHOOSE(WEEKDAY($A850,2),"Seg","Ter","Qua","Qui","Sex","Sáb","Dom"))</f>
        <v>0</v>
      </c>
      <c r="M850" s="27">
        <f>IF($E850="","",IF($G850&lt;&gt;"",$G850,IFERROR(INDEX(ProcValor,MATCH($E850,ProcNome,0)),0)))</f>
        <v>0</v>
      </c>
      <c r="N850" s="27">
        <f>IF($M850="","",IF($F850="Compareceu",$M850,0))</f>
        <v>0</v>
      </c>
      <c r="O850" s="27">
        <f>IF($M850="","",IF($F850="Faltou",$M850,0))</f>
        <v>0</v>
      </c>
      <c r="P850" s="27">
        <f>IF($M850="","",IF($F850="Compareceu",MAX(0,$M850-N($H850)),0))</f>
        <v>0</v>
      </c>
      <c r="Q850" s="19">
        <f>IF(AND($F850="Compareceu",$E850&lt;&gt;"",$A850&lt;&gt;""),IF(IFERROR(INDEX(ProcRet,MATCH($E850,ProcNome,0)),0)&gt;0,$A850+INDEX(ProcRet,MATCH($E850,ProcNome,0)),""),"")</f>
        <v>0</v>
      </c>
      <c r="R850" s="26">
        <f>IF($Q850="","",IF(COUNTIFS(AgPac,$D850,AgData,"&gt;"&amp;$A850,AgStatus,"&lt;&gt;Cancelado",AgStatus,"&lt;&gt;Remarcado")&gt;0,"Sim","Não"))</f>
        <v>0</v>
      </c>
      <c r="S850" s="28">
        <f>IF($A850="","",IF(AND($F850="Agendado",$A850-Hoje&gt;=0,$A850-Hoje&lt;=DiasConf),"CONFIRMAR",IF(AND($A850&lt;Hoje,OR($F850="Agendado",$F850="Confirmado")),"Atualizar status",IF(AND($F850="Compareceu",$P850&gt;0.005),"Cobrar",IF($F850="Faltou","Falta: reagendar","")))))</f>
        <v>0</v>
      </c>
      <c r="T850" s="29">
        <f>IF($A850="","",DATE(YEAR($A850),MONTH($A850),1))</f>
        <v>0</v>
      </c>
      <c r="U850" s="30">
        <f>IF($S850="CONFIRMAR",MAX($U$4:$U849)+1,"")</f>
        <v>0</v>
      </c>
      <c r="V850" s="30">
        <f>IF(AND($R850="Não",$Q850&lt;&gt;"",$Q850&lt;=Hoje+JanelaRet,$Q850&gt;=Hoje-60),MAX($V$4:$V849)+1,"")</f>
        <v>0</v>
      </c>
    </row>
    <row r="851" spans="1:22">
      <c r="A851" s="16"/>
      <c r="B851" s="23"/>
      <c r="C851" s="15"/>
      <c r="D851" s="15"/>
      <c r="E851" s="15"/>
      <c r="F851" s="24"/>
      <c r="G851" s="17"/>
      <c r="H851" s="17"/>
      <c r="I851" s="15"/>
      <c r="J851" s="25">
        <f>IF($D851="","",IFERROR(INDEX(PacNome,MATCH($D851,PacCod,0)),"Paciente não cadastrado"))</f>
        <v>0</v>
      </c>
      <c r="K851" s="26">
        <f>IF($D851="","",IFERROR(INDEX(PacConv,MATCH($D851,PacCod,0))&amp;"",""))</f>
        <v>0</v>
      </c>
      <c r="L851" s="26">
        <f>IF($A851="","",CHOOSE(WEEKDAY($A851,2),"Seg","Ter","Qua","Qui","Sex","Sáb","Dom"))</f>
        <v>0</v>
      </c>
      <c r="M851" s="27">
        <f>IF($E851="","",IF($G851&lt;&gt;"",$G851,IFERROR(INDEX(ProcValor,MATCH($E851,ProcNome,0)),0)))</f>
        <v>0</v>
      </c>
      <c r="N851" s="27">
        <f>IF($M851="","",IF($F851="Compareceu",$M851,0))</f>
        <v>0</v>
      </c>
      <c r="O851" s="27">
        <f>IF($M851="","",IF($F851="Faltou",$M851,0))</f>
        <v>0</v>
      </c>
      <c r="P851" s="27">
        <f>IF($M851="","",IF($F851="Compareceu",MAX(0,$M851-N($H851)),0))</f>
        <v>0</v>
      </c>
      <c r="Q851" s="19">
        <f>IF(AND($F851="Compareceu",$E851&lt;&gt;"",$A851&lt;&gt;""),IF(IFERROR(INDEX(ProcRet,MATCH($E851,ProcNome,0)),0)&gt;0,$A851+INDEX(ProcRet,MATCH($E851,ProcNome,0)),""),"")</f>
        <v>0</v>
      </c>
      <c r="R851" s="26">
        <f>IF($Q851="","",IF(COUNTIFS(AgPac,$D851,AgData,"&gt;"&amp;$A851,AgStatus,"&lt;&gt;Cancelado",AgStatus,"&lt;&gt;Remarcado")&gt;0,"Sim","Não"))</f>
        <v>0</v>
      </c>
      <c r="S851" s="28">
        <f>IF($A851="","",IF(AND($F851="Agendado",$A851-Hoje&gt;=0,$A851-Hoje&lt;=DiasConf),"CONFIRMAR",IF(AND($A851&lt;Hoje,OR($F851="Agendado",$F851="Confirmado")),"Atualizar status",IF(AND($F851="Compareceu",$P851&gt;0.005),"Cobrar",IF($F851="Faltou","Falta: reagendar","")))))</f>
        <v>0</v>
      </c>
      <c r="T851" s="29">
        <f>IF($A851="","",DATE(YEAR($A851),MONTH($A851),1))</f>
        <v>0</v>
      </c>
      <c r="U851" s="30">
        <f>IF($S851="CONFIRMAR",MAX($U$4:$U850)+1,"")</f>
        <v>0</v>
      </c>
      <c r="V851" s="30">
        <f>IF(AND($R851="Não",$Q851&lt;&gt;"",$Q851&lt;=Hoje+JanelaRet,$Q851&gt;=Hoje-60),MAX($V$4:$V850)+1,"")</f>
        <v>0</v>
      </c>
    </row>
    <row r="852" spans="1:22">
      <c r="A852" s="16"/>
      <c r="B852" s="23"/>
      <c r="C852" s="15"/>
      <c r="D852" s="15"/>
      <c r="E852" s="15"/>
      <c r="F852" s="24"/>
      <c r="G852" s="17"/>
      <c r="H852" s="17"/>
      <c r="I852" s="15"/>
      <c r="J852" s="25">
        <f>IF($D852="","",IFERROR(INDEX(PacNome,MATCH($D852,PacCod,0)),"Paciente não cadastrado"))</f>
        <v>0</v>
      </c>
      <c r="K852" s="26">
        <f>IF($D852="","",IFERROR(INDEX(PacConv,MATCH($D852,PacCod,0))&amp;"",""))</f>
        <v>0</v>
      </c>
      <c r="L852" s="26">
        <f>IF($A852="","",CHOOSE(WEEKDAY($A852,2),"Seg","Ter","Qua","Qui","Sex","Sáb","Dom"))</f>
        <v>0</v>
      </c>
      <c r="M852" s="27">
        <f>IF($E852="","",IF($G852&lt;&gt;"",$G852,IFERROR(INDEX(ProcValor,MATCH($E852,ProcNome,0)),0)))</f>
        <v>0</v>
      </c>
      <c r="N852" s="27">
        <f>IF($M852="","",IF($F852="Compareceu",$M852,0))</f>
        <v>0</v>
      </c>
      <c r="O852" s="27">
        <f>IF($M852="","",IF($F852="Faltou",$M852,0))</f>
        <v>0</v>
      </c>
      <c r="P852" s="27">
        <f>IF($M852="","",IF($F852="Compareceu",MAX(0,$M852-N($H852)),0))</f>
        <v>0</v>
      </c>
      <c r="Q852" s="19">
        <f>IF(AND($F852="Compareceu",$E852&lt;&gt;"",$A852&lt;&gt;""),IF(IFERROR(INDEX(ProcRet,MATCH($E852,ProcNome,0)),0)&gt;0,$A852+INDEX(ProcRet,MATCH($E852,ProcNome,0)),""),"")</f>
        <v>0</v>
      </c>
      <c r="R852" s="26">
        <f>IF($Q852="","",IF(COUNTIFS(AgPac,$D852,AgData,"&gt;"&amp;$A852,AgStatus,"&lt;&gt;Cancelado",AgStatus,"&lt;&gt;Remarcado")&gt;0,"Sim","Não"))</f>
        <v>0</v>
      </c>
      <c r="S852" s="28">
        <f>IF($A852="","",IF(AND($F852="Agendado",$A852-Hoje&gt;=0,$A852-Hoje&lt;=DiasConf),"CONFIRMAR",IF(AND($A852&lt;Hoje,OR($F852="Agendado",$F852="Confirmado")),"Atualizar status",IF(AND($F852="Compareceu",$P852&gt;0.005),"Cobrar",IF($F852="Faltou","Falta: reagendar","")))))</f>
        <v>0</v>
      </c>
      <c r="T852" s="29">
        <f>IF($A852="","",DATE(YEAR($A852),MONTH($A852),1))</f>
        <v>0</v>
      </c>
      <c r="U852" s="30">
        <f>IF($S852="CONFIRMAR",MAX($U$4:$U851)+1,"")</f>
        <v>0</v>
      </c>
      <c r="V852" s="30">
        <f>IF(AND($R852="Não",$Q852&lt;&gt;"",$Q852&lt;=Hoje+JanelaRet,$Q852&gt;=Hoje-60),MAX($V$4:$V851)+1,"")</f>
        <v>0</v>
      </c>
    </row>
    <row r="853" spans="1:22">
      <c r="A853" s="16"/>
      <c r="B853" s="23"/>
      <c r="C853" s="15"/>
      <c r="D853" s="15"/>
      <c r="E853" s="15"/>
      <c r="F853" s="24"/>
      <c r="G853" s="17"/>
      <c r="H853" s="17"/>
      <c r="I853" s="15"/>
      <c r="J853" s="25">
        <f>IF($D853="","",IFERROR(INDEX(PacNome,MATCH($D853,PacCod,0)),"Paciente não cadastrado"))</f>
        <v>0</v>
      </c>
      <c r="K853" s="26">
        <f>IF($D853="","",IFERROR(INDEX(PacConv,MATCH($D853,PacCod,0))&amp;"",""))</f>
        <v>0</v>
      </c>
      <c r="L853" s="26">
        <f>IF($A853="","",CHOOSE(WEEKDAY($A853,2),"Seg","Ter","Qua","Qui","Sex","Sáb","Dom"))</f>
        <v>0</v>
      </c>
      <c r="M853" s="27">
        <f>IF($E853="","",IF($G853&lt;&gt;"",$G853,IFERROR(INDEX(ProcValor,MATCH($E853,ProcNome,0)),0)))</f>
        <v>0</v>
      </c>
      <c r="N853" s="27">
        <f>IF($M853="","",IF($F853="Compareceu",$M853,0))</f>
        <v>0</v>
      </c>
      <c r="O853" s="27">
        <f>IF($M853="","",IF($F853="Faltou",$M853,0))</f>
        <v>0</v>
      </c>
      <c r="P853" s="27">
        <f>IF($M853="","",IF($F853="Compareceu",MAX(0,$M853-N($H853)),0))</f>
        <v>0</v>
      </c>
      <c r="Q853" s="19">
        <f>IF(AND($F853="Compareceu",$E853&lt;&gt;"",$A853&lt;&gt;""),IF(IFERROR(INDEX(ProcRet,MATCH($E853,ProcNome,0)),0)&gt;0,$A853+INDEX(ProcRet,MATCH($E853,ProcNome,0)),""),"")</f>
        <v>0</v>
      </c>
      <c r="R853" s="26">
        <f>IF($Q853="","",IF(COUNTIFS(AgPac,$D853,AgData,"&gt;"&amp;$A853,AgStatus,"&lt;&gt;Cancelado",AgStatus,"&lt;&gt;Remarcado")&gt;0,"Sim","Não"))</f>
        <v>0</v>
      </c>
      <c r="S853" s="28">
        <f>IF($A853="","",IF(AND($F853="Agendado",$A853-Hoje&gt;=0,$A853-Hoje&lt;=DiasConf),"CONFIRMAR",IF(AND($A853&lt;Hoje,OR($F853="Agendado",$F853="Confirmado")),"Atualizar status",IF(AND($F853="Compareceu",$P853&gt;0.005),"Cobrar",IF($F853="Faltou","Falta: reagendar","")))))</f>
        <v>0</v>
      </c>
      <c r="T853" s="29">
        <f>IF($A853="","",DATE(YEAR($A853),MONTH($A853),1))</f>
        <v>0</v>
      </c>
      <c r="U853" s="30">
        <f>IF($S853="CONFIRMAR",MAX($U$4:$U852)+1,"")</f>
        <v>0</v>
      </c>
      <c r="V853" s="30">
        <f>IF(AND($R853="Não",$Q853&lt;&gt;"",$Q853&lt;=Hoje+JanelaRet,$Q853&gt;=Hoje-60),MAX($V$4:$V852)+1,"")</f>
        <v>0</v>
      </c>
    </row>
    <row r="854" spans="1:22">
      <c r="A854" s="16"/>
      <c r="B854" s="23"/>
      <c r="C854" s="15"/>
      <c r="D854" s="15"/>
      <c r="E854" s="15"/>
      <c r="F854" s="24"/>
      <c r="G854" s="17"/>
      <c r="H854" s="17"/>
      <c r="I854" s="15"/>
      <c r="J854" s="25">
        <f>IF($D854="","",IFERROR(INDEX(PacNome,MATCH($D854,PacCod,0)),"Paciente não cadastrado"))</f>
        <v>0</v>
      </c>
      <c r="K854" s="26">
        <f>IF($D854="","",IFERROR(INDEX(PacConv,MATCH($D854,PacCod,0))&amp;"",""))</f>
        <v>0</v>
      </c>
      <c r="L854" s="26">
        <f>IF($A854="","",CHOOSE(WEEKDAY($A854,2),"Seg","Ter","Qua","Qui","Sex","Sáb","Dom"))</f>
        <v>0</v>
      </c>
      <c r="M854" s="27">
        <f>IF($E854="","",IF($G854&lt;&gt;"",$G854,IFERROR(INDEX(ProcValor,MATCH($E854,ProcNome,0)),0)))</f>
        <v>0</v>
      </c>
      <c r="N854" s="27">
        <f>IF($M854="","",IF($F854="Compareceu",$M854,0))</f>
        <v>0</v>
      </c>
      <c r="O854" s="27">
        <f>IF($M854="","",IF($F854="Faltou",$M854,0))</f>
        <v>0</v>
      </c>
      <c r="P854" s="27">
        <f>IF($M854="","",IF($F854="Compareceu",MAX(0,$M854-N($H854)),0))</f>
        <v>0</v>
      </c>
      <c r="Q854" s="19">
        <f>IF(AND($F854="Compareceu",$E854&lt;&gt;"",$A854&lt;&gt;""),IF(IFERROR(INDEX(ProcRet,MATCH($E854,ProcNome,0)),0)&gt;0,$A854+INDEX(ProcRet,MATCH($E854,ProcNome,0)),""),"")</f>
        <v>0</v>
      </c>
      <c r="R854" s="26">
        <f>IF($Q854="","",IF(COUNTIFS(AgPac,$D854,AgData,"&gt;"&amp;$A854,AgStatus,"&lt;&gt;Cancelado",AgStatus,"&lt;&gt;Remarcado")&gt;0,"Sim","Não"))</f>
        <v>0</v>
      </c>
      <c r="S854" s="28">
        <f>IF($A854="","",IF(AND($F854="Agendado",$A854-Hoje&gt;=0,$A854-Hoje&lt;=DiasConf),"CONFIRMAR",IF(AND($A854&lt;Hoje,OR($F854="Agendado",$F854="Confirmado")),"Atualizar status",IF(AND($F854="Compareceu",$P854&gt;0.005),"Cobrar",IF($F854="Faltou","Falta: reagendar","")))))</f>
        <v>0</v>
      </c>
      <c r="T854" s="29">
        <f>IF($A854="","",DATE(YEAR($A854),MONTH($A854),1))</f>
        <v>0</v>
      </c>
      <c r="U854" s="30">
        <f>IF($S854="CONFIRMAR",MAX($U$4:$U853)+1,"")</f>
        <v>0</v>
      </c>
      <c r="V854" s="30">
        <f>IF(AND($R854="Não",$Q854&lt;&gt;"",$Q854&lt;=Hoje+JanelaRet,$Q854&gt;=Hoje-60),MAX($V$4:$V853)+1,"")</f>
        <v>0</v>
      </c>
    </row>
    <row r="855" spans="1:22">
      <c r="A855" s="16"/>
      <c r="B855" s="23"/>
      <c r="C855" s="15"/>
      <c r="D855" s="15"/>
      <c r="E855" s="15"/>
      <c r="F855" s="24"/>
      <c r="G855" s="17"/>
      <c r="H855" s="17"/>
      <c r="I855" s="15"/>
      <c r="J855" s="25">
        <f>IF($D855="","",IFERROR(INDEX(PacNome,MATCH($D855,PacCod,0)),"Paciente não cadastrado"))</f>
        <v>0</v>
      </c>
      <c r="K855" s="26">
        <f>IF($D855="","",IFERROR(INDEX(PacConv,MATCH($D855,PacCod,0))&amp;"",""))</f>
        <v>0</v>
      </c>
      <c r="L855" s="26">
        <f>IF($A855="","",CHOOSE(WEEKDAY($A855,2),"Seg","Ter","Qua","Qui","Sex","Sáb","Dom"))</f>
        <v>0</v>
      </c>
      <c r="M855" s="27">
        <f>IF($E855="","",IF($G855&lt;&gt;"",$G855,IFERROR(INDEX(ProcValor,MATCH($E855,ProcNome,0)),0)))</f>
        <v>0</v>
      </c>
      <c r="N855" s="27">
        <f>IF($M855="","",IF($F855="Compareceu",$M855,0))</f>
        <v>0</v>
      </c>
      <c r="O855" s="27">
        <f>IF($M855="","",IF($F855="Faltou",$M855,0))</f>
        <v>0</v>
      </c>
      <c r="P855" s="27">
        <f>IF($M855="","",IF($F855="Compareceu",MAX(0,$M855-N($H855)),0))</f>
        <v>0</v>
      </c>
      <c r="Q855" s="19">
        <f>IF(AND($F855="Compareceu",$E855&lt;&gt;"",$A855&lt;&gt;""),IF(IFERROR(INDEX(ProcRet,MATCH($E855,ProcNome,0)),0)&gt;0,$A855+INDEX(ProcRet,MATCH($E855,ProcNome,0)),""),"")</f>
        <v>0</v>
      </c>
      <c r="R855" s="26">
        <f>IF($Q855="","",IF(COUNTIFS(AgPac,$D855,AgData,"&gt;"&amp;$A855,AgStatus,"&lt;&gt;Cancelado",AgStatus,"&lt;&gt;Remarcado")&gt;0,"Sim","Não"))</f>
        <v>0</v>
      </c>
      <c r="S855" s="28">
        <f>IF($A855="","",IF(AND($F855="Agendado",$A855-Hoje&gt;=0,$A855-Hoje&lt;=DiasConf),"CONFIRMAR",IF(AND($A855&lt;Hoje,OR($F855="Agendado",$F855="Confirmado")),"Atualizar status",IF(AND($F855="Compareceu",$P855&gt;0.005),"Cobrar",IF($F855="Faltou","Falta: reagendar","")))))</f>
        <v>0</v>
      </c>
      <c r="T855" s="29">
        <f>IF($A855="","",DATE(YEAR($A855),MONTH($A855),1))</f>
        <v>0</v>
      </c>
      <c r="U855" s="30">
        <f>IF($S855="CONFIRMAR",MAX($U$4:$U854)+1,"")</f>
        <v>0</v>
      </c>
      <c r="V855" s="30">
        <f>IF(AND($R855="Não",$Q855&lt;&gt;"",$Q855&lt;=Hoje+JanelaRet,$Q855&gt;=Hoje-60),MAX($V$4:$V854)+1,"")</f>
        <v>0</v>
      </c>
    </row>
    <row r="856" spans="1:22">
      <c r="A856" s="16"/>
      <c r="B856" s="23"/>
      <c r="C856" s="15"/>
      <c r="D856" s="15"/>
      <c r="E856" s="15"/>
      <c r="F856" s="24"/>
      <c r="G856" s="17"/>
      <c r="H856" s="17"/>
      <c r="I856" s="15"/>
      <c r="J856" s="25">
        <f>IF($D856="","",IFERROR(INDEX(PacNome,MATCH($D856,PacCod,0)),"Paciente não cadastrado"))</f>
        <v>0</v>
      </c>
      <c r="K856" s="26">
        <f>IF($D856="","",IFERROR(INDEX(PacConv,MATCH($D856,PacCod,0))&amp;"",""))</f>
        <v>0</v>
      </c>
      <c r="L856" s="26">
        <f>IF($A856="","",CHOOSE(WEEKDAY($A856,2),"Seg","Ter","Qua","Qui","Sex","Sáb","Dom"))</f>
        <v>0</v>
      </c>
      <c r="M856" s="27">
        <f>IF($E856="","",IF($G856&lt;&gt;"",$G856,IFERROR(INDEX(ProcValor,MATCH($E856,ProcNome,0)),0)))</f>
        <v>0</v>
      </c>
      <c r="N856" s="27">
        <f>IF($M856="","",IF($F856="Compareceu",$M856,0))</f>
        <v>0</v>
      </c>
      <c r="O856" s="27">
        <f>IF($M856="","",IF($F856="Faltou",$M856,0))</f>
        <v>0</v>
      </c>
      <c r="P856" s="27">
        <f>IF($M856="","",IF($F856="Compareceu",MAX(0,$M856-N($H856)),0))</f>
        <v>0</v>
      </c>
      <c r="Q856" s="19">
        <f>IF(AND($F856="Compareceu",$E856&lt;&gt;"",$A856&lt;&gt;""),IF(IFERROR(INDEX(ProcRet,MATCH($E856,ProcNome,0)),0)&gt;0,$A856+INDEX(ProcRet,MATCH($E856,ProcNome,0)),""),"")</f>
        <v>0</v>
      </c>
      <c r="R856" s="26">
        <f>IF($Q856="","",IF(COUNTIFS(AgPac,$D856,AgData,"&gt;"&amp;$A856,AgStatus,"&lt;&gt;Cancelado",AgStatus,"&lt;&gt;Remarcado")&gt;0,"Sim","Não"))</f>
        <v>0</v>
      </c>
      <c r="S856" s="28">
        <f>IF($A856="","",IF(AND($F856="Agendado",$A856-Hoje&gt;=0,$A856-Hoje&lt;=DiasConf),"CONFIRMAR",IF(AND($A856&lt;Hoje,OR($F856="Agendado",$F856="Confirmado")),"Atualizar status",IF(AND($F856="Compareceu",$P856&gt;0.005),"Cobrar",IF($F856="Faltou","Falta: reagendar","")))))</f>
        <v>0</v>
      </c>
      <c r="T856" s="29">
        <f>IF($A856="","",DATE(YEAR($A856),MONTH($A856),1))</f>
        <v>0</v>
      </c>
      <c r="U856" s="30">
        <f>IF($S856="CONFIRMAR",MAX($U$4:$U855)+1,"")</f>
        <v>0</v>
      </c>
      <c r="V856" s="30">
        <f>IF(AND($R856="Não",$Q856&lt;&gt;"",$Q856&lt;=Hoje+JanelaRet,$Q856&gt;=Hoje-60),MAX($V$4:$V855)+1,"")</f>
        <v>0</v>
      </c>
    </row>
    <row r="857" spans="1:22">
      <c r="A857" s="16"/>
      <c r="B857" s="23"/>
      <c r="C857" s="15"/>
      <c r="D857" s="15"/>
      <c r="E857" s="15"/>
      <c r="F857" s="24"/>
      <c r="G857" s="17"/>
      <c r="H857" s="17"/>
      <c r="I857" s="15"/>
      <c r="J857" s="25">
        <f>IF($D857="","",IFERROR(INDEX(PacNome,MATCH($D857,PacCod,0)),"Paciente não cadastrado"))</f>
        <v>0</v>
      </c>
      <c r="K857" s="26">
        <f>IF($D857="","",IFERROR(INDEX(PacConv,MATCH($D857,PacCod,0))&amp;"",""))</f>
        <v>0</v>
      </c>
      <c r="L857" s="26">
        <f>IF($A857="","",CHOOSE(WEEKDAY($A857,2),"Seg","Ter","Qua","Qui","Sex","Sáb","Dom"))</f>
        <v>0</v>
      </c>
      <c r="M857" s="27">
        <f>IF($E857="","",IF($G857&lt;&gt;"",$G857,IFERROR(INDEX(ProcValor,MATCH($E857,ProcNome,0)),0)))</f>
        <v>0</v>
      </c>
      <c r="N857" s="27">
        <f>IF($M857="","",IF($F857="Compareceu",$M857,0))</f>
        <v>0</v>
      </c>
      <c r="O857" s="27">
        <f>IF($M857="","",IF($F857="Faltou",$M857,0))</f>
        <v>0</v>
      </c>
      <c r="P857" s="27">
        <f>IF($M857="","",IF($F857="Compareceu",MAX(0,$M857-N($H857)),0))</f>
        <v>0</v>
      </c>
      <c r="Q857" s="19">
        <f>IF(AND($F857="Compareceu",$E857&lt;&gt;"",$A857&lt;&gt;""),IF(IFERROR(INDEX(ProcRet,MATCH($E857,ProcNome,0)),0)&gt;0,$A857+INDEX(ProcRet,MATCH($E857,ProcNome,0)),""),"")</f>
        <v>0</v>
      </c>
      <c r="R857" s="26">
        <f>IF($Q857="","",IF(COUNTIFS(AgPac,$D857,AgData,"&gt;"&amp;$A857,AgStatus,"&lt;&gt;Cancelado",AgStatus,"&lt;&gt;Remarcado")&gt;0,"Sim","Não"))</f>
        <v>0</v>
      </c>
      <c r="S857" s="28">
        <f>IF($A857="","",IF(AND($F857="Agendado",$A857-Hoje&gt;=0,$A857-Hoje&lt;=DiasConf),"CONFIRMAR",IF(AND($A857&lt;Hoje,OR($F857="Agendado",$F857="Confirmado")),"Atualizar status",IF(AND($F857="Compareceu",$P857&gt;0.005),"Cobrar",IF($F857="Faltou","Falta: reagendar","")))))</f>
        <v>0</v>
      </c>
      <c r="T857" s="29">
        <f>IF($A857="","",DATE(YEAR($A857),MONTH($A857),1))</f>
        <v>0</v>
      </c>
      <c r="U857" s="30">
        <f>IF($S857="CONFIRMAR",MAX($U$4:$U856)+1,"")</f>
        <v>0</v>
      </c>
      <c r="V857" s="30">
        <f>IF(AND($R857="Não",$Q857&lt;&gt;"",$Q857&lt;=Hoje+JanelaRet,$Q857&gt;=Hoje-60),MAX($V$4:$V856)+1,"")</f>
        <v>0</v>
      </c>
    </row>
    <row r="858" spans="1:22">
      <c r="A858" s="16"/>
      <c r="B858" s="23"/>
      <c r="C858" s="15"/>
      <c r="D858" s="15"/>
      <c r="E858" s="15"/>
      <c r="F858" s="24"/>
      <c r="G858" s="17"/>
      <c r="H858" s="17"/>
      <c r="I858" s="15"/>
      <c r="J858" s="25">
        <f>IF($D858="","",IFERROR(INDEX(PacNome,MATCH($D858,PacCod,0)),"Paciente não cadastrado"))</f>
        <v>0</v>
      </c>
      <c r="K858" s="26">
        <f>IF($D858="","",IFERROR(INDEX(PacConv,MATCH($D858,PacCod,0))&amp;"",""))</f>
        <v>0</v>
      </c>
      <c r="L858" s="26">
        <f>IF($A858="","",CHOOSE(WEEKDAY($A858,2),"Seg","Ter","Qua","Qui","Sex","Sáb","Dom"))</f>
        <v>0</v>
      </c>
      <c r="M858" s="27">
        <f>IF($E858="","",IF($G858&lt;&gt;"",$G858,IFERROR(INDEX(ProcValor,MATCH($E858,ProcNome,0)),0)))</f>
        <v>0</v>
      </c>
      <c r="N858" s="27">
        <f>IF($M858="","",IF($F858="Compareceu",$M858,0))</f>
        <v>0</v>
      </c>
      <c r="O858" s="27">
        <f>IF($M858="","",IF($F858="Faltou",$M858,0))</f>
        <v>0</v>
      </c>
      <c r="P858" s="27">
        <f>IF($M858="","",IF($F858="Compareceu",MAX(0,$M858-N($H858)),0))</f>
        <v>0</v>
      </c>
      <c r="Q858" s="19">
        <f>IF(AND($F858="Compareceu",$E858&lt;&gt;"",$A858&lt;&gt;""),IF(IFERROR(INDEX(ProcRet,MATCH($E858,ProcNome,0)),0)&gt;0,$A858+INDEX(ProcRet,MATCH($E858,ProcNome,0)),""),"")</f>
        <v>0</v>
      </c>
      <c r="R858" s="26">
        <f>IF($Q858="","",IF(COUNTIFS(AgPac,$D858,AgData,"&gt;"&amp;$A858,AgStatus,"&lt;&gt;Cancelado",AgStatus,"&lt;&gt;Remarcado")&gt;0,"Sim","Não"))</f>
        <v>0</v>
      </c>
      <c r="S858" s="28">
        <f>IF($A858="","",IF(AND($F858="Agendado",$A858-Hoje&gt;=0,$A858-Hoje&lt;=DiasConf),"CONFIRMAR",IF(AND($A858&lt;Hoje,OR($F858="Agendado",$F858="Confirmado")),"Atualizar status",IF(AND($F858="Compareceu",$P858&gt;0.005),"Cobrar",IF($F858="Faltou","Falta: reagendar","")))))</f>
        <v>0</v>
      </c>
      <c r="T858" s="29">
        <f>IF($A858="","",DATE(YEAR($A858),MONTH($A858),1))</f>
        <v>0</v>
      </c>
      <c r="U858" s="30">
        <f>IF($S858="CONFIRMAR",MAX($U$4:$U857)+1,"")</f>
        <v>0</v>
      </c>
      <c r="V858" s="30">
        <f>IF(AND($R858="Não",$Q858&lt;&gt;"",$Q858&lt;=Hoje+JanelaRet,$Q858&gt;=Hoje-60),MAX($V$4:$V857)+1,"")</f>
        <v>0</v>
      </c>
    </row>
    <row r="859" spans="1:22">
      <c r="A859" s="16"/>
      <c r="B859" s="23"/>
      <c r="C859" s="15"/>
      <c r="D859" s="15"/>
      <c r="E859" s="15"/>
      <c r="F859" s="24"/>
      <c r="G859" s="17"/>
      <c r="H859" s="17"/>
      <c r="I859" s="15"/>
      <c r="J859" s="25">
        <f>IF($D859="","",IFERROR(INDEX(PacNome,MATCH($D859,PacCod,0)),"Paciente não cadastrado"))</f>
        <v>0</v>
      </c>
      <c r="K859" s="26">
        <f>IF($D859="","",IFERROR(INDEX(PacConv,MATCH($D859,PacCod,0))&amp;"",""))</f>
        <v>0</v>
      </c>
      <c r="L859" s="26">
        <f>IF($A859="","",CHOOSE(WEEKDAY($A859,2),"Seg","Ter","Qua","Qui","Sex","Sáb","Dom"))</f>
        <v>0</v>
      </c>
      <c r="M859" s="27">
        <f>IF($E859="","",IF($G859&lt;&gt;"",$G859,IFERROR(INDEX(ProcValor,MATCH($E859,ProcNome,0)),0)))</f>
        <v>0</v>
      </c>
      <c r="N859" s="27">
        <f>IF($M859="","",IF($F859="Compareceu",$M859,0))</f>
        <v>0</v>
      </c>
      <c r="O859" s="27">
        <f>IF($M859="","",IF($F859="Faltou",$M859,0))</f>
        <v>0</v>
      </c>
      <c r="P859" s="27">
        <f>IF($M859="","",IF($F859="Compareceu",MAX(0,$M859-N($H859)),0))</f>
        <v>0</v>
      </c>
      <c r="Q859" s="19">
        <f>IF(AND($F859="Compareceu",$E859&lt;&gt;"",$A859&lt;&gt;""),IF(IFERROR(INDEX(ProcRet,MATCH($E859,ProcNome,0)),0)&gt;0,$A859+INDEX(ProcRet,MATCH($E859,ProcNome,0)),""),"")</f>
        <v>0</v>
      </c>
      <c r="R859" s="26">
        <f>IF($Q859="","",IF(COUNTIFS(AgPac,$D859,AgData,"&gt;"&amp;$A859,AgStatus,"&lt;&gt;Cancelado",AgStatus,"&lt;&gt;Remarcado")&gt;0,"Sim","Não"))</f>
        <v>0</v>
      </c>
      <c r="S859" s="28">
        <f>IF($A859="","",IF(AND($F859="Agendado",$A859-Hoje&gt;=0,$A859-Hoje&lt;=DiasConf),"CONFIRMAR",IF(AND($A859&lt;Hoje,OR($F859="Agendado",$F859="Confirmado")),"Atualizar status",IF(AND($F859="Compareceu",$P859&gt;0.005),"Cobrar",IF($F859="Faltou","Falta: reagendar","")))))</f>
        <v>0</v>
      </c>
      <c r="T859" s="29">
        <f>IF($A859="","",DATE(YEAR($A859),MONTH($A859),1))</f>
        <v>0</v>
      </c>
      <c r="U859" s="30">
        <f>IF($S859="CONFIRMAR",MAX($U$4:$U858)+1,"")</f>
        <v>0</v>
      </c>
      <c r="V859" s="30">
        <f>IF(AND($R859="Não",$Q859&lt;&gt;"",$Q859&lt;=Hoje+JanelaRet,$Q859&gt;=Hoje-60),MAX($V$4:$V858)+1,"")</f>
        <v>0</v>
      </c>
    </row>
    <row r="860" spans="1:22">
      <c r="A860" s="16"/>
      <c r="B860" s="23"/>
      <c r="C860" s="15"/>
      <c r="D860" s="15"/>
      <c r="E860" s="15"/>
      <c r="F860" s="24"/>
      <c r="G860" s="17"/>
      <c r="H860" s="17"/>
      <c r="I860" s="15"/>
      <c r="J860" s="25">
        <f>IF($D860="","",IFERROR(INDEX(PacNome,MATCH($D860,PacCod,0)),"Paciente não cadastrado"))</f>
        <v>0</v>
      </c>
      <c r="K860" s="26">
        <f>IF($D860="","",IFERROR(INDEX(PacConv,MATCH($D860,PacCod,0))&amp;"",""))</f>
        <v>0</v>
      </c>
      <c r="L860" s="26">
        <f>IF($A860="","",CHOOSE(WEEKDAY($A860,2),"Seg","Ter","Qua","Qui","Sex","Sáb","Dom"))</f>
        <v>0</v>
      </c>
      <c r="M860" s="27">
        <f>IF($E860="","",IF($G860&lt;&gt;"",$G860,IFERROR(INDEX(ProcValor,MATCH($E860,ProcNome,0)),0)))</f>
        <v>0</v>
      </c>
      <c r="N860" s="27">
        <f>IF($M860="","",IF($F860="Compareceu",$M860,0))</f>
        <v>0</v>
      </c>
      <c r="O860" s="27">
        <f>IF($M860="","",IF($F860="Faltou",$M860,0))</f>
        <v>0</v>
      </c>
      <c r="P860" s="27">
        <f>IF($M860="","",IF($F860="Compareceu",MAX(0,$M860-N($H860)),0))</f>
        <v>0</v>
      </c>
      <c r="Q860" s="19">
        <f>IF(AND($F860="Compareceu",$E860&lt;&gt;"",$A860&lt;&gt;""),IF(IFERROR(INDEX(ProcRet,MATCH($E860,ProcNome,0)),0)&gt;0,$A860+INDEX(ProcRet,MATCH($E860,ProcNome,0)),""),"")</f>
        <v>0</v>
      </c>
      <c r="R860" s="26">
        <f>IF($Q860="","",IF(COUNTIFS(AgPac,$D860,AgData,"&gt;"&amp;$A860,AgStatus,"&lt;&gt;Cancelado",AgStatus,"&lt;&gt;Remarcado")&gt;0,"Sim","Não"))</f>
        <v>0</v>
      </c>
      <c r="S860" s="28">
        <f>IF($A860="","",IF(AND($F860="Agendado",$A860-Hoje&gt;=0,$A860-Hoje&lt;=DiasConf),"CONFIRMAR",IF(AND($A860&lt;Hoje,OR($F860="Agendado",$F860="Confirmado")),"Atualizar status",IF(AND($F860="Compareceu",$P860&gt;0.005),"Cobrar",IF($F860="Faltou","Falta: reagendar","")))))</f>
        <v>0</v>
      </c>
      <c r="T860" s="29">
        <f>IF($A860="","",DATE(YEAR($A860),MONTH($A860),1))</f>
        <v>0</v>
      </c>
      <c r="U860" s="30">
        <f>IF($S860="CONFIRMAR",MAX($U$4:$U859)+1,"")</f>
        <v>0</v>
      </c>
      <c r="V860" s="30">
        <f>IF(AND($R860="Não",$Q860&lt;&gt;"",$Q860&lt;=Hoje+JanelaRet,$Q860&gt;=Hoje-60),MAX($V$4:$V859)+1,"")</f>
        <v>0</v>
      </c>
    </row>
    <row r="861" spans="1:22">
      <c r="A861" s="16"/>
      <c r="B861" s="23"/>
      <c r="C861" s="15"/>
      <c r="D861" s="15"/>
      <c r="E861" s="15"/>
      <c r="F861" s="24"/>
      <c r="G861" s="17"/>
      <c r="H861" s="17"/>
      <c r="I861" s="15"/>
      <c r="J861" s="25">
        <f>IF($D861="","",IFERROR(INDEX(PacNome,MATCH($D861,PacCod,0)),"Paciente não cadastrado"))</f>
        <v>0</v>
      </c>
      <c r="K861" s="26">
        <f>IF($D861="","",IFERROR(INDEX(PacConv,MATCH($D861,PacCod,0))&amp;"",""))</f>
        <v>0</v>
      </c>
      <c r="L861" s="26">
        <f>IF($A861="","",CHOOSE(WEEKDAY($A861,2),"Seg","Ter","Qua","Qui","Sex","Sáb","Dom"))</f>
        <v>0</v>
      </c>
      <c r="M861" s="27">
        <f>IF($E861="","",IF($G861&lt;&gt;"",$G861,IFERROR(INDEX(ProcValor,MATCH($E861,ProcNome,0)),0)))</f>
        <v>0</v>
      </c>
      <c r="N861" s="27">
        <f>IF($M861="","",IF($F861="Compareceu",$M861,0))</f>
        <v>0</v>
      </c>
      <c r="O861" s="27">
        <f>IF($M861="","",IF($F861="Faltou",$M861,0))</f>
        <v>0</v>
      </c>
      <c r="P861" s="27">
        <f>IF($M861="","",IF($F861="Compareceu",MAX(0,$M861-N($H861)),0))</f>
        <v>0</v>
      </c>
      <c r="Q861" s="19">
        <f>IF(AND($F861="Compareceu",$E861&lt;&gt;"",$A861&lt;&gt;""),IF(IFERROR(INDEX(ProcRet,MATCH($E861,ProcNome,0)),0)&gt;0,$A861+INDEX(ProcRet,MATCH($E861,ProcNome,0)),""),"")</f>
        <v>0</v>
      </c>
      <c r="R861" s="26">
        <f>IF($Q861="","",IF(COUNTIFS(AgPac,$D861,AgData,"&gt;"&amp;$A861,AgStatus,"&lt;&gt;Cancelado",AgStatus,"&lt;&gt;Remarcado")&gt;0,"Sim","Não"))</f>
        <v>0</v>
      </c>
      <c r="S861" s="28">
        <f>IF($A861="","",IF(AND($F861="Agendado",$A861-Hoje&gt;=0,$A861-Hoje&lt;=DiasConf),"CONFIRMAR",IF(AND($A861&lt;Hoje,OR($F861="Agendado",$F861="Confirmado")),"Atualizar status",IF(AND($F861="Compareceu",$P861&gt;0.005),"Cobrar",IF($F861="Faltou","Falta: reagendar","")))))</f>
        <v>0</v>
      </c>
      <c r="T861" s="29">
        <f>IF($A861="","",DATE(YEAR($A861),MONTH($A861),1))</f>
        <v>0</v>
      </c>
      <c r="U861" s="30">
        <f>IF($S861="CONFIRMAR",MAX($U$4:$U860)+1,"")</f>
        <v>0</v>
      </c>
      <c r="V861" s="30">
        <f>IF(AND($R861="Não",$Q861&lt;&gt;"",$Q861&lt;=Hoje+JanelaRet,$Q861&gt;=Hoje-60),MAX($V$4:$V860)+1,"")</f>
        <v>0</v>
      </c>
    </row>
    <row r="862" spans="1:22">
      <c r="A862" s="16"/>
      <c r="B862" s="23"/>
      <c r="C862" s="15"/>
      <c r="D862" s="15"/>
      <c r="E862" s="15"/>
      <c r="F862" s="24"/>
      <c r="G862" s="17"/>
      <c r="H862" s="17"/>
      <c r="I862" s="15"/>
      <c r="J862" s="25">
        <f>IF($D862="","",IFERROR(INDEX(PacNome,MATCH($D862,PacCod,0)),"Paciente não cadastrado"))</f>
        <v>0</v>
      </c>
      <c r="K862" s="26">
        <f>IF($D862="","",IFERROR(INDEX(PacConv,MATCH($D862,PacCod,0))&amp;"",""))</f>
        <v>0</v>
      </c>
      <c r="L862" s="26">
        <f>IF($A862="","",CHOOSE(WEEKDAY($A862,2),"Seg","Ter","Qua","Qui","Sex","Sáb","Dom"))</f>
        <v>0</v>
      </c>
      <c r="M862" s="27">
        <f>IF($E862="","",IF($G862&lt;&gt;"",$G862,IFERROR(INDEX(ProcValor,MATCH($E862,ProcNome,0)),0)))</f>
        <v>0</v>
      </c>
      <c r="N862" s="27">
        <f>IF($M862="","",IF($F862="Compareceu",$M862,0))</f>
        <v>0</v>
      </c>
      <c r="O862" s="27">
        <f>IF($M862="","",IF($F862="Faltou",$M862,0))</f>
        <v>0</v>
      </c>
      <c r="P862" s="27">
        <f>IF($M862="","",IF($F862="Compareceu",MAX(0,$M862-N($H862)),0))</f>
        <v>0</v>
      </c>
      <c r="Q862" s="19">
        <f>IF(AND($F862="Compareceu",$E862&lt;&gt;"",$A862&lt;&gt;""),IF(IFERROR(INDEX(ProcRet,MATCH($E862,ProcNome,0)),0)&gt;0,$A862+INDEX(ProcRet,MATCH($E862,ProcNome,0)),""),"")</f>
        <v>0</v>
      </c>
      <c r="R862" s="26">
        <f>IF($Q862="","",IF(COUNTIFS(AgPac,$D862,AgData,"&gt;"&amp;$A862,AgStatus,"&lt;&gt;Cancelado",AgStatus,"&lt;&gt;Remarcado")&gt;0,"Sim","Não"))</f>
        <v>0</v>
      </c>
      <c r="S862" s="28">
        <f>IF($A862="","",IF(AND($F862="Agendado",$A862-Hoje&gt;=0,$A862-Hoje&lt;=DiasConf),"CONFIRMAR",IF(AND($A862&lt;Hoje,OR($F862="Agendado",$F862="Confirmado")),"Atualizar status",IF(AND($F862="Compareceu",$P862&gt;0.005),"Cobrar",IF($F862="Faltou","Falta: reagendar","")))))</f>
        <v>0</v>
      </c>
      <c r="T862" s="29">
        <f>IF($A862="","",DATE(YEAR($A862),MONTH($A862),1))</f>
        <v>0</v>
      </c>
      <c r="U862" s="30">
        <f>IF($S862="CONFIRMAR",MAX($U$4:$U861)+1,"")</f>
        <v>0</v>
      </c>
      <c r="V862" s="30">
        <f>IF(AND($R862="Não",$Q862&lt;&gt;"",$Q862&lt;=Hoje+JanelaRet,$Q862&gt;=Hoje-60),MAX($V$4:$V861)+1,"")</f>
        <v>0</v>
      </c>
    </row>
    <row r="863" spans="1:22">
      <c r="A863" s="16"/>
      <c r="B863" s="23"/>
      <c r="C863" s="15"/>
      <c r="D863" s="15"/>
      <c r="E863" s="15"/>
      <c r="F863" s="24"/>
      <c r="G863" s="17"/>
      <c r="H863" s="17"/>
      <c r="I863" s="15"/>
      <c r="J863" s="25">
        <f>IF($D863="","",IFERROR(INDEX(PacNome,MATCH($D863,PacCod,0)),"Paciente não cadastrado"))</f>
        <v>0</v>
      </c>
      <c r="K863" s="26">
        <f>IF($D863="","",IFERROR(INDEX(PacConv,MATCH($D863,PacCod,0))&amp;"",""))</f>
        <v>0</v>
      </c>
      <c r="L863" s="26">
        <f>IF($A863="","",CHOOSE(WEEKDAY($A863,2),"Seg","Ter","Qua","Qui","Sex","Sáb","Dom"))</f>
        <v>0</v>
      </c>
      <c r="M863" s="27">
        <f>IF($E863="","",IF($G863&lt;&gt;"",$G863,IFERROR(INDEX(ProcValor,MATCH($E863,ProcNome,0)),0)))</f>
        <v>0</v>
      </c>
      <c r="N863" s="27">
        <f>IF($M863="","",IF($F863="Compareceu",$M863,0))</f>
        <v>0</v>
      </c>
      <c r="O863" s="27">
        <f>IF($M863="","",IF($F863="Faltou",$M863,0))</f>
        <v>0</v>
      </c>
      <c r="P863" s="27">
        <f>IF($M863="","",IF($F863="Compareceu",MAX(0,$M863-N($H863)),0))</f>
        <v>0</v>
      </c>
      <c r="Q863" s="19">
        <f>IF(AND($F863="Compareceu",$E863&lt;&gt;"",$A863&lt;&gt;""),IF(IFERROR(INDEX(ProcRet,MATCH($E863,ProcNome,0)),0)&gt;0,$A863+INDEX(ProcRet,MATCH($E863,ProcNome,0)),""),"")</f>
        <v>0</v>
      </c>
      <c r="R863" s="26">
        <f>IF($Q863="","",IF(COUNTIFS(AgPac,$D863,AgData,"&gt;"&amp;$A863,AgStatus,"&lt;&gt;Cancelado",AgStatus,"&lt;&gt;Remarcado")&gt;0,"Sim","Não"))</f>
        <v>0</v>
      </c>
      <c r="S863" s="28">
        <f>IF($A863="","",IF(AND($F863="Agendado",$A863-Hoje&gt;=0,$A863-Hoje&lt;=DiasConf),"CONFIRMAR",IF(AND($A863&lt;Hoje,OR($F863="Agendado",$F863="Confirmado")),"Atualizar status",IF(AND($F863="Compareceu",$P863&gt;0.005),"Cobrar",IF($F863="Faltou","Falta: reagendar","")))))</f>
        <v>0</v>
      </c>
      <c r="T863" s="29">
        <f>IF($A863="","",DATE(YEAR($A863),MONTH($A863),1))</f>
        <v>0</v>
      </c>
      <c r="U863" s="30">
        <f>IF($S863="CONFIRMAR",MAX($U$4:$U862)+1,"")</f>
        <v>0</v>
      </c>
      <c r="V863" s="30">
        <f>IF(AND($R863="Não",$Q863&lt;&gt;"",$Q863&lt;=Hoje+JanelaRet,$Q863&gt;=Hoje-60),MAX($V$4:$V862)+1,"")</f>
        <v>0</v>
      </c>
    </row>
    <row r="864" spans="1:22">
      <c r="A864" s="16"/>
      <c r="B864" s="23"/>
      <c r="C864" s="15"/>
      <c r="D864" s="15"/>
      <c r="E864" s="15"/>
      <c r="F864" s="24"/>
      <c r="G864" s="17"/>
      <c r="H864" s="17"/>
      <c r="I864" s="15"/>
      <c r="J864" s="25">
        <f>IF($D864="","",IFERROR(INDEX(PacNome,MATCH($D864,PacCod,0)),"Paciente não cadastrado"))</f>
        <v>0</v>
      </c>
      <c r="K864" s="26">
        <f>IF($D864="","",IFERROR(INDEX(PacConv,MATCH($D864,PacCod,0))&amp;"",""))</f>
        <v>0</v>
      </c>
      <c r="L864" s="26">
        <f>IF($A864="","",CHOOSE(WEEKDAY($A864,2),"Seg","Ter","Qua","Qui","Sex","Sáb","Dom"))</f>
        <v>0</v>
      </c>
      <c r="M864" s="27">
        <f>IF($E864="","",IF($G864&lt;&gt;"",$G864,IFERROR(INDEX(ProcValor,MATCH($E864,ProcNome,0)),0)))</f>
        <v>0</v>
      </c>
      <c r="N864" s="27">
        <f>IF($M864="","",IF($F864="Compareceu",$M864,0))</f>
        <v>0</v>
      </c>
      <c r="O864" s="27">
        <f>IF($M864="","",IF($F864="Faltou",$M864,0))</f>
        <v>0</v>
      </c>
      <c r="P864" s="27">
        <f>IF($M864="","",IF($F864="Compareceu",MAX(0,$M864-N($H864)),0))</f>
        <v>0</v>
      </c>
      <c r="Q864" s="19">
        <f>IF(AND($F864="Compareceu",$E864&lt;&gt;"",$A864&lt;&gt;""),IF(IFERROR(INDEX(ProcRet,MATCH($E864,ProcNome,0)),0)&gt;0,$A864+INDEX(ProcRet,MATCH($E864,ProcNome,0)),""),"")</f>
        <v>0</v>
      </c>
      <c r="R864" s="26">
        <f>IF($Q864="","",IF(COUNTIFS(AgPac,$D864,AgData,"&gt;"&amp;$A864,AgStatus,"&lt;&gt;Cancelado",AgStatus,"&lt;&gt;Remarcado")&gt;0,"Sim","Não"))</f>
        <v>0</v>
      </c>
      <c r="S864" s="28">
        <f>IF($A864="","",IF(AND($F864="Agendado",$A864-Hoje&gt;=0,$A864-Hoje&lt;=DiasConf),"CONFIRMAR",IF(AND($A864&lt;Hoje,OR($F864="Agendado",$F864="Confirmado")),"Atualizar status",IF(AND($F864="Compareceu",$P864&gt;0.005),"Cobrar",IF($F864="Faltou","Falta: reagendar","")))))</f>
        <v>0</v>
      </c>
      <c r="T864" s="29">
        <f>IF($A864="","",DATE(YEAR($A864),MONTH($A864),1))</f>
        <v>0</v>
      </c>
      <c r="U864" s="30">
        <f>IF($S864="CONFIRMAR",MAX($U$4:$U863)+1,"")</f>
        <v>0</v>
      </c>
      <c r="V864" s="30">
        <f>IF(AND($R864="Não",$Q864&lt;&gt;"",$Q864&lt;=Hoje+JanelaRet,$Q864&gt;=Hoje-60),MAX($V$4:$V863)+1,"")</f>
        <v>0</v>
      </c>
    </row>
    <row r="865" spans="1:22">
      <c r="A865" s="16"/>
      <c r="B865" s="23"/>
      <c r="C865" s="15"/>
      <c r="D865" s="15"/>
      <c r="E865" s="15"/>
      <c r="F865" s="24"/>
      <c r="G865" s="17"/>
      <c r="H865" s="17"/>
      <c r="I865" s="15"/>
      <c r="J865" s="25">
        <f>IF($D865="","",IFERROR(INDEX(PacNome,MATCH($D865,PacCod,0)),"Paciente não cadastrado"))</f>
        <v>0</v>
      </c>
      <c r="K865" s="26">
        <f>IF($D865="","",IFERROR(INDEX(PacConv,MATCH($D865,PacCod,0))&amp;"",""))</f>
        <v>0</v>
      </c>
      <c r="L865" s="26">
        <f>IF($A865="","",CHOOSE(WEEKDAY($A865,2),"Seg","Ter","Qua","Qui","Sex","Sáb","Dom"))</f>
        <v>0</v>
      </c>
      <c r="M865" s="27">
        <f>IF($E865="","",IF($G865&lt;&gt;"",$G865,IFERROR(INDEX(ProcValor,MATCH($E865,ProcNome,0)),0)))</f>
        <v>0</v>
      </c>
      <c r="N865" s="27">
        <f>IF($M865="","",IF($F865="Compareceu",$M865,0))</f>
        <v>0</v>
      </c>
      <c r="O865" s="27">
        <f>IF($M865="","",IF($F865="Faltou",$M865,0))</f>
        <v>0</v>
      </c>
      <c r="P865" s="27">
        <f>IF($M865="","",IF($F865="Compareceu",MAX(0,$M865-N($H865)),0))</f>
        <v>0</v>
      </c>
      <c r="Q865" s="19">
        <f>IF(AND($F865="Compareceu",$E865&lt;&gt;"",$A865&lt;&gt;""),IF(IFERROR(INDEX(ProcRet,MATCH($E865,ProcNome,0)),0)&gt;0,$A865+INDEX(ProcRet,MATCH($E865,ProcNome,0)),""),"")</f>
        <v>0</v>
      </c>
      <c r="R865" s="26">
        <f>IF($Q865="","",IF(COUNTIFS(AgPac,$D865,AgData,"&gt;"&amp;$A865,AgStatus,"&lt;&gt;Cancelado",AgStatus,"&lt;&gt;Remarcado")&gt;0,"Sim","Não"))</f>
        <v>0</v>
      </c>
      <c r="S865" s="28">
        <f>IF($A865="","",IF(AND($F865="Agendado",$A865-Hoje&gt;=0,$A865-Hoje&lt;=DiasConf),"CONFIRMAR",IF(AND($A865&lt;Hoje,OR($F865="Agendado",$F865="Confirmado")),"Atualizar status",IF(AND($F865="Compareceu",$P865&gt;0.005),"Cobrar",IF($F865="Faltou","Falta: reagendar","")))))</f>
        <v>0</v>
      </c>
      <c r="T865" s="29">
        <f>IF($A865="","",DATE(YEAR($A865),MONTH($A865),1))</f>
        <v>0</v>
      </c>
      <c r="U865" s="30">
        <f>IF($S865="CONFIRMAR",MAX($U$4:$U864)+1,"")</f>
        <v>0</v>
      </c>
      <c r="V865" s="30">
        <f>IF(AND($R865="Não",$Q865&lt;&gt;"",$Q865&lt;=Hoje+JanelaRet,$Q865&gt;=Hoje-60),MAX($V$4:$V864)+1,"")</f>
        <v>0</v>
      </c>
    </row>
    <row r="866" spans="1:22">
      <c r="A866" s="16"/>
      <c r="B866" s="23"/>
      <c r="C866" s="15"/>
      <c r="D866" s="15"/>
      <c r="E866" s="15"/>
      <c r="F866" s="24"/>
      <c r="G866" s="17"/>
      <c r="H866" s="17"/>
      <c r="I866" s="15"/>
      <c r="J866" s="25">
        <f>IF($D866="","",IFERROR(INDEX(PacNome,MATCH($D866,PacCod,0)),"Paciente não cadastrado"))</f>
        <v>0</v>
      </c>
      <c r="K866" s="26">
        <f>IF($D866="","",IFERROR(INDEX(PacConv,MATCH($D866,PacCod,0))&amp;"",""))</f>
        <v>0</v>
      </c>
      <c r="L866" s="26">
        <f>IF($A866="","",CHOOSE(WEEKDAY($A866,2),"Seg","Ter","Qua","Qui","Sex","Sáb","Dom"))</f>
        <v>0</v>
      </c>
      <c r="M866" s="27">
        <f>IF($E866="","",IF($G866&lt;&gt;"",$G866,IFERROR(INDEX(ProcValor,MATCH($E866,ProcNome,0)),0)))</f>
        <v>0</v>
      </c>
      <c r="N866" s="27">
        <f>IF($M866="","",IF($F866="Compareceu",$M866,0))</f>
        <v>0</v>
      </c>
      <c r="O866" s="27">
        <f>IF($M866="","",IF($F866="Faltou",$M866,0))</f>
        <v>0</v>
      </c>
      <c r="P866" s="27">
        <f>IF($M866="","",IF($F866="Compareceu",MAX(0,$M866-N($H866)),0))</f>
        <v>0</v>
      </c>
      <c r="Q866" s="19">
        <f>IF(AND($F866="Compareceu",$E866&lt;&gt;"",$A866&lt;&gt;""),IF(IFERROR(INDEX(ProcRet,MATCH($E866,ProcNome,0)),0)&gt;0,$A866+INDEX(ProcRet,MATCH($E866,ProcNome,0)),""),"")</f>
        <v>0</v>
      </c>
      <c r="R866" s="26">
        <f>IF($Q866="","",IF(COUNTIFS(AgPac,$D866,AgData,"&gt;"&amp;$A866,AgStatus,"&lt;&gt;Cancelado",AgStatus,"&lt;&gt;Remarcado")&gt;0,"Sim","Não"))</f>
        <v>0</v>
      </c>
      <c r="S866" s="28">
        <f>IF($A866="","",IF(AND($F866="Agendado",$A866-Hoje&gt;=0,$A866-Hoje&lt;=DiasConf),"CONFIRMAR",IF(AND($A866&lt;Hoje,OR($F866="Agendado",$F866="Confirmado")),"Atualizar status",IF(AND($F866="Compareceu",$P866&gt;0.005),"Cobrar",IF($F866="Faltou","Falta: reagendar","")))))</f>
        <v>0</v>
      </c>
      <c r="T866" s="29">
        <f>IF($A866="","",DATE(YEAR($A866),MONTH($A866),1))</f>
        <v>0</v>
      </c>
      <c r="U866" s="30">
        <f>IF($S866="CONFIRMAR",MAX($U$4:$U865)+1,"")</f>
        <v>0</v>
      </c>
      <c r="V866" s="30">
        <f>IF(AND($R866="Não",$Q866&lt;&gt;"",$Q866&lt;=Hoje+JanelaRet,$Q866&gt;=Hoje-60),MAX($V$4:$V865)+1,"")</f>
        <v>0</v>
      </c>
    </row>
    <row r="867" spans="1:22">
      <c r="A867" s="16"/>
      <c r="B867" s="23"/>
      <c r="C867" s="15"/>
      <c r="D867" s="15"/>
      <c r="E867" s="15"/>
      <c r="F867" s="24"/>
      <c r="G867" s="17"/>
      <c r="H867" s="17"/>
      <c r="I867" s="15"/>
      <c r="J867" s="25">
        <f>IF($D867="","",IFERROR(INDEX(PacNome,MATCH($D867,PacCod,0)),"Paciente não cadastrado"))</f>
        <v>0</v>
      </c>
      <c r="K867" s="26">
        <f>IF($D867="","",IFERROR(INDEX(PacConv,MATCH($D867,PacCod,0))&amp;"",""))</f>
        <v>0</v>
      </c>
      <c r="L867" s="26">
        <f>IF($A867="","",CHOOSE(WEEKDAY($A867,2),"Seg","Ter","Qua","Qui","Sex","Sáb","Dom"))</f>
        <v>0</v>
      </c>
      <c r="M867" s="27">
        <f>IF($E867="","",IF($G867&lt;&gt;"",$G867,IFERROR(INDEX(ProcValor,MATCH($E867,ProcNome,0)),0)))</f>
        <v>0</v>
      </c>
      <c r="N867" s="27">
        <f>IF($M867="","",IF($F867="Compareceu",$M867,0))</f>
        <v>0</v>
      </c>
      <c r="O867" s="27">
        <f>IF($M867="","",IF($F867="Faltou",$M867,0))</f>
        <v>0</v>
      </c>
      <c r="P867" s="27">
        <f>IF($M867="","",IF($F867="Compareceu",MAX(0,$M867-N($H867)),0))</f>
        <v>0</v>
      </c>
      <c r="Q867" s="19">
        <f>IF(AND($F867="Compareceu",$E867&lt;&gt;"",$A867&lt;&gt;""),IF(IFERROR(INDEX(ProcRet,MATCH($E867,ProcNome,0)),0)&gt;0,$A867+INDEX(ProcRet,MATCH($E867,ProcNome,0)),""),"")</f>
        <v>0</v>
      </c>
      <c r="R867" s="26">
        <f>IF($Q867="","",IF(COUNTIFS(AgPac,$D867,AgData,"&gt;"&amp;$A867,AgStatus,"&lt;&gt;Cancelado",AgStatus,"&lt;&gt;Remarcado")&gt;0,"Sim","Não"))</f>
        <v>0</v>
      </c>
      <c r="S867" s="28">
        <f>IF($A867="","",IF(AND($F867="Agendado",$A867-Hoje&gt;=0,$A867-Hoje&lt;=DiasConf),"CONFIRMAR",IF(AND($A867&lt;Hoje,OR($F867="Agendado",$F867="Confirmado")),"Atualizar status",IF(AND($F867="Compareceu",$P867&gt;0.005),"Cobrar",IF($F867="Faltou","Falta: reagendar","")))))</f>
        <v>0</v>
      </c>
      <c r="T867" s="29">
        <f>IF($A867="","",DATE(YEAR($A867),MONTH($A867),1))</f>
        <v>0</v>
      </c>
      <c r="U867" s="30">
        <f>IF($S867="CONFIRMAR",MAX($U$4:$U866)+1,"")</f>
        <v>0</v>
      </c>
      <c r="V867" s="30">
        <f>IF(AND($R867="Não",$Q867&lt;&gt;"",$Q867&lt;=Hoje+JanelaRet,$Q867&gt;=Hoje-60),MAX($V$4:$V866)+1,"")</f>
        <v>0</v>
      </c>
    </row>
    <row r="868" spans="1:22">
      <c r="A868" s="16"/>
      <c r="B868" s="23"/>
      <c r="C868" s="15"/>
      <c r="D868" s="15"/>
      <c r="E868" s="15"/>
      <c r="F868" s="24"/>
      <c r="G868" s="17"/>
      <c r="H868" s="17"/>
      <c r="I868" s="15"/>
      <c r="J868" s="25">
        <f>IF($D868="","",IFERROR(INDEX(PacNome,MATCH($D868,PacCod,0)),"Paciente não cadastrado"))</f>
        <v>0</v>
      </c>
      <c r="K868" s="26">
        <f>IF($D868="","",IFERROR(INDEX(PacConv,MATCH($D868,PacCod,0))&amp;"",""))</f>
        <v>0</v>
      </c>
      <c r="L868" s="26">
        <f>IF($A868="","",CHOOSE(WEEKDAY($A868,2),"Seg","Ter","Qua","Qui","Sex","Sáb","Dom"))</f>
        <v>0</v>
      </c>
      <c r="M868" s="27">
        <f>IF($E868="","",IF($G868&lt;&gt;"",$G868,IFERROR(INDEX(ProcValor,MATCH($E868,ProcNome,0)),0)))</f>
        <v>0</v>
      </c>
      <c r="N868" s="27">
        <f>IF($M868="","",IF($F868="Compareceu",$M868,0))</f>
        <v>0</v>
      </c>
      <c r="O868" s="27">
        <f>IF($M868="","",IF($F868="Faltou",$M868,0))</f>
        <v>0</v>
      </c>
      <c r="P868" s="27">
        <f>IF($M868="","",IF($F868="Compareceu",MAX(0,$M868-N($H868)),0))</f>
        <v>0</v>
      </c>
      <c r="Q868" s="19">
        <f>IF(AND($F868="Compareceu",$E868&lt;&gt;"",$A868&lt;&gt;""),IF(IFERROR(INDEX(ProcRet,MATCH($E868,ProcNome,0)),0)&gt;0,$A868+INDEX(ProcRet,MATCH($E868,ProcNome,0)),""),"")</f>
        <v>0</v>
      </c>
      <c r="R868" s="26">
        <f>IF($Q868="","",IF(COUNTIFS(AgPac,$D868,AgData,"&gt;"&amp;$A868,AgStatus,"&lt;&gt;Cancelado",AgStatus,"&lt;&gt;Remarcado")&gt;0,"Sim","Não"))</f>
        <v>0</v>
      </c>
      <c r="S868" s="28">
        <f>IF($A868="","",IF(AND($F868="Agendado",$A868-Hoje&gt;=0,$A868-Hoje&lt;=DiasConf),"CONFIRMAR",IF(AND($A868&lt;Hoje,OR($F868="Agendado",$F868="Confirmado")),"Atualizar status",IF(AND($F868="Compareceu",$P868&gt;0.005),"Cobrar",IF($F868="Faltou","Falta: reagendar","")))))</f>
        <v>0</v>
      </c>
      <c r="T868" s="29">
        <f>IF($A868="","",DATE(YEAR($A868),MONTH($A868),1))</f>
        <v>0</v>
      </c>
      <c r="U868" s="30">
        <f>IF($S868="CONFIRMAR",MAX($U$4:$U867)+1,"")</f>
        <v>0</v>
      </c>
      <c r="V868" s="30">
        <f>IF(AND($R868="Não",$Q868&lt;&gt;"",$Q868&lt;=Hoje+JanelaRet,$Q868&gt;=Hoje-60),MAX($V$4:$V867)+1,"")</f>
        <v>0</v>
      </c>
    </row>
    <row r="869" spans="1:22">
      <c r="A869" s="16"/>
      <c r="B869" s="23"/>
      <c r="C869" s="15"/>
      <c r="D869" s="15"/>
      <c r="E869" s="15"/>
      <c r="F869" s="24"/>
      <c r="G869" s="17"/>
      <c r="H869" s="17"/>
      <c r="I869" s="15"/>
      <c r="J869" s="25">
        <f>IF($D869="","",IFERROR(INDEX(PacNome,MATCH($D869,PacCod,0)),"Paciente não cadastrado"))</f>
        <v>0</v>
      </c>
      <c r="K869" s="26">
        <f>IF($D869="","",IFERROR(INDEX(PacConv,MATCH($D869,PacCod,0))&amp;"",""))</f>
        <v>0</v>
      </c>
      <c r="L869" s="26">
        <f>IF($A869="","",CHOOSE(WEEKDAY($A869,2),"Seg","Ter","Qua","Qui","Sex","Sáb","Dom"))</f>
        <v>0</v>
      </c>
      <c r="M869" s="27">
        <f>IF($E869="","",IF($G869&lt;&gt;"",$G869,IFERROR(INDEX(ProcValor,MATCH($E869,ProcNome,0)),0)))</f>
        <v>0</v>
      </c>
      <c r="N869" s="27">
        <f>IF($M869="","",IF($F869="Compareceu",$M869,0))</f>
        <v>0</v>
      </c>
      <c r="O869" s="27">
        <f>IF($M869="","",IF($F869="Faltou",$M869,0))</f>
        <v>0</v>
      </c>
      <c r="P869" s="27">
        <f>IF($M869="","",IF($F869="Compareceu",MAX(0,$M869-N($H869)),0))</f>
        <v>0</v>
      </c>
      <c r="Q869" s="19">
        <f>IF(AND($F869="Compareceu",$E869&lt;&gt;"",$A869&lt;&gt;""),IF(IFERROR(INDEX(ProcRet,MATCH($E869,ProcNome,0)),0)&gt;0,$A869+INDEX(ProcRet,MATCH($E869,ProcNome,0)),""),"")</f>
        <v>0</v>
      </c>
      <c r="R869" s="26">
        <f>IF($Q869="","",IF(COUNTIFS(AgPac,$D869,AgData,"&gt;"&amp;$A869,AgStatus,"&lt;&gt;Cancelado",AgStatus,"&lt;&gt;Remarcado")&gt;0,"Sim","Não"))</f>
        <v>0</v>
      </c>
      <c r="S869" s="28">
        <f>IF($A869="","",IF(AND($F869="Agendado",$A869-Hoje&gt;=0,$A869-Hoje&lt;=DiasConf),"CONFIRMAR",IF(AND($A869&lt;Hoje,OR($F869="Agendado",$F869="Confirmado")),"Atualizar status",IF(AND($F869="Compareceu",$P869&gt;0.005),"Cobrar",IF($F869="Faltou","Falta: reagendar","")))))</f>
        <v>0</v>
      </c>
      <c r="T869" s="29">
        <f>IF($A869="","",DATE(YEAR($A869),MONTH($A869),1))</f>
        <v>0</v>
      </c>
      <c r="U869" s="30">
        <f>IF($S869="CONFIRMAR",MAX($U$4:$U868)+1,"")</f>
        <v>0</v>
      </c>
      <c r="V869" s="30">
        <f>IF(AND($R869="Não",$Q869&lt;&gt;"",$Q869&lt;=Hoje+JanelaRet,$Q869&gt;=Hoje-60),MAX($V$4:$V868)+1,"")</f>
        <v>0</v>
      </c>
    </row>
    <row r="870" spans="1:22">
      <c r="A870" s="16"/>
      <c r="B870" s="23"/>
      <c r="C870" s="15"/>
      <c r="D870" s="15"/>
      <c r="E870" s="15"/>
      <c r="F870" s="24"/>
      <c r="G870" s="17"/>
      <c r="H870" s="17"/>
      <c r="I870" s="15"/>
      <c r="J870" s="25">
        <f>IF($D870="","",IFERROR(INDEX(PacNome,MATCH($D870,PacCod,0)),"Paciente não cadastrado"))</f>
        <v>0</v>
      </c>
      <c r="K870" s="26">
        <f>IF($D870="","",IFERROR(INDEX(PacConv,MATCH($D870,PacCod,0))&amp;"",""))</f>
        <v>0</v>
      </c>
      <c r="L870" s="26">
        <f>IF($A870="","",CHOOSE(WEEKDAY($A870,2),"Seg","Ter","Qua","Qui","Sex","Sáb","Dom"))</f>
        <v>0</v>
      </c>
      <c r="M870" s="27">
        <f>IF($E870="","",IF($G870&lt;&gt;"",$G870,IFERROR(INDEX(ProcValor,MATCH($E870,ProcNome,0)),0)))</f>
        <v>0</v>
      </c>
      <c r="N870" s="27">
        <f>IF($M870="","",IF($F870="Compareceu",$M870,0))</f>
        <v>0</v>
      </c>
      <c r="O870" s="27">
        <f>IF($M870="","",IF($F870="Faltou",$M870,0))</f>
        <v>0</v>
      </c>
      <c r="P870" s="27">
        <f>IF($M870="","",IF($F870="Compareceu",MAX(0,$M870-N($H870)),0))</f>
        <v>0</v>
      </c>
      <c r="Q870" s="19">
        <f>IF(AND($F870="Compareceu",$E870&lt;&gt;"",$A870&lt;&gt;""),IF(IFERROR(INDEX(ProcRet,MATCH($E870,ProcNome,0)),0)&gt;0,$A870+INDEX(ProcRet,MATCH($E870,ProcNome,0)),""),"")</f>
        <v>0</v>
      </c>
      <c r="R870" s="26">
        <f>IF($Q870="","",IF(COUNTIFS(AgPac,$D870,AgData,"&gt;"&amp;$A870,AgStatus,"&lt;&gt;Cancelado",AgStatus,"&lt;&gt;Remarcado")&gt;0,"Sim","Não"))</f>
        <v>0</v>
      </c>
      <c r="S870" s="28">
        <f>IF($A870="","",IF(AND($F870="Agendado",$A870-Hoje&gt;=0,$A870-Hoje&lt;=DiasConf),"CONFIRMAR",IF(AND($A870&lt;Hoje,OR($F870="Agendado",$F870="Confirmado")),"Atualizar status",IF(AND($F870="Compareceu",$P870&gt;0.005),"Cobrar",IF($F870="Faltou","Falta: reagendar","")))))</f>
        <v>0</v>
      </c>
      <c r="T870" s="29">
        <f>IF($A870="","",DATE(YEAR($A870),MONTH($A870),1))</f>
        <v>0</v>
      </c>
      <c r="U870" s="30">
        <f>IF($S870="CONFIRMAR",MAX($U$4:$U869)+1,"")</f>
        <v>0</v>
      </c>
      <c r="V870" s="30">
        <f>IF(AND($R870="Não",$Q870&lt;&gt;"",$Q870&lt;=Hoje+JanelaRet,$Q870&gt;=Hoje-60),MAX($V$4:$V869)+1,"")</f>
        <v>0</v>
      </c>
    </row>
    <row r="871" spans="1:22">
      <c r="A871" s="16"/>
      <c r="B871" s="23"/>
      <c r="C871" s="15"/>
      <c r="D871" s="15"/>
      <c r="E871" s="15"/>
      <c r="F871" s="24"/>
      <c r="G871" s="17"/>
      <c r="H871" s="17"/>
      <c r="I871" s="15"/>
      <c r="J871" s="25">
        <f>IF($D871="","",IFERROR(INDEX(PacNome,MATCH($D871,PacCod,0)),"Paciente não cadastrado"))</f>
        <v>0</v>
      </c>
      <c r="K871" s="26">
        <f>IF($D871="","",IFERROR(INDEX(PacConv,MATCH($D871,PacCod,0))&amp;"",""))</f>
        <v>0</v>
      </c>
      <c r="L871" s="26">
        <f>IF($A871="","",CHOOSE(WEEKDAY($A871,2),"Seg","Ter","Qua","Qui","Sex","Sáb","Dom"))</f>
        <v>0</v>
      </c>
      <c r="M871" s="27">
        <f>IF($E871="","",IF($G871&lt;&gt;"",$G871,IFERROR(INDEX(ProcValor,MATCH($E871,ProcNome,0)),0)))</f>
        <v>0</v>
      </c>
      <c r="N871" s="27">
        <f>IF($M871="","",IF($F871="Compareceu",$M871,0))</f>
        <v>0</v>
      </c>
      <c r="O871" s="27">
        <f>IF($M871="","",IF($F871="Faltou",$M871,0))</f>
        <v>0</v>
      </c>
      <c r="P871" s="27">
        <f>IF($M871="","",IF($F871="Compareceu",MAX(0,$M871-N($H871)),0))</f>
        <v>0</v>
      </c>
      <c r="Q871" s="19">
        <f>IF(AND($F871="Compareceu",$E871&lt;&gt;"",$A871&lt;&gt;""),IF(IFERROR(INDEX(ProcRet,MATCH($E871,ProcNome,0)),0)&gt;0,$A871+INDEX(ProcRet,MATCH($E871,ProcNome,0)),""),"")</f>
        <v>0</v>
      </c>
      <c r="R871" s="26">
        <f>IF($Q871="","",IF(COUNTIFS(AgPac,$D871,AgData,"&gt;"&amp;$A871,AgStatus,"&lt;&gt;Cancelado",AgStatus,"&lt;&gt;Remarcado")&gt;0,"Sim","Não"))</f>
        <v>0</v>
      </c>
      <c r="S871" s="28">
        <f>IF($A871="","",IF(AND($F871="Agendado",$A871-Hoje&gt;=0,$A871-Hoje&lt;=DiasConf),"CONFIRMAR",IF(AND($A871&lt;Hoje,OR($F871="Agendado",$F871="Confirmado")),"Atualizar status",IF(AND($F871="Compareceu",$P871&gt;0.005),"Cobrar",IF($F871="Faltou","Falta: reagendar","")))))</f>
        <v>0</v>
      </c>
      <c r="T871" s="29">
        <f>IF($A871="","",DATE(YEAR($A871),MONTH($A871),1))</f>
        <v>0</v>
      </c>
      <c r="U871" s="30">
        <f>IF($S871="CONFIRMAR",MAX($U$4:$U870)+1,"")</f>
        <v>0</v>
      </c>
      <c r="V871" s="30">
        <f>IF(AND($R871="Não",$Q871&lt;&gt;"",$Q871&lt;=Hoje+JanelaRet,$Q871&gt;=Hoje-60),MAX($V$4:$V870)+1,"")</f>
        <v>0</v>
      </c>
    </row>
    <row r="872" spans="1:22">
      <c r="A872" s="16"/>
      <c r="B872" s="23"/>
      <c r="C872" s="15"/>
      <c r="D872" s="15"/>
      <c r="E872" s="15"/>
      <c r="F872" s="24"/>
      <c r="G872" s="17"/>
      <c r="H872" s="17"/>
      <c r="I872" s="15"/>
      <c r="J872" s="25">
        <f>IF($D872="","",IFERROR(INDEX(PacNome,MATCH($D872,PacCod,0)),"Paciente não cadastrado"))</f>
        <v>0</v>
      </c>
      <c r="K872" s="26">
        <f>IF($D872="","",IFERROR(INDEX(PacConv,MATCH($D872,PacCod,0))&amp;"",""))</f>
        <v>0</v>
      </c>
      <c r="L872" s="26">
        <f>IF($A872="","",CHOOSE(WEEKDAY($A872,2),"Seg","Ter","Qua","Qui","Sex","Sáb","Dom"))</f>
        <v>0</v>
      </c>
      <c r="M872" s="27">
        <f>IF($E872="","",IF($G872&lt;&gt;"",$G872,IFERROR(INDEX(ProcValor,MATCH($E872,ProcNome,0)),0)))</f>
        <v>0</v>
      </c>
      <c r="N872" s="27">
        <f>IF($M872="","",IF($F872="Compareceu",$M872,0))</f>
        <v>0</v>
      </c>
      <c r="O872" s="27">
        <f>IF($M872="","",IF($F872="Faltou",$M872,0))</f>
        <v>0</v>
      </c>
      <c r="P872" s="27">
        <f>IF($M872="","",IF($F872="Compareceu",MAX(0,$M872-N($H872)),0))</f>
        <v>0</v>
      </c>
      <c r="Q872" s="19">
        <f>IF(AND($F872="Compareceu",$E872&lt;&gt;"",$A872&lt;&gt;""),IF(IFERROR(INDEX(ProcRet,MATCH($E872,ProcNome,0)),0)&gt;0,$A872+INDEX(ProcRet,MATCH($E872,ProcNome,0)),""),"")</f>
        <v>0</v>
      </c>
      <c r="R872" s="26">
        <f>IF($Q872="","",IF(COUNTIFS(AgPac,$D872,AgData,"&gt;"&amp;$A872,AgStatus,"&lt;&gt;Cancelado",AgStatus,"&lt;&gt;Remarcado")&gt;0,"Sim","Não"))</f>
        <v>0</v>
      </c>
      <c r="S872" s="28">
        <f>IF($A872="","",IF(AND($F872="Agendado",$A872-Hoje&gt;=0,$A872-Hoje&lt;=DiasConf),"CONFIRMAR",IF(AND($A872&lt;Hoje,OR($F872="Agendado",$F872="Confirmado")),"Atualizar status",IF(AND($F872="Compareceu",$P872&gt;0.005),"Cobrar",IF($F872="Faltou","Falta: reagendar","")))))</f>
        <v>0</v>
      </c>
      <c r="T872" s="29">
        <f>IF($A872="","",DATE(YEAR($A872),MONTH($A872),1))</f>
        <v>0</v>
      </c>
      <c r="U872" s="30">
        <f>IF($S872="CONFIRMAR",MAX($U$4:$U871)+1,"")</f>
        <v>0</v>
      </c>
      <c r="V872" s="30">
        <f>IF(AND($R872="Não",$Q872&lt;&gt;"",$Q872&lt;=Hoje+JanelaRet,$Q872&gt;=Hoje-60),MAX($V$4:$V871)+1,"")</f>
        <v>0</v>
      </c>
    </row>
    <row r="873" spans="1:22">
      <c r="A873" s="16"/>
      <c r="B873" s="23"/>
      <c r="C873" s="15"/>
      <c r="D873" s="15"/>
      <c r="E873" s="15"/>
      <c r="F873" s="24"/>
      <c r="G873" s="17"/>
      <c r="H873" s="17"/>
      <c r="I873" s="15"/>
      <c r="J873" s="25">
        <f>IF($D873="","",IFERROR(INDEX(PacNome,MATCH($D873,PacCod,0)),"Paciente não cadastrado"))</f>
        <v>0</v>
      </c>
      <c r="K873" s="26">
        <f>IF($D873="","",IFERROR(INDEX(PacConv,MATCH($D873,PacCod,0))&amp;"",""))</f>
        <v>0</v>
      </c>
      <c r="L873" s="26">
        <f>IF($A873="","",CHOOSE(WEEKDAY($A873,2),"Seg","Ter","Qua","Qui","Sex","Sáb","Dom"))</f>
        <v>0</v>
      </c>
      <c r="M873" s="27">
        <f>IF($E873="","",IF($G873&lt;&gt;"",$G873,IFERROR(INDEX(ProcValor,MATCH($E873,ProcNome,0)),0)))</f>
        <v>0</v>
      </c>
      <c r="N873" s="27">
        <f>IF($M873="","",IF($F873="Compareceu",$M873,0))</f>
        <v>0</v>
      </c>
      <c r="O873" s="27">
        <f>IF($M873="","",IF($F873="Faltou",$M873,0))</f>
        <v>0</v>
      </c>
      <c r="P873" s="27">
        <f>IF($M873="","",IF($F873="Compareceu",MAX(0,$M873-N($H873)),0))</f>
        <v>0</v>
      </c>
      <c r="Q873" s="19">
        <f>IF(AND($F873="Compareceu",$E873&lt;&gt;"",$A873&lt;&gt;""),IF(IFERROR(INDEX(ProcRet,MATCH($E873,ProcNome,0)),0)&gt;0,$A873+INDEX(ProcRet,MATCH($E873,ProcNome,0)),""),"")</f>
        <v>0</v>
      </c>
      <c r="R873" s="26">
        <f>IF($Q873="","",IF(COUNTIFS(AgPac,$D873,AgData,"&gt;"&amp;$A873,AgStatus,"&lt;&gt;Cancelado",AgStatus,"&lt;&gt;Remarcado")&gt;0,"Sim","Não"))</f>
        <v>0</v>
      </c>
      <c r="S873" s="28">
        <f>IF($A873="","",IF(AND($F873="Agendado",$A873-Hoje&gt;=0,$A873-Hoje&lt;=DiasConf),"CONFIRMAR",IF(AND($A873&lt;Hoje,OR($F873="Agendado",$F873="Confirmado")),"Atualizar status",IF(AND($F873="Compareceu",$P873&gt;0.005),"Cobrar",IF($F873="Faltou","Falta: reagendar","")))))</f>
        <v>0</v>
      </c>
      <c r="T873" s="29">
        <f>IF($A873="","",DATE(YEAR($A873),MONTH($A873),1))</f>
        <v>0</v>
      </c>
      <c r="U873" s="30">
        <f>IF($S873="CONFIRMAR",MAX($U$4:$U872)+1,"")</f>
        <v>0</v>
      </c>
      <c r="V873" s="30">
        <f>IF(AND($R873="Não",$Q873&lt;&gt;"",$Q873&lt;=Hoje+JanelaRet,$Q873&gt;=Hoje-60),MAX($V$4:$V872)+1,"")</f>
        <v>0</v>
      </c>
    </row>
    <row r="874" spans="1:22">
      <c r="A874" s="16"/>
      <c r="B874" s="23"/>
      <c r="C874" s="15"/>
      <c r="D874" s="15"/>
      <c r="E874" s="15"/>
      <c r="F874" s="24"/>
      <c r="G874" s="17"/>
      <c r="H874" s="17"/>
      <c r="I874" s="15"/>
      <c r="J874" s="25">
        <f>IF($D874="","",IFERROR(INDEX(PacNome,MATCH($D874,PacCod,0)),"Paciente não cadastrado"))</f>
        <v>0</v>
      </c>
      <c r="K874" s="26">
        <f>IF($D874="","",IFERROR(INDEX(PacConv,MATCH($D874,PacCod,0))&amp;"",""))</f>
        <v>0</v>
      </c>
      <c r="L874" s="26">
        <f>IF($A874="","",CHOOSE(WEEKDAY($A874,2),"Seg","Ter","Qua","Qui","Sex","Sáb","Dom"))</f>
        <v>0</v>
      </c>
      <c r="M874" s="27">
        <f>IF($E874="","",IF($G874&lt;&gt;"",$G874,IFERROR(INDEX(ProcValor,MATCH($E874,ProcNome,0)),0)))</f>
        <v>0</v>
      </c>
      <c r="N874" s="27">
        <f>IF($M874="","",IF($F874="Compareceu",$M874,0))</f>
        <v>0</v>
      </c>
      <c r="O874" s="27">
        <f>IF($M874="","",IF($F874="Faltou",$M874,0))</f>
        <v>0</v>
      </c>
      <c r="P874" s="27">
        <f>IF($M874="","",IF($F874="Compareceu",MAX(0,$M874-N($H874)),0))</f>
        <v>0</v>
      </c>
      <c r="Q874" s="19">
        <f>IF(AND($F874="Compareceu",$E874&lt;&gt;"",$A874&lt;&gt;""),IF(IFERROR(INDEX(ProcRet,MATCH($E874,ProcNome,0)),0)&gt;0,$A874+INDEX(ProcRet,MATCH($E874,ProcNome,0)),""),"")</f>
        <v>0</v>
      </c>
      <c r="R874" s="26">
        <f>IF($Q874="","",IF(COUNTIFS(AgPac,$D874,AgData,"&gt;"&amp;$A874,AgStatus,"&lt;&gt;Cancelado",AgStatus,"&lt;&gt;Remarcado")&gt;0,"Sim","Não"))</f>
        <v>0</v>
      </c>
      <c r="S874" s="28">
        <f>IF($A874="","",IF(AND($F874="Agendado",$A874-Hoje&gt;=0,$A874-Hoje&lt;=DiasConf),"CONFIRMAR",IF(AND($A874&lt;Hoje,OR($F874="Agendado",$F874="Confirmado")),"Atualizar status",IF(AND($F874="Compareceu",$P874&gt;0.005),"Cobrar",IF($F874="Faltou","Falta: reagendar","")))))</f>
        <v>0</v>
      </c>
      <c r="T874" s="29">
        <f>IF($A874="","",DATE(YEAR($A874),MONTH($A874),1))</f>
        <v>0</v>
      </c>
      <c r="U874" s="30">
        <f>IF($S874="CONFIRMAR",MAX($U$4:$U873)+1,"")</f>
        <v>0</v>
      </c>
      <c r="V874" s="30">
        <f>IF(AND($R874="Não",$Q874&lt;&gt;"",$Q874&lt;=Hoje+JanelaRet,$Q874&gt;=Hoje-60),MAX($V$4:$V873)+1,"")</f>
        <v>0</v>
      </c>
    </row>
    <row r="875" spans="1:22">
      <c r="A875" s="16"/>
      <c r="B875" s="23"/>
      <c r="C875" s="15"/>
      <c r="D875" s="15"/>
      <c r="E875" s="15"/>
      <c r="F875" s="24"/>
      <c r="G875" s="17"/>
      <c r="H875" s="17"/>
      <c r="I875" s="15"/>
      <c r="J875" s="25">
        <f>IF($D875="","",IFERROR(INDEX(PacNome,MATCH($D875,PacCod,0)),"Paciente não cadastrado"))</f>
        <v>0</v>
      </c>
      <c r="K875" s="26">
        <f>IF($D875="","",IFERROR(INDEX(PacConv,MATCH($D875,PacCod,0))&amp;"",""))</f>
        <v>0</v>
      </c>
      <c r="L875" s="26">
        <f>IF($A875="","",CHOOSE(WEEKDAY($A875,2),"Seg","Ter","Qua","Qui","Sex","Sáb","Dom"))</f>
        <v>0</v>
      </c>
      <c r="M875" s="27">
        <f>IF($E875="","",IF($G875&lt;&gt;"",$G875,IFERROR(INDEX(ProcValor,MATCH($E875,ProcNome,0)),0)))</f>
        <v>0</v>
      </c>
      <c r="N875" s="27">
        <f>IF($M875="","",IF($F875="Compareceu",$M875,0))</f>
        <v>0</v>
      </c>
      <c r="O875" s="27">
        <f>IF($M875="","",IF($F875="Faltou",$M875,0))</f>
        <v>0</v>
      </c>
      <c r="P875" s="27">
        <f>IF($M875="","",IF($F875="Compareceu",MAX(0,$M875-N($H875)),0))</f>
        <v>0</v>
      </c>
      <c r="Q875" s="19">
        <f>IF(AND($F875="Compareceu",$E875&lt;&gt;"",$A875&lt;&gt;""),IF(IFERROR(INDEX(ProcRet,MATCH($E875,ProcNome,0)),0)&gt;0,$A875+INDEX(ProcRet,MATCH($E875,ProcNome,0)),""),"")</f>
        <v>0</v>
      </c>
      <c r="R875" s="26">
        <f>IF($Q875="","",IF(COUNTIFS(AgPac,$D875,AgData,"&gt;"&amp;$A875,AgStatus,"&lt;&gt;Cancelado",AgStatus,"&lt;&gt;Remarcado")&gt;0,"Sim","Não"))</f>
        <v>0</v>
      </c>
      <c r="S875" s="28">
        <f>IF($A875="","",IF(AND($F875="Agendado",$A875-Hoje&gt;=0,$A875-Hoje&lt;=DiasConf),"CONFIRMAR",IF(AND($A875&lt;Hoje,OR($F875="Agendado",$F875="Confirmado")),"Atualizar status",IF(AND($F875="Compareceu",$P875&gt;0.005),"Cobrar",IF($F875="Faltou","Falta: reagendar","")))))</f>
        <v>0</v>
      </c>
      <c r="T875" s="29">
        <f>IF($A875="","",DATE(YEAR($A875),MONTH($A875),1))</f>
        <v>0</v>
      </c>
      <c r="U875" s="30">
        <f>IF($S875="CONFIRMAR",MAX($U$4:$U874)+1,"")</f>
        <v>0</v>
      </c>
      <c r="V875" s="30">
        <f>IF(AND($R875="Não",$Q875&lt;&gt;"",$Q875&lt;=Hoje+JanelaRet,$Q875&gt;=Hoje-60),MAX($V$4:$V874)+1,"")</f>
        <v>0</v>
      </c>
    </row>
    <row r="876" spans="1:22">
      <c r="A876" s="16"/>
      <c r="B876" s="23"/>
      <c r="C876" s="15"/>
      <c r="D876" s="15"/>
      <c r="E876" s="15"/>
      <c r="F876" s="24"/>
      <c r="G876" s="17"/>
      <c r="H876" s="17"/>
      <c r="I876" s="15"/>
      <c r="J876" s="25">
        <f>IF($D876="","",IFERROR(INDEX(PacNome,MATCH($D876,PacCod,0)),"Paciente não cadastrado"))</f>
        <v>0</v>
      </c>
      <c r="K876" s="26">
        <f>IF($D876="","",IFERROR(INDEX(PacConv,MATCH($D876,PacCod,0))&amp;"",""))</f>
        <v>0</v>
      </c>
      <c r="L876" s="26">
        <f>IF($A876="","",CHOOSE(WEEKDAY($A876,2),"Seg","Ter","Qua","Qui","Sex","Sáb","Dom"))</f>
        <v>0</v>
      </c>
      <c r="M876" s="27">
        <f>IF($E876="","",IF($G876&lt;&gt;"",$G876,IFERROR(INDEX(ProcValor,MATCH($E876,ProcNome,0)),0)))</f>
        <v>0</v>
      </c>
      <c r="N876" s="27">
        <f>IF($M876="","",IF($F876="Compareceu",$M876,0))</f>
        <v>0</v>
      </c>
      <c r="O876" s="27">
        <f>IF($M876="","",IF($F876="Faltou",$M876,0))</f>
        <v>0</v>
      </c>
      <c r="P876" s="27">
        <f>IF($M876="","",IF($F876="Compareceu",MAX(0,$M876-N($H876)),0))</f>
        <v>0</v>
      </c>
      <c r="Q876" s="19">
        <f>IF(AND($F876="Compareceu",$E876&lt;&gt;"",$A876&lt;&gt;""),IF(IFERROR(INDEX(ProcRet,MATCH($E876,ProcNome,0)),0)&gt;0,$A876+INDEX(ProcRet,MATCH($E876,ProcNome,0)),""),"")</f>
        <v>0</v>
      </c>
      <c r="R876" s="26">
        <f>IF($Q876="","",IF(COUNTIFS(AgPac,$D876,AgData,"&gt;"&amp;$A876,AgStatus,"&lt;&gt;Cancelado",AgStatus,"&lt;&gt;Remarcado")&gt;0,"Sim","Não"))</f>
        <v>0</v>
      </c>
      <c r="S876" s="28">
        <f>IF($A876="","",IF(AND($F876="Agendado",$A876-Hoje&gt;=0,$A876-Hoje&lt;=DiasConf),"CONFIRMAR",IF(AND($A876&lt;Hoje,OR($F876="Agendado",$F876="Confirmado")),"Atualizar status",IF(AND($F876="Compareceu",$P876&gt;0.005),"Cobrar",IF($F876="Faltou","Falta: reagendar","")))))</f>
        <v>0</v>
      </c>
      <c r="T876" s="29">
        <f>IF($A876="","",DATE(YEAR($A876),MONTH($A876),1))</f>
        <v>0</v>
      </c>
      <c r="U876" s="30">
        <f>IF($S876="CONFIRMAR",MAX($U$4:$U875)+1,"")</f>
        <v>0</v>
      </c>
      <c r="V876" s="30">
        <f>IF(AND($R876="Não",$Q876&lt;&gt;"",$Q876&lt;=Hoje+JanelaRet,$Q876&gt;=Hoje-60),MAX($V$4:$V875)+1,"")</f>
        <v>0</v>
      </c>
    </row>
    <row r="877" spans="1:22">
      <c r="A877" s="16"/>
      <c r="B877" s="23"/>
      <c r="C877" s="15"/>
      <c r="D877" s="15"/>
      <c r="E877" s="15"/>
      <c r="F877" s="24"/>
      <c r="G877" s="17"/>
      <c r="H877" s="17"/>
      <c r="I877" s="15"/>
      <c r="J877" s="25">
        <f>IF($D877="","",IFERROR(INDEX(PacNome,MATCH($D877,PacCod,0)),"Paciente não cadastrado"))</f>
        <v>0</v>
      </c>
      <c r="K877" s="26">
        <f>IF($D877="","",IFERROR(INDEX(PacConv,MATCH($D877,PacCod,0))&amp;"",""))</f>
        <v>0</v>
      </c>
      <c r="L877" s="26">
        <f>IF($A877="","",CHOOSE(WEEKDAY($A877,2),"Seg","Ter","Qua","Qui","Sex","Sáb","Dom"))</f>
        <v>0</v>
      </c>
      <c r="M877" s="27">
        <f>IF($E877="","",IF($G877&lt;&gt;"",$G877,IFERROR(INDEX(ProcValor,MATCH($E877,ProcNome,0)),0)))</f>
        <v>0</v>
      </c>
      <c r="N877" s="27">
        <f>IF($M877="","",IF($F877="Compareceu",$M877,0))</f>
        <v>0</v>
      </c>
      <c r="O877" s="27">
        <f>IF($M877="","",IF($F877="Faltou",$M877,0))</f>
        <v>0</v>
      </c>
      <c r="P877" s="27">
        <f>IF($M877="","",IF($F877="Compareceu",MAX(0,$M877-N($H877)),0))</f>
        <v>0</v>
      </c>
      <c r="Q877" s="19">
        <f>IF(AND($F877="Compareceu",$E877&lt;&gt;"",$A877&lt;&gt;""),IF(IFERROR(INDEX(ProcRet,MATCH($E877,ProcNome,0)),0)&gt;0,$A877+INDEX(ProcRet,MATCH($E877,ProcNome,0)),""),"")</f>
        <v>0</v>
      </c>
      <c r="R877" s="26">
        <f>IF($Q877="","",IF(COUNTIFS(AgPac,$D877,AgData,"&gt;"&amp;$A877,AgStatus,"&lt;&gt;Cancelado",AgStatus,"&lt;&gt;Remarcado")&gt;0,"Sim","Não"))</f>
        <v>0</v>
      </c>
      <c r="S877" s="28">
        <f>IF($A877="","",IF(AND($F877="Agendado",$A877-Hoje&gt;=0,$A877-Hoje&lt;=DiasConf),"CONFIRMAR",IF(AND($A877&lt;Hoje,OR($F877="Agendado",$F877="Confirmado")),"Atualizar status",IF(AND($F877="Compareceu",$P877&gt;0.005),"Cobrar",IF($F877="Faltou","Falta: reagendar","")))))</f>
        <v>0</v>
      </c>
      <c r="T877" s="29">
        <f>IF($A877="","",DATE(YEAR($A877),MONTH($A877),1))</f>
        <v>0</v>
      </c>
      <c r="U877" s="30">
        <f>IF($S877="CONFIRMAR",MAX($U$4:$U876)+1,"")</f>
        <v>0</v>
      </c>
      <c r="V877" s="30">
        <f>IF(AND($R877="Não",$Q877&lt;&gt;"",$Q877&lt;=Hoje+JanelaRet,$Q877&gt;=Hoje-60),MAX($V$4:$V876)+1,"")</f>
        <v>0</v>
      </c>
    </row>
    <row r="878" spans="1:22">
      <c r="A878" s="16"/>
      <c r="B878" s="23"/>
      <c r="C878" s="15"/>
      <c r="D878" s="15"/>
      <c r="E878" s="15"/>
      <c r="F878" s="24"/>
      <c r="G878" s="17"/>
      <c r="H878" s="17"/>
      <c r="I878" s="15"/>
      <c r="J878" s="25">
        <f>IF($D878="","",IFERROR(INDEX(PacNome,MATCH($D878,PacCod,0)),"Paciente não cadastrado"))</f>
        <v>0</v>
      </c>
      <c r="K878" s="26">
        <f>IF($D878="","",IFERROR(INDEX(PacConv,MATCH($D878,PacCod,0))&amp;"",""))</f>
        <v>0</v>
      </c>
      <c r="L878" s="26">
        <f>IF($A878="","",CHOOSE(WEEKDAY($A878,2),"Seg","Ter","Qua","Qui","Sex","Sáb","Dom"))</f>
        <v>0</v>
      </c>
      <c r="M878" s="27">
        <f>IF($E878="","",IF($G878&lt;&gt;"",$G878,IFERROR(INDEX(ProcValor,MATCH($E878,ProcNome,0)),0)))</f>
        <v>0</v>
      </c>
      <c r="N878" s="27">
        <f>IF($M878="","",IF($F878="Compareceu",$M878,0))</f>
        <v>0</v>
      </c>
      <c r="O878" s="27">
        <f>IF($M878="","",IF($F878="Faltou",$M878,0))</f>
        <v>0</v>
      </c>
      <c r="P878" s="27">
        <f>IF($M878="","",IF($F878="Compareceu",MAX(0,$M878-N($H878)),0))</f>
        <v>0</v>
      </c>
      <c r="Q878" s="19">
        <f>IF(AND($F878="Compareceu",$E878&lt;&gt;"",$A878&lt;&gt;""),IF(IFERROR(INDEX(ProcRet,MATCH($E878,ProcNome,0)),0)&gt;0,$A878+INDEX(ProcRet,MATCH($E878,ProcNome,0)),""),"")</f>
        <v>0</v>
      </c>
      <c r="R878" s="26">
        <f>IF($Q878="","",IF(COUNTIFS(AgPac,$D878,AgData,"&gt;"&amp;$A878,AgStatus,"&lt;&gt;Cancelado",AgStatus,"&lt;&gt;Remarcado")&gt;0,"Sim","Não"))</f>
        <v>0</v>
      </c>
      <c r="S878" s="28">
        <f>IF($A878="","",IF(AND($F878="Agendado",$A878-Hoje&gt;=0,$A878-Hoje&lt;=DiasConf),"CONFIRMAR",IF(AND($A878&lt;Hoje,OR($F878="Agendado",$F878="Confirmado")),"Atualizar status",IF(AND($F878="Compareceu",$P878&gt;0.005),"Cobrar",IF($F878="Faltou","Falta: reagendar","")))))</f>
        <v>0</v>
      </c>
      <c r="T878" s="29">
        <f>IF($A878="","",DATE(YEAR($A878),MONTH($A878),1))</f>
        <v>0</v>
      </c>
      <c r="U878" s="30">
        <f>IF($S878="CONFIRMAR",MAX($U$4:$U877)+1,"")</f>
        <v>0</v>
      </c>
      <c r="V878" s="30">
        <f>IF(AND($R878="Não",$Q878&lt;&gt;"",$Q878&lt;=Hoje+JanelaRet,$Q878&gt;=Hoje-60),MAX($V$4:$V877)+1,"")</f>
        <v>0</v>
      </c>
    </row>
    <row r="879" spans="1:22">
      <c r="A879" s="16"/>
      <c r="B879" s="23"/>
      <c r="C879" s="15"/>
      <c r="D879" s="15"/>
      <c r="E879" s="15"/>
      <c r="F879" s="24"/>
      <c r="G879" s="17"/>
      <c r="H879" s="17"/>
      <c r="I879" s="15"/>
      <c r="J879" s="25">
        <f>IF($D879="","",IFERROR(INDEX(PacNome,MATCH($D879,PacCod,0)),"Paciente não cadastrado"))</f>
        <v>0</v>
      </c>
      <c r="K879" s="26">
        <f>IF($D879="","",IFERROR(INDEX(PacConv,MATCH($D879,PacCod,0))&amp;"",""))</f>
        <v>0</v>
      </c>
      <c r="L879" s="26">
        <f>IF($A879="","",CHOOSE(WEEKDAY($A879,2),"Seg","Ter","Qua","Qui","Sex","Sáb","Dom"))</f>
        <v>0</v>
      </c>
      <c r="M879" s="27">
        <f>IF($E879="","",IF($G879&lt;&gt;"",$G879,IFERROR(INDEX(ProcValor,MATCH($E879,ProcNome,0)),0)))</f>
        <v>0</v>
      </c>
      <c r="N879" s="27">
        <f>IF($M879="","",IF($F879="Compareceu",$M879,0))</f>
        <v>0</v>
      </c>
      <c r="O879" s="27">
        <f>IF($M879="","",IF($F879="Faltou",$M879,0))</f>
        <v>0</v>
      </c>
      <c r="P879" s="27">
        <f>IF($M879="","",IF($F879="Compareceu",MAX(0,$M879-N($H879)),0))</f>
        <v>0</v>
      </c>
      <c r="Q879" s="19">
        <f>IF(AND($F879="Compareceu",$E879&lt;&gt;"",$A879&lt;&gt;""),IF(IFERROR(INDEX(ProcRet,MATCH($E879,ProcNome,0)),0)&gt;0,$A879+INDEX(ProcRet,MATCH($E879,ProcNome,0)),""),"")</f>
        <v>0</v>
      </c>
      <c r="R879" s="26">
        <f>IF($Q879="","",IF(COUNTIFS(AgPac,$D879,AgData,"&gt;"&amp;$A879,AgStatus,"&lt;&gt;Cancelado",AgStatus,"&lt;&gt;Remarcado")&gt;0,"Sim","Não"))</f>
        <v>0</v>
      </c>
      <c r="S879" s="28">
        <f>IF($A879="","",IF(AND($F879="Agendado",$A879-Hoje&gt;=0,$A879-Hoje&lt;=DiasConf),"CONFIRMAR",IF(AND($A879&lt;Hoje,OR($F879="Agendado",$F879="Confirmado")),"Atualizar status",IF(AND($F879="Compareceu",$P879&gt;0.005),"Cobrar",IF($F879="Faltou","Falta: reagendar","")))))</f>
        <v>0</v>
      </c>
      <c r="T879" s="29">
        <f>IF($A879="","",DATE(YEAR($A879),MONTH($A879),1))</f>
        <v>0</v>
      </c>
      <c r="U879" s="30">
        <f>IF($S879="CONFIRMAR",MAX($U$4:$U878)+1,"")</f>
        <v>0</v>
      </c>
      <c r="V879" s="30">
        <f>IF(AND($R879="Não",$Q879&lt;&gt;"",$Q879&lt;=Hoje+JanelaRet,$Q879&gt;=Hoje-60),MAX($V$4:$V878)+1,"")</f>
        <v>0</v>
      </c>
    </row>
    <row r="880" spans="1:22">
      <c r="A880" s="16"/>
      <c r="B880" s="23"/>
      <c r="C880" s="15"/>
      <c r="D880" s="15"/>
      <c r="E880" s="15"/>
      <c r="F880" s="24"/>
      <c r="G880" s="17"/>
      <c r="H880" s="17"/>
      <c r="I880" s="15"/>
      <c r="J880" s="25">
        <f>IF($D880="","",IFERROR(INDEX(PacNome,MATCH($D880,PacCod,0)),"Paciente não cadastrado"))</f>
        <v>0</v>
      </c>
      <c r="K880" s="26">
        <f>IF($D880="","",IFERROR(INDEX(PacConv,MATCH($D880,PacCod,0))&amp;"",""))</f>
        <v>0</v>
      </c>
      <c r="L880" s="26">
        <f>IF($A880="","",CHOOSE(WEEKDAY($A880,2),"Seg","Ter","Qua","Qui","Sex","Sáb","Dom"))</f>
        <v>0</v>
      </c>
      <c r="M880" s="27">
        <f>IF($E880="","",IF($G880&lt;&gt;"",$G880,IFERROR(INDEX(ProcValor,MATCH($E880,ProcNome,0)),0)))</f>
        <v>0</v>
      </c>
      <c r="N880" s="27">
        <f>IF($M880="","",IF($F880="Compareceu",$M880,0))</f>
        <v>0</v>
      </c>
      <c r="O880" s="27">
        <f>IF($M880="","",IF($F880="Faltou",$M880,0))</f>
        <v>0</v>
      </c>
      <c r="P880" s="27">
        <f>IF($M880="","",IF($F880="Compareceu",MAX(0,$M880-N($H880)),0))</f>
        <v>0</v>
      </c>
      <c r="Q880" s="19">
        <f>IF(AND($F880="Compareceu",$E880&lt;&gt;"",$A880&lt;&gt;""),IF(IFERROR(INDEX(ProcRet,MATCH($E880,ProcNome,0)),0)&gt;0,$A880+INDEX(ProcRet,MATCH($E880,ProcNome,0)),""),"")</f>
        <v>0</v>
      </c>
      <c r="R880" s="26">
        <f>IF($Q880="","",IF(COUNTIFS(AgPac,$D880,AgData,"&gt;"&amp;$A880,AgStatus,"&lt;&gt;Cancelado",AgStatus,"&lt;&gt;Remarcado")&gt;0,"Sim","Não"))</f>
        <v>0</v>
      </c>
      <c r="S880" s="28">
        <f>IF($A880="","",IF(AND($F880="Agendado",$A880-Hoje&gt;=0,$A880-Hoje&lt;=DiasConf),"CONFIRMAR",IF(AND($A880&lt;Hoje,OR($F880="Agendado",$F880="Confirmado")),"Atualizar status",IF(AND($F880="Compareceu",$P880&gt;0.005),"Cobrar",IF($F880="Faltou","Falta: reagendar","")))))</f>
        <v>0</v>
      </c>
      <c r="T880" s="29">
        <f>IF($A880="","",DATE(YEAR($A880),MONTH($A880),1))</f>
        <v>0</v>
      </c>
      <c r="U880" s="30">
        <f>IF($S880="CONFIRMAR",MAX($U$4:$U879)+1,"")</f>
        <v>0</v>
      </c>
      <c r="V880" s="30">
        <f>IF(AND($R880="Não",$Q880&lt;&gt;"",$Q880&lt;=Hoje+JanelaRet,$Q880&gt;=Hoje-60),MAX($V$4:$V879)+1,"")</f>
        <v>0</v>
      </c>
    </row>
    <row r="881" spans="1:22">
      <c r="A881" s="16"/>
      <c r="B881" s="23"/>
      <c r="C881" s="15"/>
      <c r="D881" s="15"/>
      <c r="E881" s="15"/>
      <c r="F881" s="24"/>
      <c r="G881" s="17"/>
      <c r="H881" s="17"/>
      <c r="I881" s="15"/>
      <c r="J881" s="25">
        <f>IF($D881="","",IFERROR(INDEX(PacNome,MATCH($D881,PacCod,0)),"Paciente não cadastrado"))</f>
        <v>0</v>
      </c>
      <c r="K881" s="26">
        <f>IF($D881="","",IFERROR(INDEX(PacConv,MATCH($D881,PacCod,0))&amp;"",""))</f>
        <v>0</v>
      </c>
      <c r="L881" s="26">
        <f>IF($A881="","",CHOOSE(WEEKDAY($A881,2),"Seg","Ter","Qua","Qui","Sex","Sáb","Dom"))</f>
        <v>0</v>
      </c>
      <c r="M881" s="27">
        <f>IF($E881="","",IF($G881&lt;&gt;"",$G881,IFERROR(INDEX(ProcValor,MATCH($E881,ProcNome,0)),0)))</f>
        <v>0</v>
      </c>
      <c r="N881" s="27">
        <f>IF($M881="","",IF($F881="Compareceu",$M881,0))</f>
        <v>0</v>
      </c>
      <c r="O881" s="27">
        <f>IF($M881="","",IF($F881="Faltou",$M881,0))</f>
        <v>0</v>
      </c>
      <c r="P881" s="27">
        <f>IF($M881="","",IF($F881="Compareceu",MAX(0,$M881-N($H881)),0))</f>
        <v>0</v>
      </c>
      <c r="Q881" s="19">
        <f>IF(AND($F881="Compareceu",$E881&lt;&gt;"",$A881&lt;&gt;""),IF(IFERROR(INDEX(ProcRet,MATCH($E881,ProcNome,0)),0)&gt;0,$A881+INDEX(ProcRet,MATCH($E881,ProcNome,0)),""),"")</f>
        <v>0</v>
      </c>
      <c r="R881" s="26">
        <f>IF($Q881="","",IF(COUNTIFS(AgPac,$D881,AgData,"&gt;"&amp;$A881,AgStatus,"&lt;&gt;Cancelado",AgStatus,"&lt;&gt;Remarcado")&gt;0,"Sim","Não"))</f>
        <v>0</v>
      </c>
      <c r="S881" s="28">
        <f>IF($A881="","",IF(AND($F881="Agendado",$A881-Hoje&gt;=0,$A881-Hoje&lt;=DiasConf),"CONFIRMAR",IF(AND($A881&lt;Hoje,OR($F881="Agendado",$F881="Confirmado")),"Atualizar status",IF(AND($F881="Compareceu",$P881&gt;0.005),"Cobrar",IF($F881="Faltou","Falta: reagendar","")))))</f>
        <v>0</v>
      </c>
      <c r="T881" s="29">
        <f>IF($A881="","",DATE(YEAR($A881),MONTH($A881),1))</f>
        <v>0</v>
      </c>
      <c r="U881" s="30">
        <f>IF($S881="CONFIRMAR",MAX($U$4:$U880)+1,"")</f>
        <v>0</v>
      </c>
      <c r="V881" s="30">
        <f>IF(AND($R881="Não",$Q881&lt;&gt;"",$Q881&lt;=Hoje+JanelaRet,$Q881&gt;=Hoje-60),MAX($V$4:$V880)+1,"")</f>
        <v>0</v>
      </c>
    </row>
    <row r="882" spans="1:22">
      <c r="A882" s="16"/>
      <c r="B882" s="23"/>
      <c r="C882" s="15"/>
      <c r="D882" s="15"/>
      <c r="E882" s="15"/>
      <c r="F882" s="24"/>
      <c r="G882" s="17"/>
      <c r="H882" s="17"/>
      <c r="I882" s="15"/>
      <c r="J882" s="25">
        <f>IF($D882="","",IFERROR(INDEX(PacNome,MATCH($D882,PacCod,0)),"Paciente não cadastrado"))</f>
        <v>0</v>
      </c>
      <c r="K882" s="26">
        <f>IF($D882="","",IFERROR(INDEX(PacConv,MATCH($D882,PacCod,0))&amp;"",""))</f>
        <v>0</v>
      </c>
      <c r="L882" s="26">
        <f>IF($A882="","",CHOOSE(WEEKDAY($A882,2),"Seg","Ter","Qua","Qui","Sex","Sáb","Dom"))</f>
        <v>0</v>
      </c>
      <c r="M882" s="27">
        <f>IF($E882="","",IF($G882&lt;&gt;"",$G882,IFERROR(INDEX(ProcValor,MATCH($E882,ProcNome,0)),0)))</f>
        <v>0</v>
      </c>
      <c r="N882" s="27">
        <f>IF($M882="","",IF($F882="Compareceu",$M882,0))</f>
        <v>0</v>
      </c>
      <c r="O882" s="27">
        <f>IF($M882="","",IF($F882="Faltou",$M882,0))</f>
        <v>0</v>
      </c>
      <c r="P882" s="27">
        <f>IF($M882="","",IF($F882="Compareceu",MAX(0,$M882-N($H882)),0))</f>
        <v>0</v>
      </c>
      <c r="Q882" s="19">
        <f>IF(AND($F882="Compareceu",$E882&lt;&gt;"",$A882&lt;&gt;""),IF(IFERROR(INDEX(ProcRet,MATCH($E882,ProcNome,0)),0)&gt;0,$A882+INDEX(ProcRet,MATCH($E882,ProcNome,0)),""),"")</f>
        <v>0</v>
      </c>
      <c r="R882" s="26">
        <f>IF($Q882="","",IF(COUNTIFS(AgPac,$D882,AgData,"&gt;"&amp;$A882,AgStatus,"&lt;&gt;Cancelado",AgStatus,"&lt;&gt;Remarcado")&gt;0,"Sim","Não"))</f>
        <v>0</v>
      </c>
      <c r="S882" s="28">
        <f>IF($A882="","",IF(AND($F882="Agendado",$A882-Hoje&gt;=0,$A882-Hoje&lt;=DiasConf),"CONFIRMAR",IF(AND($A882&lt;Hoje,OR($F882="Agendado",$F882="Confirmado")),"Atualizar status",IF(AND($F882="Compareceu",$P882&gt;0.005),"Cobrar",IF($F882="Faltou","Falta: reagendar","")))))</f>
        <v>0</v>
      </c>
      <c r="T882" s="29">
        <f>IF($A882="","",DATE(YEAR($A882),MONTH($A882),1))</f>
        <v>0</v>
      </c>
      <c r="U882" s="30">
        <f>IF($S882="CONFIRMAR",MAX($U$4:$U881)+1,"")</f>
        <v>0</v>
      </c>
      <c r="V882" s="30">
        <f>IF(AND($R882="Não",$Q882&lt;&gt;"",$Q882&lt;=Hoje+JanelaRet,$Q882&gt;=Hoje-60),MAX($V$4:$V881)+1,"")</f>
        <v>0</v>
      </c>
    </row>
    <row r="883" spans="1:22">
      <c r="A883" s="16"/>
      <c r="B883" s="23"/>
      <c r="C883" s="15"/>
      <c r="D883" s="15"/>
      <c r="E883" s="15"/>
      <c r="F883" s="24"/>
      <c r="G883" s="17"/>
      <c r="H883" s="17"/>
      <c r="I883" s="15"/>
      <c r="J883" s="25">
        <f>IF($D883="","",IFERROR(INDEX(PacNome,MATCH($D883,PacCod,0)),"Paciente não cadastrado"))</f>
        <v>0</v>
      </c>
      <c r="K883" s="26">
        <f>IF($D883="","",IFERROR(INDEX(PacConv,MATCH($D883,PacCod,0))&amp;"",""))</f>
        <v>0</v>
      </c>
      <c r="L883" s="26">
        <f>IF($A883="","",CHOOSE(WEEKDAY($A883,2),"Seg","Ter","Qua","Qui","Sex","Sáb","Dom"))</f>
        <v>0</v>
      </c>
      <c r="M883" s="27">
        <f>IF($E883="","",IF($G883&lt;&gt;"",$G883,IFERROR(INDEX(ProcValor,MATCH($E883,ProcNome,0)),0)))</f>
        <v>0</v>
      </c>
      <c r="N883" s="27">
        <f>IF($M883="","",IF($F883="Compareceu",$M883,0))</f>
        <v>0</v>
      </c>
      <c r="O883" s="27">
        <f>IF($M883="","",IF($F883="Faltou",$M883,0))</f>
        <v>0</v>
      </c>
      <c r="P883" s="27">
        <f>IF($M883="","",IF($F883="Compareceu",MAX(0,$M883-N($H883)),0))</f>
        <v>0</v>
      </c>
      <c r="Q883" s="19">
        <f>IF(AND($F883="Compareceu",$E883&lt;&gt;"",$A883&lt;&gt;""),IF(IFERROR(INDEX(ProcRet,MATCH($E883,ProcNome,0)),0)&gt;0,$A883+INDEX(ProcRet,MATCH($E883,ProcNome,0)),""),"")</f>
        <v>0</v>
      </c>
      <c r="R883" s="26">
        <f>IF($Q883="","",IF(COUNTIFS(AgPac,$D883,AgData,"&gt;"&amp;$A883,AgStatus,"&lt;&gt;Cancelado",AgStatus,"&lt;&gt;Remarcado")&gt;0,"Sim","Não"))</f>
        <v>0</v>
      </c>
      <c r="S883" s="28">
        <f>IF($A883="","",IF(AND($F883="Agendado",$A883-Hoje&gt;=0,$A883-Hoje&lt;=DiasConf),"CONFIRMAR",IF(AND($A883&lt;Hoje,OR($F883="Agendado",$F883="Confirmado")),"Atualizar status",IF(AND($F883="Compareceu",$P883&gt;0.005),"Cobrar",IF($F883="Faltou","Falta: reagendar","")))))</f>
        <v>0</v>
      </c>
      <c r="T883" s="29">
        <f>IF($A883="","",DATE(YEAR($A883),MONTH($A883),1))</f>
        <v>0</v>
      </c>
      <c r="U883" s="30">
        <f>IF($S883="CONFIRMAR",MAX($U$4:$U882)+1,"")</f>
        <v>0</v>
      </c>
      <c r="V883" s="30">
        <f>IF(AND($R883="Não",$Q883&lt;&gt;"",$Q883&lt;=Hoje+JanelaRet,$Q883&gt;=Hoje-60),MAX($V$4:$V882)+1,"")</f>
        <v>0</v>
      </c>
    </row>
    <row r="884" spans="1:22">
      <c r="A884" s="16"/>
      <c r="B884" s="23"/>
      <c r="C884" s="15"/>
      <c r="D884" s="15"/>
      <c r="E884" s="15"/>
      <c r="F884" s="24"/>
      <c r="G884" s="17"/>
      <c r="H884" s="17"/>
      <c r="I884" s="15"/>
      <c r="J884" s="25">
        <f>IF($D884="","",IFERROR(INDEX(PacNome,MATCH($D884,PacCod,0)),"Paciente não cadastrado"))</f>
        <v>0</v>
      </c>
      <c r="K884" s="26">
        <f>IF($D884="","",IFERROR(INDEX(PacConv,MATCH($D884,PacCod,0))&amp;"",""))</f>
        <v>0</v>
      </c>
      <c r="L884" s="26">
        <f>IF($A884="","",CHOOSE(WEEKDAY($A884,2),"Seg","Ter","Qua","Qui","Sex","Sáb","Dom"))</f>
        <v>0</v>
      </c>
      <c r="M884" s="27">
        <f>IF($E884="","",IF($G884&lt;&gt;"",$G884,IFERROR(INDEX(ProcValor,MATCH($E884,ProcNome,0)),0)))</f>
        <v>0</v>
      </c>
      <c r="N884" s="27">
        <f>IF($M884="","",IF($F884="Compareceu",$M884,0))</f>
        <v>0</v>
      </c>
      <c r="O884" s="27">
        <f>IF($M884="","",IF($F884="Faltou",$M884,0))</f>
        <v>0</v>
      </c>
      <c r="P884" s="27">
        <f>IF($M884="","",IF($F884="Compareceu",MAX(0,$M884-N($H884)),0))</f>
        <v>0</v>
      </c>
      <c r="Q884" s="19">
        <f>IF(AND($F884="Compareceu",$E884&lt;&gt;"",$A884&lt;&gt;""),IF(IFERROR(INDEX(ProcRet,MATCH($E884,ProcNome,0)),0)&gt;0,$A884+INDEX(ProcRet,MATCH($E884,ProcNome,0)),""),"")</f>
        <v>0</v>
      </c>
      <c r="R884" s="26">
        <f>IF($Q884="","",IF(COUNTIFS(AgPac,$D884,AgData,"&gt;"&amp;$A884,AgStatus,"&lt;&gt;Cancelado",AgStatus,"&lt;&gt;Remarcado")&gt;0,"Sim","Não"))</f>
        <v>0</v>
      </c>
      <c r="S884" s="28">
        <f>IF($A884="","",IF(AND($F884="Agendado",$A884-Hoje&gt;=0,$A884-Hoje&lt;=DiasConf),"CONFIRMAR",IF(AND($A884&lt;Hoje,OR($F884="Agendado",$F884="Confirmado")),"Atualizar status",IF(AND($F884="Compareceu",$P884&gt;0.005),"Cobrar",IF($F884="Faltou","Falta: reagendar","")))))</f>
        <v>0</v>
      </c>
      <c r="T884" s="29">
        <f>IF($A884="","",DATE(YEAR($A884),MONTH($A884),1))</f>
        <v>0</v>
      </c>
      <c r="U884" s="30">
        <f>IF($S884="CONFIRMAR",MAX($U$4:$U883)+1,"")</f>
        <v>0</v>
      </c>
      <c r="V884" s="30">
        <f>IF(AND($R884="Não",$Q884&lt;&gt;"",$Q884&lt;=Hoje+JanelaRet,$Q884&gt;=Hoje-60),MAX($V$4:$V883)+1,"")</f>
        <v>0</v>
      </c>
    </row>
    <row r="885" spans="1:22">
      <c r="A885" s="16"/>
      <c r="B885" s="23"/>
      <c r="C885" s="15"/>
      <c r="D885" s="15"/>
      <c r="E885" s="15"/>
      <c r="F885" s="24"/>
      <c r="G885" s="17"/>
      <c r="H885" s="17"/>
      <c r="I885" s="15"/>
      <c r="J885" s="25">
        <f>IF($D885="","",IFERROR(INDEX(PacNome,MATCH($D885,PacCod,0)),"Paciente não cadastrado"))</f>
        <v>0</v>
      </c>
      <c r="K885" s="26">
        <f>IF($D885="","",IFERROR(INDEX(PacConv,MATCH($D885,PacCod,0))&amp;"",""))</f>
        <v>0</v>
      </c>
      <c r="L885" s="26">
        <f>IF($A885="","",CHOOSE(WEEKDAY($A885,2),"Seg","Ter","Qua","Qui","Sex","Sáb","Dom"))</f>
        <v>0</v>
      </c>
      <c r="M885" s="27">
        <f>IF($E885="","",IF($G885&lt;&gt;"",$G885,IFERROR(INDEX(ProcValor,MATCH($E885,ProcNome,0)),0)))</f>
        <v>0</v>
      </c>
      <c r="N885" s="27">
        <f>IF($M885="","",IF($F885="Compareceu",$M885,0))</f>
        <v>0</v>
      </c>
      <c r="O885" s="27">
        <f>IF($M885="","",IF($F885="Faltou",$M885,0))</f>
        <v>0</v>
      </c>
      <c r="P885" s="27">
        <f>IF($M885="","",IF($F885="Compareceu",MAX(0,$M885-N($H885)),0))</f>
        <v>0</v>
      </c>
      <c r="Q885" s="19">
        <f>IF(AND($F885="Compareceu",$E885&lt;&gt;"",$A885&lt;&gt;""),IF(IFERROR(INDEX(ProcRet,MATCH($E885,ProcNome,0)),0)&gt;0,$A885+INDEX(ProcRet,MATCH($E885,ProcNome,0)),""),"")</f>
        <v>0</v>
      </c>
      <c r="R885" s="26">
        <f>IF($Q885="","",IF(COUNTIFS(AgPac,$D885,AgData,"&gt;"&amp;$A885,AgStatus,"&lt;&gt;Cancelado",AgStatus,"&lt;&gt;Remarcado")&gt;0,"Sim","Não"))</f>
        <v>0</v>
      </c>
      <c r="S885" s="28">
        <f>IF($A885="","",IF(AND($F885="Agendado",$A885-Hoje&gt;=0,$A885-Hoje&lt;=DiasConf),"CONFIRMAR",IF(AND($A885&lt;Hoje,OR($F885="Agendado",$F885="Confirmado")),"Atualizar status",IF(AND($F885="Compareceu",$P885&gt;0.005),"Cobrar",IF($F885="Faltou","Falta: reagendar","")))))</f>
        <v>0</v>
      </c>
      <c r="T885" s="29">
        <f>IF($A885="","",DATE(YEAR($A885),MONTH($A885),1))</f>
        <v>0</v>
      </c>
      <c r="U885" s="30">
        <f>IF($S885="CONFIRMAR",MAX($U$4:$U884)+1,"")</f>
        <v>0</v>
      </c>
      <c r="V885" s="30">
        <f>IF(AND($R885="Não",$Q885&lt;&gt;"",$Q885&lt;=Hoje+JanelaRet,$Q885&gt;=Hoje-60),MAX($V$4:$V884)+1,"")</f>
        <v>0</v>
      </c>
    </row>
    <row r="886" spans="1:22">
      <c r="A886" s="16"/>
      <c r="B886" s="23"/>
      <c r="C886" s="15"/>
      <c r="D886" s="15"/>
      <c r="E886" s="15"/>
      <c r="F886" s="24"/>
      <c r="G886" s="17"/>
      <c r="H886" s="17"/>
      <c r="I886" s="15"/>
      <c r="J886" s="25">
        <f>IF($D886="","",IFERROR(INDEX(PacNome,MATCH($D886,PacCod,0)),"Paciente não cadastrado"))</f>
        <v>0</v>
      </c>
      <c r="K886" s="26">
        <f>IF($D886="","",IFERROR(INDEX(PacConv,MATCH($D886,PacCod,0))&amp;"",""))</f>
        <v>0</v>
      </c>
      <c r="L886" s="26">
        <f>IF($A886="","",CHOOSE(WEEKDAY($A886,2),"Seg","Ter","Qua","Qui","Sex","Sáb","Dom"))</f>
        <v>0</v>
      </c>
      <c r="M886" s="27">
        <f>IF($E886="","",IF($G886&lt;&gt;"",$G886,IFERROR(INDEX(ProcValor,MATCH($E886,ProcNome,0)),0)))</f>
        <v>0</v>
      </c>
      <c r="N886" s="27">
        <f>IF($M886="","",IF($F886="Compareceu",$M886,0))</f>
        <v>0</v>
      </c>
      <c r="O886" s="27">
        <f>IF($M886="","",IF($F886="Faltou",$M886,0))</f>
        <v>0</v>
      </c>
      <c r="P886" s="27">
        <f>IF($M886="","",IF($F886="Compareceu",MAX(0,$M886-N($H886)),0))</f>
        <v>0</v>
      </c>
      <c r="Q886" s="19">
        <f>IF(AND($F886="Compareceu",$E886&lt;&gt;"",$A886&lt;&gt;""),IF(IFERROR(INDEX(ProcRet,MATCH($E886,ProcNome,0)),0)&gt;0,$A886+INDEX(ProcRet,MATCH($E886,ProcNome,0)),""),"")</f>
        <v>0</v>
      </c>
      <c r="R886" s="26">
        <f>IF($Q886="","",IF(COUNTIFS(AgPac,$D886,AgData,"&gt;"&amp;$A886,AgStatus,"&lt;&gt;Cancelado",AgStatus,"&lt;&gt;Remarcado")&gt;0,"Sim","Não"))</f>
        <v>0</v>
      </c>
      <c r="S886" s="28">
        <f>IF($A886="","",IF(AND($F886="Agendado",$A886-Hoje&gt;=0,$A886-Hoje&lt;=DiasConf),"CONFIRMAR",IF(AND($A886&lt;Hoje,OR($F886="Agendado",$F886="Confirmado")),"Atualizar status",IF(AND($F886="Compareceu",$P886&gt;0.005),"Cobrar",IF($F886="Faltou","Falta: reagendar","")))))</f>
        <v>0</v>
      </c>
      <c r="T886" s="29">
        <f>IF($A886="","",DATE(YEAR($A886),MONTH($A886),1))</f>
        <v>0</v>
      </c>
      <c r="U886" s="30">
        <f>IF($S886="CONFIRMAR",MAX($U$4:$U885)+1,"")</f>
        <v>0</v>
      </c>
      <c r="V886" s="30">
        <f>IF(AND($R886="Não",$Q886&lt;&gt;"",$Q886&lt;=Hoje+JanelaRet,$Q886&gt;=Hoje-60),MAX($V$4:$V885)+1,"")</f>
        <v>0</v>
      </c>
    </row>
    <row r="887" spans="1:22">
      <c r="A887" s="16"/>
      <c r="B887" s="23"/>
      <c r="C887" s="15"/>
      <c r="D887" s="15"/>
      <c r="E887" s="15"/>
      <c r="F887" s="24"/>
      <c r="G887" s="17"/>
      <c r="H887" s="17"/>
      <c r="I887" s="15"/>
      <c r="J887" s="25">
        <f>IF($D887="","",IFERROR(INDEX(PacNome,MATCH($D887,PacCod,0)),"Paciente não cadastrado"))</f>
        <v>0</v>
      </c>
      <c r="K887" s="26">
        <f>IF($D887="","",IFERROR(INDEX(PacConv,MATCH($D887,PacCod,0))&amp;"",""))</f>
        <v>0</v>
      </c>
      <c r="L887" s="26">
        <f>IF($A887="","",CHOOSE(WEEKDAY($A887,2),"Seg","Ter","Qua","Qui","Sex","Sáb","Dom"))</f>
        <v>0</v>
      </c>
      <c r="M887" s="27">
        <f>IF($E887="","",IF($G887&lt;&gt;"",$G887,IFERROR(INDEX(ProcValor,MATCH($E887,ProcNome,0)),0)))</f>
        <v>0</v>
      </c>
      <c r="N887" s="27">
        <f>IF($M887="","",IF($F887="Compareceu",$M887,0))</f>
        <v>0</v>
      </c>
      <c r="O887" s="27">
        <f>IF($M887="","",IF($F887="Faltou",$M887,0))</f>
        <v>0</v>
      </c>
      <c r="P887" s="27">
        <f>IF($M887="","",IF($F887="Compareceu",MAX(0,$M887-N($H887)),0))</f>
        <v>0</v>
      </c>
      <c r="Q887" s="19">
        <f>IF(AND($F887="Compareceu",$E887&lt;&gt;"",$A887&lt;&gt;""),IF(IFERROR(INDEX(ProcRet,MATCH($E887,ProcNome,0)),0)&gt;0,$A887+INDEX(ProcRet,MATCH($E887,ProcNome,0)),""),"")</f>
        <v>0</v>
      </c>
      <c r="R887" s="26">
        <f>IF($Q887="","",IF(COUNTIFS(AgPac,$D887,AgData,"&gt;"&amp;$A887,AgStatus,"&lt;&gt;Cancelado",AgStatus,"&lt;&gt;Remarcado")&gt;0,"Sim","Não"))</f>
        <v>0</v>
      </c>
      <c r="S887" s="28">
        <f>IF($A887="","",IF(AND($F887="Agendado",$A887-Hoje&gt;=0,$A887-Hoje&lt;=DiasConf),"CONFIRMAR",IF(AND($A887&lt;Hoje,OR($F887="Agendado",$F887="Confirmado")),"Atualizar status",IF(AND($F887="Compareceu",$P887&gt;0.005),"Cobrar",IF($F887="Faltou","Falta: reagendar","")))))</f>
        <v>0</v>
      </c>
      <c r="T887" s="29">
        <f>IF($A887="","",DATE(YEAR($A887),MONTH($A887),1))</f>
        <v>0</v>
      </c>
      <c r="U887" s="30">
        <f>IF($S887="CONFIRMAR",MAX($U$4:$U886)+1,"")</f>
        <v>0</v>
      </c>
      <c r="V887" s="30">
        <f>IF(AND($R887="Não",$Q887&lt;&gt;"",$Q887&lt;=Hoje+JanelaRet,$Q887&gt;=Hoje-60),MAX($V$4:$V886)+1,"")</f>
        <v>0</v>
      </c>
    </row>
    <row r="888" spans="1:22">
      <c r="A888" s="16"/>
      <c r="B888" s="23"/>
      <c r="C888" s="15"/>
      <c r="D888" s="15"/>
      <c r="E888" s="15"/>
      <c r="F888" s="24"/>
      <c r="G888" s="17"/>
      <c r="H888" s="17"/>
      <c r="I888" s="15"/>
      <c r="J888" s="25">
        <f>IF($D888="","",IFERROR(INDEX(PacNome,MATCH($D888,PacCod,0)),"Paciente não cadastrado"))</f>
        <v>0</v>
      </c>
      <c r="K888" s="26">
        <f>IF($D888="","",IFERROR(INDEX(PacConv,MATCH($D888,PacCod,0))&amp;"",""))</f>
        <v>0</v>
      </c>
      <c r="L888" s="26">
        <f>IF($A888="","",CHOOSE(WEEKDAY($A888,2),"Seg","Ter","Qua","Qui","Sex","Sáb","Dom"))</f>
        <v>0</v>
      </c>
      <c r="M888" s="27">
        <f>IF($E888="","",IF($G888&lt;&gt;"",$G888,IFERROR(INDEX(ProcValor,MATCH($E888,ProcNome,0)),0)))</f>
        <v>0</v>
      </c>
      <c r="N888" s="27">
        <f>IF($M888="","",IF($F888="Compareceu",$M888,0))</f>
        <v>0</v>
      </c>
      <c r="O888" s="27">
        <f>IF($M888="","",IF($F888="Faltou",$M888,0))</f>
        <v>0</v>
      </c>
      <c r="P888" s="27">
        <f>IF($M888="","",IF($F888="Compareceu",MAX(0,$M888-N($H888)),0))</f>
        <v>0</v>
      </c>
      <c r="Q888" s="19">
        <f>IF(AND($F888="Compareceu",$E888&lt;&gt;"",$A888&lt;&gt;""),IF(IFERROR(INDEX(ProcRet,MATCH($E888,ProcNome,0)),0)&gt;0,$A888+INDEX(ProcRet,MATCH($E888,ProcNome,0)),""),"")</f>
        <v>0</v>
      </c>
      <c r="R888" s="26">
        <f>IF($Q888="","",IF(COUNTIFS(AgPac,$D888,AgData,"&gt;"&amp;$A888,AgStatus,"&lt;&gt;Cancelado",AgStatus,"&lt;&gt;Remarcado")&gt;0,"Sim","Não"))</f>
        <v>0</v>
      </c>
      <c r="S888" s="28">
        <f>IF($A888="","",IF(AND($F888="Agendado",$A888-Hoje&gt;=0,$A888-Hoje&lt;=DiasConf),"CONFIRMAR",IF(AND($A888&lt;Hoje,OR($F888="Agendado",$F888="Confirmado")),"Atualizar status",IF(AND($F888="Compareceu",$P888&gt;0.005),"Cobrar",IF($F888="Faltou","Falta: reagendar","")))))</f>
        <v>0</v>
      </c>
      <c r="T888" s="29">
        <f>IF($A888="","",DATE(YEAR($A888),MONTH($A888),1))</f>
        <v>0</v>
      </c>
      <c r="U888" s="30">
        <f>IF($S888="CONFIRMAR",MAX($U$4:$U887)+1,"")</f>
        <v>0</v>
      </c>
      <c r="V888" s="30">
        <f>IF(AND($R888="Não",$Q888&lt;&gt;"",$Q888&lt;=Hoje+JanelaRet,$Q888&gt;=Hoje-60),MAX($V$4:$V887)+1,"")</f>
        <v>0</v>
      </c>
    </row>
    <row r="889" spans="1:22">
      <c r="A889" s="16"/>
      <c r="B889" s="23"/>
      <c r="C889" s="15"/>
      <c r="D889" s="15"/>
      <c r="E889" s="15"/>
      <c r="F889" s="24"/>
      <c r="G889" s="17"/>
      <c r="H889" s="17"/>
      <c r="I889" s="15"/>
      <c r="J889" s="25">
        <f>IF($D889="","",IFERROR(INDEX(PacNome,MATCH($D889,PacCod,0)),"Paciente não cadastrado"))</f>
        <v>0</v>
      </c>
      <c r="K889" s="26">
        <f>IF($D889="","",IFERROR(INDEX(PacConv,MATCH($D889,PacCod,0))&amp;"",""))</f>
        <v>0</v>
      </c>
      <c r="L889" s="26">
        <f>IF($A889="","",CHOOSE(WEEKDAY($A889,2),"Seg","Ter","Qua","Qui","Sex","Sáb","Dom"))</f>
        <v>0</v>
      </c>
      <c r="M889" s="27">
        <f>IF($E889="","",IF($G889&lt;&gt;"",$G889,IFERROR(INDEX(ProcValor,MATCH($E889,ProcNome,0)),0)))</f>
        <v>0</v>
      </c>
      <c r="N889" s="27">
        <f>IF($M889="","",IF($F889="Compareceu",$M889,0))</f>
        <v>0</v>
      </c>
      <c r="O889" s="27">
        <f>IF($M889="","",IF($F889="Faltou",$M889,0))</f>
        <v>0</v>
      </c>
      <c r="P889" s="27">
        <f>IF($M889="","",IF($F889="Compareceu",MAX(0,$M889-N($H889)),0))</f>
        <v>0</v>
      </c>
      <c r="Q889" s="19">
        <f>IF(AND($F889="Compareceu",$E889&lt;&gt;"",$A889&lt;&gt;""),IF(IFERROR(INDEX(ProcRet,MATCH($E889,ProcNome,0)),0)&gt;0,$A889+INDEX(ProcRet,MATCH($E889,ProcNome,0)),""),"")</f>
        <v>0</v>
      </c>
      <c r="R889" s="26">
        <f>IF($Q889="","",IF(COUNTIFS(AgPac,$D889,AgData,"&gt;"&amp;$A889,AgStatus,"&lt;&gt;Cancelado",AgStatus,"&lt;&gt;Remarcado")&gt;0,"Sim","Não"))</f>
        <v>0</v>
      </c>
      <c r="S889" s="28">
        <f>IF($A889="","",IF(AND($F889="Agendado",$A889-Hoje&gt;=0,$A889-Hoje&lt;=DiasConf),"CONFIRMAR",IF(AND($A889&lt;Hoje,OR($F889="Agendado",$F889="Confirmado")),"Atualizar status",IF(AND($F889="Compareceu",$P889&gt;0.005),"Cobrar",IF($F889="Faltou","Falta: reagendar","")))))</f>
        <v>0</v>
      </c>
      <c r="T889" s="29">
        <f>IF($A889="","",DATE(YEAR($A889),MONTH($A889),1))</f>
        <v>0</v>
      </c>
      <c r="U889" s="30">
        <f>IF($S889="CONFIRMAR",MAX($U$4:$U888)+1,"")</f>
        <v>0</v>
      </c>
      <c r="V889" s="30">
        <f>IF(AND($R889="Não",$Q889&lt;&gt;"",$Q889&lt;=Hoje+JanelaRet,$Q889&gt;=Hoje-60),MAX($V$4:$V888)+1,"")</f>
        <v>0</v>
      </c>
    </row>
    <row r="890" spans="1:22">
      <c r="A890" s="16"/>
      <c r="B890" s="23"/>
      <c r="C890" s="15"/>
      <c r="D890" s="15"/>
      <c r="E890" s="15"/>
      <c r="F890" s="24"/>
      <c r="G890" s="17"/>
      <c r="H890" s="17"/>
      <c r="I890" s="15"/>
      <c r="J890" s="25">
        <f>IF($D890="","",IFERROR(INDEX(PacNome,MATCH($D890,PacCod,0)),"Paciente não cadastrado"))</f>
        <v>0</v>
      </c>
      <c r="K890" s="26">
        <f>IF($D890="","",IFERROR(INDEX(PacConv,MATCH($D890,PacCod,0))&amp;"",""))</f>
        <v>0</v>
      </c>
      <c r="L890" s="26">
        <f>IF($A890="","",CHOOSE(WEEKDAY($A890,2),"Seg","Ter","Qua","Qui","Sex","Sáb","Dom"))</f>
        <v>0</v>
      </c>
      <c r="M890" s="27">
        <f>IF($E890="","",IF($G890&lt;&gt;"",$G890,IFERROR(INDEX(ProcValor,MATCH($E890,ProcNome,0)),0)))</f>
        <v>0</v>
      </c>
      <c r="N890" s="27">
        <f>IF($M890="","",IF($F890="Compareceu",$M890,0))</f>
        <v>0</v>
      </c>
      <c r="O890" s="27">
        <f>IF($M890="","",IF($F890="Faltou",$M890,0))</f>
        <v>0</v>
      </c>
      <c r="P890" s="27">
        <f>IF($M890="","",IF($F890="Compareceu",MAX(0,$M890-N($H890)),0))</f>
        <v>0</v>
      </c>
      <c r="Q890" s="19">
        <f>IF(AND($F890="Compareceu",$E890&lt;&gt;"",$A890&lt;&gt;""),IF(IFERROR(INDEX(ProcRet,MATCH($E890,ProcNome,0)),0)&gt;0,$A890+INDEX(ProcRet,MATCH($E890,ProcNome,0)),""),"")</f>
        <v>0</v>
      </c>
      <c r="R890" s="26">
        <f>IF($Q890="","",IF(COUNTIFS(AgPac,$D890,AgData,"&gt;"&amp;$A890,AgStatus,"&lt;&gt;Cancelado",AgStatus,"&lt;&gt;Remarcado")&gt;0,"Sim","Não"))</f>
        <v>0</v>
      </c>
      <c r="S890" s="28">
        <f>IF($A890="","",IF(AND($F890="Agendado",$A890-Hoje&gt;=0,$A890-Hoje&lt;=DiasConf),"CONFIRMAR",IF(AND($A890&lt;Hoje,OR($F890="Agendado",$F890="Confirmado")),"Atualizar status",IF(AND($F890="Compareceu",$P890&gt;0.005),"Cobrar",IF($F890="Faltou","Falta: reagendar","")))))</f>
        <v>0</v>
      </c>
      <c r="T890" s="29">
        <f>IF($A890="","",DATE(YEAR($A890),MONTH($A890),1))</f>
        <v>0</v>
      </c>
      <c r="U890" s="30">
        <f>IF($S890="CONFIRMAR",MAX($U$4:$U889)+1,"")</f>
        <v>0</v>
      </c>
      <c r="V890" s="30">
        <f>IF(AND($R890="Não",$Q890&lt;&gt;"",$Q890&lt;=Hoje+JanelaRet,$Q890&gt;=Hoje-60),MAX($V$4:$V889)+1,"")</f>
        <v>0</v>
      </c>
    </row>
    <row r="891" spans="1:22">
      <c r="A891" s="16"/>
      <c r="B891" s="23"/>
      <c r="C891" s="15"/>
      <c r="D891" s="15"/>
      <c r="E891" s="15"/>
      <c r="F891" s="24"/>
      <c r="G891" s="17"/>
      <c r="H891" s="17"/>
      <c r="I891" s="15"/>
      <c r="J891" s="25">
        <f>IF($D891="","",IFERROR(INDEX(PacNome,MATCH($D891,PacCod,0)),"Paciente não cadastrado"))</f>
        <v>0</v>
      </c>
      <c r="K891" s="26">
        <f>IF($D891="","",IFERROR(INDEX(PacConv,MATCH($D891,PacCod,0))&amp;"",""))</f>
        <v>0</v>
      </c>
      <c r="L891" s="26">
        <f>IF($A891="","",CHOOSE(WEEKDAY($A891,2),"Seg","Ter","Qua","Qui","Sex","Sáb","Dom"))</f>
        <v>0</v>
      </c>
      <c r="M891" s="27">
        <f>IF($E891="","",IF($G891&lt;&gt;"",$G891,IFERROR(INDEX(ProcValor,MATCH($E891,ProcNome,0)),0)))</f>
        <v>0</v>
      </c>
      <c r="N891" s="27">
        <f>IF($M891="","",IF($F891="Compareceu",$M891,0))</f>
        <v>0</v>
      </c>
      <c r="O891" s="27">
        <f>IF($M891="","",IF($F891="Faltou",$M891,0))</f>
        <v>0</v>
      </c>
      <c r="P891" s="27">
        <f>IF($M891="","",IF($F891="Compareceu",MAX(0,$M891-N($H891)),0))</f>
        <v>0</v>
      </c>
      <c r="Q891" s="19">
        <f>IF(AND($F891="Compareceu",$E891&lt;&gt;"",$A891&lt;&gt;""),IF(IFERROR(INDEX(ProcRet,MATCH($E891,ProcNome,0)),0)&gt;0,$A891+INDEX(ProcRet,MATCH($E891,ProcNome,0)),""),"")</f>
        <v>0</v>
      </c>
      <c r="R891" s="26">
        <f>IF($Q891="","",IF(COUNTIFS(AgPac,$D891,AgData,"&gt;"&amp;$A891,AgStatus,"&lt;&gt;Cancelado",AgStatus,"&lt;&gt;Remarcado")&gt;0,"Sim","Não"))</f>
        <v>0</v>
      </c>
      <c r="S891" s="28">
        <f>IF($A891="","",IF(AND($F891="Agendado",$A891-Hoje&gt;=0,$A891-Hoje&lt;=DiasConf),"CONFIRMAR",IF(AND($A891&lt;Hoje,OR($F891="Agendado",$F891="Confirmado")),"Atualizar status",IF(AND($F891="Compareceu",$P891&gt;0.005),"Cobrar",IF($F891="Faltou","Falta: reagendar","")))))</f>
        <v>0</v>
      </c>
      <c r="T891" s="29">
        <f>IF($A891="","",DATE(YEAR($A891),MONTH($A891),1))</f>
        <v>0</v>
      </c>
      <c r="U891" s="30">
        <f>IF($S891="CONFIRMAR",MAX($U$4:$U890)+1,"")</f>
        <v>0</v>
      </c>
      <c r="V891" s="30">
        <f>IF(AND($R891="Não",$Q891&lt;&gt;"",$Q891&lt;=Hoje+JanelaRet,$Q891&gt;=Hoje-60),MAX($V$4:$V890)+1,"")</f>
        <v>0</v>
      </c>
    </row>
    <row r="892" spans="1:22">
      <c r="A892" s="16"/>
      <c r="B892" s="23"/>
      <c r="C892" s="15"/>
      <c r="D892" s="15"/>
      <c r="E892" s="15"/>
      <c r="F892" s="24"/>
      <c r="G892" s="17"/>
      <c r="H892" s="17"/>
      <c r="I892" s="15"/>
      <c r="J892" s="25">
        <f>IF($D892="","",IFERROR(INDEX(PacNome,MATCH($D892,PacCod,0)),"Paciente não cadastrado"))</f>
        <v>0</v>
      </c>
      <c r="K892" s="26">
        <f>IF($D892="","",IFERROR(INDEX(PacConv,MATCH($D892,PacCod,0))&amp;"",""))</f>
        <v>0</v>
      </c>
      <c r="L892" s="26">
        <f>IF($A892="","",CHOOSE(WEEKDAY($A892,2),"Seg","Ter","Qua","Qui","Sex","Sáb","Dom"))</f>
        <v>0</v>
      </c>
      <c r="M892" s="27">
        <f>IF($E892="","",IF($G892&lt;&gt;"",$G892,IFERROR(INDEX(ProcValor,MATCH($E892,ProcNome,0)),0)))</f>
        <v>0</v>
      </c>
      <c r="N892" s="27">
        <f>IF($M892="","",IF($F892="Compareceu",$M892,0))</f>
        <v>0</v>
      </c>
      <c r="O892" s="27">
        <f>IF($M892="","",IF($F892="Faltou",$M892,0))</f>
        <v>0</v>
      </c>
      <c r="P892" s="27">
        <f>IF($M892="","",IF($F892="Compareceu",MAX(0,$M892-N($H892)),0))</f>
        <v>0</v>
      </c>
      <c r="Q892" s="19">
        <f>IF(AND($F892="Compareceu",$E892&lt;&gt;"",$A892&lt;&gt;""),IF(IFERROR(INDEX(ProcRet,MATCH($E892,ProcNome,0)),0)&gt;0,$A892+INDEX(ProcRet,MATCH($E892,ProcNome,0)),""),"")</f>
        <v>0</v>
      </c>
      <c r="R892" s="26">
        <f>IF($Q892="","",IF(COUNTIFS(AgPac,$D892,AgData,"&gt;"&amp;$A892,AgStatus,"&lt;&gt;Cancelado",AgStatus,"&lt;&gt;Remarcado")&gt;0,"Sim","Não"))</f>
        <v>0</v>
      </c>
      <c r="S892" s="28">
        <f>IF($A892="","",IF(AND($F892="Agendado",$A892-Hoje&gt;=0,$A892-Hoje&lt;=DiasConf),"CONFIRMAR",IF(AND($A892&lt;Hoje,OR($F892="Agendado",$F892="Confirmado")),"Atualizar status",IF(AND($F892="Compareceu",$P892&gt;0.005),"Cobrar",IF($F892="Faltou","Falta: reagendar","")))))</f>
        <v>0</v>
      </c>
      <c r="T892" s="29">
        <f>IF($A892="","",DATE(YEAR($A892),MONTH($A892),1))</f>
        <v>0</v>
      </c>
      <c r="U892" s="30">
        <f>IF($S892="CONFIRMAR",MAX($U$4:$U891)+1,"")</f>
        <v>0</v>
      </c>
      <c r="V892" s="30">
        <f>IF(AND($R892="Não",$Q892&lt;&gt;"",$Q892&lt;=Hoje+JanelaRet,$Q892&gt;=Hoje-60),MAX($V$4:$V891)+1,"")</f>
        <v>0</v>
      </c>
    </row>
    <row r="893" spans="1:22">
      <c r="A893" s="16"/>
      <c r="B893" s="23"/>
      <c r="C893" s="15"/>
      <c r="D893" s="15"/>
      <c r="E893" s="15"/>
      <c r="F893" s="24"/>
      <c r="G893" s="17"/>
      <c r="H893" s="17"/>
      <c r="I893" s="15"/>
      <c r="J893" s="25">
        <f>IF($D893="","",IFERROR(INDEX(PacNome,MATCH($D893,PacCod,0)),"Paciente não cadastrado"))</f>
        <v>0</v>
      </c>
      <c r="K893" s="26">
        <f>IF($D893="","",IFERROR(INDEX(PacConv,MATCH($D893,PacCod,0))&amp;"",""))</f>
        <v>0</v>
      </c>
      <c r="L893" s="26">
        <f>IF($A893="","",CHOOSE(WEEKDAY($A893,2),"Seg","Ter","Qua","Qui","Sex","Sáb","Dom"))</f>
        <v>0</v>
      </c>
      <c r="M893" s="27">
        <f>IF($E893="","",IF($G893&lt;&gt;"",$G893,IFERROR(INDEX(ProcValor,MATCH($E893,ProcNome,0)),0)))</f>
        <v>0</v>
      </c>
      <c r="N893" s="27">
        <f>IF($M893="","",IF($F893="Compareceu",$M893,0))</f>
        <v>0</v>
      </c>
      <c r="O893" s="27">
        <f>IF($M893="","",IF($F893="Faltou",$M893,0))</f>
        <v>0</v>
      </c>
      <c r="P893" s="27">
        <f>IF($M893="","",IF($F893="Compareceu",MAX(0,$M893-N($H893)),0))</f>
        <v>0</v>
      </c>
      <c r="Q893" s="19">
        <f>IF(AND($F893="Compareceu",$E893&lt;&gt;"",$A893&lt;&gt;""),IF(IFERROR(INDEX(ProcRet,MATCH($E893,ProcNome,0)),0)&gt;0,$A893+INDEX(ProcRet,MATCH($E893,ProcNome,0)),""),"")</f>
        <v>0</v>
      </c>
      <c r="R893" s="26">
        <f>IF($Q893="","",IF(COUNTIFS(AgPac,$D893,AgData,"&gt;"&amp;$A893,AgStatus,"&lt;&gt;Cancelado",AgStatus,"&lt;&gt;Remarcado")&gt;0,"Sim","Não"))</f>
        <v>0</v>
      </c>
      <c r="S893" s="28">
        <f>IF($A893="","",IF(AND($F893="Agendado",$A893-Hoje&gt;=0,$A893-Hoje&lt;=DiasConf),"CONFIRMAR",IF(AND($A893&lt;Hoje,OR($F893="Agendado",$F893="Confirmado")),"Atualizar status",IF(AND($F893="Compareceu",$P893&gt;0.005),"Cobrar",IF($F893="Faltou","Falta: reagendar","")))))</f>
        <v>0</v>
      </c>
      <c r="T893" s="29">
        <f>IF($A893="","",DATE(YEAR($A893),MONTH($A893),1))</f>
        <v>0</v>
      </c>
      <c r="U893" s="30">
        <f>IF($S893="CONFIRMAR",MAX($U$4:$U892)+1,"")</f>
        <v>0</v>
      </c>
      <c r="V893" s="30">
        <f>IF(AND($R893="Não",$Q893&lt;&gt;"",$Q893&lt;=Hoje+JanelaRet,$Q893&gt;=Hoje-60),MAX($V$4:$V892)+1,"")</f>
        <v>0</v>
      </c>
    </row>
    <row r="894" spans="1:22">
      <c r="A894" s="16"/>
      <c r="B894" s="23"/>
      <c r="C894" s="15"/>
      <c r="D894" s="15"/>
      <c r="E894" s="15"/>
      <c r="F894" s="24"/>
      <c r="G894" s="17"/>
      <c r="H894" s="17"/>
      <c r="I894" s="15"/>
      <c r="J894" s="25">
        <f>IF($D894="","",IFERROR(INDEX(PacNome,MATCH($D894,PacCod,0)),"Paciente não cadastrado"))</f>
        <v>0</v>
      </c>
      <c r="K894" s="26">
        <f>IF($D894="","",IFERROR(INDEX(PacConv,MATCH($D894,PacCod,0))&amp;"",""))</f>
        <v>0</v>
      </c>
      <c r="L894" s="26">
        <f>IF($A894="","",CHOOSE(WEEKDAY($A894,2),"Seg","Ter","Qua","Qui","Sex","Sáb","Dom"))</f>
        <v>0</v>
      </c>
      <c r="M894" s="27">
        <f>IF($E894="","",IF($G894&lt;&gt;"",$G894,IFERROR(INDEX(ProcValor,MATCH($E894,ProcNome,0)),0)))</f>
        <v>0</v>
      </c>
      <c r="N894" s="27">
        <f>IF($M894="","",IF($F894="Compareceu",$M894,0))</f>
        <v>0</v>
      </c>
      <c r="O894" s="27">
        <f>IF($M894="","",IF($F894="Faltou",$M894,0))</f>
        <v>0</v>
      </c>
      <c r="P894" s="27">
        <f>IF($M894="","",IF($F894="Compareceu",MAX(0,$M894-N($H894)),0))</f>
        <v>0</v>
      </c>
      <c r="Q894" s="19">
        <f>IF(AND($F894="Compareceu",$E894&lt;&gt;"",$A894&lt;&gt;""),IF(IFERROR(INDEX(ProcRet,MATCH($E894,ProcNome,0)),0)&gt;0,$A894+INDEX(ProcRet,MATCH($E894,ProcNome,0)),""),"")</f>
        <v>0</v>
      </c>
      <c r="R894" s="26">
        <f>IF($Q894="","",IF(COUNTIFS(AgPac,$D894,AgData,"&gt;"&amp;$A894,AgStatus,"&lt;&gt;Cancelado",AgStatus,"&lt;&gt;Remarcado")&gt;0,"Sim","Não"))</f>
        <v>0</v>
      </c>
      <c r="S894" s="28">
        <f>IF($A894="","",IF(AND($F894="Agendado",$A894-Hoje&gt;=0,$A894-Hoje&lt;=DiasConf),"CONFIRMAR",IF(AND($A894&lt;Hoje,OR($F894="Agendado",$F894="Confirmado")),"Atualizar status",IF(AND($F894="Compareceu",$P894&gt;0.005),"Cobrar",IF($F894="Faltou","Falta: reagendar","")))))</f>
        <v>0</v>
      </c>
      <c r="T894" s="29">
        <f>IF($A894="","",DATE(YEAR($A894),MONTH($A894),1))</f>
        <v>0</v>
      </c>
      <c r="U894" s="30">
        <f>IF($S894="CONFIRMAR",MAX($U$4:$U893)+1,"")</f>
        <v>0</v>
      </c>
      <c r="V894" s="30">
        <f>IF(AND($R894="Não",$Q894&lt;&gt;"",$Q894&lt;=Hoje+JanelaRet,$Q894&gt;=Hoje-60),MAX($V$4:$V893)+1,"")</f>
        <v>0</v>
      </c>
    </row>
    <row r="895" spans="1:22">
      <c r="A895" s="16"/>
      <c r="B895" s="23"/>
      <c r="C895" s="15"/>
      <c r="D895" s="15"/>
      <c r="E895" s="15"/>
      <c r="F895" s="24"/>
      <c r="G895" s="17"/>
      <c r="H895" s="17"/>
      <c r="I895" s="15"/>
      <c r="J895" s="25">
        <f>IF($D895="","",IFERROR(INDEX(PacNome,MATCH($D895,PacCod,0)),"Paciente não cadastrado"))</f>
        <v>0</v>
      </c>
      <c r="K895" s="26">
        <f>IF($D895="","",IFERROR(INDEX(PacConv,MATCH($D895,PacCod,0))&amp;"",""))</f>
        <v>0</v>
      </c>
      <c r="L895" s="26">
        <f>IF($A895="","",CHOOSE(WEEKDAY($A895,2),"Seg","Ter","Qua","Qui","Sex","Sáb","Dom"))</f>
        <v>0</v>
      </c>
      <c r="M895" s="27">
        <f>IF($E895="","",IF($G895&lt;&gt;"",$G895,IFERROR(INDEX(ProcValor,MATCH($E895,ProcNome,0)),0)))</f>
        <v>0</v>
      </c>
      <c r="N895" s="27">
        <f>IF($M895="","",IF($F895="Compareceu",$M895,0))</f>
        <v>0</v>
      </c>
      <c r="O895" s="27">
        <f>IF($M895="","",IF($F895="Faltou",$M895,0))</f>
        <v>0</v>
      </c>
      <c r="P895" s="27">
        <f>IF($M895="","",IF($F895="Compareceu",MAX(0,$M895-N($H895)),0))</f>
        <v>0</v>
      </c>
      <c r="Q895" s="19">
        <f>IF(AND($F895="Compareceu",$E895&lt;&gt;"",$A895&lt;&gt;""),IF(IFERROR(INDEX(ProcRet,MATCH($E895,ProcNome,0)),0)&gt;0,$A895+INDEX(ProcRet,MATCH($E895,ProcNome,0)),""),"")</f>
        <v>0</v>
      </c>
      <c r="R895" s="26">
        <f>IF($Q895="","",IF(COUNTIFS(AgPac,$D895,AgData,"&gt;"&amp;$A895,AgStatus,"&lt;&gt;Cancelado",AgStatus,"&lt;&gt;Remarcado")&gt;0,"Sim","Não"))</f>
        <v>0</v>
      </c>
      <c r="S895" s="28">
        <f>IF($A895="","",IF(AND($F895="Agendado",$A895-Hoje&gt;=0,$A895-Hoje&lt;=DiasConf),"CONFIRMAR",IF(AND($A895&lt;Hoje,OR($F895="Agendado",$F895="Confirmado")),"Atualizar status",IF(AND($F895="Compareceu",$P895&gt;0.005),"Cobrar",IF($F895="Faltou","Falta: reagendar","")))))</f>
        <v>0</v>
      </c>
      <c r="T895" s="29">
        <f>IF($A895="","",DATE(YEAR($A895),MONTH($A895),1))</f>
        <v>0</v>
      </c>
      <c r="U895" s="30">
        <f>IF($S895="CONFIRMAR",MAX($U$4:$U894)+1,"")</f>
        <v>0</v>
      </c>
      <c r="V895" s="30">
        <f>IF(AND($R895="Não",$Q895&lt;&gt;"",$Q895&lt;=Hoje+JanelaRet,$Q895&gt;=Hoje-60),MAX($V$4:$V894)+1,"")</f>
        <v>0</v>
      </c>
    </row>
    <row r="896" spans="1:22">
      <c r="A896" s="16"/>
      <c r="B896" s="23"/>
      <c r="C896" s="15"/>
      <c r="D896" s="15"/>
      <c r="E896" s="15"/>
      <c r="F896" s="24"/>
      <c r="G896" s="17"/>
      <c r="H896" s="17"/>
      <c r="I896" s="15"/>
      <c r="J896" s="25">
        <f>IF($D896="","",IFERROR(INDEX(PacNome,MATCH($D896,PacCod,0)),"Paciente não cadastrado"))</f>
        <v>0</v>
      </c>
      <c r="K896" s="26">
        <f>IF($D896="","",IFERROR(INDEX(PacConv,MATCH($D896,PacCod,0))&amp;"",""))</f>
        <v>0</v>
      </c>
      <c r="L896" s="26">
        <f>IF($A896="","",CHOOSE(WEEKDAY($A896,2),"Seg","Ter","Qua","Qui","Sex","Sáb","Dom"))</f>
        <v>0</v>
      </c>
      <c r="M896" s="27">
        <f>IF($E896="","",IF($G896&lt;&gt;"",$G896,IFERROR(INDEX(ProcValor,MATCH($E896,ProcNome,0)),0)))</f>
        <v>0</v>
      </c>
      <c r="N896" s="27">
        <f>IF($M896="","",IF($F896="Compareceu",$M896,0))</f>
        <v>0</v>
      </c>
      <c r="O896" s="27">
        <f>IF($M896="","",IF($F896="Faltou",$M896,0))</f>
        <v>0</v>
      </c>
      <c r="P896" s="27">
        <f>IF($M896="","",IF($F896="Compareceu",MAX(0,$M896-N($H896)),0))</f>
        <v>0</v>
      </c>
      <c r="Q896" s="19">
        <f>IF(AND($F896="Compareceu",$E896&lt;&gt;"",$A896&lt;&gt;""),IF(IFERROR(INDEX(ProcRet,MATCH($E896,ProcNome,0)),0)&gt;0,$A896+INDEX(ProcRet,MATCH($E896,ProcNome,0)),""),"")</f>
        <v>0</v>
      </c>
      <c r="R896" s="26">
        <f>IF($Q896="","",IF(COUNTIFS(AgPac,$D896,AgData,"&gt;"&amp;$A896,AgStatus,"&lt;&gt;Cancelado",AgStatus,"&lt;&gt;Remarcado")&gt;0,"Sim","Não"))</f>
        <v>0</v>
      </c>
      <c r="S896" s="28">
        <f>IF($A896="","",IF(AND($F896="Agendado",$A896-Hoje&gt;=0,$A896-Hoje&lt;=DiasConf),"CONFIRMAR",IF(AND($A896&lt;Hoje,OR($F896="Agendado",$F896="Confirmado")),"Atualizar status",IF(AND($F896="Compareceu",$P896&gt;0.005),"Cobrar",IF($F896="Faltou","Falta: reagendar","")))))</f>
        <v>0</v>
      </c>
      <c r="T896" s="29">
        <f>IF($A896="","",DATE(YEAR($A896),MONTH($A896),1))</f>
        <v>0</v>
      </c>
      <c r="U896" s="30">
        <f>IF($S896="CONFIRMAR",MAX($U$4:$U895)+1,"")</f>
        <v>0</v>
      </c>
      <c r="V896" s="30">
        <f>IF(AND($R896="Não",$Q896&lt;&gt;"",$Q896&lt;=Hoje+JanelaRet,$Q896&gt;=Hoje-60),MAX($V$4:$V895)+1,"")</f>
        <v>0</v>
      </c>
    </row>
    <row r="897" spans="1:22">
      <c r="A897" s="16"/>
      <c r="B897" s="23"/>
      <c r="C897" s="15"/>
      <c r="D897" s="15"/>
      <c r="E897" s="15"/>
      <c r="F897" s="24"/>
      <c r="G897" s="17"/>
      <c r="H897" s="17"/>
      <c r="I897" s="15"/>
      <c r="J897" s="25">
        <f>IF($D897="","",IFERROR(INDEX(PacNome,MATCH($D897,PacCod,0)),"Paciente não cadastrado"))</f>
        <v>0</v>
      </c>
      <c r="K897" s="26">
        <f>IF($D897="","",IFERROR(INDEX(PacConv,MATCH($D897,PacCod,0))&amp;"",""))</f>
        <v>0</v>
      </c>
      <c r="L897" s="26">
        <f>IF($A897="","",CHOOSE(WEEKDAY($A897,2),"Seg","Ter","Qua","Qui","Sex","Sáb","Dom"))</f>
        <v>0</v>
      </c>
      <c r="M897" s="27">
        <f>IF($E897="","",IF($G897&lt;&gt;"",$G897,IFERROR(INDEX(ProcValor,MATCH($E897,ProcNome,0)),0)))</f>
        <v>0</v>
      </c>
      <c r="N897" s="27">
        <f>IF($M897="","",IF($F897="Compareceu",$M897,0))</f>
        <v>0</v>
      </c>
      <c r="O897" s="27">
        <f>IF($M897="","",IF($F897="Faltou",$M897,0))</f>
        <v>0</v>
      </c>
      <c r="P897" s="27">
        <f>IF($M897="","",IF($F897="Compareceu",MAX(0,$M897-N($H897)),0))</f>
        <v>0</v>
      </c>
      <c r="Q897" s="19">
        <f>IF(AND($F897="Compareceu",$E897&lt;&gt;"",$A897&lt;&gt;""),IF(IFERROR(INDEX(ProcRet,MATCH($E897,ProcNome,0)),0)&gt;0,$A897+INDEX(ProcRet,MATCH($E897,ProcNome,0)),""),"")</f>
        <v>0</v>
      </c>
      <c r="R897" s="26">
        <f>IF($Q897="","",IF(COUNTIFS(AgPac,$D897,AgData,"&gt;"&amp;$A897,AgStatus,"&lt;&gt;Cancelado",AgStatus,"&lt;&gt;Remarcado")&gt;0,"Sim","Não"))</f>
        <v>0</v>
      </c>
      <c r="S897" s="28">
        <f>IF($A897="","",IF(AND($F897="Agendado",$A897-Hoje&gt;=0,$A897-Hoje&lt;=DiasConf),"CONFIRMAR",IF(AND($A897&lt;Hoje,OR($F897="Agendado",$F897="Confirmado")),"Atualizar status",IF(AND($F897="Compareceu",$P897&gt;0.005),"Cobrar",IF($F897="Faltou","Falta: reagendar","")))))</f>
        <v>0</v>
      </c>
      <c r="T897" s="29">
        <f>IF($A897="","",DATE(YEAR($A897),MONTH($A897),1))</f>
        <v>0</v>
      </c>
      <c r="U897" s="30">
        <f>IF($S897="CONFIRMAR",MAX($U$4:$U896)+1,"")</f>
        <v>0</v>
      </c>
      <c r="V897" s="30">
        <f>IF(AND($R897="Não",$Q897&lt;&gt;"",$Q897&lt;=Hoje+JanelaRet,$Q897&gt;=Hoje-60),MAX($V$4:$V896)+1,"")</f>
        <v>0</v>
      </c>
    </row>
    <row r="898" spans="1:22">
      <c r="A898" s="16"/>
      <c r="B898" s="23"/>
      <c r="C898" s="15"/>
      <c r="D898" s="15"/>
      <c r="E898" s="15"/>
      <c r="F898" s="24"/>
      <c r="G898" s="17"/>
      <c r="H898" s="17"/>
      <c r="I898" s="15"/>
      <c r="J898" s="25">
        <f>IF($D898="","",IFERROR(INDEX(PacNome,MATCH($D898,PacCod,0)),"Paciente não cadastrado"))</f>
        <v>0</v>
      </c>
      <c r="K898" s="26">
        <f>IF($D898="","",IFERROR(INDEX(PacConv,MATCH($D898,PacCod,0))&amp;"",""))</f>
        <v>0</v>
      </c>
      <c r="L898" s="26">
        <f>IF($A898="","",CHOOSE(WEEKDAY($A898,2),"Seg","Ter","Qua","Qui","Sex","Sáb","Dom"))</f>
        <v>0</v>
      </c>
      <c r="M898" s="27">
        <f>IF($E898="","",IF($G898&lt;&gt;"",$G898,IFERROR(INDEX(ProcValor,MATCH($E898,ProcNome,0)),0)))</f>
        <v>0</v>
      </c>
      <c r="N898" s="27">
        <f>IF($M898="","",IF($F898="Compareceu",$M898,0))</f>
        <v>0</v>
      </c>
      <c r="O898" s="27">
        <f>IF($M898="","",IF($F898="Faltou",$M898,0))</f>
        <v>0</v>
      </c>
      <c r="P898" s="27">
        <f>IF($M898="","",IF($F898="Compareceu",MAX(0,$M898-N($H898)),0))</f>
        <v>0</v>
      </c>
      <c r="Q898" s="19">
        <f>IF(AND($F898="Compareceu",$E898&lt;&gt;"",$A898&lt;&gt;""),IF(IFERROR(INDEX(ProcRet,MATCH($E898,ProcNome,0)),0)&gt;0,$A898+INDEX(ProcRet,MATCH($E898,ProcNome,0)),""),"")</f>
        <v>0</v>
      </c>
      <c r="R898" s="26">
        <f>IF($Q898="","",IF(COUNTIFS(AgPac,$D898,AgData,"&gt;"&amp;$A898,AgStatus,"&lt;&gt;Cancelado",AgStatus,"&lt;&gt;Remarcado")&gt;0,"Sim","Não"))</f>
        <v>0</v>
      </c>
      <c r="S898" s="28">
        <f>IF($A898="","",IF(AND($F898="Agendado",$A898-Hoje&gt;=0,$A898-Hoje&lt;=DiasConf),"CONFIRMAR",IF(AND($A898&lt;Hoje,OR($F898="Agendado",$F898="Confirmado")),"Atualizar status",IF(AND($F898="Compareceu",$P898&gt;0.005),"Cobrar",IF($F898="Faltou","Falta: reagendar","")))))</f>
        <v>0</v>
      </c>
      <c r="T898" s="29">
        <f>IF($A898="","",DATE(YEAR($A898),MONTH($A898),1))</f>
        <v>0</v>
      </c>
      <c r="U898" s="30">
        <f>IF($S898="CONFIRMAR",MAX($U$4:$U897)+1,"")</f>
        <v>0</v>
      </c>
      <c r="V898" s="30">
        <f>IF(AND($R898="Não",$Q898&lt;&gt;"",$Q898&lt;=Hoje+JanelaRet,$Q898&gt;=Hoje-60),MAX($V$4:$V897)+1,"")</f>
        <v>0</v>
      </c>
    </row>
    <row r="899" spans="1:22">
      <c r="A899" s="16"/>
      <c r="B899" s="23"/>
      <c r="C899" s="15"/>
      <c r="D899" s="15"/>
      <c r="E899" s="15"/>
      <c r="F899" s="24"/>
      <c r="G899" s="17"/>
      <c r="H899" s="17"/>
      <c r="I899" s="15"/>
      <c r="J899" s="25">
        <f>IF($D899="","",IFERROR(INDEX(PacNome,MATCH($D899,PacCod,0)),"Paciente não cadastrado"))</f>
        <v>0</v>
      </c>
      <c r="K899" s="26">
        <f>IF($D899="","",IFERROR(INDEX(PacConv,MATCH($D899,PacCod,0))&amp;"",""))</f>
        <v>0</v>
      </c>
      <c r="L899" s="26">
        <f>IF($A899="","",CHOOSE(WEEKDAY($A899,2),"Seg","Ter","Qua","Qui","Sex","Sáb","Dom"))</f>
        <v>0</v>
      </c>
      <c r="M899" s="27">
        <f>IF($E899="","",IF($G899&lt;&gt;"",$G899,IFERROR(INDEX(ProcValor,MATCH($E899,ProcNome,0)),0)))</f>
        <v>0</v>
      </c>
      <c r="N899" s="27">
        <f>IF($M899="","",IF($F899="Compareceu",$M899,0))</f>
        <v>0</v>
      </c>
      <c r="O899" s="27">
        <f>IF($M899="","",IF($F899="Faltou",$M899,0))</f>
        <v>0</v>
      </c>
      <c r="P899" s="27">
        <f>IF($M899="","",IF($F899="Compareceu",MAX(0,$M899-N($H899)),0))</f>
        <v>0</v>
      </c>
      <c r="Q899" s="19">
        <f>IF(AND($F899="Compareceu",$E899&lt;&gt;"",$A899&lt;&gt;""),IF(IFERROR(INDEX(ProcRet,MATCH($E899,ProcNome,0)),0)&gt;0,$A899+INDEX(ProcRet,MATCH($E899,ProcNome,0)),""),"")</f>
        <v>0</v>
      </c>
      <c r="R899" s="26">
        <f>IF($Q899="","",IF(COUNTIFS(AgPac,$D899,AgData,"&gt;"&amp;$A899,AgStatus,"&lt;&gt;Cancelado",AgStatus,"&lt;&gt;Remarcado")&gt;0,"Sim","Não"))</f>
        <v>0</v>
      </c>
      <c r="S899" s="28">
        <f>IF($A899="","",IF(AND($F899="Agendado",$A899-Hoje&gt;=0,$A899-Hoje&lt;=DiasConf),"CONFIRMAR",IF(AND($A899&lt;Hoje,OR($F899="Agendado",$F899="Confirmado")),"Atualizar status",IF(AND($F899="Compareceu",$P899&gt;0.005),"Cobrar",IF($F899="Faltou","Falta: reagendar","")))))</f>
        <v>0</v>
      </c>
      <c r="T899" s="29">
        <f>IF($A899="","",DATE(YEAR($A899),MONTH($A899),1))</f>
        <v>0</v>
      </c>
      <c r="U899" s="30">
        <f>IF($S899="CONFIRMAR",MAX($U$4:$U898)+1,"")</f>
        <v>0</v>
      </c>
      <c r="V899" s="30">
        <f>IF(AND($R899="Não",$Q899&lt;&gt;"",$Q899&lt;=Hoje+JanelaRet,$Q899&gt;=Hoje-60),MAX($V$4:$V898)+1,"")</f>
        <v>0</v>
      </c>
    </row>
    <row r="900" spans="1:22">
      <c r="A900" s="16"/>
      <c r="B900" s="23"/>
      <c r="C900" s="15"/>
      <c r="D900" s="15"/>
      <c r="E900" s="15"/>
      <c r="F900" s="24"/>
      <c r="G900" s="17"/>
      <c r="H900" s="17"/>
      <c r="I900" s="15"/>
      <c r="J900" s="25">
        <f>IF($D900="","",IFERROR(INDEX(PacNome,MATCH($D900,PacCod,0)),"Paciente não cadastrado"))</f>
        <v>0</v>
      </c>
      <c r="K900" s="26">
        <f>IF($D900="","",IFERROR(INDEX(PacConv,MATCH($D900,PacCod,0))&amp;"",""))</f>
        <v>0</v>
      </c>
      <c r="L900" s="26">
        <f>IF($A900="","",CHOOSE(WEEKDAY($A900,2),"Seg","Ter","Qua","Qui","Sex","Sáb","Dom"))</f>
        <v>0</v>
      </c>
      <c r="M900" s="27">
        <f>IF($E900="","",IF($G900&lt;&gt;"",$G900,IFERROR(INDEX(ProcValor,MATCH($E900,ProcNome,0)),0)))</f>
        <v>0</v>
      </c>
      <c r="N900" s="27">
        <f>IF($M900="","",IF($F900="Compareceu",$M900,0))</f>
        <v>0</v>
      </c>
      <c r="O900" s="27">
        <f>IF($M900="","",IF($F900="Faltou",$M900,0))</f>
        <v>0</v>
      </c>
      <c r="P900" s="27">
        <f>IF($M900="","",IF($F900="Compareceu",MAX(0,$M900-N($H900)),0))</f>
        <v>0</v>
      </c>
      <c r="Q900" s="19">
        <f>IF(AND($F900="Compareceu",$E900&lt;&gt;"",$A900&lt;&gt;""),IF(IFERROR(INDEX(ProcRet,MATCH($E900,ProcNome,0)),0)&gt;0,$A900+INDEX(ProcRet,MATCH($E900,ProcNome,0)),""),"")</f>
        <v>0</v>
      </c>
      <c r="R900" s="26">
        <f>IF($Q900="","",IF(COUNTIFS(AgPac,$D900,AgData,"&gt;"&amp;$A900,AgStatus,"&lt;&gt;Cancelado",AgStatus,"&lt;&gt;Remarcado")&gt;0,"Sim","Não"))</f>
        <v>0</v>
      </c>
      <c r="S900" s="28">
        <f>IF($A900="","",IF(AND($F900="Agendado",$A900-Hoje&gt;=0,$A900-Hoje&lt;=DiasConf),"CONFIRMAR",IF(AND($A900&lt;Hoje,OR($F900="Agendado",$F900="Confirmado")),"Atualizar status",IF(AND($F900="Compareceu",$P900&gt;0.005),"Cobrar",IF($F900="Faltou","Falta: reagendar","")))))</f>
        <v>0</v>
      </c>
      <c r="T900" s="29">
        <f>IF($A900="","",DATE(YEAR($A900),MONTH($A900),1))</f>
        <v>0</v>
      </c>
      <c r="U900" s="30">
        <f>IF($S900="CONFIRMAR",MAX($U$4:$U899)+1,"")</f>
        <v>0</v>
      </c>
      <c r="V900" s="30">
        <f>IF(AND($R900="Não",$Q900&lt;&gt;"",$Q900&lt;=Hoje+JanelaRet,$Q900&gt;=Hoje-60),MAX($V$4:$V899)+1,"")</f>
        <v>0</v>
      </c>
    </row>
    <row r="901" spans="1:22">
      <c r="A901" s="16"/>
      <c r="B901" s="23"/>
      <c r="C901" s="15"/>
      <c r="D901" s="15"/>
      <c r="E901" s="15"/>
      <c r="F901" s="24"/>
      <c r="G901" s="17"/>
      <c r="H901" s="17"/>
      <c r="I901" s="15"/>
      <c r="J901" s="25">
        <f>IF($D901="","",IFERROR(INDEX(PacNome,MATCH($D901,PacCod,0)),"Paciente não cadastrado"))</f>
        <v>0</v>
      </c>
      <c r="K901" s="26">
        <f>IF($D901="","",IFERROR(INDEX(PacConv,MATCH($D901,PacCod,0))&amp;"",""))</f>
        <v>0</v>
      </c>
      <c r="L901" s="26">
        <f>IF($A901="","",CHOOSE(WEEKDAY($A901,2),"Seg","Ter","Qua","Qui","Sex","Sáb","Dom"))</f>
        <v>0</v>
      </c>
      <c r="M901" s="27">
        <f>IF($E901="","",IF($G901&lt;&gt;"",$G901,IFERROR(INDEX(ProcValor,MATCH($E901,ProcNome,0)),0)))</f>
        <v>0</v>
      </c>
      <c r="N901" s="27">
        <f>IF($M901="","",IF($F901="Compareceu",$M901,0))</f>
        <v>0</v>
      </c>
      <c r="O901" s="27">
        <f>IF($M901="","",IF($F901="Faltou",$M901,0))</f>
        <v>0</v>
      </c>
      <c r="P901" s="27">
        <f>IF($M901="","",IF($F901="Compareceu",MAX(0,$M901-N($H901)),0))</f>
        <v>0</v>
      </c>
      <c r="Q901" s="19">
        <f>IF(AND($F901="Compareceu",$E901&lt;&gt;"",$A901&lt;&gt;""),IF(IFERROR(INDEX(ProcRet,MATCH($E901,ProcNome,0)),0)&gt;0,$A901+INDEX(ProcRet,MATCH($E901,ProcNome,0)),""),"")</f>
        <v>0</v>
      </c>
      <c r="R901" s="26">
        <f>IF($Q901="","",IF(COUNTIFS(AgPac,$D901,AgData,"&gt;"&amp;$A901,AgStatus,"&lt;&gt;Cancelado",AgStatus,"&lt;&gt;Remarcado")&gt;0,"Sim","Não"))</f>
        <v>0</v>
      </c>
      <c r="S901" s="28">
        <f>IF($A901="","",IF(AND($F901="Agendado",$A901-Hoje&gt;=0,$A901-Hoje&lt;=DiasConf),"CONFIRMAR",IF(AND($A901&lt;Hoje,OR($F901="Agendado",$F901="Confirmado")),"Atualizar status",IF(AND($F901="Compareceu",$P901&gt;0.005),"Cobrar",IF($F901="Faltou","Falta: reagendar","")))))</f>
        <v>0</v>
      </c>
      <c r="T901" s="29">
        <f>IF($A901="","",DATE(YEAR($A901),MONTH($A901),1))</f>
        <v>0</v>
      </c>
      <c r="U901" s="30">
        <f>IF($S901="CONFIRMAR",MAX($U$4:$U900)+1,"")</f>
        <v>0</v>
      </c>
      <c r="V901" s="30">
        <f>IF(AND($R901="Não",$Q901&lt;&gt;"",$Q901&lt;=Hoje+JanelaRet,$Q901&gt;=Hoje-60),MAX($V$4:$V900)+1,"")</f>
        <v>0</v>
      </c>
    </row>
    <row r="902" spans="1:22">
      <c r="A902" s="16"/>
      <c r="B902" s="23"/>
      <c r="C902" s="15"/>
      <c r="D902" s="15"/>
      <c r="E902" s="15"/>
      <c r="F902" s="24"/>
      <c r="G902" s="17"/>
      <c r="H902" s="17"/>
      <c r="I902" s="15"/>
      <c r="J902" s="25">
        <f>IF($D902="","",IFERROR(INDEX(PacNome,MATCH($D902,PacCod,0)),"Paciente não cadastrado"))</f>
        <v>0</v>
      </c>
      <c r="K902" s="26">
        <f>IF($D902="","",IFERROR(INDEX(PacConv,MATCH($D902,PacCod,0))&amp;"",""))</f>
        <v>0</v>
      </c>
      <c r="L902" s="26">
        <f>IF($A902="","",CHOOSE(WEEKDAY($A902,2),"Seg","Ter","Qua","Qui","Sex","Sáb","Dom"))</f>
        <v>0</v>
      </c>
      <c r="M902" s="27">
        <f>IF($E902="","",IF($G902&lt;&gt;"",$G902,IFERROR(INDEX(ProcValor,MATCH($E902,ProcNome,0)),0)))</f>
        <v>0</v>
      </c>
      <c r="N902" s="27">
        <f>IF($M902="","",IF($F902="Compareceu",$M902,0))</f>
        <v>0</v>
      </c>
      <c r="O902" s="27">
        <f>IF($M902="","",IF($F902="Faltou",$M902,0))</f>
        <v>0</v>
      </c>
      <c r="P902" s="27">
        <f>IF($M902="","",IF($F902="Compareceu",MAX(0,$M902-N($H902)),0))</f>
        <v>0</v>
      </c>
      <c r="Q902" s="19">
        <f>IF(AND($F902="Compareceu",$E902&lt;&gt;"",$A902&lt;&gt;""),IF(IFERROR(INDEX(ProcRet,MATCH($E902,ProcNome,0)),0)&gt;0,$A902+INDEX(ProcRet,MATCH($E902,ProcNome,0)),""),"")</f>
        <v>0</v>
      </c>
      <c r="R902" s="26">
        <f>IF($Q902="","",IF(COUNTIFS(AgPac,$D902,AgData,"&gt;"&amp;$A902,AgStatus,"&lt;&gt;Cancelado",AgStatus,"&lt;&gt;Remarcado")&gt;0,"Sim","Não"))</f>
        <v>0</v>
      </c>
      <c r="S902" s="28">
        <f>IF($A902="","",IF(AND($F902="Agendado",$A902-Hoje&gt;=0,$A902-Hoje&lt;=DiasConf),"CONFIRMAR",IF(AND($A902&lt;Hoje,OR($F902="Agendado",$F902="Confirmado")),"Atualizar status",IF(AND($F902="Compareceu",$P902&gt;0.005),"Cobrar",IF($F902="Faltou","Falta: reagendar","")))))</f>
        <v>0</v>
      </c>
      <c r="T902" s="29">
        <f>IF($A902="","",DATE(YEAR($A902),MONTH($A902),1))</f>
        <v>0</v>
      </c>
      <c r="U902" s="30">
        <f>IF($S902="CONFIRMAR",MAX($U$4:$U901)+1,"")</f>
        <v>0</v>
      </c>
      <c r="V902" s="30">
        <f>IF(AND($R902="Não",$Q902&lt;&gt;"",$Q902&lt;=Hoje+JanelaRet,$Q902&gt;=Hoje-60),MAX($V$4:$V901)+1,"")</f>
        <v>0</v>
      </c>
    </row>
    <row r="903" spans="1:22">
      <c r="A903" s="16"/>
      <c r="B903" s="23"/>
      <c r="C903" s="15"/>
      <c r="D903" s="15"/>
      <c r="E903" s="15"/>
      <c r="F903" s="24"/>
      <c r="G903" s="17"/>
      <c r="H903" s="17"/>
      <c r="I903" s="15"/>
      <c r="J903" s="25">
        <f>IF($D903="","",IFERROR(INDEX(PacNome,MATCH($D903,PacCod,0)),"Paciente não cadastrado"))</f>
        <v>0</v>
      </c>
      <c r="K903" s="26">
        <f>IF($D903="","",IFERROR(INDEX(PacConv,MATCH($D903,PacCod,0))&amp;"",""))</f>
        <v>0</v>
      </c>
      <c r="L903" s="26">
        <f>IF($A903="","",CHOOSE(WEEKDAY($A903,2),"Seg","Ter","Qua","Qui","Sex","Sáb","Dom"))</f>
        <v>0</v>
      </c>
      <c r="M903" s="27">
        <f>IF($E903="","",IF($G903&lt;&gt;"",$G903,IFERROR(INDEX(ProcValor,MATCH($E903,ProcNome,0)),0)))</f>
        <v>0</v>
      </c>
      <c r="N903" s="27">
        <f>IF($M903="","",IF($F903="Compareceu",$M903,0))</f>
        <v>0</v>
      </c>
      <c r="O903" s="27">
        <f>IF($M903="","",IF($F903="Faltou",$M903,0))</f>
        <v>0</v>
      </c>
      <c r="P903" s="27">
        <f>IF($M903="","",IF($F903="Compareceu",MAX(0,$M903-N($H903)),0))</f>
        <v>0</v>
      </c>
      <c r="Q903" s="19">
        <f>IF(AND($F903="Compareceu",$E903&lt;&gt;"",$A903&lt;&gt;""),IF(IFERROR(INDEX(ProcRet,MATCH($E903,ProcNome,0)),0)&gt;0,$A903+INDEX(ProcRet,MATCH($E903,ProcNome,0)),""),"")</f>
        <v>0</v>
      </c>
      <c r="R903" s="26">
        <f>IF($Q903="","",IF(COUNTIFS(AgPac,$D903,AgData,"&gt;"&amp;$A903,AgStatus,"&lt;&gt;Cancelado",AgStatus,"&lt;&gt;Remarcado")&gt;0,"Sim","Não"))</f>
        <v>0</v>
      </c>
      <c r="S903" s="28">
        <f>IF($A903="","",IF(AND($F903="Agendado",$A903-Hoje&gt;=0,$A903-Hoje&lt;=DiasConf),"CONFIRMAR",IF(AND($A903&lt;Hoje,OR($F903="Agendado",$F903="Confirmado")),"Atualizar status",IF(AND($F903="Compareceu",$P903&gt;0.005),"Cobrar",IF($F903="Faltou","Falta: reagendar","")))))</f>
        <v>0</v>
      </c>
      <c r="T903" s="29">
        <f>IF($A903="","",DATE(YEAR($A903),MONTH($A903),1))</f>
        <v>0</v>
      </c>
      <c r="U903" s="30">
        <f>IF($S903="CONFIRMAR",MAX($U$4:$U902)+1,"")</f>
        <v>0</v>
      </c>
      <c r="V903" s="30">
        <f>IF(AND($R903="Não",$Q903&lt;&gt;"",$Q903&lt;=Hoje+JanelaRet,$Q903&gt;=Hoje-60),MAX($V$4:$V902)+1,"")</f>
        <v>0</v>
      </c>
    </row>
    <row r="904" spans="1:22">
      <c r="A904" s="16"/>
      <c r="B904" s="23"/>
      <c r="C904" s="15"/>
      <c r="D904" s="15"/>
      <c r="E904" s="15"/>
      <c r="F904" s="24"/>
      <c r="G904" s="17"/>
      <c r="H904" s="17"/>
      <c r="I904" s="15"/>
      <c r="J904" s="25">
        <f>IF($D904="","",IFERROR(INDEX(PacNome,MATCH($D904,PacCod,0)),"Paciente não cadastrado"))</f>
        <v>0</v>
      </c>
      <c r="K904" s="26">
        <f>IF($D904="","",IFERROR(INDEX(PacConv,MATCH($D904,PacCod,0))&amp;"",""))</f>
        <v>0</v>
      </c>
      <c r="L904" s="26">
        <f>IF($A904="","",CHOOSE(WEEKDAY($A904,2),"Seg","Ter","Qua","Qui","Sex","Sáb","Dom"))</f>
        <v>0</v>
      </c>
      <c r="M904" s="27">
        <f>IF($E904="","",IF($G904&lt;&gt;"",$G904,IFERROR(INDEX(ProcValor,MATCH($E904,ProcNome,0)),0)))</f>
        <v>0</v>
      </c>
      <c r="N904" s="27">
        <f>IF($M904="","",IF($F904="Compareceu",$M904,0))</f>
        <v>0</v>
      </c>
      <c r="O904" s="27">
        <f>IF($M904="","",IF($F904="Faltou",$M904,0))</f>
        <v>0</v>
      </c>
      <c r="P904" s="27">
        <f>IF($M904="","",IF($F904="Compareceu",MAX(0,$M904-N($H904)),0))</f>
        <v>0</v>
      </c>
      <c r="Q904" s="19">
        <f>IF(AND($F904="Compareceu",$E904&lt;&gt;"",$A904&lt;&gt;""),IF(IFERROR(INDEX(ProcRet,MATCH($E904,ProcNome,0)),0)&gt;0,$A904+INDEX(ProcRet,MATCH($E904,ProcNome,0)),""),"")</f>
        <v>0</v>
      </c>
      <c r="R904" s="26">
        <f>IF($Q904="","",IF(COUNTIFS(AgPac,$D904,AgData,"&gt;"&amp;$A904,AgStatus,"&lt;&gt;Cancelado",AgStatus,"&lt;&gt;Remarcado")&gt;0,"Sim","Não"))</f>
        <v>0</v>
      </c>
      <c r="S904" s="28">
        <f>IF($A904="","",IF(AND($F904="Agendado",$A904-Hoje&gt;=0,$A904-Hoje&lt;=DiasConf),"CONFIRMAR",IF(AND($A904&lt;Hoje,OR($F904="Agendado",$F904="Confirmado")),"Atualizar status",IF(AND($F904="Compareceu",$P904&gt;0.005),"Cobrar",IF($F904="Faltou","Falta: reagendar","")))))</f>
        <v>0</v>
      </c>
      <c r="T904" s="29">
        <f>IF($A904="","",DATE(YEAR($A904),MONTH($A904),1))</f>
        <v>0</v>
      </c>
      <c r="U904" s="30">
        <f>IF($S904="CONFIRMAR",MAX($U$4:$U903)+1,"")</f>
        <v>0</v>
      </c>
      <c r="V904" s="30">
        <f>IF(AND($R904="Não",$Q904&lt;&gt;"",$Q904&lt;=Hoje+JanelaRet,$Q904&gt;=Hoje-60),MAX($V$4:$V903)+1,"")</f>
        <v>0</v>
      </c>
    </row>
    <row r="905" spans="1:22">
      <c r="A905" s="16"/>
      <c r="B905" s="23"/>
      <c r="C905" s="15"/>
      <c r="D905" s="15"/>
      <c r="E905" s="15"/>
      <c r="F905" s="24"/>
      <c r="G905" s="17"/>
      <c r="H905" s="17"/>
      <c r="I905" s="15"/>
      <c r="J905" s="25">
        <f>IF($D905="","",IFERROR(INDEX(PacNome,MATCH($D905,PacCod,0)),"Paciente não cadastrado"))</f>
        <v>0</v>
      </c>
      <c r="K905" s="26">
        <f>IF($D905="","",IFERROR(INDEX(PacConv,MATCH($D905,PacCod,0))&amp;"",""))</f>
        <v>0</v>
      </c>
      <c r="L905" s="26">
        <f>IF($A905="","",CHOOSE(WEEKDAY($A905,2),"Seg","Ter","Qua","Qui","Sex","Sáb","Dom"))</f>
        <v>0</v>
      </c>
      <c r="M905" s="27">
        <f>IF($E905="","",IF($G905&lt;&gt;"",$G905,IFERROR(INDEX(ProcValor,MATCH($E905,ProcNome,0)),0)))</f>
        <v>0</v>
      </c>
      <c r="N905" s="27">
        <f>IF($M905="","",IF($F905="Compareceu",$M905,0))</f>
        <v>0</v>
      </c>
      <c r="O905" s="27">
        <f>IF($M905="","",IF($F905="Faltou",$M905,0))</f>
        <v>0</v>
      </c>
      <c r="P905" s="27">
        <f>IF($M905="","",IF($F905="Compareceu",MAX(0,$M905-N($H905)),0))</f>
        <v>0</v>
      </c>
      <c r="Q905" s="19">
        <f>IF(AND($F905="Compareceu",$E905&lt;&gt;"",$A905&lt;&gt;""),IF(IFERROR(INDEX(ProcRet,MATCH($E905,ProcNome,0)),0)&gt;0,$A905+INDEX(ProcRet,MATCH($E905,ProcNome,0)),""),"")</f>
        <v>0</v>
      </c>
      <c r="R905" s="26">
        <f>IF($Q905="","",IF(COUNTIFS(AgPac,$D905,AgData,"&gt;"&amp;$A905,AgStatus,"&lt;&gt;Cancelado",AgStatus,"&lt;&gt;Remarcado")&gt;0,"Sim","Não"))</f>
        <v>0</v>
      </c>
      <c r="S905" s="28">
        <f>IF($A905="","",IF(AND($F905="Agendado",$A905-Hoje&gt;=0,$A905-Hoje&lt;=DiasConf),"CONFIRMAR",IF(AND($A905&lt;Hoje,OR($F905="Agendado",$F905="Confirmado")),"Atualizar status",IF(AND($F905="Compareceu",$P905&gt;0.005),"Cobrar",IF($F905="Faltou","Falta: reagendar","")))))</f>
        <v>0</v>
      </c>
      <c r="T905" s="29">
        <f>IF($A905="","",DATE(YEAR($A905),MONTH($A905),1))</f>
        <v>0</v>
      </c>
      <c r="U905" s="30">
        <f>IF($S905="CONFIRMAR",MAX($U$4:$U904)+1,"")</f>
        <v>0</v>
      </c>
      <c r="V905" s="30">
        <f>IF(AND($R905="Não",$Q905&lt;&gt;"",$Q905&lt;=Hoje+JanelaRet,$Q905&gt;=Hoje-60),MAX($V$4:$V904)+1,"")</f>
        <v>0</v>
      </c>
    </row>
    <row r="906" spans="1:22">
      <c r="A906" s="16"/>
      <c r="B906" s="23"/>
      <c r="C906" s="15"/>
      <c r="D906" s="15"/>
      <c r="E906" s="15"/>
      <c r="F906" s="24"/>
      <c r="G906" s="17"/>
      <c r="H906" s="17"/>
      <c r="I906" s="15"/>
      <c r="J906" s="25">
        <f>IF($D906="","",IFERROR(INDEX(PacNome,MATCH($D906,PacCod,0)),"Paciente não cadastrado"))</f>
        <v>0</v>
      </c>
      <c r="K906" s="26">
        <f>IF($D906="","",IFERROR(INDEX(PacConv,MATCH($D906,PacCod,0))&amp;"",""))</f>
        <v>0</v>
      </c>
      <c r="L906" s="26">
        <f>IF($A906="","",CHOOSE(WEEKDAY($A906,2),"Seg","Ter","Qua","Qui","Sex","Sáb","Dom"))</f>
        <v>0</v>
      </c>
      <c r="M906" s="27">
        <f>IF($E906="","",IF($G906&lt;&gt;"",$G906,IFERROR(INDEX(ProcValor,MATCH($E906,ProcNome,0)),0)))</f>
        <v>0</v>
      </c>
      <c r="N906" s="27">
        <f>IF($M906="","",IF($F906="Compareceu",$M906,0))</f>
        <v>0</v>
      </c>
      <c r="O906" s="27">
        <f>IF($M906="","",IF($F906="Faltou",$M906,0))</f>
        <v>0</v>
      </c>
      <c r="P906" s="27">
        <f>IF($M906="","",IF($F906="Compareceu",MAX(0,$M906-N($H906)),0))</f>
        <v>0</v>
      </c>
      <c r="Q906" s="19">
        <f>IF(AND($F906="Compareceu",$E906&lt;&gt;"",$A906&lt;&gt;""),IF(IFERROR(INDEX(ProcRet,MATCH($E906,ProcNome,0)),0)&gt;0,$A906+INDEX(ProcRet,MATCH($E906,ProcNome,0)),""),"")</f>
        <v>0</v>
      </c>
      <c r="R906" s="26">
        <f>IF($Q906="","",IF(COUNTIFS(AgPac,$D906,AgData,"&gt;"&amp;$A906,AgStatus,"&lt;&gt;Cancelado",AgStatus,"&lt;&gt;Remarcado")&gt;0,"Sim","Não"))</f>
        <v>0</v>
      </c>
      <c r="S906" s="28">
        <f>IF($A906="","",IF(AND($F906="Agendado",$A906-Hoje&gt;=0,$A906-Hoje&lt;=DiasConf),"CONFIRMAR",IF(AND($A906&lt;Hoje,OR($F906="Agendado",$F906="Confirmado")),"Atualizar status",IF(AND($F906="Compareceu",$P906&gt;0.005),"Cobrar",IF($F906="Faltou","Falta: reagendar","")))))</f>
        <v>0</v>
      </c>
      <c r="T906" s="29">
        <f>IF($A906="","",DATE(YEAR($A906),MONTH($A906),1))</f>
        <v>0</v>
      </c>
      <c r="U906" s="30">
        <f>IF($S906="CONFIRMAR",MAX($U$4:$U905)+1,"")</f>
        <v>0</v>
      </c>
      <c r="V906" s="30">
        <f>IF(AND($R906="Não",$Q906&lt;&gt;"",$Q906&lt;=Hoje+JanelaRet,$Q906&gt;=Hoje-60),MAX($V$4:$V905)+1,"")</f>
        <v>0</v>
      </c>
    </row>
    <row r="907" spans="1:22">
      <c r="A907" s="16"/>
      <c r="B907" s="23"/>
      <c r="C907" s="15"/>
      <c r="D907" s="15"/>
      <c r="E907" s="15"/>
      <c r="F907" s="24"/>
      <c r="G907" s="17"/>
      <c r="H907" s="17"/>
      <c r="I907" s="15"/>
      <c r="J907" s="25">
        <f>IF($D907="","",IFERROR(INDEX(PacNome,MATCH($D907,PacCod,0)),"Paciente não cadastrado"))</f>
        <v>0</v>
      </c>
      <c r="K907" s="26">
        <f>IF($D907="","",IFERROR(INDEX(PacConv,MATCH($D907,PacCod,0))&amp;"",""))</f>
        <v>0</v>
      </c>
      <c r="L907" s="26">
        <f>IF($A907="","",CHOOSE(WEEKDAY($A907,2),"Seg","Ter","Qua","Qui","Sex","Sáb","Dom"))</f>
        <v>0</v>
      </c>
      <c r="M907" s="27">
        <f>IF($E907="","",IF($G907&lt;&gt;"",$G907,IFERROR(INDEX(ProcValor,MATCH($E907,ProcNome,0)),0)))</f>
        <v>0</v>
      </c>
      <c r="N907" s="27">
        <f>IF($M907="","",IF($F907="Compareceu",$M907,0))</f>
        <v>0</v>
      </c>
      <c r="O907" s="27">
        <f>IF($M907="","",IF($F907="Faltou",$M907,0))</f>
        <v>0</v>
      </c>
      <c r="P907" s="27">
        <f>IF($M907="","",IF($F907="Compareceu",MAX(0,$M907-N($H907)),0))</f>
        <v>0</v>
      </c>
      <c r="Q907" s="19">
        <f>IF(AND($F907="Compareceu",$E907&lt;&gt;"",$A907&lt;&gt;""),IF(IFERROR(INDEX(ProcRet,MATCH($E907,ProcNome,0)),0)&gt;0,$A907+INDEX(ProcRet,MATCH($E907,ProcNome,0)),""),"")</f>
        <v>0</v>
      </c>
      <c r="R907" s="26">
        <f>IF($Q907="","",IF(COUNTIFS(AgPac,$D907,AgData,"&gt;"&amp;$A907,AgStatus,"&lt;&gt;Cancelado",AgStatus,"&lt;&gt;Remarcado")&gt;0,"Sim","Não"))</f>
        <v>0</v>
      </c>
      <c r="S907" s="28">
        <f>IF($A907="","",IF(AND($F907="Agendado",$A907-Hoje&gt;=0,$A907-Hoje&lt;=DiasConf),"CONFIRMAR",IF(AND($A907&lt;Hoje,OR($F907="Agendado",$F907="Confirmado")),"Atualizar status",IF(AND($F907="Compareceu",$P907&gt;0.005),"Cobrar",IF($F907="Faltou","Falta: reagendar","")))))</f>
        <v>0</v>
      </c>
      <c r="T907" s="29">
        <f>IF($A907="","",DATE(YEAR($A907),MONTH($A907),1))</f>
        <v>0</v>
      </c>
      <c r="U907" s="30">
        <f>IF($S907="CONFIRMAR",MAX($U$4:$U906)+1,"")</f>
        <v>0</v>
      </c>
      <c r="V907" s="30">
        <f>IF(AND($R907="Não",$Q907&lt;&gt;"",$Q907&lt;=Hoje+JanelaRet,$Q907&gt;=Hoje-60),MAX($V$4:$V906)+1,"")</f>
        <v>0</v>
      </c>
    </row>
    <row r="908" spans="1:22">
      <c r="A908" s="16"/>
      <c r="B908" s="23"/>
      <c r="C908" s="15"/>
      <c r="D908" s="15"/>
      <c r="E908" s="15"/>
      <c r="F908" s="24"/>
      <c r="G908" s="17"/>
      <c r="H908" s="17"/>
      <c r="I908" s="15"/>
      <c r="J908" s="25">
        <f>IF($D908="","",IFERROR(INDEX(PacNome,MATCH($D908,PacCod,0)),"Paciente não cadastrado"))</f>
        <v>0</v>
      </c>
      <c r="K908" s="26">
        <f>IF($D908="","",IFERROR(INDEX(PacConv,MATCH($D908,PacCod,0))&amp;"",""))</f>
        <v>0</v>
      </c>
      <c r="L908" s="26">
        <f>IF($A908="","",CHOOSE(WEEKDAY($A908,2),"Seg","Ter","Qua","Qui","Sex","Sáb","Dom"))</f>
        <v>0</v>
      </c>
      <c r="M908" s="27">
        <f>IF($E908="","",IF($G908&lt;&gt;"",$G908,IFERROR(INDEX(ProcValor,MATCH($E908,ProcNome,0)),0)))</f>
        <v>0</v>
      </c>
      <c r="N908" s="27">
        <f>IF($M908="","",IF($F908="Compareceu",$M908,0))</f>
        <v>0</v>
      </c>
      <c r="O908" s="27">
        <f>IF($M908="","",IF($F908="Faltou",$M908,0))</f>
        <v>0</v>
      </c>
      <c r="P908" s="27">
        <f>IF($M908="","",IF($F908="Compareceu",MAX(0,$M908-N($H908)),0))</f>
        <v>0</v>
      </c>
      <c r="Q908" s="19">
        <f>IF(AND($F908="Compareceu",$E908&lt;&gt;"",$A908&lt;&gt;""),IF(IFERROR(INDEX(ProcRet,MATCH($E908,ProcNome,0)),0)&gt;0,$A908+INDEX(ProcRet,MATCH($E908,ProcNome,0)),""),"")</f>
        <v>0</v>
      </c>
      <c r="R908" s="26">
        <f>IF($Q908="","",IF(COUNTIFS(AgPac,$D908,AgData,"&gt;"&amp;$A908,AgStatus,"&lt;&gt;Cancelado",AgStatus,"&lt;&gt;Remarcado")&gt;0,"Sim","Não"))</f>
        <v>0</v>
      </c>
      <c r="S908" s="28">
        <f>IF($A908="","",IF(AND($F908="Agendado",$A908-Hoje&gt;=0,$A908-Hoje&lt;=DiasConf),"CONFIRMAR",IF(AND($A908&lt;Hoje,OR($F908="Agendado",$F908="Confirmado")),"Atualizar status",IF(AND($F908="Compareceu",$P908&gt;0.005),"Cobrar",IF($F908="Faltou","Falta: reagendar","")))))</f>
        <v>0</v>
      </c>
      <c r="T908" s="29">
        <f>IF($A908="","",DATE(YEAR($A908),MONTH($A908),1))</f>
        <v>0</v>
      </c>
      <c r="U908" s="30">
        <f>IF($S908="CONFIRMAR",MAX($U$4:$U907)+1,"")</f>
        <v>0</v>
      </c>
      <c r="V908" s="30">
        <f>IF(AND($R908="Não",$Q908&lt;&gt;"",$Q908&lt;=Hoje+JanelaRet,$Q908&gt;=Hoje-60),MAX($V$4:$V907)+1,"")</f>
        <v>0</v>
      </c>
    </row>
    <row r="909" spans="1:22">
      <c r="A909" s="16"/>
      <c r="B909" s="23"/>
      <c r="C909" s="15"/>
      <c r="D909" s="15"/>
      <c r="E909" s="15"/>
      <c r="F909" s="24"/>
      <c r="G909" s="17"/>
      <c r="H909" s="17"/>
      <c r="I909" s="15"/>
      <c r="J909" s="25">
        <f>IF($D909="","",IFERROR(INDEX(PacNome,MATCH($D909,PacCod,0)),"Paciente não cadastrado"))</f>
        <v>0</v>
      </c>
      <c r="K909" s="26">
        <f>IF($D909="","",IFERROR(INDEX(PacConv,MATCH($D909,PacCod,0))&amp;"",""))</f>
        <v>0</v>
      </c>
      <c r="L909" s="26">
        <f>IF($A909="","",CHOOSE(WEEKDAY($A909,2),"Seg","Ter","Qua","Qui","Sex","Sáb","Dom"))</f>
        <v>0</v>
      </c>
      <c r="M909" s="27">
        <f>IF($E909="","",IF($G909&lt;&gt;"",$G909,IFERROR(INDEX(ProcValor,MATCH($E909,ProcNome,0)),0)))</f>
        <v>0</v>
      </c>
      <c r="N909" s="27">
        <f>IF($M909="","",IF($F909="Compareceu",$M909,0))</f>
        <v>0</v>
      </c>
      <c r="O909" s="27">
        <f>IF($M909="","",IF($F909="Faltou",$M909,0))</f>
        <v>0</v>
      </c>
      <c r="P909" s="27">
        <f>IF($M909="","",IF($F909="Compareceu",MAX(0,$M909-N($H909)),0))</f>
        <v>0</v>
      </c>
      <c r="Q909" s="19">
        <f>IF(AND($F909="Compareceu",$E909&lt;&gt;"",$A909&lt;&gt;""),IF(IFERROR(INDEX(ProcRet,MATCH($E909,ProcNome,0)),0)&gt;0,$A909+INDEX(ProcRet,MATCH($E909,ProcNome,0)),""),"")</f>
        <v>0</v>
      </c>
      <c r="R909" s="26">
        <f>IF($Q909="","",IF(COUNTIFS(AgPac,$D909,AgData,"&gt;"&amp;$A909,AgStatus,"&lt;&gt;Cancelado",AgStatus,"&lt;&gt;Remarcado")&gt;0,"Sim","Não"))</f>
        <v>0</v>
      </c>
      <c r="S909" s="28">
        <f>IF($A909="","",IF(AND($F909="Agendado",$A909-Hoje&gt;=0,$A909-Hoje&lt;=DiasConf),"CONFIRMAR",IF(AND($A909&lt;Hoje,OR($F909="Agendado",$F909="Confirmado")),"Atualizar status",IF(AND($F909="Compareceu",$P909&gt;0.005),"Cobrar",IF($F909="Faltou","Falta: reagendar","")))))</f>
        <v>0</v>
      </c>
      <c r="T909" s="29">
        <f>IF($A909="","",DATE(YEAR($A909),MONTH($A909),1))</f>
        <v>0</v>
      </c>
      <c r="U909" s="30">
        <f>IF($S909="CONFIRMAR",MAX($U$4:$U908)+1,"")</f>
        <v>0</v>
      </c>
      <c r="V909" s="30">
        <f>IF(AND($R909="Não",$Q909&lt;&gt;"",$Q909&lt;=Hoje+JanelaRet,$Q909&gt;=Hoje-60),MAX($V$4:$V908)+1,"")</f>
        <v>0</v>
      </c>
    </row>
    <row r="910" spans="1:22">
      <c r="A910" s="16"/>
      <c r="B910" s="23"/>
      <c r="C910" s="15"/>
      <c r="D910" s="15"/>
      <c r="E910" s="15"/>
      <c r="F910" s="24"/>
      <c r="G910" s="17"/>
      <c r="H910" s="17"/>
      <c r="I910" s="15"/>
      <c r="J910" s="25">
        <f>IF($D910="","",IFERROR(INDEX(PacNome,MATCH($D910,PacCod,0)),"Paciente não cadastrado"))</f>
        <v>0</v>
      </c>
      <c r="K910" s="26">
        <f>IF($D910="","",IFERROR(INDEX(PacConv,MATCH($D910,PacCod,0))&amp;"",""))</f>
        <v>0</v>
      </c>
      <c r="L910" s="26">
        <f>IF($A910="","",CHOOSE(WEEKDAY($A910,2),"Seg","Ter","Qua","Qui","Sex","Sáb","Dom"))</f>
        <v>0</v>
      </c>
      <c r="M910" s="27">
        <f>IF($E910="","",IF($G910&lt;&gt;"",$G910,IFERROR(INDEX(ProcValor,MATCH($E910,ProcNome,0)),0)))</f>
        <v>0</v>
      </c>
      <c r="N910" s="27">
        <f>IF($M910="","",IF($F910="Compareceu",$M910,0))</f>
        <v>0</v>
      </c>
      <c r="O910" s="27">
        <f>IF($M910="","",IF($F910="Faltou",$M910,0))</f>
        <v>0</v>
      </c>
      <c r="P910" s="27">
        <f>IF($M910="","",IF($F910="Compareceu",MAX(0,$M910-N($H910)),0))</f>
        <v>0</v>
      </c>
      <c r="Q910" s="19">
        <f>IF(AND($F910="Compareceu",$E910&lt;&gt;"",$A910&lt;&gt;""),IF(IFERROR(INDEX(ProcRet,MATCH($E910,ProcNome,0)),0)&gt;0,$A910+INDEX(ProcRet,MATCH($E910,ProcNome,0)),""),"")</f>
        <v>0</v>
      </c>
      <c r="R910" s="26">
        <f>IF($Q910="","",IF(COUNTIFS(AgPac,$D910,AgData,"&gt;"&amp;$A910,AgStatus,"&lt;&gt;Cancelado",AgStatus,"&lt;&gt;Remarcado")&gt;0,"Sim","Não"))</f>
        <v>0</v>
      </c>
      <c r="S910" s="28">
        <f>IF($A910="","",IF(AND($F910="Agendado",$A910-Hoje&gt;=0,$A910-Hoje&lt;=DiasConf),"CONFIRMAR",IF(AND($A910&lt;Hoje,OR($F910="Agendado",$F910="Confirmado")),"Atualizar status",IF(AND($F910="Compareceu",$P910&gt;0.005),"Cobrar",IF($F910="Faltou","Falta: reagendar","")))))</f>
        <v>0</v>
      </c>
      <c r="T910" s="29">
        <f>IF($A910="","",DATE(YEAR($A910),MONTH($A910),1))</f>
        <v>0</v>
      </c>
      <c r="U910" s="30">
        <f>IF($S910="CONFIRMAR",MAX($U$4:$U909)+1,"")</f>
        <v>0</v>
      </c>
      <c r="V910" s="30">
        <f>IF(AND($R910="Não",$Q910&lt;&gt;"",$Q910&lt;=Hoje+JanelaRet,$Q910&gt;=Hoje-60),MAX($V$4:$V909)+1,"")</f>
        <v>0</v>
      </c>
    </row>
    <row r="911" spans="1:22">
      <c r="A911" s="16"/>
      <c r="B911" s="23"/>
      <c r="C911" s="15"/>
      <c r="D911" s="15"/>
      <c r="E911" s="15"/>
      <c r="F911" s="24"/>
      <c r="G911" s="17"/>
      <c r="H911" s="17"/>
      <c r="I911" s="15"/>
      <c r="J911" s="25">
        <f>IF($D911="","",IFERROR(INDEX(PacNome,MATCH($D911,PacCod,0)),"Paciente não cadastrado"))</f>
        <v>0</v>
      </c>
      <c r="K911" s="26">
        <f>IF($D911="","",IFERROR(INDEX(PacConv,MATCH($D911,PacCod,0))&amp;"",""))</f>
        <v>0</v>
      </c>
      <c r="L911" s="26">
        <f>IF($A911="","",CHOOSE(WEEKDAY($A911,2),"Seg","Ter","Qua","Qui","Sex","Sáb","Dom"))</f>
        <v>0</v>
      </c>
      <c r="M911" s="27">
        <f>IF($E911="","",IF($G911&lt;&gt;"",$G911,IFERROR(INDEX(ProcValor,MATCH($E911,ProcNome,0)),0)))</f>
        <v>0</v>
      </c>
      <c r="N911" s="27">
        <f>IF($M911="","",IF($F911="Compareceu",$M911,0))</f>
        <v>0</v>
      </c>
      <c r="O911" s="27">
        <f>IF($M911="","",IF($F911="Faltou",$M911,0))</f>
        <v>0</v>
      </c>
      <c r="P911" s="27">
        <f>IF($M911="","",IF($F911="Compareceu",MAX(0,$M911-N($H911)),0))</f>
        <v>0</v>
      </c>
      <c r="Q911" s="19">
        <f>IF(AND($F911="Compareceu",$E911&lt;&gt;"",$A911&lt;&gt;""),IF(IFERROR(INDEX(ProcRet,MATCH($E911,ProcNome,0)),0)&gt;0,$A911+INDEX(ProcRet,MATCH($E911,ProcNome,0)),""),"")</f>
        <v>0</v>
      </c>
      <c r="R911" s="26">
        <f>IF($Q911="","",IF(COUNTIFS(AgPac,$D911,AgData,"&gt;"&amp;$A911,AgStatus,"&lt;&gt;Cancelado",AgStatus,"&lt;&gt;Remarcado")&gt;0,"Sim","Não"))</f>
        <v>0</v>
      </c>
      <c r="S911" s="28">
        <f>IF($A911="","",IF(AND($F911="Agendado",$A911-Hoje&gt;=0,$A911-Hoje&lt;=DiasConf),"CONFIRMAR",IF(AND($A911&lt;Hoje,OR($F911="Agendado",$F911="Confirmado")),"Atualizar status",IF(AND($F911="Compareceu",$P911&gt;0.005),"Cobrar",IF($F911="Faltou","Falta: reagendar","")))))</f>
        <v>0</v>
      </c>
      <c r="T911" s="29">
        <f>IF($A911="","",DATE(YEAR($A911),MONTH($A911),1))</f>
        <v>0</v>
      </c>
      <c r="U911" s="30">
        <f>IF($S911="CONFIRMAR",MAX($U$4:$U910)+1,"")</f>
        <v>0</v>
      </c>
      <c r="V911" s="30">
        <f>IF(AND($R911="Não",$Q911&lt;&gt;"",$Q911&lt;=Hoje+JanelaRet,$Q911&gt;=Hoje-60),MAX($V$4:$V910)+1,"")</f>
        <v>0</v>
      </c>
    </row>
    <row r="912" spans="1:22">
      <c r="A912" s="16"/>
      <c r="B912" s="23"/>
      <c r="C912" s="15"/>
      <c r="D912" s="15"/>
      <c r="E912" s="15"/>
      <c r="F912" s="24"/>
      <c r="G912" s="17"/>
      <c r="H912" s="17"/>
      <c r="I912" s="15"/>
      <c r="J912" s="25">
        <f>IF($D912="","",IFERROR(INDEX(PacNome,MATCH($D912,PacCod,0)),"Paciente não cadastrado"))</f>
        <v>0</v>
      </c>
      <c r="K912" s="26">
        <f>IF($D912="","",IFERROR(INDEX(PacConv,MATCH($D912,PacCod,0))&amp;"",""))</f>
        <v>0</v>
      </c>
      <c r="L912" s="26">
        <f>IF($A912="","",CHOOSE(WEEKDAY($A912,2),"Seg","Ter","Qua","Qui","Sex","Sáb","Dom"))</f>
        <v>0</v>
      </c>
      <c r="M912" s="27">
        <f>IF($E912="","",IF($G912&lt;&gt;"",$G912,IFERROR(INDEX(ProcValor,MATCH($E912,ProcNome,0)),0)))</f>
        <v>0</v>
      </c>
      <c r="N912" s="27">
        <f>IF($M912="","",IF($F912="Compareceu",$M912,0))</f>
        <v>0</v>
      </c>
      <c r="O912" s="27">
        <f>IF($M912="","",IF($F912="Faltou",$M912,0))</f>
        <v>0</v>
      </c>
      <c r="P912" s="27">
        <f>IF($M912="","",IF($F912="Compareceu",MAX(0,$M912-N($H912)),0))</f>
        <v>0</v>
      </c>
      <c r="Q912" s="19">
        <f>IF(AND($F912="Compareceu",$E912&lt;&gt;"",$A912&lt;&gt;""),IF(IFERROR(INDEX(ProcRet,MATCH($E912,ProcNome,0)),0)&gt;0,$A912+INDEX(ProcRet,MATCH($E912,ProcNome,0)),""),"")</f>
        <v>0</v>
      </c>
      <c r="R912" s="26">
        <f>IF($Q912="","",IF(COUNTIFS(AgPac,$D912,AgData,"&gt;"&amp;$A912,AgStatus,"&lt;&gt;Cancelado",AgStatus,"&lt;&gt;Remarcado")&gt;0,"Sim","Não"))</f>
        <v>0</v>
      </c>
      <c r="S912" s="28">
        <f>IF($A912="","",IF(AND($F912="Agendado",$A912-Hoje&gt;=0,$A912-Hoje&lt;=DiasConf),"CONFIRMAR",IF(AND($A912&lt;Hoje,OR($F912="Agendado",$F912="Confirmado")),"Atualizar status",IF(AND($F912="Compareceu",$P912&gt;0.005),"Cobrar",IF($F912="Faltou","Falta: reagendar","")))))</f>
        <v>0</v>
      </c>
      <c r="T912" s="29">
        <f>IF($A912="","",DATE(YEAR($A912),MONTH($A912),1))</f>
        <v>0</v>
      </c>
      <c r="U912" s="30">
        <f>IF($S912="CONFIRMAR",MAX($U$4:$U911)+1,"")</f>
        <v>0</v>
      </c>
      <c r="V912" s="30">
        <f>IF(AND($R912="Não",$Q912&lt;&gt;"",$Q912&lt;=Hoje+JanelaRet,$Q912&gt;=Hoje-60),MAX($V$4:$V911)+1,"")</f>
        <v>0</v>
      </c>
    </row>
    <row r="913" spans="1:22">
      <c r="A913" s="16"/>
      <c r="B913" s="23"/>
      <c r="C913" s="15"/>
      <c r="D913" s="15"/>
      <c r="E913" s="15"/>
      <c r="F913" s="24"/>
      <c r="G913" s="17"/>
      <c r="H913" s="17"/>
      <c r="I913" s="15"/>
      <c r="J913" s="25">
        <f>IF($D913="","",IFERROR(INDEX(PacNome,MATCH($D913,PacCod,0)),"Paciente não cadastrado"))</f>
        <v>0</v>
      </c>
      <c r="K913" s="26">
        <f>IF($D913="","",IFERROR(INDEX(PacConv,MATCH($D913,PacCod,0))&amp;"",""))</f>
        <v>0</v>
      </c>
      <c r="L913" s="26">
        <f>IF($A913="","",CHOOSE(WEEKDAY($A913,2),"Seg","Ter","Qua","Qui","Sex","Sáb","Dom"))</f>
        <v>0</v>
      </c>
      <c r="M913" s="27">
        <f>IF($E913="","",IF($G913&lt;&gt;"",$G913,IFERROR(INDEX(ProcValor,MATCH($E913,ProcNome,0)),0)))</f>
        <v>0</v>
      </c>
      <c r="N913" s="27">
        <f>IF($M913="","",IF($F913="Compareceu",$M913,0))</f>
        <v>0</v>
      </c>
      <c r="O913" s="27">
        <f>IF($M913="","",IF($F913="Faltou",$M913,0))</f>
        <v>0</v>
      </c>
      <c r="P913" s="27">
        <f>IF($M913="","",IF($F913="Compareceu",MAX(0,$M913-N($H913)),0))</f>
        <v>0</v>
      </c>
      <c r="Q913" s="19">
        <f>IF(AND($F913="Compareceu",$E913&lt;&gt;"",$A913&lt;&gt;""),IF(IFERROR(INDEX(ProcRet,MATCH($E913,ProcNome,0)),0)&gt;0,$A913+INDEX(ProcRet,MATCH($E913,ProcNome,0)),""),"")</f>
        <v>0</v>
      </c>
      <c r="R913" s="26">
        <f>IF($Q913="","",IF(COUNTIFS(AgPac,$D913,AgData,"&gt;"&amp;$A913,AgStatus,"&lt;&gt;Cancelado",AgStatus,"&lt;&gt;Remarcado")&gt;0,"Sim","Não"))</f>
        <v>0</v>
      </c>
      <c r="S913" s="28">
        <f>IF($A913="","",IF(AND($F913="Agendado",$A913-Hoje&gt;=0,$A913-Hoje&lt;=DiasConf),"CONFIRMAR",IF(AND($A913&lt;Hoje,OR($F913="Agendado",$F913="Confirmado")),"Atualizar status",IF(AND($F913="Compareceu",$P913&gt;0.005),"Cobrar",IF($F913="Faltou","Falta: reagendar","")))))</f>
        <v>0</v>
      </c>
      <c r="T913" s="29">
        <f>IF($A913="","",DATE(YEAR($A913),MONTH($A913),1))</f>
        <v>0</v>
      </c>
      <c r="U913" s="30">
        <f>IF($S913="CONFIRMAR",MAX($U$4:$U912)+1,"")</f>
        <v>0</v>
      </c>
      <c r="V913" s="30">
        <f>IF(AND($R913="Não",$Q913&lt;&gt;"",$Q913&lt;=Hoje+JanelaRet,$Q913&gt;=Hoje-60),MAX($V$4:$V912)+1,"")</f>
        <v>0</v>
      </c>
    </row>
    <row r="914" spans="1:22">
      <c r="A914" s="16"/>
      <c r="B914" s="23"/>
      <c r="C914" s="15"/>
      <c r="D914" s="15"/>
      <c r="E914" s="15"/>
      <c r="F914" s="24"/>
      <c r="G914" s="17"/>
      <c r="H914" s="17"/>
      <c r="I914" s="15"/>
      <c r="J914" s="25">
        <f>IF($D914="","",IFERROR(INDEX(PacNome,MATCH($D914,PacCod,0)),"Paciente não cadastrado"))</f>
        <v>0</v>
      </c>
      <c r="K914" s="26">
        <f>IF($D914="","",IFERROR(INDEX(PacConv,MATCH($D914,PacCod,0))&amp;"",""))</f>
        <v>0</v>
      </c>
      <c r="L914" s="26">
        <f>IF($A914="","",CHOOSE(WEEKDAY($A914,2),"Seg","Ter","Qua","Qui","Sex","Sáb","Dom"))</f>
        <v>0</v>
      </c>
      <c r="M914" s="27">
        <f>IF($E914="","",IF($G914&lt;&gt;"",$G914,IFERROR(INDEX(ProcValor,MATCH($E914,ProcNome,0)),0)))</f>
        <v>0</v>
      </c>
      <c r="N914" s="27">
        <f>IF($M914="","",IF($F914="Compareceu",$M914,0))</f>
        <v>0</v>
      </c>
      <c r="O914" s="27">
        <f>IF($M914="","",IF($F914="Faltou",$M914,0))</f>
        <v>0</v>
      </c>
      <c r="P914" s="27">
        <f>IF($M914="","",IF($F914="Compareceu",MAX(0,$M914-N($H914)),0))</f>
        <v>0</v>
      </c>
      <c r="Q914" s="19">
        <f>IF(AND($F914="Compareceu",$E914&lt;&gt;"",$A914&lt;&gt;""),IF(IFERROR(INDEX(ProcRet,MATCH($E914,ProcNome,0)),0)&gt;0,$A914+INDEX(ProcRet,MATCH($E914,ProcNome,0)),""),"")</f>
        <v>0</v>
      </c>
      <c r="R914" s="26">
        <f>IF($Q914="","",IF(COUNTIFS(AgPac,$D914,AgData,"&gt;"&amp;$A914,AgStatus,"&lt;&gt;Cancelado",AgStatus,"&lt;&gt;Remarcado")&gt;0,"Sim","Não"))</f>
        <v>0</v>
      </c>
      <c r="S914" s="28">
        <f>IF($A914="","",IF(AND($F914="Agendado",$A914-Hoje&gt;=0,$A914-Hoje&lt;=DiasConf),"CONFIRMAR",IF(AND($A914&lt;Hoje,OR($F914="Agendado",$F914="Confirmado")),"Atualizar status",IF(AND($F914="Compareceu",$P914&gt;0.005),"Cobrar",IF($F914="Faltou","Falta: reagendar","")))))</f>
        <v>0</v>
      </c>
      <c r="T914" s="29">
        <f>IF($A914="","",DATE(YEAR($A914),MONTH($A914),1))</f>
        <v>0</v>
      </c>
      <c r="U914" s="30">
        <f>IF($S914="CONFIRMAR",MAX($U$4:$U913)+1,"")</f>
        <v>0</v>
      </c>
      <c r="V914" s="30">
        <f>IF(AND($R914="Não",$Q914&lt;&gt;"",$Q914&lt;=Hoje+JanelaRet,$Q914&gt;=Hoje-60),MAX($V$4:$V913)+1,"")</f>
        <v>0</v>
      </c>
    </row>
    <row r="915" spans="1:22">
      <c r="A915" s="16"/>
      <c r="B915" s="23"/>
      <c r="C915" s="15"/>
      <c r="D915" s="15"/>
      <c r="E915" s="15"/>
      <c r="F915" s="24"/>
      <c r="G915" s="17"/>
      <c r="H915" s="17"/>
      <c r="I915" s="15"/>
      <c r="J915" s="25">
        <f>IF($D915="","",IFERROR(INDEX(PacNome,MATCH($D915,PacCod,0)),"Paciente não cadastrado"))</f>
        <v>0</v>
      </c>
      <c r="K915" s="26">
        <f>IF($D915="","",IFERROR(INDEX(PacConv,MATCH($D915,PacCod,0))&amp;"",""))</f>
        <v>0</v>
      </c>
      <c r="L915" s="26">
        <f>IF($A915="","",CHOOSE(WEEKDAY($A915,2),"Seg","Ter","Qua","Qui","Sex","Sáb","Dom"))</f>
        <v>0</v>
      </c>
      <c r="M915" s="27">
        <f>IF($E915="","",IF($G915&lt;&gt;"",$G915,IFERROR(INDEX(ProcValor,MATCH($E915,ProcNome,0)),0)))</f>
        <v>0</v>
      </c>
      <c r="N915" s="27">
        <f>IF($M915="","",IF($F915="Compareceu",$M915,0))</f>
        <v>0</v>
      </c>
      <c r="O915" s="27">
        <f>IF($M915="","",IF($F915="Faltou",$M915,0))</f>
        <v>0</v>
      </c>
      <c r="P915" s="27">
        <f>IF($M915="","",IF($F915="Compareceu",MAX(0,$M915-N($H915)),0))</f>
        <v>0</v>
      </c>
      <c r="Q915" s="19">
        <f>IF(AND($F915="Compareceu",$E915&lt;&gt;"",$A915&lt;&gt;""),IF(IFERROR(INDEX(ProcRet,MATCH($E915,ProcNome,0)),0)&gt;0,$A915+INDEX(ProcRet,MATCH($E915,ProcNome,0)),""),"")</f>
        <v>0</v>
      </c>
      <c r="R915" s="26">
        <f>IF($Q915="","",IF(COUNTIFS(AgPac,$D915,AgData,"&gt;"&amp;$A915,AgStatus,"&lt;&gt;Cancelado",AgStatus,"&lt;&gt;Remarcado")&gt;0,"Sim","Não"))</f>
        <v>0</v>
      </c>
      <c r="S915" s="28">
        <f>IF($A915="","",IF(AND($F915="Agendado",$A915-Hoje&gt;=0,$A915-Hoje&lt;=DiasConf),"CONFIRMAR",IF(AND($A915&lt;Hoje,OR($F915="Agendado",$F915="Confirmado")),"Atualizar status",IF(AND($F915="Compareceu",$P915&gt;0.005),"Cobrar",IF($F915="Faltou","Falta: reagendar","")))))</f>
        <v>0</v>
      </c>
      <c r="T915" s="29">
        <f>IF($A915="","",DATE(YEAR($A915),MONTH($A915),1))</f>
        <v>0</v>
      </c>
      <c r="U915" s="30">
        <f>IF($S915="CONFIRMAR",MAX($U$4:$U914)+1,"")</f>
        <v>0</v>
      </c>
      <c r="V915" s="30">
        <f>IF(AND($R915="Não",$Q915&lt;&gt;"",$Q915&lt;=Hoje+JanelaRet,$Q915&gt;=Hoje-60),MAX($V$4:$V914)+1,"")</f>
        <v>0</v>
      </c>
    </row>
    <row r="916" spans="1:22">
      <c r="A916" s="16"/>
      <c r="B916" s="23"/>
      <c r="C916" s="15"/>
      <c r="D916" s="15"/>
      <c r="E916" s="15"/>
      <c r="F916" s="24"/>
      <c r="G916" s="17"/>
      <c r="H916" s="17"/>
      <c r="I916" s="15"/>
      <c r="J916" s="25">
        <f>IF($D916="","",IFERROR(INDEX(PacNome,MATCH($D916,PacCod,0)),"Paciente não cadastrado"))</f>
        <v>0</v>
      </c>
      <c r="K916" s="26">
        <f>IF($D916="","",IFERROR(INDEX(PacConv,MATCH($D916,PacCod,0))&amp;"",""))</f>
        <v>0</v>
      </c>
      <c r="L916" s="26">
        <f>IF($A916="","",CHOOSE(WEEKDAY($A916,2),"Seg","Ter","Qua","Qui","Sex","Sáb","Dom"))</f>
        <v>0</v>
      </c>
      <c r="M916" s="27">
        <f>IF($E916="","",IF($G916&lt;&gt;"",$G916,IFERROR(INDEX(ProcValor,MATCH($E916,ProcNome,0)),0)))</f>
        <v>0</v>
      </c>
      <c r="N916" s="27">
        <f>IF($M916="","",IF($F916="Compareceu",$M916,0))</f>
        <v>0</v>
      </c>
      <c r="O916" s="27">
        <f>IF($M916="","",IF($F916="Faltou",$M916,0))</f>
        <v>0</v>
      </c>
      <c r="P916" s="27">
        <f>IF($M916="","",IF($F916="Compareceu",MAX(0,$M916-N($H916)),0))</f>
        <v>0</v>
      </c>
      <c r="Q916" s="19">
        <f>IF(AND($F916="Compareceu",$E916&lt;&gt;"",$A916&lt;&gt;""),IF(IFERROR(INDEX(ProcRet,MATCH($E916,ProcNome,0)),0)&gt;0,$A916+INDEX(ProcRet,MATCH($E916,ProcNome,0)),""),"")</f>
        <v>0</v>
      </c>
      <c r="R916" s="26">
        <f>IF($Q916="","",IF(COUNTIFS(AgPac,$D916,AgData,"&gt;"&amp;$A916,AgStatus,"&lt;&gt;Cancelado",AgStatus,"&lt;&gt;Remarcado")&gt;0,"Sim","Não"))</f>
        <v>0</v>
      </c>
      <c r="S916" s="28">
        <f>IF($A916="","",IF(AND($F916="Agendado",$A916-Hoje&gt;=0,$A916-Hoje&lt;=DiasConf),"CONFIRMAR",IF(AND($A916&lt;Hoje,OR($F916="Agendado",$F916="Confirmado")),"Atualizar status",IF(AND($F916="Compareceu",$P916&gt;0.005),"Cobrar",IF($F916="Faltou","Falta: reagendar","")))))</f>
        <v>0</v>
      </c>
      <c r="T916" s="29">
        <f>IF($A916="","",DATE(YEAR($A916),MONTH($A916),1))</f>
        <v>0</v>
      </c>
      <c r="U916" s="30">
        <f>IF($S916="CONFIRMAR",MAX($U$4:$U915)+1,"")</f>
        <v>0</v>
      </c>
      <c r="V916" s="30">
        <f>IF(AND($R916="Não",$Q916&lt;&gt;"",$Q916&lt;=Hoje+JanelaRet,$Q916&gt;=Hoje-60),MAX($V$4:$V915)+1,"")</f>
        <v>0</v>
      </c>
    </row>
    <row r="917" spans="1:22">
      <c r="A917" s="16"/>
      <c r="B917" s="23"/>
      <c r="C917" s="15"/>
      <c r="D917" s="15"/>
      <c r="E917" s="15"/>
      <c r="F917" s="24"/>
      <c r="G917" s="17"/>
      <c r="H917" s="17"/>
      <c r="I917" s="15"/>
      <c r="J917" s="25">
        <f>IF($D917="","",IFERROR(INDEX(PacNome,MATCH($D917,PacCod,0)),"Paciente não cadastrado"))</f>
        <v>0</v>
      </c>
      <c r="K917" s="26">
        <f>IF($D917="","",IFERROR(INDEX(PacConv,MATCH($D917,PacCod,0))&amp;"",""))</f>
        <v>0</v>
      </c>
      <c r="L917" s="26">
        <f>IF($A917="","",CHOOSE(WEEKDAY($A917,2),"Seg","Ter","Qua","Qui","Sex","Sáb","Dom"))</f>
        <v>0</v>
      </c>
      <c r="M917" s="27">
        <f>IF($E917="","",IF($G917&lt;&gt;"",$G917,IFERROR(INDEX(ProcValor,MATCH($E917,ProcNome,0)),0)))</f>
        <v>0</v>
      </c>
      <c r="N917" s="27">
        <f>IF($M917="","",IF($F917="Compareceu",$M917,0))</f>
        <v>0</v>
      </c>
      <c r="O917" s="27">
        <f>IF($M917="","",IF($F917="Faltou",$M917,0))</f>
        <v>0</v>
      </c>
      <c r="P917" s="27">
        <f>IF($M917="","",IF($F917="Compareceu",MAX(0,$M917-N($H917)),0))</f>
        <v>0</v>
      </c>
      <c r="Q917" s="19">
        <f>IF(AND($F917="Compareceu",$E917&lt;&gt;"",$A917&lt;&gt;""),IF(IFERROR(INDEX(ProcRet,MATCH($E917,ProcNome,0)),0)&gt;0,$A917+INDEX(ProcRet,MATCH($E917,ProcNome,0)),""),"")</f>
        <v>0</v>
      </c>
      <c r="R917" s="26">
        <f>IF($Q917="","",IF(COUNTIFS(AgPac,$D917,AgData,"&gt;"&amp;$A917,AgStatus,"&lt;&gt;Cancelado",AgStatus,"&lt;&gt;Remarcado")&gt;0,"Sim","Não"))</f>
        <v>0</v>
      </c>
      <c r="S917" s="28">
        <f>IF($A917="","",IF(AND($F917="Agendado",$A917-Hoje&gt;=0,$A917-Hoje&lt;=DiasConf),"CONFIRMAR",IF(AND($A917&lt;Hoje,OR($F917="Agendado",$F917="Confirmado")),"Atualizar status",IF(AND($F917="Compareceu",$P917&gt;0.005),"Cobrar",IF($F917="Faltou","Falta: reagendar","")))))</f>
        <v>0</v>
      </c>
      <c r="T917" s="29">
        <f>IF($A917="","",DATE(YEAR($A917),MONTH($A917),1))</f>
        <v>0</v>
      </c>
      <c r="U917" s="30">
        <f>IF($S917="CONFIRMAR",MAX($U$4:$U916)+1,"")</f>
        <v>0</v>
      </c>
      <c r="V917" s="30">
        <f>IF(AND($R917="Não",$Q917&lt;&gt;"",$Q917&lt;=Hoje+JanelaRet,$Q917&gt;=Hoje-60),MAX($V$4:$V916)+1,"")</f>
        <v>0</v>
      </c>
    </row>
    <row r="918" spans="1:22">
      <c r="A918" s="16"/>
      <c r="B918" s="23"/>
      <c r="C918" s="15"/>
      <c r="D918" s="15"/>
      <c r="E918" s="15"/>
      <c r="F918" s="24"/>
      <c r="G918" s="17"/>
      <c r="H918" s="17"/>
      <c r="I918" s="15"/>
      <c r="J918" s="25">
        <f>IF($D918="","",IFERROR(INDEX(PacNome,MATCH($D918,PacCod,0)),"Paciente não cadastrado"))</f>
        <v>0</v>
      </c>
      <c r="K918" s="26">
        <f>IF($D918="","",IFERROR(INDEX(PacConv,MATCH($D918,PacCod,0))&amp;"",""))</f>
        <v>0</v>
      </c>
      <c r="L918" s="26">
        <f>IF($A918="","",CHOOSE(WEEKDAY($A918,2),"Seg","Ter","Qua","Qui","Sex","Sáb","Dom"))</f>
        <v>0</v>
      </c>
      <c r="M918" s="27">
        <f>IF($E918="","",IF($G918&lt;&gt;"",$G918,IFERROR(INDEX(ProcValor,MATCH($E918,ProcNome,0)),0)))</f>
        <v>0</v>
      </c>
      <c r="N918" s="27">
        <f>IF($M918="","",IF($F918="Compareceu",$M918,0))</f>
        <v>0</v>
      </c>
      <c r="O918" s="27">
        <f>IF($M918="","",IF($F918="Faltou",$M918,0))</f>
        <v>0</v>
      </c>
      <c r="P918" s="27">
        <f>IF($M918="","",IF($F918="Compareceu",MAX(0,$M918-N($H918)),0))</f>
        <v>0</v>
      </c>
      <c r="Q918" s="19">
        <f>IF(AND($F918="Compareceu",$E918&lt;&gt;"",$A918&lt;&gt;""),IF(IFERROR(INDEX(ProcRet,MATCH($E918,ProcNome,0)),0)&gt;0,$A918+INDEX(ProcRet,MATCH($E918,ProcNome,0)),""),"")</f>
        <v>0</v>
      </c>
      <c r="R918" s="26">
        <f>IF($Q918="","",IF(COUNTIFS(AgPac,$D918,AgData,"&gt;"&amp;$A918,AgStatus,"&lt;&gt;Cancelado",AgStatus,"&lt;&gt;Remarcado")&gt;0,"Sim","Não"))</f>
        <v>0</v>
      </c>
      <c r="S918" s="28">
        <f>IF($A918="","",IF(AND($F918="Agendado",$A918-Hoje&gt;=0,$A918-Hoje&lt;=DiasConf),"CONFIRMAR",IF(AND($A918&lt;Hoje,OR($F918="Agendado",$F918="Confirmado")),"Atualizar status",IF(AND($F918="Compareceu",$P918&gt;0.005),"Cobrar",IF($F918="Faltou","Falta: reagendar","")))))</f>
        <v>0</v>
      </c>
      <c r="T918" s="29">
        <f>IF($A918="","",DATE(YEAR($A918),MONTH($A918),1))</f>
        <v>0</v>
      </c>
      <c r="U918" s="30">
        <f>IF($S918="CONFIRMAR",MAX($U$4:$U917)+1,"")</f>
        <v>0</v>
      </c>
      <c r="V918" s="30">
        <f>IF(AND($R918="Não",$Q918&lt;&gt;"",$Q918&lt;=Hoje+JanelaRet,$Q918&gt;=Hoje-60),MAX($V$4:$V917)+1,"")</f>
        <v>0</v>
      </c>
    </row>
    <row r="919" spans="1:22">
      <c r="A919" s="16"/>
      <c r="B919" s="23"/>
      <c r="C919" s="15"/>
      <c r="D919" s="15"/>
      <c r="E919" s="15"/>
      <c r="F919" s="24"/>
      <c r="G919" s="17"/>
      <c r="H919" s="17"/>
      <c r="I919" s="15"/>
      <c r="J919" s="25">
        <f>IF($D919="","",IFERROR(INDEX(PacNome,MATCH($D919,PacCod,0)),"Paciente não cadastrado"))</f>
        <v>0</v>
      </c>
      <c r="K919" s="26">
        <f>IF($D919="","",IFERROR(INDEX(PacConv,MATCH($D919,PacCod,0))&amp;"",""))</f>
        <v>0</v>
      </c>
      <c r="L919" s="26">
        <f>IF($A919="","",CHOOSE(WEEKDAY($A919,2),"Seg","Ter","Qua","Qui","Sex","Sáb","Dom"))</f>
        <v>0</v>
      </c>
      <c r="M919" s="27">
        <f>IF($E919="","",IF($G919&lt;&gt;"",$G919,IFERROR(INDEX(ProcValor,MATCH($E919,ProcNome,0)),0)))</f>
        <v>0</v>
      </c>
      <c r="N919" s="27">
        <f>IF($M919="","",IF($F919="Compareceu",$M919,0))</f>
        <v>0</v>
      </c>
      <c r="O919" s="27">
        <f>IF($M919="","",IF($F919="Faltou",$M919,0))</f>
        <v>0</v>
      </c>
      <c r="P919" s="27">
        <f>IF($M919="","",IF($F919="Compareceu",MAX(0,$M919-N($H919)),0))</f>
        <v>0</v>
      </c>
      <c r="Q919" s="19">
        <f>IF(AND($F919="Compareceu",$E919&lt;&gt;"",$A919&lt;&gt;""),IF(IFERROR(INDEX(ProcRet,MATCH($E919,ProcNome,0)),0)&gt;0,$A919+INDEX(ProcRet,MATCH($E919,ProcNome,0)),""),"")</f>
        <v>0</v>
      </c>
      <c r="R919" s="26">
        <f>IF($Q919="","",IF(COUNTIFS(AgPac,$D919,AgData,"&gt;"&amp;$A919,AgStatus,"&lt;&gt;Cancelado",AgStatus,"&lt;&gt;Remarcado")&gt;0,"Sim","Não"))</f>
        <v>0</v>
      </c>
      <c r="S919" s="28">
        <f>IF($A919="","",IF(AND($F919="Agendado",$A919-Hoje&gt;=0,$A919-Hoje&lt;=DiasConf),"CONFIRMAR",IF(AND($A919&lt;Hoje,OR($F919="Agendado",$F919="Confirmado")),"Atualizar status",IF(AND($F919="Compareceu",$P919&gt;0.005),"Cobrar",IF($F919="Faltou","Falta: reagendar","")))))</f>
        <v>0</v>
      </c>
      <c r="T919" s="29">
        <f>IF($A919="","",DATE(YEAR($A919),MONTH($A919),1))</f>
        <v>0</v>
      </c>
      <c r="U919" s="30">
        <f>IF($S919="CONFIRMAR",MAX($U$4:$U918)+1,"")</f>
        <v>0</v>
      </c>
      <c r="V919" s="30">
        <f>IF(AND($R919="Não",$Q919&lt;&gt;"",$Q919&lt;=Hoje+JanelaRet,$Q919&gt;=Hoje-60),MAX($V$4:$V918)+1,"")</f>
        <v>0</v>
      </c>
    </row>
    <row r="920" spans="1:22">
      <c r="A920" s="16"/>
      <c r="B920" s="23"/>
      <c r="C920" s="15"/>
      <c r="D920" s="15"/>
      <c r="E920" s="15"/>
      <c r="F920" s="24"/>
      <c r="G920" s="17"/>
      <c r="H920" s="17"/>
      <c r="I920" s="15"/>
      <c r="J920" s="25">
        <f>IF($D920="","",IFERROR(INDEX(PacNome,MATCH($D920,PacCod,0)),"Paciente não cadastrado"))</f>
        <v>0</v>
      </c>
      <c r="K920" s="26">
        <f>IF($D920="","",IFERROR(INDEX(PacConv,MATCH($D920,PacCod,0))&amp;"",""))</f>
        <v>0</v>
      </c>
      <c r="L920" s="26">
        <f>IF($A920="","",CHOOSE(WEEKDAY($A920,2),"Seg","Ter","Qua","Qui","Sex","Sáb","Dom"))</f>
        <v>0</v>
      </c>
      <c r="M920" s="27">
        <f>IF($E920="","",IF($G920&lt;&gt;"",$G920,IFERROR(INDEX(ProcValor,MATCH($E920,ProcNome,0)),0)))</f>
        <v>0</v>
      </c>
      <c r="N920" s="27">
        <f>IF($M920="","",IF($F920="Compareceu",$M920,0))</f>
        <v>0</v>
      </c>
      <c r="O920" s="27">
        <f>IF($M920="","",IF($F920="Faltou",$M920,0))</f>
        <v>0</v>
      </c>
      <c r="P920" s="27">
        <f>IF($M920="","",IF($F920="Compareceu",MAX(0,$M920-N($H920)),0))</f>
        <v>0</v>
      </c>
      <c r="Q920" s="19">
        <f>IF(AND($F920="Compareceu",$E920&lt;&gt;"",$A920&lt;&gt;""),IF(IFERROR(INDEX(ProcRet,MATCH($E920,ProcNome,0)),0)&gt;0,$A920+INDEX(ProcRet,MATCH($E920,ProcNome,0)),""),"")</f>
        <v>0</v>
      </c>
      <c r="R920" s="26">
        <f>IF($Q920="","",IF(COUNTIFS(AgPac,$D920,AgData,"&gt;"&amp;$A920,AgStatus,"&lt;&gt;Cancelado",AgStatus,"&lt;&gt;Remarcado")&gt;0,"Sim","Não"))</f>
        <v>0</v>
      </c>
      <c r="S920" s="28">
        <f>IF($A920="","",IF(AND($F920="Agendado",$A920-Hoje&gt;=0,$A920-Hoje&lt;=DiasConf),"CONFIRMAR",IF(AND($A920&lt;Hoje,OR($F920="Agendado",$F920="Confirmado")),"Atualizar status",IF(AND($F920="Compareceu",$P920&gt;0.005),"Cobrar",IF($F920="Faltou","Falta: reagendar","")))))</f>
        <v>0</v>
      </c>
      <c r="T920" s="29">
        <f>IF($A920="","",DATE(YEAR($A920),MONTH($A920),1))</f>
        <v>0</v>
      </c>
      <c r="U920" s="30">
        <f>IF($S920="CONFIRMAR",MAX($U$4:$U919)+1,"")</f>
        <v>0</v>
      </c>
      <c r="V920" s="30">
        <f>IF(AND($R920="Não",$Q920&lt;&gt;"",$Q920&lt;=Hoje+JanelaRet,$Q920&gt;=Hoje-60),MAX($V$4:$V919)+1,"")</f>
        <v>0</v>
      </c>
    </row>
    <row r="921" spans="1:22">
      <c r="A921" s="16"/>
      <c r="B921" s="23"/>
      <c r="C921" s="15"/>
      <c r="D921" s="15"/>
      <c r="E921" s="15"/>
      <c r="F921" s="24"/>
      <c r="G921" s="17"/>
      <c r="H921" s="17"/>
      <c r="I921" s="15"/>
      <c r="J921" s="25">
        <f>IF($D921="","",IFERROR(INDEX(PacNome,MATCH($D921,PacCod,0)),"Paciente não cadastrado"))</f>
        <v>0</v>
      </c>
      <c r="K921" s="26">
        <f>IF($D921="","",IFERROR(INDEX(PacConv,MATCH($D921,PacCod,0))&amp;"",""))</f>
        <v>0</v>
      </c>
      <c r="L921" s="26">
        <f>IF($A921="","",CHOOSE(WEEKDAY($A921,2),"Seg","Ter","Qua","Qui","Sex","Sáb","Dom"))</f>
        <v>0</v>
      </c>
      <c r="M921" s="27">
        <f>IF($E921="","",IF($G921&lt;&gt;"",$G921,IFERROR(INDEX(ProcValor,MATCH($E921,ProcNome,0)),0)))</f>
        <v>0</v>
      </c>
      <c r="N921" s="27">
        <f>IF($M921="","",IF($F921="Compareceu",$M921,0))</f>
        <v>0</v>
      </c>
      <c r="O921" s="27">
        <f>IF($M921="","",IF($F921="Faltou",$M921,0))</f>
        <v>0</v>
      </c>
      <c r="P921" s="27">
        <f>IF($M921="","",IF($F921="Compareceu",MAX(0,$M921-N($H921)),0))</f>
        <v>0</v>
      </c>
      <c r="Q921" s="19">
        <f>IF(AND($F921="Compareceu",$E921&lt;&gt;"",$A921&lt;&gt;""),IF(IFERROR(INDEX(ProcRet,MATCH($E921,ProcNome,0)),0)&gt;0,$A921+INDEX(ProcRet,MATCH($E921,ProcNome,0)),""),"")</f>
        <v>0</v>
      </c>
      <c r="R921" s="26">
        <f>IF($Q921="","",IF(COUNTIFS(AgPac,$D921,AgData,"&gt;"&amp;$A921,AgStatus,"&lt;&gt;Cancelado",AgStatus,"&lt;&gt;Remarcado")&gt;0,"Sim","Não"))</f>
        <v>0</v>
      </c>
      <c r="S921" s="28">
        <f>IF($A921="","",IF(AND($F921="Agendado",$A921-Hoje&gt;=0,$A921-Hoje&lt;=DiasConf),"CONFIRMAR",IF(AND($A921&lt;Hoje,OR($F921="Agendado",$F921="Confirmado")),"Atualizar status",IF(AND($F921="Compareceu",$P921&gt;0.005),"Cobrar",IF($F921="Faltou","Falta: reagendar","")))))</f>
        <v>0</v>
      </c>
      <c r="T921" s="29">
        <f>IF($A921="","",DATE(YEAR($A921),MONTH($A921),1))</f>
        <v>0</v>
      </c>
      <c r="U921" s="30">
        <f>IF($S921="CONFIRMAR",MAX($U$4:$U920)+1,"")</f>
        <v>0</v>
      </c>
      <c r="V921" s="30">
        <f>IF(AND($R921="Não",$Q921&lt;&gt;"",$Q921&lt;=Hoje+JanelaRet,$Q921&gt;=Hoje-60),MAX($V$4:$V920)+1,"")</f>
        <v>0</v>
      </c>
    </row>
    <row r="922" spans="1:22">
      <c r="A922" s="16"/>
      <c r="B922" s="23"/>
      <c r="C922" s="15"/>
      <c r="D922" s="15"/>
      <c r="E922" s="15"/>
      <c r="F922" s="24"/>
      <c r="G922" s="17"/>
      <c r="H922" s="17"/>
      <c r="I922" s="15"/>
      <c r="J922" s="25">
        <f>IF($D922="","",IFERROR(INDEX(PacNome,MATCH($D922,PacCod,0)),"Paciente não cadastrado"))</f>
        <v>0</v>
      </c>
      <c r="K922" s="26">
        <f>IF($D922="","",IFERROR(INDEX(PacConv,MATCH($D922,PacCod,0))&amp;"",""))</f>
        <v>0</v>
      </c>
      <c r="L922" s="26">
        <f>IF($A922="","",CHOOSE(WEEKDAY($A922,2),"Seg","Ter","Qua","Qui","Sex","Sáb","Dom"))</f>
        <v>0</v>
      </c>
      <c r="M922" s="27">
        <f>IF($E922="","",IF($G922&lt;&gt;"",$G922,IFERROR(INDEX(ProcValor,MATCH($E922,ProcNome,0)),0)))</f>
        <v>0</v>
      </c>
      <c r="N922" s="27">
        <f>IF($M922="","",IF($F922="Compareceu",$M922,0))</f>
        <v>0</v>
      </c>
      <c r="O922" s="27">
        <f>IF($M922="","",IF($F922="Faltou",$M922,0))</f>
        <v>0</v>
      </c>
      <c r="P922" s="27">
        <f>IF($M922="","",IF($F922="Compareceu",MAX(0,$M922-N($H922)),0))</f>
        <v>0</v>
      </c>
      <c r="Q922" s="19">
        <f>IF(AND($F922="Compareceu",$E922&lt;&gt;"",$A922&lt;&gt;""),IF(IFERROR(INDEX(ProcRet,MATCH($E922,ProcNome,0)),0)&gt;0,$A922+INDEX(ProcRet,MATCH($E922,ProcNome,0)),""),"")</f>
        <v>0</v>
      </c>
      <c r="R922" s="26">
        <f>IF($Q922="","",IF(COUNTIFS(AgPac,$D922,AgData,"&gt;"&amp;$A922,AgStatus,"&lt;&gt;Cancelado",AgStatus,"&lt;&gt;Remarcado")&gt;0,"Sim","Não"))</f>
        <v>0</v>
      </c>
      <c r="S922" s="28">
        <f>IF($A922="","",IF(AND($F922="Agendado",$A922-Hoje&gt;=0,$A922-Hoje&lt;=DiasConf),"CONFIRMAR",IF(AND($A922&lt;Hoje,OR($F922="Agendado",$F922="Confirmado")),"Atualizar status",IF(AND($F922="Compareceu",$P922&gt;0.005),"Cobrar",IF($F922="Faltou","Falta: reagendar","")))))</f>
        <v>0</v>
      </c>
      <c r="T922" s="29">
        <f>IF($A922="","",DATE(YEAR($A922),MONTH($A922),1))</f>
        <v>0</v>
      </c>
      <c r="U922" s="30">
        <f>IF($S922="CONFIRMAR",MAX($U$4:$U921)+1,"")</f>
        <v>0</v>
      </c>
      <c r="V922" s="30">
        <f>IF(AND($R922="Não",$Q922&lt;&gt;"",$Q922&lt;=Hoje+JanelaRet,$Q922&gt;=Hoje-60),MAX($V$4:$V921)+1,"")</f>
        <v>0</v>
      </c>
    </row>
    <row r="923" spans="1:22">
      <c r="A923" s="16"/>
      <c r="B923" s="23"/>
      <c r="C923" s="15"/>
      <c r="D923" s="15"/>
      <c r="E923" s="15"/>
      <c r="F923" s="24"/>
      <c r="G923" s="17"/>
      <c r="H923" s="17"/>
      <c r="I923" s="15"/>
      <c r="J923" s="25">
        <f>IF($D923="","",IFERROR(INDEX(PacNome,MATCH($D923,PacCod,0)),"Paciente não cadastrado"))</f>
        <v>0</v>
      </c>
      <c r="K923" s="26">
        <f>IF($D923="","",IFERROR(INDEX(PacConv,MATCH($D923,PacCod,0))&amp;"",""))</f>
        <v>0</v>
      </c>
      <c r="L923" s="26">
        <f>IF($A923="","",CHOOSE(WEEKDAY($A923,2),"Seg","Ter","Qua","Qui","Sex","Sáb","Dom"))</f>
        <v>0</v>
      </c>
      <c r="M923" s="27">
        <f>IF($E923="","",IF($G923&lt;&gt;"",$G923,IFERROR(INDEX(ProcValor,MATCH($E923,ProcNome,0)),0)))</f>
        <v>0</v>
      </c>
      <c r="N923" s="27">
        <f>IF($M923="","",IF($F923="Compareceu",$M923,0))</f>
        <v>0</v>
      </c>
      <c r="O923" s="27">
        <f>IF($M923="","",IF($F923="Faltou",$M923,0))</f>
        <v>0</v>
      </c>
      <c r="P923" s="27">
        <f>IF($M923="","",IF($F923="Compareceu",MAX(0,$M923-N($H923)),0))</f>
        <v>0</v>
      </c>
      <c r="Q923" s="19">
        <f>IF(AND($F923="Compareceu",$E923&lt;&gt;"",$A923&lt;&gt;""),IF(IFERROR(INDEX(ProcRet,MATCH($E923,ProcNome,0)),0)&gt;0,$A923+INDEX(ProcRet,MATCH($E923,ProcNome,0)),""),"")</f>
        <v>0</v>
      </c>
      <c r="R923" s="26">
        <f>IF($Q923="","",IF(COUNTIFS(AgPac,$D923,AgData,"&gt;"&amp;$A923,AgStatus,"&lt;&gt;Cancelado",AgStatus,"&lt;&gt;Remarcado")&gt;0,"Sim","Não"))</f>
        <v>0</v>
      </c>
      <c r="S923" s="28">
        <f>IF($A923="","",IF(AND($F923="Agendado",$A923-Hoje&gt;=0,$A923-Hoje&lt;=DiasConf),"CONFIRMAR",IF(AND($A923&lt;Hoje,OR($F923="Agendado",$F923="Confirmado")),"Atualizar status",IF(AND($F923="Compareceu",$P923&gt;0.005),"Cobrar",IF($F923="Faltou","Falta: reagendar","")))))</f>
        <v>0</v>
      </c>
      <c r="T923" s="29">
        <f>IF($A923="","",DATE(YEAR($A923),MONTH($A923),1))</f>
        <v>0</v>
      </c>
      <c r="U923" s="30">
        <f>IF($S923="CONFIRMAR",MAX($U$4:$U922)+1,"")</f>
        <v>0</v>
      </c>
      <c r="V923" s="30">
        <f>IF(AND($R923="Não",$Q923&lt;&gt;"",$Q923&lt;=Hoje+JanelaRet,$Q923&gt;=Hoje-60),MAX($V$4:$V922)+1,"")</f>
        <v>0</v>
      </c>
    </row>
    <row r="924" spans="1:22">
      <c r="A924" s="16"/>
      <c r="B924" s="23"/>
      <c r="C924" s="15"/>
      <c r="D924" s="15"/>
      <c r="E924" s="15"/>
      <c r="F924" s="24"/>
      <c r="G924" s="17"/>
      <c r="H924" s="17"/>
      <c r="I924" s="15"/>
      <c r="J924" s="25">
        <f>IF($D924="","",IFERROR(INDEX(PacNome,MATCH($D924,PacCod,0)),"Paciente não cadastrado"))</f>
        <v>0</v>
      </c>
      <c r="K924" s="26">
        <f>IF($D924="","",IFERROR(INDEX(PacConv,MATCH($D924,PacCod,0))&amp;"",""))</f>
        <v>0</v>
      </c>
      <c r="L924" s="26">
        <f>IF($A924="","",CHOOSE(WEEKDAY($A924,2),"Seg","Ter","Qua","Qui","Sex","Sáb","Dom"))</f>
        <v>0</v>
      </c>
      <c r="M924" s="27">
        <f>IF($E924="","",IF($G924&lt;&gt;"",$G924,IFERROR(INDEX(ProcValor,MATCH($E924,ProcNome,0)),0)))</f>
        <v>0</v>
      </c>
      <c r="N924" s="27">
        <f>IF($M924="","",IF($F924="Compareceu",$M924,0))</f>
        <v>0</v>
      </c>
      <c r="O924" s="27">
        <f>IF($M924="","",IF($F924="Faltou",$M924,0))</f>
        <v>0</v>
      </c>
      <c r="P924" s="27">
        <f>IF($M924="","",IF($F924="Compareceu",MAX(0,$M924-N($H924)),0))</f>
        <v>0</v>
      </c>
      <c r="Q924" s="19">
        <f>IF(AND($F924="Compareceu",$E924&lt;&gt;"",$A924&lt;&gt;""),IF(IFERROR(INDEX(ProcRet,MATCH($E924,ProcNome,0)),0)&gt;0,$A924+INDEX(ProcRet,MATCH($E924,ProcNome,0)),""),"")</f>
        <v>0</v>
      </c>
      <c r="R924" s="26">
        <f>IF($Q924="","",IF(COUNTIFS(AgPac,$D924,AgData,"&gt;"&amp;$A924,AgStatus,"&lt;&gt;Cancelado",AgStatus,"&lt;&gt;Remarcado")&gt;0,"Sim","Não"))</f>
        <v>0</v>
      </c>
      <c r="S924" s="28">
        <f>IF($A924="","",IF(AND($F924="Agendado",$A924-Hoje&gt;=0,$A924-Hoje&lt;=DiasConf),"CONFIRMAR",IF(AND($A924&lt;Hoje,OR($F924="Agendado",$F924="Confirmado")),"Atualizar status",IF(AND($F924="Compareceu",$P924&gt;0.005),"Cobrar",IF($F924="Faltou","Falta: reagendar","")))))</f>
        <v>0</v>
      </c>
      <c r="T924" s="29">
        <f>IF($A924="","",DATE(YEAR($A924),MONTH($A924),1))</f>
        <v>0</v>
      </c>
      <c r="U924" s="30">
        <f>IF($S924="CONFIRMAR",MAX($U$4:$U923)+1,"")</f>
        <v>0</v>
      </c>
      <c r="V924" s="30">
        <f>IF(AND($R924="Não",$Q924&lt;&gt;"",$Q924&lt;=Hoje+JanelaRet,$Q924&gt;=Hoje-60),MAX($V$4:$V923)+1,"")</f>
        <v>0</v>
      </c>
    </row>
    <row r="925" spans="1:22">
      <c r="A925" s="16"/>
      <c r="B925" s="23"/>
      <c r="C925" s="15"/>
      <c r="D925" s="15"/>
      <c r="E925" s="15"/>
      <c r="F925" s="24"/>
      <c r="G925" s="17"/>
      <c r="H925" s="17"/>
      <c r="I925" s="15"/>
      <c r="J925" s="25">
        <f>IF($D925="","",IFERROR(INDEX(PacNome,MATCH($D925,PacCod,0)),"Paciente não cadastrado"))</f>
        <v>0</v>
      </c>
      <c r="K925" s="26">
        <f>IF($D925="","",IFERROR(INDEX(PacConv,MATCH($D925,PacCod,0))&amp;"",""))</f>
        <v>0</v>
      </c>
      <c r="L925" s="26">
        <f>IF($A925="","",CHOOSE(WEEKDAY($A925,2),"Seg","Ter","Qua","Qui","Sex","Sáb","Dom"))</f>
        <v>0</v>
      </c>
      <c r="M925" s="27">
        <f>IF($E925="","",IF($G925&lt;&gt;"",$G925,IFERROR(INDEX(ProcValor,MATCH($E925,ProcNome,0)),0)))</f>
        <v>0</v>
      </c>
      <c r="N925" s="27">
        <f>IF($M925="","",IF($F925="Compareceu",$M925,0))</f>
        <v>0</v>
      </c>
      <c r="O925" s="27">
        <f>IF($M925="","",IF($F925="Faltou",$M925,0))</f>
        <v>0</v>
      </c>
      <c r="P925" s="27">
        <f>IF($M925="","",IF($F925="Compareceu",MAX(0,$M925-N($H925)),0))</f>
        <v>0</v>
      </c>
      <c r="Q925" s="19">
        <f>IF(AND($F925="Compareceu",$E925&lt;&gt;"",$A925&lt;&gt;""),IF(IFERROR(INDEX(ProcRet,MATCH($E925,ProcNome,0)),0)&gt;0,$A925+INDEX(ProcRet,MATCH($E925,ProcNome,0)),""),"")</f>
        <v>0</v>
      </c>
      <c r="R925" s="26">
        <f>IF($Q925="","",IF(COUNTIFS(AgPac,$D925,AgData,"&gt;"&amp;$A925,AgStatus,"&lt;&gt;Cancelado",AgStatus,"&lt;&gt;Remarcado")&gt;0,"Sim","Não"))</f>
        <v>0</v>
      </c>
      <c r="S925" s="28">
        <f>IF($A925="","",IF(AND($F925="Agendado",$A925-Hoje&gt;=0,$A925-Hoje&lt;=DiasConf),"CONFIRMAR",IF(AND($A925&lt;Hoje,OR($F925="Agendado",$F925="Confirmado")),"Atualizar status",IF(AND($F925="Compareceu",$P925&gt;0.005),"Cobrar",IF($F925="Faltou","Falta: reagendar","")))))</f>
        <v>0</v>
      </c>
      <c r="T925" s="29">
        <f>IF($A925="","",DATE(YEAR($A925),MONTH($A925),1))</f>
        <v>0</v>
      </c>
      <c r="U925" s="30">
        <f>IF($S925="CONFIRMAR",MAX($U$4:$U924)+1,"")</f>
        <v>0</v>
      </c>
      <c r="V925" s="30">
        <f>IF(AND($R925="Não",$Q925&lt;&gt;"",$Q925&lt;=Hoje+JanelaRet,$Q925&gt;=Hoje-60),MAX($V$4:$V924)+1,"")</f>
        <v>0</v>
      </c>
    </row>
    <row r="926" spans="1:22">
      <c r="A926" s="16"/>
      <c r="B926" s="23"/>
      <c r="C926" s="15"/>
      <c r="D926" s="15"/>
      <c r="E926" s="15"/>
      <c r="F926" s="24"/>
      <c r="G926" s="17"/>
      <c r="H926" s="17"/>
      <c r="I926" s="15"/>
      <c r="J926" s="25">
        <f>IF($D926="","",IFERROR(INDEX(PacNome,MATCH($D926,PacCod,0)),"Paciente não cadastrado"))</f>
        <v>0</v>
      </c>
      <c r="K926" s="26">
        <f>IF($D926="","",IFERROR(INDEX(PacConv,MATCH($D926,PacCod,0))&amp;"",""))</f>
        <v>0</v>
      </c>
      <c r="L926" s="26">
        <f>IF($A926="","",CHOOSE(WEEKDAY($A926,2),"Seg","Ter","Qua","Qui","Sex","Sáb","Dom"))</f>
        <v>0</v>
      </c>
      <c r="M926" s="27">
        <f>IF($E926="","",IF($G926&lt;&gt;"",$G926,IFERROR(INDEX(ProcValor,MATCH($E926,ProcNome,0)),0)))</f>
        <v>0</v>
      </c>
      <c r="N926" s="27">
        <f>IF($M926="","",IF($F926="Compareceu",$M926,0))</f>
        <v>0</v>
      </c>
      <c r="O926" s="27">
        <f>IF($M926="","",IF($F926="Faltou",$M926,0))</f>
        <v>0</v>
      </c>
      <c r="P926" s="27">
        <f>IF($M926="","",IF($F926="Compareceu",MAX(0,$M926-N($H926)),0))</f>
        <v>0</v>
      </c>
      <c r="Q926" s="19">
        <f>IF(AND($F926="Compareceu",$E926&lt;&gt;"",$A926&lt;&gt;""),IF(IFERROR(INDEX(ProcRet,MATCH($E926,ProcNome,0)),0)&gt;0,$A926+INDEX(ProcRet,MATCH($E926,ProcNome,0)),""),"")</f>
        <v>0</v>
      </c>
      <c r="R926" s="26">
        <f>IF($Q926="","",IF(COUNTIFS(AgPac,$D926,AgData,"&gt;"&amp;$A926,AgStatus,"&lt;&gt;Cancelado",AgStatus,"&lt;&gt;Remarcado")&gt;0,"Sim","Não"))</f>
        <v>0</v>
      </c>
      <c r="S926" s="28">
        <f>IF($A926="","",IF(AND($F926="Agendado",$A926-Hoje&gt;=0,$A926-Hoje&lt;=DiasConf),"CONFIRMAR",IF(AND($A926&lt;Hoje,OR($F926="Agendado",$F926="Confirmado")),"Atualizar status",IF(AND($F926="Compareceu",$P926&gt;0.005),"Cobrar",IF($F926="Faltou","Falta: reagendar","")))))</f>
        <v>0</v>
      </c>
      <c r="T926" s="29">
        <f>IF($A926="","",DATE(YEAR($A926),MONTH($A926),1))</f>
        <v>0</v>
      </c>
      <c r="U926" s="30">
        <f>IF($S926="CONFIRMAR",MAX($U$4:$U925)+1,"")</f>
        <v>0</v>
      </c>
      <c r="V926" s="30">
        <f>IF(AND($R926="Não",$Q926&lt;&gt;"",$Q926&lt;=Hoje+JanelaRet,$Q926&gt;=Hoje-60),MAX($V$4:$V925)+1,"")</f>
        <v>0</v>
      </c>
    </row>
    <row r="927" spans="1:22">
      <c r="A927" s="16"/>
      <c r="B927" s="23"/>
      <c r="C927" s="15"/>
      <c r="D927" s="15"/>
      <c r="E927" s="15"/>
      <c r="F927" s="24"/>
      <c r="G927" s="17"/>
      <c r="H927" s="17"/>
      <c r="I927" s="15"/>
      <c r="J927" s="25">
        <f>IF($D927="","",IFERROR(INDEX(PacNome,MATCH($D927,PacCod,0)),"Paciente não cadastrado"))</f>
        <v>0</v>
      </c>
      <c r="K927" s="26">
        <f>IF($D927="","",IFERROR(INDEX(PacConv,MATCH($D927,PacCod,0))&amp;"",""))</f>
        <v>0</v>
      </c>
      <c r="L927" s="26">
        <f>IF($A927="","",CHOOSE(WEEKDAY($A927,2),"Seg","Ter","Qua","Qui","Sex","Sáb","Dom"))</f>
        <v>0</v>
      </c>
      <c r="M927" s="27">
        <f>IF($E927="","",IF($G927&lt;&gt;"",$G927,IFERROR(INDEX(ProcValor,MATCH($E927,ProcNome,0)),0)))</f>
        <v>0</v>
      </c>
      <c r="N927" s="27">
        <f>IF($M927="","",IF($F927="Compareceu",$M927,0))</f>
        <v>0</v>
      </c>
      <c r="O927" s="27">
        <f>IF($M927="","",IF($F927="Faltou",$M927,0))</f>
        <v>0</v>
      </c>
      <c r="P927" s="27">
        <f>IF($M927="","",IF($F927="Compareceu",MAX(0,$M927-N($H927)),0))</f>
        <v>0</v>
      </c>
      <c r="Q927" s="19">
        <f>IF(AND($F927="Compareceu",$E927&lt;&gt;"",$A927&lt;&gt;""),IF(IFERROR(INDEX(ProcRet,MATCH($E927,ProcNome,0)),0)&gt;0,$A927+INDEX(ProcRet,MATCH($E927,ProcNome,0)),""),"")</f>
        <v>0</v>
      </c>
      <c r="R927" s="26">
        <f>IF($Q927="","",IF(COUNTIFS(AgPac,$D927,AgData,"&gt;"&amp;$A927,AgStatus,"&lt;&gt;Cancelado",AgStatus,"&lt;&gt;Remarcado")&gt;0,"Sim","Não"))</f>
        <v>0</v>
      </c>
      <c r="S927" s="28">
        <f>IF($A927="","",IF(AND($F927="Agendado",$A927-Hoje&gt;=0,$A927-Hoje&lt;=DiasConf),"CONFIRMAR",IF(AND($A927&lt;Hoje,OR($F927="Agendado",$F927="Confirmado")),"Atualizar status",IF(AND($F927="Compareceu",$P927&gt;0.005),"Cobrar",IF($F927="Faltou","Falta: reagendar","")))))</f>
        <v>0</v>
      </c>
      <c r="T927" s="29">
        <f>IF($A927="","",DATE(YEAR($A927),MONTH($A927),1))</f>
        <v>0</v>
      </c>
      <c r="U927" s="30">
        <f>IF($S927="CONFIRMAR",MAX($U$4:$U926)+1,"")</f>
        <v>0</v>
      </c>
      <c r="V927" s="30">
        <f>IF(AND($R927="Não",$Q927&lt;&gt;"",$Q927&lt;=Hoje+JanelaRet,$Q927&gt;=Hoje-60),MAX($V$4:$V926)+1,"")</f>
        <v>0</v>
      </c>
    </row>
    <row r="928" spans="1:22">
      <c r="A928" s="16"/>
      <c r="B928" s="23"/>
      <c r="C928" s="15"/>
      <c r="D928" s="15"/>
      <c r="E928" s="15"/>
      <c r="F928" s="24"/>
      <c r="G928" s="17"/>
      <c r="H928" s="17"/>
      <c r="I928" s="15"/>
      <c r="J928" s="25">
        <f>IF($D928="","",IFERROR(INDEX(PacNome,MATCH($D928,PacCod,0)),"Paciente não cadastrado"))</f>
        <v>0</v>
      </c>
      <c r="K928" s="26">
        <f>IF($D928="","",IFERROR(INDEX(PacConv,MATCH($D928,PacCod,0))&amp;"",""))</f>
        <v>0</v>
      </c>
      <c r="L928" s="26">
        <f>IF($A928="","",CHOOSE(WEEKDAY($A928,2),"Seg","Ter","Qua","Qui","Sex","Sáb","Dom"))</f>
        <v>0</v>
      </c>
      <c r="M928" s="27">
        <f>IF($E928="","",IF($G928&lt;&gt;"",$G928,IFERROR(INDEX(ProcValor,MATCH($E928,ProcNome,0)),0)))</f>
        <v>0</v>
      </c>
      <c r="N928" s="27">
        <f>IF($M928="","",IF($F928="Compareceu",$M928,0))</f>
        <v>0</v>
      </c>
      <c r="O928" s="27">
        <f>IF($M928="","",IF($F928="Faltou",$M928,0))</f>
        <v>0</v>
      </c>
      <c r="P928" s="27">
        <f>IF($M928="","",IF($F928="Compareceu",MAX(0,$M928-N($H928)),0))</f>
        <v>0</v>
      </c>
      <c r="Q928" s="19">
        <f>IF(AND($F928="Compareceu",$E928&lt;&gt;"",$A928&lt;&gt;""),IF(IFERROR(INDEX(ProcRet,MATCH($E928,ProcNome,0)),0)&gt;0,$A928+INDEX(ProcRet,MATCH($E928,ProcNome,0)),""),"")</f>
        <v>0</v>
      </c>
      <c r="R928" s="26">
        <f>IF($Q928="","",IF(COUNTIFS(AgPac,$D928,AgData,"&gt;"&amp;$A928,AgStatus,"&lt;&gt;Cancelado",AgStatus,"&lt;&gt;Remarcado")&gt;0,"Sim","Não"))</f>
        <v>0</v>
      </c>
      <c r="S928" s="28">
        <f>IF($A928="","",IF(AND($F928="Agendado",$A928-Hoje&gt;=0,$A928-Hoje&lt;=DiasConf),"CONFIRMAR",IF(AND($A928&lt;Hoje,OR($F928="Agendado",$F928="Confirmado")),"Atualizar status",IF(AND($F928="Compareceu",$P928&gt;0.005),"Cobrar",IF($F928="Faltou","Falta: reagendar","")))))</f>
        <v>0</v>
      </c>
      <c r="T928" s="29">
        <f>IF($A928="","",DATE(YEAR($A928),MONTH($A928),1))</f>
        <v>0</v>
      </c>
      <c r="U928" s="30">
        <f>IF($S928="CONFIRMAR",MAX($U$4:$U927)+1,"")</f>
        <v>0</v>
      </c>
      <c r="V928" s="30">
        <f>IF(AND($R928="Não",$Q928&lt;&gt;"",$Q928&lt;=Hoje+JanelaRet,$Q928&gt;=Hoje-60),MAX($V$4:$V927)+1,"")</f>
        <v>0</v>
      </c>
    </row>
    <row r="929" spans="1:22">
      <c r="A929" s="16"/>
      <c r="B929" s="23"/>
      <c r="C929" s="15"/>
      <c r="D929" s="15"/>
      <c r="E929" s="15"/>
      <c r="F929" s="24"/>
      <c r="G929" s="17"/>
      <c r="H929" s="17"/>
      <c r="I929" s="15"/>
      <c r="J929" s="25">
        <f>IF($D929="","",IFERROR(INDEX(PacNome,MATCH($D929,PacCod,0)),"Paciente não cadastrado"))</f>
        <v>0</v>
      </c>
      <c r="K929" s="26">
        <f>IF($D929="","",IFERROR(INDEX(PacConv,MATCH($D929,PacCod,0))&amp;"",""))</f>
        <v>0</v>
      </c>
      <c r="L929" s="26">
        <f>IF($A929="","",CHOOSE(WEEKDAY($A929,2),"Seg","Ter","Qua","Qui","Sex","Sáb","Dom"))</f>
        <v>0</v>
      </c>
      <c r="M929" s="27">
        <f>IF($E929="","",IF($G929&lt;&gt;"",$G929,IFERROR(INDEX(ProcValor,MATCH($E929,ProcNome,0)),0)))</f>
        <v>0</v>
      </c>
      <c r="N929" s="27">
        <f>IF($M929="","",IF($F929="Compareceu",$M929,0))</f>
        <v>0</v>
      </c>
      <c r="O929" s="27">
        <f>IF($M929="","",IF($F929="Faltou",$M929,0))</f>
        <v>0</v>
      </c>
      <c r="P929" s="27">
        <f>IF($M929="","",IF($F929="Compareceu",MAX(0,$M929-N($H929)),0))</f>
        <v>0</v>
      </c>
      <c r="Q929" s="19">
        <f>IF(AND($F929="Compareceu",$E929&lt;&gt;"",$A929&lt;&gt;""),IF(IFERROR(INDEX(ProcRet,MATCH($E929,ProcNome,0)),0)&gt;0,$A929+INDEX(ProcRet,MATCH($E929,ProcNome,0)),""),"")</f>
        <v>0</v>
      </c>
      <c r="R929" s="26">
        <f>IF($Q929="","",IF(COUNTIFS(AgPac,$D929,AgData,"&gt;"&amp;$A929,AgStatus,"&lt;&gt;Cancelado",AgStatus,"&lt;&gt;Remarcado")&gt;0,"Sim","Não"))</f>
        <v>0</v>
      </c>
      <c r="S929" s="28">
        <f>IF($A929="","",IF(AND($F929="Agendado",$A929-Hoje&gt;=0,$A929-Hoje&lt;=DiasConf),"CONFIRMAR",IF(AND($A929&lt;Hoje,OR($F929="Agendado",$F929="Confirmado")),"Atualizar status",IF(AND($F929="Compareceu",$P929&gt;0.005),"Cobrar",IF($F929="Faltou","Falta: reagendar","")))))</f>
        <v>0</v>
      </c>
      <c r="T929" s="29">
        <f>IF($A929="","",DATE(YEAR($A929),MONTH($A929),1))</f>
        <v>0</v>
      </c>
      <c r="U929" s="30">
        <f>IF($S929="CONFIRMAR",MAX($U$4:$U928)+1,"")</f>
        <v>0</v>
      </c>
      <c r="V929" s="30">
        <f>IF(AND($R929="Não",$Q929&lt;&gt;"",$Q929&lt;=Hoje+JanelaRet,$Q929&gt;=Hoje-60),MAX($V$4:$V928)+1,"")</f>
        <v>0</v>
      </c>
    </row>
    <row r="930" spans="1:22">
      <c r="A930" s="16"/>
      <c r="B930" s="23"/>
      <c r="C930" s="15"/>
      <c r="D930" s="15"/>
      <c r="E930" s="15"/>
      <c r="F930" s="24"/>
      <c r="G930" s="17"/>
      <c r="H930" s="17"/>
      <c r="I930" s="15"/>
      <c r="J930" s="25">
        <f>IF($D930="","",IFERROR(INDEX(PacNome,MATCH($D930,PacCod,0)),"Paciente não cadastrado"))</f>
        <v>0</v>
      </c>
      <c r="K930" s="26">
        <f>IF($D930="","",IFERROR(INDEX(PacConv,MATCH($D930,PacCod,0))&amp;"",""))</f>
        <v>0</v>
      </c>
      <c r="L930" s="26">
        <f>IF($A930="","",CHOOSE(WEEKDAY($A930,2),"Seg","Ter","Qua","Qui","Sex","Sáb","Dom"))</f>
        <v>0</v>
      </c>
      <c r="M930" s="27">
        <f>IF($E930="","",IF($G930&lt;&gt;"",$G930,IFERROR(INDEX(ProcValor,MATCH($E930,ProcNome,0)),0)))</f>
        <v>0</v>
      </c>
      <c r="N930" s="27">
        <f>IF($M930="","",IF($F930="Compareceu",$M930,0))</f>
        <v>0</v>
      </c>
      <c r="O930" s="27">
        <f>IF($M930="","",IF($F930="Faltou",$M930,0))</f>
        <v>0</v>
      </c>
      <c r="P930" s="27">
        <f>IF($M930="","",IF($F930="Compareceu",MAX(0,$M930-N($H930)),0))</f>
        <v>0</v>
      </c>
      <c r="Q930" s="19">
        <f>IF(AND($F930="Compareceu",$E930&lt;&gt;"",$A930&lt;&gt;""),IF(IFERROR(INDEX(ProcRet,MATCH($E930,ProcNome,0)),0)&gt;0,$A930+INDEX(ProcRet,MATCH($E930,ProcNome,0)),""),"")</f>
        <v>0</v>
      </c>
      <c r="R930" s="26">
        <f>IF($Q930="","",IF(COUNTIFS(AgPac,$D930,AgData,"&gt;"&amp;$A930,AgStatus,"&lt;&gt;Cancelado",AgStatus,"&lt;&gt;Remarcado")&gt;0,"Sim","Não"))</f>
        <v>0</v>
      </c>
      <c r="S930" s="28">
        <f>IF($A930="","",IF(AND($F930="Agendado",$A930-Hoje&gt;=0,$A930-Hoje&lt;=DiasConf),"CONFIRMAR",IF(AND($A930&lt;Hoje,OR($F930="Agendado",$F930="Confirmado")),"Atualizar status",IF(AND($F930="Compareceu",$P930&gt;0.005),"Cobrar",IF($F930="Faltou","Falta: reagendar","")))))</f>
        <v>0</v>
      </c>
      <c r="T930" s="29">
        <f>IF($A930="","",DATE(YEAR($A930),MONTH($A930),1))</f>
        <v>0</v>
      </c>
      <c r="U930" s="30">
        <f>IF($S930="CONFIRMAR",MAX($U$4:$U929)+1,"")</f>
        <v>0</v>
      </c>
      <c r="V930" s="30">
        <f>IF(AND($R930="Não",$Q930&lt;&gt;"",$Q930&lt;=Hoje+JanelaRet,$Q930&gt;=Hoje-60),MAX($V$4:$V929)+1,"")</f>
        <v>0</v>
      </c>
    </row>
    <row r="931" spans="1:22">
      <c r="A931" s="16"/>
      <c r="B931" s="23"/>
      <c r="C931" s="15"/>
      <c r="D931" s="15"/>
      <c r="E931" s="15"/>
      <c r="F931" s="24"/>
      <c r="G931" s="17"/>
      <c r="H931" s="17"/>
      <c r="I931" s="15"/>
      <c r="J931" s="25">
        <f>IF($D931="","",IFERROR(INDEX(PacNome,MATCH($D931,PacCod,0)),"Paciente não cadastrado"))</f>
        <v>0</v>
      </c>
      <c r="K931" s="26">
        <f>IF($D931="","",IFERROR(INDEX(PacConv,MATCH($D931,PacCod,0))&amp;"",""))</f>
        <v>0</v>
      </c>
      <c r="L931" s="26">
        <f>IF($A931="","",CHOOSE(WEEKDAY($A931,2),"Seg","Ter","Qua","Qui","Sex","Sáb","Dom"))</f>
        <v>0</v>
      </c>
      <c r="M931" s="27">
        <f>IF($E931="","",IF($G931&lt;&gt;"",$G931,IFERROR(INDEX(ProcValor,MATCH($E931,ProcNome,0)),0)))</f>
        <v>0</v>
      </c>
      <c r="N931" s="27">
        <f>IF($M931="","",IF($F931="Compareceu",$M931,0))</f>
        <v>0</v>
      </c>
      <c r="O931" s="27">
        <f>IF($M931="","",IF($F931="Faltou",$M931,0))</f>
        <v>0</v>
      </c>
      <c r="P931" s="27">
        <f>IF($M931="","",IF($F931="Compareceu",MAX(0,$M931-N($H931)),0))</f>
        <v>0</v>
      </c>
      <c r="Q931" s="19">
        <f>IF(AND($F931="Compareceu",$E931&lt;&gt;"",$A931&lt;&gt;""),IF(IFERROR(INDEX(ProcRet,MATCH($E931,ProcNome,0)),0)&gt;0,$A931+INDEX(ProcRet,MATCH($E931,ProcNome,0)),""),"")</f>
        <v>0</v>
      </c>
      <c r="R931" s="26">
        <f>IF($Q931="","",IF(COUNTIFS(AgPac,$D931,AgData,"&gt;"&amp;$A931,AgStatus,"&lt;&gt;Cancelado",AgStatus,"&lt;&gt;Remarcado")&gt;0,"Sim","Não"))</f>
        <v>0</v>
      </c>
      <c r="S931" s="28">
        <f>IF($A931="","",IF(AND($F931="Agendado",$A931-Hoje&gt;=0,$A931-Hoje&lt;=DiasConf),"CONFIRMAR",IF(AND($A931&lt;Hoje,OR($F931="Agendado",$F931="Confirmado")),"Atualizar status",IF(AND($F931="Compareceu",$P931&gt;0.005),"Cobrar",IF($F931="Faltou","Falta: reagendar","")))))</f>
        <v>0</v>
      </c>
      <c r="T931" s="29">
        <f>IF($A931="","",DATE(YEAR($A931),MONTH($A931),1))</f>
        <v>0</v>
      </c>
      <c r="U931" s="30">
        <f>IF($S931="CONFIRMAR",MAX($U$4:$U930)+1,"")</f>
        <v>0</v>
      </c>
      <c r="V931" s="30">
        <f>IF(AND($R931="Não",$Q931&lt;&gt;"",$Q931&lt;=Hoje+JanelaRet,$Q931&gt;=Hoje-60),MAX($V$4:$V930)+1,"")</f>
        <v>0</v>
      </c>
    </row>
    <row r="932" spans="1:22">
      <c r="A932" s="16"/>
      <c r="B932" s="23"/>
      <c r="C932" s="15"/>
      <c r="D932" s="15"/>
      <c r="E932" s="15"/>
      <c r="F932" s="24"/>
      <c r="G932" s="17"/>
      <c r="H932" s="17"/>
      <c r="I932" s="15"/>
      <c r="J932" s="25">
        <f>IF($D932="","",IFERROR(INDEX(PacNome,MATCH($D932,PacCod,0)),"Paciente não cadastrado"))</f>
        <v>0</v>
      </c>
      <c r="K932" s="26">
        <f>IF($D932="","",IFERROR(INDEX(PacConv,MATCH($D932,PacCod,0))&amp;"",""))</f>
        <v>0</v>
      </c>
      <c r="L932" s="26">
        <f>IF($A932="","",CHOOSE(WEEKDAY($A932,2),"Seg","Ter","Qua","Qui","Sex","Sáb","Dom"))</f>
        <v>0</v>
      </c>
      <c r="M932" s="27">
        <f>IF($E932="","",IF($G932&lt;&gt;"",$G932,IFERROR(INDEX(ProcValor,MATCH($E932,ProcNome,0)),0)))</f>
        <v>0</v>
      </c>
      <c r="N932" s="27">
        <f>IF($M932="","",IF($F932="Compareceu",$M932,0))</f>
        <v>0</v>
      </c>
      <c r="O932" s="27">
        <f>IF($M932="","",IF($F932="Faltou",$M932,0))</f>
        <v>0</v>
      </c>
      <c r="P932" s="27">
        <f>IF($M932="","",IF($F932="Compareceu",MAX(0,$M932-N($H932)),0))</f>
        <v>0</v>
      </c>
      <c r="Q932" s="19">
        <f>IF(AND($F932="Compareceu",$E932&lt;&gt;"",$A932&lt;&gt;""),IF(IFERROR(INDEX(ProcRet,MATCH($E932,ProcNome,0)),0)&gt;0,$A932+INDEX(ProcRet,MATCH($E932,ProcNome,0)),""),"")</f>
        <v>0</v>
      </c>
      <c r="R932" s="26">
        <f>IF($Q932="","",IF(COUNTIFS(AgPac,$D932,AgData,"&gt;"&amp;$A932,AgStatus,"&lt;&gt;Cancelado",AgStatus,"&lt;&gt;Remarcado")&gt;0,"Sim","Não"))</f>
        <v>0</v>
      </c>
      <c r="S932" s="28">
        <f>IF($A932="","",IF(AND($F932="Agendado",$A932-Hoje&gt;=0,$A932-Hoje&lt;=DiasConf),"CONFIRMAR",IF(AND($A932&lt;Hoje,OR($F932="Agendado",$F932="Confirmado")),"Atualizar status",IF(AND($F932="Compareceu",$P932&gt;0.005),"Cobrar",IF($F932="Faltou","Falta: reagendar","")))))</f>
        <v>0</v>
      </c>
      <c r="T932" s="29">
        <f>IF($A932="","",DATE(YEAR($A932),MONTH($A932),1))</f>
        <v>0</v>
      </c>
      <c r="U932" s="30">
        <f>IF($S932="CONFIRMAR",MAX($U$4:$U931)+1,"")</f>
        <v>0</v>
      </c>
      <c r="V932" s="30">
        <f>IF(AND($R932="Não",$Q932&lt;&gt;"",$Q932&lt;=Hoje+JanelaRet,$Q932&gt;=Hoje-60),MAX($V$4:$V931)+1,"")</f>
        <v>0</v>
      </c>
    </row>
    <row r="933" spans="1:22">
      <c r="A933" s="16"/>
      <c r="B933" s="23"/>
      <c r="C933" s="15"/>
      <c r="D933" s="15"/>
      <c r="E933" s="15"/>
      <c r="F933" s="24"/>
      <c r="G933" s="17"/>
      <c r="H933" s="17"/>
      <c r="I933" s="15"/>
      <c r="J933" s="25">
        <f>IF($D933="","",IFERROR(INDEX(PacNome,MATCH($D933,PacCod,0)),"Paciente não cadastrado"))</f>
        <v>0</v>
      </c>
      <c r="K933" s="26">
        <f>IF($D933="","",IFERROR(INDEX(PacConv,MATCH($D933,PacCod,0))&amp;"",""))</f>
        <v>0</v>
      </c>
      <c r="L933" s="26">
        <f>IF($A933="","",CHOOSE(WEEKDAY($A933,2),"Seg","Ter","Qua","Qui","Sex","Sáb","Dom"))</f>
        <v>0</v>
      </c>
      <c r="M933" s="27">
        <f>IF($E933="","",IF($G933&lt;&gt;"",$G933,IFERROR(INDEX(ProcValor,MATCH($E933,ProcNome,0)),0)))</f>
        <v>0</v>
      </c>
      <c r="N933" s="27">
        <f>IF($M933="","",IF($F933="Compareceu",$M933,0))</f>
        <v>0</v>
      </c>
      <c r="O933" s="27">
        <f>IF($M933="","",IF($F933="Faltou",$M933,0))</f>
        <v>0</v>
      </c>
      <c r="P933" s="27">
        <f>IF($M933="","",IF($F933="Compareceu",MAX(0,$M933-N($H933)),0))</f>
        <v>0</v>
      </c>
      <c r="Q933" s="19">
        <f>IF(AND($F933="Compareceu",$E933&lt;&gt;"",$A933&lt;&gt;""),IF(IFERROR(INDEX(ProcRet,MATCH($E933,ProcNome,0)),0)&gt;0,$A933+INDEX(ProcRet,MATCH($E933,ProcNome,0)),""),"")</f>
        <v>0</v>
      </c>
      <c r="R933" s="26">
        <f>IF($Q933="","",IF(COUNTIFS(AgPac,$D933,AgData,"&gt;"&amp;$A933,AgStatus,"&lt;&gt;Cancelado",AgStatus,"&lt;&gt;Remarcado")&gt;0,"Sim","Não"))</f>
        <v>0</v>
      </c>
      <c r="S933" s="28">
        <f>IF($A933="","",IF(AND($F933="Agendado",$A933-Hoje&gt;=0,$A933-Hoje&lt;=DiasConf),"CONFIRMAR",IF(AND($A933&lt;Hoje,OR($F933="Agendado",$F933="Confirmado")),"Atualizar status",IF(AND($F933="Compareceu",$P933&gt;0.005),"Cobrar",IF($F933="Faltou","Falta: reagendar","")))))</f>
        <v>0</v>
      </c>
      <c r="T933" s="29">
        <f>IF($A933="","",DATE(YEAR($A933),MONTH($A933),1))</f>
        <v>0</v>
      </c>
      <c r="U933" s="30">
        <f>IF($S933="CONFIRMAR",MAX($U$4:$U932)+1,"")</f>
        <v>0</v>
      </c>
      <c r="V933" s="30">
        <f>IF(AND($R933="Não",$Q933&lt;&gt;"",$Q933&lt;=Hoje+JanelaRet,$Q933&gt;=Hoje-60),MAX($V$4:$V932)+1,"")</f>
        <v>0</v>
      </c>
    </row>
    <row r="934" spans="1:22">
      <c r="A934" s="16"/>
      <c r="B934" s="23"/>
      <c r="C934" s="15"/>
      <c r="D934" s="15"/>
      <c r="E934" s="15"/>
      <c r="F934" s="24"/>
      <c r="G934" s="17"/>
      <c r="H934" s="17"/>
      <c r="I934" s="15"/>
      <c r="J934" s="25">
        <f>IF($D934="","",IFERROR(INDEX(PacNome,MATCH($D934,PacCod,0)),"Paciente não cadastrado"))</f>
        <v>0</v>
      </c>
      <c r="K934" s="26">
        <f>IF($D934="","",IFERROR(INDEX(PacConv,MATCH($D934,PacCod,0))&amp;"",""))</f>
        <v>0</v>
      </c>
      <c r="L934" s="26">
        <f>IF($A934="","",CHOOSE(WEEKDAY($A934,2),"Seg","Ter","Qua","Qui","Sex","Sáb","Dom"))</f>
        <v>0</v>
      </c>
      <c r="M934" s="27">
        <f>IF($E934="","",IF($G934&lt;&gt;"",$G934,IFERROR(INDEX(ProcValor,MATCH($E934,ProcNome,0)),0)))</f>
        <v>0</v>
      </c>
      <c r="N934" s="27">
        <f>IF($M934="","",IF($F934="Compareceu",$M934,0))</f>
        <v>0</v>
      </c>
      <c r="O934" s="27">
        <f>IF($M934="","",IF($F934="Faltou",$M934,0))</f>
        <v>0</v>
      </c>
      <c r="P934" s="27">
        <f>IF($M934="","",IF($F934="Compareceu",MAX(0,$M934-N($H934)),0))</f>
        <v>0</v>
      </c>
      <c r="Q934" s="19">
        <f>IF(AND($F934="Compareceu",$E934&lt;&gt;"",$A934&lt;&gt;""),IF(IFERROR(INDEX(ProcRet,MATCH($E934,ProcNome,0)),0)&gt;0,$A934+INDEX(ProcRet,MATCH($E934,ProcNome,0)),""),"")</f>
        <v>0</v>
      </c>
      <c r="R934" s="26">
        <f>IF($Q934="","",IF(COUNTIFS(AgPac,$D934,AgData,"&gt;"&amp;$A934,AgStatus,"&lt;&gt;Cancelado",AgStatus,"&lt;&gt;Remarcado")&gt;0,"Sim","Não"))</f>
        <v>0</v>
      </c>
      <c r="S934" s="28">
        <f>IF($A934="","",IF(AND($F934="Agendado",$A934-Hoje&gt;=0,$A934-Hoje&lt;=DiasConf),"CONFIRMAR",IF(AND($A934&lt;Hoje,OR($F934="Agendado",$F934="Confirmado")),"Atualizar status",IF(AND($F934="Compareceu",$P934&gt;0.005),"Cobrar",IF($F934="Faltou","Falta: reagendar","")))))</f>
        <v>0</v>
      </c>
      <c r="T934" s="29">
        <f>IF($A934="","",DATE(YEAR($A934),MONTH($A934),1))</f>
        <v>0</v>
      </c>
      <c r="U934" s="30">
        <f>IF($S934="CONFIRMAR",MAX($U$4:$U933)+1,"")</f>
        <v>0</v>
      </c>
      <c r="V934" s="30">
        <f>IF(AND($R934="Não",$Q934&lt;&gt;"",$Q934&lt;=Hoje+JanelaRet,$Q934&gt;=Hoje-60),MAX($V$4:$V933)+1,"")</f>
        <v>0</v>
      </c>
    </row>
    <row r="935" spans="1:22">
      <c r="A935" s="16"/>
      <c r="B935" s="23"/>
      <c r="C935" s="15"/>
      <c r="D935" s="15"/>
      <c r="E935" s="15"/>
      <c r="F935" s="24"/>
      <c r="G935" s="17"/>
      <c r="H935" s="17"/>
      <c r="I935" s="15"/>
      <c r="J935" s="25">
        <f>IF($D935="","",IFERROR(INDEX(PacNome,MATCH($D935,PacCod,0)),"Paciente não cadastrado"))</f>
        <v>0</v>
      </c>
      <c r="K935" s="26">
        <f>IF($D935="","",IFERROR(INDEX(PacConv,MATCH($D935,PacCod,0))&amp;"",""))</f>
        <v>0</v>
      </c>
      <c r="L935" s="26">
        <f>IF($A935="","",CHOOSE(WEEKDAY($A935,2),"Seg","Ter","Qua","Qui","Sex","Sáb","Dom"))</f>
        <v>0</v>
      </c>
      <c r="M935" s="27">
        <f>IF($E935="","",IF($G935&lt;&gt;"",$G935,IFERROR(INDEX(ProcValor,MATCH($E935,ProcNome,0)),0)))</f>
        <v>0</v>
      </c>
      <c r="N935" s="27">
        <f>IF($M935="","",IF($F935="Compareceu",$M935,0))</f>
        <v>0</v>
      </c>
      <c r="O935" s="27">
        <f>IF($M935="","",IF($F935="Faltou",$M935,0))</f>
        <v>0</v>
      </c>
      <c r="P935" s="27">
        <f>IF($M935="","",IF($F935="Compareceu",MAX(0,$M935-N($H935)),0))</f>
        <v>0</v>
      </c>
      <c r="Q935" s="19">
        <f>IF(AND($F935="Compareceu",$E935&lt;&gt;"",$A935&lt;&gt;""),IF(IFERROR(INDEX(ProcRet,MATCH($E935,ProcNome,0)),0)&gt;0,$A935+INDEX(ProcRet,MATCH($E935,ProcNome,0)),""),"")</f>
        <v>0</v>
      </c>
      <c r="R935" s="26">
        <f>IF($Q935="","",IF(COUNTIFS(AgPac,$D935,AgData,"&gt;"&amp;$A935,AgStatus,"&lt;&gt;Cancelado",AgStatus,"&lt;&gt;Remarcado")&gt;0,"Sim","Não"))</f>
        <v>0</v>
      </c>
      <c r="S935" s="28">
        <f>IF($A935="","",IF(AND($F935="Agendado",$A935-Hoje&gt;=0,$A935-Hoje&lt;=DiasConf),"CONFIRMAR",IF(AND($A935&lt;Hoje,OR($F935="Agendado",$F935="Confirmado")),"Atualizar status",IF(AND($F935="Compareceu",$P935&gt;0.005),"Cobrar",IF($F935="Faltou","Falta: reagendar","")))))</f>
        <v>0</v>
      </c>
      <c r="T935" s="29">
        <f>IF($A935="","",DATE(YEAR($A935),MONTH($A935),1))</f>
        <v>0</v>
      </c>
      <c r="U935" s="30">
        <f>IF($S935="CONFIRMAR",MAX($U$4:$U934)+1,"")</f>
        <v>0</v>
      </c>
      <c r="V935" s="30">
        <f>IF(AND($R935="Não",$Q935&lt;&gt;"",$Q935&lt;=Hoje+JanelaRet,$Q935&gt;=Hoje-60),MAX($V$4:$V934)+1,"")</f>
        <v>0</v>
      </c>
    </row>
    <row r="936" spans="1:22">
      <c r="A936" s="16"/>
      <c r="B936" s="23"/>
      <c r="C936" s="15"/>
      <c r="D936" s="15"/>
      <c r="E936" s="15"/>
      <c r="F936" s="24"/>
      <c r="G936" s="17"/>
      <c r="H936" s="17"/>
      <c r="I936" s="15"/>
      <c r="J936" s="25">
        <f>IF($D936="","",IFERROR(INDEX(PacNome,MATCH($D936,PacCod,0)),"Paciente não cadastrado"))</f>
        <v>0</v>
      </c>
      <c r="K936" s="26">
        <f>IF($D936="","",IFERROR(INDEX(PacConv,MATCH($D936,PacCod,0))&amp;"",""))</f>
        <v>0</v>
      </c>
      <c r="L936" s="26">
        <f>IF($A936="","",CHOOSE(WEEKDAY($A936,2),"Seg","Ter","Qua","Qui","Sex","Sáb","Dom"))</f>
        <v>0</v>
      </c>
      <c r="M936" s="27">
        <f>IF($E936="","",IF($G936&lt;&gt;"",$G936,IFERROR(INDEX(ProcValor,MATCH($E936,ProcNome,0)),0)))</f>
        <v>0</v>
      </c>
      <c r="N936" s="27">
        <f>IF($M936="","",IF($F936="Compareceu",$M936,0))</f>
        <v>0</v>
      </c>
      <c r="O936" s="27">
        <f>IF($M936="","",IF($F936="Faltou",$M936,0))</f>
        <v>0</v>
      </c>
      <c r="P936" s="27">
        <f>IF($M936="","",IF($F936="Compareceu",MAX(0,$M936-N($H936)),0))</f>
        <v>0</v>
      </c>
      <c r="Q936" s="19">
        <f>IF(AND($F936="Compareceu",$E936&lt;&gt;"",$A936&lt;&gt;""),IF(IFERROR(INDEX(ProcRet,MATCH($E936,ProcNome,0)),0)&gt;0,$A936+INDEX(ProcRet,MATCH($E936,ProcNome,0)),""),"")</f>
        <v>0</v>
      </c>
      <c r="R936" s="26">
        <f>IF($Q936="","",IF(COUNTIFS(AgPac,$D936,AgData,"&gt;"&amp;$A936,AgStatus,"&lt;&gt;Cancelado",AgStatus,"&lt;&gt;Remarcado")&gt;0,"Sim","Não"))</f>
        <v>0</v>
      </c>
      <c r="S936" s="28">
        <f>IF($A936="","",IF(AND($F936="Agendado",$A936-Hoje&gt;=0,$A936-Hoje&lt;=DiasConf),"CONFIRMAR",IF(AND($A936&lt;Hoje,OR($F936="Agendado",$F936="Confirmado")),"Atualizar status",IF(AND($F936="Compareceu",$P936&gt;0.005),"Cobrar",IF($F936="Faltou","Falta: reagendar","")))))</f>
        <v>0</v>
      </c>
      <c r="T936" s="29">
        <f>IF($A936="","",DATE(YEAR($A936),MONTH($A936),1))</f>
        <v>0</v>
      </c>
      <c r="U936" s="30">
        <f>IF($S936="CONFIRMAR",MAX($U$4:$U935)+1,"")</f>
        <v>0</v>
      </c>
      <c r="V936" s="30">
        <f>IF(AND($R936="Não",$Q936&lt;&gt;"",$Q936&lt;=Hoje+JanelaRet,$Q936&gt;=Hoje-60),MAX($V$4:$V935)+1,"")</f>
        <v>0</v>
      </c>
    </row>
    <row r="937" spans="1:22">
      <c r="A937" s="16"/>
      <c r="B937" s="23"/>
      <c r="C937" s="15"/>
      <c r="D937" s="15"/>
      <c r="E937" s="15"/>
      <c r="F937" s="24"/>
      <c r="G937" s="17"/>
      <c r="H937" s="17"/>
      <c r="I937" s="15"/>
      <c r="J937" s="25">
        <f>IF($D937="","",IFERROR(INDEX(PacNome,MATCH($D937,PacCod,0)),"Paciente não cadastrado"))</f>
        <v>0</v>
      </c>
      <c r="K937" s="26">
        <f>IF($D937="","",IFERROR(INDEX(PacConv,MATCH($D937,PacCod,0))&amp;"",""))</f>
        <v>0</v>
      </c>
      <c r="L937" s="26">
        <f>IF($A937="","",CHOOSE(WEEKDAY($A937,2),"Seg","Ter","Qua","Qui","Sex","Sáb","Dom"))</f>
        <v>0</v>
      </c>
      <c r="M937" s="27">
        <f>IF($E937="","",IF($G937&lt;&gt;"",$G937,IFERROR(INDEX(ProcValor,MATCH($E937,ProcNome,0)),0)))</f>
        <v>0</v>
      </c>
      <c r="N937" s="27">
        <f>IF($M937="","",IF($F937="Compareceu",$M937,0))</f>
        <v>0</v>
      </c>
      <c r="O937" s="27">
        <f>IF($M937="","",IF($F937="Faltou",$M937,0))</f>
        <v>0</v>
      </c>
      <c r="P937" s="27">
        <f>IF($M937="","",IF($F937="Compareceu",MAX(0,$M937-N($H937)),0))</f>
        <v>0</v>
      </c>
      <c r="Q937" s="19">
        <f>IF(AND($F937="Compareceu",$E937&lt;&gt;"",$A937&lt;&gt;""),IF(IFERROR(INDEX(ProcRet,MATCH($E937,ProcNome,0)),0)&gt;0,$A937+INDEX(ProcRet,MATCH($E937,ProcNome,0)),""),"")</f>
        <v>0</v>
      </c>
      <c r="R937" s="26">
        <f>IF($Q937="","",IF(COUNTIFS(AgPac,$D937,AgData,"&gt;"&amp;$A937,AgStatus,"&lt;&gt;Cancelado",AgStatus,"&lt;&gt;Remarcado")&gt;0,"Sim","Não"))</f>
        <v>0</v>
      </c>
      <c r="S937" s="28">
        <f>IF($A937="","",IF(AND($F937="Agendado",$A937-Hoje&gt;=0,$A937-Hoje&lt;=DiasConf),"CONFIRMAR",IF(AND($A937&lt;Hoje,OR($F937="Agendado",$F937="Confirmado")),"Atualizar status",IF(AND($F937="Compareceu",$P937&gt;0.005),"Cobrar",IF($F937="Faltou","Falta: reagendar","")))))</f>
        <v>0</v>
      </c>
      <c r="T937" s="29">
        <f>IF($A937="","",DATE(YEAR($A937),MONTH($A937),1))</f>
        <v>0</v>
      </c>
      <c r="U937" s="30">
        <f>IF($S937="CONFIRMAR",MAX($U$4:$U936)+1,"")</f>
        <v>0</v>
      </c>
      <c r="V937" s="30">
        <f>IF(AND($R937="Não",$Q937&lt;&gt;"",$Q937&lt;=Hoje+JanelaRet,$Q937&gt;=Hoje-60),MAX($V$4:$V936)+1,"")</f>
        <v>0</v>
      </c>
    </row>
    <row r="938" spans="1:22">
      <c r="A938" s="16"/>
      <c r="B938" s="23"/>
      <c r="C938" s="15"/>
      <c r="D938" s="15"/>
      <c r="E938" s="15"/>
      <c r="F938" s="24"/>
      <c r="G938" s="17"/>
      <c r="H938" s="17"/>
      <c r="I938" s="15"/>
      <c r="J938" s="25">
        <f>IF($D938="","",IFERROR(INDEX(PacNome,MATCH($D938,PacCod,0)),"Paciente não cadastrado"))</f>
        <v>0</v>
      </c>
      <c r="K938" s="26">
        <f>IF($D938="","",IFERROR(INDEX(PacConv,MATCH($D938,PacCod,0))&amp;"",""))</f>
        <v>0</v>
      </c>
      <c r="L938" s="26">
        <f>IF($A938="","",CHOOSE(WEEKDAY($A938,2),"Seg","Ter","Qua","Qui","Sex","Sáb","Dom"))</f>
        <v>0</v>
      </c>
      <c r="M938" s="27">
        <f>IF($E938="","",IF($G938&lt;&gt;"",$G938,IFERROR(INDEX(ProcValor,MATCH($E938,ProcNome,0)),0)))</f>
        <v>0</v>
      </c>
      <c r="N938" s="27">
        <f>IF($M938="","",IF($F938="Compareceu",$M938,0))</f>
        <v>0</v>
      </c>
      <c r="O938" s="27">
        <f>IF($M938="","",IF($F938="Faltou",$M938,0))</f>
        <v>0</v>
      </c>
      <c r="P938" s="27">
        <f>IF($M938="","",IF($F938="Compareceu",MAX(0,$M938-N($H938)),0))</f>
        <v>0</v>
      </c>
      <c r="Q938" s="19">
        <f>IF(AND($F938="Compareceu",$E938&lt;&gt;"",$A938&lt;&gt;""),IF(IFERROR(INDEX(ProcRet,MATCH($E938,ProcNome,0)),0)&gt;0,$A938+INDEX(ProcRet,MATCH($E938,ProcNome,0)),""),"")</f>
        <v>0</v>
      </c>
      <c r="R938" s="26">
        <f>IF($Q938="","",IF(COUNTIFS(AgPac,$D938,AgData,"&gt;"&amp;$A938,AgStatus,"&lt;&gt;Cancelado",AgStatus,"&lt;&gt;Remarcado")&gt;0,"Sim","Não"))</f>
        <v>0</v>
      </c>
      <c r="S938" s="28">
        <f>IF($A938="","",IF(AND($F938="Agendado",$A938-Hoje&gt;=0,$A938-Hoje&lt;=DiasConf),"CONFIRMAR",IF(AND($A938&lt;Hoje,OR($F938="Agendado",$F938="Confirmado")),"Atualizar status",IF(AND($F938="Compareceu",$P938&gt;0.005),"Cobrar",IF($F938="Faltou","Falta: reagendar","")))))</f>
        <v>0</v>
      </c>
      <c r="T938" s="29">
        <f>IF($A938="","",DATE(YEAR($A938),MONTH($A938),1))</f>
        <v>0</v>
      </c>
      <c r="U938" s="30">
        <f>IF($S938="CONFIRMAR",MAX($U$4:$U937)+1,"")</f>
        <v>0</v>
      </c>
      <c r="V938" s="30">
        <f>IF(AND($R938="Não",$Q938&lt;&gt;"",$Q938&lt;=Hoje+JanelaRet,$Q938&gt;=Hoje-60),MAX($V$4:$V937)+1,"")</f>
        <v>0</v>
      </c>
    </row>
    <row r="939" spans="1:22">
      <c r="A939" s="16"/>
      <c r="B939" s="23"/>
      <c r="C939" s="15"/>
      <c r="D939" s="15"/>
      <c r="E939" s="15"/>
      <c r="F939" s="24"/>
      <c r="G939" s="17"/>
      <c r="H939" s="17"/>
      <c r="I939" s="15"/>
      <c r="J939" s="25">
        <f>IF($D939="","",IFERROR(INDEX(PacNome,MATCH($D939,PacCod,0)),"Paciente não cadastrado"))</f>
        <v>0</v>
      </c>
      <c r="K939" s="26">
        <f>IF($D939="","",IFERROR(INDEX(PacConv,MATCH($D939,PacCod,0))&amp;"",""))</f>
        <v>0</v>
      </c>
      <c r="L939" s="26">
        <f>IF($A939="","",CHOOSE(WEEKDAY($A939,2),"Seg","Ter","Qua","Qui","Sex","Sáb","Dom"))</f>
        <v>0</v>
      </c>
      <c r="M939" s="27">
        <f>IF($E939="","",IF($G939&lt;&gt;"",$G939,IFERROR(INDEX(ProcValor,MATCH($E939,ProcNome,0)),0)))</f>
        <v>0</v>
      </c>
      <c r="N939" s="27">
        <f>IF($M939="","",IF($F939="Compareceu",$M939,0))</f>
        <v>0</v>
      </c>
      <c r="O939" s="27">
        <f>IF($M939="","",IF($F939="Faltou",$M939,0))</f>
        <v>0</v>
      </c>
      <c r="P939" s="27">
        <f>IF($M939="","",IF($F939="Compareceu",MAX(0,$M939-N($H939)),0))</f>
        <v>0</v>
      </c>
      <c r="Q939" s="19">
        <f>IF(AND($F939="Compareceu",$E939&lt;&gt;"",$A939&lt;&gt;""),IF(IFERROR(INDEX(ProcRet,MATCH($E939,ProcNome,0)),0)&gt;0,$A939+INDEX(ProcRet,MATCH($E939,ProcNome,0)),""),"")</f>
        <v>0</v>
      </c>
      <c r="R939" s="26">
        <f>IF($Q939="","",IF(COUNTIFS(AgPac,$D939,AgData,"&gt;"&amp;$A939,AgStatus,"&lt;&gt;Cancelado",AgStatus,"&lt;&gt;Remarcado")&gt;0,"Sim","Não"))</f>
        <v>0</v>
      </c>
      <c r="S939" s="28">
        <f>IF($A939="","",IF(AND($F939="Agendado",$A939-Hoje&gt;=0,$A939-Hoje&lt;=DiasConf),"CONFIRMAR",IF(AND($A939&lt;Hoje,OR($F939="Agendado",$F939="Confirmado")),"Atualizar status",IF(AND($F939="Compareceu",$P939&gt;0.005),"Cobrar",IF($F939="Faltou","Falta: reagendar","")))))</f>
        <v>0</v>
      </c>
      <c r="T939" s="29">
        <f>IF($A939="","",DATE(YEAR($A939),MONTH($A939),1))</f>
        <v>0</v>
      </c>
      <c r="U939" s="30">
        <f>IF($S939="CONFIRMAR",MAX($U$4:$U938)+1,"")</f>
        <v>0</v>
      </c>
      <c r="V939" s="30">
        <f>IF(AND($R939="Não",$Q939&lt;&gt;"",$Q939&lt;=Hoje+JanelaRet,$Q939&gt;=Hoje-60),MAX($V$4:$V938)+1,"")</f>
        <v>0</v>
      </c>
    </row>
    <row r="940" spans="1:22">
      <c r="A940" s="16"/>
      <c r="B940" s="23"/>
      <c r="C940" s="15"/>
      <c r="D940" s="15"/>
      <c r="E940" s="15"/>
      <c r="F940" s="24"/>
      <c r="G940" s="17"/>
      <c r="H940" s="17"/>
      <c r="I940" s="15"/>
      <c r="J940" s="25">
        <f>IF($D940="","",IFERROR(INDEX(PacNome,MATCH($D940,PacCod,0)),"Paciente não cadastrado"))</f>
        <v>0</v>
      </c>
      <c r="K940" s="26">
        <f>IF($D940="","",IFERROR(INDEX(PacConv,MATCH($D940,PacCod,0))&amp;"",""))</f>
        <v>0</v>
      </c>
      <c r="L940" s="26">
        <f>IF($A940="","",CHOOSE(WEEKDAY($A940,2),"Seg","Ter","Qua","Qui","Sex","Sáb","Dom"))</f>
        <v>0</v>
      </c>
      <c r="M940" s="27">
        <f>IF($E940="","",IF($G940&lt;&gt;"",$G940,IFERROR(INDEX(ProcValor,MATCH($E940,ProcNome,0)),0)))</f>
        <v>0</v>
      </c>
      <c r="N940" s="27">
        <f>IF($M940="","",IF($F940="Compareceu",$M940,0))</f>
        <v>0</v>
      </c>
      <c r="O940" s="27">
        <f>IF($M940="","",IF($F940="Faltou",$M940,0))</f>
        <v>0</v>
      </c>
      <c r="P940" s="27">
        <f>IF($M940="","",IF($F940="Compareceu",MAX(0,$M940-N($H940)),0))</f>
        <v>0</v>
      </c>
      <c r="Q940" s="19">
        <f>IF(AND($F940="Compareceu",$E940&lt;&gt;"",$A940&lt;&gt;""),IF(IFERROR(INDEX(ProcRet,MATCH($E940,ProcNome,0)),0)&gt;0,$A940+INDEX(ProcRet,MATCH($E940,ProcNome,0)),""),"")</f>
        <v>0</v>
      </c>
      <c r="R940" s="26">
        <f>IF($Q940="","",IF(COUNTIFS(AgPac,$D940,AgData,"&gt;"&amp;$A940,AgStatus,"&lt;&gt;Cancelado",AgStatus,"&lt;&gt;Remarcado")&gt;0,"Sim","Não"))</f>
        <v>0</v>
      </c>
      <c r="S940" s="28">
        <f>IF($A940="","",IF(AND($F940="Agendado",$A940-Hoje&gt;=0,$A940-Hoje&lt;=DiasConf),"CONFIRMAR",IF(AND($A940&lt;Hoje,OR($F940="Agendado",$F940="Confirmado")),"Atualizar status",IF(AND($F940="Compareceu",$P940&gt;0.005),"Cobrar",IF($F940="Faltou","Falta: reagendar","")))))</f>
        <v>0</v>
      </c>
      <c r="T940" s="29">
        <f>IF($A940="","",DATE(YEAR($A940),MONTH($A940),1))</f>
        <v>0</v>
      </c>
      <c r="U940" s="30">
        <f>IF($S940="CONFIRMAR",MAX($U$4:$U939)+1,"")</f>
        <v>0</v>
      </c>
      <c r="V940" s="30">
        <f>IF(AND($R940="Não",$Q940&lt;&gt;"",$Q940&lt;=Hoje+JanelaRet,$Q940&gt;=Hoje-60),MAX($V$4:$V939)+1,"")</f>
        <v>0</v>
      </c>
    </row>
    <row r="941" spans="1:22">
      <c r="A941" s="16"/>
      <c r="B941" s="23"/>
      <c r="C941" s="15"/>
      <c r="D941" s="15"/>
      <c r="E941" s="15"/>
      <c r="F941" s="24"/>
      <c r="G941" s="17"/>
      <c r="H941" s="17"/>
      <c r="I941" s="15"/>
      <c r="J941" s="25">
        <f>IF($D941="","",IFERROR(INDEX(PacNome,MATCH($D941,PacCod,0)),"Paciente não cadastrado"))</f>
        <v>0</v>
      </c>
      <c r="K941" s="26">
        <f>IF($D941="","",IFERROR(INDEX(PacConv,MATCH($D941,PacCod,0))&amp;"",""))</f>
        <v>0</v>
      </c>
      <c r="L941" s="26">
        <f>IF($A941="","",CHOOSE(WEEKDAY($A941,2),"Seg","Ter","Qua","Qui","Sex","Sáb","Dom"))</f>
        <v>0</v>
      </c>
      <c r="M941" s="27">
        <f>IF($E941="","",IF($G941&lt;&gt;"",$G941,IFERROR(INDEX(ProcValor,MATCH($E941,ProcNome,0)),0)))</f>
        <v>0</v>
      </c>
      <c r="N941" s="27">
        <f>IF($M941="","",IF($F941="Compareceu",$M941,0))</f>
        <v>0</v>
      </c>
      <c r="O941" s="27">
        <f>IF($M941="","",IF($F941="Faltou",$M941,0))</f>
        <v>0</v>
      </c>
      <c r="P941" s="27">
        <f>IF($M941="","",IF($F941="Compareceu",MAX(0,$M941-N($H941)),0))</f>
        <v>0</v>
      </c>
      <c r="Q941" s="19">
        <f>IF(AND($F941="Compareceu",$E941&lt;&gt;"",$A941&lt;&gt;""),IF(IFERROR(INDEX(ProcRet,MATCH($E941,ProcNome,0)),0)&gt;0,$A941+INDEX(ProcRet,MATCH($E941,ProcNome,0)),""),"")</f>
        <v>0</v>
      </c>
      <c r="R941" s="26">
        <f>IF($Q941="","",IF(COUNTIFS(AgPac,$D941,AgData,"&gt;"&amp;$A941,AgStatus,"&lt;&gt;Cancelado",AgStatus,"&lt;&gt;Remarcado")&gt;0,"Sim","Não"))</f>
        <v>0</v>
      </c>
      <c r="S941" s="28">
        <f>IF($A941="","",IF(AND($F941="Agendado",$A941-Hoje&gt;=0,$A941-Hoje&lt;=DiasConf),"CONFIRMAR",IF(AND($A941&lt;Hoje,OR($F941="Agendado",$F941="Confirmado")),"Atualizar status",IF(AND($F941="Compareceu",$P941&gt;0.005),"Cobrar",IF($F941="Faltou","Falta: reagendar","")))))</f>
        <v>0</v>
      </c>
      <c r="T941" s="29">
        <f>IF($A941="","",DATE(YEAR($A941),MONTH($A941),1))</f>
        <v>0</v>
      </c>
      <c r="U941" s="30">
        <f>IF($S941="CONFIRMAR",MAX($U$4:$U940)+1,"")</f>
        <v>0</v>
      </c>
      <c r="V941" s="30">
        <f>IF(AND($R941="Não",$Q941&lt;&gt;"",$Q941&lt;=Hoje+JanelaRet,$Q941&gt;=Hoje-60),MAX($V$4:$V940)+1,"")</f>
        <v>0</v>
      </c>
    </row>
    <row r="942" spans="1:22">
      <c r="A942" s="16"/>
      <c r="B942" s="23"/>
      <c r="C942" s="15"/>
      <c r="D942" s="15"/>
      <c r="E942" s="15"/>
      <c r="F942" s="24"/>
      <c r="G942" s="17"/>
      <c r="H942" s="17"/>
      <c r="I942" s="15"/>
      <c r="J942" s="25">
        <f>IF($D942="","",IFERROR(INDEX(PacNome,MATCH($D942,PacCod,0)),"Paciente não cadastrado"))</f>
        <v>0</v>
      </c>
      <c r="K942" s="26">
        <f>IF($D942="","",IFERROR(INDEX(PacConv,MATCH($D942,PacCod,0))&amp;"",""))</f>
        <v>0</v>
      </c>
      <c r="L942" s="26">
        <f>IF($A942="","",CHOOSE(WEEKDAY($A942,2),"Seg","Ter","Qua","Qui","Sex","Sáb","Dom"))</f>
        <v>0</v>
      </c>
      <c r="M942" s="27">
        <f>IF($E942="","",IF($G942&lt;&gt;"",$G942,IFERROR(INDEX(ProcValor,MATCH($E942,ProcNome,0)),0)))</f>
        <v>0</v>
      </c>
      <c r="N942" s="27">
        <f>IF($M942="","",IF($F942="Compareceu",$M942,0))</f>
        <v>0</v>
      </c>
      <c r="O942" s="27">
        <f>IF($M942="","",IF($F942="Faltou",$M942,0))</f>
        <v>0</v>
      </c>
      <c r="P942" s="27">
        <f>IF($M942="","",IF($F942="Compareceu",MAX(0,$M942-N($H942)),0))</f>
        <v>0</v>
      </c>
      <c r="Q942" s="19">
        <f>IF(AND($F942="Compareceu",$E942&lt;&gt;"",$A942&lt;&gt;""),IF(IFERROR(INDEX(ProcRet,MATCH($E942,ProcNome,0)),0)&gt;0,$A942+INDEX(ProcRet,MATCH($E942,ProcNome,0)),""),"")</f>
        <v>0</v>
      </c>
      <c r="R942" s="26">
        <f>IF($Q942="","",IF(COUNTIFS(AgPac,$D942,AgData,"&gt;"&amp;$A942,AgStatus,"&lt;&gt;Cancelado",AgStatus,"&lt;&gt;Remarcado")&gt;0,"Sim","Não"))</f>
        <v>0</v>
      </c>
      <c r="S942" s="28">
        <f>IF($A942="","",IF(AND($F942="Agendado",$A942-Hoje&gt;=0,$A942-Hoje&lt;=DiasConf),"CONFIRMAR",IF(AND($A942&lt;Hoje,OR($F942="Agendado",$F942="Confirmado")),"Atualizar status",IF(AND($F942="Compareceu",$P942&gt;0.005),"Cobrar",IF($F942="Faltou","Falta: reagendar","")))))</f>
        <v>0</v>
      </c>
      <c r="T942" s="29">
        <f>IF($A942="","",DATE(YEAR($A942),MONTH($A942),1))</f>
        <v>0</v>
      </c>
      <c r="U942" s="30">
        <f>IF($S942="CONFIRMAR",MAX($U$4:$U941)+1,"")</f>
        <v>0</v>
      </c>
      <c r="V942" s="30">
        <f>IF(AND($R942="Não",$Q942&lt;&gt;"",$Q942&lt;=Hoje+JanelaRet,$Q942&gt;=Hoje-60),MAX($V$4:$V941)+1,"")</f>
        <v>0</v>
      </c>
    </row>
    <row r="943" spans="1:22">
      <c r="A943" s="16"/>
      <c r="B943" s="23"/>
      <c r="C943" s="15"/>
      <c r="D943" s="15"/>
      <c r="E943" s="15"/>
      <c r="F943" s="24"/>
      <c r="G943" s="17"/>
      <c r="H943" s="17"/>
      <c r="I943" s="15"/>
      <c r="J943" s="25">
        <f>IF($D943="","",IFERROR(INDEX(PacNome,MATCH($D943,PacCod,0)),"Paciente não cadastrado"))</f>
        <v>0</v>
      </c>
      <c r="K943" s="26">
        <f>IF($D943="","",IFERROR(INDEX(PacConv,MATCH($D943,PacCod,0))&amp;"",""))</f>
        <v>0</v>
      </c>
      <c r="L943" s="26">
        <f>IF($A943="","",CHOOSE(WEEKDAY($A943,2),"Seg","Ter","Qua","Qui","Sex","Sáb","Dom"))</f>
        <v>0</v>
      </c>
      <c r="M943" s="27">
        <f>IF($E943="","",IF($G943&lt;&gt;"",$G943,IFERROR(INDEX(ProcValor,MATCH($E943,ProcNome,0)),0)))</f>
        <v>0</v>
      </c>
      <c r="N943" s="27">
        <f>IF($M943="","",IF($F943="Compareceu",$M943,0))</f>
        <v>0</v>
      </c>
      <c r="O943" s="27">
        <f>IF($M943="","",IF($F943="Faltou",$M943,0))</f>
        <v>0</v>
      </c>
      <c r="P943" s="27">
        <f>IF($M943="","",IF($F943="Compareceu",MAX(0,$M943-N($H943)),0))</f>
        <v>0</v>
      </c>
      <c r="Q943" s="19">
        <f>IF(AND($F943="Compareceu",$E943&lt;&gt;"",$A943&lt;&gt;""),IF(IFERROR(INDEX(ProcRet,MATCH($E943,ProcNome,0)),0)&gt;0,$A943+INDEX(ProcRet,MATCH($E943,ProcNome,0)),""),"")</f>
        <v>0</v>
      </c>
      <c r="R943" s="26">
        <f>IF($Q943="","",IF(COUNTIFS(AgPac,$D943,AgData,"&gt;"&amp;$A943,AgStatus,"&lt;&gt;Cancelado",AgStatus,"&lt;&gt;Remarcado")&gt;0,"Sim","Não"))</f>
        <v>0</v>
      </c>
      <c r="S943" s="28">
        <f>IF($A943="","",IF(AND($F943="Agendado",$A943-Hoje&gt;=0,$A943-Hoje&lt;=DiasConf),"CONFIRMAR",IF(AND($A943&lt;Hoje,OR($F943="Agendado",$F943="Confirmado")),"Atualizar status",IF(AND($F943="Compareceu",$P943&gt;0.005),"Cobrar",IF($F943="Faltou","Falta: reagendar","")))))</f>
        <v>0</v>
      </c>
      <c r="T943" s="29">
        <f>IF($A943="","",DATE(YEAR($A943),MONTH($A943),1))</f>
        <v>0</v>
      </c>
      <c r="U943" s="30">
        <f>IF($S943="CONFIRMAR",MAX($U$4:$U942)+1,"")</f>
        <v>0</v>
      </c>
      <c r="V943" s="30">
        <f>IF(AND($R943="Não",$Q943&lt;&gt;"",$Q943&lt;=Hoje+JanelaRet,$Q943&gt;=Hoje-60),MAX($V$4:$V942)+1,"")</f>
        <v>0</v>
      </c>
    </row>
    <row r="944" spans="1:22">
      <c r="A944" s="16"/>
      <c r="B944" s="23"/>
      <c r="C944" s="15"/>
      <c r="D944" s="15"/>
      <c r="E944" s="15"/>
      <c r="F944" s="24"/>
      <c r="G944" s="17"/>
      <c r="H944" s="17"/>
      <c r="I944" s="15"/>
      <c r="J944" s="25">
        <f>IF($D944="","",IFERROR(INDEX(PacNome,MATCH($D944,PacCod,0)),"Paciente não cadastrado"))</f>
        <v>0</v>
      </c>
      <c r="K944" s="26">
        <f>IF($D944="","",IFERROR(INDEX(PacConv,MATCH($D944,PacCod,0))&amp;"",""))</f>
        <v>0</v>
      </c>
      <c r="L944" s="26">
        <f>IF($A944="","",CHOOSE(WEEKDAY($A944,2),"Seg","Ter","Qua","Qui","Sex","Sáb","Dom"))</f>
        <v>0</v>
      </c>
      <c r="M944" s="27">
        <f>IF($E944="","",IF($G944&lt;&gt;"",$G944,IFERROR(INDEX(ProcValor,MATCH($E944,ProcNome,0)),0)))</f>
        <v>0</v>
      </c>
      <c r="N944" s="27">
        <f>IF($M944="","",IF($F944="Compareceu",$M944,0))</f>
        <v>0</v>
      </c>
      <c r="O944" s="27">
        <f>IF($M944="","",IF($F944="Faltou",$M944,0))</f>
        <v>0</v>
      </c>
      <c r="P944" s="27">
        <f>IF($M944="","",IF($F944="Compareceu",MAX(0,$M944-N($H944)),0))</f>
        <v>0</v>
      </c>
      <c r="Q944" s="19">
        <f>IF(AND($F944="Compareceu",$E944&lt;&gt;"",$A944&lt;&gt;""),IF(IFERROR(INDEX(ProcRet,MATCH($E944,ProcNome,0)),0)&gt;0,$A944+INDEX(ProcRet,MATCH($E944,ProcNome,0)),""),"")</f>
        <v>0</v>
      </c>
      <c r="R944" s="26">
        <f>IF($Q944="","",IF(COUNTIFS(AgPac,$D944,AgData,"&gt;"&amp;$A944,AgStatus,"&lt;&gt;Cancelado",AgStatus,"&lt;&gt;Remarcado")&gt;0,"Sim","Não"))</f>
        <v>0</v>
      </c>
      <c r="S944" s="28">
        <f>IF($A944="","",IF(AND($F944="Agendado",$A944-Hoje&gt;=0,$A944-Hoje&lt;=DiasConf),"CONFIRMAR",IF(AND($A944&lt;Hoje,OR($F944="Agendado",$F944="Confirmado")),"Atualizar status",IF(AND($F944="Compareceu",$P944&gt;0.005),"Cobrar",IF($F944="Faltou","Falta: reagendar","")))))</f>
        <v>0</v>
      </c>
      <c r="T944" s="29">
        <f>IF($A944="","",DATE(YEAR($A944),MONTH($A944),1))</f>
        <v>0</v>
      </c>
      <c r="U944" s="30">
        <f>IF($S944="CONFIRMAR",MAX($U$4:$U943)+1,"")</f>
        <v>0</v>
      </c>
      <c r="V944" s="30">
        <f>IF(AND($R944="Não",$Q944&lt;&gt;"",$Q944&lt;=Hoje+JanelaRet,$Q944&gt;=Hoje-60),MAX($V$4:$V943)+1,"")</f>
        <v>0</v>
      </c>
    </row>
    <row r="945" spans="1:22">
      <c r="A945" s="16"/>
      <c r="B945" s="23"/>
      <c r="C945" s="15"/>
      <c r="D945" s="15"/>
      <c r="E945" s="15"/>
      <c r="F945" s="24"/>
      <c r="G945" s="17"/>
      <c r="H945" s="17"/>
      <c r="I945" s="15"/>
      <c r="J945" s="25">
        <f>IF($D945="","",IFERROR(INDEX(PacNome,MATCH($D945,PacCod,0)),"Paciente não cadastrado"))</f>
        <v>0</v>
      </c>
      <c r="K945" s="26">
        <f>IF($D945="","",IFERROR(INDEX(PacConv,MATCH($D945,PacCod,0))&amp;"",""))</f>
        <v>0</v>
      </c>
      <c r="L945" s="26">
        <f>IF($A945="","",CHOOSE(WEEKDAY($A945,2),"Seg","Ter","Qua","Qui","Sex","Sáb","Dom"))</f>
        <v>0</v>
      </c>
      <c r="M945" s="27">
        <f>IF($E945="","",IF($G945&lt;&gt;"",$G945,IFERROR(INDEX(ProcValor,MATCH($E945,ProcNome,0)),0)))</f>
        <v>0</v>
      </c>
      <c r="N945" s="27">
        <f>IF($M945="","",IF($F945="Compareceu",$M945,0))</f>
        <v>0</v>
      </c>
      <c r="O945" s="27">
        <f>IF($M945="","",IF($F945="Faltou",$M945,0))</f>
        <v>0</v>
      </c>
      <c r="P945" s="27">
        <f>IF($M945="","",IF($F945="Compareceu",MAX(0,$M945-N($H945)),0))</f>
        <v>0</v>
      </c>
      <c r="Q945" s="19">
        <f>IF(AND($F945="Compareceu",$E945&lt;&gt;"",$A945&lt;&gt;""),IF(IFERROR(INDEX(ProcRet,MATCH($E945,ProcNome,0)),0)&gt;0,$A945+INDEX(ProcRet,MATCH($E945,ProcNome,0)),""),"")</f>
        <v>0</v>
      </c>
      <c r="R945" s="26">
        <f>IF($Q945="","",IF(COUNTIFS(AgPac,$D945,AgData,"&gt;"&amp;$A945,AgStatus,"&lt;&gt;Cancelado",AgStatus,"&lt;&gt;Remarcado")&gt;0,"Sim","Não"))</f>
        <v>0</v>
      </c>
      <c r="S945" s="28">
        <f>IF($A945="","",IF(AND($F945="Agendado",$A945-Hoje&gt;=0,$A945-Hoje&lt;=DiasConf),"CONFIRMAR",IF(AND($A945&lt;Hoje,OR($F945="Agendado",$F945="Confirmado")),"Atualizar status",IF(AND($F945="Compareceu",$P945&gt;0.005),"Cobrar",IF($F945="Faltou","Falta: reagendar","")))))</f>
        <v>0</v>
      </c>
      <c r="T945" s="29">
        <f>IF($A945="","",DATE(YEAR($A945),MONTH($A945),1))</f>
        <v>0</v>
      </c>
      <c r="U945" s="30">
        <f>IF($S945="CONFIRMAR",MAX($U$4:$U944)+1,"")</f>
        <v>0</v>
      </c>
      <c r="V945" s="30">
        <f>IF(AND($R945="Não",$Q945&lt;&gt;"",$Q945&lt;=Hoje+JanelaRet,$Q945&gt;=Hoje-60),MAX($V$4:$V944)+1,"")</f>
        <v>0</v>
      </c>
    </row>
    <row r="946" spans="1:22">
      <c r="A946" s="16"/>
      <c r="B946" s="23"/>
      <c r="C946" s="15"/>
      <c r="D946" s="15"/>
      <c r="E946" s="15"/>
      <c r="F946" s="24"/>
      <c r="G946" s="17"/>
      <c r="H946" s="17"/>
      <c r="I946" s="15"/>
      <c r="J946" s="25">
        <f>IF($D946="","",IFERROR(INDEX(PacNome,MATCH($D946,PacCod,0)),"Paciente não cadastrado"))</f>
        <v>0</v>
      </c>
      <c r="K946" s="26">
        <f>IF($D946="","",IFERROR(INDEX(PacConv,MATCH($D946,PacCod,0))&amp;"",""))</f>
        <v>0</v>
      </c>
      <c r="L946" s="26">
        <f>IF($A946="","",CHOOSE(WEEKDAY($A946,2),"Seg","Ter","Qua","Qui","Sex","Sáb","Dom"))</f>
        <v>0</v>
      </c>
      <c r="M946" s="27">
        <f>IF($E946="","",IF($G946&lt;&gt;"",$G946,IFERROR(INDEX(ProcValor,MATCH($E946,ProcNome,0)),0)))</f>
        <v>0</v>
      </c>
      <c r="N946" s="27">
        <f>IF($M946="","",IF($F946="Compareceu",$M946,0))</f>
        <v>0</v>
      </c>
      <c r="O946" s="27">
        <f>IF($M946="","",IF($F946="Faltou",$M946,0))</f>
        <v>0</v>
      </c>
      <c r="P946" s="27">
        <f>IF($M946="","",IF($F946="Compareceu",MAX(0,$M946-N($H946)),0))</f>
        <v>0</v>
      </c>
      <c r="Q946" s="19">
        <f>IF(AND($F946="Compareceu",$E946&lt;&gt;"",$A946&lt;&gt;""),IF(IFERROR(INDEX(ProcRet,MATCH($E946,ProcNome,0)),0)&gt;0,$A946+INDEX(ProcRet,MATCH($E946,ProcNome,0)),""),"")</f>
        <v>0</v>
      </c>
      <c r="R946" s="26">
        <f>IF($Q946="","",IF(COUNTIFS(AgPac,$D946,AgData,"&gt;"&amp;$A946,AgStatus,"&lt;&gt;Cancelado",AgStatus,"&lt;&gt;Remarcado")&gt;0,"Sim","Não"))</f>
        <v>0</v>
      </c>
      <c r="S946" s="28">
        <f>IF($A946="","",IF(AND($F946="Agendado",$A946-Hoje&gt;=0,$A946-Hoje&lt;=DiasConf),"CONFIRMAR",IF(AND($A946&lt;Hoje,OR($F946="Agendado",$F946="Confirmado")),"Atualizar status",IF(AND($F946="Compareceu",$P946&gt;0.005),"Cobrar",IF($F946="Faltou","Falta: reagendar","")))))</f>
        <v>0</v>
      </c>
      <c r="T946" s="29">
        <f>IF($A946="","",DATE(YEAR($A946),MONTH($A946),1))</f>
        <v>0</v>
      </c>
      <c r="U946" s="30">
        <f>IF($S946="CONFIRMAR",MAX($U$4:$U945)+1,"")</f>
        <v>0</v>
      </c>
      <c r="V946" s="30">
        <f>IF(AND($R946="Não",$Q946&lt;&gt;"",$Q946&lt;=Hoje+JanelaRet,$Q946&gt;=Hoje-60),MAX($V$4:$V945)+1,"")</f>
        <v>0</v>
      </c>
    </row>
    <row r="947" spans="1:22">
      <c r="A947" s="16"/>
      <c r="B947" s="23"/>
      <c r="C947" s="15"/>
      <c r="D947" s="15"/>
      <c r="E947" s="15"/>
      <c r="F947" s="24"/>
      <c r="G947" s="17"/>
      <c r="H947" s="17"/>
      <c r="I947" s="15"/>
      <c r="J947" s="25">
        <f>IF($D947="","",IFERROR(INDEX(PacNome,MATCH($D947,PacCod,0)),"Paciente não cadastrado"))</f>
        <v>0</v>
      </c>
      <c r="K947" s="26">
        <f>IF($D947="","",IFERROR(INDEX(PacConv,MATCH($D947,PacCod,0))&amp;"",""))</f>
        <v>0</v>
      </c>
      <c r="L947" s="26">
        <f>IF($A947="","",CHOOSE(WEEKDAY($A947,2),"Seg","Ter","Qua","Qui","Sex","Sáb","Dom"))</f>
        <v>0</v>
      </c>
      <c r="M947" s="27">
        <f>IF($E947="","",IF($G947&lt;&gt;"",$G947,IFERROR(INDEX(ProcValor,MATCH($E947,ProcNome,0)),0)))</f>
        <v>0</v>
      </c>
      <c r="N947" s="27">
        <f>IF($M947="","",IF($F947="Compareceu",$M947,0))</f>
        <v>0</v>
      </c>
      <c r="O947" s="27">
        <f>IF($M947="","",IF($F947="Faltou",$M947,0))</f>
        <v>0</v>
      </c>
      <c r="P947" s="27">
        <f>IF($M947="","",IF($F947="Compareceu",MAX(0,$M947-N($H947)),0))</f>
        <v>0</v>
      </c>
      <c r="Q947" s="19">
        <f>IF(AND($F947="Compareceu",$E947&lt;&gt;"",$A947&lt;&gt;""),IF(IFERROR(INDEX(ProcRet,MATCH($E947,ProcNome,0)),0)&gt;0,$A947+INDEX(ProcRet,MATCH($E947,ProcNome,0)),""),"")</f>
        <v>0</v>
      </c>
      <c r="R947" s="26">
        <f>IF($Q947="","",IF(COUNTIFS(AgPac,$D947,AgData,"&gt;"&amp;$A947,AgStatus,"&lt;&gt;Cancelado",AgStatus,"&lt;&gt;Remarcado")&gt;0,"Sim","Não"))</f>
        <v>0</v>
      </c>
      <c r="S947" s="28">
        <f>IF($A947="","",IF(AND($F947="Agendado",$A947-Hoje&gt;=0,$A947-Hoje&lt;=DiasConf),"CONFIRMAR",IF(AND($A947&lt;Hoje,OR($F947="Agendado",$F947="Confirmado")),"Atualizar status",IF(AND($F947="Compareceu",$P947&gt;0.005),"Cobrar",IF($F947="Faltou","Falta: reagendar","")))))</f>
        <v>0</v>
      </c>
      <c r="T947" s="29">
        <f>IF($A947="","",DATE(YEAR($A947),MONTH($A947),1))</f>
        <v>0</v>
      </c>
      <c r="U947" s="30">
        <f>IF($S947="CONFIRMAR",MAX($U$4:$U946)+1,"")</f>
        <v>0</v>
      </c>
      <c r="V947" s="30">
        <f>IF(AND($R947="Não",$Q947&lt;&gt;"",$Q947&lt;=Hoje+JanelaRet,$Q947&gt;=Hoje-60),MAX($V$4:$V946)+1,"")</f>
        <v>0</v>
      </c>
    </row>
    <row r="948" spans="1:22">
      <c r="A948" s="16"/>
      <c r="B948" s="23"/>
      <c r="C948" s="15"/>
      <c r="D948" s="15"/>
      <c r="E948" s="15"/>
      <c r="F948" s="24"/>
      <c r="G948" s="17"/>
      <c r="H948" s="17"/>
      <c r="I948" s="15"/>
      <c r="J948" s="25">
        <f>IF($D948="","",IFERROR(INDEX(PacNome,MATCH($D948,PacCod,0)),"Paciente não cadastrado"))</f>
        <v>0</v>
      </c>
      <c r="K948" s="26">
        <f>IF($D948="","",IFERROR(INDEX(PacConv,MATCH($D948,PacCod,0))&amp;"",""))</f>
        <v>0</v>
      </c>
      <c r="L948" s="26">
        <f>IF($A948="","",CHOOSE(WEEKDAY($A948,2),"Seg","Ter","Qua","Qui","Sex","Sáb","Dom"))</f>
        <v>0</v>
      </c>
      <c r="M948" s="27">
        <f>IF($E948="","",IF($G948&lt;&gt;"",$G948,IFERROR(INDEX(ProcValor,MATCH($E948,ProcNome,0)),0)))</f>
        <v>0</v>
      </c>
      <c r="N948" s="27">
        <f>IF($M948="","",IF($F948="Compareceu",$M948,0))</f>
        <v>0</v>
      </c>
      <c r="O948" s="27">
        <f>IF($M948="","",IF($F948="Faltou",$M948,0))</f>
        <v>0</v>
      </c>
      <c r="P948" s="27">
        <f>IF($M948="","",IF($F948="Compareceu",MAX(0,$M948-N($H948)),0))</f>
        <v>0</v>
      </c>
      <c r="Q948" s="19">
        <f>IF(AND($F948="Compareceu",$E948&lt;&gt;"",$A948&lt;&gt;""),IF(IFERROR(INDEX(ProcRet,MATCH($E948,ProcNome,0)),0)&gt;0,$A948+INDEX(ProcRet,MATCH($E948,ProcNome,0)),""),"")</f>
        <v>0</v>
      </c>
      <c r="R948" s="26">
        <f>IF($Q948="","",IF(COUNTIFS(AgPac,$D948,AgData,"&gt;"&amp;$A948,AgStatus,"&lt;&gt;Cancelado",AgStatus,"&lt;&gt;Remarcado")&gt;0,"Sim","Não"))</f>
        <v>0</v>
      </c>
      <c r="S948" s="28">
        <f>IF($A948="","",IF(AND($F948="Agendado",$A948-Hoje&gt;=0,$A948-Hoje&lt;=DiasConf),"CONFIRMAR",IF(AND($A948&lt;Hoje,OR($F948="Agendado",$F948="Confirmado")),"Atualizar status",IF(AND($F948="Compareceu",$P948&gt;0.005),"Cobrar",IF($F948="Faltou","Falta: reagendar","")))))</f>
        <v>0</v>
      </c>
      <c r="T948" s="29">
        <f>IF($A948="","",DATE(YEAR($A948),MONTH($A948),1))</f>
        <v>0</v>
      </c>
      <c r="U948" s="30">
        <f>IF($S948="CONFIRMAR",MAX($U$4:$U947)+1,"")</f>
        <v>0</v>
      </c>
      <c r="V948" s="30">
        <f>IF(AND($R948="Não",$Q948&lt;&gt;"",$Q948&lt;=Hoje+JanelaRet,$Q948&gt;=Hoje-60),MAX($V$4:$V947)+1,"")</f>
        <v>0</v>
      </c>
    </row>
    <row r="949" spans="1:22">
      <c r="A949" s="16"/>
      <c r="B949" s="23"/>
      <c r="C949" s="15"/>
      <c r="D949" s="15"/>
      <c r="E949" s="15"/>
      <c r="F949" s="24"/>
      <c r="G949" s="17"/>
      <c r="H949" s="17"/>
      <c r="I949" s="15"/>
      <c r="J949" s="25">
        <f>IF($D949="","",IFERROR(INDEX(PacNome,MATCH($D949,PacCod,0)),"Paciente não cadastrado"))</f>
        <v>0</v>
      </c>
      <c r="K949" s="26">
        <f>IF($D949="","",IFERROR(INDEX(PacConv,MATCH($D949,PacCod,0))&amp;"",""))</f>
        <v>0</v>
      </c>
      <c r="L949" s="26">
        <f>IF($A949="","",CHOOSE(WEEKDAY($A949,2),"Seg","Ter","Qua","Qui","Sex","Sáb","Dom"))</f>
        <v>0</v>
      </c>
      <c r="M949" s="27">
        <f>IF($E949="","",IF($G949&lt;&gt;"",$G949,IFERROR(INDEX(ProcValor,MATCH($E949,ProcNome,0)),0)))</f>
        <v>0</v>
      </c>
      <c r="N949" s="27">
        <f>IF($M949="","",IF($F949="Compareceu",$M949,0))</f>
        <v>0</v>
      </c>
      <c r="O949" s="27">
        <f>IF($M949="","",IF($F949="Faltou",$M949,0))</f>
        <v>0</v>
      </c>
      <c r="P949" s="27">
        <f>IF($M949="","",IF($F949="Compareceu",MAX(0,$M949-N($H949)),0))</f>
        <v>0</v>
      </c>
      <c r="Q949" s="19">
        <f>IF(AND($F949="Compareceu",$E949&lt;&gt;"",$A949&lt;&gt;""),IF(IFERROR(INDEX(ProcRet,MATCH($E949,ProcNome,0)),0)&gt;0,$A949+INDEX(ProcRet,MATCH($E949,ProcNome,0)),""),"")</f>
        <v>0</v>
      </c>
      <c r="R949" s="26">
        <f>IF($Q949="","",IF(COUNTIFS(AgPac,$D949,AgData,"&gt;"&amp;$A949,AgStatus,"&lt;&gt;Cancelado",AgStatus,"&lt;&gt;Remarcado")&gt;0,"Sim","Não"))</f>
        <v>0</v>
      </c>
      <c r="S949" s="28">
        <f>IF($A949="","",IF(AND($F949="Agendado",$A949-Hoje&gt;=0,$A949-Hoje&lt;=DiasConf),"CONFIRMAR",IF(AND($A949&lt;Hoje,OR($F949="Agendado",$F949="Confirmado")),"Atualizar status",IF(AND($F949="Compareceu",$P949&gt;0.005),"Cobrar",IF($F949="Faltou","Falta: reagendar","")))))</f>
        <v>0</v>
      </c>
      <c r="T949" s="29">
        <f>IF($A949="","",DATE(YEAR($A949),MONTH($A949),1))</f>
        <v>0</v>
      </c>
      <c r="U949" s="30">
        <f>IF($S949="CONFIRMAR",MAX($U$4:$U948)+1,"")</f>
        <v>0</v>
      </c>
      <c r="V949" s="30">
        <f>IF(AND($R949="Não",$Q949&lt;&gt;"",$Q949&lt;=Hoje+JanelaRet,$Q949&gt;=Hoje-60),MAX($V$4:$V948)+1,"")</f>
        <v>0</v>
      </c>
    </row>
    <row r="950" spans="1:22">
      <c r="A950" s="16"/>
      <c r="B950" s="23"/>
      <c r="C950" s="15"/>
      <c r="D950" s="15"/>
      <c r="E950" s="15"/>
      <c r="F950" s="24"/>
      <c r="G950" s="17"/>
      <c r="H950" s="17"/>
      <c r="I950" s="15"/>
      <c r="J950" s="25">
        <f>IF($D950="","",IFERROR(INDEX(PacNome,MATCH($D950,PacCod,0)),"Paciente não cadastrado"))</f>
        <v>0</v>
      </c>
      <c r="K950" s="26">
        <f>IF($D950="","",IFERROR(INDEX(PacConv,MATCH($D950,PacCod,0))&amp;"",""))</f>
        <v>0</v>
      </c>
      <c r="L950" s="26">
        <f>IF($A950="","",CHOOSE(WEEKDAY($A950,2),"Seg","Ter","Qua","Qui","Sex","Sáb","Dom"))</f>
        <v>0</v>
      </c>
      <c r="M950" s="27">
        <f>IF($E950="","",IF($G950&lt;&gt;"",$G950,IFERROR(INDEX(ProcValor,MATCH($E950,ProcNome,0)),0)))</f>
        <v>0</v>
      </c>
      <c r="N950" s="27">
        <f>IF($M950="","",IF($F950="Compareceu",$M950,0))</f>
        <v>0</v>
      </c>
      <c r="O950" s="27">
        <f>IF($M950="","",IF($F950="Faltou",$M950,0))</f>
        <v>0</v>
      </c>
      <c r="P950" s="27">
        <f>IF($M950="","",IF($F950="Compareceu",MAX(0,$M950-N($H950)),0))</f>
        <v>0</v>
      </c>
      <c r="Q950" s="19">
        <f>IF(AND($F950="Compareceu",$E950&lt;&gt;"",$A950&lt;&gt;""),IF(IFERROR(INDEX(ProcRet,MATCH($E950,ProcNome,0)),0)&gt;0,$A950+INDEX(ProcRet,MATCH($E950,ProcNome,0)),""),"")</f>
        <v>0</v>
      </c>
      <c r="R950" s="26">
        <f>IF($Q950="","",IF(COUNTIFS(AgPac,$D950,AgData,"&gt;"&amp;$A950,AgStatus,"&lt;&gt;Cancelado",AgStatus,"&lt;&gt;Remarcado")&gt;0,"Sim","Não"))</f>
        <v>0</v>
      </c>
      <c r="S950" s="28">
        <f>IF($A950="","",IF(AND($F950="Agendado",$A950-Hoje&gt;=0,$A950-Hoje&lt;=DiasConf),"CONFIRMAR",IF(AND($A950&lt;Hoje,OR($F950="Agendado",$F950="Confirmado")),"Atualizar status",IF(AND($F950="Compareceu",$P950&gt;0.005),"Cobrar",IF($F950="Faltou","Falta: reagendar","")))))</f>
        <v>0</v>
      </c>
      <c r="T950" s="29">
        <f>IF($A950="","",DATE(YEAR($A950),MONTH($A950),1))</f>
        <v>0</v>
      </c>
      <c r="U950" s="30">
        <f>IF($S950="CONFIRMAR",MAX($U$4:$U949)+1,"")</f>
        <v>0</v>
      </c>
      <c r="V950" s="30">
        <f>IF(AND($R950="Não",$Q950&lt;&gt;"",$Q950&lt;=Hoje+JanelaRet,$Q950&gt;=Hoje-60),MAX($V$4:$V949)+1,"")</f>
        <v>0</v>
      </c>
    </row>
    <row r="951" spans="1:22">
      <c r="A951" s="16"/>
      <c r="B951" s="23"/>
      <c r="C951" s="15"/>
      <c r="D951" s="15"/>
      <c r="E951" s="15"/>
      <c r="F951" s="24"/>
      <c r="G951" s="17"/>
      <c r="H951" s="17"/>
      <c r="I951" s="15"/>
      <c r="J951" s="25">
        <f>IF($D951="","",IFERROR(INDEX(PacNome,MATCH($D951,PacCod,0)),"Paciente não cadastrado"))</f>
        <v>0</v>
      </c>
      <c r="K951" s="26">
        <f>IF($D951="","",IFERROR(INDEX(PacConv,MATCH($D951,PacCod,0))&amp;"",""))</f>
        <v>0</v>
      </c>
      <c r="L951" s="26">
        <f>IF($A951="","",CHOOSE(WEEKDAY($A951,2),"Seg","Ter","Qua","Qui","Sex","Sáb","Dom"))</f>
        <v>0</v>
      </c>
      <c r="M951" s="27">
        <f>IF($E951="","",IF($G951&lt;&gt;"",$G951,IFERROR(INDEX(ProcValor,MATCH($E951,ProcNome,0)),0)))</f>
        <v>0</v>
      </c>
      <c r="N951" s="27">
        <f>IF($M951="","",IF($F951="Compareceu",$M951,0))</f>
        <v>0</v>
      </c>
      <c r="O951" s="27">
        <f>IF($M951="","",IF($F951="Faltou",$M951,0))</f>
        <v>0</v>
      </c>
      <c r="P951" s="27">
        <f>IF($M951="","",IF($F951="Compareceu",MAX(0,$M951-N($H951)),0))</f>
        <v>0</v>
      </c>
      <c r="Q951" s="19">
        <f>IF(AND($F951="Compareceu",$E951&lt;&gt;"",$A951&lt;&gt;""),IF(IFERROR(INDEX(ProcRet,MATCH($E951,ProcNome,0)),0)&gt;0,$A951+INDEX(ProcRet,MATCH($E951,ProcNome,0)),""),"")</f>
        <v>0</v>
      </c>
      <c r="R951" s="26">
        <f>IF($Q951="","",IF(COUNTIFS(AgPac,$D951,AgData,"&gt;"&amp;$A951,AgStatus,"&lt;&gt;Cancelado",AgStatus,"&lt;&gt;Remarcado")&gt;0,"Sim","Não"))</f>
        <v>0</v>
      </c>
      <c r="S951" s="28">
        <f>IF($A951="","",IF(AND($F951="Agendado",$A951-Hoje&gt;=0,$A951-Hoje&lt;=DiasConf),"CONFIRMAR",IF(AND($A951&lt;Hoje,OR($F951="Agendado",$F951="Confirmado")),"Atualizar status",IF(AND($F951="Compareceu",$P951&gt;0.005),"Cobrar",IF($F951="Faltou","Falta: reagendar","")))))</f>
        <v>0</v>
      </c>
      <c r="T951" s="29">
        <f>IF($A951="","",DATE(YEAR($A951),MONTH($A951),1))</f>
        <v>0</v>
      </c>
      <c r="U951" s="30">
        <f>IF($S951="CONFIRMAR",MAX($U$4:$U950)+1,"")</f>
        <v>0</v>
      </c>
      <c r="V951" s="30">
        <f>IF(AND($R951="Não",$Q951&lt;&gt;"",$Q951&lt;=Hoje+JanelaRet,$Q951&gt;=Hoje-60),MAX($V$4:$V950)+1,"")</f>
        <v>0</v>
      </c>
    </row>
    <row r="952" spans="1:22">
      <c r="A952" s="16"/>
      <c r="B952" s="23"/>
      <c r="C952" s="15"/>
      <c r="D952" s="15"/>
      <c r="E952" s="15"/>
      <c r="F952" s="24"/>
      <c r="G952" s="17"/>
      <c r="H952" s="17"/>
      <c r="I952" s="15"/>
      <c r="J952" s="25">
        <f>IF($D952="","",IFERROR(INDEX(PacNome,MATCH($D952,PacCod,0)),"Paciente não cadastrado"))</f>
        <v>0</v>
      </c>
      <c r="K952" s="26">
        <f>IF($D952="","",IFERROR(INDEX(PacConv,MATCH($D952,PacCod,0))&amp;"",""))</f>
        <v>0</v>
      </c>
      <c r="L952" s="26">
        <f>IF($A952="","",CHOOSE(WEEKDAY($A952,2),"Seg","Ter","Qua","Qui","Sex","Sáb","Dom"))</f>
        <v>0</v>
      </c>
      <c r="M952" s="27">
        <f>IF($E952="","",IF($G952&lt;&gt;"",$G952,IFERROR(INDEX(ProcValor,MATCH($E952,ProcNome,0)),0)))</f>
        <v>0</v>
      </c>
      <c r="N952" s="27">
        <f>IF($M952="","",IF($F952="Compareceu",$M952,0))</f>
        <v>0</v>
      </c>
      <c r="O952" s="27">
        <f>IF($M952="","",IF($F952="Faltou",$M952,0))</f>
        <v>0</v>
      </c>
      <c r="P952" s="27">
        <f>IF($M952="","",IF($F952="Compareceu",MAX(0,$M952-N($H952)),0))</f>
        <v>0</v>
      </c>
      <c r="Q952" s="19">
        <f>IF(AND($F952="Compareceu",$E952&lt;&gt;"",$A952&lt;&gt;""),IF(IFERROR(INDEX(ProcRet,MATCH($E952,ProcNome,0)),0)&gt;0,$A952+INDEX(ProcRet,MATCH($E952,ProcNome,0)),""),"")</f>
        <v>0</v>
      </c>
      <c r="R952" s="26">
        <f>IF($Q952="","",IF(COUNTIFS(AgPac,$D952,AgData,"&gt;"&amp;$A952,AgStatus,"&lt;&gt;Cancelado",AgStatus,"&lt;&gt;Remarcado")&gt;0,"Sim","Não"))</f>
        <v>0</v>
      </c>
      <c r="S952" s="28">
        <f>IF($A952="","",IF(AND($F952="Agendado",$A952-Hoje&gt;=0,$A952-Hoje&lt;=DiasConf),"CONFIRMAR",IF(AND($A952&lt;Hoje,OR($F952="Agendado",$F952="Confirmado")),"Atualizar status",IF(AND($F952="Compareceu",$P952&gt;0.005),"Cobrar",IF($F952="Faltou","Falta: reagendar","")))))</f>
        <v>0</v>
      </c>
      <c r="T952" s="29">
        <f>IF($A952="","",DATE(YEAR($A952),MONTH($A952),1))</f>
        <v>0</v>
      </c>
      <c r="U952" s="30">
        <f>IF($S952="CONFIRMAR",MAX($U$4:$U951)+1,"")</f>
        <v>0</v>
      </c>
      <c r="V952" s="30">
        <f>IF(AND($R952="Não",$Q952&lt;&gt;"",$Q952&lt;=Hoje+JanelaRet,$Q952&gt;=Hoje-60),MAX($V$4:$V951)+1,"")</f>
        <v>0</v>
      </c>
    </row>
    <row r="953" spans="1:22">
      <c r="A953" s="16"/>
      <c r="B953" s="23"/>
      <c r="C953" s="15"/>
      <c r="D953" s="15"/>
      <c r="E953" s="15"/>
      <c r="F953" s="24"/>
      <c r="G953" s="17"/>
      <c r="H953" s="17"/>
      <c r="I953" s="15"/>
      <c r="J953" s="25">
        <f>IF($D953="","",IFERROR(INDEX(PacNome,MATCH($D953,PacCod,0)),"Paciente não cadastrado"))</f>
        <v>0</v>
      </c>
      <c r="K953" s="26">
        <f>IF($D953="","",IFERROR(INDEX(PacConv,MATCH($D953,PacCod,0))&amp;"",""))</f>
        <v>0</v>
      </c>
      <c r="L953" s="26">
        <f>IF($A953="","",CHOOSE(WEEKDAY($A953,2),"Seg","Ter","Qua","Qui","Sex","Sáb","Dom"))</f>
        <v>0</v>
      </c>
      <c r="M953" s="27">
        <f>IF($E953="","",IF($G953&lt;&gt;"",$G953,IFERROR(INDEX(ProcValor,MATCH($E953,ProcNome,0)),0)))</f>
        <v>0</v>
      </c>
      <c r="N953" s="27">
        <f>IF($M953="","",IF($F953="Compareceu",$M953,0))</f>
        <v>0</v>
      </c>
      <c r="O953" s="27">
        <f>IF($M953="","",IF($F953="Faltou",$M953,0))</f>
        <v>0</v>
      </c>
      <c r="P953" s="27">
        <f>IF($M953="","",IF($F953="Compareceu",MAX(0,$M953-N($H953)),0))</f>
        <v>0</v>
      </c>
      <c r="Q953" s="19">
        <f>IF(AND($F953="Compareceu",$E953&lt;&gt;"",$A953&lt;&gt;""),IF(IFERROR(INDEX(ProcRet,MATCH($E953,ProcNome,0)),0)&gt;0,$A953+INDEX(ProcRet,MATCH($E953,ProcNome,0)),""),"")</f>
        <v>0</v>
      </c>
      <c r="R953" s="26">
        <f>IF($Q953="","",IF(COUNTIFS(AgPac,$D953,AgData,"&gt;"&amp;$A953,AgStatus,"&lt;&gt;Cancelado",AgStatus,"&lt;&gt;Remarcado")&gt;0,"Sim","Não"))</f>
        <v>0</v>
      </c>
      <c r="S953" s="28">
        <f>IF($A953="","",IF(AND($F953="Agendado",$A953-Hoje&gt;=0,$A953-Hoje&lt;=DiasConf),"CONFIRMAR",IF(AND($A953&lt;Hoje,OR($F953="Agendado",$F953="Confirmado")),"Atualizar status",IF(AND($F953="Compareceu",$P953&gt;0.005),"Cobrar",IF($F953="Faltou","Falta: reagendar","")))))</f>
        <v>0</v>
      </c>
      <c r="T953" s="29">
        <f>IF($A953="","",DATE(YEAR($A953),MONTH($A953),1))</f>
        <v>0</v>
      </c>
      <c r="U953" s="30">
        <f>IF($S953="CONFIRMAR",MAX($U$4:$U952)+1,"")</f>
        <v>0</v>
      </c>
      <c r="V953" s="30">
        <f>IF(AND($R953="Não",$Q953&lt;&gt;"",$Q953&lt;=Hoje+JanelaRet,$Q953&gt;=Hoje-60),MAX($V$4:$V952)+1,"")</f>
        <v>0</v>
      </c>
    </row>
    <row r="954" spans="1:22">
      <c r="A954" s="16"/>
      <c r="B954" s="23"/>
      <c r="C954" s="15"/>
      <c r="D954" s="15"/>
      <c r="E954" s="15"/>
      <c r="F954" s="24"/>
      <c r="G954" s="17"/>
      <c r="H954" s="17"/>
      <c r="I954" s="15"/>
      <c r="J954" s="25">
        <f>IF($D954="","",IFERROR(INDEX(PacNome,MATCH($D954,PacCod,0)),"Paciente não cadastrado"))</f>
        <v>0</v>
      </c>
      <c r="K954" s="26">
        <f>IF($D954="","",IFERROR(INDEX(PacConv,MATCH($D954,PacCod,0))&amp;"",""))</f>
        <v>0</v>
      </c>
      <c r="L954" s="26">
        <f>IF($A954="","",CHOOSE(WEEKDAY($A954,2),"Seg","Ter","Qua","Qui","Sex","Sáb","Dom"))</f>
        <v>0</v>
      </c>
      <c r="M954" s="27">
        <f>IF($E954="","",IF($G954&lt;&gt;"",$G954,IFERROR(INDEX(ProcValor,MATCH($E954,ProcNome,0)),0)))</f>
        <v>0</v>
      </c>
      <c r="N954" s="27">
        <f>IF($M954="","",IF($F954="Compareceu",$M954,0))</f>
        <v>0</v>
      </c>
      <c r="O954" s="27">
        <f>IF($M954="","",IF($F954="Faltou",$M954,0))</f>
        <v>0</v>
      </c>
      <c r="P954" s="27">
        <f>IF($M954="","",IF($F954="Compareceu",MAX(0,$M954-N($H954)),0))</f>
        <v>0</v>
      </c>
      <c r="Q954" s="19">
        <f>IF(AND($F954="Compareceu",$E954&lt;&gt;"",$A954&lt;&gt;""),IF(IFERROR(INDEX(ProcRet,MATCH($E954,ProcNome,0)),0)&gt;0,$A954+INDEX(ProcRet,MATCH($E954,ProcNome,0)),""),"")</f>
        <v>0</v>
      </c>
      <c r="R954" s="26">
        <f>IF($Q954="","",IF(COUNTIFS(AgPac,$D954,AgData,"&gt;"&amp;$A954,AgStatus,"&lt;&gt;Cancelado",AgStatus,"&lt;&gt;Remarcado")&gt;0,"Sim","Não"))</f>
        <v>0</v>
      </c>
      <c r="S954" s="28">
        <f>IF($A954="","",IF(AND($F954="Agendado",$A954-Hoje&gt;=0,$A954-Hoje&lt;=DiasConf),"CONFIRMAR",IF(AND($A954&lt;Hoje,OR($F954="Agendado",$F954="Confirmado")),"Atualizar status",IF(AND($F954="Compareceu",$P954&gt;0.005),"Cobrar",IF($F954="Faltou","Falta: reagendar","")))))</f>
        <v>0</v>
      </c>
      <c r="T954" s="29">
        <f>IF($A954="","",DATE(YEAR($A954),MONTH($A954),1))</f>
        <v>0</v>
      </c>
      <c r="U954" s="30">
        <f>IF($S954="CONFIRMAR",MAX($U$4:$U953)+1,"")</f>
        <v>0</v>
      </c>
      <c r="V954" s="30">
        <f>IF(AND($R954="Não",$Q954&lt;&gt;"",$Q954&lt;=Hoje+JanelaRet,$Q954&gt;=Hoje-60),MAX($V$4:$V953)+1,"")</f>
        <v>0</v>
      </c>
    </row>
    <row r="955" spans="1:22">
      <c r="A955" s="16"/>
      <c r="B955" s="23"/>
      <c r="C955" s="15"/>
      <c r="D955" s="15"/>
      <c r="E955" s="15"/>
      <c r="F955" s="24"/>
      <c r="G955" s="17"/>
      <c r="H955" s="17"/>
      <c r="I955" s="15"/>
      <c r="J955" s="25">
        <f>IF($D955="","",IFERROR(INDEX(PacNome,MATCH($D955,PacCod,0)),"Paciente não cadastrado"))</f>
        <v>0</v>
      </c>
      <c r="K955" s="26">
        <f>IF($D955="","",IFERROR(INDEX(PacConv,MATCH($D955,PacCod,0))&amp;"",""))</f>
        <v>0</v>
      </c>
      <c r="L955" s="26">
        <f>IF($A955="","",CHOOSE(WEEKDAY($A955,2),"Seg","Ter","Qua","Qui","Sex","Sáb","Dom"))</f>
        <v>0</v>
      </c>
      <c r="M955" s="27">
        <f>IF($E955="","",IF($G955&lt;&gt;"",$G955,IFERROR(INDEX(ProcValor,MATCH($E955,ProcNome,0)),0)))</f>
        <v>0</v>
      </c>
      <c r="N955" s="27">
        <f>IF($M955="","",IF($F955="Compareceu",$M955,0))</f>
        <v>0</v>
      </c>
      <c r="O955" s="27">
        <f>IF($M955="","",IF($F955="Faltou",$M955,0))</f>
        <v>0</v>
      </c>
      <c r="P955" s="27">
        <f>IF($M955="","",IF($F955="Compareceu",MAX(0,$M955-N($H955)),0))</f>
        <v>0</v>
      </c>
      <c r="Q955" s="19">
        <f>IF(AND($F955="Compareceu",$E955&lt;&gt;"",$A955&lt;&gt;""),IF(IFERROR(INDEX(ProcRet,MATCH($E955,ProcNome,0)),0)&gt;0,$A955+INDEX(ProcRet,MATCH($E955,ProcNome,0)),""),"")</f>
        <v>0</v>
      </c>
      <c r="R955" s="26">
        <f>IF($Q955="","",IF(COUNTIFS(AgPac,$D955,AgData,"&gt;"&amp;$A955,AgStatus,"&lt;&gt;Cancelado",AgStatus,"&lt;&gt;Remarcado")&gt;0,"Sim","Não"))</f>
        <v>0</v>
      </c>
      <c r="S955" s="28">
        <f>IF($A955="","",IF(AND($F955="Agendado",$A955-Hoje&gt;=0,$A955-Hoje&lt;=DiasConf),"CONFIRMAR",IF(AND($A955&lt;Hoje,OR($F955="Agendado",$F955="Confirmado")),"Atualizar status",IF(AND($F955="Compareceu",$P955&gt;0.005),"Cobrar",IF($F955="Faltou","Falta: reagendar","")))))</f>
        <v>0</v>
      </c>
      <c r="T955" s="29">
        <f>IF($A955="","",DATE(YEAR($A955),MONTH($A955),1))</f>
        <v>0</v>
      </c>
      <c r="U955" s="30">
        <f>IF($S955="CONFIRMAR",MAX($U$4:$U954)+1,"")</f>
        <v>0</v>
      </c>
      <c r="V955" s="30">
        <f>IF(AND($R955="Não",$Q955&lt;&gt;"",$Q955&lt;=Hoje+JanelaRet,$Q955&gt;=Hoje-60),MAX($V$4:$V954)+1,"")</f>
        <v>0</v>
      </c>
    </row>
    <row r="956" spans="1:22">
      <c r="A956" s="16"/>
      <c r="B956" s="23"/>
      <c r="C956" s="15"/>
      <c r="D956" s="15"/>
      <c r="E956" s="15"/>
      <c r="F956" s="24"/>
      <c r="G956" s="17"/>
      <c r="H956" s="17"/>
      <c r="I956" s="15"/>
      <c r="J956" s="25">
        <f>IF($D956="","",IFERROR(INDEX(PacNome,MATCH($D956,PacCod,0)),"Paciente não cadastrado"))</f>
        <v>0</v>
      </c>
      <c r="K956" s="26">
        <f>IF($D956="","",IFERROR(INDEX(PacConv,MATCH($D956,PacCod,0))&amp;"",""))</f>
        <v>0</v>
      </c>
      <c r="L956" s="26">
        <f>IF($A956="","",CHOOSE(WEEKDAY($A956,2),"Seg","Ter","Qua","Qui","Sex","Sáb","Dom"))</f>
        <v>0</v>
      </c>
      <c r="M956" s="27">
        <f>IF($E956="","",IF($G956&lt;&gt;"",$G956,IFERROR(INDEX(ProcValor,MATCH($E956,ProcNome,0)),0)))</f>
        <v>0</v>
      </c>
      <c r="N956" s="27">
        <f>IF($M956="","",IF($F956="Compareceu",$M956,0))</f>
        <v>0</v>
      </c>
      <c r="O956" s="27">
        <f>IF($M956="","",IF($F956="Faltou",$M956,0))</f>
        <v>0</v>
      </c>
      <c r="P956" s="27">
        <f>IF($M956="","",IF($F956="Compareceu",MAX(0,$M956-N($H956)),0))</f>
        <v>0</v>
      </c>
      <c r="Q956" s="19">
        <f>IF(AND($F956="Compareceu",$E956&lt;&gt;"",$A956&lt;&gt;""),IF(IFERROR(INDEX(ProcRet,MATCH($E956,ProcNome,0)),0)&gt;0,$A956+INDEX(ProcRet,MATCH($E956,ProcNome,0)),""),"")</f>
        <v>0</v>
      </c>
      <c r="R956" s="26">
        <f>IF($Q956="","",IF(COUNTIFS(AgPac,$D956,AgData,"&gt;"&amp;$A956,AgStatus,"&lt;&gt;Cancelado",AgStatus,"&lt;&gt;Remarcado")&gt;0,"Sim","Não"))</f>
        <v>0</v>
      </c>
      <c r="S956" s="28">
        <f>IF($A956="","",IF(AND($F956="Agendado",$A956-Hoje&gt;=0,$A956-Hoje&lt;=DiasConf),"CONFIRMAR",IF(AND($A956&lt;Hoje,OR($F956="Agendado",$F956="Confirmado")),"Atualizar status",IF(AND($F956="Compareceu",$P956&gt;0.005),"Cobrar",IF($F956="Faltou","Falta: reagendar","")))))</f>
        <v>0</v>
      </c>
      <c r="T956" s="29">
        <f>IF($A956="","",DATE(YEAR($A956),MONTH($A956),1))</f>
        <v>0</v>
      </c>
      <c r="U956" s="30">
        <f>IF($S956="CONFIRMAR",MAX($U$4:$U955)+1,"")</f>
        <v>0</v>
      </c>
      <c r="V956" s="30">
        <f>IF(AND($R956="Não",$Q956&lt;&gt;"",$Q956&lt;=Hoje+JanelaRet,$Q956&gt;=Hoje-60),MAX($V$4:$V955)+1,"")</f>
        <v>0</v>
      </c>
    </row>
    <row r="957" spans="1:22">
      <c r="A957" s="16"/>
      <c r="B957" s="23"/>
      <c r="C957" s="15"/>
      <c r="D957" s="15"/>
      <c r="E957" s="15"/>
      <c r="F957" s="24"/>
      <c r="G957" s="17"/>
      <c r="H957" s="17"/>
      <c r="I957" s="15"/>
      <c r="J957" s="25">
        <f>IF($D957="","",IFERROR(INDEX(PacNome,MATCH($D957,PacCod,0)),"Paciente não cadastrado"))</f>
        <v>0</v>
      </c>
      <c r="K957" s="26">
        <f>IF($D957="","",IFERROR(INDEX(PacConv,MATCH($D957,PacCod,0))&amp;"",""))</f>
        <v>0</v>
      </c>
      <c r="L957" s="26">
        <f>IF($A957="","",CHOOSE(WEEKDAY($A957,2),"Seg","Ter","Qua","Qui","Sex","Sáb","Dom"))</f>
        <v>0</v>
      </c>
      <c r="M957" s="27">
        <f>IF($E957="","",IF($G957&lt;&gt;"",$G957,IFERROR(INDEX(ProcValor,MATCH($E957,ProcNome,0)),0)))</f>
        <v>0</v>
      </c>
      <c r="N957" s="27">
        <f>IF($M957="","",IF($F957="Compareceu",$M957,0))</f>
        <v>0</v>
      </c>
      <c r="O957" s="27">
        <f>IF($M957="","",IF($F957="Faltou",$M957,0))</f>
        <v>0</v>
      </c>
      <c r="P957" s="27">
        <f>IF($M957="","",IF($F957="Compareceu",MAX(0,$M957-N($H957)),0))</f>
        <v>0</v>
      </c>
      <c r="Q957" s="19">
        <f>IF(AND($F957="Compareceu",$E957&lt;&gt;"",$A957&lt;&gt;""),IF(IFERROR(INDEX(ProcRet,MATCH($E957,ProcNome,0)),0)&gt;0,$A957+INDEX(ProcRet,MATCH($E957,ProcNome,0)),""),"")</f>
        <v>0</v>
      </c>
      <c r="R957" s="26">
        <f>IF($Q957="","",IF(COUNTIFS(AgPac,$D957,AgData,"&gt;"&amp;$A957,AgStatus,"&lt;&gt;Cancelado",AgStatus,"&lt;&gt;Remarcado")&gt;0,"Sim","Não"))</f>
        <v>0</v>
      </c>
      <c r="S957" s="28">
        <f>IF($A957="","",IF(AND($F957="Agendado",$A957-Hoje&gt;=0,$A957-Hoje&lt;=DiasConf),"CONFIRMAR",IF(AND($A957&lt;Hoje,OR($F957="Agendado",$F957="Confirmado")),"Atualizar status",IF(AND($F957="Compareceu",$P957&gt;0.005),"Cobrar",IF($F957="Faltou","Falta: reagendar","")))))</f>
        <v>0</v>
      </c>
      <c r="T957" s="29">
        <f>IF($A957="","",DATE(YEAR($A957),MONTH($A957),1))</f>
        <v>0</v>
      </c>
      <c r="U957" s="30">
        <f>IF($S957="CONFIRMAR",MAX($U$4:$U956)+1,"")</f>
        <v>0</v>
      </c>
      <c r="V957" s="30">
        <f>IF(AND($R957="Não",$Q957&lt;&gt;"",$Q957&lt;=Hoje+JanelaRet,$Q957&gt;=Hoje-60),MAX($V$4:$V956)+1,"")</f>
        <v>0</v>
      </c>
    </row>
    <row r="958" spans="1:22">
      <c r="A958" s="16"/>
      <c r="B958" s="23"/>
      <c r="C958" s="15"/>
      <c r="D958" s="15"/>
      <c r="E958" s="15"/>
      <c r="F958" s="24"/>
      <c r="G958" s="17"/>
      <c r="H958" s="17"/>
      <c r="I958" s="15"/>
      <c r="J958" s="25">
        <f>IF($D958="","",IFERROR(INDEX(PacNome,MATCH($D958,PacCod,0)),"Paciente não cadastrado"))</f>
        <v>0</v>
      </c>
      <c r="K958" s="26">
        <f>IF($D958="","",IFERROR(INDEX(PacConv,MATCH($D958,PacCod,0))&amp;"",""))</f>
        <v>0</v>
      </c>
      <c r="L958" s="26">
        <f>IF($A958="","",CHOOSE(WEEKDAY($A958,2),"Seg","Ter","Qua","Qui","Sex","Sáb","Dom"))</f>
        <v>0</v>
      </c>
      <c r="M958" s="27">
        <f>IF($E958="","",IF($G958&lt;&gt;"",$G958,IFERROR(INDEX(ProcValor,MATCH($E958,ProcNome,0)),0)))</f>
        <v>0</v>
      </c>
      <c r="N958" s="27">
        <f>IF($M958="","",IF($F958="Compareceu",$M958,0))</f>
        <v>0</v>
      </c>
      <c r="O958" s="27">
        <f>IF($M958="","",IF($F958="Faltou",$M958,0))</f>
        <v>0</v>
      </c>
      <c r="P958" s="27">
        <f>IF($M958="","",IF($F958="Compareceu",MAX(0,$M958-N($H958)),0))</f>
        <v>0</v>
      </c>
      <c r="Q958" s="19">
        <f>IF(AND($F958="Compareceu",$E958&lt;&gt;"",$A958&lt;&gt;""),IF(IFERROR(INDEX(ProcRet,MATCH($E958,ProcNome,0)),0)&gt;0,$A958+INDEX(ProcRet,MATCH($E958,ProcNome,0)),""),"")</f>
        <v>0</v>
      </c>
      <c r="R958" s="26">
        <f>IF($Q958="","",IF(COUNTIFS(AgPac,$D958,AgData,"&gt;"&amp;$A958,AgStatus,"&lt;&gt;Cancelado",AgStatus,"&lt;&gt;Remarcado")&gt;0,"Sim","Não"))</f>
        <v>0</v>
      </c>
      <c r="S958" s="28">
        <f>IF($A958="","",IF(AND($F958="Agendado",$A958-Hoje&gt;=0,$A958-Hoje&lt;=DiasConf),"CONFIRMAR",IF(AND($A958&lt;Hoje,OR($F958="Agendado",$F958="Confirmado")),"Atualizar status",IF(AND($F958="Compareceu",$P958&gt;0.005),"Cobrar",IF($F958="Faltou","Falta: reagendar","")))))</f>
        <v>0</v>
      </c>
      <c r="T958" s="29">
        <f>IF($A958="","",DATE(YEAR($A958),MONTH($A958),1))</f>
        <v>0</v>
      </c>
      <c r="U958" s="30">
        <f>IF($S958="CONFIRMAR",MAX($U$4:$U957)+1,"")</f>
        <v>0</v>
      </c>
      <c r="V958" s="30">
        <f>IF(AND($R958="Não",$Q958&lt;&gt;"",$Q958&lt;=Hoje+JanelaRet,$Q958&gt;=Hoje-60),MAX($V$4:$V957)+1,"")</f>
        <v>0</v>
      </c>
    </row>
    <row r="959" spans="1:22">
      <c r="A959" s="16"/>
      <c r="B959" s="23"/>
      <c r="C959" s="15"/>
      <c r="D959" s="15"/>
      <c r="E959" s="15"/>
      <c r="F959" s="24"/>
      <c r="G959" s="17"/>
      <c r="H959" s="17"/>
      <c r="I959" s="15"/>
      <c r="J959" s="25">
        <f>IF($D959="","",IFERROR(INDEX(PacNome,MATCH($D959,PacCod,0)),"Paciente não cadastrado"))</f>
        <v>0</v>
      </c>
      <c r="K959" s="26">
        <f>IF($D959="","",IFERROR(INDEX(PacConv,MATCH($D959,PacCod,0))&amp;"",""))</f>
        <v>0</v>
      </c>
      <c r="L959" s="26">
        <f>IF($A959="","",CHOOSE(WEEKDAY($A959,2),"Seg","Ter","Qua","Qui","Sex","Sáb","Dom"))</f>
        <v>0</v>
      </c>
      <c r="M959" s="27">
        <f>IF($E959="","",IF($G959&lt;&gt;"",$G959,IFERROR(INDEX(ProcValor,MATCH($E959,ProcNome,0)),0)))</f>
        <v>0</v>
      </c>
      <c r="N959" s="27">
        <f>IF($M959="","",IF($F959="Compareceu",$M959,0))</f>
        <v>0</v>
      </c>
      <c r="O959" s="27">
        <f>IF($M959="","",IF($F959="Faltou",$M959,0))</f>
        <v>0</v>
      </c>
      <c r="P959" s="27">
        <f>IF($M959="","",IF($F959="Compareceu",MAX(0,$M959-N($H959)),0))</f>
        <v>0</v>
      </c>
      <c r="Q959" s="19">
        <f>IF(AND($F959="Compareceu",$E959&lt;&gt;"",$A959&lt;&gt;""),IF(IFERROR(INDEX(ProcRet,MATCH($E959,ProcNome,0)),0)&gt;0,$A959+INDEX(ProcRet,MATCH($E959,ProcNome,0)),""),"")</f>
        <v>0</v>
      </c>
      <c r="R959" s="26">
        <f>IF($Q959="","",IF(COUNTIFS(AgPac,$D959,AgData,"&gt;"&amp;$A959,AgStatus,"&lt;&gt;Cancelado",AgStatus,"&lt;&gt;Remarcado")&gt;0,"Sim","Não"))</f>
        <v>0</v>
      </c>
      <c r="S959" s="28">
        <f>IF($A959="","",IF(AND($F959="Agendado",$A959-Hoje&gt;=0,$A959-Hoje&lt;=DiasConf),"CONFIRMAR",IF(AND($A959&lt;Hoje,OR($F959="Agendado",$F959="Confirmado")),"Atualizar status",IF(AND($F959="Compareceu",$P959&gt;0.005),"Cobrar",IF($F959="Faltou","Falta: reagendar","")))))</f>
        <v>0</v>
      </c>
      <c r="T959" s="29">
        <f>IF($A959="","",DATE(YEAR($A959),MONTH($A959),1))</f>
        <v>0</v>
      </c>
      <c r="U959" s="30">
        <f>IF($S959="CONFIRMAR",MAX($U$4:$U958)+1,"")</f>
        <v>0</v>
      </c>
      <c r="V959" s="30">
        <f>IF(AND($R959="Não",$Q959&lt;&gt;"",$Q959&lt;=Hoje+JanelaRet,$Q959&gt;=Hoje-60),MAX($V$4:$V958)+1,"")</f>
        <v>0</v>
      </c>
    </row>
    <row r="960" spans="1:22">
      <c r="A960" s="16"/>
      <c r="B960" s="23"/>
      <c r="C960" s="15"/>
      <c r="D960" s="15"/>
      <c r="E960" s="15"/>
      <c r="F960" s="24"/>
      <c r="G960" s="17"/>
      <c r="H960" s="17"/>
      <c r="I960" s="15"/>
      <c r="J960" s="25">
        <f>IF($D960="","",IFERROR(INDEX(PacNome,MATCH($D960,PacCod,0)),"Paciente não cadastrado"))</f>
        <v>0</v>
      </c>
      <c r="K960" s="26">
        <f>IF($D960="","",IFERROR(INDEX(PacConv,MATCH($D960,PacCod,0))&amp;"",""))</f>
        <v>0</v>
      </c>
      <c r="L960" s="26">
        <f>IF($A960="","",CHOOSE(WEEKDAY($A960,2),"Seg","Ter","Qua","Qui","Sex","Sáb","Dom"))</f>
        <v>0</v>
      </c>
      <c r="M960" s="27">
        <f>IF($E960="","",IF($G960&lt;&gt;"",$G960,IFERROR(INDEX(ProcValor,MATCH($E960,ProcNome,0)),0)))</f>
        <v>0</v>
      </c>
      <c r="N960" s="27">
        <f>IF($M960="","",IF($F960="Compareceu",$M960,0))</f>
        <v>0</v>
      </c>
      <c r="O960" s="27">
        <f>IF($M960="","",IF($F960="Faltou",$M960,0))</f>
        <v>0</v>
      </c>
      <c r="P960" s="27">
        <f>IF($M960="","",IF($F960="Compareceu",MAX(0,$M960-N($H960)),0))</f>
        <v>0</v>
      </c>
      <c r="Q960" s="19">
        <f>IF(AND($F960="Compareceu",$E960&lt;&gt;"",$A960&lt;&gt;""),IF(IFERROR(INDEX(ProcRet,MATCH($E960,ProcNome,0)),0)&gt;0,$A960+INDEX(ProcRet,MATCH($E960,ProcNome,0)),""),"")</f>
        <v>0</v>
      </c>
      <c r="R960" s="26">
        <f>IF($Q960="","",IF(COUNTIFS(AgPac,$D960,AgData,"&gt;"&amp;$A960,AgStatus,"&lt;&gt;Cancelado",AgStatus,"&lt;&gt;Remarcado")&gt;0,"Sim","Não"))</f>
        <v>0</v>
      </c>
      <c r="S960" s="28">
        <f>IF($A960="","",IF(AND($F960="Agendado",$A960-Hoje&gt;=0,$A960-Hoje&lt;=DiasConf),"CONFIRMAR",IF(AND($A960&lt;Hoje,OR($F960="Agendado",$F960="Confirmado")),"Atualizar status",IF(AND($F960="Compareceu",$P960&gt;0.005),"Cobrar",IF($F960="Faltou","Falta: reagendar","")))))</f>
        <v>0</v>
      </c>
      <c r="T960" s="29">
        <f>IF($A960="","",DATE(YEAR($A960),MONTH($A960),1))</f>
        <v>0</v>
      </c>
      <c r="U960" s="30">
        <f>IF($S960="CONFIRMAR",MAX($U$4:$U959)+1,"")</f>
        <v>0</v>
      </c>
      <c r="V960" s="30">
        <f>IF(AND($R960="Não",$Q960&lt;&gt;"",$Q960&lt;=Hoje+JanelaRet,$Q960&gt;=Hoje-60),MAX($V$4:$V959)+1,"")</f>
        <v>0</v>
      </c>
    </row>
    <row r="961" spans="1:22">
      <c r="A961" s="16"/>
      <c r="B961" s="23"/>
      <c r="C961" s="15"/>
      <c r="D961" s="15"/>
      <c r="E961" s="15"/>
      <c r="F961" s="24"/>
      <c r="G961" s="17"/>
      <c r="H961" s="17"/>
      <c r="I961" s="15"/>
      <c r="J961" s="25">
        <f>IF($D961="","",IFERROR(INDEX(PacNome,MATCH($D961,PacCod,0)),"Paciente não cadastrado"))</f>
        <v>0</v>
      </c>
      <c r="K961" s="26">
        <f>IF($D961="","",IFERROR(INDEX(PacConv,MATCH($D961,PacCod,0))&amp;"",""))</f>
        <v>0</v>
      </c>
      <c r="L961" s="26">
        <f>IF($A961="","",CHOOSE(WEEKDAY($A961,2),"Seg","Ter","Qua","Qui","Sex","Sáb","Dom"))</f>
        <v>0</v>
      </c>
      <c r="M961" s="27">
        <f>IF($E961="","",IF($G961&lt;&gt;"",$G961,IFERROR(INDEX(ProcValor,MATCH($E961,ProcNome,0)),0)))</f>
        <v>0</v>
      </c>
      <c r="N961" s="27">
        <f>IF($M961="","",IF($F961="Compareceu",$M961,0))</f>
        <v>0</v>
      </c>
      <c r="O961" s="27">
        <f>IF($M961="","",IF($F961="Faltou",$M961,0))</f>
        <v>0</v>
      </c>
      <c r="P961" s="27">
        <f>IF($M961="","",IF($F961="Compareceu",MAX(0,$M961-N($H961)),0))</f>
        <v>0</v>
      </c>
      <c r="Q961" s="19">
        <f>IF(AND($F961="Compareceu",$E961&lt;&gt;"",$A961&lt;&gt;""),IF(IFERROR(INDEX(ProcRet,MATCH($E961,ProcNome,0)),0)&gt;0,$A961+INDEX(ProcRet,MATCH($E961,ProcNome,0)),""),"")</f>
        <v>0</v>
      </c>
      <c r="R961" s="26">
        <f>IF($Q961="","",IF(COUNTIFS(AgPac,$D961,AgData,"&gt;"&amp;$A961,AgStatus,"&lt;&gt;Cancelado",AgStatus,"&lt;&gt;Remarcado")&gt;0,"Sim","Não"))</f>
        <v>0</v>
      </c>
      <c r="S961" s="28">
        <f>IF($A961="","",IF(AND($F961="Agendado",$A961-Hoje&gt;=0,$A961-Hoje&lt;=DiasConf),"CONFIRMAR",IF(AND($A961&lt;Hoje,OR($F961="Agendado",$F961="Confirmado")),"Atualizar status",IF(AND($F961="Compareceu",$P961&gt;0.005),"Cobrar",IF($F961="Faltou","Falta: reagendar","")))))</f>
        <v>0</v>
      </c>
      <c r="T961" s="29">
        <f>IF($A961="","",DATE(YEAR($A961),MONTH($A961),1))</f>
        <v>0</v>
      </c>
      <c r="U961" s="30">
        <f>IF($S961="CONFIRMAR",MAX($U$4:$U960)+1,"")</f>
        <v>0</v>
      </c>
      <c r="V961" s="30">
        <f>IF(AND($R961="Não",$Q961&lt;&gt;"",$Q961&lt;=Hoje+JanelaRet,$Q961&gt;=Hoje-60),MAX($V$4:$V960)+1,"")</f>
        <v>0</v>
      </c>
    </row>
    <row r="962" spans="1:22">
      <c r="A962" s="16"/>
      <c r="B962" s="23"/>
      <c r="C962" s="15"/>
      <c r="D962" s="15"/>
      <c r="E962" s="15"/>
      <c r="F962" s="24"/>
      <c r="G962" s="17"/>
      <c r="H962" s="17"/>
      <c r="I962" s="15"/>
      <c r="J962" s="25">
        <f>IF($D962="","",IFERROR(INDEX(PacNome,MATCH($D962,PacCod,0)),"Paciente não cadastrado"))</f>
        <v>0</v>
      </c>
      <c r="K962" s="26">
        <f>IF($D962="","",IFERROR(INDEX(PacConv,MATCH($D962,PacCod,0))&amp;"",""))</f>
        <v>0</v>
      </c>
      <c r="L962" s="26">
        <f>IF($A962="","",CHOOSE(WEEKDAY($A962,2),"Seg","Ter","Qua","Qui","Sex","Sáb","Dom"))</f>
        <v>0</v>
      </c>
      <c r="M962" s="27">
        <f>IF($E962="","",IF($G962&lt;&gt;"",$G962,IFERROR(INDEX(ProcValor,MATCH($E962,ProcNome,0)),0)))</f>
        <v>0</v>
      </c>
      <c r="N962" s="27">
        <f>IF($M962="","",IF($F962="Compareceu",$M962,0))</f>
        <v>0</v>
      </c>
      <c r="O962" s="27">
        <f>IF($M962="","",IF($F962="Faltou",$M962,0))</f>
        <v>0</v>
      </c>
      <c r="P962" s="27">
        <f>IF($M962="","",IF($F962="Compareceu",MAX(0,$M962-N($H962)),0))</f>
        <v>0</v>
      </c>
      <c r="Q962" s="19">
        <f>IF(AND($F962="Compareceu",$E962&lt;&gt;"",$A962&lt;&gt;""),IF(IFERROR(INDEX(ProcRet,MATCH($E962,ProcNome,0)),0)&gt;0,$A962+INDEX(ProcRet,MATCH($E962,ProcNome,0)),""),"")</f>
        <v>0</v>
      </c>
      <c r="R962" s="26">
        <f>IF($Q962="","",IF(COUNTIFS(AgPac,$D962,AgData,"&gt;"&amp;$A962,AgStatus,"&lt;&gt;Cancelado",AgStatus,"&lt;&gt;Remarcado")&gt;0,"Sim","Não"))</f>
        <v>0</v>
      </c>
      <c r="S962" s="28">
        <f>IF($A962="","",IF(AND($F962="Agendado",$A962-Hoje&gt;=0,$A962-Hoje&lt;=DiasConf),"CONFIRMAR",IF(AND($A962&lt;Hoje,OR($F962="Agendado",$F962="Confirmado")),"Atualizar status",IF(AND($F962="Compareceu",$P962&gt;0.005),"Cobrar",IF($F962="Faltou","Falta: reagendar","")))))</f>
        <v>0</v>
      </c>
      <c r="T962" s="29">
        <f>IF($A962="","",DATE(YEAR($A962),MONTH($A962),1))</f>
        <v>0</v>
      </c>
      <c r="U962" s="30">
        <f>IF($S962="CONFIRMAR",MAX($U$4:$U961)+1,"")</f>
        <v>0</v>
      </c>
      <c r="V962" s="30">
        <f>IF(AND($R962="Não",$Q962&lt;&gt;"",$Q962&lt;=Hoje+JanelaRet,$Q962&gt;=Hoje-60),MAX($V$4:$V961)+1,"")</f>
        <v>0</v>
      </c>
    </row>
    <row r="963" spans="1:22">
      <c r="A963" s="16"/>
      <c r="B963" s="23"/>
      <c r="C963" s="15"/>
      <c r="D963" s="15"/>
      <c r="E963" s="15"/>
      <c r="F963" s="24"/>
      <c r="G963" s="17"/>
      <c r="H963" s="17"/>
      <c r="I963" s="15"/>
      <c r="J963" s="25">
        <f>IF($D963="","",IFERROR(INDEX(PacNome,MATCH($D963,PacCod,0)),"Paciente não cadastrado"))</f>
        <v>0</v>
      </c>
      <c r="K963" s="26">
        <f>IF($D963="","",IFERROR(INDEX(PacConv,MATCH($D963,PacCod,0))&amp;"",""))</f>
        <v>0</v>
      </c>
      <c r="L963" s="26">
        <f>IF($A963="","",CHOOSE(WEEKDAY($A963,2),"Seg","Ter","Qua","Qui","Sex","Sáb","Dom"))</f>
        <v>0</v>
      </c>
      <c r="M963" s="27">
        <f>IF($E963="","",IF($G963&lt;&gt;"",$G963,IFERROR(INDEX(ProcValor,MATCH($E963,ProcNome,0)),0)))</f>
        <v>0</v>
      </c>
      <c r="N963" s="27">
        <f>IF($M963="","",IF($F963="Compareceu",$M963,0))</f>
        <v>0</v>
      </c>
      <c r="O963" s="27">
        <f>IF($M963="","",IF($F963="Faltou",$M963,0))</f>
        <v>0</v>
      </c>
      <c r="P963" s="27">
        <f>IF($M963="","",IF($F963="Compareceu",MAX(0,$M963-N($H963)),0))</f>
        <v>0</v>
      </c>
      <c r="Q963" s="19">
        <f>IF(AND($F963="Compareceu",$E963&lt;&gt;"",$A963&lt;&gt;""),IF(IFERROR(INDEX(ProcRet,MATCH($E963,ProcNome,0)),0)&gt;0,$A963+INDEX(ProcRet,MATCH($E963,ProcNome,0)),""),"")</f>
        <v>0</v>
      </c>
      <c r="R963" s="26">
        <f>IF($Q963="","",IF(COUNTIFS(AgPac,$D963,AgData,"&gt;"&amp;$A963,AgStatus,"&lt;&gt;Cancelado",AgStatus,"&lt;&gt;Remarcado")&gt;0,"Sim","Não"))</f>
        <v>0</v>
      </c>
      <c r="S963" s="28">
        <f>IF($A963="","",IF(AND($F963="Agendado",$A963-Hoje&gt;=0,$A963-Hoje&lt;=DiasConf),"CONFIRMAR",IF(AND($A963&lt;Hoje,OR($F963="Agendado",$F963="Confirmado")),"Atualizar status",IF(AND($F963="Compareceu",$P963&gt;0.005),"Cobrar",IF($F963="Faltou","Falta: reagendar","")))))</f>
        <v>0</v>
      </c>
      <c r="T963" s="29">
        <f>IF($A963="","",DATE(YEAR($A963),MONTH($A963),1))</f>
        <v>0</v>
      </c>
      <c r="U963" s="30">
        <f>IF($S963="CONFIRMAR",MAX($U$4:$U962)+1,"")</f>
        <v>0</v>
      </c>
      <c r="V963" s="30">
        <f>IF(AND($R963="Não",$Q963&lt;&gt;"",$Q963&lt;=Hoje+JanelaRet,$Q963&gt;=Hoje-60),MAX($V$4:$V962)+1,"")</f>
        <v>0</v>
      </c>
    </row>
    <row r="964" spans="1:22">
      <c r="A964" s="16"/>
      <c r="B964" s="23"/>
      <c r="C964" s="15"/>
      <c r="D964" s="15"/>
      <c r="E964" s="15"/>
      <c r="F964" s="24"/>
      <c r="G964" s="17"/>
      <c r="H964" s="17"/>
      <c r="I964" s="15"/>
      <c r="J964" s="25">
        <f>IF($D964="","",IFERROR(INDEX(PacNome,MATCH($D964,PacCod,0)),"Paciente não cadastrado"))</f>
        <v>0</v>
      </c>
      <c r="K964" s="26">
        <f>IF($D964="","",IFERROR(INDEX(PacConv,MATCH($D964,PacCod,0))&amp;"",""))</f>
        <v>0</v>
      </c>
      <c r="L964" s="26">
        <f>IF($A964="","",CHOOSE(WEEKDAY($A964,2),"Seg","Ter","Qua","Qui","Sex","Sáb","Dom"))</f>
        <v>0</v>
      </c>
      <c r="M964" s="27">
        <f>IF($E964="","",IF($G964&lt;&gt;"",$G964,IFERROR(INDEX(ProcValor,MATCH($E964,ProcNome,0)),0)))</f>
        <v>0</v>
      </c>
      <c r="N964" s="27">
        <f>IF($M964="","",IF($F964="Compareceu",$M964,0))</f>
        <v>0</v>
      </c>
      <c r="O964" s="27">
        <f>IF($M964="","",IF($F964="Faltou",$M964,0))</f>
        <v>0</v>
      </c>
      <c r="P964" s="27">
        <f>IF($M964="","",IF($F964="Compareceu",MAX(0,$M964-N($H964)),0))</f>
        <v>0</v>
      </c>
      <c r="Q964" s="19">
        <f>IF(AND($F964="Compareceu",$E964&lt;&gt;"",$A964&lt;&gt;""),IF(IFERROR(INDEX(ProcRet,MATCH($E964,ProcNome,0)),0)&gt;0,$A964+INDEX(ProcRet,MATCH($E964,ProcNome,0)),""),"")</f>
        <v>0</v>
      </c>
      <c r="R964" s="26">
        <f>IF($Q964="","",IF(COUNTIFS(AgPac,$D964,AgData,"&gt;"&amp;$A964,AgStatus,"&lt;&gt;Cancelado",AgStatus,"&lt;&gt;Remarcado")&gt;0,"Sim","Não"))</f>
        <v>0</v>
      </c>
      <c r="S964" s="28">
        <f>IF($A964="","",IF(AND($F964="Agendado",$A964-Hoje&gt;=0,$A964-Hoje&lt;=DiasConf),"CONFIRMAR",IF(AND($A964&lt;Hoje,OR($F964="Agendado",$F964="Confirmado")),"Atualizar status",IF(AND($F964="Compareceu",$P964&gt;0.005),"Cobrar",IF($F964="Faltou","Falta: reagendar","")))))</f>
        <v>0</v>
      </c>
      <c r="T964" s="29">
        <f>IF($A964="","",DATE(YEAR($A964),MONTH($A964),1))</f>
        <v>0</v>
      </c>
      <c r="U964" s="30">
        <f>IF($S964="CONFIRMAR",MAX($U$4:$U963)+1,"")</f>
        <v>0</v>
      </c>
      <c r="V964" s="30">
        <f>IF(AND($R964="Não",$Q964&lt;&gt;"",$Q964&lt;=Hoje+JanelaRet,$Q964&gt;=Hoje-60),MAX($V$4:$V963)+1,"")</f>
        <v>0</v>
      </c>
    </row>
    <row r="965" spans="1:22">
      <c r="A965" s="16"/>
      <c r="B965" s="23"/>
      <c r="C965" s="15"/>
      <c r="D965" s="15"/>
      <c r="E965" s="15"/>
      <c r="F965" s="24"/>
      <c r="G965" s="17"/>
      <c r="H965" s="17"/>
      <c r="I965" s="15"/>
      <c r="J965" s="25">
        <f>IF($D965="","",IFERROR(INDEX(PacNome,MATCH($D965,PacCod,0)),"Paciente não cadastrado"))</f>
        <v>0</v>
      </c>
      <c r="K965" s="26">
        <f>IF($D965="","",IFERROR(INDEX(PacConv,MATCH($D965,PacCod,0))&amp;"",""))</f>
        <v>0</v>
      </c>
      <c r="L965" s="26">
        <f>IF($A965="","",CHOOSE(WEEKDAY($A965,2),"Seg","Ter","Qua","Qui","Sex","Sáb","Dom"))</f>
        <v>0</v>
      </c>
      <c r="M965" s="27">
        <f>IF($E965="","",IF($G965&lt;&gt;"",$G965,IFERROR(INDEX(ProcValor,MATCH($E965,ProcNome,0)),0)))</f>
        <v>0</v>
      </c>
      <c r="N965" s="27">
        <f>IF($M965="","",IF($F965="Compareceu",$M965,0))</f>
        <v>0</v>
      </c>
      <c r="O965" s="27">
        <f>IF($M965="","",IF($F965="Faltou",$M965,0))</f>
        <v>0</v>
      </c>
      <c r="P965" s="27">
        <f>IF($M965="","",IF($F965="Compareceu",MAX(0,$M965-N($H965)),0))</f>
        <v>0</v>
      </c>
      <c r="Q965" s="19">
        <f>IF(AND($F965="Compareceu",$E965&lt;&gt;"",$A965&lt;&gt;""),IF(IFERROR(INDEX(ProcRet,MATCH($E965,ProcNome,0)),0)&gt;0,$A965+INDEX(ProcRet,MATCH($E965,ProcNome,0)),""),"")</f>
        <v>0</v>
      </c>
      <c r="R965" s="26">
        <f>IF($Q965="","",IF(COUNTIFS(AgPac,$D965,AgData,"&gt;"&amp;$A965,AgStatus,"&lt;&gt;Cancelado",AgStatus,"&lt;&gt;Remarcado")&gt;0,"Sim","Não"))</f>
        <v>0</v>
      </c>
      <c r="S965" s="28">
        <f>IF($A965="","",IF(AND($F965="Agendado",$A965-Hoje&gt;=0,$A965-Hoje&lt;=DiasConf),"CONFIRMAR",IF(AND($A965&lt;Hoje,OR($F965="Agendado",$F965="Confirmado")),"Atualizar status",IF(AND($F965="Compareceu",$P965&gt;0.005),"Cobrar",IF($F965="Faltou","Falta: reagendar","")))))</f>
        <v>0</v>
      </c>
      <c r="T965" s="29">
        <f>IF($A965="","",DATE(YEAR($A965),MONTH($A965),1))</f>
        <v>0</v>
      </c>
      <c r="U965" s="30">
        <f>IF($S965="CONFIRMAR",MAX($U$4:$U964)+1,"")</f>
        <v>0</v>
      </c>
      <c r="V965" s="30">
        <f>IF(AND($R965="Não",$Q965&lt;&gt;"",$Q965&lt;=Hoje+JanelaRet,$Q965&gt;=Hoje-60),MAX($V$4:$V964)+1,"")</f>
        <v>0</v>
      </c>
    </row>
    <row r="966" spans="1:22">
      <c r="A966" s="16"/>
      <c r="B966" s="23"/>
      <c r="C966" s="15"/>
      <c r="D966" s="15"/>
      <c r="E966" s="15"/>
      <c r="F966" s="24"/>
      <c r="G966" s="17"/>
      <c r="H966" s="17"/>
      <c r="I966" s="15"/>
      <c r="J966" s="25">
        <f>IF($D966="","",IFERROR(INDEX(PacNome,MATCH($D966,PacCod,0)),"Paciente não cadastrado"))</f>
        <v>0</v>
      </c>
      <c r="K966" s="26">
        <f>IF($D966="","",IFERROR(INDEX(PacConv,MATCH($D966,PacCod,0))&amp;"",""))</f>
        <v>0</v>
      </c>
      <c r="L966" s="26">
        <f>IF($A966="","",CHOOSE(WEEKDAY($A966,2),"Seg","Ter","Qua","Qui","Sex","Sáb","Dom"))</f>
        <v>0</v>
      </c>
      <c r="M966" s="27">
        <f>IF($E966="","",IF($G966&lt;&gt;"",$G966,IFERROR(INDEX(ProcValor,MATCH($E966,ProcNome,0)),0)))</f>
        <v>0</v>
      </c>
      <c r="N966" s="27">
        <f>IF($M966="","",IF($F966="Compareceu",$M966,0))</f>
        <v>0</v>
      </c>
      <c r="O966" s="27">
        <f>IF($M966="","",IF($F966="Faltou",$M966,0))</f>
        <v>0</v>
      </c>
      <c r="P966" s="27">
        <f>IF($M966="","",IF($F966="Compareceu",MAX(0,$M966-N($H966)),0))</f>
        <v>0</v>
      </c>
      <c r="Q966" s="19">
        <f>IF(AND($F966="Compareceu",$E966&lt;&gt;"",$A966&lt;&gt;""),IF(IFERROR(INDEX(ProcRet,MATCH($E966,ProcNome,0)),0)&gt;0,$A966+INDEX(ProcRet,MATCH($E966,ProcNome,0)),""),"")</f>
        <v>0</v>
      </c>
      <c r="R966" s="26">
        <f>IF($Q966="","",IF(COUNTIFS(AgPac,$D966,AgData,"&gt;"&amp;$A966,AgStatus,"&lt;&gt;Cancelado",AgStatus,"&lt;&gt;Remarcado")&gt;0,"Sim","Não"))</f>
        <v>0</v>
      </c>
      <c r="S966" s="28">
        <f>IF($A966="","",IF(AND($F966="Agendado",$A966-Hoje&gt;=0,$A966-Hoje&lt;=DiasConf),"CONFIRMAR",IF(AND($A966&lt;Hoje,OR($F966="Agendado",$F966="Confirmado")),"Atualizar status",IF(AND($F966="Compareceu",$P966&gt;0.005),"Cobrar",IF($F966="Faltou","Falta: reagendar","")))))</f>
        <v>0</v>
      </c>
      <c r="T966" s="29">
        <f>IF($A966="","",DATE(YEAR($A966),MONTH($A966),1))</f>
        <v>0</v>
      </c>
      <c r="U966" s="30">
        <f>IF($S966="CONFIRMAR",MAX($U$4:$U965)+1,"")</f>
        <v>0</v>
      </c>
      <c r="V966" s="30">
        <f>IF(AND($R966="Não",$Q966&lt;&gt;"",$Q966&lt;=Hoje+JanelaRet,$Q966&gt;=Hoje-60),MAX($V$4:$V965)+1,"")</f>
        <v>0</v>
      </c>
    </row>
    <row r="967" spans="1:22">
      <c r="A967" s="16"/>
      <c r="B967" s="23"/>
      <c r="C967" s="15"/>
      <c r="D967" s="15"/>
      <c r="E967" s="15"/>
      <c r="F967" s="24"/>
      <c r="G967" s="17"/>
      <c r="H967" s="17"/>
      <c r="I967" s="15"/>
      <c r="J967" s="25">
        <f>IF($D967="","",IFERROR(INDEX(PacNome,MATCH($D967,PacCod,0)),"Paciente não cadastrado"))</f>
        <v>0</v>
      </c>
      <c r="K967" s="26">
        <f>IF($D967="","",IFERROR(INDEX(PacConv,MATCH($D967,PacCod,0))&amp;"",""))</f>
        <v>0</v>
      </c>
      <c r="L967" s="26">
        <f>IF($A967="","",CHOOSE(WEEKDAY($A967,2),"Seg","Ter","Qua","Qui","Sex","Sáb","Dom"))</f>
        <v>0</v>
      </c>
      <c r="M967" s="27">
        <f>IF($E967="","",IF($G967&lt;&gt;"",$G967,IFERROR(INDEX(ProcValor,MATCH($E967,ProcNome,0)),0)))</f>
        <v>0</v>
      </c>
      <c r="N967" s="27">
        <f>IF($M967="","",IF($F967="Compareceu",$M967,0))</f>
        <v>0</v>
      </c>
      <c r="O967" s="27">
        <f>IF($M967="","",IF($F967="Faltou",$M967,0))</f>
        <v>0</v>
      </c>
      <c r="P967" s="27">
        <f>IF($M967="","",IF($F967="Compareceu",MAX(0,$M967-N($H967)),0))</f>
        <v>0</v>
      </c>
      <c r="Q967" s="19">
        <f>IF(AND($F967="Compareceu",$E967&lt;&gt;"",$A967&lt;&gt;""),IF(IFERROR(INDEX(ProcRet,MATCH($E967,ProcNome,0)),0)&gt;0,$A967+INDEX(ProcRet,MATCH($E967,ProcNome,0)),""),"")</f>
        <v>0</v>
      </c>
      <c r="R967" s="26">
        <f>IF($Q967="","",IF(COUNTIFS(AgPac,$D967,AgData,"&gt;"&amp;$A967,AgStatus,"&lt;&gt;Cancelado",AgStatus,"&lt;&gt;Remarcado")&gt;0,"Sim","Não"))</f>
        <v>0</v>
      </c>
      <c r="S967" s="28">
        <f>IF($A967="","",IF(AND($F967="Agendado",$A967-Hoje&gt;=0,$A967-Hoje&lt;=DiasConf),"CONFIRMAR",IF(AND($A967&lt;Hoje,OR($F967="Agendado",$F967="Confirmado")),"Atualizar status",IF(AND($F967="Compareceu",$P967&gt;0.005),"Cobrar",IF($F967="Faltou","Falta: reagendar","")))))</f>
        <v>0</v>
      </c>
      <c r="T967" s="29">
        <f>IF($A967="","",DATE(YEAR($A967),MONTH($A967),1))</f>
        <v>0</v>
      </c>
      <c r="U967" s="30">
        <f>IF($S967="CONFIRMAR",MAX($U$4:$U966)+1,"")</f>
        <v>0</v>
      </c>
      <c r="V967" s="30">
        <f>IF(AND($R967="Não",$Q967&lt;&gt;"",$Q967&lt;=Hoje+JanelaRet,$Q967&gt;=Hoje-60),MAX($V$4:$V966)+1,"")</f>
        <v>0</v>
      </c>
    </row>
    <row r="968" spans="1:22">
      <c r="A968" s="16"/>
      <c r="B968" s="23"/>
      <c r="C968" s="15"/>
      <c r="D968" s="15"/>
      <c r="E968" s="15"/>
      <c r="F968" s="24"/>
      <c r="G968" s="17"/>
      <c r="H968" s="17"/>
      <c r="I968" s="15"/>
      <c r="J968" s="25">
        <f>IF($D968="","",IFERROR(INDEX(PacNome,MATCH($D968,PacCod,0)),"Paciente não cadastrado"))</f>
        <v>0</v>
      </c>
      <c r="K968" s="26">
        <f>IF($D968="","",IFERROR(INDEX(PacConv,MATCH($D968,PacCod,0))&amp;"",""))</f>
        <v>0</v>
      </c>
      <c r="L968" s="26">
        <f>IF($A968="","",CHOOSE(WEEKDAY($A968,2),"Seg","Ter","Qua","Qui","Sex","Sáb","Dom"))</f>
        <v>0</v>
      </c>
      <c r="M968" s="27">
        <f>IF($E968="","",IF($G968&lt;&gt;"",$G968,IFERROR(INDEX(ProcValor,MATCH($E968,ProcNome,0)),0)))</f>
        <v>0</v>
      </c>
      <c r="N968" s="27">
        <f>IF($M968="","",IF($F968="Compareceu",$M968,0))</f>
        <v>0</v>
      </c>
      <c r="O968" s="27">
        <f>IF($M968="","",IF($F968="Faltou",$M968,0))</f>
        <v>0</v>
      </c>
      <c r="P968" s="27">
        <f>IF($M968="","",IF($F968="Compareceu",MAX(0,$M968-N($H968)),0))</f>
        <v>0</v>
      </c>
      <c r="Q968" s="19">
        <f>IF(AND($F968="Compareceu",$E968&lt;&gt;"",$A968&lt;&gt;""),IF(IFERROR(INDEX(ProcRet,MATCH($E968,ProcNome,0)),0)&gt;0,$A968+INDEX(ProcRet,MATCH($E968,ProcNome,0)),""),"")</f>
        <v>0</v>
      </c>
      <c r="R968" s="26">
        <f>IF($Q968="","",IF(COUNTIFS(AgPac,$D968,AgData,"&gt;"&amp;$A968,AgStatus,"&lt;&gt;Cancelado",AgStatus,"&lt;&gt;Remarcado")&gt;0,"Sim","Não"))</f>
        <v>0</v>
      </c>
      <c r="S968" s="28">
        <f>IF($A968="","",IF(AND($F968="Agendado",$A968-Hoje&gt;=0,$A968-Hoje&lt;=DiasConf),"CONFIRMAR",IF(AND($A968&lt;Hoje,OR($F968="Agendado",$F968="Confirmado")),"Atualizar status",IF(AND($F968="Compareceu",$P968&gt;0.005),"Cobrar",IF($F968="Faltou","Falta: reagendar","")))))</f>
        <v>0</v>
      </c>
      <c r="T968" s="29">
        <f>IF($A968="","",DATE(YEAR($A968),MONTH($A968),1))</f>
        <v>0</v>
      </c>
      <c r="U968" s="30">
        <f>IF($S968="CONFIRMAR",MAX($U$4:$U967)+1,"")</f>
        <v>0</v>
      </c>
      <c r="V968" s="30">
        <f>IF(AND($R968="Não",$Q968&lt;&gt;"",$Q968&lt;=Hoje+JanelaRet,$Q968&gt;=Hoje-60),MAX($V$4:$V967)+1,"")</f>
        <v>0</v>
      </c>
    </row>
    <row r="969" spans="1:22">
      <c r="A969" s="16"/>
      <c r="B969" s="23"/>
      <c r="C969" s="15"/>
      <c r="D969" s="15"/>
      <c r="E969" s="15"/>
      <c r="F969" s="24"/>
      <c r="G969" s="17"/>
      <c r="H969" s="17"/>
      <c r="I969" s="15"/>
      <c r="J969" s="25">
        <f>IF($D969="","",IFERROR(INDEX(PacNome,MATCH($D969,PacCod,0)),"Paciente não cadastrado"))</f>
        <v>0</v>
      </c>
      <c r="K969" s="26">
        <f>IF($D969="","",IFERROR(INDEX(PacConv,MATCH($D969,PacCod,0))&amp;"",""))</f>
        <v>0</v>
      </c>
      <c r="L969" s="26">
        <f>IF($A969="","",CHOOSE(WEEKDAY($A969,2),"Seg","Ter","Qua","Qui","Sex","Sáb","Dom"))</f>
        <v>0</v>
      </c>
      <c r="M969" s="27">
        <f>IF($E969="","",IF($G969&lt;&gt;"",$G969,IFERROR(INDEX(ProcValor,MATCH($E969,ProcNome,0)),0)))</f>
        <v>0</v>
      </c>
      <c r="N969" s="27">
        <f>IF($M969="","",IF($F969="Compareceu",$M969,0))</f>
        <v>0</v>
      </c>
      <c r="O969" s="27">
        <f>IF($M969="","",IF($F969="Faltou",$M969,0))</f>
        <v>0</v>
      </c>
      <c r="P969" s="27">
        <f>IF($M969="","",IF($F969="Compareceu",MAX(0,$M969-N($H969)),0))</f>
        <v>0</v>
      </c>
      <c r="Q969" s="19">
        <f>IF(AND($F969="Compareceu",$E969&lt;&gt;"",$A969&lt;&gt;""),IF(IFERROR(INDEX(ProcRet,MATCH($E969,ProcNome,0)),0)&gt;0,$A969+INDEX(ProcRet,MATCH($E969,ProcNome,0)),""),"")</f>
        <v>0</v>
      </c>
      <c r="R969" s="26">
        <f>IF($Q969="","",IF(COUNTIFS(AgPac,$D969,AgData,"&gt;"&amp;$A969,AgStatus,"&lt;&gt;Cancelado",AgStatus,"&lt;&gt;Remarcado")&gt;0,"Sim","Não"))</f>
        <v>0</v>
      </c>
      <c r="S969" s="28">
        <f>IF($A969="","",IF(AND($F969="Agendado",$A969-Hoje&gt;=0,$A969-Hoje&lt;=DiasConf),"CONFIRMAR",IF(AND($A969&lt;Hoje,OR($F969="Agendado",$F969="Confirmado")),"Atualizar status",IF(AND($F969="Compareceu",$P969&gt;0.005),"Cobrar",IF($F969="Faltou","Falta: reagendar","")))))</f>
        <v>0</v>
      </c>
      <c r="T969" s="29">
        <f>IF($A969="","",DATE(YEAR($A969),MONTH($A969),1))</f>
        <v>0</v>
      </c>
      <c r="U969" s="30">
        <f>IF($S969="CONFIRMAR",MAX($U$4:$U968)+1,"")</f>
        <v>0</v>
      </c>
      <c r="V969" s="30">
        <f>IF(AND($R969="Não",$Q969&lt;&gt;"",$Q969&lt;=Hoje+JanelaRet,$Q969&gt;=Hoje-60),MAX($V$4:$V968)+1,"")</f>
        <v>0</v>
      </c>
    </row>
    <row r="970" spans="1:22">
      <c r="A970" s="16"/>
      <c r="B970" s="23"/>
      <c r="C970" s="15"/>
      <c r="D970" s="15"/>
      <c r="E970" s="15"/>
      <c r="F970" s="24"/>
      <c r="G970" s="17"/>
      <c r="H970" s="17"/>
      <c r="I970" s="15"/>
      <c r="J970" s="25">
        <f>IF($D970="","",IFERROR(INDEX(PacNome,MATCH($D970,PacCod,0)),"Paciente não cadastrado"))</f>
        <v>0</v>
      </c>
      <c r="K970" s="26">
        <f>IF($D970="","",IFERROR(INDEX(PacConv,MATCH($D970,PacCod,0))&amp;"",""))</f>
        <v>0</v>
      </c>
      <c r="L970" s="26">
        <f>IF($A970="","",CHOOSE(WEEKDAY($A970,2),"Seg","Ter","Qua","Qui","Sex","Sáb","Dom"))</f>
        <v>0</v>
      </c>
      <c r="M970" s="27">
        <f>IF($E970="","",IF($G970&lt;&gt;"",$G970,IFERROR(INDEX(ProcValor,MATCH($E970,ProcNome,0)),0)))</f>
        <v>0</v>
      </c>
      <c r="N970" s="27">
        <f>IF($M970="","",IF($F970="Compareceu",$M970,0))</f>
        <v>0</v>
      </c>
      <c r="O970" s="27">
        <f>IF($M970="","",IF($F970="Faltou",$M970,0))</f>
        <v>0</v>
      </c>
      <c r="P970" s="27">
        <f>IF($M970="","",IF($F970="Compareceu",MAX(0,$M970-N($H970)),0))</f>
        <v>0</v>
      </c>
      <c r="Q970" s="19">
        <f>IF(AND($F970="Compareceu",$E970&lt;&gt;"",$A970&lt;&gt;""),IF(IFERROR(INDEX(ProcRet,MATCH($E970,ProcNome,0)),0)&gt;0,$A970+INDEX(ProcRet,MATCH($E970,ProcNome,0)),""),"")</f>
        <v>0</v>
      </c>
      <c r="R970" s="26">
        <f>IF($Q970="","",IF(COUNTIFS(AgPac,$D970,AgData,"&gt;"&amp;$A970,AgStatus,"&lt;&gt;Cancelado",AgStatus,"&lt;&gt;Remarcado")&gt;0,"Sim","Não"))</f>
        <v>0</v>
      </c>
      <c r="S970" s="28">
        <f>IF($A970="","",IF(AND($F970="Agendado",$A970-Hoje&gt;=0,$A970-Hoje&lt;=DiasConf),"CONFIRMAR",IF(AND($A970&lt;Hoje,OR($F970="Agendado",$F970="Confirmado")),"Atualizar status",IF(AND($F970="Compareceu",$P970&gt;0.005),"Cobrar",IF($F970="Faltou","Falta: reagendar","")))))</f>
        <v>0</v>
      </c>
      <c r="T970" s="29">
        <f>IF($A970="","",DATE(YEAR($A970),MONTH($A970),1))</f>
        <v>0</v>
      </c>
      <c r="U970" s="30">
        <f>IF($S970="CONFIRMAR",MAX($U$4:$U969)+1,"")</f>
        <v>0</v>
      </c>
      <c r="V970" s="30">
        <f>IF(AND($R970="Não",$Q970&lt;&gt;"",$Q970&lt;=Hoje+JanelaRet,$Q970&gt;=Hoje-60),MAX($V$4:$V969)+1,"")</f>
        <v>0</v>
      </c>
    </row>
    <row r="971" spans="1:22">
      <c r="A971" s="16"/>
      <c r="B971" s="23"/>
      <c r="C971" s="15"/>
      <c r="D971" s="15"/>
      <c r="E971" s="15"/>
      <c r="F971" s="24"/>
      <c r="G971" s="17"/>
      <c r="H971" s="17"/>
      <c r="I971" s="15"/>
      <c r="J971" s="25">
        <f>IF($D971="","",IFERROR(INDEX(PacNome,MATCH($D971,PacCod,0)),"Paciente não cadastrado"))</f>
        <v>0</v>
      </c>
      <c r="K971" s="26">
        <f>IF($D971="","",IFERROR(INDEX(PacConv,MATCH($D971,PacCod,0))&amp;"",""))</f>
        <v>0</v>
      </c>
      <c r="L971" s="26">
        <f>IF($A971="","",CHOOSE(WEEKDAY($A971,2),"Seg","Ter","Qua","Qui","Sex","Sáb","Dom"))</f>
        <v>0</v>
      </c>
      <c r="M971" s="27">
        <f>IF($E971="","",IF($G971&lt;&gt;"",$G971,IFERROR(INDEX(ProcValor,MATCH($E971,ProcNome,0)),0)))</f>
        <v>0</v>
      </c>
      <c r="N971" s="27">
        <f>IF($M971="","",IF($F971="Compareceu",$M971,0))</f>
        <v>0</v>
      </c>
      <c r="O971" s="27">
        <f>IF($M971="","",IF($F971="Faltou",$M971,0))</f>
        <v>0</v>
      </c>
      <c r="P971" s="27">
        <f>IF($M971="","",IF($F971="Compareceu",MAX(0,$M971-N($H971)),0))</f>
        <v>0</v>
      </c>
      <c r="Q971" s="19">
        <f>IF(AND($F971="Compareceu",$E971&lt;&gt;"",$A971&lt;&gt;""),IF(IFERROR(INDEX(ProcRet,MATCH($E971,ProcNome,0)),0)&gt;0,$A971+INDEX(ProcRet,MATCH($E971,ProcNome,0)),""),"")</f>
        <v>0</v>
      </c>
      <c r="R971" s="26">
        <f>IF($Q971="","",IF(COUNTIFS(AgPac,$D971,AgData,"&gt;"&amp;$A971,AgStatus,"&lt;&gt;Cancelado",AgStatus,"&lt;&gt;Remarcado")&gt;0,"Sim","Não"))</f>
        <v>0</v>
      </c>
      <c r="S971" s="28">
        <f>IF($A971="","",IF(AND($F971="Agendado",$A971-Hoje&gt;=0,$A971-Hoje&lt;=DiasConf),"CONFIRMAR",IF(AND($A971&lt;Hoje,OR($F971="Agendado",$F971="Confirmado")),"Atualizar status",IF(AND($F971="Compareceu",$P971&gt;0.005),"Cobrar",IF($F971="Faltou","Falta: reagendar","")))))</f>
        <v>0</v>
      </c>
      <c r="T971" s="29">
        <f>IF($A971="","",DATE(YEAR($A971),MONTH($A971),1))</f>
        <v>0</v>
      </c>
      <c r="U971" s="30">
        <f>IF($S971="CONFIRMAR",MAX($U$4:$U970)+1,"")</f>
        <v>0</v>
      </c>
      <c r="V971" s="30">
        <f>IF(AND($R971="Não",$Q971&lt;&gt;"",$Q971&lt;=Hoje+JanelaRet,$Q971&gt;=Hoje-60),MAX($V$4:$V970)+1,"")</f>
        <v>0</v>
      </c>
    </row>
    <row r="972" spans="1:22">
      <c r="A972" s="16"/>
      <c r="B972" s="23"/>
      <c r="C972" s="15"/>
      <c r="D972" s="15"/>
      <c r="E972" s="15"/>
      <c r="F972" s="24"/>
      <c r="G972" s="17"/>
      <c r="H972" s="17"/>
      <c r="I972" s="15"/>
      <c r="J972" s="25">
        <f>IF($D972="","",IFERROR(INDEX(PacNome,MATCH($D972,PacCod,0)),"Paciente não cadastrado"))</f>
        <v>0</v>
      </c>
      <c r="K972" s="26">
        <f>IF($D972="","",IFERROR(INDEX(PacConv,MATCH($D972,PacCod,0))&amp;"",""))</f>
        <v>0</v>
      </c>
      <c r="L972" s="26">
        <f>IF($A972="","",CHOOSE(WEEKDAY($A972,2),"Seg","Ter","Qua","Qui","Sex","Sáb","Dom"))</f>
        <v>0</v>
      </c>
      <c r="M972" s="27">
        <f>IF($E972="","",IF($G972&lt;&gt;"",$G972,IFERROR(INDEX(ProcValor,MATCH($E972,ProcNome,0)),0)))</f>
        <v>0</v>
      </c>
      <c r="N972" s="27">
        <f>IF($M972="","",IF($F972="Compareceu",$M972,0))</f>
        <v>0</v>
      </c>
      <c r="O972" s="27">
        <f>IF($M972="","",IF($F972="Faltou",$M972,0))</f>
        <v>0</v>
      </c>
      <c r="P972" s="27">
        <f>IF($M972="","",IF($F972="Compareceu",MAX(0,$M972-N($H972)),0))</f>
        <v>0</v>
      </c>
      <c r="Q972" s="19">
        <f>IF(AND($F972="Compareceu",$E972&lt;&gt;"",$A972&lt;&gt;""),IF(IFERROR(INDEX(ProcRet,MATCH($E972,ProcNome,0)),0)&gt;0,$A972+INDEX(ProcRet,MATCH($E972,ProcNome,0)),""),"")</f>
        <v>0</v>
      </c>
      <c r="R972" s="26">
        <f>IF($Q972="","",IF(COUNTIFS(AgPac,$D972,AgData,"&gt;"&amp;$A972,AgStatus,"&lt;&gt;Cancelado",AgStatus,"&lt;&gt;Remarcado")&gt;0,"Sim","Não"))</f>
        <v>0</v>
      </c>
      <c r="S972" s="28">
        <f>IF($A972="","",IF(AND($F972="Agendado",$A972-Hoje&gt;=0,$A972-Hoje&lt;=DiasConf),"CONFIRMAR",IF(AND($A972&lt;Hoje,OR($F972="Agendado",$F972="Confirmado")),"Atualizar status",IF(AND($F972="Compareceu",$P972&gt;0.005),"Cobrar",IF($F972="Faltou","Falta: reagendar","")))))</f>
        <v>0</v>
      </c>
      <c r="T972" s="29">
        <f>IF($A972="","",DATE(YEAR($A972),MONTH($A972),1))</f>
        <v>0</v>
      </c>
      <c r="U972" s="30">
        <f>IF($S972="CONFIRMAR",MAX($U$4:$U971)+1,"")</f>
        <v>0</v>
      </c>
      <c r="V972" s="30">
        <f>IF(AND($R972="Não",$Q972&lt;&gt;"",$Q972&lt;=Hoje+JanelaRet,$Q972&gt;=Hoje-60),MAX($V$4:$V971)+1,"")</f>
        <v>0</v>
      </c>
    </row>
    <row r="973" spans="1:22">
      <c r="A973" s="16"/>
      <c r="B973" s="23"/>
      <c r="C973" s="15"/>
      <c r="D973" s="15"/>
      <c r="E973" s="15"/>
      <c r="F973" s="24"/>
      <c r="G973" s="17"/>
      <c r="H973" s="17"/>
      <c r="I973" s="15"/>
      <c r="J973" s="25">
        <f>IF($D973="","",IFERROR(INDEX(PacNome,MATCH($D973,PacCod,0)),"Paciente não cadastrado"))</f>
        <v>0</v>
      </c>
      <c r="K973" s="26">
        <f>IF($D973="","",IFERROR(INDEX(PacConv,MATCH($D973,PacCod,0))&amp;"",""))</f>
        <v>0</v>
      </c>
      <c r="L973" s="26">
        <f>IF($A973="","",CHOOSE(WEEKDAY($A973,2),"Seg","Ter","Qua","Qui","Sex","Sáb","Dom"))</f>
        <v>0</v>
      </c>
      <c r="M973" s="27">
        <f>IF($E973="","",IF($G973&lt;&gt;"",$G973,IFERROR(INDEX(ProcValor,MATCH($E973,ProcNome,0)),0)))</f>
        <v>0</v>
      </c>
      <c r="N973" s="27">
        <f>IF($M973="","",IF($F973="Compareceu",$M973,0))</f>
        <v>0</v>
      </c>
      <c r="O973" s="27">
        <f>IF($M973="","",IF($F973="Faltou",$M973,0))</f>
        <v>0</v>
      </c>
      <c r="P973" s="27">
        <f>IF($M973="","",IF($F973="Compareceu",MAX(0,$M973-N($H973)),0))</f>
        <v>0</v>
      </c>
      <c r="Q973" s="19">
        <f>IF(AND($F973="Compareceu",$E973&lt;&gt;"",$A973&lt;&gt;""),IF(IFERROR(INDEX(ProcRet,MATCH($E973,ProcNome,0)),0)&gt;0,$A973+INDEX(ProcRet,MATCH($E973,ProcNome,0)),""),"")</f>
        <v>0</v>
      </c>
      <c r="R973" s="26">
        <f>IF($Q973="","",IF(COUNTIFS(AgPac,$D973,AgData,"&gt;"&amp;$A973,AgStatus,"&lt;&gt;Cancelado",AgStatus,"&lt;&gt;Remarcado")&gt;0,"Sim","Não"))</f>
        <v>0</v>
      </c>
      <c r="S973" s="28">
        <f>IF($A973="","",IF(AND($F973="Agendado",$A973-Hoje&gt;=0,$A973-Hoje&lt;=DiasConf),"CONFIRMAR",IF(AND($A973&lt;Hoje,OR($F973="Agendado",$F973="Confirmado")),"Atualizar status",IF(AND($F973="Compareceu",$P973&gt;0.005),"Cobrar",IF($F973="Faltou","Falta: reagendar","")))))</f>
        <v>0</v>
      </c>
      <c r="T973" s="29">
        <f>IF($A973="","",DATE(YEAR($A973),MONTH($A973),1))</f>
        <v>0</v>
      </c>
      <c r="U973" s="30">
        <f>IF($S973="CONFIRMAR",MAX($U$4:$U972)+1,"")</f>
        <v>0</v>
      </c>
      <c r="V973" s="30">
        <f>IF(AND($R973="Não",$Q973&lt;&gt;"",$Q973&lt;=Hoje+JanelaRet,$Q973&gt;=Hoje-60),MAX($V$4:$V972)+1,"")</f>
        <v>0</v>
      </c>
    </row>
    <row r="974" spans="1:22">
      <c r="A974" s="16"/>
      <c r="B974" s="23"/>
      <c r="C974" s="15"/>
      <c r="D974" s="15"/>
      <c r="E974" s="15"/>
      <c r="F974" s="24"/>
      <c r="G974" s="17"/>
      <c r="H974" s="17"/>
      <c r="I974" s="15"/>
      <c r="J974" s="25">
        <f>IF($D974="","",IFERROR(INDEX(PacNome,MATCH($D974,PacCod,0)),"Paciente não cadastrado"))</f>
        <v>0</v>
      </c>
      <c r="K974" s="26">
        <f>IF($D974="","",IFERROR(INDEX(PacConv,MATCH($D974,PacCod,0))&amp;"",""))</f>
        <v>0</v>
      </c>
      <c r="L974" s="26">
        <f>IF($A974="","",CHOOSE(WEEKDAY($A974,2),"Seg","Ter","Qua","Qui","Sex","Sáb","Dom"))</f>
        <v>0</v>
      </c>
      <c r="M974" s="27">
        <f>IF($E974="","",IF($G974&lt;&gt;"",$G974,IFERROR(INDEX(ProcValor,MATCH($E974,ProcNome,0)),0)))</f>
        <v>0</v>
      </c>
      <c r="N974" s="27">
        <f>IF($M974="","",IF($F974="Compareceu",$M974,0))</f>
        <v>0</v>
      </c>
      <c r="O974" s="27">
        <f>IF($M974="","",IF($F974="Faltou",$M974,0))</f>
        <v>0</v>
      </c>
      <c r="P974" s="27">
        <f>IF($M974="","",IF($F974="Compareceu",MAX(0,$M974-N($H974)),0))</f>
        <v>0</v>
      </c>
      <c r="Q974" s="19">
        <f>IF(AND($F974="Compareceu",$E974&lt;&gt;"",$A974&lt;&gt;""),IF(IFERROR(INDEX(ProcRet,MATCH($E974,ProcNome,0)),0)&gt;0,$A974+INDEX(ProcRet,MATCH($E974,ProcNome,0)),""),"")</f>
        <v>0</v>
      </c>
      <c r="R974" s="26">
        <f>IF($Q974="","",IF(COUNTIFS(AgPac,$D974,AgData,"&gt;"&amp;$A974,AgStatus,"&lt;&gt;Cancelado",AgStatus,"&lt;&gt;Remarcado")&gt;0,"Sim","Não"))</f>
        <v>0</v>
      </c>
      <c r="S974" s="28">
        <f>IF($A974="","",IF(AND($F974="Agendado",$A974-Hoje&gt;=0,$A974-Hoje&lt;=DiasConf),"CONFIRMAR",IF(AND($A974&lt;Hoje,OR($F974="Agendado",$F974="Confirmado")),"Atualizar status",IF(AND($F974="Compareceu",$P974&gt;0.005),"Cobrar",IF($F974="Faltou","Falta: reagendar","")))))</f>
        <v>0</v>
      </c>
      <c r="T974" s="29">
        <f>IF($A974="","",DATE(YEAR($A974),MONTH($A974),1))</f>
        <v>0</v>
      </c>
      <c r="U974" s="30">
        <f>IF($S974="CONFIRMAR",MAX($U$4:$U973)+1,"")</f>
        <v>0</v>
      </c>
      <c r="V974" s="30">
        <f>IF(AND($R974="Não",$Q974&lt;&gt;"",$Q974&lt;=Hoje+JanelaRet,$Q974&gt;=Hoje-60),MAX($V$4:$V973)+1,"")</f>
        <v>0</v>
      </c>
    </row>
    <row r="975" spans="1:22">
      <c r="A975" s="16"/>
      <c r="B975" s="23"/>
      <c r="C975" s="15"/>
      <c r="D975" s="15"/>
      <c r="E975" s="15"/>
      <c r="F975" s="24"/>
      <c r="G975" s="17"/>
      <c r="H975" s="17"/>
      <c r="I975" s="15"/>
      <c r="J975" s="25">
        <f>IF($D975="","",IFERROR(INDEX(PacNome,MATCH($D975,PacCod,0)),"Paciente não cadastrado"))</f>
        <v>0</v>
      </c>
      <c r="K975" s="26">
        <f>IF($D975="","",IFERROR(INDEX(PacConv,MATCH($D975,PacCod,0))&amp;"",""))</f>
        <v>0</v>
      </c>
      <c r="L975" s="26">
        <f>IF($A975="","",CHOOSE(WEEKDAY($A975,2),"Seg","Ter","Qua","Qui","Sex","Sáb","Dom"))</f>
        <v>0</v>
      </c>
      <c r="M975" s="27">
        <f>IF($E975="","",IF($G975&lt;&gt;"",$G975,IFERROR(INDEX(ProcValor,MATCH($E975,ProcNome,0)),0)))</f>
        <v>0</v>
      </c>
      <c r="N975" s="27">
        <f>IF($M975="","",IF($F975="Compareceu",$M975,0))</f>
        <v>0</v>
      </c>
      <c r="O975" s="27">
        <f>IF($M975="","",IF($F975="Faltou",$M975,0))</f>
        <v>0</v>
      </c>
      <c r="P975" s="27">
        <f>IF($M975="","",IF($F975="Compareceu",MAX(0,$M975-N($H975)),0))</f>
        <v>0</v>
      </c>
      <c r="Q975" s="19">
        <f>IF(AND($F975="Compareceu",$E975&lt;&gt;"",$A975&lt;&gt;""),IF(IFERROR(INDEX(ProcRet,MATCH($E975,ProcNome,0)),0)&gt;0,$A975+INDEX(ProcRet,MATCH($E975,ProcNome,0)),""),"")</f>
        <v>0</v>
      </c>
      <c r="R975" s="26">
        <f>IF($Q975="","",IF(COUNTIFS(AgPac,$D975,AgData,"&gt;"&amp;$A975,AgStatus,"&lt;&gt;Cancelado",AgStatus,"&lt;&gt;Remarcado")&gt;0,"Sim","Não"))</f>
        <v>0</v>
      </c>
      <c r="S975" s="28">
        <f>IF($A975="","",IF(AND($F975="Agendado",$A975-Hoje&gt;=0,$A975-Hoje&lt;=DiasConf),"CONFIRMAR",IF(AND($A975&lt;Hoje,OR($F975="Agendado",$F975="Confirmado")),"Atualizar status",IF(AND($F975="Compareceu",$P975&gt;0.005),"Cobrar",IF($F975="Faltou","Falta: reagendar","")))))</f>
        <v>0</v>
      </c>
      <c r="T975" s="29">
        <f>IF($A975="","",DATE(YEAR($A975),MONTH($A975),1))</f>
        <v>0</v>
      </c>
      <c r="U975" s="30">
        <f>IF($S975="CONFIRMAR",MAX($U$4:$U974)+1,"")</f>
        <v>0</v>
      </c>
      <c r="V975" s="30">
        <f>IF(AND($R975="Não",$Q975&lt;&gt;"",$Q975&lt;=Hoje+JanelaRet,$Q975&gt;=Hoje-60),MAX($V$4:$V974)+1,"")</f>
        <v>0</v>
      </c>
    </row>
    <row r="976" spans="1:22">
      <c r="A976" s="16"/>
      <c r="B976" s="23"/>
      <c r="C976" s="15"/>
      <c r="D976" s="15"/>
      <c r="E976" s="15"/>
      <c r="F976" s="24"/>
      <c r="G976" s="17"/>
      <c r="H976" s="17"/>
      <c r="I976" s="15"/>
      <c r="J976" s="25">
        <f>IF($D976="","",IFERROR(INDEX(PacNome,MATCH($D976,PacCod,0)),"Paciente não cadastrado"))</f>
        <v>0</v>
      </c>
      <c r="K976" s="26">
        <f>IF($D976="","",IFERROR(INDEX(PacConv,MATCH($D976,PacCod,0))&amp;"",""))</f>
        <v>0</v>
      </c>
      <c r="L976" s="26">
        <f>IF($A976="","",CHOOSE(WEEKDAY($A976,2),"Seg","Ter","Qua","Qui","Sex","Sáb","Dom"))</f>
        <v>0</v>
      </c>
      <c r="M976" s="27">
        <f>IF($E976="","",IF($G976&lt;&gt;"",$G976,IFERROR(INDEX(ProcValor,MATCH($E976,ProcNome,0)),0)))</f>
        <v>0</v>
      </c>
      <c r="N976" s="27">
        <f>IF($M976="","",IF($F976="Compareceu",$M976,0))</f>
        <v>0</v>
      </c>
      <c r="O976" s="27">
        <f>IF($M976="","",IF($F976="Faltou",$M976,0))</f>
        <v>0</v>
      </c>
      <c r="P976" s="27">
        <f>IF($M976="","",IF($F976="Compareceu",MAX(0,$M976-N($H976)),0))</f>
        <v>0</v>
      </c>
      <c r="Q976" s="19">
        <f>IF(AND($F976="Compareceu",$E976&lt;&gt;"",$A976&lt;&gt;""),IF(IFERROR(INDEX(ProcRet,MATCH($E976,ProcNome,0)),0)&gt;0,$A976+INDEX(ProcRet,MATCH($E976,ProcNome,0)),""),"")</f>
        <v>0</v>
      </c>
      <c r="R976" s="26">
        <f>IF($Q976="","",IF(COUNTIFS(AgPac,$D976,AgData,"&gt;"&amp;$A976,AgStatus,"&lt;&gt;Cancelado",AgStatus,"&lt;&gt;Remarcado")&gt;0,"Sim","Não"))</f>
        <v>0</v>
      </c>
      <c r="S976" s="28">
        <f>IF($A976="","",IF(AND($F976="Agendado",$A976-Hoje&gt;=0,$A976-Hoje&lt;=DiasConf),"CONFIRMAR",IF(AND($A976&lt;Hoje,OR($F976="Agendado",$F976="Confirmado")),"Atualizar status",IF(AND($F976="Compareceu",$P976&gt;0.005),"Cobrar",IF($F976="Faltou","Falta: reagendar","")))))</f>
        <v>0</v>
      </c>
      <c r="T976" s="29">
        <f>IF($A976="","",DATE(YEAR($A976),MONTH($A976),1))</f>
        <v>0</v>
      </c>
      <c r="U976" s="30">
        <f>IF($S976="CONFIRMAR",MAX($U$4:$U975)+1,"")</f>
        <v>0</v>
      </c>
      <c r="V976" s="30">
        <f>IF(AND($R976="Não",$Q976&lt;&gt;"",$Q976&lt;=Hoje+JanelaRet,$Q976&gt;=Hoje-60),MAX($V$4:$V975)+1,"")</f>
        <v>0</v>
      </c>
    </row>
    <row r="977" spans="1:22">
      <c r="A977" s="16"/>
      <c r="B977" s="23"/>
      <c r="C977" s="15"/>
      <c r="D977" s="15"/>
      <c r="E977" s="15"/>
      <c r="F977" s="24"/>
      <c r="G977" s="17"/>
      <c r="H977" s="17"/>
      <c r="I977" s="15"/>
      <c r="J977" s="25">
        <f>IF($D977="","",IFERROR(INDEX(PacNome,MATCH($D977,PacCod,0)),"Paciente não cadastrado"))</f>
        <v>0</v>
      </c>
      <c r="K977" s="26">
        <f>IF($D977="","",IFERROR(INDEX(PacConv,MATCH($D977,PacCod,0))&amp;"",""))</f>
        <v>0</v>
      </c>
      <c r="L977" s="26">
        <f>IF($A977="","",CHOOSE(WEEKDAY($A977,2),"Seg","Ter","Qua","Qui","Sex","Sáb","Dom"))</f>
        <v>0</v>
      </c>
      <c r="M977" s="27">
        <f>IF($E977="","",IF($G977&lt;&gt;"",$G977,IFERROR(INDEX(ProcValor,MATCH($E977,ProcNome,0)),0)))</f>
        <v>0</v>
      </c>
      <c r="N977" s="27">
        <f>IF($M977="","",IF($F977="Compareceu",$M977,0))</f>
        <v>0</v>
      </c>
      <c r="O977" s="27">
        <f>IF($M977="","",IF($F977="Faltou",$M977,0))</f>
        <v>0</v>
      </c>
      <c r="P977" s="27">
        <f>IF($M977="","",IF($F977="Compareceu",MAX(0,$M977-N($H977)),0))</f>
        <v>0</v>
      </c>
      <c r="Q977" s="19">
        <f>IF(AND($F977="Compareceu",$E977&lt;&gt;"",$A977&lt;&gt;""),IF(IFERROR(INDEX(ProcRet,MATCH($E977,ProcNome,0)),0)&gt;0,$A977+INDEX(ProcRet,MATCH($E977,ProcNome,0)),""),"")</f>
        <v>0</v>
      </c>
      <c r="R977" s="26">
        <f>IF($Q977="","",IF(COUNTIFS(AgPac,$D977,AgData,"&gt;"&amp;$A977,AgStatus,"&lt;&gt;Cancelado",AgStatus,"&lt;&gt;Remarcado")&gt;0,"Sim","Não"))</f>
        <v>0</v>
      </c>
      <c r="S977" s="28">
        <f>IF($A977="","",IF(AND($F977="Agendado",$A977-Hoje&gt;=0,$A977-Hoje&lt;=DiasConf),"CONFIRMAR",IF(AND($A977&lt;Hoje,OR($F977="Agendado",$F977="Confirmado")),"Atualizar status",IF(AND($F977="Compareceu",$P977&gt;0.005),"Cobrar",IF($F977="Faltou","Falta: reagendar","")))))</f>
        <v>0</v>
      </c>
      <c r="T977" s="29">
        <f>IF($A977="","",DATE(YEAR($A977),MONTH($A977),1))</f>
        <v>0</v>
      </c>
      <c r="U977" s="30">
        <f>IF($S977="CONFIRMAR",MAX($U$4:$U976)+1,"")</f>
        <v>0</v>
      </c>
      <c r="V977" s="30">
        <f>IF(AND($R977="Não",$Q977&lt;&gt;"",$Q977&lt;=Hoje+JanelaRet,$Q977&gt;=Hoje-60),MAX($V$4:$V976)+1,"")</f>
        <v>0</v>
      </c>
    </row>
    <row r="978" spans="1:22">
      <c r="A978" s="16"/>
      <c r="B978" s="23"/>
      <c r="C978" s="15"/>
      <c r="D978" s="15"/>
      <c r="E978" s="15"/>
      <c r="F978" s="24"/>
      <c r="G978" s="17"/>
      <c r="H978" s="17"/>
      <c r="I978" s="15"/>
      <c r="J978" s="25">
        <f>IF($D978="","",IFERROR(INDEX(PacNome,MATCH($D978,PacCod,0)),"Paciente não cadastrado"))</f>
        <v>0</v>
      </c>
      <c r="K978" s="26">
        <f>IF($D978="","",IFERROR(INDEX(PacConv,MATCH($D978,PacCod,0))&amp;"",""))</f>
        <v>0</v>
      </c>
      <c r="L978" s="26">
        <f>IF($A978="","",CHOOSE(WEEKDAY($A978,2),"Seg","Ter","Qua","Qui","Sex","Sáb","Dom"))</f>
        <v>0</v>
      </c>
      <c r="M978" s="27">
        <f>IF($E978="","",IF($G978&lt;&gt;"",$G978,IFERROR(INDEX(ProcValor,MATCH($E978,ProcNome,0)),0)))</f>
        <v>0</v>
      </c>
      <c r="N978" s="27">
        <f>IF($M978="","",IF($F978="Compareceu",$M978,0))</f>
        <v>0</v>
      </c>
      <c r="O978" s="27">
        <f>IF($M978="","",IF($F978="Faltou",$M978,0))</f>
        <v>0</v>
      </c>
      <c r="P978" s="27">
        <f>IF($M978="","",IF($F978="Compareceu",MAX(0,$M978-N($H978)),0))</f>
        <v>0</v>
      </c>
      <c r="Q978" s="19">
        <f>IF(AND($F978="Compareceu",$E978&lt;&gt;"",$A978&lt;&gt;""),IF(IFERROR(INDEX(ProcRet,MATCH($E978,ProcNome,0)),0)&gt;0,$A978+INDEX(ProcRet,MATCH($E978,ProcNome,0)),""),"")</f>
        <v>0</v>
      </c>
      <c r="R978" s="26">
        <f>IF($Q978="","",IF(COUNTIFS(AgPac,$D978,AgData,"&gt;"&amp;$A978,AgStatus,"&lt;&gt;Cancelado",AgStatus,"&lt;&gt;Remarcado")&gt;0,"Sim","Não"))</f>
        <v>0</v>
      </c>
      <c r="S978" s="28">
        <f>IF($A978="","",IF(AND($F978="Agendado",$A978-Hoje&gt;=0,$A978-Hoje&lt;=DiasConf),"CONFIRMAR",IF(AND($A978&lt;Hoje,OR($F978="Agendado",$F978="Confirmado")),"Atualizar status",IF(AND($F978="Compareceu",$P978&gt;0.005),"Cobrar",IF($F978="Faltou","Falta: reagendar","")))))</f>
        <v>0</v>
      </c>
      <c r="T978" s="29">
        <f>IF($A978="","",DATE(YEAR($A978),MONTH($A978),1))</f>
        <v>0</v>
      </c>
      <c r="U978" s="30">
        <f>IF($S978="CONFIRMAR",MAX($U$4:$U977)+1,"")</f>
        <v>0</v>
      </c>
      <c r="V978" s="30">
        <f>IF(AND($R978="Não",$Q978&lt;&gt;"",$Q978&lt;=Hoje+JanelaRet,$Q978&gt;=Hoje-60),MAX($V$4:$V977)+1,"")</f>
        <v>0</v>
      </c>
    </row>
    <row r="979" spans="1:22">
      <c r="A979" s="16"/>
      <c r="B979" s="23"/>
      <c r="C979" s="15"/>
      <c r="D979" s="15"/>
      <c r="E979" s="15"/>
      <c r="F979" s="24"/>
      <c r="G979" s="17"/>
      <c r="H979" s="17"/>
      <c r="I979" s="15"/>
      <c r="J979" s="25">
        <f>IF($D979="","",IFERROR(INDEX(PacNome,MATCH($D979,PacCod,0)),"Paciente não cadastrado"))</f>
        <v>0</v>
      </c>
      <c r="K979" s="26">
        <f>IF($D979="","",IFERROR(INDEX(PacConv,MATCH($D979,PacCod,0))&amp;"",""))</f>
        <v>0</v>
      </c>
      <c r="L979" s="26">
        <f>IF($A979="","",CHOOSE(WEEKDAY($A979,2),"Seg","Ter","Qua","Qui","Sex","Sáb","Dom"))</f>
        <v>0</v>
      </c>
      <c r="M979" s="27">
        <f>IF($E979="","",IF($G979&lt;&gt;"",$G979,IFERROR(INDEX(ProcValor,MATCH($E979,ProcNome,0)),0)))</f>
        <v>0</v>
      </c>
      <c r="N979" s="27">
        <f>IF($M979="","",IF($F979="Compareceu",$M979,0))</f>
        <v>0</v>
      </c>
      <c r="O979" s="27">
        <f>IF($M979="","",IF($F979="Faltou",$M979,0))</f>
        <v>0</v>
      </c>
      <c r="P979" s="27">
        <f>IF($M979="","",IF($F979="Compareceu",MAX(0,$M979-N($H979)),0))</f>
        <v>0</v>
      </c>
      <c r="Q979" s="19">
        <f>IF(AND($F979="Compareceu",$E979&lt;&gt;"",$A979&lt;&gt;""),IF(IFERROR(INDEX(ProcRet,MATCH($E979,ProcNome,0)),0)&gt;0,$A979+INDEX(ProcRet,MATCH($E979,ProcNome,0)),""),"")</f>
        <v>0</v>
      </c>
      <c r="R979" s="26">
        <f>IF($Q979="","",IF(COUNTIFS(AgPac,$D979,AgData,"&gt;"&amp;$A979,AgStatus,"&lt;&gt;Cancelado",AgStatus,"&lt;&gt;Remarcado")&gt;0,"Sim","Não"))</f>
        <v>0</v>
      </c>
      <c r="S979" s="28">
        <f>IF($A979="","",IF(AND($F979="Agendado",$A979-Hoje&gt;=0,$A979-Hoje&lt;=DiasConf),"CONFIRMAR",IF(AND($A979&lt;Hoje,OR($F979="Agendado",$F979="Confirmado")),"Atualizar status",IF(AND($F979="Compareceu",$P979&gt;0.005),"Cobrar",IF($F979="Faltou","Falta: reagendar","")))))</f>
        <v>0</v>
      </c>
      <c r="T979" s="29">
        <f>IF($A979="","",DATE(YEAR($A979),MONTH($A979),1))</f>
        <v>0</v>
      </c>
      <c r="U979" s="30">
        <f>IF($S979="CONFIRMAR",MAX($U$4:$U978)+1,"")</f>
        <v>0</v>
      </c>
      <c r="V979" s="30">
        <f>IF(AND($R979="Não",$Q979&lt;&gt;"",$Q979&lt;=Hoje+JanelaRet,$Q979&gt;=Hoje-60),MAX($V$4:$V978)+1,"")</f>
        <v>0</v>
      </c>
    </row>
    <row r="980" spans="1:22">
      <c r="A980" s="16"/>
      <c r="B980" s="23"/>
      <c r="C980" s="15"/>
      <c r="D980" s="15"/>
      <c r="E980" s="15"/>
      <c r="F980" s="24"/>
      <c r="G980" s="17"/>
      <c r="H980" s="17"/>
      <c r="I980" s="15"/>
      <c r="J980" s="25">
        <f>IF($D980="","",IFERROR(INDEX(PacNome,MATCH($D980,PacCod,0)),"Paciente não cadastrado"))</f>
        <v>0</v>
      </c>
      <c r="K980" s="26">
        <f>IF($D980="","",IFERROR(INDEX(PacConv,MATCH($D980,PacCod,0))&amp;"",""))</f>
        <v>0</v>
      </c>
      <c r="L980" s="26">
        <f>IF($A980="","",CHOOSE(WEEKDAY($A980,2),"Seg","Ter","Qua","Qui","Sex","Sáb","Dom"))</f>
        <v>0</v>
      </c>
      <c r="M980" s="27">
        <f>IF($E980="","",IF($G980&lt;&gt;"",$G980,IFERROR(INDEX(ProcValor,MATCH($E980,ProcNome,0)),0)))</f>
        <v>0</v>
      </c>
      <c r="N980" s="27">
        <f>IF($M980="","",IF($F980="Compareceu",$M980,0))</f>
        <v>0</v>
      </c>
      <c r="O980" s="27">
        <f>IF($M980="","",IF($F980="Faltou",$M980,0))</f>
        <v>0</v>
      </c>
      <c r="P980" s="27">
        <f>IF($M980="","",IF($F980="Compareceu",MAX(0,$M980-N($H980)),0))</f>
        <v>0</v>
      </c>
      <c r="Q980" s="19">
        <f>IF(AND($F980="Compareceu",$E980&lt;&gt;"",$A980&lt;&gt;""),IF(IFERROR(INDEX(ProcRet,MATCH($E980,ProcNome,0)),0)&gt;0,$A980+INDEX(ProcRet,MATCH($E980,ProcNome,0)),""),"")</f>
        <v>0</v>
      </c>
      <c r="R980" s="26">
        <f>IF($Q980="","",IF(COUNTIFS(AgPac,$D980,AgData,"&gt;"&amp;$A980,AgStatus,"&lt;&gt;Cancelado",AgStatus,"&lt;&gt;Remarcado")&gt;0,"Sim","Não"))</f>
        <v>0</v>
      </c>
      <c r="S980" s="28">
        <f>IF($A980="","",IF(AND($F980="Agendado",$A980-Hoje&gt;=0,$A980-Hoje&lt;=DiasConf),"CONFIRMAR",IF(AND($A980&lt;Hoje,OR($F980="Agendado",$F980="Confirmado")),"Atualizar status",IF(AND($F980="Compareceu",$P980&gt;0.005),"Cobrar",IF($F980="Faltou","Falta: reagendar","")))))</f>
        <v>0</v>
      </c>
      <c r="T980" s="29">
        <f>IF($A980="","",DATE(YEAR($A980),MONTH($A980),1))</f>
        <v>0</v>
      </c>
      <c r="U980" s="30">
        <f>IF($S980="CONFIRMAR",MAX($U$4:$U979)+1,"")</f>
        <v>0</v>
      </c>
      <c r="V980" s="30">
        <f>IF(AND($R980="Não",$Q980&lt;&gt;"",$Q980&lt;=Hoje+JanelaRet,$Q980&gt;=Hoje-60),MAX($V$4:$V979)+1,"")</f>
        <v>0</v>
      </c>
    </row>
    <row r="981" spans="1:22">
      <c r="A981" s="16"/>
      <c r="B981" s="23"/>
      <c r="C981" s="15"/>
      <c r="D981" s="15"/>
      <c r="E981" s="15"/>
      <c r="F981" s="24"/>
      <c r="G981" s="17"/>
      <c r="H981" s="17"/>
      <c r="I981" s="15"/>
      <c r="J981" s="25">
        <f>IF($D981="","",IFERROR(INDEX(PacNome,MATCH($D981,PacCod,0)),"Paciente não cadastrado"))</f>
        <v>0</v>
      </c>
      <c r="K981" s="26">
        <f>IF($D981="","",IFERROR(INDEX(PacConv,MATCH($D981,PacCod,0))&amp;"",""))</f>
        <v>0</v>
      </c>
      <c r="L981" s="26">
        <f>IF($A981="","",CHOOSE(WEEKDAY($A981,2),"Seg","Ter","Qua","Qui","Sex","Sáb","Dom"))</f>
        <v>0</v>
      </c>
      <c r="M981" s="27">
        <f>IF($E981="","",IF($G981&lt;&gt;"",$G981,IFERROR(INDEX(ProcValor,MATCH($E981,ProcNome,0)),0)))</f>
        <v>0</v>
      </c>
      <c r="N981" s="27">
        <f>IF($M981="","",IF($F981="Compareceu",$M981,0))</f>
        <v>0</v>
      </c>
      <c r="O981" s="27">
        <f>IF($M981="","",IF($F981="Faltou",$M981,0))</f>
        <v>0</v>
      </c>
      <c r="P981" s="27">
        <f>IF($M981="","",IF($F981="Compareceu",MAX(0,$M981-N($H981)),0))</f>
        <v>0</v>
      </c>
      <c r="Q981" s="19">
        <f>IF(AND($F981="Compareceu",$E981&lt;&gt;"",$A981&lt;&gt;""),IF(IFERROR(INDEX(ProcRet,MATCH($E981,ProcNome,0)),0)&gt;0,$A981+INDEX(ProcRet,MATCH($E981,ProcNome,0)),""),"")</f>
        <v>0</v>
      </c>
      <c r="R981" s="26">
        <f>IF($Q981="","",IF(COUNTIFS(AgPac,$D981,AgData,"&gt;"&amp;$A981,AgStatus,"&lt;&gt;Cancelado",AgStatus,"&lt;&gt;Remarcado")&gt;0,"Sim","Não"))</f>
        <v>0</v>
      </c>
      <c r="S981" s="28">
        <f>IF($A981="","",IF(AND($F981="Agendado",$A981-Hoje&gt;=0,$A981-Hoje&lt;=DiasConf),"CONFIRMAR",IF(AND($A981&lt;Hoje,OR($F981="Agendado",$F981="Confirmado")),"Atualizar status",IF(AND($F981="Compareceu",$P981&gt;0.005),"Cobrar",IF($F981="Faltou","Falta: reagendar","")))))</f>
        <v>0</v>
      </c>
      <c r="T981" s="29">
        <f>IF($A981="","",DATE(YEAR($A981),MONTH($A981),1))</f>
        <v>0</v>
      </c>
      <c r="U981" s="30">
        <f>IF($S981="CONFIRMAR",MAX($U$4:$U980)+1,"")</f>
        <v>0</v>
      </c>
      <c r="V981" s="30">
        <f>IF(AND($R981="Não",$Q981&lt;&gt;"",$Q981&lt;=Hoje+JanelaRet,$Q981&gt;=Hoje-60),MAX($V$4:$V980)+1,"")</f>
        <v>0</v>
      </c>
    </row>
    <row r="982" spans="1:22">
      <c r="A982" s="16"/>
      <c r="B982" s="23"/>
      <c r="C982" s="15"/>
      <c r="D982" s="15"/>
      <c r="E982" s="15"/>
      <c r="F982" s="24"/>
      <c r="G982" s="17"/>
      <c r="H982" s="17"/>
      <c r="I982" s="15"/>
      <c r="J982" s="25">
        <f>IF($D982="","",IFERROR(INDEX(PacNome,MATCH($D982,PacCod,0)),"Paciente não cadastrado"))</f>
        <v>0</v>
      </c>
      <c r="K982" s="26">
        <f>IF($D982="","",IFERROR(INDEX(PacConv,MATCH($D982,PacCod,0))&amp;"",""))</f>
        <v>0</v>
      </c>
      <c r="L982" s="26">
        <f>IF($A982="","",CHOOSE(WEEKDAY($A982,2),"Seg","Ter","Qua","Qui","Sex","Sáb","Dom"))</f>
        <v>0</v>
      </c>
      <c r="M982" s="27">
        <f>IF($E982="","",IF($G982&lt;&gt;"",$G982,IFERROR(INDEX(ProcValor,MATCH($E982,ProcNome,0)),0)))</f>
        <v>0</v>
      </c>
      <c r="N982" s="27">
        <f>IF($M982="","",IF($F982="Compareceu",$M982,0))</f>
        <v>0</v>
      </c>
      <c r="O982" s="27">
        <f>IF($M982="","",IF($F982="Faltou",$M982,0))</f>
        <v>0</v>
      </c>
      <c r="P982" s="27">
        <f>IF($M982="","",IF($F982="Compareceu",MAX(0,$M982-N($H982)),0))</f>
        <v>0</v>
      </c>
      <c r="Q982" s="19">
        <f>IF(AND($F982="Compareceu",$E982&lt;&gt;"",$A982&lt;&gt;""),IF(IFERROR(INDEX(ProcRet,MATCH($E982,ProcNome,0)),0)&gt;0,$A982+INDEX(ProcRet,MATCH($E982,ProcNome,0)),""),"")</f>
        <v>0</v>
      </c>
      <c r="R982" s="26">
        <f>IF($Q982="","",IF(COUNTIFS(AgPac,$D982,AgData,"&gt;"&amp;$A982,AgStatus,"&lt;&gt;Cancelado",AgStatus,"&lt;&gt;Remarcado")&gt;0,"Sim","Não"))</f>
        <v>0</v>
      </c>
      <c r="S982" s="28">
        <f>IF($A982="","",IF(AND($F982="Agendado",$A982-Hoje&gt;=0,$A982-Hoje&lt;=DiasConf),"CONFIRMAR",IF(AND($A982&lt;Hoje,OR($F982="Agendado",$F982="Confirmado")),"Atualizar status",IF(AND($F982="Compareceu",$P982&gt;0.005),"Cobrar",IF($F982="Faltou","Falta: reagendar","")))))</f>
        <v>0</v>
      </c>
      <c r="T982" s="29">
        <f>IF($A982="","",DATE(YEAR($A982),MONTH($A982),1))</f>
        <v>0</v>
      </c>
      <c r="U982" s="30">
        <f>IF($S982="CONFIRMAR",MAX($U$4:$U981)+1,"")</f>
        <v>0</v>
      </c>
      <c r="V982" s="30">
        <f>IF(AND($R982="Não",$Q982&lt;&gt;"",$Q982&lt;=Hoje+JanelaRet,$Q982&gt;=Hoje-60),MAX($V$4:$V981)+1,"")</f>
        <v>0</v>
      </c>
    </row>
    <row r="983" spans="1:22">
      <c r="A983" s="16"/>
      <c r="B983" s="23"/>
      <c r="C983" s="15"/>
      <c r="D983" s="15"/>
      <c r="E983" s="15"/>
      <c r="F983" s="24"/>
      <c r="G983" s="17"/>
      <c r="H983" s="17"/>
      <c r="I983" s="15"/>
      <c r="J983" s="25">
        <f>IF($D983="","",IFERROR(INDEX(PacNome,MATCH($D983,PacCod,0)),"Paciente não cadastrado"))</f>
        <v>0</v>
      </c>
      <c r="K983" s="26">
        <f>IF($D983="","",IFERROR(INDEX(PacConv,MATCH($D983,PacCod,0))&amp;"",""))</f>
        <v>0</v>
      </c>
      <c r="L983" s="26">
        <f>IF($A983="","",CHOOSE(WEEKDAY($A983,2),"Seg","Ter","Qua","Qui","Sex","Sáb","Dom"))</f>
        <v>0</v>
      </c>
      <c r="M983" s="27">
        <f>IF($E983="","",IF($G983&lt;&gt;"",$G983,IFERROR(INDEX(ProcValor,MATCH($E983,ProcNome,0)),0)))</f>
        <v>0</v>
      </c>
      <c r="N983" s="27">
        <f>IF($M983="","",IF($F983="Compareceu",$M983,0))</f>
        <v>0</v>
      </c>
      <c r="O983" s="27">
        <f>IF($M983="","",IF($F983="Faltou",$M983,0))</f>
        <v>0</v>
      </c>
      <c r="P983" s="27">
        <f>IF($M983="","",IF($F983="Compareceu",MAX(0,$M983-N($H983)),0))</f>
        <v>0</v>
      </c>
      <c r="Q983" s="19">
        <f>IF(AND($F983="Compareceu",$E983&lt;&gt;"",$A983&lt;&gt;""),IF(IFERROR(INDEX(ProcRet,MATCH($E983,ProcNome,0)),0)&gt;0,$A983+INDEX(ProcRet,MATCH($E983,ProcNome,0)),""),"")</f>
        <v>0</v>
      </c>
      <c r="R983" s="26">
        <f>IF($Q983="","",IF(COUNTIFS(AgPac,$D983,AgData,"&gt;"&amp;$A983,AgStatus,"&lt;&gt;Cancelado",AgStatus,"&lt;&gt;Remarcado")&gt;0,"Sim","Não"))</f>
        <v>0</v>
      </c>
      <c r="S983" s="28">
        <f>IF($A983="","",IF(AND($F983="Agendado",$A983-Hoje&gt;=0,$A983-Hoje&lt;=DiasConf),"CONFIRMAR",IF(AND($A983&lt;Hoje,OR($F983="Agendado",$F983="Confirmado")),"Atualizar status",IF(AND($F983="Compareceu",$P983&gt;0.005),"Cobrar",IF($F983="Faltou","Falta: reagendar","")))))</f>
        <v>0</v>
      </c>
      <c r="T983" s="29">
        <f>IF($A983="","",DATE(YEAR($A983),MONTH($A983),1))</f>
        <v>0</v>
      </c>
      <c r="U983" s="30">
        <f>IF($S983="CONFIRMAR",MAX($U$4:$U982)+1,"")</f>
        <v>0</v>
      </c>
      <c r="V983" s="30">
        <f>IF(AND($R983="Não",$Q983&lt;&gt;"",$Q983&lt;=Hoje+JanelaRet,$Q983&gt;=Hoje-60),MAX($V$4:$V982)+1,"")</f>
        <v>0</v>
      </c>
    </row>
    <row r="984" spans="1:22">
      <c r="A984" s="16"/>
      <c r="B984" s="23"/>
      <c r="C984" s="15"/>
      <c r="D984" s="15"/>
      <c r="E984" s="15"/>
      <c r="F984" s="24"/>
      <c r="G984" s="17"/>
      <c r="H984" s="17"/>
      <c r="I984" s="15"/>
      <c r="J984" s="25">
        <f>IF($D984="","",IFERROR(INDEX(PacNome,MATCH($D984,PacCod,0)),"Paciente não cadastrado"))</f>
        <v>0</v>
      </c>
      <c r="K984" s="26">
        <f>IF($D984="","",IFERROR(INDEX(PacConv,MATCH($D984,PacCod,0))&amp;"",""))</f>
        <v>0</v>
      </c>
      <c r="L984" s="26">
        <f>IF($A984="","",CHOOSE(WEEKDAY($A984,2),"Seg","Ter","Qua","Qui","Sex","Sáb","Dom"))</f>
        <v>0</v>
      </c>
      <c r="M984" s="27">
        <f>IF($E984="","",IF($G984&lt;&gt;"",$G984,IFERROR(INDEX(ProcValor,MATCH($E984,ProcNome,0)),0)))</f>
        <v>0</v>
      </c>
      <c r="N984" s="27">
        <f>IF($M984="","",IF($F984="Compareceu",$M984,0))</f>
        <v>0</v>
      </c>
      <c r="O984" s="27">
        <f>IF($M984="","",IF($F984="Faltou",$M984,0))</f>
        <v>0</v>
      </c>
      <c r="P984" s="27">
        <f>IF($M984="","",IF($F984="Compareceu",MAX(0,$M984-N($H984)),0))</f>
        <v>0</v>
      </c>
      <c r="Q984" s="19">
        <f>IF(AND($F984="Compareceu",$E984&lt;&gt;"",$A984&lt;&gt;""),IF(IFERROR(INDEX(ProcRet,MATCH($E984,ProcNome,0)),0)&gt;0,$A984+INDEX(ProcRet,MATCH($E984,ProcNome,0)),""),"")</f>
        <v>0</v>
      </c>
      <c r="R984" s="26">
        <f>IF($Q984="","",IF(COUNTIFS(AgPac,$D984,AgData,"&gt;"&amp;$A984,AgStatus,"&lt;&gt;Cancelado",AgStatus,"&lt;&gt;Remarcado")&gt;0,"Sim","Não"))</f>
        <v>0</v>
      </c>
      <c r="S984" s="28">
        <f>IF($A984="","",IF(AND($F984="Agendado",$A984-Hoje&gt;=0,$A984-Hoje&lt;=DiasConf),"CONFIRMAR",IF(AND($A984&lt;Hoje,OR($F984="Agendado",$F984="Confirmado")),"Atualizar status",IF(AND($F984="Compareceu",$P984&gt;0.005),"Cobrar",IF($F984="Faltou","Falta: reagendar","")))))</f>
        <v>0</v>
      </c>
      <c r="T984" s="29">
        <f>IF($A984="","",DATE(YEAR($A984),MONTH($A984),1))</f>
        <v>0</v>
      </c>
      <c r="U984" s="30">
        <f>IF($S984="CONFIRMAR",MAX($U$4:$U983)+1,"")</f>
        <v>0</v>
      </c>
      <c r="V984" s="30">
        <f>IF(AND($R984="Não",$Q984&lt;&gt;"",$Q984&lt;=Hoje+JanelaRet,$Q984&gt;=Hoje-60),MAX($V$4:$V983)+1,"")</f>
        <v>0</v>
      </c>
    </row>
    <row r="985" spans="1:22">
      <c r="A985" s="16"/>
      <c r="B985" s="23"/>
      <c r="C985" s="15"/>
      <c r="D985" s="15"/>
      <c r="E985" s="15"/>
      <c r="F985" s="24"/>
      <c r="G985" s="17"/>
      <c r="H985" s="17"/>
      <c r="I985" s="15"/>
      <c r="J985" s="25">
        <f>IF($D985="","",IFERROR(INDEX(PacNome,MATCH($D985,PacCod,0)),"Paciente não cadastrado"))</f>
        <v>0</v>
      </c>
      <c r="K985" s="26">
        <f>IF($D985="","",IFERROR(INDEX(PacConv,MATCH($D985,PacCod,0))&amp;"",""))</f>
        <v>0</v>
      </c>
      <c r="L985" s="26">
        <f>IF($A985="","",CHOOSE(WEEKDAY($A985,2),"Seg","Ter","Qua","Qui","Sex","Sáb","Dom"))</f>
        <v>0</v>
      </c>
      <c r="M985" s="27">
        <f>IF($E985="","",IF($G985&lt;&gt;"",$G985,IFERROR(INDEX(ProcValor,MATCH($E985,ProcNome,0)),0)))</f>
        <v>0</v>
      </c>
      <c r="N985" s="27">
        <f>IF($M985="","",IF($F985="Compareceu",$M985,0))</f>
        <v>0</v>
      </c>
      <c r="O985" s="27">
        <f>IF($M985="","",IF($F985="Faltou",$M985,0))</f>
        <v>0</v>
      </c>
      <c r="P985" s="27">
        <f>IF($M985="","",IF($F985="Compareceu",MAX(0,$M985-N($H985)),0))</f>
        <v>0</v>
      </c>
      <c r="Q985" s="19">
        <f>IF(AND($F985="Compareceu",$E985&lt;&gt;"",$A985&lt;&gt;""),IF(IFERROR(INDEX(ProcRet,MATCH($E985,ProcNome,0)),0)&gt;0,$A985+INDEX(ProcRet,MATCH($E985,ProcNome,0)),""),"")</f>
        <v>0</v>
      </c>
      <c r="R985" s="26">
        <f>IF($Q985="","",IF(COUNTIFS(AgPac,$D985,AgData,"&gt;"&amp;$A985,AgStatus,"&lt;&gt;Cancelado",AgStatus,"&lt;&gt;Remarcado")&gt;0,"Sim","Não"))</f>
        <v>0</v>
      </c>
      <c r="S985" s="28">
        <f>IF($A985="","",IF(AND($F985="Agendado",$A985-Hoje&gt;=0,$A985-Hoje&lt;=DiasConf),"CONFIRMAR",IF(AND($A985&lt;Hoje,OR($F985="Agendado",$F985="Confirmado")),"Atualizar status",IF(AND($F985="Compareceu",$P985&gt;0.005),"Cobrar",IF($F985="Faltou","Falta: reagendar","")))))</f>
        <v>0</v>
      </c>
      <c r="T985" s="29">
        <f>IF($A985="","",DATE(YEAR($A985),MONTH($A985),1))</f>
        <v>0</v>
      </c>
      <c r="U985" s="30">
        <f>IF($S985="CONFIRMAR",MAX($U$4:$U984)+1,"")</f>
        <v>0</v>
      </c>
      <c r="V985" s="30">
        <f>IF(AND($R985="Não",$Q985&lt;&gt;"",$Q985&lt;=Hoje+JanelaRet,$Q985&gt;=Hoje-60),MAX($V$4:$V984)+1,"")</f>
        <v>0</v>
      </c>
    </row>
    <row r="986" spans="1:22">
      <c r="A986" s="16"/>
      <c r="B986" s="23"/>
      <c r="C986" s="15"/>
      <c r="D986" s="15"/>
      <c r="E986" s="15"/>
      <c r="F986" s="24"/>
      <c r="G986" s="17"/>
      <c r="H986" s="17"/>
      <c r="I986" s="15"/>
      <c r="J986" s="25">
        <f>IF($D986="","",IFERROR(INDEX(PacNome,MATCH($D986,PacCod,0)),"Paciente não cadastrado"))</f>
        <v>0</v>
      </c>
      <c r="K986" s="26">
        <f>IF($D986="","",IFERROR(INDEX(PacConv,MATCH($D986,PacCod,0))&amp;"",""))</f>
        <v>0</v>
      </c>
      <c r="L986" s="26">
        <f>IF($A986="","",CHOOSE(WEEKDAY($A986,2),"Seg","Ter","Qua","Qui","Sex","Sáb","Dom"))</f>
        <v>0</v>
      </c>
      <c r="M986" s="27">
        <f>IF($E986="","",IF($G986&lt;&gt;"",$G986,IFERROR(INDEX(ProcValor,MATCH($E986,ProcNome,0)),0)))</f>
        <v>0</v>
      </c>
      <c r="N986" s="27">
        <f>IF($M986="","",IF($F986="Compareceu",$M986,0))</f>
        <v>0</v>
      </c>
      <c r="O986" s="27">
        <f>IF($M986="","",IF($F986="Faltou",$M986,0))</f>
        <v>0</v>
      </c>
      <c r="P986" s="27">
        <f>IF($M986="","",IF($F986="Compareceu",MAX(0,$M986-N($H986)),0))</f>
        <v>0</v>
      </c>
      <c r="Q986" s="19">
        <f>IF(AND($F986="Compareceu",$E986&lt;&gt;"",$A986&lt;&gt;""),IF(IFERROR(INDEX(ProcRet,MATCH($E986,ProcNome,0)),0)&gt;0,$A986+INDEX(ProcRet,MATCH($E986,ProcNome,0)),""),"")</f>
        <v>0</v>
      </c>
      <c r="R986" s="26">
        <f>IF($Q986="","",IF(COUNTIFS(AgPac,$D986,AgData,"&gt;"&amp;$A986,AgStatus,"&lt;&gt;Cancelado",AgStatus,"&lt;&gt;Remarcado")&gt;0,"Sim","Não"))</f>
        <v>0</v>
      </c>
      <c r="S986" s="28">
        <f>IF($A986="","",IF(AND($F986="Agendado",$A986-Hoje&gt;=0,$A986-Hoje&lt;=DiasConf),"CONFIRMAR",IF(AND($A986&lt;Hoje,OR($F986="Agendado",$F986="Confirmado")),"Atualizar status",IF(AND($F986="Compareceu",$P986&gt;0.005),"Cobrar",IF($F986="Faltou","Falta: reagendar","")))))</f>
        <v>0</v>
      </c>
      <c r="T986" s="29">
        <f>IF($A986="","",DATE(YEAR($A986),MONTH($A986),1))</f>
        <v>0</v>
      </c>
      <c r="U986" s="30">
        <f>IF($S986="CONFIRMAR",MAX($U$4:$U985)+1,"")</f>
        <v>0</v>
      </c>
      <c r="V986" s="30">
        <f>IF(AND($R986="Não",$Q986&lt;&gt;"",$Q986&lt;=Hoje+JanelaRet,$Q986&gt;=Hoje-60),MAX($V$4:$V985)+1,"")</f>
        <v>0</v>
      </c>
    </row>
    <row r="987" spans="1:22">
      <c r="A987" s="16"/>
      <c r="B987" s="23"/>
      <c r="C987" s="15"/>
      <c r="D987" s="15"/>
      <c r="E987" s="15"/>
      <c r="F987" s="24"/>
      <c r="G987" s="17"/>
      <c r="H987" s="17"/>
      <c r="I987" s="15"/>
      <c r="J987" s="25">
        <f>IF($D987="","",IFERROR(INDEX(PacNome,MATCH($D987,PacCod,0)),"Paciente não cadastrado"))</f>
        <v>0</v>
      </c>
      <c r="K987" s="26">
        <f>IF($D987="","",IFERROR(INDEX(PacConv,MATCH($D987,PacCod,0))&amp;"",""))</f>
        <v>0</v>
      </c>
      <c r="L987" s="26">
        <f>IF($A987="","",CHOOSE(WEEKDAY($A987,2),"Seg","Ter","Qua","Qui","Sex","Sáb","Dom"))</f>
        <v>0</v>
      </c>
      <c r="M987" s="27">
        <f>IF($E987="","",IF($G987&lt;&gt;"",$G987,IFERROR(INDEX(ProcValor,MATCH($E987,ProcNome,0)),0)))</f>
        <v>0</v>
      </c>
      <c r="N987" s="27">
        <f>IF($M987="","",IF($F987="Compareceu",$M987,0))</f>
        <v>0</v>
      </c>
      <c r="O987" s="27">
        <f>IF($M987="","",IF($F987="Faltou",$M987,0))</f>
        <v>0</v>
      </c>
      <c r="P987" s="27">
        <f>IF($M987="","",IF($F987="Compareceu",MAX(0,$M987-N($H987)),0))</f>
        <v>0</v>
      </c>
      <c r="Q987" s="19">
        <f>IF(AND($F987="Compareceu",$E987&lt;&gt;"",$A987&lt;&gt;""),IF(IFERROR(INDEX(ProcRet,MATCH($E987,ProcNome,0)),0)&gt;0,$A987+INDEX(ProcRet,MATCH($E987,ProcNome,0)),""),"")</f>
        <v>0</v>
      </c>
      <c r="R987" s="26">
        <f>IF($Q987="","",IF(COUNTIFS(AgPac,$D987,AgData,"&gt;"&amp;$A987,AgStatus,"&lt;&gt;Cancelado",AgStatus,"&lt;&gt;Remarcado")&gt;0,"Sim","Não"))</f>
        <v>0</v>
      </c>
      <c r="S987" s="28">
        <f>IF($A987="","",IF(AND($F987="Agendado",$A987-Hoje&gt;=0,$A987-Hoje&lt;=DiasConf),"CONFIRMAR",IF(AND($A987&lt;Hoje,OR($F987="Agendado",$F987="Confirmado")),"Atualizar status",IF(AND($F987="Compareceu",$P987&gt;0.005),"Cobrar",IF($F987="Faltou","Falta: reagendar","")))))</f>
        <v>0</v>
      </c>
      <c r="T987" s="29">
        <f>IF($A987="","",DATE(YEAR($A987),MONTH($A987),1))</f>
        <v>0</v>
      </c>
      <c r="U987" s="30">
        <f>IF($S987="CONFIRMAR",MAX($U$4:$U986)+1,"")</f>
        <v>0</v>
      </c>
      <c r="V987" s="30">
        <f>IF(AND($R987="Não",$Q987&lt;&gt;"",$Q987&lt;=Hoje+JanelaRet,$Q987&gt;=Hoje-60),MAX($V$4:$V986)+1,"")</f>
        <v>0</v>
      </c>
    </row>
    <row r="988" spans="1:22">
      <c r="A988" s="16"/>
      <c r="B988" s="23"/>
      <c r="C988" s="15"/>
      <c r="D988" s="15"/>
      <c r="E988" s="15"/>
      <c r="F988" s="24"/>
      <c r="G988" s="17"/>
      <c r="H988" s="17"/>
      <c r="I988" s="15"/>
      <c r="J988" s="25">
        <f>IF($D988="","",IFERROR(INDEX(PacNome,MATCH($D988,PacCod,0)),"Paciente não cadastrado"))</f>
        <v>0</v>
      </c>
      <c r="K988" s="26">
        <f>IF($D988="","",IFERROR(INDEX(PacConv,MATCH($D988,PacCod,0))&amp;"",""))</f>
        <v>0</v>
      </c>
      <c r="L988" s="26">
        <f>IF($A988="","",CHOOSE(WEEKDAY($A988,2),"Seg","Ter","Qua","Qui","Sex","Sáb","Dom"))</f>
        <v>0</v>
      </c>
      <c r="M988" s="27">
        <f>IF($E988="","",IF($G988&lt;&gt;"",$G988,IFERROR(INDEX(ProcValor,MATCH($E988,ProcNome,0)),0)))</f>
        <v>0</v>
      </c>
      <c r="N988" s="27">
        <f>IF($M988="","",IF($F988="Compareceu",$M988,0))</f>
        <v>0</v>
      </c>
      <c r="O988" s="27">
        <f>IF($M988="","",IF($F988="Faltou",$M988,0))</f>
        <v>0</v>
      </c>
      <c r="P988" s="27">
        <f>IF($M988="","",IF($F988="Compareceu",MAX(0,$M988-N($H988)),0))</f>
        <v>0</v>
      </c>
      <c r="Q988" s="19">
        <f>IF(AND($F988="Compareceu",$E988&lt;&gt;"",$A988&lt;&gt;""),IF(IFERROR(INDEX(ProcRet,MATCH($E988,ProcNome,0)),0)&gt;0,$A988+INDEX(ProcRet,MATCH($E988,ProcNome,0)),""),"")</f>
        <v>0</v>
      </c>
      <c r="R988" s="26">
        <f>IF($Q988="","",IF(COUNTIFS(AgPac,$D988,AgData,"&gt;"&amp;$A988,AgStatus,"&lt;&gt;Cancelado",AgStatus,"&lt;&gt;Remarcado")&gt;0,"Sim","Não"))</f>
        <v>0</v>
      </c>
      <c r="S988" s="28">
        <f>IF($A988="","",IF(AND($F988="Agendado",$A988-Hoje&gt;=0,$A988-Hoje&lt;=DiasConf),"CONFIRMAR",IF(AND($A988&lt;Hoje,OR($F988="Agendado",$F988="Confirmado")),"Atualizar status",IF(AND($F988="Compareceu",$P988&gt;0.005),"Cobrar",IF($F988="Faltou","Falta: reagendar","")))))</f>
        <v>0</v>
      </c>
      <c r="T988" s="29">
        <f>IF($A988="","",DATE(YEAR($A988),MONTH($A988),1))</f>
        <v>0</v>
      </c>
      <c r="U988" s="30">
        <f>IF($S988="CONFIRMAR",MAX($U$4:$U987)+1,"")</f>
        <v>0</v>
      </c>
      <c r="V988" s="30">
        <f>IF(AND($R988="Não",$Q988&lt;&gt;"",$Q988&lt;=Hoje+JanelaRet,$Q988&gt;=Hoje-60),MAX($V$4:$V987)+1,"")</f>
        <v>0</v>
      </c>
    </row>
    <row r="989" spans="1:22">
      <c r="A989" s="16"/>
      <c r="B989" s="23"/>
      <c r="C989" s="15"/>
      <c r="D989" s="15"/>
      <c r="E989" s="15"/>
      <c r="F989" s="24"/>
      <c r="G989" s="17"/>
      <c r="H989" s="17"/>
      <c r="I989" s="15"/>
      <c r="J989" s="25">
        <f>IF($D989="","",IFERROR(INDEX(PacNome,MATCH($D989,PacCod,0)),"Paciente não cadastrado"))</f>
        <v>0</v>
      </c>
      <c r="K989" s="26">
        <f>IF($D989="","",IFERROR(INDEX(PacConv,MATCH($D989,PacCod,0))&amp;"",""))</f>
        <v>0</v>
      </c>
      <c r="L989" s="26">
        <f>IF($A989="","",CHOOSE(WEEKDAY($A989,2),"Seg","Ter","Qua","Qui","Sex","Sáb","Dom"))</f>
        <v>0</v>
      </c>
      <c r="M989" s="27">
        <f>IF($E989="","",IF($G989&lt;&gt;"",$G989,IFERROR(INDEX(ProcValor,MATCH($E989,ProcNome,0)),0)))</f>
        <v>0</v>
      </c>
      <c r="N989" s="27">
        <f>IF($M989="","",IF($F989="Compareceu",$M989,0))</f>
        <v>0</v>
      </c>
      <c r="O989" s="27">
        <f>IF($M989="","",IF($F989="Faltou",$M989,0))</f>
        <v>0</v>
      </c>
      <c r="P989" s="27">
        <f>IF($M989="","",IF($F989="Compareceu",MAX(0,$M989-N($H989)),0))</f>
        <v>0</v>
      </c>
      <c r="Q989" s="19">
        <f>IF(AND($F989="Compareceu",$E989&lt;&gt;"",$A989&lt;&gt;""),IF(IFERROR(INDEX(ProcRet,MATCH($E989,ProcNome,0)),0)&gt;0,$A989+INDEX(ProcRet,MATCH($E989,ProcNome,0)),""),"")</f>
        <v>0</v>
      </c>
      <c r="R989" s="26">
        <f>IF($Q989="","",IF(COUNTIFS(AgPac,$D989,AgData,"&gt;"&amp;$A989,AgStatus,"&lt;&gt;Cancelado",AgStatus,"&lt;&gt;Remarcado")&gt;0,"Sim","Não"))</f>
        <v>0</v>
      </c>
      <c r="S989" s="28">
        <f>IF($A989="","",IF(AND($F989="Agendado",$A989-Hoje&gt;=0,$A989-Hoje&lt;=DiasConf),"CONFIRMAR",IF(AND($A989&lt;Hoje,OR($F989="Agendado",$F989="Confirmado")),"Atualizar status",IF(AND($F989="Compareceu",$P989&gt;0.005),"Cobrar",IF($F989="Faltou","Falta: reagendar","")))))</f>
        <v>0</v>
      </c>
      <c r="T989" s="29">
        <f>IF($A989="","",DATE(YEAR($A989),MONTH($A989),1))</f>
        <v>0</v>
      </c>
      <c r="U989" s="30">
        <f>IF($S989="CONFIRMAR",MAX($U$4:$U988)+1,"")</f>
        <v>0</v>
      </c>
      <c r="V989" s="30">
        <f>IF(AND($R989="Não",$Q989&lt;&gt;"",$Q989&lt;=Hoje+JanelaRet,$Q989&gt;=Hoje-60),MAX($V$4:$V988)+1,"")</f>
        <v>0</v>
      </c>
    </row>
    <row r="990" spans="1:22">
      <c r="A990" s="16"/>
      <c r="B990" s="23"/>
      <c r="C990" s="15"/>
      <c r="D990" s="15"/>
      <c r="E990" s="15"/>
      <c r="F990" s="24"/>
      <c r="G990" s="17"/>
      <c r="H990" s="17"/>
      <c r="I990" s="15"/>
      <c r="J990" s="25">
        <f>IF($D990="","",IFERROR(INDEX(PacNome,MATCH($D990,PacCod,0)),"Paciente não cadastrado"))</f>
        <v>0</v>
      </c>
      <c r="K990" s="26">
        <f>IF($D990="","",IFERROR(INDEX(PacConv,MATCH($D990,PacCod,0))&amp;"",""))</f>
        <v>0</v>
      </c>
      <c r="L990" s="26">
        <f>IF($A990="","",CHOOSE(WEEKDAY($A990,2),"Seg","Ter","Qua","Qui","Sex","Sáb","Dom"))</f>
        <v>0</v>
      </c>
      <c r="M990" s="27">
        <f>IF($E990="","",IF($G990&lt;&gt;"",$G990,IFERROR(INDEX(ProcValor,MATCH($E990,ProcNome,0)),0)))</f>
        <v>0</v>
      </c>
      <c r="N990" s="27">
        <f>IF($M990="","",IF($F990="Compareceu",$M990,0))</f>
        <v>0</v>
      </c>
      <c r="O990" s="27">
        <f>IF($M990="","",IF($F990="Faltou",$M990,0))</f>
        <v>0</v>
      </c>
      <c r="P990" s="27">
        <f>IF($M990="","",IF($F990="Compareceu",MAX(0,$M990-N($H990)),0))</f>
        <v>0</v>
      </c>
      <c r="Q990" s="19">
        <f>IF(AND($F990="Compareceu",$E990&lt;&gt;"",$A990&lt;&gt;""),IF(IFERROR(INDEX(ProcRet,MATCH($E990,ProcNome,0)),0)&gt;0,$A990+INDEX(ProcRet,MATCH($E990,ProcNome,0)),""),"")</f>
        <v>0</v>
      </c>
      <c r="R990" s="26">
        <f>IF($Q990="","",IF(COUNTIFS(AgPac,$D990,AgData,"&gt;"&amp;$A990,AgStatus,"&lt;&gt;Cancelado",AgStatus,"&lt;&gt;Remarcado")&gt;0,"Sim","Não"))</f>
        <v>0</v>
      </c>
      <c r="S990" s="28">
        <f>IF($A990="","",IF(AND($F990="Agendado",$A990-Hoje&gt;=0,$A990-Hoje&lt;=DiasConf),"CONFIRMAR",IF(AND($A990&lt;Hoje,OR($F990="Agendado",$F990="Confirmado")),"Atualizar status",IF(AND($F990="Compareceu",$P990&gt;0.005),"Cobrar",IF($F990="Faltou","Falta: reagendar","")))))</f>
        <v>0</v>
      </c>
      <c r="T990" s="29">
        <f>IF($A990="","",DATE(YEAR($A990),MONTH($A990),1))</f>
        <v>0</v>
      </c>
      <c r="U990" s="30">
        <f>IF($S990="CONFIRMAR",MAX($U$4:$U989)+1,"")</f>
        <v>0</v>
      </c>
      <c r="V990" s="30">
        <f>IF(AND($R990="Não",$Q990&lt;&gt;"",$Q990&lt;=Hoje+JanelaRet,$Q990&gt;=Hoje-60),MAX($V$4:$V989)+1,"")</f>
        <v>0</v>
      </c>
    </row>
    <row r="991" spans="1:22">
      <c r="A991" s="16"/>
      <c r="B991" s="23"/>
      <c r="C991" s="15"/>
      <c r="D991" s="15"/>
      <c r="E991" s="15"/>
      <c r="F991" s="24"/>
      <c r="G991" s="17"/>
      <c r="H991" s="17"/>
      <c r="I991" s="15"/>
      <c r="J991" s="25">
        <f>IF($D991="","",IFERROR(INDEX(PacNome,MATCH($D991,PacCod,0)),"Paciente não cadastrado"))</f>
        <v>0</v>
      </c>
      <c r="K991" s="26">
        <f>IF($D991="","",IFERROR(INDEX(PacConv,MATCH($D991,PacCod,0))&amp;"",""))</f>
        <v>0</v>
      </c>
      <c r="L991" s="26">
        <f>IF($A991="","",CHOOSE(WEEKDAY($A991,2),"Seg","Ter","Qua","Qui","Sex","Sáb","Dom"))</f>
        <v>0</v>
      </c>
      <c r="M991" s="27">
        <f>IF($E991="","",IF($G991&lt;&gt;"",$G991,IFERROR(INDEX(ProcValor,MATCH($E991,ProcNome,0)),0)))</f>
        <v>0</v>
      </c>
      <c r="N991" s="27">
        <f>IF($M991="","",IF($F991="Compareceu",$M991,0))</f>
        <v>0</v>
      </c>
      <c r="O991" s="27">
        <f>IF($M991="","",IF($F991="Faltou",$M991,0))</f>
        <v>0</v>
      </c>
      <c r="P991" s="27">
        <f>IF($M991="","",IF($F991="Compareceu",MAX(0,$M991-N($H991)),0))</f>
        <v>0</v>
      </c>
      <c r="Q991" s="19">
        <f>IF(AND($F991="Compareceu",$E991&lt;&gt;"",$A991&lt;&gt;""),IF(IFERROR(INDEX(ProcRet,MATCH($E991,ProcNome,0)),0)&gt;0,$A991+INDEX(ProcRet,MATCH($E991,ProcNome,0)),""),"")</f>
        <v>0</v>
      </c>
      <c r="R991" s="26">
        <f>IF($Q991="","",IF(COUNTIFS(AgPac,$D991,AgData,"&gt;"&amp;$A991,AgStatus,"&lt;&gt;Cancelado",AgStatus,"&lt;&gt;Remarcado")&gt;0,"Sim","Não"))</f>
        <v>0</v>
      </c>
      <c r="S991" s="28">
        <f>IF($A991="","",IF(AND($F991="Agendado",$A991-Hoje&gt;=0,$A991-Hoje&lt;=DiasConf),"CONFIRMAR",IF(AND($A991&lt;Hoje,OR($F991="Agendado",$F991="Confirmado")),"Atualizar status",IF(AND($F991="Compareceu",$P991&gt;0.005),"Cobrar",IF($F991="Faltou","Falta: reagendar","")))))</f>
        <v>0</v>
      </c>
      <c r="T991" s="29">
        <f>IF($A991="","",DATE(YEAR($A991),MONTH($A991),1))</f>
        <v>0</v>
      </c>
      <c r="U991" s="30">
        <f>IF($S991="CONFIRMAR",MAX($U$4:$U990)+1,"")</f>
        <v>0</v>
      </c>
      <c r="V991" s="30">
        <f>IF(AND($R991="Não",$Q991&lt;&gt;"",$Q991&lt;=Hoje+JanelaRet,$Q991&gt;=Hoje-60),MAX($V$4:$V990)+1,"")</f>
        <v>0</v>
      </c>
    </row>
    <row r="992" spans="1:22">
      <c r="A992" s="16"/>
      <c r="B992" s="23"/>
      <c r="C992" s="15"/>
      <c r="D992" s="15"/>
      <c r="E992" s="15"/>
      <c r="F992" s="24"/>
      <c r="G992" s="17"/>
      <c r="H992" s="17"/>
      <c r="I992" s="15"/>
      <c r="J992" s="25">
        <f>IF($D992="","",IFERROR(INDEX(PacNome,MATCH($D992,PacCod,0)),"Paciente não cadastrado"))</f>
        <v>0</v>
      </c>
      <c r="K992" s="26">
        <f>IF($D992="","",IFERROR(INDEX(PacConv,MATCH($D992,PacCod,0))&amp;"",""))</f>
        <v>0</v>
      </c>
      <c r="L992" s="26">
        <f>IF($A992="","",CHOOSE(WEEKDAY($A992,2),"Seg","Ter","Qua","Qui","Sex","Sáb","Dom"))</f>
        <v>0</v>
      </c>
      <c r="M992" s="27">
        <f>IF($E992="","",IF($G992&lt;&gt;"",$G992,IFERROR(INDEX(ProcValor,MATCH($E992,ProcNome,0)),0)))</f>
        <v>0</v>
      </c>
      <c r="N992" s="27">
        <f>IF($M992="","",IF($F992="Compareceu",$M992,0))</f>
        <v>0</v>
      </c>
      <c r="O992" s="27">
        <f>IF($M992="","",IF($F992="Faltou",$M992,0))</f>
        <v>0</v>
      </c>
      <c r="P992" s="27">
        <f>IF($M992="","",IF($F992="Compareceu",MAX(0,$M992-N($H992)),0))</f>
        <v>0</v>
      </c>
      <c r="Q992" s="19">
        <f>IF(AND($F992="Compareceu",$E992&lt;&gt;"",$A992&lt;&gt;""),IF(IFERROR(INDEX(ProcRet,MATCH($E992,ProcNome,0)),0)&gt;0,$A992+INDEX(ProcRet,MATCH($E992,ProcNome,0)),""),"")</f>
        <v>0</v>
      </c>
      <c r="R992" s="26">
        <f>IF($Q992="","",IF(COUNTIFS(AgPac,$D992,AgData,"&gt;"&amp;$A992,AgStatus,"&lt;&gt;Cancelado",AgStatus,"&lt;&gt;Remarcado")&gt;0,"Sim","Não"))</f>
        <v>0</v>
      </c>
      <c r="S992" s="28">
        <f>IF($A992="","",IF(AND($F992="Agendado",$A992-Hoje&gt;=0,$A992-Hoje&lt;=DiasConf),"CONFIRMAR",IF(AND($A992&lt;Hoje,OR($F992="Agendado",$F992="Confirmado")),"Atualizar status",IF(AND($F992="Compareceu",$P992&gt;0.005),"Cobrar",IF($F992="Faltou","Falta: reagendar","")))))</f>
        <v>0</v>
      </c>
      <c r="T992" s="29">
        <f>IF($A992="","",DATE(YEAR($A992),MONTH($A992),1))</f>
        <v>0</v>
      </c>
      <c r="U992" s="30">
        <f>IF($S992="CONFIRMAR",MAX($U$4:$U991)+1,"")</f>
        <v>0</v>
      </c>
      <c r="V992" s="30">
        <f>IF(AND($R992="Não",$Q992&lt;&gt;"",$Q992&lt;=Hoje+JanelaRet,$Q992&gt;=Hoje-60),MAX($V$4:$V991)+1,"")</f>
        <v>0</v>
      </c>
    </row>
    <row r="993" spans="1:22">
      <c r="A993" s="16"/>
      <c r="B993" s="23"/>
      <c r="C993" s="15"/>
      <c r="D993" s="15"/>
      <c r="E993" s="15"/>
      <c r="F993" s="24"/>
      <c r="G993" s="17"/>
      <c r="H993" s="17"/>
      <c r="I993" s="15"/>
      <c r="J993" s="25">
        <f>IF($D993="","",IFERROR(INDEX(PacNome,MATCH($D993,PacCod,0)),"Paciente não cadastrado"))</f>
        <v>0</v>
      </c>
      <c r="K993" s="26">
        <f>IF($D993="","",IFERROR(INDEX(PacConv,MATCH($D993,PacCod,0))&amp;"",""))</f>
        <v>0</v>
      </c>
      <c r="L993" s="26">
        <f>IF($A993="","",CHOOSE(WEEKDAY($A993,2),"Seg","Ter","Qua","Qui","Sex","Sáb","Dom"))</f>
        <v>0</v>
      </c>
      <c r="M993" s="27">
        <f>IF($E993="","",IF($G993&lt;&gt;"",$G993,IFERROR(INDEX(ProcValor,MATCH($E993,ProcNome,0)),0)))</f>
        <v>0</v>
      </c>
      <c r="N993" s="27">
        <f>IF($M993="","",IF($F993="Compareceu",$M993,0))</f>
        <v>0</v>
      </c>
      <c r="O993" s="27">
        <f>IF($M993="","",IF($F993="Faltou",$M993,0))</f>
        <v>0</v>
      </c>
      <c r="P993" s="27">
        <f>IF($M993="","",IF($F993="Compareceu",MAX(0,$M993-N($H993)),0))</f>
        <v>0</v>
      </c>
      <c r="Q993" s="19">
        <f>IF(AND($F993="Compareceu",$E993&lt;&gt;"",$A993&lt;&gt;""),IF(IFERROR(INDEX(ProcRet,MATCH($E993,ProcNome,0)),0)&gt;0,$A993+INDEX(ProcRet,MATCH($E993,ProcNome,0)),""),"")</f>
        <v>0</v>
      </c>
      <c r="R993" s="26">
        <f>IF($Q993="","",IF(COUNTIFS(AgPac,$D993,AgData,"&gt;"&amp;$A993,AgStatus,"&lt;&gt;Cancelado",AgStatus,"&lt;&gt;Remarcado")&gt;0,"Sim","Não"))</f>
        <v>0</v>
      </c>
      <c r="S993" s="28">
        <f>IF($A993="","",IF(AND($F993="Agendado",$A993-Hoje&gt;=0,$A993-Hoje&lt;=DiasConf),"CONFIRMAR",IF(AND($A993&lt;Hoje,OR($F993="Agendado",$F993="Confirmado")),"Atualizar status",IF(AND($F993="Compareceu",$P993&gt;0.005),"Cobrar",IF($F993="Faltou","Falta: reagendar","")))))</f>
        <v>0</v>
      </c>
      <c r="T993" s="29">
        <f>IF($A993="","",DATE(YEAR($A993),MONTH($A993),1))</f>
        <v>0</v>
      </c>
      <c r="U993" s="30">
        <f>IF($S993="CONFIRMAR",MAX($U$4:$U992)+1,"")</f>
        <v>0</v>
      </c>
      <c r="V993" s="30">
        <f>IF(AND($R993="Não",$Q993&lt;&gt;"",$Q993&lt;=Hoje+JanelaRet,$Q993&gt;=Hoje-60),MAX($V$4:$V992)+1,"")</f>
        <v>0</v>
      </c>
    </row>
    <row r="994" spans="1:22">
      <c r="A994" s="16"/>
      <c r="B994" s="23"/>
      <c r="C994" s="15"/>
      <c r="D994" s="15"/>
      <c r="E994" s="15"/>
      <c r="F994" s="24"/>
      <c r="G994" s="17"/>
      <c r="H994" s="17"/>
      <c r="I994" s="15"/>
      <c r="J994" s="25">
        <f>IF($D994="","",IFERROR(INDEX(PacNome,MATCH($D994,PacCod,0)),"Paciente não cadastrado"))</f>
        <v>0</v>
      </c>
      <c r="K994" s="26">
        <f>IF($D994="","",IFERROR(INDEX(PacConv,MATCH($D994,PacCod,0))&amp;"",""))</f>
        <v>0</v>
      </c>
      <c r="L994" s="26">
        <f>IF($A994="","",CHOOSE(WEEKDAY($A994,2),"Seg","Ter","Qua","Qui","Sex","Sáb","Dom"))</f>
        <v>0</v>
      </c>
      <c r="M994" s="27">
        <f>IF($E994="","",IF($G994&lt;&gt;"",$G994,IFERROR(INDEX(ProcValor,MATCH($E994,ProcNome,0)),0)))</f>
        <v>0</v>
      </c>
      <c r="N994" s="27">
        <f>IF($M994="","",IF($F994="Compareceu",$M994,0))</f>
        <v>0</v>
      </c>
      <c r="O994" s="27">
        <f>IF($M994="","",IF($F994="Faltou",$M994,0))</f>
        <v>0</v>
      </c>
      <c r="P994" s="27">
        <f>IF($M994="","",IF($F994="Compareceu",MAX(0,$M994-N($H994)),0))</f>
        <v>0</v>
      </c>
      <c r="Q994" s="19">
        <f>IF(AND($F994="Compareceu",$E994&lt;&gt;"",$A994&lt;&gt;""),IF(IFERROR(INDEX(ProcRet,MATCH($E994,ProcNome,0)),0)&gt;0,$A994+INDEX(ProcRet,MATCH($E994,ProcNome,0)),""),"")</f>
        <v>0</v>
      </c>
      <c r="R994" s="26">
        <f>IF($Q994="","",IF(COUNTIFS(AgPac,$D994,AgData,"&gt;"&amp;$A994,AgStatus,"&lt;&gt;Cancelado",AgStatus,"&lt;&gt;Remarcado")&gt;0,"Sim","Não"))</f>
        <v>0</v>
      </c>
      <c r="S994" s="28">
        <f>IF($A994="","",IF(AND($F994="Agendado",$A994-Hoje&gt;=0,$A994-Hoje&lt;=DiasConf),"CONFIRMAR",IF(AND($A994&lt;Hoje,OR($F994="Agendado",$F994="Confirmado")),"Atualizar status",IF(AND($F994="Compareceu",$P994&gt;0.005),"Cobrar",IF($F994="Faltou","Falta: reagendar","")))))</f>
        <v>0</v>
      </c>
      <c r="T994" s="29">
        <f>IF($A994="","",DATE(YEAR($A994),MONTH($A994),1))</f>
        <v>0</v>
      </c>
      <c r="U994" s="30">
        <f>IF($S994="CONFIRMAR",MAX($U$4:$U993)+1,"")</f>
        <v>0</v>
      </c>
      <c r="V994" s="30">
        <f>IF(AND($R994="Não",$Q994&lt;&gt;"",$Q994&lt;=Hoje+JanelaRet,$Q994&gt;=Hoje-60),MAX($V$4:$V993)+1,"")</f>
        <v>0</v>
      </c>
    </row>
    <row r="995" spans="1:22">
      <c r="A995" s="16"/>
      <c r="B995" s="23"/>
      <c r="C995" s="15"/>
      <c r="D995" s="15"/>
      <c r="E995" s="15"/>
      <c r="F995" s="24"/>
      <c r="G995" s="17"/>
      <c r="H995" s="17"/>
      <c r="I995" s="15"/>
      <c r="J995" s="25">
        <f>IF($D995="","",IFERROR(INDEX(PacNome,MATCH($D995,PacCod,0)),"Paciente não cadastrado"))</f>
        <v>0</v>
      </c>
      <c r="K995" s="26">
        <f>IF($D995="","",IFERROR(INDEX(PacConv,MATCH($D995,PacCod,0))&amp;"",""))</f>
        <v>0</v>
      </c>
      <c r="L995" s="26">
        <f>IF($A995="","",CHOOSE(WEEKDAY($A995,2),"Seg","Ter","Qua","Qui","Sex","Sáb","Dom"))</f>
        <v>0</v>
      </c>
      <c r="M995" s="27">
        <f>IF($E995="","",IF($G995&lt;&gt;"",$G995,IFERROR(INDEX(ProcValor,MATCH($E995,ProcNome,0)),0)))</f>
        <v>0</v>
      </c>
      <c r="N995" s="27">
        <f>IF($M995="","",IF($F995="Compareceu",$M995,0))</f>
        <v>0</v>
      </c>
      <c r="O995" s="27">
        <f>IF($M995="","",IF($F995="Faltou",$M995,0))</f>
        <v>0</v>
      </c>
      <c r="P995" s="27">
        <f>IF($M995="","",IF($F995="Compareceu",MAX(0,$M995-N($H995)),0))</f>
        <v>0</v>
      </c>
      <c r="Q995" s="19">
        <f>IF(AND($F995="Compareceu",$E995&lt;&gt;"",$A995&lt;&gt;""),IF(IFERROR(INDEX(ProcRet,MATCH($E995,ProcNome,0)),0)&gt;0,$A995+INDEX(ProcRet,MATCH($E995,ProcNome,0)),""),"")</f>
        <v>0</v>
      </c>
      <c r="R995" s="26">
        <f>IF($Q995="","",IF(COUNTIFS(AgPac,$D995,AgData,"&gt;"&amp;$A995,AgStatus,"&lt;&gt;Cancelado",AgStatus,"&lt;&gt;Remarcado")&gt;0,"Sim","Não"))</f>
        <v>0</v>
      </c>
      <c r="S995" s="28">
        <f>IF($A995="","",IF(AND($F995="Agendado",$A995-Hoje&gt;=0,$A995-Hoje&lt;=DiasConf),"CONFIRMAR",IF(AND($A995&lt;Hoje,OR($F995="Agendado",$F995="Confirmado")),"Atualizar status",IF(AND($F995="Compareceu",$P995&gt;0.005),"Cobrar",IF($F995="Faltou","Falta: reagendar","")))))</f>
        <v>0</v>
      </c>
      <c r="T995" s="29">
        <f>IF($A995="","",DATE(YEAR($A995),MONTH($A995),1))</f>
        <v>0</v>
      </c>
      <c r="U995" s="30">
        <f>IF($S995="CONFIRMAR",MAX($U$4:$U994)+1,"")</f>
        <v>0</v>
      </c>
      <c r="V995" s="30">
        <f>IF(AND($R995="Não",$Q995&lt;&gt;"",$Q995&lt;=Hoje+JanelaRet,$Q995&gt;=Hoje-60),MAX($V$4:$V994)+1,"")</f>
        <v>0</v>
      </c>
    </row>
    <row r="996" spans="1:22">
      <c r="A996" s="16"/>
      <c r="B996" s="23"/>
      <c r="C996" s="15"/>
      <c r="D996" s="15"/>
      <c r="E996" s="15"/>
      <c r="F996" s="24"/>
      <c r="G996" s="17"/>
      <c r="H996" s="17"/>
      <c r="I996" s="15"/>
      <c r="J996" s="25">
        <f>IF($D996="","",IFERROR(INDEX(PacNome,MATCH($D996,PacCod,0)),"Paciente não cadastrado"))</f>
        <v>0</v>
      </c>
      <c r="K996" s="26">
        <f>IF($D996="","",IFERROR(INDEX(PacConv,MATCH($D996,PacCod,0))&amp;"",""))</f>
        <v>0</v>
      </c>
      <c r="L996" s="26">
        <f>IF($A996="","",CHOOSE(WEEKDAY($A996,2),"Seg","Ter","Qua","Qui","Sex","Sáb","Dom"))</f>
        <v>0</v>
      </c>
      <c r="M996" s="27">
        <f>IF($E996="","",IF($G996&lt;&gt;"",$G996,IFERROR(INDEX(ProcValor,MATCH($E996,ProcNome,0)),0)))</f>
        <v>0</v>
      </c>
      <c r="N996" s="27">
        <f>IF($M996="","",IF($F996="Compareceu",$M996,0))</f>
        <v>0</v>
      </c>
      <c r="O996" s="27">
        <f>IF($M996="","",IF($F996="Faltou",$M996,0))</f>
        <v>0</v>
      </c>
      <c r="P996" s="27">
        <f>IF($M996="","",IF($F996="Compareceu",MAX(0,$M996-N($H996)),0))</f>
        <v>0</v>
      </c>
      <c r="Q996" s="19">
        <f>IF(AND($F996="Compareceu",$E996&lt;&gt;"",$A996&lt;&gt;""),IF(IFERROR(INDEX(ProcRet,MATCH($E996,ProcNome,0)),0)&gt;0,$A996+INDEX(ProcRet,MATCH($E996,ProcNome,0)),""),"")</f>
        <v>0</v>
      </c>
      <c r="R996" s="26">
        <f>IF($Q996="","",IF(COUNTIFS(AgPac,$D996,AgData,"&gt;"&amp;$A996,AgStatus,"&lt;&gt;Cancelado",AgStatus,"&lt;&gt;Remarcado")&gt;0,"Sim","Não"))</f>
        <v>0</v>
      </c>
      <c r="S996" s="28">
        <f>IF($A996="","",IF(AND($F996="Agendado",$A996-Hoje&gt;=0,$A996-Hoje&lt;=DiasConf),"CONFIRMAR",IF(AND($A996&lt;Hoje,OR($F996="Agendado",$F996="Confirmado")),"Atualizar status",IF(AND($F996="Compareceu",$P996&gt;0.005),"Cobrar",IF($F996="Faltou","Falta: reagendar","")))))</f>
        <v>0</v>
      </c>
      <c r="T996" s="29">
        <f>IF($A996="","",DATE(YEAR($A996),MONTH($A996),1))</f>
        <v>0</v>
      </c>
      <c r="U996" s="30">
        <f>IF($S996="CONFIRMAR",MAX($U$4:$U995)+1,"")</f>
        <v>0</v>
      </c>
      <c r="V996" s="30">
        <f>IF(AND($R996="Não",$Q996&lt;&gt;"",$Q996&lt;=Hoje+JanelaRet,$Q996&gt;=Hoje-60),MAX($V$4:$V995)+1,"")</f>
        <v>0</v>
      </c>
    </row>
    <row r="997" spans="1:22">
      <c r="A997" s="16"/>
      <c r="B997" s="23"/>
      <c r="C997" s="15"/>
      <c r="D997" s="15"/>
      <c r="E997" s="15"/>
      <c r="F997" s="24"/>
      <c r="G997" s="17"/>
      <c r="H997" s="17"/>
      <c r="I997" s="15"/>
      <c r="J997" s="25">
        <f>IF($D997="","",IFERROR(INDEX(PacNome,MATCH($D997,PacCod,0)),"Paciente não cadastrado"))</f>
        <v>0</v>
      </c>
      <c r="K997" s="26">
        <f>IF($D997="","",IFERROR(INDEX(PacConv,MATCH($D997,PacCod,0))&amp;"",""))</f>
        <v>0</v>
      </c>
      <c r="L997" s="26">
        <f>IF($A997="","",CHOOSE(WEEKDAY($A997,2),"Seg","Ter","Qua","Qui","Sex","Sáb","Dom"))</f>
        <v>0</v>
      </c>
      <c r="M997" s="27">
        <f>IF($E997="","",IF($G997&lt;&gt;"",$G997,IFERROR(INDEX(ProcValor,MATCH($E997,ProcNome,0)),0)))</f>
        <v>0</v>
      </c>
      <c r="N997" s="27">
        <f>IF($M997="","",IF($F997="Compareceu",$M997,0))</f>
        <v>0</v>
      </c>
      <c r="O997" s="27">
        <f>IF($M997="","",IF($F997="Faltou",$M997,0))</f>
        <v>0</v>
      </c>
      <c r="P997" s="27">
        <f>IF($M997="","",IF($F997="Compareceu",MAX(0,$M997-N($H997)),0))</f>
        <v>0</v>
      </c>
      <c r="Q997" s="19">
        <f>IF(AND($F997="Compareceu",$E997&lt;&gt;"",$A997&lt;&gt;""),IF(IFERROR(INDEX(ProcRet,MATCH($E997,ProcNome,0)),0)&gt;0,$A997+INDEX(ProcRet,MATCH($E997,ProcNome,0)),""),"")</f>
        <v>0</v>
      </c>
      <c r="R997" s="26">
        <f>IF($Q997="","",IF(COUNTIFS(AgPac,$D997,AgData,"&gt;"&amp;$A997,AgStatus,"&lt;&gt;Cancelado",AgStatus,"&lt;&gt;Remarcado")&gt;0,"Sim","Não"))</f>
        <v>0</v>
      </c>
      <c r="S997" s="28">
        <f>IF($A997="","",IF(AND($F997="Agendado",$A997-Hoje&gt;=0,$A997-Hoje&lt;=DiasConf),"CONFIRMAR",IF(AND($A997&lt;Hoje,OR($F997="Agendado",$F997="Confirmado")),"Atualizar status",IF(AND($F997="Compareceu",$P997&gt;0.005),"Cobrar",IF($F997="Faltou","Falta: reagendar","")))))</f>
        <v>0</v>
      </c>
      <c r="T997" s="29">
        <f>IF($A997="","",DATE(YEAR($A997),MONTH($A997),1))</f>
        <v>0</v>
      </c>
      <c r="U997" s="30">
        <f>IF($S997="CONFIRMAR",MAX($U$4:$U996)+1,"")</f>
        <v>0</v>
      </c>
      <c r="V997" s="30">
        <f>IF(AND($R997="Não",$Q997&lt;&gt;"",$Q997&lt;=Hoje+JanelaRet,$Q997&gt;=Hoje-60),MAX($V$4:$V996)+1,"")</f>
        <v>0</v>
      </c>
    </row>
    <row r="998" spans="1:22">
      <c r="A998" s="16"/>
      <c r="B998" s="23"/>
      <c r="C998" s="15"/>
      <c r="D998" s="15"/>
      <c r="E998" s="15"/>
      <c r="F998" s="24"/>
      <c r="G998" s="17"/>
      <c r="H998" s="17"/>
      <c r="I998" s="15"/>
      <c r="J998" s="25">
        <f>IF($D998="","",IFERROR(INDEX(PacNome,MATCH($D998,PacCod,0)),"Paciente não cadastrado"))</f>
        <v>0</v>
      </c>
      <c r="K998" s="26">
        <f>IF($D998="","",IFERROR(INDEX(PacConv,MATCH($D998,PacCod,0))&amp;"",""))</f>
        <v>0</v>
      </c>
      <c r="L998" s="26">
        <f>IF($A998="","",CHOOSE(WEEKDAY($A998,2),"Seg","Ter","Qua","Qui","Sex","Sáb","Dom"))</f>
        <v>0</v>
      </c>
      <c r="M998" s="27">
        <f>IF($E998="","",IF($G998&lt;&gt;"",$G998,IFERROR(INDEX(ProcValor,MATCH($E998,ProcNome,0)),0)))</f>
        <v>0</v>
      </c>
      <c r="N998" s="27">
        <f>IF($M998="","",IF($F998="Compareceu",$M998,0))</f>
        <v>0</v>
      </c>
      <c r="O998" s="27">
        <f>IF($M998="","",IF($F998="Faltou",$M998,0))</f>
        <v>0</v>
      </c>
      <c r="P998" s="27">
        <f>IF($M998="","",IF($F998="Compareceu",MAX(0,$M998-N($H998)),0))</f>
        <v>0</v>
      </c>
      <c r="Q998" s="19">
        <f>IF(AND($F998="Compareceu",$E998&lt;&gt;"",$A998&lt;&gt;""),IF(IFERROR(INDEX(ProcRet,MATCH($E998,ProcNome,0)),0)&gt;0,$A998+INDEX(ProcRet,MATCH($E998,ProcNome,0)),""),"")</f>
        <v>0</v>
      </c>
      <c r="R998" s="26">
        <f>IF($Q998="","",IF(COUNTIFS(AgPac,$D998,AgData,"&gt;"&amp;$A998,AgStatus,"&lt;&gt;Cancelado",AgStatus,"&lt;&gt;Remarcado")&gt;0,"Sim","Não"))</f>
        <v>0</v>
      </c>
      <c r="S998" s="28">
        <f>IF($A998="","",IF(AND($F998="Agendado",$A998-Hoje&gt;=0,$A998-Hoje&lt;=DiasConf),"CONFIRMAR",IF(AND($A998&lt;Hoje,OR($F998="Agendado",$F998="Confirmado")),"Atualizar status",IF(AND($F998="Compareceu",$P998&gt;0.005),"Cobrar",IF($F998="Faltou","Falta: reagendar","")))))</f>
        <v>0</v>
      </c>
      <c r="T998" s="29">
        <f>IF($A998="","",DATE(YEAR($A998),MONTH($A998),1))</f>
        <v>0</v>
      </c>
      <c r="U998" s="30">
        <f>IF($S998="CONFIRMAR",MAX($U$4:$U997)+1,"")</f>
        <v>0</v>
      </c>
      <c r="V998" s="30">
        <f>IF(AND($R998="Não",$Q998&lt;&gt;"",$Q998&lt;=Hoje+JanelaRet,$Q998&gt;=Hoje-60),MAX($V$4:$V997)+1,"")</f>
        <v>0</v>
      </c>
    </row>
    <row r="999" spans="1:22">
      <c r="A999" s="16"/>
      <c r="B999" s="23"/>
      <c r="C999" s="15"/>
      <c r="D999" s="15"/>
      <c r="E999" s="15"/>
      <c r="F999" s="24"/>
      <c r="G999" s="17"/>
      <c r="H999" s="17"/>
      <c r="I999" s="15"/>
      <c r="J999" s="25">
        <f>IF($D999="","",IFERROR(INDEX(PacNome,MATCH($D999,PacCod,0)),"Paciente não cadastrado"))</f>
        <v>0</v>
      </c>
      <c r="K999" s="26">
        <f>IF($D999="","",IFERROR(INDEX(PacConv,MATCH($D999,PacCod,0))&amp;"",""))</f>
        <v>0</v>
      </c>
      <c r="L999" s="26">
        <f>IF($A999="","",CHOOSE(WEEKDAY($A999,2),"Seg","Ter","Qua","Qui","Sex","Sáb","Dom"))</f>
        <v>0</v>
      </c>
      <c r="M999" s="27">
        <f>IF($E999="","",IF($G999&lt;&gt;"",$G999,IFERROR(INDEX(ProcValor,MATCH($E999,ProcNome,0)),0)))</f>
        <v>0</v>
      </c>
      <c r="N999" s="27">
        <f>IF($M999="","",IF($F999="Compareceu",$M999,0))</f>
        <v>0</v>
      </c>
      <c r="O999" s="27">
        <f>IF($M999="","",IF($F999="Faltou",$M999,0))</f>
        <v>0</v>
      </c>
      <c r="P999" s="27">
        <f>IF($M999="","",IF($F999="Compareceu",MAX(0,$M999-N($H999)),0))</f>
        <v>0</v>
      </c>
      <c r="Q999" s="19">
        <f>IF(AND($F999="Compareceu",$E999&lt;&gt;"",$A999&lt;&gt;""),IF(IFERROR(INDEX(ProcRet,MATCH($E999,ProcNome,0)),0)&gt;0,$A999+INDEX(ProcRet,MATCH($E999,ProcNome,0)),""),"")</f>
        <v>0</v>
      </c>
      <c r="R999" s="26">
        <f>IF($Q999="","",IF(COUNTIFS(AgPac,$D999,AgData,"&gt;"&amp;$A999,AgStatus,"&lt;&gt;Cancelado",AgStatus,"&lt;&gt;Remarcado")&gt;0,"Sim","Não"))</f>
        <v>0</v>
      </c>
      <c r="S999" s="28">
        <f>IF($A999="","",IF(AND($F999="Agendado",$A999-Hoje&gt;=0,$A999-Hoje&lt;=DiasConf),"CONFIRMAR",IF(AND($A999&lt;Hoje,OR($F999="Agendado",$F999="Confirmado")),"Atualizar status",IF(AND($F999="Compareceu",$P999&gt;0.005),"Cobrar",IF($F999="Faltou","Falta: reagendar","")))))</f>
        <v>0</v>
      </c>
      <c r="T999" s="29">
        <f>IF($A999="","",DATE(YEAR($A999),MONTH($A999),1))</f>
        <v>0</v>
      </c>
      <c r="U999" s="30">
        <f>IF($S999="CONFIRMAR",MAX($U$4:$U998)+1,"")</f>
        <v>0</v>
      </c>
      <c r="V999" s="30">
        <f>IF(AND($R999="Não",$Q999&lt;&gt;"",$Q999&lt;=Hoje+JanelaRet,$Q999&gt;=Hoje-60),MAX($V$4:$V998)+1,"")</f>
        <v>0</v>
      </c>
    </row>
    <row r="1000" spans="1:22">
      <c r="A1000" s="16"/>
      <c r="B1000" s="23"/>
      <c r="C1000" s="15"/>
      <c r="D1000" s="15"/>
      <c r="E1000" s="15"/>
      <c r="F1000" s="24"/>
      <c r="G1000" s="17"/>
      <c r="H1000" s="17"/>
      <c r="I1000" s="15"/>
      <c r="J1000" s="25">
        <f>IF($D1000="","",IFERROR(INDEX(PacNome,MATCH($D1000,PacCod,0)),"Paciente não cadastrado"))</f>
        <v>0</v>
      </c>
      <c r="K1000" s="26">
        <f>IF($D1000="","",IFERROR(INDEX(PacConv,MATCH($D1000,PacCod,0))&amp;"",""))</f>
        <v>0</v>
      </c>
      <c r="L1000" s="26">
        <f>IF($A1000="","",CHOOSE(WEEKDAY($A1000,2),"Seg","Ter","Qua","Qui","Sex","Sáb","Dom"))</f>
        <v>0</v>
      </c>
      <c r="M1000" s="27">
        <f>IF($E1000="","",IF($G1000&lt;&gt;"",$G1000,IFERROR(INDEX(ProcValor,MATCH($E1000,ProcNome,0)),0)))</f>
        <v>0</v>
      </c>
      <c r="N1000" s="27">
        <f>IF($M1000="","",IF($F1000="Compareceu",$M1000,0))</f>
        <v>0</v>
      </c>
      <c r="O1000" s="27">
        <f>IF($M1000="","",IF($F1000="Faltou",$M1000,0))</f>
        <v>0</v>
      </c>
      <c r="P1000" s="27">
        <f>IF($M1000="","",IF($F1000="Compareceu",MAX(0,$M1000-N($H1000)),0))</f>
        <v>0</v>
      </c>
      <c r="Q1000" s="19">
        <f>IF(AND($F1000="Compareceu",$E1000&lt;&gt;"",$A1000&lt;&gt;""),IF(IFERROR(INDEX(ProcRet,MATCH($E1000,ProcNome,0)),0)&gt;0,$A1000+INDEX(ProcRet,MATCH($E1000,ProcNome,0)),""),"")</f>
        <v>0</v>
      </c>
      <c r="R1000" s="26">
        <f>IF($Q1000="","",IF(COUNTIFS(AgPac,$D1000,AgData,"&gt;"&amp;$A1000,AgStatus,"&lt;&gt;Cancelado",AgStatus,"&lt;&gt;Remarcado")&gt;0,"Sim","Não"))</f>
        <v>0</v>
      </c>
      <c r="S1000" s="28">
        <f>IF($A1000="","",IF(AND($F1000="Agendado",$A1000-Hoje&gt;=0,$A1000-Hoje&lt;=DiasConf),"CONFIRMAR",IF(AND($A1000&lt;Hoje,OR($F1000="Agendado",$F1000="Confirmado")),"Atualizar status",IF(AND($F1000="Compareceu",$P1000&gt;0.005),"Cobrar",IF($F1000="Faltou","Falta: reagendar","")))))</f>
        <v>0</v>
      </c>
      <c r="T1000" s="29">
        <f>IF($A1000="","",DATE(YEAR($A1000),MONTH($A1000),1))</f>
        <v>0</v>
      </c>
      <c r="U1000" s="30">
        <f>IF($S1000="CONFIRMAR",MAX($U$4:$U999)+1,"")</f>
        <v>0</v>
      </c>
      <c r="V1000" s="30">
        <f>IF(AND($R1000="Não",$Q1000&lt;&gt;"",$Q1000&lt;=Hoje+JanelaRet,$Q1000&gt;=Hoje-60),MAX($V$4:$V999)+1,"")</f>
        <v>0</v>
      </c>
    </row>
    <row r="1001" spans="1:22">
      <c r="A1001" s="16"/>
      <c r="B1001" s="23"/>
      <c r="C1001" s="15"/>
      <c r="D1001" s="15"/>
      <c r="E1001" s="15"/>
      <c r="F1001" s="24"/>
      <c r="G1001" s="17"/>
      <c r="H1001" s="17"/>
      <c r="I1001" s="15"/>
      <c r="J1001" s="25">
        <f>IF($D1001="","",IFERROR(INDEX(PacNome,MATCH($D1001,PacCod,0)),"Paciente não cadastrado"))</f>
        <v>0</v>
      </c>
      <c r="K1001" s="26">
        <f>IF($D1001="","",IFERROR(INDEX(PacConv,MATCH($D1001,PacCod,0))&amp;"",""))</f>
        <v>0</v>
      </c>
      <c r="L1001" s="26">
        <f>IF($A1001="","",CHOOSE(WEEKDAY($A1001,2),"Seg","Ter","Qua","Qui","Sex","Sáb","Dom"))</f>
        <v>0</v>
      </c>
      <c r="M1001" s="27">
        <f>IF($E1001="","",IF($G1001&lt;&gt;"",$G1001,IFERROR(INDEX(ProcValor,MATCH($E1001,ProcNome,0)),0)))</f>
        <v>0</v>
      </c>
      <c r="N1001" s="27">
        <f>IF($M1001="","",IF($F1001="Compareceu",$M1001,0))</f>
        <v>0</v>
      </c>
      <c r="O1001" s="27">
        <f>IF($M1001="","",IF($F1001="Faltou",$M1001,0))</f>
        <v>0</v>
      </c>
      <c r="P1001" s="27">
        <f>IF($M1001="","",IF($F1001="Compareceu",MAX(0,$M1001-N($H1001)),0))</f>
        <v>0</v>
      </c>
      <c r="Q1001" s="19">
        <f>IF(AND($F1001="Compareceu",$E1001&lt;&gt;"",$A1001&lt;&gt;""),IF(IFERROR(INDEX(ProcRet,MATCH($E1001,ProcNome,0)),0)&gt;0,$A1001+INDEX(ProcRet,MATCH($E1001,ProcNome,0)),""),"")</f>
        <v>0</v>
      </c>
      <c r="R1001" s="26">
        <f>IF($Q1001="","",IF(COUNTIFS(AgPac,$D1001,AgData,"&gt;"&amp;$A1001,AgStatus,"&lt;&gt;Cancelado",AgStatus,"&lt;&gt;Remarcado")&gt;0,"Sim","Não"))</f>
        <v>0</v>
      </c>
      <c r="S1001" s="28">
        <f>IF($A1001="","",IF(AND($F1001="Agendado",$A1001-Hoje&gt;=0,$A1001-Hoje&lt;=DiasConf),"CONFIRMAR",IF(AND($A1001&lt;Hoje,OR($F1001="Agendado",$F1001="Confirmado")),"Atualizar status",IF(AND($F1001="Compareceu",$P1001&gt;0.005),"Cobrar",IF($F1001="Faltou","Falta: reagendar","")))))</f>
        <v>0</v>
      </c>
      <c r="T1001" s="29">
        <f>IF($A1001="","",DATE(YEAR($A1001),MONTH($A1001),1))</f>
        <v>0</v>
      </c>
      <c r="U1001" s="30">
        <f>IF($S1001="CONFIRMAR",MAX($U$4:$U1000)+1,"")</f>
        <v>0</v>
      </c>
      <c r="V1001" s="30">
        <f>IF(AND($R1001="Não",$Q1001&lt;&gt;"",$Q1001&lt;=Hoje+JanelaRet,$Q1001&gt;=Hoje-60),MAX($V$4:$V1000)+1,"")</f>
        <v>0</v>
      </c>
    </row>
    <row r="1002" spans="1:22">
      <c r="A1002" s="16"/>
      <c r="B1002" s="23"/>
      <c r="C1002" s="15"/>
      <c r="D1002" s="15"/>
      <c r="E1002" s="15"/>
      <c r="F1002" s="24"/>
      <c r="G1002" s="17"/>
      <c r="H1002" s="17"/>
      <c r="I1002" s="15"/>
      <c r="J1002" s="25">
        <f>IF($D1002="","",IFERROR(INDEX(PacNome,MATCH($D1002,PacCod,0)),"Paciente não cadastrado"))</f>
        <v>0</v>
      </c>
      <c r="K1002" s="26">
        <f>IF($D1002="","",IFERROR(INDEX(PacConv,MATCH($D1002,PacCod,0))&amp;"",""))</f>
        <v>0</v>
      </c>
      <c r="L1002" s="26">
        <f>IF($A1002="","",CHOOSE(WEEKDAY($A1002,2),"Seg","Ter","Qua","Qui","Sex","Sáb","Dom"))</f>
        <v>0</v>
      </c>
      <c r="M1002" s="27">
        <f>IF($E1002="","",IF($G1002&lt;&gt;"",$G1002,IFERROR(INDEX(ProcValor,MATCH($E1002,ProcNome,0)),0)))</f>
        <v>0</v>
      </c>
      <c r="N1002" s="27">
        <f>IF($M1002="","",IF($F1002="Compareceu",$M1002,0))</f>
        <v>0</v>
      </c>
      <c r="O1002" s="27">
        <f>IF($M1002="","",IF($F1002="Faltou",$M1002,0))</f>
        <v>0</v>
      </c>
      <c r="P1002" s="27">
        <f>IF($M1002="","",IF($F1002="Compareceu",MAX(0,$M1002-N($H1002)),0))</f>
        <v>0</v>
      </c>
      <c r="Q1002" s="19">
        <f>IF(AND($F1002="Compareceu",$E1002&lt;&gt;"",$A1002&lt;&gt;""),IF(IFERROR(INDEX(ProcRet,MATCH($E1002,ProcNome,0)),0)&gt;0,$A1002+INDEX(ProcRet,MATCH($E1002,ProcNome,0)),""),"")</f>
        <v>0</v>
      </c>
      <c r="R1002" s="26">
        <f>IF($Q1002="","",IF(COUNTIFS(AgPac,$D1002,AgData,"&gt;"&amp;$A1002,AgStatus,"&lt;&gt;Cancelado",AgStatus,"&lt;&gt;Remarcado")&gt;0,"Sim","Não"))</f>
        <v>0</v>
      </c>
      <c r="S1002" s="28">
        <f>IF($A1002="","",IF(AND($F1002="Agendado",$A1002-Hoje&gt;=0,$A1002-Hoje&lt;=DiasConf),"CONFIRMAR",IF(AND($A1002&lt;Hoje,OR($F1002="Agendado",$F1002="Confirmado")),"Atualizar status",IF(AND($F1002="Compareceu",$P1002&gt;0.005),"Cobrar",IF($F1002="Faltou","Falta: reagendar","")))))</f>
        <v>0</v>
      </c>
      <c r="T1002" s="29">
        <f>IF($A1002="","",DATE(YEAR($A1002),MONTH($A1002),1))</f>
        <v>0</v>
      </c>
      <c r="U1002" s="30">
        <f>IF($S1002="CONFIRMAR",MAX($U$4:$U1001)+1,"")</f>
        <v>0</v>
      </c>
      <c r="V1002" s="30">
        <f>IF(AND($R1002="Não",$Q1002&lt;&gt;"",$Q1002&lt;=Hoje+JanelaRet,$Q1002&gt;=Hoje-60),MAX($V$4:$V1001)+1,"")</f>
        <v>0</v>
      </c>
    </row>
    <row r="1003" spans="1:22">
      <c r="A1003" s="16"/>
      <c r="B1003" s="23"/>
      <c r="C1003" s="15"/>
      <c r="D1003" s="15"/>
      <c r="E1003" s="15"/>
      <c r="F1003" s="24"/>
      <c r="G1003" s="17"/>
      <c r="H1003" s="17"/>
      <c r="I1003" s="15"/>
      <c r="J1003" s="25">
        <f>IF($D1003="","",IFERROR(INDEX(PacNome,MATCH($D1003,PacCod,0)),"Paciente não cadastrado"))</f>
        <v>0</v>
      </c>
      <c r="K1003" s="26">
        <f>IF($D1003="","",IFERROR(INDEX(PacConv,MATCH($D1003,PacCod,0))&amp;"",""))</f>
        <v>0</v>
      </c>
      <c r="L1003" s="26">
        <f>IF($A1003="","",CHOOSE(WEEKDAY($A1003,2),"Seg","Ter","Qua","Qui","Sex","Sáb","Dom"))</f>
        <v>0</v>
      </c>
      <c r="M1003" s="27">
        <f>IF($E1003="","",IF($G1003&lt;&gt;"",$G1003,IFERROR(INDEX(ProcValor,MATCH($E1003,ProcNome,0)),0)))</f>
        <v>0</v>
      </c>
      <c r="N1003" s="27">
        <f>IF($M1003="","",IF($F1003="Compareceu",$M1003,0))</f>
        <v>0</v>
      </c>
      <c r="O1003" s="27">
        <f>IF($M1003="","",IF($F1003="Faltou",$M1003,0))</f>
        <v>0</v>
      </c>
      <c r="P1003" s="27">
        <f>IF($M1003="","",IF($F1003="Compareceu",MAX(0,$M1003-N($H1003)),0))</f>
        <v>0</v>
      </c>
      <c r="Q1003" s="19">
        <f>IF(AND($F1003="Compareceu",$E1003&lt;&gt;"",$A1003&lt;&gt;""),IF(IFERROR(INDEX(ProcRet,MATCH($E1003,ProcNome,0)),0)&gt;0,$A1003+INDEX(ProcRet,MATCH($E1003,ProcNome,0)),""),"")</f>
        <v>0</v>
      </c>
      <c r="R1003" s="26">
        <f>IF($Q1003="","",IF(COUNTIFS(AgPac,$D1003,AgData,"&gt;"&amp;$A1003,AgStatus,"&lt;&gt;Cancelado",AgStatus,"&lt;&gt;Remarcado")&gt;0,"Sim","Não"))</f>
        <v>0</v>
      </c>
      <c r="S1003" s="28">
        <f>IF($A1003="","",IF(AND($F1003="Agendado",$A1003-Hoje&gt;=0,$A1003-Hoje&lt;=DiasConf),"CONFIRMAR",IF(AND($A1003&lt;Hoje,OR($F1003="Agendado",$F1003="Confirmado")),"Atualizar status",IF(AND($F1003="Compareceu",$P1003&gt;0.005),"Cobrar",IF($F1003="Faltou","Falta: reagendar","")))))</f>
        <v>0</v>
      </c>
      <c r="T1003" s="29">
        <f>IF($A1003="","",DATE(YEAR($A1003),MONTH($A1003),1))</f>
        <v>0</v>
      </c>
      <c r="U1003" s="30">
        <f>IF($S1003="CONFIRMAR",MAX($U$4:$U1002)+1,"")</f>
        <v>0</v>
      </c>
      <c r="V1003" s="30">
        <f>IF(AND($R1003="Não",$Q1003&lt;&gt;"",$Q1003&lt;=Hoje+JanelaRet,$Q1003&gt;=Hoje-60),MAX($V$4:$V1002)+1,"")</f>
        <v>0</v>
      </c>
    </row>
    <row r="1004" spans="1:22">
      <c r="A1004" s="16"/>
      <c r="B1004" s="23"/>
      <c r="C1004" s="15"/>
      <c r="D1004" s="15"/>
      <c r="E1004" s="15"/>
      <c r="F1004" s="24"/>
      <c r="G1004" s="17"/>
      <c r="H1004" s="17"/>
      <c r="I1004" s="15"/>
      <c r="J1004" s="25">
        <f>IF($D1004="","",IFERROR(INDEX(PacNome,MATCH($D1004,PacCod,0)),"Paciente não cadastrado"))</f>
        <v>0</v>
      </c>
      <c r="K1004" s="26">
        <f>IF($D1004="","",IFERROR(INDEX(PacConv,MATCH($D1004,PacCod,0))&amp;"",""))</f>
        <v>0</v>
      </c>
      <c r="L1004" s="26">
        <f>IF($A1004="","",CHOOSE(WEEKDAY($A1004,2),"Seg","Ter","Qua","Qui","Sex","Sáb","Dom"))</f>
        <v>0</v>
      </c>
      <c r="M1004" s="27">
        <f>IF($E1004="","",IF($G1004&lt;&gt;"",$G1004,IFERROR(INDEX(ProcValor,MATCH($E1004,ProcNome,0)),0)))</f>
        <v>0</v>
      </c>
      <c r="N1004" s="27">
        <f>IF($M1004="","",IF($F1004="Compareceu",$M1004,0))</f>
        <v>0</v>
      </c>
      <c r="O1004" s="27">
        <f>IF($M1004="","",IF($F1004="Faltou",$M1004,0))</f>
        <v>0</v>
      </c>
      <c r="P1004" s="27">
        <f>IF($M1004="","",IF($F1004="Compareceu",MAX(0,$M1004-N($H1004)),0))</f>
        <v>0</v>
      </c>
      <c r="Q1004" s="19">
        <f>IF(AND($F1004="Compareceu",$E1004&lt;&gt;"",$A1004&lt;&gt;""),IF(IFERROR(INDEX(ProcRet,MATCH($E1004,ProcNome,0)),0)&gt;0,$A1004+INDEX(ProcRet,MATCH($E1004,ProcNome,0)),""),"")</f>
        <v>0</v>
      </c>
      <c r="R1004" s="26">
        <f>IF($Q1004="","",IF(COUNTIFS(AgPac,$D1004,AgData,"&gt;"&amp;$A1004,AgStatus,"&lt;&gt;Cancelado",AgStatus,"&lt;&gt;Remarcado")&gt;0,"Sim","Não"))</f>
        <v>0</v>
      </c>
      <c r="S1004" s="28">
        <f>IF($A1004="","",IF(AND($F1004="Agendado",$A1004-Hoje&gt;=0,$A1004-Hoje&lt;=DiasConf),"CONFIRMAR",IF(AND($A1004&lt;Hoje,OR($F1004="Agendado",$F1004="Confirmado")),"Atualizar status",IF(AND($F1004="Compareceu",$P1004&gt;0.005),"Cobrar",IF($F1004="Faltou","Falta: reagendar","")))))</f>
        <v>0</v>
      </c>
      <c r="T1004" s="29">
        <f>IF($A1004="","",DATE(YEAR($A1004),MONTH($A1004),1))</f>
        <v>0</v>
      </c>
      <c r="U1004" s="30">
        <f>IF($S1004="CONFIRMAR",MAX($U$4:$U1003)+1,"")</f>
        <v>0</v>
      </c>
      <c r="V1004" s="30">
        <f>IF(AND($R1004="Não",$Q1004&lt;&gt;"",$Q1004&lt;=Hoje+JanelaRet,$Q1004&gt;=Hoje-60),MAX($V$4:$V1003)+1,"")</f>
        <v>0</v>
      </c>
    </row>
    <row r="1005" spans="1:22">
      <c r="A1005" s="16"/>
      <c r="B1005" s="23"/>
      <c r="C1005" s="15"/>
      <c r="D1005" s="15"/>
      <c r="E1005" s="15"/>
      <c r="F1005" s="24"/>
      <c r="G1005" s="17"/>
      <c r="H1005" s="17"/>
      <c r="I1005" s="15"/>
      <c r="J1005" s="25">
        <f>IF($D1005="","",IFERROR(INDEX(PacNome,MATCH($D1005,PacCod,0)),"Paciente não cadastrado"))</f>
        <v>0</v>
      </c>
      <c r="K1005" s="26">
        <f>IF($D1005="","",IFERROR(INDEX(PacConv,MATCH($D1005,PacCod,0))&amp;"",""))</f>
        <v>0</v>
      </c>
      <c r="L1005" s="26">
        <f>IF($A1005="","",CHOOSE(WEEKDAY($A1005,2),"Seg","Ter","Qua","Qui","Sex","Sáb","Dom"))</f>
        <v>0</v>
      </c>
      <c r="M1005" s="27">
        <f>IF($E1005="","",IF($G1005&lt;&gt;"",$G1005,IFERROR(INDEX(ProcValor,MATCH($E1005,ProcNome,0)),0)))</f>
        <v>0</v>
      </c>
      <c r="N1005" s="27">
        <f>IF($M1005="","",IF($F1005="Compareceu",$M1005,0))</f>
        <v>0</v>
      </c>
      <c r="O1005" s="27">
        <f>IF($M1005="","",IF($F1005="Faltou",$M1005,0))</f>
        <v>0</v>
      </c>
      <c r="P1005" s="27">
        <f>IF($M1005="","",IF($F1005="Compareceu",MAX(0,$M1005-N($H1005)),0))</f>
        <v>0</v>
      </c>
      <c r="Q1005" s="19">
        <f>IF(AND($F1005="Compareceu",$E1005&lt;&gt;"",$A1005&lt;&gt;""),IF(IFERROR(INDEX(ProcRet,MATCH($E1005,ProcNome,0)),0)&gt;0,$A1005+INDEX(ProcRet,MATCH($E1005,ProcNome,0)),""),"")</f>
        <v>0</v>
      </c>
      <c r="R1005" s="26">
        <f>IF($Q1005="","",IF(COUNTIFS(AgPac,$D1005,AgData,"&gt;"&amp;$A1005,AgStatus,"&lt;&gt;Cancelado",AgStatus,"&lt;&gt;Remarcado")&gt;0,"Sim","Não"))</f>
        <v>0</v>
      </c>
      <c r="S1005" s="28">
        <f>IF($A1005="","",IF(AND($F1005="Agendado",$A1005-Hoje&gt;=0,$A1005-Hoje&lt;=DiasConf),"CONFIRMAR",IF(AND($A1005&lt;Hoje,OR($F1005="Agendado",$F1005="Confirmado")),"Atualizar status",IF(AND($F1005="Compareceu",$P1005&gt;0.005),"Cobrar",IF($F1005="Faltou","Falta: reagendar","")))))</f>
        <v>0</v>
      </c>
      <c r="T1005" s="29">
        <f>IF($A1005="","",DATE(YEAR($A1005),MONTH($A1005),1))</f>
        <v>0</v>
      </c>
      <c r="U1005" s="30">
        <f>IF($S1005="CONFIRMAR",MAX($U$4:$U1004)+1,"")</f>
        <v>0</v>
      </c>
      <c r="V1005" s="30">
        <f>IF(AND($R1005="Não",$Q1005&lt;&gt;"",$Q1005&lt;=Hoje+JanelaRet,$Q1005&gt;=Hoje-60),MAX($V$4:$V1004)+1,"")</f>
        <v>0</v>
      </c>
    </row>
    <row r="1006" spans="1:22">
      <c r="A1006" s="16"/>
      <c r="B1006" s="23"/>
      <c r="C1006" s="15"/>
      <c r="D1006" s="15"/>
      <c r="E1006" s="15"/>
      <c r="F1006" s="24"/>
      <c r="G1006" s="17"/>
      <c r="H1006" s="17"/>
      <c r="I1006" s="15"/>
      <c r="J1006" s="25">
        <f>IF($D1006="","",IFERROR(INDEX(PacNome,MATCH($D1006,PacCod,0)),"Paciente não cadastrado"))</f>
        <v>0</v>
      </c>
      <c r="K1006" s="26">
        <f>IF($D1006="","",IFERROR(INDEX(PacConv,MATCH($D1006,PacCod,0))&amp;"",""))</f>
        <v>0</v>
      </c>
      <c r="L1006" s="26">
        <f>IF($A1006="","",CHOOSE(WEEKDAY($A1006,2),"Seg","Ter","Qua","Qui","Sex","Sáb","Dom"))</f>
        <v>0</v>
      </c>
      <c r="M1006" s="27">
        <f>IF($E1006="","",IF($G1006&lt;&gt;"",$G1006,IFERROR(INDEX(ProcValor,MATCH($E1006,ProcNome,0)),0)))</f>
        <v>0</v>
      </c>
      <c r="N1006" s="27">
        <f>IF($M1006="","",IF($F1006="Compareceu",$M1006,0))</f>
        <v>0</v>
      </c>
      <c r="O1006" s="27">
        <f>IF($M1006="","",IF($F1006="Faltou",$M1006,0))</f>
        <v>0</v>
      </c>
      <c r="P1006" s="27">
        <f>IF($M1006="","",IF($F1006="Compareceu",MAX(0,$M1006-N($H1006)),0))</f>
        <v>0</v>
      </c>
      <c r="Q1006" s="19">
        <f>IF(AND($F1006="Compareceu",$E1006&lt;&gt;"",$A1006&lt;&gt;""),IF(IFERROR(INDEX(ProcRet,MATCH($E1006,ProcNome,0)),0)&gt;0,$A1006+INDEX(ProcRet,MATCH($E1006,ProcNome,0)),""),"")</f>
        <v>0</v>
      </c>
      <c r="R1006" s="26">
        <f>IF($Q1006="","",IF(COUNTIFS(AgPac,$D1006,AgData,"&gt;"&amp;$A1006,AgStatus,"&lt;&gt;Cancelado",AgStatus,"&lt;&gt;Remarcado")&gt;0,"Sim","Não"))</f>
        <v>0</v>
      </c>
      <c r="S1006" s="28">
        <f>IF($A1006="","",IF(AND($F1006="Agendado",$A1006-Hoje&gt;=0,$A1006-Hoje&lt;=DiasConf),"CONFIRMAR",IF(AND($A1006&lt;Hoje,OR($F1006="Agendado",$F1006="Confirmado")),"Atualizar status",IF(AND($F1006="Compareceu",$P1006&gt;0.005),"Cobrar",IF($F1006="Faltou","Falta: reagendar","")))))</f>
        <v>0</v>
      </c>
      <c r="T1006" s="29">
        <f>IF($A1006="","",DATE(YEAR($A1006),MONTH($A1006),1))</f>
        <v>0</v>
      </c>
      <c r="U1006" s="30">
        <f>IF($S1006="CONFIRMAR",MAX($U$4:$U1005)+1,"")</f>
        <v>0</v>
      </c>
      <c r="V1006" s="30">
        <f>IF(AND($R1006="Não",$Q1006&lt;&gt;"",$Q1006&lt;=Hoje+JanelaRet,$Q1006&gt;=Hoje-60),MAX($V$4:$V1005)+1,"")</f>
        <v>0</v>
      </c>
    </row>
    <row r="1007" spans="1:22">
      <c r="A1007" s="16"/>
      <c r="B1007" s="23"/>
      <c r="C1007" s="15"/>
      <c r="D1007" s="15"/>
      <c r="E1007" s="15"/>
      <c r="F1007" s="24"/>
      <c r="G1007" s="17"/>
      <c r="H1007" s="17"/>
      <c r="I1007" s="15"/>
      <c r="J1007" s="25">
        <f>IF($D1007="","",IFERROR(INDEX(PacNome,MATCH($D1007,PacCod,0)),"Paciente não cadastrado"))</f>
        <v>0</v>
      </c>
      <c r="K1007" s="26">
        <f>IF($D1007="","",IFERROR(INDEX(PacConv,MATCH($D1007,PacCod,0))&amp;"",""))</f>
        <v>0</v>
      </c>
      <c r="L1007" s="26">
        <f>IF($A1007="","",CHOOSE(WEEKDAY($A1007,2),"Seg","Ter","Qua","Qui","Sex","Sáb","Dom"))</f>
        <v>0</v>
      </c>
      <c r="M1007" s="27">
        <f>IF($E1007="","",IF($G1007&lt;&gt;"",$G1007,IFERROR(INDEX(ProcValor,MATCH($E1007,ProcNome,0)),0)))</f>
        <v>0</v>
      </c>
      <c r="N1007" s="27">
        <f>IF($M1007="","",IF($F1007="Compareceu",$M1007,0))</f>
        <v>0</v>
      </c>
      <c r="O1007" s="27">
        <f>IF($M1007="","",IF($F1007="Faltou",$M1007,0))</f>
        <v>0</v>
      </c>
      <c r="P1007" s="27">
        <f>IF($M1007="","",IF($F1007="Compareceu",MAX(0,$M1007-N($H1007)),0))</f>
        <v>0</v>
      </c>
      <c r="Q1007" s="19">
        <f>IF(AND($F1007="Compareceu",$E1007&lt;&gt;"",$A1007&lt;&gt;""),IF(IFERROR(INDEX(ProcRet,MATCH($E1007,ProcNome,0)),0)&gt;0,$A1007+INDEX(ProcRet,MATCH($E1007,ProcNome,0)),""),"")</f>
        <v>0</v>
      </c>
      <c r="R1007" s="26">
        <f>IF($Q1007="","",IF(COUNTIFS(AgPac,$D1007,AgData,"&gt;"&amp;$A1007,AgStatus,"&lt;&gt;Cancelado",AgStatus,"&lt;&gt;Remarcado")&gt;0,"Sim","Não"))</f>
        <v>0</v>
      </c>
      <c r="S1007" s="28">
        <f>IF($A1007="","",IF(AND($F1007="Agendado",$A1007-Hoje&gt;=0,$A1007-Hoje&lt;=DiasConf),"CONFIRMAR",IF(AND($A1007&lt;Hoje,OR($F1007="Agendado",$F1007="Confirmado")),"Atualizar status",IF(AND($F1007="Compareceu",$P1007&gt;0.005),"Cobrar",IF($F1007="Faltou","Falta: reagendar","")))))</f>
        <v>0</v>
      </c>
      <c r="T1007" s="29">
        <f>IF($A1007="","",DATE(YEAR($A1007),MONTH($A1007),1))</f>
        <v>0</v>
      </c>
      <c r="U1007" s="30">
        <f>IF($S1007="CONFIRMAR",MAX($U$4:$U1006)+1,"")</f>
        <v>0</v>
      </c>
      <c r="V1007" s="30">
        <f>IF(AND($R1007="Não",$Q1007&lt;&gt;"",$Q1007&lt;=Hoje+JanelaRet,$Q1007&gt;=Hoje-60),MAX($V$4:$V1006)+1,"")</f>
        <v>0</v>
      </c>
    </row>
    <row r="1008" spans="1:22">
      <c r="A1008" s="16"/>
      <c r="B1008" s="23"/>
      <c r="C1008" s="15"/>
      <c r="D1008" s="15"/>
      <c r="E1008" s="15"/>
      <c r="F1008" s="24"/>
      <c r="G1008" s="17"/>
      <c r="H1008" s="17"/>
      <c r="I1008" s="15"/>
      <c r="J1008" s="25">
        <f>IF($D1008="","",IFERROR(INDEX(PacNome,MATCH($D1008,PacCod,0)),"Paciente não cadastrado"))</f>
        <v>0</v>
      </c>
      <c r="K1008" s="26">
        <f>IF($D1008="","",IFERROR(INDEX(PacConv,MATCH($D1008,PacCod,0))&amp;"",""))</f>
        <v>0</v>
      </c>
      <c r="L1008" s="26">
        <f>IF($A1008="","",CHOOSE(WEEKDAY($A1008,2),"Seg","Ter","Qua","Qui","Sex","Sáb","Dom"))</f>
        <v>0</v>
      </c>
      <c r="M1008" s="27">
        <f>IF($E1008="","",IF($G1008&lt;&gt;"",$G1008,IFERROR(INDEX(ProcValor,MATCH($E1008,ProcNome,0)),0)))</f>
        <v>0</v>
      </c>
      <c r="N1008" s="27">
        <f>IF($M1008="","",IF($F1008="Compareceu",$M1008,0))</f>
        <v>0</v>
      </c>
      <c r="O1008" s="27">
        <f>IF($M1008="","",IF($F1008="Faltou",$M1008,0))</f>
        <v>0</v>
      </c>
      <c r="P1008" s="27">
        <f>IF($M1008="","",IF($F1008="Compareceu",MAX(0,$M1008-N($H1008)),0))</f>
        <v>0</v>
      </c>
      <c r="Q1008" s="19">
        <f>IF(AND($F1008="Compareceu",$E1008&lt;&gt;"",$A1008&lt;&gt;""),IF(IFERROR(INDEX(ProcRet,MATCH($E1008,ProcNome,0)),0)&gt;0,$A1008+INDEX(ProcRet,MATCH($E1008,ProcNome,0)),""),"")</f>
        <v>0</v>
      </c>
      <c r="R1008" s="26">
        <f>IF($Q1008="","",IF(COUNTIFS(AgPac,$D1008,AgData,"&gt;"&amp;$A1008,AgStatus,"&lt;&gt;Cancelado",AgStatus,"&lt;&gt;Remarcado")&gt;0,"Sim","Não"))</f>
        <v>0</v>
      </c>
      <c r="S1008" s="28">
        <f>IF($A1008="","",IF(AND($F1008="Agendado",$A1008-Hoje&gt;=0,$A1008-Hoje&lt;=DiasConf),"CONFIRMAR",IF(AND($A1008&lt;Hoje,OR($F1008="Agendado",$F1008="Confirmado")),"Atualizar status",IF(AND($F1008="Compareceu",$P1008&gt;0.005),"Cobrar",IF($F1008="Faltou","Falta: reagendar","")))))</f>
        <v>0</v>
      </c>
      <c r="T1008" s="29">
        <f>IF($A1008="","",DATE(YEAR($A1008),MONTH($A1008),1))</f>
        <v>0</v>
      </c>
      <c r="U1008" s="30">
        <f>IF($S1008="CONFIRMAR",MAX($U$4:$U1007)+1,"")</f>
        <v>0</v>
      </c>
      <c r="V1008" s="30">
        <f>IF(AND($R1008="Não",$Q1008&lt;&gt;"",$Q1008&lt;=Hoje+JanelaRet,$Q1008&gt;=Hoje-60),MAX($V$4:$V1007)+1,"")</f>
        <v>0</v>
      </c>
    </row>
    <row r="1009" spans="1:22">
      <c r="A1009" s="16"/>
      <c r="B1009" s="23"/>
      <c r="C1009" s="15"/>
      <c r="D1009" s="15"/>
      <c r="E1009" s="15"/>
      <c r="F1009" s="24"/>
      <c r="G1009" s="17"/>
      <c r="H1009" s="17"/>
      <c r="I1009" s="15"/>
      <c r="J1009" s="25">
        <f>IF($D1009="","",IFERROR(INDEX(PacNome,MATCH($D1009,PacCod,0)),"Paciente não cadastrado"))</f>
        <v>0</v>
      </c>
      <c r="K1009" s="26">
        <f>IF($D1009="","",IFERROR(INDEX(PacConv,MATCH($D1009,PacCod,0))&amp;"",""))</f>
        <v>0</v>
      </c>
      <c r="L1009" s="26">
        <f>IF($A1009="","",CHOOSE(WEEKDAY($A1009,2),"Seg","Ter","Qua","Qui","Sex","Sáb","Dom"))</f>
        <v>0</v>
      </c>
      <c r="M1009" s="27">
        <f>IF($E1009="","",IF($G1009&lt;&gt;"",$G1009,IFERROR(INDEX(ProcValor,MATCH($E1009,ProcNome,0)),0)))</f>
        <v>0</v>
      </c>
      <c r="N1009" s="27">
        <f>IF($M1009="","",IF($F1009="Compareceu",$M1009,0))</f>
        <v>0</v>
      </c>
      <c r="O1009" s="27">
        <f>IF($M1009="","",IF($F1009="Faltou",$M1009,0))</f>
        <v>0</v>
      </c>
      <c r="P1009" s="27">
        <f>IF($M1009="","",IF($F1009="Compareceu",MAX(0,$M1009-N($H1009)),0))</f>
        <v>0</v>
      </c>
      <c r="Q1009" s="19">
        <f>IF(AND($F1009="Compareceu",$E1009&lt;&gt;"",$A1009&lt;&gt;""),IF(IFERROR(INDEX(ProcRet,MATCH($E1009,ProcNome,0)),0)&gt;0,$A1009+INDEX(ProcRet,MATCH($E1009,ProcNome,0)),""),"")</f>
        <v>0</v>
      </c>
      <c r="R1009" s="26">
        <f>IF($Q1009="","",IF(COUNTIFS(AgPac,$D1009,AgData,"&gt;"&amp;$A1009,AgStatus,"&lt;&gt;Cancelado",AgStatus,"&lt;&gt;Remarcado")&gt;0,"Sim","Não"))</f>
        <v>0</v>
      </c>
      <c r="S1009" s="28">
        <f>IF($A1009="","",IF(AND($F1009="Agendado",$A1009-Hoje&gt;=0,$A1009-Hoje&lt;=DiasConf),"CONFIRMAR",IF(AND($A1009&lt;Hoje,OR($F1009="Agendado",$F1009="Confirmado")),"Atualizar status",IF(AND($F1009="Compareceu",$P1009&gt;0.005),"Cobrar",IF($F1009="Faltou","Falta: reagendar","")))))</f>
        <v>0</v>
      </c>
      <c r="T1009" s="29">
        <f>IF($A1009="","",DATE(YEAR($A1009),MONTH($A1009),1))</f>
        <v>0</v>
      </c>
      <c r="U1009" s="30">
        <f>IF($S1009="CONFIRMAR",MAX($U$4:$U1008)+1,"")</f>
        <v>0</v>
      </c>
      <c r="V1009" s="30">
        <f>IF(AND($R1009="Não",$Q1009&lt;&gt;"",$Q1009&lt;=Hoje+JanelaRet,$Q1009&gt;=Hoje-60),MAX($V$4:$V1008)+1,"")</f>
        <v>0</v>
      </c>
    </row>
    <row r="1010" spans="1:22">
      <c r="A1010" s="16"/>
      <c r="B1010" s="23"/>
      <c r="C1010" s="15"/>
      <c r="D1010" s="15"/>
      <c r="E1010" s="15"/>
      <c r="F1010" s="24"/>
      <c r="G1010" s="17"/>
      <c r="H1010" s="17"/>
      <c r="I1010" s="15"/>
      <c r="J1010" s="25">
        <f>IF($D1010="","",IFERROR(INDEX(PacNome,MATCH($D1010,PacCod,0)),"Paciente não cadastrado"))</f>
        <v>0</v>
      </c>
      <c r="K1010" s="26">
        <f>IF($D1010="","",IFERROR(INDEX(PacConv,MATCH($D1010,PacCod,0))&amp;"",""))</f>
        <v>0</v>
      </c>
      <c r="L1010" s="26">
        <f>IF($A1010="","",CHOOSE(WEEKDAY($A1010,2),"Seg","Ter","Qua","Qui","Sex","Sáb","Dom"))</f>
        <v>0</v>
      </c>
      <c r="M1010" s="27">
        <f>IF($E1010="","",IF($G1010&lt;&gt;"",$G1010,IFERROR(INDEX(ProcValor,MATCH($E1010,ProcNome,0)),0)))</f>
        <v>0</v>
      </c>
      <c r="N1010" s="27">
        <f>IF($M1010="","",IF($F1010="Compareceu",$M1010,0))</f>
        <v>0</v>
      </c>
      <c r="O1010" s="27">
        <f>IF($M1010="","",IF($F1010="Faltou",$M1010,0))</f>
        <v>0</v>
      </c>
      <c r="P1010" s="27">
        <f>IF($M1010="","",IF($F1010="Compareceu",MAX(0,$M1010-N($H1010)),0))</f>
        <v>0</v>
      </c>
      <c r="Q1010" s="19">
        <f>IF(AND($F1010="Compareceu",$E1010&lt;&gt;"",$A1010&lt;&gt;""),IF(IFERROR(INDEX(ProcRet,MATCH($E1010,ProcNome,0)),0)&gt;0,$A1010+INDEX(ProcRet,MATCH($E1010,ProcNome,0)),""),"")</f>
        <v>0</v>
      </c>
      <c r="R1010" s="26">
        <f>IF($Q1010="","",IF(COUNTIFS(AgPac,$D1010,AgData,"&gt;"&amp;$A1010,AgStatus,"&lt;&gt;Cancelado",AgStatus,"&lt;&gt;Remarcado")&gt;0,"Sim","Não"))</f>
        <v>0</v>
      </c>
      <c r="S1010" s="28">
        <f>IF($A1010="","",IF(AND($F1010="Agendado",$A1010-Hoje&gt;=0,$A1010-Hoje&lt;=DiasConf),"CONFIRMAR",IF(AND($A1010&lt;Hoje,OR($F1010="Agendado",$F1010="Confirmado")),"Atualizar status",IF(AND($F1010="Compareceu",$P1010&gt;0.005),"Cobrar",IF($F1010="Faltou","Falta: reagendar","")))))</f>
        <v>0</v>
      </c>
      <c r="T1010" s="29">
        <f>IF($A1010="","",DATE(YEAR($A1010),MONTH($A1010),1))</f>
        <v>0</v>
      </c>
      <c r="U1010" s="30">
        <f>IF($S1010="CONFIRMAR",MAX($U$4:$U1009)+1,"")</f>
        <v>0</v>
      </c>
      <c r="V1010" s="30">
        <f>IF(AND($R1010="Não",$Q1010&lt;&gt;"",$Q1010&lt;=Hoje+JanelaRet,$Q1010&gt;=Hoje-60),MAX($V$4:$V1009)+1,"")</f>
        <v>0</v>
      </c>
    </row>
    <row r="1011" spans="1:22">
      <c r="A1011" s="16"/>
      <c r="B1011" s="23"/>
      <c r="C1011" s="15"/>
      <c r="D1011" s="15"/>
      <c r="E1011" s="15"/>
      <c r="F1011" s="24"/>
      <c r="G1011" s="17"/>
      <c r="H1011" s="17"/>
      <c r="I1011" s="15"/>
      <c r="J1011" s="25">
        <f>IF($D1011="","",IFERROR(INDEX(PacNome,MATCH($D1011,PacCod,0)),"Paciente não cadastrado"))</f>
        <v>0</v>
      </c>
      <c r="K1011" s="26">
        <f>IF($D1011="","",IFERROR(INDEX(PacConv,MATCH($D1011,PacCod,0))&amp;"",""))</f>
        <v>0</v>
      </c>
      <c r="L1011" s="26">
        <f>IF($A1011="","",CHOOSE(WEEKDAY($A1011,2),"Seg","Ter","Qua","Qui","Sex","Sáb","Dom"))</f>
        <v>0</v>
      </c>
      <c r="M1011" s="27">
        <f>IF($E1011="","",IF($G1011&lt;&gt;"",$G1011,IFERROR(INDEX(ProcValor,MATCH($E1011,ProcNome,0)),0)))</f>
        <v>0</v>
      </c>
      <c r="N1011" s="27">
        <f>IF($M1011="","",IF($F1011="Compareceu",$M1011,0))</f>
        <v>0</v>
      </c>
      <c r="O1011" s="27">
        <f>IF($M1011="","",IF($F1011="Faltou",$M1011,0))</f>
        <v>0</v>
      </c>
      <c r="P1011" s="27">
        <f>IF($M1011="","",IF($F1011="Compareceu",MAX(0,$M1011-N($H1011)),0))</f>
        <v>0</v>
      </c>
      <c r="Q1011" s="19">
        <f>IF(AND($F1011="Compareceu",$E1011&lt;&gt;"",$A1011&lt;&gt;""),IF(IFERROR(INDEX(ProcRet,MATCH($E1011,ProcNome,0)),0)&gt;0,$A1011+INDEX(ProcRet,MATCH($E1011,ProcNome,0)),""),"")</f>
        <v>0</v>
      </c>
      <c r="R1011" s="26">
        <f>IF($Q1011="","",IF(COUNTIFS(AgPac,$D1011,AgData,"&gt;"&amp;$A1011,AgStatus,"&lt;&gt;Cancelado",AgStatus,"&lt;&gt;Remarcado")&gt;0,"Sim","Não"))</f>
        <v>0</v>
      </c>
      <c r="S1011" s="28">
        <f>IF($A1011="","",IF(AND($F1011="Agendado",$A1011-Hoje&gt;=0,$A1011-Hoje&lt;=DiasConf),"CONFIRMAR",IF(AND($A1011&lt;Hoje,OR($F1011="Agendado",$F1011="Confirmado")),"Atualizar status",IF(AND($F1011="Compareceu",$P1011&gt;0.005),"Cobrar",IF($F1011="Faltou","Falta: reagendar","")))))</f>
        <v>0</v>
      </c>
      <c r="T1011" s="29">
        <f>IF($A1011="","",DATE(YEAR($A1011),MONTH($A1011),1))</f>
        <v>0</v>
      </c>
      <c r="U1011" s="30">
        <f>IF($S1011="CONFIRMAR",MAX($U$4:$U1010)+1,"")</f>
        <v>0</v>
      </c>
      <c r="V1011" s="30">
        <f>IF(AND($R1011="Não",$Q1011&lt;&gt;"",$Q1011&lt;=Hoje+JanelaRet,$Q1011&gt;=Hoje-60),MAX($V$4:$V1010)+1,"")</f>
        <v>0</v>
      </c>
    </row>
    <row r="1012" spans="1:22">
      <c r="A1012" s="16"/>
      <c r="B1012" s="23"/>
      <c r="C1012" s="15"/>
      <c r="D1012" s="15"/>
      <c r="E1012" s="15"/>
      <c r="F1012" s="24"/>
      <c r="G1012" s="17"/>
      <c r="H1012" s="17"/>
      <c r="I1012" s="15"/>
      <c r="J1012" s="25">
        <f>IF($D1012="","",IFERROR(INDEX(PacNome,MATCH($D1012,PacCod,0)),"Paciente não cadastrado"))</f>
        <v>0</v>
      </c>
      <c r="K1012" s="26">
        <f>IF($D1012="","",IFERROR(INDEX(PacConv,MATCH($D1012,PacCod,0))&amp;"",""))</f>
        <v>0</v>
      </c>
      <c r="L1012" s="26">
        <f>IF($A1012="","",CHOOSE(WEEKDAY($A1012,2),"Seg","Ter","Qua","Qui","Sex","Sáb","Dom"))</f>
        <v>0</v>
      </c>
      <c r="M1012" s="27">
        <f>IF($E1012="","",IF($G1012&lt;&gt;"",$G1012,IFERROR(INDEX(ProcValor,MATCH($E1012,ProcNome,0)),0)))</f>
        <v>0</v>
      </c>
      <c r="N1012" s="27">
        <f>IF($M1012="","",IF($F1012="Compareceu",$M1012,0))</f>
        <v>0</v>
      </c>
      <c r="O1012" s="27">
        <f>IF($M1012="","",IF($F1012="Faltou",$M1012,0))</f>
        <v>0</v>
      </c>
      <c r="P1012" s="27">
        <f>IF($M1012="","",IF($F1012="Compareceu",MAX(0,$M1012-N($H1012)),0))</f>
        <v>0</v>
      </c>
      <c r="Q1012" s="19">
        <f>IF(AND($F1012="Compareceu",$E1012&lt;&gt;"",$A1012&lt;&gt;""),IF(IFERROR(INDEX(ProcRet,MATCH($E1012,ProcNome,0)),0)&gt;0,$A1012+INDEX(ProcRet,MATCH($E1012,ProcNome,0)),""),"")</f>
        <v>0</v>
      </c>
      <c r="R1012" s="26">
        <f>IF($Q1012="","",IF(COUNTIFS(AgPac,$D1012,AgData,"&gt;"&amp;$A1012,AgStatus,"&lt;&gt;Cancelado",AgStatus,"&lt;&gt;Remarcado")&gt;0,"Sim","Não"))</f>
        <v>0</v>
      </c>
      <c r="S1012" s="28">
        <f>IF($A1012="","",IF(AND($F1012="Agendado",$A1012-Hoje&gt;=0,$A1012-Hoje&lt;=DiasConf),"CONFIRMAR",IF(AND($A1012&lt;Hoje,OR($F1012="Agendado",$F1012="Confirmado")),"Atualizar status",IF(AND($F1012="Compareceu",$P1012&gt;0.005),"Cobrar",IF($F1012="Faltou","Falta: reagendar","")))))</f>
        <v>0</v>
      </c>
      <c r="T1012" s="29">
        <f>IF($A1012="","",DATE(YEAR($A1012),MONTH($A1012),1))</f>
        <v>0</v>
      </c>
      <c r="U1012" s="30">
        <f>IF($S1012="CONFIRMAR",MAX($U$4:$U1011)+1,"")</f>
        <v>0</v>
      </c>
      <c r="V1012" s="30">
        <f>IF(AND($R1012="Não",$Q1012&lt;&gt;"",$Q1012&lt;=Hoje+JanelaRet,$Q1012&gt;=Hoje-60),MAX($V$4:$V1011)+1,"")</f>
        <v>0</v>
      </c>
    </row>
    <row r="1013" spans="1:22">
      <c r="A1013" s="16"/>
      <c r="B1013" s="23"/>
      <c r="C1013" s="15"/>
      <c r="D1013" s="15"/>
      <c r="E1013" s="15"/>
      <c r="F1013" s="24"/>
      <c r="G1013" s="17"/>
      <c r="H1013" s="17"/>
      <c r="I1013" s="15"/>
      <c r="J1013" s="25">
        <f>IF($D1013="","",IFERROR(INDEX(PacNome,MATCH($D1013,PacCod,0)),"Paciente não cadastrado"))</f>
        <v>0</v>
      </c>
      <c r="K1013" s="26">
        <f>IF($D1013="","",IFERROR(INDEX(PacConv,MATCH($D1013,PacCod,0))&amp;"",""))</f>
        <v>0</v>
      </c>
      <c r="L1013" s="26">
        <f>IF($A1013="","",CHOOSE(WEEKDAY($A1013,2),"Seg","Ter","Qua","Qui","Sex","Sáb","Dom"))</f>
        <v>0</v>
      </c>
      <c r="M1013" s="27">
        <f>IF($E1013="","",IF($G1013&lt;&gt;"",$G1013,IFERROR(INDEX(ProcValor,MATCH($E1013,ProcNome,0)),0)))</f>
        <v>0</v>
      </c>
      <c r="N1013" s="27">
        <f>IF($M1013="","",IF($F1013="Compareceu",$M1013,0))</f>
        <v>0</v>
      </c>
      <c r="O1013" s="27">
        <f>IF($M1013="","",IF($F1013="Faltou",$M1013,0))</f>
        <v>0</v>
      </c>
      <c r="P1013" s="27">
        <f>IF($M1013="","",IF($F1013="Compareceu",MAX(0,$M1013-N($H1013)),0))</f>
        <v>0</v>
      </c>
      <c r="Q1013" s="19">
        <f>IF(AND($F1013="Compareceu",$E1013&lt;&gt;"",$A1013&lt;&gt;""),IF(IFERROR(INDEX(ProcRet,MATCH($E1013,ProcNome,0)),0)&gt;0,$A1013+INDEX(ProcRet,MATCH($E1013,ProcNome,0)),""),"")</f>
        <v>0</v>
      </c>
      <c r="R1013" s="26">
        <f>IF($Q1013="","",IF(COUNTIFS(AgPac,$D1013,AgData,"&gt;"&amp;$A1013,AgStatus,"&lt;&gt;Cancelado",AgStatus,"&lt;&gt;Remarcado")&gt;0,"Sim","Não"))</f>
        <v>0</v>
      </c>
      <c r="S1013" s="28">
        <f>IF($A1013="","",IF(AND($F1013="Agendado",$A1013-Hoje&gt;=0,$A1013-Hoje&lt;=DiasConf),"CONFIRMAR",IF(AND($A1013&lt;Hoje,OR($F1013="Agendado",$F1013="Confirmado")),"Atualizar status",IF(AND($F1013="Compareceu",$P1013&gt;0.005),"Cobrar",IF($F1013="Faltou","Falta: reagendar","")))))</f>
        <v>0</v>
      </c>
      <c r="T1013" s="29">
        <f>IF($A1013="","",DATE(YEAR($A1013),MONTH($A1013),1))</f>
        <v>0</v>
      </c>
      <c r="U1013" s="30">
        <f>IF($S1013="CONFIRMAR",MAX($U$4:$U1012)+1,"")</f>
        <v>0</v>
      </c>
      <c r="V1013" s="30">
        <f>IF(AND($R1013="Não",$Q1013&lt;&gt;"",$Q1013&lt;=Hoje+JanelaRet,$Q1013&gt;=Hoje-60),MAX($V$4:$V1012)+1,"")</f>
        <v>0</v>
      </c>
    </row>
    <row r="1014" spans="1:22">
      <c r="A1014" s="16"/>
      <c r="B1014" s="23"/>
      <c r="C1014" s="15"/>
      <c r="D1014" s="15"/>
      <c r="E1014" s="15"/>
      <c r="F1014" s="24"/>
      <c r="G1014" s="17"/>
      <c r="H1014" s="17"/>
      <c r="I1014" s="15"/>
      <c r="J1014" s="25">
        <f>IF($D1014="","",IFERROR(INDEX(PacNome,MATCH($D1014,PacCod,0)),"Paciente não cadastrado"))</f>
        <v>0</v>
      </c>
      <c r="K1014" s="26">
        <f>IF($D1014="","",IFERROR(INDEX(PacConv,MATCH($D1014,PacCod,0))&amp;"",""))</f>
        <v>0</v>
      </c>
      <c r="L1014" s="26">
        <f>IF($A1014="","",CHOOSE(WEEKDAY($A1014,2),"Seg","Ter","Qua","Qui","Sex","Sáb","Dom"))</f>
        <v>0</v>
      </c>
      <c r="M1014" s="27">
        <f>IF($E1014="","",IF($G1014&lt;&gt;"",$G1014,IFERROR(INDEX(ProcValor,MATCH($E1014,ProcNome,0)),0)))</f>
        <v>0</v>
      </c>
      <c r="N1014" s="27">
        <f>IF($M1014="","",IF($F1014="Compareceu",$M1014,0))</f>
        <v>0</v>
      </c>
      <c r="O1014" s="27">
        <f>IF($M1014="","",IF($F1014="Faltou",$M1014,0))</f>
        <v>0</v>
      </c>
      <c r="P1014" s="27">
        <f>IF($M1014="","",IF($F1014="Compareceu",MAX(0,$M1014-N($H1014)),0))</f>
        <v>0</v>
      </c>
      <c r="Q1014" s="19">
        <f>IF(AND($F1014="Compareceu",$E1014&lt;&gt;"",$A1014&lt;&gt;""),IF(IFERROR(INDEX(ProcRet,MATCH($E1014,ProcNome,0)),0)&gt;0,$A1014+INDEX(ProcRet,MATCH($E1014,ProcNome,0)),""),"")</f>
        <v>0</v>
      </c>
      <c r="R1014" s="26">
        <f>IF($Q1014="","",IF(COUNTIFS(AgPac,$D1014,AgData,"&gt;"&amp;$A1014,AgStatus,"&lt;&gt;Cancelado",AgStatus,"&lt;&gt;Remarcado")&gt;0,"Sim","Não"))</f>
        <v>0</v>
      </c>
      <c r="S1014" s="28">
        <f>IF($A1014="","",IF(AND($F1014="Agendado",$A1014-Hoje&gt;=0,$A1014-Hoje&lt;=DiasConf),"CONFIRMAR",IF(AND($A1014&lt;Hoje,OR($F1014="Agendado",$F1014="Confirmado")),"Atualizar status",IF(AND($F1014="Compareceu",$P1014&gt;0.005),"Cobrar",IF($F1014="Faltou","Falta: reagendar","")))))</f>
        <v>0</v>
      </c>
      <c r="T1014" s="29">
        <f>IF($A1014="","",DATE(YEAR($A1014),MONTH($A1014),1))</f>
        <v>0</v>
      </c>
      <c r="U1014" s="30">
        <f>IF($S1014="CONFIRMAR",MAX($U$4:$U1013)+1,"")</f>
        <v>0</v>
      </c>
      <c r="V1014" s="30">
        <f>IF(AND($R1014="Não",$Q1014&lt;&gt;"",$Q1014&lt;=Hoje+JanelaRet,$Q1014&gt;=Hoje-60),MAX($V$4:$V1013)+1,"")</f>
        <v>0</v>
      </c>
    </row>
    <row r="1015" spans="1:22">
      <c r="A1015" s="16"/>
      <c r="B1015" s="23"/>
      <c r="C1015" s="15"/>
      <c r="D1015" s="15"/>
      <c r="E1015" s="15"/>
      <c r="F1015" s="24"/>
      <c r="G1015" s="17"/>
      <c r="H1015" s="17"/>
      <c r="I1015" s="15"/>
      <c r="J1015" s="25">
        <f>IF($D1015="","",IFERROR(INDEX(PacNome,MATCH($D1015,PacCod,0)),"Paciente não cadastrado"))</f>
        <v>0</v>
      </c>
      <c r="K1015" s="26">
        <f>IF($D1015="","",IFERROR(INDEX(PacConv,MATCH($D1015,PacCod,0))&amp;"",""))</f>
        <v>0</v>
      </c>
      <c r="L1015" s="26">
        <f>IF($A1015="","",CHOOSE(WEEKDAY($A1015,2),"Seg","Ter","Qua","Qui","Sex","Sáb","Dom"))</f>
        <v>0</v>
      </c>
      <c r="M1015" s="27">
        <f>IF($E1015="","",IF($G1015&lt;&gt;"",$G1015,IFERROR(INDEX(ProcValor,MATCH($E1015,ProcNome,0)),0)))</f>
        <v>0</v>
      </c>
      <c r="N1015" s="27">
        <f>IF($M1015="","",IF($F1015="Compareceu",$M1015,0))</f>
        <v>0</v>
      </c>
      <c r="O1015" s="27">
        <f>IF($M1015="","",IF($F1015="Faltou",$M1015,0))</f>
        <v>0</v>
      </c>
      <c r="P1015" s="27">
        <f>IF($M1015="","",IF($F1015="Compareceu",MAX(0,$M1015-N($H1015)),0))</f>
        <v>0</v>
      </c>
      <c r="Q1015" s="19">
        <f>IF(AND($F1015="Compareceu",$E1015&lt;&gt;"",$A1015&lt;&gt;""),IF(IFERROR(INDEX(ProcRet,MATCH($E1015,ProcNome,0)),0)&gt;0,$A1015+INDEX(ProcRet,MATCH($E1015,ProcNome,0)),""),"")</f>
        <v>0</v>
      </c>
      <c r="R1015" s="26">
        <f>IF($Q1015="","",IF(COUNTIFS(AgPac,$D1015,AgData,"&gt;"&amp;$A1015,AgStatus,"&lt;&gt;Cancelado",AgStatus,"&lt;&gt;Remarcado")&gt;0,"Sim","Não"))</f>
        <v>0</v>
      </c>
      <c r="S1015" s="28">
        <f>IF($A1015="","",IF(AND($F1015="Agendado",$A1015-Hoje&gt;=0,$A1015-Hoje&lt;=DiasConf),"CONFIRMAR",IF(AND($A1015&lt;Hoje,OR($F1015="Agendado",$F1015="Confirmado")),"Atualizar status",IF(AND($F1015="Compareceu",$P1015&gt;0.005),"Cobrar",IF($F1015="Faltou","Falta: reagendar","")))))</f>
        <v>0</v>
      </c>
      <c r="T1015" s="29">
        <f>IF($A1015="","",DATE(YEAR($A1015),MONTH($A1015),1))</f>
        <v>0</v>
      </c>
      <c r="U1015" s="30">
        <f>IF($S1015="CONFIRMAR",MAX($U$4:$U1014)+1,"")</f>
        <v>0</v>
      </c>
      <c r="V1015" s="30">
        <f>IF(AND($R1015="Não",$Q1015&lt;&gt;"",$Q1015&lt;=Hoje+JanelaRet,$Q1015&gt;=Hoje-60),MAX($V$4:$V1014)+1,"")</f>
        <v>0</v>
      </c>
    </row>
    <row r="1016" spans="1:22">
      <c r="A1016" s="16"/>
      <c r="B1016" s="23"/>
      <c r="C1016" s="15"/>
      <c r="D1016" s="15"/>
      <c r="E1016" s="15"/>
      <c r="F1016" s="24"/>
      <c r="G1016" s="17"/>
      <c r="H1016" s="17"/>
      <c r="I1016" s="15"/>
      <c r="J1016" s="25">
        <f>IF($D1016="","",IFERROR(INDEX(PacNome,MATCH($D1016,PacCod,0)),"Paciente não cadastrado"))</f>
        <v>0</v>
      </c>
      <c r="K1016" s="26">
        <f>IF($D1016="","",IFERROR(INDEX(PacConv,MATCH($D1016,PacCod,0))&amp;"",""))</f>
        <v>0</v>
      </c>
      <c r="L1016" s="26">
        <f>IF($A1016="","",CHOOSE(WEEKDAY($A1016,2),"Seg","Ter","Qua","Qui","Sex","Sáb","Dom"))</f>
        <v>0</v>
      </c>
      <c r="M1016" s="27">
        <f>IF($E1016="","",IF($G1016&lt;&gt;"",$G1016,IFERROR(INDEX(ProcValor,MATCH($E1016,ProcNome,0)),0)))</f>
        <v>0</v>
      </c>
      <c r="N1016" s="27">
        <f>IF($M1016="","",IF($F1016="Compareceu",$M1016,0))</f>
        <v>0</v>
      </c>
      <c r="O1016" s="27">
        <f>IF($M1016="","",IF($F1016="Faltou",$M1016,0))</f>
        <v>0</v>
      </c>
      <c r="P1016" s="27">
        <f>IF($M1016="","",IF($F1016="Compareceu",MAX(0,$M1016-N($H1016)),0))</f>
        <v>0</v>
      </c>
      <c r="Q1016" s="19">
        <f>IF(AND($F1016="Compareceu",$E1016&lt;&gt;"",$A1016&lt;&gt;""),IF(IFERROR(INDEX(ProcRet,MATCH($E1016,ProcNome,0)),0)&gt;0,$A1016+INDEX(ProcRet,MATCH($E1016,ProcNome,0)),""),"")</f>
        <v>0</v>
      </c>
      <c r="R1016" s="26">
        <f>IF($Q1016="","",IF(COUNTIFS(AgPac,$D1016,AgData,"&gt;"&amp;$A1016,AgStatus,"&lt;&gt;Cancelado",AgStatus,"&lt;&gt;Remarcado")&gt;0,"Sim","Não"))</f>
        <v>0</v>
      </c>
      <c r="S1016" s="28">
        <f>IF($A1016="","",IF(AND($F1016="Agendado",$A1016-Hoje&gt;=0,$A1016-Hoje&lt;=DiasConf),"CONFIRMAR",IF(AND($A1016&lt;Hoje,OR($F1016="Agendado",$F1016="Confirmado")),"Atualizar status",IF(AND($F1016="Compareceu",$P1016&gt;0.005),"Cobrar",IF($F1016="Faltou","Falta: reagendar","")))))</f>
        <v>0</v>
      </c>
      <c r="T1016" s="29">
        <f>IF($A1016="","",DATE(YEAR($A1016),MONTH($A1016),1))</f>
        <v>0</v>
      </c>
      <c r="U1016" s="30">
        <f>IF($S1016="CONFIRMAR",MAX($U$4:$U1015)+1,"")</f>
        <v>0</v>
      </c>
      <c r="V1016" s="30">
        <f>IF(AND($R1016="Não",$Q1016&lt;&gt;"",$Q1016&lt;=Hoje+JanelaRet,$Q1016&gt;=Hoje-60),MAX($V$4:$V1015)+1,"")</f>
        <v>0</v>
      </c>
    </row>
    <row r="1017" spans="1:22">
      <c r="A1017" s="16"/>
      <c r="B1017" s="23"/>
      <c r="C1017" s="15"/>
      <c r="D1017" s="15"/>
      <c r="E1017" s="15"/>
      <c r="F1017" s="24"/>
      <c r="G1017" s="17"/>
      <c r="H1017" s="17"/>
      <c r="I1017" s="15"/>
      <c r="J1017" s="25">
        <f>IF($D1017="","",IFERROR(INDEX(PacNome,MATCH($D1017,PacCod,0)),"Paciente não cadastrado"))</f>
        <v>0</v>
      </c>
      <c r="K1017" s="26">
        <f>IF($D1017="","",IFERROR(INDEX(PacConv,MATCH($D1017,PacCod,0))&amp;"",""))</f>
        <v>0</v>
      </c>
      <c r="L1017" s="26">
        <f>IF($A1017="","",CHOOSE(WEEKDAY($A1017,2),"Seg","Ter","Qua","Qui","Sex","Sáb","Dom"))</f>
        <v>0</v>
      </c>
      <c r="M1017" s="27">
        <f>IF($E1017="","",IF($G1017&lt;&gt;"",$G1017,IFERROR(INDEX(ProcValor,MATCH($E1017,ProcNome,0)),0)))</f>
        <v>0</v>
      </c>
      <c r="N1017" s="27">
        <f>IF($M1017="","",IF($F1017="Compareceu",$M1017,0))</f>
        <v>0</v>
      </c>
      <c r="O1017" s="27">
        <f>IF($M1017="","",IF($F1017="Faltou",$M1017,0))</f>
        <v>0</v>
      </c>
      <c r="P1017" s="27">
        <f>IF($M1017="","",IF($F1017="Compareceu",MAX(0,$M1017-N($H1017)),0))</f>
        <v>0</v>
      </c>
      <c r="Q1017" s="19">
        <f>IF(AND($F1017="Compareceu",$E1017&lt;&gt;"",$A1017&lt;&gt;""),IF(IFERROR(INDEX(ProcRet,MATCH($E1017,ProcNome,0)),0)&gt;0,$A1017+INDEX(ProcRet,MATCH($E1017,ProcNome,0)),""),"")</f>
        <v>0</v>
      </c>
      <c r="R1017" s="26">
        <f>IF($Q1017="","",IF(COUNTIFS(AgPac,$D1017,AgData,"&gt;"&amp;$A1017,AgStatus,"&lt;&gt;Cancelado",AgStatus,"&lt;&gt;Remarcado")&gt;0,"Sim","Não"))</f>
        <v>0</v>
      </c>
      <c r="S1017" s="28">
        <f>IF($A1017="","",IF(AND($F1017="Agendado",$A1017-Hoje&gt;=0,$A1017-Hoje&lt;=DiasConf),"CONFIRMAR",IF(AND($A1017&lt;Hoje,OR($F1017="Agendado",$F1017="Confirmado")),"Atualizar status",IF(AND($F1017="Compareceu",$P1017&gt;0.005),"Cobrar",IF($F1017="Faltou","Falta: reagendar","")))))</f>
        <v>0</v>
      </c>
      <c r="T1017" s="29">
        <f>IF($A1017="","",DATE(YEAR($A1017),MONTH($A1017),1))</f>
        <v>0</v>
      </c>
      <c r="U1017" s="30">
        <f>IF($S1017="CONFIRMAR",MAX($U$4:$U1016)+1,"")</f>
        <v>0</v>
      </c>
      <c r="V1017" s="30">
        <f>IF(AND($R1017="Não",$Q1017&lt;&gt;"",$Q1017&lt;=Hoje+JanelaRet,$Q1017&gt;=Hoje-60),MAX($V$4:$V1016)+1,"")</f>
        <v>0</v>
      </c>
    </row>
    <row r="1018" spans="1:22">
      <c r="A1018" s="16"/>
      <c r="B1018" s="23"/>
      <c r="C1018" s="15"/>
      <c r="D1018" s="15"/>
      <c r="E1018" s="15"/>
      <c r="F1018" s="24"/>
      <c r="G1018" s="17"/>
      <c r="H1018" s="17"/>
      <c r="I1018" s="15"/>
      <c r="J1018" s="25">
        <f>IF($D1018="","",IFERROR(INDEX(PacNome,MATCH($D1018,PacCod,0)),"Paciente não cadastrado"))</f>
        <v>0</v>
      </c>
      <c r="K1018" s="26">
        <f>IF($D1018="","",IFERROR(INDEX(PacConv,MATCH($D1018,PacCod,0))&amp;"",""))</f>
        <v>0</v>
      </c>
      <c r="L1018" s="26">
        <f>IF($A1018="","",CHOOSE(WEEKDAY($A1018,2),"Seg","Ter","Qua","Qui","Sex","Sáb","Dom"))</f>
        <v>0</v>
      </c>
      <c r="M1018" s="27">
        <f>IF($E1018="","",IF($G1018&lt;&gt;"",$G1018,IFERROR(INDEX(ProcValor,MATCH($E1018,ProcNome,0)),0)))</f>
        <v>0</v>
      </c>
      <c r="N1018" s="27">
        <f>IF($M1018="","",IF($F1018="Compareceu",$M1018,0))</f>
        <v>0</v>
      </c>
      <c r="O1018" s="27">
        <f>IF($M1018="","",IF($F1018="Faltou",$M1018,0))</f>
        <v>0</v>
      </c>
      <c r="P1018" s="27">
        <f>IF($M1018="","",IF($F1018="Compareceu",MAX(0,$M1018-N($H1018)),0))</f>
        <v>0</v>
      </c>
      <c r="Q1018" s="19">
        <f>IF(AND($F1018="Compareceu",$E1018&lt;&gt;"",$A1018&lt;&gt;""),IF(IFERROR(INDEX(ProcRet,MATCH($E1018,ProcNome,0)),0)&gt;0,$A1018+INDEX(ProcRet,MATCH($E1018,ProcNome,0)),""),"")</f>
        <v>0</v>
      </c>
      <c r="R1018" s="26">
        <f>IF($Q1018="","",IF(COUNTIFS(AgPac,$D1018,AgData,"&gt;"&amp;$A1018,AgStatus,"&lt;&gt;Cancelado",AgStatus,"&lt;&gt;Remarcado")&gt;0,"Sim","Não"))</f>
        <v>0</v>
      </c>
      <c r="S1018" s="28">
        <f>IF($A1018="","",IF(AND($F1018="Agendado",$A1018-Hoje&gt;=0,$A1018-Hoje&lt;=DiasConf),"CONFIRMAR",IF(AND($A1018&lt;Hoje,OR($F1018="Agendado",$F1018="Confirmado")),"Atualizar status",IF(AND($F1018="Compareceu",$P1018&gt;0.005),"Cobrar",IF($F1018="Faltou","Falta: reagendar","")))))</f>
        <v>0</v>
      </c>
      <c r="T1018" s="29">
        <f>IF($A1018="","",DATE(YEAR($A1018),MONTH($A1018),1))</f>
        <v>0</v>
      </c>
      <c r="U1018" s="30">
        <f>IF($S1018="CONFIRMAR",MAX($U$4:$U1017)+1,"")</f>
        <v>0</v>
      </c>
      <c r="V1018" s="30">
        <f>IF(AND($R1018="Não",$Q1018&lt;&gt;"",$Q1018&lt;=Hoje+JanelaRet,$Q1018&gt;=Hoje-60),MAX($V$4:$V1017)+1,"")</f>
        <v>0</v>
      </c>
    </row>
    <row r="1019" spans="1:22">
      <c r="A1019" s="16"/>
      <c r="B1019" s="23"/>
      <c r="C1019" s="15"/>
      <c r="D1019" s="15"/>
      <c r="E1019" s="15"/>
      <c r="F1019" s="24"/>
      <c r="G1019" s="17"/>
      <c r="H1019" s="17"/>
      <c r="I1019" s="15"/>
      <c r="J1019" s="25">
        <f>IF($D1019="","",IFERROR(INDEX(PacNome,MATCH($D1019,PacCod,0)),"Paciente não cadastrado"))</f>
        <v>0</v>
      </c>
      <c r="K1019" s="26">
        <f>IF($D1019="","",IFERROR(INDEX(PacConv,MATCH($D1019,PacCod,0))&amp;"",""))</f>
        <v>0</v>
      </c>
      <c r="L1019" s="26">
        <f>IF($A1019="","",CHOOSE(WEEKDAY($A1019,2),"Seg","Ter","Qua","Qui","Sex","Sáb","Dom"))</f>
        <v>0</v>
      </c>
      <c r="M1019" s="27">
        <f>IF($E1019="","",IF($G1019&lt;&gt;"",$G1019,IFERROR(INDEX(ProcValor,MATCH($E1019,ProcNome,0)),0)))</f>
        <v>0</v>
      </c>
      <c r="N1019" s="27">
        <f>IF($M1019="","",IF($F1019="Compareceu",$M1019,0))</f>
        <v>0</v>
      </c>
      <c r="O1019" s="27">
        <f>IF($M1019="","",IF($F1019="Faltou",$M1019,0))</f>
        <v>0</v>
      </c>
      <c r="P1019" s="27">
        <f>IF($M1019="","",IF($F1019="Compareceu",MAX(0,$M1019-N($H1019)),0))</f>
        <v>0</v>
      </c>
      <c r="Q1019" s="19">
        <f>IF(AND($F1019="Compareceu",$E1019&lt;&gt;"",$A1019&lt;&gt;""),IF(IFERROR(INDEX(ProcRet,MATCH($E1019,ProcNome,0)),0)&gt;0,$A1019+INDEX(ProcRet,MATCH($E1019,ProcNome,0)),""),"")</f>
        <v>0</v>
      </c>
      <c r="R1019" s="26">
        <f>IF($Q1019="","",IF(COUNTIFS(AgPac,$D1019,AgData,"&gt;"&amp;$A1019,AgStatus,"&lt;&gt;Cancelado",AgStatus,"&lt;&gt;Remarcado")&gt;0,"Sim","Não"))</f>
        <v>0</v>
      </c>
      <c r="S1019" s="28">
        <f>IF($A1019="","",IF(AND($F1019="Agendado",$A1019-Hoje&gt;=0,$A1019-Hoje&lt;=DiasConf),"CONFIRMAR",IF(AND($A1019&lt;Hoje,OR($F1019="Agendado",$F1019="Confirmado")),"Atualizar status",IF(AND($F1019="Compareceu",$P1019&gt;0.005),"Cobrar",IF($F1019="Faltou","Falta: reagendar","")))))</f>
        <v>0</v>
      </c>
      <c r="T1019" s="29">
        <f>IF($A1019="","",DATE(YEAR($A1019),MONTH($A1019),1))</f>
        <v>0</v>
      </c>
      <c r="U1019" s="30">
        <f>IF($S1019="CONFIRMAR",MAX($U$4:$U1018)+1,"")</f>
        <v>0</v>
      </c>
      <c r="V1019" s="30">
        <f>IF(AND($R1019="Não",$Q1019&lt;&gt;"",$Q1019&lt;=Hoje+JanelaRet,$Q1019&gt;=Hoje-60),MAX($V$4:$V1018)+1,"")</f>
        <v>0</v>
      </c>
    </row>
    <row r="1020" spans="1:22">
      <c r="A1020" s="16"/>
      <c r="B1020" s="23"/>
      <c r="C1020" s="15"/>
      <c r="D1020" s="15"/>
      <c r="E1020" s="15"/>
      <c r="F1020" s="24"/>
      <c r="G1020" s="17"/>
      <c r="H1020" s="17"/>
      <c r="I1020" s="15"/>
      <c r="J1020" s="25">
        <f>IF($D1020="","",IFERROR(INDEX(PacNome,MATCH($D1020,PacCod,0)),"Paciente não cadastrado"))</f>
        <v>0</v>
      </c>
      <c r="K1020" s="26">
        <f>IF($D1020="","",IFERROR(INDEX(PacConv,MATCH($D1020,PacCod,0))&amp;"",""))</f>
        <v>0</v>
      </c>
      <c r="L1020" s="26">
        <f>IF($A1020="","",CHOOSE(WEEKDAY($A1020,2),"Seg","Ter","Qua","Qui","Sex","Sáb","Dom"))</f>
        <v>0</v>
      </c>
      <c r="M1020" s="27">
        <f>IF($E1020="","",IF($G1020&lt;&gt;"",$G1020,IFERROR(INDEX(ProcValor,MATCH($E1020,ProcNome,0)),0)))</f>
        <v>0</v>
      </c>
      <c r="N1020" s="27">
        <f>IF($M1020="","",IF($F1020="Compareceu",$M1020,0))</f>
        <v>0</v>
      </c>
      <c r="O1020" s="27">
        <f>IF($M1020="","",IF($F1020="Faltou",$M1020,0))</f>
        <v>0</v>
      </c>
      <c r="P1020" s="27">
        <f>IF($M1020="","",IF($F1020="Compareceu",MAX(0,$M1020-N($H1020)),0))</f>
        <v>0</v>
      </c>
      <c r="Q1020" s="19">
        <f>IF(AND($F1020="Compareceu",$E1020&lt;&gt;"",$A1020&lt;&gt;""),IF(IFERROR(INDEX(ProcRet,MATCH($E1020,ProcNome,0)),0)&gt;0,$A1020+INDEX(ProcRet,MATCH($E1020,ProcNome,0)),""),"")</f>
        <v>0</v>
      </c>
      <c r="R1020" s="26">
        <f>IF($Q1020="","",IF(COUNTIFS(AgPac,$D1020,AgData,"&gt;"&amp;$A1020,AgStatus,"&lt;&gt;Cancelado",AgStatus,"&lt;&gt;Remarcado")&gt;0,"Sim","Não"))</f>
        <v>0</v>
      </c>
      <c r="S1020" s="28">
        <f>IF($A1020="","",IF(AND($F1020="Agendado",$A1020-Hoje&gt;=0,$A1020-Hoje&lt;=DiasConf),"CONFIRMAR",IF(AND($A1020&lt;Hoje,OR($F1020="Agendado",$F1020="Confirmado")),"Atualizar status",IF(AND($F1020="Compareceu",$P1020&gt;0.005),"Cobrar",IF($F1020="Faltou","Falta: reagendar","")))))</f>
        <v>0</v>
      </c>
      <c r="T1020" s="29">
        <f>IF($A1020="","",DATE(YEAR($A1020),MONTH($A1020),1))</f>
        <v>0</v>
      </c>
      <c r="U1020" s="30">
        <f>IF($S1020="CONFIRMAR",MAX($U$4:$U1019)+1,"")</f>
        <v>0</v>
      </c>
      <c r="V1020" s="30">
        <f>IF(AND($R1020="Não",$Q1020&lt;&gt;"",$Q1020&lt;=Hoje+JanelaRet,$Q1020&gt;=Hoje-60),MAX($V$4:$V1019)+1,"")</f>
        <v>0</v>
      </c>
    </row>
    <row r="1021" spans="1:22">
      <c r="A1021" s="16"/>
      <c r="B1021" s="23"/>
      <c r="C1021" s="15"/>
      <c r="D1021" s="15"/>
      <c r="E1021" s="15"/>
      <c r="F1021" s="24"/>
      <c r="G1021" s="17"/>
      <c r="H1021" s="17"/>
      <c r="I1021" s="15"/>
      <c r="J1021" s="25">
        <f>IF($D1021="","",IFERROR(INDEX(PacNome,MATCH($D1021,PacCod,0)),"Paciente não cadastrado"))</f>
        <v>0</v>
      </c>
      <c r="K1021" s="26">
        <f>IF($D1021="","",IFERROR(INDEX(PacConv,MATCH($D1021,PacCod,0))&amp;"",""))</f>
        <v>0</v>
      </c>
      <c r="L1021" s="26">
        <f>IF($A1021="","",CHOOSE(WEEKDAY($A1021,2),"Seg","Ter","Qua","Qui","Sex","Sáb","Dom"))</f>
        <v>0</v>
      </c>
      <c r="M1021" s="27">
        <f>IF($E1021="","",IF($G1021&lt;&gt;"",$G1021,IFERROR(INDEX(ProcValor,MATCH($E1021,ProcNome,0)),0)))</f>
        <v>0</v>
      </c>
      <c r="N1021" s="27">
        <f>IF($M1021="","",IF($F1021="Compareceu",$M1021,0))</f>
        <v>0</v>
      </c>
      <c r="O1021" s="27">
        <f>IF($M1021="","",IF($F1021="Faltou",$M1021,0))</f>
        <v>0</v>
      </c>
      <c r="P1021" s="27">
        <f>IF($M1021="","",IF($F1021="Compareceu",MAX(0,$M1021-N($H1021)),0))</f>
        <v>0</v>
      </c>
      <c r="Q1021" s="19">
        <f>IF(AND($F1021="Compareceu",$E1021&lt;&gt;"",$A1021&lt;&gt;""),IF(IFERROR(INDEX(ProcRet,MATCH($E1021,ProcNome,0)),0)&gt;0,$A1021+INDEX(ProcRet,MATCH($E1021,ProcNome,0)),""),"")</f>
        <v>0</v>
      </c>
      <c r="R1021" s="26">
        <f>IF($Q1021="","",IF(COUNTIFS(AgPac,$D1021,AgData,"&gt;"&amp;$A1021,AgStatus,"&lt;&gt;Cancelado",AgStatus,"&lt;&gt;Remarcado")&gt;0,"Sim","Não"))</f>
        <v>0</v>
      </c>
      <c r="S1021" s="28">
        <f>IF($A1021="","",IF(AND($F1021="Agendado",$A1021-Hoje&gt;=0,$A1021-Hoje&lt;=DiasConf),"CONFIRMAR",IF(AND($A1021&lt;Hoje,OR($F1021="Agendado",$F1021="Confirmado")),"Atualizar status",IF(AND($F1021="Compareceu",$P1021&gt;0.005),"Cobrar",IF($F1021="Faltou","Falta: reagendar","")))))</f>
        <v>0</v>
      </c>
      <c r="T1021" s="29">
        <f>IF($A1021="","",DATE(YEAR($A1021),MONTH($A1021),1))</f>
        <v>0</v>
      </c>
      <c r="U1021" s="30">
        <f>IF($S1021="CONFIRMAR",MAX($U$4:$U1020)+1,"")</f>
        <v>0</v>
      </c>
      <c r="V1021" s="30">
        <f>IF(AND($R1021="Não",$Q1021&lt;&gt;"",$Q1021&lt;=Hoje+JanelaRet,$Q1021&gt;=Hoje-60),MAX($V$4:$V1020)+1,"")</f>
        <v>0</v>
      </c>
    </row>
    <row r="1022" spans="1:22">
      <c r="A1022" s="16"/>
      <c r="B1022" s="23"/>
      <c r="C1022" s="15"/>
      <c r="D1022" s="15"/>
      <c r="E1022" s="15"/>
      <c r="F1022" s="24"/>
      <c r="G1022" s="17"/>
      <c r="H1022" s="17"/>
      <c r="I1022" s="15"/>
      <c r="J1022" s="25">
        <f>IF($D1022="","",IFERROR(INDEX(PacNome,MATCH($D1022,PacCod,0)),"Paciente não cadastrado"))</f>
        <v>0</v>
      </c>
      <c r="K1022" s="26">
        <f>IF($D1022="","",IFERROR(INDEX(PacConv,MATCH($D1022,PacCod,0))&amp;"",""))</f>
        <v>0</v>
      </c>
      <c r="L1022" s="26">
        <f>IF($A1022="","",CHOOSE(WEEKDAY($A1022,2),"Seg","Ter","Qua","Qui","Sex","Sáb","Dom"))</f>
        <v>0</v>
      </c>
      <c r="M1022" s="27">
        <f>IF($E1022="","",IF($G1022&lt;&gt;"",$G1022,IFERROR(INDEX(ProcValor,MATCH($E1022,ProcNome,0)),0)))</f>
        <v>0</v>
      </c>
      <c r="N1022" s="27">
        <f>IF($M1022="","",IF($F1022="Compareceu",$M1022,0))</f>
        <v>0</v>
      </c>
      <c r="O1022" s="27">
        <f>IF($M1022="","",IF($F1022="Faltou",$M1022,0))</f>
        <v>0</v>
      </c>
      <c r="P1022" s="27">
        <f>IF($M1022="","",IF($F1022="Compareceu",MAX(0,$M1022-N($H1022)),0))</f>
        <v>0</v>
      </c>
      <c r="Q1022" s="19">
        <f>IF(AND($F1022="Compareceu",$E1022&lt;&gt;"",$A1022&lt;&gt;""),IF(IFERROR(INDEX(ProcRet,MATCH($E1022,ProcNome,0)),0)&gt;0,$A1022+INDEX(ProcRet,MATCH($E1022,ProcNome,0)),""),"")</f>
        <v>0</v>
      </c>
      <c r="R1022" s="26">
        <f>IF($Q1022="","",IF(COUNTIFS(AgPac,$D1022,AgData,"&gt;"&amp;$A1022,AgStatus,"&lt;&gt;Cancelado",AgStatus,"&lt;&gt;Remarcado")&gt;0,"Sim","Não"))</f>
        <v>0</v>
      </c>
      <c r="S1022" s="28">
        <f>IF($A1022="","",IF(AND($F1022="Agendado",$A1022-Hoje&gt;=0,$A1022-Hoje&lt;=DiasConf),"CONFIRMAR",IF(AND($A1022&lt;Hoje,OR($F1022="Agendado",$F1022="Confirmado")),"Atualizar status",IF(AND($F1022="Compareceu",$P1022&gt;0.005),"Cobrar",IF($F1022="Faltou","Falta: reagendar","")))))</f>
        <v>0</v>
      </c>
      <c r="T1022" s="29">
        <f>IF($A1022="","",DATE(YEAR($A1022),MONTH($A1022),1))</f>
        <v>0</v>
      </c>
      <c r="U1022" s="30">
        <f>IF($S1022="CONFIRMAR",MAX($U$4:$U1021)+1,"")</f>
        <v>0</v>
      </c>
      <c r="V1022" s="30">
        <f>IF(AND($R1022="Não",$Q1022&lt;&gt;"",$Q1022&lt;=Hoje+JanelaRet,$Q1022&gt;=Hoje-60),MAX($V$4:$V1021)+1,"")</f>
        <v>0</v>
      </c>
    </row>
    <row r="1023" spans="1:22">
      <c r="A1023" s="16"/>
      <c r="B1023" s="23"/>
      <c r="C1023" s="15"/>
      <c r="D1023" s="15"/>
      <c r="E1023" s="15"/>
      <c r="F1023" s="24"/>
      <c r="G1023" s="17"/>
      <c r="H1023" s="17"/>
      <c r="I1023" s="15"/>
      <c r="J1023" s="25">
        <f>IF($D1023="","",IFERROR(INDEX(PacNome,MATCH($D1023,PacCod,0)),"Paciente não cadastrado"))</f>
        <v>0</v>
      </c>
      <c r="K1023" s="26">
        <f>IF($D1023="","",IFERROR(INDEX(PacConv,MATCH($D1023,PacCod,0))&amp;"",""))</f>
        <v>0</v>
      </c>
      <c r="L1023" s="26">
        <f>IF($A1023="","",CHOOSE(WEEKDAY($A1023,2),"Seg","Ter","Qua","Qui","Sex","Sáb","Dom"))</f>
        <v>0</v>
      </c>
      <c r="M1023" s="27">
        <f>IF($E1023="","",IF($G1023&lt;&gt;"",$G1023,IFERROR(INDEX(ProcValor,MATCH($E1023,ProcNome,0)),0)))</f>
        <v>0</v>
      </c>
      <c r="N1023" s="27">
        <f>IF($M1023="","",IF($F1023="Compareceu",$M1023,0))</f>
        <v>0</v>
      </c>
      <c r="O1023" s="27">
        <f>IF($M1023="","",IF($F1023="Faltou",$M1023,0))</f>
        <v>0</v>
      </c>
      <c r="P1023" s="27">
        <f>IF($M1023="","",IF($F1023="Compareceu",MAX(0,$M1023-N($H1023)),0))</f>
        <v>0</v>
      </c>
      <c r="Q1023" s="19">
        <f>IF(AND($F1023="Compareceu",$E1023&lt;&gt;"",$A1023&lt;&gt;""),IF(IFERROR(INDEX(ProcRet,MATCH($E1023,ProcNome,0)),0)&gt;0,$A1023+INDEX(ProcRet,MATCH($E1023,ProcNome,0)),""),"")</f>
        <v>0</v>
      </c>
      <c r="R1023" s="26">
        <f>IF($Q1023="","",IF(COUNTIFS(AgPac,$D1023,AgData,"&gt;"&amp;$A1023,AgStatus,"&lt;&gt;Cancelado",AgStatus,"&lt;&gt;Remarcado")&gt;0,"Sim","Não"))</f>
        <v>0</v>
      </c>
      <c r="S1023" s="28">
        <f>IF($A1023="","",IF(AND($F1023="Agendado",$A1023-Hoje&gt;=0,$A1023-Hoje&lt;=DiasConf),"CONFIRMAR",IF(AND($A1023&lt;Hoje,OR($F1023="Agendado",$F1023="Confirmado")),"Atualizar status",IF(AND($F1023="Compareceu",$P1023&gt;0.005),"Cobrar",IF($F1023="Faltou","Falta: reagendar","")))))</f>
        <v>0</v>
      </c>
      <c r="T1023" s="29">
        <f>IF($A1023="","",DATE(YEAR($A1023),MONTH($A1023),1))</f>
        <v>0</v>
      </c>
      <c r="U1023" s="30">
        <f>IF($S1023="CONFIRMAR",MAX($U$4:$U1022)+1,"")</f>
        <v>0</v>
      </c>
      <c r="V1023" s="30">
        <f>IF(AND($R1023="Não",$Q1023&lt;&gt;"",$Q1023&lt;=Hoje+JanelaRet,$Q1023&gt;=Hoje-60),MAX($V$4:$V1022)+1,"")</f>
        <v>0</v>
      </c>
    </row>
    <row r="1024" spans="1:22">
      <c r="A1024" s="16"/>
      <c r="B1024" s="23"/>
      <c r="C1024" s="15"/>
      <c r="D1024" s="15"/>
      <c r="E1024" s="15"/>
      <c r="F1024" s="24"/>
      <c r="G1024" s="17"/>
      <c r="H1024" s="17"/>
      <c r="I1024" s="15"/>
      <c r="J1024" s="25">
        <f>IF($D1024="","",IFERROR(INDEX(PacNome,MATCH($D1024,PacCod,0)),"Paciente não cadastrado"))</f>
        <v>0</v>
      </c>
      <c r="K1024" s="26">
        <f>IF($D1024="","",IFERROR(INDEX(PacConv,MATCH($D1024,PacCod,0))&amp;"",""))</f>
        <v>0</v>
      </c>
      <c r="L1024" s="26">
        <f>IF($A1024="","",CHOOSE(WEEKDAY($A1024,2),"Seg","Ter","Qua","Qui","Sex","Sáb","Dom"))</f>
        <v>0</v>
      </c>
      <c r="M1024" s="27">
        <f>IF($E1024="","",IF($G1024&lt;&gt;"",$G1024,IFERROR(INDEX(ProcValor,MATCH($E1024,ProcNome,0)),0)))</f>
        <v>0</v>
      </c>
      <c r="N1024" s="27">
        <f>IF($M1024="","",IF($F1024="Compareceu",$M1024,0))</f>
        <v>0</v>
      </c>
      <c r="O1024" s="27">
        <f>IF($M1024="","",IF($F1024="Faltou",$M1024,0))</f>
        <v>0</v>
      </c>
      <c r="P1024" s="27">
        <f>IF($M1024="","",IF($F1024="Compareceu",MAX(0,$M1024-N($H1024)),0))</f>
        <v>0</v>
      </c>
      <c r="Q1024" s="19">
        <f>IF(AND($F1024="Compareceu",$E1024&lt;&gt;"",$A1024&lt;&gt;""),IF(IFERROR(INDEX(ProcRet,MATCH($E1024,ProcNome,0)),0)&gt;0,$A1024+INDEX(ProcRet,MATCH($E1024,ProcNome,0)),""),"")</f>
        <v>0</v>
      </c>
      <c r="R1024" s="26">
        <f>IF($Q1024="","",IF(COUNTIFS(AgPac,$D1024,AgData,"&gt;"&amp;$A1024,AgStatus,"&lt;&gt;Cancelado",AgStatus,"&lt;&gt;Remarcado")&gt;0,"Sim","Não"))</f>
        <v>0</v>
      </c>
      <c r="S1024" s="28">
        <f>IF($A1024="","",IF(AND($F1024="Agendado",$A1024-Hoje&gt;=0,$A1024-Hoje&lt;=DiasConf),"CONFIRMAR",IF(AND($A1024&lt;Hoje,OR($F1024="Agendado",$F1024="Confirmado")),"Atualizar status",IF(AND($F1024="Compareceu",$P1024&gt;0.005),"Cobrar",IF($F1024="Faltou","Falta: reagendar","")))))</f>
        <v>0</v>
      </c>
      <c r="T1024" s="29">
        <f>IF($A1024="","",DATE(YEAR($A1024),MONTH($A1024),1))</f>
        <v>0</v>
      </c>
      <c r="U1024" s="30">
        <f>IF($S1024="CONFIRMAR",MAX($U$4:$U1023)+1,"")</f>
        <v>0</v>
      </c>
      <c r="V1024" s="30">
        <f>IF(AND($R1024="Não",$Q1024&lt;&gt;"",$Q1024&lt;=Hoje+JanelaRet,$Q1024&gt;=Hoje-60),MAX($V$4:$V1023)+1,"")</f>
        <v>0</v>
      </c>
    </row>
    <row r="1025" spans="1:22">
      <c r="A1025" s="16"/>
      <c r="B1025" s="23"/>
      <c r="C1025" s="15"/>
      <c r="D1025" s="15"/>
      <c r="E1025" s="15"/>
      <c r="F1025" s="24"/>
      <c r="G1025" s="17"/>
      <c r="H1025" s="17"/>
      <c r="I1025" s="15"/>
      <c r="J1025" s="25">
        <f>IF($D1025="","",IFERROR(INDEX(PacNome,MATCH($D1025,PacCod,0)),"Paciente não cadastrado"))</f>
        <v>0</v>
      </c>
      <c r="K1025" s="26">
        <f>IF($D1025="","",IFERROR(INDEX(PacConv,MATCH($D1025,PacCod,0))&amp;"",""))</f>
        <v>0</v>
      </c>
      <c r="L1025" s="26">
        <f>IF($A1025="","",CHOOSE(WEEKDAY($A1025,2),"Seg","Ter","Qua","Qui","Sex","Sáb","Dom"))</f>
        <v>0</v>
      </c>
      <c r="M1025" s="27">
        <f>IF($E1025="","",IF($G1025&lt;&gt;"",$G1025,IFERROR(INDEX(ProcValor,MATCH($E1025,ProcNome,0)),0)))</f>
        <v>0</v>
      </c>
      <c r="N1025" s="27">
        <f>IF($M1025="","",IF($F1025="Compareceu",$M1025,0))</f>
        <v>0</v>
      </c>
      <c r="O1025" s="27">
        <f>IF($M1025="","",IF($F1025="Faltou",$M1025,0))</f>
        <v>0</v>
      </c>
      <c r="P1025" s="27">
        <f>IF($M1025="","",IF($F1025="Compareceu",MAX(0,$M1025-N($H1025)),0))</f>
        <v>0</v>
      </c>
      <c r="Q1025" s="19">
        <f>IF(AND($F1025="Compareceu",$E1025&lt;&gt;"",$A1025&lt;&gt;""),IF(IFERROR(INDEX(ProcRet,MATCH($E1025,ProcNome,0)),0)&gt;0,$A1025+INDEX(ProcRet,MATCH($E1025,ProcNome,0)),""),"")</f>
        <v>0</v>
      </c>
      <c r="R1025" s="26">
        <f>IF($Q1025="","",IF(COUNTIFS(AgPac,$D1025,AgData,"&gt;"&amp;$A1025,AgStatus,"&lt;&gt;Cancelado",AgStatus,"&lt;&gt;Remarcado")&gt;0,"Sim","Não"))</f>
        <v>0</v>
      </c>
      <c r="S1025" s="28">
        <f>IF($A1025="","",IF(AND($F1025="Agendado",$A1025-Hoje&gt;=0,$A1025-Hoje&lt;=DiasConf),"CONFIRMAR",IF(AND($A1025&lt;Hoje,OR($F1025="Agendado",$F1025="Confirmado")),"Atualizar status",IF(AND($F1025="Compareceu",$P1025&gt;0.005),"Cobrar",IF($F1025="Faltou","Falta: reagendar","")))))</f>
        <v>0</v>
      </c>
      <c r="T1025" s="29">
        <f>IF($A1025="","",DATE(YEAR($A1025),MONTH($A1025),1))</f>
        <v>0</v>
      </c>
      <c r="U1025" s="30">
        <f>IF($S1025="CONFIRMAR",MAX($U$4:$U1024)+1,"")</f>
        <v>0</v>
      </c>
      <c r="V1025" s="30">
        <f>IF(AND($R1025="Não",$Q1025&lt;&gt;"",$Q1025&lt;=Hoje+JanelaRet,$Q1025&gt;=Hoje-60),MAX($V$4:$V1024)+1,"")</f>
        <v>0</v>
      </c>
    </row>
    <row r="1026" spans="1:22">
      <c r="A1026" s="16"/>
      <c r="B1026" s="23"/>
      <c r="C1026" s="15"/>
      <c r="D1026" s="15"/>
      <c r="E1026" s="15"/>
      <c r="F1026" s="24"/>
      <c r="G1026" s="17"/>
      <c r="H1026" s="17"/>
      <c r="I1026" s="15"/>
      <c r="J1026" s="25">
        <f>IF($D1026="","",IFERROR(INDEX(PacNome,MATCH($D1026,PacCod,0)),"Paciente não cadastrado"))</f>
        <v>0</v>
      </c>
      <c r="K1026" s="26">
        <f>IF($D1026="","",IFERROR(INDEX(PacConv,MATCH($D1026,PacCod,0))&amp;"",""))</f>
        <v>0</v>
      </c>
      <c r="L1026" s="26">
        <f>IF($A1026="","",CHOOSE(WEEKDAY($A1026,2),"Seg","Ter","Qua","Qui","Sex","Sáb","Dom"))</f>
        <v>0</v>
      </c>
      <c r="M1026" s="27">
        <f>IF($E1026="","",IF($G1026&lt;&gt;"",$G1026,IFERROR(INDEX(ProcValor,MATCH($E1026,ProcNome,0)),0)))</f>
        <v>0</v>
      </c>
      <c r="N1026" s="27">
        <f>IF($M1026="","",IF($F1026="Compareceu",$M1026,0))</f>
        <v>0</v>
      </c>
      <c r="O1026" s="27">
        <f>IF($M1026="","",IF($F1026="Faltou",$M1026,0))</f>
        <v>0</v>
      </c>
      <c r="P1026" s="27">
        <f>IF($M1026="","",IF($F1026="Compareceu",MAX(0,$M1026-N($H1026)),0))</f>
        <v>0</v>
      </c>
      <c r="Q1026" s="19">
        <f>IF(AND($F1026="Compareceu",$E1026&lt;&gt;"",$A1026&lt;&gt;""),IF(IFERROR(INDEX(ProcRet,MATCH($E1026,ProcNome,0)),0)&gt;0,$A1026+INDEX(ProcRet,MATCH($E1026,ProcNome,0)),""),"")</f>
        <v>0</v>
      </c>
      <c r="R1026" s="26">
        <f>IF($Q1026="","",IF(COUNTIFS(AgPac,$D1026,AgData,"&gt;"&amp;$A1026,AgStatus,"&lt;&gt;Cancelado",AgStatus,"&lt;&gt;Remarcado")&gt;0,"Sim","Não"))</f>
        <v>0</v>
      </c>
      <c r="S1026" s="28">
        <f>IF($A1026="","",IF(AND($F1026="Agendado",$A1026-Hoje&gt;=0,$A1026-Hoje&lt;=DiasConf),"CONFIRMAR",IF(AND($A1026&lt;Hoje,OR($F1026="Agendado",$F1026="Confirmado")),"Atualizar status",IF(AND($F1026="Compareceu",$P1026&gt;0.005),"Cobrar",IF($F1026="Faltou","Falta: reagendar","")))))</f>
        <v>0</v>
      </c>
      <c r="T1026" s="29">
        <f>IF($A1026="","",DATE(YEAR($A1026),MONTH($A1026),1))</f>
        <v>0</v>
      </c>
      <c r="U1026" s="30">
        <f>IF($S1026="CONFIRMAR",MAX($U$4:$U1025)+1,"")</f>
        <v>0</v>
      </c>
      <c r="V1026" s="30">
        <f>IF(AND($R1026="Não",$Q1026&lt;&gt;"",$Q1026&lt;=Hoje+JanelaRet,$Q1026&gt;=Hoje-60),MAX($V$4:$V1025)+1,"")</f>
        <v>0</v>
      </c>
    </row>
    <row r="1027" spans="1:22">
      <c r="A1027" s="16"/>
      <c r="B1027" s="23"/>
      <c r="C1027" s="15"/>
      <c r="D1027" s="15"/>
      <c r="E1027" s="15"/>
      <c r="F1027" s="24"/>
      <c r="G1027" s="17"/>
      <c r="H1027" s="17"/>
      <c r="I1027" s="15"/>
      <c r="J1027" s="25">
        <f>IF($D1027="","",IFERROR(INDEX(PacNome,MATCH($D1027,PacCod,0)),"Paciente não cadastrado"))</f>
        <v>0</v>
      </c>
      <c r="K1027" s="26">
        <f>IF($D1027="","",IFERROR(INDEX(PacConv,MATCH($D1027,PacCod,0))&amp;"",""))</f>
        <v>0</v>
      </c>
      <c r="L1027" s="26">
        <f>IF($A1027="","",CHOOSE(WEEKDAY($A1027,2),"Seg","Ter","Qua","Qui","Sex","Sáb","Dom"))</f>
        <v>0</v>
      </c>
      <c r="M1027" s="27">
        <f>IF($E1027="","",IF($G1027&lt;&gt;"",$G1027,IFERROR(INDEX(ProcValor,MATCH($E1027,ProcNome,0)),0)))</f>
        <v>0</v>
      </c>
      <c r="N1027" s="27">
        <f>IF($M1027="","",IF($F1027="Compareceu",$M1027,0))</f>
        <v>0</v>
      </c>
      <c r="O1027" s="27">
        <f>IF($M1027="","",IF($F1027="Faltou",$M1027,0))</f>
        <v>0</v>
      </c>
      <c r="P1027" s="27">
        <f>IF($M1027="","",IF($F1027="Compareceu",MAX(0,$M1027-N($H1027)),0))</f>
        <v>0</v>
      </c>
      <c r="Q1027" s="19">
        <f>IF(AND($F1027="Compareceu",$E1027&lt;&gt;"",$A1027&lt;&gt;""),IF(IFERROR(INDEX(ProcRet,MATCH($E1027,ProcNome,0)),0)&gt;0,$A1027+INDEX(ProcRet,MATCH($E1027,ProcNome,0)),""),"")</f>
        <v>0</v>
      </c>
      <c r="R1027" s="26">
        <f>IF($Q1027="","",IF(COUNTIFS(AgPac,$D1027,AgData,"&gt;"&amp;$A1027,AgStatus,"&lt;&gt;Cancelado",AgStatus,"&lt;&gt;Remarcado")&gt;0,"Sim","Não"))</f>
        <v>0</v>
      </c>
      <c r="S1027" s="28">
        <f>IF($A1027="","",IF(AND($F1027="Agendado",$A1027-Hoje&gt;=0,$A1027-Hoje&lt;=DiasConf),"CONFIRMAR",IF(AND($A1027&lt;Hoje,OR($F1027="Agendado",$F1027="Confirmado")),"Atualizar status",IF(AND($F1027="Compareceu",$P1027&gt;0.005),"Cobrar",IF($F1027="Faltou","Falta: reagendar","")))))</f>
        <v>0</v>
      </c>
      <c r="T1027" s="29">
        <f>IF($A1027="","",DATE(YEAR($A1027),MONTH($A1027),1))</f>
        <v>0</v>
      </c>
      <c r="U1027" s="30">
        <f>IF($S1027="CONFIRMAR",MAX($U$4:$U1026)+1,"")</f>
        <v>0</v>
      </c>
      <c r="V1027" s="30">
        <f>IF(AND($R1027="Não",$Q1027&lt;&gt;"",$Q1027&lt;=Hoje+JanelaRet,$Q1027&gt;=Hoje-60),MAX($V$4:$V1026)+1,"")</f>
        <v>0</v>
      </c>
    </row>
    <row r="1028" spans="1:22">
      <c r="A1028" s="16"/>
      <c r="B1028" s="23"/>
      <c r="C1028" s="15"/>
      <c r="D1028" s="15"/>
      <c r="E1028" s="15"/>
      <c r="F1028" s="24"/>
      <c r="G1028" s="17"/>
      <c r="H1028" s="17"/>
      <c r="I1028" s="15"/>
      <c r="J1028" s="25">
        <f>IF($D1028="","",IFERROR(INDEX(PacNome,MATCH($D1028,PacCod,0)),"Paciente não cadastrado"))</f>
        <v>0</v>
      </c>
      <c r="K1028" s="26">
        <f>IF($D1028="","",IFERROR(INDEX(PacConv,MATCH($D1028,PacCod,0))&amp;"",""))</f>
        <v>0</v>
      </c>
      <c r="L1028" s="26">
        <f>IF($A1028="","",CHOOSE(WEEKDAY($A1028,2),"Seg","Ter","Qua","Qui","Sex","Sáb","Dom"))</f>
        <v>0</v>
      </c>
      <c r="M1028" s="27">
        <f>IF($E1028="","",IF($G1028&lt;&gt;"",$G1028,IFERROR(INDEX(ProcValor,MATCH($E1028,ProcNome,0)),0)))</f>
        <v>0</v>
      </c>
      <c r="N1028" s="27">
        <f>IF($M1028="","",IF($F1028="Compareceu",$M1028,0))</f>
        <v>0</v>
      </c>
      <c r="O1028" s="27">
        <f>IF($M1028="","",IF($F1028="Faltou",$M1028,0))</f>
        <v>0</v>
      </c>
      <c r="P1028" s="27">
        <f>IF($M1028="","",IF($F1028="Compareceu",MAX(0,$M1028-N($H1028)),0))</f>
        <v>0</v>
      </c>
      <c r="Q1028" s="19">
        <f>IF(AND($F1028="Compareceu",$E1028&lt;&gt;"",$A1028&lt;&gt;""),IF(IFERROR(INDEX(ProcRet,MATCH($E1028,ProcNome,0)),0)&gt;0,$A1028+INDEX(ProcRet,MATCH($E1028,ProcNome,0)),""),"")</f>
        <v>0</v>
      </c>
      <c r="R1028" s="26">
        <f>IF($Q1028="","",IF(COUNTIFS(AgPac,$D1028,AgData,"&gt;"&amp;$A1028,AgStatus,"&lt;&gt;Cancelado",AgStatus,"&lt;&gt;Remarcado")&gt;0,"Sim","Não"))</f>
        <v>0</v>
      </c>
      <c r="S1028" s="28">
        <f>IF($A1028="","",IF(AND($F1028="Agendado",$A1028-Hoje&gt;=0,$A1028-Hoje&lt;=DiasConf),"CONFIRMAR",IF(AND($A1028&lt;Hoje,OR($F1028="Agendado",$F1028="Confirmado")),"Atualizar status",IF(AND($F1028="Compareceu",$P1028&gt;0.005),"Cobrar",IF($F1028="Faltou","Falta: reagendar","")))))</f>
        <v>0</v>
      </c>
      <c r="T1028" s="29">
        <f>IF($A1028="","",DATE(YEAR($A1028),MONTH($A1028),1))</f>
        <v>0</v>
      </c>
      <c r="U1028" s="30">
        <f>IF($S1028="CONFIRMAR",MAX($U$4:$U1027)+1,"")</f>
        <v>0</v>
      </c>
      <c r="V1028" s="30">
        <f>IF(AND($R1028="Não",$Q1028&lt;&gt;"",$Q1028&lt;=Hoje+JanelaRet,$Q1028&gt;=Hoje-60),MAX($V$4:$V1027)+1,"")</f>
        <v>0</v>
      </c>
    </row>
    <row r="1029" spans="1:22">
      <c r="A1029" s="16"/>
      <c r="B1029" s="23"/>
      <c r="C1029" s="15"/>
      <c r="D1029" s="15"/>
      <c r="E1029" s="15"/>
      <c r="F1029" s="24"/>
      <c r="G1029" s="17"/>
      <c r="H1029" s="17"/>
      <c r="I1029" s="15"/>
      <c r="J1029" s="25">
        <f>IF($D1029="","",IFERROR(INDEX(PacNome,MATCH($D1029,PacCod,0)),"Paciente não cadastrado"))</f>
        <v>0</v>
      </c>
      <c r="K1029" s="26">
        <f>IF($D1029="","",IFERROR(INDEX(PacConv,MATCH($D1029,PacCod,0))&amp;"",""))</f>
        <v>0</v>
      </c>
      <c r="L1029" s="26">
        <f>IF($A1029="","",CHOOSE(WEEKDAY($A1029,2),"Seg","Ter","Qua","Qui","Sex","Sáb","Dom"))</f>
        <v>0</v>
      </c>
      <c r="M1029" s="27">
        <f>IF($E1029="","",IF($G1029&lt;&gt;"",$G1029,IFERROR(INDEX(ProcValor,MATCH($E1029,ProcNome,0)),0)))</f>
        <v>0</v>
      </c>
      <c r="N1029" s="27">
        <f>IF($M1029="","",IF($F1029="Compareceu",$M1029,0))</f>
        <v>0</v>
      </c>
      <c r="O1029" s="27">
        <f>IF($M1029="","",IF($F1029="Faltou",$M1029,0))</f>
        <v>0</v>
      </c>
      <c r="P1029" s="27">
        <f>IF($M1029="","",IF($F1029="Compareceu",MAX(0,$M1029-N($H1029)),0))</f>
        <v>0</v>
      </c>
      <c r="Q1029" s="19">
        <f>IF(AND($F1029="Compareceu",$E1029&lt;&gt;"",$A1029&lt;&gt;""),IF(IFERROR(INDEX(ProcRet,MATCH($E1029,ProcNome,0)),0)&gt;0,$A1029+INDEX(ProcRet,MATCH($E1029,ProcNome,0)),""),"")</f>
        <v>0</v>
      </c>
      <c r="R1029" s="26">
        <f>IF($Q1029="","",IF(COUNTIFS(AgPac,$D1029,AgData,"&gt;"&amp;$A1029,AgStatus,"&lt;&gt;Cancelado",AgStatus,"&lt;&gt;Remarcado")&gt;0,"Sim","Não"))</f>
        <v>0</v>
      </c>
      <c r="S1029" s="28">
        <f>IF($A1029="","",IF(AND($F1029="Agendado",$A1029-Hoje&gt;=0,$A1029-Hoje&lt;=DiasConf),"CONFIRMAR",IF(AND($A1029&lt;Hoje,OR($F1029="Agendado",$F1029="Confirmado")),"Atualizar status",IF(AND($F1029="Compareceu",$P1029&gt;0.005),"Cobrar",IF($F1029="Faltou","Falta: reagendar","")))))</f>
        <v>0</v>
      </c>
      <c r="T1029" s="29">
        <f>IF($A1029="","",DATE(YEAR($A1029),MONTH($A1029),1))</f>
        <v>0</v>
      </c>
      <c r="U1029" s="30">
        <f>IF($S1029="CONFIRMAR",MAX($U$4:$U1028)+1,"")</f>
        <v>0</v>
      </c>
      <c r="V1029" s="30">
        <f>IF(AND($R1029="Não",$Q1029&lt;&gt;"",$Q1029&lt;=Hoje+JanelaRet,$Q1029&gt;=Hoje-60),MAX($V$4:$V1028)+1,"")</f>
        <v>0</v>
      </c>
    </row>
    <row r="1030" spans="1:22">
      <c r="A1030" s="16"/>
      <c r="B1030" s="23"/>
      <c r="C1030" s="15"/>
      <c r="D1030" s="15"/>
      <c r="E1030" s="15"/>
      <c r="F1030" s="24"/>
      <c r="G1030" s="17"/>
      <c r="H1030" s="17"/>
      <c r="I1030" s="15"/>
      <c r="J1030" s="25">
        <f>IF($D1030="","",IFERROR(INDEX(PacNome,MATCH($D1030,PacCod,0)),"Paciente não cadastrado"))</f>
        <v>0</v>
      </c>
      <c r="K1030" s="26">
        <f>IF($D1030="","",IFERROR(INDEX(PacConv,MATCH($D1030,PacCod,0))&amp;"",""))</f>
        <v>0</v>
      </c>
      <c r="L1030" s="26">
        <f>IF($A1030="","",CHOOSE(WEEKDAY($A1030,2),"Seg","Ter","Qua","Qui","Sex","Sáb","Dom"))</f>
        <v>0</v>
      </c>
      <c r="M1030" s="27">
        <f>IF($E1030="","",IF($G1030&lt;&gt;"",$G1030,IFERROR(INDEX(ProcValor,MATCH($E1030,ProcNome,0)),0)))</f>
        <v>0</v>
      </c>
      <c r="N1030" s="27">
        <f>IF($M1030="","",IF($F1030="Compareceu",$M1030,0))</f>
        <v>0</v>
      </c>
      <c r="O1030" s="27">
        <f>IF($M1030="","",IF($F1030="Faltou",$M1030,0))</f>
        <v>0</v>
      </c>
      <c r="P1030" s="27">
        <f>IF($M1030="","",IF($F1030="Compareceu",MAX(0,$M1030-N($H1030)),0))</f>
        <v>0</v>
      </c>
      <c r="Q1030" s="19">
        <f>IF(AND($F1030="Compareceu",$E1030&lt;&gt;"",$A1030&lt;&gt;""),IF(IFERROR(INDEX(ProcRet,MATCH($E1030,ProcNome,0)),0)&gt;0,$A1030+INDEX(ProcRet,MATCH($E1030,ProcNome,0)),""),"")</f>
        <v>0</v>
      </c>
      <c r="R1030" s="26">
        <f>IF($Q1030="","",IF(COUNTIFS(AgPac,$D1030,AgData,"&gt;"&amp;$A1030,AgStatus,"&lt;&gt;Cancelado",AgStatus,"&lt;&gt;Remarcado")&gt;0,"Sim","Não"))</f>
        <v>0</v>
      </c>
      <c r="S1030" s="28">
        <f>IF($A1030="","",IF(AND($F1030="Agendado",$A1030-Hoje&gt;=0,$A1030-Hoje&lt;=DiasConf),"CONFIRMAR",IF(AND($A1030&lt;Hoje,OR($F1030="Agendado",$F1030="Confirmado")),"Atualizar status",IF(AND($F1030="Compareceu",$P1030&gt;0.005),"Cobrar",IF($F1030="Faltou","Falta: reagendar","")))))</f>
        <v>0</v>
      </c>
      <c r="T1030" s="29">
        <f>IF($A1030="","",DATE(YEAR($A1030),MONTH($A1030),1))</f>
        <v>0</v>
      </c>
      <c r="U1030" s="30">
        <f>IF($S1030="CONFIRMAR",MAX($U$4:$U1029)+1,"")</f>
        <v>0</v>
      </c>
      <c r="V1030" s="30">
        <f>IF(AND($R1030="Não",$Q1030&lt;&gt;"",$Q1030&lt;=Hoje+JanelaRet,$Q1030&gt;=Hoje-60),MAX($V$4:$V1029)+1,"")</f>
        <v>0</v>
      </c>
    </row>
    <row r="1031" spans="1:22">
      <c r="A1031" s="16"/>
      <c r="B1031" s="23"/>
      <c r="C1031" s="15"/>
      <c r="D1031" s="15"/>
      <c r="E1031" s="15"/>
      <c r="F1031" s="24"/>
      <c r="G1031" s="17"/>
      <c r="H1031" s="17"/>
      <c r="I1031" s="15"/>
      <c r="J1031" s="25">
        <f>IF($D1031="","",IFERROR(INDEX(PacNome,MATCH($D1031,PacCod,0)),"Paciente não cadastrado"))</f>
        <v>0</v>
      </c>
      <c r="K1031" s="26">
        <f>IF($D1031="","",IFERROR(INDEX(PacConv,MATCH($D1031,PacCod,0))&amp;"",""))</f>
        <v>0</v>
      </c>
      <c r="L1031" s="26">
        <f>IF($A1031="","",CHOOSE(WEEKDAY($A1031,2),"Seg","Ter","Qua","Qui","Sex","Sáb","Dom"))</f>
        <v>0</v>
      </c>
      <c r="M1031" s="27">
        <f>IF($E1031="","",IF($G1031&lt;&gt;"",$G1031,IFERROR(INDEX(ProcValor,MATCH($E1031,ProcNome,0)),0)))</f>
        <v>0</v>
      </c>
      <c r="N1031" s="27">
        <f>IF($M1031="","",IF($F1031="Compareceu",$M1031,0))</f>
        <v>0</v>
      </c>
      <c r="O1031" s="27">
        <f>IF($M1031="","",IF($F1031="Faltou",$M1031,0))</f>
        <v>0</v>
      </c>
      <c r="P1031" s="27">
        <f>IF($M1031="","",IF($F1031="Compareceu",MAX(0,$M1031-N($H1031)),0))</f>
        <v>0</v>
      </c>
      <c r="Q1031" s="19">
        <f>IF(AND($F1031="Compareceu",$E1031&lt;&gt;"",$A1031&lt;&gt;""),IF(IFERROR(INDEX(ProcRet,MATCH($E1031,ProcNome,0)),0)&gt;0,$A1031+INDEX(ProcRet,MATCH($E1031,ProcNome,0)),""),"")</f>
        <v>0</v>
      </c>
      <c r="R1031" s="26">
        <f>IF($Q1031="","",IF(COUNTIFS(AgPac,$D1031,AgData,"&gt;"&amp;$A1031,AgStatus,"&lt;&gt;Cancelado",AgStatus,"&lt;&gt;Remarcado")&gt;0,"Sim","Não"))</f>
        <v>0</v>
      </c>
      <c r="S1031" s="28">
        <f>IF($A1031="","",IF(AND($F1031="Agendado",$A1031-Hoje&gt;=0,$A1031-Hoje&lt;=DiasConf),"CONFIRMAR",IF(AND($A1031&lt;Hoje,OR($F1031="Agendado",$F1031="Confirmado")),"Atualizar status",IF(AND($F1031="Compareceu",$P1031&gt;0.005),"Cobrar",IF($F1031="Faltou","Falta: reagendar","")))))</f>
        <v>0</v>
      </c>
      <c r="T1031" s="29">
        <f>IF($A1031="","",DATE(YEAR($A1031),MONTH($A1031),1))</f>
        <v>0</v>
      </c>
      <c r="U1031" s="30">
        <f>IF($S1031="CONFIRMAR",MAX($U$4:$U1030)+1,"")</f>
        <v>0</v>
      </c>
      <c r="V1031" s="30">
        <f>IF(AND($R1031="Não",$Q1031&lt;&gt;"",$Q1031&lt;=Hoje+JanelaRet,$Q1031&gt;=Hoje-60),MAX($V$4:$V1030)+1,"")</f>
        <v>0</v>
      </c>
    </row>
    <row r="1032" spans="1:22">
      <c r="A1032" s="16"/>
      <c r="B1032" s="23"/>
      <c r="C1032" s="15"/>
      <c r="D1032" s="15"/>
      <c r="E1032" s="15"/>
      <c r="F1032" s="24"/>
      <c r="G1032" s="17"/>
      <c r="H1032" s="17"/>
      <c r="I1032" s="15"/>
      <c r="J1032" s="25">
        <f>IF($D1032="","",IFERROR(INDEX(PacNome,MATCH($D1032,PacCod,0)),"Paciente não cadastrado"))</f>
        <v>0</v>
      </c>
      <c r="K1032" s="26">
        <f>IF($D1032="","",IFERROR(INDEX(PacConv,MATCH($D1032,PacCod,0))&amp;"",""))</f>
        <v>0</v>
      </c>
      <c r="L1032" s="26">
        <f>IF($A1032="","",CHOOSE(WEEKDAY($A1032,2),"Seg","Ter","Qua","Qui","Sex","Sáb","Dom"))</f>
        <v>0</v>
      </c>
      <c r="M1032" s="27">
        <f>IF($E1032="","",IF($G1032&lt;&gt;"",$G1032,IFERROR(INDEX(ProcValor,MATCH($E1032,ProcNome,0)),0)))</f>
        <v>0</v>
      </c>
      <c r="N1032" s="27">
        <f>IF($M1032="","",IF($F1032="Compareceu",$M1032,0))</f>
        <v>0</v>
      </c>
      <c r="O1032" s="27">
        <f>IF($M1032="","",IF($F1032="Faltou",$M1032,0))</f>
        <v>0</v>
      </c>
      <c r="P1032" s="27">
        <f>IF($M1032="","",IF($F1032="Compareceu",MAX(0,$M1032-N($H1032)),0))</f>
        <v>0</v>
      </c>
      <c r="Q1032" s="19">
        <f>IF(AND($F1032="Compareceu",$E1032&lt;&gt;"",$A1032&lt;&gt;""),IF(IFERROR(INDEX(ProcRet,MATCH($E1032,ProcNome,0)),0)&gt;0,$A1032+INDEX(ProcRet,MATCH($E1032,ProcNome,0)),""),"")</f>
        <v>0</v>
      </c>
      <c r="R1032" s="26">
        <f>IF($Q1032="","",IF(COUNTIFS(AgPac,$D1032,AgData,"&gt;"&amp;$A1032,AgStatus,"&lt;&gt;Cancelado",AgStatus,"&lt;&gt;Remarcado")&gt;0,"Sim","Não"))</f>
        <v>0</v>
      </c>
      <c r="S1032" s="28">
        <f>IF($A1032="","",IF(AND($F1032="Agendado",$A1032-Hoje&gt;=0,$A1032-Hoje&lt;=DiasConf),"CONFIRMAR",IF(AND($A1032&lt;Hoje,OR($F1032="Agendado",$F1032="Confirmado")),"Atualizar status",IF(AND($F1032="Compareceu",$P1032&gt;0.005),"Cobrar",IF($F1032="Faltou","Falta: reagendar","")))))</f>
        <v>0</v>
      </c>
      <c r="T1032" s="29">
        <f>IF($A1032="","",DATE(YEAR($A1032),MONTH($A1032),1))</f>
        <v>0</v>
      </c>
      <c r="U1032" s="30">
        <f>IF($S1032="CONFIRMAR",MAX($U$4:$U1031)+1,"")</f>
        <v>0</v>
      </c>
      <c r="V1032" s="30">
        <f>IF(AND($R1032="Não",$Q1032&lt;&gt;"",$Q1032&lt;=Hoje+JanelaRet,$Q1032&gt;=Hoje-60),MAX($V$4:$V1031)+1,"")</f>
        <v>0</v>
      </c>
    </row>
    <row r="1033" spans="1:22">
      <c r="A1033" s="16"/>
      <c r="B1033" s="23"/>
      <c r="C1033" s="15"/>
      <c r="D1033" s="15"/>
      <c r="E1033" s="15"/>
      <c r="F1033" s="24"/>
      <c r="G1033" s="17"/>
      <c r="H1033" s="17"/>
      <c r="I1033" s="15"/>
      <c r="J1033" s="25">
        <f>IF($D1033="","",IFERROR(INDEX(PacNome,MATCH($D1033,PacCod,0)),"Paciente não cadastrado"))</f>
        <v>0</v>
      </c>
      <c r="K1033" s="26">
        <f>IF($D1033="","",IFERROR(INDEX(PacConv,MATCH($D1033,PacCod,0))&amp;"",""))</f>
        <v>0</v>
      </c>
      <c r="L1033" s="26">
        <f>IF($A1033="","",CHOOSE(WEEKDAY($A1033,2),"Seg","Ter","Qua","Qui","Sex","Sáb","Dom"))</f>
        <v>0</v>
      </c>
      <c r="M1033" s="27">
        <f>IF($E1033="","",IF($G1033&lt;&gt;"",$G1033,IFERROR(INDEX(ProcValor,MATCH($E1033,ProcNome,0)),0)))</f>
        <v>0</v>
      </c>
      <c r="N1033" s="27">
        <f>IF($M1033="","",IF($F1033="Compareceu",$M1033,0))</f>
        <v>0</v>
      </c>
      <c r="O1033" s="27">
        <f>IF($M1033="","",IF($F1033="Faltou",$M1033,0))</f>
        <v>0</v>
      </c>
      <c r="P1033" s="27">
        <f>IF($M1033="","",IF($F1033="Compareceu",MAX(0,$M1033-N($H1033)),0))</f>
        <v>0</v>
      </c>
      <c r="Q1033" s="19">
        <f>IF(AND($F1033="Compareceu",$E1033&lt;&gt;"",$A1033&lt;&gt;""),IF(IFERROR(INDEX(ProcRet,MATCH($E1033,ProcNome,0)),0)&gt;0,$A1033+INDEX(ProcRet,MATCH($E1033,ProcNome,0)),""),"")</f>
        <v>0</v>
      </c>
      <c r="R1033" s="26">
        <f>IF($Q1033="","",IF(COUNTIFS(AgPac,$D1033,AgData,"&gt;"&amp;$A1033,AgStatus,"&lt;&gt;Cancelado",AgStatus,"&lt;&gt;Remarcado")&gt;0,"Sim","Não"))</f>
        <v>0</v>
      </c>
      <c r="S1033" s="28">
        <f>IF($A1033="","",IF(AND($F1033="Agendado",$A1033-Hoje&gt;=0,$A1033-Hoje&lt;=DiasConf),"CONFIRMAR",IF(AND($A1033&lt;Hoje,OR($F1033="Agendado",$F1033="Confirmado")),"Atualizar status",IF(AND($F1033="Compareceu",$P1033&gt;0.005),"Cobrar",IF($F1033="Faltou","Falta: reagendar","")))))</f>
        <v>0</v>
      </c>
      <c r="T1033" s="29">
        <f>IF($A1033="","",DATE(YEAR($A1033),MONTH($A1033),1))</f>
        <v>0</v>
      </c>
      <c r="U1033" s="30">
        <f>IF($S1033="CONFIRMAR",MAX($U$4:$U1032)+1,"")</f>
        <v>0</v>
      </c>
      <c r="V1033" s="30">
        <f>IF(AND($R1033="Não",$Q1033&lt;&gt;"",$Q1033&lt;=Hoje+JanelaRet,$Q1033&gt;=Hoje-60),MAX($V$4:$V1032)+1,"")</f>
        <v>0</v>
      </c>
    </row>
    <row r="1034" spans="1:22">
      <c r="A1034" s="16"/>
      <c r="B1034" s="23"/>
      <c r="C1034" s="15"/>
      <c r="D1034" s="15"/>
      <c r="E1034" s="15"/>
      <c r="F1034" s="24"/>
      <c r="G1034" s="17"/>
      <c r="H1034" s="17"/>
      <c r="I1034" s="15"/>
      <c r="J1034" s="25">
        <f>IF($D1034="","",IFERROR(INDEX(PacNome,MATCH($D1034,PacCod,0)),"Paciente não cadastrado"))</f>
        <v>0</v>
      </c>
      <c r="K1034" s="26">
        <f>IF($D1034="","",IFERROR(INDEX(PacConv,MATCH($D1034,PacCod,0))&amp;"",""))</f>
        <v>0</v>
      </c>
      <c r="L1034" s="26">
        <f>IF($A1034="","",CHOOSE(WEEKDAY($A1034,2),"Seg","Ter","Qua","Qui","Sex","Sáb","Dom"))</f>
        <v>0</v>
      </c>
      <c r="M1034" s="27">
        <f>IF($E1034="","",IF($G1034&lt;&gt;"",$G1034,IFERROR(INDEX(ProcValor,MATCH($E1034,ProcNome,0)),0)))</f>
        <v>0</v>
      </c>
      <c r="N1034" s="27">
        <f>IF($M1034="","",IF($F1034="Compareceu",$M1034,0))</f>
        <v>0</v>
      </c>
      <c r="O1034" s="27">
        <f>IF($M1034="","",IF($F1034="Faltou",$M1034,0))</f>
        <v>0</v>
      </c>
      <c r="P1034" s="27">
        <f>IF($M1034="","",IF($F1034="Compareceu",MAX(0,$M1034-N($H1034)),0))</f>
        <v>0</v>
      </c>
      <c r="Q1034" s="19">
        <f>IF(AND($F1034="Compareceu",$E1034&lt;&gt;"",$A1034&lt;&gt;""),IF(IFERROR(INDEX(ProcRet,MATCH($E1034,ProcNome,0)),0)&gt;0,$A1034+INDEX(ProcRet,MATCH($E1034,ProcNome,0)),""),"")</f>
        <v>0</v>
      </c>
      <c r="R1034" s="26">
        <f>IF($Q1034="","",IF(COUNTIFS(AgPac,$D1034,AgData,"&gt;"&amp;$A1034,AgStatus,"&lt;&gt;Cancelado",AgStatus,"&lt;&gt;Remarcado")&gt;0,"Sim","Não"))</f>
        <v>0</v>
      </c>
      <c r="S1034" s="28">
        <f>IF($A1034="","",IF(AND($F1034="Agendado",$A1034-Hoje&gt;=0,$A1034-Hoje&lt;=DiasConf),"CONFIRMAR",IF(AND($A1034&lt;Hoje,OR($F1034="Agendado",$F1034="Confirmado")),"Atualizar status",IF(AND($F1034="Compareceu",$P1034&gt;0.005),"Cobrar",IF($F1034="Faltou","Falta: reagendar","")))))</f>
        <v>0</v>
      </c>
      <c r="T1034" s="29">
        <f>IF($A1034="","",DATE(YEAR($A1034),MONTH($A1034),1))</f>
        <v>0</v>
      </c>
      <c r="U1034" s="30">
        <f>IF($S1034="CONFIRMAR",MAX($U$4:$U1033)+1,"")</f>
        <v>0</v>
      </c>
      <c r="V1034" s="30">
        <f>IF(AND($R1034="Não",$Q1034&lt;&gt;"",$Q1034&lt;=Hoje+JanelaRet,$Q1034&gt;=Hoje-60),MAX($V$4:$V1033)+1,"")</f>
        <v>0</v>
      </c>
    </row>
    <row r="1035" spans="1:22">
      <c r="A1035" s="16"/>
      <c r="B1035" s="23"/>
      <c r="C1035" s="15"/>
      <c r="D1035" s="15"/>
      <c r="E1035" s="15"/>
      <c r="F1035" s="24"/>
      <c r="G1035" s="17"/>
      <c r="H1035" s="17"/>
      <c r="I1035" s="15"/>
      <c r="J1035" s="25">
        <f>IF($D1035="","",IFERROR(INDEX(PacNome,MATCH($D1035,PacCod,0)),"Paciente não cadastrado"))</f>
        <v>0</v>
      </c>
      <c r="K1035" s="26">
        <f>IF($D1035="","",IFERROR(INDEX(PacConv,MATCH($D1035,PacCod,0))&amp;"",""))</f>
        <v>0</v>
      </c>
      <c r="L1035" s="26">
        <f>IF($A1035="","",CHOOSE(WEEKDAY($A1035,2),"Seg","Ter","Qua","Qui","Sex","Sáb","Dom"))</f>
        <v>0</v>
      </c>
      <c r="M1035" s="27">
        <f>IF($E1035="","",IF($G1035&lt;&gt;"",$G1035,IFERROR(INDEX(ProcValor,MATCH($E1035,ProcNome,0)),0)))</f>
        <v>0</v>
      </c>
      <c r="N1035" s="27">
        <f>IF($M1035="","",IF($F1035="Compareceu",$M1035,0))</f>
        <v>0</v>
      </c>
      <c r="O1035" s="27">
        <f>IF($M1035="","",IF($F1035="Faltou",$M1035,0))</f>
        <v>0</v>
      </c>
      <c r="P1035" s="27">
        <f>IF($M1035="","",IF($F1035="Compareceu",MAX(0,$M1035-N($H1035)),0))</f>
        <v>0</v>
      </c>
      <c r="Q1035" s="19">
        <f>IF(AND($F1035="Compareceu",$E1035&lt;&gt;"",$A1035&lt;&gt;""),IF(IFERROR(INDEX(ProcRet,MATCH($E1035,ProcNome,0)),0)&gt;0,$A1035+INDEX(ProcRet,MATCH($E1035,ProcNome,0)),""),"")</f>
        <v>0</v>
      </c>
      <c r="R1035" s="26">
        <f>IF($Q1035="","",IF(COUNTIFS(AgPac,$D1035,AgData,"&gt;"&amp;$A1035,AgStatus,"&lt;&gt;Cancelado",AgStatus,"&lt;&gt;Remarcado")&gt;0,"Sim","Não"))</f>
        <v>0</v>
      </c>
      <c r="S1035" s="28">
        <f>IF($A1035="","",IF(AND($F1035="Agendado",$A1035-Hoje&gt;=0,$A1035-Hoje&lt;=DiasConf),"CONFIRMAR",IF(AND($A1035&lt;Hoje,OR($F1035="Agendado",$F1035="Confirmado")),"Atualizar status",IF(AND($F1035="Compareceu",$P1035&gt;0.005),"Cobrar",IF($F1035="Faltou","Falta: reagendar","")))))</f>
        <v>0</v>
      </c>
      <c r="T1035" s="29">
        <f>IF($A1035="","",DATE(YEAR($A1035),MONTH($A1035),1))</f>
        <v>0</v>
      </c>
      <c r="U1035" s="30">
        <f>IF($S1035="CONFIRMAR",MAX($U$4:$U1034)+1,"")</f>
        <v>0</v>
      </c>
      <c r="V1035" s="30">
        <f>IF(AND($R1035="Não",$Q1035&lt;&gt;"",$Q1035&lt;=Hoje+JanelaRet,$Q1035&gt;=Hoje-60),MAX($V$4:$V1034)+1,"")</f>
        <v>0</v>
      </c>
    </row>
    <row r="1036" spans="1:22">
      <c r="A1036" s="16"/>
      <c r="B1036" s="23"/>
      <c r="C1036" s="15"/>
      <c r="D1036" s="15"/>
      <c r="E1036" s="15"/>
      <c r="F1036" s="24"/>
      <c r="G1036" s="17"/>
      <c r="H1036" s="17"/>
      <c r="I1036" s="15"/>
      <c r="J1036" s="25">
        <f>IF($D1036="","",IFERROR(INDEX(PacNome,MATCH($D1036,PacCod,0)),"Paciente não cadastrado"))</f>
        <v>0</v>
      </c>
      <c r="K1036" s="26">
        <f>IF($D1036="","",IFERROR(INDEX(PacConv,MATCH($D1036,PacCod,0))&amp;"",""))</f>
        <v>0</v>
      </c>
      <c r="L1036" s="26">
        <f>IF($A1036="","",CHOOSE(WEEKDAY($A1036,2),"Seg","Ter","Qua","Qui","Sex","Sáb","Dom"))</f>
        <v>0</v>
      </c>
      <c r="M1036" s="27">
        <f>IF($E1036="","",IF($G1036&lt;&gt;"",$G1036,IFERROR(INDEX(ProcValor,MATCH($E1036,ProcNome,0)),0)))</f>
        <v>0</v>
      </c>
      <c r="N1036" s="27">
        <f>IF($M1036="","",IF($F1036="Compareceu",$M1036,0))</f>
        <v>0</v>
      </c>
      <c r="O1036" s="27">
        <f>IF($M1036="","",IF($F1036="Faltou",$M1036,0))</f>
        <v>0</v>
      </c>
      <c r="P1036" s="27">
        <f>IF($M1036="","",IF($F1036="Compareceu",MAX(0,$M1036-N($H1036)),0))</f>
        <v>0</v>
      </c>
      <c r="Q1036" s="19">
        <f>IF(AND($F1036="Compareceu",$E1036&lt;&gt;"",$A1036&lt;&gt;""),IF(IFERROR(INDEX(ProcRet,MATCH($E1036,ProcNome,0)),0)&gt;0,$A1036+INDEX(ProcRet,MATCH($E1036,ProcNome,0)),""),"")</f>
        <v>0</v>
      </c>
      <c r="R1036" s="26">
        <f>IF($Q1036="","",IF(COUNTIFS(AgPac,$D1036,AgData,"&gt;"&amp;$A1036,AgStatus,"&lt;&gt;Cancelado",AgStatus,"&lt;&gt;Remarcado")&gt;0,"Sim","Não"))</f>
        <v>0</v>
      </c>
      <c r="S1036" s="28">
        <f>IF($A1036="","",IF(AND($F1036="Agendado",$A1036-Hoje&gt;=0,$A1036-Hoje&lt;=DiasConf),"CONFIRMAR",IF(AND($A1036&lt;Hoje,OR($F1036="Agendado",$F1036="Confirmado")),"Atualizar status",IF(AND($F1036="Compareceu",$P1036&gt;0.005),"Cobrar",IF($F1036="Faltou","Falta: reagendar","")))))</f>
        <v>0</v>
      </c>
      <c r="T1036" s="29">
        <f>IF($A1036="","",DATE(YEAR($A1036),MONTH($A1036),1))</f>
        <v>0</v>
      </c>
      <c r="U1036" s="30">
        <f>IF($S1036="CONFIRMAR",MAX($U$4:$U1035)+1,"")</f>
        <v>0</v>
      </c>
      <c r="V1036" s="30">
        <f>IF(AND($R1036="Não",$Q1036&lt;&gt;"",$Q1036&lt;=Hoje+JanelaRet,$Q1036&gt;=Hoje-60),MAX($V$4:$V1035)+1,"")</f>
        <v>0</v>
      </c>
    </row>
    <row r="1037" spans="1:22">
      <c r="A1037" s="16"/>
      <c r="B1037" s="23"/>
      <c r="C1037" s="15"/>
      <c r="D1037" s="15"/>
      <c r="E1037" s="15"/>
      <c r="F1037" s="24"/>
      <c r="G1037" s="17"/>
      <c r="H1037" s="17"/>
      <c r="I1037" s="15"/>
      <c r="J1037" s="25">
        <f>IF($D1037="","",IFERROR(INDEX(PacNome,MATCH($D1037,PacCod,0)),"Paciente não cadastrado"))</f>
        <v>0</v>
      </c>
      <c r="K1037" s="26">
        <f>IF($D1037="","",IFERROR(INDEX(PacConv,MATCH($D1037,PacCod,0))&amp;"",""))</f>
        <v>0</v>
      </c>
      <c r="L1037" s="26">
        <f>IF($A1037="","",CHOOSE(WEEKDAY($A1037,2),"Seg","Ter","Qua","Qui","Sex","Sáb","Dom"))</f>
        <v>0</v>
      </c>
      <c r="M1037" s="27">
        <f>IF($E1037="","",IF($G1037&lt;&gt;"",$G1037,IFERROR(INDEX(ProcValor,MATCH($E1037,ProcNome,0)),0)))</f>
        <v>0</v>
      </c>
      <c r="N1037" s="27">
        <f>IF($M1037="","",IF($F1037="Compareceu",$M1037,0))</f>
        <v>0</v>
      </c>
      <c r="O1037" s="27">
        <f>IF($M1037="","",IF($F1037="Faltou",$M1037,0))</f>
        <v>0</v>
      </c>
      <c r="P1037" s="27">
        <f>IF($M1037="","",IF($F1037="Compareceu",MAX(0,$M1037-N($H1037)),0))</f>
        <v>0</v>
      </c>
      <c r="Q1037" s="19">
        <f>IF(AND($F1037="Compareceu",$E1037&lt;&gt;"",$A1037&lt;&gt;""),IF(IFERROR(INDEX(ProcRet,MATCH($E1037,ProcNome,0)),0)&gt;0,$A1037+INDEX(ProcRet,MATCH($E1037,ProcNome,0)),""),"")</f>
        <v>0</v>
      </c>
      <c r="R1037" s="26">
        <f>IF($Q1037="","",IF(COUNTIFS(AgPac,$D1037,AgData,"&gt;"&amp;$A1037,AgStatus,"&lt;&gt;Cancelado",AgStatus,"&lt;&gt;Remarcado")&gt;0,"Sim","Não"))</f>
        <v>0</v>
      </c>
      <c r="S1037" s="28">
        <f>IF($A1037="","",IF(AND($F1037="Agendado",$A1037-Hoje&gt;=0,$A1037-Hoje&lt;=DiasConf),"CONFIRMAR",IF(AND($A1037&lt;Hoje,OR($F1037="Agendado",$F1037="Confirmado")),"Atualizar status",IF(AND($F1037="Compareceu",$P1037&gt;0.005),"Cobrar",IF($F1037="Faltou","Falta: reagendar","")))))</f>
        <v>0</v>
      </c>
      <c r="T1037" s="29">
        <f>IF($A1037="","",DATE(YEAR($A1037),MONTH($A1037),1))</f>
        <v>0</v>
      </c>
      <c r="U1037" s="30">
        <f>IF($S1037="CONFIRMAR",MAX($U$4:$U1036)+1,"")</f>
        <v>0</v>
      </c>
      <c r="V1037" s="30">
        <f>IF(AND($R1037="Não",$Q1037&lt;&gt;"",$Q1037&lt;=Hoje+JanelaRet,$Q1037&gt;=Hoje-60),MAX($V$4:$V1036)+1,"")</f>
        <v>0</v>
      </c>
    </row>
    <row r="1038" spans="1:22">
      <c r="A1038" s="16"/>
      <c r="B1038" s="23"/>
      <c r="C1038" s="15"/>
      <c r="D1038" s="15"/>
      <c r="E1038" s="15"/>
      <c r="F1038" s="24"/>
      <c r="G1038" s="17"/>
      <c r="H1038" s="17"/>
      <c r="I1038" s="15"/>
      <c r="J1038" s="25">
        <f>IF($D1038="","",IFERROR(INDEX(PacNome,MATCH($D1038,PacCod,0)),"Paciente não cadastrado"))</f>
        <v>0</v>
      </c>
      <c r="K1038" s="26">
        <f>IF($D1038="","",IFERROR(INDEX(PacConv,MATCH($D1038,PacCod,0))&amp;"",""))</f>
        <v>0</v>
      </c>
      <c r="L1038" s="26">
        <f>IF($A1038="","",CHOOSE(WEEKDAY($A1038,2),"Seg","Ter","Qua","Qui","Sex","Sáb","Dom"))</f>
        <v>0</v>
      </c>
      <c r="M1038" s="27">
        <f>IF($E1038="","",IF($G1038&lt;&gt;"",$G1038,IFERROR(INDEX(ProcValor,MATCH($E1038,ProcNome,0)),0)))</f>
        <v>0</v>
      </c>
      <c r="N1038" s="27">
        <f>IF($M1038="","",IF($F1038="Compareceu",$M1038,0))</f>
        <v>0</v>
      </c>
      <c r="O1038" s="27">
        <f>IF($M1038="","",IF($F1038="Faltou",$M1038,0))</f>
        <v>0</v>
      </c>
      <c r="P1038" s="27">
        <f>IF($M1038="","",IF($F1038="Compareceu",MAX(0,$M1038-N($H1038)),0))</f>
        <v>0</v>
      </c>
      <c r="Q1038" s="19">
        <f>IF(AND($F1038="Compareceu",$E1038&lt;&gt;"",$A1038&lt;&gt;""),IF(IFERROR(INDEX(ProcRet,MATCH($E1038,ProcNome,0)),0)&gt;0,$A1038+INDEX(ProcRet,MATCH($E1038,ProcNome,0)),""),"")</f>
        <v>0</v>
      </c>
      <c r="R1038" s="26">
        <f>IF($Q1038="","",IF(COUNTIFS(AgPac,$D1038,AgData,"&gt;"&amp;$A1038,AgStatus,"&lt;&gt;Cancelado",AgStatus,"&lt;&gt;Remarcado")&gt;0,"Sim","Não"))</f>
        <v>0</v>
      </c>
      <c r="S1038" s="28">
        <f>IF($A1038="","",IF(AND($F1038="Agendado",$A1038-Hoje&gt;=0,$A1038-Hoje&lt;=DiasConf),"CONFIRMAR",IF(AND($A1038&lt;Hoje,OR($F1038="Agendado",$F1038="Confirmado")),"Atualizar status",IF(AND($F1038="Compareceu",$P1038&gt;0.005),"Cobrar",IF($F1038="Faltou","Falta: reagendar","")))))</f>
        <v>0</v>
      </c>
      <c r="T1038" s="29">
        <f>IF($A1038="","",DATE(YEAR($A1038),MONTH($A1038),1))</f>
        <v>0</v>
      </c>
      <c r="U1038" s="30">
        <f>IF($S1038="CONFIRMAR",MAX($U$4:$U1037)+1,"")</f>
        <v>0</v>
      </c>
      <c r="V1038" s="30">
        <f>IF(AND($R1038="Não",$Q1038&lt;&gt;"",$Q1038&lt;=Hoje+JanelaRet,$Q1038&gt;=Hoje-60),MAX($V$4:$V1037)+1,"")</f>
        <v>0</v>
      </c>
    </row>
    <row r="1039" spans="1:22">
      <c r="A1039" s="16"/>
      <c r="B1039" s="23"/>
      <c r="C1039" s="15"/>
      <c r="D1039" s="15"/>
      <c r="E1039" s="15"/>
      <c r="F1039" s="24"/>
      <c r="G1039" s="17"/>
      <c r="H1039" s="17"/>
      <c r="I1039" s="15"/>
      <c r="J1039" s="25">
        <f>IF($D1039="","",IFERROR(INDEX(PacNome,MATCH($D1039,PacCod,0)),"Paciente não cadastrado"))</f>
        <v>0</v>
      </c>
      <c r="K1039" s="26">
        <f>IF($D1039="","",IFERROR(INDEX(PacConv,MATCH($D1039,PacCod,0))&amp;"",""))</f>
        <v>0</v>
      </c>
      <c r="L1039" s="26">
        <f>IF($A1039="","",CHOOSE(WEEKDAY($A1039,2),"Seg","Ter","Qua","Qui","Sex","Sáb","Dom"))</f>
        <v>0</v>
      </c>
      <c r="M1039" s="27">
        <f>IF($E1039="","",IF($G1039&lt;&gt;"",$G1039,IFERROR(INDEX(ProcValor,MATCH($E1039,ProcNome,0)),0)))</f>
        <v>0</v>
      </c>
      <c r="N1039" s="27">
        <f>IF($M1039="","",IF($F1039="Compareceu",$M1039,0))</f>
        <v>0</v>
      </c>
      <c r="O1039" s="27">
        <f>IF($M1039="","",IF($F1039="Faltou",$M1039,0))</f>
        <v>0</v>
      </c>
      <c r="P1039" s="27">
        <f>IF($M1039="","",IF($F1039="Compareceu",MAX(0,$M1039-N($H1039)),0))</f>
        <v>0</v>
      </c>
      <c r="Q1039" s="19">
        <f>IF(AND($F1039="Compareceu",$E1039&lt;&gt;"",$A1039&lt;&gt;""),IF(IFERROR(INDEX(ProcRet,MATCH($E1039,ProcNome,0)),0)&gt;0,$A1039+INDEX(ProcRet,MATCH($E1039,ProcNome,0)),""),"")</f>
        <v>0</v>
      </c>
      <c r="R1039" s="26">
        <f>IF($Q1039="","",IF(COUNTIFS(AgPac,$D1039,AgData,"&gt;"&amp;$A1039,AgStatus,"&lt;&gt;Cancelado",AgStatus,"&lt;&gt;Remarcado")&gt;0,"Sim","Não"))</f>
        <v>0</v>
      </c>
      <c r="S1039" s="28">
        <f>IF($A1039="","",IF(AND($F1039="Agendado",$A1039-Hoje&gt;=0,$A1039-Hoje&lt;=DiasConf),"CONFIRMAR",IF(AND($A1039&lt;Hoje,OR($F1039="Agendado",$F1039="Confirmado")),"Atualizar status",IF(AND($F1039="Compareceu",$P1039&gt;0.005),"Cobrar",IF($F1039="Faltou","Falta: reagendar","")))))</f>
        <v>0</v>
      </c>
      <c r="T1039" s="29">
        <f>IF($A1039="","",DATE(YEAR($A1039),MONTH($A1039),1))</f>
        <v>0</v>
      </c>
      <c r="U1039" s="30">
        <f>IF($S1039="CONFIRMAR",MAX($U$4:$U1038)+1,"")</f>
        <v>0</v>
      </c>
      <c r="V1039" s="30">
        <f>IF(AND($R1039="Não",$Q1039&lt;&gt;"",$Q1039&lt;=Hoje+JanelaRet,$Q1039&gt;=Hoje-60),MAX($V$4:$V1038)+1,"")</f>
        <v>0</v>
      </c>
    </row>
    <row r="1040" spans="1:22">
      <c r="A1040" s="16"/>
      <c r="B1040" s="23"/>
      <c r="C1040" s="15"/>
      <c r="D1040" s="15"/>
      <c r="E1040" s="15"/>
      <c r="F1040" s="24"/>
      <c r="G1040" s="17"/>
      <c r="H1040" s="17"/>
      <c r="I1040" s="15"/>
      <c r="J1040" s="25">
        <f>IF($D1040="","",IFERROR(INDEX(PacNome,MATCH($D1040,PacCod,0)),"Paciente não cadastrado"))</f>
        <v>0</v>
      </c>
      <c r="K1040" s="26">
        <f>IF($D1040="","",IFERROR(INDEX(PacConv,MATCH($D1040,PacCod,0))&amp;"",""))</f>
        <v>0</v>
      </c>
      <c r="L1040" s="26">
        <f>IF($A1040="","",CHOOSE(WEEKDAY($A1040,2),"Seg","Ter","Qua","Qui","Sex","Sáb","Dom"))</f>
        <v>0</v>
      </c>
      <c r="M1040" s="27">
        <f>IF($E1040="","",IF($G1040&lt;&gt;"",$G1040,IFERROR(INDEX(ProcValor,MATCH($E1040,ProcNome,0)),0)))</f>
        <v>0</v>
      </c>
      <c r="N1040" s="27">
        <f>IF($M1040="","",IF($F1040="Compareceu",$M1040,0))</f>
        <v>0</v>
      </c>
      <c r="O1040" s="27">
        <f>IF($M1040="","",IF($F1040="Faltou",$M1040,0))</f>
        <v>0</v>
      </c>
      <c r="P1040" s="27">
        <f>IF($M1040="","",IF($F1040="Compareceu",MAX(0,$M1040-N($H1040)),0))</f>
        <v>0</v>
      </c>
      <c r="Q1040" s="19">
        <f>IF(AND($F1040="Compareceu",$E1040&lt;&gt;"",$A1040&lt;&gt;""),IF(IFERROR(INDEX(ProcRet,MATCH($E1040,ProcNome,0)),0)&gt;0,$A1040+INDEX(ProcRet,MATCH($E1040,ProcNome,0)),""),"")</f>
        <v>0</v>
      </c>
      <c r="R1040" s="26">
        <f>IF($Q1040="","",IF(COUNTIFS(AgPac,$D1040,AgData,"&gt;"&amp;$A1040,AgStatus,"&lt;&gt;Cancelado",AgStatus,"&lt;&gt;Remarcado")&gt;0,"Sim","Não"))</f>
        <v>0</v>
      </c>
      <c r="S1040" s="28">
        <f>IF($A1040="","",IF(AND($F1040="Agendado",$A1040-Hoje&gt;=0,$A1040-Hoje&lt;=DiasConf),"CONFIRMAR",IF(AND($A1040&lt;Hoje,OR($F1040="Agendado",$F1040="Confirmado")),"Atualizar status",IF(AND($F1040="Compareceu",$P1040&gt;0.005),"Cobrar",IF($F1040="Faltou","Falta: reagendar","")))))</f>
        <v>0</v>
      </c>
      <c r="T1040" s="29">
        <f>IF($A1040="","",DATE(YEAR($A1040),MONTH($A1040),1))</f>
        <v>0</v>
      </c>
      <c r="U1040" s="30">
        <f>IF($S1040="CONFIRMAR",MAX($U$4:$U1039)+1,"")</f>
        <v>0</v>
      </c>
      <c r="V1040" s="30">
        <f>IF(AND($R1040="Não",$Q1040&lt;&gt;"",$Q1040&lt;=Hoje+JanelaRet,$Q1040&gt;=Hoje-60),MAX($V$4:$V1039)+1,"")</f>
        <v>0</v>
      </c>
    </row>
    <row r="1041" spans="1:22">
      <c r="A1041" s="16"/>
      <c r="B1041" s="23"/>
      <c r="C1041" s="15"/>
      <c r="D1041" s="15"/>
      <c r="E1041" s="15"/>
      <c r="F1041" s="24"/>
      <c r="G1041" s="17"/>
      <c r="H1041" s="17"/>
      <c r="I1041" s="15"/>
      <c r="J1041" s="25">
        <f>IF($D1041="","",IFERROR(INDEX(PacNome,MATCH($D1041,PacCod,0)),"Paciente não cadastrado"))</f>
        <v>0</v>
      </c>
      <c r="K1041" s="26">
        <f>IF($D1041="","",IFERROR(INDEX(PacConv,MATCH($D1041,PacCod,0))&amp;"",""))</f>
        <v>0</v>
      </c>
      <c r="L1041" s="26">
        <f>IF($A1041="","",CHOOSE(WEEKDAY($A1041,2),"Seg","Ter","Qua","Qui","Sex","Sáb","Dom"))</f>
        <v>0</v>
      </c>
      <c r="M1041" s="27">
        <f>IF($E1041="","",IF($G1041&lt;&gt;"",$G1041,IFERROR(INDEX(ProcValor,MATCH($E1041,ProcNome,0)),0)))</f>
        <v>0</v>
      </c>
      <c r="N1041" s="27">
        <f>IF($M1041="","",IF($F1041="Compareceu",$M1041,0))</f>
        <v>0</v>
      </c>
      <c r="O1041" s="27">
        <f>IF($M1041="","",IF($F1041="Faltou",$M1041,0))</f>
        <v>0</v>
      </c>
      <c r="P1041" s="27">
        <f>IF($M1041="","",IF($F1041="Compareceu",MAX(0,$M1041-N($H1041)),0))</f>
        <v>0</v>
      </c>
      <c r="Q1041" s="19">
        <f>IF(AND($F1041="Compareceu",$E1041&lt;&gt;"",$A1041&lt;&gt;""),IF(IFERROR(INDEX(ProcRet,MATCH($E1041,ProcNome,0)),0)&gt;0,$A1041+INDEX(ProcRet,MATCH($E1041,ProcNome,0)),""),"")</f>
        <v>0</v>
      </c>
      <c r="R1041" s="26">
        <f>IF($Q1041="","",IF(COUNTIFS(AgPac,$D1041,AgData,"&gt;"&amp;$A1041,AgStatus,"&lt;&gt;Cancelado",AgStatus,"&lt;&gt;Remarcado")&gt;0,"Sim","Não"))</f>
        <v>0</v>
      </c>
      <c r="S1041" s="28">
        <f>IF($A1041="","",IF(AND($F1041="Agendado",$A1041-Hoje&gt;=0,$A1041-Hoje&lt;=DiasConf),"CONFIRMAR",IF(AND($A1041&lt;Hoje,OR($F1041="Agendado",$F1041="Confirmado")),"Atualizar status",IF(AND($F1041="Compareceu",$P1041&gt;0.005),"Cobrar",IF($F1041="Faltou","Falta: reagendar","")))))</f>
        <v>0</v>
      </c>
      <c r="T1041" s="29">
        <f>IF($A1041="","",DATE(YEAR($A1041),MONTH($A1041),1))</f>
        <v>0</v>
      </c>
      <c r="U1041" s="30">
        <f>IF($S1041="CONFIRMAR",MAX($U$4:$U1040)+1,"")</f>
        <v>0</v>
      </c>
      <c r="V1041" s="30">
        <f>IF(AND($R1041="Não",$Q1041&lt;&gt;"",$Q1041&lt;=Hoje+JanelaRet,$Q1041&gt;=Hoje-60),MAX($V$4:$V1040)+1,"")</f>
        <v>0</v>
      </c>
    </row>
    <row r="1042" spans="1:22">
      <c r="A1042" s="16"/>
      <c r="B1042" s="23"/>
      <c r="C1042" s="15"/>
      <c r="D1042" s="15"/>
      <c r="E1042" s="15"/>
      <c r="F1042" s="24"/>
      <c r="G1042" s="17"/>
      <c r="H1042" s="17"/>
      <c r="I1042" s="15"/>
      <c r="J1042" s="25">
        <f>IF($D1042="","",IFERROR(INDEX(PacNome,MATCH($D1042,PacCod,0)),"Paciente não cadastrado"))</f>
        <v>0</v>
      </c>
      <c r="K1042" s="26">
        <f>IF($D1042="","",IFERROR(INDEX(PacConv,MATCH($D1042,PacCod,0))&amp;"",""))</f>
        <v>0</v>
      </c>
      <c r="L1042" s="26">
        <f>IF($A1042="","",CHOOSE(WEEKDAY($A1042,2),"Seg","Ter","Qua","Qui","Sex","Sáb","Dom"))</f>
        <v>0</v>
      </c>
      <c r="M1042" s="27">
        <f>IF($E1042="","",IF($G1042&lt;&gt;"",$G1042,IFERROR(INDEX(ProcValor,MATCH($E1042,ProcNome,0)),0)))</f>
        <v>0</v>
      </c>
      <c r="N1042" s="27">
        <f>IF($M1042="","",IF($F1042="Compareceu",$M1042,0))</f>
        <v>0</v>
      </c>
      <c r="O1042" s="27">
        <f>IF($M1042="","",IF($F1042="Faltou",$M1042,0))</f>
        <v>0</v>
      </c>
      <c r="P1042" s="27">
        <f>IF($M1042="","",IF($F1042="Compareceu",MAX(0,$M1042-N($H1042)),0))</f>
        <v>0</v>
      </c>
      <c r="Q1042" s="19">
        <f>IF(AND($F1042="Compareceu",$E1042&lt;&gt;"",$A1042&lt;&gt;""),IF(IFERROR(INDEX(ProcRet,MATCH($E1042,ProcNome,0)),0)&gt;0,$A1042+INDEX(ProcRet,MATCH($E1042,ProcNome,0)),""),"")</f>
        <v>0</v>
      </c>
      <c r="R1042" s="26">
        <f>IF($Q1042="","",IF(COUNTIFS(AgPac,$D1042,AgData,"&gt;"&amp;$A1042,AgStatus,"&lt;&gt;Cancelado",AgStatus,"&lt;&gt;Remarcado")&gt;0,"Sim","Não"))</f>
        <v>0</v>
      </c>
      <c r="S1042" s="28">
        <f>IF($A1042="","",IF(AND($F1042="Agendado",$A1042-Hoje&gt;=0,$A1042-Hoje&lt;=DiasConf),"CONFIRMAR",IF(AND($A1042&lt;Hoje,OR($F1042="Agendado",$F1042="Confirmado")),"Atualizar status",IF(AND($F1042="Compareceu",$P1042&gt;0.005),"Cobrar",IF($F1042="Faltou","Falta: reagendar","")))))</f>
        <v>0</v>
      </c>
      <c r="T1042" s="29">
        <f>IF($A1042="","",DATE(YEAR($A1042),MONTH($A1042),1))</f>
        <v>0</v>
      </c>
      <c r="U1042" s="30">
        <f>IF($S1042="CONFIRMAR",MAX($U$4:$U1041)+1,"")</f>
        <v>0</v>
      </c>
      <c r="V1042" s="30">
        <f>IF(AND($R1042="Não",$Q1042&lt;&gt;"",$Q1042&lt;=Hoje+JanelaRet,$Q1042&gt;=Hoje-60),MAX($V$4:$V1041)+1,"")</f>
        <v>0</v>
      </c>
    </row>
    <row r="1043" spans="1:22">
      <c r="A1043" s="16"/>
      <c r="B1043" s="23"/>
      <c r="C1043" s="15"/>
      <c r="D1043" s="15"/>
      <c r="E1043" s="15"/>
      <c r="F1043" s="24"/>
      <c r="G1043" s="17"/>
      <c r="H1043" s="17"/>
      <c r="I1043" s="15"/>
      <c r="J1043" s="25">
        <f>IF($D1043="","",IFERROR(INDEX(PacNome,MATCH($D1043,PacCod,0)),"Paciente não cadastrado"))</f>
        <v>0</v>
      </c>
      <c r="K1043" s="26">
        <f>IF($D1043="","",IFERROR(INDEX(PacConv,MATCH($D1043,PacCod,0))&amp;"",""))</f>
        <v>0</v>
      </c>
      <c r="L1043" s="26">
        <f>IF($A1043="","",CHOOSE(WEEKDAY($A1043,2),"Seg","Ter","Qua","Qui","Sex","Sáb","Dom"))</f>
        <v>0</v>
      </c>
      <c r="M1043" s="27">
        <f>IF($E1043="","",IF($G1043&lt;&gt;"",$G1043,IFERROR(INDEX(ProcValor,MATCH($E1043,ProcNome,0)),0)))</f>
        <v>0</v>
      </c>
      <c r="N1043" s="27">
        <f>IF($M1043="","",IF($F1043="Compareceu",$M1043,0))</f>
        <v>0</v>
      </c>
      <c r="O1043" s="27">
        <f>IF($M1043="","",IF($F1043="Faltou",$M1043,0))</f>
        <v>0</v>
      </c>
      <c r="P1043" s="27">
        <f>IF($M1043="","",IF($F1043="Compareceu",MAX(0,$M1043-N($H1043)),0))</f>
        <v>0</v>
      </c>
      <c r="Q1043" s="19">
        <f>IF(AND($F1043="Compareceu",$E1043&lt;&gt;"",$A1043&lt;&gt;""),IF(IFERROR(INDEX(ProcRet,MATCH($E1043,ProcNome,0)),0)&gt;0,$A1043+INDEX(ProcRet,MATCH($E1043,ProcNome,0)),""),"")</f>
        <v>0</v>
      </c>
      <c r="R1043" s="26">
        <f>IF($Q1043="","",IF(COUNTIFS(AgPac,$D1043,AgData,"&gt;"&amp;$A1043,AgStatus,"&lt;&gt;Cancelado",AgStatus,"&lt;&gt;Remarcado")&gt;0,"Sim","Não"))</f>
        <v>0</v>
      </c>
      <c r="S1043" s="28">
        <f>IF($A1043="","",IF(AND($F1043="Agendado",$A1043-Hoje&gt;=0,$A1043-Hoje&lt;=DiasConf),"CONFIRMAR",IF(AND($A1043&lt;Hoje,OR($F1043="Agendado",$F1043="Confirmado")),"Atualizar status",IF(AND($F1043="Compareceu",$P1043&gt;0.005),"Cobrar",IF($F1043="Faltou","Falta: reagendar","")))))</f>
        <v>0</v>
      </c>
      <c r="T1043" s="29">
        <f>IF($A1043="","",DATE(YEAR($A1043),MONTH($A1043),1))</f>
        <v>0</v>
      </c>
      <c r="U1043" s="30">
        <f>IF($S1043="CONFIRMAR",MAX($U$4:$U1042)+1,"")</f>
        <v>0</v>
      </c>
      <c r="V1043" s="30">
        <f>IF(AND($R1043="Não",$Q1043&lt;&gt;"",$Q1043&lt;=Hoje+JanelaRet,$Q1043&gt;=Hoje-60),MAX($V$4:$V1042)+1,"")</f>
        <v>0</v>
      </c>
    </row>
    <row r="1044" spans="1:22">
      <c r="A1044" s="16"/>
      <c r="B1044" s="23"/>
      <c r="C1044" s="15"/>
      <c r="D1044" s="15"/>
      <c r="E1044" s="15"/>
      <c r="F1044" s="24"/>
      <c r="G1044" s="17"/>
      <c r="H1044" s="17"/>
      <c r="I1044" s="15"/>
      <c r="J1044" s="25">
        <f>IF($D1044="","",IFERROR(INDEX(PacNome,MATCH($D1044,PacCod,0)),"Paciente não cadastrado"))</f>
        <v>0</v>
      </c>
      <c r="K1044" s="26">
        <f>IF($D1044="","",IFERROR(INDEX(PacConv,MATCH($D1044,PacCod,0))&amp;"",""))</f>
        <v>0</v>
      </c>
      <c r="L1044" s="26">
        <f>IF($A1044="","",CHOOSE(WEEKDAY($A1044,2),"Seg","Ter","Qua","Qui","Sex","Sáb","Dom"))</f>
        <v>0</v>
      </c>
      <c r="M1044" s="27">
        <f>IF($E1044="","",IF($G1044&lt;&gt;"",$G1044,IFERROR(INDEX(ProcValor,MATCH($E1044,ProcNome,0)),0)))</f>
        <v>0</v>
      </c>
      <c r="N1044" s="27">
        <f>IF($M1044="","",IF($F1044="Compareceu",$M1044,0))</f>
        <v>0</v>
      </c>
      <c r="O1044" s="27">
        <f>IF($M1044="","",IF($F1044="Faltou",$M1044,0))</f>
        <v>0</v>
      </c>
      <c r="P1044" s="27">
        <f>IF($M1044="","",IF($F1044="Compareceu",MAX(0,$M1044-N($H1044)),0))</f>
        <v>0</v>
      </c>
      <c r="Q1044" s="19">
        <f>IF(AND($F1044="Compareceu",$E1044&lt;&gt;"",$A1044&lt;&gt;""),IF(IFERROR(INDEX(ProcRet,MATCH($E1044,ProcNome,0)),0)&gt;0,$A1044+INDEX(ProcRet,MATCH($E1044,ProcNome,0)),""),"")</f>
        <v>0</v>
      </c>
      <c r="R1044" s="26">
        <f>IF($Q1044="","",IF(COUNTIFS(AgPac,$D1044,AgData,"&gt;"&amp;$A1044,AgStatus,"&lt;&gt;Cancelado",AgStatus,"&lt;&gt;Remarcado")&gt;0,"Sim","Não"))</f>
        <v>0</v>
      </c>
      <c r="S1044" s="28">
        <f>IF($A1044="","",IF(AND($F1044="Agendado",$A1044-Hoje&gt;=0,$A1044-Hoje&lt;=DiasConf),"CONFIRMAR",IF(AND($A1044&lt;Hoje,OR($F1044="Agendado",$F1044="Confirmado")),"Atualizar status",IF(AND($F1044="Compareceu",$P1044&gt;0.005),"Cobrar",IF($F1044="Faltou","Falta: reagendar","")))))</f>
        <v>0</v>
      </c>
      <c r="T1044" s="29">
        <f>IF($A1044="","",DATE(YEAR($A1044),MONTH($A1044),1))</f>
        <v>0</v>
      </c>
      <c r="U1044" s="30">
        <f>IF($S1044="CONFIRMAR",MAX($U$4:$U1043)+1,"")</f>
        <v>0</v>
      </c>
      <c r="V1044" s="30">
        <f>IF(AND($R1044="Não",$Q1044&lt;&gt;"",$Q1044&lt;=Hoje+JanelaRet,$Q1044&gt;=Hoje-60),MAX($V$4:$V1043)+1,"")</f>
        <v>0</v>
      </c>
    </row>
    <row r="1045" spans="1:22">
      <c r="A1045" s="16"/>
      <c r="B1045" s="23"/>
      <c r="C1045" s="15"/>
      <c r="D1045" s="15"/>
      <c r="E1045" s="15"/>
      <c r="F1045" s="24"/>
      <c r="G1045" s="17"/>
      <c r="H1045" s="17"/>
      <c r="I1045" s="15"/>
      <c r="J1045" s="25">
        <f>IF($D1045="","",IFERROR(INDEX(PacNome,MATCH($D1045,PacCod,0)),"Paciente não cadastrado"))</f>
        <v>0</v>
      </c>
      <c r="K1045" s="26">
        <f>IF($D1045="","",IFERROR(INDEX(PacConv,MATCH($D1045,PacCod,0))&amp;"",""))</f>
        <v>0</v>
      </c>
      <c r="L1045" s="26">
        <f>IF($A1045="","",CHOOSE(WEEKDAY($A1045,2),"Seg","Ter","Qua","Qui","Sex","Sáb","Dom"))</f>
        <v>0</v>
      </c>
      <c r="M1045" s="27">
        <f>IF($E1045="","",IF($G1045&lt;&gt;"",$G1045,IFERROR(INDEX(ProcValor,MATCH($E1045,ProcNome,0)),0)))</f>
        <v>0</v>
      </c>
      <c r="N1045" s="27">
        <f>IF($M1045="","",IF($F1045="Compareceu",$M1045,0))</f>
        <v>0</v>
      </c>
      <c r="O1045" s="27">
        <f>IF($M1045="","",IF($F1045="Faltou",$M1045,0))</f>
        <v>0</v>
      </c>
      <c r="P1045" s="27">
        <f>IF($M1045="","",IF($F1045="Compareceu",MAX(0,$M1045-N($H1045)),0))</f>
        <v>0</v>
      </c>
      <c r="Q1045" s="19">
        <f>IF(AND($F1045="Compareceu",$E1045&lt;&gt;"",$A1045&lt;&gt;""),IF(IFERROR(INDEX(ProcRet,MATCH($E1045,ProcNome,0)),0)&gt;0,$A1045+INDEX(ProcRet,MATCH($E1045,ProcNome,0)),""),"")</f>
        <v>0</v>
      </c>
      <c r="R1045" s="26">
        <f>IF($Q1045="","",IF(COUNTIFS(AgPac,$D1045,AgData,"&gt;"&amp;$A1045,AgStatus,"&lt;&gt;Cancelado",AgStatus,"&lt;&gt;Remarcado")&gt;0,"Sim","Não"))</f>
        <v>0</v>
      </c>
      <c r="S1045" s="28">
        <f>IF($A1045="","",IF(AND($F1045="Agendado",$A1045-Hoje&gt;=0,$A1045-Hoje&lt;=DiasConf),"CONFIRMAR",IF(AND($A1045&lt;Hoje,OR($F1045="Agendado",$F1045="Confirmado")),"Atualizar status",IF(AND($F1045="Compareceu",$P1045&gt;0.005),"Cobrar",IF($F1045="Faltou","Falta: reagendar","")))))</f>
        <v>0</v>
      </c>
      <c r="T1045" s="29">
        <f>IF($A1045="","",DATE(YEAR($A1045),MONTH($A1045),1))</f>
        <v>0</v>
      </c>
      <c r="U1045" s="30">
        <f>IF($S1045="CONFIRMAR",MAX($U$4:$U1044)+1,"")</f>
        <v>0</v>
      </c>
      <c r="V1045" s="30">
        <f>IF(AND($R1045="Não",$Q1045&lt;&gt;"",$Q1045&lt;=Hoje+JanelaRet,$Q1045&gt;=Hoje-60),MAX($V$4:$V1044)+1,"")</f>
        <v>0</v>
      </c>
    </row>
    <row r="1046" spans="1:22">
      <c r="A1046" s="16"/>
      <c r="B1046" s="23"/>
      <c r="C1046" s="15"/>
      <c r="D1046" s="15"/>
      <c r="E1046" s="15"/>
      <c r="F1046" s="24"/>
      <c r="G1046" s="17"/>
      <c r="H1046" s="17"/>
      <c r="I1046" s="15"/>
      <c r="J1046" s="25">
        <f>IF($D1046="","",IFERROR(INDEX(PacNome,MATCH($D1046,PacCod,0)),"Paciente não cadastrado"))</f>
        <v>0</v>
      </c>
      <c r="K1046" s="26">
        <f>IF($D1046="","",IFERROR(INDEX(PacConv,MATCH($D1046,PacCod,0))&amp;"",""))</f>
        <v>0</v>
      </c>
      <c r="L1046" s="26">
        <f>IF($A1046="","",CHOOSE(WEEKDAY($A1046,2),"Seg","Ter","Qua","Qui","Sex","Sáb","Dom"))</f>
        <v>0</v>
      </c>
      <c r="M1046" s="27">
        <f>IF($E1046="","",IF($G1046&lt;&gt;"",$G1046,IFERROR(INDEX(ProcValor,MATCH($E1046,ProcNome,0)),0)))</f>
        <v>0</v>
      </c>
      <c r="N1046" s="27">
        <f>IF($M1046="","",IF($F1046="Compareceu",$M1046,0))</f>
        <v>0</v>
      </c>
      <c r="O1046" s="27">
        <f>IF($M1046="","",IF($F1046="Faltou",$M1046,0))</f>
        <v>0</v>
      </c>
      <c r="P1046" s="27">
        <f>IF($M1046="","",IF($F1046="Compareceu",MAX(0,$M1046-N($H1046)),0))</f>
        <v>0</v>
      </c>
      <c r="Q1046" s="19">
        <f>IF(AND($F1046="Compareceu",$E1046&lt;&gt;"",$A1046&lt;&gt;""),IF(IFERROR(INDEX(ProcRet,MATCH($E1046,ProcNome,0)),0)&gt;0,$A1046+INDEX(ProcRet,MATCH($E1046,ProcNome,0)),""),"")</f>
        <v>0</v>
      </c>
      <c r="R1046" s="26">
        <f>IF($Q1046="","",IF(COUNTIFS(AgPac,$D1046,AgData,"&gt;"&amp;$A1046,AgStatus,"&lt;&gt;Cancelado",AgStatus,"&lt;&gt;Remarcado")&gt;0,"Sim","Não"))</f>
        <v>0</v>
      </c>
      <c r="S1046" s="28">
        <f>IF($A1046="","",IF(AND($F1046="Agendado",$A1046-Hoje&gt;=0,$A1046-Hoje&lt;=DiasConf),"CONFIRMAR",IF(AND($A1046&lt;Hoje,OR($F1046="Agendado",$F1046="Confirmado")),"Atualizar status",IF(AND($F1046="Compareceu",$P1046&gt;0.005),"Cobrar",IF($F1046="Faltou","Falta: reagendar","")))))</f>
        <v>0</v>
      </c>
      <c r="T1046" s="29">
        <f>IF($A1046="","",DATE(YEAR($A1046),MONTH($A1046),1))</f>
        <v>0</v>
      </c>
      <c r="U1046" s="30">
        <f>IF($S1046="CONFIRMAR",MAX($U$4:$U1045)+1,"")</f>
        <v>0</v>
      </c>
      <c r="V1046" s="30">
        <f>IF(AND($R1046="Não",$Q1046&lt;&gt;"",$Q1046&lt;=Hoje+JanelaRet,$Q1046&gt;=Hoje-60),MAX($V$4:$V1045)+1,"")</f>
        <v>0</v>
      </c>
    </row>
    <row r="1047" spans="1:22">
      <c r="A1047" s="16"/>
      <c r="B1047" s="23"/>
      <c r="C1047" s="15"/>
      <c r="D1047" s="15"/>
      <c r="E1047" s="15"/>
      <c r="F1047" s="24"/>
      <c r="G1047" s="17"/>
      <c r="H1047" s="17"/>
      <c r="I1047" s="15"/>
      <c r="J1047" s="25">
        <f>IF($D1047="","",IFERROR(INDEX(PacNome,MATCH($D1047,PacCod,0)),"Paciente não cadastrado"))</f>
        <v>0</v>
      </c>
      <c r="K1047" s="26">
        <f>IF($D1047="","",IFERROR(INDEX(PacConv,MATCH($D1047,PacCod,0))&amp;"",""))</f>
        <v>0</v>
      </c>
      <c r="L1047" s="26">
        <f>IF($A1047="","",CHOOSE(WEEKDAY($A1047,2),"Seg","Ter","Qua","Qui","Sex","Sáb","Dom"))</f>
        <v>0</v>
      </c>
      <c r="M1047" s="27">
        <f>IF($E1047="","",IF($G1047&lt;&gt;"",$G1047,IFERROR(INDEX(ProcValor,MATCH($E1047,ProcNome,0)),0)))</f>
        <v>0</v>
      </c>
      <c r="N1047" s="27">
        <f>IF($M1047="","",IF($F1047="Compareceu",$M1047,0))</f>
        <v>0</v>
      </c>
      <c r="O1047" s="27">
        <f>IF($M1047="","",IF($F1047="Faltou",$M1047,0))</f>
        <v>0</v>
      </c>
      <c r="P1047" s="27">
        <f>IF($M1047="","",IF($F1047="Compareceu",MAX(0,$M1047-N($H1047)),0))</f>
        <v>0</v>
      </c>
      <c r="Q1047" s="19">
        <f>IF(AND($F1047="Compareceu",$E1047&lt;&gt;"",$A1047&lt;&gt;""),IF(IFERROR(INDEX(ProcRet,MATCH($E1047,ProcNome,0)),0)&gt;0,$A1047+INDEX(ProcRet,MATCH($E1047,ProcNome,0)),""),"")</f>
        <v>0</v>
      </c>
      <c r="R1047" s="26">
        <f>IF($Q1047="","",IF(COUNTIFS(AgPac,$D1047,AgData,"&gt;"&amp;$A1047,AgStatus,"&lt;&gt;Cancelado",AgStatus,"&lt;&gt;Remarcado")&gt;0,"Sim","Não"))</f>
        <v>0</v>
      </c>
      <c r="S1047" s="28">
        <f>IF($A1047="","",IF(AND($F1047="Agendado",$A1047-Hoje&gt;=0,$A1047-Hoje&lt;=DiasConf),"CONFIRMAR",IF(AND($A1047&lt;Hoje,OR($F1047="Agendado",$F1047="Confirmado")),"Atualizar status",IF(AND($F1047="Compareceu",$P1047&gt;0.005),"Cobrar",IF($F1047="Faltou","Falta: reagendar","")))))</f>
        <v>0</v>
      </c>
      <c r="T1047" s="29">
        <f>IF($A1047="","",DATE(YEAR($A1047),MONTH($A1047),1))</f>
        <v>0</v>
      </c>
      <c r="U1047" s="30">
        <f>IF($S1047="CONFIRMAR",MAX($U$4:$U1046)+1,"")</f>
        <v>0</v>
      </c>
      <c r="V1047" s="30">
        <f>IF(AND($R1047="Não",$Q1047&lt;&gt;"",$Q1047&lt;=Hoje+JanelaRet,$Q1047&gt;=Hoje-60),MAX($V$4:$V1046)+1,"")</f>
        <v>0</v>
      </c>
    </row>
    <row r="1048" spans="1:22">
      <c r="A1048" s="16"/>
      <c r="B1048" s="23"/>
      <c r="C1048" s="15"/>
      <c r="D1048" s="15"/>
      <c r="E1048" s="15"/>
      <c r="F1048" s="24"/>
      <c r="G1048" s="17"/>
      <c r="H1048" s="17"/>
      <c r="I1048" s="15"/>
      <c r="J1048" s="25">
        <f>IF($D1048="","",IFERROR(INDEX(PacNome,MATCH($D1048,PacCod,0)),"Paciente não cadastrado"))</f>
        <v>0</v>
      </c>
      <c r="K1048" s="26">
        <f>IF($D1048="","",IFERROR(INDEX(PacConv,MATCH($D1048,PacCod,0))&amp;"",""))</f>
        <v>0</v>
      </c>
      <c r="L1048" s="26">
        <f>IF($A1048="","",CHOOSE(WEEKDAY($A1048,2),"Seg","Ter","Qua","Qui","Sex","Sáb","Dom"))</f>
        <v>0</v>
      </c>
      <c r="M1048" s="27">
        <f>IF($E1048="","",IF($G1048&lt;&gt;"",$G1048,IFERROR(INDEX(ProcValor,MATCH($E1048,ProcNome,0)),0)))</f>
        <v>0</v>
      </c>
      <c r="N1048" s="27">
        <f>IF($M1048="","",IF($F1048="Compareceu",$M1048,0))</f>
        <v>0</v>
      </c>
      <c r="O1048" s="27">
        <f>IF($M1048="","",IF($F1048="Faltou",$M1048,0))</f>
        <v>0</v>
      </c>
      <c r="P1048" s="27">
        <f>IF($M1048="","",IF($F1048="Compareceu",MAX(0,$M1048-N($H1048)),0))</f>
        <v>0</v>
      </c>
      <c r="Q1048" s="19">
        <f>IF(AND($F1048="Compareceu",$E1048&lt;&gt;"",$A1048&lt;&gt;""),IF(IFERROR(INDEX(ProcRet,MATCH($E1048,ProcNome,0)),0)&gt;0,$A1048+INDEX(ProcRet,MATCH($E1048,ProcNome,0)),""),"")</f>
        <v>0</v>
      </c>
      <c r="R1048" s="26">
        <f>IF($Q1048="","",IF(COUNTIFS(AgPac,$D1048,AgData,"&gt;"&amp;$A1048,AgStatus,"&lt;&gt;Cancelado",AgStatus,"&lt;&gt;Remarcado")&gt;0,"Sim","Não"))</f>
        <v>0</v>
      </c>
      <c r="S1048" s="28">
        <f>IF($A1048="","",IF(AND($F1048="Agendado",$A1048-Hoje&gt;=0,$A1048-Hoje&lt;=DiasConf),"CONFIRMAR",IF(AND($A1048&lt;Hoje,OR($F1048="Agendado",$F1048="Confirmado")),"Atualizar status",IF(AND($F1048="Compareceu",$P1048&gt;0.005),"Cobrar",IF($F1048="Faltou","Falta: reagendar","")))))</f>
        <v>0</v>
      </c>
      <c r="T1048" s="29">
        <f>IF($A1048="","",DATE(YEAR($A1048),MONTH($A1048),1))</f>
        <v>0</v>
      </c>
      <c r="U1048" s="30">
        <f>IF($S1048="CONFIRMAR",MAX($U$4:$U1047)+1,"")</f>
        <v>0</v>
      </c>
      <c r="V1048" s="30">
        <f>IF(AND($R1048="Não",$Q1048&lt;&gt;"",$Q1048&lt;=Hoje+JanelaRet,$Q1048&gt;=Hoje-60),MAX($V$4:$V1047)+1,"")</f>
        <v>0</v>
      </c>
    </row>
    <row r="1049" spans="1:22">
      <c r="A1049" s="16"/>
      <c r="B1049" s="23"/>
      <c r="C1049" s="15"/>
      <c r="D1049" s="15"/>
      <c r="E1049" s="15"/>
      <c r="F1049" s="24"/>
      <c r="G1049" s="17"/>
      <c r="H1049" s="17"/>
      <c r="I1049" s="15"/>
      <c r="J1049" s="25">
        <f>IF($D1049="","",IFERROR(INDEX(PacNome,MATCH($D1049,PacCod,0)),"Paciente não cadastrado"))</f>
        <v>0</v>
      </c>
      <c r="K1049" s="26">
        <f>IF($D1049="","",IFERROR(INDEX(PacConv,MATCH($D1049,PacCod,0))&amp;"",""))</f>
        <v>0</v>
      </c>
      <c r="L1049" s="26">
        <f>IF($A1049="","",CHOOSE(WEEKDAY($A1049,2),"Seg","Ter","Qua","Qui","Sex","Sáb","Dom"))</f>
        <v>0</v>
      </c>
      <c r="M1049" s="27">
        <f>IF($E1049="","",IF($G1049&lt;&gt;"",$G1049,IFERROR(INDEX(ProcValor,MATCH($E1049,ProcNome,0)),0)))</f>
        <v>0</v>
      </c>
      <c r="N1049" s="27">
        <f>IF($M1049="","",IF($F1049="Compareceu",$M1049,0))</f>
        <v>0</v>
      </c>
      <c r="O1049" s="27">
        <f>IF($M1049="","",IF($F1049="Faltou",$M1049,0))</f>
        <v>0</v>
      </c>
      <c r="P1049" s="27">
        <f>IF($M1049="","",IF($F1049="Compareceu",MAX(0,$M1049-N($H1049)),0))</f>
        <v>0</v>
      </c>
      <c r="Q1049" s="19">
        <f>IF(AND($F1049="Compareceu",$E1049&lt;&gt;"",$A1049&lt;&gt;""),IF(IFERROR(INDEX(ProcRet,MATCH($E1049,ProcNome,0)),0)&gt;0,$A1049+INDEX(ProcRet,MATCH($E1049,ProcNome,0)),""),"")</f>
        <v>0</v>
      </c>
      <c r="R1049" s="26">
        <f>IF($Q1049="","",IF(COUNTIFS(AgPac,$D1049,AgData,"&gt;"&amp;$A1049,AgStatus,"&lt;&gt;Cancelado",AgStatus,"&lt;&gt;Remarcado")&gt;0,"Sim","Não"))</f>
        <v>0</v>
      </c>
      <c r="S1049" s="28">
        <f>IF($A1049="","",IF(AND($F1049="Agendado",$A1049-Hoje&gt;=0,$A1049-Hoje&lt;=DiasConf),"CONFIRMAR",IF(AND($A1049&lt;Hoje,OR($F1049="Agendado",$F1049="Confirmado")),"Atualizar status",IF(AND($F1049="Compareceu",$P1049&gt;0.005),"Cobrar",IF($F1049="Faltou","Falta: reagendar","")))))</f>
        <v>0</v>
      </c>
      <c r="T1049" s="29">
        <f>IF($A1049="","",DATE(YEAR($A1049),MONTH($A1049),1))</f>
        <v>0</v>
      </c>
      <c r="U1049" s="30">
        <f>IF($S1049="CONFIRMAR",MAX($U$4:$U1048)+1,"")</f>
        <v>0</v>
      </c>
      <c r="V1049" s="30">
        <f>IF(AND($R1049="Não",$Q1049&lt;&gt;"",$Q1049&lt;=Hoje+JanelaRet,$Q1049&gt;=Hoje-60),MAX($V$4:$V1048)+1,"")</f>
        <v>0</v>
      </c>
    </row>
    <row r="1050" spans="1:22">
      <c r="A1050" s="16"/>
      <c r="B1050" s="23"/>
      <c r="C1050" s="15"/>
      <c r="D1050" s="15"/>
      <c r="E1050" s="15"/>
      <c r="F1050" s="24"/>
      <c r="G1050" s="17"/>
      <c r="H1050" s="17"/>
      <c r="I1050" s="15"/>
      <c r="J1050" s="25">
        <f>IF($D1050="","",IFERROR(INDEX(PacNome,MATCH($D1050,PacCod,0)),"Paciente não cadastrado"))</f>
        <v>0</v>
      </c>
      <c r="K1050" s="26">
        <f>IF($D1050="","",IFERROR(INDEX(PacConv,MATCH($D1050,PacCod,0))&amp;"",""))</f>
        <v>0</v>
      </c>
      <c r="L1050" s="26">
        <f>IF($A1050="","",CHOOSE(WEEKDAY($A1050,2),"Seg","Ter","Qua","Qui","Sex","Sáb","Dom"))</f>
        <v>0</v>
      </c>
      <c r="M1050" s="27">
        <f>IF($E1050="","",IF($G1050&lt;&gt;"",$G1050,IFERROR(INDEX(ProcValor,MATCH($E1050,ProcNome,0)),0)))</f>
        <v>0</v>
      </c>
      <c r="N1050" s="27">
        <f>IF($M1050="","",IF($F1050="Compareceu",$M1050,0))</f>
        <v>0</v>
      </c>
      <c r="O1050" s="27">
        <f>IF($M1050="","",IF($F1050="Faltou",$M1050,0))</f>
        <v>0</v>
      </c>
      <c r="P1050" s="27">
        <f>IF($M1050="","",IF($F1050="Compareceu",MAX(0,$M1050-N($H1050)),0))</f>
        <v>0</v>
      </c>
      <c r="Q1050" s="19">
        <f>IF(AND($F1050="Compareceu",$E1050&lt;&gt;"",$A1050&lt;&gt;""),IF(IFERROR(INDEX(ProcRet,MATCH($E1050,ProcNome,0)),0)&gt;0,$A1050+INDEX(ProcRet,MATCH($E1050,ProcNome,0)),""),"")</f>
        <v>0</v>
      </c>
      <c r="R1050" s="26">
        <f>IF($Q1050="","",IF(COUNTIFS(AgPac,$D1050,AgData,"&gt;"&amp;$A1050,AgStatus,"&lt;&gt;Cancelado",AgStatus,"&lt;&gt;Remarcado")&gt;0,"Sim","Não"))</f>
        <v>0</v>
      </c>
      <c r="S1050" s="28">
        <f>IF($A1050="","",IF(AND($F1050="Agendado",$A1050-Hoje&gt;=0,$A1050-Hoje&lt;=DiasConf),"CONFIRMAR",IF(AND($A1050&lt;Hoje,OR($F1050="Agendado",$F1050="Confirmado")),"Atualizar status",IF(AND($F1050="Compareceu",$P1050&gt;0.005),"Cobrar",IF($F1050="Faltou","Falta: reagendar","")))))</f>
        <v>0</v>
      </c>
      <c r="T1050" s="29">
        <f>IF($A1050="","",DATE(YEAR($A1050),MONTH($A1050),1))</f>
        <v>0</v>
      </c>
      <c r="U1050" s="30">
        <f>IF($S1050="CONFIRMAR",MAX($U$4:$U1049)+1,"")</f>
        <v>0</v>
      </c>
      <c r="V1050" s="30">
        <f>IF(AND($R1050="Não",$Q1050&lt;&gt;"",$Q1050&lt;=Hoje+JanelaRet,$Q1050&gt;=Hoje-60),MAX($V$4:$V1049)+1,"")</f>
        <v>0</v>
      </c>
    </row>
    <row r="1051" spans="1:22">
      <c r="A1051" s="16"/>
      <c r="B1051" s="23"/>
      <c r="C1051" s="15"/>
      <c r="D1051" s="15"/>
      <c r="E1051" s="15"/>
      <c r="F1051" s="24"/>
      <c r="G1051" s="17"/>
      <c r="H1051" s="17"/>
      <c r="I1051" s="15"/>
      <c r="J1051" s="25">
        <f>IF($D1051="","",IFERROR(INDEX(PacNome,MATCH($D1051,PacCod,0)),"Paciente não cadastrado"))</f>
        <v>0</v>
      </c>
      <c r="K1051" s="26">
        <f>IF($D1051="","",IFERROR(INDEX(PacConv,MATCH($D1051,PacCod,0))&amp;"",""))</f>
        <v>0</v>
      </c>
      <c r="L1051" s="26">
        <f>IF($A1051="","",CHOOSE(WEEKDAY($A1051,2),"Seg","Ter","Qua","Qui","Sex","Sáb","Dom"))</f>
        <v>0</v>
      </c>
      <c r="M1051" s="27">
        <f>IF($E1051="","",IF($G1051&lt;&gt;"",$G1051,IFERROR(INDEX(ProcValor,MATCH($E1051,ProcNome,0)),0)))</f>
        <v>0</v>
      </c>
      <c r="N1051" s="27">
        <f>IF($M1051="","",IF($F1051="Compareceu",$M1051,0))</f>
        <v>0</v>
      </c>
      <c r="O1051" s="27">
        <f>IF($M1051="","",IF($F1051="Faltou",$M1051,0))</f>
        <v>0</v>
      </c>
      <c r="P1051" s="27">
        <f>IF($M1051="","",IF($F1051="Compareceu",MAX(0,$M1051-N($H1051)),0))</f>
        <v>0</v>
      </c>
      <c r="Q1051" s="19">
        <f>IF(AND($F1051="Compareceu",$E1051&lt;&gt;"",$A1051&lt;&gt;""),IF(IFERROR(INDEX(ProcRet,MATCH($E1051,ProcNome,0)),0)&gt;0,$A1051+INDEX(ProcRet,MATCH($E1051,ProcNome,0)),""),"")</f>
        <v>0</v>
      </c>
      <c r="R1051" s="26">
        <f>IF($Q1051="","",IF(COUNTIFS(AgPac,$D1051,AgData,"&gt;"&amp;$A1051,AgStatus,"&lt;&gt;Cancelado",AgStatus,"&lt;&gt;Remarcado")&gt;0,"Sim","Não"))</f>
        <v>0</v>
      </c>
      <c r="S1051" s="28">
        <f>IF($A1051="","",IF(AND($F1051="Agendado",$A1051-Hoje&gt;=0,$A1051-Hoje&lt;=DiasConf),"CONFIRMAR",IF(AND($A1051&lt;Hoje,OR($F1051="Agendado",$F1051="Confirmado")),"Atualizar status",IF(AND($F1051="Compareceu",$P1051&gt;0.005),"Cobrar",IF($F1051="Faltou","Falta: reagendar","")))))</f>
        <v>0</v>
      </c>
      <c r="T1051" s="29">
        <f>IF($A1051="","",DATE(YEAR($A1051),MONTH($A1051),1))</f>
        <v>0</v>
      </c>
      <c r="U1051" s="30">
        <f>IF($S1051="CONFIRMAR",MAX($U$4:$U1050)+1,"")</f>
        <v>0</v>
      </c>
      <c r="V1051" s="30">
        <f>IF(AND($R1051="Não",$Q1051&lt;&gt;"",$Q1051&lt;=Hoje+JanelaRet,$Q1051&gt;=Hoje-60),MAX($V$4:$V1050)+1,"")</f>
        <v>0</v>
      </c>
    </row>
    <row r="1052" spans="1:22">
      <c r="A1052" s="16"/>
      <c r="B1052" s="23"/>
      <c r="C1052" s="15"/>
      <c r="D1052" s="15"/>
      <c r="E1052" s="15"/>
      <c r="F1052" s="24"/>
      <c r="G1052" s="17"/>
      <c r="H1052" s="17"/>
      <c r="I1052" s="15"/>
      <c r="J1052" s="25">
        <f>IF($D1052="","",IFERROR(INDEX(PacNome,MATCH($D1052,PacCod,0)),"Paciente não cadastrado"))</f>
        <v>0</v>
      </c>
      <c r="K1052" s="26">
        <f>IF($D1052="","",IFERROR(INDEX(PacConv,MATCH($D1052,PacCod,0))&amp;"",""))</f>
        <v>0</v>
      </c>
      <c r="L1052" s="26">
        <f>IF($A1052="","",CHOOSE(WEEKDAY($A1052,2),"Seg","Ter","Qua","Qui","Sex","Sáb","Dom"))</f>
        <v>0</v>
      </c>
      <c r="M1052" s="27">
        <f>IF($E1052="","",IF($G1052&lt;&gt;"",$G1052,IFERROR(INDEX(ProcValor,MATCH($E1052,ProcNome,0)),0)))</f>
        <v>0</v>
      </c>
      <c r="N1052" s="27">
        <f>IF($M1052="","",IF($F1052="Compareceu",$M1052,0))</f>
        <v>0</v>
      </c>
      <c r="O1052" s="27">
        <f>IF($M1052="","",IF($F1052="Faltou",$M1052,0))</f>
        <v>0</v>
      </c>
      <c r="P1052" s="27">
        <f>IF($M1052="","",IF($F1052="Compareceu",MAX(0,$M1052-N($H1052)),0))</f>
        <v>0</v>
      </c>
      <c r="Q1052" s="19">
        <f>IF(AND($F1052="Compareceu",$E1052&lt;&gt;"",$A1052&lt;&gt;""),IF(IFERROR(INDEX(ProcRet,MATCH($E1052,ProcNome,0)),0)&gt;0,$A1052+INDEX(ProcRet,MATCH($E1052,ProcNome,0)),""),"")</f>
        <v>0</v>
      </c>
      <c r="R1052" s="26">
        <f>IF($Q1052="","",IF(COUNTIFS(AgPac,$D1052,AgData,"&gt;"&amp;$A1052,AgStatus,"&lt;&gt;Cancelado",AgStatus,"&lt;&gt;Remarcado")&gt;0,"Sim","Não"))</f>
        <v>0</v>
      </c>
      <c r="S1052" s="28">
        <f>IF($A1052="","",IF(AND($F1052="Agendado",$A1052-Hoje&gt;=0,$A1052-Hoje&lt;=DiasConf),"CONFIRMAR",IF(AND($A1052&lt;Hoje,OR($F1052="Agendado",$F1052="Confirmado")),"Atualizar status",IF(AND($F1052="Compareceu",$P1052&gt;0.005),"Cobrar",IF($F1052="Faltou","Falta: reagendar","")))))</f>
        <v>0</v>
      </c>
      <c r="T1052" s="29">
        <f>IF($A1052="","",DATE(YEAR($A1052),MONTH($A1052),1))</f>
        <v>0</v>
      </c>
      <c r="U1052" s="30">
        <f>IF($S1052="CONFIRMAR",MAX($U$4:$U1051)+1,"")</f>
        <v>0</v>
      </c>
      <c r="V1052" s="30">
        <f>IF(AND($R1052="Não",$Q1052&lt;&gt;"",$Q1052&lt;=Hoje+JanelaRet,$Q1052&gt;=Hoje-60),MAX($V$4:$V1051)+1,"")</f>
        <v>0</v>
      </c>
    </row>
    <row r="1053" spans="1:22">
      <c r="A1053" s="16"/>
      <c r="B1053" s="23"/>
      <c r="C1053" s="15"/>
      <c r="D1053" s="15"/>
      <c r="E1053" s="15"/>
      <c r="F1053" s="24"/>
      <c r="G1053" s="17"/>
      <c r="H1053" s="17"/>
      <c r="I1053" s="15"/>
      <c r="J1053" s="25">
        <f>IF($D1053="","",IFERROR(INDEX(PacNome,MATCH($D1053,PacCod,0)),"Paciente não cadastrado"))</f>
        <v>0</v>
      </c>
      <c r="K1053" s="26">
        <f>IF($D1053="","",IFERROR(INDEX(PacConv,MATCH($D1053,PacCod,0))&amp;"",""))</f>
        <v>0</v>
      </c>
      <c r="L1053" s="26">
        <f>IF($A1053="","",CHOOSE(WEEKDAY($A1053,2),"Seg","Ter","Qua","Qui","Sex","Sáb","Dom"))</f>
        <v>0</v>
      </c>
      <c r="M1053" s="27">
        <f>IF($E1053="","",IF($G1053&lt;&gt;"",$G1053,IFERROR(INDEX(ProcValor,MATCH($E1053,ProcNome,0)),0)))</f>
        <v>0</v>
      </c>
      <c r="N1053" s="27">
        <f>IF($M1053="","",IF($F1053="Compareceu",$M1053,0))</f>
        <v>0</v>
      </c>
      <c r="O1053" s="27">
        <f>IF($M1053="","",IF($F1053="Faltou",$M1053,0))</f>
        <v>0</v>
      </c>
      <c r="P1053" s="27">
        <f>IF($M1053="","",IF($F1053="Compareceu",MAX(0,$M1053-N($H1053)),0))</f>
        <v>0</v>
      </c>
      <c r="Q1053" s="19">
        <f>IF(AND($F1053="Compareceu",$E1053&lt;&gt;"",$A1053&lt;&gt;""),IF(IFERROR(INDEX(ProcRet,MATCH($E1053,ProcNome,0)),0)&gt;0,$A1053+INDEX(ProcRet,MATCH($E1053,ProcNome,0)),""),"")</f>
        <v>0</v>
      </c>
      <c r="R1053" s="26">
        <f>IF($Q1053="","",IF(COUNTIFS(AgPac,$D1053,AgData,"&gt;"&amp;$A1053,AgStatus,"&lt;&gt;Cancelado",AgStatus,"&lt;&gt;Remarcado")&gt;0,"Sim","Não"))</f>
        <v>0</v>
      </c>
      <c r="S1053" s="28">
        <f>IF($A1053="","",IF(AND($F1053="Agendado",$A1053-Hoje&gt;=0,$A1053-Hoje&lt;=DiasConf),"CONFIRMAR",IF(AND($A1053&lt;Hoje,OR($F1053="Agendado",$F1053="Confirmado")),"Atualizar status",IF(AND($F1053="Compareceu",$P1053&gt;0.005),"Cobrar",IF($F1053="Faltou","Falta: reagendar","")))))</f>
        <v>0</v>
      </c>
      <c r="T1053" s="29">
        <f>IF($A1053="","",DATE(YEAR($A1053),MONTH($A1053),1))</f>
        <v>0</v>
      </c>
      <c r="U1053" s="30">
        <f>IF($S1053="CONFIRMAR",MAX($U$4:$U1052)+1,"")</f>
        <v>0</v>
      </c>
      <c r="V1053" s="30">
        <f>IF(AND($R1053="Não",$Q1053&lt;&gt;"",$Q1053&lt;=Hoje+JanelaRet,$Q1053&gt;=Hoje-60),MAX($V$4:$V1052)+1,"")</f>
        <v>0</v>
      </c>
    </row>
    <row r="1054" spans="1:22">
      <c r="A1054" s="16"/>
      <c r="B1054" s="23"/>
      <c r="C1054" s="15"/>
      <c r="D1054" s="15"/>
      <c r="E1054" s="15"/>
      <c r="F1054" s="24"/>
      <c r="G1054" s="17"/>
      <c r="H1054" s="17"/>
      <c r="I1054" s="15"/>
      <c r="J1054" s="25">
        <f>IF($D1054="","",IFERROR(INDEX(PacNome,MATCH($D1054,PacCod,0)),"Paciente não cadastrado"))</f>
        <v>0</v>
      </c>
      <c r="K1054" s="26">
        <f>IF($D1054="","",IFERROR(INDEX(PacConv,MATCH($D1054,PacCod,0))&amp;"",""))</f>
        <v>0</v>
      </c>
      <c r="L1054" s="26">
        <f>IF($A1054="","",CHOOSE(WEEKDAY($A1054,2),"Seg","Ter","Qua","Qui","Sex","Sáb","Dom"))</f>
        <v>0</v>
      </c>
      <c r="M1054" s="27">
        <f>IF($E1054="","",IF($G1054&lt;&gt;"",$G1054,IFERROR(INDEX(ProcValor,MATCH($E1054,ProcNome,0)),0)))</f>
        <v>0</v>
      </c>
      <c r="N1054" s="27">
        <f>IF($M1054="","",IF($F1054="Compareceu",$M1054,0))</f>
        <v>0</v>
      </c>
      <c r="O1054" s="27">
        <f>IF($M1054="","",IF($F1054="Faltou",$M1054,0))</f>
        <v>0</v>
      </c>
      <c r="P1054" s="27">
        <f>IF($M1054="","",IF($F1054="Compareceu",MAX(0,$M1054-N($H1054)),0))</f>
        <v>0</v>
      </c>
      <c r="Q1054" s="19">
        <f>IF(AND($F1054="Compareceu",$E1054&lt;&gt;"",$A1054&lt;&gt;""),IF(IFERROR(INDEX(ProcRet,MATCH($E1054,ProcNome,0)),0)&gt;0,$A1054+INDEX(ProcRet,MATCH($E1054,ProcNome,0)),""),"")</f>
        <v>0</v>
      </c>
      <c r="R1054" s="26">
        <f>IF($Q1054="","",IF(COUNTIFS(AgPac,$D1054,AgData,"&gt;"&amp;$A1054,AgStatus,"&lt;&gt;Cancelado",AgStatus,"&lt;&gt;Remarcado")&gt;0,"Sim","Não"))</f>
        <v>0</v>
      </c>
      <c r="S1054" s="28">
        <f>IF($A1054="","",IF(AND($F1054="Agendado",$A1054-Hoje&gt;=0,$A1054-Hoje&lt;=DiasConf),"CONFIRMAR",IF(AND($A1054&lt;Hoje,OR($F1054="Agendado",$F1054="Confirmado")),"Atualizar status",IF(AND($F1054="Compareceu",$P1054&gt;0.005),"Cobrar",IF($F1054="Faltou","Falta: reagendar","")))))</f>
        <v>0</v>
      </c>
      <c r="T1054" s="29">
        <f>IF($A1054="","",DATE(YEAR($A1054),MONTH($A1054),1))</f>
        <v>0</v>
      </c>
      <c r="U1054" s="30">
        <f>IF($S1054="CONFIRMAR",MAX($U$4:$U1053)+1,"")</f>
        <v>0</v>
      </c>
      <c r="V1054" s="30">
        <f>IF(AND($R1054="Não",$Q1054&lt;&gt;"",$Q1054&lt;=Hoje+JanelaRet,$Q1054&gt;=Hoje-60),MAX($V$4:$V1053)+1,"")</f>
        <v>0</v>
      </c>
    </row>
    <row r="1055" spans="1:22">
      <c r="A1055" s="16"/>
      <c r="B1055" s="23"/>
      <c r="C1055" s="15"/>
      <c r="D1055" s="15"/>
      <c r="E1055" s="15"/>
      <c r="F1055" s="24"/>
      <c r="G1055" s="17"/>
      <c r="H1055" s="17"/>
      <c r="I1055" s="15"/>
      <c r="J1055" s="25">
        <f>IF($D1055="","",IFERROR(INDEX(PacNome,MATCH($D1055,PacCod,0)),"Paciente não cadastrado"))</f>
        <v>0</v>
      </c>
      <c r="K1055" s="26">
        <f>IF($D1055="","",IFERROR(INDEX(PacConv,MATCH($D1055,PacCod,0))&amp;"",""))</f>
        <v>0</v>
      </c>
      <c r="L1055" s="26">
        <f>IF($A1055="","",CHOOSE(WEEKDAY($A1055,2),"Seg","Ter","Qua","Qui","Sex","Sáb","Dom"))</f>
        <v>0</v>
      </c>
      <c r="M1055" s="27">
        <f>IF($E1055="","",IF($G1055&lt;&gt;"",$G1055,IFERROR(INDEX(ProcValor,MATCH($E1055,ProcNome,0)),0)))</f>
        <v>0</v>
      </c>
      <c r="N1055" s="27">
        <f>IF($M1055="","",IF($F1055="Compareceu",$M1055,0))</f>
        <v>0</v>
      </c>
      <c r="O1055" s="27">
        <f>IF($M1055="","",IF($F1055="Faltou",$M1055,0))</f>
        <v>0</v>
      </c>
      <c r="P1055" s="27">
        <f>IF($M1055="","",IF($F1055="Compareceu",MAX(0,$M1055-N($H1055)),0))</f>
        <v>0</v>
      </c>
      <c r="Q1055" s="19">
        <f>IF(AND($F1055="Compareceu",$E1055&lt;&gt;"",$A1055&lt;&gt;""),IF(IFERROR(INDEX(ProcRet,MATCH($E1055,ProcNome,0)),0)&gt;0,$A1055+INDEX(ProcRet,MATCH($E1055,ProcNome,0)),""),"")</f>
        <v>0</v>
      </c>
      <c r="R1055" s="26">
        <f>IF($Q1055="","",IF(COUNTIFS(AgPac,$D1055,AgData,"&gt;"&amp;$A1055,AgStatus,"&lt;&gt;Cancelado",AgStatus,"&lt;&gt;Remarcado")&gt;0,"Sim","Não"))</f>
        <v>0</v>
      </c>
      <c r="S1055" s="28">
        <f>IF($A1055="","",IF(AND($F1055="Agendado",$A1055-Hoje&gt;=0,$A1055-Hoje&lt;=DiasConf),"CONFIRMAR",IF(AND($A1055&lt;Hoje,OR($F1055="Agendado",$F1055="Confirmado")),"Atualizar status",IF(AND($F1055="Compareceu",$P1055&gt;0.005),"Cobrar",IF($F1055="Faltou","Falta: reagendar","")))))</f>
        <v>0</v>
      </c>
      <c r="T1055" s="29">
        <f>IF($A1055="","",DATE(YEAR($A1055),MONTH($A1055),1))</f>
        <v>0</v>
      </c>
      <c r="U1055" s="30">
        <f>IF($S1055="CONFIRMAR",MAX($U$4:$U1054)+1,"")</f>
        <v>0</v>
      </c>
      <c r="V1055" s="30">
        <f>IF(AND($R1055="Não",$Q1055&lt;&gt;"",$Q1055&lt;=Hoje+JanelaRet,$Q1055&gt;=Hoje-60),MAX($V$4:$V1054)+1,"")</f>
        <v>0</v>
      </c>
    </row>
    <row r="1056" spans="1:22">
      <c r="A1056" s="16"/>
      <c r="B1056" s="23"/>
      <c r="C1056" s="15"/>
      <c r="D1056" s="15"/>
      <c r="E1056" s="15"/>
      <c r="F1056" s="24"/>
      <c r="G1056" s="17"/>
      <c r="H1056" s="17"/>
      <c r="I1056" s="15"/>
      <c r="J1056" s="25">
        <f>IF($D1056="","",IFERROR(INDEX(PacNome,MATCH($D1056,PacCod,0)),"Paciente não cadastrado"))</f>
        <v>0</v>
      </c>
      <c r="K1056" s="26">
        <f>IF($D1056="","",IFERROR(INDEX(PacConv,MATCH($D1056,PacCod,0))&amp;"",""))</f>
        <v>0</v>
      </c>
      <c r="L1056" s="26">
        <f>IF($A1056="","",CHOOSE(WEEKDAY($A1056,2),"Seg","Ter","Qua","Qui","Sex","Sáb","Dom"))</f>
        <v>0</v>
      </c>
      <c r="M1056" s="27">
        <f>IF($E1056="","",IF($G1056&lt;&gt;"",$G1056,IFERROR(INDEX(ProcValor,MATCH($E1056,ProcNome,0)),0)))</f>
        <v>0</v>
      </c>
      <c r="N1056" s="27">
        <f>IF($M1056="","",IF($F1056="Compareceu",$M1056,0))</f>
        <v>0</v>
      </c>
      <c r="O1056" s="27">
        <f>IF($M1056="","",IF($F1056="Faltou",$M1056,0))</f>
        <v>0</v>
      </c>
      <c r="P1056" s="27">
        <f>IF($M1056="","",IF($F1056="Compareceu",MAX(0,$M1056-N($H1056)),0))</f>
        <v>0</v>
      </c>
      <c r="Q1056" s="19">
        <f>IF(AND($F1056="Compareceu",$E1056&lt;&gt;"",$A1056&lt;&gt;""),IF(IFERROR(INDEX(ProcRet,MATCH($E1056,ProcNome,0)),0)&gt;0,$A1056+INDEX(ProcRet,MATCH($E1056,ProcNome,0)),""),"")</f>
        <v>0</v>
      </c>
      <c r="R1056" s="26">
        <f>IF($Q1056="","",IF(COUNTIFS(AgPac,$D1056,AgData,"&gt;"&amp;$A1056,AgStatus,"&lt;&gt;Cancelado",AgStatus,"&lt;&gt;Remarcado")&gt;0,"Sim","Não"))</f>
        <v>0</v>
      </c>
      <c r="S1056" s="28">
        <f>IF($A1056="","",IF(AND($F1056="Agendado",$A1056-Hoje&gt;=0,$A1056-Hoje&lt;=DiasConf),"CONFIRMAR",IF(AND($A1056&lt;Hoje,OR($F1056="Agendado",$F1056="Confirmado")),"Atualizar status",IF(AND($F1056="Compareceu",$P1056&gt;0.005),"Cobrar",IF($F1056="Faltou","Falta: reagendar","")))))</f>
        <v>0</v>
      </c>
      <c r="T1056" s="29">
        <f>IF($A1056="","",DATE(YEAR($A1056),MONTH($A1056),1))</f>
        <v>0</v>
      </c>
      <c r="U1056" s="30">
        <f>IF($S1056="CONFIRMAR",MAX($U$4:$U1055)+1,"")</f>
        <v>0</v>
      </c>
      <c r="V1056" s="30">
        <f>IF(AND($R1056="Não",$Q1056&lt;&gt;"",$Q1056&lt;=Hoje+JanelaRet,$Q1056&gt;=Hoje-60),MAX($V$4:$V1055)+1,"")</f>
        <v>0</v>
      </c>
    </row>
    <row r="1057" spans="1:22">
      <c r="A1057" s="16"/>
      <c r="B1057" s="23"/>
      <c r="C1057" s="15"/>
      <c r="D1057" s="15"/>
      <c r="E1057" s="15"/>
      <c r="F1057" s="24"/>
      <c r="G1057" s="17"/>
      <c r="H1057" s="17"/>
      <c r="I1057" s="15"/>
      <c r="J1057" s="25">
        <f>IF($D1057="","",IFERROR(INDEX(PacNome,MATCH($D1057,PacCod,0)),"Paciente não cadastrado"))</f>
        <v>0</v>
      </c>
      <c r="K1057" s="26">
        <f>IF($D1057="","",IFERROR(INDEX(PacConv,MATCH($D1057,PacCod,0))&amp;"",""))</f>
        <v>0</v>
      </c>
      <c r="L1057" s="26">
        <f>IF($A1057="","",CHOOSE(WEEKDAY($A1057,2),"Seg","Ter","Qua","Qui","Sex","Sáb","Dom"))</f>
        <v>0</v>
      </c>
      <c r="M1057" s="27">
        <f>IF($E1057="","",IF($G1057&lt;&gt;"",$G1057,IFERROR(INDEX(ProcValor,MATCH($E1057,ProcNome,0)),0)))</f>
        <v>0</v>
      </c>
      <c r="N1057" s="27">
        <f>IF($M1057="","",IF($F1057="Compareceu",$M1057,0))</f>
        <v>0</v>
      </c>
      <c r="O1057" s="27">
        <f>IF($M1057="","",IF($F1057="Faltou",$M1057,0))</f>
        <v>0</v>
      </c>
      <c r="P1057" s="27">
        <f>IF($M1057="","",IF($F1057="Compareceu",MAX(0,$M1057-N($H1057)),0))</f>
        <v>0</v>
      </c>
      <c r="Q1057" s="19">
        <f>IF(AND($F1057="Compareceu",$E1057&lt;&gt;"",$A1057&lt;&gt;""),IF(IFERROR(INDEX(ProcRet,MATCH($E1057,ProcNome,0)),0)&gt;0,$A1057+INDEX(ProcRet,MATCH($E1057,ProcNome,0)),""),"")</f>
        <v>0</v>
      </c>
      <c r="R1057" s="26">
        <f>IF($Q1057="","",IF(COUNTIFS(AgPac,$D1057,AgData,"&gt;"&amp;$A1057,AgStatus,"&lt;&gt;Cancelado",AgStatus,"&lt;&gt;Remarcado")&gt;0,"Sim","Não"))</f>
        <v>0</v>
      </c>
      <c r="S1057" s="28">
        <f>IF($A1057="","",IF(AND($F1057="Agendado",$A1057-Hoje&gt;=0,$A1057-Hoje&lt;=DiasConf),"CONFIRMAR",IF(AND($A1057&lt;Hoje,OR($F1057="Agendado",$F1057="Confirmado")),"Atualizar status",IF(AND($F1057="Compareceu",$P1057&gt;0.005),"Cobrar",IF($F1057="Faltou","Falta: reagendar","")))))</f>
        <v>0</v>
      </c>
      <c r="T1057" s="29">
        <f>IF($A1057="","",DATE(YEAR($A1057),MONTH($A1057),1))</f>
        <v>0</v>
      </c>
      <c r="U1057" s="30">
        <f>IF($S1057="CONFIRMAR",MAX($U$4:$U1056)+1,"")</f>
        <v>0</v>
      </c>
      <c r="V1057" s="30">
        <f>IF(AND($R1057="Não",$Q1057&lt;&gt;"",$Q1057&lt;=Hoje+JanelaRet,$Q1057&gt;=Hoje-60),MAX($V$4:$V1056)+1,"")</f>
        <v>0</v>
      </c>
    </row>
    <row r="1058" spans="1:22">
      <c r="A1058" s="16"/>
      <c r="B1058" s="23"/>
      <c r="C1058" s="15"/>
      <c r="D1058" s="15"/>
      <c r="E1058" s="15"/>
      <c r="F1058" s="24"/>
      <c r="G1058" s="17"/>
      <c r="H1058" s="17"/>
      <c r="I1058" s="15"/>
      <c r="J1058" s="25">
        <f>IF($D1058="","",IFERROR(INDEX(PacNome,MATCH($D1058,PacCod,0)),"Paciente não cadastrado"))</f>
        <v>0</v>
      </c>
      <c r="K1058" s="26">
        <f>IF($D1058="","",IFERROR(INDEX(PacConv,MATCH($D1058,PacCod,0))&amp;"",""))</f>
        <v>0</v>
      </c>
      <c r="L1058" s="26">
        <f>IF($A1058="","",CHOOSE(WEEKDAY($A1058,2),"Seg","Ter","Qua","Qui","Sex","Sáb","Dom"))</f>
        <v>0</v>
      </c>
      <c r="M1058" s="27">
        <f>IF($E1058="","",IF($G1058&lt;&gt;"",$G1058,IFERROR(INDEX(ProcValor,MATCH($E1058,ProcNome,0)),0)))</f>
        <v>0</v>
      </c>
      <c r="N1058" s="27">
        <f>IF($M1058="","",IF($F1058="Compareceu",$M1058,0))</f>
        <v>0</v>
      </c>
      <c r="O1058" s="27">
        <f>IF($M1058="","",IF($F1058="Faltou",$M1058,0))</f>
        <v>0</v>
      </c>
      <c r="P1058" s="27">
        <f>IF($M1058="","",IF($F1058="Compareceu",MAX(0,$M1058-N($H1058)),0))</f>
        <v>0</v>
      </c>
      <c r="Q1058" s="19">
        <f>IF(AND($F1058="Compareceu",$E1058&lt;&gt;"",$A1058&lt;&gt;""),IF(IFERROR(INDEX(ProcRet,MATCH($E1058,ProcNome,0)),0)&gt;0,$A1058+INDEX(ProcRet,MATCH($E1058,ProcNome,0)),""),"")</f>
        <v>0</v>
      </c>
      <c r="R1058" s="26">
        <f>IF($Q1058="","",IF(COUNTIFS(AgPac,$D1058,AgData,"&gt;"&amp;$A1058,AgStatus,"&lt;&gt;Cancelado",AgStatus,"&lt;&gt;Remarcado")&gt;0,"Sim","Não"))</f>
        <v>0</v>
      </c>
      <c r="S1058" s="28">
        <f>IF($A1058="","",IF(AND($F1058="Agendado",$A1058-Hoje&gt;=0,$A1058-Hoje&lt;=DiasConf),"CONFIRMAR",IF(AND($A1058&lt;Hoje,OR($F1058="Agendado",$F1058="Confirmado")),"Atualizar status",IF(AND($F1058="Compareceu",$P1058&gt;0.005),"Cobrar",IF($F1058="Faltou","Falta: reagendar","")))))</f>
        <v>0</v>
      </c>
      <c r="T1058" s="29">
        <f>IF($A1058="","",DATE(YEAR($A1058),MONTH($A1058),1))</f>
        <v>0</v>
      </c>
      <c r="U1058" s="30">
        <f>IF($S1058="CONFIRMAR",MAX($U$4:$U1057)+1,"")</f>
        <v>0</v>
      </c>
      <c r="V1058" s="30">
        <f>IF(AND($R1058="Não",$Q1058&lt;&gt;"",$Q1058&lt;=Hoje+JanelaRet,$Q1058&gt;=Hoje-60),MAX($V$4:$V1057)+1,"")</f>
        <v>0</v>
      </c>
    </row>
    <row r="1059" spans="1:22">
      <c r="A1059" s="16"/>
      <c r="B1059" s="23"/>
      <c r="C1059" s="15"/>
      <c r="D1059" s="15"/>
      <c r="E1059" s="15"/>
      <c r="F1059" s="24"/>
      <c r="G1059" s="17"/>
      <c r="H1059" s="17"/>
      <c r="I1059" s="15"/>
      <c r="J1059" s="25">
        <f>IF($D1059="","",IFERROR(INDEX(PacNome,MATCH($D1059,PacCod,0)),"Paciente não cadastrado"))</f>
        <v>0</v>
      </c>
      <c r="K1059" s="26">
        <f>IF($D1059="","",IFERROR(INDEX(PacConv,MATCH($D1059,PacCod,0))&amp;"",""))</f>
        <v>0</v>
      </c>
      <c r="L1059" s="26">
        <f>IF($A1059="","",CHOOSE(WEEKDAY($A1059,2),"Seg","Ter","Qua","Qui","Sex","Sáb","Dom"))</f>
        <v>0</v>
      </c>
      <c r="M1059" s="27">
        <f>IF($E1059="","",IF($G1059&lt;&gt;"",$G1059,IFERROR(INDEX(ProcValor,MATCH($E1059,ProcNome,0)),0)))</f>
        <v>0</v>
      </c>
      <c r="N1059" s="27">
        <f>IF($M1059="","",IF($F1059="Compareceu",$M1059,0))</f>
        <v>0</v>
      </c>
      <c r="O1059" s="27">
        <f>IF($M1059="","",IF($F1059="Faltou",$M1059,0))</f>
        <v>0</v>
      </c>
      <c r="P1059" s="27">
        <f>IF($M1059="","",IF($F1059="Compareceu",MAX(0,$M1059-N($H1059)),0))</f>
        <v>0</v>
      </c>
      <c r="Q1059" s="19">
        <f>IF(AND($F1059="Compareceu",$E1059&lt;&gt;"",$A1059&lt;&gt;""),IF(IFERROR(INDEX(ProcRet,MATCH($E1059,ProcNome,0)),0)&gt;0,$A1059+INDEX(ProcRet,MATCH($E1059,ProcNome,0)),""),"")</f>
        <v>0</v>
      </c>
      <c r="R1059" s="26">
        <f>IF($Q1059="","",IF(COUNTIFS(AgPac,$D1059,AgData,"&gt;"&amp;$A1059,AgStatus,"&lt;&gt;Cancelado",AgStatus,"&lt;&gt;Remarcado")&gt;0,"Sim","Não"))</f>
        <v>0</v>
      </c>
      <c r="S1059" s="28">
        <f>IF($A1059="","",IF(AND($F1059="Agendado",$A1059-Hoje&gt;=0,$A1059-Hoje&lt;=DiasConf),"CONFIRMAR",IF(AND($A1059&lt;Hoje,OR($F1059="Agendado",$F1059="Confirmado")),"Atualizar status",IF(AND($F1059="Compareceu",$P1059&gt;0.005),"Cobrar",IF($F1059="Faltou","Falta: reagendar","")))))</f>
        <v>0</v>
      </c>
      <c r="T1059" s="29">
        <f>IF($A1059="","",DATE(YEAR($A1059),MONTH($A1059),1))</f>
        <v>0</v>
      </c>
      <c r="U1059" s="30">
        <f>IF($S1059="CONFIRMAR",MAX($U$4:$U1058)+1,"")</f>
        <v>0</v>
      </c>
      <c r="V1059" s="30">
        <f>IF(AND($R1059="Não",$Q1059&lt;&gt;"",$Q1059&lt;=Hoje+JanelaRet,$Q1059&gt;=Hoje-60),MAX($V$4:$V1058)+1,"")</f>
        <v>0</v>
      </c>
    </row>
    <row r="1060" spans="1:22">
      <c r="A1060" s="16"/>
      <c r="B1060" s="23"/>
      <c r="C1060" s="15"/>
      <c r="D1060" s="15"/>
      <c r="E1060" s="15"/>
      <c r="F1060" s="24"/>
      <c r="G1060" s="17"/>
      <c r="H1060" s="17"/>
      <c r="I1060" s="15"/>
      <c r="J1060" s="25">
        <f>IF($D1060="","",IFERROR(INDEX(PacNome,MATCH($D1060,PacCod,0)),"Paciente não cadastrado"))</f>
        <v>0</v>
      </c>
      <c r="K1060" s="26">
        <f>IF($D1060="","",IFERROR(INDEX(PacConv,MATCH($D1060,PacCod,0))&amp;"",""))</f>
        <v>0</v>
      </c>
      <c r="L1060" s="26">
        <f>IF($A1060="","",CHOOSE(WEEKDAY($A1060,2),"Seg","Ter","Qua","Qui","Sex","Sáb","Dom"))</f>
        <v>0</v>
      </c>
      <c r="M1060" s="27">
        <f>IF($E1060="","",IF($G1060&lt;&gt;"",$G1060,IFERROR(INDEX(ProcValor,MATCH($E1060,ProcNome,0)),0)))</f>
        <v>0</v>
      </c>
      <c r="N1060" s="27">
        <f>IF($M1060="","",IF($F1060="Compareceu",$M1060,0))</f>
        <v>0</v>
      </c>
      <c r="O1060" s="27">
        <f>IF($M1060="","",IF($F1060="Faltou",$M1060,0))</f>
        <v>0</v>
      </c>
      <c r="P1060" s="27">
        <f>IF($M1060="","",IF($F1060="Compareceu",MAX(0,$M1060-N($H1060)),0))</f>
        <v>0</v>
      </c>
      <c r="Q1060" s="19">
        <f>IF(AND($F1060="Compareceu",$E1060&lt;&gt;"",$A1060&lt;&gt;""),IF(IFERROR(INDEX(ProcRet,MATCH($E1060,ProcNome,0)),0)&gt;0,$A1060+INDEX(ProcRet,MATCH($E1060,ProcNome,0)),""),"")</f>
        <v>0</v>
      </c>
      <c r="R1060" s="26">
        <f>IF($Q1060="","",IF(COUNTIFS(AgPac,$D1060,AgData,"&gt;"&amp;$A1060,AgStatus,"&lt;&gt;Cancelado",AgStatus,"&lt;&gt;Remarcado")&gt;0,"Sim","Não"))</f>
        <v>0</v>
      </c>
      <c r="S1060" s="28">
        <f>IF($A1060="","",IF(AND($F1060="Agendado",$A1060-Hoje&gt;=0,$A1060-Hoje&lt;=DiasConf),"CONFIRMAR",IF(AND($A1060&lt;Hoje,OR($F1060="Agendado",$F1060="Confirmado")),"Atualizar status",IF(AND($F1060="Compareceu",$P1060&gt;0.005),"Cobrar",IF($F1060="Faltou","Falta: reagendar","")))))</f>
        <v>0</v>
      </c>
      <c r="T1060" s="29">
        <f>IF($A1060="","",DATE(YEAR($A1060),MONTH($A1060),1))</f>
        <v>0</v>
      </c>
      <c r="U1060" s="30">
        <f>IF($S1060="CONFIRMAR",MAX($U$4:$U1059)+1,"")</f>
        <v>0</v>
      </c>
      <c r="V1060" s="30">
        <f>IF(AND($R1060="Não",$Q1060&lt;&gt;"",$Q1060&lt;=Hoje+JanelaRet,$Q1060&gt;=Hoje-60),MAX($V$4:$V1059)+1,"")</f>
        <v>0</v>
      </c>
    </row>
    <row r="1061" spans="1:22">
      <c r="A1061" s="16"/>
      <c r="B1061" s="23"/>
      <c r="C1061" s="15"/>
      <c r="D1061" s="15"/>
      <c r="E1061" s="15"/>
      <c r="F1061" s="24"/>
      <c r="G1061" s="17"/>
      <c r="H1061" s="17"/>
      <c r="I1061" s="15"/>
      <c r="J1061" s="25">
        <f>IF($D1061="","",IFERROR(INDEX(PacNome,MATCH($D1061,PacCod,0)),"Paciente não cadastrado"))</f>
        <v>0</v>
      </c>
      <c r="K1061" s="26">
        <f>IF($D1061="","",IFERROR(INDEX(PacConv,MATCH($D1061,PacCod,0))&amp;"",""))</f>
        <v>0</v>
      </c>
      <c r="L1061" s="26">
        <f>IF($A1061="","",CHOOSE(WEEKDAY($A1061,2),"Seg","Ter","Qua","Qui","Sex","Sáb","Dom"))</f>
        <v>0</v>
      </c>
      <c r="M1061" s="27">
        <f>IF($E1061="","",IF($G1061&lt;&gt;"",$G1061,IFERROR(INDEX(ProcValor,MATCH($E1061,ProcNome,0)),0)))</f>
        <v>0</v>
      </c>
      <c r="N1061" s="27">
        <f>IF($M1061="","",IF($F1061="Compareceu",$M1061,0))</f>
        <v>0</v>
      </c>
      <c r="O1061" s="27">
        <f>IF($M1061="","",IF($F1061="Faltou",$M1061,0))</f>
        <v>0</v>
      </c>
      <c r="P1061" s="27">
        <f>IF($M1061="","",IF($F1061="Compareceu",MAX(0,$M1061-N($H1061)),0))</f>
        <v>0</v>
      </c>
      <c r="Q1061" s="19">
        <f>IF(AND($F1061="Compareceu",$E1061&lt;&gt;"",$A1061&lt;&gt;""),IF(IFERROR(INDEX(ProcRet,MATCH($E1061,ProcNome,0)),0)&gt;0,$A1061+INDEX(ProcRet,MATCH($E1061,ProcNome,0)),""),"")</f>
        <v>0</v>
      </c>
      <c r="R1061" s="26">
        <f>IF($Q1061="","",IF(COUNTIFS(AgPac,$D1061,AgData,"&gt;"&amp;$A1061,AgStatus,"&lt;&gt;Cancelado",AgStatus,"&lt;&gt;Remarcado")&gt;0,"Sim","Não"))</f>
        <v>0</v>
      </c>
      <c r="S1061" s="28">
        <f>IF($A1061="","",IF(AND($F1061="Agendado",$A1061-Hoje&gt;=0,$A1061-Hoje&lt;=DiasConf),"CONFIRMAR",IF(AND($A1061&lt;Hoje,OR($F1061="Agendado",$F1061="Confirmado")),"Atualizar status",IF(AND($F1061="Compareceu",$P1061&gt;0.005),"Cobrar",IF($F1061="Faltou","Falta: reagendar","")))))</f>
        <v>0</v>
      </c>
      <c r="T1061" s="29">
        <f>IF($A1061="","",DATE(YEAR($A1061),MONTH($A1061),1))</f>
        <v>0</v>
      </c>
      <c r="U1061" s="30">
        <f>IF($S1061="CONFIRMAR",MAX($U$4:$U1060)+1,"")</f>
        <v>0</v>
      </c>
      <c r="V1061" s="30">
        <f>IF(AND($R1061="Não",$Q1061&lt;&gt;"",$Q1061&lt;=Hoje+JanelaRet,$Q1061&gt;=Hoje-60),MAX($V$4:$V1060)+1,"")</f>
        <v>0</v>
      </c>
    </row>
    <row r="1062" spans="1:22">
      <c r="A1062" s="16"/>
      <c r="B1062" s="23"/>
      <c r="C1062" s="15"/>
      <c r="D1062" s="15"/>
      <c r="E1062" s="15"/>
      <c r="F1062" s="24"/>
      <c r="G1062" s="17"/>
      <c r="H1062" s="17"/>
      <c r="I1062" s="15"/>
      <c r="J1062" s="25">
        <f>IF($D1062="","",IFERROR(INDEX(PacNome,MATCH($D1062,PacCod,0)),"Paciente não cadastrado"))</f>
        <v>0</v>
      </c>
      <c r="K1062" s="26">
        <f>IF($D1062="","",IFERROR(INDEX(PacConv,MATCH($D1062,PacCod,0))&amp;"",""))</f>
        <v>0</v>
      </c>
      <c r="L1062" s="26">
        <f>IF($A1062="","",CHOOSE(WEEKDAY($A1062,2),"Seg","Ter","Qua","Qui","Sex","Sáb","Dom"))</f>
        <v>0</v>
      </c>
      <c r="M1062" s="27">
        <f>IF($E1062="","",IF($G1062&lt;&gt;"",$G1062,IFERROR(INDEX(ProcValor,MATCH($E1062,ProcNome,0)),0)))</f>
        <v>0</v>
      </c>
      <c r="N1062" s="27">
        <f>IF($M1062="","",IF($F1062="Compareceu",$M1062,0))</f>
        <v>0</v>
      </c>
      <c r="O1062" s="27">
        <f>IF($M1062="","",IF($F1062="Faltou",$M1062,0))</f>
        <v>0</v>
      </c>
      <c r="P1062" s="27">
        <f>IF($M1062="","",IF($F1062="Compareceu",MAX(0,$M1062-N($H1062)),0))</f>
        <v>0</v>
      </c>
      <c r="Q1062" s="19">
        <f>IF(AND($F1062="Compareceu",$E1062&lt;&gt;"",$A1062&lt;&gt;""),IF(IFERROR(INDEX(ProcRet,MATCH($E1062,ProcNome,0)),0)&gt;0,$A1062+INDEX(ProcRet,MATCH($E1062,ProcNome,0)),""),"")</f>
        <v>0</v>
      </c>
      <c r="R1062" s="26">
        <f>IF($Q1062="","",IF(COUNTIFS(AgPac,$D1062,AgData,"&gt;"&amp;$A1062,AgStatus,"&lt;&gt;Cancelado",AgStatus,"&lt;&gt;Remarcado")&gt;0,"Sim","Não"))</f>
        <v>0</v>
      </c>
      <c r="S1062" s="28">
        <f>IF($A1062="","",IF(AND($F1062="Agendado",$A1062-Hoje&gt;=0,$A1062-Hoje&lt;=DiasConf),"CONFIRMAR",IF(AND($A1062&lt;Hoje,OR($F1062="Agendado",$F1062="Confirmado")),"Atualizar status",IF(AND($F1062="Compareceu",$P1062&gt;0.005),"Cobrar",IF($F1062="Faltou","Falta: reagendar","")))))</f>
        <v>0</v>
      </c>
      <c r="T1062" s="29">
        <f>IF($A1062="","",DATE(YEAR($A1062),MONTH($A1062),1))</f>
        <v>0</v>
      </c>
      <c r="U1062" s="30">
        <f>IF($S1062="CONFIRMAR",MAX($U$4:$U1061)+1,"")</f>
        <v>0</v>
      </c>
      <c r="V1062" s="30">
        <f>IF(AND($R1062="Não",$Q1062&lt;&gt;"",$Q1062&lt;=Hoje+JanelaRet,$Q1062&gt;=Hoje-60),MAX($V$4:$V1061)+1,"")</f>
        <v>0</v>
      </c>
    </row>
    <row r="1063" spans="1:22">
      <c r="A1063" s="16"/>
      <c r="B1063" s="23"/>
      <c r="C1063" s="15"/>
      <c r="D1063" s="15"/>
      <c r="E1063" s="15"/>
      <c r="F1063" s="24"/>
      <c r="G1063" s="17"/>
      <c r="H1063" s="17"/>
      <c r="I1063" s="15"/>
      <c r="J1063" s="25">
        <f>IF($D1063="","",IFERROR(INDEX(PacNome,MATCH($D1063,PacCod,0)),"Paciente não cadastrado"))</f>
        <v>0</v>
      </c>
      <c r="K1063" s="26">
        <f>IF($D1063="","",IFERROR(INDEX(PacConv,MATCH($D1063,PacCod,0))&amp;"",""))</f>
        <v>0</v>
      </c>
      <c r="L1063" s="26">
        <f>IF($A1063="","",CHOOSE(WEEKDAY($A1063,2),"Seg","Ter","Qua","Qui","Sex","Sáb","Dom"))</f>
        <v>0</v>
      </c>
      <c r="M1063" s="27">
        <f>IF($E1063="","",IF($G1063&lt;&gt;"",$G1063,IFERROR(INDEX(ProcValor,MATCH($E1063,ProcNome,0)),0)))</f>
        <v>0</v>
      </c>
      <c r="N1063" s="27">
        <f>IF($M1063="","",IF($F1063="Compareceu",$M1063,0))</f>
        <v>0</v>
      </c>
      <c r="O1063" s="27">
        <f>IF($M1063="","",IF($F1063="Faltou",$M1063,0))</f>
        <v>0</v>
      </c>
      <c r="P1063" s="27">
        <f>IF($M1063="","",IF($F1063="Compareceu",MAX(0,$M1063-N($H1063)),0))</f>
        <v>0</v>
      </c>
      <c r="Q1063" s="19">
        <f>IF(AND($F1063="Compareceu",$E1063&lt;&gt;"",$A1063&lt;&gt;""),IF(IFERROR(INDEX(ProcRet,MATCH($E1063,ProcNome,0)),0)&gt;0,$A1063+INDEX(ProcRet,MATCH($E1063,ProcNome,0)),""),"")</f>
        <v>0</v>
      </c>
      <c r="R1063" s="26">
        <f>IF($Q1063="","",IF(COUNTIFS(AgPac,$D1063,AgData,"&gt;"&amp;$A1063,AgStatus,"&lt;&gt;Cancelado",AgStatus,"&lt;&gt;Remarcado")&gt;0,"Sim","Não"))</f>
        <v>0</v>
      </c>
      <c r="S1063" s="28">
        <f>IF($A1063="","",IF(AND($F1063="Agendado",$A1063-Hoje&gt;=0,$A1063-Hoje&lt;=DiasConf),"CONFIRMAR",IF(AND($A1063&lt;Hoje,OR($F1063="Agendado",$F1063="Confirmado")),"Atualizar status",IF(AND($F1063="Compareceu",$P1063&gt;0.005),"Cobrar",IF($F1063="Faltou","Falta: reagendar","")))))</f>
        <v>0</v>
      </c>
      <c r="T1063" s="29">
        <f>IF($A1063="","",DATE(YEAR($A1063),MONTH($A1063),1))</f>
        <v>0</v>
      </c>
      <c r="U1063" s="30">
        <f>IF($S1063="CONFIRMAR",MAX($U$4:$U1062)+1,"")</f>
        <v>0</v>
      </c>
      <c r="V1063" s="30">
        <f>IF(AND($R1063="Não",$Q1063&lt;&gt;"",$Q1063&lt;=Hoje+JanelaRet,$Q1063&gt;=Hoje-60),MAX($V$4:$V1062)+1,"")</f>
        <v>0</v>
      </c>
    </row>
    <row r="1064" spans="1:22">
      <c r="A1064" s="16"/>
      <c r="B1064" s="23"/>
      <c r="C1064" s="15"/>
      <c r="D1064" s="15"/>
      <c r="E1064" s="15"/>
      <c r="F1064" s="24"/>
      <c r="G1064" s="17"/>
      <c r="H1064" s="17"/>
      <c r="I1064" s="15"/>
      <c r="J1064" s="25">
        <f>IF($D1064="","",IFERROR(INDEX(PacNome,MATCH($D1064,PacCod,0)),"Paciente não cadastrado"))</f>
        <v>0</v>
      </c>
      <c r="K1064" s="26">
        <f>IF($D1064="","",IFERROR(INDEX(PacConv,MATCH($D1064,PacCod,0))&amp;"",""))</f>
        <v>0</v>
      </c>
      <c r="L1064" s="26">
        <f>IF($A1064="","",CHOOSE(WEEKDAY($A1064,2),"Seg","Ter","Qua","Qui","Sex","Sáb","Dom"))</f>
        <v>0</v>
      </c>
      <c r="M1064" s="27">
        <f>IF($E1064="","",IF($G1064&lt;&gt;"",$G1064,IFERROR(INDEX(ProcValor,MATCH($E1064,ProcNome,0)),0)))</f>
        <v>0</v>
      </c>
      <c r="N1064" s="27">
        <f>IF($M1064="","",IF($F1064="Compareceu",$M1064,0))</f>
        <v>0</v>
      </c>
      <c r="O1064" s="27">
        <f>IF($M1064="","",IF($F1064="Faltou",$M1064,0))</f>
        <v>0</v>
      </c>
      <c r="P1064" s="27">
        <f>IF($M1064="","",IF($F1064="Compareceu",MAX(0,$M1064-N($H1064)),0))</f>
        <v>0</v>
      </c>
      <c r="Q1064" s="19">
        <f>IF(AND($F1064="Compareceu",$E1064&lt;&gt;"",$A1064&lt;&gt;""),IF(IFERROR(INDEX(ProcRet,MATCH($E1064,ProcNome,0)),0)&gt;0,$A1064+INDEX(ProcRet,MATCH($E1064,ProcNome,0)),""),"")</f>
        <v>0</v>
      </c>
      <c r="R1064" s="26">
        <f>IF($Q1064="","",IF(COUNTIFS(AgPac,$D1064,AgData,"&gt;"&amp;$A1064,AgStatus,"&lt;&gt;Cancelado",AgStatus,"&lt;&gt;Remarcado")&gt;0,"Sim","Não"))</f>
        <v>0</v>
      </c>
      <c r="S1064" s="28">
        <f>IF($A1064="","",IF(AND($F1064="Agendado",$A1064-Hoje&gt;=0,$A1064-Hoje&lt;=DiasConf),"CONFIRMAR",IF(AND($A1064&lt;Hoje,OR($F1064="Agendado",$F1064="Confirmado")),"Atualizar status",IF(AND($F1064="Compareceu",$P1064&gt;0.005),"Cobrar",IF($F1064="Faltou","Falta: reagendar","")))))</f>
        <v>0</v>
      </c>
      <c r="T1064" s="29">
        <f>IF($A1064="","",DATE(YEAR($A1064),MONTH($A1064),1))</f>
        <v>0</v>
      </c>
      <c r="U1064" s="30">
        <f>IF($S1064="CONFIRMAR",MAX($U$4:$U1063)+1,"")</f>
        <v>0</v>
      </c>
      <c r="V1064" s="30">
        <f>IF(AND($R1064="Não",$Q1064&lt;&gt;"",$Q1064&lt;=Hoje+JanelaRet,$Q1064&gt;=Hoje-60),MAX($V$4:$V1063)+1,"")</f>
        <v>0</v>
      </c>
    </row>
    <row r="1065" spans="1:22">
      <c r="A1065" s="16"/>
      <c r="B1065" s="23"/>
      <c r="C1065" s="15"/>
      <c r="D1065" s="15"/>
      <c r="E1065" s="15"/>
      <c r="F1065" s="24"/>
      <c r="G1065" s="17"/>
      <c r="H1065" s="17"/>
      <c r="I1065" s="15"/>
      <c r="J1065" s="25">
        <f>IF($D1065="","",IFERROR(INDEX(PacNome,MATCH($D1065,PacCod,0)),"Paciente não cadastrado"))</f>
        <v>0</v>
      </c>
      <c r="K1065" s="26">
        <f>IF($D1065="","",IFERROR(INDEX(PacConv,MATCH($D1065,PacCod,0))&amp;"",""))</f>
        <v>0</v>
      </c>
      <c r="L1065" s="26">
        <f>IF($A1065="","",CHOOSE(WEEKDAY($A1065,2),"Seg","Ter","Qua","Qui","Sex","Sáb","Dom"))</f>
        <v>0</v>
      </c>
      <c r="M1065" s="27">
        <f>IF($E1065="","",IF($G1065&lt;&gt;"",$G1065,IFERROR(INDEX(ProcValor,MATCH($E1065,ProcNome,0)),0)))</f>
        <v>0</v>
      </c>
      <c r="N1065" s="27">
        <f>IF($M1065="","",IF($F1065="Compareceu",$M1065,0))</f>
        <v>0</v>
      </c>
      <c r="O1065" s="27">
        <f>IF($M1065="","",IF($F1065="Faltou",$M1065,0))</f>
        <v>0</v>
      </c>
      <c r="P1065" s="27">
        <f>IF($M1065="","",IF($F1065="Compareceu",MAX(0,$M1065-N($H1065)),0))</f>
        <v>0</v>
      </c>
      <c r="Q1065" s="19">
        <f>IF(AND($F1065="Compareceu",$E1065&lt;&gt;"",$A1065&lt;&gt;""),IF(IFERROR(INDEX(ProcRet,MATCH($E1065,ProcNome,0)),0)&gt;0,$A1065+INDEX(ProcRet,MATCH($E1065,ProcNome,0)),""),"")</f>
        <v>0</v>
      </c>
      <c r="R1065" s="26">
        <f>IF($Q1065="","",IF(COUNTIFS(AgPac,$D1065,AgData,"&gt;"&amp;$A1065,AgStatus,"&lt;&gt;Cancelado",AgStatus,"&lt;&gt;Remarcado")&gt;0,"Sim","Não"))</f>
        <v>0</v>
      </c>
      <c r="S1065" s="28">
        <f>IF($A1065="","",IF(AND($F1065="Agendado",$A1065-Hoje&gt;=0,$A1065-Hoje&lt;=DiasConf),"CONFIRMAR",IF(AND($A1065&lt;Hoje,OR($F1065="Agendado",$F1065="Confirmado")),"Atualizar status",IF(AND($F1065="Compareceu",$P1065&gt;0.005),"Cobrar",IF($F1065="Faltou","Falta: reagendar","")))))</f>
        <v>0</v>
      </c>
      <c r="T1065" s="29">
        <f>IF($A1065="","",DATE(YEAR($A1065),MONTH($A1065),1))</f>
        <v>0</v>
      </c>
      <c r="U1065" s="30">
        <f>IF($S1065="CONFIRMAR",MAX($U$4:$U1064)+1,"")</f>
        <v>0</v>
      </c>
      <c r="V1065" s="30">
        <f>IF(AND($R1065="Não",$Q1065&lt;&gt;"",$Q1065&lt;=Hoje+JanelaRet,$Q1065&gt;=Hoje-60),MAX($V$4:$V1064)+1,"")</f>
        <v>0</v>
      </c>
    </row>
    <row r="1066" spans="1:22">
      <c r="A1066" s="16"/>
      <c r="B1066" s="23"/>
      <c r="C1066" s="15"/>
      <c r="D1066" s="15"/>
      <c r="E1066" s="15"/>
      <c r="F1066" s="24"/>
      <c r="G1066" s="17"/>
      <c r="H1066" s="17"/>
      <c r="I1066" s="15"/>
      <c r="J1066" s="25">
        <f>IF($D1066="","",IFERROR(INDEX(PacNome,MATCH($D1066,PacCod,0)),"Paciente não cadastrado"))</f>
        <v>0</v>
      </c>
      <c r="K1066" s="26">
        <f>IF($D1066="","",IFERROR(INDEX(PacConv,MATCH($D1066,PacCod,0))&amp;"",""))</f>
        <v>0</v>
      </c>
      <c r="L1066" s="26">
        <f>IF($A1066="","",CHOOSE(WEEKDAY($A1066,2),"Seg","Ter","Qua","Qui","Sex","Sáb","Dom"))</f>
        <v>0</v>
      </c>
      <c r="M1066" s="27">
        <f>IF($E1066="","",IF($G1066&lt;&gt;"",$G1066,IFERROR(INDEX(ProcValor,MATCH($E1066,ProcNome,0)),0)))</f>
        <v>0</v>
      </c>
      <c r="N1066" s="27">
        <f>IF($M1066="","",IF($F1066="Compareceu",$M1066,0))</f>
        <v>0</v>
      </c>
      <c r="O1066" s="27">
        <f>IF($M1066="","",IF($F1066="Faltou",$M1066,0))</f>
        <v>0</v>
      </c>
      <c r="P1066" s="27">
        <f>IF($M1066="","",IF($F1066="Compareceu",MAX(0,$M1066-N($H1066)),0))</f>
        <v>0</v>
      </c>
      <c r="Q1066" s="19">
        <f>IF(AND($F1066="Compareceu",$E1066&lt;&gt;"",$A1066&lt;&gt;""),IF(IFERROR(INDEX(ProcRet,MATCH($E1066,ProcNome,0)),0)&gt;0,$A1066+INDEX(ProcRet,MATCH($E1066,ProcNome,0)),""),"")</f>
        <v>0</v>
      </c>
      <c r="R1066" s="26">
        <f>IF($Q1066="","",IF(COUNTIFS(AgPac,$D1066,AgData,"&gt;"&amp;$A1066,AgStatus,"&lt;&gt;Cancelado",AgStatus,"&lt;&gt;Remarcado")&gt;0,"Sim","Não"))</f>
        <v>0</v>
      </c>
      <c r="S1066" s="28">
        <f>IF($A1066="","",IF(AND($F1066="Agendado",$A1066-Hoje&gt;=0,$A1066-Hoje&lt;=DiasConf),"CONFIRMAR",IF(AND($A1066&lt;Hoje,OR($F1066="Agendado",$F1066="Confirmado")),"Atualizar status",IF(AND($F1066="Compareceu",$P1066&gt;0.005),"Cobrar",IF($F1066="Faltou","Falta: reagendar","")))))</f>
        <v>0</v>
      </c>
      <c r="T1066" s="29">
        <f>IF($A1066="","",DATE(YEAR($A1066),MONTH($A1066),1))</f>
        <v>0</v>
      </c>
      <c r="U1066" s="30">
        <f>IF($S1066="CONFIRMAR",MAX($U$4:$U1065)+1,"")</f>
        <v>0</v>
      </c>
      <c r="V1066" s="30">
        <f>IF(AND($R1066="Não",$Q1066&lt;&gt;"",$Q1066&lt;=Hoje+JanelaRet,$Q1066&gt;=Hoje-60),MAX($V$4:$V1065)+1,"")</f>
        <v>0</v>
      </c>
    </row>
    <row r="1067" spans="1:22">
      <c r="A1067" s="16"/>
      <c r="B1067" s="23"/>
      <c r="C1067" s="15"/>
      <c r="D1067" s="15"/>
      <c r="E1067" s="15"/>
      <c r="F1067" s="24"/>
      <c r="G1067" s="17"/>
      <c r="H1067" s="17"/>
      <c r="I1067" s="15"/>
      <c r="J1067" s="25">
        <f>IF($D1067="","",IFERROR(INDEX(PacNome,MATCH($D1067,PacCod,0)),"Paciente não cadastrado"))</f>
        <v>0</v>
      </c>
      <c r="K1067" s="26">
        <f>IF($D1067="","",IFERROR(INDEX(PacConv,MATCH($D1067,PacCod,0))&amp;"",""))</f>
        <v>0</v>
      </c>
      <c r="L1067" s="26">
        <f>IF($A1067="","",CHOOSE(WEEKDAY($A1067,2),"Seg","Ter","Qua","Qui","Sex","Sáb","Dom"))</f>
        <v>0</v>
      </c>
      <c r="M1067" s="27">
        <f>IF($E1067="","",IF($G1067&lt;&gt;"",$G1067,IFERROR(INDEX(ProcValor,MATCH($E1067,ProcNome,0)),0)))</f>
        <v>0</v>
      </c>
      <c r="N1067" s="27">
        <f>IF($M1067="","",IF($F1067="Compareceu",$M1067,0))</f>
        <v>0</v>
      </c>
      <c r="O1067" s="27">
        <f>IF($M1067="","",IF($F1067="Faltou",$M1067,0))</f>
        <v>0</v>
      </c>
      <c r="P1067" s="27">
        <f>IF($M1067="","",IF($F1067="Compareceu",MAX(0,$M1067-N($H1067)),0))</f>
        <v>0</v>
      </c>
      <c r="Q1067" s="19">
        <f>IF(AND($F1067="Compareceu",$E1067&lt;&gt;"",$A1067&lt;&gt;""),IF(IFERROR(INDEX(ProcRet,MATCH($E1067,ProcNome,0)),0)&gt;0,$A1067+INDEX(ProcRet,MATCH($E1067,ProcNome,0)),""),"")</f>
        <v>0</v>
      </c>
      <c r="R1067" s="26">
        <f>IF($Q1067="","",IF(COUNTIFS(AgPac,$D1067,AgData,"&gt;"&amp;$A1067,AgStatus,"&lt;&gt;Cancelado",AgStatus,"&lt;&gt;Remarcado")&gt;0,"Sim","Não"))</f>
        <v>0</v>
      </c>
      <c r="S1067" s="28">
        <f>IF($A1067="","",IF(AND($F1067="Agendado",$A1067-Hoje&gt;=0,$A1067-Hoje&lt;=DiasConf),"CONFIRMAR",IF(AND($A1067&lt;Hoje,OR($F1067="Agendado",$F1067="Confirmado")),"Atualizar status",IF(AND($F1067="Compareceu",$P1067&gt;0.005),"Cobrar",IF($F1067="Faltou","Falta: reagendar","")))))</f>
        <v>0</v>
      </c>
      <c r="T1067" s="29">
        <f>IF($A1067="","",DATE(YEAR($A1067),MONTH($A1067),1))</f>
        <v>0</v>
      </c>
      <c r="U1067" s="30">
        <f>IF($S1067="CONFIRMAR",MAX($U$4:$U1066)+1,"")</f>
        <v>0</v>
      </c>
      <c r="V1067" s="30">
        <f>IF(AND($R1067="Não",$Q1067&lt;&gt;"",$Q1067&lt;=Hoje+JanelaRet,$Q1067&gt;=Hoje-60),MAX($V$4:$V1066)+1,"")</f>
        <v>0</v>
      </c>
    </row>
    <row r="1068" spans="1:22">
      <c r="A1068" s="16"/>
      <c r="B1068" s="23"/>
      <c r="C1068" s="15"/>
      <c r="D1068" s="15"/>
      <c r="E1068" s="15"/>
      <c r="F1068" s="24"/>
      <c r="G1068" s="17"/>
      <c r="H1068" s="17"/>
      <c r="I1068" s="15"/>
      <c r="J1068" s="25">
        <f>IF($D1068="","",IFERROR(INDEX(PacNome,MATCH($D1068,PacCod,0)),"Paciente não cadastrado"))</f>
        <v>0</v>
      </c>
      <c r="K1068" s="26">
        <f>IF($D1068="","",IFERROR(INDEX(PacConv,MATCH($D1068,PacCod,0))&amp;"",""))</f>
        <v>0</v>
      </c>
      <c r="L1068" s="26">
        <f>IF($A1068="","",CHOOSE(WEEKDAY($A1068,2),"Seg","Ter","Qua","Qui","Sex","Sáb","Dom"))</f>
        <v>0</v>
      </c>
      <c r="M1068" s="27">
        <f>IF($E1068="","",IF($G1068&lt;&gt;"",$G1068,IFERROR(INDEX(ProcValor,MATCH($E1068,ProcNome,0)),0)))</f>
        <v>0</v>
      </c>
      <c r="N1068" s="27">
        <f>IF($M1068="","",IF($F1068="Compareceu",$M1068,0))</f>
        <v>0</v>
      </c>
      <c r="O1068" s="27">
        <f>IF($M1068="","",IF($F1068="Faltou",$M1068,0))</f>
        <v>0</v>
      </c>
      <c r="P1068" s="27">
        <f>IF($M1068="","",IF($F1068="Compareceu",MAX(0,$M1068-N($H1068)),0))</f>
        <v>0</v>
      </c>
      <c r="Q1068" s="19">
        <f>IF(AND($F1068="Compareceu",$E1068&lt;&gt;"",$A1068&lt;&gt;""),IF(IFERROR(INDEX(ProcRet,MATCH($E1068,ProcNome,0)),0)&gt;0,$A1068+INDEX(ProcRet,MATCH($E1068,ProcNome,0)),""),"")</f>
        <v>0</v>
      </c>
      <c r="R1068" s="26">
        <f>IF($Q1068="","",IF(COUNTIFS(AgPac,$D1068,AgData,"&gt;"&amp;$A1068,AgStatus,"&lt;&gt;Cancelado",AgStatus,"&lt;&gt;Remarcado")&gt;0,"Sim","Não"))</f>
        <v>0</v>
      </c>
      <c r="S1068" s="28">
        <f>IF($A1068="","",IF(AND($F1068="Agendado",$A1068-Hoje&gt;=0,$A1068-Hoje&lt;=DiasConf),"CONFIRMAR",IF(AND($A1068&lt;Hoje,OR($F1068="Agendado",$F1068="Confirmado")),"Atualizar status",IF(AND($F1068="Compareceu",$P1068&gt;0.005),"Cobrar",IF($F1068="Faltou","Falta: reagendar","")))))</f>
        <v>0</v>
      </c>
      <c r="T1068" s="29">
        <f>IF($A1068="","",DATE(YEAR($A1068),MONTH($A1068),1))</f>
        <v>0</v>
      </c>
      <c r="U1068" s="30">
        <f>IF($S1068="CONFIRMAR",MAX($U$4:$U1067)+1,"")</f>
        <v>0</v>
      </c>
      <c r="V1068" s="30">
        <f>IF(AND($R1068="Não",$Q1068&lt;&gt;"",$Q1068&lt;=Hoje+JanelaRet,$Q1068&gt;=Hoje-60),MAX($V$4:$V1067)+1,"")</f>
        <v>0</v>
      </c>
    </row>
    <row r="1069" spans="1:22">
      <c r="A1069" s="16"/>
      <c r="B1069" s="23"/>
      <c r="C1069" s="15"/>
      <c r="D1069" s="15"/>
      <c r="E1069" s="15"/>
      <c r="F1069" s="24"/>
      <c r="G1069" s="17"/>
      <c r="H1069" s="17"/>
      <c r="I1069" s="15"/>
      <c r="J1069" s="25">
        <f>IF($D1069="","",IFERROR(INDEX(PacNome,MATCH($D1069,PacCod,0)),"Paciente não cadastrado"))</f>
        <v>0</v>
      </c>
      <c r="K1069" s="26">
        <f>IF($D1069="","",IFERROR(INDEX(PacConv,MATCH($D1069,PacCod,0))&amp;"",""))</f>
        <v>0</v>
      </c>
      <c r="L1069" s="26">
        <f>IF($A1069="","",CHOOSE(WEEKDAY($A1069,2),"Seg","Ter","Qua","Qui","Sex","Sáb","Dom"))</f>
        <v>0</v>
      </c>
      <c r="M1069" s="27">
        <f>IF($E1069="","",IF($G1069&lt;&gt;"",$G1069,IFERROR(INDEX(ProcValor,MATCH($E1069,ProcNome,0)),0)))</f>
        <v>0</v>
      </c>
      <c r="N1069" s="27">
        <f>IF($M1069="","",IF($F1069="Compareceu",$M1069,0))</f>
        <v>0</v>
      </c>
      <c r="O1069" s="27">
        <f>IF($M1069="","",IF($F1069="Faltou",$M1069,0))</f>
        <v>0</v>
      </c>
      <c r="P1069" s="27">
        <f>IF($M1069="","",IF($F1069="Compareceu",MAX(0,$M1069-N($H1069)),0))</f>
        <v>0</v>
      </c>
      <c r="Q1069" s="19">
        <f>IF(AND($F1069="Compareceu",$E1069&lt;&gt;"",$A1069&lt;&gt;""),IF(IFERROR(INDEX(ProcRet,MATCH($E1069,ProcNome,0)),0)&gt;0,$A1069+INDEX(ProcRet,MATCH($E1069,ProcNome,0)),""),"")</f>
        <v>0</v>
      </c>
      <c r="R1069" s="26">
        <f>IF($Q1069="","",IF(COUNTIFS(AgPac,$D1069,AgData,"&gt;"&amp;$A1069,AgStatus,"&lt;&gt;Cancelado",AgStatus,"&lt;&gt;Remarcado")&gt;0,"Sim","Não"))</f>
        <v>0</v>
      </c>
      <c r="S1069" s="28">
        <f>IF($A1069="","",IF(AND($F1069="Agendado",$A1069-Hoje&gt;=0,$A1069-Hoje&lt;=DiasConf),"CONFIRMAR",IF(AND($A1069&lt;Hoje,OR($F1069="Agendado",$F1069="Confirmado")),"Atualizar status",IF(AND($F1069="Compareceu",$P1069&gt;0.005),"Cobrar",IF($F1069="Faltou","Falta: reagendar","")))))</f>
        <v>0</v>
      </c>
      <c r="T1069" s="29">
        <f>IF($A1069="","",DATE(YEAR($A1069),MONTH($A1069),1))</f>
        <v>0</v>
      </c>
      <c r="U1069" s="30">
        <f>IF($S1069="CONFIRMAR",MAX($U$4:$U1068)+1,"")</f>
        <v>0</v>
      </c>
      <c r="V1069" s="30">
        <f>IF(AND($R1069="Não",$Q1069&lt;&gt;"",$Q1069&lt;=Hoje+JanelaRet,$Q1069&gt;=Hoje-60),MAX($V$4:$V1068)+1,"")</f>
        <v>0</v>
      </c>
    </row>
    <row r="1070" spans="1:22">
      <c r="A1070" s="16"/>
      <c r="B1070" s="23"/>
      <c r="C1070" s="15"/>
      <c r="D1070" s="15"/>
      <c r="E1070" s="15"/>
      <c r="F1070" s="24"/>
      <c r="G1070" s="17"/>
      <c r="H1070" s="17"/>
      <c r="I1070" s="15"/>
      <c r="J1070" s="25">
        <f>IF($D1070="","",IFERROR(INDEX(PacNome,MATCH($D1070,PacCod,0)),"Paciente não cadastrado"))</f>
        <v>0</v>
      </c>
      <c r="K1070" s="26">
        <f>IF($D1070="","",IFERROR(INDEX(PacConv,MATCH($D1070,PacCod,0))&amp;"",""))</f>
        <v>0</v>
      </c>
      <c r="L1070" s="26">
        <f>IF($A1070="","",CHOOSE(WEEKDAY($A1070,2),"Seg","Ter","Qua","Qui","Sex","Sáb","Dom"))</f>
        <v>0</v>
      </c>
      <c r="M1070" s="27">
        <f>IF($E1070="","",IF($G1070&lt;&gt;"",$G1070,IFERROR(INDEX(ProcValor,MATCH($E1070,ProcNome,0)),0)))</f>
        <v>0</v>
      </c>
      <c r="N1070" s="27">
        <f>IF($M1070="","",IF($F1070="Compareceu",$M1070,0))</f>
        <v>0</v>
      </c>
      <c r="O1070" s="27">
        <f>IF($M1070="","",IF($F1070="Faltou",$M1070,0))</f>
        <v>0</v>
      </c>
      <c r="P1070" s="27">
        <f>IF($M1070="","",IF($F1070="Compareceu",MAX(0,$M1070-N($H1070)),0))</f>
        <v>0</v>
      </c>
      <c r="Q1070" s="19">
        <f>IF(AND($F1070="Compareceu",$E1070&lt;&gt;"",$A1070&lt;&gt;""),IF(IFERROR(INDEX(ProcRet,MATCH($E1070,ProcNome,0)),0)&gt;0,$A1070+INDEX(ProcRet,MATCH($E1070,ProcNome,0)),""),"")</f>
        <v>0</v>
      </c>
      <c r="R1070" s="26">
        <f>IF($Q1070="","",IF(COUNTIFS(AgPac,$D1070,AgData,"&gt;"&amp;$A1070,AgStatus,"&lt;&gt;Cancelado",AgStatus,"&lt;&gt;Remarcado")&gt;0,"Sim","Não"))</f>
        <v>0</v>
      </c>
      <c r="S1070" s="28">
        <f>IF($A1070="","",IF(AND($F1070="Agendado",$A1070-Hoje&gt;=0,$A1070-Hoje&lt;=DiasConf),"CONFIRMAR",IF(AND($A1070&lt;Hoje,OR($F1070="Agendado",$F1070="Confirmado")),"Atualizar status",IF(AND($F1070="Compareceu",$P1070&gt;0.005),"Cobrar",IF($F1070="Faltou","Falta: reagendar","")))))</f>
        <v>0</v>
      </c>
      <c r="T1070" s="29">
        <f>IF($A1070="","",DATE(YEAR($A1070),MONTH($A1070),1))</f>
        <v>0</v>
      </c>
      <c r="U1070" s="30">
        <f>IF($S1070="CONFIRMAR",MAX($U$4:$U1069)+1,"")</f>
        <v>0</v>
      </c>
      <c r="V1070" s="30">
        <f>IF(AND($R1070="Não",$Q1070&lt;&gt;"",$Q1070&lt;=Hoje+JanelaRet,$Q1070&gt;=Hoje-60),MAX($V$4:$V1069)+1,"")</f>
        <v>0</v>
      </c>
    </row>
    <row r="1071" spans="1:22">
      <c r="A1071" s="16"/>
      <c r="B1071" s="23"/>
      <c r="C1071" s="15"/>
      <c r="D1071" s="15"/>
      <c r="E1071" s="15"/>
      <c r="F1071" s="24"/>
      <c r="G1071" s="17"/>
      <c r="H1071" s="17"/>
      <c r="I1071" s="15"/>
      <c r="J1071" s="25">
        <f>IF($D1071="","",IFERROR(INDEX(PacNome,MATCH($D1071,PacCod,0)),"Paciente não cadastrado"))</f>
        <v>0</v>
      </c>
      <c r="K1071" s="26">
        <f>IF($D1071="","",IFERROR(INDEX(PacConv,MATCH($D1071,PacCod,0))&amp;"",""))</f>
        <v>0</v>
      </c>
      <c r="L1071" s="26">
        <f>IF($A1071="","",CHOOSE(WEEKDAY($A1071,2),"Seg","Ter","Qua","Qui","Sex","Sáb","Dom"))</f>
        <v>0</v>
      </c>
      <c r="M1071" s="27">
        <f>IF($E1071="","",IF($G1071&lt;&gt;"",$G1071,IFERROR(INDEX(ProcValor,MATCH($E1071,ProcNome,0)),0)))</f>
        <v>0</v>
      </c>
      <c r="N1071" s="27">
        <f>IF($M1071="","",IF($F1071="Compareceu",$M1071,0))</f>
        <v>0</v>
      </c>
      <c r="O1071" s="27">
        <f>IF($M1071="","",IF($F1071="Faltou",$M1071,0))</f>
        <v>0</v>
      </c>
      <c r="P1071" s="27">
        <f>IF($M1071="","",IF($F1071="Compareceu",MAX(0,$M1071-N($H1071)),0))</f>
        <v>0</v>
      </c>
      <c r="Q1071" s="19">
        <f>IF(AND($F1071="Compareceu",$E1071&lt;&gt;"",$A1071&lt;&gt;""),IF(IFERROR(INDEX(ProcRet,MATCH($E1071,ProcNome,0)),0)&gt;0,$A1071+INDEX(ProcRet,MATCH($E1071,ProcNome,0)),""),"")</f>
        <v>0</v>
      </c>
      <c r="R1071" s="26">
        <f>IF($Q1071="","",IF(COUNTIFS(AgPac,$D1071,AgData,"&gt;"&amp;$A1071,AgStatus,"&lt;&gt;Cancelado",AgStatus,"&lt;&gt;Remarcado")&gt;0,"Sim","Não"))</f>
        <v>0</v>
      </c>
      <c r="S1071" s="28">
        <f>IF($A1071="","",IF(AND($F1071="Agendado",$A1071-Hoje&gt;=0,$A1071-Hoje&lt;=DiasConf),"CONFIRMAR",IF(AND($A1071&lt;Hoje,OR($F1071="Agendado",$F1071="Confirmado")),"Atualizar status",IF(AND($F1071="Compareceu",$P1071&gt;0.005),"Cobrar",IF($F1071="Faltou","Falta: reagendar","")))))</f>
        <v>0</v>
      </c>
      <c r="T1071" s="29">
        <f>IF($A1071="","",DATE(YEAR($A1071),MONTH($A1071),1))</f>
        <v>0</v>
      </c>
      <c r="U1071" s="30">
        <f>IF($S1071="CONFIRMAR",MAX($U$4:$U1070)+1,"")</f>
        <v>0</v>
      </c>
      <c r="V1071" s="30">
        <f>IF(AND($R1071="Não",$Q1071&lt;&gt;"",$Q1071&lt;=Hoje+JanelaRet,$Q1071&gt;=Hoje-60),MAX($V$4:$V1070)+1,"")</f>
        <v>0</v>
      </c>
    </row>
    <row r="1072" spans="1:22">
      <c r="A1072" s="16"/>
      <c r="B1072" s="23"/>
      <c r="C1072" s="15"/>
      <c r="D1072" s="15"/>
      <c r="E1072" s="15"/>
      <c r="F1072" s="24"/>
      <c r="G1072" s="17"/>
      <c r="H1072" s="17"/>
      <c r="I1072" s="15"/>
      <c r="J1072" s="25">
        <f>IF($D1072="","",IFERROR(INDEX(PacNome,MATCH($D1072,PacCod,0)),"Paciente não cadastrado"))</f>
        <v>0</v>
      </c>
      <c r="K1072" s="26">
        <f>IF($D1072="","",IFERROR(INDEX(PacConv,MATCH($D1072,PacCod,0))&amp;"",""))</f>
        <v>0</v>
      </c>
      <c r="L1072" s="26">
        <f>IF($A1072="","",CHOOSE(WEEKDAY($A1072,2),"Seg","Ter","Qua","Qui","Sex","Sáb","Dom"))</f>
        <v>0</v>
      </c>
      <c r="M1072" s="27">
        <f>IF($E1072="","",IF($G1072&lt;&gt;"",$G1072,IFERROR(INDEX(ProcValor,MATCH($E1072,ProcNome,0)),0)))</f>
        <v>0</v>
      </c>
      <c r="N1072" s="27">
        <f>IF($M1072="","",IF($F1072="Compareceu",$M1072,0))</f>
        <v>0</v>
      </c>
      <c r="O1072" s="27">
        <f>IF($M1072="","",IF($F1072="Faltou",$M1072,0))</f>
        <v>0</v>
      </c>
      <c r="P1072" s="27">
        <f>IF($M1072="","",IF($F1072="Compareceu",MAX(0,$M1072-N($H1072)),0))</f>
        <v>0</v>
      </c>
      <c r="Q1072" s="19">
        <f>IF(AND($F1072="Compareceu",$E1072&lt;&gt;"",$A1072&lt;&gt;""),IF(IFERROR(INDEX(ProcRet,MATCH($E1072,ProcNome,0)),0)&gt;0,$A1072+INDEX(ProcRet,MATCH($E1072,ProcNome,0)),""),"")</f>
        <v>0</v>
      </c>
      <c r="R1072" s="26">
        <f>IF($Q1072="","",IF(COUNTIFS(AgPac,$D1072,AgData,"&gt;"&amp;$A1072,AgStatus,"&lt;&gt;Cancelado",AgStatus,"&lt;&gt;Remarcado")&gt;0,"Sim","Não"))</f>
        <v>0</v>
      </c>
      <c r="S1072" s="28">
        <f>IF($A1072="","",IF(AND($F1072="Agendado",$A1072-Hoje&gt;=0,$A1072-Hoje&lt;=DiasConf),"CONFIRMAR",IF(AND($A1072&lt;Hoje,OR($F1072="Agendado",$F1072="Confirmado")),"Atualizar status",IF(AND($F1072="Compareceu",$P1072&gt;0.005),"Cobrar",IF($F1072="Faltou","Falta: reagendar","")))))</f>
        <v>0</v>
      </c>
      <c r="T1072" s="29">
        <f>IF($A1072="","",DATE(YEAR($A1072),MONTH($A1072),1))</f>
        <v>0</v>
      </c>
      <c r="U1072" s="30">
        <f>IF($S1072="CONFIRMAR",MAX($U$4:$U1071)+1,"")</f>
        <v>0</v>
      </c>
      <c r="V1072" s="30">
        <f>IF(AND($R1072="Não",$Q1072&lt;&gt;"",$Q1072&lt;=Hoje+JanelaRet,$Q1072&gt;=Hoje-60),MAX($V$4:$V1071)+1,"")</f>
        <v>0</v>
      </c>
    </row>
    <row r="1073" spans="1:22">
      <c r="A1073" s="16"/>
      <c r="B1073" s="23"/>
      <c r="C1073" s="15"/>
      <c r="D1073" s="15"/>
      <c r="E1073" s="15"/>
      <c r="F1073" s="24"/>
      <c r="G1073" s="17"/>
      <c r="H1073" s="17"/>
      <c r="I1073" s="15"/>
      <c r="J1073" s="25">
        <f>IF($D1073="","",IFERROR(INDEX(PacNome,MATCH($D1073,PacCod,0)),"Paciente não cadastrado"))</f>
        <v>0</v>
      </c>
      <c r="K1073" s="26">
        <f>IF($D1073="","",IFERROR(INDEX(PacConv,MATCH($D1073,PacCod,0))&amp;"",""))</f>
        <v>0</v>
      </c>
      <c r="L1073" s="26">
        <f>IF($A1073="","",CHOOSE(WEEKDAY($A1073,2),"Seg","Ter","Qua","Qui","Sex","Sáb","Dom"))</f>
        <v>0</v>
      </c>
      <c r="M1073" s="27">
        <f>IF($E1073="","",IF($G1073&lt;&gt;"",$G1073,IFERROR(INDEX(ProcValor,MATCH($E1073,ProcNome,0)),0)))</f>
        <v>0</v>
      </c>
      <c r="N1073" s="27">
        <f>IF($M1073="","",IF($F1073="Compareceu",$M1073,0))</f>
        <v>0</v>
      </c>
      <c r="O1073" s="27">
        <f>IF($M1073="","",IF($F1073="Faltou",$M1073,0))</f>
        <v>0</v>
      </c>
      <c r="P1073" s="27">
        <f>IF($M1073="","",IF($F1073="Compareceu",MAX(0,$M1073-N($H1073)),0))</f>
        <v>0</v>
      </c>
      <c r="Q1073" s="19">
        <f>IF(AND($F1073="Compareceu",$E1073&lt;&gt;"",$A1073&lt;&gt;""),IF(IFERROR(INDEX(ProcRet,MATCH($E1073,ProcNome,0)),0)&gt;0,$A1073+INDEX(ProcRet,MATCH($E1073,ProcNome,0)),""),"")</f>
        <v>0</v>
      </c>
      <c r="R1073" s="26">
        <f>IF($Q1073="","",IF(COUNTIFS(AgPac,$D1073,AgData,"&gt;"&amp;$A1073,AgStatus,"&lt;&gt;Cancelado",AgStatus,"&lt;&gt;Remarcado")&gt;0,"Sim","Não"))</f>
        <v>0</v>
      </c>
      <c r="S1073" s="28">
        <f>IF($A1073="","",IF(AND($F1073="Agendado",$A1073-Hoje&gt;=0,$A1073-Hoje&lt;=DiasConf),"CONFIRMAR",IF(AND($A1073&lt;Hoje,OR($F1073="Agendado",$F1073="Confirmado")),"Atualizar status",IF(AND($F1073="Compareceu",$P1073&gt;0.005),"Cobrar",IF($F1073="Faltou","Falta: reagendar","")))))</f>
        <v>0</v>
      </c>
      <c r="T1073" s="29">
        <f>IF($A1073="","",DATE(YEAR($A1073),MONTH($A1073),1))</f>
        <v>0</v>
      </c>
      <c r="U1073" s="30">
        <f>IF($S1073="CONFIRMAR",MAX($U$4:$U1072)+1,"")</f>
        <v>0</v>
      </c>
      <c r="V1073" s="30">
        <f>IF(AND($R1073="Não",$Q1073&lt;&gt;"",$Q1073&lt;=Hoje+JanelaRet,$Q1073&gt;=Hoje-60),MAX($V$4:$V1072)+1,"")</f>
        <v>0</v>
      </c>
    </row>
    <row r="1074" spans="1:22">
      <c r="A1074" s="16"/>
      <c r="B1074" s="23"/>
      <c r="C1074" s="15"/>
      <c r="D1074" s="15"/>
      <c r="E1074" s="15"/>
      <c r="F1074" s="24"/>
      <c r="G1074" s="17"/>
      <c r="H1074" s="17"/>
      <c r="I1074" s="15"/>
      <c r="J1074" s="25">
        <f>IF($D1074="","",IFERROR(INDEX(PacNome,MATCH($D1074,PacCod,0)),"Paciente não cadastrado"))</f>
        <v>0</v>
      </c>
      <c r="K1074" s="26">
        <f>IF($D1074="","",IFERROR(INDEX(PacConv,MATCH($D1074,PacCod,0))&amp;"",""))</f>
        <v>0</v>
      </c>
      <c r="L1074" s="26">
        <f>IF($A1074="","",CHOOSE(WEEKDAY($A1074,2),"Seg","Ter","Qua","Qui","Sex","Sáb","Dom"))</f>
        <v>0</v>
      </c>
      <c r="M1074" s="27">
        <f>IF($E1074="","",IF($G1074&lt;&gt;"",$G1074,IFERROR(INDEX(ProcValor,MATCH($E1074,ProcNome,0)),0)))</f>
        <v>0</v>
      </c>
      <c r="N1074" s="27">
        <f>IF($M1074="","",IF($F1074="Compareceu",$M1074,0))</f>
        <v>0</v>
      </c>
      <c r="O1074" s="27">
        <f>IF($M1074="","",IF($F1074="Faltou",$M1074,0))</f>
        <v>0</v>
      </c>
      <c r="P1074" s="27">
        <f>IF($M1074="","",IF($F1074="Compareceu",MAX(0,$M1074-N($H1074)),0))</f>
        <v>0</v>
      </c>
      <c r="Q1074" s="19">
        <f>IF(AND($F1074="Compareceu",$E1074&lt;&gt;"",$A1074&lt;&gt;""),IF(IFERROR(INDEX(ProcRet,MATCH($E1074,ProcNome,0)),0)&gt;0,$A1074+INDEX(ProcRet,MATCH($E1074,ProcNome,0)),""),"")</f>
        <v>0</v>
      </c>
      <c r="R1074" s="26">
        <f>IF($Q1074="","",IF(COUNTIFS(AgPac,$D1074,AgData,"&gt;"&amp;$A1074,AgStatus,"&lt;&gt;Cancelado",AgStatus,"&lt;&gt;Remarcado")&gt;0,"Sim","Não"))</f>
        <v>0</v>
      </c>
      <c r="S1074" s="28">
        <f>IF($A1074="","",IF(AND($F1074="Agendado",$A1074-Hoje&gt;=0,$A1074-Hoje&lt;=DiasConf),"CONFIRMAR",IF(AND($A1074&lt;Hoje,OR($F1074="Agendado",$F1074="Confirmado")),"Atualizar status",IF(AND($F1074="Compareceu",$P1074&gt;0.005),"Cobrar",IF($F1074="Faltou","Falta: reagendar","")))))</f>
        <v>0</v>
      </c>
      <c r="T1074" s="29">
        <f>IF($A1074="","",DATE(YEAR($A1074),MONTH($A1074),1))</f>
        <v>0</v>
      </c>
      <c r="U1074" s="30">
        <f>IF($S1074="CONFIRMAR",MAX($U$4:$U1073)+1,"")</f>
        <v>0</v>
      </c>
      <c r="V1074" s="30">
        <f>IF(AND($R1074="Não",$Q1074&lt;&gt;"",$Q1074&lt;=Hoje+JanelaRet,$Q1074&gt;=Hoje-60),MAX($V$4:$V1073)+1,"")</f>
        <v>0</v>
      </c>
    </row>
    <row r="1075" spans="1:22">
      <c r="A1075" s="16"/>
      <c r="B1075" s="23"/>
      <c r="C1075" s="15"/>
      <c r="D1075" s="15"/>
      <c r="E1075" s="15"/>
      <c r="F1075" s="24"/>
      <c r="G1075" s="17"/>
      <c r="H1075" s="17"/>
      <c r="I1075" s="15"/>
      <c r="J1075" s="25">
        <f>IF($D1075="","",IFERROR(INDEX(PacNome,MATCH($D1075,PacCod,0)),"Paciente não cadastrado"))</f>
        <v>0</v>
      </c>
      <c r="K1075" s="26">
        <f>IF($D1075="","",IFERROR(INDEX(PacConv,MATCH($D1075,PacCod,0))&amp;"",""))</f>
        <v>0</v>
      </c>
      <c r="L1075" s="26">
        <f>IF($A1075="","",CHOOSE(WEEKDAY($A1075,2),"Seg","Ter","Qua","Qui","Sex","Sáb","Dom"))</f>
        <v>0</v>
      </c>
      <c r="M1075" s="27">
        <f>IF($E1075="","",IF($G1075&lt;&gt;"",$G1075,IFERROR(INDEX(ProcValor,MATCH($E1075,ProcNome,0)),0)))</f>
        <v>0</v>
      </c>
      <c r="N1075" s="27">
        <f>IF($M1075="","",IF($F1075="Compareceu",$M1075,0))</f>
        <v>0</v>
      </c>
      <c r="O1075" s="27">
        <f>IF($M1075="","",IF($F1075="Faltou",$M1075,0))</f>
        <v>0</v>
      </c>
      <c r="P1075" s="27">
        <f>IF($M1075="","",IF($F1075="Compareceu",MAX(0,$M1075-N($H1075)),0))</f>
        <v>0</v>
      </c>
      <c r="Q1075" s="19">
        <f>IF(AND($F1075="Compareceu",$E1075&lt;&gt;"",$A1075&lt;&gt;""),IF(IFERROR(INDEX(ProcRet,MATCH($E1075,ProcNome,0)),0)&gt;0,$A1075+INDEX(ProcRet,MATCH($E1075,ProcNome,0)),""),"")</f>
        <v>0</v>
      </c>
      <c r="R1075" s="26">
        <f>IF($Q1075="","",IF(COUNTIFS(AgPac,$D1075,AgData,"&gt;"&amp;$A1075,AgStatus,"&lt;&gt;Cancelado",AgStatus,"&lt;&gt;Remarcado")&gt;0,"Sim","Não"))</f>
        <v>0</v>
      </c>
      <c r="S1075" s="28">
        <f>IF($A1075="","",IF(AND($F1075="Agendado",$A1075-Hoje&gt;=0,$A1075-Hoje&lt;=DiasConf),"CONFIRMAR",IF(AND($A1075&lt;Hoje,OR($F1075="Agendado",$F1075="Confirmado")),"Atualizar status",IF(AND($F1075="Compareceu",$P1075&gt;0.005),"Cobrar",IF($F1075="Faltou","Falta: reagendar","")))))</f>
        <v>0</v>
      </c>
      <c r="T1075" s="29">
        <f>IF($A1075="","",DATE(YEAR($A1075),MONTH($A1075),1))</f>
        <v>0</v>
      </c>
      <c r="U1075" s="30">
        <f>IF($S1075="CONFIRMAR",MAX($U$4:$U1074)+1,"")</f>
        <v>0</v>
      </c>
      <c r="V1075" s="30">
        <f>IF(AND($R1075="Não",$Q1075&lt;&gt;"",$Q1075&lt;=Hoje+JanelaRet,$Q1075&gt;=Hoje-60),MAX($V$4:$V1074)+1,"")</f>
        <v>0</v>
      </c>
    </row>
    <row r="1076" spans="1:22">
      <c r="A1076" s="16"/>
      <c r="B1076" s="23"/>
      <c r="C1076" s="15"/>
      <c r="D1076" s="15"/>
      <c r="E1076" s="15"/>
      <c r="F1076" s="24"/>
      <c r="G1076" s="17"/>
      <c r="H1076" s="17"/>
      <c r="I1076" s="15"/>
      <c r="J1076" s="25">
        <f>IF($D1076="","",IFERROR(INDEX(PacNome,MATCH($D1076,PacCod,0)),"Paciente não cadastrado"))</f>
        <v>0</v>
      </c>
      <c r="K1076" s="26">
        <f>IF($D1076="","",IFERROR(INDEX(PacConv,MATCH($D1076,PacCod,0))&amp;"",""))</f>
        <v>0</v>
      </c>
      <c r="L1076" s="26">
        <f>IF($A1076="","",CHOOSE(WEEKDAY($A1076,2),"Seg","Ter","Qua","Qui","Sex","Sáb","Dom"))</f>
        <v>0</v>
      </c>
      <c r="M1076" s="27">
        <f>IF($E1076="","",IF($G1076&lt;&gt;"",$G1076,IFERROR(INDEX(ProcValor,MATCH($E1076,ProcNome,0)),0)))</f>
        <v>0</v>
      </c>
      <c r="N1076" s="27">
        <f>IF($M1076="","",IF($F1076="Compareceu",$M1076,0))</f>
        <v>0</v>
      </c>
      <c r="O1076" s="27">
        <f>IF($M1076="","",IF($F1076="Faltou",$M1076,0))</f>
        <v>0</v>
      </c>
      <c r="P1076" s="27">
        <f>IF($M1076="","",IF($F1076="Compareceu",MAX(0,$M1076-N($H1076)),0))</f>
        <v>0</v>
      </c>
      <c r="Q1076" s="19">
        <f>IF(AND($F1076="Compareceu",$E1076&lt;&gt;"",$A1076&lt;&gt;""),IF(IFERROR(INDEX(ProcRet,MATCH($E1076,ProcNome,0)),0)&gt;0,$A1076+INDEX(ProcRet,MATCH($E1076,ProcNome,0)),""),"")</f>
        <v>0</v>
      </c>
      <c r="R1076" s="26">
        <f>IF($Q1076="","",IF(COUNTIFS(AgPac,$D1076,AgData,"&gt;"&amp;$A1076,AgStatus,"&lt;&gt;Cancelado",AgStatus,"&lt;&gt;Remarcado")&gt;0,"Sim","Não"))</f>
        <v>0</v>
      </c>
      <c r="S1076" s="28">
        <f>IF($A1076="","",IF(AND($F1076="Agendado",$A1076-Hoje&gt;=0,$A1076-Hoje&lt;=DiasConf),"CONFIRMAR",IF(AND($A1076&lt;Hoje,OR($F1076="Agendado",$F1076="Confirmado")),"Atualizar status",IF(AND($F1076="Compareceu",$P1076&gt;0.005),"Cobrar",IF($F1076="Faltou","Falta: reagendar","")))))</f>
        <v>0</v>
      </c>
      <c r="T1076" s="29">
        <f>IF($A1076="","",DATE(YEAR($A1076),MONTH($A1076),1))</f>
        <v>0</v>
      </c>
      <c r="U1076" s="30">
        <f>IF($S1076="CONFIRMAR",MAX($U$4:$U1075)+1,"")</f>
        <v>0</v>
      </c>
      <c r="V1076" s="30">
        <f>IF(AND($R1076="Não",$Q1076&lt;&gt;"",$Q1076&lt;=Hoje+JanelaRet,$Q1076&gt;=Hoje-60),MAX($V$4:$V1075)+1,"")</f>
        <v>0</v>
      </c>
    </row>
    <row r="1077" spans="1:22">
      <c r="A1077" s="16"/>
      <c r="B1077" s="23"/>
      <c r="C1077" s="15"/>
      <c r="D1077" s="15"/>
      <c r="E1077" s="15"/>
      <c r="F1077" s="24"/>
      <c r="G1077" s="17"/>
      <c r="H1077" s="17"/>
      <c r="I1077" s="15"/>
      <c r="J1077" s="25">
        <f>IF($D1077="","",IFERROR(INDEX(PacNome,MATCH($D1077,PacCod,0)),"Paciente não cadastrado"))</f>
        <v>0</v>
      </c>
      <c r="K1077" s="26">
        <f>IF($D1077="","",IFERROR(INDEX(PacConv,MATCH($D1077,PacCod,0))&amp;"",""))</f>
        <v>0</v>
      </c>
      <c r="L1077" s="26">
        <f>IF($A1077="","",CHOOSE(WEEKDAY($A1077,2),"Seg","Ter","Qua","Qui","Sex","Sáb","Dom"))</f>
        <v>0</v>
      </c>
      <c r="M1077" s="27">
        <f>IF($E1077="","",IF($G1077&lt;&gt;"",$G1077,IFERROR(INDEX(ProcValor,MATCH($E1077,ProcNome,0)),0)))</f>
        <v>0</v>
      </c>
      <c r="N1077" s="27">
        <f>IF($M1077="","",IF($F1077="Compareceu",$M1077,0))</f>
        <v>0</v>
      </c>
      <c r="O1077" s="27">
        <f>IF($M1077="","",IF($F1077="Faltou",$M1077,0))</f>
        <v>0</v>
      </c>
      <c r="P1077" s="27">
        <f>IF($M1077="","",IF($F1077="Compareceu",MAX(0,$M1077-N($H1077)),0))</f>
        <v>0</v>
      </c>
      <c r="Q1077" s="19">
        <f>IF(AND($F1077="Compareceu",$E1077&lt;&gt;"",$A1077&lt;&gt;""),IF(IFERROR(INDEX(ProcRet,MATCH($E1077,ProcNome,0)),0)&gt;0,$A1077+INDEX(ProcRet,MATCH($E1077,ProcNome,0)),""),"")</f>
        <v>0</v>
      </c>
      <c r="R1077" s="26">
        <f>IF($Q1077="","",IF(COUNTIFS(AgPac,$D1077,AgData,"&gt;"&amp;$A1077,AgStatus,"&lt;&gt;Cancelado",AgStatus,"&lt;&gt;Remarcado")&gt;0,"Sim","Não"))</f>
        <v>0</v>
      </c>
      <c r="S1077" s="28">
        <f>IF($A1077="","",IF(AND($F1077="Agendado",$A1077-Hoje&gt;=0,$A1077-Hoje&lt;=DiasConf),"CONFIRMAR",IF(AND($A1077&lt;Hoje,OR($F1077="Agendado",$F1077="Confirmado")),"Atualizar status",IF(AND($F1077="Compareceu",$P1077&gt;0.005),"Cobrar",IF($F1077="Faltou","Falta: reagendar","")))))</f>
        <v>0</v>
      </c>
      <c r="T1077" s="29">
        <f>IF($A1077="","",DATE(YEAR($A1077),MONTH($A1077),1))</f>
        <v>0</v>
      </c>
      <c r="U1077" s="30">
        <f>IF($S1077="CONFIRMAR",MAX($U$4:$U1076)+1,"")</f>
        <v>0</v>
      </c>
      <c r="V1077" s="30">
        <f>IF(AND($R1077="Não",$Q1077&lt;&gt;"",$Q1077&lt;=Hoje+JanelaRet,$Q1077&gt;=Hoje-60),MAX($V$4:$V1076)+1,"")</f>
        <v>0</v>
      </c>
    </row>
    <row r="1078" spans="1:22">
      <c r="A1078" s="16"/>
      <c r="B1078" s="23"/>
      <c r="C1078" s="15"/>
      <c r="D1078" s="15"/>
      <c r="E1078" s="15"/>
      <c r="F1078" s="24"/>
      <c r="G1078" s="17"/>
      <c r="H1078" s="17"/>
      <c r="I1078" s="15"/>
      <c r="J1078" s="25">
        <f>IF($D1078="","",IFERROR(INDEX(PacNome,MATCH($D1078,PacCod,0)),"Paciente não cadastrado"))</f>
        <v>0</v>
      </c>
      <c r="K1078" s="26">
        <f>IF($D1078="","",IFERROR(INDEX(PacConv,MATCH($D1078,PacCod,0))&amp;"",""))</f>
        <v>0</v>
      </c>
      <c r="L1078" s="26">
        <f>IF($A1078="","",CHOOSE(WEEKDAY($A1078,2),"Seg","Ter","Qua","Qui","Sex","Sáb","Dom"))</f>
        <v>0</v>
      </c>
      <c r="M1078" s="27">
        <f>IF($E1078="","",IF($G1078&lt;&gt;"",$G1078,IFERROR(INDEX(ProcValor,MATCH($E1078,ProcNome,0)),0)))</f>
        <v>0</v>
      </c>
      <c r="N1078" s="27">
        <f>IF($M1078="","",IF($F1078="Compareceu",$M1078,0))</f>
        <v>0</v>
      </c>
      <c r="O1078" s="27">
        <f>IF($M1078="","",IF($F1078="Faltou",$M1078,0))</f>
        <v>0</v>
      </c>
      <c r="P1078" s="27">
        <f>IF($M1078="","",IF($F1078="Compareceu",MAX(0,$M1078-N($H1078)),0))</f>
        <v>0</v>
      </c>
      <c r="Q1078" s="19">
        <f>IF(AND($F1078="Compareceu",$E1078&lt;&gt;"",$A1078&lt;&gt;""),IF(IFERROR(INDEX(ProcRet,MATCH($E1078,ProcNome,0)),0)&gt;0,$A1078+INDEX(ProcRet,MATCH($E1078,ProcNome,0)),""),"")</f>
        <v>0</v>
      </c>
      <c r="R1078" s="26">
        <f>IF($Q1078="","",IF(COUNTIFS(AgPac,$D1078,AgData,"&gt;"&amp;$A1078,AgStatus,"&lt;&gt;Cancelado",AgStatus,"&lt;&gt;Remarcado")&gt;0,"Sim","Não"))</f>
        <v>0</v>
      </c>
      <c r="S1078" s="28">
        <f>IF($A1078="","",IF(AND($F1078="Agendado",$A1078-Hoje&gt;=0,$A1078-Hoje&lt;=DiasConf),"CONFIRMAR",IF(AND($A1078&lt;Hoje,OR($F1078="Agendado",$F1078="Confirmado")),"Atualizar status",IF(AND($F1078="Compareceu",$P1078&gt;0.005),"Cobrar",IF($F1078="Faltou","Falta: reagendar","")))))</f>
        <v>0</v>
      </c>
      <c r="T1078" s="29">
        <f>IF($A1078="","",DATE(YEAR($A1078),MONTH($A1078),1))</f>
        <v>0</v>
      </c>
      <c r="U1078" s="30">
        <f>IF($S1078="CONFIRMAR",MAX($U$4:$U1077)+1,"")</f>
        <v>0</v>
      </c>
      <c r="V1078" s="30">
        <f>IF(AND($R1078="Não",$Q1078&lt;&gt;"",$Q1078&lt;=Hoje+JanelaRet,$Q1078&gt;=Hoje-60),MAX($V$4:$V1077)+1,"")</f>
        <v>0</v>
      </c>
    </row>
    <row r="1079" spans="1:22">
      <c r="A1079" s="16"/>
      <c r="B1079" s="23"/>
      <c r="C1079" s="15"/>
      <c r="D1079" s="15"/>
      <c r="E1079" s="15"/>
      <c r="F1079" s="24"/>
      <c r="G1079" s="17"/>
      <c r="H1079" s="17"/>
      <c r="I1079" s="15"/>
      <c r="J1079" s="25">
        <f>IF($D1079="","",IFERROR(INDEX(PacNome,MATCH($D1079,PacCod,0)),"Paciente não cadastrado"))</f>
        <v>0</v>
      </c>
      <c r="K1079" s="26">
        <f>IF($D1079="","",IFERROR(INDEX(PacConv,MATCH($D1079,PacCod,0))&amp;"",""))</f>
        <v>0</v>
      </c>
      <c r="L1079" s="26">
        <f>IF($A1079="","",CHOOSE(WEEKDAY($A1079,2),"Seg","Ter","Qua","Qui","Sex","Sáb","Dom"))</f>
        <v>0</v>
      </c>
      <c r="M1079" s="27">
        <f>IF($E1079="","",IF($G1079&lt;&gt;"",$G1079,IFERROR(INDEX(ProcValor,MATCH($E1079,ProcNome,0)),0)))</f>
        <v>0</v>
      </c>
      <c r="N1079" s="27">
        <f>IF($M1079="","",IF($F1079="Compareceu",$M1079,0))</f>
        <v>0</v>
      </c>
      <c r="O1079" s="27">
        <f>IF($M1079="","",IF($F1079="Faltou",$M1079,0))</f>
        <v>0</v>
      </c>
      <c r="P1079" s="27">
        <f>IF($M1079="","",IF($F1079="Compareceu",MAX(0,$M1079-N($H1079)),0))</f>
        <v>0</v>
      </c>
      <c r="Q1079" s="19">
        <f>IF(AND($F1079="Compareceu",$E1079&lt;&gt;"",$A1079&lt;&gt;""),IF(IFERROR(INDEX(ProcRet,MATCH($E1079,ProcNome,0)),0)&gt;0,$A1079+INDEX(ProcRet,MATCH($E1079,ProcNome,0)),""),"")</f>
        <v>0</v>
      </c>
      <c r="R1079" s="26">
        <f>IF($Q1079="","",IF(COUNTIFS(AgPac,$D1079,AgData,"&gt;"&amp;$A1079,AgStatus,"&lt;&gt;Cancelado",AgStatus,"&lt;&gt;Remarcado")&gt;0,"Sim","Não"))</f>
        <v>0</v>
      </c>
      <c r="S1079" s="28">
        <f>IF($A1079="","",IF(AND($F1079="Agendado",$A1079-Hoje&gt;=0,$A1079-Hoje&lt;=DiasConf),"CONFIRMAR",IF(AND($A1079&lt;Hoje,OR($F1079="Agendado",$F1079="Confirmado")),"Atualizar status",IF(AND($F1079="Compareceu",$P1079&gt;0.005),"Cobrar",IF($F1079="Faltou","Falta: reagendar","")))))</f>
        <v>0</v>
      </c>
      <c r="T1079" s="29">
        <f>IF($A1079="","",DATE(YEAR($A1079),MONTH($A1079),1))</f>
        <v>0</v>
      </c>
      <c r="U1079" s="30">
        <f>IF($S1079="CONFIRMAR",MAX($U$4:$U1078)+1,"")</f>
        <v>0</v>
      </c>
      <c r="V1079" s="30">
        <f>IF(AND($R1079="Não",$Q1079&lt;&gt;"",$Q1079&lt;=Hoje+JanelaRet,$Q1079&gt;=Hoje-60),MAX($V$4:$V1078)+1,"")</f>
        <v>0</v>
      </c>
    </row>
    <row r="1080" spans="1:22">
      <c r="A1080" s="16"/>
      <c r="B1080" s="23"/>
      <c r="C1080" s="15"/>
      <c r="D1080" s="15"/>
      <c r="E1080" s="15"/>
      <c r="F1080" s="24"/>
      <c r="G1080" s="17"/>
      <c r="H1080" s="17"/>
      <c r="I1080" s="15"/>
      <c r="J1080" s="25">
        <f>IF($D1080="","",IFERROR(INDEX(PacNome,MATCH($D1080,PacCod,0)),"Paciente não cadastrado"))</f>
        <v>0</v>
      </c>
      <c r="K1080" s="26">
        <f>IF($D1080="","",IFERROR(INDEX(PacConv,MATCH($D1080,PacCod,0))&amp;"",""))</f>
        <v>0</v>
      </c>
      <c r="L1080" s="26">
        <f>IF($A1080="","",CHOOSE(WEEKDAY($A1080,2),"Seg","Ter","Qua","Qui","Sex","Sáb","Dom"))</f>
        <v>0</v>
      </c>
      <c r="M1080" s="27">
        <f>IF($E1080="","",IF($G1080&lt;&gt;"",$G1080,IFERROR(INDEX(ProcValor,MATCH($E1080,ProcNome,0)),0)))</f>
        <v>0</v>
      </c>
      <c r="N1080" s="27">
        <f>IF($M1080="","",IF($F1080="Compareceu",$M1080,0))</f>
        <v>0</v>
      </c>
      <c r="O1080" s="27">
        <f>IF($M1080="","",IF($F1080="Faltou",$M1080,0))</f>
        <v>0</v>
      </c>
      <c r="P1080" s="27">
        <f>IF($M1080="","",IF($F1080="Compareceu",MAX(0,$M1080-N($H1080)),0))</f>
        <v>0</v>
      </c>
      <c r="Q1080" s="19">
        <f>IF(AND($F1080="Compareceu",$E1080&lt;&gt;"",$A1080&lt;&gt;""),IF(IFERROR(INDEX(ProcRet,MATCH($E1080,ProcNome,0)),0)&gt;0,$A1080+INDEX(ProcRet,MATCH($E1080,ProcNome,0)),""),"")</f>
        <v>0</v>
      </c>
      <c r="R1080" s="26">
        <f>IF($Q1080="","",IF(COUNTIFS(AgPac,$D1080,AgData,"&gt;"&amp;$A1080,AgStatus,"&lt;&gt;Cancelado",AgStatus,"&lt;&gt;Remarcado")&gt;0,"Sim","Não"))</f>
        <v>0</v>
      </c>
      <c r="S1080" s="28">
        <f>IF($A1080="","",IF(AND($F1080="Agendado",$A1080-Hoje&gt;=0,$A1080-Hoje&lt;=DiasConf),"CONFIRMAR",IF(AND($A1080&lt;Hoje,OR($F1080="Agendado",$F1080="Confirmado")),"Atualizar status",IF(AND($F1080="Compareceu",$P1080&gt;0.005),"Cobrar",IF($F1080="Faltou","Falta: reagendar","")))))</f>
        <v>0</v>
      </c>
      <c r="T1080" s="29">
        <f>IF($A1080="","",DATE(YEAR($A1080),MONTH($A1080),1))</f>
        <v>0</v>
      </c>
      <c r="U1080" s="30">
        <f>IF($S1080="CONFIRMAR",MAX($U$4:$U1079)+1,"")</f>
        <v>0</v>
      </c>
      <c r="V1080" s="30">
        <f>IF(AND($R1080="Não",$Q1080&lt;&gt;"",$Q1080&lt;=Hoje+JanelaRet,$Q1080&gt;=Hoje-60),MAX($V$4:$V1079)+1,"")</f>
        <v>0</v>
      </c>
    </row>
    <row r="1081" spans="1:22">
      <c r="A1081" s="16"/>
      <c r="B1081" s="23"/>
      <c r="C1081" s="15"/>
      <c r="D1081" s="15"/>
      <c r="E1081" s="15"/>
      <c r="F1081" s="24"/>
      <c r="G1081" s="17"/>
      <c r="H1081" s="17"/>
      <c r="I1081" s="15"/>
      <c r="J1081" s="25">
        <f>IF($D1081="","",IFERROR(INDEX(PacNome,MATCH($D1081,PacCod,0)),"Paciente não cadastrado"))</f>
        <v>0</v>
      </c>
      <c r="K1081" s="26">
        <f>IF($D1081="","",IFERROR(INDEX(PacConv,MATCH($D1081,PacCod,0))&amp;"",""))</f>
        <v>0</v>
      </c>
      <c r="L1081" s="26">
        <f>IF($A1081="","",CHOOSE(WEEKDAY($A1081,2),"Seg","Ter","Qua","Qui","Sex","Sáb","Dom"))</f>
        <v>0</v>
      </c>
      <c r="M1081" s="27">
        <f>IF($E1081="","",IF($G1081&lt;&gt;"",$G1081,IFERROR(INDEX(ProcValor,MATCH($E1081,ProcNome,0)),0)))</f>
        <v>0</v>
      </c>
      <c r="N1081" s="27">
        <f>IF($M1081="","",IF($F1081="Compareceu",$M1081,0))</f>
        <v>0</v>
      </c>
      <c r="O1081" s="27">
        <f>IF($M1081="","",IF($F1081="Faltou",$M1081,0))</f>
        <v>0</v>
      </c>
      <c r="P1081" s="27">
        <f>IF($M1081="","",IF($F1081="Compareceu",MAX(0,$M1081-N($H1081)),0))</f>
        <v>0</v>
      </c>
      <c r="Q1081" s="19">
        <f>IF(AND($F1081="Compareceu",$E1081&lt;&gt;"",$A1081&lt;&gt;""),IF(IFERROR(INDEX(ProcRet,MATCH($E1081,ProcNome,0)),0)&gt;0,$A1081+INDEX(ProcRet,MATCH($E1081,ProcNome,0)),""),"")</f>
        <v>0</v>
      </c>
      <c r="R1081" s="26">
        <f>IF($Q1081="","",IF(COUNTIFS(AgPac,$D1081,AgData,"&gt;"&amp;$A1081,AgStatus,"&lt;&gt;Cancelado",AgStatus,"&lt;&gt;Remarcado")&gt;0,"Sim","Não"))</f>
        <v>0</v>
      </c>
      <c r="S1081" s="28">
        <f>IF($A1081="","",IF(AND($F1081="Agendado",$A1081-Hoje&gt;=0,$A1081-Hoje&lt;=DiasConf),"CONFIRMAR",IF(AND($A1081&lt;Hoje,OR($F1081="Agendado",$F1081="Confirmado")),"Atualizar status",IF(AND($F1081="Compareceu",$P1081&gt;0.005),"Cobrar",IF($F1081="Faltou","Falta: reagendar","")))))</f>
        <v>0</v>
      </c>
      <c r="T1081" s="29">
        <f>IF($A1081="","",DATE(YEAR($A1081),MONTH($A1081),1))</f>
        <v>0</v>
      </c>
      <c r="U1081" s="30">
        <f>IF($S1081="CONFIRMAR",MAX($U$4:$U1080)+1,"")</f>
        <v>0</v>
      </c>
      <c r="V1081" s="30">
        <f>IF(AND($R1081="Não",$Q1081&lt;&gt;"",$Q1081&lt;=Hoje+JanelaRet,$Q1081&gt;=Hoje-60),MAX($V$4:$V1080)+1,"")</f>
        <v>0</v>
      </c>
    </row>
    <row r="1082" spans="1:22">
      <c r="A1082" s="16"/>
      <c r="B1082" s="23"/>
      <c r="C1082" s="15"/>
      <c r="D1082" s="15"/>
      <c r="E1082" s="15"/>
      <c r="F1082" s="24"/>
      <c r="G1082" s="17"/>
      <c r="H1082" s="17"/>
      <c r="I1082" s="15"/>
      <c r="J1082" s="25">
        <f>IF($D1082="","",IFERROR(INDEX(PacNome,MATCH($D1082,PacCod,0)),"Paciente não cadastrado"))</f>
        <v>0</v>
      </c>
      <c r="K1082" s="26">
        <f>IF($D1082="","",IFERROR(INDEX(PacConv,MATCH($D1082,PacCod,0))&amp;"",""))</f>
        <v>0</v>
      </c>
      <c r="L1082" s="26">
        <f>IF($A1082="","",CHOOSE(WEEKDAY($A1082,2),"Seg","Ter","Qua","Qui","Sex","Sáb","Dom"))</f>
        <v>0</v>
      </c>
      <c r="M1082" s="27">
        <f>IF($E1082="","",IF($G1082&lt;&gt;"",$G1082,IFERROR(INDEX(ProcValor,MATCH($E1082,ProcNome,0)),0)))</f>
        <v>0</v>
      </c>
      <c r="N1082" s="27">
        <f>IF($M1082="","",IF($F1082="Compareceu",$M1082,0))</f>
        <v>0</v>
      </c>
      <c r="O1082" s="27">
        <f>IF($M1082="","",IF($F1082="Faltou",$M1082,0))</f>
        <v>0</v>
      </c>
      <c r="P1082" s="27">
        <f>IF($M1082="","",IF($F1082="Compareceu",MAX(0,$M1082-N($H1082)),0))</f>
        <v>0</v>
      </c>
      <c r="Q1082" s="19">
        <f>IF(AND($F1082="Compareceu",$E1082&lt;&gt;"",$A1082&lt;&gt;""),IF(IFERROR(INDEX(ProcRet,MATCH($E1082,ProcNome,0)),0)&gt;0,$A1082+INDEX(ProcRet,MATCH($E1082,ProcNome,0)),""),"")</f>
        <v>0</v>
      </c>
      <c r="R1082" s="26">
        <f>IF($Q1082="","",IF(COUNTIFS(AgPac,$D1082,AgData,"&gt;"&amp;$A1082,AgStatus,"&lt;&gt;Cancelado",AgStatus,"&lt;&gt;Remarcado")&gt;0,"Sim","Não"))</f>
        <v>0</v>
      </c>
      <c r="S1082" s="28">
        <f>IF($A1082="","",IF(AND($F1082="Agendado",$A1082-Hoje&gt;=0,$A1082-Hoje&lt;=DiasConf),"CONFIRMAR",IF(AND($A1082&lt;Hoje,OR($F1082="Agendado",$F1082="Confirmado")),"Atualizar status",IF(AND($F1082="Compareceu",$P1082&gt;0.005),"Cobrar",IF($F1082="Faltou","Falta: reagendar","")))))</f>
        <v>0</v>
      </c>
      <c r="T1082" s="29">
        <f>IF($A1082="","",DATE(YEAR($A1082),MONTH($A1082),1))</f>
        <v>0</v>
      </c>
      <c r="U1082" s="30">
        <f>IF($S1082="CONFIRMAR",MAX($U$4:$U1081)+1,"")</f>
        <v>0</v>
      </c>
      <c r="V1082" s="30">
        <f>IF(AND($R1082="Não",$Q1082&lt;&gt;"",$Q1082&lt;=Hoje+JanelaRet,$Q1082&gt;=Hoje-60),MAX($V$4:$V1081)+1,"")</f>
        <v>0</v>
      </c>
    </row>
    <row r="1083" spans="1:22">
      <c r="A1083" s="16"/>
      <c r="B1083" s="23"/>
      <c r="C1083" s="15"/>
      <c r="D1083" s="15"/>
      <c r="E1083" s="15"/>
      <c r="F1083" s="24"/>
      <c r="G1083" s="17"/>
      <c r="H1083" s="17"/>
      <c r="I1083" s="15"/>
      <c r="J1083" s="25">
        <f>IF($D1083="","",IFERROR(INDEX(PacNome,MATCH($D1083,PacCod,0)),"Paciente não cadastrado"))</f>
        <v>0</v>
      </c>
      <c r="K1083" s="26">
        <f>IF($D1083="","",IFERROR(INDEX(PacConv,MATCH($D1083,PacCod,0))&amp;"",""))</f>
        <v>0</v>
      </c>
      <c r="L1083" s="26">
        <f>IF($A1083="","",CHOOSE(WEEKDAY($A1083,2),"Seg","Ter","Qua","Qui","Sex","Sáb","Dom"))</f>
        <v>0</v>
      </c>
      <c r="M1083" s="27">
        <f>IF($E1083="","",IF($G1083&lt;&gt;"",$G1083,IFERROR(INDEX(ProcValor,MATCH($E1083,ProcNome,0)),0)))</f>
        <v>0</v>
      </c>
      <c r="N1083" s="27">
        <f>IF($M1083="","",IF($F1083="Compareceu",$M1083,0))</f>
        <v>0</v>
      </c>
      <c r="O1083" s="27">
        <f>IF($M1083="","",IF($F1083="Faltou",$M1083,0))</f>
        <v>0</v>
      </c>
      <c r="P1083" s="27">
        <f>IF($M1083="","",IF($F1083="Compareceu",MAX(0,$M1083-N($H1083)),0))</f>
        <v>0</v>
      </c>
      <c r="Q1083" s="19">
        <f>IF(AND($F1083="Compareceu",$E1083&lt;&gt;"",$A1083&lt;&gt;""),IF(IFERROR(INDEX(ProcRet,MATCH($E1083,ProcNome,0)),0)&gt;0,$A1083+INDEX(ProcRet,MATCH($E1083,ProcNome,0)),""),"")</f>
        <v>0</v>
      </c>
      <c r="R1083" s="26">
        <f>IF($Q1083="","",IF(COUNTIFS(AgPac,$D1083,AgData,"&gt;"&amp;$A1083,AgStatus,"&lt;&gt;Cancelado",AgStatus,"&lt;&gt;Remarcado")&gt;0,"Sim","Não"))</f>
        <v>0</v>
      </c>
      <c r="S1083" s="28">
        <f>IF($A1083="","",IF(AND($F1083="Agendado",$A1083-Hoje&gt;=0,$A1083-Hoje&lt;=DiasConf),"CONFIRMAR",IF(AND($A1083&lt;Hoje,OR($F1083="Agendado",$F1083="Confirmado")),"Atualizar status",IF(AND($F1083="Compareceu",$P1083&gt;0.005),"Cobrar",IF($F1083="Faltou","Falta: reagendar","")))))</f>
        <v>0</v>
      </c>
      <c r="T1083" s="29">
        <f>IF($A1083="","",DATE(YEAR($A1083),MONTH($A1083),1))</f>
        <v>0</v>
      </c>
      <c r="U1083" s="30">
        <f>IF($S1083="CONFIRMAR",MAX($U$4:$U1082)+1,"")</f>
        <v>0</v>
      </c>
      <c r="V1083" s="30">
        <f>IF(AND($R1083="Não",$Q1083&lt;&gt;"",$Q1083&lt;=Hoje+JanelaRet,$Q1083&gt;=Hoje-60),MAX($V$4:$V1082)+1,"")</f>
        <v>0</v>
      </c>
    </row>
    <row r="1084" spans="1:22">
      <c r="A1084" s="16"/>
      <c r="B1084" s="23"/>
      <c r="C1084" s="15"/>
      <c r="D1084" s="15"/>
      <c r="E1084" s="15"/>
      <c r="F1084" s="24"/>
      <c r="G1084" s="17"/>
      <c r="H1084" s="17"/>
      <c r="I1084" s="15"/>
      <c r="J1084" s="25">
        <f>IF($D1084="","",IFERROR(INDEX(PacNome,MATCH($D1084,PacCod,0)),"Paciente não cadastrado"))</f>
        <v>0</v>
      </c>
      <c r="K1084" s="26">
        <f>IF($D1084="","",IFERROR(INDEX(PacConv,MATCH($D1084,PacCod,0))&amp;"",""))</f>
        <v>0</v>
      </c>
      <c r="L1084" s="26">
        <f>IF($A1084="","",CHOOSE(WEEKDAY($A1084,2),"Seg","Ter","Qua","Qui","Sex","Sáb","Dom"))</f>
        <v>0</v>
      </c>
      <c r="M1084" s="27">
        <f>IF($E1084="","",IF($G1084&lt;&gt;"",$G1084,IFERROR(INDEX(ProcValor,MATCH($E1084,ProcNome,0)),0)))</f>
        <v>0</v>
      </c>
      <c r="N1084" s="27">
        <f>IF($M1084="","",IF($F1084="Compareceu",$M1084,0))</f>
        <v>0</v>
      </c>
      <c r="O1084" s="27">
        <f>IF($M1084="","",IF($F1084="Faltou",$M1084,0))</f>
        <v>0</v>
      </c>
      <c r="P1084" s="27">
        <f>IF($M1084="","",IF($F1084="Compareceu",MAX(0,$M1084-N($H1084)),0))</f>
        <v>0</v>
      </c>
      <c r="Q1084" s="19">
        <f>IF(AND($F1084="Compareceu",$E1084&lt;&gt;"",$A1084&lt;&gt;""),IF(IFERROR(INDEX(ProcRet,MATCH($E1084,ProcNome,0)),0)&gt;0,$A1084+INDEX(ProcRet,MATCH($E1084,ProcNome,0)),""),"")</f>
        <v>0</v>
      </c>
      <c r="R1084" s="26">
        <f>IF($Q1084="","",IF(COUNTIFS(AgPac,$D1084,AgData,"&gt;"&amp;$A1084,AgStatus,"&lt;&gt;Cancelado",AgStatus,"&lt;&gt;Remarcado")&gt;0,"Sim","Não"))</f>
        <v>0</v>
      </c>
      <c r="S1084" s="28">
        <f>IF($A1084="","",IF(AND($F1084="Agendado",$A1084-Hoje&gt;=0,$A1084-Hoje&lt;=DiasConf),"CONFIRMAR",IF(AND($A1084&lt;Hoje,OR($F1084="Agendado",$F1084="Confirmado")),"Atualizar status",IF(AND($F1084="Compareceu",$P1084&gt;0.005),"Cobrar",IF($F1084="Faltou","Falta: reagendar","")))))</f>
        <v>0</v>
      </c>
      <c r="T1084" s="29">
        <f>IF($A1084="","",DATE(YEAR($A1084),MONTH($A1084),1))</f>
        <v>0</v>
      </c>
      <c r="U1084" s="30">
        <f>IF($S1084="CONFIRMAR",MAX($U$4:$U1083)+1,"")</f>
        <v>0</v>
      </c>
      <c r="V1084" s="30">
        <f>IF(AND($R1084="Não",$Q1084&lt;&gt;"",$Q1084&lt;=Hoje+JanelaRet,$Q1084&gt;=Hoje-60),MAX($V$4:$V1083)+1,"")</f>
        <v>0</v>
      </c>
    </row>
    <row r="1085" spans="1:22">
      <c r="A1085" s="16"/>
      <c r="B1085" s="23"/>
      <c r="C1085" s="15"/>
      <c r="D1085" s="15"/>
      <c r="E1085" s="15"/>
      <c r="F1085" s="24"/>
      <c r="G1085" s="17"/>
      <c r="H1085" s="17"/>
      <c r="I1085" s="15"/>
      <c r="J1085" s="25">
        <f>IF($D1085="","",IFERROR(INDEX(PacNome,MATCH($D1085,PacCod,0)),"Paciente não cadastrado"))</f>
        <v>0</v>
      </c>
      <c r="K1085" s="26">
        <f>IF($D1085="","",IFERROR(INDEX(PacConv,MATCH($D1085,PacCod,0))&amp;"",""))</f>
        <v>0</v>
      </c>
      <c r="L1085" s="26">
        <f>IF($A1085="","",CHOOSE(WEEKDAY($A1085,2),"Seg","Ter","Qua","Qui","Sex","Sáb","Dom"))</f>
        <v>0</v>
      </c>
      <c r="M1085" s="27">
        <f>IF($E1085="","",IF($G1085&lt;&gt;"",$G1085,IFERROR(INDEX(ProcValor,MATCH($E1085,ProcNome,0)),0)))</f>
        <v>0</v>
      </c>
      <c r="N1085" s="27">
        <f>IF($M1085="","",IF($F1085="Compareceu",$M1085,0))</f>
        <v>0</v>
      </c>
      <c r="O1085" s="27">
        <f>IF($M1085="","",IF($F1085="Faltou",$M1085,0))</f>
        <v>0</v>
      </c>
      <c r="P1085" s="27">
        <f>IF($M1085="","",IF($F1085="Compareceu",MAX(0,$M1085-N($H1085)),0))</f>
        <v>0</v>
      </c>
      <c r="Q1085" s="19">
        <f>IF(AND($F1085="Compareceu",$E1085&lt;&gt;"",$A1085&lt;&gt;""),IF(IFERROR(INDEX(ProcRet,MATCH($E1085,ProcNome,0)),0)&gt;0,$A1085+INDEX(ProcRet,MATCH($E1085,ProcNome,0)),""),"")</f>
        <v>0</v>
      </c>
      <c r="R1085" s="26">
        <f>IF($Q1085="","",IF(COUNTIFS(AgPac,$D1085,AgData,"&gt;"&amp;$A1085,AgStatus,"&lt;&gt;Cancelado",AgStatus,"&lt;&gt;Remarcado")&gt;0,"Sim","Não"))</f>
        <v>0</v>
      </c>
      <c r="S1085" s="28">
        <f>IF($A1085="","",IF(AND($F1085="Agendado",$A1085-Hoje&gt;=0,$A1085-Hoje&lt;=DiasConf),"CONFIRMAR",IF(AND($A1085&lt;Hoje,OR($F1085="Agendado",$F1085="Confirmado")),"Atualizar status",IF(AND($F1085="Compareceu",$P1085&gt;0.005),"Cobrar",IF($F1085="Faltou","Falta: reagendar","")))))</f>
        <v>0</v>
      </c>
      <c r="T1085" s="29">
        <f>IF($A1085="","",DATE(YEAR($A1085),MONTH($A1085),1))</f>
        <v>0</v>
      </c>
      <c r="U1085" s="30">
        <f>IF($S1085="CONFIRMAR",MAX($U$4:$U1084)+1,"")</f>
        <v>0</v>
      </c>
      <c r="V1085" s="30">
        <f>IF(AND($R1085="Não",$Q1085&lt;&gt;"",$Q1085&lt;=Hoje+JanelaRet,$Q1085&gt;=Hoje-60),MAX($V$4:$V1084)+1,"")</f>
        <v>0</v>
      </c>
    </row>
    <row r="1086" spans="1:22">
      <c r="A1086" s="16"/>
      <c r="B1086" s="23"/>
      <c r="C1086" s="15"/>
      <c r="D1086" s="15"/>
      <c r="E1086" s="15"/>
      <c r="F1086" s="24"/>
      <c r="G1086" s="17"/>
      <c r="H1086" s="17"/>
      <c r="I1086" s="15"/>
      <c r="J1086" s="25">
        <f>IF($D1086="","",IFERROR(INDEX(PacNome,MATCH($D1086,PacCod,0)),"Paciente não cadastrado"))</f>
        <v>0</v>
      </c>
      <c r="K1086" s="26">
        <f>IF($D1086="","",IFERROR(INDEX(PacConv,MATCH($D1086,PacCod,0))&amp;"",""))</f>
        <v>0</v>
      </c>
      <c r="L1086" s="26">
        <f>IF($A1086="","",CHOOSE(WEEKDAY($A1086,2),"Seg","Ter","Qua","Qui","Sex","Sáb","Dom"))</f>
        <v>0</v>
      </c>
      <c r="M1086" s="27">
        <f>IF($E1086="","",IF($G1086&lt;&gt;"",$G1086,IFERROR(INDEX(ProcValor,MATCH($E1086,ProcNome,0)),0)))</f>
        <v>0</v>
      </c>
      <c r="N1086" s="27">
        <f>IF($M1086="","",IF($F1086="Compareceu",$M1086,0))</f>
        <v>0</v>
      </c>
      <c r="O1086" s="27">
        <f>IF($M1086="","",IF($F1086="Faltou",$M1086,0))</f>
        <v>0</v>
      </c>
      <c r="P1086" s="27">
        <f>IF($M1086="","",IF($F1086="Compareceu",MAX(0,$M1086-N($H1086)),0))</f>
        <v>0</v>
      </c>
      <c r="Q1086" s="19">
        <f>IF(AND($F1086="Compareceu",$E1086&lt;&gt;"",$A1086&lt;&gt;""),IF(IFERROR(INDEX(ProcRet,MATCH($E1086,ProcNome,0)),0)&gt;0,$A1086+INDEX(ProcRet,MATCH($E1086,ProcNome,0)),""),"")</f>
        <v>0</v>
      </c>
      <c r="R1086" s="26">
        <f>IF($Q1086="","",IF(COUNTIFS(AgPac,$D1086,AgData,"&gt;"&amp;$A1086,AgStatus,"&lt;&gt;Cancelado",AgStatus,"&lt;&gt;Remarcado")&gt;0,"Sim","Não"))</f>
        <v>0</v>
      </c>
      <c r="S1086" s="28">
        <f>IF($A1086="","",IF(AND($F1086="Agendado",$A1086-Hoje&gt;=0,$A1086-Hoje&lt;=DiasConf),"CONFIRMAR",IF(AND($A1086&lt;Hoje,OR($F1086="Agendado",$F1086="Confirmado")),"Atualizar status",IF(AND($F1086="Compareceu",$P1086&gt;0.005),"Cobrar",IF($F1086="Faltou","Falta: reagendar","")))))</f>
        <v>0</v>
      </c>
      <c r="T1086" s="29">
        <f>IF($A1086="","",DATE(YEAR($A1086),MONTH($A1086),1))</f>
        <v>0</v>
      </c>
      <c r="U1086" s="30">
        <f>IF($S1086="CONFIRMAR",MAX($U$4:$U1085)+1,"")</f>
        <v>0</v>
      </c>
      <c r="V1086" s="30">
        <f>IF(AND($R1086="Não",$Q1086&lt;&gt;"",$Q1086&lt;=Hoje+JanelaRet,$Q1086&gt;=Hoje-60),MAX($V$4:$V1085)+1,"")</f>
        <v>0</v>
      </c>
    </row>
    <row r="1087" spans="1:22">
      <c r="A1087" s="16"/>
      <c r="B1087" s="23"/>
      <c r="C1087" s="15"/>
      <c r="D1087" s="15"/>
      <c r="E1087" s="15"/>
      <c r="F1087" s="24"/>
      <c r="G1087" s="17"/>
      <c r="H1087" s="17"/>
      <c r="I1087" s="15"/>
      <c r="J1087" s="25">
        <f>IF($D1087="","",IFERROR(INDEX(PacNome,MATCH($D1087,PacCod,0)),"Paciente não cadastrado"))</f>
        <v>0</v>
      </c>
      <c r="K1087" s="26">
        <f>IF($D1087="","",IFERROR(INDEX(PacConv,MATCH($D1087,PacCod,0))&amp;"",""))</f>
        <v>0</v>
      </c>
      <c r="L1087" s="26">
        <f>IF($A1087="","",CHOOSE(WEEKDAY($A1087,2),"Seg","Ter","Qua","Qui","Sex","Sáb","Dom"))</f>
        <v>0</v>
      </c>
      <c r="M1087" s="27">
        <f>IF($E1087="","",IF($G1087&lt;&gt;"",$G1087,IFERROR(INDEX(ProcValor,MATCH($E1087,ProcNome,0)),0)))</f>
        <v>0</v>
      </c>
      <c r="N1087" s="27">
        <f>IF($M1087="","",IF($F1087="Compareceu",$M1087,0))</f>
        <v>0</v>
      </c>
      <c r="O1087" s="27">
        <f>IF($M1087="","",IF($F1087="Faltou",$M1087,0))</f>
        <v>0</v>
      </c>
      <c r="P1087" s="27">
        <f>IF($M1087="","",IF($F1087="Compareceu",MAX(0,$M1087-N($H1087)),0))</f>
        <v>0</v>
      </c>
      <c r="Q1087" s="19">
        <f>IF(AND($F1087="Compareceu",$E1087&lt;&gt;"",$A1087&lt;&gt;""),IF(IFERROR(INDEX(ProcRet,MATCH($E1087,ProcNome,0)),0)&gt;0,$A1087+INDEX(ProcRet,MATCH($E1087,ProcNome,0)),""),"")</f>
        <v>0</v>
      </c>
      <c r="R1087" s="26">
        <f>IF($Q1087="","",IF(COUNTIFS(AgPac,$D1087,AgData,"&gt;"&amp;$A1087,AgStatus,"&lt;&gt;Cancelado",AgStatus,"&lt;&gt;Remarcado")&gt;0,"Sim","Não"))</f>
        <v>0</v>
      </c>
      <c r="S1087" s="28">
        <f>IF($A1087="","",IF(AND($F1087="Agendado",$A1087-Hoje&gt;=0,$A1087-Hoje&lt;=DiasConf),"CONFIRMAR",IF(AND($A1087&lt;Hoje,OR($F1087="Agendado",$F1087="Confirmado")),"Atualizar status",IF(AND($F1087="Compareceu",$P1087&gt;0.005),"Cobrar",IF($F1087="Faltou","Falta: reagendar","")))))</f>
        <v>0</v>
      </c>
      <c r="T1087" s="29">
        <f>IF($A1087="","",DATE(YEAR($A1087),MONTH($A1087),1))</f>
        <v>0</v>
      </c>
      <c r="U1087" s="30">
        <f>IF($S1087="CONFIRMAR",MAX($U$4:$U1086)+1,"")</f>
        <v>0</v>
      </c>
      <c r="V1087" s="30">
        <f>IF(AND($R1087="Não",$Q1087&lt;&gt;"",$Q1087&lt;=Hoje+JanelaRet,$Q1087&gt;=Hoje-60),MAX($V$4:$V1086)+1,"")</f>
        <v>0</v>
      </c>
    </row>
    <row r="1088" spans="1:22">
      <c r="A1088" s="16"/>
      <c r="B1088" s="23"/>
      <c r="C1088" s="15"/>
      <c r="D1088" s="15"/>
      <c r="E1088" s="15"/>
      <c r="F1088" s="24"/>
      <c r="G1088" s="17"/>
      <c r="H1088" s="17"/>
      <c r="I1088" s="15"/>
      <c r="J1088" s="25">
        <f>IF($D1088="","",IFERROR(INDEX(PacNome,MATCH($D1088,PacCod,0)),"Paciente não cadastrado"))</f>
        <v>0</v>
      </c>
      <c r="K1088" s="26">
        <f>IF($D1088="","",IFERROR(INDEX(PacConv,MATCH($D1088,PacCod,0))&amp;"",""))</f>
        <v>0</v>
      </c>
      <c r="L1088" s="26">
        <f>IF($A1088="","",CHOOSE(WEEKDAY($A1088,2),"Seg","Ter","Qua","Qui","Sex","Sáb","Dom"))</f>
        <v>0</v>
      </c>
      <c r="M1088" s="27">
        <f>IF($E1088="","",IF($G1088&lt;&gt;"",$G1088,IFERROR(INDEX(ProcValor,MATCH($E1088,ProcNome,0)),0)))</f>
        <v>0</v>
      </c>
      <c r="N1088" s="27">
        <f>IF($M1088="","",IF($F1088="Compareceu",$M1088,0))</f>
        <v>0</v>
      </c>
      <c r="O1088" s="27">
        <f>IF($M1088="","",IF($F1088="Faltou",$M1088,0))</f>
        <v>0</v>
      </c>
      <c r="P1088" s="27">
        <f>IF($M1088="","",IF($F1088="Compareceu",MAX(0,$M1088-N($H1088)),0))</f>
        <v>0</v>
      </c>
      <c r="Q1088" s="19">
        <f>IF(AND($F1088="Compareceu",$E1088&lt;&gt;"",$A1088&lt;&gt;""),IF(IFERROR(INDEX(ProcRet,MATCH($E1088,ProcNome,0)),0)&gt;0,$A1088+INDEX(ProcRet,MATCH($E1088,ProcNome,0)),""),"")</f>
        <v>0</v>
      </c>
      <c r="R1088" s="26">
        <f>IF($Q1088="","",IF(COUNTIFS(AgPac,$D1088,AgData,"&gt;"&amp;$A1088,AgStatus,"&lt;&gt;Cancelado",AgStatus,"&lt;&gt;Remarcado")&gt;0,"Sim","Não"))</f>
        <v>0</v>
      </c>
      <c r="S1088" s="28">
        <f>IF($A1088="","",IF(AND($F1088="Agendado",$A1088-Hoje&gt;=0,$A1088-Hoje&lt;=DiasConf),"CONFIRMAR",IF(AND($A1088&lt;Hoje,OR($F1088="Agendado",$F1088="Confirmado")),"Atualizar status",IF(AND($F1088="Compareceu",$P1088&gt;0.005),"Cobrar",IF($F1088="Faltou","Falta: reagendar","")))))</f>
        <v>0</v>
      </c>
      <c r="T1088" s="29">
        <f>IF($A1088="","",DATE(YEAR($A1088),MONTH($A1088),1))</f>
        <v>0</v>
      </c>
      <c r="U1088" s="30">
        <f>IF($S1088="CONFIRMAR",MAX($U$4:$U1087)+1,"")</f>
        <v>0</v>
      </c>
      <c r="V1088" s="30">
        <f>IF(AND($R1088="Não",$Q1088&lt;&gt;"",$Q1088&lt;=Hoje+JanelaRet,$Q1088&gt;=Hoje-60),MAX($V$4:$V1087)+1,"")</f>
        <v>0</v>
      </c>
    </row>
    <row r="1089" spans="1:22">
      <c r="A1089" s="16"/>
      <c r="B1089" s="23"/>
      <c r="C1089" s="15"/>
      <c r="D1089" s="15"/>
      <c r="E1089" s="15"/>
      <c r="F1089" s="24"/>
      <c r="G1089" s="17"/>
      <c r="H1089" s="17"/>
      <c r="I1089" s="15"/>
      <c r="J1089" s="25">
        <f>IF($D1089="","",IFERROR(INDEX(PacNome,MATCH($D1089,PacCod,0)),"Paciente não cadastrado"))</f>
        <v>0</v>
      </c>
      <c r="K1089" s="26">
        <f>IF($D1089="","",IFERROR(INDEX(PacConv,MATCH($D1089,PacCod,0))&amp;"",""))</f>
        <v>0</v>
      </c>
      <c r="L1089" s="26">
        <f>IF($A1089="","",CHOOSE(WEEKDAY($A1089,2),"Seg","Ter","Qua","Qui","Sex","Sáb","Dom"))</f>
        <v>0</v>
      </c>
      <c r="M1089" s="27">
        <f>IF($E1089="","",IF($G1089&lt;&gt;"",$G1089,IFERROR(INDEX(ProcValor,MATCH($E1089,ProcNome,0)),0)))</f>
        <v>0</v>
      </c>
      <c r="N1089" s="27">
        <f>IF($M1089="","",IF($F1089="Compareceu",$M1089,0))</f>
        <v>0</v>
      </c>
      <c r="O1089" s="27">
        <f>IF($M1089="","",IF($F1089="Faltou",$M1089,0))</f>
        <v>0</v>
      </c>
      <c r="P1089" s="27">
        <f>IF($M1089="","",IF($F1089="Compareceu",MAX(0,$M1089-N($H1089)),0))</f>
        <v>0</v>
      </c>
      <c r="Q1089" s="19">
        <f>IF(AND($F1089="Compareceu",$E1089&lt;&gt;"",$A1089&lt;&gt;""),IF(IFERROR(INDEX(ProcRet,MATCH($E1089,ProcNome,0)),0)&gt;0,$A1089+INDEX(ProcRet,MATCH($E1089,ProcNome,0)),""),"")</f>
        <v>0</v>
      </c>
      <c r="R1089" s="26">
        <f>IF($Q1089="","",IF(COUNTIFS(AgPac,$D1089,AgData,"&gt;"&amp;$A1089,AgStatus,"&lt;&gt;Cancelado",AgStatus,"&lt;&gt;Remarcado")&gt;0,"Sim","Não"))</f>
        <v>0</v>
      </c>
      <c r="S1089" s="28">
        <f>IF($A1089="","",IF(AND($F1089="Agendado",$A1089-Hoje&gt;=0,$A1089-Hoje&lt;=DiasConf),"CONFIRMAR",IF(AND($A1089&lt;Hoje,OR($F1089="Agendado",$F1089="Confirmado")),"Atualizar status",IF(AND($F1089="Compareceu",$P1089&gt;0.005),"Cobrar",IF($F1089="Faltou","Falta: reagendar","")))))</f>
        <v>0</v>
      </c>
      <c r="T1089" s="29">
        <f>IF($A1089="","",DATE(YEAR($A1089),MONTH($A1089),1))</f>
        <v>0</v>
      </c>
      <c r="U1089" s="30">
        <f>IF($S1089="CONFIRMAR",MAX($U$4:$U1088)+1,"")</f>
        <v>0</v>
      </c>
      <c r="V1089" s="30">
        <f>IF(AND($R1089="Não",$Q1089&lt;&gt;"",$Q1089&lt;=Hoje+JanelaRet,$Q1089&gt;=Hoje-60),MAX($V$4:$V1088)+1,"")</f>
        <v>0</v>
      </c>
    </row>
    <row r="1090" spans="1:22">
      <c r="A1090" s="16"/>
      <c r="B1090" s="23"/>
      <c r="C1090" s="15"/>
      <c r="D1090" s="15"/>
      <c r="E1090" s="15"/>
      <c r="F1090" s="24"/>
      <c r="G1090" s="17"/>
      <c r="H1090" s="17"/>
      <c r="I1090" s="15"/>
      <c r="J1090" s="25">
        <f>IF($D1090="","",IFERROR(INDEX(PacNome,MATCH($D1090,PacCod,0)),"Paciente não cadastrado"))</f>
        <v>0</v>
      </c>
      <c r="K1090" s="26">
        <f>IF($D1090="","",IFERROR(INDEX(PacConv,MATCH($D1090,PacCod,0))&amp;"",""))</f>
        <v>0</v>
      </c>
      <c r="L1090" s="26">
        <f>IF($A1090="","",CHOOSE(WEEKDAY($A1090,2),"Seg","Ter","Qua","Qui","Sex","Sáb","Dom"))</f>
        <v>0</v>
      </c>
      <c r="M1090" s="27">
        <f>IF($E1090="","",IF($G1090&lt;&gt;"",$G1090,IFERROR(INDEX(ProcValor,MATCH($E1090,ProcNome,0)),0)))</f>
        <v>0</v>
      </c>
      <c r="N1090" s="27">
        <f>IF($M1090="","",IF($F1090="Compareceu",$M1090,0))</f>
        <v>0</v>
      </c>
      <c r="O1090" s="27">
        <f>IF($M1090="","",IF($F1090="Faltou",$M1090,0))</f>
        <v>0</v>
      </c>
      <c r="P1090" s="27">
        <f>IF($M1090="","",IF($F1090="Compareceu",MAX(0,$M1090-N($H1090)),0))</f>
        <v>0</v>
      </c>
      <c r="Q1090" s="19">
        <f>IF(AND($F1090="Compareceu",$E1090&lt;&gt;"",$A1090&lt;&gt;""),IF(IFERROR(INDEX(ProcRet,MATCH($E1090,ProcNome,0)),0)&gt;0,$A1090+INDEX(ProcRet,MATCH($E1090,ProcNome,0)),""),"")</f>
        <v>0</v>
      </c>
      <c r="R1090" s="26">
        <f>IF($Q1090="","",IF(COUNTIFS(AgPac,$D1090,AgData,"&gt;"&amp;$A1090,AgStatus,"&lt;&gt;Cancelado",AgStatus,"&lt;&gt;Remarcado")&gt;0,"Sim","Não"))</f>
        <v>0</v>
      </c>
      <c r="S1090" s="28">
        <f>IF($A1090="","",IF(AND($F1090="Agendado",$A1090-Hoje&gt;=0,$A1090-Hoje&lt;=DiasConf),"CONFIRMAR",IF(AND($A1090&lt;Hoje,OR($F1090="Agendado",$F1090="Confirmado")),"Atualizar status",IF(AND($F1090="Compareceu",$P1090&gt;0.005),"Cobrar",IF($F1090="Faltou","Falta: reagendar","")))))</f>
        <v>0</v>
      </c>
      <c r="T1090" s="29">
        <f>IF($A1090="","",DATE(YEAR($A1090),MONTH($A1090),1))</f>
        <v>0</v>
      </c>
      <c r="U1090" s="30">
        <f>IF($S1090="CONFIRMAR",MAX($U$4:$U1089)+1,"")</f>
        <v>0</v>
      </c>
      <c r="V1090" s="30">
        <f>IF(AND($R1090="Não",$Q1090&lt;&gt;"",$Q1090&lt;=Hoje+JanelaRet,$Q1090&gt;=Hoje-60),MAX($V$4:$V1089)+1,"")</f>
        <v>0</v>
      </c>
    </row>
    <row r="1091" spans="1:22">
      <c r="A1091" s="16"/>
      <c r="B1091" s="23"/>
      <c r="C1091" s="15"/>
      <c r="D1091" s="15"/>
      <c r="E1091" s="15"/>
      <c r="F1091" s="24"/>
      <c r="G1091" s="17"/>
      <c r="H1091" s="17"/>
      <c r="I1091" s="15"/>
      <c r="J1091" s="25">
        <f>IF($D1091="","",IFERROR(INDEX(PacNome,MATCH($D1091,PacCod,0)),"Paciente não cadastrado"))</f>
        <v>0</v>
      </c>
      <c r="K1091" s="26">
        <f>IF($D1091="","",IFERROR(INDEX(PacConv,MATCH($D1091,PacCod,0))&amp;"",""))</f>
        <v>0</v>
      </c>
      <c r="L1091" s="26">
        <f>IF($A1091="","",CHOOSE(WEEKDAY($A1091,2),"Seg","Ter","Qua","Qui","Sex","Sáb","Dom"))</f>
        <v>0</v>
      </c>
      <c r="M1091" s="27">
        <f>IF($E1091="","",IF($G1091&lt;&gt;"",$G1091,IFERROR(INDEX(ProcValor,MATCH($E1091,ProcNome,0)),0)))</f>
        <v>0</v>
      </c>
      <c r="N1091" s="27">
        <f>IF($M1091="","",IF($F1091="Compareceu",$M1091,0))</f>
        <v>0</v>
      </c>
      <c r="O1091" s="27">
        <f>IF($M1091="","",IF($F1091="Faltou",$M1091,0))</f>
        <v>0</v>
      </c>
      <c r="P1091" s="27">
        <f>IF($M1091="","",IF($F1091="Compareceu",MAX(0,$M1091-N($H1091)),0))</f>
        <v>0</v>
      </c>
      <c r="Q1091" s="19">
        <f>IF(AND($F1091="Compareceu",$E1091&lt;&gt;"",$A1091&lt;&gt;""),IF(IFERROR(INDEX(ProcRet,MATCH($E1091,ProcNome,0)),0)&gt;0,$A1091+INDEX(ProcRet,MATCH($E1091,ProcNome,0)),""),"")</f>
        <v>0</v>
      </c>
      <c r="R1091" s="26">
        <f>IF($Q1091="","",IF(COUNTIFS(AgPac,$D1091,AgData,"&gt;"&amp;$A1091,AgStatus,"&lt;&gt;Cancelado",AgStatus,"&lt;&gt;Remarcado")&gt;0,"Sim","Não"))</f>
        <v>0</v>
      </c>
      <c r="S1091" s="28">
        <f>IF($A1091="","",IF(AND($F1091="Agendado",$A1091-Hoje&gt;=0,$A1091-Hoje&lt;=DiasConf),"CONFIRMAR",IF(AND($A1091&lt;Hoje,OR($F1091="Agendado",$F1091="Confirmado")),"Atualizar status",IF(AND($F1091="Compareceu",$P1091&gt;0.005),"Cobrar",IF($F1091="Faltou","Falta: reagendar","")))))</f>
        <v>0</v>
      </c>
      <c r="T1091" s="29">
        <f>IF($A1091="","",DATE(YEAR($A1091),MONTH($A1091),1))</f>
        <v>0</v>
      </c>
      <c r="U1091" s="30">
        <f>IF($S1091="CONFIRMAR",MAX($U$4:$U1090)+1,"")</f>
        <v>0</v>
      </c>
      <c r="V1091" s="30">
        <f>IF(AND($R1091="Não",$Q1091&lt;&gt;"",$Q1091&lt;=Hoje+JanelaRet,$Q1091&gt;=Hoje-60),MAX($V$4:$V1090)+1,"")</f>
        <v>0</v>
      </c>
    </row>
    <row r="1092" spans="1:22">
      <c r="A1092" s="16"/>
      <c r="B1092" s="23"/>
      <c r="C1092" s="15"/>
      <c r="D1092" s="15"/>
      <c r="E1092" s="15"/>
      <c r="F1092" s="24"/>
      <c r="G1092" s="17"/>
      <c r="H1092" s="17"/>
      <c r="I1092" s="15"/>
      <c r="J1092" s="25">
        <f>IF($D1092="","",IFERROR(INDEX(PacNome,MATCH($D1092,PacCod,0)),"Paciente não cadastrado"))</f>
        <v>0</v>
      </c>
      <c r="K1092" s="26">
        <f>IF($D1092="","",IFERROR(INDEX(PacConv,MATCH($D1092,PacCod,0))&amp;"",""))</f>
        <v>0</v>
      </c>
      <c r="L1092" s="26">
        <f>IF($A1092="","",CHOOSE(WEEKDAY($A1092,2),"Seg","Ter","Qua","Qui","Sex","Sáb","Dom"))</f>
        <v>0</v>
      </c>
      <c r="M1092" s="27">
        <f>IF($E1092="","",IF($G1092&lt;&gt;"",$G1092,IFERROR(INDEX(ProcValor,MATCH($E1092,ProcNome,0)),0)))</f>
        <v>0</v>
      </c>
      <c r="N1092" s="27">
        <f>IF($M1092="","",IF($F1092="Compareceu",$M1092,0))</f>
        <v>0</v>
      </c>
      <c r="O1092" s="27">
        <f>IF($M1092="","",IF($F1092="Faltou",$M1092,0))</f>
        <v>0</v>
      </c>
      <c r="P1092" s="27">
        <f>IF($M1092="","",IF($F1092="Compareceu",MAX(0,$M1092-N($H1092)),0))</f>
        <v>0</v>
      </c>
      <c r="Q1092" s="19">
        <f>IF(AND($F1092="Compareceu",$E1092&lt;&gt;"",$A1092&lt;&gt;""),IF(IFERROR(INDEX(ProcRet,MATCH($E1092,ProcNome,0)),0)&gt;0,$A1092+INDEX(ProcRet,MATCH($E1092,ProcNome,0)),""),"")</f>
        <v>0</v>
      </c>
      <c r="R1092" s="26">
        <f>IF($Q1092="","",IF(COUNTIFS(AgPac,$D1092,AgData,"&gt;"&amp;$A1092,AgStatus,"&lt;&gt;Cancelado",AgStatus,"&lt;&gt;Remarcado")&gt;0,"Sim","Não"))</f>
        <v>0</v>
      </c>
      <c r="S1092" s="28">
        <f>IF($A1092="","",IF(AND($F1092="Agendado",$A1092-Hoje&gt;=0,$A1092-Hoje&lt;=DiasConf),"CONFIRMAR",IF(AND($A1092&lt;Hoje,OR($F1092="Agendado",$F1092="Confirmado")),"Atualizar status",IF(AND($F1092="Compareceu",$P1092&gt;0.005),"Cobrar",IF($F1092="Faltou","Falta: reagendar","")))))</f>
        <v>0</v>
      </c>
      <c r="T1092" s="29">
        <f>IF($A1092="","",DATE(YEAR($A1092),MONTH($A1092),1))</f>
        <v>0</v>
      </c>
      <c r="U1092" s="30">
        <f>IF($S1092="CONFIRMAR",MAX($U$4:$U1091)+1,"")</f>
        <v>0</v>
      </c>
      <c r="V1092" s="30">
        <f>IF(AND($R1092="Não",$Q1092&lt;&gt;"",$Q1092&lt;=Hoje+JanelaRet,$Q1092&gt;=Hoje-60),MAX($V$4:$V1091)+1,"")</f>
        <v>0</v>
      </c>
    </row>
    <row r="1093" spans="1:22">
      <c r="A1093" s="16"/>
      <c r="B1093" s="23"/>
      <c r="C1093" s="15"/>
      <c r="D1093" s="15"/>
      <c r="E1093" s="15"/>
      <c r="F1093" s="24"/>
      <c r="G1093" s="17"/>
      <c r="H1093" s="17"/>
      <c r="I1093" s="15"/>
      <c r="J1093" s="25">
        <f>IF($D1093="","",IFERROR(INDEX(PacNome,MATCH($D1093,PacCod,0)),"Paciente não cadastrado"))</f>
        <v>0</v>
      </c>
      <c r="K1093" s="26">
        <f>IF($D1093="","",IFERROR(INDEX(PacConv,MATCH($D1093,PacCod,0))&amp;"",""))</f>
        <v>0</v>
      </c>
      <c r="L1093" s="26">
        <f>IF($A1093="","",CHOOSE(WEEKDAY($A1093,2),"Seg","Ter","Qua","Qui","Sex","Sáb","Dom"))</f>
        <v>0</v>
      </c>
      <c r="M1093" s="27">
        <f>IF($E1093="","",IF($G1093&lt;&gt;"",$G1093,IFERROR(INDEX(ProcValor,MATCH($E1093,ProcNome,0)),0)))</f>
        <v>0</v>
      </c>
      <c r="N1093" s="27">
        <f>IF($M1093="","",IF($F1093="Compareceu",$M1093,0))</f>
        <v>0</v>
      </c>
      <c r="O1093" s="27">
        <f>IF($M1093="","",IF($F1093="Faltou",$M1093,0))</f>
        <v>0</v>
      </c>
      <c r="P1093" s="27">
        <f>IF($M1093="","",IF($F1093="Compareceu",MAX(0,$M1093-N($H1093)),0))</f>
        <v>0</v>
      </c>
      <c r="Q1093" s="19">
        <f>IF(AND($F1093="Compareceu",$E1093&lt;&gt;"",$A1093&lt;&gt;""),IF(IFERROR(INDEX(ProcRet,MATCH($E1093,ProcNome,0)),0)&gt;0,$A1093+INDEX(ProcRet,MATCH($E1093,ProcNome,0)),""),"")</f>
        <v>0</v>
      </c>
      <c r="R1093" s="26">
        <f>IF($Q1093="","",IF(COUNTIFS(AgPac,$D1093,AgData,"&gt;"&amp;$A1093,AgStatus,"&lt;&gt;Cancelado",AgStatus,"&lt;&gt;Remarcado")&gt;0,"Sim","Não"))</f>
        <v>0</v>
      </c>
      <c r="S1093" s="28">
        <f>IF($A1093="","",IF(AND($F1093="Agendado",$A1093-Hoje&gt;=0,$A1093-Hoje&lt;=DiasConf),"CONFIRMAR",IF(AND($A1093&lt;Hoje,OR($F1093="Agendado",$F1093="Confirmado")),"Atualizar status",IF(AND($F1093="Compareceu",$P1093&gt;0.005),"Cobrar",IF($F1093="Faltou","Falta: reagendar","")))))</f>
        <v>0</v>
      </c>
      <c r="T1093" s="29">
        <f>IF($A1093="","",DATE(YEAR($A1093),MONTH($A1093),1))</f>
        <v>0</v>
      </c>
      <c r="U1093" s="30">
        <f>IF($S1093="CONFIRMAR",MAX($U$4:$U1092)+1,"")</f>
        <v>0</v>
      </c>
      <c r="V1093" s="30">
        <f>IF(AND($R1093="Não",$Q1093&lt;&gt;"",$Q1093&lt;=Hoje+JanelaRet,$Q1093&gt;=Hoje-60),MAX($V$4:$V1092)+1,"")</f>
        <v>0</v>
      </c>
    </row>
    <row r="1094" spans="1:22">
      <c r="A1094" s="16"/>
      <c r="B1094" s="23"/>
      <c r="C1094" s="15"/>
      <c r="D1094" s="15"/>
      <c r="E1094" s="15"/>
      <c r="F1094" s="24"/>
      <c r="G1094" s="17"/>
      <c r="H1094" s="17"/>
      <c r="I1094" s="15"/>
      <c r="J1094" s="25">
        <f>IF($D1094="","",IFERROR(INDEX(PacNome,MATCH($D1094,PacCod,0)),"Paciente não cadastrado"))</f>
        <v>0</v>
      </c>
      <c r="K1094" s="26">
        <f>IF($D1094="","",IFERROR(INDEX(PacConv,MATCH($D1094,PacCod,0))&amp;"",""))</f>
        <v>0</v>
      </c>
      <c r="L1094" s="26">
        <f>IF($A1094="","",CHOOSE(WEEKDAY($A1094,2),"Seg","Ter","Qua","Qui","Sex","Sáb","Dom"))</f>
        <v>0</v>
      </c>
      <c r="M1094" s="27">
        <f>IF($E1094="","",IF($G1094&lt;&gt;"",$G1094,IFERROR(INDEX(ProcValor,MATCH($E1094,ProcNome,0)),0)))</f>
        <v>0</v>
      </c>
      <c r="N1094" s="27">
        <f>IF($M1094="","",IF($F1094="Compareceu",$M1094,0))</f>
        <v>0</v>
      </c>
      <c r="O1094" s="27">
        <f>IF($M1094="","",IF($F1094="Faltou",$M1094,0))</f>
        <v>0</v>
      </c>
      <c r="P1094" s="27">
        <f>IF($M1094="","",IF($F1094="Compareceu",MAX(0,$M1094-N($H1094)),0))</f>
        <v>0</v>
      </c>
      <c r="Q1094" s="19">
        <f>IF(AND($F1094="Compareceu",$E1094&lt;&gt;"",$A1094&lt;&gt;""),IF(IFERROR(INDEX(ProcRet,MATCH($E1094,ProcNome,0)),0)&gt;0,$A1094+INDEX(ProcRet,MATCH($E1094,ProcNome,0)),""),"")</f>
        <v>0</v>
      </c>
      <c r="R1094" s="26">
        <f>IF($Q1094="","",IF(COUNTIFS(AgPac,$D1094,AgData,"&gt;"&amp;$A1094,AgStatus,"&lt;&gt;Cancelado",AgStatus,"&lt;&gt;Remarcado")&gt;0,"Sim","Não"))</f>
        <v>0</v>
      </c>
      <c r="S1094" s="28">
        <f>IF($A1094="","",IF(AND($F1094="Agendado",$A1094-Hoje&gt;=0,$A1094-Hoje&lt;=DiasConf),"CONFIRMAR",IF(AND($A1094&lt;Hoje,OR($F1094="Agendado",$F1094="Confirmado")),"Atualizar status",IF(AND($F1094="Compareceu",$P1094&gt;0.005),"Cobrar",IF($F1094="Faltou","Falta: reagendar","")))))</f>
        <v>0</v>
      </c>
      <c r="T1094" s="29">
        <f>IF($A1094="","",DATE(YEAR($A1094),MONTH($A1094),1))</f>
        <v>0</v>
      </c>
      <c r="U1094" s="30">
        <f>IF($S1094="CONFIRMAR",MAX($U$4:$U1093)+1,"")</f>
        <v>0</v>
      </c>
      <c r="V1094" s="30">
        <f>IF(AND($R1094="Não",$Q1094&lt;&gt;"",$Q1094&lt;=Hoje+JanelaRet,$Q1094&gt;=Hoje-60),MAX($V$4:$V1093)+1,"")</f>
        <v>0</v>
      </c>
    </row>
    <row r="1095" spans="1:22">
      <c r="A1095" s="16"/>
      <c r="B1095" s="23"/>
      <c r="C1095" s="15"/>
      <c r="D1095" s="15"/>
      <c r="E1095" s="15"/>
      <c r="F1095" s="24"/>
      <c r="G1095" s="17"/>
      <c r="H1095" s="17"/>
      <c r="I1095" s="15"/>
      <c r="J1095" s="25">
        <f>IF($D1095="","",IFERROR(INDEX(PacNome,MATCH($D1095,PacCod,0)),"Paciente não cadastrado"))</f>
        <v>0</v>
      </c>
      <c r="K1095" s="26">
        <f>IF($D1095="","",IFERROR(INDEX(PacConv,MATCH($D1095,PacCod,0))&amp;"",""))</f>
        <v>0</v>
      </c>
      <c r="L1095" s="26">
        <f>IF($A1095="","",CHOOSE(WEEKDAY($A1095,2),"Seg","Ter","Qua","Qui","Sex","Sáb","Dom"))</f>
        <v>0</v>
      </c>
      <c r="M1095" s="27">
        <f>IF($E1095="","",IF($G1095&lt;&gt;"",$G1095,IFERROR(INDEX(ProcValor,MATCH($E1095,ProcNome,0)),0)))</f>
        <v>0</v>
      </c>
      <c r="N1095" s="27">
        <f>IF($M1095="","",IF($F1095="Compareceu",$M1095,0))</f>
        <v>0</v>
      </c>
      <c r="O1095" s="27">
        <f>IF($M1095="","",IF($F1095="Faltou",$M1095,0))</f>
        <v>0</v>
      </c>
      <c r="P1095" s="27">
        <f>IF($M1095="","",IF($F1095="Compareceu",MAX(0,$M1095-N($H1095)),0))</f>
        <v>0</v>
      </c>
      <c r="Q1095" s="19">
        <f>IF(AND($F1095="Compareceu",$E1095&lt;&gt;"",$A1095&lt;&gt;""),IF(IFERROR(INDEX(ProcRet,MATCH($E1095,ProcNome,0)),0)&gt;0,$A1095+INDEX(ProcRet,MATCH($E1095,ProcNome,0)),""),"")</f>
        <v>0</v>
      </c>
      <c r="R1095" s="26">
        <f>IF($Q1095="","",IF(COUNTIFS(AgPac,$D1095,AgData,"&gt;"&amp;$A1095,AgStatus,"&lt;&gt;Cancelado",AgStatus,"&lt;&gt;Remarcado")&gt;0,"Sim","Não"))</f>
        <v>0</v>
      </c>
      <c r="S1095" s="28">
        <f>IF($A1095="","",IF(AND($F1095="Agendado",$A1095-Hoje&gt;=0,$A1095-Hoje&lt;=DiasConf),"CONFIRMAR",IF(AND($A1095&lt;Hoje,OR($F1095="Agendado",$F1095="Confirmado")),"Atualizar status",IF(AND($F1095="Compareceu",$P1095&gt;0.005),"Cobrar",IF($F1095="Faltou","Falta: reagendar","")))))</f>
        <v>0</v>
      </c>
      <c r="T1095" s="29">
        <f>IF($A1095="","",DATE(YEAR($A1095),MONTH($A1095),1))</f>
        <v>0</v>
      </c>
      <c r="U1095" s="30">
        <f>IF($S1095="CONFIRMAR",MAX($U$4:$U1094)+1,"")</f>
        <v>0</v>
      </c>
      <c r="V1095" s="30">
        <f>IF(AND($R1095="Não",$Q1095&lt;&gt;"",$Q1095&lt;=Hoje+JanelaRet,$Q1095&gt;=Hoje-60),MAX($V$4:$V1094)+1,"")</f>
        <v>0</v>
      </c>
    </row>
    <row r="1096" spans="1:22">
      <c r="A1096" s="16"/>
      <c r="B1096" s="23"/>
      <c r="C1096" s="15"/>
      <c r="D1096" s="15"/>
      <c r="E1096" s="15"/>
      <c r="F1096" s="24"/>
      <c r="G1096" s="17"/>
      <c r="H1096" s="17"/>
      <c r="I1096" s="15"/>
      <c r="J1096" s="25">
        <f>IF($D1096="","",IFERROR(INDEX(PacNome,MATCH($D1096,PacCod,0)),"Paciente não cadastrado"))</f>
        <v>0</v>
      </c>
      <c r="K1096" s="26">
        <f>IF($D1096="","",IFERROR(INDEX(PacConv,MATCH($D1096,PacCod,0))&amp;"",""))</f>
        <v>0</v>
      </c>
      <c r="L1096" s="26">
        <f>IF($A1096="","",CHOOSE(WEEKDAY($A1096,2),"Seg","Ter","Qua","Qui","Sex","Sáb","Dom"))</f>
        <v>0</v>
      </c>
      <c r="M1096" s="27">
        <f>IF($E1096="","",IF($G1096&lt;&gt;"",$G1096,IFERROR(INDEX(ProcValor,MATCH($E1096,ProcNome,0)),0)))</f>
        <v>0</v>
      </c>
      <c r="N1096" s="27">
        <f>IF($M1096="","",IF($F1096="Compareceu",$M1096,0))</f>
        <v>0</v>
      </c>
      <c r="O1096" s="27">
        <f>IF($M1096="","",IF($F1096="Faltou",$M1096,0))</f>
        <v>0</v>
      </c>
      <c r="P1096" s="27">
        <f>IF($M1096="","",IF($F1096="Compareceu",MAX(0,$M1096-N($H1096)),0))</f>
        <v>0</v>
      </c>
      <c r="Q1096" s="19">
        <f>IF(AND($F1096="Compareceu",$E1096&lt;&gt;"",$A1096&lt;&gt;""),IF(IFERROR(INDEX(ProcRet,MATCH($E1096,ProcNome,0)),0)&gt;0,$A1096+INDEX(ProcRet,MATCH($E1096,ProcNome,0)),""),"")</f>
        <v>0</v>
      </c>
      <c r="R1096" s="26">
        <f>IF($Q1096="","",IF(COUNTIFS(AgPac,$D1096,AgData,"&gt;"&amp;$A1096,AgStatus,"&lt;&gt;Cancelado",AgStatus,"&lt;&gt;Remarcado")&gt;0,"Sim","Não"))</f>
        <v>0</v>
      </c>
      <c r="S1096" s="28">
        <f>IF($A1096="","",IF(AND($F1096="Agendado",$A1096-Hoje&gt;=0,$A1096-Hoje&lt;=DiasConf),"CONFIRMAR",IF(AND($A1096&lt;Hoje,OR($F1096="Agendado",$F1096="Confirmado")),"Atualizar status",IF(AND($F1096="Compareceu",$P1096&gt;0.005),"Cobrar",IF($F1096="Faltou","Falta: reagendar","")))))</f>
        <v>0</v>
      </c>
      <c r="T1096" s="29">
        <f>IF($A1096="","",DATE(YEAR($A1096),MONTH($A1096),1))</f>
        <v>0</v>
      </c>
      <c r="U1096" s="30">
        <f>IF($S1096="CONFIRMAR",MAX($U$4:$U1095)+1,"")</f>
        <v>0</v>
      </c>
      <c r="V1096" s="30">
        <f>IF(AND($R1096="Não",$Q1096&lt;&gt;"",$Q1096&lt;=Hoje+JanelaRet,$Q1096&gt;=Hoje-60),MAX($V$4:$V1095)+1,"")</f>
        <v>0</v>
      </c>
    </row>
    <row r="1097" spans="1:22">
      <c r="A1097" s="16"/>
      <c r="B1097" s="23"/>
      <c r="C1097" s="15"/>
      <c r="D1097" s="15"/>
      <c r="E1097" s="15"/>
      <c r="F1097" s="24"/>
      <c r="G1097" s="17"/>
      <c r="H1097" s="17"/>
      <c r="I1097" s="15"/>
      <c r="J1097" s="25">
        <f>IF($D1097="","",IFERROR(INDEX(PacNome,MATCH($D1097,PacCod,0)),"Paciente não cadastrado"))</f>
        <v>0</v>
      </c>
      <c r="K1097" s="26">
        <f>IF($D1097="","",IFERROR(INDEX(PacConv,MATCH($D1097,PacCod,0))&amp;"",""))</f>
        <v>0</v>
      </c>
      <c r="L1097" s="26">
        <f>IF($A1097="","",CHOOSE(WEEKDAY($A1097,2),"Seg","Ter","Qua","Qui","Sex","Sáb","Dom"))</f>
        <v>0</v>
      </c>
      <c r="M1097" s="27">
        <f>IF($E1097="","",IF($G1097&lt;&gt;"",$G1097,IFERROR(INDEX(ProcValor,MATCH($E1097,ProcNome,0)),0)))</f>
        <v>0</v>
      </c>
      <c r="N1097" s="27">
        <f>IF($M1097="","",IF($F1097="Compareceu",$M1097,0))</f>
        <v>0</v>
      </c>
      <c r="O1097" s="27">
        <f>IF($M1097="","",IF($F1097="Faltou",$M1097,0))</f>
        <v>0</v>
      </c>
      <c r="P1097" s="27">
        <f>IF($M1097="","",IF($F1097="Compareceu",MAX(0,$M1097-N($H1097)),0))</f>
        <v>0</v>
      </c>
      <c r="Q1097" s="19">
        <f>IF(AND($F1097="Compareceu",$E1097&lt;&gt;"",$A1097&lt;&gt;""),IF(IFERROR(INDEX(ProcRet,MATCH($E1097,ProcNome,0)),0)&gt;0,$A1097+INDEX(ProcRet,MATCH($E1097,ProcNome,0)),""),"")</f>
        <v>0</v>
      </c>
      <c r="R1097" s="26">
        <f>IF($Q1097="","",IF(COUNTIFS(AgPac,$D1097,AgData,"&gt;"&amp;$A1097,AgStatus,"&lt;&gt;Cancelado",AgStatus,"&lt;&gt;Remarcado")&gt;0,"Sim","Não"))</f>
        <v>0</v>
      </c>
      <c r="S1097" s="28">
        <f>IF($A1097="","",IF(AND($F1097="Agendado",$A1097-Hoje&gt;=0,$A1097-Hoje&lt;=DiasConf),"CONFIRMAR",IF(AND($A1097&lt;Hoje,OR($F1097="Agendado",$F1097="Confirmado")),"Atualizar status",IF(AND($F1097="Compareceu",$P1097&gt;0.005),"Cobrar",IF($F1097="Faltou","Falta: reagendar","")))))</f>
        <v>0</v>
      </c>
      <c r="T1097" s="29">
        <f>IF($A1097="","",DATE(YEAR($A1097),MONTH($A1097),1))</f>
        <v>0</v>
      </c>
      <c r="U1097" s="30">
        <f>IF($S1097="CONFIRMAR",MAX($U$4:$U1096)+1,"")</f>
        <v>0</v>
      </c>
      <c r="V1097" s="30">
        <f>IF(AND($R1097="Não",$Q1097&lt;&gt;"",$Q1097&lt;=Hoje+JanelaRet,$Q1097&gt;=Hoje-60),MAX($V$4:$V1096)+1,"")</f>
        <v>0</v>
      </c>
    </row>
    <row r="1098" spans="1:22">
      <c r="A1098" s="16"/>
      <c r="B1098" s="23"/>
      <c r="C1098" s="15"/>
      <c r="D1098" s="15"/>
      <c r="E1098" s="15"/>
      <c r="F1098" s="24"/>
      <c r="G1098" s="17"/>
      <c r="H1098" s="17"/>
      <c r="I1098" s="15"/>
      <c r="J1098" s="25">
        <f>IF($D1098="","",IFERROR(INDEX(PacNome,MATCH($D1098,PacCod,0)),"Paciente não cadastrado"))</f>
        <v>0</v>
      </c>
      <c r="K1098" s="26">
        <f>IF($D1098="","",IFERROR(INDEX(PacConv,MATCH($D1098,PacCod,0))&amp;"",""))</f>
        <v>0</v>
      </c>
      <c r="L1098" s="26">
        <f>IF($A1098="","",CHOOSE(WEEKDAY($A1098,2),"Seg","Ter","Qua","Qui","Sex","Sáb","Dom"))</f>
        <v>0</v>
      </c>
      <c r="M1098" s="27">
        <f>IF($E1098="","",IF($G1098&lt;&gt;"",$G1098,IFERROR(INDEX(ProcValor,MATCH($E1098,ProcNome,0)),0)))</f>
        <v>0</v>
      </c>
      <c r="N1098" s="27">
        <f>IF($M1098="","",IF($F1098="Compareceu",$M1098,0))</f>
        <v>0</v>
      </c>
      <c r="O1098" s="27">
        <f>IF($M1098="","",IF($F1098="Faltou",$M1098,0))</f>
        <v>0</v>
      </c>
      <c r="P1098" s="27">
        <f>IF($M1098="","",IF($F1098="Compareceu",MAX(0,$M1098-N($H1098)),0))</f>
        <v>0</v>
      </c>
      <c r="Q1098" s="19">
        <f>IF(AND($F1098="Compareceu",$E1098&lt;&gt;"",$A1098&lt;&gt;""),IF(IFERROR(INDEX(ProcRet,MATCH($E1098,ProcNome,0)),0)&gt;0,$A1098+INDEX(ProcRet,MATCH($E1098,ProcNome,0)),""),"")</f>
        <v>0</v>
      </c>
      <c r="R1098" s="26">
        <f>IF($Q1098="","",IF(COUNTIFS(AgPac,$D1098,AgData,"&gt;"&amp;$A1098,AgStatus,"&lt;&gt;Cancelado",AgStatus,"&lt;&gt;Remarcado")&gt;0,"Sim","Não"))</f>
        <v>0</v>
      </c>
      <c r="S1098" s="28">
        <f>IF($A1098="","",IF(AND($F1098="Agendado",$A1098-Hoje&gt;=0,$A1098-Hoje&lt;=DiasConf),"CONFIRMAR",IF(AND($A1098&lt;Hoje,OR($F1098="Agendado",$F1098="Confirmado")),"Atualizar status",IF(AND($F1098="Compareceu",$P1098&gt;0.005),"Cobrar",IF($F1098="Faltou","Falta: reagendar","")))))</f>
        <v>0</v>
      </c>
      <c r="T1098" s="29">
        <f>IF($A1098="","",DATE(YEAR($A1098),MONTH($A1098),1))</f>
        <v>0</v>
      </c>
      <c r="U1098" s="30">
        <f>IF($S1098="CONFIRMAR",MAX($U$4:$U1097)+1,"")</f>
        <v>0</v>
      </c>
      <c r="V1098" s="30">
        <f>IF(AND($R1098="Não",$Q1098&lt;&gt;"",$Q1098&lt;=Hoje+JanelaRet,$Q1098&gt;=Hoje-60),MAX($V$4:$V1097)+1,"")</f>
        <v>0</v>
      </c>
    </row>
    <row r="1099" spans="1:22">
      <c r="A1099" s="16"/>
      <c r="B1099" s="23"/>
      <c r="C1099" s="15"/>
      <c r="D1099" s="15"/>
      <c r="E1099" s="15"/>
      <c r="F1099" s="24"/>
      <c r="G1099" s="17"/>
      <c r="H1099" s="17"/>
      <c r="I1099" s="15"/>
      <c r="J1099" s="25">
        <f>IF($D1099="","",IFERROR(INDEX(PacNome,MATCH($D1099,PacCod,0)),"Paciente não cadastrado"))</f>
        <v>0</v>
      </c>
      <c r="K1099" s="26">
        <f>IF($D1099="","",IFERROR(INDEX(PacConv,MATCH($D1099,PacCod,0))&amp;"",""))</f>
        <v>0</v>
      </c>
      <c r="L1099" s="26">
        <f>IF($A1099="","",CHOOSE(WEEKDAY($A1099,2),"Seg","Ter","Qua","Qui","Sex","Sáb","Dom"))</f>
        <v>0</v>
      </c>
      <c r="M1099" s="27">
        <f>IF($E1099="","",IF($G1099&lt;&gt;"",$G1099,IFERROR(INDEX(ProcValor,MATCH($E1099,ProcNome,0)),0)))</f>
        <v>0</v>
      </c>
      <c r="N1099" s="27">
        <f>IF($M1099="","",IF($F1099="Compareceu",$M1099,0))</f>
        <v>0</v>
      </c>
      <c r="O1099" s="27">
        <f>IF($M1099="","",IF($F1099="Faltou",$M1099,0))</f>
        <v>0</v>
      </c>
      <c r="P1099" s="27">
        <f>IF($M1099="","",IF($F1099="Compareceu",MAX(0,$M1099-N($H1099)),0))</f>
        <v>0</v>
      </c>
      <c r="Q1099" s="19">
        <f>IF(AND($F1099="Compareceu",$E1099&lt;&gt;"",$A1099&lt;&gt;""),IF(IFERROR(INDEX(ProcRet,MATCH($E1099,ProcNome,0)),0)&gt;0,$A1099+INDEX(ProcRet,MATCH($E1099,ProcNome,0)),""),"")</f>
        <v>0</v>
      </c>
      <c r="R1099" s="26">
        <f>IF($Q1099="","",IF(COUNTIFS(AgPac,$D1099,AgData,"&gt;"&amp;$A1099,AgStatus,"&lt;&gt;Cancelado",AgStatus,"&lt;&gt;Remarcado")&gt;0,"Sim","Não"))</f>
        <v>0</v>
      </c>
      <c r="S1099" s="28">
        <f>IF($A1099="","",IF(AND($F1099="Agendado",$A1099-Hoje&gt;=0,$A1099-Hoje&lt;=DiasConf),"CONFIRMAR",IF(AND($A1099&lt;Hoje,OR($F1099="Agendado",$F1099="Confirmado")),"Atualizar status",IF(AND($F1099="Compareceu",$P1099&gt;0.005),"Cobrar",IF($F1099="Faltou","Falta: reagendar","")))))</f>
        <v>0</v>
      </c>
      <c r="T1099" s="29">
        <f>IF($A1099="","",DATE(YEAR($A1099),MONTH($A1099),1))</f>
        <v>0</v>
      </c>
      <c r="U1099" s="30">
        <f>IF($S1099="CONFIRMAR",MAX($U$4:$U1098)+1,"")</f>
        <v>0</v>
      </c>
      <c r="V1099" s="30">
        <f>IF(AND($R1099="Não",$Q1099&lt;&gt;"",$Q1099&lt;=Hoje+JanelaRet,$Q1099&gt;=Hoje-60),MAX($V$4:$V1098)+1,"")</f>
        <v>0</v>
      </c>
    </row>
    <row r="1100" spans="1:22">
      <c r="A1100" s="16"/>
      <c r="B1100" s="23"/>
      <c r="C1100" s="15"/>
      <c r="D1100" s="15"/>
      <c r="E1100" s="15"/>
      <c r="F1100" s="24"/>
      <c r="G1100" s="17"/>
      <c r="H1100" s="17"/>
      <c r="I1100" s="15"/>
      <c r="J1100" s="25">
        <f>IF($D1100="","",IFERROR(INDEX(PacNome,MATCH($D1100,PacCod,0)),"Paciente não cadastrado"))</f>
        <v>0</v>
      </c>
      <c r="K1100" s="26">
        <f>IF($D1100="","",IFERROR(INDEX(PacConv,MATCH($D1100,PacCod,0))&amp;"",""))</f>
        <v>0</v>
      </c>
      <c r="L1100" s="26">
        <f>IF($A1100="","",CHOOSE(WEEKDAY($A1100,2),"Seg","Ter","Qua","Qui","Sex","Sáb","Dom"))</f>
        <v>0</v>
      </c>
      <c r="M1100" s="27">
        <f>IF($E1100="","",IF($G1100&lt;&gt;"",$G1100,IFERROR(INDEX(ProcValor,MATCH($E1100,ProcNome,0)),0)))</f>
        <v>0</v>
      </c>
      <c r="N1100" s="27">
        <f>IF($M1100="","",IF($F1100="Compareceu",$M1100,0))</f>
        <v>0</v>
      </c>
      <c r="O1100" s="27">
        <f>IF($M1100="","",IF($F1100="Faltou",$M1100,0))</f>
        <v>0</v>
      </c>
      <c r="P1100" s="27">
        <f>IF($M1100="","",IF($F1100="Compareceu",MAX(0,$M1100-N($H1100)),0))</f>
        <v>0</v>
      </c>
      <c r="Q1100" s="19">
        <f>IF(AND($F1100="Compareceu",$E1100&lt;&gt;"",$A1100&lt;&gt;""),IF(IFERROR(INDEX(ProcRet,MATCH($E1100,ProcNome,0)),0)&gt;0,$A1100+INDEX(ProcRet,MATCH($E1100,ProcNome,0)),""),"")</f>
        <v>0</v>
      </c>
      <c r="R1100" s="26">
        <f>IF($Q1100="","",IF(COUNTIFS(AgPac,$D1100,AgData,"&gt;"&amp;$A1100,AgStatus,"&lt;&gt;Cancelado",AgStatus,"&lt;&gt;Remarcado")&gt;0,"Sim","Não"))</f>
        <v>0</v>
      </c>
      <c r="S1100" s="28">
        <f>IF($A1100="","",IF(AND($F1100="Agendado",$A1100-Hoje&gt;=0,$A1100-Hoje&lt;=DiasConf),"CONFIRMAR",IF(AND($A1100&lt;Hoje,OR($F1100="Agendado",$F1100="Confirmado")),"Atualizar status",IF(AND($F1100="Compareceu",$P1100&gt;0.005),"Cobrar",IF($F1100="Faltou","Falta: reagendar","")))))</f>
        <v>0</v>
      </c>
      <c r="T1100" s="29">
        <f>IF($A1100="","",DATE(YEAR($A1100),MONTH($A1100),1))</f>
        <v>0</v>
      </c>
      <c r="U1100" s="30">
        <f>IF($S1100="CONFIRMAR",MAX($U$4:$U1099)+1,"")</f>
        <v>0</v>
      </c>
      <c r="V1100" s="30">
        <f>IF(AND($R1100="Não",$Q1100&lt;&gt;"",$Q1100&lt;=Hoje+JanelaRet,$Q1100&gt;=Hoje-60),MAX($V$4:$V1099)+1,"")</f>
        <v>0</v>
      </c>
    </row>
    <row r="1101" spans="1:22">
      <c r="A1101" s="16"/>
      <c r="B1101" s="23"/>
      <c r="C1101" s="15"/>
      <c r="D1101" s="15"/>
      <c r="E1101" s="15"/>
      <c r="F1101" s="24"/>
      <c r="G1101" s="17"/>
      <c r="H1101" s="17"/>
      <c r="I1101" s="15"/>
      <c r="J1101" s="25">
        <f>IF($D1101="","",IFERROR(INDEX(PacNome,MATCH($D1101,PacCod,0)),"Paciente não cadastrado"))</f>
        <v>0</v>
      </c>
      <c r="K1101" s="26">
        <f>IF($D1101="","",IFERROR(INDEX(PacConv,MATCH($D1101,PacCod,0))&amp;"",""))</f>
        <v>0</v>
      </c>
      <c r="L1101" s="26">
        <f>IF($A1101="","",CHOOSE(WEEKDAY($A1101,2),"Seg","Ter","Qua","Qui","Sex","Sáb","Dom"))</f>
        <v>0</v>
      </c>
      <c r="M1101" s="27">
        <f>IF($E1101="","",IF($G1101&lt;&gt;"",$G1101,IFERROR(INDEX(ProcValor,MATCH($E1101,ProcNome,0)),0)))</f>
        <v>0</v>
      </c>
      <c r="N1101" s="27">
        <f>IF($M1101="","",IF($F1101="Compareceu",$M1101,0))</f>
        <v>0</v>
      </c>
      <c r="O1101" s="27">
        <f>IF($M1101="","",IF($F1101="Faltou",$M1101,0))</f>
        <v>0</v>
      </c>
      <c r="P1101" s="27">
        <f>IF($M1101="","",IF($F1101="Compareceu",MAX(0,$M1101-N($H1101)),0))</f>
        <v>0</v>
      </c>
      <c r="Q1101" s="19">
        <f>IF(AND($F1101="Compareceu",$E1101&lt;&gt;"",$A1101&lt;&gt;""),IF(IFERROR(INDEX(ProcRet,MATCH($E1101,ProcNome,0)),0)&gt;0,$A1101+INDEX(ProcRet,MATCH($E1101,ProcNome,0)),""),"")</f>
        <v>0</v>
      </c>
      <c r="R1101" s="26">
        <f>IF($Q1101="","",IF(COUNTIFS(AgPac,$D1101,AgData,"&gt;"&amp;$A1101,AgStatus,"&lt;&gt;Cancelado",AgStatus,"&lt;&gt;Remarcado")&gt;0,"Sim","Não"))</f>
        <v>0</v>
      </c>
      <c r="S1101" s="28">
        <f>IF($A1101="","",IF(AND($F1101="Agendado",$A1101-Hoje&gt;=0,$A1101-Hoje&lt;=DiasConf),"CONFIRMAR",IF(AND($A1101&lt;Hoje,OR($F1101="Agendado",$F1101="Confirmado")),"Atualizar status",IF(AND($F1101="Compareceu",$P1101&gt;0.005),"Cobrar",IF($F1101="Faltou","Falta: reagendar","")))))</f>
        <v>0</v>
      </c>
      <c r="T1101" s="29">
        <f>IF($A1101="","",DATE(YEAR($A1101),MONTH($A1101),1))</f>
        <v>0</v>
      </c>
      <c r="U1101" s="30">
        <f>IF($S1101="CONFIRMAR",MAX($U$4:$U1100)+1,"")</f>
        <v>0</v>
      </c>
      <c r="V1101" s="30">
        <f>IF(AND($R1101="Não",$Q1101&lt;&gt;"",$Q1101&lt;=Hoje+JanelaRet,$Q1101&gt;=Hoje-60),MAX($V$4:$V1100)+1,"")</f>
        <v>0</v>
      </c>
    </row>
    <row r="1102" spans="1:22">
      <c r="A1102" s="16"/>
      <c r="B1102" s="23"/>
      <c r="C1102" s="15"/>
      <c r="D1102" s="15"/>
      <c r="E1102" s="15"/>
      <c r="F1102" s="24"/>
      <c r="G1102" s="17"/>
      <c r="H1102" s="17"/>
      <c r="I1102" s="15"/>
      <c r="J1102" s="25">
        <f>IF($D1102="","",IFERROR(INDEX(PacNome,MATCH($D1102,PacCod,0)),"Paciente não cadastrado"))</f>
        <v>0</v>
      </c>
      <c r="K1102" s="26">
        <f>IF($D1102="","",IFERROR(INDEX(PacConv,MATCH($D1102,PacCod,0))&amp;"",""))</f>
        <v>0</v>
      </c>
      <c r="L1102" s="26">
        <f>IF($A1102="","",CHOOSE(WEEKDAY($A1102,2),"Seg","Ter","Qua","Qui","Sex","Sáb","Dom"))</f>
        <v>0</v>
      </c>
      <c r="M1102" s="27">
        <f>IF($E1102="","",IF($G1102&lt;&gt;"",$G1102,IFERROR(INDEX(ProcValor,MATCH($E1102,ProcNome,0)),0)))</f>
        <v>0</v>
      </c>
      <c r="N1102" s="27">
        <f>IF($M1102="","",IF($F1102="Compareceu",$M1102,0))</f>
        <v>0</v>
      </c>
      <c r="O1102" s="27">
        <f>IF($M1102="","",IF($F1102="Faltou",$M1102,0))</f>
        <v>0</v>
      </c>
      <c r="P1102" s="27">
        <f>IF($M1102="","",IF($F1102="Compareceu",MAX(0,$M1102-N($H1102)),0))</f>
        <v>0</v>
      </c>
      <c r="Q1102" s="19">
        <f>IF(AND($F1102="Compareceu",$E1102&lt;&gt;"",$A1102&lt;&gt;""),IF(IFERROR(INDEX(ProcRet,MATCH($E1102,ProcNome,0)),0)&gt;0,$A1102+INDEX(ProcRet,MATCH($E1102,ProcNome,0)),""),"")</f>
        <v>0</v>
      </c>
      <c r="R1102" s="26">
        <f>IF($Q1102="","",IF(COUNTIFS(AgPac,$D1102,AgData,"&gt;"&amp;$A1102,AgStatus,"&lt;&gt;Cancelado",AgStatus,"&lt;&gt;Remarcado")&gt;0,"Sim","Não"))</f>
        <v>0</v>
      </c>
      <c r="S1102" s="28">
        <f>IF($A1102="","",IF(AND($F1102="Agendado",$A1102-Hoje&gt;=0,$A1102-Hoje&lt;=DiasConf),"CONFIRMAR",IF(AND($A1102&lt;Hoje,OR($F1102="Agendado",$F1102="Confirmado")),"Atualizar status",IF(AND($F1102="Compareceu",$P1102&gt;0.005),"Cobrar",IF($F1102="Faltou","Falta: reagendar","")))))</f>
        <v>0</v>
      </c>
      <c r="T1102" s="29">
        <f>IF($A1102="","",DATE(YEAR($A1102),MONTH($A1102),1))</f>
        <v>0</v>
      </c>
      <c r="U1102" s="30">
        <f>IF($S1102="CONFIRMAR",MAX($U$4:$U1101)+1,"")</f>
        <v>0</v>
      </c>
      <c r="V1102" s="30">
        <f>IF(AND($R1102="Não",$Q1102&lt;&gt;"",$Q1102&lt;=Hoje+JanelaRet,$Q1102&gt;=Hoje-60),MAX($V$4:$V1101)+1,"")</f>
        <v>0</v>
      </c>
    </row>
    <row r="1103" spans="1:22">
      <c r="A1103" s="16"/>
      <c r="B1103" s="23"/>
      <c r="C1103" s="15"/>
      <c r="D1103" s="15"/>
      <c r="E1103" s="15"/>
      <c r="F1103" s="24"/>
      <c r="G1103" s="17"/>
      <c r="H1103" s="17"/>
      <c r="I1103" s="15"/>
      <c r="J1103" s="25">
        <f>IF($D1103="","",IFERROR(INDEX(PacNome,MATCH($D1103,PacCod,0)),"Paciente não cadastrado"))</f>
        <v>0</v>
      </c>
      <c r="K1103" s="26">
        <f>IF($D1103="","",IFERROR(INDEX(PacConv,MATCH($D1103,PacCod,0))&amp;"",""))</f>
        <v>0</v>
      </c>
      <c r="L1103" s="26">
        <f>IF($A1103="","",CHOOSE(WEEKDAY($A1103,2),"Seg","Ter","Qua","Qui","Sex","Sáb","Dom"))</f>
        <v>0</v>
      </c>
      <c r="M1103" s="27">
        <f>IF($E1103="","",IF($G1103&lt;&gt;"",$G1103,IFERROR(INDEX(ProcValor,MATCH($E1103,ProcNome,0)),0)))</f>
        <v>0</v>
      </c>
      <c r="N1103" s="27">
        <f>IF($M1103="","",IF($F1103="Compareceu",$M1103,0))</f>
        <v>0</v>
      </c>
      <c r="O1103" s="27">
        <f>IF($M1103="","",IF($F1103="Faltou",$M1103,0))</f>
        <v>0</v>
      </c>
      <c r="P1103" s="27">
        <f>IF($M1103="","",IF($F1103="Compareceu",MAX(0,$M1103-N($H1103)),0))</f>
        <v>0</v>
      </c>
      <c r="Q1103" s="19">
        <f>IF(AND($F1103="Compareceu",$E1103&lt;&gt;"",$A1103&lt;&gt;""),IF(IFERROR(INDEX(ProcRet,MATCH($E1103,ProcNome,0)),0)&gt;0,$A1103+INDEX(ProcRet,MATCH($E1103,ProcNome,0)),""),"")</f>
        <v>0</v>
      </c>
      <c r="R1103" s="26">
        <f>IF($Q1103="","",IF(COUNTIFS(AgPac,$D1103,AgData,"&gt;"&amp;$A1103,AgStatus,"&lt;&gt;Cancelado",AgStatus,"&lt;&gt;Remarcado")&gt;0,"Sim","Não"))</f>
        <v>0</v>
      </c>
      <c r="S1103" s="28">
        <f>IF($A1103="","",IF(AND($F1103="Agendado",$A1103-Hoje&gt;=0,$A1103-Hoje&lt;=DiasConf),"CONFIRMAR",IF(AND($A1103&lt;Hoje,OR($F1103="Agendado",$F1103="Confirmado")),"Atualizar status",IF(AND($F1103="Compareceu",$P1103&gt;0.005),"Cobrar",IF($F1103="Faltou","Falta: reagendar","")))))</f>
        <v>0</v>
      </c>
      <c r="T1103" s="29">
        <f>IF($A1103="","",DATE(YEAR($A1103),MONTH($A1103),1))</f>
        <v>0</v>
      </c>
      <c r="U1103" s="30">
        <f>IF($S1103="CONFIRMAR",MAX($U$4:$U1102)+1,"")</f>
        <v>0</v>
      </c>
      <c r="V1103" s="30">
        <f>IF(AND($R1103="Não",$Q1103&lt;&gt;"",$Q1103&lt;=Hoje+JanelaRet,$Q1103&gt;=Hoje-60),MAX($V$4:$V1102)+1,"")</f>
        <v>0</v>
      </c>
    </row>
    <row r="1104" spans="1:22">
      <c r="A1104" s="16"/>
      <c r="B1104" s="23"/>
      <c r="C1104" s="15"/>
      <c r="D1104" s="15"/>
      <c r="E1104" s="15"/>
      <c r="F1104" s="24"/>
      <c r="G1104" s="17"/>
      <c r="H1104" s="17"/>
      <c r="I1104" s="15"/>
      <c r="J1104" s="25">
        <f>IF($D1104="","",IFERROR(INDEX(PacNome,MATCH($D1104,PacCod,0)),"Paciente não cadastrado"))</f>
        <v>0</v>
      </c>
      <c r="K1104" s="26">
        <f>IF($D1104="","",IFERROR(INDEX(PacConv,MATCH($D1104,PacCod,0))&amp;"",""))</f>
        <v>0</v>
      </c>
      <c r="L1104" s="26">
        <f>IF($A1104="","",CHOOSE(WEEKDAY($A1104,2),"Seg","Ter","Qua","Qui","Sex","Sáb","Dom"))</f>
        <v>0</v>
      </c>
      <c r="M1104" s="27">
        <f>IF($E1104="","",IF($G1104&lt;&gt;"",$G1104,IFERROR(INDEX(ProcValor,MATCH($E1104,ProcNome,0)),0)))</f>
        <v>0</v>
      </c>
      <c r="N1104" s="27">
        <f>IF($M1104="","",IF($F1104="Compareceu",$M1104,0))</f>
        <v>0</v>
      </c>
      <c r="O1104" s="27">
        <f>IF($M1104="","",IF($F1104="Faltou",$M1104,0))</f>
        <v>0</v>
      </c>
      <c r="P1104" s="27">
        <f>IF($M1104="","",IF($F1104="Compareceu",MAX(0,$M1104-N($H1104)),0))</f>
        <v>0</v>
      </c>
      <c r="Q1104" s="19">
        <f>IF(AND($F1104="Compareceu",$E1104&lt;&gt;"",$A1104&lt;&gt;""),IF(IFERROR(INDEX(ProcRet,MATCH($E1104,ProcNome,0)),0)&gt;0,$A1104+INDEX(ProcRet,MATCH($E1104,ProcNome,0)),""),"")</f>
        <v>0</v>
      </c>
      <c r="R1104" s="26">
        <f>IF($Q1104="","",IF(COUNTIFS(AgPac,$D1104,AgData,"&gt;"&amp;$A1104,AgStatus,"&lt;&gt;Cancelado",AgStatus,"&lt;&gt;Remarcado")&gt;0,"Sim","Não"))</f>
        <v>0</v>
      </c>
      <c r="S1104" s="28">
        <f>IF($A1104="","",IF(AND($F1104="Agendado",$A1104-Hoje&gt;=0,$A1104-Hoje&lt;=DiasConf),"CONFIRMAR",IF(AND($A1104&lt;Hoje,OR($F1104="Agendado",$F1104="Confirmado")),"Atualizar status",IF(AND($F1104="Compareceu",$P1104&gt;0.005),"Cobrar",IF($F1104="Faltou","Falta: reagendar","")))))</f>
        <v>0</v>
      </c>
      <c r="T1104" s="29">
        <f>IF($A1104="","",DATE(YEAR($A1104),MONTH($A1104),1))</f>
        <v>0</v>
      </c>
      <c r="U1104" s="30">
        <f>IF($S1104="CONFIRMAR",MAX($U$4:$U1103)+1,"")</f>
        <v>0</v>
      </c>
      <c r="V1104" s="30">
        <f>IF(AND($R1104="Não",$Q1104&lt;&gt;"",$Q1104&lt;=Hoje+JanelaRet,$Q1104&gt;=Hoje-60),MAX($V$4:$V1103)+1,"")</f>
        <v>0</v>
      </c>
    </row>
    <row r="1105" spans="1:22">
      <c r="A1105" s="16"/>
      <c r="B1105" s="23"/>
      <c r="C1105" s="15"/>
      <c r="D1105" s="15"/>
      <c r="E1105" s="15"/>
      <c r="F1105" s="24"/>
      <c r="G1105" s="17"/>
      <c r="H1105" s="17"/>
      <c r="I1105" s="15"/>
      <c r="J1105" s="25">
        <f>IF($D1105="","",IFERROR(INDEX(PacNome,MATCH($D1105,PacCod,0)),"Paciente não cadastrado"))</f>
        <v>0</v>
      </c>
      <c r="K1105" s="26">
        <f>IF($D1105="","",IFERROR(INDEX(PacConv,MATCH($D1105,PacCod,0))&amp;"",""))</f>
        <v>0</v>
      </c>
      <c r="L1105" s="26">
        <f>IF($A1105="","",CHOOSE(WEEKDAY($A1105,2),"Seg","Ter","Qua","Qui","Sex","Sáb","Dom"))</f>
        <v>0</v>
      </c>
      <c r="M1105" s="27">
        <f>IF($E1105="","",IF($G1105&lt;&gt;"",$G1105,IFERROR(INDEX(ProcValor,MATCH($E1105,ProcNome,0)),0)))</f>
        <v>0</v>
      </c>
      <c r="N1105" s="27">
        <f>IF($M1105="","",IF($F1105="Compareceu",$M1105,0))</f>
        <v>0</v>
      </c>
      <c r="O1105" s="27">
        <f>IF($M1105="","",IF($F1105="Faltou",$M1105,0))</f>
        <v>0</v>
      </c>
      <c r="P1105" s="27">
        <f>IF($M1105="","",IF($F1105="Compareceu",MAX(0,$M1105-N($H1105)),0))</f>
        <v>0</v>
      </c>
      <c r="Q1105" s="19">
        <f>IF(AND($F1105="Compareceu",$E1105&lt;&gt;"",$A1105&lt;&gt;""),IF(IFERROR(INDEX(ProcRet,MATCH($E1105,ProcNome,0)),0)&gt;0,$A1105+INDEX(ProcRet,MATCH($E1105,ProcNome,0)),""),"")</f>
        <v>0</v>
      </c>
      <c r="R1105" s="26">
        <f>IF($Q1105="","",IF(COUNTIFS(AgPac,$D1105,AgData,"&gt;"&amp;$A1105,AgStatus,"&lt;&gt;Cancelado",AgStatus,"&lt;&gt;Remarcado")&gt;0,"Sim","Não"))</f>
        <v>0</v>
      </c>
      <c r="S1105" s="28">
        <f>IF($A1105="","",IF(AND($F1105="Agendado",$A1105-Hoje&gt;=0,$A1105-Hoje&lt;=DiasConf),"CONFIRMAR",IF(AND($A1105&lt;Hoje,OR($F1105="Agendado",$F1105="Confirmado")),"Atualizar status",IF(AND($F1105="Compareceu",$P1105&gt;0.005),"Cobrar",IF($F1105="Faltou","Falta: reagendar","")))))</f>
        <v>0</v>
      </c>
      <c r="T1105" s="29">
        <f>IF($A1105="","",DATE(YEAR($A1105),MONTH($A1105),1))</f>
        <v>0</v>
      </c>
      <c r="U1105" s="30">
        <f>IF($S1105="CONFIRMAR",MAX($U$4:$U1104)+1,"")</f>
        <v>0</v>
      </c>
      <c r="V1105" s="30">
        <f>IF(AND($R1105="Não",$Q1105&lt;&gt;"",$Q1105&lt;=Hoje+JanelaRet,$Q1105&gt;=Hoje-60),MAX($V$4:$V1104)+1,"")</f>
        <v>0</v>
      </c>
    </row>
    <row r="1106" spans="1:22">
      <c r="A1106" s="16"/>
      <c r="B1106" s="23"/>
      <c r="C1106" s="15"/>
      <c r="D1106" s="15"/>
      <c r="E1106" s="15"/>
      <c r="F1106" s="24"/>
      <c r="G1106" s="17"/>
      <c r="H1106" s="17"/>
      <c r="I1106" s="15"/>
      <c r="J1106" s="25">
        <f>IF($D1106="","",IFERROR(INDEX(PacNome,MATCH($D1106,PacCod,0)),"Paciente não cadastrado"))</f>
        <v>0</v>
      </c>
      <c r="K1106" s="26">
        <f>IF($D1106="","",IFERROR(INDEX(PacConv,MATCH($D1106,PacCod,0))&amp;"",""))</f>
        <v>0</v>
      </c>
      <c r="L1106" s="26">
        <f>IF($A1106="","",CHOOSE(WEEKDAY($A1106,2),"Seg","Ter","Qua","Qui","Sex","Sáb","Dom"))</f>
        <v>0</v>
      </c>
      <c r="M1106" s="27">
        <f>IF($E1106="","",IF($G1106&lt;&gt;"",$G1106,IFERROR(INDEX(ProcValor,MATCH($E1106,ProcNome,0)),0)))</f>
        <v>0</v>
      </c>
      <c r="N1106" s="27">
        <f>IF($M1106="","",IF($F1106="Compareceu",$M1106,0))</f>
        <v>0</v>
      </c>
      <c r="O1106" s="27">
        <f>IF($M1106="","",IF($F1106="Faltou",$M1106,0))</f>
        <v>0</v>
      </c>
      <c r="P1106" s="27">
        <f>IF($M1106="","",IF($F1106="Compareceu",MAX(0,$M1106-N($H1106)),0))</f>
        <v>0</v>
      </c>
      <c r="Q1106" s="19">
        <f>IF(AND($F1106="Compareceu",$E1106&lt;&gt;"",$A1106&lt;&gt;""),IF(IFERROR(INDEX(ProcRet,MATCH($E1106,ProcNome,0)),0)&gt;0,$A1106+INDEX(ProcRet,MATCH($E1106,ProcNome,0)),""),"")</f>
        <v>0</v>
      </c>
      <c r="R1106" s="26">
        <f>IF($Q1106="","",IF(COUNTIFS(AgPac,$D1106,AgData,"&gt;"&amp;$A1106,AgStatus,"&lt;&gt;Cancelado",AgStatus,"&lt;&gt;Remarcado")&gt;0,"Sim","Não"))</f>
        <v>0</v>
      </c>
      <c r="S1106" s="28">
        <f>IF($A1106="","",IF(AND($F1106="Agendado",$A1106-Hoje&gt;=0,$A1106-Hoje&lt;=DiasConf),"CONFIRMAR",IF(AND($A1106&lt;Hoje,OR($F1106="Agendado",$F1106="Confirmado")),"Atualizar status",IF(AND($F1106="Compareceu",$P1106&gt;0.005),"Cobrar",IF($F1106="Faltou","Falta: reagendar","")))))</f>
        <v>0</v>
      </c>
      <c r="T1106" s="29">
        <f>IF($A1106="","",DATE(YEAR($A1106),MONTH($A1106),1))</f>
        <v>0</v>
      </c>
      <c r="U1106" s="30">
        <f>IF($S1106="CONFIRMAR",MAX($U$4:$U1105)+1,"")</f>
        <v>0</v>
      </c>
      <c r="V1106" s="30">
        <f>IF(AND($R1106="Não",$Q1106&lt;&gt;"",$Q1106&lt;=Hoje+JanelaRet,$Q1106&gt;=Hoje-60),MAX($V$4:$V1105)+1,"")</f>
        <v>0</v>
      </c>
    </row>
    <row r="1107" spans="1:22">
      <c r="A1107" s="16"/>
      <c r="B1107" s="23"/>
      <c r="C1107" s="15"/>
      <c r="D1107" s="15"/>
      <c r="E1107" s="15"/>
      <c r="F1107" s="24"/>
      <c r="G1107" s="17"/>
      <c r="H1107" s="17"/>
      <c r="I1107" s="15"/>
      <c r="J1107" s="25">
        <f>IF($D1107="","",IFERROR(INDEX(PacNome,MATCH($D1107,PacCod,0)),"Paciente não cadastrado"))</f>
        <v>0</v>
      </c>
      <c r="K1107" s="26">
        <f>IF($D1107="","",IFERROR(INDEX(PacConv,MATCH($D1107,PacCod,0))&amp;"",""))</f>
        <v>0</v>
      </c>
      <c r="L1107" s="26">
        <f>IF($A1107="","",CHOOSE(WEEKDAY($A1107,2),"Seg","Ter","Qua","Qui","Sex","Sáb","Dom"))</f>
        <v>0</v>
      </c>
      <c r="M1107" s="27">
        <f>IF($E1107="","",IF($G1107&lt;&gt;"",$G1107,IFERROR(INDEX(ProcValor,MATCH($E1107,ProcNome,0)),0)))</f>
        <v>0</v>
      </c>
      <c r="N1107" s="27">
        <f>IF($M1107="","",IF($F1107="Compareceu",$M1107,0))</f>
        <v>0</v>
      </c>
      <c r="O1107" s="27">
        <f>IF($M1107="","",IF($F1107="Faltou",$M1107,0))</f>
        <v>0</v>
      </c>
      <c r="P1107" s="27">
        <f>IF($M1107="","",IF($F1107="Compareceu",MAX(0,$M1107-N($H1107)),0))</f>
        <v>0</v>
      </c>
      <c r="Q1107" s="19">
        <f>IF(AND($F1107="Compareceu",$E1107&lt;&gt;"",$A1107&lt;&gt;""),IF(IFERROR(INDEX(ProcRet,MATCH($E1107,ProcNome,0)),0)&gt;0,$A1107+INDEX(ProcRet,MATCH($E1107,ProcNome,0)),""),"")</f>
        <v>0</v>
      </c>
      <c r="R1107" s="26">
        <f>IF($Q1107="","",IF(COUNTIFS(AgPac,$D1107,AgData,"&gt;"&amp;$A1107,AgStatus,"&lt;&gt;Cancelado",AgStatus,"&lt;&gt;Remarcado")&gt;0,"Sim","Não"))</f>
        <v>0</v>
      </c>
      <c r="S1107" s="28">
        <f>IF($A1107="","",IF(AND($F1107="Agendado",$A1107-Hoje&gt;=0,$A1107-Hoje&lt;=DiasConf),"CONFIRMAR",IF(AND($A1107&lt;Hoje,OR($F1107="Agendado",$F1107="Confirmado")),"Atualizar status",IF(AND($F1107="Compareceu",$P1107&gt;0.005),"Cobrar",IF($F1107="Faltou","Falta: reagendar","")))))</f>
        <v>0</v>
      </c>
      <c r="T1107" s="29">
        <f>IF($A1107="","",DATE(YEAR($A1107),MONTH($A1107),1))</f>
        <v>0</v>
      </c>
      <c r="U1107" s="30">
        <f>IF($S1107="CONFIRMAR",MAX($U$4:$U1106)+1,"")</f>
        <v>0</v>
      </c>
      <c r="V1107" s="30">
        <f>IF(AND($R1107="Não",$Q1107&lt;&gt;"",$Q1107&lt;=Hoje+JanelaRet,$Q1107&gt;=Hoje-60),MAX($V$4:$V1106)+1,"")</f>
        <v>0</v>
      </c>
    </row>
    <row r="1108" spans="1:22">
      <c r="A1108" s="16"/>
      <c r="B1108" s="23"/>
      <c r="C1108" s="15"/>
      <c r="D1108" s="15"/>
      <c r="E1108" s="15"/>
      <c r="F1108" s="24"/>
      <c r="G1108" s="17"/>
      <c r="H1108" s="17"/>
      <c r="I1108" s="15"/>
      <c r="J1108" s="25">
        <f>IF($D1108="","",IFERROR(INDEX(PacNome,MATCH($D1108,PacCod,0)),"Paciente não cadastrado"))</f>
        <v>0</v>
      </c>
      <c r="K1108" s="26">
        <f>IF($D1108="","",IFERROR(INDEX(PacConv,MATCH($D1108,PacCod,0))&amp;"",""))</f>
        <v>0</v>
      </c>
      <c r="L1108" s="26">
        <f>IF($A1108="","",CHOOSE(WEEKDAY($A1108,2),"Seg","Ter","Qua","Qui","Sex","Sáb","Dom"))</f>
        <v>0</v>
      </c>
      <c r="M1108" s="27">
        <f>IF($E1108="","",IF($G1108&lt;&gt;"",$G1108,IFERROR(INDEX(ProcValor,MATCH($E1108,ProcNome,0)),0)))</f>
        <v>0</v>
      </c>
      <c r="N1108" s="27">
        <f>IF($M1108="","",IF($F1108="Compareceu",$M1108,0))</f>
        <v>0</v>
      </c>
      <c r="O1108" s="27">
        <f>IF($M1108="","",IF($F1108="Faltou",$M1108,0))</f>
        <v>0</v>
      </c>
      <c r="P1108" s="27">
        <f>IF($M1108="","",IF($F1108="Compareceu",MAX(0,$M1108-N($H1108)),0))</f>
        <v>0</v>
      </c>
      <c r="Q1108" s="19">
        <f>IF(AND($F1108="Compareceu",$E1108&lt;&gt;"",$A1108&lt;&gt;""),IF(IFERROR(INDEX(ProcRet,MATCH($E1108,ProcNome,0)),0)&gt;0,$A1108+INDEX(ProcRet,MATCH($E1108,ProcNome,0)),""),"")</f>
        <v>0</v>
      </c>
      <c r="R1108" s="26">
        <f>IF($Q1108="","",IF(COUNTIFS(AgPac,$D1108,AgData,"&gt;"&amp;$A1108,AgStatus,"&lt;&gt;Cancelado",AgStatus,"&lt;&gt;Remarcado")&gt;0,"Sim","Não"))</f>
        <v>0</v>
      </c>
      <c r="S1108" s="28">
        <f>IF($A1108="","",IF(AND($F1108="Agendado",$A1108-Hoje&gt;=0,$A1108-Hoje&lt;=DiasConf),"CONFIRMAR",IF(AND($A1108&lt;Hoje,OR($F1108="Agendado",$F1108="Confirmado")),"Atualizar status",IF(AND($F1108="Compareceu",$P1108&gt;0.005),"Cobrar",IF($F1108="Faltou","Falta: reagendar","")))))</f>
        <v>0</v>
      </c>
      <c r="T1108" s="29">
        <f>IF($A1108="","",DATE(YEAR($A1108),MONTH($A1108),1))</f>
        <v>0</v>
      </c>
      <c r="U1108" s="30">
        <f>IF($S1108="CONFIRMAR",MAX($U$4:$U1107)+1,"")</f>
        <v>0</v>
      </c>
      <c r="V1108" s="30">
        <f>IF(AND($R1108="Não",$Q1108&lt;&gt;"",$Q1108&lt;=Hoje+JanelaRet,$Q1108&gt;=Hoje-60),MAX($V$4:$V1107)+1,"")</f>
        <v>0</v>
      </c>
    </row>
    <row r="1109" spans="1:22">
      <c r="A1109" s="16"/>
      <c r="B1109" s="23"/>
      <c r="C1109" s="15"/>
      <c r="D1109" s="15"/>
      <c r="E1109" s="15"/>
      <c r="F1109" s="24"/>
      <c r="G1109" s="17"/>
      <c r="H1109" s="17"/>
      <c r="I1109" s="15"/>
      <c r="J1109" s="25">
        <f>IF($D1109="","",IFERROR(INDEX(PacNome,MATCH($D1109,PacCod,0)),"Paciente não cadastrado"))</f>
        <v>0</v>
      </c>
      <c r="K1109" s="26">
        <f>IF($D1109="","",IFERROR(INDEX(PacConv,MATCH($D1109,PacCod,0))&amp;"",""))</f>
        <v>0</v>
      </c>
      <c r="L1109" s="26">
        <f>IF($A1109="","",CHOOSE(WEEKDAY($A1109,2),"Seg","Ter","Qua","Qui","Sex","Sáb","Dom"))</f>
        <v>0</v>
      </c>
      <c r="M1109" s="27">
        <f>IF($E1109="","",IF($G1109&lt;&gt;"",$G1109,IFERROR(INDEX(ProcValor,MATCH($E1109,ProcNome,0)),0)))</f>
        <v>0</v>
      </c>
      <c r="N1109" s="27">
        <f>IF($M1109="","",IF($F1109="Compareceu",$M1109,0))</f>
        <v>0</v>
      </c>
      <c r="O1109" s="27">
        <f>IF($M1109="","",IF($F1109="Faltou",$M1109,0))</f>
        <v>0</v>
      </c>
      <c r="P1109" s="27">
        <f>IF($M1109="","",IF($F1109="Compareceu",MAX(0,$M1109-N($H1109)),0))</f>
        <v>0</v>
      </c>
      <c r="Q1109" s="19">
        <f>IF(AND($F1109="Compareceu",$E1109&lt;&gt;"",$A1109&lt;&gt;""),IF(IFERROR(INDEX(ProcRet,MATCH($E1109,ProcNome,0)),0)&gt;0,$A1109+INDEX(ProcRet,MATCH($E1109,ProcNome,0)),""),"")</f>
        <v>0</v>
      </c>
      <c r="R1109" s="26">
        <f>IF($Q1109="","",IF(COUNTIFS(AgPac,$D1109,AgData,"&gt;"&amp;$A1109,AgStatus,"&lt;&gt;Cancelado",AgStatus,"&lt;&gt;Remarcado")&gt;0,"Sim","Não"))</f>
        <v>0</v>
      </c>
      <c r="S1109" s="28">
        <f>IF($A1109="","",IF(AND($F1109="Agendado",$A1109-Hoje&gt;=0,$A1109-Hoje&lt;=DiasConf),"CONFIRMAR",IF(AND($A1109&lt;Hoje,OR($F1109="Agendado",$F1109="Confirmado")),"Atualizar status",IF(AND($F1109="Compareceu",$P1109&gt;0.005),"Cobrar",IF($F1109="Faltou","Falta: reagendar","")))))</f>
        <v>0</v>
      </c>
      <c r="T1109" s="29">
        <f>IF($A1109="","",DATE(YEAR($A1109),MONTH($A1109),1))</f>
        <v>0</v>
      </c>
      <c r="U1109" s="30">
        <f>IF($S1109="CONFIRMAR",MAX($U$4:$U1108)+1,"")</f>
        <v>0</v>
      </c>
      <c r="V1109" s="30">
        <f>IF(AND($R1109="Não",$Q1109&lt;&gt;"",$Q1109&lt;=Hoje+JanelaRet,$Q1109&gt;=Hoje-60),MAX($V$4:$V1108)+1,"")</f>
        <v>0</v>
      </c>
    </row>
    <row r="1110" spans="1:22">
      <c r="A1110" s="16"/>
      <c r="B1110" s="23"/>
      <c r="C1110" s="15"/>
      <c r="D1110" s="15"/>
      <c r="E1110" s="15"/>
      <c r="F1110" s="24"/>
      <c r="G1110" s="17"/>
      <c r="H1110" s="17"/>
      <c r="I1110" s="15"/>
      <c r="J1110" s="25">
        <f>IF($D1110="","",IFERROR(INDEX(PacNome,MATCH($D1110,PacCod,0)),"Paciente não cadastrado"))</f>
        <v>0</v>
      </c>
      <c r="K1110" s="26">
        <f>IF($D1110="","",IFERROR(INDEX(PacConv,MATCH($D1110,PacCod,0))&amp;"",""))</f>
        <v>0</v>
      </c>
      <c r="L1110" s="26">
        <f>IF($A1110="","",CHOOSE(WEEKDAY($A1110,2),"Seg","Ter","Qua","Qui","Sex","Sáb","Dom"))</f>
        <v>0</v>
      </c>
      <c r="M1110" s="27">
        <f>IF($E1110="","",IF($G1110&lt;&gt;"",$G1110,IFERROR(INDEX(ProcValor,MATCH($E1110,ProcNome,0)),0)))</f>
        <v>0</v>
      </c>
      <c r="N1110" s="27">
        <f>IF($M1110="","",IF($F1110="Compareceu",$M1110,0))</f>
        <v>0</v>
      </c>
      <c r="O1110" s="27">
        <f>IF($M1110="","",IF($F1110="Faltou",$M1110,0))</f>
        <v>0</v>
      </c>
      <c r="P1110" s="27">
        <f>IF($M1110="","",IF($F1110="Compareceu",MAX(0,$M1110-N($H1110)),0))</f>
        <v>0</v>
      </c>
      <c r="Q1110" s="19">
        <f>IF(AND($F1110="Compareceu",$E1110&lt;&gt;"",$A1110&lt;&gt;""),IF(IFERROR(INDEX(ProcRet,MATCH($E1110,ProcNome,0)),0)&gt;0,$A1110+INDEX(ProcRet,MATCH($E1110,ProcNome,0)),""),"")</f>
        <v>0</v>
      </c>
      <c r="R1110" s="26">
        <f>IF($Q1110="","",IF(COUNTIFS(AgPac,$D1110,AgData,"&gt;"&amp;$A1110,AgStatus,"&lt;&gt;Cancelado",AgStatus,"&lt;&gt;Remarcado")&gt;0,"Sim","Não"))</f>
        <v>0</v>
      </c>
      <c r="S1110" s="28">
        <f>IF($A1110="","",IF(AND($F1110="Agendado",$A1110-Hoje&gt;=0,$A1110-Hoje&lt;=DiasConf),"CONFIRMAR",IF(AND($A1110&lt;Hoje,OR($F1110="Agendado",$F1110="Confirmado")),"Atualizar status",IF(AND($F1110="Compareceu",$P1110&gt;0.005),"Cobrar",IF($F1110="Faltou","Falta: reagendar","")))))</f>
        <v>0</v>
      </c>
      <c r="T1110" s="29">
        <f>IF($A1110="","",DATE(YEAR($A1110),MONTH($A1110),1))</f>
        <v>0</v>
      </c>
      <c r="U1110" s="30">
        <f>IF($S1110="CONFIRMAR",MAX($U$4:$U1109)+1,"")</f>
        <v>0</v>
      </c>
      <c r="V1110" s="30">
        <f>IF(AND($R1110="Não",$Q1110&lt;&gt;"",$Q1110&lt;=Hoje+JanelaRet,$Q1110&gt;=Hoje-60),MAX($V$4:$V1109)+1,"")</f>
        <v>0</v>
      </c>
    </row>
    <row r="1111" spans="1:22">
      <c r="A1111" s="16"/>
      <c r="B1111" s="23"/>
      <c r="C1111" s="15"/>
      <c r="D1111" s="15"/>
      <c r="E1111" s="15"/>
      <c r="F1111" s="24"/>
      <c r="G1111" s="17"/>
      <c r="H1111" s="17"/>
      <c r="I1111" s="15"/>
      <c r="J1111" s="25">
        <f>IF($D1111="","",IFERROR(INDEX(PacNome,MATCH($D1111,PacCod,0)),"Paciente não cadastrado"))</f>
        <v>0</v>
      </c>
      <c r="K1111" s="26">
        <f>IF($D1111="","",IFERROR(INDEX(PacConv,MATCH($D1111,PacCod,0))&amp;"",""))</f>
        <v>0</v>
      </c>
      <c r="L1111" s="26">
        <f>IF($A1111="","",CHOOSE(WEEKDAY($A1111,2),"Seg","Ter","Qua","Qui","Sex","Sáb","Dom"))</f>
        <v>0</v>
      </c>
      <c r="M1111" s="27">
        <f>IF($E1111="","",IF($G1111&lt;&gt;"",$G1111,IFERROR(INDEX(ProcValor,MATCH($E1111,ProcNome,0)),0)))</f>
        <v>0</v>
      </c>
      <c r="N1111" s="27">
        <f>IF($M1111="","",IF($F1111="Compareceu",$M1111,0))</f>
        <v>0</v>
      </c>
      <c r="O1111" s="27">
        <f>IF($M1111="","",IF($F1111="Faltou",$M1111,0))</f>
        <v>0</v>
      </c>
      <c r="P1111" s="27">
        <f>IF($M1111="","",IF($F1111="Compareceu",MAX(0,$M1111-N($H1111)),0))</f>
        <v>0</v>
      </c>
      <c r="Q1111" s="19">
        <f>IF(AND($F1111="Compareceu",$E1111&lt;&gt;"",$A1111&lt;&gt;""),IF(IFERROR(INDEX(ProcRet,MATCH($E1111,ProcNome,0)),0)&gt;0,$A1111+INDEX(ProcRet,MATCH($E1111,ProcNome,0)),""),"")</f>
        <v>0</v>
      </c>
      <c r="R1111" s="26">
        <f>IF($Q1111="","",IF(COUNTIFS(AgPac,$D1111,AgData,"&gt;"&amp;$A1111,AgStatus,"&lt;&gt;Cancelado",AgStatus,"&lt;&gt;Remarcado")&gt;0,"Sim","Não"))</f>
        <v>0</v>
      </c>
      <c r="S1111" s="28">
        <f>IF($A1111="","",IF(AND($F1111="Agendado",$A1111-Hoje&gt;=0,$A1111-Hoje&lt;=DiasConf),"CONFIRMAR",IF(AND($A1111&lt;Hoje,OR($F1111="Agendado",$F1111="Confirmado")),"Atualizar status",IF(AND($F1111="Compareceu",$P1111&gt;0.005),"Cobrar",IF($F1111="Faltou","Falta: reagendar","")))))</f>
        <v>0</v>
      </c>
      <c r="T1111" s="29">
        <f>IF($A1111="","",DATE(YEAR($A1111),MONTH($A1111),1))</f>
        <v>0</v>
      </c>
      <c r="U1111" s="30">
        <f>IF($S1111="CONFIRMAR",MAX($U$4:$U1110)+1,"")</f>
        <v>0</v>
      </c>
      <c r="V1111" s="30">
        <f>IF(AND($R1111="Não",$Q1111&lt;&gt;"",$Q1111&lt;=Hoje+JanelaRet,$Q1111&gt;=Hoje-60),MAX($V$4:$V1110)+1,"")</f>
        <v>0</v>
      </c>
    </row>
    <row r="1112" spans="1:22">
      <c r="A1112" s="16"/>
      <c r="B1112" s="23"/>
      <c r="C1112" s="15"/>
      <c r="D1112" s="15"/>
      <c r="E1112" s="15"/>
      <c r="F1112" s="24"/>
      <c r="G1112" s="17"/>
      <c r="H1112" s="17"/>
      <c r="I1112" s="15"/>
      <c r="J1112" s="25">
        <f>IF($D1112="","",IFERROR(INDEX(PacNome,MATCH($D1112,PacCod,0)),"Paciente não cadastrado"))</f>
        <v>0</v>
      </c>
      <c r="K1112" s="26">
        <f>IF($D1112="","",IFERROR(INDEX(PacConv,MATCH($D1112,PacCod,0))&amp;"",""))</f>
        <v>0</v>
      </c>
      <c r="L1112" s="26">
        <f>IF($A1112="","",CHOOSE(WEEKDAY($A1112,2),"Seg","Ter","Qua","Qui","Sex","Sáb","Dom"))</f>
        <v>0</v>
      </c>
      <c r="M1112" s="27">
        <f>IF($E1112="","",IF($G1112&lt;&gt;"",$G1112,IFERROR(INDEX(ProcValor,MATCH($E1112,ProcNome,0)),0)))</f>
        <v>0</v>
      </c>
      <c r="N1112" s="27">
        <f>IF($M1112="","",IF($F1112="Compareceu",$M1112,0))</f>
        <v>0</v>
      </c>
      <c r="O1112" s="27">
        <f>IF($M1112="","",IF($F1112="Faltou",$M1112,0))</f>
        <v>0</v>
      </c>
      <c r="P1112" s="27">
        <f>IF($M1112="","",IF($F1112="Compareceu",MAX(0,$M1112-N($H1112)),0))</f>
        <v>0</v>
      </c>
      <c r="Q1112" s="19">
        <f>IF(AND($F1112="Compareceu",$E1112&lt;&gt;"",$A1112&lt;&gt;""),IF(IFERROR(INDEX(ProcRet,MATCH($E1112,ProcNome,0)),0)&gt;0,$A1112+INDEX(ProcRet,MATCH($E1112,ProcNome,0)),""),"")</f>
        <v>0</v>
      </c>
      <c r="R1112" s="26">
        <f>IF($Q1112="","",IF(COUNTIFS(AgPac,$D1112,AgData,"&gt;"&amp;$A1112,AgStatus,"&lt;&gt;Cancelado",AgStatus,"&lt;&gt;Remarcado")&gt;0,"Sim","Não"))</f>
        <v>0</v>
      </c>
      <c r="S1112" s="28">
        <f>IF($A1112="","",IF(AND($F1112="Agendado",$A1112-Hoje&gt;=0,$A1112-Hoje&lt;=DiasConf),"CONFIRMAR",IF(AND($A1112&lt;Hoje,OR($F1112="Agendado",$F1112="Confirmado")),"Atualizar status",IF(AND($F1112="Compareceu",$P1112&gt;0.005),"Cobrar",IF($F1112="Faltou","Falta: reagendar","")))))</f>
        <v>0</v>
      </c>
      <c r="T1112" s="29">
        <f>IF($A1112="","",DATE(YEAR($A1112),MONTH($A1112),1))</f>
        <v>0</v>
      </c>
      <c r="U1112" s="30">
        <f>IF($S1112="CONFIRMAR",MAX($U$4:$U1111)+1,"")</f>
        <v>0</v>
      </c>
      <c r="V1112" s="30">
        <f>IF(AND($R1112="Não",$Q1112&lt;&gt;"",$Q1112&lt;=Hoje+JanelaRet,$Q1112&gt;=Hoje-60),MAX($V$4:$V1111)+1,"")</f>
        <v>0</v>
      </c>
    </row>
    <row r="1113" spans="1:22">
      <c r="A1113" s="16"/>
      <c r="B1113" s="23"/>
      <c r="C1113" s="15"/>
      <c r="D1113" s="15"/>
      <c r="E1113" s="15"/>
      <c r="F1113" s="24"/>
      <c r="G1113" s="17"/>
      <c r="H1113" s="17"/>
      <c r="I1113" s="15"/>
      <c r="J1113" s="25">
        <f>IF($D1113="","",IFERROR(INDEX(PacNome,MATCH($D1113,PacCod,0)),"Paciente não cadastrado"))</f>
        <v>0</v>
      </c>
      <c r="K1113" s="26">
        <f>IF($D1113="","",IFERROR(INDEX(PacConv,MATCH($D1113,PacCod,0))&amp;"",""))</f>
        <v>0</v>
      </c>
      <c r="L1113" s="26">
        <f>IF($A1113="","",CHOOSE(WEEKDAY($A1113,2),"Seg","Ter","Qua","Qui","Sex","Sáb","Dom"))</f>
        <v>0</v>
      </c>
      <c r="M1113" s="27">
        <f>IF($E1113="","",IF($G1113&lt;&gt;"",$G1113,IFERROR(INDEX(ProcValor,MATCH($E1113,ProcNome,0)),0)))</f>
        <v>0</v>
      </c>
      <c r="N1113" s="27">
        <f>IF($M1113="","",IF($F1113="Compareceu",$M1113,0))</f>
        <v>0</v>
      </c>
      <c r="O1113" s="27">
        <f>IF($M1113="","",IF($F1113="Faltou",$M1113,0))</f>
        <v>0</v>
      </c>
      <c r="P1113" s="27">
        <f>IF($M1113="","",IF($F1113="Compareceu",MAX(0,$M1113-N($H1113)),0))</f>
        <v>0</v>
      </c>
      <c r="Q1113" s="19">
        <f>IF(AND($F1113="Compareceu",$E1113&lt;&gt;"",$A1113&lt;&gt;""),IF(IFERROR(INDEX(ProcRet,MATCH($E1113,ProcNome,0)),0)&gt;0,$A1113+INDEX(ProcRet,MATCH($E1113,ProcNome,0)),""),"")</f>
        <v>0</v>
      </c>
      <c r="R1113" s="26">
        <f>IF($Q1113="","",IF(COUNTIFS(AgPac,$D1113,AgData,"&gt;"&amp;$A1113,AgStatus,"&lt;&gt;Cancelado",AgStatus,"&lt;&gt;Remarcado")&gt;0,"Sim","Não"))</f>
        <v>0</v>
      </c>
      <c r="S1113" s="28">
        <f>IF($A1113="","",IF(AND($F1113="Agendado",$A1113-Hoje&gt;=0,$A1113-Hoje&lt;=DiasConf),"CONFIRMAR",IF(AND($A1113&lt;Hoje,OR($F1113="Agendado",$F1113="Confirmado")),"Atualizar status",IF(AND($F1113="Compareceu",$P1113&gt;0.005),"Cobrar",IF($F1113="Faltou","Falta: reagendar","")))))</f>
        <v>0</v>
      </c>
      <c r="T1113" s="29">
        <f>IF($A1113="","",DATE(YEAR($A1113),MONTH($A1113),1))</f>
        <v>0</v>
      </c>
      <c r="U1113" s="30">
        <f>IF($S1113="CONFIRMAR",MAX($U$4:$U1112)+1,"")</f>
        <v>0</v>
      </c>
      <c r="V1113" s="30">
        <f>IF(AND($R1113="Não",$Q1113&lt;&gt;"",$Q1113&lt;=Hoje+JanelaRet,$Q1113&gt;=Hoje-60),MAX($V$4:$V1112)+1,"")</f>
        <v>0</v>
      </c>
    </row>
    <row r="1114" spans="1:22">
      <c r="A1114" s="16"/>
      <c r="B1114" s="23"/>
      <c r="C1114" s="15"/>
      <c r="D1114" s="15"/>
      <c r="E1114" s="15"/>
      <c r="F1114" s="24"/>
      <c r="G1114" s="17"/>
      <c r="H1114" s="17"/>
      <c r="I1114" s="15"/>
      <c r="J1114" s="25">
        <f>IF($D1114="","",IFERROR(INDEX(PacNome,MATCH($D1114,PacCod,0)),"Paciente não cadastrado"))</f>
        <v>0</v>
      </c>
      <c r="K1114" s="26">
        <f>IF($D1114="","",IFERROR(INDEX(PacConv,MATCH($D1114,PacCod,0))&amp;"",""))</f>
        <v>0</v>
      </c>
      <c r="L1114" s="26">
        <f>IF($A1114="","",CHOOSE(WEEKDAY($A1114,2),"Seg","Ter","Qua","Qui","Sex","Sáb","Dom"))</f>
        <v>0</v>
      </c>
      <c r="M1114" s="27">
        <f>IF($E1114="","",IF($G1114&lt;&gt;"",$G1114,IFERROR(INDEX(ProcValor,MATCH($E1114,ProcNome,0)),0)))</f>
        <v>0</v>
      </c>
      <c r="N1114" s="27">
        <f>IF($M1114="","",IF($F1114="Compareceu",$M1114,0))</f>
        <v>0</v>
      </c>
      <c r="O1114" s="27">
        <f>IF($M1114="","",IF($F1114="Faltou",$M1114,0))</f>
        <v>0</v>
      </c>
      <c r="P1114" s="27">
        <f>IF($M1114="","",IF($F1114="Compareceu",MAX(0,$M1114-N($H1114)),0))</f>
        <v>0</v>
      </c>
      <c r="Q1114" s="19">
        <f>IF(AND($F1114="Compareceu",$E1114&lt;&gt;"",$A1114&lt;&gt;""),IF(IFERROR(INDEX(ProcRet,MATCH($E1114,ProcNome,0)),0)&gt;0,$A1114+INDEX(ProcRet,MATCH($E1114,ProcNome,0)),""),"")</f>
        <v>0</v>
      </c>
      <c r="R1114" s="26">
        <f>IF($Q1114="","",IF(COUNTIFS(AgPac,$D1114,AgData,"&gt;"&amp;$A1114,AgStatus,"&lt;&gt;Cancelado",AgStatus,"&lt;&gt;Remarcado")&gt;0,"Sim","Não"))</f>
        <v>0</v>
      </c>
      <c r="S1114" s="28">
        <f>IF($A1114="","",IF(AND($F1114="Agendado",$A1114-Hoje&gt;=0,$A1114-Hoje&lt;=DiasConf),"CONFIRMAR",IF(AND($A1114&lt;Hoje,OR($F1114="Agendado",$F1114="Confirmado")),"Atualizar status",IF(AND($F1114="Compareceu",$P1114&gt;0.005),"Cobrar",IF($F1114="Faltou","Falta: reagendar","")))))</f>
        <v>0</v>
      </c>
      <c r="T1114" s="29">
        <f>IF($A1114="","",DATE(YEAR($A1114),MONTH($A1114),1))</f>
        <v>0</v>
      </c>
      <c r="U1114" s="30">
        <f>IF($S1114="CONFIRMAR",MAX($U$4:$U1113)+1,"")</f>
        <v>0</v>
      </c>
      <c r="V1114" s="30">
        <f>IF(AND($R1114="Não",$Q1114&lt;&gt;"",$Q1114&lt;=Hoje+JanelaRet,$Q1114&gt;=Hoje-60),MAX($V$4:$V1113)+1,"")</f>
        <v>0</v>
      </c>
    </row>
    <row r="1115" spans="1:22">
      <c r="A1115" s="16"/>
      <c r="B1115" s="23"/>
      <c r="C1115" s="15"/>
      <c r="D1115" s="15"/>
      <c r="E1115" s="15"/>
      <c r="F1115" s="24"/>
      <c r="G1115" s="17"/>
      <c r="H1115" s="17"/>
      <c r="I1115" s="15"/>
      <c r="J1115" s="25">
        <f>IF($D1115="","",IFERROR(INDEX(PacNome,MATCH($D1115,PacCod,0)),"Paciente não cadastrado"))</f>
        <v>0</v>
      </c>
      <c r="K1115" s="26">
        <f>IF($D1115="","",IFERROR(INDEX(PacConv,MATCH($D1115,PacCod,0))&amp;"",""))</f>
        <v>0</v>
      </c>
      <c r="L1115" s="26">
        <f>IF($A1115="","",CHOOSE(WEEKDAY($A1115,2),"Seg","Ter","Qua","Qui","Sex","Sáb","Dom"))</f>
        <v>0</v>
      </c>
      <c r="M1115" s="27">
        <f>IF($E1115="","",IF($G1115&lt;&gt;"",$G1115,IFERROR(INDEX(ProcValor,MATCH($E1115,ProcNome,0)),0)))</f>
        <v>0</v>
      </c>
      <c r="N1115" s="27">
        <f>IF($M1115="","",IF($F1115="Compareceu",$M1115,0))</f>
        <v>0</v>
      </c>
      <c r="O1115" s="27">
        <f>IF($M1115="","",IF($F1115="Faltou",$M1115,0))</f>
        <v>0</v>
      </c>
      <c r="P1115" s="27">
        <f>IF($M1115="","",IF($F1115="Compareceu",MAX(0,$M1115-N($H1115)),0))</f>
        <v>0</v>
      </c>
      <c r="Q1115" s="19">
        <f>IF(AND($F1115="Compareceu",$E1115&lt;&gt;"",$A1115&lt;&gt;""),IF(IFERROR(INDEX(ProcRet,MATCH($E1115,ProcNome,0)),0)&gt;0,$A1115+INDEX(ProcRet,MATCH($E1115,ProcNome,0)),""),"")</f>
        <v>0</v>
      </c>
      <c r="R1115" s="26">
        <f>IF($Q1115="","",IF(COUNTIFS(AgPac,$D1115,AgData,"&gt;"&amp;$A1115,AgStatus,"&lt;&gt;Cancelado",AgStatus,"&lt;&gt;Remarcado")&gt;0,"Sim","Não"))</f>
        <v>0</v>
      </c>
      <c r="S1115" s="28">
        <f>IF($A1115="","",IF(AND($F1115="Agendado",$A1115-Hoje&gt;=0,$A1115-Hoje&lt;=DiasConf),"CONFIRMAR",IF(AND($A1115&lt;Hoje,OR($F1115="Agendado",$F1115="Confirmado")),"Atualizar status",IF(AND($F1115="Compareceu",$P1115&gt;0.005),"Cobrar",IF($F1115="Faltou","Falta: reagendar","")))))</f>
        <v>0</v>
      </c>
      <c r="T1115" s="29">
        <f>IF($A1115="","",DATE(YEAR($A1115),MONTH($A1115),1))</f>
        <v>0</v>
      </c>
      <c r="U1115" s="30">
        <f>IF($S1115="CONFIRMAR",MAX($U$4:$U1114)+1,"")</f>
        <v>0</v>
      </c>
      <c r="V1115" s="30">
        <f>IF(AND($R1115="Não",$Q1115&lt;&gt;"",$Q1115&lt;=Hoje+JanelaRet,$Q1115&gt;=Hoje-60),MAX($V$4:$V1114)+1,"")</f>
        <v>0</v>
      </c>
    </row>
    <row r="1116" spans="1:22">
      <c r="A1116" s="16"/>
      <c r="B1116" s="23"/>
      <c r="C1116" s="15"/>
      <c r="D1116" s="15"/>
      <c r="E1116" s="15"/>
      <c r="F1116" s="24"/>
      <c r="G1116" s="17"/>
      <c r="H1116" s="17"/>
      <c r="I1116" s="15"/>
      <c r="J1116" s="25">
        <f>IF($D1116="","",IFERROR(INDEX(PacNome,MATCH($D1116,PacCod,0)),"Paciente não cadastrado"))</f>
        <v>0</v>
      </c>
      <c r="K1116" s="26">
        <f>IF($D1116="","",IFERROR(INDEX(PacConv,MATCH($D1116,PacCod,0))&amp;"",""))</f>
        <v>0</v>
      </c>
      <c r="L1116" s="26">
        <f>IF($A1116="","",CHOOSE(WEEKDAY($A1116,2),"Seg","Ter","Qua","Qui","Sex","Sáb","Dom"))</f>
        <v>0</v>
      </c>
      <c r="M1116" s="27">
        <f>IF($E1116="","",IF($G1116&lt;&gt;"",$G1116,IFERROR(INDEX(ProcValor,MATCH($E1116,ProcNome,0)),0)))</f>
        <v>0</v>
      </c>
      <c r="N1116" s="27">
        <f>IF($M1116="","",IF($F1116="Compareceu",$M1116,0))</f>
        <v>0</v>
      </c>
      <c r="O1116" s="27">
        <f>IF($M1116="","",IF($F1116="Faltou",$M1116,0))</f>
        <v>0</v>
      </c>
      <c r="P1116" s="27">
        <f>IF($M1116="","",IF($F1116="Compareceu",MAX(0,$M1116-N($H1116)),0))</f>
        <v>0</v>
      </c>
      <c r="Q1116" s="19">
        <f>IF(AND($F1116="Compareceu",$E1116&lt;&gt;"",$A1116&lt;&gt;""),IF(IFERROR(INDEX(ProcRet,MATCH($E1116,ProcNome,0)),0)&gt;0,$A1116+INDEX(ProcRet,MATCH($E1116,ProcNome,0)),""),"")</f>
        <v>0</v>
      </c>
      <c r="R1116" s="26">
        <f>IF($Q1116="","",IF(COUNTIFS(AgPac,$D1116,AgData,"&gt;"&amp;$A1116,AgStatus,"&lt;&gt;Cancelado",AgStatus,"&lt;&gt;Remarcado")&gt;0,"Sim","Não"))</f>
        <v>0</v>
      </c>
      <c r="S1116" s="28">
        <f>IF($A1116="","",IF(AND($F1116="Agendado",$A1116-Hoje&gt;=0,$A1116-Hoje&lt;=DiasConf),"CONFIRMAR",IF(AND($A1116&lt;Hoje,OR($F1116="Agendado",$F1116="Confirmado")),"Atualizar status",IF(AND($F1116="Compareceu",$P1116&gt;0.005),"Cobrar",IF($F1116="Faltou","Falta: reagendar","")))))</f>
        <v>0</v>
      </c>
      <c r="T1116" s="29">
        <f>IF($A1116="","",DATE(YEAR($A1116),MONTH($A1116),1))</f>
        <v>0</v>
      </c>
      <c r="U1116" s="30">
        <f>IF($S1116="CONFIRMAR",MAX($U$4:$U1115)+1,"")</f>
        <v>0</v>
      </c>
      <c r="V1116" s="30">
        <f>IF(AND($R1116="Não",$Q1116&lt;&gt;"",$Q1116&lt;=Hoje+JanelaRet,$Q1116&gt;=Hoje-60),MAX($V$4:$V1115)+1,"")</f>
        <v>0</v>
      </c>
    </row>
    <row r="1117" spans="1:22">
      <c r="A1117" s="16"/>
      <c r="B1117" s="23"/>
      <c r="C1117" s="15"/>
      <c r="D1117" s="15"/>
      <c r="E1117" s="15"/>
      <c r="F1117" s="24"/>
      <c r="G1117" s="17"/>
      <c r="H1117" s="17"/>
      <c r="I1117" s="15"/>
      <c r="J1117" s="25">
        <f>IF($D1117="","",IFERROR(INDEX(PacNome,MATCH($D1117,PacCod,0)),"Paciente não cadastrado"))</f>
        <v>0</v>
      </c>
      <c r="K1117" s="26">
        <f>IF($D1117="","",IFERROR(INDEX(PacConv,MATCH($D1117,PacCod,0))&amp;"",""))</f>
        <v>0</v>
      </c>
      <c r="L1117" s="26">
        <f>IF($A1117="","",CHOOSE(WEEKDAY($A1117,2),"Seg","Ter","Qua","Qui","Sex","Sáb","Dom"))</f>
        <v>0</v>
      </c>
      <c r="M1117" s="27">
        <f>IF($E1117="","",IF($G1117&lt;&gt;"",$G1117,IFERROR(INDEX(ProcValor,MATCH($E1117,ProcNome,0)),0)))</f>
        <v>0</v>
      </c>
      <c r="N1117" s="27">
        <f>IF($M1117="","",IF($F1117="Compareceu",$M1117,0))</f>
        <v>0</v>
      </c>
      <c r="O1117" s="27">
        <f>IF($M1117="","",IF($F1117="Faltou",$M1117,0))</f>
        <v>0</v>
      </c>
      <c r="P1117" s="27">
        <f>IF($M1117="","",IF($F1117="Compareceu",MAX(0,$M1117-N($H1117)),0))</f>
        <v>0</v>
      </c>
      <c r="Q1117" s="19">
        <f>IF(AND($F1117="Compareceu",$E1117&lt;&gt;"",$A1117&lt;&gt;""),IF(IFERROR(INDEX(ProcRet,MATCH($E1117,ProcNome,0)),0)&gt;0,$A1117+INDEX(ProcRet,MATCH($E1117,ProcNome,0)),""),"")</f>
        <v>0</v>
      </c>
      <c r="R1117" s="26">
        <f>IF($Q1117="","",IF(COUNTIFS(AgPac,$D1117,AgData,"&gt;"&amp;$A1117,AgStatus,"&lt;&gt;Cancelado",AgStatus,"&lt;&gt;Remarcado")&gt;0,"Sim","Não"))</f>
        <v>0</v>
      </c>
      <c r="S1117" s="28">
        <f>IF($A1117="","",IF(AND($F1117="Agendado",$A1117-Hoje&gt;=0,$A1117-Hoje&lt;=DiasConf),"CONFIRMAR",IF(AND($A1117&lt;Hoje,OR($F1117="Agendado",$F1117="Confirmado")),"Atualizar status",IF(AND($F1117="Compareceu",$P1117&gt;0.005),"Cobrar",IF($F1117="Faltou","Falta: reagendar","")))))</f>
        <v>0</v>
      </c>
      <c r="T1117" s="29">
        <f>IF($A1117="","",DATE(YEAR($A1117),MONTH($A1117),1))</f>
        <v>0</v>
      </c>
      <c r="U1117" s="30">
        <f>IF($S1117="CONFIRMAR",MAX($U$4:$U1116)+1,"")</f>
        <v>0</v>
      </c>
      <c r="V1117" s="30">
        <f>IF(AND($R1117="Não",$Q1117&lt;&gt;"",$Q1117&lt;=Hoje+JanelaRet,$Q1117&gt;=Hoje-60),MAX($V$4:$V1116)+1,"")</f>
        <v>0</v>
      </c>
    </row>
    <row r="1118" spans="1:22">
      <c r="A1118" s="16"/>
      <c r="B1118" s="23"/>
      <c r="C1118" s="15"/>
      <c r="D1118" s="15"/>
      <c r="E1118" s="15"/>
      <c r="F1118" s="24"/>
      <c r="G1118" s="17"/>
      <c r="H1118" s="17"/>
      <c r="I1118" s="15"/>
      <c r="J1118" s="25">
        <f>IF($D1118="","",IFERROR(INDEX(PacNome,MATCH($D1118,PacCod,0)),"Paciente não cadastrado"))</f>
        <v>0</v>
      </c>
      <c r="K1118" s="26">
        <f>IF($D1118="","",IFERROR(INDEX(PacConv,MATCH($D1118,PacCod,0))&amp;"",""))</f>
        <v>0</v>
      </c>
      <c r="L1118" s="26">
        <f>IF($A1118="","",CHOOSE(WEEKDAY($A1118,2),"Seg","Ter","Qua","Qui","Sex","Sáb","Dom"))</f>
        <v>0</v>
      </c>
      <c r="M1118" s="27">
        <f>IF($E1118="","",IF($G1118&lt;&gt;"",$G1118,IFERROR(INDEX(ProcValor,MATCH($E1118,ProcNome,0)),0)))</f>
        <v>0</v>
      </c>
      <c r="N1118" s="27">
        <f>IF($M1118="","",IF($F1118="Compareceu",$M1118,0))</f>
        <v>0</v>
      </c>
      <c r="O1118" s="27">
        <f>IF($M1118="","",IF($F1118="Faltou",$M1118,0))</f>
        <v>0</v>
      </c>
      <c r="P1118" s="27">
        <f>IF($M1118="","",IF($F1118="Compareceu",MAX(0,$M1118-N($H1118)),0))</f>
        <v>0</v>
      </c>
      <c r="Q1118" s="19">
        <f>IF(AND($F1118="Compareceu",$E1118&lt;&gt;"",$A1118&lt;&gt;""),IF(IFERROR(INDEX(ProcRet,MATCH($E1118,ProcNome,0)),0)&gt;0,$A1118+INDEX(ProcRet,MATCH($E1118,ProcNome,0)),""),"")</f>
        <v>0</v>
      </c>
      <c r="R1118" s="26">
        <f>IF($Q1118="","",IF(COUNTIFS(AgPac,$D1118,AgData,"&gt;"&amp;$A1118,AgStatus,"&lt;&gt;Cancelado",AgStatus,"&lt;&gt;Remarcado")&gt;0,"Sim","Não"))</f>
        <v>0</v>
      </c>
      <c r="S1118" s="28">
        <f>IF($A1118="","",IF(AND($F1118="Agendado",$A1118-Hoje&gt;=0,$A1118-Hoje&lt;=DiasConf),"CONFIRMAR",IF(AND($A1118&lt;Hoje,OR($F1118="Agendado",$F1118="Confirmado")),"Atualizar status",IF(AND($F1118="Compareceu",$P1118&gt;0.005),"Cobrar",IF($F1118="Faltou","Falta: reagendar","")))))</f>
        <v>0</v>
      </c>
      <c r="T1118" s="29">
        <f>IF($A1118="","",DATE(YEAR($A1118),MONTH($A1118),1))</f>
        <v>0</v>
      </c>
      <c r="U1118" s="30">
        <f>IF($S1118="CONFIRMAR",MAX($U$4:$U1117)+1,"")</f>
        <v>0</v>
      </c>
      <c r="V1118" s="30">
        <f>IF(AND($R1118="Não",$Q1118&lt;&gt;"",$Q1118&lt;=Hoje+JanelaRet,$Q1118&gt;=Hoje-60),MAX($V$4:$V1117)+1,"")</f>
        <v>0</v>
      </c>
    </row>
    <row r="1119" spans="1:22">
      <c r="A1119" s="16"/>
      <c r="B1119" s="23"/>
      <c r="C1119" s="15"/>
      <c r="D1119" s="15"/>
      <c r="E1119" s="15"/>
      <c r="F1119" s="24"/>
      <c r="G1119" s="17"/>
      <c r="H1119" s="17"/>
      <c r="I1119" s="15"/>
      <c r="J1119" s="25">
        <f>IF($D1119="","",IFERROR(INDEX(PacNome,MATCH($D1119,PacCod,0)),"Paciente não cadastrado"))</f>
        <v>0</v>
      </c>
      <c r="K1119" s="26">
        <f>IF($D1119="","",IFERROR(INDEX(PacConv,MATCH($D1119,PacCod,0))&amp;"",""))</f>
        <v>0</v>
      </c>
      <c r="L1119" s="26">
        <f>IF($A1119="","",CHOOSE(WEEKDAY($A1119,2),"Seg","Ter","Qua","Qui","Sex","Sáb","Dom"))</f>
        <v>0</v>
      </c>
      <c r="M1119" s="27">
        <f>IF($E1119="","",IF($G1119&lt;&gt;"",$G1119,IFERROR(INDEX(ProcValor,MATCH($E1119,ProcNome,0)),0)))</f>
        <v>0</v>
      </c>
      <c r="N1119" s="27">
        <f>IF($M1119="","",IF($F1119="Compareceu",$M1119,0))</f>
        <v>0</v>
      </c>
      <c r="O1119" s="27">
        <f>IF($M1119="","",IF($F1119="Faltou",$M1119,0))</f>
        <v>0</v>
      </c>
      <c r="P1119" s="27">
        <f>IF($M1119="","",IF($F1119="Compareceu",MAX(0,$M1119-N($H1119)),0))</f>
        <v>0</v>
      </c>
      <c r="Q1119" s="19">
        <f>IF(AND($F1119="Compareceu",$E1119&lt;&gt;"",$A1119&lt;&gt;""),IF(IFERROR(INDEX(ProcRet,MATCH($E1119,ProcNome,0)),0)&gt;0,$A1119+INDEX(ProcRet,MATCH($E1119,ProcNome,0)),""),"")</f>
        <v>0</v>
      </c>
      <c r="R1119" s="26">
        <f>IF($Q1119="","",IF(COUNTIFS(AgPac,$D1119,AgData,"&gt;"&amp;$A1119,AgStatus,"&lt;&gt;Cancelado",AgStatus,"&lt;&gt;Remarcado")&gt;0,"Sim","Não"))</f>
        <v>0</v>
      </c>
      <c r="S1119" s="28">
        <f>IF($A1119="","",IF(AND($F1119="Agendado",$A1119-Hoje&gt;=0,$A1119-Hoje&lt;=DiasConf),"CONFIRMAR",IF(AND($A1119&lt;Hoje,OR($F1119="Agendado",$F1119="Confirmado")),"Atualizar status",IF(AND($F1119="Compareceu",$P1119&gt;0.005),"Cobrar",IF($F1119="Faltou","Falta: reagendar","")))))</f>
        <v>0</v>
      </c>
      <c r="T1119" s="29">
        <f>IF($A1119="","",DATE(YEAR($A1119),MONTH($A1119),1))</f>
        <v>0</v>
      </c>
      <c r="U1119" s="30">
        <f>IF($S1119="CONFIRMAR",MAX($U$4:$U1118)+1,"")</f>
        <v>0</v>
      </c>
      <c r="V1119" s="30">
        <f>IF(AND($R1119="Não",$Q1119&lt;&gt;"",$Q1119&lt;=Hoje+JanelaRet,$Q1119&gt;=Hoje-60),MAX($V$4:$V1118)+1,"")</f>
        <v>0</v>
      </c>
    </row>
    <row r="1120" spans="1:22">
      <c r="A1120" s="16"/>
      <c r="B1120" s="23"/>
      <c r="C1120" s="15"/>
      <c r="D1120" s="15"/>
      <c r="E1120" s="15"/>
      <c r="F1120" s="24"/>
      <c r="G1120" s="17"/>
      <c r="H1120" s="17"/>
      <c r="I1120" s="15"/>
      <c r="J1120" s="25">
        <f>IF($D1120="","",IFERROR(INDEX(PacNome,MATCH($D1120,PacCod,0)),"Paciente não cadastrado"))</f>
        <v>0</v>
      </c>
      <c r="K1120" s="26">
        <f>IF($D1120="","",IFERROR(INDEX(PacConv,MATCH($D1120,PacCod,0))&amp;"",""))</f>
        <v>0</v>
      </c>
      <c r="L1120" s="26">
        <f>IF($A1120="","",CHOOSE(WEEKDAY($A1120,2),"Seg","Ter","Qua","Qui","Sex","Sáb","Dom"))</f>
        <v>0</v>
      </c>
      <c r="M1120" s="27">
        <f>IF($E1120="","",IF($G1120&lt;&gt;"",$G1120,IFERROR(INDEX(ProcValor,MATCH($E1120,ProcNome,0)),0)))</f>
        <v>0</v>
      </c>
      <c r="N1120" s="27">
        <f>IF($M1120="","",IF($F1120="Compareceu",$M1120,0))</f>
        <v>0</v>
      </c>
      <c r="O1120" s="27">
        <f>IF($M1120="","",IF($F1120="Faltou",$M1120,0))</f>
        <v>0</v>
      </c>
      <c r="P1120" s="27">
        <f>IF($M1120="","",IF($F1120="Compareceu",MAX(0,$M1120-N($H1120)),0))</f>
        <v>0</v>
      </c>
      <c r="Q1120" s="19">
        <f>IF(AND($F1120="Compareceu",$E1120&lt;&gt;"",$A1120&lt;&gt;""),IF(IFERROR(INDEX(ProcRet,MATCH($E1120,ProcNome,0)),0)&gt;0,$A1120+INDEX(ProcRet,MATCH($E1120,ProcNome,0)),""),"")</f>
        <v>0</v>
      </c>
      <c r="R1120" s="26">
        <f>IF($Q1120="","",IF(COUNTIFS(AgPac,$D1120,AgData,"&gt;"&amp;$A1120,AgStatus,"&lt;&gt;Cancelado",AgStatus,"&lt;&gt;Remarcado")&gt;0,"Sim","Não"))</f>
        <v>0</v>
      </c>
      <c r="S1120" s="28">
        <f>IF($A1120="","",IF(AND($F1120="Agendado",$A1120-Hoje&gt;=0,$A1120-Hoje&lt;=DiasConf),"CONFIRMAR",IF(AND($A1120&lt;Hoje,OR($F1120="Agendado",$F1120="Confirmado")),"Atualizar status",IF(AND($F1120="Compareceu",$P1120&gt;0.005),"Cobrar",IF($F1120="Faltou","Falta: reagendar","")))))</f>
        <v>0</v>
      </c>
      <c r="T1120" s="29">
        <f>IF($A1120="","",DATE(YEAR($A1120),MONTH($A1120),1))</f>
        <v>0</v>
      </c>
      <c r="U1120" s="30">
        <f>IF($S1120="CONFIRMAR",MAX($U$4:$U1119)+1,"")</f>
        <v>0</v>
      </c>
      <c r="V1120" s="30">
        <f>IF(AND($R1120="Não",$Q1120&lt;&gt;"",$Q1120&lt;=Hoje+JanelaRet,$Q1120&gt;=Hoje-60),MAX($V$4:$V1119)+1,"")</f>
        <v>0</v>
      </c>
    </row>
    <row r="1121" spans="1:22">
      <c r="A1121" s="16"/>
      <c r="B1121" s="23"/>
      <c r="C1121" s="15"/>
      <c r="D1121" s="15"/>
      <c r="E1121" s="15"/>
      <c r="F1121" s="24"/>
      <c r="G1121" s="17"/>
      <c r="H1121" s="17"/>
      <c r="I1121" s="15"/>
      <c r="J1121" s="25">
        <f>IF($D1121="","",IFERROR(INDEX(PacNome,MATCH($D1121,PacCod,0)),"Paciente não cadastrado"))</f>
        <v>0</v>
      </c>
      <c r="K1121" s="26">
        <f>IF($D1121="","",IFERROR(INDEX(PacConv,MATCH($D1121,PacCod,0))&amp;"",""))</f>
        <v>0</v>
      </c>
      <c r="L1121" s="26">
        <f>IF($A1121="","",CHOOSE(WEEKDAY($A1121,2),"Seg","Ter","Qua","Qui","Sex","Sáb","Dom"))</f>
        <v>0</v>
      </c>
      <c r="M1121" s="27">
        <f>IF($E1121="","",IF($G1121&lt;&gt;"",$G1121,IFERROR(INDEX(ProcValor,MATCH($E1121,ProcNome,0)),0)))</f>
        <v>0</v>
      </c>
      <c r="N1121" s="27">
        <f>IF($M1121="","",IF($F1121="Compareceu",$M1121,0))</f>
        <v>0</v>
      </c>
      <c r="O1121" s="27">
        <f>IF($M1121="","",IF($F1121="Faltou",$M1121,0))</f>
        <v>0</v>
      </c>
      <c r="P1121" s="27">
        <f>IF($M1121="","",IF($F1121="Compareceu",MAX(0,$M1121-N($H1121)),0))</f>
        <v>0</v>
      </c>
      <c r="Q1121" s="19">
        <f>IF(AND($F1121="Compareceu",$E1121&lt;&gt;"",$A1121&lt;&gt;""),IF(IFERROR(INDEX(ProcRet,MATCH($E1121,ProcNome,0)),0)&gt;0,$A1121+INDEX(ProcRet,MATCH($E1121,ProcNome,0)),""),"")</f>
        <v>0</v>
      </c>
      <c r="R1121" s="26">
        <f>IF($Q1121="","",IF(COUNTIFS(AgPac,$D1121,AgData,"&gt;"&amp;$A1121,AgStatus,"&lt;&gt;Cancelado",AgStatus,"&lt;&gt;Remarcado")&gt;0,"Sim","Não"))</f>
        <v>0</v>
      </c>
      <c r="S1121" s="28">
        <f>IF($A1121="","",IF(AND($F1121="Agendado",$A1121-Hoje&gt;=0,$A1121-Hoje&lt;=DiasConf),"CONFIRMAR",IF(AND($A1121&lt;Hoje,OR($F1121="Agendado",$F1121="Confirmado")),"Atualizar status",IF(AND($F1121="Compareceu",$P1121&gt;0.005),"Cobrar",IF($F1121="Faltou","Falta: reagendar","")))))</f>
        <v>0</v>
      </c>
      <c r="T1121" s="29">
        <f>IF($A1121="","",DATE(YEAR($A1121),MONTH($A1121),1))</f>
        <v>0</v>
      </c>
      <c r="U1121" s="30">
        <f>IF($S1121="CONFIRMAR",MAX($U$4:$U1120)+1,"")</f>
        <v>0</v>
      </c>
      <c r="V1121" s="30">
        <f>IF(AND($R1121="Não",$Q1121&lt;&gt;"",$Q1121&lt;=Hoje+JanelaRet,$Q1121&gt;=Hoje-60),MAX($V$4:$V1120)+1,"")</f>
        <v>0</v>
      </c>
    </row>
    <row r="1122" spans="1:22">
      <c r="A1122" s="16"/>
      <c r="B1122" s="23"/>
      <c r="C1122" s="15"/>
      <c r="D1122" s="15"/>
      <c r="E1122" s="15"/>
      <c r="F1122" s="24"/>
      <c r="G1122" s="17"/>
      <c r="H1122" s="17"/>
      <c r="I1122" s="15"/>
      <c r="J1122" s="25">
        <f>IF($D1122="","",IFERROR(INDEX(PacNome,MATCH($D1122,PacCod,0)),"Paciente não cadastrado"))</f>
        <v>0</v>
      </c>
      <c r="K1122" s="26">
        <f>IF($D1122="","",IFERROR(INDEX(PacConv,MATCH($D1122,PacCod,0))&amp;"",""))</f>
        <v>0</v>
      </c>
      <c r="L1122" s="26">
        <f>IF($A1122="","",CHOOSE(WEEKDAY($A1122,2),"Seg","Ter","Qua","Qui","Sex","Sáb","Dom"))</f>
        <v>0</v>
      </c>
      <c r="M1122" s="27">
        <f>IF($E1122="","",IF($G1122&lt;&gt;"",$G1122,IFERROR(INDEX(ProcValor,MATCH($E1122,ProcNome,0)),0)))</f>
        <v>0</v>
      </c>
      <c r="N1122" s="27">
        <f>IF($M1122="","",IF($F1122="Compareceu",$M1122,0))</f>
        <v>0</v>
      </c>
      <c r="O1122" s="27">
        <f>IF($M1122="","",IF($F1122="Faltou",$M1122,0))</f>
        <v>0</v>
      </c>
      <c r="P1122" s="27">
        <f>IF($M1122="","",IF($F1122="Compareceu",MAX(0,$M1122-N($H1122)),0))</f>
        <v>0</v>
      </c>
      <c r="Q1122" s="19">
        <f>IF(AND($F1122="Compareceu",$E1122&lt;&gt;"",$A1122&lt;&gt;""),IF(IFERROR(INDEX(ProcRet,MATCH($E1122,ProcNome,0)),0)&gt;0,$A1122+INDEX(ProcRet,MATCH($E1122,ProcNome,0)),""),"")</f>
        <v>0</v>
      </c>
      <c r="R1122" s="26">
        <f>IF($Q1122="","",IF(COUNTIFS(AgPac,$D1122,AgData,"&gt;"&amp;$A1122,AgStatus,"&lt;&gt;Cancelado",AgStatus,"&lt;&gt;Remarcado")&gt;0,"Sim","Não"))</f>
        <v>0</v>
      </c>
      <c r="S1122" s="28">
        <f>IF($A1122="","",IF(AND($F1122="Agendado",$A1122-Hoje&gt;=0,$A1122-Hoje&lt;=DiasConf),"CONFIRMAR",IF(AND($A1122&lt;Hoje,OR($F1122="Agendado",$F1122="Confirmado")),"Atualizar status",IF(AND($F1122="Compareceu",$P1122&gt;0.005),"Cobrar",IF($F1122="Faltou","Falta: reagendar","")))))</f>
        <v>0</v>
      </c>
      <c r="T1122" s="29">
        <f>IF($A1122="","",DATE(YEAR($A1122),MONTH($A1122),1))</f>
        <v>0</v>
      </c>
      <c r="U1122" s="30">
        <f>IF($S1122="CONFIRMAR",MAX($U$4:$U1121)+1,"")</f>
        <v>0</v>
      </c>
      <c r="V1122" s="30">
        <f>IF(AND($R1122="Não",$Q1122&lt;&gt;"",$Q1122&lt;=Hoje+JanelaRet,$Q1122&gt;=Hoje-60),MAX($V$4:$V1121)+1,"")</f>
        <v>0</v>
      </c>
    </row>
    <row r="1123" spans="1:22">
      <c r="A1123" s="16"/>
      <c r="B1123" s="23"/>
      <c r="C1123" s="15"/>
      <c r="D1123" s="15"/>
      <c r="E1123" s="15"/>
      <c r="F1123" s="24"/>
      <c r="G1123" s="17"/>
      <c r="H1123" s="17"/>
      <c r="I1123" s="15"/>
      <c r="J1123" s="25">
        <f>IF($D1123="","",IFERROR(INDEX(PacNome,MATCH($D1123,PacCod,0)),"Paciente não cadastrado"))</f>
        <v>0</v>
      </c>
      <c r="K1123" s="26">
        <f>IF($D1123="","",IFERROR(INDEX(PacConv,MATCH($D1123,PacCod,0))&amp;"",""))</f>
        <v>0</v>
      </c>
      <c r="L1123" s="26">
        <f>IF($A1123="","",CHOOSE(WEEKDAY($A1123,2),"Seg","Ter","Qua","Qui","Sex","Sáb","Dom"))</f>
        <v>0</v>
      </c>
      <c r="M1123" s="27">
        <f>IF($E1123="","",IF($G1123&lt;&gt;"",$G1123,IFERROR(INDEX(ProcValor,MATCH($E1123,ProcNome,0)),0)))</f>
        <v>0</v>
      </c>
      <c r="N1123" s="27">
        <f>IF($M1123="","",IF($F1123="Compareceu",$M1123,0))</f>
        <v>0</v>
      </c>
      <c r="O1123" s="27">
        <f>IF($M1123="","",IF($F1123="Faltou",$M1123,0))</f>
        <v>0</v>
      </c>
      <c r="P1123" s="27">
        <f>IF($M1123="","",IF($F1123="Compareceu",MAX(0,$M1123-N($H1123)),0))</f>
        <v>0</v>
      </c>
      <c r="Q1123" s="19">
        <f>IF(AND($F1123="Compareceu",$E1123&lt;&gt;"",$A1123&lt;&gt;""),IF(IFERROR(INDEX(ProcRet,MATCH($E1123,ProcNome,0)),0)&gt;0,$A1123+INDEX(ProcRet,MATCH($E1123,ProcNome,0)),""),"")</f>
        <v>0</v>
      </c>
      <c r="R1123" s="26">
        <f>IF($Q1123="","",IF(COUNTIFS(AgPac,$D1123,AgData,"&gt;"&amp;$A1123,AgStatus,"&lt;&gt;Cancelado",AgStatus,"&lt;&gt;Remarcado")&gt;0,"Sim","Não"))</f>
        <v>0</v>
      </c>
      <c r="S1123" s="28">
        <f>IF($A1123="","",IF(AND($F1123="Agendado",$A1123-Hoje&gt;=0,$A1123-Hoje&lt;=DiasConf),"CONFIRMAR",IF(AND($A1123&lt;Hoje,OR($F1123="Agendado",$F1123="Confirmado")),"Atualizar status",IF(AND($F1123="Compareceu",$P1123&gt;0.005),"Cobrar",IF($F1123="Faltou","Falta: reagendar","")))))</f>
        <v>0</v>
      </c>
      <c r="T1123" s="29">
        <f>IF($A1123="","",DATE(YEAR($A1123),MONTH($A1123),1))</f>
        <v>0</v>
      </c>
      <c r="U1123" s="30">
        <f>IF($S1123="CONFIRMAR",MAX($U$4:$U1122)+1,"")</f>
        <v>0</v>
      </c>
      <c r="V1123" s="30">
        <f>IF(AND($R1123="Não",$Q1123&lt;&gt;"",$Q1123&lt;=Hoje+JanelaRet,$Q1123&gt;=Hoje-60),MAX($V$4:$V1122)+1,"")</f>
        <v>0</v>
      </c>
    </row>
    <row r="1124" spans="1:22">
      <c r="A1124" s="16"/>
      <c r="B1124" s="23"/>
      <c r="C1124" s="15"/>
      <c r="D1124" s="15"/>
      <c r="E1124" s="15"/>
      <c r="F1124" s="24"/>
      <c r="G1124" s="17"/>
      <c r="H1124" s="17"/>
      <c r="I1124" s="15"/>
      <c r="J1124" s="25">
        <f>IF($D1124="","",IFERROR(INDEX(PacNome,MATCH($D1124,PacCod,0)),"Paciente não cadastrado"))</f>
        <v>0</v>
      </c>
      <c r="K1124" s="26">
        <f>IF($D1124="","",IFERROR(INDEX(PacConv,MATCH($D1124,PacCod,0))&amp;"",""))</f>
        <v>0</v>
      </c>
      <c r="L1124" s="26">
        <f>IF($A1124="","",CHOOSE(WEEKDAY($A1124,2),"Seg","Ter","Qua","Qui","Sex","Sáb","Dom"))</f>
        <v>0</v>
      </c>
      <c r="M1124" s="27">
        <f>IF($E1124="","",IF($G1124&lt;&gt;"",$G1124,IFERROR(INDEX(ProcValor,MATCH($E1124,ProcNome,0)),0)))</f>
        <v>0</v>
      </c>
      <c r="N1124" s="27">
        <f>IF($M1124="","",IF($F1124="Compareceu",$M1124,0))</f>
        <v>0</v>
      </c>
      <c r="O1124" s="27">
        <f>IF($M1124="","",IF($F1124="Faltou",$M1124,0))</f>
        <v>0</v>
      </c>
      <c r="P1124" s="27">
        <f>IF($M1124="","",IF($F1124="Compareceu",MAX(0,$M1124-N($H1124)),0))</f>
        <v>0</v>
      </c>
      <c r="Q1124" s="19">
        <f>IF(AND($F1124="Compareceu",$E1124&lt;&gt;"",$A1124&lt;&gt;""),IF(IFERROR(INDEX(ProcRet,MATCH($E1124,ProcNome,0)),0)&gt;0,$A1124+INDEX(ProcRet,MATCH($E1124,ProcNome,0)),""),"")</f>
        <v>0</v>
      </c>
      <c r="R1124" s="26">
        <f>IF($Q1124="","",IF(COUNTIFS(AgPac,$D1124,AgData,"&gt;"&amp;$A1124,AgStatus,"&lt;&gt;Cancelado",AgStatus,"&lt;&gt;Remarcado")&gt;0,"Sim","Não"))</f>
        <v>0</v>
      </c>
      <c r="S1124" s="28">
        <f>IF($A1124="","",IF(AND($F1124="Agendado",$A1124-Hoje&gt;=0,$A1124-Hoje&lt;=DiasConf),"CONFIRMAR",IF(AND($A1124&lt;Hoje,OR($F1124="Agendado",$F1124="Confirmado")),"Atualizar status",IF(AND($F1124="Compareceu",$P1124&gt;0.005),"Cobrar",IF($F1124="Faltou","Falta: reagendar","")))))</f>
        <v>0</v>
      </c>
      <c r="T1124" s="29">
        <f>IF($A1124="","",DATE(YEAR($A1124),MONTH($A1124),1))</f>
        <v>0</v>
      </c>
      <c r="U1124" s="30">
        <f>IF($S1124="CONFIRMAR",MAX($U$4:$U1123)+1,"")</f>
        <v>0</v>
      </c>
      <c r="V1124" s="30">
        <f>IF(AND($R1124="Não",$Q1124&lt;&gt;"",$Q1124&lt;=Hoje+JanelaRet,$Q1124&gt;=Hoje-60),MAX($V$4:$V1123)+1,"")</f>
        <v>0</v>
      </c>
    </row>
    <row r="1125" spans="1:22">
      <c r="A1125" s="16"/>
      <c r="B1125" s="23"/>
      <c r="C1125" s="15"/>
      <c r="D1125" s="15"/>
      <c r="E1125" s="15"/>
      <c r="F1125" s="24"/>
      <c r="G1125" s="17"/>
      <c r="H1125" s="17"/>
      <c r="I1125" s="15"/>
      <c r="J1125" s="25">
        <f>IF($D1125="","",IFERROR(INDEX(PacNome,MATCH($D1125,PacCod,0)),"Paciente não cadastrado"))</f>
        <v>0</v>
      </c>
      <c r="K1125" s="26">
        <f>IF($D1125="","",IFERROR(INDEX(PacConv,MATCH($D1125,PacCod,0))&amp;"",""))</f>
        <v>0</v>
      </c>
      <c r="L1125" s="26">
        <f>IF($A1125="","",CHOOSE(WEEKDAY($A1125,2),"Seg","Ter","Qua","Qui","Sex","Sáb","Dom"))</f>
        <v>0</v>
      </c>
      <c r="M1125" s="27">
        <f>IF($E1125="","",IF($G1125&lt;&gt;"",$G1125,IFERROR(INDEX(ProcValor,MATCH($E1125,ProcNome,0)),0)))</f>
        <v>0</v>
      </c>
      <c r="N1125" s="27">
        <f>IF($M1125="","",IF($F1125="Compareceu",$M1125,0))</f>
        <v>0</v>
      </c>
      <c r="O1125" s="27">
        <f>IF($M1125="","",IF($F1125="Faltou",$M1125,0))</f>
        <v>0</v>
      </c>
      <c r="P1125" s="27">
        <f>IF($M1125="","",IF($F1125="Compareceu",MAX(0,$M1125-N($H1125)),0))</f>
        <v>0</v>
      </c>
      <c r="Q1125" s="19">
        <f>IF(AND($F1125="Compareceu",$E1125&lt;&gt;"",$A1125&lt;&gt;""),IF(IFERROR(INDEX(ProcRet,MATCH($E1125,ProcNome,0)),0)&gt;0,$A1125+INDEX(ProcRet,MATCH($E1125,ProcNome,0)),""),"")</f>
        <v>0</v>
      </c>
      <c r="R1125" s="26">
        <f>IF($Q1125="","",IF(COUNTIFS(AgPac,$D1125,AgData,"&gt;"&amp;$A1125,AgStatus,"&lt;&gt;Cancelado",AgStatus,"&lt;&gt;Remarcado")&gt;0,"Sim","Não"))</f>
        <v>0</v>
      </c>
      <c r="S1125" s="28">
        <f>IF($A1125="","",IF(AND($F1125="Agendado",$A1125-Hoje&gt;=0,$A1125-Hoje&lt;=DiasConf),"CONFIRMAR",IF(AND($A1125&lt;Hoje,OR($F1125="Agendado",$F1125="Confirmado")),"Atualizar status",IF(AND($F1125="Compareceu",$P1125&gt;0.005),"Cobrar",IF($F1125="Faltou","Falta: reagendar","")))))</f>
        <v>0</v>
      </c>
      <c r="T1125" s="29">
        <f>IF($A1125="","",DATE(YEAR($A1125),MONTH($A1125),1))</f>
        <v>0</v>
      </c>
      <c r="U1125" s="30">
        <f>IF($S1125="CONFIRMAR",MAX($U$4:$U1124)+1,"")</f>
        <v>0</v>
      </c>
      <c r="V1125" s="30">
        <f>IF(AND($R1125="Não",$Q1125&lt;&gt;"",$Q1125&lt;=Hoje+JanelaRet,$Q1125&gt;=Hoje-60),MAX($V$4:$V1124)+1,"")</f>
        <v>0</v>
      </c>
    </row>
    <row r="1126" spans="1:22">
      <c r="A1126" s="16"/>
      <c r="B1126" s="23"/>
      <c r="C1126" s="15"/>
      <c r="D1126" s="15"/>
      <c r="E1126" s="15"/>
      <c r="F1126" s="24"/>
      <c r="G1126" s="17"/>
      <c r="H1126" s="17"/>
      <c r="I1126" s="15"/>
      <c r="J1126" s="25">
        <f>IF($D1126="","",IFERROR(INDEX(PacNome,MATCH($D1126,PacCod,0)),"Paciente não cadastrado"))</f>
        <v>0</v>
      </c>
      <c r="K1126" s="26">
        <f>IF($D1126="","",IFERROR(INDEX(PacConv,MATCH($D1126,PacCod,0))&amp;"",""))</f>
        <v>0</v>
      </c>
      <c r="L1126" s="26">
        <f>IF($A1126="","",CHOOSE(WEEKDAY($A1126,2),"Seg","Ter","Qua","Qui","Sex","Sáb","Dom"))</f>
        <v>0</v>
      </c>
      <c r="M1126" s="27">
        <f>IF($E1126="","",IF($G1126&lt;&gt;"",$G1126,IFERROR(INDEX(ProcValor,MATCH($E1126,ProcNome,0)),0)))</f>
        <v>0</v>
      </c>
      <c r="N1126" s="27">
        <f>IF($M1126="","",IF($F1126="Compareceu",$M1126,0))</f>
        <v>0</v>
      </c>
      <c r="O1126" s="27">
        <f>IF($M1126="","",IF($F1126="Faltou",$M1126,0))</f>
        <v>0</v>
      </c>
      <c r="P1126" s="27">
        <f>IF($M1126="","",IF($F1126="Compareceu",MAX(0,$M1126-N($H1126)),0))</f>
        <v>0</v>
      </c>
      <c r="Q1126" s="19">
        <f>IF(AND($F1126="Compareceu",$E1126&lt;&gt;"",$A1126&lt;&gt;""),IF(IFERROR(INDEX(ProcRet,MATCH($E1126,ProcNome,0)),0)&gt;0,$A1126+INDEX(ProcRet,MATCH($E1126,ProcNome,0)),""),"")</f>
        <v>0</v>
      </c>
      <c r="R1126" s="26">
        <f>IF($Q1126="","",IF(COUNTIFS(AgPac,$D1126,AgData,"&gt;"&amp;$A1126,AgStatus,"&lt;&gt;Cancelado",AgStatus,"&lt;&gt;Remarcado")&gt;0,"Sim","Não"))</f>
        <v>0</v>
      </c>
      <c r="S1126" s="28">
        <f>IF($A1126="","",IF(AND($F1126="Agendado",$A1126-Hoje&gt;=0,$A1126-Hoje&lt;=DiasConf),"CONFIRMAR",IF(AND($A1126&lt;Hoje,OR($F1126="Agendado",$F1126="Confirmado")),"Atualizar status",IF(AND($F1126="Compareceu",$P1126&gt;0.005),"Cobrar",IF($F1126="Faltou","Falta: reagendar","")))))</f>
        <v>0</v>
      </c>
      <c r="T1126" s="29">
        <f>IF($A1126="","",DATE(YEAR($A1126),MONTH($A1126),1))</f>
        <v>0</v>
      </c>
      <c r="U1126" s="30">
        <f>IF($S1126="CONFIRMAR",MAX($U$4:$U1125)+1,"")</f>
        <v>0</v>
      </c>
      <c r="V1126" s="30">
        <f>IF(AND($R1126="Não",$Q1126&lt;&gt;"",$Q1126&lt;=Hoje+JanelaRet,$Q1126&gt;=Hoje-60),MAX($V$4:$V1125)+1,"")</f>
        <v>0</v>
      </c>
    </row>
    <row r="1127" spans="1:22">
      <c r="A1127" s="16"/>
      <c r="B1127" s="23"/>
      <c r="C1127" s="15"/>
      <c r="D1127" s="15"/>
      <c r="E1127" s="15"/>
      <c r="F1127" s="24"/>
      <c r="G1127" s="17"/>
      <c r="H1127" s="17"/>
      <c r="I1127" s="15"/>
      <c r="J1127" s="25">
        <f>IF($D1127="","",IFERROR(INDEX(PacNome,MATCH($D1127,PacCod,0)),"Paciente não cadastrado"))</f>
        <v>0</v>
      </c>
      <c r="K1127" s="26">
        <f>IF($D1127="","",IFERROR(INDEX(PacConv,MATCH($D1127,PacCod,0))&amp;"",""))</f>
        <v>0</v>
      </c>
      <c r="L1127" s="26">
        <f>IF($A1127="","",CHOOSE(WEEKDAY($A1127,2),"Seg","Ter","Qua","Qui","Sex","Sáb","Dom"))</f>
        <v>0</v>
      </c>
      <c r="M1127" s="27">
        <f>IF($E1127="","",IF($G1127&lt;&gt;"",$G1127,IFERROR(INDEX(ProcValor,MATCH($E1127,ProcNome,0)),0)))</f>
        <v>0</v>
      </c>
      <c r="N1127" s="27">
        <f>IF($M1127="","",IF($F1127="Compareceu",$M1127,0))</f>
        <v>0</v>
      </c>
      <c r="O1127" s="27">
        <f>IF($M1127="","",IF($F1127="Faltou",$M1127,0))</f>
        <v>0</v>
      </c>
      <c r="P1127" s="27">
        <f>IF($M1127="","",IF($F1127="Compareceu",MAX(0,$M1127-N($H1127)),0))</f>
        <v>0</v>
      </c>
      <c r="Q1127" s="19">
        <f>IF(AND($F1127="Compareceu",$E1127&lt;&gt;"",$A1127&lt;&gt;""),IF(IFERROR(INDEX(ProcRet,MATCH($E1127,ProcNome,0)),0)&gt;0,$A1127+INDEX(ProcRet,MATCH($E1127,ProcNome,0)),""),"")</f>
        <v>0</v>
      </c>
      <c r="R1127" s="26">
        <f>IF($Q1127="","",IF(COUNTIFS(AgPac,$D1127,AgData,"&gt;"&amp;$A1127,AgStatus,"&lt;&gt;Cancelado",AgStatus,"&lt;&gt;Remarcado")&gt;0,"Sim","Não"))</f>
        <v>0</v>
      </c>
      <c r="S1127" s="28">
        <f>IF($A1127="","",IF(AND($F1127="Agendado",$A1127-Hoje&gt;=0,$A1127-Hoje&lt;=DiasConf),"CONFIRMAR",IF(AND($A1127&lt;Hoje,OR($F1127="Agendado",$F1127="Confirmado")),"Atualizar status",IF(AND($F1127="Compareceu",$P1127&gt;0.005),"Cobrar",IF($F1127="Faltou","Falta: reagendar","")))))</f>
        <v>0</v>
      </c>
      <c r="T1127" s="29">
        <f>IF($A1127="","",DATE(YEAR($A1127),MONTH($A1127),1))</f>
        <v>0</v>
      </c>
      <c r="U1127" s="30">
        <f>IF($S1127="CONFIRMAR",MAX($U$4:$U1126)+1,"")</f>
        <v>0</v>
      </c>
      <c r="V1127" s="30">
        <f>IF(AND($R1127="Não",$Q1127&lt;&gt;"",$Q1127&lt;=Hoje+JanelaRet,$Q1127&gt;=Hoje-60),MAX($V$4:$V1126)+1,"")</f>
        <v>0</v>
      </c>
    </row>
    <row r="1128" spans="1:22">
      <c r="A1128" s="16"/>
      <c r="B1128" s="23"/>
      <c r="C1128" s="15"/>
      <c r="D1128" s="15"/>
      <c r="E1128" s="15"/>
      <c r="F1128" s="24"/>
      <c r="G1128" s="17"/>
      <c r="H1128" s="17"/>
      <c r="I1128" s="15"/>
      <c r="J1128" s="25">
        <f>IF($D1128="","",IFERROR(INDEX(PacNome,MATCH($D1128,PacCod,0)),"Paciente não cadastrado"))</f>
        <v>0</v>
      </c>
      <c r="K1128" s="26">
        <f>IF($D1128="","",IFERROR(INDEX(PacConv,MATCH($D1128,PacCod,0))&amp;"",""))</f>
        <v>0</v>
      </c>
      <c r="L1128" s="26">
        <f>IF($A1128="","",CHOOSE(WEEKDAY($A1128,2),"Seg","Ter","Qua","Qui","Sex","Sáb","Dom"))</f>
        <v>0</v>
      </c>
      <c r="M1128" s="27">
        <f>IF($E1128="","",IF($G1128&lt;&gt;"",$G1128,IFERROR(INDEX(ProcValor,MATCH($E1128,ProcNome,0)),0)))</f>
        <v>0</v>
      </c>
      <c r="N1128" s="27">
        <f>IF($M1128="","",IF($F1128="Compareceu",$M1128,0))</f>
        <v>0</v>
      </c>
      <c r="O1128" s="27">
        <f>IF($M1128="","",IF($F1128="Faltou",$M1128,0))</f>
        <v>0</v>
      </c>
      <c r="P1128" s="27">
        <f>IF($M1128="","",IF($F1128="Compareceu",MAX(0,$M1128-N($H1128)),0))</f>
        <v>0</v>
      </c>
      <c r="Q1128" s="19">
        <f>IF(AND($F1128="Compareceu",$E1128&lt;&gt;"",$A1128&lt;&gt;""),IF(IFERROR(INDEX(ProcRet,MATCH($E1128,ProcNome,0)),0)&gt;0,$A1128+INDEX(ProcRet,MATCH($E1128,ProcNome,0)),""),"")</f>
        <v>0</v>
      </c>
      <c r="R1128" s="26">
        <f>IF($Q1128="","",IF(COUNTIFS(AgPac,$D1128,AgData,"&gt;"&amp;$A1128,AgStatus,"&lt;&gt;Cancelado",AgStatus,"&lt;&gt;Remarcado")&gt;0,"Sim","Não"))</f>
        <v>0</v>
      </c>
      <c r="S1128" s="28">
        <f>IF($A1128="","",IF(AND($F1128="Agendado",$A1128-Hoje&gt;=0,$A1128-Hoje&lt;=DiasConf),"CONFIRMAR",IF(AND($A1128&lt;Hoje,OR($F1128="Agendado",$F1128="Confirmado")),"Atualizar status",IF(AND($F1128="Compareceu",$P1128&gt;0.005),"Cobrar",IF($F1128="Faltou","Falta: reagendar","")))))</f>
        <v>0</v>
      </c>
      <c r="T1128" s="29">
        <f>IF($A1128="","",DATE(YEAR($A1128),MONTH($A1128),1))</f>
        <v>0</v>
      </c>
      <c r="U1128" s="30">
        <f>IF($S1128="CONFIRMAR",MAX($U$4:$U1127)+1,"")</f>
        <v>0</v>
      </c>
      <c r="V1128" s="30">
        <f>IF(AND($R1128="Não",$Q1128&lt;&gt;"",$Q1128&lt;=Hoje+JanelaRet,$Q1128&gt;=Hoje-60),MAX($V$4:$V1127)+1,"")</f>
        <v>0</v>
      </c>
    </row>
    <row r="1129" spans="1:22">
      <c r="A1129" s="16"/>
      <c r="B1129" s="23"/>
      <c r="C1129" s="15"/>
      <c r="D1129" s="15"/>
      <c r="E1129" s="15"/>
      <c r="F1129" s="24"/>
      <c r="G1129" s="17"/>
      <c r="H1129" s="17"/>
      <c r="I1129" s="15"/>
      <c r="J1129" s="25">
        <f>IF($D1129="","",IFERROR(INDEX(PacNome,MATCH($D1129,PacCod,0)),"Paciente não cadastrado"))</f>
        <v>0</v>
      </c>
      <c r="K1129" s="26">
        <f>IF($D1129="","",IFERROR(INDEX(PacConv,MATCH($D1129,PacCod,0))&amp;"",""))</f>
        <v>0</v>
      </c>
      <c r="L1129" s="26">
        <f>IF($A1129="","",CHOOSE(WEEKDAY($A1129,2),"Seg","Ter","Qua","Qui","Sex","Sáb","Dom"))</f>
        <v>0</v>
      </c>
      <c r="M1129" s="27">
        <f>IF($E1129="","",IF($G1129&lt;&gt;"",$G1129,IFERROR(INDEX(ProcValor,MATCH($E1129,ProcNome,0)),0)))</f>
        <v>0</v>
      </c>
      <c r="N1129" s="27">
        <f>IF($M1129="","",IF($F1129="Compareceu",$M1129,0))</f>
        <v>0</v>
      </c>
      <c r="O1129" s="27">
        <f>IF($M1129="","",IF($F1129="Faltou",$M1129,0))</f>
        <v>0</v>
      </c>
      <c r="P1129" s="27">
        <f>IF($M1129="","",IF($F1129="Compareceu",MAX(0,$M1129-N($H1129)),0))</f>
        <v>0</v>
      </c>
      <c r="Q1129" s="19">
        <f>IF(AND($F1129="Compareceu",$E1129&lt;&gt;"",$A1129&lt;&gt;""),IF(IFERROR(INDEX(ProcRet,MATCH($E1129,ProcNome,0)),0)&gt;0,$A1129+INDEX(ProcRet,MATCH($E1129,ProcNome,0)),""),"")</f>
        <v>0</v>
      </c>
      <c r="R1129" s="26">
        <f>IF($Q1129="","",IF(COUNTIFS(AgPac,$D1129,AgData,"&gt;"&amp;$A1129,AgStatus,"&lt;&gt;Cancelado",AgStatus,"&lt;&gt;Remarcado")&gt;0,"Sim","Não"))</f>
        <v>0</v>
      </c>
      <c r="S1129" s="28">
        <f>IF($A1129="","",IF(AND($F1129="Agendado",$A1129-Hoje&gt;=0,$A1129-Hoje&lt;=DiasConf),"CONFIRMAR",IF(AND($A1129&lt;Hoje,OR($F1129="Agendado",$F1129="Confirmado")),"Atualizar status",IF(AND($F1129="Compareceu",$P1129&gt;0.005),"Cobrar",IF($F1129="Faltou","Falta: reagendar","")))))</f>
        <v>0</v>
      </c>
      <c r="T1129" s="29">
        <f>IF($A1129="","",DATE(YEAR($A1129),MONTH($A1129),1))</f>
        <v>0</v>
      </c>
      <c r="U1129" s="30">
        <f>IF($S1129="CONFIRMAR",MAX($U$4:$U1128)+1,"")</f>
        <v>0</v>
      </c>
      <c r="V1129" s="30">
        <f>IF(AND($R1129="Não",$Q1129&lt;&gt;"",$Q1129&lt;=Hoje+JanelaRet,$Q1129&gt;=Hoje-60),MAX($V$4:$V1128)+1,"")</f>
        <v>0</v>
      </c>
    </row>
    <row r="1130" spans="1:22">
      <c r="A1130" s="16"/>
      <c r="B1130" s="23"/>
      <c r="C1130" s="15"/>
      <c r="D1130" s="15"/>
      <c r="E1130" s="15"/>
      <c r="F1130" s="24"/>
      <c r="G1130" s="17"/>
      <c r="H1130" s="17"/>
      <c r="I1130" s="15"/>
      <c r="J1130" s="25">
        <f>IF($D1130="","",IFERROR(INDEX(PacNome,MATCH($D1130,PacCod,0)),"Paciente não cadastrado"))</f>
        <v>0</v>
      </c>
      <c r="K1130" s="26">
        <f>IF($D1130="","",IFERROR(INDEX(PacConv,MATCH($D1130,PacCod,0))&amp;"",""))</f>
        <v>0</v>
      </c>
      <c r="L1130" s="26">
        <f>IF($A1130="","",CHOOSE(WEEKDAY($A1130,2),"Seg","Ter","Qua","Qui","Sex","Sáb","Dom"))</f>
        <v>0</v>
      </c>
      <c r="M1130" s="27">
        <f>IF($E1130="","",IF($G1130&lt;&gt;"",$G1130,IFERROR(INDEX(ProcValor,MATCH($E1130,ProcNome,0)),0)))</f>
        <v>0</v>
      </c>
      <c r="N1130" s="27">
        <f>IF($M1130="","",IF($F1130="Compareceu",$M1130,0))</f>
        <v>0</v>
      </c>
      <c r="O1130" s="27">
        <f>IF($M1130="","",IF($F1130="Faltou",$M1130,0))</f>
        <v>0</v>
      </c>
      <c r="P1130" s="27">
        <f>IF($M1130="","",IF($F1130="Compareceu",MAX(0,$M1130-N($H1130)),0))</f>
        <v>0</v>
      </c>
      <c r="Q1130" s="19">
        <f>IF(AND($F1130="Compareceu",$E1130&lt;&gt;"",$A1130&lt;&gt;""),IF(IFERROR(INDEX(ProcRet,MATCH($E1130,ProcNome,0)),0)&gt;0,$A1130+INDEX(ProcRet,MATCH($E1130,ProcNome,0)),""),"")</f>
        <v>0</v>
      </c>
      <c r="R1130" s="26">
        <f>IF($Q1130="","",IF(COUNTIFS(AgPac,$D1130,AgData,"&gt;"&amp;$A1130,AgStatus,"&lt;&gt;Cancelado",AgStatus,"&lt;&gt;Remarcado")&gt;0,"Sim","Não"))</f>
        <v>0</v>
      </c>
      <c r="S1130" s="28">
        <f>IF($A1130="","",IF(AND($F1130="Agendado",$A1130-Hoje&gt;=0,$A1130-Hoje&lt;=DiasConf),"CONFIRMAR",IF(AND($A1130&lt;Hoje,OR($F1130="Agendado",$F1130="Confirmado")),"Atualizar status",IF(AND($F1130="Compareceu",$P1130&gt;0.005),"Cobrar",IF($F1130="Faltou","Falta: reagendar","")))))</f>
        <v>0</v>
      </c>
      <c r="T1130" s="29">
        <f>IF($A1130="","",DATE(YEAR($A1130),MONTH($A1130),1))</f>
        <v>0</v>
      </c>
      <c r="U1130" s="30">
        <f>IF($S1130="CONFIRMAR",MAX($U$4:$U1129)+1,"")</f>
        <v>0</v>
      </c>
      <c r="V1130" s="30">
        <f>IF(AND($R1130="Não",$Q1130&lt;&gt;"",$Q1130&lt;=Hoje+JanelaRet,$Q1130&gt;=Hoje-60),MAX($V$4:$V1129)+1,"")</f>
        <v>0</v>
      </c>
    </row>
    <row r="1131" spans="1:22">
      <c r="A1131" s="16"/>
      <c r="B1131" s="23"/>
      <c r="C1131" s="15"/>
      <c r="D1131" s="15"/>
      <c r="E1131" s="15"/>
      <c r="F1131" s="24"/>
      <c r="G1131" s="17"/>
      <c r="H1131" s="17"/>
      <c r="I1131" s="15"/>
      <c r="J1131" s="25">
        <f>IF($D1131="","",IFERROR(INDEX(PacNome,MATCH($D1131,PacCod,0)),"Paciente não cadastrado"))</f>
        <v>0</v>
      </c>
      <c r="K1131" s="26">
        <f>IF($D1131="","",IFERROR(INDEX(PacConv,MATCH($D1131,PacCod,0))&amp;"",""))</f>
        <v>0</v>
      </c>
      <c r="L1131" s="26">
        <f>IF($A1131="","",CHOOSE(WEEKDAY($A1131,2),"Seg","Ter","Qua","Qui","Sex","Sáb","Dom"))</f>
        <v>0</v>
      </c>
      <c r="M1131" s="27">
        <f>IF($E1131="","",IF($G1131&lt;&gt;"",$G1131,IFERROR(INDEX(ProcValor,MATCH($E1131,ProcNome,0)),0)))</f>
        <v>0</v>
      </c>
      <c r="N1131" s="27">
        <f>IF($M1131="","",IF($F1131="Compareceu",$M1131,0))</f>
        <v>0</v>
      </c>
      <c r="O1131" s="27">
        <f>IF($M1131="","",IF($F1131="Faltou",$M1131,0))</f>
        <v>0</v>
      </c>
      <c r="P1131" s="27">
        <f>IF($M1131="","",IF($F1131="Compareceu",MAX(0,$M1131-N($H1131)),0))</f>
        <v>0</v>
      </c>
      <c r="Q1131" s="19">
        <f>IF(AND($F1131="Compareceu",$E1131&lt;&gt;"",$A1131&lt;&gt;""),IF(IFERROR(INDEX(ProcRet,MATCH($E1131,ProcNome,0)),0)&gt;0,$A1131+INDEX(ProcRet,MATCH($E1131,ProcNome,0)),""),"")</f>
        <v>0</v>
      </c>
      <c r="R1131" s="26">
        <f>IF($Q1131="","",IF(COUNTIFS(AgPac,$D1131,AgData,"&gt;"&amp;$A1131,AgStatus,"&lt;&gt;Cancelado",AgStatus,"&lt;&gt;Remarcado")&gt;0,"Sim","Não"))</f>
        <v>0</v>
      </c>
      <c r="S1131" s="28">
        <f>IF($A1131="","",IF(AND($F1131="Agendado",$A1131-Hoje&gt;=0,$A1131-Hoje&lt;=DiasConf),"CONFIRMAR",IF(AND($A1131&lt;Hoje,OR($F1131="Agendado",$F1131="Confirmado")),"Atualizar status",IF(AND($F1131="Compareceu",$P1131&gt;0.005),"Cobrar",IF($F1131="Faltou","Falta: reagendar","")))))</f>
        <v>0</v>
      </c>
      <c r="T1131" s="29">
        <f>IF($A1131="","",DATE(YEAR($A1131),MONTH($A1131),1))</f>
        <v>0</v>
      </c>
      <c r="U1131" s="30">
        <f>IF($S1131="CONFIRMAR",MAX($U$4:$U1130)+1,"")</f>
        <v>0</v>
      </c>
      <c r="V1131" s="30">
        <f>IF(AND($R1131="Não",$Q1131&lt;&gt;"",$Q1131&lt;=Hoje+JanelaRet,$Q1131&gt;=Hoje-60),MAX($V$4:$V1130)+1,"")</f>
        <v>0</v>
      </c>
    </row>
    <row r="1132" spans="1:22">
      <c r="A1132" s="16"/>
      <c r="B1132" s="23"/>
      <c r="C1132" s="15"/>
      <c r="D1132" s="15"/>
      <c r="E1132" s="15"/>
      <c r="F1132" s="24"/>
      <c r="G1132" s="17"/>
      <c r="H1132" s="17"/>
      <c r="I1132" s="15"/>
      <c r="J1132" s="25">
        <f>IF($D1132="","",IFERROR(INDEX(PacNome,MATCH($D1132,PacCod,0)),"Paciente não cadastrado"))</f>
        <v>0</v>
      </c>
      <c r="K1132" s="26">
        <f>IF($D1132="","",IFERROR(INDEX(PacConv,MATCH($D1132,PacCod,0))&amp;"",""))</f>
        <v>0</v>
      </c>
      <c r="L1132" s="26">
        <f>IF($A1132="","",CHOOSE(WEEKDAY($A1132,2),"Seg","Ter","Qua","Qui","Sex","Sáb","Dom"))</f>
        <v>0</v>
      </c>
      <c r="M1132" s="27">
        <f>IF($E1132="","",IF($G1132&lt;&gt;"",$G1132,IFERROR(INDEX(ProcValor,MATCH($E1132,ProcNome,0)),0)))</f>
        <v>0</v>
      </c>
      <c r="N1132" s="27">
        <f>IF($M1132="","",IF($F1132="Compareceu",$M1132,0))</f>
        <v>0</v>
      </c>
      <c r="O1132" s="27">
        <f>IF($M1132="","",IF($F1132="Faltou",$M1132,0))</f>
        <v>0</v>
      </c>
      <c r="P1132" s="27">
        <f>IF($M1132="","",IF($F1132="Compareceu",MAX(0,$M1132-N($H1132)),0))</f>
        <v>0</v>
      </c>
      <c r="Q1132" s="19">
        <f>IF(AND($F1132="Compareceu",$E1132&lt;&gt;"",$A1132&lt;&gt;""),IF(IFERROR(INDEX(ProcRet,MATCH($E1132,ProcNome,0)),0)&gt;0,$A1132+INDEX(ProcRet,MATCH($E1132,ProcNome,0)),""),"")</f>
        <v>0</v>
      </c>
      <c r="R1132" s="26">
        <f>IF($Q1132="","",IF(COUNTIFS(AgPac,$D1132,AgData,"&gt;"&amp;$A1132,AgStatus,"&lt;&gt;Cancelado",AgStatus,"&lt;&gt;Remarcado")&gt;0,"Sim","Não"))</f>
        <v>0</v>
      </c>
      <c r="S1132" s="28">
        <f>IF($A1132="","",IF(AND($F1132="Agendado",$A1132-Hoje&gt;=0,$A1132-Hoje&lt;=DiasConf),"CONFIRMAR",IF(AND($A1132&lt;Hoje,OR($F1132="Agendado",$F1132="Confirmado")),"Atualizar status",IF(AND($F1132="Compareceu",$P1132&gt;0.005),"Cobrar",IF($F1132="Faltou","Falta: reagendar","")))))</f>
        <v>0</v>
      </c>
      <c r="T1132" s="29">
        <f>IF($A1132="","",DATE(YEAR($A1132),MONTH($A1132),1))</f>
        <v>0</v>
      </c>
      <c r="U1132" s="30">
        <f>IF($S1132="CONFIRMAR",MAX($U$4:$U1131)+1,"")</f>
        <v>0</v>
      </c>
      <c r="V1132" s="30">
        <f>IF(AND($R1132="Não",$Q1132&lt;&gt;"",$Q1132&lt;=Hoje+JanelaRet,$Q1132&gt;=Hoje-60),MAX($V$4:$V1131)+1,"")</f>
        <v>0</v>
      </c>
    </row>
    <row r="1133" spans="1:22">
      <c r="A1133" s="16"/>
      <c r="B1133" s="23"/>
      <c r="C1133" s="15"/>
      <c r="D1133" s="15"/>
      <c r="E1133" s="15"/>
      <c r="F1133" s="24"/>
      <c r="G1133" s="17"/>
      <c r="H1133" s="17"/>
      <c r="I1133" s="15"/>
      <c r="J1133" s="25">
        <f>IF($D1133="","",IFERROR(INDEX(PacNome,MATCH($D1133,PacCod,0)),"Paciente não cadastrado"))</f>
        <v>0</v>
      </c>
      <c r="K1133" s="26">
        <f>IF($D1133="","",IFERROR(INDEX(PacConv,MATCH($D1133,PacCod,0))&amp;"",""))</f>
        <v>0</v>
      </c>
      <c r="L1133" s="26">
        <f>IF($A1133="","",CHOOSE(WEEKDAY($A1133,2),"Seg","Ter","Qua","Qui","Sex","Sáb","Dom"))</f>
        <v>0</v>
      </c>
      <c r="M1133" s="27">
        <f>IF($E1133="","",IF($G1133&lt;&gt;"",$G1133,IFERROR(INDEX(ProcValor,MATCH($E1133,ProcNome,0)),0)))</f>
        <v>0</v>
      </c>
      <c r="N1133" s="27">
        <f>IF($M1133="","",IF($F1133="Compareceu",$M1133,0))</f>
        <v>0</v>
      </c>
      <c r="O1133" s="27">
        <f>IF($M1133="","",IF($F1133="Faltou",$M1133,0))</f>
        <v>0</v>
      </c>
      <c r="P1133" s="27">
        <f>IF($M1133="","",IF($F1133="Compareceu",MAX(0,$M1133-N($H1133)),0))</f>
        <v>0</v>
      </c>
      <c r="Q1133" s="19">
        <f>IF(AND($F1133="Compareceu",$E1133&lt;&gt;"",$A1133&lt;&gt;""),IF(IFERROR(INDEX(ProcRet,MATCH($E1133,ProcNome,0)),0)&gt;0,$A1133+INDEX(ProcRet,MATCH($E1133,ProcNome,0)),""),"")</f>
        <v>0</v>
      </c>
      <c r="R1133" s="26">
        <f>IF($Q1133="","",IF(COUNTIFS(AgPac,$D1133,AgData,"&gt;"&amp;$A1133,AgStatus,"&lt;&gt;Cancelado",AgStatus,"&lt;&gt;Remarcado")&gt;0,"Sim","Não"))</f>
        <v>0</v>
      </c>
      <c r="S1133" s="28">
        <f>IF($A1133="","",IF(AND($F1133="Agendado",$A1133-Hoje&gt;=0,$A1133-Hoje&lt;=DiasConf),"CONFIRMAR",IF(AND($A1133&lt;Hoje,OR($F1133="Agendado",$F1133="Confirmado")),"Atualizar status",IF(AND($F1133="Compareceu",$P1133&gt;0.005),"Cobrar",IF($F1133="Faltou","Falta: reagendar","")))))</f>
        <v>0</v>
      </c>
      <c r="T1133" s="29">
        <f>IF($A1133="","",DATE(YEAR($A1133),MONTH($A1133),1))</f>
        <v>0</v>
      </c>
      <c r="U1133" s="30">
        <f>IF($S1133="CONFIRMAR",MAX($U$4:$U1132)+1,"")</f>
        <v>0</v>
      </c>
      <c r="V1133" s="30">
        <f>IF(AND($R1133="Não",$Q1133&lt;&gt;"",$Q1133&lt;=Hoje+JanelaRet,$Q1133&gt;=Hoje-60),MAX($V$4:$V1132)+1,"")</f>
        <v>0</v>
      </c>
    </row>
    <row r="1134" spans="1:22">
      <c r="A1134" s="16"/>
      <c r="B1134" s="23"/>
      <c r="C1134" s="15"/>
      <c r="D1134" s="15"/>
      <c r="E1134" s="15"/>
      <c r="F1134" s="24"/>
      <c r="G1134" s="17"/>
      <c r="H1134" s="17"/>
      <c r="I1134" s="15"/>
      <c r="J1134" s="25">
        <f>IF($D1134="","",IFERROR(INDEX(PacNome,MATCH($D1134,PacCod,0)),"Paciente não cadastrado"))</f>
        <v>0</v>
      </c>
      <c r="K1134" s="26">
        <f>IF($D1134="","",IFERROR(INDEX(PacConv,MATCH($D1134,PacCod,0))&amp;"",""))</f>
        <v>0</v>
      </c>
      <c r="L1134" s="26">
        <f>IF($A1134="","",CHOOSE(WEEKDAY($A1134,2),"Seg","Ter","Qua","Qui","Sex","Sáb","Dom"))</f>
        <v>0</v>
      </c>
      <c r="M1134" s="27">
        <f>IF($E1134="","",IF($G1134&lt;&gt;"",$G1134,IFERROR(INDEX(ProcValor,MATCH($E1134,ProcNome,0)),0)))</f>
        <v>0</v>
      </c>
      <c r="N1134" s="27">
        <f>IF($M1134="","",IF($F1134="Compareceu",$M1134,0))</f>
        <v>0</v>
      </c>
      <c r="O1134" s="27">
        <f>IF($M1134="","",IF($F1134="Faltou",$M1134,0))</f>
        <v>0</v>
      </c>
      <c r="P1134" s="27">
        <f>IF($M1134="","",IF($F1134="Compareceu",MAX(0,$M1134-N($H1134)),0))</f>
        <v>0</v>
      </c>
      <c r="Q1134" s="19">
        <f>IF(AND($F1134="Compareceu",$E1134&lt;&gt;"",$A1134&lt;&gt;""),IF(IFERROR(INDEX(ProcRet,MATCH($E1134,ProcNome,0)),0)&gt;0,$A1134+INDEX(ProcRet,MATCH($E1134,ProcNome,0)),""),"")</f>
        <v>0</v>
      </c>
      <c r="R1134" s="26">
        <f>IF($Q1134="","",IF(COUNTIFS(AgPac,$D1134,AgData,"&gt;"&amp;$A1134,AgStatus,"&lt;&gt;Cancelado",AgStatus,"&lt;&gt;Remarcado")&gt;0,"Sim","Não"))</f>
        <v>0</v>
      </c>
      <c r="S1134" s="28">
        <f>IF($A1134="","",IF(AND($F1134="Agendado",$A1134-Hoje&gt;=0,$A1134-Hoje&lt;=DiasConf),"CONFIRMAR",IF(AND($A1134&lt;Hoje,OR($F1134="Agendado",$F1134="Confirmado")),"Atualizar status",IF(AND($F1134="Compareceu",$P1134&gt;0.005),"Cobrar",IF($F1134="Faltou","Falta: reagendar","")))))</f>
        <v>0</v>
      </c>
      <c r="T1134" s="29">
        <f>IF($A1134="","",DATE(YEAR($A1134),MONTH($A1134),1))</f>
        <v>0</v>
      </c>
      <c r="U1134" s="30">
        <f>IF($S1134="CONFIRMAR",MAX($U$4:$U1133)+1,"")</f>
        <v>0</v>
      </c>
      <c r="V1134" s="30">
        <f>IF(AND($R1134="Não",$Q1134&lt;&gt;"",$Q1134&lt;=Hoje+JanelaRet,$Q1134&gt;=Hoje-60),MAX($V$4:$V1133)+1,"")</f>
        <v>0</v>
      </c>
    </row>
    <row r="1135" spans="1:22">
      <c r="A1135" s="16"/>
      <c r="B1135" s="23"/>
      <c r="C1135" s="15"/>
      <c r="D1135" s="15"/>
      <c r="E1135" s="15"/>
      <c r="F1135" s="24"/>
      <c r="G1135" s="17"/>
      <c r="H1135" s="17"/>
      <c r="I1135" s="15"/>
      <c r="J1135" s="25">
        <f>IF($D1135="","",IFERROR(INDEX(PacNome,MATCH($D1135,PacCod,0)),"Paciente não cadastrado"))</f>
        <v>0</v>
      </c>
      <c r="K1135" s="26">
        <f>IF($D1135="","",IFERROR(INDEX(PacConv,MATCH($D1135,PacCod,0))&amp;"",""))</f>
        <v>0</v>
      </c>
      <c r="L1135" s="26">
        <f>IF($A1135="","",CHOOSE(WEEKDAY($A1135,2),"Seg","Ter","Qua","Qui","Sex","Sáb","Dom"))</f>
        <v>0</v>
      </c>
      <c r="M1135" s="27">
        <f>IF($E1135="","",IF($G1135&lt;&gt;"",$G1135,IFERROR(INDEX(ProcValor,MATCH($E1135,ProcNome,0)),0)))</f>
        <v>0</v>
      </c>
      <c r="N1135" s="27">
        <f>IF($M1135="","",IF($F1135="Compareceu",$M1135,0))</f>
        <v>0</v>
      </c>
      <c r="O1135" s="27">
        <f>IF($M1135="","",IF($F1135="Faltou",$M1135,0))</f>
        <v>0</v>
      </c>
      <c r="P1135" s="27">
        <f>IF($M1135="","",IF($F1135="Compareceu",MAX(0,$M1135-N($H1135)),0))</f>
        <v>0</v>
      </c>
      <c r="Q1135" s="19">
        <f>IF(AND($F1135="Compareceu",$E1135&lt;&gt;"",$A1135&lt;&gt;""),IF(IFERROR(INDEX(ProcRet,MATCH($E1135,ProcNome,0)),0)&gt;0,$A1135+INDEX(ProcRet,MATCH($E1135,ProcNome,0)),""),"")</f>
        <v>0</v>
      </c>
      <c r="R1135" s="26">
        <f>IF($Q1135="","",IF(COUNTIFS(AgPac,$D1135,AgData,"&gt;"&amp;$A1135,AgStatus,"&lt;&gt;Cancelado",AgStatus,"&lt;&gt;Remarcado")&gt;0,"Sim","Não"))</f>
        <v>0</v>
      </c>
      <c r="S1135" s="28">
        <f>IF($A1135="","",IF(AND($F1135="Agendado",$A1135-Hoje&gt;=0,$A1135-Hoje&lt;=DiasConf),"CONFIRMAR",IF(AND($A1135&lt;Hoje,OR($F1135="Agendado",$F1135="Confirmado")),"Atualizar status",IF(AND($F1135="Compareceu",$P1135&gt;0.005),"Cobrar",IF($F1135="Faltou","Falta: reagendar","")))))</f>
        <v>0</v>
      </c>
      <c r="T1135" s="29">
        <f>IF($A1135="","",DATE(YEAR($A1135),MONTH($A1135),1))</f>
        <v>0</v>
      </c>
      <c r="U1135" s="30">
        <f>IF($S1135="CONFIRMAR",MAX($U$4:$U1134)+1,"")</f>
        <v>0</v>
      </c>
      <c r="V1135" s="30">
        <f>IF(AND($R1135="Não",$Q1135&lt;&gt;"",$Q1135&lt;=Hoje+JanelaRet,$Q1135&gt;=Hoje-60),MAX($V$4:$V1134)+1,"")</f>
        <v>0</v>
      </c>
    </row>
    <row r="1136" spans="1:22">
      <c r="A1136" s="16"/>
      <c r="B1136" s="23"/>
      <c r="C1136" s="15"/>
      <c r="D1136" s="15"/>
      <c r="E1136" s="15"/>
      <c r="F1136" s="24"/>
      <c r="G1136" s="17"/>
      <c r="H1136" s="17"/>
      <c r="I1136" s="15"/>
      <c r="J1136" s="25">
        <f>IF($D1136="","",IFERROR(INDEX(PacNome,MATCH($D1136,PacCod,0)),"Paciente não cadastrado"))</f>
        <v>0</v>
      </c>
      <c r="K1136" s="26">
        <f>IF($D1136="","",IFERROR(INDEX(PacConv,MATCH($D1136,PacCod,0))&amp;"",""))</f>
        <v>0</v>
      </c>
      <c r="L1136" s="26">
        <f>IF($A1136="","",CHOOSE(WEEKDAY($A1136,2),"Seg","Ter","Qua","Qui","Sex","Sáb","Dom"))</f>
        <v>0</v>
      </c>
      <c r="M1136" s="27">
        <f>IF($E1136="","",IF($G1136&lt;&gt;"",$G1136,IFERROR(INDEX(ProcValor,MATCH($E1136,ProcNome,0)),0)))</f>
        <v>0</v>
      </c>
      <c r="N1136" s="27">
        <f>IF($M1136="","",IF($F1136="Compareceu",$M1136,0))</f>
        <v>0</v>
      </c>
      <c r="O1136" s="27">
        <f>IF($M1136="","",IF($F1136="Faltou",$M1136,0))</f>
        <v>0</v>
      </c>
      <c r="P1136" s="27">
        <f>IF($M1136="","",IF($F1136="Compareceu",MAX(0,$M1136-N($H1136)),0))</f>
        <v>0</v>
      </c>
      <c r="Q1136" s="19">
        <f>IF(AND($F1136="Compareceu",$E1136&lt;&gt;"",$A1136&lt;&gt;""),IF(IFERROR(INDEX(ProcRet,MATCH($E1136,ProcNome,0)),0)&gt;0,$A1136+INDEX(ProcRet,MATCH($E1136,ProcNome,0)),""),"")</f>
        <v>0</v>
      </c>
      <c r="R1136" s="26">
        <f>IF($Q1136="","",IF(COUNTIFS(AgPac,$D1136,AgData,"&gt;"&amp;$A1136,AgStatus,"&lt;&gt;Cancelado",AgStatus,"&lt;&gt;Remarcado")&gt;0,"Sim","Não"))</f>
        <v>0</v>
      </c>
      <c r="S1136" s="28">
        <f>IF($A1136="","",IF(AND($F1136="Agendado",$A1136-Hoje&gt;=0,$A1136-Hoje&lt;=DiasConf),"CONFIRMAR",IF(AND($A1136&lt;Hoje,OR($F1136="Agendado",$F1136="Confirmado")),"Atualizar status",IF(AND($F1136="Compareceu",$P1136&gt;0.005),"Cobrar",IF($F1136="Faltou","Falta: reagendar","")))))</f>
        <v>0</v>
      </c>
      <c r="T1136" s="29">
        <f>IF($A1136="","",DATE(YEAR($A1136),MONTH($A1136),1))</f>
        <v>0</v>
      </c>
      <c r="U1136" s="30">
        <f>IF($S1136="CONFIRMAR",MAX($U$4:$U1135)+1,"")</f>
        <v>0</v>
      </c>
      <c r="V1136" s="30">
        <f>IF(AND($R1136="Não",$Q1136&lt;&gt;"",$Q1136&lt;=Hoje+JanelaRet,$Q1136&gt;=Hoje-60),MAX($V$4:$V1135)+1,"")</f>
        <v>0</v>
      </c>
    </row>
    <row r="1137" spans="1:22">
      <c r="A1137" s="16"/>
      <c r="B1137" s="23"/>
      <c r="C1137" s="15"/>
      <c r="D1137" s="15"/>
      <c r="E1137" s="15"/>
      <c r="F1137" s="24"/>
      <c r="G1137" s="17"/>
      <c r="H1137" s="17"/>
      <c r="I1137" s="15"/>
      <c r="J1137" s="25">
        <f>IF($D1137="","",IFERROR(INDEX(PacNome,MATCH($D1137,PacCod,0)),"Paciente não cadastrado"))</f>
        <v>0</v>
      </c>
      <c r="K1137" s="26">
        <f>IF($D1137="","",IFERROR(INDEX(PacConv,MATCH($D1137,PacCod,0))&amp;"",""))</f>
        <v>0</v>
      </c>
      <c r="L1137" s="26">
        <f>IF($A1137="","",CHOOSE(WEEKDAY($A1137,2),"Seg","Ter","Qua","Qui","Sex","Sáb","Dom"))</f>
        <v>0</v>
      </c>
      <c r="M1137" s="27">
        <f>IF($E1137="","",IF($G1137&lt;&gt;"",$G1137,IFERROR(INDEX(ProcValor,MATCH($E1137,ProcNome,0)),0)))</f>
        <v>0</v>
      </c>
      <c r="N1137" s="27">
        <f>IF($M1137="","",IF($F1137="Compareceu",$M1137,0))</f>
        <v>0</v>
      </c>
      <c r="O1137" s="27">
        <f>IF($M1137="","",IF($F1137="Faltou",$M1137,0))</f>
        <v>0</v>
      </c>
      <c r="P1137" s="27">
        <f>IF($M1137="","",IF($F1137="Compareceu",MAX(0,$M1137-N($H1137)),0))</f>
        <v>0</v>
      </c>
      <c r="Q1137" s="19">
        <f>IF(AND($F1137="Compareceu",$E1137&lt;&gt;"",$A1137&lt;&gt;""),IF(IFERROR(INDEX(ProcRet,MATCH($E1137,ProcNome,0)),0)&gt;0,$A1137+INDEX(ProcRet,MATCH($E1137,ProcNome,0)),""),"")</f>
        <v>0</v>
      </c>
      <c r="R1137" s="26">
        <f>IF($Q1137="","",IF(COUNTIFS(AgPac,$D1137,AgData,"&gt;"&amp;$A1137,AgStatus,"&lt;&gt;Cancelado",AgStatus,"&lt;&gt;Remarcado")&gt;0,"Sim","Não"))</f>
        <v>0</v>
      </c>
      <c r="S1137" s="28">
        <f>IF($A1137="","",IF(AND($F1137="Agendado",$A1137-Hoje&gt;=0,$A1137-Hoje&lt;=DiasConf),"CONFIRMAR",IF(AND($A1137&lt;Hoje,OR($F1137="Agendado",$F1137="Confirmado")),"Atualizar status",IF(AND($F1137="Compareceu",$P1137&gt;0.005),"Cobrar",IF($F1137="Faltou","Falta: reagendar","")))))</f>
        <v>0</v>
      </c>
      <c r="T1137" s="29">
        <f>IF($A1137="","",DATE(YEAR($A1137),MONTH($A1137),1))</f>
        <v>0</v>
      </c>
      <c r="U1137" s="30">
        <f>IF($S1137="CONFIRMAR",MAX($U$4:$U1136)+1,"")</f>
        <v>0</v>
      </c>
      <c r="V1137" s="30">
        <f>IF(AND($R1137="Não",$Q1137&lt;&gt;"",$Q1137&lt;=Hoje+JanelaRet,$Q1137&gt;=Hoje-60),MAX($V$4:$V1136)+1,"")</f>
        <v>0</v>
      </c>
    </row>
    <row r="1138" spans="1:22">
      <c r="A1138" s="16"/>
      <c r="B1138" s="23"/>
      <c r="C1138" s="15"/>
      <c r="D1138" s="15"/>
      <c r="E1138" s="15"/>
      <c r="F1138" s="24"/>
      <c r="G1138" s="17"/>
      <c r="H1138" s="17"/>
      <c r="I1138" s="15"/>
      <c r="J1138" s="25">
        <f>IF($D1138="","",IFERROR(INDEX(PacNome,MATCH($D1138,PacCod,0)),"Paciente não cadastrado"))</f>
        <v>0</v>
      </c>
      <c r="K1138" s="26">
        <f>IF($D1138="","",IFERROR(INDEX(PacConv,MATCH($D1138,PacCod,0))&amp;"",""))</f>
        <v>0</v>
      </c>
      <c r="L1138" s="26">
        <f>IF($A1138="","",CHOOSE(WEEKDAY($A1138,2),"Seg","Ter","Qua","Qui","Sex","Sáb","Dom"))</f>
        <v>0</v>
      </c>
      <c r="M1138" s="27">
        <f>IF($E1138="","",IF($G1138&lt;&gt;"",$G1138,IFERROR(INDEX(ProcValor,MATCH($E1138,ProcNome,0)),0)))</f>
        <v>0</v>
      </c>
      <c r="N1138" s="27">
        <f>IF($M1138="","",IF($F1138="Compareceu",$M1138,0))</f>
        <v>0</v>
      </c>
      <c r="O1138" s="27">
        <f>IF($M1138="","",IF($F1138="Faltou",$M1138,0))</f>
        <v>0</v>
      </c>
      <c r="P1138" s="27">
        <f>IF($M1138="","",IF($F1138="Compareceu",MAX(0,$M1138-N($H1138)),0))</f>
        <v>0</v>
      </c>
      <c r="Q1138" s="19">
        <f>IF(AND($F1138="Compareceu",$E1138&lt;&gt;"",$A1138&lt;&gt;""),IF(IFERROR(INDEX(ProcRet,MATCH($E1138,ProcNome,0)),0)&gt;0,$A1138+INDEX(ProcRet,MATCH($E1138,ProcNome,0)),""),"")</f>
        <v>0</v>
      </c>
      <c r="R1138" s="26">
        <f>IF($Q1138="","",IF(COUNTIFS(AgPac,$D1138,AgData,"&gt;"&amp;$A1138,AgStatus,"&lt;&gt;Cancelado",AgStatus,"&lt;&gt;Remarcado")&gt;0,"Sim","Não"))</f>
        <v>0</v>
      </c>
      <c r="S1138" s="28">
        <f>IF($A1138="","",IF(AND($F1138="Agendado",$A1138-Hoje&gt;=0,$A1138-Hoje&lt;=DiasConf),"CONFIRMAR",IF(AND($A1138&lt;Hoje,OR($F1138="Agendado",$F1138="Confirmado")),"Atualizar status",IF(AND($F1138="Compareceu",$P1138&gt;0.005),"Cobrar",IF($F1138="Faltou","Falta: reagendar","")))))</f>
        <v>0</v>
      </c>
      <c r="T1138" s="29">
        <f>IF($A1138="","",DATE(YEAR($A1138),MONTH($A1138),1))</f>
        <v>0</v>
      </c>
      <c r="U1138" s="30">
        <f>IF($S1138="CONFIRMAR",MAX($U$4:$U1137)+1,"")</f>
        <v>0</v>
      </c>
      <c r="V1138" s="30">
        <f>IF(AND($R1138="Não",$Q1138&lt;&gt;"",$Q1138&lt;=Hoje+JanelaRet,$Q1138&gt;=Hoje-60),MAX($V$4:$V1137)+1,"")</f>
        <v>0</v>
      </c>
    </row>
    <row r="1139" spans="1:22">
      <c r="A1139" s="16"/>
      <c r="B1139" s="23"/>
      <c r="C1139" s="15"/>
      <c r="D1139" s="15"/>
      <c r="E1139" s="15"/>
      <c r="F1139" s="24"/>
      <c r="G1139" s="17"/>
      <c r="H1139" s="17"/>
      <c r="I1139" s="15"/>
      <c r="J1139" s="25">
        <f>IF($D1139="","",IFERROR(INDEX(PacNome,MATCH($D1139,PacCod,0)),"Paciente não cadastrado"))</f>
        <v>0</v>
      </c>
      <c r="K1139" s="26">
        <f>IF($D1139="","",IFERROR(INDEX(PacConv,MATCH($D1139,PacCod,0))&amp;"",""))</f>
        <v>0</v>
      </c>
      <c r="L1139" s="26">
        <f>IF($A1139="","",CHOOSE(WEEKDAY($A1139,2),"Seg","Ter","Qua","Qui","Sex","Sáb","Dom"))</f>
        <v>0</v>
      </c>
      <c r="M1139" s="27">
        <f>IF($E1139="","",IF($G1139&lt;&gt;"",$G1139,IFERROR(INDEX(ProcValor,MATCH($E1139,ProcNome,0)),0)))</f>
        <v>0</v>
      </c>
      <c r="N1139" s="27">
        <f>IF($M1139="","",IF($F1139="Compareceu",$M1139,0))</f>
        <v>0</v>
      </c>
      <c r="O1139" s="27">
        <f>IF($M1139="","",IF($F1139="Faltou",$M1139,0))</f>
        <v>0</v>
      </c>
      <c r="P1139" s="27">
        <f>IF($M1139="","",IF($F1139="Compareceu",MAX(0,$M1139-N($H1139)),0))</f>
        <v>0</v>
      </c>
      <c r="Q1139" s="19">
        <f>IF(AND($F1139="Compareceu",$E1139&lt;&gt;"",$A1139&lt;&gt;""),IF(IFERROR(INDEX(ProcRet,MATCH($E1139,ProcNome,0)),0)&gt;0,$A1139+INDEX(ProcRet,MATCH($E1139,ProcNome,0)),""),"")</f>
        <v>0</v>
      </c>
      <c r="R1139" s="26">
        <f>IF($Q1139="","",IF(COUNTIFS(AgPac,$D1139,AgData,"&gt;"&amp;$A1139,AgStatus,"&lt;&gt;Cancelado",AgStatus,"&lt;&gt;Remarcado")&gt;0,"Sim","Não"))</f>
        <v>0</v>
      </c>
      <c r="S1139" s="28">
        <f>IF($A1139="","",IF(AND($F1139="Agendado",$A1139-Hoje&gt;=0,$A1139-Hoje&lt;=DiasConf),"CONFIRMAR",IF(AND($A1139&lt;Hoje,OR($F1139="Agendado",$F1139="Confirmado")),"Atualizar status",IF(AND($F1139="Compareceu",$P1139&gt;0.005),"Cobrar",IF($F1139="Faltou","Falta: reagendar","")))))</f>
        <v>0</v>
      </c>
      <c r="T1139" s="29">
        <f>IF($A1139="","",DATE(YEAR($A1139),MONTH($A1139),1))</f>
        <v>0</v>
      </c>
      <c r="U1139" s="30">
        <f>IF($S1139="CONFIRMAR",MAX($U$4:$U1138)+1,"")</f>
        <v>0</v>
      </c>
      <c r="V1139" s="30">
        <f>IF(AND($R1139="Não",$Q1139&lt;&gt;"",$Q1139&lt;=Hoje+JanelaRet,$Q1139&gt;=Hoje-60),MAX($V$4:$V1138)+1,"")</f>
        <v>0</v>
      </c>
    </row>
    <row r="1140" spans="1:22">
      <c r="A1140" s="16"/>
      <c r="B1140" s="23"/>
      <c r="C1140" s="15"/>
      <c r="D1140" s="15"/>
      <c r="E1140" s="15"/>
      <c r="F1140" s="24"/>
      <c r="G1140" s="17"/>
      <c r="H1140" s="17"/>
      <c r="I1140" s="15"/>
      <c r="J1140" s="25">
        <f>IF($D1140="","",IFERROR(INDEX(PacNome,MATCH($D1140,PacCod,0)),"Paciente não cadastrado"))</f>
        <v>0</v>
      </c>
      <c r="K1140" s="26">
        <f>IF($D1140="","",IFERROR(INDEX(PacConv,MATCH($D1140,PacCod,0))&amp;"",""))</f>
        <v>0</v>
      </c>
      <c r="L1140" s="26">
        <f>IF($A1140="","",CHOOSE(WEEKDAY($A1140,2),"Seg","Ter","Qua","Qui","Sex","Sáb","Dom"))</f>
        <v>0</v>
      </c>
      <c r="M1140" s="27">
        <f>IF($E1140="","",IF($G1140&lt;&gt;"",$G1140,IFERROR(INDEX(ProcValor,MATCH($E1140,ProcNome,0)),0)))</f>
        <v>0</v>
      </c>
      <c r="N1140" s="27">
        <f>IF($M1140="","",IF($F1140="Compareceu",$M1140,0))</f>
        <v>0</v>
      </c>
      <c r="O1140" s="27">
        <f>IF($M1140="","",IF($F1140="Faltou",$M1140,0))</f>
        <v>0</v>
      </c>
      <c r="P1140" s="27">
        <f>IF($M1140="","",IF($F1140="Compareceu",MAX(0,$M1140-N($H1140)),0))</f>
        <v>0</v>
      </c>
      <c r="Q1140" s="19">
        <f>IF(AND($F1140="Compareceu",$E1140&lt;&gt;"",$A1140&lt;&gt;""),IF(IFERROR(INDEX(ProcRet,MATCH($E1140,ProcNome,0)),0)&gt;0,$A1140+INDEX(ProcRet,MATCH($E1140,ProcNome,0)),""),"")</f>
        <v>0</v>
      </c>
      <c r="R1140" s="26">
        <f>IF($Q1140="","",IF(COUNTIFS(AgPac,$D1140,AgData,"&gt;"&amp;$A1140,AgStatus,"&lt;&gt;Cancelado",AgStatus,"&lt;&gt;Remarcado")&gt;0,"Sim","Não"))</f>
        <v>0</v>
      </c>
      <c r="S1140" s="28">
        <f>IF($A1140="","",IF(AND($F1140="Agendado",$A1140-Hoje&gt;=0,$A1140-Hoje&lt;=DiasConf),"CONFIRMAR",IF(AND($A1140&lt;Hoje,OR($F1140="Agendado",$F1140="Confirmado")),"Atualizar status",IF(AND($F1140="Compareceu",$P1140&gt;0.005),"Cobrar",IF($F1140="Faltou","Falta: reagendar","")))))</f>
        <v>0</v>
      </c>
      <c r="T1140" s="29">
        <f>IF($A1140="","",DATE(YEAR($A1140),MONTH($A1140),1))</f>
        <v>0</v>
      </c>
      <c r="U1140" s="30">
        <f>IF($S1140="CONFIRMAR",MAX($U$4:$U1139)+1,"")</f>
        <v>0</v>
      </c>
      <c r="V1140" s="30">
        <f>IF(AND($R1140="Não",$Q1140&lt;&gt;"",$Q1140&lt;=Hoje+JanelaRet,$Q1140&gt;=Hoje-60),MAX($V$4:$V1139)+1,"")</f>
        <v>0</v>
      </c>
    </row>
    <row r="1141" spans="1:22">
      <c r="A1141" s="16"/>
      <c r="B1141" s="23"/>
      <c r="C1141" s="15"/>
      <c r="D1141" s="15"/>
      <c r="E1141" s="15"/>
      <c r="F1141" s="24"/>
      <c r="G1141" s="17"/>
      <c r="H1141" s="17"/>
      <c r="I1141" s="15"/>
      <c r="J1141" s="25">
        <f>IF($D1141="","",IFERROR(INDEX(PacNome,MATCH($D1141,PacCod,0)),"Paciente não cadastrado"))</f>
        <v>0</v>
      </c>
      <c r="K1141" s="26">
        <f>IF($D1141="","",IFERROR(INDEX(PacConv,MATCH($D1141,PacCod,0))&amp;"",""))</f>
        <v>0</v>
      </c>
      <c r="L1141" s="26">
        <f>IF($A1141="","",CHOOSE(WEEKDAY($A1141,2),"Seg","Ter","Qua","Qui","Sex","Sáb","Dom"))</f>
        <v>0</v>
      </c>
      <c r="M1141" s="27">
        <f>IF($E1141="","",IF($G1141&lt;&gt;"",$G1141,IFERROR(INDEX(ProcValor,MATCH($E1141,ProcNome,0)),0)))</f>
        <v>0</v>
      </c>
      <c r="N1141" s="27">
        <f>IF($M1141="","",IF($F1141="Compareceu",$M1141,0))</f>
        <v>0</v>
      </c>
      <c r="O1141" s="27">
        <f>IF($M1141="","",IF($F1141="Faltou",$M1141,0))</f>
        <v>0</v>
      </c>
      <c r="P1141" s="27">
        <f>IF($M1141="","",IF($F1141="Compareceu",MAX(0,$M1141-N($H1141)),0))</f>
        <v>0</v>
      </c>
      <c r="Q1141" s="19">
        <f>IF(AND($F1141="Compareceu",$E1141&lt;&gt;"",$A1141&lt;&gt;""),IF(IFERROR(INDEX(ProcRet,MATCH($E1141,ProcNome,0)),0)&gt;0,$A1141+INDEX(ProcRet,MATCH($E1141,ProcNome,0)),""),"")</f>
        <v>0</v>
      </c>
      <c r="R1141" s="26">
        <f>IF($Q1141="","",IF(COUNTIFS(AgPac,$D1141,AgData,"&gt;"&amp;$A1141,AgStatus,"&lt;&gt;Cancelado",AgStatus,"&lt;&gt;Remarcado")&gt;0,"Sim","Não"))</f>
        <v>0</v>
      </c>
      <c r="S1141" s="28">
        <f>IF($A1141="","",IF(AND($F1141="Agendado",$A1141-Hoje&gt;=0,$A1141-Hoje&lt;=DiasConf),"CONFIRMAR",IF(AND($A1141&lt;Hoje,OR($F1141="Agendado",$F1141="Confirmado")),"Atualizar status",IF(AND($F1141="Compareceu",$P1141&gt;0.005),"Cobrar",IF($F1141="Faltou","Falta: reagendar","")))))</f>
        <v>0</v>
      </c>
      <c r="T1141" s="29">
        <f>IF($A1141="","",DATE(YEAR($A1141),MONTH($A1141),1))</f>
        <v>0</v>
      </c>
      <c r="U1141" s="30">
        <f>IF($S1141="CONFIRMAR",MAX($U$4:$U1140)+1,"")</f>
        <v>0</v>
      </c>
      <c r="V1141" s="30">
        <f>IF(AND($R1141="Não",$Q1141&lt;&gt;"",$Q1141&lt;=Hoje+JanelaRet,$Q1141&gt;=Hoje-60),MAX($V$4:$V1140)+1,"")</f>
        <v>0</v>
      </c>
    </row>
    <row r="1142" spans="1:22">
      <c r="A1142" s="16"/>
      <c r="B1142" s="23"/>
      <c r="C1142" s="15"/>
      <c r="D1142" s="15"/>
      <c r="E1142" s="15"/>
      <c r="F1142" s="24"/>
      <c r="G1142" s="17"/>
      <c r="H1142" s="17"/>
      <c r="I1142" s="15"/>
      <c r="J1142" s="25">
        <f>IF($D1142="","",IFERROR(INDEX(PacNome,MATCH($D1142,PacCod,0)),"Paciente não cadastrado"))</f>
        <v>0</v>
      </c>
      <c r="K1142" s="26">
        <f>IF($D1142="","",IFERROR(INDEX(PacConv,MATCH($D1142,PacCod,0))&amp;"",""))</f>
        <v>0</v>
      </c>
      <c r="L1142" s="26">
        <f>IF($A1142="","",CHOOSE(WEEKDAY($A1142,2),"Seg","Ter","Qua","Qui","Sex","Sáb","Dom"))</f>
        <v>0</v>
      </c>
      <c r="M1142" s="27">
        <f>IF($E1142="","",IF($G1142&lt;&gt;"",$G1142,IFERROR(INDEX(ProcValor,MATCH($E1142,ProcNome,0)),0)))</f>
        <v>0</v>
      </c>
      <c r="N1142" s="27">
        <f>IF($M1142="","",IF($F1142="Compareceu",$M1142,0))</f>
        <v>0</v>
      </c>
      <c r="O1142" s="27">
        <f>IF($M1142="","",IF($F1142="Faltou",$M1142,0))</f>
        <v>0</v>
      </c>
      <c r="P1142" s="27">
        <f>IF($M1142="","",IF($F1142="Compareceu",MAX(0,$M1142-N($H1142)),0))</f>
        <v>0</v>
      </c>
      <c r="Q1142" s="19">
        <f>IF(AND($F1142="Compareceu",$E1142&lt;&gt;"",$A1142&lt;&gt;""),IF(IFERROR(INDEX(ProcRet,MATCH($E1142,ProcNome,0)),0)&gt;0,$A1142+INDEX(ProcRet,MATCH($E1142,ProcNome,0)),""),"")</f>
        <v>0</v>
      </c>
      <c r="R1142" s="26">
        <f>IF($Q1142="","",IF(COUNTIFS(AgPac,$D1142,AgData,"&gt;"&amp;$A1142,AgStatus,"&lt;&gt;Cancelado",AgStatus,"&lt;&gt;Remarcado")&gt;0,"Sim","Não"))</f>
        <v>0</v>
      </c>
      <c r="S1142" s="28">
        <f>IF($A1142="","",IF(AND($F1142="Agendado",$A1142-Hoje&gt;=0,$A1142-Hoje&lt;=DiasConf),"CONFIRMAR",IF(AND($A1142&lt;Hoje,OR($F1142="Agendado",$F1142="Confirmado")),"Atualizar status",IF(AND($F1142="Compareceu",$P1142&gt;0.005),"Cobrar",IF($F1142="Faltou","Falta: reagendar","")))))</f>
        <v>0</v>
      </c>
      <c r="T1142" s="29">
        <f>IF($A1142="","",DATE(YEAR($A1142),MONTH($A1142),1))</f>
        <v>0</v>
      </c>
      <c r="U1142" s="30">
        <f>IF($S1142="CONFIRMAR",MAX($U$4:$U1141)+1,"")</f>
        <v>0</v>
      </c>
      <c r="V1142" s="30">
        <f>IF(AND($R1142="Não",$Q1142&lt;&gt;"",$Q1142&lt;=Hoje+JanelaRet,$Q1142&gt;=Hoje-60),MAX($V$4:$V1141)+1,"")</f>
        <v>0</v>
      </c>
    </row>
    <row r="1143" spans="1:22">
      <c r="A1143" s="16"/>
      <c r="B1143" s="23"/>
      <c r="C1143" s="15"/>
      <c r="D1143" s="15"/>
      <c r="E1143" s="15"/>
      <c r="F1143" s="24"/>
      <c r="G1143" s="17"/>
      <c r="H1143" s="17"/>
      <c r="I1143" s="15"/>
      <c r="J1143" s="25">
        <f>IF($D1143="","",IFERROR(INDEX(PacNome,MATCH($D1143,PacCod,0)),"Paciente não cadastrado"))</f>
        <v>0</v>
      </c>
      <c r="K1143" s="26">
        <f>IF($D1143="","",IFERROR(INDEX(PacConv,MATCH($D1143,PacCod,0))&amp;"",""))</f>
        <v>0</v>
      </c>
      <c r="L1143" s="26">
        <f>IF($A1143="","",CHOOSE(WEEKDAY($A1143,2),"Seg","Ter","Qua","Qui","Sex","Sáb","Dom"))</f>
        <v>0</v>
      </c>
      <c r="M1143" s="27">
        <f>IF($E1143="","",IF($G1143&lt;&gt;"",$G1143,IFERROR(INDEX(ProcValor,MATCH($E1143,ProcNome,0)),0)))</f>
        <v>0</v>
      </c>
      <c r="N1143" s="27">
        <f>IF($M1143="","",IF($F1143="Compareceu",$M1143,0))</f>
        <v>0</v>
      </c>
      <c r="O1143" s="27">
        <f>IF($M1143="","",IF($F1143="Faltou",$M1143,0))</f>
        <v>0</v>
      </c>
      <c r="P1143" s="27">
        <f>IF($M1143="","",IF($F1143="Compareceu",MAX(0,$M1143-N($H1143)),0))</f>
        <v>0</v>
      </c>
      <c r="Q1143" s="19">
        <f>IF(AND($F1143="Compareceu",$E1143&lt;&gt;"",$A1143&lt;&gt;""),IF(IFERROR(INDEX(ProcRet,MATCH($E1143,ProcNome,0)),0)&gt;0,$A1143+INDEX(ProcRet,MATCH($E1143,ProcNome,0)),""),"")</f>
        <v>0</v>
      </c>
      <c r="R1143" s="26">
        <f>IF($Q1143="","",IF(COUNTIFS(AgPac,$D1143,AgData,"&gt;"&amp;$A1143,AgStatus,"&lt;&gt;Cancelado",AgStatus,"&lt;&gt;Remarcado")&gt;0,"Sim","Não"))</f>
        <v>0</v>
      </c>
      <c r="S1143" s="28">
        <f>IF($A1143="","",IF(AND($F1143="Agendado",$A1143-Hoje&gt;=0,$A1143-Hoje&lt;=DiasConf),"CONFIRMAR",IF(AND($A1143&lt;Hoje,OR($F1143="Agendado",$F1143="Confirmado")),"Atualizar status",IF(AND($F1143="Compareceu",$P1143&gt;0.005),"Cobrar",IF($F1143="Faltou","Falta: reagendar","")))))</f>
        <v>0</v>
      </c>
      <c r="T1143" s="29">
        <f>IF($A1143="","",DATE(YEAR($A1143),MONTH($A1143),1))</f>
        <v>0</v>
      </c>
      <c r="U1143" s="30">
        <f>IF($S1143="CONFIRMAR",MAX($U$4:$U1142)+1,"")</f>
        <v>0</v>
      </c>
      <c r="V1143" s="30">
        <f>IF(AND($R1143="Não",$Q1143&lt;&gt;"",$Q1143&lt;=Hoje+JanelaRet,$Q1143&gt;=Hoje-60),MAX($V$4:$V1142)+1,"")</f>
        <v>0</v>
      </c>
    </row>
    <row r="1144" spans="1:22">
      <c r="A1144" s="16"/>
      <c r="B1144" s="23"/>
      <c r="C1144" s="15"/>
      <c r="D1144" s="15"/>
      <c r="E1144" s="15"/>
      <c r="F1144" s="24"/>
      <c r="G1144" s="17"/>
      <c r="H1144" s="17"/>
      <c r="I1144" s="15"/>
      <c r="J1144" s="25">
        <f>IF($D1144="","",IFERROR(INDEX(PacNome,MATCH($D1144,PacCod,0)),"Paciente não cadastrado"))</f>
        <v>0</v>
      </c>
      <c r="K1144" s="26">
        <f>IF($D1144="","",IFERROR(INDEX(PacConv,MATCH($D1144,PacCod,0))&amp;"",""))</f>
        <v>0</v>
      </c>
      <c r="L1144" s="26">
        <f>IF($A1144="","",CHOOSE(WEEKDAY($A1144,2),"Seg","Ter","Qua","Qui","Sex","Sáb","Dom"))</f>
        <v>0</v>
      </c>
      <c r="M1144" s="27">
        <f>IF($E1144="","",IF($G1144&lt;&gt;"",$G1144,IFERROR(INDEX(ProcValor,MATCH($E1144,ProcNome,0)),0)))</f>
        <v>0</v>
      </c>
      <c r="N1144" s="27">
        <f>IF($M1144="","",IF($F1144="Compareceu",$M1144,0))</f>
        <v>0</v>
      </c>
      <c r="O1144" s="27">
        <f>IF($M1144="","",IF($F1144="Faltou",$M1144,0))</f>
        <v>0</v>
      </c>
      <c r="P1144" s="27">
        <f>IF($M1144="","",IF($F1144="Compareceu",MAX(0,$M1144-N($H1144)),0))</f>
        <v>0</v>
      </c>
      <c r="Q1144" s="19">
        <f>IF(AND($F1144="Compareceu",$E1144&lt;&gt;"",$A1144&lt;&gt;""),IF(IFERROR(INDEX(ProcRet,MATCH($E1144,ProcNome,0)),0)&gt;0,$A1144+INDEX(ProcRet,MATCH($E1144,ProcNome,0)),""),"")</f>
        <v>0</v>
      </c>
      <c r="R1144" s="26">
        <f>IF($Q1144="","",IF(COUNTIFS(AgPac,$D1144,AgData,"&gt;"&amp;$A1144,AgStatus,"&lt;&gt;Cancelado",AgStatus,"&lt;&gt;Remarcado")&gt;0,"Sim","Não"))</f>
        <v>0</v>
      </c>
      <c r="S1144" s="28">
        <f>IF($A1144="","",IF(AND($F1144="Agendado",$A1144-Hoje&gt;=0,$A1144-Hoje&lt;=DiasConf),"CONFIRMAR",IF(AND($A1144&lt;Hoje,OR($F1144="Agendado",$F1144="Confirmado")),"Atualizar status",IF(AND($F1144="Compareceu",$P1144&gt;0.005),"Cobrar",IF($F1144="Faltou","Falta: reagendar","")))))</f>
        <v>0</v>
      </c>
      <c r="T1144" s="29">
        <f>IF($A1144="","",DATE(YEAR($A1144),MONTH($A1144),1))</f>
        <v>0</v>
      </c>
      <c r="U1144" s="30">
        <f>IF($S1144="CONFIRMAR",MAX($U$4:$U1143)+1,"")</f>
        <v>0</v>
      </c>
      <c r="V1144" s="30">
        <f>IF(AND($R1144="Não",$Q1144&lt;&gt;"",$Q1144&lt;=Hoje+JanelaRet,$Q1144&gt;=Hoje-60),MAX($V$4:$V1143)+1,"")</f>
        <v>0</v>
      </c>
    </row>
    <row r="1145" spans="1:22">
      <c r="A1145" s="16"/>
      <c r="B1145" s="23"/>
      <c r="C1145" s="15"/>
      <c r="D1145" s="15"/>
      <c r="E1145" s="15"/>
      <c r="F1145" s="24"/>
      <c r="G1145" s="17"/>
      <c r="H1145" s="17"/>
      <c r="I1145" s="15"/>
      <c r="J1145" s="25">
        <f>IF($D1145="","",IFERROR(INDEX(PacNome,MATCH($D1145,PacCod,0)),"Paciente não cadastrado"))</f>
        <v>0</v>
      </c>
      <c r="K1145" s="26">
        <f>IF($D1145="","",IFERROR(INDEX(PacConv,MATCH($D1145,PacCod,0))&amp;"",""))</f>
        <v>0</v>
      </c>
      <c r="L1145" s="26">
        <f>IF($A1145="","",CHOOSE(WEEKDAY($A1145,2),"Seg","Ter","Qua","Qui","Sex","Sáb","Dom"))</f>
        <v>0</v>
      </c>
      <c r="M1145" s="27">
        <f>IF($E1145="","",IF($G1145&lt;&gt;"",$G1145,IFERROR(INDEX(ProcValor,MATCH($E1145,ProcNome,0)),0)))</f>
        <v>0</v>
      </c>
      <c r="N1145" s="27">
        <f>IF($M1145="","",IF($F1145="Compareceu",$M1145,0))</f>
        <v>0</v>
      </c>
      <c r="O1145" s="27">
        <f>IF($M1145="","",IF($F1145="Faltou",$M1145,0))</f>
        <v>0</v>
      </c>
      <c r="P1145" s="27">
        <f>IF($M1145="","",IF($F1145="Compareceu",MAX(0,$M1145-N($H1145)),0))</f>
        <v>0</v>
      </c>
      <c r="Q1145" s="19">
        <f>IF(AND($F1145="Compareceu",$E1145&lt;&gt;"",$A1145&lt;&gt;""),IF(IFERROR(INDEX(ProcRet,MATCH($E1145,ProcNome,0)),0)&gt;0,$A1145+INDEX(ProcRet,MATCH($E1145,ProcNome,0)),""),"")</f>
        <v>0</v>
      </c>
      <c r="R1145" s="26">
        <f>IF($Q1145="","",IF(COUNTIFS(AgPac,$D1145,AgData,"&gt;"&amp;$A1145,AgStatus,"&lt;&gt;Cancelado",AgStatus,"&lt;&gt;Remarcado")&gt;0,"Sim","Não"))</f>
        <v>0</v>
      </c>
      <c r="S1145" s="28">
        <f>IF($A1145="","",IF(AND($F1145="Agendado",$A1145-Hoje&gt;=0,$A1145-Hoje&lt;=DiasConf),"CONFIRMAR",IF(AND($A1145&lt;Hoje,OR($F1145="Agendado",$F1145="Confirmado")),"Atualizar status",IF(AND($F1145="Compareceu",$P1145&gt;0.005),"Cobrar",IF($F1145="Faltou","Falta: reagendar","")))))</f>
        <v>0</v>
      </c>
      <c r="T1145" s="29">
        <f>IF($A1145="","",DATE(YEAR($A1145),MONTH($A1145),1))</f>
        <v>0</v>
      </c>
      <c r="U1145" s="30">
        <f>IF($S1145="CONFIRMAR",MAX($U$4:$U1144)+1,"")</f>
        <v>0</v>
      </c>
      <c r="V1145" s="30">
        <f>IF(AND($R1145="Não",$Q1145&lt;&gt;"",$Q1145&lt;=Hoje+JanelaRet,$Q1145&gt;=Hoje-60),MAX($V$4:$V1144)+1,"")</f>
        <v>0</v>
      </c>
    </row>
    <row r="1146" spans="1:22">
      <c r="A1146" s="16"/>
      <c r="B1146" s="23"/>
      <c r="C1146" s="15"/>
      <c r="D1146" s="15"/>
      <c r="E1146" s="15"/>
      <c r="F1146" s="24"/>
      <c r="G1146" s="17"/>
      <c r="H1146" s="17"/>
      <c r="I1146" s="15"/>
      <c r="J1146" s="25">
        <f>IF($D1146="","",IFERROR(INDEX(PacNome,MATCH($D1146,PacCod,0)),"Paciente não cadastrado"))</f>
        <v>0</v>
      </c>
      <c r="K1146" s="26">
        <f>IF($D1146="","",IFERROR(INDEX(PacConv,MATCH($D1146,PacCod,0))&amp;"",""))</f>
        <v>0</v>
      </c>
      <c r="L1146" s="26">
        <f>IF($A1146="","",CHOOSE(WEEKDAY($A1146,2),"Seg","Ter","Qua","Qui","Sex","Sáb","Dom"))</f>
        <v>0</v>
      </c>
      <c r="M1146" s="27">
        <f>IF($E1146="","",IF($G1146&lt;&gt;"",$G1146,IFERROR(INDEX(ProcValor,MATCH($E1146,ProcNome,0)),0)))</f>
        <v>0</v>
      </c>
      <c r="N1146" s="27">
        <f>IF($M1146="","",IF($F1146="Compareceu",$M1146,0))</f>
        <v>0</v>
      </c>
      <c r="O1146" s="27">
        <f>IF($M1146="","",IF($F1146="Faltou",$M1146,0))</f>
        <v>0</v>
      </c>
      <c r="P1146" s="27">
        <f>IF($M1146="","",IF($F1146="Compareceu",MAX(0,$M1146-N($H1146)),0))</f>
        <v>0</v>
      </c>
      <c r="Q1146" s="19">
        <f>IF(AND($F1146="Compareceu",$E1146&lt;&gt;"",$A1146&lt;&gt;""),IF(IFERROR(INDEX(ProcRet,MATCH($E1146,ProcNome,0)),0)&gt;0,$A1146+INDEX(ProcRet,MATCH($E1146,ProcNome,0)),""),"")</f>
        <v>0</v>
      </c>
      <c r="R1146" s="26">
        <f>IF($Q1146="","",IF(COUNTIFS(AgPac,$D1146,AgData,"&gt;"&amp;$A1146,AgStatus,"&lt;&gt;Cancelado",AgStatus,"&lt;&gt;Remarcado")&gt;0,"Sim","Não"))</f>
        <v>0</v>
      </c>
      <c r="S1146" s="28">
        <f>IF($A1146="","",IF(AND($F1146="Agendado",$A1146-Hoje&gt;=0,$A1146-Hoje&lt;=DiasConf),"CONFIRMAR",IF(AND($A1146&lt;Hoje,OR($F1146="Agendado",$F1146="Confirmado")),"Atualizar status",IF(AND($F1146="Compareceu",$P1146&gt;0.005),"Cobrar",IF($F1146="Faltou","Falta: reagendar","")))))</f>
        <v>0</v>
      </c>
      <c r="T1146" s="29">
        <f>IF($A1146="","",DATE(YEAR($A1146),MONTH($A1146),1))</f>
        <v>0</v>
      </c>
      <c r="U1146" s="30">
        <f>IF($S1146="CONFIRMAR",MAX($U$4:$U1145)+1,"")</f>
        <v>0</v>
      </c>
      <c r="V1146" s="30">
        <f>IF(AND($R1146="Não",$Q1146&lt;&gt;"",$Q1146&lt;=Hoje+JanelaRet,$Q1146&gt;=Hoje-60),MAX($V$4:$V1145)+1,"")</f>
        <v>0</v>
      </c>
    </row>
    <row r="1147" spans="1:22">
      <c r="A1147" s="16"/>
      <c r="B1147" s="23"/>
      <c r="C1147" s="15"/>
      <c r="D1147" s="15"/>
      <c r="E1147" s="15"/>
      <c r="F1147" s="24"/>
      <c r="G1147" s="17"/>
      <c r="H1147" s="17"/>
      <c r="I1147" s="15"/>
      <c r="J1147" s="25">
        <f>IF($D1147="","",IFERROR(INDEX(PacNome,MATCH($D1147,PacCod,0)),"Paciente não cadastrado"))</f>
        <v>0</v>
      </c>
      <c r="K1147" s="26">
        <f>IF($D1147="","",IFERROR(INDEX(PacConv,MATCH($D1147,PacCod,0))&amp;"",""))</f>
        <v>0</v>
      </c>
      <c r="L1147" s="26">
        <f>IF($A1147="","",CHOOSE(WEEKDAY($A1147,2),"Seg","Ter","Qua","Qui","Sex","Sáb","Dom"))</f>
        <v>0</v>
      </c>
      <c r="M1147" s="27">
        <f>IF($E1147="","",IF($G1147&lt;&gt;"",$G1147,IFERROR(INDEX(ProcValor,MATCH($E1147,ProcNome,0)),0)))</f>
        <v>0</v>
      </c>
      <c r="N1147" s="27">
        <f>IF($M1147="","",IF($F1147="Compareceu",$M1147,0))</f>
        <v>0</v>
      </c>
      <c r="O1147" s="27">
        <f>IF($M1147="","",IF($F1147="Faltou",$M1147,0))</f>
        <v>0</v>
      </c>
      <c r="P1147" s="27">
        <f>IF($M1147="","",IF($F1147="Compareceu",MAX(0,$M1147-N($H1147)),0))</f>
        <v>0</v>
      </c>
      <c r="Q1147" s="19">
        <f>IF(AND($F1147="Compareceu",$E1147&lt;&gt;"",$A1147&lt;&gt;""),IF(IFERROR(INDEX(ProcRet,MATCH($E1147,ProcNome,0)),0)&gt;0,$A1147+INDEX(ProcRet,MATCH($E1147,ProcNome,0)),""),"")</f>
        <v>0</v>
      </c>
      <c r="R1147" s="26">
        <f>IF($Q1147="","",IF(COUNTIFS(AgPac,$D1147,AgData,"&gt;"&amp;$A1147,AgStatus,"&lt;&gt;Cancelado",AgStatus,"&lt;&gt;Remarcado")&gt;0,"Sim","Não"))</f>
        <v>0</v>
      </c>
      <c r="S1147" s="28">
        <f>IF($A1147="","",IF(AND($F1147="Agendado",$A1147-Hoje&gt;=0,$A1147-Hoje&lt;=DiasConf),"CONFIRMAR",IF(AND($A1147&lt;Hoje,OR($F1147="Agendado",$F1147="Confirmado")),"Atualizar status",IF(AND($F1147="Compareceu",$P1147&gt;0.005),"Cobrar",IF($F1147="Faltou","Falta: reagendar","")))))</f>
        <v>0</v>
      </c>
      <c r="T1147" s="29">
        <f>IF($A1147="","",DATE(YEAR($A1147),MONTH($A1147),1))</f>
        <v>0</v>
      </c>
      <c r="U1147" s="30">
        <f>IF($S1147="CONFIRMAR",MAX($U$4:$U1146)+1,"")</f>
        <v>0</v>
      </c>
      <c r="V1147" s="30">
        <f>IF(AND($R1147="Não",$Q1147&lt;&gt;"",$Q1147&lt;=Hoje+JanelaRet,$Q1147&gt;=Hoje-60),MAX($V$4:$V1146)+1,"")</f>
        <v>0</v>
      </c>
    </row>
    <row r="1148" spans="1:22">
      <c r="A1148" s="16"/>
      <c r="B1148" s="23"/>
      <c r="C1148" s="15"/>
      <c r="D1148" s="15"/>
      <c r="E1148" s="15"/>
      <c r="F1148" s="24"/>
      <c r="G1148" s="17"/>
      <c r="H1148" s="17"/>
      <c r="I1148" s="15"/>
      <c r="J1148" s="25">
        <f>IF($D1148="","",IFERROR(INDEX(PacNome,MATCH($D1148,PacCod,0)),"Paciente não cadastrado"))</f>
        <v>0</v>
      </c>
      <c r="K1148" s="26">
        <f>IF($D1148="","",IFERROR(INDEX(PacConv,MATCH($D1148,PacCod,0))&amp;"",""))</f>
        <v>0</v>
      </c>
      <c r="L1148" s="26">
        <f>IF($A1148="","",CHOOSE(WEEKDAY($A1148,2),"Seg","Ter","Qua","Qui","Sex","Sáb","Dom"))</f>
        <v>0</v>
      </c>
      <c r="M1148" s="27">
        <f>IF($E1148="","",IF($G1148&lt;&gt;"",$G1148,IFERROR(INDEX(ProcValor,MATCH($E1148,ProcNome,0)),0)))</f>
        <v>0</v>
      </c>
      <c r="N1148" s="27">
        <f>IF($M1148="","",IF($F1148="Compareceu",$M1148,0))</f>
        <v>0</v>
      </c>
      <c r="O1148" s="27">
        <f>IF($M1148="","",IF($F1148="Faltou",$M1148,0))</f>
        <v>0</v>
      </c>
      <c r="P1148" s="27">
        <f>IF($M1148="","",IF($F1148="Compareceu",MAX(0,$M1148-N($H1148)),0))</f>
        <v>0</v>
      </c>
      <c r="Q1148" s="19">
        <f>IF(AND($F1148="Compareceu",$E1148&lt;&gt;"",$A1148&lt;&gt;""),IF(IFERROR(INDEX(ProcRet,MATCH($E1148,ProcNome,0)),0)&gt;0,$A1148+INDEX(ProcRet,MATCH($E1148,ProcNome,0)),""),"")</f>
        <v>0</v>
      </c>
      <c r="R1148" s="26">
        <f>IF($Q1148="","",IF(COUNTIFS(AgPac,$D1148,AgData,"&gt;"&amp;$A1148,AgStatus,"&lt;&gt;Cancelado",AgStatus,"&lt;&gt;Remarcado")&gt;0,"Sim","Não"))</f>
        <v>0</v>
      </c>
      <c r="S1148" s="28">
        <f>IF($A1148="","",IF(AND($F1148="Agendado",$A1148-Hoje&gt;=0,$A1148-Hoje&lt;=DiasConf),"CONFIRMAR",IF(AND($A1148&lt;Hoje,OR($F1148="Agendado",$F1148="Confirmado")),"Atualizar status",IF(AND($F1148="Compareceu",$P1148&gt;0.005),"Cobrar",IF($F1148="Faltou","Falta: reagendar","")))))</f>
        <v>0</v>
      </c>
      <c r="T1148" s="29">
        <f>IF($A1148="","",DATE(YEAR($A1148),MONTH($A1148),1))</f>
        <v>0</v>
      </c>
      <c r="U1148" s="30">
        <f>IF($S1148="CONFIRMAR",MAX($U$4:$U1147)+1,"")</f>
        <v>0</v>
      </c>
      <c r="V1148" s="30">
        <f>IF(AND($R1148="Não",$Q1148&lt;&gt;"",$Q1148&lt;=Hoje+JanelaRet,$Q1148&gt;=Hoje-60),MAX($V$4:$V1147)+1,"")</f>
        <v>0</v>
      </c>
    </row>
    <row r="1149" spans="1:22">
      <c r="A1149" s="16"/>
      <c r="B1149" s="23"/>
      <c r="C1149" s="15"/>
      <c r="D1149" s="15"/>
      <c r="E1149" s="15"/>
      <c r="F1149" s="24"/>
      <c r="G1149" s="17"/>
      <c r="H1149" s="17"/>
      <c r="I1149" s="15"/>
      <c r="J1149" s="25">
        <f>IF($D1149="","",IFERROR(INDEX(PacNome,MATCH($D1149,PacCod,0)),"Paciente não cadastrado"))</f>
        <v>0</v>
      </c>
      <c r="K1149" s="26">
        <f>IF($D1149="","",IFERROR(INDEX(PacConv,MATCH($D1149,PacCod,0))&amp;"",""))</f>
        <v>0</v>
      </c>
      <c r="L1149" s="26">
        <f>IF($A1149="","",CHOOSE(WEEKDAY($A1149,2),"Seg","Ter","Qua","Qui","Sex","Sáb","Dom"))</f>
        <v>0</v>
      </c>
      <c r="M1149" s="27">
        <f>IF($E1149="","",IF($G1149&lt;&gt;"",$G1149,IFERROR(INDEX(ProcValor,MATCH($E1149,ProcNome,0)),0)))</f>
        <v>0</v>
      </c>
      <c r="N1149" s="27">
        <f>IF($M1149="","",IF($F1149="Compareceu",$M1149,0))</f>
        <v>0</v>
      </c>
      <c r="O1149" s="27">
        <f>IF($M1149="","",IF($F1149="Faltou",$M1149,0))</f>
        <v>0</v>
      </c>
      <c r="P1149" s="27">
        <f>IF($M1149="","",IF($F1149="Compareceu",MAX(0,$M1149-N($H1149)),0))</f>
        <v>0</v>
      </c>
      <c r="Q1149" s="19">
        <f>IF(AND($F1149="Compareceu",$E1149&lt;&gt;"",$A1149&lt;&gt;""),IF(IFERROR(INDEX(ProcRet,MATCH($E1149,ProcNome,0)),0)&gt;0,$A1149+INDEX(ProcRet,MATCH($E1149,ProcNome,0)),""),"")</f>
        <v>0</v>
      </c>
      <c r="R1149" s="26">
        <f>IF($Q1149="","",IF(COUNTIFS(AgPac,$D1149,AgData,"&gt;"&amp;$A1149,AgStatus,"&lt;&gt;Cancelado",AgStatus,"&lt;&gt;Remarcado")&gt;0,"Sim","Não"))</f>
        <v>0</v>
      </c>
      <c r="S1149" s="28">
        <f>IF($A1149="","",IF(AND($F1149="Agendado",$A1149-Hoje&gt;=0,$A1149-Hoje&lt;=DiasConf),"CONFIRMAR",IF(AND($A1149&lt;Hoje,OR($F1149="Agendado",$F1149="Confirmado")),"Atualizar status",IF(AND($F1149="Compareceu",$P1149&gt;0.005),"Cobrar",IF($F1149="Faltou","Falta: reagendar","")))))</f>
        <v>0</v>
      </c>
      <c r="T1149" s="29">
        <f>IF($A1149="","",DATE(YEAR($A1149),MONTH($A1149),1))</f>
        <v>0</v>
      </c>
      <c r="U1149" s="30">
        <f>IF($S1149="CONFIRMAR",MAX($U$4:$U1148)+1,"")</f>
        <v>0</v>
      </c>
      <c r="V1149" s="30">
        <f>IF(AND($R1149="Não",$Q1149&lt;&gt;"",$Q1149&lt;=Hoje+JanelaRet,$Q1149&gt;=Hoje-60),MAX($V$4:$V1148)+1,"")</f>
        <v>0</v>
      </c>
    </row>
    <row r="1150" spans="1:22">
      <c r="A1150" s="16"/>
      <c r="B1150" s="23"/>
      <c r="C1150" s="15"/>
      <c r="D1150" s="15"/>
      <c r="E1150" s="15"/>
      <c r="F1150" s="24"/>
      <c r="G1150" s="17"/>
      <c r="H1150" s="17"/>
      <c r="I1150" s="15"/>
      <c r="J1150" s="25">
        <f>IF($D1150="","",IFERROR(INDEX(PacNome,MATCH($D1150,PacCod,0)),"Paciente não cadastrado"))</f>
        <v>0</v>
      </c>
      <c r="K1150" s="26">
        <f>IF($D1150="","",IFERROR(INDEX(PacConv,MATCH($D1150,PacCod,0))&amp;"",""))</f>
        <v>0</v>
      </c>
      <c r="L1150" s="26">
        <f>IF($A1150="","",CHOOSE(WEEKDAY($A1150,2),"Seg","Ter","Qua","Qui","Sex","Sáb","Dom"))</f>
        <v>0</v>
      </c>
      <c r="M1150" s="27">
        <f>IF($E1150="","",IF($G1150&lt;&gt;"",$G1150,IFERROR(INDEX(ProcValor,MATCH($E1150,ProcNome,0)),0)))</f>
        <v>0</v>
      </c>
      <c r="N1150" s="27">
        <f>IF($M1150="","",IF($F1150="Compareceu",$M1150,0))</f>
        <v>0</v>
      </c>
      <c r="O1150" s="27">
        <f>IF($M1150="","",IF($F1150="Faltou",$M1150,0))</f>
        <v>0</v>
      </c>
      <c r="P1150" s="27">
        <f>IF($M1150="","",IF($F1150="Compareceu",MAX(0,$M1150-N($H1150)),0))</f>
        <v>0</v>
      </c>
      <c r="Q1150" s="19">
        <f>IF(AND($F1150="Compareceu",$E1150&lt;&gt;"",$A1150&lt;&gt;""),IF(IFERROR(INDEX(ProcRet,MATCH($E1150,ProcNome,0)),0)&gt;0,$A1150+INDEX(ProcRet,MATCH($E1150,ProcNome,0)),""),"")</f>
        <v>0</v>
      </c>
      <c r="R1150" s="26">
        <f>IF($Q1150="","",IF(COUNTIFS(AgPac,$D1150,AgData,"&gt;"&amp;$A1150,AgStatus,"&lt;&gt;Cancelado",AgStatus,"&lt;&gt;Remarcado")&gt;0,"Sim","Não"))</f>
        <v>0</v>
      </c>
      <c r="S1150" s="28">
        <f>IF($A1150="","",IF(AND($F1150="Agendado",$A1150-Hoje&gt;=0,$A1150-Hoje&lt;=DiasConf),"CONFIRMAR",IF(AND($A1150&lt;Hoje,OR($F1150="Agendado",$F1150="Confirmado")),"Atualizar status",IF(AND($F1150="Compareceu",$P1150&gt;0.005),"Cobrar",IF($F1150="Faltou","Falta: reagendar","")))))</f>
        <v>0</v>
      </c>
      <c r="T1150" s="29">
        <f>IF($A1150="","",DATE(YEAR($A1150),MONTH($A1150),1))</f>
        <v>0</v>
      </c>
      <c r="U1150" s="30">
        <f>IF($S1150="CONFIRMAR",MAX($U$4:$U1149)+1,"")</f>
        <v>0</v>
      </c>
      <c r="V1150" s="30">
        <f>IF(AND($R1150="Não",$Q1150&lt;&gt;"",$Q1150&lt;=Hoje+JanelaRet,$Q1150&gt;=Hoje-60),MAX($V$4:$V1149)+1,"")</f>
        <v>0</v>
      </c>
    </row>
    <row r="1151" spans="1:22">
      <c r="A1151" s="16"/>
      <c r="B1151" s="23"/>
      <c r="C1151" s="15"/>
      <c r="D1151" s="15"/>
      <c r="E1151" s="15"/>
      <c r="F1151" s="24"/>
      <c r="G1151" s="17"/>
      <c r="H1151" s="17"/>
      <c r="I1151" s="15"/>
      <c r="J1151" s="25">
        <f>IF($D1151="","",IFERROR(INDEX(PacNome,MATCH($D1151,PacCod,0)),"Paciente não cadastrado"))</f>
        <v>0</v>
      </c>
      <c r="K1151" s="26">
        <f>IF($D1151="","",IFERROR(INDEX(PacConv,MATCH($D1151,PacCod,0))&amp;"",""))</f>
        <v>0</v>
      </c>
      <c r="L1151" s="26">
        <f>IF($A1151="","",CHOOSE(WEEKDAY($A1151,2),"Seg","Ter","Qua","Qui","Sex","Sáb","Dom"))</f>
        <v>0</v>
      </c>
      <c r="M1151" s="27">
        <f>IF($E1151="","",IF($G1151&lt;&gt;"",$G1151,IFERROR(INDEX(ProcValor,MATCH($E1151,ProcNome,0)),0)))</f>
        <v>0</v>
      </c>
      <c r="N1151" s="27">
        <f>IF($M1151="","",IF($F1151="Compareceu",$M1151,0))</f>
        <v>0</v>
      </c>
      <c r="O1151" s="27">
        <f>IF($M1151="","",IF($F1151="Faltou",$M1151,0))</f>
        <v>0</v>
      </c>
      <c r="P1151" s="27">
        <f>IF($M1151="","",IF($F1151="Compareceu",MAX(0,$M1151-N($H1151)),0))</f>
        <v>0</v>
      </c>
      <c r="Q1151" s="19">
        <f>IF(AND($F1151="Compareceu",$E1151&lt;&gt;"",$A1151&lt;&gt;""),IF(IFERROR(INDEX(ProcRet,MATCH($E1151,ProcNome,0)),0)&gt;0,$A1151+INDEX(ProcRet,MATCH($E1151,ProcNome,0)),""),"")</f>
        <v>0</v>
      </c>
      <c r="R1151" s="26">
        <f>IF($Q1151="","",IF(COUNTIFS(AgPac,$D1151,AgData,"&gt;"&amp;$A1151,AgStatus,"&lt;&gt;Cancelado",AgStatus,"&lt;&gt;Remarcado")&gt;0,"Sim","Não"))</f>
        <v>0</v>
      </c>
      <c r="S1151" s="28">
        <f>IF($A1151="","",IF(AND($F1151="Agendado",$A1151-Hoje&gt;=0,$A1151-Hoje&lt;=DiasConf),"CONFIRMAR",IF(AND($A1151&lt;Hoje,OR($F1151="Agendado",$F1151="Confirmado")),"Atualizar status",IF(AND($F1151="Compareceu",$P1151&gt;0.005),"Cobrar",IF($F1151="Faltou","Falta: reagendar","")))))</f>
        <v>0</v>
      </c>
      <c r="T1151" s="29">
        <f>IF($A1151="","",DATE(YEAR($A1151),MONTH($A1151),1))</f>
        <v>0</v>
      </c>
      <c r="U1151" s="30">
        <f>IF($S1151="CONFIRMAR",MAX($U$4:$U1150)+1,"")</f>
        <v>0</v>
      </c>
      <c r="V1151" s="30">
        <f>IF(AND($R1151="Não",$Q1151&lt;&gt;"",$Q1151&lt;=Hoje+JanelaRet,$Q1151&gt;=Hoje-60),MAX($V$4:$V1150)+1,"")</f>
        <v>0</v>
      </c>
    </row>
    <row r="1152" spans="1:22">
      <c r="A1152" s="16"/>
      <c r="B1152" s="23"/>
      <c r="C1152" s="15"/>
      <c r="D1152" s="15"/>
      <c r="E1152" s="15"/>
      <c r="F1152" s="24"/>
      <c r="G1152" s="17"/>
      <c r="H1152" s="17"/>
      <c r="I1152" s="15"/>
      <c r="J1152" s="25">
        <f>IF($D1152="","",IFERROR(INDEX(PacNome,MATCH($D1152,PacCod,0)),"Paciente não cadastrado"))</f>
        <v>0</v>
      </c>
      <c r="K1152" s="26">
        <f>IF($D1152="","",IFERROR(INDEX(PacConv,MATCH($D1152,PacCod,0))&amp;"",""))</f>
        <v>0</v>
      </c>
      <c r="L1152" s="26">
        <f>IF($A1152="","",CHOOSE(WEEKDAY($A1152,2),"Seg","Ter","Qua","Qui","Sex","Sáb","Dom"))</f>
        <v>0</v>
      </c>
      <c r="M1152" s="27">
        <f>IF($E1152="","",IF($G1152&lt;&gt;"",$G1152,IFERROR(INDEX(ProcValor,MATCH($E1152,ProcNome,0)),0)))</f>
        <v>0</v>
      </c>
      <c r="N1152" s="27">
        <f>IF($M1152="","",IF($F1152="Compareceu",$M1152,0))</f>
        <v>0</v>
      </c>
      <c r="O1152" s="27">
        <f>IF($M1152="","",IF($F1152="Faltou",$M1152,0))</f>
        <v>0</v>
      </c>
      <c r="P1152" s="27">
        <f>IF($M1152="","",IF($F1152="Compareceu",MAX(0,$M1152-N($H1152)),0))</f>
        <v>0</v>
      </c>
      <c r="Q1152" s="19">
        <f>IF(AND($F1152="Compareceu",$E1152&lt;&gt;"",$A1152&lt;&gt;""),IF(IFERROR(INDEX(ProcRet,MATCH($E1152,ProcNome,0)),0)&gt;0,$A1152+INDEX(ProcRet,MATCH($E1152,ProcNome,0)),""),"")</f>
        <v>0</v>
      </c>
      <c r="R1152" s="26">
        <f>IF($Q1152="","",IF(COUNTIFS(AgPac,$D1152,AgData,"&gt;"&amp;$A1152,AgStatus,"&lt;&gt;Cancelado",AgStatus,"&lt;&gt;Remarcado")&gt;0,"Sim","Não"))</f>
        <v>0</v>
      </c>
      <c r="S1152" s="28">
        <f>IF($A1152="","",IF(AND($F1152="Agendado",$A1152-Hoje&gt;=0,$A1152-Hoje&lt;=DiasConf),"CONFIRMAR",IF(AND($A1152&lt;Hoje,OR($F1152="Agendado",$F1152="Confirmado")),"Atualizar status",IF(AND($F1152="Compareceu",$P1152&gt;0.005),"Cobrar",IF($F1152="Faltou","Falta: reagendar","")))))</f>
        <v>0</v>
      </c>
      <c r="T1152" s="29">
        <f>IF($A1152="","",DATE(YEAR($A1152),MONTH($A1152),1))</f>
        <v>0</v>
      </c>
      <c r="U1152" s="30">
        <f>IF($S1152="CONFIRMAR",MAX($U$4:$U1151)+1,"")</f>
        <v>0</v>
      </c>
      <c r="V1152" s="30">
        <f>IF(AND($R1152="Não",$Q1152&lt;&gt;"",$Q1152&lt;=Hoje+JanelaRet,$Q1152&gt;=Hoje-60),MAX($V$4:$V1151)+1,"")</f>
        <v>0</v>
      </c>
    </row>
    <row r="1153" spans="1:22">
      <c r="A1153" s="16"/>
      <c r="B1153" s="23"/>
      <c r="C1153" s="15"/>
      <c r="D1153" s="15"/>
      <c r="E1153" s="15"/>
      <c r="F1153" s="24"/>
      <c r="G1153" s="17"/>
      <c r="H1153" s="17"/>
      <c r="I1153" s="15"/>
      <c r="J1153" s="25">
        <f>IF($D1153="","",IFERROR(INDEX(PacNome,MATCH($D1153,PacCod,0)),"Paciente não cadastrado"))</f>
        <v>0</v>
      </c>
      <c r="K1153" s="26">
        <f>IF($D1153="","",IFERROR(INDEX(PacConv,MATCH($D1153,PacCod,0))&amp;"",""))</f>
        <v>0</v>
      </c>
      <c r="L1153" s="26">
        <f>IF($A1153="","",CHOOSE(WEEKDAY($A1153,2),"Seg","Ter","Qua","Qui","Sex","Sáb","Dom"))</f>
        <v>0</v>
      </c>
      <c r="M1153" s="27">
        <f>IF($E1153="","",IF($G1153&lt;&gt;"",$G1153,IFERROR(INDEX(ProcValor,MATCH($E1153,ProcNome,0)),0)))</f>
        <v>0</v>
      </c>
      <c r="N1153" s="27">
        <f>IF($M1153="","",IF($F1153="Compareceu",$M1153,0))</f>
        <v>0</v>
      </c>
      <c r="O1153" s="27">
        <f>IF($M1153="","",IF($F1153="Faltou",$M1153,0))</f>
        <v>0</v>
      </c>
      <c r="P1153" s="27">
        <f>IF($M1153="","",IF($F1153="Compareceu",MAX(0,$M1153-N($H1153)),0))</f>
        <v>0</v>
      </c>
      <c r="Q1153" s="19">
        <f>IF(AND($F1153="Compareceu",$E1153&lt;&gt;"",$A1153&lt;&gt;""),IF(IFERROR(INDEX(ProcRet,MATCH($E1153,ProcNome,0)),0)&gt;0,$A1153+INDEX(ProcRet,MATCH($E1153,ProcNome,0)),""),"")</f>
        <v>0</v>
      </c>
      <c r="R1153" s="26">
        <f>IF($Q1153="","",IF(COUNTIFS(AgPac,$D1153,AgData,"&gt;"&amp;$A1153,AgStatus,"&lt;&gt;Cancelado",AgStatus,"&lt;&gt;Remarcado")&gt;0,"Sim","Não"))</f>
        <v>0</v>
      </c>
      <c r="S1153" s="28">
        <f>IF($A1153="","",IF(AND($F1153="Agendado",$A1153-Hoje&gt;=0,$A1153-Hoje&lt;=DiasConf),"CONFIRMAR",IF(AND($A1153&lt;Hoje,OR($F1153="Agendado",$F1153="Confirmado")),"Atualizar status",IF(AND($F1153="Compareceu",$P1153&gt;0.005),"Cobrar",IF($F1153="Faltou","Falta: reagendar","")))))</f>
        <v>0</v>
      </c>
      <c r="T1153" s="29">
        <f>IF($A1153="","",DATE(YEAR($A1153),MONTH($A1153),1))</f>
        <v>0</v>
      </c>
      <c r="U1153" s="30">
        <f>IF($S1153="CONFIRMAR",MAX($U$4:$U1152)+1,"")</f>
        <v>0</v>
      </c>
      <c r="V1153" s="30">
        <f>IF(AND($R1153="Não",$Q1153&lt;&gt;"",$Q1153&lt;=Hoje+JanelaRet,$Q1153&gt;=Hoje-60),MAX($V$4:$V1152)+1,"")</f>
        <v>0</v>
      </c>
    </row>
    <row r="1154" spans="1:22">
      <c r="A1154" s="16"/>
      <c r="B1154" s="23"/>
      <c r="C1154" s="15"/>
      <c r="D1154" s="15"/>
      <c r="E1154" s="15"/>
      <c r="F1154" s="24"/>
      <c r="G1154" s="17"/>
      <c r="H1154" s="17"/>
      <c r="I1154" s="15"/>
      <c r="J1154" s="25">
        <f>IF($D1154="","",IFERROR(INDEX(PacNome,MATCH($D1154,PacCod,0)),"Paciente não cadastrado"))</f>
        <v>0</v>
      </c>
      <c r="K1154" s="26">
        <f>IF($D1154="","",IFERROR(INDEX(PacConv,MATCH($D1154,PacCod,0))&amp;"",""))</f>
        <v>0</v>
      </c>
      <c r="L1154" s="26">
        <f>IF($A1154="","",CHOOSE(WEEKDAY($A1154,2),"Seg","Ter","Qua","Qui","Sex","Sáb","Dom"))</f>
        <v>0</v>
      </c>
      <c r="M1154" s="27">
        <f>IF($E1154="","",IF($G1154&lt;&gt;"",$G1154,IFERROR(INDEX(ProcValor,MATCH($E1154,ProcNome,0)),0)))</f>
        <v>0</v>
      </c>
      <c r="N1154" s="27">
        <f>IF($M1154="","",IF($F1154="Compareceu",$M1154,0))</f>
        <v>0</v>
      </c>
      <c r="O1154" s="27">
        <f>IF($M1154="","",IF($F1154="Faltou",$M1154,0))</f>
        <v>0</v>
      </c>
      <c r="P1154" s="27">
        <f>IF($M1154="","",IF($F1154="Compareceu",MAX(0,$M1154-N($H1154)),0))</f>
        <v>0</v>
      </c>
      <c r="Q1154" s="19">
        <f>IF(AND($F1154="Compareceu",$E1154&lt;&gt;"",$A1154&lt;&gt;""),IF(IFERROR(INDEX(ProcRet,MATCH($E1154,ProcNome,0)),0)&gt;0,$A1154+INDEX(ProcRet,MATCH($E1154,ProcNome,0)),""),"")</f>
        <v>0</v>
      </c>
      <c r="R1154" s="26">
        <f>IF($Q1154="","",IF(COUNTIFS(AgPac,$D1154,AgData,"&gt;"&amp;$A1154,AgStatus,"&lt;&gt;Cancelado",AgStatus,"&lt;&gt;Remarcado")&gt;0,"Sim","Não"))</f>
        <v>0</v>
      </c>
      <c r="S1154" s="28">
        <f>IF($A1154="","",IF(AND($F1154="Agendado",$A1154-Hoje&gt;=0,$A1154-Hoje&lt;=DiasConf),"CONFIRMAR",IF(AND($A1154&lt;Hoje,OR($F1154="Agendado",$F1154="Confirmado")),"Atualizar status",IF(AND($F1154="Compareceu",$P1154&gt;0.005),"Cobrar",IF($F1154="Faltou","Falta: reagendar","")))))</f>
        <v>0</v>
      </c>
      <c r="T1154" s="29">
        <f>IF($A1154="","",DATE(YEAR($A1154),MONTH($A1154),1))</f>
        <v>0</v>
      </c>
      <c r="U1154" s="30">
        <f>IF($S1154="CONFIRMAR",MAX($U$4:$U1153)+1,"")</f>
        <v>0</v>
      </c>
      <c r="V1154" s="30">
        <f>IF(AND($R1154="Não",$Q1154&lt;&gt;"",$Q1154&lt;=Hoje+JanelaRet,$Q1154&gt;=Hoje-60),MAX($V$4:$V1153)+1,"")</f>
        <v>0</v>
      </c>
    </row>
    <row r="1155" spans="1:22">
      <c r="A1155" s="16"/>
      <c r="B1155" s="23"/>
      <c r="C1155" s="15"/>
      <c r="D1155" s="15"/>
      <c r="E1155" s="15"/>
      <c r="F1155" s="24"/>
      <c r="G1155" s="17"/>
      <c r="H1155" s="17"/>
      <c r="I1155" s="15"/>
      <c r="J1155" s="25">
        <f>IF($D1155="","",IFERROR(INDEX(PacNome,MATCH($D1155,PacCod,0)),"Paciente não cadastrado"))</f>
        <v>0</v>
      </c>
      <c r="K1155" s="26">
        <f>IF($D1155="","",IFERROR(INDEX(PacConv,MATCH($D1155,PacCod,0))&amp;"",""))</f>
        <v>0</v>
      </c>
      <c r="L1155" s="26">
        <f>IF($A1155="","",CHOOSE(WEEKDAY($A1155,2),"Seg","Ter","Qua","Qui","Sex","Sáb","Dom"))</f>
        <v>0</v>
      </c>
      <c r="M1155" s="27">
        <f>IF($E1155="","",IF($G1155&lt;&gt;"",$G1155,IFERROR(INDEX(ProcValor,MATCH($E1155,ProcNome,0)),0)))</f>
        <v>0</v>
      </c>
      <c r="N1155" s="27">
        <f>IF($M1155="","",IF($F1155="Compareceu",$M1155,0))</f>
        <v>0</v>
      </c>
      <c r="O1155" s="27">
        <f>IF($M1155="","",IF($F1155="Faltou",$M1155,0))</f>
        <v>0</v>
      </c>
      <c r="P1155" s="27">
        <f>IF($M1155="","",IF($F1155="Compareceu",MAX(0,$M1155-N($H1155)),0))</f>
        <v>0</v>
      </c>
      <c r="Q1155" s="19">
        <f>IF(AND($F1155="Compareceu",$E1155&lt;&gt;"",$A1155&lt;&gt;""),IF(IFERROR(INDEX(ProcRet,MATCH($E1155,ProcNome,0)),0)&gt;0,$A1155+INDEX(ProcRet,MATCH($E1155,ProcNome,0)),""),"")</f>
        <v>0</v>
      </c>
      <c r="R1155" s="26">
        <f>IF($Q1155="","",IF(COUNTIFS(AgPac,$D1155,AgData,"&gt;"&amp;$A1155,AgStatus,"&lt;&gt;Cancelado",AgStatus,"&lt;&gt;Remarcado")&gt;0,"Sim","Não"))</f>
        <v>0</v>
      </c>
      <c r="S1155" s="28">
        <f>IF($A1155="","",IF(AND($F1155="Agendado",$A1155-Hoje&gt;=0,$A1155-Hoje&lt;=DiasConf),"CONFIRMAR",IF(AND($A1155&lt;Hoje,OR($F1155="Agendado",$F1155="Confirmado")),"Atualizar status",IF(AND($F1155="Compareceu",$P1155&gt;0.005),"Cobrar",IF($F1155="Faltou","Falta: reagendar","")))))</f>
        <v>0</v>
      </c>
      <c r="T1155" s="29">
        <f>IF($A1155="","",DATE(YEAR($A1155),MONTH($A1155),1))</f>
        <v>0</v>
      </c>
      <c r="U1155" s="30">
        <f>IF($S1155="CONFIRMAR",MAX($U$4:$U1154)+1,"")</f>
        <v>0</v>
      </c>
      <c r="V1155" s="30">
        <f>IF(AND($R1155="Não",$Q1155&lt;&gt;"",$Q1155&lt;=Hoje+JanelaRet,$Q1155&gt;=Hoje-60),MAX($V$4:$V1154)+1,"")</f>
        <v>0</v>
      </c>
    </row>
    <row r="1156" spans="1:22">
      <c r="A1156" s="16"/>
      <c r="B1156" s="23"/>
      <c r="C1156" s="15"/>
      <c r="D1156" s="15"/>
      <c r="E1156" s="15"/>
      <c r="F1156" s="24"/>
      <c r="G1156" s="17"/>
      <c r="H1156" s="17"/>
      <c r="I1156" s="15"/>
      <c r="J1156" s="25">
        <f>IF($D1156="","",IFERROR(INDEX(PacNome,MATCH($D1156,PacCod,0)),"Paciente não cadastrado"))</f>
        <v>0</v>
      </c>
      <c r="K1156" s="26">
        <f>IF($D1156="","",IFERROR(INDEX(PacConv,MATCH($D1156,PacCod,0))&amp;"",""))</f>
        <v>0</v>
      </c>
      <c r="L1156" s="26">
        <f>IF($A1156="","",CHOOSE(WEEKDAY($A1156,2),"Seg","Ter","Qua","Qui","Sex","Sáb","Dom"))</f>
        <v>0</v>
      </c>
      <c r="M1156" s="27">
        <f>IF($E1156="","",IF($G1156&lt;&gt;"",$G1156,IFERROR(INDEX(ProcValor,MATCH($E1156,ProcNome,0)),0)))</f>
        <v>0</v>
      </c>
      <c r="N1156" s="27">
        <f>IF($M1156="","",IF($F1156="Compareceu",$M1156,0))</f>
        <v>0</v>
      </c>
      <c r="O1156" s="27">
        <f>IF($M1156="","",IF($F1156="Faltou",$M1156,0))</f>
        <v>0</v>
      </c>
      <c r="P1156" s="27">
        <f>IF($M1156="","",IF($F1156="Compareceu",MAX(0,$M1156-N($H1156)),0))</f>
        <v>0</v>
      </c>
      <c r="Q1156" s="19">
        <f>IF(AND($F1156="Compareceu",$E1156&lt;&gt;"",$A1156&lt;&gt;""),IF(IFERROR(INDEX(ProcRet,MATCH($E1156,ProcNome,0)),0)&gt;0,$A1156+INDEX(ProcRet,MATCH($E1156,ProcNome,0)),""),"")</f>
        <v>0</v>
      </c>
      <c r="R1156" s="26">
        <f>IF($Q1156="","",IF(COUNTIFS(AgPac,$D1156,AgData,"&gt;"&amp;$A1156,AgStatus,"&lt;&gt;Cancelado",AgStatus,"&lt;&gt;Remarcado")&gt;0,"Sim","Não"))</f>
        <v>0</v>
      </c>
      <c r="S1156" s="28">
        <f>IF($A1156="","",IF(AND($F1156="Agendado",$A1156-Hoje&gt;=0,$A1156-Hoje&lt;=DiasConf),"CONFIRMAR",IF(AND($A1156&lt;Hoje,OR($F1156="Agendado",$F1156="Confirmado")),"Atualizar status",IF(AND($F1156="Compareceu",$P1156&gt;0.005),"Cobrar",IF($F1156="Faltou","Falta: reagendar","")))))</f>
        <v>0</v>
      </c>
      <c r="T1156" s="29">
        <f>IF($A1156="","",DATE(YEAR($A1156),MONTH($A1156),1))</f>
        <v>0</v>
      </c>
      <c r="U1156" s="30">
        <f>IF($S1156="CONFIRMAR",MAX($U$4:$U1155)+1,"")</f>
        <v>0</v>
      </c>
      <c r="V1156" s="30">
        <f>IF(AND($R1156="Não",$Q1156&lt;&gt;"",$Q1156&lt;=Hoje+JanelaRet,$Q1156&gt;=Hoje-60),MAX($V$4:$V1155)+1,"")</f>
        <v>0</v>
      </c>
    </row>
    <row r="1157" spans="1:22">
      <c r="A1157" s="16"/>
      <c r="B1157" s="23"/>
      <c r="C1157" s="15"/>
      <c r="D1157" s="15"/>
      <c r="E1157" s="15"/>
      <c r="F1157" s="24"/>
      <c r="G1157" s="17"/>
      <c r="H1157" s="17"/>
      <c r="I1157" s="15"/>
      <c r="J1157" s="25">
        <f>IF($D1157="","",IFERROR(INDEX(PacNome,MATCH($D1157,PacCod,0)),"Paciente não cadastrado"))</f>
        <v>0</v>
      </c>
      <c r="K1157" s="26">
        <f>IF($D1157="","",IFERROR(INDEX(PacConv,MATCH($D1157,PacCod,0))&amp;"",""))</f>
        <v>0</v>
      </c>
      <c r="L1157" s="26">
        <f>IF($A1157="","",CHOOSE(WEEKDAY($A1157,2),"Seg","Ter","Qua","Qui","Sex","Sáb","Dom"))</f>
        <v>0</v>
      </c>
      <c r="M1157" s="27">
        <f>IF($E1157="","",IF($G1157&lt;&gt;"",$G1157,IFERROR(INDEX(ProcValor,MATCH($E1157,ProcNome,0)),0)))</f>
        <v>0</v>
      </c>
      <c r="N1157" s="27">
        <f>IF($M1157="","",IF($F1157="Compareceu",$M1157,0))</f>
        <v>0</v>
      </c>
      <c r="O1157" s="27">
        <f>IF($M1157="","",IF($F1157="Faltou",$M1157,0))</f>
        <v>0</v>
      </c>
      <c r="P1157" s="27">
        <f>IF($M1157="","",IF($F1157="Compareceu",MAX(0,$M1157-N($H1157)),0))</f>
        <v>0</v>
      </c>
      <c r="Q1157" s="19">
        <f>IF(AND($F1157="Compareceu",$E1157&lt;&gt;"",$A1157&lt;&gt;""),IF(IFERROR(INDEX(ProcRet,MATCH($E1157,ProcNome,0)),0)&gt;0,$A1157+INDEX(ProcRet,MATCH($E1157,ProcNome,0)),""),"")</f>
        <v>0</v>
      </c>
      <c r="R1157" s="26">
        <f>IF($Q1157="","",IF(COUNTIFS(AgPac,$D1157,AgData,"&gt;"&amp;$A1157,AgStatus,"&lt;&gt;Cancelado",AgStatus,"&lt;&gt;Remarcado")&gt;0,"Sim","Não"))</f>
        <v>0</v>
      </c>
      <c r="S1157" s="28">
        <f>IF($A1157="","",IF(AND($F1157="Agendado",$A1157-Hoje&gt;=0,$A1157-Hoje&lt;=DiasConf),"CONFIRMAR",IF(AND($A1157&lt;Hoje,OR($F1157="Agendado",$F1157="Confirmado")),"Atualizar status",IF(AND($F1157="Compareceu",$P1157&gt;0.005),"Cobrar",IF($F1157="Faltou","Falta: reagendar","")))))</f>
        <v>0</v>
      </c>
      <c r="T1157" s="29">
        <f>IF($A1157="","",DATE(YEAR($A1157),MONTH($A1157),1))</f>
        <v>0</v>
      </c>
      <c r="U1157" s="30">
        <f>IF($S1157="CONFIRMAR",MAX($U$4:$U1156)+1,"")</f>
        <v>0</v>
      </c>
      <c r="V1157" s="30">
        <f>IF(AND($R1157="Não",$Q1157&lt;&gt;"",$Q1157&lt;=Hoje+JanelaRet,$Q1157&gt;=Hoje-60),MAX($V$4:$V1156)+1,"")</f>
        <v>0</v>
      </c>
    </row>
    <row r="1158" spans="1:22">
      <c r="A1158" s="16"/>
      <c r="B1158" s="23"/>
      <c r="C1158" s="15"/>
      <c r="D1158" s="15"/>
      <c r="E1158" s="15"/>
      <c r="F1158" s="24"/>
      <c r="G1158" s="17"/>
      <c r="H1158" s="17"/>
      <c r="I1158" s="15"/>
      <c r="J1158" s="25">
        <f>IF($D1158="","",IFERROR(INDEX(PacNome,MATCH($D1158,PacCod,0)),"Paciente não cadastrado"))</f>
        <v>0</v>
      </c>
      <c r="K1158" s="26">
        <f>IF($D1158="","",IFERROR(INDEX(PacConv,MATCH($D1158,PacCod,0))&amp;"",""))</f>
        <v>0</v>
      </c>
      <c r="L1158" s="26">
        <f>IF($A1158="","",CHOOSE(WEEKDAY($A1158,2),"Seg","Ter","Qua","Qui","Sex","Sáb","Dom"))</f>
        <v>0</v>
      </c>
      <c r="M1158" s="27">
        <f>IF($E1158="","",IF($G1158&lt;&gt;"",$G1158,IFERROR(INDEX(ProcValor,MATCH($E1158,ProcNome,0)),0)))</f>
        <v>0</v>
      </c>
      <c r="N1158" s="27">
        <f>IF($M1158="","",IF($F1158="Compareceu",$M1158,0))</f>
        <v>0</v>
      </c>
      <c r="O1158" s="27">
        <f>IF($M1158="","",IF($F1158="Faltou",$M1158,0))</f>
        <v>0</v>
      </c>
      <c r="P1158" s="27">
        <f>IF($M1158="","",IF($F1158="Compareceu",MAX(0,$M1158-N($H1158)),0))</f>
        <v>0</v>
      </c>
      <c r="Q1158" s="19">
        <f>IF(AND($F1158="Compareceu",$E1158&lt;&gt;"",$A1158&lt;&gt;""),IF(IFERROR(INDEX(ProcRet,MATCH($E1158,ProcNome,0)),0)&gt;0,$A1158+INDEX(ProcRet,MATCH($E1158,ProcNome,0)),""),"")</f>
        <v>0</v>
      </c>
      <c r="R1158" s="26">
        <f>IF($Q1158="","",IF(COUNTIFS(AgPac,$D1158,AgData,"&gt;"&amp;$A1158,AgStatus,"&lt;&gt;Cancelado",AgStatus,"&lt;&gt;Remarcado")&gt;0,"Sim","Não"))</f>
        <v>0</v>
      </c>
      <c r="S1158" s="28">
        <f>IF($A1158="","",IF(AND($F1158="Agendado",$A1158-Hoje&gt;=0,$A1158-Hoje&lt;=DiasConf),"CONFIRMAR",IF(AND($A1158&lt;Hoje,OR($F1158="Agendado",$F1158="Confirmado")),"Atualizar status",IF(AND($F1158="Compareceu",$P1158&gt;0.005),"Cobrar",IF($F1158="Faltou","Falta: reagendar","")))))</f>
        <v>0</v>
      </c>
      <c r="T1158" s="29">
        <f>IF($A1158="","",DATE(YEAR($A1158),MONTH($A1158),1))</f>
        <v>0</v>
      </c>
      <c r="U1158" s="30">
        <f>IF($S1158="CONFIRMAR",MAX($U$4:$U1157)+1,"")</f>
        <v>0</v>
      </c>
      <c r="V1158" s="30">
        <f>IF(AND($R1158="Não",$Q1158&lt;&gt;"",$Q1158&lt;=Hoje+JanelaRet,$Q1158&gt;=Hoje-60),MAX($V$4:$V1157)+1,"")</f>
        <v>0</v>
      </c>
    </row>
    <row r="1159" spans="1:22">
      <c r="A1159" s="16"/>
      <c r="B1159" s="23"/>
      <c r="C1159" s="15"/>
      <c r="D1159" s="15"/>
      <c r="E1159" s="15"/>
      <c r="F1159" s="24"/>
      <c r="G1159" s="17"/>
      <c r="H1159" s="17"/>
      <c r="I1159" s="15"/>
      <c r="J1159" s="25">
        <f>IF($D1159="","",IFERROR(INDEX(PacNome,MATCH($D1159,PacCod,0)),"Paciente não cadastrado"))</f>
        <v>0</v>
      </c>
      <c r="K1159" s="26">
        <f>IF($D1159="","",IFERROR(INDEX(PacConv,MATCH($D1159,PacCod,0))&amp;"",""))</f>
        <v>0</v>
      </c>
      <c r="L1159" s="26">
        <f>IF($A1159="","",CHOOSE(WEEKDAY($A1159,2),"Seg","Ter","Qua","Qui","Sex","Sáb","Dom"))</f>
        <v>0</v>
      </c>
      <c r="M1159" s="27">
        <f>IF($E1159="","",IF($G1159&lt;&gt;"",$G1159,IFERROR(INDEX(ProcValor,MATCH($E1159,ProcNome,0)),0)))</f>
        <v>0</v>
      </c>
      <c r="N1159" s="27">
        <f>IF($M1159="","",IF($F1159="Compareceu",$M1159,0))</f>
        <v>0</v>
      </c>
      <c r="O1159" s="27">
        <f>IF($M1159="","",IF($F1159="Faltou",$M1159,0))</f>
        <v>0</v>
      </c>
      <c r="P1159" s="27">
        <f>IF($M1159="","",IF($F1159="Compareceu",MAX(0,$M1159-N($H1159)),0))</f>
        <v>0</v>
      </c>
      <c r="Q1159" s="19">
        <f>IF(AND($F1159="Compareceu",$E1159&lt;&gt;"",$A1159&lt;&gt;""),IF(IFERROR(INDEX(ProcRet,MATCH($E1159,ProcNome,0)),0)&gt;0,$A1159+INDEX(ProcRet,MATCH($E1159,ProcNome,0)),""),"")</f>
        <v>0</v>
      </c>
      <c r="R1159" s="26">
        <f>IF($Q1159="","",IF(COUNTIFS(AgPac,$D1159,AgData,"&gt;"&amp;$A1159,AgStatus,"&lt;&gt;Cancelado",AgStatus,"&lt;&gt;Remarcado")&gt;0,"Sim","Não"))</f>
        <v>0</v>
      </c>
      <c r="S1159" s="28">
        <f>IF($A1159="","",IF(AND($F1159="Agendado",$A1159-Hoje&gt;=0,$A1159-Hoje&lt;=DiasConf),"CONFIRMAR",IF(AND($A1159&lt;Hoje,OR($F1159="Agendado",$F1159="Confirmado")),"Atualizar status",IF(AND($F1159="Compareceu",$P1159&gt;0.005),"Cobrar",IF($F1159="Faltou","Falta: reagendar","")))))</f>
        <v>0</v>
      </c>
      <c r="T1159" s="29">
        <f>IF($A1159="","",DATE(YEAR($A1159),MONTH($A1159),1))</f>
        <v>0</v>
      </c>
      <c r="U1159" s="30">
        <f>IF($S1159="CONFIRMAR",MAX($U$4:$U1158)+1,"")</f>
        <v>0</v>
      </c>
      <c r="V1159" s="30">
        <f>IF(AND($R1159="Não",$Q1159&lt;&gt;"",$Q1159&lt;=Hoje+JanelaRet,$Q1159&gt;=Hoje-60),MAX($V$4:$V1158)+1,"")</f>
        <v>0</v>
      </c>
    </row>
    <row r="1160" spans="1:22">
      <c r="A1160" s="16"/>
      <c r="B1160" s="23"/>
      <c r="C1160" s="15"/>
      <c r="D1160" s="15"/>
      <c r="E1160" s="15"/>
      <c r="F1160" s="24"/>
      <c r="G1160" s="17"/>
      <c r="H1160" s="17"/>
      <c r="I1160" s="15"/>
      <c r="J1160" s="25">
        <f>IF($D1160="","",IFERROR(INDEX(PacNome,MATCH($D1160,PacCod,0)),"Paciente não cadastrado"))</f>
        <v>0</v>
      </c>
      <c r="K1160" s="26">
        <f>IF($D1160="","",IFERROR(INDEX(PacConv,MATCH($D1160,PacCod,0))&amp;"",""))</f>
        <v>0</v>
      </c>
      <c r="L1160" s="26">
        <f>IF($A1160="","",CHOOSE(WEEKDAY($A1160,2),"Seg","Ter","Qua","Qui","Sex","Sáb","Dom"))</f>
        <v>0</v>
      </c>
      <c r="M1160" s="27">
        <f>IF($E1160="","",IF($G1160&lt;&gt;"",$G1160,IFERROR(INDEX(ProcValor,MATCH($E1160,ProcNome,0)),0)))</f>
        <v>0</v>
      </c>
      <c r="N1160" s="27">
        <f>IF($M1160="","",IF($F1160="Compareceu",$M1160,0))</f>
        <v>0</v>
      </c>
      <c r="O1160" s="27">
        <f>IF($M1160="","",IF($F1160="Faltou",$M1160,0))</f>
        <v>0</v>
      </c>
      <c r="P1160" s="27">
        <f>IF($M1160="","",IF($F1160="Compareceu",MAX(0,$M1160-N($H1160)),0))</f>
        <v>0</v>
      </c>
      <c r="Q1160" s="19">
        <f>IF(AND($F1160="Compareceu",$E1160&lt;&gt;"",$A1160&lt;&gt;""),IF(IFERROR(INDEX(ProcRet,MATCH($E1160,ProcNome,0)),0)&gt;0,$A1160+INDEX(ProcRet,MATCH($E1160,ProcNome,0)),""),"")</f>
        <v>0</v>
      </c>
      <c r="R1160" s="26">
        <f>IF($Q1160="","",IF(COUNTIFS(AgPac,$D1160,AgData,"&gt;"&amp;$A1160,AgStatus,"&lt;&gt;Cancelado",AgStatus,"&lt;&gt;Remarcado")&gt;0,"Sim","Não"))</f>
        <v>0</v>
      </c>
      <c r="S1160" s="28">
        <f>IF($A1160="","",IF(AND($F1160="Agendado",$A1160-Hoje&gt;=0,$A1160-Hoje&lt;=DiasConf),"CONFIRMAR",IF(AND($A1160&lt;Hoje,OR($F1160="Agendado",$F1160="Confirmado")),"Atualizar status",IF(AND($F1160="Compareceu",$P1160&gt;0.005),"Cobrar",IF($F1160="Faltou","Falta: reagendar","")))))</f>
        <v>0</v>
      </c>
      <c r="T1160" s="29">
        <f>IF($A1160="","",DATE(YEAR($A1160),MONTH($A1160),1))</f>
        <v>0</v>
      </c>
      <c r="U1160" s="30">
        <f>IF($S1160="CONFIRMAR",MAX($U$4:$U1159)+1,"")</f>
        <v>0</v>
      </c>
      <c r="V1160" s="30">
        <f>IF(AND($R1160="Não",$Q1160&lt;&gt;"",$Q1160&lt;=Hoje+JanelaRet,$Q1160&gt;=Hoje-60),MAX($V$4:$V1159)+1,"")</f>
        <v>0</v>
      </c>
    </row>
    <row r="1161" spans="1:22">
      <c r="A1161" s="16"/>
      <c r="B1161" s="23"/>
      <c r="C1161" s="15"/>
      <c r="D1161" s="15"/>
      <c r="E1161" s="15"/>
      <c r="F1161" s="24"/>
      <c r="G1161" s="17"/>
      <c r="H1161" s="17"/>
      <c r="I1161" s="15"/>
      <c r="J1161" s="25">
        <f>IF($D1161="","",IFERROR(INDEX(PacNome,MATCH($D1161,PacCod,0)),"Paciente não cadastrado"))</f>
        <v>0</v>
      </c>
      <c r="K1161" s="26">
        <f>IF($D1161="","",IFERROR(INDEX(PacConv,MATCH($D1161,PacCod,0))&amp;"",""))</f>
        <v>0</v>
      </c>
      <c r="L1161" s="26">
        <f>IF($A1161="","",CHOOSE(WEEKDAY($A1161,2),"Seg","Ter","Qua","Qui","Sex","Sáb","Dom"))</f>
        <v>0</v>
      </c>
      <c r="M1161" s="27">
        <f>IF($E1161="","",IF($G1161&lt;&gt;"",$G1161,IFERROR(INDEX(ProcValor,MATCH($E1161,ProcNome,0)),0)))</f>
        <v>0</v>
      </c>
      <c r="N1161" s="27">
        <f>IF($M1161="","",IF($F1161="Compareceu",$M1161,0))</f>
        <v>0</v>
      </c>
      <c r="O1161" s="27">
        <f>IF($M1161="","",IF($F1161="Faltou",$M1161,0))</f>
        <v>0</v>
      </c>
      <c r="P1161" s="27">
        <f>IF($M1161="","",IF($F1161="Compareceu",MAX(0,$M1161-N($H1161)),0))</f>
        <v>0</v>
      </c>
      <c r="Q1161" s="19">
        <f>IF(AND($F1161="Compareceu",$E1161&lt;&gt;"",$A1161&lt;&gt;""),IF(IFERROR(INDEX(ProcRet,MATCH($E1161,ProcNome,0)),0)&gt;0,$A1161+INDEX(ProcRet,MATCH($E1161,ProcNome,0)),""),"")</f>
        <v>0</v>
      </c>
      <c r="R1161" s="26">
        <f>IF($Q1161="","",IF(COUNTIFS(AgPac,$D1161,AgData,"&gt;"&amp;$A1161,AgStatus,"&lt;&gt;Cancelado",AgStatus,"&lt;&gt;Remarcado")&gt;0,"Sim","Não"))</f>
        <v>0</v>
      </c>
      <c r="S1161" s="28">
        <f>IF($A1161="","",IF(AND($F1161="Agendado",$A1161-Hoje&gt;=0,$A1161-Hoje&lt;=DiasConf),"CONFIRMAR",IF(AND($A1161&lt;Hoje,OR($F1161="Agendado",$F1161="Confirmado")),"Atualizar status",IF(AND($F1161="Compareceu",$P1161&gt;0.005),"Cobrar",IF($F1161="Faltou","Falta: reagendar","")))))</f>
        <v>0</v>
      </c>
      <c r="T1161" s="29">
        <f>IF($A1161="","",DATE(YEAR($A1161),MONTH($A1161),1))</f>
        <v>0</v>
      </c>
      <c r="U1161" s="30">
        <f>IF($S1161="CONFIRMAR",MAX($U$4:$U1160)+1,"")</f>
        <v>0</v>
      </c>
      <c r="V1161" s="30">
        <f>IF(AND($R1161="Não",$Q1161&lt;&gt;"",$Q1161&lt;=Hoje+JanelaRet,$Q1161&gt;=Hoje-60),MAX($V$4:$V1160)+1,"")</f>
        <v>0</v>
      </c>
    </row>
    <row r="1162" spans="1:22">
      <c r="A1162" s="16"/>
      <c r="B1162" s="23"/>
      <c r="C1162" s="15"/>
      <c r="D1162" s="15"/>
      <c r="E1162" s="15"/>
      <c r="F1162" s="24"/>
      <c r="G1162" s="17"/>
      <c r="H1162" s="17"/>
      <c r="I1162" s="15"/>
      <c r="J1162" s="25">
        <f>IF($D1162="","",IFERROR(INDEX(PacNome,MATCH($D1162,PacCod,0)),"Paciente não cadastrado"))</f>
        <v>0</v>
      </c>
      <c r="K1162" s="26">
        <f>IF($D1162="","",IFERROR(INDEX(PacConv,MATCH($D1162,PacCod,0))&amp;"",""))</f>
        <v>0</v>
      </c>
      <c r="L1162" s="26">
        <f>IF($A1162="","",CHOOSE(WEEKDAY($A1162,2),"Seg","Ter","Qua","Qui","Sex","Sáb","Dom"))</f>
        <v>0</v>
      </c>
      <c r="M1162" s="27">
        <f>IF($E1162="","",IF($G1162&lt;&gt;"",$G1162,IFERROR(INDEX(ProcValor,MATCH($E1162,ProcNome,0)),0)))</f>
        <v>0</v>
      </c>
      <c r="N1162" s="27">
        <f>IF($M1162="","",IF($F1162="Compareceu",$M1162,0))</f>
        <v>0</v>
      </c>
      <c r="O1162" s="27">
        <f>IF($M1162="","",IF($F1162="Faltou",$M1162,0))</f>
        <v>0</v>
      </c>
      <c r="P1162" s="27">
        <f>IF($M1162="","",IF($F1162="Compareceu",MAX(0,$M1162-N($H1162)),0))</f>
        <v>0</v>
      </c>
      <c r="Q1162" s="19">
        <f>IF(AND($F1162="Compareceu",$E1162&lt;&gt;"",$A1162&lt;&gt;""),IF(IFERROR(INDEX(ProcRet,MATCH($E1162,ProcNome,0)),0)&gt;0,$A1162+INDEX(ProcRet,MATCH($E1162,ProcNome,0)),""),"")</f>
        <v>0</v>
      </c>
      <c r="R1162" s="26">
        <f>IF($Q1162="","",IF(COUNTIFS(AgPac,$D1162,AgData,"&gt;"&amp;$A1162,AgStatus,"&lt;&gt;Cancelado",AgStatus,"&lt;&gt;Remarcado")&gt;0,"Sim","Não"))</f>
        <v>0</v>
      </c>
      <c r="S1162" s="28">
        <f>IF($A1162="","",IF(AND($F1162="Agendado",$A1162-Hoje&gt;=0,$A1162-Hoje&lt;=DiasConf),"CONFIRMAR",IF(AND($A1162&lt;Hoje,OR($F1162="Agendado",$F1162="Confirmado")),"Atualizar status",IF(AND($F1162="Compareceu",$P1162&gt;0.005),"Cobrar",IF($F1162="Faltou","Falta: reagendar","")))))</f>
        <v>0</v>
      </c>
      <c r="T1162" s="29">
        <f>IF($A1162="","",DATE(YEAR($A1162),MONTH($A1162),1))</f>
        <v>0</v>
      </c>
      <c r="U1162" s="30">
        <f>IF($S1162="CONFIRMAR",MAX($U$4:$U1161)+1,"")</f>
        <v>0</v>
      </c>
      <c r="V1162" s="30">
        <f>IF(AND($R1162="Não",$Q1162&lt;&gt;"",$Q1162&lt;=Hoje+JanelaRet,$Q1162&gt;=Hoje-60),MAX($V$4:$V1161)+1,"")</f>
        <v>0</v>
      </c>
    </row>
    <row r="1163" spans="1:22">
      <c r="A1163" s="16"/>
      <c r="B1163" s="23"/>
      <c r="C1163" s="15"/>
      <c r="D1163" s="15"/>
      <c r="E1163" s="15"/>
      <c r="F1163" s="24"/>
      <c r="G1163" s="17"/>
      <c r="H1163" s="17"/>
      <c r="I1163" s="15"/>
      <c r="J1163" s="25">
        <f>IF($D1163="","",IFERROR(INDEX(PacNome,MATCH($D1163,PacCod,0)),"Paciente não cadastrado"))</f>
        <v>0</v>
      </c>
      <c r="K1163" s="26">
        <f>IF($D1163="","",IFERROR(INDEX(PacConv,MATCH($D1163,PacCod,0))&amp;"",""))</f>
        <v>0</v>
      </c>
      <c r="L1163" s="26">
        <f>IF($A1163="","",CHOOSE(WEEKDAY($A1163,2),"Seg","Ter","Qua","Qui","Sex","Sáb","Dom"))</f>
        <v>0</v>
      </c>
      <c r="M1163" s="27">
        <f>IF($E1163="","",IF($G1163&lt;&gt;"",$G1163,IFERROR(INDEX(ProcValor,MATCH($E1163,ProcNome,0)),0)))</f>
        <v>0</v>
      </c>
      <c r="N1163" s="27">
        <f>IF($M1163="","",IF($F1163="Compareceu",$M1163,0))</f>
        <v>0</v>
      </c>
      <c r="O1163" s="27">
        <f>IF($M1163="","",IF($F1163="Faltou",$M1163,0))</f>
        <v>0</v>
      </c>
      <c r="P1163" s="27">
        <f>IF($M1163="","",IF($F1163="Compareceu",MAX(0,$M1163-N($H1163)),0))</f>
        <v>0</v>
      </c>
      <c r="Q1163" s="19">
        <f>IF(AND($F1163="Compareceu",$E1163&lt;&gt;"",$A1163&lt;&gt;""),IF(IFERROR(INDEX(ProcRet,MATCH($E1163,ProcNome,0)),0)&gt;0,$A1163+INDEX(ProcRet,MATCH($E1163,ProcNome,0)),""),"")</f>
        <v>0</v>
      </c>
      <c r="R1163" s="26">
        <f>IF($Q1163="","",IF(COUNTIFS(AgPac,$D1163,AgData,"&gt;"&amp;$A1163,AgStatus,"&lt;&gt;Cancelado",AgStatus,"&lt;&gt;Remarcado")&gt;0,"Sim","Não"))</f>
        <v>0</v>
      </c>
      <c r="S1163" s="28">
        <f>IF($A1163="","",IF(AND($F1163="Agendado",$A1163-Hoje&gt;=0,$A1163-Hoje&lt;=DiasConf),"CONFIRMAR",IF(AND($A1163&lt;Hoje,OR($F1163="Agendado",$F1163="Confirmado")),"Atualizar status",IF(AND($F1163="Compareceu",$P1163&gt;0.005),"Cobrar",IF($F1163="Faltou","Falta: reagendar","")))))</f>
        <v>0</v>
      </c>
      <c r="T1163" s="29">
        <f>IF($A1163="","",DATE(YEAR($A1163),MONTH($A1163),1))</f>
        <v>0</v>
      </c>
      <c r="U1163" s="30">
        <f>IF($S1163="CONFIRMAR",MAX($U$4:$U1162)+1,"")</f>
        <v>0</v>
      </c>
      <c r="V1163" s="30">
        <f>IF(AND($R1163="Não",$Q1163&lt;&gt;"",$Q1163&lt;=Hoje+JanelaRet,$Q1163&gt;=Hoje-60),MAX($V$4:$V1162)+1,"")</f>
        <v>0</v>
      </c>
    </row>
    <row r="1164" spans="1:22">
      <c r="A1164" s="16"/>
      <c r="B1164" s="23"/>
      <c r="C1164" s="15"/>
      <c r="D1164" s="15"/>
      <c r="E1164" s="15"/>
      <c r="F1164" s="24"/>
      <c r="G1164" s="17"/>
      <c r="H1164" s="17"/>
      <c r="I1164" s="15"/>
      <c r="J1164" s="25">
        <f>IF($D1164="","",IFERROR(INDEX(PacNome,MATCH($D1164,PacCod,0)),"Paciente não cadastrado"))</f>
        <v>0</v>
      </c>
      <c r="K1164" s="26">
        <f>IF($D1164="","",IFERROR(INDEX(PacConv,MATCH($D1164,PacCod,0))&amp;"",""))</f>
        <v>0</v>
      </c>
      <c r="L1164" s="26">
        <f>IF($A1164="","",CHOOSE(WEEKDAY($A1164,2),"Seg","Ter","Qua","Qui","Sex","Sáb","Dom"))</f>
        <v>0</v>
      </c>
      <c r="M1164" s="27">
        <f>IF($E1164="","",IF($G1164&lt;&gt;"",$G1164,IFERROR(INDEX(ProcValor,MATCH($E1164,ProcNome,0)),0)))</f>
        <v>0</v>
      </c>
      <c r="N1164" s="27">
        <f>IF($M1164="","",IF($F1164="Compareceu",$M1164,0))</f>
        <v>0</v>
      </c>
      <c r="O1164" s="27">
        <f>IF($M1164="","",IF($F1164="Faltou",$M1164,0))</f>
        <v>0</v>
      </c>
      <c r="P1164" s="27">
        <f>IF($M1164="","",IF($F1164="Compareceu",MAX(0,$M1164-N($H1164)),0))</f>
        <v>0</v>
      </c>
      <c r="Q1164" s="19">
        <f>IF(AND($F1164="Compareceu",$E1164&lt;&gt;"",$A1164&lt;&gt;""),IF(IFERROR(INDEX(ProcRet,MATCH($E1164,ProcNome,0)),0)&gt;0,$A1164+INDEX(ProcRet,MATCH($E1164,ProcNome,0)),""),"")</f>
        <v>0</v>
      </c>
      <c r="R1164" s="26">
        <f>IF($Q1164="","",IF(COUNTIFS(AgPac,$D1164,AgData,"&gt;"&amp;$A1164,AgStatus,"&lt;&gt;Cancelado",AgStatus,"&lt;&gt;Remarcado")&gt;0,"Sim","Não"))</f>
        <v>0</v>
      </c>
      <c r="S1164" s="28">
        <f>IF($A1164="","",IF(AND($F1164="Agendado",$A1164-Hoje&gt;=0,$A1164-Hoje&lt;=DiasConf),"CONFIRMAR",IF(AND($A1164&lt;Hoje,OR($F1164="Agendado",$F1164="Confirmado")),"Atualizar status",IF(AND($F1164="Compareceu",$P1164&gt;0.005),"Cobrar",IF($F1164="Faltou","Falta: reagendar","")))))</f>
        <v>0</v>
      </c>
      <c r="T1164" s="29">
        <f>IF($A1164="","",DATE(YEAR($A1164),MONTH($A1164),1))</f>
        <v>0</v>
      </c>
      <c r="U1164" s="30">
        <f>IF($S1164="CONFIRMAR",MAX($U$4:$U1163)+1,"")</f>
        <v>0</v>
      </c>
      <c r="V1164" s="30">
        <f>IF(AND($R1164="Não",$Q1164&lt;&gt;"",$Q1164&lt;=Hoje+JanelaRet,$Q1164&gt;=Hoje-60),MAX($V$4:$V1163)+1,"")</f>
        <v>0</v>
      </c>
    </row>
    <row r="1165" spans="1:22">
      <c r="A1165" s="16"/>
      <c r="B1165" s="23"/>
      <c r="C1165" s="15"/>
      <c r="D1165" s="15"/>
      <c r="E1165" s="15"/>
      <c r="F1165" s="24"/>
      <c r="G1165" s="17"/>
      <c r="H1165" s="17"/>
      <c r="I1165" s="15"/>
      <c r="J1165" s="25">
        <f>IF($D1165="","",IFERROR(INDEX(PacNome,MATCH($D1165,PacCod,0)),"Paciente não cadastrado"))</f>
        <v>0</v>
      </c>
      <c r="K1165" s="26">
        <f>IF($D1165="","",IFERROR(INDEX(PacConv,MATCH($D1165,PacCod,0))&amp;"",""))</f>
        <v>0</v>
      </c>
      <c r="L1165" s="26">
        <f>IF($A1165="","",CHOOSE(WEEKDAY($A1165,2),"Seg","Ter","Qua","Qui","Sex","Sáb","Dom"))</f>
        <v>0</v>
      </c>
      <c r="M1165" s="27">
        <f>IF($E1165="","",IF($G1165&lt;&gt;"",$G1165,IFERROR(INDEX(ProcValor,MATCH($E1165,ProcNome,0)),0)))</f>
        <v>0</v>
      </c>
      <c r="N1165" s="27">
        <f>IF($M1165="","",IF($F1165="Compareceu",$M1165,0))</f>
        <v>0</v>
      </c>
      <c r="O1165" s="27">
        <f>IF($M1165="","",IF($F1165="Faltou",$M1165,0))</f>
        <v>0</v>
      </c>
      <c r="P1165" s="27">
        <f>IF($M1165="","",IF($F1165="Compareceu",MAX(0,$M1165-N($H1165)),0))</f>
        <v>0</v>
      </c>
      <c r="Q1165" s="19">
        <f>IF(AND($F1165="Compareceu",$E1165&lt;&gt;"",$A1165&lt;&gt;""),IF(IFERROR(INDEX(ProcRet,MATCH($E1165,ProcNome,0)),0)&gt;0,$A1165+INDEX(ProcRet,MATCH($E1165,ProcNome,0)),""),"")</f>
        <v>0</v>
      </c>
      <c r="R1165" s="26">
        <f>IF($Q1165="","",IF(COUNTIFS(AgPac,$D1165,AgData,"&gt;"&amp;$A1165,AgStatus,"&lt;&gt;Cancelado",AgStatus,"&lt;&gt;Remarcado")&gt;0,"Sim","Não"))</f>
        <v>0</v>
      </c>
      <c r="S1165" s="28">
        <f>IF($A1165="","",IF(AND($F1165="Agendado",$A1165-Hoje&gt;=0,$A1165-Hoje&lt;=DiasConf),"CONFIRMAR",IF(AND($A1165&lt;Hoje,OR($F1165="Agendado",$F1165="Confirmado")),"Atualizar status",IF(AND($F1165="Compareceu",$P1165&gt;0.005),"Cobrar",IF($F1165="Faltou","Falta: reagendar","")))))</f>
        <v>0</v>
      </c>
      <c r="T1165" s="29">
        <f>IF($A1165="","",DATE(YEAR($A1165),MONTH($A1165),1))</f>
        <v>0</v>
      </c>
      <c r="U1165" s="30">
        <f>IF($S1165="CONFIRMAR",MAX($U$4:$U1164)+1,"")</f>
        <v>0</v>
      </c>
      <c r="V1165" s="30">
        <f>IF(AND($R1165="Não",$Q1165&lt;&gt;"",$Q1165&lt;=Hoje+JanelaRet,$Q1165&gt;=Hoje-60),MAX($V$4:$V1164)+1,"")</f>
        <v>0</v>
      </c>
    </row>
    <row r="1166" spans="1:22">
      <c r="A1166" s="16"/>
      <c r="B1166" s="23"/>
      <c r="C1166" s="15"/>
      <c r="D1166" s="15"/>
      <c r="E1166" s="15"/>
      <c r="F1166" s="24"/>
      <c r="G1166" s="17"/>
      <c r="H1166" s="17"/>
      <c r="I1166" s="15"/>
      <c r="J1166" s="25">
        <f>IF($D1166="","",IFERROR(INDEX(PacNome,MATCH($D1166,PacCod,0)),"Paciente não cadastrado"))</f>
        <v>0</v>
      </c>
      <c r="K1166" s="26">
        <f>IF($D1166="","",IFERROR(INDEX(PacConv,MATCH($D1166,PacCod,0))&amp;"",""))</f>
        <v>0</v>
      </c>
      <c r="L1166" s="26">
        <f>IF($A1166="","",CHOOSE(WEEKDAY($A1166,2),"Seg","Ter","Qua","Qui","Sex","Sáb","Dom"))</f>
        <v>0</v>
      </c>
      <c r="M1166" s="27">
        <f>IF($E1166="","",IF($G1166&lt;&gt;"",$G1166,IFERROR(INDEX(ProcValor,MATCH($E1166,ProcNome,0)),0)))</f>
        <v>0</v>
      </c>
      <c r="N1166" s="27">
        <f>IF($M1166="","",IF($F1166="Compareceu",$M1166,0))</f>
        <v>0</v>
      </c>
      <c r="O1166" s="27">
        <f>IF($M1166="","",IF($F1166="Faltou",$M1166,0))</f>
        <v>0</v>
      </c>
      <c r="P1166" s="27">
        <f>IF($M1166="","",IF($F1166="Compareceu",MAX(0,$M1166-N($H1166)),0))</f>
        <v>0</v>
      </c>
      <c r="Q1166" s="19">
        <f>IF(AND($F1166="Compareceu",$E1166&lt;&gt;"",$A1166&lt;&gt;""),IF(IFERROR(INDEX(ProcRet,MATCH($E1166,ProcNome,0)),0)&gt;0,$A1166+INDEX(ProcRet,MATCH($E1166,ProcNome,0)),""),"")</f>
        <v>0</v>
      </c>
      <c r="R1166" s="26">
        <f>IF($Q1166="","",IF(COUNTIFS(AgPac,$D1166,AgData,"&gt;"&amp;$A1166,AgStatus,"&lt;&gt;Cancelado",AgStatus,"&lt;&gt;Remarcado")&gt;0,"Sim","Não"))</f>
        <v>0</v>
      </c>
      <c r="S1166" s="28">
        <f>IF($A1166="","",IF(AND($F1166="Agendado",$A1166-Hoje&gt;=0,$A1166-Hoje&lt;=DiasConf),"CONFIRMAR",IF(AND($A1166&lt;Hoje,OR($F1166="Agendado",$F1166="Confirmado")),"Atualizar status",IF(AND($F1166="Compareceu",$P1166&gt;0.005),"Cobrar",IF($F1166="Faltou","Falta: reagendar","")))))</f>
        <v>0</v>
      </c>
      <c r="T1166" s="29">
        <f>IF($A1166="","",DATE(YEAR($A1166),MONTH($A1166),1))</f>
        <v>0</v>
      </c>
      <c r="U1166" s="30">
        <f>IF($S1166="CONFIRMAR",MAX($U$4:$U1165)+1,"")</f>
        <v>0</v>
      </c>
      <c r="V1166" s="30">
        <f>IF(AND($R1166="Não",$Q1166&lt;&gt;"",$Q1166&lt;=Hoje+JanelaRet,$Q1166&gt;=Hoje-60),MAX($V$4:$V1165)+1,"")</f>
        <v>0</v>
      </c>
    </row>
    <row r="1167" spans="1:22">
      <c r="A1167" s="16"/>
      <c r="B1167" s="23"/>
      <c r="C1167" s="15"/>
      <c r="D1167" s="15"/>
      <c r="E1167" s="15"/>
      <c r="F1167" s="24"/>
      <c r="G1167" s="17"/>
      <c r="H1167" s="17"/>
      <c r="I1167" s="15"/>
      <c r="J1167" s="25">
        <f>IF($D1167="","",IFERROR(INDEX(PacNome,MATCH($D1167,PacCod,0)),"Paciente não cadastrado"))</f>
        <v>0</v>
      </c>
      <c r="K1167" s="26">
        <f>IF($D1167="","",IFERROR(INDEX(PacConv,MATCH($D1167,PacCod,0))&amp;"",""))</f>
        <v>0</v>
      </c>
      <c r="L1167" s="26">
        <f>IF($A1167="","",CHOOSE(WEEKDAY($A1167,2),"Seg","Ter","Qua","Qui","Sex","Sáb","Dom"))</f>
        <v>0</v>
      </c>
      <c r="M1167" s="27">
        <f>IF($E1167="","",IF($G1167&lt;&gt;"",$G1167,IFERROR(INDEX(ProcValor,MATCH($E1167,ProcNome,0)),0)))</f>
        <v>0</v>
      </c>
      <c r="N1167" s="27">
        <f>IF($M1167="","",IF($F1167="Compareceu",$M1167,0))</f>
        <v>0</v>
      </c>
      <c r="O1167" s="27">
        <f>IF($M1167="","",IF($F1167="Faltou",$M1167,0))</f>
        <v>0</v>
      </c>
      <c r="P1167" s="27">
        <f>IF($M1167="","",IF($F1167="Compareceu",MAX(0,$M1167-N($H1167)),0))</f>
        <v>0</v>
      </c>
      <c r="Q1167" s="19">
        <f>IF(AND($F1167="Compareceu",$E1167&lt;&gt;"",$A1167&lt;&gt;""),IF(IFERROR(INDEX(ProcRet,MATCH($E1167,ProcNome,0)),0)&gt;0,$A1167+INDEX(ProcRet,MATCH($E1167,ProcNome,0)),""),"")</f>
        <v>0</v>
      </c>
      <c r="R1167" s="26">
        <f>IF($Q1167="","",IF(COUNTIFS(AgPac,$D1167,AgData,"&gt;"&amp;$A1167,AgStatus,"&lt;&gt;Cancelado",AgStatus,"&lt;&gt;Remarcado")&gt;0,"Sim","Não"))</f>
        <v>0</v>
      </c>
      <c r="S1167" s="28">
        <f>IF($A1167="","",IF(AND($F1167="Agendado",$A1167-Hoje&gt;=0,$A1167-Hoje&lt;=DiasConf),"CONFIRMAR",IF(AND($A1167&lt;Hoje,OR($F1167="Agendado",$F1167="Confirmado")),"Atualizar status",IF(AND($F1167="Compareceu",$P1167&gt;0.005),"Cobrar",IF($F1167="Faltou","Falta: reagendar","")))))</f>
        <v>0</v>
      </c>
      <c r="T1167" s="29">
        <f>IF($A1167="","",DATE(YEAR($A1167),MONTH($A1167),1))</f>
        <v>0</v>
      </c>
      <c r="U1167" s="30">
        <f>IF($S1167="CONFIRMAR",MAX($U$4:$U1166)+1,"")</f>
        <v>0</v>
      </c>
      <c r="V1167" s="30">
        <f>IF(AND($R1167="Não",$Q1167&lt;&gt;"",$Q1167&lt;=Hoje+JanelaRet,$Q1167&gt;=Hoje-60),MAX($V$4:$V1166)+1,"")</f>
        <v>0</v>
      </c>
    </row>
    <row r="1168" spans="1:22">
      <c r="A1168" s="16"/>
      <c r="B1168" s="23"/>
      <c r="C1168" s="15"/>
      <c r="D1168" s="15"/>
      <c r="E1168" s="15"/>
      <c r="F1168" s="24"/>
      <c r="G1168" s="17"/>
      <c r="H1168" s="17"/>
      <c r="I1168" s="15"/>
      <c r="J1168" s="25">
        <f>IF($D1168="","",IFERROR(INDEX(PacNome,MATCH($D1168,PacCod,0)),"Paciente não cadastrado"))</f>
        <v>0</v>
      </c>
      <c r="K1168" s="26">
        <f>IF($D1168="","",IFERROR(INDEX(PacConv,MATCH($D1168,PacCod,0))&amp;"",""))</f>
        <v>0</v>
      </c>
      <c r="L1168" s="26">
        <f>IF($A1168="","",CHOOSE(WEEKDAY($A1168,2),"Seg","Ter","Qua","Qui","Sex","Sáb","Dom"))</f>
        <v>0</v>
      </c>
      <c r="M1168" s="27">
        <f>IF($E1168="","",IF($G1168&lt;&gt;"",$G1168,IFERROR(INDEX(ProcValor,MATCH($E1168,ProcNome,0)),0)))</f>
        <v>0</v>
      </c>
      <c r="N1168" s="27">
        <f>IF($M1168="","",IF($F1168="Compareceu",$M1168,0))</f>
        <v>0</v>
      </c>
      <c r="O1168" s="27">
        <f>IF($M1168="","",IF($F1168="Faltou",$M1168,0))</f>
        <v>0</v>
      </c>
      <c r="P1168" s="27">
        <f>IF($M1168="","",IF($F1168="Compareceu",MAX(0,$M1168-N($H1168)),0))</f>
        <v>0</v>
      </c>
      <c r="Q1168" s="19">
        <f>IF(AND($F1168="Compareceu",$E1168&lt;&gt;"",$A1168&lt;&gt;""),IF(IFERROR(INDEX(ProcRet,MATCH($E1168,ProcNome,0)),0)&gt;0,$A1168+INDEX(ProcRet,MATCH($E1168,ProcNome,0)),""),"")</f>
        <v>0</v>
      </c>
      <c r="R1168" s="26">
        <f>IF($Q1168="","",IF(COUNTIFS(AgPac,$D1168,AgData,"&gt;"&amp;$A1168,AgStatus,"&lt;&gt;Cancelado",AgStatus,"&lt;&gt;Remarcado")&gt;0,"Sim","Não"))</f>
        <v>0</v>
      </c>
      <c r="S1168" s="28">
        <f>IF($A1168="","",IF(AND($F1168="Agendado",$A1168-Hoje&gt;=0,$A1168-Hoje&lt;=DiasConf),"CONFIRMAR",IF(AND($A1168&lt;Hoje,OR($F1168="Agendado",$F1168="Confirmado")),"Atualizar status",IF(AND($F1168="Compareceu",$P1168&gt;0.005),"Cobrar",IF($F1168="Faltou","Falta: reagendar","")))))</f>
        <v>0</v>
      </c>
      <c r="T1168" s="29">
        <f>IF($A1168="","",DATE(YEAR($A1168),MONTH($A1168),1))</f>
        <v>0</v>
      </c>
      <c r="U1168" s="30">
        <f>IF($S1168="CONFIRMAR",MAX($U$4:$U1167)+1,"")</f>
        <v>0</v>
      </c>
      <c r="V1168" s="30">
        <f>IF(AND($R1168="Não",$Q1168&lt;&gt;"",$Q1168&lt;=Hoje+JanelaRet,$Q1168&gt;=Hoje-60),MAX($V$4:$V1167)+1,"")</f>
        <v>0</v>
      </c>
    </row>
    <row r="1169" spans="1:22">
      <c r="A1169" s="16"/>
      <c r="B1169" s="23"/>
      <c r="C1169" s="15"/>
      <c r="D1169" s="15"/>
      <c r="E1169" s="15"/>
      <c r="F1169" s="24"/>
      <c r="G1169" s="17"/>
      <c r="H1169" s="17"/>
      <c r="I1169" s="15"/>
      <c r="J1169" s="25">
        <f>IF($D1169="","",IFERROR(INDEX(PacNome,MATCH($D1169,PacCod,0)),"Paciente não cadastrado"))</f>
        <v>0</v>
      </c>
      <c r="K1169" s="26">
        <f>IF($D1169="","",IFERROR(INDEX(PacConv,MATCH($D1169,PacCod,0))&amp;"",""))</f>
        <v>0</v>
      </c>
      <c r="L1169" s="26">
        <f>IF($A1169="","",CHOOSE(WEEKDAY($A1169,2),"Seg","Ter","Qua","Qui","Sex","Sáb","Dom"))</f>
        <v>0</v>
      </c>
      <c r="M1169" s="27">
        <f>IF($E1169="","",IF($G1169&lt;&gt;"",$G1169,IFERROR(INDEX(ProcValor,MATCH($E1169,ProcNome,0)),0)))</f>
        <v>0</v>
      </c>
      <c r="N1169" s="27">
        <f>IF($M1169="","",IF($F1169="Compareceu",$M1169,0))</f>
        <v>0</v>
      </c>
      <c r="O1169" s="27">
        <f>IF($M1169="","",IF($F1169="Faltou",$M1169,0))</f>
        <v>0</v>
      </c>
      <c r="P1169" s="27">
        <f>IF($M1169="","",IF($F1169="Compareceu",MAX(0,$M1169-N($H1169)),0))</f>
        <v>0</v>
      </c>
      <c r="Q1169" s="19">
        <f>IF(AND($F1169="Compareceu",$E1169&lt;&gt;"",$A1169&lt;&gt;""),IF(IFERROR(INDEX(ProcRet,MATCH($E1169,ProcNome,0)),0)&gt;0,$A1169+INDEX(ProcRet,MATCH($E1169,ProcNome,0)),""),"")</f>
        <v>0</v>
      </c>
      <c r="R1169" s="26">
        <f>IF($Q1169="","",IF(COUNTIFS(AgPac,$D1169,AgData,"&gt;"&amp;$A1169,AgStatus,"&lt;&gt;Cancelado",AgStatus,"&lt;&gt;Remarcado")&gt;0,"Sim","Não"))</f>
        <v>0</v>
      </c>
      <c r="S1169" s="28">
        <f>IF($A1169="","",IF(AND($F1169="Agendado",$A1169-Hoje&gt;=0,$A1169-Hoje&lt;=DiasConf),"CONFIRMAR",IF(AND($A1169&lt;Hoje,OR($F1169="Agendado",$F1169="Confirmado")),"Atualizar status",IF(AND($F1169="Compareceu",$P1169&gt;0.005),"Cobrar",IF($F1169="Faltou","Falta: reagendar","")))))</f>
        <v>0</v>
      </c>
      <c r="T1169" s="29">
        <f>IF($A1169="","",DATE(YEAR($A1169),MONTH($A1169),1))</f>
        <v>0</v>
      </c>
      <c r="U1169" s="30">
        <f>IF($S1169="CONFIRMAR",MAX($U$4:$U1168)+1,"")</f>
        <v>0</v>
      </c>
      <c r="V1169" s="30">
        <f>IF(AND($R1169="Não",$Q1169&lt;&gt;"",$Q1169&lt;=Hoje+JanelaRet,$Q1169&gt;=Hoje-60),MAX($V$4:$V1168)+1,"")</f>
        <v>0</v>
      </c>
    </row>
    <row r="1170" spans="1:22">
      <c r="A1170" s="16"/>
      <c r="B1170" s="23"/>
      <c r="C1170" s="15"/>
      <c r="D1170" s="15"/>
      <c r="E1170" s="15"/>
      <c r="F1170" s="24"/>
      <c r="G1170" s="17"/>
      <c r="H1170" s="17"/>
      <c r="I1170" s="15"/>
      <c r="J1170" s="25">
        <f>IF($D1170="","",IFERROR(INDEX(PacNome,MATCH($D1170,PacCod,0)),"Paciente não cadastrado"))</f>
        <v>0</v>
      </c>
      <c r="K1170" s="26">
        <f>IF($D1170="","",IFERROR(INDEX(PacConv,MATCH($D1170,PacCod,0))&amp;"",""))</f>
        <v>0</v>
      </c>
      <c r="L1170" s="26">
        <f>IF($A1170="","",CHOOSE(WEEKDAY($A1170,2),"Seg","Ter","Qua","Qui","Sex","Sáb","Dom"))</f>
        <v>0</v>
      </c>
      <c r="M1170" s="27">
        <f>IF($E1170="","",IF($G1170&lt;&gt;"",$G1170,IFERROR(INDEX(ProcValor,MATCH($E1170,ProcNome,0)),0)))</f>
        <v>0</v>
      </c>
      <c r="N1170" s="27">
        <f>IF($M1170="","",IF($F1170="Compareceu",$M1170,0))</f>
        <v>0</v>
      </c>
      <c r="O1170" s="27">
        <f>IF($M1170="","",IF($F1170="Faltou",$M1170,0))</f>
        <v>0</v>
      </c>
      <c r="P1170" s="27">
        <f>IF($M1170="","",IF($F1170="Compareceu",MAX(0,$M1170-N($H1170)),0))</f>
        <v>0</v>
      </c>
      <c r="Q1170" s="19">
        <f>IF(AND($F1170="Compareceu",$E1170&lt;&gt;"",$A1170&lt;&gt;""),IF(IFERROR(INDEX(ProcRet,MATCH($E1170,ProcNome,0)),0)&gt;0,$A1170+INDEX(ProcRet,MATCH($E1170,ProcNome,0)),""),"")</f>
        <v>0</v>
      </c>
      <c r="R1170" s="26">
        <f>IF($Q1170="","",IF(COUNTIFS(AgPac,$D1170,AgData,"&gt;"&amp;$A1170,AgStatus,"&lt;&gt;Cancelado",AgStatus,"&lt;&gt;Remarcado")&gt;0,"Sim","Não"))</f>
        <v>0</v>
      </c>
      <c r="S1170" s="28">
        <f>IF($A1170="","",IF(AND($F1170="Agendado",$A1170-Hoje&gt;=0,$A1170-Hoje&lt;=DiasConf),"CONFIRMAR",IF(AND($A1170&lt;Hoje,OR($F1170="Agendado",$F1170="Confirmado")),"Atualizar status",IF(AND($F1170="Compareceu",$P1170&gt;0.005),"Cobrar",IF($F1170="Faltou","Falta: reagendar","")))))</f>
        <v>0</v>
      </c>
      <c r="T1170" s="29">
        <f>IF($A1170="","",DATE(YEAR($A1170),MONTH($A1170),1))</f>
        <v>0</v>
      </c>
      <c r="U1170" s="30">
        <f>IF($S1170="CONFIRMAR",MAX($U$4:$U1169)+1,"")</f>
        <v>0</v>
      </c>
      <c r="V1170" s="30">
        <f>IF(AND($R1170="Não",$Q1170&lt;&gt;"",$Q1170&lt;=Hoje+JanelaRet,$Q1170&gt;=Hoje-60),MAX($V$4:$V1169)+1,"")</f>
        <v>0</v>
      </c>
    </row>
    <row r="1171" spans="1:22">
      <c r="A1171" s="16"/>
      <c r="B1171" s="23"/>
      <c r="C1171" s="15"/>
      <c r="D1171" s="15"/>
      <c r="E1171" s="15"/>
      <c r="F1171" s="24"/>
      <c r="G1171" s="17"/>
      <c r="H1171" s="17"/>
      <c r="I1171" s="15"/>
      <c r="J1171" s="25">
        <f>IF($D1171="","",IFERROR(INDEX(PacNome,MATCH($D1171,PacCod,0)),"Paciente não cadastrado"))</f>
        <v>0</v>
      </c>
      <c r="K1171" s="26">
        <f>IF($D1171="","",IFERROR(INDEX(PacConv,MATCH($D1171,PacCod,0))&amp;"",""))</f>
        <v>0</v>
      </c>
      <c r="L1171" s="26">
        <f>IF($A1171="","",CHOOSE(WEEKDAY($A1171,2),"Seg","Ter","Qua","Qui","Sex","Sáb","Dom"))</f>
        <v>0</v>
      </c>
      <c r="M1171" s="27">
        <f>IF($E1171="","",IF($G1171&lt;&gt;"",$G1171,IFERROR(INDEX(ProcValor,MATCH($E1171,ProcNome,0)),0)))</f>
        <v>0</v>
      </c>
      <c r="N1171" s="27">
        <f>IF($M1171="","",IF($F1171="Compareceu",$M1171,0))</f>
        <v>0</v>
      </c>
      <c r="O1171" s="27">
        <f>IF($M1171="","",IF($F1171="Faltou",$M1171,0))</f>
        <v>0</v>
      </c>
      <c r="P1171" s="27">
        <f>IF($M1171="","",IF($F1171="Compareceu",MAX(0,$M1171-N($H1171)),0))</f>
        <v>0</v>
      </c>
      <c r="Q1171" s="19">
        <f>IF(AND($F1171="Compareceu",$E1171&lt;&gt;"",$A1171&lt;&gt;""),IF(IFERROR(INDEX(ProcRet,MATCH($E1171,ProcNome,0)),0)&gt;0,$A1171+INDEX(ProcRet,MATCH($E1171,ProcNome,0)),""),"")</f>
        <v>0</v>
      </c>
      <c r="R1171" s="26">
        <f>IF($Q1171="","",IF(COUNTIFS(AgPac,$D1171,AgData,"&gt;"&amp;$A1171,AgStatus,"&lt;&gt;Cancelado",AgStatus,"&lt;&gt;Remarcado")&gt;0,"Sim","Não"))</f>
        <v>0</v>
      </c>
      <c r="S1171" s="28">
        <f>IF($A1171="","",IF(AND($F1171="Agendado",$A1171-Hoje&gt;=0,$A1171-Hoje&lt;=DiasConf),"CONFIRMAR",IF(AND($A1171&lt;Hoje,OR($F1171="Agendado",$F1171="Confirmado")),"Atualizar status",IF(AND($F1171="Compareceu",$P1171&gt;0.005),"Cobrar",IF($F1171="Faltou","Falta: reagendar","")))))</f>
        <v>0</v>
      </c>
      <c r="T1171" s="29">
        <f>IF($A1171="","",DATE(YEAR($A1171),MONTH($A1171),1))</f>
        <v>0</v>
      </c>
      <c r="U1171" s="30">
        <f>IF($S1171="CONFIRMAR",MAX($U$4:$U1170)+1,"")</f>
        <v>0</v>
      </c>
      <c r="V1171" s="30">
        <f>IF(AND($R1171="Não",$Q1171&lt;&gt;"",$Q1171&lt;=Hoje+JanelaRet,$Q1171&gt;=Hoje-60),MAX($V$4:$V1170)+1,"")</f>
        <v>0</v>
      </c>
    </row>
    <row r="1172" spans="1:22">
      <c r="A1172" s="16"/>
      <c r="B1172" s="23"/>
      <c r="C1172" s="15"/>
      <c r="D1172" s="15"/>
      <c r="E1172" s="15"/>
      <c r="F1172" s="24"/>
      <c r="G1172" s="17"/>
      <c r="H1172" s="17"/>
      <c r="I1172" s="15"/>
      <c r="J1172" s="25">
        <f>IF($D1172="","",IFERROR(INDEX(PacNome,MATCH($D1172,PacCod,0)),"Paciente não cadastrado"))</f>
        <v>0</v>
      </c>
      <c r="K1172" s="26">
        <f>IF($D1172="","",IFERROR(INDEX(PacConv,MATCH($D1172,PacCod,0))&amp;"",""))</f>
        <v>0</v>
      </c>
      <c r="L1172" s="26">
        <f>IF($A1172="","",CHOOSE(WEEKDAY($A1172,2),"Seg","Ter","Qua","Qui","Sex","Sáb","Dom"))</f>
        <v>0</v>
      </c>
      <c r="M1172" s="27">
        <f>IF($E1172="","",IF($G1172&lt;&gt;"",$G1172,IFERROR(INDEX(ProcValor,MATCH($E1172,ProcNome,0)),0)))</f>
        <v>0</v>
      </c>
      <c r="N1172" s="27">
        <f>IF($M1172="","",IF($F1172="Compareceu",$M1172,0))</f>
        <v>0</v>
      </c>
      <c r="O1172" s="27">
        <f>IF($M1172="","",IF($F1172="Faltou",$M1172,0))</f>
        <v>0</v>
      </c>
      <c r="P1172" s="27">
        <f>IF($M1172="","",IF($F1172="Compareceu",MAX(0,$M1172-N($H1172)),0))</f>
        <v>0</v>
      </c>
      <c r="Q1172" s="19">
        <f>IF(AND($F1172="Compareceu",$E1172&lt;&gt;"",$A1172&lt;&gt;""),IF(IFERROR(INDEX(ProcRet,MATCH($E1172,ProcNome,0)),0)&gt;0,$A1172+INDEX(ProcRet,MATCH($E1172,ProcNome,0)),""),"")</f>
        <v>0</v>
      </c>
      <c r="R1172" s="26">
        <f>IF($Q1172="","",IF(COUNTIFS(AgPac,$D1172,AgData,"&gt;"&amp;$A1172,AgStatus,"&lt;&gt;Cancelado",AgStatus,"&lt;&gt;Remarcado")&gt;0,"Sim","Não"))</f>
        <v>0</v>
      </c>
      <c r="S1172" s="28">
        <f>IF($A1172="","",IF(AND($F1172="Agendado",$A1172-Hoje&gt;=0,$A1172-Hoje&lt;=DiasConf),"CONFIRMAR",IF(AND($A1172&lt;Hoje,OR($F1172="Agendado",$F1172="Confirmado")),"Atualizar status",IF(AND($F1172="Compareceu",$P1172&gt;0.005),"Cobrar",IF($F1172="Faltou","Falta: reagendar","")))))</f>
        <v>0</v>
      </c>
      <c r="T1172" s="29">
        <f>IF($A1172="","",DATE(YEAR($A1172),MONTH($A1172),1))</f>
        <v>0</v>
      </c>
      <c r="U1172" s="30">
        <f>IF($S1172="CONFIRMAR",MAX($U$4:$U1171)+1,"")</f>
        <v>0</v>
      </c>
      <c r="V1172" s="30">
        <f>IF(AND($R1172="Não",$Q1172&lt;&gt;"",$Q1172&lt;=Hoje+JanelaRet,$Q1172&gt;=Hoje-60),MAX($V$4:$V1171)+1,"")</f>
        <v>0</v>
      </c>
    </row>
    <row r="1173" spans="1:22">
      <c r="A1173" s="16"/>
      <c r="B1173" s="23"/>
      <c r="C1173" s="15"/>
      <c r="D1173" s="15"/>
      <c r="E1173" s="15"/>
      <c r="F1173" s="24"/>
      <c r="G1173" s="17"/>
      <c r="H1173" s="17"/>
      <c r="I1173" s="15"/>
      <c r="J1173" s="25">
        <f>IF($D1173="","",IFERROR(INDEX(PacNome,MATCH($D1173,PacCod,0)),"Paciente não cadastrado"))</f>
        <v>0</v>
      </c>
      <c r="K1173" s="26">
        <f>IF($D1173="","",IFERROR(INDEX(PacConv,MATCH($D1173,PacCod,0))&amp;"",""))</f>
        <v>0</v>
      </c>
      <c r="L1173" s="26">
        <f>IF($A1173="","",CHOOSE(WEEKDAY($A1173,2),"Seg","Ter","Qua","Qui","Sex","Sáb","Dom"))</f>
        <v>0</v>
      </c>
      <c r="M1173" s="27">
        <f>IF($E1173="","",IF($G1173&lt;&gt;"",$G1173,IFERROR(INDEX(ProcValor,MATCH($E1173,ProcNome,0)),0)))</f>
        <v>0</v>
      </c>
      <c r="N1173" s="27">
        <f>IF($M1173="","",IF($F1173="Compareceu",$M1173,0))</f>
        <v>0</v>
      </c>
      <c r="O1173" s="27">
        <f>IF($M1173="","",IF($F1173="Faltou",$M1173,0))</f>
        <v>0</v>
      </c>
      <c r="P1173" s="27">
        <f>IF($M1173="","",IF($F1173="Compareceu",MAX(0,$M1173-N($H1173)),0))</f>
        <v>0</v>
      </c>
      <c r="Q1173" s="19">
        <f>IF(AND($F1173="Compareceu",$E1173&lt;&gt;"",$A1173&lt;&gt;""),IF(IFERROR(INDEX(ProcRet,MATCH($E1173,ProcNome,0)),0)&gt;0,$A1173+INDEX(ProcRet,MATCH($E1173,ProcNome,0)),""),"")</f>
        <v>0</v>
      </c>
      <c r="R1173" s="26">
        <f>IF($Q1173="","",IF(COUNTIFS(AgPac,$D1173,AgData,"&gt;"&amp;$A1173,AgStatus,"&lt;&gt;Cancelado",AgStatus,"&lt;&gt;Remarcado")&gt;0,"Sim","Não"))</f>
        <v>0</v>
      </c>
      <c r="S1173" s="28">
        <f>IF($A1173="","",IF(AND($F1173="Agendado",$A1173-Hoje&gt;=0,$A1173-Hoje&lt;=DiasConf),"CONFIRMAR",IF(AND($A1173&lt;Hoje,OR($F1173="Agendado",$F1173="Confirmado")),"Atualizar status",IF(AND($F1173="Compareceu",$P1173&gt;0.005),"Cobrar",IF($F1173="Faltou","Falta: reagendar","")))))</f>
        <v>0</v>
      </c>
      <c r="T1173" s="29">
        <f>IF($A1173="","",DATE(YEAR($A1173),MONTH($A1173),1))</f>
        <v>0</v>
      </c>
      <c r="U1173" s="30">
        <f>IF($S1173="CONFIRMAR",MAX($U$4:$U1172)+1,"")</f>
        <v>0</v>
      </c>
      <c r="V1173" s="30">
        <f>IF(AND($R1173="Não",$Q1173&lt;&gt;"",$Q1173&lt;=Hoje+JanelaRet,$Q1173&gt;=Hoje-60),MAX($V$4:$V1172)+1,"")</f>
        <v>0</v>
      </c>
    </row>
    <row r="1174" spans="1:22">
      <c r="A1174" s="16"/>
      <c r="B1174" s="23"/>
      <c r="C1174" s="15"/>
      <c r="D1174" s="15"/>
      <c r="E1174" s="15"/>
      <c r="F1174" s="24"/>
      <c r="G1174" s="17"/>
      <c r="H1174" s="17"/>
      <c r="I1174" s="15"/>
      <c r="J1174" s="25">
        <f>IF($D1174="","",IFERROR(INDEX(PacNome,MATCH($D1174,PacCod,0)),"Paciente não cadastrado"))</f>
        <v>0</v>
      </c>
      <c r="K1174" s="26">
        <f>IF($D1174="","",IFERROR(INDEX(PacConv,MATCH($D1174,PacCod,0))&amp;"",""))</f>
        <v>0</v>
      </c>
      <c r="L1174" s="26">
        <f>IF($A1174="","",CHOOSE(WEEKDAY($A1174,2),"Seg","Ter","Qua","Qui","Sex","Sáb","Dom"))</f>
        <v>0</v>
      </c>
      <c r="M1174" s="27">
        <f>IF($E1174="","",IF($G1174&lt;&gt;"",$G1174,IFERROR(INDEX(ProcValor,MATCH($E1174,ProcNome,0)),0)))</f>
        <v>0</v>
      </c>
      <c r="N1174" s="27">
        <f>IF($M1174="","",IF($F1174="Compareceu",$M1174,0))</f>
        <v>0</v>
      </c>
      <c r="O1174" s="27">
        <f>IF($M1174="","",IF($F1174="Faltou",$M1174,0))</f>
        <v>0</v>
      </c>
      <c r="P1174" s="27">
        <f>IF($M1174="","",IF($F1174="Compareceu",MAX(0,$M1174-N($H1174)),0))</f>
        <v>0</v>
      </c>
      <c r="Q1174" s="19">
        <f>IF(AND($F1174="Compareceu",$E1174&lt;&gt;"",$A1174&lt;&gt;""),IF(IFERROR(INDEX(ProcRet,MATCH($E1174,ProcNome,0)),0)&gt;0,$A1174+INDEX(ProcRet,MATCH($E1174,ProcNome,0)),""),"")</f>
        <v>0</v>
      </c>
      <c r="R1174" s="26">
        <f>IF($Q1174="","",IF(COUNTIFS(AgPac,$D1174,AgData,"&gt;"&amp;$A1174,AgStatus,"&lt;&gt;Cancelado",AgStatus,"&lt;&gt;Remarcado")&gt;0,"Sim","Não"))</f>
        <v>0</v>
      </c>
      <c r="S1174" s="28">
        <f>IF($A1174="","",IF(AND($F1174="Agendado",$A1174-Hoje&gt;=0,$A1174-Hoje&lt;=DiasConf),"CONFIRMAR",IF(AND($A1174&lt;Hoje,OR($F1174="Agendado",$F1174="Confirmado")),"Atualizar status",IF(AND($F1174="Compareceu",$P1174&gt;0.005),"Cobrar",IF($F1174="Faltou","Falta: reagendar","")))))</f>
        <v>0</v>
      </c>
      <c r="T1174" s="29">
        <f>IF($A1174="","",DATE(YEAR($A1174),MONTH($A1174),1))</f>
        <v>0</v>
      </c>
      <c r="U1174" s="30">
        <f>IF($S1174="CONFIRMAR",MAX($U$4:$U1173)+1,"")</f>
        <v>0</v>
      </c>
      <c r="V1174" s="30">
        <f>IF(AND($R1174="Não",$Q1174&lt;&gt;"",$Q1174&lt;=Hoje+JanelaRet,$Q1174&gt;=Hoje-60),MAX($V$4:$V1173)+1,"")</f>
        <v>0</v>
      </c>
    </row>
    <row r="1175" spans="1:22">
      <c r="A1175" s="16"/>
      <c r="B1175" s="23"/>
      <c r="C1175" s="15"/>
      <c r="D1175" s="15"/>
      <c r="E1175" s="15"/>
      <c r="F1175" s="24"/>
      <c r="G1175" s="17"/>
      <c r="H1175" s="17"/>
      <c r="I1175" s="15"/>
      <c r="J1175" s="25">
        <f>IF($D1175="","",IFERROR(INDEX(PacNome,MATCH($D1175,PacCod,0)),"Paciente não cadastrado"))</f>
        <v>0</v>
      </c>
      <c r="K1175" s="26">
        <f>IF($D1175="","",IFERROR(INDEX(PacConv,MATCH($D1175,PacCod,0))&amp;"",""))</f>
        <v>0</v>
      </c>
      <c r="L1175" s="26">
        <f>IF($A1175="","",CHOOSE(WEEKDAY($A1175,2),"Seg","Ter","Qua","Qui","Sex","Sáb","Dom"))</f>
        <v>0</v>
      </c>
      <c r="M1175" s="27">
        <f>IF($E1175="","",IF($G1175&lt;&gt;"",$G1175,IFERROR(INDEX(ProcValor,MATCH($E1175,ProcNome,0)),0)))</f>
        <v>0</v>
      </c>
      <c r="N1175" s="27">
        <f>IF($M1175="","",IF($F1175="Compareceu",$M1175,0))</f>
        <v>0</v>
      </c>
      <c r="O1175" s="27">
        <f>IF($M1175="","",IF($F1175="Faltou",$M1175,0))</f>
        <v>0</v>
      </c>
      <c r="P1175" s="27">
        <f>IF($M1175="","",IF($F1175="Compareceu",MAX(0,$M1175-N($H1175)),0))</f>
        <v>0</v>
      </c>
      <c r="Q1175" s="19">
        <f>IF(AND($F1175="Compareceu",$E1175&lt;&gt;"",$A1175&lt;&gt;""),IF(IFERROR(INDEX(ProcRet,MATCH($E1175,ProcNome,0)),0)&gt;0,$A1175+INDEX(ProcRet,MATCH($E1175,ProcNome,0)),""),"")</f>
        <v>0</v>
      </c>
      <c r="R1175" s="26">
        <f>IF($Q1175="","",IF(COUNTIFS(AgPac,$D1175,AgData,"&gt;"&amp;$A1175,AgStatus,"&lt;&gt;Cancelado",AgStatus,"&lt;&gt;Remarcado")&gt;0,"Sim","Não"))</f>
        <v>0</v>
      </c>
      <c r="S1175" s="28">
        <f>IF($A1175="","",IF(AND($F1175="Agendado",$A1175-Hoje&gt;=0,$A1175-Hoje&lt;=DiasConf),"CONFIRMAR",IF(AND($A1175&lt;Hoje,OR($F1175="Agendado",$F1175="Confirmado")),"Atualizar status",IF(AND($F1175="Compareceu",$P1175&gt;0.005),"Cobrar",IF($F1175="Faltou","Falta: reagendar","")))))</f>
        <v>0</v>
      </c>
      <c r="T1175" s="29">
        <f>IF($A1175="","",DATE(YEAR($A1175),MONTH($A1175),1))</f>
        <v>0</v>
      </c>
      <c r="U1175" s="30">
        <f>IF($S1175="CONFIRMAR",MAX($U$4:$U1174)+1,"")</f>
        <v>0</v>
      </c>
      <c r="V1175" s="30">
        <f>IF(AND($R1175="Não",$Q1175&lt;&gt;"",$Q1175&lt;=Hoje+JanelaRet,$Q1175&gt;=Hoje-60),MAX($V$4:$V1174)+1,"")</f>
        <v>0</v>
      </c>
    </row>
    <row r="1176" spans="1:22">
      <c r="A1176" s="16"/>
      <c r="B1176" s="23"/>
      <c r="C1176" s="15"/>
      <c r="D1176" s="15"/>
      <c r="E1176" s="15"/>
      <c r="F1176" s="24"/>
      <c r="G1176" s="17"/>
      <c r="H1176" s="17"/>
      <c r="I1176" s="15"/>
      <c r="J1176" s="25">
        <f>IF($D1176="","",IFERROR(INDEX(PacNome,MATCH($D1176,PacCod,0)),"Paciente não cadastrado"))</f>
        <v>0</v>
      </c>
      <c r="K1176" s="26">
        <f>IF($D1176="","",IFERROR(INDEX(PacConv,MATCH($D1176,PacCod,0))&amp;"",""))</f>
        <v>0</v>
      </c>
      <c r="L1176" s="26">
        <f>IF($A1176="","",CHOOSE(WEEKDAY($A1176,2),"Seg","Ter","Qua","Qui","Sex","Sáb","Dom"))</f>
        <v>0</v>
      </c>
      <c r="M1176" s="27">
        <f>IF($E1176="","",IF($G1176&lt;&gt;"",$G1176,IFERROR(INDEX(ProcValor,MATCH($E1176,ProcNome,0)),0)))</f>
        <v>0</v>
      </c>
      <c r="N1176" s="27">
        <f>IF($M1176="","",IF($F1176="Compareceu",$M1176,0))</f>
        <v>0</v>
      </c>
      <c r="O1176" s="27">
        <f>IF($M1176="","",IF($F1176="Faltou",$M1176,0))</f>
        <v>0</v>
      </c>
      <c r="P1176" s="27">
        <f>IF($M1176="","",IF($F1176="Compareceu",MAX(0,$M1176-N($H1176)),0))</f>
        <v>0</v>
      </c>
      <c r="Q1176" s="19">
        <f>IF(AND($F1176="Compareceu",$E1176&lt;&gt;"",$A1176&lt;&gt;""),IF(IFERROR(INDEX(ProcRet,MATCH($E1176,ProcNome,0)),0)&gt;0,$A1176+INDEX(ProcRet,MATCH($E1176,ProcNome,0)),""),"")</f>
        <v>0</v>
      </c>
      <c r="R1176" s="26">
        <f>IF($Q1176="","",IF(COUNTIFS(AgPac,$D1176,AgData,"&gt;"&amp;$A1176,AgStatus,"&lt;&gt;Cancelado",AgStatus,"&lt;&gt;Remarcado")&gt;0,"Sim","Não"))</f>
        <v>0</v>
      </c>
      <c r="S1176" s="28">
        <f>IF($A1176="","",IF(AND($F1176="Agendado",$A1176-Hoje&gt;=0,$A1176-Hoje&lt;=DiasConf),"CONFIRMAR",IF(AND($A1176&lt;Hoje,OR($F1176="Agendado",$F1176="Confirmado")),"Atualizar status",IF(AND($F1176="Compareceu",$P1176&gt;0.005),"Cobrar",IF($F1176="Faltou","Falta: reagendar","")))))</f>
        <v>0</v>
      </c>
      <c r="T1176" s="29">
        <f>IF($A1176="","",DATE(YEAR($A1176),MONTH($A1176),1))</f>
        <v>0</v>
      </c>
      <c r="U1176" s="30">
        <f>IF($S1176="CONFIRMAR",MAX($U$4:$U1175)+1,"")</f>
        <v>0</v>
      </c>
      <c r="V1176" s="30">
        <f>IF(AND($R1176="Não",$Q1176&lt;&gt;"",$Q1176&lt;=Hoje+JanelaRet,$Q1176&gt;=Hoje-60),MAX($V$4:$V1175)+1,"")</f>
        <v>0</v>
      </c>
    </row>
    <row r="1177" spans="1:22">
      <c r="A1177" s="16"/>
      <c r="B1177" s="23"/>
      <c r="C1177" s="15"/>
      <c r="D1177" s="15"/>
      <c r="E1177" s="15"/>
      <c r="F1177" s="24"/>
      <c r="G1177" s="17"/>
      <c r="H1177" s="17"/>
      <c r="I1177" s="15"/>
      <c r="J1177" s="25">
        <f>IF($D1177="","",IFERROR(INDEX(PacNome,MATCH($D1177,PacCod,0)),"Paciente não cadastrado"))</f>
        <v>0</v>
      </c>
      <c r="K1177" s="26">
        <f>IF($D1177="","",IFERROR(INDEX(PacConv,MATCH($D1177,PacCod,0))&amp;"",""))</f>
        <v>0</v>
      </c>
      <c r="L1177" s="26">
        <f>IF($A1177="","",CHOOSE(WEEKDAY($A1177,2),"Seg","Ter","Qua","Qui","Sex","Sáb","Dom"))</f>
        <v>0</v>
      </c>
      <c r="M1177" s="27">
        <f>IF($E1177="","",IF($G1177&lt;&gt;"",$G1177,IFERROR(INDEX(ProcValor,MATCH($E1177,ProcNome,0)),0)))</f>
        <v>0</v>
      </c>
      <c r="N1177" s="27">
        <f>IF($M1177="","",IF($F1177="Compareceu",$M1177,0))</f>
        <v>0</v>
      </c>
      <c r="O1177" s="27">
        <f>IF($M1177="","",IF($F1177="Faltou",$M1177,0))</f>
        <v>0</v>
      </c>
      <c r="P1177" s="27">
        <f>IF($M1177="","",IF($F1177="Compareceu",MAX(0,$M1177-N($H1177)),0))</f>
        <v>0</v>
      </c>
      <c r="Q1177" s="19">
        <f>IF(AND($F1177="Compareceu",$E1177&lt;&gt;"",$A1177&lt;&gt;""),IF(IFERROR(INDEX(ProcRet,MATCH($E1177,ProcNome,0)),0)&gt;0,$A1177+INDEX(ProcRet,MATCH($E1177,ProcNome,0)),""),"")</f>
        <v>0</v>
      </c>
      <c r="R1177" s="26">
        <f>IF($Q1177="","",IF(COUNTIFS(AgPac,$D1177,AgData,"&gt;"&amp;$A1177,AgStatus,"&lt;&gt;Cancelado",AgStatus,"&lt;&gt;Remarcado")&gt;0,"Sim","Não"))</f>
        <v>0</v>
      </c>
      <c r="S1177" s="28">
        <f>IF($A1177="","",IF(AND($F1177="Agendado",$A1177-Hoje&gt;=0,$A1177-Hoje&lt;=DiasConf),"CONFIRMAR",IF(AND($A1177&lt;Hoje,OR($F1177="Agendado",$F1177="Confirmado")),"Atualizar status",IF(AND($F1177="Compareceu",$P1177&gt;0.005),"Cobrar",IF($F1177="Faltou","Falta: reagendar","")))))</f>
        <v>0</v>
      </c>
      <c r="T1177" s="29">
        <f>IF($A1177="","",DATE(YEAR($A1177),MONTH($A1177),1))</f>
        <v>0</v>
      </c>
      <c r="U1177" s="30">
        <f>IF($S1177="CONFIRMAR",MAX($U$4:$U1176)+1,"")</f>
        <v>0</v>
      </c>
      <c r="V1177" s="30">
        <f>IF(AND($R1177="Não",$Q1177&lt;&gt;"",$Q1177&lt;=Hoje+JanelaRet,$Q1177&gt;=Hoje-60),MAX($V$4:$V1176)+1,"")</f>
        <v>0</v>
      </c>
    </row>
    <row r="1178" spans="1:22">
      <c r="A1178" s="16"/>
      <c r="B1178" s="23"/>
      <c r="C1178" s="15"/>
      <c r="D1178" s="15"/>
      <c r="E1178" s="15"/>
      <c r="F1178" s="24"/>
      <c r="G1178" s="17"/>
      <c r="H1178" s="17"/>
      <c r="I1178" s="15"/>
      <c r="J1178" s="25">
        <f>IF($D1178="","",IFERROR(INDEX(PacNome,MATCH($D1178,PacCod,0)),"Paciente não cadastrado"))</f>
        <v>0</v>
      </c>
      <c r="K1178" s="26">
        <f>IF($D1178="","",IFERROR(INDEX(PacConv,MATCH($D1178,PacCod,0))&amp;"",""))</f>
        <v>0</v>
      </c>
      <c r="L1178" s="26">
        <f>IF($A1178="","",CHOOSE(WEEKDAY($A1178,2),"Seg","Ter","Qua","Qui","Sex","Sáb","Dom"))</f>
        <v>0</v>
      </c>
      <c r="M1178" s="27">
        <f>IF($E1178="","",IF($G1178&lt;&gt;"",$G1178,IFERROR(INDEX(ProcValor,MATCH($E1178,ProcNome,0)),0)))</f>
        <v>0</v>
      </c>
      <c r="N1178" s="27">
        <f>IF($M1178="","",IF($F1178="Compareceu",$M1178,0))</f>
        <v>0</v>
      </c>
      <c r="O1178" s="27">
        <f>IF($M1178="","",IF($F1178="Faltou",$M1178,0))</f>
        <v>0</v>
      </c>
      <c r="P1178" s="27">
        <f>IF($M1178="","",IF($F1178="Compareceu",MAX(0,$M1178-N($H1178)),0))</f>
        <v>0</v>
      </c>
      <c r="Q1178" s="19">
        <f>IF(AND($F1178="Compareceu",$E1178&lt;&gt;"",$A1178&lt;&gt;""),IF(IFERROR(INDEX(ProcRet,MATCH($E1178,ProcNome,0)),0)&gt;0,$A1178+INDEX(ProcRet,MATCH($E1178,ProcNome,0)),""),"")</f>
        <v>0</v>
      </c>
      <c r="R1178" s="26">
        <f>IF($Q1178="","",IF(COUNTIFS(AgPac,$D1178,AgData,"&gt;"&amp;$A1178,AgStatus,"&lt;&gt;Cancelado",AgStatus,"&lt;&gt;Remarcado")&gt;0,"Sim","Não"))</f>
        <v>0</v>
      </c>
      <c r="S1178" s="28">
        <f>IF($A1178="","",IF(AND($F1178="Agendado",$A1178-Hoje&gt;=0,$A1178-Hoje&lt;=DiasConf),"CONFIRMAR",IF(AND($A1178&lt;Hoje,OR($F1178="Agendado",$F1178="Confirmado")),"Atualizar status",IF(AND($F1178="Compareceu",$P1178&gt;0.005),"Cobrar",IF($F1178="Faltou","Falta: reagendar","")))))</f>
        <v>0</v>
      </c>
      <c r="T1178" s="29">
        <f>IF($A1178="","",DATE(YEAR($A1178),MONTH($A1178),1))</f>
        <v>0</v>
      </c>
      <c r="U1178" s="30">
        <f>IF($S1178="CONFIRMAR",MAX($U$4:$U1177)+1,"")</f>
        <v>0</v>
      </c>
      <c r="V1178" s="30">
        <f>IF(AND($R1178="Não",$Q1178&lt;&gt;"",$Q1178&lt;=Hoje+JanelaRet,$Q1178&gt;=Hoje-60),MAX($V$4:$V1177)+1,"")</f>
        <v>0</v>
      </c>
    </row>
    <row r="1179" spans="1:22">
      <c r="A1179" s="16"/>
      <c r="B1179" s="23"/>
      <c r="C1179" s="15"/>
      <c r="D1179" s="15"/>
      <c r="E1179" s="15"/>
      <c r="F1179" s="24"/>
      <c r="G1179" s="17"/>
      <c r="H1179" s="17"/>
      <c r="I1179" s="15"/>
      <c r="J1179" s="25">
        <f>IF($D1179="","",IFERROR(INDEX(PacNome,MATCH($D1179,PacCod,0)),"Paciente não cadastrado"))</f>
        <v>0</v>
      </c>
      <c r="K1179" s="26">
        <f>IF($D1179="","",IFERROR(INDEX(PacConv,MATCH($D1179,PacCod,0))&amp;"",""))</f>
        <v>0</v>
      </c>
      <c r="L1179" s="26">
        <f>IF($A1179="","",CHOOSE(WEEKDAY($A1179,2),"Seg","Ter","Qua","Qui","Sex","Sáb","Dom"))</f>
        <v>0</v>
      </c>
      <c r="M1179" s="27">
        <f>IF($E1179="","",IF($G1179&lt;&gt;"",$G1179,IFERROR(INDEX(ProcValor,MATCH($E1179,ProcNome,0)),0)))</f>
        <v>0</v>
      </c>
      <c r="N1179" s="27">
        <f>IF($M1179="","",IF($F1179="Compareceu",$M1179,0))</f>
        <v>0</v>
      </c>
      <c r="O1179" s="27">
        <f>IF($M1179="","",IF($F1179="Faltou",$M1179,0))</f>
        <v>0</v>
      </c>
      <c r="P1179" s="27">
        <f>IF($M1179="","",IF($F1179="Compareceu",MAX(0,$M1179-N($H1179)),0))</f>
        <v>0</v>
      </c>
      <c r="Q1179" s="19">
        <f>IF(AND($F1179="Compareceu",$E1179&lt;&gt;"",$A1179&lt;&gt;""),IF(IFERROR(INDEX(ProcRet,MATCH($E1179,ProcNome,0)),0)&gt;0,$A1179+INDEX(ProcRet,MATCH($E1179,ProcNome,0)),""),"")</f>
        <v>0</v>
      </c>
      <c r="R1179" s="26">
        <f>IF($Q1179="","",IF(COUNTIFS(AgPac,$D1179,AgData,"&gt;"&amp;$A1179,AgStatus,"&lt;&gt;Cancelado",AgStatus,"&lt;&gt;Remarcado")&gt;0,"Sim","Não"))</f>
        <v>0</v>
      </c>
      <c r="S1179" s="28">
        <f>IF($A1179="","",IF(AND($F1179="Agendado",$A1179-Hoje&gt;=0,$A1179-Hoje&lt;=DiasConf),"CONFIRMAR",IF(AND($A1179&lt;Hoje,OR($F1179="Agendado",$F1179="Confirmado")),"Atualizar status",IF(AND($F1179="Compareceu",$P1179&gt;0.005),"Cobrar",IF($F1179="Faltou","Falta: reagendar","")))))</f>
        <v>0</v>
      </c>
      <c r="T1179" s="29">
        <f>IF($A1179="","",DATE(YEAR($A1179),MONTH($A1179),1))</f>
        <v>0</v>
      </c>
      <c r="U1179" s="30">
        <f>IF($S1179="CONFIRMAR",MAX($U$4:$U1178)+1,"")</f>
        <v>0</v>
      </c>
      <c r="V1179" s="30">
        <f>IF(AND($R1179="Não",$Q1179&lt;&gt;"",$Q1179&lt;=Hoje+JanelaRet,$Q1179&gt;=Hoje-60),MAX($V$4:$V1178)+1,"")</f>
        <v>0</v>
      </c>
    </row>
    <row r="1180" spans="1:22">
      <c r="A1180" s="16"/>
      <c r="B1180" s="23"/>
      <c r="C1180" s="15"/>
      <c r="D1180" s="15"/>
      <c r="E1180" s="15"/>
      <c r="F1180" s="24"/>
      <c r="G1180" s="17"/>
      <c r="H1180" s="17"/>
      <c r="I1180" s="15"/>
      <c r="J1180" s="25">
        <f>IF($D1180="","",IFERROR(INDEX(PacNome,MATCH($D1180,PacCod,0)),"Paciente não cadastrado"))</f>
        <v>0</v>
      </c>
      <c r="K1180" s="26">
        <f>IF($D1180="","",IFERROR(INDEX(PacConv,MATCH($D1180,PacCod,0))&amp;"",""))</f>
        <v>0</v>
      </c>
      <c r="L1180" s="26">
        <f>IF($A1180="","",CHOOSE(WEEKDAY($A1180,2),"Seg","Ter","Qua","Qui","Sex","Sáb","Dom"))</f>
        <v>0</v>
      </c>
      <c r="M1180" s="27">
        <f>IF($E1180="","",IF($G1180&lt;&gt;"",$G1180,IFERROR(INDEX(ProcValor,MATCH($E1180,ProcNome,0)),0)))</f>
        <v>0</v>
      </c>
      <c r="N1180" s="27">
        <f>IF($M1180="","",IF($F1180="Compareceu",$M1180,0))</f>
        <v>0</v>
      </c>
      <c r="O1180" s="27">
        <f>IF($M1180="","",IF($F1180="Faltou",$M1180,0))</f>
        <v>0</v>
      </c>
      <c r="P1180" s="27">
        <f>IF($M1180="","",IF($F1180="Compareceu",MAX(0,$M1180-N($H1180)),0))</f>
        <v>0</v>
      </c>
      <c r="Q1180" s="19">
        <f>IF(AND($F1180="Compareceu",$E1180&lt;&gt;"",$A1180&lt;&gt;""),IF(IFERROR(INDEX(ProcRet,MATCH($E1180,ProcNome,0)),0)&gt;0,$A1180+INDEX(ProcRet,MATCH($E1180,ProcNome,0)),""),"")</f>
        <v>0</v>
      </c>
      <c r="R1180" s="26">
        <f>IF($Q1180="","",IF(COUNTIFS(AgPac,$D1180,AgData,"&gt;"&amp;$A1180,AgStatus,"&lt;&gt;Cancelado",AgStatus,"&lt;&gt;Remarcado")&gt;0,"Sim","Não"))</f>
        <v>0</v>
      </c>
      <c r="S1180" s="28">
        <f>IF($A1180="","",IF(AND($F1180="Agendado",$A1180-Hoje&gt;=0,$A1180-Hoje&lt;=DiasConf),"CONFIRMAR",IF(AND($A1180&lt;Hoje,OR($F1180="Agendado",$F1180="Confirmado")),"Atualizar status",IF(AND($F1180="Compareceu",$P1180&gt;0.005),"Cobrar",IF($F1180="Faltou","Falta: reagendar","")))))</f>
        <v>0</v>
      </c>
      <c r="T1180" s="29">
        <f>IF($A1180="","",DATE(YEAR($A1180),MONTH($A1180),1))</f>
        <v>0</v>
      </c>
      <c r="U1180" s="30">
        <f>IF($S1180="CONFIRMAR",MAX($U$4:$U1179)+1,"")</f>
        <v>0</v>
      </c>
      <c r="V1180" s="30">
        <f>IF(AND($R1180="Não",$Q1180&lt;&gt;"",$Q1180&lt;=Hoje+JanelaRet,$Q1180&gt;=Hoje-60),MAX($V$4:$V1179)+1,"")</f>
        <v>0</v>
      </c>
    </row>
    <row r="1181" spans="1:22">
      <c r="A1181" s="16"/>
      <c r="B1181" s="23"/>
      <c r="C1181" s="15"/>
      <c r="D1181" s="15"/>
      <c r="E1181" s="15"/>
      <c r="F1181" s="24"/>
      <c r="G1181" s="17"/>
      <c r="H1181" s="17"/>
      <c r="I1181" s="15"/>
      <c r="J1181" s="25">
        <f>IF($D1181="","",IFERROR(INDEX(PacNome,MATCH($D1181,PacCod,0)),"Paciente não cadastrado"))</f>
        <v>0</v>
      </c>
      <c r="K1181" s="26">
        <f>IF($D1181="","",IFERROR(INDEX(PacConv,MATCH($D1181,PacCod,0))&amp;"",""))</f>
        <v>0</v>
      </c>
      <c r="L1181" s="26">
        <f>IF($A1181="","",CHOOSE(WEEKDAY($A1181,2),"Seg","Ter","Qua","Qui","Sex","Sáb","Dom"))</f>
        <v>0</v>
      </c>
      <c r="M1181" s="27">
        <f>IF($E1181="","",IF($G1181&lt;&gt;"",$G1181,IFERROR(INDEX(ProcValor,MATCH($E1181,ProcNome,0)),0)))</f>
        <v>0</v>
      </c>
      <c r="N1181" s="27">
        <f>IF($M1181="","",IF($F1181="Compareceu",$M1181,0))</f>
        <v>0</v>
      </c>
      <c r="O1181" s="27">
        <f>IF($M1181="","",IF($F1181="Faltou",$M1181,0))</f>
        <v>0</v>
      </c>
      <c r="P1181" s="27">
        <f>IF($M1181="","",IF($F1181="Compareceu",MAX(0,$M1181-N($H1181)),0))</f>
        <v>0</v>
      </c>
      <c r="Q1181" s="19">
        <f>IF(AND($F1181="Compareceu",$E1181&lt;&gt;"",$A1181&lt;&gt;""),IF(IFERROR(INDEX(ProcRet,MATCH($E1181,ProcNome,0)),0)&gt;0,$A1181+INDEX(ProcRet,MATCH($E1181,ProcNome,0)),""),"")</f>
        <v>0</v>
      </c>
      <c r="R1181" s="26">
        <f>IF($Q1181="","",IF(COUNTIFS(AgPac,$D1181,AgData,"&gt;"&amp;$A1181,AgStatus,"&lt;&gt;Cancelado",AgStatus,"&lt;&gt;Remarcado")&gt;0,"Sim","Não"))</f>
        <v>0</v>
      </c>
      <c r="S1181" s="28">
        <f>IF($A1181="","",IF(AND($F1181="Agendado",$A1181-Hoje&gt;=0,$A1181-Hoje&lt;=DiasConf),"CONFIRMAR",IF(AND($A1181&lt;Hoje,OR($F1181="Agendado",$F1181="Confirmado")),"Atualizar status",IF(AND($F1181="Compareceu",$P1181&gt;0.005),"Cobrar",IF($F1181="Faltou","Falta: reagendar","")))))</f>
        <v>0</v>
      </c>
      <c r="T1181" s="29">
        <f>IF($A1181="","",DATE(YEAR($A1181),MONTH($A1181),1))</f>
        <v>0</v>
      </c>
      <c r="U1181" s="30">
        <f>IF($S1181="CONFIRMAR",MAX($U$4:$U1180)+1,"")</f>
        <v>0</v>
      </c>
      <c r="V1181" s="30">
        <f>IF(AND($R1181="Não",$Q1181&lt;&gt;"",$Q1181&lt;=Hoje+JanelaRet,$Q1181&gt;=Hoje-60),MAX($V$4:$V1180)+1,"")</f>
        <v>0</v>
      </c>
    </row>
    <row r="1182" spans="1:22">
      <c r="A1182" s="16"/>
      <c r="B1182" s="23"/>
      <c r="C1182" s="15"/>
      <c r="D1182" s="15"/>
      <c r="E1182" s="15"/>
      <c r="F1182" s="24"/>
      <c r="G1182" s="17"/>
      <c r="H1182" s="17"/>
      <c r="I1182" s="15"/>
      <c r="J1182" s="25">
        <f>IF($D1182="","",IFERROR(INDEX(PacNome,MATCH($D1182,PacCod,0)),"Paciente não cadastrado"))</f>
        <v>0</v>
      </c>
      <c r="K1182" s="26">
        <f>IF($D1182="","",IFERROR(INDEX(PacConv,MATCH($D1182,PacCod,0))&amp;"",""))</f>
        <v>0</v>
      </c>
      <c r="L1182" s="26">
        <f>IF($A1182="","",CHOOSE(WEEKDAY($A1182,2),"Seg","Ter","Qua","Qui","Sex","Sáb","Dom"))</f>
        <v>0</v>
      </c>
      <c r="M1182" s="27">
        <f>IF($E1182="","",IF($G1182&lt;&gt;"",$G1182,IFERROR(INDEX(ProcValor,MATCH($E1182,ProcNome,0)),0)))</f>
        <v>0</v>
      </c>
      <c r="N1182" s="27">
        <f>IF($M1182="","",IF($F1182="Compareceu",$M1182,0))</f>
        <v>0</v>
      </c>
      <c r="O1182" s="27">
        <f>IF($M1182="","",IF($F1182="Faltou",$M1182,0))</f>
        <v>0</v>
      </c>
      <c r="P1182" s="27">
        <f>IF($M1182="","",IF($F1182="Compareceu",MAX(0,$M1182-N($H1182)),0))</f>
        <v>0</v>
      </c>
      <c r="Q1182" s="19">
        <f>IF(AND($F1182="Compareceu",$E1182&lt;&gt;"",$A1182&lt;&gt;""),IF(IFERROR(INDEX(ProcRet,MATCH($E1182,ProcNome,0)),0)&gt;0,$A1182+INDEX(ProcRet,MATCH($E1182,ProcNome,0)),""),"")</f>
        <v>0</v>
      </c>
      <c r="R1182" s="26">
        <f>IF($Q1182="","",IF(COUNTIFS(AgPac,$D1182,AgData,"&gt;"&amp;$A1182,AgStatus,"&lt;&gt;Cancelado",AgStatus,"&lt;&gt;Remarcado")&gt;0,"Sim","Não"))</f>
        <v>0</v>
      </c>
      <c r="S1182" s="28">
        <f>IF($A1182="","",IF(AND($F1182="Agendado",$A1182-Hoje&gt;=0,$A1182-Hoje&lt;=DiasConf),"CONFIRMAR",IF(AND($A1182&lt;Hoje,OR($F1182="Agendado",$F1182="Confirmado")),"Atualizar status",IF(AND($F1182="Compareceu",$P1182&gt;0.005),"Cobrar",IF($F1182="Faltou","Falta: reagendar","")))))</f>
        <v>0</v>
      </c>
      <c r="T1182" s="29">
        <f>IF($A1182="","",DATE(YEAR($A1182),MONTH($A1182),1))</f>
        <v>0</v>
      </c>
      <c r="U1182" s="30">
        <f>IF($S1182="CONFIRMAR",MAX($U$4:$U1181)+1,"")</f>
        <v>0</v>
      </c>
      <c r="V1182" s="30">
        <f>IF(AND($R1182="Não",$Q1182&lt;&gt;"",$Q1182&lt;=Hoje+JanelaRet,$Q1182&gt;=Hoje-60),MAX($V$4:$V1181)+1,"")</f>
        <v>0</v>
      </c>
    </row>
    <row r="1183" spans="1:22">
      <c r="A1183" s="16"/>
      <c r="B1183" s="23"/>
      <c r="C1183" s="15"/>
      <c r="D1183" s="15"/>
      <c r="E1183" s="15"/>
      <c r="F1183" s="24"/>
      <c r="G1183" s="17"/>
      <c r="H1183" s="17"/>
      <c r="I1183" s="15"/>
      <c r="J1183" s="25">
        <f>IF($D1183="","",IFERROR(INDEX(PacNome,MATCH($D1183,PacCod,0)),"Paciente não cadastrado"))</f>
        <v>0</v>
      </c>
      <c r="K1183" s="26">
        <f>IF($D1183="","",IFERROR(INDEX(PacConv,MATCH($D1183,PacCod,0))&amp;"",""))</f>
        <v>0</v>
      </c>
      <c r="L1183" s="26">
        <f>IF($A1183="","",CHOOSE(WEEKDAY($A1183,2),"Seg","Ter","Qua","Qui","Sex","Sáb","Dom"))</f>
        <v>0</v>
      </c>
      <c r="M1183" s="27">
        <f>IF($E1183="","",IF($G1183&lt;&gt;"",$G1183,IFERROR(INDEX(ProcValor,MATCH($E1183,ProcNome,0)),0)))</f>
        <v>0</v>
      </c>
      <c r="N1183" s="27">
        <f>IF($M1183="","",IF($F1183="Compareceu",$M1183,0))</f>
        <v>0</v>
      </c>
      <c r="O1183" s="27">
        <f>IF($M1183="","",IF($F1183="Faltou",$M1183,0))</f>
        <v>0</v>
      </c>
      <c r="P1183" s="27">
        <f>IF($M1183="","",IF($F1183="Compareceu",MAX(0,$M1183-N($H1183)),0))</f>
        <v>0</v>
      </c>
      <c r="Q1183" s="19">
        <f>IF(AND($F1183="Compareceu",$E1183&lt;&gt;"",$A1183&lt;&gt;""),IF(IFERROR(INDEX(ProcRet,MATCH($E1183,ProcNome,0)),0)&gt;0,$A1183+INDEX(ProcRet,MATCH($E1183,ProcNome,0)),""),"")</f>
        <v>0</v>
      </c>
      <c r="R1183" s="26">
        <f>IF($Q1183="","",IF(COUNTIFS(AgPac,$D1183,AgData,"&gt;"&amp;$A1183,AgStatus,"&lt;&gt;Cancelado",AgStatus,"&lt;&gt;Remarcado")&gt;0,"Sim","Não"))</f>
        <v>0</v>
      </c>
      <c r="S1183" s="28">
        <f>IF($A1183="","",IF(AND($F1183="Agendado",$A1183-Hoje&gt;=0,$A1183-Hoje&lt;=DiasConf),"CONFIRMAR",IF(AND($A1183&lt;Hoje,OR($F1183="Agendado",$F1183="Confirmado")),"Atualizar status",IF(AND($F1183="Compareceu",$P1183&gt;0.005),"Cobrar",IF($F1183="Faltou","Falta: reagendar","")))))</f>
        <v>0</v>
      </c>
      <c r="T1183" s="29">
        <f>IF($A1183="","",DATE(YEAR($A1183),MONTH($A1183),1))</f>
        <v>0</v>
      </c>
      <c r="U1183" s="30">
        <f>IF($S1183="CONFIRMAR",MAX($U$4:$U1182)+1,"")</f>
        <v>0</v>
      </c>
      <c r="V1183" s="30">
        <f>IF(AND($R1183="Não",$Q1183&lt;&gt;"",$Q1183&lt;=Hoje+JanelaRet,$Q1183&gt;=Hoje-60),MAX($V$4:$V1182)+1,"")</f>
        <v>0</v>
      </c>
    </row>
    <row r="1184" spans="1:22">
      <c r="A1184" s="16"/>
      <c r="B1184" s="23"/>
      <c r="C1184" s="15"/>
      <c r="D1184" s="15"/>
      <c r="E1184" s="15"/>
      <c r="F1184" s="24"/>
      <c r="G1184" s="17"/>
      <c r="H1184" s="17"/>
      <c r="I1184" s="15"/>
      <c r="J1184" s="25">
        <f>IF($D1184="","",IFERROR(INDEX(PacNome,MATCH($D1184,PacCod,0)),"Paciente não cadastrado"))</f>
        <v>0</v>
      </c>
      <c r="K1184" s="26">
        <f>IF($D1184="","",IFERROR(INDEX(PacConv,MATCH($D1184,PacCod,0))&amp;"",""))</f>
        <v>0</v>
      </c>
      <c r="L1184" s="26">
        <f>IF($A1184="","",CHOOSE(WEEKDAY($A1184,2),"Seg","Ter","Qua","Qui","Sex","Sáb","Dom"))</f>
        <v>0</v>
      </c>
      <c r="M1184" s="27">
        <f>IF($E1184="","",IF($G1184&lt;&gt;"",$G1184,IFERROR(INDEX(ProcValor,MATCH($E1184,ProcNome,0)),0)))</f>
        <v>0</v>
      </c>
      <c r="N1184" s="27">
        <f>IF($M1184="","",IF($F1184="Compareceu",$M1184,0))</f>
        <v>0</v>
      </c>
      <c r="O1184" s="27">
        <f>IF($M1184="","",IF($F1184="Faltou",$M1184,0))</f>
        <v>0</v>
      </c>
      <c r="P1184" s="27">
        <f>IF($M1184="","",IF($F1184="Compareceu",MAX(0,$M1184-N($H1184)),0))</f>
        <v>0</v>
      </c>
      <c r="Q1184" s="19">
        <f>IF(AND($F1184="Compareceu",$E1184&lt;&gt;"",$A1184&lt;&gt;""),IF(IFERROR(INDEX(ProcRet,MATCH($E1184,ProcNome,0)),0)&gt;0,$A1184+INDEX(ProcRet,MATCH($E1184,ProcNome,0)),""),"")</f>
        <v>0</v>
      </c>
      <c r="R1184" s="26">
        <f>IF($Q1184="","",IF(COUNTIFS(AgPac,$D1184,AgData,"&gt;"&amp;$A1184,AgStatus,"&lt;&gt;Cancelado",AgStatus,"&lt;&gt;Remarcado")&gt;0,"Sim","Não"))</f>
        <v>0</v>
      </c>
      <c r="S1184" s="28">
        <f>IF($A1184="","",IF(AND($F1184="Agendado",$A1184-Hoje&gt;=0,$A1184-Hoje&lt;=DiasConf),"CONFIRMAR",IF(AND($A1184&lt;Hoje,OR($F1184="Agendado",$F1184="Confirmado")),"Atualizar status",IF(AND($F1184="Compareceu",$P1184&gt;0.005),"Cobrar",IF($F1184="Faltou","Falta: reagendar","")))))</f>
        <v>0</v>
      </c>
      <c r="T1184" s="29">
        <f>IF($A1184="","",DATE(YEAR($A1184),MONTH($A1184),1))</f>
        <v>0</v>
      </c>
      <c r="U1184" s="30">
        <f>IF($S1184="CONFIRMAR",MAX($U$4:$U1183)+1,"")</f>
        <v>0</v>
      </c>
      <c r="V1184" s="30">
        <f>IF(AND($R1184="Não",$Q1184&lt;&gt;"",$Q1184&lt;=Hoje+JanelaRet,$Q1184&gt;=Hoje-60),MAX($V$4:$V1183)+1,"")</f>
        <v>0</v>
      </c>
    </row>
    <row r="1185" spans="1:22">
      <c r="A1185" s="16"/>
      <c r="B1185" s="23"/>
      <c r="C1185" s="15"/>
      <c r="D1185" s="15"/>
      <c r="E1185" s="15"/>
      <c r="F1185" s="24"/>
      <c r="G1185" s="17"/>
      <c r="H1185" s="17"/>
      <c r="I1185" s="15"/>
      <c r="J1185" s="25">
        <f>IF($D1185="","",IFERROR(INDEX(PacNome,MATCH($D1185,PacCod,0)),"Paciente não cadastrado"))</f>
        <v>0</v>
      </c>
      <c r="K1185" s="26">
        <f>IF($D1185="","",IFERROR(INDEX(PacConv,MATCH($D1185,PacCod,0))&amp;"",""))</f>
        <v>0</v>
      </c>
      <c r="L1185" s="26">
        <f>IF($A1185="","",CHOOSE(WEEKDAY($A1185,2),"Seg","Ter","Qua","Qui","Sex","Sáb","Dom"))</f>
        <v>0</v>
      </c>
      <c r="M1185" s="27">
        <f>IF($E1185="","",IF($G1185&lt;&gt;"",$G1185,IFERROR(INDEX(ProcValor,MATCH($E1185,ProcNome,0)),0)))</f>
        <v>0</v>
      </c>
      <c r="N1185" s="27">
        <f>IF($M1185="","",IF($F1185="Compareceu",$M1185,0))</f>
        <v>0</v>
      </c>
      <c r="O1185" s="27">
        <f>IF($M1185="","",IF($F1185="Faltou",$M1185,0))</f>
        <v>0</v>
      </c>
      <c r="P1185" s="27">
        <f>IF($M1185="","",IF($F1185="Compareceu",MAX(0,$M1185-N($H1185)),0))</f>
        <v>0</v>
      </c>
      <c r="Q1185" s="19">
        <f>IF(AND($F1185="Compareceu",$E1185&lt;&gt;"",$A1185&lt;&gt;""),IF(IFERROR(INDEX(ProcRet,MATCH($E1185,ProcNome,0)),0)&gt;0,$A1185+INDEX(ProcRet,MATCH($E1185,ProcNome,0)),""),"")</f>
        <v>0</v>
      </c>
      <c r="R1185" s="26">
        <f>IF($Q1185="","",IF(COUNTIFS(AgPac,$D1185,AgData,"&gt;"&amp;$A1185,AgStatus,"&lt;&gt;Cancelado",AgStatus,"&lt;&gt;Remarcado")&gt;0,"Sim","Não"))</f>
        <v>0</v>
      </c>
      <c r="S1185" s="28">
        <f>IF($A1185="","",IF(AND($F1185="Agendado",$A1185-Hoje&gt;=0,$A1185-Hoje&lt;=DiasConf),"CONFIRMAR",IF(AND($A1185&lt;Hoje,OR($F1185="Agendado",$F1185="Confirmado")),"Atualizar status",IF(AND($F1185="Compareceu",$P1185&gt;0.005),"Cobrar",IF($F1185="Faltou","Falta: reagendar","")))))</f>
        <v>0</v>
      </c>
      <c r="T1185" s="29">
        <f>IF($A1185="","",DATE(YEAR($A1185),MONTH($A1185),1))</f>
        <v>0</v>
      </c>
      <c r="U1185" s="30">
        <f>IF($S1185="CONFIRMAR",MAX($U$4:$U1184)+1,"")</f>
        <v>0</v>
      </c>
      <c r="V1185" s="30">
        <f>IF(AND($R1185="Não",$Q1185&lt;&gt;"",$Q1185&lt;=Hoje+JanelaRet,$Q1185&gt;=Hoje-60),MAX($V$4:$V1184)+1,"")</f>
        <v>0</v>
      </c>
    </row>
    <row r="1186" spans="1:22">
      <c r="A1186" s="16"/>
      <c r="B1186" s="23"/>
      <c r="C1186" s="15"/>
      <c r="D1186" s="15"/>
      <c r="E1186" s="15"/>
      <c r="F1186" s="24"/>
      <c r="G1186" s="17"/>
      <c r="H1186" s="17"/>
      <c r="I1186" s="15"/>
      <c r="J1186" s="25">
        <f>IF($D1186="","",IFERROR(INDEX(PacNome,MATCH($D1186,PacCod,0)),"Paciente não cadastrado"))</f>
        <v>0</v>
      </c>
      <c r="K1186" s="26">
        <f>IF($D1186="","",IFERROR(INDEX(PacConv,MATCH($D1186,PacCod,0))&amp;"",""))</f>
        <v>0</v>
      </c>
      <c r="L1186" s="26">
        <f>IF($A1186="","",CHOOSE(WEEKDAY($A1186,2),"Seg","Ter","Qua","Qui","Sex","Sáb","Dom"))</f>
        <v>0</v>
      </c>
      <c r="M1186" s="27">
        <f>IF($E1186="","",IF($G1186&lt;&gt;"",$G1186,IFERROR(INDEX(ProcValor,MATCH($E1186,ProcNome,0)),0)))</f>
        <v>0</v>
      </c>
      <c r="N1186" s="27">
        <f>IF($M1186="","",IF($F1186="Compareceu",$M1186,0))</f>
        <v>0</v>
      </c>
      <c r="O1186" s="27">
        <f>IF($M1186="","",IF($F1186="Faltou",$M1186,0))</f>
        <v>0</v>
      </c>
      <c r="P1186" s="27">
        <f>IF($M1186="","",IF($F1186="Compareceu",MAX(0,$M1186-N($H1186)),0))</f>
        <v>0</v>
      </c>
      <c r="Q1186" s="19">
        <f>IF(AND($F1186="Compareceu",$E1186&lt;&gt;"",$A1186&lt;&gt;""),IF(IFERROR(INDEX(ProcRet,MATCH($E1186,ProcNome,0)),0)&gt;0,$A1186+INDEX(ProcRet,MATCH($E1186,ProcNome,0)),""),"")</f>
        <v>0</v>
      </c>
      <c r="R1186" s="26">
        <f>IF($Q1186="","",IF(COUNTIFS(AgPac,$D1186,AgData,"&gt;"&amp;$A1186,AgStatus,"&lt;&gt;Cancelado",AgStatus,"&lt;&gt;Remarcado")&gt;0,"Sim","Não"))</f>
        <v>0</v>
      </c>
      <c r="S1186" s="28">
        <f>IF($A1186="","",IF(AND($F1186="Agendado",$A1186-Hoje&gt;=0,$A1186-Hoje&lt;=DiasConf),"CONFIRMAR",IF(AND($A1186&lt;Hoje,OR($F1186="Agendado",$F1186="Confirmado")),"Atualizar status",IF(AND($F1186="Compareceu",$P1186&gt;0.005),"Cobrar",IF($F1186="Faltou","Falta: reagendar","")))))</f>
        <v>0</v>
      </c>
      <c r="T1186" s="29">
        <f>IF($A1186="","",DATE(YEAR($A1186),MONTH($A1186),1))</f>
        <v>0</v>
      </c>
      <c r="U1186" s="30">
        <f>IF($S1186="CONFIRMAR",MAX($U$4:$U1185)+1,"")</f>
        <v>0</v>
      </c>
      <c r="V1186" s="30">
        <f>IF(AND($R1186="Não",$Q1186&lt;&gt;"",$Q1186&lt;=Hoje+JanelaRet,$Q1186&gt;=Hoje-60),MAX($V$4:$V1185)+1,"")</f>
        <v>0</v>
      </c>
    </row>
    <row r="1187" spans="1:22">
      <c r="A1187" s="16"/>
      <c r="B1187" s="23"/>
      <c r="C1187" s="15"/>
      <c r="D1187" s="15"/>
      <c r="E1187" s="15"/>
      <c r="F1187" s="24"/>
      <c r="G1187" s="17"/>
      <c r="H1187" s="17"/>
      <c r="I1187" s="15"/>
      <c r="J1187" s="25">
        <f>IF($D1187="","",IFERROR(INDEX(PacNome,MATCH($D1187,PacCod,0)),"Paciente não cadastrado"))</f>
        <v>0</v>
      </c>
      <c r="K1187" s="26">
        <f>IF($D1187="","",IFERROR(INDEX(PacConv,MATCH($D1187,PacCod,0))&amp;"",""))</f>
        <v>0</v>
      </c>
      <c r="L1187" s="26">
        <f>IF($A1187="","",CHOOSE(WEEKDAY($A1187,2),"Seg","Ter","Qua","Qui","Sex","Sáb","Dom"))</f>
        <v>0</v>
      </c>
      <c r="M1187" s="27">
        <f>IF($E1187="","",IF($G1187&lt;&gt;"",$G1187,IFERROR(INDEX(ProcValor,MATCH($E1187,ProcNome,0)),0)))</f>
        <v>0</v>
      </c>
      <c r="N1187" s="27">
        <f>IF($M1187="","",IF($F1187="Compareceu",$M1187,0))</f>
        <v>0</v>
      </c>
      <c r="O1187" s="27">
        <f>IF($M1187="","",IF($F1187="Faltou",$M1187,0))</f>
        <v>0</v>
      </c>
      <c r="P1187" s="27">
        <f>IF($M1187="","",IF($F1187="Compareceu",MAX(0,$M1187-N($H1187)),0))</f>
        <v>0</v>
      </c>
      <c r="Q1187" s="19">
        <f>IF(AND($F1187="Compareceu",$E1187&lt;&gt;"",$A1187&lt;&gt;""),IF(IFERROR(INDEX(ProcRet,MATCH($E1187,ProcNome,0)),0)&gt;0,$A1187+INDEX(ProcRet,MATCH($E1187,ProcNome,0)),""),"")</f>
        <v>0</v>
      </c>
      <c r="R1187" s="26">
        <f>IF($Q1187="","",IF(COUNTIFS(AgPac,$D1187,AgData,"&gt;"&amp;$A1187,AgStatus,"&lt;&gt;Cancelado",AgStatus,"&lt;&gt;Remarcado")&gt;0,"Sim","Não"))</f>
        <v>0</v>
      </c>
      <c r="S1187" s="28">
        <f>IF($A1187="","",IF(AND($F1187="Agendado",$A1187-Hoje&gt;=0,$A1187-Hoje&lt;=DiasConf),"CONFIRMAR",IF(AND($A1187&lt;Hoje,OR($F1187="Agendado",$F1187="Confirmado")),"Atualizar status",IF(AND($F1187="Compareceu",$P1187&gt;0.005),"Cobrar",IF($F1187="Faltou","Falta: reagendar","")))))</f>
        <v>0</v>
      </c>
      <c r="T1187" s="29">
        <f>IF($A1187="","",DATE(YEAR($A1187),MONTH($A1187),1))</f>
        <v>0</v>
      </c>
      <c r="U1187" s="30">
        <f>IF($S1187="CONFIRMAR",MAX($U$4:$U1186)+1,"")</f>
        <v>0</v>
      </c>
      <c r="V1187" s="30">
        <f>IF(AND($R1187="Não",$Q1187&lt;&gt;"",$Q1187&lt;=Hoje+JanelaRet,$Q1187&gt;=Hoje-60),MAX($V$4:$V1186)+1,"")</f>
        <v>0</v>
      </c>
    </row>
    <row r="1188" spans="1:22">
      <c r="A1188" s="16"/>
      <c r="B1188" s="23"/>
      <c r="C1188" s="15"/>
      <c r="D1188" s="15"/>
      <c r="E1188" s="15"/>
      <c r="F1188" s="24"/>
      <c r="G1188" s="17"/>
      <c r="H1188" s="17"/>
      <c r="I1188" s="15"/>
      <c r="J1188" s="25">
        <f>IF($D1188="","",IFERROR(INDEX(PacNome,MATCH($D1188,PacCod,0)),"Paciente não cadastrado"))</f>
        <v>0</v>
      </c>
      <c r="K1188" s="26">
        <f>IF($D1188="","",IFERROR(INDEX(PacConv,MATCH($D1188,PacCod,0))&amp;"",""))</f>
        <v>0</v>
      </c>
      <c r="L1188" s="26">
        <f>IF($A1188="","",CHOOSE(WEEKDAY($A1188,2),"Seg","Ter","Qua","Qui","Sex","Sáb","Dom"))</f>
        <v>0</v>
      </c>
      <c r="M1188" s="27">
        <f>IF($E1188="","",IF($G1188&lt;&gt;"",$G1188,IFERROR(INDEX(ProcValor,MATCH($E1188,ProcNome,0)),0)))</f>
        <v>0</v>
      </c>
      <c r="N1188" s="27">
        <f>IF($M1188="","",IF($F1188="Compareceu",$M1188,0))</f>
        <v>0</v>
      </c>
      <c r="O1188" s="27">
        <f>IF($M1188="","",IF($F1188="Faltou",$M1188,0))</f>
        <v>0</v>
      </c>
      <c r="P1188" s="27">
        <f>IF($M1188="","",IF($F1188="Compareceu",MAX(0,$M1188-N($H1188)),0))</f>
        <v>0</v>
      </c>
      <c r="Q1188" s="19">
        <f>IF(AND($F1188="Compareceu",$E1188&lt;&gt;"",$A1188&lt;&gt;""),IF(IFERROR(INDEX(ProcRet,MATCH($E1188,ProcNome,0)),0)&gt;0,$A1188+INDEX(ProcRet,MATCH($E1188,ProcNome,0)),""),"")</f>
        <v>0</v>
      </c>
      <c r="R1188" s="26">
        <f>IF($Q1188="","",IF(COUNTIFS(AgPac,$D1188,AgData,"&gt;"&amp;$A1188,AgStatus,"&lt;&gt;Cancelado",AgStatus,"&lt;&gt;Remarcado")&gt;0,"Sim","Não"))</f>
        <v>0</v>
      </c>
      <c r="S1188" s="28">
        <f>IF($A1188="","",IF(AND($F1188="Agendado",$A1188-Hoje&gt;=0,$A1188-Hoje&lt;=DiasConf),"CONFIRMAR",IF(AND($A1188&lt;Hoje,OR($F1188="Agendado",$F1188="Confirmado")),"Atualizar status",IF(AND($F1188="Compareceu",$P1188&gt;0.005),"Cobrar",IF($F1188="Faltou","Falta: reagendar","")))))</f>
        <v>0</v>
      </c>
      <c r="T1188" s="29">
        <f>IF($A1188="","",DATE(YEAR($A1188),MONTH($A1188),1))</f>
        <v>0</v>
      </c>
      <c r="U1188" s="30">
        <f>IF($S1188="CONFIRMAR",MAX($U$4:$U1187)+1,"")</f>
        <v>0</v>
      </c>
      <c r="V1188" s="30">
        <f>IF(AND($R1188="Não",$Q1188&lt;&gt;"",$Q1188&lt;=Hoje+JanelaRet,$Q1188&gt;=Hoje-60),MAX($V$4:$V1187)+1,"")</f>
        <v>0</v>
      </c>
    </row>
    <row r="1189" spans="1:22">
      <c r="A1189" s="16"/>
      <c r="B1189" s="23"/>
      <c r="C1189" s="15"/>
      <c r="D1189" s="15"/>
      <c r="E1189" s="15"/>
      <c r="F1189" s="24"/>
      <c r="G1189" s="17"/>
      <c r="H1189" s="17"/>
      <c r="I1189" s="15"/>
      <c r="J1189" s="25">
        <f>IF($D1189="","",IFERROR(INDEX(PacNome,MATCH($D1189,PacCod,0)),"Paciente não cadastrado"))</f>
        <v>0</v>
      </c>
      <c r="K1189" s="26">
        <f>IF($D1189="","",IFERROR(INDEX(PacConv,MATCH($D1189,PacCod,0))&amp;"",""))</f>
        <v>0</v>
      </c>
      <c r="L1189" s="26">
        <f>IF($A1189="","",CHOOSE(WEEKDAY($A1189,2),"Seg","Ter","Qua","Qui","Sex","Sáb","Dom"))</f>
        <v>0</v>
      </c>
      <c r="M1189" s="27">
        <f>IF($E1189="","",IF($G1189&lt;&gt;"",$G1189,IFERROR(INDEX(ProcValor,MATCH($E1189,ProcNome,0)),0)))</f>
        <v>0</v>
      </c>
      <c r="N1189" s="27">
        <f>IF($M1189="","",IF($F1189="Compareceu",$M1189,0))</f>
        <v>0</v>
      </c>
      <c r="O1189" s="27">
        <f>IF($M1189="","",IF($F1189="Faltou",$M1189,0))</f>
        <v>0</v>
      </c>
      <c r="P1189" s="27">
        <f>IF($M1189="","",IF($F1189="Compareceu",MAX(0,$M1189-N($H1189)),0))</f>
        <v>0</v>
      </c>
      <c r="Q1189" s="19">
        <f>IF(AND($F1189="Compareceu",$E1189&lt;&gt;"",$A1189&lt;&gt;""),IF(IFERROR(INDEX(ProcRet,MATCH($E1189,ProcNome,0)),0)&gt;0,$A1189+INDEX(ProcRet,MATCH($E1189,ProcNome,0)),""),"")</f>
        <v>0</v>
      </c>
      <c r="R1189" s="26">
        <f>IF($Q1189="","",IF(COUNTIFS(AgPac,$D1189,AgData,"&gt;"&amp;$A1189,AgStatus,"&lt;&gt;Cancelado",AgStatus,"&lt;&gt;Remarcado")&gt;0,"Sim","Não"))</f>
        <v>0</v>
      </c>
      <c r="S1189" s="28">
        <f>IF($A1189="","",IF(AND($F1189="Agendado",$A1189-Hoje&gt;=0,$A1189-Hoje&lt;=DiasConf),"CONFIRMAR",IF(AND($A1189&lt;Hoje,OR($F1189="Agendado",$F1189="Confirmado")),"Atualizar status",IF(AND($F1189="Compareceu",$P1189&gt;0.005),"Cobrar",IF($F1189="Faltou","Falta: reagendar","")))))</f>
        <v>0</v>
      </c>
      <c r="T1189" s="29">
        <f>IF($A1189="","",DATE(YEAR($A1189),MONTH($A1189),1))</f>
        <v>0</v>
      </c>
      <c r="U1189" s="30">
        <f>IF($S1189="CONFIRMAR",MAX($U$4:$U1188)+1,"")</f>
        <v>0</v>
      </c>
      <c r="V1189" s="30">
        <f>IF(AND($R1189="Não",$Q1189&lt;&gt;"",$Q1189&lt;=Hoje+JanelaRet,$Q1189&gt;=Hoje-60),MAX($V$4:$V1188)+1,"")</f>
        <v>0</v>
      </c>
    </row>
    <row r="1190" spans="1:22">
      <c r="A1190" s="16"/>
      <c r="B1190" s="23"/>
      <c r="C1190" s="15"/>
      <c r="D1190" s="15"/>
      <c r="E1190" s="15"/>
      <c r="F1190" s="24"/>
      <c r="G1190" s="17"/>
      <c r="H1190" s="17"/>
      <c r="I1190" s="15"/>
      <c r="J1190" s="25">
        <f>IF($D1190="","",IFERROR(INDEX(PacNome,MATCH($D1190,PacCod,0)),"Paciente não cadastrado"))</f>
        <v>0</v>
      </c>
      <c r="K1190" s="26">
        <f>IF($D1190="","",IFERROR(INDEX(PacConv,MATCH($D1190,PacCod,0))&amp;"",""))</f>
        <v>0</v>
      </c>
      <c r="L1190" s="26">
        <f>IF($A1190="","",CHOOSE(WEEKDAY($A1190,2),"Seg","Ter","Qua","Qui","Sex","Sáb","Dom"))</f>
        <v>0</v>
      </c>
      <c r="M1190" s="27">
        <f>IF($E1190="","",IF($G1190&lt;&gt;"",$G1190,IFERROR(INDEX(ProcValor,MATCH($E1190,ProcNome,0)),0)))</f>
        <v>0</v>
      </c>
      <c r="N1190" s="27">
        <f>IF($M1190="","",IF($F1190="Compareceu",$M1190,0))</f>
        <v>0</v>
      </c>
      <c r="O1190" s="27">
        <f>IF($M1190="","",IF($F1190="Faltou",$M1190,0))</f>
        <v>0</v>
      </c>
      <c r="P1190" s="27">
        <f>IF($M1190="","",IF($F1190="Compareceu",MAX(0,$M1190-N($H1190)),0))</f>
        <v>0</v>
      </c>
      <c r="Q1190" s="19">
        <f>IF(AND($F1190="Compareceu",$E1190&lt;&gt;"",$A1190&lt;&gt;""),IF(IFERROR(INDEX(ProcRet,MATCH($E1190,ProcNome,0)),0)&gt;0,$A1190+INDEX(ProcRet,MATCH($E1190,ProcNome,0)),""),"")</f>
        <v>0</v>
      </c>
      <c r="R1190" s="26">
        <f>IF($Q1190="","",IF(COUNTIFS(AgPac,$D1190,AgData,"&gt;"&amp;$A1190,AgStatus,"&lt;&gt;Cancelado",AgStatus,"&lt;&gt;Remarcado")&gt;0,"Sim","Não"))</f>
        <v>0</v>
      </c>
      <c r="S1190" s="28">
        <f>IF($A1190="","",IF(AND($F1190="Agendado",$A1190-Hoje&gt;=0,$A1190-Hoje&lt;=DiasConf),"CONFIRMAR",IF(AND($A1190&lt;Hoje,OR($F1190="Agendado",$F1190="Confirmado")),"Atualizar status",IF(AND($F1190="Compareceu",$P1190&gt;0.005),"Cobrar",IF($F1190="Faltou","Falta: reagendar","")))))</f>
        <v>0</v>
      </c>
      <c r="T1190" s="29">
        <f>IF($A1190="","",DATE(YEAR($A1190),MONTH($A1190),1))</f>
        <v>0</v>
      </c>
      <c r="U1190" s="30">
        <f>IF($S1190="CONFIRMAR",MAX($U$4:$U1189)+1,"")</f>
        <v>0</v>
      </c>
      <c r="V1190" s="30">
        <f>IF(AND($R1190="Não",$Q1190&lt;&gt;"",$Q1190&lt;=Hoje+JanelaRet,$Q1190&gt;=Hoje-60),MAX($V$4:$V1189)+1,"")</f>
        <v>0</v>
      </c>
    </row>
    <row r="1191" spans="1:22">
      <c r="A1191" s="16"/>
      <c r="B1191" s="23"/>
      <c r="C1191" s="15"/>
      <c r="D1191" s="15"/>
      <c r="E1191" s="15"/>
      <c r="F1191" s="24"/>
      <c r="G1191" s="17"/>
      <c r="H1191" s="17"/>
      <c r="I1191" s="15"/>
      <c r="J1191" s="25">
        <f>IF($D1191="","",IFERROR(INDEX(PacNome,MATCH($D1191,PacCod,0)),"Paciente não cadastrado"))</f>
        <v>0</v>
      </c>
      <c r="K1191" s="26">
        <f>IF($D1191="","",IFERROR(INDEX(PacConv,MATCH($D1191,PacCod,0))&amp;"",""))</f>
        <v>0</v>
      </c>
      <c r="L1191" s="26">
        <f>IF($A1191="","",CHOOSE(WEEKDAY($A1191,2),"Seg","Ter","Qua","Qui","Sex","Sáb","Dom"))</f>
        <v>0</v>
      </c>
      <c r="M1191" s="27">
        <f>IF($E1191="","",IF($G1191&lt;&gt;"",$G1191,IFERROR(INDEX(ProcValor,MATCH($E1191,ProcNome,0)),0)))</f>
        <v>0</v>
      </c>
      <c r="N1191" s="27">
        <f>IF($M1191="","",IF($F1191="Compareceu",$M1191,0))</f>
        <v>0</v>
      </c>
      <c r="O1191" s="27">
        <f>IF($M1191="","",IF($F1191="Faltou",$M1191,0))</f>
        <v>0</v>
      </c>
      <c r="P1191" s="27">
        <f>IF($M1191="","",IF($F1191="Compareceu",MAX(0,$M1191-N($H1191)),0))</f>
        <v>0</v>
      </c>
      <c r="Q1191" s="19">
        <f>IF(AND($F1191="Compareceu",$E1191&lt;&gt;"",$A1191&lt;&gt;""),IF(IFERROR(INDEX(ProcRet,MATCH($E1191,ProcNome,0)),0)&gt;0,$A1191+INDEX(ProcRet,MATCH($E1191,ProcNome,0)),""),"")</f>
        <v>0</v>
      </c>
      <c r="R1191" s="26">
        <f>IF($Q1191="","",IF(COUNTIFS(AgPac,$D1191,AgData,"&gt;"&amp;$A1191,AgStatus,"&lt;&gt;Cancelado",AgStatus,"&lt;&gt;Remarcado")&gt;0,"Sim","Não"))</f>
        <v>0</v>
      </c>
      <c r="S1191" s="28">
        <f>IF($A1191="","",IF(AND($F1191="Agendado",$A1191-Hoje&gt;=0,$A1191-Hoje&lt;=DiasConf),"CONFIRMAR",IF(AND($A1191&lt;Hoje,OR($F1191="Agendado",$F1191="Confirmado")),"Atualizar status",IF(AND($F1191="Compareceu",$P1191&gt;0.005),"Cobrar",IF($F1191="Faltou","Falta: reagendar","")))))</f>
        <v>0</v>
      </c>
      <c r="T1191" s="29">
        <f>IF($A1191="","",DATE(YEAR($A1191),MONTH($A1191),1))</f>
        <v>0</v>
      </c>
      <c r="U1191" s="30">
        <f>IF($S1191="CONFIRMAR",MAX($U$4:$U1190)+1,"")</f>
        <v>0</v>
      </c>
      <c r="V1191" s="30">
        <f>IF(AND($R1191="Não",$Q1191&lt;&gt;"",$Q1191&lt;=Hoje+JanelaRet,$Q1191&gt;=Hoje-60),MAX($V$4:$V1190)+1,"")</f>
        <v>0</v>
      </c>
    </row>
    <row r="1192" spans="1:22">
      <c r="A1192" s="16"/>
      <c r="B1192" s="23"/>
      <c r="C1192" s="15"/>
      <c r="D1192" s="15"/>
      <c r="E1192" s="15"/>
      <c r="F1192" s="24"/>
      <c r="G1192" s="17"/>
      <c r="H1192" s="17"/>
      <c r="I1192" s="15"/>
      <c r="J1192" s="25">
        <f>IF($D1192="","",IFERROR(INDEX(PacNome,MATCH($D1192,PacCod,0)),"Paciente não cadastrado"))</f>
        <v>0</v>
      </c>
      <c r="K1192" s="26">
        <f>IF($D1192="","",IFERROR(INDEX(PacConv,MATCH($D1192,PacCod,0))&amp;"",""))</f>
        <v>0</v>
      </c>
      <c r="L1192" s="26">
        <f>IF($A1192="","",CHOOSE(WEEKDAY($A1192,2),"Seg","Ter","Qua","Qui","Sex","Sáb","Dom"))</f>
        <v>0</v>
      </c>
      <c r="M1192" s="27">
        <f>IF($E1192="","",IF($G1192&lt;&gt;"",$G1192,IFERROR(INDEX(ProcValor,MATCH($E1192,ProcNome,0)),0)))</f>
        <v>0</v>
      </c>
      <c r="N1192" s="27">
        <f>IF($M1192="","",IF($F1192="Compareceu",$M1192,0))</f>
        <v>0</v>
      </c>
      <c r="O1192" s="27">
        <f>IF($M1192="","",IF($F1192="Faltou",$M1192,0))</f>
        <v>0</v>
      </c>
      <c r="P1192" s="27">
        <f>IF($M1192="","",IF($F1192="Compareceu",MAX(0,$M1192-N($H1192)),0))</f>
        <v>0</v>
      </c>
      <c r="Q1192" s="19">
        <f>IF(AND($F1192="Compareceu",$E1192&lt;&gt;"",$A1192&lt;&gt;""),IF(IFERROR(INDEX(ProcRet,MATCH($E1192,ProcNome,0)),0)&gt;0,$A1192+INDEX(ProcRet,MATCH($E1192,ProcNome,0)),""),"")</f>
        <v>0</v>
      </c>
      <c r="R1192" s="26">
        <f>IF($Q1192="","",IF(COUNTIFS(AgPac,$D1192,AgData,"&gt;"&amp;$A1192,AgStatus,"&lt;&gt;Cancelado",AgStatus,"&lt;&gt;Remarcado")&gt;0,"Sim","Não"))</f>
        <v>0</v>
      </c>
      <c r="S1192" s="28">
        <f>IF($A1192="","",IF(AND($F1192="Agendado",$A1192-Hoje&gt;=0,$A1192-Hoje&lt;=DiasConf),"CONFIRMAR",IF(AND($A1192&lt;Hoje,OR($F1192="Agendado",$F1192="Confirmado")),"Atualizar status",IF(AND($F1192="Compareceu",$P1192&gt;0.005),"Cobrar",IF($F1192="Faltou","Falta: reagendar","")))))</f>
        <v>0</v>
      </c>
      <c r="T1192" s="29">
        <f>IF($A1192="","",DATE(YEAR($A1192),MONTH($A1192),1))</f>
        <v>0</v>
      </c>
      <c r="U1192" s="30">
        <f>IF($S1192="CONFIRMAR",MAX($U$4:$U1191)+1,"")</f>
        <v>0</v>
      </c>
      <c r="V1192" s="30">
        <f>IF(AND($R1192="Não",$Q1192&lt;&gt;"",$Q1192&lt;=Hoje+JanelaRet,$Q1192&gt;=Hoje-60),MAX($V$4:$V1191)+1,"")</f>
        <v>0</v>
      </c>
    </row>
    <row r="1193" spans="1:22">
      <c r="A1193" s="16"/>
      <c r="B1193" s="23"/>
      <c r="C1193" s="15"/>
      <c r="D1193" s="15"/>
      <c r="E1193" s="15"/>
      <c r="F1193" s="24"/>
      <c r="G1193" s="17"/>
      <c r="H1193" s="17"/>
      <c r="I1193" s="15"/>
      <c r="J1193" s="25">
        <f>IF($D1193="","",IFERROR(INDEX(PacNome,MATCH($D1193,PacCod,0)),"Paciente não cadastrado"))</f>
        <v>0</v>
      </c>
      <c r="K1193" s="26">
        <f>IF($D1193="","",IFERROR(INDEX(PacConv,MATCH($D1193,PacCod,0))&amp;"",""))</f>
        <v>0</v>
      </c>
      <c r="L1193" s="26">
        <f>IF($A1193="","",CHOOSE(WEEKDAY($A1193,2),"Seg","Ter","Qua","Qui","Sex","Sáb","Dom"))</f>
        <v>0</v>
      </c>
      <c r="M1193" s="27">
        <f>IF($E1193="","",IF($G1193&lt;&gt;"",$G1193,IFERROR(INDEX(ProcValor,MATCH($E1193,ProcNome,0)),0)))</f>
        <v>0</v>
      </c>
      <c r="N1193" s="27">
        <f>IF($M1193="","",IF($F1193="Compareceu",$M1193,0))</f>
        <v>0</v>
      </c>
      <c r="O1193" s="27">
        <f>IF($M1193="","",IF($F1193="Faltou",$M1193,0))</f>
        <v>0</v>
      </c>
      <c r="P1193" s="27">
        <f>IF($M1193="","",IF($F1193="Compareceu",MAX(0,$M1193-N($H1193)),0))</f>
        <v>0</v>
      </c>
      <c r="Q1193" s="19">
        <f>IF(AND($F1193="Compareceu",$E1193&lt;&gt;"",$A1193&lt;&gt;""),IF(IFERROR(INDEX(ProcRet,MATCH($E1193,ProcNome,0)),0)&gt;0,$A1193+INDEX(ProcRet,MATCH($E1193,ProcNome,0)),""),"")</f>
        <v>0</v>
      </c>
      <c r="R1193" s="26">
        <f>IF($Q1193="","",IF(COUNTIFS(AgPac,$D1193,AgData,"&gt;"&amp;$A1193,AgStatus,"&lt;&gt;Cancelado",AgStatus,"&lt;&gt;Remarcado")&gt;0,"Sim","Não"))</f>
        <v>0</v>
      </c>
      <c r="S1193" s="28">
        <f>IF($A1193="","",IF(AND($F1193="Agendado",$A1193-Hoje&gt;=0,$A1193-Hoje&lt;=DiasConf),"CONFIRMAR",IF(AND($A1193&lt;Hoje,OR($F1193="Agendado",$F1193="Confirmado")),"Atualizar status",IF(AND($F1193="Compareceu",$P1193&gt;0.005),"Cobrar",IF($F1193="Faltou","Falta: reagendar","")))))</f>
        <v>0</v>
      </c>
      <c r="T1193" s="29">
        <f>IF($A1193="","",DATE(YEAR($A1193),MONTH($A1193),1))</f>
        <v>0</v>
      </c>
      <c r="U1193" s="30">
        <f>IF($S1193="CONFIRMAR",MAX($U$4:$U1192)+1,"")</f>
        <v>0</v>
      </c>
      <c r="V1193" s="30">
        <f>IF(AND($R1193="Não",$Q1193&lt;&gt;"",$Q1193&lt;=Hoje+JanelaRet,$Q1193&gt;=Hoje-60),MAX($V$4:$V1192)+1,"")</f>
        <v>0</v>
      </c>
    </row>
    <row r="1194" spans="1:22">
      <c r="A1194" s="16"/>
      <c r="B1194" s="23"/>
      <c r="C1194" s="15"/>
      <c r="D1194" s="15"/>
      <c r="E1194" s="15"/>
      <c r="F1194" s="24"/>
      <c r="G1194" s="17"/>
      <c r="H1194" s="17"/>
      <c r="I1194" s="15"/>
      <c r="J1194" s="25">
        <f>IF($D1194="","",IFERROR(INDEX(PacNome,MATCH($D1194,PacCod,0)),"Paciente não cadastrado"))</f>
        <v>0</v>
      </c>
      <c r="K1194" s="26">
        <f>IF($D1194="","",IFERROR(INDEX(PacConv,MATCH($D1194,PacCod,0))&amp;"",""))</f>
        <v>0</v>
      </c>
      <c r="L1194" s="26">
        <f>IF($A1194="","",CHOOSE(WEEKDAY($A1194,2),"Seg","Ter","Qua","Qui","Sex","Sáb","Dom"))</f>
        <v>0</v>
      </c>
      <c r="M1194" s="27">
        <f>IF($E1194="","",IF($G1194&lt;&gt;"",$G1194,IFERROR(INDEX(ProcValor,MATCH($E1194,ProcNome,0)),0)))</f>
        <v>0</v>
      </c>
      <c r="N1194" s="27">
        <f>IF($M1194="","",IF($F1194="Compareceu",$M1194,0))</f>
        <v>0</v>
      </c>
      <c r="O1194" s="27">
        <f>IF($M1194="","",IF($F1194="Faltou",$M1194,0))</f>
        <v>0</v>
      </c>
      <c r="P1194" s="27">
        <f>IF($M1194="","",IF($F1194="Compareceu",MAX(0,$M1194-N($H1194)),0))</f>
        <v>0</v>
      </c>
      <c r="Q1194" s="19">
        <f>IF(AND($F1194="Compareceu",$E1194&lt;&gt;"",$A1194&lt;&gt;""),IF(IFERROR(INDEX(ProcRet,MATCH($E1194,ProcNome,0)),0)&gt;0,$A1194+INDEX(ProcRet,MATCH($E1194,ProcNome,0)),""),"")</f>
        <v>0</v>
      </c>
      <c r="R1194" s="26">
        <f>IF($Q1194="","",IF(COUNTIFS(AgPac,$D1194,AgData,"&gt;"&amp;$A1194,AgStatus,"&lt;&gt;Cancelado",AgStatus,"&lt;&gt;Remarcado")&gt;0,"Sim","Não"))</f>
        <v>0</v>
      </c>
      <c r="S1194" s="28">
        <f>IF($A1194="","",IF(AND($F1194="Agendado",$A1194-Hoje&gt;=0,$A1194-Hoje&lt;=DiasConf),"CONFIRMAR",IF(AND($A1194&lt;Hoje,OR($F1194="Agendado",$F1194="Confirmado")),"Atualizar status",IF(AND($F1194="Compareceu",$P1194&gt;0.005),"Cobrar",IF($F1194="Faltou","Falta: reagendar","")))))</f>
        <v>0</v>
      </c>
      <c r="T1194" s="29">
        <f>IF($A1194="","",DATE(YEAR($A1194),MONTH($A1194),1))</f>
        <v>0</v>
      </c>
      <c r="U1194" s="30">
        <f>IF($S1194="CONFIRMAR",MAX($U$4:$U1193)+1,"")</f>
        <v>0</v>
      </c>
      <c r="V1194" s="30">
        <f>IF(AND($R1194="Não",$Q1194&lt;&gt;"",$Q1194&lt;=Hoje+JanelaRet,$Q1194&gt;=Hoje-60),MAX($V$4:$V1193)+1,"")</f>
        <v>0</v>
      </c>
    </row>
    <row r="1195" spans="1:22">
      <c r="A1195" s="16"/>
      <c r="B1195" s="23"/>
      <c r="C1195" s="15"/>
      <c r="D1195" s="15"/>
      <c r="E1195" s="15"/>
      <c r="F1195" s="24"/>
      <c r="G1195" s="17"/>
      <c r="H1195" s="17"/>
      <c r="I1195" s="15"/>
      <c r="J1195" s="25">
        <f>IF($D1195="","",IFERROR(INDEX(PacNome,MATCH($D1195,PacCod,0)),"Paciente não cadastrado"))</f>
        <v>0</v>
      </c>
      <c r="K1195" s="26">
        <f>IF($D1195="","",IFERROR(INDEX(PacConv,MATCH($D1195,PacCod,0))&amp;"",""))</f>
        <v>0</v>
      </c>
      <c r="L1195" s="26">
        <f>IF($A1195="","",CHOOSE(WEEKDAY($A1195,2),"Seg","Ter","Qua","Qui","Sex","Sáb","Dom"))</f>
        <v>0</v>
      </c>
      <c r="M1195" s="27">
        <f>IF($E1195="","",IF($G1195&lt;&gt;"",$G1195,IFERROR(INDEX(ProcValor,MATCH($E1195,ProcNome,0)),0)))</f>
        <v>0</v>
      </c>
      <c r="N1195" s="27">
        <f>IF($M1195="","",IF($F1195="Compareceu",$M1195,0))</f>
        <v>0</v>
      </c>
      <c r="O1195" s="27">
        <f>IF($M1195="","",IF($F1195="Faltou",$M1195,0))</f>
        <v>0</v>
      </c>
      <c r="P1195" s="27">
        <f>IF($M1195="","",IF($F1195="Compareceu",MAX(0,$M1195-N($H1195)),0))</f>
        <v>0</v>
      </c>
      <c r="Q1195" s="19">
        <f>IF(AND($F1195="Compareceu",$E1195&lt;&gt;"",$A1195&lt;&gt;""),IF(IFERROR(INDEX(ProcRet,MATCH($E1195,ProcNome,0)),0)&gt;0,$A1195+INDEX(ProcRet,MATCH($E1195,ProcNome,0)),""),"")</f>
        <v>0</v>
      </c>
      <c r="R1195" s="26">
        <f>IF($Q1195="","",IF(COUNTIFS(AgPac,$D1195,AgData,"&gt;"&amp;$A1195,AgStatus,"&lt;&gt;Cancelado",AgStatus,"&lt;&gt;Remarcado")&gt;0,"Sim","Não"))</f>
        <v>0</v>
      </c>
      <c r="S1195" s="28">
        <f>IF($A1195="","",IF(AND($F1195="Agendado",$A1195-Hoje&gt;=0,$A1195-Hoje&lt;=DiasConf),"CONFIRMAR",IF(AND($A1195&lt;Hoje,OR($F1195="Agendado",$F1195="Confirmado")),"Atualizar status",IF(AND($F1195="Compareceu",$P1195&gt;0.005),"Cobrar",IF($F1195="Faltou","Falta: reagendar","")))))</f>
        <v>0</v>
      </c>
      <c r="T1195" s="29">
        <f>IF($A1195="","",DATE(YEAR($A1195),MONTH($A1195),1))</f>
        <v>0</v>
      </c>
      <c r="U1195" s="30">
        <f>IF($S1195="CONFIRMAR",MAX($U$4:$U1194)+1,"")</f>
        <v>0</v>
      </c>
      <c r="V1195" s="30">
        <f>IF(AND($R1195="Não",$Q1195&lt;&gt;"",$Q1195&lt;=Hoje+JanelaRet,$Q1195&gt;=Hoje-60),MAX($V$4:$V1194)+1,"")</f>
        <v>0</v>
      </c>
    </row>
    <row r="1196" spans="1:22">
      <c r="A1196" s="16"/>
      <c r="B1196" s="23"/>
      <c r="C1196" s="15"/>
      <c r="D1196" s="15"/>
      <c r="E1196" s="15"/>
      <c r="F1196" s="24"/>
      <c r="G1196" s="17"/>
      <c r="H1196" s="17"/>
      <c r="I1196" s="15"/>
      <c r="J1196" s="25">
        <f>IF($D1196="","",IFERROR(INDEX(PacNome,MATCH($D1196,PacCod,0)),"Paciente não cadastrado"))</f>
        <v>0</v>
      </c>
      <c r="K1196" s="26">
        <f>IF($D1196="","",IFERROR(INDEX(PacConv,MATCH($D1196,PacCod,0))&amp;"",""))</f>
        <v>0</v>
      </c>
      <c r="L1196" s="26">
        <f>IF($A1196="","",CHOOSE(WEEKDAY($A1196,2),"Seg","Ter","Qua","Qui","Sex","Sáb","Dom"))</f>
        <v>0</v>
      </c>
      <c r="M1196" s="27">
        <f>IF($E1196="","",IF($G1196&lt;&gt;"",$G1196,IFERROR(INDEX(ProcValor,MATCH($E1196,ProcNome,0)),0)))</f>
        <v>0</v>
      </c>
      <c r="N1196" s="27">
        <f>IF($M1196="","",IF($F1196="Compareceu",$M1196,0))</f>
        <v>0</v>
      </c>
      <c r="O1196" s="27">
        <f>IF($M1196="","",IF($F1196="Faltou",$M1196,0))</f>
        <v>0</v>
      </c>
      <c r="P1196" s="27">
        <f>IF($M1196="","",IF($F1196="Compareceu",MAX(0,$M1196-N($H1196)),0))</f>
        <v>0</v>
      </c>
      <c r="Q1196" s="19">
        <f>IF(AND($F1196="Compareceu",$E1196&lt;&gt;"",$A1196&lt;&gt;""),IF(IFERROR(INDEX(ProcRet,MATCH($E1196,ProcNome,0)),0)&gt;0,$A1196+INDEX(ProcRet,MATCH($E1196,ProcNome,0)),""),"")</f>
        <v>0</v>
      </c>
      <c r="R1196" s="26">
        <f>IF($Q1196="","",IF(COUNTIFS(AgPac,$D1196,AgData,"&gt;"&amp;$A1196,AgStatus,"&lt;&gt;Cancelado",AgStatus,"&lt;&gt;Remarcado")&gt;0,"Sim","Não"))</f>
        <v>0</v>
      </c>
      <c r="S1196" s="28">
        <f>IF($A1196="","",IF(AND($F1196="Agendado",$A1196-Hoje&gt;=0,$A1196-Hoje&lt;=DiasConf),"CONFIRMAR",IF(AND($A1196&lt;Hoje,OR($F1196="Agendado",$F1196="Confirmado")),"Atualizar status",IF(AND($F1196="Compareceu",$P1196&gt;0.005),"Cobrar",IF($F1196="Faltou","Falta: reagendar","")))))</f>
        <v>0</v>
      </c>
      <c r="T1196" s="29">
        <f>IF($A1196="","",DATE(YEAR($A1196),MONTH($A1196),1))</f>
        <v>0</v>
      </c>
      <c r="U1196" s="30">
        <f>IF($S1196="CONFIRMAR",MAX($U$4:$U1195)+1,"")</f>
        <v>0</v>
      </c>
      <c r="V1196" s="30">
        <f>IF(AND($R1196="Não",$Q1196&lt;&gt;"",$Q1196&lt;=Hoje+JanelaRet,$Q1196&gt;=Hoje-60),MAX($V$4:$V1195)+1,"")</f>
        <v>0</v>
      </c>
    </row>
    <row r="1197" spans="1:22">
      <c r="A1197" s="16"/>
      <c r="B1197" s="23"/>
      <c r="C1197" s="15"/>
      <c r="D1197" s="15"/>
      <c r="E1197" s="15"/>
      <c r="F1197" s="24"/>
      <c r="G1197" s="17"/>
      <c r="H1197" s="17"/>
      <c r="I1197" s="15"/>
      <c r="J1197" s="25">
        <f>IF($D1197="","",IFERROR(INDEX(PacNome,MATCH($D1197,PacCod,0)),"Paciente não cadastrado"))</f>
        <v>0</v>
      </c>
      <c r="K1197" s="26">
        <f>IF($D1197="","",IFERROR(INDEX(PacConv,MATCH($D1197,PacCod,0))&amp;"",""))</f>
        <v>0</v>
      </c>
      <c r="L1197" s="26">
        <f>IF($A1197="","",CHOOSE(WEEKDAY($A1197,2),"Seg","Ter","Qua","Qui","Sex","Sáb","Dom"))</f>
        <v>0</v>
      </c>
      <c r="M1197" s="27">
        <f>IF($E1197="","",IF($G1197&lt;&gt;"",$G1197,IFERROR(INDEX(ProcValor,MATCH($E1197,ProcNome,0)),0)))</f>
        <v>0</v>
      </c>
      <c r="N1197" s="27">
        <f>IF($M1197="","",IF($F1197="Compareceu",$M1197,0))</f>
        <v>0</v>
      </c>
      <c r="O1197" s="27">
        <f>IF($M1197="","",IF($F1197="Faltou",$M1197,0))</f>
        <v>0</v>
      </c>
      <c r="P1197" s="27">
        <f>IF($M1197="","",IF($F1197="Compareceu",MAX(0,$M1197-N($H1197)),0))</f>
        <v>0</v>
      </c>
      <c r="Q1197" s="19">
        <f>IF(AND($F1197="Compareceu",$E1197&lt;&gt;"",$A1197&lt;&gt;""),IF(IFERROR(INDEX(ProcRet,MATCH($E1197,ProcNome,0)),0)&gt;0,$A1197+INDEX(ProcRet,MATCH($E1197,ProcNome,0)),""),"")</f>
        <v>0</v>
      </c>
      <c r="R1197" s="26">
        <f>IF($Q1197="","",IF(COUNTIFS(AgPac,$D1197,AgData,"&gt;"&amp;$A1197,AgStatus,"&lt;&gt;Cancelado",AgStatus,"&lt;&gt;Remarcado")&gt;0,"Sim","Não"))</f>
        <v>0</v>
      </c>
      <c r="S1197" s="28">
        <f>IF($A1197="","",IF(AND($F1197="Agendado",$A1197-Hoje&gt;=0,$A1197-Hoje&lt;=DiasConf),"CONFIRMAR",IF(AND($A1197&lt;Hoje,OR($F1197="Agendado",$F1197="Confirmado")),"Atualizar status",IF(AND($F1197="Compareceu",$P1197&gt;0.005),"Cobrar",IF($F1197="Faltou","Falta: reagendar","")))))</f>
        <v>0</v>
      </c>
      <c r="T1197" s="29">
        <f>IF($A1197="","",DATE(YEAR($A1197),MONTH($A1197),1))</f>
        <v>0</v>
      </c>
      <c r="U1197" s="30">
        <f>IF($S1197="CONFIRMAR",MAX($U$4:$U1196)+1,"")</f>
        <v>0</v>
      </c>
      <c r="V1197" s="30">
        <f>IF(AND($R1197="Não",$Q1197&lt;&gt;"",$Q1197&lt;=Hoje+JanelaRet,$Q1197&gt;=Hoje-60),MAX($V$4:$V1196)+1,"")</f>
        <v>0</v>
      </c>
    </row>
    <row r="1198" spans="1:22">
      <c r="A1198" s="16"/>
      <c r="B1198" s="23"/>
      <c r="C1198" s="15"/>
      <c r="D1198" s="15"/>
      <c r="E1198" s="15"/>
      <c r="F1198" s="24"/>
      <c r="G1198" s="17"/>
      <c r="H1198" s="17"/>
      <c r="I1198" s="15"/>
      <c r="J1198" s="25">
        <f>IF($D1198="","",IFERROR(INDEX(PacNome,MATCH($D1198,PacCod,0)),"Paciente não cadastrado"))</f>
        <v>0</v>
      </c>
      <c r="K1198" s="26">
        <f>IF($D1198="","",IFERROR(INDEX(PacConv,MATCH($D1198,PacCod,0))&amp;"",""))</f>
        <v>0</v>
      </c>
      <c r="L1198" s="26">
        <f>IF($A1198="","",CHOOSE(WEEKDAY($A1198,2),"Seg","Ter","Qua","Qui","Sex","Sáb","Dom"))</f>
        <v>0</v>
      </c>
      <c r="M1198" s="27">
        <f>IF($E1198="","",IF($G1198&lt;&gt;"",$G1198,IFERROR(INDEX(ProcValor,MATCH($E1198,ProcNome,0)),0)))</f>
        <v>0</v>
      </c>
      <c r="N1198" s="27">
        <f>IF($M1198="","",IF($F1198="Compareceu",$M1198,0))</f>
        <v>0</v>
      </c>
      <c r="O1198" s="27">
        <f>IF($M1198="","",IF($F1198="Faltou",$M1198,0))</f>
        <v>0</v>
      </c>
      <c r="P1198" s="27">
        <f>IF($M1198="","",IF($F1198="Compareceu",MAX(0,$M1198-N($H1198)),0))</f>
        <v>0</v>
      </c>
      <c r="Q1198" s="19">
        <f>IF(AND($F1198="Compareceu",$E1198&lt;&gt;"",$A1198&lt;&gt;""),IF(IFERROR(INDEX(ProcRet,MATCH($E1198,ProcNome,0)),0)&gt;0,$A1198+INDEX(ProcRet,MATCH($E1198,ProcNome,0)),""),"")</f>
        <v>0</v>
      </c>
      <c r="R1198" s="26">
        <f>IF($Q1198="","",IF(COUNTIFS(AgPac,$D1198,AgData,"&gt;"&amp;$A1198,AgStatus,"&lt;&gt;Cancelado",AgStatus,"&lt;&gt;Remarcado")&gt;0,"Sim","Não"))</f>
        <v>0</v>
      </c>
      <c r="S1198" s="28">
        <f>IF($A1198="","",IF(AND($F1198="Agendado",$A1198-Hoje&gt;=0,$A1198-Hoje&lt;=DiasConf),"CONFIRMAR",IF(AND($A1198&lt;Hoje,OR($F1198="Agendado",$F1198="Confirmado")),"Atualizar status",IF(AND($F1198="Compareceu",$P1198&gt;0.005),"Cobrar",IF($F1198="Faltou","Falta: reagendar","")))))</f>
        <v>0</v>
      </c>
      <c r="T1198" s="29">
        <f>IF($A1198="","",DATE(YEAR($A1198),MONTH($A1198),1))</f>
        <v>0</v>
      </c>
      <c r="U1198" s="30">
        <f>IF($S1198="CONFIRMAR",MAX($U$4:$U1197)+1,"")</f>
        <v>0</v>
      </c>
      <c r="V1198" s="30">
        <f>IF(AND($R1198="Não",$Q1198&lt;&gt;"",$Q1198&lt;=Hoje+JanelaRet,$Q1198&gt;=Hoje-60),MAX($V$4:$V1197)+1,"")</f>
        <v>0</v>
      </c>
    </row>
    <row r="1199" spans="1:22">
      <c r="A1199" s="16"/>
      <c r="B1199" s="23"/>
      <c r="C1199" s="15"/>
      <c r="D1199" s="15"/>
      <c r="E1199" s="15"/>
      <c r="F1199" s="24"/>
      <c r="G1199" s="17"/>
      <c r="H1199" s="17"/>
      <c r="I1199" s="15"/>
      <c r="J1199" s="25">
        <f>IF($D1199="","",IFERROR(INDEX(PacNome,MATCH($D1199,PacCod,0)),"Paciente não cadastrado"))</f>
        <v>0</v>
      </c>
      <c r="K1199" s="26">
        <f>IF($D1199="","",IFERROR(INDEX(PacConv,MATCH($D1199,PacCod,0))&amp;"",""))</f>
        <v>0</v>
      </c>
      <c r="L1199" s="26">
        <f>IF($A1199="","",CHOOSE(WEEKDAY($A1199,2),"Seg","Ter","Qua","Qui","Sex","Sáb","Dom"))</f>
        <v>0</v>
      </c>
      <c r="M1199" s="27">
        <f>IF($E1199="","",IF($G1199&lt;&gt;"",$G1199,IFERROR(INDEX(ProcValor,MATCH($E1199,ProcNome,0)),0)))</f>
        <v>0</v>
      </c>
      <c r="N1199" s="27">
        <f>IF($M1199="","",IF($F1199="Compareceu",$M1199,0))</f>
        <v>0</v>
      </c>
      <c r="O1199" s="27">
        <f>IF($M1199="","",IF($F1199="Faltou",$M1199,0))</f>
        <v>0</v>
      </c>
      <c r="P1199" s="27">
        <f>IF($M1199="","",IF($F1199="Compareceu",MAX(0,$M1199-N($H1199)),0))</f>
        <v>0</v>
      </c>
      <c r="Q1199" s="19">
        <f>IF(AND($F1199="Compareceu",$E1199&lt;&gt;"",$A1199&lt;&gt;""),IF(IFERROR(INDEX(ProcRet,MATCH($E1199,ProcNome,0)),0)&gt;0,$A1199+INDEX(ProcRet,MATCH($E1199,ProcNome,0)),""),"")</f>
        <v>0</v>
      </c>
      <c r="R1199" s="26">
        <f>IF($Q1199="","",IF(COUNTIFS(AgPac,$D1199,AgData,"&gt;"&amp;$A1199,AgStatus,"&lt;&gt;Cancelado",AgStatus,"&lt;&gt;Remarcado")&gt;0,"Sim","Não"))</f>
        <v>0</v>
      </c>
      <c r="S1199" s="28">
        <f>IF($A1199="","",IF(AND($F1199="Agendado",$A1199-Hoje&gt;=0,$A1199-Hoje&lt;=DiasConf),"CONFIRMAR",IF(AND($A1199&lt;Hoje,OR($F1199="Agendado",$F1199="Confirmado")),"Atualizar status",IF(AND($F1199="Compareceu",$P1199&gt;0.005),"Cobrar",IF($F1199="Faltou","Falta: reagendar","")))))</f>
        <v>0</v>
      </c>
      <c r="T1199" s="29">
        <f>IF($A1199="","",DATE(YEAR($A1199),MONTH($A1199),1))</f>
        <v>0</v>
      </c>
      <c r="U1199" s="30">
        <f>IF($S1199="CONFIRMAR",MAX($U$4:$U1198)+1,"")</f>
        <v>0</v>
      </c>
      <c r="V1199" s="30">
        <f>IF(AND($R1199="Não",$Q1199&lt;&gt;"",$Q1199&lt;=Hoje+JanelaRet,$Q1199&gt;=Hoje-60),MAX($V$4:$V1198)+1,"")</f>
        <v>0</v>
      </c>
    </row>
    <row r="1200" spans="1:22">
      <c r="A1200" s="16"/>
      <c r="B1200" s="23"/>
      <c r="C1200" s="15"/>
      <c r="D1200" s="15"/>
      <c r="E1200" s="15"/>
      <c r="F1200" s="24"/>
      <c r="G1200" s="17"/>
      <c r="H1200" s="17"/>
      <c r="I1200" s="15"/>
      <c r="J1200" s="25">
        <f>IF($D1200="","",IFERROR(INDEX(PacNome,MATCH($D1200,PacCod,0)),"Paciente não cadastrado"))</f>
        <v>0</v>
      </c>
      <c r="K1200" s="26">
        <f>IF($D1200="","",IFERROR(INDEX(PacConv,MATCH($D1200,PacCod,0))&amp;"",""))</f>
        <v>0</v>
      </c>
      <c r="L1200" s="26">
        <f>IF($A1200="","",CHOOSE(WEEKDAY($A1200,2),"Seg","Ter","Qua","Qui","Sex","Sáb","Dom"))</f>
        <v>0</v>
      </c>
      <c r="M1200" s="27">
        <f>IF($E1200="","",IF($G1200&lt;&gt;"",$G1200,IFERROR(INDEX(ProcValor,MATCH($E1200,ProcNome,0)),0)))</f>
        <v>0</v>
      </c>
      <c r="N1200" s="27">
        <f>IF($M1200="","",IF($F1200="Compareceu",$M1200,0))</f>
        <v>0</v>
      </c>
      <c r="O1200" s="27">
        <f>IF($M1200="","",IF($F1200="Faltou",$M1200,0))</f>
        <v>0</v>
      </c>
      <c r="P1200" s="27">
        <f>IF($M1200="","",IF($F1200="Compareceu",MAX(0,$M1200-N($H1200)),0))</f>
        <v>0</v>
      </c>
      <c r="Q1200" s="19">
        <f>IF(AND($F1200="Compareceu",$E1200&lt;&gt;"",$A1200&lt;&gt;""),IF(IFERROR(INDEX(ProcRet,MATCH($E1200,ProcNome,0)),0)&gt;0,$A1200+INDEX(ProcRet,MATCH($E1200,ProcNome,0)),""),"")</f>
        <v>0</v>
      </c>
      <c r="R1200" s="26">
        <f>IF($Q1200="","",IF(COUNTIFS(AgPac,$D1200,AgData,"&gt;"&amp;$A1200,AgStatus,"&lt;&gt;Cancelado",AgStatus,"&lt;&gt;Remarcado")&gt;0,"Sim","Não"))</f>
        <v>0</v>
      </c>
      <c r="S1200" s="28">
        <f>IF($A1200="","",IF(AND($F1200="Agendado",$A1200-Hoje&gt;=0,$A1200-Hoje&lt;=DiasConf),"CONFIRMAR",IF(AND($A1200&lt;Hoje,OR($F1200="Agendado",$F1200="Confirmado")),"Atualizar status",IF(AND($F1200="Compareceu",$P1200&gt;0.005),"Cobrar",IF($F1200="Faltou","Falta: reagendar","")))))</f>
        <v>0</v>
      </c>
      <c r="T1200" s="29">
        <f>IF($A1200="","",DATE(YEAR($A1200),MONTH($A1200),1))</f>
        <v>0</v>
      </c>
      <c r="U1200" s="30">
        <f>IF($S1200="CONFIRMAR",MAX($U$4:$U1199)+1,"")</f>
        <v>0</v>
      </c>
      <c r="V1200" s="30">
        <f>IF(AND($R1200="Não",$Q1200&lt;&gt;"",$Q1200&lt;=Hoje+JanelaRet,$Q1200&gt;=Hoje-60),MAX($V$4:$V1199)+1,"")</f>
        <v>0</v>
      </c>
    </row>
    <row r="1201" spans="1:22">
      <c r="A1201" s="16"/>
      <c r="B1201" s="23"/>
      <c r="C1201" s="15"/>
      <c r="D1201" s="15"/>
      <c r="E1201" s="15"/>
      <c r="F1201" s="24"/>
      <c r="G1201" s="17"/>
      <c r="H1201" s="17"/>
      <c r="I1201" s="15"/>
      <c r="J1201" s="25">
        <f>IF($D1201="","",IFERROR(INDEX(PacNome,MATCH($D1201,PacCod,0)),"Paciente não cadastrado"))</f>
        <v>0</v>
      </c>
      <c r="K1201" s="26">
        <f>IF($D1201="","",IFERROR(INDEX(PacConv,MATCH($D1201,PacCod,0))&amp;"",""))</f>
        <v>0</v>
      </c>
      <c r="L1201" s="26">
        <f>IF($A1201="","",CHOOSE(WEEKDAY($A1201,2),"Seg","Ter","Qua","Qui","Sex","Sáb","Dom"))</f>
        <v>0</v>
      </c>
      <c r="M1201" s="27">
        <f>IF($E1201="","",IF($G1201&lt;&gt;"",$G1201,IFERROR(INDEX(ProcValor,MATCH($E1201,ProcNome,0)),0)))</f>
        <v>0</v>
      </c>
      <c r="N1201" s="27">
        <f>IF($M1201="","",IF($F1201="Compareceu",$M1201,0))</f>
        <v>0</v>
      </c>
      <c r="O1201" s="27">
        <f>IF($M1201="","",IF($F1201="Faltou",$M1201,0))</f>
        <v>0</v>
      </c>
      <c r="P1201" s="27">
        <f>IF($M1201="","",IF($F1201="Compareceu",MAX(0,$M1201-N($H1201)),0))</f>
        <v>0</v>
      </c>
      <c r="Q1201" s="19">
        <f>IF(AND($F1201="Compareceu",$E1201&lt;&gt;"",$A1201&lt;&gt;""),IF(IFERROR(INDEX(ProcRet,MATCH($E1201,ProcNome,0)),0)&gt;0,$A1201+INDEX(ProcRet,MATCH($E1201,ProcNome,0)),""),"")</f>
        <v>0</v>
      </c>
      <c r="R1201" s="26">
        <f>IF($Q1201="","",IF(COUNTIFS(AgPac,$D1201,AgData,"&gt;"&amp;$A1201,AgStatus,"&lt;&gt;Cancelado",AgStatus,"&lt;&gt;Remarcado")&gt;0,"Sim","Não"))</f>
        <v>0</v>
      </c>
      <c r="S1201" s="28">
        <f>IF($A1201="","",IF(AND($F1201="Agendado",$A1201-Hoje&gt;=0,$A1201-Hoje&lt;=DiasConf),"CONFIRMAR",IF(AND($A1201&lt;Hoje,OR($F1201="Agendado",$F1201="Confirmado")),"Atualizar status",IF(AND($F1201="Compareceu",$P1201&gt;0.005),"Cobrar",IF($F1201="Faltou","Falta: reagendar","")))))</f>
        <v>0</v>
      </c>
      <c r="T1201" s="29">
        <f>IF($A1201="","",DATE(YEAR($A1201),MONTH($A1201),1))</f>
        <v>0</v>
      </c>
      <c r="U1201" s="30">
        <f>IF($S1201="CONFIRMAR",MAX($U$4:$U1200)+1,"")</f>
        <v>0</v>
      </c>
      <c r="V1201" s="30">
        <f>IF(AND($R1201="Não",$Q1201&lt;&gt;"",$Q1201&lt;=Hoje+JanelaRet,$Q1201&gt;=Hoje-60),MAX($V$4:$V1200)+1,"")</f>
        <v>0</v>
      </c>
    </row>
    <row r="1202" spans="1:22">
      <c r="A1202" s="16"/>
      <c r="B1202" s="23"/>
      <c r="C1202" s="15"/>
      <c r="D1202" s="15"/>
      <c r="E1202" s="15"/>
      <c r="F1202" s="24"/>
      <c r="G1202" s="17"/>
      <c r="H1202" s="17"/>
      <c r="I1202" s="15"/>
      <c r="J1202" s="25">
        <f>IF($D1202="","",IFERROR(INDEX(PacNome,MATCH($D1202,PacCod,0)),"Paciente não cadastrado"))</f>
        <v>0</v>
      </c>
      <c r="K1202" s="26">
        <f>IF($D1202="","",IFERROR(INDEX(PacConv,MATCH($D1202,PacCod,0))&amp;"",""))</f>
        <v>0</v>
      </c>
      <c r="L1202" s="26">
        <f>IF($A1202="","",CHOOSE(WEEKDAY($A1202,2),"Seg","Ter","Qua","Qui","Sex","Sáb","Dom"))</f>
        <v>0</v>
      </c>
      <c r="M1202" s="27">
        <f>IF($E1202="","",IF($G1202&lt;&gt;"",$G1202,IFERROR(INDEX(ProcValor,MATCH($E1202,ProcNome,0)),0)))</f>
        <v>0</v>
      </c>
      <c r="N1202" s="27">
        <f>IF($M1202="","",IF($F1202="Compareceu",$M1202,0))</f>
        <v>0</v>
      </c>
      <c r="O1202" s="27">
        <f>IF($M1202="","",IF($F1202="Faltou",$M1202,0))</f>
        <v>0</v>
      </c>
      <c r="P1202" s="27">
        <f>IF($M1202="","",IF($F1202="Compareceu",MAX(0,$M1202-N($H1202)),0))</f>
        <v>0</v>
      </c>
      <c r="Q1202" s="19">
        <f>IF(AND($F1202="Compareceu",$E1202&lt;&gt;"",$A1202&lt;&gt;""),IF(IFERROR(INDEX(ProcRet,MATCH($E1202,ProcNome,0)),0)&gt;0,$A1202+INDEX(ProcRet,MATCH($E1202,ProcNome,0)),""),"")</f>
        <v>0</v>
      </c>
      <c r="R1202" s="26">
        <f>IF($Q1202="","",IF(COUNTIFS(AgPac,$D1202,AgData,"&gt;"&amp;$A1202,AgStatus,"&lt;&gt;Cancelado",AgStatus,"&lt;&gt;Remarcado")&gt;0,"Sim","Não"))</f>
        <v>0</v>
      </c>
      <c r="S1202" s="28">
        <f>IF($A1202="","",IF(AND($F1202="Agendado",$A1202-Hoje&gt;=0,$A1202-Hoje&lt;=DiasConf),"CONFIRMAR",IF(AND($A1202&lt;Hoje,OR($F1202="Agendado",$F1202="Confirmado")),"Atualizar status",IF(AND($F1202="Compareceu",$P1202&gt;0.005),"Cobrar",IF($F1202="Faltou","Falta: reagendar","")))))</f>
        <v>0</v>
      </c>
      <c r="T1202" s="29">
        <f>IF($A1202="","",DATE(YEAR($A1202),MONTH($A1202),1))</f>
        <v>0</v>
      </c>
      <c r="U1202" s="30">
        <f>IF($S1202="CONFIRMAR",MAX($U$4:$U1201)+1,"")</f>
        <v>0</v>
      </c>
      <c r="V1202" s="30">
        <f>IF(AND($R1202="Não",$Q1202&lt;&gt;"",$Q1202&lt;=Hoje+JanelaRet,$Q1202&gt;=Hoje-60),MAX($V$4:$V1201)+1,"")</f>
        <v>0</v>
      </c>
    </row>
    <row r="1203" spans="1:22">
      <c r="A1203" s="16"/>
      <c r="B1203" s="23"/>
      <c r="C1203" s="15"/>
      <c r="D1203" s="15"/>
      <c r="E1203" s="15"/>
      <c r="F1203" s="24"/>
      <c r="G1203" s="17"/>
      <c r="H1203" s="17"/>
      <c r="I1203" s="15"/>
      <c r="J1203" s="25">
        <f>IF($D1203="","",IFERROR(INDEX(PacNome,MATCH($D1203,PacCod,0)),"Paciente não cadastrado"))</f>
        <v>0</v>
      </c>
      <c r="K1203" s="26">
        <f>IF($D1203="","",IFERROR(INDEX(PacConv,MATCH($D1203,PacCod,0))&amp;"",""))</f>
        <v>0</v>
      </c>
      <c r="L1203" s="26">
        <f>IF($A1203="","",CHOOSE(WEEKDAY($A1203,2),"Seg","Ter","Qua","Qui","Sex","Sáb","Dom"))</f>
        <v>0</v>
      </c>
      <c r="M1203" s="27">
        <f>IF($E1203="","",IF($G1203&lt;&gt;"",$G1203,IFERROR(INDEX(ProcValor,MATCH($E1203,ProcNome,0)),0)))</f>
        <v>0</v>
      </c>
      <c r="N1203" s="27">
        <f>IF($M1203="","",IF($F1203="Compareceu",$M1203,0))</f>
        <v>0</v>
      </c>
      <c r="O1203" s="27">
        <f>IF($M1203="","",IF($F1203="Faltou",$M1203,0))</f>
        <v>0</v>
      </c>
      <c r="P1203" s="27">
        <f>IF($M1203="","",IF($F1203="Compareceu",MAX(0,$M1203-N($H1203)),0))</f>
        <v>0</v>
      </c>
      <c r="Q1203" s="19">
        <f>IF(AND($F1203="Compareceu",$E1203&lt;&gt;"",$A1203&lt;&gt;""),IF(IFERROR(INDEX(ProcRet,MATCH($E1203,ProcNome,0)),0)&gt;0,$A1203+INDEX(ProcRet,MATCH($E1203,ProcNome,0)),""),"")</f>
        <v>0</v>
      </c>
      <c r="R1203" s="26">
        <f>IF($Q1203="","",IF(COUNTIFS(AgPac,$D1203,AgData,"&gt;"&amp;$A1203,AgStatus,"&lt;&gt;Cancelado",AgStatus,"&lt;&gt;Remarcado")&gt;0,"Sim","Não"))</f>
        <v>0</v>
      </c>
      <c r="S1203" s="28">
        <f>IF($A1203="","",IF(AND($F1203="Agendado",$A1203-Hoje&gt;=0,$A1203-Hoje&lt;=DiasConf),"CONFIRMAR",IF(AND($A1203&lt;Hoje,OR($F1203="Agendado",$F1203="Confirmado")),"Atualizar status",IF(AND($F1203="Compareceu",$P1203&gt;0.005),"Cobrar",IF($F1203="Faltou","Falta: reagendar","")))))</f>
        <v>0</v>
      </c>
      <c r="T1203" s="29">
        <f>IF($A1203="","",DATE(YEAR($A1203),MONTH($A1203),1))</f>
        <v>0</v>
      </c>
      <c r="U1203" s="30">
        <f>IF($S1203="CONFIRMAR",MAX($U$4:$U1202)+1,"")</f>
        <v>0</v>
      </c>
      <c r="V1203" s="30">
        <f>IF(AND($R1203="Não",$Q1203&lt;&gt;"",$Q1203&lt;=Hoje+JanelaRet,$Q1203&gt;=Hoje-60),MAX($V$4:$V1202)+1,"")</f>
        <v>0</v>
      </c>
    </row>
    <row r="1204" spans="1:22">
      <c r="A1204" s="16"/>
      <c r="B1204" s="23"/>
      <c r="C1204" s="15"/>
      <c r="D1204" s="15"/>
      <c r="E1204" s="15"/>
      <c r="F1204" s="24"/>
      <c r="G1204" s="17"/>
      <c r="H1204" s="17"/>
      <c r="I1204" s="15"/>
      <c r="J1204" s="25">
        <f>IF($D1204="","",IFERROR(INDEX(PacNome,MATCH($D1204,PacCod,0)),"Paciente não cadastrado"))</f>
        <v>0</v>
      </c>
      <c r="K1204" s="26">
        <f>IF($D1204="","",IFERROR(INDEX(PacConv,MATCH($D1204,PacCod,0))&amp;"",""))</f>
        <v>0</v>
      </c>
      <c r="L1204" s="26">
        <f>IF($A1204="","",CHOOSE(WEEKDAY($A1204,2),"Seg","Ter","Qua","Qui","Sex","Sáb","Dom"))</f>
        <v>0</v>
      </c>
      <c r="M1204" s="27">
        <f>IF($E1204="","",IF($G1204&lt;&gt;"",$G1204,IFERROR(INDEX(ProcValor,MATCH($E1204,ProcNome,0)),0)))</f>
        <v>0</v>
      </c>
      <c r="N1204" s="27">
        <f>IF($M1204="","",IF($F1204="Compareceu",$M1204,0))</f>
        <v>0</v>
      </c>
      <c r="O1204" s="27">
        <f>IF($M1204="","",IF($F1204="Faltou",$M1204,0))</f>
        <v>0</v>
      </c>
      <c r="P1204" s="27">
        <f>IF($M1204="","",IF($F1204="Compareceu",MAX(0,$M1204-N($H1204)),0))</f>
        <v>0</v>
      </c>
      <c r="Q1204" s="19">
        <f>IF(AND($F1204="Compareceu",$E1204&lt;&gt;"",$A1204&lt;&gt;""),IF(IFERROR(INDEX(ProcRet,MATCH($E1204,ProcNome,0)),0)&gt;0,$A1204+INDEX(ProcRet,MATCH($E1204,ProcNome,0)),""),"")</f>
        <v>0</v>
      </c>
      <c r="R1204" s="26">
        <f>IF($Q1204="","",IF(COUNTIFS(AgPac,$D1204,AgData,"&gt;"&amp;$A1204,AgStatus,"&lt;&gt;Cancelado",AgStatus,"&lt;&gt;Remarcado")&gt;0,"Sim","Não"))</f>
        <v>0</v>
      </c>
      <c r="S1204" s="28">
        <f>IF($A1204="","",IF(AND($F1204="Agendado",$A1204-Hoje&gt;=0,$A1204-Hoje&lt;=DiasConf),"CONFIRMAR",IF(AND($A1204&lt;Hoje,OR($F1204="Agendado",$F1204="Confirmado")),"Atualizar status",IF(AND($F1204="Compareceu",$P1204&gt;0.005),"Cobrar",IF($F1204="Faltou","Falta: reagendar","")))))</f>
        <v>0</v>
      </c>
      <c r="T1204" s="29">
        <f>IF($A1204="","",DATE(YEAR($A1204),MONTH($A1204),1))</f>
        <v>0</v>
      </c>
      <c r="U1204" s="30">
        <f>IF($S1204="CONFIRMAR",MAX($U$4:$U1203)+1,"")</f>
        <v>0</v>
      </c>
      <c r="V1204" s="30">
        <f>IF(AND($R1204="Não",$Q1204&lt;&gt;"",$Q1204&lt;=Hoje+JanelaRet,$Q1204&gt;=Hoje-60),MAX($V$4:$V1203)+1,"")</f>
        <v>0</v>
      </c>
    </row>
    <row r="1205" spans="1:22">
      <c r="A1205" s="16"/>
      <c r="B1205" s="23"/>
      <c r="C1205" s="15"/>
      <c r="D1205" s="15"/>
      <c r="E1205" s="15"/>
      <c r="F1205" s="24"/>
      <c r="G1205" s="17"/>
      <c r="H1205" s="17"/>
      <c r="I1205" s="15"/>
      <c r="J1205" s="25">
        <f>IF($D1205="","",IFERROR(INDEX(PacNome,MATCH($D1205,PacCod,0)),"Paciente não cadastrado"))</f>
        <v>0</v>
      </c>
      <c r="K1205" s="26">
        <f>IF($D1205="","",IFERROR(INDEX(PacConv,MATCH($D1205,PacCod,0))&amp;"",""))</f>
        <v>0</v>
      </c>
      <c r="L1205" s="26">
        <f>IF($A1205="","",CHOOSE(WEEKDAY($A1205,2),"Seg","Ter","Qua","Qui","Sex","Sáb","Dom"))</f>
        <v>0</v>
      </c>
      <c r="M1205" s="27">
        <f>IF($E1205="","",IF($G1205&lt;&gt;"",$G1205,IFERROR(INDEX(ProcValor,MATCH($E1205,ProcNome,0)),0)))</f>
        <v>0</v>
      </c>
      <c r="N1205" s="27">
        <f>IF($M1205="","",IF($F1205="Compareceu",$M1205,0))</f>
        <v>0</v>
      </c>
      <c r="O1205" s="27">
        <f>IF($M1205="","",IF($F1205="Faltou",$M1205,0))</f>
        <v>0</v>
      </c>
      <c r="P1205" s="27">
        <f>IF($M1205="","",IF($F1205="Compareceu",MAX(0,$M1205-N($H1205)),0))</f>
        <v>0</v>
      </c>
      <c r="Q1205" s="19">
        <f>IF(AND($F1205="Compareceu",$E1205&lt;&gt;"",$A1205&lt;&gt;""),IF(IFERROR(INDEX(ProcRet,MATCH($E1205,ProcNome,0)),0)&gt;0,$A1205+INDEX(ProcRet,MATCH($E1205,ProcNome,0)),""),"")</f>
        <v>0</v>
      </c>
      <c r="R1205" s="26">
        <f>IF($Q1205="","",IF(COUNTIFS(AgPac,$D1205,AgData,"&gt;"&amp;$A1205,AgStatus,"&lt;&gt;Cancelado",AgStatus,"&lt;&gt;Remarcado")&gt;0,"Sim","Não"))</f>
        <v>0</v>
      </c>
      <c r="S1205" s="28">
        <f>IF($A1205="","",IF(AND($F1205="Agendado",$A1205-Hoje&gt;=0,$A1205-Hoje&lt;=DiasConf),"CONFIRMAR",IF(AND($A1205&lt;Hoje,OR($F1205="Agendado",$F1205="Confirmado")),"Atualizar status",IF(AND($F1205="Compareceu",$P1205&gt;0.005),"Cobrar",IF($F1205="Faltou","Falta: reagendar","")))))</f>
        <v>0</v>
      </c>
      <c r="T1205" s="29">
        <f>IF($A1205="","",DATE(YEAR($A1205),MONTH($A1205),1))</f>
        <v>0</v>
      </c>
      <c r="U1205" s="30">
        <f>IF($S1205="CONFIRMAR",MAX($U$4:$U1204)+1,"")</f>
        <v>0</v>
      </c>
      <c r="V1205" s="30">
        <f>IF(AND($R1205="Não",$Q1205&lt;&gt;"",$Q1205&lt;=Hoje+JanelaRet,$Q1205&gt;=Hoje-60),MAX($V$4:$V1204)+1,"")</f>
        <v>0</v>
      </c>
    </row>
    <row r="1206" spans="1:22">
      <c r="A1206" s="16"/>
      <c r="B1206" s="23"/>
      <c r="C1206" s="15"/>
      <c r="D1206" s="15"/>
      <c r="E1206" s="15"/>
      <c r="F1206" s="24"/>
      <c r="G1206" s="17"/>
      <c r="H1206" s="17"/>
      <c r="I1206" s="15"/>
      <c r="J1206" s="25">
        <f>IF($D1206="","",IFERROR(INDEX(PacNome,MATCH($D1206,PacCod,0)),"Paciente não cadastrado"))</f>
        <v>0</v>
      </c>
      <c r="K1206" s="26">
        <f>IF($D1206="","",IFERROR(INDEX(PacConv,MATCH($D1206,PacCod,0))&amp;"",""))</f>
        <v>0</v>
      </c>
      <c r="L1206" s="26">
        <f>IF($A1206="","",CHOOSE(WEEKDAY($A1206,2),"Seg","Ter","Qua","Qui","Sex","Sáb","Dom"))</f>
        <v>0</v>
      </c>
      <c r="M1206" s="27">
        <f>IF($E1206="","",IF($G1206&lt;&gt;"",$G1206,IFERROR(INDEX(ProcValor,MATCH($E1206,ProcNome,0)),0)))</f>
        <v>0</v>
      </c>
      <c r="N1206" s="27">
        <f>IF($M1206="","",IF($F1206="Compareceu",$M1206,0))</f>
        <v>0</v>
      </c>
      <c r="O1206" s="27">
        <f>IF($M1206="","",IF($F1206="Faltou",$M1206,0))</f>
        <v>0</v>
      </c>
      <c r="P1206" s="27">
        <f>IF($M1206="","",IF($F1206="Compareceu",MAX(0,$M1206-N($H1206)),0))</f>
        <v>0</v>
      </c>
      <c r="Q1206" s="19">
        <f>IF(AND($F1206="Compareceu",$E1206&lt;&gt;"",$A1206&lt;&gt;""),IF(IFERROR(INDEX(ProcRet,MATCH($E1206,ProcNome,0)),0)&gt;0,$A1206+INDEX(ProcRet,MATCH($E1206,ProcNome,0)),""),"")</f>
        <v>0</v>
      </c>
      <c r="R1206" s="26">
        <f>IF($Q1206="","",IF(COUNTIFS(AgPac,$D1206,AgData,"&gt;"&amp;$A1206,AgStatus,"&lt;&gt;Cancelado",AgStatus,"&lt;&gt;Remarcado")&gt;0,"Sim","Não"))</f>
        <v>0</v>
      </c>
      <c r="S1206" s="28">
        <f>IF($A1206="","",IF(AND($F1206="Agendado",$A1206-Hoje&gt;=0,$A1206-Hoje&lt;=DiasConf),"CONFIRMAR",IF(AND($A1206&lt;Hoje,OR($F1206="Agendado",$F1206="Confirmado")),"Atualizar status",IF(AND($F1206="Compareceu",$P1206&gt;0.005),"Cobrar",IF($F1206="Faltou","Falta: reagendar","")))))</f>
        <v>0</v>
      </c>
      <c r="T1206" s="29">
        <f>IF($A1206="","",DATE(YEAR($A1206),MONTH($A1206),1))</f>
        <v>0</v>
      </c>
      <c r="U1206" s="30">
        <f>IF($S1206="CONFIRMAR",MAX($U$4:$U1205)+1,"")</f>
        <v>0</v>
      </c>
      <c r="V1206" s="30">
        <f>IF(AND($R1206="Não",$Q1206&lt;&gt;"",$Q1206&lt;=Hoje+JanelaRet,$Q1206&gt;=Hoje-60),MAX($V$4:$V1205)+1,"")</f>
        <v>0</v>
      </c>
    </row>
    <row r="1207" spans="1:22">
      <c r="A1207" s="16"/>
      <c r="B1207" s="23"/>
      <c r="C1207" s="15"/>
      <c r="D1207" s="15"/>
      <c r="E1207" s="15"/>
      <c r="F1207" s="24"/>
      <c r="G1207" s="17"/>
      <c r="H1207" s="17"/>
      <c r="I1207" s="15"/>
      <c r="J1207" s="25">
        <f>IF($D1207="","",IFERROR(INDEX(PacNome,MATCH($D1207,PacCod,0)),"Paciente não cadastrado"))</f>
        <v>0</v>
      </c>
      <c r="K1207" s="26">
        <f>IF($D1207="","",IFERROR(INDEX(PacConv,MATCH($D1207,PacCod,0))&amp;"",""))</f>
        <v>0</v>
      </c>
      <c r="L1207" s="26">
        <f>IF($A1207="","",CHOOSE(WEEKDAY($A1207,2),"Seg","Ter","Qua","Qui","Sex","Sáb","Dom"))</f>
        <v>0</v>
      </c>
      <c r="M1207" s="27">
        <f>IF($E1207="","",IF($G1207&lt;&gt;"",$G1207,IFERROR(INDEX(ProcValor,MATCH($E1207,ProcNome,0)),0)))</f>
        <v>0</v>
      </c>
      <c r="N1207" s="27">
        <f>IF($M1207="","",IF($F1207="Compareceu",$M1207,0))</f>
        <v>0</v>
      </c>
      <c r="O1207" s="27">
        <f>IF($M1207="","",IF($F1207="Faltou",$M1207,0))</f>
        <v>0</v>
      </c>
      <c r="P1207" s="27">
        <f>IF($M1207="","",IF($F1207="Compareceu",MAX(0,$M1207-N($H1207)),0))</f>
        <v>0</v>
      </c>
      <c r="Q1207" s="19">
        <f>IF(AND($F1207="Compareceu",$E1207&lt;&gt;"",$A1207&lt;&gt;""),IF(IFERROR(INDEX(ProcRet,MATCH($E1207,ProcNome,0)),0)&gt;0,$A1207+INDEX(ProcRet,MATCH($E1207,ProcNome,0)),""),"")</f>
        <v>0</v>
      </c>
      <c r="R1207" s="26">
        <f>IF($Q1207="","",IF(COUNTIFS(AgPac,$D1207,AgData,"&gt;"&amp;$A1207,AgStatus,"&lt;&gt;Cancelado",AgStatus,"&lt;&gt;Remarcado")&gt;0,"Sim","Não"))</f>
        <v>0</v>
      </c>
      <c r="S1207" s="28">
        <f>IF($A1207="","",IF(AND($F1207="Agendado",$A1207-Hoje&gt;=0,$A1207-Hoje&lt;=DiasConf),"CONFIRMAR",IF(AND($A1207&lt;Hoje,OR($F1207="Agendado",$F1207="Confirmado")),"Atualizar status",IF(AND($F1207="Compareceu",$P1207&gt;0.005),"Cobrar",IF($F1207="Faltou","Falta: reagendar","")))))</f>
        <v>0</v>
      </c>
      <c r="T1207" s="29">
        <f>IF($A1207="","",DATE(YEAR($A1207),MONTH($A1207),1))</f>
        <v>0</v>
      </c>
      <c r="U1207" s="30">
        <f>IF($S1207="CONFIRMAR",MAX($U$4:$U1206)+1,"")</f>
        <v>0</v>
      </c>
      <c r="V1207" s="30">
        <f>IF(AND($R1207="Não",$Q1207&lt;&gt;"",$Q1207&lt;=Hoje+JanelaRet,$Q1207&gt;=Hoje-60),MAX($V$4:$V1206)+1,"")</f>
        <v>0</v>
      </c>
    </row>
    <row r="1208" spans="1:22">
      <c r="A1208" s="16"/>
      <c r="B1208" s="23"/>
      <c r="C1208" s="15"/>
      <c r="D1208" s="15"/>
      <c r="E1208" s="15"/>
      <c r="F1208" s="24"/>
      <c r="G1208" s="17"/>
      <c r="H1208" s="17"/>
      <c r="I1208" s="15"/>
      <c r="J1208" s="25">
        <f>IF($D1208="","",IFERROR(INDEX(PacNome,MATCH($D1208,PacCod,0)),"Paciente não cadastrado"))</f>
        <v>0</v>
      </c>
      <c r="K1208" s="26">
        <f>IF($D1208="","",IFERROR(INDEX(PacConv,MATCH($D1208,PacCod,0))&amp;"",""))</f>
        <v>0</v>
      </c>
      <c r="L1208" s="26">
        <f>IF($A1208="","",CHOOSE(WEEKDAY($A1208,2),"Seg","Ter","Qua","Qui","Sex","Sáb","Dom"))</f>
        <v>0</v>
      </c>
      <c r="M1208" s="27">
        <f>IF($E1208="","",IF($G1208&lt;&gt;"",$G1208,IFERROR(INDEX(ProcValor,MATCH($E1208,ProcNome,0)),0)))</f>
        <v>0</v>
      </c>
      <c r="N1208" s="27">
        <f>IF($M1208="","",IF($F1208="Compareceu",$M1208,0))</f>
        <v>0</v>
      </c>
      <c r="O1208" s="27">
        <f>IF($M1208="","",IF($F1208="Faltou",$M1208,0))</f>
        <v>0</v>
      </c>
      <c r="P1208" s="27">
        <f>IF($M1208="","",IF($F1208="Compareceu",MAX(0,$M1208-N($H1208)),0))</f>
        <v>0</v>
      </c>
      <c r="Q1208" s="19">
        <f>IF(AND($F1208="Compareceu",$E1208&lt;&gt;"",$A1208&lt;&gt;""),IF(IFERROR(INDEX(ProcRet,MATCH($E1208,ProcNome,0)),0)&gt;0,$A1208+INDEX(ProcRet,MATCH($E1208,ProcNome,0)),""),"")</f>
        <v>0</v>
      </c>
      <c r="R1208" s="26">
        <f>IF($Q1208="","",IF(COUNTIFS(AgPac,$D1208,AgData,"&gt;"&amp;$A1208,AgStatus,"&lt;&gt;Cancelado",AgStatus,"&lt;&gt;Remarcado")&gt;0,"Sim","Não"))</f>
        <v>0</v>
      </c>
      <c r="S1208" s="28">
        <f>IF($A1208="","",IF(AND($F1208="Agendado",$A1208-Hoje&gt;=0,$A1208-Hoje&lt;=DiasConf),"CONFIRMAR",IF(AND($A1208&lt;Hoje,OR($F1208="Agendado",$F1208="Confirmado")),"Atualizar status",IF(AND($F1208="Compareceu",$P1208&gt;0.005),"Cobrar",IF($F1208="Faltou","Falta: reagendar","")))))</f>
        <v>0</v>
      </c>
      <c r="T1208" s="29">
        <f>IF($A1208="","",DATE(YEAR($A1208),MONTH($A1208),1))</f>
        <v>0</v>
      </c>
      <c r="U1208" s="30">
        <f>IF($S1208="CONFIRMAR",MAX($U$4:$U1207)+1,"")</f>
        <v>0</v>
      </c>
      <c r="V1208" s="30">
        <f>IF(AND($R1208="Não",$Q1208&lt;&gt;"",$Q1208&lt;=Hoje+JanelaRet,$Q1208&gt;=Hoje-60),MAX($V$4:$V1207)+1,"")</f>
        <v>0</v>
      </c>
    </row>
    <row r="1209" spans="1:22">
      <c r="A1209" s="16"/>
      <c r="B1209" s="23"/>
      <c r="C1209" s="15"/>
      <c r="D1209" s="15"/>
      <c r="E1209" s="15"/>
      <c r="F1209" s="24"/>
      <c r="G1209" s="17"/>
      <c r="H1209" s="17"/>
      <c r="I1209" s="15"/>
      <c r="J1209" s="25">
        <f>IF($D1209="","",IFERROR(INDEX(PacNome,MATCH($D1209,PacCod,0)),"Paciente não cadastrado"))</f>
        <v>0</v>
      </c>
      <c r="K1209" s="26">
        <f>IF($D1209="","",IFERROR(INDEX(PacConv,MATCH($D1209,PacCod,0))&amp;"",""))</f>
        <v>0</v>
      </c>
      <c r="L1209" s="26">
        <f>IF($A1209="","",CHOOSE(WEEKDAY($A1209,2),"Seg","Ter","Qua","Qui","Sex","Sáb","Dom"))</f>
        <v>0</v>
      </c>
      <c r="M1209" s="27">
        <f>IF($E1209="","",IF($G1209&lt;&gt;"",$G1209,IFERROR(INDEX(ProcValor,MATCH($E1209,ProcNome,0)),0)))</f>
        <v>0</v>
      </c>
      <c r="N1209" s="27">
        <f>IF($M1209="","",IF($F1209="Compareceu",$M1209,0))</f>
        <v>0</v>
      </c>
      <c r="O1209" s="27">
        <f>IF($M1209="","",IF($F1209="Faltou",$M1209,0))</f>
        <v>0</v>
      </c>
      <c r="P1209" s="27">
        <f>IF($M1209="","",IF($F1209="Compareceu",MAX(0,$M1209-N($H1209)),0))</f>
        <v>0</v>
      </c>
      <c r="Q1209" s="19">
        <f>IF(AND($F1209="Compareceu",$E1209&lt;&gt;"",$A1209&lt;&gt;""),IF(IFERROR(INDEX(ProcRet,MATCH($E1209,ProcNome,0)),0)&gt;0,$A1209+INDEX(ProcRet,MATCH($E1209,ProcNome,0)),""),"")</f>
        <v>0</v>
      </c>
      <c r="R1209" s="26">
        <f>IF($Q1209="","",IF(COUNTIFS(AgPac,$D1209,AgData,"&gt;"&amp;$A1209,AgStatus,"&lt;&gt;Cancelado",AgStatus,"&lt;&gt;Remarcado")&gt;0,"Sim","Não"))</f>
        <v>0</v>
      </c>
      <c r="S1209" s="28">
        <f>IF($A1209="","",IF(AND($F1209="Agendado",$A1209-Hoje&gt;=0,$A1209-Hoje&lt;=DiasConf),"CONFIRMAR",IF(AND($A1209&lt;Hoje,OR($F1209="Agendado",$F1209="Confirmado")),"Atualizar status",IF(AND($F1209="Compareceu",$P1209&gt;0.005),"Cobrar",IF($F1209="Faltou","Falta: reagendar","")))))</f>
        <v>0</v>
      </c>
      <c r="T1209" s="29">
        <f>IF($A1209="","",DATE(YEAR($A1209),MONTH($A1209),1))</f>
        <v>0</v>
      </c>
      <c r="U1209" s="30">
        <f>IF($S1209="CONFIRMAR",MAX($U$4:$U1208)+1,"")</f>
        <v>0</v>
      </c>
      <c r="V1209" s="30">
        <f>IF(AND($R1209="Não",$Q1209&lt;&gt;"",$Q1209&lt;=Hoje+JanelaRet,$Q1209&gt;=Hoje-60),MAX($V$4:$V1208)+1,"")</f>
        <v>0</v>
      </c>
    </row>
    <row r="1210" spans="1:22">
      <c r="A1210" s="16"/>
      <c r="B1210" s="23"/>
      <c r="C1210" s="15"/>
      <c r="D1210" s="15"/>
      <c r="E1210" s="15"/>
      <c r="F1210" s="24"/>
      <c r="G1210" s="17"/>
      <c r="H1210" s="17"/>
      <c r="I1210" s="15"/>
      <c r="J1210" s="25">
        <f>IF($D1210="","",IFERROR(INDEX(PacNome,MATCH($D1210,PacCod,0)),"Paciente não cadastrado"))</f>
        <v>0</v>
      </c>
      <c r="K1210" s="26">
        <f>IF($D1210="","",IFERROR(INDEX(PacConv,MATCH($D1210,PacCod,0))&amp;"",""))</f>
        <v>0</v>
      </c>
      <c r="L1210" s="26">
        <f>IF($A1210="","",CHOOSE(WEEKDAY($A1210,2),"Seg","Ter","Qua","Qui","Sex","Sáb","Dom"))</f>
        <v>0</v>
      </c>
      <c r="M1210" s="27">
        <f>IF($E1210="","",IF($G1210&lt;&gt;"",$G1210,IFERROR(INDEX(ProcValor,MATCH($E1210,ProcNome,0)),0)))</f>
        <v>0</v>
      </c>
      <c r="N1210" s="27">
        <f>IF($M1210="","",IF($F1210="Compareceu",$M1210,0))</f>
        <v>0</v>
      </c>
      <c r="O1210" s="27">
        <f>IF($M1210="","",IF($F1210="Faltou",$M1210,0))</f>
        <v>0</v>
      </c>
      <c r="P1210" s="27">
        <f>IF($M1210="","",IF($F1210="Compareceu",MAX(0,$M1210-N($H1210)),0))</f>
        <v>0</v>
      </c>
      <c r="Q1210" s="19">
        <f>IF(AND($F1210="Compareceu",$E1210&lt;&gt;"",$A1210&lt;&gt;""),IF(IFERROR(INDEX(ProcRet,MATCH($E1210,ProcNome,0)),0)&gt;0,$A1210+INDEX(ProcRet,MATCH($E1210,ProcNome,0)),""),"")</f>
        <v>0</v>
      </c>
      <c r="R1210" s="26">
        <f>IF($Q1210="","",IF(COUNTIFS(AgPac,$D1210,AgData,"&gt;"&amp;$A1210,AgStatus,"&lt;&gt;Cancelado",AgStatus,"&lt;&gt;Remarcado")&gt;0,"Sim","Não"))</f>
        <v>0</v>
      </c>
      <c r="S1210" s="28">
        <f>IF($A1210="","",IF(AND($F1210="Agendado",$A1210-Hoje&gt;=0,$A1210-Hoje&lt;=DiasConf),"CONFIRMAR",IF(AND($A1210&lt;Hoje,OR($F1210="Agendado",$F1210="Confirmado")),"Atualizar status",IF(AND($F1210="Compareceu",$P1210&gt;0.005),"Cobrar",IF($F1210="Faltou","Falta: reagendar","")))))</f>
        <v>0</v>
      </c>
      <c r="T1210" s="29">
        <f>IF($A1210="","",DATE(YEAR($A1210),MONTH($A1210),1))</f>
        <v>0</v>
      </c>
      <c r="U1210" s="30">
        <f>IF($S1210="CONFIRMAR",MAX($U$4:$U1209)+1,"")</f>
        <v>0</v>
      </c>
      <c r="V1210" s="30">
        <f>IF(AND($R1210="Não",$Q1210&lt;&gt;"",$Q1210&lt;=Hoje+JanelaRet,$Q1210&gt;=Hoje-60),MAX($V$4:$V1209)+1,"")</f>
        <v>0</v>
      </c>
    </row>
    <row r="1211" spans="1:22">
      <c r="A1211" s="16"/>
      <c r="B1211" s="23"/>
      <c r="C1211" s="15"/>
      <c r="D1211" s="15"/>
      <c r="E1211" s="15"/>
      <c r="F1211" s="24"/>
      <c r="G1211" s="17"/>
      <c r="H1211" s="17"/>
      <c r="I1211" s="15"/>
      <c r="J1211" s="25">
        <f>IF($D1211="","",IFERROR(INDEX(PacNome,MATCH($D1211,PacCod,0)),"Paciente não cadastrado"))</f>
        <v>0</v>
      </c>
      <c r="K1211" s="26">
        <f>IF($D1211="","",IFERROR(INDEX(PacConv,MATCH($D1211,PacCod,0))&amp;"",""))</f>
        <v>0</v>
      </c>
      <c r="L1211" s="26">
        <f>IF($A1211="","",CHOOSE(WEEKDAY($A1211,2),"Seg","Ter","Qua","Qui","Sex","Sáb","Dom"))</f>
        <v>0</v>
      </c>
      <c r="M1211" s="27">
        <f>IF($E1211="","",IF($G1211&lt;&gt;"",$G1211,IFERROR(INDEX(ProcValor,MATCH($E1211,ProcNome,0)),0)))</f>
        <v>0</v>
      </c>
      <c r="N1211" s="27">
        <f>IF($M1211="","",IF($F1211="Compareceu",$M1211,0))</f>
        <v>0</v>
      </c>
      <c r="O1211" s="27">
        <f>IF($M1211="","",IF($F1211="Faltou",$M1211,0))</f>
        <v>0</v>
      </c>
      <c r="P1211" s="27">
        <f>IF($M1211="","",IF($F1211="Compareceu",MAX(0,$M1211-N($H1211)),0))</f>
        <v>0</v>
      </c>
      <c r="Q1211" s="19">
        <f>IF(AND($F1211="Compareceu",$E1211&lt;&gt;"",$A1211&lt;&gt;""),IF(IFERROR(INDEX(ProcRet,MATCH($E1211,ProcNome,0)),0)&gt;0,$A1211+INDEX(ProcRet,MATCH($E1211,ProcNome,0)),""),"")</f>
        <v>0</v>
      </c>
      <c r="R1211" s="26">
        <f>IF($Q1211="","",IF(COUNTIFS(AgPac,$D1211,AgData,"&gt;"&amp;$A1211,AgStatus,"&lt;&gt;Cancelado",AgStatus,"&lt;&gt;Remarcado")&gt;0,"Sim","Não"))</f>
        <v>0</v>
      </c>
      <c r="S1211" s="28">
        <f>IF($A1211="","",IF(AND($F1211="Agendado",$A1211-Hoje&gt;=0,$A1211-Hoje&lt;=DiasConf),"CONFIRMAR",IF(AND($A1211&lt;Hoje,OR($F1211="Agendado",$F1211="Confirmado")),"Atualizar status",IF(AND($F1211="Compareceu",$P1211&gt;0.005),"Cobrar",IF($F1211="Faltou","Falta: reagendar","")))))</f>
        <v>0</v>
      </c>
      <c r="T1211" s="29">
        <f>IF($A1211="","",DATE(YEAR($A1211),MONTH($A1211),1))</f>
        <v>0</v>
      </c>
      <c r="U1211" s="30">
        <f>IF($S1211="CONFIRMAR",MAX($U$4:$U1210)+1,"")</f>
        <v>0</v>
      </c>
      <c r="V1211" s="30">
        <f>IF(AND($R1211="Não",$Q1211&lt;&gt;"",$Q1211&lt;=Hoje+JanelaRet,$Q1211&gt;=Hoje-60),MAX($V$4:$V1210)+1,"")</f>
        <v>0</v>
      </c>
    </row>
    <row r="1212" spans="1:22">
      <c r="A1212" s="16"/>
      <c r="B1212" s="23"/>
      <c r="C1212" s="15"/>
      <c r="D1212" s="15"/>
      <c r="E1212" s="15"/>
      <c r="F1212" s="24"/>
      <c r="G1212" s="17"/>
      <c r="H1212" s="17"/>
      <c r="I1212" s="15"/>
      <c r="J1212" s="25">
        <f>IF($D1212="","",IFERROR(INDEX(PacNome,MATCH($D1212,PacCod,0)),"Paciente não cadastrado"))</f>
        <v>0</v>
      </c>
      <c r="K1212" s="26">
        <f>IF($D1212="","",IFERROR(INDEX(PacConv,MATCH($D1212,PacCod,0))&amp;"",""))</f>
        <v>0</v>
      </c>
      <c r="L1212" s="26">
        <f>IF($A1212="","",CHOOSE(WEEKDAY($A1212,2),"Seg","Ter","Qua","Qui","Sex","Sáb","Dom"))</f>
        <v>0</v>
      </c>
      <c r="M1212" s="27">
        <f>IF($E1212="","",IF($G1212&lt;&gt;"",$G1212,IFERROR(INDEX(ProcValor,MATCH($E1212,ProcNome,0)),0)))</f>
        <v>0</v>
      </c>
      <c r="N1212" s="27">
        <f>IF($M1212="","",IF($F1212="Compareceu",$M1212,0))</f>
        <v>0</v>
      </c>
      <c r="O1212" s="27">
        <f>IF($M1212="","",IF($F1212="Faltou",$M1212,0))</f>
        <v>0</v>
      </c>
      <c r="P1212" s="27">
        <f>IF($M1212="","",IF($F1212="Compareceu",MAX(0,$M1212-N($H1212)),0))</f>
        <v>0</v>
      </c>
      <c r="Q1212" s="19">
        <f>IF(AND($F1212="Compareceu",$E1212&lt;&gt;"",$A1212&lt;&gt;""),IF(IFERROR(INDEX(ProcRet,MATCH($E1212,ProcNome,0)),0)&gt;0,$A1212+INDEX(ProcRet,MATCH($E1212,ProcNome,0)),""),"")</f>
        <v>0</v>
      </c>
      <c r="R1212" s="26">
        <f>IF($Q1212="","",IF(COUNTIFS(AgPac,$D1212,AgData,"&gt;"&amp;$A1212,AgStatus,"&lt;&gt;Cancelado",AgStatus,"&lt;&gt;Remarcado")&gt;0,"Sim","Não"))</f>
        <v>0</v>
      </c>
      <c r="S1212" s="28">
        <f>IF($A1212="","",IF(AND($F1212="Agendado",$A1212-Hoje&gt;=0,$A1212-Hoje&lt;=DiasConf),"CONFIRMAR",IF(AND($A1212&lt;Hoje,OR($F1212="Agendado",$F1212="Confirmado")),"Atualizar status",IF(AND($F1212="Compareceu",$P1212&gt;0.005),"Cobrar",IF($F1212="Faltou","Falta: reagendar","")))))</f>
        <v>0</v>
      </c>
      <c r="T1212" s="29">
        <f>IF($A1212="","",DATE(YEAR($A1212),MONTH($A1212),1))</f>
        <v>0</v>
      </c>
      <c r="U1212" s="30">
        <f>IF($S1212="CONFIRMAR",MAX($U$4:$U1211)+1,"")</f>
        <v>0</v>
      </c>
      <c r="V1212" s="30">
        <f>IF(AND($R1212="Não",$Q1212&lt;&gt;"",$Q1212&lt;=Hoje+JanelaRet,$Q1212&gt;=Hoje-60),MAX($V$4:$V1211)+1,"")</f>
        <v>0</v>
      </c>
    </row>
    <row r="1213" spans="1:22">
      <c r="A1213" s="16"/>
      <c r="B1213" s="23"/>
      <c r="C1213" s="15"/>
      <c r="D1213" s="15"/>
      <c r="E1213" s="15"/>
      <c r="F1213" s="24"/>
      <c r="G1213" s="17"/>
      <c r="H1213" s="17"/>
      <c r="I1213" s="15"/>
      <c r="J1213" s="25">
        <f>IF($D1213="","",IFERROR(INDEX(PacNome,MATCH($D1213,PacCod,0)),"Paciente não cadastrado"))</f>
        <v>0</v>
      </c>
      <c r="K1213" s="26">
        <f>IF($D1213="","",IFERROR(INDEX(PacConv,MATCH($D1213,PacCod,0))&amp;"",""))</f>
        <v>0</v>
      </c>
      <c r="L1213" s="26">
        <f>IF($A1213="","",CHOOSE(WEEKDAY($A1213,2),"Seg","Ter","Qua","Qui","Sex","Sáb","Dom"))</f>
        <v>0</v>
      </c>
      <c r="M1213" s="27">
        <f>IF($E1213="","",IF($G1213&lt;&gt;"",$G1213,IFERROR(INDEX(ProcValor,MATCH($E1213,ProcNome,0)),0)))</f>
        <v>0</v>
      </c>
      <c r="N1213" s="27">
        <f>IF($M1213="","",IF($F1213="Compareceu",$M1213,0))</f>
        <v>0</v>
      </c>
      <c r="O1213" s="27">
        <f>IF($M1213="","",IF($F1213="Faltou",$M1213,0))</f>
        <v>0</v>
      </c>
      <c r="P1213" s="27">
        <f>IF($M1213="","",IF($F1213="Compareceu",MAX(0,$M1213-N($H1213)),0))</f>
        <v>0</v>
      </c>
      <c r="Q1213" s="19">
        <f>IF(AND($F1213="Compareceu",$E1213&lt;&gt;"",$A1213&lt;&gt;""),IF(IFERROR(INDEX(ProcRet,MATCH($E1213,ProcNome,0)),0)&gt;0,$A1213+INDEX(ProcRet,MATCH($E1213,ProcNome,0)),""),"")</f>
        <v>0</v>
      </c>
      <c r="R1213" s="26">
        <f>IF($Q1213="","",IF(COUNTIFS(AgPac,$D1213,AgData,"&gt;"&amp;$A1213,AgStatus,"&lt;&gt;Cancelado",AgStatus,"&lt;&gt;Remarcado")&gt;0,"Sim","Não"))</f>
        <v>0</v>
      </c>
      <c r="S1213" s="28">
        <f>IF($A1213="","",IF(AND($F1213="Agendado",$A1213-Hoje&gt;=0,$A1213-Hoje&lt;=DiasConf),"CONFIRMAR",IF(AND($A1213&lt;Hoje,OR($F1213="Agendado",$F1213="Confirmado")),"Atualizar status",IF(AND($F1213="Compareceu",$P1213&gt;0.005),"Cobrar",IF($F1213="Faltou","Falta: reagendar","")))))</f>
        <v>0</v>
      </c>
      <c r="T1213" s="29">
        <f>IF($A1213="","",DATE(YEAR($A1213),MONTH($A1213),1))</f>
        <v>0</v>
      </c>
      <c r="U1213" s="30">
        <f>IF($S1213="CONFIRMAR",MAX($U$4:$U1212)+1,"")</f>
        <v>0</v>
      </c>
      <c r="V1213" s="30">
        <f>IF(AND($R1213="Não",$Q1213&lt;&gt;"",$Q1213&lt;=Hoje+JanelaRet,$Q1213&gt;=Hoje-60),MAX($V$4:$V1212)+1,"")</f>
        <v>0</v>
      </c>
    </row>
    <row r="1214" spans="1:22">
      <c r="A1214" s="16"/>
      <c r="B1214" s="23"/>
      <c r="C1214" s="15"/>
      <c r="D1214" s="15"/>
      <c r="E1214" s="15"/>
      <c r="F1214" s="24"/>
      <c r="G1214" s="17"/>
      <c r="H1214" s="17"/>
      <c r="I1214" s="15"/>
      <c r="J1214" s="25">
        <f>IF($D1214="","",IFERROR(INDEX(PacNome,MATCH($D1214,PacCod,0)),"Paciente não cadastrado"))</f>
        <v>0</v>
      </c>
      <c r="K1214" s="26">
        <f>IF($D1214="","",IFERROR(INDEX(PacConv,MATCH($D1214,PacCod,0))&amp;"",""))</f>
        <v>0</v>
      </c>
      <c r="L1214" s="26">
        <f>IF($A1214="","",CHOOSE(WEEKDAY($A1214,2),"Seg","Ter","Qua","Qui","Sex","Sáb","Dom"))</f>
        <v>0</v>
      </c>
      <c r="M1214" s="27">
        <f>IF($E1214="","",IF($G1214&lt;&gt;"",$G1214,IFERROR(INDEX(ProcValor,MATCH($E1214,ProcNome,0)),0)))</f>
        <v>0</v>
      </c>
      <c r="N1214" s="27">
        <f>IF($M1214="","",IF($F1214="Compareceu",$M1214,0))</f>
        <v>0</v>
      </c>
      <c r="O1214" s="27">
        <f>IF($M1214="","",IF($F1214="Faltou",$M1214,0))</f>
        <v>0</v>
      </c>
      <c r="P1214" s="27">
        <f>IF($M1214="","",IF($F1214="Compareceu",MAX(0,$M1214-N($H1214)),0))</f>
        <v>0</v>
      </c>
      <c r="Q1214" s="19">
        <f>IF(AND($F1214="Compareceu",$E1214&lt;&gt;"",$A1214&lt;&gt;""),IF(IFERROR(INDEX(ProcRet,MATCH($E1214,ProcNome,0)),0)&gt;0,$A1214+INDEX(ProcRet,MATCH($E1214,ProcNome,0)),""),"")</f>
        <v>0</v>
      </c>
      <c r="R1214" s="26">
        <f>IF($Q1214="","",IF(COUNTIFS(AgPac,$D1214,AgData,"&gt;"&amp;$A1214,AgStatus,"&lt;&gt;Cancelado",AgStatus,"&lt;&gt;Remarcado")&gt;0,"Sim","Não"))</f>
        <v>0</v>
      </c>
      <c r="S1214" s="28">
        <f>IF($A1214="","",IF(AND($F1214="Agendado",$A1214-Hoje&gt;=0,$A1214-Hoje&lt;=DiasConf),"CONFIRMAR",IF(AND($A1214&lt;Hoje,OR($F1214="Agendado",$F1214="Confirmado")),"Atualizar status",IF(AND($F1214="Compareceu",$P1214&gt;0.005),"Cobrar",IF($F1214="Faltou","Falta: reagendar","")))))</f>
        <v>0</v>
      </c>
      <c r="T1214" s="29">
        <f>IF($A1214="","",DATE(YEAR($A1214),MONTH($A1214),1))</f>
        <v>0</v>
      </c>
      <c r="U1214" s="30">
        <f>IF($S1214="CONFIRMAR",MAX($U$4:$U1213)+1,"")</f>
        <v>0</v>
      </c>
      <c r="V1214" s="30">
        <f>IF(AND($R1214="Não",$Q1214&lt;&gt;"",$Q1214&lt;=Hoje+JanelaRet,$Q1214&gt;=Hoje-60),MAX($V$4:$V1213)+1,"")</f>
        <v>0</v>
      </c>
    </row>
    <row r="1215" spans="1:22">
      <c r="A1215" s="16"/>
      <c r="B1215" s="23"/>
      <c r="C1215" s="15"/>
      <c r="D1215" s="15"/>
      <c r="E1215" s="15"/>
      <c r="F1215" s="24"/>
      <c r="G1215" s="17"/>
      <c r="H1215" s="17"/>
      <c r="I1215" s="15"/>
      <c r="J1215" s="25">
        <f>IF($D1215="","",IFERROR(INDEX(PacNome,MATCH($D1215,PacCod,0)),"Paciente não cadastrado"))</f>
        <v>0</v>
      </c>
      <c r="K1215" s="26">
        <f>IF($D1215="","",IFERROR(INDEX(PacConv,MATCH($D1215,PacCod,0))&amp;"",""))</f>
        <v>0</v>
      </c>
      <c r="L1215" s="26">
        <f>IF($A1215="","",CHOOSE(WEEKDAY($A1215,2),"Seg","Ter","Qua","Qui","Sex","Sáb","Dom"))</f>
        <v>0</v>
      </c>
      <c r="M1215" s="27">
        <f>IF($E1215="","",IF($G1215&lt;&gt;"",$G1215,IFERROR(INDEX(ProcValor,MATCH($E1215,ProcNome,0)),0)))</f>
        <v>0</v>
      </c>
      <c r="N1215" s="27">
        <f>IF($M1215="","",IF($F1215="Compareceu",$M1215,0))</f>
        <v>0</v>
      </c>
      <c r="O1215" s="27">
        <f>IF($M1215="","",IF($F1215="Faltou",$M1215,0))</f>
        <v>0</v>
      </c>
      <c r="P1215" s="27">
        <f>IF($M1215="","",IF($F1215="Compareceu",MAX(0,$M1215-N($H1215)),0))</f>
        <v>0</v>
      </c>
      <c r="Q1215" s="19">
        <f>IF(AND($F1215="Compareceu",$E1215&lt;&gt;"",$A1215&lt;&gt;""),IF(IFERROR(INDEX(ProcRet,MATCH($E1215,ProcNome,0)),0)&gt;0,$A1215+INDEX(ProcRet,MATCH($E1215,ProcNome,0)),""),"")</f>
        <v>0</v>
      </c>
      <c r="R1215" s="26">
        <f>IF($Q1215="","",IF(COUNTIFS(AgPac,$D1215,AgData,"&gt;"&amp;$A1215,AgStatus,"&lt;&gt;Cancelado",AgStatus,"&lt;&gt;Remarcado")&gt;0,"Sim","Não"))</f>
        <v>0</v>
      </c>
      <c r="S1215" s="28">
        <f>IF($A1215="","",IF(AND($F1215="Agendado",$A1215-Hoje&gt;=0,$A1215-Hoje&lt;=DiasConf),"CONFIRMAR",IF(AND($A1215&lt;Hoje,OR($F1215="Agendado",$F1215="Confirmado")),"Atualizar status",IF(AND($F1215="Compareceu",$P1215&gt;0.005),"Cobrar",IF($F1215="Faltou","Falta: reagendar","")))))</f>
        <v>0</v>
      </c>
      <c r="T1215" s="29">
        <f>IF($A1215="","",DATE(YEAR($A1215),MONTH($A1215),1))</f>
        <v>0</v>
      </c>
      <c r="U1215" s="30">
        <f>IF($S1215="CONFIRMAR",MAX($U$4:$U1214)+1,"")</f>
        <v>0</v>
      </c>
      <c r="V1215" s="30">
        <f>IF(AND($R1215="Não",$Q1215&lt;&gt;"",$Q1215&lt;=Hoje+JanelaRet,$Q1215&gt;=Hoje-60),MAX($V$4:$V1214)+1,"")</f>
        <v>0</v>
      </c>
    </row>
    <row r="1216" spans="1:22">
      <c r="A1216" s="16"/>
      <c r="B1216" s="23"/>
      <c r="C1216" s="15"/>
      <c r="D1216" s="15"/>
      <c r="E1216" s="15"/>
      <c r="F1216" s="24"/>
      <c r="G1216" s="17"/>
      <c r="H1216" s="17"/>
      <c r="I1216" s="15"/>
      <c r="J1216" s="25">
        <f>IF($D1216="","",IFERROR(INDEX(PacNome,MATCH($D1216,PacCod,0)),"Paciente não cadastrado"))</f>
        <v>0</v>
      </c>
      <c r="K1216" s="26">
        <f>IF($D1216="","",IFERROR(INDEX(PacConv,MATCH($D1216,PacCod,0))&amp;"",""))</f>
        <v>0</v>
      </c>
      <c r="L1216" s="26">
        <f>IF($A1216="","",CHOOSE(WEEKDAY($A1216,2),"Seg","Ter","Qua","Qui","Sex","Sáb","Dom"))</f>
        <v>0</v>
      </c>
      <c r="M1216" s="27">
        <f>IF($E1216="","",IF($G1216&lt;&gt;"",$G1216,IFERROR(INDEX(ProcValor,MATCH($E1216,ProcNome,0)),0)))</f>
        <v>0</v>
      </c>
      <c r="N1216" s="27">
        <f>IF($M1216="","",IF($F1216="Compareceu",$M1216,0))</f>
        <v>0</v>
      </c>
      <c r="O1216" s="27">
        <f>IF($M1216="","",IF($F1216="Faltou",$M1216,0))</f>
        <v>0</v>
      </c>
      <c r="P1216" s="27">
        <f>IF($M1216="","",IF($F1216="Compareceu",MAX(0,$M1216-N($H1216)),0))</f>
        <v>0</v>
      </c>
      <c r="Q1216" s="19">
        <f>IF(AND($F1216="Compareceu",$E1216&lt;&gt;"",$A1216&lt;&gt;""),IF(IFERROR(INDEX(ProcRet,MATCH($E1216,ProcNome,0)),0)&gt;0,$A1216+INDEX(ProcRet,MATCH($E1216,ProcNome,0)),""),"")</f>
        <v>0</v>
      </c>
      <c r="R1216" s="26">
        <f>IF($Q1216="","",IF(COUNTIFS(AgPac,$D1216,AgData,"&gt;"&amp;$A1216,AgStatus,"&lt;&gt;Cancelado",AgStatus,"&lt;&gt;Remarcado")&gt;0,"Sim","Não"))</f>
        <v>0</v>
      </c>
      <c r="S1216" s="28">
        <f>IF($A1216="","",IF(AND($F1216="Agendado",$A1216-Hoje&gt;=0,$A1216-Hoje&lt;=DiasConf),"CONFIRMAR",IF(AND($A1216&lt;Hoje,OR($F1216="Agendado",$F1216="Confirmado")),"Atualizar status",IF(AND($F1216="Compareceu",$P1216&gt;0.005),"Cobrar",IF($F1216="Faltou","Falta: reagendar","")))))</f>
        <v>0</v>
      </c>
      <c r="T1216" s="29">
        <f>IF($A1216="","",DATE(YEAR($A1216),MONTH($A1216),1))</f>
        <v>0</v>
      </c>
      <c r="U1216" s="30">
        <f>IF($S1216="CONFIRMAR",MAX($U$4:$U1215)+1,"")</f>
        <v>0</v>
      </c>
      <c r="V1216" s="30">
        <f>IF(AND($R1216="Não",$Q1216&lt;&gt;"",$Q1216&lt;=Hoje+JanelaRet,$Q1216&gt;=Hoje-60),MAX($V$4:$V1215)+1,"")</f>
        <v>0</v>
      </c>
    </row>
    <row r="1217" spans="1:22">
      <c r="A1217" s="16"/>
      <c r="B1217" s="23"/>
      <c r="C1217" s="15"/>
      <c r="D1217" s="15"/>
      <c r="E1217" s="15"/>
      <c r="F1217" s="24"/>
      <c r="G1217" s="17"/>
      <c r="H1217" s="17"/>
      <c r="I1217" s="15"/>
      <c r="J1217" s="25">
        <f>IF($D1217="","",IFERROR(INDEX(PacNome,MATCH($D1217,PacCod,0)),"Paciente não cadastrado"))</f>
        <v>0</v>
      </c>
      <c r="K1217" s="26">
        <f>IF($D1217="","",IFERROR(INDEX(PacConv,MATCH($D1217,PacCod,0))&amp;"",""))</f>
        <v>0</v>
      </c>
      <c r="L1217" s="26">
        <f>IF($A1217="","",CHOOSE(WEEKDAY($A1217,2),"Seg","Ter","Qua","Qui","Sex","Sáb","Dom"))</f>
        <v>0</v>
      </c>
      <c r="M1217" s="27">
        <f>IF($E1217="","",IF($G1217&lt;&gt;"",$G1217,IFERROR(INDEX(ProcValor,MATCH($E1217,ProcNome,0)),0)))</f>
        <v>0</v>
      </c>
      <c r="N1217" s="27">
        <f>IF($M1217="","",IF($F1217="Compareceu",$M1217,0))</f>
        <v>0</v>
      </c>
      <c r="O1217" s="27">
        <f>IF($M1217="","",IF($F1217="Faltou",$M1217,0))</f>
        <v>0</v>
      </c>
      <c r="P1217" s="27">
        <f>IF($M1217="","",IF($F1217="Compareceu",MAX(0,$M1217-N($H1217)),0))</f>
        <v>0</v>
      </c>
      <c r="Q1217" s="19">
        <f>IF(AND($F1217="Compareceu",$E1217&lt;&gt;"",$A1217&lt;&gt;""),IF(IFERROR(INDEX(ProcRet,MATCH($E1217,ProcNome,0)),0)&gt;0,$A1217+INDEX(ProcRet,MATCH($E1217,ProcNome,0)),""),"")</f>
        <v>0</v>
      </c>
      <c r="R1217" s="26">
        <f>IF($Q1217="","",IF(COUNTIFS(AgPac,$D1217,AgData,"&gt;"&amp;$A1217,AgStatus,"&lt;&gt;Cancelado",AgStatus,"&lt;&gt;Remarcado")&gt;0,"Sim","Não"))</f>
        <v>0</v>
      </c>
      <c r="S1217" s="28">
        <f>IF($A1217="","",IF(AND($F1217="Agendado",$A1217-Hoje&gt;=0,$A1217-Hoje&lt;=DiasConf),"CONFIRMAR",IF(AND($A1217&lt;Hoje,OR($F1217="Agendado",$F1217="Confirmado")),"Atualizar status",IF(AND($F1217="Compareceu",$P1217&gt;0.005),"Cobrar",IF($F1217="Faltou","Falta: reagendar","")))))</f>
        <v>0</v>
      </c>
      <c r="T1217" s="29">
        <f>IF($A1217="","",DATE(YEAR($A1217),MONTH($A1217),1))</f>
        <v>0</v>
      </c>
      <c r="U1217" s="30">
        <f>IF($S1217="CONFIRMAR",MAX($U$4:$U1216)+1,"")</f>
        <v>0</v>
      </c>
      <c r="V1217" s="30">
        <f>IF(AND($R1217="Não",$Q1217&lt;&gt;"",$Q1217&lt;=Hoje+JanelaRet,$Q1217&gt;=Hoje-60),MAX($V$4:$V1216)+1,"")</f>
        <v>0</v>
      </c>
    </row>
    <row r="1218" spans="1:22">
      <c r="A1218" s="16"/>
      <c r="B1218" s="23"/>
      <c r="C1218" s="15"/>
      <c r="D1218" s="15"/>
      <c r="E1218" s="15"/>
      <c r="F1218" s="24"/>
      <c r="G1218" s="17"/>
      <c r="H1218" s="17"/>
      <c r="I1218" s="15"/>
      <c r="J1218" s="25">
        <f>IF($D1218="","",IFERROR(INDEX(PacNome,MATCH($D1218,PacCod,0)),"Paciente não cadastrado"))</f>
        <v>0</v>
      </c>
      <c r="K1218" s="26">
        <f>IF($D1218="","",IFERROR(INDEX(PacConv,MATCH($D1218,PacCod,0))&amp;"",""))</f>
        <v>0</v>
      </c>
      <c r="L1218" s="26">
        <f>IF($A1218="","",CHOOSE(WEEKDAY($A1218,2),"Seg","Ter","Qua","Qui","Sex","Sáb","Dom"))</f>
        <v>0</v>
      </c>
      <c r="M1218" s="27">
        <f>IF($E1218="","",IF($G1218&lt;&gt;"",$G1218,IFERROR(INDEX(ProcValor,MATCH($E1218,ProcNome,0)),0)))</f>
        <v>0</v>
      </c>
      <c r="N1218" s="27">
        <f>IF($M1218="","",IF($F1218="Compareceu",$M1218,0))</f>
        <v>0</v>
      </c>
      <c r="O1218" s="27">
        <f>IF($M1218="","",IF($F1218="Faltou",$M1218,0))</f>
        <v>0</v>
      </c>
      <c r="P1218" s="27">
        <f>IF($M1218="","",IF($F1218="Compareceu",MAX(0,$M1218-N($H1218)),0))</f>
        <v>0</v>
      </c>
      <c r="Q1218" s="19">
        <f>IF(AND($F1218="Compareceu",$E1218&lt;&gt;"",$A1218&lt;&gt;""),IF(IFERROR(INDEX(ProcRet,MATCH($E1218,ProcNome,0)),0)&gt;0,$A1218+INDEX(ProcRet,MATCH($E1218,ProcNome,0)),""),"")</f>
        <v>0</v>
      </c>
      <c r="R1218" s="26">
        <f>IF($Q1218="","",IF(COUNTIFS(AgPac,$D1218,AgData,"&gt;"&amp;$A1218,AgStatus,"&lt;&gt;Cancelado",AgStatus,"&lt;&gt;Remarcado")&gt;0,"Sim","Não"))</f>
        <v>0</v>
      </c>
      <c r="S1218" s="28">
        <f>IF($A1218="","",IF(AND($F1218="Agendado",$A1218-Hoje&gt;=0,$A1218-Hoje&lt;=DiasConf),"CONFIRMAR",IF(AND($A1218&lt;Hoje,OR($F1218="Agendado",$F1218="Confirmado")),"Atualizar status",IF(AND($F1218="Compareceu",$P1218&gt;0.005),"Cobrar",IF($F1218="Faltou","Falta: reagendar","")))))</f>
        <v>0</v>
      </c>
      <c r="T1218" s="29">
        <f>IF($A1218="","",DATE(YEAR($A1218),MONTH($A1218),1))</f>
        <v>0</v>
      </c>
      <c r="U1218" s="30">
        <f>IF($S1218="CONFIRMAR",MAX($U$4:$U1217)+1,"")</f>
        <v>0</v>
      </c>
      <c r="V1218" s="30">
        <f>IF(AND($R1218="Não",$Q1218&lt;&gt;"",$Q1218&lt;=Hoje+JanelaRet,$Q1218&gt;=Hoje-60),MAX($V$4:$V1217)+1,"")</f>
        <v>0</v>
      </c>
    </row>
    <row r="1219" spans="1:22">
      <c r="A1219" s="16"/>
      <c r="B1219" s="23"/>
      <c r="C1219" s="15"/>
      <c r="D1219" s="15"/>
      <c r="E1219" s="15"/>
      <c r="F1219" s="24"/>
      <c r="G1219" s="17"/>
      <c r="H1219" s="17"/>
      <c r="I1219" s="15"/>
      <c r="J1219" s="25">
        <f>IF($D1219="","",IFERROR(INDEX(PacNome,MATCH($D1219,PacCod,0)),"Paciente não cadastrado"))</f>
        <v>0</v>
      </c>
      <c r="K1219" s="26">
        <f>IF($D1219="","",IFERROR(INDEX(PacConv,MATCH($D1219,PacCod,0))&amp;"",""))</f>
        <v>0</v>
      </c>
      <c r="L1219" s="26">
        <f>IF($A1219="","",CHOOSE(WEEKDAY($A1219,2),"Seg","Ter","Qua","Qui","Sex","Sáb","Dom"))</f>
        <v>0</v>
      </c>
      <c r="M1219" s="27">
        <f>IF($E1219="","",IF($G1219&lt;&gt;"",$G1219,IFERROR(INDEX(ProcValor,MATCH($E1219,ProcNome,0)),0)))</f>
        <v>0</v>
      </c>
      <c r="N1219" s="27">
        <f>IF($M1219="","",IF($F1219="Compareceu",$M1219,0))</f>
        <v>0</v>
      </c>
      <c r="O1219" s="27">
        <f>IF($M1219="","",IF($F1219="Faltou",$M1219,0))</f>
        <v>0</v>
      </c>
      <c r="P1219" s="27">
        <f>IF($M1219="","",IF($F1219="Compareceu",MAX(0,$M1219-N($H1219)),0))</f>
        <v>0</v>
      </c>
      <c r="Q1219" s="19">
        <f>IF(AND($F1219="Compareceu",$E1219&lt;&gt;"",$A1219&lt;&gt;""),IF(IFERROR(INDEX(ProcRet,MATCH($E1219,ProcNome,0)),0)&gt;0,$A1219+INDEX(ProcRet,MATCH($E1219,ProcNome,0)),""),"")</f>
        <v>0</v>
      </c>
      <c r="R1219" s="26">
        <f>IF($Q1219="","",IF(COUNTIFS(AgPac,$D1219,AgData,"&gt;"&amp;$A1219,AgStatus,"&lt;&gt;Cancelado",AgStatus,"&lt;&gt;Remarcado")&gt;0,"Sim","Não"))</f>
        <v>0</v>
      </c>
      <c r="S1219" s="28">
        <f>IF($A1219="","",IF(AND($F1219="Agendado",$A1219-Hoje&gt;=0,$A1219-Hoje&lt;=DiasConf),"CONFIRMAR",IF(AND($A1219&lt;Hoje,OR($F1219="Agendado",$F1219="Confirmado")),"Atualizar status",IF(AND($F1219="Compareceu",$P1219&gt;0.005),"Cobrar",IF($F1219="Faltou","Falta: reagendar","")))))</f>
        <v>0</v>
      </c>
      <c r="T1219" s="29">
        <f>IF($A1219="","",DATE(YEAR($A1219),MONTH($A1219),1))</f>
        <v>0</v>
      </c>
      <c r="U1219" s="30">
        <f>IF($S1219="CONFIRMAR",MAX($U$4:$U1218)+1,"")</f>
        <v>0</v>
      </c>
      <c r="V1219" s="30">
        <f>IF(AND($R1219="Não",$Q1219&lt;&gt;"",$Q1219&lt;=Hoje+JanelaRet,$Q1219&gt;=Hoje-60),MAX($V$4:$V1218)+1,"")</f>
        <v>0</v>
      </c>
    </row>
    <row r="1220" spans="1:22">
      <c r="A1220" s="16"/>
      <c r="B1220" s="23"/>
      <c r="C1220" s="15"/>
      <c r="D1220" s="15"/>
      <c r="E1220" s="15"/>
      <c r="F1220" s="24"/>
      <c r="G1220" s="17"/>
      <c r="H1220" s="17"/>
      <c r="I1220" s="15"/>
      <c r="J1220" s="25">
        <f>IF($D1220="","",IFERROR(INDEX(PacNome,MATCH($D1220,PacCod,0)),"Paciente não cadastrado"))</f>
        <v>0</v>
      </c>
      <c r="K1220" s="26">
        <f>IF($D1220="","",IFERROR(INDEX(PacConv,MATCH($D1220,PacCod,0))&amp;"",""))</f>
        <v>0</v>
      </c>
      <c r="L1220" s="26">
        <f>IF($A1220="","",CHOOSE(WEEKDAY($A1220,2),"Seg","Ter","Qua","Qui","Sex","Sáb","Dom"))</f>
        <v>0</v>
      </c>
      <c r="M1220" s="27">
        <f>IF($E1220="","",IF($G1220&lt;&gt;"",$G1220,IFERROR(INDEX(ProcValor,MATCH($E1220,ProcNome,0)),0)))</f>
        <v>0</v>
      </c>
      <c r="N1220" s="27">
        <f>IF($M1220="","",IF($F1220="Compareceu",$M1220,0))</f>
        <v>0</v>
      </c>
      <c r="O1220" s="27">
        <f>IF($M1220="","",IF($F1220="Faltou",$M1220,0))</f>
        <v>0</v>
      </c>
      <c r="P1220" s="27">
        <f>IF($M1220="","",IF($F1220="Compareceu",MAX(0,$M1220-N($H1220)),0))</f>
        <v>0</v>
      </c>
      <c r="Q1220" s="19">
        <f>IF(AND($F1220="Compareceu",$E1220&lt;&gt;"",$A1220&lt;&gt;""),IF(IFERROR(INDEX(ProcRet,MATCH($E1220,ProcNome,0)),0)&gt;0,$A1220+INDEX(ProcRet,MATCH($E1220,ProcNome,0)),""),"")</f>
        <v>0</v>
      </c>
      <c r="R1220" s="26">
        <f>IF($Q1220="","",IF(COUNTIFS(AgPac,$D1220,AgData,"&gt;"&amp;$A1220,AgStatus,"&lt;&gt;Cancelado",AgStatus,"&lt;&gt;Remarcado")&gt;0,"Sim","Não"))</f>
        <v>0</v>
      </c>
      <c r="S1220" s="28">
        <f>IF($A1220="","",IF(AND($F1220="Agendado",$A1220-Hoje&gt;=0,$A1220-Hoje&lt;=DiasConf),"CONFIRMAR",IF(AND($A1220&lt;Hoje,OR($F1220="Agendado",$F1220="Confirmado")),"Atualizar status",IF(AND($F1220="Compareceu",$P1220&gt;0.005),"Cobrar",IF($F1220="Faltou","Falta: reagendar","")))))</f>
        <v>0</v>
      </c>
      <c r="T1220" s="29">
        <f>IF($A1220="","",DATE(YEAR($A1220),MONTH($A1220),1))</f>
        <v>0</v>
      </c>
      <c r="U1220" s="30">
        <f>IF($S1220="CONFIRMAR",MAX($U$4:$U1219)+1,"")</f>
        <v>0</v>
      </c>
      <c r="V1220" s="30">
        <f>IF(AND($R1220="Não",$Q1220&lt;&gt;"",$Q1220&lt;=Hoje+JanelaRet,$Q1220&gt;=Hoje-60),MAX($V$4:$V1219)+1,"")</f>
        <v>0</v>
      </c>
    </row>
    <row r="1221" spans="1:22">
      <c r="A1221" s="16"/>
      <c r="B1221" s="23"/>
      <c r="C1221" s="15"/>
      <c r="D1221" s="15"/>
      <c r="E1221" s="15"/>
      <c r="F1221" s="24"/>
      <c r="G1221" s="17"/>
      <c r="H1221" s="17"/>
      <c r="I1221" s="15"/>
      <c r="J1221" s="25">
        <f>IF($D1221="","",IFERROR(INDEX(PacNome,MATCH($D1221,PacCod,0)),"Paciente não cadastrado"))</f>
        <v>0</v>
      </c>
      <c r="K1221" s="26">
        <f>IF($D1221="","",IFERROR(INDEX(PacConv,MATCH($D1221,PacCod,0))&amp;"",""))</f>
        <v>0</v>
      </c>
      <c r="L1221" s="26">
        <f>IF($A1221="","",CHOOSE(WEEKDAY($A1221,2),"Seg","Ter","Qua","Qui","Sex","Sáb","Dom"))</f>
        <v>0</v>
      </c>
      <c r="M1221" s="27">
        <f>IF($E1221="","",IF($G1221&lt;&gt;"",$G1221,IFERROR(INDEX(ProcValor,MATCH($E1221,ProcNome,0)),0)))</f>
        <v>0</v>
      </c>
      <c r="N1221" s="27">
        <f>IF($M1221="","",IF($F1221="Compareceu",$M1221,0))</f>
        <v>0</v>
      </c>
      <c r="O1221" s="27">
        <f>IF($M1221="","",IF($F1221="Faltou",$M1221,0))</f>
        <v>0</v>
      </c>
      <c r="P1221" s="27">
        <f>IF($M1221="","",IF($F1221="Compareceu",MAX(0,$M1221-N($H1221)),0))</f>
        <v>0</v>
      </c>
      <c r="Q1221" s="19">
        <f>IF(AND($F1221="Compareceu",$E1221&lt;&gt;"",$A1221&lt;&gt;""),IF(IFERROR(INDEX(ProcRet,MATCH($E1221,ProcNome,0)),0)&gt;0,$A1221+INDEX(ProcRet,MATCH($E1221,ProcNome,0)),""),"")</f>
        <v>0</v>
      </c>
      <c r="R1221" s="26">
        <f>IF($Q1221="","",IF(COUNTIFS(AgPac,$D1221,AgData,"&gt;"&amp;$A1221,AgStatus,"&lt;&gt;Cancelado",AgStatus,"&lt;&gt;Remarcado")&gt;0,"Sim","Não"))</f>
        <v>0</v>
      </c>
      <c r="S1221" s="28">
        <f>IF($A1221="","",IF(AND($F1221="Agendado",$A1221-Hoje&gt;=0,$A1221-Hoje&lt;=DiasConf),"CONFIRMAR",IF(AND($A1221&lt;Hoje,OR($F1221="Agendado",$F1221="Confirmado")),"Atualizar status",IF(AND($F1221="Compareceu",$P1221&gt;0.005),"Cobrar",IF($F1221="Faltou","Falta: reagendar","")))))</f>
        <v>0</v>
      </c>
      <c r="T1221" s="29">
        <f>IF($A1221="","",DATE(YEAR($A1221),MONTH($A1221),1))</f>
        <v>0</v>
      </c>
      <c r="U1221" s="30">
        <f>IF($S1221="CONFIRMAR",MAX($U$4:$U1220)+1,"")</f>
        <v>0</v>
      </c>
      <c r="V1221" s="30">
        <f>IF(AND($R1221="Não",$Q1221&lt;&gt;"",$Q1221&lt;=Hoje+JanelaRet,$Q1221&gt;=Hoje-60),MAX($V$4:$V1220)+1,"")</f>
        <v>0</v>
      </c>
    </row>
    <row r="1222" spans="1:22">
      <c r="A1222" s="16"/>
      <c r="B1222" s="23"/>
      <c r="C1222" s="15"/>
      <c r="D1222" s="15"/>
      <c r="E1222" s="15"/>
      <c r="F1222" s="24"/>
      <c r="G1222" s="17"/>
      <c r="H1222" s="17"/>
      <c r="I1222" s="15"/>
      <c r="J1222" s="25">
        <f>IF($D1222="","",IFERROR(INDEX(PacNome,MATCH($D1222,PacCod,0)),"Paciente não cadastrado"))</f>
        <v>0</v>
      </c>
      <c r="K1222" s="26">
        <f>IF($D1222="","",IFERROR(INDEX(PacConv,MATCH($D1222,PacCod,0))&amp;"",""))</f>
        <v>0</v>
      </c>
      <c r="L1222" s="26">
        <f>IF($A1222="","",CHOOSE(WEEKDAY($A1222,2),"Seg","Ter","Qua","Qui","Sex","Sáb","Dom"))</f>
        <v>0</v>
      </c>
      <c r="M1222" s="27">
        <f>IF($E1222="","",IF($G1222&lt;&gt;"",$G1222,IFERROR(INDEX(ProcValor,MATCH($E1222,ProcNome,0)),0)))</f>
        <v>0</v>
      </c>
      <c r="N1222" s="27">
        <f>IF($M1222="","",IF($F1222="Compareceu",$M1222,0))</f>
        <v>0</v>
      </c>
      <c r="O1222" s="27">
        <f>IF($M1222="","",IF($F1222="Faltou",$M1222,0))</f>
        <v>0</v>
      </c>
      <c r="P1222" s="27">
        <f>IF($M1222="","",IF($F1222="Compareceu",MAX(0,$M1222-N($H1222)),0))</f>
        <v>0</v>
      </c>
      <c r="Q1222" s="19">
        <f>IF(AND($F1222="Compareceu",$E1222&lt;&gt;"",$A1222&lt;&gt;""),IF(IFERROR(INDEX(ProcRet,MATCH($E1222,ProcNome,0)),0)&gt;0,$A1222+INDEX(ProcRet,MATCH($E1222,ProcNome,0)),""),"")</f>
        <v>0</v>
      </c>
      <c r="R1222" s="26">
        <f>IF($Q1222="","",IF(COUNTIFS(AgPac,$D1222,AgData,"&gt;"&amp;$A1222,AgStatus,"&lt;&gt;Cancelado",AgStatus,"&lt;&gt;Remarcado")&gt;0,"Sim","Não"))</f>
        <v>0</v>
      </c>
      <c r="S1222" s="28">
        <f>IF($A1222="","",IF(AND($F1222="Agendado",$A1222-Hoje&gt;=0,$A1222-Hoje&lt;=DiasConf),"CONFIRMAR",IF(AND($A1222&lt;Hoje,OR($F1222="Agendado",$F1222="Confirmado")),"Atualizar status",IF(AND($F1222="Compareceu",$P1222&gt;0.005),"Cobrar",IF($F1222="Faltou","Falta: reagendar","")))))</f>
        <v>0</v>
      </c>
      <c r="T1222" s="29">
        <f>IF($A1222="","",DATE(YEAR($A1222),MONTH($A1222),1))</f>
        <v>0</v>
      </c>
      <c r="U1222" s="30">
        <f>IF($S1222="CONFIRMAR",MAX($U$4:$U1221)+1,"")</f>
        <v>0</v>
      </c>
      <c r="V1222" s="30">
        <f>IF(AND($R1222="Não",$Q1222&lt;&gt;"",$Q1222&lt;=Hoje+JanelaRet,$Q1222&gt;=Hoje-60),MAX($V$4:$V1221)+1,"")</f>
        <v>0</v>
      </c>
    </row>
    <row r="1223" spans="1:22">
      <c r="A1223" s="16"/>
      <c r="B1223" s="23"/>
      <c r="C1223" s="15"/>
      <c r="D1223" s="15"/>
      <c r="E1223" s="15"/>
      <c r="F1223" s="24"/>
      <c r="G1223" s="17"/>
      <c r="H1223" s="17"/>
      <c r="I1223" s="15"/>
      <c r="J1223" s="25">
        <f>IF($D1223="","",IFERROR(INDEX(PacNome,MATCH($D1223,PacCod,0)),"Paciente não cadastrado"))</f>
        <v>0</v>
      </c>
      <c r="K1223" s="26">
        <f>IF($D1223="","",IFERROR(INDEX(PacConv,MATCH($D1223,PacCod,0))&amp;"",""))</f>
        <v>0</v>
      </c>
      <c r="L1223" s="26">
        <f>IF($A1223="","",CHOOSE(WEEKDAY($A1223,2),"Seg","Ter","Qua","Qui","Sex","Sáb","Dom"))</f>
        <v>0</v>
      </c>
      <c r="M1223" s="27">
        <f>IF($E1223="","",IF($G1223&lt;&gt;"",$G1223,IFERROR(INDEX(ProcValor,MATCH($E1223,ProcNome,0)),0)))</f>
        <v>0</v>
      </c>
      <c r="N1223" s="27">
        <f>IF($M1223="","",IF($F1223="Compareceu",$M1223,0))</f>
        <v>0</v>
      </c>
      <c r="O1223" s="27">
        <f>IF($M1223="","",IF($F1223="Faltou",$M1223,0))</f>
        <v>0</v>
      </c>
      <c r="P1223" s="27">
        <f>IF($M1223="","",IF($F1223="Compareceu",MAX(0,$M1223-N($H1223)),0))</f>
        <v>0</v>
      </c>
      <c r="Q1223" s="19">
        <f>IF(AND($F1223="Compareceu",$E1223&lt;&gt;"",$A1223&lt;&gt;""),IF(IFERROR(INDEX(ProcRet,MATCH($E1223,ProcNome,0)),0)&gt;0,$A1223+INDEX(ProcRet,MATCH($E1223,ProcNome,0)),""),"")</f>
        <v>0</v>
      </c>
      <c r="R1223" s="26">
        <f>IF($Q1223="","",IF(COUNTIFS(AgPac,$D1223,AgData,"&gt;"&amp;$A1223,AgStatus,"&lt;&gt;Cancelado",AgStatus,"&lt;&gt;Remarcado")&gt;0,"Sim","Não"))</f>
        <v>0</v>
      </c>
      <c r="S1223" s="28">
        <f>IF($A1223="","",IF(AND($F1223="Agendado",$A1223-Hoje&gt;=0,$A1223-Hoje&lt;=DiasConf),"CONFIRMAR",IF(AND($A1223&lt;Hoje,OR($F1223="Agendado",$F1223="Confirmado")),"Atualizar status",IF(AND($F1223="Compareceu",$P1223&gt;0.005),"Cobrar",IF($F1223="Faltou","Falta: reagendar","")))))</f>
        <v>0</v>
      </c>
      <c r="T1223" s="29">
        <f>IF($A1223="","",DATE(YEAR($A1223),MONTH($A1223),1))</f>
        <v>0</v>
      </c>
      <c r="U1223" s="30">
        <f>IF($S1223="CONFIRMAR",MAX($U$4:$U1222)+1,"")</f>
        <v>0</v>
      </c>
      <c r="V1223" s="30">
        <f>IF(AND($R1223="Não",$Q1223&lt;&gt;"",$Q1223&lt;=Hoje+JanelaRet,$Q1223&gt;=Hoje-60),MAX($V$4:$V1222)+1,"")</f>
        <v>0</v>
      </c>
    </row>
    <row r="1224" spans="1:22">
      <c r="A1224" s="16"/>
      <c r="B1224" s="23"/>
      <c r="C1224" s="15"/>
      <c r="D1224" s="15"/>
      <c r="E1224" s="15"/>
      <c r="F1224" s="24"/>
      <c r="G1224" s="17"/>
      <c r="H1224" s="17"/>
      <c r="I1224" s="15"/>
      <c r="J1224" s="25">
        <f>IF($D1224="","",IFERROR(INDEX(PacNome,MATCH($D1224,PacCod,0)),"Paciente não cadastrado"))</f>
        <v>0</v>
      </c>
      <c r="K1224" s="26">
        <f>IF($D1224="","",IFERROR(INDEX(PacConv,MATCH($D1224,PacCod,0))&amp;"",""))</f>
        <v>0</v>
      </c>
      <c r="L1224" s="26">
        <f>IF($A1224="","",CHOOSE(WEEKDAY($A1224,2),"Seg","Ter","Qua","Qui","Sex","Sáb","Dom"))</f>
        <v>0</v>
      </c>
      <c r="M1224" s="27">
        <f>IF($E1224="","",IF($G1224&lt;&gt;"",$G1224,IFERROR(INDEX(ProcValor,MATCH($E1224,ProcNome,0)),0)))</f>
        <v>0</v>
      </c>
      <c r="N1224" s="27">
        <f>IF($M1224="","",IF($F1224="Compareceu",$M1224,0))</f>
        <v>0</v>
      </c>
      <c r="O1224" s="27">
        <f>IF($M1224="","",IF($F1224="Faltou",$M1224,0))</f>
        <v>0</v>
      </c>
      <c r="P1224" s="27">
        <f>IF($M1224="","",IF($F1224="Compareceu",MAX(0,$M1224-N($H1224)),0))</f>
        <v>0</v>
      </c>
      <c r="Q1224" s="19">
        <f>IF(AND($F1224="Compareceu",$E1224&lt;&gt;"",$A1224&lt;&gt;""),IF(IFERROR(INDEX(ProcRet,MATCH($E1224,ProcNome,0)),0)&gt;0,$A1224+INDEX(ProcRet,MATCH($E1224,ProcNome,0)),""),"")</f>
        <v>0</v>
      </c>
      <c r="R1224" s="26">
        <f>IF($Q1224="","",IF(COUNTIFS(AgPac,$D1224,AgData,"&gt;"&amp;$A1224,AgStatus,"&lt;&gt;Cancelado",AgStatus,"&lt;&gt;Remarcado")&gt;0,"Sim","Não"))</f>
        <v>0</v>
      </c>
      <c r="S1224" s="28">
        <f>IF($A1224="","",IF(AND($F1224="Agendado",$A1224-Hoje&gt;=0,$A1224-Hoje&lt;=DiasConf),"CONFIRMAR",IF(AND($A1224&lt;Hoje,OR($F1224="Agendado",$F1224="Confirmado")),"Atualizar status",IF(AND($F1224="Compareceu",$P1224&gt;0.005),"Cobrar",IF($F1224="Faltou","Falta: reagendar","")))))</f>
        <v>0</v>
      </c>
      <c r="T1224" s="29">
        <f>IF($A1224="","",DATE(YEAR($A1224),MONTH($A1224),1))</f>
        <v>0</v>
      </c>
      <c r="U1224" s="30">
        <f>IF($S1224="CONFIRMAR",MAX($U$4:$U1223)+1,"")</f>
        <v>0</v>
      </c>
      <c r="V1224" s="30">
        <f>IF(AND($R1224="Não",$Q1224&lt;&gt;"",$Q1224&lt;=Hoje+JanelaRet,$Q1224&gt;=Hoje-60),MAX($V$4:$V1223)+1,"")</f>
        <v>0</v>
      </c>
    </row>
    <row r="1225" spans="1:22">
      <c r="A1225" s="16"/>
      <c r="B1225" s="23"/>
      <c r="C1225" s="15"/>
      <c r="D1225" s="15"/>
      <c r="E1225" s="15"/>
      <c r="F1225" s="24"/>
      <c r="G1225" s="17"/>
      <c r="H1225" s="17"/>
      <c r="I1225" s="15"/>
      <c r="J1225" s="25">
        <f>IF($D1225="","",IFERROR(INDEX(PacNome,MATCH($D1225,PacCod,0)),"Paciente não cadastrado"))</f>
        <v>0</v>
      </c>
      <c r="K1225" s="26">
        <f>IF($D1225="","",IFERROR(INDEX(PacConv,MATCH($D1225,PacCod,0))&amp;"",""))</f>
        <v>0</v>
      </c>
      <c r="L1225" s="26">
        <f>IF($A1225="","",CHOOSE(WEEKDAY($A1225,2),"Seg","Ter","Qua","Qui","Sex","Sáb","Dom"))</f>
        <v>0</v>
      </c>
      <c r="M1225" s="27">
        <f>IF($E1225="","",IF($G1225&lt;&gt;"",$G1225,IFERROR(INDEX(ProcValor,MATCH($E1225,ProcNome,0)),0)))</f>
        <v>0</v>
      </c>
      <c r="N1225" s="27">
        <f>IF($M1225="","",IF($F1225="Compareceu",$M1225,0))</f>
        <v>0</v>
      </c>
      <c r="O1225" s="27">
        <f>IF($M1225="","",IF($F1225="Faltou",$M1225,0))</f>
        <v>0</v>
      </c>
      <c r="P1225" s="27">
        <f>IF($M1225="","",IF($F1225="Compareceu",MAX(0,$M1225-N($H1225)),0))</f>
        <v>0</v>
      </c>
      <c r="Q1225" s="19">
        <f>IF(AND($F1225="Compareceu",$E1225&lt;&gt;"",$A1225&lt;&gt;""),IF(IFERROR(INDEX(ProcRet,MATCH($E1225,ProcNome,0)),0)&gt;0,$A1225+INDEX(ProcRet,MATCH($E1225,ProcNome,0)),""),"")</f>
        <v>0</v>
      </c>
      <c r="R1225" s="26">
        <f>IF($Q1225="","",IF(COUNTIFS(AgPac,$D1225,AgData,"&gt;"&amp;$A1225,AgStatus,"&lt;&gt;Cancelado",AgStatus,"&lt;&gt;Remarcado")&gt;0,"Sim","Não"))</f>
        <v>0</v>
      </c>
      <c r="S1225" s="28">
        <f>IF($A1225="","",IF(AND($F1225="Agendado",$A1225-Hoje&gt;=0,$A1225-Hoje&lt;=DiasConf),"CONFIRMAR",IF(AND($A1225&lt;Hoje,OR($F1225="Agendado",$F1225="Confirmado")),"Atualizar status",IF(AND($F1225="Compareceu",$P1225&gt;0.005),"Cobrar",IF($F1225="Faltou","Falta: reagendar","")))))</f>
        <v>0</v>
      </c>
      <c r="T1225" s="29">
        <f>IF($A1225="","",DATE(YEAR($A1225),MONTH($A1225),1))</f>
        <v>0</v>
      </c>
      <c r="U1225" s="30">
        <f>IF($S1225="CONFIRMAR",MAX($U$4:$U1224)+1,"")</f>
        <v>0</v>
      </c>
      <c r="V1225" s="30">
        <f>IF(AND($R1225="Não",$Q1225&lt;&gt;"",$Q1225&lt;=Hoje+JanelaRet,$Q1225&gt;=Hoje-60),MAX($V$4:$V1224)+1,"")</f>
        <v>0</v>
      </c>
    </row>
    <row r="1226" spans="1:22">
      <c r="A1226" s="16"/>
      <c r="B1226" s="23"/>
      <c r="C1226" s="15"/>
      <c r="D1226" s="15"/>
      <c r="E1226" s="15"/>
      <c r="F1226" s="24"/>
      <c r="G1226" s="17"/>
      <c r="H1226" s="17"/>
      <c r="I1226" s="15"/>
      <c r="J1226" s="25">
        <f>IF($D1226="","",IFERROR(INDEX(PacNome,MATCH($D1226,PacCod,0)),"Paciente não cadastrado"))</f>
        <v>0</v>
      </c>
      <c r="K1226" s="26">
        <f>IF($D1226="","",IFERROR(INDEX(PacConv,MATCH($D1226,PacCod,0))&amp;"",""))</f>
        <v>0</v>
      </c>
      <c r="L1226" s="26">
        <f>IF($A1226="","",CHOOSE(WEEKDAY($A1226,2),"Seg","Ter","Qua","Qui","Sex","Sáb","Dom"))</f>
        <v>0</v>
      </c>
      <c r="M1226" s="27">
        <f>IF($E1226="","",IF($G1226&lt;&gt;"",$G1226,IFERROR(INDEX(ProcValor,MATCH($E1226,ProcNome,0)),0)))</f>
        <v>0</v>
      </c>
      <c r="N1226" s="27">
        <f>IF($M1226="","",IF($F1226="Compareceu",$M1226,0))</f>
        <v>0</v>
      </c>
      <c r="O1226" s="27">
        <f>IF($M1226="","",IF($F1226="Faltou",$M1226,0))</f>
        <v>0</v>
      </c>
      <c r="P1226" s="27">
        <f>IF($M1226="","",IF($F1226="Compareceu",MAX(0,$M1226-N($H1226)),0))</f>
        <v>0</v>
      </c>
      <c r="Q1226" s="19">
        <f>IF(AND($F1226="Compareceu",$E1226&lt;&gt;"",$A1226&lt;&gt;""),IF(IFERROR(INDEX(ProcRet,MATCH($E1226,ProcNome,0)),0)&gt;0,$A1226+INDEX(ProcRet,MATCH($E1226,ProcNome,0)),""),"")</f>
        <v>0</v>
      </c>
      <c r="R1226" s="26">
        <f>IF($Q1226="","",IF(COUNTIFS(AgPac,$D1226,AgData,"&gt;"&amp;$A1226,AgStatus,"&lt;&gt;Cancelado",AgStatus,"&lt;&gt;Remarcado")&gt;0,"Sim","Não"))</f>
        <v>0</v>
      </c>
      <c r="S1226" s="28">
        <f>IF($A1226="","",IF(AND($F1226="Agendado",$A1226-Hoje&gt;=0,$A1226-Hoje&lt;=DiasConf),"CONFIRMAR",IF(AND($A1226&lt;Hoje,OR($F1226="Agendado",$F1226="Confirmado")),"Atualizar status",IF(AND($F1226="Compareceu",$P1226&gt;0.005),"Cobrar",IF($F1226="Faltou","Falta: reagendar","")))))</f>
        <v>0</v>
      </c>
      <c r="T1226" s="29">
        <f>IF($A1226="","",DATE(YEAR($A1226),MONTH($A1226),1))</f>
        <v>0</v>
      </c>
      <c r="U1226" s="30">
        <f>IF($S1226="CONFIRMAR",MAX($U$4:$U1225)+1,"")</f>
        <v>0</v>
      </c>
      <c r="V1226" s="30">
        <f>IF(AND($R1226="Não",$Q1226&lt;&gt;"",$Q1226&lt;=Hoje+JanelaRet,$Q1226&gt;=Hoje-60),MAX($V$4:$V1225)+1,"")</f>
        <v>0</v>
      </c>
    </row>
    <row r="1227" spans="1:22">
      <c r="A1227" s="16"/>
      <c r="B1227" s="23"/>
      <c r="C1227" s="15"/>
      <c r="D1227" s="15"/>
      <c r="E1227" s="15"/>
      <c r="F1227" s="24"/>
      <c r="G1227" s="17"/>
      <c r="H1227" s="17"/>
      <c r="I1227" s="15"/>
      <c r="J1227" s="25">
        <f>IF($D1227="","",IFERROR(INDEX(PacNome,MATCH($D1227,PacCod,0)),"Paciente não cadastrado"))</f>
        <v>0</v>
      </c>
      <c r="K1227" s="26">
        <f>IF($D1227="","",IFERROR(INDEX(PacConv,MATCH($D1227,PacCod,0))&amp;"",""))</f>
        <v>0</v>
      </c>
      <c r="L1227" s="26">
        <f>IF($A1227="","",CHOOSE(WEEKDAY($A1227,2),"Seg","Ter","Qua","Qui","Sex","Sáb","Dom"))</f>
        <v>0</v>
      </c>
      <c r="M1227" s="27">
        <f>IF($E1227="","",IF($G1227&lt;&gt;"",$G1227,IFERROR(INDEX(ProcValor,MATCH($E1227,ProcNome,0)),0)))</f>
        <v>0</v>
      </c>
      <c r="N1227" s="27">
        <f>IF($M1227="","",IF($F1227="Compareceu",$M1227,0))</f>
        <v>0</v>
      </c>
      <c r="O1227" s="27">
        <f>IF($M1227="","",IF($F1227="Faltou",$M1227,0))</f>
        <v>0</v>
      </c>
      <c r="P1227" s="27">
        <f>IF($M1227="","",IF($F1227="Compareceu",MAX(0,$M1227-N($H1227)),0))</f>
        <v>0</v>
      </c>
      <c r="Q1227" s="19">
        <f>IF(AND($F1227="Compareceu",$E1227&lt;&gt;"",$A1227&lt;&gt;""),IF(IFERROR(INDEX(ProcRet,MATCH($E1227,ProcNome,0)),0)&gt;0,$A1227+INDEX(ProcRet,MATCH($E1227,ProcNome,0)),""),"")</f>
        <v>0</v>
      </c>
      <c r="R1227" s="26">
        <f>IF($Q1227="","",IF(COUNTIFS(AgPac,$D1227,AgData,"&gt;"&amp;$A1227,AgStatus,"&lt;&gt;Cancelado",AgStatus,"&lt;&gt;Remarcado")&gt;0,"Sim","Não"))</f>
        <v>0</v>
      </c>
      <c r="S1227" s="28">
        <f>IF($A1227="","",IF(AND($F1227="Agendado",$A1227-Hoje&gt;=0,$A1227-Hoje&lt;=DiasConf),"CONFIRMAR",IF(AND($A1227&lt;Hoje,OR($F1227="Agendado",$F1227="Confirmado")),"Atualizar status",IF(AND($F1227="Compareceu",$P1227&gt;0.005),"Cobrar",IF($F1227="Faltou","Falta: reagendar","")))))</f>
        <v>0</v>
      </c>
      <c r="T1227" s="29">
        <f>IF($A1227="","",DATE(YEAR($A1227),MONTH($A1227),1))</f>
        <v>0</v>
      </c>
      <c r="U1227" s="30">
        <f>IF($S1227="CONFIRMAR",MAX($U$4:$U1226)+1,"")</f>
        <v>0</v>
      </c>
      <c r="V1227" s="30">
        <f>IF(AND($R1227="Não",$Q1227&lt;&gt;"",$Q1227&lt;=Hoje+JanelaRet,$Q1227&gt;=Hoje-60),MAX($V$4:$V1226)+1,"")</f>
        <v>0</v>
      </c>
    </row>
    <row r="1228" spans="1:22">
      <c r="A1228" s="16"/>
      <c r="B1228" s="23"/>
      <c r="C1228" s="15"/>
      <c r="D1228" s="15"/>
      <c r="E1228" s="15"/>
      <c r="F1228" s="24"/>
      <c r="G1228" s="17"/>
      <c r="H1228" s="17"/>
      <c r="I1228" s="15"/>
      <c r="J1228" s="25">
        <f>IF($D1228="","",IFERROR(INDEX(PacNome,MATCH($D1228,PacCod,0)),"Paciente não cadastrado"))</f>
        <v>0</v>
      </c>
      <c r="K1228" s="26">
        <f>IF($D1228="","",IFERROR(INDEX(PacConv,MATCH($D1228,PacCod,0))&amp;"",""))</f>
        <v>0</v>
      </c>
      <c r="L1228" s="26">
        <f>IF($A1228="","",CHOOSE(WEEKDAY($A1228,2),"Seg","Ter","Qua","Qui","Sex","Sáb","Dom"))</f>
        <v>0</v>
      </c>
      <c r="M1228" s="27">
        <f>IF($E1228="","",IF($G1228&lt;&gt;"",$G1228,IFERROR(INDEX(ProcValor,MATCH($E1228,ProcNome,0)),0)))</f>
        <v>0</v>
      </c>
      <c r="N1228" s="27">
        <f>IF($M1228="","",IF($F1228="Compareceu",$M1228,0))</f>
        <v>0</v>
      </c>
      <c r="O1228" s="27">
        <f>IF($M1228="","",IF($F1228="Faltou",$M1228,0))</f>
        <v>0</v>
      </c>
      <c r="P1228" s="27">
        <f>IF($M1228="","",IF($F1228="Compareceu",MAX(0,$M1228-N($H1228)),0))</f>
        <v>0</v>
      </c>
      <c r="Q1228" s="19">
        <f>IF(AND($F1228="Compareceu",$E1228&lt;&gt;"",$A1228&lt;&gt;""),IF(IFERROR(INDEX(ProcRet,MATCH($E1228,ProcNome,0)),0)&gt;0,$A1228+INDEX(ProcRet,MATCH($E1228,ProcNome,0)),""),"")</f>
        <v>0</v>
      </c>
      <c r="R1228" s="26">
        <f>IF($Q1228="","",IF(COUNTIFS(AgPac,$D1228,AgData,"&gt;"&amp;$A1228,AgStatus,"&lt;&gt;Cancelado",AgStatus,"&lt;&gt;Remarcado")&gt;0,"Sim","Não"))</f>
        <v>0</v>
      </c>
      <c r="S1228" s="28">
        <f>IF($A1228="","",IF(AND($F1228="Agendado",$A1228-Hoje&gt;=0,$A1228-Hoje&lt;=DiasConf),"CONFIRMAR",IF(AND($A1228&lt;Hoje,OR($F1228="Agendado",$F1228="Confirmado")),"Atualizar status",IF(AND($F1228="Compareceu",$P1228&gt;0.005),"Cobrar",IF($F1228="Faltou","Falta: reagendar","")))))</f>
        <v>0</v>
      </c>
      <c r="T1228" s="29">
        <f>IF($A1228="","",DATE(YEAR($A1228),MONTH($A1228),1))</f>
        <v>0</v>
      </c>
      <c r="U1228" s="30">
        <f>IF($S1228="CONFIRMAR",MAX($U$4:$U1227)+1,"")</f>
        <v>0</v>
      </c>
      <c r="V1228" s="30">
        <f>IF(AND($R1228="Não",$Q1228&lt;&gt;"",$Q1228&lt;=Hoje+JanelaRet,$Q1228&gt;=Hoje-60),MAX($V$4:$V1227)+1,"")</f>
        <v>0</v>
      </c>
    </row>
    <row r="1229" spans="1:22">
      <c r="A1229" s="16"/>
      <c r="B1229" s="23"/>
      <c r="C1229" s="15"/>
      <c r="D1229" s="15"/>
      <c r="E1229" s="15"/>
      <c r="F1229" s="24"/>
      <c r="G1229" s="17"/>
      <c r="H1229" s="17"/>
      <c r="I1229" s="15"/>
      <c r="J1229" s="25">
        <f>IF($D1229="","",IFERROR(INDEX(PacNome,MATCH($D1229,PacCod,0)),"Paciente não cadastrado"))</f>
        <v>0</v>
      </c>
      <c r="K1229" s="26">
        <f>IF($D1229="","",IFERROR(INDEX(PacConv,MATCH($D1229,PacCod,0))&amp;"",""))</f>
        <v>0</v>
      </c>
      <c r="L1229" s="26">
        <f>IF($A1229="","",CHOOSE(WEEKDAY($A1229,2),"Seg","Ter","Qua","Qui","Sex","Sáb","Dom"))</f>
        <v>0</v>
      </c>
      <c r="M1229" s="27">
        <f>IF($E1229="","",IF($G1229&lt;&gt;"",$G1229,IFERROR(INDEX(ProcValor,MATCH($E1229,ProcNome,0)),0)))</f>
        <v>0</v>
      </c>
      <c r="N1229" s="27">
        <f>IF($M1229="","",IF($F1229="Compareceu",$M1229,0))</f>
        <v>0</v>
      </c>
      <c r="O1229" s="27">
        <f>IF($M1229="","",IF($F1229="Faltou",$M1229,0))</f>
        <v>0</v>
      </c>
      <c r="P1229" s="27">
        <f>IF($M1229="","",IF($F1229="Compareceu",MAX(0,$M1229-N($H1229)),0))</f>
        <v>0</v>
      </c>
      <c r="Q1229" s="19">
        <f>IF(AND($F1229="Compareceu",$E1229&lt;&gt;"",$A1229&lt;&gt;""),IF(IFERROR(INDEX(ProcRet,MATCH($E1229,ProcNome,0)),0)&gt;0,$A1229+INDEX(ProcRet,MATCH($E1229,ProcNome,0)),""),"")</f>
        <v>0</v>
      </c>
      <c r="R1229" s="26">
        <f>IF($Q1229="","",IF(COUNTIFS(AgPac,$D1229,AgData,"&gt;"&amp;$A1229,AgStatus,"&lt;&gt;Cancelado",AgStatus,"&lt;&gt;Remarcado")&gt;0,"Sim","Não"))</f>
        <v>0</v>
      </c>
      <c r="S1229" s="28">
        <f>IF($A1229="","",IF(AND($F1229="Agendado",$A1229-Hoje&gt;=0,$A1229-Hoje&lt;=DiasConf),"CONFIRMAR",IF(AND($A1229&lt;Hoje,OR($F1229="Agendado",$F1229="Confirmado")),"Atualizar status",IF(AND($F1229="Compareceu",$P1229&gt;0.005),"Cobrar",IF($F1229="Faltou","Falta: reagendar","")))))</f>
        <v>0</v>
      </c>
      <c r="T1229" s="29">
        <f>IF($A1229="","",DATE(YEAR($A1229),MONTH($A1229),1))</f>
        <v>0</v>
      </c>
      <c r="U1229" s="30">
        <f>IF($S1229="CONFIRMAR",MAX($U$4:$U1228)+1,"")</f>
        <v>0</v>
      </c>
      <c r="V1229" s="30">
        <f>IF(AND($R1229="Não",$Q1229&lt;&gt;"",$Q1229&lt;=Hoje+JanelaRet,$Q1229&gt;=Hoje-60),MAX($V$4:$V1228)+1,"")</f>
        <v>0</v>
      </c>
    </row>
    <row r="1230" spans="1:22">
      <c r="A1230" s="16"/>
      <c r="B1230" s="23"/>
      <c r="C1230" s="15"/>
      <c r="D1230" s="15"/>
      <c r="E1230" s="15"/>
      <c r="F1230" s="24"/>
      <c r="G1230" s="17"/>
      <c r="H1230" s="17"/>
      <c r="I1230" s="15"/>
      <c r="J1230" s="25">
        <f>IF($D1230="","",IFERROR(INDEX(PacNome,MATCH($D1230,PacCod,0)),"Paciente não cadastrado"))</f>
        <v>0</v>
      </c>
      <c r="K1230" s="26">
        <f>IF($D1230="","",IFERROR(INDEX(PacConv,MATCH($D1230,PacCod,0))&amp;"",""))</f>
        <v>0</v>
      </c>
      <c r="L1230" s="26">
        <f>IF($A1230="","",CHOOSE(WEEKDAY($A1230,2),"Seg","Ter","Qua","Qui","Sex","Sáb","Dom"))</f>
        <v>0</v>
      </c>
      <c r="M1230" s="27">
        <f>IF($E1230="","",IF($G1230&lt;&gt;"",$G1230,IFERROR(INDEX(ProcValor,MATCH($E1230,ProcNome,0)),0)))</f>
        <v>0</v>
      </c>
      <c r="N1230" s="27">
        <f>IF($M1230="","",IF($F1230="Compareceu",$M1230,0))</f>
        <v>0</v>
      </c>
      <c r="O1230" s="27">
        <f>IF($M1230="","",IF($F1230="Faltou",$M1230,0))</f>
        <v>0</v>
      </c>
      <c r="P1230" s="27">
        <f>IF($M1230="","",IF($F1230="Compareceu",MAX(0,$M1230-N($H1230)),0))</f>
        <v>0</v>
      </c>
      <c r="Q1230" s="19">
        <f>IF(AND($F1230="Compareceu",$E1230&lt;&gt;"",$A1230&lt;&gt;""),IF(IFERROR(INDEX(ProcRet,MATCH($E1230,ProcNome,0)),0)&gt;0,$A1230+INDEX(ProcRet,MATCH($E1230,ProcNome,0)),""),"")</f>
        <v>0</v>
      </c>
      <c r="R1230" s="26">
        <f>IF($Q1230="","",IF(COUNTIFS(AgPac,$D1230,AgData,"&gt;"&amp;$A1230,AgStatus,"&lt;&gt;Cancelado",AgStatus,"&lt;&gt;Remarcado")&gt;0,"Sim","Não"))</f>
        <v>0</v>
      </c>
      <c r="S1230" s="28">
        <f>IF($A1230="","",IF(AND($F1230="Agendado",$A1230-Hoje&gt;=0,$A1230-Hoje&lt;=DiasConf),"CONFIRMAR",IF(AND($A1230&lt;Hoje,OR($F1230="Agendado",$F1230="Confirmado")),"Atualizar status",IF(AND($F1230="Compareceu",$P1230&gt;0.005),"Cobrar",IF($F1230="Faltou","Falta: reagendar","")))))</f>
        <v>0</v>
      </c>
      <c r="T1230" s="29">
        <f>IF($A1230="","",DATE(YEAR($A1230),MONTH($A1230),1))</f>
        <v>0</v>
      </c>
      <c r="U1230" s="30">
        <f>IF($S1230="CONFIRMAR",MAX($U$4:$U1229)+1,"")</f>
        <v>0</v>
      </c>
      <c r="V1230" s="30">
        <f>IF(AND($R1230="Não",$Q1230&lt;&gt;"",$Q1230&lt;=Hoje+JanelaRet,$Q1230&gt;=Hoje-60),MAX($V$4:$V1229)+1,"")</f>
        <v>0</v>
      </c>
    </row>
    <row r="1231" spans="1:22">
      <c r="A1231" s="16"/>
      <c r="B1231" s="23"/>
      <c r="C1231" s="15"/>
      <c r="D1231" s="15"/>
      <c r="E1231" s="15"/>
      <c r="F1231" s="24"/>
      <c r="G1231" s="17"/>
      <c r="H1231" s="17"/>
      <c r="I1231" s="15"/>
      <c r="J1231" s="25">
        <f>IF($D1231="","",IFERROR(INDEX(PacNome,MATCH($D1231,PacCod,0)),"Paciente não cadastrado"))</f>
        <v>0</v>
      </c>
      <c r="K1231" s="26">
        <f>IF($D1231="","",IFERROR(INDEX(PacConv,MATCH($D1231,PacCod,0))&amp;"",""))</f>
        <v>0</v>
      </c>
      <c r="L1231" s="26">
        <f>IF($A1231="","",CHOOSE(WEEKDAY($A1231,2),"Seg","Ter","Qua","Qui","Sex","Sáb","Dom"))</f>
        <v>0</v>
      </c>
      <c r="M1231" s="27">
        <f>IF($E1231="","",IF($G1231&lt;&gt;"",$G1231,IFERROR(INDEX(ProcValor,MATCH($E1231,ProcNome,0)),0)))</f>
        <v>0</v>
      </c>
      <c r="N1231" s="27">
        <f>IF($M1231="","",IF($F1231="Compareceu",$M1231,0))</f>
        <v>0</v>
      </c>
      <c r="O1231" s="27">
        <f>IF($M1231="","",IF($F1231="Faltou",$M1231,0))</f>
        <v>0</v>
      </c>
      <c r="P1231" s="27">
        <f>IF($M1231="","",IF($F1231="Compareceu",MAX(0,$M1231-N($H1231)),0))</f>
        <v>0</v>
      </c>
      <c r="Q1231" s="19">
        <f>IF(AND($F1231="Compareceu",$E1231&lt;&gt;"",$A1231&lt;&gt;""),IF(IFERROR(INDEX(ProcRet,MATCH($E1231,ProcNome,0)),0)&gt;0,$A1231+INDEX(ProcRet,MATCH($E1231,ProcNome,0)),""),"")</f>
        <v>0</v>
      </c>
      <c r="R1231" s="26">
        <f>IF($Q1231="","",IF(COUNTIFS(AgPac,$D1231,AgData,"&gt;"&amp;$A1231,AgStatus,"&lt;&gt;Cancelado",AgStatus,"&lt;&gt;Remarcado")&gt;0,"Sim","Não"))</f>
        <v>0</v>
      </c>
      <c r="S1231" s="28">
        <f>IF($A1231="","",IF(AND($F1231="Agendado",$A1231-Hoje&gt;=0,$A1231-Hoje&lt;=DiasConf),"CONFIRMAR",IF(AND($A1231&lt;Hoje,OR($F1231="Agendado",$F1231="Confirmado")),"Atualizar status",IF(AND($F1231="Compareceu",$P1231&gt;0.005),"Cobrar",IF($F1231="Faltou","Falta: reagendar","")))))</f>
        <v>0</v>
      </c>
      <c r="T1231" s="29">
        <f>IF($A1231="","",DATE(YEAR($A1231),MONTH($A1231),1))</f>
        <v>0</v>
      </c>
      <c r="U1231" s="30">
        <f>IF($S1231="CONFIRMAR",MAX($U$4:$U1230)+1,"")</f>
        <v>0</v>
      </c>
      <c r="V1231" s="30">
        <f>IF(AND($R1231="Não",$Q1231&lt;&gt;"",$Q1231&lt;=Hoje+JanelaRet,$Q1231&gt;=Hoje-60),MAX($V$4:$V1230)+1,"")</f>
        <v>0</v>
      </c>
    </row>
    <row r="1232" spans="1:22">
      <c r="A1232" s="16"/>
      <c r="B1232" s="23"/>
      <c r="C1232" s="15"/>
      <c r="D1232" s="15"/>
      <c r="E1232" s="15"/>
      <c r="F1232" s="24"/>
      <c r="G1232" s="17"/>
      <c r="H1232" s="17"/>
      <c r="I1232" s="15"/>
      <c r="J1232" s="25">
        <f>IF($D1232="","",IFERROR(INDEX(PacNome,MATCH($D1232,PacCod,0)),"Paciente não cadastrado"))</f>
        <v>0</v>
      </c>
      <c r="K1232" s="26">
        <f>IF($D1232="","",IFERROR(INDEX(PacConv,MATCH($D1232,PacCod,0))&amp;"",""))</f>
        <v>0</v>
      </c>
      <c r="L1232" s="26">
        <f>IF($A1232="","",CHOOSE(WEEKDAY($A1232,2),"Seg","Ter","Qua","Qui","Sex","Sáb","Dom"))</f>
        <v>0</v>
      </c>
      <c r="M1232" s="27">
        <f>IF($E1232="","",IF($G1232&lt;&gt;"",$G1232,IFERROR(INDEX(ProcValor,MATCH($E1232,ProcNome,0)),0)))</f>
        <v>0</v>
      </c>
      <c r="N1232" s="27">
        <f>IF($M1232="","",IF($F1232="Compareceu",$M1232,0))</f>
        <v>0</v>
      </c>
      <c r="O1232" s="27">
        <f>IF($M1232="","",IF($F1232="Faltou",$M1232,0))</f>
        <v>0</v>
      </c>
      <c r="P1232" s="27">
        <f>IF($M1232="","",IF($F1232="Compareceu",MAX(0,$M1232-N($H1232)),0))</f>
        <v>0</v>
      </c>
      <c r="Q1232" s="19">
        <f>IF(AND($F1232="Compareceu",$E1232&lt;&gt;"",$A1232&lt;&gt;""),IF(IFERROR(INDEX(ProcRet,MATCH($E1232,ProcNome,0)),0)&gt;0,$A1232+INDEX(ProcRet,MATCH($E1232,ProcNome,0)),""),"")</f>
        <v>0</v>
      </c>
      <c r="R1232" s="26">
        <f>IF($Q1232="","",IF(COUNTIFS(AgPac,$D1232,AgData,"&gt;"&amp;$A1232,AgStatus,"&lt;&gt;Cancelado",AgStatus,"&lt;&gt;Remarcado")&gt;0,"Sim","Não"))</f>
        <v>0</v>
      </c>
      <c r="S1232" s="28">
        <f>IF($A1232="","",IF(AND($F1232="Agendado",$A1232-Hoje&gt;=0,$A1232-Hoje&lt;=DiasConf),"CONFIRMAR",IF(AND($A1232&lt;Hoje,OR($F1232="Agendado",$F1232="Confirmado")),"Atualizar status",IF(AND($F1232="Compareceu",$P1232&gt;0.005),"Cobrar",IF($F1232="Faltou","Falta: reagendar","")))))</f>
        <v>0</v>
      </c>
      <c r="T1232" s="29">
        <f>IF($A1232="","",DATE(YEAR($A1232),MONTH($A1232),1))</f>
        <v>0</v>
      </c>
      <c r="U1232" s="30">
        <f>IF($S1232="CONFIRMAR",MAX($U$4:$U1231)+1,"")</f>
        <v>0</v>
      </c>
      <c r="V1232" s="30">
        <f>IF(AND($R1232="Não",$Q1232&lt;&gt;"",$Q1232&lt;=Hoje+JanelaRet,$Q1232&gt;=Hoje-60),MAX($V$4:$V1231)+1,"")</f>
        <v>0</v>
      </c>
    </row>
    <row r="1233" spans="1:22">
      <c r="A1233" s="16"/>
      <c r="B1233" s="23"/>
      <c r="C1233" s="15"/>
      <c r="D1233" s="15"/>
      <c r="E1233" s="15"/>
      <c r="F1233" s="24"/>
      <c r="G1233" s="17"/>
      <c r="H1233" s="17"/>
      <c r="I1233" s="15"/>
      <c r="J1233" s="25">
        <f>IF($D1233="","",IFERROR(INDEX(PacNome,MATCH($D1233,PacCod,0)),"Paciente não cadastrado"))</f>
        <v>0</v>
      </c>
      <c r="K1233" s="26">
        <f>IF($D1233="","",IFERROR(INDEX(PacConv,MATCH($D1233,PacCod,0))&amp;"",""))</f>
        <v>0</v>
      </c>
      <c r="L1233" s="26">
        <f>IF($A1233="","",CHOOSE(WEEKDAY($A1233,2),"Seg","Ter","Qua","Qui","Sex","Sáb","Dom"))</f>
        <v>0</v>
      </c>
      <c r="M1233" s="27">
        <f>IF($E1233="","",IF($G1233&lt;&gt;"",$G1233,IFERROR(INDEX(ProcValor,MATCH($E1233,ProcNome,0)),0)))</f>
        <v>0</v>
      </c>
      <c r="N1233" s="27">
        <f>IF($M1233="","",IF($F1233="Compareceu",$M1233,0))</f>
        <v>0</v>
      </c>
      <c r="O1233" s="27">
        <f>IF($M1233="","",IF($F1233="Faltou",$M1233,0))</f>
        <v>0</v>
      </c>
      <c r="P1233" s="27">
        <f>IF($M1233="","",IF($F1233="Compareceu",MAX(0,$M1233-N($H1233)),0))</f>
        <v>0</v>
      </c>
      <c r="Q1233" s="19">
        <f>IF(AND($F1233="Compareceu",$E1233&lt;&gt;"",$A1233&lt;&gt;""),IF(IFERROR(INDEX(ProcRet,MATCH($E1233,ProcNome,0)),0)&gt;0,$A1233+INDEX(ProcRet,MATCH($E1233,ProcNome,0)),""),"")</f>
        <v>0</v>
      </c>
      <c r="R1233" s="26">
        <f>IF($Q1233="","",IF(COUNTIFS(AgPac,$D1233,AgData,"&gt;"&amp;$A1233,AgStatus,"&lt;&gt;Cancelado",AgStatus,"&lt;&gt;Remarcado")&gt;0,"Sim","Não"))</f>
        <v>0</v>
      </c>
      <c r="S1233" s="28">
        <f>IF($A1233="","",IF(AND($F1233="Agendado",$A1233-Hoje&gt;=0,$A1233-Hoje&lt;=DiasConf),"CONFIRMAR",IF(AND($A1233&lt;Hoje,OR($F1233="Agendado",$F1233="Confirmado")),"Atualizar status",IF(AND($F1233="Compareceu",$P1233&gt;0.005),"Cobrar",IF($F1233="Faltou","Falta: reagendar","")))))</f>
        <v>0</v>
      </c>
      <c r="T1233" s="29">
        <f>IF($A1233="","",DATE(YEAR($A1233),MONTH($A1233),1))</f>
        <v>0</v>
      </c>
      <c r="U1233" s="30">
        <f>IF($S1233="CONFIRMAR",MAX($U$4:$U1232)+1,"")</f>
        <v>0</v>
      </c>
      <c r="V1233" s="30">
        <f>IF(AND($R1233="Não",$Q1233&lt;&gt;"",$Q1233&lt;=Hoje+JanelaRet,$Q1233&gt;=Hoje-60),MAX($V$4:$V1232)+1,"")</f>
        <v>0</v>
      </c>
    </row>
    <row r="1234" spans="1:22">
      <c r="A1234" s="16"/>
      <c r="B1234" s="23"/>
      <c r="C1234" s="15"/>
      <c r="D1234" s="15"/>
      <c r="E1234" s="15"/>
      <c r="F1234" s="24"/>
      <c r="G1234" s="17"/>
      <c r="H1234" s="17"/>
      <c r="I1234" s="15"/>
      <c r="J1234" s="25">
        <f>IF($D1234="","",IFERROR(INDEX(PacNome,MATCH($D1234,PacCod,0)),"Paciente não cadastrado"))</f>
        <v>0</v>
      </c>
      <c r="K1234" s="26">
        <f>IF($D1234="","",IFERROR(INDEX(PacConv,MATCH($D1234,PacCod,0))&amp;"",""))</f>
        <v>0</v>
      </c>
      <c r="L1234" s="26">
        <f>IF($A1234="","",CHOOSE(WEEKDAY($A1234,2),"Seg","Ter","Qua","Qui","Sex","Sáb","Dom"))</f>
        <v>0</v>
      </c>
      <c r="M1234" s="27">
        <f>IF($E1234="","",IF($G1234&lt;&gt;"",$G1234,IFERROR(INDEX(ProcValor,MATCH($E1234,ProcNome,0)),0)))</f>
        <v>0</v>
      </c>
      <c r="N1234" s="27">
        <f>IF($M1234="","",IF($F1234="Compareceu",$M1234,0))</f>
        <v>0</v>
      </c>
      <c r="O1234" s="27">
        <f>IF($M1234="","",IF($F1234="Faltou",$M1234,0))</f>
        <v>0</v>
      </c>
      <c r="P1234" s="27">
        <f>IF($M1234="","",IF($F1234="Compareceu",MAX(0,$M1234-N($H1234)),0))</f>
        <v>0</v>
      </c>
      <c r="Q1234" s="19">
        <f>IF(AND($F1234="Compareceu",$E1234&lt;&gt;"",$A1234&lt;&gt;""),IF(IFERROR(INDEX(ProcRet,MATCH($E1234,ProcNome,0)),0)&gt;0,$A1234+INDEX(ProcRet,MATCH($E1234,ProcNome,0)),""),"")</f>
        <v>0</v>
      </c>
      <c r="R1234" s="26">
        <f>IF($Q1234="","",IF(COUNTIFS(AgPac,$D1234,AgData,"&gt;"&amp;$A1234,AgStatus,"&lt;&gt;Cancelado",AgStatus,"&lt;&gt;Remarcado")&gt;0,"Sim","Não"))</f>
        <v>0</v>
      </c>
      <c r="S1234" s="28">
        <f>IF($A1234="","",IF(AND($F1234="Agendado",$A1234-Hoje&gt;=0,$A1234-Hoje&lt;=DiasConf),"CONFIRMAR",IF(AND($A1234&lt;Hoje,OR($F1234="Agendado",$F1234="Confirmado")),"Atualizar status",IF(AND($F1234="Compareceu",$P1234&gt;0.005),"Cobrar",IF($F1234="Faltou","Falta: reagendar","")))))</f>
        <v>0</v>
      </c>
      <c r="T1234" s="29">
        <f>IF($A1234="","",DATE(YEAR($A1234),MONTH($A1234),1))</f>
        <v>0</v>
      </c>
      <c r="U1234" s="30">
        <f>IF($S1234="CONFIRMAR",MAX($U$4:$U1233)+1,"")</f>
        <v>0</v>
      </c>
      <c r="V1234" s="30">
        <f>IF(AND($R1234="Não",$Q1234&lt;&gt;"",$Q1234&lt;=Hoje+JanelaRet,$Q1234&gt;=Hoje-60),MAX($V$4:$V1233)+1,"")</f>
        <v>0</v>
      </c>
    </row>
    <row r="1235" spans="1:22">
      <c r="A1235" s="16"/>
      <c r="B1235" s="23"/>
      <c r="C1235" s="15"/>
      <c r="D1235" s="15"/>
      <c r="E1235" s="15"/>
      <c r="F1235" s="24"/>
      <c r="G1235" s="17"/>
      <c r="H1235" s="17"/>
      <c r="I1235" s="15"/>
      <c r="J1235" s="25">
        <f>IF($D1235="","",IFERROR(INDEX(PacNome,MATCH($D1235,PacCod,0)),"Paciente não cadastrado"))</f>
        <v>0</v>
      </c>
      <c r="K1235" s="26">
        <f>IF($D1235="","",IFERROR(INDEX(PacConv,MATCH($D1235,PacCod,0))&amp;"",""))</f>
        <v>0</v>
      </c>
      <c r="L1235" s="26">
        <f>IF($A1235="","",CHOOSE(WEEKDAY($A1235,2),"Seg","Ter","Qua","Qui","Sex","Sáb","Dom"))</f>
        <v>0</v>
      </c>
      <c r="M1235" s="27">
        <f>IF($E1235="","",IF($G1235&lt;&gt;"",$G1235,IFERROR(INDEX(ProcValor,MATCH($E1235,ProcNome,0)),0)))</f>
        <v>0</v>
      </c>
      <c r="N1235" s="27">
        <f>IF($M1235="","",IF($F1235="Compareceu",$M1235,0))</f>
        <v>0</v>
      </c>
      <c r="O1235" s="27">
        <f>IF($M1235="","",IF($F1235="Faltou",$M1235,0))</f>
        <v>0</v>
      </c>
      <c r="P1235" s="27">
        <f>IF($M1235="","",IF($F1235="Compareceu",MAX(0,$M1235-N($H1235)),0))</f>
        <v>0</v>
      </c>
      <c r="Q1235" s="19">
        <f>IF(AND($F1235="Compareceu",$E1235&lt;&gt;"",$A1235&lt;&gt;""),IF(IFERROR(INDEX(ProcRet,MATCH($E1235,ProcNome,0)),0)&gt;0,$A1235+INDEX(ProcRet,MATCH($E1235,ProcNome,0)),""),"")</f>
        <v>0</v>
      </c>
      <c r="R1235" s="26">
        <f>IF($Q1235="","",IF(COUNTIFS(AgPac,$D1235,AgData,"&gt;"&amp;$A1235,AgStatus,"&lt;&gt;Cancelado",AgStatus,"&lt;&gt;Remarcado")&gt;0,"Sim","Não"))</f>
        <v>0</v>
      </c>
      <c r="S1235" s="28">
        <f>IF($A1235="","",IF(AND($F1235="Agendado",$A1235-Hoje&gt;=0,$A1235-Hoje&lt;=DiasConf),"CONFIRMAR",IF(AND($A1235&lt;Hoje,OR($F1235="Agendado",$F1235="Confirmado")),"Atualizar status",IF(AND($F1235="Compareceu",$P1235&gt;0.005),"Cobrar",IF($F1235="Faltou","Falta: reagendar","")))))</f>
        <v>0</v>
      </c>
      <c r="T1235" s="29">
        <f>IF($A1235="","",DATE(YEAR($A1235),MONTH($A1235),1))</f>
        <v>0</v>
      </c>
      <c r="U1235" s="30">
        <f>IF($S1235="CONFIRMAR",MAX($U$4:$U1234)+1,"")</f>
        <v>0</v>
      </c>
      <c r="V1235" s="30">
        <f>IF(AND($R1235="Não",$Q1235&lt;&gt;"",$Q1235&lt;=Hoje+JanelaRet,$Q1235&gt;=Hoje-60),MAX($V$4:$V1234)+1,"")</f>
        <v>0</v>
      </c>
    </row>
    <row r="1236" spans="1:22">
      <c r="A1236" s="16"/>
      <c r="B1236" s="23"/>
      <c r="C1236" s="15"/>
      <c r="D1236" s="15"/>
      <c r="E1236" s="15"/>
      <c r="F1236" s="24"/>
      <c r="G1236" s="17"/>
      <c r="H1236" s="17"/>
      <c r="I1236" s="15"/>
      <c r="J1236" s="25">
        <f>IF($D1236="","",IFERROR(INDEX(PacNome,MATCH($D1236,PacCod,0)),"Paciente não cadastrado"))</f>
        <v>0</v>
      </c>
      <c r="K1236" s="26">
        <f>IF($D1236="","",IFERROR(INDEX(PacConv,MATCH($D1236,PacCod,0))&amp;"",""))</f>
        <v>0</v>
      </c>
      <c r="L1236" s="26">
        <f>IF($A1236="","",CHOOSE(WEEKDAY($A1236,2),"Seg","Ter","Qua","Qui","Sex","Sáb","Dom"))</f>
        <v>0</v>
      </c>
      <c r="M1236" s="27">
        <f>IF($E1236="","",IF($G1236&lt;&gt;"",$G1236,IFERROR(INDEX(ProcValor,MATCH($E1236,ProcNome,0)),0)))</f>
        <v>0</v>
      </c>
      <c r="N1236" s="27">
        <f>IF($M1236="","",IF($F1236="Compareceu",$M1236,0))</f>
        <v>0</v>
      </c>
      <c r="O1236" s="27">
        <f>IF($M1236="","",IF($F1236="Faltou",$M1236,0))</f>
        <v>0</v>
      </c>
      <c r="P1236" s="27">
        <f>IF($M1236="","",IF($F1236="Compareceu",MAX(0,$M1236-N($H1236)),0))</f>
        <v>0</v>
      </c>
      <c r="Q1236" s="19">
        <f>IF(AND($F1236="Compareceu",$E1236&lt;&gt;"",$A1236&lt;&gt;""),IF(IFERROR(INDEX(ProcRet,MATCH($E1236,ProcNome,0)),0)&gt;0,$A1236+INDEX(ProcRet,MATCH($E1236,ProcNome,0)),""),"")</f>
        <v>0</v>
      </c>
      <c r="R1236" s="26">
        <f>IF($Q1236="","",IF(COUNTIFS(AgPac,$D1236,AgData,"&gt;"&amp;$A1236,AgStatus,"&lt;&gt;Cancelado",AgStatus,"&lt;&gt;Remarcado")&gt;0,"Sim","Não"))</f>
        <v>0</v>
      </c>
      <c r="S1236" s="28">
        <f>IF($A1236="","",IF(AND($F1236="Agendado",$A1236-Hoje&gt;=0,$A1236-Hoje&lt;=DiasConf),"CONFIRMAR",IF(AND($A1236&lt;Hoje,OR($F1236="Agendado",$F1236="Confirmado")),"Atualizar status",IF(AND($F1236="Compareceu",$P1236&gt;0.005),"Cobrar",IF($F1236="Faltou","Falta: reagendar","")))))</f>
        <v>0</v>
      </c>
      <c r="T1236" s="29">
        <f>IF($A1236="","",DATE(YEAR($A1236),MONTH($A1236),1))</f>
        <v>0</v>
      </c>
      <c r="U1236" s="30">
        <f>IF($S1236="CONFIRMAR",MAX($U$4:$U1235)+1,"")</f>
        <v>0</v>
      </c>
      <c r="V1236" s="30">
        <f>IF(AND($R1236="Não",$Q1236&lt;&gt;"",$Q1236&lt;=Hoje+JanelaRet,$Q1236&gt;=Hoje-60),MAX($V$4:$V1235)+1,"")</f>
        <v>0</v>
      </c>
    </row>
    <row r="1237" spans="1:22">
      <c r="A1237" s="16"/>
      <c r="B1237" s="23"/>
      <c r="C1237" s="15"/>
      <c r="D1237" s="15"/>
      <c r="E1237" s="15"/>
      <c r="F1237" s="24"/>
      <c r="G1237" s="17"/>
      <c r="H1237" s="17"/>
      <c r="I1237" s="15"/>
      <c r="J1237" s="25">
        <f>IF($D1237="","",IFERROR(INDEX(PacNome,MATCH($D1237,PacCod,0)),"Paciente não cadastrado"))</f>
        <v>0</v>
      </c>
      <c r="K1237" s="26">
        <f>IF($D1237="","",IFERROR(INDEX(PacConv,MATCH($D1237,PacCod,0))&amp;"",""))</f>
        <v>0</v>
      </c>
      <c r="L1237" s="26">
        <f>IF($A1237="","",CHOOSE(WEEKDAY($A1237,2),"Seg","Ter","Qua","Qui","Sex","Sáb","Dom"))</f>
        <v>0</v>
      </c>
      <c r="M1237" s="27">
        <f>IF($E1237="","",IF($G1237&lt;&gt;"",$G1237,IFERROR(INDEX(ProcValor,MATCH($E1237,ProcNome,0)),0)))</f>
        <v>0</v>
      </c>
      <c r="N1237" s="27">
        <f>IF($M1237="","",IF($F1237="Compareceu",$M1237,0))</f>
        <v>0</v>
      </c>
      <c r="O1237" s="27">
        <f>IF($M1237="","",IF($F1237="Faltou",$M1237,0))</f>
        <v>0</v>
      </c>
      <c r="P1237" s="27">
        <f>IF($M1237="","",IF($F1237="Compareceu",MAX(0,$M1237-N($H1237)),0))</f>
        <v>0</v>
      </c>
      <c r="Q1237" s="19">
        <f>IF(AND($F1237="Compareceu",$E1237&lt;&gt;"",$A1237&lt;&gt;""),IF(IFERROR(INDEX(ProcRet,MATCH($E1237,ProcNome,0)),0)&gt;0,$A1237+INDEX(ProcRet,MATCH($E1237,ProcNome,0)),""),"")</f>
        <v>0</v>
      </c>
      <c r="R1237" s="26">
        <f>IF($Q1237="","",IF(COUNTIFS(AgPac,$D1237,AgData,"&gt;"&amp;$A1237,AgStatus,"&lt;&gt;Cancelado",AgStatus,"&lt;&gt;Remarcado")&gt;0,"Sim","Não"))</f>
        <v>0</v>
      </c>
      <c r="S1237" s="28">
        <f>IF($A1237="","",IF(AND($F1237="Agendado",$A1237-Hoje&gt;=0,$A1237-Hoje&lt;=DiasConf),"CONFIRMAR",IF(AND($A1237&lt;Hoje,OR($F1237="Agendado",$F1237="Confirmado")),"Atualizar status",IF(AND($F1237="Compareceu",$P1237&gt;0.005),"Cobrar",IF($F1237="Faltou","Falta: reagendar","")))))</f>
        <v>0</v>
      </c>
      <c r="T1237" s="29">
        <f>IF($A1237="","",DATE(YEAR($A1237),MONTH($A1237),1))</f>
        <v>0</v>
      </c>
      <c r="U1237" s="30">
        <f>IF($S1237="CONFIRMAR",MAX($U$4:$U1236)+1,"")</f>
        <v>0</v>
      </c>
      <c r="V1237" s="30">
        <f>IF(AND($R1237="Não",$Q1237&lt;&gt;"",$Q1237&lt;=Hoje+JanelaRet,$Q1237&gt;=Hoje-60),MAX($V$4:$V1236)+1,"")</f>
        <v>0</v>
      </c>
    </row>
    <row r="1238" spans="1:22">
      <c r="A1238" s="16"/>
      <c r="B1238" s="23"/>
      <c r="C1238" s="15"/>
      <c r="D1238" s="15"/>
      <c r="E1238" s="15"/>
      <c r="F1238" s="24"/>
      <c r="G1238" s="17"/>
      <c r="H1238" s="17"/>
      <c r="I1238" s="15"/>
      <c r="J1238" s="25">
        <f>IF($D1238="","",IFERROR(INDEX(PacNome,MATCH($D1238,PacCod,0)),"Paciente não cadastrado"))</f>
        <v>0</v>
      </c>
      <c r="K1238" s="26">
        <f>IF($D1238="","",IFERROR(INDEX(PacConv,MATCH($D1238,PacCod,0))&amp;"",""))</f>
        <v>0</v>
      </c>
      <c r="L1238" s="26">
        <f>IF($A1238="","",CHOOSE(WEEKDAY($A1238,2),"Seg","Ter","Qua","Qui","Sex","Sáb","Dom"))</f>
        <v>0</v>
      </c>
      <c r="M1238" s="27">
        <f>IF($E1238="","",IF($G1238&lt;&gt;"",$G1238,IFERROR(INDEX(ProcValor,MATCH($E1238,ProcNome,0)),0)))</f>
        <v>0</v>
      </c>
      <c r="N1238" s="27">
        <f>IF($M1238="","",IF($F1238="Compareceu",$M1238,0))</f>
        <v>0</v>
      </c>
      <c r="O1238" s="27">
        <f>IF($M1238="","",IF($F1238="Faltou",$M1238,0))</f>
        <v>0</v>
      </c>
      <c r="P1238" s="27">
        <f>IF($M1238="","",IF($F1238="Compareceu",MAX(0,$M1238-N($H1238)),0))</f>
        <v>0</v>
      </c>
      <c r="Q1238" s="19">
        <f>IF(AND($F1238="Compareceu",$E1238&lt;&gt;"",$A1238&lt;&gt;""),IF(IFERROR(INDEX(ProcRet,MATCH($E1238,ProcNome,0)),0)&gt;0,$A1238+INDEX(ProcRet,MATCH($E1238,ProcNome,0)),""),"")</f>
        <v>0</v>
      </c>
      <c r="R1238" s="26">
        <f>IF($Q1238="","",IF(COUNTIFS(AgPac,$D1238,AgData,"&gt;"&amp;$A1238,AgStatus,"&lt;&gt;Cancelado",AgStatus,"&lt;&gt;Remarcado")&gt;0,"Sim","Não"))</f>
        <v>0</v>
      </c>
      <c r="S1238" s="28">
        <f>IF($A1238="","",IF(AND($F1238="Agendado",$A1238-Hoje&gt;=0,$A1238-Hoje&lt;=DiasConf),"CONFIRMAR",IF(AND($A1238&lt;Hoje,OR($F1238="Agendado",$F1238="Confirmado")),"Atualizar status",IF(AND($F1238="Compareceu",$P1238&gt;0.005),"Cobrar",IF($F1238="Faltou","Falta: reagendar","")))))</f>
        <v>0</v>
      </c>
      <c r="T1238" s="29">
        <f>IF($A1238="","",DATE(YEAR($A1238),MONTH($A1238),1))</f>
        <v>0</v>
      </c>
      <c r="U1238" s="30">
        <f>IF($S1238="CONFIRMAR",MAX($U$4:$U1237)+1,"")</f>
        <v>0</v>
      </c>
      <c r="V1238" s="30">
        <f>IF(AND($R1238="Não",$Q1238&lt;&gt;"",$Q1238&lt;=Hoje+JanelaRet,$Q1238&gt;=Hoje-60),MAX($V$4:$V1237)+1,"")</f>
        <v>0</v>
      </c>
    </row>
    <row r="1239" spans="1:22">
      <c r="A1239" s="16"/>
      <c r="B1239" s="23"/>
      <c r="C1239" s="15"/>
      <c r="D1239" s="15"/>
      <c r="E1239" s="15"/>
      <c r="F1239" s="24"/>
      <c r="G1239" s="17"/>
      <c r="H1239" s="17"/>
      <c r="I1239" s="15"/>
      <c r="J1239" s="25">
        <f>IF($D1239="","",IFERROR(INDEX(PacNome,MATCH($D1239,PacCod,0)),"Paciente não cadastrado"))</f>
        <v>0</v>
      </c>
      <c r="K1239" s="26">
        <f>IF($D1239="","",IFERROR(INDEX(PacConv,MATCH($D1239,PacCod,0))&amp;"",""))</f>
        <v>0</v>
      </c>
      <c r="L1239" s="26">
        <f>IF($A1239="","",CHOOSE(WEEKDAY($A1239,2),"Seg","Ter","Qua","Qui","Sex","Sáb","Dom"))</f>
        <v>0</v>
      </c>
      <c r="M1239" s="27">
        <f>IF($E1239="","",IF($G1239&lt;&gt;"",$G1239,IFERROR(INDEX(ProcValor,MATCH($E1239,ProcNome,0)),0)))</f>
        <v>0</v>
      </c>
      <c r="N1239" s="27">
        <f>IF($M1239="","",IF($F1239="Compareceu",$M1239,0))</f>
        <v>0</v>
      </c>
      <c r="O1239" s="27">
        <f>IF($M1239="","",IF($F1239="Faltou",$M1239,0))</f>
        <v>0</v>
      </c>
      <c r="P1239" s="27">
        <f>IF($M1239="","",IF($F1239="Compareceu",MAX(0,$M1239-N($H1239)),0))</f>
        <v>0</v>
      </c>
      <c r="Q1239" s="19">
        <f>IF(AND($F1239="Compareceu",$E1239&lt;&gt;"",$A1239&lt;&gt;""),IF(IFERROR(INDEX(ProcRet,MATCH($E1239,ProcNome,0)),0)&gt;0,$A1239+INDEX(ProcRet,MATCH($E1239,ProcNome,0)),""),"")</f>
        <v>0</v>
      </c>
      <c r="R1239" s="26">
        <f>IF($Q1239="","",IF(COUNTIFS(AgPac,$D1239,AgData,"&gt;"&amp;$A1239,AgStatus,"&lt;&gt;Cancelado",AgStatus,"&lt;&gt;Remarcado")&gt;0,"Sim","Não"))</f>
        <v>0</v>
      </c>
      <c r="S1239" s="28">
        <f>IF($A1239="","",IF(AND($F1239="Agendado",$A1239-Hoje&gt;=0,$A1239-Hoje&lt;=DiasConf),"CONFIRMAR",IF(AND($A1239&lt;Hoje,OR($F1239="Agendado",$F1239="Confirmado")),"Atualizar status",IF(AND($F1239="Compareceu",$P1239&gt;0.005),"Cobrar",IF($F1239="Faltou","Falta: reagendar","")))))</f>
        <v>0</v>
      </c>
      <c r="T1239" s="29">
        <f>IF($A1239="","",DATE(YEAR($A1239),MONTH($A1239),1))</f>
        <v>0</v>
      </c>
      <c r="U1239" s="30">
        <f>IF($S1239="CONFIRMAR",MAX($U$4:$U1238)+1,"")</f>
        <v>0</v>
      </c>
      <c r="V1239" s="30">
        <f>IF(AND($R1239="Não",$Q1239&lt;&gt;"",$Q1239&lt;=Hoje+JanelaRet,$Q1239&gt;=Hoje-60),MAX($V$4:$V1238)+1,"")</f>
        <v>0</v>
      </c>
    </row>
    <row r="1240" spans="1:22">
      <c r="A1240" s="16"/>
      <c r="B1240" s="23"/>
      <c r="C1240" s="15"/>
      <c r="D1240" s="15"/>
      <c r="E1240" s="15"/>
      <c r="F1240" s="24"/>
      <c r="G1240" s="17"/>
      <c r="H1240" s="17"/>
      <c r="I1240" s="15"/>
      <c r="J1240" s="25">
        <f>IF($D1240="","",IFERROR(INDEX(PacNome,MATCH($D1240,PacCod,0)),"Paciente não cadastrado"))</f>
        <v>0</v>
      </c>
      <c r="K1240" s="26">
        <f>IF($D1240="","",IFERROR(INDEX(PacConv,MATCH($D1240,PacCod,0))&amp;"",""))</f>
        <v>0</v>
      </c>
      <c r="L1240" s="26">
        <f>IF($A1240="","",CHOOSE(WEEKDAY($A1240,2),"Seg","Ter","Qua","Qui","Sex","Sáb","Dom"))</f>
        <v>0</v>
      </c>
      <c r="M1240" s="27">
        <f>IF($E1240="","",IF($G1240&lt;&gt;"",$G1240,IFERROR(INDEX(ProcValor,MATCH($E1240,ProcNome,0)),0)))</f>
        <v>0</v>
      </c>
      <c r="N1240" s="27">
        <f>IF($M1240="","",IF($F1240="Compareceu",$M1240,0))</f>
        <v>0</v>
      </c>
      <c r="O1240" s="27">
        <f>IF($M1240="","",IF($F1240="Faltou",$M1240,0))</f>
        <v>0</v>
      </c>
      <c r="P1240" s="27">
        <f>IF($M1240="","",IF($F1240="Compareceu",MAX(0,$M1240-N($H1240)),0))</f>
        <v>0</v>
      </c>
      <c r="Q1240" s="19">
        <f>IF(AND($F1240="Compareceu",$E1240&lt;&gt;"",$A1240&lt;&gt;""),IF(IFERROR(INDEX(ProcRet,MATCH($E1240,ProcNome,0)),0)&gt;0,$A1240+INDEX(ProcRet,MATCH($E1240,ProcNome,0)),""),"")</f>
        <v>0</v>
      </c>
      <c r="R1240" s="26">
        <f>IF($Q1240="","",IF(COUNTIFS(AgPac,$D1240,AgData,"&gt;"&amp;$A1240,AgStatus,"&lt;&gt;Cancelado",AgStatus,"&lt;&gt;Remarcado")&gt;0,"Sim","Não"))</f>
        <v>0</v>
      </c>
      <c r="S1240" s="28">
        <f>IF($A1240="","",IF(AND($F1240="Agendado",$A1240-Hoje&gt;=0,$A1240-Hoje&lt;=DiasConf),"CONFIRMAR",IF(AND($A1240&lt;Hoje,OR($F1240="Agendado",$F1240="Confirmado")),"Atualizar status",IF(AND($F1240="Compareceu",$P1240&gt;0.005),"Cobrar",IF($F1240="Faltou","Falta: reagendar","")))))</f>
        <v>0</v>
      </c>
      <c r="T1240" s="29">
        <f>IF($A1240="","",DATE(YEAR($A1240),MONTH($A1240),1))</f>
        <v>0</v>
      </c>
      <c r="U1240" s="30">
        <f>IF($S1240="CONFIRMAR",MAX($U$4:$U1239)+1,"")</f>
        <v>0</v>
      </c>
      <c r="V1240" s="30">
        <f>IF(AND($R1240="Não",$Q1240&lt;&gt;"",$Q1240&lt;=Hoje+JanelaRet,$Q1240&gt;=Hoje-60),MAX($V$4:$V1239)+1,"")</f>
        <v>0</v>
      </c>
    </row>
    <row r="1241" spans="1:22">
      <c r="A1241" s="16"/>
      <c r="B1241" s="23"/>
      <c r="C1241" s="15"/>
      <c r="D1241" s="15"/>
      <c r="E1241" s="15"/>
      <c r="F1241" s="24"/>
      <c r="G1241" s="17"/>
      <c r="H1241" s="17"/>
      <c r="I1241" s="15"/>
      <c r="J1241" s="25">
        <f>IF($D1241="","",IFERROR(INDEX(PacNome,MATCH($D1241,PacCod,0)),"Paciente não cadastrado"))</f>
        <v>0</v>
      </c>
      <c r="K1241" s="26">
        <f>IF($D1241="","",IFERROR(INDEX(PacConv,MATCH($D1241,PacCod,0))&amp;"",""))</f>
        <v>0</v>
      </c>
      <c r="L1241" s="26">
        <f>IF($A1241="","",CHOOSE(WEEKDAY($A1241,2),"Seg","Ter","Qua","Qui","Sex","Sáb","Dom"))</f>
        <v>0</v>
      </c>
      <c r="M1241" s="27">
        <f>IF($E1241="","",IF($G1241&lt;&gt;"",$G1241,IFERROR(INDEX(ProcValor,MATCH($E1241,ProcNome,0)),0)))</f>
        <v>0</v>
      </c>
      <c r="N1241" s="27">
        <f>IF($M1241="","",IF($F1241="Compareceu",$M1241,0))</f>
        <v>0</v>
      </c>
      <c r="O1241" s="27">
        <f>IF($M1241="","",IF($F1241="Faltou",$M1241,0))</f>
        <v>0</v>
      </c>
      <c r="P1241" s="27">
        <f>IF($M1241="","",IF($F1241="Compareceu",MAX(0,$M1241-N($H1241)),0))</f>
        <v>0</v>
      </c>
      <c r="Q1241" s="19">
        <f>IF(AND($F1241="Compareceu",$E1241&lt;&gt;"",$A1241&lt;&gt;""),IF(IFERROR(INDEX(ProcRet,MATCH($E1241,ProcNome,0)),0)&gt;0,$A1241+INDEX(ProcRet,MATCH($E1241,ProcNome,0)),""),"")</f>
        <v>0</v>
      </c>
      <c r="R1241" s="26">
        <f>IF($Q1241="","",IF(COUNTIFS(AgPac,$D1241,AgData,"&gt;"&amp;$A1241,AgStatus,"&lt;&gt;Cancelado",AgStatus,"&lt;&gt;Remarcado")&gt;0,"Sim","Não"))</f>
        <v>0</v>
      </c>
      <c r="S1241" s="28">
        <f>IF($A1241="","",IF(AND($F1241="Agendado",$A1241-Hoje&gt;=0,$A1241-Hoje&lt;=DiasConf),"CONFIRMAR",IF(AND($A1241&lt;Hoje,OR($F1241="Agendado",$F1241="Confirmado")),"Atualizar status",IF(AND($F1241="Compareceu",$P1241&gt;0.005),"Cobrar",IF($F1241="Faltou","Falta: reagendar","")))))</f>
        <v>0</v>
      </c>
      <c r="T1241" s="29">
        <f>IF($A1241="","",DATE(YEAR($A1241),MONTH($A1241),1))</f>
        <v>0</v>
      </c>
      <c r="U1241" s="30">
        <f>IF($S1241="CONFIRMAR",MAX($U$4:$U1240)+1,"")</f>
        <v>0</v>
      </c>
      <c r="V1241" s="30">
        <f>IF(AND($R1241="Não",$Q1241&lt;&gt;"",$Q1241&lt;=Hoje+JanelaRet,$Q1241&gt;=Hoje-60),MAX($V$4:$V1240)+1,"")</f>
        <v>0</v>
      </c>
    </row>
    <row r="1242" spans="1:22">
      <c r="A1242" s="16"/>
      <c r="B1242" s="23"/>
      <c r="C1242" s="15"/>
      <c r="D1242" s="15"/>
      <c r="E1242" s="15"/>
      <c r="F1242" s="24"/>
      <c r="G1242" s="17"/>
      <c r="H1242" s="17"/>
      <c r="I1242" s="15"/>
      <c r="J1242" s="25">
        <f>IF($D1242="","",IFERROR(INDEX(PacNome,MATCH($D1242,PacCod,0)),"Paciente não cadastrado"))</f>
        <v>0</v>
      </c>
      <c r="K1242" s="26">
        <f>IF($D1242="","",IFERROR(INDEX(PacConv,MATCH($D1242,PacCod,0))&amp;"",""))</f>
        <v>0</v>
      </c>
      <c r="L1242" s="26">
        <f>IF($A1242="","",CHOOSE(WEEKDAY($A1242,2),"Seg","Ter","Qua","Qui","Sex","Sáb","Dom"))</f>
        <v>0</v>
      </c>
      <c r="M1242" s="27">
        <f>IF($E1242="","",IF($G1242&lt;&gt;"",$G1242,IFERROR(INDEX(ProcValor,MATCH($E1242,ProcNome,0)),0)))</f>
        <v>0</v>
      </c>
      <c r="N1242" s="27">
        <f>IF($M1242="","",IF($F1242="Compareceu",$M1242,0))</f>
        <v>0</v>
      </c>
      <c r="O1242" s="27">
        <f>IF($M1242="","",IF($F1242="Faltou",$M1242,0))</f>
        <v>0</v>
      </c>
      <c r="P1242" s="27">
        <f>IF($M1242="","",IF($F1242="Compareceu",MAX(0,$M1242-N($H1242)),0))</f>
        <v>0</v>
      </c>
      <c r="Q1242" s="19">
        <f>IF(AND($F1242="Compareceu",$E1242&lt;&gt;"",$A1242&lt;&gt;""),IF(IFERROR(INDEX(ProcRet,MATCH($E1242,ProcNome,0)),0)&gt;0,$A1242+INDEX(ProcRet,MATCH($E1242,ProcNome,0)),""),"")</f>
        <v>0</v>
      </c>
      <c r="R1242" s="26">
        <f>IF($Q1242="","",IF(COUNTIFS(AgPac,$D1242,AgData,"&gt;"&amp;$A1242,AgStatus,"&lt;&gt;Cancelado",AgStatus,"&lt;&gt;Remarcado")&gt;0,"Sim","Não"))</f>
        <v>0</v>
      </c>
      <c r="S1242" s="28">
        <f>IF($A1242="","",IF(AND($F1242="Agendado",$A1242-Hoje&gt;=0,$A1242-Hoje&lt;=DiasConf),"CONFIRMAR",IF(AND($A1242&lt;Hoje,OR($F1242="Agendado",$F1242="Confirmado")),"Atualizar status",IF(AND($F1242="Compareceu",$P1242&gt;0.005),"Cobrar",IF($F1242="Faltou","Falta: reagendar","")))))</f>
        <v>0</v>
      </c>
      <c r="T1242" s="29">
        <f>IF($A1242="","",DATE(YEAR($A1242),MONTH($A1242),1))</f>
        <v>0</v>
      </c>
      <c r="U1242" s="30">
        <f>IF($S1242="CONFIRMAR",MAX($U$4:$U1241)+1,"")</f>
        <v>0</v>
      </c>
      <c r="V1242" s="30">
        <f>IF(AND($R1242="Não",$Q1242&lt;&gt;"",$Q1242&lt;=Hoje+JanelaRet,$Q1242&gt;=Hoje-60),MAX($V$4:$V1241)+1,"")</f>
        <v>0</v>
      </c>
    </row>
    <row r="1243" spans="1:22">
      <c r="A1243" s="16"/>
      <c r="B1243" s="23"/>
      <c r="C1243" s="15"/>
      <c r="D1243" s="15"/>
      <c r="E1243" s="15"/>
      <c r="F1243" s="24"/>
      <c r="G1243" s="17"/>
      <c r="H1243" s="17"/>
      <c r="I1243" s="15"/>
      <c r="J1243" s="25">
        <f>IF($D1243="","",IFERROR(INDEX(PacNome,MATCH($D1243,PacCod,0)),"Paciente não cadastrado"))</f>
        <v>0</v>
      </c>
      <c r="K1243" s="26">
        <f>IF($D1243="","",IFERROR(INDEX(PacConv,MATCH($D1243,PacCod,0))&amp;"",""))</f>
        <v>0</v>
      </c>
      <c r="L1243" s="26">
        <f>IF($A1243="","",CHOOSE(WEEKDAY($A1243,2),"Seg","Ter","Qua","Qui","Sex","Sáb","Dom"))</f>
        <v>0</v>
      </c>
      <c r="M1243" s="27">
        <f>IF($E1243="","",IF($G1243&lt;&gt;"",$G1243,IFERROR(INDEX(ProcValor,MATCH($E1243,ProcNome,0)),0)))</f>
        <v>0</v>
      </c>
      <c r="N1243" s="27">
        <f>IF($M1243="","",IF($F1243="Compareceu",$M1243,0))</f>
        <v>0</v>
      </c>
      <c r="O1243" s="27">
        <f>IF($M1243="","",IF($F1243="Faltou",$M1243,0))</f>
        <v>0</v>
      </c>
      <c r="P1243" s="27">
        <f>IF($M1243="","",IF($F1243="Compareceu",MAX(0,$M1243-N($H1243)),0))</f>
        <v>0</v>
      </c>
      <c r="Q1243" s="19">
        <f>IF(AND($F1243="Compareceu",$E1243&lt;&gt;"",$A1243&lt;&gt;""),IF(IFERROR(INDEX(ProcRet,MATCH($E1243,ProcNome,0)),0)&gt;0,$A1243+INDEX(ProcRet,MATCH($E1243,ProcNome,0)),""),"")</f>
        <v>0</v>
      </c>
      <c r="R1243" s="26">
        <f>IF($Q1243="","",IF(COUNTIFS(AgPac,$D1243,AgData,"&gt;"&amp;$A1243,AgStatus,"&lt;&gt;Cancelado",AgStatus,"&lt;&gt;Remarcado")&gt;0,"Sim","Não"))</f>
        <v>0</v>
      </c>
      <c r="S1243" s="28">
        <f>IF($A1243="","",IF(AND($F1243="Agendado",$A1243-Hoje&gt;=0,$A1243-Hoje&lt;=DiasConf),"CONFIRMAR",IF(AND($A1243&lt;Hoje,OR($F1243="Agendado",$F1243="Confirmado")),"Atualizar status",IF(AND($F1243="Compareceu",$P1243&gt;0.005),"Cobrar",IF($F1243="Faltou","Falta: reagendar","")))))</f>
        <v>0</v>
      </c>
      <c r="T1243" s="29">
        <f>IF($A1243="","",DATE(YEAR($A1243),MONTH($A1243),1))</f>
        <v>0</v>
      </c>
      <c r="U1243" s="30">
        <f>IF($S1243="CONFIRMAR",MAX($U$4:$U1242)+1,"")</f>
        <v>0</v>
      </c>
      <c r="V1243" s="30">
        <f>IF(AND($R1243="Não",$Q1243&lt;&gt;"",$Q1243&lt;=Hoje+JanelaRet,$Q1243&gt;=Hoje-60),MAX($V$4:$V1242)+1,"")</f>
        <v>0</v>
      </c>
    </row>
    <row r="1244" spans="1:22">
      <c r="A1244" s="16"/>
      <c r="B1244" s="23"/>
      <c r="C1244" s="15"/>
      <c r="D1244" s="15"/>
      <c r="E1244" s="15"/>
      <c r="F1244" s="24"/>
      <c r="G1244" s="17"/>
      <c r="H1244" s="17"/>
      <c r="I1244" s="15"/>
      <c r="J1244" s="25">
        <f>IF($D1244="","",IFERROR(INDEX(PacNome,MATCH($D1244,PacCod,0)),"Paciente não cadastrado"))</f>
        <v>0</v>
      </c>
      <c r="K1244" s="26">
        <f>IF($D1244="","",IFERROR(INDEX(PacConv,MATCH($D1244,PacCod,0))&amp;"",""))</f>
        <v>0</v>
      </c>
      <c r="L1244" s="26">
        <f>IF($A1244="","",CHOOSE(WEEKDAY($A1244,2),"Seg","Ter","Qua","Qui","Sex","Sáb","Dom"))</f>
        <v>0</v>
      </c>
      <c r="M1244" s="27">
        <f>IF($E1244="","",IF($G1244&lt;&gt;"",$G1244,IFERROR(INDEX(ProcValor,MATCH($E1244,ProcNome,0)),0)))</f>
        <v>0</v>
      </c>
      <c r="N1244" s="27">
        <f>IF($M1244="","",IF($F1244="Compareceu",$M1244,0))</f>
        <v>0</v>
      </c>
      <c r="O1244" s="27">
        <f>IF($M1244="","",IF($F1244="Faltou",$M1244,0))</f>
        <v>0</v>
      </c>
      <c r="P1244" s="27">
        <f>IF($M1244="","",IF($F1244="Compareceu",MAX(0,$M1244-N($H1244)),0))</f>
        <v>0</v>
      </c>
      <c r="Q1244" s="19">
        <f>IF(AND($F1244="Compareceu",$E1244&lt;&gt;"",$A1244&lt;&gt;""),IF(IFERROR(INDEX(ProcRet,MATCH($E1244,ProcNome,0)),0)&gt;0,$A1244+INDEX(ProcRet,MATCH($E1244,ProcNome,0)),""),"")</f>
        <v>0</v>
      </c>
      <c r="R1244" s="26">
        <f>IF($Q1244="","",IF(COUNTIFS(AgPac,$D1244,AgData,"&gt;"&amp;$A1244,AgStatus,"&lt;&gt;Cancelado",AgStatus,"&lt;&gt;Remarcado")&gt;0,"Sim","Não"))</f>
        <v>0</v>
      </c>
      <c r="S1244" s="28">
        <f>IF($A1244="","",IF(AND($F1244="Agendado",$A1244-Hoje&gt;=0,$A1244-Hoje&lt;=DiasConf),"CONFIRMAR",IF(AND($A1244&lt;Hoje,OR($F1244="Agendado",$F1244="Confirmado")),"Atualizar status",IF(AND($F1244="Compareceu",$P1244&gt;0.005),"Cobrar",IF($F1244="Faltou","Falta: reagendar","")))))</f>
        <v>0</v>
      </c>
      <c r="T1244" s="29">
        <f>IF($A1244="","",DATE(YEAR($A1244),MONTH($A1244),1))</f>
        <v>0</v>
      </c>
      <c r="U1244" s="30">
        <f>IF($S1244="CONFIRMAR",MAX($U$4:$U1243)+1,"")</f>
        <v>0</v>
      </c>
      <c r="V1244" s="30">
        <f>IF(AND($R1244="Não",$Q1244&lt;&gt;"",$Q1244&lt;=Hoje+JanelaRet,$Q1244&gt;=Hoje-60),MAX($V$4:$V1243)+1,"")</f>
        <v>0</v>
      </c>
    </row>
    <row r="1245" spans="1:22">
      <c r="A1245" s="16"/>
      <c r="B1245" s="23"/>
      <c r="C1245" s="15"/>
      <c r="D1245" s="15"/>
      <c r="E1245" s="15"/>
      <c r="F1245" s="24"/>
      <c r="G1245" s="17"/>
      <c r="H1245" s="17"/>
      <c r="I1245" s="15"/>
      <c r="J1245" s="25">
        <f>IF($D1245="","",IFERROR(INDEX(PacNome,MATCH($D1245,PacCod,0)),"Paciente não cadastrado"))</f>
        <v>0</v>
      </c>
      <c r="K1245" s="26">
        <f>IF($D1245="","",IFERROR(INDEX(PacConv,MATCH($D1245,PacCod,0))&amp;"",""))</f>
        <v>0</v>
      </c>
      <c r="L1245" s="26">
        <f>IF($A1245="","",CHOOSE(WEEKDAY($A1245,2),"Seg","Ter","Qua","Qui","Sex","Sáb","Dom"))</f>
        <v>0</v>
      </c>
      <c r="M1245" s="27">
        <f>IF($E1245="","",IF($G1245&lt;&gt;"",$G1245,IFERROR(INDEX(ProcValor,MATCH($E1245,ProcNome,0)),0)))</f>
        <v>0</v>
      </c>
      <c r="N1245" s="27">
        <f>IF($M1245="","",IF($F1245="Compareceu",$M1245,0))</f>
        <v>0</v>
      </c>
      <c r="O1245" s="27">
        <f>IF($M1245="","",IF($F1245="Faltou",$M1245,0))</f>
        <v>0</v>
      </c>
      <c r="P1245" s="27">
        <f>IF($M1245="","",IF($F1245="Compareceu",MAX(0,$M1245-N($H1245)),0))</f>
        <v>0</v>
      </c>
      <c r="Q1245" s="19">
        <f>IF(AND($F1245="Compareceu",$E1245&lt;&gt;"",$A1245&lt;&gt;""),IF(IFERROR(INDEX(ProcRet,MATCH($E1245,ProcNome,0)),0)&gt;0,$A1245+INDEX(ProcRet,MATCH($E1245,ProcNome,0)),""),"")</f>
        <v>0</v>
      </c>
      <c r="R1245" s="26">
        <f>IF($Q1245="","",IF(COUNTIFS(AgPac,$D1245,AgData,"&gt;"&amp;$A1245,AgStatus,"&lt;&gt;Cancelado",AgStatus,"&lt;&gt;Remarcado")&gt;0,"Sim","Não"))</f>
        <v>0</v>
      </c>
      <c r="S1245" s="28">
        <f>IF($A1245="","",IF(AND($F1245="Agendado",$A1245-Hoje&gt;=0,$A1245-Hoje&lt;=DiasConf),"CONFIRMAR",IF(AND($A1245&lt;Hoje,OR($F1245="Agendado",$F1245="Confirmado")),"Atualizar status",IF(AND($F1245="Compareceu",$P1245&gt;0.005),"Cobrar",IF($F1245="Faltou","Falta: reagendar","")))))</f>
        <v>0</v>
      </c>
      <c r="T1245" s="29">
        <f>IF($A1245="","",DATE(YEAR($A1245),MONTH($A1245),1))</f>
        <v>0</v>
      </c>
      <c r="U1245" s="30">
        <f>IF($S1245="CONFIRMAR",MAX($U$4:$U1244)+1,"")</f>
        <v>0</v>
      </c>
      <c r="V1245" s="30">
        <f>IF(AND($R1245="Não",$Q1245&lt;&gt;"",$Q1245&lt;=Hoje+JanelaRet,$Q1245&gt;=Hoje-60),MAX($V$4:$V1244)+1,"")</f>
        <v>0</v>
      </c>
    </row>
    <row r="1246" spans="1:22">
      <c r="A1246" s="16"/>
      <c r="B1246" s="23"/>
      <c r="C1246" s="15"/>
      <c r="D1246" s="15"/>
      <c r="E1246" s="15"/>
      <c r="F1246" s="24"/>
      <c r="G1246" s="17"/>
      <c r="H1246" s="17"/>
      <c r="I1246" s="15"/>
      <c r="J1246" s="25">
        <f>IF($D1246="","",IFERROR(INDEX(PacNome,MATCH($D1246,PacCod,0)),"Paciente não cadastrado"))</f>
        <v>0</v>
      </c>
      <c r="K1246" s="26">
        <f>IF($D1246="","",IFERROR(INDEX(PacConv,MATCH($D1246,PacCod,0))&amp;"",""))</f>
        <v>0</v>
      </c>
      <c r="L1246" s="26">
        <f>IF($A1246="","",CHOOSE(WEEKDAY($A1246,2),"Seg","Ter","Qua","Qui","Sex","Sáb","Dom"))</f>
        <v>0</v>
      </c>
      <c r="M1246" s="27">
        <f>IF($E1246="","",IF($G1246&lt;&gt;"",$G1246,IFERROR(INDEX(ProcValor,MATCH($E1246,ProcNome,0)),0)))</f>
        <v>0</v>
      </c>
      <c r="N1246" s="27">
        <f>IF($M1246="","",IF($F1246="Compareceu",$M1246,0))</f>
        <v>0</v>
      </c>
      <c r="O1246" s="27">
        <f>IF($M1246="","",IF($F1246="Faltou",$M1246,0))</f>
        <v>0</v>
      </c>
      <c r="P1246" s="27">
        <f>IF($M1246="","",IF($F1246="Compareceu",MAX(0,$M1246-N($H1246)),0))</f>
        <v>0</v>
      </c>
      <c r="Q1246" s="19">
        <f>IF(AND($F1246="Compareceu",$E1246&lt;&gt;"",$A1246&lt;&gt;""),IF(IFERROR(INDEX(ProcRet,MATCH($E1246,ProcNome,0)),0)&gt;0,$A1246+INDEX(ProcRet,MATCH($E1246,ProcNome,0)),""),"")</f>
        <v>0</v>
      </c>
      <c r="R1246" s="26">
        <f>IF($Q1246="","",IF(COUNTIFS(AgPac,$D1246,AgData,"&gt;"&amp;$A1246,AgStatus,"&lt;&gt;Cancelado",AgStatus,"&lt;&gt;Remarcado")&gt;0,"Sim","Não"))</f>
        <v>0</v>
      </c>
      <c r="S1246" s="28">
        <f>IF($A1246="","",IF(AND($F1246="Agendado",$A1246-Hoje&gt;=0,$A1246-Hoje&lt;=DiasConf),"CONFIRMAR",IF(AND($A1246&lt;Hoje,OR($F1246="Agendado",$F1246="Confirmado")),"Atualizar status",IF(AND($F1246="Compareceu",$P1246&gt;0.005),"Cobrar",IF($F1246="Faltou","Falta: reagendar","")))))</f>
        <v>0</v>
      </c>
      <c r="T1246" s="29">
        <f>IF($A1246="","",DATE(YEAR($A1246),MONTH($A1246),1))</f>
        <v>0</v>
      </c>
      <c r="U1246" s="30">
        <f>IF($S1246="CONFIRMAR",MAX($U$4:$U1245)+1,"")</f>
        <v>0</v>
      </c>
      <c r="V1246" s="30">
        <f>IF(AND($R1246="Não",$Q1246&lt;&gt;"",$Q1246&lt;=Hoje+JanelaRet,$Q1246&gt;=Hoje-60),MAX($V$4:$V1245)+1,"")</f>
        <v>0</v>
      </c>
    </row>
    <row r="1247" spans="1:22">
      <c r="A1247" s="16"/>
      <c r="B1247" s="23"/>
      <c r="C1247" s="15"/>
      <c r="D1247" s="15"/>
      <c r="E1247" s="15"/>
      <c r="F1247" s="24"/>
      <c r="G1247" s="17"/>
      <c r="H1247" s="17"/>
      <c r="I1247" s="15"/>
      <c r="J1247" s="25">
        <f>IF($D1247="","",IFERROR(INDEX(PacNome,MATCH($D1247,PacCod,0)),"Paciente não cadastrado"))</f>
        <v>0</v>
      </c>
      <c r="K1247" s="26">
        <f>IF($D1247="","",IFERROR(INDEX(PacConv,MATCH($D1247,PacCod,0))&amp;"",""))</f>
        <v>0</v>
      </c>
      <c r="L1247" s="26">
        <f>IF($A1247="","",CHOOSE(WEEKDAY($A1247,2),"Seg","Ter","Qua","Qui","Sex","Sáb","Dom"))</f>
        <v>0</v>
      </c>
      <c r="M1247" s="27">
        <f>IF($E1247="","",IF($G1247&lt;&gt;"",$G1247,IFERROR(INDEX(ProcValor,MATCH($E1247,ProcNome,0)),0)))</f>
        <v>0</v>
      </c>
      <c r="N1247" s="27">
        <f>IF($M1247="","",IF($F1247="Compareceu",$M1247,0))</f>
        <v>0</v>
      </c>
      <c r="O1247" s="27">
        <f>IF($M1247="","",IF($F1247="Faltou",$M1247,0))</f>
        <v>0</v>
      </c>
      <c r="P1247" s="27">
        <f>IF($M1247="","",IF($F1247="Compareceu",MAX(0,$M1247-N($H1247)),0))</f>
        <v>0</v>
      </c>
      <c r="Q1247" s="19">
        <f>IF(AND($F1247="Compareceu",$E1247&lt;&gt;"",$A1247&lt;&gt;""),IF(IFERROR(INDEX(ProcRet,MATCH($E1247,ProcNome,0)),0)&gt;0,$A1247+INDEX(ProcRet,MATCH($E1247,ProcNome,0)),""),"")</f>
        <v>0</v>
      </c>
      <c r="R1247" s="26">
        <f>IF($Q1247="","",IF(COUNTIFS(AgPac,$D1247,AgData,"&gt;"&amp;$A1247,AgStatus,"&lt;&gt;Cancelado",AgStatus,"&lt;&gt;Remarcado")&gt;0,"Sim","Não"))</f>
        <v>0</v>
      </c>
      <c r="S1247" s="28">
        <f>IF($A1247="","",IF(AND($F1247="Agendado",$A1247-Hoje&gt;=0,$A1247-Hoje&lt;=DiasConf),"CONFIRMAR",IF(AND($A1247&lt;Hoje,OR($F1247="Agendado",$F1247="Confirmado")),"Atualizar status",IF(AND($F1247="Compareceu",$P1247&gt;0.005),"Cobrar",IF($F1247="Faltou","Falta: reagendar","")))))</f>
        <v>0</v>
      </c>
      <c r="T1247" s="29">
        <f>IF($A1247="","",DATE(YEAR($A1247),MONTH($A1247),1))</f>
        <v>0</v>
      </c>
      <c r="U1247" s="30">
        <f>IF($S1247="CONFIRMAR",MAX($U$4:$U1246)+1,"")</f>
        <v>0</v>
      </c>
      <c r="V1247" s="30">
        <f>IF(AND($R1247="Não",$Q1247&lt;&gt;"",$Q1247&lt;=Hoje+JanelaRet,$Q1247&gt;=Hoje-60),MAX($V$4:$V1246)+1,"")</f>
        <v>0</v>
      </c>
    </row>
    <row r="1248" spans="1:22">
      <c r="A1248" s="16"/>
      <c r="B1248" s="23"/>
      <c r="C1248" s="15"/>
      <c r="D1248" s="15"/>
      <c r="E1248" s="15"/>
      <c r="F1248" s="24"/>
      <c r="G1248" s="17"/>
      <c r="H1248" s="17"/>
      <c r="I1248" s="15"/>
      <c r="J1248" s="25">
        <f>IF($D1248="","",IFERROR(INDEX(PacNome,MATCH($D1248,PacCod,0)),"Paciente não cadastrado"))</f>
        <v>0</v>
      </c>
      <c r="K1248" s="26">
        <f>IF($D1248="","",IFERROR(INDEX(PacConv,MATCH($D1248,PacCod,0))&amp;"",""))</f>
        <v>0</v>
      </c>
      <c r="L1248" s="26">
        <f>IF($A1248="","",CHOOSE(WEEKDAY($A1248,2),"Seg","Ter","Qua","Qui","Sex","Sáb","Dom"))</f>
        <v>0</v>
      </c>
      <c r="M1248" s="27">
        <f>IF($E1248="","",IF($G1248&lt;&gt;"",$G1248,IFERROR(INDEX(ProcValor,MATCH($E1248,ProcNome,0)),0)))</f>
        <v>0</v>
      </c>
      <c r="N1248" s="27">
        <f>IF($M1248="","",IF($F1248="Compareceu",$M1248,0))</f>
        <v>0</v>
      </c>
      <c r="O1248" s="27">
        <f>IF($M1248="","",IF($F1248="Faltou",$M1248,0))</f>
        <v>0</v>
      </c>
      <c r="P1248" s="27">
        <f>IF($M1248="","",IF($F1248="Compareceu",MAX(0,$M1248-N($H1248)),0))</f>
        <v>0</v>
      </c>
      <c r="Q1248" s="19">
        <f>IF(AND($F1248="Compareceu",$E1248&lt;&gt;"",$A1248&lt;&gt;""),IF(IFERROR(INDEX(ProcRet,MATCH($E1248,ProcNome,0)),0)&gt;0,$A1248+INDEX(ProcRet,MATCH($E1248,ProcNome,0)),""),"")</f>
        <v>0</v>
      </c>
      <c r="R1248" s="26">
        <f>IF($Q1248="","",IF(COUNTIFS(AgPac,$D1248,AgData,"&gt;"&amp;$A1248,AgStatus,"&lt;&gt;Cancelado",AgStatus,"&lt;&gt;Remarcado")&gt;0,"Sim","Não"))</f>
        <v>0</v>
      </c>
      <c r="S1248" s="28">
        <f>IF($A1248="","",IF(AND($F1248="Agendado",$A1248-Hoje&gt;=0,$A1248-Hoje&lt;=DiasConf),"CONFIRMAR",IF(AND($A1248&lt;Hoje,OR($F1248="Agendado",$F1248="Confirmado")),"Atualizar status",IF(AND($F1248="Compareceu",$P1248&gt;0.005),"Cobrar",IF($F1248="Faltou","Falta: reagendar","")))))</f>
        <v>0</v>
      </c>
      <c r="T1248" s="29">
        <f>IF($A1248="","",DATE(YEAR($A1248),MONTH($A1248),1))</f>
        <v>0</v>
      </c>
      <c r="U1248" s="30">
        <f>IF($S1248="CONFIRMAR",MAX($U$4:$U1247)+1,"")</f>
        <v>0</v>
      </c>
      <c r="V1248" s="30">
        <f>IF(AND($R1248="Não",$Q1248&lt;&gt;"",$Q1248&lt;=Hoje+JanelaRet,$Q1248&gt;=Hoje-60),MAX($V$4:$V1247)+1,"")</f>
        <v>0</v>
      </c>
    </row>
    <row r="1249" spans="1:22">
      <c r="A1249" s="16"/>
      <c r="B1249" s="23"/>
      <c r="C1249" s="15"/>
      <c r="D1249" s="15"/>
      <c r="E1249" s="15"/>
      <c r="F1249" s="24"/>
      <c r="G1249" s="17"/>
      <c r="H1249" s="17"/>
      <c r="I1249" s="15"/>
      <c r="J1249" s="25">
        <f>IF($D1249="","",IFERROR(INDEX(PacNome,MATCH($D1249,PacCod,0)),"Paciente não cadastrado"))</f>
        <v>0</v>
      </c>
      <c r="K1249" s="26">
        <f>IF($D1249="","",IFERROR(INDEX(PacConv,MATCH($D1249,PacCod,0))&amp;"",""))</f>
        <v>0</v>
      </c>
      <c r="L1249" s="26">
        <f>IF($A1249="","",CHOOSE(WEEKDAY($A1249,2),"Seg","Ter","Qua","Qui","Sex","Sáb","Dom"))</f>
        <v>0</v>
      </c>
      <c r="M1249" s="27">
        <f>IF($E1249="","",IF($G1249&lt;&gt;"",$G1249,IFERROR(INDEX(ProcValor,MATCH($E1249,ProcNome,0)),0)))</f>
        <v>0</v>
      </c>
      <c r="N1249" s="27">
        <f>IF($M1249="","",IF($F1249="Compareceu",$M1249,0))</f>
        <v>0</v>
      </c>
      <c r="O1249" s="27">
        <f>IF($M1249="","",IF($F1249="Faltou",$M1249,0))</f>
        <v>0</v>
      </c>
      <c r="P1249" s="27">
        <f>IF($M1249="","",IF($F1249="Compareceu",MAX(0,$M1249-N($H1249)),0))</f>
        <v>0</v>
      </c>
      <c r="Q1249" s="19">
        <f>IF(AND($F1249="Compareceu",$E1249&lt;&gt;"",$A1249&lt;&gt;""),IF(IFERROR(INDEX(ProcRet,MATCH($E1249,ProcNome,0)),0)&gt;0,$A1249+INDEX(ProcRet,MATCH($E1249,ProcNome,0)),""),"")</f>
        <v>0</v>
      </c>
      <c r="R1249" s="26">
        <f>IF($Q1249="","",IF(COUNTIFS(AgPac,$D1249,AgData,"&gt;"&amp;$A1249,AgStatus,"&lt;&gt;Cancelado",AgStatus,"&lt;&gt;Remarcado")&gt;0,"Sim","Não"))</f>
        <v>0</v>
      </c>
      <c r="S1249" s="28">
        <f>IF($A1249="","",IF(AND($F1249="Agendado",$A1249-Hoje&gt;=0,$A1249-Hoje&lt;=DiasConf),"CONFIRMAR",IF(AND($A1249&lt;Hoje,OR($F1249="Agendado",$F1249="Confirmado")),"Atualizar status",IF(AND($F1249="Compareceu",$P1249&gt;0.005),"Cobrar",IF($F1249="Faltou","Falta: reagendar","")))))</f>
        <v>0</v>
      </c>
      <c r="T1249" s="29">
        <f>IF($A1249="","",DATE(YEAR($A1249),MONTH($A1249),1))</f>
        <v>0</v>
      </c>
      <c r="U1249" s="30">
        <f>IF($S1249="CONFIRMAR",MAX($U$4:$U1248)+1,"")</f>
        <v>0</v>
      </c>
      <c r="V1249" s="30">
        <f>IF(AND($R1249="Não",$Q1249&lt;&gt;"",$Q1249&lt;=Hoje+JanelaRet,$Q1249&gt;=Hoje-60),MAX($V$4:$V1248)+1,"")</f>
        <v>0</v>
      </c>
    </row>
    <row r="1250" spans="1:22">
      <c r="A1250" s="16"/>
      <c r="B1250" s="23"/>
      <c r="C1250" s="15"/>
      <c r="D1250" s="15"/>
      <c r="E1250" s="15"/>
      <c r="F1250" s="24"/>
      <c r="G1250" s="17"/>
      <c r="H1250" s="17"/>
      <c r="I1250" s="15"/>
      <c r="J1250" s="25">
        <f>IF($D1250="","",IFERROR(INDEX(PacNome,MATCH($D1250,PacCod,0)),"Paciente não cadastrado"))</f>
        <v>0</v>
      </c>
      <c r="K1250" s="26">
        <f>IF($D1250="","",IFERROR(INDEX(PacConv,MATCH($D1250,PacCod,0))&amp;"",""))</f>
        <v>0</v>
      </c>
      <c r="L1250" s="26">
        <f>IF($A1250="","",CHOOSE(WEEKDAY($A1250,2),"Seg","Ter","Qua","Qui","Sex","Sáb","Dom"))</f>
        <v>0</v>
      </c>
      <c r="M1250" s="27">
        <f>IF($E1250="","",IF($G1250&lt;&gt;"",$G1250,IFERROR(INDEX(ProcValor,MATCH($E1250,ProcNome,0)),0)))</f>
        <v>0</v>
      </c>
      <c r="N1250" s="27">
        <f>IF($M1250="","",IF($F1250="Compareceu",$M1250,0))</f>
        <v>0</v>
      </c>
      <c r="O1250" s="27">
        <f>IF($M1250="","",IF($F1250="Faltou",$M1250,0))</f>
        <v>0</v>
      </c>
      <c r="P1250" s="27">
        <f>IF($M1250="","",IF($F1250="Compareceu",MAX(0,$M1250-N($H1250)),0))</f>
        <v>0</v>
      </c>
      <c r="Q1250" s="19">
        <f>IF(AND($F1250="Compareceu",$E1250&lt;&gt;"",$A1250&lt;&gt;""),IF(IFERROR(INDEX(ProcRet,MATCH($E1250,ProcNome,0)),0)&gt;0,$A1250+INDEX(ProcRet,MATCH($E1250,ProcNome,0)),""),"")</f>
        <v>0</v>
      </c>
      <c r="R1250" s="26">
        <f>IF($Q1250="","",IF(COUNTIFS(AgPac,$D1250,AgData,"&gt;"&amp;$A1250,AgStatus,"&lt;&gt;Cancelado",AgStatus,"&lt;&gt;Remarcado")&gt;0,"Sim","Não"))</f>
        <v>0</v>
      </c>
      <c r="S1250" s="28">
        <f>IF($A1250="","",IF(AND($F1250="Agendado",$A1250-Hoje&gt;=0,$A1250-Hoje&lt;=DiasConf),"CONFIRMAR",IF(AND($A1250&lt;Hoje,OR($F1250="Agendado",$F1250="Confirmado")),"Atualizar status",IF(AND($F1250="Compareceu",$P1250&gt;0.005),"Cobrar",IF($F1250="Faltou","Falta: reagendar","")))))</f>
        <v>0</v>
      </c>
      <c r="T1250" s="29">
        <f>IF($A1250="","",DATE(YEAR($A1250),MONTH($A1250),1))</f>
        <v>0</v>
      </c>
      <c r="U1250" s="30">
        <f>IF($S1250="CONFIRMAR",MAX($U$4:$U1249)+1,"")</f>
        <v>0</v>
      </c>
      <c r="V1250" s="30">
        <f>IF(AND($R1250="Não",$Q1250&lt;&gt;"",$Q1250&lt;=Hoje+JanelaRet,$Q1250&gt;=Hoje-60),MAX($V$4:$V1249)+1,"")</f>
        <v>0</v>
      </c>
    </row>
    <row r="1251" spans="1:22">
      <c r="A1251" s="16"/>
      <c r="B1251" s="23"/>
      <c r="C1251" s="15"/>
      <c r="D1251" s="15"/>
      <c r="E1251" s="15"/>
      <c r="F1251" s="24"/>
      <c r="G1251" s="17"/>
      <c r="H1251" s="17"/>
      <c r="I1251" s="15"/>
      <c r="J1251" s="25">
        <f>IF($D1251="","",IFERROR(INDEX(PacNome,MATCH($D1251,PacCod,0)),"Paciente não cadastrado"))</f>
        <v>0</v>
      </c>
      <c r="K1251" s="26">
        <f>IF($D1251="","",IFERROR(INDEX(PacConv,MATCH($D1251,PacCod,0))&amp;"",""))</f>
        <v>0</v>
      </c>
      <c r="L1251" s="26">
        <f>IF($A1251="","",CHOOSE(WEEKDAY($A1251,2),"Seg","Ter","Qua","Qui","Sex","Sáb","Dom"))</f>
        <v>0</v>
      </c>
      <c r="M1251" s="27">
        <f>IF($E1251="","",IF($G1251&lt;&gt;"",$G1251,IFERROR(INDEX(ProcValor,MATCH($E1251,ProcNome,0)),0)))</f>
        <v>0</v>
      </c>
      <c r="N1251" s="27">
        <f>IF($M1251="","",IF($F1251="Compareceu",$M1251,0))</f>
        <v>0</v>
      </c>
      <c r="O1251" s="27">
        <f>IF($M1251="","",IF($F1251="Faltou",$M1251,0))</f>
        <v>0</v>
      </c>
      <c r="P1251" s="27">
        <f>IF($M1251="","",IF($F1251="Compareceu",MAX(0,$M1251-N($H1251)),0))</f>
        <v>0</v>
      </c>
      <c r="Q1251" s="19">
        <f>IF(AND($F1251="Compareceu",$E1251&lt;&gt;"",$A1251&lt;&gt;""),IF(IFERROR(INDEX(ProcRet,MATCH($E1251,ProcNome,0)),0)&gt;0,$A1251+INDEX(ProcRet,MATCH($E1251,ProcNome,0)),""),"")</f>
        <v>0</v>
      </c>
      <c r="R1251" s="26">
        <f>IF($Q1251="","",IF(COUNTIFS(AgPac,$D1251,AgData,"&gt;"&amp;$A1251,AgStatus,"&lt;&gt;Cancelado",AgStatus,"&lt;&gt;Remarcado")&gt;0,"Sim","Não"))</f>
        <v>0</v>
      </c>
      <c r="S1251" s="28">
        <f>IF($A1251="","",IF(AND($F1251="Agendado",$A1251-Hoje&gt;=0,$A1251-Hoje&lt;=DiasConf),"CONFIRMAR",IF(AND($A1251&lt;Hoje,OR($F1251="Agendado",$F1251="Confirmado")),"Atualizar status",IF(AND($F1251="Compareceu",$P1251&gt;0.005),"Cobrar",IF($F1251="Faltou","Falta: reagendar","")))))</f>
        <v>0</v>
      </c>
      <c r="T1251" s="29">
        <f>IF($A1251="","",DATE(YEAR($A1251),MONTH($A1251),1))</f>
        <v>0</v>
      </c>
      <c r="U1251" s="30">
        <f>IF($S1251="CONFIRMAR",MAX($U$4:$U1250)+1,"")</f>
        <v>0</v>
      </c>
      <c r="V1251" s="30">
        <f>IF(AND($R1251="Não",$Q1251&lt;&gt;"",$Q1251&lt;=Hoje+JanelaRet,$Q1251&gt;=Hoje-60),MAX($V$4:$V1250)+1,"")</f>
        <v>0</v>
      </c>
    </row>
    <row r="1252" spans="1:22">
      <c r="A1252" s="16"/>
      <c r="B1252" s="23"/>
      <c r="C1252" s="15"/>
      <c r="D1252" s="15"/>
      <c r="E1252" s="15"/>
      <c r="F1252" s="24"/>
      <c r="G1252" s="17"/>
      <c r="H1252" s="17"/>
      <c r="I1252" s="15"/>
      <c r="J1252" s="25">
        <f>IF($D1252="","",IFERROR(INDEX(PacNome,MATCH($D1252,PacCod,0)),"Paciente não cadastrado"))</f>
        <v>0</v>
      </c>
      <c r="K1252" s="26">
        <f>IF($D1252="","",IFERROR(INDEX(PacConv,MATCH($D1252,PacCod,0))&amp;"",""))</f>
        <v>0</v>
      </c>
      <c r="L1252" s="26">
        <f>IF($A1252="","",CHOOSE(WEEKDAY($A1252,2),"Seg","Ter","Qua","Qui","Sex","Sáb","Dom"))</f>
        <v>0</v>
      </c>
      <c r="M1252" s="27">
        <f>IF($E1252="","",IF($G1252&lt;&gt;"",$G1252,IFERROR(INDEX(ProcValor,MATCH($E1252,ProcNome,0)),0)))</f>
        <v>0</v>
      </c>
      <c r="N1252" s="27">
        <f>IF($M1252="","",IF($F1252="Compareceu",$M1252,0))</f>
        <v>0</v>
      </c>
      <c r="O1252" s="27">
        <f>IF($M1252="","",IF($F1252="Faltou",$M1252,0))</f>
        <v>0</v>
      </c>
      <c r="P1252" s="27">
        <f>IF($M1252="","",IF($F1252="Compareceu",MAX(0,$M1252-N($H1252)),0))</f>
        <v>0</v>
      </c>
      <c r="Q1252" s="19">
        <f>IF(AND($F1252="Compareceu",$E1252&lt;&gt;"",$A1252&lt;&gt;""),IF(IFERROR(INDEX(ProcRet,MATCH($E1252,ProcNome,0)),0)&gt;0,$A1252+INDEX(ProcRet,MATCH($E1252,ProcNome,0)),""),"")</f>
        <v>0</v>
      </c>
      <c r="R1252" s="26">
        <f>IF($Q1252="","",IF(COUNTIFS(AgPac,$D1252,AgData,"&gt;"&amp;$A1252,AgStatus,"&lt;&gt;Cancelado",AgStatus,"&lt;&gt;Remarcado")&gt;0,"Sim","Não"))</f>
        <v>0</v>
      </c>
      <c r="S1252" s="28">
        <f>IF($A1252="","",IF(AND($F1252="Agendado",$A1252-Hoje&gt;=0,$A1252-Hoje&lt;=DiasConf),"CONFIRMAR",IF(AND($A1252&lt;Hoje,OR($F1252="Agendado",$F1252="Confirmado")),"Atualizar status",IF(AND($F1252="Compareceu",$P1252&gt;0.005),"Cobrar",IF($F1252="Faltou","Falta: reagendar","")))))</f>
        <v>0</v>
      </c>
      <c r="T1252" s="29">
        <f>IF($A1252="","",DATE(YEAR($A1252),MONTH($A1252),1))</f>
        <v>0</v>
      </c>
      <c r="U1252" s="30">
        <f>IF($S1252="CONFIRMAR",MAX($U$4:$U1251)+1,"")</f>
        <v>0</v>
      </c>
      <c r="V1252" s="30">
        <f>IF(AND($R1252="Não",$Q1252&lt;&gt;"",$Q1252&lt;=Hoje+JanelaRet,$Q1252&gt;=Hoje-60),MAX($V$4:$V1251)+1,"")</f>
        <v>0</v>
      </c>
    </row>
    <row r="1253" spans="1:22">
      <c r="A1253" s="16"/>
      <c r="B1253" s="23"/>
      <c r="C1253" s="15"/>
      <c r="D1253" s="15"/>
      <c r="E1253" s="15"/>
      <c r="F1253" s="24"/>
      <c r="G1253" s="17"/>
      <c r="H1253" s="17"/>
      <c r="I1253" s="15"/>
      <c r="J1253" s="25">
        <f>IF($D1253="","",IFERROR(INDEX(PacNome,MATCH($D1253,PacCod,0)),"Paciente não cadastrado"))</f>
        <v>0</v>
      </c>
      <c r="K1253" s="26">
        <f>IF($D1253="","",IFERROR(INDEX(PacConv,MATCH($D1253,PacCod,0))&amp;"",""))</f>
        <v>0</v>
      </c>
      <c r="L1253" s="26">
        <f>IF($A1253="","",CHOOSE(WEEKDAY($A1253,2),"Seg","Ter","Qua","Qui","Sex","Sáb","Dom"))</f>
        <v>0</v>
      </c>
      <c r="M1253" s="27">
        <f>IF($E1253="","",IF($G1253&lt;&gt;"",$G1253,IFERROR(INDEX(ProcValor,MATCH($E1253,ProcNome,0)),0)))</f>
        <v>0</v>
      </c>
      <c r="N1253" s="27">
        <f>IF($M1253="","",IF($F1253="Compareceu",$M1253,0))</f>
        <v>0</v>
      </c>
      <c r="O1253" s="27">
        <f>IF($M1253="","",IF($F1253="Faltou",$M1253,0))</f>
        <v>0</v>
      </c>
      <c r="P1253" s="27">
        <f>IF($M1253="","",IF($F1253="Compareceu",MAX(0,$M1253-N($H1253)),0))</f>
        <v>0</v>
      </c>
      <c r="Q1253" s="19">
        <f>IF(AND($F1253="Compareceu",$E1253&lt;&gt;"",$A1253&lt;&gt;""),IF(IFERROR(INDEX(ProcRet,MATCH($E1253,ProcNome,0)),0)&gt;0,$A1253+INDEX(ProcRet,MATCH($E1253,ProcNome,0)),""),"")</f>
        <v>0</v>
      </c>
      <c r="R1253" s="26">
        <f>IF($Q1253="","",IF(COUNTIFS(AgPac,$D1253,AgData,"&gt;"&amp;$A1253,AgStatus,"&lt;&gt;Cancelado",AgStatus,"&lt;&gt;Remarcado")&gt;0,"Sim","Não"))</f>
        <v>0</v>
      </c>
      <c r="S1253" s="28">
        <f>IF($A1253="","",IF(AND($F1253="Agendado",$A1253-Hoje&gt;=0,$A1253-Hoje&lt;=DiasConf),"CONFIRMAR",IF(AND($A1253&lt;Hoje,OR($F1253="Agendado",$F1253="Confirmado")),"Atualizar status",IF(AND($F1253="Compareceu",$P1253&gt;0.005),"Cobrar",IF($F1253="Faltou","Falta: reagendar","")))))</f>
        <v>0</v>
      </c>
      <c r="T1253" s="29">
        <f>IF($A1253="","",DATE(YEAR($A1253),MONTH($A1253),1))</f>
        <v>0</v>
      </c>
      <c r="U1253" s="30">
        <f>IF($S1253="CONFIRMAR",MAX($U$4:$U1252)+1,"")</f>
        <v>0</v>
      </c>
      <c r="V1253" s="30">
        <f>IF(AND($R1253="Não",$Q1253&lt;&gt;"",$Q1253&lt;=Hoje+JanelaRet,$Q1253&gt;=Hoje-60),MAX($V$4:$V1252)+1,"")</f>
        <v>0</v>
      </c>
    </row>
    <row r="1254" spans="1:22">
      <c r="A1254" s="16"/>
      <c r="B1254" s="23"/>
      <c r="C1254" s="15"/>
      <c r="D1254" s="15"/>
      <c r="E1254" s="15"/>
      <c r="F1254" s="24"/>
      <c r="G1254" s="17"/>
      <c r="H1254" s="17"/>
      <c r="I1254" s="15"/>
      <c r="J1254" s="25">
        <f>IF($D1254="","",IFERROR(INDEX(PacNome,MATCH($D1254,PacCod,0)),"Paciente não cadastrado"))</f>
        <v>0</v>
      </c>
      <c r="K1254" s="26">
        <f>IF($D1254="","",IFERROR(INDEX(PacConv,MATCH($D1254,PacCod,0))&amp;"",""))</f>
        <v>0</v>
      </c>
      <c r="L1254" s="26">
        <f>IF($A1254="","",CHOOSE(WEEKDAY($A1254,2),"Seg","Ter","Qua","Qui","Sex","Sáb","Dom"))</f>
        <v>0</v>
      </c>
      <c r="M1254" s="27">
        <f>IF($E1254="","",IF($G1254&lt;&gt;"",$G1254,IFERROR(INDEX(ProcValor,MATCH($E1254,ProcNome,0)),0)))</f>
        <v>0</v>
      </c>
      <c r="N1254" s="27">
        <f>IF($M1254="","",IF($F1254="Compareceu",$M1254,0))</f>
        <v>0</v>
      </c>
      <c r="O1254" s="27">
        <f>IF($M1254="","",IF($F1254="Faltou",$M1254,0))</f>
        <v>0</v>
      </c>
      <c r="P1254" s="27">
        <f>IF($M1254="","",IF($F1254="Compareceu",MAX(0,$M1254-N($H1254)),0))</f>
        <v>0</v>
      </c>
      <c r="Q1254" s="19">
        <f>IF(AND($F1254="Compareceu",$E1254&lt;&gt;"",$A1254&lt;&gt;""),IF(IFERROR(INDEX(ProcRet,MATCH($E1254,ProcNome,0)),0)&gt;0,$A1254+INDEX(ProcRet,MATCH($E1254,ProcNome,0)),""),"")</f>
        <v>0</v>
      </c>
      <c r="R1254" s="26">
        <f>IF($Q1254="","",IF(COUNTIFS(AgPac,$D1254,AgData,"&gt;"&amp;$A1254,AgStatus,"&lt;&gt;Cancelado",AgStatus,"&lt;&gt;Remarcado")&gt;0,"Sim","Não"))</f>
        <v>0</v>
      </c>
      <c r="S1254" s="28">
        <f>IF($A1254="","",IF(AND($F1254="Agendado",$A1254-Hoje&gt;=0,$A1254-Hoje&lt;=DiasConf),"CONFIRMAR",IF(AND($A1254&lt;Hoje,OR($F1254="Agendado",$F1254="Confirmado")),"Atualizar status",IF(AND($F1254="Compareceu",$P1254&gt;0.005),"Cobrar",IF($F1254="Faltou","Falta: reagendar","")))))</f>
        <v>0</v>
      </c>
      <c r="T1254" s="29">
        <f>IF($A1254="","",DATE(YEAR($A1254),MONTH($A1254),1))</f>
        <v>0</v>
      </c>
      <c r="U1254" s="30">
        <f>IF($S1254="CONFIRMAR",MAX($U$4:$U1253)+1,"")</f>
        <v>0</v>
      </c>
      <c r="V1254" s="30">
        <f>IF(AND($R1254="Não",$Q1254&lt;&gt;"",$Q1254&lt;=Hoje+JanelaRet,$Q1254&gt;=Hoje-60),MAX($V$4:$V1253)+1,"")</f>
        <v>0</v>
      </c>
    </row>
    <row r="1255" spans="1:22">
      <c r="A1255" s="16"/>
      <c r="B1255" s="23"/>
      <c r="C1255" s="15"/>
      <c r="D1255" s="15"/>
      <c r="E1255" s="15"/>
      <c r="F1255" s="24"/>
      <c r="G1255" s="17"/>
      <c r="H1255" s="17"/>
      <c r="I1255" s="15"/>
      <c r="J1255" s="25">
        <f>IF($D1255="","",IFERROR(INDEX(PacNome,MATCH($D1255,PacCod,0)),"Paciente não cadastrado"))</f>
        <v>0</v>
      </c>
      <c r="K1255" s="26">
        <f>IF($D1255="","",IFERROR(INDEX(PacConv,MATCH($D1255,PacCod,0))&amp;"",""))</f>
        <v>0</v>
      </c>
      <c r="L1255" s="26">
        <f>IF($A1255="","",CHOOSE(WEEKDAY($A1255,2),"Seg","Ter","Qua","Qui","Sex","Sáb","Dom"))</f>
        <v>0</v>
      </c>
      <c r="M1255" s="27">
        <f>IF($E1255="","",IF($G1255&lt;&gt;"",$G1255,IFERROR(INDEX(ProcValor,MATCH($E1255,ProcNome,0)),0)))</f>
        <v>0</v>
      </c>
      <c r="N1255" s="27">
        <f>IF($M1255="","",IF($F1255="Compareceu",$M1255,0))</f>
        <v>0</v>
      </c>
      <c r="O1255" s="27">
        <f>IF($M1255="","",IF($F1255="Faltou",$M1255,0))</f>
        <v>0</v>
      </c>
      <c r="P1255" s="27">
        <f>IF($M1255="","",IF($F1255="Compareceu",MAX(0,$M1255-N($H1255)),0))</f>
        <v>0</v>
      </c>
      <c r="Q1255" s="19">
        <f>IF(AND($F1255="Compareceu",$E1255&lt;&gt;"",$A1255&lt;&gt;""),IF(IFERROR(INDEX(ProcRet,MATCH($E1255,ProcNome,0)),0)&gt;0,$A1255+INDEX(ProcRet,MATCH($E1255,ProcNome,0)),""),"")</f>
        <v>0</v>
      </c>
      <c r="R1255" s="26">
        <f>IF($Q1255="","",IF(COUNTIFS(AgPac,$D1255,AgData,"&gt;"&amp;$A1255,AgStatus,"&lt;&gt;Cancelado",AgStatus,"&lt;&gt;Remarcado")&gt;0,"Sim","Não"))</f>
        <v>0</v>
      </c>
      <c r="S1255" s="28">
        <f>IF($A1255="","",IF(AND($F1255="Agendado",$A1255-Hoje&gt;=0,$A1255-Hoje&lt;=DiasConf),"CONFIRMAR",IF(AND($A1255&lt;Hoje,OR($F1255="Agendado",$F1255="Confirmado")),"Atualizar status",IF(AND($F1255="Compareceu",$P1255&gt;0.005),"Cobrar",IF($F1255="Faltou","Falta: reagendar","")))))</f>
        <v>0</v>
      </c>
      <c r="T1255" s="29">
        <f>IF($A1255="","",DATE(YEAR($A1255),MONTH($A1255),1))</f>
        <v>0</v>
      </c>
      <c r="U1255" s="30">
        <f>IF($S1255="CONFIRMAR",MAX($U$4:$U1254)+1,"")</f>
        <v>0</v>
      </c>
      <c r="V1255" s="30">
        <f>IF(AND($R1255="Não",$Q1255&lt;&gt;"",$Q1255&lt;=Hoje+JanelaRet,$Q1255&gt;=Hoje-60),MAX($V$4:$V1254)+1,"")</f>
        <v>0</v>
      </c>
    </row>
    <row r="1256" spans="1:22">
      <c r="A1256" s="16"/>
      <c r="B1256" s="23"/>
      <c r="C1256" s="15"/>
      <c r="D1256" s="15"/>
      <c r="E1256" s="15"/>
      <c r="F1256" s="24"/>
      <c r="G1256" s="17"/>
      <c r="H1256" s="17"/>
      <c r="I1256" s="15"/>
      <c r="J1256" s="25">
        <f>IF($D1256="","",IFERROR(INDEX(PacNome,MATCH($D1256,PacCod,0)),"Paciente não cadastrado"))</f>
        <v>0</v>
      </c>
      <c r="K1256" s="26">
        <f>IF($D1256="","",IFERROR(INDEX(PacConv,MATCH($D1256,PacCod,0))&amp;"",""))</f>
        <v>0</v>
      </c>
      <c r="L1256" s="26">
        <f>IF($A1256="","",CHOOSE(WEEKDAY($A1256,2),"Seg","Ter","Qua","Qui","Sex","Sáb","Dom"))</f>
        <v>0</v>
      </c>
      <c r="M1256" s="27">
        <f>IF($E1256="","",IF($G1256&lt;&gt;"",$G1256,IFERROR(INDEX(ProcValor,MATCH($E1256,ProcNome,0)),0)))</f>
        <v>0</v>
      </c>
      <c r="N1256" s="27">
        <f>IF($M1256="","",IF($F1256="Compareceu",$M1256,0))</f>
        <v>0</v>
      </c>
      <c r="O1256" s="27">
        <f>IF($M1256="","",IF($F1256="Faltou",$M1256,0))</f>
        <v>0</v>
      </c>
      <c r="P1256" s="27">
        <f>IF($M1256="","",IF($F1256="Compareceu",MAX(0,$M1256-N($H1256)),0))</f>
        <v>0</v>
      </c>
      <c r="Q1256" s="19">
        <f>IF(AND($F1256="Compareceu",$E1256&lt;&gt;"",$A1256&lt;&gt;""),IF(IFERROR(INDEX(ProcRet,MATCH($E1256,ProcNome,0)),0)&gt;0,$A1256+INDEX(ProcRet,MATCH($E1256,ProcNome,0)),""),"")</f>
        <v>0</v>
      </c>
      <c r="R1256" s="26">
        <f>IF($Q1256="","",IF(COUNTIFS(AgPac,$D1256,AgData,"&gt;"&amp;$A1256,AgStatus,"&lt;&gt;Cancelado",AgStatus,"&lt;&gt;Remarcado")&gt;0,"Sim","Não"))</f>
        <v>0</v>
      </c>
      <c r="S1256" s="28">
        <f>IF($A1256="","",IF(AND($F1256="Agendado",$A1256-Hoje&gt;=0,$A1256-Hoje&lt;=DiasConf),"CONFIRMAR",IF(AND($A1256&lt;Hoje,OR($F1256="Agendado",$F1256="Confirmado")),"Atualizar status",IF(AND($F1256="Compareceu",$P1256&gt;0.005),"Cobrar",IF($F1256="Faltou","Falta: reagendar","")))))</f>
        <v>0</v>
      </c>
      <c r="T1256" s="29">
        <f>IF($A1256="","",DATE(YEAR($A1256),MONTH($A1256),1))</f>
        <v>0</v>
      </c>
      <c r="U1256" s="30">
        <f>IF($S1256="CONFIRMAR",MAX($U$4:$U1255)+1,"")</f>
        <v>0</v>
      </c>
      <c r="V1256" s="30">
        <f>IF(AND($R1256="Não",$Q1256&lt;&gt;"",$Q1256&lt;=Hoje+JanelaRet,$Q1256&gt;=Hoje-60),MAX($V$4:$V1255)+1,"")</f>
        <v>0</v>
      </c>
    </row>
    <row r="1257" spans="1:22">
      <c r="A1257" s="16"/>
      <c r="B1257" s="23"/>
      <c r="C1257" s="15"/>
      <c r="D1257" s="15"/>
      <c r="E1257" s="15"/>
      <c r="F1257" s="24"/>
      <c r="G1257" s="17"/>
      <c r="H1257" s="17"/>
      <c r="I1257" s="15"/>
      <c r="J1257" s="25">
        <f>IF($D1257="","",IFERROR(INDEX(PacNome,MATCH($D1257,PacCod,0)),"Paciente não cadastrado"))</f>
        <v>0</v>
      </c>
      <c r="K1257" s="26">
        <f>IF($D1257="","",IFERROR(INDEX(PacConv,MATCH($D1257,PacCod,0))&amp;"",""))</f>
        <v>0</v>
      </c>
      <c r="L1257" s="26">
        <f>IF($A1257="","",CHOOSE(WEEKDAY($A1257,2),"Seg","Ter","Qua","Qui","Sex","Sáb","Dom"))</f>
        <v>0</v>
      </c>
      <c r="M1257" s="27">
        <f>IF($E1257="","",IF($G1257&lt;&gt;"",$G1257,IFERROR(INDEX(ProcValor,MATCH($E1257,ProcNome,0)),0)))</f>
        <v>0</v>
      </c>
      <c r="N1257" s="27">
        <f>IF($M1257="","",IF($F1257="Compareceu",$M1257,0))</f>
        <v>0</v>
      </c>
      <c r="O1257" s="27">
        <f>IF($M1257="","",IF($F1257="Faltou",$M1257,0))</f>
        <v>0</v>
      </c>
      <c r="P1257" s="27">
        <f>IF($M1257="","",IF($F1257="Compareceu",MAX(0,$M1257-N($H1257)),0))</f>
        <v>0</v>
      </c>
      <c r="Q1257" s="19">
        <f>IF(AND($F1257="Compareceu",$E1257&lt;&gt;"",$A1257&lt;&gt;""),IF(IFERROR(INDEX(ProcRet,MATCH($E1257,ProcNome,0)),0)&gt;0,$A1257+INDEX(ProcRet,MATCH($E1257,ProcNome,0)),""),"")</f>
        <v>0</v>
      </c>
      <c r="R1257" s="26">
        <f>IF($Q1257="","",IF(COUNTIFS(AgPac,$D1257,AgData,"&gt;"&amp;$A1257,AgStatus,"&lt;&gt;Cancelado",AgStatus,"&lt;&gt;Remarcado")&gt;0,"Sim","Não"))</f>
        <v>0</v>
      </c>
      <c r="S1257" s="28">
        <f>IF($A1257="","",IF(AND($F1257="Agendado",$A1257-Hoje&gt;=0,$A1257-Hoje&lt;=DiasConf),"CONFIRMAR",IF(AND($A1257&lt;Hoje,OR($F1257="Agendado",$F1257="Confirmado")),"Atualizar status",IF(AND($F1257="Compareceu",$P1257&gt;0.005),"Cobrar",IF($F1257="Faltou","Falta: reagendar","")))))</f>
        <v>0</v>
      </c>
      <c r="T1257" s="29">
        <f>IF($A1257="","",DATE(YEAR($A1257),MONTH($A1257),1))</f>
        <v>0</v>
      </c>
      <c r="U1257" s="30">
        <f>IF($S1257="CONFIRMAR",MAX($U$4:$U1256)+1,"")</f>
        <v>0</v>
      </c>
      <c r="V1257" s="30">
        <f>IF(AND($R1257="Não",$Q1257&lt;&gt;"",$Q1257&lt;=Hoje+JanelaRet,$Q1257&gt;=Hoje-60),MAX($V$4:$V1256)+1,"")</f>
        <v>0</v>
      </c>
    </row>
    <row r="1258" spans="1:22">
      <c r="A1258" s="16"/>
      <c r="B1258" s="23"/>
      <c r="C1258" s="15"/>
      <c r="D1258" s="15"/>
      <c r="E1258" s="15"/>
      <c r="F1258" s="24"/>
      <c r="G1258" s="17"/>
      <c r="H1258" s="17"/>
      <c r="I1258" s="15"/>
      <c r="J1258" s="25">
        <f>IF($D1258="","",IFERROR(INDEX(PacNome,MATCH($D1258,PacCod,0)),"Paciente não cadastrado"))</f>
        <v>0</v>
      </c>
      <c r="K1258" s="26">
        <f>IF($D1258="","",IFERROR(INDEX(PacConv,MATCH($D1258,PacCod,0))&amp;"",""))</f>
        <v>0</v>
      </c>
      <c r="L1258" s="26">
        <f>IF($A1258="","",CHOOSE(WEEKDAY($A1258,2),"Seg","Ter","Qua","Qui","Sex","Sáb","Dom"))</f>
        <v>0</v>
      </c>
      <c r="M1258" s="27">
        <f>IF($E1258="","",IF($G1258&lt;&gt;"",$G1258,IFERROR(INDEX(ProcValor,MATCH($E1258,ProcNome,0)),0)))</f>
        <v>0</v>
      </c>
      <c r="N1258" s="27">
        <f>IF($M1258="","",IF($F1258="Compareceu",$M1258,0))</f>
        <v>0</v>
      </c>
      <c r="O1258" s="27">
        <f>IF($M1258="","",IF($F1258="Faltou",$M1258,0))</f>
        <v>0</v>
      </c>
      <c r="P1258" s="27">
        <f>IF($M1258="","",IF($F1258="Compareceu",MAX(0,$M1258-N($H1258)),0))</f>
        <v>0</v>
      </c>
      <c r="Q1258" s="19">
        <f>IF(AND($F1258="Compareceu",$E1258&lt;&gt;"",$A1258&lt;&gt;""),IF(IFERROR(INDEX(ProcRet,MATCH($E1258,ProcNome,0)),0)&gt;0,$A1258+INDEX(ProcRet,MATCH($E1258,ProcNome,0)),""),"")</f>
        <v>0</v>
      </c>
      <c r="R1258" s="26">
        <f>IF($Q1258="","",IF(COUNTIFS(AgPac,$D1258,AgData,"&gt;"&amp;$A1258,AgStatus,"&lt;&gt;Cancelado",AgStatus,"&lt;&gt;Remarcado")&gt;0,"Sim","Não"))</f>
        <v>0</v>
      </c>
      <c r="S1258" s="28">
        <f>IF($A1258="","",IF(AND($F1258="Agendado",$A1258-Hoje&gt;=0,$A1258-Hoje&lt;=DiasConf),"CONFIRMAR",IF(AND($A1258&lt;Hoje,OR($F1258="Agendado",$F1258="Confirmado")),"Atualizar status",IF(AND($F1258="Compareceu",$P1258&gt;0.005),"Cobrar",IF($F1258="Faltou","Falta: reagendar","")))))</f>
        <v>0</v>
      </c>
      <c r="T1258" s="29">
        <f>IF($A1258="","",DATE(YEAR($A1258),MONTH($A1258),1))</f>
        <v>0</v>
      </c>
      <c r="U1258" s="30">
        <f>IF($S1258="CONFIRMAR",MAX($U$4:$U1257)+1,"")</f>
        <v>0</v>
      </c>
      <c r="V1258" s="30">
        <f>IF(AND($R1258="Não",$Q1258&lt;&gt;"",$Q1258&lt;=Hoje+JanelaRet,$Q1258&gt;=Hoje-60),MAX($V$4:$V1257)+1,"")</f>
        <v>0</v>
      </c>
    </row>
    <row r="1259" spans="1:22">
      <c r="A1259" s="16"/>
      <c r="B1259" s="23"/>
      <c r="C1259" s="15"/>
      <c r="D1259" s="15"/>
      <c r="E1259" s="15"/>
      <c r="F1259" s="24"/>
      <c r="G1259" s="17"/>
      <c r="H1259" s="17"/>
      <c r="I1259" s="15"/>
      <c r="J1259" s="25">
        <f>IF($D1259="","",IFERROR(INDEX(PacNome,MATCH($D1259,PacCod,0)),"Paciente não cadastrado"))</f>
        <v>0</v>
      </c>
      <c r="K1259" s="26">
        <f>IF($D1259="","",IFERROR(INDEX(PacConv,MATCH($D1259,PacCod,0))&amp;"",""))</f>
        <v>0</v>
      </c>
      <c r="L1259" s="26">
        <f>IF($A1259="","",CHOOSE(WEEKDAY($A1259,2),"Seg","Ter","Qua","Qui","Sex","Sáb","Dom"))</f>
        <v>0</v>
      </c>
      <c r="M1259" s="27">
        <f>IF($E1259="","",IF($G1259&lt;&gt;"",$G1259,IFERROR(INDEX(ProcValor,MATCH($E1259,ProcNome,0)),0)))</f>
        <v>0</v>
      </c>
      <c r="N1259" s="27">
        <f>IF($M1259="","",IF($F1259="Compareceu",$M1259,0))</f>
        <v>0</v>
      </c>
      <c r="O1259" s="27">
        <f>IF($M1259="","",IF($F1259="Faltou",$M1259,0))</f>
        <v>0</v>
      </c>
      <c r="P1259" s="27">
        <f>IF($M1259="","",IF($F1259="Compareceu",MAX(0,$M1259-N($H1259)),0))</f>
        <v>0</v>
      </c>
      <c r="Q1259" s="19">
        <f>IF(AND($F1259="Compareceu",$E1259&lt;&gt;"",$A1259&lt;&gt;""),IF(IFERROR(INDEX(ProcRet,MATCH($E1259,ProcNome,0)),0)&gt;0,$A1259+INDEX(ProcRet,MATCH($E1259,ProcNome,0)),""),"")</f>
        <v>0</v>
      </c>
      <c r="R1259" s="26">
        <f>IF($Q1259="","",IF(COUNTIFS(AgPac,$D1259,AgData,"&gt;"&amp;$A1259,AgStatus,"&lt;&gt;Cancelado",AgStatus,"&lt;&gt;Remarcado")&gt;0,"Sim","Não"))</f>
        <v>0</v>
      </c>
      <c r="S1259" s="28">
        <f>IF($A1259="","",IF(AND($F1259="Agendado",$A1259-Hoje&gt;=0,$A1259-Hoje&lt;=DiasConf),"CONFIRMAR",IF(AND($A1259&lt;Hoje,OR($F1259="Agendado",$F1259="Confirmado")),"Atualizar status",IF(AND($F1259="Compareceu",$P1259&gt;0.005),"Cobrar",IF($F1259="Faltou","Falta: reagendar","")))))</f>
        <v>0</v>
      </c>
      <c r="T1259" s="29">
        <f>IF($A1259="","",DATE(YEAR($A1259),MONTH($A1259),1))</f>
        <v>0</v>
      </c>
      <c r="U1259" s="30">
        <f>IF($S1259="CONFIRMAR",MAX($U$4:$U1258)+1,"")</f>
        <v>0</v>
      </c>
      <c r="V1259" s="30">
        <f>IF(AND($R1259="Não",$Q1259&lt;&gt;"",$Q1259&lt;=Hoje+JanelaRet,$Q1259&gt;=Hoje-60),MAX($V$4:$V1258)+1,"")</f>
        <v>0</v>
      </c>
    </row>
    <row r="1260" spans="1:22">
      <c r="A1260" s="16"/>
      <c r="B1260" s="23"/>
      <c r="C1260" s="15"/>
      <c r="D1260" s="15"/>
      <c r="E1260" s="15"/>
      <c r="F1260" s="24"/>
      <c r="G1260" s="17"/>
      <c r="H1260" s="17"/>
      <c r="I1260" s="15"/>
      <c r="J1260" s="25">
        <f>IF($D1260="","",IFERROR(INDEX(PacNome,MATCH($D1260,PacCod,0)),"Paciente não cadastrado"))</f>
        <v>0</v>
      </c>
      <c r="K1260" s="26">
        <f>IF($D1260="","",IFERROR(INDEX(PacConv,MATCH($D1260,PacCod,0))&amp;"",""))</f>
        <v>0</v>
      </c>
      <c r="L1260" s="26">
        <f>IF($A1260="","",CHOOSE(WEEKDAY($A1260,2),"Seg","Ter","Qua","Qui","Sex","Sáb","Dom"))</f>
        <v>0</v>
      </c>
      <c r="M1260" s="27">
        <f>IF($E1260="","",IF($G1260&lt;&gt;"",$G1260,IFERROR(INDEX(ProcValor,MATCH($E1260,ProcNome,0)),0)))</f>
        <v>0</v>
      </c>
      <c r="N1260" s="27">
        <f>IF($M1260="","",IF($F1260="Compareceu",$M1260,0))</f>
        <v>0</v>
      </c>
      <c r="O1260" s="27">
        <f>IF($M1260="","",IF($F1260="Faltou",$M1260,0))</f>
        <v>0</v>
      </c>
      <c r="P1260" s="27">
        <f>IF($M1260="","",IF($F1260="Compareceu",MAX(0,$M1260-N($H1260)),0))</f>
        <v>0</v>
      </c>
      <c r="Q1260" s="19">
        <f>IF(AND($F1260="Compareceu",$E1260&lt;&gt;"",$A1260&lt;&gt;""),IF(IFERROR(INDEX(ProcRet,MATCH($E1260,ProcNome,0)),0)&gt;0,$A1260+INDEX(ProcRet,MATCH($E1260,ProcNome,0)),""),"")</f>
        <v>0</v>
      </c>
      <c r="R1260" s="26">
        <f>IF($Q1260="","",IF(COUNTIFS(AgPac,$D1260,AgData,"&gt;"&amp;$A1260,AgStatus,"&lt;&gt;Cancelado",AgStatus,"&lt;&gt;Remarcado")&gt;0,"Sim","Não"))</f>
        <v>0</v>
      </c>
      <c r="S1260" s="28">
        <f>IF($A1260="","",IF(AND($F1260="Agendado",$A1260-Hoje&gt;=0,$A1260-Hoje&lt;=DiasConf),"CONFIRMAR",IF(AND($A1260&lt;Hoje,OR($F1260="Agendado",$F1260="Confirmado")),"Atualizar status",IF(AND($F1260="Compareceu",$P1260&gt;0.005),"Cobrar",IF($F1260="Faltou","Falta: reagendar","")))))</f>
        <v>0</v>
      </c>
      <c r="T1260" s="29">
        <f>IF($A1260="","",DATE(YEAR($A1260),MONTH($A1260),1))</f>
        <v>0</v>
      </c>
      <c r="U1260" s="30">
        <f>IF($S1260="CONFIRMAR",MAX($U$4:$U1259)+1,"")</f>
        <v>0</v>
      </c>
      <c r="V1260" s="30">
        <f>IF(AND($R1260="Não",$Q1260&lt;&gt;"",$Q1260&lt;=Hoje+JanelaRet,$Q1260&gt;=Hoje-60),MAX($V$4:$V1259)+1,"")</f>
        <v>0</v>
      </c>
    </row>
    <row r="1261" spans="1:22">
      <c r="A1261" s="16"/>
      <c r="B1261" s="23"/>
      <c r="C1261" s="15"/>
      <c r="D1261" s="15"/>
      <c r="E1261" s="15"/>
      <c r="F1261" s="24"/>
      <c r="G1261" s="17"/>
      <c r="H1261" s="17"/>
      <c r="I1261" s="15"/>
      <c r="J1261" s="25">
        <f>IF($D1261="","",IFERROR(INDEX(PacNome,MATCH($D1261,PacCod,0)),"Paciente não cadastrado"))</f>
        <v>0</v>
      </c>
      <c r="K1261" s="26">
        <f>IF($D1261="","",IFERROR(INDEX(PacConv,MATCH($D1261,PacCod,0))&amp;"",""))</f>
        <v>0</v>
      </c>
      <c r="L1261" s="26">
        <f>IF($A1261="","",CHOOSE(WEEKDAY($A1261,2),"Seg","Ter","Qua","Qui","Sex","Sáb","Dom"))</f>
        <v>0</v>
      </c>
      <c r="M1261" s="27">
        <f>IF($E1261="","",IF($G1261&lt;&gt;"",$G1261,IFERROR(INDEX(ProcValor,MATCH($E1261,ProcNome,0)),0)))</f>
        <v>0</v>
      </c>
      <c r="N1261" s="27">
        <f>IF($M1261="","",IF($F1261="Compareceu",$M1261,0))</f>
        <v>0</v>
      </c>
      <c r="O1261" s="27">
        <f>IF($M1261="","",IF($F1261="Faltou",$M1261,0))</f>
        <v>0</v>
      </c>
      <c r="P1261" s="27">
        <f>IF($M1261="","",IF($F1261="Compareceu",MAX(0,$M1261-N($H1261)),0))</f>
        <v>0</v>
      </c>
      <c r="Q1261" s="19">
        <f>IF(AND($F1261="Compareceu",$E1261&lt;&gt;"",$A1261&lt;&gt;""),IF(IFERROR(INDEX(ProcRet,MATCH($E1261,ProcNome,0)),0)&gt;0,$A1261+INDEX(ProcRet,MATCH($E1261,ProcNome,0)),""),"")</f>
        <v>0</v>
      </c>
      <c r="R1261" s="26">
        <f>IF($Q1261="","",IF(COUNTIFS(AgPac,$D1261,AgData,"&gt;"&amp;$A1261,AgStatus,"&lt;&gt;Cancelado",AgStatus,"&lt;&gt;Remarcado")&gt;0,"Sim","Não"))</f>
        <v>0</v>
      </c>
      <c r="S1261" s="28">
        <f>IF($A1261="","",IF(AND($F1261="Agendado",$A1261-Hoje&gt;=0,$A1261-Hoje&lt;=DiasConf),"CONFIRMAR",IF(AND($A1261&lt;Hoje,OR($F1261="Agendado",$F1261="Confirmado")),"Atualizar status",IF(AND($F1261="Compareceu",$P1261&gt;0.005),"Cobrar",IF($F1261="Faltou","Falta: reagendar","")))))</f>
        <v>0</v>
      </c>
      <c r="T1261" s="29">
        <f>IF($A1261="","",DATE(YEAR($A1261),MONTH($A1261),1))</f>
        <v>0</v>
      </c>
      <c r="U1261" s="30">
        <f>IF($S1261="CONFIRMAR",MAX($U$4:$U1260)+1,"")</f>
        <v>0</v>
      </c>
      <c r="V1261" s="30">
        <f>IF(AND($R1261="Não",$Q1261&lt;&gt;"",$Q1261&lt;=Hoje+JanelaRet,$Q1261&gt;=Hoje-60),MAX($V$4:$V1260)+1,"")</f>
        <v>0</v>
      </c>
    </row>
    <row r="1262" spans="1:22">
      <c r="A1262" s="16"/>
      <c r="B1262" s="23"/>
      <c r="C1262" s="15"/>
      <c r="D1262" s="15"/>
      <c r="E1262" s="15"/>
      <c r="F1262" s="24"/>
      <c r="G1262" s="17"/>
      <c r="H1262" s="17"/>
      <c r="I1262" s="15"/>
      <c r="J1262" s="25">
        <f>IF($D1262="","",IFERROR(INDEX(PacNome,MATCH($D1262,PacCod,0)),"Paciente não cadastrado"))</f>
        <v>0</v>
      </c>
      <c r="K1262" s="26">
        <f>IF($D1262="","",IFERROR(INDEX(PacConv,MATCH($D1262,PacCod,0))&amp;"",""))</f>
        <v>0</v>
      </c>
      <c r="L1262" s="26">
        <f>IF($A1262="","",CHOOSE(WEEKDAY($A1262,2),"Seg","Ter","Qua","Qui","Sex","Sáb","Dom"))</f>
        <v>0</v>
      </c>
      <c r="M1262" s="27">
        <f>IF($E1262="","",IF($G1262&lt;&gt;"",$G1262,IFERROR(INDEX(ProcValor,MATCH($E1262,ProcNome,0)),0)))</f>
        <v>0</v>
      </c>
      <c r="N1262" s="27">
        <f>IF($M1262="","",IF($F1262="Compareceu",$M1262,0))</f>
        <v>0</v>
      </c>
      <c r="O1262" s="27">
        <f>IF($M1262="","",IF($F1262="Faltou",$M1262,0))</f>
        <v>0</v>
      </c>
      <c r="P1262" s="27">
        <f>IF($M1262="","",IF($F1262="Compareceu",MAX(0,$M1262-N($H1262)),0))</f>
        <v>0</v>
      </c>
      <c r="Q1262" s="19">
        <f>IF(AND($F1262="Compareceu",$E1262&lt;&gt;"",$A1262&lt;&gt;""),IF(IFERROR(INDEX(ProcRet,MATCH($E1262,ProcNome,0)),0)&gt;0,$A1262+INDEX(ProcRet,MATCH($E1262,ProcNome,0)),""),"")</f>
        <v>0</v>
      </c>
      <c r="R1262" s="26">
        <f>IF($Q1262="","",IF(COUNTIFS(AgPac,$D1262,AgData,"&gt;"&amp;$A1262,AgStatus,"&lt;&gt;Cancelado",AgStatus,"&lt;&gt;Remarcado")&gt;0,"Sim","Não"))</f>
        <v>0</v>
      </c>
      <c r="S1262" s="28">
        <f>IF($A1262="","",IF(AND($F1262="Agendado",$A1262-Hoje&gt;=0,$A1262-Hoje&lt;=DiasConf),"CONFIRMAR",IF(AND($A1262&lt;Hoje,OR($F1262="Agendado",$F1262="Confirmado")),"Atualizar status",IF(AND($F1262="Compareceu",$P1262&gt;0.005),"Cobrar",IF($F1262="Faltou","Falta: reagendar","")))))</f>
        <v>0</v>
      </c>
      <c r="T1262" s="29">
        <f>IF($A1262="","",DATE(YEAR($A1262),MONTH($A1262),1))</f>
        <v>0</v>
      </c>
      <c r="U1262" s="30">
        <f>IF($S1262="CONFIRMAR",MAX($U$4:$U1261)+1,"")</f>
        <v>0</v>
      </c>
      <c r="V1262" s="30">
        <f>IF(AND($R1262="Não",$Q1262&lt;&gt;"",$Q1262&lt;=Hoje+JanelaRet,$Q1262&gt;=Hoje-60),MAX($V$4:$V1261)+1,"")</f>
        <v>0</v>
      </c>
    </row>
    <row r="1263" spans="1:22">
      <c r="A1263" s="16"/>
      <c r="B1263" s="23"/>
      <c r="C1263" s="15"/>
      <c r="D1263" s="15"/>
      <c r="E1263" s="15"/>
      <c r="F1263" s="24"/>
      <c r="G1263" s="17"/>
      <c r="H1263" s="17"/>
      <c r="I1263" s="15"/>
      <c r="J1263" s="25">
        <f>IF($D1263="","",IFERROR(INDEX(PacNome,MATCH($D1263,PacCod,0)),"Paciente não cadastrado"))</f>
        <v>0</v>
      </c>
      <c r="K1263" s="26">
        <f>IF($D1263="","",IFERROR(INDEX(PacConv,MATCH($D1263,PacCod,0))&amp;"",""))</f>
        <v>0</v>
      </c>
      <c r="L1263" s="26">
        <f>IF($A1263="","",CHOOSE(WEEKDAY($A1263,2),"Seg","Ter","Qua","Qui","Sex","Sáb","Dom"))</f>
        <v>0</v>
      </c>
      <c r="M1263" s="27">
        <f>IF($E1263="","",IF($G1263&lt;&gt;"",$G1263,IFERROR(INDEX(ProcValor,MATCH($E1263,ProcNome,0)),0)))</f>
        <v>0</v>
      </c>
      <c r="N1263" s="27">
        <f>IF($M1263="","",IF($F1263="Compareceu",$M1263,0))</f>
        <v>0</v>
      </c>
      <c r="O1263" s="27">
        <f>IF($M1263="","",IF($F1263="Faltou",$M1263,0))</f>
        <v>0</v>
      </c>
      <c r="P1263" s="27">
        <f>IF($M1263="","",IF($F1263="Compareceu",MAX(0,$M1263-N($H1263)),0))</f>
        <v>0</v>
      </c>
      <c r="Q1263" s="19">
        <f>IF(AND($F1263="Compareceu",$E1263&lt;&gt;"",$A1263&lt;&gt;""),IF(IFERROR(INDEX(ProcRet,MATCH($E1263,ProcNome,0)),0)&gt;0,$A1263+INDEX(ProcRet,MATCH($E1263,ProcNome,0)),""),"")</f>
        <v>0</v>
      </c>
      <c r="R1263" s="26">
        <f>IF($Q1263="","",IF(COUNTIFS(AgPac,$D1263,AgData,"&gt;"&amp;$A1263,AgStatus,"&lt;&gt;Cancelado",AgStatus,"&lt;&gt;Remarcado")&gt;0,"Sim","Não"))</f>
        <v>0</v>
      </c>
      <c r="S1263" s="28">
        <f>IF($A1263="","",IF(AND($F1263="Agendado",$A1263-Hoje&gt;=0,$A1263-Hoje&lt;=DiasConf),"CONFIRMAR",IF(AND($A1263&lt;Hoje,OR($F1263="Agendado",$F1263="Confirmado")),"Atualizar status",IF(AND($F1263="Compareceu",$P1263&gt;0.005),"Cobrar",IF($F1263="Faltou","Falta: reagendar","")))))</f>
        <v>0</v>
      </c>
      <c r="T1263" s="29">
        <f>IF($A1263="","",DATE(YEAR($A1263),MONTH($A1263),1))</f>
        <v>0</v>
      </c>
      <c r="U1263" s="30">
        <f>IF($S1263="CONFIRMAR",MAX($U$4:$U1262)+1,"")</f>
        <v>0</v>
      </c>
      <c r="V1263" s="30">
        <f>IF(AND($R1263="Não",$Q1263&lt;&gt;"",$Q1263&lt;=Hoje+JanelaRet,$Q1263&gt;=Hoje-60),MAX($V$4:$V1262)+1,"")</f>
        <v>0</v>
      </c>
    </row>
    <row r="1264" spans="1:22">
      <c r="A1264" s="16"/>
      <c r="B1264" s="23"/>
      <c r="C1264" s="15"/>
      <c r="D1264" s="15"/>
      <c r="E1264" s="15"/>
      <c r="F1264" s="24"/>
      <c r="G1264" s="17"/>
      <c r="H1264" s="17"/>
      <c r="I1264" s="15"/>
      <c r="J1264" s="25">
        <f>IF($D1264="","",IFERROR(INDEX(PacNome,MATCH($D1264,PacCod,0)),"Paciente não cadastrado"))</f>
        <v>0</v>
      </c>
      <c r="K1264" s="26">
        <f>IF($D1264="","",IFERROR(INDEX(PacConv,MATCH($D1264,PacCod,0))&amp;"",""))</f>
        <v>0</v>
      </c>
      <c r="L1264" s="26">
        <f>IF($A1264="","",CHOOSE(WEEKDAY($A1264,2),"Seg","Ter","Qua","Qui","Sex","Sáb","Dom"))</f>
        <v>0</v>
      </c>
      <c r="M1264" s="27">
        <f>IF($E1264="","",IF($G1264&lt;&gt;"",$G1264,IFERROR(INDEX(ProcValor,MATCH($E1264,ProcNome,0)),0)))</f>
        <v>0</v>
      </c>
      <c r="N1264" s="27">
        <f>IF($M1264="","",IF($F1264="Compareceu",$M1264,0))</f>
        <v>0</v>
      </c>
      <c r="O1264" s="27">
        <f>IF($M1264="","",IF($F1264="Faltou",$M1264,0))</f>
        <v>0</v>
      </c>
      <c r="P1264" s="27">
        <f>IF($M1264="","",IF($F1264="Compareceu",MAX(0,$M1264-N($H1264)),0))</f>
        <v>0</v>
      </c>
      <c r="Q1264" s="19">
        <f>IF(AND($F1264="Compareceu",$E1264&lt;&gt;"",$A1264&lt;&gt;""),IF(IFERROR(INDEX(ProcRet,MATCH($E1264,ProcNome,0)),0)&gt;0,$A1264+INDEX(ProcRet,MATCH($E1264,ProcNome,0)),""),"")</f>
        <v>0</v>
      </c>
      <c r="R1264" s="26">
        <f>IF($Q1264="","",IF(COUNTIFS(AgPac,$D1264,AgData,"&gt;"&amp;$A1264,AgStatus,"&lt;&gt;Cancelado",AgStatus,"&lt;&gt;Remarcado")&gt;0,"Sim","Não"))</f>
        <v>0</v>
      </c>
      <c r="S1264" s="28">
        <f>IF($A1264="","",IF(AND($F1264="Agendado",$A1264-Hoje&gt;=0,$A1264-Hoje&lt;=DiasConf),"CONFIRMAR",IF(AND($A1264&lt;Hoje,OR($F1264="Agendado",$F1264="Confirmado")),"Atualizar status",IF(AND($F1264="Compareceu",$P1264&gt;0.005),"Cobrar",IF($F1264="Faltou","Falta: reagendar","")))))</f>
        <v>0</v>
      </c>
      <c r="T1264" s="29">
        <f>IF($A1264="","",DATE(YEAR($A1264),MONTH($A1264),1))</f>
        <v>0</v>
      </c>
      <c r="U1264" s="30">
        <f>IF($S1264="CONFIRMAR",MAX($U$4:$U1263)+1,"")</f>
        <v>0</v>
      </c>
      <c r="V1264" s="30">
        <f>IF(AND($R1264="Não",$Q1264&lt;&gt;"",$Q1264&lt;=Hoje+JanelaRet,$Q1264&gt;=Hoje-60),MAX($V$4:$V1263)+1,"")</f>
        <v>0</v>
      </c>
    </row>
    <row r="1265" spans="1:22">
      <c r="A1265" s="16"/>
      <c r="B1265" s="23"/>
      <c r="C1265" s="15"/>
      <c r="D1265" s="15"/>
      <c r="E1265" s="15"/>
      <c r="F1265" s="24"/>
      <c r="G1265" s="17"/>
      <c r="H1265" s="17"/>
      <c r="I1265" s="15"/>
      <c r="J1265" s="25">
        <f>IF($D1265="","",IFERROR(INDEX(PacNome,MATCH($D1265,PacCod,0)),"Paciente não cadastrado"))</f>
        <v>0</v>
      </c>
      <c r="K1265" s="26">
        <f>IF($D1265="","",IFERROR(INDEX(PacConv,MATCH($D1265,PacCod,0))&amp;"",""))</f>
        <v>0</v>
      </c>
      <c r="L1265" s="26">
        <f>IF($A1265="","",CHOOSE(WEEKDAY($A1265,2),"Seg","Ter","Qua","Qui","Sex","Sáb","Dom"))</f>
        <v>0</v>
      </c>
      <c r="M1265" s="27">
        <f>IF($E1265="","",IF($G1265&lt;&gt;"",$G1265,IFERROR(INDEX(ProcValor,MATCH($E1265,ProcNome,0)),0)))</f>
        <v>0</v>
      </c>
      <c r="N1265" s="27">
        <f>IF($M1265="","",IF($F1265="Compareceu",$M1265,0))</f>
        <v>0</v>
      </c>
      <c r="O1265" s="27">
        <f>IF($M1265="","",IF($F1265="Faltou",$M1265,0))</f>
        <v>0</v>
      </c>
      <c r="P1265" s="27">
        <f>IF($M1265="","",IF($F1265="Compareceu",MAX(0,$M1265-N($H1265)),0))</f>
        <v>0</v>
      </c>
      <c r="Q1265" s="19">
        <f>IF(AND($F1265="Compareceu",$E1265&lt;&gt;"",$A1265&lt;&gt;""),IF(IFERROR(INDEX(ProcRet,MATCH($E1265,ProcNome,0)),0)&gt;0,$A1265+INDEX(ProcRet,MATCH($E1265,ProcNome,0)),""),"")</f>
        <v>0</v>
      </c>
      <c r="R1265" s="26">
        <f>IF($Q1265="","",IF(COUNTIFS(AgPac,$D1265,AgData,"&gt;"&amp;$A1265,AgStatus,"&lt;&gt;Cancelado",AgStatus,"&lt;&gt;Remarcado")&gt;0,"Sim","Não"))</f>
        <v>0</v>
      </c>
      <c r="S1265" s="28">
        <f>IF($A1265="","",IF(AND($F1265="Agendado",$A1265-Hoje&gt;=0,$A1265-Hoje&lt;=DiasConf),"CONFIRMAR",IF(AND($A1265&lt;Hoje,OR($F1265="Agendado",$F1265="Confirmado")),"Atualizar status",IF(AND($F1265="Compareceu",$P1265&gt;0.005),"Cobrar",IF($F1265="Faltou","Falta: reagendar","")))))</f>
        <v>0</v>
      </c>
      <c r="T1265" s="29">
        <f>IF($A1265="","",DATE(YEAR($A1265),MONTH($A1265),1))</f>
        <v>0</v>
      </c>
      <c r="U1265" s="30">
        <f>IF($S1265="CONFIRMAR",MAX($U$4:$U1264)+1,"")</f>
        <v>0</v>
      </c>
      <c r="V1265" s="30">
        <f>IF(AND($R1265="Não",$Q1265&lt;&gt;"",$Q1265&lt;=Hoje+JanelaRet,$Q1265&gt;=Hoje-60),MAX($V$4:$V1264)+1,"")</f>
        <v>0</v>
      </c>
    </row>
    <row r="1266" spans="1:22">
      <c r="A1266" s="16"/>
      <c r="B1266" s="23"/>
      <c r="C1266" s="15"/>
      <c r="D1266" s="15"/>
      <c r="E1266" s="15"/>
      <c r="F1266" s="24"/>
      <c r="G1266" s="17"/>
      <c r="H1266" s="17"/>
      <c r="I1266" s="15"/>
      <c r="J1266" s="25">
        <f>IF($D1266="","",IFERROR(INDEX(PacNome,MATCH($D1266,PacCod,0)),"Paciente não cadastrado"))</f>
        <v>0</v>
      </c>
      <c r="K1266" s="26">
        <f>IF($D1266="","",IFERROR(INDEX(PacConv,MATCH($D1266,PacCod,0))&amp;"",""))</f>
        <v>0</v>
      </c>
      <c r="L1266" s="26">
        <f>IF($A1266="","",CHOOSE(WEEKDAY($A1266,2),"Seg","Ter","Qua","Qui","Sex","Sáb","Dom"))</f>
        <v>0</v>
      </c>
      <c r="M1266" s="27">
        <f>IF($E1266="","",IF($G1266&lt;&gt;"",$G1266,IFERROR(INDEX(ProcValor,MATCH($E1266,ProcNome,0)),0)))</f>
        <v>0</v>
      </c>
      <c r="N1266" s="27">
        <f>IF($M1266="","",IF($F1266="Compareceu",$M1266,0))</f>
        <v>0</v>
      </c>
      <c r="O1266" s="27">
        <f>IF($M1266="","",IF($F1266="Faltou",$M1266,0))</f>
        <v>0</v>
      </c>
      <c r="P1266" s="27">
        <f>IF($M1266="","",IF($F1266="Compareceu",MAX(0,$M1266-N($H1266)),0))</f>
        <v>0</v>
      </c>
      <c r="Q1266" s="19">
        <f>IF(AND($F1266="Compareceu",$E1266&lt;&gt;"",$A1266&lt;&gt;""),IF(IFERROR(INDEX(ProcRet,MATCH($E1266,ProcNome,0)),0)&gt;0,$A1266+INDEX(ProcRet,MATCH($E1266,ProcNome,0)),""),"")</f>
        <v>0</v>
      </c>
      <c r="R1266" s="26">
        <f>IF($Q1266="","",IF(COUNTIFS(AgPac,$D1266,AgData,"&gt;"&amp;$A1266,AgStatus,"&lt;&gt;Cancelado",AgStatus,"&lt;&gt;Remarcado")&gt;0,"Sim","Não"))</f>
        <v>0</v>
      </c>
      <c r="S1266" s="28">
        <f>IF($A1266="","",IF(AND($F1266="Agendado",$A1266-Hoje&gt;=0,$A1266-Hoje&lt;=DiasConf),"CONFIRMAR",IF(AND($A1266&lt;Hoje,OR($F1266="Agendado",$F1266="Confirmado")),"Atualizar status",IF(AND($F1266="Compareceu",$P1266&gt;0.005),"Cobrar",IF($F1266="Faltou","Falta: reagendar","")))))</f>
        <v>0</v>
      </c>
      <c r="T1266" s="29">
        <f>IF($A1266="","",DATE(YEAR($A1266),MONTH($A1266),1))</f>
        <v>0</v>
      </c>
      <c r="U1266" s="30">
        <f>IF($S1266="CONFIRMAR",MAX($U$4:$U1265)+1,"")</f>
        <v>0</v>
      </c>
      <c r="V1266" s="30">
        <f>IF(AND($R1266="Não",$Q1266&lt;&gt;"",$Q1266&lt;=Hoje+JanelaRet,$Q1266&gt;=Hoje-60),MAX($V$4:$V1265)+1,"")</f>
        <v>0</v>
      </c>
    </row>
    <row r="1267" spans="1:22">
      <c r="A1267" s="16"/>
      <c r="B1267" s="23"/>
      <c r="C1267" s="15"/>
      <c r="D1267" s="15"/>
      <c r="E1267" s="15"/>
      <c r="F1267" s="24"/>
      <c r="G1267" s="17"/>
      <c r="H1267" s="17"/>
      <c r="I1267" s="15"/>
      <c r="J1267" s="25">
        <f>IF($D1267="","",IFERROR(INDEX(PacNome,MATCH($D1267,PacCod,0)),"Paciente não cadastrado"))</f>
        <v>0</v>
      </c>
      <c r="K1267" s="26">
        <f>IF($D1267="","",IFERROR(INDEX(PacConv,MATCH($D1267,PacCod,0))&amp;"",""))</f>
        <v>0</v>
      </c>
      <c r="L1267" s="26">
        <f>IF($A1267="","",CHOOSE(WEEKDAY($A1267,2),"Seg","Ter","Qua","Qui","Sex","Sáb","Dom"))</f>
        <v>0</v>
      </c>
      <c r="M1267" s="27">
        <f>IF($E1267="","",IF($G1267&lt;&gt;"",$G1267,IFERROR(INDEX(ProcValor,MATCH($E1267,ProcNome,0)),0)))</f>
        <v>0</v>
      </c>
      <c r="N1267" s="27">
        <f>IF($M1267="","",IF($F1267="Compareceu",$M1267,0))</f>
        <v>0</v>
      </c>
      <c r="O1267" s="27">
        <f>IF($M1267="","",IF($F1267="Faltou",$M1267,0))</f>
        <v>0</v>
      </c>
      <c r="P1267" s="27">
        <f>IF($M1267="","",IF($F1267="Compareceu",MAX(0,$M1267-N($H1267)),0))</f>
        <v>0</v>
      </c>
      <c r="Q1267" s="19">
        <f>IF(AND($F1267="Compareceu",$E1267&lt;&gt;"",$A1267&lt;&gt;""),IF(IFERROR(INDEX(ProcRet,MATCH($E1267,ProcNome,0)),0)&gt;0,$A1267+INDEX(ProcRet,MATCH($E1267,ProcNome,0)),""),"")</f>
        <v>0</v>
      </c>
      <c r="R1267" s="26">
        <f>IF($Q1267="","",IF(COUNTIFS(AgPac,$D1267,AgData,"&gt;"&amp;$A1267,AgStatus,"&lt;&gt;Cancelado",AgStatus,"&lt;&gt;Remarcado")&gt;0,"Sim","Não"))</f>
        <v>0</v>
      </c>
      <c r="S1267" s="28">
        <f>IF($A1267="","",IF(AND($F1267="Agendado",$A1267-Hoje&gt;=0,$A1267-Hoje&lt;=DiasConf),"CONFIRMAR",IF(AND($A1267&lt;Hoje,OR($F1267="Agendado",$F1267="Confirmado")),"Atualizar status",IF(AND($F1267="Compareceu",$P1267&gt;0.005),"Cobrar",IF($F1267="Faltou","Falta: reagendar","")))))</f>
        <v>0</v>
      </c>
      <c r="T1267" s="29">
        <f>IF($A1267="","",DATE(YEAR($A1267),MONTH($A1267),1))</f>
        <v>0</v>
      </c>
      <c r="U1267" s="30">
        <f>IF($S1267="CONFIRMAR",MAX($U$4:$U1266)+1,"")</f>
        <v>0</v>
      </c>
      <c r="V1267" s="30">
        <f>IF(AND($R1267="Não",$Q1267&lt;&gt;"",$Q1267&lt;=Hoje+JanelaRet,$Q1267&gt;=Hoje-60),MAX($V$4:$V1266)+1,"")</f>
        <v>0</v>
      </c>
    </row>
    <row r="1268" spans="1:22">
      <c r="A1268" s="16"/>
      <c r="B1268" s="23"/>
      <c r="C1268" s="15"/>
      <c r="D1268" s="15"/>
      <c r="E1268" s="15"/>
      <c r="F1268" s="24"/>
      <c r="G1268" s="17"/>
      <c r="H1268" s="17"/>
      <c r="I1268" s="15"/>
      <c r="J1268" s="25">
        <f>IF($D1268="","",IFERROR(INDEX(PacNome,MATCH($D1268,PacCod,0)),"Paciente não cadastrado"))</f>
        <v>0</v>
      </c>
      <c r="K1268" s="26">
        <f>IF($D1268="","",IFERROR(INDEX(PacConv,MATCH($D1268,PacCod,0))&amp;"",""))</f>
        <v>0</v>
      </c>
      <c r="L1268" s="26">
        <f>IF($A1268="","",CHOOSE(WEEKDAY($A1268,2),"Seg","Ter","Qua","Qui","Sex","Sáb","Dom"))</f>
        <v>0</v>
      </c>
      <c r="M1268" s="27">
        <f>IF($E1268="","",IF($G1268&lt;&gt;"",$G1268,IFERROR(INDEX(ProcValor,MATCH($E1268,ProcNome,0)),0)))</f>
        <v>0</v>
      </c>
      <c r="N1268" s="27">
        <f>IF($M1268="","",IF($F1268="Compareceu",$M1268,0))</f>
        <v>0</v>
      </c>
      <c r="O1268" s="27">
        <f>IF($M1268="","",IF($F1268="Faltou",$M1268,0))</f>
        <v>0</v>
      </c>
      <c r="P1268" s="27">
        <f>IF($M1268="","",IF($F1268="Compareceu",MAX(0,$M1268-N($H1268)),0))</f>
        <v>0</v>
      </c>
      <c r="Q1268" s="19">
        <f>IF(AND($F1268="Compareceu",$E1268&lt;&gt;"",$A1268&lt;&gt;""),IF(IFERROR(INDEX(ProcRet,MATCH($E1268,ProcNome,0)),0)&gt;0,$A1268+INDEX(ProcRet,MATCH($E1268,ProcNome,0)),""),"")</f>
        <v>0</v>
      </c>
      <c r="R1268" s="26">
        <f>IF($Q1268="","",IF(COUNTIFS(AgPac,$D1268,AgData,"&gt;"&amp;$A1268,AgStatus,"&lt;&gt;Cancelado",AgStatus,"&lt;&gt;Remarcado")&gt;0,"Sim","Não"))</f>
        <v>0</v>
      </c>
      <c r="S1268" s="28">
        <f>IF($A1268="","",IF(AND($F1268="Agendado",$A1268-Hoje&gt;=0,$A1268-Hoje&lt;=DiasConf),"CONFIRMAR",IF(AND($A1268&lt;Hoje,OR($F1268="Agendado",$F1268="Confirmado")),"Atualizar status",IF(AND($F1268="Compareceu",$P1268&gt;0.005),"Cobrar",IF($F1268="Faltou","Falta: reagendar","")))))</f>
        <v>0</v>
      </c>
      <c r="T1268" s="29">
        <f>IF($A1268="","",DATE(YEAR($A1268),MONTH($A1268),1))</f>
        <v>0</v>
      </c>
      <c r="U1268" s="30">
        <f>IF($S1268="CONFIRMAR",MAX($U$4:$U1267)+1,"")</f>
        <v>0</v>
      </c>
      <c r="V1268" s="30">
        <f>IF(AND($R1268="Não",$Q1268&lt;&gt;"",$Q1268&lt;=Hoje+JanelaRet,$Q1268&gt;=Hoje-60),MAX($V$4:$V1267)+1,"")</f>
        <v>0</v>
      </c>
    </row>
    <row r="1269" spans="1:22">
      <c r="A1269" s="16"/>
      <c r="B1269" s="23"/>
      <c r="C1269" s="15"/>
      <c r="D1269" s="15"/>
      <c r="E1269" s="15"/>
      <c r="F1269" s="24"/>
      <c r="G1269" s="17"/>
      <c r="H1269" s="17"/>
      <c r="I1269" s="15"/>
      <c r="J1269" s="25">
        <f>IF($D1269="","",IFERROR(INDEX(PacNome,MATCH($D1269,PacCod,0)),"Paciente não cadastrado"))</f>
        <v>0</v>
      </c>
      <c r="K1269" s="26">
        <f>IF($D1269="","",IFERROR(INDEX(PacConv,MATCH($D1269,PacCod,0))&amp;"",""))</f>
        <v>0</v>
      </c>
      <c r="L1269" s="26">
        <f>IF($A1269="","",CHOOSE(WEEKDAY($A1269,2),"Seg","Ter","Qua","Qui","Sex","Sáb","Dom"))</f>
        <v>0</v>
      </c>
      <c r="M1269" s="27">
        <f>IF($E1269="","",IF($G1269&lt;&gt;"",$G1269,IFERROR(INDEX(ProcValor,MATCH($E1269,ProcNome,0)),0)))</f>
        <v>0</v>
      </c>
      <c r="N1269" s="27">
        <f>IF($M1269="","",IF($F1269="Compareceu",$M1269,0))</f>
        <v>0</v>
      </c>
      <c r="O1269" s="27">
        <f>IF($M1269="","",IF($F1269="Faltou",$M1269,0))</f>
        <v>0</v>
      </c>
      <c r="P1269" s="27">
        <f>IF($M1269="","",IF($F1269="Compareceu",MAX(0,$M1269-N($H1269)),0))</f>
        <v>0</v>
      </c>
      <c r="Q1269" s="19">
        <f>IF(AND($F1269="Compareceu",$E1269&lt;&gt;"",$A1269&lt;&gt;""),IF(IFERROR(INDEX(ProcRet,MATCH($E1269,ProcNome,0)),0)&gt;0,$A1269+INDEX(ProcRet,MATCH($E1269,ProcNome,0)),""),"")</f>
        <v>0</v>
      </c>
      <c r="R1269" s="26">
        <f>IF($Q1269="","",IF(COUNTIFS(AgPac,$D1269,AgData,"&gt;"&amp;$A1269,AgStatus,"&lt;&gt;Cancelado",AgStatus,"&lt;&gt;Remarcado")&gt;0,"Sim","Não"))</f>
        <v>0</v>
      </c>
      <c r="S1269" s="28">
        <f>IF($A1269="","",IF(AND($F1269="Agendado",$A1269-Hoje&gt;=0,$A1269-Hoje&lt;=DiasConf),"CONFIRMAR",IF(AND($A1269&lt;Hoje,OR($F1269="Agendado",$F1269="Confirmado")),"Atualizar status",IF(AND($F1269="Compareceu",$P1269&gt;0.005),"Cobrar",IF($F1269="Faltou","Falta: reagendar","")))))</f>
        <v>0</v>
      </c>
      <c r="T1269" s="29">
        <f>IF($A1269="","",DATE(YEAR($A1269),MONTH($A1269),1))</f>
        <v>0</v>
      </c>
      <c r="U1269" s="30">
        <f>IF($S1269="CONFIRMAR",MAX($U$4:$U1268)+1,"")</f>
        <v>0</v>
      </c>
      <c r="V1269" s="30">
        <f>IF(AND($R1269="Não",$Q1269&lt;&gt;"",$Q1269&lt;=Hoje+JanelaRet,$Q1269&gt;=Hoje-60),MAX($V$4:$V1268)+1,"")</f>
        <v>0</v>
      </c>
    </row>
    <row r="1270" spans="1:22">
      <c r="A1270" s="16"/>
      <c r="B1270" s="23"/>
      <c r="C1270" s="15"/>
      <c r="D1270" s="15"/>
      <c r="E1270" s="15"/>
      <c r="F1270" s="24"/>
      <c r="G1270" s="17"/>
      <c r="H1270" s="17"/>
      <c r="I1270" s="15"/>
      <c r="J1270" s="25">
        <f>IF($D1270="","",IFERROR(INDEX(PacNome,MATCH($D1270,PacCod,0)),"Paciente não cadastrado"))</f>
        <v>0</v>
      </c>
      <c r="K1270" s="26">
        <f>IF($D1270="","",IFERROR(INDEX(PacConv,MATCH($D1270,PacCod,0))&amp;"",""))</f>
        <v>0</v>
      </c>
      <c r="L1270" s="26">
        <f>IF($A1270="","",CHOOSE(WEEKDAY($A1270,2),"Seg","Ter","Qua","Qui","Sex","Sáb","Dom"))</f>
        <v>0</v>
      </c>
      <c r="M1270" s="27">
        <f>IF($E1270="","",IF($G1270&lt;&gt;"",$G1270,IFERROR(INDEX(ProcValor,MATCH($E1270,ProcNome,0)),0)))</f>
        <v>0</v>
      </c>
      <c r="N1270" s="27">
        <f>IF($M1270="","",IF($F1270="Compareceu",$M1270,0))</f>
        <v>0</v>
      </c>
      <c r="O1270" s="27">
        <f>IF($M1270="","",IF($F1270="Faltou",$M1270,0))</f>
        <v>0</v>
      </c>
      <c r="P1270" s="27">
        <f>IF($M1270="","",IF($F1270="Compareceu",MAX(0,$M1270-N($H1270)),0))</f>
        <v>0</v>
      </c>
      <c r="Q1270" s="19">
        <f>IF(AND($F1270="Compareceu",$E1270&lt;&gt;"",$A1270&lt;&gt;""),IF(IFERROR(INDEX(ProcRet,MATCH($E1270,ProcNome,0)),0)&gt;0,$A1270+INDEX(ProcRet,MATCH($E1270,ProcNome,0)),""),"")</f>
        <v>0</v>
      </c>
      <c r="R1270" s="26">
        <f>IF($Q1270="","",IF(COUNTIFS(AgPac,$D1270,AgData,"&gt;"&amp;$A1270,AgStatus,"&lt;&gt;Cancelado",AgStatus,"&lt;&gt;Remarcado")&gt;0,"Sim","Não"))</f>
        <v>0</v>
      </c>
      <c r="S1270" s="28">
        <f>IF($A1270="","",IF(AND($F1270="Agendado",$A1270-Hoje&gt;=0,$A1270-Hoje&lt;=DiasConf),"CONFIRMAR",IF(AND($A1270&lt;Hoje,OR($F1270="Agendado",$F1270="Confirmado")),"Atualizar status",IF(AND($F1270="Compareceu",$P1270&gt;0.005),"Cobrar",IF($F1270="Faltou","Falta: reagendar","")))))</f>
        <v>0</v>
      </c>
      <c r="T1270" s="29">
        <f>IF($A1270="","",DATE(YEAR($A1270),MONTH($A1270),1))</f>
        <v>0</v>
      </c>
      <c r="U1270" s="30">
        <f>IF($S1270="CONFIRMAR",MAX($U$4:$U1269)+1,"")</f>
        <v>0</v>
      </c>
      <c r="V1270" s="30">
        <f>IF(AND($R1270="Não",$Q1270&lt;&gt;"",$Q1270&lt;=Hoje+JanelaRet,$Q1270&gt;=Hoje-60),MAX($V$4:$V1269)+1,"")</f>
        <v>0</v>
      </c>
    </row>
    <row r="1271" spans="1:22">
      <c r="A1271" s="16"/>
      <c r="B1271" s="23"/>
      <c r="C1271" s="15"/>
      <c r="D1271" s="15"/>
      <c r="E1271" s="15"/>
      <c r="F1271" s="24"/>
      <c r="G1271" s="17"/>
      <c r="H1271" s="17"/>
      <c r="I1271" s="15"/>
      <c r="J1271" s="25">
        <f>IF($D1271="","",IFERROR(INDEX(PacNome,MATCH($D1271,PacCod,0)),"Paciente não cadastrado"))</f>
        <v>0</v>
      </c>
      <c r="K1271" s="26">
        <f>IF($D1271="","",IFERROR(INDEX(PacConv,MATCH($D1271,PacCod,0))&amp;"",""))</f>
        <v>0</v>
      </c>
      <c r="L1271" s="26">
        <f>IF($A1271="","",CHOOSE(WEEKDAY($A1271,2),"Seg","Ter","Qua","Qui","Sex","Sáb","Dom"))</f>
        <v>0</v>
      </c>
      <c r="M1271" s="27">
        <f>IF($E1271="","",IF($G1271&lt;&gt;"",$G1271,IFERROR(INDEX(ProcValor,MATCH($E1271,ProcNome,0)),0)))</f>
        <v>0</v>
      </c>
      <c r="N1271" s="27">
        <f>IF($M1271="","",IF($F1271="Compareceu",$M1271,0))</f>
        <v>0</v>
      </c>
      <c r="O1271" s="27">
        <f>IF($M1271="","",IF($F1271="Faltou",$M1271,0))</f>
        <v>0</v>
      </c>
      <c r="P1271" s="27">
        <f>IF($M1271="","",IF($F1271="Compareceu",MAX(0,$M1271-N($H1271)),0))</f>
        <v>0</v>
      </c>
      <c r="Q1271" s="19">
        <f>IF(AND($F1271="Compareceu",$E1271&lt;&gt;"",$A1271&lt;&gt;""),IF(IFERROR(INDEX(ProcRet,MATCH($E1271,ProcNome,0)),0)&gt;0,$A1271+INDEX(ProcRet,MATCH($E1271,ProcNome,0)),""),"")</f>
        <v>0</v>
      </c>
      <c r="R1271" s="26">
        <f>IF($Q1271="","",IF(COUNTIFS(AgPac,$D1271,AgData,"&gt;"&amp;$A1271,AgStatus,"&lt;&gt;Cancelado",AgStatus,"&lt;&gt;Remarcado")&gt;0,"Sim","Não"))</f>
        <v>0</v>
      </c>
      <c r="S1271" s="28">
        <f>IF($A1271="","",IF(AND($F1271="Agendado",$A1271-Hoje&gt;=0,$A1271-Hoje&lt;=DiasConf),"CONFIRMAR",IF(AND($A1271&lt;Hoje,OR($F1271="Agendado",$F1271="Confirmado")),"Atualizar status",IF(AND($F1271="Compareceu",$P1271&gt;0.005),"Cobrar",IF($F1271="Faltou","Falta: reagendar","")))))</f>
        <v>0</v>
      </c>
      <c r="T1271" s="29">
        <f>IF($A1271="","",DATE(YEAR($A1271),MONTH($A1271),1))</f>
        <v>0</v>
      </c>
      <c r="U1271" s="30">
        <f>IF($S1271="CONFIRMAR",MAX($U$4:$U1270)+1,"")</f>
        <v>0</v>
      </c>
      <c r="V1271" s="30">
        <f>IF(AND($R1271="Não",$Q1271&lt;&gt;"",$Q1271&lt;=Hoje+JanelaRet,$Q1271&gt;=Hoje-60),MAX($V$4:$V1270)+1,"")</f>
        <v>0</v>
      </c>
    </row>
    <row r="1272" spans="1:22">
      <c r="A1272" s="16"/>
      <c r="B1272" s="23"/>
      <c r="C1272" s="15"/>
      <c r="D1272" s="15"/>
      <c r="E1272" s="15"/>
      <c r="F1272" s="24"/>
      <c r="G1272" s="17"/>
      <c r="H1272" s="17"/>
      <c r="I1272" s="15"/>
      <c r="J1272" s="25">
        <f>IF($D1272="","",IFERROR(INDEX(PacNome,MATCH($D1272,PacCod,0)),"Paciente não cadastrado"))</f>
        <v>0</v>
      </c>
      <c r="K1272" s="26">
        <f>IF($D1272="","",IFERROR(INDEX(PacConv,MATCH($D1272,PacCod,0))&amp;"",""))</f>
        <v>0</v>
      </c>
      <c r="L1272" s="26">
        <f>IF($A1272="","",CHOOSE(WEEKDAY($A1272,2),"Seg","Ter","Qua","Qui","Sex","Sáb","Dom"))</f>
        <v>0</v>
      </c>
      <c r="M1272" s="27">
        <f>IF($E1272="","",IF($G1272&lt;&gt;"",$G1272,IFERROR(INDEX(ProcValor,MATCH($E1272,ProcNome,0)),0)))</f>
        <v>0</v>
      </c>
      <c r="N1272" s="27">
        <f>IF($M1272="","",IF($F1272="Compareceu",$M1272,0))</f>
        <v>0</v>
      </c>
      <c r="O1272" s="27">
        <f>IF($M1272="","",IF($F1272="Faltou",$M1272,0))</f>
        <v>0</v>
      </c>
      <c r="P1272" s="27">
        <f>IF($M1272="","",IF($F1272="Compareceu",MAX(0,$M1272-N($H1272)),0))</f>
        <v>0</v>
      </c>
      <c r="Q1272" s="19">
        <f>IF(AND($F1272="Compareceu",$E1272&lt;&gt;"",$A1272&lt;&gt;""),IF(IFERROR(INDEX(ProcRet,MATCH($E1272,ProcNome,0)),0)&gt;0,$A1272+INDEX(ProcRet,MATCH($E1272,ProcNome,0)),""),"")</f>
        <v>0</v>
      </c>
      <c r="R1272" s="26">
        <f>IF($Q1272="","",IF(COUNTIFS(AgPac,$D1272,AgData,"&gt;"&amp;$A1272,AgStatus,"&lt;&gt;Cancelado",AgStatus,"&lt;&gt;Remarcado")&gt;0,"Sim","Não"))</f>
        <v>0</v>
      </c>
      <c r="S1272" s="28">
        <f>IF($A1272="","",IF(AND($F1272="Agendado",$A1272-Hoje&gt;=0,$A1272-Hoje&lt;=DiasConf),"CONFIRMAR",IF(AND($A1272&lt;Hoje,OR($F1272="Agendado",$F1272="Confirmado")),"Atualizar status",IF(AND($F1272="Compareceu",$P1272&gt;0.005),"Cobrar",IF($F1272="Faltou","Falta: reagendar","")))))</f>
        <v>0</v>
      </c>
      <c r="T1272" s="29">
        <f>IF($A1272="","",DATE(YEAR($A1272),MONTH($A1272),1))</f>
        <v>0</v>
      </c>
      <c r="U1272" s="30">
        <f>IF($S1272="CONFIRMAR",MAX($U$4:$U1271)+1,"")</f>
        <v>0</v>
      </c>
      <c r="V1272" s="30">
        <f>IF(AND($R1272="Não",$Q1272&lt;&gt;"",$Q1272&lt;=Hoje+JanelaRet,$Q1272&gt;=Hoje-60),MAX($V$4:$V1271)+1,"")</f>
        <v>0</v>
      </c>
    </row>
    <row r="1273" spans="1:22">
      <c r="A1273" s="16"/>
      <c r="B1273" s="23"/>
      <c r="C1273" s="15"/>
      <c r="D1273" s="15"/>
      <c r="E1273" s="15"/>
      <c r="F1273" s="24"/>
      <c r="G1273" s="17"/>
      <c r="H1273" s="17"/>
      <c r="I1273" s="15"/>
      <c r="J1273" s="25">
        <f>IF($D1273="","",IFERROR(INDEX(PacNome,MATCH($D1273,PacCod,0)),"Paciente não cadastrado"))</f>
        <v>0</v>
      </c>
      <c r="K1273" s="26">
        <f>IF($D1273="","",IFERROR(INDEX(PacConv,MATCH($D1273,PacCod,0))&amp;"",""))</f>
        <v>0</v>
      </c>
      <c r="L1273" s="26">
        <f>IF($A1273="","",CHOOSE(WEEKDAY($A1273,2),"Seg","Ter","Qua","Qui","Sex","Sáb","Dom"))</f>
        <v>0</v>
      </c>
      <c r="M1273" s="27">
        <f>IF($E1273="","",IF($G1273&lt;&gt;"",$G1273,IFERROR(INDEX(ProcValor,MATCH($E1273,ProcNome,0)),0)))</f>
        <v>0</v>
      </c>
      <c r="N1273" s="27">
        <f>IF($M1273="","",IF($F1273="Compareceu",$M1273,0))</f>
        <v>0</v>
      </c>
      <c r="O1273" s="27">
        <f>IF($M1273="","",IF($F1273="Faltou",$M1273,0))</f>
        <v>0</v>
      </c>
      <c r="P1273" s="27">
        <f>IF($M1273="","",IF($F1273="Compareceu",MAX(0,$M1273-N($H1273)),0))</f>
        <v>0</v>
      </c>
      <c r="Q1273" s="19">
        <f>IF(AND($F1273="Compareceu",$E1273&lt;&gt;"",$A1273&lt;&gt;""),IF(IFERROR(INDEX(ProcRet,MATCH($E1273,ProcNome,0)),0)&gt;0,$A1273+INDEX(ProcRet,MATCH($E1273,ProcNome,0)),""),"")</f>
        <v>0</v>
      </c>
      <c r="R1273" s="26">
        <f>IF($Q1273="","",IF(COUNTIFS(AgPac,$D1273,AgData,"&gt;"&amp;$A1273,AgStatus,"&lt;&gt;Cancelado",AgStatus,"&lt;&gt;Remarcado")&gt;0,"Sim","Não"))</f>
        <v>0</v>
      </c>
      <c r="S1273" s="28">
        <f>IF($A1273="","",IF(AND($F1273="Agendado",$A1273-Hoje&gt;=0,$A1273-Hoje&lt;=DiasConf),"CONFIRMAR",IF(AND($A1273&lt;Hoje,OR($F1273="Agendado",$F1273="Confirmado")),"Atualizar status",IF(AND($F1273="Compareceu",$P1273&gt;0.005),"Cobrar",IF($F1273="Faltou","Falta: reagendar","")))))</f>
        <v>0</v>
      </c>
      <c r="T1273" s="29">
        <f>IF($A1273="","",DATE(YEAR($A1273),MONTH($A1273),1))</f>
        <v>0</v>
      </c>
      <c r="U1273" s="30">
        <f>IF($S1273="CONFIRMAR",MAX($U$4:$U1272)+1,"")</f>
        <v>0</v>
      </c>
      <c r="V1273" s="30">
        <f>IF(AND($R1273="Não",$Q1273&lt;&gt;"",$Q1273&lt;=Hoje+JanelaRet,$Q1273&gt;=Hoje-60),MAX($V$4:$V1272)+1,"")</f>
        <v>0</v>
      </c>
    </row>
    <row r="1274" spans="1:22">
      <c r="A1274" s="16"/>
      <c r="B1274" s="23"/>
      <c r="C1274" s="15"/>
      <c r="D1274" s="15"/>
      <c r="E1274" s="15"/>
      <c r="F1274" s="24"/>
      <c r="G1274" s="17"/>
      <c r="H1274" s="17"/>
      <c r="I1274" s="15"/>
      <c r="J1274" s="25">
        <f>IF($D1274="","",IFERROR(INDEX(PacNome,MATCH($D1274,PacCod,0)),"Paciente não cadastrado"))</f>
        <v>0</v>
      </c>
      <c r="K1274" s="26">
        <f>IF($D1274="","",IFERROR(INDEX(PacConv,MATCH($D1274,PacCod,0))&amp;"",""))</f>
        <v>0</v>
      </c>
      <c r="L1274" s="26">
        <f>IF($A1274="","",CHOOSE(WEEKDAY($A1274,2),"Seg","Ter","Qua","Qui","Sex","Sáb","Dom"))</f>
        <v>0</v>
      </c>
      <c r="M1274" s="27">
        <f>IF($E1274="","",IF($G1274&lt;&gt;"",$G1274,IFERROR(INDEX(ProcValor,MATCH($E1274,ProcNome,0)),0)))</f>
        <v>0</v>
      </c>
      <c r="N1274" s="27">
        <f>IF($M1274="","",IF($F1274="Compareceu",$M1274,0))</f>
        <v>0</v>
      </c>
      <c r="O1274" s="27">
        <f>IF($M1274="","",IF($F1274="Faltou",$M1274,0))</f>
        <v>0</v>
      </c>
      <c r="P1274" s="27">
        <f>IF($M1274="","",IF($F1274="Compareceu",MAX(0,$M1274-N($H1274)),0))</f>
        <v>0</v>
      </c>
      <c r="Q1274" s="19">
        <f>IF(AND($F1274="Compareceu",$E1274&lt;&gt;"",$A1274&lt;&gt;""),IF(IFERROR(INDEX(ProcRet,MATCH($E1274,ProcNome,0)),0)&gt;0,$A1274+INDEX(ProcRet,MATCH($E1274,ProcNome,0)),""),"")</f>
        <v>0</v>
      </c>
      <c r="R1274" s="26">
        <f>IF($Q1274="","",IF(COUNTIFS(AgPac,$D1274,AgData,"&gt;"&amp;$A1274,AgStatus,"&lt;&gt;Cancelado",AgStatus,"&lt;&gt;Remarcado")&gt;0,"Sim","Não"))</f>
        <v>0</v>
      </c>
      <c r="S1274" s="28">
        <f>IF($A1274="","",IF(AND($F1274="Agendado",$A1274-Hoje&gt;=0,$A1274-Hoje&lt;=DiasConf),"CONFIRMAR",IF(AND($A1274&lt;Hoje,OR($F1274="Agendado",$F1274="Confirmado")),"Atualizar status",IF(AND($F1274="Compareceu",$P1274&gt;0.005),"Cobrar",IF($F1274="Faltou","Falta: reagendar","")))))</f>
        <v>0</v>
      </c>
      <c r="T1274" s="29">
        <f>IF($A1274="","",DATE(YEAR($A1274),MONTH($A1274),1))</f>
        <v>0</v>
      </c>
      <c r="U1274" s="30">
        <f>IF($S1274="CONFIRMAR",MAX($U$4:$U1273)+1,"")</f>
        <v>0</v>
      </c>
      <c r="V1274" s="30">
        <f>IF(AND($R1274="Não",$Q1274&lt;&gt;"",$Q1274&lt;=Hoje+JanelaRet,$Q1274&gt;=Hoje-60),MAX($V$4:$V1273)+1,"")</f>
        <v>0</v>
      </c>
    </row>
    <row r="1275" spans="1:22">
      <c r="A1275" s="16"/>
      <c r="B1275" s="23"/>
      <c r="C1275" s="15"/>
      <c r="D1275" s="15"/>
      <c r="E1275" s="15"/>
      <c r="F1275" s="24"/>
      <c r="G1275" s="17"/>
      <c r="H1275" s="17"/>
      <c r="I1275" s="15"/>
      <c r="J1275" s="25">
        <f>IF($D1275="","",IFERROR(INDEX(PacNome,MATCH($D1275,PacCod,0)),"Paciente não cadastrado"))</f>
        <v>0</v>
      </c>
      <c r="K1275" s="26">
        <f>IF($D1275="","",IFERROR(INDEX(PacConv,MATCH($D1275,PacCod,0))&amp;"",""))</f>
        <v>0</v>
      </c>
      <c r="L1275" s="26">
        <f>IF($A1275="","",CHOOSE(WEEKDAY($A1275,2),"Seg","Ter","Qua","Qui","Sex","Sáb","Dom"))</f>
        <v>0</v>
      </c>
      <c r="M1275" s="27">
        <f>IF($E1275="","",IF($G1275&lt;&gt;"",$G1275,IFERROR(INDEX(ProcValor,MATCH($E1275,ProcNome,0)),0)))</f>
        <v>0</v>
      </c>
      <c r="N1275" s="27">
        <f>IF($M1275="","",IF($F1275="Compareceu",$M1275,0))</f>
        <v>0</v>
      </c>
      <c r="O1275" s="27">
        <f>IF($M1275="","",IF($F1275="Faltou",$M1275,0))</f>
        <v>0</v>
      </c>
      <c r="P1275" s="27">
        <f>IF($M1275="","",IF($F1275="Compareceu",MAX(0,$M1275-N($H1275)),0))</f>
        <v>0</v>
      </c>
      <c r="Q1275" s="19">
        <f>IF(AND($F1275="Compareceu",$E1275&lt;&gt;"",$A1275&lt;&gt;""),IF(IFERROR(INDEX(ProcRet,MATCH($E1275,ProcNome,0)),0)&gt;0,$A1275+INDEX(ProcRet,MATCH($E1275,ProcNome,0)),""),"")</f>
        <v>0</v>
      </c>
      <c r="R1275" s="26">
        <f>IF($Q1275="","",IF(COUNTIFS(AgPac,$D1275,AgData,"&gt;"&amp;$A1275,AgStatus,"&lt;&gt;Cancelado",AgStatus,"&lt;&gt;Remarcado")&gt;0,"Sim","Não"))</f>
        <v>0</v>
      </c>
      <c r="S1275" s="28">
        <f>IF($A1275="","",IF(AND($F1275="Agendado",$A1275-Hoje&gt;=0,$A1275-Hoje&lt;=DiasConf),"CONFIRMAR",IF(AND($A1275&lt;Hoje,OR($F1275="Agendado",$F1275="Confirmado")),"Atualizar status",IF(AND($F1275="Compareceu",$P1275&gt;0.005),"Cobrar",IF($F1275="Faltou","Falta: reagendar","")))))</f>
        <v>0</v>
      </c>
      <c r="T1275" s="29">
        <f>IF($A1275="","",DATE(YEAR($A1275),MONTH($A1275),1))</f>
        <v>0</v>
      </c>
      <c r="U1275" s="30">
        <f>IF($S1275="CONFIRMAR",MAX($U$4:$U1274)+1,"")</f>
        <v>0</v>
      </c>
      <c r="V1275" s="30">
        <f>IF(AND($R1275="Não",$Q1275&lt;&gt;"",$Q1275&lt;=Hoje+JanelaRet,$Q1275&gt;=Hoje-60),MAX($V$4:$V1274)+1,"")</f>
        <v>0</v>
      </c>
    </row>
    <row r="1276" spans="1:22">
      <c r="A1276" s="16"/>
      <c r="B1276" s="23"/>
      <c r="C1276" s="15"/>
      <c r="D1276" s="15"/>
      <c r="E1276" s="15"/>
      <c r="F1276" s="24"/>
      <c r="G1276" s="17"/>
      <c r="H1276" s="17"/>
      <c r="I1276" s="15"/>
      <c r="J1276" s="25">
        <f>IF($D1276="","",IFERROR(INDEX(PacNome,MATCH($D1276,PacCod,0)),"Paciente não cadastrado"))</f>
        <v>0</v>
      </c>
      <c r="K1276" s="26">
        <f>IF($D1276="","",IFERROR(INDEX(PacConv,MATCH($D1276,PacCod,0))&amp;"",""))</f>
        <v>0</v>
      </c>
      <c r="L1276" s="26">
        <f>IF($A1276="","",CHOOSE(WEEKDAY($A1276,2),"Seg","Ter","Qua","Qui","Sex","Sáb","Dom"))</f>
        <v>0</v>
      </c>
      <c r="M1276" s="27">
        <f>IF($E1276="","",IF($G1276&lt;&gt;"",$G1276,IFERROR(INDEX(ProcValor,MATCH($E1276,ProcNome,0)),0)))</f>
        <v>0</v>
      </c>
      <c r="N1276" s="27">
        <f>IF($M1276="","",IF($F1276="Compareceu",$M1276,0))</f>
        <v>0</v>
      </c>
      <c r="O1276" s="27">
        <f>IF($M1276="","",IF($F1276="Faltou",$M1276,0))</f>
        <v>0</v>
      </c>
      <c r="P1276" s="27">
        <f>IF($M1276="","",IF($F1276="Compareceu",MAX(0,$M1276-N($H1276)),0))</f>
        <v>0</v>
      </c>
      <c r="Q1276" s="19">
        <f>IF(AND($F1276="Compareceu",$E1276&lt;&gt;"",$A1276&lt;&gt;""),IF(IFERROR(INDEX(ProcRet,MATCH($E1276,ProcNome,0)),0)&gt;0,$A1276+INDEX(ProcRet,MATCH($E1276,ProcNome,0)),""),"")</f>
        <v>0</v>
      </c>
      <c r="R1276" s="26">
        <f>IF($Q1276="","",IF(COUNTIFS(AgPac,$D1276,AgData,"&gt;"&amp;$A1276,AgStatus,"&lt;&gt;Cancelado",AgStatus,"&lt;&gt;Remarcado")&gt;0,"Sim","Não"))</f>
        <v>0</v>
      </c>
      <c r="S1276" s="28">
        <f>IF($A1276="","",IF(AND($F1276="Agendado",$A1276-Hoje&gt;=0,$A1276-Hoje&lt;=DiasConf),"CONFIRMAR",IF(AND($A1276&lt;Hoje,OR($F1276="Agendado",$F1276="Confirmado")),"Atualizar status",IF(AND($F1276="Compareceu",$P1276&gt;0.005),"Cobrar",IF($F1276="Faltou","Falta: reagendar","")))))</f>
        <v>0</v>
      </c>
      <c r="T1276" s="29">
        <f>IF($A1276="","",DATE(YEAR($A1276),MONTH($A1276),1))</f>
        <v>0</v>
      </c>
      <c r="U1276" s="30">
        <f>IF($S1276="CONFIRMAR",MAX($U$4:$U1275)+1,"")</f>
        <v>0</v>
      </c>
      <c r="V1276" s="30">
        <f>IF(AND($R1276="Não",$Q1276&lt;&gt;"",$Q1276&lt;=Hoje+JanelaRet,$Q1276&gt;=Hoje-60),MAX($V$4:$V1275)+1,"")</f>
        <v>0</v>
      </c>
    </row>
    <row r="1277" spans="1:22">
      <c r="A1277" s="16"/>
      <c r="B1277" s="23"/>
      <c r="C1277" s="15"/>
      <c r="D1277" s="15"/>
      <c r="E1277" s="15"/>
      <c r="F1277" s="24"/>
      <c r="G1277" s="17"/>
      <c r="H1277" s="17"/>
      <c r="I1277" s="15"/>
      <c r="J1277" s="25">
        <f>IF($D1277="","",IFERROR(INDEX(PacNome,MATCH($D1277,PacCod,0)),"Paciente não cadastrado"))</f>
        <v>0</v>
      </c>
      <c r="K1277" s="26">
        <f>IF($D1277="","",IFERROR(INDEX(PacConv,MATCH($D1277,PacCod,0))&amp;"",""))</f>
        <v>0</v>
      </c>
      <c r="L1277" s="26">
        <f>IF($A1277="","",CHOOSE(WEEKDAY($A1277,2),"Seg","Ter","Qua","Qui","Sex","Sáb","Dom"))</f>
        <v>0</v>
      </c>
      <c r="M1277" s="27">
        <f>IF($E1277="","",IF($G1277&lt;&gt;"",$G1277,IFERROR(INDEX(ProcValor,MATCH($E1277,ProcNome,0)),0)))</f>
        <v>0</v>
      </c>
      <c r="N1277" s="27">
        <f>IF($M1277="","",IF($F1277="Compareceu",$M1277,0))</f>
        <v>0</v>
      </c>
      <c r="O1277" s="27">
        <f>IF($M1277="","",IF($F1277="Faltou",$M1277,0))</f>
        <v>0</v>
      </c>
      <c r="P1277" s="27">
        <f>IF($M1277="","",IF($F1277="Compareceu",MAX(0,$M1277-N($H1277)),0))</f>
        <v>0</v>
      </c>
      <c r="Q1277" s="19">
        <f>IF(AND($F1277="Compareceu",$E1277&lt;&gt;"",$A1277&lt;&gt;""),IF(IFERROR(INDEX(ProcRet,MATCH($E1277,ProcNome,0)),0)&gt;0,$A1277+INDEX(ProcRet,MATCH($E1277,ProcNome,0)),""),"")</f>
        <v>0</v>
      </c>
      <c r="R1277" s="26">
        <f>IF($Q1277="","",IF(COUNTIFS(AgPac,$D1277,AgData,"&gt;"&amp;$A1277,AgStatus,"&lt;&gt;Cancelado",AgStatus,"&lt;&gt;Remarcado")&gt;0,"Sim","Não"))</f>
        <v>0</v>
      </c>
      <c r="S1277" s="28">
        <f>IF($A1277="","",IF(AND($F1277="Agendado",$A1277-Hoje&gt;=0,$A1277-Hoje&lt;=DiasConf),"CONFIRMAR",IF(AND($A1277&lt;Hoje,OR($F1277="Agendado",$F1277="Confirmado")),"Atualizar status",IF(AND($F1277="Compareceu",$P1277&gt;0.005),"Cobrar",IF($F1277="Faltou","Falta: reagendar","")))))</f>
        <v>0</v>
      </c>
      <c r="T1277" s="29">
        <f>IF($A1277="","",DATE(YEAR($A1277),MONTH($A1277),1))</f>
        <v>0</v>
      </c>
      <c r="U1277" s="30">
        <f>IF($S1277="CONFIRMAR",MAX($U$4:$U1276)+1,"")</f>
        <v>0</v>
      </c>
      <c r="V1277" s="30">
        <f>IF(AND($R1277="Não",$Q1277&lt;&gt;"",$Q1277&lt;=Hoje+JanelaRet,$Q1277&gt;=Hoje-60),MAX($V$4:$V1276)+1,"")</f>
        <v>0</v>
      </c>
    </row>
    <row r="1278" spans="1:22">
      <c r="A1278" s="16"/>
      <c r="B1278" s="23"/>
      <c r="C1278" s="15"/>
      <c r="D1278" s="15"/>
      <c r="E1278" s="15"/>
      <c r="F1278" s="24"/>
      <c r="G1278" s="17"/>
      <c r="H1278" s="17"/>
      <c r="I1278" s="15"/>
      <c r="J1278" s="25">
        <f>IF($D1278="","",IFERROR(INDEX(PacNome,MATCH($D1278,PacCod,0)),"Paciente não cadastrado"))</f>
        <v>0</v>
      </c>
      <c r="K1278" s="26">
        <f>IF($D1278="","",IFERROR(INDEX(PacConv,MATCH($D1278,PacCod,0))&amp;"",""))</f>
        <v>0</v>
      </c>
      <c r="L1278" s="26">
        <f>IF($A1278="","",CHOOSE(WEEKDAY($A1278,2),"Seg","Ter","Qua","Qui","Sex","Sáb","Dom"))</f>
        <v>0</v>
      </c>
      <c r="M1278" s="27">
        <f>IF($E1278="","",IF($G1278&lt;&gt;"",$G1278,IFERROR(INDEX(ProcValor,MATCH($E1278,ProcNome,0)),0)))</f>
        <v>0</v>
      </c>
      <c r="N1278" s="27">
        <f>IF($M1278="","",IF($F1278="Compareceu",$M1278,0))</f>
        <v>0</v>
      </c>
      <c r="O1278" s="27">
        <f>IF($M1278="","",IF($F1278="Faltou",$M1278,0))</f>
        <v>0</v>
      </c>
      <c r="P1278" s="27">
        <f>IF($M1278="","",IF($F1278="Compareceu",MAX(0,$M1278-N($H1278)),0))</f>
        <v>0</v>
      </c>
      <c r="Q1278" s="19">
        <f>IF(AND($F1278="Compareceu",$E1278&lt;&gt;"",$A1278&lt;&gt;""),IF(IFERROR(INDEX(ProcRet,MATCH($E1278,ProcNome,0)),0)&gt;0,$A1278+INDEX(ProcRet,MATCH($E1278,ProcNome,0)),""),"")</f>
        <v>0</v>
      </c>
      <c r="R1278" s="26">
        <f>IF($Q1278="","",IF(COUNTIFS(AgPac,$D1278,AgData,"&gt;"&amp;$A1278,AgStatus,"&lt;&gt;Cancelado",AgStatus,"&lt;&gt;Remarcado")&gt;0,"Sim","Não"))</f>
        <v>0</v>
      </c>
      <c r="S1278" s="28">
        <f>IF($A1278="","",IF(AND($F1278="Agendado",$A1278-Hoje&gt;=0,$A1278-Hoje&lt;=DiasConf),"CONFIRMAR",IF(AND($A1278&lt;Hoje,OR($F1278="Agendado",$F1278="Confirmado")),"Atualizar status",IF(AND($F1278="Compareceu",$P1278&gt;0.005),"Cobrar",IF($F1278="Faltou","Falta: reagendar","")))))</f>
        <v>0</v>
      </c>
      <c r="T1278" s="29">
        <f>IF($A1278="","",DATE(YEAR($A1278),MONTH($A1278),1))</f>
        <v>0</v>
      </c>
      <c r="U1278" s="30">
        <f>IF($S1278="CONFIRMAR",MAX($U$4:$U1277)+1,"")</f>
        <v>0</v>
      </c>
      <c r="V1278" s="30">
        <f>IF(AND($R1278="Não",$Q1278&lt;&gt;"",$Q1278&lt;=Hoje+JanelaRet,$Q1278&gt;=Hoje-60),MAX($V$4:$V1277)+1,"")</f>
        <v>0</v>
      </c>
    </row>
    <row r="1279" spans="1:22">
      <c r="A1279" s="16"/>
      <c r="B1279" s="23"/>
      <c r="C1279" s="15"/>
      <c r="D1279" s="15"/>
      <c r="E1279" s="15"/>
      <c r="F1279" s="24"/>
      <c r="G1279" s="17"/>
      <c r="H1279" s="17"/>
      <c r="I1279" s="15"/>
      <c r="J1279" s="25">
        <f>IF($D1279="","",IFERROR(INDEX(PacNome,MATCH($D1279,PacCod,0)),"Paciente não cadastrado"))</f>
        <v>0</v>
      </c>
      <c r="K1279" s="26">
        <f>IF($D1279="","",IFERROR(INDEX(PacConv,MATCH($D1279,PacCod,0))&amp;"",""))</f>
        <v>0</v>
      </c>
      <c r="L1279" s="26">
        <f>IF($A1279="","",CHOOSE(WEEKDAY($A1279,2),"Seg","Ter","Qua","Qui","Sex","Sáb","Dom"))</f>
        <v>0</v>
      </c>
      <c r="M1279" s="27">
        <f>IF($E1279="","",IF($G1279&lt;&gt;"",$G1279,IFERROR(INDEX(ProcValor,MATCH($E1279,ProcNome,0)),0)))</f>
        <v>0</v>
      </c>
      <c r="N1279" s="27">
        <f>IF($M1279="","",IF($F1279="Compareceu",$M1279,0))</f>
        <v>0</v>
      </c>
      <c r="O1279" s="27">
        <f>IF($M1279="","",IF($F1279="Faltou",$M1279,0))</f>
        <v>0</v>
      </c>
      <c r="P1279" s="27">
        <f>IF($M1279="","",IF($F1279="Compareceu",MAX(0,$M1279-N($H1279)),0))</f>
        <v>0</v>
      </c>
      <c r="Q1279" s="19">
        <f>IF(AND($F1279="Compareceu",$E1279&lt;&gt;"",$A1279&lt;&gt;""),IF(IFERROR(INDEX(ProcRet,MATCH($E1279,ProcNome,0)),0)&gt;0,$A1279+INDEX(ProcRet,MATCH($E1279,ProcNome,0)),""),"")</f>
        <v>0</v>
      </c>
      <c r="R1279" s="26">
        <f>IF($Q1279="","",IF(COUNTIFS(AgPac,$D1279,AgData,"&gt;"&amp;$A1279,AgStatus,"&lt;&gt;Cancelado",AgStatus,"&lt;&gt;Remarcado")&gt;0,"Sim","Não"))</f>
        <v>0</v>
      </c>
      <c r="S1279" s="28">
        <f>IF($A1279="","",IF(AND($F1279="Agendado",$A1279-Hoje&gt;=0,$A1279-Hoje&lt;=DiasConf),"CONFIRMAR",IF(AND($A1279&lt;Hoje,OR($F1279="Agendado",$F1279="Confirmado")),"Atualizar status",IF(AND($F1279="Compareceu",$P1279&gt;0.005),"Cobrar",IF($F1279="Faltou","Falta: reagendar","")))))</f>
        <v>0</v>
      </c>
      <c r="T1279" s="29">
        <f>IF($A1279="","",DATE(YEAR($A1279),MONTH($A1279),1))</f>
        <v>0</v>
      </c>
      <c r="U1279" s="30">
        <f>IF($S1279="CONFIRMAR",MAX($U$4:$U1278)+1,"")</f>
        <v>0</v>
      </c>
      <c r="V1279" s="30">
        <f>IF(AND($R1279="Não",$Q1279&lt;&gt;"",$Q1279&lt;=Hoje+JanelaRet,$Q1279&gt;=Hoje-60),MAX($V$4:$V1278)+1,"")</f>
        <v>0</v>
      </c>
    </row>
    <row r="1280" spans="1:22">
      <c r="A1280" s="16"/>
      <c r="B1280" s="23"/>
      <c r="C1280" s="15"/>
      <c r="D1280" s="15"/>
      <c r="E1280" s="15"/>
      <c r="F1280" s="24"/>
      <c r="G1280" s="17"/>
      <c r="H1280" s="17"/>
      <c r="I1280" s="15"/>
      <c r="J1280" s="25">
        <f>IF($D1280="","",IFERROR(INDEX(PacNome,MATCH($D1280,PacCod,0)),"Paciente não cadastrado"))</f>
        <v>0</v>
      </c>
      <c r="K1280" s="26">
        <f>IF($D1280="","",IFERROR(INDEX(PacConv,MATCH($D1280,PacCod,0))&amp;"",""))</f>
        <v>0</v>
      </c>
      <c r="L1280" s="26">
        <f>IF($A1280="","",CHOOSE(WEEKDAY($A1280,2),"Seg","Ter","Qua","Qui","Sex","Sáb","Dom"))</f>
        <v>0</v>
      </c>
      <c r="M1280" s="27">
        <f>IF($E1280="","",IF($G1280&lt;&gt;"",$G1280,IFERROR(INDEX(ProcValor,MATCH($E1280,ProcNome,0)),0)))</f>
        <v>0</v>
      </c>
      <c r="N1280" s="27">
        <f>IF($M1280="","",IF($F1280="Compareceu",$M1280,0))</f>
        <v>0</v>
      </c>
      <c r="O1280" s="27">
        <f>IF($M1280="","",IF($F1280="Faltou",$M1280,0))</f>
        <v>0</v>
      </c>
      <c r="P1280" s="27">
        <f>IF($M1280="","",IF($F1280="Compareceu",MAX(0,$M1280-N($H1280)),0))</f>
        <v>0</v>
      </c>
      <c r="Q1280" s="19">
        <f>IF(AND($F1280="Compareceu",$E1280&lt;&gt;"",$A1280&lt;&gt;""),IF(IFERROR(INDEX(ProcRet,MATCH($E1280,ProcNome,0)),0)&gt;0,$A1280+INDEX(ProcRet,MATCH($E1280,ProcNome,0)),""),"")</f>
        <v>0</v>
      </c>
      <c r="R1280" s="26">
        <f>IF($Q1280="","",IF(COUNTIFS(AgPac,$D1280,AgData,"&gt;"&amp;$A1280,AgStatus,"&lt;&gt;Cancelado",AgStatus,"&lt;&gt;Remarcado")&gt;0,"Sim","Não"))</f>
        <v>0</v>
      </c>
      <c r="S1280" s="28">
        <f>IF($A1280="","",IF(AND($F1280="Agendado",$A1280-Hoje&gt;=0,$A1280-Hoje&lt;=DiasConf),"CONFIRMAR",IF(AND($A1280&lt;Hoje,OR($F1280="Agendado",$F1280="Confirmado")),"Atualizar status",IF(AND($F1280="Compareceu",$P1280&gt;0.005),"Cobrar",IF($F1280="Faltou","Falta: reagendar","")))))</f>
        <v>0</v>
      </c>
      <c r="T1280" s="29">
        <f>IF($A1280="","",DATE(YEAR($A1280),MONTH($A1280),1))</f>
        <v>0</v>
      </c>
      <c r="U1280" s="30">
        <f>IF($S1280="CONFIRMAR",MAX($U$4:$U1279)+1,"")</f>
        <v>0</v>
      </c>
      <c r="V1280" s="30">
        <f>IF(AND($R1280="Não",$Q1280&lt;&gt;"",$Q1280&lt;=Hoje+JanelaRet,$Q1280&gt;=Hoje-60),MAX($V$4:$V1279)+1,"")</f>
        <v>0</v>
      </c>
    </row>
    <row r="1281" spans="1:22">
      <c r="A1281" s="16"/>
      <c r="B1281" s="23"/>
      <c r="C1281" s="15"/>
      <c r="D1281" s="15"/>
      <c r="E1281" s="15"/>
      <c r="F1281" s="24"/>
      <c r="G1281" s="17"/>
      <c r="H1281" s="17"/>
      <c r="I1281" s="15"/>
      <c r="J1281" s="25">
        <f>IF($D1281="","",IFERROR(INDEX(PacNome,MATCH($D1281,PacCod,0)),"Paciente não cadastrado"))</f>
        <v>0</v>
      </c>
      <c r="K1281" s="26">
        <f>IF($D1281="","",IFERROR(INDEX(PacConv,MATCH($D1281,PacCod,0))&amp;"",""))</f>
        <v>0</v>
      </c>
      <c r="L1281" s="26">
        <f>IF($A1281="","",CHOOSE(WEEKDAY($A1281,2),"Seg","Ter","Qua","Qui","Sex","Sáb","Dom"))</f>
        <v>0</v>
      </c>
      <c r="M1281" s="27">
        <f>IF($E1281="","",IF($G1281&lt;&gt;"",$G1281,IFERROR(INDEX(ProcValor,MATCH($E1281,ProcNome,0)),0)))</f>
        <v>0</v>
      </c>
      <c r="N1281" s="27">
        <f>IF($M1281="","",IF($F1281="Compareceu",$M1281,0))</f>
        <v>0</v>
      </c>
      <c r="O1281" s="27">
        <f>IF($M1281="","",IF($F1281="Faltou",$M1281,0))</f>
        <v>0</v>
      </c>
      <c r="P1281" s="27">
        <f>IF($M1281="","",IF($F1281="Compareceu",MAX(0,$M1281-N($H1281)),0))</f>
        <v>0</v>
      </c>
      <c r="Q1281" s="19">
        <f>IF(AND($F1281="Compareceu",$E1281&lt;&gt;"",$A1281&lt;&gt;""),IF(IFERROR(INDEX(ProcRet,MATCH($E1281,ProcNome,0)),0)&gt;0,$A1281+INDEX(ProcRet,MATCH($E1281,ProcNome,0)),""),"")</f>
        <v>0</v>
      </c>
      <c r="R1281" s="26">
        <f>IF($Q1281="","",IF(COUNTIFS(AgPac,$D1281,AgData,"&gt;"&amp;$A1281,AgStatus,"&lt;&gt;Cancelado",AgStatus,"&lt;&gt;Remarcado")&gt;0,"Sim","Não"))</f>
        <v>0</v>
      </c>
      <c r="S1281" s="28">
        <f>IF($A1281="","",IF(AND($F1281="Agendado",$A1281-Hoje&gt;=0,$A1281-Hoje&lt;=DiasConf),"CONFIRMAR",IF(AND($A1281&lt;Hoje,OR($F1281="Agendado",$F1281="Confirmado")),"Atualizar status",IF(AND($F1281="Compareceu",$P1281&gt;0.005),"Cobrar",IF($F1281="Faltou","Falta: reagendar","")))))</f>
        <v>0</v>
      </c>
      <c r="T1281" s="29">
        <f>IF($A1281="","",DATE(YEAR($A1281),MONTH($A1281),1))</f>
        <v>0</v>
      </c>
      <c r="U1281" s="30">
        <f>IF($S1281="CONFIRMAR",MAX($U$4:$U1280)+1,"")</f>
        <v>0</v>
      </c>
      <c r="V1281" s="30">
        <f>IF(AND($R1281="Não",$Q1281&lt;&gt;"",$Q1281&lt;=Hoje+JanelaRet,$Q1281&gt;=Hoje-60),MAX($V$4:$V1280)+1,"")</f>
        <v>0</v>
      </c>
    </row>
    <row r="1282" spans="1:22">
      <c r="A1282" s="16"/>
      <c r="B1282" s="23"/>
      <c r="C1282" s="15"/>
      <c r="D1282" s="15"/>
      <c r="E1282" s="15"/>
      <c r="F1282" s="24"/>
      <c r="G1282" s="17"/>
      <c r="H1282" s="17"/>
      <c r="I1282" s="15"/>
      <c r="J1282" s="25">
        <f>IF($D1282="","",IFERROR(INDEX(PacNome,MATCH($D1282,PacCod,0)),"Paciente não cadastrado"))</f>
        <v>0</v>
      </c>
      <c r="K1282" s="26">
        <f>IF($D1282="","",IFERROR(INDEX(PacConv,MATCH($D1282,PacCod,0))&amp;"",""))</f>
        <v>0</v>
      </c>
      <c r="L1282" s="26">
        <f>IF($A1282="","",CHOOSE(WEEKDAY($A1282,2),"Seg","Ter","Qua","Qui","Sex","Sáb","Dom"))</f>
        <v>0</v>
      </c>
      <c r="M1282" s="27">
        <f>IF($E1282="","",IF($G1282&lt;&gt;"",$G1282,IFERROR(INDEX(ProcValor,MATCH($E1282,ProcNome,0)),0)))</f>
        <v>0</v>
      </c>
      <c r="N1282" s="27">
        <f>IF($M1282="","",IF($F1282="Compareceu",$M1282,0))</f>
        <v>0</v>
      </c>
      <c r="O1282" s="27">
        <f>IF($M1282="","",IF($F1282="Faltou",$M1282,0))</f>
        <v>0</v>
      </c>
      <c r="P1282" s="27">
        <f>IF($M1282="","",IF($F1282="Compareceu",MAX(0,$M1282-N($H1282)),0))</f>
        <v>0</v>
      </c>
      <c r="Q1282" s="19">
        <f>IF(AND($F1282="Compareceu",$E1282&lt;&gt;"",$A1282&lt;&gt;""),IF(IFERROR(INDEX(ProcRet,MATCH($E1282,ProcNome,0)),0)&gt;0,$A1282+INDEX(ProcRet,MATCH($E1282,ProcNome,0)),""),"")</f>
        <v>0</v>
      </c>
      <c r="R1282" s="26">
        <f>IF($Q1282="","",IF(COUNTIFS(AgPac,$D1282,AgData,"&gt;"&amp;$A1282,AgStatus,"&lt;&gt;Cancelado",AgStatus,"&lt;&gt;Remarcado")&gt;0,"Sim","Não"))</f>
        <v>0</v>
      </c>
      <c r="S1282" s="28">
        <f>IF($A1282="","",IF(AND($F1282="Agendado",$A1282-Hoje&gt;=0,$A1282-Hoje&lt;=DiasConf),"CONFIRMAR",IF(AND($A1282&lt;Hoje,OR($F1282="Agendado",$F1282="Confirmado")),"Atualizar status",IF(AND($F1282="Compareceu",$P1282&gt;0.005),"Cobrar",IF($F1282="Faltou","Falta: reagendar","")))))</f>
        <v>0</v>
      </c>
      <c r="T1282" s="29">
        <f>IF($A1282="","",DATE(YEAR($A1282),MONTH($A1282),1))</f>
        <v>0</v>
      </c>
      <c r="U1282" s="30">
        <f>IF($S1282="CONFIRMAR",MAX($U$4:$U1281)+1,"")</f>
        <v>0</v>
      </c>
      <c r="V1282" s="30">
        <f>IF(AND($R1282="Não",$Q1282&lt;&gt;"",$Q1282&lt;=Hoje+JanelaRet,$Q1282&gt;=Hoje-60),MAX($V$4:$V1281)+1,"")</f>
        <v>0</v>
      </c>
    </row>
    <row r="1283" spans="1:22">
      <c r="A1283" s="16"/>
      <c r="B1283" s="23"/>
      <c r="C1283" s="15"/>
      <c r="D1283" s="15"/>
      <c r="E1283" s="15"/>
      <c r="F1283" s="24"/>
      <c r="G1283" s="17"/>
      <c r="H1283" s="17"/>
      <c r="I1283" s="15"/>
      <c r="J1283" s="25">
        <f>IF($D1283="","",IFERROR(INDEX(PacNome,MATCH($D1283,PacCod,0)),"Paciente não cadastrado"))</f>
        <v>0</v>
      </c>
      <c r="K1283" s="26">
        <f>IF($D1283="","",IFERROR(INDEX(PacConv,MATCH($D1283,PacCod,0))&amp;"",""))</f>
        <v>0</v>
      </c>
      <c r="L1283" s="26">
        <f>IF($A1283="","",CHOOSE(WEEKDAY($A1283,2),"Seg","Ter","Qua","Qui","Sex","Sáb","Dom"))</f>
        <v>0</v>
      </c>
      <c r="M1283" s="27">
        <f>IF($E1283="","",IF($G1283&lt;&gt;"",$G1283,IFERROR(INDEX(ProcValor,MATCH($E1283,ProcNome,0)),0)))</f>
        <v>0</v>
      </c>
      <c r="N1283" s="27">
        <f>IF($M1283="","",IF($F1283="Compareceu",$M1283,0))</f>
        <v>0</v>
      </c>
      <c r="O1283" s="27">
        <f>IF($M1283="","",IF($F1283="Faltou",$M1283,0))</f>
        <v>0</v>
      </c>
      <c r="P1283" s="27">
        <f>IF($M1283="","",IF($F1283="Compareceu",MAX(0,$M1283-N($H1283)),0))</f>
        <v>0</v>
      </c>
      <c r="Q1283" s="19">
        <f>IF(AND($F1283="Compareceu",$E1283&lt;&gt;"",$A1283&lt;&gt;""),IF(IFERROR(INDEX(ProcRet,MATCH($E1283,ProcNome,0)),0)&gt;0,$A1283+INDEX(ProcRet,MATCH($E1283,ProcNome,0)),""),"")</f>
        <v>0</v>
      </c>
      <c r="R1283" s="26">
        <f>IF($Q1283="","",IF(COUNTIFS(AgPac,$D1283,AgData,"&gt;"&amp;$A1283,AgStatus,"&lt;&gt;Cancelado",AgStatus,"&lt;&gt;Remarcado")&gt;0,"Sim","Não"))</f>
        <v>0</v>
      </c>
      <c r="S1283" s="28">
        <f>IF($A1283="","",IF(AND($F1283="Agendado",$A1283-Hoje&gt;=0,$A1283-Hoje&lt;=DiasConf),"CONFIRMAR",IF(AND($A1283&lt;Hoje,OR($F1283="Agendado",$F1283="Confirmado")),"Atualizar status",IF(AND($F1283="Compareceu",$P1283&gt;0.005),"Cobrar",IF($F1283="Faltou","Falta: reagendar","")))))</f>
        <v>0</v>
      </c>
      <c r="T1283" s="29">
        <f>IF($A1283="","",DATE(YEAR($A1283),MONTH($A1283),1))</f>
        <v>0</v>
      </c>
      <c r="U1283" s="30">
        <f>IF($S1283="CONFIRMAR",MAX($U$4:$U1282)+1,"")</f>
        <v>0</v>
      </c>
      <c r="V1283" s="30">
        <f>IF(AND($R1283="Não",$Q1283&lt;&gt;"",$Q1283&lt;=Hoje+JanelaRet,$Q1283&gt;=Hoje-60),MAX($V$4:$V1282)+1,"")</f>
        <v>0</v>
      </c>
    </row>
    <row r="1284" spans="1:22">
      <c r="A1284" s="16"/>
      <c r="B1284" s="23"/>
      <c r="C1284" s="15"/>
      <c r="D1284" s="15"/>
      <c r="E1284" s="15"/>
      <c r="F1284" s="24"/>
      <c r="G1284" s="17"/>
      <c r="H1284" s="17"/>
      <c r="I1284" s="15"/>
      <c r="J1284" s="25">
        <f>IF($D1284="","",IFERROR(INDEX(PacNome,MATCH($D1284,PacCod,0)),"Paciente não cadastrado"))</f>
        <v>0</v>
      </c>
      <c r="K1284" s="26">
        <f>IF($D1284="","",IFERROR(INDEX(PacConv,MATCH($D1284,PacCod,0))&amp;"",""))</f>
        <v>0</v>
      </c>
      <c r="L1284" s="26">
        <f>IF($A1284="","",CHOOSE(WEEKDAY($A1284,2),"Seg","Ter","Qua","Qui","Sex","Sáb","Dom"))</f>
        <v>0</v>
      </c>
      <c r="M1284" s="27">
        <f>IF($E1284="","",IF($G1284&lt;&gt;"",$G1284,IFERROR(INDEX(ProcValor,MATCH($E1284,ProcNome,0)),0)))</f>
        <v>0</v>
      </c>
      <c r="N1284" s="27">
        <f>IF($M1284="","",IF($F1284="Compareceu",$M1284,0))</f>
        <v>0</v>
      </c>
      <c r="O1284" s="27">
        <f>IF($M1284="","",IF($F1284="Faltou",$M1284,0))</f>
        <v>0</v>
      </c>
      <c r="P1284" s="27">
        <f>IF($M1284="","",IF($F1284="Compareceu",MAX(0,$M1284-N($H1284)),0))</f>
        <v>0</v>
      </c>
      <c r="Q1284" s="19">
        <f>IF(AND($F1284="Compareceu",$E1284&lt;&gt;"",$A1284&lt;&gt;""),IF(IFERROR(INDEX(ProcRet,MATCH($E1284,ProcNome,0)),0)&gt;0,$A1284+INDEX(ProcRet,MATCH($E1284,ProcNome,0)),""),"")</f>
        <v>0</v>
      </c>
      <c r="R1284" s="26">
        <f>IF($Q1284="","",IF(COUNTIFS(AgPac,$D1284,AgData,"&gt;"&amp;$A1284,AgStatus,"&lt;&gt;Cancelado",AgStatus,"&lt;&gt;Remarcado")&gt;0,"Sim","Não"))</f>
        <v>0</v>
      </c>
      <c r="S1284" s="28">
        <f>IF($A1284="","",IF(AND($F1284="Agendado",$A1284-Hoje&gt;=0,$A1284-Hoje&lt;=DiasConf),"CONFIRMAR",IF(AND($A1284&lt;Hoje,OR($F1284="Agendado",$F1284="Confirmado")),"Atualizar status",IF(AND($F1284="Compareceu",$P1284&gt;0.005),"Cobrar",IF($F1284="Faltou","Falta: reagendar","")))))</f>
        <v>0</v>
      </c>
      <c r="T1284" s="29">
        <f>IF($A1284="","",DATE(YEAR($A1284),MONTH($A1284),1))</f>
        <v>0</v>
      </c>
      <c r="U1284" s="30">
        <f>IF($S1284="CONFIRMAR",MAX($U$4:$U1283)+1,"")</f>
        <v>0</v>
      </c>
      <c r="V1284" s="30">
        <f>IF(AND($R1284="Não",$Q1284&lt;&gt;"",$Q1284&lt;=Hoje+JanelaRet,$Q1284&gt;=Hoje-60),MAX($V$4:$V1283)+1,"")</f>
        <v>0</v>
      </c>
    </row>
    <row r="1285" spans="1:22">
      <c r="A1285" s="16"/>
      <c r="B1285" s="23"/>
      <c r="C1285" s="15"/>
      <c r="D1285" s="15"/>
      <c r="E1285" s="15"/>
      <c r="F1285" s="24"/>
      <c r="G1285" s="17"/>
      <c r="H1285" s="17"/>
      <c r="I1285" s="15"/>
      <c r="J1285" s="25">
        <f>IF($D1285="","",IFERROR(INDEX(PacNome,MATCH($D1285,PacCod,0)),"Paciente não cadastrado"))</f>
        <v>0</v>
      </c>
      <c r="K1285" s="26">
        <f>IF($D1285="","",IFERROR(INDEX(PacConv,MATCH($D1285,PacCod,0))&amp;"",""))</f>
        <v>0</v>
      </c>
      <c r="L1285" s="26">
        <f>IF($A1285="","",CHOOSE(WEEKDAY($A1285,2),"Seg","Ter","Qua","Qui","Sex","Sáb","Dom"))</f>
        <v>0</v>
      </c>
      <c r="M1285" s="27">
        <f>IF($E1285="","",IF($G1285&lt;&gt;"",$G1285,IFERROR(INDEX(ProcValor,MATCH($E1285,ProcNome,0)),0)))</f>
        <v>0</v>
      </c>
      <c r="N1285" s="27">
        <f>IF($M1285="","",IF($F1285="Compareceu",$M1285,0))</f>
        <v>0</v>
      </c>
      <c r="O1285" s="27">
        <f>IF($M1285="","",IF($F1285="Faltou",$M1285,0))</f>
        <v>0</v>
      </c>
      <c r="P1285" s="27">
        <f>IF($M1285="","",IF($F1285="Compareceu",MAX(0,$M1285-N($H1285)),0))</f>
        <v>0</v>
      </c>
      <c r="Q1285" s="19">
        <f>IF(AND($F1285="Compareceu",$E1285&lt;&gt;"",$A1285&lt;&gt;""),IF(IFERROR(INDEX(ProcRet,MATCH($E1285,ProcNome,0)),0)&gt;0,$A1285+INDEX(ProcRet,MATCH($E1285,ProcNome,0)),""),"")</f>
        <v>0</v>
      </c>
      <c r="R1285" s="26">
        <f>IF($Q1285="","",IF(COUNTIFS(AgPac,$D1285,AgData,"&gt;"&amp;$A1285,AgStatus,"&lt;&gt;Cancelado",AgStatus,"&lt;&gt;Remarcado")&gt;0,"Sim","Não"))</f>
        <v>0</v>
      </c>
      <c r="S1285" s="28">
        <f>IF($A1285="","",IF(AND($F1285="Agendado",$A1285-Hoje&gt;=0,$A1285-Hoje&lt;=DiasConf),"CONFIRMAR",IF(AND($A1285&lt;Hoje,OR($F1285="Agendado",$F1285="Confirmado")),"Atualizar status",IF(AND($F1285="Compareceu",$P1285&gt;0.005),"Cobrar",IF($F1285="Faltou","Falta: reagendar","")))))</f>
        <v>0</v>
      </c>
      <c r="T1285" s="29">
        <f>IF($A1285="","",DATE(YEAR($A1285),MONTH($A1285),1))</f>
        <v>0</v>
      </c>
      <c r="U1285" s="30">
        <f>IF($S1285="CONFIRMAR",MAX($U$4:$U1284)+1,"")</f>
        <v>0</v>
      </c>
      <c r="V1285" s="30">
        <f>IF(AND($R1285="Não",$Q1285&lt;&gt;"",$Q1285&lt;=Hoje+JanelaRet,$Q1285&gt;=Hoje-60),MAX($V$4:$V1284)+1,"")</f>
        <v>0</v>
      </c>
    </row>
    <row r="1286" spans="1:22">
      <c r="A1286" s="16"/>
      <c r="B1286" s="23"/>
      <c r="C1286" s="15"/>
      <c r="D1286" s="15"/>
      <c r="E1286" s="15"/>
      <c r="F1286" s="24"/>
      <c r="G1286" s="17"/>
      <c r="H1286" s="17"/>
      <c r="I1286" s="15"/>
      <c r="J1286" s="25">
        <f>IF($D1286="","",IFERROR(INDEX(PacNome,MATCH($D1286,PacCod,0)),"Paciente não cadastrado"))</f>
        <v>0</v>
      </c>
      <c r="K1286" s="26">
        <f>IF($D1286="","",IFERROR(INDEX(PacConv,MATCH($D1286,PacCod,0))&amp;"",""))</f>
        <v>0</v>
      </c>
      <c r="L1286" s="26">
        <f>IF($A1286="","",CHOOSE(WEEKDAY($A1286,2),"Seg","Ter","Qua","Qui","Sex","Sáb","Dom"))</f>
        <v>0</v>
      </c>
      <c r="M1286" s="27">
        <f>IF($E1286="","",IF($G1286&lt;&gt;"",$G1286,IFERROR(INDEX(ProcValor,MATCH($E1286,ProcNome,0)),0)))</f>
        <v>0</v>
      </c>
      <c r="N1286" s="27">
        <f>IF($M1286="","",IF($F1286="Compareceu",$M1286,0))</f>
        <v>0</v>
      </c>
      <c r="O1286" s="27">
        <f>IF($M1286="","",IF($F1286="Faltou",$M1286,0))</f>
        <v>0</v>
      </c>
      <c r="P1286" s="27">
        <f>IF($M1286="","",IF($F1286="Compareceu",MAX(0,$M1286-N($H1286)),0))</f>
        <v>0</v>
      </c>
      <c r="Q1286" s="19">
        <f>IF(AND($F1286="Compareceu",$E1286&lt;&gt;"",$A1286&lt;&gt;""),IF(IFERROR(INDEX(ProcRet,MATCH($E1286,ProcNome,0)),0)&gt;0,$A1286+INDEX(ProcRet,MATCH($E1286,ProcNome,0)),""),"")</f>
        <v>0</v>
      </c>
      <c r="R1286" s="26">
        <f>IF($Q1286="","",IF(COUNTIFS(AgPac,$D1286,AgData,"&gt;"&amp;$A1286,AgStatus,"&lt;&gt;Cancelado",AgStatus,"&lt;&gt;Remarcado")&gt;0,"Sim","Não"))</f>
        <v>0</v>
      </c>
      <c r="S1286" s="28">
        <f>IF($A1286="","",IF(AND($F1286="Agendado",$A1286-Hoje&gt;=0,$A1286-Hoje&lt;=DiasConf),"CONFIRMAR",IF(AND($A1286&lt;Hoje,OR($F1286="Agendado",$F1286="Confirmado")),"Atualizar status",IF(AND($F1286="Compareceu",$P1286&gt;0.005),"Cobrar",IF($F1286="Faltou","Falta: reagendar","")))))</f>
        <v>0</v>
      </c>
      <c r="T1286" s="29">
        <f>IF($A1286="","",DATE(YEAR($A1286),MONTH($A1286),1))</f>
        <v>0</v>
      </c>
      <c r="U1286" s="30">
        <f>IF($S1286="CONFIRMAR",MAX($U$4:$U1285)+1,"")</f>
        <v>0</v>
      </c>
      <c r="V1286" s="30">
        <f>IF(AND($R1286="Não",$Q1286&lt;&gt;"",$Q1286&lt;=Hoje+JanelaRet,$Q1286&gt;=Hoje-60),MAX($V$4:$V1285)+1,"")</f>
        <v>0</v>
      </c>
    </row>
    <row r="1287" spans="1:22">
      <c r="A1287" s="16"/>
      <c r="B1287" s="23"/>
      <c r="C1287" s="15"/>
      <c r="D1287" s="15"/>
      <c r="E1287" s="15"/>
      <c r="F1287" s="24"/>
      <c r="G1287" s="17"/>
      <c r="H1287" s="17"/>
      <c r="I1287" s="15"/>
      <c r="J1287" s="25">
        <f>IF($D1287="","",IFERROR(INDEX(PacNome,MATCH($D1287,PacCod,0)),"Paciente não cadastrado"))</f>
        <v>0</v>
      </c>
      <c r="K1287" s="26">
        <f>IF($D1287="","",IFERROR(INDEX(PacConv,MATCH($D1287,PacCod,0))&amp;"",""))</f>
        <v>0</v>
      </c>
      <c r="L1287" s="26">
        <f>IF($A1287="","",CHOOSE(WEEKDAY($A1287,2),"Seg","Ter","Qua","Qui","Sex","Sáb","Dom"))</f>
        <v>0</v>
      </c>
      <c r="M1287" s="27">
        <f>IF($E1287="","",IF($G1287&lt;&gt;"",$G1287,IFERROR(INDEX(ProcValor,MATCH($E1287,ProcNome,0)),0)))</f>
        <v>0</v>
      </c>
      <c r="N1287" s="27">
        <f>IF($M1287="","",IF($F1287="Compareceu",$M1287,0))</f>
        <v>0</v>
      </c>
      <c r="O1287" s="27">
        <f>IF($M1287="","",IF($F1287="Faltou",$M1287,0))</f>
        <v>0</v>
      </c>
      <c r="P1287" s="27">
        <f>IF($M1287="","",IF($F1287="Compareceu",MAX(0,$M1287-N($H1287)),0))</f>
        <v>0</v>
      </c>
      <c r="Q1287" s="19">
        <f>IF(AND($F1287="Compareceu",$E1287&lt;&gt;"",$A1287&lt;&gt;""),IF(IFERROR(INDEX(ProcRet,MATCH($E1287,ProcNome,0)),0)&gt;0,$A1287+INDEX(ProcRet,MATCH($E1287,ProcNome,0)),""),"")</f>
        <v>0</v>
      </c>
      <c r="R1287" s="26">
        <f>IF($Q1287="","",IF(COUNTIFS(AgPac,$D1287,AgData,"&gt;"&amp;$A1287,AgStatus,"&lt;&gt;Cancelado",AgStatus,"&lt;&gt;Remarcado")&gt;0,"Sim","Não"))</f>
        <v>0</v>
      </c>
      <c r="S1287" s="28">
        <f>IF($A1287="","",IF(AND($F1287="Agendado",$A1287-Hoje&gt;=0,$A1287-Hoje&lt;=DiasConf),"CONFIRMAR",IF(AND($A1287&lt;Hoje,OR($F1287="Agendado",$F1287="Confirmado")),"Atualizar status",IF(AND($F1287="Compareceu",$P1287&gt;0.005),"Cobrar",IF($F1287="Faltou","Falta: reagendar","")))))</f>
        <v>0</v>
      </c>
      <c r="T1287" s="29">
        <f>IF($A1287="","",DATE(YEAR($A1287),MONTH($A1287),1))</f>
        <v>0</v>
      </c>
      <c r="U1287" s="30">
        <f>IF($S1287="CONFIRMAR",MAX($U$4:$U1286)+1,"")</f>
        <v>0</v>
      </c>
      <c r="V1287" s="30">
        <f>IF(AND($R1287="Não",$Q1287&lt;&gt;"",$Q1287&lt;=Hoje+JanelaRet,$Q1287&gt;=Hoje-60),MAX($V$4:$V1286)+1,"")</f>
        <v>0</v>
      </c>
    </row>
    <row r="1288" spans="1:22">
      <c r="A1288" s="16"/>
      <c r="B1288" s="23"/>
      <c r="C1288" s="15"/>
      <c r="D1288" s="15"/>
      <c r="E1288" s="15"/>
      <c r="F1288" s="24"/>
      <c r="G1288" s="17"/>
      <c r="H1288" s="17"/>
      <c r="I1288" s="15"/>
      <c r="J1288" s="25">
        <f>IF($D1288="","",IFERROR(INDEX(PacNome,MATCH($D1288,PacCod,0)),"Paciente não cadastrado"))</f>
        <v>0</v>
      </c>
      <c r="K1288" s="26">
        <f>IF($D1288="","",IFERROR(INDEX(PacConv,MATCH($D1288,PacCod,0))&amp;"",""))</f>
        <v>0</v>
      </c>
      <c r="L1288" s="26">
        <f>IF($A1288="","",CHOOSE(WEEKDAY($A1288,2),"Seg","Ter","Qua","Qui","Sex","Sáb","Dom"))</f>
        <v>0</v>
      </c>
      <c r="M1288" s="27">
        <f>IF($E1288="","",IF($G1288&lt;&gt;"",$G1288,IFERROR(INDEX(ProcValor,MATCH($E1288,ProcNome,0)),0)))</f>
        <v>0</v>
      </c>
      <c r="N1288" s="27">
        <f>IF($M1288="","",IF($F1288="Compareceu",$M1288,0))</f>
        <v>0</v>
      </c>
      <c r="O1288" s="27">
        <f>IF($M1288="","",IF($F1288="Faltou",$M1288,0))</f>
        <v>0</v>
      </c>
      <c r="P1288" s="27">
        <f>IF($M1288="","",IF($F1288="Compareceu",MAX(0,$M1288-N($H1288)),0))</f>
        <v>0</v>
      </c>
      <c r="Q1288" s="19">
        <f>IF(AND($F1288="Compareceu",$E1288&lt;&gt;"",$A1288&lt;&gt;""),IF(IFERROR(INDEX(ProcRet,MATCH($E1288,ProcNome,0)),0)&gt;0,$A1288+INDEX(ProcRet,MATCH($E1288,ProcNome,0)),""),"")</f>
        <v>0</v>
      </c>
      <c r="R1288" s="26">
        <f>IF($Q1288="","",IF(COUNTIFS(AgPac,$D1288,AgData,"&gt;"&amp;$A1288,AgStatus,"&lt;&gt;Cancelado",AgStatus,"&lt;&gt;Remarcado")&gt;0,"Sim","Não"))</f>
        <v>0</v>
      </c>
      <c r="S1288" s="28">
        <f>IF($A1288="","",IF(AND($F1288="Agendado",$A1288-Hoje&gt;=0,$A1288-Hoje&lt;=DiasConf),"CONFIRMAR",IF(AND($A1288&lt;Hoje,OR($F1288="Agendado",$F1288="Confirmado")),"Atualizar status",IF(AND($F1288="Compareceu",$P1288&gt;0.005),"Cobrar",IF($F1288="Faltou","Falta: reagendar","")))))</f>
        <v>0</v>
      </c>
      <c r="T1288" s="29">
        <f>IF($A1288="","",DATE(YEAR($A1288),MONTH($A1288),1))</f>
        <v>0</v>
      </c>
      <c r="U1288" s="30">
        <f>IF($S1288="CONFIRMAR",MAX($U$4:$U1287)+1,"")</f>
        <v>0</v>
      </c>
      <c r="V1288" s="30">
        <f>IF(AND($R1288="Não",$Q1288&lt;&gt;"",$Q1288&lt;=Hoje+JanelaRet,$Q1288&gt;=Hoje-60),MAX($V$4:$V1287)+1,"")</f>
        <v>0</v>
      </c>
    </row>
    <row r="1289" spans="1:22">
      <c r="A1289" s="16"/>
      <c r="B1289" s="23"/>
      <c r="C1289" s="15"/>
      <c r="D1289" s="15"/>
      <c r="E1289" s="15"/>
      <c r="F1289" s="24"/>
      <c r="G1289" s="17"/>
      <c r="H1289" s="17"/>
      <c r="I1289" s="15"/>
      <c r="J1289" s="25">
        <f>IF($D1289="","",IFERROR(INDEX(PacNome,MATCH($D1289,PacCod,0)),"Paciente não cadastrado"))</f>
        <v>0</v>
      </c>
      <c r="K1289" s="26">
        <f>IF($D1289="","",IFERROR(INDEX(PacConv,MATCH($D1289,PacCod,0))&amp;"",""))</f>
        <v>0</v>
      </c>
      <c r="L1289" s="26">
        <f>IF($A1289="","",CHOOSE(WEEKDAY($A1289,2),"Seg","Ter","Qua","Qui","Sex","Sáb","Dom"))</f>
        <v>0</v>
      </c>
      <c r="M1289" s="27">
        <f>IF($E1289="","",IF($G1289&lt;&gt;"",$G1289,IFERROR(INDEX(ProcValor,MATCH($E1289,ProcNome,0)),0)))</f>
        <v>0</v>
      </c>
      <c r="N1289" s="27">
        <f>IF($M1289="","",IF($F1289="Compareceu",$M1289,0))</f>
        <v>0</v>
      </c>
      <c r="O1289" s="27">
        <f>IF($M1289="","",IF($F1289="Faltou",$M1289,0))</f>
        <v>0</v>
      </c>
      <c r="P1289" s="27">
        <f>IF($M1289="","",IF($F1289="Compareceu",MAX(0,$M1289-N($H1289)),0))</f>
        <v>0</v>
      </c>
      <c r="Q1289" s="19">
        <f>IF(AND($F1289="Compareceu",$E1289&lt;&gt;"",$A1289&lt;&gt;""),IF(IFERROR(INDEX(ProcRet,MATCH($E1289,ProcNome,0)),0)&gt;0,$A1289+INDEX(ProcRet,MATCH($E1289,ProcNome,0)),""),"")</f>
        <v>0</v>
      </c>
      <c r="R1289" s="26">
        <f>IF($Q1289="","",IF(COUNTIFS(AgPac,$D1289,AgData,"&gt;"&amp;$A1289,AgStatus,"&lt;&gt;Cancelado",AgStatus,"&lt;&gt;Remarcado")&gt;0,"Sim","Não"))</f>
        <v>0</v>
      </c>
      <c r="S1289" s="28">
        <f>IF($A1289="","",IF(AND($F1289="Agendado",$A1289-Hoje&gt;=0,$A1289-Hoje&lt;=DiasConf),"CONFIRMAR",IF(AND($A1289&lt;Hoje,OR($F1289="Agendado",$F1289="Confirmado")),"Atualizar status",IF(AND($F1289="Compareceu",$P1289&gt;0.005),"Cobrar",IF($F1289="Faltou","Falta: reagendar","")))))</f>
        <v>0</v>
      </c>
      <c r="T1289" s="29">
        <f>IF($A1289="","",DATE(YEAR($A1289),MONTH($A1289),1))</f>
        <v>0</v>
      </c>
      <c r="U1289" s="30">
        <f>IF($S1289="CONFIRMAR",MAX($U$4:$U1288)+1,"")</f>
        <v>0</v>
      </c>
      <c r="V1289" s="30">
        <f>IF(AND($R1289="Não",$Q1289&lt;&gt;"",$Q1289&lt;=Hoje+JanelaRet,$Q1289&gt;=Hoje-60),MAX($V$4:$V1288)+1,"")</f>
        <v>0</v>
      </c>
    </row>
    <row r="1290" spans="1:22">
      <c r="A1290" s="16"/>
      <c r="B1290" s="23"/>
      <c r="C1290" s="15"/>
      <c r="D1290" s="15"/>
      <c r="E1290" s="15"/>
      <c r="F1290" s="24"/>
      <c r="G1290" s="17"/>
      <c r="H1290" s="17"/>
      <c r="I1290" s="15"/>
      <c r="J1290" s="25">
        <f>IF($D1290="","",IFERROR(INDEX(PacNome,MATCH($D1290,PacCod,0)),"Paciente não cadastrado"))</f>
        <v>0</v>
      </c>
      <c r="K1290" s="26">
        <f>IF($D1290="","",IFERROR(INDEX(PacConv,MATCH($D1290,PacCod,0))&amp;"",""))</f>
        <v>0</v>
      </c>
      <c r="L1290" s="26">
        <f>IF($A1290="","",CHOOSE(WEEKDAY($A1290,2),"Seg","Ter","Qua","Qui","Sex","Sáb","Dom"))</f>
        <v>0</v>
      </c>
      <c r="M1290" s="27">
        <f>IF($E1290="","",IF($G1290&lt;&gt;"",$G1290,IFERROR(INDEX(ProcValor,MATCH($E1290,ProcNome,0)),0)))</f>
        <v>0</v>
      </c>
      <c r="N1290" s="27">
        <f>IF($M1290="","",IF($F1290="Compareceu",$M1290,0))</f>
        <v>0</v>
      </c>
      <c r="O1290" s="27">
        <f>IF($M1290="","",IF($F1290="Faltou",$M1290,0))</f>
        <v>0</v>
      </c>
      <c r="P1290" s="27">
        <f>IF($M1290="","",IF($F1290="Compareceu",MAX(0,$M1290-N($H1290)),0))</f>
        <v>0</v>
      </c>
      <c r="Q1290" s="19">
        <f>IF(AND($F1290="Compareceu",$E1290&lt;&gt;"",$A1290&lt;&gt;""),IF(IFERROR(INDEX(ProcRet,MATCH($E1290,ProcNome,0)),0)&gt;0,$A1290+INDEX(ProcRet,MATCH($E1290,ProcNome,0)),""),"")</f>
        <v>0</v>
      </c>
      <c r="R1290" s="26">
        <f>IF($Q1290="","",IF(COUNTIFS(AgPac,$D1290,AgData,"&gt;"&amp;$A1290,AgStatus,"&lt;&gt;Cancelado",AgStatus,"&lt;&gt;Remarcado")&gt;0,"Sim","Não"))</f>
        <v>0</v>
      </c>
      <c r="S1290" s="28">
        <f>IF($A1290="","",IF(AND($F1290="Agendado",$A1290-Hoje&gt;=0,$A1290-Hoje&lt;=DiasConf),"CONFIRMAR",IF(AND($A1290&lt;Hoje,OR($F1290="Agendado",$F1290="Confirmado")),"Atualizar status",IF(AND($F1290="Compareceu",$P1290&gt;0.005),"Cobrar",IF($F1290="Faltou","Falta: reagendar","")))))</f>
        <v>0</v>
      </c>
      <c r="T1290" s="29">
        <f>IF($A1290="","",DATE(YEAR($A1290),MONTH($A1290),1))</f>
        <v>0</v>
      </c>
      <c r="U1290" s="30">
        <f>IF($S1290="CONFIRMAR",MAX($U$4:$U1289)+1,"")</f>
        <v>0</v>
      </c>
      <c r="V1290" s="30">
        <f>IF(AND($R1290="Não",$Q1290&lt;&gt;"",$Q1290&lt;=Hoje+JanelaRet,$Q1290&gt;=Hoje-60),MAX($V$4:$V1289)+1,"")</f>
        <v>0</v>
      </c>
    </row>
    <row r="1291" spans="1:22">
      <c r="A1291" s="16"/>
      <c r="B1291" s="23"/>
      <c r="C1291" s="15"/>
      <c r="D1291" s="15"/>
      <c r="E1291" s="15"/>
      <c r="F1291" s="24"/>
      <c r="G1291" s="17"/>
      <c r="H1291" s="17"/>
      <c r="I1291" s="15"/>
      <c r="J1291" s="25">
        <f>IF($D1291="","",IFERROR(INDEX(PacNome,MATCH($D1291,PacCod,0)),"Paciente não cadastrado"))</f>
        <v>0</v>
      </c>
      <c r="K1291" s="26">
        <f>IF($D1291="","",IFERROR(INDEX(PacConv,MATCH($D1291,PacCod,0))&amp;"",""))</f>
        <v>0</v>
      </c>
      <c r="L1291" s="26">
        <f>IF($A1291="","",CHOOSE(WEEKDAY($A1291,2),"Seg","Ter","Qua","Qui","Sex","Sáb","Dom"))</f>
        <v>0</v>
      </c>
      <c r="M1291" s="27">
        <f>IF($E1291="","",IF($G1291&lt;&gt;"",$G1291,IFERROR(INDEX(ProcValor,MATCH($E1291,ProcNome,0)),0)))</f>
        <v>0</v>
      </c>
      <c r="N1291" s="27">
        <f>IF($M1291="","",IF($F1291="Compareceu",$M1291,0))</f>
        <v>0</v>
      </c>
      <c r="O1291" s="27">
        <f>IF($M1291="","",IF($F1291="Faltou",$M1291,0))</f>
        <v>0</v>
      </c>
      <c r="P1291" s="27">
        <f>IF($M1291="","",IF($F1291="Compareceu",MAX(0,$M1291-N($H1291)),0))</f>
        <v>0</v>
      </c>
      <c r="Q1291" s="19">
        <f>IF(AND($F1291="Compareceu",$E1291&lt;&gt;"",$A1291&lt;&gt;""),IF(IFERROR(INDEX(ProcRet,MATCH($E1291,ProcNome,0)),0)&gt;0,$A1291+INDEX(ProcRet,MATCH($E1291,ProcNome,0)),""),"")</f>
        <v>0</v>
      </c>
      <c r="R1291" s="26">
        <f>IF($Q1291="","",IF(COUNTIFS(AgPac,$D1291,AgData,"&gt;"&amp;$A1291,AgStatus,"&lt;&gt;Cancelado",AgStatus,"&lt;&gt;Remarcado")&gt;0,"Sim","Não"))</f>
        <v>0</v>
      </c>
      <c r="S1291" s="28">
        <f>IF($A1291="","",IF(AND($F1291="Agendado",$A1291-Hoje&gt;=0,$A1291-Hoje&lt;=DiasConf),"CONFIRMAR",IF(AND($A1291&lt;Hoje,OR($F1291="Agendado",$F1291="Confirmado")),"Atualizar status",IF(AND($F1291="Compareceu",$P1291&gt;0.005),"Cobrar",IF($F1291="Faltou","Falta: reagendar","")))))</f>
        <v>0</v>
      </c>
      <c r="T1291" s="29">
        <f>IF($A1291="","",DATE(YEAR($A1291),MONTH($A1291),1))</f>
        <v>0</v>
      </c>
      <c r="U1291" s="30">
        <f>IF($S1291="CONFIRMAR",MAX($U$4:$U1290)+1,"")</f>
        <v>0</v>
      </c>
      <c r="V1291" s="30">
        <f>IF(AND($R1291="Não",$Q1291&lt;&gt;"",$Q1291&lt;=Hoje+JanelaRet,$Q1291&gt;=Hoje-60),MAX($V$4:$V1290)+1,"")</f>
        <v>0</v>
      </c>
    </row>
    <row r="1292" spans="1:22">
      <c r="A1292" s="16"/>
      <c r="B1292" s="23"/>
      <c r="C1292" s="15"/>
      <c r="D1292" s="15"/>
      <c r="E1292" s="15"/>
      <c r="F1292" s="24"/>
      <c r="G1292" s="17"/>
      <c r="H1292" s="17"/>
      <c r="I1292" s="15"/>
      <c r="J1292" s="25">
        <f>IF($D1292="","",IFERROR(INDEX(PacNome,MATCH($D1292,PacCod,0)),"Paciente não cadastrado"))</f>
        <v>0</v>
      </c>
      <c r="K1292" s="26">
        <f>IF($D1292="","",IFERROR(INDEX(PacConv,MATCH($D1292,PacCod,0))&amp;"",""))</f>
        <v>0</v>
      </c>
      <c r="L1292" s="26">
        <f>IF($A1292="","",CHOOSE(WEEKDAY($A1292,2),"Seg","Ter","Qua","Qui","Sex","Sáb","Dom"))</f>
        <v>0</v>
      </c>
      <c r="M1292" s="27">
        <f>IF($E1292="","",IF($G1292&lt;&gt;"",$G1292,IFERROR(INDEX(ProcValor,MATCH($E1292,ProcNome,0)),0)))</f>
        <v>0</v>
      </c>
      <c r="N1292" s="27">
        <f>IF($M1292="","",IF($F1292="Compareceu",$M1292,0))</f>
        <v>0</v>
      </c>
      <c r="O1292" s="27">
        <f>IF($M1292="","",IF($F1292="Faltou",$M1292,0))</f>
        <v>0</v>
      </c>
      <c r="P1292" s="27">
        <f>IF($M1292="","",IF($F1292="Compareceu",MAX(0,$M1292-N($H1292)),0))</f>
        <v>0</v>
      </c>
      <c r="Q1292" s="19">
        <f>IF(AND($F1292="Compareceu",$E1292&lt;&gt;"",$A1292&lt;&gt;""),IF(IFERROR(INDEX(ProcRet,MATCH($E1292,ProcNome,0)),0)&gt;0,$A1292+INDEX(ProcRet,MATCH($E1292,ProcNome,0)),""),"")</f>
        <v>0</v>
      </c>
      <c r="R1292" s="26">
        <f>IF($Q1292="","",IF(COUNTIFS(AgPac,$D1292,AgData,"&gt;"&amp;$A1292,AgStatus,"&lt;&gt;Cancelado",AgStatus,"&lt;&gt;Remarcado")&gt;0,"Sim","Não"))</f>
        <v>0</v>
      </c>
      <c r="S1292" s="28">
        <f>IF($A1292="","",IF(AND($F1292="Agendado",$A1292-Hoje&gt;=0,$A1292-Hoje&lt;=DiasConf),"CONFIRMAR",IF(AND($A1292&lt;Hoje,OR($F1292="Agendado",$F1292="Confirmado")),"Atualizar status",IF(AND($F1292="Compareceu",$P1292&gt;0.005),"Cobrar",IF($F1292="Faltou","Falta: reagendar","")))))</f>
        <v>0</v>
      </c>
      <c r="T1292" s="29">
        <f>IF($A1292="","",DATE(YEAR($A1292),MONTH($A1292),1))</f>
        <v>0</v>
      </c>
      <c r="U1292" s="30">
        <f>IF($S1292="CONFIRMAR",MAX($U$4:$U1291)+1,"")</f>
        <v>0</v>
      </c>
      <c r="V1292" s="30">
        <f>IF(AND($R1292="Não",$Q1292&lt;&gt;"",$Q1292&lt;=Hoje+JanelaRet,$Q1292&gt;=Hoje-60),MAX($V$4:$V1291)+1,"")</f>
        <v>0</v>
      </c>
    </row>
    <row r="1293" spans="1:22">
      <c r="A1293" s="16"/>
      <c r="B1293" s="23"/>
      <c r="C1293" s="15"/>
      <c r="D1293" s="15"/>
      <c r="E1293" s="15"/>
      <c r="F1293" s="24"/>
      <c r="G1293" s="17"/>
      <c r="H1293" s="17"/>
      <c r="I1293" s="15"/>
      <c r="J1293" s="25">
        <f>IF($D1293="","",IFERROR(INDEX(PacNome,MATCH($D1293,PacCod,0)),"Paciente não cadastrado"))</f>
        <v>0</v>
      </c>
      <c r="K1293" s="26">
        <f>IF($D1293="","",IFERROR(INDEX(PacConv,MATCH($D1293,PacCod,0))&amp;"",""))</f>
        <v>0</v>
      </c>
      <c r="L1293" s="26">
        <f>IF($A1293="","",CHOOSE(WEEKDAY($A1293,2),"Seg","Ter","Qua","Qui","Sex","Sáb","Dom"))</f>
        <v>0</v>
      </c>
      <c r="M1293" s="27">
        <f>IF($E1293="","",IF($G1293&lt;&gt;"",$G1293,IFERROR(INDEX(ProcValor,MATCH($E1293,ProcNome,0)),0)))</f>
        <v>0</v>
      </c>
      <c r="N1293" s="27">
        <f>IF($M1293="","",IF($F1293="Compareceu",$M1293,0))</f>
        <v>0</v>
      </c>
      <c r="O1293" s="27">
        <f>IF($M1293="","",IF($F1293="Faltou",$M1293,0))</f>
        <v>0</v>
      </c>
      <c r="P1293" s="27">
        <f>IF($M1293="","",IF($F1293="Compareceu",MAX(0,$M1293-N($H1293)),0))</f>
        <v>0</v>
      </c>
      <c r="Q1293" s="19">
        <f>IF(AND($F1293="Compareceu",$E1293&lt;&gt;"",$A1293&lt;&gt;""),IF(IFERROR(INDEX(ProcRet,MATCH($E1293,ProcNome,0)),0)&gt;0,$A1293+INDEX(ProcRet,MATCH($E1293,ProcNome,0)),""),"")</f>
        <v>0</v>
      </c>
      <c r="R1293" s="26">
        <f>IF($Q1293="","",IF(COUNTIFS(AgPac,$D1293,AgData,"&gt;"&amp;$A1293,AgStatus,"&lt;&gt;Cancelado",AgStatus,"&lt;&gt;Remarcado")&gt;0,"Sim","Não"))</f>
        <v>0</v>
      </c>
      <c r="S1293" s="28">
        <f>IF($A1293="","",IF(AND($F1293="Agendado",$A1293-Hoje&gt;=0,$A1293-Hoje&lt;=DiasConf),"CONFIRMAR",IF(AND($A1293&lt;Hoje,OR($F1293="Agendado",$F1293="Confirmado")),"Atualizar status",IF(AND($F1293="Compareceu",$P1293&gt;0.005),"Cobrar",IF($F1293="Faltou","Falta: reagendar","")))))</f>
        <v>0</v>
      </c>
      <c r="T1293" s="29">
        <f>IF($A1293="","",DATE(YEAR($A1293),MONTH($A1293),1))</f>
        <v>0</v>
      </c>
      <c r="U1293" s="30">
        <f>IF($S1293="CONFIRMAR",MAX($U$4:$U1292)+1,"")</f>
        <v>0</v>
      </c>
      <c r="V1293" s="30">
        <f>IF(AND($R1293="Não",$Q1293&lt;&gt;"",$Q1293&lt;=Hoje+JanelaRet,$Q1293&gt;=Hoje-60),MAX($V$4:$V1292)+1,"")</f>
        <v>0</v>
      </c>
    </row>
    <row r="1294" spans="1:22">
      <c r="A1294" s="16"/>
      <c r="B1294" s="23"/>
      <c r="C1294" s="15"/>
      <c r="D1294" s="15"/>
      <c r="E1294" s="15"/>
      <c r="F1294" s="24"/>
      <c r="G1294" s="17"/>
      <c r="H1294" s="17"/>
      <c r="I1294" s="15"/>
      <c r="J1294" s="25">
        <f>IF($D1294="","",IFERROR(INDEX(PacNome,MATCH($D1294,PacCod,0)),"Paciente não cadastrado"))</f>
        <v>0</v>
      </c>
      <c r="K1294" s="26">
        <f>IF($D1294="","",IFERROR(INDEX(PacConv,MATCH($D1294,PacCod,0))&amp;"",""))</f>
        <v>0</v>
      </c>
      <c r="L1294" s="26">
        <f>IF($A1294="","",CHOOSE(WEEKDAY($A1294,2),"Seg","Ter","Qua","Qui","Sex","Sáb","Dom"))</f>
        <v>0</v>
      </c>
      <c r="M1294" s="27">
        <f>IF($E1294="","",IF($G1294&lt;&gt;"",$G1294,IFERROR(INDEX(ProcValor,MATCH($E1294,ProcNome,0)),0)))</f>
        <v>0</v>
      </c>
      <c r="N1294" s="27">
        <f>IF($M1294="","",IF($F1294="Compareceu",$M1294,0))</f>
        <v>0</v>
      </c>
      <c r="O1294" s="27">
        <f>IF($M1294="","",IF($F1294="Faltou",$M1294,0))</f>
        <v>0</v>
      </c>
      <c r="P1294" s="27">
        <f>IF($M1294="","",IF($F1294="Compareceu",MAX(0,$M1294-N($H1294)),0))</f>
        <v>0</v>
      </c>
      <c r="Q1294" s="19">
        <f>IF(AND($F1294="Compareceu",$E1294&lt;&gt;"",$A1294&lt;&gt;""),IF(IFERROR(INDEX(ProcRet,MATCH($E1294,ProcNome,0)),0)&gt;0,$A1294+INDEX(ProcRet,MATCH($E1294,ProcNome,0)),""),"")</f>
        <v>0</v>
      </c>
      <c r="R1294" s="26">
        <f>IF($Q1294="","",IF(COUNTIFS(AgPac,$D1294,AgData,"&gt;"&amp;$A1294,AgStatus,"&lt;&gt;Cancelado",AgStatus,"&lt;&gt;Remarcado")&gt;0,"Sim","Não"))</f>
        <v>0</v>
      </c>
      <c r="S1294" s="28">
        <f>IF($A1294="","",IF(AND($F1294="Agendado",$A1294-Hoje&gt;=0,$A1294-Hoje&lt;=DiasConf),"CONFIRMAR",IF(AND($A1294&lt;Hoje,OR($F1294="Agendado",$F1294="Confirmado")),"Atualizar status",IF(AND($F1294="Compareceu",$P1294&gt;0.005),"Cobrar",IF($F1294="Faltou","Falta: reagendar","")))))</f>
        <v>0</v>
      </c>
      <c r="T1294" s="29">
        <f>IF($A1294="","",DATE(YEAR($A1294),MONTH($A1294),1))</f>
        <v>0</v>
      </c>
      <c r="U1294" s="30">
        <f>IF($S1294="CONFIRMAR",MAX($U$4:$U1293)+1,"")</f>
        <v>0</v>
      </c>
      <c r="V1294" s="30">
        <f>IF(AND($R1294="Não",$Q1294&lt;&gt;"",$Q1294&lt;=Hoje+JanelaRet,$Q1294&gt;=Hoje-60),MAX($V$4:$V1293)+1,"")</f>
        <v>0</v>
      </c>
    </row>
    <row r="1295" spans="1:22">
      <c r="A1295" s="16"/>
      <c r="B1295" s="23"/>
      <c r="C1295" s="15"/>
      <c r="D1295" s="15"/>
      <c r="E1295" s="15"/>
      <c r="F1295" s="24"/>
      <c r="G1295" s="17"/>
      <c r="H1295" s="17"/>
      <c r="I1295" s="15"/>
      <c r="J1295" s="25">
        <f>IF($D1295="","",IFERROR(INDEX(PacNome,MATCH($D1295,PacCod,0)),"Paciente não cadastrado"))</f>
        <v>0</v>
      </c>
      <c r="K1295" s="26">
        <f>IF($D1295="","",IFERROR(INDEX(PacConv,MATCH($D1295,PacCod,0))&amp;"",""))</f>
        <v>0</v>
      </c>
      <c r="L1295" s="26">
        <f>IF($A1295="","",CHOOSE(WEEKDAY($A1295,2),"Seg","Ter","Qua","Qui","Sex","Sáb","Dom"))</f>
        <v>0</v>
      </c>
      <c r="M1295" s="27">
        <f>IF($E1295="","",IF($G1295&lt;&gt;"",$G1295,IFERROR(INDEX(ProcValor,MATCH($E1295,ProcNome,0)),0)))</f>
        <v>0</v>
      </c>
      <c r="N1295" s="27">
        <f>IF($M1295="","",IF($F1295="Compareceu",$M1295,0))</f>
        <v>0</v>
      </c>
      <c r="O1295" s="27">
        <f>IF($M1295="","",IF($F1295="Faltou",$M1295,0))</f>
        <v>0</v>
      </c>
      <c r="P1295" s="27">
        <f>IF($M1295="","",IF($F1295="Compareceu",MAX(0,$M1295-N($H1295)),0))</f>
        <v>0</v>
      </c>
      <c r="Q1295" s="19">
        <f>IF(AND($F1295="Compareceu",$E1295&lt;&gt;"",$A1295&lt;&gt;""),IF(IFERROR(INDEX(ProcRet,MATCH($E1295,ProcNome,0)),0)&gt;0,$A1295+INDEX(ProcRet,MATCH($E1295,ProcNome,0)),""),"")</f>
        <v>0</v>
      </c>
      <c r="R1295" s="26">
        <f>IF($Q1295="","",IF(COUNTIFS(AgPac,$D1295,AgData,"&gt;"&amp;$A1295,AgStatus,"&lt;&gt;Cancelado",AgStatus,"&lt;&gt;Remarcado")&gt;0,"Sim","Não"))</f>
        <v>0</v>
      </c>
      <c r="S1295" s="28">
        <f>IF($A1295="","",IF(AND($F1295="Agendado",$A1295-Hoje&gt;=0,$A1295-Hoje&lt;=DiasConf),"CONFIRMAR",IF(AND($A1295&lt;Hoje,OR($F1295="Agendado",$F1295="Confirmado")),"Atualizar status",IF(AND($F1295="Compareceu",$P1295&gt;0.005),"Cobrar",IF($F1295="Faltou","Falta: reagendar","")))))</f>
        <v>0</v>
      </c>
      <c r="T1295" s="29">
        <f>IF($A1295="","",DATE(YEAR($A1295),MONTH($A1295),1))</f>
        <v>0</v>
      </c>
      <c r="U1295" s="30">
        <f>IF($S1295="CONFIRMAR",MAX($U$4:$U1294)+1,"")</f>
        <v>0</v>
      </c>
      <c r="V1295" s="30">
        <f>IF(AND($R1295="Não",$Q1295&lt;&gt;"",$Q1295&lt;=Hoje+JanelaRet,$Q1295&gt;=Hoje-60),MAX($V$4:$V1294)+1,"")</f>
        <v>0</v>
      </c>
    </row>
    <row r="1296" spans="1:22">
      <c r="A1296" s="16"/>
      <c r="B1296" s="23"/>
      <c r="C1296" s="15"/>
      <c r="D1296" s="15"/>
      <c r="E1296" s="15"/>
      <c r="F1296" s="24"/>
      <c r="G1296" s="17"/>
      <c r="H1296" s="17"/>
      <c r="I1296" s="15"/>
      <c r="J1296" s="25">
        <f>IF($D1296="","",IFERROR(INDEX(PacNome,MATCH($D1296,PacCod,0)),"Paciente não cadastrado"))</f>
        <v>0</v>
      </c>
      <c r="K1296" s="26">
        <f>IF($D1296="","",IFERROR(INDEX(PacConv,MATCH($D1296,PacCod,0))&amp;"",""))</f>
        <v>0</v>
      </c>
      <c r="L1296" s="26">
        <f>IF($A1296="","",CHOOSE(WEEKDAY($A1296,2),"Seg","Ter","Qua","Qui","Sex","Sáb","Dom"))</f>
        <v>0</v>
      </c>
      <c r="M1296" s="27">
        <f>IF($E1296="","",IF($G1296&lt;&gt;"",$G1296,IFERROR(INDEX(ProcValor,MATCH($E1296,ProcNome,0)),0)))</f>
        <v>0</v>
      </c>
      <c r="N1296" s="27">
        <f>IF($M1296="","",IF($F1296="Compareceu",$M1296,0))</f>
        <v>0</v>
      </c>
      <c r="O1296" s="27">
        <f>IF($M1296="","",IF($F1296="Faltou",$M1296,0))</f>
        <v>0</v>
      </c>
      <c r="P1296" s="27">
        <f>IF($M1296="","",IF($F1296="Compareceu",MAX(0,$M1296-N($H1296)),0))</f>
        <v>0</v>
      </c>
      <c r="Q1296" s="19">
        <f>IF(AND($F1296="Compareceu",$E1296&lt;&gt;"",$A1296&lt;&gt;""),IF(IFERROR(INDEX(ProcRet,MATCH($E1296,ProcNome,0)),0)&gt;0,$A1296+INDEX(ProcRet,MATCH($E1296,ProcNome,0)),""),"")</f>
        <v>0</v>
      </c>
      <c r="R1296" s="26">
        <f>IF($Q1296="","",IF(COUNTIFS(AgPac,$D1296,AgData,"&gt;"&amp;$A1296,AgStatus,"&lt;&gt;Cancelado",AgStatus,"&lt;&gt;Remarcado")&gt;0,"Sim","Não"))</f>
        <v>0</v>
      </c>
      <c r="S1296" s="28">
        <f>IF($A1296="","",IF(AND($F1296="Agendado",$A1296-Hoje&gt;=0,$A1296-Hoje&lt;=DiasConf),"CONFIRMAR",IF(AND($A1296&lt;Hoje,OR($F1296="Agendado",$F1296="Confirmado")),"Atualizar status",IF(AND($F1296="Compareceu",$P1296&gt;0.005),"Cobrar",IF($F1296="Faltou","Falta: reagendar","")))))</f>
        <v>0</v>
      </c>
      <c r="T1296" s="29">
        <f>IF($A1296="","",DATE(YEAR($A1296),MONTH($A1296),1))</f>
        <v>0</v>
      </c>
      <c r="U1296" s="30">
        <f>IF($S1296="CONFIRMAR",MAX($U$4:$U1295)+1,"")</f>
        <v>0</v>
      </c>
      <c r="V1296" s="30">
        <f>IF(AND($R1296="Não",$Q1296&lt;&gt;"",$Q1296&lt;=Hoje+JanelaRet,$Q1296&gt;=Hoje-60),MAX($V$4:$V1295)+1,"")</f>
        <v>0</v>
      </c>
    </row>
    <row r="1297" spans="1:22">
      <c r="A1297" s="16"/>
      <c r="B1297" s="23"/>
      <c r="C1297" s="15"/>
      <c r="D1297" s="15"/>
      <c r="E1297" s="15"/>
      <c r="F1297" s="24"/>
      <c r="G1297" s="17"/>
      <c r="H1297" s="17"/>
      <c r="I1297" s="15"/>
      <c r="J1297" s="25">
        <f>IF($D1297="","",IFERROR(INDEX(PacNome,MATCH($D1297,PacCod,0)),"Paciente não cadastrado"))</f>
        <v>0</v>
      </c>
      <c r="K1297" s="26">
        <f>IF($D1297="","",IFERROR(INDEX(PacConv,MATCH($D1297,PacCod,0))&amp;"",""))</f>
        <v>0</v>
      </c>
      <c r="L1297" s="26">
        <f>IF($A1297="","",CHOOSE(WEEKDAY($A1297,2),"Seg","Ter","Qua","Qui","Sex","Sáb","Dom"))</f>
        <v>0</v>
      </c>
      <c r="M1297" s="27">
        <f>IF($E1297="","",IF($G1297&lt;&gt;"",$G1297,IFERROR(INDEX(ProcValor,MATCH($E1297,ProcNome,0)),0)))</f>
        <v>0</v>
      </c>
      <c r="N1297" s="27">
        <f>IF($M1297="","",IF($F1297="Compareceu",$M1297,0))</f>
        <v>0</v>
      </c>
      <c r="O1297" s="27">
        <f>IF($M1297="","",IF($F1297="Faltou",$M1297,0))</f>
        <v>0</v>
      </c>
      <c r="P1297" s="27">
        <f>IF($M1297="","",IF($F1297="Compareceu",MAX(0,$M1297-N($H1297)),0))</f>
        <v>0</v>
      </c>
      <c r="Q1297" s="19">
        <f>IF(AND($F1297="Compareceu",$E1297&lt;&gt;"",$A1297&lt;&gt;""),IF(IFERROR(INDEX(ProcRet,MATCH($E1297,ProcNome,0)),0)&gt;0,$A1297+INDEX(ProcRet,MATCH($E1297,ProcNome,0)),""),"")</f>
        <v>0</v>
      </c>
      <c r="R1297" s="26">
        <f>IF($Q1297="","",IF(COUNTIFS(AgPac,$D1297,AgData,"&gt;"&amp;$A1297,AgStatus,"&lt;&gt;Cancelado",AgStatus,"&lt;&gt;Remarcado")&gt;0,"Sim","Não"))</f>
        <v>0</v>
      </c>
      <c r="S1297" s="28">
        <f>IF($A1297="","",IF(AND($F1297="Agendado",$A1297-Hoje&gt;=0,$A1297-Hoje&lt;=DiasConf),"CONFIRMAR",IF(AND($A1297&lt;Hoje,OR($F1297="Agendado",$F1297="Confirmado")),"Atualizar status",IF(AND($F1297="Compareceu",$P1297&gt;0.005),"Cobrar",IF($F1297="Faltou","Falta: reagendar","")))))</f>
        <v>0</v>
      </c>
      <c r="T1297" s="29">
        <f>IF($A1297="","",DATE(YEAR($A1297),MONTH($A1297),1))</f>
        <v>0</v>
      </c>
      <c r="U1297" s="30">
        <f>IF($S1297="CONFIRMAR",MAX($U$4:$U1296)+1,"")</f>
        <v>0</v>
      </c>
      <c r="V1297" s="30">
        <f>IF(AND($R1297="Não",$Q1297&lt;&gt;"",$Q1297&lt;=Hoje+JanelaRet,$Q1297&gt;=Hoje-60),MAX($V$4:$V1296)+1,"")</f>
        <v>0</v>
      </c>
    </row>
    <row r="1298" spans="1:22">
      <c r="A1298" s="16"/>
      <c r="B1298" s="23"/>
      <c r="C1298" s="15"/>
      <c r="D1298" s="15"/>
      <c r="E1298" s="15"/>
      <c r="F1298" s="24"/>
      <c r="G1298" s="17"/>
      <c r="H1298" s="17"/>
      <c r="I1298" s="15"/>
      <c r="J1298" s="25">
        <f>IF($D1298="","",IFERROR(INDEX(PacNome,MATCH($D1298,PacCod,0)),"Paciente não cadastrado"))</f>
        <v>0</v>
      </c>
      <c r="K1298" s="26">
        <f>IF($D1298="","",IFERROR(INDEX(PacConv,MATCH($D1298,PacCod,0))&amp;"",""))</f>
        <v>0</v>
      </c>
      <c r="L1298" s="26">
        <f>IF($A1298="","",CHOOSE(WEEKDAY($A1298,2),"Seg","Ter","Qua","Qui","Sex","Sáb","Dom"))</f>
        <v>0</v>
      </c>
      <c r="M1298" s="27">
        <f>IF($E1298="","",IF($G1298&lt;&gt;"",$G1298,IFERROR(INDEX(ProcValor,MATCH($E1298,ProcNome,0)),0)))</f>
        <v>0</v>
      </c>
      <c r="N1298" s="27">
        <f>IF($M1298="","",IF($F1298="Compareceu",$M1298,0))</f>
        <v>0</v>
      </c>
      <c r="O1298" s="27">
        <f>IF($M1298="","",IF($F1298="Faltou",$M1298,0))</f>
        <v>0</v>
      </c>
      <c r="P1298" s="27">
        <f>IF($M1298="","",IF($F1298="Compareceu",MAX(0,$M1298-N($H1298)),0))</f>
        <v>0</v>
      </c>
      <c r="Q1298" s="19">
        <f>IF(AND($F1298="Compareceu",$E1298&lt;&gt;"",$A1298&lt;&gt;""),IF(IFERROR(INDEX(ProcRet,MATCH($E1298,ProcNome,0)),0)&gt;0,$A1298+INDEX(ProcRet,MATCH($E1298,ProcNome,0)),""),"")</f>
        <v>0</v>
      </c>
      <c r="R1298" s="26">
        <f>IF($Q1298="","",IF(COUNTIFS(AgPac,$D1298,AgData,"&gt;"&amp;$A1298,AgStatus,"&lt;&gt;Cancelado",AgStatus,"&lt;&gt;Remarcado")&gt;0,"Sim","Não"))</f>
        <v>0</v>
      </c>
      <c r="S1298" s="28">
        <f>IF($A1298="","",IF(AND($F1298="Agendado",$A1298-Hoje&gt;=0,$A1298-Hoje&lt;=DiasConf),"CONFIRMAR",IF(AND($A1298&lt;Hoje,OR($F1298="Agendado",$F1298="Confirmado")),"Atualizar status",IF(AND($F1298="Compareceu",$P1298&gt;0.005),"Cobrar",IF($F1298="Faltou","Falta: reagendar","")))))</f>
        <v>0</v>
      </c>
      <c r="T1298" s="29">
        <f>IF($A1298="","",DATE(YEAR($A1298),MONTH($A1298),1))</f>
        <v>0</v>
      </c>
      <c r="U1298" s="30">
        <f>IF($S1298="CONFIRMAR",MAX($U$4:$U1297)+1,"")</f>
        <v>0</v>
      </c>
      <c r="V1298" s="30">
        <f>IF(AND($R1298="Não",$Q1298&lt;&gt;"",$Q1298&lt;=Hoje+JanelaRet,$Q1298&gt;=Hoje-60),MAX($V$4:$V1297)+1,"")</f>
        <v>0</v>
      </c>
    </row>
    <row r="1299" spans="1:22">
      <c r="A1299" s="16"/>
      <c r="B1299" s="23"/>
      <c r="C1299" s="15"/>
      <c r="D1299" s="15"/>
      <c r="E1299" s="15"/>
      <c r="F1299" s="24"/>
      <c r="G1299" s="17"/>
      <c r="H1299" s="17"/>
      <c r="I1299" s="15"/>
      <c r="J1299" s="25">
        <f>IF($D1299="","",IFERROR(INDEX(PacNome,MATCH($D1299,PacCod,0)),"Paciente não cadastrado"))</f>
        <v>0</v>
      </c>
      <c r="K1299" s="26">
        <f>IF($D1299="","",IFERROR(INDEX(PacConv,MATCH($D1299,PacCod,0))&amp;"",""))</f>
        <v>0</v>
      </c>
      <c r="L1299" s="26">
        <f>IF($A1299="","",CHOOSE(WEEKDAY($A1299,2),"Seg","Ter","Qua","Qui","Sex","Sáb","Dom"))</f>
        <v>0</v>
      </c>
      <c r="M1299" s="27">
        <f>IF($E1299="","",IF($G1299&lt;&gt;"",$G1299,IFERROR(INDEX(ProcValor,MATCH($E1299,ProcNome,0)),0)))</f>
        <v>0</v>
      </c>
      <c r="N1299" s="27">
        <f>IF($M1299="","",IF($F1299="Compareceu",$M1299,0))</f>
        <v>0</v>
      </c>
      <c r="O1299" s="27">
        <f>IF($M1299="","",IF($F1299="Faltou",$M1299,0))</f>
        <v>0</v>
      </c>
      <c r="P1299" s="27">
        <f>IF($M1299="","",IF($F1299="Compareceu",MAX(0,$M1299-N($H1299)),0))</f>
        <v>0</v>
      </c>
      <c r="Q1299" s="19">
        <f>IF(AND($F1299="Compareceu",$E1299&lt;&gt;"",$A1299&lt;&gt;""),IF(IFERROR(INDEX(ProcRet,MATCH($E1299,ProcNome,0)),0)&gt;0,$A1299+INDEX(ProcRet,MATCH($E1299,ProcNome,0)),""),"")</f>
        <v>0</v>
      </c>
      <c r="R1299" s="26">
        <f>IF($Q1299="","",IF(COUNTIFS(AgPac,$D1299,AgData,"&gt;"&amp;$A1299,AgStatus,"&lt;&gt;Cancelado",AgStatus,"&lt;&gt;Remarcado")&gt;0,"Sim","Não"))</f>
        <v>0</v>
      </c>
      <c r="S1299" s="28">
        <f>IF($A1299="","",IF(AND($F1299="Agendado",$A1299-Hoje&gt;=0,$A1299-Hoje&lt;=DiasConf),"CONFIRMAR",IF(AND($A1299&lt;Hoje,OR($F1299="Agendado",$F1299="Confirmado")),"Atualizar status",IF(AND($F1299="Compareceu",$P1299&gt;0.005),"Cobrar",IF($F1299="Faltou","Falta: reagendar","")))))</f>
        <v>0</v>
      </c>
      <c r="T1299" s="29">
        <f>IF($A1299="","",DATE(YEAR($A1299),MONTH($A1299),1))</f>
        <v>0</v>
      </c>
      <c r="U1299" s="30">
        <f>IF($S1299="CONFIRMAR",MAX($U$4:$U1298)+1,"")</f>
        <v>0</v>
      </c>
      <c r="V1299" s="30">
        <f>IF(AND($R1299="Não",$Q1299&lt;&gt;"",$Q1299&lt;=Hoje+JanelaRet,$Q1299&gt;=Hoje-60),MAX($V$4:$V1298)+1,"")</f>
        <v>0</v>
      </c>
    </row>
    <row r="1300" spans="1:22">
      <c r="A1300" s="16"/>
      <c r="B1300" s="23"/>
      <c r="C1300" s="15"/>
      <c r="D1300" s="15"/>
      <c r="E1300" s="15"/>
      <c r="F1300" s="24"/>
      <c r="G1300" s="17"/>
      <c r="H1300" s="17"/>
      <c r="I1300" s="15"/>
      <c r="J1300" s="25">
        <f>IF($D1300="","",IFERROR(INDEX(PacNome,MATCH($D1300,PacCod,0)),"Paciente não cadastrado"))</f>
        <v>0</v>
      </c>
      <c r="K1300" s="26">
        <f>IF($D1300="","",IFERROR(INDEX(PacConv,MATCH($D1300,PacCod,0))&amp;"",""))</f>
        <v>0</v>
      </c>
      <c r="L1300" s="26">
        <f>IF($A1300="","",CHOOSE(WEEKDAY($A1300,2),"Seg","Ter","Qua","Qui","Sex","Sáb","Dom"))</f>
        <v>0</v>
      </c>
      <c r="M1300" s="27">
        <f>IF($E1300="","",IF($G1300&lt;&gt;"",$G1300,IFERROR(INDEX(ProcValor,MATCH($E1300,ProcNome,0)),0)))</f>
        <v>0</v>
      </c>
      <c r="N1300" s="27">
        <f>IF($M1300="","",IF($F1300="Compareceu",$M1300,0))</f>
        <v>0</v>
      </c>
      <c r="O1300" s="27">
        <f>IF($M1300="","",IF($F1300="Faltou",$M1300,0))</f>
        <v>0</v>
      </c>
      <c r="P1300" s="27">
        <f>IF($M1300="","",IF($F1300="Compareceu",MAX(0,$M1300-N($H1300)),0))</f>
        <v>0</v>
      </c>
      <c r="Q1300" s="19">
        <f>IF(AND($F1300="Compareceu",$E1300&lt;&gt;"",$A1300&lt;&gt;""),IF(IFERROR(INDEX(ProcRet,MATCH($E1300,ProcNome,0)),0)&gt;0,$A1300+INDEX(ProcRet,MATCH($E1300,ProcNome,0)),""),"")</f>
        <v>0</v>
      </c>
      <c r="R1300" s="26">
        <f>IF($Q1300="","",IF(COUNTIFS(AgPac,$D1300,AgData,"&gt;"&amp;$A1300,AgStatus,"&lt;&gt;Cancelado",AgStatus,"&lt;&gt;Remarcado")&gt;0,"Sim","Não"))</f>
        <v>0</v>
      </c>
      <c r="S1300" s="28">
        <f>IF($A1300="","",IF(AND($F1300="Agendado",$A1300-Hoje&gt;=0,$A1300-Hoje&lt;=DiasConf),"CONFIRMAR",IF(AND($A1300&lt;Hoje,OR($F1300="Agendado",$F1300="Confirmado")),"Atualizar status",IF(AND($F1300="Compareceu",$P1300&gt;0.005),"Cobrar",IF($F1300="Faltou","Falta: reagendar","")))))</f>
        <v>0</v>
      </c>
      <c r="T1300" s="29">
        <f>IF($A1300="","",DATE(YEAR($A1300),MONTH($A1300),1))</f>
        <v>0</v>
      </c>
      <c r="U1300" s="30">
        <f>IF($S1300="CONFIRMAR",MAX($U$4:$U1299)+1,"")</f>
        <v>0</v>
      </c>
      <c r="V1300" s="30">
        <f>IF(AND($R1300="Não",$Q1300&lt;&gt;"",$Q1300&lt;=Hoje+JanelaRet,$Q1300&gt;=Hoje-60),MAX($V$4:$V1299)+1,"")</f>
        <v>0</v>
      </c>
    </row>
    <row r="1301" spans="1:22">
      <c r="A1301" s="16"/>
      <c r="B1301" s="23"/>
      <c r="C1301" s="15"/>
      <c r="D1301" s="15"/>
      <c r="E1301" s="15"/>
      <c r="F1301" s="24"/>
      <c r="G1301" s="17"/>
      <c r="H1301" s="17"/>
      <c r="I1301" s="15"/>
      <c r="J1301" s="25">
        <f>IF($D1301="","",IFERROR(INDEX(PacNome,MATCH($D1301,PacCod,0)),"Paciente não cadastrado"))</f>
        <v>0</v>
      </c>
      <c r="K1301" s="26">
        <f>IF($D1301="","",IFERROR(INDEX(PacConv,MATCH($D1301,PacCod,0))&amp;"",""))</f>
        <v>0</v>
      </c>
      <c r="L1301" s="26">
        <f>IF($A1301="","",CHOOSE(WEEKDAY($A1301,2),"Seg","Ter","Qua","Qui","Sex","Sáb","Dom"))</f>
        <v>0</v>
      </c>
      <c r="M1301" s="27">
        <f>IF($E1301="","",IF($G1301&lt;&gt;"",$G1301,IFERROR(INDEX(ProcValor,MATCH($E1301,ProcNome,0)),0)))</f>
        <v>0</v>
      </c>
      <c r="N1301" s="27">
        <f>IF($M1301="","",IF($F1301="Compareceu",$M1301,0))</f>
        <v>0</v>
      </c>
      <c r="O1301" s="27">
        <f>IF($M1301="","",IF($F1301="Faltou",$M1301,0))</f>
        <v>0</v>
      </c>
      <c r="P1301" s="27">
        <f>IF($M1301="","",IF($F1301="Compareceu",MAX(0,$M1301-N($H1301)),0))</f>
        <v>0</v>
      </c>
      <c r="Q1301" s="19">
        <f>IF(AND($F1301="Compareceu",$E1301&lt;&gt;"",$A1301&lt;&gt;""),IF(IFERROR(INDEX(ProcRet,MATCH($E1301,ProcNome,0)),0)&gt;0,$A1301+INDEX(ProcRet,MATCH($E1301,ProcNome,0)),""),"")</f>
        <v>0</v>
      </c>
      <c r="R1301" s="26">
        <f>IF($Q1301="","",IF(COUNTIFS(AgPac,$D1301,AgData,"&gt;"&amp;$A1301,AgStatus,"&lt;&gt;Cancelado",AgStatus,"&lt;&gt;Remarcado")&gt;0,"Sim","Não"))</f>
        <v>0</v>
      </c>
      <c r="S1301" s="28">
        <f>IF($A1301="","",IF(AND($F1301="Agendado",$A1301-Hoje&gt;=0,$A1301-Hoje&lt;=DiasConf),"CONFIRMAR",IF(AND($A1301&lt;Hoje,OR($F1301="Agendado",$F1301="Confirmado")),"Atualizar status",IF(AND($F1301="Compareceu",$P1301&gt;0.005),"Cobrar",IF($F1301="Faltou","Falta: reagendar","")))))</f>
        <v>0</v>
      </c>
      <c r="T1301" s="29">
        <f>IF($A1301="","",DATE(YEAR($A1301),MONTH($A1301),1))</f>
        <v>0</v>
      </c>
      <c r="U1301" s="30">
        <f>IF($S1301="CONFIRMAR",MAX($U$4:$U1300)+1,"")</f>
        <v>0</v>
      </c>
      <c r="V1301" s="30">
        <f>IF(AND($R1301="Não",$Q1301&lt;&gt;"",$Q1301&lt;=Hoje+JanelaRet,$Q1301&gt;=Hoje-60),MAX($V$4:$V1300)+1,"")</f>
        <v>0</v>
      </c>
    </row>
    <row r="1302" spans="1:22">
      <c r="A1302" s="16"/>
      <c r="B1302" s="23"/>
      <c r="C1302" s="15"/>
      <c r="D1302" s="15"/>
      <c r="E1302" s="15"/>
      <c r="F1302" s="24"/>
      <c r="G1302" s="17"/>
      <c r="H1302" s="17"/>
      <c r="I1302" s="15"/>
      <c r="J1302" s="25">
        <f>IF($D1302="","",IFERROR(INDEX(PacNome,MATCH($D1302,PacCod,0)),"Paciente não cadastrado"))</f>
        <v>0</v>
      </c>
      <c r="K1302" s="26">
        <f>IF($D1302="","",IFERROR(INDEX(PacConv,MATCH($D1302,PacCod,0))&amp;"",""))</f>
        <v>0</v>
      </c>
      <c r="L1302" s="26">
        <f>IF($A1302="","",CHOOSE(WEEKDAY($A1302,2),"Seg","Ter","Qua","Qui","Sex","Sáb","Dom"))</f>
        <v>0</v>
      </c>
      <c r="M1302" s="27">
        <f>IF($E1302="","",IF($G1302&lt;&gt;"",$G1302,IFERROR(INDEX(ProcValor,MATCH($E1302,ProcNome,0)),0)))</f>
        <v>0</v>
      </c>
      <c r="N1302" s="27">
        <f>IF($M1302="","",IF($F1302="Compareceu",$M1302,0))</f>
        <v>0</v>
      </c>
      <c r="O1302" s="27">
        <f>IF($M1302="","",IF($F1302="Faltou",$M1302,0))</f>
        <v>0</v>
      </c>
      <c r="P1302" s="27">
        <f>IF($M1302="","",IF($F1302="Compareceu",MAX(0,$M1302-N($H1302)),0))</f>
        <v>0</v>
      </c>
      <c r="Q1302" s="19">
        <f>IF(AND($F1302="Compareceu",$E1302&lt;&gt;"",$A1302&lt;&gt;""),IF(IFERROR(INDEX(ProcRet,MATCH($E1302,ProcNome,0)),0)&gt;0,$A1302+INDEX(ProcRet,MATCH($E1302,ProcNome,0)),""),"")</f>
        <v>0</v>
      </c>
      <c r="R1302" s="26">
        <f>IF($Q1302="","",IF(COUNTIFS(AgPac,$D1302,AgData,"&gt;"&amp;$A1302,AgStatus,"&lt;&gt;Cancelado",AgStatus,"&lt;&gt;Remarcado")&gt;0,"Sim","Não"))</f>
        <v>0</v>
      </c>
      <c r="S1302" s="28">
        <f>IF($A1302="","",IF(AND($F1302="Agendado",$A1302-Hoje&gt;=0,$A1302-Hoje&lt;=DiasConf),"CONFIRMAR",IF(AND($A1302&lt;Hoje,OR($F1302="Agendado",$F1302="Confirmado")),"Atualizar status",IF(AND($F1302="Compareceu",$P1302&gt;0.005),"Cobrar",IF($F1302="Faltou","Falta: reagendar","")))))</f>
        <v>0</v>
      </c>
      <c r="T1302" s="29">
        <f>IF($A1302="","",DATE(YEAR($A1302),MONTH($A1302),1))</f>
        <v>0</v>
      </c>
      <c r="U1302" s="30">
        <f>IF($S1302="CONFIRMAR",MAX($U$4:$U1301)+1,"")</f>
        <v>0</v>
      </c>
      <c r="V1302" s="30">
        <f>IF(AND($R1302="Não",$Q1302&lt;&gt;"",$Q1302&lt;=Hoje+JanelaRet,$Q1302&gt;=Hoje-60),MAX($V$4:$V1301)+1,"")</f>
        <v>0</v>
      </c>
    </row>
    <row r="1303" spans="1:22">
      <c r="A1303" s="16"/>
      <c r="B1303" s="23"/>
      <c r="C1303" s="15"/>
      <c r="D1303" s="15"/>
      <c r="E1303" s="15"/>
      <c r="F1303" s="24"/>
      <c r="G1303" s="17"/>
      <c r="H1303" s="17"/>
      <c r="I1303" s="15"/>
      <c r="J1303" s="25">
        <f>IF($D1303="","",IFERROR(INDEX(PacNome,MATCH($D1303,PacCod,0)),"Paciente não cadastrado"))</f>
        <v>0</v>
      </c>
      <c r="K1303" s="26">
        <f>IF($D1303="","",IFERROR(INDEX(PacConv,MATCH($D1303,PacCod,0))&amp;"",""))</f>
        <v>0</v>
      </c>
      <c r="L1303" s="26">
        <f>IF($A1303="","",CHOOSE(WEEKDAY($A1303,2),"Seg","Ter","Qua","Qui","Sex","Sáb","Dom"))</f>
        <v>0</v>
      </c>
      <c r="M1303" s="27">
        <f>IF($E1303="","",IF($G1303&lt;&gt;"",$G1303,IFERROR(INDEX(ProcValor,MATCH($E1303,ProcNome,0)),0)))</f>
        <v>0</v>
      </c>
      <c r="N1303" s="27">
        <f>IF($M1303="","",IF($F1303="Compareceu",$M1303,0))</f>
        <v>0</v>
      </c>
      <c r="O1303" s="27">
        <f>IF($M1303="","",IF($F1303="Faltou",$M1303,0))</f>
        <v>0</v>
      </c>
      <c r="P1303" s="27">
        <f>IF($M1303="","",IF($F1303="Compareceu",MAX(0,$M1303-N($H1303)),0))</f>
        <v>0</v>
      </c>
      <c r="Q1303" s="19">
        <f>IF(AND($F1303="Compareceu",$E1303&lt;&gt;"",$A1303&lt;&gt;""),IF(IFERROR(INDEX(ProcRet,MATCH($E1303,ProcNome,0)),0)&gt;0,$A1303+INDEX(ProcRet,MATCH($E1303,ProcNome,0)),""),"")</f>
        <v>0</v>
      </c>
      <c r="R1303" s="26">
        <f>IF($Q1303="","",IF(COUNTIFS(AgPac,$D1303,AgData,"&gt;"&amp;$A1303,AgStatus,"&lt;&gt;Cancelado",AgStatus,"&lt;&gt;Remarcado")&gt;0,"Sim","Não"))</f>
        <v>0</v>
      </c>
      <c r="S1303" s="28">
        <f>IF($A1303="","",IF(AND($F1303="Agendado",$A1303-Hoje&gt;=0,$A1303-Hoje&lt;=DiasConf),"CONFIRMAR",IF(AND($A1303&lt;Hoje,OR($F1303="Agendado",$F1303="Confirmado")),"Atualizar status",IF(AND($F1303="Compareceu",$P1303&gt;0.005),"Cobrar",IF($F1303="Faltou","Falta: reagendar","")))))</f>
        <v>0</v>
      </c>
      <c r="T1303" s="29">
        <f>IF($A1303="","",DATE(YEAR($A1303),MONTH($A1303),1))</f>
        <v>0</v>
      </c>
      <c r="U1303" s="30">
        <f>IF($S1303="CONFIRMAR",MAX($U$4:$U1302)+1,"")</f>
        <v>0</v>
      </c>
      <c r="V1303" s="30">
        <f>IF(AND($R1303="Não",$Q1303&lt;&gt;"",$Q1303&lt;=Hoje+JanelaRet,$Q1303&gt;=Hoje-60),MAX($V$4:$V1302)+1,"")</f>
        <v>0</v>
      </c>
    </row>
    <row r="1304" spans="1:22">
      <c r="A1304" s="16"/>
      <c r="B1304" s="23"/>
      <c r="C1304" s="15"/>
      <c r="D1304" s="15"/>
      <c r="E1304" s="15"/>
      <c r="F1304" s="24"/>
      <c r="G1304" s="17"/>
      <c r="H1304" s="17"/>
      <c r="I1304" s="15"/>
      <c r="J1304" s="25">
        <f>IF($D1304="","",IFERROR(INDEX(PacNome,MATCH($D1304,PacCod,0)),"Paciente não cadastrado"))</f>
        <v>0</v>
      </c>
      <c r="K1304" s="26">
        <f>IF($D1304="","",IFERROR(INDEX(PacConv,MATCH($D1304,PacCod,0))&amp;"",""))</f>
        <v>0</v>
      </c>
      <c r="L1304" s="26">
        <f>IF($A1304="","",CHOOSE(WEEKDAY($A1304,2),"Seg","Ter","Qua","Qui","Sex","Sáb","Dom"))</f>
        <v>0</v>
      </c>
      <c r="M1304" s="27">
        <f>IF($E1304="","",IF($G1304&lt;&gt;"",$G1304,IFERROR(INDEX(ProcValor,MATCH($E1304,ProcNome,0)),0)))</f>
        <v>0</v>
      </c>
      <c r="N1304" s="27">
        <f>IF($M1304="","",IF($F1304="Compareceu",$M1304,0))</f>
        <v>0</v>
      </c>
      <c r="O1304" s="27">
        <f>IF($M1304="","",IF($F1304="Faltou",$M1304,0))</f>
        <v>0</v>
      </c>
      <c r="P1304" s="27">
        <f>IF($M1304="","",IF($F1304="Compareceu",MAX(0,$M1304-N($H1304)),0))</f>
        <v>0</v>
      </c>
      <c r="Q1304" s="19">
        <f>IF(AND($F1304="Compareceu",$E1304&lt;&gt;"",$A1304&lt;&gt;""),IF(IFERROR(INDEX(ProcRet,MATCH($E1304,ProcNome,0)),0)&gt;0,$A1304+INDEX(ProcRet,MATCH($E1304,ProcNome,0)),""),"")</f>
        <v>0</v>
      </c>
      <c r="R1304" s="26">
        <f>IF($Q1304="","",IF(COUNTIFS(AgPac,$D1304,AgData,"&gt;"&amp;$A1304,AgStatus,"&lt;&gt;Cancelado",AgStatus,"&lt;&gt;Remarcado")&gt;0,"Sim","Não"))</f>
        <v>0</v>
      </c>
      <c r="S1304" s="28">
        <f>IF($A1304="","",IF(AND($F1304="Agendado",$A1304-Hoje&gt;=0,$A1304-Hoje&lt;=DiasConf),"CONFIRMAR",IF(AND($A1304&lt;Hoje,OR($F1304="Agendado",$F1304="Confirmado")),"Atualizar status",IF(AND($F1304="Compareceu",$P1304&gt;0.005),"Cobrar",IF($F1304="Faltou","Falta: reagendar","")))))</f>
        <v>0</v>
      </c>
      <c r="T1304" s="29">
        <f>IF($A1304="","",DATE(YEAR($A1304),MONTH($A1304),1))</f>
        <v>0</v>
      </c>
      <c r="U1304" s="30">
        <f>IF($S1304="CONFIRMAR",MAX($U$4:$U1303)+1,"")</f>
        <v>0</v>
      </c>
      <c r="V1304" s="30">
        <f>IF(AND($R1304="Não",$Q1304&lt;&gt;"",$Q1304&lt;=Hoje+JanelaRet,$Q1304&gt;=Hoje-60),MAX($V$4:$V1303)+1,"")</f>
        <v>0</v>
      </c>
    </row>
    <row r="1305" spans="1:22">
      <c r="A1305" s="16"/>
      <c r="B1305" s="23"/>
      <c r="C1305" s="15"/>
      <c r="D1305" s="15"/>
      <c r="E1305" s="15"/>
      <c r="F1305" s="24"/>
      <c r="G1305" s="17"/>
      <c r="H1305" s="17"/>
      <c r="I1305" s="15"/>
      <c r="J1305" s="25">
        <f>IF($D1305="","",IFERROR(INDEX(PacNome,MATCH($D1305,PacCod,0)),"Paciente não cadastrado"))</f>
        <v>0</v>
      </c>
      <c r="K1305" s="26">
        <f>IF($D1305="","",IFERROR(INDEX(PacConv,MATCH($D1305,PacCod,0))&amp;"",""))</f>
        <v>0</v>
      </c>
      <c r="L1305" s="26">
        <f>IF($A1305="","",CHOOSE(WEEKDAY($A1305,2),"Seg","Ter","Qua","Qui","Sex","Sáb","Dom"))</f>
        <v>0</v>
      </c>
      <c r="M1305" s="27">
        <f>IF($E1305="","",IF($G1305&lt;&gt;"",$G1305,IFERROR(INDEX(ProcValor,MATCH($E1305,ProcNome,0)),0)))</f>
        <v>0</v>
      </c>
      <c r="N1305" s="27">
        <f>IF($M1305="","",IF($F1305="Compareceu",$M1305,0))</f>
        <v>0</v>
      </c>
      <c r="O1305" s="27">
        <f>IF($M1305="","",IF($F1305="Faltou",$M1305,0))</f>
        <v>0</v>
      </c>
      <c r="P1305" s="27">
        <f>IF($M1305="","",IF($F1305="Compareceu",MAX(0,$M1305-N($H1305)),0))</f>
        <v>0</v>
      </c>
      <c r="Q1305" s="19">
        <f>IF(AND($F1305="Compareceu",$E1305&lt;&gt;"",$A1305&lt;&gt;""),IF(IFERROR(INDEX(ProcRet,MATCH($E1305,ProcNome,0)),0)&gt;0,$A1305+INDEX(ProcRet,MATCH($E1305,ProcNome,0)),""),"")</f>
        <v>0</v>
      </c>
      <c r="R1305" s="26">
        <f>IF($Q1305="","",IF(COUNTIFS(AgPac,$D1305,AgData,"&gt;"&amp;$A1305,AgStatus,"&lt;&gt;Cancelado",AgStatus,"&lt;&gt;Remarcado")&gt;0,"Sim","Não"))</f>
        <v>0</v>
      </c>
      <c r="S1305" s="28">
        <f>IF($A1305="","",IF(AND($F1305="Agendado",$A1305-Hoje&gt;=0,$A1305-Hoje&lt;=DiasConf),"CONFIRMAR",IF(AND($A1305&lt;Hoje,OR($F1305="Agendado",$F1305="Confirmado")),"Atualizar status",IF(AND($F1305="Compareceu",$P1305&gt;0.005),"Cobrar",IF($F1305="Faltou","Falta: reagendar","")))))</f>
        <v>0</v>
      </c>
      <c r="T1305" s="29">
        <f>IF($A1305="","",DATE(YEAR($A1305),MONTH($A1305),1))</f>
        <v>0</v>
      </c>
      <c r="U1305" s="30">
        <f>IF($S1305="CONFIRMAR",MAX($U$4:$U1304)+1,"")</f>
        <v>0</v>
      </c>
      <c r="V1305" s="30">
        <f>IF(AND($R1305="Não",$Q1305&lt;&gt;"",$Q1305&lt;=Hoje+JanelaRet,$Q1305&gt;=Hoje-60),MAX($V$4:$V1304)+1,"")</f>
        <v>0</v>
      </c>
    </row>
    <row r="1306" spans="1:22">
      <c r="A1306" s="16"/>
      <c r="B1306" s="23"/>
      <c r="C1306" s="15"/>
      <c r="D1306" s="15"/>
      <c r="E1306" s="15"/>
      <c r="F1306" s="24"/>
      <c r="G1306" s="17"/>
      <c r="H1306" s="17"/>
      <c r="I1306" s="15"/>
      <c r="J1306" s="25">
        <f>IF($D1306="","",IFERROR(INDEX(PacNome,MATCH($D1306,PacCod,0)),"Paciente não cadastrado"))</f>
        <v>0</v>
      </c>
      <c r="K1306" s="26">
        <f>IF($D1306="","",IFERROR(INDEX(PacConv,MATCH($D1306,PacCod,0))&amp;"",""))</f>
        <v>0</v>
      </c>
      <c r="L1306" s="26">
        <f>IF($A1306="","",CHOOSE(WEEKDAY($A1306,2),"Seg","Ter","Qua","Qui","Sex","Sáb","Dom"))</f>
        <v>0</v>
      </c>
      <c r="M1306" s="27">
        <f>IF($E1306="","",IF($G1306&lt;&gt;"",$G1306,IFERROR(INDEX(ProcValor,MATCH($E1306,ProcNome,0)),0)))</f>
        <v>0</v>
      </c>
      <c r="N1306" s="27">
        <f>IF($M1306="","",IF($F1306="Compareceu",$M1306,0))</f>
        <v>0</v>
      </c>
      <c r="O1306" s="27">
        <f>IF($M1306="","",IF($F1306="Faltou",$M1306,0))</f>
        <v>0</v>
      </c>
      <c r="P1306" s="27">
        <f>IF($M1306="","",IF($F1306="Compareceu",MAX(0,$M1306-N($H1306)),0))</f>
        <v>0</v>
      </c>
      <c r="Q1306" s="19">
        <f>IF(AND($F1306="Compareceu",$E1306&lt;&gt;"",$A1306&lt;&gt;""),IF(IFERROR(INDEX(ProcRet,MATCH($E1306,ProcNome,0)),0)&gt;0,$A1306+INDEX(ProcRet,MATCH($E1306,ProcNome,0)),""),"")</f>
        <v>0</v>
      </c>
      <c r="R1306" s="26">
        <f>IF($Q1306="","",IF(COUNTIFS(AgPac,$D1306,AgData,"&gt;"&amp;$A1306,AgStatus,"&lt;&gt;Cancelado",AgStatus,"&lt;&gt;Remarcado")&gt;0,"Sim","Não"))</f>
        <v>0</v>
      </c>
      <c r="S1306" s="28">
        <f>IF($A1306="","",IF(AND($F1306="Agendado",$A1306-Hoje&gt;=0,$A1306-Hoje&lt;=DiasConf),"CONFIRMAR",IF(AND($A1306&lt;Hoje,OR($F1306="Agendado",$F1306="Confirmado")),"Atualizar status",IF(AND($F1306="Compareceu",$P1306&gt;0.005),"Cobrar",IF($F1306="Faltou","Falta: reagendar","")))))</f>
        <v>0</v>
      </c>
      <c r="T1306" s="29">
        <f>IF($A1306="","",DATE(YEAR($A1306),MONTH($A1306),1))</f>
        <v>0</v>
      </c>
      <c r="U1306" s="30">
        <f>IF($S1306="CONFIRMAR",MAX($U$4:$U1305)+1,"")</f>
        <v>0</v>
      </c>
      <c r="V1306" s="30">
        <f>IF(AND($R1306="Não",$Q1306&lt;&gt;"",$Q1306&lt;=Hoje+JanelaRet,$Q1306&gt;=Hoje-60),MAX($V$4:$V1305)+1,"")</f>
        <v>0</v>
      </c>
    </row>
    <row r="1307" spans="1:22">
      <c r="A1307" s="16"/>
      <c r="B1307" s="23"/>
      <c r="C1307" s="15"/>
      <c r="D1307" s="15"/>
      <c r="E1307" s="15"/>
      <c r="F1307" s="24"/>
      <c r="G1307" s="17"/>
      <c r="H1307" s="17"/>
      <c r="I1307" s="15"/>
      <c r="J1307" s="25">
        <f>IF($D1307="","",IFERROR(INDEX(PacNome,MATCH($D1307,PacCod,0)),"Paciente não cadastrado"))</f>
        <v>0</v>
      </c>
      <c r="K1307" s="26">
        <f>IF($D1307="","",IFERROR(INDEX(PacConv,MATCH($D1307,PacCod,0))&amp;"",""))</f>
        <v>0</v>
      </c>
      <c r="L1307" s="26">
        <f>IF($A1307="","",CHOOSE(WEEKDAY($A1307,2),"Seg","Ter","Qua","Qui","Sex","Sáb","Dom"))</f>
        <v>0</v>
      </c>
      <c r="M1307" s="27">
        <f>IF($E1307="","",IF($G1307&lt;&gt;"",$G1307,IFERROR(INDEX(ProcValor,MATCH($E1307,ProcNome,0)),0)))</f>
        <v>0</v>
      </c>
      <c r="N1307" s="27">
        <f>IF($M1307="","",IF($F1307="Compareceu",$M1307,0))</f>
        <v>0</v>
      </c>
      <c r="O1307" s="27">
        <f>IF($M1307="","",IF($F1307="Faltou",$M1307,0))</f>
        <v>0</v>
      </c>
      <c r="P1307" s="27">
        <f>IF($M1307="","",IF($F1307="Compareceu",MAX(0,$M1307-N($H1307)),0))</f>
        <v>0</v>
      </c>
      <c r="Q1307" s="19">
        <f>IF(AND($F1307="Compareceu",$E1307&lt;&gt;"",$A1307&lt;&gt;""),IF(IFERROR(INDEX(ProcRet,MATCH($E1307,ProcNome,0)),0)&gt;0,$A1307+INDEX(ProcRet,MATCH($E1307,ProcNome,0)),""),"")</f>
        <v>0</v>
      </c>
      <c r="R1307" s="26">
        <f>IF($Q1307="","",IF(COUNTIFS(AgPac,$D1307,AgData,"&gt;"&amp;$A1307,AgStatus,"&lt;&gt;Cancelado",AgStatus,"&lt;&gt;Remarcado")&gt;0,"Sim","Não"))</f>
        <v>0</v>
      </c>
      <c r="S1307" s="28">
        <f>IF($A1307="","",IF(AND($F1307="Agendado",$A1307-Hoje&gt;=0,$A1307-Hoje&lt;=DiasConf),"CONFIRMAR",IF(AND($A1307&lt;Hoje,OR($F1307="Agendado",$F1307="Confirmado")),"Atualizar status",IF(AND($F1307="Compareceu",$P1307&gt;0.005),"Cobrar",IF($F1307="Faltou","Falta: reagendar","")))))</f>
        <v>0</v>
      </c>
      <c r="T1307" s="29">
        <f>IF($A1307="","",DATE(YEAR($A1307),MONTH($A1307),1))</f>
        <v>0</v>
      </c>
      <c r="U1307" s="30">
        <f>IF($S1307="CONFIRMAR",MAX($U$4:$U1306)+1,"")</f>
        <v>0</v>
      </c>
      <c r="V1307" s="30">
        <f>IF(AND($R1307="Não",$Q1307&lt;&gt;"",$Q1307&lt;=Hoje+JanelaRet,$Q1307&gt;=Hoje-60),MAX($V$4:$V1306)+1,"")</f>
        <v>0</v>
      </c>
    </row>
    <row r="1308" spans="1:22">
      <c r="A1308" s="16"/>
      <c r="B1308" s="23"/>
      <c r="C1308" s="15"/>
      <c r="D1308" s="15"/>
      <c r="E1308" s="15"/>
      <c r="F1308" s="24"/>
      <c r="G1308" s="17"/>
      <c r="H1308" s="17"/>
      <c r="I1308" s="15"/>
      <c r="J1308" s="25">
        <f>IF($D1308="","",IFERROR(INDEX(PacNome,MATCH($D1308,PacCod,0)),"Paciente não cadastrado"))</f>
        <v>0</v>
      </c>
      <c r="K1308" s="26">
        <f>IF($D1308="","",IFERROR(INDEX(PacConv,MATCH($D1308,PacCod,0))&amp;"",""))</f>
        <v>0</v>
      </c>
      <c r="L1308" s="26">
        <f>IF($A1308="","",CHOOSE(WEEKDAY($A1308,2),"Seg","Ter","Qua","Qui","Sex","Sáb","Dom"))</f>
        <v>0</v>
      </c>
      <c r="M1308" s="27">
        <f>IF($E1308="","",IF($G1308&lt;&gt;"",$G1308,IFERROR(INDEX(ProcValor,MATCH($E1308,ProcNome,0)),0)))</f>
        <v>0</v>
      </c>
      <c r="N1308" s="27">
        <f>IF($M1308="","",IF($F1308="Compareceu",$M1308,0))</f>
        <v>0</v>
      </c>
      <c r="O1308" s="27">
        <f>IF($M1308="","",IF($F1308="Faltou",$M1308,0))</f>
        <v>0</v>
      </c>
      <c r="P1308" s="27">
        <f>IF($M1308="","",IF($F1308="Compareceu",MAX(0,$M1308-N($H1308)),0))</f>
        <v>0</v>
      </c>
      <c r="Q1308" s="19">
        <f>IF(AND($F1308="Compareceu",$E1308&lt;&gt;"",$A1308&lt;&gt;""),IF(IFERROR(INDEX(ProcRet,MATCH($E1308,ProcNome,0)),0)&gt;0,$A1308+INDEX(ProcRet,MATCH($E1308,ProcNome,0)),""),"")</f>
        <v>0</v>
      </c>
      <c r="R1308" s="26">
        <f>IF($Q1308="","",IF(COUNTIFS(AgPac,$D1308,AgData,"&gt;"&amp;$A1308,AgStatus,"&lt;&gt;Cancelado",AgStatus,"&lt;&gt;Remarcado")&gt;0,"Sim","Não"))</f>
        <v>0</v>
      </c>
      <c r="S1308" s="28">
        <f>IF($A1308="","",IF(AND($F1308="Agendado",$A1308-Hoje&gt;=0,$A1308-Hoje&lt;=DiasConf),"CONFIRMAR",IF(AND($A1308&lt;Hoje,OR($F1308="Agendado",$F1308="Confirmado")),"Atualizar status",IF(AND($F1308="Compareceu",$P1308&gt;0.005),"Cobrar",IF($F1308="Faltou","Falta: reagendar","")))))</f>
        <v>0</v>
      </c>
      <c r="T1308" s="29">
        <f>IF($A1308="","",DATE(YEAR($A1308),MONTH($A1308),1))</f>
        <v>0</v>
      </c>
      <c r="U1308" s="30">
        <f>IF($S1308="CONFIRMAR",MAX($U$4:$U1307)+1,"")</f>
        <v>0</v>
      </c>
      <c r="V1308" s="30">
        <f>IF(AND($R1308="Não",$Q1308&lt;&gt;"",$Q1308&lt;=Hoje+JanelaRet,$Q1308&gt;=Hoje-60),MAX($V$4:$V1307)+1,"")</f>
        <v>0</v>
      </c>
    </row>
    <row r="1309" spans="1:22">
      <c r="A1309" s="16"/>
      <c r="B1309" s="23"/>
      <c r="C1309" s="15"/>
      <c r="D1309" s="15"/>
      <c r="E1309" s="15"/>
      <c r="F1309" s="24"/>
      <c r="G1309" s="17"/>
      <c r="H1309" s="17"/>
      <c r="I1309" s="15"/>
      <c r="J1309" s="25">
        <f>IF($D1309="","",IFERROR(INDEX(PacNome,MATCH($D1309,PacCod,0)),"Paciente não cadastrado"))</f>
        <v>0</v>
      </c>
      <c r="K1309" s="26">
        <f>IF($D1309="","",IFERROR(INDEX(PacConv,MATCH($D1309,PacCod,0))&amp;"",""))</f>
        <v>0</v>
      </c>
      <c r="L1309" s="26">
        <f>IF($A1309="","",CHOOSE(WEEKDAY($A1309,2),"Seg","Ter","Qua","Qui","Sex","Sáb","Dom"))</f>
        <v>0</v>
      </c>
      <c r="M1309" s="27">
        <f>IF($E1309="","",IF($G1309&lt;&gt;"",$G1309,IFERROR(INDEX(ProcValor,MATCH($E1309,ProcNome,0)),0)))</f>
        <v>0</v>
      </c>
      <c r="N1309" s="27">
        <f>IF($M1309="","",IF($F1309="Compareceu",$M1309,0))</f>
        <v>0</v>
      </c>
      <c r="O1309" s="27">
        <f>IF($M1309="","",IF($F1309="Faltou",$M1309,0))</f>
        <v>0</v>
      </c>
      <c r="P1309" s="27">
        <f>IF($M1309="","",IF($F1309="Compareceu",MAX(0,$M1309-N($H1309)),0))</f>
        <v>0</v>
      </c>
      <c r="Q1309" s="19">
        <f>IF(AND($F1309="Compareceu",$E1309&lt;&gt;"",$A1309&lt;&gt;""),IF(IFERROR(INDEX(ProcRet,MATCH($E1309,ProcNome,0)),0)&gt;0,$A1309+INDEX(ProcRet,MATCH($E1309,ProcNome,0)),""),"")</f>
        <v>0</v>
      </c>
      <c r="R1309" s="26">
        <f>IF($Q1309="","",IF(COUNTIFS(AgPac,$D1309,AgData,"&gt;"&amp;$A1309,AgStatus,"&lt;&gt;Cancelado",AgStatus,"&lt;&gt;Remarcado")&gt;0,"Sim","Não"))</f>
        <v>0</v>
      </c>
      <c r="S1309" s="28">
        <f>IF($A1309="","",IF(AND($F1309="Agendado",$A1309-Hoje&gt;=0,$A1309-Hoje&lt;=DiasConf),"CONFIRMAR",IF(AND($A1309&lt;Hoje,OR($F1309="Agendado",$F1309="Confirmado")),"Atualizar status",IF(AND($F1309="Compareceu",$P1309&gt;0.005),"Cobrar",IF($F1309="Faltou","Falta: reagendar","")))))</f>
        <v>0</v>
      </c>
      <c r="T1309" s="29">
        <f>IF($A1309="","",DATE(YEAR($A1309),MONTH($A1309),1))</f>
        <v>0</v>
      </c>
      <c r="U1309" s="30">
        <f>IF($S1309="CONFIRMAR",MAX($U$4:$U1308)+1,"")</f>
        <v>0</v>
      </c>
      <c r="V1309" s="30">
        <f>IF(AND($R1309="Não",$Q1309&lt;&gt;"",$Q1309&lt;=Hoje+JanelaRet,$Q1309&gt;=Hoje-60),MAX($V$4:$V1308)+1,"")</f>
        <v>0</v>
      </c>
    </row>
    <row r="1310" spans="1:22">
      <c r="A1310" s="16"/>
      <c r="B1310" s="23"/>
      <c r="C1310" s="15"/>
      <c r="D1310" s="15"/>
      <c r="E1310" s="15"/>
      <c r="F1310" s="24"/>
      <c r="G1310" s="17"/>
      <c r="H1310" s="17"/>
      <c r="I1310" s="15"/>
      <c r="J1310" s="25">
        <f>IF($D1310="","",IFERROR(INDEX(PacNome,MATCH($D1310,PacCod,0)),"Paciente não cadastrado"))</f>
        <v>0</v>
      </c>
      <c r="K1310" s="26">
        <f>IF($D1310="","",IFERROR(INDEX(PacConv,MATCH($D1310,PacCod,0))&amp;"",""))</f>
        <v>0</v>
      </c>
      <c r="L1310" s="26">
        <f>IF($A1310="","",CHOOSE(WEEKDAY($A1310,2),"Seg","Ter","Qua","Qui","Sex","Sáb","Dom"))</f>
        <v>0</v>
      </c>
      <c r="M1310" s="27">
        <f>IF($E1310="","",IF($G1310&lt;&gt;"",$G1310,IFERROR(INDEX(ProcValor,MATCH($E1310,ProcNome,0)),0)))</f>
        <v>0</v>
      </c>
      <c r="N1310" s="27">
        <f>IF($M1310="","",IF($F1310="Compareceu",$M1310,0))</f>
        <v>0</v>
      </c>
      <c r="O1310" s="27">
        <f>IF($M1310="","",IF($F1310="Faltou",$M1310,0))</f>
        <v>0</v>
      </c>
      <c r="P1310" s="27">
        <f>IF($M1310="","",IF($F1310="Compareceu",MAX(0,$M1310-N($H1310)),0))</f>
        <v>0</v>
      </c>
      <c r="Q1310" s="19">
        <f>IF(AND($F1310="Compareceu",$E1310&lt;&gt;"",$A1310&lt;&gt;""),IF(IFERROR(INDEX(ProcRet,MATCH($E1310,ProcNome,0)),0)&gt;0,$A1310+INDEX(ProcRet,MATCH($E1310,ProcNome,0)),""),"")</f>
        <v>0</v>
      </c>
      <c r="R1310" s="26">
        <f>IF($Q1310="","",IF(COUNTIFS(AgPac,$D1310,AgData,"&gt;"&amp;$A1310,AgStatus,"&lt;&gt;Cancelado",AgStatus,"&lt;&gt;Remarcado")&gt;0,"Sim","Não"))</f>
        <v>0</v>
      </c>
      <c r="S1310" s="28">
        <f>IF($A1310="","",IF(AND($F1310="Agendado",$A1310-Hoje&gt;=0,$A1310-Hoje&lt;=DiasConf),"CONFIRMAR",IF(AND($A1310&lt;Hoje,OR($F1310="Agendado",$F1310="Confirmado")),"Atualizar status",IF(AND($F1310="Compareceu",$P1310&gt;0.005),"Cobrar",IF($F1310="Faltou","Falta: reagendar","")))))</f>
        <v>0</v>
      </c>
      <c r="T1310" s="29">
        <f>IF($A1310="","",DATE(YEAR($A1310),MONTH($A1310),1))</f>
        <v>0</v>
      </c>
      <c r="U1310" s="30">
        <f>IF($S1310="CONFIRMAR",MAX($U$4:$U1309)+1,"")</f>
        <v>0</v>
      </c>
      <c r="V1310" s="30">
        <f>IF(AND($R1310="Não",$Q1310&lt;&gt;"",$Q1310&lt;=Hoje+JanelaRet,$Q1310&gt;=Hoje-60),MAX($V$4:$V1309)+1,"")</f>
        <v>0</v>
      </c>
    </row>
    <row r="1311" spans="1:22">
      <c r="A1311" s="16"/>
      <c r="B1311" s="23"/>
      <c r="C1311" s="15"/>
      <c r="D1311" s="15"/>
      <c r="E1311" s="15"/>
      <c r="F1311" s="24"/>
      <c r="G1311" s="17"/>
      <c r="H1311" s="17"/>
      <c r="I1311" s="15"/>
      <c r="J1311" s="25">
        <f>IF($D1311="","",IFERROR(INDEX(PacNome,MATCH($D1311,PacCod,0)),"Paciente não cadastrado"))</f>
        <v>0</v>
      </c>
      <c r="K1311" s="26">
        <f>IF($D1311="","",IFERROR(INDEX(PacConv,MATCH($D1311,PacCod,0))&amp;"",""))</f>
        <v>0</v>
      </c>
      <c r="L1311" s="26">
        <f>IF($A1311="","",CHOOSE(WEEKDAY($A1311,2),"Seg","Ter","Qua","Qui","Sex","Sáb","Dom"))</f>
        <v>0</v>
      </c>
      <c r="M1311" s="27">
        <f>IF($E1311="","",IF($G1311&lt;&gt;"",$G1311,IFERROR(INDEX(ProcValor,MATCH($E1311,ProcNome,0)),0)))</f>
        <v>0</v>
      </c>
      <c r="N1311" s="27">
        <f>IF($M1311="","",IF($F1311="Compareceu",$M1311,0))</f>
        <v>0</v>
      </c>
      <c r="O1311" s="27">
        <f>IF($M1311="","",IF($F1311="Faltou",$M1311,0))</f>
        <v>0</v>
      </c>
      <c r="P1311" s="27">
        <f>IF($M1311="","",IF($F1311="Compareceu",MAX(0,$M1311-N($H1311)),0))</f>
        <v>0</v>
      </c>
      <c r="Q1311" s="19">
        <f>IF(AND($F1311="Compareceu",$E1311&lt;&gt;"",$A1311&lt;&gt;""),IF(IFERROR(INDEX(ProcRet,MATCH($E1311,ProcNome,0)),0)&gt;0,$A1311+INDEX(ProcRet,MATCH($E1311,ProcNome,0)),""),"")</f>
        <v>0</v>
      </c>
      <c r="R1311" s="26">
        <f>IF($Q1311="","",IF(COUNTIFS(AgPac,$D1311,AgData,"&gt;"&amp;$A1311,AgStatus,"&lt;&gt;Cancelado",AgStatus,"&lt;&gt;Remarcado")&gt;0,"Sim","Não"))</f>
        <v>0</v>
      </c>
      <c r="S1311" s="28">
        <f>IF($A1311="","",IF(AND($F1311="Agendado",$A1311-Hoje&gt;=0,$A1311-Hoje&lt;=DiasConf),"CONFIRMAR",IF(AND($A1311&lt;Hoje,OR($F1311="Agendado",$F1311="Confirmado")),"Atualizar status",IF(AND($F1311="Compareceu",$P1311&gt;0.005),"Cobrar",IF($F1311="Faltou","Falta: reagendar","")))))</f>
        <v>0</v>
      </c>
      <c r="T1311" s="29">
        <f>IF($A1311="","",DATE(YEAR($A1311),MONTH($A1311),1))</f>
        <v>0</v>
      </c>
      <c r="U1311" s="30">
        <f>IF($S1311="CONFIRMAR",MAX($U$4:$U1310)+1,"")</f>
        <v>0</v>
      </c>
      <c r="V1311" s="30">
        <f>IF(AND($R1311="Não",$Q1311&lt;&gt;"",$Q1311&lt;=Hoje+JanelaRet,$Q1311&gt;=Hoje-60),MAX($V$4:$V1310)+1,"")</f>
        <v>0</v>
      </c>
    </row>
    <row r="1312" spans="1:22">
      <c r="A1312" s="16"/>
      <c r="B1312" s="23"/>
      <c r="C1312" s="15"/>
      <c r="D1312" s="15"/>
      <c r="E1312" s="15"/>
      <c r="F1312" s="24"/>
      <c r="G1312" s="17"/>
      <c r="H1312" s="17"/>
      <c r="I1312" s="15"/>
      <c r="J1312" s="25">
        <f>IF($D1312="","",IFERROR(INDEX(PacNome,MATCH($D1312,PacCod,0)),"Paciente não cadastrado"))</f>
        <v>0</v>
      </c>
      <c r="K1312" s="26">
        <f>IF($D1312="","",IFERROR(INDEX(PacConv,MATCH($D1312,PacCod,0))&amp;"",""))</f>
        <v>0</v>
      </c>
      <c r="L1312" s="26">
        <f>IF($A1312="","",CHOOSE(WEEKDAY($A1312,2),"Seg","Ter","Qua","Qui","Sex","Sáb","Dom"))</f>
        <v>0</v>
      </c>
      <c r="M1312" s="27">
        <f>IF($E1312="","",IF($G1312&lt;&gt;"",$G1312,IFERROR(INDEX(ProcValor,MATCH($E1312,ProcNome,0)),0)))</f>
        <v>0</v>
      </c>
      <c r="N1312" s="27">
        <f>IF($M1312="","",IF($F1312="Compareceu",$M1312,0))</f>
        <v>0</v>
      </c>
      <c r="O1312" s="27">
        <f>IF($M1312="","",IF($F1312="Faltou",$M1312,0))</f>
        <v>0</v>
      </c>
      <c r="P1312" s="27">
        <f>IF($M1312="","",IF($F1312="Compareceu",MAX(0,$M1312-N($H1312)),0))</f>
        <v>0</v>
      </c>
      <c r="Q1312" s="19">
        <f>IF(AND($F1312="Compareceu",$E1312&lt;&gt;"",$A1312&lt;&gt;""),IF(IFERROR(INDEX(ProcRet,MATCH($E1312,ProcNome,0)),0)&gt;0,$A1312+INDEX(ProcRet,MATCH($E1312,ProcNome,0)),""),"")</f>
        <v>0</v>
      </c>
      <c r="R1312" s="26">
        <f>IF($Q1312="","",IF(COUNTIFS(AgPac,$D1312,AgData,"&gt;"&amp;$A1312,AgStatus,"&lt;&gt;Cancelado",AgStatus,"&lt;&gt;Remarcado")&gt;0,"Sim","Não"))</f>
        <v>0</v>
      </c>
      <c r="S1312" s="28">
        <f>IF($A1312="","",IF(AND($F1312="Agendado",$A1312-Hoje&gt;=0,$A1312-Hoje&lt;=DiasConf),"CONFIRMAR",IF(AND($A1312&lt;Hoje,OR($F1312="Agendado",$F1312="Confirmado")),"Atualizar status",IF(AND($F1312="Compareceu",$P1312&gt;0.005),"Cobrar",IF($F1312="Faltou","Falta: reagendar","")))))</f>
        <v>0</v>
      </c>
      <c r="T1312" s="29">
        <f>IF($A1312="","",DATE(YEAR($A1312),MONTH($A1312),1))</f>
        <v>0</v>
      </c>
      <c r="U1312" s="30">
        <f>IF($S1312="CONFIRMAR",MAX($U$4:$U1311)+1,"")</f>
        <v>0</v>
      </c>
      <c r="V1312" s="30">
        <f>IF(AND($R1312="Não",$Q1312&lt;&gt;"",$Q1312&lt;=Hoje+JanelaRet,$Q1312&gt;=Hoje-60),MAX($V$4:$V1311)+1,"")</f>
        <v>0</v>
      </c>
    </row>
    <row r="1313" spans="1:22">
      <c r="A1313" s="16"/>
      <c r="B1313" s="23"/>
      <c r="C1313" s="15"/>
      <c r="D1313" s="15"/>
      <c r="E1313" s="15"/>
      <c r="F1313" s="24"/>
      <c r="G1313" s="17"/>
      <c r="H1313" s="17"/>
      <c r="I1313" s="15"/>
      <c r="J1313" s="25">
        <f>IF($D1313="","",IFERROR(INDEX(PacNome,MATCH($D1313,PacCod,0)),"Paciente não cadastrado"))</f>
        <v>0</v>
      </c>
      <c r="K1313" s="26">
        <f>IF($D1313="","",IFERROR(INDEX(PacConv,MATCH($D1313,PacCod,0))&amp;"",""))</f>
        <v>0</v>
      </c>
      <c r="L1313" s="26">
        <f>IF($A1313="","",CHOOSE(WEEKDAY($A1313,2),"Seg","Ter","Qua","Qui","Sex","Sáb","Dom"))</f>
        <v>0</v>
      </c>
      <c r="M1313" s="27">
        <f>IF($E1313="","",IF($G1313&lt;&gt;"",$G1313,IFERROR(INDEX(ProcValor,MATCH($E1313,ProcNome,0)),0)))</f>
        <v>0</v>
      </c>
      <c r="N1313" s="27">
        <f>IF($M1313="","",IF($F1313="Compareceu",$M1313,0))</f>
        <v>0</v>
      </c>
      <c r="O1313" s="27">
        <f>IF($M1313="","",IF($F1313="Faltou",$M1313,0))</f>
        <v>0</v>
      </c>
      <c r="P1313" s="27">
        <f>IF($M1313="","",IF($F1313="Compareceu",MAX(0,$M1313-N($H1313)),0))</f>
        <v>0</v>
      </c>
      <c r="Q1313" s="19">
        <f>IF(AND($F1313="Compareceu",$E1313&lt;&gt;"",$A1313&lt;&gt;""),IF(IFERROR(INDEX(ProcRet,MATCH($E1313,ProcNome,0)),0)&gt;0,$A1313+INDEX(ProcRet,MATCH($E1313,ProcNome,0)),""),"")</f>
        <v>0</v>
      </c>
      <c r="R1313" s="26">
        <f>IF($Q1313="","",IF(COUNTIFS(AgPac,$D1313,AgData,"&gt;"&amp;$A1313,AgStatus,"&lt;&gt;Cancelado",AgStatus,"&lt;&gt;Remarcado")&gt;0,"Sim","Não"))</f>
        <v>0</v>
      </c>
      <c r="S1313" s="28">
        <f>IF($A1313="","",IF(AND($F1313="Agendado",$A1313-Hoje&gt;=0,$A1313-Hoje&lt;=DiasConf),"CONFIRMAR",IF(AND($A1313&lt;Hoje,OR($F1313="Agendado",$F1313="Confirmado")),"Atualizar status",IF(AND($F1313="Compareceu",$P1313&gt;0.005),"Cobrar",IF($F1313="Faltou","Falta: reagendar","")))))</f>
        <v>0</v>
      </c>
      <c r="T1313" s="29">
        <f>IF($A1313="","",DATE(YEAR($A1313),MONTH($A1313),1))</f>
        <v>0</v>
      </c>
      <c r="U1313" s="30">
        <f>IF($S1313="CONFIRMAR",MAX($U$4:$U1312)+1,"")</f>
        <v>0</v>
      </c>
      <c r="V1313" s="30">
        <f>IF(AND($R1313="Não",$Q1313&lt;&gt;"",$Q1313&lt;=Hoje+JanelaRet,$Q1313&gt;=Hoje-60),MAX($V$4:$V1312)+1,"")</f>
        <v>0</v>
      </c>
    </row>
    <row r="1314" spans="1:22">
      <c r="A1314" s="16"/>
      <c r="B1314" s="23"/>
      <c r="C1314" s="15"/>
      <c r="D1314" s="15"/>
      <c r="E1314" s="15"/>
      <c r="F1314" s="24"/>
      <c r="G1314" s="17"/>
      <c r="H1314" s="17"/>
      <c r="I1314" s="15"/>
      <c r="J1314" s="25">
        <f>IF($D1314="","",IFERROR(INDEX(PacNome,MATCH($D1314,PacCod,0)),"Paciente não cadastrado"))</f>
        <v>0</v>
      </c>
      <c r="K1314" s="26">
        <f>IF($D1314="","",IFERROR(INDEX(PacConv,MATCH($D1314,PacCod,0))&amp;"",""))</f>
        <v>0</v>
      </c>
      <c r="L1314" s="26">
        <f>IF($A1314="","",CHOOSE(WEEKDAY($A1314,2),"Seg","Ter","Qua","Qui","Sex","Sáb","Dom"))</f>
        <v>0</v>
      </c>
      <c r="M1314" s="27">
        <f>IF($E1314="","",IF($G1314&lt;&gt;"",$G1314,IFERROR(INDEX(ProcValor,MATCH($E1314,ProcNome,0)),0)))</f>
        <v>0</v>
      </c>
      <c r="N1314" s="27">
        <f>IF($M1314="","",IF($F1314="Compareceu",$M1314,0))</f>
        <v>0</v>
      </c>
      <c r="O1314" s="27">
        <f>IF($M1314="","",IF($F1314="Faltou",$M1314,0))</f>
        <v>0</v>
      </c>
      <c r="P1314" s="27">
        <f>IF($M1314="","",IF($F1314="Compareceu",MAX(0,$M1314-N($H1314)),0))</f>
        <v>0</v>
      </c>
      <c r="Q1314" s="19">
        <f>IF(AND($F1314="Compareceu",$E1314&lt;&gt;"",$A1314&lt;&gt;""),IF(IFERROR(INDEX(ProcRet,MATCH($E1314,ProcNome,0)),0)&gt;0,$A1314+INDEX(ProcRet,MATCH($E1314,ProcNome,0)),""),"")</f>
        <v>0</v>
      </c>
      <c r="R1314" s="26">
        <f>IF($Q1314="","",IF(COUNTIFS(AgPac,$D1314,AgData,"&gt;"&amp;$A1314,AgStatus,"&lt;&gt;Cancelado",AgStatus,"&lt;&gt;Remarcado")&gt;0,"Sim","Não"))</f>
        <v>0</v>
      </c>
      <c r="S1314" s="28">
        <f>IF($A1314="","",IF(AND($F1314="Agendado",$A1314-Hoje&gt;=0,$A1314-Hoje&lt;=DiasConf),"CONFIRMAR",IF(AND($A1314&lt;Hoje,OR($F1314="Agendado",$F1314="Confirmado")),"Atualizar status",IF(AND($F1314="Compareceu",$P1314&gt;0.005),"Cobrar",IF($F1314="Faltou","Falta: reagendar","")))))</f>
        <v>0</v>
      </c>
      <c r="T1314" s="29">
        <f>IF($A1314="","",DATE(YEAR($A1314),MONTH($A1314),1))</f>
        <v>0</v>
      </c>
      <c r="U1314" s="30">
        <f>IF($S1314="CONFIRMAR",MAX($U$4:$U1313)+1,"")</f>
        <v>0</v>
      </c>
      <c r="V1314" s="30">
        <f>IF(AND($R1314="Não",$Q1314&lt;&gt;"",$Q1314&lt;=Hoje+JanelaRet,$Q1314&gt;=Hoje-60),MAX($V$4:$V1313)+1,"")</f>
        <v>0</v>
      </c>
    </row>
    <row r="1315" spans="1:22">
      <c r="A1315" s="16"/>
      <c r="B1315" s="23"/>
      <c r="C1315" s="15"/>
      <c r="D1315" s="15"/>
      <c r="E1315" s="15"/>
      <c r="F1315" s="24"/>
      <c r="G1315" s="17"/>
      <c r="H1315" s="17"/>
      <c r="I1315" s="15"/>
      <c r="J1315" s="25">
        <f>IF($D1315="","",IFERROR(INDEX(PacNome,MATCH($D1315,PacCod,0)),"Paciente não cadastrado"))</f>
        <v>0</v>
      </c>
      <c r="K1315" s="26">
        <f>IF($D1315="","",IFERROR(INDEX(PacConv,MATCH($D1315,PacCod,0))&amp;"",""))</f>
        <v>0</v>
      </c>
      <c r="L1315" s="26">
        <f>IF($A1315="","",CHOOSE(WEEKDAY($A1315,2),"Seg","Ter","Qua","Qui","Sex","Sáb","Dom"))</f>
        <v>0</v>
      </c>
      <c r="M1315" s="27">
        <f>IF($E1315="","",IF($G1315&lt;&gt;"",$G1315,IFERROR(INDEX(ProcValor,MATCH($E1315,ProcNome,0)),0)))</f>
        <v>0</v>
      </c>
      <c r="N1315" s="27">
        <f>IF($M1315="","",IF($F1315="Compareceu",$M1315,0))</f>
        <v>0</v>
      </c>
      <c r="O1315" s="27">
        <f>IF($M1315="","",IF($F1315="Faltou",$M1315,0))</f>
        <v>0</v>
      </c>
      <c r="P1315" s="27">
        <f>IF($M1315="","",IF($F1315="Compareceu",MAX(0,$M1315-N($H1315)),0))</f>
        <v>0</v>
      </c>
      <c r="Q1315" s="19">
        <f>IF(AND($F1315="Compareceu",$E1315&lt;&gt;"",$A1315&lt;&gt;""),IF(IFERROR(INDEX(ProcRet,MATCH($E1315,ProcNome,0)),0)&gt;0,$A1315+INDEX(ProcRet,MATCH($E1315,ProcNome,0)),""),"")</f>
        <v>0</v>
      </c>
      <c r="R1315" s="26">
        <f>IF($Q1315="","",IF(COUNTIFS(AgPac,$D1315,AgData,"&gt;"&amp;$A1315,AgStatus,"&lt;&gt;Cancelado",AgStatus,"&lt;&gt;Remarcado")&gt;0,"Sim","Não"))</f>
        <v>0</v>
      </c>
      <c r="S1315" s="28">
        <f>IF($A1315="","",IF(AND($F1315="Agendado",$A1315-Hoje&gt;=0,$A1315-Hoje&lt;=DiasConf),"CONFIRMAR",IF(AND($A1315&lt;Hoje,OR($F1315="Agendado",$F1315="Confirmado")),"Atualizar status",IF(AND($F1315="Compareceu",$P1315&gt;0.005),"Cobrar",IF($F1315="Faltou","Falta: reagendar","")))))</f>
        <v>0</v>
      </c>
      <c r="T1315" s="29">
        <f>IF($A1315="","",DATE(YEAR($A1315),MONTH($A1315),1))</f>
        <v>0</v>
      </c>
      <c r="U1315" s="30">
        <f>IF($S1315="CONFIRMAR",MAX($U$4:$U1314)+1,"")</f>
        <v>0</v>
      </c>
      <c r="V1315" s="30">
        <f>IF(AND($R1315="Não",$Q1315&lt;&gt;"",$Q1315&lt;=Hoje+JanelaRet,$Q1315&gt;=Hoje-60),MAX($V$4:$V1314)+1,"")</f>
        <v>0</v>
      </c>
    </row>
    <row r="1316" spans="1:22">
      <c r="A1316" s="16"/>
      <c r="B1316" s="23"/>
      <c r="C1316" s="15"/>
      <c r="D1316" s="15"/>
      <c r="E1316" s="15"/>
      <c r="F1316" s="24"/>
      <c r="G1316" s="17"/>
      <c r="H1316" s="17"/>
      <c r="I1316" s="15"/>
      <c r="J1316" s="25">
        <f>IF($D1316="","",IFERROR(INDEX(PacNome,MATCH($D1316,PacCod,0)),"Paciente não cadastrado"))</f>
        <v>0</v>
      </c>
      <c r="K1316" s="26">
        <f>IF($D1316="","",IFERROR(INDEX(PacConv,MATCH($D1316,PacCod,0))&amp;"",""))</f>
        <v>0</v>
      </c>
      <c r="L1316" s="26">
        <f>IF($A1316="","",CHOOSE(WEEKDAY($A1316,2),"Seg","Ter","Qua","Qui","Sex","Sáb","Dom"))</f>
        <v>0</v>
      </c>
      <c r="M1316" s="27">
        <f>IF($E1316="","",IF($G1316&lt;&gt;"",$G1316,IFERROR(INDEX(ProcValor,MATCH($E1316,ProcNome,0)),0)))</f>
        <v>0</v>
      </c>
      <c r="N1316" s="27">
        <f>IF($M1316="","",IF($F1316="Compareceu",$M1316,0))</f>
        <v>0</v>
      </c>
      <c r="O1316" s="27">
        <f>IF($M1316="","",IF($F1316="Faltou",$M1316,0))</f>
        <v>0</v>
      </c>
      <c r="P1316" s="27">
        <f>IF($M1316="","",IF($F1316="Compareceu",MAX(0,$M1316-N($H1316)),0))</f>
        <v>0</v>
      </c>
      <c r="Q1316" s="19">
        <f>IF(AND($F1316="Compareceu",$E1316&lt;&gt;"",$A1316&lt;&gt;""),IF(IFERROR(INDEX(ProcRet,MATCH($E1316,ProcNome,0)),0)&gt;0,$A1316+INDEX(ProcRet,MATCH($E1316,ProcNome,0)),""),"")</f>
        <v>0</v>
      </c>
      <c r="R1316" s="26">
        <f>IF($Q1316="","",IF(COUNTIFS(AgPac,$D1316,AgData,"&gt;"&amp;$A1316,AgStatus,"&lt;&gt;Cancelado",AgStatus,"&lt;&gt;Remarcado")&gt;0,"Sim","Não"))</f>
        <v>0</v>
      </c>
      <c r="S1316" s="28">
        <f>IF($A1316="","",IF(AND($F1316="Agendado",$A1316-Hoje&gt;=0,$A1316-Hoje&lt;=DiasConf),"CONFIRMAR",IF(AND($A1316&lt;Hoje,OR($F1316="Agendado",$F1316="Confirmado")),"Atualizar status",IF(AND($F1316="Compareceu",$P1316&gt;0.005),"Cobrar",IF($F1316="Faltou","Falta: reagendar","")))))</f>
        <v>0</v>
      </c>
      <c r="T1316" s="29">
        <f>IF($A1316="","",DATE(YEAR($A1316),MONTH($A1316),1))</f>
        <v>0</v>
      </c>
      <c r="U1316" s="30">
        <f>IF($S1316="CONFIRMAR",MAX($U$4:$U1315)+1,"")</f>
        <v>0</v>
      </c>
      <c r="V1316" s="30">
        <f>IF(AND($R1316="Não",$Q1316&lt;&gt;"",$Q1316&lt;=Hoje+JanelaRet,$Q1316&gt;=Hoje-60),MAX($V$4:$V1315)+1,"")</f>
        <v>0</v>
      </c>
    </row>
    <row r="1317" spans="1:22">
      <c r="A1317" s="16"/>
      <c r="B1317" s="23"/>
      <c r="C1317" s="15"/>
      <c r="D1317" s="15"/>
      <c r="E1317" s="15"/>
      <c r="F1317" s="24"/>
      <c r="G1317" s="17"/>
      <c r="H1317" s="17"/>
      <c r="I1317" s="15"/>
      <c r="J1317" s="25">
        <f>IF($D1317="","",IFERROR(INDEX(PacNome,MATCH($D1317,PacCod,0)),"Paciente não cadastrado"))</f>
        <v>0</v>
      </c>
      <c r="K1317" s="26">
        <f>IF($D1317="","",IFERROR(INDEX(PacConv,MATCH($D1317,PacCod,0))&amp;"",""))</f>
        <v>0</v>
      </c>
      <c r="L1317" s="26">
        <f>IF($A1317="","",CHOOSE(WEEKDAY($A1317,2),"Seg","Ter","Qua","Qui","Sex","Sáb","Dom"))</f>
        <v>0</v>
      </c>
      <c r="M1317" s="27">
        <f>IF($E1317="","",IF($G1317&lt;&gt;"",$G1317,IFERROR(INDEX(ProcValor,MATCH($E1317,ProcNome,0)),0)))</f>
        <v>0</v>
      </c>
      <c r="N1317" s="27">
        <f>IF($M1317="","",IF($F1317="Compareceu",$M1317,0))</f>
        <v>0</v>
      </c>
      <c r="O1317" s="27">
        <f>IF($M1317="","",IF($F1317="Faltou",$M1317,0))</f>
        <v>0</v>
      </c>
      <c r="P1317" s="27">
        <f>IF($M1317="","",IF($F1317="Compareceu",MAX(0,$M1317-N($H1317)),0))</f>
        <v>0</v>
      </c>
      <c r="Q1317" s="19">
        <f>IF(AND($F1317="Compareceu",$E1317&lt;&gt;"",$A1317&lt;&gt;""),IF(IFERROR(INDEX(ProcRet,MATCH($E1317,ProcNome,0)),0)&gt;0,$A1317+INDEX(ProcRet,MATCH($E1317,ProcNome,0)),""),"")</f>
        <v>0</v>
      </c>
      <c r="R1317" s="26">
        <f>IF($Q1317="","",IF(COUNTIFS(AgPac,$D1317,AgData,"&gt;"&amp;$A1317,AgStatus,"&lt;&gt;Cancelado",AgStatus,"&lt;&gt;Remarcado")&gt;0,"Sim","Não"))</f>
        <v>0</v>
      </c>
      <c r="S1317" s="28">
        <f>IF($A1317="","",IF(AND($F1317="Agendado",$A1317-Hoje&gt;=0,$A1317-Hoje&lt;=DiasConf),"CONFIRMAR",IF(AND($A1317&lt;Hoje,OR($F1317="Agendado",$F1317="Confirmado")),"Atualizar status",IF(AND($F1317="Compareceu",$P1317&gt;0.005),"Cobrar",IF($F1317="Faltou","Falta: reagendar","")))))</f>
        <v>0</v>
      </c>
      <c r="T1317" s="29">
        <f>IF($A1317="","",DATE(YEAR($A1317),MONTH($A1317),1))</f>
        <v>0</v>
      </c>
      <c r="U1317" s="30">
        <f>IF($S1317="CONFIRMAR",MAX($U$4:$U1316)+1,"")</f>
        <v>0</v>
      </c>
      <c r="V1317" s="30">
        <f>IF(AND($R1317="Não",$Q1317&lt;&gt;"",$Q1317&lt;=Hoje+JanelaRet,$Q1317&gt;=Hoje-60),MAX($V$4:$V1316)+1,"")</f>
        <v>0</v>
      </c>
    </row>
    <row r="1318" spans="1:22">
      <c r="A1318" s="16"/>
      <c r="B1318" s="23"/>
      <c r="C1318" s="15"/>
      <c r="D1318" s="15"/>
      <c r="E1318" s="15"/>
      <c r="F1318" s="24"/>
      <c r="G1318" s="17"/>
      <c r="H1318" s="17"/>
      <c r="I1318" s="15"/>
      <c r="J1318" s="25">
        <f>IF($D1318="","",IFERROR(INDEX(PacNome,MATCH($D1318,PacCod,0)),"Paciente não cadastrado"))</f>
        <v>0</v>
      </c>
      <c r="K1318" s="26">
        <f>IF($D1318="","",IFERROR(INDEX(PacConv,MATCH($D1318,PacCod,0))&amp;"",""))</f>
        <v>0</v>
      </c>
      <c r="L1318" s="26">
        <f>IF($A1318="","",CHOOSE(WEEKDAY($A1318,2),"Seg","Ter","Qua","Qui","Sex","Sáb","Dom"))</f>
        <v>0</v>
      </c>
      <c r="M1318" s="27">
        <f>IF($E1318="","",IF($G1318&lt;&gt;"",$G1318,IFERROR(INDEX(ProcValor,MATCH($E1318,ProcNome,0)),0)))</f>
        <v>0</v>
      </c>
      <c r="N1318" s="27">
        <f>IF($M1318="","",IF($F1318="Compareceu",$M1318,0))</f>
        <v>0</v>
      </c>
      <c r="O1318" s="27">
        <f>IF($M1318="","",IF($F1318="Faltou",$M1318,0))</f>
        <v>0</v>
      </c>
      <c r="P1318" s="27">
        <f>IF($M1318="","",IF($F1318="Compareceu",MAX(0,$M1318-N($H1318)),0))</f>
        <v>0</v>
      </c>
      <c r="Q1318" s="19">
        <f>IF(AND($F1318="Compareceu",$E1318&lt;&gt;"",$A1318&lt;&gt;""),IF(IFERROR(INDEX(ProcRet,MATCH($E1318,ProcNome,0)),0)&gt;0,$A1318+INDEX(ProcRet,MATCH($E1318,ProcNome,0)),""),"")</f>
        <v>0</v>
      </c>
      <c r="R1318" s="26">
        <f>IF($Q1318="","",IF(COUNTIFS(AgPac,$D1318,AgData,"&gt;"&amp;$A1318,AgStatus,"&lt;&gt;Cancelado",AgStatus,"&lt;&gt;Remarcado")&gt;0,"Sim","Não"))</f>
        <v>0</v>
      </c>
      <c r="S1318" s="28">
        <f>IF($A1318="","",IF(AND($F1318="Agendado",$A1318-Hoje&gt;=0,$A1318-Hoje&lt;=DiasConf),"CONFIRMAR",IF(AND($A1318&lt;Hoje,OR($F1318="Agendado",$F1318="Confirmado")),"Atualizar status",IF(AND($F1318="Compareceu",$P1318&gt;0.005),"Cobrar",IF($F1318="Faltou","Falta: reagendar","")))))</f>
        <v>0</v>
      </c>
      <c r="T1318" s="29">
        <f>IF($A1318="","",DATE(YEAR($A1318),MONTH($A1318),1))</f>
        <v>0</v>
      </c>
      <c r="U1318" s="30">
        <f>IF($S1318="CONFIRMAR",MAX($U$4:$U1317)+1,"")</f>
        <v>0</v>
      </c>
      <c r="V1318" s="30">
        <f>IF(AND($R1318="Não",$Q1318&lt;&gt;"",$Q1318&lt;=Hoje+JanelaRet,$Q1318&gt;=Hoje-60),MAX($V$4:$V1317)+1,"")</f>
        <v>0</v>
      </c>
    </row>
    <row r="1319" spans="1:22">
      <c r="A1319" s="16"/>
      <c r="B1319" s="23"/>
      <c r="C1319" s="15"/>
      <c r="D1319" s="15"/>
      <c r="E1319" s="15"/>
      <c r="F1319" s="24"/>
      <c r="G1319" s="17"/>
      <c r="H1319" s="17"/>
      <c r="I1319" s="15"/>
      <c r="J1319" s="25">
        <f>IF($D1319="","",IFERROR(INDEX(PacNome,MATCH($D1319,PacCod,0)),"Paciente não cadastrado"))</f>
        <v>0</v>
      </c>
      <c r="K1319" s="26">
        <f>IF($D1319="","",IFERROR(INDEX(PacConv,MATCH($D1319,PacCod,0))&amp;"",""))</f>
        <v>0</v>
      </c>
      <c r="L1319" s="26">
        <f>IF($A1319="","",CHOOSE(WEEKDAY($A1319,2),"Seg","Ter","Qua","Qui","Sex","Sáb","Dom"))</f>
        <v>0</v>
      </c>
      <c r="M1319" s="27">
        <f>IF($E1319="","",IF($G1319&lt;&gt;"",$G1319,IFERROR(INDEX(ProcValor,MATCH($E1319,ProcNome,0)),0)))</f>
        <v>0</v>
      </c>
      <c r="N1319" s="27">
        <f>IF($M1319="","",IF($F1319="Compareceu",$M1319,0))</f>
        <v>0</v>
      </c>
      <c r="O1319" s="27">
        <f>IF($M1319="","",IF($F1319="Faltou",$M1319,0))</f>
        <v>0</v>
      </c>
      <c r="P1319" s="27">
        <f>IF($M1319="","",IF($F1319="Compareceu",MAX(0,$M1319-N($H1319)),0))</f>
        <v>0</v>
      </c>
      <c r="Q1319" s="19">
        <f>IF(AND($F1319="Compareceu",$E1319&lt;&gt;"",$A1319&lt;&gt;""),IF(IFERROR(INDEX(ProcRet,MATCH($E1319,ProcNome,0)),0)&gt;0,$A1319+INDEX(ProcRet,MATCH($E1319,ProcNome,0)),""),"")</f>
        <v>0</v>
      </c>
      <c r="R1319" s="26">
        <f>IF($Q1319="","",IF(COUNTIFS(AgPac,$D1319,AgData,"&gt;"&amp;$A1319,AgStatus,"&lt;&gt;Cancelado",AgStatus,"&lt;&gt;Remarcado")&gt;0,"Sim","Não"))</f>
        <v>0</v>
      </c>
      <c r="S1319" s="28">
        <f>IF($A1319="","",IF(AND($F1319="Agendado",$A1319-Hoje&gt;=0,$A1319-Hoje&lt;=DiasConf),"CONFIRMAR",IF(AND($A1319&lt;Hoje,OR($F1319="Agendado",$F1319="Confirmado")),"Atualizar status",IF(AND($F1319="Compareceu",$P1319&gt;0.005),"Cobrar",IF($F1319="Faltou","Falta: reagendar","")))))</f>
        <v>0</v>
      </c>
      <c r="T1319" s="29">
        <f>IF($A1319="","",DATE(YEAR($A1319),MONTH($A1319),1))</f>
        <v>0</v>
      </c>
      <c r="U1319" s="30">
        <f>IF($S1319="CONFIRMAR",MAX($U$4:$U1318)+1,"")</f>
        <v>0</v>
      </c>
      <c r="V1319" s="30">
        <f>IF(AND($R1319="Não",$Q1319&lt;&gt;"",$Q1319&lt;=Hoje+JanelaRet,$Q1319&gt;=Hoje-60),MAX($V$4:$V1318)+1,"")</f>
        <v>0</v>
      </c>
    </row>
    <row r="1320" spans="1:22">
      <c r="A1320" s="16"/>
      <c r="B1320" s="23"/>
      <c r="C1320" s="15"/>
      <c r="D1320" s="15"/>
      <c r="E1320" s="15"/>
      <c r="F1320" s="24"/>
      <c r="G1320" s="17"/>
      <c r="H1320" s="17"/>
      <c r="I1320" s="15"/>
      <c r="J1320" s="25">
        <f>IF($D1320="","",IFERROR(INDEX(PacNome,MATCH($D1320,PacCod,0)),"Paciente não cadastrado"))</f>
        <v>0</v>
      </c>
      <c r="K1320" s="26">
        <f>IF($D1320="","",IFERROR(INDEX(PacConv,MATCH($D1320,PacCod,0))&amp;"",""))</f>
        <v>0</v>
      </c>
      <c r="L1320" s="26">
        <f>IF($A1320="","",CHOOSE(WEEKDAY($A1320,2),"Seg","Ter","Qua","Qui","Sex","Sáb","Dom"))</f>
        <v>0</v>
      </c>
      <c r="M1320" s="27">
        <f>IF($E1320="","",IF($G1320&lt;&gt;"",$G1320,IFERROR(INDEX(ProcValor,MATCH($E1320,ProcNome,0)),0)))</f>
        <v>0</v>
      </c>
      <c r="N1320" s="27">
        <f>IF($M1320="","",IF($F1320="Compareceu",$M1320,0))</f>
        <v>0</v>
      </c>
      <c r="O1320" s="27">
        <f>IF($M1320="","",IF($F1320="Faltou",$M1320,0))</f>
        <v>0</v>
      </c>
      <c r="P1320" s="27">
        <f>IF($M1320="","",IF($F1320="Compareceu",MAX(0,$M1320-N($H1320)),0))</f>
        <v>0</v>
      </c>
      <c r="Q1320" s="19">
        <f>IF(AND($F1320="Compareceu",$E1320&lt;&gt;"",$A1320&lt;&gt;""),IF(IFERROR(INDEX(ProcRet,MATCH($E1320,ProcNome,0)),0)&gt;0,$A1320+INDEX(ProcRet,MATCH($E1320,ProcNome,0)),""),"")</f>
        <v>0</v>
      </c>
      <c r="R1320" s="26">
        <f>IF($Q1320="","",IF(COUNTIFS(AgPac,$D1320,AgData,"&gt;"&amp;$A1320,AgStatus,"&lt;&gt;Cancelado",AgStatus,"&lt;&gt;Remarcado")&gt;0,"Sim","Não"))</f>
        <v>0</v>
      </c>
      <c r="S1320" s="28">
        <f>IF($A1320="","",IF(AND($F1320="Agendado",$A1320-Hoje&gt;=0,$A1320-Hoje&lt;=DiasConf),"CONFIRMAR",IF(AND($A1320&lt;Hoje,OR($F1320="Agendado",$F1320="Confirmado")),"Atualizar status",IF(AND($F1320="Compareceu",$P1320&gt;0.005),"Cobrar",IF($F1320="Faltou","Falta: reagendar","")))))</f>
        <v>0</v>
      </c>
      <c r="T1320" s="29">
        <f>IF($A1320="","",DATE(YEAR($A1320),MONTH($A1320),1))</f>
        <v>0</v>
      </c>
      <c r="U1320" s="30">
        <f>IF($S1320="CONFIRMAR",MAX($U$4:$U1319)+1,"")</f>
        <v>0</v>
      </c>
      <c r="V1320" s="30">
        <f>IF(AND($R1320="Não",$Q1320&lt;&gt;"",$Q1320&lt;=Hoje+JanelaRet,$Q1320&gt;=Hoje-60),MAX($V$4:$V1319)+1,"")</f>
        <v>0</v>
      </c>
    </row>
    <row r="1321" spans="1:22">
      <c r="A1321" s="16"/>
      <c r="B1321" s="23"/>
      <c r="C1321" s="15"/>
      <c r="D1321" s="15"/>
      <c r="E1321" s="15"/>
      <c r="F1321" s="24"/>
      <c r="G1321" s="17"/>
      <c r="H1321" s="17"/>
      <c r="I1321" s="15"/>
      <c r="J1321" s="25">
        <f>IF($D1321="","",IFERROR(INDEX(PacNome,MATCH($D1321,PacCod,0)),"Paciente não cadastrado"))</f>
        <v>0</v>
      </c>
      <c r="K1321" s="26">
        <f>IF($D1321="","",IFERROR(INDEX(PacConv,MATCH($D1321,PacCod,0))&amp;"",""))</f>
        <v>0</v>
      </c>
      <c r="L1321" s="26">
        <f>IF($A1321="","",CHOOSE(WEEKDAY($A1321,2),"Seg","Ter","Qua","Qui","Sex","Sáb","Dom"))</f>
        <v>0</v>
      </c>
      <c r="M1321" s="27">
        <f>IF($E1321="","",IF($G1321&lt;&gt;"",$G1321,IFERROR(INDEX(ProcValor,MATCH($E1321,ProcNome,0)),0)))</f>
        <v>0</v>
      </c>
      <c r="N1321" s="27">
        <f>IF($M1321="","",IF($F1321="Compareceu",$M1321,0))</f>
        <v>0</v>
      </c>
      <c r="O1321" s="27">
        <f>IF($M1321="","",IF($F1321="Faltou",$M1321,0))</f>
        <v>0</v>
      </c>
      <c r="P1321" s="27">
        <f>IF($M1321="","",IF($F1321="Compareceu",MAX(0,$M1321-N($H1321)),0))</f>
        <v>0</v>
      </c>
      <c r="Q1321" s="19">
        <f>IF(AND($F1321="Compareceu",$E1321&lt;&gt;"",$A1321&lt;&gt;""),IF(IFERROR(INDEX(ProcRet,MATCH($E1321,ProcNome,0)),0)&gt;0,$A1321+INDEX(ProcRet,MATCH($E1321,ProcNome,0)),""),"")</f>
        <v>0</v>
      </c>
      <c r="R1321" s="26">
        <f>IF($Q1321="","",IF(COUNTIFS(AgPac,$D1321,AgData,"&gt;"&amp;$A1321,AgStatus,"&lt;&gt;Cancelado",AgStatus,"&lt;&gt;Remarcado")&gt;0,"Sim","Não"))</f>
        <v>0</v>
      </c>
      <c r="S1321" s="28">
        <f>IF($A1321="","",IF(AND($F1321="Agendado",$A1321-Hoje&gt;=0,$A1321-Hoje&lt;=DiasConf),"CONFIRMAR",IF(AND($A1321&lt;Hoje,OR($F1321="Agendado",$F1321="Confirmado")),"Atualizar status",IF(AND($F1321="Compareceu",$P1321&gt;0.005),"Cobrar",IF($F1321="Faltou","Falta: reagendar","")))))</f>
        <v>0</v>
      </c>
      <c r="T1321" s="29">
        <f>IF($A1321="","",DATE(YEAR($A1321),MONTH($A1321),1))</f>
        <v>0</v>
      </c>
      <c r="U1321" s="30">
        <f>IF($S1321="CONFIRMAR",MAX($U$4:$U1320)+1,"")</f>
        <v>0</v>
      </c>
      <c r="V1321" s="30">
        <f>IF(AND($R1321="Não",$Q1321&lt;&gt;"",$Q1321&lt;=Hoje+JanelaRet,$Q1321&gt;=Hoje-60),MAX($V$4:$V1320)+1,"")</f>
        <v>0</v>
      </c>
    </row>
    <row r="1322" spans="1:22">
      <c r="A1322" s="16"/>
      <c r="B1322" s="23"/>
      <c r="C1322" s="15"/>
      <c r="D1322" s="15"/>
      <c r="E1322" s="15"/>
      <c r="F1322" s="24"/>
      <c r="G1322" s="17"/>
      <c r="H1322" s="17"/>
      <c r="I1322" s="15"/>
      <c r="J1322" s="25">
        <f>IF($D1322="","",IFERROR(INDEX(PacNome,MATCH($D1322,PacCod,0)),"Paciente não cadastrado"))</f>
        <v>0</v>
      </c>
      <c r="K1322" s="26">
        <f>IF($D1322="","",IFERROR(INDEX(PacConv,MATCH($D1322,PacCod,0))&amp;"",""))</f>
        <v>0</v>
      </c>
      <c r="L1322" s="26">
        <f>IF($A1322="","",CHOOSE(WEEKDAY($A1322,2),"Seg","Ter","Qua","Qui","Sex","Sáb","Dom"))</f>
        <v>0</v>
      </c>
      <c r="M1322" s="27">
        <f>IF($E1322="","",IF($G1322&lt;&gt;"",$G1322,IFERROR(INDEX(ProcValor,MATCH($E1322,ProcNome,0)),0)))</f>
        <v>0</v>
      </c>
      <c r="N1322" s="27">
        <f>IF($M1322="","",IF($F1322="Compareceu",$M1322,0))</f>
        <v>0</v>
      </c>
      <c r="O1322" s="27">
        <f>IF($M1322="","",IF($F1322="Faltou",$M1322,0))</f>
        <v>0</v>
      </c>
      <c r="P1322" s="27">
        <f>IF($M1322="","",IF($F1322="Compareceu",MAX(0,$M1322-N($H1322)),0))</f>
        <v>0</v>
      </c>
      <c r="Q1322" s="19">
        <f>IF(AND($F1322="Compareceu",$E1322&lt;&gt;"",$A1322&lt;&gt;""),IF(IFERROR(INDEX(ProcRet,MATCH($E1322,ProcNome,0)),0)&gt;0,$A1322+INDEX(ProcRet,MATCH($E1322,ProcNome,0)),""),"")</f>
        <v>0</v>
      </c>
      <c r="R1322" s="26">
        <f>IF($Q1322="","",IF(COUNTIFS(AgPac,$D1322,AgData,"&gt;"&amp;$A1322,AgStatus,"&lt;&gt;Cancelado",AgStatus,"&lt;&gt;Remarcado")&gt;0,"Sim","Não"))</f>
        <v>0</v>
      </c>
      <c r="S1322" s="28">
        <f>IF($A1322="","",IF(AND($F1322="Agendado",$A1322-Hoje&gt;=0,$A1322-Hoje&lt;=DiasConf),"CONFIRMAR",IF(AND($A1322&lt;Hoje,OR($F1322="Agendado",$F1322="Confirmado")),"Atualizar status",IF(AND($F1322="Compareceu",$P1322&gt;0.005),"Cobrar",IF($F1322="Faltou","Falta: reagendar","")))))</f>
        <v>0</v>
      </c>
      <c r="T1322" s="29">
        <f>IF($A1322="","",DATE(YEAR($A1322),MONTH($A1322),1))</f>
        <v>0</v>
      </c>
      <c r="U1322" s="30">
        <f>IF($S1322="CONFIRMAR",MAX($U$4:$U1321)+1,"")</f>
        <v>0</v>
      </c>
      <c r="V1322" s="30">
        <f>IF(AND($R1322="Não",$Q1322&lt;&gt;"",$Q1322&lt;=Hoje+JanelaRet,$Q1322&gt;=Hoje-60),MAX($V$4:$V1321)+1,"")</f>
        <v>0</v>
      </c>
    </row>
    <row r="1323" spans="1:22">
      <c r="A1323" s="16"/>
      <c r="B1323" s="23"/>
      <c r="C1323" s="15"/>
      <c r="D1323" s="15"/>
      <c r="E1323" s="15"/>
      <c r="F1323" s="24"/>
      <c r="G1323" s="17"/>
      <c r="H1323" s="17"/>
      <c r="I1323" s="15"/>
      <c r="J1323" s="25">
        <f>IF($D1323="","",IFERROR(INDEX(PacNome,MATCH($D1323,PacCod,0)),"Paciente não cadastrado"))</f>
        <v>0</v>
      </c>
      <c r="K1323" s="26">
        <f>IF($D1323="","",IFERROR(INDEX(PacConv,MATCH($D1323,PacCod,0))&amp;"",""))</f>
        <v>0</v>
      </c>
      <c r="L1323" s="26">
        <f>IF($A1323="","",CHOOSE(WEEKDAY($A1323,2),"Seg","Ter","Qua","Qui","Sex","Sáb","Dom"))</f>
        <v>0</v>
      </c>
      <c r="M1323" s="27">
        <f>IF($E1323="","",IF($G1323&lt;&gt;"",$G1323,IFERROR(INDEX(ProcValor,MATCH($E1323,ProcNome,0)),0)))</f>
        <v>0</v>
      </c>
      <c r="N1323" s="27">
        <f>IF($M1323="","",IF($F1323="Compareceu",$M1323,0))</f>
        <v>0</v>
      </c>
      <c r="O1323" s="27">
        <f>IF($M1323="","",IF($F1323="Faltou",$M1323,0))</f>
        <v>0</v>
      </c>
      <c r="P1323" s="27">
        <f>IF($M1323="","",IF($F1323="Compareceu",MAX(0,$M1323-N($H1323)),0))</f>
        <v>0</v>
      </c>
      <c r="Q1323" s="19">
        <f>IF(AND($F1323="Compareceu",$E1323&lt;&gt;"",$A1323&lt;&gt;""),IF(IFERROR(INDEX(ProcRet,MATCH($E1323,ProcNome,0)),0)&gt;0,$A1323+INDEX(ProcRet,MATCH($E1323,ProcNome,0)),""),"")</f>
        <v>0</v>
      </c>
      <c r="R1323" s="26">
        <f>IF($Q1323="","",IF(COUNTIFS(AgPac,$D1323,AgData,"&gt;"&amp;$A1323,AgStatus,"&lt;&gt;Cancelado",AgStatus,"&lt;&gt;Remarcado")&gt;0,"Sim","Não"))</f>
        <v>0</v>
      </c>
      <c r="S1323" s="28">
        <f>IF($A1323="","",IF(AND($F1323="Agendado",$A1323-Hoje&gt;=0,$A1323-Hoje&lt;=DiasConf),"CONFIRMAR",IF(AND($A1323&lt;Hoje,OR($F1323="Agendado",$F1323="Confirmado")),"Atualizar status",IF(AND($F1323="Compareceu",$P1323&gt;0.005),"Cobrar",IF($F1323="Faltou","Falta: reagendar","")))))</f>
        <v>0</v>
      </c>
      <c r="T1323" s="29">
        <f>IF($A1323="","",DATE(YEAR($A1323),MONTH($A1323),1))</f>
        <v>0</v>
      </c>
      <c r="U1323" s="30">
        <f>IF($S1323="CONFIRMAR",MAX($U$4:$U1322)+1,"")</f>
        <v>0</v>
      </c>
      <c r="V1323" s="30">
        <f>IF(AND($R1323="Não",$Q1323&lt;&gt;"",$Q1323&lt;=Hoje+JanelaRet,$Q1323&gt;=Hoje-60),MAX($V$4:$V1322)+1,"")</f>
        <v>0</v>
      </c>
    </row>
    <row r="1324" spans="1:22">
      <c r="A1324" s="16"/>
      <c r="B1324" s="23"/>
      <c r="C1324" s="15"/>
      <c r="D1324" s="15"/>
      <c r="E1324" s="15"/>
      <c r="F1324" s="24"/>
      <c r="G1324" s="17"/>
      <c r="H1324" s="17"/>
      <c r="I1324" s="15"/>
      <c r="J1324" s="25">
        <f>IF($D1324="","",IFERROR(INDEX(PacNome,MATCH($D1324,PacCod,0)),"Paciente não cadastrado"))</f>
        <v>0</v>
      </c>
      <c r="K1324" s="26">
        <f>IF($D1324="","",IFERROR(INDEX(PacConv,MATCH($D1324,PacCod,0))&amp;"",""))</f>
        <v>0</v>
      </c>
      <c r="L1324" s="26">
        <f>IF($A1324="","",CHOOSE(WEEKDAY($A1324,2),"Seg","Ter","Qua","Qui","Sex","Sáb","Dom"))</f>
        <v>0</v>
      </c>
      <c r="M1324" s="27">
        <f>IF($E1324="","",IF($G1324&lt;&gt;"",$G1324,IFERROR(INDEX(ProcValor,MATCH($E1324,ProcNome,0)),0)))</f>
        <v>0</v>
      </c>
      <c r="N1324" s="27">
        <f>IF($M1324="","",IF($F1324="Compareceu",$M1324,0))</f>
        <v>0</v>
      </c>
      <c r="O1324" s="27">
        <f>IF($M1324="","",IF($F1324="Faltou",$M1324,0))</f>
        <v>0</v>
      </c>
      <c r="P1324" s="27">
        <f>IF($M1324="","",IF($F1324="Compareceu",MAX(0,$M1324-N($H1324)),0))</f>
        <v>0</v>
      </c>
      <c r="Q1324" s="19">
        <f>IF(AND($F1324="Compareceu",$E1324&lt;&gt;"",$A1324&lt;&gt;""),IF(IFERROR(INDEX(ProcRet,MATCH($E1324,ProcNome,0)),0)&gt;0,$A1324+INDEX(ProcRet,MATCH($E1324,ProcNome,0)),""),"")</f>
        <v>0</v>
      </c>
      <c r="R1324" s="26">
        <f>IF($Q1324="","",IF(COUNTIFS(AgPac,$D1324,AgData,"&gt;"&amp;$A1324,AgStatus,"&lt;&gt;Cancelado",AgStatus,"&lt;&gt;Remarcado")&gt;0,"Sim","Não"))</f>
        <v>0</v>
      </c>
      <c r="S1324" s="28">
        <f>IF($A1324="","",IF(AND($F1324="Agendado",$A1324-Hoje&gt;=0,$A1324-Hoje&lt;=DiasConf),"CONFIRMAR",IF(AND($A1324&lt;Hoje,OR($F1324="Agendado",$F1324="Confirmado")),"Atualizar status",IF(AND($F1324="Compareceu",$P1324&gt;0.005),"Cobrar",IF($F1324="Faltou","Falta: reagendar","")))))</f>
        <v>0</v>
      </c>
      <c r="T1324" s="29">
        <f>IF($A1324="","",DATE(YEAR($A1324),MONTH($A1324),1))</f>
        <v>0</v>
      </c>
      <c r="U1324" s="30">
        <f>IF($S1324="CONFIRMAR",MAX($U$4:$U1323)+1,"")</f>
        <v>0</v>
      </c>
      <c r="V1324" s="30">
        <f>IF(AND($R1324="Não",$Q1324&lt;&gt;"",$Q1324&lt;=Hoje+JanelaRet,$Q1324&gt;=Hoje-60),MAX($V$4:$V1323)+1,"")</f>
        <v>0</v>
      </c>
    </row>
    <row r="1325" spans="1:22">
      <c r="A1325" s="16"/>
      <c r="B1325" s="23"/>
      <c r="C1325" s="15"/>
      <c r="D1325" s="15"/>
      <c r="E1325" s="15"/>
      <c r="F1325" s="24"/>
      <c r="G1325" s="17"/>
      <c r="H1325" s="17"/>
      <c r="I1325" s="15"/>
      <c r="J1325" s="25">
        <f>IF($D1325="","",IFERROR(INDEX(PacNome,MATCH($D1325,PacCod,0)),"Paciente não cadastrado"))</f>
        <v>0</v>
      </c>
      <c r="K1325" s="26">
        <f>IF($D1325="","",IFERROR(INDEX(PacConv,MATCH($D1325,PacCod,0))&amp;"",""))</f>
        <v>0</v>
      </c>
      <c r="L1325" s="26">
        <f>IF($A1325="","",CHOOSE(WEEKDAY($A1325,2),"Seg","Ter","Qua","Qui","Sex","Sáb","Dom"))</f>
        <v>0</v>
      </c>
      <c r="M1325" s="27">
        <f>IF($E1325="","",IF($G1325&lt;&gt;"",$G1325,IFERROR(INDEX(ProcValor,MATCH($E1325,ProcNome,0)),0)))</f>
        <v>0</v>
      </c>
      <c r="N1325" s="27">
        <f>IF($M1325="","",IF($F1325="Compareceu",$M1325,0))</f>
        <v>0</v>
      </c>
      <c r="O1325" s="27">
        <f>IF($M1325="","",IF($F1325="Faltou",$M1325,0))</f>
        <v>0</v>
      </c>
      <c r="P1325" s="27">
        <f>IF($M1325="","",IF($F1325="Compareceu",MAX(0,$M1325-N($H1325)),0))</f>
        <v>0</v>
      </c>
      <c r="Q1325" s="19">
        <f>IF(AND($F1325="Compareceu",$E1325&lt;&gt;"",$A1325&lt;&gt;""),IF(IFERROR(INDEX(ProcRet,MATCH($E1325,ProcNome,0)),0)&gt;0,$A1325+INDEX(ProcRet,MATCH($E1325,ProcNome,0)),""),"")</f>
        <v>0</v>
      </c>
      <c r="R1325" s="26">
        <f>IF($Q1325="","",IF(COUNTIFS(AgPac,$D1325,AgData,"&gt;"&amp;$A1325,AgStatus,"&lt;&gt;Cancelado",AgStatus,"&lt;&gt;Remarcado")&gt;0,"Sim","Não"))</f>
        <v>0</v>
      </c>
      <c r="S1325" s="28">
        <f>IF($A1325="","",IF(AND($F1325="Agendado",$A1325-Hoje&gt;=0,$A1325-Hoje&lt;=DiasConf),"CONFIRMAR",IF(AND($A1325&lt;Hoje,OR($F1325="Agendado",$F1325="Confirmado")),"Atualizar status",IF(AND($F1325="Compareceu",$P1325&gt;0.005),"Cobrar",IF($F1325="Faltou","Falta: reagendar","")))))</f>
        <v>0</v>
      </c>
      <c r="T1325" s="29">
        <f>IF($A1325="","",DATE(YEAR($A1325),MONTH($A1325),1))</f>
        <v>0</v>
      </c>
      <c r="U1325" s="30">
        <f>IF($S1325="CONFIRMAR",MAX($U$4:$U1324)+1,"")</f>
        <v>0</v>
      </c>
      <c r="V1325" s="30">
        <f>IF(AND($R1325="Não",$Q1325&lt;&gt;"",$Q1325&lt;=Hoje+JanelaRet,$Q1325&gt;=Hoje-60),MAX($V$4:$V1324)+1,"")</f>
        <v>0</v>
      </c>
    </row>
    <row r="1326" spans="1:22">
      <c r="A1326" s="16"/>
      <c r="B1326" s="23"/>
      <c r="C1326" s="15"/>
      <c r="D1326" s="15"/>
      <c r="E1326" s="15"/>
      <c r="F1326" s="24"/>
      <c r="G1326" s="17"/>
      <c r="H1326" s="17"/>
      <c r="I1326" s="15"/>
      <c r="J1326" s="25">
        <f>IF($D1326="","",IFERROR(INDEX(PacNome,MATCH($D1326,PacCod,0)),"Paciente não cadastrado"))</f>
        <v>0</v>
      </c>
      <c r="K1326" s="26">
        <f>IF($D1326="","",IFERROR(INDEX(PacConv,MATCH($D1326,PacCod,0))&amp;"",""))</f>
        <v>0</v>
      </c>
      <c r="L1326" s="26">
        <f>IF($A1326="","",CHOOSE(WEEKDAY($A1326,2),"Seg","Ter","Qua","Qui","Sex","Sáb","Dom"))</f>
        <v>0</v>
      </c>
      <c r="M1326" s="27">
        <f>IF($E1326="","",IF($G1326&lt;&gt;"",$G1326,IFERROR(INDEX(ProcValor,MATCH($E1326,ProcNome,0)),0)))</f>
        <v>0</v>
      </c>
      <c r="N1326" s="27">
        <f>IF($M1326="","",IF($F1326="Compareceu",$M1326,0))</f>
        <v>0</v>
      </c>
      <c r="O1326" s="27">
        <f>IF($M1326="","",IF($F1326="Faltou",$M1326,0))</f>
        <v>0</v>
      </c>
      <c r="P1326" s="27">
        <f>IF($M1326="","",IF($F1326="Compareceu",MAX(0,$M1326-N($H1326)),0))</f>
        <v>0</v>
      </c>
      <c r="Q1326" s="19">
        <f>IF(AND($F1326="Compareceu",$E1326&lt;&gt;"",$A1326&lt;&gt;""),IF(IFERROR(INDEX(ProcRet,MATCH($E1326,ProcNome,0)),0)&gt;0,$A1326+INDEX(ProcRet,MATCH($E1326,ProcNome,0)),""),"")</f>
        <v>0</v>
      </c>
      <c r="R1326" s="26">
        <f>IF($Q1326="","",IF(COUNTIFS(AgPac,$D1326,AgData,"&gt;"&amp;$A1326,AgStatus,"&lt;&gt;Cancelado",AgStatus,"&lt;&gt;Remarcado")&gt;0,"Sim","Não"))</f>
        <v>0</v>
      </c>
      <c r="S1326" s="28">
        <f>IF($A1326="","",IF(AND($F1326="Agendado",$A1326-Hoje&gt;=0,$A1326-Hoje&lt;=DiasConf),"CONFIRMAR",IF(AND($A1326&lt;Hoje,OR($F1326="Agendado",$F1326="Confirmado")),"Atualizar status",IF(AND($F1326="Compareceu",$P1326&gt;0.005),"Cobrar",IF($F1326="Faltou","Falta: reagendar","")))))</f>
        <v>0</v>
      </c>
      <c r="T1326" s="29">
        <f>IF($A1326="","",DATE(YEAR($A1326),MONTH($A1326),1))</f>
        <v>0</v>
      </c>
      <c r="U1326" s="30">
        <f>IF($S1326="CONFIRMAR",MAX($U$4:$U1325)+1,"")</f>
        <v>0</v>
      </c>
      <c r="V1326" s="30">
        <f>IF(AND($R1326="Não",$Q1326&lt;&gt;"",$Q1326&lt;=Hoje+JanelaRet,$Q1326&gt;=Hoje-60),MAX($V$4:$V1325)+1,"")</f>
        <v>0</v>
      </c>
    </row>
    <row r="1327" spans="1:22">
      <c r="A1327" s="16"/>
      <c r="B1327" s="23"/>
      <c r="C1327" s="15"/>
      <c r="D1327" s="15"/>
      <c r="E1327" s="15"/>
      <c r="F1327" s="24"/>
      <c r="G1327" s="17"/>
      <c r="H1327" s="17"/>
      <c r="I1327" s="15"/>
      <c r="J1327" s="25">
        <f>IF($D1327="","",IFERROR(INDEX(PacNome,MATCH($D1327,PacCod,0)),"Paciente não cadastrado"))</f>
        <v>0</v>
      </c>
      <c r="K1327" s="26">
        <f>IF($D1327="","",IFERROR(INDEX(PacConv,MATCH($D1327,PacCod,0))&amp;"",""))</f>
        <v>0</v>
      </c>
      <c r="L1327" s="26">
        <f>IF($A1327="","",CHOOSE(WEEKDAY($A1327,2),"Seg","Ter","Qua","Qui","Sex","Sáb","Dom"))</f>
        <v>0</v>
      </c>
      <c r="M1327" s="27">
        <f>IF($E1327="","",IF($G1327&lt;&gt;"",$G1327,IFERROR(INDEX(ProcValor,MATCH($E1327,ProcNome,0)),0)))</f>
        <v>0</v>
      </c>
      <c r="N1327" s="27">
        <f>IF($M1327="","",IF($F1327="Compareceu",$M1327,0))</f>
        <v>0</v>
      </c>
      <c r="O1327" s="27">
        <f>IF($M1327="","",IF($F1327="Faltou",$M1327,0))</f>
        <v>0</v>
      </c>
      <c r="P1327" s="27">
        <f>IF($M1327="","",IF($F1327="Compareceu",MAX(0,$M1327-N($H1327)),0))</f>
        <v>0</v>
      </c>
      <c r="Q1327" s="19">
        <f>IF(AND($F1327="Compareceu",$E1327&lt;&gt;"",$A1327&lt;&gt;""),IF(IFERROR(INDEX(ProcRet,MATCH($E1327,ProcNome,0)),0)&gt;0,$A1327+INDEX(ProcRet,MATCH($E1327,ProcNome,0)),""),"")</f>
        <v>0</v>
      </c>
      <c r="R1327" s="26">
        <f>IF($Q1327="","",IF(COUNTIFS(AgPac,$D1327,AgData,"&gt;"&amp;$A1327,AgStatus,"&lt;&gt;Cancelado",AgStatus,"&lt;&gt;Remarcado")&gt;0,"Sim","Não"))</f>
        <v>0</v>
      </c>
      <c r="S1327" s="28">
        <f>IF($A1327="","",IF(AND($F1327="Agendado",$A1327-Hoje&gt;=0,$A1327-Hoje&lt;=DiasConf),"CONFIRMAR",IF(AND($A1327&lt;Hoje,OR($F1327="Agendado",$F1327="Confirmado")),"Atualizar status",IF(AND($F1327="Compareceu",$P1327&gt;0.005),"Cobrar",IF($F1327="Faltou","Falta: reagendar","")))))</f>
        <v>0</v>
      </c>
      <c r="T1327" s="29">
        <f>IF($A1327="","",DATE(YEAR($A1327),MONTH($A1327),1))</f>
        <v>0</v>
      </c>
      <c r="U1327" s="30">
        <f>IF($S1327="CONFIRMAR",MAX($U$4:$U1326)+1,"")</f>
        <v>0</v>
      </c>
      <c r="V1327" s="30">
        <f>IF(AND($R1327="Não",$Q1327&lt;&gt;"",$Q1327&lt;=Hoje+JanelaRet,$Q1327&gt;=Hoje-60),MAX($V$4:$V1326)+1,"")</f>
        <v>0</v>
      </c>
    </row>
    <row r="1328" spans="1:22">
      <c r="A1328" s="16"/>
      <c r="B1328" s="23"/>
      <c r="C1328" s="15"/>
      <c r="D1328" s="15"/>
      <c r="E1328" s="15"/>
      <c r="F1328" s="24"/>
      <c r="G1328" s="17"/>
      <c r="H1328" s="17"/>
      <c r="I1328" s="15"/>
      <c r="J1328" s="25">
        <f>IF($D1328="","",IFERROR(INDEX(PacNome,MATCH($D1328,PacCod,0)),"Paciente não cadastrado"))</f>
        <v>0</v>
      </c>
      <c r="K1328" s="26">
        <f>IF($D1328="","",IFERROR(INDEX(PacConv,MATCH($D1328,PacCod,0))&amp;"",""))</f>
        <v>0</v>
      </c>
      <c r="L1328" s="26">
        <f>IF($A1328="","",CHOOSE(WEEKDAY($A1328,2),"Seg","Ter","Qua","Qui","Sex","Sáb","Dom"))</f>
        <v>0</v>
      </c>
      <c r="M1328" s="27">
        <f>IF($E1328="","",IF($G1328&lt;&gt;"",$G1328,IFERROR(INDEX(ProcValor,MATCH($E1328,ProcNome,0)),0)))</f>
        <v>0</v>
      </c>
      <c r="N1328" s="27">
        <f>IF($M1328="","",IF($F1328="Compareceu",$M1328,0))</f>
        <v>0</v>
      </c>
      <c r="O1328" s="27">
        <f>IF($M1328="","",IF($F1328="Faltou",$M1328,0))</f>
        <v>0</v>
      </c>
      <c r="P1328" s="27">
        <f>IF($M1328="","",IF($F1328="Compareceu",MAX(0,$M1328-N($H1328)),0))</f>
        <v>0</v>
      </c>
      <c r="Q1328" s="19">
        <f>IF(AND($F1328="Compareceu",$E1328&lt;&gt;"",$A1328&lt;&gt;""),IF(IFERROR(INDEX(ProcRet,MATCH($E1328,ProcNome,0)),0)&gt;0,$A1328+INDEX(ProcRet,MATCH($E1328,ProcNome,0)),""),"")</f>
        <v>0</v>
      </c>
      <c r="R1328" s="26">
        <f>IF($Q1328="","",IF(COUNTIFS(AgPac,$D1328,AgData,"&gt;"&amp;$A1328,AgStatus,"&lt;&gt;Cancelado",AgStatus,"&lt;&gt;Remarcado")&gt;0,"Sim","Não"))</f>
        <v>0</v>
      </c>
      <c r="S1328" s="28">
        <f>IF($A1328="","",IF(AND($F1328="Agendado",$A1328-Hoje&gt;=0,$A1328-Hoje&lt;=DiasConf),"CONFIRMAR",IF(AND($A1328&lt;Hoje,OR($F1328="Agendado",$F1328="Confirmado")),"Atualizar status",IF(AND($F1328="Compareceu",$P1328&gt;0.005),"Cobrar",IF($F1328="Faltou","Falta: reagendar","")))))</f>
        <v>0</v>
      </c>
      <c r="T1328" s="29">
        <f>IF($A1328="","",DATE(YEAR($A1328),MONTH($A1328),1))</f>
        <v>0</v>
      </c>
      <c r="U1328" s="30">
        <f>IF($S1328="CONFIRMAR",MAX($U$4:$U1327)+1,"")</f>
        <v>0</v>
      </c>
      <c r="V1328" s="30">
        <f>IF(AND($R1328="Não",$Q1328&lt;&gt;"",$Q1328&lt;=Hoje+JanelaRet,$Q1328&gt;=Hoje-60),MAX($V$4:$V1327)+1,"")</f>
        <v>0</v>
      </c>
    </row>
    <row r="1329" spans="1:22">
      <c r="A1329" s="16"/>
      <c r="B1329" s="23"/>
      <c r="C1329" s="15"/>
      <c r="D1329" s="15"/>
      <c r="E1329" s="15"/>
      <c r="F1329" s="24"/>
      <c r="G1329" s="17"/>
      <c r="H1329" s="17"/>
      <c r="I1329" s="15"/>
      <c r="J1329" s="25">
        <f>IF($D1329="","",IFERROR(INDEX(PacNome,MATCH($D1329,PacCod,0)),"Paciente não cadastrado"))</f>
        <v>0</v>
      </c>
      <c r="K1329" s="26">
        <f>IF($D1329="","",IFERROR(INDEX(PacConv,MATCH($D1329,PacCod,0))&amp;"",""))</f>
        <v>0</v>
      </c>
      <c r="L1329" s="26">
        <f>IF($A1329="","",CHOOSE(WEEKDAY($A1329,2),"Seg","Ter","Qua","Qui","Sex","Sáb","Dom"))</f>
        <v>0</v>
      </c>
      <c r="M1329" s="27">
        <f>IF($E1329="","",IF($G1329&lt;&gt;"",$G1329,IFERROR(INDEX(ProcValor,MATCH($E1329,ProcNome,0)),0)))</f>
        <v>0</v>
      </c>
      <c r="N1329" s="27">
        <f>IF($M1329="","",IF($F1329="Compareceu",$M1329,0))</f>
        <v>0</v>
      </c>
      <c r="O1329" s="27">
        <f>IF($M1329="","",IF($F1329="Faltou",$M1329,0))</f>
        <v>0</v>
      </c>
      <c r="P1329" s="27">
        <f>IF($M1329="","",IF($F1329="Compareceu",MAX(0,$M1329-N($H1329)),0))</f>
        <v>0</v>
      </c>
      <c r="Q1329" s="19">
        <f>IF(AND($F1329="Compareceu",$E1329&lt;&gt;"",$A1329&lt;&gt;""),IF(IFERROR(INDEX(ProcRet,MATCH($E1329,ProcNome,0)),0)&gt;0,$A1329+INDEX(ProcRet,MATCH($E1329,ProcNome,0)),""),"")</f>
        <v>0</v>
      </c>
      <c r="R1329" s="26">
        <f>IF($Q1329="","",IF(COUNTIFS(AgPac,$D1329,AgData,"&gt;"&amp;$A1329,AgStatus,"&lt;&gt;Cancelado",AgStatus,"&lt;&gt;Remarcado")&gt;0,"Sim","Não"))</f>
        <v>0</v>
      </c>
      <c r="S1329" s="28">
        <f>IF($A1329="","",IF(AND($F1329="Agendado",$A1329-Hoje&gt;=0,$A1329-Hoje&lt;=DiasConf),"CONFIRMAR",IF(AND($A1329&lt;Hoje,OR($F1329="Agendado",$F1329="Confirmado")),"Atualizar status",IF(AND($F1329="Compareceu",$P1329&gt;0.005),"Cobrar",IF($F1329="Faltou","Falta: reagendar","")))))</f>
        <v>0</v>
      </c>
      <c r="T1329" s="29">
        <f>IF($A1329="","",DATE(YEAR($A1329),MONTH($A1329),1))</f>
        <v>0</v>
      </c>
      <c r="U1329" s="30">
        <f>IF($S1329="CONFIRMAR",MAX($U$4:$U1328)+1,"")</f>
        <v>0</v>
      </c>
      <c r="V1329" s="30">
        <f>IF(AND($R1329="Não",$Q1329&lt;&gt;"",$Q1329&lt;=Hoje+JanelaRet,$Q1329&gt;=Hoje-60),MAX($V$4:$V1328)+1,"")</f>
        <v>0</v>
      </c>
    </row>
    <row r="1330" spans="1:22">
      <c r="A1330" s="16"/>
      <c r="B1330" s="23"/>
      <c r="C1330" s="15"/>
      <c r="D1330" s="15"/>
      <c r="E1330" s="15"/>
      <c r="F1330" s="24"/>
      <c r="G1330" s="17"/>
      <c r="H1330" s="17"/>
      <c r="I1330" s="15"/>
      <c r="J1330" s="25">
        <f>IF($D1330="","",IFERROR(INDEX(PacNome,MATCH($D1330,PacCod,0)),"Paciente não cadastrado"))</f>
        <v>0</v>
      </c>
      <c r="K1330" s="26">
        <f>IF($D1330="","",IFERROR(INDEX(PacConv,MATCH($D1330,PacCod,0))&amp;"",""))</f>
        <v>0</v>
      </c>
      <c r="L1330" s="26">
        <f>IF($A1330="","",CHOOSE(WEEKDAY($A1330,2),"Seg","Ter","Qua","Qui","Sex","Sáb","Dom"))</f>
        <v>0</v>
      </c>
      <c r="M1330" s="27">
        <f>IF($E1330="","",IF($G1330&lt;&gt;"",$G1330,IFERROR(INDEX(ProcValor,MATCH($E1330,ProcNome,0)),0)))</f>
        <v>0</v>
      </c>
      <c r="N1330" s="27">
        <f>IF($M1330="","",IF($F1330="Compareceu",$M1330,0))</f>
        <v>0</v>
      </c>
      <c r="O1330" s="27">
        <f>IF($M1330="","",IF($F1330="Faltou",$M1330,0))</f>
        <v>0</v>
      </c>
      <c r="P1330" s="27">
        <f>IF($M1330="","",IF($F1330="Compareceu",MAX(0,$M1330-N($H1330)),0))</f>
        <v>0</v>
      </c>
      <c r="Q1330" s="19">
        <f>IF(AND($F1330="Compareceu",$E1330&lt;&gt;"",$A1330&lt;&gt;""),IF(IFERROR(INDEX(ProcRet,MATCH($E1330,ProcNome,0)),0)&gt;0,$A1330+INDEX(ProcRet,MATCH($E1330,ProcNome,0)),""),"")</f>
        <v>0</v>
      </c>
      <c r="R1330" s="26">
        <f>IF($Q1330="","",IF(COUNTIFS(AgPac,$D1330,AgData,"&gt;"&amp;$A1330,AgStatus,"&lt;&gt;Cancelado",AgStatus,"&lt;&gt;Remarcado")&gt;0,"Sim","Não"))</f>
        <v>0</v>
      </c>
      <c r="S1330" s="28">
        <f>IF($A1330="","",IF(AND($F1330="Agendado",$A1330-Hoje&gt;=0,$A1330-Hoje&lt;=DiasConf),"CONFIRMAR",IF(AND($A1330&lt;Hoje,OR($F1330="Agendado",$F1330="Confirmado")),"Atualizar status",IF(AND($F1330="Compareceu",$P1330&gt;0.005),"Cobrar",IF($F1330="Faltou","Falta: reagendar","")))))</f>
        <v>0</v>
      </c>
      <c r="T1330" s="29">
        <f>IF($A1330="","",DATE(YEAR($A1330),MONTH($A1330),1))</f>
        <v>0</v>
      </c>
      <c r="U1330" s="30">
        <f>IF($S1330="CONFIRMAR",MAX($U$4:$U1329)+1,"")</f>
        <v>0</v>
      </c>
      <c r="V1330" s="30">
        <f>IF(AND($R1330="Não",$Q1330&lt;&gt;"",$Q1330&lt;=Hoje+JanelaRet,$Q1330&gt;=Hoje-60),MAX($V$4:$V1329)+1,"")</f>
        <v>0</v>
      </c>
    </row>
    <row r="1331" spans="1:22">
      <c r="A1331" s="16"/>
      <c r="B1331" s="23"/>
      <c r="C1331" s="15"/>
      <c r="D1331" s="15"/>
      <c r="E1331" s="15"/>
      <c r="F1331" s="24"/>
      <c r="G1331" s="17"/>
      <c r="H1331" s="17"/>
      <c r="I1331" s="15"/>
      <c r="J1331" s="25">
        <f>IF($D1331="","",IFERROR(INDEX(PacNome,MATCH($D1331,PacCod,0)),"Paciente não cadastrado"))</f>
        <v>0</v>
      </c>
      <c r="K1331" s="26">
        <f>IF($D1331="","",IFERROR(INDEX(PacConv,MATCH($D1331,PacCod,0))&amp;"",""))</f>
        <v>0</v>
      </c>
      <c r="L1331" s="26">
        <f>IF($A1331="","",CHOOSE(WEEKDAY($A1331,2),"Seg","Ter","Qua","Qui","Sex","Sáb","Dom"))</f>
        <v>0</v>
      </c>
      <c r="M1331" s="27">
        <f>IF($E1331="","",IF($G1331&lt;&gt;"",$G1331,IFERROR(INDEX(ProcValor,MATCH($E1331,ProcNome,0)),0)))</f>
        <v>0</v>
      </c>
      <c r="N1331" s="27">
        <f>IF($M1331="","",IF($F1331="Compareceu",$M1331,0))</f>
        <v>0</v>
      </c>
      <c r="O1331" s="27">
        <f>IF($M1331="","",IF($F1331="Faltou",$M1331,0))</f>
        <v>0</v>
      </c>
      <c r="P1331" s="27">
        <f>IF($M1331="","",IF($F1331="Compareceu",MAX(0,$M1331-N($H1331)),0))</f>
        <v>0</v>
      </c>
      <c r="Q1331" s="19">
        <f>IF(AND($F1331="Compareceu",$E1331&lt;&gt;"",$A1331&lt;&gt;""),IF(IFERROR(INDEX(ProcRet,MATCH($E1331,ProcNome,0)),0)&gt;0,$A1331+INDEX(ProcRet,MATCH($E1331,ProcNome,0)),""),"")</f>
        <v>0</v>
      </c>
      <c r="R1331" s="26">
        <f>IF($Q1331="","",IF(COUNTIFS(AgPac,$D1331,AgData,"&gt;"&amp;$A1331,AgStatus,"&lt;&gt;Cancelado",AgStatus,"&lt;&gt;Remarcado")&gt;0,"Sim","Não"))</f>
        <v>0</v>
      </c>
      <c r="S1331" s="28">
        <f>IF($A1331="","",IF(AND($F1331="Agendado",$A1331-Hoje&gt;=0,$A1331-Hoje&lt;=DiasConf),"CONFIRMAR",IF(AND($A1331&lt;Hoje,OR($F1331="Agendado",$F1331="Confirmado")),"Atualizar status",IF(AND($F1331="Compareceu",$P1331&gt;0.005),"Cobrar",IF($F1331="Faltou","Falta: reagendar","")))))</f>
        <v>0</v>
      </c>
      <c r="T1331" s="29">
        <f>IF($A1331="","",DATE(YEAR($A1331),MONTH($A1331),1))</f>
        <v>0</v>
      </c>
      <c r="U1331" s="30">
        <f>IF($S1331="CONFIRMAR",MAX($U$4:$U1330)+1,"")</f>
        <v>0</v>
      </c>
      <c r="V1331" s="30">
        <f>IF(AND($R1331="Não",$Q1331&lt;&gt;"",$Q1331&lt;=Hoje+JanelaRet,$Q1331&gt;=Hoje-60),MAX($V$4:$V1330)+1,"")</f>
        <v>0</v>
      </c>
    </row>
    <row r="1332" spans="1:22">
      <c r="A1332" s="16"/>
      <c r="B1332" s="23"/>
      <c r="C1332" s="15"/>
      <c r="D1332" s="15"/>
      <c r="E1332" s="15"/>
      <c r="F1332" s="24"/>
      <c r="G1332" s="17"/>
      <c r="H1332" s="17"/>
      <c r="I1332" s="15"/>
      <c r="J1332" s="25">
        <f>IF($D1332="","",IFERROR(INDEX(PacNome,MATCH($D1332,PacCod,0)),"Paciente não cadastrado"))</f>
        <v>0</v>
      </c>
      <c r="K1332" s="26">
        <f>IF($D1332="","",IFERROR(INDEX(PacConv,MATCH($D1332,PacCod,0))&amp;"",""))</f>
        <v>0</v>
      </c>
      <c r="L1332" s="26">
        <f>IF($A1332="","",CHOOSE(WEEKDAY($A1332,2),"Seg","Ter","Qua","Qui","Sex","Sáb","Dom"))</f>
        <v>0</v>
      </c>
      <c r="M1332" s="27">
        <f>IF($E1332="","",IF($G1332&lt;&gt;"",$G1332,IFERROR(INDEX(ProcValor,MATCH($E1332,ProcNome,0)),0)))</f>
        <v>0</v>
      </c>
      <c r="N1332" s="27">
        <f>IF($M1332="","",IF($F1332="Compareceu",$M1332,0))</f>
        <v>0</v>
      </c>
      <c r="O1332" s="27">
        <f>IF($M1332="","",IF($F1332="Faltou",$M1332,0))</f>
        <v>0</v>
      </c>
      <c r="P1332" s="27">
        <f>IF($M1332="","",IF($F1332="Compareceu",MAX(0,$M1332-N($H1332)),0))</f>
        <v>0</v>
      </c>
      <c r="Q1332" s="19">
        <f>IF(AND($F1332="Compareceu",$E1332&lt;&gt;"",$A1332&lt;&gt;""),IF(IFERROR(INDEX(ProcRet,MATCH($E1332,ProcNome,0)),0)&gt;0,$A1332+INDEX(ProcRet,MATCH($E1332,ProcNome,0)),""),"")</f>
        <v>0</v>
      </c>
      <c r="R1332" s="26">
        <f>IF($Q1332="","",IF(COUNTIFS(AgPac,$D1332,AgData,"&gt;"&amp;$A1332,AgStatus,"&lt;&gt;Cancelado",AgStatus,"&lt;&gt;Remarcado")&gt;0,"Sim","Não"))</f>
        <v>0</v>
      </c>
      <c r="S1332" s="28">
        <f>IF($A1332="","",IF(AND($F1332="Agendado",$A1332-Hoje&gt;=0,$A1332-Hoje&lt;=DiasConf),"CONFIRMAR",IF(AND($A1332&lt;Hoje,OR($F1332="Agendado",$F1332="Confirmado")),"Atualizar status",IF(AND($F1332="Compareceu",$P1332&gt;0.005),"Cobrar",IF($F1332="Faltou","Falta: reagendar","")))))</f>
        <v>0</v>
      </c>
      <c r="T1332" s="29">
        <f>IF($A1332="","",DATE(YEAR($A1332),MONTH($A1332),1))</f>
        <v>0</v>
      </c>
      <c r="U1332" s="30">
        <f>IF($S1332="CONFIRMAR",MAX($U$4:$U1331)+1,"")</f>
        <v>0</v>
      </c>
      <c r="V1332" s="30">
        <f>IF(AND($R1332="Não",$Q1332&lt;&gt;"",$Q1332&lt;=Hoje+JanelaRet,$Q1332&gt;=Hoje-60),MAX($V$4:$V1331)+1,"")</f>
        <v>0</v>
      </c>
    </row>
    <row r="1333" spans="1:22">
      <c r="A1333" s="16"/>
      <c r="B1333" s="23"/>
      <c r="C1333" s="15"/>
      <c r="D1333" s="15"/>
      <c r="E1333" s="15"/>
      <c r="F1333" s="24"/>
      <c r="G1333" s="17"/>
      <c r="H1333" s="17"/>
      <c r="I1333" s="15"/>
      <c r="J1333" s="25">
        <f>IF($D1333="","",IFERROR(INDEX(PacNome,MATCH($D1333,PacCod,0)),"Paciente não cadastrado"))</f>
        <v>0</v>
      </c>
      <c r="K1333" s="26">
        <f>IF($D1333="","",IFERROR(INDEX(PacConv,MATCH($D1333,PacCod,0))&amp;"",""))</f>
        <v>0</v>
      </c>
      <c r="L1333" s="26">
        <f>IF($A1333="","",CHOOSE(WEEKDAY($A1333,2),"Seg","Ter","Qua","Qui","Sex","Sáb","Dom"))</f>
        <v>0</v>
      </c>
      <c r="M1333" s="27">
        <f>IF($E1333="","",IF($G1333&lt;&gt;"",$G1333,IFERROR(INDEX(ProcValor,MATCH($E1333,ProcNome,0)),0)))</f>
        <v>0</v>
      </c>
      <c r="N1333" s="27">
        <f>IF($M1333="","",IF($F1333="Compareceu",$M1333,0))</f>
        <v>0</v>
      </c>
      <c r="O1333" s="27">
        <f>IF($M1333="","",IF($F1333="Faltou",$M1333,0))</f>
        <v>0</v>
      </c>
      <c r="P1333" s="27">
        <f>IF($M1333="","",IF($F1333="Compareceu",MAX(0,$M1333-N($H1333)),0))</f>
        <v>0</v>
      </c>
      <c r="Q1333" s="19">
        <f>IF(AND($F1333="Compareceu",$E1333&lt;&gt;"",$A1333&lt;&gt;""),IF(IFERROR(INDEX(ProcRet,MATCH($E1333,ProcNome,0)),0)&gt;0,$A1333+INDEX(ProcRet,MATCH($E1333,ProcNome,0)),""),"")</f>
        <v>0</v>
      </c>
      <c r="R1333" s="26">
        <f>IF($Q1333="","",IF(COUNTIFS(AgPac,$D1333,AgData,"&gt;"&amp;$A1333,AgStatus,"&lt;&gt;Cancelado",AgStatus,"&lt;&gt;Remarcado")&gt;0,"Sim","Não"))</f>
        <v>0</v>
      </c>
      <c r="S1333" s="28">
        <f>IF($A1333="","",IF(AND($F1333="Agendado",$A1333-Hoje&gt;=0,$A1333-Hoje&lt;=DiasConf),"CONFIRMAR",IF(AND($A1333&lt;Hoje,OR($F1333="Agendado",$F1333="Confirmado")),"Atualizar status",IF(AND($F1333="Compareceu",$P1333&gt;0.005),"Cobrar",IF($F1333="Faltou","Falta: reagendar","")))))</f>
        <v>0</v>
      </c>
      <c r="T1333" s="29">
        <f>IF($A1333="","",DATE(YEAR($A1333),MONTH($A1333),1))</f>
        <v>0</v>
      </c>
      <c r="U1333" s="30">
        <f>IF($S1333="CONFIRMAR",MAX($U$4:$U1332)+1,"")</f>
        <v>0</v>
      </c>
      <c r="V1333" s="30">
        <f>IF(AND($R1333="Não",$Q1333&lt;&gt;"",$Q1333&lt;=Hoje+JanelaRet,$Q1333&gt;=Hoje-60),MAX($V$4:$V1332)+1,"")</f>
        <v>0</v>
      </c>
    </row>
    <row r="1334" spans="1:22">
      <c r="A1334" s="16"/>
      <c r="B1334" s="23"/>
      <c r="C1334" s="15"/>
      <c r="D1334" s="15"/>
      <c r="E1334" s="15"/>
      <c r="F1334" s="24"/>
      <c r="G1334" s="17"/>
      <c r="H1334" s="17"/>
      <c r="I1334" s="15"/>
      <c r="J1334" s="25">
        <f>IF($D1334="","",IFERROR(INDEX(PacNome,MATCH($D1334,PacCod,0)),"Paciente não cadastrado"))</f>
        <v>0</v>
      </c>
      <c r="K1334" s="26">
        <f>IF($D1334="","",IFERROR(INDEX(PacConv,MATCH($D1334,PacCod,0))&amp;"",""))</f>
        <v>0</v>
      </c>
      <c r="L1334" s="26">
        <f>IF($A1334="","",CHOOSE(WEEKDAY($A1334,2),"Seg","Ter","Qua","Qui","Sex","Sáb","Dom"))</f>
        <v>0</v>
      </c>
      <c r="M1334" s="27">
        <f>IF($E1334="","",IF($G1334&lt;&gt;"",$G1334,IFERROR(INDEX(ProcValor,MATCH($E1334,ProcNome,0)),0)))</f>
        <v>0</v>
      </c>
      <c r="N1334" s="27">
        <f>IF($M1334="","",IF($F1334="Compareceu",$M1334,0))</f>
        <v>0</v>
      </c>
      <c r="O1334" s="27">
        <f>IF($M1334="","",IF($F1334="Faltou",$M1334,0))</f>
        <v>0</v>
      </c>
      <c r="P1334" s="27">
        <f>IF($M1334="","",IF($F1334="Compareceu",MAX(0,$M1334-N($H1334)),0))</f>
        <v>0</v>
      </c>
      <c r="Q1334" s="19">
        <f>IF(AND($F1334="Compareceu",$E1334&lt;&gt;"",$A1334&lt;&gt;""),IF(IFERROR(INDEX(ProcRet,MATCH($E1334,ProcNome,0)),0)&gt;0,$A1334+INDEX(ProcRet,MATCH($E1334,ProcNome,0)),""),"")</f>
        <v>0</v>
      </c>
      <c r="R1334" s="26">
        <f>IF($Q1334="","",IF(COUNTIFS(AgPac,$D1334,AgData,"&gt;"&amp;$A1334,AgStatus,"&lt;&gt;Cancelado",AgStatus,"&lt;&gt;Remarcado")&gt;0,"Sim","Não"))</f>
        <v>0</v>
      </c>
      <c r="S1334" s="28">
        <f>IF($A1334="","",IF(AND($F1334="Agendado",$A1334-Hoje&gt;=0,$A1334-Hoje&lt;=DiasConf),"CONFIRMAR",IF(AND($A1334&lt;Hoje,OR($F1334="Agendado",$F1334="Confirmado")),"Atualizar status",IF(AND($F1334="Compareceu",$P1334&gt;0.005),"Cobrar",IF($F1334="Faltou","Falta: reagendar","")))))</f>
        <v>0</v>
      </c>
      <c r="T1334" s="29">
        <f>IF($A1334="","",DATE(YEAR($A1334),MONTH($A1334),1))</f>
        <v>0</v>
      </c>
      <c r="U1334" s="30">
        <f>IF($S1334="CONFIRMAR",MAX($U$4:$U1333)+1,"")</f>
        <v>0</v>
      </c>
      <c r="V1334" s="30">
        <f>IF(AND($R1334="Não",$Q1334&lt;&gt;"",$Q1334&lt;=Hoje+JanelaRet,$Q1334&gt;=Hoje-60),MAX($V$4:$V1333)+1,"")</f>
        <v>0</v>
      </c>
    </row>
    <row r="1335" spans="1:22">
      <c r="A1335" s="16"/>
      <c r="B1335" s="23"/>
      <c r="C1335" s="15"/>
      <c r="D1335" s="15"/>
      <c r="E1335" s="15"/>
      <c r="F1335" s="24"/>
      <c r="G1335" s="17"/>
      <c r="H1335" s="17"/>
      <c r="I1335" s="15"/>
      <c r="J1335" s="25">
        <f>IF($D1335="","",IFERROR(INDEX(PacNome,MATCH($D1335,PacCod,0)),"Paciente não cadastrado"))</f>
        <v>0</v>
      </c>
      <c r="K1335" s="26">
        <f>IF($D1335="","",IFERROR(INDEX(PacConv,MATCH($D1335,PacCod,0))&amp;"",""))</f>
        <v>0</v>
      </c>
      <c r="L1335" s="26">
        <f>IF($A1335="","",CHOOSE(WEEKDAY($A1335,2),"Seg","Ter","Qua","Qui","Sex","Sáb","Dom"))</f>
        <v>0</v>
      </c>
      <c r="M1335" s="27">
        <f>IF($E1335="","",IF($G1335&lt;&gt;"",$G1335,IFERROR(INDEX(ProcValor,MATCH($E1335,ProcNome,0)),0)))</f>
        <v>0</v>
      </c>
      <c r="N1335" s="27">
        <f>IF($M1335="","",IF($F1335="Compareceu",$M1335,0))</f>
        <v>0</v>
      </c>
      <c r="O1335" s="27">
        <f>IF($M1335="","",IF($F1335="Faltou",$M1335,0))</f>
        <v>0</v>
      </c>
      <c r="P1335" s="27">
        <f>IF($M1335="","",IF($F1335="Compareceu",MAX(0,$M1335-N($H1335)),0))</f>
        <v>0</v>
      </c>
      <c r="Q1335" s="19">
        <f>IF(AND($F1335="Compareceu",$E1335&lt;&gt;"",$A1335&lt;&gt;""),IF(IFERROR(INDEX(ProcRet,MATCH($E1335,ProcNome,0)),0)&gt;0,$A1335+INDEX(ProcRet,MATCH($E1335,ProcNome,0)),""),"")</f>
        <v>0</v>
      </c>
      <c r="R1335" s="26">
        <f>IF($Q1335="","",IF(COUNTIFS(AgPac,$D1335,AgData,"&gt;"&amp;$A1335,AgStatus,"&lt;&gt;Cancelado",AgStatus,"&lt;&gt;Remarcado")&gt;0,"Sim","Não"))</f>
        <v>0</v>
      </c>
      <c r="S1335" s="28">
        <f>IF($A1335="","",IF(AND($F1335="Agendado",$A1335-Hoje&gt;=0,$A1335-Hoje&lt;=DiasConf),"CONFIRMAR",IF(AND($A1335&lt;Hoje,OR($F1335="Agendado",$F1335="Confirmado")),"Atualizar status",IF(AND($F1335="Compareceu",$P1335&gt;0.005),"Cobrar",IF($F1335="Faltou","Falta: reagendar","")))))</f>
        <v>0</v>
      </c>
      <c r="T1335" s="29">
        <f>IF($A1335="","",DATE(YEAR($A1335),MONTH($A1335),1))</f>
        <v>0</v>
      </c>
      <c r="U1335" s="30">
        <f>IF($S1335="CONFIRMAR",MAX($U$4:$U1334)+1,"")</f>
        <v>0</v>
      </c>
      <c r="V1335" s="30">
        <f>IF(AND($R1335="Não",$Q1335&lt;&gt;"",$Q1335&lt;=Hoje+JanelaRet,$Q1335&gt;=Hoje-60),MAX($V$4:$V1334)+1,"")</f>
        <v>0</v>
      </c>
    </row>
    <row r="1336" spans="1:22">
      <c r="A1336" s="16"/>
      <c r="B1336" s="23"/>
      <c r="C1336" s="15"/>
      <c r="D1336" s="15"/>
      <c r="E1336" s="15"/>
      <c r="F1336" s="24"/>
      <c r="G1336" s="17"/>
      <c r="H1336" s="17"/>
      <c r="I1336" s="15"/>
      <c r="J1336" s="25">
        <f>IF($D1336="","",IFERROR(INDEX(PacNome,MATCH($D1336,PacCod,0)),"Paciente não cadastrado"))</f>
        <v>0</v>
      </c>
      <c r="K1336" s="26">
        <f>IF($D1336="","",IFERROR(INDEX(PacConv,MATCH($D1336,PacCod,0))&amp;"",""))</f>
        <v>0</v>
      </c>
      <c r="L1336" s="26">
        <f>IF($A1336="","",CHOOSE(WEEKDAY($A1336,2),"Seg","Ter","Qua","Qui","Sex","Sáb","Dom"))</f>
        <v>0</v>
      </c>
      <c r="M1336" s="27">
        <f>IF($E1336="","",IF($G1336&lt;&gt;"",$G1336,IFERROR(INDEX(ProcValor,MATCH($E1336,ProcNome,0)),0)))</f>
        <v>0</v>
      </c>
      <c r="N1336" s="27">
        <f>IF($M1336="","",IF($F1336="Compareceu",$M1336,0))</f>
        <v>0</v>
      </c>
      <c r="O1336" s="27">
        <f>IF($M1336="","",IF($F1336="Faltou",$M1336,0))</f>
        <v>0</v>
      </c>
      <c r="P1336" s="27">
        <f>IF($M1336="","",IF($F1336="Compareceu",MAX(0,$M1336-N($H1336)),0))</f>
        <v>0</v>
      </c>
      <c r="Q1336" s="19">
        <f>IF(AND($F1336="Compareceu",$E1336&lt;&gt;"",$A1336&lt;&gt;""),IF(IFERROR(INDEX(ProcRet,MATCH($E1336,ProcNome,0)),0)&gt;0,$A1336+INDEX(ProcRet,MATCH($E1336,ProcNome,0)),""),"")</f>
        <v>0</v>
      </c>
      <c r="R1336" s="26">
        <f>IF($Q1336="","",IF(COUNTIFS(AgPac,$D1336,AgData,"&gt;"&amp;$A1336,AgStatus,"&lt;&gt;Cancelado",AgStatus,"&lt;&gt;Remarcado")&gt;0,"Sim","Não"))</f>
        <v>0</v>
      </c>
      <c r="S1336" s="28">
        <f>IF($A1336="","",IF(AND($F1336="Agendado",$A1336-Hoje&gt;=0,$A1336-Hoje&lt;=DiasConf),"CONFIRMAR",IF(AND($A1336&lt;Hoje,OR($F1336="Agendado",$F1336="Confirmado")),"Atualizar status",IF(AND($F1336="Compareceu",$P1336&gt;0.005),"Cobrar",IF($F1336="Faltou","Falta: reagendar","")))))</f>
        <v>0</v>
      </c>
      <c r="T1336" s="29">
        <f>IF($A1336="","",DATE(YEAR($A1336),MONTH($A1336),1))</f>
        <v>0</v>
      </c>
      <c r="U1336" s="30">
        <f>IF($S1336="CONFIRMAR",MAX($U$4:$U1335)+1,"")</f>
        <v>0</v>
      </c>
      <c r="V1336" s="30">
        <f>IF(AND($R1336="Não",$Q1336&lt;&gt;"",$Q1336&lt;=Hoje+JanelaRet,$Q1336&gt;=Hoje-60),MAX($V$4:$V1335)+1,"")</f>
        <v>0</v>
      </c>
    </row>
    <row r="1337" spans="1:22">
      <c r="A1337" s="16"/>
      <c r="B1337" s="23"/>
      <c r="C1337" s="15"/>
      <c r="D1337" s="15"/>
      <c r="E1337" s="15"/>
      <c r="F1337" s="24"/>
      <c r="G1337" s="17"/>
      <c r="H1337" s="17"/>
      <c r="I1337" s="15"/>
      <c r="J1337" s="25">
        <f>IF($D1337="","",IFERROR(INDEX(PacNome,MATCH($D1337,PacCod,0)),"Paciente não cadastrado"))</f>
        <v>0</v>
      </c>
      <c r="K1337" s="26">
        <f>IF($D1337="","",IFERROR(INDEX(PacConv,MATCH($D1337,PacCod,0))&amp;"",""))</f>
        <v>0</v>
      </c>
      <c r="L1337" s="26">
        <f>IF($A1337="","",CHOOSE(WEEKDAY($A1337,2),"Seg","Ter","Qua","Qui","Sex","Sáb","Dom"))</f>
        <v>0</v>
      </c>
      <c r="M1337" s="27">
        <f>IF($E1337="","",IF($G1337&lt;&gt;"",$G1337,IFERROR(INDEX(ProcValor,MATCH($E1337,ProcNome,0)),0)))</f>
        <v>0</v>
      </c>
      <c r="N1337" s="27">
        <f>IF($M1337="","",IF($F1337="Compareceu",$M1337,0))</f>
        <v>0</v>
      </c>
      <c r="O1337" s="27">
        <f>IF($M1337="","",IF($F1337="Faltou",$M1337,0))</f>
        <v>0</v>
      </c>
      <c r="P1337" s="27">
        <f>IF($M1337="","",IF($F1337="Compareceu",MAX(0,$M1337-N($H1337)),0))</f>
        <v>0</v>
      </c>
      <c r="Q1337" s="19">
        <f>IF(AND($F1337="Compareceu",$E1337&lt;&gt;"",$A1337&lt;&gt;""),IF(IFERROR(INDEX(ProcRet,MATCH($E1337,ProcNome,0)),0)&gt;0,$A1337+INDEX(ProcRet,MATCH($E1337,ProcNome,0)),""),"")</f>
        <v>0</v>
      </c>
      <c r="R1337" s="26">
        <f>IF($Q1337="","",IF(COUNTIFS(AgPac,$D1337,AgData,"&gt;"&amp;$A1337,AgStatus,"&lt;&gt;Cancelado",AgStatus,"&lt;&gt;Remarcado")&gt;0,"Sim","Não"))</f>
        <v>0</v>
      </c>
      <c r="S1337" s="28">
        <f>IF($A1337="","",IF(AND($F1337="Agendado",$A1337-Hoje&gt;=0,$A1337-Hoje&lt;=DiasConf),"CONFIRMAR",IF(AND($A1337&lt;Hoje,OR($F1337="Agendado",$F1337="Confirmado")),"Atualizar status",IF(AND($F1337="Compareceu",$P1337&gt;0.005),"Cobrar",IF($F1337="Faltou","Falta: reagendar","")))))</f>
        <v>0</v>
      </c>
      <c r="T1337" s="29">
        <f>IF($A1337="","",DATE(YEAR($A1337),MONTH($A1337),1))</f>
        <v>0</v>
      </c>
      <c r="U1337" s="30">
        <f>IF($S1337="CONFIRMAR",MAX($U$4:$U1336)+1,"")</f>
        <v>0</v>
      </c>
      <c r="V1337" s="30">
        <f>IF(AND($R1337="Não",$Q1337&lt;&gt;"",$Q1337&lt;=Hoje+JanelaRet,$Q1337&gt;=Hoje-60),MAX($V$4:$V1336)+1,"")</f>
        <v>0</v>
      </c>
    </row>
    <row r="1338" spans="1:22">
      <c r="A1338" s="16"/>
      <c r="B1338" s="23"/>
      <c r="C1338" s="15"/>
      <c r="D1338" s="15"/>
      <c r="E1338" s="15"/>
      <c r="F1338" s="24"/>
      <c r="G1338" s="17"/>
      <c r="H1338" s="17"/>
      <c r="I1338" s="15"/>
      <c r="J1338" s="25">
        <f>IF($D1338="","",IFERROR(INDEX(PacNome,MATCH($D1338,PacCod,0)),"Paciente não cadastrado"))</f>
        <v>0</v>
      </c>
      <c r="K1338" s="26">
        <f>IF($D1338="","",IFERROR(INDEX(PacConv,MATCH($D1338,PacCod,0))&amp;"",""))</f>
        <v>0</v>
      </c>
      <c r="L1338" s="26">
        <f>IF($A1338="","",CHOOSE(WEEKDAY($A1338,2),"Seg","Ter","Qua","Qui","Sex","Sáb","Dom"))</f>
        <v>0</v>
      </c>
      <c r="M1338" s="27">
        <f>IF($E1338="","",IF($G1338&lt;&gt;"",$G1338,IFERROR(INDEX(ProcValor,MATCH($E1338,ProcNome,0)),0)))</f>
        <v>0</v>
      </c>
      <c r="N1338" s="27">
        <f>IF($M1338="","",IF($F1338="Compareceu",$M1338,0))</f>
        <v>0</v>
      </c>
      <c r="O1338" s="27">
        <f>IF($M1338="","",IF($F1338="Faltou",$M1338,0))</f>
        <v>0</v>
      </c>
      <c r="P1338" s="27">
        <f>IF($M1338="","",IF($F1338="Compareceu",MAX(0,$M1338-N($H1338)),0))</f>
        <v>0</v>
      </c>
      <c r="Q1338" s="19">
        <f>IF(AND($F1338="Compareceu",$E1338&lt;&gt;"",$A1338&lt;&gt;""),IF(IFERROR(INDEX(ProcRet,MATCH($E1338,ProcNome,0)),0)&gt;0,$A1338+INDEX(ProcRet,MATCH($E1338,ProcNome,0)),""),"")</f>
        <v>0</v>
      </c>
      <c r="R1338" s="26">
        <f>IF($Q1338="","",IF(COUNTIFS(AgPac,$D1338,AgData,"&gt;"&amp;$A1338,AgStatus,"&lt;&gt;Cancelado",AgStatus,"&lt;&gt;Remarcado")&gt;0,"Sim","Não"))</f>
        <v>0</v>
      </c>
      <c r="S1338" s="28">
        <f>IF($A1338="","",IF(AND($F1338="Agendado",$A1338-Hoje&gt;=0,$A1338-Hoje&lt;=DiasConf),"CONFIRMAR",IF(AND($A1338&lt;Hoje,OR($F1338="Agendado",$F1338="Confirmado")),"Atualizar status",IF(AND($F1338="Compareceu",$P1338&gt;0.005),"Cobrar",IF($F1338="Faltou","Falta: reagendar","")))))</f>
        <v>0</v>
      </c>
      <c r="T1338" s="29">
        <f>IF($A1338="","",DATE(YEAR($A1338),MONTH($A1338),1))</f>
        <v>0</v>
      </c>
      <c r="U1338" s="30">
        <f>IF($S1338="CONFIRMAR",MAX($U$4:$U1337)+1,"")</f>
        <v>0</v>
      </c>
      <c r="V1338" s="30">
        <f>IF(AND($R1338="Não",$Q1338&lt;&gt;"",$Q1338&lt;=Hoje+JanelaRet,$Q1338&gt;=Hoje-60),MAX($V$4:$V1337)+1,"")</f>
        <v>0</v>
      </c>
    </row>
    <row r="1339" spans="1:22">
      <c r="A1339" s="16"/>
      <c r="B1339" s="23"/>
      <c r="C1339" s="15"/>
      <c r="D1339" s="15"/>
      <c r="E1339" s="15"/>
      <c r="F1339" s="24"/>
      <c r="G1339" s="17"/>
      <c r="H1339" s="17"/>
      <c r="I1339" s="15"/>
      <c r="J1339" s="25">
        <f>IF($D1339="","",IFERROR(INDEX(PacNome,MATCH($D1339,PacCod,0)),"Paciente não cadastrado"))</f>
        <v>0</v>
      </c>
      <c r="K1339" s="26">
        <f>IF($D1339="","",IFERROR(INDEX(PacConv,MATCH($D1339,PacCod,0))&amp;"",""))</f>
        <v>0</v>
      </c>
      <c r="L1339" s="26">
        <f>IF($A1339="","",CHOOSE(WEEKDAY($A1339,2),"Seg","Ter","Qua","Qui","Sex","Sáb","Dom"))</f>
        <v>0</v>
      </c>
      <c r="M1339" s="27">
        <f>IF($E1339="","",IF($G1339&lt;&gt;"",$G1339,IFERROR(INDEX(ProcValor,MATCH($E1339,ProcNome,0)),0)))</f>
        <v>0</v>
      </c>
      <c r="N1339" s="27">
        <f>IF($M1339="","",IF($F1339="Compareceu",$M1339,0))</f>
        <v>0</v>
      </c>
      <c r="O1339" s="27">
        <f>IF($M1339="","",IF($F1339="Faltou",$M1339,0))</f>
        <v>0</v>
      </c>
      <c r="P1339" s="27">
        <f>IF($M1339="","",IF($F1339="Compareceu",MAX(0,$M1339-N($H1339)),0))</f>
        <v>0</v>
      </c>
      <c r="Q1339" s="19">
        <f>IF(AND($F1339="Compareceu",$E1339&lt;&gt;"",$A1339&lt;&gt;""),IF(IFERROR(INDEX(ProcRet,MATCH($E1339,ProcNome,0)),0)&gt;0,$A1339+INDEX(ProcRet,MATCH($E1339,ProcNome,0)),""),"")</f>
        <v>0</v>
      </c>
      <c r="R1339" s="26">
        <f>IF($Q1339="","",IF(COUNTIFS(AgPac,$D1339,AgData,"&gt;"&amp;$A1339,AgStatus,"&lt;&gt;Cancelado",AgStatus,"&lt;&gt;Remarcado")&gt;0,"Sim","Não"))</f>
        <v>0</v>
      </c>
      <c r="S1339" s="28">
        <f>IF($A1339="","",IF(AND($F1339="Agendado",$A1339-Hoje&gt;=0,$A1339-Hoje&lt;=DiasConf),"CONFIRMAR",IF(AND($A1339&lt;Hoje,OR($F1339="Agendado",$F1339="Confirmado")),"Atualizar status",IF(AND($F1339="Compareceu",$P1339&gt;0.005),"Cobrar",IF($F1339="Faltou","Falta: reagendar","")))))</f>
        <v>0</v>
      </c>
      <c r="T1339" s="29">
        <f>IF($A1339="","",DATE(YEAR($A1339),MONTH($A1339),1))</f>
        <v>0</v>
      </c>
      <c r="U1339" s="30">
        <f>IF($S1339="CONFIRMAR",MAX($U$4:$U1338)+1,"")</f>
        <v>0</v>
      </c>
      <c r="V1339" s="30">
        <f>IF(AND($R1339="Não",$Q1339&lt;&gt;"",$Q1339&lt;=Hoje+JanelaRet,$Q1339&gt;=Hoje-60),MAX($V$4:$V1338)+1,"")</f>
        <v>0</v>
      </c>
    </row>
    <row r="1340" spans="1:22">
      <c r="A1340" s="16"/>
      <c r="B1340" s="23"/>
      <c r="C1340" s="15"/>
      <c r="D1340" s="15"/>
      <c r="E1340" s="15"/>
      <c r="F1340" s="24"/>
      <c r="G1340" s="17"/>
      <c r="H1340" s="17"/>
      <c r="I1340" s="15"/>
      <c r="J1340" s="25">
        <f>IF($D1340="","",IFERROR(INDEX(PacNome,MATCH($D1340,PacCod,0)),"Paciente não cadastrado"))</f>
        <v>0</v>
      </c>
      <c r="K1340" s="26">
        <f>IF($D1340="","",IFERROR(INDEX(PacConv,MATCH($D1340,PacCod,0))&amp;"",""))</f>
        <v>0</v>
      </c>
      <c r="L1340" s="26">
        <f>IF($A1340="","",CHOOSE(WEEKDAY($A1340,2),"Seg","Ter","Qua","Qui","Sex","Sáb","Dom"))</f>
        <v>0</v>
      </c>
      <c r="M1340" s="27">
        <f>IF($E1340="","",IF($G1340&lt;&gt;"",$G1340,IFERROR(INDEX(ProcValor,MATCH($E1340,ProcNome,0)),0)))</f>
        <v>0</v>
      </c>
      <c r="N1340" s="27">
        <f>IF($M1340="","",IF($F1340="Compareceu",$M1340,0))</f>
        <v>0</v>
      </c>
      <c r="O1340" s="27">
        <f>IF($M1340="","",IF($F1340="Faltou",$M1340,0))</f>
        <v>0</v>
      </c>
      <c r="P1340" s="27">
        <f>IF($M1340="","",IF($F1340="Compareceu",MAX(0,$M1340-N($H1340)),0))</f>
        <v>0</v>
      </c>
      <c r="Q1340" s="19">
        <f>IF(AND($F1340="Compareceu",$E1340&lt;&gt;"",$A1340&lt;&gt;""),IF(IFERROR(INDEX(ProcRet,MATCH($E1340,ProcNome,0)),0)&gt;0,$A1340+INDEX(ProcRet,MATCH($E1340,ProcNome,0)),""),"")</f>
        <v>0</v>
      </c>
      <c r="R1340" s="26">
        <f>IF($Q1340="","",IF(COUNTIFS(AgPac,$D1340,AgData,"&gt;"&amp;$A1340,AgStatus,"&lt;&gt;Cancelado",AgStatus,"&lt;&gt;Remarcado")&gt;0,"Sim","Não"))</f>
        <v>0</v>
      </c>
      <c r="S1340" s="28">
        <f>IF($A1340="","",IF(AND($F1340="Agendado",$A1340-Hoje&gt;=0,$A1340-Hoje&lt;=DiasConf),"CONFIRMAR",IF(AND($A1340&lt;Hoje,OR($F1340="Agendado",$F1340="Confirmado")),"Atualizar status",IF(AND($F1340="Compareceu",$P1340&gt;0.005),"Cobrar",IF($F1340="Faltou","Falta: reagendar","")))))</f>
        <v>0</v>
      </c>
      <c r="T1340" s="29">
        <f>IF($A1340="","",DATE(YEAR($A1340),MONTH($A1340),1))</f>
        <v>0</v>
      </c>
      <c r="U1340" s="30">
        <f>IF($S1340="CONFIRMAR",MAX($U$4:$U1339)+1,"")</f>
        <v>0</v>
      </c>
      <c r="V1340" s="30">
        <f>IF(AND($R1340="Não",$Q1340&lt;&gt;"",$Q1340&lt;=Hoje+JanelaRet,$Q1340&gt;=Hoje-60),MAX($V$4:$V1339)+1,"")</f>
        <v>0</v>
      </c>
    </row>
    <row r="1341" spans="1:22">
      <c r="A1341" s="16"/>
      <c r="B1341" s="23"/>
      <c r="C1341" s="15"/>
      <c r="D1341" s="15"/>
      <c r="E1341" s="15"/>
      <c r="F1341" s="24"/>
      <c r="G1341" s="17"/>
      <c r="H1341" s="17"/>
      <c r="I1341" s="15"/>
      <c r="J1341" s="25">
        <f>IF($D1341="","",IFERROR(INDEX(PacNome,MATCH($D1341,PacCod,0)),"Paciente não cadastrado"))</f>
        <v>0</v>
      </c>
      <c r="K1341" s="26">
        <f>IF($D1341="","",IFERROR(INDEX(PacConv,MATCH($D1341,PacCod,0))&amp;"",""))</f>
        <v>0</v>
      </c>
      <c r="L1341" s="26">
        <f>IF($A1341="","",CHOOSE(WEEKDAY($A1341,2),"Seg","Ter","Qua","Qui","Sex","Sáb","Dom"))</f>
        <v>0</v>
      </c>
      <c r="M1341" s="27">
        <f>IF($E1341="","",IF($G1341&lt;&gt;"",$G1341,IFERROR(INDEX(ProcValor,MATCH($E1341,ProcNome,0)),0)))</f>
        <v>0</v>
      </c>
      <c r="N1341" s="27">
        <f>IF($M1341="","",IF($F1341="Compareceu",$M1341,0))</f>
        <v>0</v>
      </c>
      <c r="O1341" s="27">
        <f>IF($M1341="","",IF($F1341="Faltou",$M1341,0))</f>
        <v>0</v>
      </c>
      <c r="P1341" s="27">
        <f>IF($M1341="","",IF($F1341="Compareceu",MAX(0,$M1341-N($H1341)),0))</f>
        <v>0</v>
      </c>
      <c r="Q1341" s="19">
        <f>IF(AND($F1341="Compareceu",$E1341&lt;&gt;"",$A1341&lt;&gt;""),IF(IFERROR(INDEX(ProcRet,MATCH($E1341,ProcNome,0)),0)&gt;0,$A1341+INDEX(ProcRet,MATCH($E1341,ProcNome,0)),""),"")</f>
        <v>0</v>
      </c>
      <c r="R1341" s="26">
        <f>IF($Q1341="","",IF(COUNTIFS(AgPac,$D1341,AgData,"&gt;"&amp;$A1341,AgStatus,"&lt;&gt;Cancelado",AgStatus,"&lt;&gt;Remarcado")&gt;0,"Sim","Não"))</f>
        <v>0</v>
      </c>
      <c r="S1341" s="28">
        <f>IF($A1341="","",IF(AND($F1341="Agendado",$A1341-Hoje&gt;=0,$A1341-Hoje&lt;=DiasConf),"CONFIRMAR",IF(AND($A1341&lt;Hoje,OR($F1341="Agendado",$F1341="Confirmado")),"Atualizar status",IF(AND($F1341="Compareceu",$P1341&gt;0.005),"Cobrar",IF($F1341="Faltou","Falta: reagendar","")))))</f>
        <v>0</v>
      </c>
      <c r="T1341" s="29">
        <f>IF($A1341="","",DATE(YEAR($A1341),MONTH($A1341),1))</f>
        <v>0</v>
      </c>
      <c r="U1341" s="30">
        <f>IF($S1341="CONFIRMAR",MAX($U$4:$U1340)+1,"")</f>
        <v>0</v>
      </c>
      <c r="V1341" s="30">
        <f>IF(AND($R1341="Não",$Q1341&lt;&gt;"",$Q1341&lt;=Hoje+JanelaRet,$Q1341&gt;=Hoje-60),MAX($V$4:$V1340)+1,"")</f>
        <v>0</v>
      </c>
    </row>
    <row r="1342" spans="1:22">
      <c r="A1342" s="16"/>
      <c r="B1342" s="23"/>
      <c r="C1342" s="15"/>
      <c r="D1342" s="15"/>
      <c r="E1342" s="15"/>
      <c r="F1342" s="24"/>
      <c r="G1342" s="17"/>
      <c r="H1342" s="17"/>
      <c r="I1342" s="15"/>
      <c r="J1342" s="25">
        <f>IF($D1342="","",IFERROR(INDEX(PacNome,MATCH($D1342,PacCod,0)),"Paciente não cadastrado"))</f>
        <v>0</v>
      </c>
      <c r="K1342" s="26">
        <f>IF($D1342="","",IFERROR(INDEX(PacConv,MATCH($D1342,PacCod,0))&amp;"",""))</f>
        <v>0</v>
      </c>
      <c r="L1342" s="26">
        <f>IF($A1342="","",CHOOSE(WEEKDAY($A1342,2),"Seg","Ter","Qua","Qui","Sex","Sáb","Dom"))</f>
        <v>0</v>
      </c>
      <c r="M1342" s="27">
        <f>IF($E1342="","",IF($G1342&lt;&gt;"",$G1342,IFERROR(INDEX(ProcValor,MATCH($E1342,ProcNome,0)),0)))</f>
        <v>0</v>
      </c>
      <c r="N1342" s="27">
        <f>IF($M1342="","",IF($F1342="Compareceu",$M1342,0))</f>
        <v>0</v>
      </c>
      <c r="O1342" s="27">
        <f>IF($M1342="","",IF($F1342="Faltou",$M1342,0))</f>
        <v>0</v>
      </c>
      <c r="P1342" s="27">
        <f>IF($M1342="","",IF($F1342="Compareceu",MAX(0,$M1342-N($H1342)),0))</f>
        <v>0</v>
      </c>
      <c r="Q1342" s="19">
        <f>IF(AND($F1342="Compareceu",$E1342&lt;&gt;"",$A1342&lt;&gt;""),IF(IFERROR(INDEX(ProcRet,MATCH($E1342,ProcNome,0)),0)&gt;0,$A1342+INDEX(ProcRet,MATCH($E1342,ProcNome,0)),""),"")</f>
        <v>0</v>
      </c>
      <c r="R1342" s="26">
        <f>IF($Q1342="","",IF(COUNTIFS(AgPac,$D1342,AgData,"&gt;"&amp;$A1342,AgStatus,"&lt;&gt;Cancelado",AgStatus,"&lt;&gt;Remarcado")&gt;0,"Sim","Não"))</f>
        <v>0</v>
      </c>
      <c r="S1342" s="28">
        <f>IF($A1342="","",IF(AND($F1342="Agendado",$A1342-Hoje&gt;=0,$A1342-Hoje&lt;=DiasConf),"CONFIRMAR",IF(AND($A1342&lt;Hoje,OR($F1342="Agendado",$F1342="Confirmado")),"Atualizar status",IF(AND($F1342="Compareceu",$P1342&gt;0.005),"Cobrar",IF($F1342="Faltou","Falta: reagendar","")))))</f>
        <v>0</v>
      </c>
      <c r="T1342" s="29">
        <f>IF($A1342="","",DATE(YEAR($A1342),MONTH($A1342),1))</f>
        <v>0</v>
      </c>
      <c r="U1342" s="30">
        <f>IF($S1342="CONFIRMAR",MAX($U$4:$U1341)+1,"")</f>
        <v>0</v>
      </c>
      <c r="V1342" s="30">
        <f>IF(AND($R1342="Não",$Q1342&lt;&gt;"",$Q1342&lt;=Hoje+JanelaRet,$Q1342&gt;=Hoje-60),MAX($V$4:$V1341)+1,"")</f>
        <v>0</v>
      </c>
    </row>
    <row r="1343" spans="1:22">
      <c r="A1343" s="16"/>
      <c r="B1343" s="23"/>
      <c r="C1343" s="15"/>
      <c r="D1343" s="15"/>
      <c r="E1343" s="15"/>
      <c r="F1343" s="24"/>
      <c r="G1343" s="17"/>
      <c r="H1343" s="17"/>
      <c r="I1343" s="15"/>
      <c r="J1343" s="25">
        <f>IF($D1343="","",IFERROR(INDEX(PacNome,MATCH($D1343,PacCod,0)),"Paciente não cadastrado"))</f>
        <v>0</v>
      </c>
      <c r="K1343" s="26">
        <f>IF($D1343="","",IFERROR(INDEX(PacConv,MATCH($D1343,PacCod,0))&amp;"",""))</f>
        <v>0</v>
      </c>
      <c r="L1343" s="26">
        <f>IF($A1343="","",CHOOSE(WEEKDAY($A1343,2),"Seg","Ter","Qua","Qui","Sex","Sáb","Dom"))</f>
        <v>0</v>
      </c>
      <c r="M1343" s="27">
        <f>IF($E1343="","",IF($G1343&lt;&gt;"",$G1343,IFERROR(INDEX(ProcValor,MATCH($E1343,ProcNome,0)),0)))</f>
        <v>0</v>
      </c>
      <c r="N1343" s="27">
        <f>IF($M1343="","",IF($F1343="Compareceu",$M1343,0))</f>
        <v>0</v>
      </c>
      <c r="O1343" s="27">
        <f>IF($M1343="","",IF($F1343="Faltou",$M1343,0))</f>
        <v>0</v>
      </c>
      <c r="P1343" s="27">
        <f>IF($M1343="","",IF($F1343="Compareceu",MAX(0,$M1343-N($H1343)),0))</f>
        <v>0</v>
      </c>
      <c r="Q1343" s="19">
        <f>IF(AND($F1343="Compareceu",$E1343&lt;&gt;"",$A1343&lt;&gt;""),IF(IFERROR(INDEX(ProcRet,MATCH($E1343,ProcNome,0)),0)&gt;0,$A1343+INDEX(ProcRet,MATCH($E1343,ProcNome,0)),""),"")</f>
        <v>0</v>
      </c>
      <c r="R1343" s="26">
        <f>IF($Q1343="","",IF(COUNTIFS(AgPac,$D1343,AgData,"&gt;"&amp;$A1343,AgStatus,"&lt;&gt;Cancelado",AgStatus,"&lt;&gt;Remarcado")&gt;0,"Sim","Não"))</f>
        <v>0</v>
      </c>
      <c r="S1343" s="28">
        <f>IF($A1343="","",IF(AND($F1343="Agendado",$A1343-Hoje&gt;=0,$A1343-Hoje&lt;=DiasConf),"CONFIRMAR",IF(AND($A1343&lt;Hoje,OR($F1343="Agendado",$F1343="Confirmado")),"Atualizar status",IF(AND($F1343="Compareceu",$P1343&gt;0.005),"Cobrar",IF($F1343="Faltou","Falta: reagendar","")))))</f>
        <v>0</v>
      </c>
      <c r="T1343" s="29">
        <f>IF($A1343="","",DATE(YEAR($A1343),MONTH($A1343),1))</f>
        <v>0</v>
      </c>
      <c r="U1343" s="30">
        <f>IF($S1343="CONFIRMAR",MAX($U$4:$U1342)+1,"")</f>
        <v>0</v>
      </c>
      <c r="V1343" s="30">
        <f>IF(AND($R1343="Não",$Q1343&lt;&gt;"",$Q1343&lt;=Hoje+JanelaRet,$Q1343&gt;=Hoje-60),MAX($V$4:$V1342)+1,"")</f>
        <v>0</v>
      </c>
    </row>
    <row r="1344" spans="1:22">
      <c r="A1344" s="16"/>
      <c r="B1344" s="23"/>
      <c r="C1344" s="15"/>
      <c r="D1344" s="15"/>
      <c r="E1344" s="15"/>
      <c r="F1344" s="24"/>
      <c r="G1344" s="17"/>
      <c r="H1344" s="17"/>
      <c r="I1344" s="15"/>
      <c r="J1344" s="25">
        <f>IF($D1344="","",IFERROR(INDEX(PacNome,MATCH($D1344,PacCod,0)),"Paciente não cadastrado"))</f>
        <v>0</v>
      </c>
      <c r="K1344" s="26">
        <f>IF($D1344="","",IFERROR(INDEX(PacConv,MATCH($D1344,PacCod,0))&amp;"",""))</f>
        <v>0</v>
      </c>
      <c r="L1344" s="26">
        <f>IF($A1344="","",CHOOSE(WEEKDAY($A1344,2),"Seg","Ter","Qua","Qui","Sex","Sáb","Dom"))</f>
        <v>0</v>
      </c>
      <c r="M1344" s="27">
        <f>IF($E1344="","",IF($G1344&lt;&gt;"",$G1344,IFERROR(INDEX(ProcValor,MATCH($E1344,ProcNome,0)),0)))</f>
        <v>0</v>
      </c>
      <c r="N1344" s="27">
        <f>IF($M1344="","",IF($F1344="Compareceu",$M1344,0))</f>
        <v>0</v>
      </c>
      <c r="O1344" s="27">
        <f>IF($M1344="","",IF($F1344="Faltou",$M1344,0))</f>
        <v>0</v>
      </c>
      <c r="P1344" s="27">
        <f>IF($M1344="","",IF($F1344="Compareceu",MAX(0,$M1344-N($H1344)),0))</f>
        <v>0</v>
      </c>
      <c r="Q1344" s="19">
        <f>IF(AND($F1344="Compareceu",$E1344&lt;&gt;"",$A1344&lt;&gt;""),IF(IFERROR(INDEX(ProcRet,MATCH($E1344,ProcNome,0)),0)&gt;0,$A1344+INDEX(ProcRet,MATCH($E1344,ProcNome,0)),""),"")</f>
        <v>0</v>
      </c>
      <c r="R1344" s="26">
        <f>IF($Q1344="","",IF(COUNTIFS(AgPac,$D1344,AgData,"&gt;"&amp;$A1344,AgStatus,"&lt;&gt;Cancelado",AgStatus,"&lt;&gt;Remarcado")&gt;0,"Sim","Não"))</f>
        <v>0</v>
      </c>
      <c r="S1344" s="28">
        <f>IF($A1344="","",IF(AND($F1344="Agendado",$A1344-Hoje&gt;=0,$A1344-Hoje&lt;=DiasConf),"CONFIRMAR",IF(AND($A1344&lt;Hoje,OR($F1344="Agendado",$F1344="Confirmado")),"Atualizar status",IF(AND($F1344="Compareceu",$P1344&gt;0.005),"Cobrar",IF($F1344="Faltou","Falta: reagendar","")))))</f>
        <v>0</v>
      </c>
      <c r="T1344" s="29">
        <f>IF($A1344="","",DATE(YEAR($A1344),MONTH($A1344),1))</f>
        <v>0</v>
      </c>
      <c r="U1344" s="30">
        <f>IF($S1344="CONFIRMAR",MAX($U$4:$U1343)+1,"")</f>
        <v>0</v>
      </c>
      <c r="V1344" s="30">
        <f>IF(AND($R1344="Não",$Q1344&lt;&gt;"",$Q1344&lt;=Hoje+JanelaRet,$Q1344&gt;=Hoje-60),MAX($V$4:$V1343)+1,"")</f>
        <v>0</v>
      </c>
    </row>
    <row r="1345" spans="1:22">
      <c r="A1345" s="16"/>
      <c r="B1345" s="23"/>
      <c r="C1345" s="15"/>
      <c r="D1345" s="15"/>
      <c r="E1345" s="15"/>
      <c r="F1345" s="24"/>
      <c r="G1345" s="17"/>
      <c r="H1345" s="17"/>
      <c r="I1345" s="15"/>
      <c r="J1345" s="25">
        <f>IF($D1345="","",IFERROR(INDEX(PacNome,MATCH($D1345,PacCod,0)),"Paciente não cadastrado"))</f>
        <v>0</v>
      </c>
      <c r="K1345" s="26">
        <f>IF($D1345="","",IFERROR(INDEX(PacConv,MATCH($D1345,PacCod,0))&amp;"",""))</f>
        <v>0</v>
      </c>
      <c r="L1345" s="26">
        <f>IF($A1345="","",CHOOSE(WEEKDAY($A1345,2),"Seg","Ter","Qua","Qui","Sex","Sáb","Dom"))</f>
        <v>0</v>
      </c>
      <c r="M1345" s="27">
        <f>IF($E1345="","",IF($G1345&lt;&gt;"",$G1345,IFERROR(INDEX(ProcValor,MATCH($E1345,ProcNome,0)),0)))</f>
        <v>0</v>
      </c>
      <c r="N1345" s="27">
        <f>IF($M1345="","",IF($F1345="Compareceu",$M1345,0))</f>
        <v>0</v>
      </c>
      <c r="O1345" s="27">
        <f>IF($M1345="","",IF($F1345="Faltou",$M1345,0))</f>
        <v>0</v>
      </c>
      <c r="P1345" s="27">
        <f>IF($M1345="","",IF($F1345="Compareceu",MAX(0,$M1345-N($H1345)),0))</f>
        <v>0</v>
      </c>
      <c r="Q1345" s="19">
        <f>IF(AND($F1345="Compareceu",$E1345&lt;&gt;"",$A1345&lt;&gt;""),IF(IFERROR(INDEX(ProcRet,MATCH($E1345,ProcNome,0)),0)&gt;0,$A1345+INDEX(ProcRet,MATCH($E1345,ProcNome,0)),""),"")</f>
        <v>0</v>
      </c>
      <c r="R1345" s="26">
        <f>IF($Q1345="","",IF(COUNTIFS(AgPac,$D1345,AgData,"&gt;"&amp;$A1345,AgStatus,"&lt;&gt;Cancelado",AgStatus,"&lt;&gt;Remarcado")&gt;0,"Sim","Não"))</f>
        <v>0</v>
      </c>
      <c r="S1345" s="28">
        <f>IF($A1345="","",IF(AND($F1345="Agendado",$A1345-Hoje&gt;=0,$A1345-Hoje&lt;=DiasConf),"CONFIRMAR",IF(AND($A1345&lt;Hoje,OR($F1345="Agendado",$F1345="Confirmado")),"Atualizar status",IF(AND($F1345="Compareceu",$P1345&gt;0.005),"Cobrar",IF($F1345="Faltou","Falta: reagendar","")))))</f>
        <v>0</v>
      </c>
      <c r="T1345" s="29">
        <f>IF($A1345="","",DATE(YEAR($A1345),MONTH($A1345),1))</f>
        <v>0</v>
      </c>
      <c r="U1345" s="30">
        <f>IF($S1345="CONFIRMAR",MAX($U$4:$U1344)+1,"")</f>
        <v>0</v>
      </c>
      <c r="V1345" s="30">
        <f>IF(AND($R1345="Não",$Q1345&lt;&gt;"",$Q1345&lt;=Hoje+JanelaRet,$Q1345&gt;=Hoje-60),MAX($V$4:$V1344)+1,"")</f>
        <v>0</v>
      </c>
    </row>
    <row r="1346" spans="1:22">
      <c r="A1346" s="16"/>
      <c r="B1346" s="23"/>
      <c r="C1346" s="15"/>
      <c r="D1346" s="15"/>
      <c r="E1346" s="15"/>
      <c r="F1346" s="24"/>
      <c r="G1346" s="17"/>
      <c r="H1346" s="17"/>
      <c r="I1346" s="15"/>
      <c r="J1346" s="25">
        <f>IF($D1346="","",IFERROR(INDEX(PacNome,MATCH($D1346,PacCod,0)),"Paciente não cadastrado"))</f>
        <v>0</v>
      </c>
      <c r="K1346" s="26">
        <f>IF($D1346="","",IFERROR(INDEX(PacConv,MATCH($D1346,PacCod,0))&amp;"",""))</f>
        <v>0</v>
      </c>
      <c r="L1346" s="26">
        <f>IF($A1346="","",CHOOSE(WEEKDAY($A1346,2),"Seg","Ter","Qua","Qui","Sex","Sáb","Dom"))</f>
        <v>0</v>
      </c>
      <c r="M1346" s="27">
        <f>IF($E1346="","",IF($G1346&lt;&gt;"",$G1346,IFERROR(INDEX(ProcValor,MATCH($E1346,ProcNome,0)),0)))</f>
        <v>0</v>
      </c>
      <c r="N1346" s="27">
        <f>IF($M1346="","",IF($F1346="Compareceu",$M1346,0))</f>
        <v>0</v>
      </c>
      <c r="O1346" s="27">
        <f>IF($M1346="","",IF($F1346="Faltou",$M1346,0))</f>
        <v>0</v>
      </c>
      <c r="P1346" s="27">
        <f>IF($M1346="","",IF($F1346="Compareceu",MAX(0,$M1346-N($H1346)),0))</f>
        <v>0</v>
      </c>
      <c r="Q1346" s="19">
        <f>IF(AND($F1346="Compareceu",$E1346&lt;&gt;"",$A1346&lt;&gt;""),IF(IFERROR(INDEX(ProcRet,MATCH($E1346,ProcNome,0)),0)&gt;0,$A1346+INDEX(ProcRet,MATCH($E1346,ProcNome,0)),""),"")</f>
        <v>0</v>
      </c>
      <c r="R1346" s="26">
        <f>IF($Q1346="","",IF(COUNTIFS(AgPac,$D1346,AgData,"&gt;"&amp;$A1346,AgStatus,"&lt;&gt;Cancelado",AgStatus,"&lt;&gt;Remarcado")&gt;0,"Sim","Não"))</f>
        <v>0</v>
      </c>
      <c r="S1346" s="28">
        <f>IF($A1346="","",IF(AND($F1346="Agendado",$A1346-Hoje&gt;=0,$A1346-Hoje&lt;=DiasConf),"CONFIRMAR",IF(AND($A1346&lt;Hoje,OR($F1346="Agendado",$F1346="Confirmado")),"Atualizar status",IF(AND($F1346="Compareceu",$P1346&gt;0.005),"Cobrar",IF($F1346="Faltou","Falta: reagendar","")))))</f>
        <v>0</v>
      </c>
      <c r="T1346" s="29">
        <f>IF($A1346="","",DATE(YEAR($A1346),MONTH($A1346),1))</f>
        <v>0</v>
      </c>
      <c r="U1346" s="30">
        <f>IF($S1346="CONFIRMAR",MAX($U$4:$U1345)+1,"")</f>
        <v>0</v>
      </c>
      <c r="V1346" s="30">
        <f>IF(AND($R1346="Não",$Q1346&lt;&gt;"",$Q1346&lt;=Hoje+JanelaRet,$Q1346&gt;=Hoje-60),MAX($V$4:$V1345)+1,"")</f>
        <v>0</v>
      </c>
    </row>
    <row r="1347" spans="1:22">
      <c r="A1347" s="16"/>
      <c r="B1347" s="23"/>
      <c r="C1347" s="15"/>
      <c r="D1347" s="15"/>
      <c r="E1347" s="15"/>
      <c r="F1347" s="24"/>
      <c r="G1347" s="17"/>
      <c r="H1347" s="17"/>
      <c r="I1347" s="15"/>
      <c r="J1347" s="25">
        <f>IF($D1347="","",IFERROR(INDEX(PacNome,MATCH($D1347,PacCod,0)),"Paciente não cadastrado"))</f>
        <v>0</v>
      </c>
      <c r="K1347" s="26">
        <f>IF($D1347="","",IFERROR(INDEX(PacConv,MATCH($D1347,PacCod,0))&amp;"",""))</f>
        <v>0</v>
      </c>
      <c r="L1347" s="26">
        <f>IF($A1347="","",CHOOSE(WEEKDAY($A1347,2),"Seg","Ter","Qua","Qui","Sex","Sáb","Dom"))</f>
        <v>0</v>
      </c>
      <c r="M1347" s="27">
        <f>IF($E1347="","",IF($G1347&lt;&gt;"",$G1347,IFERROR(INDEX(ProcValor,MATCH($E1347,ProcNome,0)),0)))</f>
        <v>0</v>
      </c>
      <c r="N1347" s="27">
        <f>IF($M1347="","",IF($F1347="Compareceu",$M1347,0))</f>
        <v>0</v>
      </c>
      <c r="O1347" s="27">
        <f>IF($M1347="","",IF($F1347="Faltou",$M1347,0))</f>
        <v>0</v>
      </c>
      <c r="P1347" s="27">
        <f>IF($M1347="","",IF($F1347="Compareceu",MAX(0,$M1347-N($H1347)),0))</f>
        <v>0</v>
      </c>
      <c r="Q1347" s="19">
        <f>IF(AND($F1347="Compareceu",$E1347&lt;&gt;"",$A1347&lt;&gt;""),IF(IFERROR(INDEX(ProcRet,MATCH($E1347,ProcNome,0)),0)&gt;0,$A1347+INDEX(ProcRet,MATCH($E1347,ProcNome,0)),""),"")</f>
        <v>0</v>
      </c>
      <c r="R1347" s="26">
        <f>IF($Q1347="","",IF(COUNTIFS(AgPac,$D1347,AgData,"&gt;"&amp;$A1347,AgStatus,"&lt;&gt;Cancelado",AgStatus,"&lt;&gt;Remarcado")&gt;0,"Sim","Não"))</f>
        <v>0</v>
      </c>
      <c r="S1347" s="28">
        <f>IF($A1347="","",IF(AND($F1347="Agendado",$A1347-Hoje&gt;=0,$A1347-Hoje&lt;=DiasConf),"CONFIRMAR",IF(AND($A1347&lt;Hoje,OR($F1347="Agendado",$F1347="Confirmado")),"Atualizar status",IF(AND($F1347="Compareceu",$P1347&gt;0.005),"Cobrar",IF($F1347="Faltou","Falta: reagendar","")))))</f>
        <v>0</v>
      </c>
      <c r="T1347" s="29">
        <f>IF($A1347="","",DATE(YEAR($A1347),MONTH($A1347),1))</f>
        <v>0</v>
      </c>
      <c r="U1347" s="30">
        <f>IF($S1347="CONFIRMAR",MAX($U$4:$U1346)+1,"")</f>
        <v>0</v>
      </c>
      <c r="V1347" s="30">
        <f>IF(AND($R1347="Não",$Q1347&lt;&gt;"",$Q1347&lt;=Hoje+JanelaRet,$Q1347&gt;=Hoje-60),MAX($V$4:$V1346)+1,"")</f>
        <v>0</v>
      </c>
    </row>
    <row r="1348" spans="1:22">
      <c r="A1348" s="16"/>
      <c r="B1348" s="23"/>
      <c r="C1348" s="15"/>
      <c r="D1348" s="15"/>
      <c r="E1348" s="15"/>
      <c r="F1348" s="24"/>
      <c r="G1348" s="17"/>
      <c r="H1348" s="17"/>
      <c r="I1348" s="15"/>
      <c r="J1348" s="25">
        <f>IF($D1348="","",IFERROR(INDEX(PacNome,MATCH($D1348,PacCod,0)),"Paciente não cadastrado"))</f>
        <v>0</v>
      </c>
      <c r="K1348" s="26">
        <f>IF($D1348="","",IFERROR(INDEX(PacConv,MATCH($D1348,PacCod,0))&amp;"",""))</f>
        <v>0</v>
      </c>
      <c r="L1348" s="26">
        <f>IF($A1348="","",CHOOSE(WEEKDAY($A1348,2),"Seg","Ter","Qua","Qui","Sex","Sáb","Dom"))</f>
        <v>0</v>
      </c>
      <c r="M1348" s="27">
        <f>IF($E1348="","",IF($G1348&lt;&gt;"",$G1348,IFERROR(INDEX(ProcValor,MATCH($E1348,ProcNome,0)),0)))</f>
        <v>0</v>
      </c>
      <c r="N1348" s="27">
        <f>IF($M1348="","",IF($F1348="Compareceu",$M1348,0))</f>
        <v>0</v>
      </c>
      <c r="O1348" s="27">
        <f>IF($M1348="","",IF($F1348="Faltou",$M1348,0))</f>
        <v>0</v>
      </c>
      <c r="P1348" s="27">
        <f>IF($M1348="","",IF($F1348="Compareceu",MAX(0,$M1348-N($H1348)),0))</f>
        <v>0</v>
      </c>
      <c r="Q1348" s="19">
        <f>IF(AND($F1348="Compareceu",$E1348&lt;&gt;"",$A1348&lt;&gt;""),IF(IFERROR(INDEX(ProcRet,MATCH($E1348,ProcNome,0)),0)&gt;0,$A1348+INDEX(ProcRet,MATCH($E1348,ProcNome,0)),""),"")</f>
        <v>0</v>
      </c>
      <c r="R1348" s="26">
        <f>IF($Q1348="","",IF(COUNTIFS(AgPac,$D1348,AgData,"&gt;"&amp;$A1348,AgStatus,"&lt;&gt;Cancelado",AgStatus,"&lt;&gt;Remarcado")&gt;0,"Sim","Não"))</f>
        <v>0</v>
      </c>
      <c r="S1348" s="28">
        <f>IF($A1348="","",IF(AND($F1348="Agendado",$A1348-Hoje&gt;=0,$A1348-Hoje&lt;=DiasConf),"CONFIRMAR",IF(AND($A1348&lt;Hoje,OR($F1348="Agendado",$F1348="Confirmado")),"Atualizar status",IF(AND($F1348="Compareceu",$P1348&gt;0.005),"Cobrar",IF($F1348="Faltou","Falta: reagendar","")))))</f>
        <v>0</v>
      </c>
      <c r="T1348" s="29">
        <f>IF($A1348="","",DATE(YEAR($A1348),MONTH($A1348),1))</f>
        <v>0</v>
      </c>
      <c r="U1348" s="30">
        <f>IF($S1348="CONFIRMAR",MAX($U$4:$U1347)+1,"")</f>
        <v>0</v>
      </c>
      <c r="V1348" s="30">
        <f>IF(AND($R1348="Não",$Q1348&lt;&gt;"",$Q1348&lt;=Hoje+JanelaRet,$Q1348&gt;=Hoje-60),MAX($V$4:$V1347)+1,"")</f>
        <v>0</v>
      </c>
    </row>
    <row r="1349" spans="1:22">
      <c r="A1349" s="16"/>
      <c r="B1349" s="23"/>
      <c r="C1349" s="15"/>
      <c r="D1349" s="15"/>
      <c r="E1349" s="15"/>
      <c r="F1349" s="24"/>
      <c r="G1349" s="17"/>
      <c r="H1349" s="17"/>
      <c r="I1349" s="15"/>
      <c r="J1349" s="25">
        <f>IF($D1349="","",IFERROR(INDEX(PacNome,MATCH($D1349,PacCod,0)),"Paciente não cadastrado"))</f>
        <v>0</v>
      </c>
      <c r="K1349" s="26">
        <f>IF($D1349="","",IFERROR(INDEX(PacConv,MATCH($D1349,PacCod,0))&amp;"",""))</f>
        <v>0</v>
      </c>
      <c r="L1349" s="26">
        <f>IF($A1349="","",CHOOSE(WEEKDAY($A1349,2),"Seg","Ter","Qua","Qui","Sex","Sáb","Dom"))</f>
        <v>0</v>
      </c>
      <c r="M1349" s="27">
        <f>IF($E1349="","",IF($G1349&lt;&gt;"",$G1349,IFERROR(INDEX(ProcValor,MATCH($E1349,ProcNome,0)),0)))</f>
        <v>0</v>
      </c>
      <c r="N1349" s="27">
        <f>IF($M1349="","",IF($F1349="Compareceu",$M1349,0))</f>
        <v>0</v>
      </c>
      <c r="O1349" s="27">
        <f>IF($M1349="","",IF($F1349="Faltou",$M1349,0))</f>
        <v>0</v>
      </c>
      <c r="P1349" s="27">
        <f>IF($M1349="","",IF($F1349="Compareceu",MAX(0,$M1349-N($H1349)),0))</f>
        <v>0</v>
      </c>
      <c r="Q1349" s="19">
        <f>IF(AND($F1349="Compareceu",$E1349&lt;&gt;"",$A1349&lt;&gt;""),IF(IFERROR(INDEX(ProcRet,MATCH($E1349,ProcNome,0)),0)&gt;0,$A1349+INDEX(ProcRet,MATCH($E1349,ProcNome,0)),""),"")</f>
        <v>0</v>
      </c>
      <c r="R1349" s="26">
        <f>IF($Q1349="","",IF(COUNTIFS(AgPac,$D1349,AgData,"&gt;"&amp;$A1349,AgStatus,"&lt;&gt;Cancelado",AgStatus,"&lt;&gt;Remarcado")&gt;0,"Sim","Não"))</f>
        <v>0</v>
      </c>
      <c r="S1349" s="28">
        <f>IF($A1349="","",IF(AND($F1349="Agendado",$A1349-Hoje&gt;=0,$A1349-Hoje&lt;=DiasConf),"CONFIRMAR",IF(AND($A1349&lt;Hoje,OR($F1349="Agendado",$F1349="Confirmado")),"Atualizar status",IF(AND($F1349="Compareceu",$P1349&gt;0.005),"Cobrar",IF($F1349="Faltou","Falta: reagendar","")))))</f>
        <v>0</v>
      </c>
      <c r="T1349" s="29">
        <f>IF($A1349="","",DATE(YEAR($A1349),MONTH($A1349),1))</f>
        <v>0</v>
      </c>
      <c r="U1349" s="30">
        <f>IF($S1349="CONFIRMAR",MAX($U$4:$U1348)+1,"")</f>
        <v>0</v>
      </c>
      <c r="V1349" s="30">
        <f>IF(AND($R1349="Não",$Q1349&lt;&gt;"",$Q1349&lt;=Hoje+JanelaRet,$Q1349&gt;=Hoje-60),MAX($V$4:$V1348)+1,"")</f>
        <v>0</v>
      </c>
    </row>
    <row r="1350" spans="1:22">
      <c r="A1350" s="16"/>
      <c r="B1350" s="23"/>
      <c r="C1350" s="15"/>
      <c r="D1350" s="15"/>
      <c r="E1350" s="15"/>
      <c r="F1350" s="24"/>
      <c r="G1350" s="17"/>
      <c r="H1350" s="17"/>
      <c r="I1350" s="15"/>
      <c r="J1350" s="25">
        <f>IF($D1350="","",IFERROR(INDEX(PacNome,MATCH($D1350,PacCod,0)),"Paciente não cadastrado"))</f>
        <v>0</v>
      </c>
      <c r="K1350" s="26">
        <f>IF($D1350="","",IFERROR(INDEX(PacConv,MATCH($D1350,PacCod,0))&amp;"",""))</f>
        <v>0</v>
      </c>
      <c r="L1350" s="26">
        <f>IF($A1350="","",CHOOSE(WEEKDAY($A1350,2),"Seg","Ter","Qua","Qui","Sex","Sáb","Dom"))</f>
        <v>0</v>
      </c>
      <c r="M1350" s="27">
        <f>IF($E1350="","",IF($G1350&lt;&gt;"",$G1350,IFERROR(INDEX(ProcValor,MATCH($E1350,ProcNome,0)),0)))</f>
        <v>0</v>
      </c>
      <c r="N1350" s="27">
        <f>IF($M1350="","",IF($F1350="Compareceu",$M1350,0))</f>
        <v>0</v>
      </c>
      <c r="O1350" s="27">
        <f>IF($M1350="","",IF($F1350="Faltou",$M1350,0))</f>
        <v>0</v>
      </c>
      <c r="P1350" s="27">
        <f>IF($M1350="","",IF($F1350="Compareceu",MAX(0,$M1350-N($H1350)),0))</f>
        <v>0</v>
      </c>
      <c r="Q1350" s="19">
        <f>IF(AND($F1350="Compareceu",$E1350&lt;&gt;"",$A1350&lt;&gt;""),IF(IFERROR(INDEX(ProcRet,MATCH($E1350,ProcNome,0)),0)&gt;0,$A1350+INDEX(ProcRet,MATCH($E1350,ProcNome,0)),""),"")</f>
        <v>0</v>
      </c>
      <c r="R1350" s="26">
        <f>IF($Q1350="","",IF(COUNTIFS(AgPac,$D1350,AgData,"&gt;"&amp;$A1350,AgStatus,"&lt;&gt;Cancelado",AgStatus,"&lt;&gt;Remarcado")&gt;0,"Sim","Não"))</f>
        <v>0</v>
      </c>
      <c r="S1350" s="28">
        <f>IF($A1350="","",IF(AND($F1350="Agendado",$A1350-Hoje&gt;=0,$A1350-Hoje&lt;=DiasConf),"CONFIRMAR",IF(AND($A1350&lt;Hoje,OR($F1350="Agendado",$F1350="Confirmado")),"Atualizar status",IF(AND($F1350="Compareceu",$P1350&gt;0.005),"Cobrar",IF($F1350="Faltou","Falta: reagendar","")))))</f>
        <v>0</v>
      </c>
      <c r="T1350" s="29">
        <f>IF($A1350="","",DATE(YEAR($A1350),MONTH($A1350),1))</f>
        <v>0</v>
      </c>
      <c r="U1350" s="30">
        <f>IF($S1350="CONFIRMAR",MAX($U$4:$U1349)+1,"")</f>
        <v>0</v>
      </c>
      <c r="V1350" s="30">
        <f>IF(AND($R1350="Não",$Q1350&lt;&gt;"",$Q1350&lt;=Hoje+JanelaRet,$Q1350&gt;=Hoje-60),MAX($V$4:$V1349)+1,"")</f>
        <v>0</v>
      </c>
    </row>
    <row r="1351" spans="1:22">
      <c r="A1351" s="16"/>
      <c r="B1351" s="23"/>
      <c r="C1351" s="15"/>
      <c r="D1351" s="15"/>
      <c r="E1351" s="15"/>
      <c r="F1351" s="24"/>
      <c r="G1351" s="17"/>
      <c r="H1351" s="17"/>
      <c r="I1351" s="15"/>
      <c r="J1351" s="25">
        <f>IF($D1351="","",IFERROR(INDEX(PacNome,MATCH($D1351,PacCod,0)),"Paciente não cadastrado"))</f>
        <v>0</v>
      </c>
      <c r="K1351" s="26">
        <f>IF($D1351="","",IFERROR(INDEX(PacConv,MATCH($D1351,PacCod,0))&amp;"",""))</f>
        <v>0</v>
      </c>
      <c r="L1351" s="26">
        <f>IF($A1351="","",CHOOSE(WEEKDAY($A1351,2),"Seg","Ter","Qua","Qui","Sex","Sáb","Dom"))</f>
        <v>0</v>
      </c>
      <c r="M1351" s="27">
        <f>IF($E1351="","",IF($G1351&lt;&gt;"",$G1351,IFERROR(INDEX(ProcValor,MATCH($E1351,ProcNome,0)),0)))</f>
        <v>0</v>
      </c>
      <c r="N1351" s="27">
        <f>IF($M1351="","",IF($F1351="Compareceu",$M1351,0))</f>
        <v>0</v>
      </c>
      <c r="O1351" s="27">
        <f>IF($M1351="","",IF($F1351="Faltou",$M1351,0))</f>
        <v>0</v>
      </c>
      <c r="P1351" s="27">
        <f>IF($M1351="","",IF($F1351="Compareceu",MAX(0,$M1351-N($H1351)),0))</f>
        <v>0</v>
      </c>
      <c r="Q1351" s="19">
        <f>IF(AND($F1351="Compareceu",$E1351&lt;&gt;"",$A1351&lt;&gt;""),IF(IFERROR(INDEX(ProcRet,MATCH($E1351,ProcNome,0)),0)&gt;0,$A1351+INDEX(ProcRet,MATCH($E1351,ProcNome,0)),""),"")</f>
        <v>0</v>
      </c>
      <c r="R1351" s="26">
        <f>IF($Q1351="","",IF(COUNTIFS(AgPac,$D1351,AgData,"&gt;"&amp;$A1351,AgStatus,"&lt;&gt;Cancelado",AgStatus,"&lt;&gt;Remarcado")&gt;0,"Sim","Não"))</f>
        <v>0</v>
      </c>
      <c r="S1351" s="28">
        <f>IF($A1351="","",IF(AND($F1351="Agendado",$A1351-Hoje&gt;=0,$A1351-Hoje&lt;=DiasConf),"CONFIRMAR",IF(AND($A1351&lt;Hoje,OR($F1351="Agendado",$F1351="Confirmado")),"Atualizar status",IF(AND($F1351="Compareceu",$P1351&gt;0.005),"Cobrar",IF($F1351="Faltou","Falta: reagendar","")))))</f>
        <v>0</v>
      </c>
      <c r="T1351" s="29">
        <f>IF($A1351="","",DATE(YEAR($A1351),MONTH($A1351),1))</f>
        <v>0</v>
      </c>
      <c r="U1351" s="30">
        <f>IF($S1351="CONFIRMAR",MAX($U$4:$U1350)+1,"")</f>
        <v>0</v>
      </c>
      <c r="V1351" s="30">
        <f>IF(AND($R1351="Não",$Q1351&lt;&gt;"",$Q1351&lt;=Hoje+JanelaRet,$Q1351&gt;=Hoje-60),MAX($V$4:$V1350)+1,"")</f>
        <v>0</v>
      </c>
    </row>
    <row r="1352" spans="1:22">
      <c r="A1352" s="16"/>
      <c r="B1352" s="23"/>
      <c r="C1352" s="15"/>
      <c r="D1352" s="15"/>
      <c r="E1352" s="15"/>
      <c r="F1352" s="24"/>
      <c r="G1352" s="17"/>
      <c r="H1352" s="17"/>
      <c r="I1352" s="15"/>
      <c r="J1352" s="25">
        <f>IF($D1352="","",IFERROR(INDEX(PacNome,MATCH($D1352,PacCod,0)),"Paciente não cadastrado"))</f>
        <v>0</v>
      </c>
      <c r="K1352" s="26">
        <f>IF($D1352="","",IFERROR(INDEX(PacConv,MATCH($D1352,PacCod,0))&amp;"",""))</f>
        <v>0</v>
      </c>
      <c r="L1352" s="26">
        <f>IF($A1352="","",CHOOSE(WEEKDAY($A1352,2),"Seg","Ter","Qua","Qui","Sex","Sáb","Dom"))</f>
        <v>0</v>
      </c>
      <c r="M1352" s="27">
        <f>IF($E1352="","",IF($G1352&lt;&gt;"",$G1352,IFERROR(INDEX(ProcValor,MATCH($E1352,ProcNome,0)),0)))</f>
        <v>0</v>
      </c>
      <c r="N1352" s="27">
        <f>IF($M1352="","",IF($F1352="Compareceu",$M1352,0))</f>
        <v>0</v>
      </c>
      <c r="O1352" s="27">
        <f>IF($M1352="","",IF($F1352="Faltou",$M1352,0))</f>
        <v>0</v>
      </c>
      <c r="P1352" s="27">
        <f>IF($M1352="","",IF($F1352="Compareceu",MAX(0,$M1352-N($H1352)),0))</f>
        <v>0</v>
      </c>
      <c r="Q1352" s="19">
        <f>IF(AND($F1352="Compareceu",$E1352&lt;&gt;"",$A1352&lt;&gt;""),IF(IFERROR(INDEX(ProcRet,MATCH($E1352,ProcNome,0)),0)&gt;0,$A1352+INDEX(ProcRet,MATCH($E1352,ProcNome,0)),""),"")</f>
        <v>0</v>
      </c>
      <c r="R1352" s="26">
        <f>IF($Q1352="","",IF(COUNTIFS(AgPac,$D1352,AgData,"&gt;"&amp;$A1352,AgStatus,"&lt;&gt;Cancelado",AgStatus,"&lt;&gt;Remarcado")&gt;0,"Sim","Não"))</f>
        <v>0</v>
      </c>
      <c r="S1352" s="28">
        <f>IF($A1352="","",IF(AND($F1352="Agendado",$A1352-Hoje&gt;=0,$A1352-Hoje&lt;=DiasConf),"CONFIRMAR",IF(AND($A1352&lt;Hoje,OR($F1352="Agendado",$F1352="Confirmado")),"Atualizar status",IF(AND($F1352="Compareceu",$P1352&gt;0.005),"Cobrar",IF($F1352="Faltou","Falta: reagendar","")))))</f>
        <v>0</v>
      </c>
      <c r="T1352" s="29">
        <f>IF($A1352="","",DATE(YEAR($A1352),MONTH($A1352),1))</f>
        <v>0</v>
      </c>
      <c r="U1352" s="30">
        <f>IF($S1352="CONFIRMAR",MAX($U$4:$U1351)+1,"")</f>
        <v>0</v>
      </c>
      <c r="V1352" s="30">
        <f>IF(AND($R1352="Não",$Q1352&lt;&gt;"",$Q1352&lt;=Hoje+JanelaRet,$Q1352&gt;=Hoje-60),MAX($V$4:$V1351)+1,"")</f>
        <v>0</v>
      </c>
    </row>
    <row r="1353" spans="1:22">
      <c r="A1353" s="16"/>
      <c r="B1353" s="23"/>
      <c r="C1353" s="15"/>
      <c r="D1353" s="15"/>
      <c r="E1353" s="15"/>
      <c r="F1353" s="24"/>
      <c r="G1353" s="17"/>
      <c r="H1353" s="17"/>
      <c r="I1353" s="15"/>
      <c r="J1353" s="25">
        <f>IF($D1353="","",IFERROR(INDEX(PacNome,MATCH($D1353,PacCod,0)),"Paciente não cadastrado"))</f>
        <v>0</v>
      </c>
      <c r="K1353" s="26">
        <f>IF($D1353="","",IFERROR(INDEX(PacConv,MATCH($D1353,PacCod,0))&amp;"",""))</f>
        <v>0</v>
      </c>
      <c r="L1353" s="26">
        <f>IF($A1353="","",CHOOSE(WEEKDAY($A1353,2),"Seg","Ter","Qua","Qui","Sex","Sáb","Dom"))</f>
        <v>0</v>
      </c>
      <c r="M1353" s="27">
        <f>IF($E1353="","",IF($G1353&lt;&gt;"",$G1353,IFERROR(INDEX(ProcValor,MATCH($E1353,ProcNome,0)),0)))</f>
        <v>0</v>
      </c>
      <c r="N1353" s="27">
        <f>IF($M1353="","",IF($F1353="Compareceu",$M1353,0))</f>
        <v>0</v>
      </c>
      <c r="O1353" s="27">
        <f>IF($M1353="","",IF($F1353="Faltou",$M1353,0))</f>
        <v>0</v>
      </c>
      <c r="P1353" s="27">
        <f>IF($M1353="","",IF($F1353="Compareceu",MAX(0,$M1353-N($H1353)),0))</f>
        <v>0</v>
      </c>
      <c r="Q1353" s="19">
        <f>IF(AND($F1353="Compareceu",$E1353&lt;&gt;"",$A1353&lt;&gt;""),IF(IFERROR(INDEX(ProcRet,MATCH($E1353,ProcNome,0)),0)&gt;0,$A1353+INDEX(ProcRet,MATCH($E1353,ProcNome,0)),""),"")</f>
        <v>0</v>
      </c>
      <c r="R1353" s="26">
        <f>IF($Q1353="","",IF(COUNTIFS(AgPac,$D1353,AgData,"&gt;"&amp;$A1353,AgStatus,"&lt;&gt;Cancelado",AgStatus,"&lt;&gt;Remarcado")&gt;0,"Sim","Não"))</f>
        <v>0</v>
      </c>
      <c r="S1353" s="28">
        <f>IF($A1353="","",IF(AND($F1353="Agendado",$A1353-Hoje&gt;=0,$A1353-Hoje&lt;=DiasConf),"CONFIRMAR",IF(AND($A1353&lt;Hoje,OR($F1353="Agendado",$F1353="Confirmado")),"Atualizar status",IF(AND($F1353="Compareceu",$P1353&gt;0.005),"Cobrar",IF($F1353="Faltou","Falta: reagendar","")))))</f>
        <v>0</v>
      </c>
      <c r="T1353" s="29">
        <f>IF($A1353="","",DATE(YEAR($A1353),MONTH($A1353),1))</f>
        <v>0</v>
      </c>
      <c r="U1353" s="30">
        <f>IF($S1353="CONFIRMAR",MAX($U$4:$U1352)+1,"")</f>
        <v>0</v>
      </c>
      <c r="V1353" s="30">
        <f>IF(AND($R1353="Não",$Q1353&lt;&gt;"",$Q1353&lt;=Hoje+JanelaRet,$Q1353&gt;=Hoje-60),MAX($V$4:$V1352)+1,"")</f>
        <v>0</v>
      </c>
    </row>
    <row r="1354" spans="1:22">
      <c r="A1354" s="16"/>
      <c r="B1354" s="23"/>
      <c r="C1354" s="15"/>
      <c r="D1354" s="15"/>
      <c r="E1354" s="15"/>
      <c r="F1354" s="24"/>
      <c r="G1354" s="17"/>
      <c r="H1354" s="17"/>
      <c r="I1354" s="15"/>
      <c r="J1354" s="25">
        <f>IF($D1354="","",IFERROR(INDEX(PacNome,MATCH($D1354,PacCod,0)),"Paciente não cadastrado"))</f>
        <v>0</v>
      </c>
      <c r="K1354" s="26">
        <f>IF($D1354="","",IFERROR(INDEX(PacConv,MATCH($D1354,PacCod,0))&amp;"",""))</f>
        <v>0</v>
      </c>
      <c r="L1354" s="26">
        <f>IF($A1354="","",CHOOSE(WEEKDAY($A1354,2),"Seg","Ter","Qua","Qui","Sex","Sáb","Dom"))</f>
        <v>0</v>
      </c>
      <c r="M1354" s="27">
        <f>IF($E1354="","",IF($G1354&lt;&gt;"",$G1354,IFERROR(INDEX(ProcValor,MATCH($E1354,ProcNome,0)),0)))</f>
        <v>0</v>
      </c>
      <c r="N1354" s="27">
        <f>IF($M1354="","",IF($F1354="Compareceu",$M1354,0))</f>
        <v>0</v>
      </c>
      <c r="O1354" s="27">
        <f>IF($M1354="","",IF($F1354="Faltou",$M1354,0))</f>
        <v>0</v>
      </c>
      <c r="P1354" s="27">
        <f>IF($M1354="","",IF($F1354="Compareceu",MAX(0,$M1354-N($H1354)),0))</f>
        <v>0</v>
      </c>
      <c r="Q1354" s="19">
        <f>IF(AND($F1354="Compareceu",$E1354&lt;&gt;"",$A1354&lt;&gt;""),IF(IFERROR(INDEX(ProcRet,MATCH($E1354,ProcNome,0)),0)&gt;0,$A1354+INDEX(ProcRet,MATCH($E1354,ProcNome,0)),""),"")</f>
        <v>0</v>
      </c>
      <c r="R1354" s="26">
        <f>IF($Q1354="","",IF(COUNTIFS(AgPac,$D1354,AgData,"&gt;"&amp;$A1354,AgStatus,"&lt;&gt;Cancelado",AgStatus,"&lt;&gt;Remarcado")&gt;0,"Sim","Não"))</f>
        <v>0</v>
      </c>
      <c r="S1354" s="28">
        <f>IF($A1354="","",IF(AND($F1354="Agendado",$A1354-Hoje&gt;=0,$A1354-Hoje&lt;=DiasConf),"CONFIRMAR",IF(AND($A1354&lt;Hoje,OR($F1354="Agendado",$F1354="Confirmado")),"Atualizar status",IF(AND($F1354="Compareceu",$P1354&gt;0.005),"Cobrar",IF($F1354="Faltou","Falta: reagendar","")))))</f>
        <v>0</v>
      </c>
      <c r="T1354" s="29">
        <f>IF($A1354="","",DATE(YEAR($A1354),MONTH($A1354),1))</f>
        <v>0</v>
      </c>
      <c r="U1354" s="30">
        <f>IF($S1354="CONFIRMAR",MAX($U$4:$U1353)+1,"")</f>
        <v>0</v>
      </c>
      <c r="V1354" s="30">
        <f>IF(AND($R1354="Não",$Q1354&lt;&gt;"",$Q1354&lt;=Hoje+JanelaRet,$Q1354&gt;=Hoje-60),MAX($V$4:$V1353)+1,"")</f>
        <v>0</v>
      </c>
    </row>
    <row r="1355" spans="1:22">
      <c r="A1355" s="16"/>
      <c r="B1355" s="23"/>
      <c r="C1355" s="15"/>
      <c r="D1355" s="15"/>
      <c r="E1355" s="15"/>
      <c r="F1355" s="24"/>
      <c r="G1355" s="17"/>
      <c r="H1355" s="17"/>
      <c r="I1355" s="15"/>
      <c r="J1355" s="25">
        <f>IF($D1355="","",IFERROR(INDEX(PacNome,MATCH($D1355,PacCod,0)),"Paciente não cadastrado"))</f>
        <v>0</v>
      </c>
      <c r="K1355" s="26">
        <f>IF($D1355="","",IFERROR(INDEX(PacConv,MATCH($D1355,PacCod,0))&amp;"",""))</f>
        <v>0</v>
      </c>
      <c r="L1355" s="26">
        <f>IF($A1355="","",CHOOSE(WEEKDAY($A1355,2),"Seg","Ter","Qua","Qui","Sex","Sáb","Dom"))</f>
        <v>0</v>
      </c>
      <c r="M1355" s="27">
        <f>IF($E1355="","",IF($G1355&lt;&gt;"",$G1355,IFERROR(INDEX(ProcValor,MATCH($E1355,ProcNome,0)),0)))</f>
        <v>0</v>
      </c>
      <c r="N1355" s="27">
        <f>IF($M1355="","",IF($F1355="Compareceu",$M1355,0))</f>
        <v>0</v>
      </c>
      <c r="O1355" s="27">
        <f>IF($M1355="","",IF($F1355="Faltou",$M1355,0))</f>
        <v>0</v>
      </c>
      <c r="P1355" s="27">
        <f>IF($M1355="","",IF($F1355="Compareceu",MAX(0,$M1355-N($H1355)),0))</f>
        <v>0</v>
      </c>
      <c r="Q1355" s="19">
        <f>IF(AND($F1355="Compareceu",$E1355&lt;&gt;"",$A1355&lt;&gt;""),IF(IFERROR(INDEX(ProcRet,MATCH($E1355,ProcNome,0)),0)&gt;0,$A1355+INDEX(ProcRet,MATCH($E1355,ProcNome,0)),""),"")</f>
        <v>0</v>
      </c>
      <c r="R1355" s="26">
        <f>IF($Q1355="","",IF(COUNTIFS(AgPac,$D1355,AgData,"&gt;"&amp;$A1355,AgStatus,"&lt;&gt;Cancelado",AgStatus,"&lt;&gt;Remarcado")&gt;0,"Sim","Não"))</f>
        <v>0</v>
      </c>
      <c r="S1355" s="28">
        <f>IF($A1355="","",IF(AND($F1355="Agendado",$A1355-Hoje&gt;=0,$A1355-Hoje&lt;=DiasConf),"CONFIRMAR",IF(AND($A1355&lt;Hoje,OR($F1355="Agendado",$F1355="Confirmado")),"Atualizar status",IF(AND($F1355="Compareceu",$P1355&gt;0.005),"Cobrar",IF($F1355="Faltou","Falta: reagendar","")))))</f>
        <v>0</v>
      </c>
      <c r="T1355" s="29">
        <f>IF($A1355="","",DATE(YEAR($A1355),MONTH($A1355),1))</f>
        <v>0</v>
      </c>
      <c r="U1355" s="30">
        <f>IF($S1355="CONFIRMAR",MAX($U$4:$U1354)+1,"")</f>
        <v>0</v>
      </c>
      <c r="V1355" s="30">
        <f>IF(AND($R1355="Não",$Q1355&lt;&gt;"",$Q1355&lt;=Hoje+JanelaRet,$Q1355&gt;=Hoje-60),MAX($V$4:$V1354)+1,"")</f>
        <v>0</v>
      </c>
    </row>
    <row r="1356" spans="1:22">
      <c r="A1356" s="16"/>
      <c r="B1356" s="23"/>
      <c r="C1356" s="15"/>
      <c r="D1356" s="15"/>
      <c r="E1356" s="15"/>
      <c r="F1356" s="24"/>
      <c r="G1356" s="17"/>
      <c r="H1356" s="17"/>
      <c r="I1356" s="15"/>
      <c r="J1356" s="25">
        <f>IF($D1356="","",IFERROR(INDEX(PacNome,MATCH($D1356,PacCod,0)),"Paciente não cadastrado"))</f>
        <v>0</v>
      </c>
      <c r="K1356" s="26">
        <f>IF($D1356="","",IFERROR(INDEX(PacConv,MATCH($D1356,PacCod,0))&amp;"",""))</f>
        <v>0</v>
      </c>
      <c r="L1356" s="26">
        <f>IF($A1356="","",CHOOSE(WEEKDAY($A1356,2),"Seg","Ter","Qua","Qui","Sex","Sáb","Dom"))</f>
        <v>0</v>
      </c>
      <c r="M1356" s="27">
        <f>IF($E1356="","",IF($G1356&lt;&gt;"",$G1356,IFERROR(INDEX(ProcValor,MATCH($E1356,ProcNome,0)),0)))</f>
        <v>0</v>
      </c>
      <c r="N1356" s="27">
        <f>IF($M1356="","",IF($F1356="Compareceu",$M1356,0))</f>
        <v>0</v>
      </c>
      <c r="O1356" s="27">
        <f>IF($M1356="","",IF($F1356="Faltou",$M1356,0))</f>
        <v>0</v>
      </c>
      <c r="P1356" s="27">
        <f>IF($M1356="","",IF($F1356="Compareceu",MAX(0,$M1356-N($H1356)),0))</f>
        <v>0</v>
      </c>
      <c r="Q1356" s="19">
        <f>IF(AND($F1356="Compareceu",$E1356&lt;&gt;"",$A1356&lt;&gt;""),IF(IFERROR(INDEX(ProcRet,MATCH($E1356,ProcNome,0)),0)&gt;0,$A1356+INDEX(ProcRet,MATCH($E1356,ProcNome,0)),""),"")</f>
        <v>0</v>
      </c>
      <c r="R1356" s="26">
        <f>IF($Q1356="","",IF(COUNTIFS(AgPac,$D1356,AgData,"&gt;"&amp;$A1356,AgStatus,"&lt;&gt;Cancelado",AgStatus,"&lt;&gt;Remarcado")&gt;0,"Sim","Não"))</f>
        <v>0</v>
      </c>
      <c r="S1356" s="28">
        <f>IF($A1356="","",IF(AND($F1356="Agendado",$A1356-Hoje&gt;=0,$A1356-Hoje&lt;=DiasConf),"CONFIRMAR",IF(AND($A1356&lt;Hoje,OR($F1356="Agendado",$F1356="Confirmado")),"Atualizar status",IF(AND($F1356="Compareceu",$P1356&gt;0.005),"Cobrar",IF($F1356="Faltou","Falta: reagendar","")))))</f>
        <v>0</v>
      </c>
      <c r="T1356" s="29">
        <f>IF($A1356="","",DATE(YEAR($A1356),MONTH($A1356),1))</f>
        <v>0</v>
      </c>
      <c r="U1356" s="30">
        <f>IF($S1356="CONFIRMAR",MAX($U$4:$U1355)+1,"")</f>
        <v>0</v>
      </c>
      <c r="V1356" s="30">
        <f>IF(AND($R1356="Não",$Q1356&lt;&gt;"",$Q1356&lt;=Hoje+JanelaRet,$Q1356&gt;=Hoje-60),MAX($V$4:$V1355)+1,"")</f>
        <v>0</v>
      </c>
    </row>
    <row r="1357" spans="1:22">
      <c r="A1357" s="16"/>
      <c r="B1357" s="23"/>
      <c r="C1357" s="15"/>
      <c r="D1357" s="15"/>
      <c r="E1357" s="15"/>
      <c r="F1357" s="24"/>
      <c r="G1357" s="17"/>
      <c r="H1357" s="17"/>
      <c r="I1357" s="15"/>
      <c r="J1357" s="25">
        <f>IF($D1357="","",IFERROR(INDEX(PacNome,MATCH($D1357,PacCod,0)),"Paciente não cadastrado"))</f>
        <v>0</v>
      </c>
      <c r="K1357" s="26">
        <f>IF($D1357="","",IFERROR(INDEX(PacConv,MATCH($D1357,PacCod,0))&amp;"",""))</f>
        <v>0</v>
      </c>
      <c r="L1357" s="26">
        <f>IF($A1357="","",CHOOSE(WEEKDAY($A1357,2),"Seg","Ter","Qua","Qui","Sex","Sáb","Dom"))</f>
        <v>0</v>
      </c>
      <c r="M1357" s="27">
        <f>IF($E1357="","",IF($G1357&lt;&gt;"",$G1357,IFERROR(INDEX(ProcValor,MATCH($E1357,ProcNome,0)),0)))</f>
        <v>0</v>
      </c>
      <c r="N1357" s="27">
        <f>IF($M1357="","",IF($F1357="Compareceu",$M1357,0))</f>
        <v>0</v>
      </c>
      <c r="O1357" s="27">
        <f>IF($M1357="","",IF($F1357="Faltou",$M1357,0))</f>
        <v>0</v>
      </c>
      <c r="P1357" s="27">
        <f>IF($M1357="","",IF($F1357="Compareceu",MAX(0,$M1357-N($H1357)),0))</f>
        <v>0</v>
      </c>
      <c r="Q1357" s="19">
        <f>IF(AND($F1357="Compareceu",$E1357&lt;&gt;"",$A1357&lt;&gt;""),IF(IFERROR(INDEX(ProcRet,MATCH($E1357,ProcNome,0)),0)&gt;0,$A1357+INDEX(ProcRet,MATCH($E1357,ProcNome,0)),""),"")</f>
        <v>0</v>
      </c>
      <c r="R1357" s="26">
        <f>IF($Q1357="","",IF(COUNTIFS(AgPac,$D1357,AgData,"&gt;"&amp;$A1357,AgStatus,"&lt;&gt;Cancelado",AgStatus,"&lt;&gt;Remarcado")&gt;0,"Sim","Não"))</f>
        <v>0</v>
      </c>
      <c r="S1357" s="28">
        <f>IF($A1357="","",IF(AND($F1357="Agendado",$A1357-Hoje&gt;=0,$A1357-Hoje&lt;=DiasConf),"CONFIRMAR",IF(AND($A1357&lt;Hoje,OR($F1357="Agendado",$F1357="Confirmado")),"Atualizar status",IF(AND($F1357="Compareceu",$P1357&gt;0.005),"Cobrar",IF($F1357="Faltou","Falta: reagendar","")))))</f>
        <v>0</v>
      </c>
      <c r="T1357" s="29">
        <f>IF($A1357="","",DATE(YEAR($A1357),MONTH($A1357),1))</f>
        <v>0</v>
      </c>
      <c r="U1357" s="30">
        <f>IF($S1357="CONFIRMAR",MAX($U$4:$U1356)+1,"")</f>
        <v>0</v>
      </c>
      <c r="V1357" s="30">
        <f>IF(AND($R1357="Não",$Q1357&lt;&gt;"",$Q1357&lt;=Hoje+JanelaRet,$Q1357&gt;=Hoje-60),MAX($V$4:$V1356)+1,"")</f>
        <v>0</v>
      </c>
    </row>
    <row r="1358" spans="1:22">
      <c r="A1358" s="16"/>
      <c r="B1358" s="23"/>
      <c r="C1358" s="15"/>
      <c r="D1358" s="15"/>
      <c r="E1358" s="15"/>
      <c r="F1358" s="24"/>
      <c r="G1358" s="17"/>
      <c r="H1358" s="17"/>
      <c r="I1358" s="15"/>
      <c r="J1358" s="25">
        <f>IF($D1358="","",IFERROR(INDEX(PacNome,MATCH($D1358,PacCod,0)),"Paciente não cadastrado"))</f>
        <v>0</v>
      </c>
      <c r="K1358" s="26">
        <f>IF($D1358="","",IFERROR(INDEX(PacConv,MATCH($D1358,PacCod,0))&amp;"",""))</f>
        <v>0</v>
      </c>
      <c r="L1358" s="26">
        <f>IF($A1358="","",CHOOSE(WEEKDAY($A1358,2),"Seg","Ter","Qua","Qui","Sex","Sáb","Dom"))</f>
        <v>0</v>
      </c>
      <c r="M1358" s="27">
        <f>IF($E1358="","",IF($G1358&lt;&gt;"",$G1358,IFERROR(INDEX(ProcValor,MATCH($E1358,ProcNome,0)),0)))</f>
        <v>0</v>
      </c>
      <c r="N1358" s="27">
        <f>IF($M1358="","",IF($F1358="Compareceu",$M1358,0))</f>
        <v>0</v>
      </c>
      <c r="O1358" s="27">
        <f>IF($M1358="","",IF($F1358="Faltou",$M1358,0))</f>
        <v>0</v>
      </c>
      <c r="P1358" s="27">
        <f>IF($M1358="","",IF($F1358="Compareceu",MAX(0,$M1358-N($H1358)),0))</f>
        <v>0</v>
      </c>
      <c r="Q1358" s="19">
        <f>IF(AND($F1358="Compareceu",$E1358&lt;&gt;"",$A1358&lt;&gt;""),IF(IFERROR(INDEX(ProcRet,MATCH($E1358,ProcNome,0)),0)&gt;0,$A1358+INDEX(ProcRet,MATCH($E1358,ProcNome,0)),""),"")</f>
        <v>0</v>
      </c>
      <c r="R1358" s="26">
        <f>IF($Q1358="","",IF(COUNTIFS(AgPac,$D1358,AgData,"&gt;"&amp;$A1358,AgStatus,"&lt;&gt;Cancelado",AgStatus,"&lt;&gt;Remarcado")&gt;0,"Sim","Não"))</f>
        <v>0</v>
      </c>
      <c r="S1358" s="28">
        <f>IF($A1358="","",IF(AND($F1358="Agendado",$A1358-Hoje&gt;=0,$A1358-Hoje&lt;=DiasConf),"CONFIRMAR",IF(AND($A1358&lt;Hoje,OR($F1358="Agendado",$F1358="Confirmado")),"Atualizar status",IF(AND($F1358="Compareceu",$P1358&gt;0.005),"Cobrar",IF($F1358="Faltou","Falta: reagendar","")))))</f>
        <v>0</v>
      </c>
      <c r="T1358" s="29">
        <f>IF($A1358="","",DATE(YEAR($A1358),MONTH($A1358),1))</f>
        <v>0</v>
      </c>
      <c r="U1358" s="30">
        <f>IF($S1358="CONFIRMAR",MAX($U$4:$U1357)+1,"")</f>
        <v>0</v>
      </c>
      <c r="V1358" s="30">
        <f>IF(AND($R1358="Não",$Q1358&lt;&gt;"",$Q1358&lt;=Hoje+JanelaRet,$Q1358&gt;=Hoje-60),MAX($V$4:$V1357)+1,"")</f>
        <v>0</v>
      </c>
    </row>
    <row r="1359" spans="1:22">
      <c r="A1359" s="16"/>
      <c r="B1359" s="23"/>
      <c r="C1359" s="15"/>
      <c r="D1359" s="15"/>
      <c r="E1359" s="15"/>
      <c r="F1359" s="24"/>
      <c r="G1359" s="17"/>
      <c r="H1359" s="17"/>
      <c r="I1359" s="15"/>
      <c r="J1359" s="25">
        <f>IF($D1359="","",IFERROR(INDEX(PacNome,MATCH($D1359,PacCod,0)),"Paciente não cadastrado"))</f>
        <v>0</v>
      </c>
      <c r="K1359" s="26">
        <f>IF($D1359="","",IFERROR(INDEX(PacConv,MATCH($D1359,PacCod,0))&amp;"",""))</f>
        <v>0</v>
      </c>
      <c r="L1359" s="26">
        <f>IF($A1359="","",CHOOSE(WEEKDAY($A1359,2),"Seg","Ter","Qua","Qui","Sex","Sáb","Dom"))</f>
        <v>0</v>
      </c>
      <c r="M1359" s="27">
        <f>IF($E1359="","",IF($G1359&lt;&gt;"",$G1359,IFERROR(INDEX(ProcValor,MATCH($E1359,ProcNome,0)),0)))</f>
        <v>0</v>
      </c>
      <c r="N1359" s="27">
        <f>IF($M1359="","",IF($F1359="Compareceu",$M1359,0))</f>
        <v>0</v>
      </c>
      <c r="O1359" s="27">
        <f>IF($M1359="","",IF($F1359="Faltou",$M1359,0))</f>
        <v>0</v>
      </c>
      <c r="P1359" s="27">
        <f>IF($M1359="","",IF($F1359="Compareceu",MAX(0,$M1359-N($H1359)),0))</f>
        <v>0</v>
      </c>
      <c r="Q1359" s="19">
        <f>IF(AND($F1359="Compareceu",$E1359&lt;&gt;"",$A1359&lt;&gt;""),IF(IFERROR(INDEX(ProcRet,MATCH($E1359,ProcNome,0)),0)&gt;0,$A1359+INDEX(ProcRet,MATCH($E1359,ProcNome,0)),""),"")</f>
        <v>0</v>
      </c>
      <c r="R1359" s="26">
        <f>IF($Q1359="","",IF(COUNTIFS(AgPac,$D1359,AgData,"&gt;"&amp;$A1359,AgStatus,"&lt;&gt;Cancelado",AgStatus,"&lt;&gt;Remarcado")&gt;0,"Sim","Não"))</f>
        <v>0</v>
      </c>
      <c r="S1359" s="28">
        <f>IF($A1359="","",IF(AND($F1359="Agendado",$A1359-Hoje&gt;=0,$A1359-Hoje&lt;=DiasConf),"CONFIRMAR",IF(AND($A1359&lt;Hoje,OR($F1359="Agendado",$F1359="Confirmado")),"Atualizar status",IF(AND($F1359="Compareceu",$P1359&gt;0.005),"Cobrar",IF($F1359="Faltou","Falta: reagendar","")))))</f>
        <v>0</v>
      </c>
      <c r="T1359" s="29">
        <f>IF($A1359="","",DATE(YEAR($A1359),MONTH($A1359),1))</f>
        <v>0</v>
      </c>
      <c r="U1359" s="30">
        <f>IF($S1359="CONFIRMAR",MAX($U$4:$U1358)+1,"")</f>
        <v>0</v>
      </c>
      <c r="V1359" s="30">
        <f>IF(AND($R1359="Não",$Q1359&lt;&gt;"",$Q1359&lt;=Hoje+JanelaRet,$Q1359&gt;=Hoje-60),MAX($V$4:$V1358)+1,"")</f>
        <v>0</v>
      </c>
    </row>
    <row r="1360" spans="1:22">
      <c r="A1360" s="16"/>
      <c r="B1360" s="23"/>
      <c r="C1360" s="15"/>
      <c r="D1360" s="15"/>
      <c r="E1360" s="15"/>
      <c r="F1360" s="24"/>
      <c r="G1360" s="17"/>
      <c r="H1360" s="17"/>
      <c r="I1360" s="15"/>
      <c r="J1360" s="25">
        <f>IF($D1360="","",IFERROR(INDEX(PacNome,MATCH($D1360,PacCod,0)),"Paciente não cadastrado"))</f>
        <v>0</v>
      </c>
      <c r="K1360" s="26">
        <f>IF($D1360="","",IFERROR(INDEX(PacConv,MATCH($D1360,PacCod,0))&amp;"",""))</f>
        <v>0</v>
      </c>
      <c r="L1360" s="26">
        <f>IF($A1360="","",CHOOSE(WEEKDAY($A1360,2),"Seg","Ter","Qua","Qui","Sex","Sáb","Dom"))</f>
        <v>0</v>
      </c>
      <c r="M1360" s="27">
        <f>IF($E1360="","",IF($G1360&lt;&gt;"",$G1360,IFERROR(INDEX(ProcValor,MATCH($E1360,ProcNome,0)),0)))</f>
        <v>0</v>
      </c>
      <c r="N1360" s="27">
        <f>IF($M1360="","",IF($F1360="Compareceu",$M1360,0))</f>
        <v>0</v>
      </c>
      <c r="O1360" s="27">
        <f>IF($M1360="","",IF($F1360="Faltou",$M1360,0))</f>
        <v>0</v>
      </c>
      <c r="P1360" s="27">
        <f>IF($M1360="","",IF($F1360="Compareceu",MAX(0,$M1360-N($H1360)),0))</f>
        <v>0</v>
      </c>
      <c r="Q1360" s="19">
        <f>IF(AND($F1360="Compareceu",$E1360&lt;&gt;"",$A1360&lt;&gt;""),IF(IFERROR(INDEX(ProcRet,MATCH($E1360,ProcNome,0)),0)&gt;0,$A1360+INDEX(ProcRet,MATCH($E1360,ProcNome,0)),""),"")</f>
        <v>0</v>
      </c>
      <c r="R1360" s="26">
        <f>IF($Q1360="","",IF(COUNTIFS(AgPac,$D1360,AgData,"&gt;"&amp;$A1360,AgStatus,"&lt;&gt;Cancelado",AgStatus,"&lt;&gt;Remarcado")&gt;0,"Sim","Não"))</f>
        <v>0</v>
      </c>
      <c r="S1360" s="28">
        <f>IF($A1360="","",IF(AND($F1360="Agendado",$A1360-Hoje&gt;=0,$A1360-Hoje&lt;=DiasConf),"CONFIRMAR",IF(AND($A1360&lt;Hoje,OR($F1360="Agendado",$F1360="Confirmado")),"Atualizar status",IF(AND($F1360="Compareceu",$P1360&gt;0.005),"Cobrar",IF($F1360="Faltou","Falta: reagendar","")))))</f>
        <v>0</v>
      </c>
      <c r="T1360" s="29">
        <f>IF($A1360="","",DATE(YEAR($A1360),MONTH($A1360),1))</f>
        <v>0</v>
      </c>
      <c r="U1360" s="30">
        <f>IF($S1360="CONFIRMAR",MAX($U$4:$U1359)+1,"")</f>
        <v>0</v>
      </c>
      <c r="V1360" s="30">
        <f>IF(AND($R1360="Não",$Q1360&lt;&gt;"",$Q1360&lt;=Hoje+JanelaRet,$Q1360&gt;=Hoje-60),MAX($V$4:$V1359)+1,"")</f>
        <v>0</v>
      </c>
    </row>
    <row r="1361" spans="1:22">
      <c r="A1361" s="16"/>
      <c r="B1361" s="23"/>
      <c r="C1361" s="15"/>
      <c r="D1361" s="15"/>
      <c r="E1361" s="15"/>
      <c r="F1361" s="24"/>
      <c r="G1361" s="17"/>
      <c r="H1361" s="17"/>
      <c r="I1361" s="15"/>
      <c r="J1361" s="25">
        <f>IF($D1361="","",IFERROR(INDEX(PacNome,MATCH($D1361,PacCod,0)),"Paciente não cadastrado"))</f>
        <v>0</v>
      </c>
      <c r="K1361" s="26">
        <f>IF($D1361="","",IFERROR(INDEX(PacConv,MATCH($D1361,PacCod,0))&amp;"",""))</f>
        <v>0</v>
      </c>
      <c r="L1361" s="26">
        <f>IF($A1361="","",CHOOSE(WEEKDAY($A1361,2),"Seg","Ter","Qua","Qui","Sex","Sáb","Dom"))</f>
        <v>0</v>
      </c>
      <c r="M1361" s="27">
        <f>IF($E1361="","",IF($G1361&lt;&gt;"",$G1361,IFERROR(INDEX(ProcValor,MATCH($E1361,ProcNome,0)),0)))</f>
        <v>0</v>
      </c>
      <c r="N1361" s="27">
        <f>IF($M1361="","",IF($F1361="Compareceu",$M1361,0))</f>
        <v>0</v>
      </c>
      <c r="O1361" s="27">
        <f>IF($M1361="","",IF($F1361="Faltou",$M1361,0))</f>
        <v>0</v>
      </c>
      <c r="P1361" s="27">
        <f>IF($M1361="","",IF($F1361="Compareceu",MAX(0,$M1361-N($H1361)),0))</f>
        <v>0</v>
      </c>
      <c r="Q1361" s="19">
        <f>IF(AND($F1361="Compareceu",$E1361&lt;&gt;"",$A1361&lt;&gt;""),IF(IFERROR(INDEX(ProcRet,MATCH($E1361,ProcNome,0)),0)&gt;0,$A1361+INDEX(ProcRet,MATCH($E1361,ProcNome,0)),""),"")</f>
        <v>0</v>
      </c>
      <c r="R1361" s="26">
        <f>IF($Q1361="","",IF(COUNTIFS(AgPac,$D1361,AgData,"&gt;"&amp;$A1361,AgStatus,"&lt;&gt;Cancelado",AgStatus,"&lt;&gt;Remarcado")&gt;0,"Sim","Não"))</f>
        <v>0</v>
      </c>
      <c r="S1361" s="28">
        <f>IF($A1361="","",IF(AND($F1361="Agendado",$A1361-Hoje&gt;=0,$A1361-Hoje&lt;=DiasConf),"CONFIRMAR",IF(AND($A1361&lt;Hoje,OR($F1361="Agendado",$F1361="Confirmado")),"Atualizar status",IF(AND($F1361="Compareceu",$P1361&gt;0.005),"Cobrar",IF($F1361="Faltou","Falta: reagendar","")))))</f>
        <v>0</v>
      </c>
      <c r="T1361" s="29">
        <f>IF($A1361="","",DATE(YEAR($A1361),MONTH($A1361),1))</f>
        <v>0</v>
      </c>
      <c r="U1361" s="30">
        <f>IF($S1361="CONFIRMAR",MAX($U$4:$U1360)+1,"")</f>
        <v>0</v>
      </c>
      <c r="V1361" s="30">
        <f>IF(AND($R1361="Não",$Q1361&lt;&gt;"",$Q1361&lt;=Hoje+JanelaRet,$Q1361&gt;=Hoje-60),MAX($V$4:$V1360)+1,"")</f>
        <v>0</v>
      </c>
    </row>
    <row r="1362" spans="1:22">
      <c r="A1362" s="16"/>
      <c r="B1362" s="23"/>
      <c r="C1362" s="15"/>
      <c r="D1362" s="15"/>
      <c r="E1362" s="15"/>
      <c r="F1362" s="24"/>
      <c r="G1362" s="17"/>
      <c r="H1362" s="17"/>
      <c r="I1362" s="15"/>
      <c r="J1362" s="25">
        <f>IF($D1362="","",IFERROR(INDEX(PacNome,MATCH($D1362,PacCod,0)),"Paciente não cadastrado"))</f>
        <v>0</v>
      </c>
      <c r="K1362" s="26">
        <f>IF($D1362="","",IFERROR(INDEX(PacConv,MATCH($D1362,PacCod,0))&amp;"",""))</f>
        <v>0</v>
      </c>
      <c r="L1362" s="26">
        <f>IF($A1362="","",CHOOSE(WEEKDAY($A1362,2),"Seg","Ter","Qua","Qui","Sex","Sáb","Dom"))</f>
        <v>0</v>
      </c>
      <c r="M1362" s="27">
        <f>IF($E1362="","",IF($G1362&lt;&gt;"",$G1362,IFERROR(INDEX(ProcValor,MATCH($E1362,ProcNome,0)),0)))</f>
        <v>0</v>
      </c>
      <c r="N1362" s="27">
        <f>IF($M1362="","",IF($F1362="Compareceu",$M1362,0))</f>
        <v>0</v>
      </c>
      <c r="O1362" s="27">
        <f>IF($M1362="","",IF($F1362="Faltou",$M1362,0))</f>
        <v>0</v>
      </c>
      <c r="P1362" s="27">
        <f>IF($M1362="","",IF($F1362="Compareceu",MAX(0,$M1362-N($H1362)),0))</f>
        <v>0</v>
      </c>
      <c r="Q1362" s="19">
        <f>IF(AND($F1362="Compareceu",$E1362&lt;&gt;"",$A1362&lt;&gt;""),IF(IFERROR(INDEX(ProcRet,MATCH($E1362,ProcNome,0)),0)&gt;0,$A1362+INDEX(ProcRet,MATCH($E1362,ProcNome,0)),""),"")</f>
        <v>0</v>
      </c>
      <c r="R1362" s="26">
        <f>IF($Q1362="","",IF(COUNTIFS(AgPac,$D1362,AgData,"&gt;"&amp;$A1362,AgStatus,"&lt;&gt;Cancelado",AgStatus,"&lt;&gt;Remarcado")&gt;0,"Sim","Não"))</f>
        <v>0</v>
      </c>
      <c r="S1362" s="28">
        <f>IF($A1362="","",IF(AND($F1362="Agendado",$A1362-Hoje&gt;=0,$A1362-Hoje&lt;=DiasConf),"CONFIRMAR",IF(AND($A1362&lt;Hoje,OR($F1362="Agendado",$F1362="Confirmado")),"Atualizar status",IF(AND($F1362="Compareceu",$P1362&gt;0.005),"Cobrar",IF($F1362="Faltou","Falta: reagendar","")))))</f>
        <v>0</v>
      </c>
      <c r="T1362" s="29">
        <f>IF($A1362="","",DATE(YEAR($A1362),MONTH($A1362),1))</f>
        <v>0</v>
      </c>
      <c r="U1362" s="30">
        <f>IF($S1362="CONFIRMAR",MAX($U$4:$U1361)+1,"")</f>
        <v>0</v>
      </c>
      <c r="V1362" s="30">
        <f>IF(AND($R1362="Não",$Q1362&lt;&gt;"",$Q1362&lt;=Hoje+JanelaRet,$Q1362&gt;=Hoje-60),MAX($V$4:$V1361)+1,"")</f>
        <v>0</v>
      </c>
    </row>
    <row r="1363" spans="1:22">
      <c r="A1363" s="16"/>
      <c r="B1363" s="23"/>
      <c r="C1363" s="15"/>
      <c r="D1363" s="15"/>
      <c r="E1363" s="15"/>
      <c r="F1363" s="24"/>
      <c r="G1363" s="17"/>
      <c r="H1363" s="17"/>
      <c r="I1363" s="15"/>
      <c r="J1363" s="25">
        <f>IF($D1363="","",IFERROR(INDEX(PacNome,MATCH($D1363,PacCod,0)),"Paciente não cadastrado"))</f>
        <v>0</v>
      </c>
      <c r="K1363" s="26">
        <f>IF($D1363="","",IFERROR(INDEX(PacConv,MATCH($D1363,PacCod,0))&amp;"",""))</f>
        <v>0</v>
      </c>
      <c r="L1363" s="26">
        <f>IF($A1363="","",CHOOSE(WEEKDAY($A1363,2),"Seg","Ter","Qua","Qui","Sex","Sáb","Dom"))</f>
        <v>0</v>
      </c>
      <c r="M1363" s="27">
        <f>IF($E1363="","",IF($G1363&lt;&gt;"",$G1363,IFERROR(INDEX(ProcValor,MATCH($E1363,ProcNome,0)),0)))</f>
        <v>0</v>
      </c>
      <c r="N1363" s="27">
        <f>IF($M1363="","",IF($F1363="Compareceu",$M1363,0))</f>
        <v>0</v>
      </c>
      <c r="O1363" s="27">
        <f>IF($M1363="","",IF($F1363="Faltou",$M1363,0))</f>
        <v>0</v>
      </c>
      <c r="P1363" s="27">
        <f>IF($M1363="","",IF($F1363="Compareceu",MAX(0,$M1363-N($H1363)),0))</f>
        <v>0</v>
      </c>
      <c r="Q1363" s="19">
        <f>IF(AND($F1363="Compareceu",$E1363&lt;&gt;"",$A1363&lt;&gt;""),IF(IFERROR(INDEX(ProcRet,MATCH($E1363,ProcNome,0)),0)&gt;0,$A1363+INDEX(ProcRet,MATCH($E1363,ProcNome,0)),""),"")</f>
        <v>0</v>
      </c>
      <c r="R1363" s="26">
        <f>IF($Q1363="","",IF(COUNTIFS(AgPac,$D1363,AgData,"&gt;"&amp;$A1363,AgStatus,"&lt;&gt;Cancelado",AgStatus,"&lt;&gt;Remarcado")&gt;0,"Sim","Não"))</f>
        <v>0</v>
      </c>
      <c r="S1363" s="28">
        <f>IF($A1363="","",IF(AND($F1363="Agendado",$A1363-Hoje&gt;=0,$A1363-Hoje&lt;=DiasConf),"CONFIRMAR",IF(AND($A1363&lt;Hoje,OR($F1363="Agendado",$F1363="Confirmado")),"Atualizar status",IF(AND($F1363="Compareceu",$P1363&gt;0.005),"Cobrar",IF($F1363="Faltou","Falta: reagendar","")))))</f>
        <v>0</v>
      </c>
      <c r="T1363" s="29">
        <f>IF($A1363="","",DATE(YEAR($A1363),MONTH($A1363),1))</f>
        <v>0</v>
      </c>
      <c r="U1363" s="30">
        <f>IF($S1363="CONFIRMAR",MAX($U$4:$U1362)+1,"")</f>
        <v>0</v>
      </c>
      <c r="V1363" s="30">
        <f>IF(AND($R1363="Não",$Q1363&lt;&gt;"",$Q1363&lt;=Hoje+JanelaRet,$Q1363&gt;=Hoje-60),MAX($V$4:$V1362)+1,"")</f>
        <v>0</v>
      </c>
    </row>
    <row r="1364" spans="1:22">
      <c r="A1364" s="16"/>
      <c r="B1364" s="23"/>
      <c r="C1364" s="15"/>
      <c r="D1364" s="15"/>
      <c r="E1364" s="15"/>
      <c r="F1364" s="24"/>
      <c r="G1364" s="17"/>
      <c r="H1364" s="17"/>
      <c r="I1364" s="15"/>
      <c r="J1364" s="25">
        <f>IF($D1364="","",IFERROR(INDEX(PacNome,MATCH($D1364,PacCod,0)),"Paciente não cadastrado"))</f>
        <v>0</v>
      </c>
      <c r="K1364" s="26">
        <f>IF($D1364="","",IFERROR(INDEX(PacConv,MATCH($D1364,PacCod,0))&amp;"",""))</f>
        <v>0</v>
      </c>
      <c r="L1364" s="26">
        <f>IF($A1364="","",CHOOSE(WEEKDAY($A1364,2),"Seg","Ter","Qua","Qui","Sex","Sáb","Dom"))</f>
        <v>0</v>
      </c>
      <c r="M1364" s="27">
        <f>IF($E1364="","",IF($G1364&lt;&gt;"",$G1364,IFERROR(INDEX(ProcValor,MATCH($E1364,ProcNome,0)),0)))</f>
        <v>0</v>
      </c>
      <c r="N1364" s="27">
        <f>IF($M1364="","",IF($F1364="Compareceu",$M1364,0))</f>
        <v>0</v>
      </c>
      <c r="O1364" s="27">
        <f>IF($M1364="","",IF($F1364="Faltou",$M1364,0))</f>
        <v>0</v>
      </c>
      <c r="P1364" s="27">
        <f>IF($M1364="","",IF($F1364="Compareceu",MAX(0,$M1364-N($H1364)),0))</f>
        <v>0</v>
      </c>
      <c r="Q1364" s="19">
        <f>IF(AND($F1364="Compareceu",$E1364&lt;&gt;"",$A1364&lt;&gt;""),IF(IFERROR(INDEX(ProcRet,MATCH($E1364,ProcNome,0)),0)&gt;0,$A1364+INDEX(ProcRet,MATCH($E1364,ProcNome,0)),""),"")</f>
        <v>0</v>
      </c>
      <c r="R1364" s="26">
        <f>IF($Q1364="","",IF(COUNTIFS(AgPac,$D1364,AgData,"&gt;"&amp;$A1364,AgStatus,"&lt;&gt;Cancelado",AgStatus,"&lt;&gt;Remarcado")&gt;0,"Sim","Não"))</f>
        <v>0</v>
      </c>
      <c r="S1364" s="28">
        <f>IF($A1364="","",IF(AND($F1364="Agendado",$A1364-Hoje&gt;=0,$A1364-Hoje&lt;=DiasConf),"CONFIRMAR",IF(AND($A1364&lt;Hoje,OR($F1364="Agendado",$F1364="Confirmado")),"Atualizar status",IF(AND($F1364="Compareceu",$P1364&gt;0.005),"Cobrar",IF($F1364="Faltou","Falta: reagendar","")))))</f>
        <v>0</v>
      </c>
      <c r="T1364" s="29">
        <f>IF($A1364="","",DATE(YEAR($A1364),MONTH($A1364),1))</f>
        <v>0</v>
      </c>
      <c r="U1364" s="30">
        <f>IF($S1364="CONFIRMAR",MAX($U$4:$U1363)+1,"")</f>
        <v>0</v>
      </c>
      <c r="V1364" s="30">
        <f>IF(AND($R1364="Não",$Q1364&lt;&gt;"",$Q1364&lt;=Hoje+JanelaRet,$Q1364&gt;=Hoje-60),MAX($V$4:$V1363)+1,"")</f>
        <v>0</v>
      </c>
    </row>
    <row r="1365" spans="1:22">
      <c r="A1365" s="16"/>
      <c r="B1365" s="23"/>
      <c r="C1365" s="15"/>
      <c r="D1365" s="15"/>
      <c r="E1365" s="15"/>
      <c r="F1365" s="24"/>
      <c r="G1365" s="17"/>
      <c r="H1365" s="17"/>
      <c r="I1365" s="15"/>
      <c r="J1365" s="25">
        <f>IF($D1365="","",IFERROR(INDEX(PacNome,MATCH($D1365,PacCod,0)),"Paciente não cadastrado"))</f>
        <v>0</v>
      </c>
      <c r="K1365" s="26">
        <f>IF($D1365="","",IFERROR(INDEX(PacConv,MATCH($D1365,PacCod,0))&amp;"",""))</f>
        <v>0</v>
      </c>
      <c r="L1365" s="26">
        <f>IF($A1365="","",CHOOSE(WEEKDAY($A1365,2),"Seg","Ter","Qua","Qui","Sex","Sáb","Dom"))</f>
        <v>0</v>
      </c>
      <c r="M1365" s="27">
        <f>IF($E1365="","",IF($G1365&lt;&gt;"",$G1365,IFERROR(INDEX(ProcValor,MATCH($E1365,ProcNome,0)),0)))</f>
        <v>0</v>
      </c>
      <c r="N1365" s="27">
        <f>IF($M1365="","",IF($F1365="Compareceu",$M1365,0))</f>
        <v>0</v>
      </c>
      <c r="O1365" s="27">
        <f>IF($M1365="","",IF($F1365="Faltou",$M1365,0))</f>
        <v>0</v>
      </c>
      <c r="P1365" s="27">
        <f>IF($M1365="","",IF($F1365="Compareceu",MAX(0,$M1365-N($H1365)),0))</f>
        <v>0</v>
      </c>
      <c r="Q1365" s="19">
        <f>IF(AND($F1365="Compareceu",$E1365&lt;&gt;"",$A1365&lt;&gt;""),IF(IFERROR(INDEX(ProcRet,MATCH($E1365,ProcNome,0)),0)&gt;0,$A1365+INDEX(ProcRet,MATCH($E1365,ProcNome,0)),""),"")</f>
        <v>0</v>
      </c>
      <c r="R1365" s="26">
        <f>IF($Q1365="","",IF(COUNTIFS(AgPac,$D1365,AgData,"&gt;"&amp;$A1365,AgStatus,"&lt;&gt;Cancelado",AgStatus,"&lt;&gt;Remarcado")&gt;0,"Sim","Não"))</f>
        <v>0</v>
      </c>
      <c r="S1365" s="28">
        <f>IF($A1365="","",IF(AND($F1365="Agendado",$A1365-Hoje&gt;=0,$A1365-Hoje&lt;=DiasConf),"CONFIRMAR",IF(AND($A1365&lt;Hoje,OR($F1365="Agendado",$F1365="Confirmado")),"Atualizar status",IF(AND($F1365="Compareceu",$P1365&gt;0.005),"Cobrar",IF($F1365="Faltou","Falta: reagendar","")))))</f>
        <v>0</v>
      </c>
      <c r="T1365" s="29">
        <f>IF($A1365="","",DATE(YEAR($A1365),MONTH($A1365),1))</f>
        <v>0</v>
      </c>
      <c r="U1365" s="30">
        <f>IF($S1365="CONFIRMAR",MAX($U$4:$U1364)+1,"")</f>
        <v>0</v>
      </c>
      <c r="V1365" s="30">
        <f>IF(AND($R1365="Não",$Q1365&lt;&gt;"",$Q1365&lt;=Hoje+JanelaRet,$Q1365&gt;=Hoje-60),MAX($V$4:$V1364)+1,"")</f>
        <v>0</v>
      </c>
    </row>
    <row r="1366" spans="1:22">
      <c r="A1366" s="16"/>
      <c r="B1366" s="23"/>
      <c r="C1366" s="15"/>
      <c r="D1366" s="15"/>
      <c r="E1366" s="15"/>
      <c r="F1366" s="24"/>
      <c r="G1366" s="17"/>
      <c r="H1366" s="17"/>
      <c r="I1366" s="15"/>
      <c r="J1366" s="25">
        <f>IF($D1366="","",IFERROR(INDEX(PacNome,MATCH($D1366,PacCod,0)),"Paciente não cadastrado"))</f>
        <v>0</v>
      </c>
      <c r="K1366" s="26">
        <f>IF($D1366="","",IFERROR(INDEX(PacConv,MATCH($D1366,PacCod,0))&amp;"",""))</f>
        <v>0</v>
      </c>
      <c r="L1366" s="26">
        <f>IF($A1366="","",CHOOSE(WEEKDAY($A1366,2),"Seg","Ter","Qua","Qui","Sex","Sáb","Dom"))</f>
        <v>0</v>
      </c>
      <c r="M1366" s="27">
        <f>IF($E1366="","",IF($G1366&lt;&gt;"",$G1366,IFERROR(INDEX(ProcValor,MATCH($E1366,ProcNome,0)),0)))</f>
        <v>0</v>
      </c>
      <c r="N1366" s="27">
        <f>IF($M1366="","",IF($F1366="Compareceu",$M1366,0))</f>
        <v>0</v>
      </c>
      <c r="O1366" s="27">
        <f>IF($M1366="","",IF($F1366="Faltou",$M1366,0))</f>
        <v>0</v>
      </c>
      <c r="P1366" s="27">
        <f>IF($M1366="","",IF($F1366="Compareceu",MAX(0,$M1366-N($H1366)),0))</f>
        <v>0</v>
      </c>
      <c r="Q1366" s="19">
        <f>IF(AND($F1366="Compareceu",$E1366&lt;&gt;"",$A1366&lt;&gt;""),IF(IFERROR(INDEX(ProcRet,MATCH($E1366,ProcNome,0)),0)&gt;0,$A1366+INDEX(ProcRet,MATCH($E1366,ProcNome,0)),""),"")</f>
        <v>0</v>
      </c>
      <c r="R1366" s="26">
        <f>IF($Q1366="","",IF(COUNTIFS(AgPac,$D1366,AgData,"&gt;"&amp;$A1366,AgStatus,"&lt;&gt;Cancelado",AgStatus,"&lt;&gt;Remarcado")&gt;0,"Sim","Não"))</f>
        <v>0</v>
      </c>
      <c r="S1366" s="28">
        <f>IF($A1366="","",IF(AND($F1366="Agendado",$A1366-Hoje&gt;=0,$A1366-Hoje&lt;=DiasConf),"CONFIRMAR",IF(AND($A1366&lt;Hoje,OR($F1366="Agendado",$F1366="Confirmado")),"Atualizar status",IF(AND($F1366="Compareceu",$P1366&gt;0.005),"Cobrar",IF($F1366="Faltou","Falta: reagendar","")))))</f>
        <v>0</v>
      </c>
      <c r="T1366" s="29">
        <f>IF($A1366="","",DATE(YEAR($A1366),MONTH($A1366),1))</f>
        <v>0</v>
      </c>
      <c r="U1366" s="30">
        <f>IF($S1366="CONFIRMAR",MAX($U$4:$U1365)+1,"")</f>
        <v>0</v>
      </c>
      <c r="V1366" s="30">
        <f>IF(AND($R1366="Não",$Q1366&lt;&gt;"",$Q1366&lt;=Hoje+JanelaRet,$Q1366&gt;=Hoje-60),MAX($V$4:$V1365)+1,"")</f>
        <v>0</v>
      </c>
    </row>
    <row r="1367" spans="1:22">
      <c r="A1367" s="16"/>
      <c r="B1367" s="23"/>
      <c r="C1367" s="15"/>
      <c r="D1367" s="15"/>
      <c r="E1367" s="15"/>
      <c r="F1367" s="24"/>
      <c r="G1367" s="17"/>
      <c r="H1367" s="17"/>
      <c r="I1367" s="15"/>
      <c r="J1367" s="25">
        <f>IF($D1367="","",IFERROR(INDEX(PacNome,MATCH($D1367,PacCod,0)),"Paciente não cadastrado"))</f>
        <v>0</v>
      </c>
      <c r="K1367" s="26">
        <f>IF($D1367="","",IFERROR(INDEX(PacConv,MATCH($D1367,PacCod,0))&amp;"",""))</f>
        <v>0</v>
      </c>
      <c r="L1367" s="26">
        <f>IF($A1367="","",CHOOSE(WEEKDAY($A1367,2),"Seg","Ter","Qua","Qui","Sex","Sáb","Dom"))</f>
        <v>0</v>
      </c>
      <c r="M1367" s="27">
        <f>IF($E1367="","",IF($G1367&lt;&gt;"",$G1367,IFERROR(INDEX(ProcValor,MATCH($E1367,ProcNome,0)),0)))</f>
        <v>0</v>
      </c>
      <c r="N1367" s="27">
        <f>IF($M1367="","",IF($F1367="Compareceu",$M1367,0))</f>
        <v>0</v>
      </c>
      <c r="O1367" s="27">
        <f>IF($M1367="","",IF($F1367="Faltou",$M1367,0))</f>
        <v>0</v>
      </c>
      <c r="P1367" s="27">
        <f>IF($M1367="","",IF($F1367="Compareceu",MAX(0,$M1367-N($H1367)),0))</f>
        <v>0</v>
      </c>
      <c r="Q1367" s="19">
        <f>IF(AND($F1367="Compareceu",$E1367&lt;&gt;"",$A1367&lt;&gt;""),IF(IFERROR(INDEX(ProcRet,MATCH($E1367,ProcNome,0)),0)&gt;0,$A1367+INDEX(ProcRet,MATCH($E1367,ProcNome,0)),""),"")</f>
        <v>0</v>
      </c>
      <c r="R1367" s="26">
        <f>IF($Q1367="","",IF(COUNTIFS(AgPac,$D1367,AgData,"&gt;"&amp;$A1367,AgStatus,"&lt;&gt;Cancelado",AgStatus,"&lt;&gt;Remarcado")&gt;0,"Sim","Não"))</f>
        <v>0</v>
      </c>
      <c r="S1367" s="28">
        <f>IF($A1367="","",IF(AND($F1367="Agendado",$A1367-Hoje&gt;=0,$A1367-Hoje&lt;=DiasConf),"CONFIRMAR",IF(AND($A1367&lt;Hoje,OR($F1367="Agendado",$F1367="Confirmado")),"Atualizar status",IF(AND($F1367="Compareceu",$P1367&gt;0.005),"Cobrar",IF($F1367="Faltou","Falta: reagendar","")))))</f>
        <v>0</v>
      </c>
      <c r="T1367" s="29">
        <f>IF($A1367="","",DATE(YEAR($A1367),MONTH($A1367),1))</f>
        <v>0</v>
      </c>
      <c r="U1367" s="30">
        <f>IF($S1367="CONFIRMAR",MAX($U$4:$U1366)+1,"")</f>
        <v>0</v>
      </c>
      <c r="V1367" s="30">
        <f>IF(AND($R1367="Não",$Q1367&lt;&gt;"",$Q1367&lt;=Hoje+JanelaRet,$Q1367&gt;=Hoje-60),MAX($V$4:$V1366)+1,"")</f>
        <v>0</v>
      </c>
    </row>
    <row r="1368" spans="1:22">
      <c r="A1368" s="16"/>
      <c r="B1368" s="23"/>
      <c r="C1368" s="15"/>
      <c r="D1368" s="15"/>
      <c r="E1368" s="15"/>
      <c r="F1368" s="24"/>
      <c r="G1368" s="17"/>
      <c r="H1368" s="17"/>
      <c r="I1368" s="15"/>
      <c r="J1368" s="25">
        <f>IF($D1368="","",IFERROR(INDEX(PacNome,MATCH($D1368,PacCod,0)),"Paciente não cadastrado"))</f>
        <v>0</v>
      </c>
      <c r="K1368" s="26">
        <f>IF($D1368="","",IFERROR(INDEX(PacConv,MATCH($D1368,PacCod,0))&amp;"",""))</f>
        <v>0</v>
      </c>
      <c r="L1368" s="26">
        <f>IF($A1368="","",CHOOSE(WEEKDAY($A1368,2),"Seg","Ter","Qua","Qui","Sex","Sáb","Dom"))</f>
        <v>0</v>
      </c>
      <c r="M1368" s="27">
        <f>IF($E1368="","",IF($G1368&lt;&gt;"",$G1368,IFERROR(INDEX(ProcValor,MATCH($E1368,ProcNome,0)),0)))</f>
        <v>0</v>
      </c>
      <c r="N1368" s="27">
        <f>IF($M1368="","",IF($F1368="Compareceu",$M1368,0))</f>
        <v>0</v>
      </c>
      <c r="O1368" s="27">
        <f>IF($M1368="","",IF($F1368="Faltou",$M1368,0))</f>
        <v>0</v>
      </c>
      <c r="P1368" s="27">
        <f>IF($M1368="","",IF($F1368="Compareceu",MAX(0,$M1368-N($H1368)),0))</f>
        <v>0</v>
      </c>
      <c r="Q1368" s="19">
        <f>IF(AND($F1368="Compareceu",$E1368&lt;&gt;"",$A1368&lt;&gt;""),IF(IFERROR(INDEX(ProcRet,MATCH($E1368,ProcNome,0)),0)&gt;0,$A1368+INDEX(ProcRet,MATCH($E1368,ProcNome,0)),""),"")</f>
        <v>0</v>
      </c>
      <c r="R1368" s="26">
        <f>IF($Q1368="","",IF(COUNTIFS(AgPac,$D1368,AgData,"&gt;"&amp;$A1368,AgStatus,"&lt;&gt;Cancelado",AgStatus,"&lt;&gt;Remarcado")&gt;0,"Sim","Não"))</f>
        <v>0</v>
      </c>
      <c r="S1368" s="28">
        <f>IF($A1368="","",IF(AND($F1368="Agendado",$A1368-Hoje&gt;=0,$A1368-Hoje&lt;=DiasConf),"CONFIRMAR",IF(AND($A1368&lt;Hoje,OR($F1368="Agendado",$F1368="Confirmado")),"Atualizar status",IF(AND($F1368="Compareceu",$P1368&gt;0.005),"Cobrar",IF($F1368="Faltou","Falta: reagendar","")))))</f>
        <v>0</v>
      </c>
      <c r="T1368" s="29">
        <f>IF($A1368="","",DATE(YEAR($A1368),MONTH($A1368),1))</f>
        <v>0</v>
      </c>
      <c r="U1368" s="30">
        <f>IF($S1368="CONFIRMAR",MAX($U$4:$U1367)+1,"")</f>
        <v>0</v>
      </c>
      <c r="V1368" s="30">
        <f>IF(AND($R1368="Não",$Q1368&lt;&gt;"",$Q1368&lt;=Hoje+JanelaRet,$Q1368&gt;=Hoje-60),MAX($V$4:$V1367)+1,"")</f>
        <v>0</v>
      </c>
    </row>
    <row r="1369" spans="1:22">
      <c r="A1369" s="16"/>
      <c r="B1369" s="23"/>
      <c r="C1369" s="15"/>
      <c r="D1369" s="15"/>
      <c r="E1369" s="15"/>
      <c r="F1369" s="24"/>
      <c r="G1369" s="17"/>
      <c r="H1369" s="17"/>
      <c r="I1369" s="15"/>
      <c r="J1369" s="25">
        <f>IF($D1369="","",IFERROR(INDEX(PacNome,MATCH($D1369,PacCod,0)),"Paciente não cadastrado"))</f>
        <v>0</v>
      </c>
      <c r="K1369" s="26">
        <f>IF($D1369="","",IFERROR(INDEX(PacConv,MATCH($D1369,PacCod,0))&amp;"",""))</f>
        <v>0</v>
      </c>
      <c r="L1369" s="26">
        <f>IF($A1369="","",CHOOSE(WEEKDAY($A1369,2),"Seg","Ter","Qua","Qui","Sex","Sáb","Dom"))</f>
        <v>0</v>
      </c>
      <c r="M1369" s="27">
        <f>IF($E1369="","",IF($G1369&lt;&gt;"",$G1369,IFERROR(INDEX(ProcValor,MATCH($E1369,ProcNome,0)),0)))</f>
        <v>0</v>
      </c>
      <c r="N1369" s="27">
        <f>IF($M1369="","",IF($F1369="Compareceu",$M1369,0))</f>
        <v>0</v>
      </c>
      <c r="O1369" s="27">
        <f>IF($M1369="","",IF($F1369="Faltou",$M1369,0))</f>
        <v>0</v>
      </c>
      <c r="P1369" s="27">
        <f>IF($M1369="","",IF($F1369="Compareceu",MAX(0,$M1369-N($H1369)),0))</f>
        <v>0</v>
      </c>
      <c r="Q1369" s="19">
        <f>IF(AND($F1369="Compareceu",$E1369&lt;&gt;"",$A1369&lt;&gt;""),IF(IFERROR(INDEX(ProcRet,MATCH($E1369,ProcNome,0)),0)&gt;0,$A1369+INDEX(ProcRet,MATCH($E1369,ProcNome,0)),""),"")</f>
        <v>0</v>
      </c>
      <c r="R1369" s="26">
        <f>IF($Q1369="","",IF(COUNTIFS(AgPac,$D1369,AgData,"&gt;"&amp;$A1369,AgStatus,"&lt;&gt;Cancelado",AgStatus,"&lt;&gt;Remarcado")&gt;0,"Sim","Não"))</f>
        <v>0</v>
      </c>
      <c r="S1369" s="28">
        <f>IF($A1369="","",IF(AND($F1369="Agendado",$A1369-Hoje&gt;=0,$A1369-Hoje&lt;=DiasConf),"CONFIRMAR",IF(AND($A1369&lt;Hoje,OR($F1369="Agendado",$F1369="Confirmado")),"Atualizar status",IF(AND($F1369="Compareceu",$P1369&gt;0.005),"Cobrar",IF($F1369="Faltou","Falta: reagendar","")))))</f>
        <v>0</v>
      </c>
      <c r="T1369" s="29">
        <f>IF($A1369="","",DATE(YEAR($A1369),MONTH($A1369),1))</f>
        <v>0</v>
      </c>
      <c r="U1369" s="30">
        <f>IF($S1369="CONFIRMAR",MAX($U$4:$U1368)+1,"")</f>
        <v>0</v>
      </c>
      <c r="V1369" s="30">
        <f>IF(AND($R1369="Não",$Q1369&lt;&gt;"",$Q1369&lt;=Hoje+JanelaRet,$Q1369&gt;=Hoje-60),MAX($V$4:$V1368)+1,"")</f>
        <v>0</v>
      </c>
    </row>
    <row r="1370" spans="1:22">
      <c r="A1370" s="16"/>
      <c r="B1370" s="23"/>
      <c r="C1370" s="15"/>
      <c r="D1370" s="15"/>
      <c r="E1370" s="15"/>
      <c r="F1370" s="24"/>
      <c r="G1370" s="17"/>
      <c r="H1370" s="17"/>
      <c r="I1370" s="15"/>
      <c r="J1370" s="25">
        <f>IF($D1370="","",IFERROR(INDEX(PacNome,MATCH($D1370,PacCod,0)),"Paciente não cadastrado"))</f>
        <v>0</v>
      </c>
      <c r="K1370" s="26">
        <f>IF($D1370="","",IFERROR(INDEX(PacConv,MATCH($D1370,PacCod,0))&amp;"",""))</f>
        <v>0</v>
      </c>
      <c r="L1370" s="26">
        <f>IF($A1370="","",CHOOSE(WEEKDAY($A1370,2),"Seg","Ter","Qua","Qui","Sex","Sáb","Dom"))</f>
        <v>0</v>
      </c>
      <c r="M1370" s="27">
        <f>IF($E1370="","",IF($G1370&lt;&gt;"",$G1370,IFERROR(INDEX(ProcValor,MATCH($E1370,ProcNome,0)),0)))</f>
        <v>0</v>
      </c>
      <c r="N1370" s="27">
        <f>IF($M1370="","",IF($F1370="Compareceu",$M1370,0))</f>
        <v>0</v>
      </c>
      <c r="O1370" s="27">
        <f>IF($M1370="","",IF($F1370="Faltou",$M1370,0))</f>
        <v>0</v>
      </c>
      <c r="P1370" s="27">
        <f>IF($M1370="","",IF($F1370="Compareceu",MAX(0,$M1370-N($H1370)),0))</f>
        <v>0</v>
      </c>
      <c r="Q1370" s="19">
        <f>IF(AND($F1370="Compareceu",$E1370&lt;&gt;"",$A1370&lt;&gt;""),IF(IFERROR(INDEX(ProcRet,MATCH($E1370,ProcNome,0)),0)&gt;0,$A1370+INDEX(ProcRet,MATCH($E1370,ProcNome,0)),""),"")</f>
        <v>0</v>
      </c>
      <c r="R1370" s="26">
        <f>IF($Q1370="","",IF(COUNTIFS(AgPac,$D1370,AgData,"&gt;"&amp;$A1370,AgStatus,"&lt;&gt;Cancelado",AgStatus,"&lt;&gt;Remarcado")&gt;0,"Sim","Não"))</f>
        <v>0</v>
      </c>
      <c r="S1370" s="28">
        <f>IF($A1370="","",IF(AND($F1370="Agendado",$A1370-Hoje&gt;=0,$A1370-Hoje&lt;=DiasConf),"CONFIRMAR",IF(AND($A1370&lt;Hoje,OR($F1370="Agendado",$F1370="Confirmado")),"Atualizar status",IF(AND($F1370="Compareceu",$P1370&gt;0.005),"Cobrar",IF($F1370="Faltou","Falta: reagendar","")))))</f>
        <v>0</v>
      </c>
      <c r="T1370" s="29">
        <f>IF($A1370="","",DATE(YEAR($A1370),MONTH($A1370),1))</f>
        <v>0</v>
      </c>
      <c r="U1370" s="30">
        <f>IF($S1370="CONFIRMAR",MAX($U$4:$U1369)+1,"")</f>
        <v>0</v>
      </c>
      <c r="V1370" s="30">
        <f>IF(AND($R1370="Não",$Q1370&lt;&gt;"",$Q1370&lt;=Hoje+JanelaRet,$Q1370&gt;=Hoje-60),MAX($V$4:$V1369)+1,"")</f>
        <v>0</v>
      </c>
    </row>
    <row r="1371" spans="1:22">
      <c r="A1371" s="16"/>
      <c r="B1371" s="23"/>
      <c r="C1371" s="15"/>
      <c r="D1371" s="15"/>
      <c r="E1371" s="15"/>
      <c r="F1371" s="24"/>
      <c r="G1371" s="17"/>
      <c r="H1371" s="17"/>
      <c r="I1371" s="15"/>
      <c r="J1371" s="25">
        <f>IF($D1371="","",IFERROR(INDEX(PacNome,MATCH($D1371,PacCod,0)),"Paciente não cadastrado"))</f>
        <v>0</v>
      </c>
      <c r="K1371" s="26">
        <f>IF($D1371="","",IFERROR(INDEX(PacConv,MATCH($D1371,PacCod,0))&amp;"",""))</f>
        <v>0</v>
      </c>
      <c r="L1371" s="26">
        <f>IF($A1371="","",CHOOSE(WEEKDAY($A1371,2),"Seg","Ter","Qua","Qui","Sex","Sáb","Dom"))</f>
        <v>0</v>
      </c>
      <c r="M1371" s="27">
        <f>IF($E1371="","",IF($G1371&lt;&gt;"",$G1371,IFERROR(INDEX(ProcValor,MATCH($E1371,ProcNome,0)),0)))</f>
        <v>0</v>
      </c>
      <c r="N1371" s="27">
        <f>IF($M1371="","",IF($F1371="Compareceu",$M1371,0))</f>
        <v>0</v>
      </c>
      <c r="O1371" s="27">
        <f>IF($M1371="","",IF($F1371="Faltou",$M1371,0))</f>
        <v>0</v>
      </c>
      <c r="P1371" s="27">
        <f>IF($M1371="","",IF($F1371="Compareceu",MAX(0,$M1371-N($H1371)),0))</f>
        <v>0</v>
      </c>
      <c r="Q1371" s="19">
        <f>IF(AND($F1371="Compareceu",$E1371&lt;&gt;"",$A1371&lt;&gt;""),IF(IFERROR(INDEX(ProcRet,MATCH($E1371,ProcNome,0)),0)&gt;0,$A1371+INDEX(ProcRet,MATCH($E1371,ProcNome,0)),""),"")</f>
        <v>0</v>
      </c>
      <c r="R1371" s="26">
        <f>IF($Q1371="","",IF(COUNTIFS(AgPac,$D1371,AgData,"&gt;"&amp;$A1371,AgStatus,"&lt;&gt;Cancelado",AgStatus,"&lt;&gt;Remarcado")&gt;0,"Sim","Não"))</f>
        <v>0</v>
      </c>
      <c r="S1371" s="28">
        <f>IF($A1371="","",IF(AND($F1371="Agendado",$A1371-Hoje&gt;=0,$A1371-Hoje&lt;=DiasConf),"CONFIRMAR",IF(AND($A1371&lt;Hoje,OR($F1371="Agendado",$F1371="Confirmado")),"Atualizar status",IF(AND($F1371="Compareceu",$P1371&gt;0.005),"Cobrar",IF($F1371="Faltou","Falta: reagendar","")))))</f>
        <v>0</v>
      </c>
      <c r="T1371" s="29">
        <f>IF($A1371="","",DATE(YEAR($A1371),MONTH($A1371),1))</f>
        <v>0</v>
      </c>
      <c r="U1371" s="30">
        <f>IF($S1371="CONFIRMAR",MAX($U$4:$U1370)+1,"")</f>
        <v>0</v>
      </c>
      <c r="V1371" s="30">
        <f>IF(AND($R1371="Não",$Q1371&lt;&gt;"",$Q1371&lt;=Hoje+JanelaRet,$Q1371&gt;=Hoje-60),MAX($V$4:$V1370)+1,"")</f>
        <v>0</v>
      </c>
    </row>
    <row r="1372" spans="1:22">
      <c r="A1372" s="16"/>
      <c r="B1372" s="23"/>
      <c r="C1372" s="15"/>
      <c r="D1372" s="15"/>
      <c r="E1372" s="15"/>
      <c r="F1372" s="24"/>
      <c r="G1372" s="17"/>
      <c r="H1372" s="17"/>
      <c r="I1372" s="15"/>
      <c r="J1372" s="25">
        <f>IF($D1372="","",IFERROR(INDEX(PacNome,MATCH($D1372,PacCod,0)),"Paciente não cadastrado"))</f>
        <v>0</v>
      </c>
      <c r="K1372" s="26">
        <f>IF($D1372="","",IFERROR(INDEX(PacConv,MATCH($D1372,PacCod,0))&amp;"",""))</f>
        <v>0</v>
      </c>
      <c r="L1372" s="26">
        <f>IF($A1372="","",CHOOSE(WEEKDAY($A1372,2),"Seg","Ter","Qua","Qui","Sex","Sáb","Dom"))</f>
        <v>0</v>
      </c>
      <c r="M1372" s="27">
        <f>IF($E1372="","",IF($G1372&lt;&gt;"",$G1372,IFERROR(INDEX(ProcValor,MATCH($E1372,ProcNome,0)),0)))</f>
        <v>0</v>
      </c>
      <c r="N1372" s="27">
        <f>IF($M1372="","",IF($F1372="Compareceu",$M1372,0))</f>
        <v>0</v>
      </c>
      <c r="O1372" s="27">
        <f>IF($M1372="","",IF($F1372="Faltou",$M1372,0))</f>
        <v>0</v>
      </c>
      <c r="P1372" s="27">
        <f>IF($M1372="","",IF($F1372="Compareceu",MAX(0,$M1372-N($H1372)),0))</f>
        <v>0</v>
      </c>
      <c r="Q1372" s="19">
        <f>IF(AND($F1372="Compareceu",$E1372&lt;&gt;"",$A1372&lt;&gt;""),IF(IFERROR(INDEX(ProcRet,MATCH($E1372,ProcNome,0)),0)&gt;0,$A1372+INDEX(ProcRet,MATCH($E1372,ProcNome,0)),""),"")</f>
        <v>0</v>
      </c>
      <c r="R1372" s="26">
        <f>IF($Q1372="","",IF(COUNTIFS(AgPac,$D1372,AgData,"&gt;"&amp;$A1372,AgStatus,"&lt;&gt;Cancelado",AgStatus,"&lt;&gt;Remarcado")&gt;0,"Sim","Não"))</f>
        <v>0</v>
      </c>
      <c r="S1372" s="28">
        <f>IF($A1372="","",IF(AND($F1372="Agendado",$A1372-Hoje&gt;=0,$A1372-Hoje&lt;=DiasConf),"CONFIRMAR",IF(AND($A1372&lt;Hoje,OR($F1372="Agendado",$F1372="Confirmado")),"Atualizar status",IF(AND($F1372="Compareceu",$P1372&gt;0.005),"Cobrar",IF($F1372="Faltou","Falta: reagendar","")))))</f>
        <v>0</v>
      </c>
      <c r="T1372" s="29">
        <f>IF($A1372="","",DATE(YEAR($A1372),MONTH($A1372),1))</f>
        <v>0</v>
      </c>
      <c r="U1372" s="30">
        <f>IF($S1372="CONFIRMAR",MAX($U$4:$U1371)+1,"")</f>
        <v>0</v>
      </c>
      <c r="V1372" s="30">
        <f>IF(AND($R1372="Não",$Q1372&lt;&gt;"",$Q1372&lt;=Hoje+JanelaRet,$Q1372&gt;=Hoje-60),MAX($V$4:$V1371)+1,"")</f>
        <v>0</v>
      </c>
    </row>
    <row r="1373" spans="1:22">
      <c r="A1373" s="16"/>
      <c r="B1373" s="23"/>
      <c r="C1373" s="15"/>
      <c r="D1373" s="15"/>
      <c r="E1373" s="15"/>
      <c r="F1373" s="24"/>
      <c r="G1373" s="17"/>
      <c r="H1373" s="17"/>
      <c r="I1373" s="15"/>
      <c r="J1373" s="25">
        <f>IF($D1373="","",IFERROR(INDEX(PacNome,MATCH($D1373,PacCod,0)),"Paciente não cadastrado"))</f>
        <v>0</v>
      </c>
      <c r="K1373" s="26">
        <f>IF($D1373="","",IFERROR(INDEX(PacConv,MATCH($D1373,PacCod,0))&amp;"",""))</f>
        <v>0</v>
      </c>
      <c r="L1373" s="26">
        <f>IF($A1373="","",CHOOSE(WEEKDAY($A1373,2),"Seg","Ter","Qua","Qui","Sex","Sáb","Dom"))</f>
        <v>0</v>
      </c>
      <c r="M1373" s="27">
        <f>IF($E1373="","",IF($G1373&lt;&gt;"",$G1373,IFERROR(INDEX(ProcValor,MATCH($E1373,ProcNome,0)),0)))</f>
        <v>0</v>
      </c>
      <c r="N1373" s="27">
        <f>IF($M1373="","",IF($F1373="Compareceu",$M1373,0))</f>
        <v>0</v>
      </c>
      <c r="O1373" s="27">
        <f>IF($M1373="","",IF($F1373="Faltou",$M1373,0))</f>
        <v>0</v>
      </c>
      <c r="P1373" s="27">
        <f>IF($M1373="","",IF($F1373="Compareceu",MAX(0,$M1373-N($H1373)),0))</f>
        <v>0</v>
      </c>
      <c r="Q1373" s="19">
        <f>IF(AND($F1373="Compareceu",$E1373&lt;&gt;"",$A1373&lt;&gt;""),IF(IFERROR(INDEX(ProcRet,MATCH($E1373,ProcNome,0)),0)&gt;0,$A1373+INDEX(ProcRet,MATCH($E1373,ProcNome,0)),""),"")</f>
        <v>0</v>
      </c>
      <c r="R1373" s="26">
        <f>IF($Q1373="","",IF(COUNTIFS(AgPac,$D1373,AgData,"&gt;"&amp;$A1373,AgStatus,"&lt;&gt;Cancelado",AgStatus,"&lt;&gt;Remarcado")&gt;0,"Sim","Não"))</f>
        <v>0</v>
      </c>
      <c r="S1373" s="28">
        <f>IF($A1373="","",IF(AND($F1373="Agendado",$A1373-Hoje&gt;=0,$A1373-Hoje&lt;=DiasConf),"CONFIRMAR",IF(AND($A1373&lt;Hoje,OR($F1373="Agendado",$F1373="Confirmado")),"Atualizar status",IF(AND($F1373="Compareceu",$P1373&gt;0.005),"Cobrar",IF($F1373="Faltou","Falta: reagendar","")))))</f>
        <v>0</v>
      </c>
      <c r="T1373" s="29">
        <f>IF($A1373="","",DATE(YEAR($A1373),MONTH($A1373),1))</f>
        <v>0</v>
      </c>
      <c r="U1373" s="30">
        <f>IF($S1373="CONFIRMAR",MAX($U$4:$U1372)+1,"")</f>
        <v>0</v>
      </c>
      <c r="V1373" s="30">
        <f>IF(AND($R1373="Não",$Q1373&lt;&gt;"",$Q1373&lt;=Hoje+JanelaRet,$Q1373&gt;=Hoje-60),MAX($V$4:$V1372)+1,"")</f>
        <v>0</v>
      </c>
    </row>
    <row r="1374" spans="1:22">
      <c r="A1374" s="16"/>
      <c r="B1374" s="23"/>
      <c r="C1374" s="15"/>
      <c r="D1374" s="15"/>
      <c r="E1374" s="15"/>
      <c r="F1374" s="24"/>
      <c r="G1374" s="17"/>
      <c r="H1374" s="17"/>
      <c r="I1374" s="15"/>
      <c r="J1374" s="25">
        <f>IF($D1374="","",IFERROR(INDEX(PacNome,MATCH($D1374,PacCod,0)),"Paciente não cadastrado"))</f>
        <v>0</v>
      </c>
      <c r="K1374" s="26">
        <f>IF($D1374="","",IFERROR(INDEX(PacConv,MATCH($D1374,PacCod,0))&amp;"",""))</f>
        <v>0</v>
      </c>
      <c r="L1374" s="26">
        <f>IF($A1374="","",CHOOSE(WEEKDAY($A1374,2),"Seg","Ter","Qua","Qui","Sex","Sáb","Dom"))</f>
        <v>0</v>
      </c>
      <c r="M1374" s="27">
        <f>IF($E1374="","",IF($G1374&lt;&gt;"",$G1374,IFERROR(INDEX(ProcValor,MATCH($E1374,ProcNome,0)),0)))</f>
        <v>0</v>
      </c>
      <c r="N1374" s="27">
        <f>IF($M1374="","",IF($F1374="Compareceu",$M1374,0))</f>
        <v>0</v>
      </c>
      <c r="O1374" s="27">
        <f>IF($M1374="","",IF($F1374="Faltou",$M1374,0))</f>
        <v>0</v>
      </c>
      <c r="P1374" s="27">
        <f>IF($M1374="","",IF($F1374="Compareceu",MAX(0,$M1374-N($H1374)),0))</f>
        <v>0</v>
      </c>
      <c r="Q1374" s="19">
        <f>IF(AND($F1374="Compareceu",$E1374&lt;&gt;"",$A1374&lt;&gt;""),IF(IFERROR(INDEX(ProcRet,MATCH($E1374,ProcNome,0)),0)&gt;0,$A1374+INDEX(ProcRet,MATCH($E1374,ProcNome,0)),""),"")</f>
        <v>0</v>
      </c>
      <c r="R1374" s="26">
        <f>IF($Q1374="","",IF(COUNTIFS(AgPac,$D1374,AgData,"&gt;"&amp;$A1374,AgStatus,"&lt;&gt;Cancelado",AgStatus,"&lt;&gt;Remarcado")&gt;0,"Sim","Não"))</f>
        <v>0</v>
      </c>
      <c r="S1374" s="28">
        <f>IF($A1374="","",IF(AND($F1374="Agendado",$A1374-Hoje&gt;=0,$A1374-Hoje&lt;=DiasConf),"CONFIRMAR",IF(AND($A1374&lt;Hoje,OR($F1374="Agendado",$F1374="Confirmado")),"Atualizar status",IF(AND($F1374="Compareceu",$P1374&gt;0.005),"Cobrar",IF($F1374="Faltou","Falta: reagendar","")))))</f>
        <v>0</v>
      </c>
      <c r="T1374" s="29">
        <f>IF($A1374="","",DATE(YEAR($A1374),MONTH($A1374),1))</f>
        <v>0</v>
      </c>
      <c r="U1374" s="30">
        <f>IF($S1374="CONFIRMAR",MAX($U$4:$U1373)+1,"")</f>
        <v>0</v>
      </c>
      <c r="V1374" s="30">
        <f>IF(AND($R1374="Não",$Q1374&lt;&gt;"",$Q1374&lt;=Hoje+JanelaRet,$Q1374&gt;=Hoje-60),MAX($V$4:$V1373)+1,"")</f>
        <v>0</v>
      </c>
    </row>
    <row r="1375" spans="1:22">
      <c r="A1375" s="16"/>
      <c r="B1375" s="23"/>
      <c r="C1375" s="15"/>
      <c r="D1375" s="15"/>
      <c r="E1375" s="15"/>
      <c r="F1375" s="24"/>
      <c r="G1375" s="17"/>
      <c r="H1375" s="17"/>
      <c r="I1375" s="15"/>
      <c r="J1375" s="25">
        <f>IF($D1375="","",IFERROR(INDEX(PacNome,MATCH($D1375,PacCod,0)),"Paciente não cadastrado"))</f>
        <v>0</v>
      </c>
      <c r="K1375" s="26">
        <f>IF($D1375="","",IFERROR(INDEX(PacConv,MATCH($D1375,PacCod,0))&amp;"",""))</f>
        <v>0</v>
      </c>
      <c r="L1375" s="26">
        <f>IF($A1375="","",CHOOSE(WEEKDAY($A1375,2),"Seg","Ter","Qua","Qui","Sex","Sáb","Dom"))</f>
        <v>0</v>
      </c>
      <c r="M1375" s="27">
        <f>IF($E1375="","",IF($G1375&lt;&gt;"",$G1375,IFERROR(INDEX(ProcValor,MATCH($E1375,ProcNome,0)),0)))</f>
        <v>0</v>
      </c>
      <c r="N1375" s="27">
        <f>IF($M1375="","",IF($F1375="Compareceu",$M1375,0))</f>
        <v>0</v>
      </c>
      <c r="O1375" s="27">
        <f>IF($M1375="","",IF($F1375="Faltou",$M1375,0))</f>
        <v>0</v>
      </c>
      <c r="P1375" s="27">
        <f>IF($M1375="","",IF($F1375="Compareceu",MAX(0,$M1375-N($H1375)),0))</f>
        <v>0</v>
      </c>
      <c r="Q1375" s="19">
        <f>IF(AND($F1375="Compareceu",$E1375&lt;&gt;"",$A1375&lt;&gt;""),IF(IFERROR(INDEX(ProcRet,MATCH($E1375,ProcNome,0)),0)&gt;0,$A1375+INDEX(ProcRet,MATCH($E1375,ProcNome,0)),""),"")</f>
        <v>0</v>
      </c>
      <c r="R1375" s="26">
        <f>IF($Q1375="","",IF(COUNTIFS(AgPac,$D1375,AgData,"&gt;"&amp;$A1375,AgStatus,"&lt;&gt;Cancelado",AgStatus,"&lt;&gt;Remarcado")&gt;0,"Sim","Não"))</f>
        <v>0</v>
      </c>
      <c r="S1375" s="28">
        <f>IF($A1375="","",IF(AND($F1375="Agendado",$A1375-Hoje&gt;=0,$A1375-Hoje&lt;=DiasConf),"CONFIRMAR",IF(AND($A1375&lt;Hoje,OR($F1375="Agendado",$F1375="Confirmado")),"Atualizar status",IF(AND($F1375="Compareceu",$P1375&gt;0.005),"Cobrar",IF($F1375="Faltou","Falta: reagendar","")))))</f>
        <v>0</v>
      </c>
      <c r="T1375" s="29">
        <f>IF($A1375="","",DATE(YEAR($A1375),MONTH($A1375),1))</f>
        <v>0</v>
      </c>
      <c r="U1375" s="30">
        <f>IF($S1375="CONFIRMAR",MAX($U$4:$U1374)+1,"")</f>
        <v>0</v>
      </c>
      <c r="V1375" s="30">
        <f>IF(AND($R1375="Não",$Q1375&lt;&gt;"",$Q1375&lt;=Hoje+JanelaRet,$Q1375&gt;=Hoje-60),MAX($V$4:$V1374)+1,"")</f>
        <v>0</v>
      </c>
    </row>
    <row r="1376" spans="1:22">
      <c r="A1376" s="16"/>
      <c r="B1376" s="23"/>
      <c r="C1376" s="15"/>
      <c r="D1376" s="15"/>
      <c r="E1376" s="15"/>
      <c r="F1376" s="24"/>
      <c r="G1376" s="17"/>
      <c r="H1376" s="17"/>
      <c r="I1376" s="15"/>
      <c r="J1376" s="25">
        <f>IF($D1376="","",IFERROR(INDEX(PacNome,MATCH($D1376,PacCod,0)),"Paciente não cadastrado"))</f>
        <v>0</v>
      </c>
      <c r="K1376" s="26">
        <f>IF($D1376="","",IFERROR(INDEX(PacConv,MATCH($D1376,PacCod,0))&amp;"",""))</f>
        <v>0</v>
      </c>
      <c r="L1376" s="26">
        <f>IF($A1376="","",CHOOSE(WEEKDAY($A1376,2),"Seg","Ter","Qua","Qui","Sex","Sáb","Dom"))</f>
        <v>0</v>
      </c>
      <c r="M1376" s="27">
        <f>IF($E1376="","",IF($G1376&lt;&gt;"",$G1376,IFERROR(INDEX(ProcValor,MATCH($E1376,ProcNome,0)),0)))</f>
        <v>0</v>
      </c>
      <c r="N1376" s="27">
        <f>IF($M1376="","",IF($F1376="Compareceu",$M1376,0))</f>
        <v>0</v>
      </c>
      <c r="O1376" s="27">
        <f>IF($M1376="","",IF($F1376="Faltou",$M1376,0))</f>
        <v>0</v>
      </c>
      <c r="P1376" s="27">
        <f>IF($M1376="","",IF($F1376="Compareceu",MAX(0,$M1376-N($H1376)),0))</f>
        <v>0</v>
      </c>
      <c r="Q1376" s="19">
        <f>IF(AND($F1376="Compareceu",$E1376&lt;&gt;"",$A1376&lt;&gt;""),IF(IFERROR(INDEX(ProcRet,MATCH($E1376,ProcNome,0)),0)&gt;0,$A1376+INDEX(ProcRet,MATCH($E1376,ProcNome,0)),""),"")</f>
        <v>0</v>
      </c>
      <c r="R1376" s="26">
        <f>IF($Q1376="","",IF(COUNTIFS(AgPac,$D1376,AgData,"&gt;"&amp;$A1376,AgStatus,"&lt;&gt;Cancelado",AgStatus,"&lt;&gt;Remarcado")&gt;0,"Sim","Não"))</f>
        <v>0</v>
      </c>
      <c r="S1376" s="28">
        <f>IF($A1376="","",IF(AND($F1376="Agendado",$A1376-Hoje&gt;=0,$A1376-Hoje&lt;=DiasConf),"CONFIRMAR",IF(AND($A1376&lt;Hoje,OR($F1376="Agendado",$F1376="Confirmado")),"Atualizar status",IF(AND($F1376="Compareceu",$P1376&gt;0.005),"Cobrar",IF($F1376="Faltou","Falta: reagendar","")))))</f>
        <v>0</v>
      </c>
      <c r="T1376" s="29">
        <f>IF($A1376="","",DATE(YEAR($A1376),MONTH($A1376),1))</f>
        <v>0</v>
      </c>
      <c r="U1376" s="30">
        <f>IF($S1376="CONFIRMAR",MAX($U$4:$U1375)+1,"")</f>
        <v>0</v>
      </c>
      <c r="V1376" s="30">
        <f>IF(AND($R1376="Não",$Q1376&lt;&gt;"",$Q1376&lt;=Hoje+JanelaRet,$Q1376&gt;=Hoje-60),MAX($V$4:$V1375)+1,"")</f>
        <v>0</v>
      </c>
    </row>
    <row r="1377" spans="1:22">
      <c r="A1377" s="16"/>
      <c r="B1377" s="23"/>
      <c r="C1377" s="15"/>
      <c r="D1377" s="15"/>
      <c r="E1377" s="15"/>
      <c r="F1377" s="24"/>
      <c r="G1377" s="17"/>
      <c r="H1377" s="17"/>
      <c r="I1377" s="15"/>
      <c r="J1377" s="25">
        <f>IF($D1377="","",IFERROR(INDEX(PacNome,MATCH($D1377,PacCod,0)),"Paciente não cadastrado"))</f>
        <v>0</v>
      </c>
      <c r="K1377" s="26">
        <f>IF($D1377="","",IFERROR(INDEX(PacConv,MATCH($D1377,PacCod,0))&amp;"",""))</f>
        <v>0</v>
      </c>
      <c r="L1377" s="26">
        <f>IF($A1377="","",CHOOSE(WEEKDAY($A1377,2),"Seg","Ter","Qua","Qui","Sex","Sáb","Dom"))</f>
        <v>0</v>
      </c>
      <c r="M1377" s="27">
        <f>IF($E1377="","",IF($G1377&lt;&gt;"",$G1377,IFERROR(INDEX(ProcValor,MATCH($E1377,ProcNome,0)),0)))</f>
        <v>0</v>
      </c>
      <c r="N1377" s="27">
        <f>IF($M1377="","",IF($F1377="Compareceu",$M1377,0))</f>
        <v>0</v>
      </c>
      <c r="O1377" s="27">
        <f>IF($M1377="","",IF($F1377="Faltou",$M1377,0))</f>
        <v>0</v>
      </c>
      <c r="P1377" s="27">
        <f>IF($M1377="","",IF($F1377="Compareceu",MAX(0,$M1377-N($H1377)),0))</f>
        <v>0</v>
      </c>
      <c r="Q1377" s="19">
        <f>IF(AND($F1377="Compareceu",$E1377&lt;&gt;"",$A1377&lt;&gt;""),IF(IFERROR(INDEX(ProcRet,MATCH($E1377,ProcNome,0)),0)&gt;0,$A1377+INDEX(ProcRet,MATCH($E1377,ProcNome,0)),""),"")</f>
        <v>0</v>
      </c>
      <c r="R1377" s="26">
        <f>IF($Q1377="","",IF(COUNTIFS(AgPac,$D1377,AgData,"&gt;"&amp;$A1377,AgStatus,"&lt;&gt;Cancelado",AgStatus,"&lt;&gt;Remarcado")&gt;0,"Sim","Não"))</f>
        <v>0</v>
      </c>
      <c r="S1377" s="28">
        <f>IF($A1377="","",IF(AND($F1377="Agendado",$A1377-Hoje&gt;=0,$A1377-Hoje&lt;=DiasConf),"CONFIRMAR",IF(AND($A1377&lt;Hoje,OR($F1377="Agendado",$F1377="Confirmado")),"Atualizar status",IF(AND($F1377="Compareceu",$P1377&gt;0.005),"Cobrar",IF($F1377="Faltou","Falta: reagendar","")))))</f>
        <v>0</v>
      </c>
      <c r="T1377" s="29">
        <f>IF($A1377="","",DATE(YEAR($A1377),MONTH($A1377),1))</f>
        <v>0</v>
      </c>
      <c r="U1377" s="30">
        <f>IF($S1377="CONFIRMAR",MAX($U$4:$U1376)+1,"")</f>
        <v>0</v>
      </c>
      <c r="V1377" s="30">
        <f>IF(AND($R1377="Não",$Q1377&lt;&gt;"",$Q1377&lt;=Hoje+JanelaRet,$Q1377&gt;=Hoje-60),MAX($V$4:$V1376)+1,"")</f>
        <v>0</v>
      </c>
    </row>
    <row r="1378" spans="1:22">
      <c r="A1378" s="16"/>
      <c r="B1378" s="23"/>
      <c r="C1378" s="15"/>
      <c r="D1378" s="15"/>
      <c r="E1378" s="15"/>
      <c r="F1378" s="24"/>
      <c r="G1378" s="17"/>
      <c r="H1378" s="17"/>
      <c r="I1378" s="15"/>
      <c r="J1378" s="25">
        <f>IF($D1378="","",IFERROR(INDEX(PacNome,MATCH($D1378,PacCod,0)),"Paciente não cadastrado"))</f>
        <v>0</v>
      </c>
      <c r="K1378" s="26">
        <f>IF($D1378="","",IFERROR(INDEX(PacConv,MATCH($D1378,PacCod,0))&amp;"",""))</f>
        <v>0</v>
      </c>
      <c r="L1378" s="26">
        <f>IF($A1378="","",CHOOSE(WEEKDAY($A1378,2),"Seg","Ter","Qua","Qui","Sex","Sáb","Dom"))</f>
        <v>0</v>
      </c>
      <c r="M1378" s="27">
        <f>IF($E1378="","",IF($G1378&lt;&gt;"",$G1378,IFERROR(INDEX(ProcValor,MATCH($E1378,ProcNome,0)),0)))</f>
        <v>0</v>
      </c>
      <c r="N1378" s="27">
        <f>IF($M1378="","",IF($F1378="Compareceu",$M1378,0))</f>
        <v>0</v>
      </c>
      <c r="O1378" s="27">
        <f>IF($M1378="","",IF($F1378="Faltou",$M1378,0))</f>
        <v>0</v>
      </c>
      <c r="P1378" s="27">
        <f>IF($M1378="","",IF($F1378="Compareceu",MAX(0,$M1378-N($H1378)),0))</f>
        <v>0</v>
      </c>
      <c r="Q1378" s="19">
        <f>IF(AND($F1378="Compareceu",$E1378&lt;&gt;"",$A1378&lt;&gt;""),IF(IFERROR(INDEX(ProcRet,MATCH($E1378,ProcNome,0)),0)&gt;0,$A1378+INDEX(ProcRet,MATCH($E1378,ProcNome,0)),""),"")</f>
        <v>0</v>
      </c>
      <c r="R1378" s="26">
        <f>IF($Q1378="","",IF(COUNTIFS(AgPac,$D1378,AgData,"&gt;"&amp;$A1378,AgStatus,"&lt;&gt;Cancelado",AgStatus,"&lt;&gt;Remarcado")&gt;0,"Sim","Não"))</f>
        <v>0</v>
      </c>
      <c r="S1378" s="28">
        <f>IF($A1378="","",IF(AND($F1378="Agendado",$A1378-Hoje&gt;=0,$A1378-Hoje&lt;=DiasConf),"CONFIRMAR",IF(AND($A1378&lt;Hoje,OR($F1378="Agendado",$F1378="Confirmado")),"Atualizar status",IF(AND($F1378="Compareceu",$P1378&gt;0.005),"Cobrar",IF($F1378="Faltou","Falta: reagendar","")))))</f>
        <v>0</v>
      </c>
      <c r="T1378" s="29">
        <f>IF($A1378="","",DATE(YEAR($A1378),MONTH($A1378),1))</f>
        <v>0</v>
      </c>
      <c r="U1378" s="30">
        <f>IF($S1378="CONFIRMAR",MAX($U$4:$U1377)+1,"")</f>
        <v>0</v>
      </c>
      <c r="V1378" s="30">
        <f>IF(AND($R1378="Não",$Q1378&lt;&gt;"",$Q1378&lt;=Hoje+JanelaRet,$Q1378&gt;=Hoje-60),MAX($V$4:$V1377)+1,"")</f>
        <v>0</v>
      </c>
    </row>
    <row r="1379" spans="1:22">
      <c r="A1379" s="16"/>
      <c r="B1379" s="23"/>
      <c r="C1379" s="15"/>
      <c r="D1379" s="15"/>
      <c r="E1379" s="15"/>
      <c r="F1379" s="24"/>
      <c r="G1379" s="17"/>
      <c r="H1379" s="17"/>
      <c r="I1379" s="15"/>
      <c r="J1379" s="25">
        <f>IF($D1379="","",IFERROR(INDEX(PacNome,MATCH($D1379,PacCod,0)),"Paciente não cadastrado"))</f>
        <v>0</v>
      </c>
      <c r="K1379" s="26">
        <f>IF($D1379="","",IFERROR(INDEX(PacConv,MATCH($D1379,PacCod,0))&amp;"",""))</f>
        <v>0</v>
      </c>
      <c r="L1379" s="26">
        <f>IF($A1379="","",CHOOSE(WEEKDAY($A1379,2),"Seg","Ter","Qua","Qui","Sex","Sáb","Dom"))</f>
        <v>0</v>
      </c>
      <c r="M1379" s="27">
        <f>IF($E1379="","",IF($G1379&lt;&gt;"",$G1379,IFERROR(INDEX(ProcValor,MATCH($E1379,ProcNome,0)),0)))</f>
        <v>0</v>
      </c>
      <c r="N1379" s="27">
        <f>IF($M1379="","",IF($F1379="Compareceu",$M1379,0))</f>
        <v>0</v>
      </c>
      <c r="O1379" s="27">
        <f>IF($M1379="","",IF($F1379="Faltou",$M1379,0))</f>
        <v>0</v>
      </c>
      <c r="P1379" s="27">
        <f>IF($M1379="","",IF($F1379="Compareceu",MAX(0,$M1379-N($H1379)),0))</f>
        <v>0</v>
      </c>
      <c r="Q1379" s="19">
        <f>IF(AND($F1379="Compareceu",$E1379&lt;&gt;"",$A1379&lt;&gt;""),IF(IFERROR(INDEX(ProcRet,MATCH($E1379,ProcNome,0)),0)&gt;0,$A1379+INDEX(ProcRet,MATCH($E1379,ProcNome,0)),""),"")</f>
        <v>0</v>
      </c>
      <c r="R1379" s="26">
        <f>IF($Q1379="","",IF(COUNTIFS(AgPac,$D1379,AgData,"&gt;"&amp;$A1379,AgStatus,"&lt;&gt;Cancelado",AgStatus,"&lt;&gt;Remarcado")&gt;0,"Sim","Não"))</f>
        <v>0</v>
      </c>
      <c r="S1379" s="28">
        <f>IF($A1379="","",IF(AND($F1379="Agendado",$A1379-Hoje&gt;=0,$A1379-Hoje&lt;=DiasConf),"CONFIRMAR",IF(AND($A1379&lt;Hoje,OR($F1379="Agendado",$F1379="Confirmado")),"Atualizar status",IF(AND($F1379="Compareceu",$P1379&gt;0.005),"Cobrar",IF($F1379="Faltou","Falta: reagendar","")))))</f>
        <v>0</v>
      </c>
      <c r="T1379" s="29">
        <f>IF($A1379="","",DATE(YEAR($A1379),MONTH($A1379),1))</f>
        <v>0</v>
      </c>
      <c r="U1379" s="30">
        <f>IF($S1379="CONFIRMAR",MAX($U$4:$U1378)+1,"")</f>
        <v>0</v>
      </c>
      <c r="V1379" s="30">
        <f>IF(AND($R1379="Não",$Q1379&lt;&gt;"",$Q1379&lt;=Hoje+JanelaRet,$Q1379&gt;=Hoje-60),MAX($V$4:$V1378)+1,"")</f>
        <v>0</v>
      </c>
    </row>
    <row r="1380" spans="1:22">
      <c r="A1380" s="16"/>
      <c r="B1380" s="23"/>
      <c r="C1380" s="15"/>
      <c r="D1380" s="15"/>
      <c r="E1380" s="15"/>
      <c r="F1380" s="24"/>
      <c r="G1380" s="17"/>
      <c r="H1380" s="17"/>
      <c r="I1380" s="15"/>
      <c r="J1380" s="25">
        <f>IF($D1380="","",IFERROR(INDEX(PacNome,MATCH($D1380,PacCod,0)),"Paciente não cadastrado"))</f>
        <v>0</v>
      </c>
      <c r="K1380" s="26">
        <f>IF($D1380="","",IFERROR(INDEX(PacConv,MATCH($D1380,PacCod,0))&amp;"",""))</f>
        <v>0</v>
      </c>
      <c r="L1380" s="26">
        <f>IF($A1380="","",CHOOSE(WEEKDAY($A1380,2),"Seg","Ter","Qua","Qui","Sex","Sáb","Dom"))</f>
        <v>0</v>
      </c>
      <c r="M1380" s="27">
        <f>IF($E1380="","",IF($G1380&lt;&gt;"",$G1380,IFERROR(INDEX(ProcValor,MATCH($E1380,ProcNome,0)),0)))</f>
        <v>0</v>
      </c>
      <c r="N1380" s="27">
        <f>IF($M1380="","",IF($F1380="Compareceu",$M1380,0))</f>
        <v>0</v>
      </c>
      <c r="O1380" s="27">
        <f>IF($M1380="","",IF($F1380="Faltou",$M1380,0))</f>
        <v>0</v>
      </c>
      <c r="P1380" s="27">
        <f>IF($M1380="","",IF($F1380="Compareceu",MAX(0,$M1380-N($H1380)),0))</f>
        <v>0</v>
      </c>
      <c r="Q1380" s="19">
        <f>IF(AND($F1380="Compareceu",$E1380&lt;&gt;"",$A1380&lt;&gt;""),IF(IFERROR(INDEX(ProcRet,MATCH($E1380,ProcNome,0)),0)&gt;0,$A1380+INDEX(ProcRet,MATCH($E1380,ProcNome,0)),""),"")</f>
        <v>0</v>
      </c>
      <c r="R1380" s="26">
        <f>IF($Q1380="","",IF(COUNTIFS(AgPac,$D1380,AgData,"&gt;"&amp;$A1380,AgStatus,"&lt;&gt;Cancelado",AgStatus,"&lt;&gt;Remarcado")&gt;0,"Sim","Não"))</f>
        <v>0</v>
      </c>
      <c r="S1380" s="28">
        <f>IF($A1380="","",IF(AND($F1380="Agendado",$A1380-Hoje&gt;=0,$A1380-Hoje&lt;=DiasConf),"CONFIRMAR",IF(AND($A1380&lt;Hoje,OR($F1380="Agendado",$F1380="Confirmado")),"Atualizar status",IF(AND($F1380="Compareceu",$P1380&gt;0.005),"Cobrar",IF($F1380="Faltou","Falta: reagendar","")))))</f>
        <v>0</v>
      </c>
      <c r="T1380" s="29">
        <f>IF($A1380="","",DATE(YEAR($A1380),MONTH($A1380),1))</f>
        <v>0</v>
      </c>
      <c r="U1380" s="30">
        <f>IF($S1380="CONFIRMAR",MAX($U$4:$U1379)+1,"")</f>
        <v>0</v>
      </c>
      <c r="V1380" s="30">
        <f>IF(AND($R1380="Não",$Q1380&lt;&gt;"",$Q1380&lt;=Hoje+JanelaRet,$Q1380&gt;=Hoje-60),MAX($V$4:$V1379)+1,"")</f>
        <v>0</v>
      </c>
    </row>
    <row r="1381" spans="1:22">
      <c r="A1381" s="16"/>
      <c r="B1381" s="23"/>
      <c r="C1381" s="15"/>
      <c r="D1381" s="15"/>
      <c r="E1381" s="15"/>
      <c r="F1381" s="24"/>
      <c r="G1381" s="17"/>
      <c r="H1381" s="17"/>
      <c r="I1381" s="15"/>
      <c r="J1381" s="25">
        <f>IF($D1381="","",IFERROR(INDEX(PacNome,MATCH($D1381,PacCod,0)),"Paciente não cadastrado"))</f>
        <v>0</v>
      </c>
      <c r="K1381" s="26">
        <f>IF($D1381="","",IFERROR(INDEX(PacConv,MATCH($D1381,PacCod,0))&amp;"",""))</f>
        <v>0</v>
      </c>
      <c r="L1381" s="26">
        <f>IF($A1381="","",CHOOSE(WEEKDAY($A1381,2),"Seg","Ter","Qua","Qui","Sex","Sáb","Dom"))</f>
        <v>0</v>
      </c>
      <c r="M1381" s="27">
        <f>IF($E1381="","",IF($G1381&lt;&gt;"",$G1381,IFERROR(INDEX(ProcValor,MATCH($E1381,ProcNome,0)),0)))</f>
        <v>0</v>
      </c>
      <c r="N1381" s="27">
        <f>IF($M1381="","",IF($F1381="Compareceu",$M1381,0))</f>
        <v>0</v>
      </c>
      <c r="O1381" s="27">
        <f>IF($M1381="","",IF($F1381="Faltou",$M1381,0))</f>
        <v>0</v>
      </c>
      <c r="P1381" s="27">
        <f>IF($M1381="","",IF($F1381="Compareceu",MAX(0,$M1381-N($H1381)),0))</f>
        <v>0</v>
      </c>
      <c r="Q1381" s="19">
        <f>IF(AND($F1381="Compareceu",$E1381&lt;&gt;"",$A1381&lt;&gt;""),IF(IFERROR(INDEX(ProcRet,MATCH($E1381,ProcNome,0)),0)&gt;0,$A1381+INDEX(ProcRet,MATCH($E1381,ProcNome,0)),""),"")</f>
        <v>0</v>
      </c>
      <c r="R1381" s="26">
        <f>IF($Q1381="","",IF(COUNTIFS(AgPac,$D1381,AgData,"&gt;"&amp;$A1381,AgStatus,"&lt;&gt;Cancelado",AgStatus,"&lt;&gt;Remarcado")&gt;0,"Sim","Não"))</f>
        <v>0</v>
      </c>
      <c r="S1381" s="28">
        <f>IF($A1381="","",IF(AND($F1381="Agendado",$A1381-Hoje&gt;=0,$A1381-Hoje&lt;=DiasConf),"CONFIRMAR",IF(AND($A1381&lt;Hoje,OR($F1381="Agendado",$F1381="Confirmado")),"Atualizar status",IF(AND($F1381="Compareceu",$P1381&gt;0.005),"Cobrar",IF($F1381="Faltou","Falta: reagendar","")))))</f>
        <v>0</v>
      </c>
      <c r="T1381" s="29">
        <f>IF($A1381="","",DATE(YEAR($A1381),MONTH($A1381),1))</f>
        <v>0</v>
      </c>
      <c r="U1381" s="30">
        <f>IF($S1381="CONFIRMAR",MAX($U$4:$U1380)+1,"")</f>
        <v>0</v>
      </c>
      <c r="V1381" s="30">
        <f>IF(AND($R1381="Não",$Q1381&lt;&gt;"",$Q1381&lt;=Hoje+JanelaRet,$Q1381&gt;=Hoje-60),MAX($V$4:$V1380)+1,"")</f>
        <v>0</v>
      </c>
    </row>
    <row r="1382" spans="1:22">
      <c r="A1382" s="16"/>
      <c r="B1382" s="23"/>
      <c r="C1382" s="15"/>
      <c r="D1382" s="15"/>
      <c r="E1382" s="15"/>
      <c r="F1382" s="24"/>
      <c r="G1382" s="17"/>
      <c r="H1382" s="17"/>
      <c r="I1382" s="15"/>
      <c r="J1382" s="25">
        <f>IF($D1382="","",IFERROR(INDEX(PacNome,MATCH($D1382,PacCod,0)),"Paciente não cadastrado"))</f>
        <v>0</v>
      </c>
      <c r="K1382" s="26">
        <f>IF($D1382="","",IFERROR(INDEX(PacConv,MATCH($D1382,PacCod,0))&amp;"",""))</f>
        <v>0</v>
      </c>
      <c r="L1382" s="26">
        <f>IF($A1382="","",CHOOSE(WEEKDAY($A1382,2),"Seg","Ter","Qua","Qui","Sex","Sáb","Dom"))</f>
        <v>0</v>
      </c>
      <c r="M1382" s="27">
        <f>IF($E1382="","",IF($G1382&lt;&gt;"",$G1382,IFERROR(INDEX(ProcValor,MATCH($E1382,ProcNome,0)),0)))</f>
        <v>0</v>
      </c>
      <c r="N1382" s="27">
        <f>IF($M1382="","",IF($F1382="Compareceu",$M1382,0))</f>
        <v>0</v>
      </c>
      <c r="O1382" s="27">
        <f>IF($M1382="","",IF($F1382="Faltou",$M1382,0))</f>
        <v>0</v>
      </c>
      <c r="P1382" s="27">
        <f>IF($M1382="","",IF($F1382="Compareceu",MAX(0,$M1382-N($H1382)),0))</f>
        <v>0</v>
      </c>
      <c r="Q1382" s="19">
        <f>IF(AND($F1382="Compareceu",$E1382&lt;&gt;"",$A1382&lt;&gt;""),IF(IFERROR(INDEX(ProcRet,MATCH($E1382,ProcNome,0)),0)&gt;0,$A1382+INDEX(ProcRet,MATCH($E1382,ProcNome,0)),""),"")</f>
        <v>0</v>
      </c>
      <c r="R1382" s="26">
        <f>IF($Q1382="","",IF(COUNTIFS(AgPac,$D1382,AgData,"&gt;"&amp;$A1382,AgStatus,"&lt;&gt;Cancelado",AgStatus,"&lt;&gt;Remarcado")&gt;0,"Sim","Não"))</f>
        <v>0</v>
      </c>
      <c r="S1382" s="28">
        <f>IF($A1382="","",IF(AND($F1382="Agendado",$A1382-Hoje&gt;=0,$A1382-Hoje&lt;=DiasConf),"CONFIRMAR",IF(AND($A1382&lt;Hoje,OR($F1382="Agendado",$F1382="Confirmado")),"Atualizar status",IF(AND($F1382="Compareceu",$P1382&gt;0.005),"Cobrar",IF($F1382="Faltou","Falta: reagendar","")))))</f>
        <v>0</v>
      </c>
      <c r="T1382" s="29">
        <f>IF($A1382="","",DATE(YEAR($A1382),MONTH($A1382),1))</f>
        <v>0</v>
      </c>
      <c r="U1382" s="30">
        <f>IF($S1382="CONFIRMAR",MAX($U$4:$U1381)+1,"")</f>
        <v>0</v>
      </c>
      <c r="V1382" s="30">
        <f>IF(AND($R1382="Não",$Q1382&lt;&gt;"",$Q1382&lt;=Hoje+JanelaRet,$Q1382&gt;=Hoje-60),MAX($V$4:$V1381)+1,"")</f>
        <v>0</v>
      </c>
    </row>
    <row r="1383" spans="1:22">
      <c r="A1383" s="16"/>
      <c r="B1383" s="23"/>
      <c r="C1383" s="15"/>
      <c r="D1383" s="15"/>
      <c r="E1383" s="15"/>
      <c r="F1383" s="24"/>
      <c r="G1383" s="17"/>
      <c r="H1383" s="17"/>
      <c r="I1383" s="15"/>
      <c r="J1383" s="25">
        <f>IF($D1383="","",IFERROR(INDEX(PacNome,MATCH($D1383,PacCod,0)),"Paciente não cadastrado"))</f>
        <v>0</v>
      </c>
      <c r="K1383" s="26">
        <f>IF($D1383="","",IFERROR(INDEX(PacConv,MATCH($D1383,PacCod,0))&amp;"",""))</f>
        <v>0</v>
      </c>
      <c r="L1383" s="26">
        <f>IF($A1383="","",CHOOSE(WEEKDAY($A1383,2),"Seg","Ter","Qua","Qui","Sex","Sáb","Dom"))</f>
        <v>0</v>
      </c>
      <c r="M1383" s="27">
        <f>IF($E1383="","",IF($G1383&lt;&gt;"",$G1383,IFERROR(INDEX(ProcValor,MATCH($E1383,ProcNome,0)),0)))</f>
        <v>0</v>
      </c>
      <c r="N1383" s="27">
        <f>IF($M1383="","",IF($F1383="Compareceu",$M1383,0))</f>
        <v>0</v>
      </c>
      <c r="O1383" s="27">
        <f>IF($M1383="","",IF($F1383="Faltou",$M1383,0))</f>
        <v>0</v>
      </c>
      <c r="P1383" s="27">
        <f>IF($M1383="","",IF($F1383="Compareceu",MAX(0,$M1383-N($H1383)),0))</f>
        <v>0</v>
      </c>
      <c r="Q1383" s="19">
        <f>IF(AND($F1383="Compareceu",$E1383&lt;&gt;"",$A1383&lt;&gt;""),IF(IFERROR(INDEX(ProcRet,MATCH($E1383,ProcNome,0)),0)&gt;0,$A1383+INDEX(ProcRet,MATCH($E1383,ProcNome,0)),""),"")</f>
        <v>0</v>
      </c>
      <c r="R1383" s="26">
        <f>IF($Q1383="","",IF(COUNTIFS(AgPac,$D1383,AgData,"&gt;"&amp;$A1383,AgStatus,"&lt;&gt;Cancelado",AgStatus,"&lt;&gt;Remarcado")&gt;0,"Sim","Não"))</f>
        <v>0</v>
      </c>
      <c r="S1383" s="28">
        <f>IF($A1383="","",IF(AND($F1383="Agendado",$A1383-Hoje&gt;=0,$A1383-Hoje&lt;=DiasConf),"CONFIRMAR",IF(AND($A1383&lt;Hoje,OR($F1383="Agendado",$F1383="Confirmado")),"Atualizar status",IF(AND($F1383="Compareceu",$P1383&gt;0.005),"Cobrar",IF($F1383="Faltou","Falta: reagendar","")))))</f>
        <v>0</v>
      </c>
      <c r="T1383" s="29">
        <f>IF($A1383="","",DATE(YEAR($A1383),MONTH($A1383),1))</f>
        <v>0</v>
      </c>
      <c r="U1383" s="30">
        <f>IF($S1383="CONFIRMAR",MAX($U$4:$U1382)+1,"")</f>
        <v>0</v>
      </c>
      <c r="V1383" s="30">
        <f>IF(AND($R1383="Não",$Q1383&lt;&gt;"",$Q1383&lt;=Hoje+JanelaRet,$Q1383&gt;=Hoje-60),MAX($V$4:$V1382)+1,"")</f>
        <v>0</v>
      </c>
    </row>
    <row r="1384" spans="1:22">
      <c r="A1384" s="16"/>
      <c r="B1384" s="23"/>
      <c r="C1384" s="15"/>
      <c r="D1384" s="15"/>
      <c r="E1384" s="15"/>
      <c r="F1384" s="24"/>
      <c r="G1384" s="17"/>
      <c r="H1384" s="17"/>
      <c r="I1384" s="15"/>
      <c r="J1384" s="25">
        <f>IF($D1384="","",IFERROR(INDEX(PacNome,MATCH($D1384,PacCod,0)),"Paciente não cadastrado"))</f>
        <v>0</v>
      </c>
      <c r="K1384" s="26">
        <f>IF($D1384="","",IFERROR(INDEX(PacConv,MATCH($D1384,PacCod,0))&amp;"",""))</f>
        <v>0</v>
      </c>
      <c r="L1384" s="26">
        <f>IF($A1384="","",CHOOSE(WEEKDAY($A1384,2),"Seg","Ter","Qua","Qui","Sex","Sáb","Dom"))</f>
        <v>0</v>
      </c>
      <c r="M1384" s="27">
        <f>IF($E1384="","",IF($G1384&lt;&gt;"",$G1384,IFERROR(INDEX(ProcValor,MATCH($E1384,ProcNome,0)),0)))</f>
        <v>0</v>
      </c>
      <c r="N1384" s="27">
        <f>IF($M1384="","",IF($F1384="Compareceu",$M1384,0))</f>
        <v>0</v>
      </c>
      <c r="O1384" s="27">
        <f>IF($M1384="","",IF($F1384="Faltou",$M1384,0))</f>
        <v>0</v>
      </c>
      <c r="P1384" s="27">
        <f>IF($M1384="","",IF($F1384="Compareceu",MAX(0,$M1384-N($H1384)),0))</f>
        <v>0</v>
      </c>
      <c r="Q1384" s="19">
        <f>IF(AND($F1384="Compareceu",$E1384&lt;&gt;"",$A1384&lt;&gt;""),IF(IFERROR(INDEX(ProcRet,MATCH($E1384,ProcNome,0)),0)&gt;0,$A1384+INDEX(ProcRet,MATCH($E1384,ProcNome,0)),""),"")</f>
        <v>0</v>
      </c>
      <c r="R1384" s="26">
        <f>IF($Q1384="","",IF(COUNTIFS(AgPac,$D1384,AgData,"&gt;"&amp;$A1384,AgStatus,"&lt;&gt;Cancelado",AgStatus,"&lt;&gt;Remarcado")&gt;0,"Sim","Não"))</f>
        <v>0</v>
      </c>
      <c r="S1384" s="28">
        <f>IF($A1384="","",IF(AND($F1384="Agendado",$A1384-Hoje&gt;=0,$A1384-Hoje&lt;=DiasConf),"CONFIRMAR",IF(AND($A1384&lt;Hoje,OR($F1384="Agendado",$F1384="Confirmado")),"Atualizar status",IF(AND($F1384="Compareceu",$P1384&gt;0.005),"Cobrar",IF($F1384="Faltou","Falta: reagendar","")))))</f>
        <v>0</v>
      </c>
      <c r="T1384" s="29">
        <f>IF($A1384="","",DATE(YEAR($A1384),MONTH($A1384),1))</f>
        <v>0</v>
      </c>
      <c r="U1384" s="30">
        <f>IF($S1384="CONFIRMAR",MAX($U$4:$U1383)+1,"")</f>
        <v>0</v>
      </c>
      <c r="V1384" s="30">
        <f>IF(AND($R1384="Não",$Q1384&lt;&gt;"",$Q1384&lt;=Hoje+JanelaRet,$Q1384&gt;=Hoje-60),MAX($V$4:$V1383)+1,"")</f>
        <v>0</v>
      </c>
    </row>
    <row r="1385" spans="1:22">
      <c r="A1385" s="16"/>
      <c r="B1385" s="23"/>
      <c r="C1385" s="15"/>
      <c r="D1385" s="15"/>
      <c r="E1385" s="15"/>
      <c r="F1385" s="24"/>
      <c r="G1385" s="17"/>
      <c r="H1385" s="17"/>
      <c r="I1385" s="15"/>
      <c r="J1385" s="25">
        <f>IF($D1385="","",IFERROR(INDEX(PacNome,MATCH($D1385,PacCod,0)),"Paciente não cadastrado"))</f>
        <v>0</v>
      </c>
      <c r="K1385" s="26">
        <f>IF($D1385="","",IFERROR(INDEX(PacConv,MATCH($D1385,PacCod,0))&amp;"",""))</f>
        <v>0</v>
      </c>
      <c r="L1385" s="26">
        <f>IF($A1385="","",CHOOSE(WEEKDAY($A1385,2),"Seg","Ter","Qua","Qui","Sex","Sáb","Dom"))</f>
        <v>0</v>
      </c>
      <c r="M1385" s="27">
        <f>IF($E1385="","",IF($G1385&lt;&gt;"",$G1385,IFERROR(INDEX(ProcValor,MATCH($E1385,ProcNome,0)),0)))</f>
        <v>0</v>
      </c>
      <c r="N1385" s="27">
        <f>IF($M1385="","",IF($F1385="Compareceu",$M1385,0))</f>
        <v>0</v>
      </c>
      <c r="O1385" s="27">
        <f>IF($M1385="","",IF($F1385="Faltou",$M1385,0))</f>
        <v>0</v>
      </c>
      <c r="P1385" s="27">
        <f>IF($M1385="","",IF($F1385="Compareceu",MAX(0,$M1385-N($H1385)),0))</f>
        <v>0</v>
      </c>
      <c r="Q1385" s="19">
        <f>IF(AND($F1385="Compareceu",$E1385&lt;&gt;"",$A1385&lt;&gt;""),IF(IFERROR(INDEX(ProcRet,MATCH($E1385,ProcNome,0)),0)&gt;0,$A1385+INDEX(ProcRet,MATCH($E1385,ProcNome,0)),""),"")</f>
        <v>0</v>
      </c>
      <c r="R1385" s="26">
        <f>IF($Q1385="","",IF(COUNTIFS(AgPac,$D1385,AgData,"&gt;"&amp;$A1385,AgStatus,"&lt;&gt;Cancelado",AgStatus,"&lt;&gt;Remarcado")&gt;0,"Sim","Não"))</f>
        <v>0</v>
      </c>
      <c r="S1385" s="28">
        <f>IF($A1385="","",IF(AND($F1385="Agendado",$A1385-Hoje&gt;=0,$A1385-Hoje&lt;=DiasConf),"CONFIRMAR",IF(AND($A1385&lt;Hoje,OR($F1385="Agendado",$F1385="Confirmado")),"Atualizar status",IF(AND($F1385="Compareceu",$P1385&gt;0.005),"Cobrar",IF($F1385="Faltou","Falta: reagendar","")))))</f>
        <v>0</v>
      </c>
      <c r="T1385" s="29">
        <f>IF($A1385="","",DATE(YEAR($A1385),MONTH($A1385),1))</f>
        <v>0</v>
      </c>
      <c r="U1385" s="30">
        <f>IF($S1385="CONFIRMAR",MAX($U$4:$U1384)+1,"")</f>
        <v>0</v>
      </c>
      <c r="V1385" s="30">
        <f>IF(AND($R1385="Não",$Q1385&lt;&gt;"",$Q1385&lt;=Hoje+JanelaRet,$Q1385&gt;=Hoje-60),MAX($V$4:$V1384)+1,"")</f>
        <v>0</v>
      </c>
    </row>
    <row r="1386" spans="1:22">
      <c r="A1386" s="16"/>
      <c r="B1386" s="23"/>
      <c r="C1386" s="15"/>
      <c r="D1386" s="15"/>
      <c r="E1386" s="15"/>
      <c r="F1386" s="24"/>
      <c r="G1386" s="17"/>
      <c r="H1386" s="17"/>
      <c r="I1386" s="15"/>
      <c r="J1386" s="25">
        <f>IF($D1386="","",IFERROR(INDEX(PacNome,MATCH($D1386,PacCod,0)),"Paciente não cadastrado"))</f>
        <v>0</v>
      </c>
      <c r="K1386" s="26">
        <f>IF($D1386="","",IFERROR(INDEX(PacConv,MATCH($D1386,PacCod,0))&amp;"",""))</f>
        <v>0</v>
      </c>
      <c r="L1386" s="26">
        <f>IF($A1386="","",CHOOSE(WEEKDAY($A1386,2),"Seg","Ter","Qua","Qui","Sex","Sáb","Dom"))</f>
        <v>0</v>
      </c>
      <c r="M1386" s="27">
        <f>IF($E1386="","",IF($G1386&lt;&gt;"",$G1386,IFERROR(INDEX(ProcValor,MATCH($E1386,ProcNome,0)),0)))</f>
        <v>0</v>
      </c>
      <c r="N1386" s="27">
        <f>IF($M1386="","",IF($F1386="Compareceu",$M1386,0))</f>
        <v>0</v>
      </c>
      <c r="O1386" s="27">
        <f>IF($M1386="","",IF($F1386="Faltou",$M1386,0))</f>
        <v>0</v>
      </c>
      <c r="P1386" s="27">
        <f>IF($M1386="","",IF($F1386="Compareceu",MAX(0,$M1386-N($H1386)),0))</f>
        <v>0</v>
      </c>
      <c r="Q1386" s="19">
        <f>IF(AND($F1386="Compareceu",$E1386&lt;&gt;"",$A1386&lt;&gt;""),IF(IFERROR(INDEX(ProcRet,MATCH($E1386,ProcNome,0)),0)&gt;0,$A1386+INDEX(ProcRet,MATCH($E1386,ProcNome,0)),""),"")</f>
        <v>0</v>
      </c>
      <c r="R1386" s="26">
        <f>IF($Q1386="","",IF(COUNTIFS(AgPac,$D1386,AgData,"&gt;"&amp;$A1386,AgStatus,"&lt;&gt;Cancelado",AgStatus,"&lt;&gt;Remarcado")&gt;0,"Sim","Não"))</f>
        <v>0</v>
      </c>
      <c r="S1386" s="28">
        <f>IF($A1386="","",IF(AND($F1386="Agendado",$A1386-Hoje&gt;=0,$A1386-Hoje&lt;=DiasConf),"CONFIRMAR",IF(AND($A1386&lt;Hoje,OR($F1386="Agendado",$F1386="Confirmado")),"Atualizar status",IF(AND($F1386="Compareceu",$P1386&gt;0.005),"Cobrar",IF($F1386="Faltou","Falta: reagendar","")))))</f>
        <v>0</v>
      </c>
      <c r="T1386" s="29">
        <f>IF($A1386="","",DATE(YEAR($A1386),MONTH($A1386),1))</f>
        <v>0</v>
      </c>
      <c r="U1386" s="30">
        <f>IF($S1386="CONFIRMAR",MAX($U$4:$U1385)+1,"")</f>
        <v>0</v>
      </c>
      <c r="V1386" s="30">
        <f>IF(AND($R1386="Não",$Q1386&lt;&gt;"",$Q1386&lt;=Hoje+JanelaRet,$Q1386&gt;=Hoje-60),MAX($V$4:$V1385)+1,"")</f>
        <v>0</v>
      </c>
    </row>
    <row r="1387" spans="1:22">
      <c r="A1387" s="16"/>
      <c r="B1387" s="23"/>
      <c r="C1387" s="15"/>
      <c r="D1387" s="15"/>
      <c r="E1387" s="15"/>
      <c r="F1387" s="24"/>
      <c r="G1387" s="17"/>
      <c r="H1387" s="17"/>
      <c r="I1387" s="15"/>
      <c r="J1387" s="25">
        <f>IF($D1387="","",IFERROR(INDEX(PacNome,MATCH($D1387,PacCod,0)),"Paciente não cadastrado"))</f>
        <v>0</v>
      </c>
      <c r="K1387" s="26">
        <f>IF($D1387="","",IFERROR(INDEX(PacConv,MATCH($D1387,PacCod,0))&amp;"",""))</f>
        <v>0</v>
      </c>
      <c r="L1387" s="26">
        <f>IF($A1387="","",CHOOSE(WEEKDAY($A1387,2),"Seg","Ter","Qua","Qui","Sex","Sáb","Dom"))</f>
        <v>0</v>
      </c>
      <c r="M1387" s="27">
        <f>IF($E1387="","",IF($G1387&lt;&gt;"",$G1387,IFERROR(INDEX(ProcValor,MATCH($E1387,ProcNome,0)),0)))</f>
        <v>0</v>
      </c>
      <c r="N1387" s="27">
        <f>IF($M1387="","",IF($F1387="Compareceu",$M1387,0))</f>
        <v>0</v>
      </c>
      <c r="O1387" s="27">
        <f>IF($M1387="","",IF($F1387="Faltou",$M1387,0))</f>
        <v>0</v>
      </c>
      <c r="P1387" s="27">
        <f>IF($M1387="","",IF($F1387="Compareceu",MAX(0,$M1387-N($H1387)),0))</f>
        <v>0</v>
      </c>
      <c r="Q1387" s="19">
        <f>IF(AND($F1387="Compareceu",$E1387&lt;&gt;"",$A1387&lt;&gt;""),IF(IFERROR(INDEX(ProcRet,MATCH($E1387,ProcNome,0)),0)&gt;0,$A1387+INDEX(ProcRet,MATCH($E1387,ProcNome,0)),""),"")</f>
        <v>0</v>
      </c>
      <c r="R1387" s="26">
        <f>IF($Q1387="","",IF(COUNTIFS(AgPac,$D1387,AgData,"&gt;"&amp;$A1387,AgStatus,"&lt;&gt;Cancelado",AgStatus,"&lt;&gt;Remarcado")&gt;0,"Sim","Não"))</f>
        <v>0</v>
      </c>
      <c r="S1387" s="28">
        <f>IF($A1387="","",IF(AND($F1387="Agendado",$A1387-Hoje&gt;=0,$A1387-Hoje&lt;=DiasConf),"CONFIRMAR",IF(AND($A1387&lt;Hoje,OR($F1387="Agendado",$F1387="Confirmado")),"Atualizar status",IF(AND($F1387="Compareceu",$P1387&gt;0.005),"Cobrar",IF($F1387="Faltou","Falta: reagendar","")))))</f>
        <v>0</v>
      </c>
      <c r="T1387" s="29">
        <f>IF($A1387="","",DATE(YEAR($A1387),MONTH($A1387),1))</f>
        <v>0</v>
      </c>
      <c r="U1387" s="30">
        <f>IF($S1387="CONFIRMAR",MAX($U$4:$U1386)+1,"")</f>
        <v>0</v>
      </c>
      <c r="V1387" s="30">
        <f>IF(AND($R1387="Não",$Q1387&lt;&gt;"",$Q1387&lt;=Hoje+JanelaRet,$Q1387&gt;=Hoje-60),MAX($V$4:$V1386)+1,"")</f>
        <v>0</v>
      </c>
    </row>
    <row r="1388" spans="1:22">
      <c r="A1388" s="16"/>
      <c r="B1388" s="23"/>
      <c r="C1388" s="15"/>
      <c r="D1388" s="15"/>
      <c r="E1388" s="15"/>
      <c r="F1388" s="24"/>
      <c r="G1388" s="17"/>
      <c r="H1388" s="17"/>
      <c r="I1388" s="15"/>
      <c r="J1388" s="25">
        <f>IF($D1388="","",IFERROR(INDEX(PacNome,MATCH($D1388,PacCod,0)),"Paciente não cadastrado"))</f>
        <v>0</v>
      </c>
      <c r="K1388" s="26">
        <f>IF($D1388="","",IFERROR(INDEX(PacConv,MATCH($D1388,PacCod,0))&amp;"",""))</f>
        <v>0</v>
      </c>
      <c r="L1388" s="26">
        <f>IF($A1388="","",CHOOSE(WEEKDAY($A1388,2),"Seg","Ter","Qua","Qui","Sex","Sáb","Dom"))</f>
        <v>0</v>
      </c>
      <c r="M1388" s="27">
        <f>IF($E1388="","",IF($G1388&lt;&gt;"",$G1388,IFERROR(INDEX(ProcValor,MATCH($E1388,ProcNome,0)),0)))</f>
        <v>0</v>
      </c>
      <c r="N1388" s="27">
        <f>IF($M1388="","",IF($F1388="Compareceu",$M1388,0))</f>
        <v>0</v>
      </c>
      <c r="O1388" s="27">
        <f>IF($M1388="","",IF($F1388="Faltou",$M1388,0))</f>
        <v>0</v>
      </c>
      <c r="P1388" s="27">
        <f>IF($M1388="","",IF($F1388="Compareceu",MAX(0,$M1388-N($H1388)),0))</f>
        <v>0</v>
      </c>
      <c r="Q1388" s="19">
        <f>IF(AND($F1388="Compareceu",$E1388&lt;&gt;"",$A1388&lt;&gt;""),IF(IFERROR(INDEX(ProcRet,MATCH($E1388,ProcNome,0)),0)&gt;0,$A1388+INDEX(ProcRet,MATCH($E1388,ProcNome,0)),""),"")</f>
        <v>0</v>
      </c>
      <c r="R1388" s="26">
        <f>IF($Q1388="","",IF(COUNTIFS(AgPac,$D1388,AgData,"&gt;"&amp;$A1388,AgStatus,"&lt;&gt;Cancelado",AgStatus,"&lt;&gt;Remarcado")&gt;0,"Sim","Não"))</f>
        <v>0</v>
      </c>
      <c r="S1388" s="28">
        <f>IF($A1388="","",IF(AND($F1388="Agendado",$A1388-Hoje&gt;=0,$A1388-Hoje&lt;=DiasConf),"CONFIRMAR",IF(AND($A1388&lt;Hoje,OR($F1388="Agendado",$F1388="Confirmado")),"Atualizar status",IF(AND($F1388="Compareceu",$P1388&gt;0.005),"Cobrar",IF($F1388="Faltou","Falta: reagendar","")))))</f>
        <v>0</v>
      </c>
      <c r="T1388" s="29">
        <f>IF($A1388="","",DATE(YEAR($A1388),MONTH($A1388),1))</f>
        <v>0</v>
      </c>
      <c r="U1388" s="30">
        <f>IF($S1388="CONFIRMAR",MAX($U$4:$U1387)+1,"")</f>
        <v>0</v>
      </c>
      <c r="V1388" s="30">
        <f>IF(AND($R1388="Não",$Q1388&lt;&gt;"",$Q1388&lt;=Hoje+JanelaRet,$Q1388&gt;=Hoje-60),MAX($V$4:$V1387)+1,"")</f>
        <v>0</v>
      </c>
    </row>
    <row r="1389" spans="1:22">
      <c r="A1389" s="16"/>
      <c r="B1389" s="23"/>
      <c r="C1389" s="15"/>
      <c r="D1389" s="15"/>
      <c r="E1389" s="15"/>
      <c r="F1389" s="24"/>
      <c r="G1389" s="17"/>
      <c r="H1389" s="17"/>
      <c r="I1389" s="15"/>
      <c r="J1389" s="25">
        <f>IF($D1389="","",IFERROR(INDEX(PacNome,MATCH($D1389,PacCod,0)),"Paciente não cadastrado"))</f>
        <v>0</v>
      </c>
      <c r="K1389" s="26">
        <f>IF($D1389="","",IFERROR(INDEX(PacConv,MATCH($D1389,PacCod,0))&amp;"",""))</f>
        <v>0</v>
      </c>
      <c r="L1389" s="26">
        <f>IF($A1389="","",CHOOSE(WEEKDAY($A1389,2),"Seg","Ter","Qua","Qui","Sex","Sáb","Dom"))</f>
        <v>0</v>
      </c>
      <c r="M1389" s="27">
        <f>IF($E1389="","",IF($G1389&lt;&gt;"",$G1389,IFERROR(INDEX(ProcValor,MATCH($E1389,ProcNome,0)),0)))</f>
        <v>0</v>
      </c>
      <c r="N1389" s="27">
        <f>IF($M1389="","",IF($F1389="Compareceu",$M1389,0))</f>
        <v>0</v>
      </c>
      <c r="O1389" s="27">
        <f>IF($M1389="","",IF($F1389="Faltou",$M1389,0))</f>
        <v>0</v>
      </c>
      <c r="P1389" s="27">
        <f>IF($M1389="","",IF($F1389="Compareceu",MAX(0,$M1389-N($H1389)),0))</f>
        <v>0</v>
      </c>
      <c r="Q1389" s="19">
        <f>IF(AND($F1389="Compareceu",$E1389&lt;&gt;"",$A1389&lt;&gt;""),IF(IFERROR(INDEX(ProcRet,MATCH($E1389,ProcNome,0)),0)&gt;0,$A1389+INDEX(ProcRet,MATCH($E1389,ProcNome,0)),""),"")</f>
        <v>0</v>
      </c>
      <c r="R1389" s="26">
        <f>IF($Q1389="","",IF(COUNTIFS(AgPac,$D1389,AgData,"&gt;"&amp;$A1389,AgStatus,"&lt;&gt;Cancelado",AgStatus,"&lt;&gt;Remarcado")&gt;0,"Sim","Não"))</f>
        <v>0</v>
      </c>
      <c r="S1389" s="28">
        <f>IF($A1389="","",IF(AND($F1389="Agendado",$A1389-Hoje&gt;=0,$A1389-Hoje&lt;=DiasConf),"CONFIRMAR",IF(AND($A1389&lt;Hoje,OR($F1389="Agendado",$F1389="Confirmado")),"Atualizar status",IF(AND($F1389="Compareceu",$P1389&gt;0.005),"Cobrar",IF($F1389="Faltou","Falta: reagendar","")))))</f>
        <v>0</v>
      </c>
      <c r="T1389" s="29">
        <f>IF($A1389="","",DATE(YEAR($A1389),MONTH($A1389),1))</f>
        <v>0</v>
      </c>
      <c r="U1389" s="30">
        <f>IF($S1389="CONFIRMAR",MAX($U$4:$U1388)+1,"")</f>
        <v>0</v>
      </c>
      <c r="V1389" s="30">
        <f>IF(AND($R1389="Não",$Q1389&lt;&gt;"",$Q1389&lt;=Hoje+JanelaRet,$Q1389&gt;=Hoje-60),MAX($V$4:$V1388)+1,"")</f>
        <v>0</v>
      </c>
    </row>
    <row r="1390" spans="1:22">
      <c r="A1390" s="16"/>
      <c r="B1390" s="23"/>
      <c r="C1390" s="15"/>
      <c r="D1390" s="15"/>
      <c r="E1390" s="15"/>
      <c r="F1390" s="24"/>
      <c r="G1390" s="17"/>
      <c r="H1390" s="17"/>
      <c r="I1390" s="15"/>
      <c r="J1390" s="25">
        <f>IF($D1390="","",IFERROR(INDEX(PacNome,MATCH($D1390,PacCod,0)),"Paciente não cadastrado"))</f>
        <v>0</v>
      </c>
      <c r="K1390" s="26">
        <f>IF($D1390="","",IFERROR(INDEX(PacConv,MATCH($D1390,PacCod,0))&amp;"",""))</f>
        <v>0</v>
      </c>
      <c r="L1390" s="26">
        <f>IF($A1390="","",CHOOSE(WEEKDAY($A1390,2),"Seg","Ter","Qua","Qui","Sex","Sáb","Dom"))</f>
        <v>0</v>
      </c>
      <c r="M1390" s="27">
        <f>IF($E1390="","",IF($G1390&lt;&gt;"",$G1390,IFERROR(INDEX(ProcValor,MATCH($E1390,ProcNome,0)),0)))</f>
        <v>0</v>
      </c>
      <c r="N1390" s="27">
        <f>IF($M1390="","",IF($F1390="Compareceu",$M1390,0))</f>
        <v>0</v>
      </c>
      <c r="O1390" s="27">
        <f>IF($M1390="","",IF($F1390="Faltou",$M1390,0))</f>
        <v>0</v>
      </c>
      <c r="P1390" s="27">
        <f>IF($M1390="","",IF($F1390="Compareceu",MAX(0,$M1390-N($H1390)),0))</f>
        <v>0</v>
      </c>
      <c r="Q1390" s="19">
        <f>IF(AND($F1390="Compareceu",$E1390&lt;&gt;"",$A1390&lt;&gt;""),IF(IFERROR(INDEX(ProcRet,MATCH($E1390,ProcNome,0)),0)&gt;0,$A1390+INDEX(ProcRet,MATCH($E1390,ProcNome,0)),""),"")</f>
        <v>0</v>
      </c>
      <c r="R1390" s="26">
        <f>IF($Q1390="","",IF(COUNTIFS(AgPac,$D1390,AgData,"&gt;"&amp;$A1390,AgStatus,"&lt;&gt;Cancelado",AgStatus,"&lt;&gt;Remarcado")&gt;0,"Sim","Não"))</f>
        <v>0</v>
      </c>
      <c r="S1390" s="28">
        <f>IF($A1390="","",IF(AND($F1390="Agendado",$A1390-Hoje&gt;=0,$A1390-Hoje&lt;=DiasConf),"CONFIRMAR",IF(AND($A1390&lt;Hoje,OR($F1390="Agendado",$F1390="Confirmado")),"Atualizar status",IF(AND($F1390="Compareceu",$P1390&gt;0.005),"Cobrar",IF($F1390="Faltou","Falta: reagendar","")))))</f>
        <v>0</v>
      </c>
      <c r="T1390" s="29">
        <f>IF($A1390="","",DATE(YEAR($A1390),MONTH($A1390),1))</f>
        <v>0</v>
      </c>
      <c r="U1390" s="30">
        <f>IF($S1390="CONFIRMAR",MAX($U$4:$U1389)+1,"")</f>
        <v>0</v>
      </c>
      <c r="V1390" s="30">
        <f>IF(AND($R1390="Não",$Q1390&lt;&gt;"",$Q1390&lt;=Hoje+JanelaRet,$Q1390&gt;=Hoje-60),MAX($V$4:$V1389)+1,"")</f>
        <v>0</v>
      </c>
    </row>
    <row r="1391" spans="1:22">
      <c r="A1391" s="16"/>
      <c r="B1391" s="23"/>
      <c r="C1391" s="15"/>
      <c r="D1391" s="15"/>
      <c r="E1391" s="15"/>
      <c r="F1391" s="24"/>
      <c r="G1391" s="17"/>
      <c r="H1391" s="17"/>
      <c r="I1391" s="15"/>
      <c r="J1391" s="25">
        <f>IF($D1391="","",IFERROR(INDEX(PacNome,MATCH($D1391,PacCod,0)),"Paciente não cadastrado"))</f>
        <v>0</v>
      </c>
      <c r="K1391" s="26">
        <f>IF($D1391="","",IFERROR(INDEX(PacConv,MATCH($D1391,PacCod,0))&amp;"",""))</f>
        <v>0</v>
      </c>
      <c r="L1391" s="26">
        <f>IF($A1391="","",CHOOSE(WEEKDAY($A1391,2),"Seg","Ter","Qua","Qui","Sex","Sáb","Dom"))</f>
        <v>0</v>
      </c>
      <c r="M1391" s="27">
        <f>IF($E1391="","",IF($G1391&lt;&gt;"",$G1391,IFERROR(INDEX(ProcValor,MATCH($E1391,ProcNome,0)),0)))</f>
        <v>0</v>
      </c>
      <c r="N1391" s="27">
        <f>IF($M1391="","",IF($F1391="Compareceu",$M1391,0))</f>
        <v>0</v>
      </c>
      <c r="O1391" s="27">
        <f>IF($M1391="","",IF($F1391="Faltou",$M1391,0))</f>
        <v>0</v>
      </c>
      <c r="P1391" s="27">
        <f>IF($M1391="","",IF($F1391="Compareceu",MAX(0,$M1391-N($H1391)),0))</f>
        <v>0</v>
      </c>
      <c r="Q1391" s="19">
        <f>IF(AND($F1391="Compareceu",$E1391&lt;&gt;"",$A1391&lt;&gt;""),IF(IFERROR(INDEX(ProcRet,MATCH($E1391,ProcNome,0)),0)&gt;0,$A1391+INDEX(ProcRet,MATCH($E1391,ProcNome,0)),""),"")</f>
        <v>0</v>
      </c>
      <c r="R1391" s="26">
        <f>IF($Q1391="","",IF(COUNTIFS(AgPac,$D1391,AgData,"&gt;"&amp;$A1391,AgStatus,"&lt;&gt;Cancelado",AgStatus,"&lt;&gt;Remarcado")&gt;0,"Sim","Não"))</f>
        <v>0</v>
      </c>
      <c r="S1391" s="28">
        <f>IF($A1391="","",IF(AND($F1391="Agendado",$A1391-Hoje&gt;=0,$A1391-Hoje&lt;=DiasConf),"CONFIRMAR",IF(AND($A1391&lt;Hoje,OR($F1391="Agendado",$F1391="Confirmado")),"Atualizar status",IF(AND($F1391="Compareceu",$P1391&gt;0.005),"Cobrar",IF($F1391="Faltou","Falta: reagendar","")))))</f>
        <v>0</v>
      </c>
      <c r="T1391" s="29">
        <f>IF($A1391="","",DATE(YEAR($A1391),MONTH($A1391),1))</f>
        <v>0</v>
      </c>
      <c r="U1391" s="30">
        <f>IF($S1391="CONFIRMAR",MAX($U$4:$U1390)+1,"")</f>
        <v>0</v>
      </c>
      <c r="V1391" s="30">
        <f>IF(AND($R1391="Não",$Q1391&lt;&gt;"",$Q1391&lt;=Hoje+JanelaRet,$Q1391&gt;=Hoje-60),MAX($V$4:$V1390)+1,"")</f>
        <v>0</v>
      </c>
    </row>
    <row r="1392" spans="1:22">
      <c r="A1392" s="16"/>
      <c r="B1392" s="23"/>
      <c r="C1392" s="15"/>
      <c r="D1392" s="15"/>
      <c r="E1392" s="15"/>
      <c r="F1392" s="24"/>
      <c r="G1392" s="17"/>
      <c r="H1392" s="17"/>
      <c r="I1392" s="15"/>
      <c r="J1392" s="25">
        <f>IF($D1392="","",IFERROR(INDEX(PacNome,MATCH($D1392,PacCod,0)),"Paciente não cadastrado"))</f>
        <v>0</v>
      </c>
      <c r="K1392" s="26">
        <f>IF($D1392="","",IFERROR(INDEX(PacConv,MATCH($D1392,PacCod,0))&amp;"",""))</f>
        <v>0</v>
      </c>
      <c r="L1392" s="26">
        <f>IF($A1392="","",CHOOSE(WEEKDAY($A1392,2),"Seg","Ter","Qua","Qui","Sex","Sáb","Dom"))</f>
        <v>0</v>
      </c>
      <c r="M1392" s="27">
        <f>IF($E1392="","",IF($G1392&lt;&gt;"",$G1392,IFERROR(INDEX(ProcValor,MATCH($E1392,ProcNome,0)),0)))</f>
        <v>0</v>
      </c>
      <c r="N1392" s="27">
        <f>IF($M1392="","",IF($F1392="Compareceu",$M1392,0))</f>
        <v>0</v>
      </c>
      <c r="O1392" s="27">
        <f>IF($M1392="","",IF($F1392="Faltou",$M1392,0))</f>
        <v>0</v>
      </c>
      <c r="P1392" s="27">
        <f>IF($M1392="","",IF($F1392="Compareceu",MAX(0,$M1392-N($H1392)),0))</f>
        <v>0</v>
      </c>
      <c r="Q1392" s="19">
        <f>IF(AND($F1392="Compareceu",$E1392&lt;&gt;"",$A1392&lt;&gt;""),IF(IFERROR(INDEX(ProcRet,MATCH($E1392,ProcNome,0)),0)&gt;0,$A1392+INDEX(ProcRet,MATCH($E1392,ProcNome,0)),""),"")</f>
        <v>0</v>
      </c>
      <c r="R1392" s="26">
        <f>IF($Q1392="","",IF(COUNTIFS(AgPac,$D1392,AgData,"&gt;"&amp;$A1392,AgStatus,"&lt;&gt;Cancelado",AgStatus,"&lt;&gt;Remarcado")&gt;0,"Sim","Não"))</f>
        <v>0</v>
      </c>
      <c r="S1392" s="28">
        <f>IF($A1392="","",IF(AND($F1392="Agendado",$A1392-Hoje&gt;=0,$A1392-Hoje&lt;=DiasConf),"CONFIRMAR",IF(AND($A1392&lt;Hoje,OR($F1392="Agendado",$F1392="Confirmado")),"Atualizar status",IF(AND($F1392="Compareceu",$P1392&gt;0.005),"Cobrar",IF($F1392="Faltou","Falta: reagendar","")))))</f>
        <v>0</v>
      </c>
      <c r="T1392" s="29">
        <f>IF($A1392="","",DATE(YEAR($A1392),MONTH($A1392),1))</f>
        <v>0</v>
      </c>
      <c r="U1392" s="30">
        <f>IF($S1392="CONFIRMAR",MAX($U$4:$U1391)+1,"")</f>
        <v>0</v>
      </c>
      <c r="V1392" s="30">
        <f>IF(AND($R1392="Não",$Q1392&lt;&gt;"",$Q1392&lt;=Hoje+JanelaRet,$Q1392&gt;=Hoje-60),MAX($V$4:$V1391)+1,"")</f>
        <v>0</v>
      </c>
    </row>
    <row r="1393" spans="1:22">
      <c r="A1393" s="16"/>
      <c r="B1393" s="23"/>
      <c r="C1393" s="15"/>
      <c r="D1393" s="15"/>
      <c r="E1393" s="15"/>
      <c r="F1393" s="24"/>
      <c r="G1393" s="17"/>
      <c r="H1393" s="17"/>
      <c r="I1393" s="15"/>
      <c r="J1393" s="25">
        <f>IF($D1393="","",IFERROR(INDEX(PacNome,MATCH($D1393,PacCod,0)),"Paciente não cadastrado"))</f>
        <v>0</v>
      </c>
      <c r="K1393" s="26">
        <f>IF($D1393="","",IFERROR(INDEX(PacConv,MATCH($D1393,PacCod,0))&amp;"",""))</f>
        <v>0</v>
      </c>
      <c r="L1393" s="26">
        <f>IF($A1393="","",CHOOSE(WEEKDAY($A1393,2),"Seg","Ter","Qua","Qui","Sex","Sáb","Dom"))</f>
        <v>0</v>
      </c>
      <c r="M1393" s="27">
        <f>IF($E1393="","",IF($G1393&lt;&gt;"",$G1393,IFERROR(INDEX(ProcValor,MATCH($E1393,ProcNome,0)),0)))</f>
        <v>0</v>
      </c>
      <c r="N1393" s="27">
        <f>IF($M1393="","",IF($F1393="Compareceu",$M1393,0))</f>
        <v>0</v>
      </c>
      <c r="O1393" s="27">
        <f>IF($M1393="","",IF($F1393="Faltou",$M1393,0))</f>
        <v>0</v>
      </c>
      <c r="P1393" s="27">
        <f>IF($M1393="","",IF($F1393="Compareceu",MAX(0,$M1393-N($H1393)),0))</f>
        <v>0</v>
      </c>
      <c r="Q1393" s="19">
        <f>IF(AND($F1393="Compareceu",$E1393&lt;&gt;"",$A1393&lt;&gt;""),IF(IFERROR(INDEX(ProcRet,MATCH($E1393,ProcNome,0)),0)&gt;0,$A1393+INDEX(ProcRet,MATCH($E1393,ProcNome,0)),""),"")</f>
        <v>0</v>
      </c>
      <c r="R1393" s="26">
        <f>IF($Q1393="","",IF(COUNTIFS(AgPac,$D1393,AgData,"&gt;"&amp;$A1393,AgStatus,"&lt;&gt;Cancelado",AgStatus,"&lt;&gt;Remarcado")&gt;0,"Sim","Não"))</f>
        <v>0</v>
      </c>
      <c r="S1393" s="28">
        <f>IF($A1393="","",IF(AND($F1393="Agendado",$A1393-Hoje&gt;=0,$A1393-Hoje&lt;=DiasConf),"CONFIRMAR",IF(AND($A1393&lt;Hoje,OR($F1393="Agendado",$F1393="Confirmado")),"Atualizar status",IF(AND($F1393="Compareceu",$P1393&gt;0.005),"Cobrar",IF($F1393="Faltou","Falta: reagendar","")))))</f>
        <v>0</v>
      </c>
      <c r="T1393" s="29">
        <f>IF($A1393="","",DATE(YEAR($A1393),MONTH($A1393),1))</f>
        <v>0</v>
      </c>
      <c r="U1393" s="30">
        <f>IF($S1393="CONFIRMAR",MAX($U$4:$U1392)+1,"")</f>
        <v>0</v>
      </c>
      <c r="V1393" s="30">
        <f>IF(AND($R1393="Não",$Q1393&lt;&gt;"",$Q1393&lt;=Hoje+JanelaRet,$Q1393&gt;=Hoje-60),MAX($V$4:$V1392)+1,"")</f>
        <v>0</v>
      </c>
    </row>
    <row r="1394" spans="1:22">
      <c r="A1394" s="16"/>
      <c r="B1394" s="23"/>
      <c r="C1394" s="15"/>
      <c r="D1394" s="15"/>
      <c r="E1394" s="15"/>
      <c r="F1394" s="24"/>
      <c r="G1394" s="17"/>
      <c r="H1394" s="17"/>
      <c r="I1394" s="15"/>
      <c r="J1394" s="25">
        <f>IF($D1394="","",IFERROR(INDEX(PacNome,MATCH($D1394,PacCod,0)),"Paciente não cadastrado"))</f>
        <v>0</v>
      </c>
      <c r="K1394" s="26">
        <f>IF($D1394="","",IFERROR(INDEX(PacConv,MATCH($D1394,PacCod,0))&amp;"",""))</f>
        <v>0</v>
      </c>
      <c r="L1394" s="26">
        <f>IF($A1394="","",CHOOSE(WEEKDAY($A1394,2),"Seg","Ter","Qua","Qui","Sex","Sáb","Dom"))</f>
        <v>0</v>
      </c>
      <c r="M1394" s="27">
        <f>IF($E1394="","",IF($G1394&lt;&gt;"",$G1394,IFERROR(INDEX(ProcValor,MATCH($E1394,ProcNome,0)),0)))</f>
        <v>0</v>
      </c>
      <c r="N1394" s="27">
        <f>IF($M1394="","",IF($F1394="Compareceu",$M1394,0))</f>
        <v>0</v>
      </c>
      <c r="O1394" s="27">
        <f>IF($M1394="","",IF($F1394="Faltou",$M1394,0))</f>
        <v>0</v>
      </c>
      <c r="P1394" s="27">
        <f>IF($M1394="","",IF($F1394="Compareceu",MAX(0,$M1394-N($H1394)),0))</f>
        <v>0</v>
      </c>
      <c r="Q1394" s="19">
        <f>IF(AND($F1394="Compareceu",$E1394&lt;&gt;"",$A1394&lt;&gt;""),IF(IFERROR(INDEX(ProcRet,MATCH($E1394,ProcNome,0)),0)&gt;0,$A1394+INDEX(ProcRet,MATCH($E1394,ProcNome,0)),""),"")</f>
        <v>0</v>
      </c>
      <c r="R1394" s="26">
        <f>IF($Q1394="","",IF(COUNTIFS(AgPac,$D1394,AgData,"&gt;"&amp;$A1394,AgStatus,"&lt;&gt;Cancelado",AgStatus,"&lt;&gt;Remarcado")&gt;0,"Sim","Não"))</f>
        <v>0</v>
      </c>
      <c r="S1394" s="28">
        <f>IF($A1394="","",IF(AND($F1394="Agendado",$A1394-Hoje&gt;=0,$A1394-Hoje&lt;=DiasConf),"CONFIRMAR",IF(AND($A1394&lt;Hoje,OR($F1394="Agendado",$F1394="Confirmado")),"Atualizar status",IF(AND($F1394="Compareceu",$P1394&gt;0.005),"Cobrar",IF($F1394="Faltou","Falta: reagendar","")))))</f>
        <v>0</v>
      </c>
      <c r="T1394" s="29">
        <f>IF($A1394="","",DATE(YEAR($A1394),MONTH($A1394),1))</f>
        <v>0</v>
      </c>
      <c r="U1394" s="30">
        <f>IF($S1394="CONFIRMAR",MAX($U$4:$U1393)+1,"")</f>
        <v>0</v>
      </c>
      <c r="V1394" s="30">
        <f>IF(AND($R1394="Não",$Q1394&lt;&gt;"",$Q1394&lt;=Hoje+JanelaRet,$Q1394&gt;=Hoje-60),MAX($V$4:$V1393)+1,"")</f>
        <v>0</v>
      </c>
    </row>
    <row r="1395" spans="1:22">
      <c r="A1395" s="16"/>
      <c r="B1395" s="23"/>
      <c r="C1395" s="15"/>
      <c r="D1395" s="15"/>
      <c r="E1395" s="15"/>
      <c r="F1395" s="24"/>
      <c r="G1395" s="17"/>
      <c r="H1395" s="17"/>
      <c r="I1395" s="15"/>
      <c r="J1395" s="25">
        <f>IF($D1395="","",IFERROR(INDEX(PacNome,MATCH($D1395,PacCod,0)),"Paciente não cadastrado"))</f>
        <v>0</v>
      </c>
      <c r="K1395" s="26">
        <f>IF($D1395="","",IFERROR(INDEX(PacConv,MATCH($D1395,PacCod,0))&amp;"",""))</f>
        <v>0</v>
      </c>
      <c r="L1395" s="26">
        <f>IF($A1395="","",CHOOSE(WEEKDAY($A1395,2),"Seg","Ter","Qua","Qui","Sex","Sáb","Dom"))</f>
        <v>0</v>
      </c>
      <c r="M1395" s="27">
        <f>IF($E1395="","",IF($G1395&lt;&gt;"",$G1395,IFERROR(INDEX(ProcValor,MATCH($E1395,ProcNome,0)),0)))</f>
        <v>0</v>
      </c>
      <c r="N1395" s="27">
        <f>IF($M1395="","",IF($F1395="Compareceu",$M1395,0))</f>
        <v>0</v>
      </c>
      <c r="O1395" s="27">
        <f>IF($M1395="","",IF($F1395="Faltou",$M1395,0))</f>
        <v>0</v>
      </c>
      <c r="P1395" s="27">
        <f>IF($M1395="","",IF($F1395="Compareceu",MAX(0,$M1395-N($H1395)),0))</f>
        <v>0</v>
      </c>
      <c r="Q1395" s="19">
        <f>IF(AND($F1395="Compareceu",$E1395&lt;&gt;"",$A1395&lt;&gt;""),IF(IFERROR(INDEX(ProcRet,MATCH($E1395,ProcNome,0)),0)&gt;0,$A1395+INDEX(ProcRet,MATCH($E1395,ProcNome,0)),""),"")</f>
        <v>0</v>
      </c>
      <c r="R1395" s="26">
        <f>IF($Q1395="","",IF(COUNTIFS(AgPac,$D1395,AgData,"&gt;"&amp;$A1395,AgStatus,"&lt;&gt;Cancelado",AgStatus,"&lt;&gt;Remarcado")&gt;0,"Sim","Não"))</f>
        <v>0</v>
      </c>
      <c r="S1395" s="28">
        <f>IF($A1395="","",IF(AND($F1395="Agendado",$A1395-Hoje&gt;=0,$A1395-Hoje&lt;=DiasConf),"CONFIRMAR",IF(AND($A1395&lt;Hoje,OR($F1395="Agendado",$F1395="Confirmado")),"Atualizar status",IF(AND($F1395="Compareceu",$P1395&gt;0.005),"Cobrar",IF($F1395="Faltou","Falta: reagendar","")))))</f>
        <v>0</v>
      </c>
      <c r="T1395" s="29">
        <f>IF($A1395="","",DATE(YEAR($A1395),MONTH($A1395),1))</f>
        <v>0</v>
      </c>
      <c r="U1395" s="30">
        <f>IF($S1395="CONFIRMAR",MAX($U$4:$U1394)+1,"")</f>
        <v>0</v>
      </c>
      <c r="V1395" s="30">
        <f>IF(AND($R1395="Não",$Q1395&lt;&gt;"",$Q1395&lt;=Hoje+JanelaRet,$Q1395&gt;=Hoje-60),MAX($V$4:$V1394)+1,"")</f>
        <v>0</v>
      </c>
    </row>
    <row r="1396" spans="1:22">
      <c r="A1396" s="16"/>
      <c r="B1396" s="23"/>
      <c r="C1396" s="15"/>
      <c r="D1396" s="15"/>
      <c r="E1396" s="15"/>
      <c r="F1396" s="24"/>
      <c r="G1396" s="17"/>
      <c r="H1396" s="17"/>
      <c r="I1396" s="15"/>
      <c r="J1396" s="25">
        <f>IF($D1396="","",IFERROR(INDEX(PacNome,MATCH($D1396,PacCod,0)),"Paciente não cadastrado"))</f>
        <v>0</v>
      </c>
      <c r="K1396" s="26">
        <f>IF($D1396="","",IFERROR(INDEX(PacConv,MATCH($D1396,PacCod,0))&amp;"",""))</f>
        <v>0</v>
      </c>
      <c r="L1396" s="26">
        <f>IF($A1396="","",CHOOSE(WEEKDAY($A1396,2),"Seg","Ter","Qua","Qui","Sex","Sáb","Dom"))</f>
        <v>0</v>
      </c>
      <c r="M1396" s="27">
        <f>IF($E1396="","",IF($G1396&lt;&gt;"",$G1396,IFERROR(INDEX(ProcValor,MATCH($E1396,ProcNome,0)),0)))</f>
        <v>0</v>
      </c>
      <c r="N1396" s="27">
        <f>IF($M1396="","",IF($F1396="Compareceu",$M1396,0))</f>
        <v>0</v>
      </c>
      <c r="O1396" s="27">
        <f>IF($M1396="","",IF($F1396="Faltou",$M1396,0))</f>
        <v>0</v>
      </c>
      <c r="P1396" s="27">
        <f>IF($M1396="","",IF($F1396="Compareceu",MAX(0,$M1396-N($H1396)),0))</f>
        <v>0</v>
      </c>
      <c r="Q1396" s="19">
        <f>IF(AND($F1396="Compareceu",$E1396&lt;&gt;"",$A1396&lt;&gt;""),IF(IFERROR(INDEX(ProcRet,MATCH($E1396,ProcNome,0)),0)&gt;0,$A1396+INDEX(ProcRet,MATCH($E1396,ProcNome,0)),""),"")</f>
        <v>0</v>
      </c>
      <c r="R1396" s="26">
        <f>IF($Q1396="","",IF(COUNTIFS(AgPac,$D1396,AgData,"&gt;"&amp;$A1396,AgStatus,"&lt;&gt;Cancelado",AgStatus,"&lt;&gt;Remarcado")&gt;0,"Sim","Não"))</f>
        <v>0</v>
      </c>
      <c r="S1396" s="28">
        <f>IF($A1396="","",IF(AND($F1396="Agendado",$A1396-Hoje&gt;=0,$A1396-Hoje&lt;=DiasConf),"CONFIRMAR",IF(AND($A1396&lt;Hoje,OR($F1396="Agendado",$F1396="Confirmado")),"Atualizar status",IF(AND($F1396="Compareceu",$P1396&gt;0.005),"Cobrar",IF($F1396="Faltou","Falta: reagendar","")))))</f>
        <v>0</v>
      </c>
      <c r="T1396" s="29">
        <f>IF($A1396="","",DATE(YEAR($A1396),MONTH($A1396),1))</f>
        <v>0</v>
      </c>
      <c r="U1396" s="30">
        <f>IF($S1396="CONFIRMAR",MAX($U$4:$U1395)+1,"")</f>
        <v>0</v>
      </c>
      <c r="V1396" s="30">
        <f>IF(AND($R1396="Não",$Q1396&lt;&gt;"",$Q1396&lt;=Hoje+JanelaRet,$Q1396&gt;=Hoje-60),MAX($V$4:$V1395)+1,"")</f>
        <v>0</v>
      </c>
    </row>
    <row r="1397" spans="1:22">
      <c r="A1397" s="16"/>
      <c r="B1397" s="23"/>
      <c r="C1397" s="15"/>
      <c r="D1397" s="15"/>
      <c r="E1397" s="15"/>
      <c r="F1397" s="24"/>
      <c r="G1397" s="17"/>
      <c r="H1397" s="17"/>
      <c r="I1397" s="15"/>
      <c r="J1397" s="25">
        <f>IF($D1397="","",IFERROR(INDEX(PacNome,MATCH($D1397,PacCod,0)),"Paciente não cadastrado"))</f>
        <v>0</v>
      </c>
      <c r="K1397" s="26">
        <f>IF($D1397="","",IFERROR(INDEX(PacConv,MATCH($D1397,PacCod,0))&amp;"",""))</f>
        <v>0</v>
      </c>
      <c r="L1397" s="26">
        <f>IF($A1397="","",CHOOSE(WEEKDAY($A1397,2),"Seg","Ter","Qua","Qui","Sex","Sáb","Dom"))</f>
        <v>0</v>
      </c>
      <c r="M1397" s="27">
        <f>IF($E1397="","",IF($G1397&lt;&gt;"",$G1397,IFERROR(INDEX(ProcValor,MATCH($E1397,ProcNome,0)),0)))</f>
        <v>0</v>
      </c>
      <c r="N1397" s="27">
        <f>IF($M1397="","",IF($F1397="Compareceu",$M1397,0))</f>
        <v>0</v>
      </c>
      <c r="O1397" s="27">
        <f>IF($M1397="","",IF($F1397="Faltou",$M1397,0))</f>
        <v>0</v>
      </c>
      <c r="P1397" s="27">
        <f>IF($M1397="","",IF($F1397="Compareceu",MAX(0,$M1397-N($H1397)),0))</f>
        <v>0</v>
      </c>
      <c r="Q1397" s="19">
        <f>IF(AND($F1397="Compareceu",$E1397&lt;&gt;"",$A1397&lt;&gt;""),IF(IFERROR(INDEX(ProcRet,MATCH($E1397,ProcNome,0)),0)&gt;0,$A1397+INDEX(ProcRet,MATCH($E1397,ProcNome,0)),""),"")</f>
        <v>0</v>
      </c>
      <c r="R1397" s="26">
        <f>IF($Q1397="","",IF(COUNTIFS(AgPac,$D1397,AgData,"&gt;"&amp;$A1397,AgStatus,"&lt;&gt;Cancelado",AgStatus,"&lt;&gt;Remarcado")&gt;0,"Sim","Não"))</f>
        <v>0</v>
      </c>
      <c r="S1397" s="28">
        <f>IF($A1397="","",IF(AND($F1397="Agendado",$A1397-Hoje&gt;=0,$A1397-Hoje&lt;=DiasConf),"CONFIRMAR",IF(AND($A1397&lt;Hoje,OR($F1397="Agendado",$F1397="Confirmado")),"Atualizar status",IF(AND($F1397="Compareceu",$P1397&gt;0.005),"Cobrar",IF($F1397="Faltou","Falta: reagendar","")))))</f>
        <v>0</v>
      </c>
      <c r="T1397" s="29">
        <f>IF($A1397="","",DATE(YEAR($A1397),MONTH($A1397),1))</f>
        <v>0</v>
      </c>
      <c r="U1397" s="30">
        <f>IF($S1397="CONFIRMAR",MAX($U$4:$U1396)+1,"")</f>
        <v>0</v>
      </c>
      <c r="V1397" s="30">
        <f>IF(AND($R1397="Não",$Q1397&lt;&gt;"",$Q1397&lt;=Hoje+JanelaRet,$Q1397&gt;=Hoje-60),MAX($V$4:$V1396)+1,"")</f>
        <v>0</v>
      </c>
    </row>
    <row r="1398" spans="1:22">
      <c r="A1398" s="16"/>
      <c r="B1398" s="23"/>
      <c r="C1398" s="15"/>
      <c r="D1398" s="15"/>
      <c r="E1398" s="15"/>
      <c r="F1398" s="24"/>
      <c r="G1398" s="17"/>
      <c r="H1398" s="17"/>
      <c r="I1398" s="15"/>
      <c r="J1398" s="25">
        <f>IF($D1398="","",IFERROR(INDEX(PacNome,MATCH($D1398,PacCod,0)),"Paciente não cadastrado"))</f>
        <v>0</v>
      </c>
      <c r="K1398" s="26">
        <f>IF($D1398="","",IFERROR(INDEX(PacConv,MATCH($D1398,PacCod,0))&amp;"",""))</f>
        <v>0</v>
      </c>
      <c r="L1398" s="26">
        <f>IF($A1398="","",CHOOSE(WEEKDAY($A1398,2),"Seg","Ter","Qua","Qui","Sex","Sáb","Dom"))</f>
        <v>0</v>
      </c>
      <c r="M1398" s="27">
        <f>IF($E1398="","",IF($G1398&lt;&gt;"",$G1398,IFERROR(INDEX(ProcValor,MATCH($E1398,ProcNome,0)),0)))</f>
        <v>0</v>
      </c>
      <c r="N1398" s="27">
        <f>IF($M1398="","",IF($F1398="Compareceu",$M1398,0))</f>
        <v>0</v>
      </c>
      <c r="O1398" s="27">
        <f>IF($M1398="","",IF($F1398="Faltou",$M1398,0))</f>
        <v>0</v>
      </c>
      <c r="P1398" s="27">
        <f>IF($M1398="","",IF($F1398="Compareceu",MAX(0,$M1398-N($H1398)),0))</f>
        <v>0</v>
      </c>
      <c r="Q1398" s="19">
        <f>IF(AND($F1398="Compareceu",$E1398&lt;&gt;"",$A1398&lt;&gt;""),IF(IFERROR(INDEX(ProcRet,MATCH($E1398,ProcNome,0)),0)&gt;0,$A1398+INDEX(ProcRet,MATCH($E1398,ProcNome,0)),""),"")</f>
        <v>0</v>
      </c>
      <c r="R1398" s="26">
        <f>IF($Q1398="","",IF(COUNTIFS(AgPac,$D1398,AgData,"&gt;"&amp;$A1398,AgStatus,"&lt;&gt;Cancelado",AgStatus,"&lt;&gt;Remarcado")&gt;0,"Sim","Não"))</f>
        <v>0</v>
      </c>
      <c r="S1398" s="28">
        <f>IF($A1398="","",IF(AND($F1398="Agendado",$A1398-Hoje&gt;=0,$A1398-Hoje&lt;=DiasConf),"CONFIRMAR",IF(AND($A1398&lt;Hoje,OR($F1398="Agendado",$F1398="Confirmado")),"Atualizar status",IF(AND($F1398="Compareceu",$P1398&gt;0.005),"Cobrar",IF($F1398="Faltou","Falta: reagendar","")))))</f>
        <v>0</v>
      </c>
      <c r="T1398" s="29">
        <f>IF($A1398="","",DATE(YEAR($A1398),MONTH($A1398),1))</f>
        <v>0</v>
      </c>
      <c r="U1398" s="30">
        <f>IF($S1398="CONFIRMAR",MAX($U$4:$U1397)+1,"")</f>
        <v>0</v>
      </c>
      <c r="V1398" s="30">
        <f>IF(AND($R1398="Não",$Q1398&lt;&gt;"",$Q1398&lt;=Hoje+JanelaRet,$Q1398&gt;=Hoje-60),MAX($V$4:$V1397)+1,"")</f>
        <v>0</v>
      </c>
    </row>
    <row r="1399" spans="1:22">
      <c r="A1399" s="16"/>
      <c r="B1399" s="23"/>
      <c r="C1399" s="15"/>
      <c r="D1399" s="15"/>
      <c r="E1399" s="15"/>
      <c r="F1399" s="24"/>
      <c r="G1399" s="17"/>
      <c r="H1399" s="17"/>
      <c r="I1399" s="15"/>
      <c r="J1399" s="25">
        <f>IF($D1399="","",IFERROR(INDEX(PacNome,MATCH($D1399,PacCod,0)),"Paciente não cadastrado"))</f>
        <v>0</v>
      </c>
      <c r="K1399" s="26">
        <f>IF($D1399="","",IFERROR(INDEX(PacConv,MATCH($D1399,PacCod,0))&amp;"",""))</f>
        <v>0</v>
      </c>
      <c r="L1399" s="26">
        <f>IF($A1399="","",CHOOSE(WEEKDAY($A1399,2),"Seg","Ter","Qua","Qui","Sex","Sáb","Dom"))</f>
        <v>0</v>
      </c>
      <c r="M1399" s="27">
        <f>IF($E1399="","",IF($G1399&lt;&gt;"",$G1399,IFERROR(INDEX(ProcValor,MATCH($E1399,ProcNome,0)),0)))</f>
        <v>0</v>
      </c>
      <c r="N1399" s="27">
        <f>IF($M1399="","",IF($F1399="Compareceu",$M1399,0))</f>
        <v>0</v>
      </c>
      <c r="O1399" s="27">
        <f>IF($M1399="","",IF($F1399="Faltou",$M1399,0))</f>
        <v>0</v>
      </c>
      <c r="P1399" s="27">
        <f>IF($M1399="","",IF($F1399="Compareceu",MAX(0,$M1399-N($H1399)),0))</f>
        <v>0</v>
      </c>
      <c r="Q1399" s="19">
        <f>IF(AND($F1399="Compareceu",$E1399&lt;&gt;"",$A1399&lt;&gt;""),IF(IFERROR(INDEX(ProcRet,MATCH($E1399,ProcNome,0)),0)&gt;0,$A1399+INDEX(ProcRet,MATCH($E1399,ProcNome,0)),""),"")</f>
        <v>0</v>
      </c>
      <c r="R1399" s="26">
        <f>IF($Q1399="","",IF(COUNTIFS(AgPac,$D1399,AgData,"&gt;"&amp;$A1399,AgStatus,"&lt;&gt;Cancelado",AgStatus,"&lt;&gt;Remarcado")&gt;0,"Sim","Não"))</f>
        <v>0</v>
      </c>
      <c r="S1399" s="28">
        <f>IF($A1399="","",IF(AND($F1399="Agendado",$A1399-Hoje&gt;=0,$A1399-Hoje&lt;=DiasConf),"CONFIRMAR",IF(AND($A1399&lt;Hoje,OR($F1399="Agendado",$F1399="Confirmado")),"Atualizar status",IF(AND($F1399="Compareceu",$P1399&gt;0.005),"Cobrar",IF($F1399="Faltou","Falta: reagendar","")))))</f>
        <v>0</v>
      </c>
      <c r="T1399" s="29">
        <f>IF($A1399="","",DATE(YEAR($A1399),MONTH($A1399),1))</f>
        <v>0</v>
      </c>
      <c r="U1399" s="30">
        <f>IF($S1399="CONFIRMAR",MAX($U$4:$U1398)+1,"")</f>
        <v>0</v>
      </c>
      <c r="V1399" s="30">
        <f>IF(AND($R1399="Não",$Q1399&lt;&gt;"",$Q1399&lt;=Hoje+JanelaRet,$Q1399&gt;=Hoje-60),MAX($V$4:$V1398)+1,"")</f>
        <v>0</v>
      </c>
    </row>
    <row r="1400" spans="1:22">
      <c r="A1400" s="16"/>
      <c r="B1400" s="23"/>
      <c r="C1400" s="15"/>
      <c r="D1400" s="15"/>
      <c r="E1400" s="15"/>
      <c r="F1400" s="24"/>
      <c r="G1400" s="17"/>
      <c r="H1400" s="17"/>
      <c r="I1400" s="15"/>
      <c r="J1400" s="25">
        <f>IF($D1400="","",IFERROR(INDEX(PacNome,MATCH($D1400,PacCod,0)),"Paciente não cadastrado"))</f>
        <v>0</v>
      </c>
      <c r="K1400" s="26">
        <f>IF($D1400="","",IFERROR(INDEX(PacConv,MATCH($D1400,PacCod,0))&amp;"",""))</f>
        <v>0</v>
      </c>
      <c r="L1400" s="26">
        <f>IF($A1400="","",CHOOSE(WEEKDAY($A1400,2),"Seg","Ter","Qua","Qui","Sex","Sáb","Dom"))</f>
        <v>0</v>
      </c>
      <c r="M1400" s="27">
        <f>IF($E1400="","",IF($G1400&lt;&gt;"",$G1400,IFERROR(INDEX(ProcValor,MATCH($E1400,ProcNome,0)),0)))</f>
        <v>0</v>
      </c>
      <c r="N1400" s="27">
        <f>IF($M1400="","",IF($F1400="Compareceu",$M1400,0))</f>
        <v>0</v>
      </c>
      <c r="O1400" s="27">
        <f>IF($M1400="","",IF($F1400="Faltou",$M1400,0))</f>
        <v>0</v>
      </c>
      <c r="P1400" s="27">
        <f>IF($M1400="","",IF($F1400="Compareceu",MAX(0,$M1400-N($H1400)),0))</f>
        <v>0</v>
      </c>
      <c r="Q1400" s="19">
        <f>IF(AND($F1400="Compareceu",$E1400&lt;&gt;"",$A1400&lt;&gt;""),IF(IFERROR(INDEX(ProcRet,MATCH($E1400,ProcNome,0)),0)&gt;0,$A1400+INDEX(ProcRet,MATCH($E1400,ProcNome,0)),""),"")</f>
        <v>0</v>
      </c>
      <c r="R1400" s="26">
        <f>IF($Q1400="","",IF(COUNTIFS(AgPac,$D1400,AgData,"&gt;"&amp;$A1400,AgStatus,"&lt;&gt;Cancelado",AgStatus,"&lt;&gt;Remarcado")&gt;0,"Sim","Não"))</f>
        <v>0</v>
      </c>
      <c r="S1400" s="28">
        <f>IF($A1400="","",IF(AND($F1400="Agendado",$A1400-Hoje&gt;=0,$A1400-Hoje&lt;=DiasConf),"CONFIRMAR",IF(AND($A1400&lt;Hoje,OR($F1400="Agendado",$F1400="Confirmado")),"Atualizar status",IF(AND($F1400="Compareceu",$P1400&gt;0.005),"Cobrar",IF($F1400="Faltou","Falta: reagendar","")))))</f>
        <v>0</v>
      </c>
      <c r="T1400" s="29">
        <f>IF($A1400="","",DATE(YEAR($A1400),MONTH($A1400),1))</f>
        <v>0</v>
      </c>
      <c r="U1400" s="30">
        <f>IF($S1400="CONFIRMAR",MAX($U$4:$U1399)+1,"")</f>
        <v>0</v>
      </c>
      <c r="V1400" s="30">
        <f>IF(AND($R1400="Não",$Q1400&lt;&gt;"",$Q1400&lt;=Hoje+JanelaRet,$Q1400&gt;=Hoje-60),MAX($V$4:$V1399)+1,"")</f>
        <v>0</v>
      </c>
    </row>
    <row r="1401" spans="1:22">
      <c r="A1401" s="16"/>
      <c r="B1401" s="23"/>
      <c r="C1401" s="15"/>
      <c r="D1401" s="15"/>
      <c r="E1401" s="15"/>
      <c r="F1401" s="24"/>
      <c r="G1401" s="17"/>
      <c r="H1401" s="17"/>
      <c r="I1401" s="15"/>
      <c r="J1401" s="25">
        <f>IF($D1401="","",IFERROR(INDEX(PacNome,MATCH($D1401,PacCod,0)),"Paciente não cadastrado"))</f>
        <v>0</v>
      </c>
      <c r="K1401" s="26">
        <f>IF($D1401="","",IFERROR(INDEX(PacConv,MATCH($D1401,PacCod,0))&amp;"",""))</f>
        <v>0</v>
      </c>
      <c r="L1401" s="26">
        <f>IF($A1401="","",CHOOSE(WEEKDAY($A1401,2),"Seg","Ter","Qua","Qui","Sex","Sáb","Dom"))</f>
        <v>0</v>
      </c>
      <c r="M1401" s="27">
        <f>IF($E1401="","",IF($G1401&lt;&gt;"",$G1401,IFERROR(INDEX(ProcValor,MATCH($E1401,ProcNome,0)),0)))</f>
        <v>0</v>
      </c>
      <c r="N1401" s="27">
        <f>IF($M1401="","",IF($F1401="Compareceu",$M1401,0))</f>
        <v>0</v>
      </c>
      <c r="O1401" s="27">
        <f>IF($M1401="","",IF($F1401="Faltou",$M1401,0))</f>
        <v>0</v>
      </c>
      <c r="P1401" s="27">
        <f>IF($M1401="","",IF($F1401="Compareceu",MAX(0,$M1401-N($H1401)),0))</f>
        <v>0</v>
      </c>
      <c r="Q1401" s="19">
        <f>IF(AND($F1401="Compareceu",$E1401&lt;&gt;"",$A1401&lt;&gt;""),IF(IFERROR(INDEX(ProcRet,MATCH($E1401,ProcNome,0)),0)&gt;0,$A1401+INDEX(ProcRet,MATCH($E1401,ProcNome,0)),""),"")</f>
        <v>0</v>
      </c>
      <c r="R1401" s="26">
        <f>IF($Q1401="","",IF(COUNTIFS(AgPac,$D1401,AgData,"&gt;"&amp;$A1401,AgStatus,"&lt;&gt;Cancelado",AgStatus,"&lt;&gt;Remarcado")&gt;0,"Sim","Não"))</f>
        <v>0</v>
      </c>
      <c r="S1401" s="28">
        <f>IF($A1401="","",IF(AND($F1401="Agendado",$A1401-Hoje&gt;=0,$A1401-Hoje&lt;=DiasConf),"CONFIRMAR",IF(AND($A1401&lt;Hoje,OR($F1401="Agendado",$F1401="Confirmado")),"Atualizar status",IF(AND($F1401="Compareceu",$P1401&gt;0.005),"Cobrar",IF($F1401="Faltou","Falta: reagendar","")))))</f>
        <v>0</v>
      </c>
      <c r="T1401" s="29">
        <f>IF($A1401="","",DATE(YEAR($A1401),MONTH($A1401),1))</f>
        <v>0</v>
      </c>
      <c r="U1401" s="30">
        <f>IF($S1401="CONFIRMAR",MAX($U$4:$U1400)+1,"")</f>
        <v>0</v>
      </c>
      <c r="V1401" s="30">
        <f>IF(AND($R1401="Não",$Q1401&lt;&gt;"",$Q1401&lt;=Hoje+JanelaRet,$Q1401&gt;=Hoje-60),MAX($V$4:$V1400)+1,"")</f>
        <v>0</v>
      </c>
    </row>
    <row r="1402" spans="1:22">
      <c r="A1402" s="16"/>
      <c r="B1402" s="23"/>
      <c r="C1402" s="15"/>
      <c r="D1402" s="15"/>
      <c r="E1402" s="15"/>
      <c r="F1402" s="24"/>
      <c r="G1402" s="17"/>
      <c r="H1402" s="17"/>
      <c r="I1402" s="15"/>
      <c r="J1402" s="25">
        <f>IF($D1402="","",IFERROR(INDEX(PacNome,MATCH($D1402,PacCod,0)),"Paciente não cadastrado"))</f>
        <v>0</v>
      </c>
      <c r="K1402" s="26">
        <f>IF($D1402="","",IFERROR(INDEX(PacConv,MATCH($D1402,PacCod,0))&amp;"",""))</f>
        <v>0</v>
      </c>
      <c r="L1402" s="26">
        <f>IF($A1402="","",CHOOSE(WEEKDAY($A1402,2),"Seg","Ter","Qua","Qui","Sex","Sáb","Dom"))</f>
        <v>0</v>
      </c>
      <c r="M1402" s="27">
        <f>IF($E1402="","",IF($G1402&lt;&gt;"",$G1402,IFERROR(INDEX(ProcValor,MATCH($E1402,ProcNome,0)),0)))</f>
        <v>0</v>
      </c>
      <c r="N1402" s="27">
        <f>IF($M1402="","",IF($F1402="Compareceu",$M1402,0))</f>
        <v>0</v>
      </c>
      <c r="O1402" s="27">
        <f>IF($M1402="","",IF($F1402="Faltou",$M1402,0))</f>
        <v>0</v>
      </c>
      <c r="P1402" s="27">
        <f>IF($M1402="","",IF($F1402="Compareceu",MAX(0,$M1402-N($H1402)),0))</f>
        <v>0</v>
      </c>
      <c r="Q1402" s="19">
        <f>IF(AND($F1402="Compareceu",$E1402&lt;&gt;"",$A1402&lt;&gt;""),IF(IFERROR(INDEX(ProcRet,MATCH($E1402,ProcNome,0)),0)&gt;0,$A1402+INDEX(ProcRet,MATCH($E1402,ProcNome,0)),""),"")</f>
        <v>0</v>
      </c>
      <c r="R1402" s="26">
        <f>IF($Q1402="","",IF(COUNTIFS(AgPac,$D1402,AgData,"&gt;"&amp;$A1402,AgStatus,"&lt;&gt;Cancelado",AgStatus,"&lt;&gt;Remarcado")&gt;0,"Sim","Não"))</f>
        <v>0</v>
      </c>
      <c r="S1402" s="28">
        <f>IF($A1402="","",IF(AND($F1402="Agendado",$A1402-Hoje&gt;=0,$A1402-Hoje&lt;=DiasConf),"CONFIRMAR",IF(AND($A1402&lt;Hoje,OR($F1402="Agendado",$F1402="Confirmado")),"Atualizar status",IF(AND($F1402="Compareceu",$P1402&gt;0.005),"Cobrar",IF($F1402="Faltou","Falta: reagendar","")))))</f>
        <v>0</v>
      </c>
      <c r="T1402" s="29">
        <f>IF($A1402="","",DATE(YEAR($A1402),MONTH($A1402),1))</f>
        <v>0</v>
      </c>
      <c r="U1402" s="30">
        <f>IF($S1402="CONFIRMAR",MAX($U$4:$U1401)+1,"")</f>
        <v>0</v>
      </c>
      <c r="V1402" s="30">
        <f>IF(AND($R1402="Não",$Q1402&lt;&gt;"",$Q1402&lt;=Hoje+JanelaRet,$Q1402&gt;=Hoje-60),MAX($V$4:$V1401)+1,"")</f>
        <v>0</v>
      </c>
    </row>
    <row r="1403" spans="1:22">
      <c r="A1403" s="16"/>
      <c r="B1403" s="23"/>
      <c r="C1403" s="15"/>
      <c r="D1403" s="15"/>
      <c r="E1403" s="15"/>
      <c r="F1403" s="24"/>
      <c r="G1403" s="17"/>
      <c r="H1403" s="17"/>
      <c r="I1403" s="15"/>
      <c r="J1403" s="25">
        <f>IF($D1403="","",IFERROR(INDEX(PacNome,MATCH($D1403,PacCod,0)),"Paciente não cadastrado"))</f>
        <v>0</v>
      </c>
      <c r="K1403" s="26">
        <f>IF($D1403="","",IFERROR(INDEX(PacConv,MATCH($D1403,PacCod,0))&amp;"",""))</f>
        <v>0</v>
      </c>
      <c r="L1403" s="26">
        <f>IF($A1403="","",CHOOSE(WEEKDAY($A1403,2),"Seg","Ter","Qua","Qui","Sex","Sáb","Dom"))</f>
        <v>0</v>
      </c>
      <c r="M1403" s="27">
        <f>IF($E1403="","",IF($G1403&lt;&gt;"",$G1403,IFERROR(INDEX(ProcValor,MATCH($E1403,ProcNome,0)),0)))</f>
        <v>0</v>
      </c>
      <c r="N1403" s="27">
        <f>IF($M1403="","",IF($F1403="Compareceu",$M1403,0))</f>
        <v>0</v>
      </c>
      <c r="O1403" s="27">
        <f>IF($M1403="","",IF($F1403="Faltou",$M1403,0))</f>
        <v>0</v>
      </c>
      <c r="P1403" s="27">
        <f>IF($M1403="","",IF($F1403="Compareceu",MAX(0,$M1403-N($H1403)),0))</f>
        <v>0</v>
      </c>
      <c r="Q1403" s="19">
        <f>IF(AND($F1403="Compareceu",$E1403&lt;&gt;"",$A1403&lt;&gt;""),IF(IFERROR(INDEX(ProcRet,MATCH($E1403,ProcNome,0)),0)&gt;0,$A1403+INDEX(ProcRet,MATCH($E1403,ProcNome,0)),""),"")</f>
        <v>0</v>
      </c>
      <c r="R1403" s="26">
        <f>IF($Q1403="","",IF(COUNTIFS(AgPac,$D1403,AgData,"&gt;"&amp;$A1403,AgStatus,"&lt;&gt;Cancelado",AgStatus,"&lt;&gt;Remarcado")&gt;0,"Sim","Não"))</f>
        <v>0</v>
      </c>
      <c r="S1403" s="28">
        <f>IF($A1403="","",IF(AND($F1403="Agendado",$A1403-Hoje&gt;=0,$A1403-Hoje&lt;=DiasConf),"CONFIRMAR",IF(AND($A1403&lt;Hoje,OR($F1403="Agendado",$F1403="Confirmado")),"Atualizar status",IF(AND($F1403="Compareceu",$P1403&gt;0.005),"Cobrar",IF($F1403="Faltou","Falta: reagendar","")))))</f>
        <v>0</v>
      </c>
      <c r="T1403" s="29">
        <f>IF($A1403="","",DATE(YEAR($A1403),MONTH($A1403),1))</f>
        <v>0</v>
      </c>
      <c r="U1403" s="30">
        <f>IF($S1403="CONFIRMAR",MAX($U$4:$U1402)+1,"")</f>
        <v>0</v>
      </c>
      <c r="V1403" s="30">
        <f>IF(AND($R1403="Não",$Q1403&lt;&gt;"",$Q1403&lt;=Hoje+JanelaRet,$Q1403&gt;=Hoje-60),MAX($V$4:$V1402)+1,"")</f>
        <v>0</v>
      </c>
    </row>
    <row r="1404" spans="1:22">
      <c r="A1404" s="16"/>
      <c r="B1404" s="23"/>
      <c r="C1404" s="15"/>
      <c r="D1404" s="15"/>
      <c r="E1404" s="15"/>
      <c r="F1404" s="24"/>
      <c r="G1404" s="17"/>
      <c r="H1404" s="17"/>
      <c r="I1404" s="15"/>
      <c r="J1404" s="25">
        <f>IF($D1404="","",IFERROR(INDEX(PacNome,MATCH($D1404,PacCod,0)),"Paciente não cadastrado"))</f>
        <v>0</v>
      </c>
      <c r="K1404" s="26">
        <f>IF($D1404="","",IFERROR(INDEX(PacConv,MATCH($D1404,PacCod,0))&amp;"",""))</f>
        <v>0</v>
      </c>
      <c r="L1404" s="26">
        <f>IF($A1404="","",CHOOSE(WEEKDAY($A1404,2),"Seg","Ter","Qua","Qui","Sex","Sáb","Dom"))</f>
        <v>0</v>
      </c>
      <c r="M1404" s="27">
        <f>IF($E1404="","",IF($G1404&lt;&gt;"",$G1404,IFERROR(INDEX(ProcValor,MATCH($E1404,ProcNome,0)),0)))</f>
        <v>0</v>
      </c>
      <c r="N1404" s="27">
        <f>IF($M1404="","",IF($F1404="Compareceu",$M1404,0))</f>
        <v>0</v>
      </c>
      <c r="O1404" s="27">
        <f>IF($M1404="","",IF($F1404="Faltou",$M1404,0))</f>
        <v>0</v>
      </c>
      <c r="P1404" s="27">
        <f>IF($M1404="","",IF($F1404="Compareceu",MAX(0,$M1404-N($H1404)),0))</f>
        <v>0</v>
      </c>
      <c r="Q1404" s="19">
        <f>IF(AND($F1404="Compareceu",$E1404&lt;&gt;"",$A1404&lt;&gt;""),IF(IFERROR(INDEX(ProcRet,MATCH($E1404,ProcNome,0)),0)&gt;0,$A1404+INDEX(ProcRet,MATCH($E1404,ProcNome,0)),""),"")</f>
        <v>0</v>
      </c>
      <c r="R1404" s="26">
        <f>IF($Q1404="","",IF(COUNTIFS(AgPac,$D1404,AgData,"&gt;"&amp;$A1404,AgStatus,"&lt;&gt;Cancelado",AgStatus,"&lt;&gt;Remarcado")&gt;0,"Sim","Não"))</f>
        <v>0</v>
      </c>
      <c r="S1404" s="28">
        <f>IF($A1404="","",IF(AND($F1404="Agendado",$A1404-Hoje&gt;=0,$A1404-Hoje&lt;=DiasConf),"CONFIRMAR",IF(AND($A1404&lt;Hoje,OR($F1404="Agendado",$F1404="Confirmado")),"Atualizar status",IF(AND($F1404="Compareceu",$P1404&gt;0.005),"Cobrar",IF($F1404="Faltou","Falta: reagendar","")))))</f>
        <v>0</v>
      </c>
      <c r="T1404" s="29">
        <f>IF($A1404="","",DATE(YEAR($A1404),MONTH($A1404),1))</f>
        <v>0</v>
      </c>
      <c r="U1404" s="30">
        <f>IF($S1404="CONFIRMAR",MAX($U$4:$U1403)+1,"")</f>
        <v>0</v>
      </c>
      <c r="V1404" s="30">
        <f>IF(AND($R1404="Não",$Q1404&lt;&gt;"",$Q1404&lt;=Hoje+JanelaRet,$Q1404&gt;=Hoje-60),MAX($V$4:$V1403)+1,"")</f>
        <v>0</v>
      </c>
    </row>
    <row r="1405" spans="1:22">
      <c r="A1405" s="16"/>
      <c r="B1405" s="23"/>
      <c r="C1405" s="15"/>
      <c r="D1405" s="15"/>
      <c r="E1405" s="15"/>
      <c r="F1405" s="24"/>
      <c r="G1405" s="17"/>
      <c r="H1405" s="17"/>
      <c r="I1405" s="15"/>
      <c r="J1405" s="25">
        <f>IF($D1405="","",IFERROR(INDEX(PacNome,MATCH($D1405,PacCod,0)),"Paciente não cadastrado"))</f>
        <v>0</v>
      </c>
      <c r="K1405" s="26">
        <f>IF($D1405="","",IFERROR(INDEX(PacConv,MATCH($D1405,PacCod,0))&amp;"",""))</f>
        <v>0</v>
      </c>
      <c r="L1405" s="26">
        <f>IF($A1405="","",CHOOSE(WEEKDAY($A1405,2),"Seg","Ter","Qua","Qui","Sex","Sáb","Dom"))</f>
        <v>0</v>
      </c>
      <c r="M1405" s="27">
        <f>IF($E1405="","",IF($G1405&lt;&gt;"",$G1405,IFERROR(INDEX(ProcValor,MATCH($E1405,ProcNome,0)),0)))</f>
        <v>0</v>
      </c>
      <c r="N1405" s="27">
        <f>IF($M1405="","",IF($F1405="Compareceu",$M1405,0))</f>
        <v>0</v>
      </c>
      <c r="O1405" s="27">
        <f>IF($M1405="","",IF($F1405="Faltou",$M1405,0))</f>
        <v>0</v>
      </c>
      <c r="P1405" s="27">
        <f>IF($M1405="","",IF($F1405="Compareceu",MAX(0,$M1405-N($H1405)),0))</f>
        <v>0</v>
      </c>
      <c r="Q1405" s="19">
        <f>IF(AND($F1405="Compareceu",$E1405&lt;&gt;"",$A1405&lt;&gt;""),IF(IFERROR(INDEX(ProcRet,MATCH($E1405,ProcNome,0)),0)&gt;0,$A1405+INDEX(ProcRet,MATCH($E1405,ProcNome,0)),""),"")</f>
        <v>0</v>
      </c>
      <c r="R1405" s="26">
        <f>IF($Q1405="","",IF(COUNTIFS(AgPac,$D1405,AgData,"&gt;"&amp;$A1405,AgStatus,"&lt;&gt;Cancelado",AgStatus,"&lt;&gt;Remarcado")&gt;0,"Sim","Não"))</f>
        <v>0</v>
      </c>
      <c r="S1405" s="28">
        <f>IF($A1405="","",IF(AND($F1405="Agendado",$A1405-Hoje&gt;=0,$A1405-Hoje&lt;=DiasConf),"CONFIRMAR",IF(AND($A1405&lt;Hoje,OR($F1405="Agendado",$F1405="Confirmado")),"Atualizar status",IF(AND($F1405="Compareceu",$P1405&gt;0.005),"Cobrar",IF($F1405="Faltou","Falta: reagendar","")))))</f>
        <v>0</v>
      </c>
      <c r="T1405" s="29">
        <f>IF($A1405="","",DATE(YEAR($A1405),MONTH($A1405),1))</f>
        <v>0</v>
      </c>
      <c r="U1405" s="30">
        <f>IF($S1405="CONFIRMAR",MAX($U$4:$U1404)+1,"")</f>
        <v>0</v>
      </c>
      <c r="V1405" s="30">
        <f>IF(AND($R1405="Não",$Q1405&lt;&gt;"",$Q1405&lt;=Hoje+JanelaRet,$Q1405&gt;=Hoje-60),MAX($V$4:$V1404)+1,"")</f>
        <v>0</v>
      </c>
    </row>
    <row r="1406" spans="1:22">
      <c r="A1406" s="16"/>
      <c r="B1406" s="23"/>
      <c r="C1406" s="15"/>
      <c r="D1406" s="15"/>
      <c r="E1406" s="15"/>
      <c r="F1406" s="24"/>
      <c r="G1406" s="17"/>
      <c r="H1406" s="17"/>
      <c r="I1406" s="15"/>
      <c r="J1406" s="25">
        <f>IF($D1406="","",IFERROR(INDEX(PacNome,MATCH($D1406,PacCod,0)),"Paciente não cadastrado"))</f>
        <v>0</v>
      </c>
      <c r="K1406" s="26">
        <f>IF($D1406="","",IFERROR(INDEX(PacConv,MATCH($D1406,PacCod,0))&amp;"",""))</f>
        <v>0</v>
      </c>
      <c r="L1406" s="26">
        <f>IF($A1406="","",CHOOSE(WEEKDAY($A1406,2),"Seg","Ter","Qua","Qui","Sex","Sáb","Dom"))</f>
        <v>0</v>
      </c>
      <c r="M1406" s="27">
        <f>IF($E1406="","",IF($G1406&lt;&gt;"",$G1406,IFERROR(INDEX(ProcValor,MATCH($E1406,ProcNome,0)),0)))</f>
        <v>0</v>
      </c>
      <c r="N1406" s="27">
        <f>IF($M1406="","",IF($F1406="Compareceu",$M1406,0))</f>
        <v>0</v>
      </c>
      <c r="O1406" s="27">
        <f>IF($M1406="","",IF($F1406="Faltou",$M1406,0))</f>
        <v>0</v>
      </c>
      <c r="P1406" s="27">
        <f>IF($M1406="","",IF($F1406="Compareceu",MAX(0,$M1406-N($H1406)),0))</f>
        <v>0</v>
      </c>
      <c r="Q1406" s="19">
        <f>IF(AND($F1406="Compareceu",$E1406&lt;&gt;"",$A1406&lt;&gt;""),IF(IFERROR(INDEX(ProcRet,MATCH($E1406,ProcNome,0)),0)&gt;0,$A1406+INDEX(ProcRet,MATCH($E1406,ProcNome,0)),""),"")</f>
        <v>0</v>
      </c>
      <c r="R1406" s="26">
        <f>IF($Q1406="","",IF(COUNTIFS(AgPac,$D1406,AgData,"&gt;"&amp;$A1406,AgStatus,"&lt;&gt;Cancelado",AgStatus,"&lt;&gt;Remarcado")&gt;0,"Sim","Não"))</f>
        <v>0</v>
      </c>
      <c r="S1406" s="28">
        <f>IF($A1406="","",IF(AND($F1406="Agendado",$A1406-Hoje&gt;=0,$A1406-Hoje&lt;=DiasConf),"CONFIRMAR",IF(AND($A1406&lt;Hoje,OR($F1406="Agendado",$F1406="Confirmado")),"Atualizar status",IF(AND($F1406="Compareceu",$P1406&gt;0.005),"Cobrar",IF($F1406="Faltou","Falta: reagendar","")))))</f>
        <v>0</v>
      </c>
      <c r="T1406" s="29">
        <f>IF($A1406="","",DATE(YEAR($A1406),MONTH($A1406),1))</f>
        <v>0</v>
      </c>
      <c r="U1406" s="30">
        <f>IF($S1406="CONFIRMAR",MAX($U$4:$U1405)+1,"")</f>
        <v>0</v>
      </c>
      <c r="V1406" s="30">
        <f>IF(AND($R1406="Não",$Q1406&lt;&gt;"",$Q1406&lt;=Hoje+JanelaRet,$Q1406&gt;=Hoje-60),MAX($V$4:$V1405)+1,"")</f>
        <v>0</v>
      </c>
    </row>
    <row r="1407" spans="1:22">
      <c r="A1407" s="16"/>
      <c r="B1407" s="23"/>
      <c r="C1407" s="15"/>
      <c r="D1407" s="15"/>
      <c r="E1407" s="15"/>
      <c r="F1407" s="24"/>
      <c r="G1407" s="17"/>
      <c r="H1407" s="17"/>
      <c r="I1407" s="15"/>
      <c r="J1407" s="25">
        <f>IF($D1407="","",IFERROR(INDEX(PacNome,MATCH($D1407,PacCod,0)),"Paciente não cadastrado"))</f>
        <v>0</v>
      </c>
      <c r="K1407" s="26">
        <f>IF($D1407="","",IFERROR(INDEX(PacConv,MATCH($D1407,PacCod,0))&amp;"",""))</f>
        <v>0</v>
      </c>
      <c r="L1407" s="26">
        <f>IF($A1407="","",CHOOSE(WEEKDAY($A1407,2),"Seg","Ter","Qua","Qui","Sex","Sáb","Dom"))</f>
        <v>0</v>
      </c>
      <c r="M1407" s="27">
        <f>IF($E1407="","",IF($G1407&lt;&gt;"",$G1407,IFERROR(INDEX(ProcValor,MATCH($E1407,ProcNome,0)),0)))</f>
        <v>0</v>
      </c>
      <c r="N1407" s="27">
        <f>IF($M1407="","",IF($F1407="Compareceu",$M1407,0))</f>
        <v>0</v>
      </c>
      <c r="O1407" s="27">
        <f>IF($M1407="","",IF($F1407="Faltou",$M1407,0))</f>
        <v>0</v>
      </c>
      <c r="P1407" s="27">
        <f>IF($M1407="","",IF($F1407="Compareceu",MAX(0,$M1407-N($H1407)),0))</f>
        <v>0</v>
      </c>
      <c r="Q1407" s="19">
        <f>IF(AND($F1407="Compareceu",$E1407&lt;&gt;"",$A1407&lt;&gt;""),IF(IFERROR(INDEX(ProcRet,MATCH($E1407,ProcNome,0)),0)&gt;0,$A1407+INDEX(ProcRet,MATCH($E1407,ProcNome,0)),""),"")</f>
        <v>0</v>
      </c>
      <c r="R1407" s="26">
        <f>IF($Q1407="","",IF(COUNTIFS(AgPac,$D1407,AgData,"&gt;"&amp;$A1407,AgStatus,"&lt;&gt;Cancelado",AgStatus,"&lt;&gt;Remarcado")&gt;0,"Sim","Não"))</f>
        <v>0</v>
      </c>
      <c r="S1407" s="28">
        <f>IF($A1407="","",IF(AND($F1407="Agendado",$A1407-Hoje&gt;=0,$A1407-Hoje&lt;=DiasConf),"CONFIRMAR",IF(AND($A1407&lt;Hoje,OR($F1407="Agendado",$F1407="Confirmado")),"Atualizar status",IF(AND($F1407="Compareceu",$P1407&gt;0.005),"Cobrar",IF($F1407="Faltou","Falta: reagendar","")))))</f>
        <v>0</v>
      </c>
      <c r="T1407" s="29">
        <f>IF($A1407="","",DATE(YEAR($A1407),MONTH($A1407),1))</f>
        <v>0</v>
      </c>
      <c r="U1407" s="30">
        <f>IF($S1407="CONFIRMAR",MAX($U$4:$U1406)+1,"")</f>
        <v>0</v>
      </c>
      <c r="V1407" s="30">
        <f>IF(AND($R1407="Não",$Q1407&lt;&gt;"",$Q1407&lt;=Hoje+JanelaRet,$Q1407&gt;=Hoje-60),MAX($V$4:$V1406)+1,"")</f>
        <v>0</v>
      </c>
    </row>
    <row r="1408" spans="1:22">
      <c r="A1408" s="16"/>
      <c r="B1408" s="23"/>
      <c r="C1408" s="15"/>
      <c r="D1408" s="15"/>
      <c r="E1408" s="15"/>
      <c r="F1408" s="24"/>
      <c r="G1408" s="17"/>
      <c r="H1408" s="17"/>
      <c r="I1408" s="15"/>
      <c r="J1408" s="25">
        <f>IF($D1408="","",IFERROR(INDEX(PacNome,MATCH($D1408,PacCod,0)),"Paciente não cadastrado"))</f>
        <v>0</v>
      </c>
      <c r="K1408" s="26">
        <f>IF($D1408="","",IFERROR(INDEX(PacConv,MATCH($D1408,PacCod,0))&amp;"",""))</f>
        <v>0</v>
      </c>
      <c r="L1408" s="26">
        <f>IF($A1408="","",CHOOSE(WEEKDAY($A1408,2),"Seg","Ter","Qua","Qui","Sex","Sáb","Dom"))</f>
        <v>0</v>
      </c>
      <c r="M1408" s="27">
        <f>IF($E1408="","",IF($G1408&lt;&gt;"",$G1408,IFERROR(INDEX(ProcValor,MATCH($E1408,ProcNome,0)),0)))</f>
        <v>0</v>
      </c>
      <c r="N1408" s="27">
        <f>IF($M1408="","",IF($F1408="Compareceu",$M1408,0))</f>
        <v>0</v>
      </c>
      <c r="O1408" s="27">
        <f>IF($M1408="","",IF($F1408="Faltou",$M1408,0))</f>
        <v>0</v>
      </c>
      <c r="P1408" s="27">
        <f>IF($M1408="","",IF($F1408="Compareceu",MAX(0,$M1408-N($H1408)),0))</f>
        <v>0</v>
      </c>
      <c r="Q1408" s="19">
        <f>IF(AND($F1408="Compareceu",$E1408&lt;&gt;"",$A1408&lt;&gt;""),IF(IFERROR(INDEX(ProcRet,MATCH($E1408,ProcNome,0)),0)&gt;0,$A1408+INDEX(ProcRet,MATCH($E1408,ProcNome,0)),""),"")</f>
        <v>0</v>
      </c>
      <c r="R1408" s="26">
        <f>IF($Q1408="","",IF(COUNTIFS(AgPac,$D1408,AgData,"&gt;"&amp;$A1408,AgStatus,"&lt;&gt;Cancelado",AgStatus,"&lt;&gt;Remarcado")&gt;0,"Sim","Não"))</f>
        <v>0</v>
      </c>
      <c r="S1408" s="28">
        <f>IF($A1408="","",IF(AND($F1408="Agendado",$A1408-Hoje&gt;=0,$A1408-Hoje&lt;=DiasConf),"CONFIRMAR",IF(AND($A1408&lt;Hoje,OR($F1408="Agendado",$F1408="Confirmado")),"Atualizar status",IF(AND($F1408="Compareceu",$P1408&gt;0.005),"Cobrar",IF($F1408="Faltou","Falta: reagendar","")))))</f>
        <v>0</v>
      </c>
      <c r="T1408" s="29">
        <f>IF($A1408="","",DATE(YEAR($A1408),MONTH($A1408),1))</f>
        <v>0</v>
      </c>
      <c r="U1408" s="30">
        <f>IF($S1408="CONFIRMAR",MAX($U$4:$U1407)+1,"")</f>
        <v>0</v>
      </c>
      <c r="V1408" s="30">
        <f>IF(AND($R1408="Não",$Q1408&lt;&gt;"",$Q1408&lt;=Hoje+JanelaRet,$Q1408&gt;=Hoje-60),MAX($V$4:$V1407)+1,"")</f>
        <v>0</v>
      </c>
    </row>
    <row r="1409" spans="1:22">
      <c r="A1409" s="16"/>
      <c r="B1409" s="23"/>
      <c r="C1409" s="15"/>
      <c r="D1409" s="15"/>
      <c r="E1409" s="15"/>
      <c r="F1409" s="24"/>
      <c r="G1409" s="17"/>
      <c r="H1409" s="17"/>
      <c r="I1409" s="15"/>
      <c r="J1409" s="25">
        <f>IF($D1409="","",IFERROR(INDEX(PacNome,MATCH($D1409,PacCod,0)),"Paciente não cadastrado"))</f>
        <v>0</v>
      </c>
      <c r="K1409" s="26">
        <f>IF($D1409="","",IFERROR(INDEX(PacConv,MATCH($D1409,PacCod,0))&amp;"",""))</f>
        <v>0</v>
      </c>
      <c r="L1409" s="26">
        <f>IF($A1409="","",CHOOSE(WEEKDAY($A1409,2),"Seg","Ter","Qua","Qui","Sex","Sáb","Dom"))</f>
        <v>0</v>
      </c>
      <c r="M1409" s="27">
        <f>IF($E1409="","",IF($G1409&lt;&gt;"",$G1409,IFERROR(INDEX(ProcValor,MATCH($E1409,ProcNome,0)),0)))</f>
        <v>0</v>
      </c>
      <c r="N1409" s="27">
        <f>IF($M1409="","",IF($F1409="Compareceu",$M1409,0))</f>
        <v>0</v>
      </c>
      <c r="O1409" s="27">
        <f>IF($M1409="","",IF($F1409="Faltou",$M1409,0))</f>
        <v>0</v>
      </c>
      <c r="P1409" s="27">
        <f>IF($M1409="","",IF($F1409="Compareceu",MAX(0,$M1409-N($H1409)),0))</f>
        <v>0</v>
      </c>
      <c r="Q1409" s="19">
        <f>IF(AND($F1409="Compareceu",$E1409&lt;&gt;"",$A1409&lt;&gt;""),IF(IFERROR(INDEX(ProcRet,MATCH($E1409,ProcNome,0)),0)&gt;0,$A1409+INDEX(ProcRet,MATCH($E1409,ProcNome,0)),""),"")</f>
        <v>0</v>
      </c>
      <c r="R1409" s="26">
        <f>IF($Q1409="","",IF(COUNTIFS(AgPac,$D1409,AgData,"&gt;"&amp;$A1409,AgStatus,"&lt;&gt;Cancelado",AgStatus,"&lt;&gt;Remarcado")&gt;0,"Sim","Não"))</f>
        <v>0</v>
      </c>
      <c r="S1409" s="28">
        <f>IF($A1409="","",IF(AND($F1409="Agendado",$A1409-Hoje&gt;=0,$A1409-Hoje&lt;=DiasConf),"CONFIRMAR",IF(AND($A1409&lt;Hoje,OR($F1409="Agendado",$F1409="Confirmado")),"Atualizar status",IF(AND($F1409="Compareceu",$P1409&gt;0.005),"Cobrar",IF($F1409="Faltou","Falta: reagendar","")))))</f>
        <v>0</v>
      </c>
      <c r="T1409" s="29">
        <f>IF($A1409="","",DATE(YEAR($A1409),MONTH($A1409),1))</f>
        <v>0</v>
      </c>
      <c r="U1409" s="30">
        <f>IF($S1409="CONFIRMAR",MAX($U$4:$U1408)+1,"")</f>
        <v>0</v>
      </c>
      <c r="V1409" s="30">
        <f>IF(AND($R1409="Não",$Q1409&lt;&gt;"",$Q1409&lt;=Hoje+JanelaRet,$Q1409&gt;=Hoje-60),MAX($V$4:$V1408)+1,"")</f>
        <v>0</v>
      </c>
    </row>
    <row r="1410" spans="1:22">
      <c r="A1410" s="16"/>
      <c r="B1410" s="23"/>
      <c r="C1410" s="15"/>
      <c r="D1410" s="15"/>
      <c r="E1410" s="15"/>
      <c r="F1410" s="24"/>
      <c r="G1410" s="17"/>
      <c r="H1410" s="17"/>
      <c r="I1410" s="15"/>
      <c r="J1410" s="25">
        <f>IF($D1410="","",IFERROR(INDEX(PacNome,MATCH($D1410,PacCod,0)),"Paciente não cadastrado"))</f>
        <v>0</v>
      </c>
      <c r="K1410" s="26">
        <f>IF($D1410="","",IFERROR(INDEX(PacConv,MATCH($D1410,PacCod,0))&amp;"",""))</f>
        <v>0</v>
      </c>
      <c r="L1410" s="26">
        <f>IF($A1410="","",CHOOSE(WEEKDAY($A1410,2),"Seg","Ter","Qua","Qui","Sex","Sáb","Dom"))</f>
        <v>0</v>
      </c>
      <c r="M1410" s="27">
        <f>IF($E1410="","",IF($G1410&lt;&gt;"",$G1410,IFERROR(INDEX(ProcValor,MATCH($E1410,ProcNome,0)),0)))</f>
        <v>0</v>
      </c>
      <c r="N1410" s="27">
        <f>IF($M1410="","",IF($F1410="Compareceu",$M1410,0))</f>
        <v>0</v>
      </c>
      <c r="O1410" s="27">
        <f>IF($M1410="","",IF($F1410="Faltou",$M1410,0))</f>
        <v>0</v>
      </c>
      <c r="P1410" s="27">
        <f>IF($M1410="","",IF($F1410="Compareceu",MAX(0,$M1410-N($H1410)),0))</f>
        <v>0</v>
      </c>
      <c r="Q1410" s="19">
        <f>IF(AND($F1410="Compareceu",$E1410&lt;&gt;"",$A1410&lt;&gt;""),IF(IFERROR(INDEX(ProcRet,MATCH($E1410,ProcNome,0)),0)&gt;0,$A1410+INDEX(ProcRet,MATCH($E1410,ProcNome,0)),""),"")</f>
        <v>0</v>
      </c>
      <c r="R1410" s="26">
        <f>IF($Q1410="","",IF(COUNTIFS(AgPac,$D1410,AgData,"&gt;"&amp;$A1410,AgStatus,"&lt;&gt;Cancelado",AgStatus,"&lt;&gt;Remarcado")&gt;0,"Sim","Não"))</f>
        <v>0</v>
      </c>
      <c r="S1410" s="28">
        <f>IF($A1410="","",IF(AND($F1410="Agendado",$A1410-Hoje&gt;=0,$A1410-Hoje&lt;=DiasConf),"CONFIRMAR",IF(AND($A1410&lt;Hoje,OR($F1410="Agendado",$F1410="Confirmado")),"Atualizar status",IF(AND($F1410="Compareceu",$P1410&gt;0.005),"Cobrar",IF($F1410="Faltou","Falta: reagendar","")))))</f>
        <v>0</v>
      </c>
      <c r="T1410" s="29">
        <f>IF($A1410="","",DATE(YEAR($A1410),MONTH($A1410),1))</f>
        <v>0</v>
      </c>
      <c r="U1410" s="30">
        <f>IF($S1410="CONFIRMAR",MAX($U$4:$U1409)+1,"")</f>
        <v>0</v>
      </c>
      <c r="V1410" s="30">
        <f>IF(AND($R1410="Não",$Q1410&lt;&gt;"",$Q1410&lt;=Hoje+JanelaRet,$Q1410&gt;=Hoje-60),MAX($V$4:$V1409)+1,"")</f>
        <v>0</v>
      </c>
    </row>
    <row r="1411" spans="1:22">
      <c r="A1411" s="16"/>
      <c r="B1411" s="23"/>
      <c r="C1411" s="15"/>
      <c r="D1411" s="15"/>
      <c r="E1411" s="15"/>
      <c r="F1411" s="24"/>
      <c r="G1411" s="17"/>
      <c r="H1411" s="17"/>
      <c r="I1411" s="15"/>
      <c r="J1411" s="25">
        <f>IF($D1411="","",IFERROR(INDEX(PacNome,MATCH($D1411,PacCod,0)),"Paciente não cadastrado"))</f>
        <v>0</v>
      </c>
      <c r="K1411" s="26">
        <f>IF($D1411="","",IFERROR(INDEX(PacConv,MATCH($D1411,PacCod,0))&amp;"",""))</f>
        <v>0</v>
      </c>
      <c r="L1411" s="26">
        <f>IF($A1411="","",CHOOSE(WEEKDAY($A1411,2),"Seg","Ter","Qua","Qui","Sex","Sáb","Dom"))</f>
        <v>0</v>
      </c>
      <c r="M1411" s="27">
        <f>IF($E1411="","",IF($G1411&lt;&gt;"",$G1411,IFERROR(INDEX(ProcValor,MATCH($E1411,ProcNome,0)),0)))</f>
        <v>0</v>
      </c>
      <c r="N1411" s="27">
        <f>IF($M1411="","",IF($F1411="Compareceu",$M1411,0))</f>
        <v>0</v>
      </c>
      <c r="O1411" s="27">
        <f>IF($M1411="","",IF($F1411="Faltou",$M1411,0))</f>
        <v>0</v>
      </c>
      <c r="P1411" s="27">
        <f>IF($M1411="","",IF($F1411="Compareceu",MAX(0,$M1411-N($H1411)),0))</f>
        <v>0</v>
      </c>
      <c r="Q1411" s="19">
        <f>IF(AND($F1411="Compareceu",$E1411&lt;&gt;"",$A1411&lt;&gt;""),IF(IFERROR(INDEX(ProcRet,MATCH($E1411,ProcNome,0)),0)&gt;0,$A1411+INDEX(ProcRet,MATCH($E1411,ProcNome,0)),""),"")</f>
        <v>0</v>
      </c>
      <c r="R1411" s="26">
        <f>IF($Q1411="","",IF(COUNTIFS(AgPac,$D1411,AgData,"&gt;"&amp;$A1411,AgStatus,"&lt;&gt;Cancelado",AgStatus,"&lt;&gt;Remarcado")&gt;0,"Sim","Não"))</f>
        <v>0</v>
      </c>
      <c r="S1411" s="28">
        <f>IF($A1411="","",IF(AND($F1411="Agendado",$A1411-Hoje&gt;=0,$A1411-Hoje&lt;=DiasConf),"CONFIRMAR",IF(AND($A1411&lt;Hoje,OR($F1411="Agendado",$F1411="Confirmado")),"Atualizar status",IF(AND($F1411="Compareceu",$P1411&gt;0.005),"Cobrar",IF($F1411="Faltou","Falta: reagendar","")))))</f>
        <v>0</v>
      </c>
      <c r="T1411" s="29">
        <f>IF($A1411="","",DATE(YEAR($A1411),MONTH($A1411),1))</f>
        <v>0</v>
      </c>
      <c r="U1411" s="30">
        <f>IF($S1411="CONFIRMAR",MAX($U$4:$U1410)+1,"")</f>
        <v>0</v>
      </c>
      <c r="V1411" s="30">
        <f>IF(AND($R1411="Não",$Q1411&lt;&gt;"",$Q1411&lt;=Hoje+JanelaRet,$Q1411&gt;=Hoje-60),MAX($V$4:$V1410)+1,"")</f>
        <v>0</v>
      </c>
    </row>
    <row r="1412" spans="1:22">
      <c r="A1412" s="16"/>
      <c r="B1412" s="23"/>
      <c r="C1412" s="15"/>
      <c r="D1412" s="15"/>
      <c r="E1412" s="15"/>
      <c r="F1412" s="24"/>
      <c r="G1412" s="17"/>
      <c r="H1412" s="17"/>
      <c r="I1412" s="15"/>
      <c r="J1412" s="25">
        <f>IF($D1412="","",IFERROR(INDEX(PacNome,MATCH($D1412,PacCod,0)),"Paciente não cadastrado"))</f>
        <v>0</v>
      </c>
      <c r="K1412" s="26">
        <f>IF($D1412="","",IFERROR(INDEX(PacConv,MATCH($D1412,PacCod,0))&amp;"",""))</f>
        <v>0</v>
      </c>
      <c r="L1412" s="26">
        <f>IF($A1412="","",CHOOSE(WEEKDAY($A1412,2),"Seg","Ter","Qua","Qui","Sex","Sáb","Dom"))</f>
        <v>0</v>
      </c>
      <c r="M1412" s="27">
        <f>IF($E1412="","",IF($G1412&lt;&gt;"",$G1412,IFERROR(INDEX(ProcValor,MATCH($E1412,ProcNome,0)),0)))</f>
        <v>0</v>
      </c>
      <c r="N1412" s="27">
        <f>IF($M1412="","",IF($F1412="Compareceu",$M1412,0))</f>
        <v>0</v>
      </c>
      <c r="O1412" s="27">
        <f>IF($M1412="","",IF($F1412="Faltou",$M1412,0))</f>
        <v>0</v>
      </c>
      <c r="P1412" s="27">
        <f>IF($M1412="","",IF($F1412="Compareceu",MAX(0,$M1412-N($H1412)),0))</f>
        <v>0</v>
      </c>
      <c r="Q1412" s="19">
        <f>IF(AND($F1412="Compareceu",$E1412&lt;&gt;"",$A1412&lt;&gt;""),IF(IFERROR(INDEX(ProcRet,MATCH($E1412,ProcNome,0)),0)&gt;0,$A1412+INDEX(ProcRet,MATCH($E1412,ProcNome,0)),""),"")</f>
        <v>0</v>
      </c>
      <c r="R1412" s="26">
        <f>IF($Q1412="","",IF(COUNTIFS(AgPac,$D1412,AgData,"&gt;"&amp;$A1412,AgStatus,"&lt;&gt;Cancelado",AgStatus,"&lt;&gt;Remarcado")&gt;0,"Sim","Não"))</f>
        <v>0</v>
      </c>
      <c r="S1412" s="28">
        <f>IF($A1412="","",IF(AND($F1412="Agendado",$A1412-Hoje&gt;=0,$A1412-Hoje&lt;=DiasConf),"CONFIRMAR",IF(AND($A1412&lt;Hoje,OR($F1412="Agendado",$F1412="Confirmado")),"Atualizar status",IF(AND($F1412="Compareceu",$P1412&gt;0.005),"Cobrar",IF($F1412="Faltou","Falta: reagendar","")))))</f>
        <v>0</v>
      </c>
      <c r="T1412" s="29">
        <f>IF($A1412="","",DATE(YEAR($A1412),MONTH($A1412),1))</f>
        <v>0</v>
      </c>
      <c r="U1412" s="30">
        <f>IF($S1412="CONFIRMAR",MAX($U$4:$U1411)+1,"")</f>
        <v>0</v>
      </c>
      <c r="V1412" s="30">
        <f>IF(AND($R1412="Não",$Q1412&lt;&gt;"",$Q1412&lt;=Hoje+JanelaRet,$Q1412&gt;=Hoje-60),MAX($V$4:$V1411)+1,"")</f>
        <v>0</v>
      </c>
    </row>
    <row r="1413" spans="1:22">
      <c r="A1413" s="16"/>
      <c r="B1413" s="23"/>
      <c r="C1413" s="15"/>
      <c r="D1413" s="15"/>
      <c r="E1413" s="15"/>
      <c r="F1413" s="24"/>
      <c r="G1413" s="17"/>
      <c r="H1413" s="17"/>
      <c r="I1413" s="15"/>
      <c r="J1413" s="25">
        <f>IF($D1413="","",IFERROR(INDEX(PacNome,MATCH($D1413,PacCod,0)),"Paciente não cadastrado"))</f>
        <v>0</v>
      </c>
      <c r="K1413" s="26">
        <f>IF($D1413="","",IFERROR(INDEX(PacConv,MATCH($D1413,PacCod,0))&amp;"",""))</f>
        <v>0</v>
      </c>
      <c r="L1413" s="26">
        <f>IF($A1413="","",CHOOSE(WEEKDAY($A1413,2),"Seg","Ter","Qua","Qui","Sex","Sáb","Dom"))</f>
        <v>0</v>
      </c>
      <c r="M1413" s="27">
        <f>IF($E1413="","",IF($G1413&lt;&gt;"",$G1413,IFERROR(INDEX(ProcValor,MATCH($E1413,ProcNome,0)),0)))</f>
        <v>0</v>
      </c>
      <c r="N1413" s="27">
        <f>IF($M1413="","",IF($F1413="Compareceu",$M1413,0))</f>
        <v>0</v>
      </c>
      <c r="O1413" s="27">
        <f>IF($M1413="","",IF($F1413="Faltou",$M1413,0))</f>
        <v>0</v>
      </c>
      <c r="P1413" s="27">
        <f>IF($M1413="","",IF($F1413="Compareceu",MAX(0,$M1413-N($H1413)),0))</f>
        <v>0</v>
      </c>
      <c r="Q1413" s="19">
        <f>IF(AND($F1413="Compareceu",$E1413&lt;&gt;"",$A1413&lt;&gt;""),IF(IFERROR(INDEX(ProcRet,MATCH($E1413,ProcNome,0)),0)&gt;0,$A1413+INDEX(ProcRet,MATCH($E1413,ProcNome,0)),""),"")</f>
        <v>0</v>
      </c>
      <c r="R1413" s="26">
        <f>IF($Q1413="","",IF(COUNTIFS(AgPac,$D1413,AgData,"&gt;"&amp;$A1413,AgStatus,"&lt;&gt;Cancelado",AgStatus,"&lt;&gt;Remarcado")&gt;0,"Sim","Não"))</f>
        <v>0</v>
      </c>
      <c r="S1413" s="28">
        <f>IF($A1413="","",IF(AND($F1413="Agendado",$A1413-Hoje&gt;=0,$A1413-Hoje&lt;=DiasConf),"CONFIRMAR",IF(AND($A1413&lt;Hoje,OR($F1413="Agendado",$F1413="Confirmado")),"Atualizar status",IF(AND($F1413="Compareceu",$P1413&gt;0.005),"Cobrar",IF($F1413="Faltou","Falta: reagendar","")))))</f>
        <v>0</v>
      </c>
      <c r="T1413" s="29">
        <f>IF($A1413="","",DATE(YEAR($A1413),MONTH($A1413),1))</f>
        <v>0</v>
      </c>
      <c r="U1413" s="30">
        <f>IF($S1413="CONFIRMAR",MAX($U$4:$U1412)+1,"")</f>
        <v>0</v>
      </c>
      <c r="V1413" s="30">
        <f>IF(AND($R1413="Não",$Q1413&lt;&gt;"",$Q1413&lt;=Hoje+JanelaRet,$Q1413&gt;=Hoje-60),MAX($V$4:$V1412)+1,"")</f>
        <v>0</v>
      </c>
    </row>
    <row r="1414" spans="1:22">
      <c r="A1414" s="16"/>
      <c r="B1414" s="23"/>
      <c r="C1414" s="15"/>
      <c r="D1414" s="15"/>
      <c r="E1414" s="15"/>
      <c r="F1414" s="24"/>
      <c r="G1414" s="17"/>
      <c r="H1414" s="17"/>
      <c r="I1414" s="15"/>
      <c r="J1414" s="25">
        <f>IF($D1414="","",IFERROR(INDEX(PacNome,MATCH($D1414,PacCod,0)),"Paciente não cadastrado"))</f>
        <v>0</v>
      </c>
      <c r="K1414" s="26">
        <f>IF($D1414="","",IFERROR(INDEX(PacConv,MATCH($D1414,PacCod,0))&amp;"",""))</f>
        <v>0</v>
      </c>
      <c r="L1414" s="26">
        <f>IF($A1414="","",CHOOSE(WEEKDAY($A1414,2),"Seg","Ter","Qua","Qui","Sex","Sáb","Dom"))</f>
        <v>0</v>
      </c>
      <c r="M1414" s="27">
        <f>IF($E1414="","",IF($G1414&lt;&gt;"",$G1414,IFERROR(INDEX(ProcValor,MATCH($E1414,ProcNome,0)),0)))</f>
        <v>0</v>
      </c>
      <c r="N1414" s="27">
        <f>IF($M1414="","",IF($F1414="Compareceu",$M1414,0))</f>
        <v>0</v>
      </c>
      <c r="O1414" s="27">
        <f>IF($M1414="","",IF($F1414="Faltou",$M1414,0))</f>
        <v>0</v>
      </c>
      <c r="P1414" s="27">
        <f>IF($M1414="","",IF($F1414="Compareceu",MAX(0,$M1414-N($H1414)),0))</f>
        <v>0</v>
      </c>
      <c r="Q1414" s="19">
        <f>IF(AND($F1414="Compareceu",$E1414&lt;&gt;"",$A1414&lt;&gt;""),IF(IFERROR(INDEX(ProcRet,MATCH($E1414,ProcNome,0)),0)&gt;0,$A1414+INDEX(ProcRet,MATCH($E1414,ProcNome,0)),""),"")</f>
        <v>0</v>
      </c>
      <c r="R1414" s="26">
        <f>IF($Q1414="","",IF(COUNTIFS(AgPac,$D1414,AgData,"&gt;"&amp;$A1414,AgStatus,"&lt;&gt;Cancelado",AgStatus,"&lt;&gt;Remarcado")&gt;0,"Sim","Não"))</f>
        <v>0</v>
      </c>
      <c r="S1414" s="28">
        <f>IF($A1414="","",IF(AND($F1414="Agendado",$A1414-Hoje&gt;=0,$A1414-Hoje&lt;=DiasConf),"CONFIRMAR",IF(AND($A1414&lt;Hoje,OR($F1414="Agendado",$F1414="Confirmado")),"Atualizar status",IF(AND($F1414="Compareceu",$P1414&gt;0.005),"Cobrar",IF($F1414="Faltou","Falta: reagendar","")))))</f>
        <v>0</v>
      </c>
      <c r="T1414" s="29">
        <f>IF($A1414="","",DATE(YEAR($A1414),MONTH($A1414),1))</f>
        <v>0</v>
      </c>
      <c r="U1414" s="30">
        <f>IF($S1414="CONFIRMAR",MAX($U$4:$U1413)+1,"")</f>
        <v>0</v>
      </c>
      <c r="V1414" s="30">
        <f>IF(AND($R1414="Não",$Q1414&lt;&gt;"",$Q1414&lt;=Hoje+JanelaRet,$Q1414&gt;=Hoje-60),MAX($V$4:$V1413)+1,"")</f>
        <v>0</v>
      </c>
    </row>
    <row r="1415" spans="1:22">
      <c r="A1415" s="16"/>
      <c r="B1415" s="23"/>
      <c r="C1415" s="15"/>
      <c r="D1415" s="15"/>
      <c r="E1415" s="15"/>
      <c r="F1415" s="24"/>
      <c r="G1415" s="17"/>
      <c r="H1415" s="17"/>
      <c r="I1415" s="15"/>
      <c r="J1415" s="25">
        <f>IF($D1415="","",IFERROR(INDEX(PacNome,MATCH($D1415,PacCod,0)),"Paciente não cadastrado"))</f>
        <v>0</v>
      </c>
      <c r="K1415" s="26">
        <f>IF($D1415="","",IFERROR(INDEX(PacConv,MATCH($D1415,PacCod,0))&amp;"",""))</f>
        <v>0</v>
      </c>
      <c r="L1415" s="26">
        <f>IF($A1415="","",CHOOSE(WEEKDAY($A1415,2),"Seg","Ter","Qua","Qui","Sex","Sáb","Dom"))</f>
        <v>0</v>
      </c>
      <c r="M1415" s="27">
        <f>IF($E1415="","",IF($G1415&lt;&gt;"",$G1415,IFERROR(INDEX(ProcValor,MATCH($E1415,ProcNome,0)),0)))</f>
        <v>0</v>
      </c>
      <c r="N1415" s="27">
        <f>IF($M1415="","",IF($F1415="Compareceu",$M1415,0))</f>
        <v>0</v>
      </c>
      <c r="O1415" s="27">
        <f>IF($M1415="","",IF($F1415="Faltou",$M1415,0))</f>
        <v>0</v>
      </c>
      <c r="P1415" s="27">
        <f>IF($M1415="","",IF($F1415="Compareceu",MAX(0,$M1415-N($H1415)),0))</f>
        <v>0</v>
      </c>
      <c r="Q1415" s="19">
        <f>IF(AND($F1415="Compareceu",$E1415&lt;&gt;"",$A1415&lt;&gt;""),IF(IFERROR(INDEX(ProcRet,MATCH($E1415,ProcNome,0)),0)&gt;0,$A1415+INDEX(ProcRet,MATCH($E1415,ProcNome,0)),""),"")</f>
        <v>0</v>
      </c>
      <c r="R1415" s="26">
        <f>IF($Q1415="","",IF(COUNTIFS(AgPac,$D1415,AgData,"&gt;"&amp;$A1415,AgStatus,"&lt;&gt;Cancelado",AgStatus,"&lt;&gt;Remarcado")&gt;0,"Sim","Não"))</f>
        <v>0</v>
      </c>
      <c r="S1415" s="28">
        <f>IF($A1415="","",IF(AND($F1415="Agendado",$A1415-Hoje&gt;=0,$A1415-Hoje&lt;=DiasConf),"CONFIRMAR",IF(AND($A1415&lt;Hoje,OR($F1415="Agendado",$F1415="Confirmado")),"Atualizar status",IF(AND($F1415="Compareceu",$P1415&gt;0.005),"Cobrar",IF($F1415="Faltou","Falta: reagendar","")))))</f>
        <v>0</v>
      </c>
      <c r="T1415" s="29">
        <f>IF($A1415="","",DATE(YEAR($A1415),MONTH($A1415),1))</f>
        <v>0</v>
      </c>
      <c r="U1415" s="30">
        <f>IF($S1415="CONFIRMAR",MAX($U$4:$U1414)+1,"")</f>
        <v>0</v>
      </c>
      <c r="V1415" s="30">
        <f>IF(AND($R1415="Não",$Q1415&lt;&gt;"",$Q1415&lt;=Hoje+JanelaRet,$Q1415&gt;=Hoje-60),MAX($V$4:$V1414)+1,"")</f>
        <v>0</v>
      </c>
    </row>
    <row r="1416" spans="1:22">
      <c r="A1416" s="16"/>
      <c r="B1416" s="23"/>
      <c r="C1416" s="15"/>
      <c r="D1416" s="15"/>
      <c r="E1416" s="15"/>
      <c r="F1416" s="24"/>
      <c r="G1416" s="17"/>
      <c r="H1416" s="17"/>
      <c r="I1416" s="15"/>
      <c r="J1416" s="25">
        <f>IF($D1416="","",IFERROR(INDEX(PacNome,MATCH($D1416,PacCod,0)),"Paciente não cadastrado"))</f>
        <v>0</v>
      </c>
      <c r="K1416" s="26">
        <f>IF($D1416="","",IFERROR(INDEX(PacConv,MATCH($D1416,PacCod,0))&amp;"",""))</f>
        <v>0</v>
      </c>
      <c r="L1416" s="26">
        <f>IF($A1416="","",CHOOSE(WEEKDAY($A1416,2),"Seg","Ter","Qua","Qui","Sex","Sáb","Dom"))</f>
        <v>0</v>
      </c>
      <c r="M1416" s="27">
        <f>IF($E1416="","",IF($G1416&lt;&gt;"",$G1416,IFERROR(INDEX(ProcValor,MATCH($E1416,ProcNome,0)),0)))</f>
        <v>0</v>
      </c>
      <c r="N1416" s="27">
        <f>IF($M1416="","",IF($F1416="Compareceu",$M1416,0))</f>
        <v>0</v>
      </c>
      <c r="O1416" s="27">
        <f>IF($M1416="","",IF($F1416="Faltou",$M1416,0))</f>
        <v>0</v>
      </c>
      <c r="P1416" s="27">
        <f>IF($M1416="","",IF($F1416="Compareceu",MAX(0,$M1416-N($H1416)),0))</f>
        <v>0</v>
      </c>
      <c r="Q1416" s="19">
        <f>IF(AND($F1416="Compareceu",$E1416&lt;&gt;"",$A1416&lt;&gt;""),IF(IFERROR(INDEX(ProcRet,MATCH($E1416,ProcNome,0)),0)&gt;0,$A1416+INDEX(ProcRet,MATCH($E1416,ProcNome,0)),""),"")</f>
        <v>0</v>
      </c>
      <c r="R1416" s="26">
        <f>IF($Q1416="","",IF(COUNTIFS(AgPac,$D1416,AgData,"&gt;"&amp;$A1416,AgStatus,"&lt;&gt;Cancelado",AgStatus,"&lt;&gt;Remarcado")&gt;0,"Sim","Não"))</f>
        <v>0</v>
      </c>
      <c r="S1416" s="28">
        <f>IF($A1416="","",IF(AND($F1416="Agendado",$A1416-Hoje&gt;=0,$A1416-Hoje&lt;=DiasConf),"CONFIRMAR",IF(AND($A1416&lt;Hoje,OR($F1416="Agendado",$F1416="Confirmado")),"Atualizar status",IF(AND($F1416="Compareceu",$P1416&gt;0.005),"Cobrar",IF($F1416="Faltou","Falta: reagendar","")))))</f>
        <v>0</v>
      </c>
      <c r="T1416" s="29">
        <f>IF($A1416="","",DATE(YEAR($A1416),MONTH($A1416),1))</f>
        <v>0</v>
      </c>
      <c r="U1416" s="30">
        <f>IF($S1416="CONFIRMAR",MAX($U$4:$U1415)+1,"")</f>
        <v>0</v>
      </c>
      <c r="V1416" s="30">
        <f>IF(AND($R1416="Não",$Q1416&lt;&gt;"",$Q1416&lt;=Hoje+JanelaRet,$Q1416&gt;=Hoje-60),MAX($V$4:$V1415)+1,"")</f>
        <v>0</v>
      </c>
    </row>
    <row r="1417" spans="1:22">
      <c r="A1417" s="16"/>
      <c r="B1417" s="23"/>
      <c r="C1417" s="15"/>
      <c r="D1417" s="15"/>
      <c r="E1417" s="15"/>
      <c r="F1417" s="24"/>
      <c r="G1417" s="17"/>
      <c r="H1417" s="17"/>
      <c r="I1417" s="15"/>
      <c r="J1417" s="25">
        <f>IF($D1417="","",IFERROR(INDEX(PacNome,MATCH($D1417,PacCod,0)),"Paciente não cadastrado"))</f>
        <v>0</v>
      </c>
      <c r="K1417" s="26">
        <f>IF($D1417="","",IFERROR(INDEX(PacConv,MATCH($D1417,PacCod,0))&amp;"",""))</f>
        <v>0</v>
      </c>
      <c r="L1417" s="26">
        <f>IF($A1417="","",CHOOSE(WEEKDAY($A1417,2),"Seg","Ter","Qua","Qui","Sex","Sáb","Dom"))</f>
        <v>0</v>
      </c>
      <c r="M1417" s="27">
        <f>IF($E1417="","",IF($G1417&lt;&gt;"",$G1417,IFERROR(INDEX(ProcValor,MATCH($E1417,ProcNome,0)),0)))</f>
        <v>0</v>
      </c>
      <c r="N1417" s="27">
        <f>IF($M1417="","",IF($F1417="Compareceu",$M1417,0))</f>
        <v>0</v>
      </c>
      <c r="O1417" s="27">
        <f>IF($M1417="","",IF($F1417="Faltou",$M1417,0))</f>
        <v>0</v>
      </c>
      <c r="P1417" s="27">
        <f>IF($M1417="","",IF($F1417="Compareceu",MAX(0,$M1417-N($H1417)),0))</f>
        <v>0</v>
      </c>
      <c r="Q1417" s="19">
        <f>IF(AND($F1417="Compareceu",$E1417&lt;&gt;"",$A1417&lt;&gt;""),IF(IFERROR(INDEX(ProcRet,MATCH($E1417,ProcNome,0)),0)&gt;0,$A1417+INDEX(ProcRet,MATCH($E1417,ProcNome,0)),""),"")</f>
        <v>0</v>
      </c>
      <c r="R1417" s="26">
        <f>IF($Q1417="","",IF(COUNTIFS(AgPac,$D1417,AgData,"&gt;"&amp;$A1417,AgStatus,"&lt;&gt;Cancelado",AgStatus,"&lt;&gt;Remarcado")&gt;0,"Sim","Não"))</f>
        <v>0</v>
      </c>
      <c r="S1417" s="28">
        <f>IF($A1417="","",IF(AND($F1417="Agendado",$A1417-Hoje&gt;=0,$A1417-Hoje&lt;=DiasConf),"CONFIRMAR",IF(AND($A1417&lt;Hoje,OR($F1417="Agendado",$F1417="Confirmado")),"Atualizar status",IF(AND($F1417="Compareceu",$P1417&gt;0.005),"Cobrar",IF($F1417="Faltou","Falta: reagendar","")))))</f>
        <v>0</v>
      </c>
      <c r="T1417" s="29">
        <f>IF($A1417="","",DATE(YEAR($A1417),MONTH($A1417),1))</f>
        <v>0</v>
      </c>
      <c r="U1417" s="30">
        <f>IF($S1417="CONFIRMAR",MAX($U$4:$U1416)+1,"")</f>
        <v>0</v>
      </c>
      <c r="V1417" s="30">
        <f>IF(AND($R1417="Não",$Q1417&lt;&gt;"",$Q1417&lt;=Hoje+JanelaRet,$Q1417&gt;=Hoje-60),MAX($V$4:$V1416)+1,"")</f>
        <v>0</v>
      </c>
    </row>
    <row r="1418" spans="1:22">
      <c r="A1418" s="16"/>
      <c r="B1418" s="23"/>
      <c r="C1418" s="15"/>
      <c r="D1418" s="15"/>
      <c r="E1418" s="15"/>
      <c r="F1418" s="24"/>
      <c r="G1418" s="17"/>
      <c r="H1418" s="17"/>
      <c r="I1418" s="15"/>
      <c r="J1418" s="25">
        <f>IF($D1418="","",IFERROR(INDEX(PacNome,MATCH($D1418,PacCod,0)),"Paciente não cadastrado"))</f>
        <v>0</v>
      </c>
      <c r="K1418" s="26">
        <f>IF($D1418="","",IFERROR(INDEX(PacConv,MATCH($D1418,PacCod,0))&amp;"",""))</f>
        <v>0</v>
      </c>
      <c r="L1418" s="26">
        <f>IF($A1418="","",CHOOSE(WEEKDAY($A1418,2),"Seg","Ter","Qua","Qui","Sex","Sáb","Dom"))</f>
        <v>0</v>
      </c>
      <c r="M1418" s="27">
        <f>IF($E1418="","",IF($G1418&lt;&gt;"",$G1418,IFERROR(INDEX(ProcValor,MATCH($E1418,ProcNome,0)),0)))</f>
        <v>0</v>
      </c>
      <c r="N1418" s="27">
        <f>IF($M1418="","",IF($F1418="Compareceu",$M1418,0))</f>
        <v>0</v>
      </c>
      <c r="O1418" s="27">
        <f>IF($M1418="","",IF($F1418="Faltou",$M1418,0))</f>
        <v>0</v>
      </c>
      <c r="P1418" s="27">
        <f>IF($M1418="","",IF($F1418="Compareceu",MAX(0,$M1418-N($H1418)),0))</f>
        <v>0</v>
      </c>
      <c r="Q1418" s="19">
        <f>IF(AND($F1418="Compareceu",$E1418&lt;&gt;"",$A1418&lt;&gt;""),IF(IFERROR(INDEX(ProcRet,MATCH($E1418,ProcNome,0)),0)&gt;0,$A1418+INDEX(ProcRet,MATCH($E1418,ProcNome,0)),""),"")</f>
        <v>0</v>
      </c>
      <c r="R1418" s="26">
        <f>IF($Q1418="","",IF(COUNTIFS(AgPac,$D1418,AgData,"&gt;"&amp;$A1418,AgStatus,"&lt;&gt;Cancelado",AgStatus,"&lt;&gt;Remarcado")&gt;0,"Sim","Não"))</f>
        <v>0</v>
      </c>
      <c r="S1418" s="28">
        <f>IF($A1418="","",IF(AND($F1418="Agendado",$A1418-Hoje&gt;=0,$A1418-Hoje&lt;=DiasConf),"CONFIRMAR",IF(AND($A1418&lt;Hoje,OR($F1418="Agendado",$F1418="Confirmado")),"Atualizar status",IF(AND($F1418="Compareceu",$P1418&gt;0.005),"Cobrar",IF($F1418="Faltou","Falta: reagendar","")))))</f>
        <v>0</v>
      </c>
      <c r="T1418" s="29">
        <f>IF($A1418="","",DATE(YEAR($A1418),MONTH($A1418),1))</f>
        <v>0</v>
      </c>
      <c r="U1418" s="30">
        <f>IF($S1418="CONFIRMAR",MAX($U$4:$U1417)+1,"")</f>
        <v>0</v>
      </c>
      <c r="V1418" s="30">
        <f>IF(AND($R1418="Não",$Q1418&lt;&gt;"",$Q1418&lt;=Hoje+JanelaRet,$Q1418&gt;=Hoje-60),MAX($V$4:$V1417)+1,"")</f>
        <v>0</v>
      </c>
    </row>
    <row r="1419" spans="1:22">
      <c r="A1419" s="16"/>
      <c r="B1419" s="23"/>
      <c r="C1419" s="15"/>
      <c r="D1419" s="15"/>
      <c r="E1419" s="15"/>
      <c r="F1419" s="24"/>
      <c r="G1419" s="17"/>
      <c r="H1419" s="17"/>
      <c r="I1419" s="15"/>
      <c r="J1419" s="25">
        <f>IF($D1419="","",IFERROR(INDEX(PacNome,MATCH($D1419,PacCod,0)),"Paciente não cadastrado"))</f>
        <v>0</v>
      </c>
      <c r="K1419" s="26">
        <f>IF($D1419="","",IFERROR(INDEX(PacConv,MATCH($D1419,PacCod,0))&amp;"",""))</f>
        <v>0</v>
      </c>
      <c r="L1419" s="26">
        <f>IF($A1419="","",CHOOSE(WEEKDAY($A1419,2),"Seg","Ter","Qua","Qui","Sex","Sáb","Dom"))</f>
        <v>0</v>
      </c>
      <c r="M1419" s="27">
        <f>IF($E1419="","",IF($G1419&lt;&gt;"",$G1419,IFERROR(INDEX(ProcValor,MATCH($E1419,ProcNome,0)),0)))</f>
        <v>0</v>
      </c>
      <c r="N1419" s="27">
        <f>IF($M1419="","",IF($F1419="Compareceu",$M1419,0))</f>
        <v>0</v>
      </c>
      <c r="O1419" s="27">
        <f>IF($M1419="","",IF($F1419="Faltou",$M1419,0))</f>
        <v>0</v>
      </c>
      <c r="P1419" s="27">
        <f>IF($M1419="","",IF($F1419="Compareceu",MAX(0,$M1419-N($H1419)),0))</f>
        <v>0</v>
      </c>
      <c r="Q1419" s="19">
        <f>IF(AND($F1419="Compareceu",$E1419&lt;&gt;"",$A1419&lt;&gt;""),IF(IFERROR(INDEX(ProcRet,MATCH($E1419,ProcNome,0)),0)&gt;0,$A1419+INDEX(ProcRet,MATCH($E1419,ProcNome,0)),""),"")</f>
        <v>0</v>
      </c>
      <c r="R1419" s="26">
        <f>IF($Q1419="","",IF(COUNTIFS(AgPac,$D1419,AgData,"&gt;"&amp;$A1419,AgStatus,"&lt;&gt;Cancelado",AgStatus,"&lt;&gt;Remarcado")&gt;0,"Sim","Não"))</f>
        <v>0</v>
      </c>
      <c r="S1419" s="28">
        <f>IF($A1419="","",IF(AND($F1419="Agendado",$A1419-Hoje&gt;=0,$A1419-Hoje&lt;=DiasConf),"CONFIRMAR",IF(AND($A1419&lt;Hoje,OR($F1419="Agendado",$F1419="Confirmado")),"Atualizar status",IF(AND($F1419="Compareceu",$P1419&gt;0.005),"Cobrar",IF($F1419="Faltou","Falta: reagendar","")))))</f>
        <v>0</v>
      </c>
      <c r="T1419" s="29">
        <f>IF($A1419="","",DATE(YEAR($A1419),MONTH($A1419),1))</f>
        <v>0</v>
      </c>
      <c r="U1419" s="30">
        <f>IF($S1419="CONFIRMAR",MAX($U$4:$U1418)+1,"")</f>
        <v>0</v>
      </c>
      <c r="V1419" s="30">
        <f>IF(AND($R1419="Não",$Q1419&lt;&gt;"",$Q1419&lt;=Hoje+JanelaRet,$Q1419&gt;=Hoje-60),MAX($V$4:$V1418)+1,"")</f>
        <v>0</v>
      </c>
    </row>
    <row r="1420" spans="1:22">
      <c r="A1420" s="16"/>
      <c r="B1420" s="23"/>
      <c r="C1420" s="15"/>
      <c r="D1420" s="15"/>
      <c r="E1420" s="15"/>
      <c r="F1420" s="24"/>
      <c r="G1420" s="17"/>
      <c r="H1420" s="17"/>
      <c r="I1420" s="15"/>
      <c r="J1420" s="25">
        <f>IF($D1420="","",IFERROR(INDEX(PacNome,MATCH($D1420,PacCod,0)),"Paciente não cadastrado"))</f>
        <v>0</v>
      </c>
      <c r="K1420" s="26">
        <f>IF($D1420="","",IFERROR(INDEX(PacConv,MATCH($D1420,PacCod,0))&amp;"",""))</f>
        <v>0</v>
      </c>
      <c r="L1420" s="26">
        <f>IF($A1420="","",CHOOSE(WEEKDAY($A1420,2),"Seg","Ter","Qua","Qui","Sex","Sáb","Dom"))</f>
        <v>0</v>
      </c>
      <c r="M1420" s="27">
        <f>IF($E1420="","",IF($G1420&lt;&gt;"",$G1420,IFERROR(INDEX(ProcValor,MATCH($E1420,ProcNome,0)),0)))</f>
        <v>0</v>
      </c>
      <c r="N1420" s="27">
        <f>IF($M1420="","",IF($F1420="Compareceu",$M1420,0))</f>
        <v>0</v>
      </c>
      <c r="O1420" s="27">
        <f>IF($M1420="","",IF($F1420="Faltou",$M1420,0))</f>
        <v>0</v>
      </c>
      <c r="P1420" s="27">
        <f>IF($M1420="","",IF($F1420="Compareceu",MAX(0,$M1420-N($H1420)),0))</f>
        <v>0</v>
      </c>
      <c r="Q1420" s="19">
        <f>IF(AND($F1420="Compareceu",$E1420&lt;&gt;"",$A1420&lt;&gt;""),IF(IFERROR(INDEX(ProcRet,MATCH($E1420,ProcNome,0)),0)&gt;0,$A1420+INDEX(ProcRet,MATCH($E1420,ProcNome,0)),""),"")</f>
        <v>0</v>
      </c>
      <c r="R1420" s="26">
        <f>IF($Q1420="","",IF(COUNTIFS(AgPac,$D1420,AgData,"&gt;"&amp;$A1420,AgStatus,"&lt;&gt;Cancelado",AgStatus,"&lt;&gt;Remarcado")&gt;0,"Sim","Não"))</f>
        <v>0</v>
      </c>
      <c r="S1420" s="28">
        <f>IF($A1420="","",IF(AND($F1420="Agendado",$A1420-Hoje&gt;=0,$A1420-Hoje&lt;=DiasConf),"CONFIRMAR",IF(AND($A1420&lt;Hoje,OR($F1420="Agendado",$F1420="Confirmado")),"Atualizar status",IF(AND($F1420="Compareceu",$P1420&gt;0.005),"Cobrar",IF($F1420="Faltou","Falta: reagendar","")))))</f>
        <v>0</v>
      </c>
      <c r="T1420" s="29">
        <f>IF($A1420="","",DATE(YEAR($A1420),MONTH($A1420),1))</f>
        <v>0</v>
      </c>
      <c r="U1420" s="30">
        <f>IF($S1420="CONFIRMAR",MAX($U$4:$U1419)+1,"")</f>
        <v>0</v>
      </c>
      <c r="V1420" s="30">
        <f>IF(AND($R1420="Não",$Q1420&lt;&gt;"",$Q1420&lt;=Hoje+JanelaRet,$Q1420&gt;=Hoje-60),MAX($V$4:$V1419)+1,"")</f>
        <v>0</v>
      </c>
    </row>
    <row r="1421" spans="1:22">
      <c r="A1421" s="16"/>
      <c r="B1421" s="23"/>
      <c r="C1421" s="15"/>
      <c r="D1421" s="15"/>
      <c r="E1421" s="15"/>
      <c r="F1421" s="24"/>
      <c r="G1421" s="17"/>
      <c r="H1421" s="17"/>
      <c r="I1421" s="15"/>
      <c r="J1421" s="25">
        <f>IF($D1421="","",IFERROR(INDEX(PacNome,MATCH($D1421,PacCod,0)),"Paciente não cadastrado"))</f>
        <v>0</v>
      </c>
      <c r="K1421" s="26">
        <f>IF($D1421="","",IFERROR(INDEX(PacConv,MATCH($D1421,PacCod,0))&amp;"",""))</f>
        <v>0</v>
      </c>
      <c r="L1421" s="26">
        <f>IF($A1421="","",CHOOSE(WEEKDAY($A1421,2),"Seg","Ter","Qua","Qui","Sex","Sáb","Dom"))</f>
        <v>0</v>
      </c>
      <c r="M1421" s="27">
        <f>IF($E1421="","",IF($G1421&lt;&gt;"",$G1421,IFERROR(INDEX(ProcValor,MATCH($E1421,ProcNome,0)),0)))</f>
        <v>0</v>
      </c>
      <c r="N1421" s="27">
        <f>IF($M1421="","",IF($F1421="Compareceu",$M1421,0))</f>
        <v>0</v>
      </c>
      <c r="O1421" s="27">
        <f>IF($M1421="","",IF($F1421="Faltou",$M1421,0))</f>
        <v>0</v>
      </c>
      <c r="P1421" s="27">
        <f>IF($M1421="","",IF($F1421="Compareceu",MAX(0,$M1421-N($H1421)),0))</f>
        <v>0</v>
      </c>
      <c r="Q1421" s="19">
        <f>IF(AND($F1421="Compareceu",$E1421&lt;&gt;"",$A1421&lt;&gt;""),IF(IFERROR(INDEX(ProcRet,MATCH($E1421,ProcNome,0)),0)&gt;0,$A1421+INDEX(ProcRet,MATCH($E1421,ProcNome,0)),""),"")</f>
        <v>0</v>
      </c>
      <c r="R1421" s="26">
        <f>IF($Q1421="","",IF(COUNTIFS(AgPac,$D1421,AgData,"&gt;"&amp;$A1421,AgStatus,"&lt;&gt;Cancelado",AgStatus,"&lt;&gt;Remarcado")&gt;0,"Sim","Não"))</f>
        <v>0</v>
      </c>
      <c r="S1421" s="28">
        <f>IF($A1421="","",IF(AND($F1421="Agendado",$A1421-Hoje&gt;=0,$A1421-Hoje&lt;=DiasConf),"CONFIRMAR",IF(AND($A1421&lt;Hoje,OR($F1421="Agendado",$F1421="Confirmado")),"Atualizar status",IF(AND($F1421="Compareceu",$P1421&gt;0.005),"Cobrar",IF($F1421="Faltou","Falta: reagendar","")))))</f>
        <v>0</v>
      </c>
      <c r="T1421" s="29">
        <f>IF($A1421="","",DATE(YEAR($A1421),MONTH($A1421),1))</f>
        <v>0</v>
      </c>
      <c r="U1421" s="30">
        <f>IF($S1421="CONFIRMAR",MAX($U$4:$U1420)+1,"")</f>
        <v>0</v>
      </c>
      <c r="V1421" s="30">
        <f>IF(AND($R1421="Não",$Q1421&lt;&gt;"",$Q1421&lt;=Hoje+JanelaRet,$Q1421&gt;=Hoje-60),MAX($V$4:$V1420)+1,"")</f>
        <v>0</v>
      </c>
    </row>
    <row r="1422" spans="1:22">
      <c r="A1422" s="16"/>
      <c r="B1422" s="23"/>
      <c r="C1422" s="15"/>
      <c r="D1422" s="15"/>
      <c r="E1422" s="15"/>
      <c r="F1422" s="24"/>
      <c r="G1422" s="17"/>
      <c r="H1422" s="17"/>
      <c r="I1422" s="15"/>
      <c r="J1422" s="25">
        <f>IF($D1422="","",IFERROR(INDEX(PacNome,MATCH($D1422,PacCod,0)),"Paciente não cadastrado"))</f>
        <v>0</v>
      </c>
      <c r="K1422" s="26">
        <f>IF($D1422="","",IFERROR(INDEX(PacConv,MATCH($D1422,PacCod,0))&amp;"",""))</f>
        <v>0</v>
      </c>
      <c r="L1422" s="26">
        <f>IF($A1422="","",CHOOSE(WEEKDAY($A1422,2),"Seg","Ter","Qua","Qui","Sex","Sáb","Dom"))</f>
        <v>0</v>
      </c>
      <c r="M1422" s="27">
        <f>IF($E1422="","",IF($G1422&lt;&gt;"",$G1422,IFERROR(INDEX(ProcValor,MATCH($E1422,ProcNome,0)),0)))</f>
        <v>0</v>
      </c>
      <c r="N1422" s="27">
        <f>IF($M1422="","",IF($F1422="Compareceu",$M1422,0))</f>
        <v>0</v>
      </c>
      <c r="O1422" s="27">
        <f>IF($M1422="","",IF($F1422="Faltou",$M1422,0))</f>
        <v>0</v>
      </c>
      <c r="P1422" s="27">
        <f>IF($M1422="","",IF($F1422="Compareceu",MAX(0,$M1422-N($H1422)),0))</f>
        <v>0</v>
      </c>
      <c r="Q1422" s="19">
        <f>IF(AND($F1422="Compareceu",$E1422&lt;&gt;"",$A1422&lt;&gt;""),IF(IFERROR(INDEX(ProcRet,MATCH($E1422,ProcNome,0)),0)&gt;0,$A1422+INDEX(ProcRet,MATCH($E1422,ProcNome,0)),""),"")</f>
        <v>0</v>
      </c>
      <c r="R1422" s="26">
        <f>IF($Q1422="","",IF(COUNTIFS(AgPac,$D1422,AgData,"&gt;"&amp;$A1422,AgStatus,"&lt;&gt;Cancelado",AgStatus,"&lt;&gt;Remarcado")&gt;0,"Sim","Não"))</f>
        <v>0</v>
      </c>
      <c r="S1422" s="28">
        <f>IF($A1422="","",IF(AND($F1422="Agendado",$A1422-Hoje&gt;=0,$A1422-Hoje&lt;=DiasConf),"CONFIRMAR",IF(AND($A1422&lt;Hoje,OR($F1422="Agendado",$F1422="Confirmado")),"Atualizar status",IF(AND($F1422="Compareceu",$P1422&gt;0.005),"Cobrar",IF($F1422="Faltou","Falta: reagendar","")))))</f>
        <v>0</v>
      </c>
      <c r="T1422" s="29">
        <f>IF($A1422="","",DATE(YEAR($A1422),MONTH($A1422),1))</f>
        <v>0</v>
      </c>
      <c r="U1422" s="30">
        <f>IF($S1422="CONFIRMAR",MAX($U$4:$U1421)+1,"")</f>
        <v>0</v>
      </c>
      <c r="V1422" s="30">
        <f>IF(AND($R1422="Não",$Q1422&lt;&gt;"",$Q1422&lt;=Hoje+JanelaRet,$Q1422&gt;=Hoje-60),MAX($V$4:$V1421)+1,"")</f>
        <v>0</v>
      </c>
    </row>
    <row r="1423" spans="1:22">
      <c r="A1423" s="16"/>
      <c r="B1423" s="23"/>
      <c r="C1423" s="15"/>
      <c r="D1423" s="15"/>
      <c r="E1423" s="15"/>
      <c r="F1423" s="24"/>
      <c r="G1423" s="17"/>
      <c r="H1423" s="17"/>
      <c r="I1423" s="15"/>
      <c r="J1423" s="25">
        <f>IF($D1423="","",IFERROR(INDEX(PacNome,MATCH($D1423,PacCod,0)),"Paciente não cadastrado"))</f>
        <v>0</v>
      </c>
      <c r="K1423" s="26">
        <f>IF($D1423="","",IFERROR(INDEX(PacConv,MATCH($D1423,PacCod,0))&amp;"",""))</f>
        <v>0</v>
      </c>
      <c r="L1423" s="26">
        <f>IF($A1423="","",CHOOSE(WEEKDAY($A1423,2),"Seg","Ter","Qua","Qui","Sex","Sáb","Dom"))</f>
        <v>0</v>
      </c>
      <c r="M1423" s="27">
        <f>IF($E1423="","",IF($G1423&lt;&gt;"",$G1423,IFERROR(INDEX(ProcValor,MATCH($E1423,ProcNome,0)),0)))</f>
        <v>0</v>
      </c>
      <c r="N1423" s="27">
        <f>IF($M1423="","",IF($F1423="Compareceu",$M1423,0))</f>
        <v>0</v>
      </c>
      <c r="O1423" s="27">
        <f>IF($M1423="","",IF($F1423="Faltou",$M1423,0))</f>
        <v>0</v>
      </c>
      <c r="P1423" s="27">
        <f>IF($M1423="","",IF($F1423="Compareceu",MAX(0,$M1423-N($H1423)),0))</f>
        <v>0</v>
      </c>
      <c r="Q1423" s="19">
        <f>IF(AND($F1423="Compareceu",$E1423&lt;&gt;"",$A1423&lt;&gt;""),IF(IFERROR(INDEX(ProcRet,MATCH($E1423,ProcNome,0)),0)&gt;0,$A1423+INDEX(ProcRet,MATCH($E1423,ProcNome,0)),""),"")</f>
        <v>0</v>
      </c>
      <c r="R1423" s="26">
        <f>IF($Q1423="","",IF(COUNTIFS(AgPac,$D1423,AgData,"&gt;"&amp;$A1423,AgStatus,"&lt;&gt;Cancelado",AgStatus,"&lt;&gt;Remarcado")&gt;0,"Sim","Não"))</f>
        <v>0</v>
      </c>
      <c r="S1423" s="28">
        <f>IF($A1423="","",IF(AND($F1423="Agendado",$A1423-Hoje&gt;=0,$A1423-Hoje&lt;=DiasConf),"CONFIRMAR",IF(AND($A1423&lt;Hoje,OR($F1423="Agendado",$F1423="Confirmado")),"Atualizar status",IF(AND($F1423="Compareceu",$P1423&gt;0.005),"Cobrar",IF($F1423="Faltou","Falta: reagendar","")))))</f>
        <v>0</v>
      </c>
      <c r="T1423" s="29">
        <f>IF($A1423="","",DATE(YEAR($A1423),MONTH($A1423),1))</f>
        <v>0</v>
      </c>
      <c r="U1423" s="30">
        <f>IF($S1423="CONFIRMAR",MAX($U$4:$U1422)+1,"")</f>
        <v>0</v>
      </c>
      <c r="V1423" s="30">
        <f>IF(AND($R1423="Não",$Q1423&lt;&gt;"",$Q1423&lt;=Hoje+JanelaRet,$Q1423&gt;=Hoje-60),MAX($V$4:$V1422)+1,"")</f>
        <v>0</v>
      </c>
    </row>
    <row r="1424" spans="1:22">
      <c r="A1424" s="16"/>
      <c r="B1424" s="23"/>
      <c r="C1424" s="15"/>
      <c r="D1424" s="15"/>
      <c r="E1424" s="15"/>
      <c r="F1424" s="24"/>
      <c r="G1424" s="17"/>
      <c r="H1424" s="17"/>
      <c r="I1424" s="15"/>
      <c r="J1424" s="25">
        <f>IF($D1424="","",IFERROR(INDEX(PacNome,MATCH($D1424,PacCod,0)),"Paciente não cadastrado"))</f>
        <v>0</v>
      </c>
      <c r="K1424" s="26">
        <f>IF($D1424="","",IFERROR(INDEX(PacConv,MATCH($D1424,PacCod,0))&amp;"",""))</f>
        <v>0</v>
      </c>
      <c r="L1424" s="26">
        <f>IF($A1424="","",CHOOSE(WEEKDAY($A1424,2),"Seg","Ter","Qua","Qui","Sex","Sáb","Dom"))</f>
        <v>0</v>
      </c>
      <c r="M1424" s="27">
        <f>IF($E1424="","",IF($G1424&lt;&gt;"",$G1424,IFERROR(INDEX(ProcValor,MATCH($E1424,ProcNome,0)),0)))</f>
        <v>0</v>
      </c>
      <c r="N1424" s="27">
        <f>IF($M1424="","",IF($F1424="Compareceu",$M1424,0))</f>
        <v>0</v>
      </c>
      <c r="O1424" s="27">
        <f>IF($M1424="","",IF($F1424="Faltou",$M1424,0))</f>
        <v>0</v>
      </c>
      <c r="P1424" s="27">
        <f>IF($M1424="","",IF($F1424="Compareceu",MAX(0,$M1424-N($H1424)),0))</f>
        <v>0</v>
      </c>
      <c r="Q1424" s="19">
        <f>IF(AND($F1424="Compareceu",$E1424&lt;&gt;"",$A1424&lt;&gt;""),IF(IFERROR(INDEX(ProcRet,MATCH($E1424,ProcNome,0)),0)&gt;0,$A1424+INDEX(ProcRet,MATCH($E1424,ProcNome,0)),""),"")</f>
        <v>0</v>
      </c>
      <c r="R1424" s="26">
        <f>IF($Q1424="","",IF(COUNTIFS(AgPac,$D1424,AgData,"&gt;"&amp;$A1424,AgStatus,"&lt;&gt;Cancelado",AgStatus,"&lt;&gt;Remarcado")&gt;0,"Sim","Não"))</f>
        <v>0</v>
      </c>
      <c r="S1424" s="28">
        <f>IF($A1424="","",IF(AND($F1424="Agendado",$A1424-Hoje&gt;=0,$A1424-Hoje&lt;=DiasConf),"CONFIRMAR",IF(AND($A1424&lt;Hoje,OR($F1424="Agendado",$F1424="Confirmado")),"Atualizar status",IF(AND($F1424="Compareceu",$P1424&gt;0.005),"Cobrar",IF($F1424="Faltou","Falta: reagendar","")))))</f>
        <v>0</v>
      </c>
      <c r="T1424" s="29">
        <f>IF($A1424="","",DATE(YEAR($A1424),MONTH($A1424),1))</f>
        <v>0</v>
      </c>
      <c r="U1424" s="30">
        <f>IF($S1424="CONFIRMAR",MAX($U$4:$U1423)+1,"")</f>
        <v>0</v>
      </c>
      <c r="V1424" s="30">
        <f>IF(AND($R1424="Não",$Q1424&lt;&gt;"",$Q1424&lt;=Hoje+JanelaRet,$Q1424&gt;=Hoje-60),MAX($V$4:$V1423)+1,"")</f>
        <v>0</v>
      </c>
    </row>
    <row r="1425" spans="1:22">
      <c r="A1425" s="16"/>
      <c r="B1425" s="23"/>
      <c r="C1425" s="15"/>
      <c r="D1425" s="15"/>
      <c r="E1425" s="15"/>
      <c r="F1425" s="24"/>
      <c r="G1425" s="17"/>
      <c r="H1425" s="17"/>
      <c r="I1425" s="15"/>
      <c r="J1425" s="25">
        <f>IF($D1425="","",IFERROR(INDEX(PacNome,MATCH($D1425,PacCod,0)),"Paciente não cadastrado"))</f>
        <v>0</v>
      </c>
      <c r="K1425" s="26">
        <f>IF($D1425="","",IFERROR(INDEX(PacConv,MATCH($D1425,PacCod,0))&amp;"",""))</f>
        <v>0</v>
      </c>
      <c r="L1425" s="26">
        <f>IF($A1425="","",CHOOSE(WEEKDAY($A1425,2),"Seg","Ter","Qua","Qui","Sex","Sáb","Dom"))</f>
        <v>0</v>
      </c>
      <c r="M1425" s="27">
        <f>IF($E1425="","",IF($G1425&lt;&gt;"",$G1425,IFERROR(INDEX(ProcValor,MATCH($E1425,ProcNome,0)),0)))</f>
        <v>0</v>
      </c>
      <c r="N1425" s="27">
        <f>IF($M1425="","",IF($F1425="Compareceu",$M1425,0))</f>
        <v>0</v>
      </c>
      <c r="O1425" s="27">
        <f>IF($M1425="","",IF($F1425="Faltou",$M1425,0))</f>
        <v>0</v>
      </c>
      <c r="P1425" s="27">
        <f>IF($M1425="","",IF($F1425="Compareceu",MAX(0,$M1425-N($H1425)),0))</f>
        <v>0</v>
      </c>
      <c r="Q1425" s="19">
        <f>IF(AND($F1425="Compareceu",$E1425&lt;&gt;"",$A1425&lt;&gt;""),IF(IFERROR(INDEX(ProcRet,MATCH($E1425,ProcNome,0)),0)&gt;0,$A1425+INDEX(ProcRet,MATCH($E1425,ProcNome,0)),""),"")</f>
        <v>0</v>
      </c>
      <c r="R1425" s="26">
        <f>IF($Q1425="","",IF(COUNTIFS(AgPac,$D1425,AgData,"&gt;"&amp;$A1425,AgStatus,"&lt;&gt;Cancelado",AgStatus,"&lt;&gt;Remarcado")&gt;0,"Sim","Não"))</f>
        <v>0</v>
      </c>
      <c r="S1425" s="28">
        <f>IF($A1425="","",IF(AND($F1425="Agendado",$A1425-Hoje&gt;=0,$A1425-Hoje&lt;=DiasConf),"CONFIRMAR",IF(AND($A1425&lt;Hoje,OR($F1425="Agendado",$F1425="Confirmado")),"Atualizar status",IF(AND($F1425="Compareceu",$P1425&gt;0.005),"Cobrar",IF($F1425="Faltou","Falta: reagendar","")))))</f>
        <v>0</v>
      </c>
      <c r="T1425" s="29">
        <f>IF($A1425="","",DATE(YEAR($A1425),MONTH($A1425),1))</f>
        <v>0</v>
      </c>
      <c r="U1425" s="30">
        <f>IF($S1425="CONFIRMAR",MAX($U$4:$U1424)+1,"")</f>
        <v>0</v>
      </c>
      <c r="V1425" s="30">
        <f>IF(AND($R1425="Não",$Q1425&lt;&gt;"",$Q1425&lt;=Hoje+JanelaRet,$Q1425&gt;=Hoje-60),MAX($V$4:$V1424)+1,"")</f>
        <v>0</v>
      </c>
    </row>
    <row r="1426" spans="1:22">
      <c r="A1426" s="16"/>
      <c r="B1426" s="23"/>
      <c r="C1426" s="15"/>
      <c r="D1426" s="15"/>
      <c r="E1426" s="15"/>
      <c r="F1426" s="24"/>
      <c r="G1426" s="17"/>
      <c r="H1426" s="17"/>
      <c r="I1426" s="15"/>
      <c r="J1426" s="25">
        <f>IF($D1426="","",IFERROR(INDEX(PacNome,MATCH($D1426,PacCod,0)),"Paciente não cadastrado"))</f>
        <v>0</v>
      </c>
      <c r="K1426" s="26">
        <f>IF($D1426="","",IFERROR(INDEX(PacConv,MATCH($D1426,PacCod,0))&amp;"",""))</f>
        <v>0</v>
      </c>
      <c r="L1426" s="26">
        <f>IF($A1426="","",CHOOSE(WEEKDAY($A1426,2),"Seg","Ter","Qua","Qui","Sex","Sáb","Dom"))</f>
        <v>0</v>
      </c>
      <c r="M1426" s="27">
        <f>IF($E1426="","",IF($G1426&lt;&gt;"",$G1426,IFERROR(INDEX(ProcValor,MATCH($E1426,ProcNome,0)),0)))</f>
        <v>0</v>
      </c>
      <c r="N1426" s="27">
        <f>IF($M1426="","",IF($F1426="Compareceu",$M1426,0))</f>
        <v>0</v>
      </c>
      <c r="O1426" s="27">
        <f>IF($M1426="","",IF($F1426="Faltou",$M1426,0))</f>
        <v>0</v>
      </c>
      <c r="P1426" s="27">
        <f>IF($M1426="","",IF($F1426="Compareceu",MAX(0,$M1426-N($H1426)),0))</f>
        <v>0</v>
      </c>
      <c r="Q1426" s="19">
        <f>IF(AND($F1426="Compareceu",$E1426&lt;&gt;"",$A1426&lt;&gt;""),IF(IFERROR(INDEX(ProcRet,MATCH($E1426,ProcNome,0)),0)&gt;0,$A1426+INDEX(ProcRet,MATCH($E1426,ProcNome,0)),""),"")</f>
        <v>0</v>
      </c>
      <c r="R1426" s="26">
        <f>IF($Q1426="","",IF(COUNTIFS(AgPac,$D1426,AgData,"&gt;"&amp;$A1426,AgStatus,"&lt;&gt;Cancelado",AgStatus,"&lt;&gt;Remarcado")&gt;0,"Sim","Não"))</f>
        <v>0</v>
      </c>
      <c r="S1426" s="28">
        <f>IF($A1426="","",IF(AND($F1426="Agendado",$A1426-Hoje&gt;=0,$A1426-Hoje&lt;=DiasConf),"CONFIRMAR",IF(AND($A1426&lt;Hoje,OR($F1426="Agendado",$F1426="Confirmado")),"Atualizar status",IF(AND($F1426="Compareceu",$P1426&gt;0.005),"Cobrar",IF($F1426="Faltou","Falta: reagendar","")))))</f>
        <v>0</v>
      </c>
      <c r="T1426" s="29">
        <f>IF($A1426="","",DATE(YEAR($A1426),MONTH($A1426),1))</f>
        <v>0</v>
      </c>
      <c r="U1426" s="30">
        <f>IF($S1426="CONFIRMAR",MAX($U$4:$U1425)+1,"")</f>
        <v>0</v>
      </c>
      <c r="V1426" s="30">
        <f>IF(AND($R1426="Não",$Q1426&lt;&gt;"",$Q1426&lt;=Hoje+JanelaRet,$Q1426&gt;=Hoje-60),MAX($V$4:$V1425)+1,"")</f>
        <v>0</v>
      </c>
    </row>
    <row r="1427" spans="1:22">
      <c r="A1427" s="16"/>
      <c r="B1427" s="23"/>
      <c r="C1427" s="15"/>
      <c r="D1427" s="15"/>
      <c r="E1427" s="15"/>
      <c r="F1427" s="24"/>
      <c r="G1427" s="17"/>
      <c r="H1427" s="17"/>
      <c r="I1427" s="15"/>
      <c r="J1427" s="25">
        <f>IF($D1427="","",IFERROR(INDEX(PacNome,MATCH($D1427,PacCod,0)),"Paciente não cadastrado"))</f>
        <v>0</v>
      </c>
      <c r="K1427" s="26">
        <f>IF($D1427="","",IFERROR(INDEX(PacConv,MATCH($D1427,PacCod,0))&amp;"",""))</f>
        <v>0</v>
      </c>
      <c r="L1427" s="26">
        <f>IF($A1427="","",CHOOSE(WEEKDAY($A1427,2),"Seg","Ter","Qua","Qui","Sex","Sáb","Dom"))</f>
        <v>0</v>
      </c>
      <c r="M1427" s="27">
        <f>IF($E1427="","",IF($G1427&lt;&gt;"",$G1427,IFERROR(INDEX(ProcValor,MATCH($E1427,ProcNome,0)),0)))</f>
        <v>0</v>
      </c>
      <c r="N1427" s="27">
        <f>IF($M1427="","",IF($F1427="Compareceu",$M1427,0))</f>
        <v>0</v>
      </c>
      <c r="O1427" s="27">
        <f>IF($M1427="","",IF($F1427="Faltou",$M1427,0))</f>
        <v>0</v>
      </c>
      <c r="P1427" s="27">
        <f>IF($M1427="","",IF($F1427="Compareceu",MAX(0,$M1427-N($H1427)),0))</f>
        <v>0</v>
      </c>
      <c r="Q1427" s="19">
        <f>IF(AND($F1427="Compareceu",$E1427&lt;&gt;"",$A1427&lt;&gt;""),IF(IFERROR(INDEX(ProcRet,MATCH($E1427,ProcNome,0)),0)&gt;0,$A1427+INDEX(ProcRet,MATCH($E1427,ProcNome,0)),""),"")</f>
        <v>0</v>
      </c>
      <c r="R1427" s="26">
        <f>IF($Q1427="","",IF(COUNTIFS(AgPac,$D1427,AgData,"&gt;"&amp;$A1427,AgStatus,"&lt;&gt;Cancelado",AgStatus,"&lt;&gt;Remarcado")&gt;0,"Sim","Não"))</f>
        <v>0</v>
      </c>
      <c r="S1427" s="28">
        <f>IF($A1427="","",IF(AND($F1427="Agendado",$A1427-Hoje&gt;=0,$A1427-Hoje&lt;=DiasConf),"CONFIRMAR",IF(AND($A1427&lt;Hoje,OR($F1427="Agendado",$F1427="Confirmado")),"Atualizar status",IF(AND($F1427="Compareceu",$P1427&gt;0.005),"Cobrar",IF($F1427="Faltou","Falta: reagendar","")))))</f>
        <v>0</v>
      </c>
      <c r="T1427" s="29">
        <f>IF($A1427="","",DATE(YEAR($A1427),MONTH($A1427),1))</f>
        <v>0</v>
      </c>
      <c r="U1427" s="30">
        <f>IF($S1427="CONFIRMAR",MAX($U$4:$U1426)+1,"")</f>
        <v>0</v>
      </c>
      <c r="V1427" s="30">
        <f>IF(AND($R1427="Não",$Q1427&lt;&gt;"",$Q1427&lt;=Hoje+JanelaRet,$Q1427&gt;=Hoje-60),MAX($V$4:$V1426)+1,"")</f>
        <v>0</v>
      </c>
    </row>
    <row r="1428" spans="1:22">
      <c r="A1428" s="16"/>
      <c r="B1428" s="23"/>
      <c r="C1428" s="15"/>
      <c r="D1428" s="15"/>
      <c r="E1428" s="15"/>
      <c r="F1428" s="24"/>
      <c r="G1428" s="17"/>
      <c r="H1428" s="17"/>
      <c r="I1428" s="15"/>
      <c r="J1428" s="25">
        <f>IF($D1428="","",IFERROR(INDEX(PacNome,MATCH($D1428,PacCod,0)),"Paciente não cadastrado"))</f>
        <v>0</v>
      </c>
      <c r="K1428" s="26">
        <f>IF($D1428="","",IFERROR(INDEX(PacConv,MATCH($D1428,PacCod,0))&amp;"",""))</f>
        <v>0</v>
      </c>
      <c r="L1428" s="26">
        <f>IF($A1428="","",CHOOSE(WEEKDAY($A1428,2),"Seg","Ter","Qua","Qui","Sex","Sáb","Dom"))</f>
        <v>0</v>
      </c>
      <c r="M1428" s="27">
        <f>IF($E1428="","",IF($G1428&lt;&gt;"",$G1428,IFERROR(INDEX(ProcValor,MATCH($E1428,ProcNome,0)),0)))</f>
        <v>0</v>
      </c>
      <c r="N1428" s="27">
        <f>IF($M1428="","",IF($F1428="Compareceu",$M1428,0))</f>
        <v>0</v>
      </c>
      <c r="O1428" s="27">
        <f>IF($M1428="","",IF($F1428="Faltou",$M1428,0))</f>
        <v>0</v>
      </c>
      <c r="P1428" s="27">
        <f>IF($M1428="","",IF($F1428="Compareceu",MAX(0,$M1428-N($H1428)),0))</f>
        <v>0</v>
      </c>
      <c r="Q1428" s="19">
        <f>IF(AND($F1428="Compareceu",$E1428&lt;&gt;"",$A1428&lt;&gt;""),IF(IFERROR(INDEX(ProcRet,MATCH($E1428,ProcNome,0)),0)&gt;0,$A1428+INDEX(ProcRet,MATCH($E1428,ProcNome,0)),""),"")</f>
        <v>0</v>
      </c>
      <c r="R1428" s="26">
        <f>IF($Q1428="","",IF(COUNTIFS(AgPac,$D1428,AgData,"&gt;"&amp;$A1428,AgStatus,"&lt;&gt;Cancelado",AgStatus,"&lt;&gt;Remarcado")&gt;0,"Sim","Não"))</f>
        <v>0</v>
      </c>
      <c r="S1428" s="28">
        <f>IF($A1428="","",IF(AND($F1428="Agendado",$A1428-Hoje&gt;=0,$A1428-Hoje&lt;=DiasConf),"CONFIRMAR",IF(AND($A1428&lt;Hoje,OR($F1428="Agendado",$F1428="Confirmado")),"Atualizar status",IF(AND($F1428="Compareceu",$P1428&gt;0.005),"Cobrar",IF($F1428="Faltou","Falta: reagendar","")))))</f>
        <v>0</v>
      </c>
      <c r="T1428" s="29">
        <f>IF($A1428="","",DATE(YEAR($A1428),MONTH($A1428),1))</f>
        <v>0</v>
      </c>
      <c r="U1428" s="30">
        <f>IF($S1428="CONFIRMAR",MAX($U$4:$U1427)+1,"")</f>
        <v>0</v>
      </c>
      <c r="V1428" s="30">
        <f>IF(AND($R1428="Não",$Q1428&lt;&gt;"",$Q1428&lt;=Hoje+JanelaRet,$Q1428&gt;=Hoje-60),MAX($V$4:$V1427)+1,"")</f>
        <v>0</v>
      </c>
    </row>
    <row r="1429" spans="1:22">
      <c r="A1429" s="16"/>
      <c r="B1429" s="23"/>
      <c r="C1429" s="15"/>
      <c r="D1429" s="15"/>
      <c r="E1429" s="15"/>
      <c r="F1429" s="24"/>
      <c r="G1429" s="17"/>
      <c r="H1429" s="17"/>
      <c r="I1429" s="15"/>
      <c r="J1429" s="25">
        <f>IF($D1429="","",IFERROR(INDEX(PacNome,MATCH($D1429,PacCod,0)),"Paciente não cadastrado"))</f>
        <v>0</v>
      </c>
      <c r="K1429" s="26">
        <f>IF($D1429="","",IFERROR(INDEX(PacConv,MATCH($D1429,PacCod,0))&amp;"",""))</f>
        <v>0</v>
      </c>
      <c r="L1429" s="26">
        <f>IF($A1429="","",CHOOSE(WEEKDAY($A1429,2),"Seg","Ter","Qua","Qui","Sex","Sáb","Dom"))</f>
        <v>0</v>
      </c>
      <c r="M1429" s="27">
        <f>IF($E1429="","",IF($G1429&lt;&gt;"",$G1429,IFERROR(INDEX(ProcValor,MATCH($E1429,ProcNome,0)),0)))</f>
        <v>0</v>
      </c>
      <c r="N1429" s="27">
        <f>IF($M1429="","",IF($F1429="Compareceu",$M1429,0))</f>
        <v>0</v>
      </c>
      <c r="O1429" s="27">
        <f>IF($M1429="","",IF($F1429="Faltou",$M1429,0))</f>
        <v>0</v>
      </c>
      <c r="P1429" s="27">
        <f>IF($M1429="","",IF($F1429="Compareceu",MAX(0,$M1429-N($H1429)),0))</f>
        <v>0</v>
      </c>
      <c r="Q1429" s="19">
        <f>IF(AND($F1429="Compareceu",$E1429&lt;&gt;"",$A1429&lt;&gt;""),IF(IFERROR(INDEX(ProcRet,MATCH($E1429,ProcNome,0)),0)&gt;0,$A1429+INDEX(ProcRet,MATCH($E1429,ProcNome,0)),""),"")</f>
        <v>0</v>
      </c>
      <c r="R1429" s="26">
        <f>IF($Q1429="","",IF(COUNTIFS(AgPac,$D1429,AgData,"&gt;"&amp;$A1429,AgStatus,"&lt;&gt;Cancelado",AgStatus,"&lt;&gt;Remarcado")&gt;0,"Sim","Não"))</f>
        <v>0</v>
      </c>
      <c r="S1429" s="28">
        <f>IF($A1429="","",IF(AND($F1429="Agendado",$A1429-Hoje&gt;=0,$A1429-Hoje&lt;=DiasConf),"CONFIRMAR",IF(AND($A1429&lt;Hoje,OR($F1429="Agendado",$F1429="Confirmado")),"Atualizar status",IF(AND($F1429="Compareceu",$P1429&gt;0.005),"Cobrar",IF($F1429="Faltou","Falta: reagendar","")))))</f>
        <v>0</v>
      </c>
      <c r="T1429" s="29">
        <f>IF($A1429="","",DATE(YEAR($A1429),MONTH($A1429),1))</f>
        <v>0</v>
      </c>
      <c r="U1429" s="30">
        <f>IF($S1429="CONFIRMAR",MAX($U$4:$U1428)+1,"")</f>
        <v>0</v>
      </c>
      <c r="V1429" s="30">
        <f>IF(AND($R1429="Não",$Q1429&lt;&gt;"",$Q1429&lt;=Hoje+JanelaRet,$Q1429&gt;=Hoje-60),MAX($V$4:$V1428)+1,"")</f>
        <v>0</v>
      </c>
    </row>
    <row r="1430" spans="1:22">
      <c r="A1430" s="16"/>
      <c r="B1430" s="23"/>
      <c r="C1430" s="15"/>
      <c r="D1430" s="15"/>
      <c r="E1430" s="15"/>
      <c r="F1430" s="24"/>
      <c r="G1430" s="17"/>
      <c r="H1430" s="17"/>
      <c r="I1430" s="15"/>
      <c r="J1430" s="25">
        <f>IF($D1430="","",IFERROR(INDEX(PacNome,MATCH($D1430,PacCod,0)),"Paciente não cadastrado"))</f>
        <v>0</v>
      </c>
      <c r="K1430" s="26">
        <f>IF($D1430="","",IFERROR(INDEX(PacConv,MATCH($D1430,PacCod,0))&amp;"",""))</f>
        <v>0</v>
      </c>
      <c r="L1430" s="26">
        <f>IF($A1430="","",CHOOSE(WEEKDAY($A1430,2),"Seg","Ter","Qua","Qui","Sex","Sáb","Dom"))</f>
        <v>0</v>
      </c>
      <c r="M1430" s="27">
        <f>IF($E1430="","",IF($G1430&lt;&gt;"",$G1430,IFERROR(INDEX(ProcValor,MATCH($E1430,ProcNome,0)),0)))</f>
        <v>0</v>
      </c>
      <c r="N1430" s="27">
        <f>IF($M1430="","",IF($F1430="Compareceu",$M1430,0))</f>
        <v>0</v>
      </c>
      <c r="O1430" s="27">
        <f>IF($M1430="","",IF($F1430="Faltou",$M1430,0))</f>
        <v>0</v>
      </c>
      <c r="P1430" s="27">
        <f>IF($M1430="","",IF($F1430="Compareceu",MAX(0,$M1430-N($H1430)),0))</f>
        <v>0</v>
      </c>
      <c r="Q1430" s="19">
        <f>IF(AND($F1430="Compareceu",$E1430&lt;&gt;"",$A1430&lt;&gt;""),IF(IFERROR(INDEX(ProcRet,MATCH($E1430,ProcNome,0)),0)&gt;0,$A1430+INDEX(ProcRet,MATCH($E1430,ProcNome,0)),""),"")</f>
        <v>0</v>
      </c>
      <c r="R1430" s="26">
        <f>IF($Q1430="","",IF(COUNTIFS(AgPac,$D1430,AgData,"&gt;"&amp;$A1430,AgStatus,"&lt;&gt;Cancelado",AgStatus,"&lt;&gt;Remarcado")&gt;0,"Sim","Não"))</f>
        <v>0</v>
      </c>
      <c r="S1430" s="28">
        <f>IF($A1430="","",IF(AND($F1430="Agendado",$A1430-Hoje&gt;=0,$A1430-Hoje&lt;=DiasConf),"CONFIRMAR",IF(AND($A1430&lt;Hoje,OR($F1430="Agendado",$F1430="Confirmado")),"Atualizar status",IF(AND($F1430="Compareceu",$P1430&gt;0.005),"Cobrar",IF($F1430="Faltou","Falta: reagendar","")))))</f>
        <v>0</v>
      </c>
      <c r="T1430" s="29">
        <f>IF($A1430="","",DATE(YEAR($A1430),MONTH($A1430),1))</f>
        <v>0</v>
      </c>
      <c r="U1430" s="30">
        <f>IF($S1430="CONFIRMAR",MAX($U$4:$U1429)+1,"")</f>
        <v>0</v>
      </c>
      <c r="V1430" s="30">
        <f>IF(AND($R1430="Não",$Q1430&lt;&gt;"",$Q1430&lt;=Hoje+JanelaRet,$Q1430&gt;=Hoje-60),MAX($V$4:$V1429)+1,"")</f>
        <v>0</v>
      </c>
    </row>
    <row r="1431" spans="1:22">
      <c r="A1431" s="16"/>
      <c r="B1431" s="23"/>
      <c r="C1431" s="15"/>
      <c r="D1431" s="15"/>
      <c r="E1431" s="15"/>
      <c r="F1431" s="24"/>
      <c r="G1431" s="17"/>
      <c r="H1431" s="17"/>
      <c r="I1431" s="15"/>
      <c r="J1431" s="25">
        <f>IF($D1431="","",IFERROR(INDEX(PacNome,MATCH($D1431,PacCod,0)),"Paciente não cadastrado"))</f>
        <v>0</v>
      </c>
      <c r="K1431" s="26">
        <f>IF($D1431="","",IFERROR(INDEX(PacConv,MATCH($D1431,PacCod,0))&amp;"",""))</f>
        <v>0</v>
      </c>
      <c r="L1431" s="26">
        <f>IF($A1431="","",CHOOSE(WEEKDAY($A1431,2),"Seg","Ter","Qua","Qui","Sex","Sáb","Dom"))</f>
        <v>0</v>
      </c>
      <c r="M1431" s="27">
        <f>IF($E1431="","",IF($G1431&lt;&gt;"",$G1431,IFERROR(INDEX(ProcValor,MATCH($E1431,ProcNome,0)),0)))</f>
        <v>0</v>
      </c>
      <c r="N1431" s="27">
        <f>IF($M1431="","",IF($F1431="Compareceu",$M1431,0))</f>
        <v>0</v>
      </c>
      <c r="O1431" s="27">
        <f>IF($M1431="","",IF($F1431="Faltou",$M1431,0))</f>
        <v>0</v>
      </c>
      <c r="P1431" s="27">
        <f>IF($M1431="","",IF($F1431="Compareceu",MAX(0,$M1431-N($H1431)),0))</f>
        <v>0</v>
      </c>
      <c r="Q1431" s="19">
        <f>IF(AND($F1431="Compareceu",$E1431&lt;&gt;"",$A1431&lt;&gt;""),IF(IFERROR(INDEX(ProcRet,MATCH($E1431,ProcNome,0)),0)&gt;0,$A1431+INDEX(ProcRet,MATCH($E1431,ProcNome,0)),""),"")</f>
        <v>0</v>
      </c>
      <c r="R1431" s="26">
        <f>IF($Q1431="","",IF(COUNTIFS(AgPac,$D1431,AgData,"&gt;"&amp;$A1431,AgStatus,"&lt;&gt;Cancelado",AgStatus,"&lt;&gt;Remarcado")&gt;0,"Sim","Não"))</f>
        <v>0</v>
      </c>
      <c r="S1431" s="28">
        <f>IF($A1431="","",IF(AND($F1431="Agendado",$A1431-Hoje&gt;=0,$A1431-Hoje&lt;=DiasConf),"CONFIRMAR",IF(AND($A1431&lt;Hoje,OR($F1431="Agendado",$F1431="Confirmado")),"Atualizar status",IF(AND($F1431="Compareceu",$P1431&gt;0.005),"Cobrar",IF($F1431="Faltou","Falta: reagendar","")))))</f>
        <v>0</v>
      </c>
      <c r="T1431" s="29">
        <f>IF($A1431="","",DATE(YEAR($A1431),MONTH($A1431),1))</f>
        <v>0</v>
      </c>
      <c r="U1431" s="30">
        <f>IF($S1431="CONFIRMAR",MAX($U$4:$U1430)+1,"")</f>
        <v>0</v>
      </c>
      <c r="V1431" s="30">
        <f>IF(AND($R1431="Não",$Q1431&lt;&gt;"",$Q1431&lt;=Hoje+JanelaRet,$Q1431&gt;=Hoje-60),MAX($V$4:$V1430)+1,"")</f>
        <v>0</v>
      </c>
    </row>
    <row r="1432" spans="1:22">
      <c r="A1432" s="16"/>
      <c r="B1432" s="23"/>
      <c r="C1432" s="15"/>
      <c r="D1432" s="15"/>
      <c r="E1432" s="15"/>
      <c r="F1432" s="24"/>
      <c r="G1432" s="17"/>
      <c r="H1432" s="17"/>
      <c r="I1432" s="15"/>
      <c r="J1432" s="25">
        <f>IF($D1432="","",IFERROR(INDEX(PacNome,MATCH($D1432,PacCod,0)),"Paciente não cadastrado"))</f>
        <v>0</v>
      </c>
      <c r="K1432" s="26">
        <f>IF($D1432="","",IFERROR(INDEX(PacConv,MATCH($D1432,PacCod,0))&amp;"",""))</f>
        <v>0</v>
      </c>
      <c r="L1432" s="26">
        <f>IF($A1432="","",CHOOSE(WEEKDAY($A1432,2),"Seg","Ter","Qua","Qui","Sex","Sáb","Dom"))</f>
        <v>0</v>
      </c>
      <c r="M1432" s="27">
        <f>IF($E1432="","",IF($G1432&lt;&gt;"",$G1432,IFERROR(INDEX(ProcValor,MATCH($E1432,ProcNome,0)),0)))</f>
        <v>0</v>
      </c>
      <c r="N1432" s="27">
        <f>IF($M1432="","",IF($F1432="Compareceu",$M1432,0))</f>
        <v>0</v>
      </c>
      <c r="O1432" s="27">
        <f>IF($M1432="","",IF($F1432="Faltou",$M1432,0))</f>
        <v>0</v>
      </c>
      <c r="P1432" s="27">
        <f>IF($M1432="","",IF($F1432="Compareceu",MAX(0,$M1432-N($H1432)),0))</f>
        <v>0</v>
      </c>
      <c r="Q1432" s="19">
        <f>IF(AND($F1432="Compareceu",$E1432&lt;&gt;"",$A1432&lt;&gt;""),IF(IFERROR(INDEX(ProcRet,MATCH($E1432,ProcNome,0)),0)&gt;0,$A1432+INDEX(ProcRet,MATCH($E1432,ProcNome,0)),""),"")</f>
        <v>0</v>
      </c>
      <c r="R1432" s="26">
        <f>IF($Q1432="","",IF(COUNTIFS(AgPac,$D1432,AgData,"&gt;"&amp;$A1432,AgStatus,"&lt;&gt;Cancelado",AgStatus,"&lt;&gt;Remarcado")&gt;0,"Sim","Não"))</f>
        <v>0</v>
      </c>
      <c r="S1432" s="28">
        <f>IF($A1432="","",IF(AND($F1432="Agendado",$A1432-Hoje&gt;=0,$A1432-Hoje&lt;=DiasConf),"CONFIRMAR",IF(AND($A1432&lt;Hoje,OR($F1432="Agendado",$F1432="Confirmado")),"Atualizar status",IF(AND($F1432="Compareceu",$P1432&gt;0.005),"Cobrar",IF($F1432="Faltou","Falta: reagendar","")))))</f>
        <v>0</v>
      </c>
      <c r="T1432" s="29">
        <f>IF($A1432="","",DATE(YEAR($A1432),MONTH($A1432),1))</f>
        <v>0</v>
      </c>
      <c r="U1432" s="30">
        <f>IF($S1432="CONFIRMAR",MAX($U$4:$U1431)+1,"")</f>
        <v>0</v>
      </c>
      <c r="V1432" s="30">
        <f>IF(AND($R1432="Não",$Q1432&lt;&gt;"",$Q1432&lt;=Hoje+JanelaRet,$Q1432&gt;=Hoje-60),MAX($V$4:$V1431)+1,"")</f>
        <v>0</v>
      </c>
    </row>
    <row r="1433" spans="1:22">
      <c r="A1433" s="16"/>
      <c r="B1433" s="23"/>
      <c r="C1433" s="15"/>
      <c r="D1433" s="15"/>
      <c r="E1433" s="15"/>
      <c r="F1433" s="24"/>
      <c r="G1433" s="17"/>
      <c r="H1433" s="17"/>
      <c r="I1433" s="15"/>
      <c r="J1433" s="25">
        <f>IF($D1433="","",IFERROR(INDEX(PacNome,MATCH($D1433,PacCod,0)),"Paciente não cadastrado"))</f>
        <v>0</v>
      </c>
      <c r="K1433" s="26">
        <f>IF($D1433="","",IFERROR(INDEX(PacConv,MATCH($D1433,PacCod,0))&amp;"",""))</f>
        <v>0</v>
      </c>
      <c r="L1433" s="26">
        <f>IF($A1433="","",CHOOSE(WEEKDAY($A1433,2),"Seg","Ter","Qua","Qui","Sex","Sáb","Dom"))</f>
        <v>0</v>
      </c>
      <c r="M1433" s="27">
        <f>IF($E1433="","",IF($G1433&lt;&gt;"",$G1433,IFERROR(INDEX(ProcValor,MATCH($E1433,ProcNome,0)),0)))</f>
        <v>0</v>
      </c>
      <c r="N1433" s="27">
        <f>IF($M1433="","",IF($F1433="Compareceu",$M1433,0))</f>
        <v>0</v>
      </c>
      <c r="O1433" s="27">
        <f>IF($M1433="","",IF($F1433="Faltou",$M1433,0))</f>
        <v>0</v>
      </c>
      <c r="P1433" s="27">
        <f>IF($M1433="","",IF($F1433="Compareceu",MAX(0,$M1433-N($H1433)),0))</f>
        <v>0</v>
      </c>
      <c r="Q1433" s="19">
        <f>IF(AND($F1433="Compareceu",$E1433&lt;&gt;"",$A1433&lt;&gt;""),IF(IFERROR(INDEX(ProcRet,MATCH($E1433,ProcNome,0)),0)&gt;0,$A1433+INDEX(ProcRet,MATCH($E1433,ProcNome,0)),""),"")</f>
        <v>0</v>
      </c>
      <c r="R1433" s="26">
        <f>IF($Q1433="","",IF(COUNTIFS(AgPac,$D1433,AgData,"&gt;"&amp;$A1433,AgStatus,"&lt;&gt;Cancelado",AgStatus,"&lt;&gt;Remarcado")&gt;0,"Sim","Não"))</f>
        <v>0</v>
      </c>
      <c r="S1433" s="28">
        <f>IF($A1433="","",IF(AND($F1433="Agendado",$A1433-Hoje&gt;=0,$A1433-Hoje&lt;=DiasConf),"CONFIRMAR",IF(AND($A1433&lt;Hoje,OR($F1433="Agendado",$F1433="Confirmado")),"Atualizar status",IF(AND($F1433="Compareceu",$P1433&gt;0.005),"Cobrar",IF($F1433="Faltou","Falta: reagendar","")))))</f>
        <v>0</v>
      </c>
      <c r="T1433" s="29">
        <f>IF($A1433="","",DATE(YEAR($A1433),MONTH($A1433),1))</f>
        <v>0</v>
      </c>
      <c r="U1433" s="30">
        <f>IF($S1433="CONFIRMAR",MAX($U$4:$U1432)+1,"")</f>
        <v>0</v>
      </c>
      <c r="V1433" s="30">
        <f>IF(AND($R1433="Não",$Q1433&lt;&gt;"",$Q1433&lt;=Hoje+JanelaRet,$Q1433&gt;=Hoje-60),MAX($V$4:$V1432)+1,"")</f>
        <v>0</v>
      </c>
    </row>
    <row r="1434" spans="1:22">
      <c r="A1434" s="16"/>
      <c r="B1434" s="23"/>
      <c r="C1434" s="15"/>
      <c r="D1434" s="15"/>
      <c r="E1434" s="15"/>
      <c r="F1434" s="24"/>
      <c r="G1434" s="17"/>
      <c r="H1434" s="17"/>
      <c r="I1434" s="15"/>
      <c r="J1434" s="25">
        <f>IF($D1434="","",IFERROR(INDEX(PacNome,MATCH($D1434,PacCod,0)),"Paciente não cadastrado"))</f>
        <v>0</v>
      </c>
      <c r="K1434" s="26">
        <f>IF($D1434="","",IFERROR(INDEX(PacConv,MATCH($D1434,PacCod,0))&amp;"",""))</f>
        <v>0</v>
      </c>
      <c r="L1434" s="26">
        <f>IF($A1434="","",CHOOSE(WEEKDAY($A1434,2),"Seg","Ter","Qua","Qui","Sex","Sáb","Dom"))</f>
        <v>0</v>
      </c>
      <c r="M1434" s="27">
        <f>IF($E1434="","",IF($G1434&lt;&gt;"",$G1434,IFERROR(INDEX(ProcValor,MATCH($E1434,ProcNome,0)),0)))</f>
        <v>0</v>
      </c>
      <c r="N1434" s="27">
        <f>IF($M1434="","",IF($F1434="Compareceu",$M1434,0))</f>
        <v>0</v>
      </c>
      <c r="O1434" s="27">
        <f>IF($M1434="","",IF($F1434="Faltou",$M1434,0))</f>
        <v>0</v>
      </c>
      <c r="P1434" s="27">
        <f>IF($M1434="","",IF($F1434="Compareceu",MAX(0,$M1434-N($H1434)),0))</f>
        <v>0</v>
      </c>
      <c r="Q1434" s="19">
        <f>IF(AND($F1434="Compareceu",$E1434&lt;&gt;"",$A1434&lt;&gt;""),IF(IFERROR(INDEX(ProcRet,MATCH($E1434,ProcNome,0)),0)&gt;0,$A1434+INDEX(ProcRet,MATCH($E1434,ProcNome,0)),""),"")</f>
        <v>0</v>
      </c>
      <c r="R1434" s="26">
        <f>IF($Q1434="","",IF(COUNTIFS(AgPac,$D1434,AgData,"&gt;"&amp;$A1434,AgStatus,"&lt;&gt;Cancelado",AgStatus,"&lt;&gt;Remarcado")&gt;0,"Sim","Não"))</f>
        <v>0</v>
      </c>
      <c r="S1434" s="28">
        <f>IF($A1434="","",IF(AND($F1434="Agendado",$A1434-Hoje&gt;=0,$A1434-Hoje&lt;=DiasConf),"CONFIRMAR",IF(AND($A1434&lt;Hoje,OR($F1434="Agendado",$F1434="Confirmado")),"Atualizar status",IF(AND($F1434="Compareceu",$P1434&gt;0.005),"Cobrar",IF($F1434="Faltou","Falta: reagendar","")))))</f>
        <v>0</v>
      </c>
      <c r="T1434" s="29">
        <f>IF($A1434="","",DATE(YEAR($A1434),MONTH($A1434),1))</f>
        <v>0</v>
      </c>
      <c r="U1434" s="30">
        <f>IF($S1434="CONFIRMAR",MAX($U$4:$U1433)+1,"")</f>
        <v>0</v>
      </c>
      <c r="V1434" s="30">
        <f>IF(AND($R1434="Não",$Q1434&lt;&gt;"",$Q1434&lt;=Hoje+JanelaRet,$Q1434&gt;=Hoje-60),MAX($V$4:$V1433)+1,"")</f>
        <v>0</v>
      </c>
    </row>
    <row r="1435" spans="1:22">
      <c r="A1435" s="16"/>
      <c r="B1435" s="23"/>
      <c r="C1435" s="15"/>
      <c r="D1435" s="15"/>
      <c r="E1435" s="15"/>
      <c r="F1435" s="24"/>
      <c r="G1435" s="17"/>
      <c r="H1435" s="17"/>
      <c r="I1435" s="15"/>
      <c r="J1435" s="25">
        <f>IF($D1435="","",IFERROR(INDEX(PacNome,MATCH($D1435,PacCod,0)),"Paciente não cadastrado"))</f>
        <v>0</v>
      </c>
      <c r="K1435" s="26">
        <f>IF($D1435="","",IFERROR(INDEX(PacConv,MATCH($D1435,PacCod,0))&amp;"",""))</f>
        <v>0</v>
      </c>
      <c r="L1435" s="26">
        <f>IF($A1435="","",CHOOSE(WEEKDAY($A1435,2),"Seg","Ter","Qua","Qui","Sex","Sáb","Dom"))</f>
        <v>0</v>
      </c>
      <c r="M1435" s="27">
        <f>IF($E1435="","",IF($G1435&lt;&gt;"",$G1435,IFERROR(INDEX(ProcValor,MATCH($E1435,ProcNome,0)),0)))</f>
        <v>0</v>
      </c>
      <c r="N1435" s="27">
        <f>IF($M1435="","",IF($F1435="Compareceu",$M1435,0))</f>
        <v>0</v>
      </c>
      <c r="O1435" s="27">
        <f>IF($M1435="","",IF($F1435="Faltou",$M1435,0))</f>
        <v>0</v>
      </c>
      <c r="P1435" s="27">
        <f>IF($M1435="","",IF($F1435="Compareceu",MAX(0,$M1435-N($H1435)),0))</f>
        <v>0</v>
      </c>
      <c r="Q1435" s="19">
        <f>IF(AND($F1435="Compareceu",$E1435&lt;&gt;"",$A1435&lt;&gt;""),IF(IFERROR(INDEX(ProcRet,MATCH($E1435,ProcNome,0)),0)&gt;0,$A1435+INDEX(ProcRet,MATCH($E1435,ProcNome,0)),""),"")</f>
        <v>0</v>
      </c>
      <c r="R1435" s="26">
        <f>IF($Q1435="","",IF(COUNTIFS(AgPac,$D1435,AgData,"&gt;"&amp;$A1435,AgStatus,"&lt;&gt;Cancelado",AgStatus,"&lt;&gt;Remarcado")&gt;0,"Sim","Não"))</f>
        <v>0</v>
      </c>
      <c r="S1435" s="28">
        <f>IF($A1435="","",IF(AND($F1435="Agendado",$A1435-Hoje&gt;=0,$A1435-Hoje&lt;=DiasConf),"CONFIRMAR",IF(AND($A1435&lt;Hoje,OR($F1435="Agendado",$F1435="Confirmado")),"Atualizar status",IF(AND($F1435="Compareceu",$P1435&gt;0.005),"Cobrar",IF($F1435="Faltou","Falta: reagendar","")))))</f>
        <v>0</v>
      </c>
      <c r="T1435" s="29">
        <f>IF($A1435="","",DATE(YEAR($A1435),MONTH($A1435),1))</f>
        <v>0</v>
      </c>
      <c r="U1435" s="30">
        <f>IF($S1435="CONFIRMAR",MAX($U$4:$U1434)+1,"")</f>
        <v>0</v>
      </c>
      <c r="V1435" s="30">
        <f>IF(AND($R1435="Não",$Q1435&lt;&gt;"",$Q1435&lt;=Hoje+JanelaRet,$Q1435&gt;=Hoje-60),MAX($V$4:$V1434)+1,"")</f>
        <v>0</v>
      </c>
    </row>
    <row r="1436" spans="1:22">
      <c r="A1436" s="16"/>
      <c r="B1436" s="23"/>
      <c r="C1436" s="15"/>
      <c r="D1436" s="15"/>
      <c r="E1436" s="15"/>
      <c r="F1436" s="24"/>
      <c r="G1436" s="17"/>
      <c r="H1436" s="17"/>
      <c r="I1436" s="15"/>
      <c r="J1436" s="25">
        <f>IF($D1436="","",IFERROR(INDEX(PacNome,MATCH($D1436,PacCod,0)),"Paciente não cadastrado"))</f>
        <v>0</v>
      </c>
      <c r="K1436" s="26">
        <f>IF($D1436="","",IFERROR(INDEX(PacConv,MATCH($D1436,PacCod,0))&amp;"",""))</f>
        <v>0</v>
      </c>
      <c r="L1436" s="26">
        <f>IF($A1436="","",CHOOSE(WEEKDAY($A1436,2),"Seg","Ter","Qua","Qui","Sex","Sáb","Dom"))</f>
        <v>0</v>
      </c>
      <c r="M1436" s="27">
        <f>IF($E1436="","",IF($G1436&lt;&gt;"",$G1436,IFERROR(INDEX(ProcValor,MATCH($E1436,ProcNome,0)),0)))</f>
        <v>0</v>
      </c>
      <c r="N1436" s="27">
        <f>IF($M1436="","",IF($F1436="Compareceu",$M1436,0))</f>
        <v>0</v>
      </c>
      <c r="O1436" s="27">
        <f>IF($M1436="","",IF($F1436="Faltou",$M1436,0))</f>
        <v>0</v>
      </c>
      <c r="P1436" s="27">
        <f>IF($M1436="","",IF($F1436="Compareceu",MAX(0,$M1436-N($H1436)),0))</f>
        <v>0</v>
      </c>
      <c r="Q1436" s="19">
        <f>IF(AND($F1436="Compareceu",$E1436&lt;&gt;"",$A1436&lt;&gt;""),IF(IFERROR(INDEX(ProcRet,MATCH($E1436,ProcNome,0)),0)&gt;0,$A1436+INDEX(ProcRet,MATCH($E1436,ProcNome,0)),""),"")</f>
        <v>0</v>
      </c>
      <c r="R1436" s="26">
        <f>IF($Q1436="","",IF(COUNTIFS(AgPac,$D1436,AgData,"&gt;"&amp;$A1436,AgStatus,"&lt;&gt;Cancelado",AgStatus,"&lt;&gt;Remarcado")&gt;0,"Sim","Não"))</f>
        <v>0</v>
      </c>
      <c r="S1436" s="28">
        <f>IF($A1436="","",IF(AND($F1436="Agendado",$A1436-Hoje&gt;=0,$A1436-Hoje&lt;=DiasConf),"CONFIRMAR",IF(AND($A1436&lt;Hoje,OR($F1436="Agendado",$F1436="Confirmado")),"Atualizar status",IF(AND($F1436="Compareceu",$P1436&gt;0.005),"Cobrar",IF($F1436="Faltou","Falta: reagendar","")))))</f>
        <v>0</v>
      </c>
      <c r="T1436" s="29">
        <f>IF($A1436="","",DATE(YEAR($A1436),MONTH($A1436),1))</f>
        <v>0</v>
      </c>
      <c r="U1436" s="30">
        <f>IF($S1436="CONFIRMAR",MAX($U$4:$U1435)+1,"")</f>
        <v>0</v>
      </c>
      <c r="V1436" s="30">
        <f>IF(AND($R1436="Não",$Q1436&lt;&gt;"",$Q1436&lt;=Hoje+JanelaRet,$Q1436&gt;=Hoje-60),MAX($V$4:$V1435)+1,"")</f>
        <v>0</v>
      </c>
    </row>
    <row r="1437" spans="1:22">
      <c r="A1437" s="16"/>
      <c r="B1437" s="23"/>
      <c r="C1437" s="15"/>
      <c r="D1437" s="15"/>
      <c r="E1437" s="15"/>
      <c r="F1437" s="24"/>
      <c r="G1437" s="17"/>
      <c r="H1437" s="17"/>
      <c r="I1437" s="15"/>
      <c r="J1437" s="25">
        <f>IF($D1437="","",IFERROR(INDEX(PacNome,MATCH($D1437,PacCod,0)),"Paciente não cadastrado"))</f>
        <v>0</v>
      </c>
      <c r="K1437" s="26">
        <f>IF($D1437="","",IFERROR(INDEX(PacConv,MATCH($D1437,PacCod,0))&amp;"",""))</f>
        <v>0</v>
      </c>
      <c r="L1437" s="26">
        <f>IF($A1437="","",CHOOSE(WEEKDAY($A1437,2),"Seg","Ter","Qua","Qui","Sex","Sáb","Dom"))</f>
        <v>0</v>
      </c>
      <c r="M1437" s="27">
        <f>IF($E1437="","",IF($G1437&lt;&gt;"",$G1437,IFERROR(INDEX(ProcValor,MATCH($E1437,ProcNome,0)),0)))</f>
        <v>0</v>
      </c>
      <c r="N1437" s="27">
        <f>IF($M1437="","",IF($F1437="Compareceu",$M1437,0))</f>
        <v>0</v>
      </c>
      <c r="O1437" s="27">
        <f>IF($M1437="","",IF($F1437="Faltou",$M1437,0))</f>
        <v>0</v>
      </c>
      <c r="P1437" s="27">
        <f>IF($M1437="","",IF($F1437="Compareceu",MAX(0,$M1437-N($H1437)),0))</f>
        <v>0</v>
      </c>
      <c r="Q1437" s="19">
        <f>IF(AND($F1437="Compareceu",$E1437&lt;&gt;"",$A1437&lt;&gt;""),IF(IFERROR(INDEX(ProcRet,MATCH($E1437,ProcNome,0)),0)&gt;0,$A1437+INDEX(ProcRet,MATCH($E1437,ProcNome,0)),""),"")</f>
        <v>0</v>
      </c>
      <c r="R1437" s="26">
        <f>IF($Q1437="","",IF(COUNTIFS(AgPac,$D1437,AgData,"&gt;"&amp;$A1437,AgStatus,"&lt;&gt;Cancelado",AgStatus,"&lt;&gt;Remarcado")&gt;0,"Sim","Não"))</f>
        <v>0</v>
      </c>
      <c r="S1437" s="28">
        <f>IF($A1437="","",IF(AND($F1437="Agendado",$A1437-Hoje&gt;=0,$A1437-Hoje&lt;=DiasConf),"CONFIRMAR",IF(AND($A1437&lt;Hoje,OR($F1437="Agendado",$F1437="Confirmado")),"Atualizar status",IF(AND($F1437="Compareceu",$P1437&gt;0.005),"Cobrar",IF($F1437="Faltou","Falta: reagendar","")))))</f>
        <v>0</v>
      </c>
      <c r="T1437" s="29">
        <f>IF($A1437="","",DATE(YEAR($A1437),MONTH($A1437),1))</f>
        <v>0</v>
      </c>
      <c r="U1437" s="30">
        <f>IF($S1437="CONFIRMAR",MAX($U$4:$U1436)+1,"")</f>
        <v>0</v>
      </c>
      <c r="V1437" s="30">
        <f>IF(AND($R1437="Não",$Q1437&lt;&gt;"",$Q1437&lt;=Hoje+JanelaRet,$Q1437&gt;=Hoje-60),MAX($V$4:$V1436)+1,"")</f>
        <v>0</v>
      </c>
    </row>
    <row r="1438" spans="1:22">
      <c r="A1438" s="16"/>
      <c r="B1438" s="23"/>
      <c r="C1438" s="15"/>
      <c r="D1438" s="15"/>
      <c r="E1438" s="15"/>
      <c r="F1438" s="24"/>
      <c r="G1438" s="17"/>
      <c r="H1438" s="17"/>
      <c r="I1438" s="15"/>
      <c r="J1438" s="25">
        <f>IF($D1438="","",IFERROR(INDEX(PacNome,MATCH($D1438,PacCod,0)),"Paciente não cadastrado"))</f>
        <v>0</v>
      </c>
      <c r="K1438" s="26">
        <f>IF($D1438="","",IFERROR(INDEX(PacConv,MATCH($D1438,PacCod,0))&amp;"",""))</f>
        <v>0</v>
      </c>
      <c r="L1438" s="26">
        <f>IF($A1438="","",CHOOSE(WEEKDAY($A1438,2),"Seg","Ter","Qua","Qui","Sex","Sáb","Dom"))</f>
        <v>0</v>
      </c>
      <c r="M1438" s="27">
        <f>IF($E1438="","",IF($G1438&lt;&gt;"",$G1438,IFERROR(INDEX(ProcValor,MATCH($E1438,ProcNome,0)),0)))</f>
        <v>0</v>
      </c>
      <c r="N1438" s="27">
        <f>IF($M1438="","",IF($F1438="Compareceu",$M1438,0))</f>
        <v>0</v>
      </c>
      <c r="O1438" s="27">
        <f>IF($M1438="","",IF($F1438="Faltou",$M1438,0))</f>
        <v>0</v>
      </c>
      <c r="P1438" s="27">
        <f>IF($M1438="","",IF($F1438="Compareceu",MAX(0,$M1438-N($H1438)),0))</f>
        <v>0</v>
      </c>
      <c r="Q1438" s="19">
        <f>IF(AND($F1438="Compareceu",$E1438&lt;&gt;"",$A1438&lt;&gt;""),IF(IFERROR(INDEX(ProcRet,MATCH($E1438,ProcNome,0)),0)&gt;0,$A1438+INDEX(ProcRet,MATCH($E1438,ProcNome,0)),""),"")</f>
        <v>0</v>
      </c>
      <c r="R1438" s="26">
        <f>IF($Q1438="","",IF(COUNTIFS(AgPac,$D1438,AgData,"&gt;"&amp;$A1438,AgStatus,"&lt;&gt;Cancelado",AgStatus,"&lt;&gt;Remarcado")&gt;0,"Sim","Não"))</f>
        <v>0</v>
      </c>
      <c r="S1438" s="28">
        <f>IF($A1438="","",IF(AND($F1438="Agendado",$A1438-Hoje&gt;=0,$A1438-Hoje&lt;=DiasConf),"CONFIRMAR",IF(AND($A1438&lt;Hoje,OR($F1438="Agendado",$F1438="Confirmado")),"Atualizar status",IF(AND($F1438="Compareceu",$P1438&gt;0.005),"Cobrar",IF($F1438="Faltou","Falta: reagendar","")))))</f>
        <v>0</v>
      </c>
      <c r="T1438" s="29">
        <f>IF($A1438="","",DATE(YEAR($A1438),MONTH($A1438),1))</f>
        <v>0</v>
      </c>
      <c r="U1438" s="30">
        <f>IF($S1438="CONFIRMAR",MAX($U$4:$U1437)+1,"")</f>
        <v>0</v>
      </c>
      <c r="V1438" s="30">
        <f>IF(AND($R1438="Não",$Q1438&lt;&gt;"",$Q1438&lt;=Hoje+JanelaRet,$Q1438&gt;=Hoje-60),MAX($V$4:$V1437)+1,"")</f>
        <v>0</v>
      </c>
    </row>
    <row r="1439" spans="1:22">
      <c r="A1439" s="16"/>
      <c r="B1439" s="23"/>
      <c r="C1439" s="15"/>
      <c r="D1439" s="15"/>
      <c r="E1439" s="15"/>
      <c r="F1439" s="24"/>
      <c r="G1439" s="17"/>
      <c r="H1439" s="17"/>
      <c r="I1439" s="15"/>
      <c r="J1439" s="25">
        <f>IF($D1439="","",IFERROR(INDEX(PacNome,MATCH($D1439,PacCod,0)),"Paciente não cadastrado"))</f>
        <v>0</v>
      </c>
      <c r="K1439" s="26">
        <f>IF($D1439="","",IFERROR(INDEX(PacConv,MATCH($D1439,PacCod,0))&amp;"",""))</f>
        <v>0</v>
      </c>
      <c r="L1439" s="26">
        <f>IF($A1439="","",CHOOSE(WEEKDAY($A1439,2),"Seg","Ter","Qua","Qui","Sex","Sáb","Dom"))</f>
        <v>0</v>
      </c>
      <c r="M1439" s="27">
        <f>IF($E1439="","",IF($G1439&lt;&gt;"",$G1439,IFERROR(INDEX(ProcValor,MATCH($E1439,ProcNome,0)),0)))</f>
        <v>0</v>
      </c>
      <c r="N1439" s="27">
        <f>IF($M1439="","",IF($F1439="Compareceu",$M1439,0))</f>
        <v>0</v>
      </c>
      <c r="O1439" s="27">
        <f>IF($M1439="","",IF($F1439="Faltou",$M1439,0))</f>
        <v>0</v>
      </c>
      <c r="P1439" s="27">
        <f>IF($M1439="","",IF($F1439="Compareceu",MAX(0,$M1439-N($H1439)),0))</f>
        <v>0</v>
      </c>
      <c r="Q1439" s="19">
        <f>IF(AND($F1439="Compareceu",$E1439&lt;&gt;"",$A1439&lt;&gt;""),IF(IFERROR(INDEX(ProcRet,MATCH($E1439,ProcNome,0)),0)&gt;0,$A1439+INDEX(ProcRet,MATCH($E1439,ProcNome,0)),""),"")</f>
        <v>0</v>
      </c>
      <c r="R1439" s="26">
        <f>IF($Q1439="","",IF(COUNTIFS(AgPac,$D1439,AgData,"&gt;"&amp;$A1439,AgStatus,"&lt;&gt;Cancelado",AgStatus,"&lt;&gt;Remarcado")&gt;0,"Sim","Não"))</f>
        <v>0</v>
      </c>
      <c r="S1439" s="28">
        <f>IF($A1439="","",IF(AND($F1439="Agendado",$A1439-Hoje&gt;=0,$A1439-Hoje&lt;=DiasConf),"CONFIRMAR",IF(AND($A1439&lt;Hoje,OR($F1439="Agendado",$F1439="Confirmado")),"Atualizar status",IF(AND($F1439="Compareceu",$P1439&gt;0.005),"Cobrar",IF($F1439="Faltou","Falta: reagendar","")))))</f>
        <v>0</v>
      </c>
      <c r="T1439" s="29">
        <f>IF($A1439="","",DATE(YEAR($A1439),MONTH($A1439),1))</f>
        <v>0</v>
      </c>
      <c r="U1439" s="30">
        <f>IF($S1439="CONFIRMAR",MAX($U$4:$U1438)+1,"")</f>
        <v>0</v>
      </c>
      <c r="V1439" s="30">
        <f>IF(AND($R1439="Não",$Q1439&lt;&gt;"",$Q1439&lt;=Hoje+JanelaRet,$Q1439&gt;=Hoje-60),MAX($V$4:$V1438)+1,"")</f>
        <v>0</v>
      </c>
    </row>
    <row r="1440" spans="1:22">
      <c r="A1440" s="16"/>
      <c r="B1440" s="23"/>
      <c r="C1440" s="15"/>
      <c r="D1440" s="15"/>
      <c r="E1440" s="15"/>
      <c r="F1440" s="24"/>
      <c r="G1440" s="17"/>
      <c r="H1440" s="17"/>
      <c r="I1440" s="15"/>
      <c r="J1440" s="25">
        <f>IF($D1440="","",IFERROR(INDEX(PacNome,MATCH($D1440,PacCod,0)),"Paciente não cadastrado"))</f>
        <v>0</v>
      </c>
      <c r="K1440" s="26">
        <f>IF($D1440="","",IFERROR(INDEX(PacConv,MATCH($D1440,PacCod,0))&amp;"",""))</f>
        <v>0</v>
      </c>
      <c r="L1440" s="26">
        <f>IF($A1440="","",CHOOSE(WEEKDAY($A1440,2),"Seg","Ter","Qua","Qui","Sex","Sáb","Dom"))</f>
        <v>0</v>
      </c>
      <c r="M1440" s="27">
        <f>IF($E1440="","",IF($G1440&lt;&gt;"",$G1440,IFERROR(INDEX(ProcValor,MATCH($E1440,ProcNome,0)),0)))</f>
        <v>0</v>
      </c>
      <c r="N1440" s="27">
        <f>IF($M1440="","",IF($F1440="Compareceu",$M1440,0))</f>
        <v>0</v>
      </c>
      <c r="O1440" s="27">
        <f>IF($M1440="","",IF($F1440="Faltou",$M1440,0))</f>
        <v>0</v>
      </c>
      <c r="P1440" s="27">
        <f>IF($M1440="","",IF($F1440="Compareceu",MAX(0,$M1440-N($H1440)),0))</f>
        <v>0</v>
      </c>
      <c r="Q1440" s="19">
        <f>IF(AND($F1440="Compareceu",$E1440&lt;&gt;"",$A1440&lt;&gt;""),IF(IFERROR(INDEX(ProcRet,MATCH($E1440,ProcNome,0)),0)&gt;0,$A1440+INDEX(ProcRet,MATCH($E1440,ProcNome,0)),""),"")</f>
        <v>0</v>
      </c>
      <c r="R1440" s="26">
        <f>IF($Q1440="","",IF(COUNTIFS(AgPac,$D1440,AgData,"&gt;"&amp;$A1440,AgStatus,"&lt;&gt;Cancelado",AgStatus,"&lt;&gt;Remarcado")&gt;0,"Sim","Não"))</f>
        <v>0</v>
      </c>
      <c r="S1440" s="28">
        <f>IF($A1440="","",IF(AND($F1440="Agendado",$A1440-Hoje&gt;=0,$A1440-Hoje&lt;=DiasConf),"CONFIRMAR",IF(AND($A1440&lt;Hoje,OR($F1440="Agendado",$F1440="Confirmado")),"Atualizar status",IF(AND($F1440="Compareceu",$P1440&gt;0.005),"Cobrar",IF($F1440="Faltou","Falta: reagendar","")))))</f>
        <v>0</v>
      </c>
      <c r="T1440" s="29">
        <f>IF($A1440="","",DATE(YEAR($A1440),MONTH($A1440),1))</f>
        <v>0</v>
      </c>
      <c r="U1440" s="30">
        <f>IF($S1440="CONFIRMAR",MAX($U$4:$U1439)+1,"")</f>
        <v>0</v>
      </c>
      <c r="V1440" s="30">
        <f>IF(AND($R1440="Não",$Q1440&lt;&gt;"",$Q1440&lt;=Hoje+JanelaRet,$Q1440&gt;=Hoje-60),MAX($V$4:$V1439)+1,"")</f>
        <v>0</v>
      </c>
    </row>
    <row r="1441" spans="1:22">
      <c r="A1441" s="16"/>
      <c r="B1441" s="23"/>
      <c r="C1441" s="15"/>
      <c r="D1441" s="15"/>
      <c r="E1441" s="15"/>
      <c r="F1441" s="24"/>
      <c r="G1441" s="17"/>
      <c r="H1441" s="17"/>
      <c r="I1441" s="15"/>
      <c r="J1441" s="25">
        <f>IF($D1441="","",IFERROR(INDEX(PacNome,MATCH($D1441,PacCod,0)),"Paciente não cadastrado"))</f>
        <v>0</v>
      </c>
      <c r="K1441" s="26">
        <f>IF($D1441="","",IFERROR(INDEX(PacConv,MATCH($D1441,PacCod,0))&amp;"",""))</f>
        <v>0</v>
      </c>
      <c r="L1441" s="26">
        <f>IF($A1441="","",CHOOSE(WEEKDAY($A1441,2),"Seg","Ter","Qua","Qui","Sex","Sáb","Dom"))</f>
        <v>0</v>
      </c>
      <c r="M1441" s="27">
        <f>IF($E1441="","",IF($G1441&lt;&gt;"",$G1441,IFERROR(INDEX(ProcValor,MATCH($E1441,ProcNome,0)),0)))</f>
        <v>0</v>
      </c>
      <c r="N1441" s="27">
        <f>IF($M1441="","",IF($F1441="Compareceu",$M1441,0))</f>
        <v>0</v>
      </c>
      <c r="O1441" s="27">
        <f>IF($M1441="","",IF($F1441="Faltou",$M1441,0))</f>
        <v>0</v>
      </c>
      <c r="P1441" s="27">
        <f>IF($M1441="","",IF($F1441="Compareceu",MAX(0,$M1441-N($H1441)),0))</f>
        <v>0</v>
      </c>
      <c r="Q1441" s="19">
        <f>IF(AND($F1441="Compareceu",$E1441&lt;&gt;"",$A1441&lt;&gt;""),IF(IFERROR(INDEX(ProcRet,MATCH($E1441,ProcNome,0)),0)&gt;0,$A1441+INDEX(ProcRet,MATCH($E1441,ProcNome,0)),""),"")</f>
        <v>0</v>
      </c>
      <c r="R1441" s="26">
        <f>IF($Q1441="","",IF(COUNTIFS(AgPac,$D1441,AgData,"&gt;"&amp;$A1441,AgStatus,"&lt;&gt;Cancelado",AgStatus,"&lt;&gt;Remarcado")&gt;0,"Sim","Não"))</f>
        <v>0</v>
      </c>
      <c r="S1441" s="28">
        <f>IF($A1441="","",IF(AND($F1441="Agendado",$A1441-Hoje&gt;=0,$A1441-Hoje&lt;=DiasConf),"CONFIRMAR",IF(AND($A1441&lt;Hoje,OR($F1441="Agendado",$F1441="Confirmado")),"Atualizar status",IF(AND($F1441="Compareceu",$P1441&gt;0.005),"Cobrar",IF($F1441="Faltou","Falta: reagendar","")))))</f>
        <v>0</v>
      </c>
      <c r="T1441" s="29">
        <f>IF($A1441="","",DATE(YEAR($A1441),MONTH($A1441),1))</f>
        <v>0</v>
      </c>
      <c r="U1441" s="30">
        <f>IF($S1441="CONFIRMAR",MAX($U$4:$U1440)+1,"")</f>
        <v>0</v>
      </c>
      <c r="V1441" s="30">
        <f>IF(AND($R1441="Não",$Q1441&lt;&gt;"",$Q1441&lt;=Hoje+JanelaRet,$Q1441&gt;=Hoje-60),MAX($V$4:$V1440)+1,"")</f>
        <v>0</v>
      </c>
    </row>
    <row r="1442" spans="1:22">
      <c r="A1442" s="16"/>
      <c r="B1442" s="23"/>
      <c r="C1442" s="15"/>
      <c r="D1442" s="15"/>
      <c r="E1442" s="15"/>
      <c r="F1442" s="24"/>
      <c r="G1442" s="17"/>
      <c r="H1442" s="17"/>
      <c r="I1442" s="15"/>
      <c r="J1442" s="25">
        <f>IF($D1442="","",IFERROR(INDEX(PacNome,MATCH($D1442,PacCod,0)),"Paciente não cadastrado"))</f>
        <v>0</v>
      </c>
      <c r="K1442" s="26">
        <f>IF($D1442="","",IFERROR(INDEX(PacConv,MATCH($D1442,PacCod,0))&amp;"",""))</f>
        <v>0</v>
      </c>
      <c r="L1442" s="26">
        <f>IF($A1442="","",CHOOSE(WEEKDAY($A1442,2),"Seg","Ter","Qua","Qui","Sex","Sáb","Dom"))</f>
        <v>0</v>
      </c>
      <c r="M1442" s="27">
        <f>IF($E1442="","",IF($G1442&lt;&gt;"",$G1442,IFERROR(INDEX(ProcValor,MATCH($E1442,ProcNome,0)),0)))</f>
        <v>0</v>
      </c>
      <c r="N1442" s="27">
        <f>IF($M1442="","",IF($F1442="Compareceu",$M1442,0))</f>
        <v>0</v>
      </c>
      <c r="O1442" s="27">
        <f>IF($M1442="","",IF($F1442="Faltou",$M1442,0))</f>
        <v>0</v>
      </c>
      <c r="P1442" s="27">
        <f>IF($M1442="","",IF($F1442="Compareceu",MAX(0,$M1442-N($H1442)),0))</f>
        <v>0</v>
      </c>
      <c r="Q1442" s="19">
        <f>IF(AND($F1442="Compareceu",$E1442&lt;&gt;"",$A1442&lt;&gt;""),IF(IFERROR(INDEX(ProcRet,MATCH($E1442,ProcNome,0)),0)&gt;0,$A1442+INDEX(ProcRet,MATCH($E1442,ProcNome,0)),""),"")</f>
        <v>0</v>
      </c>
      <c r="R1442" s="26">
        <f>IF($Q1442="","",IF(COUNTIFS(AgPac,$D1442,AgData,"&gt;"&amp;$A1442,AgStatus,"&lt;&gt;Cancelado",AgStatus,"&lt;&gt;Remarcado")&gt;0,"Sim","Não"))</f>
        <v>0</v>
      </c>
      <c r="S1442" s="28">
        <f>IF($A1442="","",IF(AND($F1442="Agendado",$A1442-Hoje&gt;=0,$A1442-Hoje&lt;=DiasConf),"CONFIRMAR",IF(AND($A1442&lt;Hoje,OR($F1442="Agendado",$F1442="Confirmado")),"Atualizar status",IF(AND($F1442="Compareceu",$P1442&gt;0.005),"Cobrar",IF($F1442="Faltou","Falta: reagendar","")))))</f>
        <v>0</v>
      </c>
      <c r="T1442" s="29">
        <f>IF($A1442="","",DATE(YEAR($A1442),MONTH($A1442),1))</f>
        <v>0</v>
      </c>
      <c r="U1442" s="30">
        <f>IF($S1442="CONFIRMAR",MAX($U$4:$U1441)+1,"")</f>
        <v>0</v>
      </c>
      <c r="V1442" s="30">
        <f>IF(AND($R1442="Não",$Q1442&lt;&gt;"",$Q1442&lt;=Hoje+JanelaRet,$Q1442&gt;=Hoje-60),MAX($V$4:$V1441)+1,"")</f>
        <v>0</v>
      </c>
    </row>
    <row r="1443" spans="1:22">
      <c r="A1443" s="16"/>
      <c r="B1443" s="23"/>
      <c r="C1443" s="15"/>
      <c r="D1443" s="15"/>
      <c r="E1443" s="15"/>
      <c r="F1443" s="24"/>
      <c r="G1443" s="17"/>
      <c r="H1443" s="17"/>
      <c r="I1443" s="15"/>
      <c r="J1443" s="25">
        <f>IF($D1443="","",IFERROR(INDEX(PacNome,MATCH($D1443,PacCod,0)),"Paciente não cadastrado"))</f>
        <v>0</v>
      </c>
      <c r="K1443" s="26">
        <f>IF($D1443="","",IFERROR(INDEX(PacConv,MATCH($D1443,PacCod,0))&amp;"",""))</f>
        <v>0</v>
      </c>
      <c r="L1443" s="26">
        <f>IF($A1443="","",CHOOSE(WEEKDAY($A1443,2),"Seg","Ter","Qua","Qui","Sex","Sáb","Dom"))</f>
        <v>0</v>
      </c>
      <c r="M1443" s="27">
        <f>IF($E1443="","",IF($G1443&lt;&gt;"",$G1443,IFERROR(INDEX(ProcValor,MATCH($E1443,ProcNome,0)),0)))</f>
        <v>0</v>
      </c>
      <c r="N1443" s="27">
        <f>IF($M1443="","",IF($F1443="Compareceu",$M1443,0))</f>
        <v>0</v>
      </c>
      <c r="O1443" s="27">
        <f>IF($M1443="","",IF($F1443="Faltou",$M1443,0))</f>
        <v>0</v>
      </c>
      <c r="P1443" s="27">
        <f>IF($M1443="","",IF($F1443="Compareceu",MAX(0,$M1443-N($H1443)),0))</f>
        <v>0</v>
      </c>
      <c r="Q1443" s="19">
        <f>IF(AND($F1443="Compareceu",$E1443&lt;&gt;"",$A1443&lt;&gt;""),IF(IFERROR(INDEX(ProcRet,MATCH($E1443,ProcNome,0)),0)&gt;0,$A1443+INDEX(ProcRet,MATCH($E1443,ProcNome,0)),""),"")</f>
        <v>0</v>
      </c>
      <c r="R1443" s="26">
        <f>IF($Q1443="","",IF(COUNTIFS(AgPac,$D1443,AgData,"&gt;"&amp;$A1443,AgStatus,"&lt;&gt;Cancelado",AgStatus,"&lt;&gt;Remarcado")&gt;0,"Sim","Não"))</f>
        <v>0</v>
      </c>
      <c r="S1443" s="28">
        <f>IF($A1443="","",IF(AND($F1443="Agendado",$A1443-Hoje&gt;=0,$A1443-Hoje&lt;=DiasConf),"CONFIRMAR",IF(AND($A1443&lt;Hoje,OR($F1443="Agendado",$F1443="Confirmado")),"Atualizar status",IF(AND($F1443="Compareceu",$P1443&gt;0.005),"Cobrar",IF($F1443="Faltou","Falta: reagendar","")))))</f>
        <v>0</v>
      </c>
      <c r="T1443" s="29">
        <f>IF($A1443="","",DATE(YEAR($A1443),MONTH($A1443),1))</f>
        <v>0</v>
      </c>
      <c r="U1443" s="30">
        <f>IF($S1443="CONFIRMAR",MAX($U$4:$U1442)+1,"")</f>
        <v>0</v>
      </c>
      <c r="V1443" s="30">
        <f>IF(AND($R1443="Não",$Q1443&lt;&gt;"",$Q1443&lt;=Hoje+JanelaRet,$Q1443&gt;=Hoje-60),MAX($V$4:$V1442)+1,"")</f>
        <v>0</v>
      </c>
    </row>
    <row r="1444" spans="1:22">
      <c r="A1444" s="16"/>
      <c r="B1444" s="23"/>
      <c r="C1444" s="15"/>
      <c r="D1444" s="15"/>
      <c r="E1444" s="15"/>
      <c r="F1444" s="24"/>
      <c r="G1444" s="17"/>
      <c r="H1444" s="17"/>
      <c r="I1444" s="15"/>
      <c r="J1444" s="25">
        <f>IF($D1444="","",IFERROR(INDEX(PacNome,MATCH($D1444,PacCod,0)),"Paciente não cadastrado"))</f>
        <v>0</v>
      </c>
      <c r="K1444" s="26">
        <f>IF($D1444="","",IFERROR(INDEX(PacConv,MATCH($D1444,PacCod,0))&amp;"",""))</f>
        <v>0</v>
      </c>
      <c r="L1444" s="26">
        <f>IF($A1444="","",CHOOSE(WEEKDAY($A1444,2),"Seg","Ter","Qua","Qui","Sex","Sáb","Dom"))</f>
        <v>0</v>
      </c>
      <c r="M1444" s="27">
        <f>IF($E1444="","",IF($G1444&lt;&gt;"",$G1444,IFERROR(INDEX(ProcValor,MATCH($E1444,ProcNome,0)),0)))</f>
        <v>0</v>
      </c>
      <c r="N1444" s="27">
        <f>IF($M1444="","",IF($F1444="Compareceu",$M1444,0))</f>
        <v>0</v>
      </c>
      <c r="O1444" s="27">
        <f>IF($M1444="","",IF($F1444="Faltou",$M1444,0))</f>
        <v>0</v>
      </c>
      <c r="P1444" s="27">
        <f>IF($M1444="","",IF($F1444="Compareceu",MAX(0,$M1444-N($H1444)),0))</f>
        <v>0</v>
      </c>
      <c r="Q1444" s="19">
        <f>IF(AND($F1444="Compareceu",$E1444&lt;&gt;"",$A1444&lt;&gt;""),IF(IFERROR(INDEX(ProcRet,MATCH($E1444,ProcNome,0)),0)&gt;0,$A1444+INDEX(ProcRet,MATCH($E1444,ProcNome,0)),""),"")</f>
        <v>0</v>
      </c>
      <c r="R1444" s="26">
        <f>IF($Q1444="","",IF(COUNTIFS(AgPac,$D1444,AgData,"&gt;"&amp;$A1444,AgStatus,"&lt;&gt;Cancelado",AgStatus,"&lt;&gt;Remarcado")&gt;0,"Sim","Não"))</f>
        <v>0</v>
      </c>
      <c r="S1444" s="28">
        <f>IF($A1444="","",IF(AND($F1444="Agendado",$A1444-Hoje&gt;=0,$A1444-Hoje&lt;=DiasConf),"CONFIRMAR",IF(AND($A1444&lt;Hoje,OR($F1444="Agendado",$F1444="Confirmado")),"Atualizar status",IF(AND($F1444="Compareceu",$P1444&gt;0.005),"Cobrar",IF($F1444="Faltou","Falta: reagendar","")))))</f>
        <v>0</v>
      </c>
      <c r="T1444" s="29">
        <f>IF($A1444="","",DATE(YEAR($A1444),MONTH($A1444),1))</f>
        <v>0</v>
      </c>
      <c r="U1444" s="30">
        <f>IF($S1444="CONFIRMAR",MAX($U$4:$U1443)+1,"")</f>
        <v>0</v>
      </c>
      <c r="V1444" s="30">
        <f>IF(AND($R1444="Não",$Q1444&lt;&gt;"",$Q1444&lt;=Hoje+JanelaRet,$Q1444&gt;=Hoje-60),MAX($V$4:$V1443)+1,"")</f>
        <v>0</v>
      </c>
    </row>
    <row r="1445" spans="1:22">
      <c r="A1445" s="16"/>
      <c r="B1445" s="23"/>
      <c r="C1445" s="15"/>
      <c r="D1445" s="15"/>
      <c r="E1445" s="15"/>
      <c r="F1445" s="24"/>
      <c r="G1445" s="17"/>
      <c r="H1445" s="17"/>
      <c r="I1445" s="15"/>
      <c r="J1445" s="25">
        <f>IF($D1445="","",IFERROR(INDEX(PacNome,MATCH($D1445,PacCod,0)),"Paciente não cadastrado"))</f>
        <v>0</v>
      </c>
      <c r="K1445" s="26">
        <f>IF($D1445="","",IFERROR(INDEX(PacConv,MATCH($D1445,PacCod,0))&amp;"",""))</f>
        <v>0</v>
      </c>
      <c r="L1445" s="26">
        <f>IF($A1445="","",CHOOSE(WEEKDAY($A1445,2),"Seg","Ter","Qua","Qui","Sex","Sáb","Dom"))</f>
        <v>0</v>
      </c>
      <c r="M1445" s="27">
        <f>IF($E1445="","",IF($G1445&lt;&gt;"",$G1445,IFERROR(INDEX(ProcValor,MATCH($E1445,ProcNome,0)),0)))</f>
        <v>0</v>
      </c>
      <c r="N1445" s="27">
        <f>IF($M1445="","",IF($F1445="Compareceu",$M1445,0))</f>
        <v>0</v>
      </c>
      <c r="O1445" s="27">
        <f>IF($M1445="","",IF($F1445="Faltou",$M1445,0))</f>
        <v>0</v>
      </c>
      <c r="P1445" s="27">
        <f>IF($M1445="","",IF($F1445="Compareceu",MAX(0,$M1445-N($H1445)),0))</f>
        <v>0</v>
      </c>
      <c r="Q1445" s="19">
        <f>IF(AND($F1445="Compareceu",$E1445&lt;&gt;"",$A1445&lt;&gt;""),IF(IFERROR(INDEX(ProcRet,MATCH($E1445,ProcNome,0)),0)&gt;0,$A1445+INDEX(ProcRet,MATCH($E1445,ProcNome,0)),""),"")</f>
        <v>0</v>
      </c>
      <c r="R1445" s="26">
        <f>IF($Q1445="","",IF(COUNTIFS(AgPac,$D1445,AgData,"&gt;"&amp;$A1445,AgStatus,"&lt;&gt;Cancelado",AgStatus,"&lt;&gt;Remarcado")&gt;0,"Sim","Não"))</f>
        <v>0</v>
      </c>
      <c r="S1445" s="28">
        <f>IF($A1445="","",IF(AND($F1445="Agendado",$A1445-Hoje&gt;=0,$A1445-Hoje&lt;=DiasConf),"CONFIRMAR",IF(AND($A1445&lt;Hoje,OR($F1445="Agendado",$F1445="Confirmado")),"Atualizar status",IF(AND($F1445="Compareceu",$P1445&gt;0.005),"Cobrar",IF($F1445="Faltou","Falta: reagendar","")))))</f>
        <v>0</v>
      </c>
      <c r="T1445" s="29">
        <f>IF($A1445="","",DATE(YEAR($A1445),MONTH($A1445),1))</f>
        <v>0</v>
      </c>
      <c r="U1445" s="30">
        <f>IF($S1445="CONFIRMAR",MAX($U$4:$U1444)+1,"")</f>
        <v>0</v>
      </c>
      <c r="V1445" s="30">
        <f>IF(AND($R1445="Não",$Q1445&lt;&gt;"",$Q1445&lt;=Hoje+JanelaRet,$Q1445&gt;=Hoje-60),MAX($V$4:$V1444)+1,"")</f>
        <v>0</v>
      </c>
    </row>
    <row r="1446" spans="1:22">
      <c r="A1446" s="16"/>
      <c r="B1446" s="23"/>
      <c r="C1446" s="15"/>
      <c r="D1446" s="15"/>
      <c r="E1446" s="15"/>
      <c r="F1446" s="24"/>
      <c r="G1446" s="17"/>
      <c r="H1446" s="17"/>
      <c r="I1446" s="15"/>
      <c r="J1446" s="25">
        <f>IF($D1446="","",IFERROR(INDEX(PacNome,MATCH($D1446,PacCod,0)),"Paciente não cadastrado"))</f>
        <v>0</v>
      </c>
      <c r="K1446" s="26">
        <f>IF($D1446="","",IFERROR(INDEX(PacConv,MATCH($D1446,PacCod,0))&amp;"",""))</f>
        <v>0</v>
      </c>
      <c r="L1446" s="26">
        <f>IF($A1446="","",CHOOSE(WEEKDAY($A1446,2),"Seg","Ter","Qua","Qui","Sex","Sáb","Dom"))</f>
        <v>0</v>
      </c>
      <c r="M1446" s="27">
        <f>IF($E1446="","",IF($G1446&lt;&gt;"",$G1446,IFERROR(INDEX(ProcValor,MATCH($E1446,ProcNome,0)),0)))</f>
        <v>0</v>
      </c>
      <c r="N1446" s="27">
        <f>IF($M1446="","",IF($F1446="Compareceu",$M1446,0))</f>
        <v>0</v>
      </c>
      <c r="O1446" s="27">
        <f>IF($M1446="","",IF($F1446="Faltou",$M1446,0))</f>
        <v>0</v>
      </c>
      <c r="P1446" s="27">
        <f>IF($M1446="","",IF($F1446="Compareceu",MAX(0,$M1446-N($H1446)),0))</f>
        <v>0</v>
      </c>
      <c r="Q1446" s="19">
        <f>IF(AND($F1446="Compareceu",$E1446&lt;&gt;"",$A1446&lt;&gt;""),IF(IFERROR(INDEX(ProcRet,MATCH($E1446,ProcNome,0)),0)&gt;0,$A1446+INDEX(ProcRet,MATCH($E1446,ProcNome,0)),""),"")</f>
        <v>0</v>
      </c>
      <c r="R1446" s="26">
        <f>IF($Q1446="","",IF(COUNTIFS(AgPac,$D1446,AgData,"&gt;"&amp;$A1446,AgStatus,"&lt;&gt;Cancelado",AgStatus,"&lt;&gt;Remarcado")&gt;0,"Sim","Não"))</f>
        <v>0</v>
      </c>
      <c r="S1446" s="28">
        <f>IF($A1446="","",IF(AND($F1446="Agendado",$A1446-Hoje&gt;=0,$A1446-Hoje&lt;=DiasConf),"CONFIRMAR",IF(AND($A1446&lt;Hoje,OR($F1446="Agendado",$F1446="Confirmado")),"Atualizar status",IF(AND($F1446="Compareceu",$P1446&gt;0.005),"Cobrar",IF($F1446="Faltou","Falta: reagendar","")))))</f>
        <v>0</v>
      </c>
      <c r="T1446" s="29">
        <f>IF($A1446="","",DATE(YEAR($A1446),MONTH($A1446),1))</f>
        <v>0</v>
      </c>
      <c r="U1446" s="30">
        <f>IF($S1446="CONFIRMAR",MAX($U$4:$U1445)+1,"")</f>
        <v>0</v>
      </c>
      <c r="V1446" s="30">
        <f>IF(AND($R1446="Não",$Q1446&lt;&gt;"",$Q1446&lt;=Hoje+JanelaRet,$Q1446&gt;=Hoje-60),MAX($V$4:$V1445)+1,"")</f>
        <v>0</v>
      </c>
    </row>
    <row r="1447" spans="1:22">
      <c r="A1447" s="16"/>
      <c r="B1447" s="23"/>
      <c r="C1447" s="15"/>
      <c r="D1447" s="15"/>
      <c r="E1447" s="15"/>
      <c r="F1447" s="24"/>
      <c r="G1447" s="17"/>
      <c r="H1447" s="17"/>
      <c r="I1447" s="15"/>
      <c r="J1447" s="25">
        <f>IF($D1447="","",IFERROR(INDEX(PacNome,MATCH($D1447,PacCod,0)),"Paciente não cadastrado"))</f>
        <v>0</v>
      </c>
      <c r="K1447" s="26">
        <f>IF($D1447="","",IFERROR(INDEX(PacConv,MATCH($D1447,PacCod,0))&amp;"",""))</f>
        <v>0</v>
      </c>
      <c r="L1447" s="26">
        <f>IF($A1447="","",CHOOSE(WEEKDAY($A1447,2),"Seg","Ter","Qua","Qui","Sex","Sáb","Dom"))</f>
        <v>0</v>
      </c>
      <c r="M1447" s="27">
        <f>IF($E1447="","",IF($G1447&lt;&gt;"",$G1447,IFERROR(INDEX(ProcValor,MATCH($E1447,ProcNome,0)),0)))</f>
        <v>0</v>
      </c>
      <c r="N1447" s="27">
        <f>IF($M1447="","",IF($F1447="Compareceu",$M1447,0))</f>
        <v>0</v>
      </c>
      <c r="O1447" s="27">
        <f>IF($M1447="","",IF($F1447="Faltou",$M1447,0))</f>
        <v>0</v>
      </c>
      <c r="P1447" s="27">
        <f>IF($M1447="","",IF($F1447="Compareceu",MAX(0,$M1447-N($H1447)),0))</f>
        <v>0</v>
      </c>
      <c r="Q1447" s="19">
        <f>IF(AND($F1447="Compareceu",$E1447&lt;&gt;"",$A1447&lt;&gt;""),IF(IFERROR(INDEX(ProcRet,MATCH($E1447,ProcNome,0)),0)&gt;0,$A1447+INDEX(ProcRet,MATCH($E1447,ProcNome,0)),""),"")</f>
        <v>0</v>
      </c>
      <c r="R1447" s="26">
        <f>IF($Q1447="","",IF(COUNTIFS(AgPac,$D1447,AgData,"&gt;"&amp;$A1447,AgStatus,"&lt;&gt;Cancelado",AgStatus,"&lt;&gt;Remarcado")&gt;0,"Sim","Não"))</f>
        <v>0</v>
      </c>
      <c r="S1447" s="28">
        <f>IF($A1447="","",IF(AND($F1447="Agendado",$A1447-Hoje&gt;=0,$A1447-Hoje&lt;=DiasConf),"CONFIRMAR",IF(AND($A1447&lt;Hoje,OR($F1447="Agendado",$F1447="Confirmado")),"Atualizar status",IF(AND($F1447="Compareceu",$P1447&gt;0.005),"Cobrar",IF($F1447="Faltou","Falta: reagendar","")))))</f>
        <v>0</v>
      </c>
      <c r="T1447" s="29">
        <f>IF($A1447="","",DATE(YEAR($A1447),MONTH($A1447),1))</f>
        <v>0</v>
      </c>
      <c r="U1447" s="30">
        <f>IF($S1447="CONFIRMAR",MAX($U$4:$U1446)+1,"")</f>
        <v>0</v>
      </c>
      <c r="V1447" s="30">
        <f>IF(AND($R1447="Não",$Q1447&lt;&gt;"",$Q1447&lt;=Hoje+JanelaRet,$Q1447&gt;=Hoje-60),MAX($V$4:$V1446)+1,"")</f>
        <v>0</v>
      </c>
    </row>
    <row r="1448" spans="1:22">
      <c r="A1448" s="16"/>
      <c r="B1448" s="23"/>
      <c r="C1448" s="15"/>
      <c r="D1448" s="15"/>
      <c r="E1448" s="15"/>
      <c r="F1448" s="24"/>
      <c r="G1448" s="17"/>
      <c r="H1448" s="17"/>
      <c r="I1448" s="15"/>
      <c r="J1448" s="25">
        <f>IF($D1448="","",IFERROR(INDEX(PacNome,MATCH($D1448,PacCod,0)),"Paciente não cadastrado"))</f>
        <v>0</v>
      </c>
      <c r="K1448" s="26">
        <f>IF($D1448="","",IFERROR(INDEX(PacConv,MATCH($D1448,PacCod,0))&amp;"",""))</f>
        <v>0</v>
      </c>
      <c r="L1448" s="26">
        <f>IF($A1448="","",CHOOSE(WEEKDAY($A1448,2),"Seg","Ter","Qua","Qui","Sex","Sáb","Dom"))</f>
        <v>0</v>
      </c>
      <c r="M1448" s="27">
        <f>IF($E1448="","",IF($G1448&lt;&gt;"",$G1448,IFERROR(INDEX(ProcValor,MATCH($E1448,ProcNome,0)),0)))</f>
        <v>0</v>
      </c>
      <c r="N1448" s="27">
        <f>IF($M1448="","",IF($F1448="Compareceu",$M1448,0))</f>
        <v>0</v>
      </c>
      <c r="O1448" s="27">
        <f>IF($M1448="","",IF($F1448="Faltou",$M1448,0))</f>
        <v>0</v>
      </c>
      <c r="P1448" s="27">
        <f>IF($M1448="","",IF($F1448="Compareceu",MAX(0,$M1448-N($H1448)),0))</f>
        <v>0</v>
      </c>
      <c r="Q1448" s="19">
        <f>IF(AND($F1448="Compareceu",$E1448&lt;&gt;"",$A1448&lt;&gt;""),IF(IFERROR(INDEX(ProcRet,MATCH($E1448,ProcNome,0)),0)&gt;0,$A1448+INDEX(ProcRet,MATCH($E1448,ProcNome,0)),""),"")</f>
        <v>0</v>
      </c>
      <c r="R1448" s="26">
        <f>IF($Q1448="","",IF(COUNTIFS(AgPac,$D1448,AgData,"&gt;"&amp;$A1448,AgStatus,"&lt;&gt;Cancelado",AgStatus,"&lt;&gt;Remarcado")&gt;0,"Sim","Não"))</f>
        <v>0</v>
      </c>
      <c r="S1448" s="28">
        <f>IF($A1448="","",IF(AND($F1448="Agendado",$A1448-Hoje&gt;=0,$A1448-Hoje&lt;=DiasConf),"CONFIRMAR",IF(AND($A1448&lt;Hoje,OR($F1448="Agendado",$F1448="Confirmado")),"Atualizar status",IF(AND($F1448="Compareceu",$P1448&gt;0.005),"Cobrar",IF($F1448="Faltou","Falta: reagendar","")))))</f>
        <v>0</v>
      </c>
      <c r="T1448" s="29">
        <f>IF($A1448="","",DATE(YEAR($A1448),MONTH($A1448),1))</f>
        <v>0</v>
      </c>
      <c r="U1448" s="30">
        <f>IF($S1448="CONFIRMAR",MAX($U$4:$U1447)+1,"")</f>
        <v>0</v>
      </c>
      <c r="V1448" s="30">
        <f>IF(AND($R1448="Não",$Q1448&lt;&gt;"",$Q1448&lt;=Hoje+JanelaRet,$Q1448&gt;=Hoje-60),MAX($V$4:$V1447)+1,"")</f>
        <v>0</v>
      </c>
    </row>
    <row r="1449" spans="1:22">
      <c r="A1449" s="16"/>
      <c r="B1449" s="23"/>
      <c r="C1449" s="15"/>
      <c r="D1449" s="15"/>
      <c r="E1449" s="15"/>
      <c r="F1449" s="24"/>
      <c r="G1449" s="17"/>
      <c r="H1449" s="17"/>
      <c r="I1449" s="15"/>
      <c r="J1449" s="25">
        <f>IF($D1449="","",IFERROR(INDEX(PacNome,MATCH($D1449,PacCod,0)),"Paciente não cadastrado"))</f>
        <v>0</v>
      </c>
      <c r="K1449" s="26">
        <f>IF($D1449="","",IFERROR(INDEX(PacConv,MATCH($D1449,PacCod,0))&amp;"",""))</f>
        <v>0</v>
      </c>
      <c r="L1449" s="26">
        <f>IF($A1449="","",CHOOSE(WEEKDAY($A1449,2),"Seg","Ter","Qua","Qui","Sex","Sáb","Dom"))</f>
        <v>0</v>
      </c>
      <c r="M1449" s="27">
        <f>IF($E1449="","",IF($G1449&lt;&gt;"",$G1449,IFERROR(INDEX(ProcValor,MATCH($E1449,ProcNome,0)),0)))</f>
        <v>0</v>
      </c>
      <c r="N1449" s="27">
        <f>IF($M1449="","",IF($F1449="Compareceu",$M1449,0))</f>
        <v>0</v>
      </c>
      <c r="O1449" s="27">
        <f>IF($M1449="","",IF($F1449="Faltou",$M1449,0))</f>
        <v>0</v>
      </c>
      <c r="P1449" s="27">
        <f>IF($M1449="","",IF($F1449="Compareceu",MAX(0,$M1449-N($H1449)),0))</f>
        <v>0</v>
      </c>
      <c r="Q1449" s="19">
        <f>IF(AND($F1449="Compareceu",$E1449&lt;&gt;"",$A1449&lt;&gt;""),IF(IFERROR(INDEX(ProcRet,MATCH($E1449,ProcNome,0)),0)&gt;0,$A1449+INDEX(ProcRet,MATCH($E1449,ProcNome,0)),""),"")</f>
        <v>0</v>
      </c>
      <c r="R1449" s="26">
        <f>IF($Q1449="","",IF(COUNTIFS(AgPac,$D1449,AgData,"&gt;"&amp;$A1449,AgStatus,"&lt;&gt;Cancelado",AgStatus,"&lt;&gt;Remarcado")&gt;0,"Sim","Não"))</f>
        <v>0</v>
      </c>
      <c r="S1449" s="28">
        <f>IF($A1449="","",IF(AND($F1449="Agendado",$A1449-Hoje&gt;=0,$A1449-Hoje&lt;=DiasConf),"CONFIRMAR",IF(AND($A1449&lt;Hoje,OR($F1449="Agendado",$F1449="Confirmado")),"Atualizar status",IF(AND($F1449="Compareceu",$P1449&gt;0.005),"Cobrar",IF($F1449="Faltou","Falta: reagendar","")))))</f>
        <v>0</v>
      </c>
      <c r="T1449" s="29">
        <f>IF($A1449="","",DATE(YEAR($A1449),MONTH($A1449),1))</f>
        <v>0</v>
      </c>
      <c r="U1449" s="30">
        <f>IF($S1449="CONFIRMAR",MAX($U$4:$U1448)+1,"")</f>
        <v>0</v>
      </c>
      <c r="V1449" s="30">
        <f>IF(AND($R1449="Não",$Q1449&lt;&gt;"",$Q1449&lt;=Hoje+JanelaRet,$Q1449&gt;=Hoje-60),MAX($V$4:$V1448)+1,"")</f>
        <v>0</v>
      </c>
    </row>
    <row r="1450" spans="1:22">
      <c r="A1450" s="16"/>
      <c r="B1450" s="23"/>
      <c r="C1450" s="15"/>
      <c r="D1450" s="15"/>
      <c r="E1450" s="15"/>
      <c r="F1450" s="24"/>
      <c r="G1450" s="17"/>
      <c r="H1450" s="17"/>
      <c r="I1450" s="15"/>
      <c r="J1450" s="25">
        <f>IF($D1450="","",IFERROR(INDEX(PacNome,MATCH($D1450,PacCod,0)),"Paciente não cadastrado"))</f>
        <v>0</v>
      </c>
      <c r="K1450" s="26">
        <f>IF($D1450="","",IFERROR(INDEX(PacConv,MATCH($D1450,PacCod,0))&amp;"",""))</f>
        <v>0</v>
      </c>
      <c r="L1450" s="26">
        <f>IF($A1450="","",CHOOSE(WEEKDAY($A1450,2),"Seg","Ter","Qua","Qui","Sex","Sáb","Dom"))</f>
        <v>0</v>
      </c>
      <c r="M1450" s="27">
        <f>IF($E1450="","",IF($G1450&lt;&gt;"",$G1450,IFERROR(INDEX(ProcValor,MATCH($E1450,ProcNome,0)),0)))</f>
        <v>0</v>
      </c>
      <c r="N1450" s="27">
        <f>IF($M1450="","",IF($F1450="Compareceu",$M1450,0))</f>
        <v>0</v>
      </c>
      <c r="O1450" s="27">
        <f>IF($M1450="","",IF($F1450="Faltou",$M1450,0))</f>
        <v>0</v>
      </c>
      <c r="P1450" s="27">
        <f>IF($M1450="","",IF($F1450="Compareceu",MAX(0,$M1450-N($H1450)),0))</f>
        <v>0</v>
      </c>
      <c r="Q1450" s="19">
        <f>IF(AND($F1450="Compareceu",$E1450&lt;&gt;"",$A1450&lt;&gt;""),IF(IFERROR(INDEX(ProcRet,MATCH($E1450,ProcNome,0)),0)&gt;0,$A1450+INDEX(ProcRet,MATCH($E1450,ProcNome,0)),""),"")</f>
        <v>0</v>
      </c>
      <c r="R1450" s="26">
        <f>IF($Q1450="","",IF(COUNTIFS(AgPac,$D1450,AgData,"&gt;"&amp;$A1450,AgStatus,"&lt;&gt;Cancelado",AgStatus,"&lt;&gt;Remarcado")&gt;0,"Sim","Não"))</f>
        <v>0</v>
      </c>
      <c r="S1450" s="28">
        <f>IF($A1450="","",IF(AND($F1450="Agendado",$A1450-Hoje&gt;=0,$A1450-Hoje&lt;=DiasConf),"CONFIRMAR",IF(AND($A1450&lt;Hoje,OR($F1450="Agendado",$F1450="Confirmado")),"Atualizar status",IF(AND($F1450="Compareceu",$P1450&gt;0.005),"Cobrar",IF($F1450="Faltou","Falta: reagendar","")))))</f>
        <v>0</v>
      </c>
      <c r="T1450" s="29">
        <f>IF($A1450="","",DATE(YEAR($A1450),MONTH($A1450),1))</f>
        <v>0</v>
      </c>
      <c r="U1450" s="30">
        <f>IF($S1450="CONFIRMAR",MAX($U$4:$U1449)+1,"")</f>
        <v>0</v>
      </c>
      <c r="V1450" s="30">
        <f>IF(AND($R1450="Não",$Q1450&lt;&gt;"",$Q1450&lt;=Hoje+JanelaRet,$Q1450&gt;=Hoje-60),MAX($V$4:$V1449)+1,"")</f>
        <v>0</v>
      </c>
    </row>
    <row r="1451" spans="1:22">
      <c r="A1451" s="16"/>
      <c r="B1451" s="23"/>
      <c r="C1451" s="15"/>
      <c r="D1451" s="15"/>
      <c r="E1451" s="15"/>
      <c r="F1451" s="24"/>
      <c r="G1451" s="17"/>
      <c r="H1451" s="17"/>
      <c r="I1451" s="15"/>
      <c r="J1451" s="25">
        <f>IF($D1451="","",IFERROR(INDEX(PacNome,MATCH($D1451,PacCod,0)),"Paciente não cadastrado"))</f>
        <v>0</v>
      </c>
      <c r="K1451" s="26">
        <f>IF($D1451="","",IFERROR(INDEX(PacConv,MATCH($D1451,PacCod,0))&amp;"",""))</f>
        <v>0</v>
      </c>
      <c r="L1451" s="26">
        <f>IF($A1451="","",CHOOSE(WEEKDAY($A1451,2),"Seg","Ter","Qua","Qui","Sex","Sáb","Dom"))</f>
        <v>0</v>
      </c>
      <c r="M1451" s="27">
        <f>IF($E1451="","",IF($G1451&lt;&gt;"",$G1451,IFERROR(INDEX(ProcValor,MATCH($E1451,ProcNome,0)),0)))</f>
        <v>0</v>
      </c>
      <c r="N1451" s="27">
        <f>IF($M1451="","",IF($F1451="Compareceu",$M1451,0))</f>
        <v>0</v>
      </c>
      <c r="O1451" s="27">
        <f>IF($M1451="","",IF($F1451="Faltou",$M1451,0))</f>
        <v>0</v>
      </c>
      <c r="P1451" s="27">
        <f>IF($M1451="","",IF($F1451="Compareceu",MAX(0,$M1451-N($H1451)),0))</f>
        <v>0</v>
      </c>
      <c r="Q1451" s="19">
        <f>IF(AND($F1451="Compareceu",$E1451&lt;&gt;"",$A1451&lt;&gt;""),IF(IFERROR(INDEX(ProcRet,MATCH($E1451,ProcNome,0)),0)&gt;0,$A1451+INDEX(ProcRet,MATCH($E1451,ProcNome,0)),""),"")</f>
        <v>0</v>
      </c>
      <c r="R1451" s="26">
        <f>IF($Q1451="","",IF(COUNTIFS(AgPac,$D1451,AgData,"&gt;"&amp;$A1451,AgStatus,"&lt;&gt;Cancelado",AgStatus,"&lt;&gt;Remarcado")&gt;0,"Sim","Não"))</f>
        <v>0</v>
      </c>
      <c r="S1451" s="28">
        <f>IF($A1451="","",IF(AND($F1451="Agendado",$A1451-Hoje&gt;=0,$A1451-Hoje&lt;=DiasConf),"CONFIRMAR",IF(AND($A1451&lt;Hoje,OR($F1451="Agendado",$F1451="Confirmado")),"Atualizar status",IF(AND($F1451="Compareceu",$P1451&gt;0.005),"Cobrar",IF($F1451="Faltou","Falta: reagendar","")))))</f>
        <v>0</v>
      </c>
      <c r="T1451" s="29">
        <f>IF($A1451="","",DATE(YEAR($A1451),MONTH($A1451),1))</f>
        <v>0</v>
      </c>
      <c r="U1451" s="30">
        <f>IF($S1451="CONFIRMAR",MAX($U$4:$U1450)+1,"")</f>
        <v>0</v>
      </c>
      <c r="V1451" s="30">
        <f>IF(AND($R1451="Não",$Q1451&lt;&gt;"",$Q1451&lt;=Hoje+JanelaRet,$Q1451&gt;=Hoje-60),MAX($V$4:$V1450)+1,"")</f>
        <v>0</v>
      </c>
    </row>
    <row r="1452" spans="1:22">
      <c r="A1452" s="16"/>
      <c r="B1452" s="23"/>
      <c r="C1452" s="15"/>
      <c r="D1452" s="15"/>
      <c r="E1452" s="15"/>
      <c r="F1452" s="24"/>
      <c r="G1452" s="17"/>
      <c r="H1452" s="17"/>
      <c r="I1452" s="15"/>
      <c r="J1452" s="25">
        <f>IF($D1452="","",IFERROR(INDEX(PacNome,MATCH($D1452,PacCod,0)),"Paciente não cadastrado"))</f>
        <v>0</v>
      </c>
      <c r="K1452" s="26">
        <f>IF($D1452="","",IFERROR(INDEX(PacConv,MATCH($D1452,PacCod,0))&amp;"",""))</f>
        <v>0</v>
      </c>
      <c r="L1452" s="26">
        <f>IF($A1452="","",CHOOSE(WEEKDAY($A1452,2),"Seg","Ter","Qua","Qui","Sex","Sáb","Dom"))</f>
        <v>0</v>
      </c>
      <c r="M1452" s="27">
        <f>IF($E1452="","",IF($G1452&lt;&gt;"",$G1452,IFERROR(INDEX(ProcValor,MATCH($E1452,ProcNome,0)),0)))</f>
        <v>0</v>
      </c>
      <c r="N1452" s="27">
        <f>IF($M1452="","",IF($F1452="Compareceu",$M1452,0))</f>
        <v>0</v>
      </c>
      <c r="O1452" s="27">
        <f>IF($M1452="","",IF($F1452="Faltou",$M1452,0))</f>
        <v>0</v>
      </c>
      <c r="P1452" s="27">
        <f>IF($M1452="","",IF($F1452="Compareceu",MAX(0,$M1452-N($H1452)),0))</f>
        <v>0</v>
      </c>
      <c r="Q1452" s="19">
        <f>IF(AND($F1452="Compareceu",$E1452&lt;&gt;"",$A1452&lt;&gt;""),IF(IFERROR(INDEX(ProcRet,MATCH($E1452,ProcNome,0)),0)&gt;0,$A1452+INDEX(ProcRet,MATCH($E1452,ProcNome,0)),""),"")</f>
        <v>0</v>
      </c>
      <c r="R1452" s="26">
        <f>IF($Q1452="","",IF(COUNTIFS(AgPac,$D1452,AgData,"&gt;"&amp;$A1452,AgStatus,"&lt;&gt;Cancelado",AgStatus,"&lt;&gt;Remarcado")&gt;0,"Sim","Não"))</f>
        <v>0</v>
      </c>
      <c r="S1452" s="28">
        <f>IF($A1452="","",IF(AND($F1452="Agendado",$A1452-Hoje&gt;=0,$A1452-Hoje&lt;=DiasConf),"CONFIRMAR",IF(AND($A1452&lt;Hoje,OR($F1452="Agendado",$F1452="Confirmado")),"Atualizar status",IF(AND($F1452="Compareceu",$P1452&gt;0.005),"Cobrar",IF($F1452="Faltou","Falta: reagendar","")))))</f>
        <v>0</v>
      </c>
      <c r="T1452" s="29">
        <f>IF($A1452="","",DATE(YEAR($A1452),MONTH($A1452),1))</f>
        <v>0</v>
      </c>
      <c r="U1452" s="30">
        <f>IF($S1452="CONFIRMAR",MAX($U$4:$U1451)+1,"")</f>
        <v>0</v>
      </c>
      <c r="V1452" s="30">
        <f>IF(AND($R1452="Não",$Q1452&lt;&gt;"",$Q1452&lt;=Hoje+JanelaRet,$Q1452&gt;=Hoje-60),MAX($V$4:$V1451)+1,"")</f>
        <v>0</v>
      </c>
    </row>
    <row r="1453" spans="1:22">
      <c r="A1453" s="16"/>
      <c r="B1453" s="23"/>
      <c r="C1453" s="15"/>
      <c r="D1453" s="15"/>
      <c r="E1453" s="15"/>
      <c r="F1453" s="24"/>
      <c r="G1453" s="17"/>
      <c r="H1453" s="17"/>
      <c r="I1453" s="15"/>
      <c r="J1453" s="25">
        <f>IF($D1453="","",IFERROR(INDEX(PacNome,MATCH($D1453,PacCod,0)),"Paciente não cadastrado"))</f>
        <v>0</v>
      </c>
      <c r="K1453" s="26">
        <f>IF($D1453="","",IFERROR(INDEX(PacConv,MATCH($D1453,PacCod,0))&amp;"",""))</f>
        <v>0</v>
      </c>
      <c r="L1453" s="26">
        <f>IF($A1453="","",CHOOSE(WEEKDAY($A1453,2),"Seg","Ter","Qua","Qui","Sex","Sáb","Dom"))</f>
        <v>0</v>
      </c>
      <c r="M1453" s="27">
        <f>IF($E1453="","",IF($G1453&lt;&gt;"",$G1453,IFERROR(INDEX(ProcValor,MATCH($E1453,ProcNome,0)),0)))</f>
        <v>0</v>
      </c>
      <c r="N1453" s="27">
        <f>IF($M1453="","",IF($F1453="Compareceu",$M1453,0))</f>
        <v>0</v>
      </c>
      <c r="O1453" s="27">
        <f>IF($M1453="","",IF($F1453="Faltou",$M1453,0))</f>
        <v>0</v>
      </c>
      <c r="P1453" s="27">
        <f>IF($M1453="","",IF($F1453="Compareceu",MAX(0,$M1453-N($H1453)),0))</f>
        <v>0</v>
      </c>
      <c r="Q1453" s="19">
        <f>IF(AND($F1453="Compareceu",$E1453&lt;&gt;"",$A1453&lt;&gt;""),IF(IFERROR(INDEX(ProcRet,MATCH($E1453,ProcNome,0)),0)&gt;0,$A1453+INDEX(ProcRet,MATCH($E1453,ProcNome,0)),""),"")</f>
        <v>0</v>
      </c>
      <c r="R1453" s="26">
        <f>IF($Q1453="","",IF(COUNTIFS(AgPac,$D1453,AgData,"&gt;"&amp;$A1453,AgStatus,"&lt;&gt;Cancelado",AgStatus,"&lt;&gt;Remarcado")&gt;0,"Sim","Não"))</f>
        <v>0</v>
      </c>
      <c r="S1453" s="28">
        <f>IF($A1453="","",IF(AND($F1453="Agendado",$A1453-Hoje&gt;=0,$A1453-Hoje&lt;=DiasConf),"CONFIRMAR",IF(AND($A1453&lt;Hoje,OR($F1453="Agendado",$F1453="Confirmado")),"Atualizar status",IF(AND($F1453="Compareceu",$P1453&gt;0.005),"Cobrar",IF($F1453="Faltou","Falta: reagendar","")))))</f>
        <v>0</v>
      </c>
      <c r="T1453" s="29">
        <f>IF($A1453="","",DATE(YEAR($A1453),MONTH($A1453),1))</f>
        <v>0</v>
      </c>
      <c r="U1453" s="30">
        <f>IF($S1453="CONFIRMAR",MAX($U$4:$U1452)+1,"")</f>
        <v>0</v>
      </c>
      <c r="V1453" s="30">
        <f>IF(AND($R1453="Não",$Q1453&lt;&gt;"",$Q1453&lt;=Hoje+JanelaRet,$Q1453&gt;=Hoje-60),MAX($V$4:$V1452)+1,"")</f>
        <v>0</v>
      </c>
    </row>
    <row r="1454" spans="1:22">
      <c r="A1454" s="16"/>
      <c r="B1454" s="23"/>
      <c r="C1454" s="15"/>
      <c r="D1454" s="15"/>
      <c r="E1454" s="15"/>
      <c r="F1454" s="24"/>
      <c r="G1454" s="17"/>
      <c r="H1454" s="17"/>
      <c r="I1454" s="15"/>
      <c r="J1454" s="25">
        <f>IF($D1454="","",IFERROR(INDEX(PacNome,MATCH($D1454,PacCod,0)),"Paciente não cadastrado"))</f>
        <v>0</v>
      </c>
      <c r="K1454" s="26">
        <f>IF($D1454="","",IFERROR(INDEX(PacConv,MATCH($D1454,PacCod,0))&amp;"",""))</f>
        <v>0</v>
      </c>
      <c r="L1454" s="26">
        <f>IF($A1454="","",CHOOSE(WEEKDAY($A1454,2),"Seg","Ter","Qua","Qui","Sex","Sáb","Dom"))</f>
        <v>0</v>
      </c>
      <c r="M1454" s="27">
        <f>IF($E1454="","",IF($G1454&lt;&gt;"",$G1454,IFERROR(INDEX(ProcValor,MATCH($E1454,ProcNome,0)),0)))</f>
        <v>0</v>
      </c>
      <c r="N1454" s="27">
        <f>IF($M1454="","",IF($F1454="Compareceu",$M1454,0))</f>
        <v>0</v>
      </c>
      <c r="O1454" s="27">
        <f>IF($M1454="","",IF($F1454="Faltou",$M1454,0))</f>
        <v>0</v>
      </c>
      <c r="P1454" s="27">
        <f>IF($M1454="","",IF($F1454="Compareceu",MAX(0,$M1454-N($H1454)),0))</f>
        <v>0</v>
      </c>
      <c r="Q1454" s="19">
        <f>IF(AND($F1454="Compareceu",$E1454&lt;&gt;"",$A1454&lt;&gt;""),IF(IFERROR(INDEX(ProcRet,MATCH($E1454,ProcNome,0)),0)&gt;0,$A1454+INDEX(ProcRet,MATCH($E1454,ProcNome,0)),""),"")</f>
        <v>0</v>
      </c>
      <c r="R1454" s="26">
        <f>IF($Q1454="","",IF(COUNTIFS(AgPac,$D1454,AgData,"&gt;"&amp;$A1454,AgStatus,"&lt;&gt;Cancelado",AgStatus,"&lt;&gt;Remarcado")&gt;0,"Sim","Não"))</f>
        <v>0</v>
      </c>
      <c r="S1454" s="28">
        <f>IF($A1454="","",IF(AND($F1454="Agendado",$A1454-Hoje&gt;=0,$A1454-Hoje&lt;=DiasConf),"CONFIRMAR",IF(AND($A1454&lt;Hoje,OR($F1454="Agendado",$F1454="Confirmado")),"Atualizar status",IF(AND($F1454="Compareceu",$P1454&gt;0.005),"Cobrar",IF($F1454="Faltou","Falta: reagendar","")))))</f>
        <v>0</v>
      </c>
      <c r="T1454" s="29">
        <f>IF($A1454="","",DATE(YEAR($A1454),MONTH($A1454),1))</f>
        <v>0</v>
      </c>
      <c r="U1454" s="30">
        <f>IF($S1454="CONFIRMAR",MAX($U$4:$U1453)+1,"")</f>
        <v>0</v>
      </c>
      <c r="V1454" s="30">
        <f>IF(AND($R1454="Não",$Q1454&lt;&gt;"",$Q1454&lt;=Hoje+JanelaRet,$Q1454&gt;=Hoje-60),MAX($V$4:$V1453)+1,"")</f>
        <v>0</v>
      </c>
    </row>
    <row r="1455" spans="1:22">
      <c r="A1455" s="16"/>
      <c r="B1455" s="23"/>
      <c r="C1455" s="15"/>
      <c r="D1455" s="15"/>
      <c r="E1455" s="15"/>
      <c r="F1455" s="24"/>
      <c r="G1455" s="17"/>
      <c r="H1455" s="17"/>
      <c r="I1455" s="15"/>
      <c r="J1455" s="25">
        <f>IF($D1455="","",IFERROR(INDEX(PacNome,MATCH($D1455,PacCod,0)),"Paciente não cadastrado"))</f>
        <v>0</v>
      </c>
      <c r="K1455" s="26">
        <f>IF($D1455="","",IFERROR(INDEX(PacConv,MATCH($D1455,PacCod,0))&amp;"",""))</f>
        <v>0</v>
      </c>
      <c r="L1455" s="26">
        <f>IF($A1455="","",CHOOSE(WEEKDAY($A1455,2),"Seg","Ter","Qua","Qui","Sex","Sáb","Dom"))</f>
        <v>0</v>
      </c>
      <c r="M1455" s="27">
        <f>IF($E1455="","",IF($G1455&lt;&gt;"",$G1455,IFERROR(INDEX(ProcValor,MATCH($E1455,ProcNome,0)),0)))</f>
        <v>0</v>
      </c>
      <c r="N1455" s="27">
        <f>IF($M1455="","",IF($F1455="Compareceu",$M1455,0))</f>
        <v>0</v>
      </c>
      <c r="O1455" s="27">
        <f>IF($M1455="","",IF($F1455="Faltou",$M1455,0))</f>
        <v>0</v>
      </c>
      <c r="P1455" s="27">
        <f>IF($M1455="","",IF($F1455="Compareceu",MAX(0,$M1455-N($H1455)),0))</f>
        <v>0</v>
      </c>
      <c r="Q1455" s="19">
        <f>IF(AND($F1455="Compareceu",$E1455&lt;&gt;"",$A1455&lt;&gt;""),IF(IFERROR(INDEX(ProcRet,MATCH($E1455,ProcNome,0)),0)&gt;0,$A1455+INDEX(ProcRet,MATCH($E1455,ProcNome,0)),""),"")</f>
        <v>0</v>
      </c>
      <c r="R1455" s="26">
        <f>IF($Q1455="","",IF(COUNTIFS(AgPac,$D1455,AgData,"&gt;"&amp;$A1455,AgStatus,"&lt;&gt;Cancelado",AgStatus,"&lt;&gt;Remarcado")&gt;0,"Sim","Não"))</f>
        <v>0</v>
      </c>
      <c r="S1455" s="28">
        <f>IF($A1455="","",IF(AND($F1455="Agendado",$A1455-Hoje&gt;=0,$A1455-Hoje&lt;=DiasConf),"CONFIRMAR",IF(AND($A1455&lt;Hoje,OR($F1455="Agendado",$F1455="Confirmado")),"Atualizar status",IF(AND($F1455="Compareceu",$P1455&gt;0.005),"Cobrar",IF($F1455="Faltou","Falta: reagendar","")))))</f>
        <v>0</v>
      </c>
      <c r="T1455" s="29">
        <f>IF($A1455="","",DATE(YEAR($A1455),MONTH($A1455),1))</f>
        <v>0</v>
      </c>
      <c r="U1455" s="30">
        <f>IF($S1455="CONFIRMAR",MAX($U$4:$U1454)+1,"")</f>
        <v>0</v>
      </c>
      <c r="V1455" s="30">
        <f>IF(AND($R1455="Não",$Q1455&lt;&gt;"",$Q1455&lt;=Hoje+JanelaRet,$Q1455&gt;=Hoje-60),MAX($V$4:$V1454)+1,"")</f>
        <v>0</v>
      </c>
    </row>
    <row r="1456" spans="1:22">
      <c r="A1456" s="16"/>
      <c r="B1456" s="23"/>
      <c r="C1456" s="15"/>
      <c r="D1456" s="15"/>
      <c r="E1456" s="15"/>
      <c r="F1456" s="24"/>
      <c r="G1456" s="17"/>
      <c r="H1456" s="17"/>
      <c r="I1456" s="15"/>
      <c r="J1456" s="25">
        <f>IF($D1456="","",IFERROR(INDEX(PacNome,MATCH($D1456,PacCod,0)),"Paciente não cadastrado"))</f>
        <v>0</v>
      </c>
      <c r="K1456" s="26">
        <f>IF($D1456="","",IFERROR(INDEX(PacConv,MATCH($D1456,PacCod,0))&amp;"",""))</f>
        <v>0</v>
      </c>
      <c r="L1456" s="26">
        <f>IF($A1456="","",CHOOSE(WEEKDAY($A1456,2),"Seg","Ter","Qua","Qui","Sex","Sáb","Dom"))</f>
        <v>0</v>
      </c>
      <c r="M1456" s="27">
        <f>IF($E1456="","",IF($G1456&lt;&gt;"",$G1456,IFERROR(INDEX(ProcValor,MATCH($E1456,ProcNome,0)),0)))</f>
        <v>0</v>
      </c>
      <c r="N1456" s="27">
        <f>IF($M1456="","",IF($F1456="Compareceu",$M1456,0))</f>
        <v>0</v>
      </c>
      <c r="O1456" s="27">
        <f>IF($M1456="","",IF($F1456="Faltou",$M1456,0))</f>
        <v>0</v>
      </c>
      <c r="P1456" s="27">
        <f>IF($M1456="","",IF($F1456="Compareceu",MAX(0,$M1456-N($H1456)),0))</f>
        <v>0</v>
      </c>
      <c r="Q1456" s="19">
        <f>IF(AND($F1456="Compareceu",$E1456&lt;&gt;"",$A1456&lt;&gt;""),IF(IFERROR(INDEX(ProcRet,MATCH($E1456,ProcNome,0)),0)&gt;0,$A1456+INDEX(ProcRet,MATCH($E1456,ProcNome,0)),""),"")</f>
        <v>0</v>
      </c>
      <c r="R1456" s="26">
        <f>IF($Q1456="","",IF(COUNTIFS(AgPac,$D1456,AgData,"&gt;"&amp;$A1456,AgStatus,"&lt;&gt;Cancelado",AgStatus,"&lt;&gt;Remarcado")&gt;0,"Sim","Não"))</f>
        <v>0</v>
      </c>
      <c r="S1456" s="28">
        <f>IF($A1456="","",IF(AND($F1456="Agendado",$A1456-Hoje&gt;=0,$A1456-Hoje&lt;=DiasConf),"CONFIRMAR",IF(AND($A1456&lt;Hoje,OR($F1456="Agendado",$F1456="Confirmado")),"Atualizar status",IF(AND($F1456="Compareceu",$P1456&gt;0.005),"Cobrar",IF($F1456="Faltou","Falta: reagendar","")))))</f>
        <v>0</v>
      </c>
      <c r="T1456" s="29">
        <f>IF($A1456="","",DATE(YEAR($A1456),MONTH($A1456),1))</f>
        <v>0</v>
      </c>
      <c r="U1456" s="30">
        <f>IF($S1456="CONFIRMAR",MAX($U$4:$U1455)+1,"")</f>
        <v>0</v>
      </c>
      <c r="V1456" s="30">
        <f>IF(AND($R1456="Não",$Q1456&lt;&gt;"",$Q1456&lt;=Hoje+JanelaRet,$Q1456&gt;=Hoje-60),MAX($V$4:$V1455)+1,"")</f>
        <v>0</v>
      </c>
    </row>
    <row r="1457" spans="1:22">
      <c r="A1457" s="16"/>
      <c r="B1457" s="23"/>
      <c r="C1457" s="15"/>
      <c r="D1457" s="15"/>
      <c r="E1457" s="15"/>
      <c r="F1457" s="24"/>
      <c r="G1457" s="17"/>
      <c r="H1457" s="17"/>
      <c r="I1457" s="15"/>
      <c r="J1457" s="25">
        <f>IF($D1457="","",IFERROR(INDEX(PacNome,MATCH($D1457,PacCod,0)),"Paciente não cadastrado"))</f>
        <v>0</v>
      </c>
      <c r="K1457" s="26">
        <f>IF($D1457="","",IFERROR(INDEX(PacConv,MATCH($D1457,PacCod,0))&amp;"",""))</f>
        <v>0</v>
      </c>
      <c r="L1457" s="26">
        <f>IF($A1457="","",CHOOSE(WEEKDAY($A1457,2),"Seg","Ter","Qua","Qui","Sex","Sáb","Dom"))</f>
        <v>0</v>
      </c>
      <c r="M1457" s="27">
        <f>IF($E1457="","",IF($G1457&lt;&gt;"",$G1457,IFERROR(INDEX(ProcValor,MATCH($E1457,ProcNome,0)),0)))</f>
        <v>0</v>
      </c>
      <c r="N1457" s="27">
        <f>IF($M1457="","",IF($F1457="Compareceu",$M1457,0))</f>
        <v>0</v>
      </c>
      <c r="O1457" s="27">
        <f>IF($M1457="","",IF($F1457="Faltou",$M1457,0))</f>
        <v>0</v>
      </c>
      <c r="P1457" s="27">
        <f>IF($M1457="","",IF($F1457="Compareceu",MAX(0,$M1457-N($H1457)),0))</f>
        <v>0</v>
      </c>
      <c r="Q1457" s="19">
        <f>IF(AND($F1457="Compareceu",$E1457&lt;&gt;"",$A1457&lt;&gt;""),IF(IFERROR(INDEX(ProcRet,MATCH($E1457,ProcNome,0)),0)&gt;0,$A1457+INDEX(ProcRet,MATCH($E1457,ProcNome,0)),""),"")</f>
        <v>0</v>
      </c>
      <c r="R1457" s="26">
        <f>IF($Q1457="","",IF(COUNTIFS(AgPac,$D1457,AgData,"&gt;"&amp;$A1457,AgStatus,"&lt;&gt;Cancelado",AgStatus,"&lt;&gt;Remarcado")&gt;0,"Sim","Não"))</f>
        <v>0</v>
      </c>
      <c r="S1457" s="28">
        <f>IF($A1457="","",IF(AND($F1457="Agendado",$A1457-Hoje&gt;=0,$A1457-Hoje&lt;=DiasConf),"CONFIRMAR",IF(AND($A1457&lt;Hoje,OR($F1457="Agendado",$F1457="Confirmado")),"Atualizar status",IF(AND($F1457="Compareceu",$P1457&gt;0.005),"Cobrar",IF($F1457="Faltou","Falta: reagendar","")))))</f>
        <v>0</v>
      </c>
      <c r="T1457" s="29">
        <f>IF($A1457="","",DATE(YEAR($A1457),MONTH($A1457),1))</f>
        <v>0</v>
      </c>
      <c r="U1457" s="30">
        <f>IF($S1457="CONFIRMAR",MAX($U$4:$U1456)+1,"")</f>
        <v>0</v>
      </c>
      <c r="V1457" s="30">
        <f>IF(AND($R1457="Não",$Q1457&lt;&gt;"",$Q1457&lt;=Hoje+JanelaRet,$Q1457&gt;=Hoje-60),MAX($V$4:$V1456)+1,"")</f>
        <v>0</v>
      </c>
    </row>
    <row r="1458" spans="1:22">
      <c r="A1458" s="16"/>
      <c r="B1458" s="23"/>
      <c r="C1458" s="15"/>
      <c r="D1458" s="15"/>
      <c r="E1458" s="15"/>
      <c r="F1458" s="24"/>
      <c r="G1458" s="17"/>
      <c r="H1458" s="17"/>
      <c r="I1458" s="15"/>
      <c r="J1458" s="25">
        <f>IF($D1458="","",IFERROR(INDEX(PacNome,MATCH($D1458,PacCod,0)),"Paciente não cadastrado"))</f>
        <v>0</v>
      </c>
      <c r="K1458" s="26">
        <f>IF($D1458="","",IFERROR(INDEX(PacConv,MATCH($D1458,PacCod,0))&amp;"",""))</f>
        <v>0</v>
      </c>
      <c r="L1458" s="26">
        <f>IF($A1458="","",CHOOSE(WEEKDAY($A1458,2),"Seg","Ter","Qua","Qui","Sex","Sáb","Dom"))</f>
        <v>0</v>
      </c>
      <c r="M1458" s="27">
        <f>IF($E1458="","",IF($G1458&lt;&gt;"",$G1458,IFERROR(INDEX(ProcValor,MATCH($E1458,ProcNome,0)),0)))</f>
        <v>0</v>
      </c>
      <c r="N1458" s="27">
        <f>IF($M1458="","",IF($F1458="Compareceu",$M1458,0))</f>
        <v>0</v>
      </c>
      <c r="O1458" s="27">
        <f>IF($M1458="","",IF($F1458="Faltou",$M1458,0))</f>
        <v>0</v>
      </c>
      <c r="P1458" s="27">
        <f>IF($M1458="","",IF($F1458="Compareceu",MAX(0,$M1458-N($H1458)),0))</f>
        <v>0</v>
      </c>
      <c r="Q1458" s="19">
        <f>IF(AND($F1458="Compareceu",$E1458&lt;&gt;"",$A1458&lt;&gt;""),IF(IFERROR(INDEX(ProcRet,MATCH($E1458,ProcNome,0)),0)&gt;0,$A1458+INDEX(ProcRet,MATCH($E1458,ProcNome,0)),""),"")</f>
        <v>0</v>
      </c>
      <c r="R1458" s="26">
        <f>IF($Q1458="","",IF(COUNTIFS(AgPac,$D1458,AgData,"&gt;"&amp;$A1458,AgStatus,"&lt;&gt;Cancelado",AgStatus,"&lt;&gt;Remarcado")&gt;0,"Sim","Não"))</f>
        <v>0</v>
      </c>
      <c r="S1458" s="28">
        <f>IF($A1458="","",IF(AND($F1458="Agendado",$A1458-Hoje&gt;=0,$A1458-Hoje&lt;=DiasConf),"CONFIRMAR",IF(AND($A1458&lt;Hoje,OR($F1458="Agendado",$F1458="Confirmado")),"Atualizar status",IF(AND($F1458="Compareceu",$P1458&gt;0.005),"Cobrar",IF($F1458="Faltou","Falta: reagendar","")))))</f>
        <v>0</v>
      </c>
      <c r="T1458" s="29">
        <f>IF($A1458="","",DATE(YEAR($A1458),MONTH($A1458),1))</f>
        <v>0</v>
      </c>
      <c r="U1458" s="30">
        <f>IF($S1458="CONFIRMAR",MAX($U$4:$U1457)+1,"")</f>
        <v>0</v>
      </c>
      <c r="V1458" s="30">
        <f>IF(AND($R1458="Não",$Q1458&lt;&gt;"",$Q1458&lt;=Hoje+JanelaRet,$Q1458&gt;=Hoje-60),MAX($V$4:$V1457)+1,"")</f>
        <v>0</v>
      </c>
    </row>
    <row r="1459" spans="1:22">
      <c r="A1459" s="16"/>
      <c r="B1459" s="23"/>
      <c r="C1459" s="15"/>
      <c r="D1459" s="15"/>
      <c r="E1459" s="15"/>
      <c r="F1459" s="24"/>
      <c r="G1459" s="17"/>
      <c r="H1459" s="17"/>
      <c r="I1459" s="15"/>
      <c r="J1459" s="25">
        <f>IF($D1459="","",IFERROR(INDEX(PacNome,MATCH($D1459,PacCod,0)),"Paciente não cadastrado"))</f>
        <v>0</v>
      </c>
      <c r="K1459" s="26">
        <f>IF($D1459="","",IFERROR(INDEX(PacConv,MATCH($D1459,PacCod,0))&amp;"",""))</f>
        <v>0</v>
      </c>
      <c r="L1459" s="26">
        <f>IF($A1459="","",CHOOSE(WEEKDAY($A1459,2),"Seg","Ter","Qua","Qui","Sex","Sáb","Dom"))</f>
        <v>0</v>
      </c>
      <c r="M1459" s="27">
        <f>IF($E1459="","",IF($G1459&lt;&gt;"",$G1459,IFERROR(INDEX(ProcValor,MATCH($E1459,ProcNome,0)),0)))</f>
        <v>0</v>
      </c>
      <c r="N1459" s="27">
        <f>IF($M1459="","",IF($F1459="Compareceu",$M1459,0))</f>
        <v>0</v>
      </c>
      <c r="O1459" s="27">
        <f>IF($M1459="","",IF($F1459="Faltou",$M1459,0))</f>
        <v>0</v>
      </c>
      <c r="P1459" s="27">
        <f>IF($M1459="","",IF($F1459="Compareceu",MAX(0,$M1459-N($H1459)),0))</f>
        <v>0</v>
      </c>
      <c r="Q1459" s="19">
        <f>IF(AND($F1459="Compareceu",$E1459&lt;&gt;"",$A1459&lt;&gt;""),IF(IFERROR(INDEX(ProcRet,MATCH($E1459,ProcNome,0)),0)&gt;0,$A1459+INDEX(ProcRet,MATCH($E1459,ProcNome,0)),""),"")</f>
        <v>0</v>
      </c>
      <c r="R1459" s="26">
        <f>IF($Q1459="","",IF(COUNTIFS(AgPac,$D1459,AgData,"&gt;"&amp;$A1459,AgStatus,"&lt;&gt;Cancelado",AgStatus,"&lt;&gt;Remarcado")&gt;0,"Sim","Não"))</f>
        <v>0</v>
      </c>
      <c r="S1459" s="28">
        <f>IF($A1459="","",IF(AND($F1459="Agendado",$A1459-Hoje&gt;=0,$A1459-Hoje&lt;=DiasConf),"CONFIRMAR",IF(AND($A1459&lt;Hoje,OR($F1459="Agendado",$F1459="Confirmado")),"Atualizar status",IF(AND($F1459="Compareceu",$P1459&gt;0.005),"Cobrar",IF($F1459="Faltou","Falta: reagendar","")))))</f>
        <v>0</v>
      </c>
      <c r="T1459" s="29">
        <f>IF($A1459="","",DATE(YEAR($A1459),MONTH($A1459),1))</f>
        <v>0</v>
      </c>
      <c r="U1459" s="30">
        <f>IF($S1459="CONFIRMAR",MAX($U$4:$U1458)+1,"")</f>
        <v>0</v>
      </c>
      <c r="V1459" s="30">
        <f>IF(AND($R1459="Não",$Q1459&lt;&gt;"",$Q1459&lt;=Hoje+JanelaRet,$Q1459&gt;=Hoje-60),MAX($V$4:$V1458)+1,"")</f>
        <v>0</v>
      </c>
    </row>
    <row r="1460" spans="1:22">
      <c r="A1460" s="16"/>
      <c r="B1460" s="23"/>
      <c r="C1460" s="15"/>
      <c r="D1460" s="15"/>
      <c r="E1460" s="15"/>
      <c r="F1460" s="24"/>
      <c r="G1460" s="17"/>
      <c r="H1460" s="17"/>
      <c r="I1460" s="15"/>
      <c r="J1460" s="25">
        <f>IF($D1460="","",IFERROR(INDEX(PacNome,MATCH($D1460,PacCod,0)),"Paciente não cadastrado"))</f>
        <v>0</v>
      </c>
      <c r="K1460" s="26">
        <f>IF($D1460="","",IFERROR(INDEX(PacConv,MATCH($D1460,PacCod,0))&amp;"",""))</f>
        <v>0</v>
      </c>
      <c r="L1460" s="26">
        <f>IF($A1460="","",CHOOSE(WEEKDAY($A1460,2),"Seg","Ter","Qua","Qui","Sex","Sáb","Dom"))</f>
        <v>0</v>
      </c>
      <c r="M1460" s="27">
        <f>IF($E1460="","",IF($G1460&lt;&gt;"",$G1460,IFERROR(INDEX(ProcValor,MATCH($E1460,ProcNome,0)),0)))</f>
        <v>0</v>
      </c>
      <c r="N1460" s="27">
        <f>IF($M1460="","",IF($F1460="Compareceu",$M1460,0))</f>
        <v>0</v>
      </c>
      <c r="O1460" s="27">
        <f>IF($M1460="","",IF($F1460="Faltou",$M1460,0))</f>
        <v>0</v>
      </c>
      <c r="P1460" s="27">
        <f>IF($M1460="","",IF($F1460="Compareceu",MAX(0,$M1460-N($H1460)),0))</f>
        <v>0</v>
      </c>
      <c r="Q1460" s="19">
        <f>IF(AND($F1460="Compareceu",$E1460&lt;&gt;"",$A1460&lt;&gt;""),IF(IFERROR(INDEX(ProcRet,MATCH($E1460,ProcNome,0)),0)&gt;0,$A1460+INDEX(ProcRet,MATCH($E1460,ProcNome,0)),""),"")</f>
        <v>0</v>
      </c>
      <c r="R1460" s="26">
        <f>IF($Q1460="","",IF(COUNTIFS(AgPac,$D1460,AgData,"&gt;"&amp;$A1460,AgStatus,"&lt;&gt;Cancelado",AgStatus,"&lt;&gt;Remarcado")&gt;0,"Sim","Não"))</f>
        <v>0</v>
      </c>
      <c r="S1460" s="28">
        <f>IF($A1460="","",IF(AND($F1460="Agendado",$A1460-Hoje&gt;=0,$A1460-Hoje&lt;=DiasConf),"CONFIRMAR",IF(AND($A1460&lt;Hoje,OR($F1460="Agendado",$F1460="Confirmado")),"Atualizar status",IF(AND($F1460="Compareceu",$P1460&gt;0.005),"Cobrar",IF($F1460="Faltou","Falta: reagendar","")))))</f>
        <v>0</v>
      </c>
      <c r="T1460" s="29">
        <f>IF($A1460="","",DATE(YEAR($A1460),MONTH($A1460),1))</f>
        <v>0</v>
      </c>
      <c r="U1460" s="30">
        <f>IF($S1460="CONFIRMAR",MAX($U$4:$U1459)+1,"")</f>
        <v>0</v>
      </c>
      <c r="V1460" s="30">
        <f>IF(AND($R1460="Não",$Q1460&lt;&gt;"",$Q1460&lt;=Hoje+JanelaRet,$Q1460&gt;=Hoje-60),MAX($V$4:$V1459)+1,"")</f>
        <v>0</v>
      </c>
    </row>
    <row r="1461" spans="1:22">
      <c r="A1461" s="16"/>
      <c r="B1461" s="23"/>
      <c r="C1461" s="15"/>
      <c r="D1461" s="15"/>
      <c r="E1461" s="15"/>
      <c r="F1461" s="24"/>
      <c r="G1461" s="17"/>
      <c r="H1461" s="17"/>
      <c r="I1461" s="15"/>
      <c r="J1461" s="25">
        <f>IF($D1461="","",IFERROR(INDEX(PacNome,MATCH($D1461,PacCod,0)),"Paciente não cadastrado"))</f>
        <v>0</v>
      </c>
      <c r="K1461" s="26">
        <f>IF($D1461="","",IFERROR(INDEX(PacConv,MATCH($D1461,PacCod,0))&amp;"",""))</f>
        <v>0</v>
      </c>
      <c r="L1461" s="26">
        <f>IF($A1461="","",CHOOSE(WEEKDAY($A1461,2),"Seg","Ter","Qua","Qui","Sex","Sáb","Dom"))</f>
        <v>0</v>
      </c>
      <c r="M1461" s="27">
        <f>IF($E1461="","",IF($G1461&lt;&gt;"",$G1461,IFERROR(INDEX(ProcValor,MATCH($E1461,ProcNome,0)),0)))</f>
        <v>0</v>
      </c>
      <c r="N1461" s="27">
        <f>IF($M1461="","",IF($F1461="Compareceu",$M1461,0))</f>
        <v>0</v>
      </c>
      <c r="O1461" s="27">
        <f>IF($M1461="","",IF($F1461="Faltou",$M1461,0))</f>
        <v>0</v>
      </c>
      <c r="P1461" s="27">
        <f>IF($M1461="","",IF($F1461="Compareceu",MAX(0,$M1461-N($H1461)),0))</f>
        <v>0</v>
      </c>
      <c r="Q1461" s="19">
        <f>IF(AND($F1461="Compareceu",$E1461&lt;&gt;"",$A1461&lt;&gt;""),IF(IFERROR(INDEX(ProcRet,MATCH($E1461,ProcNome,0)),0)&gt;0,$A1461+INDEX(ProcRet,MATCH($E1461,ProcNome,0)),""),"")</f>
        <v>0</v>
      </c>
      <c r="R1461" s="26">
        <f>IF($Q1461="","",IF(COUNTIFS(AgPac,$D1461,AgData,"&gt;"&amp;$A1461,AgStatus,"&lt;&gt;Cancelado",AgStatus,"&lt;&gt;Remarcado")&gt;0,"Sim","Não"))</f>
        <v>0</v>
      </c>
      <c r="S1461" s="28">
        <f>IF($A1461="","",IF(AND($F1461="Agendado",$A1461-Hoje&gt;=0,$A1461-Hoje&lt;=DiasConf),"CONFIRMAR",IF(AND($A1461&lt;Hoje,OR($F1461="Agendado",$F1461="Confirmado")),"Atualizar status",IF(AND($F1461="Compareceu",$P1461&gt;0.005),"Cobrar",IF($F1461="Faltou","Falta: reagendar","")))))</f>
        <v>0</v>
      </c>
      <c r="T1461" s="29">
        <f>IF($A1461="","",DATE(YEAR($A1461),MONTH($A1461),1))</f>
        <v>0</v>
      </c>
      <c r="U1461" s="30">
        <f>IF($S1461="CONFIRMAR",MAX($U$4:$U1460)+1,"")</f>
        <v>0</v>
      </c>
      <c r="V1461" s="30">
        <f>IF(AND($R1461="Não",$Q1461&lt;&gt;"",$Q1461&lt;=Hoje+JanelaRet,$Q1461&gt;=Hoje-60),MAX($V$4:$V1460)+1,"")</f>
        <v>0</v>
      </c>
    </row>
    <row r="1462" spans="1:22">
      <c r="A1462" s="16"/>
      <c r="B1462" s="23"/>
      <c r="C1462" s="15"/>
      <c r="D1462" s="15"/>
      <c r="E1462" s="15"/>
      <c r="F1462" s="24"/>
      <c r="G1462" s="17"/>
      <c r="H1462" s="17"/>
      <c r="I1462" s="15"/>
      <c r="J1462" s="25">
        <f>IF($D1462="","",IFERROR(INDEX(PacNome,MATCH($D1462,PacCod,0)),"Paciente não cadastrado"))</f>
        <v>0</v>
      </c>
      <c r="K1462" s="26">
        <f>IF($D1462="","",IFERROR(INDEX(PacConv,MATCH($D1462,PacCod,0))&amp;"",""))</f>
        <v>0</v>
      </c>
      <c r="L1462" s="26">
        <f>IF($A1462="","",CHOOSE(WEEKDAY($A1462,2),"Seg","Ter","Qua","Qui","Sex","Sáb","Dom"))</f>
        <v>0</v>
      </c>
      <c r="M1462" s="27">
        <f>IF($E1462="","",IF($G1462&lt;&gt;"",$G1462,IFERROR(INDEX(ProcValor,MATCH($E1462,ProcNome,0)),0)))</f>
        <v>0</v>
      </c>
      <c r="N1462" s="27">
        <f>IF($M1462="","",IF($F1462="Compareceu",$M1462,0))</f>
        <v>0</v>
      </c>
      <c r="O1462" s="27">
        <f>IF($M1462="","",IF($F1462="Faltou",$M1462,0))</f>
        <v>0</v>
      </c>
      <c r="P1462" s="27">
        <f>IF($M1462="","",IF($F1462="Compareceu",MAX(0,$M1462-N($H1462)),0))</f>
        <v>0</v>
      </c>
      <c r="Q1462" s="19">
        <f>IF(AND($F1462="Compareceu",$E1462&lt;&gt;"",$A1462&lt;&gt;""),IF(IFERROR(INDEX(ProcRet,MATCH($E1462,ProcNome,0)),0)&gt;0,$A1462+INDEX(ProcRet,MATCH($E1462,ProcNome,0)),""),"")</f>
        <v>0</v>
      </c>
      <c r="R1462" s="26">
        <f>IF($Q1462="","",IF(COUNTIFS(AgPac,$D1462,AgData,"&gt;"&amp;$A1462,AgStatus,"&lt;&gt;Cancelado",AgStatus,"&lt;&gt;Remarcado")&gt;0,"Sim","Não"))</f>
        <v>0</v>
      </c>
      <c r="S1462" s="28">
        <f>IF($A1462="","",IF(AND($F1462="Agendado",$A1462-Hoje&gt;=0,$A1462-Hoje&lt;=DiasConf),"CONFIRMAR",IF(AND($A1462&lt;Hoje,OR($F1462="Agendado",$F1462="Confirmado")),"Atualizar status",IF(AND($F1462="Compareceu",$P1462&gt;0.005),"Cobrar",IF($F1462="Faltou","Falta: reagendar","")))))</f>
        <v>0</v>
      </c>
      <c r="T1462" s="29">
        <f>IF($A1462="","",DATE(YEAR($A1462),MONTH($A1462),1))</f>
        <v>0</v>
      </c>
      <c r="U1462" s="30">
        <f>IF($S1462="CONFIRMAR",MAX($U$4:$U1461)+1,"")</f>
        <v>0</v>
      </c>
      <c r="V1462" s="30">
        <f>IF(AND($R1462="Não",$Q1462&lt;&gt;"",$Q1462&lt;=Hoje+JanelaRet,$Q1462&gt;=Hoje-60),MAX($V$4:$V1461)+1,"")</f>
        <v>0</v>
      </c>
    </row>
    <row r="1463" spans="1:22">
      <c r="A1463" s="16"/>
      <c r="B1463" s="23"/>
      <c r="C1463" s="15"/>
      <c r="D1463" s="15"/>
      <c r="E1463" s="15"/>
      <c r="F1463" s="24"/>
      <c r="G1463" s="17"/>
      <c r="H1463" s="17"/>
      <c r="I1463" s="15"/>
      <c r="J1463" s="25">
        <f>IF($D1463="","",IFERROR(INDEX(PacNome,MATCH($D1463,PacCod,0)),"Paciente não cadastrado"))</f>
        <v>0</v>
      </c>
      <c r="K1463" s="26">
        <f>IF($D1463="","",IFERROR(INDEX(PacConv,MATCH($D1463,PacCod,0))&amp;"",""))</f>
        <v>0</v>
      </c>
      <c r="L1463" s="26">
        <f>IF($A1463="","",CHOOSE(WEEKDAY($A1463,2),"Seg","Ter","Qua","Qui","Sex","Sáb","Dom"))</f>
        <v>0</v>
      </c>
      <c r="M1463" s="27">
        <f>IF($E1463="","",IF($G1463&lt;&gt;"",$G1463,IFERROR(INDEX(ProcValor,MATCH($E1463,ProcNome,0)),0)))</f>
        <v>0</v>
      </c>
      <c r="N1463" s="27">
        <f>IF($M1463="","",IF($F1463="Compareceu",$M1463,0))</f>
        <v>0</v>
      </c>
      <c r="O1463" s="27">
        <f>IF($M1463="","",IF($F1463="Faltou",$M1463,0))</f>
        <v>0</v>
      </c>
      <c r="P1463" s="27">
        <f>IF($M1463="","",IF($F1463="Compareceu",MAX(0,$M1463-N($H1463)),0))</f>
        <v>0</v>
      </c>
      <c r="Q1463" s="19">
        <f>IF(AND($F1463="Compareceu",$E1463&lt;&gt;"",$A1463&lt;&gt;""),IF(IFERROR(INDEX(ProcRet,MATCH($E1463,ProcNome,0)),0)&gt;0,$A1463+INDEX(ProcRet,MATCH($E1463,ProcNome,0)),""),"")</f>
        <v>0</v>
      </c>
      <c r="R1463" s="26">
        <f>IF($Q1463="","",IF(COUNTIFS(AgPac,$D1463,AgData,"&gt;"&amp;$A1463,AgStatus,"&lt;&gt;Cancelado",AgStatus,"&lt;&gt;Remarcado")&gt;0,"Sim","Não"))</f>
        <v>0</v>
      </c>
      <c r="S1463" s="28">
        <f>IF($A1463="","",IF(AND($F1463="Agendado",$A1463-Hoje&gt;=0,$A1463-Hoje&lt;=DiasConf),"CONFIRMAR",IF(AND($A1463&lt;Hoje,OR($F1463="Agendado",$F1463="Confirmado")),"Atualizar status",IF(AND($F1463="Compareceu",$P1463&gt;0.005),"Cobrar",IF($F1463="Faltou","Falta: reagendar","")))))</f>
        <v>0</v>
      </c>
      <c r="T1463" s="29">
        <f>IF($A1463="","",DATE(YEAR($A1463),MONTH($A1463),1))</f>
        <v>0</v>
      </c>
      <c r="U1463" s="30">
        <f>IF($S1463="CONFIRMAR",MAX($U$4:$U1462)+1,"")</f>
        <v>0</v>
      </c>
      <c r="V1463" s="30">
        <f>IF(AND($R1463="Não",$Q1463&lt;&gt;"",$Q1463&lt;=Hoje+JanelaRet,$Q1463&gt;=Hoje-60),MAX($V$4:$V1462)+1,"")</f>
        <v>0</v>
      </c>
    </row>
    <row r="1464" spans="1:22">
      <c r="A1464" s="16"/>
      <c r="B1464" s="23"/>
      <c r="C1464" s="15"/>
      <c r="D1464" s="15"/>
      <c r="E1464" s="15"/>
      <c r="F1464" s="24"/>
      <c r="G1464" s="17"/>
      <c r="H1464" s="17"/>
      <c r="I1464" s="15"/>
      <c r="J1464" s="25">
        <f>IF($D1464="","",IFERROR(INDEX(PacNome,MATCH($D1464,PacCod,0)),"Paciente não cadastrado"))</f>
        <v>0</v>
      </c>
      <c r="K1464" s="26">
        <f>IF($D1464="","",IFERROR(INDEX(PacConv,MATCH($D1464,PacCod,0))&amp;"",""))</f>
        <v>0</v>
      </c>
      <c r="L1464" s="26">
        <f>IF($A1464="","",CHOOSE(WEEKDAY($A1464,2),"Seg","Ter","Qua","Qui","Sex","Sáb","Dom"))</f>
        <v>0</v>
      </c>
      <c r="M1464" s="27">
        <f>IF($E1464="","",IF($G1464&lt;&gt;"",$G1464,IFERROR(INDEX(ProcValor,MATCH($E1464,ProcNome,0)),0)))</f>
        <v>0</v>
      </c>
      <c r="N1464" s="27">
        <f>IF($M1464="","",IF($F1464="Compareceu",$M1464,0))</f>
        <v>0</v>
      </c>
      <c r="O1464" s="27">
        <f>IF($M1464="","",IF($F1464="Faltou",$M1464,0))</f>
        <v>0</v>
      </c>
      <c r="P1464" s="27">
        <f>IF($M1464="","",IF($F1464="Compareceu",MAX(0,$M1464-N($H1464)),0))</f>
        <v>0</v>
      </c>
      <c r="Q1464" s="19">
        <f>IF(AND($F1464="Compareceu",$E1464&lt;&gt;"",$A1464&lt;&gt;""),IF(IFERROR(INDEX(ProcRet,MATCH($E1464,ProcNome,0)),0)&gt;0,$A1464+INDEX(ProcRet,MATCH($E1464,ProcNome,0)),""),"")</f>
        <v>0</v>
      </c>
      <c r="R1464" s="26">
        <f>IF($Q1464="","",IF(COUNTIFS(AgPac,$D1464,AgData,"&gt;"&amp;$A1464,AgStatus,"&lt;&gt;Cancelado",AgStatus,"&lt;&gt;Remarcado")&gt;0,"Sim","Não"))</f>
        <v>0</v>
      </c>
      <c r="S1464" s="28">
        <f>IF($A1464="","",IF(AND($F1464="Agendado",$A1464-Hoje&gt;=0,$A1464-Hoje&lt;=DiasConf),"CONFIRMAR",IF(AND($A1464&lt;Hoje,OR($F1464="Agendado",$F1464="Confirmado")),"Atualizar status",IF(AND($F1464="Compareceu",$P1464&gt;0.005),"Cobrar",IF($F1464="Faltou","Falta: reagendar","")))))</f>
        <v>0</v>
      </c>
      <c r="T1464" s="29">
        <f>IF($A1464="","",DATE(YEAR($A1464),MONTH($A1464),1))</f>
        <v>0</v>
      </c>
      <c r="U1464" s="30">
        <f>IF($S1464="CONFIRMAR",MAX($U$4:$U1463)+1,"")</f>
        <v>0</v>
      </c>
      <c r="V1464" s="30">
        <f>IF(AND($R1464="Não",$Q1464&lt;&gt;"",$Q1464&lt;=Hoje+JanelaRet,$Q1464&gt;=Hoje-60),MAX($V$4:$V1463)+1,"")</f>
        <v>0</v>
      </c>
    </row>
    <row r="1465" spans="1:22">
      <c r="A1465" s="16"/>
      <c r="B1465" s="23"/>
      <c r="C1465" s="15"/>
      <c r="D1465" s="15"/>
      <c r="E1465" s="15"/>
      <c r="F1465" s="24"/>
      <c r="G1465" s="17"/>
      <c r="H1465" s="17"/>
      <c r="I1465" s="15"/>
      <c r="J1465" s="25">
        <f>IF($D1465="","",IFERROR(INDEX(PacNome,MATCH($D1465,PacCod,0)),"Paciente não cadastrado"))</f>
        <v>0</v>
      </c>
      <c r="K1465" s="26">
        <f>IF($D1465="","",IFERROR(INDEX(PacConv,MATCH($D1465,PacCod,0))&amp;"",""))</f>
        <v>0</v>
      </c>
      <c r="L1465" s="26">
        <f>IF($A1465="","",CHOOSE(WEEKDAY($A1465,2),"Seg","Ter","Qua","Qui","Sex","Sáb","Dom"))</f>
        <v>0</v>
      </c>
      <c r="M1465" s="27">
        <f>IF($E1465="","",IF($G1465&lt;&gt;"",$G1465,IFERROR(INDEX(ProcValor,MATCH($E1465,ProcNome,0)),0)))</f>
        <v>0</v>
      </c>
      <c r="N1465" s="27">
        <f>IF($M1465="","",IF($F1465="Compareceu",$M1465,0))</f>
        <v>0</v>
      </c>
      <c r="O1465" s="27">
        <f>IF($M1465="","",IF($F1465="Faltou",$M1465,0))</f>
        <v>0</v>
      </c>
      <c r="P1465" s="27">
        <f>IF($M1465="","",IF($F1465="Compareceu",MAX(0,$M1465-N($H1465)),0))</f>
        <v>0</v>
      </c>
      <c r="Q1465" s="19">
        <f>IF(AND($F1465="Compareceu",$E1465&lt;&gt;"",$A1465&lt;&gt;""),IF(IFERROR(INDEX(ProcRet,MATCH($E1465,ProcNome,0)),0)&gt;0,$A1465+INDEX(ProcRet,MATCH($E1465,ProcNome,0)),""),"")</f>
        <v>0</v>
      </c>
      <c r="R1465" s="26">
        <f>IF($Q1465="","",IF(COUNTIFS(AgPac,$D1465,AgData,"&gt;"&amp;$A1465,AgStatus,"&lt;&gt;Cancelado",AgStatus,"&lt;&gt;Remarcado")&gt;0,"Sim","Não"))</f>
        <v>0</v>
      </c>
      <c r="S1465" s="28">
        <f>IF($A1465="","",IF(AND($F1465="Agendado",$A1465-Hoje&gt;=0,$A1465-Hoje&lt;=DiasConf),"CONFIRMAR",IF(AND($A1465&lt;Hoje,OR($F1465="Agendado",$F1465="Confirmado")),"Atualizar status",IF(AND($F1465="Compareceu",$P1465&gt;0.005),"Cobrar",IF($F1465="Faltou","Falta: reagendar","")))))</f>
        <v>0</v>
      </c>
      <c r="T1465" s="29">
        <f>IF($A1465="","",DATE(YEAR($A1465),MONTH($A1465),1))</f>
        <v>0</v>
      </c>
      <c r="U1465" s="30">
        <f>IF($S1465="CONFIRMAR",MAX($U$4:$U1464)+1,"")</f>
        <v>0</v>
      </c>
      <c r="V1465" s="30">
        <f>IF(AND($R1465="Não",$Q1465&lt;&gt;"",$Q1465&lt;=Hoje+JanelaRet,$Q1465&gt;=Hoje-60),MAX($V$4:$V1464)+1,"")</f>
        <v>0</v>
      </c>
    </row>
    <row r="1466" spans="1:22">
      <c r="A1466" s="16"/>
      <c r="B1466" s="23"/>
      <c r="C1466" s="15"/>
      <c r="D1466" s="15"/>
      <c r="E1466" s="15"/>
      <c r="F1466" s="24"/>
      <c r="G1466" s="17"/>
      <c r="H1466" s="17"/>
      <c r="I1466" s="15"/>
      <c r="J1466" s="25">
        <f>IF($D1466="","",IFERROR(INDEX(PacNome,MATCH($D1466,PacCod,0)),"Paciente não cadastrado"))</f>
        <v>0</v>
      </c>
      <c r="K1466" s="26">
        <f>IF($D1466="","",IFERROR(INDEX(PacConv,MATCH($D1466,PacCod,0))&amp;"",""))</f>
        <v>0</v>
      </c>
      <c r="L1466" s="26">
        <f>IF($A1466="","",CHOOSE(WEEKDAY($A1466,2),"Seg","Ter","Qua","Qui","Sex","Sáb","Dom"))</f>
        <v>0</v>
      </c>
      <c r="M1466" s="27">
        <f>IF($E1466="","",IF($G1466&lt;&gt;"",$G1466,IFERROR(INDEX(ProcValor,MATCH($E1466,ProcNome,0)),0)))</f>
        <v>0</v>
      </c>
      <c r="N1466" s="27">
        <f>IF($M1466="","",IF($F1466="Compareceu",$M1466,0))</f>
        <v>0</v>
      </c>
      <c r="O1466" s="27">
        <f>IF($M1466="","",IF($F1466="Faltou",$M1466,0))</f>
        <v>0</v>
      </c>
      <c r="P1466" s="27">
        <f>IF($M1466="","",IF($F1466="Compareceu",MAX(0,$M1466-N($H1466)),0))</f>
        <v>0</v>
      </c>
      <c r="Q1466" s="19">
        <f>IF(AND($F1466="Compareceu",$E1466&lt;&gt;"",$A1466&lt;&gt;""),IF(IFERROR(INDEX(ProcRet,MATCH($E1466,ProcNome,0)),0)&gt;0,$A1466+INDEX(ProcRet,MATCH($E1466,ProcNome,0)),""),"")</f>
        <v>0</v>
      </c>
      <c r="R1466" s="26">
        <f>IF($Q1466="","",IF(COUNTIFS(AgPac,$D1466,AgData,"&gt;"&amp;$A1466,AgStatus,"&lt;&gt;Cancelado",AgStatus,"&lt;&gt;Remarcado")&gt;0,"Sim","Não"))</f>
        <v>0</v>
      </c>
      <c r="S1466" s="28">
        <f>IF($A1466="","",IF(AND($F1466="Agendado",$A1466-Hoje&gt;=0,$A1466-Hoje&lt;=DiasConf),"CONFIRMAR",IF(AND($A1466&lt;Hoje,OR($F1466="Agendado",$F1466="Confirmado")),"Atualizar status",IF(AND($F1466="Compareceu",$P1466&gt;0.005),"Cobrar",IF($F1466="Faltou","Falta: reagendar","")))))</f>
        <v>0</v>
      </c>
      <c r="T1466" s="29">
        <f>IF($A1466="","",DATE(YEAR($A1466),MONTH($A1466),1))</f>
        <v>0</v>
      </c>
      <c r="U1466" s="30">
        <f>IF($S1466="CONFIRMAR",MAX($U$4:$U1465)+1,"")</f>
        <v>0</v>
      </c>
      <c r="V1466" s="30">
        <f>IF(AND($R1466="Não",$Q1466&lt;&gt;"",$Q1466&lt;=Hoje+JanelaRet,$Q1466&gt;=Hoje-60),MAX($V$4:$V1465)+1,"")</f>
        <v>0</v>
      </c>
    </row>
    <row r="1467" spans="1:22">
      <c r="A1467" s="16"/>
      <c r="B1467" s="23"/>
      <c r="C1467" s="15"/>
      <c r="D1467" s="15"/>
      <c r="E1467" s="15"/>
      <c r="F1467" s="24"/>
      <c r="G1467" s="17"/>
      <c r="H1467" s="17"/>
      <c r="I1467" s="15"/>
      <c r="J1467" s="25">
        <f>IF($D1467="","",IFERROR(INDEX(PacNome,MATCH($D1467,PacCod,0)),"Paciente não cadastrado"))</f>
        <v>0</v>
      </c>
      <c r="K1467" s="26">
        <f>IF($D1467="","",IFERROR(INDEX(PacConv,MATCH($D1467,PacCod,0))&amp;"",""))</f>
        <v>0</v>
      </c>
      <c r="L1467" s="26">
        <f>IF($A1467="","",CHOOSE(WEEKDAY($A1467,2),"Seg","Ter","Qua","Qui","Sex","Sáb","Dom"))</f>
        <v>0</v>
      </c>
      <c r="M1467" s="27">
        <f>IF($E1467="","",IF($G1467&lt;&gt;"",$G1467,IFERROR(INDEX(ProcValor,MATCH($E1467,ProcNome,0)),0)))</f>
        <v>0</v>
      </c>
      <c r="N1467" s="27">
        <f>IF($M1467="","",IF($F1467="Compareceu",$M1467,0))</f>
        <v>0</v>
      </c>
      <c r="O1467" s="27">
        <f>IF($M1467="","",IF($F1467="Faltou",$M1467,0))</f>
        <v>0</v>
      </c>
      <c r="P1467" s="27">
        <f>IF($M1467="","",IF($F1467="Compareceu",MAX(0,$M1467-N($H1467)),0))</f>
        <v>0</v>
      </c>
      <c r="Q1467" s="19">
        <f>IF(AND($F1467="Compareceu",$E1467&lt;&gt;"",$A1467&lt;&gt;""),IF(IFERROR(INDEX(ProcRet,MATCH($E1467,ProcNome,0)),0)&gt;0,$A1467+INDEX(ProcRet,MATCH($E1467,ProcNome,0)),""),"")</f>
        <v>0</v>
      </c>
      <c r="R1467" s="26">
        <f>IF($Q1467="","",IF(COUNTIFS(AgPac,$D1467,AgData,"&gt;"&amp;$A1467,AgStatus,"&lt;&gt;Cancelado",AgStatus,"&lt;&gt;Remarcado")&gt;0,"Sim","Não"))</f>
        <v>0</v>
      </c>
      <c r="S1467" s="28">
        <f>IF($A1467="","",IF(AND($F1467="Agendado",$A1467-Hoje&gt;=0,$A1467-Hoje&lt;=DiasConf),"CONFIRMAR",IF(AND($A1467&lt;Hoje,OR($F1467="Agendado",$F1467="Confirmado")),"Atualizar status",IF(AND($F1467="Compareceu",$P1467&gt;0.005),"Cobrar",IF($F1467="Faltou","Falta: reagendar","")))))</f>
        <v>0</v>
      </c>
      <c r="T1467" s="29">
        <f>IF($A1467="","",DATE(YEAR($A1467),MONTH($A1467),1))</f>
        <v>0</v>
      </c>
      <c r="U1467" s="30">
        <f>IF($S1467="CONFIRMAR",MAX($U$4:$U1466)+1,"")</f>
        <v>0</v>
      </c>
      <c r="V1467" s="30">
        <f>IF(AND($R1467="Não",$Q1467&lt;&gt;"",$Q1467&lt;=Hoje+JanelaRet,$Q1467&gt;=Hoje-60),MAX($V$4:$V1466)+1,"")</f>
        <v>0</v>
      </c>
    </row>
    <row r="1468" spans="1:22">
      <c r="A1468" s="16"/>
      <c r="B1468" s="23"/>
      <c r="C1468" s="15"/>
      <c r="D1468" s="15"/>
      <c r="E1468" s="15"/>
      <c r="F1468" s="24"/>
      <c r="G1468" s="17"/>
      <c r="H1468" s="17"/>
      <c r="I1468" s="15"/>
      <c r="J1468" s="25">
        <f>IF($D1468="","",IFERROR(INDEX(PacNome,MATCH($D1468,PacCod,0)),"Paciente não cadastrado"))</f>
        <v>0</v>
      </c>
      <c r="K1468" s="26">
        <f>IF($D1468="","",IFERROR(INDEX(PacConv,MATCH($D1468,PacCod,0))&amp;"",""))</f>
        <v>0</v>
      </c>
      <c r="L1468" s="26">
        <f>IF($A1468="","",CHOOSE(WEEKDAY($A1468,2),"Seg","Ter","Qua","Qui","Sex","Sáb","Dom"))</f>
        <v>0</v>
      </c>
      <c r="M1468" s="27">
        <f>IF($E1468="","",IF($G1468&lt;&gt;"",$G1468,IFERROR(INDEX(ProcValor,MATCH($E1468,ProcNome,0)),0)))</f>
        <v>0</v>
      </c>
      <c r="N1468" s="27">
        <f>IF($M1468="","",IF($F1468="Compareceu",$M1468,0))</f>
        <v>0</v>
      </c>
      <c r="O1468" s="27">
        <f>IF($M1468="","",IF($F1468="Faltou",$M1468,0))</f>
        <v>0</v>
      </c>
      <c r="P1468" s="27">
        <f>IF($M1468="","",IF($F1468="Compareceu",MAX(0,$M1468-N($H1468)),0))</f>
        <v>0</v>
      </c>
      <c r="Q1468" s="19">
        <f>IF(AND($F1468="Compareceu",$E1468&lt;&gt;"",$A1468&lt;&gt;""),IF(IFERROR(INDEX(ProcRet,MATCH($E1468,ProcNome,0)),0)&gt;0,$A1468+INDEX(ProcRet,MATCH($E1468,ProcNome,0)),""),"")</f>
        <v>0</v>
      </c>
      <c r="R1468" s="26">
        <f>IF($Q1468="","",IF(COUNTIFS(AgPac,$D1468,AgData,"&gt;"&amp;$A1468,AgStatus,"&lt;&gt;Cancelado",AgStatus,"&lt;&gt;Remarcado")&gt;0,"Sim","Não"))</f>
        <v>0</v>
      </c>
      <c r="S1468" s="28">
        <f>IF($A1468="","",IF(AND($F1468="Agendado",$A1468-Hoje&gt;=0,$A1468-Hoje&lt;=DiasConf),"CONFIRMAR",IF(AND($A1468&lt;Hoje,OR($F1468="Agendado",$F1468="Confirmado")),"Atualizar status",IF(AND($F1468="Compareceu",$P1468&gt;0.005),"Cobrar",IF($F1468="Faltou","Falta: reagendar","")))))</f>
        <v>0</v>
      </c>
      <c r="T1468" s="29">
        <f>IF($A1468="","",DATE(YEAR($A1468),MONTH($A1468),1))</f>
        <v>0</v>
      </c>
      <c r="U1468" s="30">
        <f>IF($S1468="CONFIRMAR",MAX($U$4:$U1467)+1,"")</f>
        <v>0</v>
      </c>
      <c r="V1468" s="30">
        <f>IF(AND($R1468="Não",$Q1468&lt;&gt;"",$Q1468&lt;=Hoje+JanelaRet,$Q1468&gt;=Hoje-60),MAX($V$4:$V1467)+1,"")</f>
        <v>0</v>
      </c>
    </row>
    <row r="1469" spans="1:22">
      <c r="A1469" s="16"/>
      <c r="B1469" s="23"/>
      <c r="C1469" s="15"/>
      <c r="D1469" s="15"/>
      <c r="E1469" s="15"/>
      <c r="F1469" s="24"/>
      <c r="G1469" s="17"/>
      <c r="H1469" s="17"/>
      <c r="I1469" s="15"/>
      <c r="J1469" s="25">
        <f>IF($D1469="","",IFERROR(INDEX(PacNome,MATCH($D1469,PacCod,0)),"Paciente não cadastrado"))</f>
        <v>0</v>
      </c>
      <c r="K1469" s="26">
        <f>IF($D1469="","",IFERROR(INDEX(PacConv,MATCH($D1469,PacCod,0))&amp;"",""))</f>
        <v>0</v>
      </c>
      <c r="L1469" s="26">
        <f>IF($A1469="","",CHOOSE(WEEKDAY($A1469,2),"Seg","Ter","Qua","Qui","Sex","Sáb","Dom"))</f>
        <v>0</v>
      </c>
      <c r="M1469" s="27">
        <f>IF($E1469="","",IF($G1469&lt;&gt;"",$G1469,IFERROR(INDEX(ProcValor,MATCH($E1469,ProcNome,0)),0)))</f>
        <v>0</v>
      </c>
      <c r="N1469" s="27">
        <f>IF($M1469="","",IF($F1469="Compareceu",$M1469,0))</f>
        <v>0</v>
      </c>
      <c r="O1469" s="27">
        <f>IF($M1469="","",IF($F1469="Faltou",$M1469,0))</f>
        <v>0</v>
      </c>
      <c r="P1469" s="27">
        <f>IF($M1469="","",IF($F1469="Compareceu",MAX(0,$M1469-N($H1469)),0))</f>
        <v>0</v>
      </c>
      <c r="Q1469" s="19">
        <f>IF(AND($F1469="Compareceu",$E1469&lt;&gt;"",$A1469&lt;&gt;""),IF(IFERROR(INDEX(ProcRet,MATCH($E1469,ProcNome,0)),0)&gt;0,$A1469+INDEX(ProcRet,MATCH($E1469,ProcNome,0)),""),"")</f>
        <v>0</v>
      </c>
      <c r="R1469" s="26">
        <f>IF($Q1469="","",IF(COUNTIFS(AgPac,$D1469,AgData,"&gt;"&amp;$A1469,AgStatus,"&lt;&gt;Cancelado",AgStatus,"&lt;&gt;Remarcado")&gt;0,"Sim","Não"))</f>
        <v>0</v>
      </c>
      <c r="S1469" s="28">
        <f>IF($A1469="","",IF(AND($F1469="Agendado",$A1469-Hoje&gt;=0,$A1469-Hoje&lt;=DiasConf),"CONFIRMAR",IF(AND($A1469&lt;Hoje,OR($F1469="Agendado",$F1469="Confirmado")),"Atualizar status",IF(AND($F1469="Compareceu",$P1469&gt;0.005),"Cobrar",IF($F1469="Faltou","Falta: reagendar","")))))</f>
        <v>0</v>
      </c>
      <c r="T1469" s="29">
        <f>IF($A1469="","",DATE(YEAR($A1469),MONTH($A1469),1))</f>
        <v>0</v>
      </c>
      <c r="U1469" s="30">
        <f>IF($S1469="CONFIRMAR",MAX($U$4:$U1468)+1,"")</f>
        <v>0</v>
      </c>
      <c r="V1469" s="30">
        <f>IF(AND($R1469="Não",$Q1469&lt;&gt;"",$Q1469&lt;=Hoje+JanelaRet,$Q1469&gt;=Hoje-60),MAX($V$4:$V1468)+1,"")</f>
        <v>0</v>
      </c>
    </row>
    <row r="1470" spans="1:22">
      <c r="A1470" s="16"/>
      <c r="B1470" s="23"/>
      <c r="C1470" s="15"/>
      <c r="D1470" s="15"/>
      <c r="E1470" s="15"/>
      <c r="F1470" s="24"/>
      <c r="G1470" s="17"/>
      <c r="H1470" s="17"/>
      <c r="I1470" s="15"/>
      <c r="J1470" s="25">
        <f>IF($D1470="","",IFERROR(INDEX(PacNome,MATCH($D1470,PacCod,0)),"Paciente não cadastrado"))</f>
        <v>0</v>
      </c>
      <c r="K1470" s="26">
        <f>IF($D1470="","",IFERROR(INDEX(PacConv,MATCH($D1470,PacCod,0))&amp;"",""))</f>
        <v>0</v>
      </c>
      <c r="L1470" s="26">
        <f>IF($A1470="","",CHOOSE(WEEKDAY($A1470,2),"Seg","Ter","Qua","Qui","Sex","Sáb","Dom"))</f>
        <v>0</v>
      </c>
      <c r="M1470" s="27">
        <f>IF($E1470="","",IF($G1470&lt;&gt;"",$G1470,IFERROR(INDEX(ProcValor,MATCH($E1470,ProcNome,0)),0)))</f>
        <v>0</v>
      </c>
      <c r="N1470" s="27">
        <f>IF($M1470="","",IF($F1470="Compareceu",$M1470,0))</f>
        <v>0</v>
      </c>
      <c r="O1470" s="27">
        <f>IF($M1470="","",IF($F1470="Faltou",$M1470,0))</f>
        <v>0</v>
      </c>
      <c r="P1470" s="27">
        <f>IF($M1470="","",IF($F1470="Compareceu",MAX(0,$M1470-N($H1470)),0))</f>
        <v>0</v>
      </c>
      <c r="Q1470" s="19">
        <f>IF(AND($F1470="Compareceu",$E1470&lt;&gt;"",$A1470&lt;&gt;""),IF(IFERROR(INDEX(ProcRet,MATCH($E1470,ProcNome,0)),0)&gt;0,$A1470+INDEX(ProcRet,MATCH($E1470,ProcNome,0)),""),"")</f>
        <v>0</v>
      </c>
      <c r="R1470" s="26">
        <f>IF($Q1470="","",IF(COUNTIFS(AgPac,$D1470,AgData,"&gt;"&amp;$A1470,AgStatus,"&lt;&gt;Cancelado",AgStatus,"&lt;&gt;Remarcado")&gt;0,"Sim","Não"))</f>
        <v>0</v>
      </c>
      <c r="S1470" s="28">
        <f>IF($A1470="","",IF(AND($F1470="Agendado",$A1470-Hoje&gt;=0,$A1470-Hoje&lt;=DiasConf),"CONFIRMAR",IF(AND($A1470&lt;Hoje,OR($F1470="Agendado",$F1470="Confirmado")),"Atualizar status",IF(AND($F1470="Compareceu",$P1470&gt;0.005),"Cobrar",IF($F1470="Faltou","Falta: reagendar","")))))</f>
        <v>0</v>
      </c>
      <c r="T1470" s="29">
        <f>IF($A1470="","",DATE(YEAR($A1470),MONTH($A1470),1))</f>
        <v>0</v>
      </c>
      <c r="U1470" s="30">
        <f>IF($S1470="CONFIRMAR",MAX($U$4:$U1469)+1,"")</f>
        <v>0</v>
      </c>
      <c r="V1470" s="30">
        <f>IF(AND($R1470="Não",$Q1470&lt;&gt;"",$Q1470&lt;=Hoje+JanelaRet,$Q1470&gt;=Hoje-60),MAX($V$4:$V1469)+1,"")</f>
        <v>0</v>
      </c>
    </row>
    <row r="1471" spans="1:22">
      <c r="A1471" s="16"/>
      <c r="B1471" s="23"/>
      <c r="C1471" s="15"/>
      <c r="D1471" s="15"/>
      <c r="E1471" s="15"/>
      <c r="F1471" s="24"/>
      <c r="G1471" s="17"/>
      <c r="H1471" s="17"/>
      <c r="I1471" s="15"/>
      <c r="J1471" s="25">
        <f>IF($D1471="","",IFERROR(INDEX(PacNome,MATCH($D1471,PacCod,0)),"Paciente não cadastrado"))</f>
        <v>0</v>
      </c>
      <c r="K1471" s="26">
        <f>IF($D1471="","",IFERROR(INDEX(PacConv,MATCH($D1471,PacCod,0))&amp;"",""))</f>
        <v>0</v>
      </c>
      <c r="L1471" s="26">
        <f>IF($A1471="","",CHOOSE(WEEKDAY($A1471,2),"Seg","Ter","Qua","Qui","Sex","Sáb","Dom"))</f>
        <v>0</v>
      </c>
      <c r="M1471" s="27">
        <f>IF($E1471="","",IF($G1471&lt;&gt;"",$G1471,IFERROR(INDEX(ProcValor,MATCH($E1471,ProcNome,0)),0)))</f>
        <v>0</v>
      </c>
      <c r="N1471" s="27">
        <f>IF($M1471="","",IF($F1471="Compareceu",$M1471,0))</f>
        <v>0</v>
      </c>
      <c r="O1471" s="27">
        <f>IF($M1471="","",IF($F1471="Faltou",$M1471,0))</f>
        <v>0</v>
      </c>
      <c r="P1471" s="27">
        <f>IF($M1471="","",IF($F1471="Compareceu",MAX(0,$M1471-N($H1471)),0))</f>
        <v>0</v>
      </c>
      <c r="Q1471" s="19">
        <f>IF(AND($F1471="Compareceu",$E1471&lt;&gt;"",$A1471&lt;&gt;""),IF(IFERROR(INDEX(ProcRet,MATCH($E1471,ProcNome,0)),0)&gt;0,$A1471+INDEX(ProcRet,MATCH($E1471,ProcNome,0)),""),"")</f>
        <v>0</v>
      </c>
      <c r="R1471" s="26">
        <f>IF($Q1471="","",IF(COUNTIFS(AgPac,$D1471,AgData,"&gt;"&amp;$A1471,AgStatus,"&lt;&gt;Cancelado",AgStatus,"&lt;&gt;Remarcado")&gt;0,"Sim","Não"))</f>
        <v>0</v>
      </c>
      <c r="S1471" s="28">
        <f>IF($A1471="","",IF(AND($F1471="Agendado",$A1471-Hoje&gt;=0,$A1471-Hoje&lt;=DiasConf),"CONFIRMAR",IF(AND($A1471&lt;Hoje,OR($F1471="Agendado",$F1471="Confirmado")),"Atualizar status",IF(AND($F1471="Compareceu",$P1471&gt;0.005),"Cobrar",IF($F1471="Faltou","Falta: reagendar","")))))</f>
        <v>0</v>
      </c>
      <c r="T1471" s="29">
        <f>IF($A1471="","",DATE(YEAR($A1471),MONTH($A1471),1))</f>
        <v>0</v>
      </c>
      <c r="U1471" s="30">
        <f>IF($S1471="CONFIRMAR",MAX($U$4:$U1470)+1,"")</f>
        <v>0</v>
      </c>
      <c r="V1471" s="30">
        <f>IF(AND($R1471="Não",$Q1471&lt;&gt;"",$Q1471&lt;=Hoje+JanelaRet,$Q1471&gt;=Hoje-60),MAX($V$4:$V1470)+1,"")</f>
        <v>0</v>
      </c>
    </row>
    <row r="1472" spans="1:22">
      <c r="A1472" s="16"/>
      <c r="B1472" s="23"/>
      <c r="C1472" s="15"/>
      <c r="D1472" s="15"/>
      <c r="E1472" s="15"/>
      <c r="F1472" s="24"/>
      <c r="G1472" s="17"/>
      <c r="H1472" s="17"/>
      <c r="I1472" s="15"/>
      <c r="J1472" s="25">
        <f>IF($D1472="","",IFERROR(INDEX(PacNome,MATCH($D1472,PacCod,0)),"Paciente não cadastrado"))</f>
        <v>0</v>
      </c>
      <c r="K1472" s="26">
        <f>IF($D1472="","",IFERROR(INDEX(PacConv,MATCH($D1472,PacCod,0))&amp;"",""))</f>
        <v>0</v>
      </c>
      <c r="L1472" s="26">
        <f>IF($A1472="","",CHOOSE(WEEKDAY($A1472,2),"Seg","Ter","Qua","Qui","Sex","Sáb","Dom"))</f>
        <v>0</v>
      </c>
      <c r="M1472" s="27">
        <f>IF($E1472="","",IF($G1472&lt;&gt;"",$G1472,IFERROR(INDEX(ProcValor,MATCH($E1472,ProcNome,0)),0)))</f>
        <v>0</v>
      </c>
      <c r="N1472" s="27">
        <f>IF($M1472="","",IF($F1472="Compareceu",$M1472,0))</f>
        <v>0</v>
      </c>
      <c r="O1472" s="27">
        <f>IF($M1472="","",IF($F1472="Faltou",$M1472,0))</f>
        <v>0</v>
      </c>
      <c r="P1472" s="27">
        <f>IF($M1472="","",IF($F1472="Compareceu",MAX(0,$M1472-N($H1472)),0))</f>
        <v>0</v>
      </c>
      <c r="Q1472" s="19">
        <f>IF(AND($F1472="Compareceu",$E1472&lt;&gt;"",$A1472&lt;&gt;""),IF(IFERROR(INDEX(ProcRet,MATCH($E1472,ProcNome,0)),0)&gt;0,$A1472+INDEX(ProcRet,MATCH($E1472,ProcNome,0)),""),"")</f>
        <v>0</v>
      </c>
      <c r="R1472" s="26">
        <f>IF($Q1472="","",IF(COUNTIFS(AgPac,$D1472,AgData,"&gt;"&amp;$A1472,AgStatus,"&lt;&gt;Cancelado",AgStatus,"&lt;&gt;Remarcado")&gt;0,"Sim","Não"))</f>
        <v>0</v>
      </c>
      <c r="S1472" s="28">
        <f>IF($A1472="","",IF(AND($F1472="Agendado",$A1472-Hoje&gt;=0,$A1472-Hoje&lt;=DiasConf),"CONFIRMAR",IF(AND($A1472&lt;Hoje,OR($F1472="Agendado",$F1472="Confirmado")),"Atualizar status",IF(AND($F1472="Compareceu",$P1472&gt;0.005),"Cobrar",IF($F1472="Faltou","Falta: reagendar","")))))</f>
        <v>0</v>
      </c>
      <c r="T1472" s="29">
        <f>IF($A1472="","",DATE(YEAR($A1472),MONTH($A1472),1))</f>
        <v>0</v>
      </c>
      <c r="U1472" s="30">
        <f>IF($S1472="CONFIRMAR",MAX($U$4:$U1471)+1,"")</f>
        <v>0</v>
      </c>
      <c r="V1472" s="30">
        <f>IF(AND($R1472="Não",$Q1472&lt;&gt;"",$Q1472&lt;=Hoje+JanelaRet,$Q1472&gt;=Hoje-60),MAX($V$4:$V1471)+1,"")</f>
        <v>0</v>
      </c>
    </row>
    <row r="1473" spans="1:22">
      <c r="A1473" s="16"/>
      <c r="B1473" s="23"/>
      <c r="C1473" s="15"/>
      <c r="D1473" s="15"/>
      <c r="E1473" s="15"/>
      <c r="F1473" s="24"/>
      <c r="G1473" s="17"/>
      <c r="H1473" s="17"/>
      <c r="I1473" s="15"/>
      <c r="J1473" s="25">
        <f>IF($D1473="","",IFERROR(INDEX(PacNome,MATCH($D1473,PacCod,0)),"Paciente não cadastrado"))</f>
        <v>0</v>
      </c>
      <c r="K1473" s="26">
        <f>IF($D1473="","",IFERROR(INDEX(PacConv,MATCH($D1473,PacCod,0))&amp;"",""))</f>
        <v>0</v>
      </c>
      <c r="L1473" s="26">
        <f>IF($A1473="","",CHOOSE(WEEKDAY($A1473,2),"Seg","Ter","Qua","Qui","Sex","Sáb","Dom"))</f>
        <v>0</v>
      </c>
      <c r="M1473" s="27">
        <f>IF($E1473="","",IF($G1473&lt;&gt;"",$G1473,IFERROR(INDEX(ProcValor,MATCH($E1473,ProcNome,0)),0)))</f>
        <v>0</v>
      </c>
      <c r="N1473" s="27">
        <f>IF($M1473="","",IF($F1473="Compareceu",$M1473,0))</f>
        <v>0</v>
      </c>
      <c r="O1473" s="27">
        <f>IF($M1473="","",IF($F1473="Faltou",$M1473,0))</f>
        <v>0</v>
      </c>
      <c r="P1473" s="27">
        <f>IF($M1473="","",IF($F1473="Compareceu",MAX(0,$M1473-N($H1473)),0))</f>
        <v>0</v>
      </c>
      <c r="Q1473" s="19">
        <f>IF(AND($F1473="Compareceu",$E1473&lt;&gt;"",$A1473&lt;&gt;""),IF(IFERROR(INDEX(ProcRet,MATCH($E1473,ProcNome,0)),0)&gt;0,$A1473+INDEX(ProcRet,MATCH($E1473,ProcNome,0)),""),"")</f>
        <v>0</v>
      </c>
      <c r="R1473" s="26">
        <f>IF($Q1473="","",IF(COUNTIFS(AgPac,$D1473,AgData,"&gt;"&amp;$A1473,AgStatus,"&lt;&gt;Cancelado",AgStatus,"&lt;&gt;Remarcado")&gt;0,"Sim","Não"))</f>
        <v>0</v>
      </c>
      <c r="S1473" s="28">
        <f>IF($A1473="","",IF(AND($F1473="Agendado",$A1473-Hoje&gt;=0,$A1473-Hoje&lt;=DiasConf),"CONFIRMAR",IF(AND($A1473&lt;Hoje,OR($F1473="Agendado",$F1473="Confirmado")),"Atualizar status",IF(AND($F1473="Compareceu",$P1473&gt;0.005),"Cobrar",IF($F1473="Faltou","Falta: reagendar","")))))</f>
        <v>0</v>
      </c>
      <c r="T1473" s="29">
        <f>IF($A1473="","",DATE(YEAR($A1473),MONTH($A1473),1))</f>
        <v>0</v>
      </c>
      <c r="U1473" s="30">
        <f>IF($S1473="CONFIRMAR",MAX($U$4:$U1472)+1,"")</f>
        <v>0</v>
      </c>
      <c r="V1473" s="30">
        <f>IF(AND($R1473="Não",$Q1473&lt;&gt;"",$Q1473&lt;=Hoje+JanelaRet,$Q1473&gt;=Hoje-60),MAX($V$4:$V1472)+1,"")</f>
        <v>0</v>
      </c>
    </row>
    <row r="1474" spans="1:22">
      <c r="A1474" s="16"/>
      <c r="B1474" s="23"/>
      <c r="C1474" s="15"/>
      <c r="D1474" s="15"/>
      <c r="E1474" s="15"/>
      <c r="F1474" s="24"/>
      <c r="G1474" s="17"/>
      <c r="H1474" s="17"/>
      <c r="I1474" s="15"/>
      <c r="J1474" s="25">
        <f>IF($D1474="","",IFERROR(INDEX(PacNome,MATCH($D1474,PacCod,0)),"Paciente não cadastrado"))</f>
        <v>0</v>
      </c>
      <c r="K1474" s="26">
        <f>IF($D1474="","",IFERROR(INDEX(PacConv,MATCH($D1474,PacCod,0))&amp;"",""))</f>
        <v>0</v>
      </c>
      <c r="L1474" s="26">
        <f>IF($A1474="","",CHOOSE(WEEKDAY($A1474,2),"Seg","Ter","Qua","Qui","Sex","Sáb","Dom"))</f>
        <v>0</v>
      </c>
      <c r="M1474" s="27">
        <f>IF($E1474="","",IF($G1474&lt;&gt;"",$G1474,IFERROR(INDEX(ProcValor,MATCH($E1474,ProcNome,0)),0)))</f>
        <v>0</v>
      </c>
      <c r="N1474" s="27">
        <f>IF($M1474="","",IF($F1474="Compareceu",$M1474,0))</f>
        <v>0</v>
      </c>
      <c r="O1474" s="27">
        <f>IF($M1474="","",IF($F1474="Faltou",$M1474,0))</f>
        <v>0</v>
      </c>
      <c r="P1474" s="27">
        <f>IF($M1474="","",IF($F1474="Compareceu",MAX(0,$M1474-N($H1474)),0))</f>
        <v>0</v>
      </c>
      <c r="Q1474" s="19">
        <f>IF(AND($F1474="Compareceu",$E1474&lt;&gt;"",$A1474&lt;&gt;""),IF(IFERROR(INDEX(ProcRet,MATCH($E1474,ProcNome,0)),0)&gt;0,$A1474+INDEX(ProcRet,MATCH($E1474,ProcNome,0)),""),"")</f>
        <v>0</v>
      </c>
      <c r="R1474" s="26">
        <f>IF($Q1474="","",IF(COUNTIFS(AgPac,$D1474,AgData,"&gt;"&amp;$A1474,AgStatus,"&lt;&gt;Cancelado",AgStatus,"&lt;&gt;Remarcado")&gt;0,"Sim","Não"))</f>
        <v>0</v>
      </c>
      <c r="S1474" s="28">
        <f>IF($A1474="","",IF(AND($F1474="Agendado",$A1474-Hoje&gt;=0,$A1474-Hoje&lt;=DiasConf),"CONFIRMAR",IF(AND($A1474&lt;Hoje,OR($F1474="Agendado",$F1474="Confirmado")),"Atualizar status",IF(AND($F1474="Compareceu",$P1474&gt;0.005),"Cobrar",IF($F1474="Faltou","Falta: reagendar","")))))</f>
        <v>0</v>
      </c>
      <c r="T1474" s="29">
        <f>IF($A1474="","",DATE(YEAR($A1474),MONTH($A1474),1))</f>
        <v>0</v>
      </c>
      <c r="U1474" s="30">
        <f>IF($S1474="CONFIRMAR",MAX($U$4:$U1473)+1,"")</f>
        <v>0</v>
      </c>
      <c r="V1474" s="30">
        <f>IF(AND($R1474="Não",$Q1474&lt;&gt;"",$Q1474&lt;=Hoje+JanelaRet,$Q1474&gt;=Hoje-60),MAX($V$4:$V1473)+1,"")</f>
        <v>0</v>
      </c>
    </row>
    <row r="1475" spans="1:22">
      <c r="A1475" s="16"/>
      <c r="B1475" s="23"/>
      <c r="C1475" s="15"/>
      <c r="D1475" s="15"/>
      <c r="E1475" s="15"/>
      <c r="F1475" s="24"/>
      <c r="G1475" s="17"/>
      <c r="H1475" s="17"/>
      <c r="I1475" s="15"/>
      <c r="J1475" s="25">
        <f>IF($D1475="","",IFERROR(INDEX(PacNome,MATCH($D1475,PacCod,0)),"Paciente não cadastrado"))</f>
        <v>0</v>
      </c>
      <c r="K1475" s="26">
        <f>IF($D1475="","",IFERROR(INDEX(PacConv,MATCH($D1475,PacCod,0))&amp;"",""))</f>
        <v>0</v>
      </c>
      <c r="L1475" s="26">
        <f>IF($A1475="","",CHOOSE(WEEKDAY($A1475,2),"Seg","Ter","Qua","Qui","Sex","Sáb","Dom"))</f>
        <v>0</v>
      </c>
      <c r="M1475" s="27">
        <f>IF($E1475="","",IF($G1475&lt;&gt;"",$G1475,IFERROR(INDEX(ProcValor,MATCH($E1475,ProcNome,0)),0)))</f>
        <v>0</v>
      </c>
      <c r="N1475" s="27">
        <f>IF($M1475="","",IF($F1475="Compareceu",$M1475,0))</f>
        <v>0</v>
      </c>
      <c r="O1475" s="27">
        <f>IF($M1475="","",IF($F1475="Faltou",$M1475,0))</f>
        <v>0</v>
      </c>
      <c r="P1475" s="27">
        <f>IF($M1475="","",IF($F1475="Compareceu",MAX(0,$M1475-N($H1475)),0))</f>
        <v>0</v>
      </c>
      <c r="Q1475" s="19">
        <f>IF(AND($F1475="Compareceu",$E1475&lt;&gt;"",$A1475&lt;&gt;""),IF(IFERROR(INDEX(ProcRet,MATCH($E1475,ProcNome,0)),0)&gt;0,$A1475+INDEX(ProcRet,MATCH($E1475,ProcNome,0)),""),"")</f>
        <v>0</v>
      </c>
      <c r="R1475" s="26">
        <f>IF($Q1475="","",IF(COUNTIFS(AgPac,$D1475,AgData,"&gt;"&amp;$A1475,AgStatus,"&lt;&gt;Cancelado",AgStatus,"&lt;&gt;Remarcado")&gt;0,"Sim","Não"))</f>
        <v>0</v>
      </c>
      <c r="S1475" s="28">
        <f>IF($A1475="","",IF(AND($F1475="Agendado",$A1475-Hoje&gt;=0,$A1475-Hoje&lt;=DiasConf),"CONFIRMAR",IF(AND($A1475&lt;Hoje,OR($F1475="Agendado",$F1475="Confirmado")),"Atualizar status",IF(AND($F1475="Compareceu",$P1475&gt;0.005),"Cobrar",IF($F1475="Faltou","Falta: reagendar","")))))</f>
        <v>0</v>
      </c>
      <c r="T1475" s="29">
        <f>IF($A1475="","",DATE(YEAR($A1475),MONTH($A1475),1))</f>
        <v>0</v>
      </c>
      <c r="U1475" s="30">
        <f>IF($S1475="CONFIRMAR",MAX($U$4:$U1474)+1,"")</f>
        <v>0</v>
      </c>
      <c r="V1475" s="30">
        <f>IF(AND($R1475="Não",$Q1475&lt;&gt;"",$Q1475&lt;=Hoje+JanelaRet,$Q1475&gt;=Hoje-60),MAX($V$4:$V1474)+1,"")</f>
        <v>0</v>
      </c>
    </row>
    <row r="1476" spans="1:22">
      <c r="A1476" s="16"/>
      <c r="B1476" s="23"/>
      <c r="C1476" s="15"/>
      <c r="D1476" s="15"/>
      <c r="E1476" s="15"/>
      <c r="F1476" s="24"/>
      <c r="G1476" s="17"/>
      <c r="H1476" s="17"/>
      <c r="I1476" s="15"/>
      <c r="J1476" s="25">
        <f>IF($D1476="","",IFERROR(INDEX(PacNome,MATCH($D1476,PacCod,0)),"Paciente não cadastrado"))</f>
        <v>0</v>
      </c>
      <c r="K1476" s="26">
        <f>IF($D1476="","",IFERROR(INDEX(PacConv,MATCH($D1476,PacCod,0))&amp;"",""))</f>
        <v>0</v>
      </c>
      <c r="L1476" s="26">
        <f>IF($A1476="","",CHOOSE(WEEKDAY($A1476,2),"Seg","Ter","Qua","Qui","Sex","Sáb","Dom"))</f>
        <v>0</v>
      </c>
      <c r="M1476" s="27">
        <f>IF($E1476="","",IF($G1476&lt;&gt;"",$G1476,IFERROR(INDEX(ProcValor,MATCH($E1476,ProcNome,0)),0)))</f>
        <v>0</v>
      </c>
      <c r="N1476" s="27">
        <f>IF($M1476="","",IF($F1476="Compareceu",$M1476,0))</f>
        <v>0</v>
      </c>
      <c r="O1476" s="27">
        <f>IF($M1476="","",IF($F1476="Faltou",$M1476,0))</f>
        <v>0</v>
      </c>
      <c r="P1476" s="27">
        <f>IF($M1476="","",IF($F1476="Compareceu",MAX(0,$M1476-N($H1476)),0))</f>
        <v>0</v>
      </c>
      <c r="Q1476" s="19">
        <f>IF(AND($F1476="Compareceu",$E1476&lt;&gt;"",$A1476&lt;&gt;""),IF(IFERROR(INDEX(ProcRet,MATCH($E1476,ProcNome,0)),0)&gt;0,$A1476+INDEX(ProcRet,MATCH($E1476,ProcNome,0)),""),"")</f>
        <v>0</v>
      </c>
      <c r="R1476" s="26">
        <f>IF($Q1476="","",IF(COUNTIFS(AgPac,$D1476,AgData,"&gt;"&amp;$A1476,AgStatus,"&lt;&gt;Cancelado",AgStatus,"&lt;&gt;Remarcado")&gt;0,"Sim","Não"))</f>
        <v>0</v>
      </c>
      <c r="S1476" s="28">
        <f>IF($A1476="","",IF(AND($F1476="Agendado",$A1476-Hoje&gt;=0,$A1476-Hoje&lt;=DiasConf),"CONFIRMAR",IF(AND($A1476&lt;Hoje,OR($F1476="Agendado",$F1476="Confirmado")),"Atualizar status",IF(AND($F1476="Compareceu",$P1476&gt;0.005),"Cobrar",IF($F1476="Faltou","Falta: reagendar","")))))</f>
        <v>0</v>
      </c>
      <c r="T1476" s="29">
        <f>IF($A1476="","",DATE(YEAR($A1476),MONTH($A1476),1))</f>
        <v>0</v>
      </c>
      <c r="U1476" s="30">
        <f>IF($S1476="CONFIRMAR",MAX($U$4:$U1475)+1,"")</f>
        <v>0</v>
      </c>
      <c r="V1476" s="30">
        <f>IF(AND($R1476="Não",$Q1476&lt;&gt;"",$Q1476&lt;=Hoje+JanelaRet,$Q1476&gt;=Hoje-60),MAX($V$4:$V1475)+1,"")</f>
        <v>0</v>
      </c>
    </row>
    <row r="1477" spans="1:22">
      <c r="A1477" s="16"/>
      <c r="B1477" s="23"/>
      <c r="C1477" s="15"/>
      <c r="D1477" s="15"/>
      <c r="E1477" s="15"/>
      <c r="F1477" s="24"/>
      <c r="G1477" s="17"/>
      <c r="H1477" s="17"/>
      <c r="I1477" s="15"/>
      <c r="J1477" s="25">
        <f>IF($D1477="","",IFERROR(INDEX(PacNome,MATCH($D1477,PacCod,0)),"Paciente não cadastrado"))</f>
        <v>0</v>
      </c>
      <c r="K1477" s="26">
        <f>IF($D1477="","",IFERROR(INDEX(PacConv,MATCH($D1477,PacCod,0))&amp;"",""))</f>
        <v>0</v>
      </c>
      <c r="L1477" s="26">
        <f>IF($A1477="","",CHOOSE(WEEKDAY($A1477,2),"Seg","Ter","Qua","Qui","Sex","Sáb","Dom"))</f>
        <v>0</v>
      </c>
      <c r="M1477" s="27">
        <f>IF($E1477="","",IF($G1477&lt;&gt;"",$G1477,IFERROR(INDEX(ProcValor,MATCH($E1477,ProcNome,0)),0)))</f>
        <v>0</v>
      </c>
      <c r="N1477" s="27">
        <f>IF($M1477="","",IF($F1477="Compareceu",$M1477,0))</f>
        <v>0</v>
      </c>
      <c r="O1477" s="27">
        <f>IF($M1477="","",IF($F1477="Faltou",$M1477,0))</f>
        <v>0</v>
      </c>
      <c r="P1477" s="27">
        <f>IF($M1477="","",IF($F1477="Compareceu",MAX(0,$M1477-N($H1477)),0))</f>
        <v>0</v>
      </c>
      <c r="Q1477" s="19">
        <f>IF(AND($F1477="Compareceu",$E1477&lt;&gt;"",$A1477&lt;&gt;""),IF(IFERROR(INDEX(ProcRet,MATCH($E1477,ProcNome,0)),0)&gt;0,$A1477+INDEX(ProcRet,MATCH($E1477,ProcNome,0)),""),"")</f>
        <v>0</v>
      </c>
      <c r="R1477" s="26">
        <f>IF($Q1477="","",IF(COUNTIFS(AgPac,$D1477,AgData,"&gt;"&amp;$A1477,AgStatus,"&lt;&gt;Cancelado",AgStatus,"&lt;&gt;Remarcado")&gt;0,"Sim","Não"))</f>
        <v>0</v>
      </c>
      <c r="S1477" s="28">
        <f>IF($A1477="","",IF(AND($F1477="Agendado",$A1477-Hoje&gt;=0,$A1477-Hoje&lt;=DiasConf),"CONFIRMAR",IF(AND($A1477&lt;Hoje,OR($F1477="Agendado",$F1477="Confirmado")),"Atualizar status",IF(AND($F1477="Compareceu",$P1477&gt;0.005),"Cobrar",IF($F1477="Faltou","Falta: reagendar","")))))</f>
        <v>0</v>
      </c>
      <c r="T1477" s="29">
        <f>IF($A1477="","",DATE(YEAR($A1477),MONTH($A1477),1))</f>
        <v>0</v>
      </c>
      <c r="U1477" s="30">
        <f>IF($S1477="CONFIRMAR",MAX($U$4:$U1476)+1,"")</f>
        <v>0</v>
      </c>
      <c r="V1477" s="30">
        <f>IF(AND($R1477="Não",$Q1477&lt;&gt;"",$Q1477&lt;=Hoje+JanelaRet,$Q1477&gt;=Hoje-60),MAX($V$4:$V1476)+1,"")</f>
        <v>0</v>
      </c>
    </row>
    <row r="1478" spans="1:22">
      <c r="A1478" s="16"/>
      <c r="B1478" s="23"/>
      <c r="C1478" s="15"/>
      <c r="D1478" s="15"/>
      <c r="E1478" s="15"/>
      <c r="F1478" s="24"/>
      <c r="G1478" s="17"/>
      <c r="H1478" s="17"/>
      <c r="I1478" s="15"/>
      <c r="J1478" s="25">
        <f>IF($D1478="","",IFERROR(INDEX(PacNome,MATCH($D1478,PacCod,0)),"Paciente não cadastrado"))</f>
        <v>0</v>
      </c>
      <c r="K1478" s="26">
        <f>IF($D1478="","",IFERROR(INDEX(PacConv,MATCH($D1478,PacCod,0))&amp;"",""))</f>
        <v>0</v>
      </c>
      <c r="L1478" s="26">
        <f>IF($A1478="","",CHOOSE(WEEKDAY($A1478,2),"Seg","Ter","Qua","Qui","Sex","Sáb","Dom"))</f>
        <v>0</v>
      </c>
      <c r="M1478" s="27">
        <f>IF($E1478="","",IF($G1478&lt;&gt;"",$G1478,IFERROR(INDEX(ProcValor,MATCH($E1478,ProcNome,0)),0)))</f>
        <v>0</v>
      </c>
      <c r="N1478" s="27">
        <f>IF($M1478="","",IF($F1478="Compareceu",$M1478,0))</f>
        <v>0</v>
      </c>
      <c r="O1478" s="27">
        <f>IF($M1478="","",IF($F1478="Faltou",$M1478,0))</f>
        <v>0</v>
      </c>
      <c r="P1478" s="27">
        <f>IF($M1478="","",IF($F1478="Compareceu",MAX(0,$M1478-N($H1478)),0))</f>
        <v>0</v>
      </c>
      <c r="Q1478" s="19">
        <f>IF(AND($F1478="Compareceu",$E1478&lt;&gt;"",$A1478&lt;&gt;""),IF(IFERROR(INDEX(ProcRet,MATCH($E1478,ProcNome,0)),0)&gt;0,$A1478+INDEX(ProcRet,MATCH($E1478,ProcNome,0)),""),"")</f>
        <v>0</v>
      </c>
      <c r="R1478" s="26">
        <f>IF($Q1478="","",IF(COUNTIFS(AgPac,$D1478,AgData,"&gt;"&amp;$A1478,AgStatus,"&lt;&gt;Cancelado",AgStatus,"&lt;&gt;Remarcado")&gt;0,"Sim","Não"))</f>
        <v>0</v>
      </c>
      <c r="S1478" s="28">
        <f>IF($A1478="","",IF(AND($F1478="Agendado",$A1478-Hoje&gt;=0,$A1478-Hoje&lt;=DiasConf),"CONFIRMAR",IF(AND($A1478&lt;Hoje,OR($F1478="Agendado",$F1478="Confirmado")),"Atualizar status",IF(AND($F1478="Compareceu",$P1478&gt;0.005),"Cobrar",IF($F1478="Faltou","Falta: reagendar","")))))</f>
        <v>0</v>
      </c>
      <c r="T1478" s="29">
        <f>IF($A1478="","",DATE(YEAR($A1478),MONTH($A1478),1))</f>
        <v>0</v>
      </c>
      <c r="U1478" s="30">
        <f>IF($S1478="CONFIRMAR",MAX($U$4:$U1477)+1,"")</f>
        <v>0</v>
      </c>
      <c r="V1478" s="30">
        <f>IF(AND($R1478="Não",$Q1478&lt;&gt;"",$Q1478&lt;=Hoje+JanelaRet,$Q1478&gt;=Hoje-60),MAX($V$4:$V1477)+1,"")</f>
        <v>0</v>
      </c>
    </row>
    <row r="1479" spans="1:22">
      <c r="A1479" s="16"/>
      <c r="B1479" s="23"/>
      <c r="C1479" s="15"/>
      <c r="D1479" s="15"/>
      <c r="E1479" s="15"/>
      <c r="F1479" s="24"/>
      <c r="G1479" s="17"/>
      <c r="H1479" s="17"/>
      <c r="I1479" s="15"/>
      <c r="J1479" s="25">
        <f>IF($D1479="","",IFERROR(INDEX(PacNome,MATCH($D1479,PacCod,0)),"Paciente não cadastrado"))</f>
        <v>0</v>
      </c>
      <c r="K1479" s="26">
        <f>IF($D1479="","",IFERROR(INDEX(PacConv,MATCH($D1479,PacCod,0))&amp;"",""))</f>
        <v>0</v>
      </c>
      <c r="L1479" s="26">
        <f>IF($A1479="","",CHOOSE(WEEKDAY($A1479,2),"Seg","Ter","Qua","Qui","Sex","Sáb","Dom"))</f>
        <v>0</v>
      </c>
      <c r="M1479" s="27">
        <f>IF($E1479="","",IF($G1479&lt;&gt;"",$G1479,IFERROR(INDEX(ProcValor,MATCH($E1479,ProcNome,0)),0)))</f>
        <v>0</v>
      </c>
      <c r="N1479" s="27">
        <f>IF($M1479="","",IF($F1479="Compareceu",$M1479,0))</f>
        <v>0</v>
      </c>
      <c r="O1479" s="27">
        <f>IF($M1479="","",IF($F1479="Faltou",$M1479,0))</f>
        <v>0</v>
      </c>
      <c r="P1479" s="27">
        <f>IF($M1479="","",IF($F1479="Compareceu",MAX(0,$M1479-N($H1479)),0))</f>
        <v>0</v>
      </c>
      <c r="Q1479" s="19">
        <f>IF(AND($F1479="Compareceu",$E1479&lt;&gt;"",$A1479&lt;&gt;""),IF(IFERROR(INDEX(ProcRet,MATCH($E1479,ProcNome,0)),0)&gt;0,$A1479+INDEX(ProcRet,MATCH($E1479,ProcNome,0)),""),"")</f>
        <v>0</v>
      </c>
      <c r="R1479" s="26">
        <f>IF($Q1479="","",IF(COUNTIFS(AgPac,$D1479,AgData,"&gt;"&amp;$A1479,AgStatus,"&lt;&gt;Cancelado",AgStatus,"&lt;&gt;Remarcado")&gt;0,"Sim","Não"))</f>
        <v>0</v>
      </c>
      <c r="S1479" s="28">
        <f>IF($A1479="","",IF(AND($F1479="Agendado",$A1479-Hoje&gt;=0,$A1479-Hoje&lt;=DiasConf),"CONFIRMAR",IF(AND($A1479&lt;Hoje,OR($F1479="Agendado",$F1479="Confirmado")),"Atualizar status",IF(AND($F1479="Compareceu",$P1479&gt;0.005),"Cobrar",IF($F1479="Faltou","Falta: reagendar","")))))</f>
        <v>0</v>
      </c>
      <c r="T1479" s="29">
        <f>IF($A1479="","",DATE(YEAR($A1479),MONTH($A1479),1))</f>
        <v>0</v>
      </c>
      <c r="U1479" s="30">
        <f>IF($S1479="CONFIRMAR",MAX($U$4:$U1478)+1,"")</f>
        <v>0</v>
      </c>
      <c r="V1479" s="30">
        <f>IF(AND($R1479="Não",$Q1479&lt;&gt;"",$Q1479&lt;=Hoje+JanelaRet,$Q1479&gt;=Hoje-60),MAX($V$4:$V1478)+1,"")</f>
        <v>0</v>
      </c>
    </row>
    <row r="1480" spans="1:22">
      <c r="A1480" s="16"/>
      <c r="B1480" s="23"/>
      <c r="C1480" s="15"/>
      <c r="D1480" s="15"/>
      <c r="E1480" s="15"/>
      <c r="F1480" s="24"/>
      <c r="G1480" s="17"/>
      <c r="H1480" s="17"/>
      <c r="I1480" s="15"/>
      <c r="J1480" s="25">
        <f>IF($D1480="","",IFERROR(INDEX(PacNome,MATCH($D1480,PacCod,0)),"Paciente não cadastrado"))</f>
        <v>0</v>
      </c>
      <c r="K1480" s="26">
        <f>IF($D1480="","",IFERROR(INDEX(PacConv,MATCH($D1480,PacCod,0))&amp;"",""))</f>
        <v>0</v>
      </c>
      <c r="L1480" s="26">
        <f>IF($A1480="","",CHOOSE(WEEKDAY($A1480,2),"Seg","Ter","Qua","Qui","Sex","Sáb","Dom"))</f>
        <v>0</v>
      </c>
      <c r="M1480" s="27">
        <f>IF($E1480="","",IF($G1480&lt;&gt;"",$G1480,IFERROR(INDEX(ProcValor,MATCH($E1480,ProcNome,0)),0)))</f>
        <v>0</v>
      </c>
      <c r="N1480" s="27">
        <f>IF($M1480="","",IF($F1480="Compareceu",$M1480,0))</f>
        <v>0</v>
      </c>
      <c r="O1480" s="27">
        <f>IF($M1480="","",IF($F1480="Faltou",$M1480,0))</f>
        <v>0</v>
      </c>
      <c r="P1480" s="27">
        <f>IF($M1480="","",IF($F1480="Compareceu",MAX(0,$M1480-N($H1480)),0))</f>
        <v>0</v>
      </c>
      <c r="Q1480" s="19">
        <f>IF(AND($F1480="Compareceu",$E1480&lt;&gt;"",$A1480&lt;&gt;""),IF(IFERROR(INDEX(ProcRet,MATCH($E1480,ProcNome,0)),0)&gt;0,$A1480+INDEX(ProcRet,MATCH($E1480,ProcNome,0)),""),"")</f>
        <v>0</v>
      </c>
      <c r="R1480" s="26">
        <f>IF($Q1480="","",IF(COUNTIFS(AgPac,$D1480,AgData,"&gt;"&amp;$A1480,AgStatus,"&lt;&gt;Cancelado",AgStatus,"&lt;&gt;Remarcado")&gt;0,"Sim","Não"))</f>
        <v>0</v>
      </c>
      <c r="S1480" s="28">
        <f>IF($A1480="","",IF(AND($F1480="Agendado",$A1480-Hoje&gt;=0,$A1480-Hoje&lt;=DiasConf),"CONFIRMAR",IF(AND($A1480&lt;Hoje,OR($F1480="Agendado",$F1480="Confirmado")),"Atualizar status",IF(AND($F1480="Compareceu",$P1480&gt;0.005),"Cobrar",IF($F1480="Faltou","Falta: reagendar","")))))</f>
        <v>0</v>
      </c>
      <c r="T1480" s="29">
        <f>IF($A1480="","",DATE(YEAR($A1480),MONTH($A1480),1))</f>
        <v>0</v>
      </c>
      <c r="U1480" s="30">
        <f>IF($S1480="CONFIRMAR",MAX($U$4:$U1479)+1,"")</f>
        <v>0</v>
      </c>
      <c r="V1480" s="30">
        <f>IF(AND($R1480="Não",$Q1480&lt;&gt;"",$Q1480&lt;=Hoje+JanelaRet,$Q1480&gt;=Hoje-60),MAX($V$4:$V1479)+1,"")</f>
        <v>0</v>
      </c>
    </row>
    <row r="1481" spans="1:22">
      <c r="A1481" s="16"/>
      <c r="B1481" s="23"/>
      <c r="C1481" s="15"/>
      <c r="D1481" s="15"/>
      <c r="E1481" s="15"/>
      <c r="F1481" s="24"/>
      <c r="G1481" s="17"/>
      <c r="H1481" s="17"/>
      <c r="I1481" s="15"/>
      <c r="J1481" s="25">
        <f>IF($D1481="","",IFERROR(INDEX(PacNome,MATCH($D1481,PacCod,0)),"Paciente não cadastrado"))</f>
        <v>0</v>
      </c>
      <c r="K1481" s="26">
        <f>IF($D1481="","",IFERROR(INDEX(PacConv,MATCH($D1481,PacCod,0))&amp;"",""))</f>
        <v>0</v>
      </c>
      <c r="L1481" s="26">
        <f>IF($A1481="","",CHOOSE(WEEKDAY($A1481,2),"Seg","Ter","Qua","Qui","Sex","Sáb","Dom"))</f>
        <v>0</v>
      </c>
      <c r="M1481" s="27">
        <f>IF($E1481="","",IF($G1481&lt;&gt;"",$G1481,IFERROR(INDEX(ProcValor,MATCH($E1481,ProcNome,0)),0)))</f>
        <v>0</v>
      </c>
      <c r="N1481" s="27">
        <f>IF($M1481="","",IF($F1481="Compareceu",$M1481,0))</f>
        <v>0</v>
      </c>
      <c r="O1481" s="27">
        <f>IF($M1481="","",IF($F1481="Faltou",$M1481,0))</f>
        <v>0</v>
      </c>
      <c r="P1481" s="27">
        <f>IF($M1481="","",IF($F1481="Compareceu",MAX(0,$M1481-N($H1481)),0))</f>
        <v>0</v>
      </c>
      <c r="Q1481" s="19">
        <f>IF(AND($F1481="Compareceu",$E1481&lt;&gt;"",$A1481&lt;&gt;""),IF(IFERROR(INDEX(ProcRet,MATCH($E1481,ProcNome,0)),0)&gt;0,$A1481+INDEX(ProcRet,MATCH($E1481,ProcNome,0)),""),"")</f>
        <v>0</v>
      </c>
      <c r="R1481" s="26">
        <f>IF($Q1481="","",IF(COUNTIFS(AgPac,$D1481,AgData,"&gt;"&amp;$A1481,AgStatus,"&lt;&gt;Cancelado",AgStatus,"&lt;&gt;Remarcado")&gt;0,"Sim","Não"))</f>
        <v>0</v>
      </c>
      <c r="S1481" s="28">
        <f>IF($A1481="","",IF(AND($F1481="Agendado",$A1481-Hoje&gt;=0,$A1481-Hoje&lt;=DiasConf),"CONFIRMAR",IF(AND($A1481&lt;Hoje,OR($F1481="Agendado",$F1481="Confirmado")),"Atualizar status",IF(AND($F1481="Compareceu",$P1481&gt;0.005),"Cobrar",IF($F1481="Faltou","Falta: reagendar","")))))</f>
        <v>0</v>
      </c>
      <c r="T1481" s="29">
        <f>IF($A1481="","",DATE(YEAR($A1481),MONTH($A1481),1))</f>
        <v>0</v>
      </c>
      <c r="U1481" s="30">
        <f>IF($S1481="CONFIRMAR",MAX($U$4:$U1480)+1,"")</f>
        <v>0</v>
      </c>
      <c r="V1481" s="30">
        <f>IF(AND($R1481="Não",$Q1481&lt;&gt;"",$Q1481&lt;=Hoje+JanelaRet,$Q1481&gt;=Hoje-60),MAX($V$4:$V1480)+1,"")</f>
        <v>0</v>
      </c>
    </row>
    <row r="1482" spans="1:22">
      <c r="A1482" s="16"/>
      <c r="B1482" s="23"/>
      <c r="C1482" s="15"/>
      <c r="D1482" s="15"/>
      <c r="E1482" s="15"/>
      <c r="F1482" s="24"/>
      <c r="G1482" s="17"/>
      <c r="H1482" s="17"/>
      <c r="I1482" s="15"/>
      <c r="J1482" s="25">
        <f>IF($D1482="","",IFERROR(INDEX(PacNome,MATCH($D1482,PacCod,0)),"Paciente não cadastrado"))</f>
        <v>0</v>
      </c>
      <c r="K1482" s="26">
        <f>IF($D1482="","",IFERROR(INDEX(PacConv,MATCH($D1482,PacCod,0))&amp;"",""))</f>
        <v>0</v>
      </c>
      <c r="L1482" s="26">
        <f>IF($A1482="","",CHOOSE(WEEKDAY($A1482,2),"Seg","Ter","Qua","Qui","Sex","Sáb","Dom"))</f>
        <v>0</v>
      </c>
      <c r="M1482" s="27">
        <f>IF($E1482="","",IF($G1482&lt;&gt;"",$G1482,IFERROR(INDEX(ProcValor,MATCH($E1482,ProcNome,0)),0)))</f>
        <v>0</v>
      </c>
      <c r="N1482" s="27">
        <f>IF($M1482="","",IF($F1482="Compareceu",$M1482,0))</f>
        <v>0</v>
      </c>
      <c r="O1482" s="27">
        <f>IF($M1482="","",IF($F1482="Faltou",$M1482,0))</f>
        <v>0</v>
      </c>
      <c r="P1482" s="27">
        <f>IF($M1482="","",IF($F1482="Compareceu",MAX(0,$M1482-N($H1482)),0))</f>
        <v>0</v>
      </c>
      <c r="Q1482" s="19">
        <f>IF(AND($F1482="Compareceu",$E1482&lt;&gt;"",$A1482&lt;&gt;""),IF(IFERROR(INDEX(ProcRet,MATCH($E1482,ProcNome,0)),0)&gt;0,$A1482+INDEX(ProcRet,MATCH($E1482,ProcNome,0)),""),"")</f>
        <v>0</v>
      </c>
      <c r="R1482" s="26">
        <f>IF($Q1482="","",IF(COUNTIFS(AgPac,$D1482,AgData,"&gt;"&amp;$A1482,AgStatus,"&lt;&gt;Cancelado",AgStatus,"&lt;&gt;Remarcado")&gt;0,"Sim","Não"))</f>
        <v>0</v>
      </c>
      <c r="S1482" s="28">
        <f>IF($A1482="","",IF(AND($F1482="Agendado",$A1482-Hoje&gt;=0,$A1482-Hoje&lt;=DiasConf),"CONFIRMAR",IF(AND($A1482&lt;Hoje,OR($F1482="Agendado",$F1482="Confirmado")),"Atualizar status",IF(AND($F1482="Compareceu",$P1482&gt;0.005),"Cobrar",IF($F1482="Faltou","Falta: reagendar","")))))</f>
        <v>0</v>
      </c>
      <c r="T1482" s="29">
        <f>IF($A1482="","",DATE(YEAR($A1482),MONTH($A1482),1))</f>
        <v>0</v>
      </c>
      <c r="U1482" s="30">
        <f>IF($S1482="CONFIRMAR",MAX($U$4:$U1481)+1,"")</f>
        <v>0</v>
      </c>
      <c r="V1482" s="30">
        <f>IF(AND($R1482="Não",$Q1482&lt;&gt;"",$Q1482&lt;=Hoje+JanelaRet,$Q1482&gt;=Hoje-60),MAX($V$4:$V1481)+1,"")</f>
        <v>0</v>
      </c>
    </row>
    <row r="1483" spans="1:22">
      <c r="A1483" s="16"/>
      <c r="B1483" s="23"/>
      <c r="C1483" s="15"/>
      <c r="D1483" s="15"/>
      <c r="E1483" s="15"/>
      <c r="F1483" s="24"/>
      <c r="G1483" s="17"/>
      <c r="H1483" s="17"/>
      <c r="I1483" s="15"/>
      <c r="J1483" s="25">
        <f>IF($D1483="","",IFERROR(INDEX(PacNome,MATCH($D1483,PacCod,0)),"Paciente não cadastrado"))</f>
        <v>0</v>
      </c>
      <c r="K1483" s="26">
        <f>IF($D1483="","",IFERROR(INDEX(PacConv,MATCH($D1483,PacCod,0))&amp;"",""))</f>
        <v>0</v>
      </c>
      <c r="L1483" s="26">
        <f>IF($A1483="","",CHOOSE(WEEKDAY($A1483,2),"Seg","Ter","Qua","Qui","Sex","Sáb","Dom"))</f>
        <v>0</v>
      </c>
      <c r="M1483" s="27">
        <f>IF($E1483="","",IF($G1483&lt;&gt;"",$G1483,IFERROR(INDEX(ProcValor,MATCH($E1483,ProcNome,0)),0)))</f>
        <v>0</v>
      </c>
      <c r="N1483" s="27">
        <f>IF($M1483="","",IF($F1483="Compareceu",$M1483,0))</f>
        <v>0</v>
      </c>
      <c r="O1483" s="27">
        <f>IF($M1483="","",IF($F1483="Faltou",$M1483,0))</f>
        <v>0</v>
      </c>
      <c r="P1483" s="27">
        <f>IF($M1483="","",IF($F1483="Compareceu",MAX(0,$M1483-N($H1483)),0))</f>
        <v>0</v>
      </c>
      <c r="Q1483" s="19">
        <f>IF(AND($F1483="Compareceu",$E1483&lt;&gt;"",$A1483&lt;&gt;""),IF(IFERROR(INDEX(ProcRet,MATCH($E1483,ProcNome,0)),0)&gt;0,$A1483+INDEX(ProcRet,MATCH($E1483,ProcNome,0)),""),"")</f>
        <v>0</v>
      </c>
      <c r="R1483" s="26">
        <f>IF($Q1483="","",IF(COUNTIFS(AgPac,$D1483,AgData,"&gt;"&amp;$A1483,AgStatus,"&lt;&gt;Cancelado",AgStatus,"&lt;&gt;Remarcado")&gt;0,"Sim","Não"))</f>
        <v>0</v>
      </c>
      <c r="S1483" s="28">
        <f>IF($A1483="","",IF(AND($F1483="Agendado",$A1483-Hoje&gt;=0,$A1483-Hoje&lt;=DiasConf),"CONFIRMAR",IF(AND($A1483&lt;Hoje,OR($F1483="Agendado",$F1483="Confirmado")),"Atualizar status",IF(AND($F1483="Compareceu",$P1483&gt;0.005),"Cobrar",IF($F1483="Faltou","Falta: reagendar","")))))</f>
        <v>0</v>
      </c>
      <c r="T1483" s="29">
        <f>IF($A1483="","",DATE(YEAR($A1483),MONTH($A1483),1))</f>
        <v>0</v>
      </c>
      <c r="U1483" s="30">
        <f>IF($S1483="CONFIRMAR",MAX($U$4:$U1482)+1,"")</f>
        <v>0</v>
      </c>
      <c r="V1483" s="30">
        <f>IF(AND($R1483="Não",$Q1483&lt;&gt;"",$Q1483&lt;=Hoje+JanelaRet,$Q1483&gt;=Hoje-60),MAX($V$4:$V1482)+1,"")</f>
        <v>0</v>
      </c>
    </row>
    <row r="1484" spans="1:22">
      <c r="A1484" s="16"/>
      <c r="B1484" s="23"/>
      <c r="C1484" s="15"/>
      <c r="D1484" s="15"/>
      <c r="E1484" s="15"/>
      <c r="F1484" s="24"/>
      <c r="G1484" s="17"/>
      <c r="H1484" s="17"/>
      <c r="I1484" s="15"/>
      <c r="J1484" s="25">
        <f>IF($D1484="","",IFERROR(INDEX(PacNome,MATCH($D1484,PacCod,0)),"Paciente não cadastrado"))</f>
        <v>0</v>
      </c>
      <c r="K1484" s="26">
        <f>IF($D1484="","",IFERROR(INDEX(PacConv,MATCH($D1484,PacCod,0))&amp;"",""))</f>
        <v>0</v>
      </c>
      <c r="L1484" s="26">
        <f>IF($A1484="","",CHOOSE(WEEKDAY($A1484,2),"Seg","Ter","Qua","Qui","Sex","Sáb","Dom"))</f>
        <v>0</v>
      </c>
      <c r="M1484" s="27">
        <f>IF($E1484="","",IF($G1484&lt;&gt;"",$G1484,IFERROR(INDEX(ProcValor,MATCH($E1484,ProcNome,0)),0)))</f>
        <v>0</v>
      </c>
      <c r="N1484" s="27">
        <f>IF($M1484="","",IF($F1484="Compareceu",$M1484,0))</f>
        <v>0</v>
      </c>
      <c r="O1484" s="27">
        <f>IF($M1484="","",IF($F1484="Faltou",$M1484,0))</f>
        <v>0</v>
      </c>
      <c r="P1484" s="27">
        <f>IF($M1484="","",IF($F1484="Compareceu",MAX(0,$M1484-N($H1484)),0))</f>
        <v>0</v>
      </c>
      <c r="Q1484" s="19">
        <f>IF(AND($F1484="Compareceu",$E1484&lt;&gt;"",$A1484&lt;&gt;""),IF(IFERROR(INDEX(ProcRet,MATCH($E1484,ProcNome,0)),0)&gt;0,$A1484+INDEX(ProcRet,MATCH($E1484,ProcNome,0)),""),"")</f>
        <v>0</v>
      </c>
      <c r="R1484" s="26">
        <f>IF($Q1484="","",IF(COUNTIFS(AgPac,$D1484,AgData,"&gt;"&amp;$A1484,AgStatus,"&lt;&gt;Cancelado",AgStatus,"&lt;&gt;Remarcado")&gt;0,"Sim","Não"))</f>
        <v>0</v>
      </c>
      <c r="S1484" s="28">
        <f>IF($A1484="","",IF(AND($F1484="Agendado",$A1484-Hoje&gt;=0,$A1484-Hoje&lt;=DiasConf),"CONFIRMAR",IF(AND($A1484&lt;Hoje,OR($F1484="Agendado",$F1484="Confirmado")),"Atualizar status",IF(AND($F1484="Compareceu",$P1484&gt;0.005),"Cobrar",IF($F1484="Faltou","Falta: reagendar","")))))</f>
        <v>0</v>
      </c>
      <c r="T1484" s="29">
        <f>IF($A1484="","",DATE(YEAR($A1484),MONTH($A1484),1))</f>
        <v>0</v>
      </c>
      <c r="U1484" s="30">
        <f>IF($S1484="CONFIRMAR",MAX($U$4:$U1483)+1,"")</f>
        <v>0</v>
      </c>
      <c r="V1484" s="30">
        <f>IF(AND($R1484="Não",$Q1484&lt;&gt;"",$Q1484&lt;=Hoje+JanelaRet,$Q1484&gt;=Hoje-60),MAX($V$4:$V1483)+1,"")</f>
        <v>0</v>
      </c>
    </row>
    <row r="1485" spans="1:22">
      <c r="A1485" s="16"/>
      <c r="B1485" s="23"/>
      <c r="C1485" s="15"/>
      <c r="D1485" s="15"/>
      <c r="E1485" s="15"/>
      <c r="F1485" s="24"/>
      <c r="G1485" s="17"/>
      <c r="H1485" s="17"/>
      <c r="I1485" s="15"/>
      <c r="J1485" s="25">
        <f>IF($D1485="","",IFERROR(INDEX(PacNome,MATCH($D1485,PacCod,0)),"Paciente não cadastrado"))</f>
        <v>0</v>
      </c>
      <c r="K1485" s="26">
        <f>IF($D1485="","",IFERROR(INDEX(PacConv,MATCH($D1485,PacCod,0))&amp;"",""))</f>
        <v>0</v>
      </c>
      <c r="L1485" s="26">
        <f>IF($A1485="","",CHOOSE(WEEKDAY($A1485,2),"Seg","Ter","Qua","Qui","Sex","Sáb","Dom"))</f>
        <v>0</v>
      </c>
      <c r="M1485" s="27">
        <f>IF($E1485="","",IF($G1485&lt;&gt;"",$G1485,IFERROR(INDEX(ProcValor,MATCH($E1485,ProcNome,0)),0)))</f>
        <v>0</v>
      </c>
      <c r="N1485" s="27">
        <f>IF($M1485="","",IF($F1485="Compareceu",$M1485,0))</f>
        <v>0</v>
      </c>
      <c r="O1485" s="27">
        <f>IF($M1485="","",IF($F1485="Faltou",$M1485,0))</f>
        <v>0</v>
      </c>
      <c r="P1485" s="27">
        <f>IF($M1485="","",IF($F1485="Compareceu",MAX(0,$M1485-N($H1485)),0))</f>
        <v>0</v>
      </c>
      <c r="Q1485" s="19">
        <f>IF(AND($F1485="Compareceu",$E1485&lt;&gt;"",$A1485&lt;&gt;""),IF(IFERROR(INDEX(ProcRet,MATCH($E1485,ProcNome,0)),0)&gt;0,$A1485+INDEX(ProcRet,MATCH($E1485,ProcNome,0)),""),"")</f>
        <v>0</v>
      </c>
      <c r="R1485" s="26">
        <f>IF($Q1485="","",IF(COUNTIFS(AgPac,$D1485,AgData,"&gt;"&amp;$A1485,AgStatus,"&lt;&gt;Cancelado",AgStatus,"&lt;&gt;Remarcado")&gt;0,"Sim","Não"))</f>
        <v>0</v>
      </c>
      <c r="S1485" s="28">
        <f>IF($A1485="","",IF(AND($F1485="Agendado",$A1485-Hoje&gt;=0,$A1485-Hoje&lt;=DiasConf),"CONFIRMAR",IF(AND($A1485&lt;Hoje,OR($F1485="Agendado",$F1485="Confirmado")),"Atualizar status",IF(AND($F1485="Compareceu",$P1485&gt;0.005),"Cobrar",IF($F1485="Faltou","Falta: reagendar","")))))</f>
        <v>0</v>
      </c>
      <c r="T1485" s="29">
        <f>IF($A1485="","",DATE(YEAR($A1485),MONTH($A1485),1))</f>
        <v>0</v>
      </c>
      <c r="U1485" s="30">
        <f>IF($S1485="CONFIRMAR",MAX($U$4:$U1484)+1,"")</f>
        <v>0</v>
      </c>
      <c r="V1485" s="30">
        <f>IF(AND($R1485="Não",$Q1485&lt;&gt;"",$Q1485&lt;=Hoje+JanelaRet,$Q1485&gt;=Hoje-60),MAX($V$4:$V1484)+1,"")</f>
        <v>0</v>
      </c>
    </row>
    <row r="1486" spans="1:22">
      <c r="A1486" s="16"/>
      <c r="B1486" s="23"/>
      <c r="C1486" s="15"/>
      <c r="D1486" s="15"/>
      <c r="E1486" s="15"/>
      <c r="F1486" s="24"/>
      <c r="G1486" s="17"/>
      <c r="H1486" s="17"/>
      <c r="I1486" s="15"/>
      <c r="J1486" s="25">
        <f>IF($D1486="","",IFERROR(INDEX(PacNome,MATCH($D1486,PacCod,0)),"Paciente não cadastrado"))</f>
        <v>0</v>
      </c>
      <c r="K1486" s="26">
        <f>IF($D1486="","",IFERROR(INDEX(PacConv,MATCH($D1486,PacCod,0))&amp;"",""))</f>
        <v>0</v>
      </c>
      <c r="L1486" s="26">
        <f>IF($A1486="","",CHOOSE(WEEKDAY($A1486,2),"Seg","Ter","Qua","Qui","Sex","Sáb","Dom"))</f>
        <v>0</v>
      </c>
      <c r="M1486" s="27">
        <f>IF($E1486="","",IF($G1486&lt;&gt;"",$G1486,IFERROR(INDEX(ProcValor,MATCH($E1486,ProcNome,0)),0)))</f>
        <v>0</v>
      </c>
      <c r="N1486" s="27">
        <f>IF($M1486="","",IF($F1486="Compareceu",$M1486,0))</f>
        <v>0</v>
      </c>
      <c r="O1486" s="27">
        <f>IF($M1486="","",IF($F1486="Faltou",$M1486,0))</f>
        <v>0</v>
      </c>
      <c r="P1486" s="27">
        <f>IF($M1486="","",IF($F1486="Compareceu",MAX(0,$M1486-N($H1486)),0))</f>
        <v>0</v>
      </c>
      <c r="Q1486" s="19">
        <f>IF(AND($F1486="Compareceu",$E1486&lt;&gt;"",$A1486&lt;&gt;""),IF(IFERROR(INDEX(ProcRet,MATCH($E1486,ProcNome,0)),0)&gt;0,$A1486+INDEX(ProcRet,MATCH($E1486,ProcNome,0)),""),"")</f>
        <v>0</v>
      </c>
      <c r="R1486" s="26">
        <f>IF($Q1486="","",IF(COUNTIFS(AgPac,$D1486,AgData,"&gt;"&amp;$A1486,AgStatus,"&lt;&gt;Cancelado",AgStatus,"&lt;&gt;Remarcado")&gt;0,"Sim","Não"))</f>
        <v>0</v>
      </c>
      <c r="S1486" s="28">
        <f>IF($A1486="","",IF(AND($F1486="Agendado",$A1486-Hoje&gt;=0,$A1486-Hoje&lt;=DiasConf),"CONFIRMAR",IF(AND($A1486&lt;Hoje,OR($F1486="Agendado",$F1486="Confirmado")),"Atualizar status",IF(AND($F1486="Compareceu",$P1486&gt;0.005),"Cobrar",IF($F1486="Faltou","Falta: reagendar","")))))</f>
        <v>0</v>
      </c>
      <c r="T1486" s="29">
        <f>IF($A1486="","",DATE(YEAR($A1486),MONTH($A1486),1))</f>
        <v>0</v>
      </c>
      <c r="U1486" s="30">
        <f>IF($S1486="CONFIRMAR",MAX($U$4:$U1485)+1,"")</f>
        <v>0</v>
      </c>
      <c r="V1486" s="30">
        <f>IF(AND($R1486="Não",$Q1486&lt;&gt;"",$Q1486&lt;=Hoje+JanelaRet,$Q1486&gt;=Hoje-60),MAX($V$4:$V1485)+1,"")</f>
        <v>0</v>
      </c>
    </row>
    <row r="1487" spans="1:22">
      <c r="A1487" s="16"/>
      <c r="B1487" s="23"/>
      <c r="C1487" s="15"/>
      <c r="D1487" s="15"/>
      <c r="E1487" s="15"/>
      <c r="F1487" s="24"/>
      <c r="G1487" s="17"/>
      <c r="H1487" s="17"/>
      <c r="I1487" s="15"/>
      <c r="J1487" s="25">
        <f>IF($D1487="","",IFERROR(INDEX(PacNome,MATCH($D1487,PacCod,0)),"Paciente não cadastrado"))</f>
        <v>0</v>
      </c>
      <c r="K1487" s="26">
        <f>IF($D1487="","",IFERROR(INDEX(PacConv,MATCH($D1487,PacCod,0))&amp;"",""))</f>
        <v>0</v>
      </c>
      <c r="L1487" s="26">
        <f>IF($A1487="","",CHOOSE(WEEKDAY($A1487,2),"Seg","Ter","Qua","Qui","Sex","Sáb","Dom"))</f>
        <v>0</v>
      </c>
      <c r="M1487" s="27">
        <f>IF($E1487="","",IF($G1487&lt;&gt;"",$G1487,IFERROR(INDEX(ProcValor,MATCH($E1487,ProcNome,0)),0)))</f>
        <v>0</v>
      </c>
      <c r="N1487" s="27">
        <f>IF($M1487="","",IF($F1487="Compareceu",$M1487,0))</f>
        <v>0</v>
      </c>
      <c r="O1487" s="27">
        <f>IF($M1487="","",IF($F1487="Faltou",$M1487,0))</f>
        <v>0</v>
      </c>
      <c r="P1487" s="27">
        <f>IF($M1487="","",IF($F1487="Compareceu",MAX(0,$M1487-N($H1487)),0))</f>
        <v>0</v>
      </c>
      <c r="Q1487" s="19">
        <f>IF(AND($F1487="Compareceu",$E1487&lt;&gt;"",$A1487&lt;&gt;""),IF(IFERROR(INDEX(ProcRet,MATCH($E1487,ProcNome,0)),0)&gt;0,$A1487+INDEX(ProcRet,MATCH($E1487,ProcNome,0)),""),"")</f>
        <v>0</v>
      </c>
      <c r="R1487" s="26">
        <f>IF($Q1487="","",IF(COUNTIFS(AgPac,$D1487,AgData,"&gt;"&amp;$A1487,AgStatus,"&lt;&gt;Cancelado",AgStatus,"&lt;&gt;Remarcado")&gt;0,"Sim","Não"))</f>
        <v>0</v>
      </c>
      <c r="S1487" s="28">
        <f>IF($A1487="","",IF(AND($F1487="Agendado",$A1487-Hoje&gt;=0,$A1487-Hoje&lt;=DiasConf),"CONFIRMAR",IF(AND($A1487&lt;Hoje,OR($F1487="Agendado",$F1487="Confirmado")),"Atualizar status",IF(AND($F1487="Compareceu",$P1487&gt;0.005),"Cobrar",IF($F1487="Faltou","Falta: reagendar","")))))</f>
        <v>0</v>
      </c>
      <c r="T1487" s="29">
        <f>IF($A1487="","",DATE(YEAR($A1487),MONTH($A1487),1))</f>
        <v>0</v>
      </c>
      <c r="U1487" s="30">
        <f>IF($S1487="CONFIRMAR",MAX($U$4:$U1486)+1,"")</f>
        <v>0</v>
      </c>
      <c r="V1487" s="30">
        <f>IF(AND($R1487="Não",$Q1487&lt;&gt;"",$Q1487&lt;=Hoje+JanelaRet,$Q1487&gt;=Hoje-60),MAX($V$4:$V1486)+1,"")</f>
        <v>0</v>
      </c>
    </row>
    <row r="1488" spans="1:22">
      <c r="A1488" s="16"/>
      <c r="B1488" s="23"/>
      <c r="C1488" s="15"/>
      <c r="D1488" s="15"/>
      <c r="E1488" s="15"/>
      <c r="F1488" s="24"/>
      <c r="G1488" s="17"/>
      <c r="H1488" s="17"/>
      <c r="I1488" s="15"/>
      <c r="J1488" s="25">
        <f>IF($D1488="","",IFERROR(INDEX(PacNome,MATCH($D1488,PacCod,0)),"Paciente não cadastrado"))</f>
        <v>0</v>
      </c>
      <c r="K1488" s="26">
        <f>IF($D1488="","",IFERROR(INDEX(PacConv,MATCH($D1488,PacCod,0))&amp;"",""))</f>
        <v>0</v>
      </c>
      <c r="L1488" s="26">
        <f>IF($A1488="","",CHOOSE(WEEKDAY($A1488,2),"Seg","Ter","Qua","Qui","Sex","Sáb","Dom"))</f>
        <v>0</v>
      </c>
      <c r="M1488" s="27">
        <f>IF($E1488="","",IF($G1488&lt;&gt;"",$G1488,IFERROR(INDEX(ProcValor,MATCH($E1488,ProcNome,0)),0)))</f>
        <v>0</v>
      </c>
      <c r="N1488" s="27">
        <f>IF($M1488="","",IF($F1488="Compareceu",$M1488,0))</f>
        <v>0</v>
      </c>
      <c r="O1488" s="27">
        <f>IF($M1488="","",IF($F1488="Faltou",$M1488,0))</f>
        <v>0</v>
      </c>
      <c r="P1488" s="27">
        <f>IF($M1488="","",IF($F1488="Compareceu",MAX(0,$M1488-N($H1488)),0))</f>
        <v>0</v>
      </c>
      <c r="Q1488" s="19">
        <f>IF(AND($F1488="Compareceu",$E1488&lt;&gt;"",$A1488&lt;&gt;""),IF(IFERROR(INDEX(ProcRet,MATCH($E1488,ProcNome,0)),0)&gt;0,$A1488+INDEX(ProcRet,MATCH($E1488,ProcNome,0)),""),"")</f>
        <v>0</v>
      </c>
      <c r="R1488" s="26">
        <f>IF($Q1488="","",IF(COUNTIFS(AgPac,$D1488,AgData,"&gt;"&amp;$A1488,AgStatus,"&lt;&gt;Cancelado",AgStatus,"&lt;&gt;Remarcado")&gt;0,"Sim","Não"))</f>
        <v>0</v>
      </c>
      <c r="S1488" s="28">
        <f>IF($A1488="","",IF(AND($F1488="Agendado",$A1488-Hoje&gt;=0,$A1488-Hoje&lt;=DiasConf),"CONFIRMAR",IF(AND($A1488&lt;Hoje,OR($F1488="Agendado",$F1488="Confirmado")),"Atualizar status",IF(AND($F1488="Compareceu",$P1488&gt;0.005),"Cobrar",IF($F1488="Faltou","Falta: reagendar","")))))</f>
        <v>0</v>
      </c>
      <c r="T1488" s="29">
        <f>IF($A1488="","",DATE(YEAR($A1488),MONTH($A1488),1))</f>
        <v>0</v>
      </c>
      <c r="U1488" s="30">
        <f>IF($S1488="CONFIRMAR",MAX($U$4:$U1487)+1,"")</f>
        <v>0</v>
      </c>
      <c r="V1488" s="30">
        <f>IF(AND($R1488="Não",$Q1488&lt;&gt;"",$Q1488&lt;=Hoje+JanelaRet,$Q1488&gt;=Hoje-60),MAX($V$4:$V1487)+1,"")</f>
        <v>0</v>
      </c>
    </row>
    <row r="1489" spans="1:22">
      <c r="A1489" s="16"/>
      <c r="B1489" s="23"/>
      <c r="C1489" s="15"/>
      <c r="D1489" s="15"/>
      <c r="E1489" s="15"/>
      <c r="F1489" s="24"/>
      <c r="G1489" s="17"/>
      <c r="H1489" s="17"/>
      <c r="I1489" s="15"/>
      <c r="J1489" s="25">
        <f>IF($D1489="","",IFERROR(INDEX(PacNome,MATCH($D1489,PacCod,0)),"Paciente não cadastrado"))</f>
        <v>0</v>
      </c>
      <c r="K1489" s="26">
        <f>IF($D1489="","",IFERROR(INDEX(PacConv,MATCH($D1489,PacCod,0))&amp;"",""))</f>
        <v>0</v>
      </c>
      <c r="L1489" s="26">
        <f>IF($A1489="","",CHOOSE(WEEKDAY($A1489,2),"Seg","Ter","Qua","Qui","Sex","Sáb","Dom"))</f>
        <v>0</v>
      </c>
      <c r="M1489" s="27">
        <f>IF($E1489="","",IF($G1489&lt;&gt;"",$G1489,IFERROR(INDEX(ProcValor,MATCH($E1489,ProcNome,0)),0)))</f>
        <v>0</v>
      </c>
      <c r="N1489" s="27">
        <f>IF($M1489="","",IF($F1489="Compareceu",$M1489,0))</f>
        <v>0</v>
      </c>
      <c r="O1489" s="27">
        <f>IF($M1489="","",IF($F1489="Faltou",$M1489,0))</f>
        <v>0</v>
      </c>
      <c r="P1489" s="27">
        <f>IF($M1489="","",IF($F1489="Compareceu",MAX(0,$M1489-N($H1489)),0))</f>
        <v>0</v>
      </c>
      <c r="Q1489" s="19">
        <f>IF(AND($F1489="Compareceu",$E1489&lt;&gt;"",$A1489&lt;&gt;""),IF(IFERROR(INDEX(ProcRet,MATCH($E1489,ProcNome,0)),0)&gt;0,$A1489+INDEX(ProcRet,MATCH($E1489,ProcNome,0)),""),"")</f>
        <v>0</v>
      </c>
      <c r="R1489" s="26">
        <f>IF($Q1489="","",IF(COUNTIFS(AgPac,$D1489,AgData,"&gt;"&amp;$A1489,AgStatus,"&lt;&gt;Cancelado",AgStatus,"&lt;&gt;Remarcado")&gt;0,"Sim","Não"))</f>
        <v>0</v>
      </c>
      <c r="S1489" s="28">
        <f>IF($A1489="","",IF(AND($F1489="Agendado",$A1489-Hoje&gt;=0,$A1489-Hoje&lt;=DiasConf),"CONFIRMAR",IF(AND($A1489&lt;Hoje,OR($F1489="Agendado",$F1489="Confirmado")),"Atualizar status",IF(AND($F1489="Compareceu",$P1489&gt;0.005),"Cobrar",IF($F1489="Faltou","Falta: reagendar","")))))</f>
        <v>0</v>
      </c>
      <c r="T1489" s="29">
        <f>IF($A1489="","",DATE(YEAR($A1489),MONTH($A1489),1))</f>
        <v>0</v>
      </c>
      <c r="U1489" s="30">
        <f>IF($S1489="CONFIRMAR",MAX($U$4:$U1488)+1,"")</f>
        <v>0</v>
      </c>
      <c r="V1489" s="30">
        <f>IF(AND($R1489="Não",$Q1489&lt;&gt;"",$Q1489&lt;=Hoje+JanelaRet,$Q1489&gt;=Hoje-60),MAX($V$4:$V1488)+1,"")</f>
        <v>0</v>
      </c>
    </row>
    <row r="1490" spans="1:22">
      <c r="A1490" s="16"/>
      <c r="B1490" s="23"/>
      <c r="C1490" s="15"/>
      <c r="D1490" s="15"/>
      <c r="E1490" s="15"/>
      <c r="F1490" s="24"/>
      <c r="G1490" s="17"/>
      <c r="H1490" s="17"/>
      <c r="I1490" s="15"/>
      <c r="J1490" s="25">
        <f>IF($D1490="","",IFERROR(INDEX(PacNome,MATCH($D1490,PacCod,0)),"Paciente não cadastrado"))</f>
        <v>0</v>
      </c>
      <c r="K1490" s="26">
        <f>IF($D1490="","",IFERROR(INDEX(PacConv,MATCH($D1490,PacCod,0))&amp;"",""))</f>
        <v>0</v>
      </c>
      <c r="L1490" s="26">
        <f>IF($A1490="","",CHOOSE(WEEKDAY($A1490,2),"Seg","Ter","Qua","Qui","Sex","Sáb","Dom"))</f>
        <v>0</v>
      </c>
      <c r="M1490" s="27">
        <f>IF($E1490="","",IF($G1490&lt;&gt;"",$G1490,IFERROR(INDEX(ProcValor,MATCH($E1490,ProcNome,0)),0)))</f>
        <v>0</v>
      </c>
      <c r="N1490" s="27">
        <f>IF($M1490="","",IF($F1490="Compareceu",$M1490,0))</f>
        <v>0</v>
      </c>
      <c r="O1490" s="27">
        <f>IF($M1490="","",IF($F1490="Faltou",$M1490,0))</f>
        <v>0</v>
      </c>
      <c r="P1490" s="27">
        <f>IF($M1490="","",IF($F1490="Compareceu",MAX(0,$M1490-N($H1490)),0))</f>
        <v>0</v>
      </c>
      <c r="Q1490" s="19">
        <f>IF(AND($F1490="Compareceu",$E1490&lt;&gt;"",$A1490&lt;&gt;""),IF(IFERROR(INDEX(ProcRet,MATCH($E1490,ProcNome,0)),0)&gt;0,$A1490+INDEX(ProcRet,MATCH($E1490,ProcNome,0)),""),"")</f>
        <v>0</v>
      </c>
      <c r="R1490" s="26">
        <f>IF($Q1490="","",IF(COUNTIFS(AgPac,$D1490,AgData,"&gt;"&amp;$A1490,AgStatus,"&lt;&gt;Cancelado",AgStatus,"&lt;&gt;Remarcado")&gt;0,"Sim","Não"))</f>
        <v>0</v>
      </c>
      <c r="S1490" s="28">
        <f>IF($A1490="","",IF(AND($F1490="Agendado",$A1490-Hoje&gt;=0,$A1490-Hoje&lt;=DiasConf),"CONFIRMAR",IF(AND($A1490&lt;Hoje,OR($F1490="Agendado",$F1490="Confirmado")),"Atualizar status",IF(AND($F1490="Compareceu",$P1490&gt;0.005),"Cobrar",IF($F1490="Faltou","Falta: reagendar","")))))</f>
        <v>0</v>
      </c>
      <c r="T1490" s="29">
        <f>IF($A1490="","",DATE(YEAR($A1490),MONTH($A1490),1))</f>
        <v>0</v>
      </c>
      <c r="U1490" s="30">
        <f>IF($S1490="CONFIRMAR",MAX($U$4:$U1489)+1,"")</f>
        <v>0</v>
      </c>
      <c r="V1490" s="30">
        <f>IF(AND($R1490="Não",$Q1490&lt;&gt;"",$Q1490&lt;=Hoje+JanelaRet,$Q1490&gt;=Hoje-60),MAX($V$4:$V1489)+1,"")</f>
        <v>0</v>
      </c>
    </row>
    <row r="1491" spans="1:22">
      <c r="A1491" s="16"/>
      <c r="B1491" s="23"/>
      <c r="C1491" s="15"/>
      <c r="D1491" s="15"/>
      <c r="E1491" s="15"/>
      <c r="F1491" s="24"/>
      <c r="G1491" s="17"/>
      <c r="H1491" s="17"/>
      <c r="I1491" s="15"/>
      <c r="J1491" s="25">
        <f>IF($D1491="","",IFERROR(INDEX(PacNome,MATCH($D1491,PacCod,0)),"Paciente não cadastrado"))</f>
        <v>0</v>
      </c>
      <c r="K1491" s="26">
        <f>IF($D1491="","",IFERROR(INDEX(PacConv,MATCH($D1491,PacCod,0))&amp;"",""))</f>
        <v>0</v>
      </c>
      <c r="L1491" s="26">
        <f>IF($A1491="","",CHOOSE(WEEKDAY($A1491,2),"Seg","Ter","Qua","Qui","Sex","Sáb","Dom"))</f>
        <v>0</v>
      </c>
      <c r="M1491" s="27">
        <f>IF($E1491="","",IF($G1491&lt;&gt;"",$G1491,IFERROR(INDEX(ProcValor,MATCH($E1491,ProcNome,0)),0)))</f>
        <v>0</v>
      </c>
      <c r="N1491" s="27">
        <f>IF($M1491="","",IF($F1491="Compareceu",$M1491,0))</f>
        <v>0</v>
      </c>
      <c r="O1491" s="27">
        <f>IF($M1491="","",IF($F1491="Faltou",$M1491,0))</f>
        <v>0</v>
      </c>
      <c r="P1491" s="27">
        <f>IF($M1491="","",IF($F1491="Compareceu",MAX(0,$M1491-N($H1491)),0))</f>
        <v>0</v>
      </c>
      <c r="Q1491" s="19">
        <f>IF(AND($F1491="Compareceu",$E1491&lt;&gt;"",$A1491&lt;&gt;""),IF(IFERROR(INDEX(ProcRet,MATCH($E1491,ProcNome,0)),0)&gt;0,$A1491+INDEX(ProcRet,MATCH($E1491,ProcNome,0)),""),"")</f>
        <v>0</v>
      </c>
      <c r="R1491" s="26">
        <f>IF($Q1491="","",IF(COUNTIFS(AgPac,$D1491,AgData,"&gt;"&amp;$A1491,AgStatus,"&lt;&gt;Cancelado",AgStatus,"&lt;&gt;Remarcado")&gt;0,"Sim","Não"))</f>
        <v>0</v>
      </c>
      <c r="S1491" s="28">
        <f>IF($A1491="","",IF(AND($F1491="Agendado",$A1491-Hoje&gt;=0,$A1491-Hoje&lt;=DiasConf),"CONFIRMAR",IF(AND($A1491&lt;Hoje,OR($F1491="Agendado",$F1491="Confirmado")),"Atualizar status",IF(AND($F1491="Compareceu",$P1491&gt;0.005),"Cobrar",IF($F1491="Faltou","Falta: reagendar","")))))</f>
        <v>0</v>
      </c>
      <c r="T1491" s="29">
        <f>IF($A1491="","",DATE(YEAR($A1491),MONTH($A1491),1))</f>
        <v>0</v>
      </c>
      <c r="U1491" s="30">
        <f>IF($S1491="CONFIRMAR",MAX($U$4:$U1490)+1,"")</f>
        <v>0</v>
      </c>
      <c r="V1491" s="30">
        <f>IF(AND($R1491="Não",$Q1491&lt;&gt;"",$Q1491&lt;=Hoje+JanelaRet,$Q1491&gt;=Hoje-60),MAX($V$4:$V1490)+1,"")</f>
        <v>0</v>
      </c>
    </row>
    <row r="1492" spans="1:22">
      <c r="A1492" s="16"/>
      <c r="B1492" s="23"/>
      <c r="C1492" s="15"/>
      <c r="D1492" s="15"/>
      <c r="E1492" s="15"/>
      <c r="F1492" s="24"/>
      <c r="G1492" s="17"/>
      <c r="H1492" s="17"/>
      <c r="I1492" s="15"/>
      <c r="J1492" s="25">
        <f>IF($D1492="","",IFERROR(INDEX(PacNome,MATCH($D1492,PacCod,0)),"Paciente não cadastrado"))</f>
        <v>0</v>
      </c>
      <c r="K1492" s="26">
        <f>IF($D1492="","",IFERROR(INDEX(PacConv,MATCH($D1492,PacCod,0))&amp;"",""))</f>
        <v>0</v>
      </c>
      <c r="L1492" s="26">
        <f>IF($A1492="","",CHOOSE(WEEKDAY($A1492,2),"Seg","Ter","Qua","Qui","Sex","Sáb","Dom"))</f>
        <v>0</v>
      </c>
      <c r="M1492" s="27">
        <f>IF($E1492="","",IF($G1492&lt;&gt;"",$G1492,IFERROR(INDEX(ProcValor,MATCH($E1492,ProcNome,0)),0)))</f>
        <v>0</v>
      </c>
      <c r="N1492" s="27">
        <f>IF($M1492="","",IF($F1492="Compareceu",$M1492,0))</f>
        <v>0</v>
      </c>
      <c r="O1492" s="27">
        <f>IF($M1492="","",IF($F1492="Faltou",$M1492,0))</f>
        <v>0</v>
      </c>
      <c r="P1492" s="27">
        <f>IF($M1492="","",IF($F1492="Compareceu",MAX(0,$M1492-N($H1492)),0))</f>
        <v>0</v>
      </c>
      <c r="Q1492" s="19">
        <f>IF(AND($F1492="Compareceu",$E1492&lt;&gt;"",$A1492&lt;&gt;""),IF(IFERROR(INDEX(ProcRet,MATCH($E1492,ProcNome,0)),0)&gt;0,$A1492+INDEX(ProcRet,MATCH($E1492,ProcNome,0)),""),"")</f>
        <v>0</v>
      </c>
      <c r="R1492" s="26">
        <f>IF($Q1492="","",IF(COUNTIFS(AgPac,$D1492,AgData,"&gt;"&amp;$A1492,AgStatus,"&lt;&gt;Cancelado",AgStatus,"&lt;&gt;Remarcado")&gt;0,"Sim","Não"))</f>
        <v>0</v>
      </c>
      <c r="S1492" s="28">
        <f>IF($A1492="","",IF(AND($F1492="Agendado",$A1492-Hoje&gt;=0,$A1492-Hoje&lt;=DiasConf),"CONFIRMAR",IF(AND($A1492&lt;Hoje,OR($F1492="Agendado",$F1492="Confirmado")),"Atualizar status",IF(AND($F1492="Compareceu",$P1492&gt;0.005),"Cobrar",IF($F1492="Faltou","Falta: reagendar","")))))</f>
        <v>0</v>
      </c>
      <c r="T1492" s="29">
        <f>IF($A1492="","",DATE(YEAR($A1492),MONTH($A1492),1))</f>
        <v>0</v>
      </c>
      <c r="U1492" s="30">
        <f>IF($S1492="CONFIRMAR",MAX($U$4:$U1491)+1,"")</f>
        <v>0</v>
      </c>
      <c r="V1492" s="30">
        <f>IF(AND($R1492="Não",$Q1492&lt;&gt;"",$Q1492&lt;=Hoje+JanelaRet,$Q1492&gt;=Hoje-60),MAX($V$4:$V1491)+1,"")</f>
        <v>0</v>
      </c>
    </row>
    <row r="1493" spans="1:22">
      <c r="A1493" s="16"/>
      <c r="B1493" s="23"/>
      <c r="C1493" s="15"/>
      <c r="D1493" s="15"/>
      <c r="E1493" s="15"/>
      <c r="F1493" s="24"/>
      <c r="G1493" s="17"/>
      <c r="H1493" s="17"/>
      <c r="I1493" s="15"/>
      <c r="J1493" s="25">
        <f>IF($D1493="","",IFERROR(INDEX(PacNome,MATCH($D1493,PacCod,0)),"Paciente não cadastrado"))</f>
        <v>0</v>
      </c>
      <c r="K1493" s="26">
        <f>IF($D1493="","",IFERROR(INDEX(PacConv,MATCH($D1493,PacCod,0))&amp;"",""))</f>
        <v>0</v>
      </c>
      <c r="L1493" s="26">
        <f>IF($A1493="","",CHOOSE(WEEKDAY($A1493,2),"Seg","Ter","Qua","Qui","Sex","Sáb","Dom"))</f>
        <v>0</v>
      </c>
      <c r="M1493" s="27">
        <f>IF($E1493="","",IF($G1493&lt;&gt;"",$G1493,IFERROR(INDEX(ProcValor,MATCH($E1493,ProcNome,0)),0)))</f>
        <v>0</v>
      </c>
      <c r="N1493" s="27">
        <f>IF($M1493="","",IF($F1493="Compareceu",$M1493,0))</f>
        <v>0</v>
      </c>
      <c r="O1493" s="27">
        <f>IF($M1493="","",IF($F1493="Faltou",$M1493,0))</f>
        <v>0</v>
      </c>
      <c r="P1493" s="27">
        <f>IF($M1493="","",IF($F1493="Compareceu",MAX(0,$M1493-N($H1493)),0))</f>
        <v>0</v>
      </c>
      <c r="Q1493" s="19">
        <f>IF(AND($F1493="Compareceu",$E1493&lt;&gt;"",$A1493&lt;&gt;""),IF(IFERROR(INDEX(ProcRet,MATCH($E1493,ProcNome,0)),0)&gt;0,$A1493+INDEX(ProcRet,MATCH($E1493,ProcNome,0)),""),"")</f>
        <v>0</v>
      </c>
      <c r="R1493" s="26">
        <f>IF($Q1493="","",IF(COUNTIFS(AgPac,$D1493,AgData,"&gt;"&amp;$A1493,AgStatus,"&lt;&gt;Cancelado",AgStatus,"&lt;&gt;Remarcado")&gt;0,"Sim","Não"))</f>
        <v>0</v>
      </c>
      <c r="S1493" s="28">
        <f>IF($A1493="","",IF(AND($F1493="Agendado",$A1493-Hoje&gt;=0,$A1493-Hoje&lt;=DiasConf),"CONFIRMAR",IF(AND($A1493&lt;Hoje,OR($F1493="Agendado",$F1493="Confirmado")),"Atualizar status",IF(AND($F1493="Compareceu",$P1493&gt;0.005),"Cobrar",IF($F1493="Faltou","Falta: reagendar","")))))</f>
        <v>0</v>
      </c>
      <c r="T1493" s="29">
        <f>IF($A1493="","",DATE(YEAR($A1493),MONTH($A1493),1))</f>
        <v>0</v>
      </c>
      <c r="U1493" s="30">
        <f>IF($S1493="CONFIRMAR",MAX($U$4:$U1492)+1,"")</f>
        <v>0</v>
      </c>
      <c r="V1493" s="30">
        <f>IF(AND($R1493="Não",$Q1493&lt;&gt;"",$Q1493&lt;=Hoje+JanelaRet,$Q1493&gt;=Hoje-60),MAX($V$4:$V1492)+1,"")</f>
        <v>0</v>
      </c>
    </row>
    <row r="1494" spans="1:22">
      <c r="A1494" s="16"/>
      <c r="B1494" s="23"/>
      <c r="C1494" s="15"/>
      <c r="D1494" s="15"/>
      <c r="E1494" s="15"/>
      <c r="F1494" s="24"/>
      <c r="G1494" s="17"/>
      <c r="H1494" s="17"/>
      <c r="I1494" s="15"/>
      <c r="J1494" s="25">
        <f>IF($D1494="","",IFERROR(INDEX(PacNome,MATCH($D1494,PacCod,0)),"Paciente não cadastrado"))</f>
        <v>0</v>
      </c>
      <c r="K1494" s="26">
        <f>IF($D1494="","",IFERROR(INDEX(PacConv,MATCH($D1494,PacCod,0))&amp;"",""))</f>
        <v>0</v>
      </c>
      <c r="L1494" s="26">
        <f>IF($A1494="","",CHOOSE(WEEKDAY($A1494,2),"Seg","Ter","Qua","Qui","Sex","Sáb","Dom"))</f>
        <v>0</v>
      </c>
      <c r="M1494" s="27">
        <f>IF($E1494="","",IF($G1494&lt;&gt;"",$G1494,IFERROR(INDEX(ProcValor,MATCH($E1494,ProcNome,0)),0)))</f>
        <v>0</v>
      </c>
      <c r="N1494" s="27">
        <f>IF($M1494="","",IF($F1494="Compareceu",$M1494,0))</f>
        <v>0</v>
      </c>
      <c r="O1494" s="27">
        <f>IF($M1494="","",IF($F1494="Faltou",$M1494,0))</f>
        <v>0</v>
      </c>
      <c r="P1494" s="27">
        <f>IF($M1494="","",IF($F1494="Compareceu",MAX(0,$M1494-N($H1494)),0))</f>
        <v>0</v>
      </c>
      <c r="Q1494" s="19">
        <f>IF(AND($F1494="Compareceu",$E1494&lt;&gt;"",$A1494&lt;&gt;""),IF(IFERROR(INDEX(ProcRet,MATCH($E1494,ProcNome,0)),0)&gt;0,$A1494+INDEX(ProcRet,MATCH($E1494,ProcNome,0)),""),"")</f>
        <v>0</v>
      </c>
      <c r="R1494" s="26">
        <f>IF($Q1494="","",IF(COUNTIFS(AgPac,$D1494,AgData,"&gt;"&amp;$A1494,AgStatus,"&lt;&gt;Cancelado",AgStatus,"&lt;&gt;Remarcado")&gt;0,"Sim","Não"))</f>
        <v>0</v>
      </c>
      <c r="S1494" s="28">
        <f>IF($A1494="","",IF(AND($F1494="Agendado",$A1494-Hoje&gt;=0,$A1494-Hoje&lt;=DiasConf),"CONFIRMAR",IF(AND($A1494&lt;Hoje,OR($F1494="Agendado",$F1494="Confirmado")),"Atualizar status",IF(AND($F1494="Compareceu",$P1494&gt;0.005),"Cobrar",IF($F1494="Faltou","Falta: reagendar","")))))</f>
        <v>0</v>
      </c>
      <c r="T1494" s="29">
        <f>IF($A1494="","",DATE(YEAR($A1494),MONTH($A1494),1))</f>
        <v>0</v>
      </c>
      <c r="U1494" s="30">
        <f>IF($S1494="CONFIRMAR",MAX($U$4:$U1493)+1,"")</f>
        <v>0</v>
      </c>
      <c r="V1494" s="30">
        <f>IF(AND($R1494="Não",$Q1494&lt;&gt;"",$Q1494&lt;=Hoje+JanelaRet,$Q1494&gt;=Hoje-60),MAX($V$4:$V1493)+1,"")</f>
        <v>0</v>
      </c>
    </row>
    <row r="1495" spans="1:22">
      <c r="A1495" s="16"/>
      <c r="B1495" s="23"/>
      <c r="C1495" s="15"/>
      <c r="D1495" s="15"/>
      <c r="E1495" s="15"/>
      <c r="F1495" s="24"/>
      <c r="G1495" s="17"/>
      <c r="H1495" s="17"/>
      <c r="I1495" s="15"/>
      <c r="J1495" s="25">
        <f>IF($D1495="","",IFERROR(INDEX(PacNome,MATCH($D1495,PacCod,0)),"Paciente não cadastrado"))</f>
        <v>0</v>
      </c>
      <c r="K1495" s="26">
        <f>IF($D1495="","",IFERROR(INDEX(PacConv,MATCH($D1495,PacCod,0))&amp;"",""))</f>
        <v>0</v>
      </c>
      <c r="L1495" s="26">
        <f>IF($A1495="","",CHOOSE(WEEKDAY($A1495,2),"Seg","Ter","Qua","Qui","Sex","Sáb","Dom"))</f>
        <v>0</v>
      </c>
      <c r="M1495" s="27">
        <f>IF($E1495="","",IF($G1495&lt;&gt;"",$G1495,IFERROR(INDEX(ProcValor,MATCH($E1495,ProcNome,0)),0)))</f>
        <v>0</v>
      </c>
      <c r="N1495" s="27">
        <f>IF($M1495="","",IF($F1495="Compareceu",$M1495,0))</f>
        <v>0</v>
      </c>
      <c r="O1495" s="27">
        <f>IF($M1495="","",IF($F1495="Faltou",$M1495,0))</f>
        <v>0</v>
      </c>
      <c r="P1495" s="27">
        <f>IF($M1495="","",IF($F1495="Compareceu",MAX(0,$M1495-N($H1495)),0))</f>
        <v>0</v>
      </c>
      <c r="Q1495" s="19">
        <f>IF(AND($F1495="Compareceu",$E1495&lt;&gt;"",$A1495&lt;&gt;""),IF(IFERROR(INDEX(ProcRet,MATCH($E1495,ProcNome,0)),0)&gt;0,$A1495+INDEX(ProcRet,MATCH($E1495,ProcNome,0)),""),"")</f>
        <v>0</v>
      </c>
      <c r="R1495" s="26">
        <f>IF($Q1495="","",IF(COUNTIFS(AgPac,$D1495,AgData,"&gt;"&amp;$A1495,AgStatus,"&lt;&gt;Cancelado",AgStatus,"&lt;&gt;Remarcado")&gt;0,"Sim","Não"))</f>
        <v>0</v>
      </c>
      <c r="S1495" s="28">
        <f>IF($A1495="","",IF(AND($F1495="Agendado",$A1495-Hoje&gt;=0,$A1495-Hoje&lt;=DiasConf),"CONFIRMAR",IF(AND($A1495&lt;Hoje,OR($F1495="Agendado",$F1495="Confirmado")),"Atualizar status",IF(AND($F1495="Compareceu",$P1495&gt;0.005),"Cobrar",IF($F1495="Faltou","Falta: reagendar","")))))</f>
        <v>0</v>
      </c>
      <c r="T1495" s="29">
        <f>IF($A1495="","",DATE(YEAR($A1495),MONTH($A1495),1))</f>
        <v>0</v>
      </c>
      <c r="U1495" s="30">
        <f>IF($S1495="CONFIRMAR",MAX($U$4:$U1494)+1,"")</f>
        <v>0</v>
      </c>
      <c r="V1495" s="30">
        <f>IF(AND($R1495="Não",$Q1495&lt;&gt;"",$Q1495&lt;=Hoje+JanelaRet,$Q1495&gt;=Hoje-60),MAX($V$4:$V1494)+1,"")</f>
        <v>0</v>
      </c>
    </row>
    <row r="1496" spans="1:22">
      <c r="A1496" s="16"/>
      <c r="B1496" s="23"/>
      <c r="C1496" s="15"/>
      <c r="D1496" s="15"/>
      <c r="E1496" s="15"/>
      <c r="F1496" s="24"/>
      <c r="G1496" s="17"/>
      <c r="H1496" s="17"/>
      <c r="I1496" s="15"/>
      <c r="J1496" s="25">
        <f>IF($D1496="","",IFERROR(INDEX(PacNome,MATCH($D1496,PacCod,0)),"Paciente não cadastrado"))</f>
        <v>0</v>
      </c>
      <c r="K1496" s="26">
        <f>IF($D1496="","",IFERROR(INDEX(PacConv,MATCH($D1496,PacCod,0))&amp;"",""))</f>
        <v>0</v>
      </c>
      <c r="L1496" s="26">
        <f>IF($A1496="","",CHOOSE(WEEKDAY($A1496,2),"Seg","Ter","Qua","Qui","Sex","Sáb","Dom"))</f>
        <v>0</v>
      </c>
      <c r="M1496" s="27">
        <f>IF($E1496="","",IF($G1496&lt;&gt;"",$G1496,IFERROR(INDEX(ProcValor,MATCH($E1496,ProcNome,0)),0)))</f>
        <v>0</v>
      </c>
      <c r="N1496" s="27">
        <f>IF($M1496="","",IF($F1496="Compareceu",$M1496,0))</f>
        <v>0</v>
      </c>
      <c r="O1496" s="27">
        <f>IF($M1496="","",IF($F1496="Faltou",$M1496,0))</f>
        <v>0</v>
      </c>
      <c r="P1496" s="27">
        <f>IF($M1496="","",IF($F1496="Compareceu",MAX(0,$M1496-N($H1496)),0))</f>
        <v>0</v>
      </c>
      <c r="Q1496" s="19">
        <f>IF(AND($F1496="Compareceu",$E1496&lt;&gt;"",$A1496&lt;&gt;""),IF(IFERROR(INDEX(ProcRet,MATCH($E1496,ProcNome,0)),0)&gt;0,$A1496+INDEX(ProcRet,MATCH($E1496,ProcNome,0)),""),"")</f>
        <v>0</v>
      </c>
      <c r="R1496" s="26">
        <f>IF($Q1496="","",IF(COUNTIFS(AgPac,$D1496,AgData,"&gt;"&amp;$A1496,AgStatus,"&lt;&gt;Cancelado",AgStatus,"&lt;&gt;Remarcado")&gt;0,"Sim","Não"))</f>
        <v>0</v>
      </c>
      <c r="S1496" s="28">
        <f>IF($A1496="","",IF(AND($F1496="Agendado",$A1496-Hoje&gt;=0,$A1496-Hoje&lt;=DiasConf),"CONFIRMAR",IF(AND($A1496&lt;Hoje,OR($F1496="Agendado",$F1496="Confirmado")),"Atualizar status",IF(AND($F1496="Compareceu",$P1496&gt;0.005),"Cobrar",IF($F1496="Faltou","Falta: reagendar","")))))</f>
        <v>0</v>
      </c>
      <c r="T1496" s="29">
        <f>IF($A1496="","",DATE(YEAR($A1496),MONTH($A1496),1))</f>
        <v>0</v>
      </c>
      <c r="U1496" s="30">
        <f>IF($S1496="CONFIRMAR",MAX($U$4:$U1495)+1,"")</f>
        <v>0</v>
      </c>
      <c r="V1496" s="30">
        <f>IF(AND($R1496="Não",$Q1496&lt;&gt;"",$Q1496&lt;=Hoje+JanelaRet,$Q1496&gt;=Hoje-60),MAX($V$4:$V1495)+1,"")</f>
        <v>0</v>
      </c>
    </row>
    <row r="1497" spans="1:22">
      <c r="A1497" s="16"/>
      <c r="B1497" s="23"/>
      <c r="C1497" s="15"/>
      <c r="D1497" s="15"/>
      <c r="E1497" s="15"/>
      <c r="F1497" s="24"/>
      <c r="G1497" s="17"/>
      <c r="H1497" s="17"/>
      <c r="I1497" s="15"/>
      <c r="J1497" s="25">
        <f>IF($D1497="","",IFERROR(INDEX(PacNome,MATCH($D1497,PacCod,0)),"Paciente não cadastrado"))</f>
        <v>0</v>
      </c>
      <c r="K1497" s="26">
        <f>IF($D1497="","",IFERROR(INDEX(PacConv,MATCH($D1497,PacCod,0))&amp;"",""))</f>
        <v>0</v>
      </c>
      <c r="L1497" s="26">
        <f>IF($A1497="","",CHOOSE(WEEKDAY($A1497,2),"Seg","Ter","Qua","Qui","Sex","Sáb","Dom"))</f>
        <v>0</v>
      </c>
      <c r="M1497" s="27">
        <f>IF($E1497="","",IF($G1497&lt;&gt;"",$G1497,IFERROR(INDEX(ProcValor,MATCH($E1497,ProcNome,0)),0)))</f>
        <v>0</v>
      </c>
      <c r="N1497" s="27">
        <f>IF($M1497="","",IF($F1497="Compareceu",$M1497,0))</f>
        <v>0</v>
      </c>
      <c r="O1497" s="27">
        <f>IF($M1497="","",IF($F1497="Faltou",$M1497,0))</f>
        <v>0</v>
      </c>
      <c r="P1497" s="27">
        <f>IF($M1497="","",IF($F1497="Compareceu",MAX(0,$M1497-N($H1497)),0))</f>
        <v>0</v>
      </c>
      <c r="Q1497" s="19">
        <f>IF(AND($F1497="Compareceu",$E1497&lt;&gt;"",$A1497&lt;&gt;""),IF(IFERROR(INDEX(ProcRet,MATCH($E1497,ProcNome,0)),0)&gt;0,$A1497+INDEX(ProcRet,MATCH($E1497,ProcNome,0)),""),"")</f>
        <v>0</v>
      </c>
      <c r="R1497" s="26">
        <f>IF($Q1497="","",IF(COUNTIFS(AgPac,$D1497,AgData,"&gt;"&amp;$A1497,AgStatus,"&lt;&gt;Cancelado",AgStatus,"&lt;&gt;Remarcado")&gt;0,"Sim","Não"))</f>
        <v>0</v>
      </c>
      <c r="S1497" s="28">
        <f>IF($A1497="","",IF(AND($F1497="Agendado",$A1497-Hoje&gt;=0,$A1497-Hoje&lt;=DiasConf),"CONFIRMAR",IF(AND($A1497&lt;Hoje,OR($F1497="Agendado",$F1497="Confirmado")),"Atualizar status",IF(AND($F1497="Compareceu",$P1497&gt;0.005),"Cobrar",IF($F1497="Faltou","Falta: reagendar","")))))</f>
        <v>0</v>
      </c>
      <c r="T1497" s="29">
        <f>IF($A1497="","",DATE(YEAR($A1497),MONTH($A1497),1))</f>
        <v>0</v>
      </c>
      <c r="U1497" s="30">
        <f>IF($S1497="CONFIRMAR",MAX($U$4:$U1496)+1,"")</f>
        <v>0</v>
      </c>
      <c r="V1497" s="30">
        <f>IF(AND($R1497="Não",$Q1497&lt;&gt;"",$Q1497&lt;=Hoje+JanelaRet,$Q1497&gt;=Hoje-60),MAX($V$4:$V1496)+1,"")</f>
        <v>0</v>
      </c>
    </row>
    <row r="1498" spans="1:22">
      <c r="A1498" s="16"/>
      <c r="B1498" s="23"/>
      <c r="C1498" s="15"/>
      <c r="D1498" s="15"/>
      <c r="E1498" s="15"/>
      <c r="F1498" s="24"/>
      <c r="G1498" s="17"/>
      <c r="H1498" s="17"/>
      <c r="I1498" s="15"/>
      <c r="J1498" s="25">
        <f>IF($D1498="","",IFERROR(INDEX(PacNome,MATCH($D1498,PacCod,0)),"Paciente não cadastrado"))</f>
        <v>0</v>
      </c>
      <c r="K1498" s="26">
        <f>IF($D1498="","",IFERROR(INDEX(PacConv,MATCH($D1498,PacCod,0))&amp;"",""))</f>
        <v>0</v>
      </c>
      <c r="L1498" s="26">
        <f>IF($A1498="","",CHOOSE(WEEKDAY($A1498,2),"Seg","Ter","Qua","Qui","Sex","Sáb","Dom"))</f>
        <v>0</v>
      </c>
      <c r="M1498" s="27">
        <f>IF($E1498="","",IF($G1498&lt;&gt;"",$G1498,IFERROR(INDEX(ProcValor,MATCH($E1498,ProcNome,0)),0)))</f>
        <v>0</v>
      </c>
      <c r="N1498" s="27">
        <f>IF($M1498="","",IF($F1498="Compareceu",$M1498,0))</f>
        <v>0</v>
      </c>
      <c r="O1498" s="27">
        <f>IF($M1498="","",IF($F1498="Faltou",$M1498,0))</f>
        <v>0</v>
      </c>
      <c r="P1498" s="27">
        <f>IF($M1498="","",IF($F1498="Compareceu",MAX(0,$M1498-N($H1498)),0))</f>
        <v>0</v>
      </c>
      <c r="Q1498" s="19">
        <f>IF(AND($F1498="Compareceu",$E1498&lt;&gt;"",$A1498&lt;&gt;""),IF(IFERROR(INDEX(ProcRet,MATCH($E1498,ProcNome,0)),0)&gt;0,$A1498+INDEX(ProcRet,MATCH($E1498,ProcNome,0)),""),"")</f>
        <v>0</v>
      </c>
      <c r="R1498" s="26">
        <f>IF($Q1498="","",IF(COUNTIFS(AgPac,$D1498,AgData,"&gt;"&amp;$A1498,AgStatus,"&lt;&gt;Cancelado",AgStatus,"&lt;&gt;Remarcado")&gt;0,"Sim","Não"))</f>
        <v>0</v>
      </c>
      <c r="S1498" s="28">
        <f>IF($A1498="","",IF(AND($F1498="Agendado",$A1498-Hoje&gt;=0,$A1498-Hoje&lt;=DiasConf),"CONFIRMAR",IF(AND($A1498&lt;Hoje,OR($F1498="Agendado",$F1498="Confirmado")),"Atualizar status",IF(AND($F1498="Compareceu",$P1498&gt;0.005),"Cobrar",IF($F1498="Faltou","Falta: reagendar","")))))</f>
        <v>0</v>
      </c>
      <c r="T1498" s="29">
        <f>IF($A1498="","",DATE(YEAR($A1498),MONTH($A1498),1))</f>
        <v>0</v>
      </c>
      <c r="U1498" s="30">
        <f>IF($S1498="CONFIRMAR",MAX($U$4:$U1497)+1,"")</f>
        <v>0</v>
      </c>
      <c r="V1498" s="30">
        <f>IF(AND($R1498="Não",$Q1498&lt;&gt;"",$Q1498&lt;=Hoje+JanelaRet,$Q1498&gt;=Hoje-60),MAX($V$4:$V1497)+1,"")</f>
        <v>0</v>
      </c>
    </row>
    <row r="1499" spans="1:22">
      <c r="A1499" s="16"/>
      <c r="B1499" s="23"/>
      <c r="C1499" s="15"/>
      <c r="D1499" s="15"/>
      <c r="E1499" s="15"/>
      <c r="F1499" s="24"/>
      <c r="G1499" s="17"/>
      <c r="H1499" s="17"/>
      <c r="I1499" s="15"/>
      <c r="J1499" s="25">
        <f>IF($D1499="","",IFERROR(INDEX(PacNome,MATCH($D1499,PacCod,0)),"Paciente não cadastrado"))</f>
        <v>0</v>
      </c>
      <c r="K1499" s="26">
        <f>IF($D1499="","",IFERROR(INDEX(PacConv,MATCH($D1499,PacCod,0))&amp;"",""))</f>
        <v>0</v>
      </c>
      <c r="L1499" s="26">
        <f>IF($A1499="","",CHOOSE(WEEKDAY($A1499,2),"Seg","Ter","Qua","Qui","Sex","Sáb","Dom"))</f>
        <v>0</v>
      </c>
      <c r="M1499" s="27">
        <f>IF($E1499="","",IF($G1499&lt;&gt;"",$G1499,IFERROR(INDEX(ProcValor,MATCH($E1499,ProcNome,0)),0)))</f>
        <v>0</v>
      </c>
      <c r="N1499" s="27">
        <f>IF($M1499="","",IF($F1499="Compareceu",$M1499,0))</f>
        <v>0</v>
      </c>
      <c r="O1499" s="27">
        <f>IF($M1499="","",IF($F1499="Faltou",$M1499,0))</f>
        <v>0</v>
      </c>
      <c r="P1499" s="27">
        <f>IF($M1499="","",IF($F1499="Compareceu",MAX(0,$M1499-N($H1499)),0))</f>
        <v>0</v>
      </c>
      <c r="Q1499" s="19">
        <f>IF(AND($F1499="Compareceu",$E1499&lt;&gt;"",$A1499&lt;&gt;""),IF(IFERROR(INDEX(ProcRet,MATCH($E1499,ProcNome,0)),0)&gt;0,$A1499+INDEX(ProcRet,MATCH($E1499,ProcNome,0)),""),"")</f>
        <v>0</v>
      </c>
      <c r="R1499" s="26">
        <f>IF($Q1499="","",IF(COUNTIFS(AgPac,$D1499,AgData,"&gt;"&amp;$A1499,AgStatus,"&lt;&gt;Cancelado",AgStatus,"&lt;&gt;Remarcado")&gt;0,"Sim","Não"))</f>
        <v>0</v>
      </c>
      <c r="S1499" s="28">
        <f>IF($A1499="","",IF(AND($F1499="Agendado",$A1499-Hoje&gt;=0,$A1499-Hoje&lt;=DiasConf),"CONFIRMAR",IF(AND($A1499&lt;Hoje,OR($F1499="Agendado",$F1499="Confirmado")),"Atualizar status",IF(AND($F1499="Compareceu",$P1499&gt;0.005),"Cobrar",IF($F1499="Faltou","Falta: reagendar","")))))</f>
        <v>0</v>
      </c>
      <c r="T1499" s="29">
        <f>IF($A1499="","",DATE(YEAR($A1499),MONTH($A1499),1))</f>
        <v>0</v>
      </c>
      <c r="U1499" s="30">
        <f>IF($S1499="CONFIRMAR",MAX($U$4:$U1498)+1,"")</f>
        <v>0</v>
      </c>
      <c r="V1499" s="30">
        <f>IF(AND($R1499="Não",$Q1499&lt;&gt;"",$Q1499&lt;=Hoje+JanelaRet,$Q1499&gt;=Hoje-60),MAX($V$4:$V1498)+1,"")</f>
        <v>0</v>
      </c>
    </row>
    <row r="1500" spans="1:22">
      <c r="A1500" s="16"/>
      <c r="B1500" s="23"/>
      <c r="C1500" s="15"/>
      <c r="D1500" s="15"/>
      <c r="E1500" s="15"/>
      <c r="F1500" s="24"/>
      <c r="G1500" s="17"/>
      <c r="H1500" s="17"/>
      <c r="I1500" s="15"/>
      <c r="J1500" s="25">
        <f>IF($D1500="","",IFERROR(INDEX(PacNome,MATCH($D1500,PacCod,0)),"Paciente não cadastrado"))</f>
        <v>0</v>
      </c>
      <c r="K1500" s="26">
        <f>IF($D1500="","",IFERROR(INDEX(PacConv,MATCH($D1500,PacCod,0))&amp;"",""))</f>
        <v>0</v>
      </c>
      <c r="L1500" s="26">
        <f>IF($A1500="","",CHOOSE(WEEKDAY($A1500,2),"Seg","Ter","Qua","Qui","Sex","Sáb","Dom"))</f>
        <v>0</v>
      </c>
      <c r="M1500" s="27">
        <f>IF($E1500="","",IF($G1500&lt;&gt;"",$G1500,IFERROR(INDEX(ProcValor,MATCH($E1500,ProcNome,0)),0)))</f>
        <v>0</v>
      </c>
      <c r="N1500" s="27">
        <f>IF($M1500="","",IF($F1500="Compareceu",$M1500,0))</f>
        <v>0</v>
      </c>
      <c r="O1500" s="27">
        <f>IF($M1500="","",IF($F1500="Faltou",$M1500,0))</f>
        <v>0</v>
      </c>
      <c r="P1500" s="27">
        <f>IF($M1500="","",IF($F1500="Compareceu",MAX(0,$M1500-N($H1500)),0))</f>
        <v>0</v>
      </c>
      <c r="Q1500" s="19">
        <f>IF(AND($F1500="Compareceu",$E1500&lt;&gt;"",$A1500&lt;&gt;""),IF(IFERROR(INDEX(ProcRet,MATCH($E1500,ProcNome,0)),0)&gt;0,$A1500+INDEX(ProcRet,MATCH($E1500,ProcNome,0)),""),"")</f>
        <v>0</v>
      </c>
      <c r="R1500" s="26">
        <f>IF($Q1500="","",IF(COUNTIFS(AgPac,$D1500,AgData,"&gt;"&amp;$A1500,AgStatus,"&lt;&gt;Cancelado",AgStatus,"&lt;&gt;Remarcado")&gt;0,"Sim","Não"))</f>
        <v>0</v>
      </c>
      <c r="S1500" s="28">
        <f>IF($A1500="","",IF(AND($F1500="Agendado",$A1500-Hoje&gt;=0,$A1500-Hoje&lt;=DiasConf),"CONFIRMAR",IF(AND($A1500&lt;Hoje,OR($F1500="Agendado",$F1500="Confirmado")),"Atualizar status",IF(AND($F1500="Compareceu",$P1500&gt;0.005),"Cobrar",IF($F1500="Faltou","Falta: reagendar","")))))</f>
        <v>0</v>
      </c>
      <c r="T1500" s="29">
        <f>IF($A1500="","",DATE(YEAR($A1500),MONTH($A1500),1))</f>
        <v>0</v>
      </c>
      <c r="U1500" s="30">
        <f>IF($S1500="CONFIRMAR",MAX($U$4:$U1499)+1,"")</f>
        <v>0</v>
      </c>
      <c r="V1500" s="30">
        <f>IF(AND($R1500="Não",$Q1500&lt;&gt;"",$Q1500&lt;=Hoje+JanelaRet,$Q1500&gt;=Hoje-60),MAX($V$4:$V1499)+1,"")</f>
        <v>0</v>
      </c>
    </row>
    <row r="1501" spans="1:22">
      <c r="A1501" s="16"/>
      <c r="B1501" s="23"/>
      <c r="C1501" s="15"/>
      <c r="D1501" s="15"/>
      <c r="E1501" s="15"/>
      <c r="F1501" s="24"/>
      <c r="G1501" s="17"/>
      <c r="H1501" s="17"/>
      <c r="I1501" s="15"/>
      <c r="J1501" s="25">
        <f>IF($D1501="","",IFERROR(INDEX(PacNome,MATCH($D1501,PacCod,0)),"Paciente não cadastrado"))</f>
        <v>0</v>
      </c>
      <c r="K1501" s="26">
        <f>IF($D1501="","",IFERROR(INDEX(PacConv,MATCH($D1501,PacCod,0))&amp;"",""))</f>
        <v>0</v>
      </c>
      <c r="L1501" s="26">
        <f>IF($A1501="","",CHOOSE(WEEKDAY($A1501,2),"Seg","Ter","Qua","Qui","Sex","Sáb","Dom"))</f>
        <v>0</v>
      </c>
      <c r="M1501" s="27">
        <f>IF($E1501="","",IF($G1501&lt;&gt;"",$G1501,IFERROR(INDEX(ProcValor,MATCH($E1501,ProcNome,0)),0)))</f>
        <v>0</v>
      </c>
      <c r="N1501" s="27">
        <f>IF($M1501="","",IF($F1501="Compareceu",$M1501,0))</f>
        <v>0</v>
      </c>
      <c r="O1501" s="27">
        <f>IF($M1501="","",IF($F1501="Faltou",$M1501,0))</f>
        <v>0</v>
      </c>
      <c r="P1501" s="27">
        <f>IF($M1501="","",IF($F1501="Compareceu",MAX(0,$M1501-N($H1501)),0))</f>
        <v>0</v>
      </c>
      <c r="Q1501" s="19">
        <f>IF(AND($F1501="Compareceu",$E1501&lt;&gt;"",$A1501&lt;&gt;""),IF(IFERROR(INDEX(ProcRet,MATCH($E1501,ProcNome,0)),0)&gt;0,$A1501+INDEX(ProcRet,MATCH($E1501,ProcNome,0)),""),"")</f>
        <v>0</v>
      </c>
      <c r="R1501" s="26">
        <f>IF($Q1501="","",IF(COUNTIFS(AgPac,$D1501,AgData,"&gt;"&amp;$A1501,AgStatus,"&lt;&gt;Cancelado",AgStatus,"&lt;&gt;Remarcado")&gt;0,"Sim","Não"))</f>
        <v>0</v>
      </c>
      <c r="S1501" s="28">
        <f>IF($A1501="","",IF(AND($F1501="Agendado",$A1501-Hoje&gt;=0,$A1501-Hoje&lt;=DiasConf),"CONFIRMAR",IF(AND($A1501&lt;Hoje,OR($F1501="Agendado",$F1501="Confirmado")),"Atualizar status",IF(AND($F1501="Compareceu",$P1501&gt;0.005),"Cobrar",IF($F1501="Faltou","Falta: reagendar","")))))</f>
        <v>0</v>
      </c>
      <c r="T1501" s="29">
        <f>IF($A1501="","",DATE(YEAR($A1501),MONTH($A1501),1))</f>
        <v>0</v>
      </c>
      <c r="U1501" s="30">
        <f>IF($S1501="CONFIRMAR",MAX($U$4:$U1500)+1,"")</f>
        <v>0</v>
      </c>
      <c r="V1501" s="30">
        <f>IF(AND($R1501="Não",$Q1501&lt;&gt;"",$Q1501&lt;=Hoje+JanelaRet,$Q1501&gt;=Hoje-60),MAX($V$4:$V1500)+1,"")</f>
        <v>0</v>
      </c>
    </row>
    <row r="1502" spans="1:22">
      <c r="A1502" s="16"/>
      <c r="B1502" s="23"/>
      <c r="C1502" s="15"/>
      <c r="D1502" s="15"/>
      <c r="E1502" s="15"/>
      <c r="F1502" s="24"/>
      <c r="G1502" s="17"/>
      <c r="H1502" s="17"/>
      <c r="I1502" s="15"/>
      <c r="J1502" s="25">
        <f>IF($D1502="","",IFERROR(INDEX(PacNome,MATCH($D1502,PacCod,0)),"Paciente não cadastrado"))</f>
        <v>0</v>
      </c>
      <c r="K1502" s="26">
        <f>IF($D1502="","",IFERROR(INDEX(PacConv,MATCH($D1502,PacCod,0))&amp;"",""))</f>
        <v>0</v>
      </c>
      <c r="L1502" s="26">
        <f>IF($A1502="","",CHOOSE(WEEKDAY($A1502,2),"Seg","Ter","Qua","Qui","Sex","Sáb","Dom"))</f>
        <v>0</v>
      </c>
      <c r="M1502" s="27">
        <f>IF($E1502="","",IF($G1502&lt;&gt;"",$G1502,IFERROR(INDEX(ProcValor,MATCH($E1502,ProcNome,0)),0)))</f>
        <v>0</v>
      </c>
      <c r="N1502" s="27">
        <f>IF($M1502="","",IF($F1502="Compareceu",$M1502,0))</f>
        <v>0</v>
      </c>
      <c r="O1502" s="27">
        <f>IF($M1502="","",IF($F1502="Faltou",$M1502,0))</f>
        <v>0</v>
      </c>
      <c r="P1502" s="27">
        <f>IF($M1502="","",IF($F1502="Compareceu",MAX(0,$M1502-N($H1502)),0))</f>
        <v>0</v>
      </c>
      <c r="Q1502" s="19">
        <f>IF(AND($F1502="Compareceu",$E1502&lt;&gt;"",$A1502&lt;&gt;""),IF(IFERROR(INDEX(ProcRet,MATCH($E1502,ProcNome,0)),0)&gt;0,$A1502+INDEX(ProcRet,MATCH($E1502,ProcNome,0)),""),"")</f>
        <v>0</v>
      </c>
      <c r="R1502" s="26">
        <f>IF($Q1502="","",IF(COUNTIFS(AgPac,$D1502,AgData,"&gt;"&amp;$A1502,AgStatus,"&lt;&gt;Cancelado",AgStatus,"&lt;&gt;Remarcado")&gt;0,"Sim","Não"))</f>
        <v>0</v>
      </c>
      <c r="S1502" s="28">
        <f>IF($A1502="","",IF(AND($F1502="Agendado",$A1502-Hoje&gt;=0,$A1502-Hoje&lt;=DiasConf),"CONFIRMAR",IF(AND($A1502&lt;Hoje,OR($F1502="Agendado",$F1502="Confirmado")),"Atualizar status",IF(AND($F1502="Compareceu",$P1502&gt;0.005),"Cobrar",IF($F1502="Faltou","Falta: reagendar","")))))</f>
        <v>0</v>
      </c>
      <c r="T1502" s="29">
        <f>IF($A1502="","",DATE(YEAR($A1502),MONTH($A1502),1))</f>
        <v>0</v>
      </c>
      <c r="U1502" s="30">
        <f>IF($S1502="CONFIRMAR",MAX($U$4:$U1501)+1,"")</f>
        <v>0</v>
      </c>
      <c r="V1502" s="30">
        <f>IF(AND($R1502="Não",$Q1502&lt;&gt;"",$Q1502&lt;=Hoje+JanelaRet,$Q1502&gt;=Hoje-60),MAX($V$4:$V1501)+1,"")</f>
        <v>0</v>
      </c>
    </row>
    <row r="1503" spans="1:22">
      <c r="A1503" s="16"/>
      <c r="B1503" s="23"/>
      <c r="C1503" s="15"/>
      <c r="D1503" s="15"/>
      <c r="E1503" s="15"/>
      <c r="F1503" s="24"/>
      <c r="G1503" s="17"/>
      <c r="H1503" s="17"/>
      <c r="I1503" s="15"/>
      <c r="J1503" s="25">
        <f>IF($D1503="","",IFERROR(INDEX(PacNome,MATCH($D1503,PacCod,0)),"Paciente não cadastrado"))</f>
        <v>0</v>
      </c>
      <c r="K1503" s="26">
        <f>IF($D1503="","",IFERROR(INDEX(PacConv,MATCH($D1503,PacCod,0))&amp;"",""))</f>
        <v>0</v>
      </c>
      <c r="L1503" s="26">
        <f>IF($A1503="","",CHOOSE(WEEKDAY($A1503,2),"Seg","Ter","Qua","Qui","Sex","Sáb","Dom"))</f>
        <v>0</v>
      </c>
      <c r="M1503" s="27">
        <f>IF($E1503="","",IF($G1503&lt;&gt;"",$G1503,IFERROR(INDEX(ProcValor,MATCH($E1503,ProcNome,0)),0)))</f>
        <v>0</v>
      </c>
      <c r="N1503" s="27">
        <f>IF($M1503="","",IF($F1503="Compareceu",$M1503,0))</f>
        <v>0</v>
      </c>
      <c r="O1503" s="27">
        <f>IF($M1503="","",IF($F1503="Faltou",$M1503,0))</f>
        <v>0</v>
      </c>
      <c r="P1503" s="27">
        <f>IF($M1503="","",IF($F1503="Compareceu",MAX(0,$M1503-N($H1503)),0))</f>
        <v>0</v>
      </c>
      <c r="Q1503" s="19">
        <f>IF(AND($F1503="Compareceu",$E1503&lt;&gt;"",$A1503&lt;&gt;""),IF(IFERROR(INDEX(ProcRet,MATCH($E1503,ProcNome,0)),0)&gt;0,$A1503+INDEX(ProcRet,MATCH($E1503,ProcNome,0)),""),"")</f>
        <v>0</v>
      </c>
      <c r="R1503" s="26">
        <f>IF($Q1503="","",IF(COUNTIFS(AgPac,$D1503,AgData,"&gt;"&amp;$A1503,AgStatus,"&lt;&gt;Cancelado",AgStatus,"&lt;&gt;Remarcado")&gt;0,"Sim","Não"))</f>
        <v>0</v>
      </c>
      <c r="S1503" s="28">
        <f>IF($A1503="","",IF(AND($F1503="Agendado",$A1503-Hoje&gt;=0,$A1503-Hoje&lt;=DiasConf),"CONFIRMAR",IF(AND($A1503&lt;Hoje,OR($F1503="Agendado",$F1503="Confirmado")),"Atualizar status",IF(AND($F1503="Compareceu",$P1503&gt;0.005),"Cobrar",IF($F1503="Faltou","Falta: reagendar","")))))</f>
        <v>0</v>
      </c>
      <c r="T1503" s="29">
        <f>IF($A1503="","",DATE(YEAR($A1503),MONTH($A1503),1))</f>
        <v>0</v>
      </c>
      <c r="U1503" s="30">
        <f>IF($S1503="CONFIRMAR",MAX($U$4:$U1502)+1,"")</f>
        <v>0</v>
      </c>
      <c r="V1503" s="30">
        <f>IF(AND($R1503="Não",$Q1503&lt;&gt;"",$Q1503&lt;=Hoje+JanelaRet,$Q1503&gt;=Hoje-60),MAX($V$4:$V1502)+1,"")</f>
        <v>0</v>
      </c>
    </row>
    <row r="1504" spans="1:22">
      <c r="A1504" s="16"/>
      <c r="B1504" s="23"/>
      <c r="C1504" s="15"/>
      <c r="D1504" s="15"/>
      <c r="E1504" s="15"/>
      <c r="F1504" s="24"/>
      <c r="G1504" s="17"/>
      <c r="H1504" s="17"/>
      <c r="I1504" s="15"/>
      <c r="J1504" s="25">
        <f>IF($D1504="","",IFERROR(INDEX(PacNome,MATCH($D1504,PacCod,0)),"Paciente não cadastrado"))</f>
        <v>0</v>
      </c>
      <c r="K1504" s="26">
        <f>IF($D1504="","",IFERROR(INDEX(PacConv,MATCH($D1504,PacCod,0))&amp;"",""))</f>
        <v>0</v>
      </c>
      <c r="L1504" s="26">
        <f>IF($A1504="","",CHOOSE(WEEKDAY($A1504,2),"Seg","Ter","Qua","Qui","Sex","Sáb","Dom"))</f>
        <v>0</v>
      </c>
      <c r="M1504" s="27">
        <f>IF($E1504="","",IF($G1504&lt;&gt;"",$G1504,IFERROR(INDEX(ProcValor,MATCH($E1504,ProcNome,0)),0)))</f>
        <v>0</v>
      </c>
      <c r="N1504" s="27">
        <f>IF($M1504="","",IF($F1504="Compareceu",$M1504,0))</f>
        <v>0</v>
      </c>
      <c r="O1504" s="27">
        <f>IF($M1504="","",IF($F1504="Faltou",$M1504,0))</f>
        <v>0</v>
      </c>
      <c r="P1504" s="27">
        <f>IF($M1504="","",IF($F1504="Compareceu",MAX(0,$M1504-N($H1504)),0))</f>
        <v>0</v>
      </c>
      <c r="Q1504" s="19">
        <f>IF(AND($F1504="Compareceu",$E1504&lt;&gt;"",$A1504&lt;&gt;""),IF(IFERROR(INDEX(ProcRet,MATCH($E1504,ProcNome,0)),0)&gt;0,$A1504+INDEX(ProcRet,MATCH($E1504,ProcNome,0)),""),"")</f>
        <v>0</v>
      </c>
      <c r="R1504" s="26">
        <f>IF($Q1504="","",IF(COUNTIFS(AgPac,$D1504,AgData,"&gt;"&amp;$A1504,AgStatus,"&lt;&gt;Cancelado",AgStatus,"&lt;&gt;Remarcado")&gt;0,"Sim","Não"))</f>
        <v>0</v>
      </c>
      <c r="S1504" s="28">
        <f>IF($A1504="","",IF(AND($F1504="Agendado",$A1504-Hoje&gt;=0,$A1504-Hoje&lt;=DiasConf),"CONFIRMAR",IF(AND($A1504&lt;Hoje,OR($F1504="Agendado",$F1504="Confirmado")),"Atualizar status",IF(AND($F1504="Compareceu",$P1504&gt;0.005),"Cobrar",IF($F1504="Faltou","Falta: reagendar","")))))</f>
        <v>0</v>
      </c>
      <c r="T1504" s="29">
        <f>IF($A1504="","",DATE(YEAR($A1504),MONTH($A1504),1))</f>
        <v>0</v>
      </c>
      <c r="U1504" s="30">
        <f>IF($S1504="CONFIRMAR",MAX($U$4:$U1503)+1,"")</f>
        <v>0</v>
      </c>
      <c r="V1504" s="30">
        <f>IF(AND($R1504="Não",$Q1504&lt;&gt;"",$Q1504&lt;=Hoje+JanelaRet,$Q1504&gt;=Hoje-60),MAX($V$4:$V1503)+1,"")</f>
        <v>0</v>
      </c>
    </row>
    <row r="1505" spans="1:22">
      <c r="A1505" s="16"/>
      <c r="B1505" s="23"/>
      <c r="C1505" s="15"/>
      <c r="D1505" s="15"/>
      <c r="E1505" s="15"/>
      <c r="F1505" s="24"/>
      <c r="G1505" s="17"/>
      <c r="H1505" s="17"/>
      <c r="I1505" s="15"/>
      <c r="J1505" s="25">
        <f>IF($D1505="","",IFERROR(INDEX(PacNome,MATCH($D1505,PacCod,0)),"Paciente não cadastrado"))</f>
        <v>0</v>
      </c>
      <c r="K1505" s="26">
        <f>IF($D1505="","",IFERROR(INDEX(PacConv,MATCH($D1505,PacCod,0))&amp;"",""))</f>
        <v>0</v>
      </c>
      <c r="L1505" s="26">
        <f>IF($A1505="","",CHOOSE(WEEKDAY($A1505,2),"Seg","Ter","Qua","Qui","Sex","Sáb","Dom"))</f>
        <v>0</v>
      </c>
      <c r="M1505" s="27">
        <f>IF($E1505="","",IF($G1505&lt;&gt;"",$G1505,IFERROR(INDEX(ProcValor,MATCH($E1505,ProcNome,0)),0)))</f>
        <v>0</v>
      </c>
      <c r="N1505" s="27">
        <f>IF($M1505="","",IF($F1505="Compareceu",$M1505,0))</f>
        <v>0</v>
      </c>
      <c r="O1505" s="27">
        <f>IF($M1505="","",IF($F1505="Faltou",$M1505,0))</f>
        <v>0</v>
      </c>
      <c r="P1505" s="27">
        <f>IF($M1505="","",IF($F1505="Compareceu",MAX(0,$M1505-N($H1505)),0))</f>
        <v>0</v>
      </c>
      <c r="Q1505" s="19">
        <f>IF(AND($F1505="Compareceu",$E1505&lt;&gt;"",$A1505&lt;&gt;""),IF(IFERROR(INDEX(ProcRet,MATCH($E1505,ProcNome,0)),0)&gt;0,$A1505+INDEX(ProcRet,MATCH($E1505,ProcNome,0)),""),"")</f>
        <v>0</v>
      </c>
      <c r="R1505" s="26">
        <f>IF($Q1505="","",IF(COUNTIFS(AgPac,$D1505,AgData,"&gt;"&amp;$A1505,AgStatus,"&lt;&gt;Cancelado",AgStatus,"&lt;&gt;Remarcado")&gt;0,"Sim","Não"))</f>
        <v>0</v>
      </c>
      <c r="S1505" s="28">
        <f>IF($A1505="","",IF(AND($F1505="Agendado",$A1505-Hoje&gt;=0,$A1505-Hoje&lt;=DiasConf),"CONFIRMAR",IF(AND($A1505&lt;Hoje,OR($F1505="Agendado",$F1505="Confirmado")),"Atualizar status",IF(AND($F1505="Compareceu",$P1505&gt;0.005),"Cobrar",IF($F1505="Faltou","Falta: reagendar","")))))</f>
        <v>0</v>
      </c>
      <c r="T1505" s="29">
        <f>IF($A1505="","",DATE(YEAR($A1505),MONTH($A1505),1))</f>
        <v>0</v>
      </c>
      <c r="U1505" s="30">
        <f>IF($S1505="CONFIRMAR",MAX($U$4:$U1504)+1,"")</f>
        <v>0</v>
      </c>
      <c r="V1505" s="30">
        <f>IF(AND($R1505="Não",$Q1505&lt;&gt;"",$Q1505&lt;=Hoje+JanelaRet,$Q1505&gt;=Hoje-60),MAX($V$4:$V1504)+1,"")</f>
        <v>0</v>
      </c>
    </row>
    <row r="1506" spans="1:22">
      <c r="A1506" s="16"/>
      <c r="B1506" s="23"/>
      <c r="C1506" s="15"/>
      <c r="D1506" s="15"/>
      <c r="E1506" s="15"/>
      <c r="F1506" s="24"/>
      <c r="G1506" s="17"/>
      <c r="H1506" s="17"/>
      <c r="I1506" s="15"/>
      <c r="J1506" s="25">
        <f>IF($D1506="","",IFERROR(INDEX(PacNome,MATCH($D1506,PacCod,0)),"Paciente não cadastrado"))</f>
        <v>0</v>
      </c>
      <c r="K1506" s="26">
        <f>IF($D1506="","",IFERROR(INDEX(PacConv,MATCH($D1506,PacCod,0))&amp;"",""))</f>
        <v>0</v>
      </c>
      <c r="L1506" s="26">
        <f>IF($A1506="","",CHOOSE(WEEKDAY($A1506,2),"Seg","Ter","Qua","Qui","Sex","Sáb","Dom"))</f>
        <v>0</v>
      </c>
      <c r="M1506" s="27">
        <f>IF($E1506="","",IF($G1506&lt;&gt;"",$G1506,IFERROR(INDEX(ProcValor,MATCH($E1506,ProcNome,0)),0)))</f>
        <v>0</v>
      </c>
      <c r="N1506" s="27">
        <f>IF($M1506="","",IF($F1506="Compareceu",$M1506,0))</f>
        <v>0</v>
      </c>
      <c r="O1506" s="27">
        <f>IF($M1506="","",IF($F1506="Faltou",$M1506,0))</f>
        <v>0</v>
      </c>
      <c r="P1506" s="27">
        <f>IF($M1506="","",IF($F1506="Compareceu",MAX(0,$M1506-N($H1506)),0))</f>
        <v>0</v>
      </c>
      <c r="Q1506" s="19">
        <f>IF(AND($F1506="Compareceu",$E1506&lt;&gt;"",$A1506&lt;&gt;""),IF(IFERROR(INDEX(ProcRet,MATCH($E1506,ProcNome,0)),0)&gt;0,$A1506+INDEX(ProcRet,MATCH($E1506,ProcNome,0)),""),"")</f>
        <v>0</v>
      </c>
      <c r="R1506" s="26">
        <f>IF($Q1506="","",IF(COUNTIFS(AgPac,$D1506,AgData,"&gt;"&amp;$A1506,AgStatus,"&lt;&gt;Cancelado",AgStatus,"&lt;&gt;Remarcado")&gt;0,"Sim","Não"))</f>
        <v>0</v>
      </c>
      <c r="S1506" s="28">
        <f>IF($A1506="","",IF(AND($F1506="Agendado",$A1506-Hoje&gt;=0,$A1506-Hoje&lt;=DiasConf),"CONFIRMAR",IF(AND($A1506&lt;Hoje,OR($F1506="Agendado",$F1506="Confirmado")),"Atualizar status",IF(AND($F1506="Compareceu",$P1506&gt;0.005),"Cobrar",IF($F1506="Faltou","Falta: reagendar","")))))</f>
        <v>0</v>
      </c>
      <c r="T1506" s="29">
        <f>IF($A1506="","",DATE(YEAR($A1506),MONTH($A1506),1))</f>
        <v>0</v>
      </c>
      <c r="U1506" s="30">
        <f>IF($S1506="CONFIRMAR",MAX($U$4:$U1505)+1,"")</f>
        <v>0</v>
      </c>
      <c r="V1506" s="30">
        <f>IF(AND($R1506="Não",$Q1506&lt;&gt;"",$Q1506&lt;=Hoje+JanelaRet,$Q1506&gt;=Hoje-60),MAX($V$4:$V1505)+1,"")</f>
        <v>0</v>
      </c>
    </row>
    <row r="1507" spans="1:22">
      <c r="A1507" s="16"/>
      <c r="B1507" s="23"/>
      <c r="C1507" s="15"/>
      <c r="D1507" s="15"/>
      <c r="E1507" s="15"/>
      <c r="F1507" s="24"/>
      <c r="G1507" s="17"/>
      <c r="H1507" s="17"/>
      <c r="I1507" s="15"/>
      <c r="J1507" s="25">
        <f>IF($D1507="","",IFERROR(INDEX(PacNome,MATCH($D1507,PacCod,0)),"Paciente não cadastrado"))</f>
        <v>0</v>
      </c>
      <c r="K1507" s="26">
        <f>IF($D1507="","",IFERROR(INDEX(PacConv,MATCH($D1507,PacCod,0))&amp;"",""))</f>
        <v>0</v>
      </c>
      <c r="L1507" s="26">
        <f>IF($A1507="","",CHOOSE(WEEKDAY($A1507,2),"Seg","Ter","Qua","Qui","Sex","Sáb","Dom"))</f>
        <v>0</v>
      </c>
      <c r="M1507" s="27">
        <f>IF($E1507="","",IF($G1507&lt;&gt;"",$G1507,IFERROR(INDEX(ProcValor,MATCH($E1507,ProcNome,0)),0)))</f>
        <v>0</v>
      </c>
      <c r="N1507" s="27">
        <f>IF($M1507="","",IF($F1507="Compareceu",$M1507,0))</f>
        <v>0</v>
      </c>
      <c r="O1507" s="27">
        <f>IF($M1507="","",IF($F1507="Faltou",$M1507,0))</f>
        <v>0</v>
      </c>
      <c r="P1507" s="27">
        <f>IF($M1507="","",IF($F1507="Compareceu",MAX(0,$M1507-N($H1507)),0))</f>
        <v>0</v>
      </c>
      <c r="Q1507" s="19">
        <f>IF(AND($F1507="Compareceu",$E1507&lt;&gt;"",$A1507&lt;&gt;""),IF(IFERROR(INDEX(ProcRet,MATCH($E1507,ProcNome,0)),0)&gt;0,$A1507+INDEX(ProcRet,MATCH($E1507,ProcNome,0)),""),"")</f>
        <v>0</v>
      </c>
      <c r="R1507" s="26">
        <f>IF($Q1507="","",IF(COUNTIFS(AgPac,$D1507,AgData,"&gt;"&amp;$A1507,AgStatus,"&lt;&gt;Cancelado",AgStatus,"&lt;&gt;Remarcado")&gt;0,"Sim","Não"))</f>
        <v>0</v>
      </c>
      <c r="S1507" s="28">
        <f>IF($A1507="","",IF(AND($F1507="Agendado",$A1507-Hoje&gt;=0,$A1507-Hoje&lt;=DiasConf),"CONFIRMAR",IF(AND($A1507&lt;Hoje,OR($F1507="Agendado",$F1507="Confirmado")),"Atualizar status",IF(AND($F1507="Compareceu",$P1507&gt;0.005),"Cobrar",IF($F1507="Faltou","Falta: reagendar","")))))</f>
        <v>0</v>
      </c>
      <c r="T1507" s="29">
        <f>IF($A1507="","",DATE(YEAR($A1507),MONTH($A1507),1))</f>
        <v>0</v>
      </c>
      <c r="U1507" s="30">
        <f>IF($S1507="CONFIRMAR",MAX($U$4:$U1506)+1,"")</f>
        <v>0</v>
      </c>
      <c r="V1507" s="30">
        <f>IF(AND($R1507="Não",$Q1507&lt;&gt;"",$Q1507&lt;=Hoje+JanelaRet,$Q1507&gt;=Hoje-60),MAX($V$4:$V1506)+1,"")</f>
        <v>0</v>
      </c>
    </row>
    <row r="1508" spans="1:22">
      <c r="A1508" s="16"/>
      <c r="B1508" s="23"/>
      <c r="C1508" s="15"/>
      <c r="D1508" s="15"/>
      <c r="E1508" s="15"/>
      <c r="F1508" s="24"/>
      <c r="G1508" s="17"/>
      <c r="H1508" s="17"/>
      <c r="I1508" s="15"/>
      <c r="J1508" s="25">
        <f>IF($D1508="","",IFERROR(INDEX(PacNome,MATCH($D1508,PacCod,0)),"Paciente não cadastrado"))</f>
        <v>0</v>
      </c>
      <c r="K1508" s="26">
        <f>IF($D1508="","",IFERROR(INDEX(PacConv,MATCH($D1508,PacCod,0))&amp;"",""))</f>
        <v>0</v>
      </c>
      <c r="L1508" s="26">
        <f>IF($A1508="","",CHOOSE(WEEKDAY($A1508,2),"Seg","Ter","Qua","Qui","Sex","Sáb","Dom"))</f>
        <v>0</v>
      </c>
      <c r="M1508" s="27">
        <f>IF($E1508="","",IF($G1508&lt;&gt;"",$G1508,IFERROR(INDEX(ProcValor,MATCH($E1508,ProcNome,0)),0)))</f>
        <v>0</v>
      </c>
      <c r="N1508" s="27">
        <f>IF($M1508="","",IF($F1508="Compareceu",$M1508,0))</f>
        <v>0</v>
      </c>
      <c r="O1508" s="27">
        <f>IF($M1508="","",IF($F1508="Faltou",$M1508,0))</f>
        <v>0</v>
      </c>
      <c r="P1508" s="27">
        <f>IF($M1508="","",IF($F1508="Compareceu",MAX(0,$M1508-N($H1508)),0))</f>
        <v>0</v>
      </c>
      <c r="Q1508" s="19">
        <f>IF(AND($F1508="Compareceu",$E1508&lt;&gt;"",$A1508&lt;&gt;""),IF(IFERROR(INDEX(ProcRet,MATCH($E1508,ProcNome,0)),0)&gt;0,$A1508+INDEX(ProcRet,MATCH($E1508,ProcNome,0)),""),"")</f>
        <v>0</v>
      </c>
      <c r="R1508" s="26">
        <f>IF($Q1508="","",IF(COUNTIFS(AgPac,$D1508,AgData,"&gt;"&amp;$A1508,AgStatus,"&lt;&gt;Cancelado",AgStatus,"&lt;&gt;Remarcado")&gt;0,"Sim","Não"))</f>
        <v>0</v>
      </c>
      <c r="S1508" s="28">
        <f>IF($A1508="","",IF(AND($F1508="Agendado",$A1508-Hoje&gt;=0,$A1508-Hoje&lt;=DiasConf),"CONFIRMAR",IF(AND($A1508&lt;Hoje,OR($F1508="Agendado",$F1508="Confirmado")),"Atualizar status",IF(AND($F1508="Compareceu",$P1508&gt;0.005),"Cobrar",IF($F1508="Faltou","Falta: reagendar","")))))</f>
        <v>0</v>
      </c>
      <c r="T1508" s="29">
        <f>IF($A1508="","",DATE(YEAR($A1508),MONTH($A1508),1))</f>
        <v>0</v>
      </c>
      <c r="U1508" s="30">
        <f>IF($S1508="CONFIRMAR",MAX($U$4:$U1507)+1,"")</f>
        <v>0</v>
      </c>
      <c r="V1508" s="30">
        <f>IF(AND($R1508="Não",$Q1508&lt;&gt;"",$Q1508&lt;=Hoje+JanelaRet,$Q1508&gt;=Hoje-60),MAX($V$4:$V1507)+1,"")</f>
        <v>0</v>
      </c>
    </row>
    <row r="1509" spans="1:22">
      <c r="A1509" s="16"/>
      <c r="B1509" s="23"/>
      <c r="C1509" s="15"/>
      <c r="D1509" s="15"/>
      <c r="E1509" s="15"/>
      <c r="F1509" s="24"/>
      <c r="G1509" s="17"/>
      <c r="H1509" s="17"/>
      <c r="I1509" s="15"/>
      <c r="J1509" s="25">
        <f>IF($D1509="","",IFERROR(INDEX(PacNome,MATCH($D1509,PacCod,0)),"Paciente não cadastrado"))</f>
        <v>0</v>
      </c>
      <c r="K1509" s="26">
        <f>IF($D1509="","",IFERROR(INDEX(PacConv,MATCH($D1509,PacCod,0))&amp;"",""))</f>
        <v>0</v>
      </c>
      <c r="L1509" s="26">
        <f>IF($A1509="","",CHOOSE(WEEKDAY($A1509,2),"Seg","Ter","Qua","Qui","Sex","Sáb","Dom"))</f>
        <v>0</v>
      </c>
      <c r="M1509" s="27">
        <f>IF($E1509="","",IF($G1509&lt;&gt;"",$G1509,IFERROR(INDEX(ProcValor,MATCH($E1509,ProcNome,0)),0)))</f>
        <v>0</v>
      </c>
      <c r="N1509" s="27">
        <f>IF($M1509="","",IF($F1509="Compareceu",$M1509,0))</f>
        <v>0</v>
      </c>
      <c r="O1509" s="27">
        <f>IF($M1509="","",IF($F1509="Faltou",$M1509,0))</f>
        <v>0</v>
      </c>
      <c r="P1509" s="27">
        <f>IF($M1509="","",IF($F1509="Compareceu",MAX(0,$M1509-N($H1509)),0))</f>
        <v>0</v>
      </c>
      <c r="Q1509" s="19">
        <f>IF(AND($F1509="Compareceu",$E1509&lt;&gt;"",$A1509&lt;&gt;""),IF(IFERROR(INDEX(ProcRet,MATCH($E1509,ProcNome,0)),0)&gt;0,$A1509+INDEX(ProcRet,MATCH($E1509,ProcNome,0)),""),"")</f>
        <v>0</v>
      </c>
      <c r="R1509" s="26">
        <f>IF($Q1509="","",IF(COUNTIFS(AgPac,$D1509,AgData,"&gt;"&amp;$A1509,AgStatus,"&lt;&gt;Cancelado",AgStatus,"&lt;&gt;Remarcado")&gt;0,"Sim","Não"))</f>
        <v>0</v>
      </c>
      <c r="S1509" s="28">
        <f>IF($A1509="","",IF(AND($F1509="Agendado",$A1509-Hoje&gt;=0,$A1509-Hoje&lt;=DiasConf),"CONFIRMAR",IF(AND($A1509&lt;Hoje,OR($F1509="Agendado",$F1509="Confirmado")),"Atualizar status",IF(AND($F1509="Compareceu",$P1509&gt;0.005),"Cobrar",IF($F1509="Faltou","Falta: reagendar","")))))</f>
        <v>0</v>
      </c>
      <c r="T1509" s="29">
        <f>IF($A1509="","",DATE(YEAR($A1509),MONTH($A1509),1))</f>
        <v>0</v>
      </c>
      <c r="U1509" s="30">
        <f>IF($S1509="CONFIRMAR",MAX($U$4:$U1508)+1,"")</f>
        <v>0</v>
      </c>
      <c r="V1509" s="30">
        <f>IF(AND($R1509="Não",$Q1509&lt;&gt;"",$Q1509&lt;=Hoje+JanelaRet,$Q1509&gt;=Hoje-60),MAX($V$4:$V1508)+1,"")</f>
        <v>0</v>
      </c>
    </row>
    <row r="1510" spans="1:22">
      <c r="A1510" s="16"/>
      <c r="B1510" s="23"/>
      <c r="C1510" s="15"/>
      <c r="D1510" s="15"/>
      <c r="E1510" s="15"/>
      <c r="F1510" s="24"/>
      <c r="G1510" s="17"/>
      <c r="H1510" s="17"/>
      <c r="I1510" s="15"/>
      <c r="J1510" s="25">
        <f>IF($D1510="","",IFERROR(INDEX(PacNome,MATCH($D1510,PacCod,0)),"Paciente não cadastrado"))</f>
        <v>0</v>
      </c>
      <c r="K1510" s="26">
        <f>IF($D1510="","",IFERROR(INDEX(PacConv,MATCH($D1510,PacCod,0))&amp;"",""))</f>
        <v>0</v>
      </c>
      <c r="L1510" s="26">
        <f>IF($A1510="","",CHOOSE(WEEKDAY($A1510,2),"Seg","Ter","Qua","Qui","Sex","Sáb","Dom"))</f>
        <v>0</v>
      </c>
      <c r="M1510" s="27">
        <f>IF($E1510="","",IF($G1510&lt;&gt;"",$G1510,IFERROR(INDEX(ProcValor,MATCH($E1510,ProcNome,0)),0)))</f>
        <v>0</v>
      </c>
      <c r="N1510" s="27">
        <f>IF($M1510="","",IF($F1510="Compareceu",$M1510,0))</f>
        <v>0</v>
      </c>
      <c r="O1510" s="27">
        <f>IF($M1510="","",IF($F1510="Faltou",$M1510,0))</f>
        <v>0</v>
      </c>
      <c r="P1510" s="27">
        <f>IF($M1510="","",IF($F1510="Compareceu",MAX(0,$M1510-N($H1510)),0))</f>
        <v>0</v>
      </c>
      <c r="Q1510" s="19">
        <f>IF(AND($F1510="Compareceu",$E1510&lt;&gt;"",$A1510&lt;&gt;""),IF(IFERROR(INDEX(ProcRet,MATCH($E1510,ProcNome,0)),0)&gt;0,$A1510+INDEX(ProcRet,MATCH($E1510,ProcNome,0)),""),"")</f>
        <v>0</v>
      </c>
      <c r="R1510" s="26">
        <f>IF($Q1510="","",IF(COUNTIFS(AgPac,$D1510,AgData,"&gt;"&amp;$A1510,AgStatus,"&lt;&gt;Cancelado",AgStatus,"&lt;&gt;Remarcado")&gt;0,"Sim","Não"))</f>
        <v>0</v>
      </c>
      <c r="S1510" s="28">
        <f>IF($A1510="","",IF(AND($F1510="Agendado",$A1510-Hoje&gt;=0,$A1510-Hoje&lt;=DiasConf),"CONFIRMAR",IF(AND($A1510&lt;Hoje,OR($F1510="Agendado",$F1510="Confirmado")),"Atualizar status",IF(AND($F1510="Compareceu",$P1510&gt;0.005),"Cobrar",IF($F1510="Faltou","Falta: reagendar","")))))</f>
        <v>0</v>
      </c>
      <c r="T1510" s="29">
        <f>IF($A1510="","",DATE(YEAR($A1510),MONTH($A1510),1))</f>
        <v>0</v>
      </c>
      <c r="U1510" s="30">
        <f>IF($S1510="CONFIRMAR",MAX($U$4:$U1509)+1,"")</f>
        <v>0</v>
      </c>
      <c r="V1510" s="30">
        <f>IF(AND($R1510="Não",$Q1510&lt;&gt;"",$Q1510&lt;=Hoje+JanelaRet,$Q1510&gt;=Hoje-60),MAX($V$4:$V1509)+1,"")</f>
        <v>0</v>
      </c>
    </row>
    <row r="1511" spans="1:22">
      <c r="A1511" s="16"/>
      <c r="B1511" s="23"/>
      <c r="C1511" s="15"/>
      <c r="D1511" s="15"/>
      <c r="E1511" s="15"/>
      <c r="F1511" s="24"/>
      <c r="G1511" s="17"/>
      <c r="H1511" s="17"/>
      <c r="I1511" s="15"/>
      <c r="J1511" s="25">
        <f>IF($D1511="","",IFERROR(INDEX(PacNome,MATCH($D1511,PacCod,0)),"Paciente não cadastrado"))</f>
        <v>0</v>
      </c>
      <c r="K1511" s="26">
        <f>IF($D1511="","",IFERROR(INDEX(PacConv,MATCH($D1511,PacCod,0))&amp;"",""))</f>
        <v>0</v>
      </c>
      <c r="L1511" s="26">
        <f>IF($A1511="","",CHOOSE(WEEKDAY($A1511,2),"Seg","Ter","Qua","Qui","Sex","Sáb","Dom"))</f>
        <v>0</v>
      </c>
      <c r="M1511" s="27">
        <f>IF($E1511="","",IF($G1511&lt;&gt;"",$G1511,IFERROR(INDEX(ProcValor,MATCH($E1511,ProcNome,0)),0)))</f>
        <v>0</v>
      </c>
      <c r="N1511" s="27">
        <f>IF($M1511="","",IF($F1511="Compareceu",$M1511,0))</f>
        <v>0</v>
      </c>
      <c r="O1511" s="27">
        <f>IF($M1511="","",IF($F1511="Faltou",$M1511,0))</f>
        <v>0</v>
      </c>
      <c r="P1511" s="27">
        <f>IF($M1511="","",IF($F1511="Compareceu",MAX(0,$M1511-N($H1511)),0))</f>
        <v>0</v>
      </c>
      <c r="Q1511" s="19">
        <f>IF(AND($F1511="Compareceu",$E1511&lt;&gt;"",$A1511&lt;&gt;""),IF(IFERROR(INDEX(ProcRet,MATCH($E1511,ProcNome,0)),0)&gt;0,$A1511+INDEX(ProcRet,MATCH($E1511,ProcNome,0)),""),"")</f>
        <v>0</v>
      </c>
      <c r="R1511" s="26">
        <f>IF($Q1511="","",IF(COUNTIFS(AgPac,$D1511,AgData,"&gt;"&amp;$A1511,AgStatus,"&lt;&gt;Cancelado",AgStatus,"&lt;&gt;Remarcado")&gt;0,"Sim","Não"))</f>
        <v>0</v>
      </c>
      <c r="S1511" s="28">
        <f>IF($A1511="","",IF(AND($F1511="Agendado",$A1511-Hoje&gt;=0,$A1511-Hoje&lt;=DiasConf),"CONFIRMAR",IF(AND($A1511&lt;Hoje,OR($F1511="Agendado",$F1511="Confirmado")),"Atualizar status",IF(AND($F1511="Compareceu",$P1511&gt;0.005),"Cobrar",IF($F1511="Faltou","Falta: reagendar","")))))</f>
        <v>0</v>
      </c>
      <c r="T1511" s="29">
        <f>IF($A1511="","",DATE(YEAR($A1511),MONTH($A1511),1))</f>
        <v>0</v>
      </c>
      <c r="U1511" s="30">
        <f>IF($S1511="CONFIRMAR",MAX($U$4:$U1510)+1,"")</f>
        <v>0</v>
      </c>
      <c r="V1511" s="30">
        <f>IF(AND($R1511="Não",$Q1511&lt;&gt;"",$Q1511&lt;=Hoje+JanelaRet,$Q1511&gt;=Hoje-60),MAX($V$4:$V1510)+1,"")</f>
        <v>0</v>
      </c>
    </row>
    <row r="1512" spans="1:22">
      <c r="A1512" s="16"/>
      <c r="B1512" s="23"/>
      <c r="C1512" s="15"/>
      <c r="D1512" s="15"/>
      <c r="E1512" s="15"/>
      <c r="F1512" s="24"/>
      <c r="G1512" s="17"/>
      <c r="H1512" s="17"/>
      <c r="I1512" s="15"/>
      <c r="J1512" s="25">
        <f>IF($D1512="","",IFERROR(INDEX(PacNome,MATCH($D1512,PacCod,0)),"Paciente não cadastrado"))</f>
        <v>0</v>
      </c>
      <c r="K1512" s="26">
        <f>IF($D1512="","",IFERROR(INDEX(PacConv,MATCH($D1512,PacCod,0))&amp;"",""))</f>
        <v>0</v>
      </c>
      <c r="L1512" s="26">
        <f>IF($A1512="","",CHOOSE(WEEKDAY($A1512,2),"Seg","Ter","Qua","Qui","Sex","Sáb","Dom"))</f>
        <v>0</v>
      </c>
      <c r="M1512" s="27">
        <f>IF($E1512="","",IF($G1512&lt;&gt;"",$G1512,IFERROR(INDEX(ProcValor,MATCH($E1512,ProcNome,0)),0)))</f>
        <v>0</v>
      </c>
      <c r="N1512" s="27">
        <f>IF($M1512="","",IF($F1512="Compareceu",$M1512,0))</f>
        <v>0</v>
      </c>
      <c r="O1512" s="27">
        <f>IF($M1512="","",IF($F1512="Faltou",$M1512,0))</f>
        <v>0</v>
      </c>
      <c r="P1512" s="27">
        <f>IF($M1512="","",IF($F1512="Compareceu",MAX(0,$M1512-N($H1512)),0))</f>
        <v>0</v>
      </c>
      <c r="Q1512" s="19">
        <f>IF(AND($F1512="Compareceu",$E1512&lt;&gt;"",$A1512&lt;&gt;""),IF(IFERROR(INDEX(ProcRet,MATCH($E1512,ProcNome,0)),0)&gt;0,$A1512+INDEX(ProcRet,MATCH($E1512,ProcNome,0)),""),"")</f>
        <v>0</v>
      </c>
      <c r="R1512" s="26">
        <f>IF($Q1512="","",IF(COUNTIFS(AgPac,$D1512,AgData,"&gt;"&amp;$A1512,AgStatus,"&lt;&gt;Cancelado",AgStatus,"&lt;&gt;Remarcado")&gt;0,"Sim","Não"))</f>
        <v>0</v>
      </c>
      <c r="S1512" s="28">
        <f>IF($A1512="","",IF(AND($F1512="Agendado",$A1512-Hoje&gt;=0,$A1512-Hoje&lt;=DiasConf),"CONFIRMAR",IF(AND($A1512&lt;Hoje,OR($F1512="Agendado",$F1512="Confirmado")),"Atualizar status",IF(AND($F1512="Compareceu",$P1512&gt;0.005),"Cobrar",IF($F1512="Faltou","Falta: reagendar","")))))</f>
        <v>0</v>
      </c>
      <c r="T1512" s="29">
        <f>IF($A1512="","",DATE(YEAR($A1512),MONTH($A1512),1))</f>
        <v>0</v>
      </c>
      <c r="U1512" s="30">
        <f>IF($S1512="CONFIRMAR",MAX($U$4:$U1511)+1,"")</f>
        <v>0</v>
      </c>
      <c r="V1512" s="30">
        <f>IF(AND($R1512="Não",$Q1512&lt;&gt;"",$Q1512&lt;=Hoje+JanelaRet,$Q1512&gt;=Hoje-60),MAX($V$4:$V1511)+1,"")</f>
        <v>0</v>
      </c>
    </row>
    <row r="1513" spans="1:22">
      <c r="A1513" s="16"/>
      <c r="B1513" s="23"/>
      <c r="C1513" s="15"/>
      <c r="D1513" s="15"/>
      <c r="E1513" s="15"/>
      <c r="F1513" s="24"/>
      <c r="G1513" s="17"/>
      <c r="H1513" s="17"/>
      <c r="I1513" s="15"/>
      <c r="J1513" s="25">
        <f>IF($D1513="","",IFERROR(INDEX(PacNome,MATCH($D1513,PacCod,0)),"Paciente não cadastrado"))</f>
        <v>0</v>
      </c>
      <c r="K1513" s="26">
        <f>IF($D1513="","",IFERROR(INDEX(PacConv,MATCH($D1513,PacCod,0))&amp;"",""))</f>
        <v>0</v>
      </c>
      <c r="L1513" s="26">
        <f>IF($A1513="","",CHOOSE(WEEKDAY($A1513,2),"Seg","Ter","Qua","Qui","Sex","Sáb","Dom"))</f>
        <v>0</v>
      </c>
      <c r="M1513" s="27">
        <f>IF($E1513="","",IF($G1513&lt;&gt;"",$G1513,IFERROR(INDEX(ProcValor,MATCH($E1513,ProcNome,0)),0)))</f>
        <v>0</v>
      </c>
      <c r="N1513" s="27">
        <f>IF($M1513="","",IF($F1513="Compareceu",$M1513,0))</f>
        <v>0</v>
      </c>
      <c r="O1513" s="27">
        <f>IF($M1513="","",IF($F1513="Faltou",$M1513,0))</f>
        <v>0</v>
      </c>
      <c r="P1513" s="27">
        <f>IF($M1513="","",IF($F1513="Compareceu",MAX(0,$M1513-N($H1513)),0))</f>
        <v>0</v>
      </c>
      <c r="Q1513" s="19">
        <f>IF(AND($F1513="Compareceu",$E1513&lt;&gt;"",$A1513&lt;&gt;""),IF(IFERROR(INDEX(ProcRet,MATCH($E1513,ProcNome,0)),0)&gt;0,$A1513+INDEX(ProcRet,MATCH($E1513,ProcNome,0)),""),"")</f>
        <v>0</v>
      </c>
      <c r="R1513" s="26">
        <f>IF($Q1513="","",IF(COUNTIFS(AgPac,$D1513,AgData,"&gt;"&amp;$A1513,AgStatus,"&lt;&gt;Cancelado",AgStatus,"&lt;&gt;Remarcado")&gt;0,"Sim","Não"))</f>
        <v>0</v>
      </c>
      <c r="S1513" s="28">
        <f>IF($A1513="","",IF(AND($F1513="Agendado",$A1513-Hoje&gt;=0,$A1513-Hoje&lt;=DiasConf),"CONFIRMAR",IF(AND($A1513&lt;Hoje,OR($F1513="Agendado",$F1513="Confirmado")),"Atualizar status",IF(AND($F1513="Compareceu",$P1513&gt;0.005),"Cobrar",IF($F1513="Faltou","Falta: reagendar","")))))</f>
        <v>0</v>
      </c>
      <c r="T1513" s="29">
        <f>IF($A1513="","",DATE(YEAR($A1513),MONTH($A1513),1))</f>
        <v>0</v>
      </c>
      <c r="U1513" s="30">
        <f>IF($S1513="CONFIRMAR",MAX($U$4:$U1512)+1,"")</f>
        <v>0</v>
      </c>
      <c r="V1513" s="30">
        <f>IF(AND($R1513="Não",$Q1513&lt;&gt;"",$Q1513&lt;=Hoje+JanelaRet,$Q1513&gt;=Hoje-60),MAX($V$4:$V1512)+1,"")</f>
        <v>0</v>
      </c>
    </row>
    <row r="1514" spans="1:22">
      <c r="A1514" s="16"/>
      <c r="B1514" s="23"/>
      <c r="C1514" s="15"/>
      <c r="D1514" s="15"/>
      <c r="E1514" s="15"/>
      <c r="F1514" s="24"/>
      <c r="G1514" s="17"/>
      <c r="H1514" s="17"/>
      <c r="I1514" s="15"/>
      <c r="J1514" s="25">
        <f>IF($D1514="","",IFERROR(INDEX(PacNome,MATCH($D1514,PacCod,0)),"Paciente não cadastrado"))</f>
        <v>0</v>
      </c>
      <c r="K1514" s="26">
        <f>IF($D1514="","",IFERROR(INDEX(PacConv,MATCH($D1514,PacCod,0))&amp;"",""))</f>
        <v>0</v>
      </c>
      <c r="L1514" s="26">
        <f>IF($A1514="","",CHOOSE(WEEKDAY($A1514,2),"Seg","Ter","Qua","Qui","Sex","Sáb","Dom"))</f>
        <v>0</v>
      </c>
      <c r="M1514" s="27">
        <f>IF($E1514="","",IF($G1514&lt;&gt;"",$G1514,IFERROR(INDEX(ProcValor,MATCH($E1514,ProcNome,0)),0)))</f>
        <v>0</v>
      </c>
      <c r="N1514" s="27">
        <f>IF($M1514="","",IF($F1514="Compareceu",$M1514,0))</f>
        <v>0</v>
      </c>
      <c r="O1514" s="27">
        <f>IF($M1514="","",IF($F1514="Faltou",$M1514,0))</f>
        <v>0</v>
      </c>
      <c r="P1514" s="27">
        <f>IF($M1514="","",IF($F1514="Compareceu",MAX(0,$M1514-N($H1514)),0))</f>
        <v>0</v>
      </c>
      <c r="Q1514" s="19">
        <f>IF(AND($F1514="Compareceu",$E1514&lt;&gt;"",$A1514&lt;&gt;""),IF(IFERROR(INDEX(ProcRet,MATCH($E1514,ProcNome,0)),0)&gt;0,$A1514+INDEX(ProcRet,MATCH($E1514,ProcNome,0)),""),"")</f>
        <v>0</v>
      </c>
      <c r="R1514" s="26">
        <f>IF($Q1514="","",IF(COUNTIFS(AgPac,$D1514,AgData,"&gt;"&amp;$A1514,AgStatus,"&lt;&gt;Cancelado",AgStatus,"&lt;&gt;Remarcado")&gt;0,"Sim","Não"))</f>
        <v>0</v>
      </c>
      <c r="S1514" s="28">
        <f>IF($A1514="","",IF(AND($F1514="Agendado",$A1514-Hoje&gt;=0,$A1514-Hoje&lt;=DiasConf),"CONFIRMAR",IF(AND($A1514&lt;Hoje,OR($F1514="Agendado",$F1514="Confirmado")),"Atualizar status",IF(AND($F1514="Compareceu",$P1514&gt;0.005),"Cobrar",IF($F1514="Faltou","Falta: reagendar","")))))</f>
        <v>0</v>
      </c>
      <c r="T1514" s="29">
        <f>IF($A1514="","",DATE(YEAR($A1514),MONTH($A1514),1))</f>
        <v>0</v>
      </c>
      <c r="U1514" s="30">
        <f>IF($S1514="CONFIRMAR",MAX($U$4:$U1513)+1,"")</f>
        <v>0</v>
      </c>
      <c r="V1514" s="30">
        <f>IF(AND($R1514="Não",$Q1514&lt;&gt;"",$Q1514&lt;=Hoje+JanelaRet,$Q1514&gt;=Hoje-60),MAX($V$4:$V1513)+1,"")</f>
        <v>0</v>
      </c>
    </row>
    <row r="1515" spans="1:22">
      <c r="A1515" s="16"/>
      <c r="B1515" s="23"/>
      <c r="C1515" s="15"/>
      <c r="D1515" s="15"/>
      <c r="E1515" s="15"/>
      <c r="F1515" s="24"/>
      <c r="G1515" s="17"/>
      <c r="H1515" s="17"/>
      <c r="I1515" s="15"/>
      <c r="J1515" s="25">
        <f>IF($D1515="","",IFERROR(INDEX(PacNome,MATCH($D1515,PacCod,0)),"Paciente não cadastrado"))</f>
        <v>0</v>
      </c>
      <c r="K1515" s="26">
        <f>IF($D1515="","",IFERROR(INDEX(PacConv,MATCH($D1515,PacCod,0))&amp;"",""))</f>
        <v>0</v>
      </c>
      <c r="L1515" s="26">
        <f>IF($A1515="","",CHOOSE(WEEKDAY($A1515,2),"Seg","Ter","Qua","Qui","Sex","Sáb","Dom"))</f>
        <v>0</v>
      </c>
      <c r="M1515" s="27">
        <f>IF($E1515="","",IF($G1515&lt;&gt;"",$G1515,IFERROR(INDEX(ProcValor,MATCH($E1515,ProcNome,0)),0)))</f>
        <v>0</v>
      </c>
      <c r="N1515" s="27">
        <f>IF($M1515="","",IF($F1515="Compareceu",$M1515,0))</f>
        <v>0</v>
      </c>
      <c r="O1515" s="27">
        <f>IF($M1515="","",IF($F1515="Faltou",$M1515,0))</f>
        <v>0</v>
      </c>
      <c r="P1515" s="27">
        <f>IF($M1515="","",IF($F1515="Compareceu",MAX(0,$M1515-N($H1515)),0))</f>
        <v>0</v>
      </c>
      <c r="Q1515" s="19">
        <f>IF(AND($F1515="Compareceu",$E1515&lt;&gt;"",$A1515&lt;&gt;""),IF(IFERROR(INDEX(ProcRet,MATCH($E1515,ProcNome,0)),0)&gt;0,$A1515+INDEX(ProcRet,MATCH($E1515,ProcNome,0)),""),"")</f>
        <v>0</v>
      </c>
      <c r="R1515" s="26">
        <f>IF($Q1515="","",IF(COUNTIFS(AgPac,$D1515,AgData,"&gt;"&amp;$A1515,AgStatus,"&lt;&gt;Cancelado",AgStatus,"&lt;&gt;Remarcado")&gt;0,"Sim","Não"))</f>
        <v>0</v>
      </c>
      <c r="S1515" s="28">
        <f>IF($A1515="","",IF(AND($F1515="Agendado",$A1515-Hoje&gt;=0,$A1515-Hoje&lt;=DiasConf),"CONFIRMAR",IF(AND($A1515&lt;Hoje,OR($F1515="Agendado",$F1515="Confirmado")),"Atualizar status",IF(AND($F1515="Compareceu",$P1515&gt;0.005),"Cobrar",IF($F1515="Faltou","Falta: reagendar","")))))</f>
        <v>0</v>
      </c>
      <c r="T1515" s="29">
        <f>IF($A1515="","",DATE(YEAR($A1515),MONTH($A1515),1))</f>
        <v>0</v>
      </c>
      <c r="U1515" s="30">
        <f>IF($S1515="CONFIRMAR",MAX($U$4:$U1514)+1,"")</f>
        <v>0</v>
      </c>
      <c r="V1515" s="30">
        <f>IF(AND($R1515="Não",$Q1515&lt;&gt;"",$Q1515&lt;=Hoje+JanelaRet,$Q1515&gt;=Hoje-60),MAX($V$4:$V1514)+1,"")</f>
        <v>0</v>
      </c>
    </row>
    <row r="1516" spans="1:22">
      <c r="A1516" s="16"/>
      <c r="B1516" s="23"/>
      <c r="C1516" s="15"/>
      <c r="D1516" s="15"/>
      <c r="E1516" s="15"/>
      <c r="F1516" s="24"/>
      <c r="G1516" s="17"/>
      <c r="H1516" s="17"/>
      <c r="I1516" s="15"/>
      <c r="J1516" s="25">
        <f>IF($D1516="","",IFERROR(INDEX(PacNome,MATCH($D1516,PacCod,0)),"Paciente não cadastrado"))</f>
        <v>0</v>
      </c>
      <c r="K1516" s="26">
        <f>IF($D1516="","",IFERROR(INDEX(PacConv,MATCH($D1516,PacCod,0))&amp;"",""))</f>
        <v>0</v>
      </c>
      <c r="L1516" s="26">
        <f>IF($A1516="","",CHOOSE(WEEKDAY($A1516,2),"Seg","Ter","Qua","Qui","Sex","Sáb","Dom"))</f>
        <v>0</v>
      </c>
      <c r="M1516" s="27">
        <f>IF($E1516="","",IF($G1516&lt;&gt;"",$G1516,IFERROR(INDEX(ProcValor,MATCH($E1516,ProcNome,0)),0)))</f>
        <v>0</v>
      </c>
      <c r="N1516" s="27">
        <f>IF($M1516="","",IF($F1516="Compareceu",$M1516,0))</f>
        <v>0</v>
      </c>
      <c r="O1516" s="27">
        <f>IF($M1516="","",IF($F1516="Faltou",$M1516,0))</f>
        <v>0</v>
      </c>
      <c r="P1516" s="27">
        <f>IF($M1516="","",IF($F1516="Compareceu",MAX(0,$M1516-N($H1516)),0))</f>
        <v>0</v>
      </c>
      <c r="Q1516" s="19">
        <f>IF(AND($F1516="Compareceu",$E1516&lt;&gt;"",$A1516&lt;&gt;""),IF(IFERROR(INDEX(ProcRet,MATCH($E1516,ProcNome,0)),0)&gt;0,$A1516+INDEX(ProcRet,MATCH($E1516,ProcNome,0)),""),"")</f>
        <v>0</v>
      </c>
      <c r="R1516" s="26">
        <f>IF($Q1516="","",IF(COUNTIFS(AgPac,$D1516,AgData,"&gt;"&amp;$A1516,AgStatus,"&lt;&gt;Cancelado",AgStatus,"&lt;&gt;Remarcado")&gt;0,"Sim","Não"))</f>
        <v>0</v>
      </c>
      <c r="S1516" s="28">
        <f>IF($A1516="","",IF(AND($F1516="Agendado",$A1516-Hoje&gt;=0,$A1516-Hoje&lt;=DiasConf),"CONFIRMAR",IF(AND($A1516&lt;Hoje,OR($F1516="Agendado",$F1516="Confirmado")),"Atualizar status",IF(AND($F1516="Compareceu",$P1516&gt;0.005),"Cobrar",IF($F1516="Faltou","Falta: reagendar","")))))</f>
        <v>0</v>
      </c>
      <c r="T1516" s="29">
        <f>IF($A1516="","",DATE(YEAR($A1516),MONTH($A1516),1))</f>
        <v>0</v>
      </c>
      <c r="U1516" s="30">
        <f>IF($S1516="CONFIRMAR",MAX($U$4:$U1515)+1,"")</f>
        <v>0</v>
      </c>
      <c r="V1516" s="30">
        <f>IF(AND($R1516="Não",$Q1516&lt;&gt;"",$Q1516&lt;=Hoje+JanelaRet,$Q1516&gt;=Hoje-60),MAX($V$4:$V1515)+1,"")</f>
        <v>0</v>
      </c>
    </row>
    <row r="1517" spans="1:22">
      <c r="A1517" s="16"/>
      <c r="B1517" s="23"/>
      <c r="C1517" s="15"/>
      <c r="D1517" s="15"/>
      <c r="E1517" s="15"/>
      <c r="F1517" s="24"/>
      <c r="G1517" s="17"/>
      <c r="H1517" s="17"/>
      <c r="I1517" s="15"/>
      <c r="J1517" s="25">
        <f>IF($D1517="","",IFERROR(INDEX(PacNome,MATCH($D1517,PacCod,0)),"Paciente não cadastrado"))</f>
        <v>0</v>
      </c>
      <c r="K1517" s="26">
        <f>IF($D1517="","",IFERROR(INDEX(PacConv,MATCH($D1517,PacCod,0))&amp;"",""))</f>
        <v>0</v>
      </c>
      <c r="L1517" s="26">
        <f>IF($A1517="","",CHOOSE(WEEKDAY($A1517,2),"Seg","Ter","Qua","Qui","Sex","Sáb","Dom"))</f>
        <v>0</v>
      </c>
      <c r="M1517" s="27">
        <f>IF($E1517="","",IF($G1517&lt;&gt;"",$G1517,IFERROR(INDEX(ProcValor,MATCH($E1517,ProcNome,0)),0)))</f>
        <v>0</v>
      </c>
      <c r="N1517" s="27">
        <f>IF($M1517="","",IF($F1517="Compareceu",$M1517,0))</f>
        <v>0</v>
      </c>
      <c r="O1517" s="27">
        <f>IF($M1517="","",IF($F1517="Faltou",$M1517,0))</f>
        <v>0</v>
      </c>
      <c r="P1517" s="27">
        <f>IF($M1517="","",IF($F1517="Compareceu",MAX(0,$M1517-N($H1517)),0))</f>
        <v>0</v>
      </c>
      <c r="Q1517" s="19">
        <f>IF(AND($F1517="Compareceu",$E1517&lt;&gt;"",$A1517&lt;&gt;""),IF(IFERROR(INDEX(ProcRet,MATCH($E1517,ProcNome,0)),0)&gt;0,$A1517+INDEX(ProcRet,MATCH($E1517,ProcNome,0)),""),"")</f>
        <v>0</v>
      </c>
      <c r="R1517" s="26">
        <f>IF($Q1517="","",IF(COUNTIFS(AgPac,$D1517,AgData,"&gt;"&amp;$A1517,AgStatus,"&lt;&gt;Cancelado",AgStatus,"&lt;&gt;Remarcado")&gt;0,"Sim","Não"))</f>
        <v>0</v>
      </c>
      <c r="S1517" s="28">
        <f>IF($A1517="","",IF(AND($F1517="Agendado",$A1517-Hoje&gt;=0,$A1517-Hoje&lt;=DiasConf),"CONFIRMAR",IF(AND($A1517&lt;Hoje,OR($F1517="Agendado",$F1517="Confirmado")),"Atualizar status",IF(AND($F1517="Compareceu",$P1517&gt;0.005),"Cobrar",IF($F1517="Faltou","Falta: reagendar","")))))</f>
        <v>0</v>
      </c>
      <c r="T1517" s="29">
        <f>IF($A1517="","",DATE(YEAR($A1517),MONTH($A1517),1))</f>
        <v>0</v>
      </c>
      <c r="U1517" s="30">
        <f>IF($S1517="CONFIRMAR",MAX($U$4:$U1516)+1,"")</f>
        <v>0</v>
      </c>
      <c r="V1517" s="30">
        <f>IF(AND($R1517="Não",$Q1517&lt;&gt;"",$Q1517&lt;=Hoje+JanelaRet,$Q1517&gt;=Hoje-60),MAX($V$4:$V1516)+1,"")</f>
        <v>0</v>
      </c>
    </row>
    <row r="1518" spans="1:22">
      <c r="A1518" s="16"/>
      <c r="B1518" s="23"/>
      <c r="C1518" s="15"/>
      <c r="D1518" s="15"/>
      <c r="E1518" s="15"/>
      <c r="F1518" s="24"/>
      <c r="G1518" s="17"/>
      <c r="H1518" s="17"/>
      <c r="I1518" s="15"/>
      <c r="J1518" s="25">
        <f>IF($D1518="","",IFERROR(INDEX(PacNome,MATCH($D1518,PacCod,0)),"Paciente não cadastrado"))</f>
        <v>0</v>
      </c>
      <c r="K1518" s="26">
        <f>IF($D1518="","",IFERROR(INDEX(PacConv,MATCH($D1518,PacCod,0))&amp;"",""))</f>
        <v>0</v>
      </c>
      <c r="L1518" s="26">
        <f>IF($A1518="","",CHOOSE(WEEKDAY($A1518,2),"Seg","Ter","Qua","Qui","Sex","Sáb","Dom"))</f>
        <v>0</v>
      </c>
      <c r="M1518" s="27">
        <f>IF($E1518="","",IF($G1518&lt;&gt;"",$G1518,IFERROR(INDEX(ProcValor,MATCH($E1518,ProcNome,0)),0)))</f>
        <v>0</v>
      </c>
      <c r="N1518" s="27">
        <f>IF($M1518="","",IF($F1518="Compareceu",$M1518,0))</f>
        <v>0</v>
      </c>
      <c r="O1518" s="27">
        <f>IF($M1518="","",IF($F1518="Faltou",$M1518,0))</f>
        <v>0</v>
      </c>
      <c r="P1518" s="27">
        <f>IF($M1518="","",IF($F1518="Compareceu",MAX(0,$M1518-N($H1518)),0))</f>
        <v>0</v>
      </c>
      <c r="Q1518" s="19">
        <f>IF(AND($F1518="Compareceu",$E1518&lt;&gt;"",$A1518&lt;&gt;""),IF(IFERROR(INDEX(ProcRet,MATCH($E1518,ProcNome,0)),0)&gt;0,$A1518+INDEX(ProcRet,MATCH($E1518,ProcNome,0)),""),"")</f>
        <v>0</v>
      </c>
      <c r="R1518" s="26">
        <f>IF($Q1518="","",IF(COUNTIFS(AgPac,$D1518,AgData,"&gt;"&amp;$A1518,AgStatus,"&lt;&gt;Cancelado",AgStatus,"&lt;&gt;Remarcado")&gt;0,"Sim","Não"))</f>
        <v>0</v>
      </c>
      <c r="S1518" s="28">
        <f>IF($A1518="","",IF(AND($F1518="Agendado",$A1518-Hoje&gt;=0,$A1518-Hoje&lt;=DiasConf),"CONFIRMAR",IF(AND($A1518&lt;Hoje,OR($F1518="Agendado",$F1518="Confirmado")),"Atualizar status",IF(AND($F1518="Compareceu",$P1518&gt;0.005),"Cobrar",IF($F1518="Faltou","Falta: reagendar","")))))</f>
        <v>0</v>
      </c>
      <c r="T1518" s="29">
        <f>IF($A1518="","",DATE(YEAR($A1518),MONTH($A1518),1))</f>
        <v>0</v>
      </c>
      <c r="U1518" s="30">
        <f>IF($S1518="CONFIRMAR",MAX($U$4:$U1517)+1,"")</f>
        <v>0</v>
      </c>
      <c r="V1518" s="30">
        <f>IF(AND($R1518="Não",$Q1518&lt;&gt;"",$Q1518&lt;=Hoje+JanelaRet,$Q1518&gt;=Hoje-60),MAX($V$4:$V1517)+1,"")</f>
        <v>0</v>
      </c>
    </row>
    <row r="1519" spans="1:22">
      <c r="A1519" s="16"/>
      <c r="B1519" s="23"/>
      <c r="C1519" s="15"/>
      <c r="D1519" s="15"/>
      <c r="E1519" s="15"/>
      <c r="F1519" s="24"/>
      <c r="G1519" s="17"/>
      <c r="H1519" s="17"/>
      <c r="I1519" s="15"/>
      <c r="J1519" s="25">
        <f>IF($D1519="","",IFERROR(INDEX(PacNome,MATCH($D1519,PacCod,0)),"Paciente não cadastrado"))</f>
        <v>0</v>
      </c>
      <c r="K1519" s="26">
        <f>IF($D1519="","",IFERROR(INDEX(PacConv,MATCH($D1519,PacCod,0))&amp;"",""))</f>
        <v>0</v>
      </c>
      <c r="L1519" s="26">
        <f>IF($A1519="","",CHOOSE(WEEKDAY($A1519,2),"Seg","Ter","Qua","Qui","Sex","Sáb","Dom"))</f>
        <v>0</v>
      </c>
      <c r="M1519" s="27">
        <f>IF($E1519="","",IF($G1519&lt;&gt;"",$G1519,IFERROR(INDEX(ProcValor,MATCH($E1519,ProcNome,0)),0)))</f>
        <v>0</v>
      </c>
      <c r="N1519" s="27">
        <f>IF($M1519="","",IF($F1519="Compareceu",$M1519,0))</f>
        <v>0</v>
      </c>
      <c r="O1519" s="27">
        <f>IF($M1519="","",IF($F1519="Faltou",$M1519,0))</f>
        <v>0</v>
      </c>
      <c r="P1519" s="27">
        <f>IF($M1519="","",IF($F1519="Compareceu",MAX(0,$M1519-N($H1519)),0))</f>
        <v>0</v>
      </c>
      <c r="Q1519" s="19">
        <f>IF(AND($F1519="Compareceu",$E1519&lt;&gt;"",$A1519&lt;&gt;""),IF(IFERROR(INDEX(ProcRet,MATCH($E1519,ProcNome,0)),0)&gt;0,$A1519+INDEX(ProcRet,MATCH($E1519,ProcNome,0)),""),"")</f>
        <v>0</v>
      </c>
      <c r="R1519" s="26">
        <f>IF($Q1519="","",IF(COUNTIFS(AgPac,$D1519,AgData,"&gt;"&amp;$A1519,AgStatus,"&lt;&gt;Cancelado",AgStatus,"&lt;&gt;Remarcado")&gt;0,"Sim","Não"))</f>
        <v>0</v>
      </c>
      <c r="S1519" s="28">
        <f>IF($A1519="","",IF(AND($F1519="Agendado",$A1519-Hoje&gt;=0,$A1519-Hoje&lt;=DiasConf),"CONFIRMAR",IF(AND($A1519&lt;Hoje,OR($F1519="Agendado",$F1519="Confirmado")),"Atualizar status",IF(AND($F1519="Compareceu",$P1519&gt;0.005),"Cobrar",IF($F1519="Faltou","Falta: reagendar","")))))</f>
        <v>0</v>
      </c>
      <c r="T1519" s="29">
        <f>IF($A1519="","",DATE(YEAR($A1519),MONTH($A1519),1))</f>
        <v>0</v>
      </c>
      <c r="U1519" s="30">
        <f>IF($S1519="CONFIRMAR",MAX($U$4:$U1518)+1,"")</f>
        <v>0</v>
      </c>
      <c r="V1519" s="30">
        <f>IF(AND($R1519="Não",$Q1519&lt;&gt;"",$Q1519&lt;=Hoje+JanelaRet,$Q1519&gt;=Hoje-60),MAX($V$4:$V1518)+1,"")</f>
        <v>0</v>
      </c>
    </row>
    <row r="1520" spans="1:22">
      <c r="A1520" s="16"/>
      <c r="B1520" s="23"/>
      <c r="C1520" s="15"/>
      <c r="D1520" s="15"/>
      <c r="E1520" s="15"/>
      <c r="F1520" s="24"/>
      <c r="G1520" s="17"/>
      <c r="H1520" s="17"/>
      <c r="I1520" s="15"/>
      <c r="J1520" s="25">
        <f>IF($D1520="","",IFERROR(INDEX(PacNome,MATCH($D1520,PacCod,0)),"Paciente não cadastrado"))</f>
        <v>0</v>
      </c>
      <c r="K1520" s="26">
        <f>IF($D1520="","",IFERROR(INDEX(PacConv,MATCH($D1520,PacCod,0))&amp;"",""))</f>
        <v>0</v>
      </c>
      <c r="L1520" s="26">
        <f>IF($A1520="","",CHOOSE(WEEKDAY($A1520,2),"Seg","Ter","Qua","Qui","Sex","Sáb","Dom"))</f>
        <v>0</v>
      </c>
      <c r="M1520" s="27">
        <f>IF($E1520="","",IF($G1520&lt;&gt;"",$G1520,IFERROR(INDEX(ProcValor,MATCH($E1520,ProcNome,0)),0)))</f>
        <v>0</v>
      </c>
      <c r="N1520" s="27">
        <f>IF($M1520="","",IF($F1520="Compareceu",$M1520,0))</f>
        <v>0</v>
      </c>
      <c r="O1520" s="27">
        <f>IF($M1520="","",IF($F1520="Faltou",$M1520,0))</f>
        <v>0</v>
      </c>
      <c r="P1520" s="27">
        <f>IF($M1520="","",IF($F1520="Compareceu",MAX(0,$M1520-N($H1520)),0))</f>
        <v>0</v>
      </c>
      <c r="Q1520" s="19">
        <f>IF(AND($F1520="Compareceu",$E1520&lt;&gt;"",$A1520&lt;&gt;""),IF(IFERROR(INDEX(ProcRet,MATCH($E1520,ProcNome,0)),0)&gt;0,$A1520+INDEX(ProcRet,MATCH($E1520,ProcNome,0)),""),"")</f>
        <v>0</v>
      </c>
      <c r="R1520" s="26">
        <f>IF($Q1520="","",IF(COUNTIFS(AgPac,$D1520,AgData,"&gt;"&amp;$A1520,AgStatus,"&lt;&gt;Cancelado",AgStatus,"&lt;&gt;Remarcado")&gt;0,"Sim","Não"))</f>
        <v>0</v>
      </c>
      <c r="S1520" s="28">
        <f>IF($A1520="","",IF(AND($F1520="Agendado",$A1520-Hoje&gt;=0,$A1520-Hoje&lt;=DiasConf),"CONFIRMAR",IF(AND($A1520&lt;Hoje,OR($F1520="Agendado",$F1520="Confirmado")),"Atualizar status",IF(AND($F1520="Compareceu",$P1520&gt;0.005),"Cobrar",IF($F1520="Faltou","Falta: reagendar","")))))</f>
        <v>0</v>
      </c>
      <c r="T1520" s="29">
        <f>IF($A1520="","",DATE(YEAR($A1520),MONTH($A1520),1))</f>
        <v>0</v>
      </c>
      <c r="U1520" s="30">
        <f>IF($S1520="CONFIRMAR",MAX($U$4:$U1519)+1,"")</f>
        <v>0</v>
      </c>
      <c r="V1520" s="30">
        <f>IF(AND($R1520="Não",$Q1520&lt;&gt;"",$Q1520&lt;=Hoje+JanelaRet,$Q1520&gt;=Hoje-60),MAX($V$4:$V1519)+1,"")</f>
        <v>0</v>
      </c>
    </row>
    <row r="1521" spans="1:22">
      <c r="A1521" s="16"/>
      <c r="B1521" s="23"/>
      <c r="C1521" s="15"/>
      <c r="D1521" s="15"/>
      <c r="E1521" s="15"/>
      <c r="F1521" s="24"/>
      <c r="G1521" s="17"/>
      <c r="H1521" s="17"/>
      <c r="I1521" s="15"/>
      <c r="J1521" s="25">
        <f>IF($D1521="","",IFERROR(INDEX(PacNome,MATCH($D1521,PacCod,0)),"Paciente não cadastrado"))</f>
        <v>0</v>
      </c>
      <c r="K1521" s="26">
        <f>IF($D1521="","",IFERROR(INDEX(PacConv,MATCH($D1521,PacCod,0))&amp;"",""))</f>
        <v>0</v>
      </c>
      <c r="L1521" s="26">
        <f>IF($A1521="","",CHOOSE(WEEKDAY($A1521,2),"Seg","Ter","Qua","Qui","Sex","Sáb","Dom"))</f>
        <v>0</v>
      </c>
      <c r="M1521" s="27">
        <f>IF($E1521="","",IF($G1521&lt;&gt;"",$G1521,IFERROR(INDEX(ProcValor,MATCH($E1521,ProcNome,0)),0)))</f>
        <v>0</v>
      </c>
      <c r="N1521" s="27">
        <f>IF($M1521="","",IF($F1521="Compareceu",$M1521,0))</f>
        <v>0</v>
      </c>
      <c r="O1521" s="27">
        <f>IF($M1521="","",IF($F1521="Faltou",$M1521,0))</f>
        <v>0</v>
      </c>
      <c r="P1521" s="27">
        <f>IF($M1521="","",IF($F1521="Compareceu",MAX(0,$M1521-N($H1521)),0))</f>
        <v>0</v>
      </c>
      <c r="Q1521" s="19">
        <f>IF(AND($F1521="Compareceu",$E1521&lt;&gt;"",$A1521&lt;&gt;""),IF(IFERROR(INDEX(ProcRet,MATCH($E1521,ProcNome,0)),0)&gt;0,$A1521+INDEX(ProcRet,MATCH($E1521,ProcNome,0)),""),"")</f>
        <v>0</v>
      </c>
      <c r="R1521" s="26">
        <f>IF($Q1521="","",IF(COUNTIFS(AgPac,$D1521,AgData,"&gt;"&amp;$A1521,AgStatus,"&lt;&gt;Cancelado",AgStatus,"&lt;&gt;Remarcado")&gt;0,"Sim","Não"))</f>
        <v>0</v>
      </c>
      <c r="S1521" s="28">
        <f>IF($A1521="","",IF(AND($F1521="Agendado",$A1521-Hoje&gt;=0,$A1521-Hoje&lt;=DiasConf),"CONFIRMAR",IF(AND($A1521&lt;Hoje,OR($F1521="Agendado",$F1521="Confirmado")),"Atualizar status",IF(AND($F1521="Compareceu",$P1521&gt;0.005),"Cobrar",IF($F1521="Faltou","Falta: reagendar","")))))</f>
        <v>0</v>
      </c>
      <c r="T1521" s="29">
        <f>IF($A1521="","",DATE(YEAR($A1521),MONTH($A1521),1))</f>
        <v>0</v>
      </c>
      <c r="U1521" s="30">
        <f>IF($S1521="CONFIRMAR",MAX($U$4:$U1520)+1,"")</f>
        <v>0</v>
      </c>
      <c r="V1521" s="30">
        <f>IF(AND($R1521="Não",$Q1521&lt;&gt;"",$Q1521&lt;=Hoje+JanelaRet,$Q1521&gt;=Hoje-60),MAX($V$4:$V1520)+1,"")</f>
        <v>0</v>
      </c>
    </row>
    <row r="1522" spans="1:22">
      <c r="A1522" s="16"/>
      <c r="B1522" s="23"/>
      <c r="C1522" s="15"/>
      <c r="D1522" s="15"/>
      <c r="E1522" s="15"/>
      <c r="F1522" s="24"/>
      <c r="G1522" s="17"/>
      <c r="H1522" s="17"/>
      <c r="I1522" s="15"/>
      <c r="J1522" s="25">
        <f>IF($D1522="","",IFERROR(INDEX(PacNome,MATCH($D1522,PacCod,0)),"Paciente não cadastrado"))</f>
        <v>0</v>
      </c>
      <c r="K1522" s="26">
        <f>IF($D1522="","",IFERROR(INDEX(PacConv,MATCH($D1522,PacCod,0))&amp;"",""))</f>
        <v>0</v>
      </c>
      <c r="L1522" s="26">
        <f>IF($A1522="","",CHOOSE(WEEKDAY($A1522,2),"Seg","Ter","Qua","Qui","Sex","Sáb","Dom"))</f>
        <v>0</v>
      </c>
      <c r="M1522" s="27">
        <f>IF($E1522="","",IF($G1522&lt;&gt;"",$G1522,IFERROR(INDEX(ProcValor,MATCH($E1522,ProcNome,0)),0)))</f>
        <v>0</v>
      </c>
      <c r="N1522" s="27">
        <f>IF($M1522="","",IF($F1522="Compareceu",$M1522,0))</f>
        <v>0</v>
      </c>
      <c r="O1522" s="27">
        <f>IF($M1522="","",IF($F1522="Faltou",$M1522,0))</f>
        <v>0</v>
      </c>
      <c r="P1522" s="27">
        <f>IF($M1522="","",IF($F1522="Compareceu",MAX(0,$M1522-N($H1522)),0))</f>
        <v>0</v>
      </c>
      <c r="Q1522" s="19">
        <f>IF(AND($F1522="Compareceu",$E1522&lt;&gt;"",$A1522&lt;&gt;""),IF(IFERROR(INDEX(ProcRet,MATCH($E1522,ProcNome,0)),0)&gt;0,$A1522+INDEX(ProcRet,MATCH($E1522,ProcNome,0)),""),"")</f>
        <v>0</v>
      </c>
      <c r="R1522" s="26">
        <f>IF($Q1522="","",IF(COUNTIFS(AgPac,$D1522,AgData,"&gt;"&amp;$A1522,AgStatus,"&lt;&gt;Cancelado",AgStatus,"&lt;&gt;Remarcado")&gt;0,"Sim","Não"))</f>
        <v>0</v>
      </c>
      <c r="S1522" s="28">
        <f>IF($A1522="","",IF(AND($F1522="Agendado",$A1522-Hoje&gt;=0,$A1522-Hoje&lt;=DiasConf),"CONFIRMAR",IF(AND($A1522&lt;Hoje,OR($F1522="Agendado",$F1522="Confirmado")),"Atualizar status",IF(AND($F1522="Compareceu",$P1522&gt;0.005),"Cobrar",IF($F1522="Faltou","Falta: reagendar","")))))</f>
        <v>0</v>
      </c>
      <c r="T1522" s="29">
        <f>IF($A1522="","",DATE(YEAR($A1522),MONTH($A1522),1))</f>
        <v>0</v>
      </c>
      <c r="U1522" s="30">
        <f>IF($S1522="CONFIRMAR",MAX($U$4:$U1521)+1,"")</f>
        <v>0</v>
      </c>
      <c r="V1522" s="30">
        <f>IF(AND($R1522="Não",$Q1522&lt;&gt;"",$Q1522&lt;=Hoje+JanelaRet,$Q1522&gt;=Hoje-60),MAX($V$4:$V1521)+1,"")</f>
        <v>0</v>
      </c>
    </row>
    <row r="1523" spans="1:22">
      <c r="A1523" s="16"/>
      <c r="B1523" s="23"/>
      <c r="C1523" s="15"/>
      <c r="D1523" s="15"/>
      <c r="E1523" s="15"/>
      <c r="F1523" s="24"/>
      <c r="G1523" s="17"/>
      <c r="H1523" s="17"/>
      <c r="I1523" s="15"/>
      <c r="J1523" s="25">
        <f>IF($D1523="","",IFERROR(INDEX(PacNome,MATCH($D1523,PacCod,0)),"Paciente não cadastrado"))</f>
        <v>0</v>
      </c>
      <c r="K1523" s="26">
        <f>IF($D1523="","",IFERROR(INDEX(PacConv,MATCH($D1523,PacCod,0))&amp;"",""))</f>
        <v>0</v>
      </c>
      <c r="L1523" s="26">
        <f>IF($A1523="","",CHOOSE(WEEKDAY($A1523,2),"Seg","Ter","Qua","Qui","Sex","Sáb","Dom"))</f>
        <v>0</v>
      </c>
      <c r="M1523" s="27">
        <f>IF($E1523="","",IF($G1523&lt;&gt;"",$G1523,IFERROR(INDEX(ProcValor,MATCH($E1523,ProcNome,0)),0)))</f>
        <v>0</v>
      </c>
      <c r="N1523" s="27">
        <f>IF($M1523="","",IF($F1523="Compareceu",$M1523,0))</f>
        <v>0</v>
      </c>
      <c r="O1523" s="27">
        <f>IF($M1523="","",IF($F1523="Faltou",$M1523,0))</f>
        <v>0</v>
      </c>
      <c r="P1523" s="27">
        <f>IF($M1523="","",IF($F1523="Compareceu",MAX(0,$M1523-N($H1523)),0))</f>
        <v>0</v>
      </c>
      <c r="Q1523" s="19">
        <f>IF(AND($F1523="Compareceu",$E1523&lt;&gt;"",$A1523&lt;&gt;""),IF(IFERROR(INDEX(ProcRet,MATCH($E1523,ProcNome,0)),0)&gt;0,$A1523+INDEX(ProcRet,MATCH($E1523,ProcNome,0)),""),"")</f>
        <v>0</v>
      </c>
      <c r="R1523" s="26">
        <f>IF($Q1523="","",IF(COUNTIFS(AgPac,$D1523,AgData,"&gt;"&amp;$A1523,AgStatus,"&lt;&gt;Cancelado",AgStatus,"&lt;&gt;Remarcado")&gt;0,"Sim","Não"))</f>
        <v>0</v>
      </c>
      <c r="S1523" s="28">
        <f>IF($A1523="","",IF(AND($F1523="Agendado",$A1523-Hoje&gt;=0,$A1523-Hoje&lt;=DiasConf),"CONFIRMAR",IF(AND($A1523&lt;Hoje,OR($F1523="Agendado",$F1523="Confirmado")),"Atualizar status",IF(AND($F1523="Compareceu",$P1523&gt;0.005),"Cobrar",IF($F1523="Faltou","Falta: reagendar","")))))</f>
        <v>0</v>
      </c>
      <c r="T1523" s="29">
        <f>IF($A1523="","",DATE(YEAR($A1523),MONTH($A1523),1))</f>
        <v>0</v>
      </c>
      <c r="U1523" s="30">
        <f>IF($S1523="CONFIRMAR",MAX($U$4:$U1522)+1,"")</f>
        <v>0</v>
      </c>
      <c r="V1523" s="30">
        <f>IF(AND($R1523="Não",$Q1523&lt;&gt;"",$Q1523&lt;=Hoje+JanelaRet,$Q1523&gt;=Hoje-60),MAX($V$4:$V1522)+1,"")</f>
        <v>0</v>
      </c>
    </row>
    <row r="1524" spans="1:22">
      <c r="A1524" s="16"/>
      <c r="B1524" s="23"/>
      <c r="C1524" s="15"/>
      <c r="D1524" s="15"/>
      <c r="E1524" s="15"/>
      <c r="F1524" s="24"/>
      <c r="G1524" s="17"/>
      <c r="H1524" s="17"/>
      <c r="I1524" s="15"/>
      <c r="J1524" s="25">
        <f>IF($D1524="","",IFERROR(INDEX(PacNome,MATCH($D1524,PacCod,0)),"Paciente não cadastrado"))</f>
        <v>0</v>
      </c>
      <c r="K1524" s="26">
        <f>IF($D1524="","",IFERROR(INDEX(PacConv,MATCH($D1524,PacCod,0))&amp;"",""))</f>
        <v>0</v>
      </c>
      <c r="L1524" s="26">
        <f>IF($A1524="","",CHOOSE(WEEKDAY($A1524,2),"Seg","Ter","Qua","Qui","Sex","Sáb","Dom"))</f>
        <v>0</v>
      </c>
      <c r="M1524" s="27">
        <f>IF($E1524="","",IF($G1524&lt;&gt;"",$G1524,IFERROR(INDEX(ProcValor,MATCH($E1524,ProcNome,0)),0)))</f>
        <v>0</v>
      </c>
      <c r="N1524" s="27">
        <f>IF($M1524="","",IF($F1524="Compareceu",$M1524,0))</f>
        <v>0</v>
      </c>
      <c r="O1524" s="27">
        <f>IF($M1524="","",IF($F1524="Faltou",$M1524,0))</f>
        <v>0</v>
      </c>
      <c r="P1524" s="27">
        <f>IF($M1524="","",IF($F1524="Compareceu",MAX(0,$M1524-N($H1524)),0))</f>
        <v>0</v>
      </c>
      <c r="Q1524" s="19">
        <f>IF(AND($F1524="Compareceu",$E1524&lt;&gt;"",$A1524&lt;&gt;""),IF(IFERROR(INDEX(ProcRet,MATCH($E1524,ProcNome,0)),0)&gt;0,$A1524+INDEX(ProcRet,MATCH($E1524,ProcNome,0)),""),"")</f>
        <v>0</v>
      </c>
      <c r="R1524" s="26">
        <f>IF($Q1524="","",IF(COUNTIFS(AgPac,$D1524,AgData,"&gt;"&amp;$A1524,AgStatus,"&lt;&gt;Cancelado",AgStatus,"&lt;&gt;Remarcado")&gt;0,"Sim","Não"))</f>
        <v>0</v>
      </c>
      <c r="S1524" s="28">
        <f>IF($A1524="","",IF(AND($F1524="Agendado",$A1524-Hoje&gt;=0,$A1524-Hoje&lt;=DiasConf),"CONFIRMAR",IF(AND($A1524&lt;Hoje,OR($F1524="Agendado",$F1524="Confirmado")),"Atualizar status",IF(AND($F1524="Compareceu",$P1524&gt;0.005),"Cobrar",IF($F1524="Faltou","Falta: reagendar","")))))</f>
        <v>0</v>
      </c>
      <c r="T1524" s="29">
        <f>IF($A1524="","",DATE(YEAR($A1524),MONTH($A1524),1))</f>
        <v>0</v>
      </c>
      <c r="U1524" s="30">
        <f>IF($S1524="CONFIRMAR",MAX($U$4:$U1523)+1,"")</f>
        <v>0</v>
      </c>
      <c r="V1524" s="30">
        <f>IF(AND($R1524="Não",$Q1524&lt;&gt;"",$Q1524&lt;=Hoje+JanelaRet,$Q1524&gt;=Hoje-60),MAX($V$4:$V1523)+1,"")</f>
        <v>0</v>
      </c>
    </row>
    <row r="1525" spans="1:22">
      <c r="A1525" s="16"/>
      <c r="B1525" s="23"/>
      <c r="C1525" s="15"/>
      <c r="D1525" s="15"/>
      <c r="E1525" s="15"/>
      <c r="F1525" s="24"/>
      <c r="G1525" s="17"/>
      <c r="H1525" s="17"/>
      <c r="I1525" s="15"/>
      <c r="J1525" s="25">
        <f>IF($D1525="","",IFERROR(INDEX(PacNome,MATCH($D1525,PacCod,0)),"Paciente não cadastrado"))</f>
        <v>0</v>
      </c>
      <c r="K1525" s="26">
        <f>IF($D1525="","",IFERROR(INDEX(PacConv,MATCH($D1525,PacCod,0))&amp;"",""))</f>
        <v>0</v>
      </c>
      <c r="L1525" s="26">
        <f>IF($A1525="","",CHOOSE(WEEKDAY($A1525,2),"Seg","Ter","Qua","Qui","Sex","Sáb","Dom"))</f>
        <v>0</v>
      </c>
      <c r="M1525" s="27">
        <f>IF($E1525="","",IF($G1525&lt;&gt;"",$G1525,IFERROR(INDEX(ProcValor,MATCH($E1525,ProcNome,0)),0)))</f>
        <v>0</v>
      </c>
      <c r="N1525" s="27">
        <f>IF($M1525="","",IF($F1525="Compareceu",$M1525,0))</f>
        <v>0</v>
      </c>
      <c r="O1525" s="27">
        <f>IF($M1525="","",IF($F1525="Faltou",$M1525,0))</f>
        <v>0</v>
      </c>
      <c r="P1525" s="27">
        <f>IF($M1525="","",IF($F1525="Compareceu",MAX(0,$M1525-N($H1525)),0))</f>
        <v>0</v>
      </c>
      <c r="Q1525" s="19">
        <f>IF(AND($F1525="Compareceu",$E1525&lt;&gt;"",$A1525&lt;&gt;""),IF(IFERROR(INDEX(ProcRet,MATCH($E1525,ProcNome,0)),0)&gt;0,$A1525+INDEX(ProcRet,MATCH($E1525,ProcNome,0)),""),"")</f>
        <v>0</v>
      </c>
      <c r="R1525" s="26">
        <f>IF($Q1525="","",IF(COUNTIFS(AgPac,$D1525,AgData,"&gt;"&amp;$A1525,AgStatus,"&lt;&gt;Cancelado",AgStatus,"&lt;&gt;Remarcado")&gt;0,"Sim","Não"))</f>
        <v>0</v>
      </c>
      <c r="S1525" s="28">
        <f>IF($A1525="","",IF(AND($F1525="Agendado",$A1525-Hoje&gt;=0,$A1525-Hoje&lt;=DiasConf),"CONFIRMAR",IF(AND($A1525&lt;Hoje,OR($F1525="Agendado",$F1525="Confirmado")),"Atualizar status",IF(AND($F1525="Compareceu",$P1525&gt;0.005),"Cobrar",IF($F1525="Faltou","Falta: reagendar","")))))</f>
        <v>0</v>
      </c>
      <c r="T1525" s="29">
        <f>IF($A1525="","",DATE(YEAR($A1525),MONTH($A1525),1))</f>
        <v>0</v>
      </c>
      <c r="U1525" s="30">
        <f>IF($S1525="CONFIRMAR",MAX($U$4:$U1524)+1,"")</f>
        <v>0</v>
      </c>
      <c r="V1525" s="30">
        <f>IF(AND($R1525="Não",$Q1525&lt;&gt;"",$Q1525&lt;=Hoje+JanelaRet,$Q1525&gt;=Hoje-60),MAX($V$4:$V1524)+1,"")</f>
        <v>0</v>
      </c>
    </row>
    <row r="1526" spans="1:22">
      <c r="A1526" s="16"/>
      <c r="B1526" s="23"/>
      <c r="C1526" s="15"/>
      <c r="D1526" s="15"/>
      <c r="E1526" s="15"/>
      <c r="F1526" s="24"/>
      <c r="G1526" s="17"/>
      <c r="H1526" s="17"/>
      <c r="I1526" s="15"/>
      <c r="J1526" s="25">
        <f>IF($D1526="","",IFERROR(INDEX(PacNome,MATCH($D1526,PacCod,0)),"Paciente não cadastrado"))</f>
        <v>0</v>
      </c>
      <c r="K1526" s="26">
        <f>IF($D1526="","",IFERROR(INDEX(PacConv,MATCH($D1526,PacCod,0))&amp;"",""))</f>
        <v>0</v>
      </c>
      <c r="L1526" s="26">
        <f>IF($A1526="","",CHOOSE(WEEKDAY($A1526,2),"Seg","Ter","Qua","Qui","Sex","Sáb","Dom"))</f>
        <v>0</v>
      </c>
      <c r="M1526" s="27">
        <f>IF($E1526="","",IF($G1526&lt;&gt;"",$G1526,IFERROR(INDEX(ProcValor,MATCH($E1526,ProcNome,0)),0)))</f>
        <v>0</v>
      </c>
      <c r="N1526" s="27">
        <f>IF($M1526="","",IF($F1526="Compareceu",$M1526,0))</f>
        <v>0</v>
      </c>
      <c r="O1526" s="27">
        <f>IF($M1526="","",IF($F1526="Faltou",$M1526,0))</f>
        <v>0</v>
      </c>
      <c r="P1526" s="27">
        <f>IF($M1526="","",IF($F1526="Compareceu",MAX(0,$M1526-N($H1526)),0))</f>
        <v>0</v>
      </c>
      <c r="Q1526" s="19">
        <f>IF(AND($F1526="Compareceu",$E1526&lt;&gt;"",$A1526&lt;&gt;""),IF(IFERROR(INDEX(ProcRet,MATCH($E1526,ProcNome,0)),0)&gt;0,$A1526+INDEX(ProcRet,MATCH($E1526,ProcNome,0)),""),"")</f>
        <v>0</v>
      </c>
      <c r="R1526" s="26">
        <f>IF($Q1526="","",IF(COUNTIFS(AgPac,$D1526,AgData,"&gt;"&amp;$A1526,AgStatus,"&lt;&gt;Cancelado",AgStatus,"&lt;&gt;Remarcado")&gt;0,"Sim","Não"))</f>
        <v>0</v>
      </c>
      <c r="S1526" s="28">
        <f>IF($A1526="","",IF(AND($F1526="Agendado",$A1526-Hoje&gt;=0,$A1526-Hoje&lt;=DiasConf),"CONFIRMAR",IF(AND($A1526&lt;Hoje,OR($F1526="Agendado",$F1526="Confirmado")),"Atualizar status",IF(AND($F1526="Compareceu",$P1526&gt;0.005),"Cobrar",IF($F1526="Faltou","Falta: reagendar","")))))</f>
        <v>0</v>
      </c>
      <c r="T1526" s="29">
        <f>IF($A1526="","",DATE(YEAR($A1526),MONTH($A1526),1))</f>
        <v>0</v>
      </c>
      <c r="U1526" s="30">
        <f>IF($S1526="CONFIRMAR",MAX($U$4:$U1525)+1,"")</f>
        <v>0</v>
      </c>
      <c r="V1526" s="30">
        <f>IF(AND($R1526="Não",$Q1526&lt;&gt;"",$Q1526&lt;=Hoje+JanelaRet,$Q1526&gt;=Hoje-60),MAX($V$4:$V1525)+1,"")</f>
        <v>0</v>
      </c>
    </row>
    <row r="1527" spans="1:22">
      <c r="A1527" s="16"/>
      <c r="B1527" s="23"/>
      <c r="C1527" s="15"/>
      <c r="D1527" s="15"/>
      <c r="E1527" s="15"/>
      <c r="F1527" s="24"/>
      <c r="G1527" s="17"/>
      <c r="H1527" s="17"/>
      <c r="I1527" s="15"/>
      <c r="J1527" s="25">
        <f>IF($D1527="","",IFERROR(INDEX(PacNome,MATCH($D1527,PacCod,0)),"Paciente não cadastrado"))</f>
        <v>0</v>
      </c>
      <c r="K1527" s="26">
        <f>IF($D1527="","",IFERROR(INDEX(PacConv,MATCH($D1527,PacCod,0))&amp;"",""))</f>
        <v>0</v>
      </c>
      <c r="L1527" s="26">
        <f>IF($A1527="","",CHOOSE(WEEKDAY($A1527,2),"Seg","Ter","Qua","Qui","Sex","Sáb","Dom"))</f>
        <v>0</v>
      </c>
      <c r="M1527" s="27">
        <f>IF($E1527="","",IF($G1527&lt;&gt;"",$G1527,IFERROR(INDEX(ProcValor,MATCH($E1527,ProcNome,0)),0)))</f>
        <v>0</v>
      </c>
      <c r="N1527" s="27">
        <f>IF($M1527="","",IF($F1527="Compareceu",$M1527,0))</f>
        <v>0</v>
      </c>
      <c r="O1527" s="27">
        <f>IF($M1527="","",IF($F1527="Faltou",$M1527,0))</f>
        <v>0</v>
      </c>
      <c r="P1527" s="27">
        <f>IF($M1527="","",IF($F1527="Compareceu",MAX(0,$M1527-N($H1527)),0))</f>
        <v>0</v>
      </c>
      <c r="Q1527" s="19">
        <f>IF(AND($F1527="Compareceu",$E1527&lt;&gt;"",$A1527&lt;&gt;""),IF(IFERROR(INDEX(ProcRet,MATCH($E1527,ProcNome,0)),0)&gt;0,$A1527+INDEX(ProcRet,MATCH($E1527,ProcNome,0)),""),"")</f>
        <v>0</v>
      </c>
      <c r="R1527" s="26">
        <f>IF($Q1527="","",IF(COUNTIFS(AgPac,$D1527,AgData,"&gt;"&amp;$A1527,AgStatus,"&lt;&gt;Cancelado",AgStatus,"&lt;&gt;Remarcado")&gt;0,"Sim","Não"))</f>
        <v>0</v>
      </c>
      <c r="S1527" s="28">
        <f>IF($A1527="","",IF(AND($F1527="Agendado",$A1527-Hoje&gt;=0,$A1527-Hoje&lt;=DiasConf),"CONFIRMAR",IF(AND($A1527&lt;Hoje,OR($F1527="Agendado",$F1527="Confirmado")),"Atualizar status",IF(AND($F1527="Compareceu",$P1527&gt;0.005),"Cobrar",IF($F1527="Faltou","Falta: reagendar","")))))</f>
        <v>0</v>
      </c>
      <c r="T1527" s="29">
        <f>IF($A1527="","",DATE(YEAR($A1527),MONTH($A1527),1))</f>
        <v>0</v>
      </c>
      <c r="U1527" s="30">
        <f>IF($S1527="CONFIRMAR",MAX($U$4:$U1526)+1,"")</f>
        <v>0</v>
      </c>
      <c r="V1527" s="30">
        <f>IF(AND($R1527="Não",$Q1527&lt;&gt;"",$Q1527&lt;=Hoje+JanelaRet,$Q1527&gt;=Hoje-60),MAX($V$4:$V1526)+1,"")</f>
        <v>0</v>
      </c>
    </row>
    <row r="1528" spans="1:22">
      <c r="A1528" s="16"/>
      <c r="B1528" s="23"/>
      <c r="C1528" s="15"/>
      <c r="D1528" s="15"/>
      <c r="E1528" s="15"/>
      <c r="F1528" s="24"/>
      <c r="G1528" s="17"/>
      <c r="H1528" s="17"/>
      <c r="I1528" s="15"/>
      <c r="J1528" s="25">
        <f>IF($D1528="","",IFERROR(INDEX(PacNome,MATCH($D1528,PacCod,0)),"Paciente não cadastrado"))</f>
        <v>0</v>
      </c>
      <c r="K1528" s="26">
        <f>IF($D1528="","",IFERROR(INDEX(PacConv,MATCH($D1528,PacCod,0))&amp;"",""))</f>
        <v>0</v>
      </c>
      <c r="L1528" s="26">
        <f>IF($A1528="","",CHOOSE(WEEKDAY($A1528,2),"Seg","Ter","Qua","Qui","Sex","Sáb","Dom"))</f>
        <v>0</v>
      </c>
      <c r="M1528" s="27">
        <f>IF($E1528="","",IF($G1528&lt;&gt;"",$G1528,IFERROR(INDEX(ProcValor,MATCH($E1528,ProcNome,0)),0)))</f>
        <v>0</v>
      </c>
      <c r="N1528" s="27">
        <f>IF($M1528="","",IF($F1528="Compareceu",$M1528,0))</f>
        <v>0</v>
      </c>
      <c r="O1528" s="27">
        <f>IF($M1528="","",IF($F1528="Faltou",$M1528,0))</f>
        <v>0</v>
      </c>
      <c r="P1528" s="27">
        <f>IF($M1528="","",IF($F1528="Compareceu",MAX(0,$M1528-N($H1528)),0))</f>
        <v>0</v>
      </c>
      <c r="Q1528" s="19">
        <f>IF(AND($F1528="Compareceu",$E1528&lt;&gt;"",$A1528&lt;&gt;""),IF(IFERROR(INDEX(ProcRet,MATCH($E1528,ProcNome,0)),0)&gt;0,$A1528+INDEX(ProcRet,MATCH($E1528,ProcNome,0)),""),"")</f>
        <v>0</v>
      </c>
      <c r="R1528" s="26">
        <f>IF($Q1528="","",IF(COUNTIFS(AgPac,$D1528,AgData,"&gt;"&amp;$A1528,AgStatus,"&lt;&gt;Cancelado",AgStatus,"&lt;&gt;Remarcado")&gt;0,"Sim","Não"))</f>
        <v>0</v>
      </c>
      <c r="S1528" s="28">
        <f>IF($A1528="","",IF(AND($F1528="Agendado",$A1528-Hoje&gt;=0,$A1528-Hoje&lt;=DiasConf),"CONFIRMAR",IF(AND($A1528&lt;Hoje,OR($F1528="Agendado",$F1528="Confirmado")),"Atualizar status",IF(AND($F1528="Compareceu",$P1528&gt;0.005),"Cobrar",IF($F1528="Faltou","Falta: reagendar","")))))</f>
        <v>0</v>
      </c>
      <c r="T1528" s="29">
        <f>IF($A1528="","",DATE(YEAR($A1528),MONTH($A1528),1))</f>
        <v>0</v>
      </c>
      <c r="U1528" s="30">
        <f>IF($S1528="CONFIRMAR",MAX($U$4:$U1527)+1,"")</f>
        <v>0</v>
      </c>
      <c r="V1528" s="30">
        <f>IF(AND($R1528="Não",$Q1528&lt;&gt;"",$Q1528&lt;=Hoje+JanelaRet,$Q1528&gt;=Hoje-60),MAX($V$4:$V1527)+1,"")</f>
        <v>0</v>
      </c>
    </row>
    <row r="1529" spans="1:22">
      <c r="A1529" s="16"/>
      <c r="B1529" s="23"/>
      <c r="C1529" s="15"/>
      <c r="D1529" s="15"/>
      <c r="E1529" s="15"/>
      <c r="F1529" s="24"/>
      <c r="G1529" s="17"/>
      <c r="H1529" s="17"/>
      <c r="I1529" s="15"/>
      <c r="J1529" s="25">
        <f>IF($D1529="","",IFERROR(INDEX(PacNome,MATCH($D1529,PacCod,0)),"Paciente não cadastrado"))</f>
        <v>0</v>
      </c>
      <c r="K1529" s="26">
        <f>IF($D1529="","",IFERROR(INDEX(PacConv,MATCH($D1529,PacCod,0))&amp;"",""))</f>
        <v>0</v>
      </c>
      <c r="L1529" s="26">
        <f>IF($A1529="","",CHOOSE(WEEKDAY($A1529,2),"Seg","Ter","Qua","Qui","Sex","Sáb","Dom"))</f>
        <v>0</v>
      </c>
      <c r="M1529" s="27">
        <f>IF($E1529="","",IF($G1529&lt;&gt;"",$G1529,IFERROR(INDEX(ProcValor,MATCH($E1529,ProcNome,0)),0)))</f>
        <v>0</v>
      </c>
      <c r="N1529" s="27">
        <f>IF($M1529="","",IF($F1529="Compareceu",$M1529,0))</f>
        <v>0</v>
      </c>
      <c r="O1529" s="27">
        <f>IF($M1529="","",IF($F1529="Faltou",$M1529,0))</f>
        <v>0</v>
      </c>
      <c r="P1529" s="27">
        <f>IF($M1529="","",IF($F1529="Compareceu",MAX(0,$M1529-N($H1529)),0))</f>
        <v>0</v>
      </c>
      <c r="Q1529" s="19">
        <f>IF(AND($F1529="Compareceu",$E1529&lt;&gt;"",$A1529&lt;&gt;""),IF(IFERROR(INDEX(ProcRet,MATCH($E1529,ProcNome,0)),0)&gt;0,$A1529+INDEX(ProcRet,MATCH($E1529,ProcNome,0)),""),"")</f>
        <v>0</v>
      </c>
      <c r="R1529" s="26">
        <f>IF($Q1529="","",IF(COUNTIFS(AgPac,$D1529,AgData,"&gt;"&amp;$A1529,AgStatus,"&lt;&gt;Cancelado",AgStatus,"&lt;&gt;Remarcado")&gt;0,"Sim","Não"))</f>
        <v>0</v>
      </c>
      <c r="S1529" s="28">
        <f>IF($A1529="","",IF(AND($F1529="Agendado",$A1529-Hoje&gt;=0,$A1529-Hoje&lt;=DiasConf),"CONFIRMAR",IF(AND($A1529&lt;Hoje,OR($F1529="Agendado",$F1529="Confirmado")),"Atualizar status",IF(AND($F1529="Compareceu",$P1529&gt;0.005),"Cobrar",IF($F1529="Faltou","Falta: reagendar","")))))</f>
        <v>0</v>
      </c>
      <c r="T1529" s="29">
        <f>IF($A1529="","",DATE(YEAR($A1529),MONTH($A1529),1))</f>
        <v>0</v>
      </c>
      <c r="U1529" s="30">
        <f>IF($S1529="CONFIRMAR",MAX($U$4:$U1528)+1,"")</f>
        <v>0</v>
      </c>
      <c r="V1529" s="30">
        <f>IF(AND($R1529="Não",$Q1529&lt;&gt;"",$Q1529&lt;=Hoje+JanelaRet,$Q1529&gt;=Hoje-60),MAX($V$4:$V1528)+1,"")</f>
        <v>0</v>
      </c>
    </row>
    <row r="1530" spans="1:22">
      <c r="A1530" s="16"/>
      <c r="B1530" s="23"/>
      <c r="C1530" s="15"/>
      <c r="D1530" s="15"/>
      <c r="E1530" s="15"/>
      <c r="F1530" s="24"/>
      <c r="G1530" s="17"/>
      <c r="H1530" s="17"/>
      <c r="I1530" s="15"/>
      <c r="J1530" s="25">
        <f>IF($D1530="","",IFERROR(INDEX(PacNome,MATCH($D1530,PacCod,0)),"Paciente não cadastrado"))</f>
        <v>0</v>
      </c>
      <c r="K1530" s="26">
        <f>IF($D1530="","",IFERROR(INDEX(PacConv,MATCH($D1530,PacCod,0))&amp;"",""))</f>
        <v>0</v>
      </c>
      <c r="L1530" s="26">
        <f>IF($A1530="","",CHOOSE(WEEKDAY($A1530,2),"Seg","Ter","Qua","Qui","Sex","Sáb","Dom"))</f>
        <v>0</v>
      </c>
      <c r="M1530" s="27">
        <f>IF($E1530="","",IF($G1530&lt;&gt;"",$G1530,IFERROR(INDEX(ProcValor,MATCH($E1530,ProcNome,0)),0)))</f>
        <v>0</v>
      </c>
      <c r="N1530" s="27">
        <f>IF($M1530="","",IF($F1530="Compareceu",$M1530,0))</f>
        <v>0</v>
      </c>
      <c r="O1530" s="27">
        <f>IF($M1530="","",IF($F1530="Faltou",$M1530,0))</f>
        <v>0</v>
      </c>
      <c r="P1530" s="27">
        <f>IF($M1530="","",IF($F1530="Compareceu",MAX(0,$M1530-N($H1530)),0))</f>
        <v>0</v>
      </c>
      <c r="Q1530" s="19">
        <f>IF(AND($F1530="Compareceu",$E1530&lt;&gt;"",$A1530&lt;&gt;""),IF(IFERROR(INDEX(ProcRet,MATCH($E1530,ProcNome,0)),0)&gt;0,$A1530+INDEX(ProcRet,MATCH($E1530,ProcNome,0)),""),"")</f>
        <v>0</v>
      </c>
      <c r="R1530" s="26">
        <f>IF($Q1530="","",IF(COUNTIFS(AgPac,$D1530,AgData,"&gt;"&amp;$A1530,AgStatus,"&lt;&gt;Cancelado",AgStatus,"&lt;&gt;Remarcado")&gt;0,"Sim","Não"))</f>
        <v>0</v>
      </c>
      <c r="S1530" s="28">
        <f>IF($A1530="","",IF(AND($F1530="Agendado",$A1530-Hoje&gt;=0,$A1530-Hoje&lt;=DiasConf),"CONFIRMAR",IF(AND($A1530&lt;Hoje,OR($F1530="Agendado",$F1530="Confirmado")),"Atualizar status",IF(AND($F1530="Compareceu",$P1530&gt;0.005),"Cobrar",IF($F1530="Faltou","Falta: reagendar","")))))</f>
        <v>0</v>
      </c>
      <c r="T1530" s="29">
        <f>IF($A1530="","",DATE(YEAR($A1530),MONTH($A1530),1))</f>
        <v>0</v>
      </c>
      <c r="U1530" s="30">
        <f>IF($S1530="CONFIRMAR",MAX($U$4:$U1529)+1,"")</f>
        <v>0</v>
      </c>
      <c r="V1530" s="30">
        <f>IF(AND($R1530="Não",$Q1530&lt;&gt;"",$Q1530&lt;=Hoje+JanelaRet,$Q1530&gt;=Hoje-60),MAX($V$4:$V1529)+1,"")</f>
        <v>0</v>
      </c>
    </row>
    <row r="1531" spans="1:22">
      <c r="A1531" s="16"/>
      <c r="B1531" s="23"/>
      <c r="C1531" s="15"/>
      <c r="D1531" s="15"/>
      <c r="E1531" s="15"/>
      <c r="F1531" s="24"/>
      <c r="G1531" s="17"/>
      <c r="H1531" s="17"/>
      <c r="I1531" s="15"/>
      <c r="J1531" s="25">
        <f>IF($D1531="","",IFERROR(INDEX(PacNome,MATCH($D1531,PacCod,0)),"Paciente não cadastrado"))</f>
        <v>0</v>
      </c>
      <c r="K1531" s="26">
        <f>IF($D1531="","",IFERROR(INDEX(PacConv,MATCH($D1531,PacCod,0))&amp;"",""))</f>
        <v>0</v>
      </c>
      <c r="L1531" s="26">
        <f>IF($A1531="","",CHOOSE(WEEKDAY($A1531,2),"Seg","Ter","Qua","Qui","Sex","Sáb","Dom"))</f>
        <v>0</v>
      </c>
      <c r="M1531" s="27">
        <f>IF($E1531="","",IF($G1531&lt;&gt;"",$G1531,IFERROR(INDEX(ProcValor,MATCH($E1531,ProcNome,0)),0)))</f>
        <v>0</v>
      </c>
      <c r="N1531" s="27">
        <f>IF($M1531="","",IF($F1531="Compareceu",$M1531,0))</f>
        <v>0</v>
      </c>
      <c r="O1531" s="27">
        <f>IF($M1531="","",IF($F1531="Faltou",$M1531,0))</f>
        <v>0</v>
      </c>
      <c r="P1531" s="27">
        <f>IF($M1531="","",IF($F1531="Compareceu",MAX(0,$M1531-N($H1531)),0))</f>
        <v>0</v>
      </c>
      <c r="Q1531" s="19">
        <f>IF(AND($F1531="Compareceu",$E1531&lt;&gt;"",$A1531&lt;&gt;""),IF(IFERROR(INDEX(ProcRet,MATCH($E1531,ProcNome,0)),0)&gt;0,$A1531+INDEX(ProcRet,MATCH($E1531,ProcNome,0)),""),"")</f>
        <v>0</v>
      </c>
      <c r="R1531" s="26">
        <f>IF($Q1531="","",IF(COUNTIFS(AgPac,$D1531,AgData,"&gt;"&amp;$A1531,AgStatus,"&lt;&gt;Cancelado",AgStatus,"&lt;&gt;Remarcado")&gt;0,"Sim","Não"))</f>
        <v>0</v>
      </c>
      <c r="S1531" s="28">
        <f>IF($A1531="","",IF(AND($F1531="Agendado",$A1531-Hoje&gt;=0,$A1531-Hoje&lt;=DiasConf),"CONFIRMAR",IF(AND($A1531&lt;Hoje,OR($F1531="Agendado",$F1531="Confirmado")),"Atualizar status",IF(AND($F1531="Compareceu",$P1531&gt;0.005),"Cobrar",IF($F1531="Faltou","Falta: reagendar","")))))</f>
        <v>0</v>
      </c>
      <c r="T1531" s="29">
        <f>IF($A1531="","",DATE(YEAR($A1531),MONTH($A1531),1))</f>
        <v>0</v>
      </c>
      <c r="U1531" s="30">
        <f>IF($S1531="CONFIRMAR",MAX($U$4:$U1530)+1,"")</f>
        <v>0</v>
      </c>
      <c r="V1531" s="30">
        <f>IF(AND($R1531="Não",$Q1531&lt;&gt;"",$Q1531&lt;=Hoje+JanelaRet,$Q1531&gt;=Hoje-60),MAX($V$4:$V1530)+1,"")</f>
        <v>0</v>
      </c>
    </row>
    <row r="1532" spans="1:22">
      <c r="A1532" s="16"/>
      <c r="B1532" s="23"/>
      <c r="C1532" s="15"/>
      <c r="D1532" s="15"/>
      <c r="E1532" s="15"/>
      <c r="F1532" s="24"/>
      <c r="G1532" s="17"/>
      <c r="H1532" s="17"/>
      <c r="I1532" s="15"/>
      <c r="J1532" s="25">
        <f>IF($D1532="","",IFERROR(INDEX(PacNome,MATCH($D1532,PacCod,0)),"Paciente não cadastrado"))</f>
        <v>0</v>
      </c>
      <c r="K1532" s="26">
        <f>IF($D1532="","",IFERROR(INDEX(PacConv,MATCH($D1532,PacCod,0))&amp;"",""))</f>
        <v>0</v>
      </c>
      <c r="L1532" s="26">
        <f>IF($A1532="","",CHOOSE(WEEKDAY($A1532,2),"Seg","Ter","Qua","Qui","Sex","Sáb","Dom"))</f>
        <v>0</v>
      </c>
      <c r="M1532" s="27">
        <f>IF($E1532="","",IF($G1532&lt;&gt;"",$G1532,IFERROR(INDEX(ProcValor,MATCH($E1532,ProcNome,0)),0)))</f>
        <v>0</v>
      </c>
      <c r="N1532" s="27">
        <f>IF($M1532="","",IF($F1532="Compareceu",$M1532,0))</f>
        <v>0</v>
      </c>
      <c r="O1532" s="27">
        <f>IF($M1532="","",IF($F1532="Faltou",$M1532,0))</f>
        <v>0</v>
      </c>
      <c r="P1532" s="27">
        <f>IF($M1532="","",IF($F1532="Compareceu",MAX(0,$M1532-N($H1532)),0))</f>
        <v>0</v>
      </c>
      <c r="Q1532" s="19">
        <f>IF(AND($F1532="Compareceu",$E1532&lt;&gt;"",$A1532&lt;&gt;""),IF(IFERROR(INDEX(ProcRet,MATCH($E1532,ProcNome,0)),0)&gt;0,$A1532+INDEX(ProcRet,MATCH($E1532,ProcNome,0)),""),"")</f>
        <v>0</v>
      </c>
      <c r="R1532" s="26">
        <f>IF($Q1532="","",IF(COUNTIFS(AgPac,$D1532,AgData,"&gt;"&amp;$A1532,AgStatus,"&lt;&gt;Cancelado",AgStatus,"&lt;&gt;Remarcado")&gt;0,"Sim","Não"))</f>
        <v>0</v>
      </c>
      <c r="S1532" s="28">
        <f>IF($A1532="","",IF(AND($F1532="Agendado",$A1532-Hoje&gt;=0,$A1532-Hoje&lt;=DiasConf),"CONFIRMAR",IF(AND($A1532&lt;Hoje,OR($F1532="Agendado",$F1532="Confirmado")),"Atualizar status",IF(AND($F1532="Compareceu",$P1532&gt;0.005),"Cobrar",IF($F1532="Faltou","Falta: reagendar","")))))</f>
        <v>0</v>
      </c>
      <c r="T1532" s="29">
        <f>IF($A1532="","",DATE(YEAR($A1532),MONTH($A1532),1))</f>
        <v>0</v>
      </c>
      <c r="U1532" s="30">
        <f>IF($S1532="CONFIRMAR",MAX($U$4:$U1531)+1,"")</f>
        <v>0</v>
      </c>
      <c r="V1532" s="30">
        <f>IF(AND($R1532="Não",$Q1532&lt;&gt;"",$Q1532&lt;=Hoje+JanelaRet,$Q1532&gt;=Hoje-60),MAX($V$4:$V1531)+1,"")</f>
        <v>0</v>
      </c>
    </row>
    <row r="1533" spans="1:22">
      <c r="A1533" s="16"/>
      <c r="B1533" s="23"/>
      <c r="C1533" s="15"/>
      <c r="D1533" s="15"/>
      <c r="E1533" s="15"/>
      <c r="F1533" s="24"/>
      <c r="G1533" s="17"/>
      <c r="H1533" s="17"/>
      <c r="I1533" s="15"/>
      <c r="J1533" s="25">
        <f>IF($D1533="","",IFERROR(INDEX(PacNome,MATCH($D1533,PacCod,0)),"Paciente não cadastrado"))</f>
        <v>0</v>
      </c>
      <c r="K1533" s="26">
        <f>IF($D1533="","",IFERROR(INDEX(PacConv,MATCH($D1533,PacCod,0))&amp;"",""))</f>
        <v>0</v>
      </c>
      <c r="L1533" s="26">
        <f>IF($A1533="","",CHOOSE(WEEKDAY($A1533,2),"Seg","Ter","Qua","Qui","Sex","Sáb","Dom"))</f>
        <v>0</v>
      </c>
      <c r="M1533" s="27">
        <f>IF($E1533="","",IF($G1533&lt;&gt;"",$G1533,IFERROR(INDEX(ProcValor,MATCH($E1533,ProcNome,0)),0)))</f>
        <v>0</v>
      </c>
      <c r="N1533" s="27">
        <f>IF($M1533="","",IF($F1533="Compareceu",$M1533,0))</f>
        <v>0</v>
      </c>
      <c r="O1533" s="27">
        <f>IF($M1533="","",IF($F1533="Faltou",$M1533,0))</f>
        <v>0</v>
      </c>
      <c r="P1533" s="27">
        <f>IF($M1533="","",IF($F1533="Compareceu",MAX(0,$M1533-N($H1533)),0))</f>
        <v>0</v>
      </c>
      <c r="Q1533" s="19">
        <f>IF(AND($F1533="Compareceu",$E1533&lt;&gt;"",$A1533&lt;&gt;""),IF(IFERROR(INDEX(ProcRet,MATCH($E1533,ProcNome,0)),0)&gt;0,$A1533+INDEX(ProcRet,MATCH($E1533,ProcNome,0)),""),"")</f>
        <v>0</v>
      </c>
      <c r="R1533" s="26">
        <f>IF($Q1533="","",IF(COUNTIFS(AgPac,$D1533,AgData,"&gt;"&amp;$A1533,AgStatus,"&lt;&gt;Cancelado",AgStatus,"&lt;&gt;Remarcado")&gt;0,"Sim","Não"))</f>
        <v>0</v>
      </c>
      <c r="S1533" s="28">
        <f>IF($A1533="","",IF(AND($F1533="Agendado",$A1533-Hoje&gt;=0,$A1533-Hoje&lt;=DiasConf),"CONFIRMAR",IF(AND($A1533&lt;Hoje,OR($F1533="Agendado",$F1533="Confirmado")),"Atualizar status",IF(AND($F1533="Compareceu",$P1533&gt;0.005),"Cobrar",IF($F1533="Faltou","Falta: reagendar","")))))</f>
        <v>0</v>
      </c>
      <c r="T1533" s="29">
        <f>IF($A1533="","",DATE(YEAR($A1533),MONTH($A1533),1))</f>
        <v>0</v>
      </c>
      <c r="U1533" s="30">
        <f>IF($S1533="CONFIRMAR",MAX($U$4:$U1532)+1,"")</f>
        <v>0</v>
      </c>
      <c r="V1533" s="30">
        <f>IF(AND($R1533="Não",$Q1533&lt;&gt;"",$Q1533&lt;=Hoje+JanelaRet,$Q1533&gt;=Hoje-60),MAX($V$4:$V1532)+1,"")</f>
        <v>0</v>
      </c>
    </row>
    <row r="1534" spans="1:22">
      <c r="A1534" s="16"/>
      <c r="B1534" s="23"/>
      <c r="C1534" s="15"/>
      <c r="D1534" s="15"/>
      <c r="E1534" s="15"/>
      <c r="F1534" s="24"/>
      <c r="G1534" s="17"/>
      <c r="H1534" s="17"/>
      <c r="I1534" s="15"/>
      <c r="J1534" s="25">
        <f>IF($D1534="","",IFERROR(INDEX(PacNome,MATCH($D1534,PacCod,0)),"Paciente não cadastrado"))</f>
        <v>0</v>
      </c>
      <c r="K1534" s="26">
        <f>IF($D1534="","",IFERROR(INDEX(PacConv,MATCH($D1534,PacCod,0))&amp;"",""))</f>
        <v>0</v>
      </c>
      <c r="L1534" s="26">
        <f>IF($A1534="","",CHOOSE(WEEKDAY($A1534,2),"Seg","Ter","Qua","Qui","Sex","Sáb","Dom"))</f>
        <v>0</v>
      </c>
      <c r="M1534" s="27">
        <f>IF($E1534="","",IF($G1534&lt;&gt;"",$G1534,IFERROR(INDEX(ProcValor,MATCH($E1534,ProcNome,0)),0)))</f>
        <v>0</v>
      </c>
      <c r="N1534" s="27">
        <f>IF($M1534="","",IF($F1534="Compareceu",$M1534,0))</f>
        <v>0</v>
      </c>
      <c r="O1534" s="27">
        <f>IF($M1534="","",IF($F1534="Faltou",$M1534,0))</f>
        <v>0</v>
      </c>
      <c r="P1534" s="27">
        <f>IF($M1534="","",IF($F1534="Compareceu",MAX(0,$M1534-N($H1534)),0))</f>
        <v>0</v>
      </c>
      <c r="Q1534" s="19">
        <f>IF(AND($F1534="Compareceu",$E1534&lt;&gt;"",$A1534&lt;&gt;""),IF(IFERROR(INDEX(ProcRet,MATCH($E1534,ProcNome,0)),0)&gt;0,$A1534+INDEX(ProcRet,MATCH($E1534,ProcNome,0)),""),"")</f>
        <v>0</v>
      </c>
      <c r="R1534" s="26">
        <f>IF($Q1534="","",IF(COUNTIFS(AgPac,$D1534,AgData,"&gt;"&amp;$A1534,AgStatus,"&lt;&gt;Cancelado",AgStatus,"&lt;&gt;Remarcado")&gt;0,"Sim","Não"))</f>
        <v>0</v>
      </c>
      <c r="S1534" s="28">
        <f>IF($A1534="","",IF(AND($F1534="Agendado",$A1534-Hoje&gt;=0,$A1534-Hoje&lt;=DiasConf),"CONFIRMAR",IF(AND($A1534&lt;Hoje,OR($F1534="Agendado",$F1534="Confirmado")),"Atualizar status",IF(AND($F1534="Compareceu",$P1534&gt;0.005),"Cobrar",IF($F1534="Faltou","Falta: reagendar","")))))</f>
        <v>0</v>
      </c>
      <c r="T1534" s="29">
        <f>IF($A1534="","",DATE(YEAR($A1534),MONTH($A1534),1))</f>
        <v>0</v>
      </c>
      <c r="U1534" s="30">
        <f>IF($S1534="CONFIRMAR",MAX($U$4:$U1533)+1,"")</f>
        <v>0</v>
      </c>
      <c r="V1534" s="30">
        <f>IF(AND($R1534="Não",$Q1534&lt;&gt;"",$Q1534&lt;=Hoje+JanelaRet,$Q1534&gt;=Hoje-60),MAX($V$4:$V1533)+1,"")</f>
        <v>0</v>
      </c>
    </row>
    <row r="1535" spans="1:22">
      <c r="A1535" s="16"/>
      <c r="B1535" s="23"/>
      <c r="C1535" s="15"/>
      <c r="D1535" s="15"/>
      <c r="E1535" s="15"/>
      <c r="F1535" s="24"/>
      <c r="G1535" s="17"/>
      <c r="H1535" s="17"/>
      <c r="I1535" s="15"/>
      <c r="J1535" s="25">
        <f>IF($D1535="","",IFERROR(INDEX(PacNome,MATCH($D1535,PacCod,0)),"Paciente não cadastrado"))</f>
        <v>0</v>
      </c>
      <c r="K1535" s="26">
        <f>IF($D1535="","",IFERROR(INDEX(PacConv,MATCH($D1535,PacCod,0))&amp;"",""))</f>
        <v>0</v>
      </c>
      <c r="L1535" s="26">
        <f>IF($A1535="","",CHOOSE(WEEKDAY($A1535,2),"Seg","Ter","Qua","Qui","Sex","Sáb","Dom"))</f>
        <v>0</v>
      </c>
      <c r="M1535" s="27">
        <f>IF($E1535="","",IF($G1535&lt;&gt;"",$G1535,IFERROR(INDEX(ProcValor,MATCH($E1535,ProcNome,0)),0)))</f>
        <v>0</v>
      </c>
      <c r="N1535" s="27">
        <f>IF($M1535="","",IF($F1535="Compareceu",$M1535,0))</f>
        <v>0</v>
      </c>
      <c r="O1535" s="27">
        <f>IF($M1535="","",IF($F1535="Faltou",$M1535,0))</f>
        <v>0</v>
      </c>
      <c r="P1535" s="27">
        <f>IF($M1535="","",IF($F1535="Compareceu",MAX(0,$M1535-N($H1535)),0))</f>
        <v>0</v>
      </c>
      <c r="Q1535" s="19">
        <f>IF(AND($F1535="Compareceu",$E1535&lt;&gt;"",$A1535&lt;&gt;""),IF(IFERROR(INDEX(ProcRet,MATCH($E1535,ProcNome,0)),0)&gt;0,$A1535+INDEX(ProcRet,MATCH($E1535,ProcNome,0)),""),"")</f>
        <v>0</v>
      </c>
      <c r="R1535" s="26">
        <f>IF($Q1535="","",IF(COUNTIFS(AgPac,$D1535,AgData,"&gt;"&amp;$A1535,AgStatus,"&lt;&gt;Cancelado",AgStatus,"&lt;&gt;Remarcado")&gt;0,"Sim","Não"))</f>
        <v>0</v>
      </c>
      <c r="S1535" s="28">
        <f>IF($A1535="","",IF(AND($F1535="Agendado",$A1535-Hoje&gt;=0,$A1535-Hoje&lt;=DiasConf),"CONFIRMAR",IF(AND($A1535&lt;Hoje,OR($F1535="Agendado",$F1535="Confirmado")),"Atualizar status",IF(AND($F1535="Compareceu",$P1535&gt;0.005),"Cobrar",IF($F1535="Faltou","Falta: reagendar","")))))</f>
        <v>0</v>
      </c>
      <c r="T1535" s="29">
        <f>IF($A1535="","",DATE(YEAR($A1535),MONTH($A1535),1))</f>
        <v>0</v>
      </c>
      <c r="U1535" s="30">
        <f>IF($S1535="CONFIRMAR",MAX($U$4:$U1534)+1,"")</f>
        <v>0</v>
      </c>
      <c r="V1535" s="30">
        <f>IF(AND($R1535="Não",$Q1535&lt;&gt;"",$Q1535&lt;=Hoje+JanelaRet,$Q1535&gt;=Hoje-60),MAX($V$4:$V1534)+1,"")</f>
        <v>0</v>
      </c>
    </row>
    <row r="1536" spans="1:22">
      <c r="A1536" s="16"/>
      <c r="B1536" s="23"/>
      <c r="C1536" s="15"/>
      <c r="D1536" s="15"/>
      <c r="E1536" s="15"/>
      <c r="F1536" s="24"/>
      <c r="G1536" s="17"/>
      <c r="H1536" s="17"/>
      <c r="I1536" s="15"/>
      <c r="J1536" s="25">
        <f>IF($D1536="","",IFERROR(INDEX(PacNome,MATCH($D1536,PacCod,0)),"Paciente não cadastrado"))</f>
        <v>0</v>
      </c>
      <c r="K1536" s="26">
        <f>IF($D1536="","",IFERROR(INDEX(PacConv,MATCH($D1536,PacCod,0))&amp;"",""))</f>
        <v>0</v>
      </c>
      <c r="L1536" s="26">
        <f>IF($A1536="","",CHOOSE(WEEKDAY($A1536,2),"Seg","Ter","Qua","Qui","Sex","Sáb","Dom"))</f>
        <v>0</v>
      </c>
      <c r="M1536" s="27">
        <f>IF($E1536="","",IF($G1536&lt;&gt;"",$G1536,IFERROR(INDEX(ProcValor,MATCH($E1536,ProcNome,0)),0)))</f>
        <v>0</v>
      </c>
      <c r="N1536" s="27">
        <f>IF($M1536="","",IF($F1536="Compareceu",$M1536,0))</f>
        <v>0</v>
      </c>
      <c r="O1536" s="27">
        <f>IF($M1536="","",IF($F1536="Faltou",$M1536,0))</f>
        <v>0</v>
      </c>
      <c r="P1536" s="27">
        <f>IF($M1536="","",IF($F1536="Compareceu",MAX(0,$M1536-N($H1536)),0))</f>
        <v>0</v>
      </c>
      <c r="Q1536" s="19">
        <f>IF(AND($F1536="Compareceu",$E1536&lt;&gt;"",$A1536&lt;&gt;""),IF(IFERROR(INDEX(ProcRet,MATCH($E1536,ProcNome,0)),0)&gt;0,$A1536+INDEX(ProcRet,MATCH($E1536,ProcNome,0)),""),"")</f>
        <v>0</v>
      </c>
      <c r="R1536" s="26">
        <f>IF($Q1536="","",IF(COUNTIFS(AgPac,$D1536,AgData,"&gt;"&amp;$A1536,AgStatus,"&lt;&gt;Cancelado",AgStatus,"&lt;&gt;Remarcado")&gt;0,"Sim","Não"))</f>
        <v>0</v>
      </c>
      <c r="S1536" s="28">
        <f>IF($A1536="","",IF(AND($F1536="Agendado",$A1536-Hoje&gt;=0,$A1536-Hoje&lt;=DiasConf),"CONFIRMAR",IF(AND($A1536&lt;Hoje,OR($F1536="Agendado",$F1536="Confirmado")),"Atualizar status",IF(AND($F1536="Compareceu",$P1536&gt;0.005),"Cobrar",IF($F1536="Faltou","Falta: reagendar","")))))</f>
        <v>0</v>
      </c>
      <c r="T1536" s="29">
        <f>IF($A1536="","",DATE(YEAR($A1536),MONTH($A1536),1))</f>
        <v>0</v>
      </c>
      <c r="U1536" s="30">
        <f>IF($S1536="CONFIRMAR",MAX($U$4:$U1535)+1,"")</f>
        <v>0</v>
      </c>
      <c r="V1536" s="30">
        <f>IF(AND($R1536="Não",$Q1536&lt;&gt;"",$Q1536&lt;=Hoje+JanelaRet,$Q1536&gt;=Hoje-60),MAX($V$4:$V1535)+1,"")</f>
        <v>0</v>
      </c>
    </row>
    <row r="1537" spans="1:22">
      <c r="A1537" s="16"/>
      <c r="B1537" s="23"/>
      <c r="C1537" s="15"/>
      <c r="D1537" s="15"/>
      <c r="E1537" s="15"/>
      <c r="F1537" s="24"/>
      <c r="G1537" s="17"/>
      <c r="H1537" s="17"/>
      <c r="I1537" s="15"/>
      <c r="J1537" s="25">
        <f>IF($D1537="","",IFERROR(INDEX(PacNome,MATCH($D1537,PacCod,0)),"Paciente não cadastrado"))</f>
        <v>0</v>
      </c>
      <c r="K1537" s="26">
        <f>IF($D1537="","",IFERROR(INDEX(PacConv,MATCH($D1537,PacCod,0))&amp;"",""))</f>
        <v>0</v>
      </c>
      <c r="L1537" s="26">
        <f>IF($A1537="","",CHOOSE(WEEKDAY($A1537,2),"Seg","Ter","Qua","Qui","Sex","Sáb","Dom"))</f>
        <v>0</v>
      </c>
      <c r="M1537" s="27">
        <f>IF($E1537="","",IF($G1537&lt;&gt;"",$G1537,IFERROR(INDEX(ProcValor,MATCH($E1537,ProcNome,0)),0)))</f>
        <v>0</v>
      </c>
      <c r="N1537" s="27">
        <f>IF($M1537="","",IF($F1537="Compareceu",$M1537,0))</f>
        <v>0</v>
      </c>
      <c r="O1537" s="27">
        <f>IF($M1537="","",IF($F1537="Faltou",$M1537,0))</f>
        <v>0</v>
      </c>
      <c r="P1537" s="27">
        <f>IF($M1537="","",IF($F1537="Compareceu",MAX(0,$M1537-N($H1537)),0))</f>
        <v>0</v>
      </c>
      <c r="Q1537" s="19">
        <f>IF(AND($F1537="Compareceu",$E1537&lt;&gt;"",$A1537&lt;&gt;""),IF(IFERROR(INDEX(ProcRet,MATCH($E1537,ProcNome,0)),0)&gt;0,$A1537+INDEX(ProcRet,MATCH($E1537,ProcNome,0)),""),"")</f>
        <v>0</v>
      </c>
      <c r="R1537" s="26">
        <f>IF($Q1537="","",IF(COUNTIFS(AgPac,$D1537,AgData,"&gt;"&amp;$A1537,AgStatus,"&lt;&gt;Cancelado",AgStatus,"&lt;&gt;Remarcado")&gt;0,"Sim","Não"))</f>
        <v>0</v>
      </c>
      <c r="S1537" s="28">
        <f>IF($A1537="","",IF(AND($F1537="Agendado",$A1537-Hoje&gt;=0,$A1537-Hoje&lt;=DiasConf),"CONFIRMAR",IF(AND($A1537&lt;Hoje,OR($F1537="Agendado",$F1537="Confirmado")),"Atualizar status",IF(AND($F1537="Compareceu",$P1537&gt;0.005),"Cobrar",IF($F1537="Faltou","Falta: reagendar","")))))</f>
        <v>0</v>
      </c>
      <c r="T1537" s="29">
        <f>IF($A1537="","",DATE(YEAR($A1537),MONTH($A1537),1))</f>
        <v>0</v>
      </c>
      <c r="U1537" s="30">
        <f>IF($S1537="CONFIRMAR",MAX($U$4:$U1536)+1,"")</f>
        <v>0</v>
      </c>
      <c r="V1537" s="30">
        <f>IF(AND($R1537="Não",$Q1537&lt;&gt;"",$Q1537&lt;=Hoje+JanelaRet,$Q1537&gt;=Hoje-60),MAX($V$4:$V1536)+1,"")</f>
        <v>0</v>
      </c>
    </row>
    <row r="1538" spans="1:22">
      <c r="A1538" s="16"/>
      <c r="B1538" s="23"/>
      <c r="C1538" s="15"/>
      <c r="D1538" s="15"/>
      <c r="E1538" s="15"/>
      <c r="F1538" s="24"/>
      <c r="G1538" s="17"/>
      <c r="H1538" s="17"/>
      <c r="I1538" s="15"/>
      <c r="J1538" s="25">
        <f>IF($D1538="","",IFERROR(INDEX(PacNome,MATCH($D1538,PacCod,0)),"Paciente não cadastrado"))</f>
        <v>0</v>
      </c>
      <c r="K1538" s="26">
        <f>IF($D1538="","",IFERROR(INDEX(PacConv,MATCH($D1538,PacCod,0))&amp;"",""))</f>
        <v>0</v>
      </c>
      <c r="L1538" s="26">
        <f>IF($A1538="","",CHOOSE(WEEKDAY($A1538,2),"Seg","Ter","Qua","Qui","Sex","Sáb","Dom"))</f>
        <v>0</v>
      </c>
      <c r="M1538" s="27">
        <f>IF($E1538="","",IF($G1538&lt;&gt;"",$G1538,IFERROR(INDEX(ProcValor,MATCH($E1538,ProcNome,0)),0)))</f>
        <v>0</v>
      </c>
      <c r="N1538" s="27">
        <f>IF($M1538="","",IF($F1538="Compareceu",$M1538,0))</f>
        <v>0</v>
      </c>
      <c r="O1538" s="27">
        <f>IF($M1538="","",IF($F1538="Faltou",$M1538,0))</f>
        <v>0</v>
      </c>
      <c r="P1538" s="27">
        <f>IF($M1538="","",IF($F1538="Compareceu",MAX(0,$M1538-N($H1538)),0))</f>
        <v>0</v>
      </c>
      <c r="Q1538" s="19">
        <f>IF(AND($F1538="Compareceu",$E1538&lt;&gt;"",$A1538&lt;&gt;""),IF(IFERROR(INDEX(ProcRet,MATCH($E1538,ProcNome,0)),0)&gt;0,$A1538+INDEX(ProcRet,MATCH($E1538,ProcNome,0)),""),"")</f>
        <v>0</v>
      </c>
      <c r="R1538" s="26">
        <f>IF($Q1538="","",IF(COUNTIFS(AgPac,$D1538,AgData,"&gt;"&amp;$A1538,AgStatus,"&lt;&gt;Cancelado",AgStatus,"&lt;&gt;Remarcado")&gt;0,"Sim","Não"))</f>
        <v>0</v>
      </c>
      <c r="S1538" s="28">
        <f>IF($A1538="","",IF(AND($F1538="Agendado",$A1538-Hoje&gt;=0,$A1538-Hoje&lt;=DiasConf),"CONFIRMAR",IF(AND($A1538&lt;Hoje,OR($F1538="Agendado",$F1538="Confirmado")),"Atualizar status",IF(AND($F1538="Compareceu",$P1538&gt;0.005),"Cobrar",IF($F1538="Faltou","Falta: reagendar","")))))</f>
        <v>0</v>
      </c>
      <c r="T1538" s="29">
        <f>IF($A1538="","",DATE(YEAR($A1538),MONTH($A1538),1))</f>
        <v>0</v>
      </c>
      <c r="U1538" s="30">
        <f>IF($S1538="CONFIRMAR",MAX($U$4:$U1537)+1,"")</f>
        <v>0</v>
      </c>
      <c r="V1538" s="30">
        <f>IF(AND($R1538="Não",$Q1538&lt;&gt;"",$Q1538&lt;=Hoje+JanelaRet,$Q1538&gt;=Hoje-60),MAX($V$4:$V1537)+1,"")</f>
        <v>0</v>
      </c>
    </row>
    <row r="1539" spans="1:22">
      <c r="A1539" s="16"/>
      <c r="B1539" s="23"/>
      <c r="C1539" s="15"/>
      <c r="D1539" s="15"/>
      <c r="E1539" s="15"/>
      <c r="F1539" s="24"/>
      <c r="G1539" s="17"/>
      <c r="H1539" s="17"/>
      <c r="I1539" s="15"/>
      <c r="J1539" s="25">
        <f>IF($D1539="","",IFERROR(INDEX(PacNome,MATCH($D1539,PacCod,0)),"Paciente não cadastrado"))</f>
        <v>0</v>
      </c>
      <c r="K1539" s="26">
        <f>IF($D1539="","",IFERROR(INDEX(PacConv,MATCH($D1539,PacCod,0))&amp;"",""))</f>
        <v>0</v>
      </c>
      <c r="L1539" s="26">
        <f>IF($A1539="","",CHOOSE(WEEKDAY($A1539,2),"Seg","Ter","Qua","Qui","Sex","Sáb","Dom"))</f>
        <v>0</v>
      </c>
      <c r="M1539" s="27">
        <f>IF($E1539="","",IF($G1539&lt;&gt;"",$G1539,IFERROR(INDEX(ProcValor,MATCH($E1539,ProcNome,0)),0)))</f>
        <v>0</v>
      </c>
      <c r="N1539" s="27">
        <f>IF($M1539="","",IF($F1539="Compareceu",$M1539,0))</f>
        <v>0</v>
      </c>
      <c r="O1539" s="27">
        <f>IF($M1539="","",IF($F1539="Faltou",$M1539,0))</f>
        <v>0</v>
      </c>
      <c r="P1539" s="27">
        <f>IF($M1539="","",IF($F1539="Compareceu",MAX(0,$M1539-N($H1539)),0))</f>
        <v>0</v>
      </c>
      <c r="Q1539" s="19">
        <f>IF(AND($F1539="Compareceu",$E1539&lt;&gt;"",$A1539&lt;&gt;""),IF(IFERROR(INDEX(ProcRet,MATCH($E1539,ProcNome,0)),0)&gt;0,$A1539+INDEX(ProcRet,MATCH($E1539,ProcNome,0)),""),"")</f>
        <v>0</v>
      </c>
      <c r="R1539" s="26">
        <f>IF($Q1539="","",IF(COUNTIFS(AgPac,$D1539,AgData,"&gt;"&amp;$A1539,AgStatus,"&lt;&gt;Cancelado",AgStatus,"&lt;&gt;Remarcado")&gt;0,"Sim","Não"))</f>
        <v>0</v>
      </c>
      <c r="S1539" s="28">
        <f>IF($A1539="","",IF(AND($F1539="Agendado",$A1539-Hoje&gt;=0,$A1539-Hoje&lt;=DiasConf),"CONFIRMAR",IF(AND($A1539&lt;Hoje,OR($F1539="Agendado",$F1539="Confirmado")),"Atualizar status",IF(AND($F1539="Compareceu",$P1539&gt;0.005),"Cobrar",IF($F1539="Faltou","Falta: reagendar","")))))</f>
        <v>0</v>
      </c>
      <c r="T1539" s="29">
        <f>IF($A1539="","",DATE(YEAR($A1539),MONTH($A1539),1))</f>
        <v>0</v>
      </c>
      <c r="U1539" s="30">
        <f>IF($S1539="CONFIRMAR",MAX($U$4:$U1538)+1,"")</f>
        <v>0</v>
      </c>
      <c r="V1539" s="30">
        <f>IF(AND($R1539="Não",$Q1539&lt;&gt;"",$Q1539&lt;=Hoje+JanelaRet,$Q1539&gt;=Hoje-60),MAX($V$4:$V1538)+1,"")</f>
        <v>0</v>
      </c>
    </row>
    <row r="1540" spans="1:22">
      <c r="A1540" s="16"/>
      <c r="B1540" s="23"/>
      <c r="C1540" s="15"/>
      <c r="D1540" s="15"/>
      <c r="E1540" s="15"/>
      <c r="F1540" s="24"/>
      <c r="G1540" s="17"/>
      <c r="H1540" s="17"/>
      <c r="I1540" s="15"/>
      <c r="J1540" s="25">
        <f>IF($D1540="","",IFERROR(INDEX(PacNome,MATCH($D1540,PacCod,0)),"Paciente não cadastrado"))</f>
        <v>0</v>
      </c>
      <c r="K1540" s="26">
        <f>IF($D1540="","",IFERROR(INDEX(PacConv,MATCH($D1540,PacCod,0))&amp;"",""))</f>
        <v>0</v>
      </c>
      <c r="L1540" s="26">
        <f>IF($A1540="","",CHOOSE(WEEKDAY($A1540,2),"Seg","Ter","Qua","Qui","Sex","Sáb","Dom"))</f>
        <v>0</v>
      </c>
      <c r="M1540" s="27">
        <f>IF($E1540="","",IF($G1540&lt;&gt;"",$G1540,IFERROR(INDEX(ProcValor,MATCH($E1540,ProcNome,0)),0)))</f>
        <v>0</v>
      </c>
      <c r="N1540" s="27">
        <f>IF($M1540="","",IF($F1540="Compareceu",$M1540,0))</f>
        <v>0</v>
      </c>
      <c r="O1540" s="27">
        <f>IF($M1540="","",IF($F1540="Faltou",$M1540,0))</f>
        <v>0</v>
      </c>
      <c r="P1540" s="27">
        <f>IF($M1540="","",IF($F1540="Compareceu",MAX(0,$M1540-N($H1540)),0))</f>
        <v>0</v>
      </c>
      <c r="Q1540" s="19">
        <f>IF(AND($F1540="Compareceu",$E1540&lt;&gt;"",$A1540&lt;&gt;""),IF(IFERROR(INDEX(ProcRet,MATCH($E1540,ProcNome,0)),0)&gt;0,$A1540+INDEX(ProcRet,MATCH($E1540,ProcNome,0)),""),"")</f>
        <v>0</v>
      </c>
      <c r="R1540" s="26">
        <f>IF($Q1540="","",IF(COUNTIFS(AgPac,$D1540,AgData,"&gt;"&amp;$A1540,AgStatus,"&lt;&gt;Cancelado",AgStatus,"&lt;&gt;Remarcado")&gt;0,"Sim","Não"))</f>
        <v>0</v>
      </c>
      <c r="S1540" s="28">
        <f>IF($A1540="","",IF(AND($F1540="Agendado",$A1540-Hoje&gt;=0,$A1540-Hoje&lt;=DiasConf),"CONFIRMAR",IF(AND($A1540&lt;Hoje,OR($F1540="Agendado",$F1540="Confirmado")),"Atualizar status",IF(AND($F1540="Compareceu",$P1540&gt;0.005),"Cobrar",IF($F1540="Faltou","Falta: reagendar","")))))</f>
        <v>0</v>
      </c>
      <c r="T1540" s="29">
        <f>IF($A1540="","",DATE(YEAR($A1540),MONTH($A1540),1))</f>
        <v>0</v>
      </c>
      <c r="U1540" s="30">
        <f>IF($S1540="CONFIRMAR",MAX($U$4:$U1539)+1,"")</f>
        <v>0</v>
      </c>
      <c r="V1540" s="30">
        <f>IF(AND($R1540="Não",$Q1540&lt;&gt;"",$Q1540&lt;=Hoje+JanelaRet,$Q1540&gt;=Hoje-60),MAX($V$4:$V1539)+1,"")</f>
        <v>0</v>
      </c>
    </row>
    <row r="1541" spans="1:22">
      <c r="A1541" s="16"/>
      <c r="B1541" s="23"/>
      <c r="C1541" s="15"/>
      <c r="D1541" s="15"/>
      <c r="E1541" s="15"/>
      <c r="F1541" s="24"/>
      <c r="G1541" s="17"/>
      <c r="H1541" s="17"/>
      <c r="I1541" s="15"/>
      <c r="J1541" s="25">
        <f>IF($D1541="","",IFERROR(INDEX(PacNome,MATCH($D1541,PacCod,0)),"Paciente não cadastrado"))</f>
        <v>0</v>
      </c>
      <c r="K1541" s="26">
        <f>IF($D1541="","",IFERROR(INDEX(PacConv,MATCH($D1541,PacCod,0))&amp;"",""))</f>
        <v>0</v>
      </c>
      <c r="L1541" s="26">
        <f>IF($A1541="","",CHOOSE(WEEKDAY($A1541,2),"Seg","Ter","Qua","Qui","Sex","Sáb","Dom"))</f>
        <v>0</v>
      </c>
      <c r="M1541" s="27">
        <f>IF($E1541="","",IF($G1541&lt;&gt;"",$G1541,IFERROR(INDEX(ProcValor,MATCH($E1541,ProcNome,0)),0)))</f>
        <v>0</v>
      </c>
      <c r="N1541" s="27">
        <f>IF($M1541="","",IF($F1541="Compareceu",$M1541,0))</f>
        <v>0</v>
      </c>
      <c r="O1541" s="27">
        <f>IF($M1541="","",IF($F1541="Faltou",$M1541,0))</f>
        <v>0</v>
      </c>
      <c r="P1541" s="27">
        <f>IF($M1541="","",IF($F1541="Compareceu",MAX(0,$M1541-N($H1541)),0))</f>
        <v>0</v>
      </c>
      <c r="Q1541" s="19">
        <f>IF(AND($F1541="Compareceu",$E1541&lt;&gt;"",$A1541&lt;&gt;""),IF(IFERROR(INDEX(ProcRet,MATCH($E1541,ProcNome,0)),0)&gt;0,$A1541+INDEX(ProcRet,MATCH($E1541,ProcNome,0)),""),"")</f>
        <v>0</v>
      </c>
      <c r="R1541" s="26">
        <f>IF($Q1541="","",IF(COUNTIFS(AgPac,$D1541,AgData,"&gt;"&amp;$A1541,AgStatus,"&lt;&gt;Cancelado",AgStatus,"&lt;&gt;Remarcado")&gt;0,"Sim","Não"))</f>
        <v>0</v>
      </c>
      <c r="S1541" s="28">
        <f>IF($A1541="","",IF(AND($F1541="Agendado",$A1541-Hoje&gt;=0,$A1541-Hoje&lt;=DiasConf),"CONFIRMAR",IF(AND($A1541&lt;Hoje,OR($F1541="Agendado",$F1541="Confirmado")),"Atualizar status",IF(AND($F1541="Compareceu",$P1541&gt;0.005),"Cobrar",IF($F1541="Faltou","Falta: reagendar","")))))</f>
        <v>0</v>
      </c>
      <c r="T1541" s="29">
        <f>IF($A1541="","",DATE(YEAR($A1541),MONTH($A1541),1))</f>
        <v>0</v>
      </c>
      <c r="U1541" s="30">
        <f>IF($S1541="CONFIRMAR",MAX($U$4:$U1540)+1,"")</f>
        <v>0</v>
      </c>
      <c r="V1541" s="30">
        <f>IF(AND($R1541="Não",$Q1541&lt;&gt;"",$Q1541&lt;=Hoje+JanelaRet,$Q1541&gt;=Hoje-60),MAX($V$4:$V1540)+1,"")</f>
        <v>0</v>
      </c>
    </row>
    <row r="1542" spans="1:22">
      <c r="A1542" s="16"/>
      <c r="B1542" s="23"/>
      <c r="C1542" s="15"/>
      <c r="D1542" s="15"/>
      <c r="E1542" s="15"/>
      <c r="F1542" s="24"/>
      <c r="G1542" s="17"/>
      <c r="H1542" s="17"/>
      <c r="I1542" s="15"/>
      <c r="J1542" s="25">
        <f>IF($D1542="","",IFERROR(INDEX(PacNome,MATCH($D1542,PacCod,0)),"Paciente não cadastrado"))</f>
        <v>0</v>
      </c>
      <c r="K1542" s="26">
        <f>IF($D1542="","",IFERROR(INDEX(PacConv,MATCH($D1542,PacCod,0))&amp;"",""))</f>
        <v>0</v>
      </c>
      <c r="L1542" s="26">
        <f>IF($A1542="","",CHOOSE(WEEKDAY($A1542,2),"Seg","Ter","Qua","Qui","Sex","Sáb","Dom"))</f>
        <v>0</v>
      </c>
      <c r="M1542" s="27">
        <f>IF($E1542="","",IF($G1542&lt;&gt;"",$G1542,IFERROR(INDEX(ProcValor,MATCH($E1542,ProcNome,0)),0)))</f>
        <v>0</v>
      </c>
      <c r="N1542" s="27">
        <f>IF($M1542="","",IF($F1542="Compareceu",$M1542,0))</f>
        <v>0</v>
      </c>
      <c r="O1542" s="27">
        <f>IF($M1542="","",IF($F1542="Faltou",$M1542,0))</f>
        <v>0</v>
      </c>
      <c r="P1542" s="27">
        <f>IF($M1542="","",IF($F1542="Compareceu",MAX(0,$M1542-N($H1542)),0))</f>
        <v>0</v>
      </c>
      <c r="Q1542" s="19">
        <f>IF(AND($F1542="Compareceu",$E1542&lt;&gt;"",$A1542&lt;&gt;""),IF(IFERROR(INDEX(ProcRet,MATCH($E1542,ProcNome,0)),0)&gt;0,$A1542+INDEX(ProcRet,MATCH($E1542,ProcNome,0)),""),"")</f>
        <v>0</v>
      </c>
      <c r="R1542" s="26">
        <f>IF($Q1542="","",IF(COUNTIFS(AgPac,$D1542,AgData,"&gt;"&amp;$A1542,AgStatus,"&lt;&gt;Cancelado",AgStatus,"&lt;&gt;Remarcado")&gt;0,"Sim","Não"))</f>
        <v>0</v>
      </c>
      <c r="S1542" s="28">
        <f>IF($A1542="","",IF(AND($F1542="Agendado",$A1542-Hoje&gt;=0,$A1542-Hoje&lt;=DiasConf),"CONFIRMAR",IF(AND($A1542&lt;Hoje,OR($F1542="Agendado",$F1542="Confirmado")),"Atualizar status",IF(AND($F1542="Compareceu",$P1542&gt;0.005),"Cobrar",IF($F1542="Faltou","Falta: reagendar","")))))</f>
        <v>0</v>
      </c>
      <c r="T1542" s="29">
        <f>IF($A1542="","",DATE(YEAR($A1542),MONTH($A1542),1))</f>
        <v>0</v>
      </c>
      <c r="U1542" s="30">
        <f>IF($S1542="CONFIRMAR",MAX($U$4:$U1541)+1,"")</f>
        <v>0</v>
      </c>
      <c r="V1542" s="30">
        <f>IF(AND($R1542="Não",$Q1542&lt;&gt;"",$Q1542&lt;=Hoje+JanelaRet,$Q1542&gt;=Hoje-60),MAX($V$4:$V1541)+1,"")</f>
        <v>0</v>
      </c>
    </row>
    <row r="1543" spans="1:22">
      <c r="A1543" s="16"/>
      <c r="B1543" s="23"/>
      <c r="C1543" s="15"/>
      <c r="D1543" s="15"/>
      <c r="E1543" s="15"/>
      <c r="F1543" s="24"/>
      <c r="G1543" s="17"/>
      <c r="H1543" s="17"/>
      <c r="I1543" s="15"/>
      <c r="J1543" s="25">
        <f>IF($D1543="","",IFERROR(INDEX(PacNome,MATCH($D1543,PacCod,0)),"Paciente não cadastrado"))</f>
        <v>0</v>
      </c>
      <c r="K1543" s="26">
        <f>IF($D1543="","",IFERROR(INDEX(PacConv,MATCH($D1543,PacCod,0))&amp;"",""))</f>
        <v>0</v>
      </c>
      <c r="L1543" s="26">
        <f>IF($A1543="","",CHOOSE(WEEKDAY($A1543,2),"Seg","Ter","Qua","Qui","Sex","Sáb","Dom"))</f>
        <v>0</v>
      </c>
      <c r="M1543" s="27">
        <f>IF($E1543="","",IF($G1543&lt;&gt;"",$G1543,IFERROR(INDEX(ProcValor,MATCH($E1543,ProcNome,0)),0)))</f>
        <v>0</v>
      </c>
      <c r="N1543" s="27">
        <f>IF($M1543="","",IF($F1543="Compareceu",$M1543,0))</f>
        <v>0</v>
      </c>
      <c r="O1543" s="27">
        <f>IF($M1543="","",IF($F1543="Faltou",$M1543,0))</f>
        <v>0</v>
      </c>
      <c r="P1543" s="27">
        <f>IF($M1543="","",IF($F1543="Compareceu",MAX(0,$M1543-N($H1543)),0))</f>
        <v>0</v>
      </c>
      <c r="Q1543" s="19">
        <f>IF(AND($F1543="Compareceu",$E1543&lt;&gt;"",$A1543&lt;&gt;""),IF(IFERROR(INDEX(ProcRet,MATCH($E1543,ProcNome,0)),0)&gt;0,$A1543+INDEX(ProcRet,MATCH($E1543,ProcNome,0)),""),"")</f>
        <v>0</v>
      </c>
      <c r="R1543" s="26">
        <f>IF($Q1543="","",IF(COUNTIFS(AgPac,$D1543,AgData,"&gt;"&amp;$A1543,AgStatus,"&lt;&gt;Cancelado",AgStatus,"&lt;&gt;Remarcado")&gt;0,"Sim","Não"))</f>
        <v>0</v>
      </c>
      <c r="S1543" s="28">
        <f>IF($A1543="","",IF(AND($F1543="Agendado",$A1543-Hoje&gt;=0,$A1543-Hoje&lt;=DiasConf),"CONFIRMAR",IF(AND($A1543&lt;Hoje,OR($F1543="Agendado",$F1543="Confirmado")),"Atualizar status",IF(AND($F1543="Compareceu",$P1543&gt;0.005),"Cobrar",IF($F1543="Faltou","Falta: reagendar","")))))</f>
        <v>0</v>
      </c>
      <c r="T1543" s="29">
        <f>IF($A1543="","",DATE(YEAR($A1543),MONTH($A1543),1))</f>
        <v>0</v>
      </c>
      <c r="U1543" s="30">
        <f>IF($S1543="CONFIRMAR",MAX($U$4:$U1542)+1,"")</f>
        <v>0</v>
      </c>
      <c r="V1543" s="30">
        <f>IF(AND($R1543="Não",$Q1543&lt;&gt;"",$Q1543&lt;=Hoje+JanelaRet,$Q1543&gt;=Hoje-60),MAX($V$4:$V1542)+1,"")</f>
        <v>0</v>
      </c>
    </row>
    <row r="1544" spans="1:22">
      <c r="A1544" s="16"/>
      <c r="B1544" s="23"/>
      <c r="C1544" s="15"/>
      <c r="D1544" s="15"/>
      <c r="E1544" s="15"/>
      <c r="F1544" s="24"/>
      <c r="G1544" s="17"/>
      <c r="H1544" s="17"/>
      <c r="I1544" s="15"/>
      <c r="J1544" s="25">
        <f>IF($D1544="","",IFERROR(INDEX(PacNome,MATCH($D1544,PacCod,0)),"Paciente não cadastrado"))</f>
        <v>0</v>
      </c>
      <c r="K1544" s="26">
        <f>IF($D1544="","",IFERROR(INDEX(PacConv,MATCH($D1544,PacCod,0))&amp;"",""))</f>
        <v>0</v>
      </c>
      <c r="L1544" s="26">
        <f>IF($A1544="","",CHOOSE(WEEKDAY($A1544,2),"Seg","Ter","Qua","Qui","Sex","Sáb","Dom"))</f>
        <v>0</v>
      </c>
      <c r="M1544" s="27">
        <f>IF($E1544="","",IF($G1544&lt;&gt;"",$G1544,IFERROR(INDEX(ProcValor,MATCH($E1544,ProcNome,0)),0)))</f>
        <v>0</v>
      </c>
      <c r="N1544" s="27">
        <f>IF($M1544="","",IF($F1544="Compareceu",$M1544,0))</f>
        <v>0</v>
      </c>
      <c r="O1544" s="27">
        <f>IF($M1544="","",IF($F1544="Faltou",$M1544,0))</f>
        <v>0</v>
      </c>
      <c r="P1544" s="27">
        <f>IF($M1544="","",IF($F1544="Compareceu",MAX(0,$M1544-N($H1544)),0))</f>
        <v>0</v>
      </c>
      <c r="Q1544" s="19">
        <f>IF(AND($F1544="Compareceu",$E1544&lt;&gt;"",$A1544&lt;&gt;""),IF(IFERROR(INDEX(ProcRet,MATCH($E1544,ProcNome,0)),0)&gt;0,$A1544+INDEX(ProcRet,MATCH($E1544,ProcNome,0)),""),"")</f>
        <v>0</v>
      </c>
      <c r="R1544" s="26">
        <f>IF($Q1544="","",IF(COUNTIFS(AgPac,$D1544,AgData,"&gt;"&amp;$A1544,AgStatus,"&lt;&gt;Cancelado",AgStatus,"&lt;&gt;Remarcado")&gt;0,"Sim","Não"))</f>
        <v>0</v>
      </c>
      <c r="S1544" s="28">
        <f>IF($A1544="","",IF(AND($F1544="Agendado",$A1544-Hoje&gt;=0,$A1544-Hoje&lt;=DiasConf),"CONFIRMAR",IF(AND($A1544&lt;Hoje,OR($F1544="Agendado",$F1544="Confirmado")),"Atualizar status",IF(AND($F1544="Compareceu",$P1544&gt;0.005),"Cobrar",IF($F1544="Faltou","Falta: reagendar","")))))</f>
        <v>0</v>
      </c>
      <c r="T1544" s="29">
        <f>IF($A1544="","",DATE(YEAR($A1544),MONTH($A1544),1))</f>
        <v>0</v>
      </c>
      <c r="U1544" s="30">
        <f>IF($S1544="CONFIRMAR",MAX($U$4:$U1543)+1,"")</f>
        <v>0</v>
      </c>
      <c r="V1544" s="30">
        <f>IF(AND($R1544="Não",$Q1544&lt;&gt;"",$Q1544&lt;=Hoje+JanelaRet,$Q1544&gt;=Hoje-60),MAX($V$4:$V1543)+1,"")</f>
        <v>0</v>
      </c>
    </row>
    <row r="1545" spans="1:22">
      <c r="A1545" s="16"/>
      <c r="B1545" s="23"/>
      <c r="C1545" s="15"/>
      <c r="D1545" s="15"/>
      <c r="E1545" s="15"/>
      <c r="F1545" s="24"/>
      <c r="G1545" s="17"/>
      <c r="H1545" s="17"/>
      <c r="I1545" s="15"/>
      <c r="J1545" s="25">
        <f>IF($D1545="","",IFERROR(INDEX(PacNome,MATCH($D1545,PacCod,0)),"Paciente não cadastrado"))</f>
        <v>0</v>
      </c>
      <c r="K1545" s="26">
        <f>IF($D1545="","",IFERROR(INDEX(PacConv,MATCH($D1545,PacCod,0))&amp;"",""))</f>
        <v>0</v>
      </c>
      <c r="L1545" s="26">
        <f>IF($A1545="","",CHOOSE(WEEKDAY($A1545,2),"Seg","Ter","Qua","Qui","Sex","Sáb","Dom"))</f>
        <v>0</v>
      </c>
      <c r="M1545" s="27">
        <f>IF($E1545="","",IF($G1545&lt;&gt;"",$G1545,IFERROR(INDEX(ProcValor,MATCH($E1545,ProcNome,0)),0)))</f>
        <v>0</v>
      </c>
      <c r="N1545" s="27">
        <f>IF($M1545="","",IF($F1545="Compareceu",$M1545,0))</f>
        <v>0</v>
      </c>
      <c r="O1545" s="27">
        <f>IF($M1545="","",IF($F1545="Faltou",$M1545,0))</f>
        <v>0</v>
      </c>
      <c r="P1545" s="27">
        <f>IF($M1545="","",IF($F1545="Compareceu",MAX(0,$M1545-N($H1545)),0))</f>
        <v>0</v>
      </c>
      <c r="Q1545" s="19">
        <f>IF(AND($F1545="Compareceu",$E1545&lt;&gt;"",$A1545&lt;&gt;""),IF(IFERROR(INDEX(ProcRet,MATCH($E1545,ProcNome,0)),0)&gt;0,$A1545+INDEX(ProcRet,MATCH($E1545,ProcNome,0)),""),"")</f>
        <v>0</v>
      </c>
      <c r="R1545" s="26">
        <f>IF($Q1545="","",IF(COUNTIFS(AgPac,$D1545,AgData,"&gt;"&amp;$A1545,AgStatus,"&lt;&gt;Cancelado",AgStatus,"&lt;&gt;Remarcado")&gt;0,"Sim","Não"))</f>
        <v>0</v>
      </c>
      <c r="S1545" s="28">
        <f>IF($A1545="","",IF(AND($F1545="Agendado",$A1545-Hoje&gt;=0,$A1545-Hoje&lt;=DiasConf),"CONFIRMAR",IF(AND($A1545&lt;Hoje,OR($F1545="Agendado",$F1545="Confirmado")),"Atualizar status",IF(AND($F1545="Compareceu",$P1545&gt;0.005),"Cobrar",IF($F1545="Faltou","Falta: reagendar","")))))</f>
        <v>0</v>
      </c>
      <c r="T1545" s="29">
        <f>IF($A1545="","",DATE(YEAR($A1545),MONTH($A1545),1))</f>
        <v>0</v>
      </c>
      <c r="U1545" s="30">
        <f>IF($S1545="CONFIRMAR",MAX($U$4:$U1544)+1,"")</f>
        <v>0</v>
      </c>
      <c r="V1545" s="30">
        <f>IF(AND($R1545="Não",$Q1545&lt;&gt;"",$Q1545&lt;=Hoje+JanelaRet,$Q1545&gt;=Hoje-60),MAX($V$4:$V1544)+1,"")</f>
        <v>0</v>
      </c>
    </row>
    <row r="1546" spans="1:22">
      <c r="A1546" s="16"/>
      <c r="B1546" s="23"/>
      <c r="C1546" s="15"/>
      <c r="D1546" s="15"/>
      <c r="E1546" s="15"/>
      <c r="F1546" s="24"/>
      <c r="G1546" s="17"/>
      <c r="H1546" s="17"/>
      <c r="I1546" s="15"/>
      <c r="J1546" s="25">
        <f>IF($D1546="","",IFERROR(INDEX(PacNome,MATCH($D1546,PacCod,0)),"Paciente não cadastrado"))</f>
        <v>0</v>
      </c>
      <c r="K1546" s="26">
        <f>IF($D1546="","",IFERROR(INDEX(PacConv,MATCH($D1546,PacCod,0))&amp;"",""))</f>
        <v>0</v>
      </c>
      <c r="L1546" s="26">
        <f>IF($A1546="","",CHOOSE(WEEKDAY($A1546,2),"Seg","Ter","Qua","Qui","Sex","Sáb","Dom"))</f>
        <v>0</v>
      </c>
      <c r="M1546" s="27">
        <f>IF($E1546="","",IF($G1546&lt;&gt;"",$G1546,IFERROR(INDEX(ProcValor,MATCH($E1546,ProcNome,0)),0)))</f>
        <v>0</v>
      </c>
      <c r="N1546" s="27">
        <f>IF($M1546="","",IF($F1546="Compareceu",$M1546,0))</f>
        <v>0</v>
      </c>
      <c r="O1546" s="27">
        <f>IF($M1546="","",IF($F1546="Faltou",$M1546,0))</f>
        <v>0</v>
      </c>
      <c r="P1546" s="27">
        <f>IF($M1546="","",IF($F1546="Compareceu",MAX(0,$M1546-N($H1546)),0))</f>
        <v>0</v>
      </c>
      <c r="Q1546" s="19">
        <f>IF(AND($F1546="Compareceu",$E1546&lt;&gt;"",$A1546&lt;&gt;""),IF(IFERROR(INDEX(ProcRet,MATCH($E1546,ProcNome,0)),0)&gt;0,$A1546+INDEX(ProcRet,MATCH($E1546,ProcNome,0)),""),"")</f>
        <v>0</v>
      </c>
      <c r="R1546" s="26">
        <f>IF($Q1546="","",IF(COUNTIFS(AgPac,$D1546,AgData,"&gt;"&amp;$A1546,AgStatus,"&lt;&gt;Cancelado",AgStatus,"&lt;&gt;Remarcado")&gt;0,"Sim","Não"))</f>
        <v>0</v>
      </c>
      <c r="S1546" s="28">
        <f>IF($A1546="","",IF(AND($F1546="Agendado",$A1546-Hoje&gt;=0,$A1546-Hoje&lt;=DiasConf),"CONFIRMAR",IF(AND($A1546&lt;Hoje,OR($F1546="Agendado",$F1546="Confirmado")),"Atualizar status",IF(AND($F1546="Compareceu",$P1546&gt;0.005),"Cobrar",IF($F1546="Faltou","Falta: reagendar","")))))</f>
        <v>0</v>
      </c>
      <c r="T1546" s="29">
        <f>IF($A1546="","",DATE(YEAR($A1546),MONTH($A1546),1))</f>
        <v>0</v>
      </c>
      <c r="U1546" s="30">
        <f>IF($S1546="CONFIRMAR",MAX($U$4:$U1545)+1,"")</f>
        <v>0</v>
      </c>
      <c r="V1546" s="30">
        <f>IF(AND($R1546="Não",$Q1546&lt;&gt;"",$Q1546&lt;=Hoje+JanelaRet,$Q1546&gt;=Hoje-60),MAX($V$4:$V1545)+1,"")</f>
        <v>0</v>
      </c>
    </row>
    <row r="1547" spans="1:22">
      <c r="A1547" s="16"/>
      <c r="B1547" s="23"/>
      <c r="C1547" s="15"/>
      <c r="D1547" s="15"/>
      <c r="E1547" s="15"/>
      <c r="F1547" s="24"/>
      <c r="G1547" s="17"/>
      <c r="H1547" s="17"/>
      <c r="I1547" s="15"/>
      <c r="J1547" s="25">
        <f>IF($D1547="","",IFERROR(INDEX(PacNome,MATCH($D1547,PacCod,0)),"Paciente não cadastrado"))</f>
        <v>0</v>
      </c>
      <c r="K1547" s="26">
        <f>IF($D1547="","",IFERROR(INDEX(PacConv,MATCH($D1547,PacCod,0))&amp;"",""))</f>
        <v>0</v>
      </c>
      <c r="L1547" s="26">
        <f>IF($A1547="","",CHOOSE(WEEKDAY($A1547,2),"Seg","Ter","Qua","Qui","Sex","Sáb","Dom"))</f>
        <v>0</v>
      </c>
      <c r="M1547" s="27">
        <f>IF($E1547="","",IF($G1547&lt;&gt;"",$G1547,IFERROR(INDEX(ProcValor,MATCH($E1547,ProcNome,0)),0)))</f>
        <v>0</v>
      </c>
      <c r="N1547" s="27">
        <f>IF($M1547="","",IF($F1547="Compareceu",$M1547,0))</f>
        <v>0</v>
      </c>
      <c r="O1547" s="27">
        <f>IF($M1547="","",IF($F1547="Faltou",$M1547,0))</f>
        <v>0</v>
      </c>
      <c r="P1547" s="27">
        <f>IF($M1547="","",IF($F1547="Compareceu",MAX(0,$M1547-N($H1547)),0))</f>
        <v>0</v>
      </c>
      <c r="Q1547" s="19">
        <f>IF(AND($F1547="Compareceu",$E1547&lt;&gt;"",$A1547&lt;&gt;""),IF(IFERROR(INDEX(ProcRet,MATCH($E1547,ProcNome,0)),0)&gt;0,$A1547+INDEX(ProcRet,MATCH($E1547,ProcNome,0)),""),"")</f>
        <v>0</v>
      </c>
      <c r="R1547" s="26">
        <f>IF($Q1547="","",IF(COUNTIFS(AgPac,$D1547,AgData,"&gt;"&amp;$A1547,AgStatus,"&lt;&gt;Cancelado",AgStatus,"&lt;&gt;Remarcado")&gt;0,"Sim","Não"))</f>
        <v>0</v>
      </c>
      <c r="S1547" s="28">
        <f>IF($A1547="","",IF(AND($F1547="Agendado",$A1547-Hoje&gt;=0,$A1547-Hoje&lt;=DiasConf),"CONFIRMAR",IF(AND($A1547&lt;Hoje,OR($F1547="Agendado",$F1547="Confirmado")),"Atualizar status",IF(AND($F1547="Compareceu",$P1547&gt;0.005),"Cobrar",IF($F1547="Faltou","Falta: reagendar","")))))</f>
        <v>0</v>
      </c>
      <c r="T1547" s="29">
        <f>IF($A1547="","",DATE(YEAR($A1547),MONTH($A1547),1))</f>
        <v>0</v>
      </c>
      <c r="U1547" s="30">
        <f>IF($S1547="CONFIRMAR",MAX($U$4:$U1546)+1,"")</f>
        <v>0</v>
      </c>
      <c r="V1547" s="30">
        <f>IF(AND($R1547="Não",$Q1547&lt;&gt;"",$Q1547&lt;=Hoje+JanelaRet,$Q1547&gt;=Hoje-60),MAX($V$4:$V1546)+1,"")</f>
        <v>0</v>
      </c>
    </row>
    <row r="1548" spans="1:22">
      <c r="A1548" s="16"/>
      <c r="B1548" s="23"/>
      <c r="C1548" s="15"/>
      <c r="D1548" s="15"/>
      <c r="E1548" s="15"/>
      <c r="F1548" s="24"/>
      <c r="G1548" s="17"/>
      <c r="H1548" s="17"/>
      <c r="I1548" s="15"/>
      <c r="J1548" s="25">
        <f>IF($D1548="","",IFERROR(INDEX(PacNome,MATCH($D1548,PacCod,0)),"Paciente não cadastrado"))</f>
        <v>0</v>
      </c>
      <c r="K1548" s="26">
        <f>IF($D1548="","",IFERROR(INDEX(PacConv,MATCH($D1548,PacCod,0))&amp;"",""))</f>
        <v>0</v>
      </c>
      <c r="L1548" s="26">
        <f>IF($A1548="","",CHOOSE(WEEKDAY($A1548,2),"Seg","Ter","Qua","Qui","Sex","Sáb","Dom"))</f>
        <v>0</v>
      </c>
      <c r="M1548" s="27">
        <f>IF($E1548="","",IF($G1548&lt;&gt;"",$G1548,IFERROR(INDEX(ProcValor,MATCH($E1548,ProcNome,0)),0)))</f>
        <v>0</v>
      </c>
      <c r="N1548" s="27">
        <f>IF($M1548="","",IF($F1548="Compareceu",$M1548,0))</f>
        <v>0</v>
      </c>
      <c r="O1548" s="27">
        <f>IF($M1548="","",IF($F1548="Faltou",$M1548,0))</f>
        <v>0</v>
      </c>
      <c r="P1548" s="27">
        <f>IF($M1548="","",IF($F1548="Compareceu",MAX(0,$M1548-N($H1548)),0))</f>
        <v>0</v>
      </c>
      <c r="Q1548" s="19">
        <f>IF(AND($F1548="Compareceu",$E1548&lt;&gt;"",$A1548&lt;&gt;""),IF(IFERROR(INDEX(ProcRet,MATCH($E1548,ProcNome,0)),0)&gt;0,$A1548+INDEX(ProcRet,MATCH($E1548,ProcNome,0)),""),"")</f>
        <v>0</v>
      </c>
      <c r="R1548" s="26">
        <f>IF($Q1548="","",IF(COUNTIFS(AgPac,$D1548,AgData,"&gt;"&amp;$A1548,AgStatus,"&lt;&gt;Cancelado",AgStatus,"&lt;&gt;Remarcado")&gt;0,"Sim","Não"))</f>
        <v>0</v>
      </c>
      <c r="S1548" s="28">
        <f>IF($A1548="","",IF(AND($F1548="Agendado",$A1548-Hoje&gt;=0,$A1548-Hoje&lt;=DiasConf),"CONFIRMAR",IF(AND($A1548&lt;Hoje,OR($F1548="Agendado",$F1548="Confirmado")),"Atualizar status",IF(AND($F1548="Compareceu",$P1548&gt;0.005),"Cobrar",IF($F1548="Faltou","Falta: reagendar","")))))</f>
        <v>0</v>
      </c>
      <c r="T1548" s="29">
        <f>IF($A1548="","",DATE(YEAR($A1548),MONTH($A1548),1))</f>
        <v>0</v>
      </c>
      <c r="U1548" s="30">
        <f>IF($S1548="CONFIRMAR",MAX($U$4:$U1547)+1,"")</f>
        <v>0</v>
      </c>
      <c r="V1548" s="30">
        <f>IF(AND($R1548="Não",$Q1548&lt;&gt;"",$Q1548&lt;=Hoje+JanelaRet,$Q1548&gt;=Hoje-60),MAX($V$4:$V1547)+1,"")</f>
        <v>0</v>
      </c>
    </row>
    <row r="1549" spans="1:22">
      <c r="A1549" s="16"/>
      <c r="B1549" s="23"/>
      <c r="C1549" s="15"/>
      <c r="D1549" s="15"/>
      <c r="E1549" s="15"/>
      <c r="F1549" s="24"/>
      <c r="G1549" s="17"/>
      <c r="H1549" s="17"/>
      <c r="I1549" s="15"/>
      <c r="J1549" s="25">
        <f>IF($D1549="","",IFERROR(INDEX(PacNome,MATCH($D1549,PacCod,0)),"Paciente não cadastrado"))</f>
        <v>0</v>
      </c>
      <c r="K1549" s="26">
        <f>IF($D1549="","",IFERROR(INDEX(PacConv,MATCH($D1549,PacCod,0))&amp;"",""))</f>
        <v>0</v>
      </c>
      <c r="L1549" s="26">
        <f>IF($A1549="","",CHOOSE(WEEKDAY($A1549,2),"Seg","Ter","Qua","Qui","Sex","Sáb","Dom"))</f>
        <v>0</v>
      </c>
      <c r="M1549" s="27">
        <f>IF($E1549="","",IF($G1549&lt;&gt;"",$G1549,IFERROR(INDEX(ProcValor,MATCH($E1549,ProcNome,0)),0)))</f>
        <v>0</v>
      </c>
      <c r="N1549" s="27">
        <f>IF($M1549="","",IF($F1549="Compareceu",$M1549,0))</f>
        <v>0</v>
      </c>
      <c r="O1549" s="27">
        <f>IF($M1549="","",IF($F1549="Faltou",$M1549,0))</f>
        <v>0</v>
      </c>
      <c r="P1549" s="27">
        <f>IF($M1549="","",IF($F1549="Compareceu",MAX(0,$M1549-N($H1549)),0))</f>
        <v>0</v>
      </c>
      <c r="Q1549" s="19">
        <f>IF(AND($F1549="Compareceu",$E1549&lt;&gt;"",$A1549&lt;&gt;""),IF(IFERROR(INDEX(ProcRet,MATCH($E1549,ProcNome,0)),0)&gt;0,$A1549+INDEX(ProcRet,MATCH($E1549,ProcNome,0)),""),"")</f>
        <v>0</v>
      </c>
      <c r="R1549" s="26">
        <f>IF($Q1549="","",IF(COUNTIFS(AgPac,$D1549,AgData,"&gt;"&amp;$A1549,AgStatus,"&lt;&gt;Cancelado",AgStatus,"&lt;&gt;Remarcado")&gt;0,"Sim","Não"))</f>
        <v>0</v>
      </c>
      <c r="S1549" s="28">
        <f>IF($A1549="","",IF(AND($F1549="Agendado",$A1549-Hoje&gt;=0,$A1549-Hoje&lt;=DiasConf),"CONFIRMAR",IF(AND($A1549&lt;Hoje,OR($F1549="Agendado",$F1549="Confirmado")),"Atualizar status",IF(AND($F1549="Compareceu",$P1549&gt;0.005),"Cobrar",IF($F1549="Faltou","Falta: reagendar","")))))</f>
        <v>0</v>
      </c>
      <c r="T1549" s="29">
        <f>IF($A1549="","",DATE(YEAR($A1549),MONTH($A1549),1))</f>
        <v>0</v>
      </c>
      <c r="U1549" s="30">
        <f>IF($S1549="CONFIRMAR",MAX($U$4:$U1548)+1,"")</f>
        <v>0</v>
      </c>
      <c r="V1549" s="30">
        <f>IF(AND($R1549="Não",$Q1549&lt;&gt;"",$Q1549&lt;=Hoje+JanelaRet,$Q1549&gt;=Hoje-60),MAX($V$4:$V1548)+1,"")</f>
        <v>0</v>
      </c>
    </row>
    <row r="1550" spans="1:22">
      <c r="A1550" s="16"/>
      <c r="B1550" s="23"/>
      <c r="C1550" s="15"/>
      <c r="D1550" s="15"/>
      <c r="E1550" s="15"/>
      <c r="F1550" s="24"/>
      <c r="G1550" s="17"/>
      <c r="H1550" s="17"/>
      <c r="I1550" s="15"/>
      <c r="J1550" s="25">
        <f>IF($D1550="","",IFERROR(INDEX(PacNome,MATCH($D1550,PacCod,0)),"Paciente não cadastrado"))</f>
        <v>0</v>
      </c>
      <c r="K1550" s="26">
        <f>IF($D1550="","",IFERROR(INDEX(PacConv,MATCH($D1550,PacCod,0))&amp;"",""))</f>
        <v>0</v>
      </c>
      <c r="L1550" s="26">
        <f>IF($A1550="","",CHOOSE(WEEKDAY($A1550,2),"Seg","Ter","Qua","Qui","Sex","Sáb","Dom"))</f>
        <v>0</v>
      </c>
      <c r="M1550" s="27">
        <f>IF($E1550="","",IF($G1550&lt;&gt;"",$G1550,IFERROR(INDEX(ProcValor,MATCH($E1550,ProcNome,0)),0)))</f>
        <v>0</v>
      </c>
      <c r="N1550" s="27">
        <f>IF($M1550="","",IF($F1550="Compareceu",$M1550,0))</f>
        <v>0</v>
      </c>
      <c r="O1550" s="27">
        <f>IF($M1550="","",IF($F1550="Faltou",$M1550,0))</f>
        <v>0</v>
      </c>
      <c r="P1550" s="27">
        <f>IF($M1550="","",IF($F1550="Compareceu",MAX(0,$M1550-N($H1550)),0))</f>
        <v>0</v>
      </c>
      <c r="Q1550" s="19">
        <f>IF(AND($F1550="Compareceu",$E1550&lt;&gt;"",$A1550&lt;&gt;""),IF(IFERROR(INDEX(ProcRet,MATCH($E1550,ProcNome,0)),0)&gt;0,$A1550+INDEX(ProcRet,MATCH($E1550,ProcNome,0)),""),"")</f>
        <v>0</v>
      </c>
      <c r="R1550" s="26">
        <f>IF($Q1550="","",IF(COUNTIFS(AgPac,$D1550,AgData,"&gt;"&amp;$A1550,AgStatus,"&lt;&gt;Cancelado",AgStatus,"&lt;&gt;Remarcado")&gt;0,"Sim","Não"))</f>
        <v>0</v>
      </c>
      <c r="S1550" s="28">
        <f>IF($A1550="","",IF(AND($F1550="Agendado",$A1550-Hoje&gt;=0,$A1550-Hoje&lt;=DiasConf),"CONFIRMAR",IF(AND($A1550&lt;Hoje,OR($F1550="Agendado",$F1550="Confirmado")),"Atualizar status",IF(AND($F1550="Compareceu",$P1550&gt;0.005),"Cobrar",IF($F1550="Faltou","Falta: reagendar","")))))</f>
        <v>0</v>
      </c>
      <c r="T1550" s="29">
        <f>IF($A1550="","",DATE(YEAR($A1550),MONTH($A1550),1))</f>
        <v>0</v>
      </c>
      <c r="U1550" s="30">
        <f>IF($S1550="CONFIRMAR",MAX($U$4:$U1549)+1,"")</f>
        <v>0</v>
      </c>
      <c r="V1550" s="30">
        <f>IF(AND($R1550="Não",$Q1550&lt;&gt;"",$Q1550&lt;=Hoje+JanelaRet,$Q1550&gt;=Hoje-60),MAX($V$4:$V1549)+1,"")</f>
        <v>0</v>
      </c>
    </row>
    <row r="1551" spans="1:22">
      <c r="A1551" s="16"/>
      <c r="B1551" s="23"/>
      <c r="C1551" s="15"/>
      <c r="D1551" s="15"/>
      <c r="E1551" s="15"/>
      <c r="F1551" s="24"/>
      <c r="G1551" s="17"/>
      <c r="H1551" s="17"/>
      <c r="I1551" s="15"/>
      <c r="J1551" s="25">
        <f>IF($D1551="","",IFERROR(INDEX(PacNome,MATCH($D1551,PacCod,0)),"Paciente não cadastrado"))</f>
        <v>0</v>
      </c>
      <c r="K1551" s="26">
        <f>IF($D1551="","",IFERROR(INDEX(PacConv,MATCH($D1551,PacCod,0))&amp;"",""))</f>
        <v>0</v>
      </c>
      <c r="L1551" s="26">
        <f>IF($A1551="","",CHOOSE(WEEKDAY($A1551,2),"Seg","Ter","Qua","Qui","Sex","Sáb","Dom"))</f>
        <v>0</v>
      </c>
      <c r="M1551" s="27">
        <f>IF($E1551="","",IF($G1551&lt;&gt;"",$G1551,IFERROR(INDEX(ProcValor,MATCH($E1551,ProcNome,0)),0)))</f>
        <v>0</v>
      </c>
      <c r="N1551" s="27">
        <f>IF($M1551="","",IF($F1551="Compareceu",$M1551,0))</f>
        <v>0</v>
      </c>
      <c r="O1551" s="27">
        <f>IF($M1551="","",IF($F1551="Faltou",$M1551,0))</f>
        <v>0</v>
      </c>
      <c r="P1551" s="27">
        <f>IF($M1551="","",IF($F1551="Compareceu",MAX(0,$M1551-N($H1551)),0))</f>
        <v>0</v>
      </c>
      <c r="Q1551" s="19">
        <f>IF(AND($F1551="Compareceu",$E1551&lt;&gt;"",$A1551&lt;&gt;""),IF(IFERROR(INDEX(ProcRet,MATCH($E1551,ProcNome,0)),0)&gt;0,$A1551+INDEX(ProcRet,MATCH($E1551,ProcNome,0)),""),"")</f>
        <v>0</v>
      </c>
      <c r="R1551" s="26">
        <f>IF($Q1551="","",IF(COUNTIFS(AgPac,$D1551,AgData,"&gt;"&amp;$A1551,AgStatus,"&lt;&gt;Cancelado",AgStatus,"&lt;&gt;Remarcado")&gt;0,"Sim","Não"))</f>
        <v>0</v>
      </c>
      <c r="S1551" s="28">
        <f>IF($A1551="","",IF(AND($F1551="Agendado",$A1551-Hoje&gt;=0,$A1551-Hoje&lt;=DiasConf),"CONFIRMAR",IF(AND($A1551&lt;Hoje,OR($F1551="Agendado",$F1551="Confirmado")),"Atualizar status",IF(AND($F1551="Compareceu",$P1551&gt;0.005),"Cobrar",IF($F1551="Faltou","Falta: reagendar","")))))</f>
        <v>0</v>
      </c>
      <c r="T1551" s="29">
        <f>IF($A1551="","",DATE(YEAR($A1551),MONTH($A1551),1))</f>
        <v>0</v>
      </c>
      <c r="U1551" s="30">
        <f>IF($S1551="CONFIRMAR",MAX($U$4:$U1550)+1,"")</f>
        <v>0</v>
      </c>
      <c r="V1551" s="30">
        <f>IF(AND($R1551="Não",$Q1551&lt;&gt;"",$Q1551&lt;=Hoje+JanelaRet,$Q1551&gt;=Hoje-60),MAX($V$4:$V1550)+1,"")</f>
        <v>0</v>
      </c>
    </row>
    <row r="1552" spans="1:22">
      <c r="A1552" s="16"/>
      <c r="B1552" s="23"/>
      <c r="C1552" s="15"/>
      <c r="D1552" s="15"/>
      <c r="E1552" s="15"/>
      <c r="F1552" s="24"/>
      <c r="G1552" s="17"/>
      <c r="H1552" s="17"/>
      <c r="I1552" s="15"/>
      <c r="J1552" s="25">
        <f>IF($D1552="","",IFERROR(INDEX(PacNome,MATCH($D1552,PacCod,0)),"Paciente não cadastrado"))</f>
        <v>0</v>
      </c>
      <c r="K1552" s="26">
        <f>IF($D1552="","",IFERROR(INDEX(PacConv,MATCH($D1552,PacCod,0))&amp;"",""))</f>
        <v>0</v>
      </c>
      <c r="L1552" s="26">
        <f>IF($A1552="","",CHOOSE(WEEKDAY($A1552,2),"Seg","Ter","Qua","Qui","Sex","Sáb","Dom"))</f>
        <v>0</v>
      </c>
      <c r="M1552" s="27">
        <f>IF($E1552="","",IF($G1552&lt;&gt;"",$G1552,IFERROR(INDEX(ProcValor,MATCH($E1552,ProcNome,0)),0)))</f>
        <v>0</v>
      </c>
      <c r="N1552" s="27">
        <f>IF($M1552="","",IF($F1552="Compareceu",$M1552,0))</f>
        <v>0</v>
      </c>
      <c r="O1552" s="27">
        <f>IF($M1552="","",IF($F1552="Faltou",$M1552,0))</f>
        <v>0</v>
      </c>
      <c r="P1552" s="27">
        <f>IF($M1552="","",IF($F1552="Compareceu",MAX(0,$M1552-N($H1552)),0))</f>
        <v>0</v>
      </c>
      <c r="Q1552" s="19">
        <f>IF(AND($F1552="Compareceu",$E1552&lt;&gt;"",$A1552&lt;&gt;""),IF(IFERROR(INDEX(ProcRet,MATCH($E1552,ProcNome,0)),0)&gt;0,$A1552+INDEX(ProcRet,MATCH($E1552,ProcNome,0)),""),"")</f>
        <v>0</v>
      </c>
      <c r="R1552" s="26">
        <f>IF($Q1552="","",IF(COUNTIFS(AgPac,$D1552,AgData,"&gt;"&amp;$A1552,AgStatus,"&lt;&gt;Cancelado",AgStatus,"&lt;&gt;Remarcado")&gt;0,"Sim","Não"))</f>
        <v>0</v>
      </c>
      <c r="S1552" s="28">
        <f>IF($A1552="","",IF(AND($F1552="Agendado",$A1552-Hoje&gt;=0,$A1552-Hoje&lt;=DiasConf),"CONFIRMAR",IF(AND($A1552&lt;Hoje,OR($F1552="Agendado",$F1552="Confirmado")),"Atualizar status",IF(AND($F1552="Compareceu",$P1552&gt;0.005),"Cobrar",IF($F1552="Faltou","Falta: reagendar","")))))</f>
        <v>0</v>
      </c>
      <c r="T1552" s="29">
        <f>IF($A1552="","",DATE(YEAR($A1552),MONTH($A1552),1))</f>
        <v>0</v>
      </c>
      <c r="U1552" s="30">
        <f>IF($S1552="CONFIRMAR",MAX($U$4:$U1551)+1,"")</f>
        <v>0</v>
      </c>
      <c r="V1552" s="30">
        <f>IF(AND($R1552="Não",$Q1552&lt;&gt;"",$Q1552&lt;=Hoje+JanelaRet,$Q1552&gt;=Hoje-60),MAX($V$4:$V1551)+1,"")</f>
        <v>0</v>
      </c>
    </row>
    <row r="1553" spans="1:22">
      <c r="A1553" s="16"/>
      <c r="B1553" s="23"/>
      <c r="C1553" s="15"/>
      <c r="D1553" s="15"/>
      <c r="E1553" s="15"/>
      <c r="F1553" s="24"/>
      <c r="G1553" s="17"/>
      <c r="H1553" s="17"/>
      <c r="I1553" s="15"/>
      <c r="J1553" s="25">
        <f>IF($D1553="","",IFERROR(INDEX(PacNome,MATCH($D1553,PacCod,0)),"Paciente não cadastrado"))</f>
        <v>0</v>
      </c>
      <c r="K1553" s="26">
        <f>IF($D1553="","",IFERROR(INDEX(PacConv,MATCH($D1553,PacCod,0))&amp;"",""))</f>
        <v>0</v>
      </c>
      <c r="L1553" s="26">
        <f>IF($A1553="","",CHOOSE(WEEKDAY($A1553,2),"Seg","Ter","Qua","Qui","Sex","Sáb","Dom"))</f>
        <v>0</v>
      </c>
      <c r="M1553" s="27">
        <f>IF($E1553="","",IF($G1553&lt;&gt;"",$G1553,IFERROR(INDEX(ProcValor,MATCH($E1553,ProcNome,0)),0)))</f>
        <v>0</v>
      </c>
      <c r="N1553" s="27">
        <f>IF($M1553="","",IF($F1553="Compareceu",$M1553,0))</f>
        <v>0</v>
      </c>
      <c r="O1553" s="27">
        <f>IF($M1553="","",IF($F1553="Faltou",$M1553,0))</f>
        <v>0</v>
      </c>
      <c r="P1553" s="27">
        <f>IF($M1553="","",IF($F1553="Compareceu",MAX(0,$M1553-N($H1553)),0))</f>
        <v>0</v>
      </c>
      <c r="Q1553" s="19">
        <f>IF(AND($F1553="Compareceu",$E1553&lt;&gt;"",$A1553&lt;&gt;""),IF(IFERROR(INDEX(ProcRet,MATCH($E1553,ProcNome,0)),0)&gt;0,$A1553+INDEX(ProcRet,MATCH($E1553,ProcNome,0)),""),"")</f>
        <v>0</v>
      </c>
      <c r="R1553" s="26">
        <f>IF($Q1553="","",IF(COUNTIFS(AgPac,$D1553,AgData,"&gt;"&amp;$A1553,AgStatus,"&lt;&gt;Cancelado",AgStatus,"&lt;&gt;Remarcado")&gt;0,"Sim","Não"))</f>
        <v>0</v>
      </c>
      <c r="S1553" s="28">
        <f>IF($A1553="","",IF(AND($F1553="Agendado",$A1553-Hoje&gt;=0,$A1553-Hoje&lt;=DiasConf),"CONFIRMAR",IF(AND($A1553&lt;Hoje,OR($F1553="Agendado",$F1553="Confirmado")),"Atualizar status",IF(AND($F1553="Compareceu",$P1553&gt;0.005),"Cobrar",IF($F1553="Faltou","Falta: reagendar","")))))</f>
        <v>0</v>
      </c>
      <c r="T1553" s="29">
        <f>IF($A1553="","",DATE(YEAR($A1553),MONTH($A1553),1))</f>
        <v>0</v>
      </c>
      <c r="U1553" s="30">
        <f>IF($S1553="CONFIRMAR",MAX($U$4:$U1552)+1,"")</f>
        <v>0</v>
      </c>
      <c r="V1553" s="30">
        <f>IF(AND($R1553="Não",$Q1553&lt;&gt;"",$Q1553&lt;=Hoje+JanelaRet,$Q1553&gt;=Hoje-60),MAX($V$4:$V1552)+1,"")</f>
        <v>0</v>
      </c>
    </row>
    <row r="1554" spans="1:22">
      <c r="A1554" s="16"/>
      <c r="B1554" s="23"/>
      <c r="C1554" s="15"/>
      <c r="D1554" s="15"/>
      <c r="E1554" s="15"/>
      <c r="F1554" s="24"/>
      <c r="G1554" s="17"/>
      <c r="H1554" s="17"/>
      <c r="I1554" s="15"/>
      <c r="J1554" s="25">
        <f>IF($D1554="","",IFERROR(INDEX(PacNome,MATCH($D1554,PacCod,0)),"Paciente não cadastrado"))</f>
        <v>0</v>
      </c>
      <c r="K1554" s="26">
        <f>IF($D1554="","",IFERROR(INDEX(PacConv,MATCH($D1554,PacCod,0))&amp;"",""))</f>
        <v>0</v>
      </c>
      <c r="L1554" s="26">
        <f>IF($A1554="","",CHOOSE(WEEKDAY($A1554,2),"Seg","Ter","Qua","Qui","Sex","Sáb","Dom"))</f>
        <v>0</v>
      </c>
      <c r="M1554" s="27">
        <f>IF($E1554="","",IF($G1554&lt;&gt;"",$G1554,IFERROR(INDEX(ProcValor,MATCH($E1554,ProcNome,0)),0)))</f>
        <v>0</v>
      </c>
      <c r="N1554" s="27">
        <f>IF($M1554="","",IF($F1554="Compareceu",$M1554,0))</f>
        <v>0</v>
      </c>
      <c r="O1554" s="27">
        <f>IF($M1554="","",IF($F1554="Faltou",$M1554,0))</f>
        <v>0</v>
      </c>
      <c r="P1554" s="27">
        <f>IF($M1554="","",IF($F1554="Compareceu",MAX(0,$M1554-N($H1554)),0))</f>
        <v>0</v>
      </c>
      <c r="Q1554" s="19">
        <f>IF(AND($F1554="Compareceu",$E1554&lt;&gt;"",$A1554&lt;&gt;""),IF(IFERROR(INDEX(ProcRet,MATCH($E1554,ProcNome,0)),0)&gt;0,$A1554+INDEX(ProcRet,MATCH($E1554,ProcNome,0)),""),"")</f>
        <v>0</v>
      </c>
      <c r="R1554" s="26">
        <f>IF($Q1554="","",IF(COUNTIFS(AgPac,$D1554,AgData,"&gt;"&amp;$A1554,AgStatus,"&lt;&gt;Cancelado",AgStatus,"&lt;&gt;Remarcado")&gt;0,"Sim","Não"))</f>
        <v>0</v>
      </c>
      <c r="S1554" s="28">
        <f>IF($A1554="","",IF(AND($F1554="Agendado",$A1554-Hoje&gt;=0,$A1554-Hoje&lt;=DiasConf),"CONFIRMAR",IF(AND($A1554&lt;Hoje,OR($F1554="Agendado",$F1554="Confirmado")),"Atualizar status",IF(AND($F1554="Compareceu",$P1554&gt;0.005),"Cobrar",IF($F1554="Faltou","Falta: reagendar","")))))</f>
        <v>0</v>
      </c>
      <c r="T1554" s="29">
        <f>IF($A1554="","",DATE(YEAR($A1554),MONTH($A1554),1))</f>
        <v>0</v>
      </c>
      <c r="U1554" s="30">
        <f>IF($S1554="CONFIRMAR",MAX($U$4:$U1553)+1,"")</f>
        <v>0</v>
      </c>
      <c r="V1554" s="30">
        <f>IF(AND($R1554="Não",$Q1554&lt;&gt;"",$Q1554&lt;=Hoje+JanelaRet,$Q1554&gt;=Hoje-60),MAX($V$4:$V1553)+1,"")</f>
        <v>0</v>
      </c>
    </row>
    <row r="1555" spans="1:22">
      <c r="A1555" s="16"/>
      <c r="B1555" s="23"/>
      <c r="C1555" s="15"/>
      <c r="D1555" s="15"/>
      <c r="E1555" s="15"/>
      <c r="F1555" s="24"/>
      <c r="G1555" s="17"/>
      <c r="H1555" s="17"/>
      <c r="I1555" s="15"/>
      <c r="J1555" s="25">
        <f>IF($D1555="","",IFERROR(INDEX(PacNome,MATCH($D1555,PacCod,0)),"Paciente não cadastrado"))</f>
        <v>0</v>
      </c>
      <c r="K1555" s="26">
        <f>IF($D1555="","",IFERROR(INDEX(PacConv,MATCH($D1555,PacCod,0))&amp;"",""))</f>
        <v>0</v>
      </c>
      <c r="L1555" s="26">
        <f>IF($A1555="","",CHOOSE(WEEKDAY($A1555,2),"Seg","Ter","Qua","Qui","Sex","Sáb","Dom"))</f>
        <v>0</v>
      </c>
      <c r="M1555" s="27">
        <f>IF($E1555="","",IF($G1555&lt;&gt;"",$G1555,IFERROR(INDEX(ProcValor,MATCH($E1555,ProcNome,0)),0)))</f>
        <v>0</v>
      </c>
      <c r="N1555" s="27">
        <f>IF($M1555="","",IF($F1555="Compareceu",$M1555,0))</f>
        <v>0</v>
      </c>
      <c r="O1555" s="27">
        <f>IF($M1555="","",IF($F1555="Faltou",$M1555,0))</f>
        <v>0</v>
      </c>
      <c r="P1555" s="27">
        <f>IF($M1555="","",IF($F1555="Compareceu",MAX(0,$M1555-N($H1555)),0))</f>
        <v>0</v>
      </c>
      <c r="Q1555" s="19">
        <f>IF(AND($F1555="Compareceu",$E1555&lt;&gt;"",$A1555&lt;&gt;""),IF(IFERROR(INDEX(ProcRet,MATCH($E1555,ProcNome,0)),0)&gt;0,$A1555+INDEX(ProcRet,MATCH($E1555,ProcNome,0)),""),"")</f>
        <v>0</v>
      </c>
      <c r="R1555" s="26">
        <f>IF($Q1555="","",IF(COUNTIFS(AgPac,$D1555,AgData,"&gt;"&amp;$A1555,AgStatus,"&lt;&gt;Cancelado",AgStatus,"&lt;&gt;Remarcado")&gt;0,"Sim","Não"))</f>
        <v>0</v>
      </c>
      <c r="S1555" s="28">
        <f>IF($A1555="","",IF(AND($F1555="Agendado",$A1555-Hoje&gt;=0,$A1555-Hoje&lt;=DiasConf),"CONFIRMAR",IF(AND($A1555&lt;Hoje,OR($F1555="Agendado",$F1555="Confirmado")),"Atualizar status",IF(AND($F1555="Compareceu",$P1555&gt;0.005),"Cobrar",IF($F1555="Faltou","Falta: reagendar","")))))</f>
        <v>0</v>
      </c>
      <c r="T1555" s="29">
        <f>IF($A1555="","",DATE(YEAR($A1555),MONTH($A1555),1))</f>
        <v>0</v>
      </c>
      <c r="U1555" s="30">
        <f>IF($S1555="CONFIRMAR",MAX($U$4:$U1554)+1,"")</f>
        <v>0</v>
      </c>
      <c r="V1555" s="30">
        <f>IF(AND($R1555="Não",$Q1555&lt;&gt;"",$Q1555&lt;=Hoje+JanelaRet,$Q1555&gt;=Hoje-60),MAX($V$4:$V1554)+1,"")</f>
        <v>0</v>
      </c>
    </row>
    <row r="1556" spans="1:22">
      <c r="A1556" s="16"/>
      <c r="B1556" s="23"/>
      <c r="C1556" s="15"/>
      <c r="D1556" s="15"/>
      <c r="E1556" s="15"/>
      <c r="F1556" s="24"/>
      <c r="G1556" s="17"/>
      <c r="H1556" s="17"/>
      <c r="I1556" s="15"/>
      <c r="J1556" s="25">
        <f>IF($D1556="","",IFERROR(INDEX(PacNome,MATCH($D1556,PacCod,0)),"Paciente não cadastrado"))</f>
        <v>0</v>
      </c>
      <c r="K1556" s="26">
        <f>IF($D1556="","",IFERROR(INDEX(PacConv,MATCH($D1556,PacCod,0))&amp;"",""))</f>
        <v>0</v>
      </c>
      <c r="L1556" s="26">
        <f>IF($A1556="","",CHOOSE(WEEKDAY($A1556,2),"Seg","Ter","Qua","Qui","Sex","Sáb","Dom"))</f>
        <v>0</v>
      </c>
      <c r="M1556" s="27">
        <f>IF($E1556="","",IF($G1556&lt;&gt;"",$G1556,IFERROR(INDEX(ProcValor,MATCH($E1556,ProcNome,0)),0)))</f>
        <v>0</v>
      </c>
      <c r="N1556" s="27">
        <f>IF($M1556="","",IF($F1556="Compareceu",$M1556,0))</f>
        <v>0</v>
      </c>
      <c r="O1556" s="27">
        <f>IF($M1556="","",IF($F1556="Faltou",$M1556,0))</f>
        <v>0</v>
      </c>
      <c r="P1556" s="27">
        <f>IF($M1556="","",IF($F1556="Compareceu",MAX(0,$M1556-N($H1556)),0))</f>
        <v>0</v>
      </c>
      <c r="Q1556" s="19">
        <f>IF(AND($F1556="Compareceu",$E1556&lt;&gt;"",$A1556&lt;&gt;""),IF(IFERROR(INDEX(ProcRet,MATCH($E1556,ProcNome,0)),0)&gt;0,$A1556+INDEX(ProcRet,MATCH($E1556,ProcNome,0)),""),"")</f>
        <v>0</v>
      </c>
      <c r="R1556" s="26">
        <f>IF($Q1556="","",IF(COUNTIFS(AgPac,$D1556,AgData,"&gt;"&amp;$A1556,AgStatus,"&lt;&gt;Cancelado",AgStatus,"&lt;&gt;Remarcado")&gt;0,"Sim","Não"))</f>
        <v>0</v>
      </c>
      <c r="S1556" s="28">
        <f>IF($A1556="","",IF(AND($F1556="Agendado",$A1556-Hoje&gt;=0,$A1556-Hoje&lt;=DiasConf),"CONFIRMAR",IF(AND($A1556&lt;Hoje,OR($F1556="Agendado",$F1556="Confirmado")),"Atualizar status",IF(AND($F1556="Compareceu",$P1556&gt;0.005),"Cobrar",IF($F1556="Faltou","Falta: reagendar","")))))</f>
        <v>0</v>
      </c>
      <c r="T1556" s="29">
        <f>IF($A1556="","",DATE(YEAR($A1556),MONTH($A1556),1))</f>
        <v>0</v>
      </c>
      <c r="U1556" s="30">
        <f>IF($S1556="CONFIRMAR",MAX($U$4:$U1555)+1,"")</f>
        <v>0</v>
      </c>
      <c r="V1556" s="30">
        <f>IF(AND($R1556="Não",$Q1556&lt;&gt;"",$Q1556&lt;=Hoje+JanelaRet,$Q1556&gt;=Hoje-60),MAX($V$4:$V1555)+1,"")</f>
        <v>0</v>
      </c>
    </row>
    <row r="1557" spans="1:22">
      <c r="A1557" s="16"/>
      <c r="B1557" s="23"/>
      <c r="C1557" s="15"/>
      <c r="D1557" s="15"/>
      <c r="E1557" s="15"/>
      <c r="F1557" s="24"/>
      <c r="G1557" s="17"/>
      <c r="H1557" s="17"/>
      <c r="I1557" s="15"/>
      <c r="J1557" s="25">
        <f>IF($D1557="","",IFERROR(INDEX(PacNome,MATCH($D1557,PacCod,0)),"Paciente não cadastrado"))</f>
        <v>0</v>
      </c>
      <c r="K1557" s="26">
        <f>IF($D1557="","",IFERROR(INDEX(PacConv,MATCH($D1557,PacCod,0))&amp;"",""))</f>
        <v>0</v>
      </c>
      <c r="L1557" s="26">
        <f>IF($A1557="","",CHOOSE(WEEKDAY($A1557,2),"Seg","Ter","Qua","Qui","Sex","Sáb","Dom"))</f>
        <v>0</v>
      </c>
      <c r="M1557" s="27">
        <f>IF($E1557="","",IF($G1557&lt;&gt;"",$G1557,IFERROR(INDEX(ProcValor,MATCH($E1557,ProcNome,0)),0)))</f>
        <v>0</v>
      </c>
      <c r="N1557" s="27">
        <f>IF($M1557="","",IF($F1557="Compareceu",$M1557,0))</f>
        <v>0</v>
      </c>
      <c r="O1557" s="27">
        <f>IF($M1557="","",IF($F1557="Faltou",$M1557,0))</f>
        <v>0</v>
      </c>
      <c r="P1557" s="27">
        <f>IF($M1557="","",IF($F1557="Compareceu",MAX(0,$M1557-N($H1557)),0))</f>
        <v>0</v>
      </c>
      <c r="Q1557" s="19">
        <f>IF(AND($F1557="Compareceu",$E1557&lt;&gt;"",$A1557&lt;&gt;""),IF(IFERROR(INDEX(ProcRet,MATCH($E1557,ProcNome,0)),0)&gt;0,$A1557+INDEX(ProcRet,MATCH($E1557,ProcNome,0)),""),"")</f>
        <v>0</v>
      </c>
      <c r="R1557" s="26">
        <f>IF($Q1557="","",IF(COUNTIFS(AgPac,$D1557,AgData,"&gt;"&amp;$A1557,AgStatus,"&lt;&gt;Cancelado",AgStatus,"&lt;&gt;Remarcado")&gt;0,"Sim","Não"))</f>
        <v>0</v>
      </c>
      <c r="S1557" s="28">
        <f>IF($A1557="","",IF(AND($F1557="Agendado",$A1557-Hoje&gt;=0,$A1557-Hoje&lt;=DiasConf),"CONFIRMAR",IF(AND($A1557&lt;Hoje,OR($F1557="Agendado",$F1557="Confirmado")),"Atualizar status",IF(AND($F1557="Compareceu",$P1557&gt;0.005),"Cobrar",IF($F1557="Faltou","Falta: reagendar","")))))</f>
        <v>0</v>
      </c>
      <c r="T1557" s="29">
        <f>IF($A1557="","",DATE(YEAR($A1557),MONTH($A1557),1))</f>
        <v>0</v>
      </c>
      <c r="U1557" s="30">
        <f>IF($S1557="CONFIRMAR",MAX($U$4:$U1556)+1,"")</f>
        <v>0</v>
      </c>
      <c r="V1557" s="30">
        <f>IF(AND($R1557="Não",$Q1557&lt;&gt;"",$Q1557&lt;=Hoje+JanelaRet,$Q1557&gt;=Hoje-60),MAX($V$4:$V1556)+1,"")</f>
        <v>0</v>
      </c>
    </row>
    <row r="1558" spans="1:22">
      <c r="A1558" s="16"/>
      <c r="B1558" s="23"/>
      <c r="C1558" s="15"/>
      <c r="D1558" s="15"/>
      <c r="E1558" s="15"/>
      <c r="F1558" s="24"/>
      <c r="G1558" s="17"/>
      <c r="H1558" s="17"/>
      <c r="I1558" s="15"/>
      <c r="J1558" s="25">
        <f>IF($D1558="","",IFERROR(INDEX(PacNome,MATCH($D1558,PacCod,0)),"Paciente não cadastrado"))</f>
        <v>0</v>
      </c>
      <c r="K1558" s="26">
        <f>IF($D1558="","",IFERROR(INDEX(PacConv,MATCH($D1558,PacCod,0))&amp;"",""))</f>
        <v>0</v>
      </c>
      <c r="L1558" s="26">
        <f>IF($A1558="","",CHOOSE(WEEKDAY($A1558,2),"Seg","Ter","Qua","Qui","Sex","Sáb","Dom"))</f>
        <v>0</v>
      </c>
      <c r="M1558" s="27">
        <f>IF($E1558="","",IF($G1558&lt;&gt;"",$G1558,IFERROR(INDEX(ProcValor,MATCH($E1558,ProcNome,0)),0)))</f>
        <v>0</v>
      </c>
      <c r="N1558" s="27">
        <f>IF($M1558="","",IF($F1558="Compareceu",$M1558,0))</f>
        <v>0</v>
      </c>
      <c r="O1558" s="27">
        <f>IF($M1558="","",IF($F1558="Faltou",$M1558,0))</f>
        <v>0</v>
      </c>
      <c r="P1558" s="27">
        <f>IF($M1558="","",IF($F1558="Compareceu",MAX(0,$M1558-N($H1558)),0))</f>
        <v>0</v>
      </c>
      <c r="Q1558" s="19">
        <f>IF(AND($F1558="Compareceu",$E1558&lt;&gt;"",$A1558&lt;&gt;""),IF(IFERROR(INDEX(ProcRet,MATCH($E1558,ProcNome,0)),0)&gt;0,$A1558+INDEX(ProcRet,MATCH($E1558,ProcNome,0)),""),"")</f>
        <v>0</v>
      </c>
      <c r="R1558" s="26">
        <f>IF($Q1558="","",IF(COUNTIFS(AgPac,$D1558,AgData,"&gt;"&amp;$A1558,AgStatus,"&lt;&gt;Cancelado",AgStatus,"&lt;&gt;Remarcado")&gt;0,"Sim","Não"))</f>
        <v>0</v>
      </c>
      <c r="S1558" s="28">
        <f>IF($A1558="","",IF(AND($F1558="Agendado",$A1558-Hoje&gt;=0,$A1558-Hoje&lt;=DiasConf),"CONFIRMAR",IF(AND($A1558&lt;Hoje,OR($F1558="Agendado",$F1558="Confirmado")),"Atualizar status",IF(AND($F1558="Compareceu",$P1558&gt;0.005),"Cobrar",IF($F1558="Faltou","Falta: reagendar","")))))</f>
        <v>0</v>
      </c>
      <c r="T1558" s="29">
        <f>IF($A1558="","",DATE(YEAR($A1558),MONTH($A1558),1))</f>
        <v>0</v>
      </c>
      <c r="U1558" s="30">
        <f>IF($S1558="CONFIRMAR",MAX($U$4:$U1557)+1,"")</f>
        <v>0</v>
      </c>
      <c r="V1558" s="30">
        <f>IF(AND($R1558="Não",$Q1558&lt;&gt;"",$Q1558&lt;=Hoje+JanelaRet,$Q1558&gt;=Hoje-60),MAX($V$4:$V1557)+1,"")</f>
        <v>0</v>
      </c>
    </row>
    <row r="1559" spans="1:22">
      <c r="A1559" s="16"/>
      <c r="B1559" s="23"/>
      <c r="C1559" s="15"/>
      <c r="D1559" s="15"/>
      <c r="E1559" s="15"/>
      <c r="F1559" s="24"/>
      <c r="G1559" s="17"/>
      <c r="H1559" s="17"/>
      <c r="I1559" s="15"/>
      <c r="J1559" s="25">
        <f>IF($D1559="","",IFERROR(INDEX(PacNome,MATCH($D1559,PacCod,0)),"Paciente não cadastrado"))</f>
        <v>0</v>
      </c>
      <c r="K1559" s="26">
        <f>IF($D1559="","",IFERROR(INDEX(PacConv,MATCH($D1559,PacCod,0))&amp;"",""))</f>
        <v>0</v>
      </c>
      <c r="L1559" s="26">
        <f>IF($A1559="","",CHOOSE(WEEKDAY($A1559,2),"Seg","Ter","Qua","Qui","Sex","Sáb","Dom"))</f>
        <v>0</v>
      </c>
      <c r="M1559" s="27">
        <f>IF($E1559="","",IF($G1559&lt;&gt;"",$G1559,IFERROR(INDEX(ProcValor,MATCH($E1559,ProcNome,0)),0)))</f>
        <v>0</v>
      </c>
      <c r="N1559" s="27">
        <f>IF($M1559="","",IF($F1559="Compareceu",$M1559,0))</f>
        <v>0</v>
      </c>
      <c r="O1559" s="27">
        <f>IF($M1559="","",IF($F1559="Faltou",$M1559,0))</f>
        <v>0</v>
      </c>
      <c r="P1559" s="27">
        <f>IF($M1559="","",IF($F1559="Compareceu",MAX(0,$M1559-N($H1559)),0))</f>
        <v>0</v>
      </c>
      <c r="Q1559" s="19">
        <f>IF(AND($F1559="Compareceu",$E1559&lt;&gt;"",$A1559&lt;&gt;""),IF(IFERROR(INDEX(ProcRet,MATCH($E1559,ProcNome,0)),0)&gt;0,$A1559+INDEX(ProcRet,MATCH($E1559,ProcNome,0)),""),"")</f>
        <v>0</v>
      </c>
      <c r="R1559" s="26">
        <f>IF($Q1559="","",IF(COUNTIFS(AgPac,$D1559,AgData,"&gt;"&amp;$A1559,AgStatus,"&lt;&gt;Cancelado",AgStatus,"&lt;&gt;Remarcado")&gt;0,"Sim","Não"))</f>
        <v>0</v>
      </c>
      <c r="S1559" s="28">
        <f>IF($A1559="","",IF(AND($F1559="Agendado",$A1559-Hoje&gt;=0,$A1559-Hoje&lt;=DiasConf),"CONFIRMAR",IF(AND($A1559&lt;Hoje,OR($F1559="Agendado",$F1559="Confirmado")),"Atualizar status",IF(AND($F1559="Compareceu",$P1559&gt;0.005),"Cobrar",IF($F1559="Faltou","Falta: reagendar","")))))</f>
        <v>0</v>
      </c>
      <c r="T1559" s="29">
        <f>IF($A1559="","",DATE(YEAR($A1559),MONTH($A1559),1))</f>
        <v>0</v>
      </c>
      <c r="U1559" s="30">
        <f>IF($S1559="CONFIRMAR",MAX($U$4:$U1558)+1,"")</f>
        <v>0</v>
      </c>
      <c r="V1559" s="30">
        <f>IF(AND($R1559="Não",$Q1559&lt;&gt;"",$Q1559&lt;=Hoje+JanelaRet,$Q1559&gt;=Hoje-60),MAX($V$4:$V1558)+1,"")</f>
        <v>0</v>
      </c>
    </row>
    <row r="1560" spans="1:22">
      <c r="A1560" s="16"/>
      <c r="B1560" s="23"/>
      <c r="C1560" s="15"/>
      <c r="D1560" s="15"/>
      <c r="E1560" s="15"/>
      <c r="F1560" s="24"/>
      <c r="G1560" s="17"/>
      <c r="H1560" s="17"/>
      <c r="I1560" s="15"/>
      <c r="J1560" s="25">
        <f>IF($D1560="","",IFERROR(INDEX(PacNome,MATCH($D1560,PacCod,0)),"Paciente não cadastrado"))</f>
        <v>0</v>
      </c>
      <c r="K1560" s="26">
        <f>IF($D1560="","",IFERROR(INDEX(PacConv,MATCH($D1560,PacCod,0))&amp;"",""))</f>
        <v>0</v>
      </c>
      <c r="L1560" s="26">
        <f>IF($A1560="","",CHOOSE(WEEKDAY($A1560,2),"Seg","Ter","Qua","Qui","Sex","Sáb","Dom"))</f>
        <v>0</v>
      </c>
      <c r="M1560" s="27">
        <f>IF($E1560="","",IF($G1560&lt;&gt;"",$G1560,IFERROR(INDEX(ProcValor,MATCH($E1560,ProcNome,0)),0)))</f>
        <v>0</v>
      </c>
      <c r="N1560" s="27">
        <f>IF($M1560="","",IF($F1560="Compareceu",$M1560,0))</f>
        <v>0</v>
      </c>
      <c r="O1560" s="27">
        <f>IF($M1560="","",IF($F1560="Faltou",$M1560,0))</f>
        <v>0</v>
      </c>
      <c r="P1560" s="27">
        <f>IF($M1560="","",IF($F1560="Compareceu",MAX(0,$M1560-N($H1560)),0))</f>
        <v>0</v>
      </c>
      <c r="Q1560" s="19">
        <f>IF(AND($F1560="Compareceu",$E1560&lt;&gt;"",$A1560&lt;&gt;""),IF(IFERROR(INDEX(ProcRet,MATCH($E1560,ProcNome,0)),0)&gt;0,$A1560+INDEX(ProcRet,MATCH($E1560,ProcNome,0)),""),"")</f>
        <v>0</v>
      </c>
      <c r="R1560" s="26">
        <f>IF($Q1560="","",IF(COUNTIFS(AgPac,$D1560,AgData,"&gt;"&amp;$A1560,AgStatus,"&lt;&gt;Cancelado",AgStatus,"&lt;&gt;Remarcado")&gt;0,"Sim","Não"))</f>
        <v>0</v>
      </c>
      <c r="S1560" s="28">
        <f>IF($A1560="","",IF(AND($F1560="Agendado",$A1560-Hoje&gt;=0,$A1560-Hoje&lt;=DiasConf),"CONFIRMAR",IF(AND($A1560&lt;Hoje,OR($F1560="Agendado",$F1560="Confirmado")),"Atualizar status",IF(AND($F1560="Compareceu",$P1560&gt;0.005),"Cobrar",IF($F1560="Faltou","Falta: reagendar","")))))</f>
        <v>0</v>
      </c>
      <c r="T1560" s="29">
        <f>IF($A1560="","",DATE(YEAR($A1560),MONTH($A1560),1))</f>
        <v>0</v>
      </c>
      <c r="U1560" s="30">
        <f>IF($S1560="CONFIRMAR",MAX($U$4:$U1559)+1,"")</f>
        <v>0</v>
      </c>
      <c r="V1560" s="30">
        <f>IF(AND($R1560="Não",$Q1560&lt;&gt;"",$Q1560&lt;=Hoje+JanelaRet,$Q1560&gt;=Hoje-60),MAX($V$4:$V1559)+1,"")</f>
        <v>0</v>
      </c>
    </row>
    <row r="1561" spans="1:22">
      <c r="A1561" s="16"/>
      <c r="B1561" s="23"/>
      <c r="C1561" s="15"/>
      <c r="D1561" s="15"/>
      <c r="E1561" s="15"/>
      <c r="F1561" s="24"/>
      <c r="G1561" s="17"/>
      <c r="H1561" s="17"/>
      <c r="I1561" s="15"/>
      <c r="J1561" s="25">
        <f>IF($D1561="","",IFERROR(INDEX(PacNome,MATCH($D1561,PacCod,0)),"Paciente não cadastrado"))</f>
        <v>0</v>
      </c>
      <c r="K1561" s="26">
        <f>IF($D1561="","",IFERROR(INDEX(PacConv,MATCH($D1561,PacCod,0))&amp;"",""))</f>
        <v>0</v>
      </c>
      <c r="L1561" s="26">
        <f>IF($A1561="","",CHOOSE(WEEKDAY($A1561,2),"Seg","Ter","Qua","Qui","Sex","Sáb","Dom"))</f>
        <v>0</v>
      </c>
      <c r="M1561" s="27">
        <f>IF($E1561="","",IF($G1561&lt;&gt;"",$G1561,IFERROR(INDEX(ProcValor,MATCH($E1561,ProcNome,0)),0)))</f>
        <v>0</v>
      </c>
      <c r="N1561" s="27">
        <f>IF($M1561="","",IF($F1561="Compareceu",$M1561,0))</f>
        <v>0</v>
      </c>
      <c r="O1561" s="27">
        <f>IF($M1561="","",IF($F1561="Faltou",$M1561,0))</f>
        <v>0</v>
      </c>
      <c r="P1561" s="27">
        <f>IF($M1561="","",IF($F1561="Compareceu",MAX(0,$M1561-N($H1561)),0))</f>
        <v>0</v>
      </c>
      <c r="Q1561" s="19">
        <f>IF(AND($F1561="Compareceu",$E1561&lt;&gt;"",$A1561&lt;&gt;""),IF(IFERROR(INDEX(ProcRet,MATCH($E1561,ProcNome,0)),0)&gt;0,$A1561+INDEX(ProcRet,MATCH($E1561,ProcNome,0)),""),"")</f>
        <v>0</v>
      </c>
      <c r="R1561" s="26">
        <f>IF($Q1561="","",IF(COUNTIFS(AgPac,$D1561,AgData,"&gt;"&amp;$A1561,AgStatus,"&lt;&gt;Cancelado",AgStatus,"&lt;&gt;Remarcado")&gt;0,"Sim","Não"))</f>
        <v>0</v>
      </c>
      <c r="S1561" s="28">
        <f>IF($A1561="","",IF(AND($F1561="Agendado",$A1561-Hoje&gt;=0,$A1561-Hoje&lt;=DiasConf),"CONFIRMAR",IF(AND($A1561&lt;Hoje,OR($F1561="Agendado",$F1561="Confirmado")),"Atualizar status",IF(AND($F1561="Compareceu",$P1561&gt;0.005),"Cobrar",IF($F1561="Faltou","Falta: reagendar","")))))</f>
        <v>0</v>
      </c>
      <c r="T1561" s="29">
        <f>IF($A1561="","",DATE(YEAR($A1561),MONTH($A1561),1))</f>
        <v>0</v>
      </c>
      <c r="U1561" s="30">
        <f>IF($S1561="CONFIRMAR",MAX($U$4:$U1560)+1,"")</f>
        <v>0</v>
      </c>
      <c r="V1561" s="30">
        <f>IF(AND($R1561="Não",$Q1561&lt;&gt;"",$Q1561&lt;=Hoje+JanelaRet,$Q1561&gt;=Hoje-60),MAX($V$4:$V1560)+1,"")</f>
        <v>0</v>
      </c>
    </row>
    <row r="1562" spans="1:22">
      <c r="A1562" s="16"/>
      <c r="B1562" s="23"/>
      <c r="C1562" s="15"/>
      <c r="D1562" s="15"/>
      <c r="E1562" s="15"/>
      <c r="F1562" s="24"/>
      <c r="G1562" s="17"/>
      <c r="H1562" s="17"/>
      <c r="I1562" s="15"/>
      <c r="J1562" s="25">
        <f>IF($D1562="","",IFERROR(INDEX(PacNome,MATCH($D1562,PacCod,0)),"Paciente não cadastrado"))</f>
        <v>0</v>
      </c>
      <c r="K1562" s="26">
        <f>IF($D1562="","",IFERROR(INDEX(PacConv,MATCH($D1562,PacCod,0))&amp;"",""))</f>
        <v>0</v>
      </c>
      <c r="L1562" s="26">
        <f>IF($A1562="","",CHOOSE(WEEKDAY($A1562,2),"Seg","Ter","Qua","Qui","Sex","Sáb","Dom"))</f>
        <v>0</v>
      </c>
      <c r="M1562" s="27">
        <f>IF($E1562="","",IF($G1562&lt;&gt;"",$G1562,IFERROR(INDEX(ProcValor,MATCH($E1562,ProcNome,0)),0)))</f>
        <v>0</v>
      </c>
      <c r="N1562" s="27">
        <f>IF($M1562="","",IF($F1562="Compareceu",$M1562,0))</f>
        <v>0</v>
      </c>
      <c r="O1562" s="27">
        <f>IF($M1562="","",IF($F1562="Faltou",$M1562,0))</f>
        <v>0</v>
      </c>
      <c r="P1562" s="27">
        <f>IF($M1562="","",IF($F1562="Compareceu",MAX(0,$M1562-N($H1562)),0))</f>
        <v>0</v>
      </c>
      <c r="Q1562" s="19">
        <f>IF(AND($F1562="Compareceu",$E1562&lt;&gt;"",$A1562&lt;&gt;""),IF(IFERROR(INDEX(ProcRet,MATCH($E1562,ProcNome,0)),0)&gt;0,$A1562+INDEX(ProcRet,MATCH($E1562,ProcNome,0)),""),"")</f>
        <v>0</v>
      </c>
      <c r="R1562" s="26">
        <f>IF($Q1562="","",IF(COUNTIFS(AgPac,$D1562,AgData,"&gt;"&amp;$A1562,AgStatus,"&lt;&gt;Cancelado",AgStatus,"&lt;&gt;Remarcado")&gt;0,"Sim","Não"))</f>
        <v>0</v>
      </c>
      <c r="S1562" s="28">
        <f>IF($A1562="","",IF(AND($F1562="Agendado",$A1562-Hoje&gt;=0,$A1562-Hoje&lt;=DiasConf),"CONFIRMAR",IF(AND($A1562&lt;Hoje,OR($F1562="Agendado",$F1562="Confirmado")),"Atualizar status",IF(AND($F1562="Compareceu",$P1562&gt;0.005),"Cobrar",IF($F1562="Faltou","Falta: reagendar","")))))</f>
        <v>0</v>
      </c>
      <c r="T1562" s="29">
        <f>IF($A1562="","",DATE(YEAR($A1562),MONTH($A1562),1))</f>
        <v>0</v>
      </c>
      <c r="U1562" s="30">
        <f>IF($S1562="CONFIRMAR",MAX($U$4:$U1561)+1,"")</f>
        <v>0</v>
      </c>
      <c r="V1562" s="30">
        <f>IF(AND($R1562="Não",$Q1562&lt;&gt;"",$Q1562&lt;=Hoje+JanelaRet,$Q1562&gt;=Hoje-60),MAX($V$4:$V1561)+1,"")</f>
        <v>0</v>
      </c>
    </row>
    <row r="1563" spans="1:22">
      <c r="A1563" s="16"/>
      <c r="B1563" s="23"/>
      <c r="C1563" s="15"/>
      <c r="D1563" s="15"/>
      <c r="E1563" s="15"/>
      <c r="F1563" s="24"/>
      <c r="G1563" s="17"/>
      <c r="H1563" s="17"/>
      <c r="I1563" s="15"/>
      <c r="J1563" s="25">
        <f>IF($D1563="","",IFERROR(INDEX(PacNome,MATCH($D1563,PacCod,0)),"Paciente não cadastrado"))</f>
        <v>0</v>
      </c>
      <c r="K1563" s="26">
        <f>IF($D1563="","",IFERROR(INDEX(PacConv,MATCH($D1563,PacCod,0))&amp;"",""))</f>
        <v>0</v>
      </c>
      <c r="L1563" s="26">
        <f>IF($A1563="","",CHOOSE(WEEKDAY($A1563,2),"Seg","Ter","Qua","Qui","Sex","Sáb","Dom"))</f>
        <v>0</v>
      </c>
      <c r="M1563" s="27">
        <f>IF($E1563="","",IF($G1563&lt;&gt;"",$G1563,IFERROR(INDEX(ProcValor,MATCH($E1563,ProcNome,0)),0)))</f>
        <v>0</v>
      </c>
      <c r="N1563" s="27">
        <f>IF($M1563="","",IF($F1563="Compareceu",$M1563,0))</f>
        <v>0</v>
      </c>
      <c r="O1563" s="27">
        <f>IF($M1563="","",IF($F1563="Faltou",$M1563,0))</f>
        <v>0</v>
      </c>
      <c r="P1563" s="27">
        <f>IF($M1563="","",IF($F1563="Compareceu",MAX(0,$M1563-N($H1563)),0))</f>
        <v>0</v>
      </c>
      <c r="Q1563" s="19">
        <f>IF(AND($F1563="Compareceu",$E1563&lt;&gt;"",$A1563&lt;&gt;""),IF(IFERROR(INDEX(ProcRet,MATCH($E1563,ProcNome,0)),0)&gt;0,$A1563+INDEX(ProcRet,MATCH($E1563,ProcNome,0)),""),"")</f>
        <v>0</v>
      </c>
      <c r="R1563" s="26">
        <f>IF($Q1563="","",IF(COUNTIFS(AgPac,$D1563,AgData,"&gt;"&amp;$A1563,AgStatus,"&lt;&gt;Cancelado",AgStatus,"&lt;&gt;Remarcado")&gt;0,"Sim","Não"))</f>
        <v>0</v>
      </c>
      <c r="S1563" s="28">
        <f>IF($A1563="","",IF(AND($F1563="Agendado",$A1563-Hoje&gt;=0,$A1563-Hoje&lt;=DiasConf),"CONFIRMAR",IF(AND($A1563&lt;Hoje,OR($F1563="Agendado",$F1563="Confirmado")),"Atualizar status",IF(AND($F1563="Compareceu",$P1563&gt;0.005),"Cobrar",IF($F1563="Faltou","Falta: reagendar","")))))</f>
        <v>0</v>
      </c>
      <c r="T1563" s="29">
        <f>IF($A1563="","",DATE(YEAR($A1563),MONTH($A1563),1))</f>
        <v>0</v>
      </c>
      <c r="U1563" s="30">
        <f>IF($S1563="CONFIRMAR",MAX($U$4:$U1562)+1,"")</f>
        <v>0</v>
      </c>
      <c r="V1563" s="30">
        <f>IF(AND($R1563="Não",$Q1563&lt;&gt;"",$Q1563&lt;=Hoje+JanelaRet,$Q1563&gt;=Hoje-60),MAX($V$4:$V1562)+1,"")</f>
        <v>0</v>
      </c>
    </row>
    <row r="1564" spans="1:22">
      <c r="A1564" s="16"/>
      <c r="B1564" s="23"/>
      <c r="C1564" s="15"/>
      <c r="D1564" s="15"/>
      <c r="E1564" s="15"/>
      <c r="F1564" s="24"/>
      <c r="G1564" s="17"/>
      <c r="H1564" s="17"/>
      <c r="I1564" s="15"/>
      <c r="J1564" s="25">
        <f>IF($D1564="","",IFERROR(INDEX(PacNome,MATCH($D1564,PacCod,0)),"Paciente não cadastrado"))</f>
        <v>0</v>
      </c>
      <c r="K1564" s="26">
        <f>IF($D1564="","",IFERROR(INDEX(PacConv,MATCH($D1564,PacCod,0))&amp;"",""))</f>
        <v>0</v>
      </c>
      <c r="L1564" s="26">
        <f>IF($A1564="","",CHOOSE(WEEKDAY($A1564,2),"Seg","Ter","Qua","Qui","Sex","Sáb","Dom"))</f>
        <v>0</v>
      </c>
      <c r="M1564" s="27">
        <f>IF($E1564="","",IF($G1564&lt;&gt;"",$G1564,IFERROR(INDEX(ProcValor,MATCH($E1564,ProcNome,0)),0)))</f>
        <v>0</v>
      </c>
      <c r="N1564" s="27">
        <f>IF($M1564="","",IF($F1564="Compareceu",$M1564,0))</f>
        <v>0</v>
      </c>
      <c r="O1564" s="27">
        <f>IF($M1564="","",IF($F1564="Faltou",$M1564,0))</f>
        <v>0</v>
      </c>
      <c r="P1564" s="27">
        <f>IF($M1564="","",IF($F1564="Compareceu",MAX(0,$M1564-N($H1564)),0))</f>
        <v>0</v>
      </c>
      <c r="Q1564" s="19">
        <f>IF(AND($F1564="Compareceu",$E1564&lt;&gt;"",$A1564&lt;&gt;""),IF(IFERROR(INDEX(ProcRet,MATCH($E1564,ProcNome,0)),0)&gt;0,$A1564+INDEX(ProcRet,MATCH($E1564,ProcNome,0)),""),"")</f>
        <v>0</v>
      </c>
      <c r="R1564" s="26">
        <f>IF($Q1564="","",IF(COUNTIFS(AgPac,$D1564,AgData,"&gt;"&amp;$A1564,AgStatus,"&lt;&gt;Cancelado",AgStatus,"&lt;&gt;Remarcado")&gt;0,"Sim","Não"))</f>
        <v>0</v>
      </c>
      <c r="S1564" s="28">
        <f>IF($A1564="","",IF(AND($F1564="Agendado",$A1564-Hoje&gt;=0,$A1564-Hoje&lt;=DiasConf),"CONFIRMAR",IF(AND($A1564&lt;Hoje,OR($F1564="Agendado",$F1564="Confirmado")),"Atualizar status",IF(AND($F1564="Compareceu",$P1564&gt;0.005),"Cobrar",IF($F1564="Faltou","Falta: reagendar","")))))</f>
        <v>0</v>
      </c>
      <c r="T1564" s="29">
        <f>IF($A1564="","",DATE(YEAR($A1564),MONTH($A1564),1))</f>
        <v>0</v>
      </c>
      <c r="U1564" s="30">
        <f>IF($S1564="CONFIRMAR",MAX($U$4:$U1563)+1,"")</f>
        <v>0</v>
      </c>
      <c r="V1564" s="30">
        <f>IF(AND($R1564="Não",$Q1564&lt;&gt;"",$Q1564&lt;=Hoje+JanelaRet,$Q1564&gt;=Hoje-60),MAX($V$4:$V1563)+1,"")</f>
        <v>0</v>
      </c>
    </row>
    <row r="1565" spans="1:22">
      <c r="A1565" s="16"/>
      <c r="B1565" s="23"/>
      <c r="C1565" s="15"/>
      <c r="D1565" s="15"/>
      <c r="E1565" s="15"/>
      <c r="F1565" s="24"/>
      <c r="G1565" s="17"/>
      <c r="H1565" s="17"/>
      <c r="I1565" s="15"/>
      <c r="J1565" s="25">
        <f>IF($D1565="","",IFERROR(INDEX(PacNome,MATCH($D1565,PacCod,0)),"Paciente não cadastrado"))</f>
        <v>0</v>
      </c>
      <c r="K1565" s="26">
        <f>IF($D1565="","",IFERROR(INDEX(PacConv,MATCH($D1565,PacCod,0))&amp;"",""))</f>
        <v>0</v>
      </c>
      <c r="L1565" s="26">
        <f>IF($A1565="","",CHOOSE(WEEKDAY($A1565,2),"Seg","Ter","Qua","Qui","Sex","Sáb","Dom"))</f>
        <v>0</v>
      </c>
      <c r="M1565" s="27">
        <f>IF($E1565="","",IF($G1565&lt;&gt;"",$G1565,IFERROR(INDEX(ProcValor,MATCH($E1565,ProcNome,0)),0)))</f>
        <v>0</v>
      </c>
      <c r="N1565" s="27">
        <f>IF($M1565="","",IF($F1565="Compareceu",$M1565,0))</f>
        <v>0</v>
      </c>
      <c r="O1565" s="27">
        <f>IF($M1565="","",IF($F1565="Faltou",$M1565,0))</f>
        <v>0</v>
      </c>
      <c r="P1565" s="27">
        <f>IF($M1565="","",IF($F1565="Compareceu",MAX(0,$M1565-N($H1565)),0))</f>
        <v>0</v>
      </c>
      <c r="Q1565" s="19">
        <f>IF(AND($F1565="Compareceu",$E1565&lt;&gt;"",$A1565&lt;&gt;""),IF(IFERROR(INDEX(ProcRet,MATCH($E1565,ProcNome,0)),0)&gt;0,$A1565+INDEX(ProcRet,MATCH($E1565,ProcNome,0)),""),"")</f>
        <v>0</v>
      </c>
      <c r="R1565" s="26">
        <f>IF($Q1565="","",IF(COUNTIFS(AgPac,$D1565,AgData,"&gt;"&amp;$A1565,AgStatus,"&lt;&gt;Cancelado",AgStatus,"&lt;&gt;Remarcado")&gt;0,"Sim","Não"))</f>
        <v>0</v>
      </c>
      <c r="S1565" s="28">
        <f>IF($A1565="","",IF(AND($F1565="Agendado",$A1565-Hoje&gt;=0,$A1565-Hoje&lt;=DiasConf),"CONFIRMAR",IF(AND($A1565&lt;Hoje,OR($F1565="Agendado",$F1565="Confirmado")),"Atualizar status",IF(AND($F1565="Compareceu",$P1565&gt;0.005),"Cobrar",IF($F1565="Faltou","Falta: reagendar","")))))</f>
        <v>0</v>
      </c>
      <c r="T1565" s="29">
        <f>IF($A1565="","",DATE(YEAR($A1565),MONTH($A1565),1))</f>
        <v>0</v>
      </c>
      <c r="U1565" s="30">
        <f>IF($S1565="CONFIRMAR",MAX($U$4:$U1564)+1,"")</f>
        <v>0</v>
      </c>
      <c r="V1565" s="30">
        <f>IF(AND($R1565="Não",$Q1565&lt;&gt;"",$Q1565&lt;=Hoje+JanelaRet,$Q1565&gt;=Hoje-60),MAX($V$4:$V1564)+1,"")</f>
        <v>0</v>
      </c>
    </row>
    <row r="1566" spans="1:22">
      <c r="A1566" s="16"/>
      <c r="B1566" s="23"/>
      <c r="C1566" s="15"/>
      <c r="D1566" s="15"/>
      <c r="E1566" s="15"/>
      <c r="F1566" s="24"/>
      <c r="G1566" s="17"/>
      <c r="H1566" s="17"/>
      <c r="I1566" s="15"/>
      <c r="J1566" s="25">
        <f>IF($D1566="","",IFERROR(INDEX(PacNome,MATCH($D1566,PacCod,0)),"Paciente não cadastrado"))</f>
        <v>0</v>
      </c>
      <c r="K1566" s="26">
        <f>IF($D1566="","",IFERROR(INDEX(PacConv,MATCH($D1566,PacCod,0))&amp;"",""))</f>
        <v>0</v>
      </c>
      <c r="L1566" s="26">
        <f>IF($A1566="","",CHOOSE(WEEKDAY($A1566,2),"Seg","Ter","Qua","Qui","Sex","Sáb","Dom"))</f>
        <v>0</v>
      </c>
      <c r="M1566" s="27">
        <f>IF($E1566="","",IF($G1566&lt;&gt;"",$G1566,IFERROR(INDEX(ProcValor,MATCH($E1566,ProcNome,0)),0)))</f>
        <v>0</v>
      </c>
      <c r="N1566" s="27">
        <f>IF($M1566="","",IF($F1566="Compareceu",$M1566,0))</f>
        <v>0</v>
      </c>
      <c r="O1566" s="27">
        <f>IF($M1566="","",IF($F1566="Faltou",$M1566,0))</f>
        <v>0</v>
      </c>
      <c r="P1566" s="27">
        <f>IF($M1566="","",IF($F1566="Compareceu",MAX(0,$M1566-N($H1566)),0))</f>
        <v>0</v>
      </c>
      <c r="Q1566" s="19">
        <f>IF(AND($F1566="Compareceu",$E1566&lt;&gt;"",$A1566&lt;&gt;""),IF(IFERROR(INDEX(ProcRet,MATCH($E1566,ProcNome,0)),0)&gt;0,$A1566+INDEX(ProcRet,MATCH($E1566,ProcNome,0)),""),"")</f>
        <v>0</v>
      </c>
      <c r="R1566" s="26">
        <f>IF($Q1566="","",IF(COUNTIFS(AgPac,$D1566,AgData,"&gt;"&amp;$A1566,AgStatus,"&lt;&gt;Cancelado",AgStatus,"&lt;&gt;Remarcado")&gt;0,"Sim","Não"))</f>
        <v>0</v>
      </c>
      <c r="S1566" s="28">
        <f>IF($A1566="","",IF(AND($F1566="Agendado",$A1566-Hoje&gt;=0,$A1566-Hoje&lt;=DiasConf),"CONFIRMAR",IF(AND($A1566&lt;Hoje,OR($F1566="Agendado",$F1566="Confirmado")),"Atualizar status",IF(AND($F1566="Compareceu",$P1566&gt;0.005),"Cobrar",IF($F1566="Faltou","Falta: reagendar","")))))</f>
        <v>0</v>
      </c>
      <c r="T1566" s="29">
        <f>IF($A1566="","",DATE(YEAR($A1566),MONTH($A1566),1))</f>
        <v>0</v>
      </c>
      <c r="U1566" s="30">
        <f>IF($S1566="CONFIRMAR",MAX($U$4:$U1565)+1,"")</f>
        <v>0</v>
      </c>
      <c r="V1566" s="30">
        <f>IF(AND($R1566="Não",$Q1566&lt;&gt;"",$Q1566&lt;=Hoje+JanelaRet,$Q1566&gt;=Hoje-60),MAX($V$4:$V1565)+1,"")</f>
        <v>0</v>
      </c>
    </row>
    <row r="1567" spans="1:22">
      <c r="A1567" s="16"/>
      <c r="B1567" s="23"/>
      <c r="C1567" s="15"/>
      <c r="D1567" s="15"/>
      <c r="E1567" s="15"/>
      <c r="F1567" s="24"/>
      <c r="G1567" s="17"/>
      <c r="H1567" s="17"/>
      <c r="I1567" s="15"/>
      <c r="J1567" s="25">
        <f>IF($D1567="","",IFERROR(INDEX(PacNome,MATCH($D1567,PacCod,0)),"Paciente não cadastrado"))</f>
        <v>0</v>
      </c>
      <c r="K1567" s="26">
        <f>IF($D1567="","",IFERROR(INDEX(PacConv,MATCH($D1567,PacCod,0))&amp;"",""))</f>
        <v>0</v>
      </c>
      <c r="L1567" s="26">
        <f>IF($A1567="","",CHOOSE(WEEKDAY($A1567,2),"Seg","Ter","Qua","Qui","Sex","Sáb","Dom"))</f>
        <v>0</v>
      </c>
      <c r="M1567" s="27">
        <f>IF($E1567="","",IF($G1567&lt;&gt;"",$G1567,IFERROR(INDEX(ProcValor,MATCH($E1567,ProcNome,0)),0)))</f>
        <v>0</v>
      </c>
      <c r="N1567" s="27">
        <f>IF($M1567="","",IF($F1567="Compareceu",$M1567,0))</f>
        <v>0</v>
      </c>
      <c r="O1567" s="27">
        <f>IF($M1567="","",IF($F1567="Faltou",$M1567,0))</f>
        <v>0</v>
      </c>
      <c r="P1567" s="27">
        <f>IF($M1567="","",IF($F1567="Compareceu",MAX(0,$M1567-N($H1567)),0))</f>
        <v>0</v>
      </c>
      <c r="Q1567" s="19">
        <f>IF(AND($F1567="Compareceu",$E1567&lt;&gt;"",$A1567&lt;&gt;""),IF(IFERROR(INDEX(ProcRet,MATCH($E1567,ProcNome,0)),0)&gt;0,$A1567+INDEX(ProcRet,MATCH($E1567,ProcNome,0)),""),"")</f>
        <v>0</v>
      </c>
      <c r="R1567" s="26">
        <f>IF($Q1567="","",IF(COUNTIFS(AgPac,$D1567,AgData,"&gt;"&amp;$A1567,AgStatus,"&lt;&gt;Cancelado",AgStatus,"&lt;&gt;Remarcado")&gt;0,"Sim","Não"))</f>
        <v>0</v>
      </c>
      <c r="S1567" s="28">
        <f>IF($A1567="","",IF(AND($F1567="Agendado",$A1567-Hoje&gt;=0,$A1567-Hoje&lt;=DiasConf),"CONFIRMAR",IF(AND($A1567&lt;Hoje,OR($F1567="Agendado",$F1567="Confirmado")),"Atualizar status",IF(AND($F1567="Compareceu",$P1567&gt;0.005),"Cobrar",IF($F1567="Faltou","Falta: reagendar","")))))</f>
        <v>0</v>
      </c>
      <c r="T1567" s="29">
        <f>IF($A1567="","",DATE(YEAR($A1567),MONTH($A1567),1))</f>
        <v>0</v>
      </c>
      <c r="U1567" s="30">
        <f>IF($S1567="CONFIRMAR",MAX($U$4:$U1566)+1,"")</f>
        <v>0</v>
      </c>
      <c r="V1567" s="30">
        <f>IF(AND($R1567="Não",$Q1567&lt;&gt;"",$Q1567&lt;=Hoje+JanelaRet,$Q1567&gt;=Hoje-60),MAX($V$4:$V1566)+1,"")</f>
        <v>0</v>
      </c>
    </row>
    <row r="1568" spans="1:22">
      <c r="A1568" s="16"/>
      <c r="B1568" s="23"/>
      <c r="C1568" s="15"/>
      <c r="D1568" s="15"/>
      <c r="E1568" s="15"/>
      <c r="F1568" s="24"/>
      <c r="G1568" s="17"/>
      <c r="H1568" s="17"/>
      <c r="I1568" s="15"/>
      <c r="J1568" s="25">
        <f>IF($D1568="","",IFERROR(INDEX(PacNome,MATCH($D1568,PacCod,0)),"Paciente não cadastrado"))</f>
        <v>0</v>
      </c>
      <c r="K1568" s="26">
        <f>IF($D1568="","",IFERROR(INDEX(PacConv,MATCH($D1568,PacCod,0))&amp;"",""))</f>
        <v>0</v>
      </c>
      <c r="L1568" s="26">
        <f>IF($A1568="","",CHOOSE(WEEKDAY($A1568,2),"Seg","Ter","Qua","Qui","Sex","Sáb","Dom"))</f>
        <v>0</v>
      </c>
      <c r="M1568" s="27">
        <f>IF($E1568="","",IF($G1568&lt;&gt;"",$G1568,IFERROR(INDEX(ProcValor,MATCH($E1568,ProcNome,0)),0)))</f>
        <v>0</v>
      </c>
      <c r="N1568" s="27">
        <f>IF($M1568="","",IF($F1568="Compareceu",$M1568,0))</f>
        <v>0</v>
      </c>
      <c r="O1568" s="27">
        <f>IF($M1568="","",IF($F1568="Faltou",$M1568,0))</f>
        <v>0</v>
      </c>
      <c r="P1568" s="27">
        <f>IF($M1568="","",IF($F1568="Compareceu",MAX(0,$M1568-N($H1568)),0))</f>
        <v>0</v>
      </c>
      <c r="Q1568" s="19">
        <f>IF(AND($F1568="Compareceu",$E1568&lt;&gt;"",$A1568&lt;&gt;""),IF(IFERROR(INDEX(ProcRet,MATCH($E1568,ProcNome,0)),0)&gt;0,$A1568+INDEX(ProcRet,MATCH($E1568,ProcNome,0)),""),"")</f>
        <v>0</v>
      </c>
      <c r="R1568" s="26">
        <f>IF($Q1568="","",IF(COUNTIFS(AgPac,$D1568,AgData,"&gt;"&amp;$A1568,AgStatus,"&lt;&gt;Cancelado",AgStatus,"&lt;&gt;Remarcado")&gt;0,"Sim","Não"))</f>
        <v>0</v>
      </c>
      <c r="S1568" s="28">
        <f>IF($A1568="","",IF(AND($F1568="Agendado",$A1568-Hoje&gt;=0,$A1568-Hoje&lt;=DiasConf),"CONFIRMAR",IF(AND($A1568&lt;Hoje,OR($F1568="Agendado",$F1568="Confirmado")),"Atualizar status",IF(AND($F1568="Compareceu",$P1568&gt;0.005),"Cobrar",IF($F1568="Faltou","Falta: reagendar","")))))</f>
        <v>0</v>
      </c>
      <c r="T1568" s="29">
        <f>IF($A1568="","",DATE(YEAR($A1568),MONTH($A1568),1))</f>
        <v>0</v>
      </c>
      <c r="U1568" s="30">
        <f>IF($S1568="CONFIRMAR",MAX($U$4:$U1567)+1,"")</f>
        <v>0</v>
      </c>
      <c r="V1568" s="30">
        <f>IF(AND($R1568="Não",$Q1568&lt;&gt;"",$Q1568&lt;=Hoje+JanelaRet,$Q1568&gt;=Hoje-60),MAX($V$4:$V1567)+1,"")</f>
        <v>0</v>
      </c>
    </row>
    <row r="1569" spans="1:22">
      <c r="A1569" s="16"/>
      <c r="B1569" s="23"/>
      <c r="C1569" s="15"/>
      <c r="D1569" s="15"/>
      <c r="E1569" s="15"/>
      <c r="F1569" s="24"/>
      <c r="G1569" s="17"/>
      <c r="H1569" s="17"/>
      <c r="I1569" s="15"/>
      <c r="J1569" s="25">
        <f>IF($D1569="","",IFERROR(INDEX(PacNome,MATCH($D1569,PacCod,0)),"Paciente não cadastrado"))</f>
        <v>0</v>
      </c>
      <c r="K1569" s="26">
        <f>IF($D1569="","",IFERROR(INDEX(PacConv,MATCH($D1569,PacCod,0))&amp;"",""))</f>
        <v>0</v>
      </c>
      <c r="L1569" s="26">
        <f>IF($A1569="","",CHOOSE(WEEKDAY($A1569,2),"Seg","Ter","Qua","Qui","Sex","Sáb","Dom"))</f>
        <v>0</v>
      </c>
      <c r="M1569" s="27">
        <f>IF($E1569="","",IF($G1569&lt;&gt;"",$G1569,IFERROR(INDEX(ProcValor,MATCH($E1569,ProcNome,0)),0)))</f>
        <v>0</v>
      </c>
      <c r="N1569" s="27">
        <f>IF($M1569="","",IF($F1569="Compareceu",$M1569,0))</f>
        <v>0</v>
      </c>
      <c r="O1569" s="27">
        <f>IF($M1569="","",IF($F1569="Faltou",$M1569,0))</f>
        <v>0</v>
      </c>
      <c r="P1569" s="27">
        <f>IF($M1569="","",IF($F1569="Compareceu",MAX(0,$M1569-N($H1569)),0))</f>
        <v>0</v>
      </c>
      <c r="Q1569" s="19">
        <f>IF(AND($F1569="Compareceu",$E1569&lt;&gt;"",$A1569&lt;&gt;""),IF(IFERROR(INDEX(ProcRet,MATCH($E1569,ProcNome,0)),0)&gt;0,$A1569+INDEX(ProcRet,MATCH($E1569,ProcNome,0)),""),"")</f>
        <v>0</v>
      </c>
      <c r="R1569" s="26">
        <f>IF($Q1569="","",IF(COUNTIFS(AgPac,$D1569,AgData,"&gt;"&amp;$A1569,AgStatus,"&lt;&gt;Cancelado",AgStatus,"&lt;&gt;Remarcado")&gt;0,"Sim","Não"))</f>
        <v>0</v>
      </c>
      <c r="S1569" s="28">
        <f>IF($A1569="","",IF(AND($F1569="Agendado",$A1569-Hoje&gt;=0,$A1569-Hoje&lt;=DiasConf),"CONFIRMAR",IF(AND($A1569&lt;Hoje,OR($F1569="Agendado",$F1569="Confirmado")),"Atualizar status",IF(AND($F1569="Compareceu",$P1569&gt;0.005),"Cobrar",IF($F1569="Faltou","Falta: reagendar","")))))</f>
        <v>0</v>
      </c>
      <c r="T1569" s="29">
        <f>IF($A1569="","",DATE(YEAR($A1569),MONTH($A1569),1))</f>
        <v>0</v>
      </c>
      <c r="U1569" s="30">
        <f>IF($S1569="CONFIRMAR",MAX($U$4:$U1568)+1,"")</f>
        <v>0</v>
      </c>
      <c r="V1569" s="30">
        <f>IF(AND($R1569="Não",$Q1569&lt;&gt;"",$Q1569&lt;=Hoje+JanelaRet,$Q1569&gt;=Hoje-60),MAX($V$4:$V1568)+1,"")</f>
        <v>0</v>
      </c>
    </row>
    <row r="1570" spans="1:22">
      <c r="A1570" s="16"/>
      <c r="B1570" s="23"/>
      <c r="C1570" s="15"/>
      <c r="D1570" s="15"/>
      <c r="E1570" s="15"/>
      <c r="F1570" s="24"/>
      <c r="G1570" s="17"/>
      <c r="H1570" s="17"/>
      <c r="I1570" s="15"/>
      <c r="J1570" s="25">
        <f>IF($D1570="","",IFERROR(INDEX(PacNome,MATCH($D1570,PacCod,0)),"Paciente não cadastrado"))</f>
        <v>0</v>
      </c>
      <c r="K1570" s="26">
        <f>IF($D1570="","",IFERROR(INDEX(PacConv,MATCH($D1570,PacCod,0))&amp;"",""))</f>
        <v>0</v>
      </c>
      <c r="L1570" s="26">
        <f>IF($A1570="","",CHOOSE(WEEKDAY($A1570,2),"Seg","Ter","Qua","Qui","Sex","Sáb","Dom"))</f>
        <v>0</v>
      </c>
      <c r="M1570" s="27">
        <f>IF($E1570="","",IF($G1570&lt;&gt;"",$G1570,IFERROR(INDEX(ProcValor,MATCH($E1570,ProcNome,0)),0)))</f>
        <v>0</v>
      </c>
      <c r="N1570" s="27">
        <f>IF($M1570="","",IF($F1570="Compareceu",$M1570,0))</f>
        <v>0</v>
      </c>
      <c r="O1570" s="27">
        <f>IF($M1570="","",IF($F1570="Faltou",$M1570,0))</f>
        <v>0</v>
      </c>
      <c r="P1570" s="27">
        <f>IF($M1570="","",IF($F1570="Compareceu",MAX(0,$M1570-N($H1570)),0))</f>
        <v>0</v>
      </c>
      <c r="Q1570" s="19">
        <f>IF(AND($F1570="Compareceu",$E1570&lt;&gt;"",$A1570&lt;&gt;""),IF(IFERROR(INDEX(ProcRet,MATCH($E1570,ProcNome,0)),0)&gt;0,$A1570+INDEX(ProcRet,MATCH($E1570,ProcNome,0)),""),"")</f>
        <v>0</v>
      </c>
      <c r="R1570" s="26">
        <f>IF($Q1570="","",IF(COUNTIFS(AgPac,$D1570,AgData,"&gt;"&amp;$A1570,AgStatus,"&lt;&gt;Cancelado",AgStatus,"&lt;&gt;Remarcado")&gt;0,"Sim","Não"))</f>
        <v>0</v>
      </c>
      <c r="S1570" s="28">
        <f>IF($A1570="","",IF(AND($F1570="Agendado",$A1570-Hoje&gt;=0,$A1570-Hoje&lt;=DiasConf),"CONFIRMAR",IF(AND($A1570&lt;Hoje,OR($F1570="Agendado",$F1570="Confirmado")),"Atualizar status",IF(AND($F1570="Compareceu",$P1570&gt;0.005),"Cobrar",IF($F1570="Faltou","Falta: reagendar","")))))</f>
        <v>0</v>
      </c>
      <c r="T1570" s="29">
        <f>IF($A1570="","",DATE(YEAR($A1570),MONTH($A1570),1))</f>
        <v>0</v>
      </c>
      <c r="U1570" s="30">
        <f>IF($S1570="CONFIRMAR",MAX($U$4:$U1569)+1,"")</f>
        <v>0</v>
      </c>
      <c r="V1570" s="30">
        <f>IF(AND($R1570="Não",$Q1570&lt;&gt;"",$Q1570&lt;=Hoje+JanelaRet,$Q1570&gt;=Hoje-60),MAX($V$4:$V1569)+1,"")</f>
        <v>0</v>
      </c>
    </row>
    <row r="1571" spans="1:22">
      <c r="A1571" s="16"/>
      <c r="B1571" s="23"/>
      <c r="C1571" s="15"/>
      <c r="D1571" s="15"/>
      <c r="E1571" s="15"/>
      <c r="F1571" s="24"/>
      <c r="G1571" s="17"/>
      <c r="H1571" s="17"/>
      <c r="I1571" s="15"/>
      <c r="J1571" s="25">
        <f>IF($D1571="","",IFERROR(INDEX(PacNome,MATCH($D1571,PacCod,0)),"Paciente não cadastrado"))</f>
        <v>0</v>
      </c>
      <c r="K1571" s="26">
        <f>IF($D1571="","",IFERROR(INDEX(PacConv,MATCH($D1571,PacCod,0))&amp;"",""))</f>
        <v>0</v>
      </c>
      <c r="L1571" s="26">
        <f>IF($A1571="","",CHOOSE(WEEKDAY($A1571,2),"Seg","Ter","Qua","Qui","Sex","Sáb","Dom"))</f>
        <v>0</v>
      </c>
      <c r="M1571" s="27">
        <f>IF($E1571="","",IF($G1571&lt;&gt;"",$G1571,IFERROR(INDEX(ProcValor,MATCH($E1571,ProcNome,0)),0)))</f>
        <v>0</v>
      </c>
      <c r="N1571" s="27">
        <f>IF($M1571="","",IF($F1571="Compareceu",$M1571,0))</f>
        <v>0</v>
      </c>
      <c r="O1571" s="27">
        <f>IF($M1571="","",IF($F1571="Faltou",$M1571,0))</f>
        <v>0</v>
      </c>
      <c r="P1571" s="27">
        <f>IF($M1571="","",IF($F1571="Compareceu",MAX(0,$M1571-N($H1571)),0))</f>
        <v>0</v>
      </c>
      <c r="Q1571" s="19">
        <f>IF(AND($F1571="Compareceu",$E1571&lt;&gt;"",$A1571&lt;&gt;""),IF(IFERROR(INDEX(ProcRet,MATCH($E1571,ProcNome,0)),0)&gt;0,$A1571+INDEX(ProcRet,MATCH($E1571,ProcNome,0)),""),"")</f>
        <v>0</v>
      </c>
      <c r="R1571" s="26">
        <f>IF($Q1571="","",IF(COUNTIFS(AgPac,$D1571,AgData,"&gt;"&amp;$A1571,AgStatus,"&lt;&gt;Cancelado",AgStatus,"&lt;&gt;Remarcado")&gt;0,"Sim","Não"))</f>
        <v>0</v>
      </c>
      <c r="S1571" s="28">
        <f>IF($A1571="","",IF(AND($F1571="Agendado",$A1571-Hoje&gt;=0,$A1571-Hoje&lt;=DiasConf),"CONFIRMAR",IF(AND($A1571&lt;Hoje,OR($F1571="Agendado",$F1571="Confirmado")),"Atualizar status",IF(AND($F1571="Compareceu",$P1571&gt;0.005),"Cobrar",IF($F1571="Faltou","Falta: reagendar","")))))</f>
        <v>0</v>
      </c>
      <c r="T1571" s="29">
        <f>IF($A1571="","",DATE(YEAR($A1571),MONTH($A1571),1))</f>
        <v>0</v>
      </c>
      <c r="U1571" s="30">
        <f>IF($S1571="CONFIRMAR",MAX($U$4:$U1570)+1,"")</f>
        <v>0</v>
      </c>
      <c r="V1571" s="30">
        <f>IF(AND($R1571="Não",$Q1571&lt;&gt;"",$Q1571&lt;=Hoje+JanelaRet,$Q1571&gt;=Hoje-60),MAX($V$4:$V1570)+1,"")</f>
        <v>0</v>
      </c>
    </row>
    <row r="1572" spans="1:22">
      <c r="A1572" s="16"/>
      <c r="B1572" s="23"/>
      <c r="C1572" s="15"/>
      <c r="D1572" s="15"/>
      <c r="E1572" s="15"/>
      <c r="F1572" s="24"/>
      <c r="G1572" s="17"/>
      <c r="H1572" s="17"/>
      <c r="I1572" s="15"/>
      <c r="J1572" s="25">
        <f>IF($D1572="","",IFERROR(INDEX(PacNome,MATCH($D1572,PacCod,0)),"Paciente não cadastrado"))</f>
        <v>0</v>
      </c>
      <c r="K1572" s="26">
        <f>IF($D1572="","",IFERROR(INDEX(PacConv,MATCH($D1572,PacCod,0))&amp;"",""))</f>
        <v>0</v>
      </c>
      <c r="L1572" s="26">
        <f>IF($A1572="","",CHOOSE(WEEKDAY($A1572,2),"Seg","Ter","Qua","Qui","Sex","Sáb","Dom"))</f>
        <v>0</v>
      </c>
      <c r="M1572" s="27">
        <f>IF($E1572="","",IF($G1572&lt;&gt;"",$G1572,IFERROR(INDEX(ProcValor,MATCH($E1572,ProcNome,0)),0)))</f>
        <v>0</v>
      </c>
      <c r="N1572" s="27">
        <f>IF($M1572="","",IF($F1572="Compareceu",$M1572,0))</f>
        <v>0</v>
      </c>
      <c r="O1572" s="27">
        <f>IF($M1572="","",IF($F1572="Faltou",$M1572,0))</f>
        <v>0</v>
      </c>
      <c r="P1572" s="27">
        <f>IF($M1572="","",IF($F1572="Compareceu",MAX(0,$M1572-N($H1572)),0))</f>
        <v>0</v>
      </c>
      <c r="Q1572" s="19">
        <f>IF(AND($F1572="Compareceu",$E1572&lt;&gt;"",$A1572&lt;&gt;""),IF(IFERROR(INDEX(ProcRet,MATCH($E1572,ProcNome,0)),0)&gt;0,$A1572+INDEX(ProcRet,MATCH($E1572,ProcNome,0)),""),"")</f>
        <v>0</v>
      </c>
      <c r="R1572" s="26">
        <f>IF($Q1572="","",IF(COUNTIFS(AgPac,$D1572,AgData,"&gt;"&amp;$A1572,AgStatus,"&lt;&gt;Cancelado",AgStatus,"&lt;&gt;Remarcado")&gt;0,"Sim","Não"))</f>
        <v>0</v>
      </c>
      <c r="S1572" s="28">
        <f>IF($A1572="","",IF(AND($F1572="Agendado",$A1572-Hoje&gt;=0,$A1572-Hoje&lt;=DiasConf),"CONFIRMAR",IF(AND($A1572&lt;Hoje,OR($F1572="Agendado",$F1572="Confirmado")),"Atualizar status",IF(AND($F1572="Compareceu",$P1572&gt;0.005),"Cobrar",IF($F1572="Faltou","Falta: reagendar","")))))</f>
        <v>0</v>
      </c>
      <c r="T1572" s="29">
        <f>IF($A1572="","",DATE(YEAR($A1572),MONTH($A1572),1))</f>
        <v>0</v>
      </c>
      <c r="U1572" s="30">
        <f>IF($S1572="CONFIRMAR",MAX($U$4:$U1571)+1,"")</f>
        <v>0</v>
      </c>
      <c r="V1572" s="30">
        <f>IF(AND($R1572="Não",$Q1572&lt;&gt;"",$Q1572&lt;=Hoje+JanelaRet,$Q1572&gt;=Hoje-60),MAX($V$4:$V1571)+1,"")</f>
        <v>0</v>
      </c>
    </row>
    <row r="1573" spans="1:22">
      <c r="A1573" s="16"/>
      <c r="B1573" s="23"/>
      <c r="C1573" s="15"/>
      <c r="D1573" s="15"/>
      <c r="E1573" s="15"/>
      <c r="F1573" s="24"/>
      <c r="G1573" s="17"/>
      <c r="H1573" s="17"/>
      <c r="I1573" s="15"/>
      <c r="J1573" s="25">
        <f>IF($D1573="","",IFERROR(INDEX(PacNome,MATCH($D1573,PacCod,0)),"Paciente não cadastrado"))</f>
        <v>0</v>
      </c>
      <c r="K1573" s="26">
        <f>IF($D1573="","",IFERROR(INDEX(PacConv,MATCH($D1573,PacCod,0))&amp;"",""))</f>
        <v>0</v>
      </c>
      <c r="L1573" s="26">
        <f>IF($A1573="","",CHOOSE(WEEKDAY($A1573,2),"Seg","Ter","Qua","Qui","Sex","Sáb","Dom"))</f>
        <v>0</v>
      </c>
      <c r="M1573" s="27">
        <f>IF($E1573="","",IF($G1573&lt;&gt;"",$G1573,IFERROR(INDEX(ProcValor,MATCH($E1573,ProcNome,0)),0)))</f>
        <v>0</v>
      </c>
      <c r="N1573" s="27">
        <f>IF($M1573="","",IF($F1573="Compareceu",$M1573,0))</f>
        <v>0</v>
      </c>
      <c r="O1573" s="27">
        <f>IF($M1573="","",IF($F1573="Faltou",$M1573,0))</f>
        <v>0</v>
      </c>
      <c r="P1573" s="27">
        <f>IF($M1573="","",IF($F1573="Compareceu",MAX(0,$M1573-N($H1573)),0))</f>
        <v>0</v>
      </c>
      <c r="Q1573" s="19">
        <f>IF(AND($F1573="Compareceu",$E1573&lt;&gt;"",$A1573&lt;&gt;""),IF(IFERROR(INDEX(ProcRet,MATCH($E1573,ProcNome,0)),0)&gt;0,$A1573+INDEX(ProcRet,MATCH($E1573,ProcNome,0)),""),"")</f>
        <v>0</v>
      </c>
      <c r="R1573" s="26">
        <f>IF($Q1573="","",IF(COUNTIFS(AgPac,$D1573,AgData,"&gt;"&amp;$A1573,AgStatus,"&lt;&gt;Cancelado",AgStatus,"&lt;&gt;Remarcado")&gt;0,"Sim","Não"))</f>
        <v>0</v>
      </c>
      <c r="S1573" s="28">
        <f>IF($A1573="","",IF(AND($F1573="Agendado",$A1573-Hoje&gt;=0,$A1573-Hoje&lt;=DiasConf),"CONFIRMAR",IF(AND($A1573&lt;Hoje,OR($F1573="Agendado",$F1573="Confirmado")),"Atualizar status",IF(AND($F1573="Compareceu",$P1573&gt;0.005),"Cobrar",IF($F1573="Faltou","Falta: reagendar","")))))</f>
        <v>0</v>
      </c>
      <c r="T1573" s="29">
        <f>IF($A1573="","",DATE(YEAR($A1573),MONTH($A1573),1))</f>
        <v>0</v>
      </c>
      <c r="U1573" s="30">
        <f>IF($S1573="CONFIRMAR",MAX($U$4:$U1572)+1,"")</f>
        <v>0</v>
      </c>
      <c r="V1573" s="30">
        <f>IF(AND($R1573="Não",$Q1573&lt;&gt;"",$Q1573&lt;=Hoje+JanelaRet,$Q1573&gt;=Hoje-60),MAX($V$4:$V1572)+1,"")</f>
        <v>0</v>
      </c>
    </row>
    <row r="1574" spans="1:22">
      <c r="A1574" s="16"/>
      <c r="B1574" s="23"/>
      <c r="C1574" s="15"/>
      <c r="D1574" s="15"/>
      <c r="E1574" s="15"/>
      <c r="F1574" s="24"/>
      <c r="G1574" s="17"/>
      <c r="H1574" s="17"/>
      <c r="I1574" s="15"/>
      <c r="J1574" s="25">
        <f>IF($D1574="","",IFERROR(INDEX(PacNome,MATCH($D1574,PacCod,0)),"Paciente não cadastrado"))</f>
        <v>0</v>
      </c>
      <c r="K1574" s="26">
        <f>IF($D1574="","",IFERROR(INDEX(PacConv,MATCH($D1574,PacCod,0))&amp;"",""))</f>
        <v>0</v>
      </c>
      <c r="L1574" s="26">
        <f>IF($A1574="","",CHOOSE(WEEKDAY($A1574,2),"Seg","Ter","Qua","Qui","Sex","Sáb","Dom"))</f>
        <v>0</v>
      </c>
      <c r="M1574" s="27">
        <f>IF($E1574="","",IF($G1574&lt;&gt;"",$G1574,IFERROR(INDEX(ProcValor,MATCH($E1574,ProcNome,0)),0)))</f>
        <v>0</v>
      </c>
      <c r="N1574" s="27">
        <f>IF($M1574="","",IF($F1574="Compareceu",$M1574,0))</f>
        <v>0</v>
      </c>
      <c r="O1574" s="27">
        <f>IF($M1574="","",IF($F1574="Faltou",$M1574,0))</f>
        <v>0</v>
      </c>
      <c r="P1574" s="27">
        <f>IF($M1574="","",IF($F1574="Compareceu",MAX(0,$M1574-N($H1574)),0))</f>
        <v>0</v>
      </c>
      <c r="Q1574" s="19">
        <f>IF(AND($F1574="Compareceu",$E1574&lt;&gt;"",$A1574&lt;&gt;""),IF(IFERROR(INDEX(ProcRet,MATCH($E1574,ProcNome,0)),0)&gt;0,$A1574+INDEX(ProcRet,MATCH($E1574,ProcNome,0)),""),"")</f>
        <v>0</v>
      </c>
      <c r="R1574" s="26">
        <f>IF($Q1574="","",IF(COUNTIFS(AgPac,$D1574,AgData,"&gt;"&amp;$A1574,AgStatus,"&lt;&gt;Cancelado",AgStatus,"&lt;&gt;Remarcado")&gt;0,"Sim","Não"))</f>
        <v>0</v>
      </c>
      <c r="S1574" s="28">
        <f>IF($A1574="","",IF(AND($F1574="Agendado",$A1574-Hoje&gt;=0,$A1574-Hoje&lt;=DiasConf),"CONFIRMAR",IF(AND($A1574&lt;Hoje,OR($F1574="Agendado",$F1574="Confirmado")),"Atualizar status",IF(AND($F1574="Compareceu",$P1574&gt;0.005),"Cobrar",IF($F1574="Faltou","Falta: reagendar","")))))</f>
        <v>0</v>
      </c>
      <c r="T1574" s="29">
        <f>IF($A1574="","",DATE(YEAR($A1574),MONTH($A1574),1))</f>
        <v>0</v>
      </c>
      <c r="U1574" s="30">
        <f>IF($S1574="CONFIRMAR",MAX($U$4:$U1573)+1,"")</f>
        <v>0</v>
      </c>
      <c r="V1574" s="30">
        <f>IF(AND($R1574="Não",$Q1574&lt;&gt;"",$Q1574&lt;=Hoje+JanelaRet,$Q1574&gt;=Hoje-60),MAX($V$4:$V1573)+1,"")</f>
        <v>0</v>
      </c>
    </row>
    <row r="1575" spans="1:22">
      <c r="A1575" s="16"/>
      <c r="B1575" s="23"/>
      <c r="C1575" s="15"/>
      <c r="D1575" s="15"/>
      <c r="E1575" s="15"/>
      <c r="F1575" s="24"/>
      <c r="G1575" s="17"/>
      <c r="H1575" s="17"/>
      <c r="I1575" s="15"/>
      <c r="J1575" s="25">
        <f>IF($D1575="","",IFERROR(INDEX(PacNome,MATCH($D1575,PacCod,0)),"Paciente não cadastrado"))</f>
        <v>0</v>
      </c>
      <c r="K1575" s="26">
        <f>IF($D1575="","",IFERROR(INDEX(PacConv,MATCH($D1575,PacCod,0))&amp;"",""))</f>
        <v>0</v>
      </c>
      <c r="L1575" s="26">
        <f>IF($A1575="","",CHOOSE(WEEKDAY($A1575,2),"Seg","Ter","Qua","Qui","Sex","Sáb","Dom"))</f>
        <v>0</v>
      </c>
      <c r="M1575" s="27">
        <f>IF($E1575="","",IF($G1575&lt;&gt;"",$G1575,IFERROR(INDEX(ProcValor,MATCH($E1575,ProcNome,0)),0)))</f>
        <v>0</v>
      </c>
      <c r="N1575" s="27">
        <f>IF($M1575="","",IF($F1575="Compareceu",$M1575,0))</f>
        <v>0</v>
      </c>
      <c r="O1575" s="27">
        <f>IF($M1575="","",IF($F1575="Faltou",$M1575,0))</f>
        <v>0</v>
      </c>
      <c r="P1575" s="27">
        <f>IF($M1575="","",IF($F1575="Compareceu",MAX(0,$M1575-N($H1575)),0))</f>
        <v>0</v>
      </c>
      <c r="Q1575" s="19">
        <f>IF(AND($F1575="Compareceu",$E1575&lt;&gt;"",$A1575&lt;&gt;""),IF(IFERROR(INDEX(ProcRet,MATCH($E1575,ProcNome,0)),0)&gt;0,$A1575+INDEX(ProcRet,MATCH($E1575,ProcNome,0)),""),"")</f>
        <v>0</v>
      </c>
      <c r="R1575" s="26">
        <f>IF($Q1575="","",IF(COUNTIFS(AgPac,$D1575,AgData,"&gt;"&amp;$A1575,AgStatus,"&lt;&gt;Cancelado",AgStatus,"&lt;&gt;Remarcado")&gt;0,"Sim","Não"))</f>
        <v>0</v>
      </c>
      <c r="S1575" s="28">
        <f>IF($A1575="","",IF(AND($F1575="Agendado",$A1575-Hoje&gt;=0,$A1575-Hoje&lt;=DiasConf),"CONFIRMAR",IF(AND($A1575&lt;Hoje,OR($F1575="Agendado",$F1575="Confirmado")),"Atualizar status",IF(AND($F1575="Compareceu",$P1575&gt;0.005),"Cobrar",IF($F1575="Faltou","Falta: reagendar","")))))</f>
        <v>0</v>
      </c>
      <c r="T1575" s="29">
        <f>IF($A1575="","",DATE(YEAR($A1575),MONTH($A1575),1))</f>
        <v>0</v>
      </c>
      <c r="U1575" s="30">
        <f>IF($S1575="CONFIRMAR",MAX($U$4:$U1574)+1,"")</f>
        <v>0</v>
      </c>
      <c r="V1575" s="30">
        <f>IF(AND($R1575="Não",$Q1575&lt;&gt;"",$Q1575&lt;=Hoje+JanelaRet,$Q1575&gt;=Hoje-60),MAX($V$4:$V1574)+1,"")</f>
        <v>0</v>
      </c>
    </row>
    <row r="1576" spans="1:22">
      <c r="A1576" s="16"/>
      <c r="B1576" s="23"/>
      <c r="C1576" s="15"/>
      <c r="D1576" s="15"/>
      <c r="E1576" s="15"/>
      <c r="F1576" s="24"/>
      <c r="G1576" s="17"/>
      <c r="H1576" s="17"/>
      <c r="I1576" s="15"/>
      <c r="J1576" s="25">
        <f>IF($D1576="","",IFERROR(INDEX(PacNome,MATCH($D1576,PacCod,0)),"Paciente não cadastrado"))</f>
        <v>0</v>
      </c>
      <c r="K1576" s="26">
        <f>IF($D1576="","",IFERROR(INDEX(PacConv,MATCH($D1576,PacCod,0))&amp;"",""))</f>
        <v>0</v>
      </c>
      <c r="L1576" s="26">
        <f>IF($A1576="","",CHOOSE(WEEKDAY($A1576,2),"Seg","Ter","Qua","Qui","Sex","Sáb","Dom"))</f>
        <v>0</v>
      </c>
      <c r="M1576" s="27">
        <f>IF($E1576="","",IF($G1576&lt;&gt;"",$G1576,IFERROR(INDEX(ProcValor,MATCH($E1576,ProcNome,0)),0)))</f>
        <v>0</v>
      </c>
      <c r="N1576" s="27">
        <f>IF($M1576="","",IF($F1576="Compareceu",$M1576,0))</f>
        <v>0</v>
      </c>
      <c r="O1576" s="27">
        <f>IF($M1576="","",IF($F1576="Faltou",$M1576,0))</f>
        <v>0</v>
      </c>
      <c r="P1576" s="27">
        <f>IF($M1576="","",IF($F1576="Compareceu",MAX(0,$M1576-N($H1576)),0))</f>
        <v>0</v>
      </c>
      <c r="Q1576" s="19">
        <f>IF(AND($F1576="Compareceu",$E1576&lt;&gt;"",$A1576&lt;&gt;""),IF(IFERROR(INDEX(ProcRet,MATCH($E1576,ProcNome,0)),0)&gt;0,$A1576+INDEX(ProcRet,MATCH($E1576,ProcNome,0)),""),"")</f>
        <v>0</v>
      </c>
      <c r="R1576" s="26">
        <f>IF($Q1576="","",IF(COUNTIFS(AgPac,$D1576,AgData,"&gt;"&amp;$A1576,AgStatus,"&lt;&gt;Cancelado",AgStatus,"&lt;&gt;Remarcado")&gt;0,"Sim","Não"))</f>
        <v>0</v>
      </c>
      <c r="S1576" s="28">
        <f>IF($A1576="","",IF(AND($F1576="Agendado",$A1576-Hoje&gt;=0,$A1576-Hoje&lt;=DiasConf),"CONFIRMAR",IF(AND($A1576&lt;Hoje,OR($F1576="Agendado",$F1576="Confirmado")),"Atualizar status",IF(AND($F1576="Compareceu",$P1576&gt;0.005),"Cobrar",IF($F1576="Faltou","Falta: reagendar","")))))</f>
        <v>0</v>
      </c>
      <c r="T1576" s="29">
        <f>IF($A1576="","",DATE(YEAR($A1576),MONTH($A1576),1))</f>
        <v>0</v>
      </c>
      <c r="U1576" s="30">
        <f>IF($S1576="CONFIRMAR",MAX($U$4:$U1575)+1,"")</f>
        <v>0</v>
      </c>
      <c r="V1576" s="30">
        <f>IF(AND($R1576="Não",$Q1576&lt;&gt;"",$Q1576&lt;=Hoje+JanelaRet,$Q1576&gt;=Hoje-60),MAX($V$4:$V1575)+1,"")</f>
        <v>0</v>
      </c>
    </row>
    <row r="1577" spans="1:22">
      <c r="A1577" s="16"/>
      <c r="B1577" s="23"/>
      <c r="C1577" s="15"/>
      <c r="D1577" s="15"/>
      <c r="E1577" s="15"/>
      <c r="F1577" s="24"/>
      <c r="G1577" s="17"/>
      <c r="H1577" s="17"/>
      <c r="I1577" s="15"/>
      <c r="J1577" s="25">
        <f>IF($D1577="","",IFERROR(INDEX(PacNome,MATCH($D1577,PacCod,0)),"Paciente não cadastrado"))</f>
        <v>0</v>
      </c>
      <c r="K1577" s="26">
        <f>IF($D1577="","",IFERROR(INDEX(PacConv,MATCH($D1577,PacCod,0))&amp;"",""))</f>
        <v>0</v>
      </c>
      <c r="L1577" s="26">
        <f>IF($A1577="","",CHOOSE(WEEKDAY($A1577,2),"Seg","Ter","Qua","Qui","Sex","Sáb","Dom"))</f>
        <v>0</v>
      </c>
      <c r="M1577" s="27">
        <f>IF($E1577="","",IF($G1577&lt;&gt;"",$G1577,IFERROR(INDEX(ProcValor,MATCH($E1577,ProcNome,0)),0)))</f>
        <v>0</v>
      </c>
      <c r="N1577" s="27">
        <f>IF($M1577="","",IF($F1577="Compareceu",$M1577,0))</f>
        <v>0</v>
      </c>
      <c r="O1577" s="27">
        <f>IF($M1577="","",IF($F1577="Faltou",$M1577,0))</f>
        <v>0</v>
      </c>
      <c r="P1577" s="27">
        <f>IF($M1577="","",IF($F1577="Compareceu",MAX(0,$M1577-N($H1577)),0))</f>
        <v>0</v>
      </c>
      <c r="Q1577" s="19">
        <f>IF(AND($F1577="Compareceu",$E1577&lt;&gt;"",$A1577&lt;&gt;""),IF(IFERROR(INDEX(ProcRet,MATCH($E1577,ProcNome,0)),0)&gt;0,$A1577+INDEX(ProcRet,MATCH($E1577,ProcNome,0)),""),"")</f>
        <v>0</v>
      </c>
      <c r="R1577" s="26">
        <f>IF($Q1577="","",IF(COUNTIFS(AgPac,$D1577,AgData,"&gt;"&amp;$A1577,AgStatus,"&lt;&gt;Cancelado",AgStatus,"&lt;&gt;Remarcado")&gt;0,"Sim","Não"))</f>
        <v>0</v>
      </c>
      <c r="S1577" s="28">
        <f>IF($A1577="","",IF(AND($F1577="Agendado",$A1577-Hoje&gt;=0,$A1577-Hoje&lt;=DiasConf),"CONFIRMAR",IF(AND($A1577&lt;Hoje,OR($F1577="Agendado",$F1577="Confirmado")),"Atualizar status",IF(AND($F1577="Compareceu",$P1577&gt;0.005),"Cobrar",IF($F1577="Faltou","Falta: reagendar","")))))</f>
        <v>0</v>
      </c>
      <c r="T1577" s="29">
        <f>IF($A1577="","",DATE(YEAR($A1577),MONTH($A1577),1))</f>
        <v>0</v>
      </c>
      <c r="U1577" s="30">
        <f>IF($S1577="CONFIRMAR",MAX($U$4:$U1576)+1,"")</f>
        <v>0</v>
      </c>
      <c r="V1577" s="30">
        <f>IF(AND($R1577="Não",$Q1577&lt;&gt;"",$Q1577&lt;=Hoje+JanelaRet,$Q1577&gt;=Hoje-60),MAX($V$4:$V1576)+1,"")</f>
        <v>0</v>
      </c>
    </row>
    <row r="1578" spans="1:22">
      <c r="A1578" s="16"/>
      <c r="B1578" s="23"/>
      <c r="C1578" s="15"/>
      <c r="D1578" s="15"/>
      <c r="E1578" s="15"/>
      <c r="F1578" s="24"/>
      <c r="G1578" s="17"/>
      <c r="H1578" s="17"/>
      <c r="I1578" s="15"/>
      <c r="J1578" s="25">
        <f>IF($D1578="","",IFERROR(INDEX(PacNome,MATCH($D1578,PacCod,0)),"Paciente não cadastrado"))</f>
        <v>0</v>
      </c>
      <c r="K1578" s="26">
        <f>IF($D1578="","",IFERROR(INDEX(PacConv,MATCH($D1578,PacCod,0))&amp;"",""))</f>
        <v>0</v>
      </c>
      <c r="L1578" s="26">
        <f>IF($A1578="","",CHOOSE(WEEKDAY($A1578,2),"Seg","Ter","Qua","Qui","Sex","Sáb","Dom"))</f>
        <v>0</v>
      </c>
      <c r="M1578" s="27">
        <f>IF($E1578="","",IF($G1578&lt;&gt;"",$G1578,IFERROR(INDEX(ProcValor,MATCH($E1578,ProcNome,0)),0)))</f>
        <v>0</v>
      </c>
      <c r="N1578" s="27">
        <f>IF($M1578="","",IF($F1578="Compareceu",$M1578,0))</f>
        <v>0</v>
      </c>
      <c r="O1578" s="27">
        <f>IF($M1578="","",IF($F1578="Faltou",$M1578,0))</f>
        <v>0</v>
      </c>
      <c r="P1578" s="27">
        <f>IF($M1578="","",IF($F1578="Compareceu",MAX(0,$M1578-N($H1578)),0))</f>
        <v>0</v>
      </c>
      <c r="Q1578" s="19">
        <f>IF(AND($F1578="Compareceu",$E1578&lt;&gt;"",$A1578&lt;&gt;""),IF(IFERROR(INDEX(ProcRet,MATCH($E1578,ProcNome,0)),0)&gt;0,$A1578+INDEX(ProcRet,MATCH($E1578,ProcNome,0)),""),"")</f>
        <v>0</v>
      </c>
      <c r="R1578" s="26">
        <f>IF($Q1578="","",IF(COUNTIFS(AgPac,$D1578,AgData,"&gt;"&amp;$A1578,AgStatus,"&lt;&gt;Cancelado",AgStatus,"&lt;&gt;Remarcado")&gt;0,"Sim","Não"))</f>
        <v>0</v>
      </c>
      <c r="S1578" s="28">
        <f>IF($A1578="","",IF(AND($F1578="Agendado",$A1578-Hoje&gt;=0,$A1578-Hoje&lt;=DiasConf),"CONFIRMAR",IF(AND($A1578&lt;Hoje,OR($F1578="Agendado",$F1578="Confirmado")),"Atualizar status",IF(AND($F1578="Compareceu",$P1578&gt;0.005),"Cobrar",IF($F1578="Faltou","Falta: reagendar","")))))</f>
        <v>0</v>
      </c>
      <c r="T1578" s="29">
        <f>IF($A1578="","",DATE(YEAR($A1578),MONTH($A1578),1))</f>
        <v>0</v>
      </c>
      <c r="U1578" s="30">
        <f>IF($S1578="CONFIRMAR",MAX($U$4:$U1577)+1,"")</f>
        <v>0</v>
      </c>
      <c r="V1578" s="30">
        <f>IF(AND($R1578="Não",$Q1578&lt;&gt;"",$Q1578&lt;=Hoje+JanelaRet,$Q1578&gt;=Hoje-60),MAX($V$4:$V1577)+1,"")</f>
        <v>0</v>
      </c>
    </row>
    <row r="1579" spans="1:22">
      <c r="A1579" s="16"/>
      <c r="B1579" s="23"/>
      <c r="C1579" s="15"/>
      <c r="D1579" s="15"/>
      <c r="E1579" s="15"/>
      <c r="F1579" s="24"/>
      <c r="G1579" s="17"/>
      <c r="H1579" s="17"/>
      <c r="I1579" s="15"/>
      <c r="J1579" s="25">
        <f>IF($D1579="","",IFERROR(INDEX(PacNome,MATCH($D1579,PacCod,0)),"Paciente não cadastrado"))</f>
        <v>0</v>
      </c>
      <c r="K1579" s="26">
        <f>IF($D1579="","",IFERROR(INDEX(PacConv,MATCH($D1579,PacCod,0))&amp;"",""))</f>
        <v>0</v>
      </c>
      <c r="L1579" s="26">
        <f>IF($A1579="","",CHOOSE(WEEKDAY($A1579,2),"Seg","Ter","Qua","Qui","Sex","Sáb","Dom"))</f>
        <v>0</v>
      </c>
      <c r="M1579" s="27">
        <f>IF($E1579="","",IF($G1579&lt;&gt;"",$G1579,IFERROR(INDEX(ProcValor,MATCH($E1579,ProcNome,0)),0)))</f>
        <v>0</v>
      </c>
      <c r="N1579" s="27">
        <f>IF($M1579="","",IF($F1579="Compareceu",$M1579,0))</f>
        <v>0</v>
      </c>
      <c r="O1579" s="27">
        <f>IF($M1579="","",IF($F1579="Faltou",$M1579,0))</f>
        <v>0</v>
      </c>
      <c r="P1579" s="27">
        <f>IF($M1579="","",IF($F1579="Compareceu",MAX(0,$M1579-N($H1579)),0))</f>
        <v>0</v>
      </c>
      <c r="Q1579" s="19">
        <f>IF(AND($F1579="Compareceu",$E1579&lt;&gt;"",$A1579&lt;&gt;""),IF(IFERROR(INDEX(ProcRet,MATCH($E1579,ProcNome,0)),0)&gt;0,$A1579+INDEX(ProcRet,MATCH($E1579,ProcNome,0)),""),"")</f>
        <v>0</v>
      </c>
      <c r="R1579" s="26">
        <f>IF($Q1579="","",IF(COUNTIFS(AgPac,$D1579,AgData,"&gt;"&amp;$A1579,AgStatus,"&lt;&gt;Cancelado",AgStatus,"&lt;&gt;Remarcado")&gt;0,"Sim","Não"))</f>
        <v>0</v>
      </c>
      <c r="S1579" s="28">
        <f>IF($A1579="","",IF(AND($F1579="Agendado",$A1579-Hoje&gt;=0,$A1579-Hoje&lt;=DiasConf),"CONFIRMAR",IF(AND($A1579&lt;Hoje,OR($F1579="Agendado",$F1579="Confirmado")),"Atualizar status",IF(AND($F1579="Compareceu",$P1579&gt;0.005),"Cobrar",IF($F1579="Faltou","Falta: reagendar","")))))</f>
        <v>0</v>
      </c>
      <c r="T1579" s="29">
        <f>IF($A1579="","",DATE(YEAR($A1579),MONTH($A1579),1))</f>
        <v>0</v>
      </c>
      <c r="U1579" s="30">
        <f>IF($S1579="CONFIRMAR",MAX($U$4:$U1578)+1,"")</f>
        <v>0</v>
      </c>
      <c r="V1579" s="30">
        <f>IF(AND($R1579="Não",$Q1579&lt;&gt;"",$Q1579&lt;=Hoje+JanelaRet,$Q1579&gt;=Hoje-60),MAX($V$4:$V1578)+1,"")</f>
        <v>0</v>
      </c>
    </row>
    <row r="1580" spans="1:22">
      <c r="A1580" s="16"/>
      <c r="B1580" s="23"/>
      <c r="C1580" s="15"/>
      <c r="D1580" s="15"/>
      <c r="E1580" s="15"/>
      <c r="F1580" s="24"/>
      <c r="G1580" s="17"/>
      <c r="H1580" s="17"/>
      <c r="I1580" s="15"/>
      <c r="J1580" s="25">
        <f>IF($D1580="","",IFERROR(INDEX(PacNome,MATCH($D1580,PacCod,0)),"Paciente não cadastrado"))</f>
        <v>0</v>
      </c>
      <c r="K1580" s="26">
        <f>IF($D1580="","",IFERROR(INDEX(PacConv,MATCH($D1580,PacCod,0))&amp;"",""))</f>
        <v>0</v>
      </c>
      <c r="L1580" s="26">
        <f>IF($A1580="","",CHOOSE(WEEKDAY($A1580,2),"Seg","Ter","Qua","Qui","Sex","Sáb","Dom"))</f>
        <v>0</v>
      </c>
      <c r="M1580" s="27">
        <f>IF($E1580="","",IF($G1580&lt;&gt;"",$G1580,IFERROR(INDEX(ProcValor,MATCH($E1580,ProcNome,0)),0)))</f>
        <v>0</v>
      </c>
      <c r="N1580" s="27">
        <f>IF($M1580="","",IF($F1580="Compareceu",$M1580,0))</f>
        <v>0</v>
      </c>
      <c r="O1580" s="27">
        <f>IF($M1580="","",IF($F1580="Faltou",$M1580,0))</f>
        <v>0</v>
      </c>
      <c r="P1580" s="27">
        <f>IF($M1580="","",IF($F1580="Compareceu",MAX(0,$M1580-N($H1580)),0))</f>
        <v>0</v>
      </c>
      <c r="Q1580" s="19">
        <f>IF(AND($F1580="Compareceu",$E1580&lt;&gt;"",$A1580&lt;&gt;""),IF(IFERROR(INDEX(ProcRet,MATCH($E1580,ProcNome,0)),0)&gt;0,$A1580+INDEX(ProcRet,MATCH($E1580,ProcNome,0)),""),"")</f>
        <v>0</v>
      </c>
      <c r="R1580" s="26">
        <f>IF($Q1580="","",IF(COUNTIFS(AgPac,$D1580,AgData,"&gt;"&amp;$A1580,AgStatus,"&lt;&gt;Cancelado",AgStatus,"&lt;&gt;Remarcado")&gt;0,"Sim","Não"))</f>
        <v>0</v>
      </c>
      <c r="S1580" s="28">
        <f>IF($A1580="","",IF(AND($F1580="Agendado",$A1580-Hoje&gt;=0,$A1580-Hoje&lt;=DiasConf),"CONFIRMAR",IF(AND($A1580&lt;Hoje,OR($F1580="Agendado",$F1580="Confirmado")),"Atualizar status",IF(AND($F1580="Compareceu",$P1580&gt;0.005),"Cobrar",IF($F1580="Faltou","Falta: reagendar","")))))</f>
        <v>0</v>
      </c>
      <c r="T1580" s="29">
        <f>IF($A1580="","",DATE(YEAR($A1580),MONTH($A1580),1))</f>
        <v>0</v>
      </c>
      <c r="U1580" s="30">
        <f>IF($S1580="CONFIRMAR",MAX($U$4:$U1579)+1,"")</f>
        <v>0</v>
      </c>
      <c r="V1580" s="30">
        <f>IF(AND($R1580="Não",$Q1580&lt;&gt;"",$Q1580&lt;=Hoje+JanelaRet,$Q1580&gt;=Hoje-60),MAX($V$4:$V1579)+1,"")</f>
        <v>0</v>
      </c>
    </row>
    <row r="1581" spans="1:22">
      <c r="A1581" s="16"/>
      <c r="B1581" s="23"/>
      <c r="C1581" s="15"/>
      <c r="D1581" s="15"/>
      <c r="E1581" s="15"/>
      <c r="F1581" s="24"/>
      <c r="G1581" s="17"/>
      <c r="H1581" s="17"/>
      <c r="I1581" s="15"/>
      <c r="J1581" s="25">
        <f>IF($D1581="","",IFERROR(INDEX(PacNome,MATCH($D1581,PacCod,0)),"Paciente não cadastrado"))</f>
        <v>0</v>
      </c>
      <c r="K1581" s="26">
        <f>IF($D1581="","",IFERROR(INDEX(PacConv,MATCH($D1581,PacCod,0))&amp;"",""))</f>
        <v>0</v>
      </c>
      <c r="L1581" s="26">
        <f>IF($A1581="","",CHOOSE(WEEKDAY($A1581,2),"Seg","Ter","Qua","Qui","Sex","Sáb","Dom"))</f>
        <v>0</v>
      </c>
      <c r="M1581" s="27">
        <f>IF($E1581="","",IF($G1581&lt;&gt;"",$G1581,IFERROR(INDEX(ProcValor,MATCH($E1581,ProcNome,0)),0)))</f>
        <v>0</v>
      </c>
      <c r="N1581" s="27">
        <f>IF($M1581="","",IF($F1581="Compareceu",$M1581,0))</f>
        <v>0</v>
      </c>
      <c r="O1581" s="27">
        <f>IF($M1581="","",IF($F1581="Faltou",$M1581,0))</f>
        <v>0</v>
      </c>
      <c r="P1581" s="27">
        <f>IF($M1581="","",IF($F1581="Compareceu",MAX(0,$M1581-N($H1581)),0))</f>
        <v>0</v>
      </c>
      <c r="Q1581" s="19">
        <f>IF(AND($F1581="Compareceu",$E1581&lt;&gt;"",$A1581&lt;&gt;""),IF(IFERROR(INDEX(ProcRet,MATCH($E1581,ProcNome,0)),0)&gt;0,$A1581+INDEX(ProcRet,MATCH($E1581,ProcNome,0)),""),"")</f>
        <v>0</v>
      </c>
      <c r="R1581" s="26">
        <f>IF($Q1581="","",IF(COUNTIFS(AgPac,$D1581,AgData,"&gt;"&amp;$A1581,AgStatus,"&lt;&gt;Cancelado",AgStatus,"&lt;&gt;Remarcado")&gt;0,"Sim","Não"))</f>
        <v>0</v>
      </c>
      <c r="S1581" s="28">
        <f>IF($A1581="","",IF(AND($F1581="Agendado",$A1581-Hoje&gt;=0,$A1581-Hoje&lt;=DiasConf),"CONFIRMAR",IF(AND($A1581&lt;Hoje,OR($F1581="Agendado",$F1581="Confirmado")),"Atualizar status",IF(AND($F1581="Compareceu",$P1581&gt;0.005),"Cobrar",IF($F1581="Faltou","Falta: reagendar","")))))</f>
        <v>0</v>
      </c>
      <c r="T1581" s="29">
        <f>IF($A1581="","",DATE(YEAR($A1581),MONTH($A1581),1))</f>
        <v>0</v>
      </c>
      <c r="U1581" s="30">
        <f>IF($S1581="CONFIRMAR",MAX($U$4:$U1580)+1,"")</f>
        <v>0</v>
      </c>
      <c r="V1581" s="30">
        <f>IF(AND($R1581="Não",$Q1581&lt;&gt;"",$Q1581&lt;=Hoje+JanelaRet,$Q1581&gt;=Hoje-60),MAX($V$4:$V1580)+1,"")</f>
        <v>0</v>
      </c>
    </row>
    <row r="1582" spans="1:22">
      <c r="A1582" s="16"/>
      <c r="B1582" s="23"/>
      <c r="C1582" s="15"/>
      <c r="D1582" s="15"/>
      <c r="E1582" s="15"/>
      <c r="F1582" s="24"/>
      <c r="G1582" s="17"/>
      <c r="H1582" s="17"/>
      <c r="I1582" s="15"/>
      <c r="J1582" s="25">
        <f>IF($D1582="","",IFERROR(INDEX(PacNome,MATCH($D1582,PacCod,0)),"Paciente não cadastrado"))</f>
        <v>0</v>
      </c>
      <c r="K1582" s="26">
        <f>IF($D1582="","",IFERROR(INDEX(PacConv,MATCH($D1582,PacCod,0))&amp;"",""))</f>
        <v>0</v>
      </c>
      <c r="L1582" s="26">
        <f>IF($A1582="","",CHOOSE(WEEKDAY($A1582,2),"Seg","Ter","Qua","Qui","Sex","Sáb","Dom"))</f>
        <v>0</v>
      </c>
      <c r="M1582" s="27">
        <f>IF($E1582="","",IF($G1582&lt;&gt;"",$G1582,IFERROR(INDEX(ProcValor,MATCH($E1582,ProcNome,0)),0)))</f>
        <v>0</v>
      </c>
      <c r="N1582" s="27">
        <f>IF($M1582="","",IF($F1582="Compareceu",$M1582,0))</f>
        <v>0</v>
      </c>
      <c r="O1582" s="27">
        <f>IF($M1582="","",IF($F1582="Faltou",$M1582,0))</f>
        <v>0</v>
      </c>
      <c r="P1582" s="27">
        <f>IF($M1582="","",IF($F1582="Compareceu",MAX(0,$M1582-N($H1582)),0))</f>
        <v>0</v>
      </c>
      <c r="Q1582" s="19">
        <f>IF(AND($F1582="Compareceu",$E1582&lt;&gt;"",$A1582&lt;&gt;""),IF(IFERROR(INDEX(ProcRet,MATCH($E1582,ProcNome,0)),0)&gt;0,$A1582+INDEX(ProcRet,MATCH($E1582,ProcNome,0)),""),"")</f>
        <v>0</v>
      </c>
      <c r="R1582" s="26">
        <f>IF($Q1582="","",IF(COUNTIFS(AgPac,$D1582,AgData,"&gt;"&amp;$A1582,AgStatus,"&lt;&gt;Cancelado",AgStatus,"&lt;&gt;Remarcado")&gt;0,"Sim","Não"))</f>
        <v>0</v>
      </c>
      <c r="S1582" s="28">
        <f>IF($A1582="","",IF(AND($F1582="Agendado",$A1582-Hoje&gt;=0,$A1582-Hoje&lt;=DiasConf),"CONFIRMAR",IF(AND($A1582&lt;Hoje,OR($F1582="Agendado",$F1582="Confirmado")),"Atualizar status",IF(AND($F1582="Compareceu",$P1582&gt;0.005),"Cobrar",IF($F1582="Faltou","Falta: reagendar","")))))</f>
        <v>0</v>
      </c>
      <c r="T1582" s="29">
        <f>IF($A1582="","",DATE(YEAR($A1582),MONTH($A1582),1))</f>
        <v>0</v>
      </c>
      <c r="U1582" s="30">
        <f>IF($S1582="CONFIRMAR",MAX($U$4:$U1581)+1,"")</f>
        <v>0</v>
      </c>
      <c r="V1582" s="30">
        <f>IF(AND($R1582="Não",$Q1582&lt;&gt;"",$Q1582&lt;=Hoje+JanelaRet,$Q1582&gt;=Hoje-60),MAX($V$4:$V1581)+1,"")</f>
        <v>0</v>
      </c>
    </row>
    <row r="1583" spans="1:22">
      <c r="A1583" s="16"/>
      <c r="B1583" s="23"/>
      <c r="C1583" s="15"/>
      <c r="D1583" s="15"/>
      <c r="E1583" s="15"/>
      <c r="F1583" s="24"/>
      <c r="G1583" s="17"/>
      <c r="H1583" s="17"/>
      <c r="I1583" s="15"/>
      <c r="J1583" s="25">
        <f>IF($D1583="","",IFERROR(INDEX(PacNome,MATCH($D1583,PacCod,0)),"Paciente não cadastrado"))</f>
        <v>0</v>
      </c>
      <c r="K1583" s="26">
        <f>IF($D1583="","",IFERROR(INDEX(PacConv,MATCH($D1583,PacCod,0))&amp;"",""))</f>
        <v>0</v>
      </c>
      <c r="L1583" s="26">
        <f>IF($A1583="","",CHOOSE(WEEKDAY($A1583,2),"Seg","Ter","Qua","Qui","Sex","Sáb","Dom"))</f>
        <v>0</v>
      </c>
      <c r="M1583" s="27">
        <f>IF($E1583="","",IF($G1583&lt;&gt;"",$G1583,IFERROR(INDEX(ProcValor,MATCH($E1583,ProcNome,0)),0)))</f>
        <v>0</v>
      </c>
      <c r="N1583" s="27">
        <f>IF($M1583="","",IF($F1583="Compareceu",$M1583,0))</f>
        <v>0</v>
      </c>
      <c r="O1583" s="27">
        <f>IF($M1583="","",IF($F1583="Faltou",$M1583,0))</f>
        <v>0</v>
      </c>
      <c r="P1583" s="27">
        <f>IF($M1583="","",IF($F1583="Compareceu",MAX(0,$M1583-N($H1583)),0))</f>
        <v>0</v>
      </c>
      <c r="Q1583" s="19">
        <f>IF(AND($F1583="Compareceu",$E1583&lt;&gt;"",$A1583&lt;&gt;""),IF(IFERROR(INDEX(ProcRet,MATCH($E1583,ProcNome,0)),0)&gt;0,$A1583+INDEX(ProcRet,MATCH($E1583,ProcNome,0)),""),"")</f>
        <v>0</v>
      </c>
      <c r="R1583" s="26">
        <f>IF($Q1583="","",IF(COUNTIFS(AgPac,$D1583,AgData,"&gt;"&amp;$A1583,AgStatus,"&lt;&gt;Cancelado",AgStatus,"&lt;&gt;Remarcado")&gt;0,"Sim","Não"))</f>
        <v>0</v>
      </c>
      <c r="S1583" s="28">
        <f>IF($A1583="","",IF(AND($F1583="Agendado",$A1583-Hoje&gt;=0,$A1583-Hoje&lt;=DiasConf),"CONFIRMAR",IF(AND($A1583&lt;Hoje,OR($F1583="Agendado",$F1583="Confirmado")),"Atualizar status",IF(AND($F1583="Compareceu",$P1583&gt;0.005),"Cobrar",IF($F1583="Faltou","Falta: reagendar","")))))</f>
        <v>0</v>
      </c>
      <c r="T1583" s="29">
        <f>IF($A1583="","",DATE(YEAR($A1583),MONTH($A1583),1))</f>
        <v>0</v>
      </c>
      <c r="U1583" s="30">
        <f>IF($S1583="CONFIRMAR",MAX($U$4:$U1582)+1,"")</f>
        <v>0</v>
      </c>
      <c r="V1583" s="30">
        <f>IF(AND($R1583="Não",$Q1583&lt;&gt;"",$Q1583&lt;=Hoje+JanelaRet,$Q1583&gt;=Hoje-60),MAX($V$4:$V1582)+1,"")</f>
        <v>0</v>
      </c>
    </row>
    <row r="1584" spans="1:22">
      <c r="A1584" s="16"/>
      <c r="B1584" s="23"/>
      <c r="C1584" s="15"/>
      <c r="D1584" s="15"/>
      <c r="E1584" s="15"/>
      <c r="F1584" s="24"/>
      <c r="G1584" s="17"/>
      <c r="H1584" s="17"/>
      <c r="I1584" s="15"/>
      <c r="J1584" s="25">
        <f>IF($D1584="","",IFERROR(INDEX(PacNome,MATCH($D1584,PacCod,0)),"Paciente não cadastrado"))</f>
        <v>0</v>
      </c>
      <c r="K1584" s="26">
        <f>IF($D1584="","",IFERROR(INDEX(PacConv,MATCH($D1584,PacCod,0))&amp;"",""))</f>
        <v>0</v>
      </c>
      <c r="L1584" s="26">
        <f>IF($A1584="","",CHOOSE(WEEKDAY($A1584,2),"Seg","Ter","Qua","Qui","Sex","Sáb","Dom"))</f>
        <v>0</v>
      </c>
      <c r="M1584" s="27">
        <f>IF($E1584="","",IF($G1584&lt;&gt;"",$G1584,IFERROR(INDEX(ProcValor,MATCH($E1584,ProcNome,0)),0)))</f>
        <v>0</v>
      </c>
      <c r="N1584" s="27">
        <f>IF($M1584="","",IF($F1584="Compareceu",$M1584,0))</f>
        <v>0</v>
      </c>
      <c r="O1584" s="27">
        <f>IF($M1584="","",IF($F1584="Faltou",$M1584,0))</f>
        <v>0</v>
      </c>
      <c r="P1584" s="27">
        <f>IF($M1584="","",IF($F1584="Compareceu",MAX(0,$M1584-N($H1584)),0))</f>
        <v>0</v>
      </c>
      <c r="Q1584" s="19">
        <f>IF(AND($F1584="Compareceu",$E1584&lt;&gt;"",$A1584&lt;&gt;""),IF(IFERROR(INDEX(ProcRet,MATCH($E1584,ProcNome,0)),0)&gt;0,$A1584+INDEX(ProcRet,MATCH($E1584,ProcNome,0)),""),"")</f>
        <v>0</v>
      </c>
      <c r="R1584" s="26">
        <f>IF($Q1584="","",IF(COUNTIFS(AgPac,$D1584,AgData,"&gt;"&amp;$A1584,AgStatus,"&lt;&gt;Cancelado",AgStatus,"&lt;&gt;Remarcado")&gt;0,"Sim","Não"))</f>
        <v>0</v>
      </c>
      <c r="S1584" s="28">
        <f>IF($A1584="","",IF(AND($F1584="Agendado",$A1584-Hoje&gt;=0,$A1584-Hoje&lt;=DiasConf),"CONFIRMAR",IF(AND($A1584&lt;Hoje,OR($F1584="Agendado",$F1584="Confirmado")),"Atualizar status",IF(AND($F1584="Compareceu",$P1584&gt;0.005),"Cobrar",IF($F1584="Faltou","Falta: reagendar","")))))</f>
        <v>0</v>
      </c>
      <c r="T1584" s="29">
        <f>IF($A1584="","",DATE(YEAR($A1584),MONTH($A1584),1))</f>
        <v>0</v>
      </c>
      <c r="U1584" s="30">
        <f>IF($S1584="CONFIRMAR",MAX($U$4:$U1583)+1,"")</f>
        <v>0</v>
      </c>
      <c r="V1584" s="30">
        <f>IF(AND($R1584="Não",$Q1584&lt;&gt;"",$Q1584&lt;=Hoje+JanelaRet,$Q1584&gt;=Hoje-60),MAX($V$4:$V1583)+1,"")</f>
        <v>0</v>
      </c>
    </row>
    <row r="1585" spans="1:22">
      <c r="A1585" s="16"/>
      <c r="B1585" s="23"/>
      <c r="C1585" s="15"/>
      <c r="D1585" s="15"/>
      <c r="E1585" s="15"/>
      <c r="F1585" s="24"/>
      <c r="G1585" s="17"/>
      <c r="H1585" s="17"/>
      <c r="I1585" s="15"/>
      <c r="J1585" s="25">
        <f>IF($D1585="","",IFERROR(INDEX(PacNome,MATCH($D1585,PacCod,0)),"Paciente não cadastrado"))</f>
        <v>0</v>
      </c>
      <c r="K1585" s="26">
        <f>IF($D1585="","",IFERROR(INDEX(PacConv,MATCH($D1585,PacCod,0))&amp;"",""))</f>
        <v>0</v>
      </c>
      <c r="L1585" s="26">
        <f>IF($A1585="","",CHOOSE(WEEKDAY($A1585,2),"Seg","Ter","Qua","Qui","Sex","Sáb","Dom"))</f>
        <v>0</v>
      </c>
      <c r="M1585" s="27">
        <f>IF($E1585="","",IF($G1585&lt;&gt;"",$G1585,IFERROR(INDEX(ProcValor,MATCH($E1585,ProcNome,0)),0)))</f>
        <v>0</v>
      </c>
      <c r="N1585" s="27">
        <f>IF($M1585="","",IF($F1585="Compareceu",$M1585,0))</f>
        <v>0</v>
      </c>
      <c r="O1585" s="27">
        <f>IF($M1585="","",IF($F1585="Faltou",$M1585,0))</f>
        <v>0</v>
      </c>
      <c r="P1585" s="27">
        <f>IF($M1585="","",IF($F1585="Compareceu",MAX(0,$M1585-N($H1585)),0))</f>
        <v>0</v>
      </c>
      <c r="Q1585" s="19">
        <f>IF(AND($F1585="Compareceu",$E1585&lt;&gt;"",$A1585&lt;&gt;""),IF(IFERROR(INDEX(ProcRet,MATCH($E1585,ProcNome,0)),0)&gt;0,$A1585+INDEX(ProcRet,MATCH($E1585,ProcNome,0)),""),"")</f>
        <v>0</v>
      </c>
      <c r="R1585" s="26">
        <f>IF($Q1585="","",IF(COUNTIFS(AgPac,$D1585,AgData,"&gt;"&amp;$A1585,AgStatus,"&lt;&gt;Cancelado",AgStatus,"&lt;&gt;Remarcado")&gt;0,"Sim","Não"))</f>
        <v>0</v>
      </c>
      <c r="S1585" s="28">
        <f>IF($A1585="","",IF(AND($F1585="Agendado",$A1585-Hoje&gt;=0,$A1585-Hoje&lt;=DiasConf),"CONFIRMAR",IF(AND($A1585&lt;Hoje,OR($F1585="Agendado",$F1585="Confirmado")),"Atualizar status",IF(AND($F1585="Compareceu",$P1585&gt;0.005),"Cobrar",IF($F1585="Faltou","Falta: reagendar","")))))</f>
        <v>0</v>
      </c>
      <c r="T1585" s="29">
        <f>IF($A1585="","",DATE(YEAR($A1585),MONTH($A1585),1))</f>
        <v>0</v>
      </c>
      <c r="U1585" s="30">
        <f>IF($S1585="CONFIRMAR",MAX($U$4:$U1584)+1,"")</f>
        <v>0</v>
      </c>
      <c r="V1585" s="30">
        <f>IF(AND($R1585="Não",$Q1585&lt;&gt;"",$Q1585&lt;=Hoje+JanelaRet,$Q1585&gt;=Hoje-60),MAX($V$4:$V1584)+1,"")</f>
        <v>0</v>
      </c>
    </row>
    <row r="1586" spans="1:22">
      <c r="A1586" s="16"/>
      <c r="B1586" s="23"/>
      <c r="C1586" s="15"/>
      <c r="D1586" s="15"/>
      <c r="E1586" s="15"/>
      <c r="F1586" s="24"/>
      <c r="G1586" s="17"/>
      <c r="H1586" s="17"/>
      <c r="I1586" s="15"/>
      <c r="J1586" s="25">
        <f>IF($D1586="","",IFERROR(INDEX(PacNome,MATCH($D1586,PacCod,0)),"Paciente não cadastrado"))</f>
        <v>0</v>
      </c>
      <c r="K1586" s="26">
        <f>IF($D1586="","",IFERROR(INDEX(PacConv,MATCH($D1586,PacCod,0))&amp;"",""))</f>
        <v>0</v>
      </c>
      <c r="L1586" s="26">
        <f>IF($A1586="","",CHOOSE(WEEKDAY($A1586,2),"Seg","Ter","Qua","Qui","Sex","Sáb","Dom"))</f>
        <v>0</v>
      </c>
      <c r="M1586" s="27">
        <f>IF($E1586="","",IF($G1586&lt;&gt;"",$G1586,IFERROR(INDEX(ProcValor,MATCH($E1586,ProcNome,0)),0)))</f>
        <v>0</v>
      </c>
      <c r="N1586" s="27">
        <f>IF($M1586="","",IF($F1586="Compareceu",$M1586,0))</f>
        <v>0</v>
      </c>
      <c r="O1586" s="27">
        <f>IF($M1586="","",IF($F1586="Faltou",$M1586,0))</f>
        <v>0</v>
      </c>
      <c r="P1586" s="27">
        <f>IF($M1586="","",IF($F1586="Compareceu",MAX(0,$M1586-N($H1586)),0))</f>
        <v>0</v>
      </c>
      <c r="Q1586" s="19">
        <f>IF(AND($F1586="Compareceu",$E1586&lt;&gt;"",$A1586&lt;&gt;""),IF(IFERROR(INDEX(ProcRet,MATCH($E1586,ProcNome,0)),0)&gt;0,$A1586+INDEX(ProcRet,MATCH($E1586,ProcNome,0)),""),"")</f>
        <v>0</v>
      </c>
      <c r="R1586" s="26">
        <f>IF($Q1586="","",IF(COUNTIFS(AgPac,$D1586,AgData,"&gt;"&amp;$A1586,AgStatus,"&lt;&gt;Cancelado",AgStatus,"&lt;&gt;Remarcado")&gt;0,"Sim","Não"))</f>
        <v>0</v>
      </c>
      <c r="S1586" s="28">
        <f>IF($A1586="","",IF(AND($F1586="Agendado",$A1586-Hoje&gt;=0,$A1586-Hoje&lt;=DiasConf),"CONFIRMAR",IF(AND($A1586&lt;Hoje,OR($F1586="Agendado",$F1586="Confirmado")),"Atualizar status",IF(AND($F1586="Compareceu",$P1586&gt;0.005),"Cobrar",IF($F1586="Faltou","Falta: reagendar","")))))</f>
        <v>0</v>
      </c>
      <c r="T1586" s="29">
        <f>IF($A1586="","",DATE(YEAR($A1586),MONTH($A1586),1))</f>
        <v>0</v>
      </c>
      <c r="U1586" s="30">
        <f>IF($S1586="CONFIRMAR",MAX($U$4:$U1585)+1,"")</f>
        <v>0</v>
      </c>
      <c r="V1586" s="30">
        <f>IF(AND($R1586="Não",$Q1586&lt;&gt;"",$Q1586&lt;=Hoje+JanelaRet,$Q1586&gt;=Hoje-60),MAX($V$4:$V1585)+1,"")</f>
        <v>0</v>
      </c>
    </row>
    <row r="1587" spans="1:22">
      <c r="A1587" s="16"/>
      <c r="B1587" s="23"/>
      <c r="C1587" s="15"/>
      <c r="D1587" s="15"/>
      <c r="E1587" s="15"/>
      <c r="F1587" s="24"/>
      <c r="G1587" s="17"/>
      <c r="H1587" s="17"/>
      <c r="I1587" s="15"/>
      <c r="J1587" s="25">
        <f>IF($D1587="","",IFERROR(INDEX(PacNome,MATCH($D1587,PacCod,0)),"Paciente não cadastrado"))</f>
        <v>0</v>
      </c>
      <c r="K1587" s="26">
        <f>IF($D1587="","",IFERROR(INDEX(PacConv,MATCH($D1587,PacCod,0))&amp;"",""))</f>
        <v>0</v>
      </c>
      <c r="L1587" s="26">
        <f>IF($A1587="","",CHOOSE(WEEKDAY($A1587,2),"Seg","Ter","Qua","Qui","Sex","Sáb","Dom"))</f>
        <v>0</v>
      </c>
      <c r="M1587" s="27">
        <f>IF($E1587="","",IF($G1587&lt;&gt;"",$G1587,IFERROR(INDEX(ProcValor,MATCH($E1587,ProcNome,0)),0)))</f>
        <v>0</v>
      </c>
      <c r="N1587" s="27">
        <f>IF($M1587="","",IF($F1587="Compareceu",$M1587,0))</f>
        <v>0</v>
      </c>
      <c r="O1587" s="27">
        <f>IF($M1587="","",IF($F1587="Faltou",$M1587,0))</f>
        <v>0</v>
      </c>
      <c r="P1587" s="27">
        <f>IF($M1587="","",IF($F1587="Compareceu",MAX(0,$M1587-N($H1587)),0))</f>
        <v>0</v>
      </c>
      <c r="Q1587" s="19">
        <f>IF(AND($F1587="Compareceu",$E1587&lt;&gt;"",$A1587&lt;&gt;""),IF(IFERROR(INDEX(ProcRet,MATCH($E1587,ProcNome,0)),0)&gt;0,$A1587+INDEX(ProcRet,MATCH($E1587,ProcNome,0)),""),"")</f>
        <v>0</v>
      </c>
      <c r="R1587" s="26">
        <f>IF($Q1587="","",IF(COUNTIFS(AgPac,$D1587,AgData,"&gt;"&amp;$A1587,AgStatus,"&lt;&gt;Cancelado",AgStatus,"&lt;&gt;Remarcado")&gt;0,"Sim","Não"))</f>
        <v>0</v>
      </c>
      <c r="S1587" s="28">
        <f>IF($A1587="","",IF(AND($F1587="Agendado",$A1587-Hoje&gt;=0,$A1587-Hoje&lt;=DiasConf),"CONFIRMAR",IF(AND($A1587&lt;Hoje,OR($F1587="Agendado",$F1587="Confirmado")),"Atualizar status",IF(AND($F1587="Compareceu",$P1587&gt;0.005),"Cobrar",IF($F1587="Faltou","Falta: reagendar","")))))</f>
        <v>0</v>
      </c>
      <c r="T1587" s="29">
        <f>IF($A1587="","",DATE(YEAR($A1587),MONTH($A1587),1))</f>
        <v>0</v>
      </c>
      <c r="U1587" s="30">
        <f>IF($S1587="CONFIRMAR",MAX($U$4:$U1586)+1,"")</f>
        <v>0</v>
      </c>
      <c r="V1587" s="30">
        <f>IF(AND($R1587="Não",$Q1587&lt;&gt;"",$Q1587&lt;=Hoje+JanelaRet,$Q1587&gt;=Hoje-60),MAX($V$4:$V1586)+1,"")</f>
        <v>0</v>
      </c>
    </row>
    <row r="1588" spans="1:22">
      <c r="A1588" s="16"/>
      <c r="B1588" s="23"/>
      <c r="C1588" s="15"/>
      <c r="D1588" s="15"/>
      <c r="E1588" s="15"/>
      <c r="F1588" s="24"/>
      <c r="G1588" s="17"/>
      <c r="H1588" s="17"/>
      <c r="I1588" s="15"/>
      <c r="J1588" s="25">
        <f>IF($D1588="","",IFERROR(INDEX(PacNome,MATCH($D1588,PacCod,0)),"Paciente não cadastrado"))</f>
        <v>0</v>
      </c>
      <c r="K1588" s="26">
        <f>IF($D1588="","",IFERROR(INDEX(PacConv,MATCH($D1588,PacCod,0))&amp;"",""))</f>
        <v>0</v>
      </c>
      <c r="L1588" s="26">
        <f>IF($A1588="","",CHOOSE(WEEKDAY($A1588,2),"Seg","Ter","Qua","Qui","Sex","Sáb","Dom"))</f>
        <v>0</v>
      </c>
      <c r="M1588" s="27">
        <f>IF($E1588="","",IF($G1588&lt;&gt;"",$G1588,IFERROR(INDEX(ProcValor,MATCH($E1588,ProcNome,0)),0)))</f>
        <v>0</v>
      </c>
      <c r="N1588" s="27">
        <f>IF($M1588="","",IF($F1588="Compareceu",$M1588,0))</f>
        <v>0</v>
      </c>
      <c r="O1588" s="27">
        <f>IF($M1588="","",IF($F1588="Faltou",$M1588,0))</f>
        <v>0</v>
      </c>
      <c r="P1588" s="27">
        <f>IF($M1588="","",IF($F1588="Compareceu",MAX(0,$M1588-N($H1588)),0))</f>
        <v>0</v>
      </c>
      <c r="Q1588" s="19">
        <f>IF(AND($F1588="Compareceu",$E1588&lt;&gt;"",$A1588&lt;&gt;""),IF(IFERROR(INDEX(ProcRet,MATCH($E1588,ProcNome,0)),0)&gt;0,$A1588+INDEX(ProcRet,MATCH($E1588,ProcNome,0)),""),"")</f>
        <v>0</v>
      </c>
      <c r="R1588" s="26">
        <f>IF($Q1588="","",IF(COUNTIFS(AgPac,$D1588,AgData,"&gt;"&amp;$A1588,AgStatus,"&lt;&gt;Cancelado",AgStatus,"&lt;&gt;Remarcado")&gt;0,"Sim","Não"))</f>
        <v>0</v>
      </c>
      <c r="S1588" s="28">
        <f>IF($A1588="","",IF(AND($F1588="Agendado",$A1588-Hoje&gt;=0,$A1588-Hoje&lt;=DiasConf),"CONFIRMAR",IF(AND($A1588&lt;Hoje,OR($F1588="Agendado",$F1588="Confirmado")),"Atualizar status",IF(AND($F1588="Compareceu",$P1588&gt;0.005),"Cobrar",IF($F1588="Faltou","Falta: reagendar","")))))</f>
        <v>0</v>
      </c>
      <c r="T1588" s="29">
        <f>IF($A1588="","",DATE(YEAR($A1588),MONTH($A1588),1))</f>
        <v>0</v>
      </c>
      <c r="U1588" s="30">
        <f>IF($S1588="CONFIRMAR",MAX($U$4:$U1587)+1,"")</f>
        <v>0</v>
      </c>
      <c r="V1588" s="30">
        <f>IF(AND($R1588="Não",$Q1588&lt;&gt;"",$Q1588&lt;=Hoje+JanelaRet,$Q1588&gt;=Hoje-60),MAX($V$4:$V1587)+1,"")</f>
        <v>0</v>
      </c>
    </row>
    <row r="1589" spans="1:22">
      <c r="A1589" s="16"/>
      <c r="B1589" s="23"/>
      <c r="C1589" s="15"/>
      <c r="D1589" s="15"/>
      <c r="E1589" s="15"/>
      <c r="F1589" s="24"/>
      <c r="G1589" s="17"/>
      <c r="H1589" s="17"/>
      <c r="I1589" s="15"/>
      <c r="J1589" s="25">
        <f>IF($D1589="","",IFERROR(INDEX(PacNome,MATCH($D1589,PacCod,0)),"Paciente não cadastrado"))</f>
        <v>0</v>
      </c>
      <c r="K1589" s="26">
        <f>IF($D1589="","",IFERROR(INDEX(PacConv,MATCH($D1589,PacCod,0))&amp;"",""))</f>
        <v>0</v>
      </c>
      <c r="L1589" s="26">
        <f>IF($A1589="","",CHOOSE(WEEKDAY($A1589,2),"Seg","Ter","Qua","Qui","Sex","Sáb","Dom"))</f>
        <v>0</v>
      </c>
      <c r="M1589" s="27">
        <f>IF($E1589="","",IF($G1589&lt;&gt;"",$G1589,IFERROR(INDEX(ProcValor,MATCH($E1589,ProcNome,0)),0)))</f>
        <v>0</v>
      </c>
      <c r="N1589" s="27">
        <f>IF($M1589="","",IF($F1589="Compareceu",$M1589,0))</f>
        <v>0</v>
      </c>
      <c r="O1589" s="27">
        <f>IF($M1589="","",IF($F1589="Faltou",$M1589,0))</f>
        <v>0</v>
      </c>
      <c r="P1589" s="27">
        <f>IF($M1589="","",IF($F1589="Compareceu",MAX(0,$M1589-N($H1589)),0))</f>
        <v>0</v>
      </c>
      <c r="Q1589" s="19">
        <f>IF(AND($F1589="Compareceu",$E1589&lt;&gt;"",$A1589&lt;&gt;""),IF(IFERROR(INDEX(ProcRet,MATCH($E1589,ProcNome,0)),0)&gt;0,$A1589+INDEX(ProcRet,MATCH($E1589,ProcNome,0)),""),"")</f>
        <v>0</v>
      </c>
      <c r="R1589" s="26">
        <f>IF($Q1589="","",IF(COUNTIFS(AgPac,$D1589,AgData,"&gt;"&amp;$A1589,AgStatus,"&lt;&gt;Cancelado",AgStatus,"&lt;&gt;Remarcado")&gt;0,"Sim","Não"))</f>
        <v>0</v>
      </c>
      <c r="S1589" s="28">
        <f>IF($A1589="","",IF(AND($F1589="Agendado",$A1589-Hoje&gt;=0,$A1589-Hoje&lt;=DiasConf),"CONFIRMAR",IF(AND($A1589&lt;Hoje,OR($F1589="Agendado",$F1589="Confirmado")),"Atualizar status",IF(AND($F1589="Compareceu",$P1589&gt;0.005),"Cobrar",IF($F1589="Faltou","Falta: reagendar","")))))</f>
        <v>0</v>
      </c>
      <c r="T1589" s="29">
        <f>IF($A1589="","",DATE(YEAR($A1589),MONTH($A1589),1))</f>
        <v>0</v>
      </c>
      <c r="U1589" s="30">
        <f>IF($S1589="CONFIRMAR",MAX($U$4:$U1588)+1,"")</f>
        <v>0</v>
      </c>
      <c r="V1589" s="30">
        <f>IF(AND($R1589="Não",$Q1589&lt;&gt;"",$Q1589&lt;=Hoje+JanelaRet,$Q1589&gt;=Hoje-60),MAX($V$4:$V1588)+1,"")</f>
        <v>0</v>
      </c>
    </row>
    <row r="1590" spans="1:22">
      <c r="A1590" s="16"/>
      <c r="B1590" s="23"/>
      <c r="C1590" s="15"/>
      <c r="D1590" s="15"/>
      <c r="E1590" s="15"/>
      <c r="F1590" s="24"/>
      <c r="G1590" s="17"/>
      <c r="H1590" s="17"/>
      <c r="I1590" s="15"/>
      <c r="J1590" s="25">
        <f>IF($D1590="","",IFERROR(INDEX(PacNome,MATCH($D1590,PacCod,0)),"Paciente não cadastrado"))</f>
        <v>0</v>
      </c>
      <c r="K1590" s="26">
        <f>IF($D1590="","",IFERROR(INDEX(PacConv,MATCH($D1590,PacCod,0))&amp;"",""))</f>
        <v>0</v>
      </c>
      <c r="L1590" s="26">
        <f>IF($A1590="","",CHOOSE(WEEKDAY($A1590,2),"Seg","Ter","Qua","Qui","Sex","Sáb","Dom"))</f>
        <v>0</v>
      </c>
      <c r="M1590" s="27">
        <f>IF($E1590="","",IF($G1590&lt;&gt;"",$G1590,IFERROR(INDEX(ProcValor,MATCH($E1590,ProcNome,0)),0)))</f>
        <v>0</v>
      </c>
      <c r="N1590" s="27">
        <f>IF($M1590="","",IF($F1590="Compareceu",$M1590,0))</f>
        <v>0</v>
      </c>
      <c r="O1590" s="27">
        <f>IF($M1590="","",IF($F1590="Faltou",$M1590,0))</f>
        <v>0</v>
      </c>
      <c r="P1590" s="27">
        <f>IF($M1590="","",IF($F1590="Compareceu",MAX(0,$M1590-N($H1590)),0))</f>
        <v>0</v>
      </c>
      <c r="Q1590" s="19">
        <f>IF(AND($F1590="Compareceu",$E1590&lt;&gt;"",$A1590&lt;&gt;""),IF(IFERROR(INDEX(ProcRet,MATCH($E1590,ProcNome,0)),0)&gt;0,$A1590+INDEX(ProcRet,MATCH($E1590,ProcNome,0)),""),"")</f>
        <v>0</v>
      </c>
      <c r="R1590" s="26">
        <f>IF($Q1590="","",IF(COUNTIFS(AgPac,$D1590,AgData,"&gt;"&amp;$A1590,AgStatus,"&lt;&gt;Cancelado",AgStatus,"&lt;&gt;Remarcado")&gt;0,"Sim","Não"))</f>
        <v>0</v>
      </c>
      <c r="S1590" s="28">
        <f>IF($A1590="","",IF(AND($F1590="Agendado",$A1590-Hoje&gt;=0,$A1590-Hoje&lt;=DiasConf),"CONFIRMAR",IF(AND($A1590&lt;Hoje,OR($F1590="Agendado",$F1590="Confirmado")),"Atualizar status",IF(AND($F1590="Compareceu",$P1590&gt;0.005),"Cobrar",IF($F1590="Faltou","Falta: reagendar","")))))</f>
        <v>0</v>
      </c>
      <c r="T1590" s="29">
        <f>IF($A1590="","",DATE(YEAR($A1590),MONTH($A1590),1))</f>
        <v>0</v>
      </c>
      <c r="U1590" s="30">
        <f>IF($S1590="CONFIRMAR",MAX($U$4:$U1589)+1,"")</f>
        <v>0</v>
      </c>
      <c r="V1590" s="30">
        <f>IF(AND($R1590="Não",$Q1590&lt;&gt;"",$Q1590&lt;=Hoje+JanelaRet,$Q1590&gt;=Hoje-60),MAX($V$4:$V1589)+1,"")</f>
        <v>0</v>
      </c>
    </row>
    <row r="1591" spans="1:22">
      <c r="A1591" s="16"/>
      <c r="B1591" s="23"/>
      <c r="C1591" s="15"/>
      <c r="D1591" s="15"/>
      <c r="E1591" s="15"/>
      <c r="F1591" s="24"/>
      <c r="G1591" s="17"/>
      <c r="H1591" s="17"/>
      <c r="I1591" s="15"/>
      <c r="J1591" s="25">
        <f>IF($D1591="","",IFERROR(INDEX(PacNome,MATCH($D1591,PacCod,0)),"Paciente não cadastrado"))</f>
        <v>0</v>
      </c>
      <c r="K1591" s="26">
        <f>IF($D1591="","",IFERROR(INDEX(PacConv,MATCH($D1591,PacCod,0))&amp;"",""))</f>
        <v>0</v>
      </c>
      <c r="L1591" s="26">
        <f>IF($A1591="","",CHOOSE(WEEKDAY($A1591,2),"Seg","Ter","Qua","Qui","Sex","Sáb","Dom"))</f>
        <v>0</v>
      </c>
      <c r="M1591" s="27">
        <f>IF($E1591="","",IF($G1591&lt;&gt;"",$G1591,IFERROR(INDEX(ProcValor,MATCH($E1591,ProcNome,0)),0)))</f>
        <v>0</v>
      </c>
      <c r="N1591" s="27">
        <f>IF($M1591="","",IF($F1591="Compareceu",$M1591,0))</f>
        <v>0</v>
      </c>
      <c r="O1591" s="27">
        <f>IF($M1591="","",IF($F1591="Faltou",$M1591,0))</f>
        <v>0</v>
      </c>
      <c r="P1591" s="27">
        <f>IF($M1591="","",IF($F1591="Compareceu",MAX(0,$M1591-N($H1591)),0))</f>
        <v>0</v>
      </c>
      <c r="Q1591" s="19">
        <f>IF(AND($F1591="Compareceu",$E1591&lt;&gt;"",$A1591&lt;&gt;""),IF(IFERROR(INDEX(ProcRet,MATCH($E1591,ProcNome,0)),0)&gt;0,$A1591+INDEX(ProcRet,MATCH($E1591,ProcNome,0)),""),"")</f>
        <v>0</v>
      </c>
      <c r="R1591" s="26">
        <f>IF($Q1591="","",IF(COUNTIFS(AgPac,$D1591,AgData,"&gt;"&amp;$A1591,AgStatus,"&lt;&gt;Cancelado",AgStatus,"&lt;&gt;Remarcado")&gt;0,"Sim","Não"))</f>
        <v>0</v>
      </c>
      <c r="S1591" s="28">
        <f>IF($A1591="","",IF(AND($F1591="Agendado",$A1591-Hoje&gt;=0,$A1591-Hoje&lt;=DiasConf),"CONFIRMAR",IF(AND($A1591&lt;Hoje,OR($F1591="Agendado",$F1591="Confirmado")),"Atualizar status",IF(AND($F1591="Compareceu",$P1591&gt;0.005),"Cobrar",IF($F1591="Faltou","Falta: reagendar","")))))</f>
        <v>0</v>
      </c>
      <c r="T1591" s="29">
        <f>IF($A1591="","",DATE(YEAR($A1591),MONTH($A1591),1))</f>
        <v>0</v>
      </c>
      <c r="U1591" s="30">
        <f>IF($S1591="CONFIRMAR",MAX($U$4:$U1590)+1,"")</f>
        <v>0</v>
      </c>
      <c r="V1591" s="30">
        <f>IF(AND($R1591="Não",$Q1591&lt;&gt;"",$Q1591&lt;=Hoje+JanelaRet,$Q1591&gt;=Hoje-60),MAX($V$4:$V1590)+1,"")</f>
        <v>0</v>
      </c>
    </row>
    <row r="1592" spans="1:22">
      <c r="A1592" s="16"/>
      <c r="B1592" s="23"/>
      <c r="C1592" s="15"/>
      <c r="D1592" s="15"/>
      <c r="E1592" s="15"/>
      <c r="F1592" s="24"/>
      <c r="G1592" s="17"/>
      <c r="H1592" s="17"/>
      <c r="I1592" s="15"/>
      <c r="J1592" s="25">
        <f>IF($D1592="","",IFERROR(INDEX(PacNome,MATCH($D1592,PacCod,0)),"Paciente não cadastrado"))</f>
        <v>0</v>
      </c>
      <c r="K1592" s="26">
        <f>IF($D1592="","",IFERROR(INDEX(PacConv,MATCH($D1592,PacCod,0))&amp;"",""))</f>
        <v>0</v>
      </c>
      <c r="L1592" s="26">
        <f>IF($A1592="","",CHOOSE(WEEKDAY($A1592,2),"Seg","Ter","Qua","Qui","Sex","Sáb","Dom"))</f>
        <v>0</v>
      </c>
      <c r="M1592" s="27">
        <f>IF($E1592="","",IF($G1592&lt;&gt;"",$G1592,IFERROR(INDEX(ProcValor,MATCH($E1592,ProcNome,0)),0)))</f>
        <v>0</v>
      </c>
      <c r="N1592" s="27">
        <f>IF($M1592="","",IF($F1592="Compareceu",$M1592,0))</f>
        <v>0</v>
      </c>
      <c r="O1592" s="27">
        <f>IF($M1592="","",IF($F1592="Faltou",$M1592,0))</f>
        <v>0</v>
      </c>
      <c r="P1592" s="27">
        <f>IF($M1592="","",IF($F1592="Compareceu",MAX(0,$M1592-N($H1592)),0))</f>
        <v>0</v>
      </c>
      <c r="Q1592" s="19">
        <f>IF(AND($F1592="Compareceu",$E1592&lt;&gt;"",$A1592&lt;&gt;""),IF(IFERROR(INDEX(ProcRet,MATCH($E1592,ProcNome,0)),0)&gt;0,$A1592+INDEX(ProcRet,MATCH($E1592,ProcNome,0)),""),"")</f>
        <v>0</v>
      </c>
      <c r="R1592" s="26">
        <f>IF($Q1592="","",IF(COUNTIFS(AgPac,$D1592,AgData,"&gt;"&amp;$A1592,AgStatus,"&lt;&gt;Cancelado",AgStatus,"&lt;&gt;Remarcado")&gt;0,"Sim","Não"))</f>
        <v>0</v>
      </c>
      <c r="S1592" s="28">
        <f>IF($A1592="","",IF(AND($F1592="Agendado",$A1592-Hoje&gt;=0,$A1592-Hoje&lt;=DiasConf),"CONFIRMAR",IF(AND($A1592&lt;Hoje,OR($F1592="Agendado",$F1592="Confirmado")),"Atualizar status",IF(AND($F1592="Compareceu",$P1592&gt;0.005),"Cobrar",IF($F1592="Faltou","Falta: reagendar","")))))</f>
        <v>0</v>
      </c>
      <c r="T1592" s="29">
        <f>IF($A1592="","",DATE(YEAR($A1592),MONTH($A1592),1))</f>
        <v>0</v>
      </c>
      <c r="U1592" s="30">
        <f>IF($S1592="CONFIRMAR",MAX($U$4:$U1591)+1,"")</f>
        <v>0</v>
      </c>
      <c r="V1592" s="30">
        <f>IF(AND($R1592="Não",$Q1592&lt;&gt;"",$Q1592&lt;=Hoje+JanelaRet,$Q1592&gt;=Hoje-60),MAX($V$4:$V1591)+1,"")</f>
        <v>0</v>
      </c>
    </row>
    <row r="1593" spans="1:22">
      <c r="A1593" s="16"/>
      <c r="B1593" s="23"/>
      <c r="C1593" s="15"/>
      <c r="D1593" s="15"/>
      <c r="E1593" s="15"/>
      <c r="F1593" s="24"/>
      <c r="G1593" s="17"/>
      <c r="H1593" s="17"/>
      <c r="I1593" s="15"/>
      <c r="J1593" s="25">
        <f>IF($D1593="","",IFERROR(INDEX(PacNome,MATCH($D1593,PacCod,0)),"Paciente não cadastrado"))</f>
        <v>0</v>
      </c>
      <c r="K1593" s="26">
        <f>IF($D1593="","",IFERROR(INDEX(PacConv,MATCH($D1593,PacCod,0))&amp;"",""))</f>
        <v>0</v>
      </c>
      <c r="L1593" s="26">
        <f>IF($A1593="","",CHOOSE(WEEKDAY($A1593,2),"Seg","Ter","Qua","Qui","Sex","Sáb","Dom"))</f>
        <v>0</v>
      </c>
      <c r="M1593" s="27">
        <f>IF($E1593="","",IF($G1593&lt;&gt;"",$G1593,IFERROR(INDEX(ProcValor,MATCH($E1593,ProcNome,0)),0)))</f>
        <v>0</v>
      </c>
      <c r="N1593" s="27">
        <f>IF($M1593="","",IF($F1593="Compareceu",$M1593,0))</f>
        <v>0</v>
      </c>
      <c r="O1593" s="27">
        <f>IF($M1593="","",IF($F1593="Faltou",$M1593,0))</f>
        <v>0</v>
      </c>
      <c r="P1593" s="27">
        <f>IF($M1593="","",IF($F1593="Compareceu",MAX(0,$M1593-N($H1593)),0))</f>
        <v>0</v>
      </c>
      <c r="Q1593" s="19">
        <f>IF(AND($F1593="Compareceu",$E1593&lt;&gt;"",$A1593&lt;&gt;""),IF(IFERROR(INDEX(ProcRet,MATCH($E1593,ProcNome,0)),0)&gt;0,$A1593+INDEX(ProcRet,MATCH($E1593,ProcNome,0)),""),"")</f>
        <v>0</v>
      </c>
      <c r="R1593" s="26">
        <f>IF($Q1593="","",IF(COUNTIFS(AgPac,$D1593,AgData,"&gt;"&amp;$A1593,AgStatus,"&lt;&gt;Cancelado",AgStatus,"&lt;&gt;Remarcado")&gt;0,"Sim","Não"))</f>
        <v>0</v>
      </c>
      <c r="S1593" s="28">
        <f>IF($A1593="","",IF(AND($F1593="Agendado",$A1593-Hoje&gt;=0,$A1593-Hoje&lt;=DiasConf),"CONFIRMAR",IF(AND($A1593&lt;Hoje,OR($F1593="Agendado",$F1593="Confirmado")),"Atualizar status",IF(AND($F1593="Compareceu",$P1593&gt;0.005),"Cobrar",IF($F1593="Faltou","Falta: reagendar","")))))</f>
        <v>0</v>
      </c>
      <c r="T1593" s="29">
        <f>IF($A1593="","",DATE(YEAR($A1593),MONTH($A1593),1))</f>
        <v>0</v>
      </c>
      <c r="U1593" s="30">
        <f>IF($S1593="CONFIRMAR",MAX($U$4:$U1592)+1,"")</f>
        <v>0</v>
      </c>
      <c r="V1593" s="30">
        <f>IF(AND($R1593="Não",$Q1593&lt;&gt;"",$Q1593&lt;=Hoje+JanelaRet,$Q1593&gt;=Hoje-60),MAX($V$4:$V1592)+1,"")</f>
        <v>0</v>
      </c>
    </row>
    <row r="1594" spans="1:22">
      <c r="A1594" s="16"/>
      <c r="B1594" s="23"/>
      <c r="C1594" s="15"/>
      <c r="D1594" s="15"/>
      <c r="E1594" s="15"/>
      <c r="F1594" s="24"/>
      <c r="G1594" s="17"/>
      <c r="H1594" s="17"/>
      <c r="I1594" s="15"/>
      <c r="J1594" s="25">
        <f>IF($D1594="","",IFERROR(INDEX(PacNome,MATCH($D1594,PacCod,0)),"Paciente não cadastrado"))</f>
        <v>0</v>
      </c>
      <c r="K1594" s="26">
        <f>IF($D1594="","",IFERROR(INDEX(PacConv,MATCH($D1594,PacCod,0))&amp;"",""))</f>
        <v>0</v>
      </c>
      <c r="L1594" s="26">
        <f>IF($A1594="","",CHOOSE(WEEKDAY($A1594,2),"Seg","Ter","Qua","Qui","Sex","Sáb","Dom"))</f>
        <v>0</v>
      </c>
      <c r="M1594" s="27">
        <f>IF($E1594="","",IF($G1594&lt;&gt;"",$G1594,IFERROR(INDEX(ProcValor,MATCH($E1594,ProcNome,0)),0)))</f>
        <v>0</v>
      </c>
      <c r="N1594" s="27">
        <f>IF($M1594="","",IF($F1594="Compareceu",$M1594,0))</f>
        <v>0</v>
      </c>
      <c r="O1594" s="27">
        <f>IF($M1594="","",IF($F1594="Faltou",$M1594,0))</f>
        <v>0</v>
      </c>
      <c r="P1594" s="27">
        <f>IF($M1594="","",IF($F1594="Compareceu",MAX(0,$M1594-N($H1594)),0))</f>
        <v>0</v>
      </c>
      <c r="Q1594" s="19">
        <f>IF(AND($F1594="Compareceu",$E1594&lt;&gt;"",$A1594&lt;&gt;""),IF(IFERROR(INDEX(ProcRet,MATCH($E1594,ProcNome,0)),0)&gt;0,$A1594+INDEX(ProcRet,MATCH($E1594,ProcNome,0)),""),"")</f>
        <v>0</v>
      </c>
      <c r="R1594" s="26">
        <f>IF($Q1594="","",IF(COUNTIFS(AgPac,$D1594,AgData,"&gt;"&amp;$A1594,AgStatus,"&lt;&gt;Cancelado",AgStatus,"&lt;&gt;Remarcado")&gt;0,"Sim","Não"))</f>
        <v>0</v>
      </c>
      <c r="S1594" s="28">
        <f>IF($A1594="","",IF(AND($F1594="Agendado",$A1594-Hoje&gt;=0,$A1594-Hoje&lt;=DiasConf),"CONFIRMAR",IF(AND($A1594&lt;Hoje,OR($F1594="Agendado",$F1594="Confirmado")),"Atualizar status",IF(AND($F1594="Compareceu",$P1594&gt;0.005),"Cobrar",IF($F1594="Faltou","Falta: reagendar","")))))</f>
        <v>0</v>
      </c>
      <c r="T1594" s="29">
        <f>IF($A1594="","",DATE(YEAR($A1594),MONTH($A1594),1))</f>
        <v>0</v>
      </c>
      <c r="U1594" s="30">
        <f>IF($S1594="CONFIRMAR",MAX($U$4:$U1593)+1,"")</f>
        <v>0</v>
      </c>
      <c r="V1594" s="30">
        <f>IF(AND($R1594="Não",$Q1594&lt;&gt;"",$Q1594&lt;=Hoje+JanelaRet,$Q1594&gt;=Hoje-60),MAX($V$4:$V1593)+1,"")</f>
        <v>0</v>
      </c>
    </row>
    <row r="1595" spans="1:22">
      <c r="A1595" s="16"/>
      <c r="B1595" s="23"/>
      <c r="C1595" s="15"/>
      <c r="D1595" s="15"/>
      <c r="E1595" s="15"/>
      <c r="F1595" s="24"/>
      <c r="G1595" s="17"/>
      <c r="H1595" s="17"/>
      <c r="I1595" s="15"/>
      <c r="J1595" s="25">
        <f>IF($D1595="","",IFERROR(INDEX(PacNome,MATCH($D1595,PacCod,0)),"Paciente não cadastrado"))</f>
        <v>0</v>
      </c>
      <c r="K1595" s="26">
        <f>IF($D1595="","",IFERROR(INDEX(PacConv,MATCH($D1595,PacCod,0))&amp;"",""))</f>
        <v>0</v>
      </c>
      <c r="L1595" s="26">
        <f>IF($A1595="","",CHOOSE(WEEKDAY($A1595,2),"Seg","Ter","Qua","Qui","Sex","Sáb","Dom"))</f>
        <v>0</v>
      </c>
      <c r="M1595" s="27">
        <f>IF($E1595="","",IF($G1595&lt;&gt;"",$G1595,IFERROR(INDEX(ProcValor,MATCH($E1595,ProcNome,0)),0)))</f>
        <v>0</v>
      </c>
      <c r="N1595" s="27">
        <f>IF($M1595="","",IF($F1595="Compareceu",$M1595,0))</f>
        <v>0</v>
      </c>
      <c r="O1595" s="27">
        <f>IF($M1595="","",IF($F1595="Faltou",$M1595,0))</f>
        <v>0</v>
      </c>
      <c r="P1595" s="27">
        <f>IF($M1595="","",IF($F1595="Compareceu",MAX(0,$M1595-N($H1595)),0))</f>
        <v>0</v>
      </c>
      <c r="Q1595" s="19">
        <f>IF(AND($F1595="Compareceu",$E1595&lt;&gt;"",$A1595&lt;&gt;""),IF(IFERROR(INDEX(ProcRet,MATCH($E1595,ProcNome,0)),0)&gt;0,$A1595+INDEX(ProcRet,MATCH($E1595,ProcNome,0)),""),"")</f>
        <v>0</v>
      </c>
      <c r="R1595" s="26">
        <f>IF($Q1595="","",IF(COUNTIFS(AgPac,$D1595,AgData,"&gt;"&amp;$A1595,AgStatus,"&lt;&gt;Cancelado",AgStatus,"&lt;&gt;Remarcado")&gt;0,"Sim","Não"))</f>
        <v>0</v>
      </c>
      <c r="S1595" s="28">
        <f>IF($A1595="","",IF(AND($F1595="Agendado",$A1595-Hoje&gt;=0,$A1595-Hoje&lt;=DiasConf),"CONFIRMAR",IF(AND($A1595&lt;Hoje,OR($F1595="Agendado",$F1595="Confirmado")),"Atualizar status",IF(AND($F1595="Compareceu",$P1595&gt;0.005),"Cobrar",IF($F1595="Faltou","Falta: reagendar","")))))</f>
        <v>0</v>
      </c>
      <c r="T1595" s="29">
        <f>IF($A1595="","",DATE(YEAR($A1595),MONTH($A1595),1))</f>
        <v>0</v>
      </c>
      <c r="U1595" s="30">
        <f>IF($S1595="CONFIRMAR",MAX($U$4:$U1594)+1,"")</f>
        <v>0</v>
      </c>
      <c r="V1595" s="30">
        <f>IF(AND($R1595="Não",$Q1595&lt;&gt;"",$Q1595&lt;=Hoje+JanelaRet,$Q1595&gt;=Hoje-60),MAX($V$4:$V1594)+1,"")</f>
        <v>0</v>
      </c>
    </row>
    <row r="1596" spans="1:22">
      <c r="A1596" s="16"/>
      <c r="B1596" s="23"/>
      <c r="C1596" s="15"/>
      <c r="D1596" s="15"/>
      <c r="E1596" s="15"/>
      <c r="F1596" s="24"/>
      <c r="G1596" s="17"/>
      <c r="H1596" s="17"/>
      <c r="I1596" s="15"/>
      <c r="J1596" s="25">
        <f>IF($D1596="","",IFERROR(INDEX(PacNome,MATCH($D1596,PacCod,0)),"Paciente não cadastrado"))</f>
        <v>0</v>
      </c>
      <c r="K1596" s="26">
        <f>IF($D1596="","",IFERROR(INDEX(PacConv,MATCH($D1596,PacCod,0))&amp;"",""))</f>
        <v>0</v>
      </c>
      <c r="L1596" s="26">
        <f>IF($A1596="","",CHOOSE(WEEKDAY($A1596,2),"Seg","Ter","Qua","Qui","Sex","Sáb","Dom"))</f>
        <v>0</v>
      </c>
      <c r="M1596" s="27">
        <f>IF($E1596="","",IF($G1596&lt;&gt;"",$G1596,IFERROR(INDEX(ProcValor,MATCH($E1596,ProcNome,0)),0)))</f>
        <v>0</v>
      </c>
      <c r="N1596" s="27">
        <f>IF($M1596="","",IF($F1596="Compareceu",$M1596,0))</f>
        <v>0</v>
      </c>
      <c r="O1596" s="27">
        <f>IF($M1596="","",IF($F1596="Faltou",$M1596,0))</f>
        <v>0</v>
      </c>
      <c r="P1596" s="27">
        <f>IF($M1596="","",IF($F1596="Compareceu",MAX(0,$M1596-N($H1596)),0))</f>
        <v>0</v>
      </c>
      <c r="Q1596" s="19">
        <f>IF(AND($F1596="Compareceu",$E1596&lt;&gt;"",$A1596&lt;&gt;""),IF(IFERROR(INDEX(ProcRet,MATCH($E1596,ProcNome,0)),0)&gt;0,$A1596+INDEX(ProcRet,MATCH($E1596,ProcNome,0)),""),"")</f>
        <v>0</v>
      </c>
      <c r="R1596" s="26">
        <f>IF($Q1596="","",IF(COUNTIFS(AgPac,$D1596,AgData,"&gt;"&amp;$A1596,AgStatus,"&lt;&gt;Cancelado",AgStatus,"&lt;&gt;Remarcado")&gt;0,"Sim","Não"))</f>
        <v>0</v>
      </c>
      <c r="S1596" s="28">
        <f>IF($A1596="","",IF(AND($F1596="Agendado",$A1596-Hoje&gt;=0,$A1596-Hoje&lt;=DiasConf),"CONFIRMAR",IF(AND($A1596&lt;Hoje,OR($F1596="Agendado",$F1596="Confirmado")),"Atualizar status",IF(AND($F1596="Compareceu",$P1596&gt;0.005),"Cobrar",IF($F1596="Faltou","Falta: reagendar","")))))</f>
        <v>0</v>
      </c>
      <c r="T1596" s="29">
        <f>IF($A1596="","",DATE(YEAR($A1596),MONTH($A1596),1))</f>
        <v>0</v>
      </c>
      <c r="U1596" s="30">
        <f>IF($S1596="CONFIRMAR",MAX($U$4:$U1595)+1,"")</f>
        <v>0</v>
      </c>
      <c r="V1596" s="30">
        <f>IF(AND($R1596="Não",$Q1596&lt;&gt;"",$Q1596&lt;=Hoje+JanelaRet,$Q1596&gt;=Hoje-60),MAX($V$4:$V1595)+1,"")</f>
        <v>0</v>
      </c>
    </row>
    <row r="1597" spans="1:22">
      <c r="A1597" s="16"/>
      <c r="B1597" s="23"/>
      <c r="C1597" s="15"/>
      <c r="D1597" s="15"/>
      <c r="E1597" s="15"/>
      <c r="F1597" s="24"/>
      <c r="G1597" s="17"/>
      <c r="H1597" s="17"/>
      <c r="I1597" s="15"/>
      <c r="J1597" s="25">
        <f>IF($D1597="","",IFERROR(INDEX(PacNome,MATCH($D1597,PacCod,0)),"Paciente não cadastrado"))</f>
        <v>0</v>
      </c>
      <c r="K1597" s="26">
        <f>IF($D1597="","",IFERROR(INDEX(PacConv,MATCH($D1597,PacCod,0))&amp;"",""))</f>
        <v>0</v>
      </c>
      <c r="L1597" s="26">
        <f>IF($A1597="","",CHOOSE(WEEKDAY($A1597,2),"Seg","Ter","Qua","Qui","Sex","Sáb","Dom"))</f>
        <v>0</v>
      </c>
      <c r="M1597" s="27">
        <f>IF($E1597="","",IF($G1597&lt;&gt;"",$G1597,IFERROR(INDEX(ProcValor,MATCH($E1597,ProcNome,0)),0)))</f>
        <v>0</v>
      </c>
      <c r="N1597" s="27">
        <f>IF($M1597="","",IF($F1597="Compareceu",$M1597,0))</f>
        <v>0</v>
      </c>
      <c r="O1597" s="27">
        <f>IF($M1597="","",IF($F1597="Faltou",$M1597,0))</f>
        <v>0</v>
      </c>
      <c r="P1597" s="27">
        <f>IF($M1597="","",IF($F1597="Compareceu",MAX(0,$M1597-N($H1597)),0))</f>
        <v>0</v>
      </c>
      <c r="Q1597" s="19">
        <f>IF(AND($F1597="Compareceu",$E1597&lt;&gt;"",$A1597&lt;&gt;""),IF(IFERROR(INDEX(ProcRet,MATCH($E1597,ProcNome,0)),0)&gt;0,$A1597+INDEX(ProcRet,MATCH($E1597,ProcNome,0)),""),"")</f>
        <v>0</v>
      </c>
      <c r="R1597" s="26">
        <f>IF($Q1597="","",IF(COUNTIFS(AgPac,$D1597,AgData,"&gt;"&amp;$A1597,AgStatus,"&lt;&gt;Cancelado",AgStatus,"&lt;&gt;Remarcado")&gt;0,"Sim","Não"))</f>
        <v>0</v>
      </c>
      <c r="S1597" s="28">
        <f>IF($A1597="","",IF(AND($F1597="Agendado",$A1597-Hoje&gt;=0,$A1597-Hoje&lt;=DiasConf),"CONFIRMAR",IF(AND($A1597&lt;Hoje,OR($F1597="Agendado",$F1597="Confirmado")),"Atualizar status",IF(AND($F1597="Compareceu",$P1597&gt;0.005),"Cobrar",IF($F1597="Faltou","Falta: reagendar","")))))</f>
        <v>0</v>
      </c>
      <c r="T1597" s="29">
        <f>IF($A1597="","",DATE(YEAR($A1597),MONTH($A1597),1))</f>
        <v>0</v>
      </c>
      <c r="U1597" s="30">
        <f>IF($S1597="CONFIRMAR",MAX($U$4:$U1596)+1,"")</f>
        <v>0</v>
      </c>
      <c r="V1597" s="30">
        <f>IF(AND($R1597="Não",$Q1597&lt;&gt;"",$Q1597&lt;=Hoje+JanelaRet,$Q1597&gt;=Hoje-60),MAX($V$4:$V1596)+1,"")</f>
        <v>0</v>
      </c>
    </row>
    <row r="1598" spans="1:22">
      <c r="A1598" s="16"/>
      <c r="B1598" s="23"/>
      <c r="C1598" s="15"/>
      <c r="D1598" s="15"/>
      <c r="E1598" s="15"/>
      <c r="F1598" s="24"/>
      <c r="G1598" s="17"/>
      <c r="H1598" s="17"/>
      <c r="I1598" s="15"/>
      <c r="J1598" s="25">
        <f>IF($D1598="","",IFERROR(INDEX(PacNome,MATCH($D1598,PacCod,0)),"Paciente não cadastrado"))</f>
        <v>0</v>
      </c>
      <c r="K1598" s="26">
        <f>IF($D1598="","",IFERROR(INDEX(PacConv,MATCH($D1598,PacCod,0))&amp;"",""))</f>
        <v>0</v>
      </c>
      <c r="L1598" s="26">
        <f>IF($A1598="","",CHOOSE(WEEKDAY($A1598,2),"Seg","Ter","Qua","Qui","Sex","Sáb","Dom"))</f>
        <v>0</v>
      </c>
      <c r="M1598" s="27">
        <f>IF($E1598="","",IF($G1598&lt;&gt;"",$G1598,IFERROR(INDEX(ProcValor,MATCH($E1598,ProcNome,0)),0)))</f>
        <v>0</v>
      </c>
      <c r="N1598" s="27">
        <f>IF($M1598="","",IF($F1598="Compareceu",$M1598,0))</f>
        <v>0</v>
      </c>
      <c r="O1598" s="27">
        <f>IF($M1598="","",IF($F1598="Faltou",$M1598,0))</f>
        <v>0</v>
      </c>
      <c r="P1598" s="27">
        <f>IF($M1598="","",IF($F1598="Compareceu",MAX(0,$M1598-N($H1598)),0))</f>
        <v>0</v>
      </c>
      <c r="Q1598" s="19">
        <f>IF(AND($F1598="Compareceu",$E1598&lt;&gt;"",$A1598&lt;&gt;""),IF(IFERROR(INDEX(ProcRet,MATCH($E1598,ProcNome,0)),0)&gt;0,$A1598+INDEX(ProcRet,MATCH($E1598,ProcNome,0)),""),"")</f>
        <v>0</v>
      </c>
      <c r="R1598" s="26">
        <f>IF($Q1598="","",IF(COUNTIFS(AgPac,$D1598,AgData,"&gt;"&amp;$A1598,AgStatus,"&lt;&gt;Cancelado",AgStatus,"&lt;&gt;Remarcado")&gt;0,"Sim","Não"))</f>
        <v>0</v>
      </c>
      <c r="S1598" s="28">
        <f>IF($A1598="","",IF(AND($F1598="Agendado",$A1598-Hoje&gt;=0,$A1598-Hoje&lt;=DiasConf),"CONFIRMAR",IF(AND($A1598&lt;Hoje,OR($F1598="Agendado",$F1598="Confirmado")),"Atualizar status",IF(AND($F1598="Compareceu",$P1598&gt;0.005),"Cobrar",IF($F1598="Faltou","Falta: reagendar","")))))</f>
        <v>0</v>
      </c>
      <c r="T1598" s="29">
        <f>IF($A1598="","",DATE(YEAR($A1598),MONTH($A1598),1))</f>
        <v>0</v>
      </c>
      <c r="U1598" s="30">
        <f>IF($S1598="CONFIRMAR",MAX($U$4:$U1597)+1,"")</f>
        <v>0</v>
      </c>
      <c r="V1598" s="30">
        <f>IF(AND($R1598="Não",$Q1598&lt;&gt;"",$Q1598&lt;=Hoje+JanelaRet,$Q1598&gt;=Hoje-60),MAX($V$4:$V1597)+1,"")</f>
        <v>0</v>
      </c>
    </row>
    <row r="1599" spans="1:22">
      <c r="A1599" s="16"/>
      <c r="B1599" s="23"/>
      <c r="C1599" s="15"/>
      <c r="D1599" s="15"/>
      <c r="E1599" s="15"/>
      <c r="F1599" s="24"/>
      <c r="G1599" s="17"/>
      <c r="H1599" s="17"/>
      <c r="I1599" s="15"/>
      <c r="J1599" s="25">
        <f>IF($D1599="","",IFERROR(INDEX(PacNome,MATCH($D1599,PacCod,0)),"Paciente não cadastrado"))</f>
        <v>0</v>
      </c>
      <c r="K1599" s="26">
        <f>IF($D1599="","",IFERROR(INDEX(PacConv,MATCH($D1599,PacCod,0))&amp;"",""))</f>
        <v>0</v>
      </c>
      <c r="L1599" s="26">
        <f>IF($A1599="","",CHOOSE(WEEKDAY($A1599,2),"Seg","Ter","Qua","Qui","Sex","Sáb","Dom"))</f>
        <v>0</v>
      </c>
      <c r="M1599" s="27">
        <f>IF($E1599="","",IF($G1599&lt;&gt;"",$G1599,IFERROR(INDEX(ProcValor,MATCH($E1599,ProcNome,0)),0)))</f>
        <v>0</v>
      </c>
      <c r="N1599" s="27">
        <f>IF($M1599="","",IF($F1599="Compareceu",$M1599,0))</f>
        <v>0</v>
      </c>
      <c r="O1599" s="27">
        <f>IF($M1599="","",IF($F1599="Faltou",$M1599,0))</f>
        <v>0</v>
      </c>
      <c r="P1599" s="27">
        <f>IF($M1599="","",IF($F1599="Compareceu",MAX(0,$M1599-N($H1599)),0))</f>
        <v>0</v>
      </c>
      <c r="Q1599" s="19">
        <f>IF(AND($F1599="Compareceu",$E1599&lt;&gt;"",$A1599&lt;&gt;""),IF(IFERROR(INDEX(ProcRet,MATCH($E1599,ProcNome,0)),0)&gt;0,$A1599+INDEX(ProcRet,MATCH($E1599,ProcNome,0)),""),"")</f>
        <v>0</v>
      </c>
      <c r="R1599" s="26">
        <f>IF($Q1599="","",IF(COUNTIFS(AgPac,$D1599,AgData,"&gt;"&amp;$A1599,AgStatus,"&lt;&gt;Cancelado",AgStatus,"&lt;&gt;Remarcado")&gt;0,"Sim","Não"))</f>
        <v>0</v>
      </c>
      <c r="S1599" s="28">
        <f>IF($A1599="","",IF(AND($F1599="Agendado",$A1599-Hoje&gt;=0,$A1599-Hoje&lt;=DiasConf),"CONFIRMAR",IF(AND($A1599&lt;Hoje,OR($F1599="Agendado",$F1599="Confirmado")),"Atualizar status",IF(AND($F1599="Compareceu",$P1599&gt;0.005),"Cobrar",IF($F1599="Faltou","Falta: reagendar","")))))</f>
        <v>0</v>
      </c>
      <c r="T1599" s="29">
        <f>IF($A1599="","",DATE(YEAR($A1599),MONTH($A1599),1))</f>
        <v>0</v>
      </c>
      <c r="U1599" s="30">
        <f>IF($S1599="CONFIRMAR",MAX($U$4:$U1598)+1,"")</f>
        <v>0</v>
      </c>
      <c r="V1599" s="30">
        <f>IF(AND($R1599="Não",$Q1599&lt;&gt;"",$Q1599&lt;=Hoje+JanelaRet,$Q1599&gt;=Hoje-60),MAX($V$4:$V1598)+1,"")</f>
        <v>0</v>
      </c>
    </row>
    <row r="1600" spans="1:22">
      <c r="A1600" s="16"/>
      <c r="B1600" s="23"/>
      <c r="C1600" s="15"/>
      <c r="D1600" s="15"/>
      <c r="E1600" s="15"/>
      <c r="F1600" s="24"/>
      <c r="G1600" s="17"/>
      <c r="H1600" s="17"/>
      <c r="I1600" s="15"/>
      <c r="J1600" s="25">
        <f>IF($D1600="","",IFERROR(INDEX(PacNome,MATCH($D1600,PacCod,0)),"Paciente não cadastrado"))</f>
        <v>0</v>
      </c>
      <c r="K1600" s="26">
        <f>IF($D1600="","",IFERROR(INDEX(PacConv,MATCH($D1600,PacCod,0))&amp;"",""))</f>
        <v>0</v>
      </c>
      <c r="L1600" s="26">
        <f>IF($A1600="","",CHOOSE(WEEKDAY($A1600,2),"Seg","Ter","Qua","Qui","Sex","Sáb","Dom"))</f>
        <v>0</v>
      </c>
      <c r="M1600" s="27">
        <f>IF($E1600="","",IF($G1600&lt;&gt;"",$G1600,IFERROR(INDEX(ProcValor,MATCH($E1600,ProcNome,0)),0)))</f>
        <v>0</v>
      </c>
      <c r="N1600" s="27">
        <f>IF($M1600="","",IF($F1600="Compareceu",$M1600,0))</f>
        <v>0</v>
      </c>
      <c r="O1600" s="27">
        <f>IF($M1600="","",IF($F1600="Faltou",$M1600,0))</f>
        <v>0</v>
      </c>
      <c r="P1600" s="27">
        <f>IF($M1600="","",IF($F1600="Compareceu",MAX(0,$M1600-N($H1600)),0))</f>
        <v>0</v>
      </c>
      <c r="Q1600" s="19">
        <f>IF(AND($F1600="Compareceu",$E1600&lt;&gt;"",$A1600&lt;&gt;""),IF(IFERROR(INDEX(ProcRet,MATCH($E1600,ProcNome,0)),0)&gt;0,$A1600+INDEX(ProcRet,MATCH($E1600,ProcNome,0)),""),"")</f>
        <v>0</v>
      </c>
      <c r="R1600" s="26">
        <f>IF($Q1600="","",IF(COUNTIFS(AgPac,$D1600,AgData,"&gt;"&amp;$A1600,AgStatus,"&lt;&gt;Cancelado",AgStatus,"&lt;&gt;Remarcado")&gt;0,"Sim","Não"))</f>
        <v>0</v>
      </c>
      <c r="S1600" s="28">
        <f>IF($A1600="","",IF(AND($F1600="Agendado",$A1600-Hoje&gt;=0,$A1600-Hoje&lt;=DiasConf),"CONFIRMAR",IF(AND($A1600&lt;Hoje,OR($F1600="Agendado",$F1600="Confirmado")),"Atualizar status",IF(AND($F1600="Compareceu",$P1600&gt;0.005),"Cobrar",IF($F1600="Faltou","Falta: reagendar","")))))</f>
        <v>0</v>
      </c>
      <c r="T1600" s="29">
        <f>IF($A1600="","",DATE(YEAR($A1600),MONTH($A1600),1))</f>
        <v>0</v>
      </c>
      <c r="U1600" s="30">
        <f>IF($S1600="CONFIRMAR",MAX($U$4:$U1599)+1,"")</f>
        <v>0</v>
      </c>
      <c r="V1600" s="30">
        <f>IF(AND($R1600="Não",$Q1600&lt;&gt;"",$Q1600&lt;=Hoje+JanelaRet,$Q1600&gt;=Hoje-60),MAX($V$4:$V1599)+1,"")</f>
        <v>0</v>
      </c>
    </row>
    <row r="1601" spans="1:22">
      <c r="A1601" s="16"/>
      <c r="B1601" s="23"/>
      <c r="C1601" s="15"/>
      <c r="D1601" s="15"/>
      <c r="E1601" s="15"/>
      <c r="F1601" s="24"/>
      <c r="G1601" s="17"/>
      <c r="H1601" s="17"/>
      <c r="I1601" s="15"/>
      <c r="J1601" s="25">
        <f>IF($D1601="","",IFERROR(INDEX(PacNome,MATCH($D1601,PacCod,0)),"Paciente não cadastrado"))</f>
        <v>0</v>
      </c>
      <c r="K1601" s="26">
        <f>IF($D1601="","",IFERROR(INDEX(PacConv,MATCH($D1601,PacCod,0))&amp;"",""))</f>
        <v>0</v>
      </c>
      <c r="L1601" s="26">
        <f>IF($A1601="","",CHOOSE(WEEKDAY($A1601,2),"Seg","Ter","Qua","Qui","Sex","Sáb","Dom"))</f>
        <v>0</v>
      </c>
      <c r="M1601" s="27">
        <f>IF($E1601="","",IF($G1601&lt;&gt;"",$G1601,IFERROR(INDEX(ProcValor,MATCH($E1601,ProcNome,0)),0)))</f>
        <v>0</v>
      </c>
      <c r="N1601" s="27">
        <f>IF($M1601="","",IF($F1601="Compareceu",$M1601,0))</f>
        <v>0</v>
      </c>
      <c r="O1601" s="27">
        <f>IF($M1601="","",IF($F1601="Faltou",$M1601,0))</f>
        <v>0</v>
      </c>
      <c r="P1601" s="27">
        <f>IF($M1601="","",IF($F1601="Compareceu",MAX(0,$M1601-N($H1601)),0))</f>
        <v>0</v>
      </c>
      <c r="Q1601" s="19">
        <f>IF(AND($F1601="Compareceu",$E1601&lt;&gt;"",$A1601&lt;&gt;""),IF(IFERROR(INDEX(ProcRet,MATCH($E1601,ProcNome,0)),0)&gt;0,$A1601+INDEX(ProcRet,MATCH($E1601,ProcNome,0)),""),"")</f>
        <v>0</v>
      </c>
      <c r="R1601" s="26">
        <f>IF($Q1601="","",IF(COUNTIFS(AgPac,$D1601,AgData,"&gt;"&amp;$A1601,AgStatus,"&lt;&gt;Cancelado",AgStatus,"&lt;&gt;Remarcado")&gt;0,"Sim","Não"))</f>
        <v>0</v>
      </c>
      <c r="S1601" s="28">
        <f>IF($A1601="","",IF(AND($F1601="Agendado",$A1601-Hoje&gt;=0,$A1601-Hoje&lt;=DiasConf),"CONFIRMAR",IF(AND($A1601&lt;Hoje,OR($F1601="Agendado",$F1601="Confirmado")),"Atualizar status",IF(AND($F1601="Compareceu",$P1601&gt;0.005),"Cobrar",IF($F1601="Faltou","Falta: reagendar","")))))</f>
        <v>0</v>
      </c>
      <c r="T1601" s="29">
        <f>IF($A1601="","",DATE(YEAR($A1601),MONTH($A1601),1))</f>
        <v>0</v>
      </c>
      <c r="U1601" s="30">
        <f>IF($S1601="CONFIRMAR",MAX($U$4:$U1600)+1,"")</f>
        <v>0</v>
      </c>
      <c r="V1601" s="30">
        <f>IF(AND($R1601="Não",$Q1601&lt;&gt;"",$Q1601&lt;=Hoje+JanelaRet,$Q1601&gt;=Hoje-60),MAX($V$4:$V1600)+1,"")</f>
        <v>0</v>
      </c>
    </row>
    <row r="1602" spans="1:22">
      <c r="A1602" s="16"/>
      <c r="B1602" s="23"/>
      <c r="C1602" s="15"/>
      <c r="D1602" s="15"/>
      <c r="E1602" s="15"/>
      <c r="F1602" s="24"/>
      <c r="G1602" s="17"/>
      <c r="H1602" s="17"/>
      <c r="I1602" s="15"/>
      <c r="J1602" s="25">
        <f>IF($D1602="","",IFERROR(INDEX(PacNome,MATCH($D1602,PacCod,0)),"Paciente não cadastrado"))</f>
        <v>0</v>
      </c>
      <c r="K1602" s="26">
        <f>IF($D1602="","",IFERROR(INDEX(PacConv,MATCH($D1602,PacCod,0))&amp;"",""))</f>
        <v>0</v>
      </c>
      <c r="L1602" s="26">
        <f>IF($A1602="","",CHOOSE(WEEKDAY($A1602,2),"Seg","Ter","Qua","Qui","Sex","Sáb","Dom"))</f>
        <v>0</v>
      </c>
      <c r="M1602" s="27">
        <f>IF($E1602="","",IF($G1602&lt;&gt;"",$G1602,IFERROR(INDEX(ProcValor,MATCH($E1602,ProcNome,0)),0)))</f>
        <v>0</v>
      </c>
      <c r="N1602" s="27">
        <f>IF($M1602="","",IF($F1602="Compareceu",$M1602,0))</f>
        <v>0</v>
      </c>
      <c r="O1602" s="27">
        <f>IF($M1602="","",IF($F1602="Faltou",$M1602,0))</f>
        <v>0</v>
      </c>
      <c r="P1602" s="27">
        <f>IF($M1602="","",IF($F1602="Compareceu",MAX(0,$M1602-N($H1602)),0))</f>
        <v>0</v>
      </c>
      <c r="Q1602" s="19">
        <f>IF(AND($F1602="Compareceu",$E1602&lt;&gt;"",$A1602&lt;&gt;""),IF(IFERROR(INDEX(ProcRet,MATCH($E1602,ProcNome,0)),0)&gt;0,$A1602+INDEX(ProcRet,MATCH($E1602,ProcNome,0)),""),"")</f>
        <v>0</v>
      </c>
      <c r="R1602" s="26">
        <f>IF($Q1602="","",IF(COUNTIFS(AgPac,$D1602,AgData,"&gt;"&amp;$A1602,AgStatus,"&lt;&gt;Cancelado",AgStatus,"&lt;&gt;Remarcado")&gt;0,"Sim","Não"))</f>
        <v>0</v>
      </c>
      <c r="S1602" s="28">
        <f>IF($A1602="","",IF(AND($F1602="Agendado",$A1602-Hoje&gt;=0,$A1602-Hoje&lt;=DiasConf),"CONFIRMAR",IF(AND($A1602&lt;Hoje,OR($F1602="Agendado",$F1602="Confirmado")),"Atualizar status",IF(AND($F1602="Compareceu",$P1602&gt;0.005),"Cobrar",IF($F1602="Faltou","Falta: reagendar","")))))</f>
        <v>0</v>
      </c>
      <c r="T1602" s="29">
        <f>IF($A1602="","",DATE(YEAR($A1602),MONTH($A1602),1))</f>
        <v>0</v>
      </c>
      <c r="U1602" s="30">
        <f>IF($S1602="CONFIRMAR",MAX($U$4:$U1601)+1,"")</f>
        <v>0</v>
      </c>
      <c r="V1602" s="30">
        <f>IF(AND($R1602="Não",$Q1602&lt;&gt;"",$Q1602&lt;=Hoje+JanelaRet,$Q1602&gt;=Hoje-60),MAX($V$4:$V1601)+1,"")</f>
        <v>0</v>
      </c>
    </row>
    <row r="1603" spans="1:22">
      <c r="A1603" s="16"/>
      <c r="B1603" s="23"/>
      <c r="C1603" s="15"/>
      <c r="D1603" s="15"/>
      <c r="E1603" s="15"/>
      <c r="F1603" s="24"/>
      <c r="G1603" s="17"/>
      <c r="H1603" s="17"/>
      <c r="I1603" s="15"/>
      <c r="J1603" s="25">
        <f>IF($D1603="","",IFERROR(INDEX(PacNome,MATCH($D1603,PacCod,0)),"Paciente não cadastrado"))</f>
        <v>0</v>
      </c>
      <c r="K1603" s="26">
        <f>IF($D1603="","",IFERROR(INDEX(PacConv,MATCH($D1603,PacCod,0))&amp;"",""))</f>
        <v>0</v>
      </c>
      <c r="L1603" s="26">
        <f>IF($A1603="","",CHOOSE(WEEKDAY($A1603,2),"Seg","Ter","Qua","Qui","Sex","Sáb","Dom"))</f>
        <v>0</v>
      </c>
      <c r="M1603" s="27">
        <f>IF($E1603="","",IF($G1603&lt;&gt;"",$G1603,IFERROR(INDEX(ProcValor,MATCH($E1603,ProcNome,0)),0)))</f>
        <v>0</v>
      </c>
      <c r="N1603" s="27">
        <f>IF($M1603="","",IF($F1603="Compareceu",$M1603,0))</f>
        <v>0</v>
      </c>
      <c r="O1603" s="27">
        <f>IF($M1603="","",IF($F1603="Faltou",$M1603,0))</f>
        <v>0</v>
      </c>
      <c r="P1603" s="27">
        <f>IF($M1603="","",IF($F1603="Compareceu",MAX(0,$M1603-N($H1603)),0))</f>
        <v>0</v>
      </c>
      <c r="Q1603" s="19">
        <f>IF(AND($F1603="Compareceu",$E1603&lt;&gt;"",$A1603&lt;&gt;""),IF(IFERROR(INDEX(ProcRet,MATCH($E1603,ProcNome,0)),0)&gt;0,$A1603+INDEX(ProcRet,MATCH($E1603,ProcNome,0)),""),"")</f>
        <v>0</v>
      </c>
      <c r="R1603" s="26">
        <f>IF($Q1603="","",IF(COUNTIFS(AgPac,$D1603,AgData,"&gt;"&amp;$A1603,AgStatus,"&lt;&gt;Cancelado",AgStatus,"&lt;&gt;Remarcado")&gt;0,"Sim","Não"))</f>
        <v>0</v>
      </c>
      <c r="S1603" s="28">
        <f>IF($A1603="","",IF(AND($F1603="Agendado",$A1603-Hoje&gt;=0,$A1603-Hoje&lt;=DiasConf),"CONFIRMAR",IF(AND($A1603&lt;Hoje,OR($F1603="Agendado",$F1603="Confirmado")),"Atualizar status",IF(AND($F1603="Compareceu",$P1603&gt;0.005),"Cobrar",IF($F1603="Faltou","Falta: reagendar","")))))</f>
        <v>0</v>
      </c>
      <c r="T1603" s="29">
        <f>IF($A1603="","",DATE(YEAR($A1603),MONTH($A1603),1))</f>
        <v>0</v>
      </c>
      <c r="U1603" s="30">
        <f>IF($S1603="CONFIRMAR",MAX($U$4:$U1602)+1,"")</f>
        <v>0</v>
      </c>
      <c r="V1603" s="30">
        <f>IF(AND($R1603="Não",$Q1603&lt;&gt;"",$Q1603&lt;=Hoje+JanelaRet,$Q1603&gt;=Hoje-60),MAX($V$4:$V1602)+1,"")</f>
        <v>0</v>
      </c>
    </row>
    <row r="1604" spans="1:22">
      <c r="A1604" s="16"/>
      <c r="B1604" s="23"/>
      <c r="C1604" s="15"/>
      <c r="D1604" s="15"/>
      <c r="E1604" s="15"/>
      <c r="F1604" s="24"/>
      <c r="G1604" s="17"/>
      <c r="H1604" s="17"/>
      <c r="I1604" s="15"/>
      <c r="J1604" s="25">
        <f>IF($D1604="","",IFERROR(INDEX(PacNome,MATCH($D1604,PacCod,0)),"Paciente não cadastrado"))</f>
        <v>0</v>
      </c>
      <c r="K1604" s="26">
        <f>IF($D1604="","",IFERROR(INDEX(PacConv,MATCH($D1604,PacCod,0))&amp;"",""))</f>
        <v>0</v>
      </c>
      <c r="L1604" s="26">
        <f>IF($A1604="","",CHOOSE(WEEKDAY($A1604,2),"Seg","Ter","Qua","Qui","Sex","Sáb","Dom"))</f>
        <v>0</v>
      </c>
      <c r="M1604" s="27">
        <f>IF($E1604="","",IF($G1604&lt;&gt;"",$G1604,IFERROR(INDEX(ProcValor,MATCH($E1604,ProcNome,0)),0)))</f>
        <v>0</v>
      </c>
      <c r="N1604" s="27">
        <f>IF($M1604="","",IF($F1604="Compareceu",$M1604,0))</f>
        <v>0</v>
      </c>
      <c r="O1604" s="27">
        <f>IF($M1604="","",IF($F1604="Faltou",$M1604,0))</f>
        <v>0</v>
      </c>
      <c r="P1604" s="27">
        <f>IF($M1604="","",IF($F1604="Compareceu",MAX(0,$M1604-N($H1604)),0))</f>
        <v>0</v>
      </c>
      <c r="Q1604" s="19">
        <f>IF(AND($F1604="Compareceu",$E1604&lt;&gt;"",$A1604&lt;&gt;""),IF(IFERROR(INDEX(ProcRet,MATCH($E1604,ProcNome,0)),0)&gt;0,$A1604+INDEX(ProcRet,MATCH($E1604,ProcNome,0)),""),"")</f>
        <v>0</v>
      </c>
      <c r="R1604" s="26">
        <f>IF($Q1604="","",IF(COUNTIFS(AgPac,$D1604,AgData,"&gt;"&amp;$A1604,AgStatus,"&lt;&gt;Cancelado",AgStatus,"&lt;&gt;Remarcado")&gt;0,"Sim","Não"))</f>
        <v>0</v>
      </c>
      <c r="S1604" s="28">
        <f>IF($A1604="","",IF(AND($F1604="Agendado",$A1604-Hoje&gt;=0,$A1604-Hoje&lt;=DiasConf),"CONFIRMAR",IF(AND($A1604&lt;Hoje,OR($F1604="Agendado",$F1604="Confirmado")),"Atualizar status",IF(AND($F1604="Compareceu",$P1604&gt;0.005),"Cobrar",IF($F1604="Faltou","Falta: reagendar","")))))</f>
        <v>0</v>
      </c>
      <c r="T1604" s="29">
        <f>IF($A1604="","",DATE(YEAR($A1604),MONTH($A1604),1))</f>
        <v>0</v>
      </c>
      <c r="U1604" s="30">
        <f>IF($S1604="CONFIRMAR",MAX($U$4:$U1603)+1,"")</f>
        <v>0</v>
      </c>
      <c r="V1604" s="30">
        <f>IF(AND($R1604="Não",$Q1604&lt;&gt;"",$Q1604&lt;=Hoje+JanelaRet,$Q1604&gt;=Hoje-60),MAX($V$4:$V1603)+1,"")</f>
        <v>0</v>
      </c>
    </row>
    <row r="1605" spans="1:22">
      <c r="A1605" s="16"/>
      <c r="B1605" s="23"/>
      <c r="C1605" s="15"/>
      <c r="D1605" s="15"/>
      <c r="E1605" s="15"/>
      <c r="F1605" s="24"/>
      <c r="G1605" s="17"/>
      <c r="H1605" s="17"/>
      <c r="I1605" s="15"/>
      <c r="J1605" s="25">
        <f>IF($D1605="","",IFERROR(INDEX(PacNome,MATCH($D1605,PacCod,0)),"Paciente não cadastrado"))</f>
        <v>0</v>
      </c>
      <c r="K1605" s="26">
        <f>IF($D1605="","",IFERROR(INDEX(PacConv,MATCH($D1605,PacCod,0))&amp;"",""))</f>
        <v>0</v>
      </c>
      <c r="L1605" s="26">
        <f>IF($A1605="","",CHOOSE(WEEKDAY($A1605,2),"Seg","Ter","Qua","Qui","Sex","Sáb","Dom"))</f>
        <v>0</v>
      </c>
      <c r="M1605" s="27">
        <f>IF($E1605="","",IF($G1605&lt;&gt;"",$G1605,IFERROR(INDEX(ProcValor,MATCH($E1605,ProcNome,0)),0)))</f>
        <v>0</v>
      </c>
      <c r="N1605" s="27">
        <f>IF($M1605="","",IF($F1605="Compareceu",$M1605,0))</f>
        <v>0</v>
      </c>
      <c r="O1605" s="27">
        <f>IF($M1605="","",IF($F1605="Faltou",$M1605,0))</f>
        <v>0</v>
      </c>
      <c r="P1605" s="27">
        <f>IF($M1605="","",IF($F1605="Compareceu",MAX(0,$M1605-N($H1605)),0))</f>
        <v>0</v>
      </c>
      <c r="Q1605" s="19">
        <f>IF(AND($F1605="Compareceu",$E1605&lt;&gt;"",$A1605&lt;&gt;""),IF(IFERROR(INDEX(ProcRet,MATCH($E1605,ProcNome,0)),0)&gt;0,$A1605+INDEX(ProcRet,MATCH($E1605,ProcNome,0)),""),"")</f>
        <v>0</v>
      </c>
      <c r="R1605" s="26">
        <f>IF($Q1605="","",IF(COUNTIFS(AgPac,$D1605,AgData,"&gt;"&amp;$A1605,AgStatus,"&lt;&gt;Cancelado",AgStatus,"&lt;&gt;Remarcado")&gt;0,"Sim","Não"))</f>
        <v>0</v>
      </c>
      <c r="S1605" s="28">
        <f>IF($A1605="","",IF(AND($F1605="Agendado",$A1605-Hoje&gt;=0,$A1605-Hoje&lt;=DiasConf),"CONFIRMAR",IF(AND($A1605&lt;Hoje,OR($F1605="Agendado",$F1605="Confirmado")),"Atualizar status",IF(AND($F1605="Compareceu",$P1605&gt;0.005),"Cobrar",IF($F1605="Faltou","Falta: reagendar","")))))</f>
        <v>0</v>
      </c>
      <c r="T1605" s="29">
        <f>IF($A1605="","",DATE(YEAR($A1605),MONTH($A1605),1))</f>
        <v>0</v>
      </c>
      <c r="U1605" s="30">
        <f>IF($S1605="CONFIRMAR",MAX($U$4:$U1604)+1,"")</f>
        <v>0</v>
      </c>
      <c r="V1605" s="30">
        <f>IF(AND($R1605="Não",$Q1605&lt;&gt;"",$Q1605&lt;=Hoje+JanelaRet,$Q1605&gt;=Hoje-60),MAX($V$4:$V1604)+1,"")</f>
        <v>0</v>
      </c>
    </row>
    <row r="1606" spans="1:22">
      <c r="A1606" s="16"/>
      <c r="B1606" s="23"/>
      <c r="C1606" s="15"/>
      <c r="D1606" s="15"/>
      <c r="E1606" s="15"/>
      <c r="F1606" s="24"/>
      <c r="G1606" s="17"/>
      <c r="H1606" s="17"/>
      <c r="I1606" s="15"/>
      <c r="J1606" s="25">
        <f>IF($D1606="","",IFERROR(INDEX(PacNome,MATCH($D1606,PacCod,0)),"Paciente não cadastrado"))</f>
        <v>0</v>
      </c>
      <c r="K1606" s="26">
        <f>IF($D1606="","",IFERROR(INDEX(PacConv,MATCH($D1606,PacCod,0))&amp;"",""))</f>
        <v>0</v>
      </c>
      <c r="L1606" s="26">
        <f>IF($A1606="","",CHOOSE(WEEKDAY($A1606,2),"Seg","Ter","Qua","Qui","Sex","Sáb","Dom"))</f>
        <v>0</v>
      </c>
      <c r="M1606" s="27">
        <f>IF($E1606="","",IF($G1606&lt;&gt;"",$G1606,IFERROR(INDEX(ProcValor,MATCH($E1606,ProcNome,0)),0)))</f>
        <v>0</v>
      </c>
      <c r="N1606" s="27">
        <f>IF($M1606="","",IF($F1606="Compareceu",$M1606,0))</f>
        <v>0</v>
      </c>
      <c r="O1606" s="27">
        <f>IF($M1606="","",IF($F1606="Faltou",$M1606,0))</f>
        <v>0</v>
      </c>
      <c r="P1606" s="27">
        <f>IF($M1606="","",IF($F1606="Compareceu",MAX(0,$M1606-N($H1606)),0))</f>
        <v>0</v>
      </c>
      <c r="Q1606" s="19">
        <f>IF(AND($F1606="Compareceu",$E1606&lt;&gt;"",$A1606&lt;&gt;""),IF(IFERROR(INDEX(ProcRet,MATCH($E1606,ProcNome,0)),0)&gt;0,$A1606+INDEX(ProcRet,MATCH($E1606,ProcNome,0)),""),"")</f>
        <v>0</v>
      </c>
      <c r="R1606" s="26">
        <f>IF($Q1606="","",IF(COUNTIFS(AgPac,$D1606,AgData,"&gt;"&amp;$A1606,AgStatus,"&lt;&gt;Cancelado",AgStatus,"&lt;&gt;Remarcado")&gt;0,"Sim","Não"))</f>
        <v>0</v>
      </c>
      <c r="S1606" s="28">
        <f>IF($A1606="","",IF(AND($F1606="Agendado",$A1606-Hoje&gt;=0,$A1606-Hoje&lt;=DiasConf),"CONFIRMAR",IF(AND($A1606&lt;Hoje,OR($F1606="Agendado",$F1606="Confirmado")),"Atualizar status",IF(AND($F1606="Compareceu",$P1606&gt;0.005),"Cobrar",IF($F1606="Faltou","Falta: reagendar","")))))</f>
        <v>0</v>
      </c>
      <c r="T1606" s="29">
        <f>IF($A1606="","",DATE(YEAR($A1606),MONTH($A1606),1))</f>
        <v>0</v>
      </c>
      <c r="U1606" s="30">
        <f>IF($S1606="CONFIRMAR",MAX($U$4:$U1605)+1,"")</f>
        <v>0</v>
      </c>
      <c r="V1606" s="30">
        <f>IF(AND($R1606="Não",$Q1606&lt;&gt;"",$Q1606&lt;=Hoje+JanelaRet,$Q1606&gt;=Hoje-60),MAX($V$4:$V1605)+1,"")</f>
        <v>0</v>
      </c>
    </row>
    <row r="1607" spans="1:22">
      <c r="A1607" s="16"/>
      <c r="B1607" s="23"/>
      <c r="C1607" s="15"/>
      <c r="D1607" s="15"/>
      <c r="E1607" s="15"/>
      <c r="F1607" s="24"/>
      <c r="G1607" s="17"/>
      <c r="H1607" s="17"/>
      <c r="I1607" s="15"/>
      <c r="J1607" s="25">
        <f>IF($D1607="","",IFERROR(INDEX(PacNome,MATCH($D1607,PacCod,0)),"Paciente não cadastrado"))</f>
        <v>0</v>
      </c>
      <c r="K1607" s="26">
        <f>IF($D1607="","",IFERROR(INDEX(PacConv,MATCH($D1607,PacCod,0))&amp;"",""))</f>
        <v>0</v>
      </c>
      <c r="L1607" s="26">
        <f>IF($A1607="","",CHOOSE(WEEKDAY($A1607,2),"Seg","Ter","Qua","Qui","Sex","Sáb","Dom"))</f>
        <v>0</v>
      </c>
      <c r="M1607" s="27">
        <f>IF($E1607="","",IF($G1607&lt;&gt;"",$G1607,IFERROR(INDEX(ProcValor,MATCH($E1607,ProcNome,0)),0)))</f>
        <v>0</v>
      </c>
      <c r="N1607" s="27">
        <f>IF($M1607="","",IF($F1607="Compareceu",$M1607,0))</f>
        <v>0</v>
      </c>
      <c r="O1607" s="27">
        <f>IF($M1607="","",IF($F1607="Faltou",$M1607,0))</f>
        <v>0</v>
      </c>
      <c r="P1607" s="27">
        <f>IF($M1607="","",IF($F1607="Compareceu",MAX(0,$M1607-N($H1607)),0))</f>
        <v>0</v>
      </c>
      <c r="Q1607" s="19">
        <f>IF(AND($F1607="Compareceu",$E1607&lt;&gt;"",$A1607&lt;&gt;""),IF(IFERROR(INDEX(ProcRet,MATCH($E1607,ProcNome,0)),0)&gt;0,$A1607+INDEX(ProcRet,MATCH($E1607,ProcNome,0)),""),"")</f>
        <v>0</v>
      </c>
      <c r="R1607" s="26">
        <f>IF($Q1607="","",IF(COUNTIFS(AgPac,$D1607,AgData,"&gt;"&amp;$A1607,AgStatus,"&lt;&gt;Cancelado",AgStatus,"&lt;&gt;Remarcado")&gt;0,"Sim","Não"))</f>
        <v>0</v>
      </c>
      <c r="S1607" s="28">
        <f>IF($A1607="","",IF(AND($F1607="Agendado",$A1607-Hoje&gt;=0,$A1607-Hoje&lt;=DiasConf),"CONFIRMAR",IF(AND($A1607&lt;Hoje,OR($F1607="Agendado",$F1607="Confirmado")),"Atualizar status",IF(AND($F1607="Compareceu",$P1607&gt;0.005),"Cobrar",IF($F1607="Faltou","Falta: reagendar","")))))</f>
        <v>0</v>
      </c>
      <c r="T1607" s="29">
        <f>IF($A1607="","",DATE(YEAR($A1607),MONTH($A1607),1))</f>
        <v>0</v>
      </c>
      <c r="U1607" s="30">
        <f>IF($S1607="CONFIRMAR",MAX($U$4:$U1606)+1,"")</f>
        <v>0</v>
      </c>
      <c r="V1607" s="30">
        <f>IF(AND($R1607="Não",$Q1607&lt;&gt;"",$Q1607&lt;=Hoje+JanelaRet,$Q1607&gt;=Hoje-60),MAX($V$4:$V1606)+1,"")</f>
        <v>0</v>
      </c>
    </row>
    <row r="1608" spans="1:22">
      <c r="A1608" s="16"/>
      <c r="B1608" s="23"/>
      <c r="C1608" s="15"/>
      <c r="D1608" s="15"/>
      <c r="E1608" s="15"/>
      <c r="F1608" s="24"/>
      <c r="G1608" s="17"/>
      <c r="H1608" s="17"/>
      <c r="I1608" s="15"/>
      <c r="J1608" s="25">
        <f>IF($D1608="","",IFERROR(INDEX(PacNome,MATCH($D1608,PacCod,0)),"Paciente não cadastrado"))</f>
        <v>0</v>
      </c>
      <c r="K1608" s="26">
        <f>IF($D1608="","",IFERROR(INDEX(PacConv,MATCH($D1608,PacCod,0))&amp;"",""))</f>
        <v>0</v>
      </c>
      <c r="L1608" s="26">
        <f>IF($A1608="","",CHOOSE(WEEKDAY($A1608,2),"Seg","Ter","Qua","Qui","Sex","Sáb","Dom"))</f>
        <v>0</v>
      </c>
      <c r="M1608" s="27">
        <f>IF($E1608="","",IF($G1608&lt;&gt;"",$G1608,IFERROR(INDEX(ProcValor,MATCH($E1608,ProcNome,0)),0)))</f>
        <v>0</v>
      </c>
      <c r="N1608" s="27">
        <f>IF($M1608="","",IF($F1608="Compareceu",$M1608,0))</f>
        <v>0</v>
      </c>
      <c r="O1608" s="27">
        <f>IF($M1608="","",IF($F1608="Faltou",$M1608,0))</f>
        <v>0</v>
      </c>
      <c r="P1608" s="27">
        <f>IF($M1608="","",IF($F1608="Compareceu",MAX(0,$M1608-N($H1608)),0))</f>
        <v>0</v>
      </c>
      <c r="Q1608" s="19">
        <f>IF(AND($F1608="Compareceu",$E1608&lt;&gt;"",$A1608&lt;&gt;""),IF(IFERROR(INDEX(ProcRet,MATCH($E1608,ProcNome,0)),0)&gt;0,$A1608+INDEX(ProcRet,MATCH($E1608,ProcNome,0)),""),"")</f>
        <v>0</v>
      </c>
      <c r="R1608" s="26">
        <f>IF($Q1608="","",IF(COUNTIFS(AgPac,$D1608,AgData,"&gt;"&amp;$A1608,AgStatus,"&lt;&gt;Cancelado",AgStatus,"&lt;&gt;Remarcado")&gt;0,"Sim","Não"))</f>
        <v>0</v>
      </c>
      <c r="S1608" s="28">
        <f>IF($A1608="","",IF(AND($F1608="Agendado",$A1608-Hoje&gt;=0,$A1608-Hoje&lt;=DiasConf),"CONFIRMAR",IF(AND($A1608&lt;Hoje,OR($F1608="Agendado",$F1608="Confirmado")),"Atualizar status",IF(AND($F1608="Compareceu",$P1608&gt;0.005),"Cobrar",IF($F1608="Faltou","Falta: reagendar","")))))</f>
        <v>0</v>
      </c>
      <c r="T1608" s="29">
        <f>IF($A1608="","",DATE(YEAR($A1608),MONTH($A1608),1))</f>
        <v>0</v>
      </c>
      <c r="U1608" s="30">
        <f>IF($S1608="CONFIRMAR",MAX($U$4:$U1607)+1,"")</f>
        <v>0</v>
      </c>
      <c r="V1608" s="30">
        <f>IF(AND($R1608="Não",$Q1608&lt;&gt;"",$Q1608&lt;=Hoje+JanelaRet,$Q1608&gt;=Hoje-60),MAX($V$4:$V1607)+1,"")</f>
        <v>0</v>
      </c>
    </row>
    <row r="1609" spans="1:22">
      <c r="A1609" s="16"/>
      <c r="B1609" s="23"/>
      <c r="C1609" s="15"/>
      <c r="D1609" s="15"/>
      <c r="E1609" s="15"/>
      <c r="F1609" s="24"/>
      <c r="G1609" s="17"/>
      <c r="H1609" s="17"/>
      <c r="I1609" s="15"/>
      <c r="J1609" s="25">
        <f>IF($D1609="","",IFERROR(INDEX(PacNome,MATCH($D1609,PacCod,0)),"Paciente não cadastrado"))</f>
        <v>0</v>
      </c>
      <c r="K1609" s="26">
        <f>IF($D1609="","",IFERROR(INDEX(PacConv,MATCH($D1609,PacCod,0))&amp;"",""))</f>
        <v>0</v>
      </c>
      <c r="L1609" s="26">
        <f>IF($A1609="","",CHOOSE(WEEKDAY($A1609,2),"Seg","Ter","Qua","Qui","Sex","Sáb","Dom"))</f>
        <v>0</v>
      </c>
      <c r="M1609" s="27">
        <f>IF($E1609="","",IF($G1609&lt;&gt;"",$G1609,IFERROR(INDEX(ProcValor,MATCH($E1609,ProcNome,0)),0)))</f>
        <v>0</v>
      </c>
      <c r="N1609" s="27">
        <f>IF($M1609="","",IF($F1609="Compareceu",$M1609,0))</f>
        <v>0</v>
      </c>
      <c r="O1609" s="27">
        <f>IF($M1609="","",IF($F1609="Faltou",$M1609,0))</f>
        <v>0</v>
      </c>
      <c r="P1609" s="27">
        <f>IF($M1609="","",IF($F1609="Compareceu",MAX(0,$M1609-N($H1609)),0))</f>
        <v>0</v>
      </c>
      <c r="Q1609" s="19">
        <f>IF(AND($F1609="Compareceu",$E1609&lt;&gt;"",$A1609&lt;&gt;""),IF(IFERROR(INDEX(ProcRet,MATCH($E1609,ProcNome,0)),0)&gt;0,$A1609+INDEX(ProcRet,MATCH($E1609,ProcNome,0)),""),"")</f>
        <v>0</v>
      </c>
      <c r="R1609" s="26">
        <f>IF($Q1609="","",IF(COUNTIFS(AgPac,$D1609,AgData,"&gt;"&amp;$A1609,AgStatus,"&lt;&gt;Cancelado",AgStatus,"&lt;&gt;Remarcado")&gt;0,"Sim","Não"))</f>
        <v>0</v>
      </c>
      <c r="S1609" s="28">
        <f>IF($A1609="","",IF(AND($F1609="Agendado",$A1609-Hoje&gt;=0,$A1609-Hoje&lt;=DiasConf),"CONFIRMAR",IF(AND($A1609&lt;Hoje,OR($F1609="Agendado",$F1609="Confirmado")),"Atualizar status",IF(AND($F1609="Compareceu",$P1609&gt;0.005),"Cobrar",IF($F1609="Faltou","Falta: reagendar","")))))</f>
        <v>0</v>
      </c>
      <c r="T1609" s="29">
        <f>IF($A1609="","",DATE(YEAR($A1609),MONTH($A1609),1))</f>
        <v>0</v>
      </c>
      <c r="U1609" s="30">
        <f>IF($S1609="CONFIRMAR",MAX($U$4:$U1608)+1,"")</f>
        <v>0</v>
      </c>
      <c r="V1609" s="30">
        <f>IF(AND($R1609="Não",$Q1609&lt;&gt;"",$Q1609&lt;=Hoje+JanelaRet,$Q1609&gt;=Hoje-60),MAX($V$4:$V1608)+1,"")</f>
        <v>0</v>
      </c>
    </row>
    <row r="1610" spans="1:22">
      <c r="A1610" s="16"/>
      <c r="B1610" s="23"/>
      <c r="C1610" s="15"/>
      <c r="D1610" s="15"/>
      <c r="E1610" s="15"/>
      <c r="F1610" s="24"/>
      <c r="G1610" s="17"/>
      <c r="H1610" s="17"/>
      <c r="I1610" s="15"/>
      <c r="J1610" s="25">
        <f>IF($D1610="","",IFERROR(INDEX(PacNome,MATCH($D1610,PacCod,0)),"Paciente não cadastrado"))</f>
        <v>0</v>
      </c>
      <c r="K1610" s="26">
        <f>IF($D1610="","",IFERROR(INDEX(PacConv,MATCH($D1610,PacCod,0))&amp;"",""))</f>
        <v>0</v>
      </c>
      <c r="L1610" s="26">
        <f>IF($A1610="","",CHOOSE(WEEKDAY($A1610,2),"Seg","Ter","Qua","Qui","Sex","Sáb","Dom"))</f>
        <v>0</v>
      </c>
      <c r="M1610" s="27">
        <f>IF($E1610="","",IF($G1610&lt;&gt;"",$G1610,IFERROR(INDEX(ProcValor,MATCH($E1610,ProcNome,0)),0)))</f>
        <v>0</v>
      </c>
      <c r="N1610" s="27">
        <f>IF($M1610="","",IF($F1610="Compareceu",$M1610,0))</f>
        <v>0</v>
      </c>
      <c r="O1610" s="27">
        <f>IF($M1610="","",IF($F1610="Faltou",$M1610,0))</f>
        <v>0</v>
      </c>
      <c r="P1610" s="27">
        <f>IF($M1610="","",IF($F1610="Compareceu",MAX(0,$M1610-N($H1610)),0))</f>
        <v>0</v>
      </c>
      <c r="Q1610" s="19">
        <f>IF(AND($F1610="Compareceu",$E1610&lt;&gt;"",$A1610&lt;&gt;""),IF(IFERROR(INDEX(ProcRet,MATCH($E1610,ProcNome,0)),0)&gt;0,$A1610+INDEX(ProcRet,MATCH($E1610,ProcNome,0)),""),"")</f>
        <v>0</v>
      </c>
      <c r="R1610" s="26">
        <f>IF($Q1610="","",IF(COUNTIFS(AgPac,$D1610,AgData,"&gt;"&amp;$A1610,AgStatus,"&lt;&gt;Cancelado",AgStatus,"&lt;&gt;Remarcado")&gt;0,"Sim","Não"))</f>
        <v>0</v>
      </c>
      <c r="S1610" s="28">
        <f>IF($A1610="","",IF(AND($F1610="Agendado",$A1610-Hoje&gt;=0,$A1610-Hoje&lt;=DiasConf),"CONFIRMAR",IF(AND($A1610&lt;Hoje,OR($F1610="Agendado",$F1610="Confirmado")),"Atualizar status",IF(AND($F1610="Compareceu",$P1610&gt;0.005),"Cobrar",IF($F1610="Faltou","Falta: reagendar","")))))</f>
        <v>0</v>
      </c>
      <c r="T1610" s="29">
        <f>IF($A1610="","",DATE(YEAR($A1610),MONTH($A1610),1))</f>
        <v>0</v>
      </c>
      <c r="U1610" s="30">
        <f>IF($S1610="CONFIRMAR",MAX($U$4:$U1609)+1,"")</f>
        <v>0</v>
      </c>
      <c r="V1610" s="30">
        <f>IF(AND($R1610="Não",$Q1610&lt;&gt;"",$Q1610&lt;=Hoje+JanelaRet,$Q1610&gt;=Hoje-60),MAX($V$4:$V1609)+1,"")</f>
        <v>0</v>
      </c>
    </row>
    <row r="1611" spans="1:22">
      <c r="A1611" s="16"/>
      <c r="B1611" s="23"/>
      <c r="C1611" s="15"/>
      <c r="D1611" s="15"/>
      <c r="E1611" s="15"/>
      <c r="F1611" s="24"/>
      <c r="G1611" s="17"/>
      <c r="H1611" s="17"/>
      <c r="I1611" s="15"/>
      <c r="J1611" s="25">
        <f>IF($D1611="","",IFERROR(INDEX(PacNome,MATCH($D1611,PacCod,0)),"Paciente não cadastrado"))</f>
        <v>0</v>
      </c>
      <c r="K1611" s="26">
        <f>IF($D1611="","",IFERROR(INDEX(PacConv,MATCH($D1611,PacCod,0))&amp;"",""))</f>
        <v>0</v>
      </c>
      <c r="L1611" s="26">
        <f>IF($A1611="","",CHOOSE(WEEKDAY($A1611,2),"Seg","Ter","Qua","Qui","Sex","Sáb","Dom"))</f>
        <v>0</v>
      </c>
      <c r="M1611" s="27">
        <f>IF($E1611="","",IF($G1611&lt;&gt;"",$G1611,IFERROR(INDEX(ProcValor,MATCH($E1611,ProcNome,0)),0)))</f>
        <v>0</v>
      </c>
      <c r="N1611" s="27">
        <f>IF($M1611="","",IF($F1611="Compareceu",$M1611,0))</f>
        <v>0</v>
      </c>
      <c r="O1611" s="27">
        <f>IF($M1611="","",IF($F1611="Faltou",$M1611,0))</f>
        <v>0</v>
      </c>
      <c r="P1611" s="27">
        <f>IF($M1611="","",IF($F1611="Compareceu",MAX(0,$M1611-N($H1611)),0))</f>
        <v>0</v>
      </c>
      <c r="Q1611" s="19">
        <f>IF(AND($F1611="Compareceu",$E1611&lt;&gt;"",$A1611&lt;&gt;""),IF(IFERROR(INDEX(ProcRet,MATCH($E1611,ProcNome,0)),0)&gt;0,$A1611+INDEX(ProcRet,MATCH($E1611,ProcNome,0)),""),"")</f>
        <v>0</v>
      </c>
      <c r="R1611" s="26">
        <f>IF($Q1611="","",IF(COUNTIFS(AgPac,$D1611,AgData,"&gt;"&amp;$A1611,AgStatus,"&lt;&gt;Cancelado",AgStatus,"&lt;&gt;Remarcado")&gt;0,"Sim","Não"))</f>
        <v>0</v>
      </c>
      <c r="S1611" s="28">
        <f>IF($A1611="","",IF(AND($F1611="Agendado",$A1611-Hoje&gt;=0,$A1611-Hoje&lt;=DiasConf),"CONFIRMAR",IF(AND($A1611&lt;Hoje,OR($F1611="Agendado",$F1611="Confirmado")),"Atualizar status",IF(AND($F1611="Compareceu",$P1611&gt;0.005),"Cobrar",IF($F1611="Faltou","Falta: reagendar","")))))</f>
        <v>0</v>
      </c>
      <c r="T1611" s="29">
        <f>IF($A1611="","",DATE(YEAR($A1611),MONTH($A1611),1))</f>
        <v>0</v>
      </c>
      <c r="U1611" s="30">
        <f>IF($S1611="CONFIRMAR",MAX($U$4:$U1610)+1,"")</f>
        <v>0</v>
      </c>
      <c r="V1611" s="30">
        <f>IF(AND($R1611="Não",$Q1611&lt;&gt;"",$Q1611&lt;=Hoje+JanelaRet,$Q1611&gt;=Hoje-60),MAX($V$4:$V1610)+1,"")</f>
        <v>0</v>
      </c>
    </row>
    <row r="1612" spans="1:22">
      <c r="A1612" s="16"/>
      <c r="B1612" s="23"/>
      <c r="C1612" s="15"/>
      <c r="D1612" s="15"/>
      <c r="E1612" s="15"/>
      <c r="F1612" s="24"/>
      <c r="G1612" s="17"/>
      <c r="H1612" s="17"/>
      <c r="I1612" s="15"/>
      <c r="J1612" s="25">
        <f>IF($D1612="","",IFERROR(INDEX(PacNome,MATCH($D1612,PacCod,0)),"Paciente não cadastrado"))</f>
        <v>0</v>
      </c>
      <c r="K1612" s="26">
        <f>IF($D1612="","",IFERROR(INDEX(PacConv,MATCH($D1612,PacCod,0))&amp;"",""))</f>
        <v>0</v>
      </c>
      <c r="L1612" s="26">
        <f>IF($A1612="","",CHOOSE(WEEKDAY($A1612,2),"Seg","Ter","Qua","Qui","Sex","Sáb","Dom"))</f>
        <v>0</v>
      </c>
      <c r="M1612" s="27">
        <f>IF($E1612="","",IF($G1612&lt;&gt;"",$G1612,IFERROR(INDEX(ProcValor,MATCH($E1612,ProcNome,0)),0)))</f>
        <v>0</v>
      </c>
      <c r="N1612" s="27">
        <f>IF($M1612="","",IF($F1612="Compareceu",$M1612,0))</f>
        <v>0</v>
      </c>
      <c r="O1612" s="27">
        <f>IF($M1612="","",IF($F1612="Faltou",$M1612,0))</f>
        <v>0</v>
      </c>
      <c r="P1612" s="27">
        <f>IF($M1612="","",IF($F1612="Compareceu",MAX(0,$M1612-N($H1612)),0))</f>
        <v>0</v>
      </c>
      <c r="Q1612" s="19">
        <f>IF(AND($F1612="Compareceu",$E1612&lt;&gt;"",$A1612&lt;&gt;""),IF(IFERROR(INDEX(ProcRet,MATCH($E1612,ProcNome,0)),0)&gt;0,$A1612+INDEX(ProcRet,MATCH($E1612,ProcNome,0)),""),"")</f>
        <v>0</v>
      </c>
      <c r="R1612" s="26">
        <f>IF($Q1612="","",IF(COUNTIFS(AgPac,$D1612,AgData,"&gt;"&amp;$A1612,AgStatus,"&lt;&gt;Cancelado",AgStatus,"&lt;&gt;Remarcado")&gt;0,"Sim","Não"))</f>
        <v>0</v>
      </c>
      <c r="S1612" s="28">
        <f>IF($A1612="","",IF(AND($F1612="Agendado",$A1612-Hoje&gt;=0,$A1612-Hoje&lt;=DiasConf),"CONFIRMAR",IF(AND($A1612&lt;Hoje,OR($F1612="Agendado",$F1612="Confirmado")),"Atualizar status",IF(AND($F1612="Compareceu",$P1612&gt;0.005),"Cobrar",IF($F1612="Faltou","Falta: reagendar","")))))</f>
        <v>0</v>
      </c>
      <c r="T1612" s="29">
        <f>IF($A1612="","",DATE(YEAR($A1612),MONTH($A1612),1))</f>
        <v>0</v>
      </c>
      <c r="U1612" s="30">
        <f>IF($S1612="CONFIRMAR",MAX($U$4:$U1611)+1,"")</f>
        <v>0</v>
      </c>
      <c r="V1612" s="30">
        <f>IF(AND($R1612="Não",$Q1612&lt;&gt;"",$Q1612&lt;=Hoje+JanelaRet,$Q1612&gt;=Hoje-60),MAX($V$4:$V1611)+1,"")</f>
        <v>0</v>
      </c>
    </row>
    <row r="1613" spans="1:22">
      <c r="A1613" s="16"/>
      <c r="B1613" s="23"/>
      <c r="C1613" s="15"/>
      <c r="D1613" s="15"/>
      <c r="E1613" s="15"/>
      <c r="F1613" s="24"/>
      <c r="G1613" s="17"/>
      <c r="H1613" s="17"/>
      <c r="I1613" s="15"/>
      <c r="J1613" s="25">
        <f>IF($D1613="","",IFERROR(INDEX(PacNome,MATCH($D1613,PacCod,0)),"Paciente não cadastrado"))</f>
        <v>0</v>
      </c>
      <c r="K1613" s="26">
        <f>IF($D1613="","",IFERROR(INDEX(PacConv,MATCH($D1613,PacCod,0))&amp;"",""))</f>
        <v>0</v>
      </c>
      <c r="L1613" s="26">
        <f>IF($A1613="","",CHOOSE(WEEKDAY($A1613,2),"Seg","Ter","Qua","Qui","Sex","Sáb","Dom"))</f>
        <v>0</v>
      </c>
      <c r="M1613" s="27">
        <f>IF($E1613="","",IF($G1613&lt;&gt;"",$G1613,IFERROR(INDEX(ProcValor,MATCH($E1613,ProcNome,0)),0)))</f>
        <v>0</v>
      </c>
      <c r="N1613" s="27">
        <f>IF($M1613="","",IF($F1613="Compareceu",$M1613,0))</f>
        <v>0</v>
      </c>
      <c r="O1613" s="27">
        <f>IF($M1613="","",IF($F1613="Faltou",$M1613,0))</f>
        <v>0</v>
      </c>
      <c r="P1613" s="27">
        <f>IF($M1613="","",IF($F1613="Compareceu",MAX(0,$M1613-N($H1613)),0))</f>
        <v>0</v>
      </c>
      <c r="Q1613" s="19">
        <f>IF(AND($F1613="Compareceu",$E1613&lt;&gt;"",$A1613&lt;&gt;""),IF(IFERROR(INDEX(ProcRet,MATCH($E1613,ProcNome,0)),0)&gt;0,$A1613+INDEX(ProcRet,MATCH($E1613,ProcNome,0)),""),"")</f>
        <v>0</v>
      </c>
      <c r="R1613" s="26">
        <f>IF($Q1613="","",IF(COUNTIFS(AgPac,$D1613,AgData,"&gt;"&amp;$A1613,AgStatus,"&lt;&gt;Cancelado",AgStatus,"&lt;&gt;Remarcado")&gt;0,"Sim","Não"))</f>
        <v>0</v>
      </c>
      <c r="S1613" s="28">
        <f>IF($A1613="","",IF(AND($F1613="Agendado",$A1613-Hoje&gt;=0,$A1613-Hoje&lt;=DiasConf),"CONFIRMAR",IF(AND($A1613&lt;Hoje,OR($F1613="Agendado",$F1613="Confirmado")),"Atualizar status",IF(AND($F1613="Compareceu",$P1613&gt;0.005),"Cobrar",IF($F1613="Faltou","Falta: reagendar","")))))</f>
        <v>0</v>
      </c>
      <c r="T1613" s="29">
        <f>IF($A1613="","",DATE(YEAR($A1613),MONTH($A1613),1))</f>
        <v>0</v>
      </c>
      <c r="U1613" s="30">
        <f>IF($S1613="CONFIRMAR",MAX($U$4:$U1612)+1,"")</f>
        <v>0</v>
      </c>
      <c r="V1613" s="30">
        <f>IF(AND($R1613="Não",$Q1613&lt;&gt;"",$Q1613&lt;=Hoje+JanelaRet,$Q1613&gt;=Hoje-60),MAX($V$4:$V1612)+1,"")</f>
        <v>0</v>
      </c>
    </row>
    <row r="1614" spans="1:22">
      <c r="A1614" s="16"/>
      <c r="B1614" s="23"/>
      <c r="C1614" s="15"/>
      <c r="D1614" s="15"/>
      <c r="E1614" s="15"/>
      <c r="F1614" s="24"/>
      <c r="G1614" s="17"/>
      <c r="H1614" s="17"/>
      <c r="I1614" s="15"/>
      <c r="J1614" s="25">
        <f>IF($D1614="","",IFERROR(INDEX(PacNome,MATCH($D1614,PacCod,0)),"Paciente não cadastrado"))</f>
        <v>0</v>
      </c>
      <c r="K1614" s="26">
        <f>IF($D1614="","",IFERROR(INDEX(PacConv,MATCH($D1614,PacCod,0))&amp;"",""))</f>
        <v>0</v>
      </c>
      <c r="L1614" s="26">
        <f>IF($A1614="","",CHOOSE(WEEKDAY($A1614,2),"Seg","Ter","Qua","Qui","Sex","Sáb","Dom"))</f>
        <v>0</v>
      </c>
      <c r="M1614" s="27">
        <f>IF($E1614="","",IF($G1614&lt;&gt;"",$G1614,IFERROR(INDEX(ProcValor,MATCH($E1614,ProcNome,0)),0)))</f>
        <v>0</v>
      </c>
      <c r="N1614" s="27">
        <f>IF($M1614="","",IF($F1614="Compareceu",$M1614,0))</f>
        <v>0</v>
      </c>
      <c r="O1614" s="27">
        <f>IF($M1614="","",IF($F1614="Faltou",$M1614,0))</f>
        <v>0</v>
      </c>
      <c r="P1614" s="27">
        <f>IF($M1614="","",IF($F1614="Compareceu",MAX(0,$M1614-N($H1614)),0))</f>
        <v>0</v>
      </c>
      <c r="Q1614" s="19">
        <f>IF(AND($F1614="Compareceu",$E1614&lt;&gt;"",$A1614&lt;&gt;""),IF(IFERROR(INDEX(ProcRet,MATCH($E1614,ProcNome,0)),0)&gt;0,$A1614+INDEX(ProcRet,MATCH($E1614,ProcNome,0)),""),"")</f>
        <v>0</v>
      </c>
      <c r="R1614" s="26">
        <f>IF($Q1614="","",IF(COUNTIFS(AgPac,$D1614,AgData,"&gt;"&amp;$A1614,AgStatus,"&lt;&gt;Cancelado",AgStatus,"&lt;&gt;Remarcado")&gt;0,"Sim","Não"))</f>
        <v>0</v>
      </c>
      <c r="S1614" s="28">
        <f>IF($A1614="","",IF(AND($F1614="Agendado",$A1614-Hoje&gt;=0,$A1614-Hoje&lt;=DiasConf),"CONFIRMAR",IF(AND($A1614&lt;Hoje,OR($F1614="Agendado",$F1614="Confirmado")),"Atualizar status",IF(AND($F1614="Compareceu",$P1614&gt;0.005),"Cobrar",IF($F1614="Faltou","Falta: reagendar","")))))</f>
        <v>0</v>
      </c>
      <c r="T1614" s="29">
        <f>IF($A1614="","",DATE(YEAR($A1614),MONTH($A1614),1))</f>
        <v>0</v>
      </c>
      <c r="U1614" s="30">
        <f>IF($S1614="CONFIRMAR",MAX($U$4:$U1613)+1,"")</f>
        <v>0</v>
      </c>
      <c r="V1614" s="30">
        <f>IF(AND($R1614="Não",$Q1614&lt;&gt;"",$Q1614&lt;=Hoje+JanelaRet,$Q1614&gt;=Hoje-60),MAX($V$4:$V1613)+1,"")</f>
        <v>0</v>
      </c>
    </row>
    <row r="1615" spans="1:22">
      <c r="A1615" s="16"/>
      <c r="B1615" s="23"/>
      <c r="C1615" s="15"/>
      <c r="D1615" s="15"/>
      <c r="E1615" s="15"/>
      <c r="F1615" s="24"/>
      <c r="G1615" s="17"/>
      <c r="H1615" s="17"/>
      <c r="I1615" s="15"/>
      <c r="J1615" s="25">
        <f>IF($D1615="","",IFERROR(INDEX(PacNome,MATCH($D1615,PacCod,0)),"Paciente não cadastrado"))</f>
        <v>0</v>
      </c>
      <c r="K1615" s="26">
        <f>IF($D1615="","",IFERROR(INDEX(PacConv,MATCH($D1615,PacCod,0))&amp;"",""))</f>
        <v>0</v>
      </c>
      <c r="L1615" s="26">
        <f>IF($A1615="","",CHOOSE(WEEKDAY($A1615,2),"Seg","Ter","Qua","Qui","Sex","Sáb","Dom"))</f>
        <v>0</v>
      </c>
      <c r="M1615" s="27">
        <f>IF($E1615="","",IF($G1615&lt;&gt;"",$G1615,IFERROR(INDEX(ProcValor,MATCH($E1615,ProcNome,0)),0)))</f>
        <v>0</v>
      </c>
      <c r="N1615" s="27">
        <f>IF($M1615="","",IF($F1615="Compareceu",$M1615,0))</f>
        <v>0</v>
      </c>
      <c r="O1615" s="27">
        <f>IF($M1615="","",IF($F1615="Faltou",$M1615,0))</f>
        <v>0</v>
      </c>
      <c r="P1615" s="27">
        <f>IF($M1615="","",IF($F1615="Compareceu",MAX(0,$M1615-N($H1615)),0))</f>
        <v>0</v>
      </c>
      <c r="Q1615" s="19">
        <f>IF(AND($F1615="Compareceu",$E1615&lt;&gt;"",$A1615&lt;&gt;""),IF(IFERROR(INDEX(ProcRet,MATCH($E1615,ProcNome,0)),0)&gt;0,$A1615+INDEX(ProcRet,MATCH($E1615,ProcNome,0)),""),"")</f>
        <v>0</v>
      </c>
      <c r="R1615" s="26">
        <f>IF($Q1615="","",IF(COUNTIFS(AgPac,$D1615,AgData,"&gt;"&amp;$A1615,AgStatus,"&lt;&gt;Cancelado",AgStatus,"&lt;&gt;Remarcado")&gt;0,"Sim","Não"))</f>
        <v>0</v>
      </c>
      <c r="S1615" s="28">
        <f>IF($A1615="","",IF(AND($F1615="Agendado",$A1615-Hoje&gt;=0,$A1615-Hoje&lt;=DiasConf),"CONFIRMAR",IF(AND($A1615&lt;Hoje,OR($F1615="Agendado",$F1615="Confirmado")),"Atualizar status",IF(AND($F1615="Compareceu",$P1615&gt;0.005),"Cobrar",IF($F1615="Faltou","Falta: reagendar","")))))</f>
        <v>0</v>
      </c>
      <c r="T1615" s="29">
        <f>IF($A1615="","",DATE(YEAR($A1615),MONTH($A1615),1))</f>
        <v>0</v>
      </c>
      <c r="U1615" s="30">
        <f>IF($S1615="CONFIRMAR",MAX($U$4:$U1614)+1,"")</f>
        <v>0</v>
      </c>
      <c r="V1615" s="30">
        <f>IF(AND($R1615="Não",$Q1615&lt;&gt;"",$Q1615&lt;=Hoje+JanelaRet,$Q1615&gt;=Hoje-60),MAX($V$4:$V1614)+1,"")</f>
        <v>0</v>
      </c>
    </row>
    <row r="1616" spans="1:22">
      <c r="A1616" s="16"/>
      <c r="B1616" s="23"/>
      <c r="C1616" s="15"/>
      <c r="D1616" s="15"/>
      <c r="E1616" s="15"/>
      <c r="F1616" s="24"/>
      <c r="G1616" s="17"/>
      <c r="H1616" s="17"/>
      <c r="I1616" s="15"/>
      <c r="J1616" s="25">
        <f>IF($D1616="","",IFERROR(INDEX(PacNome,MATCH($D1616,PacCod,0)),"Paciente não cadastrado"))</f>
        <v>0</v>
      </c>
      <c r="K1616" s="26">
        <f>IF($D1616="","",IFERROR(INDEX(PacConv,MATCH($D1616,PacCod,0))&amp;"",""))</f>
        <v>0</v>
      </c>
      <c r="L1616" s="26">
        <f>IF($A1616="","",CHOOSE(WEEKDAY($A1616,2),"Seg","Ter","Qua","Qui","Sex","Sáb","Dom"))</f>
        <v>0</v>
      </c>
      <c r="M1616" s="27">
        <f>IF($E1616="","",IF($G1616&lt;&gt;"",$G1616,IFERROR(INDEX(ProcValor,MATCH($E1616,ProcNome,0)),0)))</f>
        <v>0</v>
      </c>
      <c r="N1616" s="27">
        <f>IF($M1616="","",IF($F1616="Compareceu",$M1616,0))</f>
        <v>0</v>
      </c>
      <c r="O1616" s="27">
        <f>IF($M1616="","",IF($F1616="Faltou",$M1616,0))</f>
        <v>0</v>
      </c>
      <c r="P1616" s="27">
        <f>IF($M1616="","",IF($F1616="Compareceu",MAX(0,$M1616-N($H1616)),0))</f>
        <v>0</v>
      </c>
      <c r="Q1616" s="19">
        <f>IF(AND($F1616="Compareceu",$E1616&lt;&gt;"",$A1616&lt;&gt;""),IF(IFERROR(INDEX(ProcRet,MATCH($E1616,ProcNome,0)),0)&gt;0,$A1616+INDEX(ProcRet,MATCH($E1616,ProcNome,0)),""),"")</f>
        <v>0</v>
      </c>
      <c r="R1616" s="26">
        <f>IF($Q1616="","",IF(COUNTIFS(AgPac,$D1616,AgData,"&gt;"&amp;$A1616,AgStatus,"&lt;&gt;Cancelado",AgStatus,"&lt;&gt;Remarcado")&gt;0,"Sim","Não"))</f>
        <v>0</v>
      </c>
      <c r="S1616" s="28">
        <f>IF($A1616="","",IF(AND($F1616="Agendado",$A1616-Hoje&gt;=0,$A1616-Hoje&lt;=DiasConf),"CONFIRMAR",IF(AND($A1616&lt;Hoje,OR($F1616="Agendado",$F1616="Confirmado")),"Atualizar status",IF(AND($F1616="Compareceu",$P1616&gt;0.005),"Cobrar",IF($F1616="Faltou","Falta: reagendar","")))))</f>
        <v>0</v>
      </c>
      <c r="T1616" s="29">
        <f>IF($A1616="","",DATE(YEAR($A1616),MONTH($A1616),1))</f>
        <v>0</v>
      </c>
      <c r="U1616" s="30">
        <f>IF($S1616="CONFIRMAR",MAX($U$4:$U1615)+1,"")</f>
        <v>0</v>
      </c>
      <c r="V1616" s="30">
        <f>IF(AND($R1616="Não",$Q1616&lt;&gt;"",$Q1616&lt;=Hoje+JanelaRet,$Q1616&gt;=Hoje-60),MAX($V$4:$V1615)+1,"")</f>
        <v>0</v>
      </c>
    </row>
    <row r="1617" spans="1:22">
      <c r="A1617" s="16"/>
      <c r="B1617" s="23"/>
      <c r="C1617" s="15"/>
      <c r="D1617" s="15"/>
      <c r="E1617" s="15"/>
      <c r="F1617" s="24"/>
      <c r="G1617" s="17"/>
      <c r="H1617" s="17"/>
      <c r="I1617" s="15"/>
      <c r="J1617" s="25">
        <f>IF($D1617="","",IFERROR(INDEX(PacNome,MATCH($D1617,PacCod,0)),"Paciente não cadastrado"))</f>
        <v>0</v>
      </c>
      <c r="K1617" s="26">
        <f>IF($D1617="","",IFERROR(INDEX(PacConv,MATCH($D1617,PacCod,0))&amp;"",""))</f>
        <v>0</v>
      </c>
      <c r="L1617" s="26">
        <f>IF($A1617="","",CHOOSE(WEEKDAY($A1617,2),"Seg","Ter","Qua","Qui","Sex","Sáb","Dom"))</f>
        <v>0</v>
      </c>
      <c r="M1617" s="27">
        <f>IF($E1617="","",IF($G1617&lt;&gt;"",$G1617,IFERROR(INDEX(ProcValor,MATCH($E1617,ProcNome,0)),0)))</f>
        <v>0</v>
      </c>
      <c r="N1617" s="27">
        <f>IF($M1617="","",IF($F1617="Compareceu",$M1617,0))</f>
        <v>0</v>
      </c>
      <c r="O1617" s="27">
        <f>IF($M1617="","",IF($F1617="Faltou",$M1617,0))</f>
        <v>0</v>
      </c>
      <c r="P1617" s="27">
        <f>IF($M1617="","",IF($F1617="Compareceu",MAX(0,$M1617-N($H1617)),0))</f>
        <v>0</v>
      </c>
      <c r="Q1617" s="19">
        <f>IF(AND($F1617="Compareceu",$E1617&lt;&gt;"",$A1617&lt;&gt;""),IF(IFERROR(INDEX(ProcRet,MATCH($E1617,ProcNome,0)),0)&gt;0,$A1617+INDEX(ProcRet,MATCH($E1617,ProcNome,0)),""),"")</f>
        <v>0</v>
      </c>
      <c r="R1617" s="26">
        <f>IF($Q1617="","",IF(COUNTIFS(AgPac,$D1617,AgData,"&gt;"&amp;$A1617,AgStatus,"&lt;&gt;Cancelado",AgStatus,"&lt;&gt;Remarcado")&gt;0,"Sim","Não"))</f>
        <v>0</v>
      </c>
      <c r="S1617" s="28">
        <f>IF($A1617="","",IF(AND($F1617="Agendado",$A1617-Hoje&gt;=0,$A1617-Hoje&lt;=DiasConf),"CONFIRMAR",IF(AND($A1617&lt;Hoje,OR($F1617="Agendado",$F1617="Confirmado")),"Atualizar status",IF(AND($F1617="Compareceu",$P1617&gt;0.005),"Cobrar",IF($F1617="Faltou","Falta: reagendar","")))))</f>
        <v>0</v>
      </c>
      <c r="T1617" s="29">
        <f>IF($A1617="","",DATE(YEAR($A1617),MONTH($A1617),1))</f>
        <v>0</v>
      </c>
      <c r="U1617" s="30">
        <f>IF($S1617="CONFIRMAR",MAX($U$4:$U1616)+1,"")</f>
        <v>0</v>
      </c>
      <c r="V1617" s="30">
        <f>IF(AND($R1617="Não",$Q1617&lt;&gt;"",$Q1617&lt;=Hoje+JanelaRet,$Q1617&gt;=Hoje-60),MAX($V$4:$V1616)+1,"")</f>
        <v>0</v>
      </c>
    </row>
    <row r="1618" spans="1:22">
      <c r="A1618" s="16"/>
      <c r="B1618" s="23"/>
      <c r="C1618" s="15"/>
      <c r="D1618" s="15"/>
      <c r="E1618" s="15"/>
      <c r="F1618" s="24"/>
      <c r="G1618" s="17"/>
      <c r="H1618" s="17"/>
      <c r="I1618" s="15"/>
      <c r="J1618" s="25">
        <f>IF($D1618="","",IFERROR(INDEX(PacNome,MATCH($D1618,PacCod,0)),"Paciente não cadastrado"))</f>
        <v>0</v>
      </c>
      <c r="K1618" s="26">
        <f>IF($D1618="","",IFERROR(INDEX(PacConv,MATCH($D1618,PacCod,0))&amp;"",""))</f>
        <v>0</v>
      </c>
      <c r="L1618" s="26">
        <f>IF($A1618="","",CHOOSE(WEEKDAY($A1618,2),"Seg","Ter","Qua","Qui","Sex","Sáb","Dom"))</f>
        <v>0</v>
      </c>
      <c r="M1618" s="27">
        <f>IF($E1618="","",IF($G1618&lt;&gt;"",$G1618,IFERROR(INDEX(ProcValor,MATCH($E1618,ProcNome,0)),0)))</f>
        <v>0</v>
      </c>
      <c r="N1618" s="27">
        <f>IF($M1618="","",IF($F1618="Compareceu",$M1618,0))</f>
        <v>0</v>
      </c>
      <c r="O1618" s="27">
        <f>IF($M1618="","",IF($F1618="Faltou",$M1618,0))</f>
        <v>0</v>
      </c>
      <c r="P1618" s="27">
        <f>IF($M1618="","",IF($F1618="Compareceu",MAX(0,$M1618-N($H1618)),0))</f>
        <v>0</v>
      </c>
      <c r="Q1618" s="19">
        <f>IF(AND($F1618="Compareceu",$E1618&lt;&gt;"",$A1618&lt;&gt;""),IF(IFERROR(INDEX(ProcRet,MATCH($E1618,ProcNome,0)),0)&gt;0,$A1618+INDEX(ProcRet,MATCH($E1618,ProcNome,0)),""),"")</f>
        <v>0</v>
      </c>
      <c r="R1618" s="26">
        <f>IF($Q1618="","",IF(COUNTIFS(AgPac,$D1618,AgData,"&gt;"&amp;$A1618,AgStatus,"&lt;&gt;Cancelado",AgStatus,"&lt;&gt;Remarcado")&gt;0,"Sim","Não"))</f>
        <v>0</v>
      </c>
      <c r="S1618" s="28">
        <f>IF($A1618="","",IF(AND($F1618="Agendado",$A1618-Hoje&gt;=0,$A1618-Hoje&lt;=DiasConf),"CONFIRMAR",IF(AND($A1618&lt;Hoje,OR($F1618="Agendado",$F1618="Confirmado")),"Atualizar status",IF(AND($F1618="Compareceu",$P1618&gt;0.005),"Cobrar",IF($F1618="Faltou","Falta: reagendar","")))))</f>
        <v>0</v>
      </c>
      <c r="T1618" s="29">
        <f>IF($A1618="","",DATE(YEAR($A1618),MONTH($A1618),1))</f>
        <v>0</v>
      </c>
      <c r="U1618" s="30">
        <f>IF($S1618="CONFIRMAR",MAX($U$4:$U1617)+1,"")</f>
        <v>0</v>
      </c>
      <c r="V1618" s="30">
        <f>IF(AND($R1618="Não",$Q1618&lt;&gt;"",$Q1618&lt;=Hoje+JanelaRet,$Q1618&gt;=Hoje-60),MAX($V$4:$V1617)+1,"")</f>
        <v>0</v>
      </c>
    </row>
    <row r="1619" spans="1:22">
      <c r="A1619" s="16"/>
      <c r="B1619" s="23"/>
      <c r="C1619" s="15"/>
      <c r="D1619" s="15"/>
      <c r="E1619" s="15"/>
      <c r="F1619" s="24"/>
      <c r="G1619" s="17"/>
      <c r="H1619" s="17"/>
      <c r="I1619" s="15"/>
      <c r="J1619" s="25">
        <f>IF($D1619="","",IFERROR(INDEX(PacNome,MATCH($D1619,PacCod,0)),"Paciente não cadastrado"))</f>
        <v>0</v>
      </c>
      <c r="K1619" s="26">
        <f>IF($D1619="","",IFERROR(INDEX(PacConv,MATCH($D1619,PacCod,0))&amp;"",""))</f>
        <v>0</v>
      </c>
      <c r="L1619" s="26">
        <f>IF($A1619="","",CHOOSE(WEEKDAY($A1619,2),"Seg","Ter","Qua","Qui","Sex","Sáb","Dom"))</f>
        <v>0</v>
      </c>
      <c r="M1619" s="27">
        <f>IF($E1619="","",IF($G1619&lt;&gt;"",$G1619,IFERROR(INDEX(ProcValor,MATCH($E1619,ProcNome,0)),0)))</f>
        <v>0</v>
      </c>
      <c r="N1619" s="27">
        <f>IF($M1619="","",IF($F1619="Compareceu",$M1619,0))</f>
        <v>0</v>
      </c>
      <c r="O1619" s="27">
        <f>IF($M1619="","",IF($F1619="Faltou",$M1619,0))</f>
        <v>0</v>
      </c>
      <c r="P1619" s="27">
        <f>IF($M1619="","",IF($F1619="Compareceu",MAX(0,$M1619-N($H1619)),0))</f>
        <v>0</v>
      </c>
      <c r="Q1619" s="19">
        <f>IF(AND($F1619="Compareceu",$E1619&lt;&gt;"",$A1619&lt;&gt;""),IF(IFERROR(INDEX(ProcRet,MATCH($E1619,ProcNome,0)),0)&gt;0,$A1619+INDEX(ProcRet,MATCH($E1619,ProcNome,0)),""),"")</f>
        <v>0</v>
      </c>
      <c r="R1619" s="26">
        <f>IF($Q1619="","",IF(COUNTIFS(AgPac,$D1619,AgData,"&gt;"&amp;$A1619,AgStatus,"&lt;&gt;Cancelado",AgStatus,"&lt;&gt;Remarcado")&gt;0,"Sim","Não"))</f>
        <v>0</v>
      </c>
      <c r="S1619" s="28">
        <f>IF($A1619="","",IF(AND($F1619="Agendado",$A1619-Hoje&gt;=0,$A1619-Hoje&lt;=DiasConf),"CONFIRMAR",IF(AND($A1619&lt;Hoje,OR($F1619="Agendado",$F1619="Confirmado")),"Atualizar status",IF(AND($F1619="Compareceu",$P1619&gt;0.005),"Cobrar",IF($F1619="Faltou","Falta: reagendar","")))))</f>
        <v>0</v>
      </c>
      <c r="T1619" s="29">
        <f>IF($A1619="","",DATE(YEAR($A1619),MONTH($A1619),1))</f>
        <v>0</v>
      </c>
      <c r="U1619" s="30">
        <f>IF($S1619="CONFIRMAR",MAX($U$4:$U1618)+1,"")</f>
        <v>0</v>
      </c>
      <c r="V1619" s="30">
        <f>IF(AND($R1619="Não",$Q1619&lt;&gt;"",$Q1619&lt;=Hoje+JanelaRet,$Q1619&gt;=Hoje-60),MAX($V$4:$V1618)+1,"")</f>
        <v>0</v>
      </c>
    </row>
    <row r="1620" spans="1:22">
      <c r="A1620" s="16"/>
      <c r="B1620" s="23"/>
      <c r="C1620" s="15"/>
      <c r="D1620" s="15"/>
      <c r="E1620" s="15"/>
      <c r="F1620" s="24"/>
      <c r="G1620" s="17"/>
      <c r="H1620" s="17"/>
      <c r="I1620" s="15"/>
      <c r="J1620" s="25">
        <f>IF($D1620="","",IFERROR(INDEX(PacNome,MATCH($D1620,PacCod,0)),"Paciente não cadastrado"))</f>
        <v>0</v>
      </c>
      <c r="K1620" s="26">
        <f>IF($D1620="","",IFERROR(INDEX(PacConv,MATCH($D1620,PacCod,0))&amp;"",""))</f>
        <v>0</v>
      </c>
      <c r="L1620" s="26">
        <f>IF($A1620="","",CHOOSE(WEEKDAY($A1620,2),"Seg","Ter","Qua","Qui","Sex","Sáb","Dom"))</f>
        <v>0</v>
      </c>
      <c r="M1620" s="27">
        <f>IF($E1620="","",IF($G1620&lt;&gt;"",$G1620,IFERROR(INDEX(ProcValor,MATCH($E1620,ProcNome,0)),0)))</f>
        <v>0</v>
      </c>
      <c r="N1620" s="27">
        <f>IF($M1620="","",IF($F1620="Compareceu",$M1620,0))</f>
        <v>0</v>
      </c>
      <c r="O1620" s="27">
        <f>IF($M1620="","",IF($F1620="Faltou",$M1620,0))</f>
        <v>0</v>
      </c>
      <c r="P1620" s="27">
        <f>IF($M1620="","",IF($F1620="Compareceu",MAX(0,$M1620-N($H1620)),0))</f>
        <v>0</v>
      </c>
      <c r="Q1620" s="19">
        <f>IF(AND($F1620="Compareceu",$E1620&lt;&gt;"",$A1620&lt;&gt;""),IF(IFERROR(INDEX(ProcRet,MATCH($E1620,ProcNome,0)),0)&gt;0,$A1620+INDEX(ProcRet,MATCH($E1620,ProcNome,0)),""),"")</f>
        <v>0</v>
      </c>
      <c r="R1620" s="26">
        <f>IF($Q1620="","",IF(COUNTIFS(AgPac,$D1620,AgData,"&gt;"&amp;$A1620,AgStatus,"&lt;&gt;Cancelado",AgStatus,"&lt;&gt;Remarcado")&gt;0,"Sim","Não"))</f>
        <v>0</v>
      </c>
      <c r="S1620" s="28">
        <f>IF($A1620="","",IF(AND($F1620="Agendado",$A1620-Hoje&gt;=0,$A1620-Hoje&lt;=DiasConf),"CONFIRMAR",IF(AND($A1620&lt;Hoje,OR($F1620="Agendado",$F1620="Confirmado")),"Atualizar status",IF(AND($F1620="Compareceu",$P1620&gt;0.005),"Cobrar",IF($F1620="Faltou","Falta: reagendar","")))))</f>
        <v>0</v>
      </c>
      <c r="T1620" s="29">
        <f>IF($A1620="","",DATE(YEAR($A1620),MONTH($A1620),1))</f>
        <v>0</v>
      </c>
      <c r="U1620" s="30">
        <f>IF($S1620="CONFIRMAR",MAX($U$4:$U1619)+1,"")</f>
        <v>0</v>
      </c>
      <c r="V1620" s="30">
        <f>IF(AND($R1620="Não",$Q1620&lt;&gt;"",$Q1620&lt;=Hoje+JanelaRet,$Q1620&gt;=Hoje-60),MAX($V$4:$V1619)+1,"")</f>
        <v>0</v>
      </c>
    </row>
    <row r="1621" spans="1:22">
      <c r="A1621" s="16"/>
      <c r="B1621" s="23"/>
      <c r="C1621" s="15"/>
      <c r="D1621" s="15"/>
      <c r="E1621" s="15"/>
      <c r="F1621" s="24"/>
      <c r="G1621" s="17"/>
      <c r="H1621" s="17"/>
      <c r="I1621" s="15"/>
      <c r="J1621" s="25">
        <f>IF($D1621="","",IFERROR(INDEX(PacNome,MATCH($D1621,PacCod,0)),"Paciente não cadastrado"))</f>
        <v>0</v>
      </c>
      <c r="K1621" s="26">
        <f>IF($D1621="","",IFERROR(INDEX(PacConv,MATCH($D1621,PacCod,0))&amp;"",""))</f>
        <v>0</v>
      </c>
      <c r="L1621" s="26">
        <f>IF($A1621="","",CHOOSE(WEEKDAY($A1621,2),"Seg","Ter","Qua","Qui","Sex","Sáb","Dom"))</f>
        <v>0</v>
      </c>
      <c r="M1621" s="27">
        <f>IF($E1621="","",IF($G1621&lt;&gt;"",$G1621,IFERROR(INDEX(ProcValor,MATCH($E1621,ProcNome,0)),0)))</f>
        <v>0</v>
      </c>
      <c r="N1621" s="27">
        <f>IF($M1621="","",IF($F1621="Compareceu",$M1621,0))</f>
        <v>0</v>
      </c>
      <c r="O1621" s="27">
        <f>IF($M1621="","",IF($F1621="Faltou",$M1621,0))</f>
        <v>0</v>
      </c>
      <c r="P1621" s="27">
        <f>IF($M1621="","",IF($F1621="Compareceu",MAX(0,$M1621-N($H1621)),0))</f>
        <v>0</v>
      </c>
      <c r="Q1621" s="19">
        <f>IF(AND($F1621="Compareceu",$E1621&lt;&gt;"",$A1621&lt;&gt;""),IF(IFERROR(INDEX(ProcRet,MATCH($E1621,ProcNome,0)),0)&gt;0,$A1621+INDEX(ProcRet,MATCH($E1621,ProcNome,0)),""),"")</f>
        <v>0</v>
      </c>
      <c r="R1621" s="26">
        <f>IF($Q1621="","",IF(COUNTIFS(AgPac,$D1621,AgData,"&gt;"&amp;$A1621,AgStatus,"&lt;&gt;Cancelado",AgStatus,"&lt;&gt;Remarcado")&gt;0,"Sim","Não"))</f>
        <v>0</v>
      </c>
      <c r="S1621" s="28">
        <f>IF($A1621="","",IF(AND($F1621="Agendado",$A1621-Hoje&gt;=0,$A1621-Hoje&lt;=DiasConf),"CONFIRMAR",IF(AND($A1621&lt;Hoje,OR($F1621="Agendado",$F1621="Confirmado")),"Atualizar status",IF(AND($F1621="Compareceu",$P1621&gt;0.005),"Cobrar",IF($F1621="Faltou","Falta: reagendar","")))))</f>
        <v>0</v>
      </c>
      <c r="T1621" s="29">
        <f>IF($A1621="","",DATE(YEAR($A1621),MONTH($A1621),1))</f>
        <v>0</v>
      </c>
      <c r="U1621" s="30">
        <f>IF($S1621="CONFIRMAR",MAX($U$4:$U1620)+1,"")</f>
        <v>0</v>
      </c>
      <c r="V1621" s="30">
        <f>IF(AND($R1621="Não",$Q1621&lt;&gt;"",$Q1621&lt;=Hoje+JanelaRet,$Q1621&gt;=Hoje-60),MAX($V$4:$V1620)+1,"")</f>
        <v>0</v>
      </c>
    </row>
    <row r="1622" spans="1:22">
      <c r="A1622" s="16"/>
      <c r="B1622" s="23"/>
      <c r="C1622" s="15"/>
      <c r="D1622" s="15"/>
      <c r="E1622" s="15"/>
      <c r="F1622" s="24"/>
      <c r="G1622" s="17"/>
      <c r="H1622" s="17"/>
      <c r="I1622" s="15"/>
      <c r="J1622" s="25">
        <f>IF($D1622="","",IFERROR(INDEX(PacNome,MATCH($D1622,PacCod,0)),"Paciente não cadastrado"))</f>
        <v>0</v>
      </c>
      <c r="K1622" s="26">
        <f>IF($D1622="","",IFERROR(INDEX(PacConv,MATCH($D1622,PacCod,0))&amp;"",""))</f>
        <v>0</v>
      </c>
      <c r="L1622" s="26">
        <f>IF($A1622="","",CHOOSE(WEEKDAY($A1622,2),"Seg","Ter","Qua","Qui","Sex","Sáb","Dom"))</f>
        <v>0</v>
      </c>
      <c r="M1622" s="27">
        <f>IF($E1622="","",IF($G1622&lt;&gt;"",$G1622,IFERROR(INDEX(ProcValor,MATCH($E1622,ProcNome,0)),0)))</f>
        <v>0</v>
      </c>
      <c r="N1622" s="27">
        <f>IF($M1622="","",IF($F1622="Compareceu",$M1622,0))</f>
        <v>0</v>
      </c>
      <c r="O1622" s="27">
        <f>IF($M1622="","",IF($F1622="Faltou",$M1622,0))</f>
        <v>0</v>
      </c>
      <c r="P1622" s="27">
        <f>IF($M1622="","",IF($F1622="Compareceu",MAX(0,$M1622-N($H1622)),0))</f>
        <v>0</v>
      </c>
      <c r="Q1622" s="19">
        <f>IF(AND($F1622="Compareceu",$E1622&lt;&gt;"",$A1622&lt;&gt;""),IF(IFERROR(INDEX(ProcRet,MATCH($E1622,ProcNome,0)),0)&gt;0,$A1622+INDEX(ProcRet,MATCH($E1622,ProcNome,0)),""),"")</f>
        <v>0</v>
      </c>
      <c r="R1622" s="26">
        <f>IF($Q1622="","",IF(COUNTIFS(AgPac,$D1622,AgData,"&gt;"&amp;$A1622,AgStatus,"&lt;&gt;Cancelado",AgStatus,"&lt;&gt;Remarcado")&gt;0,"Sim","Não"))</f>
        <v>0</v>
      </c>
      <c r="S1622" s="28">
        <f>IF($A1622="","",IF(AND($F1622="Agendado",$A1622-Hoje&gt;=0,$A1622-Hoje&lt;=DiasConf),"CONFIRMAR",IF(AND($A1622&lt;Hoje,OR($F1622="Agendado",$F1622="Confirmado")),"Atualizar status",IF(AND($F1622="Compareceu",$P1622&gt;0.005),"Cobrar",IF($F1622="Faltou","Falta: reagendar","")))))</f>
        <v>0</v>
      </c>
      <c r="T1622" s="29">
        <f>IF($A1622="","",DATE(YEAR($A1622),MONTH($A1622),1))</f>
        <v>0</v>
      </c>
      <c r="U1622" s="30">
        <f>IF($S1622="CONFIRMAR",MAX($U$4:$U1621)+1,"")</f>
        <v>0</v>
      </c>
      <c r="V1622" s="30">
        <f>IF(AND($R1622="Não",$Q1622&lt;&gt;"",$Q1622&lt;=Hoje+JanelaRet,$Q1622&gt;=Hoje-60),MAX($V$4:$V1621)+1,"")</f>
        <v>0</v>
      </c>
    </row>
    <row r="1623" spans="1:22">
      <c r="A1623" s="16"/>
      <c r="B1623" s="23"/>
      <c r="C1623" s="15"/>
      <c r="D1623" s="15"/>
      <c r="E1623" s="15"/>
      <c r="F1623" s="24"/>
      <c r="G1623" s="17"/>
      <c r="H1623" s="17"/>
      <c r="I1623" s="15"/>
      <c r="J1623" s="25">
        <f>IF($D1623="","",IFERROR(INDEX(PacNome,MATCH($D1623,PacCod,0)),"Paciente não cadastrado"))</f>
        <v>0</v>
      </c>
      <c r="K1623" s="26">
        <f>IF($D1623="","",IFERROR(INDEX(PacConv,MATCH($D1623,PacCod,0))&amp;"",""))</f>
        <v>0</v>
      </c>
      <c r="L1623" s="26">
        <f>IF($A1623="","",CHOOSE(WEEKDAY($A1623,2),"Seg","Ter","Qua","Qui","Sex","Sáb","Dom"))</f>
        <v>0</v>
      </c>
      <c r="M1623" s="27">
        <f>IF($E1623="","",IF($G1623&lt;&gt;"",$G1623,IFERROR(INDEX(ProcValor,MATCH($E1623,ProcNome,0)),0)))</f>
        <v>0</v>
      </c>
      <c r="N1623" s="27">
        <f>IF($M1623="","",IF($F1623="Compareceu",$M1623,0))</f>
        <v>0</v>
      </c>
      <c r="O1623" s="27">
        <f>IF($M1623="","",IF($F1623="Faltou",$M1623,0))</f>
        <v>0</v>
      </c>
      <c r="P1623" s="27">
        <f>IF($M1623="","",IF($F1623="Compareceu",MAX(0,$M1623-N($H1623)),0))</f>
        <v>0</v>
      </c>
      <c r="Q1623" s="19">
        <f>IF(AND($F1623="Compareceu",$E1623&lt;&gt;"",$A1623&lt;&gt;""),IF(IFERROR(INDEX(ProcRet,MATCH($E1623,ProcNome,0)),0)&gt;0,$A1623+INDEX(ProcRet,MATCH($E1623,ProcNome,0)),""),"")</f>
        <v>0</v>
      </c>
      <c r="R1623" s="26">
        <f>IF($Q1623="","",IF(COUNTIFS(AgPac,$D1623,AgData,"&gt;"&amp;$A1623,AgStatus,"&lt;&gt;Cancelado",AgStatus,"&lt;&gt;Remarcado")&gt;0,"Sim","Não"))</f>
        <v>0</v>
      </c>
      <c r="S1623" s="28">
        <f>IF($A1623="","",IF(AND($F1623="Agendado",$A1623-Hoje&gt;=0,$A1623-Hoje&lt;=DiasConf),"CONFIRMAR",IF(AND($A1623&lt;Hoje,OR($F1623="Agendado",$F1623="Confirmado")),"Atualizar status",IF(AND($F1623="Compareceu",$P1623&gt;0.005),"Cobrar",IF($F1623="Faltou","Falta: reagendar","")))))</f>
        <v>0</v>
      </c>
      <c r="T1623" s="29">
        <f>IF($A1623="","",DATE(YEAR($A1623),MONTH($A1623),1))</f>
        <v>0</v>
      </c>
      <c r="U1623" s="30">
        <f>IF($S1623="CONFIRMAR",MAX($U$4:$U1622)+1,"")</f>
        <v>0</v>
      </c>
      <c r="V1623" s="30">
        <f>IF(AND($R1623="Não",$Q1623&lt;&gt;"",$Q1623&lt;=Hoje+JanelaRet,$Q1623&gt;=Hoje-60),MAX($V$4:$V1622)+1,"")</f>
        <v>0</v>
      </c>
    </row>
    <row r="1624" spans="1:22">
      <c r="A1624" s="16"/>
      <c r="B1624" s="23"/>
      <c r="C1624" s="15"/>
      <c r="D1624" s="15"/>
      <c r="E1624" s="15"/>
      <c r="F1624" s="24"/>
      <c r="G1624" s="17"/>
      <c r="H1624" s="17"/>
      <c r="I1624" s="15"/>
      <c r="J1624" s="25">
        <f>IF($D1624="","",IFERROR(INDEX(PacNome,MATCH($D1624,PacCod,0)),"Paciente não cadastrado"))</f>
        <v>0</v>
      </c>
      <c r="K1624" s="26">
        <f>IF($D1624="","",IFERROR(INDEX(PacConv,MATCH($D1624,PacCod,0))&amp;"",""))</f>
        <v>0</v>
      </c>
      <c r="L1624" s="26">
        <f>IF($A1624="","",CHOOSE(WEEKDAY($A1624,2),"Seg","Ter","Qua","Qui","Sex","Sáb","Dom"))</f>
        <v>0</v>
      </c>
      <c r="M1624" s="27">
        <f>IF($E1624="","",IF($G1624&lt;&gt;"",$G1624,IFERROR(INDEX(ProcValor,MATCH($E1624,ProcNome,0)),0)))</f>
        <v>0</v>
      </c>
      <c r="N1624" s="27">
        <f>IF($M1624="","",IF($F1624="Compareceu",$M1624,0))</f>
        <v>0</v>
      </c>
      <c r="O1624" s="27">
        <f>IF($M1624="","",IF($F1624="Faltou",$M1624,0))</f>
        <v>0</v>
      </c>
      <c r="P1624" s="27">
        <f>IF($M1624="","",IF($F1624="Compareceu",MAX(0,$M1624-N($H1624)),0))</f>
        <v>0</v>
      </c>
      <c r="Q1624" s="19">
        <f>IF(AND($F1624="Compareceu",$E1624&lt;&gt;"",$A1624&lt;&gt;""),IF(IFERROR(INDEX(ProcRet,MATCH($E1624,ProcNome,0)),0)&gt;0,$A1624+INDEX(ProcRet,MATCH($E1624,ProcNome,0)),""),"")</f>
        <v>0</v>
      </c>
      <c r="R1624" s="26">
        <f>IF($Q1624="","",IF(COUNTIFS(AgPac,$D1624,AgData,"&gt;"&amp;$A1624,AgStatus,"&lt;&gt;Cancelado",AgStatus,"&lt;&gt;Remarcado")&gt;0,"Sim","Não"))</f>
        <v>0</v>
      </c>
      <c r="S1624" s="28">
        <f>IF($A1624="","",IF(AND($F1624="Agendado",$A1624-Hoje&gt;=0,$A1624-Hoje&lt;=DiasConf),"CONFIRMAR",IF(AND($A1624&lt;Hoje,OR($F1624="Agendado",$F1624="Confirmado")),"Atualizar status",IF(AND($F1624="Compareceu",$P1624&gt;0.005),"Cobrar",IF($F1624="Faltou","Falta: reagendar","")))))</f>
        <v>0</v>
      </c>
      <c r="T1624" s="29">
        <f>IF($A1624="","",DATE(YEAR($A1624),MONTH($A1624),1))</f>
        <v>0</v>
      </c>
      <c r="U1624" s="30">
        <f>IF($S1624="CONFIRMAR",MAX($U$4:$U1623)+1,"")</f>
        <v>0</v>
      </c>
      <c r="V1624" s="30">
        <f>IF(AND($R1624="Não",$Q1624&lt;&gt;"",$Q1624&lt;=Hoje+JanelaRet,$Q1624&gt;=Hoje-60),MAX($V$4:$V1623)+1,"")</f>
        <v>0</v>
      </c>
    </row>
    <row r="1625" spans="1:22">
      <c r="A1625" s="16"/>
      <c r="B1625" s="23"/>
      <c r="C1625" s="15"/>
      <c r="D1625" s="15"/>
      <c r="E1625" s="15"/>
      <c r="F1625" s="24"/>
      <c r="G1625" s="17"/>
      <c r="H1625" s="17"/>
      <c r="I1625" s="15"/>
      <c r="J1625" s="25">
        <f>IF($D1625="","",IFERROR(INDEX(PacNome,MATCH($D1625,PacCod,0)),"Paciente não cadastrado"))</f>
        <v>0</v>
      </c>
      <c r="K1625" s="26">
        <f>IF($D1625="","",IFERROR(INDEX(PacConv,MATCH($D1625,PacCod,0))&amp;"",""))</f>
        <v>0</v>
      </c>
      <c r="L1625" s="26">
        <f>IF($A1625="","",CHOOSE(WEEKDAY($A1625,2),"Seg","Ter","Qua","Qui","Sex","Sáb","Dom"))</f>
        <v>0</v>
      </c>
      <c r="M1625" s="27">
        <f>IF($E1625="","",IF($G1625&lt;&gt;"",$G1625,IFERROR(INDEX(ProcValor,MATCH($E1625,ProcNome,0)),0)))</f>
        <v>0</v>
      </c>
      <c r="N1625" s="27">
        <f>IF($M1625="","",IF($F1625="Compareceu",$M1625,0))</f>
        <v>0</v>
      </c>
      <c r="O1625" s="27">
        <f>IF($M1625="","",IF($F1625="Faltou",$M1625,0))</f>
        <v>0</v>
      </c>
      <c r="P1625" s="27">
        <f>IF($M1625="","",IF($F1625="Compareceu",MAX(0,$M1625-N($H1625)),0))</f>
        <v>0</v>
      </c>
      <c r="Q1625" s="19">
        <f>IF(AND($F1625="Compareceu",$E1625&lt;&gt;"",$A1625&lt;&gt;""),IF(IFERROR(INDEX(ProcRet,MATCH($E1625,ProcNome,0)),0)&gt;0,$A1625+INDEX(ProcRet,MATCH($E1625,ProcNome,0)),""),"")</f>
        <v>0</v>
      </c>
      <c r="R1625" s="26">
        <f>IF($Q1625="","",IF(COUNTIFS(AgPac,$D1625,AgData,"&gt;"&amp;$A1625,AgStatus,"&lt;&gt;Cancelado",AgStatus,"&lt;&gt;Remarcado")&gt;0,"Sim","Não"))</f>
        <v>0</v>
      </c>
      <c r="S1625" s="28">
        <f>IF($A1625="","",IF(AND($F1625="Agendado",$A1625-Hoje&gt;=0,$A1625-Hoje&lt;=DiasConf),"CONFIRMAR",IF(AND($A1625&lt;Hoje,OR($F1625="Agendado",$F1625="Confirmado")),"Atualizar status",IF(AND($F1625="Compareceu",$P1625&gt;0.005),"Cobrar",IF($F1625="Faltou","Falta: reagendar","")))))</f>
        <v>0</v>
      </c>
      <c r="T1625" s="29">
        <f>IF($A1625="","",DATE(YEAR($A1625),MONTH($A1625),1))</f>
        <v>0</v>
      </c>
      <c r="U1625" s="30">
        <f>IF($S1625="CONFIRMAR",MAX($U$4:$U1624)+1,"")</f>
        <v>0</v>
      </c>
      <c r="V1625" s="30">
        <f>IF(AND($R1625="Não",$Q1625&lt;&gt;"",$Q1625&lt;=Hoje+JanelaRet,$Q1625&gt;=Hoje-60),MAX($V$4:$V1624)+1,"")</f>
        <v>0</v>
      </c>
    </row>
    <row r="1626" spans="1:22">
      <c r="A1626" s="16"/>
      <c r="B1626" s="23"/>
      <c r="C1626" s="15"/>
      <c r="D1626" s="15"/>
      <c r="E1626" s="15"/>
      <c r="F1626" s="24"/>
      <c r="G1626" s="17"/>
      <c r="H1626" s="17"/>
      <c r="I1626" s="15"/>
      <c r="J1626" s="25">
        <f>IF($D1626="","",IFERROR(INDEX(PacNome,MATCH($D1626,PacCod,0)),"Paciente não cadastrado"))</f>
        <v>0</v>
      </c>
      <c r="K1626" s="26">
        <f>IF($D1626="","",IFERROR(INDEX(PacConv,MATCH($D1626,PacCod,0))&amp;"",""))</f>
        <v>0</v>
      </c>
      <c r="L1626" s="26">
        <f>IF($A1626="","",CHOOSE(WEEKDAY($A1626,2),"Seg","Ter","Qua","Qui","Sex","Sáb","Dom"))</f>
        <v>0</v>
      </c>
      <c r="M1626" s="27">
        <f>IF($E1626="","",IF($G1626&lt;&gt;"",$G1626,IFERROR(INDEX(ProcValor,MATCH($E1626,ProcNome,0)),0)))</f>
        <v>0</v>
      </c>
      <c r="N1626" s="27">
        <f>IF($M1626="","",IF($F1626="Compareceu",$M1626,0))</f>
        <v>0</v>
      </c>
      <c r="O1626" s="27">
        <f>IF($M1626="","",IF($F1626="Faltou",$M1626,0))</f>
        <v>0</v>
      </c>
      <c r="P1626" s="27">
        <f>IF($M1626="","",IF($F1626="Compareceu",MAX(0,$M1626-N($H1626)),0))</f>
        <v>0</v>
      </c>
      <c r="Q1626" s="19">
        <f>IF(AND($F1626="Compareceu",$E1626&lt;&gt;"",$A1626&lt;&gt;""),IF(IFERROR(INDEX(ProcRet,MATCH($E1626,ProcNome,0)),0)&gt;0,$A1626+INDEX(ProcRet,MATCH($E1626,ProcNome,0)),""),"")</f>
        <v>0</v>
      </c>
      <c r="R1626" s="26">
        <f>IF($Q1626="","",IF(COUNTIFS(AgPac,$D1626,AgData,"&gt;"&amp;$A1626,AgStatus,"&lt;&gt;Cancelado",AgStatus,"&lt;&gt;Remarcado")&gt;0,"Sim","Não"))</f>
        <v>0</v>
      </c>
      <c r="S1626" s="28">
        <f>IF($A1626="","",IF(AND($F1626="Agendado",$A1626-Hoje&gt;=0,$A1626-Hoje&lt;=DiasConf),"CONFIRMAR",IF(AND($A1626&lt;Hoje,OR($F1626="Agendado",$F1626="Confirmado")),"Atualizar status",IF(AND($F1626="Compareceu",$P1626&gt;0.005),"Cobrar",IF($F1626="Faltou","Falta: reagendar","")))))</f>
        <v>0</v>
      </c>
      <c r="T1626" s="29">
        <f>IF($A1626="","",DATE(YEAR($A1626),MONTH($A1626),1))</f>
        <v>0</v>
      </c>
      <c r="U1626" s="30">
        <f>IF($S1626="CONFIRMAR",MAX($U$4:$U1625)+1,"")</f>
        <v>0</v>
      </c>
      <c r="V1626" s="30">
        <f>IF(AND($R1626="Não",$Q1626&lt;&gt;"",$Q1626&lt;=Hoje+JanelaRet,$Q1626&gt;=Hoje-60),MAX($V$4:$V1625)+1,"")</f>
        <v>0</v>
      </c>
    </row>
    <row r="1627" spans="1:22">
      <c r="A1627" s="16"/>
      <c r="B1627" s="23"/>
      <c r="C1627" s="15"/>
      <c r="D1627" s="15"/>
      <c r="E1627" s="15"/>
      <c r="F1627" s="24"/>
      <c r="G1627" s="17"/>
      <c r="H1627" s="17"/>
      <c r="I1627" s="15"/>
      <c r="J1627" s="25">
        <f>IF($D1627="","",IFERROR(INDEX(PacNome,MATCH($D1627,PacCod,0)),"Paciente não cadastrado"))</f>
        <v>0</v>
      </c>
      <c r="K1627" s="26">
        <f>IF($D1627="","",IFERROR(INDEX(PacConv,MATCH($D1627,PacCod,0))&amp;"",""))</f>
        <v>0</v>
      </c>
      <c r="L1627" s="26">
        <f>IF($A1627="","",CHOOSE(WEEKDAY($A1627,2),"Seg","Ter","Qua","Qui","Sex","Sáb","Dom"))</f>
        <v>0</v>
      </c>
      <c r="M1627" s="27">
        <f>IF($E1627="","",IF($G1627&lt;&gt;"",$G1627,IFERROR(INDEX(ProcValor,MATCH($E1627,ProcNome,0)),0)))</f>
        <v>0</v>
      </c>
      <c r="N1627" s="27">
        <f>IF($M1627="","",IF($F1627="Compareceu",$M1627,0))</f>
        <v>0</v>
      </c>
      <c r="O1627" s="27">
        <f>IF($M1627="","",IF($F1627="Faltou",$M1627,0))</f>
        <v>0</v>
      </c>
      <c r="P1627" s="27">
        <f>IF($M1627="","",IF($F1627="Compareceu",MAX(0,$M1627-N($H1627)),0))</f>
        <v>0</v>
      </c>
      <c r="Q1627" s="19">
        <f>IF(AND($F1627="Compareceu",$E1627&lt;&gt;"",$A1627&lt;&gt;""),IF(IFERROR(INDEX(ProcRet,MATCH($E1627,ProcNome,0)),0)&gt;0,$A1627+INDEX(ProcRet,MATCH($E1627,ProcNome,0)),""),"")</f>
        <v>0</v>
      </c>
      <c r="R1627" s="26">
        <f>IF($Q1627="","",IF(COUNTIFS(AgPac,$D1627,AgData,"&gt;"&amp;$A1627,AgStatus,"&lt;&gt;Cancelado",AgStatus,"&lt;&gt;Remarcado")&gt;0,"Sim","Não"))</f>
        <v>0</v>
      </c>
      <c r="S1627" s="28">
        <f>IF($A1627="","",IF(AND($F1627="Agendado",$A1627-Hoje&gt;=0,$A1627-Hoje&lt;=DiasConf),"CONFIRMAR",IF(AND($A1627&lt;Hoje,OR($F1627="Agendado",$F1627="Confirmado")),"Atualizar status",IF(AND($F1627="Compareceu",$P1627&gt;0.005),"Cobrar",IF($F1627="Faltou","Falta: reagendar","")))))</f>
        <v>0</v>
      </c>
      <c r="T1627" s="29">
        <f>IF($A1627="","",DATE(YEAR($A1627),MONTH($A1627),1))</f>
        <v>0</v>
      </c>
      <c r="U1627" s="30">
        <f>IF($S1627="CONFIRMAR",MAX($U$4:$U1626)+1,"")</f>
        <v>0</v>
      </c>
      <c r="V1627" s="30">
        <f>IF(AND($R1627="Não",$Q1627&lt;&gt;"",$Q1627&lt;=Hoje+JanelaRet,$Q1627&gt;=Hoje-60),MAX($V$4:$V1626)+1,"")</f>
        <v>0</v>
      </c>
    </row>
    <row r="1628" spans="1:22">
      <c r="A1628" s="16"/>
      <c r="B1628" s="23"/>
      <c r="C1628" s="15"/>
      <c r="D1628" s="15"/>
      <c r="E1628" s="15"/>
      <c r="F1628" s="24"/>
      <c r="G1628" s="17"/>
      <c r="H1628" s="17"/>
      <c r="I1628" s="15"/>
      <c r="J1628" s="25">
        <f>IF($D1628="","",IFERROR(INDEX(PacNome,MATCH($D1628,PacCod,0)),"Paciente não cadastrado"))</f>
        <v>0</v>
      </c>
      <c r="K1628" s="26">
        <f>IF($D1628="","",IFERROR(INDEX(PacConv,MATCH($D1628,PacCod,0))&amp;"",""))</f>
        <v>0</v>
      </c>
      <c r="L1628" s="26">
        <f>IF($A1628="","",CHOOSE(WEEKDAY($A1628,2),"Seg","Ter","Qua","Qui","Sex","Sáb","Dom"))</f>
        <v>0</v>
      </c>
      <c r="M1628" s="27">
        <f>IF($E1628="","",IF($G1628&lt;&gt;"",$G1628,IFERROR(INDEX(ProcValor,MATCH($E1628,ProcNome,0)),0)))</f>
        <v>0</v>
      </c>
      <c r="N1628" s="27">
        <f>IF($M1628="","",IF($F1628="Compareceu",$M1628,0))</f>
        <v>0</v>
      </c>
      <c r="O1628" s="27">
        <f>IF($M1628="","",IF($F1628="Faltou",$M1628,0))</f>
        <v>0</v>
      </c>
      <c r="P1628" s="27">
        <f>IF($M1628="","",IF($F1628="Compareceu",MAX(0,$M1628-N($H1628)),0))</f>
        <v>0</v>
      </c>
      <c r="Q1628" s="19">
        <f>IF(AND($F1628="Compareceu",$E1628&lt;&gt;"",$A1628&lt;&gt;""),IF(IFERROR(INDEX(ProcRet,MATCH($E1628,ProcNome,0)),0)&gt;0,$A1628+INDEX(ProcRet,MATCH($E1628,ProcNome,0)),""),"")</f>
        <v>0</v>
      </c>
      <c r="R1628" s="26">
        <f>IF($Q1628="","",IF(COUNTIFS(AgPac,$D1628,AgData,"&gt;"&amp;$A1628,AgStatus,"&lt;&gt;Cancelado",AgStatus,"&lt;&gt;Remarcado")&gt;0,"Sim","Não"))</f>
        <v>0</v>
      </c>
      <c r="S1628" s="28">
        <f>IF($A1628="","",IF(AND($F1628="Agendado",$A1628-Hoje&gt;=0,$A1628-Hoje&lt;=DiasConf),"CONFIRMAR",IF(AND($A1628&lt;Hoje,OR($F1628="Agendado",$F1628="Confirmado")),"Atualizar status",IF(AND($F1628="Compareceu",$P1628&gt;0.005),"Cobrar",IF($F1628="Faltou","Falta: reagendar","")))))</f>
        <v>0</v>
      </c>
      <c r="T1628" s="29">
        <f>IF($A1628="","",DATE(YEAR($A1628),MONTH($A1628),1))</f>
        <v>0</v>
      </c>
      <c r="U1628" s="30">
        <f>IF($S1628="CONFIRMAR",MAX($U$4:$U1627)+1,"")</f>
        <v>0</v>
      </c>
      <c r="V1628" s="30">
        <f>IF(AND($R1628="Não",$Q1628&lt;&gt;"",$Q1628&lt;=Hoje+JanelaRet,$Q1628&gt;=Hoje-60),MAX($V$4:$V1627)+1,"")</f>
        <v>0</v>
      </c>
    </row>
    <row r="1629" spans="1:22">
      <c r="A1629" s="16"/>
      <c r="B1629" s="23"/>
      <c r="C1629" s="15"/>
      <c r="D1629" s="15"/>
      <c r="E1629" s="15"/>
      <c r="F1629" s="24"/>
      <c r="G1629" s="17"/>
      <c r="H1629" s="17"/>
      <c r="I1629" s="15"/>
      <c r="J1629" s="25">
        <f>IF($D1629="","",IFERROR(INDEX(PacNome,MATCH($D1629,PacCod,0)),"Paciente não cadastrado"))</f>
        <v>0</v>
      </c>
      <c r="K1629" s="26">
        <f>IF($D1629="","",IFERROR(INDEX(PacConv,MATCH($D1629,PacCod,0))&amp;"",""))</f>
        <v>0</v>
      </c>
      <c r="L1629" s="26">
        <f>IF($A1629="","",CHOOSE(WEEKDAY($A1629,2),"Seg","Ter","Qua","Qui","Sex","Sáb","Dom"))</f>
        <v>0</v>
      </c>
      <c r="M1629" s="27">
        <f>IF($E1629="","",IF($G1629&lt;&gt;"",$G1629,IFERROR(INDEX(ProcValor,MATCH($E1629,ProcNome,0)),0)))</f>
        <v>0</v>
      </c>
      <c r="N1629" s="27">
        <f>IF($M1629="","",IF($F1629="Compareceu",$M1629,0))</f>
        <v>0</v>
      </c>
      <c r="O1629" s="27">
        <f>IF($M1629="","",IF($F1629="Faltou",$M1629,0))</f>
        <v>0</v>
      </c>
      <c r="P1629" s="27">
        <f>IF($M1629="","",IF($F1629="Compareceu",MAX(0,$M1629-N($H1629)),0))</f>
        <v>0</v>
      </c>
      <c r="Q1629" s="19">
        <f>IF(AND($F1629="Compareceu",$E1629&lt;&gt;"",$A1629&lt;&gt;""),IF(IFERROR(INDEX(ProcRet,MATCH($E1629,ProcNome,0)),0)&gt;0,$A1629+INDEX(ProcRet,MATCH($E1629,ProcNome,0)),""),"")</f>
        <v>0</v>
      </c>
      <c r="R1629" s="26">
        <f>IF($Q1629="","",IF(COUNTIFS(AgPac,$D1629,AgData,"&gt;"&amp;$A1629,AgStatus,"&lt;&gt;Cancelado",AgStatus,"&lt;&gt;Remarcado")&gt;0,"Sim","Não"))</f>
        <v>0</v>
      </c>
      <c r="S1629" s="28">
        <f>IF($A1629="","",IF(AND($F1629="Agendado",$A1629-Hoje&gt;=0,$A1629-Hoje&lt;=DiasConf),"CONFIRMAR",IF(AND($A1629&lt;Hoje,OR($F1629="Agendado",$F1629="Confirmado")),"Atualizar status",IF(AND($F1629="Compareceu",$P1629&gt;0.005),"Cobrar",IF($F1629="Faltou","Falta: reagendar","")))))</f>
        <v>0</v>
      </c>
      <c r="T1629" s="29">
        <f>IF($A1629="","",DATE(YEAR($A1629),MONTH($A1629),1))</f>
        <v>0</v>
      </c>
      <c r="U1629" s="30">
        <f>IF($S1629="CONFIRMAR",MAX($U$4:$U1628)+1,"")</f>
        <v>0</v>
      </c>
      <c r="V1629" s="30">
        <f>IF(AND($R1629="Não",$Q1629&lt;&gt;"",$Q1629&lt;=Hoje+JanelaRet,$Q1629&gt;=Hoje-60),MAX($V$4:$V1628)+1,"")</f>
        <v>0</v>
      </c>
    </row>
    <row r="1630" spans="1:22">
      <c r="A1630" s="16"/>
      <c r="B1630" s="23"/>
      <c r="C1630" s="15"/>
      <c r="D1630" s="15"/>
      <c r="E1630" s="15"/>
      <c r="F1630" s="24"/>
      <c r="G1630" s="17"/>
      <c r="H1630" s="17"/>
      <c r="I1630" s="15"/>
      <c r="J1630" s="25">
        <f>IF($D1630="","",IFERROR(INDEX(PacNome,MATCH($D1630,PacCod,0)),"Paciente não cadastrado"))</f>
        <v>0</v>
      </c>
      <c r="K1630" s="26">
        <f>IF($D1630="","",IFERROR(INDEX(PacConv,MATCH($D1630,PacCod,0))&amp;"",""))</f>
        <v>0</v>
      </c>
      <c r="L1630" s="26">
        <f>IF($A1630="","",CHOOSE(WEEKDAY($A1630,2),"Seg","Ter","Qua","Qui","Sex","Sáb","Dom"))</f>
        <v>0</v>
      </c>
      <c r="M1630" s="27">
        <f>IF($E1630="","",IF($G1630&lt;&gt;"",$G1630,IFERROR(INDEX(ProcValor,MATCH($E1630,ProcNome,0)),0)))</f>
        <v>0</v>
      </c>
      <c r="N1630" s="27">
        <f>IF($M1630="","",IF($F1630="Compareceu",$M1630,0))</f>
        <v>0</v>
      </c>
      <c r="O1630" s="27">
        <f>IF($M1630="","",IF($F1630="Faltou",$M1630,0))</f>
        <v>0</v>
      </c>
      <c r="P1630" s="27">
        <f>IF($M1630="","",IF($F1630="Compareceu",MAX(0,$M1630-N($H1630)),0))</f>
        <v>0</v>
      </c>
      <c r="Q1630" s="19">
        <f>IF(AND($F1630="Compareceu",$E1630&lt;&gt;"",$A1630&lt;&gt;""),IF(IFERROR(INDEX(ProcRet,MATCH($E1630,ProcNome,0)),0)&gt;0,$A1630+INDEX(ProcRet,MATCH($E1630,ProcNome,0)),""),"")</f>
        <v>0</v>
      </c>
      <c r="R1630" s="26">
        <f>IF($Q1630="","",IF(COUNTIFS(AgPac,$D1630,AgData,"&gt;"&amp;$A1630,AgStatus,"&lt;&gt;Cancelado",AgStatus,"&lt;&gt;Remarcado")&gt;0,"Sim","Não"))</f>
        <v>0</v>
      </c>
      <c r="S1630" s="28">
        <f>IF($A1630="","",IF(AND($F1630="Agendado",$A1630-Hoje&gt;=0,$A1630-Hoje&lt;=DiasConf),"CONFIRMAR",IF(AND($A1630&lt;Hoje,OR($F1630="Agendado",$F1630="Confirmado")),"Atualizar status",IF(AND($F1630="Compareceu",$P1630&gt;0.005),"Cobrar",IF($F1630="Faltou","Falta: reagendar","")))))</f>
        <v>0</v>
      </c>
      <c r="T1630" s="29">
        <f>IF($A1630="","",DATE(YEAR($A1630),MONTH($A1630),1))</f>
        <v>0</v>
      </c>
      <c r="U1630" s="30">
        <f>IF($S1630="CONFIRMAR",MAX($U$4:$U1629)+1,"")</f>
        <v>0</v>
      </c>
      <c r="V1630" s="30">
        <f>IF(AND($R1630="Não",$Q1630&lt;&gt;"",$Q1630&lt;=Hoje+JanelaRet,$Q1630&gt;=Hoje-60),MAX($V$4:$V1629)+1,"")</f>
        <v>0</v>
      </c>
    </row>
    <row r="1631" spans="1:22">
      <c r="A1631" s="16"/>
      <c r="B1631" s="23"/>
      <c r="C1631" s="15"/>
      <c r="D1631" s="15"/>
      <c r="E1631" s="15"/>
      <c r="F1631" s="24"/>
      <c r="G1631" s="17"/>
      <c r="H1631" s="17"/>
      <c r="I1631" s="15"/>
      <c r="J1631" s="25">
        <f>IF($D1631="","",IFERROR(INDEX(PacNome,MATCH($D1631,PacCod,0)),"Paciente não cadastrado"))</f>
        <v>0</v>
      </c>
      <c r="K1631" s="26">
        <f>IF($D1631="","",IFERROR(INDEX(PacConv,MATCH($D1631,PacCod,0))&amp;"",""))</f>
        <v>0</v>
      </c>
      <c r="L1631" s="26">
        <f>IF($A1631="","",CHOOSE(WEEKDAY($A1631,2),"Seg","Ter","Qua","Qui","Sex","Sáb","Dom"))</f>
        <v>0</v>
      </c>
      <c r="M1631" s="27">
        <f>IF($E1631="","",IF($G1631&lt;&gt;"",$G1631,IFERROR(INDEX(ProcValor,MATCH($E1631,ProcNome,0)),0)))</f>
        <v>0</v>
      </c>
      <c r="N1631" s="27">
        <f>IF($M1631="","",IF($F1631="Compareceu",$M1631,0))</f>
        <v>0</v>
      </c>
      <c r="O1631" s="27">
        <f>IF($M1631="","",IF($F1631="Faltou",$M1631,0))</f>
        <v>0</v>
      </c>
      <c r="P1631" s="27">
        <f>IF($M1631="","",IF($F1631="Compareceu",MAX(0,$M1631-N($H1631)),0))</f>
        <v>0</v>
      </c>
      <c r="Q1631" s="19">
        <f>IF(AND($F1631="Compareceu",$E1631&lt;&gt;"",$A1631&lt;&gt;""),IF(IFERROR(INDEX(ProcRet,MATCH($E1631,ProcNome,0)),0)&gt;0,$A1631+INDEX(ProcRet,MATCH($E1631,ProcNome,0)),""),"")</f>
        <v>0</v>
      </c>
      <c r="R1631" s="26">
        <f>IF($Q1631="","",IF(COUNTIFS(AgPac,$D1631,AgData,"&gt;"&amp;$A1631,AgStatus,"&lt;&gt;Cancelado",AgStatus,"&lt;&gt;Remarcado")&gt;0,"Sim","Não"))</f>
        <v>0</v>
      </c>
      <c r="S1631" s="28">
        <f>IF($A1631="","",IF(AND($F1631="Agendado",$A1631-Hoje&gt;=0,$A1631-Hoje&lt;=DiasConf),"CONFIRMAR",IF(AND($A1631&lt;Hoje,OR($F1631="Agendado",$F1631="Confirmado")),"Atualizar status",IF(AND($F1631="Compareceu",$P1631&gt;0.005),"Cobrar",IF($F1631="Faltou","Falta: reagendar","")))))</f>
        <v>0</v>
      </c>
      <c r="T1631" s="29">
        <f>IF($A1631="","",DATE(YEAR($A1631),MONTH($A1631),1))</f>
        <v>0</v>
      </c>
      <c r="U1631" s="30">
        <f>IF($S1631="CONFIRMAR",MAX($U$4:$U1630)+1,"")</f>
        <v>0</v>
      </c>
      <c r="V1631" s="30">
        <f>IF(AND($R1631="Não",$Q1631&lt;&gt;"",$Q1631&lt;=Hoje+JanelaRet,$Q1631&gt;=Hoje-60),MAX($V$4:$V1630)+1,"")</f>
        <v>0</v>
      </c>
    </row>
    <row r="1632" spans="1:22">
      <c r="A1632" s="16"/>
      <c r="B1632" s="23"/>
      <c r="C1632" s="15"/>
      <c r="D1632" s="15"/>
      <c r="E1632" s="15"/>
      <c r="F1632" s="24"/>
      <c r="G1632" s="17"/>
      <c r="H1632" s="17"/>
      <c r="I1632" s="15"/>
      <c r="J1632" s="25">
        <f>IF($D1632="","",IFERROR(INDEX(PacNome,MATCH($D1632,PacCod,0)),"Paciente não cadastrado"))</f>
        <v>0</v>
      </c>
      <c r="K1632" s="26">
        <f>IF($D1632="","",IFERROR(INDEX(PacConv,MATCH($D1632,PacCod,0))&amp;"",""))</f>
        <v>0</v>
      </c>
      <c r="L1632" s="26">
        <f>IF($A1632="","",CHOOSE(WEEKDAY($A1632,2),"Seg","Ter","Qua","Qui","Sex","Sáb","Dom"))</f>
        <v>0</v>
      </c>
      <c r="M1632" s="27">
        <f>IF($E1632="","",IF($G1632&lt;&gt;"",$G1632,IFERROR(INDEX(ProcValor,MATCH($E1632,ProcNome,0)),0)))</f>
        <v>0</v>
      </c>
      <c r="N1632" s="27">
        <f>IF($M1632="","",IF($F1632="Compareceu",$M1632,0))</f>
        <v>0</v>
      </c>
      <c r="O1632" s="27">
        <f>IF($M1632="","",IF($F1632="Faltou",$M1632,0))</f>
        <v>0</v>
      </c>
      <c r="P1632" s="27">
        <f>IF($M1632="","",IF($F1632="Compareceu",MAX(0,$M1632-N($H1632)),0))</f>
        <v>0</v>
      </c>
      <c r="Q1632" s="19">
        <f>IF(AND($F1632="Compareceu",$E1632&lt;&gt;"",$A1632&lt;&gt;""),IF(IFERROR(INDEX(ProcRet,MATCH($E1632,ProcNome,0)),0)&gt;0,$A1632+INDEX(ProcRet,MATCH($E1632,ProcNome,0)),""),"")</f>
        <v>0</v>
      </c>
      <c r="R1632" s="26">
        <f>IF($Q1632="","",IF(COUNTIFS(AgPac,$D1632,AgData,"&gt;"&amp;$A1632,AgStatus,"&lt;&gt;Cancelado",AgStatus,"&lt;&gt;Remarcado")&gt;0,"Sim","Não"))</f>
        <v>0</v>
      </c>
      <c r="S1632" s="28">
        <f>IF($A1632="","",IF(AND($F1632="Agendado",$A1632-Hoje&gt;=0,$A1632-Hoje&lt;=DiasConf),"CONFIRMAR",IF(AND($A1632&lt;Hoje,OR($F1632="Agendado",$F1632="Confirmado")),"Atualizar status",IF(AND($F1632="Compareceu",$P1632&gt;0.005),"Cobrar",IF($F1632="Faltou","Falta: reagendar","")))))</f>
        <v>0</v>
      </c>
      <c r="T1632" s="29">
        <f>IF($A1632="","",DATE(YEAR($A1632),MONTH($A1632),1))</f>
        <v>0</v>
      </c>
      <c r="U1632" s="30">
        <f>IF($S1632="CONFIRMAR",MAX($U$4:$U1631)+1,"")</f>
        <v>0</v>
      </c>
      <c r="V1632" s="30">
        <f>IF(AND($R1632="Não",$Q1632&lt;&gt;"",$Q1632&lt;=Hoje+JanelaRet,$Q1632&gt;=Hoje-60),MAX($V$4:$V1631)+1,"")</f>
        <v>0</v>
      </c>
    </row>
    <row r="1633" spans="1:22">
      <c r="A1633" s="16"/>
      <c r="B1633" s="23"/>
      <c r="C1633" s="15"/>
      <c r="D1633" s="15"/>
      <c r="E1633" s="15"/>
      <c r="F1633" s="24"/>
      <c r="G1633" s="17"/>
      <c r="H1633" s="17"/>
      <c r="I1633" s="15"/>
      <c r="J1633" s="25">
        <f>IF($D1633="","",IFERROR(INDEX(PacNome,MATCH($D1633,PacCod,0)),"Paciente não cadastrado"))</f>
        <v>0</v>
      </c>
      <c r="K1633" s="26">
        <f>IF($D1633="","",IFERROR(INDEX(PacConv,MATCH($D1633,PacCod,0))&amp;"",""))</f>
        <v>0</v>
      </c>
      <c r="L1633" s="26">
        <f>IF($A1633="","",CHOOSE(WEEKDAY($A1633,2),"Seg","Ter","Qua","Qui","Sex","Sáb","Dom"))</f>
        <v>0</v>
      </c>
      <c r="M1633" s="27">
        <f>IF($E1633="","",IF($G1633&lt;&gt;"",$G1633,IFERROR(INDEX(ProcValor,MATCH($E1633,ProcNome,0)),0)))</f>
        <v>0</v>
      </c>
      <c r="N1633" s="27">
        <f>IF($M1633="","",IF($F1633="Compareceu",$M1633,0))</f>
        <v>0</v>
      </c>
      <c r="O1633" s="27">
        <f>IF($M1633="","",IF($F1633="Faltou",$M1633,0))</f>
        <v>0</v>
      </c>
      <c r="P1633" s="27">
        <f>IF($M1633="","",IF($F1633="Compareceu",MAX(0,$M1633-N($H1633)),0))</f>
        <v>0</v>
      </c>
      <c r="Q1633" s="19">
        <f>IF(AND($F1633="Compareceu",$E1633&lt;&gt;"",$A1633&lt;&gt;""),IF(IFERROR(INDEX(ProcRet,MATCH($E1633,ProcNome,0)),0)&gt;0,$A1633+INDEX(ProcRet,MATCH($E1633,ProcNome,0)),""),"")</f>
        <v>0</v>
      </c>
      <c r="R1633" s="26">
        <f>IF($Q1633="","",IF(COUNTIFS(AgPac,$D1633,AgData,"&gt;"&amp;$A1633,AgStatus,"&lt;&gt;Cancelado",AgStatus,"&lt;&gt;Remarcado")&gt;0,"Sim","Não"))</f>
        <v>0</v>
      </c>
      <c r="S1633" s="28">
        <f>IF($A1633="","",IF(AND($F1633="Agendado",$A1633-Hoje&gt;=0,$A1633-Hoje&lt;=DiasConf),"CONFIRMAR",IF(AND($A1633&lt;Hoje,OR($F1633="Agendado",$F1633="Confirmado")),"Atualizar status",IF(AND($F1633="Compareceu",$P1633&gt;0.005),"Cobrar",IF($F1633="Faltou","Falta: reagendar","")))))</f>
        <v>0</v>
      </c>
      <c r="T1633" s="29">
        <f>IF($A1633="","",DATE(YEAR($A1633),MONTH($A1633),1))</f>
        <v>0</v>
      </c>
      <c r="U1633" s="30">
        <f>IF($S1633="CONFIRMAR",MAX($U$4:$U1632)+1,"")</f>
        <v>0</v>
      </c>
      <c r="V1633" s="30">
        <f>IF(AND($R1633="Não",$Q1633&lt;&gt;"",$Q1633&lt;=Hoje+JanelaRet,$Q1633&gt;=Hoje-60),MAX($V$4:$V1632)+1,"")</f>
        <v>0</v>
      </c>
    </row>
    <row r="1634" spans="1:22">
      <c r="A1634" s="16"/>
      <c r="B1634" s="23"/>
      <c r="C1634" s="15"/>
      <c r="D1634" s="15"/>
      <c r="E1634" s="15"/>
      <c r="F1634" s="24"/>
      <c r="G1634" s="17"/>
      <c r="H1634" s="17"/>
      <c r="I1634" s="15"/>
      <c r="J1634" s="25">
        <f>IF($D1634="","",IFERROR(INDEX(PacNome,MATCH($D1634,PacCod,0)),"Paciente não cadastrado"))</f>
        <v>0</v>
      </c>
      <c r="K1634" s="26">
        <f>IF($D1634="","",IFERROR(INDEX(PacConv,MATCH($D1634,PacCod,0))&amp;"",""))</f>
        <v>0</v>
      </c>
      <c r="L1634" s="26">
        <f>IF($A1634="","",CHOOSE(WEEKDAY($A1634,2),"Seg","Ter","Qua","Qui","Sex","Sáb","Dom"))</f>
        <v>0</v>
      </c>
      <c r="M1634" s="27">
        <f>IF($E1634="","",IF($G1634&lt;&gt;"",$G1634,IFERROR(INDEX(ProcValor,MATCH($E1634,ProcNome,0)),0)))</f>
        <v>0</v>
      </c>
      <c r="N1634" s="27">
        <f>IF($M1634="","",IF($F1634="Compareceu",$M1634,0))</f>
        <v>0</v>
      </c>
      <c r="O1634" s="27">
        <f>IF($M1634="","",IF($F1634="Faltou",$M1634,0))</f>
        <v>0</v>
      </c>
      <c r="P1634" s="27">
        <f>IF($M1634="","",IF($F1634="Compareceu",MAX(0,$M1634-N($H1634)),0))</f>
        <v>0</v>
      </c>
      <c r="Q1634" s="19">
        <f>IF(AND($F1634="Compareceu",$E1634&lt;&gt;"",$A1634&lt;&gt;""),IF(IFERROR(INDEX(ProcRet,MATCH($E1634,ProcNome,0)),0)&gt;0,$A1634+INDEX(ProcRet,MATCH($E1634,ProcNome,0)),""),"")</f>
        <v>0</v>
      </c>
      <c r="R1634" s="26">
        <f>IF($Q1634="","",IF(COUNTIFS(AgPac,$D1634,AgData,"&gt;"&amp;$A1634,AgStatus,"&lt;&gt;Cancelado",AgStatus,"&lt;&gt;Remarcado")&gt;0,"Sim","Não"))</f>
        <v>0</v>
      </c>
      <c r="S1634" s="28">
        <f>IF($A1634="","",IF(AND($F1634="Agendado",$A1634-Hoje&gt;=0,$A1634-Hoje&lt;=DiasConf),"CONFIRMAR",IF(AND($A1634&lt;Hoje,OR($F1634="Agendado",$F1634="Confirmado")),"Atualizar status",IF(AND($F1634="Compareceu",$P1634&gt;0.005),"Cobrar",IF($F1634="Faltou","Falta: reagendar","")))))</f>
        <v>0</v>
      </c>
      <c r="T1634" s="29">
        <f>IF($A1634="","",DATE(YEAR($A1634),MONTH($A1634),1))</f>
        <v>0</v>
      </c>
      <c r="U1634" s="30">
        <f>IF($S1634="CONFIRMAR",MAX($U$4:$U1633)+1,"")</f>
        <v>0</v>
      </c>
      <c r="V1634" s="30">
        <f>IF(AND($R1634="Não",$Q1634&lt;&gt;"",$Q1634&lt;=Hoje+JanelaRet,$Q1634&gt;=Hoje-60),MAX($V$4:$V1633)+1,"")</f>
        <v>0</v>
      </c>
    </row>
    <row r="1635" spans="1:22">
      <c r="A1635" s="16"/>
      <c r="B1635" s="23"/>
      <c r="C1635" s="15"/>
      <c r="D1635" s="15"/>
      <c r="E1635" s="15"/>
      <c r="F1635" s="24"/>
      <c r="G1635" s="17"/>
      <c r="H1635" s="17"/>
      <c r="I1635" s="15"/>
      <c r="J1635" s="25">
        <f>IF($D1635="","",IFERROR(INDEX(PacNome,MATCH($D1635,PacCod,0)),"Paciente não cadastrado"))</f>
        <v>0</v>
      </c>
      <c r="K1635" s="26">
        <f>IF($D1635="","",IFERROR(INDEX(PacConv,MATCH($D1635,PacCod,0))&amp;"",""))</f>
        <v>0</v>
      </c>
      <c r="L1635" s="26">
        <f>IF($A1635="","",CHOOSE(WEEKDAY($A1635,2),"Seg","Ter","Qua","Qui","Sex","Sáb","Dom"))</f>
        <v>0</v>
      </c>
      <c r="M1635" s="27">
        <f>IF($E1635="","",IF($G1635&lt;&gt;"",$G1635,IFERROR(INDEX(ProcValor,MATCH($E1635,ProcNome,0)),0)))</f>
        <v>0</v>
      </c>
      <c r="N1635" s="27">
        <f>IF($M1635="","",IF($F1635="Compareceu",$M1635,0))</f>
        <v>0</v>
      </c>
      <c r="O1635" s="27">
        <f>IF($M1635="","",IF($F1635="Faltou",$M1635,0))</f>
        <v>0</v>
      </c>
      <c r="P1635" s="27">
        <f>IF($M1635="","",IF($F1635="Compareceu",MAX(0,$M1635-N($H1635)),0))</f>
        <v>0</v>
      </c>
      <c r="Q1635" s="19">
        <f>IF(AND($F1635="Compareceu",$E1635&lt;&gt;"",$A1635&lt;&gt;""),IF(IFERROR(INDEX(ProcRet,MATCH($E1635,ProcNome,0)),0)&gt;0,$A1635+INDEX(ProcRet,MATCH($E1635,ProcNome,0)),""),"")</f>
        <v>0</v>
      </c>
      <c r="R1635" s="26">
        <f>IF($Q1635="","",IF(COUNTIFS(AgPac,$D1635,AgData,"&gt;"&amp;$A1635,AgStatus,"&lt;&gt;Cancelado",AgStatus,"&lt;&gt;Remarcado")&gt;0,"Sim","Não"))</f>
        <v>0</v>
      </c>
      <c r="S1635" s="28">
        <f>IF($A1635="","",IF(AND($F1635="Agendado",$A1635-Hoje&gt;=0,$A1635-Hoje&lt;=DiasConf),"CONFIRMAR",IF(AND($A1635&lt;Hoje,OR($F1635="Agendado",$F1635="Confirmado")),"Atualizar status",IF(AND($F1635="Compareceu",$P1635&gt;0.005),"Cobrar",IF($F1635="Faltou","Falta: reagendar","")))))</f>
        <v>0</v>
      </c>
      <c r="T1635" s="29">
        <f>IF($A1635="","",DATE(YEAR($A1635),MONTH($A1635),1))</f>
        <v>0</v>
      </c>
      <c r="U1635" s="30">
        <f>IF($S1635="CONFIRMAR",MAX($U$4:$U1634)+1,"")</f>
        <v>0</v>
      </c>
      <c r="V1635" s="30">
        <f>IF(AND($R1635="Não",$Q1635&lt;&gt;"",$Q1635&lt;=Hoje+JanelaRet,$Q1635&gt;=Hoje-60),MAX($V$4:$V1634)+1,"")</f>
        <v>0</v>
      </c>
    </row>
    <row r="1636" spans="1:22">
      <c r="A1636" s="16"/>
      <c r="B1636" s="23"/>
      <c r="C1636" s="15"/>
      <c r="D1636" s="15"/>
      <c r="E1636" s="15"/>
      <c r="F1636" s="24"/>
      <c r="G1636" s="17"/>
      <c r="H1636" s="17"/>
      <c r="I1636" s="15"/>
      <c r="J1636" s="25">
        <f>IF($D1636="","",IFERROR(INDEX(PacNome,MATCH($D1636,PacCod,0)),"Paciente não cadastrado"))</f>
        <v>0</v>
      </c>
      <c r="K1636" s="26">
        <f>IF($D1636="","",IFERROR(INDEX(PacConv,MATCH($D1636,PacCod,0))&amp;"",""))</f>
        <v>0</v>
      </c>
      <c r="L1636" s="26">
        <f>IF($A1636="","",CHOOSE(WEEKDAY($A1636,2),"Seg","Ter","Qua","Qui","Sex","Sáb","Dom"))</f>
        <v>0</v>
      </c>
      <c r="M1636" s="27">
        <f>IF($E1636="","",IF($G1636&lt;&gt;"",$G1636,IFERROR(INDEX(ProcValor,MATCH($E1636,ProcNome,0)),0)))</f>
        <v>0</v>
      </c>
      <c r="N1636" s="27">
        <f>IF($M1636="","",IF($F1636="Compareceu",$M1636,0))</f>
        <v>0</v>
      </c>
      <c r="O1636" s="27">
        <f>IF($M1636="","",IF($F1636="Faltou",$M1636,0))</f>
        <v>0</v>
      </c>
      <c r="P1636" s="27">
        <f>IF($M1636="","",IF($F1636="Compareceu",MAX(0,$M1636-N($H1636)),0))</f>
        <v>0</v>
      </c>
      <c r="Q1636" s="19">
        <f>IF(AND($F1636="Compareceu",$E1636&lt;&gt;"",$A1636&lt;&gt;""),IF(IFERROR(INDEX(ProcRet,MATCH($E1636,ProcNome,0)),0)&gt;0,$A1636+INDEX(ProcRet,MATCH($E1636,ProcNome,0)),""),"")</f>
        <v>0</v>
      </c>
      <c r="R1636" s="26">
        <f>IF($Q1636="","",IF(COUNTIFS(AgPac,$D1636,AgData,"&gt;"&amp;$A1636,AgStatus,"&lt;&gt;Cancelado",AgStatus,"&lt;&gt;Remarcado")&gt;0,"Sim","Não"))</f>
        <v>0</v>
      </c>
      <c r="S1636" s="28">
        <f>IF($A1636="","",IF(AND($F1636="Agendado",$A1636-Hoje&gt;=0,$A1636-Hoje&lt;=DiasConf),"CONFIRMAR",IF(AND($A1636&lt;Hoje,OR($F1636="Agendado",$F1636="Confirmado")),"Atualizar status",IF(AND($F1636="Compareceu",$P1636&gt;0.005),"Cobrar",IF($F1636="Faltou","Falta: reagendar","")))))</f>
        <v>0</v>
      </c>
      <c r="T1636" s="29">
        <f>IF($A1636="","",DATE(YEAR($A1636),MONTH($A1636),1))</f>
        <v>0</v>
      </c>
      <c r="U1636" s="30">
        <f>IF($S1636="CONFIRMAR",MAX($U$4:$U1635)+1,"")</f>
        <v>0</v>
      </c>
      <c r="V1636" s="30">
        <f>IF(AND($R1636="Não",$Q1636&lt;&gt;"",$Q1636&lt;=Hoje+JanelaRet,$Q1636&gt;=Hoje-60),MAX($V$4:$V1635)+1,"")</f>
        <v>0</v>
      </c>
    </row>
    <row r="1637" spans="1:22">
      <c r="A1637" s="16"/>
      <c r="B1637" s="23"/>
      <c r="C1637" s="15"/>
      <c r="D1637" s="15"/>
      <c r="E1637" s="15"/>
      <c r="F1637" s="24"/>
      <c r="G1637" s="17"/>
      <c r="H1637" s="17"/>
      <c r="I1637" s="15"/>
      <c r="J1637" s="25">
        <f>IF($D1637="","",IFERROR(INDEX(PacNome,MATCH($D1637,PacCod,0)),"Paciente não cadastrado"))</f>
        <v>0</v>
      </c>
      <c r="K1637" s="26">
        <f>IF($D1637="","",IFERROR(INDEX(PacConv,MATCH($D1637,PacCod,0))&amp;"",""))</f>
        <v>0</v>
      </c>
      <c r="L1637" s="26">
        <f>IF($A1637="","",CHOOSE(WEEKDAY($A1637,2),"Seg","Ter","Qua","Qui","Sex","Sáb","Dom"))</f>
        <v>0</v>
      </c>
      <c r="M1637" s="27">
        <f>IF($E1637="","",IF($G1637&lt;&gt;"",$G1637,IFERROR(INDEX(ProcValor,MATCH($E1637,ProcNome,0)),0)))</f>
        <v>0</v>
      </c>
      <c r="N1637" s="27">
        <f>IF($M1637="","",IF($F1637="Compareceu",$M1637,0))</f>
        <v>0</v>
      </c>
      <c r="O1637" s="27">
        <f>IF($M1637="","",IF($F1637="Faltou",$M1637,0))</f>
        <v>0</v>
      </c>
      <c r="P1637" s="27">
        <f>IF($M1637="","",IF($F1637="Compareceu",MAX(0,$M1637-N($H1637)),0))</f>
        <v>0</v>
      </c>
      <c r="Q1637" s="19">
        <f>IF(AND($F1637="Compareceu",$E1637&lt;&gt;"",$A1637&lt;&gt;""),IF(IFERROR(INDEX(ProcRet,MATCH($E1637,ProcNome,0)),0)&gt;0,$A1637+INDEX(ProcRet,MATCH($E1637,ProcNome,0)),""),"")</f>
        <v>0</v>
      </c>
      <c r="R1637" s="26">
        <f>IF($Q1637="","",IF(COUNTIFS(AgPac,$D1637,AgData,"&gt;"&amp;$A1637,AgStatus,"&lt;&gt;Cancelado",AgStatus,"&lt;&gt;Remarcado")&gt;0,"Sim","Não"))</f>
        <v>0</v>
      </c>
      <c r="S1637" s="28">
        <f>IF($A1637="","",IF(AND($F1637="Agendado",$A1637-Hoje&gt;=0,$A1637-Hoje&lt;=DiasConf),"CONFIRMAR",IF(AND($A1637&lt;Hoje,OR($F1637="Agendado",$F1637="Confirmado")),"Atualizar status",IF(AND($F1637="Compareceu",$P1637&gt;0.005),"Cobrar",IF($F1637="Faltou","Falta: reagendar","")))))</f>
        <v>0</v>
      </c>
      <c r="T1637" s="29">
        <f>IF($A1637="","",DATE(YEAR($A1637),MONTH($A1637),1))</f>
        <v>0</v>
      </c>
      <c r="U1637" s="30">
        <f>IF($S1637="CONFIRMAR",MAX($U$4:$U1636)+1,"")</f>
        <v>0</v>
      </c>
      <c r="V1637" s="30">
        <f>IF(AND($R1637="Não",$Q1637&lt;&gt;"",$Q1637&lt;=Hoje+JanelaRet,$Q1637&gt;=Hoje-60),MAX($V$4:$V1636)+1,"")</f>
        <v>0</v>
      </c>
    </row>
    <row r="1638" spans="1:22">
      <c r="A1638" s="16"/>
      <c r="B1638" s="23"/>
      <c r="C1638" s="15"/>
      <c r="D1638" s="15"/>
      <c r="E1638" s="15"/>
      <c r="F1638" s="24"/>
      <c r="G1638" s="17"/>
      <c r="H1638" s="17"/>
      <c r="I1638" s="15"/>
      <c r="J1638" s="25">
        <f>IF($D1638="","",IFERROR(INDEX(PacNome,MATCH($D1638,PacCod,0)),"Paciente não cadastrado"))</f>
        <v>0</v>
      </c>
      <c r="K1638" s="26">
        <f>IF($D1638="","",IFERROR(INDEX(PacConv,MATCH($D1638,PacCod,0))&amp;"",""))</f>
        <v>0</v>
      </c>
      <c r="L1638" s="26">
        <f>IF($A1638="","",CHOOSE(WEEKDAY($A1638,2),"Seg","Ter","Qua","Qui","Sex","Sáb","Dom"))</f>
        <v>0</v>
      </c>
      <c r="M1638" s="27">
        <f>IF($E1638="","",IF($G1638&lt;&gt;"",$G1638,IFERROR(INDEX(ProcValor,MATCH($E1638,ProcNome,0)),0)))</f>
        <v>0</v>
      </c>
      <c r="N1638" s="27">
        <f>IF($M1638="","",IF($F1638="Compareceu",$M1638,0))</f>
        <v>0</v>
      </c>
      <c r="O1638" s="27">
        <f>IF($M1638="","",IF($F1638="Faltou",$M1638,0))</f>
        <v>0</v>
      </c>
      <c r="P1638" s="27">
        <f>IF($M1638="","",IF($F1638="Compareceu",MAX(0,$M1638-N($H1638)),0))</f>
        <v>0</v>
      </c>
      <c r="Q1638" s="19">
        <f>IF(AND($F1638="Compareceu",$E1638&lt;&gt;"",$A1638&lt;&gt;""),IF(IFERROR(INDEX(ProcRet,MATCH($E1638,ProcNome,0)),0)&gt;0,$A1638+INDEX(ProcRet,MATCH($E1638,ProcNome,0)),""),"")</f>
        <v>0</v>
      </c>
      <c r="R1638" s="26">
        <f>IF($Q1638="","",IF(COUNTIFS(AgPac,$D1638,AgData,"&gt;"&amp;$A1638,AgStatus,"&lt;&gt;Cancelado",AgStatus,"&lt;&gt;Remarcado")&gt;0,"Sim","Não"))</f>
        <v>0</v>
      </c>
      <c r="S1638" s="28">
        <f>IF($A1638="","",IF(AND($F1638="Agendado",$A1638-Hoje&gt;=0,$A1638-Hoje&lt;=DiasConf),"CONFIRMAR",IF(AND($A1638&lt;Hoje,OR($F1638="Agendado",$F1638="Confirmado")),"Atualizar status",IF(AND($F1638="Compareceu",$P1638&gt;0.005),"Cobrar",IF($F1638="Faltou","Falta: reagendar","")))))</f>
        <v>0</v>
      </c>
      <c r="T1638" s="29">
        <f>IF($A1638="","",DATE(YEAR($A1638),MONTH($A1638),1))</f>
        <v>0</v>
      </c>
      <c r="U1638" s="30">
        <f>IF($S1638="CONFIRMAR",MAX($U$4:$U1637)+1,"")</f>
        <v>0</v>
      </c>
      <c r="V1638" s="30">
        <f>IF(AND($R1638="Não",$Q1638&lt;&gt;"",$Q1638&lt;=Hoje+JanelaRet,$Q1638&gt;=Hoje-60),MAX($V$4:$V1637)+1,"")</f>
        <v>0</v>
      </c>
    </row>
    <row r="1639" spans="1:22">
      <c r="A1639" s="16"/>
      <c r="B1639" s="23"/>
      <c r="C1639" s="15"/>
      <c r="D1639" s="15"/>
      <c r="E1639" s="15"/>
      <c r="F1639" s="24"/>
      <c r="G1639" s="17"/>
      <c r="H1639" s="17"/>
      <c r="I1639" s="15"/>
      <c r="J1639" s="25">
        <f>IF($D1639="","",IFERROR(INDEX(PacNome,MATCH($D1639,PacCod,0)),"Paciente não cadastrado"))</f>
        <v>0</v>
      </c>
      <c r="K1639" s="26">
        <f>IF($D1639="","",IFERROR(INDEX(PacConv,MATCH($D1639,PacCod,0))&amp;"",""))</f>
        <v>0</v>
      </c>
      <c r="L1639" s="26">
        <f>IF($A1639="","",CHOOSE(WEEKDAY($A1639,2),"Seg","Ter","Qua","Qui","Sex","Sáb","Dom"))</f>
        <v>0</v>
      </c>
      <c r="M1639" s="27">
        <f>IF($E1639="","",IF($G1639&lt;&gt;"",$G1639,IFERROR(INDEX(ProcValor,MATCH($E1639,ProcNome,0)),0)))</f>
        <v>0</v>
      </c>
      <c r="N1639" s="27">
        <f>IF($M1639="","",IF($F1639="Compareceu",$M1639,0))</f>
        <v>0</v>
      </c>
      <c r="O1639" s="27">
        <f>IF($M1639="","",IF($F1639="Faltou",$M1639,0))</f>
        <v>0</v>
      </c>
      <c r="P1639" s="27">
        <f>IF($M1639="","",IF($F1639="Compareceu",MAX(0,$M1639-N($H1639)),0))</f>
        <v>0</v>
      </c>
      <c r="Q1639" s="19">
        <f>IF(AND($F1639="Compareceu",$E1639&lt;&gt;"",$A1639&lt;&gt;""),IF(IFERROR(INDEX(ProcRet,MATCH($E1639,ProcNome,0)),0)&gt;0,$A1639+INDEX(ProcRet,MATCH($E1639,ProcNome,0)),""),"")</f>
        <v>0</v>
      </c>
      <c r="R1639" s="26">
        <f>IF($Q1639="","",IF(COUNTIFS(AgPac,$D1639,AgData,"&gt;"&amp;$A1639,AgStatus,"&lt;&gt;Cancelado",AgStatus,"&lt;&gt;Remarcado")&gt;0,"Sim","Não"))</f>
        <v>0</v>
      </c>
      <c r="S1639" s="28">
        <f>IF($A1639="","",IF(AND($F1639="Agendado",$A1639-Hoje&gt;=0,$A1639-Hoje&lt;=DiasConf),"CONFIRMAR",IF(AND($A1639&lt;Hoje,OR($F1639="Agendado",$F1639="Confirmado")),"Atualizar status",IF(AND($F1639="Compareceu",$P1639&gt;0.005),"Cobrar",IF($F1639="Faltou","Falta: reagendar","")))))</f>
        <v>0</v>
      </c>
      <c r="T1639" s="29">
        <f>IF($A1639="","",DATE(YEAR($A1639),MONTH($A1639),1))</f>
        <v>0</v>
      </c>
      <c r="U1639" s="30">
        <f>IF($S1639="CONFIRMAR",MAX($U$4:$U1638)+1,"")</f>
        <v>0</v>
      </c>
      <c r="V1639" s="30">
        <f>IF(AND($R1639="Não",$Q1639&lt;&gt;"",$Q1639&lt;=Hoje+JanelaRet,$Q1639&gt;=Hoje-60),MAX($V$4:$V1638)+1,"")</f>
        <v>0</v>
      </c>
    </row>
    <row r="1640" spans="1:22">
      <c r="A1640" s="16"/>
      <c r="B1640" s="23"/>
      <c r="C1640" s="15"/>
      <c r="D1640" s="15"/>
      <c r="E1640" s="15"/>
      <c r="F1640" s="24"/>
      <c r="G1640" s="17"/>
      <c r="H1640" s="17"/>
      <c r="I1640" s="15"/>
      <c r="J1640" s="25">
        <f>IF($D1640="","",IFERROR(INDEX(PacNome,MATCH($D1640,PacCod,0)),"Paciente não cadastrado"))</f>
        <v>0</v>
      </c>
      <c r="K1640" s="26">
        <f>IF($D1640="","",IFERROR(INDEX(PacConv,MATCH($D1640,PacCod,0))&amp;"",""))</f>
        <v>0</v>
      </c>
      <c r="L1640" s="26">
        <f>IF($A1640="","",CHOOSE(WEEKDAY($A1640,2),"Seg","Ter","Qua","Qui","Sex","Sáb","Dom"))</f>
        <v>0</v>
      </c>
      <c r="M1640" s="27">
        <f>IF($E1640="","",IF($G1640&lt;&gt;"",$G1640,IFERROR(INDEX(ProcValor,MATCH($E1640,ProcNome,0)),0)))</f>
        <v>0</v>
      </c>
      <c r="N1640" s="27">
        <f>IF($M1640="","",IF($F1640="Compareceu",$M1640,0))</f>
        <v>0</v>
      </c>
      <c r="O1640" s="27">
        <f>IF($M1640="","",IF($F1640="Faltou",$M1640,0))</f>
        <v>0</v>
      </c>
      <c r="P1640" s="27">
        <f>IF($M1640="","",IF($F1640="Compareceu",MAX(0,$M1640-N($H1640)),0))</f>
        <v>0</v>
      </c>
      <c r="Q1640" s="19">
        <f>IF(AND($F1640="Compareceu",$E1640&lt;&gt;"",$A1640&lt;&gt;""),IF(IFERROR(INDEX(ProcRet,MATCH($E1640,ProcNome,0)),0)&gt;0,$A1640+INDEX(ProcRet,MATCH($E1640,ProcNome,0)),""),"")</f>
        <v>0</v>
      </c>
      <c r="R1640" s="26">
        <f>IF($Q1640="","",IF(COUNTIFS(AgPac,$D1640,AgData,"&gt;"&amp;$A1640,AgStatus,"&lt;&gt;Cancelado",AgStatus,"&lt;&gt;Remarcado")&gt;0,"Sim","Não"))</f>
        <v>0</v>
      </c>
      <c r="S1640" s="28">
        <f>IF($A1640="","",IF(AND($F1640="Agendado",$A1640-Hoje&gt;=0,$A1640-Hoje&lt;=DiasConf),"CONFIRMAR",IF(AND($A1640&lt;Hoje,OR($F1640="Agendado",$F1640="Confirmado")),"Atualizar status",IF(AND($F1640="Compareceu",$P1640&gt;0.005),"Cobrar",IF($F1640="Faltou","Falta: reagendar","")))))</f>
        <v>0</v>
      </c>
      <c r="T1640" s="29">
        <f>IF($A1640="","",DATE(YEAR($A1640),MONTH($A1640),1))</f>
        <v>0</v>
      </c>
      <c r="U1640" s="30">
        <f>IF($S1640="CONFIRMAR",MAX($U$4:$U1639)+1,"")</f>
        <v>0</v>
      </c>
      <c r="V1640" s="30">
        <f>IF(AND($R1640="Não",$Q1640&lt;&gt;"",$Q1640&lt;=Hoje+JanelaRet,$Q1640&gt;=Hoje-60),MAX($V$4:$V1639)+1,"")</f>
        <v>0</v>
      </c>
    </row>
    <row r="1641" spans="1:22">
      <c r="A1641" s="16"/>
      <c r="B1641" s="23"/>
      <c r="C1641" s="15"/>
      <c r="D1641" s="15"/>
      <c r="E1641" s="15"/>
      <c r="F1641" s="24"/>
      <c r="G1641" s="17"/>
      <c r="H1641" s="17"/>
      <c r="I1641" s="15"/>
      <c r="J1641" s="25">
        <f>IF($D1641="","",IFERROR(INDEX(PacNome,MATCH($D1641,PacCod,0)),"Paciente não cadastrado"))</f>
        <v>0</v>
      </c>
      <c r="K1641" s="26">
        <f>IF($D1641="","",IFERROR(INDEX(PacConv,MATCH($D1641,PacCod,0))&amp;"",""))</f>
        <v>0</v>
      </c>
      <c r="L1641" s="26">
        <f>IF($A1641="","",CHOOSE(WEEKDAY($A1641,2),"Seg","Ter","Qua","Qui","Sex","Sáb","Dom"))</f>
        <v>0</v>
      </c>
      <c r="M1641" s="27">
        <f>IF($E1641="","",IF($G1641&lt;&gt;"",$G1641,IFERROR(INDEX(ProcValor,MATCH($E1641,ProcNome,0)),0)))</f>
        <v>0</v>
      </c>
      <c r="N1641" s="27">
        <f>IF($M1641="","",IF($F1641="Compareceu",$M1641,0))</f>
        <v>0</v>
      </c>
      <c r="O1641" s="27">
        <f>IF($M1641="","",IF($F1641="Faltou",$M1641,0))</f>
        <v>0</v>
      </c>
      <c r="P1641" s="27">
        <f>IF($M1641="","",IF($F1641="Compareceu",MAX(0,$M1641-N($H1641)),0))</f>
        <v>0</v>
      </c>
      <c r="Q1641" s="19">
        <f>IF(AND($F1641="Compareceu",$E1641&lt;&gt;"",$A1641&lt;&gt;""),IF(IFERROR(INDEX(ProcRet,MATCH($E1641,ProcNome,0)),0)&gt;0,$A1641+INDEX(ProcRet,MATCH($E1641,ProcNome,0)),""),"")</f>
        <v>0</v>
      </c>
      <c r="R1641" s="26">
        <f>IF($Q1641="","",IF(COUNTIFS(AgPac,$D1641,AgData,"&gt;"&amp;$A1641,AgStatus,"&lt;&gt;Cancelado",AgStatus,"&lt;&gt;Remarcado")&gt;0,"Sim","Não"))</f>
        <v>0</v>
      </c>
      <c r="S1641" s="28">
        <f>IF($A1641="","",IF(AND($F1641="Agendado",$A1641-Hoje&gt;=0,$A1641-Hoje&lt;=DiasConf),"CONFIRMAR",IF(AND($A1641&lt;Hoje,OR($F1641="Agendado",$F1641="Confirmado")),"Atualizar status",IF(AND($F1641="Compareceu",$P1641&gt;0.005),"Cobrar",IF($F1641="Faltou","Falta: reagendar","")))))</f>
        <v>0</v>
      </c>
      <c r="T1641" s="29">
        <f>IF($A1641="","",DATE(YEAR($A1641),MONTH($A1641),1))</f>
        <v>0</v>
      </c>
      <c r="U1641" s="30">
        <f>IF($S1641="CONFIRMAR",MAX($U$4:$U1640)+1,"")</f>
        <v>0</v>
      </c>
      <c r="V1641" s="30">
        <f>IF(AND($R1641="Não",$Q1641&lt;&gt;"",$Q1641&lt;=Hoje+JanelaRet,$Q1641&gt;=Hoje-60),MAX($V$4:$V1640)+1,"")</f>
        <v>0</v>
      </c>
    </row>
    <row r="1642" spans="1:22">
      <c r="A1642" s="16"/>
      <c r="B1642" s="23"/>
      <c r="C1642" s="15"/>
      <c r="D1642" s="15"/>
      <c r="E1642" s="15"/>
      <c r="F1642" s="24"/>
      <c r="G1642" s="17"/>
      <c r="H1642" s="17"/>
      <c r="I1642" s="15"/>
      <c r="J1642" s="25">
        <f>IF($D1642="","",IFERROR(INDEX(PacNome,MATCH($D1642,PacCod,0)),"Paciente não cadastrado"))</f>
        <v>0</v>
      </c>
      <c r="K1642" s="26">
        <f>IF($D1642="","",IFERROR(INDEX(PacConv,MATCH($D1642,PacCod,0))&amp;"",""))</f>
        <v>0</v>
      </c>
      <c r="L1642" s="26">
        <f>IF($A1642="","",CHOOSE(WEEKDAY($A1642,2),"Seg","Ter","Qua","Qui","Sex","Sáb","Dom"))</f>
        <v>0</v>
      </c>
      <c r="M1642" s="27">
        <f>IF($E1642="","",IF($G1642&lt;&gt;"",$G1642,IFERROR(INDEX(ProcValor,MATCH($E1642,ProcNome,0)),0)))</f>
        <v>0</v>
      </c>
      <c r="N1642" s="27">
        <f>IF($M1642="","",IF($F1642="Compareceu",$M1642,0))</f>
        <v>0</v>
      </c>
      <c r="O1642" s="27">
        <f>IF($M1642="","",IF($F1642="Faltou",$M1642,0))</f>
        <v>0</v>
      </c>
      <c r="P1642" s="27">
        <f>IF($M1642="","",IF($F1642="Compareceu",MAX(0,$M1642-N($H1642)),0))</f>
        <v>0</v>
      </c>
      <c r="Q1642" s="19">
        <f>IF(AND($F1642="Compareceu",$E1642&lt;&gt;"",$A1642&lt;&gt;""),IF(IFERROR(INDEX(ProcRet,MATCH($E1642,ProcNome,0)),0)&gt;0,$A1642+INDEX(ProcRet,MATCH($E1642,ProcNome,0)),""),"")</f>
        <v>0</v>
      </c>
      <c r="R1642" s="26">
        <f>IF($Q1642="","",IF(COUNTIFS(AgPac,$D1642,AgData,"&gt;"&amp;$A1642,AgStatus,"&lt;&gt;Cancelado",AgStatus,"&lt;&gt;Remarcado")&gt;0,"Sim","Não"))</f>
        <v>0</v>
      </c>
      <c r="S1642" s="28">
        <f>IF($A1642="","",IF(AND($F1642="Agendado",$A1642-Hoje&gt;=0,$A1642-Hoje&lt;=DiasConf),"CONFIRMAR",IF(AND($A1642&lt;Hoje,OR($F1642="Agendado",$F1642="Confirmado")),"Atualizar status",IF(AND($F1642="Compareceu",$P1642&gt;0.005),"Cobrar",IF($F1642="Faltou","Falta: reagendar","")))))</f>
        <v>0</v>
      </c>
      <c r="T1642" s="29">
        <f>IF($A1642="","",DATE(YEAR($A1642),MONTH($A1642),1))</f>
        <v>0</v>
      </c>
      <c r="U1642" s="30">
        <f>IF($S1642="CONFIRMAR",MAX($U$4:$U1641)+1,"")</f>
        <v>0</v>
      </c>
      <c r="V1642" s="30">
        <f>IF(AND($R1642="Não",$Q1642&lt;&gt;"",$Q1642&lt;=Hoje+JanelaRet,$Q1642&gt;=Hoje-60),MAX($V$4:$V1641)+1,"")</f>
        <v>0</v>
      </c>
    </row>
    <row r="1643" spans="1:22">
      <c r="A1643" s="16"/>
      <c r="B1643" s="23"/>
      <c r="C1643" s="15"/>
      <c r="D1643" s="15"/>
      <c r="E1643" s="15"/>
      <c r="F1643" s="24"/>
      <c r="G1643" s="17"/>
      <c r="H1643" s="17"/>
      <c r="I1643" s="15"/>
      <c r="J1643" s="25">
        <f>IF($D1643="","",IFERROR(INDEX(PacNome,MATCH($D1643,PacCod,0)),"Paciente não cadastrado"))</f>
        <v>0</v>
      </c>
      <c r="K1643" s="26">
        <f>IF($D1643="","",IFERROR(INDEX(PacConv,MATCH($D1643,PacCod,0))&amp;"",""))</f>
        <v>0</v>
      </c>
      <c r="L1643" s="26">
        <f>IF($A1643="","",CHOOSE(WEEKDAY($A1643,2),"Seg","Ter","Qua","Qui","Sex","Sáb","Dom"))</f>
        <v>0</v>
      </c>
      <c r="M1643" s="27">
        <f>IF($E1643="","",IF($G1643&lt;&gt;"",$G1643,IFERROR(INDEX(ProcValor,MATCH($E1643,ProcNome,0)),0)))</f>
        <v>0</v>
      </c>
      <c r="N1643" s="27">
        <f>IF($M1643="","",IF($F1643="Compareceu",$M1643,0))</f>
        <v>0</v>
      </c>
      <c r="O1643" s="27">
        <f>IF($M1643="","",IF($F1643="Faltou",$M1643,0))</f>
        <v>0</v>
      </c>
      <c r="P1643" s="27">
        <f>IF($M1643="","",IF($F1643="Compareceu",MAX(0,$M1643-N($H1643)),0))</f>
        <v>0</v>
      </c>
      <c r="Q1643" s="19">
        <f>IF(AND($F1643="Compareceu",$E1643&lt;&gt;"",$A1643&lt;&gt;""),IF(IFERROR(INDEX(ProcRet,MATCH($E1643,ProcNome,0)),0)&gt;0,$A1643+INDEX(ProcRet,MATCH($E1643,ProcNome,0)),""),"")</f>
        <v>0</v>
      </c>
      <c r="R1643" s="26">
        <f>IF($Q1643="","",IF(COUNTIFS(AgPac,$D1643,AgData,"&gt;"&amp;$A1643,AgStatus,"&lt;&gt;Cancelado",AgStatus,"&lt;&gt;Remarcado")&gt;0,"Sim","Não"))</f>
        <v>0</v>
      </c>
      <c r="S1643" s="28">
        <f>IF($A1643="","",IF(AND($F1643="Agendado",$A1643-Hoje&gt;=0,$A1643-Hoje&lt;=DiasConf),"CONFIRMAR",IF(AND($A1643&lt;Hoje,OR($F1643="Agendado",$F1643="Confirmado")),"Atualizar status",IF(AND($F1643="Compareceu",$P1643&gt;0.005),"Cobrar",IF($F1643="Faltou","Falta: reagendar","")))))</f>
        <v>0</v>
      </c>
      <c r="T1643" s="29">
        <f>IF($A1643="","",DATE(YEAR($A1643),MONTH($A1643),1))</f>
        <v>0</v>
      </c>
      <c r="U1643" s="30">
        <f>IF($S1643="CONFIRMAR",MAX($U$4:$U1642)+1,"")</f>
        <v>0</v>
      </c>
      <c r="V1643" s="30">
        <f>IF(AND($R1643="Não",$Q1643&lt;&gt;"",$Q1643&lt;=Hoje+JanelaRet,$Q1643&gt;=Hoje-60),MAX($V$4:$V1642)+1,"")</f>
        <v>0</v>
      </c>
    </row>
    <row r="1644" spans="1:22">
      <c r="A1644" s="16"/>
      <c r="B1644" s="23"/>
      <c r="C1644" s="15"/>
      <c r="D1644" s="15"/>
      <c r="E1644" s="15"/>
      <c r="F1644" s="24"/>
      <c r="G1644" s="17"/>
      <c r="H1644" s="17"/>
      <c r="I1644" s="15"/>
      <c r="J1644" s="25">
        <f>IF($D1644="","",IFERROR(INDEX(PacNome,MATCH($D1644,PacCod,0)),"Paciente não cadastrado"))</f>
        <v>0</v>
      </c>
      <c r="K1644" s="26">
        <f>IF($D1644="","",IFERROR(INDEX(PacConv,MATCH($D1644,PacCod,0))&amp;"",""))</f>
        <v>0</v>
      </c>
      <c r="L1644" s="26">
        <f>IF($A1644="","",CHOOSE(WEEKDAY($A1644,2),"Seg","Ter","Qua","Qui","Sex","Sáb","Dom"))</f>
        <v>0</v>
      </c>
      <c r="M1644" s="27">
        <f>IF($E1644="","",IF($G1644&lt;&gt;"",$G1644,IFERROR(INDEX(ProcValor,MATCH($E1644,ProcNome,0)),0)))</f>
        <v>0</v>
      </c>
      <c r="N1644" s="27">
        <f>IF($M1644="","",IF($F1644="Compareceu",$M1644,0))</f>
        <v>0</v>
      </c>
      <c r="O1644" s="27">
        <f>IF($M1644="","",IF($F1644="Faltou",$M1644,0))</f>
        <v>0</v>
      </c>
      <c r="P1644" s="27">
        <f>IF($M1644="","",IF($F1644="Compareceu",MAX(0,$M1644-N($H1644)),0))</f>
        <v>0</v>
      </c>
      <c r="Q1644" s="19">
        <f>IF(AND($F1644="Compareceu",$E1644&lt;&gt;"",$A1644&lt;&gt;""),IF(IFERROR(INDEX(ProcRet,MATCH($E1644,ProcNome,0)),0)&gt;0,$A1644+INDEX(ProcRet,MATCH($E1644,ProcNome,0)),""),"")</f>
        <v>0</v>
      </c>
      <c r="R1644" s="26">
        <f>IF($Q1644="","",IF(COUNTIFS(AgPac,$D1644,AgData,"&gt;"&amp;$A1644,AgStatus,"&lt;&gt;Cancelado",AgStatus,"&lt;&gt;Remarcado")&gt;0,"Sim","Não"))</f>
        <v>0</v>
      </c>
      <c r="S1644" s="28">
        <f>IF($A1644="","",IF(AND($F1644="Agendado",$A1644-Hoje&gt;=0,$A1644-Hoje&lt;=DiasConf),"CONFIRMAR",IF(AND($A1644&lt;Hoje,OR($F1644="Agendado",$F1644="Confirmado")),"Atualizar status",IF(AND($F1644="Compareceu",$P1644&gt;0.005),"Cobrar",IF($F1644="Faltou","Falta: reagendar","")))))</f>
        <v>0</v>
      </c>
      <c r="T1644" s="29">
        <f>IF($A1644="","",DATE(YEAR($A1644),MONTH($A1644),1))</f>
        <v>0</v>
      </c>
      <c r="U1644" s="30">
        <f>IF($S1644="CONFIRMAR",MAX($U$4:$U1643)+1,"")</f>
        <v>0</v>
      </c>
      <c r="V1644" s="30">
        <f>IF(AND($R1644="Não",$Q1644&lt;&gt;"",$Q1644&lt;=Hoje+JanelaRet,$Q1644&gt;=Hoje-60),MAX($V$4:$V1643)+1,"")</f>
        <v>0</v>
      </c>
    </row>
    <row r="1645" spans="1:22">
      <c r="A1645" s="16"/>
      <c r="B1645" s="23"/>
      <c r="C1645" s="15"/>
      <c r="D1645" s="15"/>
      <c r="E1645" s="15"/>
      <c r="F1645" s="24"/>
      <c r="G1645" s="17"/>
      <c r="H1645" s="17"/>
      <c r="I1645" s="15"/>
      <c r="J1645" s="25">
        <f>IF($D1645="","",IFERROR(INDEX(PacNome,MATCH($D1645,PacCod,0)),"Paciente não cadastrado"))</f>
        <v>0</v>
      </c>
      <c r="K1645" s="26">
        <f>IF($D1645="","",IFERROR(INDEX(PacConv,MATCH($D1645,PacCod,0))&amp;"",""))</f>
        <v>0</v>
      </c>
      <c r="L1645" s="26">
        <f>IF($A1645="","",CHOOSE(WEEKDAY($A1645,2),"Seg","Ter","Qua","Qui","Sex","Sáb","Dom"))</f>
        <v>0</v>
      </c>
      <c r="M1645" s="27">
        <f>IF($E1645="","",IF($G1645&lt;&gt;"",$G1645,IFERROR(INDEX(ProcValor,MATCH($E1645,ProcNome,0)),0)))</f>
        <v>0</v>
      </c>
      <c r="N1645" s="27">
        <f>IF($M1645="","",IF($F1645="Compareceu",$M1645,0))</f>
        <v>0</v>
      </c>
      <c r="O1645" s="27">
        <f>IF($M1645="","",IF($F1645="Faltou",$M1645,0))</f>
        <v>0</v>
      </c>
      <c r="P1645" s="27">
        <f>IF($M1645="","",IF($F1645="Compareceu",MAX(0,$M1645-N($H1645)),0))</f>
        <v>0</v>
      </c>
      <c r="Q1645" s="19">
        <f>IF(AND($F1645="Compareceu",$E1645&lt;&gt;"",$A1645&lt;&gt;""),IF(IFERROR(INDEX(ProcRet,MATCH($E1645,ProcNome,0)),0)&gt;0,$A1645+INDEX(ProcRet,MATCH($E1645,ProcNome,0)),""),"")</f>
        <v>0</v>
      </c>
      <c r="R1645" s="26">
        <f>IF($Q1645="","",IF(COUNTIFS(AgPac,$D1645,AgData,"&gt;"&amp;$A1645,AgStatus,"&lt;&gt;Cancelado",AgStatus,"&lt;&gt;Remarcado")&gt;0,"Sim","Não"))</f>
        <v>0</v>
      </c>
      <c r="S1645" s="28">
        <f>IF($A1645="","",IF(AND($F1645="Agendado",$A1645-Hoje&gt;=0,$A1645-Hoje&lt;=DiasConf),"CONFIRMAR",IF(AND($A1645&lt;Hoje,OR($F1645="Agendado",$F1645="Confirmado")),"Atualizar status",IF(AND($F1645="Compareceu",$P1645&gt;0.005),"Cobrar",IF($F1645="Faltou","Falta: reagendar","")))))</f>
        <v>0</v>
      </c>
      <c r="T1645" s="29">
        <f>IF($A1645="","",DATE(YEAR($A1645),MONTH($A1645),1))</f>
        <v>0</v>
      </c>
      <c r="U1645" s="30">
        <f>IF($S1645="CONFIRMAR",MAX($U$4:$U1644)+1,"")</f>
        <v>0</v>
      </c>
      <c r="V1645" s="30">
        <f>IF(AND($R1645="Não",$Q1645&lt;&gt;"",$Q1645&lt;=Hoje+JanelaRet,$Q1645&gt;=Hoje-60),MAX($V$4:$V1644)+1,"")</f>
        <v>0</v>
      </c>
    </row>
    <row r="1646" spans="1:22">
      <c r="A1646" s="16"/>
      <c r="B1646" s="23"/>
      <c r="C1646" s="15"/>
      <c r="D1646" s="15"/>
      <c r="E1646" s="15"/>
      <c r="F1646" s="24"/>
      <c r="G1646" s="17"/>
      <c r="H1646" s="17"/>
      <c r="I1646" s="15"/>
      <c r="J1646" s="25">
        <f>IF($D1646="","",IFERROR(INDEX(PacNome,MATCH($D1646,PacCod,0)),"Paciente não cadastrado"))</f>
        <v>0</v>
      </c>
      <c r="K1646" s="26">
        <f>IF($D1646="","",IFERROR(INDEX(PacConv,MATCH($D1646,PacCod,0))&amp;"",""))</f>
        <v>0</v>
      </c>
      <c r="L1646" s="26">
        <f>IF($A1646="","",CHOOSE(WEEKDAY($A1646,2),"Seg","Ter","Qua","Qui","Sex","Sáb","Dom"))</f>
        <v>0</v>
      </c>
      <c r="M1646" s="27">
        <f>IF($E1646="","",IF($G1646&lt;&gt;"",$G1646,IFERROR(INDEX(ProcValor,MATCH($E1646,ProcNome,0)),0)))</f>
        <v>0</v>
      </c>
      <c r="N1646" s="27">
        <f>IF($M1646="","",IF($F1646="Compareceu",$M1646,0))</f>
        <v>0</v>
      </c>
      <c r="O1646" s="27">
        <f>IF($M1646="","",IF($F1646="Faltou",$M1646,0))</f>
        <v>0</v>
      </c>
      <c r="P1646" s="27">
        <f>IF($M1646="","",IF($F1646="Compareceu",MAX(0,$M1646-N($H1646)),0))</f>
        <v>0</v>
      </c>
      <c r="Q1646" s="19">
        <f>IF(AND($F1646="Compareceu",$E1646&lt;&gt;"",$A1646&lt;&gt;""),IF(IFERROR(INDEX(ProcRet,MATCH($E1646,ProcNome,0)),0)&gt;0,$A1646+INDEX(ProcRet,MATCH($E1646,ProcNome,0)),""),"")</f>
        <v>0</v>
      </c>
      <c r="R1646" s="26">
        <f>IF($Q1646="","",IF(COUNTIFS(AgPac,$D1646,AgData,"&gt;"&amp;$A1646,AgStatus,"&lt;&gt;Cancelado",AgStatus,"&lt;&gt;Remarcado")&gt;0,"Sim","Não"))</f>
        <v>0</v>
      </c>
      <c r="S1646" s="28">
        <f>IF($A1646="","",IF(AND($F1646="Agendado",$A1646-Hoje&gt;=0,$A1646-Hoje&lt;=DiasConf),"CONFIRMAR",IF(AND($A1646&lt;Hoje,OR($F1646="Agendado",$F1646="Confirmado")),"Atualizar status",IF(AND($F1646="Compareceu",$P1646&gt;0.005),"Cobrar",IF($F1646="Faltou","Falta: reagendar","")))))</f>
        <v>0</v>
      </c>
      <c r="T1646" s="29">
        <f>IF($A1646="","",DATE(YEAR($A1646),MONTH($A1646),1))</f>
        <v>0</v>
      </c>
      <c r="U1646" s="30">
        <f>IF($S1646="CONFIRMAR",MAX($U$4:$U1645)+1,"")</f>
        <v>0</v>
      </c>
      <c r="V1646" s="30">
        <f>IF(AND($R1646="Não",$Q1646&lt;&gt;"",$Q1646&lt;=Hoje+JanelaRet,$Q1646&gt;=Hoje-60),MAX($V$4:$V1645)+1,"")</f>
        <v>0</v>
      </c>
    </row>
    <row r="1647" spans="1:22">
      <c r="A1647" s="16"/>
      <c r="B1647" s="23"/>
      <c r="C1647" s="15"/>
      <c r="D1647" s="15"/>
      <c r="E1647" s="15"/>
      <c r="F1647" s="24"/>
      <c r="G1647" s="17"/>
      <c r="H1647" s="17"/>
      <c r="I1647" s="15"/>
      <c r="J1647" s="25">
        <f>IF($D1647="","",IFERROR(INDEX(PacNome,MATCH($D1647,PacCod,0)),"Paciente não cadastrado"))</f>
        <v>0</v>
      </c>
      <c r="K1647" s="26">
        <f>IF($D1647="","",IFERROR(INDEX(PacConv,MATCH($D1647,PacCod,0))&amp;"",""))</f>
        <v>0</v>
      </c>
      <c r="L1647" s="26">
        <f>IF($A1647="","",CHOOSE(WEEKDAY($A1647,2),"Seg","Ter","Qua","Qui","Sex","Sáb","Dom"))</f>
        <v>0</v>
      </c>
      <c r="M1647" s="27">
        <f>IF($E1647="","",IF($G1647&lt;&gt;"",$G1647,IFERROR(INDEX(ProcValor,MATCH($E1647,ProcNome,0)),0)))</f>
        <v>0</v>
      </c>
      <c r="N1647" s="27">
        <f>IF($M1647="","",IF($F1647="Compareceu",$M1647,0))</f>
        <v>0</v>
      </c>
      <c r="O1647" s="27">
        <f>IF($M1647="","",IF($F1647="Faltou",$M1647,0))</f>
        <v>0</v>
      </c>
      <c r="P1647" s="27">
        <f>IF($M1647="","",IF($F1647="Compareceu",MAX(0,$M1647-N($H1647)),0))</f>
        <v>0</v>
      </c>
      <c r="Q1647" s="19">
        <f>IF(AND($F1647="Compareceu",$E1647&lt;&gt;"",$A1647&lt;&gt;""),IF(IFERROR(INDEX(ProcRet,MATCH($E1647,ProcNome,0)),0)&gt;0,$A1647+INDEX(ProcRet,MATCH($E1647,ProcNome,0)),""),"")</f>
        <v>0</v>
      </c>
      <c r="R1647" s="26">
        <f>IF($Q1647="","",IF(COUNTIFS(AgPac,$D1647,AgData,"&gt;"&amp;$A1647,AgStatus,"&lt;&gt;Cancelado",AgStatus,"&lt;&gt;Remarcado")&gt;0,"Sim","Não"))</f>
        <v>0</v>
      </c>
      <c r="S1647" s="28">
        <f>IF($A1647="","",IF(AND($F1647="Agendado",$A1647-Hoje&gt;=0,$A1647-Hoje&lt;=DiasConf),"CONFIRMAR",IF(AND($A1647&lt;Hoje,OR($F1647="Agendado",$F1647="Confirmado")),"Atualizar status",IF(AND($F1647="Compareceu",$P1647&gt;0.005),"Cobrar",IF($F1647="Faltou","Falta: reagendar","")))))</f>
        <v>0</v>
      </c>
      <c r="T1647" s="29">
        <f>IF($A1647="","",DATE(YEAR($A1647),MONTH($A1647),1))</f>
        <v>0</v>
      </c>
      <c r="U1647" s="30">
        <f>IF($S1647="CONFIRMAR",MAX($U$4:$U1646)+1,"")</f>
        <v>0</v>
      </c>
      <c r="V1647" s="30">
        <f>IF(AND($R1647="Não",$Q1647&lt;&gt;"",$Q1647&lt;=Hoje+JanelaRet,$Q1647&gt;=Hoje-60),MAX($V$4:$V1646)+1,"")</f>
        <v>0</v>
      </c>
    </row>
    <row r="1648" spans="1:22">
      <c r="A1648" s="16"/>
      <c r="B1648" s="23"/>
      <c r="C1648" s="15"/>
      <c r="D1648" s="15"/>
      <c r="E1648" s="15"/>
      <c r="F1648" s="24"/>
      <c r="G1648" s="17"/>
      <c r="H1648" s="17"/>
      <c r="I1648" s="15"/>
      <c r="J1648" s="25">
        <f>IF($D1648="","",IFERROR(INDEX(PacNome,MATCH($D1648,PacCod,0)),"Paciente não cadastrado"))</f>
        <v>0</v>
      </c>
      <c r="K1648" s="26">
        <f>IF($D1648="","",IFERROR(INDEX(PacConv,MATCH($D1648,PacCod,0))&amp;"",""))</f>
        <v>0</v>
      </c>
      <c r="L1648" s="26">
        <f>IF($A1648="","",CHOOSE(WEEKDAY($A1648,2),"Seg","Ter","Qua","Qui","Sex","Sáb","Dom"))</f>
        <v>0</v>
      </c>
      <c r="M1648" s="27">
        <f>IF($E1648="","",IF($G1648&lt;&gt;"",$G1648,IFERROR(INDEX(ProcValor,MATCH($E1648,ProcNome,0)),0)))</f>
        <v>0</v>
      </c>
      <c r="N1648" s="27">
        <f>IF($M1648="","",IF($F1648="Compareceu",$M1648,0))</f>
        <v>0</v>
      </c>
      <c r="O1648" s="27">
        <f>IF($M1648="","",IF($F1648="Faltou",$M1648,0))</f>
        <v>0</v>
      </c>
      <c r="P1648" s="27">
        <f>IF($M1648="","",IF($F1648="Compareceu",MAX(0,$M1648-N($H1648)),0))</f>
        <v>0</v>
      </c>
      <c r="Q1648" s="19">
        <f>IF(AND($F1648="Compareceu",$E1648&lt;&gt;"",$A1648&lt;&gt;""),IF(IFERROR(INDEX(ProcRet,MATCH($E1648,ProcNome,0)),0)&gt;0,$A1648+INDEX(ProcRet,MATCH($E1648,ProcNome,0)),""),"")</f>
        <v>0</v>
      </c>
      <c r="R1648" s="26">
        <f>IF($Q1648="","",IF(COUNTIFS(AgPac,$D1648,AgData,"&gt;"&amp;$A1648,AgStatus,"&lt;&gt;Cancelado",AgStatus,"&lt;&gt;Remarcado")&gt;0,"Sim","Não"))</f>
        <v>0</v>
      </c>
      <c r="S1648" s="28">
        <f>IF($A1648="","",IF(AND($F1648="Agendado",$A1648-Hoje&gt;=0,$A1648-Hoje&lt;=DiasConf),"CONFIRMAR",IF(AND($A1648&lt;Hoje,OR($F1648="Agendado",$F1648="Confirmado")),"Atualizar status",IF(AND($F1648="Compareceu",$P1648&gt;0.005),"Cobrar",IF($F1648="Faltou","Falta: reagendar","")))))</f>
        <v>0</v>
      </c>
      <c r="T1648" s="29">
        <f>IF($A1648="","",DATE(YEAR($A1648),MONTH($A1648),1))</f>
        <v>0</v>
      </c>
      <c r="U1648" s="30">
        <f>IF($S1648="CONFIRMAR",MAX($U$4:$U1647)+1,"")</f>
        <v>0</v>
      </c>
      <c r="V1648" s="30">
        <f>IF(AND($R1648="Não",$Q1648&lt;&gt;"",$Q1648&lt;=Hoje+JanelaRet,$Q1648&gt;=Hoje-60),MAX($V$4:$V1647)+1,"")</f>
        <v>0</v>
      </c>
    </row>
    <row r="1649" spans="1:22">
      <c r="A1649" s="16"/>
      <c r="B1649" s="23"/>
      <c r="C1649" s="15"/>
      <c r="D1649" s="15"/>
      <c r="E1649" s="15"/>
      <c r="F1649" s="24"/>
      <c r="G1649" s="17"/>
      <c r="H1649" s="17"/>
      <c r="I1649" s="15"/>
      <c r="J1649" s="25">
        <f>IF($D1649="","",IFERROR(INDEX(PacNome,MATCH($D1649,PacCod,0)),"Paciente não cadastrado"))</f>
        <v>0</v>
      </c>
      <c r="K1649" s="26">
        <f>IF($D1649="","",IFERROR(INDEX(PacConv,MATCH($D1649,PacCod,0))&amp;"",""))</f>
        <v>0</v>
      </c>
      <c r="L1649" s="26">
        <f>IF($A1649="","",CHOOSE(WEEKDAY($A1649,2),"Seg","Ter","Qua","Qui","Sex","Sáb","Dom"))</f>
        <v>0</v>
      </c>
      <c r="M1649" s="27">
        <f>IF($E1649="","",IF($G1649&lt;&gt;"",$G1649,IFERROR(INDEX(ProcValor,MATCH($E1649,ProcNome,0)),0)))</f>
        <v>0</v>
      </c>
      <c r="N1649" s="27">
        <f>IF($M1649="","",IF($F1649="Compareceu",$M1649,0))</f>
        <v>0</v>
      </c>
      <c r="O1649" s="27">
        <f>IF($M1649="","",IF($F1649="Faltou",$M1649,0))</f>
        <v>0</v>
      </c>
      <c r="P1649" s="27">
        <f>IF($M1649="","",IF($F1649="Compareceu",MAX(0,$M1649-N($H1649)),0))</f>
        <v>0</v>
      </c>
      <c r="Q1649" s="19">
        <f>IF(AND($F1649="Compareceu",$E1649&lt;&gt;"",$A1649&lt;&gt;""),IF(IFERROR(INDEX(ProcRet,MATCH($E1649,ProcNome,0)),0)&gt;0,$A1649+INDEX(ProcRet,MATCH($E1649,ProcNome,0)),""),"")</f>
        <v>0</v>
      </c>
      <c r="R1649" s="26">
        <f>IF($Q1649="","",IF(COUNTIFS(AgPac,$D1649,AgData,"&gt;"&amp;$A1649,AgStatus,"&lt;&gt;Cancelado",AgStatus,"&lt;&gt;Remarcado")&gt;0,"Sim","Não"))</f>
        <v>0</v>
      </c>
      <c r="S1649" s="28">
        <f>IF($A1649="","",IF(AND($F1649="Agendado",$A1649-Hoje&gt;=0,$A1649-Hoje&lt;=DiasConf),"CONFIRMAR",IF(AND($A1649&lt;Hoje,OR($F1649="Agendado",$F1649="Confirmado")),"Atualizar status",IF(AND($F1649="Compareceu",$P1649&gt;0.005),"Cobrar",IF($F1649="Faltou","Falta: reagendar","")))))</f>
        <v>0</v>
      </c>
      <c r="T1649" s="29">
        <f>IF($A1649="","",DATE(YEAR($A1649),MONTH($A1649),1))</f>
        <v>0</v>
      </c>
      <c r="U1649" s="30">
        <f>IF($S1649="CONFIRMAR",MAX($U$4:$U1648)+1,"")</f>
        <v>0</v>
      </c>
      <c r="V1649" s="30">
        <f>IF(AND($R1649="Não",$Q1649&lt;&gt;"",$Q1649&lt;=Hoje+JanelaRet,$Q1649&gt;=Hoje-60),MAX($V$4:$V1648)+1,"")</f>
        <v>0</v>
      </c>
    </row>
    <row r="1650" spans="1:22">
      <c r="A1650" s="16"/>
      <c r="B1650" s="23"/>
      <c r="C1650" s="15"/>
      <c r="D1650" s="15"/>
      <c r="E1650" s="15"/>
      <c r="F1650" s="24"/>
      <c r="G1650" s="17"/>
      <c r="H1650" s="17"/>
      <c r="I1650" s="15"/>
      <c r="J1650" s="25">
        <f>IF($D1650="","",IFERROR(INDEX(PacNome,MATCH($D1650,PacCod,0)),"Paciente não cadastrado"))</f>
        <v>0</v>
      </c>
      <c r="K1650" s="26">
        <f>IF($D1650="","",IFERROR(INDEX(PacConv,MATCH($D1650,PacCod,0))&amp;"",""))</f>
        <v>0</v>
      </c>
      <c r="L1650" s="26">
        <f>IF($A1650="","",CHOOSE(WEEKDAY($A1650,2),"Seg","Ter","Qua","Qui","Sex","Sáb","Dom"))</f>
        <v>0</v>
      </c>
      <c r="M1650" s="27">
        <f>IF($E1650="","",IF($G1650&lt;&gt;"",$G1650,IFERROR(INDEX(ProcValor,MATCH($E1650,ProcNome,0)),0)))</f>
        <v>0</v>
      </c>
      <c r="N1650" s="27">
        <f>IF($M1650="","",IF($F1650="Compareceu",$M1650,0))</f>
        <v>0</v>
      </c>
      <c r="O1650" s="27">
        <f>IF($M1650="","",IF($F1650="Faltou",$M1650,0))</f>
        <v>0</v>
      </c>
      <c r="P1650" s="27">
        <f>IF($M1650="","",IF($F1650="Compareceu",MAX(0,$M1650-N($H1650)),0))</f>
        <v>0</v>
      </c>
      <c r="Q1650" s="19">
        <f>IF(AND($F1650="Compareceu",$E1650&lt;&gt;"",$A1650&lt;&gt;""),IF(IFERROR(INDEX(ProcRet,MATCH($E1650,ProcNome,0)),0)&gt;0,$A1650+INDEX(ProcRet,MATCH($E1650,ProcNome,0)),""),"")</f>
        <v>0</v>
      </c>
      <c r="R1650" s="26">
        <f>IF($Q1650="","",IF(COUNTIFS(AgPac,$D1650,AgData,"&gt;"&amp;$A1650,AgStatus,"&lt;&gt;Cancelado",AgStatus,"&lt;&gt;Remarcado")&gt;0,"Sim","Não"))</f>
        <v>0</v>
      </c>
      <c r="S1650" s="28">
        <f>IF($A1650="","",IF(AND($F1650="Agendado",$A1650-Hoje&gt;=0,$A1650-Hoje&lt;=DiasConf),"CONFIRMAR",IF(AND($A1650&lt;Hoje,OR($F1650="Agendado",$F1650="Confirmado")),"Atualizar status",IF(AND($F1650="Compareceu",$P1650&gt;0.005),"Cobrar",IF($F1650="Faltou","Falta: reagendar","")))))</f>
        <v>0</v>
      </c>
      <c r="T1650" s="29">
        <f>IF($A1650="","",DATE(YEAR($A1650),MONTH($A1650),1))</f>
        <v>0</v>
      </c>
      <c r="U1650" s="30">
        <f>IF($S1650="CONFIRMAR",MAX($U$4:$U1649)+1,"")</f>
        <v>0</v>
      </c>
      <c r="V1650" s="30">
        <f>IF(AND($R1650="Não",$Q1650&lt;&gt;"",$Q1650&lt;=Hoje+JanelaRet,$Q1650&gt;=Hoje-60),MAX($V$4:$V1649)+1,"")</f>
        <v>0</v>
      </c>
    </row>
    <row r="1651" spans="1:22">
      <c r="A1651" s="16"/>
      <c r="B1651" s="23"/>
      <c r="C1651" s="15"/>
      <c r="D1651" s="15"/>
      <c r="E1651" s="15"/>
      <c r="F1651" s="24"/>
      <c r="G1651" s="17"/>
      <c r="H1651" s="17"/>
      <c r="I1651" s="15"/>
      <c r="J1651" s="25">
        <f>IF($D1651="","",IFERROR(INDEX(PacNome,MATCH($D1651,PacCod,0)),"Paciente não cadastrado"))</f>
        <v>0</v>
      </c>
      <c r="K1651" s="26">
        <f>IF($D1651="","",IFERROR(INDEX(PacConv,MATCH($D1651,PacCod,0))&amp;"",""))</f>
        <v>0</v>
      </c>
      <c r="L1651" s="26">
        <f>IF($A1651="","",CHOOSE(WEEKDAY($A1651,2),"Seg","Ter","Qua","Qui","Sex","Sáb","Dom"))</f>
        <v>0</v>
      </c>
      <c r="M1651" s="27">
        <f>IF($E1651="","",IF($G1651&lt;&gt;"",$G1651,IFERROR(INDEX(ProcValor,MATCH($E1651,ProcNome,0)),0)))</f>
        <v>0</v>
      </c>
      <c r="N1651" s="27">
        <f>IF($M1651="","",IF($F1651="Compareceu",$M1651,0))</f>
        <v>0</v>
      </c>
      <c r="O1651" s="27">
        <f>IF($M1651="","",IF($F1651="Faltou",$M1651,0))</f>
        <v>0</v>
      </c>
      <c r="P1651" s="27">
        <f>IF($M1651="","",IF($F1651="Compareceu",MAX(0,$M1651-N($H1651)),0))</f>
        <v>0</v>
      </c>
      <c r="Q1651" s="19">
        <f>IF(AND($F1651="Compareceu",$E1651&lt;&gt;"",$A1651&lt;&gt;""),IF(IFERROR(INDEX(ProcRet,MATCH($E1651,ProcNome,0)),0)&gt;0,$A1651+INDEX(ProcRet,MATCH($E1651,ProcNome,0)),""),"")</f>
        <v>0</v>
      </c>
      <c r="R1651" s="26">
        <f>IF($Q1651="","",IF(COUNTIFS(AgPac,$D1651,AgData,"&gt;"&amp;$A1651,AgStatus,"&lt;&gt;Cancelado",AgStatus,"&lt;&gt;Remarcado")&gt;0,"Sim","Não"))</f>
        <v>0</v>
      </c>
      <c r="S1651" s="28">
        <f>IF($A1651="","",IF(AND($F1651="Agendado",$A1651-Hoje&gt;=0,$A1651-Hoje&lt;=DiasConf),"CONFIRMAR",IF(AND($A1651&lt;Hoje,OR($F1651="Agendado",$F1651="Confirmado")),"Atualizar status",IF(AND($F1651="Compareceu",$P1651&gt;0.005),"Cobrar",IF($F1651="Faltou","Falta: reagendar","")))))</f>
        <v>0</v>
      </c>
      <c r="T1651" s="29">
        <f>IF($A1651="","",DATE(YEAR($A1651),MONTH($A1651),1))</f>
        <v>0</v>
      </c>
      <c r="U1651" s="30">
        <f>IF($S1651="CONFIRMAR",MAX($U$4:$U1650)+1,"")</f>
        <v>0</v>
      </c>
      <c r="V1651" s="30">
        <f>IF(AND($R1651="Não",$Q1651&lt;&gt;"",$Q1651&lt;=Hoje+JanelaRet,$Q1651&gt;=Hoje-60),MAX($V$4:$V1650)+1,"")</f>
        <v>0</v>
      </c>
    </row>
    <row r="1652" spans="1:22">
      <c r="A1652" s="16"/>
      <c r="B1652" s="23"/>
      <c r="C1652" s="15"/>
      <c r="D1652" s="15"/>
      <c r="E1652" s="15"/>
      <c r="F1652" s="24"/>
      <c r="G1652" s="17"/>
      <c r="H1652" s="17"/>
      <c r="I1652" s="15"/>
      <c r="J1652" s="25">
        <f>IF($D1652="","",IFERROR(INDEX(PacNome,MATCH($D1652,PacCod,0)),"Paciente não cadastrado"))</f>
        <v>0</v>
      </c>
      <c r="K1652" s="26">
        <f>IF($D1652="","",IFERROR(INDEX(PacConv,MATCH($D1652,PacCod,0))&amp;"",""))</f>
        <v>0</v>
      </c>
      <c r="L1652" s="26">
        <f>IF($A1652="","",CHOOSE(WEEKDAY($A1652,2),"Seg","Ter","Qua","Qui","Sex","Sáb","Dom"))</f>
        <v>0</v>
      </c>
      <c r="M1652" s="27">
        <f>IF($E1652="","",IF($G1652&lt;&gt;"",$G1652,IFERROR(INDEX(ProcValor,MATCH($E1652,ProcNome,0)),0)))</f>
        <v>0</v>
      </c>
      <c r="N1652" s="27">
        <f>IF($M1652="","",IF($F1652="Compareceu",$M1652,0))</f>
        <v>0</v>
      </c>
      <c r="O1652" s="27">
        <f>IF($M1652="","",IF($F1652="Faltou",$M1652,0))</f>
        <v>0</v>
      </c>
      <c r="P1652" s="27">
        <f>IF($M1652="","",IF($F1652="Compareceu",MAX(0,$M1652-N($H1652)),0))</f>
        <v>0</v>
      </c>
      <c r="Q1652" s="19">
        <f>IF(AND($F1652="Compareceu",$E1652&lt;&gt;"",$A1652&lt;&gt;""),IF(IFERROR(INDEX(ProcRet,MATCH($E1652,ProcNome,0)),0)&gt;0,$A1652+INDEX(ProcRet,MATCH($E1652,ProcNome,0)),""),"")</f>
        <v>0</v>
      </c>
      <c r="R1652" s="26">
        <f>IF($Q1652="","",IF(COUNTIFS(AgPac,$D1652,AgData,"&gt;"&amp;$A1652,AgStatus,"&lt;&gt;Cancelado",AgStatus,"&lt;&gt;Remarcado")&gt;0,"Sim","Não"))</f>
        <v>0</v>
      </c>
      <c r="S1652" s="28">
        <f>IF($A1652="","",IF(AND($F1652="Agendado",$A1652-Hoje&gt;=0,$A1652-Hoje&lt;=DiasConf),"CONFIRMAR",IF(AND($A1652&lt;Hoje,OR($F1652="Agendado",$F1652="Confirmado")),"Atualizar status",IF(AND($F1652="Compareceu",$P1652&gt;0.005),"Cobrar",IF($F1652="Faltou","Falta: reagendar","")))))</f>
        <v>0</v>
      </c>
      <c r="T1652" s="29">
        <f>IF($A1652="","",DATE(YEAR($A1652),MONTH($A1652),1))</f>
        <v>0</v>
      </c>
      <c r="U1652" s="30">
        <f>IF($S1652="CONFIRMAR",MAX($U$4:$U1651)+1,"")</f>
        <v>0</v>
      </c>
      <c r="V1652" s="30">
        <f>IF(AND($R1652="Não",$Q1652&lt;&gt;"",$Q1652&lt;=Hoje+JanelaRet,$Q1652&gt;=Hoje-60),MAX($V$4:$V1651)+1,"")</f>
        <v>0</v>
      </c>
    </row>
    <row r="1653" spans="1:22">
      <c r="A1653" s="16"/>
      <c r="B1653" s="23"/>
      <c r="C1653" s="15"/>
      <c r="D1653" s="15"/>
      <c r="E1653" s="15"/>
      <c r="F1653" s="24"/>
      <c r="G1653" s="17"/>
      <c r="H1653" s="17"/>
      <c r="I1653" s="15"/>
      <c r="J1653" s="25">
        <f>IF($D1653="","",IFERROR(INDEX(PacNome,MATCH($D1653,PacCod,0)),"Paciente não cadastrado"))</f>
        <v>0</v>
      </c>
      <c r="K1653" s="26">
        <f>IF($D1653="","",IFERROR(INDEX(PacConv,MATCH($D1653,PacCod,0))&amp;"",""))</f>
        <v>0</v>
      </c>
      <c r="L1653" s="26">
        <f>IF($A1653="","",CHOOSE(WEEKDAY($A1653,2),"Seg","Ter","Qua","Qui","Sex","Sáb","Dom"))</f>
        <v>0</v>
      </c>
      <c r="M1653" s="27">
        <f>IF($E1653="","",IF($G1653&lt;&gt;"",$G1653,IFERROR(INDEX(ProcValor,MATCH($E1653,ProcNome,0)),0)))</f>
        <v>0</v>
      </c>
      <c r="N1653" s="27">
        <f>IF($M1653="","",IF($F1653="Compareceu",$M1653,0))</f>
        <v>0</v>
      </c>
      <c r="O1653" s="27">
        <f>IF($M1653="","",IF($F1653="Faltou",$M1653,0))</f>
        <v>0</v>
      </c>
      <c r="P1653" s="27">
        <f>IF($M1653="","",IF($F1653="Compareceu",MAX(0,$M1653-N($H1653)),0))</f>
        <v>0</v>
      </c>
      <c r="Q1653" s="19">
        <f>IF(AND($F1653="Compareceu",$E1653&lt;&gt;"",$A1653&lt;&gt;""),IF(IFERROR(INDEX(ProcRet,MATCH($E1653,ProcNome,0)),0)&gt;0,$A1653+INDEX(ProcRet,MATCH($E1653,ProcNome,0)),""),"")</f>
        <v>0</v>
      </c>
      <c r="R1653" s="26">
        <f>IF($Q1653="","",IF(COUNTIFS(AgPac,$D1653,AgData,"&gt;"&amp;$A1653,AgStatus,"&lt;&gt;Cancelado",AgStatus,"&lt;&gt;Remarcado")&gt;0,"Sim","Não"))</f>
        <v>0</v>
      </c>
      <c r="S1653" s="28">
        <f>IF($A1653="","",IF(AND($F1653="Agendado",$A1653-Hoje&gt;=0,$A1653-Hoje&lt;=DiasConf),"CONFIRMAR",IF(AND($A1653&lt;Hoje,OR($F1653="Agendado",$F1653="Confirmado")),"Atualizar status",IF(AND($F1653="Compareceu",$P1653&gt;0.005),"Cobrar",IF($F1653="Faltou","Falta: reagendar","")))))</f>
        <v>0</v>
      </c>
      <c r="T1653" s="29">
        <f>IF($A1653="","",DATE(YEAR($A1653),MONTH($A1653),1))</f>
        <v>0</v>
      </c>
      <c r="U1653" s="30">
        <f>IF($S1653="CONFIRMAR",MAX($U$4:$U1652)+1,"")</f>
        <v>0</v>
      </c>
      <c r="V1653" s="30">
        <f>IF(AND($R1653="Não",$Q1653&lt;&gt;"",$Q1653&lt;=Hoje+JanelaRet,$Q1653&gt;=Hoje-60),MAX($V$4:$V1652)+1,"")</f>
        <v>0</v>
      </c>
    </row>
    <row r="1654" spans="1:22">
      <c r="A1654" s="16"/>
      <c r="B1654" s="23"/>
      <c r="C1654" s="15"/>
      <c r="D1654" s="15"/>
      <c r="E1654" s="15"/>
      <c r="F1654" s="24"/>
      <c r="G1654" s="17"/>
      <c r="H1654" s="17"/>
      <c r="I1654" s="15"/>
      <c r="J1654" s="25">
        <f>IF($D1654="","",IFERROR(INDEX(PacNome,MATCH($D1654,PacCod,0)),"Paciente não cadastrado"))</f>
        <v>0</v>
      </c>
      <c r="K1654" s="26">
        <f>IF($D1654="","",IFERROR(INDEX(PacConv,MATCH($D1654,PacCod,0))&amp;"",""))</f>
        <v>0</v>
      </c>
      <c r="L1654" s="26">
        <f>IF($A1654="","",CHOOSE(WEEKDAY($A1654,2),"Seg","Ter","Qua","Qui","Sex","Sáb","Dom"))</f>
        <v>0</v>
      </c>
      <c r="M1654" s="27">
        <f>IF($E1654="","",IF($G1654&lt;&gt;"",$G1654,IFERROR(INDEX(ProcValor,MATCH($E1654,ProcNome,0)),0)))</f>
        <v>0</v>
      </c>
      <c r="N1654" s="27">
        <f>IF($M1654="","",IF($F1654="Compareceu",$M1654,0))</f>
        <v>0</v>
      </c>
      <c r="O1654" s="27">
        <f>IF($M1654="","",IF($F1654="Faltou",$M1654,0))</f>
        <v>0</v>
      </c>
      <c r="P1654" s="27">
        <f>IF($M1654="","",IF($F1654="Compareceu",MAX(0,$M1654-N($H1654)),0))</f>
        <v>0</v>
      </c>
      <c r="Q1654" s="19">
        <f>IF(AND($F1654="Compareceu",$E1654&lt;&gt;"",$A1654&lt;&gt;""),IF(IFERROR(INDEX(ProcRet,MATCH($E1654,ProcNome,0)),0)&gt;0,$A1654+INDEX(ProcRet,MATCH($E1654,ProcNome,0)),""),"")</f>
        <v>0</v>
      </c>
      <c r="R1654" s="26">
        <f>IF($Q1654="","",IF(COUNTIFS(AgPac,$D1654,AgData,"&gt;"&amp;$A1654,AgStatus,"&lt;&gt;Cancelado",AgStatus,"&lt;&gt;Remarcado")&gt;0,"Sim","Não"))</f>
        <v>0</v>
      </c>
      <c r="S1654" s="28">
        <f>IF($A1654="","",IF(AND($F1654="Agendado",$A1654-Hoje&gt;=0,$A1654-Hoje&lt;=DiasConf),"CONFIRMAR",IF(AND($A1654&lt;Hoje,OR($F1654="Agendado",$F1654="Confirmado")),"Atualizar status",IF(AND($F1654="Compareceu",$P1654&gt;0.005),"Cobrar",IF($F1654="Faltou","Falta: reagendar","")))))</f>
        <v>0</v>
      </c>
      <c r="T1654" s="29">
        <f>IF($A1654="","",DATE(YEAR($A1654),MONTH($A1654),1))</f>
        <v>0</v>
      </c>
      <c r="U1654" s="30">
        <f>IF($S1654="CONFIRMAR",MAX($U$4:$U1653)+1,"")</f>
        <v>0</v>
      </c>
      <c r="V1654" s="30">
        <f>IF(AND($R1654="Não",$Q1654&lt;&gt;"",$Q1654&lt;=Hoje+JanelaRet,$Q1654&gt;=Hoje-60),MAX($V$4:$V1653)+1,"")</f>
        <v>0</v>
      </c>
    </row>
    <row r="1655" spans="1:22">
      <c r="A1655" s="16"/>
      <c r="B1655" s="23"/>
      <c r="C1655" s="15"/>
      <c r="D1655" s="15"/>
      <c r="E1655" s="15"/>
      <c r="F1655" s="24"/>
      <c r="G1655" s="17"/>
      <c r="H1655" s="17"/>
      <c r="I1655" s="15"/>
      <c r="J1655" s="25">
        <f>IF($D1655="","",IFERROR(INDEX(PacNome,MATCH($D1655,PacCod,0)),"Paciente não cadastrado"))</f>
        <v>0</v>
      </c>
      <c r="K1655" s="26">
        <f>IF($D1655="","",IFERROR(INDEX(PacConv,MATCH($D1655,PacCod,0))&amp;"",""))</f>
        <v>0</v>
      </c>
      <c r="L1655" s="26">
        <f>IF($A1655="","",CHOOSE(WEEKDAY($A1655,2),"Seg","Ter","Qua","Qui","Sex","Sáb","Dom"))</f>
        <v>0</v>
      </c>
      <c r="M1655" s="27">
        <f>IF($E1655="","",IF($G1655&lt;&gt;"",$G1655,IFERROR(INDEX(ProcValor,MATCH($E1655,ProcNome,0)),0)))</f>
        <v>0</v>
      </c>
      <c r="N1655" s="27">
        <f>IF($M1655="","",IF($F1655="Compareceu",$M1655,0))</f>
        <v>0</v>
      </c>
      <c r="O1655" s="27">
        <f>IF($M1655="","",IF($F1655="Faltou",$M1655,0))</f>
        <v>0</v>
      </c>
      <c r="P1655" s="27">
        <f>IF($M1655="","",IF($F1655="Compareceu",MAX(0,$M1655-N($H1655)),0))</f>
        <v>0</v>
      </c>
      <c r="Q1655" s="19">
        <f>IF(AND($F1655="Compareceu",$E1655&lt;&gt;"",$A1655&lt;&gt;""),IF(IFERROR(INDEX(ProcRet,MATCH($E1655,ProcNome,0)),0)&gt;0,$A1655+INDEX(ProcRet,MATCH($E1655,ProcNome,0)),""),"")</f>
        <v>0</v>
      </c>
      <c r="R1655" s="26">
        <f>IF($Q1655="","",IF(COUNTIFS(AgPac,$D1655,AgData,"&gt;"&amp;$A1655,AgStatus,"&lt;&gt;Cancelado",AgStatus,"&lt;&gt;Remarcado")&gt;0,"Sim","Não"))</f>
        <v>0</v>
      </c>
      <c r="S1655" s="28">
        <f>IF($A1655="","",IF(AND($F1655="Agendado",$A1655-Hoje&gt;=0,$A1655-Hoje&lt;=DiasConf),"CONFIRMAR",IF(AND($A1655&lt;Hoje,OR($F1655="Agendado",$F1655="Confirmado")),"Atualizar status",IF(AND($F1655="Compareceu",$P1655&gt;0.005),"Cobrar",IF($F1655="Faltou","Falta: reagendar","")))))</f>
        <v>0</v>
      </c>
      <c r="T1655" s="29">
        <f>IF($A1655="","",DATE(YEAR($A1655),MONTH($A1655),1))</f>
        <v>0</v>
      </c>
      <c r="U1655" s="30">
        <f>IF($S1655="CONFIRMAR",MAX($U$4:$U1654)+1,"")</f>
        <v>0</v>
      </c>
      <c r="V1655" s="30">
        <f>IF(AND($R1655="Não",$Q1655&lt;&gt;"",$Q1655&lt;=Hoje+JanelaRet,$Q1655&gt;=Hoje-60),MAX($V$4:$V1654)+1,"")</f>
        <v>0</v>
      </c>
    </row>
    <row r="1656" spans="1:22">
      <c r="A1656" s="16"/>
      <c r="B1656" s="23"/>
      <c r="C1656" s="15"/>
      <c r="D1656" s="15"/>
      <c r="E1656" s="15"/>
      <c r="F1656" s="24"/>
      <c r="G1656" s="17"/>
      <c r="H1656" s="17"/>
      <c r="I1656" s="15"/>
      <c r="J1656" s="25">
        <f>IF($D1656="","",IFERROR(INDEX(PacNome,MATCH($D1656,PacCod,0)),"Paciente não cadastrado"))</f>
        <v>0</v>
      </c>
      <c r="K1656" s="26">
        <f>IF($D1656="","",IFERROR(INDEX(PacConv,MATCH($D1656,PacCod,0))&amp;"",""))</f>
        <v>0</v>
      </c>
      <c r="L1656" s="26">
        <f>IF($A1656="","",CHOOSE(WEEKDAY($A1656,2),"Seg","Ter","Qua","Qui","Sex","Sáb","Dom"))</f>
        <v>0</v>
      </c>
      <c r="M1656" s="27">
        <f>IF($E1656="","",IF($G1656&lt;&gt;"",$G1656,IFERROR(INDEX(ProcValor,MATCH($E1656,ProcNome,0)),0)))</f>
        <v>0</v>
      </c>
      <c r="N1656" s="27">
        <f>IF($M1656="","",IF($F1656="Compareceu",$M1656,0))</f>
        <v>0</v>
      </c>
      <c r="O1656" s="27">
        <f>IF($M1656="","",IF($F1656="Faltou",$M1656,0))</f>
        <v>0</v>
      </c>
      <c r="P1656" s="27">
        <f>IF($M1656="","",IF($F1656="Compareceu",MAX(0,$M1656-N($H1656)),0))</f>
        <v>0</v>
      </c>
      <c r="Q1656" s="19">
        <f>IF(AND($F1656="Compareceu",$E1656&lt;&gt;"",$A1656&lt;&gt;""),IF(IFERROR(INDEX(ProcRet,MATCH($E1656,ProcNome,0)),0)&gt;0,$A1656+INDEX(ProcRet,MATCH($E1656,ProcNome,0)),""),"")</f>
        <v>0</v>
      </c>
      <c r="R1656" s="26">
        <f>IF($Q1656="","",IF(COUNTIFS(AgPac,$D1656,AgData,"&gt;"&amp;$A1656,AgStatus,"&lt;&gt;Cancelado",AgStatus,"&lt;&gt;Remarcado")&gt;0,"Sim","Não"))</f>
        <v>0</v>
      </c>
      <c r="S1656" s="28">
        <f>IF($A1656="","",IF(AND($F1656="Agendado",$A1656-Hoje&gt;=0,$A1656-Hoje&lt;=DiasConf),"CONFIRMAR",IF(AND($A1656&lt;Hoje,OR($F1656="Agendado",$F1656="Confirmado")),"Atualizar status",IF(AND($F1656="Compareceu",$P1656&gt;0.005),"Cobrar",IF($F1656="Faltou","Falta: reagendar","")))))</f>
        <v>0</v>
      </c>
      <c r="T1656" s="29">
        <f>IF($A1656="","",DATE(YEAR($A1656),MONTH($A1656),1))</f>
        <v>0</v>
      </c>
      <c r="U1656" s="30">
        <f>IF($S1656="CONFIRMAR",MAX($U$4:$U1655)+1,"")</f>
        <v>0</v>
      </c>
      <c r="V1656" s="30">
        <f>IF(AND($R1656="Não",$Q1656&lt;&gt;"",$Q1656&lt;=Hoje+JanelaRet,$Q1656&gt;=Hoje-60),MAX($V$4:$V1655)+1,"")</f>
        <v>0</v>
      </c>
    </row>
    <row r="1657" spans="1:22">
      <c r="A1657" s="16"/>
      <c r="B1657" s="23"/>
      <c r="C1657" s="15"/>
      <c r="D1657" s="15"/>
      <c r="E1657" s="15"/>
      <c r="F1657" s="24"/>
      <c r="G1657" s="17"/>
      <c r="H1657" s="17"/>
      <c r="I1657" s="15"/>
      <c r="J1657" s="25">
        <f>IF($D1657="","",IFERROR(INDEX(PacNome,MATCH($D1657,PacCod,0)),"Paciente não cadastrado"))</f>
        <v>0</v>
      </c>
      <c r="K1657" s="26">
        <f>IF($D1657="","",IFERROR(INDEX(PacConv,MATCH($D1657,PacCod,0))&amp;"",""))</f>
        <v>0</v>
      </c>
      <c r="L1657" s="26">
        <f>IF($A1657="","",CHOOSE(WEEKDAY($A1657,2),"Seg","Ter","Qua","Qui","Sex","Sáb","Dom"))</f>
        <v>0</v>
      </c>
      <c r="M1657" s="27">
        <f>IF($E1657="","",IF($G1657&lt;&gt;"",$G1657,IFERROR(INDEX(ProcValor,MATCH($E1657,ProcNome,0)),0)))</f>
        <v>0</v>
      </c>
      <c r="N1657" s="27">
        <f>IF($M1657="","",IF($F1657="Compareceu",$M1657,0))</f>
        <v>0</v>
      </c>
      <c r="O1657" s="27">
        <f>IF($M1657="","",IF($F1657="Faltou",$M1657,0))</f>
        <v>0</v>
      </c>
      <c r="P1657" s="27">
        <f>IF($M1657="","",IF($F1657="Compareceu",MAX(0,$M1657-N($H1657)),0))</f>
        <v>0</v>
      </c>
      <c r="Q1657" s="19">
        <f>IF(AND($F1657="Compareceu",$E1657&lt;&gt;"",$A1657&lt;&gt;""),IF(IFERROR(INDEX(ProcRet,MATCH($E1657,ProcNome,0)),0)&gt;0,$A1657+INDEX(ProcRet,MATCH($E1657,ProcNome,0)),""),"")</f>
        <v>0</v>
      </c>
      <c r="R1657" s="26">
        <f>IF($Q1657="","",IF(COUNTIFS(AgPac,$D1657,AgData,"&gt;"&amp;$A1657,AgStatus,"&lt;&gt;Cancelado",AgStatus,"&lt;&gt;Remarcado")&gt;0,"Sim","Não"))</f>
        <v>0</v>
      </c>
      <c r="S1657" s="28">
        <f>IF($A1657="","",IF(AND($F1657="Agendado",$A1657-Hoje&gt;=0,$A1657-Hoje&lt;=DiasConf),"CONFIRMAR",IF(AND($A1657&lt;Hoje,OR($F1657="Agendado",$F1657="Confirmado")),"Atualizar status",IF(AND($F1657="Compareceu",$P1657&gt;0.005),"Cobrar",IF($F1657="Faltou","Falta: reagendar","")))))</f>
        <v>0</v>
      </c>
      <c r="T1657" s="29">
        <f>IF($A1657="","",DATE(YEAR($A1657),MONTH($A1657),1))</f>
        <v>0</v>
      </c>
      <c r="U1657" s="30">
        <f>IF($S1657="CONFIRMAR",MAX($U$4:$U1656)+1,"")</f>
        <v>0</v>
      </c>
      <c r="V1657" s="30">
        <f>IF(AND($R1657="Não",$Q1657&lt;&gt;"",$Q1657&lt;=Hoje+JanelaRet,$Q1657&gt;=Hoje-60),MAX($V$4:$V1656)+1,"")</f>
        <v>0</v>
      </c>
    </row>
    <row r="1658" spans="1:22">
      <c r="A1658" s="16"/>
      <c r="B1658" s="23"/>
      <c r="C1658" s="15"/>
      <c r="D1658" s="15"/>
      <c r="E1658" s="15"/>
      <c r="F1658" s="24"/>
      <c r="G1658" s="17"/>
      <c r="H1658" s="17"/>
      <c r="I1658" s="15"/>
      <c r="J1658" s="25">
        <f>IF($D1658="","",IFERROR(INDEX(PacNome,MATCH($D1658,PacCod,0)),"Paciente não cadastrado"))</f>
        <v>0</v>
      </c>
      <c r="K1658" s="26">
        <f>IF($D1658="","",IFERROR(INDEX(PacConv,MATCH($D1658,PacCod,0))&amp;"",""))</f>
        <v>0</v>
      </c>
      <c r="L1658" s="26">
        <f>IF($A1658="","",CHOOSE(WEEKDAY($A1658,2),"Seg","Ter","Qua","Qui","Sex","Sáb","Dom"))</f>
        <v>0</v>
      </c>
      <c r="M1658" s="27">
        <f>IF($E1658="","",IF($G1658&lt;&gt;"",$G1658,IFERROR(INDEX(ProcValor,MATCH($E1658,ProcNome,0)),0)))</f>
        <v>0</v>
      </c>
      <c r="N1658" s="27">
        <f>IF($M1658="","",IF($F1658="Compareceu",$M1658,0))</f>
        <v>0</v>
      </c>
      <c r="O1658" s="27">
        <f>IF($M1658="","",IF($F1658="Faltou",$M1658,0))</f>
        <v>0</v>
      </c>
      <c r="P1658" s="27">
        <f>IF($M1658="","",IF($F1658="Compareceu",MAX(0,$M1658-N($H1658)),0))</f>
        <v>0</v>
      </c>
      <c r="Q1658" s="19">
        <f>IF(AND($F1658="Compareceu",$E1658&lt;&gt;"",$A1658&lt;&gt;""),IF(IFERROR(INDEX(ProcRet,MATCH($E1658,ProcNome,0)),0)&gt;0,$A1658+INDEX(ProcRet,MATCH($E1658,ProcNome,0)),""),"")</f>
        <v>0</v>
      </c>
      <c r="R1658" s="26">
        <f>IF($Q1658="","",IF(COUNTIFS(AgPac,$D1658,AgData,"&gt;"&amp;$A1658,AgStatus,"&lt;&gt;Cancelado",AgStatus,"&lt;&gt;Remarcado")&gt;0,"Sim","Não"))</f>
        <v>0</v>
      </c>
      <c r="S1658" s="28">
        <f>IF($A1658="","",IF(AND($F1658="Agendado",$A1658-Hoje&gt;=0,$A1658-Hoje&lt;=DiasConf),"CONFIRMAR",IF(AND($A1658&lt;Hoje,OR($F1658="Agendado",$F1658="Confirmado")),"Atualizar status",IF(AND($F1658="Compareceu",$P1658&gt;0.005),"Cobrar",IF($F1658="Faltou","Falta: reagendar","")))))</f>
        <v>0</v>
      </c>
      <c r="T1658" s="29">
        <f>IF($A1658="","",DATE(YEAR($A1658),MONTH($A1658),1))</f>
        <v>0</v>
      </c>
      <c r="U1658" s="30">
        <f>IF($S1658="CONFIRMAR",MAX($U$4:$U1657)+1,"")</f>
        <v>0</v>
      </c>
      <c r="V1658" s="30">
        <f>IF(AND($R1658="Não",$Q1658&lt;&gt;"",$Q1658&lt;=Hoje+JanelaRet,$Q1658&gt;=Hoje-60),MAX($V$4:$V1657)+1,"")</f>
        <v>0</v>
      </c>
    </row>
    <row r="1659" spans="1:22">
      <c r="A1659" s="16"/>
      <c r="B1659" s="23"/>
      <c r="C1659" s="15"/>
      <c r="D1659" s="15"/>
      <c r="E1659" s="15"/>
      <c r="F1659" s="24"/>
      <c r="G1659" s="17"/>
      <c r="H1659" s="17"/>
      <c r="I1659" s="15"/>
      <c r="J1659" s="25">
        <f>IF($D1659="","",IFERROR(INDEX(PacNome,MATCH($D1659,PacCod,0)),"Paciente não cadastrado"))</f>
        <v>0</v>
      </c>
      <c r="K1659" s="26">
        <f>IF($D1659="","",IFERROR(INDEX(PacConv,MATCH($D1659,PacCod,0))&amp;"",""))</f>
        <v>0</v>
      </c>
      <c r="L1659" s="26">
        <f>IF($A1659="","",CHOOSE(WEEKDAY($A1659,2),"Seg","Ter","Qua","Qui","Sex","Sáb","Dom"))</f>
        <v>0</v>
      </c>
      <c r="M1659" s="27">
        <f>IF($E1659="","",IF($G1659&lt;&gt;"",$G1659,IFERROR(INDEX(ProcValor,MATCH($E1659,ProcNome,0)),0)))</f>
        <v>0</v>
      </c>
      <c r="N1659" s="27">
        <f>IF($M1659="","",IF($F1659="Compareceu",$M1659,0))</f>
        <v>0</v>
      </c>
      <c r="O1659" s="27">
        <f>IF($M1659="","",IF($F1659="Faltou",$M1659,0))</f>
        <v>0</v>
      </c>
      <c r="P1659" s="27">
        <f>IF($M1659="","",IF($F1659="Compareceu",MAX(0,$M1659-N($H1659)),0))</f>
        <v>0</v>
      </c>
      <c r="Q1659" s="19">
        <f>IF(AND($F1659="Compareceu",$E1659&lt;&gt;"",$A1659&lt;&gt;""),IF(IFERROR(INDEX(ProcRet,MATCH($E1659,ProcNome,0)),0)&gt;0,$A1659+INDEX(ProcRet,MATCH($E1659,ProcNome,0)),""),"")</f>
        <v>0</v>
      </c>
      <c r="R1659" s="26">
        <f>IF($Q1659="","",IF(COUNTIFS(AgPac,$D1659,AgData,"&gt;"&amp;$A1659,AgStatus,"&lt;&gt;Cancelado",AgStatus,"&lt;&gt;Remarcado")&gt;0,"Sim","Não"))</f>
        <v>0</v>
      </c>
      <c r="S1659" s="28">
        <f>IF($A1659="","",IF(AND($F1659="Agendado",$A1659-Hoje&gt;=0,$A1659-Hoje&lt;=DiasConf),"CONFIRMAR",IF(AND($A1659&lt;Hoje,OR($F1659="Agendado",$F1659="Confirmado")),"Atualizar status",IF(AND($F1659="Compareceu",$P1659&gt;0.005),"Cobrar",IF($F1659="Faltou","Falta: reagendar","")))))</f>
        <v>0</v>
      </c>
      <c r="T1659" s="29">
        <f>IF($A1659="","",DATE(YEAR($A1659),MONTH($A1659),1))</f>
        <v>0</v>
      </c>
      <c r="U1659" s="30">
        <f>IF($S1659="CONFIRMAR",MAX($U$4:$U1658)+1,"")</f>
        <v>0</v>
      </c>
      <c r="V1659" s="30">
        <f>IF(AND($R1659="Não",$Q1659&lt;&gt;"",$Q1659&lt;=Hoje+JanelaRet,$Q1659&gt;=Hoje-60),MAX($V$4:$V1658)+1,"")</f>
        <v>0</v>
      </c>
    </row>
    <row r="1660" spans="1:22">
      <c r="A1660" s="16"/>
      <c r="B1660" s="23"/>
      <c r="C1660" s="15"/>
      <c r="D1660" s="15"/>
      <c r="E1660" s="15"/>
      <c r="F1660" s="24"/>
      <c r="G1660" s="17"/>
      <c r="H1660" s="17"/>
      <c r="I1660" s="15"/>
      <c r="J1660" s="25">
        <f>IF($D1660="","",IFERROR(INDEX(PacNome,MATCH($D1660,PacCod,0)),"Paciente não cadastrado"))</f>
        <v>0</v>
      </c>
      <c r="K1660" s="26">
        <f>IF($D1660="","",IFERROR(INDEX(PacConv,MATCH($D1660,PacCod,0))&amp;"",""))</f>
        <v>0</v>
      </c>
      <c r="L1660" s="26">
        <f>IF($A1660="","",CHOOSE(WEEKDAY($A1660,2),"Seg","Ter","Qua","Qui","Sex","Sáb","Dom"))</f>
        <v>0</v>
      </c>
      <c r="M1660" s="27">
        <f>IF($E1660="","",IF($G1660&lt;&gt;"",$G1660,IFERROR(INDEX(ProcValor,MATCH($E1660,ProcNome,0)),0)))</f>
        <v>0</v>
      </c>
      <c r="N1660" s="27">
        <f>IF($M1660="","",IF($F1660="Compareceu",$M1660,0))</f>
        <v>0</v>
      </c>
      <c r="O1660" s="27">
        <f>IF($M1660="","",IF($F1660="Faltou",$M1660,0))</f>
        <v>0</v>
      </c>
      <c r="P1660" s="27">
        <f>IF($M1660="","",IF($F1660="Compareceu",MAX(0,$M1660-N($H1660)),0))</f>
        <v>0</v>
      </c>
      <c r="Q1660" s="19">
        <f>IF(AND($F1660="Compareceu",$E1660&lt;&gt;"",$A1660&lt;&gt;""),IF(IFERROR(INDEX(ProcRet,MATCH($E1660,ProcNome,0)),0)&gt;0,$A1660+INDEX(ProcRet,MATCH($E1660,ProcNome,0)),""),"")</f>
        <v>0</v>
      </c>
      <c r="R1660" s="26">
        <f>IF($Q1660="","",IF(COUNTIFS(AgPac,$D1660,AgData,"&gt;"&amp;$A1660,AgStatus,"&lt;&gt;Cancelado",AgStatus,"&lt;&gt;Remarcado")&gt;0,"Sim","Não"))</f>
        <v>0</v>
      </c>
      <c r="S1660" s="28">
        <f>IF($A1660="","",IF(AND($F1660="Agendado",$A1660-Hoje&gt;=0,$A1660-Hoje&lt;=DiasConf),"CONFIRMAR",IF(AND($A1660&lt;Hoje,OR($F1660="Agendado",$F1660="Confirmado")),"Atualizar status",IF(AND($F1660="Compareceu",$P1660&gt;0.005),"Cobrar",IF($F1660="Faltou","Falta: reagendar","")))))</f>
        <v>0</v>
      </c>
      <c r="T1660" s="29">
        <f>IF($A1660="","",DATE(YEAR($A1660),MONTH($A1660),1))</f>
        <v>0</v>
      </c>
      <c r="U1660" s="30">
        <f>IF($S1660="CONFIRMAR",MAX($U$4:$U1659)+1,"")</f>
        <v>0</v>
      </c>
      <c r="V1660" s="30">
        <f>IF(AND($R1660="Não",$Q1660&lt;&gt;"",$Q1660&lt;=Hoje+JanelaRet,$Q1660&gt;=Hoje-60),MAX($V$4:$V1659)+1,"")</f>
        <v>0</v>
      </c>
    </row>
    <row r="1661" spans="1:22">
      <c r="A1661" s="16"/>
      <c r="B1661" s="23"/>
      <c r="C1661" s="15"/>
      <c r="D1661" s="15"/>
      <c r="E1661" s="15"/>
      <c r="F1661" s="24"/>
      <c r="G1661" s="17"/>
      <c r="H1661" s="17"/>
      <c r="I1661" s="15"/>
      <c r="J1661" s="25">
        <f>IF($D1661="","",IFERROR(INDEX(PacNome,MATCH($D1661,PacCod,0)),"Paciente não cadastrado"))</f>
        <v>0</v>
      </c>
      <c r="K1661" s="26">
        <f>IF($D1661="","",IFERROR(INDEX(PacConv,MATCH($D1661,PacCod,0))&amp;"",""))</f>
        <v>0</v>
      </c>
      <c r="L1661" s="26">
        <f>IF($A1661="","",CHOOSE(WEEKDAY($A1661,2),"Seg","Ter","Qua","Qui","Sex","Sáb","Dom"))</f>
        <v>0</v>
      </c>
      <c r="M1661" s="27">
        <f>IF($E1661="","",IF($G1661&lt;&gt;"",$G1661,IFERROR(INDEX(ProcValor,MATCH($E1661,ProcNome,0)),0)))</f>
        <v>0</v>
      </c>
      <c r="N1661" s="27">
        <f>IF($M1661="","",IF($F1661="Compareceu",$M1661,0))</f>
        <v>0</v>
      </c>
      <c r="O1661" s="27">
        <f>IF($M1661="","",IF($F1661="Faltou",$M1661,0))</f>
        <v>0</v>
      </c>
      <c r="P1661" s="27">
        <f>IF($M1661="","",IF($F1661="Compareceu",MAX(0,$M1661-N($H1661)),0))</f>
        <v>0</v>
      </c>
      <c r="Q1661" s="19">
        <f>IF(AND($F1661="Compareceu",$E1661&lt;&gt;"",$A1661&lt;&gt;""),IF(IFERROR(INDEX(ProcRet,MATCH($E1661,ProcNome,0)),0)&gt;0,$A1661+INDEX(ProcRet,MATCH($E1661,ProcNome,0)),""),"")</f>
        <v>0</v>
      </c>
      <c r="R1661" s="26">
        <f>IF($Q1661="","",IF(COUNTIFS(AgPac,$D1661,AgData,"&gt;"&amp;$A1661,AgStatus,"&lt;&gt;Cancelado",AgStatus,"&lt;&gt;Remarcado")&gt;0,"Sim","Não"))</f>
        <v>0</v>
      </c>
      <c r="S1661" s="28">
        <f>IF($A1661="","",IF(AND($F1661="Agendado",$A1661-Hoje&gt;=0,$A1661-Hoje&lt;=DiasConf),"CONFIRMAR",IF(AND($A1661&lt;Hoje,OR($F1661="Agendado",$F1661="Confirmado")),"Atualizar status",IF(AND($F1661="Compareceu",$P1661&gt;0.005),"Cobrar",IF($F1661="Faltou","Falta: reagendar","")))))</f>
        <v>0</v>
      </c>
      <c r="T1661" s="29">
        <f>IF($A1661="","",DATE(YEAR($A1661),MONTH($A1661),1))</f>
        <v>0</v>
      </c>
      <c r="U1661" s="30">
        <f>IF($S1661="CONFIRMAR",MAX($U$4:$U1660)+1,"")</f>
        <v>0</v>
      </c>
      <c r="V1661" s="30">
        <f>IF(AND($R1661="Não",$Q1661&lt;&gt;"",$Q1661&lt;=Hoje+JanelaRet,$Q1661&gt;=Hoje-60),MAX($V$4:$V1660)+1,"")</f>
        <v>0</v>
      </c>
    </row>
    <row r="1662" spans="1:22">
      <c r="A1662" s="16"/>
      <c r="B1662" s="23"/>
      <c r="C1662" s="15"/>
      <c r="D1662" s="15"/>
      <c r="E1662" s="15"/>
      <c r="F1662" s="24"/>
      <c r="G1662" s="17"/>
      <c r="H1662" s="17"/>
      <c r="I1662" s="15"/>
      <c r="J1662" s="25">
        <f>IF($D1662="","",IFERROR(INDEX(PacNome,MATCH($D1662,PacCod,0)),"Paciente não cadastrado"))</f>
        <v>0</v>
      </c>
      <c r="K1662" s="26">
        <f>IF($D1662="","",IFERROR(INDEX(PacConv,MATCH($D1662,PacCod,0))&amp;"",""))</f>
        <v>0</v>
      </c>
      <c r="L1662" s="26">
        <f>IF($A1662="","",CHOOSE(WEEKDAY($A1662,2),"Seg","Ter","Qua","Qui","Sex","Sáb","Dom"))</f>
        <v>0</v>
      </c>
      <c r="M1662" s="27">
        <f>IF($E1662="","",IF($G1662&lt;&gt;"",$G1662,IFERROR(INDEX(ProcValor,MATCH($E1662,ProcNome,0)),0)))</f>
        <v>0</v>
      </c>
      <c r="N1662" s="27">
        <f>IF($M1662="","",IF($F1662="Compareceu",$M1662,0))</f>
        <v>0</v>
      </c>
      <c r="O1662" s="27">
        <f>IF($M1662="","",IF($F1662="Faltou",$M1662,0))</f>
        <v>0</v>
      </c>
      <c r="P1662" s="27">
        <f>IF($M1662="","",IF($F1662="Compareceu",MAX(0,$M1662-N($H1662)),0))</f>
        <v>0</v>
      </c>
      <c r="Q1662" s="19">
        <f>IF(AND($F1662="Compareceu",$E1662&lt;&gt;"",$A1662&lt;&gt;""),IF(IFERROR(INDEX(ProcRet,MATCH($E1662,ProcNome,0)),0)&gt;0,$A1662+INDEX(ProcRet,MATCH($E1662,ProcNome,0)),""),"")</f>
        <v>0</v>
      </c>
      <c r="R1662" s="26">
        <f>IF($Q1662="","",IF(COUNTIFS(AgPac,$D1662,AgData,"&gt;"&amp;$A1662,AgStatus,"&lt;&gt;Cancelado",AgStatus,"&lt;&gt;Remarcado")&gt;0,"Sim","Não"))</f>
        <v>0</v>
      </c>
      <c r="S1662" s="28">
        <f>IF($A1662="","",IF(AND($F1662="Agendado",$A1662-Hoje&gt;=0,$A1662-Hoje&lt;=DiasConf),"CONFIRMAR",IF(AND($A1662&lt;Hoje,OR($F1662="Agendado",$F1662="Confirmado")),"Atualizar status",IF(AND($F1662="Compareceu",$P1662&gt;0.005),"Cobrar",IF($F1662="Faltou","Falta: reagendar","")))))</f>
        <v>0</v>
      </c>
      <c r="T1662" s="29">
        <f>IF($A1662="","",DATE(YEAR($A1662),MONTH($A1662),1))</f>
        <v>0</v>
      </c>
      <c r="U1662" s="30">
        <f>IF($S1662="CONFIRMAR",MAX($U$4:$U1661)+1,"")</f>
        <v>0</v>
      </c>
      <c r="V1662" s="30">
        <f>IF(AND($R1662="Não",$Q1662&lt;&gt;"",$Q1662&lt;=Hoje+JanelaRet,$Q1662&gt;=Hoje-60),MAX($V$4:$V1661)+1,"")</f>
        <v>0</v>
      </c>
    </row>
    <row r="1663" spans="1:22">
      <c r="A1663" s="16"/>
      <c r="B1663" s="23"/>
      <c r="C1663" s="15"/>
      <c r="D1663" s="15"/>
      <c r="E1663" s="15"/>
      <c r="F1663" s="24"/>
      <c r="G1663" s="17"/>
      <c r="H1663" s="17"/>
      <c r="I1663" s="15"/>
      <c r="J1663" s="25">
        <f>IF($D1663="","",IFERROR(INDEX(PacNome,MATCH($D1663,PacCod,0)),"Paciente não cadastrado"))</f>
        <v>0</v>
      </c>
      <c r="K1663" s="26">
        <f>IF($D1663="","",IFERROR(INDEX(PacConv,MATCH($D1663,PacCod,0))&amp;"",""))</f>
        <v>0</v>
      </c>
      <c r="L1663" s="26">
        <f>IF($A1663="","",CHOOSE(WEEKDAY($A1663,2),"Seg","Ter","Qua","Qui","Sex","Sáb","Dom"))</f>
        <v>0</v>
      </c>
      <c r="M1663" s="27">
        <f>IF($E1663="","",IF($G1663&lt;&gt;"",$G1663,IFERROR(INDEX(ProcValor,MATCH($E1663,ProcNome,0)),0)))</f>
        <v>0</v>
      </c>
      <c r="N1663" s="27">
        <f>IF($M1663="","",IF($F1663="Compareceu",$M1663,0))</f>
        <v>0</v>
      </c>
      <c r="O1663" s="27">
        <f>IF($M1663="","",IF($F1663="Faltou",$M1663,0))</f>
        <v>0</v>
      </c>
      <c r="P1663" s="27">
        <f>IF($M1663="","",IF($F1663="Compareceu",MAX(0,$M1663-N($H1663)),0))</f>
        <v>0</v>
      </c>
      <c r="Q1663" s="19">
        <f>IF(AND($F1663="Compareceu",$E1663&lt;&gt;"",$A1663&lt;&gt;""),IF(IFERROR(INDEX(ProcRet,MATCH($E1663,ProcNome,0)),0)&gt;0,$A1663+INDEX(ProcRet,MATCH($E1663,ProcNome,0)),""),"")</f>
        <v>0</v>
      </c>
      <c r="R1663" s="26">
        <f>IF($Q1663="","",IF(COUNTIFS(AgPac,$D1663,AgData,"&gt;"&amp;$A1663,AgStatus,"&lt;&gt;Cancelado",AgStatus,"&lt;&gt;Remarcado")&gt;0,"Sim","Não"))</f>
        <v>0</v>
      </c>
      <c r="S1663" s="28">
        <f>IF($A1663="","",IF(AND($F1663="Agendado",$A1663-Hoje&gt;=0,$A1663-Hoje&lt;=DiasConf),"CONFIRMAR",IF(AND($A1663&lt;Hoje,OR($F1663="Agendado",$F1663="Confirmado")),"Atualizar status",IF(AND($F1663="Compareceu",$P1663&gt;0.005),"Cobrar",IF($F1663="Faltou","Falta: reagendar","")))))</f>
        <v>0</v>
      </c>
      <c r="T1663" s="29">
        <f>IF($A1663="","",DATE(YEAR($A1663),MONTH($A1663),1))</f>
        <v>0</v>
      </c>
      <c r="U1663" s="30">
        <f>IF($S1663="CONFIRMAR",MAX($U$4:$U1662)+1,"")</f>
        <v>0</v>
      </c>
      <c r="V1663" s="30">
        <f>IF(AND($R1663="Não",$Q1663&lt;&gt;"",$Q1663&lt;=Hoje+JanelaRet,$Q1663&gt;=Hoje-60),MAX($V$4:$V1662)+1,"")</f>
        <v>0</v>
      </c>
    </row>
    <row r="1664" spans="1:22">
      <c r="A1664" s="16"/>
      <c r="B1664" s="23"/>
      <c r="C1664" s="15"/>
      <c r="D1664" s="15"/>
      <c r="E1664" s="15"/>
      <c r="F1664" s="24"/>
      <c r="G1664" s="17"/>
      <c r="H1664" s="17"/>
      <c r="I1664" s="15"/>
      <c r="J1664" s="25">
        <f>IF($D1664="","",IFERROR(INDEX(PacNome,MATCH($D1664,PacCod,0)),"Paciente não cadastrado"))</f>
        <v>0</v>
      </c>
      <c r="K1664" s="26">
        <f>IF($D1664="","",IFERROR(INDEX(PacConv,MATCH($D1664,PacCod,0))&amp;"",""))</f>
        <v>0</v>
      </c>
      <c r="L1664" s="26">
        <f>IF($A1664="","",CHOOSE(WEEKDAY($A1664,2),"Seg","Ter","Qua","Qui","Sex","Sáb","Dom"))</f>
        <v>0</v>
      </c>
      <c r="M1664" s="27">
        <f>IF($E1664="","",IF($G1664&lt;&gt;"",$G1664,IFERROR(INDEX(ProcValor,MATCH($E1664,ProcNome,0)),0)))</f>
        <v>0</v>
      </c>
      <c r="N1664" s="27">
        <f>IF($M1664="","",IF($F1664="Compareceu",$M1664,0))</f>
        <v>0</v>
      </c>
      <c r="O1664" s="27">
        <f>IF($M1664="","",IF($F1664="Faltou",$M1664,0))</f>
        <v>0</v>
      </c>
      <c r="P1664" s="27">
        <f>IF($M1664="","",IF($F1664="Compareceu",MAX(0,$M1664-N($H1664)),0))</f>
        <v>0</v>
      </c>
      <c r="Q1664" s="19">
        <f>IF(AND($F1664="Compareceu",$E1664&lt;&gt;"",$A1664&lt;&gt;""),IF(IFERROR(INDEX(ProcRet,MATCH($E1664,ProcNome,0)),0)&gt;0,$A1664+INDEX(ProcRet,MATCH($E1664,ProcNome,0)),""),"")</f>
        <v>0</v>
      </c>
      <c r="R1664" s="26">
        <f>IF($Q1664="","",IF(COUNTIFS(AgPac,$D1664,AgData,"&gt;"&amp;$A1664,AgStatus,"&lt;&gt;Cancelado",AgStatus,"&lt;&gt;Remarcado")&gt;0,"Sim","Não"))</f>
        <v>0</v>
      </c>
      <c r="S1664" s="28">
        <f>IF($A1664="","",IF(AND($F1664="Agendado",$A1664-Hoje&gt;=0,$A1664-Hoje&lt;=DiasConf),"CONFIRMAR",IF(AND($A1664&lt;Hoje,OR($F1664="Agendado",$F1664="Confirmado")),"Atualizar status",IF(AND($F1664="Compareceu",$P1664&gt;0.005),"Cobrar",IF($F1664="Faltou","Falta: reagendar","")))))</f>
        <v>0</v>
      </c>
      <c r="T1664" s="29">
        <f>IF($A1664="","",DATE(YEAR($A1664),MONTH($A1664),1))</f>
        <v>0</v>
      </c>
      <c r="U1664" s="30">
        <f>IF($S1664="CONFIRMAR",MAX($U$4:$U1663)+1,"")</f>
        <v>0</v>
      </c>
      <c r="V1664" s="30">
        <f>IF(AND($R1664="Não",$Q1664&lt;&gt;"",$Q1664&lt;=Hoje+JanelaRet,$Q1664&gt;=Hoje-60),MAX($V$4:$V1663)+1,"")</f>
        <v>0</v>
      </c>
    </row>
    <row r="1665" spans="1:22">
      <c r="A1665" s="16"/>
      <c r="B1665" s="23"/>
      <c r="C1665" s="15"/>
      <c r="D1665" s="15"/>
      <c r="E1665" s="15"/>
      <c r="F1665" s="24"/>
      <c r="G1665" s="17"/>
      <c r="H1665" s="17"/>
      <c r="I1665" s="15"/>
      <c r="J1665" s="25">
        <f>IF($D1665="","",IFERROR(INDEX(PacNome,MATCH($D1665,PacCod,0)),"Paciente não cadastrado"))</f>
        <v>0</v>
      </c>
      <c r="K1665" s="26">
        <f>IF($D1665="","",IFERROR(INDEX(PacConv,MATCH($D1665,PacCod,0))&amp;"",""))</f>
        <v>0</v>
      </c>
      <c r="L1665" s="26">
        <f>IF($A1665="","",CHOOSE(WEEKDAY($A1665,2),"Seg","Ter","Qua","Qui","Sex","Sáb","Dom"))</f>
        <v>0</v>
      </c>
      <c r="M1665" s="27">
        <f>IF($E1665="","",IF($G1665&lt;&gt;"",$G1665,IFERROR(INDEX(ProcValor,MATCH($E1665,ProcNome,0)),0)))</f>
        <v>0</v>
      </c>
      <c r="N1665" s="27">
        <f>IF($M1665="","",IF($F1665="Compareceu",$M1665,0))</f>
        <v>0</v>
      </c>
      <c r="O1665" s="27">
        <f>IF($M1665="","",IF($F1665="Faltou",$M1665,0))</f>
        <v>0</v>
      </c>
      <c r="P1665" s="27">
        <f>IF($M1665="","",IF($F1665="Compareceu",MAX(0,$M1665-N($H1665)),0))</f>
        <v>0</v>
      </c>
      <c r="Q1665" s="19">
        <f>IF(AND($F1665="Compareceu",$E1665&lt;&gt;"",$A1665&lt;&gt;""),IF(IFERROR(INDEX(ProcRet,MATCH($E1665,ProcNome,0)),0)&gt;0,$A1665+INDEX(ProcRet,MATCH($E1665,ProcNome,0)),""),"")</f>
        <v>0</v>
      </c>
      <c r="R1665" s="26">
        <f>IF($Q1665="","",IF(COUNTIFS(AgPac,$D1665,AgData,"&gt;"&amp;$A1665,AgStatus,"&lt;&gt;Cancelado",AgStatus,"&lt;&gt;Remarcado")&gt;0,"Sim","Não"))</f>
        <v>0</v>
      </c>
      <c r="S1665" s="28">
        <f>IF($A1665="","",IF(AND($F1665="Agendado",$A1665-Hoje&gt;=0,$A1665-Hoje&lt;=DiasConf),"CONFIRMAR",IF(AND($A1665&lt;Hoje,OR($F1665="Agendado",$F1665="Confirmado")),"Atualizar status",IF(AND($F1665="Compareceu",$P1665&gt;0.005),"Cobrar",IF($F1665="Faltou","Falta: reagendar","")))))</f>
        <v>0</v>
      </c>
      <c r="T1665" s="29">
        <f>IF($A1665="","",DATE(YEAR($A1665),MONTH($A1665),1))</f>
        <v>0</v>
      </c>
      <c r="U1665" s="30">
        <f>IF($S1665="CONFIRMAR",MAX($U$4:$U1664)+1,"")</f>
        <v>0</v>
      </c>
      <c r="V1665" s="30">
        <f>IF(AND($R1665="Não",$Q1665&lt;&gt;"",$Q1665&lt;=Hoje+JanelaRet,$Q1665&gt;=Hoje-60),MAX($V$4:$V1664)+1,"")</f>
        <v>0</v>
      </c>
    </row>
    <row r="1666" spans="1:22">
      <c r="A1666" s="16"/>
      <c r="B1666" s="23"/>
      <c r="C1666" s="15"/>
      <c r="D1666" s="15"/>
      <c r="E1666" s="15"/>
      <c r="F1666" s="24"/>
      <c r="G1666" s="17"/>
      <c r="H1666" s="17"/>
      <c r="I1666" s="15"/>
      <c r="J1666" s="25">
        <f>IF($D1666="","",IFERROR(INDEX(PacNome,MATCH($D1666,PacCod,0)),"Paciente não cadastrado"))</f>
        <v>0</v>
      </c>
      <c r="K1666" s="26">
        <f>IF($D1666="","",IFERROR(INDEX(PacConv,MATCH($D1666,PacCod,0))&amp;"",""))</f>
        <v>0</v>
      </c>
      <c r="L1666" s="26">
        <f>IF($A1666="","",CHOOSE(WEEKDAY($A1666,2),"Seg","Ter","Qua","Qui","Sex","Sáb","Dom"))</f>
        <v>0</v>
      </c>
      <c r="M1666" s="27">
        <f>IF($E1666="","",IF($G1666&lt;&gt;"",$G1666,IFERROR(INDEX(ProcValor,MATCH($E1666,ProcNome,0)),0)))</f>
        <v>0</v>
      </c>
      <c r="N1666" s="27">
        <f>IF($M1666="","",IF($F1666="Compareceu",$M1666,0))</f>
        <v>0</v>
      </c>
      <c r="O1666" s="27">
        <f>IF($M1666="","",IF($F1666="Faltou",$M1666,0))</f>
        <v>0</v>
      </c>
      <c r="P1666" s="27">
        <f>IF($M1666="","",IF($F1666="Compareceu",MAX(0,$M1666-N($H1666)),0))</f>
        <v>0</v>
      </c>
      <c r="Q1666" s="19">
        <f>IF(AND($F1666="Compareceu",$E1666&lt;&gt;"",$A1666&lt;&gt;""),IF(IFERROR(INDEX(ProcRet,MATCH($E1666,ProcNome,0)),0)&gt;0,$A1666+INDEX(ProcRet,MATCH($E1666,ProcNome,0)),""),"")</f>
        <v>0</v>
      </c>
      <c r="R1666" s="26">
        <f>IF($Q1666="","",IF(COUNTIFS(AgPac,$D1666,AgData,"&gt;"&amp;$A1666,AgStatus,"&lt;&gt;Cancelado",AgStatus,"&lt;&gt;Remarcado")&gt;0,"Sim","Não"))</f>
        <v>0</v>
      </c>
      <c r="S1666" s="28">
        <f>IF($A1666="","",IF(AND($F1666="Agendado",$A1666-Hoje&gt;=0,$A1666-Hoje&lt;=DiasConf),"CONFIRMAR",IF(AND($A1666&lt;Hoje,OR($F1666="Agendado",$F1666="Confirmado")),"Atualizar status",IF(AND($F1666="Compareceu",$P1666&gt;0.005),"Cobrar",IF($F1666="Faltou","Falta: reagendar","")))))</f>
        <v>0</v>
      </c>
      <c r="T1666" s="29">
        <f>IF($A1666="","",DATE(YEAR($A1666),MONTH($A1666),1))</f>
        <v>0</v>
      </c>
      <c r="U1666" s="30">
        <f>IF($S1666="CONFIRMAR",MAX($U$4:$U1665)+1,"")</f>
        <v>0</v>
      </c>
      <c r="V1666" s="30">
        <f>IF(AND($R1666="Não",$Q1666&lt;&gt;"",$Q1666&lt;=Hoje+JanelaRet,$Q1666&gt;=Hoje-60),MAX($V$4:$V1665)+1,"")</f>
        <v>0</v>
      </c>
    </row>
    <row r="1667" spans="1:22">
      <c r="A1667" s="16"/>
      <c r="B1667" s="23"/>
      <c r="C1667" s="15"/>
      <c r="D1667" s="15"/>
      <c r="E1667" s="15"/>
      <c r="F1667" s="24"/>
      <c r="G1667" s="17"/>
      <c r="H1667" s="17"/>
      <c r="I1667" s="15"/>
      <c r="J1667" s="25">
        <f>IF($D1667="","",IFERROR(INDEX(PacNome,MATCH($D1667,PacCod,0)),"Paciente não cadastrado"))</f>
        <v>0</v>
      </c>
      <c r="K1667" s="26">
        <f>IF($D1667="","",IFERROR(INDEX(PacConv,MATCH($D1667,PacCod,0))&amp;"",""))</f>
        <v>0</v>
      </c>
      <c r="L1667" s="26">
        <f>IF($A1667="","",CHOOSE(WEEKDAY($A1667,2),"Seg","Ter","Qua","Qui","Sex","Sáb","Dom"))</f>
        <v>0</v>
      </c>
      <c r="M1667" s="27">
        <f>IF($E1667="","",IF($G1667&lt;&gt;"",$G1667,IFERROR(INDEX(ProcValor,MATCH($E1667,ProcNome,0)),0)))</f>
        <v>0</v>
      </c>
      <c r="N1667" s="27">
        <f>IF($M1667="","",IF($F1667="Compareceu",$M1667,0))</f>
        <v>0</v>
      </c>
      <c r="O1667" s="27">
        <f>IF($M1667="","",IF($F1667="Faltou",$M1667,0))</f>
        <v>0</v>
      </c>
      <c r="P1667" s="27">
        <f>IF($M1667="","",IF($F1667="Compareceu",MAX(0,$M1667-N($H1667)),0))</f>
        <v>0</v>
      </c>
      <c r="Q1667" s="19">
        <f>IF(AND($F1667="Compareceu",$E1667&lt;&gt;"",$A1667&lt;&gt;""),IF(IFERROR(INDEX(ProcRet,MATCH($E1667,ProcNome,0)),0)&gt;0,$A1667+INDEX(ProcRet,MATCH($E1667,ProcNome,0)),""),"")</f>
        <v>0</v>
      </c>
      <c r="R1667" s="26">
        <f>IF($Q1667="","",IF(COUNTIFS(AgPac,$D1667,AgData,"&gt;"&amp;$A1667,AgStatus,"&lt;&gt;Cancelado",AgStatus,"&lt;&gt;Remarcado")&gt;0,"Sim","Não"))</f>
        <v>0</v>
      </c>
      <c r="S1667" s="28">
        <f>IF($A1667="","",IF(AND($F1667="Agendado",$A1667-Hoje&gt;=0,$A1667-Hoje&lt;=DiasConf),"CONFIRMAR",IF(AND($A1667&lt;Hoje,OR($F1667="Agendado",$F1667="Confirmado")),"Atualizar status",IF(AND($F1667="Compareceu",$P1667&gt;0.005),"Cobrar",IF($F1667="Faltou","Falta: reagendar","")))))</f>
        <v>0</v>
      </c>
      <c r="T1667" s="29">
        <f>IF($A1667="","",DATE(YEAR($A1667),MONTH($A1667),1))</f>
        <v>0</v>
      </c>
      <c r="U1667" s="30">
        <f>IF($S1667="CONFIRMAR",MAX($U$4:$U1666)+1,"")</f>
        <v>0</v>
      </c>
      <c r="V1667" s="30">
        <f>IF(AND($R1667="Não",$Q1667&lt;&gt;"",$Q1667&lt;=Hoje+JanelaRet,$Q1667&gt;=Hoje-60),MAX($V$4:$V1666)+1,"")</f>
        <v>0</v>
      </c>
    </row>
    <row r="1668" spans="1:22">
      <c r="A1668" s="16"/>
      <c r="B1668" s="23"/>
      <c r="C1668" s="15"/>
      <c r="D1668" s="15"/>
      <c r="E1668" s="15"/>
      <c r="F1668" s="24"/>
      <c r="G1668" s="17"/>
      <c r="H1668" s="17"/>
      <c r="I1668" s="15"/>
      <c r="J1668" s="25">
        <f>IF($D1668="","",IFERROR(INDEX(PacNome,MATCH($D1668,PacCod,0)),"Paciente não cadastrado"))</f>
        <v>0</v>
      </c>
      <c r="K1668" s="26">
        <f>IF($D1668="","",IFERROR(INDEX(PacConv,MATCH($D1668,PacCod,0))&amp;"",""))</f>
        <v>0</v>
      </c>
      <c r="L1668" s="26">
        <f>IF($A1668="","",CHOOSE(WEEKDAY($A1668,2),"Seg","Ter","Qua","Qui","Sex","Sáb","Dom"))</f>
        <v>0</v>
      </c>
      <c r="M1668" s="27">
        <f>IF($E1668="","",IF($G1668&lt;&gt;"",$G1668,IFERROR(INDEX(ProcValor,MATCH($E1668,ProcNome,0)),0)))</f>
        <v>0</v>
      </c>
      <c r="N1668" s="27">
        <f>IF($M1668="","",IF($F1668="Compareceu",$M1668,0))</f>
        <v>0</v>
      </c>
      <c r="O1668" s="27">
        <f>IF($M1668="","",IF($F1668="Faltou",$M1668,0))</f>
        <v>0</v>
      </c>
      <c r="P1668" s="27">
        <f>IF($M1668="","",IF($F1668="Compareceu",MAX(0,$M1668-N($H1668)),0))</f>
        <v>0</v>
      </c>
      <c r="Q1668" s="19">
        <f>IF(AND($F1668="Compareceu",$E1668&lt;&gt;"",$A1668&lt;&gt;""),IF(IFERROR(INDEX(ProcRet,MATCH($E1668,ProcNome,0)),0)&gt;0,$A1668+INDEX(ProcRet,MATCH($E1668,ProcNome,0)),""),"")</f>
        <v>0</v>
      </c>
      <c r="R1668" s="26">
        <f>IF($Q1668="","",IF(COUNTIFS(AgPac,$D1668,AgData,"&gt;"&amp;$A1668,AgStatus,"&lt;&gt;Cancelado",AgStatus,"&lt;&gt;Remarcado")&gt;0,"Sim","Não"))</f>
        <v>0</v>
      </c>
      <c r="S1668" s="28">
        <f>IF($A1668="","",IF(AND($F1668="Agendado",$A1668-Hoje&gt;=0,$A1668-Hoje&lt;=DiasConf),"CONFIRMAR",IF(AND($A1668&lt;Hoje,OR($F1668="Agendado",$F1668="Confirmado")),"Atualizar status",IF(AND($F1668="Compareceu",$P1668&gt;0.005),"Cobrar",IF($F1668="Faltou","Falta: reagendar","")))))</f>
        <v>0</v>
      </c>
      <c r="T1668" s="29">
        <f>IF($A1668="","",DATE(YEAR($A1668),MONTH($A1668),1))</f>
        <v>0</v>
      </c>
      <c r="U1668" s="30">
        <f>IF($S1668="CONFIRMAR",MAX($U$4:$U1667)+1,"")</f>
        <v>0</v>
      </c>
      <c r="V1668" s="30">
        <f>IF(AND($R1668="Não",$Q1668&lt;&gt;"",$Q1668&lt;=Hoje+JanelaRet,$Q1668&gt;=Hoje-60),MAX($V$4:$V1667)+1,"")</f>
        <v>0</v>
      </c>
    </row>
    <row r="1669" spans="1:22">
      <c r="A1669" s="16"/>
      <c r="B1669" s="23"/>
      <c r="C1669" s="15"/>
      <c r="D1669" s="15"/>
      <c r="E1669" s="15"/>
      <c r="F1669" s="24"/>
      <c r="G1669" s="17"/>
      <c r="H1669" s="17"/>
      <c r="I1669" s="15"/>
      <c r="J1669" s="25">
        <f>IF($D1669="","",IFERROR(INDEX(PacNome,MATCH($D1669,PacCod,0)),"Paciente não cadastrado"))</f>
        <v>0</v>
      </c>
      <c r="K1669" s="26">
        <f>IF($D1669="","",IFERROR(INDEX(PacConv,MATCH($D1669,PacCod,0))&amp;"",""))</f>
        <v>0</v>
      </c>
      <c r="L1669" s="26">
        <f>IF($A1669="","",CHOOSE(WEEKDAY($A1669,2),"Seg","Ter","Qua","Qui","Sex","Sáb","Dom"))</f>
        <v>0</v>
      </c>
      <c r="M1669" s="27">
        <f>IF($E1669="","",IF($G1669&lt;&gt;"",$G1669,IFERROR(INDEX(ProcValor,MATCH($E1669,ProcNome,0)),0)))</f>
        <v>0</v>
      </c>
      <c r="N1669" s="27">
        <f>IF($M1669="","",IF($F1669="Compareceu",$M1669,0))</f>
        <v>0</v>
      </c>
      <c r="O1669" s="27">
        <f>IF($M1669="","",IF($F1669="Faltou",$M1669,0))</f>
        <v>0</v>
      </c>
      <c r="P1669" s="27">
        <f>IF($M1669="","",IF($F1669="Compareceu",MAX(0,$M1669-N($H1669)),0))</f>
        <v>0</v>
      </c>
      <c r="Q1669" s="19">
        <f>IF(AND($F1669="Compareceu",$E1669&lt;&gt;"",$A1669&lt;&gt;""),IF(IFERROR(INDEX(ProcRet,MATCH($E1669,ProcNome,0)),0)&gt;0,$A1669+INDEX(ProcRet,MATCH($E1669,ProcNome,0)),""),"")</f>
        <v>0</v>
      </c>
      <c r="R1669" s="26">
        <f>IF($Q1669="","",IF(COUNTIFS(AgPac,$D1669,AgData,"&gt;"&amp;$A1669,AgStatus,"&lt;&gt;Cancelado",AgStatus,"&lt;&gt;Remarcado")&gt;0,"Sim","Não"))</f>
        <v>0</v>
      </c>
      <c r="S1669" s="28">
        <f>IF($A1669="","",IF(AND($F1669="Agendado",$A1669-Hoje&gt;=0,$A1669-Hoje&lt;=DiasConf),"CONFIRMAR",IF(AND($A1669&lt;Hoje,OR($F1669="Agendado",$F1669="Confirmado")),"Atualizar status",IF(AND($F1669="Compareceu",$P1669&gt;0.005),"Cobrar",IF($F1669="Faltou","Falta: reagendar","")))))</f>
        <v>0</v>
      </c>
      <c r="T1669" s="29">
        <f>IF($A1669="","",DATE(YEAR($A1669),MONTH($A1669),1))</f>
        <v>0</v>
      </c>
      <c r="U1669" s="30">
        <f>IF($S1669="CONFIRMAR",MAX($U$4:$U1668)+1,"")</f>
        <v>0</v>
      </c>
      <c r="V1669" s="30">
        <f>IF(AND($R1669="Não",$Q1669&lt;&gt;"",$Q1669&lt;=Hoje+JanelaRet,$Q1669&gt;=Hoje-60),MAX($V$4:$V1668)+1,"")</f>
        <v>0</v>
      </c>
    </row>
    <row r="1670" spans="1:22">
      <c r="A1670" s="16"/>
      <c r="B1670" s="23"/>
      <c r="C1670" s="15"/>
      <c r="D1670" s="15"/>
      <c r="E1670" s="15"/>
      <c r="F1670" s="24"/>
      <c r="G1670" s="17"/>
      <c r="H1670" s="17"/>
      <c r="I1670" s="15"/>
      <c r="J1670" s="25">
        <f>IF($D1670="","",IFERROR(INDEX(PacNome,MATCH($D1670,PacCod,0)),"Paciente não cadastrado"))</f>
        <v>0</v>
      </c>
      <c r="K1670" s="26">
        <f>IF($D1670="","",IFERROR(INDEX(PacConv,MATCH($D1670,PacCod,0))&amp;"",""))</f>
        <v>0</v>
      </c>
      <c r="L1670" s="26">
        <f>IF($A1670="","",CHOOSE(WEEKDAY($A1670,2),"Seg","Ter","Qua","Qui","Sex","Sáb","Dom"))</f>
        <v>0</v>
      </c>
      <c r="M1670" s="27">
        <f>IF($E1670="","",IF($G1670&lt;&gt;"",$G1670,IFERROR(INDEX(ProcValor,MATCH($E1670,ProcNome,0)),0)))</f>
        <v>0</v>
      </c>
      <c r="N1670" s="27">
        <f>IF($M1670="","",IF($F1670="Compareceu",$M1670,0))</f>
        <v>0</v>
      </c>
      <c r="O1670" s="27">
        <f>IF($M1670="","",IF($F1670="Faltou",$M1670,0))</f>
        <v>0</v>
      </c>
      <c r="P1670" s="27">
        <f>IF($M1670="","",IF($F1670="Compareceu",MAX(0,$M1670-N($H1670)),0))</f>
        <v>0</v>
      </c>
      <c r="Q1670" s="19">
        <f>IF(AND($F1670="Compareceu",$E1670&lt;&gt;"",$A1670&lt;&gt;""),IF(IFERROR(INDEX(ProcRet,MATCH($E1670,ProcNome,0)),0)&gt;0,$A1670+INDEX(ProcRet,MATCH($E1670,ProcNome,0)),""),"")</f>
        <v>0</v>
      </c>
      <c r="R1670" s="26">
        <f>IF($Q1670="","",IF(COUNTIFS(AgPac,$D1670,AgData,"&gt;"&amp;$A1670,AgStatus,"&lt;&gt;Cancelado",AgStatus,"&lt;&gt;Remarcado")&gt;0,"Sim","Não"))</f>
        <v>0</v>
      </c>
      <c r="S1670" s="28">
        <f>IF($A1670="","",IF(AND($F1670="Agendado",$A1670-Hoje&gt;=0,$A1670-Hoje&lt;=DiasConf),"CONFIRMAR",IF(AND($A1670&lt;Hoje,OR($F1670="Agendado",$F1670="Confirmado")),"Atualizar status",IF(AND($F1670="Compareceu",$P1670&gt;0.005),"Cobrar",IF($F1670="Faltou","Falta: reagendar","")))))</f>
        <v>0</v>
      </c>
      <c r="T1670" s="29">
        <f>IF($A1670="","",DATE(YEAR($A1670),MONTH($A1670),1))</f>
        <v>0</v>
      </c>
      <c r="U1670" s="30">
        <f>IF($S1670="CONFIRMAR",MAX($U$4:$U1669)+1,"")</f>
        <v>0</v>
      </c>
      <c r="V1670" s="30">
        <f>IF(AND($R1670="Não",$Q1670&lt;&gt;"",$Q1670&lt;=Hoje+JanelaRet,$Q1670&gt;=Hoje-60),MAX($V$4:$V1669)+1,"")</f>
        <v>0</v>
      </c>
    </row>
    <row r="1671" spans="1:22">
      <c r="A1671" s="16"/>
      <c r="B1671" s="23"/>
      <c r="C1671" s="15"/>
      <c r="D1671" s="15"/>
      <c r="E1671" s="15"/>
      <c r="F1671" s="24"/>
      <c r="G1671" s="17"/>
      <c r="H1671" s="17"/>
      <c r="I1671" s="15"/>
      <c r="J1671" s="25">
        <f>IF($D1671="","",IFERROR(INDEX(PacNome,MATCH($D1671,PacCod,0)),"Paciente não cadastrado"))</f>
        <v>0</v>
      </c>
      <c r="K1671" s="26">
        <f>IF($D1671="","",IFERROR(INDEX(PacConv,MATCH($D1671,PacCod,0))&amp;"",""))</f>
        <v>0</v>
      </c>
      <c r="L1671" s="26">
        <f>IF($A1671="","",CHOOSE(WEEKDAY($A1671,2),"Seg","Ter","Qua","Qui","Sex","Sáb","Dom"))</f>
        <v>0</v>
      </c>
      <c r="M1671" s="27">
        <f>IF($E1671="","",IF($G1671&lt;&gt;"",$G1671,IFERROR(INDEX(ProcValor,MATCH($E1671,ProcNome,0)),0)))</f>
        <v>0</v>
      </c>
      <c r="N1671" s="27">
        <f>IF($M1671="","",IF($F1671="Compareceu",$M1671,0))</f>
        <v>0</v>
      </c>
      <c r="O1671" s="27">
        <f>IF($M1671="","",IF($F1671="Faltou",$M1671,0))</f>
        <v>0</v>
      </c>
      <c r="P1671" s="27">
        <f>IF($M1671="","",IF($F1671="Compareceu",MAX(0,$M1671-N($H1671)),0))</f>
        <v>0</v>
      </c>
      <c r="Q1671" s="19">
        <f>IF(AND($F1671="Compareceu",$E1671&lt;&gt;"",$A1671&lt;&gt;""),IF(IFERROR(INDEX(ProcRet,MATCH($E1671,ProcNome,0)),0)&gt;0,$A1671+INDEX(ProcRet,MATCH($E1671,ProcNome,0)),""),"")</f>
        <v>0</v>
      </c>
      <c r="R1671" s="26">
        <f>IF($Q1671="","",IF(COUNTIFS(AgPac,$D1671,AgData,"&gt;"&amp;$A1671,AgStatus,"&lt;&gt;Cancelado",AgStatus,"&lt;&gt;Remarcado")&gt;0,"Sim","Não"))</f>
        <v>0</v>
      </c>
      <c r="S1671" s="28">
        <f>IF($A1671="","",IF(AND($F1671="Agendado",$A1671-Hoje&gt;=0,$A1671-Hoje&lt;=DiasConf),"CONFIRMAR",IF(AND($A1671&lt;Hoje,OR($F1671="Agendado",$F1671="Confirmado")),"Atualizar status",IF(AND($F1671="Compareceu",$P1671&gt;0.005),"Cobrar",IF($F1671="Faltou","Falta: reagendar","")))))</f>
        <v>0</v>
      </c>
      <c r="T1671" s="29">
        <f>IF($A1671="","",DATE(YEAR($A1671),MONTH($A1671),1))</f>
        <v>0</v>
      </c>
      <c r="U1671" s="30">
        <f>IF($S1671="CONFIRMAR",MAX($U$4:$U1670)+1,"")</f>
        <v>0</v>
      </c>
      <c r="V1671" s="30">
        <f>IF(AND($R1671="Não",$Q1671&lt;&gt;"",$Q1671&lt;=Hoje+JanelaRet,$Q1671&gt;=Hoje-60),MAX($V$4:$V1670)+1,"")</f>
        <v>0</v>
      </c>
    </row>
    <row r="1672" spans="1:22">
      <c r="A1672" s="16"/>
      <c r="B1672" s="23"/>
      <c r="C1672" s="15"/>
      <c r="D1672" s="15"/>
      <c r="E1672" s="15"/>
      <c r="F1672" s="24"/>
      <c r="G1672" s="17"/>
      <c r="H1672" s="17"/>
      <c r="I1672" s="15"/>
      <c r="J1672" s="25">
        <f>IF($D1672="","",IFERROR(INDEX(PacNome,MATCH($D1672,PacCod,0)),"Paciente não cadastrado"))</f>
        <v>0</v>
      </c>
      <c r="K1672" s="26">
        <f>IF($D1672="","",IFERROR(INDEX(PacConv,MATCH($D1672,PacCod,0))&amp;"",""))</f>
        <v>0</v>
      </c>
      <c r="L1672" s="26">
        <f>IF($A1672="","",CHOOSE(WEEKDAY($A1672,2),"Seg","Ter","Qua","Qui","Sex","Sáb","Dom"))</f>
        <v>0</v>
      </c>
      <c r="M1672" s="27">
        <f>IF($E1672="","",IF($G1672&lt;&gt;"",$G1672,IFERROR(INDEX(ProcValor,MATCH($E1672,ProcNome,0)),0)))</f>
        <v>0</v>
      </c>
      <c r="N1672" s="27">
        <f>IF($M1672="","",IF($F1672="Compareceu",$M1672,0))</f>
        <v>0</v>
      </c>
      <c r="O1672" s="27">
        <f>IF($M1672="","",IF($F1672="Faltou",$M1672,0))</f>
        <v>0</v>
      </c>
      <c r="P1672" s="27">
        <f>IF($M1672="","",IF($F1672="Compareceu",MAX(0,$M1672-N($H1672)),0))</f>
        <v>0</v>
      </c>
      <c r="Q1672" s="19">
        <f>IF(AND($F1672="Compareceu",$E1672&lt;&gt;"",$A1672&lt;&gt;""),IF(IFERROR(INDEX(ProcRet,MATCH($E1672,ProcNome,0)),0)&gt;0,$A1672+INDEX(ProcRet,MATCH($E1672,ProcNome,0)),""),"")</f>
        <v>0</v>
      </c>
      <c r="R1672" s="26">
        <f>IF($Q1672="","",IF(COUNTIFS(AgPac,$D1672,AgData,"&gt;"&amp;$A1672,AgStatus,"&lt;&gt;Cancelado",AgStatus,"&lt;&gt;Remarcado")&gt;0,"Sim","Não"))</f>
        <v>0</v>
      </c>
      <c r="S1672" s="28">
        <f>IF($A1672="","",IF(AND($F1672="Agendado",$A1672-Hoje&gt;=0,$A1672-Hoje&lt;=DiasConf),"CONFIRMAR",IF(AND($A1672&lt;Hoje,OR($F1672="Agendado",$F1672="Confirmado")),"Atualizar status",IF(AND($F1672="Compareceu",$P1672&gt;0.005),"Cobrar",IF($F1672="Faltou","Falta: reagendar","")))))</f>
        <v>0</v>
      </c>
      <c r="T1672" s="29">
        <f>IF($A1672="","",DATE(YEAR($A1672),MONTH($A1672),1))</f>
        <v>0</v>
      </c>
      <c r="U1672" s="30">
        <f>IF($S1672="CONFIRMAR",MAX($U$4:$U1671)+1,"")</f>
        <v>0</v>
      </c>
      <c r="V1672" s="30">
        <f>IF(AND($R1672="Não",$Q1672&lt;&gt;"",$Q1672&lt;=Hoje+JanelaRet,$Q1672&gt;=Hoje-60),MAX($V$4:$V1671)+1,"")</f>
        <v>0</v>
      </c>
    </row>
    <row r="1673" spans="1:22">
      <c r="A1673" s="16"/>
      <c r="B1673" s="23"/>
      <c r="C1673" s="15"/>
      <c r="D1673" s="15"/>
      <c r="E1673" s="15"/>
      <c r="F1673" s="24"/>
      <c r="G1673" s="17"/>
      <c r="H1673" s="17"/>
      <c r="I1673" s="15"/>
      <c r="J1673" s="25">
        <f>IF($D1673="","",IFERROR(INDEX(PacNome,MATCH($D1673,PacCod,0)),"Paciente não cadastrado"))</f>
        <v>0</v>
      </c>
      <c r="K1673" s="26">
        <f>IF($D1673="","",IFERROR(INDEX(PacConv,MATCH($D1673,PacCod,0))&amp;"",""))</f>
        <v>0</v>
      </c>
      <c r="L1673" s="26">
        <f>IF($A1673="","",CHOOSE(WEEKDAY($A1673,2),"Seg","Ter","Qua","Qui","Sex","Sáb","Dom"))</f>
        <v>0</v>
      </c>
      <c r="M1673" s="27">
        <f>IF($E1673="","",IF($G1673&lt;&gt;"",$G1673,IFERROR(INDEX(ProcValor,MATCH($E1673,ProcNome,0)),0)))</f>
        <v>0</v>
      </c>
      <c r="N1673" s="27">
        <f>IF($M1673="","",IF($F1673="Compareceu",$M1673,0))</f>
        <v>0</v>
      </c>
      <c r="O1673" s="27">
        <f>IF($M1673="","",IF($F1673="Faltou",$M1673,0))</f>
        <v>0</v>
      </c>
      <c r="P1673" s="27">
        <f>IF($M1673="","",IF($F1673="Compareceu",MAX(0,$M1673-N($H1673)),0))</f>
        <v>0</v>
      </c>
      <c r="Q1673" s="19">
        <f>IF(AND($F1673="Compareceu",$E1673&lt;&gt;"",$A1673&lt;&gt;""),IF(IFERROR(INDEX(ProcRet,MATCH($E1673,ProcNome,0)),0)&gt;0,$A1673+INDEX(ProcRet,MATCH($E1673,ProcNome,0)),""),"")</f>
        <v>0</v>
      </c>
      <c r="R1673" s="26">
        <f>IF($Q1673="","",IF(COUNTIFS(AgPac,$D1673,AgData,"&gt;"&amp;$A1673,AgStatus,"&lt;&gt;Cancelado",AgStatus,"&lt;&gt;Remarcado")&gt;0,"Sim","Não"))</f>
        <v>0</v>
      </c>
      <c r="S1673" s="28">
        <f>IF($A1673="","",IF(AND($F1673="Agendado",$A1673-Hoje&gt;=0,$A1673-Hoje&lt;=DiasConf),"CONFIRMAR",IF(AND($A1673&lt;Hoje,OR($F1673="Agendado",$F1673="Confirmado")),"Atualizar status",IF(AND($F1673="Compareceu",$P1673&gt;0.005),"Cobrar",IF($F1673="Faltou","Falta: reagendar","")))))</f>
        <v>0</v>
      </c>
      <c r="T1673" s="29">
        <f>IF($A1673="","",DATE(YEAR($A1673),MONTH($A1673),1))</f>
        <v>0</v>
      </c>
      <c r="U1673" s="30">
        <f>IF($S1673="CONFIRMAR",MAX($U$4:$U1672)+1,"")</f>
        <v>0</v>
      </c>
      <c r="V1673" s="30">
        <f>IF(AND($R1673="Não",$Q1673&lt;&gt;"",$Q1673&lt;=Hoje+JanelaRet,$Q1673&gt;=Hoje-60),MAX($V$4:$V1672)+1,"")</f>
        <v>0</v>
      </c>
    </row>
    <row r="1674" spans="1:22">
      <c r="A1674" s="16"/>
      <c r="B1674" s="23"/>
      <c r="C1674" s="15"/>
      <c r="D1674" s="15"/>
      <c r="E1674" s="15"/>
      <c r="F1674" s="24"/>
      <c r="G1674" s="17"/>
      <c r="H1674" s="17"/>
      <c r="I1674" s="15"/>
      <c r="J1674" s="25">
        <f>IF($D1674="","",IFERROR(INDEX(PacNome,MATCH($D1674,PacCod,0)),"Paciente não cadastrado"))</f>
        <v>0</v>
      </c>
      <c r="K1674" s="26">
        <f>IF($D1674="","",IFERROR(INDEX(PacConv,MATCH($D1674,PacCod,0))&amp;"",""))</f>
        <v>0</v>
      </c>
      <c r="L1674" s="26">
        <f>IF($A1674="","",CHOOSE(WEEKDAY($A1674,2),"Seg","Ter","Qua","Qui","Sex","Sáb","Dom"))</f>
        <v>0</v>
      </c>
      <c r="M1674" s="27">
        <f>IF($E1674="","",IF($G1674&lt;&gt;"",$G1674,IFERROR(INDEX(ProcValor,MATCH($E1674,ProcNome,0)),0)))</f>
        <v>0</v>
      </c>
      <c r="N1674" s="27">
        <f>IF($M1674="","",IF($F1674="Compareceu",$M1674,0))</f>
        <v>0</v>
      </c>
      <c r="O1674" s="27">
        <f>IF($M1674="","",IF($F1674="Faltou",$M1674,0))</f>
        <v>0</v>
      </c>
      <c r="P1674" s="27">
        <f>IF($M1674="","",IF($F1674="Compareceu",MAX(0,$M1674-N($H1674)),0))</f>
        <v>0</v>
      </c>
      <c r="Q1674" s="19">
        <f>IF(AND($F1674="Compareceu",$E1674&lt;&gt;"",$A1674&lt;&gt;""),IF(IFERROR(INDEX(ProcRet,MATCH($E1674,ProcNome,0)),0)&gt;0,$A1674+INDEX(ProcRet,MATCH($E1674,ProcNome,0)),""),"")</f>
        <v>0</v>
      </c>
      <c r="R1674" s="26">
        <f>IF($Q1674="","",IF(COUNTIFS(AgPac,$D1674,AgData,"&gt;"&amp;$A1674,AgStatus,"&lt;&gt;Cancelado",AgStatus,"&lt;&gt;Remarcado")&gt;0,"Sim","Não"))</f>
        <v>0</v>
      </c>
      <c r="S1674" s="28">
        <f>IF($A1674="","",IF(AND($F1674="Agendado",$A1674-Hoje&gt;=0,$A1674-Hoje&lt;=DiasConf),"CONFIRMAR",IF(AND($A1674&lt;Hoje,OR($F1674="Agendado",$F1674="Confirmado")),"Atualizar status",IF(AND($F1674="Compareceu",$P1674&gt;0.005),"Cobrar",IF($F1674="Faltou","Falta: reagendar","")))))</f>
        <v>0</v>
      </c>
      <c r="T1674" s="29">
        <f>IF($A1674="","",DATE(YEAR($A1674),MONTH($A1674),1))</f>
        <v>0</v>
      </c>
      <c r="U1674" s="30">
        <f>IF($S1674="CONFIRMAR",MAX($U$4:$U1673)+1,"")</f>
        <v>0</v>
      </c>
      <c r="V1674" s="30">
        <f>IF(AND($R1674="Não",$Q1674&lt;&gt;"",$Q1674&lt;=Hoje+JanelaRet,$Q1674&gt;=Hoje-60),MAX($V$4:$V1673)+1,"")</f>
        <v>0</v>
      </c>
    </row>
    <row r="1675" spans="1:22">
      <c r="A1675" s="16"/>
      <c r="B1675" s="23"/>
      <c r="C1675" s="15"/>
      <c r="D1675" s="15"/>
      <c r="E1675" s="15"/>
      <c r="F1675" s="24"/>
      <c r="G1675" s="17"/>
      <c r="H1675" s="17"/>
      <c r="I1675" s="15"/>
      <c r="J1675" s="25">
        <f>IF($D1675="","",IFERROR(INDEX(PacNome,MATCH($D1675,PacCod,0)),"Paciente não cadastrado"))</f>
        <v>0</v>
      </c>
      <c r="K1675" s="26">
        <f>IF($D1675="","",IFERROR(INDEX(PacConv,MATCH($D1675,PacCod,0))&amp;"",""))</f>
        <v>0</v>
      </c>
      <c r="L1675" s="26">
        <f>IF($A1675="","",CHOOSE(WEEKDAY($A1675,2),"Seg","Ter","Qua","Qui","Sex","Sáb","Dom"))</f>
        <v>0</v>
      </c>
      <c r="M1675" s="27">
        <f>IF($E1675="","",IF($G1675&lt;&gt;"",$G1675,IFERROR(INDEX(ProcValor,MATCH($E1675,ProcNome,0)),0)))</f>
        <v>0</v>
      </c>
      <c r="N1675" s="27">
        <f>IF($M1675="","",IF($F1675="Compareceu",$M1675,0))</f>
        <v>0</v>
      </c>
      <c r="O1675" s="27">
        <f>IF($M1675="","",IF($F1675="Faltou",$M1675,0))</f>
        <v>0</v>
      </c>
      <c r="P1675" s="27">
        <f>IF($M1675="","",IF($F1675="Compareceu",MAX(0,$M1675-N($H1675)),0))</f>
        <v>0</v>
      </c>
      <c r="Q1675" s="19">
        <f>IF(AND($F1675="Compareceu",$E1675&lt;&gt;"",$A1675&lt;&gt;""),IF(IFERROR(INDEX(ProcRet,MATCH($E1675,ProcNome,0)),0)&gt;0,$A1675+INDEX(ProcRet,MATCH($E1675,ProcNome,0)),""),"")</f>
        <v>0</v>
      </c>
      <c r="R1675" s="26">
        <f>IF($Q1675="","",IF(COUNTIFS(AgPac,$D1675,AgData,"&gt;"&amp;$A1675,AgStatus,"&lt;&gt;Cancelado",AgStatus,"&lt;&gt;Remarcado")&gt;0,"Sim","Não"))</f>
        <v>0</v>
      </c>
      <c r="S1675" s="28">
        <f>IF($A1675="","",IF(AND($F1675="Agendado",$A1675-Hoje&gt;=0,$A1675-Hoje&lt;=DiasConf),"CONFIRMAR",IF(AND($A1675&lt;Hoje,OR($F1675="Agendado",$F1675="Confirmado")),"Atualizar status",IF(AND($F1675="Compareceu",$P1675&gt;0.005),"Cobrar",IF($F1675="Faltou","Falta: reagendar","")))))</f>
        <v>0</v>
      </c>
      <c r="T1675" s="29">
        <f>IF($A1675="","",DATE(YEAR($A1675),MONTH($A1675),1))</f>
        <v>0</v>
      </c>
      <c r="U1675" s="30">
        <f>IF($S1675="CONFIRMAR",MAX($U$4:$U1674)+1,"")</f>
        <v>0</v>
      </c>
      <c r="V1675" s="30">
        <f>IF(AND($R1675="Não",$Q1675&lt;&gt;"",$Q1675&lt;=Hoje+JanelaRet,$Q1675&gt;=Hoje-60),MAX($V$4:$V1674)+1,"")</f>
        <v>0</v>
      </c>
    </row>
    <row r="1676" spans="1:22">
      <c r="A1676" s="16"/>
      <c r="B1676" s="23"/>
      <c r="C1676" s="15"/>
      <c r="D1676" s="15"/>
      <c r="E1676" s="15"/>
      <c r="F1676" s="24"/>
      <c r="G1676" s="17"/>
      <c r="H1676" s="17"/>
      <c r="I1676" s="15"/>
      <c r="J1676" s="25">
        <f>IF($D1676="","",IFERROR(INDEX(PacNome,MATCH($D1676,PacCod,0)),"Paciente não cadastrado"))</f>
        <v>0</v>
      </c>
      <c r="K1676" s="26">
        <f>IF($D1676="","",IFERROR(INDEX(PacConv,MATCH($D1676,PacCod,0))&amp;"",""))</f>
        <v>0</v>
      </c>
      <c r="L1676" s="26">
        <f>IF($A1676="","",CHOOSE(WEEKDAY($A1676,2),"Seg","Ter","Qua","Qui","Sex","Sáb","Dom"))</f>
        <v>0</v>
      </c>
      <c r="M1676" s="27">
        <f>IF($E1676="","",IF($G1676&lt;&gt;"",$G1676,IFERROR(INDEX(ProcValor,MATCH($E1676,ProcNome,0)),0)))</f>
        <v>0</v>
      </c>
      <c r="N1676" s="27">
        <f>IF($M1676="","",IF($F1676="Compareceu",$M1676,0))</f>
        <v>0</v>
      </c>
      <c r="O1676" s="27">
        <f>IF($M1676="","",IF($F1676="Faltou",$M1676,0))</f>
        <v>0</v>
      </c>
      <c r="P1676" s="27">
        <f>IF($M1676="","",IF($F1676="Compareceu",MAX(0,$M1676-N($H1676)),0))</f>
        <v>0</v>
      </c>
      <c r="Q1676" s="19">
        <f>IF(AND($F1676="Compareceu",$E1676&lt;&gt;"",$A1676&lt;&gt;""),IF(IFERROR(INDEX(ProcRet,MATCH($E1676,ProcNome,0)),0)&gt;0,$A1676+INDEX(ProcRet,MATCH($E1676,ProcNome,0)),""),"")</f>
        <v>0</v>
      </c>
      <c r="R1676" s="26">
        <f>IF($Q1676="","",IF(COUNTIFS(AgPac,$D1676,AgData,"&gt;"&amp;$A1676,AgStatus,"&lt;&gt;Cancelado",AgStatus,"&lt;&gt;Remarcado")&gt;0,"Sim","Não"))</f>
        <v>0</v>
      </c>
      <c r="S1676" s="28">
        <f>IF($A1676="","",IF(AND($F1676="Agendado",$A1676-Hoje&gt;=0,$A1676-Hoje&lt;=DiasConf),"CONFIRMAR",IF(AND($A1676&lt;Hoje,OR($F1676="Agendado",$F1676="Confirmado")),"Atualizar status",IF(AND($F1676="Compareceu",$P1676&gt;0.005),"Cobrar",IF($F1676="Faltou","Falta: reagendar","")))))</f>
        <v>0</v>
      </c>
      <c r="T1676" s="29">
        <f>IF($A1676="","",DATE(YEAR($A1676),MONTH($A1676),1))</f>
        <v>0</v>
      </c>
      <c r="U1676" s="30">
        <f>IF($S1676="CONFIRMAR",MAX($U$4:$U1675)+1,"")</f>
        <v>0</v>
      </c>
      <c r="V1676" s="30">
        <f>IF(AND($R1676="Não",$Q1676&lt;&gt;"",$Q1676&lt;=Hoje+JanelaRet,$Q1676&gt;=Hoje-60),MAX($V$4:$V1675)+1,"")</f>
        <v>0</v>
      </c>
    </row>
    <row r="1677" spans="1:22">
      <c r="A1677" s="16"/>
      <c r="B1677" s="23"/>
      <c r="C1677" s="15"/>
      <c r="D1677" s="15"/>
      <c r="E1677" s="15"/>
      <c r="F1677" s="24"/>
      <c r="G1677" s="17"/>
      <c r="H1677" s="17"/>
      <c r="I1677" s="15"/>
      <c r="J1677" s="25">
        <f>IF($D1677="","",IFERROR(INDEX(PacNome,MATCH($D1677,PacCod,0)),"Paciente não cadastrado"))</f>
        <v>0</v>
      </c>
      <c r="K1677" s="26">
        <f>IF($D1677="","",IFERROR(INDEX(PacConv,MATCH($D1677,PacCod,0))&amp;"",""))</f>
        <v>0</v>
      </c>
      <c r="L1677" s="26">
        <f>IF($A1677="","",CHOOSE(WEEKDAY($A1677,2),"Seg","Ter","Qua","Qui","Sex","Sáb","Dom"))</f>
        <v>0</v>
      </c>
      <c r="M1677" s="27">
        <f>IF($E1677="","",IF($G1677&lt;&gt;"",$G1677,IFERROR(INDEX(ProcValor,MATCH($E1677,ProcNome,0)),0)))</f>
        <v>0</v>
      </c>
      <c r="N1677" s="27">
        <f>IF($M1677="","",IF($F1677="Compareceu",$M1677,0))</f>
        <v>0</v>
      </c>
      <c r="O1677" s="27">
        <f>IF($M1677="","",IF($F1677="Faltou",$M1677,0))</f>
        <v>0</v>
      </c>
      <c r="P1677" s="27">
        <f>IF($M1677="","",IF($F1677="Compareceu",MAX(0,$M1677-N($H1677)),0))</f>
        <v>0</v>
      </c>
      <c r="Q1677" s="19">
        <f>IF(AND($F1677="Compareceu",$E1677&lt;&gt;"",$A1677&lt;&gt;""),IF(IFERROR(INDEX(ProcRet,MATCH($E1677,ProcNome,0)),0)&gt;0,$A1677+INDEX(ProcRet,MATCH($E1677,ProcNome,0)),""),"")</f>
        <v>0</v>
      </c>
      <c r="R1677" s="26">
        <f>IF($Q1677="","",IF(COUNTIFS(AgPac,$D1677,AgData,"&gt;"&amp;$A1677,AgStatus,"&lt;&gt;Cancelado",AgStatus,"&lt;&gt;Remarcado")&gt;0,"Sim","Não"))</f>
        <v>0</v>
      </c>
      <c r="S1677" s="28">
        <f>IF($A1677="","",IF(AND($F1677="Agendado",$A1677-Hoje&gt;=0,$A1677-Hoje&lt;=DiasConf),"CONFIRMAR",IF(AND($A1677&lt;Hoje,OR($F1677="Agendado",$F1677="Confirmado")),"Atualizar status",IF(AND($F1677="Compareceu",$P1677&gt;0.005),"Cobrar",IF($F1677="Faltou","Falta: reagendar","")))))</f>
        <v>0</v>
      </c>
      <c r="T1677" s="29">
        <f>IF($A1677="","",DATE(YEAR($A1677),MONTH($A1677),1))</f>
        <v>0</v>
      </c>
      <c r="U1677" s="30">
        <f>IF($S1677="CONFIRMAR",MAX($U$4:$U1676)+1,"")</f>
        <v>0</v>
      </c>
      <c r="V1677" s="30">
        <f>IF(AND($R1677="Não",$Q1677&lt;&gt;"",$Q1677&lt;=Hoje+JanelaRet,$Q1677&gt;=Hoje-60),MAX($V$4:$V1676)+1,"")</f>
        <v>0</v>
      </c>
    </row>
    <row r="1678" spans="1:22">
      <c r="A1678" s="16"/>
      <c r="B1678" s="23"/>
      <c r="C1678" s="15"/>
      <c r="D1678" s="15"/>
      <c r="E1678" s="15"/>
      <c r="F1678" s="24"/>
      <c r="G1678" s="17"/>
      <c r="H1678" s="17"/>
      <c r="I1678" s="15"/>
      <c r="J1678" s="25">
        <f>IF($D1678="","",IFERROR(INDEX(PacNome,MATCH($D1678,PacCod,0)),"Paciente não cadastrado"))</f>
        <v>0</v>
      </c>
      <c r="K1678" s="26">
        <f>IF($D1678="","",IFERROR(INDEX(PacConv,MATCH($D1678,PacCod,0))&amp;"",""))</f>
        <v>0</v>
      </c>
      <c r="L1678" s="26">
        <f>IF($A1678="","",CHOOSE(WEEKDAY($A1678,2),"Seg","Ter","Qua","Qui","Sex","Sáb","Dom"))</f>
        <v>0</v>
      </c>
      <c r="M1678" s="27">
        <f>IF($E1678="","",IF($G1678&lt;&gt;"",$G1678,IFERROR(INDEX(ProcValor,MATCH($E1678,ProcNome,0)),0)))</f>
        <v>0</v>
      </c>
      <c r="N1678" s="27">
        <f>IF($M1678="","",IF($F1678="Compareceu",$M1678,0))</f>
        <v>0</v>
      </c>
      <c r="O1678" s="27">
        <f>IF($M1678="","",IF($F1678="Faltou",$M1678,0))</f>
        <v>0</v>
      </c>
      <c r="P1678" s="27">
        <f>IF($M1678="","",IF($F1678="Compareceu",MAX(0,$M1678-N($H1678)),0))</f>
        <v>0</v>
      </c>
      <c r="Q1678" s="19">
        <f>IF(AND($F1678="Compareceu",$E1678&lt;&gt;"",$A1678&lt;&gt;""),IF(IFERROR(INDEX(ProcRet,MATCH($E1678,ProcNome,0)),0)&gt;0,$A1678+INDEX(ProcRet,MATCH($E1678,ProcNome,0)),""),"")</f>
        <v>0</v>
      </c>
      <c r="R1678" s="26">
        <f>IF($Q1678="","",IF(COUNTIFS(AgPac,$D1678,AgData,"&gt;"&amp;$A1678,AgStatus,"&lt;&gt;Cancelado",AgStatus,"&lt;&gt;Remarcado")&gt;0,"Sim","Não"))</f>
        <v>0</v>
      </c>
      <c r="S1678" s="28">
        <f>IF($A1678="","",IF(AND($F1678="Agendado",$A1678-Hoje&gt;=0,$A1678-Hoje&lt;=DiasConf),"CONFIRMAR",IF(AND($A1678&lt;Hoje,OR($F1678="Agendado",$F1678="Confirmado")),"Atualizar status",IF(AND($F1678="Compareceu",$P1678&gt;0.005),"Cobrar",IF($F1678="Faltou","Falta: reagendar","")))))</f>
        <v>0</v>
      </c>
      <c r="T1678" s="29">
        <f>IF($A1678="","",DATE(YEAR($A1678),MONTH($A1678),1))</f>
        <v>0</v>
      </c>
      <c r="U1678" s="30">
        <f>IF($S1678="CONFIRMAR",MAX($U$4:$U1677)+1,"")</f>
        <v>0</v>
      </c>
      <c r="V1678" s="30">
        <f>IF(AND($R1678="Não",$Q1678&lt;&gt;"",$Q1678&lt;=Hoje+JanelaRet,$Q1678&gt;=Hoje-60),MAX($V$4:$V1677)+1,"")</f>
        <v>0</v>
      </c>
    </row>
    <row r="1679" spans="1:22">
      <c r="A1679" s="16"/>
      <c r="B1679" s="23"/>
      <c r="C1679" s="15"/>
      <c r="D1679" s="15"/>
      <c r="E1679" s="15"/>
      <c r="F1679" s="24"/>
      <c r="G1679" s="17"/>
      <c r="H1679" s="17"/>
      <c r="I1679" s="15"/>
      <c r="J1679" s="25">
        <f>IF($D1679="","",IFERROR(INDEX(PacNome,MATCH($D1679,PacCod,0)),"Paciente não cadastrado"))</f>
        <v>0</v>
      </c>
      <c r="K1679" s="26">
        <f>IF($D1679="","",IFERROR(INDEX(PacConv,MATCH($D1679,PacCod,0))&amp;"",""))</f>
        <v>0</v>
      </c>
      <c r="L1679" s="26">
        <f>IF($A1679="","",CHOOSE(WEEKDAY($A1679,2),"Seg","Ter","Qua","Qui","Sex","Sáb","Dom"))</f>
        <v>0</v>
      </c>
      <c r="M1679" s="27">
        <f>IF($E1679="","",IF($G1679&lt;&gt;"",$G1679,IFERROR(INDEX(ProcValor,MATCH($E1679,ProcNome,0)),0)))</f>
        <v>0</v>
      </c>
      <c r="N1679" s="27">
        <f>IF($M1679="","",IF($F1679="Compareceu",$M1679,0))</f>
        <v>0</v>
      </c>
      <c r="O1679" s="27">
        <f>IF($M1679="","",IF($F1679="Faltou",$M1679,0))</f>
        <v>0</v>
      </c>
      <c r="P1679" s="27">
        <f>IF($M1679="","",IF($F1679="Compareceu",MAX(0,$M1679-N($H1679)),0))</f>
        <v>0</v>
      </c>
      <c r="Q1679" s="19">
        <f>IF(AND($F1679="Compareceu",$E1679&lt;&gt;"",$A1679&lt;&gt;""),IF(IFERROR(INDEX(ProcRet,MATCH($E1679,ProcNome,0)),0)&gt;0,$A1679+INDEX(ProcRet,MATCH($E1679,ProcNome,0)),""),"")</f>
        <v>0</v>
      </c>
      <c r="R1679" s="26">
        <f>IF($Q1679="","",IF(COUNTIFS(AgPac,$D1679,AgData,"&gt;"&amp;$A1679,AgStatus,"&lt;&gt;Cancelado",AgStatus,"&lt;&gt;Remarcado")&gt;0,"Sim","Não"))</f>
        <v>0</v>
      </c>
      <c r="S1679" s="28">
        <f>IF($A1679="","",IF(AND($F1679="Agendado",$A1679-Hoje&gt;=0,$A1679-Hoje&lt;=DiasConf),"CONFIRMAR",IF(AND($A1679&lt;Hoje,OR($F1679="Agendado",$F1679="Confirmado")),"Atualizar status",IF(AND($F1679="Compareceu",$P1679&gt;0.005),"Cobrar",IF($F1679="Faltou","Falta: reagendar","")))))</f>
        <v>0</v>
      </c>
      <c r="T1679" s="29">
        <f>IF($A1679="","",DATE(YEAR($A1679),MONTH($A1679),1))</f>
        <v>0</v>
      </c>
      <c r="U1679" s="30">
        <f>IF($S1679="CONFIRMAR",MAX($U$4:$U1678)+1,"")</f>
        <v>0</v>
      </c>
      <c r="V1679" s="30">
        <f>IF(AND($R1679="Não",$Q1679&lt;&gt;"",$Q1679&lt;=Hoje+JanelaRet,$Q1679&gt;=Hoje-60),MAX($V$4:$V1678)+1,"")</f>
        <v>0</v>
      </c>
    </row>
    <row r="1680" spans="1:22">
      <c r="A1680" s="16"/>
      <c r="B1680" s="23"/>
      <c r="C1680" s="15"/>
      <c r="D1680" s="15"/>
      <c r="E1680" s="15"/>
      <c r="F1680" s="24"/>
      <c r="G1680" s="17"/>
      <c r="H1680" s="17"/>
      <c r="I1680" s="15"/>
      <c r="J1680" s="25">
        <f>IF($D1680="","",IFERROR(INDEX(PacNome,MATCH($D1680,PacCod,0)),"Paciente não cadastrado"))</f>
        <v>0</v>
      </c>
      <c r="K1680" s="26">
        <f>IF($D1680="","",IFERROR(INDEX(PacConv,MATCH($D1680,PacCod,0))&amp;"",""))</f>
        <v>0</v>
      </c>
      <c r="L1680" s="26">
        <f>IF($A1680="","",CHOOSE(WEEKDAY($A1680,2),"Seg","Ter","Qua","Qui","Sex","Sáb","Dom"))</f>
        <v>0</v>
      </c>
      <c r="M1680" s="27">
        <f>IF($E1680="","",IF($G1680&lt;&gt;"",$G1680,IFERROR(INDEX(ProcValor,MATCH($E1680,ProcNome,0)),0)))</f>
        <v>0</v>
      </c>
      <c r="N1680" s="27">
        <f>IF($M1680="","",IF($F1680="Compareceu",$M1680,0))</f>
        <v>0</v>
      </c>
      <c r="O1680" s="27">
        <f>IF($M1680="","",IF($F1680="Faltou",$M1680,0))</f>
        <v>0</v>
      </c>
      <c r="P1680" s="27">
        <f>IF($M1680="","",IF($F1680="Compareceu",MAX(0,$M1680-N($H1680)),0))</f>
        <v>0</v>
      </c>
      <c r="Q1680" s="19">
        <f>IF(AND($F1680="Compareceu",$E1680&lt;&gt;"",$A1680&lt;&gt;""),IF(IFERROR(INDEX(ProcRet,MATCH($E1680,ProcNome,0)),0)&gt;0,$A1680+INDEX(ProcRet,MATCH($E1680,ProcNome,0)),""),"")</f>
        <v>0</v>
      </c>
      <c r="R1680" s="26">
        <f>IF($Q1680="","",IF(COUNTIFS(AgPac,$D1680,AgData,"&gt;"&amp;$A1680,AgStatus,"&lt;&gt;Cancelado",AgStatus,"&lt;&gt;Remarcado")&gt;0,"Sim","Não"))</f>
        <v>0</v>
      </c>
      <c r="S1680" s="28">
        <f>IF($A1680="","",IF(AND($F1680="Agendado",$A1680-Hoje&gt;=0,$A1680-Hoje&lt;=DiasConf),"CONFIRMAR",IF(AND($A1680&lt;Hoje,OR($F1680="Agendado",$F1680="Confirmado")),"Atualizar status",IF(AND($F1680="Compareceu",$P1680&gt;0.005),"Cobrar",IF($F1680="Faltou","Falta: reagendar","")))))</f>
        <v>0</v>
      </c>
      <c r="T1680" s="29">
        <f>IF($A1680="","",DATE(YEAR($A1680),MONTH($A1680),1))</f>
        <v>0</v>
      </c>
      <c r="U1680" s="30">
        <f>IF($S1680="CONFIRMAR",MAX($U$4:$U1679)+1,"")</f>
        <v>0</v>
      </c>
      <c r="V1680" s="30">
        <f>IF(AND($R1680="Não",$Q1680&lt;&gt;"",$Q1680&lt;=Hoje+JanelaRet,$Q1680&gt;=Hoje-60),MAX($V$4:$V1679)+1,"")</f>
        <v>0</v>
      </c>
    </row>
    <row r="1681" spans="1:22">
      <c r="A1681" s="16"/>
      <c r="B1681" s="23"/>
      <c r="C1681" s="15"/>
      <c r="D1681" s="15"/>
      <c r="E1681" s="15"/>
      <c r="F1681" s="24"/>
      <c r="G1681" s="17"/>
      <c r="H1681" s="17"/>
      <c r="I1681" s="15"/>
      <c r="J1681" s="25">
        <f>IF($D1681="","",IFERROR(INDEX(PacNome,MATCH($D1681,PacCod,0)),"Paciente não cadastrado"))</f>
        <v>0</v>
      </c>
      <c r="K1681" s="26">
        <f>IF($D1681="","",IFERROR(INDEX(PacConv,MATCH($D1681,PacCod,0))&amp;"",""))</f>
        <v>0</v>
      </c>
      <c r="L1681" s="26">
        <f>IF($A1681="","",CHOOSE(WEEKDAY($A1681,2),"Seg","Ter","Qua","Qui","Sex","Sáb","Dom"))</f>
        <v>0</v>
      </c>
      <c r="M1681" s="27">
        <f>IF($E1681="","",IF($G1681&lt;&gt;"",$G1681,IFERROR(INDEX(ProcValor,MATCH($E1681,ProcNome,0)),0)))</f>
        <v>0</v>
      </c>
      <c r="N1681" s="27">
        <f>IF($M1681="","",IF($F1681="Compareceu",$M1681,0))</f>
        <v>0</v>
      </c>
      <c r="O1681" s="27">
        <f>IF($M1681="","",IF($F1681="Faltou",$M1681,0))</f>
        <v>0</v>
      </c>
      <c r="P1681" s="27">
        <f>IF($M1681="","",IF($F1681="Compareceu",MAX(0,$M1681-N($H1681)),0))</f>
        <v>0</v>
      </c>
      <c r="Q1681" s="19">
        <f>IF(AND($F1681="Compareceu",$E1681&lt;&gt;"",$A1681&lt;&gt;""),IF(IFERROR(INDEX(ProcRet,MATCH($E1681,ProcNome,0)),0)&gt;0,$A1681+INDEX(ProcRet,MATCH($E1681,ProcNome,0)),""),"")</f>
        <v>0</v>
      </c>
      <c r="R1681" s="26">
        <f>IF($Q1681="","",IF(COUNTIFS(AgPac,$D1681,AgData,"&gt;"&amp;$A1681,AgStatus,"&lt;&gt;Cancelado",AgStatus,"&lt;&gt;Remarcado")&gt;0,"Sim","Não"))</f>
        <v>0</v>
      </c>
      <c r="S1681" s="28">
        <f>IF($A1681="","",IF(AND($F1681="Agendado",$A1681-Hoje&gt;=0,$A1681-Hoje&lt;=DiasConf),"CONFIRMAR",IF(AND($A1681&lt;Hoje,OR($F1681="Agendado",$F1681="Confirmado")),"Atualizar status",IF(AND($F1681="Compareceu",$P1681&gt;0.005),"Cobrar",IF($F1681="Faltou","Falta: reagendar","")))))</f>
        <v>0</v>
      </c>
      <c r="T1681" s="29">
        <f>IF($A1681="","",DATE(YEAR($A1681),MONTH($A1681),1))</f>
        <v>0</v>
      </c>
      <c r="U1681" s="30">
        <f>IF($S1681="CONFIRMAR",MAX($U$4:$U1680)+1,"")</f>
        <v>0</v>
      </c>
      <c r="V1681" s="30">
        <f>IF(AND($R1681="Não",$Q1681&lt;&gt;"",$Q1681&lt;=Hoje+JanelaRet,$Q1681&gt;=Hoje-60),MAX($V$4:$V1680)+1,"")</f>
        <v>0</v>
      </c>
    </row>
    <row r="1682" spans="1:22">
      <c r="A1682" s="16"/>
      <c r="B1682" s="23"/>
      <c r="C1682" s="15"/>
      <c r="D1682" s="15"/>
      <c r="E1682" s="15"/>
      <c r="F1682" s="24"/>
      <c r="G1682" s="17"/>
      <c r="H1682" s="17"/>
      <c r="I1682" s="15"/>
      <c r="J1682" s="25">
        <f>IF($D1682="","",IFERROR(INDEX(PacNome,MATCH($D1682,PacCod,0)),"Paciente não cadastrado"))</f>
        <v>0</v>
      </c>
      <c r="K1682" s="26">
        <f>IF($D1682="","",IFERROR(INDEX(PacConv,MATCH($D1682,PacCod,0))&amp;"",""))</f>
        <v>0</v>
      </c>
      <c r="L1682" s="26">
        <f>IF($A1682="","",CHOOSE(WEEKDAY($A1682,2),"Seg","Ter","Qua","Qui","Sex","Sáb","Dom"))</f>
        <v>0</v>
      </c>
      <c r="M1682" s="27">
        <f>IF($E1682="","",IF($G1682&lt;&gt;"",$G1682,IFERROR(INDEX(ProcValor,MATCH($E1682,ProcNome,0)),0)))</f>
        <v>0</v>
      </c>
      <c r="N1682" s="27">
        <f>IF($M1682="","",IF($F1682="Compareceu",$M1682,0))</f>
        <v>0</v>
      </c>
      <c r="O1682" s="27">
        <f>IF($M1682="","",IF($F1682="Faltou",$M1682,0))</f>
        <v>0</v>
      </c>
      <c r="P1682" s="27">
        <f>IF($M1682="","",IF($F1682="Compareceu",MAX(0,$M1682-N($H1682)),0))</f>
        <v>0</v>
      </c>
      <c r="Q1682" s="19">
        <f>IF(AND($F1682="Compareceu",$E1682&lt;&gt;"",$A1682&lt;&gt;""),IF(IFERROR(INDEX(ProcRet,MATCH($E1682,ProcNome,0)),0)&gt;0,$A1682+INDEX(ProcRet,MATCH($E1682,ProcNome,0)),""),"")</f>
        <v>0</v>
      </c>
      <c r="R1682" s="26">
        <f>IF($Q1682="","",IF(COUNTIFS(AgPac,$D1682,AgData,"&gt;"&amp;$A1682,AgStatus,"&lt;&gt;Cancelado",AgStatus,"&lt;&gt;Remarcado")&gt;0,"Sim","Não"))</f>
        <v>0</v>
      </c>
      <c r="S1682" s="28">
        <f>IF($A1682="","",IF(AND($F1682="Agendado",$A1682-Hoje&gt;=0,$A1682-Hoje&lt;=DiasConf),"CONFIRMAR",IF(AND($A1682&lt;Hoje,OR($F1682="Agendado",$F1682="Confirmado")),"Atualizar status",IF(AND($F1682="Compareceu",$P1682&gt;0.005),"Cobrar",IF($F1682="Faltou","Falta: reagendar","")))))</f>
        <v>0</v>
      </c>
      <c r="T1682" s="29">
        <f>IF($A1682="","",DATE(YEAR($A1682),MONTH($A1682),1))</f>
        <v>0</v>
      </c>
      <c r="U1682" s="30">
        <f>IF($S1682="CONFIRMAR",MAX($U$4:$U1681)+1,"")</f>
        <v>0</v>
      </c>
      <c r="V1682" s="30">
        <f>IF(AND($R1682="Não",$Q1682&lt;&gt;"",$Q1682&lt;=Hoje+JanelaRet,$Q1682&gt;=Hoje-60),MAX($V$4:$V1681)+1,"")</f>
        <v>0</v>
      </c>
    </row>
    <row r="1683" spans="1:22">
      <c r="A1683" s="16"/>
      <c r="B1683" s="23"/>
      <c r="C1683" s="15"/>
      <c r="D1683" s="15"/>
      <c r="E1683" s="15"/>
      <c r="F1683" s="24"/>
      <c r="G1683" s="17"/>
      <c r="H1683" s="17"/>
      <c r="I1683" s="15"/>
      <c r="J1683" s="25">
        <f>IF($D1683="","",IFERROR(INDEX(PacNome,MATCH($D1683,PacCod,0)),"Paciente não cadastrado"))</f>
        <v>0</v>
      </c>
      <c r="K1683" s="26">
        <f>IF($D1683="","",IFERROR(INDEX(PacConv,MATCH($D1683,PacCod,0))&amp;"",""))</f>
        <v>0</v>
      </c>
      <c r="L1683" s="26">
        <f>IF($A1683="","",CHOOSE(WEEKDAY($A1683,2),"Seg","Ter","Qua","Qui","Sex","Sáb","Dom"))</f>
        <v>0</v>
      </c>
      <c r="M1683" s="27">
        <f>IF($E1683="","",IF($G1683&lt;&gt;"",$G1683,IFERROR(INDEX(ProcValor,MATCH($E1683,ProcNome,0)),0)))</f>
        <v>0</v>
      </c>
      <c r="N1683" s="27">
        <f>IF($M1683="","",IF($F1683="Compareceu",$M1683,0))</f>
        <v>0</v>
      </c>
      <c r="O1683" s="27">
        <f>IF($M1683="","",IF($F1683="Faltou",$M1683,0))</f>
        <v>0</v>
      </c>
      <c r="P1683" s="27">
        <f>IF($M1683="","",IF($F1683="Compareceu",MAX(0,$M1683-N($H1683)),0))</f>
        <v>0</v>
      </c>
      <c r="Q1683" s="19">
        <f>IF(AND($F1683="Compareceu",$E1683&lt;&gt;"",$A1683&lt;&gt;""),IF(IFERROR(INDEX(ProcRet,MATCH($E1683,ProcNome,0)),0)&gt;0,$A1683+INDEX(ProcRet,MATCH($E1683,ProcNome,0)),""),"")</f>
        <v>0</v>
      </c>
      <c r="R1683" s="26">
        <f>IF($Q1683="","",IF(COUNTIFS(AgPac,$D1683,AgData,"&gt;"&amp;$A1683,AgStatus,"&lt;&gt;Cancelado",AgStatus,"&lt;&gt;Remarcado")&gt;0,"Sim","Não"))</f>
        <v>0</v>
      </c>
      <c r="S1683" s="28">
        <f>IF($A1683="","",IF(AND($F1683="Agendado",$A1683-Hoje&gt;=0,$A1683-Hoje&lt;=DiasConf),"CONFIRMAR",IF(AND($A1683&lt;Hoje,OR($F1683="Agendado",$F1683="Confirmado")),"Atualizar status",IF(AND($F1683="Compareceu",$P1683&gt;0.005),"Cobrar",IF($F1683="Faltou","Falta: reagendar","")))))</f>
        <v>0</v>
      </c>
      <c r="T1683" s="29">
        <f>IF($A1683="","",DATE(YEAR($A1683),MONTH($A1683),1))</f>
        <v>0</v>
      </c>
      <c r="U1683" s="30">
        <f>IF($S1683="CONFIRMAR",MAX($U$4:$U1682)+1,"")</f>
        <v>0</v>
      </c>
      <c r="V1683" s="30">
        <f>IF(AND($R1683="Não",$Q1683&lt;&gt;"",$Q1683&lt;=Hoje+JanelaRet,$Q1683&gt;=Hoje-60),MAX($V$4:$V1682)+1,"")</f>
        <v>0</v>
      </c>
    </row>
    <row r="1684" spans="1:22">
      <c r="A1684" s="16"/>
      <c r="B1684" s="23"/>
      <c r="C1684" s="15"/>
      <c r="D1684" s="15"/>
      <c r="E1684" s="15"/>
      <c r="F1684" s="24"/>
      <c r="G1684" s="17"/>
      <c r="H1684" s="17"/>
      <c r="I1684" s="15"/>
      <c r="J1684" s="25">
        <f>IF($D1684="","",IFERROR(INDEX(PacNome,MATCH($D1684,PacCod,0)),"Paciente não cadastrado"))</f>
        <v>0</v>
      </c>
      <c r="K1684" s="26">
        <f>IF($D1684="","",IFERROR(INDEX(PacConv,MATCH($D1684,PacCod,0))&amp;"",""))</f>
        <v>0</v>
      </c>
      <c r="L1684" s="26">
        <f>IF($A1684="","",CHOOSE(WEEKDAY($A1684,2),"Seg","Ter","Qua","Qui","Sex","Sáb","Dom"))</f>
        <v>0</v>
      </c>
      <c r="M1684" s="27">
        <f>IF($E1684="","",IF($G1684&lt;&gt;"",$G1684,IFERROR(INDEX(ProcValor,MATCH($E1684,ProcNome,0)),0)))</f>
        <v>0</v>
      </c>
      <c r="N1684" s="27">
        <f>IF($M1684="","",IF($F1684="Compareceu",$M1684,0))</f>
        <v>0</v>
      </c>
      <c r="O1684" s="27">
        <f>IF($M1684="","",IF($F1684="Faltou",$M1684,0))</f>
        <v>0</v>
      </c>
      <c r="P1684" s="27">
        <f>IF($M1684="","",IF($F1684="Compareceu",MAX(0,$M1684-N($H1684)),0))</f>
        <v>0</v>
      </c>
      <c r="Q1684" s="19">
        <f>IF(AND($F1684="Compareceu",$E1684&lt;&gt;"",$A1684&lt;&gt;""),IF(IFERROR(INDEX(ProcRet,MATCH($E1684,ProcNome,0)),0)&gt;0,$A1684+INDEX(ProcRet,MATCH($E1684,ProcNome,0)),""),"")</f>
        <v>0</v>
      </c>
      <c r="R1684" s="26">
        <f>IF($Q1684="","",IF(COUNTIFS(AgPac,$D1684,AgData,"&gt;"&amp;$A1684,AgStatus,"&lt;&gt;Cancelado",AgStatus,"&lt;&gt;Remarcado")&gt;0,"Sim","Não"))</f>
        <v>0</v>
      </c>
      <c r="S1684" s="28">
        <f>IF($A1684="","",IF(AND($F1684="Agendado",$A1684-Hoje&gt;=0,$A1684-Hoje&lt;=DiasConf),"CONFIRMAR",IF(AND($A1684&lt;Hoje,OR($F1684="Agendado",$F1684="Confirmado")),"Atualizar status",IF(AND($F1684="Compareceu",$P1684&gt;0.005),"Cobrar",IF($F1684="Faltou","Falta: reagendar","")))))</f>
        <v>0</v>
      </c>
      <c r="T1684" s="29">
        <f>IF($A1684="","",DATE(YEAR($A1684),MONTH($A1684),1))</f>
        <v>0</v>
      </c>
      <c r="U1684" s="30">
        <f>IF($S1684="CONFIRMAR",MAX($U$4:$U1683)+1,"")</f>
        <v>0</v>
      </c>
      <c r="V1684" s="30">
        <f>IF(AND($R1684="Não",$Q1684&lt;&gt;"",$Q1684&lt;=Hoje+JanelaRet,$Q1684&gt;=Hoje-60),MAX($V$4:$V1683)+1,"")</f>
        <v>0</v>
      </c>
    </row>
    <row r="1685" spans="1:22">
      <c r="A1685" s="16"/>
      <c r="B1685" s="23"/>
      <c r="C1685" s="15"/>
      <c r="D1685" s="15"/>
      <c r="E1685" s="15"/>
      <c r="F1685" s="24"/>
      <c r="G1685" s="17"/>
      <c r="H1685" s="17"/>
      <c r="I1685" s="15"/>
      <c r="J1685" s="25">
        <f>IF($D1685="","",IFERROR(INDEX(PacNome,MATCH($D1685,PacCod,0)),"Paciente não cadastrado"))</f>
        <v>0</v>
      </c>
      <c r="K1685" s="26">
        <f>IF($D1685="","",IFERROR(INDEX(PacConv,MATCH($D1685,PacCod,0))&amp;"",""))</f>
        <v>0</v>
      </c>
      <c r="L1685" s="26">
        <f>IF($A1685="","",CHOOSE(WEEKDAY($A1685,2),"Seg","Ter","Qua","Qui","Sex","Sáb","Dom"))</f>
        <v>0</v>
      </c>
      <c r="M1685" s="27">
        <f>IF($E1685="","",IF($G1685&lt;&gt;"",$G1685,IFERROR(INDEX(ProcValor,MATCH($E1685,ProcNome,0)),0)))</f>
        <v>0</v>
      </c>
      <c r="N1685" s="27">
        <f>IF($M1685="","",IF($F1685="Compareceu",$M1685,0))</f>
        <v>0</v>
      </c>
      <c r="O1685" s="27">
        <f>IF($M1685="","",IF($F1685="Faltou",$M1685,0))</f>
        <v>0</v>
      </c>
      <c r="P1685" s="27">
        <f>IF($M1685="","",IF($F1685="Compareceu",MAX(0,$M1685-N($H1685)),0))</f>
        <v>0</v>
      </c>
      <c r="Q1685" s="19">
        <f>IF(AND($F1685="Compareceu",$E1685&lt;&gt;"",$A1685&lt;&gt;""),IF(IFERROR(INDEX(ProcRet,MATCH($E1685,ProcNome,0)),0)&gt;0,$A1685+INDEX(ProcRet,MATCH($E1685,ProcNome,0)),""),"")</f>
        <v>0</v>
      </c>
      <c r="R1685" s="26">
        <f>IF($Q1685="","",IF(COUNTIFS(AgPac,$D1685,AgData,"&gt;"&amp;$A1685,AgStatus,"&lt;&gt;Cancelado",AgStatus,"&lt;&gt;Remarcado")&gt;0,"Sim","Não"))</f>
        <v>0</v>
      </c>
      <c r="S1685" s="28">
        <f>IF($A1685="","",IF(AND($F1685="Agendado",$A1685-Hoje&gt;=0,$A1685-Hoje&lt;=DiasConf),"CONFIRMAR",IF(AND($A1685&lt;Hoje,OR($F1685="Agendado",$F1685="Confirmado")),"Atualizar status",IF(AND($F1685="Compareceu",$P1685&gt;0.005),"Cobrar",IF($F1685="Faltou","Falta: reagendar","")))))</f>
        <v>0</v>
      </c>
      <c r="T1685" s="29">
        <f>IF($A1685="","",DATE(YEAR($A1685),MONTH($A1685),1))</f>
        <v>0</v>
      </c>
      <c r="U1685" s="30">
        <f>IF($S1685="CONFIRMAR",MAX($U$4:$U1684)+1,"")</f>
        <v>0</v>
      </c>
      <c r="V1685" s="30">
        <f>IF(AND($R1685="Não",$Q1685&lt;&gt;"",$Q1685&lt;=Hoje+JanelaRet,$Q1685&gt;=Hoje-60),MAX($V$4:$V1684)+1,"")</f>
        <v>0</v>
      </c>
    </row>
    <row r="1686" spans="1:22">
      <c r="A1686" s="16"/>
      <c r="B1686" s="23"/>
      <c r="C1686" s="15"/>
      <c r="D1686" s="15"/>
      <c r="E1686" s="15"/>
      <c r="F1686" s="24"/>
      <c r="G1686" s="17"/>
      <c r="H1686" s="17"/>
      <c r="I1686" s="15"/>
      <c r="J1686" s="25">
        <f>IF($D1686="","",IFERROR(INDEX(PacNome,MATCH($D1686,PacCod,0)),"Paciente não cadastrado"))</f>
        <v>0</v>
      </c>
      <c r="K1686" s="26">
        <f>IF($D1686="","",IFERROR(INDEX(PacConv,MATCH($D1686,PacCod,0))&amp;"",""))</f>
        <v>0</v>
      </c>
      <c r="L1686" s="26">
        <f>IF($A1686="","",CHOOSE(WEEKDAY($A1686,2),"Seg","Ter","Qua","Qui","Sex","Sáb","Dom"))</f>
        <v>0</v>
      </c>
      <c r="M1686" s="27">
        <f>IF($E1686="","",IF($G1686&lt;&gt;"",$G1686,IFERROR(INDEX(ProcValor,MATCH($E1686,ProcNome,0)),0)))</f>
        <v>0</v>
      </c>
      <c r="N1686" s="27">
        <f>IF($M1686="","",IF($F1686="Compareceu",$M1686,0))</f>
        <v>0</v>
      </c>
      <c r="O1686" s="27">
        <f>IF($M1686="","",IF($F1686="Faltou",$M1686,0))</f>
        <v>0</v>
      </c>
      <c r="P1686" s="27">
        <f>IF($M1686="","",IF($F1686="Compareceu",MAX(0,$M1686-N($H1686)),0))</f>
        <v>0</v>
      </c>
      <c r="Q1686" s="19">
        <f>IF(AND($F1686="Compareceu",$E1686&lt;&gt;"",$A1686&lt;&gt;""),IF(IFERROR(INDEX(ProcRet,MATCH($E1686,ProcNome,0)),0)&gt;0,$A1686+INDEX(ProcRet,MATCH($E1686,ProcNome,0)),""),"")</f>
        <v>0</v>
      </c>
      <c r="R1686" s="26">
        <f>IF($Q1686="","",IF(COUNTIFS(AgPac,$D1686,AgData,"&gt;"&amp;$A1686,AgStatus,"&lt;&gt;Cancelado",AgStatus,"&lt;&gt;Remarcado")&gt;0,"Sim","Não"))</f>
        <v>0</v>
      </c>
      <c r="S1686" s="28">
        <f>IF($A1686="","",IF(AND($F1686="Agendado",$A1686-Hoje&gt;=0,$A1686-Hoje&lt;=DiasConf),"CONFIRMAR",IF(AND($A1686&lt;Hoje,OR($F1686="Agendado",$F1686="Confirmado")),"Atualizar status",IF(AND($F1686="Compareceu",$P1686&gt;0.005),"Cobrar",IF($F1686="Faltou","Falta: reagendar","")))))</f>
        <v>0</v>
      </c>
      <c r="T1686" s="29">
        <f>IF($A1686="","",DATE(YEAR($A1686),MONTH($A1686),1))</f>
        <v>0</v>
      </c>
      <c r="U1686" s="30">
        <f>IF($S1686="CONFIRMAR",MAX($U$4:$U1685)+1,"")</f>
        <v>0</v>
      </c>
      <c r="V1686" s="30">
        <f>IF(AND($R1686="Não",$Q1686&lt;&gt;"",$Q1686&lt;=Hoje+JanelaRet,$Q1686&gt;=Hoje-60),MAX($V$4:$V1685)+1,"")</f>
        <v>0</v>
      </c>
    </row>
    <row r="1687" spans="1:22">
      <c r="A1687" s="16"/>
      <c r="B1687" s="23"/>
      <c r="C1687" s="15"/>
      <c r="D1687" s="15"/>
      <c r="E1687" s="15"/>
      <c r="F1687" s="24"/>
      <c r="G1687" s="17"/>
      <c r="H1687" s="17"/>
      <c r="I1687" s="15"/>
      <c r="J1687" s="25">
        <f>IF($D1687="","",IFERROR(INDEX(PacNome,MATCH($D1687,PacCod,0)),"Paciente não cadastrado"))</f>
        <v>0</v>
      </c>
      <c r="K1687" s="26">
        <f>IF($D1687="","",IFERROR(INDEX(PacConv,MATCH($D1687,PacCod,0))&amp;"",""))</f>
        <v>0</v>
      </c>
      <c r="L1687" s="26">
        <f>IF($A1687="","",CHOOSE(WEEKDAY($A1687,2),"Seg","Ter","Qua","Qui","Sex","Sáb","Dom"))</f>
        <v>0</v>
      </c>
      <c r="M1687" s="27">
        <f>IF($E1687="","",IF($G1687&lt;&gt;"",$G1687,IFERROR(INDEX(ProcValor,MATCH($E1687,ProcNome,0)),0)))</f>
        <v>0</v>
      </c>
      <c r="N1687" s="27">
        <f>IF($M1687="","",IF($F1687="Compareceu",$M1687,0))</f>
        <v>0</v>
      </c>
      <c r="O1687" s="27">
        <f>IF($M1687="","",IF($F1687="Faltou",$M1687,0))</f>
        <v>0</v>
      </c>
      <c r="P1687" s="27">
        <f>IF($M1687="","",IF($F1687="Compareceu",MAX(0,$M1687-N($H1687)),0))</f>
        <v>0</v>
      </c>
      <c r="Q1687" s="19">
        <f>IF(AND($F1687="Compareceu",$E1687&lt;&gt;"",$A1687&lt;&gt;""),IF(IFERROR(INDEX(ProcRet,MATCH($E1687,ProcNome,0)),0)&gt;0,$A1687+INDEX(ProcRet,MATCH($E1687,ProcNome,0)),""),"")</f>
        <v>0</v>
      </c>
      <c r="R1687" s="26">
        <f>IF($Q1687="","",IF(COUNTIFS(AgPac,$D1687,AgData,"&gt;"&amp;$A1687,AgStatus,"&lt;&gt;Cancelado",AgStatus,"&lt;&gt;Remarcado")&gt;0,"Sim","Não"))</f>
        <v>0</v>
      </c>
      <c r="S1687" s="28">
        <f>IF($A1687="","",IF(AND($F1687="Agendado",$A1687-Hoje&gt;=0,$A1687-Hoje&lt;=DiasConf),"CONFIRMAR",IF(AND($A1687&lt;Hoje,OR($F1687="Agendado",$F1687="Confirmado")),"Atualizar status",IF(AND($F1687="Compareceu",$P1687&gt;0.005),"Cobrar",IF($F1687="Faltou","Falta: reagendar","")))))</f>
        <v>0</v>
      </c>
      <c r="T1687" s="29">
        <f>IF($A1687="","",DATE(YEAR($A1687),MONTH($A1687),1))</f>
        <v>0</v>
      </c>
      <c r="U1687" s="30">
        <f>IF($S1687="CONFIRMAR",MAX($U$4:$U1686)+1,"")</f>
        <v>0</v>
      </c>
      <c r="V1687" s="30">
        <f>IF(AND($R1687="Não",$Q1687&lt;&gt;"",$Q1687&lt;=Hoje+JanelaRet,$Q1687&gt;=Hoje-60),MAX($V$4:$V1686)+1,"")</f>
        <v>0</v>
      </c>
    </row>
    <row r="1688" spans="1:22">
      <c r="A1688" s="16"/>
      <c r="B1688" s="23"/>
      <c r="C1688" s="15"/>
      <c r="D1688" s="15"/>
      <c r="E1688" s="15"/>
      <c r="F1688" s="24"/>
      <c r="G1688" s="17"/>
      <c r="H1688" s="17"/>
      <c r="I1688" s="15"/>
      <c r="J1688" s="25">
        <f>IF($D1688="","",IFERROR(INDEX(PacNome,MATCH($D1688,PacCod,0)),"Paciente não cadastrado"))</f>
        <v>0</v>
      </c>
      <c r="K1688" s="26">
        <f>IF($D1688="","",IFERROR(INDEX(PacConv,MATCH($D1688,PacCod,0))&amp;"",""))</f>
        <v>0</v>
      </c>
      <c r="L1688" s="26">
        <f>IF($A1688="","",CHOOSE(WEEKDAY($A1688,2),"Seg","Ter","Qua","Qui","Sex","Sáb","Dom"))</f>
        <v>0</v>
      </c>
      <c r="M1688" s="27">
        <f>IF($E1688="","",IF($G1688&lt;&gt;"",$G1688,IFERROR(INDEX(ProcValor,MATCH($E1688,ProcNome,0)),0)))</f>
        <v>0</v>
      </c>
      <c r="N1688" s="27">
        <f>IF($M1688="","",IF($F1688="Compareceu",$M1688,0))</f>
        <v>0</v>
      </c>
      <c r="O1688" s="27">
        <f>IF($M1688="","",IF($F1688="Faltou",$M1688,0))</f>
        <v>0</v>
      </c>
      <c r="P1688" s="27">
        <f>IF($M1688="","",IF($F1688="Compareceu",MAX(0,$M1688-N($H1688)),0))</f>
        <v>0</v>
      </c>
      <c r="Q1688" s="19">
        <f>IF(AND($F1688="Compareceu",$E1688&lt;&gt;"",$A1688&lt;&gt;""),IF(IFERROR(INDEX(ProcRet,MATCH($E1688,ProcNome,0)),0)&gt;0,$A1688+INDEX(ProcRet,MATCH($E1688,ProcNome,0)),""),"")</f>
        <v>0</v>
      </c>
      <c r="R1688" s="26">
        <f>IF($Q1688="","",IF(COUNTIFS(AgPac,$D1688,AgData,"&gt;"&amp;$A1688,AgStatus,"&lt;&gt;Cancelado",AgStatus,"&lt;&gt;Remarcado")&gt;0,"Sim","Não"))</f>
        <v>0</v>
      </c>
      <c r="S1688" s="28">
        <f>IF($A1688="","",IF(AND($F1688="Agendado",$A1688-Hoje&gt;=0,$A1688-Hoje&lt;=DiasConf),"CONFIRMAR",IF(AND($A1688&lt;Hoje,OR($F1688="Agendado",$F1688="Confirmado")),"Atualizar status",IF(AND($F1688="Compareceu",$P1688&gt;0.005),"Cobrar",IF($F1688="Faltou","Falta: reagendar","")))))</f>
        <v>0</v>
      </c>
      <c r="T1688" s="29">
        <f>IF($A1688="","",DATE(YEAR($A1688),MONTH($A1688),1))</f>
        <v>0</v>
      </c>
      <c r="U1688" s="30">
        <f>IF($S1688="CONFIRMAR",MAX($U$4:$U1687)+1,"")</f>
        <v>0</v>
      </c>
      <c r="V1688" s="30">
        <f>IF(AND($R1688="Não",$Q1688&lt;&gt;"",$Q1688&lt;=Hoje+JanelaRet,$Q1688&gt;=Hoje-60),MAX($V$4:$V1687)+1,"")</f>
        <v>0</v>
      </c>
    </row>
    <row r="1689" spans="1:22">
      <c r="A1689" s="16"/>
      <c r="B1689" s="23"/>
      <c r="C1689" s="15"/>
      <c r="D1689" s="15"/>
      <c r="E1689" s="15"/>
      <c r="F1689" s="24"/>
      <c r="G1689" s="17"/>
      <c r="H1689" s="17"/>
      <c r="I1689" s="15"/>
      <c r="J1689" s="25">
        <f>IF($D1689="","",IFERROR(INDEX(PacNome,MATCH($D1689,PacCod,0)),"Paciente não cadastrado"))</f>
        <v>0</v>
      </c>
      <c r="K1689" s="26">
        <f>IF($D1689="","",IFERROR(INDEX(PacConv,MATCH($D1689,PacCod,0))&amp;"",""))</f>
        <v>0</v>
      </c>
      <c r="L1689" s="26">
        <f>IF($A1689="","",CHOOSE(WEEKDAY($A1689,2),"Seg","Ter","Qua","Qui","Sex","Sáb","Dom"))</f>
        <v>0</v>
      </c>
      <c r="M1689" s="27">
        <f>IF($E1689="","",IF($G1689&lt;&gt;"",$G1689,IFERROR(INDEX(ProcValor,MATCH($E1689,ProcNome,0)),0)))</f>
        <v>0</v>
      </c>
      <c r="N1689" s="27">
        <f>IF($M1689="","",IF($F1689="Compareceu",$M1689,0))</f>
        <v>0</v>
      </c>
      <c r="O1689" s="27">
        <f>IF($M1689="","",IF($F1689="Faltou",$M1689,0))</f>
        <v>0</v>
      </c>
      <c r="P1689" s="27">
        <f>IF($M1689="","",IF($F1689="Compareceu",MAX(0,$M1689-N($H1689)),0))</f>
        <v>0</v>
      </c>
      <c r="Q1689" s="19">
        <f>IF(AND($F1689="Compareceu",$E1689&lt;&gt;"",$A1689&lt;&gt;""),IF(IFERROR(INDEX(ProcRet,MATCH($E1689,ProcNome,0)),0)&gt;0,$A1689+INDEX(ProcRet,MATCH($E1689,ProcNome,0)),""),"")</f>
        <v>0</v>
      </c>
      <c r="R1689" s="26">
        <f>IF($Q1689="","",IF(COUNTIFS(AgPac,$D1689,AgData,"&gt;"&amp;$A1689,AgStatus,"&lt;&gt;Cancelado",AgStatus,"&lt;&gt;Remarcado")&gt;0,"Sim","Não"))</f>
        <v>0</v>
      </c>
      <c r="S1689" s="28">
        <f>IF($A1689="","",IF(AND($F1689="Agendado",$A1689-Hoje&gt;=0,$A1689-Hoje&lt;=DiasConf),"CONFIRMAR",IF(AND($A1689&lt;Hoje,OR($F1689="Agendado",$F1689="Confirmado")),"Atualizar status",IF(AND($F1689="Compareceu",$P1689&gt;0.005),"Cobrar",IF($F1689="Faltou","Falta: reagendar","")))))</f>
        <v>0</v>
      </c>
      <c r="T1689" s="29">
        <f>IF($A1689="","",DATE(YEAR($A1689),MONTH($A1689),1))</f>
        <v>0</v>
      </c>
      <c r="U1689" s="30">
        <f>IF($S1689="CONFIRMAR",MAX($U$4:$U1688)+1,"")</f>
        <v>0</v>
      </c>
      <c r="V1689" s="30">
        <f>IF(AND($R1689="Não",$Q1689&lt;&gt;"",$Q1689&lt;=Hoje+JanelaRet,$Q1689&gt;=Hoje-60),MAX($V$4:$V1688)+1,"")</f>
        <v>0</v>
      </c>
    </row>
    <row r="1690" spans="1:22">
      <c r="A1690" s="16"/>
      <c r="B1690" s="23"/>
      <c r="C1690" s="15"/>
      <c r="D1690" s="15"/>
      <c r="E1690" s="15"/>
      <c r="F1690" s="24"/>
      <c r="G1690" s="17"/>
      <c r="H1690" s="17"/>
      <c r="I1690" s="15"/>
      <c r="J1690" s="25">
        <f>IF($D1690="","",IFERROR(INDEX(PacNome,MATCH($D1690,PacCod,0)),"Paciente não cadastrado"))</f>
        <v>0</v>
      </c>
      <c r="K1690" s="26">
        <f>IF($D1690="","",IFERROR(INDEX(PacConv,MATCH($D1690,PacCod,0))&amp;"",""))</f>
        <v>0</v>
      </c>
      <c r="L1690" s="26">
        <f>IF($A1690="","",CHOOSE(WEEKDAY($A1690,2),"Seg","Ter","Qua","Qui","Sex","Sáb","Dom"))</f>
        <v>0</v>
      </c>
      <c r="M1690" s="27">
        <f>IF($E1690="","",IF($G1690&lt;&gt;"",$G1690,IFERROR(INDEX(ProcValor,MATCH($E1690,ProcNome,0)),0)))</f>
        <v>0</v>
      </c>
      <c r="N1690" s="27">
        <f>IF($M1690="","",IF($F1690="Compareceu",$M1690,0))</f>
        <v>0</v>
      </c>
      <c r="O1690" s="27">
        <f>IF($M1690="","",IF($F1690="Faltou",$M1690,0))</f>
        <v>0</v>
      </c>
      <c r="P1690" s="27">
        <f>IF($M1690="","",IF($F1690="Compareceu",MAX(0,$M1690-N($H1690)),0))</f>
        <v>0</v>
      </c>
      <c r="Q1690" s="19">
        <f>IF(AND($F1690="Compareceu",$E1690&lt;&gt;"",$A1690&lt;&gt;""),IF(IFERROR(INDEX(ProcRet,MATCH($E1690,ProcNome,0)),0)&gt;0,$A1690+INDEX(ProcRet,MATCH($E1690,ProcNome,0)),""),"")</f>
        <v>0</v>
      </c>
      <c r="R1690" s="26">
        <f>IF($Q1690="","",IF(COUNTIFS(AgPac,$D1690,AgData,"&gt;"&amp;$A1690,AgStatus,"&lt;&gt;Cancelado",AgStatus,"&lt;&gt;Remarcado")&gt;0,"Sim","Não"))</f>
        <v>0</v>
      </c>
      <c r="S1690" s="28">
        <f>IF($A1690="","",IF(AND($F1690="Agendado",$A1690-Hoje&gt;=0,$A1690-Hoje&lt;=DiasConf),"CONFIRMAR",IF(AND($A1690&lt;Hoje,OR($F1690="Agendado",$F1690="Confirmado")),"Atualizar status",IF(AND($F1690="Compareceu",$P1690&gt;0.005),"Cobrar",IF($F1690="Faltou","Falta: reagendar","")))))</f>
        <v>0</v>
      </c>
      <c r="T1690" s="29">
        <f>IF($A1690="","",DATE(YEAR($A1690),MONTH($A1690),1))</f>
        <v>0</v>
      </c>
      <c r="U1690" s="30">
        <f>IF($S1690="CONFIRMAR",MAX($U$4:$U1689)+1,"")</f>
        <v>0</v>
      </c>
      <c r="V1690" s="30">
        <f>IF(AND($R1690="Não",$Q1690&lt;&gt;"",$Q1690&lt;=Hoje+JanelaRet,$Q1690&gt;=Hoje-60),MAX($V$4:$V1689)+1,"")</f>
        <v>0</v>
      </c>
    </row>
    <row r="1691" spans="1:22">
      <c r="A1691" s="16"/>
      <c r="B1691" s="23"/>
      <c r="C1691" s="15"/>
      <c r="D1691" s="15"/>
      <c r="E1691" s="15"/>
      <c r="F1691" s="24"/>
      <c r="G1691" s="17"/>
      <c r="H1691" s="17"/>
      <c r="I1691" s="15"/>
      <c r="J1691" s="25">
        <f>IF($D1691="","",IFERROR(INDEX(PacNome,MATCH($D1691,PacCod,0)),"Paciente não cadastrado"))</f>
        <v>0</v>
      </c>
      <c r="K1691" s="26">
        <f>IF($D1691="","",IFERROR(INDEX(PacConv,MATCH($D1691,PacCod,0))&amp;"",""))</f>
        <v>0</v>
      </c>
      <c r="L1691" s="26">
        <f>IF($A1691="","",CHOOSE(WEEKDAY($A1691,2),"Seg","Ter","Qua","Qui","Sex","Sáb","Dom"))</f>
        <v>0</v>
      </c>
      <c r="M1691" s="27">
        <f>IF($E1691="","",IF($G1691&lt;&gt;"",$G1691,IFERROR(INDEX(ProcValor,MATCH($E1691,ProcNome,0)),0)))</f>
        <v>0</v>
      </c>
      <c r="N1691" s="27">
        <f>IF($M1691="","",IF($F1691="Compareceu",$M1691,0))</f>
        <v>0</v>
      </c>
      <c r="O1691" s="27">
        <f>IF($M1691="","",IF($F1691="Faltou",$M1691,0))</f>
        <v>0</v>
      </c>
      <c r="P1691" s="27">
        <f>IF($M1691="","",IF($F1691="Compareceu",MAX(0,$M1691-N($H1691)),0))</f>
        <v>0</v>
      </c>
      <c r="Q1691" s="19">
        <f>IF(AND($F1691="Compareceu",$E1691&lt;&gt;"",$A1691&lt;&gt;""),IF(IFERROR(INDEX(ProcRet,MATCH($E1691,ProcNome,0)),0)&gt;0,$A1691+INDEX(ProcRet,MATCH($E1691,ProcNome,0)),""),"")</f>
        <v>0</v>
      </c>
      <c r="R1691" s="26">
        <f>IF($Q1691="","",IF(COUNTIFS(AgPac,$D1691,AgData,"&gt;"&amp;$A1691,AgStatus,"&lt;&gt;Cancelado",AgStatus,"&lt;&gt;Remarcado")&gt;0,"Sim","Não"))</f>
        <v>0</v>
      </c>
      <c r="S1691" s="28">
        <f>IF($A1691="","",IF(AND($F1691="Agendado",$A1691-Hoje&gt;=0,$A1691-Hoje&lt;=DiasConf),"CONFIRMAR",IF(AND($A1691&lt;Hoje,OR($F1691="Agendado",$F1691="Confirmado")),"Atualizar status",IF(AND($F1691="Compareceu",$P1691&gt;0.005),"Cobrar",IF($F1691="Faltou","Falta: reagendar","")))))</f>
        <v>0</v>
      </c>
      <c r="T1691" s="29">
        <f>IF($A1691="","",DATE(YEAR($A1691),MONTH($A1691),1))</f>
        <v>0</v>
      </c>
      <c r="U1691" s="30">
        <f>IF($S1691="CONFIRMAR",MAX($U$4:$U1690)+1,"")</f>
        <v>0</v>
      </c>
      <c r="V1691" s="30">
        <f>IF(AND($R1691="Não",$Q1691&lt;&gt;"",$Q1691&lt;=Hoje+JanelaRet,$Q1691&gt;=Hoje-60),MAX($V$4:$V1690)+1,"")</f>
        <v>0</v>
      </c>
    </row>
    <row r="1692" spans="1:22">
      <c r="A1692" s="16"/>
      <c r="B1692" s="23"/>
      <c r="C1692" s="15"/>
      <c r="D1692" s="15"/>
      <c r="E1692" s="15"/>
      <c r="F1692" s="24"/>
      <c r="G1692" s="17"/>
      <c r="H1692" s="17"/>
      <c r="I1692" s="15"/>
      <c r="J1692" s="25">
        <f>IF($D1692="","",IFERROR(INDEX(PacNome,MATCH($D1692,PacCod,0)),"Paciente não cadastrado"))</f>
        <v>0</v>
      </c>
      <c r="K1692" s="26">
        <f>IF($D1692="","",IFERROR(INDEX(PacConv,MATCH($D1692,PacCod,0))&amp;"",""))</f>
        <v>0</v>
      </c>
      <c r="L1692" s="26">
        <f>IF($A1692="","",CHOOSE(WEEKDAY($A1692,2),"Seg","Ter","Qua","Qui","Sex","Sáb","Dom"))</f>
        <v>0</v>
      </c>
      <c r="M1692" s="27">
        <f>IF($E1692="","",IF($G1692&lt;&gt;"",$G1692,IFERROR(INDEX(ProcValor,MATCH($E1692,ProcNome,0)),0)))</f>
        <v>0</v>
      </c>
      <c r="N1692" s="27">
        <f>IF($M1692="","",IF($F1692="Compareceu",$M1692,0))</f>
        <v>0</v>
      </c>
      <c r="O1692" s="27">
        <f>IF($M1692="","",IF($F1692="Faltou",$M1692,0))</f>
        <v>0</v>
      </c>
      <c r="P1692" s="27">
        <f>IF($M1692="","",IF($F1692="Compareceu",MAX(0,$M1692-N($H1692)),0))</f>
        <v>0</v>
      </c>
      <c r="Q1692" s="19">
        <f>IF(AND($F1692="Compareceu",$E1692&lt;&gt;"",$A1692&lt;&gt;""),IF(IFERROR(INDEX(ProcRet,MATCH($E1692,ProcNome,0)),0)&gt;0,$A1692+INDEX(ProcRet,MATCH($E1692,ProcNome,0)),""),"")</f>
        <v>0</v>
      </c>
      <c r="R1692" s="26">
        <f>IF($Q1692="","",IF(COUNTIFS(AgPac,$D1692,AgData,"&gt;"&amp;$A1692,AgStatus,"&lt;&gt;Cancelado",AgStatus,"&lt;&gt;Remarcado")&gt;0,"Sim","Não"))</f>
        <v>0</v>
      </c>
      <c r="S1692" s="28">
        <f>IF($A1692="","",IF(AND($F1692="Agendado",$A1692-Hoje&gt;=0,$A1692-Hoje&lt;=DiasConf),"CONFIRMAR",IF(AND($A1692&lt;Hoje,OR($F1692="Agendado",$F1692="Confirmado")),"Atualizar status",IF(AND($F1692="Compareceu",$P1692&gt;0.005),"Cobrar",IF($F1692="Faltou","Falta: reagendar","")))))</f>
        <v>0</v>
      </c>
      <c r="T1692" s="29">
        <f>IF($A1692="","",DATE(YEAR($A1692),MONTH($A1692),1))</f>
        <v>0</v>
      </c>
      <c r="U1692" s="30">
        <f>IF($S1692="CONFIRMAR",MAX($U$4:$U1691)+1,"")</f>
        <v>0</v>
      </c>
      <c r="V1692" s="30">
        <f>IF(AND($R1692="Não",$Q1692&lt;&gt;"",$Q1692&lt;=Hoje+JanelaRet,$Q1692&gt;=Hoje-60),MAX($V$4:$V1691)+1,"")</f>
        <v>0</v>
      </c>
    </row>
    <row r="1693" spans="1:22">
      <c r="A1693" s="16"/>
      <c r="B1693" s="23"/>
      <c r="C1693" s="15"/>
      <c r="D1693" s="15"/>
      <c r="E1693" s="15"/>
      <c r="F1693" s="24"/>
      <c r="G1693" s="17"/>
      <c r="H1693" s="17"/>
      <c r="I1693" s="15"/>
      <c r="J1693" s="25">
        <f>IF($D1693="","",IFERROR(INDEX(PacNome,MATCH($D1693,PacCod,0)),"Paciente não cadastrado"))</f>
        <v>0</v>
      </c>
      <c r="K1693" s="26">
        <f>IF($D1693="","",IFERROR(INDEX(PacConv,MATCH($D1693,PacCod,0))&amp;"",""))</f>
        <v>0</v>
      </c>
      <c r="L1693" s="26">
        <f>IF($A1693="","",CHOOSE(WEEKDAY($A1693,2),"Seg","Ter","Qua","Qui","Sex","Sáb","Dom"))</f>
        <v>0</v>
      </c>
      <c r="M1693" s="27">
        <f>IF($E1693="","",IF($G1693&lt;&gt;"",$G1693,IFERROR(INDEX(ProcValor,MATCH($E1693,ProcNome,0)),0)))</f>
        <v>0</v>
      </c>
      <c r="N1693" s="27">
        <f>IF($M1693="","",IF($F1693="Compareceu",$M1693,0))</f>
        <v>0</v>
      </c>
      <c r="O1693" s="27">
        <f>IF($M1693="","",IF($F1693="Faltou",$M1693,0))</f>
        <v>0</v>
      </c>
      <c r="P1693" s="27">
        <f>IF($M1693="","",IF($F1693="Compareceu",MAX(0,$M1693-N($H1693)),0))</f>
        <v>0</v>
      </c>
      <c r="Q1693" s="19">
        <f>IF(AND($F1693="Compareceu",$E1693&lt;&gt;"",$A1693&lt;&gt;""),IF(IFERROR(INDEX(ProcRet,MATCH($E1693,ProcNome,0)),0)&gt;0,$A1693+INDEX(ProcRet,MATCH($E1693,ProcNome,0)),""),"")</f>
        <v>0</v>
      </c>
      <c r="R1693" s="26">
        <f>IF($Q1693="","",IF(COUNTIFS(AgPac,$D1693,AgData,"&gt;"&amp;$A1693,AgStatus,"&lt;&gt;Cancelado",AgStatus,"&lt;&gt;Remarcado")&gt;0,"Sim","Não"))</f>
        <v>0</v>
      </c>
      <c r="S1693" s="28">
        <f>IF($A1693="","",IF(AND($F1693="Agendado",$A1693-Hoje&gt;=0,$A1693-Hoje&lt;=DiasConf),"CONFIRMAR",IF(AND($A1693&lt;Hoje,OR($F1693="Agendado",$F1693="Confirmado")),"Atualizar status",IF(AND($F1693="Compareceu",$P1693&gt;0.005),"Cobrar",IF($F1693="Faltou","Falta: reagendar","")))))</f>
        <v>0</v>
      </c>
      <c r="T1693" s="29">
        <f>IF($A1693="","",DATE(YEAR($A1693),MONTH($A1693),1))</f>
        <v>0</v>
      </c>
      <c r="U1693" s="30">
        <f>IF($S1693="CONFIRMAR",MAX($U$4:$U1692)+1,"")</f>
        <v>0</v>
      </c>
      <c r="V1693" s="30">
        <f>IF(AND($R1693="Não",$Q1693&lt;&gt;"",$Q1693&lt;=Hoje+JanelaRet,$Q1693&gt;=Hoje-60),MAX($V$4:$V1692)+1,"")</f>
        <v>0</v>
      </c>
    </row>
    <row r="1694" spans="1:22">
      <c r="A1694" s="16"/>
      <c r="B1694" s="23"/>
      <c r="C1694" s="15"/>
      <c r="D1694" s="15"/>
      <c r="E1694" s="15"/>
      <c r="F1694" s="24"/>
      <c r="G1694" s="17"/>
      <c r="H1694" s="17"/>
      <c r="I1694" s="15"/>
      <c r="J1694" s="25">
        <f>IF($D1694="","",IFERROR(INDEX(PacNome,MATCH($D1694,PacCod,0)),"Paciente não cadastrado"))</f>
        <v>0</v>
      </c>
      <c r="K1694" s="26">
        <f>IF($D1694="","",IFERROR(INDEX(PacConv,MATCH($D1694,PacCod,0))&amp;"",""))</f>
        <v>0</v>
      </c>
      <c r="L1694" s="26">
        <f>IF($A1694="","",CHOOSE(WEEKDAY($A1694,2),"Seg","Ter","Qua","Qui","Sex","Sáb","Dom"))</f>
        <v>0</v>
      </c>
      <c r="M1694" s="27">
        <f>IF($E1694="","",IF($G1694&lt;&gt;"",$G1694,IFERROR(INDEX(ProcValor,MATCH($E1694,ProcNome,0)),0)))</f>
        <v>0</v>
      </c>
      <c r="N1694" s="27">
        <f>IF($M1694="","",IF($F1694="Compareceu",$M1694,0))</f>
        <v>0</v>
      </c>
      <c r="O1694" s="27">
        <f>IF($M1694="","",IF($F1694="Faltou",$M1694,0))</f>
        <v>0</v>
      </c>
      <c r="P1694" s="27">
        <f>IF($M1694="","",IF($F1694="Compareceu",MAX(0,$M1694-N($H1694)),0))</f>
        <v>0</v>
      </c>
      <c r="Q1694" s="19">
        <f>IF(AND($F1694="Compareceu",$E1694&lt;&gt;"",$A1694&lt;&gt;""),IF(IFERROR(INDEX(ProcRet,MATCH($E1694,ProcNome,0)),0)&gt;0,$A1694+INDEX(ProcRet,MATCH($E1694,ProcNome,0)),""),"")</f>
        <v>0</v>
      </c>
      <c r="R1694" s="26">
        <f>IF($Q1694="","",IF(COUNTIFS(AgPac,$D1694,AgData,"&gt;"&amp;$A1694,AgStatus,"&lt;&gt;Cancelado",AgStatus,"&lt;&gt;Remarcado")&gt;0,"Sim","Não"))</f>
        <v>0</v>
      </c>
      <c r="S1694" s="28">
        <f>IF($A1694="","",IF(AND($F1694="Agendado",$A1694-Hoje&gt;=0,$A1694-Hoje&lt;=DiasConf),"CONFIRMAR",IF(AND($A1694&lt;Hoje,OR($F1694="Agendado",$F1694="Confirmado")),"Atualizar status",IF(AND($F1694="Compareceu",$P1694&gt;0.005),"Cobrar",IF($F1694="Faltou","Falta: reagendar","")))))</f>
        <v>0</v>
      </c>
      <c r="T1694" s="29">
        <f>IF($A1694="","",DATE(YEAR($A1694),MONTH($A1694),1))</f>
        <v>0</v>
      </c>
      <c r="U1694" s="30">
        <f>IF($S1694="CONFIRMAR",MAX($U$4:$U1693)+1,"")</f>
        <v>0</v>
      </c>
      <c r="V1694" s="30">
        <f>IF(AND($R1694="Não",$Q1694&lt;&gt;"",$Q1694&lt;=Hoje+JanelaRet,$Q1694&gt;=Hoje-60),MAX($V$4:$V1693)+1,"")</f>
        <v>0</v>
      </c>
    </row>
    <row r="1695" spans="1:22">
      <c r="A1695" s="16"/>
      <c r="B1695" s="23"/>
      <c r="C1695" s="15"/>
      <c r="D1695" s="15"/>
      <c r="E1695" s="15"/>
      <c r="F1695" s="24"/>
      <c r="G1695" s="17"/>
      <c r="H1695" s="17"/>
      <c r="I1695" s="15"/>
      <c r="J1695" s="25">
        <f>IF($D1695="","",IFERROR(INDEX(PacNome,MATCH($D1695,PacCod,0)),"Paciente não cadastrado"))</f>
        <v>0</v>
      </c>
      <c r="K1695" s="26">
        <f>IF($D1695="","",IFERROR(INDEX(PacConv,MATCH($D1695,PacCod,0))&amp;"",""))</f>
        <v>0</v>
      </c>
      <c r="L1695" s="26">
        <f>IF($A1695="","",CHOOSE(WEEKDAY($A1695,2),"Seg","Ter","Qua","Qui","Sex","Sáb","Dom"))</f>
        <v>0</v>
      </c>
      <c r="M1695" s="27">
        <f>IF($E1695="","",IF($G1695&lt;&gt;"",$G1695,IFERROR(INDEX(ProcValor,MATCH($E1695,ProcNome,0)),0)))</f>
        <v>0</v>
      </c>
      <c r="N1695" s="27">
        <f>IF($M1695="","",IF($F1695="Compareceu",$M1695,0))</f>
        <v>0</v>
      </c>
      <c r="O1695" s="27">
        <f>IF($M1695="","",IF($F1695="Faltou",$M1695,0))</f>
        <v>0</v>
      </c>
      <c r="P1695" s="27">
        <f>IF($M1695="","",IF($F1695="Compareceu",MAX(0,$M1695-N($H1695)),0))</f>
        <v>0</v>
      </c>
      <c r="Q1695" s="19">
        <f>IF(AND($F1695="Compareceu",$E1695&lt;&gt;"",$A1695&lt;&gt;""),IF(IFERROR(INDEX(ProcRet,MATCH($E1695,ProcNome,0)),0)&gt;0,$A1695+INDEX(ProcRet,MATCH($E1695,ProcNome,0)),""),"")</f>
        <v>0</v>
      </c>
      <c r="R1695" s="26">
        <f>IF($Q1695="","",IF(COUNTIFS(AgPac,$D1695,AgData,"&gt;"&amp;$A1695,AgStatus,"&lt;&gt;Cancelado",AgStatus,"&lt;&gt;Remarcado")&gt;0,"Sim","Não"))</f>
        <v>0</v>
      </c>
      <c r="S1695" s="28">
        <f>IF($A1695="","",IF(AND($F1695="Agendado",$A1695-Hoje&gt;=0,$A1695-Hoje&lt;=DiasConf),"CONFIRMAR",IF(AND($A1695&lt;Hoje,OR($F1695="Agendado",$F1695="Confirmado")),"Atualizar status",IF(AND($F1695="Compareceu",$P1695&gt;0.005),"Cobrar",IF($F1695="Faltou","Falta: reagendar","")))))</f>
        <v>0</v>
      </c>
      <c r="T1695" s="29">
        <f>IF($A1695="","",DATE(YEAR($A1695),MONTH($A1695),1))</f>
        <v>0</v>
      </c>
      <c r="U1695" s="30">
        <f>IF($S1695="CONFIRMAR",MAX($U$4:$U1694)+1,"")</f>
        <v>0</v>
      </c>
      <c r="V1695" s="30">
        <f>IF(AND($R1695="Não",$Q1695&lt;&gt;"",$Q1695&lt;=Hoje+JanelaRet,$Q1695&gt;=Hoje-60),MAX($V$4:$V1694)+1,"")</f>
        <v>0</v>
      </c>
    </row>
    <row r="1696" spans="1:22">
      <c r="A1696" s="16"/>
      <c r="B1696" s="23"/>
      <c r="C1696" s="15"/>
      <c r="D1696" s="15"/>
      <c r="E1696" s="15"/>
      <c r="F1696" s="24"/>
      <c r="G1696" s="17"/>
      <c r="H1696" s="17"/>
      <c r="I1696" s="15"/>
      <c r="J1696" s="25">
        <f>IF($D1696="","",IFERROR(INDEX(PacNome,MATCH($D1696,PacCod,0)),"Paciente não cadastrado"))</f>
        <v>0</v>
      </c>
      <c r="K1696" s="26">
        <f>IF($D1696="","",IFERROR(INDEX(PacConv,MATCH($D1696,PacCod,0))&amp;"",""))</f>
        <v>0</v>
      </c>
      <c r="L1696" s="26">
        <f>IF($A1696="","",CHOOSE(WEEKDAY($A1696,2),"Seg","Ter","Qua","Qui","Sex","Sáb","Dom"))</f>
        <v>0</v>
      </c>
      <c r="M1696" s="27">
        <f>IF($E1696="","",IF($G1696&lt;&gt;"",$G1696,IFERROR(INDEX(ProcValor,MATCH($E1696,ProcNome,0)),0)))</f>
        <v>0</v>
      </c>
      <c r="N1696" s="27">
        <f>IF($M1696="","",IF($F1696="Compareceu",$M1696,0))</f>
        <v>0</v>
      </c>
      <c r="O1696" s="27">
        <f>IF($M1696="","",IF($F1696="Faltou",$M1696,0))</f>
        <v>0</v>
      </c>
      <c r="P1696" s="27">
        <f>IF($M1696="","",IF($F1696="Compareceu",MAX(0,$M1696-N($H1696)),0))</f>
        <v>0</v>
      </c>
      <c r="Q1696" s="19">
        <f>IF(AND($F1696="Compareceu",$E1696&lt;&gt;"",$A1696&lt;&gt;""),IF(IFERROR(INDEX(ProcRet,MATCH($E1696,ProcNome,0)),0)&gt;0,$A1696+INDEX(ProcRet,MATCH($E1696,ProcNome,0)),""),"")</f>
        <v>0</v>
      </c>
      <c r="R1696" s="26">
        <f>IF($Q1696="","",IF(COUNTIFS(AgPac,$D1696,AgData,"&gt;"&amp;$A1696,AgStatus,"&lt;&gt;Cancelado",AgStatus,"&lt;&gt;Remarcado")&gt;0,"Sim","Não"))</f>
        <v>0</v>
      </c>
      <c r="S1696" s="28">
        <f>IF($A1696="","",IF(AND($F1696="Agendado",$A1696-Hoje&gt;=0,$A1696-Hoje&lt;=DiasConf),"CONFIRMAR",IF(AND($A1696&lt;Hoje,OR($F1696="Agendado",$F1696="Confirmado")),"Atualizar status",IF(AND($F1696="Compareceu",$P1696&gt;0.005),"Cobrar",IF($F1696="Faltou","Falta: reagendar","")))))</f>
        <v>0</v>
      </c>
      <c r="T1696" s="29">
        <f>IF($A1696="","",DATE(YEAR($A1696),MONTH($A1696),1))</f>
        <v>0</v>
      </c>
      <c r="U1696" s="30">
        <f>IF($S1696="CONFIRMAR",MAX($U$4:$U1695)+1,"")</f>
        <v>0</v>
      </c>
      <c r="V1696" s="30">
        <f>IF(AND($R1696="Não",$Q1696&lt;&gt;"",$Q1696&lt;=Hoje+JanelaRet,$Q1696&gt;=Hoje-60),MAX($V$4:$V1695)+1,"")</f>
        <v>0</v>
      </c>
    </row>
    <row r="1697" spans="1:22">
      <c r="A1697" s="16"/>
      <c r="B1697" s="23"/>
      <c r="C1697" s="15"/>
      <c r="D1697" s="15"/>
      <c r="E1697" s="15"/>
      <c r="F1697" s="24"/>
      <c r="G1697" s="17"/>
      <c r="H1697" s="17"/>
      <c r="I1697" s="15"/>
      <c r="J1697" s="25">
        <f>IF($D1697="","",IFERROR(INDEX(PacNome,MATCH($D1697,PacCod,0)),"Paciente não cadastrado"))</f>
        <v>0</v>
      </c>
      <c r="K1697" s="26">
        <f>IF($D1697="","",IFERROR(INDEX(PacConv,MATCH($D1697,PacCod,0))&amp;"",""))</f>
        <v>0</v>
      </c>
      <c r="L1697" s="26">
        <f>IF($A1697="","",CHOOSE(WEEKDAY($A1697,2),"Seg","Ter","Qua","Qui","Sex","Sáb","Dom"))</f>
        <v>0</v>
      </c>
      <c r="M1697" s="27">
        <f>IF($E1697="","",IF($G1697&lt;&gt;"",$G1697,IFERROR(INDEX(ProcValor,MATCH($E1697,ProcNome,0)),0)))</f>
        <v>0</v>
      </c>
      <c r="N1697" s="27">
        <f>IF($M1697="","",IF($F1697="Compareceu",$M1697,0))</f>
        <v>0</v>
      </c>
      <c r="O1697" s="27">
        <f>IF($M1697="","",IF($F1697="Faltou",$M1697,0))</f>
        <v>0</v>
      </c>
      <c r="P1697" s="27">
        <f>IF($M1697="","",IF($F1697="Compareceu",MAX(0,$M1697-N($H1697)),0))</f>
        <v>0</v>
      </c>
      <c r="Q1697" s="19">
        <f>IF(AND($F1697="Compareceu",$E1697&lt;&gt;"",$A1697&lt;&gt;""),IF(IFERROR(INDEX(ProcRet,MATCH($E1697,ProcNome,0)),0)&gt;0,$A1697+INDEX(ProcRet,MATCH($E1697,ProcNome,0)),""),"")</f>
        <v>0</v>
      </c>
      <c r="R1697" s="26">
        <f>IF($Q1697="","",IF(COUNTIFS(AgPac,$D1697,AgData,"&gt;"&amp;$A1697,AgStatus,"&lt;&gt;Cancelado",AgStatus,"&lt;&gt;Remarcado")&gt;0,"Sim","Não"))</f>
        <v>0</v>
      </c>
      <c r="S1697" s="28">
        <f>IF($A1697="","",IF(AND($F1697="Agendado",$A1697-Hoje&gt;=0,$A1697-Hoje&lt;=DiasConf),"CONFIRMAR",IF(AND($A1697&lt;Hoje,OR($F1697="Agendado",$F1697="Confirmado")),"Atualizar status",IF(AND($F1697="Compareceu",$P1697&gt;0.005),"Cobrar",IF($F1697="Faltou","Falta: reagendar","")))))</f>
        <v>0</v>
      </c>
      <c r="T1697" s="29">
        <f>IF($A1697="","",DATE(YEAR($A1697),MONTH($A1697),1))</f>
        <v>0</v>
      </c>
      <c r="U1697" s="30">
        <f>IF($S1697="CONFIRMAR",MAX($U$4:$U1696)+1,"")</f>
        <v>0</v>
      </c>
      <c r="V1697" s="30">
        <f>IF(AND($R1697="Não",$Q1697&lt;&gt;"",$Q1697&lt;=Hoje+JanelaRet,$Q1697&gt;=Hoje-60),MAX($V$4:$V1696)+1,"")</f>
        <v>0</v>
      </c>
    </row>
    <row r="1698" spans="1:22">
      <c r="A1698" s="16"/>
      <c r="B1698" s="23"/>
      <c r="C1698" s="15"/>
      <c r="D1698" s="15"/>
      <c r="E1698" s="15"/>
      <c r="F1698" s="24"/>
      <c r="G1698" s="17"/>
      <c r="H1698" s="17"/>
      <c r="I1698" s="15"/>
      <c r="J1698" s="25">
        <f>IF($D1698="","",IFERROR(INDEX(PacNome,MATCH($D1698,PacCod,0)),"Paciente não cadastrado"))</f>
        <v>0</v>
      </c>
      <c r="K1698" s="26">
        <f>IF($D1698="","",IFERROR(INDEX(PacConv,MATCH($D1698,PacCod,0))&amp;"",""))</f>
        <v>0</v>
      </c>
      <c r="L1698" s="26">
        <f>IF($A1698="","",CHOOSE(WEEKDAY($A1698,2),"Seg","Ter","Qua","Qui","Sex","Sáb","Dom"))</f>
        <v>0</v>
      </c>
      <c r="M1698" s="27">
        <f>IF($E1698="","",IF($G1698&lt;&gt;"",$G1698,IFERROR(INDEX(ProcValor,MATCH($E1698,ProcNome,0)),0)))</f>
        <v>0</v>
      </c>
      <c r="N1698" s="27">
        <f>IF($M1698="","",IF($F1698="Compareceu",$M1698,0))</f>
        <v>0</v>
      </c>
      <c r="O1698" s="27">
        <f>IF($M1698="","",IF($F1698="Faltou",$M1698,0))</f>
        <v>0</v>
      </c>
      <c r="P1698" s="27">
        <f>IF($M1698="","",IF($F1698="Compareceu",MAX(0,$M1698-N($H1698)),0))</f>
        <v>0</v>
      </c>
      <c r="Q1698" s="19">
        <f>IF(AND($F1698="Compareceu",$E1698&lt;&gt;"",$A1698&lt;&gt;""),IF(IFERROR(INDEX(ProcRet,MATCH($E1698,ProcNome,0)),0)&gt;0,$A1698+INDEX(ProcRet,MATCH($E1698,ProcNome,0)),""),"")</f>
        <v>0</v>
      </c>
      <c r="R1698" s="26">
        <f>IF($Q1698="","",IF(COUNTIFS(AgPac,$D1698,AgData,"&gt;"&amp;$A1698,AgStatus,"&lt;&gt;Cancelado",AgStatus,"&lt;&gt;Remarcado")&gt;0,"Sim","Não"))</f>
        <v>0</v>
      </c>
      <c r="S1698" s="28">
        <f>IF($A1698="","",IF(AND($F1698="Agendado",$A1698-Hoje&gt;=0,$A1698-Hoje&lt;=DiasConf),"CONFIRMAR",IF(AND($A1698&lt;Hoje,OR($F1698="Agendado",$F1698="Confirmado")),"Atualizar status",IF(AND($F1698="Compareceu",$P1698&gt;0.005),"Cobrar",IF($F1698="Faltou","Falta: reagendar","")))))</f>
        <v>0</v>
      </c>
      <c r="T1698" s="29">
        <f>IF($A1698="","",DATE(YEAR($A1698),MONTH($A1698),1))</f>
        <v>0</v>
      </c>
      <c r="U1698" s="30">
        <f>IF($S1698="CONFIRMAR",MAX($U$4:$U1697)+1,"")</f>
        <v>0</v>
      </c>
      <c r="V1698" s="30">
        <f>IF(AND($R1698="Não",$Q1698&lt;&gt;"",$Q1698&lt;=Hoje+JanelaRet,$Q1698&gt;=Hoje-60),MAX($V$4:$V1697)+1,"")</f>
        <v>0</v>
      </c>
    </row>
    <row r="1699" spans="1:22">
      <c r="A1699" s="16"/>
      <c r="B1699" s="23"/>
      <c r="C1699" s="15"/>
      <c r="D1699" s="15"/>
      <c r="E1699" s="15"/>
      <c r="F1699" s="24"/>
      <c r="G1699" s="17"/>
      <c r="H1699" s="17"/>
      <c r="I1699" s="15"/>
      <c r="J1699" s="25">
        <f>IF($D1699="","",IFERROR(INDEX(PacNome,MATCH($D1699,PacCod,0)),"Paciente não cadastrado"))</f>
        <v>0</v>
      </c>
      <c r="K1699" s="26">
        <f>IF($D1699="","",IFERROR(INDEX(PacConv,MATCH($D1699,PacCod,0))&amp;"",""))</f>
        <v>0</v>
      </c>
      <c r="L1699" s="26">
        <f>IF($A1699="","",CHOOSE(WEEKDAY($A1699,2),"Seg","Ter","Qua","Qui","Sex","Sáb","Dom"))</f>
        <v>0</v>
      </c>
      <c r="M1699" s="27">
        <f>IF($E1699="","",IF($G1699&lt;&gt;"",$G1699,IFERROR(INDEX(ProcValor,MATCH($E1699,ProcNome,0)),0)))</f>
        <v>0</v>
      </c>
      <c r="N1699" s="27">
        <f>IF($M1699="","",IF($F1699="Compareceu",$M1699,0))</f>
        <v>0</v>
      </c>
      <c r="O1699" s="27">
        <f>IF($M1699="","",IF($F1699="Faltou",$M1699,0))</f>
        <v>0</v>
      </c>
      <c r="P1699" s="27">
        <f>IF($M1699="","",IF($F1699="Compareceu",MAX(0,$M1699-N($H1699)),0))</f>
        <v>0</v>
      </c>
      <c r="Q1699" s="19">
        <f>IF(AND($F1699="Compareceu",$E1699&lt;&gt;"",$A1699&lt;&gt;""),IF(IFERROR(INDEX(ProcRet,MATCH($E1699,ProcNome,0)),0)&gt;0,$A1699+INDEX(ProcRet,MATCH($E1699,ProcNome,0)),""),"")</f>
        <v>0</v>
      </c>
      <c r="R1699" s="26">
        <f>IF($Q1699="","",IF(COUNTIFS(AgPac,$D1699,AgData,"&gt;"&amp;$A1699,AgStatus,"&lt;&gt;Cancelado",AgStatus,"&lt;&gt;Remarcado")&gt;0,"Sim","Não"))</f>
        <v>0</v>
      </c>
      <c r="S1699" s="28">
        <f>IF($A1699="","",IF(AND($F1699="Agendado",$A1699-Hoje&gt;=0,$A1699-Hoje&lt;=DiasConf),"CONFIRMAR",IF(AND($A1699&lt;Hoje,OR($F1699="Agendado",$F1699="Confirmado")),"Atualizar status",IF(AND($F1699="Compareceu",$P1699&gt;0.005),"Cobrar",IF($F1699="Faltou","Falta: reagendar","")))))</f>
        <v>0</v>
      </c>
      <c r="T1699" s="29">
        <f>IF($A1699="","",DATE(YEAR($A1699),MONTH($A1699),1))</f>
        <v>0</v>
      </c>
      <c r="U1699" s="30">
        <f>IF($S1699="CONFIRMAR",MAX($U$4:$U1698)+1,"")</f>
        <v>0</v>
      </c>
      <c r="V1699" s="30">
        <f>IF(AND($R1699="Não",$Q1699&lt;&gt;"",$Q1699&lt;=Hoje+JanelaRet,$Q1699&gt;=Hoje-60),MAX($V$4:$V1698)+1,"")</f>
        <v>0</v>
      </c>
    </row>
    <row r="1700" spans="1:22">
      <c r="A1700" s="16"/>
      <c r="B1700" s="23"/>
      <c r="C1700" s="15"/>
      <c r="D1700" s="15"/>
      <c r="E1700" s="15"/>
      <c r="F1700" s="24"/>
      <c r="G1700" s="17"/>
      <c r="H1700" s="17"/>
      <c r="I1700" s="15"/>
      <c r="J1700" s="25">
        <f>IF($D1700="","",IFERROR(INDEX(PacNome,MATCH($D1700,PacCod,0)),"Paciente não cadastrado"))</f>
        <v>0</v>
      </c>
      <c r="K1700" s="26">
        <f>IF($D1700="","",IFERROR(INDEX(PacConv,MATCH($D1700,PacCod,0))&amp;"",""))</f>
        <v>0</v>
      </c>
      <c r="L1700" s="26">
        <f>IF($A1700="","",CHOOSE(WEEKDAY($A1700,2),"Seg","Ter","Qua","Qui","Sex","Sáb","Dom"))</f>
        <v>0</v>
      </c>
      <c r="M1700" s="27">
        <f>IF($E1700="","",IF($G1700&lt;&gt;"",$G1700,IFERROR(INDEX(ProcValor,MATCH($E1700,ProcNome,0)),0)))</f>
        <v>0</v>
      </c>
      <c r="N1700" s="27">
        <f>IF($M1700="","",IF($F1700="Compareceu",$M1700,0))</f>
        <v>0</v>
      </c>
      <c r="O1700" s="27">
        <f>IF($M1700="","",IF($F1700="Faltou",$M1700,0))</f>
        <v>0</v>
      </c>
      <c r="P1700" s="27">
        <f>IF($M1700="","",IF($F1700="Compareceu",MAX(0,$M1700-N($H1700)),0))</f>
        <v>0</v>
      </c>
      <c r="Q1700" s="19">
        <f>IF(AND($F1700="Compareceu",$E1700&lt;&gt;"",$A1700&lt;&gt;""),IF(IFERROR(INDEX(ProcRet,MATCH($E1700,ProcNome,0)),0)&gt;0,$A1700+INDEX(ProcRet,MATCH($E1700,ProcNome,0)),""),"")</f>
        <v>0</v>
      </c>
      <c r="R1700" s="26">
        <f>IF($Q1700="","",IF(COUNTIFS(AgPac,$D1700,AgData,"&gt;"&amp;$A1700,AgStatus,"&lt;&gt;Cancelado",AgStatus,"&lt;&gt;Remarcado")&gt;0,"Sim","Não"))</f>
        <v>0</v>
      </c>
      <c r="S1700" s="28">
        <f>IF($A1700="","",IF(AND($F1700="Agendado",$A1700-Hoje&gt;=0,$A1700-Hoje&lt;=DiasConf),"CONFIRMAR",IF(AND($A1700&lt;Hoje,OR($F1700="Agendado",$F1700="Confirmado")),"Atualizar status",IF(AND($F1700="Compareceu",$P1700&gt;0.005),"Cobrar",IF($F1700="Faltou","Falta: reagendar","")))))</f>
        <v>0</v>
      </c>
      <c r="T1700" s="29">
        <f>IF($A1700="","",DATE(YEAR($A1700),MONTH($A1700),1))</f>
        <v>0</v>
      </c>
      <c r="U1700" s="30">
        <f>IF($S1700="CONFIRMAR",MAX($U$4:$U1699)+1,"")</f>
        <v>0</v>
      </c>
      <c r="V1700" s="30">
        <f>IF(AND($R1700="Não",$Q1700&lt;&gt;"",$Q1700&lt;=Hoje+JanelaRet,$Q1700&gt;=Hoje-60),MAX($V$4:$V1699)+1,"")</f>
        <v>0</v>
      </c>
    </row>
    <row r="1701" spans="1:22">
      <c r="A1701" s="16"/>
      <c r="B1701" s="23"/>
      <c r="C1701" s="15"/>
      <c r="D1701" s="15"/>
      <c r="E1701" s="15"/>
      <c r="F1701" s="24"/>
      <c r="G1701" s="17"/>
      <c r="H1701" s="17"/>
      <c r="I1701" s="15"/>
      <c r="J1701" s="25">
        <f>IF($D1701="","",IFERROR(INDEX(PacNome,MATCH($D1701,PacCod,0)),"Paciente não cadastrado"))</f>
        <v>0</v>
      </c>
      <c r="K1701" s="26">
        <f>IF($D1701="","",IFERROR(INDEX(PacConv,MATCH($D1701,PacCod,0))&amp;"",""))</f>
        <v>0</v>
      </c>
      <c r="L1701" s="26">
        <f>IF($A1701="","",CHOOSE(WEEKDAY($A1701,2),"Seg","Ter","Qua","Qui","Sex","Sáb","Dom"))</f>
        <v>0</v>
      </c>
      <c r="M1701" s="27">
        <f>IF($E1701="","",IF($G1701&lt;&gt;"",$G1701,IFERROR(INDEX(ProcValor,MATCH($E1701,ProcNome,0)),0)))</f>
        <v>0</v>
      </c>
      <c r="N1701" s="27">
        <f>IF($M1701="","",IF($F1701="Compareceu",$M1701,0))</f>
        <v>0</v>
      </c>
      <c r="O1701" s="27">
        <f>IF($M1701="","",IF($F1701="Faltou",$M1701,0))</f>
        <v>0</v>
      </c>
      <c r="P1701" s="27">
        <f>IF($M1701="","",IF($F1701="Compareceu",MAX(0,$M1701-N($H1701)),0))</f>
        <v>0</v>
      </c>
      <c r="Q1701" s="19">
        <f>IF(AND($F1701="Compareceu",$E1701&lt;&gt;"",$A1701&lt;&gt;""),IF(IFERROR(INDEX(ProcRet,MATCH($E1701,ProcNome,0)),0)&gt;0,$A1701+INDEX(ProcRet,MATCH($E1701,ProcNome,0)),""),"")</f>
        <v>0</v>
      </c>
      <c r="R1701" s="26">
        <f>IF($Q1701="","",IF(COUNTIFS(AgPac,$D1701,AgData,"&gt;"&amp;$A1701,AgStatus,"&lt;&gt;Cancelado",AgStatus,"&lt;&gt;Remarcado")&gt;0,"Sim","Não"))</f>
        <v>0</v>
      </c>
      <c r="S1701" s="28">
        <f>IF($A1701="","",IF(AND($F1701="Agendado",$A1701-Hoje&gt;=0,$A1701-Hoje&lt;=DiasConf),"CONFIRMAR",IF(AND($A1701&lt;Hoje,OR($F1701="Agendado",$F1701="Confirmado")),"Atualizar status",IF(AND($F1701="Compareceu",$P1701&gt;0.005),"Cobrar",IF($F1701="Faltou","Falta: reagendar","")))))</f>
        <v>0</v>
      </c>
      <c r="T1701" s="29">
        <f>IF($A1701="","",DATE(YEAR($A1701),MONTH($A1701),1))</f>
        <v>0</v>
      </c>
      <c r="U1701" s="30">
        <f>IF($S1701="CONFIRMAR",MAX($U$4:$U1700)+1,"")</f>
        <v>0</v>
      </c>
      <c r="V1701" s="30">
        <f>IF(AND($R1701="Não",$Q1701&lt;&gt;"",$Q1701&lt;=Hoje+JanelaRet,$Q1701&gt;=Hoje-60),MAX($V$4:$V1700)+1,"")</f>
        <v>0</v>
      </c>
    </row>
    <row r="1702" spans="1:22">
      <c r="A1702" s="16"/>
      <c r="B1702" s="23"/>
      <c r="C1702" s="15"/>
      <c r="D1702" s="15"/>
      <c r="E1702" s="15"/>
      <c r="F1702" s="24"/>
      <c r="G1702" s="17"/>
      <c r="H1702" s="17"/>
      <c r="I1702" s="15"/>
      <c r="J1702" s="25">
        <f>IF($D1702="","",IFERROR(INDEX(PacNome,MATCH($D1702,PacCod,0)),"Paciente não cadastrado"))</f>
        <v>0</v>
      </c>
      <c r="K1702" s="26">
        <f>IF($D1702="","",IFERROR(INDEX(PacConv,MATCH($D1702,PacCod,0))&amp;"",""))</f>
        <v>0</v>
      </c>
      <c r="L1702" s="26">
        <f>IF($A1702="","",CHOOSE(WEEKDAY($A1702,2),"Seg","Ter","Qua","Qui","Sex","Sáb","Dom"))</f>
        <v>0</v>
      </c>
      <c r="M1702" s="27">
        <f>IF($E1702="","",IF($G1702&lt;&gt;"",$G1702,IFERROR(INDEX(ProcValor,MATCH($E1702,ProcNome,0)),0)))</f>
        <v>0</v>
      </c>
      <c r="N1702" s="27">
        <f>IF($M1702="","",IF($F1702="Compareceu",$M1702,0))</f>
        <v>0</v>
      </c>
      <c r="O1702" s="27">
        <f>IF($M1702="","",IF($F1702="Faltou",$M1702,0))</f>
        <v>0</v>
      </c>
      <c r="P1702" s="27">
        <f>IF($M1702="","",IF($F1702="Compareceu",MAX(0,$M1702-N($H1702)),0))</f>
        <v>0</v>
      </c>
      <c r="Q1702" s="19">
        <f>IF(AND($F1702="Compareceu",$E1702&lt;&gt;"",$A1702&lt;&gt;""),IF(IFERROR(INDEX(ProcRet,MATCH($E1702,ProcNome,0)),0)&gt;0,$A1702+INDEX(ProcRet,MATCH($E1702,ProcNome,0)),""),"")</f>
        <v>0</v>
      </c>
      <c r="R1702" s="26">
        <f>IF($Q1702="","",IF(COUNTIFS(AgPac,$D1702,AgData,"&gt;"&amp;$A1702,AgStatus,"&lt;&gt;Cancelado",AgStatus,"&lt;&gt;Remarcado")&gt;0,"Sim","Não"))</f>
        <v>0</v>
      </c>
      <c r="S1702" s="28">
        <f>IF($A1702="","",IF(AND($F1702="Agendado",$A1702-Hoje&gt;=0,$A1702-Hoje&lt;=DiasConf),"CONFIRMAR",IF(AND($A1702&lt;Hoje,OR($F1702="Agendado",$F1702="Confirmado")),"Atualizar status",IF(AND($F1702="Compareceu",$P1702&gt;0.005),"Cobrar",IF($F1702="Faltou","Falta: reagendar","")))))</f>
        <v>0</v>
      </c>
      <c r="T1702" s="29">
        <f>IF($A1702="","",DATE(YEAR($A1702),MONTH($A1702),1))</f>
        <v>0</v>
      </c>
      <c r="U1702" s="30">
        <f>IF($S1702="CONFIRMAR",MAX($U$4:$U1701)+1,"")</f>
        <v>0</v>
      </c>
      <c r="V1702" s="30">
        <f>IF(AND($R1702="Não",$Q1702&lt;&gt;"",$Q1702&lt;=Hoje+JanelaRet,$Q1702&gt;=Hoje-60),MAX($V$4:$V1701)+1,"")</f>
        <v>0</v>
      </c>
    </row>
    <row r="1703" spans="1:22">
      <c r="A1703" s="16"/>
      <c r="B1703" s="23"/>
      <c r="C1703" s="15"/>
      <c r="D1703" s="15"/>
      <c r="E1703" s="15"/>
      <c r="F1703" s="24"/>
      <c r="G1703" s="17"/>
      <c r="H1703" s="17"/>
      <c r="I1703" s="15"/>
      <c r="J1703" s="25">
        <f>IF($D1703="","",IFERROR(INDEX(PacNome,MATCH($D1703,PacCod,0)),"Paciente não cadastrado"))</f>
        <v>0</v>
      </c>
      <c r="K1703" s="26">
        <f>IF($D1703="","",IFERROR(INDEX(PacConv,MATCH($D1703,PacCod,0))&amp;"",""))</f>
        <v>0</v>
      </c>
      <c r="L1703" s="26">
        <f>IF($A1703="","",CHOOSE(WEEKDAY($A1703,2),"Seg","Ter","Qua","Qui","Sex","Sáb","Dom"))</f>
        <v>0</v>
      </c>
      <c r="M1703" s="27">
        <f>IF($E1703="","",IF($G1703&lt;&gt;"",$G1703,IFERROR(INDEX(ProcValor,MATCH($E1703,ProcNome,0)),0)))</f>
        <v>0</v>
      </c>
      <c r="N1703" s="27">
        <f>IF($M1703="","",IF($F1703="Compareceu",$M1703,0))</f>
        <v>0</v>
      </c>
      <c r="O1703" s="27">
        <f>IF($M1703="","",IF($F1703="Faltou",$M1703,0))</f>
        <v>0</v>
      </c>
      <c r="P1703" s="27">
        <f>IF($M1703="","",IF($F1703="Compareceu",MAX(0,$M1703-N($H1703)),0))</f>
        <v>0</v>
      </c>
      <c r="Q1703" s="19">
        <f>IF(AND($F1703="Compareceu",$E1703&lt;&gt;"",$A1703&lt;&gt;""),IF(IFERROR(INDEX(ProcRet,MATCH($E1703,ProcNome,0)),0)&gt;0,$A1703+INDEX(ProcRet,MATCH($E1703,ProcNome,0)),""),"")</f>
        <v>0</v>
      </c>
      <c r="R1703" s="26">
        <f>IF($Q1703="","",IF(COUNTIFS(AgPac,$D1703,AgData,"&gt;"&amp;$A1703,AgStatus,"&lt;&gt;Cancelado",AgStatus,"&lt;&gt;Remarcado")&gt;0,"Sim","Não"))</f>
        <v>0</v>
      </c>
      <c r="S1703" s="28">
        <f>IF($A1703="","",IF(AND($F1703="Agendado",$A1703-Hoje&gt;=0,$A1703-Hoje&lt;=DiasConf),"CONFIRMAR",IF(AND($A1703&lt;Hoje,OR($F1703="Agendado",$F1703="Confirmado")),"Atualizar status",IF(AND($F1703="Compareceu",$P1703&gt;0.005),"Cobrar",IF($F1703="Faltou","Falta: reagendar","")))))</f>
        <v>0</v>
      </c>
      <c r="T1703" s="29">
        <f>IF($A1703="","",DATE(YEAR($A1703),MONTH($A1703),1))</f>
        <v>0</v>
      </c>
      <c r="U1703" s="30">
        <f>IF($S1703="CONFIRMAR",MAX($U$4:$U1702)+1,"")</f>
        <v>0</v>
      </c>
      <c r="V1703" s="30">
        <f>IF(AND($R1703="Não",$Q1703&lt;&gt;"",$Q1703&lt;=Hoje+JanelaRet,$Q1703&gt;=Hoje-60),MAX($V$4:$V1702)+1,"")</f>
        <v>0</v>
      </c>
    </row>
    <row r="1704" spans="1:22">
      <c r="A1704" s="16"/>
      <c r="B1704" s="23"/>
      <c r="C1704" s="15"/>
      <c r="D1704" s="15"/>
      <c r="E1704" s="15"/>
      <c r="F1704" s="24"/>
      <c r="G1704" s="17"/>
      <c r="H1704" s="17"/>
      <c r="I1704" s="15"/>
      <c r="J1704" s="25">
        <f>IF($D1704="","",IFERROR(INDEX(PacNome,MATCH($D1704,PacCod,0)),"Paciente não cadastrado"))</f>
        <v>0</v>
      </c>
      <c r="K1704" s="26">
        <f>IF($D1704="","",IFERROR(INDEX(PacConv,MATCH($D1704,PacCod,0))&amp;"",""))</f>
        <v>0</v>
      </c>
      <c r="L1704" s="26">
        <f>IF($A1704="","",CHOOSE(WEEKDAY($A1704,2),"Seg","Ter","Qua","Qui","Sex","Sáb","Dom"))</f>
        <v>0</v>
      </c>
      <c r="M1704" s="27">
        <f>IF($E1704="","",IF($G1704&lt;&gt;"",$G1704,IFERROR(INDEX(ProcValor,MATCH($E1704,ProcNome,0)),0)))</f>
        <v>0</v>
      </c>
      <c r="N1704" s="27">
        <f>IF($M1704="","",IF($F1704="Compareceu",$M1704,0))</f>
        <v>0</v>
      </c>
      <c r="O1704" s="27">
        <f>IF($M1704="","",IF($F1704="Faltou",$M1704,0))</f>
        <v>0</v>
      </c>
      <c r="P1704" s="27">
        <f>IF($M1704="","",IF($F1704="Compareceu",MAX(0,$M1704-N($H1704)),0))</f>
        <v>0</v>
      </c>
      <c r="Q1704" s="19">
        <f>IF(AND($F1704="Compareceu",$E1704&lt;&gt;"",$A1704&lt;&gt;""),IF(IFERROR(INDEX(ProcRet,MATCH($E1704,ProcNome,0)),0)&gt;0,$A1704+INDEX(ProcRet,MATCH($E1704,ProcNome,0)),""),"")</f>
        <v>0</v>
      </c>
      <c r="R1704" s="26">
        <f>IF($Q1704="","",IF(COUNTIFS(AgPac,$D1704,AgData,"&gt;"&amp;$A1704,AgStatus,"&lt;&gt;Cancelado",AgStatus,"&lt;&gt;Remarcado")&gt;0,"Sim","Não"))</f>
        <v>0</v>
      </c>
      <c r="S1704" s="28">
        <f>IF($A1704="","",IF(AND($F1704="Agendado",$A1704-Hoje&gt;=0,$A1704-Hoje&lt;=DiasConf),"CONFIRMAR",IF(AND($A1704&lt;Hoje,OR($F1704="Agendado",$F1704="Confirmado")),"Atualizar status",IF(AND($F1704="Compareceu",$P1704&gt;0.005),"Cobrar",IF($F1704="Faltou","Falta: reagendar","")))))</f>
        <v>0</v>
      </c>
      <c r="T1704" s="29">
        <f>IF($A1704="","",DATE(YEAR($A1704),MONTH($A1704),1))</f>
        <v>0</v>
      </c>
      <c r="U1704" s="30">
        <f>IF($S1704="CONFIRMAR",MAX($U$4:$U1703)+1,"")</f>
        <v>0</v>
      </c>
      <c r="V1704" s="30">
        <f>IF(AND($R1704="Não",$Q1704&lt;&gt;"",$Q1704&lt;=Hoje+JanelaRet,$Q1704&gt;=Hoje-60),MAX($V$4:$V1703)+1,"")</f>
        <v>0</v>
      </c>
    </row>
    <row r="1705" spans="1:22">
      <c r="A1705" s="16"/>
      <c r="B1705" s="23"/>
      <c r="C1705" s="15"/>
      <c r="D1705" s="15"/>
      <c r="E1705" s="15"/>
      <c r="F1705" s="24"/>
      <c r="G1705" s="17"/>
      <c r="H1705" s="17"/>
      <c r="I1705" s="15"/>
      <c r="J1705" s="25">
        <f>IF($D1705="","",IFERROR(INDEX(PacNome,MATCH($D1705,PacCod,0)),"Paciente não cadastrado"))</f>
        <v>0</v>
      </c>
      <c r="K1705" s="26">
        <f>IF($D1705="","",IFERROR(INDEX(PacConv,MATCH($D1705,PacCod,0))&amp;"",""))</f>
        <v>0</v>
      </c>
      <c r="L1705" s="26">
        <f>IF($A1705="","",CHOOSE(WEEKDAY($A1705,2),"Seg","Ter","Qua","Qui","Sex","Sáb","Dom"))</f>
        <v>0</v>
      </c>
      <c r="M1705" s="27">
        <f>IF($E1705="","",IF($G1705&lt;&gt;"",$G1705,IFERROR(INDEX(ProcValor,MATCH($E1705,ProcNome,0)),0)))</f>
        <v>0</v>
      </c>
      <c r="N1705" s="27">
        <f>IF($M1705="","",IF($F1705="Compareceu",$M1705,0))</f>
        <v>0</v>
      </c>
      <c r="O1705" s="27">
        <f>IF($M1705="","",IF($F1705="Faltou",$M1705,0))</f>
        <v>0</v>
      </c>
      <c r="P1705" s="27">
        <f>IF($M1705="","",IF($F1705="Compareceu",MAX(0,$M1705-N($H1705)),0))</f>
        <v>0</v>
      </c>
      <c r="Q1705" s="19">
        <f>IF(AND($F1705="Compareceu",$E1705&lt;&gt;"",$A1705&lt;&gt;""),IF(IFERROR(INDEX(ProcRet,MATCH($E1705,ProcNome,0)),0)&gt;0,$A1705+INDEX(ProcRet,MATCH($E1705,ProcNome,0)),""),"")</f>
        <v>0</v>
      </c>
      <c r="R1705" s="26">
        <f>IF($Q1705="","",IF(COUNTIFS(AgPac,$D1705,AgData,"&gt;"&amp;$A1705,AgStatus,"&lt;&gt;Cancelado",AgStatus,"&lt;&gt;Remarcado")&gt;0,"Sim","Não"))</f>
        <v>0</v>
      </c>
      <c r="S1705" s="28">
        <f>IF($A1705="","",IF(AND($F1705="Agendado",$A1705-Hoje&gt;=0,$A1705-Hoje&lt;=DiasConf),"CONFIRMAR",IF(AND($A1705&lt;Hoje,OR($F1705="Agendado",$F1705="Confirmado")),"Atualizar status",IF(AND($F1705="Compareceu",$P1705&gt;0.005),"Cobrar",IF($F1705="Faltou","Falta: reagendar","")))))</f>
        <v>0</v>
      </c>
      <c r="T1705" s="29">
        <f>IF($A1705="","",DATE(YEAR($A1705),MONTH($A1705),1))</f>
        <v>0</v>
      </c>
      <c r="U1705" s="30">
        <f>IF($S1705="CONFIRMAR",MAX($U$4:$U1704)+1,"")</f>
        <v>0</v>
      </c>
      <c r="V1705" s="30">
        <f>IF(AND($R1705="Não",$Q1705&lt;&gt;"",$Q1705&lt;=Hoje+JanelaRet,$Q1705&gt;=Hoje-60),MAX($V$4:$V1704)+1,"")</f>
        <v>0</v>
      </c>
    </row>
    <row r="1706" spans="1:22">
      <c r="A1706" s="16"/>
      <c r="B1706" s="23"/>
      <c r="C1706" s="15"/>
      <c r="D1706" s="15"/>
      <c r="E1706" s="15"/>
      <c r="F1706" s="24"/>
      <c r="G1706" s="17"/>
      <c r="H1706" s="17"/>
      <c r="I1706" s="15"/>
      <c r="J1706" s="25">
        <f>IF($D1706="","",IFERROR(INDEX(PacNome,MATCH($D1706,PacCod,0)),"Paciente não cadastrado"))</f>
        <v>0</v>
      </c>
      <c r="K1706" s="26">
        <f>IF($D1706="","",IFERROR(INDEX(PacConv,MATCH($D1706,PacCod,0))&amp;"",""))</f>
        <v>0</v>
      </c>
      <c r="L1706" s="26">
        <f>IF($A1706="","",CHOOSE(WEEKDAY($A1706,2),"Seg","Ter","Qua","Qui","Sex","Sáb","Dom"))</f>
        <v>0</v>
      </c>
      <c r="M1706" s="27">
        <f>IF($E1706="","",IF($G1706&lt;&gt;"",$G1706,IFERROR(INDEX(ProcValor,MATCH($E1706,ProcNome,0)),0)))</f>
        <v>0</v>
      </c>
      <c r="N1706" s="27">
        <f>IF($M1706="","",IF($F1706="Compareceu",$M1706,0))</f>
        <v>0</v>
      </c>
      <c r="O1706" s="27">
        <f>IF($M1706="","",IF($F1706="Faltou",$M1706,0))</f>
        <v>0</v>
      </c>
      <c r="P1706" s="27">
        <f>IF($M1706="","",IF($F1706="Compareceu",MAX(0,$M1706-N($H1706)),0))</f>
        <v>0</v>
      </c>
      <c r="Q1706" s="19">
        <f>IF(AND($F1706="Compareceu",$E1706&lt;&gt;"",$A1706&lt;&gt;""),IF(IFERROR(INDEX(ProcRet,MATCH($E1706,ProcNome,0)),0)&gt;0,$A1706+INDEX(ProcRet,MATCH($E1706,ProcNome,0)),""),"")</f>
        <v>0</v>
      </c>
      <c r="R1706" s="26">
        <f>IF($Q1706="","",IF(COUNTIFS(AgPac,$D1706,AgData,"&gt;"&amp;$A1706,AgStatus,"&lt;&gt;Cancelado",AgStatus,"&lt;&gt;Remarcado")&gt;0,"Sim","Não"))</f>
        <v>0</v>
      </c>
      <c r="S1706" s="28">
        <f>IF($A1706="","",IF(AND($F1706="Agendado",$A1706-Hoje&gt;=0,$A1706-Hoje&lt;=DiasConf),"CONFIRMAR",IF(AND($A1706&lt;Hoje,OR($F1706="Agendado",$F1706="Confirmado")),"Atualizar status",IF(AND($F1706="Compareceu",$P1706&gt;0.005),"Cobrar",IF($F1706="Faltou","Falta: reagendar","")))))</f>
        <v>0</v>
      </c>
      <c r="T1706" s="29">
        <f>IF($A1706="","",DATE(YEAR($A1706),MONTH($A1706),1))</f>
        <v>0</v>
      </c>
      <c r="U1706" s="30">
        <f>IF($S1706="CONFIRMAR",MAX($U$4:$U1705)+1,"")</f>
        <v>0</v>
      </c>
      <c r="V1706" s="30">
        <f>IF(AND($R1706="Não",$Q1706&lt;&gt;"",$Q1706&lt;=Hoje+JanelaRet,$Q1706&gt;=Hoje-60),MAX($V$4:$V1705)+1,"")</f>
        <v>0</v>
      </c>
    </row>
    <row r="1707" spans="1:22">
      <c r="A1707" s="16"/>
      <c r="B1707" s="23"/>
      <c r="C1707" s="15"/>
      <c r="D1707" s="15"/>
      <c r="E1707" s="15"/>
      <c r="F1707" s="24"/>
      <c r="G1707" s="17"/>
      <c r="H1707" s="17"/>
      <c r="I1707" s="15"/>
      <c r="J1707" s="25">
        <f>IF($D1707="","",IFERROR(INDEX(PacNome,MATCH($D1707,PacCod,0)),"Paciente não cadastrado"))</f>
        <v>0</v>
      </c>
      <c r="K1707" s="26">
        <f>IF($D1707="","",IFERROR(INDEX(PacConv,MATCH($D1707,PacCod,0))&amp;"",""))</f>
        <v>0</v>
      </c>
      <c r="L1707" s="26">
        <f>IF($A1707="","",CHOOSE(WEEKDAY($A1707,2),"Seg","Ter","Qua","Qui","Sex","Sáb","Dom"))</f>
        <v>0</v>
      </c>
      <c r="M1707" s="27">
        <f>IF($E1707="","",IF($G1707&lt;&gt;"",$G1707,IFERROR(INDEX(ProcValor,MATCH($E1707,ProcNome,0)),0)))</f>
        <v>0</v>
      </c>
      <c r="N1707" s="27">
        <f>IF($M1707="","",IF($F1707="Compareceu",$M1707,0))</f>
        <v>0</v>
      </c>
      <c r="O1707" s="27">
        <f>IF($M1707="","",IF($F1707="Faltou",$M1707,0))</f>
        <v>0</v>
      </c>
      <c r="P1707" s="27">
        <f>IF($M1707="","",IF($F1707="Compareceu",MAX(0,$M1707-N($H1707)),0))</f>
        <v>0</v>
      </c>
      <c r="Q1707" s="19">
        <f>IF(AND($F1707="Compareceu",$E1707&lt;&gt;"",$A1707&lt;&gt;""),IF(IFERROR(INDEX(ProcRet,MATCH($E1707,ProcNome,0)),0)&gt;0,$A1707+INDEX(ProcRet,MATCH($E1707,ProcNome,0)),""),"")</f>
        <v>0</v>
      </c>
      <c r="R1707" s="26">
        <f>IF($Q1707="","",IF(COUNTIFS(AgPac,$D1707,AgData,"&gt;"&amp;$A1707,AgStatus,"&lt;&gt;Cancelado",AgStatus,"&lt;&gt;Remarcado")&gt;0,"Sim","Não"))</f>
        <v>0</v>
      </c>
      <c r="S1707" s="28">
        <f>IF($A1707="","",IF(AND($F1707="Agendado",$A1707-Hoje&gt;=0,$A1707-Hoje&lt;=DiasConf),"CONFIRMAR",IF(AND($A1707&lt;Hoje,OR($F1707="Agendado",$F1707="Confirmado")),"Atualizar status",IF(AND($F1707="Compareceu",$P1707&gt;0.005),"Cobrar",IF($F1707="Faltou","Falta: reagendar","")))))</f>
        <v>0</v>
      </c>
      <c r="T1707" s="29">
        <f>IF($A1707="","",DATE(YEAR($A1707),MONTH($A1707),1))</f>
        <v>0</v>
      </c>
      <c r="U1707" s="30">
        <f>IF($S1707="CONFIRMAR",MAX($U$4:$U1706)+1,"")</f>
        <v>0</v>
      </c>
      <c r="V1707" s="30">
        <f>IF(AND($R1707="Não",$Q1707&lt;&gt;"",$Q1707&lt;=Hoje+JanelaRet,$Q1707&gt;=Hoje-60),MAX($V$4:$V1706)+1,"")</f>
        <v>0</v>
      </c>
    </row>
    <row r="1708" spans="1:22">
      <c r="A1708" s="16"/>
      <c r="B1708" s="23"/>
      <c r="C1708" s="15"/>
      <c r="D1708" s="15"/>
      <c r="E1708" s="15"/>
      <c r="F1708" s="24"/>
      <c r="G1708" s="17"/>
      <c r="H1708" s="17"/>
      <c r="I1708" s="15"/>
      <c r="J1708" s="25">
        <f>IF($D1708="","",IFERROR(INDEX(PacNome,MATCH($D1708,PacCod,0)),"Paciente não cadastrado"))</f>
        <v>0</v>
      </c>
      <c r="K1708" s="26">
        <f>IF($D1708="","",IFERROR(INDEX(PacConv,MATCH($D1708,PacCod,0))&amp;"",""))</f>
        <v>0</v>
      </c>
      <c r="L1708" s="26">
        <f>IF($A1708="","",CHOOSE(WEEKDAY($A1708,2),"Seg","Ter","Qua","Qui","Sex","Sáb","Dom"))</f>
        <v>0</v>
      </c>
      <c r="M1708" s="27">
        <f>IF($E1708="","",IF($G1708&lt;&gt;"",$G1708,IFERROR(INDEX(ProcValor,MATCH($E1708,ProcNome,0)),0)))</f>
        <v>0</v>
      </c>
      <c r="N1708" s="27">
        <f>IF($M1708="","",IF($F1708="Compareceu",$M1708,0))</f>
        <v>0</v>
      </c>
      <c r="O1708" s="27">
        <f>IF($M1708="","",IF($F1708="Faltou",$M1708,0))</f>
        <v>0</v>
      </c>
      <c r="P1708" s="27">
        <f>IF($M1708="","",IF($F1708="Compareceu",MAX(0,$M1708-N($H1708)),0))</f>
        <v>0</v>
      </c>
      <c r="Q1708" s="19">
        <f>IF(AND($F1708="Compareceu",$E1708&lt;&gt;"",$A1708&lt;&gt;""),IF(IFERROR(INDEX(ProcRet,MATCH($E1708,ProcNome,0)),0)&gt;0,$A1708+INDEX(ProcRet,MATCH($E1708,ProcNome,0)),""),"")</f>
        <v>0</v>
      </c>
      <c r="R1708" s="26">
        <f>IF($Q1708="","",IF(COUNTIFS(AgPac,$D1708,AgData,"&gt;"&amp;$A1708,AgStatus,"&lt;&gt;Cancelado",AgStatus,"&lt;&gt;Remarcado")&gt;0,"Sim","Não"))</f>
        <v>0</v>
      </c>
      <c r="S1708" s="28">
        <f>IF($A1708="","",IF(AND($F1708="Agendado",$A1708-Hoje&gt;=0,$A1708-Hoje&lt;=DiasConf),"CONFIRMAR",IF(AND($A1708&lt;Hoje,OR($F1708="Agendado",$F1708="Confirmado")),"Atualizar status",IF(AND($F1708="Compareceu",$P1708&gt;0.005),"Cobrar",IF($F1708="Faltou","Falta: reagendar","")))))</f>
        <v>0</v>
      </c>
      <c r="T1708" s="29">
        <f>IF($A1708="","",DATE(YEAR($A1708),MONTH($A1708),1))</f>
        <v>0</v>
      </c>
      <c r="U1708" s="30">
        <f>IF($S1708="CONFIRMAR",MAX($U$4:$U1707)+1,"")</f>
        <v>0</v>
      </c>
      <c r="V1708" s="30">
        <f>IF(AND($R1708="Não",$Q1708&lt;&gt;"",$Q1708&lt;=Hoje+JanelaRet,$Q1708&gt;=Hoje-60),MAX($V$4:$V1707)+1,"")</f>
        <v>0</v>
      </c>
    </row>
    <row r="1709" spans="1:22">
      <c r="A1709" s="16"/>
      <c r="B1709" s="23"/>
      <c r="C1709" s="15"/>
      <c r="D1709" s="15"/>
      <c r="E1709" s="15"/>
      <c r="F1709" s="24"/>
      <c r="G1709" s="17"/>
      <c r="H1709" s="17"/>
      <c r="I1709" s="15"/>
      <c r="J1709" s="25">
        <f>IF($D1709="","",IFERROR(INDEX(PacNome,MATCH($D1709,PacCod,0)),"Paciente não cadastrado"))</f>
        <v>0</v>
      </c>
      <c r="K1709" s="26">
        <f>IF($D1709="","",IFERROR(INDEX(PacConv,MATCH($D1709,PacCod,0))&amp;"",""))</f>
        <v>0</v>
      </c>
      <c r="L1709" s="26">
        <f>IF($A1709="","",CHOOSE(WEEKDAY($A1709,2),"Seg","Ter","Qua","Qui","Sex","Sáb","Dom"))</f>
        <v>0</v>
      </c>
      <c r="M1709" s="27">
        <f>IF($E1709="","",IF($G1709&lt;&gt;"",$G1709,IFERROR(INDEX(ProcValor,MATCH($E1709,ProcNome,0)),0)))</f>
        <v>0</v>
      </c>
      <c r="N1709" s="27">
        <f>IF($M1709="","",IF($F1709="Compareceu",$M1709,0))</f>
        <v>0</v>
      </c>
      <c r="O1709" s="27">
        <f>IF($M1709="","",IF($F1709="Faltou",$M1709,0))</f>
        <v>0</v>
      </c>
      <c r="P1709" s="27">
        <f>IF($M1709="","",IF($F1709="Compareceu",MAX(0,$M1709-N($H1709)),0))</f>
        <v>0</v>
      </c>
      <c r="Q1709" s="19">
        <f>IF(AND($F1709="Compareceu",$E1709&lt;&gt;"",$A1709&lt;&gt;""),IF(IFERROR(INDEX(ProcRet,MATCH($E1709,ProcNome,0)),0)&gt;0,$A1709+INDEX(ProcRet,MATCH($E1709,ProcNome,0)),""),"")</f>
        <v>0</v>
      </c>
      <c r="R1709" s="26">
        <f>IF($Q1709="","",IF(COUNTIFS(AgPac,$D1709,AgData,"&gt;"&amp;$A1709,AgStatus,"&lt;&gt;Cancelado",AgStatus,"&lt;&gt;Remarcado")&gt;0,"Sim","Não"))</f>
        <v>0</v>
      </c>
      <c r="S1709" s="28">
        <f>IF($A1709="","",IF(AND($F1709="Agendado",$A1709-Hoje&gt;=0,$A1709-Hoje&lt;=DiasConf),"CONFIRMAR",IF(AND($A1709&lt;Hoje,OR($F1709="Agendado",$F1709="Confirmado")),"Atualizar status",IF(AND($F1709="Compareceu",$P1709&gt;0.005),"Cobrar",IF($F1709="Faltou","Falta: reagendar","")))))</f>
        <v>0</v>
      </c>
      <c r="T1709" s="29">
        <f>IF($A1709="","",DATE(YEAR($A1709),MONTH($A1709),1))</f>
        <v>0</v>
      </c>
      <c r="U1709" s="30">
        <f>IF($S1709="CONFIRMAR",MAX($U$4:$U1708)+1,"")</f>
        <v>0</v>
      </c>
      <c r="V1709" s="30">
        <f>IF(AND($R1709="Não",$Q1709&lt;&gt;"",$Q1709&lt;=Hoje+JanelaRet,$Q1709&gt;=Hoje-60),MAX($V$4:$V1708)+1,"")</f>
        <v>0</v>
      </c>
    </row>
    <row r="1710" spans="1:22">
      <c r="A1710" s="16"/>
      <c r="B1710" s="23"/>
      <c r="C1710" s="15"/>
      <c r="D1710" s="15"/>
      <c r="E1710" s="15"/>
      <c r="F1710" s="24"/>
      <c r="G1710" s="17"/>
      <c r="H1710" s="17"/>
      <c r="I1710" s="15"/>
      <c r="J1710" s="25">
        <f>IF($D1710="","",IFERROR(INDEX(PacNome,MATCH($D1710,PacCod,0)),"Paciente não cadastrado"))</f>
        <v>0</v>
      </c>
      <c r="K1710" s="26">
        <f>IF($D1710="","",IFERROR(INDEX(PacConv,MATCH($D1710,PacCod,0))&amp;"",""))</f>
        <v>0</v>
      </c>
      <c r="L1710" s="26">
        <f>IF($A1710="","",CHOOSE(WEEKDAY($A1710,2),"Seg","Ter","Qua","Qui","Sex","Sáb","Dom"))</f>
        <v>0</v>
      </c>
      <c r="M1710" s="27">
        <f>IF($E1710="","",IF($G1710&lt;&gt;"",$G1710,IFERROR(INDEX(ProcValor,MATCH($E1710,ProcNome,0)),0)))</f>
        <v>0</v>
      </c>
      <c r="N1710" s="27">
        <f>IF($M1710="","",IF($F1710="Compareceu",$M1710,0))</f>
        <v>0</v>
      </c>
      <c r="O1710" s="27">
        <f>IF($M1710="","",IF($F1710="Faltou",$M1710,0))</f>
        <v>0</v>
      </c>
      <c r="P1710" s="27">
        <f>IF($M1710="","",IF($F1710="Compareceu",MAX(0,$M1710-N($H1710)),0))</f>
        <v>0</v>
      </c>
      <c r="Q1710" s="19">
        <f>IF(AND($F1710="Compareceu",$E1710&lt;&gt;"",$A1710&lt;&gt;""),IF(IFERROR(INDEX(ProcRet,MATCH($E1710,ProcNome,0)),0)&gt;0,$A1710+INDEX(ProcRet,MATCH($E1710,ProcNome,0)),""),"")</f>
        <v>0</v>
      </c>
      <c r="R1710" s="26">
        <f>IF($Q1710="","",IF(COUNTIFS(AgPac,$D1710,AgData,"&gt;"&amp;$A1710,AgStatus,"&lt;&gt;Cancelado",AgStatus,"&lt;&gt;Remarcado")&gt;0,"Sim","Não"))</f>
        <v>0</v>
      </c>
      <c r="S1710" s="28">
        <f>IF($A1710="","",IF(AND($F1710="Agendado",$A1710-Hoje&gt;=0,$A1710-Hoje&lt;=DiasConf),"CONFIRMAR",IF(AND($A1710&lt;Hoje,OR($F1710="Agendado",$F1710="Confirmado")),"Atualizar status",IF(AND($F1710="Compareceu",$P1710&gt;0.005),"Cobrar",IF($F1710="Faltou","Falta: reagendar","")))))</f>
        <v>0</v>
      </c>
      <c r="T1710" s="29">
        <f>IF($A1710="","",DATE(YEAR($A1710),MONTH($A1710),1))</f>
        <v>0</v>
      </c>
      <c r="U1710" s="30">
        <f>IF($S1710="CONFIRMAR",MAX($U$4:$U1709)+1,"")</f>
        <v>0</v>
      </c>
      <c r="V1710" s="30">
        <f>IF(AND($R1710="Não",$Q1710&lt;&gt;"",$Q1710&lt;=Hoje+JanelaRet,$Q1710&gt;=Hoje-60),MAX($V$4:$V1709)+1,"")</f>
        <v>0</v>
      </c>
    </row>
    <row r="1711" spans="1:22">
      <c r="A1711" s="16"/>
      <c r="B1711" s="23"/>
      <c r="C1711" s="15"/>
      <c r="D1711" s="15"/>
      <c r="E1711" s="15"/>
      <c r="F1711" s="24"/>
      <c r="G1711" s="17"/>
      <c r="H1711" s="17"/>
      <c r="I1711" s="15"/>
      <c r="J1711" s="25">
        <f>IF($D1711="","",IFERROR(INDEX(PacNome,MATCH($D1711,PacCod,0)),"Paciente não cadastrado"))</f>
        <v>0</v>
      </c>
      <c r="K1711" s="26">
        <f>IF($D1711="","",IFERROR(INDEX(PacConv,MATCH($D1711,PacCod,0))&amp;"",""))</f>
        <v>0</v>
      </c>
      <c r="L1711" s="26">
        <f>IF($A1711="","",CHOOSE(WEEKDAY($A1711,2),"Seg","Ter","Qua","Qui","Sex","Sáb","Dom"))</f>
        <v>0</v>
      </c>
      <c r="M1711" s="27">
        <f>IF($E1711="","",IF($G1711&lt;&gt;"",$G1711,IFERROR(INDEX(ProcValor,MATCH($E1711,ProcNome,0)),0)))</f>
        <v>0</v>
      </c>
      <c r="N1711" s="27">
        <f>IF($M1711="","",IF($F1711="Compareceu",$M1711,0))</f>
        <v>0</v>
      </c>
      <c r="O1711" s="27">
        <f>IF($M1711="","",IF($F1711="Faltou",$M1711,0))</f>
        <v>0</v>
      </c>
      <c r="P1711" s="27">
        <f>IF($M1711="","",IF($F1711="Compareceu",MAX(0,$M1711-N($H1711)),0))</f>
        <v>0</v>
      </c>
      <c r="Q1711" s="19">
        <f>IF(AND($F1711="Compareceu",$E1711&lt;&gt;"",$A1711&lt;&gt;""),IF(IFERROR(INDEX(ProcRet,MATCH($E1711,ProcNome,0)),0)&gt;0,$A1711+INDEX(ProcRet,MATCH($E1711,ProcNome,0)),""),"")</f>
        <v>0</v>
      </c>
      <c r="R1711" s="26">
        <f>IF($Q1711="","",IF(COUNTIFS(AgPac,$D1711,AgData,"&gt;"&amp;$A1711,AgStatus,"&lt;&gt;Cancelado",AgStatus,"&lt;&gt;Remarcado")&gt;0,"Sim","Não"))</f>
        <v>0</v>
      </c>
      <c r="S1711" s="28">
        <f>IF($A1711="","",IF(AND($F1711="Agendado",$A1711-Hoje&gt;=0,$A1711-Hoje&lt;=DiasConf),"CONFIRMAR",IF(AND($A1711&lt;Hoje,OR($F1711="Agendado",$F1711="Confirmado")),"Atualizar status",IF(AND($F1711="Compareceu",$P1711&gt;0.005),"Cobrar",IF($F1711="Faltou","Falta: reagendar","")))))</f>
        <v>0</v>
      </c>
      <c r="T1711" s="29">
        <f>IF($A1711="","",DATE(YEAR($A1711),MONTH($A1711),1))</f>
        <v>0</v>
      </c>
      <c r="U1711" s="30">
        <f>IF($S1711="CONFIRMAR",MAX($U$4:$U1710)+1,"")</f>
        <v>0</v>
      </c>
      <c r="V1711" s="30">
        <f>IF(AND($R1711="Não",$Q1711&lt;&gt;"",$Q1711&lt;=Hoje+JanelaRet,$Q1711&gt;=Hoje-60),MAX($V$4:$V1710)+1,"")</f>
        <v>0</v>
      </c>
    </row>
    <row r="1712" spans="1:22">
      <c r="A1712" s="16"/>
      <c r="B1712" s="23"/>
      <c r="C1712" s="15"/>
      <c r="D1712" s="15"/>
      <c r="E1712" s="15"/>
      <c r="F1712" s="24"/>
      <c r="G1712" s="17"/>
      <c r="H1712" s="17"/>
      <c r="I1712" s="15"/>
      <c r="J1712" s="25">
        <f>IF($D1712="","",IFERROR(INDEX(PacNome,MATCH($D1712,PacCod,0)),"Paciente não cadastrado"))</f>
        <v>0</v>
      </c>
      <c r="K1712" s="26">
        <f>IF($D1712="","",IFERROR(INDEX(PacConv,MATCH($D1712,PacCod,0))&amp;"",""))</f>
        <v>0</v>
      </c>
      <c r="L1712" s="26">
        <f>IF($A1712="","",CHOOSE(WEEKDAY($A1712,2),"Seg","Ter","Qua","Qui","Sex","Sáb","Dom"))</f>
        <v>0</v>
      </c>
      <c r="M1712" s="27">
        <f>IF($E1712="","",IF($G1712&lt;&gt;"",$G1712,IFERROR(INDEX(ProcValor,MATCH($E1712,ProcNome,0)),0)))</f>
        <v>0</v>
      </c>
      <c r="N1712" s="27">
        <f>IF($M1712="","",IF($F1712="Compareceu",$M1712,0))</f>
        <v>0</v>
      </c>
      <c r="O1712" s="27">
        <f>IF($M1712="","",IF($F1712="Faltou",$M1712,0))</f>
        <v>0</v>
      </c>
      <c r="P1712" s="27">
        <f>IF($M1712="","",IF($F1712="Compareceu",MAX(0,$M1712-N($H1712)),0))</f>
        <v>0</v>
      </c>
      <c r="Q1712" s="19">
        <f>IF(AND($F1712="Compareceu",$E1712&lt;&gt;"",$A1712&lt;&gt;""),IF(IFERROR(INDEX(ProcRet,MATCH($E1712,ProcNome,0)),0)&gt;0,$A1712+INDEX(ProcRet,MATCH($E1712,ProcNome,0)),""),"")</f>
        <v>0</v>
      </c>
      <c r="R1712" s="26">
        <f>IF($Q1712="","",IF(COUNTIFS(AgPac,$D1712,AgData,"&gt;"&amp;$A1712,AgStatus,"&lt;&gt;Cancelado",AgStatus,"&lt;&gt;Remarcado")&gt;0,"Sim","Não"))</f>
        <v>0</v>
      </c>
      <c r="S1712" s="28">
        <f>IF($A1712="","",IF(AND($F1712="Agendado",$A1712-Hoje&gt;=0,$A1712-Hoje&lt;=DiasConf),"CONFIRMAR",IF(AND($A1712&lt;Hoje,OR($F1712="Agendado",$F1712="Confirmado")),"Atualizar status",IF(AND($F1712="Compareceu",$P1712&gt;0.005),"Cobrar",IF($F1712="Faltou","Falta: reagendar","")))))</f>
        <v>0</v>
      </c>
      <c r="T1712" s="29">
        <f>IF($A1712="","",DATE(YEAR($A1712),MONTH($A1712),1))</f>
        <v>0</v>
      </c>
      <c r="U1712" s="30">
        <f>IF($S1712="CONFIRMAR",MAX($U$4:$U1711)+1,"")</f>
        <v>0</v>
      </c>
      <c r="V1712" s="30">
        <f>IF(AND($R1712="Não",$Q1712&lt;&gt;"",$Q1712&lt;=Hoje+JanelaRet,$Q1712&gt;=Hoje-60),MAX($V$4:$V1711)+1,"")</f>
        <v>0</v>
      </c>
    </row>
    <row r="1713" spans="1:22">
      <c r="A1713" s="16"/>
      <c r="B1713" s="23"/>
      <c r="C1713" s="15"/>
      <c r="D1713" s="15"/>
      <c r="E1713" s="15"/>
      <c r="F1713" s="24"/>
      <c r="G1713" s="17"/>
      <c r="H1713" s="17"/>
      <c r="I1713" s="15"/>
      <c r="J1713" s="25">
        <f>IF($D1713="","",IFERROR(INDEX(PacNome,MATCH($D1713,PacCod,0)),"Paciente não cadastrado"))</f>
        <v>0</v>
      </c>
      <c r="K1713" s="26">
        <f>IF($D1713="","",IFERROR(INDEX(PacConv,MATCH($D1713,PacCod,0))&amp;"",""))</f>
        <v>0</v>
      </c>
      <c r="L1713" s="26">
        <f>IF($A1713="","",CHOOSE(WEEKDAY($A1713,2),"Seg","Ter","Qua","Qui","Sex","Sáb","Dom"))</f>
        <v>0</v>
      </c>
      <c r="M1713" s="27">
        <f>IF($E1713="","",IF($G1713&lt;&gt;"",$G1713,IFERROR(INDEX(ProcValor,MATCH($E1713,ProcNome,0)),0)))</f>
        <v>0</v>
      </c>
      <c r="N1713" s="27">
        <f>IF($M1713="","",IF($F1713="Compareceu",$M1713,0))</f>
        <v>0</v>
      </c>
      <c r="O1713" s="27">
        <f>IF($M1713="","",IF($F1713="Faltou",$M1713,0))</f>
        <v>0</v>
      </c>
      <c r="P1713" s="27">
        <f>IF($M1713="","",IF($F1713="Compareceu",MAX(0,$M1713-N($H1713)),0))</f>
        <v>0</v>
      </c>
      <c r="Q1713" s="19">
        <f>IF(AND($F1713="Compareceu",$E1713&lt;&gt;"",$A1713&lt;&gt;""),IF(IFERROR(INDEX(ProcRet,MATCH($E1713,ProcNome,0)),0)&gt;0,$A1713+INDEX(ProcRet,MATCH($E1713,ProcNome,0)),""),"")</f>
        <v>0</v>
      </c>
      <c r="R1713" s="26">
        <f>IF($Q1713="","",IF(COUNTIFS(AgPac,$D1713,AgData,"&gt;"&amp;$A1713,AgStatus,"&lt;&gt;Cancelado",AgStatus,"&lt;&gt;Remarcado")&gt;0,"Sim","Não"))</f>
        <v>0</v>
      </c>
      <c r="S1713" s="28">
        <f>IF($A1713="","",IF(AND($F1713="Agendado",$A1713-Hoje&gt;=0,$A1713-Hoje&lt;=DiasConf),"CONFIRMAR",IF(AND($A1713&lt;Hoje,OR($F1713="Agendado",$F1713="Confirmado")),"Atualizar status",IF(AND($F1713="Compareceu",$P1713&gt;0.005),"Cobrar",IF($F1713="Faltou","Falta: reagendar","")))))</f>
        <v>0</v>
      </c>
      <c r="T1713" s="29">
        <f>IF($A1713="","",DATE(YEAR($A1713),MONTH($A1713),1))</f>
        <v>0</v>
      </c>
      <c r="U1713" s="30">
        <f>IF($S1713="CONFIRMAR",MAX($U$4:$U1712)+1,"")</f>
        <v>0</v>
      </c>
      <c r="V1713" s="30">
        <f>IF(AND($R1713="Não",$Q1713&lt;&gt;"",$Q1713&lt;=Hoje+JanelaRet,$Q1713&gt;=Hoje-60),MAX($V$4:$V1712)+1,"")</f>
        <v>0</v>
      </c>
    </row>
    <row r="1714" spans="1:22">
      <c r="A1714" s="16"/>
      <c r="B1714" s="23"/>
      <c r="C1714" s="15"/>
      <c r="D1714" s="15"/>
      <c r="E1714" s="15"/>
      <c r="F1714" s="24"/>
      <c r="G1714" s="17"/>
      <c r="H1714" s="17"/>
      <c r="I1714" s="15"/>
      <c r="J1714" s="25">
        <f>IF($D1714="","",IFERROR(INDEX(PacNome,MATCH($D1714,PacCod,0)),"Paciente não cadastrado"))</f>
        <v>0</v>
      </c>
      <c r="K1714" s="26">
        <f>IF($D1714="","",IFERROR(INDEX(PacConv,MATCH($D1714,PacCod,0))&amp;"",""))</f>
        <v>0</v>
      </c>
      <c r="L1714" s="26">
        <f>IF($A1714="","",CHOOSE(WEEKDAY($A1714,2),"Seg","Ter","Qua","Qui","Sex","Sáb","Dom"))</f>
        <v>0</v>
      </c>
      <c r="M1714" s="27">
        <f>IF($E1714="","",IF($G1714&lt;&gt;"",$G1714,IFERROR(INDEX(ProcValor,MATCH($E1714,ProcNome,0)),0)))</f>
        <v>0</v>
      </c>
      <c r="N1714" s="27">
        <f>IF($M1714="","",IF($F1714="Compareceu",$M1714,0))</f>
        <v>0</v>
      </c>
      <c r="O1714" s="27">
        <f>IF($M1714="","",IF($F1714="Faltou",$M1714,0))</f>
        <v>0</v>
      </c>
      <c r="P1714" s="27">
        <f>IF($M1714="","",IF($F1714="Compareceu",MAX(0,$M1714-N($H1714)),0))</f>
        <v>0</v>
      </c>
      <c r="Q1714" s="19">
        <f>IF(AND($F1714="Compareceu",$E1714&lt;&gt;"",$A1714&lt;&gt;""),IF(IFERROR(INDEX(ProcRet,MATCH($E1714,ProcNome,0)),0)&gt;0,$A1714+INDEX(ProcRet,MATCH($E1714,ProcNome,0)),""),"")</f>
        <v>0</v>
      </c>
      <c r="R1714" s="26">
        <f>IF($Q1714="","",IF(COUNTIFS(AgPac,$D1714,AgData,"&gt;"&amp;$A1714,AgStatus,"&lt;&gt;Cancelado",AgStatus,"&lt;&gt;Remarcado")&gt;0,"Sim","Não"))</f>
        <v>0</v>
      </c>
      <c r="S1714" s="28">
        <f>IF($A1714="","",IF(AND($F1714="Agendado",$A1714-Hoje&gt;=0,$A1714-Hoje&lt;=DiasConf),"CONFIRMAR",IF(AND($A1714&lt;Hoje,OR($F1714="Agendado",$F1714="Confirmado")),"Atualizar status",IF(AND($F1714="Compareceu",$P1714&gt;0.005),"Cobrar",IF($F1714="Faltou","Falta: reagendar","")))))</f>
        <v>0</v>
      </c>
      <c r="T1714" s="29">
        <f>IF($A1714="","",DATE(YEAR($A1714),MONTH($A1714),1))</f>
        <v>0</v>
      </c>
      <c r="U1714" s="30">
        <f>IF($S1714="CONFIRMAR",MAX($U$4:$U1713)+1,"")</f>
        <v>0</v>
      </c>
      <c r="V1714" s="30">
        <f>IF(AND($R1714="Não",$Q1714&lt;&gt;"",$Q1714&lt;=Hoje+JanelaRet,$Q1714&gt;=Hoje-60),MAX($V$4:$V1713)+1,"")</f>
        <v>0</v>
      </c>
    </row>
    <row r="1715" spans="1:22">
      <c r="A1715" s="16"/>
      <c r="B1715" s="23"/>
      <c r="C1715" s="15"/>
      <c r="D1715" s="15"/>
      <c r="E1715" s="15"/>
      <c r="F1715" s="24"/>
      <c r="G1715" s="17"/>
      <c r="H1715" s="17"/>
      <c r="I1715" s="15"/>
      <c r="J1715" s="25">
        <f>IF($D1715="","",IFERROR(INDEX(PacNome,MATCH($D1715,PacCod,0)),"Paciente não cadastrado"))</f>
        <v>0</v>
      </c>
      <c r="K1715" s="26">
        <f>IF($D1715="","",IFERROR(INDEX(PacConv,MATCH($D1715,PacCod,0))&amp;"",""))</f>
        <v>0</v>
      </c>
      <c r="L1715" s="26">
        <f>IF($A1715="","",CHOOSE(WEEKDAY($A1715,2),"Seg","Ter","Qua","Qui","Sex","Sáb","Dom"))</f>
        <v>0</v>
      </c>
      <c r="M1715" s="27">
        <f>IF($E1715="","",IF($G1715&lt;&gt;"",$G1715,IFERROR(INDEX(ProcValor,MATCH($E1715,ProcNome,0)),0)))</f>
        <v>0</v>
      </c>
      <c r="N1715" s="27">
        <f>IF($M1715="","",IF($F1715="Compareceu",$M1715,0))</f>
        <v>0</v>
      </c>
      <c r="O1715" s="27">
        <f>IF($M1715="","",IF($F1715="Faltou",$M1715,0))</f>
        <v>0</v>
      </c>
      <c r="P1715" s="27">
        <f>IF($M1715="","",IF($F1715="Compareceu",MAX(0,$M1715-N($H1715)),0))</f>
        <v>0</v>
      </c>
      <c r="Q1715" s="19">
        <f>IF(AND($F1715="Compareceu",$E1715&lt;&gt;"",$A1715&lt;&gt;""),IF(IFERROR(INDEX(ProcRet,MATCH($E1715,ProcNome,0)),0)&gt;0,$A1715+INDEX(ProcRet,MATCH($E1715,ProcNome,0)),""),"")</f>
        <v>0</v>
      </c>
      <c r="R1715" s="26">
        <f>IF($Q1715="","",IF(COUNTIFS(AgPac,$D1715,AgData,"&gt;"&amp;$A1715,AgStatus,"&lt;&gt;Cancelado",AgStatus,"&lt;&gt;Remarcado")&gt;0,"Sim","Não"))</f>
        <v>0</v>
      </c>
      <c r="S1715" s="28">
        <f>IF($A1715="","",IF(AND($F1715="Agendado",$A1715-Hoje&gt;=0,$A1715-Hoje&lt;=DiasConf),"CONFIRMAR",IF(AND($A1715&lt;Hoje,OR($F1715="Agendado",$F1715="Confirmado")),"Atualizar status",IF(AND($F1715="Compareceu",$P1715&gt;0.005),"Cobrar",IF($F1715="Faltou","Falta: reagendar","")))))</f>
        <v>0</v>
      </c>
      <c r="T1715" s="29">
        <f>IF($A1715="","",DATE(YEAR($A1715),MONTH($A1715),1))</f>
        <v>0</v>
      </c>
      <c r="U1715" s="30">
        <f>IF($S1715="CONFIRMAR",MAX($U$4:$U1714)+1,"")</f>
        <v>0</v>
      </c>
      <c r="V1715" s="30">
        <f>IF(AND($R1715="Não",$Q1715&lt;&gt;"",$Q1715&lt;=Hoje+JanelaRet,$Q1715&gt;=Hoje-60),MAX($V$4:$V1714)+1,"")</f>
        <v>0</v>
      </c>
    </row>
    <row r="1716" spans="1:22">
      <c r="A1716" s="16"/>
      <c r="B1716" s="23"/>
      <c r="C1716" s="15"/>
      <c r="D1716" s="15"/>
      <c r="E1716" s="15"/>
      <c r="F1716" s="24"/>
      <c r="G1716" s="17"/>
      <c r="H1716" s="17"/>
      <c r="I1716" s="15"/>
      <c r="J1716" s="25">
        <f>IF($D1716="","",IFERROR(INDEX(PacNome,MATCH($D1716,PacCod,0)),"Paciente não cadastrado"))</f>
        <v>0</v>
      </c>
      <c r="K1716" s="26">
        <f>IF($D1716="","",IFERROR(INDEX(PacConv,MATCH($D1716,PacCod,0))&amp;"",""))</f>
        <v>0</v>
      </c>
      <c r="L1716" s="26">
        <f>IF($A1716="","",CHOOSE(WEEKDAY($A1716,2),"Seg","Ter","Qua","Qui","Sex","Sáb","Dom"))</f>
        <v>0</v>
      </c>
      <c r="M1716" s="27">
        <f>IF($E1716="","",IF($G1716&lt;&gt;"",$G1716,IFERROR(INDEX(ProcValor,MATCH($E1716,ProcNome,0)),0)))</f>
        <v>0</v>
      </c>
      <c r="N1716" s="27">
        <f>IF($M1716="","",IF($F1716="Compareceu",$M1716,0))</f>
        <v>0</v>
      </c>
      <c r="O1716" s="27">
        <f>IF($M1716="","",IF($F1716="Faltou",$M1716,0))</f>
        <v>0</v>
      </c>
      <c r="P1716" s="27">
        <f>IF($M1716="","",IF($F1716="Compareceu",MAX(0,$M1716-N($H1716)),0))</f>
        <v>0</v>
      </c>
      <c r="Q1716" s="19">
        <f>IF(AND($F1716="Compareceu",$E1716&lt;&gt;"",$A1716&lt;&gt;""),IF(IFERROR(INDEX(ProcRet,MATCH($E1716,ProcNome,0)),0)&gt;0,$A1716+INDEX(ProcRet,MATCH($E1716,ProcNome,0)),""),"")</f>
        <v>0</v>
      </c>
      <c r="R1716" s="26">
        <f>IF($Q1716="","",IF(COUNTIFS(AgPac,$D1716,AgData,"&gt;"&amp;$A1716,AgStatus,"&lt;&gt;Cancelado",AgStatus,"&lt;&gt;Remarcado")&gt;0,"Sim","Não"))</f>
        <v>0</v>
      </c>
      <c r="S1716" s="28">
        <f>IF($A1716="","",IF(AND($F1716="Agendado",$A1716-Hoje&gt;=0,$A1716-Hoje&lt;=DiasConf),"CONFIRMAR",IF(AND($A1716&lt;Hoje,OR($F1716="Agendado",$F1716="Confirmado")),"Atualizar status",IF(AND($F1716="Compareceu",$P1716&gt;0.005),"Cobrar",IF($F1716="Faltou","Falta: reagendar","")))))</f>
        <v>0</v>
      </c>
      <c r="T1716" s="29">
        <f>IF($A1716="","",DATE(YEAR($A1716),MONTH($A1716),1))</f>
        <v>0</v>
      </c>
      <c r="U1716" s="30">
        <f>IF($S1716="CONFIRMAR",MAX($U$4:$U1715)+1,"")</f>
        <v>0</v>
      </c>
      <c r="V1716" s="30">
        <f>IF(AND($R1716="Não",$Q1716&lt;&gt;"",$Q1716&lt;=Hoje+JanelaRet,$Q1716&gt;=Hoje-60),MAX($V$4:$V1715)+1,"")</f>
        <v>0</v>
      </c>
    </row>
    <row r="1717" spans="1:22">
      <c r="A1717" s="16"/>
      <c r="B1717" s="23"/>
      <c r="C1717" s="15"/>
      <c r="D1717" s="15"/>
      <c r="E1717" s="15"/>
      <c r="F1717" s="24"/>
      <c r="G1717" s="17"/>
      <c r="H1717" s="17"/>
      <c r="I1717" s="15"/>
      <c r="J1717" s="25">
        <f>IF($D1717="","",IFERROR(INDEX(PacNome,MATCH($D1717,PacCod,0)),"Paciente não cadastrado"))</f>
        <v>0</v>
      </c>
      <c r="K1717" s="26">
        <f>IF($D1717="","",IFERROR(INDEX(PacConv,MATCH($D1717,PacCod,0))&amp;"",""))</f>
        <v>0</v>
      </c>
      <c r="L1717" s="26">
        <f>IF($A1717="","",CHOOSE(WEEKDAY($A1717,2),"Seg","Ter","Qua","Qui","Sex","Sáb","Dom"))</f>
        <v>0</v>
      </c>
      <c r="M1717" s="27">
        <f>IF($E1717="","",IF($G1717&lt;&gt;"",$G1717,IFERROR(INDEX(ProcValor,MATCH($E1717,ProcNome,0)),0)))</f>
        <v>0</v>
      </c>
      <c r="N1717" s="27">
        <f>IF($M1717="","",IF($F1717="Compareceu",$M1717,0))</f>
        <v>0</v>
      </c>
      <c r="O1717" s="27">
        <f>IF($M1717="","",IF($F1717="Faltou",$M1717,0))</f>
        <v>0</v>
      </c>
      <c r="P1717" s="27">
        <f>IF($M1717="","",IF($F1717="Compareceu",MAX(0,$M1717-N($H1717)),0))</f>
        <v>0</v>
      </c>
      <c r="Q1717" s="19">
        <f>IF(AND($F1717="Compareceu",$E1717&lt;&gt;"",$A1717&lt;&gt;""),IF(IFERROR(INDEX(ProcRet,MATCH($E1717,ProcNome,0)),0)&gt;0,$A1717+INDEX(ProcRet,MATCH($E1717,ProcNome,0)),""),"")</f>
        <v>0</v>
      </c>
      <c r="R1717" s="26">
        <f>IF($Q1717="","",IF(COUNTIFS(AgPac,$D1717,AgData,"&gt;"&amp;$A1717,AgStatus,"&lt;&gt;Cancelado",AgStatus,"&lt;&gt;Remarcado")&gt;0,"Sim","Não"))</f>
        <v>0</v>
      </c>
      <c r="S1717" s="28">
        <f>IF($A1717="","",IF(AND($F1717="Agendado",$A1717-Hoje&gt;=0,$A1717-Hoje&lt;=DiasConf),"CONFIRMAR",IF(AND($A1717&lt;Hoje,OR($F1717="Agendado",$F1717="Confirmado")),"Atualizar status",IF(AND($F1717="Compareceu",$P1717&gt;0.005),"Cobrar",IF($F1717="Faltou","Falta: reagendar","")))))</f>
        <v>0</v>
      </c>
      <c r="T1717" s="29">
        <f>IF($A1717="","",DATE(YEAR($A1717),MONTH($A1717),1))</f>
        <v>0</v>
      </c>
      <c r="U1717" s="30">
        <f>IF($S1717="CONFIRMAR",MAX($U$4:$U1716)+1,"")</f>
        <v>0</v>
      </c>
      <c r="V1717" s="30">
        <f>IF(AND($R1717="Não",$Q1717&lt;&gt;"",$Q1717&lt;=Hoje+JanelaRet,$Q1717&gt;=Hoje-60),MAX($V$4:$V1716)+1,"")</f>
        <v>0</v>
      </c>
    </row>
    <row r="1718" spans="1:22">
      <c r="A1718" s="16"/>
      <c r="B1718" s="23"/>
      <c r="C1718" s="15"/>
      <c r="D1718" s="15"/>
      <c r="E1718" s="15"/>
      <c r="F1718" s="24"/>
      <c r="G1718" s="17"/>
      <c r="H1718" s="17"/>
      <c r="I1718" s="15"/>
      <c r="J1718" s="25">
        <f>IF($D1718="","",IFERROR(INDEX(PacNome,MATCH($D1718,PacCod,0)),"Paciente não cadastrado"))</f>
        <v>0</v>
      </c>
      <c r="K1718" s="26">
        <f>IF($D1718="","",IFERROR(INDEX(PacConv,MATCH($D1718,PacCod,0))&amp;"",""))</f>
        <v>0</v>
      </c>
      <c r="L1718" s="26">
        <f>IF($A1718="","",CHOOSE(WEEKDAY($A1718,2),"Seg","Ter","Qua","Qui","Sex","Sáb","Dom"))</f>
        <v>0</v>
      </c>
      <c r="M1718" s="27">
        <f>IF($E1718="","",IF($G1718&lt;&gt;"",$G1718,IFERROR(INDEX(ProcValor,MATCH($E1718,ProcNome,0)),0)))</f>
        <v>0</v>
      </c>
      <c r="N1718" s="27">
        <f>IF($M1718="","",IF($F1718="Compareceu",$M1718,0))</f>
        <v>0</v>
      </c>
      <c r="O1718" s="27">
        <f>IF($M1718="","",IF($F1718="Faltou",$M1718,0))</f>
        <v>0</v>
      </c>
      <c r="P1718" s="27">
        <f>IF($M1718="","",IF($F1718="Compareceu",MAX(0,$M1718-N($H1718)),0))</f>
        <v>0</v>
      </c>
      <c r="Q1718" s="19">
        <f>IF(AND($F1718="Compareceu",$E1718&lt;&gt;"",$A1718&lt;&gt;""),IF(IFERROR(INDEX(ProcRet,MATCH($E1718,ProcNome,0)),0)&gt;0,$A1718+INDEX(ProcRet,MATCH($E1718,ProcNome,0)),""),"")</f>
        <v>0</v>
      </c>
      <c r="R1718" s="26">
        <f>IF($Q1718="","",IF(COUNTIFS(AgPac,$D1718,AgData,"&gt;"&amp;$A1718,AgStatus,"&lt;&gt;Cancelado",AgStatus,"&lt;&gt;Remarcado")&gt;0,"Sim","Não"))</f>
        <v>0</v>
      </c>
      <c r="S1718" s="28">
        <f>IF($A1718="","",IF(AND($F1718="Agendado",$A1718-Hoje&gt;=0,$A1718-Hoje&lt;=DiasConf),"CONFIRMAR",IF(AND($A1718&lt;Hoje,OR($F1718="Agendado",$F1718="Confirmado")),"Atualizar status",IF(AND($F1718="Compareceu",$P1718&gt;0.005),"Cobrar",IF($F1718="Faltou","Falta: reagendar","")))))</f>
        <v>0</v>
      </c>
      <c r="T1718" s="29">
        <f>IF($A1718="","",DATE(YEAR($A1718),MONTH($A1718),1))</f>
        <v>0</v>
      </c>
      <c r="U1718" s="30">
        <f>IF($S1718="CONFIRMAR",MAX($U$4:$U1717)+1,"")</f>
        <v>0</v>
      </c>
      <c r="V1718" s="30">
        <f>IF(AND($R1718="Não",$Q1718&lt;&gt;"",$Q1718&lt;=Hoje+JanelaRet,$Q1718&gt;=Hoje-60),MAX($V$4:$V1717)+1,"")</f>
        <v>0</v>
      </c>
    </row>
    <row r="1719" spans="1:22">
      <c r="A1719" s="16"/>
      <c r="B1719" s="23"/>
      <c r="C1719" s="15"/>
      <c r="D1719" s="15"/>
      <c r="E1719" s="15"/>
      <c r="F1719" s="24"/>
      <c r="G1719" s="17"/>
      <c r="H1719" s="17"/>
      <c r="I1719" s="15"/>
      <c r="J1719" s="25">
        <f>IF($D1719="","",IFERROR(INDEX(PacNome,MATCH($D1719,PacCod,0)),"Paciente não cadastrado"))</f>
        <v>0</v>
      </c>
      <c r="K1719" s="26">
        <f>IF($D1719="","",IFERROR(INDEX(PacConv,MATCH($D1719,PacCod,0))&amp;"",""))</f>
        <v>0</v>
      </c>
      <c r="L1719" s="26">
        <f>IF($A1719="","",CHOOSE(WEEKDAY($A1719,2),"Seg","Ter","Qua","Qui","Sex","Sáb","Dom"))</f>
        <v>0</v>
      </c>
      <c r="M1719" s="27">
        <f>IF($E1719="","",IF($G1719&lt;&gt;"",$G1719,IFERROR(INDEX(ProcValor,MATCH($E1719,ProcNome,0)),0)))</f>
        <v>0</v>
      </c>
      <c r="N1719" s="27">
        <f>IF($M1719="","",IF($F1719="Compareceu",$M1719,0))</f>
        <v>0</v>
      </c>
      <c r="O1719" s="27">
        <f>IF($M1719="","",IF($F1719="Faltou",$M1719,0))</f>
        <v>0</v>
      </c>
      <c r="P1719" s="27">
        <f>IF($M1719="","",IF($F1719="Compareceu",MAX(0,$M1719-N($H1719)),0))</f>
        <v>0</v>
      </c>
      <c r="Q1719" s="19">
        <f>IF(AND($F1719="Compareceu",$E1719&lt;&gt;"",$A1719&lt;&gt;""),IF(IFERROR(INDEX(ProcRet,MATCH($E1719,ProcNome,0)),0)&gt;0,$A1719+INDEX(ProcRet,MATCH($E1719,ProcNome,0)),""),"")</f>
        <v>0</v>
      </c>
      <c r="R1719" s="26">
        <f>IF($Q1719="","",IF(COUNTIFS(AgPac,$D1719,AgData,"&gt;"&amp;$A1719,AgStatus,"&lt;&gt;Cancelado",AgStatus,"&lt;&gt;Remarcado")&gt;0,"Sim","Não"))</f>
        <v>0</v>
      </c>
      <c r="S1719" s="28">
        <f>IF($A1719="","",IF(AND($F1719="Agendado",$A1719-Hoje&gt;=0,$A1719-Hoje&lt;=DiasConf),"CONFIRMAR",IF(AND($A1719&lt;Hoje,OR($F1719="Agendado",$F1719="Confirmado")),"Atualizar status",IF(AND($F1719="Compareceu",$P1719&gt;0.005),"Cobrar",IF($F1719="Faltou","Falta: reagendar","")))))</f>
        <v>0</v>
      </c>
      <c r="T1719" s="29">
        <f>IF($A1719="","",DATE(YEAR($A1719),MONTH($A1719),1))</f>
        <v>0</v>
      </c>
      <c r="U1719" s="30">
        <f>IF($S1719="CONFIRMAR",MAX($U$4:$U1718)+1,"")</f>
        <v>0</v>
      </c>
      <c r="V1719" s="30">
        <f>IF(AND($R1719="Não",$Q1719&lt;&gt;"",$Q1719&lt;=Hoje+JanelaRet,$Q1719&gt;=Hoje-60),MAX($V$4:$V1718)+1,"")</f>
        <v>0</v>
      </c>
    </row>
    <row r="1720" spans="1:22">
      <c r="A1720" s="16"/>
      <c r="B1720" s="23"/>
      <c r="C1720" s="15"/>
      <c r="D1720" s="15"/>
      <c r="E1720" s="15"/>
      <c r="F1720" s="24"/>
      <c r="G1720" s="17"/>
      <c r="H1720" s="17"/>
      <c r="I1720" s="15"/>
      <c r="J1720" s="25">
        <f>IF($D1720="","",IFERROR(INDEX(PacNome,MATCH($D1720,PacCod,0)),"Paciente não cadastrado"))</f>
        <v>0</v>
      </c>
      <c r="K1720" s="26">
        <f>IF($D1720="","",IFERROR(INDEX(PacConv,MATCH($D1720,PacCod,0))&amp;"",""))</f>
        <v>0</v>
      </c>
      <c r="L1720" s="26">
        <f>IF($A1720="","",CHOOSE(WEEKDAY($A1720,2),"Seg","Ter","Qua","Qui","Sex","Sáb","Dom"))</f>
        <v>0</v>
      </c>
      <c r="M1720" s="27">
        <f>IF($E1720="","",IF($G1720&lt;&gt;"",$G1720,IFERROR(INDEX(ProcValor,MATCH($E1720,ProcNome,0)),0)))</f>
        <v>0</v>
      </c>
      <c r="N1720" s="27">
        <f>IF($M1720="","",IF($F1720="Compareceu",$M1720,0))</f>
        <v>0</v>
      </c>
      <c r="O1720" s="27">
        <f>IF($M1720="","",IF($F1720="Faltou",$M1720,0))</f>
        <v>0</v>
      </c>
      <c r="P1720" s="27">
        <f>IF($M1720="","",IF($F1720="Compareceu",MAX(0,$M1720-N($H1720)),0))</f>
        <v>0</v>
      </c>
      <c r="Q1720" s="19">
        <f>IF(AND($F1720="Compareceu",$E1720&lt;&gt;"",$A1720&lt;&gt;""),IF(IFERROR(INDEX(ProcRet,MATCH($E1720,ProcNome,0)),0)&gt;0,$A1720+INDEX(ProcRet,MATCH($E1720,ProcNome,0)),""),"")</f>
        <v>0</v>
      </c>
      <c r="R1720" s="26">
        <f>IF($Q1720="","",IF(COUNTIFS(AgPac,$D1720,AgData,"&gt;"&amp;$A1720,AgStatus,"&lt;&gt;Cancelado",AgStatus,"&lt;&gt;Remarcado")&gt;0,"Sim","Não"))</f>
        <v>0</v>
      </c>
      <c r="S1720" s="28">
        <f>IF($A1720="","",IF(AND($F1720="Agendado",$A1720-Hoje&gt;=0,$A1720-Hoje&lt;=DiasConf),"CONFIRMAR",IF(AND($A1720&lt;Hoje,OR($F1720="Agendado",$F1720="Confirmado")),"Atualizar status",IF(AND($F1720="Compareceu",$P1720&gt;0.005),"Cobrar",IF($F1720="Faltou","Falta: reagendar","")))))</f>
        <v>0</v>
      </c>
      <c r="T1720" s="29">
        <f>IF($A1720="","",DATE(YEAR($A1720),MONTH($A1720),1))</f>
        <v>0</v>
      </c>
      <c r="U1720" s="30">
        <f>IF($S1720="CONFIRMAR",MAX($U$4:$U1719)+1,"")</f>
        <v>0</v>
      </c>
      <c r="V1720" s="30">
        <f>IF(AND($R1720="Não",$Q1720&lt;&gt;"",$Q1720&lt;=Hoje+JanelaRet,$Q1720&gt;=Hoje-60),MAX($V$4:$V1719)+1,"")</f>
        <v>0</v>
      </c>
    </row>
    <row r="1721" spans="1:22">
      <c r="A1721" s="16"/>
      <c r="B1721" s="23"/>
      <c r="C1721" s="15"/>
      <c r="D1721" s="15"/>
      <c r="E1721" s="15"/>
      <c r="F1721" s="24"/>
      <c r="G1721" s="17"/>
      <c r="H1721" s="17"/>
      <c r="I1721" s="15"/>
      <c r="J1721" s="25">
        <f>IF($D1721="","",IFERROR(INDEX(PacNome,MATCH($D1721,PacCod,0)),"Paciente não cadastrado"))</f>
        <v>0</v>
      </c>
      <c r="K1721" s="26">
        <f>IF($D1721="","",IFERROR(INDEX(PacConv,MATCH($D1721,PacCod,0))&amp;"",""))</f>
        <v>0</v>
      </c>
      <c r="L1721" s="26">
        <f>IF($A1721="","",CHOOSE(WEEKDAY($A1721,2),"Seg","Ter","Qua","Qui","Sex","Sáb","Dom"))</f>
        <v>0</v>
      </c>
      <c r="M1721" s="27">
        <f>IF($E1721="","",IF($G1721&lt;&gt;"",$G1721,IFERROR(INDEX(ProcValor,MATCH($E1721,ProcNome,0)),0)))</f>
        <v>0</v>
      </c>
      <c r="N1721" s="27">
        <f>IF($M1721="","",IF($F1721="Compareceu",$M1721,0))</f>
        <v>0</v>
      </c>
      <c r="O1721" s="27">
        <f>IF($M1721="","",IF($F1721="Faltou",$M1721,0))</f>
        <v>0</v>
      </c>
      <c r="P1721" s="27">
        <f>IF($M1721="","",IF($F1721="Compareceu",MAX(0,$M1721-N($H1721)),0))</f>
        <v>0</v>
      </c>
      <c r="Q1721" s="19">
        <f>IF(AND($F1721="Compareceu",$E1721&lt;&gt;"",$A1721&lt;&gt;""),IF(IFERROR(INDEX(ProcRet,MATCH($E1721,ProcNome,0)),0)&gt;0,$A1721+INDEX(ProcRet,MATCH($E1721,ProcNome,0)),""),"")</f>
        <v>0</v>
      </c>
      <c r="R1721" s="26">
        <f>IF($Q1721="","",IF(COUNTIFS(AgPac,$D1721,AgData,"&gt;"&amp;$A1721,AgStatus,"&lt;&gt;Cancelado",AgStatus,"&lt;&gt;Remarcado")&gt;0,"Sim","Não"))</f>
        <v>0</v>
      </c>
      <c r="S1721" s="28">
        <f>IF($A1721="","",IF(AND($F1721="Agendado",$A1721-Hoje&gt;=0,$A1721-Hoje&lt;=DiasConf),"CONFIRMAR",IF(AND($A1721&lt;Hoje,OR($F1721="Agendado",$F1721="Confirmado")),"Atualizar status",IF(AND($F1721="Compareceu",$P1721&gt;0.005),"Cobrar",IF($F1721="Faltou","Falta: reagendar","")))))</f>
        <v>0</v>
      </c>
      <c r="T1721" s="29">
        <f>IF($A1721="","",DATE(YEAR($A1721),MONTH($A1721),1))</f>
        <v>0</v>
      </c>
      <c r="U1721" s="30">
        <f>IF($S1721="CONFIRMAR",MAX($U$4:$U1720)+1,"")</f>
        <v>0</v>
      </c>
      <c r="V1721" s="30">
        <f>IF(AND($R1721="Não",$Q1721&lt;&gt;"",$Q1721&lt;=Hoje+JanelaRet,$Q1721&gt;=Hoje-60),MAX($V$4:$V1720)+1,"")</f>
        <v>0</v>
      </c>
    </row>
    <row r="1722" spans="1:22">
      <c r="A1722" s="16"/>
      <c r="B1722" s="23"/>
      <c r="C1722" s="15"/>
      <c r="D1722" s="15"/>
      <c r="E1722" s="15"/>
      <c r="F1722" s="24"/>
      <c r="G1722" s="17"/>
      <c r="H1722" s="17"/>
      <c r="I1722" s="15"/>
      <c r="J1722" s="25">
        <f>IF($D1722="","",IFERROR(INDEX(PacNome,MATCH($D1722,PacCod,0)),"Paciente não cadastrado"))</f>
        <v>0</v>
      </c>
      <c r="K1722" s="26">
        <f>IF($D1722="","",IFERROR(INDEX(PacConv,MATCH($D1722,PacCod,0))&amp;"",""))</f>
        <v>0</v>
      </c>
      <c r="L1722" s="26">
        <f>IF($A1722="","",CHOOSE(WEEKDAY($A1722,2),"Seg","Ter","Qua","Qui","Sex","Sáb","Dom"))</f>
        <v>0</v>
      </c>
      <c r="M1722" s="27">
        <f>IF($E1722="","",IF($G1722&lt;&gt;"",$G1722,IFERROR(INDEX(ProcValor,MATCH($E1722,ProcNome,0)),0)))</f>
        <v>0</v>
      </c>
      <c r="N1722" s="27">
        <f>IF($M1722="","",IF($F1722="Compareceu",$M1722,0))</f>
        <v>0</v>
      </c>
      <c r="O1722" s="27">
        <f>IF($M1722="","",IF($F1722="Faltou",$M1722,0))</f>
        <v>0</v>
      </c>
      <c r="P1722" s="27">
        <f>IF($M1722="","",IF($F1722="Compareceu",MAX(0,$M1722-N($H1722)),0))</f>
        <v>0</v>
      </c>
      <c r="Q1722" s="19">
        <f>IF(AND($F1722="Compareceu",$E1722&lt;&gt;"",$A1722&lt;&gt;""),IF(IFERROR(INDEX(ProcRet,MATCH($E1722,ProcNome,0)),0)&gt;0,$A1722+INDEX(ProcRet,MATCH($E1722,ProcNome,0)),""),"")</f>
        <v>0</v>
      </c>
      <c r="R1722" s="26">
        <f>IF($Q1722="","",IF(COUNTIFS(AgPac,$D1722,AgData,"&gt;"&amp;$A1722,AgStatus,"&lt;&gt;Cancelado",AgStatus,"&lt;&gt;Remarcado")&gt;0,"Sim","Não"))</f>
        <v>0</v>
      </c>
      <c r="S1722" s="28">
        <f>IF($A1722="","",IF(AND($F1722="Agendado",$A1722-Hoje&gt;=0,$A1722-Hoje&lt;=DiasConf),"CONFIRMAR",IF(AND($A1722&lt;Hoje,OR($F1722="Agendado",$F1722="Confirmado")),"Atualizar status",IF(AND($F1722="Compareceu",$P1722&gt;0.005),"Cobrar",IF($F1722="Faltou","Falta: reagendar","")))))</f>
        <v>0</v>
      </c>
      <c r="T1722" s="29">
        <f>IF($A1722="","",DATE(YEAR($A1722),MONTH($A1722),1))</f>
        <v>0</v>
      </c>
      <c r="U1722" s="30">
        <f>IF($S1722="CONFIRMAR",MAX($U$4:$U1721)+1,"")</f>
        <v>0</v>
      </c>
      <c r="V1722" s="30">
        <f>IF(AND($R1722="Não",$Q1722&lt;&gt;"",$Q1722&lt;=Hoje+JanelaRet,$Q1722&gt;=Hoje-60),MAX($V$4:$V1721)+1,"")</f>
        <v>0</v>
      </c>
    </row>
    <row r="1723" spans="1:22">
      <c r="A1723" s="16"/>
      <c r="B1723" s="23"/>
      <c r="C1723" s="15"/>
      <c r="D1723" s="15"/>
      <c r="E1723" s="15"/>
      <c r="F1723" s="24"/>
      <c r="G1723" s="17"/>
      <c r="H1723" s="17"/>
      <c r="I1723" s="15"/>
      <c r="J1723" s="25">
        <f>IF($D1723="","",IFERROR(INDEX(PacNome,MATCH($D1723,PacCod,0)),"Paciente não cadastrado"))</f>
        <v>0</v>
      </c>
      <c r="K1723" s="26">
        <f>IF($D1723="","",IFERROR(INDEX(PacConv,MATCH($D1723,PacCod,0))&amp;"",""))</f>
        <v>0</v>
      </c>
      <c r="L1723" s="26">
        <f>IF($A1723="","",CHOOSE(WEEKDAY($A1723,2),"Seg","Ter","Qua","Qui","Sex","Sáb","Dom"))</f>
        <v>0</v>
      </c>
      <c r="M1723" s="27">
        <f>IF($E1723="","",IF($G1723&lt;&gt;"",$G1723,IFERROR(INDEX(ProcValor,MATCH($E1723,ProcNome,0)),0)))</f>
        <v>0</v>
      </c>
      <c r="N1723" s="27">
        <f>IF($M1723="","",IF($F1723="Compareceu",$M1723,0))</f>
        <v>0</v>
      </c>
      <c r="O1723" s="27">
        <f>IF($M1723="","",IF($F1723="Faltou",$M1723,0))</f>
        <v>0</v>
      </c>
      <c r="P1723" s="27">
        <f>IF($M1723="","",IF($F1723="Compareceu",MAX(0,$M1723-N($H1723)),0))</f>
        <v>0</v>
      </c>
      <c r="Q1723" s="19">
        <f>IF(AND($F1723="Compareceu",$E1723&lt;&gt;"",$A1723&lt;&gt;""),IF(IFERROR(INDEX(ProcRet,MATCH($E1723,ProcNome,0)),0)&gt;0,$A1723+INDEX(ProcRet,MATCH($E1723,ProcNome,0)),""),"")</f>
        <v>0</v>
      </c>
      <c r="R1723" s="26">
        <f>IF($Q1723="","",IF(COUNTIFS(AgPac,$D1723,AgData,"&gt;"&amp;$A1723,AgStatus,"&lt;&gt;Cancelado",AgStatus,"&lt;&gt;Remarcado")&gt;0,"Sim","Não"))</f>
        <v>0</v>
      </c>
      <c r="S1723" s="28">
        <f>IF($A1723="","",IF(AND($F1723="Agendado",$A1723-Hoje&gt;=0,$A1723-Hoje&lt;=DiasConf),"CONFIRMAR",IF(AND($A1723&lt;Hoje,OR($F1723="Agendado",$F1723="Confirmado")),"Atualizar status",IF(AND($F1723="Compareceu",$P1723&gt;0.005),"Cobrar",IF($F1723="Faltou","Falta: reagendar","")))))</f>
        <v>0</v>
      </c>
      <c r="T1723" s="29">
        <f>IF($A1723="","",DATE(YEAR($A1723),MONTH($A1723),1))</f>
        <v>0</v>
      </c>
      <c r="U1723" s="30">
        <f>IF($S1723="CONFIRMAR",MAX($U$4:$U1722)+1,"")</f>
        <v>0</v>
      </c>
      <c r="V1723" s="30">
        <f>IF(AND($R1723="Não",$Q1723&lt;&gt;"",$Q1723&lt;=Hoje+JanelaRet,$Q1723&gt;=Hoje-60),MAX($V$4:$V1722)+1,"")</f>
        <v>0</v>
      </c>
    </row>
    <row r="1724" spans="1:22">
      <c r="A1724" s="16"/>
      <c r="B1724" s="23"/>
      <c r="C1724" s="15"/>
      <c r="D1724" s="15"/>
      <c r="E1724" s="15"/>
      <c r="F1724" s="24"/>
      <c r="G1724" s="17"/>
      <c r="H1724" s="17"/>
      <c r="I1724" s="15"/>
      <c r="J1724" s="25">
        <f>IF($D1724="","",IFERROR(INDEX(PacNome,MATCH($D1724,PacCod,0)),"Paciente não cadastrado"))</f>
        <v>0</v>
      </c>
      <c r="K1724" s="26">
        <f>IF($D1724="","",IFERROR(INDEX(PacConv,MATCH($D1724,PacCod,0))&amp;"",""))</f>
        <v>0</v>
      </c>
      <c r="L1724" s="26">
        <f>IF($A1724="","",CHOOSE(WEEKDAY($A1724,2),"Seg","Ter","Qua","Qui","Sex","Sáb","Dom"))</f>
        <v>0</v>
      </c>
      <c r="M1724" s="27">
        <f>IF($E1724="","",IF($G1724&lt;&gt;"",$G1724,IFERROR(INDEX(ProcValor,MATCH($E1724,ProcNome,0)),0)))</f>
        <v>0</v>
      </c>
      <c r="N1724" s="27">
        <f>IF($M1724="","",IF($F1724="Compareceu",$M1724,0))</f>
        <v>0</v>
      </c>
      <c r="O1724" s="27">
        <f>IF($M1724="","",IF($F1724="Faltou",$M1724,0))</f>
        <v>0</v>
      </c>
      <c r="P1724" s="27">
        <f>IF($M1724="","",IF($F1724="Compareceu",MAX(0,$M1724-N($H1724)),0))</f>
        <v>0</v>
      </c>
      <c r="Q1724" s="19">
        <f>IF(AND($F1724="Compareceu",$E1724&lt;&gt;"",$A1724&lt;&gt;""),IF(IFERROR(INDEX(ProcRet,MATCH($E1724,ProcNome,0)),0)&gt;0,$A1724+INDEX(ProcRet,MATCH($E1724,ProcNome,0)),""),"")</f>
        <v>0</v>
      </c>
      <c r="R1724" s="26">
        <f>IF($Q1724="","",IF(COUNTIFS(AgPac,$D1724,AgData,"&gt;"&amp;$A1724,AgStatus,"&lt;&gt;Cancelado",AgStatus,"&lt;&gt;Remarcado")&gt;0,"Sim","Não"))</f>
        <v>0</v>
      </c>
      <c r="S1724" s="28">
        <f>IF($A1724="","",IF(AND($F1724="Agendado",$A1724-Hoje&gt;=0,$A1724-Hoje&lt;=DiasConf),"CONFIRMAR",IF(AND($A1724&lt;Hoje,OR($F1724="Agendado",$F1724="Confirmado")),"Atualizar status",IF(AND($F1724="Compareceu",$P1724&gt;0.005),"Cobrar",IF($F1724="Faltou","Falta: reagendar","")))))</f>
        <v>0</v>
      </c>
      <c r="T1724" s="29">
        <f>IF($A1724="","",DATE(YEAR($A1724),MONTH($A1724),1))</f>
        <v>0</v>
      </c>
      <c r="U1724" s="30">
        <f>IF($S1724="CONFIRMAR",MAX($U$4:$U1723)+1,"")</f>
        <v>0</v>
      </c>
      <c r="V1724" s="30">
        <f>IF(AND($R1724="Não",$Q1724&lt;&gt;"",$Q1724&lt;=Hoje+JanelaRet,$Q1724&gt;=Hoje-60),MAX($V$4:$V1723)+1,"")</f>
        <v>0</v>
      </c>
    </row>
    <row r="1725" spans="1:22">
      <c r="A1725" s="16"/>
      <c r="B1725" s="23"/>
      <c r="C1725" s="15"/>
      <c r="D1725" s="15"/>
      <c r="E1725" s="15"/>
      <c r="F1725" s="24"/>
      <c r="G1725" s="17"/>
      <c r="H1725" s="17"/>
      <c r="I1725" s="15"/>
      <c r="J1725" s="25">
        <f>IF($D1725="","",IFERROR(INDEX(PacNome,MATCH($D1725,PacCod,0)),"Paciente não cadastrado"))</f>
        <v>0</v>
      </c>
      <c r="K1725" s="26">
        <f>IF($D1725="","",IFERROR(INDEX(PacConv,MATCH($D1725,PacCod,0))&amp;"",""))</f>
        <v>0</v>
      </c>
      <c r="L1725" s="26">
        <f>IF($A1725="","",CHOOSE(WEEKDAY($A1725,2),"Seg","Ter","Qua","Qui","Sex","Sáb","Dom"))</f>
        <v>0</v>
      </c>
      <c r="M1725" s="27">
        <f>IF($E1725="","",IF($G1725&lt;&gt;"",$G1725,IFERROR(INDEX(ProcValor,MATCH($E1725,ProcNome,0)),0)))</f>
        <v>0</v>
      </c>
      <c r="N1725" s="27">
        <f>IF($M1725="","",IF($F1725="Compareceu",$M1725,0))</f>
        <v>0</v>
      </c>
      <c r="O1725" s="27">
        <f>IF($M1725="","",IF($F1725="Faltou",$M1725,0))</f>
        <v>0</v>
      </c>
      <c r="P1725" s="27">
        <f>IF($M1725="","",IF($F1725="Compareceu",MAX(0,$M1725-N($H1725)),0))</f>
        <v>0</v>
      </c>
      <c r="Q1725" s="19">
        <f>IF(AND($F1725="Compareceu",$E1725&lt;&gt;"",$A1725&lt;&gt;""),IF(IFERROR(INDEX(ProcRet,MATCH($E1725,ProcNome,0)),0)&gt;0,$A1725+INDEX(ProcRet,MATCH($E1725,ProcNome,0)),""),"")</f>
        <v>0</v>
      </c>
      <c r="R1725" s="26">
        <f>IF($Q1725="","",IF(COUNTIFS(AgPac,$D1725,AgData,"&gt;"&amp;$A1725,AgStatus,"&lt;&gt;Cancelado",AgStatus,"&lt;&gt;Remarcado")&gt;0,"Sim","Não"))</f>
        <v>0</v>
      </c>
      <c r="S1725" s="28">
        <f>IF($A1725="","",IF(AND($F1725="Agendado",$A1725-Hoje&gt;=0,$A1725-Hoje&lt;=DiasConf),"CONFIRMAR",IF(AND($A1725&lt;Hoje,OR($F1725="Agendado",$F1725="Confirmado")),"Atualizar status",IF(AND($F1725="Compareceu",$P1725&gt;0.005),"Cobrar",IF($F1725="Faltou","Falta: reagendar","")))))</f>
        <v>0</v>
      </c>
      <c r="T1725" s="29">
        <f>IF($A1725="","",DATE(YEAR($A1725),MONTH($A1725),1))</f>
        <v>0</v>
      </c>
      <c r="U1725" s="30">
        <f>IF($S1725="CONFIRMAR",MAX($U$4:$U1724)+1,"")</f>
        <v>0</v>
      </c>
      <c r="V1725" s="30">
        <f>IF(AND($R1725="Não",$Q1725&lt;&gt;"",$Q1725&lt;=Hoje+JanelaRet,$Q1725&gt;=Hoje-60),MAX($V$4:$V1724)+1,"")</f>
        <v>0</v>
      </c>
    </row>
    <row r="1726" spans="1:22">
      <c r="A1726" s="16"/>
      <c r="B1726" s="23"/>
      <c r="C1726" s="15"/>
      <c r="D1726" s="15"/>
      <c r="E1726" s="15"/>
      <c r="F1726" s="24"/>
      <c r="G1726" s="17"/>
      <c r="H1726" s="17"/>
      <c r="I1726" s="15"/>
      <c r="J1726" s="25">
        <f>IF($D1726="","",IFERROR(INDEX(PacNome,MATCH($D1726,PacCod,0)),"Paciente não cadastrado"))</f>
        <v>0</v>
      </c>
      <c r="K1726" s="26">
        <f>IF($D1726="","",IFERROR(INDEX(PacConv,MATCH($D1726,PacCod,0))&amp;"",""))</f>
        <v>0</v>
      </c>
      <c r="L1726" s="26">
        <f>IF($A1726="","",CHOOSE(WEEKDAY($A1726,2),"Seg","Ter","Qua","Qui","Sex","Sáb","Dom"))</f>
        <v>0</v>
      </c>
      <c r="M1726" s="27">
        <f>IF($E1726="","",IF($G1726&lt;&gt;"",$G1726,IFERROR(INDEX(ProcValor,MATCH($E1726,ProcNome,0)),0)))</f>
        <v>0</v>
      </c>
      <c r="N1726" s="27">
        <f>IF($M1726="","",IF($F1726="Compareceu",$M1726,0))</f>
        <v>0</v>
      </c>
      <c r="O1726" s="27">
        <f>IF($M1726="","",IF($F1726="Faltou",$M1726,0))</f>
        <v>0</v>
      </c>
      <c r="P1726" s="27">
        <f>IF($M1726="","",IF($F1726="Compareceu",MAX(0,$M1726-N($H1726)),0))</f>
        <v>0</v>
      </c>
      <c r="Q1726" s="19">
        <f>IF(AND($F1726="Compareceu",$E1726&lt;&gt;"",$A1726&lt;&gt;""),IF(IFERROR(INDEX(ProcRet,MATCH($E1726,ProcNome,0)),0)&gt;0,$A1726+INDEX(ProcRet,MATCH($E1726,ProcNome,0)),""),"")</f>
        <v>0</v>
      </c>
      <c r="R1726" s="26">
        <f>IF($Q1726="","",IF(COUNTIFS(AgPac,$D1726,AgData,"&gt;"&amp;$A1726,AgStatus,"&lt;&gt;Cancelado",AgStatus,"&lt;&gt;Remarcado")&gt;0,"Sim","Não"))</f>
        <v>0</v>
      </c>
      <c r="S1726" s="28">
        <f>IF($A1726="","",IF(AND($F1726="Agendado",$A1726-Hoje&gt;=0,$A1726-Hoje&lt;=DiasConf),"CONFIRMAR",IF(AND($A1726&lt;Hoje,OR($F1726="Agendado",$F1726="Confirmado")),"Atualizar status",IF(AND($F1726="Compareceu",$P1726&gt;0.005),"Cobrar",IF($F1726="Faltou","Falta: reagendar","")))))</f>
        <v>0</v>
      </c>
      <c r="T1726" s="29">
        <f>IF($A1726="","",DATE(YEAR($A1726),MONTH($A1726),1))</f>
        <v>0</v>
      </c>
      <c r="U1726" s="30">
        <f>IF($S1726="CONFIRMAR",MAX($U$4:$U1725)+1,"")</f>
        <v>0</v>
      </c>
      <c r="V1726" s="30">
        <f>IF(AND($R1726="Não",$Q1726&lt;&gt;"",$Q1726&lt;=Hoje+JanelaRet,$Q1726&gt;=Hoje-60),MAX($V$4:$V1725)+1,"")</f>
        <v>0</v>
      </c>
    </row>
    <row r="1727" spans="1:22">
      <c r="A1727" s="16"/>
      <c r="B1727" s="23"/>
      <c r="C1727" s="15"/>
      <c r="D1727" s="15"/>
      <c r="E1727" s="15"/>
      <c r="F1727" s="24"/>
      <c r="G1727" s="17"/>
      <c r="H1727" s="17"/>
      <c r="I1727" s="15"/>
      <c r="J1727" s="25">
        <f>IF($D1727="","",IFERROR(INDEX(PacNome,MATCH($D1727,PacCod,0)),"Paciente não cadastrado"))</f>
        <v>0</v>
      </c>
      <c r="K1727" s="26">
        <f>IF($D1727="","",IFERROR(INDEX(PacConv,MATCH($D1727,PacCod,0))&amp;"",""))</f>
        <v>0</v>
      </c>
      <c r="L1727" s="26">
        <f>IF($A1727="","",CHOOSE(WEEKDAY($A1727,2),"Seg","Ter","Qua","Qui","Sex","Sáb","Dom"))</f>
        <v>0</v>
      </c>
      <c r="M1727" s="27">
        <f>IF($E1727="","",IF($G1727&lt;&gt;"",$G1727,IFERROR(INDEX(ProcValor,MATCH($E1727,ProcNome,0)),0)))</f>
        <v>0</v>
      </c>
      <c r="N1727" s="27">
        <f>IF($M1727="","",IF($F1727="Compareceu",$M1727,0))</f>
        <v>0</v>
      </c>
      <c r="O1727" s="27">
        <f>IF($M1727="","",IF($F1727="Faltou",$M1727,0))</f>
        <v>0</v>
      </c>
      <c r="P1727" s="27">
        <f>IF($M1727="","",IF($F1727="Compareceu",MAX(0,$M1727-N($H1727)),0))</f>
        <v>0</v>
      </c>
      <c r="Q1727" s="19">
        <f>IF(AND($F1727="Compareceu",$E1727&lt;&gt;"",$A1727&lt;&gt;""),IF(IFERROR(INDEX(ProcRet,MATCH($E1727,ProcNome,0)),0)&gt;0,$A1727+INDEX(ProcRet,MATCH($E1727,ProcNome,0)),""),"")</f>
        <v>0</v>
      </c>
      <c r="R1727" s="26">
        <f>IF($Q1727="","",IF(COUNTIFS(AgPac,$D1727,AgData,"&gt;"&amp;$A1727,AgStatus,"&lt;&gt;Cancelado",AgStatus,"&lt;&gt;Remarcado")&gt;0,"Sim","Não"))</f>
        <v>0</v>
      </c>
      <c r="S1727" s="28">
        <f>IF($A1727="","",IF(AND($F1727="Agendado",$A1727-Hoje&gt;=0,$A1727-Hoje&lt;=DiasConf),"CONFIRMAR",IF(AND($A1727&lt;Hoje,OR($F1727="Agendado",$F1727="Confirmado")),"Atualizar status",IF(AND($F1727="Compareceu",$P1727&gt;0.005),"Cobrar",IF($F1727="Faltou","Falta: reagendar","")))))</f>
        <v>0</v>
      </c>
      <c r="T1727" s="29">
        <f>IF($A1727="","",DATE(YEAR($A1727),MONTH($A1727),1))</f>
        <v>0</v>
      </c>
      <c r="U1727" s="30">
        <f>IF($S1727="CONFIRMAR",MAX($U$4:$U1726)+1,"")</f>
        <v>0</v>
      </c>
      <c r="V1727" s="30">
        <f>IF(AND($R1727="Não",$Q1727&lt;&gt;"",$Q1727&lt;=Hoje+JanelaRet,$Q1727&gt;=Hoje-60),MAX($V$4:$V1726)+1,"")</f>
        <v>0</v>
      </c>
    </row>
    <row r="1728" spans="1:22">
      <c r="A1728" s="16"/>
      <c r="B1728" s="23"/>
      <c r="C1728" s="15"/>
      <c r="D1728" s="15"/>
      <c r="E1728" s="15"/>
      <c r="F1728" s="24"/>
      <c r="G1728" s="17"/>
      <c r="H1728" s="17"/>
      <c r="I1728" s="15"/>
      <c r="J1728" s="25">
        <f>IF($D1728="","",IFERROR(INDEX(PacNome,MATCH($D1728,PacCod,0)),"Paciente não cadastrado"))</f>
        <v>0</v>
      </c>
      <c r="K1728" s="26">
        <f>IF($D1728="","",IFERROR(INDEX(PacConv,MATCH($D1728,PacCod,0))&amp;"",""))</f>
        <v>0</v>
      </c>
      <c r="L1728" s="26">
        <f>IF($A1728="","",CHOOSE(WEEKDAY($A1728,2),"Seg","Ter","Qua","Qui","Sex","Sáb","Dom"))</f>
        <v>0</v>
      </c>
      <c r="M1728" s="27">
        <f>IF($E1728="","",IF($G1728&lt;&gt;"",$G1728,IFERROR(INDEX(ProcValor,MATCH($E1728,ProcNome,0)),0)))</f>
        <v>0</v>
      </c>
      <c r="N1728" s="27">
        <f>IF($M1728="","",IF($F1728="Compareceu",$M1728,0))</f>
        <v>0</v>
      </c>
      <c r="O1728" s="27">
        <f>IF($M1728="","",IF($F1728="Faltou",$M1728,0))</f>
        <v>0</v>
      </c>
      <c r="P1728" s="27">
        <f>IF($M1728="","",IF($F1728="Compareceu",MAX(0,$M1728-N($H1728)),0))</f>
        <v>0</v>
      </c>
      <c r="Q1728" s="19">
        <f>IF(AND($F1728="Compareceu",$E1728&lt;&gt;"",$A1728&lt;&gt;""),IF(IFERROR(INDEX(ProcRet,MATCH($E1728,ProcNome,0)),0)&gt;0,$A1728+INDEX(ProcRet,MATCH($E1728,ProcNome,0)),""),"")</f>
        <v>0</v>
      </c>
      <c r="R1728" s="26">
        <f>IF($Q1728="","",IF(COUNTIFS(AgPac,$D1728,AgData,"&gt;"&amp;$A1728,AgStatus,"&lt;&gt;Cancelado",AgStatus,"&lt;&gt;Remarcado")&gt;0,"Sim","Não"))</f>
        <v>0</v>
      </c>
      <c r="S1728" s="28">
        <f>IF($A1728="","",IF(AND($F1728="Agendado",$A1728-Hoje&gt;=0,$A1728-Hoje&lt;=DiasConf),"CONFIRMAR",IF(AND($A1728&lt;Hoje,OR($F1728="Agendado",$F1728="Confirmado")),"Atualizar status",IF(AND($F1728="Compareceu",$P1728&gt;0.005),"Cobrar",IF($F1728="Faltou","Falta: reagendar","")))))</f>
        <v>0</v>
      </c>
      <c r="T1728" s="29">
        <f>IF($A1728="","",DATE(YEAR($A1728),MONTH($A1728),1))</f>
        <v>0</v>
      </c>
      <c r="U1728" s="30">
        <f>IF($S1728="CONFIRMAR",MAX($U$4:$U1727)+1,"")</f>
        <v>0</v>
      </c>
      <c r="V1728" s="30">
        <f>IF(AND($R1728="Não",$Q1728&lt;&gt;"",$Q1728&lt;=Hoje+JanelaRet,$Q1728&gt;=Hoje-60),MAX($V$4:$V1727)+1,"")</f>
        <v>0</v>
      </c>
    </row>
    <row r="1729" spans="1:22">
      <c r="A1729" s="16"/>
      <c r="B1729" s="23"/>
      <c r="C1729" s="15"/>
      <c r="D1729" s="15"/>
      <c r="E1729" s="15"/>
      <c r="F1729" s="24"/>
      <c r="G1729" s="17"/>
      <c r="H1729" s="17"/>
      <c r="I1729" s="15"/>
      <c r="J1729" s="25">
        <f>IF($D1729="","",IFERROR(INDEX(PacNome,MATCH($D1729,PacCod,0)),"Paciente não cadastrado"))</f>
        <v>0</v>
      </c>
      <c r="K1729" s="26">
        <f>IF($D1729="","",IFERROR(INDEX(PacConv,MATCH($D1729,PacCod,0))&amp;"",""))</f>
        <v>0</v>
      </c>
      <c r="L1729" s="26">
        <f>IF($A1729="","",CHOOSE(WEEKDAY($A1729,2),"Seg","Ter","Qua","Qui","Sex","Sáb","Dom"))</f>
        <v>0</v>
      </c>
      <c r="M1729" s="27">
        <f>IF($E1729="","",IF($G1729&lt;&gt;"",$G1729,IFERROR(INDEX(ProcValor,MATCH($E1729,ProcNome,0)),0)))</f>
        <v>0</v>
      </c>
      <c r="N1729" s="27">
        <f>IF($M1729="","",IF($F1729="Compareceu",$M1729,0))</f>
        <v>0</v>
      </c>
      <c r="O1729" s="27">
        <f>IF($M1729="","",IF($F1729="Faltou",$M1729,0))</f>
        <v>0</v>
      </c>
      <c r="P1729" s="27">
        <f>IF($M1729="","",IF($F1729="Compareceu",MAX(0,$M1729-N($H1729)),0))</f>
        <v>0</v>
      </c>
      <c r="Q1729" s="19">
        <f>IF(AND($F1729="Compareceu",$E1729&lt;&gt;"",$A1729&lt;&gt;""),IF(IFERROR(INDEX(ProcRet,MATCH($E1729,ProcNome,0)),0)&gt;0,$A1729+INDEX(ProcRet,MATCH($E1729,ProcNome,0)),""),"")</f>
        <v>0</v>
      </c>
      <c r="R1729" s="26">
        <f>IF($Q1729="","",IF(COUNTIFS(AgPac,$D1729,AgData,"&gt;"&amp;$A1729,AgStatus,"&lt;&gt;Cancelado",AgStatus,"&lt;&gt;Remarcado")&gt;0,"Sim","Não"))</f>
        <v>0</v>
      </c>
      <c r="S1729" s="28">
        <f>IF($A1729="","",IF(AND($F1729="Agendado",$A1729-Hoje&gt;=0,$A1729-Hoje&lt;=DiasConf),"CONFIRMAR",IF(AND($A1729&lt;Hoje,OR($F1729="Agendado",$F1729="Confirmado")),"Atualizar status",IF(AND($F1729="Compareceu",$P1729&gt;0.005),"Cobrar",IF($F1729="Faltou","Falta: reagendar","")))))</f>
        <v>0</v>
      </c>
      <c r="T1729" s="29">
        <f>IF($A1729="","",DATE(YEAR($A1729),MONTH($A1729),1))</f>
        <v>0</v>
      </c>
      <c r="U1729" s="30">
        <f>IF($S1729="CONFIRMAR",MAX($U$4:$U1728)+1,"")</f>
        <v>0</v>
      </c>
      <c r="V1729" s="30">
        <f>IF(AND($R1729="Não",$Q1729&lt;&gt;"",$Q1729&lt;=Hoje+JanelaRet,$Q1729&gt;=Hoje-60),MAX($V$4:$V1728)+1,"")</f>
        <v>0</v>
      </c>
    </row>
    <row r="1730" spans="1:22">
      <c r="A1730" s="16"/>
      <c r="B1730" s="23"/>
      <c r="C1730" s="15"/>
      <c r="D1730" s="15"/>
      <c r="E1730" s="15"/>
      <c r="F1730" s="24"/>
      <c r="G1730" s="17"/>
      <c r="H1730" s="17"/>
      <c r="I1730" s="15"/>
      <c r="J1730" s="25">
        <f>IF($D1730="","",IFERROR(INDEX(PacNome,MATCH($D1730,PacCod,0)),"Paciente não cadastrado"))</f>
        <v>0</v>
      </c>
      <c r="K1730" s="26">
        <f>IF($D1730="","",IFERROR(INDEX(PacConv,MATCH($D1730,PacCod,0))&amp;"",""))</f>
        <v>0</v>
      </c>
      <c r="L1730" s="26">
        <f>IF($A1730="","",CHOOSE(WEEKDAY($A1730,2),"Seg","Ter","Qua","Qui","Sex","Sáb","Dom"))</f>
        <v>0</v>
      </c>
      <c r="M1730" s="27">
        <f>IF($E1730="","",IF($G1730&lt;&gt;"",$G1730,IFERROR(INDEX(ProcValor,MATCH($E1730,ProcNome,0)),0)))</f>
        <v>0</v>
      </c>
      <c r="N1730" s="27">
        <f>IF($M1730="","",IF($F1730="Compareceu",$M1730,0))</f>
        <v>0</v>
      </c>
      <c r="O1730" s="27">
        <f>IF($M1730="","",IF($F1730="Faltou",$M1730,0))</f>
        <v>0</v>
      </c>
      <c r="P1730" s="27">
        <f>IF($M1730="","",IF($F1730="Compareceu",MAX(0,$M1730-N($H1730)),0))</f>
        <v>0</v>
      </c>
      <c r="Q1730" s="19">
        <f>IF(AND($F1730="Compareceu",$E1730&lt;&gt;"",$A1730&lt;&gt;""),IF(IFERROR(INDEX(ProcRet,MATCH($E1730,ProcNome,0)),0)&gt;0,$A1730+INDEX(ProcRet,MATCH($E1730,ProcNome,0)),""),"")</f>
        <v>0</v>
      </c>
      <c r="R1730" s="26">
        <f>IF($Q1730="","",IF(COUNTIFS(AgPac,$D1730,AgData,"&gt;"&amp;$A1730,AgStatus,"&lt;&gt;Cancelado",AgStatus,"&lt;&gt;Remarcado")&gt;0,"Sim","Não"))</f>
        <v>0</v>
      </c>
      <c r="S1730" s="28">
        <f>IF($A1730="","",IF(AND($F1730="Agendado",$A1730-Hoje&gt;=0,$A1730-Hoje&lt;=DiasConf),"CONFIRMAR",IF(AND($A1730&lt;Hoje,OR($F1730="Agendado",$F1730="Confirmado")),"Atualizar status",IF(AND($F1730="Compareceu",$P1730&gt;0.005),"Cobrar",IF($F1730="Faltou","Falta: reagendar","")))))</f>
        <v>0</v>
      </c>
      <c r="T1730" s="29">
        <f>IF($A1730="","",DATE(YEAR($A1730),MONTH($A1730),1))</f>
        <v>0</v>
      </c>
      <c r="U1730" s="30">
        <f>IF($S1730="CONFIRMAR",MAX($U$4:$U1729)+1,"")</f>
        <v>0</v>
      </c>
      <c r="V1730" s="30">
        <f>IF(AND($R1730="Não",$Q1730&lt;&gt;"",$Q1730&lt;=Hoje+JanelaRet,$Q1730&gt;=Hoje-60),MAX($V$4:$V1729)+1,"")</f>
        <v>0</v>
      </c>
    </row>
    <row r="1731" spans="1:22">
      <c r="A1731" s="16"/>
      <c r="B1731" s="23"/>
      <c r="C1731" s="15"/>
      <c r="D1731" s="15"/>
      <c r="E1731" s="15"/>
      <c r="F1731" s="24"/>
      <c r="G1731" s="17"/>
      <c r="H1731" s="17"/>
      <c r="I1731" s="15"/>
      <c r="J1731" s="25">
        <f>IF($D1731="","",IFERROR(INDEX(PacNome,MATCH($D1731,PacCod,0)),"Paciente não cadastrado"))</f>
        <v>0</v>
      </c>
      <c r="K1731" s="26">
        <f>IF($D1731="","",IFERROR(INDEX(PacConv,MATCH($D1731,PacCod,0))&amp;"",""))</f>
        <v>0</v>
      </c>
      <c r="L1731" s="26">
        <f>IF($A1731="","",CHOOSE(WEEKDAY($A1731,2),"Seg","Ter","Qua","Qui","Sex","Sáb","Dom"))</f>
        <v>0</v>
      </c>
      <c r="M1731" s="27">
        <f>IF($E1731="","",IF($G1731&lt;&gt;"",$G1731,IFERROR(INDEX(ProcValor,MATCH($E1731,ProcNome,0)),0)))</f>
        <v>0</v>
      </c>
      <c r="N1731" s="27">
        <f>IF($M1731="","",IF($F1731="Compareceu",$M1731,0))</f>
        <v>0</v>
      </c>
      <c r="O1731" s="27">
        <f>IF($M1731="","",IF($F1731="Faltou",$M1731,0))</f>
        <v>0</v>
      </c>
      <c r="P1731" s="27">
        <f>IF($M1731="","",IF($F1731="Compareceu",MAX(0,$M1731-N($H1731)),0))</f>
        <v>0</v>
      </c>
      <c r="Q1731" s="19">
        <f>IF(AND($F1731="Compareceu",$E1731&lt;&gt;"",$A1731&lt;&gt;""),IF(IFERROR(INDEX(ProcRet,MATCH($E1731,ProcNome,0)),0)&gt;0,$A1731+INDEX(ProcRet,MATCH($E1731,ProcNome,0)),""),"")</f>
        <v>0</v>
      </c>
      <c r="R1731" s="26">
        <f>IF($Q1731="","",IF(COUNTIFS(AgPac,$D1731,AgData,"&gt;"&amp;$A1731,AgStatus,"&lt;&gt;Cancelado",AgStatus,"&lt;&gt;Remarcado")&gt;0,"Sim","Não"))</f>
        <v>0</v>
      </c>
      <c r="S1731" s="28">
        <f>IF($A1731="","",IF(AND($F1731="Agendado",$A1731-Hoje&gt;=0,$A1731-Hoje&lt;=DiasConf),"CONFIRMAR",IF(AND($A1731&lt;Hoje,OR($F1731="Agendado",$F1731="Confirmado")),"Atualizar status",IF(AND($F1731="Compareceu",$P1731&gt;0.005),"Cobrar",IF($F1731="Faltou","Falta: reagendar","")))))</f>
        <v>0</v>
      </c>
      <c r="T1731" s="29">
        <f>IF($A1731="","",DATE(YEAR($A1731),MONTH($A1731),1))</f>
        <v>0</v>
      </c>
      <c r="U1731" s="30">
        <f>IF($S1731="CONFIRMAR",MAX($U$4:$U1730)+1,"")</f>
        <v>0</v>
      </c>
      <c r="V1731" s="30">
        <f>IF(AND($R1731="Não",$Q1731&lt;&gt;"",$Q1731&lt;=Hoje+JanelaRet,$Q1731&gt;=Hoje-60),MAX($V$4:$V1730)+1,"")</f>
        <v>0</v>
      </c>
    </row>
    <row r="1732" spans="1:22">
      <c r="A1732" s="16"/>
      <c r="B1732" s="23"/>
      <c r="C1732" s="15"/>
      <c r="D1732" s="15"/>
      <c r="E1732" s="15"/>
      <c r="F1732" s="24"/>
      <c r="G1732" s="17"/>
      <c r="H1732" s="17"/>
      <c r="I1732" s="15"/>
      <c r="J1732" s="25">
        <f>IF($D1732="","",IFERROR(INDEX(PacNome,MATCH($D1732,PacCod,0)),"Paciente não cadastrado"))</f>
        <v>0</v>
      </c>
      <c r="K1732" s="26">
        <f>IF($D1732="","",IFERROR(INDEX(PacConv,MATCH($D1732,PacCod,0))&amp;"",""))</f>
        <v>0</v>
      </c>
      <c r="L1732" s="26">
        <f>IF($A1732="","",CHOOSE(WEEKDAY($A1732,2),"Seg","Ter","Qua","Qui","Sex","Sáb","Dom"))</f>
        <v>0</v>
      </c>
      <c r="M1732" s="27">
        <f>IF($E1732="","",IF($G1732&lt;&gt;"",$G1732,IFERROR(INDEX(ProcValor,MATCH($E1732,ProcNome,0)),0)))</f>
        <v>0</v>
      </c>
      <c r="N1732" s="27">
        <f>IF($M1732="","",IF($F1732="Compareceu",$M1732,0))</f>
        <v>0</v>
      </c>
      <c r="O1732" s="27">
        <f>IF($M1732="","",IF($F1732="Faltou",$M1732,0))</f>
        <v>0</v>
      </c>
      <c r="P1732" s="27">
        <f>IF($M1732="","",IF($F1732="Compareceu",MAX(0,$M1732-N($H1732)),0))</f>
        <v>0</v>
      </c>
      <c r="Q1732" s="19">
        <f>IF(AND($F1732="Compareceu",$E1732&lt;&gt;"",$A1732&lt;&gt;""),IF(IFERROR(INDEX(ProcRet,MATCH($E1732,ProcNome,0)),0)&gt;0,$A1732+INDEX(ProcRet,MATCH($E1732,ProcNome,0)),""),"")</f>
        <v>0</v>
      </c>
      <c r="R1732" s="26">
        <f>IF($Q1732="","",IF(COUNTIFS(AgPac,$D1732,AgData,"&gt;"&amp;$A1732,AgStatus,"&lt;&gt;Cancelado",AgStatus,"&lt;&gt;Remarcado")&gt;0,"Sim","Não"))</f>
        <v>0</v>
      </c>
      <c r="S1732" s="28">
        <f>IF($A1732="","",IF(AND($F1732="Agendado",$A1732-Hoje&gt;=0,$A1732-Hoje&lt;=DiasConf),"CONFIRMAR",IF(AND($A1732&lt;Hoje,OR($F1732="Agendado",$F1732="Confirmado")),"Atualizar status",IF(AND($F1732="Compareceu",$P1732&gt;0.005),"Cobrar",IF($F1732="Faltou","Falta: reagendar","")))))</f>
        <v>0</v>
      </c>
      <c r="T1732" s="29">
        <f>IF($A1732="","",DATE(YEAR($A1732),MONTH($A1732),1))</f>
        <v>0</v>
      </c>
      <c r="U1732" s="30">
        <f>IF($S1732="CONFIRMAR",MAX($U$4:$U1731)+1,"")</f>
        <v>0</v>
      </c>
      <c r="V1732" s="30">
        <f>IF(AND($R1732="Não",$Q1732&lt;&gt;"",$Q1732&lt;=Hoje+JanelaRet,$Q1732&gt;=Hoje-60),MAX($V$4:$V1731)+1,"")</f>
        <v>0</v>
      </c>
    </row>
    <row r="1733" spans="1:22">
      <c r="A1733" s="16"/>
      <c r="B1733" s="23"/>
      <c r="C1733" s="15"/>
      <c r="D1733" s="15"/>
      <c r="E1733" s="15"/>
      <c r="F1733" s="24"/>
      <c r="G1733" s="17"/>
      <c r="H1733" s="17"/>
      <c r="I1733" s="15"/>
      <c r="J1733" s="25">
        <f>IF($D1733="","",IFERROR(INDEX(PacNome,MATCH($D1733,PacCod,0)),"Paciente não cadastrado"))</f>
        <v>0</v>
      </c>
      <c r="K1733" s="26">
        <f>IF($D1733="","",IFERROR(INDEX(PacConv,MATCH($D1733,PacCod,0))&amp;"",""))</f>
        <v>0</v>
      </c>
      <c r="L1733" s="26">
        <f>IF($A1733="","",CHOOSE(WEEKDAY($A1733,2),"Seg","Ter","Qua","Qui","Sex","Sáb","Dom"))</f>
        <v>0</v>
      </c>
      <c r="M1733" s="27">
        <f>IF($E1733="","",IF($G1733&lt;&gt;"",$G1733,IFERROR(INDEX(ProcValor,MATCH($E1733,ProcNome,0)),0)))</f>
        <v>0</v>
      </c>
      <c r="N1733" s="27">
        <f>IF($M1733="","",IF($F1733="Compareceu",$M1733,0))</f>
        <v>0</v>
      </c>
      <c r="O1733" s="27">
        <f>IF($M1733="","",IF($F1733="Faltou",$M1733,0))</f>
        <v>0</v>
      </c>
      <c r="P1733" s="27">
        <f>IF($M1733="","",IF($F1733="Compareceu",MAX(0,$M1733-N($H1733)),0))</f>
        <v>0</v>
      </c>
      <c r="Q1733" s="19">
        <f>IF(AND($F1733="Compareceu",$E1733&lt;&gt;"",$A1733&lt;&gt;""),IF(IFERROR(INDEX(ProcRet,MATCH($E1733,ProcNome,0)),0)&gt;0,$A1733+INDEX(ProcRet,MATCH($E1733,ProcNome,0)),""),"")</f>
        <v>0</v>
      </c>
      <c r="R1733" s="26">
        <f>IF($Q1733="","",IF(COUNTIFS(AgPac,$D1733,AgData,"&gt;"&amp;$A1733,AgStatus,"&lt;&gt;Cancelado",AgStatus,"&lt;&gt;Remarcado")&gt;0,"Sim","Não"))</f>
        <v>0</v>
      </c>
      <c r="S1733" s="28">
        <f>IF($A1733="","",IF(AND($F1733="Agendado",$A1733-Hoje&gt;=0,$A1733-Hoje&lt;=DiasConf),"CONFIRMAR",IF(AND($A1733&lt;Hoje,OR($F1733="Agendado",$F1733="Confirmado")),"Atualizar status",IF(AND($F1733="Compareceu",$P1733&gt;0.005),"Cobrar",IF($F1733="Faltou","Falta: reagendar","")))))</f>
        <v>0</v>
      </c>
      <c r="T1733" s="29">
        <f>IF($A1733="","",DATE(YEAR($A1733),MONTH($A1733),1))</f>
        <v>0</v>
      </c>
      <c r="U1733" s="30">
        <f>IF($S1733="CONFIRMAR",MAX($U$4:$U1732)+1,"")</f>
        <v>0</v>
      </c>
      <c r="V1733" s="30">
        <f>IF(AND($R1733="Não",$Q1733&lt;&gt;"",$Q1733&lt;=Hoje+JanelaRet,$Q1733&gt;=Hoje-60),MAX($V$4:$V1732)+1,"")</f>
        <v>0</v>
      </c>
    </row>
    <row r="1734" spans="1:22">
      <c r="A1734" s="16"/>
      <c r="B1734" s="23"/>
      <c r="C1734" s="15"/>
      <c r="D1734" s="15"/>
      <c r="E1734" s="15"/>
      <c r="F1734" s="24"/>
      <c r="G1734" s="17"/>
      <c r="H1734" s="17"/>
      <c r="I1734" s="15"/>
      <c r="J1734" s="25">
        <f>IF($D1734="","",IFERROR(INDEX(PacNome,MATCH($D1734,PacCod,0)),"Paciente não cadastrado"))</f>
        <v>0</v>
      </c>
      <c r="K1734" s="26">
        <f>IF($D1734="","",IFERROR(INDEX(PacConv,MATCH($D1734,PacCod,0))&amp;"",""))</f>
        <v>0</v>
      </c>
      <c r="L1734" s="26">
        <f>IF($A1734="","",CHOOSE(WEEKDAY($A1734,2),"Seg","Ter","Qua","Qui","Sex","Sáb","Dom"))</f>
        <v>0</v>
      </c>
      <c r="M1734" s="27">
        <f>IF($E1734="","",IF($G1734&lt;&gt;"",$G1734,IFERROR(INDEX(ProcValor,MATCH($E1734,ProcNome,0)),0)))</f>
        <v>0</v>
      </c>
      <c r="N1734" s="27">
        <f>IF($M1734="","",IF($F1734="Compareceu",$M1734,0))</f>
        <v>0</v>
      </c>
      <c r="O1734" s="27">
        <f>IF($M1734="","",IF($F1734="Faltou",$M1734,0))</f>
        <v>0</v>
      </c>
      <c r="P1734" s="27">
        <f>IF($M1734="","",IF($F1734="Compareceu",MAX(0,$M1734-N($H1734)),0))</f>
        <v>0</v>
      </c>
      <c r="Q1734" s="19">
        <f>IF(AND($F1734="Compareceu",$E1734&lt;&gt;"",$A1734&lt;&gt;""),IF(IFERROR(INDEX(ProcRet,MATCH($E1734,ProcNome,0)),0)&gt;0,$A1734+INDEX(ProcRet,MATCH($E1734,ProcNome,0)),""),"")</f>
        <v>0</v>
      </c>
      <c r="R1734" s="26">
        <f>IF($Q1734="","",IF(COUNTIFS(AgPac,$D1734,AgData,"&gt;"&amp;$A1734,AgStatus,"&lt;&gt;Cancelado",AgStatus,"&lt;&gt;Remarcado")&gt;0,"Sim","Não"))</f>
        <v>0</v>
      </c>
      <c r="S1734" s="28">
        <f>IF($A1734="","",IF(AND($F1734="Agendado",$A1734-Hoje&gt;=0,$A1734-Hoje&lt;=DiasConf),"CONFIRMAR",IF(AND($A1734&lt;Hoje,OR($F1734="Agendado",$F1734="Confirmado")),"Atualizar status",IF(AND($F1734="Compareceu",$P1734&gt;0.005),"Cobrar",IF($F1734="Faltou","Falta: reagendar","")))))</f>
        <v>0</v>
      </c>
      <c r="T1734" s="29">
        <f>IF($A1734="","",DATE(YEAR($A1734),MONTH($A1734),1))</f>
        <v>0</v>
      </c>
      <c r="U1734" s="30">
        <f>IF($S1734="CONFIRMAR",MAX($U$4:$U1733)+1,"")</f>
        <v>0</v>
      </c>
      <c r="V1734" s="30">
        <f>IF(AND($R1734="Não",$Q1734&lt;&gt;"",$Q1734&lt;=Hoje+JanelaRet,$Q1734&gt;=Hoje-60),MAX($V$4:$V1733)+1,"")</f>
        <v>0</v>
      </c>
    </row>
    <row r="1735" spans="1:22">
      <c r="A1735" s="16"/>
      <c r="B1735" s="23"/>
      <c r="C1735" s="15"/>
      <c r="D1735" s="15"/>
      <c r="E1735" s="15"/>
      <c r="F1735" s="24"/>
      <c r="G1735" s="17"/>
      <c r="H1735" s="17"/>
      <c r="I1735" s="15"/>
      <c r="J1735" s="25">
        <f>IF($D1735="","",IFERROR(INDEX(PacNome,MATCH($D1735,PacCod,0)),"Paciente não cadastrado"))</f>
        <v>0</v>
      </c>
      <c r="K1735" s="26">
        <f>IF($D1735="","",IFERROR(INDEX(PacConv,MATCH($D1735,PacCod,0))&amp;"",""))</f>
        <v>0</v>
      </c>
      <c r="L1735" s="26">
        <f>IF($A1735="","",CHOOSE(WEEKDAY($A1735,2),"Seg","Ter","Qua","Qui","Sex","Sáb","Dom"))</f>
        <v>0</v>
      </c>
      <c r="M1735" s="27">
        <f>IF($E1735="","",IF($G1735&lt;&gt;"",$G1735,IFERROR(INDEX(ProcValor,MATCH($E1735,ProcNome,0)),0)))</f>
        <v>0</v>
      </c>
      <c r="N1735" s="27">
        <f>IF($M1735="","",IF($F1735="Compareceu",$M1735,0))</f>
        <v>0</v>
      </c>
      <c r="O1735" s="27">
        <f>IF($M1735="","",IF($F1735="Faltou",$M1735,0))</f>
        <v>0</v>
      </c>
      <c r="P1735" s="27">
        <f>IF($M1735="","",IF($F1735="Compareceu",MAX(0,$M1735-N($H1735)),0))</f>
        <v>0</v>
      </c>
      <c r="Q1735" s="19">
        <f>IF(AND($F1735="Compareceu",$E1735&lt;&gt;"",$A1735&lt;&gt;""),IF(IFERROR(INDEX(ProcRet,MATCH($E1735,ProcNome,0)),0)&gt;0,$A1735+INDEX(ProcRet,MATCH($E1735,ProcNome,0)),""),"")</f>
        <v>0</v>
      </c>
      <c r="R1735" s="26">
        <f>IF($Q1735="","",IF(COUNTIFS(AgPac,$D1735,AgData,"&gt;"&amp;$A1735,AgStatus,"&lt;&gt;Cancelado",AgStatus,"&lt;&gt;Remarcado")&gt;0,"Sim","Não"))</f>
        <v>0</v>
      </c>
      <c r="S1735" s="28">
        <f>IF($A1735="","",IF(AND($F1735="Agendado",$A1735-Hoje&gt;=0,$A1735-Hoje&lt;=DiasConf),"CONFIRMAR",IF(AND($A1735&lt;Hoje,OR($F1735="Agendado",$F1735="Confirmado")),"Atualizar status",IF(AND($F1735="Compareceu",$P1735&gt;0.005),"Cobrar",IF($F1735="Faltou","Falta: reagendar","")))))</f>
        <v>0</v>
      </c>
      <c r="T1735" s="29">
        <f>IF($A1735="","",DATE(YEAR($A1735),MONTH($A1735),1))</f>
        <v>0</v>
      </c>
      <c r="U1735" s="30">
        <f>IF($S1735="CONFIRMAR",MAX($U$4:$U1734)+1,"")</f>
        <v>0</v>
      </c>
      <c r="V1735" s="30">
        <f>IF(AND($R1735="Não",$Q1735&lt;&gt;"",$Q1735&lt;=Hoje+JanelaRet,$Q1735&gt;=Hoje-60),MAX($V$4:$V1734)+1,"")</f>
        <v>0</v>
      </c>
    </row>
    <row r="1736" spans="1:22">
      <c r="A1736" s="16"/>
      <c r="B1736" s="23"/>
      <c r="C1736" s="15"/>
      <c r="D1736" s="15"/>
      <c r="E1736" s="15"/>
      <c r="F1736" s="24"/>
      <c r="G1736" s="17"/>
      <c r="H1736" s="17"/>
      <c r="I1736" s="15"/>
      <c r="J1736" s="25">
        <f>IF($D1736="","",IFERROR(INDEX(PacNome,MATCH($D1736,PacCod,0)),"Paciente não cadastrado"))</f>
        <v>0</v>
      </c>
      <c r="K1736" s="26">
        <f>IF($D1736="","",IFERROR(INDEX(PacConv,MATCH($D1736,PacCod,0))&amp;"",""))</f>
        <v>0</v>
      </c>
      <c r="L1736" s="26">
        <f>IF($A1736="","",CHOOSE(WEEKDAY($A1736,2),"Seg","Ter","Qua","Qui","Sex","Sáb","Dom"))</f>
        <v>0</v>
      </c>
      <c r="M1736" s="27">
        <f>IF($E1736="","",IF($G1736&lt;&gt;"",$G1736,IFERROR(INDEX(ProcValor,MATCH($E1736,ProcNome,0)),0)))</f>
        <v>0</v>
      </c>
      <c r="N1736" s="27">
        <f>IF($M1736="","",IF($F1736="Compareceu",$M1736,0))</f>
        <v>0</v>
      </c>
      <c r="O1736" s="27">
        <f>IF($M1736="","",IF($F1736="Faltou",$M1736,0))</f>
        <v>0</v>
      </c>
      <c r="P1736" s="27">
        <f>IF($M1736="","",IF($F1736="Compareceu",MAX(0,$M1736-N($H1736)),0))</f>
        <v>0</v>
      </c>
      <c r="Q1736" s="19">
        <f>IF(AND($F1736="Compareceu",$E1736&lt;&gt;"",$A1736&lt;&gt;""),IF(IFERROR(INDEX(ProcRet,MATCH($E1736,ProcNome,0)),0)&gt;0,$A1736+INDEX(ProcRet,MATCH($E1736,ProcNome,0)),""),"")</f>
        <v>0</v>
      </c>
      <c r="R1736" s="26">
        <f>IF($Q1736="","",IF(COUNTIFS(AgPac,$D1736,AgData,"&gt;"&amp;$A1736,AgStatus,"&lt;&gt;Cancelado",AgStatus,"&lt;&gt;Remarcado")&gt;0,"Sim","Não"))</f>
        <v>0</v>
      </c>
      <c r="S1736" s="28">
        <f>IF($A1736="","",IF(AND($F1736="Agendado",$A1736-Hoje&gt;=0,$A1736-Hoje&lt;=DiasConf),"CONFIRMAR",IF(AND($A1736&lt;Hoje,OR($F1736="Agendado",$F1736="Confirmado")),"Atualizar status",IF(AND($F1736="Compareceu",$P1736&gt;0.005),"Cobrar",IF($F1736="Faltou","Falta: reagendar","")))))</f>
        <v>0</v>
      </c>
      <c r="T1736" s="29">
        <f>IF($A1736="","",DATE(YEAR($A1736),MONTH($A1736),1))</f>
        <v>0</v>
      </c>
      <c r="U1736" s="30">
        <f>IF($S1736="CONFIRMAR",MAX($U$4:$U1735)+1,"")</f>
        <v>0</v>
      </c>
      <c r="V1736" s="30">
        <f>IF(AND($R1736="Não",$Q1736&lt;&gt;"",$Q1736&lt;=Hoje+JanelaRet,$Q1736&gt;=Hoje-60),MAX($V$4:$V1735)+1,"")</f>
        <v>0</v>
      </c>
    </row>
    <row r="1737" spans="1:22">
      <c r="A1737" s="16"/>
      <c r="B1737" s="23"/>
      <c r="C1737" s="15"/>
      <c r="D1737" s="15"/>
      <c r="E1737" s="15"/>
      <c r="F1737" s="24"/>
      <c r="G1737" s="17"/>
      <c r="H1737" s="17"/>
      <c r="I1737" s="15"/>
      <c r="J1737" s="25">
        <f>IF($D1737="","",IFERROR(INDEX(PacNome,MATCH($D1737,PacCod,0)),"Paciente não cadastrado"))</f>
        <v>0</v>
      </c>
      <c r="K1737" s="26">
        <f>IF($D1737="","",IFERROR(INDEX(PacConv,MATCH($D1737,PacCod,0))&amp;"",""))</f>
        <v>0</v>
      </c>
      <c r="L1737" s="26">
        <f>IF($A1737="","",CHOOSE(WEEKDAY($A1737,2),"Seg","Ter","Qua","Qui","Sex","Sáb","Dom"))</f>
        <v>0</v>
      </c>
      <c r="M1737" s="27">
        <f>IF($E1737="","",IF($G1737&lt;&gt;"",$G1737,IFERROR(INDEX(ProcValor,MATCH($E1737,ProcNome,0)),0)))</f>
        <v>0</v>
      </c>
      <c r="N1737" s="27">
        <f>IF($M1737="","",IF($F1737="Compareceu",$M1737,0))</f>
        <v>0</v>
      </c>
      <c r="O1737" s="27">
        <f>IF($M1737="","",IF($F1737="Faltou",$M1737,0))</f>
        <v>0</v>
      </c>
      <c r="P1737" s="27">
        <f>IF($M1737="","",IF($F1737="Compareceu",MAX(0,$M1737-N($H1737)),0))</f>
        <v>0</v>
      </c>
      <c r="Q1737" s="19">
        <f>IF(AND($F1737="Compareceu",$E1737&lt;&gt;"",$A1737&lt;&gt;""),IF(IFERROR(INDEX(ProcRet,MATCH($E1737,ProcNome,0)),0)&gt;0,$A1737+INDEX(ProcRet,MATCH($E1737,ProcNome,0)),""),"")</f>
        <v>0</v>
      </c>
      <c r="R1737" s="26">
        <f>IF($Q1737="","",IF(COUNTIFS(AgPac,$D1737,AgData,"&gt;"&amp;$A1737,AgStatus,"&lt;&gt;Cancelado",AgStatus,"&lt;&gt;Remarcado")&gt;0,"Sim","Não"))</f>
        <v>0</v>
      </c>
      <c r="S1737" s="28">
        <f>IF($A1737="","",IF(AND($F1737="Agendado",$A1737-Hoje&gt;=0,$A1737-Hoje&lt;=DiasConf),"CONFIRMAR",IF(AND($A1737&lt;Hoje,OR($F1737="Agendado",$F1737="Confirmado")),"Atualizar status",IF(AND($F1737="Compareceu",$P1737&gt;0.005),"Cobrar",IF($F1737="Faltou","Falta: reagendar","")))))</f>
        <v>0</v>
      </c>
      <c r="T1737" s="29">
        <f>IF($A1737="","",DATE(YEAR($A1737),MONTH($A1737),1))</f>
        <v>0</v>
      </c>
      <c r="U1737" s="30">
        <f>IF($S1737="CONFIRMAR",MAX($U$4:$U1736)+1,"")</f>
        <v>0</v>
      </c>
      <c r="V1737" s="30">
        <f>IF(AND($R1737="Não",$Q1737&lt;&gt;"",$Q1737&lt;=Hoje+JanelaRet,$Q1737&gt;=Hoje-60),MAX($V$4:$V1736)+1,"")</f>
        <v>0</v>
      </c>
    </row>
    <row r="1738" spans="1:22">
      <c r="A1738" s="16"/>
      <c r="B1738" s="23"/>
      <c r="C1738" s="15"/>
      <c r="D1738" s="15"/>
      <c r="E1738" s="15"/>
      <c r="F1738" s="24"/>
      <c r="G1738" s="17"/>
      <c r="H1738" s="17"/>
      <c r="I1738" s="15"/>
      <c r="J1738" s="25">
        <f>IF($D1738="","",IFERROR(INDEX(PacNome,MATCH($D1738,PacCod,0)),"Paciente não cadastrado"))</f>
        <v>0</v>
      </c>
      <c r="K1738" s="26">
        <f>IF($D1738="","",IFERROR(INDEX(PacConv,MATCH($D1738,PacCod,0))&amp;"",""))</f>
        <v>0</v>
      </c>
      <c r="L1738" s="26">
        <f>IF($A1738="","",CHOOSE(WEEKDAY($A1738,2),"Seg","Ter","Qua","Qui","Sex","Sáb","Dom"))</f>
        <v>0</v>
      </c>
      <c r="M1738" s="27">
        <f>IF($E1738="","",IF($G1738&lt;&gt;"",$G1738,IFERROR(INDEX(ProcValor,MATCH($E1738,ProcNome,0)),0)))</f>
        <v>0</v>
      </c>
      <c r="N1738" s="27">
        <f>IF($M1738="","",IF($F1738="Compareceu",$M1738,0))</f>
        <v>0</v>
      </c>
      <c r="O1738" s="27">
        <f>IF($M1738="","",IF($F1738="Faltou",$M1738,0))</f>
        <v>0</v>
      </c>
      <c r="P1738" s="27">
        <f>IF($M1738="","",IF($F1738="Compareceu",MAX(0,$M1738-N($H1738)),0))</f>
        <v>0</v>
      </c>
      <c r="Q1738" s="19">
        <f>IF(AND($F1738="Compareceu",$E1738&lt;&gt;"",$A1738&lt;&gt;""),IF(IFERROR(INDEX(ProcRet,MATCH($E1738,ProcNome,0)),0)&gt;0,$A1738+INDEX(ProcRet,MATCH($E1738,ProcNome,0)),""),"")</f>
        <v>0</v>
      </c>
      <c r="R1738" s="26">
        <f>IF($Q1738="","",IF(COUNTIFS(AgPac,$D1738,AgData,"&gt;"&amp;$A1738,AgStatus,"&lt;&gt;Cancelado",AgStatus,"&lt;&gt;Remarcado")&gt;0,"Sim","Não"))</f>
        <v>0</v>
      </c>
      <c r="S1738" s="28">
        <f>IF($A1738="","",IF(AND($F1738="Agendado",$A1738-Hoje&gt;=0,$A1738-Hoje&lt;=DiasConf),"CONFIRMAR",IF(AND($A1738&lt;Hoje,OR($F1738="Agendado",$F1738="Confirmado")),"Atualizar status",IF(AND($F1738="Compareceu",$P1738&gt;0.005),"Cobrar",IF($F1738="Faltou","Falta: reagendar","")))))</f>
        <v>0</v>
      </c>
      <c r="T1738" s="29">
        <f>IF($A1738="","",DATE(YEAR($A1738),MONTH($A1738),1))</f>
        <v>0</v>
      </c>
      <c r="U1738" s="30">
        <f>IF($S1738="CONFIRMAR",MAX($U$4:$U1737)+1,"")</f>
        <v>0</v>
      </c>
      <c r="V1738" s="30">
        <f>IF(AND($R1738="Não",$Q1738&lt;&gt;"",$Q1738&lt;=Hoje+JanelaRet,$Q1738&gt;=Hoje-60),MAX($V$4:$V1737)+1,"")</f>
        <v>0</v>
      </c>
    </row>
    <row r="1739" spans="1:22">
      <c r="A1739" s="16"/>
      <c r="B1739" s="23"/>
      <c r="C1739" s="15"/>
      <c r="D1739" s="15"/>
      <c r="E1739" s="15"/>
      <c r="F1739" s="24"/>
      <c r="G1739" s="17"/>
      <c r="H1739" s="17"/>
      <c r="I1739" s="15"/>
      <c r="J1739" s="25">
        <f>IF($D1739="","",IFERROR(INDEX(PacNome,MATCH($D1739,PacCod,0)),"Paciente não cadastrado"))</f>
        <v>0</v>
      </c>
      <c r="K1739" s="26">
        <f>IF($D1739="","",IFERROR(INDEX(PacConv,MATCH($D1739,PacCod,0))&amp;"",""))</f>
        <v>0</v>
      </c>
      <c r="L1739" s="26">
        <f>IF($A1739="","",CHOOSE(WEEKDAY($A1739,2),"Seg","Ter","Qua","Qui","Sex","Sáb","Dom"))</f>
        <v>0</v>
      </c>
      <c r="M1739" s="27">
        <f>IF($E1739="","",IF($G1739&lt;&gt;"",$G1739,IFERROR(INDEX(ProcValor,MATCH($E1739,ProcNome,0)),0)))</f>
        <v>0</v>
      </c>
      <c r="N1739" s="27">
        <f>IF($M1739="","",IF($F1739="Compareceu",$M1739,0))</f>
        <v>0</v>
      </c>
      <c r="O1739" s="27">
        <f>IF($M1739="","",IF($F1739="Faltou",$M1739,0))</f>
        <v>0</v>
      </c>
      <c r="P1739" s="27">
        <f>IF($M1739="","",IF($F1739="Compareceu",MAX(0,$M1739-N($H1739)),0))</f>
        <v>0</v>
      </c>
      <c r="Q1739" s="19">
        <f>IF(AND($F1739="Compareceu",$E1739&lt;&gt;"",$A1739&lt;&gt;""),IF(IFERROR(INDEX(ProcRet,MATCH($E1739,ProcNome,0)),0)&gt;0,$A1739+INDEX(ProcRet,MATCH($E1739,ProcNome,0)),""),"")</f>
        <v>0</v>
      </c>
      <c r="R1739" s="26">
        <f>IF($Q1739="","",IF(COUNTIFS(AgPac,$D1739,AgData,"&gt;"&amp;$A1739,AgStatus,"&lt;&gt;Cancelado",AgStatus,"&lt;&gt;Remarcado")&gt;0,"Sim","Não"))</f>
        <v>0</v>
      </c>
      <c r="S1739" s="28">
        <f>IF($A1739="","",IF(AND($F1739="Agendado",$A1739-Hoje&gt;=0,$A1739-Hoje&lt;=DiasConf),"CONFIRMAR",IF(AND($A1739&lt;Hoje,OR($F1739="Agendado",$F1739="Confirmado")),"Atualizar status",IF(AND($F1739="Compareceu",$P1739&gt;0.005),"Cobrar",IF($F1739="Faltou","Falta: reagendar","")))))</f>
        <v>0</v>
      </c>
      <c r="T1739" s="29">
        <f>IF($A1739="","",DATE(YEAR($A1739),MONTH($A1739),1))</f>
        <v>0</v>
      </c>
      <c r="U1739" s="30">
        <f>IF($S1739="CONFIRMAR",MAX($U$4:$U1738)+1,"")</f>
        <v>0</v>
      </c>
      <c r="V1739" s="30">
        <f>IF(AND($R1739="Não",$Q1739&lt;&gt;"",$Q1739&lt;=Hoje+JanelaRet,$Q1739&gt;=Hoje-60),MAX($V$4:$V1738)+1,"")</f>
        <v>0</v>
      </c>
    </row>
    <row r="1740" spans="1:22">
      <c r="A1740" s="16"/>
      <c r="B1740" s="23"/>
      <c r="C1740" s="15"/>
      <c r="D1740" s="15"/>
      <c r="E1740" s="15"/>
      <c r="F1740" s="24"/>
      <c r="G1740" s="17"/>
      <c r="H1740" s="17"/>
      <c r="I1740" s="15"/>
      <c r="J1740" s="25">
        <f>IF($D1740="","",IFERROR(INDEX(PacNome,MATCH($D1740,PacCod,0)),"Paciente não cadastrado"))</f>
        <v>0</v>
      </c>
      <c r="K1740" s="26">
        <f>IF($D1740="","",IFERROR(INDEX(PacConv,MATCH($D1740,PacCod,0))&amp;"",""))</f>
        <v>0</v>
      </c>
      <c r="L1740" s="26">
        <f>IF($A1740="","",CHOOSE(WEEKDAY($A1740,2),"Seg","Ter","Qua","Qui","Sex","Sáb","Dom"))</f>
        <v>0</v>
      </c>
      <c r="M1740" s="27">
        <f>IF($E1740="","",IF($G1740&lt;&gt;"",$G1740,IFERROR(INDEX(ProcValor,MATCH($E1740,ProcNome,0)),0)))</f>
        <v>0</v>
      </c>
      <c r="N1740" s="27">
        <f>IF($M1740="","",IF($F1740="Compareceu",$M1740,0))</f>
        <v>0</v>
      </c>
      <c r="O1740" s="27">
        <f>IF($M1740="","",IF($F1740="Faltou",$M1740,0))</f>
        <v>0</v>
      </c>
      <c r="P1740" s="27">
        <f>IF($M1740="","",IF($F1740="Compareceu",MAX(0,$M1740-N($H1740)),0))</f>
        <v>0</v>
      </c>
      <c r="Q1740" s="19">
        <f>IF(AND($F1740="Compareceu",$E1740&lt;&gt;"",$A1740&lt;&gt;""),IF(IFERROR(INDEX(ProcRet,MATCH($E1740,ProcNome,0)),0)&gt;0,$A1740+INDEX(ProcRet,MATCH($E1740,ProcNome,0)),""),"")</f>
        <v>0</v>
      </c>
      <c r="R1740" s="26">
        <f>IF($Q1740="","",IF(COUNTIFS(AgPac,$D1740,AgData,"&gt;"&amp;$A1740,AgStatus,"&lt;&gt;Cancelado",AgStatus,"&lt;&gt;Remarcado")&gt;0,"Sim","Não"))</f>
        <v>0</v>
      </c>
      <c r="S1740" s="28">
        <f>IF($A1740="","",IF(AND($F1740="Agendado",$A1740-Hoje&gt;=0,$A1740-Hoje&lt;=DiasConf),"CONFIRMAR",IF(AND($A1740&lt;Hoje,OR($F1740="Agendado",$F1740="Confirmado")),"Atualizar status",IF(AND($F1740="Compareceu",$P1740&gt;0.005),"Cobrar",IF($F1740="Faltou","Falta: reagendar","")))))</f>
        <v>0</v>
      </c>
      <c r="T1740" s="29">
        <f>IF($A1740="","",DATE(YEAR($A1740),MONTH($A1740),1))</f>
        <v>0</v>
      </c>
      <c r="U1740" s="30">
        <f>IF($S1740="CONFIRMAR",MAX($U$4:$U1739)+1,"")</f>
        <v>0</v>
      </c>
      <c r="V1740" s="30">
        <f>IF(AND($R1740="Não",$Q1740&lt;&gt;"",$Q1740&lt;=Hoje+JanelaRet,$Q1740&gt;=Hoje-60),MAX($V$4:$V1739)+1,"")</f>
        <v>0</v>
      </c>
    </row>
    <row r="1741" spans="1:22">
      <c r="A1741" s="16"/>
      <c r="B1741" s="23"/>
      <c r="C1741" s="15"/>
      <c r="D1741" s="15"/>
      <c r="E1741" s="15"/>
      <c r="F1741" s="24"/>
      <c r="G1741" s="17"/>
      <c r="H1741" s="17"/>
      <c r="I1741" s="15"/>
      <c r="J1741" s="25">
        <f>IF($D1741="","",IFERROR(INDEX(PacNome,MATCH($D1741,PacCod,0)),"Paciente não cadastrado"))</f>
        <v>0</v>
      </c>
      <c r="K1741" s="26">
        <f>IF($D1741="","",IFERROR(INDEX(PacConv,MATCH($D1741,PacCod,0))&amp;"",""))</f>
        <v>0</v>
      </c>
      <c r="L1741" s="26">
        <f>IF($A1741="","",CHOOSE(WEEKDAY($A1741,2),"Seg","Ter","Qua","Qui","Sex","Sáb","Dom"))</f>
        <v>0</v>
      </c>
      <c r="M1741" s="27">
        <f>IF($E1741="","",IF($G1741&lt;&gt;"",$G1741,IFERROR(INDEX(ProcValor,MATCH($E1741,ProcNome,0)),0)))</f>
        <v>0</v>
      </c>
      <c r="N1741" s="27">
        <f>IF($M1741="","",IF($F1741="Compareceu",$M1741,0))</f>
        <v>0</v>
      </c>
      <c r="O1741" s="27">
        <f>IF($M1741="","",IF($F1741="Faltou",$M1741,0))</f>
        <v>0</v>
      </c>
      <c r="P1741" s="27">
        <f>IF($M1741="","",IF($F1741="Compareceu",MAX(0,$M1741-N($H1741)),0))</f>
        <v>0</v>
      </c>
      <c r="Q1741" s="19">
        <f>IF(AND($F1741="Compareceu",$E1741&lt;&gt;"",$A1741&lt;&gt;""),IF(IFERROR(INDEX(ProcRet,MATCH($E1741,ProcNome,0)),0)&gt;0,$A1741+INDEX(ProcRet,MATCH($E1741,ProcNome,0)),""),"")</f>
        <v>0</v>
      </c>
      <c r="R1741" s="26">
        <f>IF($Q1741="","",IF(COUNTIFS(AgPac,$D1741,AgData,"&gt;"&amp;$A1741,AgStatus,"&lt;&gt;Cancelado",AgStatus,"&lt;&gt;Remarcado")&gt;0,"Sim","Não"))</f>
        <v>0</v>
      </c>
      <c r="S1741" s="28">
        <f>IF($A1741="","",IF(AND($F1741="Agendado",$A1741-Hoje&gt;=0,$A1741-Hoje&lt;=DiasConf),"CONFIRMAR",IF(AND($A1741&lt;Hoje,OR($F1741="Agendado",$F1741="Confirmado")),"Atualizar status",IF(AND($F1741="Compareceu",$P1741&gt;0.005),"Cobrar",IF($F1741="Faltou","Falta: reagendar","")))))</f>
        <v>0</v>
      </c>
      <c r="T1741" s="29">
        <f>IF($A1741="","",DATE(YEAR($A1741),MONTH($A1741),1))</f>
        <v>0</v>
      </c>
      <c r="U1741" s="30">
        <f>IF($S1741="CONFIRMAR",MAX($U$4:$U1740)+1,"")</f>
        <v>0</v>
      </c>
      <c r="V1741" s="30">
        <f>IF(AND($R1741="Não",$Q1741&lt;&gt;"",$Q1741&lt;=Hoje+JanelaRet,$Q1741&gt;=Hoje-60),MAX($V$4:$V1740)+1,"")</f>
        <v>0</v>
      </c>
    </row>
    <row r="1742" spans="1:22">
      <c r="A1742" s="16"/>
      <c r="B1742" s="23"/>
      <c r="C1742" s="15"/>
      <c r="D1742" s="15"/>
      <c r="E1742" s="15"/>
      <c r="F1742" s="24"/>
      <c r="G1742" s="17"/>
      <c r="H1742" s="17"/>
      <c r="I1742" s="15"/>
      <c r="J1742" s="25">
        <f>IF($D1742="","",IFERROR(INDEX(PacNome,MATCH($D1742,PacCod,0)),"Paciente não cadastrado"))</f>
        <v>0</v>
      </c>
      <c r="K1742" s="26">
        <f>IF($D1742="","",IFERROR(INDEX(PacConv,MATCH($D1742,PacCod,0))&amp;"",""))</f>
        <v>0</v>
      </c>
      <c r="L1742" s="26">
        <f>IF($A1742="","",CHOOSE(WEEKDAY($A1742,2),"Seg","Ter","Qua","Qui","Sex","Sáb","Dom"))</f>
        <v>0</v>
      </c>
      <c r="M1742" s="27">
        <f>IF($E1742="","",IF($G1742&lt;&gt;"",$G1742,IFERROR(INDEX(ProcValor,MATCH($E1742,ProcNome,0)),0)))</f>
        <v>0</v>
      </c>
      <c r="N1742" s="27">
        <f>IF($M1742="","",IF($F1742="Compareceu",$M1742,0))</f>
        <v>0</v>
      </c>
      <c r="O1742" s="27">
        <f>IF($M1742="","",IF($F1742="Faltou",$M1742,0))</f>
        <v>0</v>
      </c>
      <c r="P1742" s="27">
        <f>IF($M1742="","",IF($F1742="Compareceu",MAX(0,$M1742-N($H1742)),0))</f>
        <v>0</v>
      </c>
      <c r="Q1742" s="19">
        <f>IF(AND($F1742="Compareceu",$E1742&lt;&gt;"",$A1742&lt;&gt;""),IF(IFERROR(INDEX(ProcRet,MATCH($E1742,ProcNome,0)),0)&gt;0,$A1742+INDEX(ProcRet,MATCH($E1742,ProcNome,0)),""),"")</f>
        <v>0</v>
      </c>
      <c r="R1742" s="26">
        <f>IF($Q1742="","",IF(COUNTIFS(AgPac,$D1742,AgData,"&gt;"&amp;$A1742,AgStatus,"&lt;&gt;Cancelado",AgStatus,"&lt;&gt;Remarcado")&gt;0,"Sim","Não"))</f>
        <v>0</v>
      </c>
      <c r="S1742" s="28">
        <f>IF($A1742="","",IF(AND($F1742="Agendado",$A1742-Hoje&gt;=0,$A1742-Hoje&lt;=DiasConf),"CONFIRMAR",IF(AND($A1742&lt;Hoje,OR($F1742="Agendado",$F1742="Confirmado")),"Atualizar status",IF(AND($F1742="Compareceu",$P1742&gt;0.005),"Cobrar",IF($F1742="Faltou","Falta: reagendar","")))))</f>
        <v>0</v>
      </c>
      <c r="T1742" s="29">
        <f>IF($A1742="","",DATE(YEAR($A1742),MONTH($A1742),1))</f>
        <v>0</v>
      </c>
      <c r="U1742" s="30">
        <f>IF($S1742="CONFIRMAR",MAX($U$4:$U1741)+1,"")</f>
        <v>0</v>
      </c>
      <c r="V1742" s="30">
        <f>IF(AND($R1742="Não",$Q1742&lt;&gt;"",$Q1742&lt;=Hoje+JanelaRet,$Q1742&gt;=Hoje-60),MAX($V$4:$V1741)+1,"")</f>
        <v>0</v>
      </c>
    </row>
    <row r="1743" spans="1:22">
      <c r="A1743" s="16"/>
      <c r="B1743" s="23"/>
      <c r="C1743" s="15"/>
      <c r="D1743" s="15"/>
      <c r="E1743" s="15"/>
      <c r="F1743" s="24"/>
      <c r="G1743" s="17"/>
      <c r="H1743" s="17"/>
      <c r="I1743" s="15"/>
      <c r="J1743" s="25">
        <f>IF($D1743="","",IFERROR(INDEX(PacNome,MATCH($D1743,PacCod,0)),"Paciente não cadastrado"))</f>
        <v>0</v>
      </c>
      <c r="K1743" s="26">
        <f>IF($D1743="","",IFERROR(INDEX(PacConv,MATCH($D1743,PacCod,0))&amp;"",""))</f>
        <v>0</v>
      </c>
      <c r="L1743" s="26">
        <f>IF($A1743="","",CHOOSE(WEEKDAY($A1743,2),"Seg","Ter","Qua","Qui","Sex","Sáb","Dom"))</f>
        <v>0</v>
      </c>
      <c r="M1743" s="27">
        <f>IF($E1743="","",IF($G1743&lt;&gt;"",$G1743,IFERROR(INDEX(ProcValor,MATCH($E1743,ProcNome,0)),0)))</f>
        <v>0</v>
      </c>
      <c r="N1743" s="27">
        <f>IF($M1743="","",IF($F1743="Compareceu",$M1743,0))</f>
        <v>0</v>
      </c>
      <c r="O1743" s="27">
        <f>IF($M1743="","",IF($F1743="Faltou",$M1743,0))</f>
        <v>0</v>
      </c>
      <c r="P1743" s="27">
        <f>IF($M1743="","",IF($F1743="Compareceu",MAX(0,$M1743-N($H1743)),0))</f>
        <v>0</v>
      </c>
      <c r="Q1743" s="19">
        <f>IF(AND($F1743="Compareceu",$E1743&lt;&gt;"",$A1743&lt;&gt;""),IF(IFERROR(INDEX(ProcRet,MATCH($E1743,ProcNome,0)),0)&gt;0,$A1743+INDEX(ProcRet,MATCH($E1743,ProcNome,0)),""),"")</f>
        <v>0</v>
      </c>
      <c r="R1743" s="26">
        <f>IF($Q1743="","",IF(COUNTIFS(AgPac,$D1743,AgData,"&gt;"&amp;$A1743,AgStatus,"&lt;&gt;Cancelado",AgStatus,"&lt;&gt;Remarcado")&gt;0,"Sim","Não"))</f>
        <v>0</v>
      </c>
      <c r="S1743" s="28">
        <f>IF($A1743="","",IF(AND($F1743="Agendado",$A1743-Hoje&gt;=0,$A1743-Hoje&lt;=DiasConf),"CONFIRMAR",IF(AND($A1743&lt;Hoje,OR($F1743="Agendado",$F1743="Confirmado")),"Atualizar status",IF(AND($F1743="Compareceu",$P1743&gt;0.005),"Cobrar",IF($F1743="Faltou","Falta: reagendar","")))))</f>
        <v>0</v>
      </c>
      <c r="T1743" s="29">
        <f>IF($A1743="","",DATE(YEAR($A1743),MONTH($A1743),1))</f>
        <v>0</v>
      </c>
      <c r="U1743" s="30">
        <f>IF($S1743="CONFIRMAR",MAX($U$4:$U1742)+1,"")</f>
        <v>0</v>
      </c>
      <c r="V1743" s="30">
        <f>IF(AND($R1743="Não",$Q1743&lt;&gt;"",$Q1743&lt;=Hoje+JanelaRet,$Q1743&gt;=Hoje-60),MAX($V$4:$V1742)+1,"")</f>
        <v>0</v>
      </c>
    </row>
    <row r="1744" spans="1:22">
      <c r="A1744" s="16"/>
      <c r="B1744" s="23"/>
      <c r="C1744" s="15"/>
      <c r="D1744" s="15"/>
      <c r="E1744" s="15"/>
      <c r="F1744" s="24"/>
      <c r="G1744" s="17"/>
      <c r="H1744" s="17"/>
      <c r="I1744" s="15"/>
      <c r="J1744" s="25">
        <f>IF($D1744="","",IFERROR(INDEX(PacNome,MATCH($D1744,PacCod,0)),"Paciente não cadastrado"))</f>
        <v>0</v>
      </c>
      <c r="K1744" s="26">
        <f>IF($D1744="","",IFERROR(INDEX(PacConv,MATCH($D1744,PacCod,0))&amp;"",""))</f>
        <v>0</v>
      </c>
      <c r="L1744" s="26">
        <f>IF($A1744="","",CHOOSE(WEEKDAY($A1744,2),"Seg","Ter","Qua","Qui","Sex","Sáb","Dom"))</f>
        <v>0</v>
      </c>
      <c r="M1744" s="27">
        <f>IF($E1744="","",IF($G1744&lt;&gt;"",$G1744,IFERROR(INDEX(ProcValor,MATCH($E1744,ProcNome,0)),0)))</f>
        <v>0</v>
      </c>
      <c r="N1744" s="27">
        <f>IF($M1744="","",IF($F1744="Compareceu",$M1744,0))</f>
        <v>0</v>
      </c>
      <c r="O1744" s="27">
        <f>IF($M1744="","",IF($F1744="Faltou",$M1744,0))</f>
        <v>0</v>
      </c>
      <c r="P1744" s="27">
        <f>IF($M1744="","",IF($F1744="Compareceu",MAX(0,$M1744-N($H1744)),0))</f>
        <v>0</v>
      </c>
      <c r="Q1744" s="19">
        <f>IF(AND($F1744="Compareceu",$E1744&lt;&gt;"",$A1744&lt;&gt;""),IF(IFERROR(INDEX(ProcRet,MATCH($E1744,ProcNome,0)),0)&gt;0,$A1744+INDEX(ProcRet,MATCH($E1744,ProcNome,0)),""),"")</f>
        <v>0</v>
      </c>
      <c r="R1744" s="26">
        <f>IF($Q1744="","",IF(COUNTIFS(AgPac,$D1744,AgData,"&gt;"&amp;$A1744,AgStatus,"&lt;&gt;Cancelado",AgStatus,"&lt;&gt;Remarcado")&gt;0,"Sim","Não"))</f>
        <v>0</v>
      </c>
      <c r="S1744" s="28">
        <f>IF($A1744="","",IF(AND($F1744="Agendado",$A1744-Hoje&gt;=0,$A1744-Hoje&lt;=DiasConf),"CONFIRMAR",IF(AND($A1744&lt;Hoje,OR($F1744="Agendado",$F1744="Confirmado")),"Atualizar status",IF(AND($F1744="Compareceu",$P1744&gt;0.005),"Cobrar",IF($F1744="Faltou","Falta: reagendar","")))))</f>
        <v>0</v>
      </c>
      <c r="T1744" s="29">
        <f>IF($A1744="","",DATE(YEAR($A1744),MONTH($A1744),1))</f>
        <v>0</v>
      </c>
      <c r="U1744" s="30">
        <f>IF($S1744="CONFIRMAR",MAX($U$4:$U1743)+1,"")</f>
        <v>0</v>
      </c>
      <c r="V1744" s="30">
        <f>IF(AND($R1744="Não",$Q1744&lt;&gt;"",$Q1744&lt;=Hoje+JanelaRet,$Q1744&gt;=Hoje-60),MAX($V$4:$V1743)+1,"")</f>
        <v>0</v>
      </c>
    </row>
    <row r="1745" spans="1:22">
      <c r="A1745" s="16"/>
      <c r="B1745" s="23"/>
      <c r="C1745" s="15"/>
      <c r="D1745" s="15"/>
      <c r="E1745" s="15"/>
      <c r="F1745" s="24"/>
      <c r="G1745" s="17"/>
      <c r="H1745" s="17"/>
      <c r="I1745" s="15"/>
      <c r="J1745" s="25">
        <f>IF($D1745="","",IFERROR(INDEX(PacNome,MATCH($D1745,PacCod,0)),"Paciente não cadastrado"))</f>
        <v>0</v>
      </c>
      <c r="K1745" s="26">
        <f>IF($D1745="","",IFERROR(INDEX(PacConv,MATCH($D1745,PacCod,0))&amp;"",""))</f>
        <v>0</v>
      </c>
      <c r="L1745" s="26">
        <f>IF($A1745="","",CHOOSE(WEEKDAY($A1745,2),"Seg","Ter","Qua","Qui","Sex","Sáb","Dom"))</f>
        <v>0</v>
      </c>
      <c r="M1745" s="27">
        <f>IF($E1745="","",IF($G1745&lt;&gt;"",$G1745,IFERROR(INDEX(ProcValor,MATCH($E1745,ProcNome,0)),0)))</f>
        <v>0</v>
      </c>
      <c r="N1745" s="27">
        <f>IF($M1745="","",IF($F1745="Compareceu",$M1745,0))</f>
        <v>0</v>
      </c>
      <c r="O1745" s="27">
        <f>IF($M1745="","",IF($F1745="Faltou",$M1745,0))</f>
        <v>0</v>
      </c>
      <c r="P1745" s="27">
        <f>IF($M1745="","",IF($F1745="Compareceu",MAX(0,$M1745-N($H1745)),0))</f>
        <v>0</v>
      </c>
      <c r="Q1745" s="19">
        <f>IF(AND($F1745="Compareceu",$E1745&lt;&gt;"",$A1745&lt;&gt;""),IF(IFERROR(INDEX(ProcRet,MATCH($E1745,ProcNome,0)),0)&gt;0,$A1745+INDEX(ProcRet,MATCH($E1745,ProcNome,0)),""),"")</f>
        <v>0</v>
      </c>
      <c r="R1745" s="26">
        <f>IF($Q1745="","",IF(COUNTIFS(AgPac,$D1745,AgData,"&gt;"&amp;$A1745,AgStatus,"&lt;&gt;Cancelado",AgStatus,"&lt;&gt;Remarcado")&gt;0,"Sim","Não"))</f>
        <v>0</v>
      </c>
      <c r="S1745" s="28">
        <f>IF($A1745="","",IF(AND($F1745="Agendado",$A1745-Hoje&gt;=0,$A1745-Hoje&lt;=DiasConf),"CONFIRMAR",IF(AND($A1745&lt;Hoje,OR($F1745="Agendado",$F1745="Confirmado")),"Atualizar status",IF(AND($F1745="Compareceu",$P1745&gt;0.005),"Cobrar",IF($F1745="Faltou","Falta: reagendar","")))))</f>
        <v>0</v>
      </c>
      <c r="T1745" s="29">
        <f>IF($A1745="","",DATE(YEAR($A1745),MONTH($A1745),1))</f>
        <v>0</v>
      </c>
      <c r="U1745" s="30">
        <f>IF($S1745="CONFIRMAR",MAX($U$4:$U1744)+1,"")</f>
        <v>0</v>
      </c>
      <c r="V1745" s="30">
        <f>IF(AND($R1745="Não",$Q1745&lt;&gt;"",$Q1745&lt;=Hoje+JanelaRet,$Q1745&gt;=Hoje-60),MAX($V$4:$V1744)+1,"")</f>
        <v>0</v>
      </c>
    </row>
    <row r="1746" spans="1:22">
      <c r="A1746" s="16"/>
      <c r="B1746" s="23"/>
      <c r="C1746" s="15"/>
      <c r="D1746" s="15"/>
      <c r="E1746" s="15"/>
      <c r="F1746" s="24"/>
      <c r="G1746" s="17"/>
      <c r="H1746" s="17"/>
      <c r="I1746" s="15"/>
      <c r="J1746" s="25">
        <f>IF($D1746="","",IFERROR(INDEX(PacNome,MATCH($D1746,PacCod,0)),"Paciente não cadastrado"))</f>
        <v>0</v>
      </c>
      <c r="K1746" s="26">
        <f>IF($D1746="","",IFERROR(INDEX(PacConv,MATCH($D1746,PacCod,0))&amp;"",""))</f>
        <v>0</v>
      </c>
      <c r="L1746" s="26">
        <f>IF($A1746="","",CHOOSE(WEEKDAY($A1746,2),"Seg","Ter","Qua","Qui","Sex","Sáb","Dom"))</f>
        <v>0</v>
      </c>
      <c r="M1746" s="27">
        <f>IF($E1746="","",IF($G1746&lt;&gt;"",$G1746,IFERROR(INDEX(ProcValor,MATCH($E1746,ProcNome,0)),0)))</f>
        <v>0</v>
      </c>
      <c r="N1746" s="27">
        <f>IF($M1746="","",IF($F1746="Compareceu",$M1746,0))</f>
        <v>0</v>
      </c>
      <c r="O1746" s="27">
        <f>IF($M1746="","",IF($F1746="Faltou",$M1746,0))</f>
        <v>0</v>
      </c>
      <c r="P1746" s="27">
        <f>IF($M1746="","",IF($F1746="Compareceu",MAX(0,$M1746-N($H1746)),0))</f>
        <v>0</v>
      </c>
      <c r="Q1746" s="19">
        <f>IF(AND($F1746="Compareceu",$E1746&lt;&gt;"",$A1746&lt;&gt;""),IF(IFERROR(INDEX(ProcRet,MATCH($E1746,ProcNome,0)),0)&gt;0,$A1746+INDEX(ProcRet,MATCH($E1746,ProcNome,0)),""),"")</f>
        <v>0</v>
      </c>
      <c r="R1746" s="26">
        <f>IF($Q1746="","",IF(COUNTIFS(AgPac,$D1746,AgData,"&gt;"&amp;$A1746,AgStatus,"&lt;&gt;Cancelado",AgStatus,"&lt;&gt;Remarcado")&gt;0,"Sim","Não"))</f>
        <v>0</v>
      </c>
      <c r="S1746" s="28">
        <f>IF($A1746="","",IF(AND($F1746="Agendado",$A1746-Hoje&gt;=0,$A1746-Hoje&lt;=DiasConf),"CONFIRMAR",IF(AND($A1746&lt;Hoje,OR($F1746="Agendado",$F1746="Confirmado")),"Atualizar status",IF(AND($F1746="Compareceu",$P1746&gt;0.005),"Cobrar",IF($F1746="Faltou","Falta: reagendar","")))))</f>
        <v>0</v>
      </c>
      <c r="T1746" s="29">
        <f>IF($A1746="","",DATE(YEAR($A1746),MONTH($A1746),1))</f>
        <v>0</v>
      </c>
      <c r="U1746" s="30">
        <f>IF($S1746="CONFIRMAR",MAX($U$4:$U1745)+1,"")</f>
        <v>0</v>
      </c>
      <c r="V1746" s="30">
        <f>IF(AND($R1746="Não",$Q1746&lt;&gt;"",$Q1746&lt;=Hoje+JanelaRet,$Q1746&gt;=Hoje-60),MAX($V$4:$V1745)+1,"")</f>
        <v>0</v>
      </c>
    </row>
    <row r="1747" spans="1:22">
      <c r="A1747" s="16"/>
      <c r="B1747" s="23"/>
      <c r="C1747" s="15"/>
      <c r="D1747" s="15"/>
      <c r="E1747" s="15"/>
      <c r="F1747" s="24"/>
      <c r="G1747" s="17"/>
      <c r="H1747" s="17"/>
      <c r="I1747" s="15"/>
      <c r="J1747" s="25">
        <f>IF($D1747="","",IFERROR(INDEX(PacNome,MATCH($D1747,PacCod,0)),"Paciente não cadastrado"))</f>
        <v>0</v>
      </c>
      <c r="K1747" s="26">
        <f>IF($D1747="","",IFERROR(INDEX(PacConv,MATCH($D1747,PacCod,0))&amp;"",""))</f>
        <v>0</v>
      </c>
      <c r="L1747" s="26">
        <f>IF($A1747="","",CHOOSE(WEEKDAY($A1747,2),"Seg","Ter","Qua","Qui","Sex","Sáb","Dom"))</f>
        <v>0</v>
      </c>
      <c r="M1747" s="27">
        <f>IF($E1747="","",IF($G1747&lt;&gt;"",$G1747,IFERROR(INDEX(ProcValor,MATCH($E1747,ProcNome,0)),0)))</f>
        <v>0</v>
      </c>
      <c r="N1747" s="27">
        <f>IF($M1747="","",IF($F1747="Compareceu",$M1747,0))</f>
        <v>0</v>
      </c>
      <c r="O1747" s="27">
        <f>IF($M1747="","",IF($F1747="Faltou",$M1747,0))</f>
        <v>0</v>
      </c>
      <c r="P1747" s="27">
        <f>IF($M1747="","",IF($F1747="Compareceu",MAX(0,$M1747-N($H1747)),0))</f>
        <v>0</v>
      </c>
      <c r="Q1747" s="19">
        <f>IF(AND($F1747="Compareceu",$E1747&lt;&gt;"",$A1747&lt;&gt;""),IF(IFERROR(INDEX(ProcRet,MATCH($E1747,ProcNome,0)),0)&gt;0,$A1747+INDEX(ProcRet,MATCH($E1747,ProcNome,0)),""),"")</f>
        <v>0</v>
      </c>
      <c r="R1747" s="26">
        <f>IF($Q1747="","",IF(COUNTIFS(AgPac,$D1747,AgData,"&gt;"&amp;$A1747,AgStatus,"&lt;&gt;Cancelado",AgStatus,"&lt;&gt;Remarcado")&gt;0,"Sim","Não"))</f>
        <v>0</v>
      </c>
      <c r="S1747" s="28">
        <f>IF($A1747="","",IF(AND($F1747="Agendado",$A1747-Hoje&gt;=0,$A1747-Hoje&lt;=DiasConf),"CONFIRMAR",IF(AND($A1747&lt;Hoje,OR($F1747="Agendado",$F1747="Confirmado")),"Atualizar status",IF(AND($F1747="Compareceu",$P1747&gt;0.005),"Cobrar",IF($F1747="Faltou","Falta: reagendar","")))))</f>
        <v>0</v>
      </c>
      <c r="T1747" s="29">
        <f>IF($A1747="","",DATE(YEAR($A1747),MONTH($A1747),1))</f>
        <v>0</v>
      </c>
      <c r="U1747" s="30">
        <f>IF($S1747="CONFIRMAR",MAX($U$4:$U1746)+1,"")</f>
        <v>0</v>
      </c>
      <c r="V1747" s="30">
        <f>IF(AND($R1747="Não",$Q1747&lt;&gt;"",$Q1747&lt;=Hoje+JanelaRet,$Q1747&gt;=Hoje-60),MAX($V$4:$V1746)+1,"")</f>
        <v>0</v>
      </c>
    </row>
    <row r="1748" spans="1:22">
      <c r="A1748" s="16"/>
      <c r="B1748" s="23"/>
      <c r="C1748" s="15"/>
      <c r="D1748" s="15"/>
      <c r="E1748" s="15"/>
      <c r="F1748" s="24"/>
      <c r="G1748" s="17"/>
      <c r="H1748" s="17"/>
      <c r="I1748" s="15"/>
      <c r="J1748" s="25">
        <f>IF($D1748="","",IFERROR(INDEX(PacNome,MATCH($D1748,PacCod,0)),"Paciente não cadastrado"))</f>
        <v>0</v>
      </c>
      <c r="K1748" s="26">
        <f>IF($D1748="","",IFERROR(INDEX(PacConv,MATCH($D1748,PacCod,0))&amp;"",""))</f>
        <v>0</v>
      </c>
      <c r="L1748" s="26">
        <f>IF($A1748="","",CHOOSE(WEEKDAY($A1748,2),"Seg","Ter","Qua","Qui","Sex","Sáb","Dom"))</f>
        <v>0</v>
      </c>
      <c r="M1748" s="27">
        <f>IF($E1748="","",IF($G1748&lt;&gt;"",$G1748,IFERROR(INDEX(ProcValor,MATCH($E1748,ProcNome,0)),0)))</f>
        <v>0</v>
      </c>
      <c r="N1748" s="27">
        <f>IF($M1748="","",IF($F1748="Compareceu",$M1748,0))</f>
        <v>0</v>
      </c>
      <c r="O1748" s="27">
        <f>IF($M1748="","",IF($F1748="Faltou",$M1748,0))</f>
        <v>0</v>
      </c>
      <c r="P1748" s="27">
        <f>IF($M1748="","",IF($F1748="Compareceu",MAX(0,$M1748-N($H1748)),0))</f>
        <v>0</v>
      </c>
      <c r="Q1748" s="19">
        <f>IF(AND($F1748="Compareceu",$E1748&lt;&gt;"",$A1748&lt;&gt;""),IF(IFERROR(INDEX(ProcRet,MATCH($E1748,ProcNome,0)),0)&gt;0,$A1748+INDEX(ProcRet,MATCH($E1748,ProcNome,0)),""),"")</f>
        <v>0</v>
      </c>
      <c r="R1748" s="26">
        <f>IF($Q1748="","",IF(COUNTIFS(AgPac,$D1748,AgData,"&gt;"&amp;$A1748,AgStatus,"&lt;&gt;Cancelado",AgStatus,"&lt;&gt;Remarcado")&gt;0,"Sim","Não"))</f>
        <v>0</v>
      </c>
      <c r="S1748" s="28">
        <f>IF($A1748="","",IF(AND($F1748="Agendado",$A1748-Hoje&gt;=0,$A1748-Hoje&lt;=DiasConf),"CONFIRMAR",IF(AND($A1748&lt;Hoje,OR($F1748="Agendado",$F1748="Confirmado")),"Atualizar status",IF(AND($F1748="Compareceu",$P1748&gt;0.005),"Cobrar",IF($F1748="Faltou","Falta: reagendar","")))))</f>
        <v>0</v>
      </c>
      <c r="T1748" s="29">
        <f>IF($A1748="","",DATE(YEAR($A1748),MONTH($A1748),1))</f>
        <v>0</v>
      </c>
      <c r="U1748" s="30">
        <f>IF($S1748="CONFIRMAR",MAX($U$4:$U1747)+1,"")</f>
        <v>0</v>
      </c>
      <c r="V1748" s="30">
        <f>IF(AND($R1748="Não",$Q1748&lt;&gt;"",$Q1748&lt;=Hoje+JanelaRet,$Q1748&gt;=Hoje-60),MAX($V$4:$V1747)+1,"")</f>
        <v>0</v>
      </c>
    </row>
    <row r="1749" spans="1:22">
      <c r="A1749" s="16"/>
      <c r="B1749" s="23"/>
      <c r="C1749" s="15"/>
      <c r="D1749" s="15"/>
      <c r="E1749" s="15"/>
      <c r="F1749" s="24"/>
      <c r="G1749" s="17"/>
      <c r="H1749" s="17"/>
      <c r="I1749" s="15"/>
      <c r="J1749" s="25">
        <f>IF($D1749="","",IFERROR(INDEX(PacNome,MATCH($D1749,PacCod,0)),"Paciente não cadastrado"))</f>
        <v>0</v>
      </c>
      <c r="K1749" s="26">
        <f>IF($D1749="","",IFERROR(INDEX(PacConv,MATCH($D1749,PacCod,0))&amp;"",""))</f>
        <v>0</v>
      </c>
      <c r="L1749" s="26">
        <f>IF($A1749="","",CHOOSE(WEEKDAY($A1749,2),"Seg","Ter","Qua","Qui","Sex","Sáb","Dom"))</f>
        <v>0</v>
      </c>
      <c r="M1749" s="27">
        <f>IF($E1749="","",IF($G1749&lt;&gt;"",$G1749,IFERROR(INDEX(ProcValor,MATCH($E1749,ProcNome,0)),0)))</f>
        <v>0</v>
      </c>
      <c r="N1749" s="27">
        <f>IF($M1749="","",IF($F1749="Compareceu",$M1749,0))</f>
        <v>0</v>
      </c>
      <c r="O1749" s="27">
        <f>IF($M1749="","",IF($F1749="Faltou",$M1749,0))</f>
        <v>0</v>
      </c>
      <c r="P1749" s="27">
        <f>IF($M1749="","",IF($F1749="Compareceu",MAX(0,$M1749-N($H1749)),0))</f>
        <v>0</v>
      </c>
      <c r="Q1749" s="19">
        <f>IF(AND($F1749="Compareceu",$E1749&lt;&gt;"",$A1749&lt;&gt;""),IF(IFERROR(INDEX(ProcRet,MATCH($E1749,ProcNome,0)),0)&gt;0,$A1749+INDEX(ProcRet,MATCH($E1749,ProcNome,0)),""),"")</f>
        <v>0</v>
      </c>
      <c r="R1749" s="26">
        <f>IF($Q1749="","",IF(COUNTIFS(AgPac,$D1749,AgData,"&gt;"&amp;$A1749,AgStatus,"&lt;&gt;Cancelado",AgStatus,"&lt;&gt;Remarcado")&gt;0,"Sim","Não"))</f>
        <v>0</v>
      </c>
      <c r="S1749" s="28">
        <f>IF($A1749="","",IF(AND($F1749="Agendado",$A1749-Hoje&gt;=0,$A1749-Hoje&lt;=DiasConf),"CONFIRMAR",IF(AND($A1749&lt;Hoje,OR($F1749="Agendado",$F1749="Confirmado")),"Atualizar status",IF(AND($F1749="Compareceu",$P1749&gt;0.005),"Cobrar",IF($F1749="Faltou","Falta: reagendar","")))))</f>
        <v>0</v>
      </c>
      <c r="T1749" s="29">
        <f>IF($A1749="","",DATE(YEAR($A1749),MONTH($A1749),1))</f>
        <v>0</v>
      </c>
      <c r="U1749" s="30">
        <f>IF($S1749="CONFIRMAR",MAX($U$4:$U1748)+1,"")</f>
        <v>0</v>
      </c>
      <c r="V1749" s="30">
        <f>IF(AND($R1749="Não",$Q1749&lt;&gt;"",$Q1749&lt;=Hoje+JanelaRet,$Q1749&gt;=Hoje-60),MAX($V$4:$V1748)+1,"")</f>
        <v>0</v>
      </c>
    </row>
    <row r="1750" spans="1:22">
      <c r="A1750" s="16"/>
      <c r="B1750" s="23"/>
      <c r="C1750" s="15"/>
      <c r="D1750" s="15"/>
      <c r="E1750" s="15"/>
      <c r="F1750" s="24"/>
      <c r="G1750" s="17"/>
      <c r="H1750" s="17"/>
      <c r="I1750" s="15"/>
      <c r="J1750" s="25">
        <f>IF($D1750="","",IFERROR(INDEX(PacNome,MATCH($D1750,PacCod,0)),"Paciente não cadastrado"))</f>
        <v>0</v>
      </c>
      <c r="K1750" s="26">
        <f>IF($D1750="","",IFERROR(INDEX(PacConv,MATCH($D1750,PacCod,0))&amp;"",""))</f>
        <v>0</v>
      </c>
      <c r="L1750" s="26">
        <f>IF($A1750="","",CHOOSE(WEEKDAY($A1750,2),"Seg","Ter","Qua","Qui","Sex","Sáb","Dom"))</f>
        <v>0</v>
      </c>
      <c r="M1750" s="27">
        <f>IF($E1750="","",IF($G1750&lt;&gt;"",$G1750,IFERROR(INDEX(ProcValor,MATCH($E1750,ProcNome,0)),0)))</f>
        <v>0</v>
      </c>
      <c r="N1750" s="27">
        <f>IF($M1750="","",IF($F1750="Compareceu",$M1750,0))</f>
        <v>0</v>
      </c>
      <c r="O1750" s="27">
        <f>IF($M1750="","",IF($F1750="Faltou",$M1750,0))</f>
        <v>0</v>
      </c>
      <c r="P1750" s="27">
        <f>IF($M1750="","",IF($F1750="Compareceu",MAX(0,$M1750-N($H1750)),0))</f>
        <v>0</v>
      </c>
      <c r="Q1750" s="19">
        <f>IF(AND($F1750="Compareceu",$E1750&lt;&gt;"",$A1750&lt;&gt;""),IF(IFERROR(INDEX(ProcRet,MATCH($E1750,ProcNome,0)),0)&gt;0,$A1750+INDEX(ProcRet,MATCH($E1750,ProcNome,0)),""),"")</f>
        <v>0</v>
      </c>
      <c r="R1750" s="26">
        <f>IF($Q1750="","",IF(COUNTIFS(AgPac,$D1750,AgData,"&gt;"&amp;$A1750,AgStatus,"&lt;&gt;Cancelado",AgStatus,"&lt;&gt;Remarcado")&gt;0,"Sim","Não"))</f>
        <v>0</v>
      </c>
      <c r="S1750" s="28">
        <f>IF($A1750="","",IF(AND($F1750="Agendado",$A1750-Hoje&gt;=0,$A1750-Hoje&lt;=DiasConf),"CONFIRMAR",IF(AND($A1750&lt;Hoje,OR($F1750="Agendado",$F1750="Confirmado")),"Atualizar status",IF(AND($F1750="Compareceu",$P1750&gt;0.005),"Cobrar",IF($F1750="Faltou","Falta: reagendar","")))))</f>
        <v>0</v>
      </c>
      <c r="T1750" s="29">
        <f>IF($A1750="","",DATE(YEAR($A1750),MONTH($A1750),1))</f>
        <v>0</v>
      </c>
      <c r="U1750" s="30">
        <f>IF($S1750="CONFIRMAR",MAX($U$4:$U1749)+1,"")</f>
        <v>0</v>
      </c>
      <c r="V1750" s="30">
        <f>IF(AND($R1750="Não",$Q1750&lt;&gt;"",$Q1750&lt;=Hoje+JanelaRet,$Q1750&gt;=Hoje-60),MAX($V$4:$V1749)+1,"")</f>
        <v>0</v>
      </c>
    </row>
    <row r="1751" spans="1:22">
      <c r="A1751" s="16"/>
      <c r="B1751" s="23"/>
      <c r="C1751" s="15"/>
      <c r="D1751" s="15"/>
      <c r="E1751" s="15"/>
      <c r="F1751" s="24"/>
      <c r="G1751" s="17"/>
      <c r="H1751" s="17"/>
      <c r="I1751" s="15"/>
      <c r="J1751" s="25">
        <f>IF($D1751="","",IFERROR(INDEX(PacNome,MATCH($D1751,PacCod,0)),"Paciente não cadastrado"))</f>
        <v>0</v>
      </c>
      <c r="K1751" s="26">
        <f>IF($D1751="","",IFERROR(INDEX(PacConv,MATCH($D1751,PacCod,0))&amp;"",""))</f>
        <v>0</v>
      </c>
      <c r="L1751" s="26">
        <f>IF($A1751="","",CHOOSE(WEEKDAY($A1751,2),"Seg","Ter","Qua","Qui","Sex","Sáb","Dom"))</f>
        <v>0</v>
      </c>
      <c r="M1751" s="27">
        <f>IF($E1751="","",IF($G1751&lt;&gt;"",$G1751,IFERROR(INDEX(ProcValor,MATCH($E1751,ProcNome,0)),0)))</f>
        <v>0</v>
      </c>
      <c r="N1751" s="27">
        <f>IF($M1751="","",IF($F1751="Compareceu",$M1751,0))</f>
        <v>0</v>
      </c>
      <c r="O1751" s="27">
        <f>IF($M1751="","",IF($F1751="Faltou",$M1751,0))</f>
        <v>0</v>
      </c>
      <c r="P1751" s="27">
        <f>IF($M1751="","",IF($F1751="Compareceu",MAX(0,$M1751-N($H1751)),0))</f>
        <v>0</v>
      </c>
      <c r="Q1751" s="19">
        <f>IF(AND($F1751="Compareceu",$E1751&lt;&gt;"",$A1751&lt;&gt;""),IF(IFERROR(INDEX(ProcRet,MATCH($E1751,ProcNome,0)),0)&gt;0,$A1751+INDEX(ProcRet,MATCH($E1751,ProcNome,0)),""),"")</f>
        <v>0</v>
      </c>
      <c r="R1751" s="26">
        <f>IF($Q1751="","",IF(COUNTIFS(AgPac,$D1751,AgData,"&gt;"&amp;$A1751,AgStatus,"&lt;&gt;Cancelado",AgStatus,"&lt;&gt;Remarcado")&gt;0,"Sim","Não"))</f>
        <v>0</v>
      </c>
      <c r="S1751" s="28">
        <f>IF($A1751="","",IF(AND($F1751="Agendado",$A1751-Hoje&gt;=0,$A1751-Hoje&lt;=DiasConf),"CONFIRMAR",IF(AND($A1751&lt;Hoje,OR($F1751="Agendado",$F1751="Confirmado")),"Atualizar status",IF(AND($F1751="Compareceu",$P1751&gt;0.005),"Cobrar",IF($F1751="Faltou","Falta: reagendar","")))))</f>
        <v>0</v>
      </c>
      <c r="T1751" s="29">
        <f>IF($A1751="","",DATE(YEAR($A1751),MONTH($A1751),1))</f>
        <v>0</v>
      </c>
      <c r="U1751" s="30">
        <f>IF($S1751="CONFIRMAR",MAX($U$4:$U1750)+1,"")</f>
        <v>0</v>
      </c>
      <c r="V1751" s="30">
        <f>IF(AND($R1751="Não",$Q1751&lt;&gt;"",$Q1751&lt;=Hoje+JanelaRet,$Q1751&gt;=Hoje-60),MAX($V$4:$V1750)+1,"")</f>
        <v>0</v>
      </c>
    </row>
    <row r="1752" spans="1:22">
      <c r="A1752" s="16"/>
      <c r="B1752" s="23"/>
      <c r="C1752" s="15"/>
      <c r="D1752" s="15"/>
      <c r="E1752" s="15"/>
      <c r="F1752" s="24"/>
      <c r="G1752" s="17"/>
      <c r="H1752" s="17"/>
      <c r="I1752" s="15"/>
      <c r="J1752" s="25">
        <f>IF($D1752="","",IFERROR(INDEX(PacNome,MATCH($D1752,PacCod,0)),"Paciente não cadastrado"))</f>
        <v>0</v>
      </c>
      <c r="K1752" s="26">
        <f>IF($D1752="","",IFERROR(INDEX(PacConv,MATCH($D1752,PacCod,0))&amp;"",""))</f>
        <v>0</v>
      </c>
      <c r="L1752" s="26">
        <f>IF($A1752="","",CHOOSE(WEEKDAY($A1752,2),"Seg","Ter","Qua","Qui","Sex","Sáb","Dom"))</f>
        <v>0</v>
      </c>
      <c r="M1752" s="27">
        <f>IF($E1752="","",IF($G1752&lt;&gt;"",$G1752,IFERROR(INDEX(ProcValor,MATCH($E1752,ProcNome,0)),0)))</f>
        <v>0</v>
      </c>
      <c r="N1752" s="27">
        <f>IF($M1752="","",IF($F1752="Compareceu",$M1752,0))</f>
        <v>0</v>
      </c>
      <c r="O1752" s="27">
        <f>IF($M1752="","",IF($F1752="Faltou",$M1752,0))</f>
        <v>0</v>
      </c>
      <c r="P1752" s="27">
        <f>IF($M1752="","",IF($F1752="Compareceu",MAX(0,$M1752-N($H1752)),0))</f>
        <v>0</v>
      </c>
      <c r="Q1752" s="19">
        <f>IF(AND($F1752="Compareceu",$E1752&lt;&gt;"",$A1752&lt;&gt;""),IF(IFERROR(INDEX(ProcRet,MATCH($E1752,ProcNome,0)),0)&gt;0,$A1752+INDEX(ProcRet,MATCH($E1752,ProcNome,0)),""),"")</f>
        <v>0</v>
      </c>
      <c r="R1752" s="26">
        <f>IF($Q1752="","",IF(COUNTIFS(AgPac,$D1752,AgData,"&gt;"&amp;$A1752,AgStatus,"&lt;&gt;Cancelado",AgStatus,"&lt;&gt;Remarcado")&gt;0,"Sim","Não"))</f>
        <v>0</v>
      </c>
      <c r="S1752" s="28">
        <f>IF($A1752="","",IF(AND($F1752="Agendado",$A1752-Hoje&gt;=0,$A1752-Hoje&lt;=DiasConf),"CONFIRMAR",IF(AND($A1752&lt;Hoje,OR($F1752="Agendado",$F1752="Confirmado")),"Atualizar status",IF(AND($F1752="Compareceu",$P1752&gt;0.005),"Cobrar",IF($F1752="Faltou","Falta: reagendar","")))))</f>
        <v>0</v>
      </c>
      <c r="T1752" s="29">
        <f>IF($A1752="","",DATE(YEAR($A1752),MONTH($A1752),1))</f>
        <v>0</v>
      </c>
      <c r="U1752" s="30">
        <f>IF($S1752="CONFIRMAR",MAX($U$4:$U1751)+1,"")</f>
        <v>0</v>
      </c>
      <c r="V1752" s="30">
        <f>IF(AND($R1752="Não",$Q1752&lt;&gt;"",$Q1752&lt;=Hoje+JanelaRet,$Q1752&gt;=Hoje-60),MAX($V$4:$V1751)+1,"")</f>
        <v>0</v>
      </c>
    </row>
    <row r="1753" spans="1:22">
      <c r="A1753" s="16"/>
      <c r="B1753" s="23"/>
      <c r="C1753" s="15"/>
      <c r="D1753" s="15"/>
      <c r="E1753" s="15"/>
      <c r="F1753" s="24"/>
      <c r="G1753" s="17"/>
      <c r="H1753" s="17"/>
      <c r="I1753" s="15"/>
      <c r="J1753" s="25">
        <f>IF($D1753="","",IFERROR(INDEX(PacNome,MATCH($D1753,PacCod,0)),"Paciente não cadastrado"))</f>
        <v>0</v>
      </c>
      <c r="K1753" s="26">
        <f>IF($D1753="","",IFERROR(INDEX(PacConv,MATCH($D1753,PacCod,0))&amp;"",""))</f>
        <v>0</v>
      </c>
      <c r="L1753" s="26">
        <f>IF($A1753="","",CHOOSE(WEEKDAY($A1753,2),"Seg","Ter","Qua","Qui","Sex","Sáb","Dom"))</f>
        <v>0</v>
      </c>
      <c r="M1753" s="27">
        <f>IF($E1753="","",IF($G1753&lt;&gt;"",$G1753,IFERROR(INDEX(ProcValor,MATCH($E1753,ProcNome,0)),0)))</f>
        <v>0</v>
      </c>
      <c r="N1753" s="27">
        <f>IF($M1753="","",IF($F1753="Compareceu",$M1753,0))</f>
        <v>0</v>
      </c>
      <c r="O1753" s="27">
        <f>IF($M1753="","",IF($F1753="Faltou",$M1753,0))</f>
        <v>0</v>
      </c>
      <c r="P1753" s="27">
        <f>IF($M1753="","",IF($F1753="Compareceu",MAX(0,$M1753-N($H1753)),0))</f>
        <v>0</v>
      </c>
      <c r="Q1753" s="19">
        <f>IF(AND($F1753="Compareceu",$E1753&lt;&gt;"",$A1753&lt;&gt;""),IF(IFERROR(INDEX(ProcRet,MATCH($E1753,ProcNome,0)),0)&gt;0,$A1753+INDEX(ProcRet,MATCH($E1753,ProcNome,0)),""),"")</f>
        <v>0</v>
      </c>
      <c r="R1753" s="26">
        <f>IF($Q1753="","",IF(COUNTIFS(AgPac,$D1753,AgData,"&gt;"&amp;$A1753,AgStatus,"&lt;&gt;Cancelado",AgStatus,"&lt;&gt;Remarcado")&gt;0,"Sim","Não"))</f>
        <v>0</v>
      </c>
      <c r="S1753" s="28">
        <f>IF($A1753="","",IF(AND($F1753="Agendado",$A1753-Hoje&gt;=0,$A1753-Hoje&lt;=DiasConf),"CONFIRMAR",IF(AND($A1753&lt;Hoje,OR($F1753="Agendado",$F1753="Confirmado")),"Atualizar status",IF(AND($F1753="Compareceu",$P1753&gt;0.005),"Cobrar",IF($F1753="Faltou","Falta: reagendar","")))))</f>
        <v>0</v>
      </c>
      <c r="T1753" s="29">
        <f>IF($A1753="","",DATE(YEAR($A1753),MONTH($A1753),1))</f>
        <v>0</v>
      </c>
      <c r="U1753" s="30">
        <f>IF($S1753="CONFIRMAR",MAX($U$4:$U1752)+1,"")</f>
        <v>0</v>
      </c>
      <c r="V1753" s="30">
        <f>IF(AND($R1753="Não",$Q1753&lt;&gt;"",$Q1753&lt;=Hoje+JanelaRet,$Q1753&gt;=Hoje-60),MAX($V$4:$V1752)+1,"")</f>
        <v>0</v>
      </c>
    </row>
    <row r="1754" spans="1:22">
      <c r="A1754" s="16"/>
      <c r="B1754" s="23"/>
      <c r="C1754" s="15"/>
      <c r="D1754" s="15"/>
      <c r="E1754" s="15"/>
      <c r="F1754" s="24"/>
      <c r="G1754" s="17"/>
      <c r="H1754" s="17"/>
      <c r="I1754" s="15"/>
      <c r="J1754" s="25">
        <f>IF($D1754="","",IFERROR(INDEX(PacNome,MATCH($D1754,PacCod,0)),"Paciente não cadastrado"))</f>
        <v>0</v>
      </c>
      <c r="K1754" s="26">
        <f>IF($D1754="","",IFERROR(INDEX(PacConv,MATCH($D1754,PacCod,0))&amp;"",""))</f>
        <v>0</v>
      </c>
      <c r="L1754" s="26">
        <f>IF($A1754="","",CHOOSE(WEEKDAY($A1754,2),"Seg","Ter","Qua","Qui","Sex","Sáb","Dom"))</f>
        <v>0</v>
      </c>
      <c r="M1754" s="27">
        <f>IF($E1754="","",IF($G1754&lt;&gt;"",$G1754,IFERROR(INDEX(ProcValor,MATCH($E1754,ProcNome,0)),0)))</f>
        <v>0</v>
      </c>
      <c r="N1754" s="27">
        <f>IF($M1754="","",IF($F1754="Compareceu",$M1754,0))</f>
        <v>0</v>
      </c>
      <c r="O1754" s="27">
        <f>IF($M1754="","",IF($F1754="Faltou",$M1754,0))</f>
        <v>0</v>
      </c>
      <c r="P1754" s="27">
        <f>IF($M1754="","",IF($F1754="Compareceu",MAX(0,$M1754-N($H1754)),0))</f>
        <v>0</v>
      </c>
      <c r="Q1754" s="19">
        <f>IF(AND($F1754="Compareceu",$E1754&lt;&gt;"",$A1754&lt;&gt;""),IF(IFERROR(INDEX(ProcRet,MATCH($E1754,ProcNome,0)),0)&gt;0,$A1754+INDEX(ProcRet,MATCH($E1754,ProcNome,0)),""),"")</f>
        <v>0</v>
      </c>
      <c r="R1754" s="26">
        <f>IF($Q1754="","",IF(COUNTIFS(AgPac,$D1754,AgData,"&gt;"&amp;$A1754,AgStatus,"&lt;&gt;Cancelado",AgStatus,"&lt;&gt;Remarcado")&gt;0,"Sim","Não"))</f>
        <v>0</v>
      </c>
      <c r="S1754" s="28">
        <f>IF($A1754="","",IF(AND($F1754="Agendado",$A1754-Hoje&gt;=0,$A1754-Hoje&lt;=DiasConf),"CONFIRMAR",IF(AND($A1754&lt;Hoje,OR($F1754="Agendado",$F1754="Confirmado")),"Atualizar status",IF(AND($F1754="Compareceu",$P1754&gt;0.005),"Cobrar",IF($F1754="Faltou","Falta: reagendar","")))))</f>
        <v>0</v>
      </c>
      <c r="T1754" s="29">
        <f>IF($A1754="","",DATE(YEAR($A1754),MONTH($A1754),1))</f>
        <v>0</v>
      </c>
      <c r="U1754" s="30">
        <f>IF($S1754="CONFIRMAR",MAX($U$4:$U1753)+1,"")</f>
        <v>0</v>
      </c>
      <c r="V1754" s="30">
        <f>IF(AND($R1754="Não",$Q1754&lt;&gt;"",$Q1754&lt;=Hoje+JanelaRet,$Q1754&gt;=Hoje-60),MAX($V$4:$V1753)+1,"")</f>
        <v>0</v>
      </c>
    </row>
    <row r="1755" spans="1:22">
      <c r="A1755" s="16"/>
      <c r="B1755" s="23"/>
      <c r="C1755" s="15"/>
      <c r="D1755" s="15"/>
      <c r="E1755" s="15"/>
      <c r="F1755" s="24"/>
      <c r="G1755" s="17"/>
      <c r="H1755" s="17"/>
      <c r="I1755" s="15"/>
      <c r="J1755" s="25">
        <f>IF($D1755="","",IFERROR(INDEX(PacNome,MATCH($D1755,PacCod,0)),"Paciente não cadastrado"))</f>
        <v>0</v>
      </c>
      <c r="K1755" s="26">
        <f>IF($D1755="","",IFERROR(INDEX(PacConv,MATCH($D1755,PacCod,0))&amp;"",""))</f>
        <v>0</v>
      </c>
      <c r="L1755" s="26">
        <f>IF($A1755="","",CHOOSE(WEEKDAY($A1755,2),"Seg","Ter","Qua","Qui","Sex","Sáb","Dom"))</f>
        <v>0</v>
      </c>
      <c r="M1755" s="27">
        <f>IF($E1755="","",IF($G1755&lt;&gt;"",$G1755,IFERROR(INDEX(ProcValor,MATCH($E1755,ProcNome,0)),0)))</f>
        <v>0</v>
      </c>
      <c r="N1755" s="27">
        <f>IF($M1755="","",IF($F1755="Compareceu",$M1755,0))</f>
        <v>0</v>
      </c>
      <c r="O1755" s="27">
        <f>IF($M1755="","",IF($F1755="Faltou",$M1755,0))</f>
        <v>0</v>
      </c>
      <c r="P1755" s="27">
        <f>IF($M1755="","",IF($F1755="Compareceu",MAX(0,$M1755-N($H1755)),0))</f>
        <v>0</v>
      </c>
      <c r="Q1755" s="19">
        <f>IF(AND($F1755="Compareceu",$E1755&lt;&gt;"",$A1755&lt;&gt;""),IF(IFERROR(INDEX(ProcRet,MATCH($E1755,ProcNome,0)),0)&gt;0,$A1755+INDEX(ProcRet,MATCH($E1755,ProcNome,0)),""),"")</f>
        <v>0</v>
      </c>
      <c r="R1755" s="26">
        <f>IF($Q1755="","",IF(COUNTIFS(AgPac,$D1755,AgData,"&gt;"&amp;$A1755,AgStatus,"&lt;&gt;Cancelado",AgStatus,"&lt;&gt;Remarcado")&gt;0,"Sim","Não"))</f>
        <v>0</v>
      </c>
      <c r="S1755" s="28">
        <f>IF($A1755="","",IF(AND($F1755="Agendado",$A1755-Hoje&gt;=0,$A1755-Hoje&lt;=DiasConf),"CONFIRMAR",IF(AND($A1755&lt;Hoje,OR($F1755="Agendado",$F1755="Confirmado")),"Atualizar status",IF(AND($F1755="Compareceu",$P1755&gt;0.005),"Cobrar",IF($F1755="Faltou","Falta: reagendar","")))))</f>
        <v>0</v>
      </c>
      <c r="T1755" s="29">
        <f>IF($A1755="","",DATE(YEAR($A1755),MONTH($A1755),1))</f>
        <v>0</v>
      </c>
      <c r="U1755" s="30">
        <f>IF($S1755="CONFIRMAR",MAX($U$4:$U1754)+1,"")</f>
        <v>0</v>
      </c>
      <c r="V1755" s="30">
        <f>IF(AND($R1755="Não",$Q1755&lt;&gt;"",$Q1755&lt;=Hoje+JanelaRet,$Q1755&gt;=Hoje-60),MAX($V$4:$V1754)+1,"")</f>
        <v>0</v>
      </c>
    </row>
    <row r="1756" spans="1:22">
      <c r="A1756" s="16"/>
      <c r="B1756" s="23"/>
      <c r="C1756" s="15"/>
      <c r="D1756" s="15"/>
      <c r="E1756" s="15"/>
      <c r="F1756" s="24"/>
      <c r="G1756" s="17"/>
      <c r="H1756" s="17"/>
      <c r="I1756" s="15"/>
      <c r="J1756" s="25">
        <f>IF($D1756="","",IFERROR(INDEX(PacNome,MATCH($D1756,PacCod,0)),"Paciente não cadastrado"))</f>
        <v>0</v>
      </c>
      <c r="K1756" s="26">
        <f>IF($D1756="","",IFERROR(INDEX(PacConv,MATCH($D1756,PacCod,0))&amp;"",""))</f>
        <v>0</v>
      </c>
      <c r="L1756" s="26">
        <f>IF($A1756="","",CHOOSE(WEEKDAY($A1756,2),"Seg","Ter","Qua","Qui","Sex","Sáb","Dom"))</f>
        <v>0</v>
      </c>
      <c r="M1756" s="27">
        <f>IF($E1756="","",IF($G1756&lt;&gt;"",$G1756,IFERROR(INDEX(ProcValor,MATCH($E1756,ProcNome,0)),0)))</f>
        <v>0</v>
      </c>
      <c r="N1756" s="27">
        <f>IF($M1756="","",IF($F1756="Compareceu",$M1756,0))</f>
        <v>0</v>
      </c>
      <c r="O1756" s="27">
        <f>IF($M1756="","",IF($F1756="Faltou",$M1756,0))</f>
        <v>0</v>
      </c>
      <c r="P1756" s="27">
        <f>IF($M1756="","",IF($F1756="Compareceu",MAX(0,$M1756-N($H1756)),0))</f>
        <v>0</v>
      </c>
      <c r="Q1756" s="19">
        <f>IF(AND($F1756="Compareceu",$E1756&lt;&gt;"",$A1756&lt;&gt;""),IF(IFERROR(INDEX(ProcRet,MATCH($E1756,ProcNome,0)),0)&gt;0,$A1756+INDEX(ProcRet,MATCH($E1756,ProcNome,0)),""),"")</f>
        <v>0</v>
      </c>
      <c r="R1756" s="26">
        <f>IF($Q1756="","",IF(COUNTIFS(AgPac,$D1756,AgData,"&gt;"&amp;$A1756,AgStatus,"&lt;&gt;Cancelado",AgStatus,"&lt;&gt;Remarcado")&gt;0,"Sim","Não"))</f>
        <v>0</v>
      </c>
      <c r="S1756" s="28">
        <f>IF($A1756="","",IF(AND($F1756="Agendado",$A1756-Hoje&gt;=0,$A1756-Hoje&lt;=DiasConf),"CONFIRMAR",IF(AND($A1756&lt;Hoje,OR($F1756="Agendado",$F1756="Confirmado")),"Atualizar status",IF(AND($F1756="Compareceu",$P1756&gt;0.005),"Cobrar",IF($F1756="Faltou","Falta: reagendar","")))))</f>
        <v>0</v>
      </c>
      <c r="T1756" s="29">
        <f>IF($A1756="","",DATE(YEAR($A1756),MONTH($A1756),1))</f>
        <v>0</v>
      </c>
      <c r="U1756" s="30">
        <f>IF($S1756="CONFIRMAR",MAX($U$4:$U1755)+1,"")</f>
        <v>0</v>
      </c>
      <c r="V1756" s="30">
        <f>IF(AND($R1756="Não",$Q1756&lt;&gt;"",$Q1756&lt;=Hoje+JanelaRet,$Q1756&gt;=Hoje-60),MAX($V$4:$V1755)+1,"")</f>
        <v>0</v>
      </c>
    </row>
    <row r="1757" spans="1:22">
      <c r="A1757" s="16"/>
      <c r="B1757" s="23"/>
      <c r="C1757" s="15"/>
      <c r="D1757" s="15"/>
      <c r="E1757" s="15"/>
      <c r="F1757" s="24"/>
      <c r="G1757" s="17"/>
      <c r="H1757" s="17"/>
      <c r="I1757" s="15"/>
      <c r="J1757" s="25">
        <f>IF($D1757="","",IFERROR(INDEX(PacNome,MATCH($D1757,PacCod,0)),"Paciente não cadastrado"))</f>
        <v>0</v>
      </c>
      <c r="K1757" s="26">
        <f>IF($D1757="","",IFERROR(INDEX(PacConv,MATCH($D1757,PacCod,0))&amp;"",""))</f>
        <v>0</v>
      </c>
      <c r="L1757" s="26">
        <f>IF($A1757="","",CHOOSE(WEEKDAY($A1757,2),"Seg","Ter","Qua","Qui","Sex","Sáb","Dom"))</f>
        <v>0</v>
      </c>
      <c r="M1757" s="27">
        <f>IF($E1757="","",IF($G1757&lt;&gt;"",$G1757,IFERROR(INDEX(ProcValor,MATCH($E1757,ProcNome,0)),0)))</f>
        <v>0</v>
      </c>
      <c r="N1757" s="27">
        <f>IF($M1757="","",IF($F1757="Compareceu",$M1757,0))</f>
        <v>0</v>
      </c>
      <c r="O1757" s="27">
        <f>IF($M1757="","",IF($F1757="Faltou",$M1757,0))</f>
        <v>0</v>
      </c>
      <c r="P1757" s="27">
        <f>IF($M1757="","",IF($F1757="Compareceu",MAX(0,$M1757-N($H1757)),0))</f>
        <v>0</v>
      </c>
      <c r="Q1757" s="19">
        <f>IF(AND($F1757="Compareceu",$E1757&lt;&gt;"",$A1757&lt;&gt;""),IF(IFERROR(INDEX(ProcRet,MATCH($E1757,ProcNome,0)),0)&gt;0,$A1757+INDEX(ProcRet,MATCH($E1757,ProcNome,0)),""),"")</f>
        <v>0</v>
      </c>
      <c r="R1757" s="26">
        <f>IF($Q1757="","",IF(COUNTIFS(AgPac,$D1757,AgData,"&gt;"&amp;$A1757,AgStatus,"&lt;&gt;Cancelado",AgStatus,"&lt;&gt;Remarcado")&gt;0,"Sim","Não"))</f>
        <v>0</v>
      </c>
      <c r="S1757" s="28">
        <f>IF($A1757="","",IF(AND($F1757="Agendado",$A1757-Hoje&gt;=0,$A1757-Hoje&lt;=DiasConf),"CONFIRMAR",IF(AND($A1757&lt;Hoje,OR($F1757="Agendado",$F1757="Confirmado")),"Atualizar status",IF(AND($F1757="Compareceu",$P1757&gt;0.005),"Cobrar",IF($F1757="Faltou","Falta: reagendar","")))))</f>
        <v>0</v>
      </c>
      <c r="T1757" s="29">
        <f>IF($A1757="","",DATE(YEAR($A1757),MONTH($A1757),1))</f>
        <v>0</v>
      </c>
      <c r="U1757" s="30">
        <f>IF($S1757="CONFIRMAR",MAX($U$4:$U1756)+1,"")</f>
        <v>0</v>
      </c>
      <c r="V1757" s="30">
        <f>IF(AND($R1757="Não",$Q1757&lt;&gt;"",$Q1757&lt;=Hoje+JanelaRet,$Q1757&gt;=Hoje-60),MAX($V$4:$V1756)+1,"")</f>
        <v>0</v>
      </c>
    </row>
    <row r="1758" spans="1:22">
      <c r="A1758" s="16"/>
      <c r="B1758" s="23"/>
      <c r="C1758" s="15"/>
      <c r="D1758" s="15"/>
      <c r="E1758" s="15"/>
      <c r="F1758" s="24"/>
      <c r="G1758" s="17"/>
      <c r="H1758" s="17"/>
      <c r="I1758" s="15"/>
      <c r="J1758" s="25">
        <f>IF($D1758="","",IFERROR(INDEX(PacNome,MATCH($D1758,PacCod,0)),"Paciente não cadastrado"))</f>
        <v>0</v>
      </c>
      <c r="K1758" s="26">
        <f>IF($D1758="","",IFERROR(INDEX(PacConv,MATCH($D1758,PacCod,0))&amp;"",""))</f>
        <v>0</v>
      </c>
      <c r="L1758" s="26">
        <f>IF($A1758="","",CHOOSE(WEEKDAY($A1758,2),"Seg","Ter","Qua","Qui","Sex","Sáb","Dom"))</f>
        <v>0</v>
      </c>
      <c r="M1758" s="27">
        <f>IF($E1758="","",IF($G1758&lt;&gt;"",$G1758,IFERROR(INDEX(ProcValor,MATCH($E1758,ProcNome,0)),0)))</f>
        <v>0</v>
      </c>
      <c r="N1758" s="27">
        <f>IF($M1758="","",IF($F1758="Compareceu",$M1758,0))</f>
        <v>0</v>
      </c>
      <c r="O1758" s="27">
        <f>IF($M1758="","",IF($F1758="Faltou",$M1758,0))</f>
        <v>0</v>
      </c>
      <c r="P1758" s="27">
        <f>IF($M1758="","",IF($F1758="Compareceu",MAX(0,$M1758-N($H1758)),0))</f>
        <v>0</v>
      </c>
      <c r="Q1758" s="19">
        <f>IF(AND($F1758="Compareceu",$E1758&lt;&gt;"",$A1758&lt;&gt;""),IF(IFERROR(INDEX(ProcRet,MATCH($E1758,ProcNome,0)),0)&gt;0,$A1758+INDEX(ProcRet,MATCH($E1758,ProcNome,0)),""),"")</f>
        <v>0</v>
      </c>
      <c r="R1758" s="26">
        <f>IF($Q1758="","",IF(COUNTIFS(AgPac,$D1758,AgData,"&gt;"&amp;$A1758,AgStatus,"&lt;&gt;Cancelado",AgStatus,"&lt;&gt;Remarcado")&gt;0,"Sim","Não"))</f>
        <v>0</v>
      </c>
      <c r="S1758" s="28">
        <f>IF($A1758="","",IF(AND($F1758="Agendado",$A1758-Hoje&gt;=0,$A1758-Hoje&lt;=DiasConf),"CONFIRMAR",IF(AND($A1758&lt;Hoje,OR($F1758="Agendado",$F1758="Confirmado")),"Atualizar status",IF(AND($F1758="Compareceu",$P1758&gt;0.005),"Cobrar",IF($F1758="Faltou","Falta: reagendar","")))))</f>
        <v>0</v>
      </c>
      <c r="T1758" s="29">
        <f>IF($A1758="","",DATE(YEAR($A1758),MONTH($A1758),1))</f>
        <v>0</v>
      </c>
      <c r="U1758" s="30">
        <f>IF($S1758="CONFIRMAR",MAX($U$4:$U1757)+1,"")</f>
        <v>0</v>
      </c>
      <c r="V1758" s="30">
        <f>IF(AND($R1758="Não",$Q1758&lt;&gt;"",$Q1758&lt;=Hoje+JanelaRet,$Q1758&gt;=Hoje-60),MAX($V$4:$V1757)+1,"")</f>
        <v>0</v>
      </c>
    </row>
    <row r="1759" spans="1:22">
      <c r="A1759" s="16"/>
      <c r="B1759" s="23"/>
      <c r="C1759" s="15"/>
      <c r="D1759" s="15"/>
      <c r="E1759" s="15"/>
      <c r="F1759" s="24"/>
      <c r="G1759" s="17"/>
      <c r="H1759" s="17"/>
      <c r="I1759" s="15"/>
      <c r="J1759" s="25">
        <f>IF($D1759="","",IFERROR(INDEX(PacNome,MATCH($D1759,PacCod,0)),"Paciente não cadastrado"))</f>
        <v>0</v>
      </c>
      <c r="K1759" s="26">
        <f>IF($D1759="","",IFERROR(INDEX(PacConv,MATCH($D1759,PacCod,0))&amp;"",""))</f>
        <v>0</v>
      </c>
      <c r="L1759" s="26">
        <f>IF($A1759="","",CHOOSE(WEEKDAY($A1759,2),"Seg","Ter","Qua","Qui","Sex","Sáb","Dom"))</f>
        <v>0</v>
      </c>
      <c r="M1759" s="27">
        <f>IF($E1759="","",IF($G1759&lt;&gt;"",$G1759,IFERROR(INDEX(ProcValor,MATCH($E1759,ProcNome,0)),0)))</f>
        <v>0</v>
      </c>
      <c r="N1759" s="27">
        <f>IF($M1759="","",IF($F1759="Compareceu",$M1759,0))</f>
        <v>0</v>
      </c>
      <c r="O1759" s="27">
        <f>IF($M1759="","",IF($F1759="Faltou",$M1759,0))</f>
        <v>0</v>
      </c>
      <c r="P1759" s="27">
        <f>IF($M1759="","",IF($F1759="Compareceu",MAX(0,$M1759-N($H1759)),0))</f>
        <v>0</v>
      </c>
      <c r="Q1759" s="19">
        <f>IF(AND($F1759="Compareceu",$E1759&lt;&gt;"",$A1759&lt;&gt;""),IF(IFERROR(INDEX(ProcRet,MATCH($E1759,ProcNome,0)),0)&gt;0,$A1759+INDEX(ProcRet,MATCH($E1759,ProcNome,0)),""),"")</f>
        <v>0</v>
      </c>
      <c r="R1759" s="26">
        <f>IF($Q1759="","",IF(COUNTIFS(AgPac,$D1759,AgData,"&gt;"&amp;$A1759,AgStatus,"&lt;&gt;Cancelado",AgStatus,"&lt;&gt;Remarcado")&gt;0,"Sim","Não"))</f>
        <v>0</v>
      </c>
      <c r="S1759" s="28">
        <f>IF($A1759="","",IF(AND($F1759="Agendado",$A1759-Hoje&gt;=0,$A1759-Hoje&lt;=DiasConf),"CONFIRMAR",IF(AND($A1759&lt;Hoje,OR($F1759="Agendado",$F1759="Confirmado")),"Atualizar status",IF(AND($F1759="Compareceu",$P1759&gt;0.005),"Cobrar",IF($F1759="Faltou","Falta: reagendar","")))))</f>
        <v>0</v>
      </c>
      <c r="T1759" s="29">
        <f>IF($A1759="","",DATE(YEAR($A1759),MONTH($A1759),1))</f>
        <v>0</v>
      </c>
      <c r="U1759" s="30">
        <f>IF($S1759="CONFIRMAR",MAX($U$4:$U1758)+1,"")</f>
        <v>0</v>
      </c>
      <c r="V1759" s="30">
        <f>IF(AND($R1759="Não",$Q1759&lt;&gt;"",$Q1759&lt;=Hoje+JanelaRet,$Q1759&gt;=Hoje-60),MAX($V$4:$V1758)+1,"")</f>
        <v>0</v>
      </c>
    </row>
    <row r="1760" spans="1:22">
      <c r="A1760" s="16"/>
      <c r="B1760" s="23"/>
      <c r="C1760" s="15"/>
      <c r="D1760" s="15"/>
      <c r="E1760" s="15"/>
      <c r="F1760" s="24"/>
      <c r="G1760" s="17"/>
      <c r="H1760" s="17"/>
      <c r="I1760" s="15"/>
      <c r="J1760" s="25">
        <f>IF($D1760="","",IFERROR(INDEX(PacNome,MATCH($D1760,PacCod,0)),"Paciente não cadastrado"))</f>
        <v>0</v>
      </c>
      <c r="K1760" s="26">
        <f>IF($D1760="","",IFERROR(INDEX(PacConv,MATCH($D1760,PacCod,0))&amp;"",""))</f>
        <v>0</v>
      </c>
      <c r="L1760" s="26">
        <f>IF($A1760="","",CHOOSE(WEEKDAY($A1760,2),"Seg","Ter","Qua","Qui","Sex","Sáb","Dom"))</f>
        <v>0</v>
      </c>
      <c r="M1760" s="27">
        <f>IF($E1760="","",IF($G1760&lt;&gt;"",$G1760,IFERROR(INDEX(ProcValor,MATCH($E1760,ProcNome,0)),0)))</f>
        <v>0</v>
      </c>
      <c r="N1760" s="27">
        <f>IF($M1760="","",IF($F1760="Compareceu",$M1760,0))</f>
        <v>0</v>
      </c>
      <c r="O1760" s="27">
        <f>IF($M1760="","",IF($F1760="Faltou",$M1760,0))</f>
        <v>0</v>
      </c>
      <c r="P1760" s="27">
        <f>IF($M1760="","",IF($F1760="Compareceu",MAX(0,$M1760-N($H1760)),0))</f>
        <v>0</v>
      </c>
      <c r="Q1760" s="19">
        <f>IF(AND($F1760="Compareceu",$E1760&lt;&gt;"",$A1760&lt;&gt;""),IF(IFERROR(INDEX(ProcRet,MATCH($E1760,ProcNome,0)),0)&gt;0,$A1760+INDEX(ProcRet,MATCH($E1760,ProcNome,0)),""),"")</f>
        <v>0</v>
      </c>
      <c r="R1760" s="26">
        <f>IF($Q1760="","",IF(COUNTIFS(AgPac,$D1760,AgData,"&gt;"&amp;$A1760,AgStatus,"&lt;&gt;Cancelado",AgStatus,"&lt;&gt;Remarcado")&gt;0,"Sim","Não"))</f>
        <v>0</v>
      </c>
      <c r="S1760" s="28">
        <f>IF($A1760="","",IF(AND($F1760="Agendado",$A1760-Hoje&gt;=0,$A1760-Hoje&lt;=DiasConf),"CONFIRMAR",IF(AND($A1760&lt;Hoje,OR($F1760="Agendado",$F1760="Confirmado")),"Atualizar status",IF(AND($F1760="Compareceu",$P1760&gt;0.005),"Cobrar",IF($F1760="Faltou","Falta: reagendar","")))))</f>
        <v>0</v>
      </c>
      <c r="T1760" s="29">
        <f>IF($A1760="","",DATE(YEAR($A1760),MONTH($A1760),1))</f>
        <v>0</v>
      </c>
      <c r="U1760" s="30">
        <f>IF($S1760="CONFIRMAR",MAX($U$4:$U1759)+1,"")</f>
        <v>0</v>
      </c>
      <c r="V1760" s="30">
        <f>IF(AND($R1760="Não",$Q1760&lt;&gt;"",$Q1760&lt;=Hoje+JanelaRet,$Q1760&gt;=Hoje-60),MAX($V$4:$V1759)+1,"")</f>
        <v>0</v>
      </c>
    </row>
    <row r="1761" spans="1:22">
      <c r="A1761" s="16"/>
      <c r="B1761" s="23"/>
      <c r="C1761" s="15"/>
      <c r="D1761" s="15"/>
      <c r="E1761" s="15"/>
      <c r="F1761" s="24"/>
      <c r="G1761" s="17"/>
      <c r="H1761" s="17"/>
      <c r="I1761" s="15"/>
      <c r="J1761" s="25">
        <f>IF($D1761="","",IFERROR(INDEX(PacNome,MATCH($D1761,PacCod,0)),"Paciente não cadastrado"))</f>
        <v>0</v>
      </c>
      <c r="K1761" s="26">
        <f>IF($D1761="","",IFERROR(INDEX(PacConv,MATCH($D1761,PacCod,0))&amp;"",""))</f>
        <v>0</v>
      </c>
      <c r="L1761" s="26">
        <f>IF($A1761="","",CHOOSE(WEEKDAY($A1761,2),"Seg","Ter","Qua","Qui","Sex","Sáb","Dom"))</f>
        <v>0</v>
      </c>
      <c r="M1761" s="27">
        <f>IF($E1761="","",IF($G1761&lt;&gt;"",$G1761,IFERROR(INDEX(ProcValor,MATCH($E1761,ProcNome,0)),0)))</f>
        <v>0</v>
      </c>
      <c r="N1761" s="27">
        <f>IF($M1761="","",IF($F1761="Compareceu",$M1761,0))</f>
        <v>0</v>
      </c>
      <c r="O1761" s="27">
        <f>IF($M1761="","",IF($F1761="Faltou",$M1761,0))</f>
        <v>0</v>
      </c>
      <c r="P1761" s="27">
        <f>IF($M1761="","",IF($F1761="Compareceu",MAX(0,$M1761-N($H1761)),0))</f>
        <v>0</v>
      </c>
      <c r="Q1761" s="19">
        <f>IF(AND($F1761="Compareceu",$E1761&lt;&gt;"",$A1761&lt;&gt;""),IF(IFERROR(INDEX(ProcRet,MATCH($E1761,ProcNome,0)),0)&gt;0,$A1761+INDEX(ProcRet,MATCH($E1761,ProcNome,0)),""),"")</f>
        <v>0</v>
      </c>
      <c r="R1761" s="26">
        <f>IF($Q1761="","",IF(COUNTIFS(AgPac,$D1761,AgData,"&gt;"&amp;$A1761,AgStatus,"&lt;&gt;Cancelado",AgStatus,"&lt;&gt;Remarcado")&gt;0,"Sim","Não"))</f>
        <v>0</v>
      </c>
      <c r="S1761" s="28">
        <f>IF($A1761="","",IF(AND($F1761="Agendado",$A1761-Hoje&gt;=0,$A1761-Hoje&lt;=DiasConf),"CONFIRMAR",IF(AND($A1761&lt;Hoje,OR($F1761="Agendado",$F1761="Confirmado")),"Atualizar status",IF(AND($F1761="Compareceu",$P1761&gt;0.005),"Cobrar",IF($F1761="Faltou","Falta: reagendar","")))))</f>
        <v>0</v>
      </c>
      <c r="T1761" s="29">
        <f>IF($A1761="","",DATE(YEAR($A1761),MONTH($A1761),1))</f>
        <v>0</v>
      </c>
      <c r="U1761" s="30">
        <f>IF($S1761="CONFIRMAR",MAX($U$4:$U1760)+1,"")</f>
        <v>0</v>
      </c>
      <c r="V1761" s="30">
        <f>IF(AND($R1761="Não",$Q1761&lt;&gt;"",$Q1761&lt;=Hoje+JanelaRet,$Q1761&gt;=Hoje-60),MAX($V$4:$V1760)+1,"")</f>
        <v>0</v>
      </c>
    </row>
    <row r="1762" spans="1:22">
      <c r="A1762" s="16"/>
      <c r="B1762" s="23"/>
      <c r="C1762" s="15"/>
      <c r="D1762" s="15"/>
      <c r="E1762" s="15"/>
      <c r="F1762" s="24"/>
      <c r="G1762" s="17"/>
      <c r="H1762" s="17"/>
      <c r="I1762" s="15"/>
      <c r="J1762" s="25">
        <f>IF($D1762="","",IFERROR(INDEX(PacNome,MATCH($D1762,PacCod,0)),"Paciente não cadastrado"))</f>
        <v>0</v>
      </c>
      <c r="K1762" s="26">
        <f>IF($D1762="","",IFERROR(INDEX(PacConv,MATCH($D1762,PacCod,0))&amp;"",""))</f>
        <v>0</v>
      </c>
      <c r="L1762" s="26">
        <f>IF($A1762="","",CHOOSE(WEEKDAY($A1762,2),"Seg","Ter","Qua","Qui","Sex","Sáb","Dom"))</f>
        <v>0</v>
      </c>
      <c r="M1762" s="27">
        <f>IF($E1762="","",IF($G1762&lt;&gt;"",$G1762,IFERROR(INDEX(ProcValor,MATCH($E1762,ProcNome,0)),0)))</f>
        <v>0</v>
      </c>
      <c r="N1762" s="27">
        <f>IF($M1762="","",IF($F1762="Compareceu",$M1762,0))</f>
        <v>0</v>
      </c>
      <c r="O1762" s="27">
        <f>IF($M1762="","",IF($F1762="Faltou",$M1762,0))</f>
        <v>0</v>
      </c>
      <c r="P1762" s="27">
        <f>IF($M1762="","",IF($F1762="Compareceu",MAX(0,$M1762-N($H1762)),0))</f>
        <v>0</v>
      </c>
      <c r="Q1762" s="19">
        <f>IF(AND($F1762="Compareceu",$E1762&lt;&gt;"",$A1762&lt;&gt;""),IF(IFERROR(INDEX(ProcRet,MATCH($E1762,ProcNome,0)),0)&gt;0,$A1762+INDEX(ProcRet,MATCH($E1762,ProcNome,0)),""),"")</f>
        <v>0</v>
      </c>
      <c r="R1762" s="26">
        <f>IF($Q1762="","",IF(COUNTIFS(AgPac,$D1762,AgData,"&gt;"&amp;$A1762,AgStatus,"&lt;&gt;Cancelado",AgStatus,"&lt;&gt;Remarcado")&gt;0,"Sim","Não"))</f>
        <v>0</v>
      </c>
      <c r="S1762" s="28">
        <f>IF($A1762="","",IF(AND($F1762="Agendado",$A1762-Hoje&gt;=0,$A1762-Hoje&lt;=DiasConf),"CONFIRMAR",IF(AND($A1762&lt;Hoje,OR($F1762="Agendado",$F1762="Confirmado")),"Atualizar status",IF(AND($F1762="Compareceu",$P1762&gt;0.005),"Cobrar",IF($F1762="Faltou","Falta: reagendar","")))))</f>
        <v>0</v>
      </c>
      <c r="T1762" s="29">
        <f>IF($A1762="","",DATE(YEAR($A1762),MONTH($A1762),1))</f>
        <v>0</v>
      </c>
      <c r="U1762" s="30">
        <f>IF($S1762="CONFIRMAR",MAX($U$4:$U1761)+1,"")</f>
        <v>0</v>
      </c>
      <c r="V1762" s="30">
        <f>IF(AND($R1762="Não",$Q1762&lt;&gt;"",$Q1762&lt;=Hoje+JanelaRet,$Q1762&gt;=Hoje-60),MAX($V$4:$V1761)+1,"")</f>
        <v>0</v>
      </c>
    </row>
    <row r="1763" spans="1:22">
      <c r="A1763" s="16"/>
      <c r="B1763" s="23"/>
      <c r="C1763" s="15"/>
      <c r="D1763" s="15"/>
      <c r="E1763" s="15"/>
      <c r="F1763" s="24"/>
      <c r="G1763" s="17"/>
      <c r="H1763" s="17"/>
      <c r="I1763" s="15"/>
      <c r="J1763" s="25">
        <f>IF($D1763="","",IFERROR(INDEX(PacNome,MATCH($D1763,PacCod,0)),"Paciente não cadastrado"))</f>
        <v>0</v>
      </c>
      <c r="K1763" s="26">
        <f>IF($D1763="","",IFERROR(INDEX(PacConv,MATCH($D1763,PacCod,0))&amp;"",""))</f>
        <v>0</v>
      </c>
      <c r="L1763" s="26">
        <f>IF($A1763="","",CHOOSE(WEEKDAY($A1763,2),"Seg","Ter","Qua","Qui","Sex","Sáb","Dom"))</f>
        <v>0</v>
      </c>
      <c r="M1763" s="27">
        <f>IF($E1763="","",IF($G1763&lt;&gt;"",$G1763,IFERROR(INDEX(ProcValor,MATCH($E1763,ProcNome,0)),0)))</f>
        <v>0</v>
      </c>
      <c r="N1763" s="27">
        <f>IF($M1763="","",IF($F1763="Compareceu",$M1763,0))</f>
        <v>0</v>
      </c>
      <c r="O1763" s="27">
        <f>IF($M1763="","",IF($F1763="Faltou",$M1763,0))</f>
        <v>0</v>
      </c>
      <c r="P1763" s="27">
        <f>IF($M1763="","",IF($F1763="Compareceu",MAX(0,$M1763-N($H1763)),0))</f>
        <v>0</v>
      </c>
      <c r="Q1763" s="19">
        <f>IF(AND($F1763="Compareceu",$E1763&lt;&gt;"",$A1763&lt;&gt;""),IF(IFERROR(INDEX(ProcRet,MATCH($E1763,ProcNome,0)),0)&gt;0,$A1763+INDEX(ProcRet,MATCH($E1763,ProcNome,0)),""),"")</f>
        <v>0</v>
      </c>
      <c r="R1763" s="26">
        <f>IF($Q1763="","",IF(COUNTIFS(AgPac,$D1763,AgData,"&gt;"&amp;$A1763,AgStatus,"&lt;&gt;Cancelado",AgStatus,"&lt;&gt;Remarcado")&gt;0,"Sim","Não"))</f>
        <v>0</v>
      </c>
      <c r="S1763" s="28">
        <f>IF($A1763="","",IF(AND($F1763="Agendado",$A1763-Hoje&gt;=0,$A1763-Hoje&lt;=DiasConf),"CONFIRMAR",IF(AND($A1763&lt;Hoje,OR($F1763="Agendado",$F1763="Confirmado")),"Atualizar status",IF(AND($F1763="Compareceu",$P1763&gt;0.005),"Cobrar",IF($F1763="Faltou","Falta: reagendar","")))))</f>
        <v>0</v>
      </c>
      <c r="T1763" s="29">
        <f>IF($A1763="","",DATE(YEAR($A1763),MONTH($A1763),1))</f>
        <v>0</v>
      </c>
      <c r="U1763" s="30">
        <f>IF($S1763="CONFIRMAR",MAX($U$4:$U1762)+1,"")</f>
        <v>0</v>
      </c>
      <c r="V1763" s="30">
        <f>IF(AND($R1763="Não",$Q1763&lt;&gt;"",$Q1763&lt;=Hoje+JanelaRet,$Q1763&gt;=Hoje-60),MAX($V$4:$V1762)+1,"")</f>
        <v>0</v>
      </c>
    </row>
    <row r="1764" spans="1:22">
      <c r="A1764" s="16"/>
      <c r="B1764" s="23"/>
      <c r="C1764" s="15"/>
      <c r="D1764" s="15"/>
      <c r="E1764" s="15"/>
      <c r="F1764" s="24"/>
      <c r="G1764" s="17"/>
      <c r="H1764" s="17"/>
      <c r="I1764" s="15"/>
      <c r="J1764" s="25">
        <f>IF($D1764="","",IFERROR(INDEX(PacNome,MATCH($D1764,PacCod,0)),"Paciente não cadastrado"))</f>
        <v>0</v>
      </c>
      <c r="K1764" s="26">
        <f>IF($D1764="","",IFERROR(INDEX(PacConv,MATCH($D1764,PacCod,0))&amp;"",""))</f>
        <v>0</v>
      </c>
      <c r="L1764" s="26">
        <f>IF($A1764="","",CHOOSE(WEEKDAY($A1764,2),"Seg","Ter","Qua","Qui","Sex","Sáb","Dom"))</f>
        <v>0</v>
      </c>
      <c r="M1764" s="27">
        <f>IF($E1764="","",IF($G1764&lt;&gt;"",$G1764,IFERROR(INDEX(ProcValor,MATCH($E1764,ProcNome,0)),0)))</f>
        <v>0</v>
      </c>
      <c r="N1764" s="27">
        <f>IF($M1764="","",IF($F1764="Compareceu",$M1764,0))</f>
        <v>0</v>
      </c>
      <c r="O1764" s="27">
        <f>IF($M1764="","",IF($F1764="Faltou",$M1764,0))</f>
        <v>0</v>
      </c>
      <c r="P1764" s="27">
        <f>IF($M1764="","",IF($F1764="Compareceu",MAX(0,$M1764-N($H1764)),0))</f>
        <v>0</v>
      </c>
      <c r="Q1764" s="19">
        <f>IF(AND($F1764="Compareceu",$E1764&lt;&gt;"",$A1764&lt;&gt;""),IF(IFERROR(INDEX(ProcRet,MATCH($E1764,ProcNome,0)),0)&gt;0,$A1764+INDEX(ProcRet,MATCH($E1764,ProcNome,0)),""),"")</f>
        <v>0</v>
      </c>
      <c r="R1764" s="26">
        <f>IF($Q1764="","",IF(COUNTIFS(AgPac,$D1764,AgData,"&gt;"&amp;$A1764,AgStatus,"&lt;&gt;Cancelado",AgStatus,"&lt;&gt;Remarcado")&gt;0,"Sim","Não"))</f>
        <v>0</v>
      </c>
      <c r="S1764" s="28">
        <f>IF($A1764="","",IF(AND($F1764="Agendado",$A1764-Hoje&gt;=0,$A1764-Hoje&lt;=DiasConf),"CONFIRMAR",IF(AND($A1764&lt;Hoje,OR($F1764="Agendado",$F1764="Confirmado")),"Atualizar status",IF(AND($F1764="Compareceu",$P1764&gt;0.005),"Cobrar",IF($F1764="Faltou","Falta: reagendar","")))))</f>
        <v>0</v>
      </c>
      <c r="T1764" s="29">
        <f>IF($A1764="","",DATE(YEAR($A1764),MONTH($A1764),1))</f>
        <v>0</v>
      </c>
      <c r="U1764" s="30">
        <f>IF($S1764="CONFIRMAR",MAX($U$4:$U1763)+1,"")</f>
        <v>0</v>
      </c>
      <c r="V1764" s="30">
        <f>IF(AND($R1764="Não",$Q1764&lt;&gt;"",$Q1764&lt;=Hoje+JanelaRet,$Q1764&gt;=Hoje-60),MAX($V$4:$V1763)+1,"")</f>
        <v>0</v>
      </c>
    </row>
    <row r="1765" spans="1:22">
      <c r="A1765" s="16"/>
      <c r="B1765" s="23"/>
      <c r="C1765" s="15"/>
      <c r="D1765" s="15"/>
      <c r="E1765" s="15"/>
      <c r="F1765" s="24"/>
      <c r="G1765" s="17"/>
      <c r="H1765" s="17"/>
      <c r="I1765" s="15"/>
      <c r="J1765" s="25">
        <f>IF($D1765="","",IFERROR(INDEX(PacNome,MATCH($D1765,PacCod,0)),"Paciente não cadastrado"))</f>
        <v>0</v>
      </c>
      <c r="K1765" s="26">
        <f>IF($D1765="","",IFERROR(INDEX(PacConv,MATCH($D1765,PacCod,0))&amp;"",""))</f>
        <v>0</v>
      </c>
      <c r="L1765" s="26">
        <f>IF($A1765="","",CHOOSE(WEEKDAY($A1765,2),"Seg","Ter","Qua","Qui","Sex","Sáb","Dom"))</f>
        <v>0</v>
      </c>
      <c r="M1765" s="27">
        <f>IF($E1765="","",IF($G1765&lt;&gt;"",$G1765,IFERROR(INDEX(ProcValor,MATCH($E1765,ProcNome,0)),0)))</f>
        <v>0</v>
      </c>
      <c r="N1765" s="27">
        <f>IF($M1765="","",IF($F1765="Compareceu",$M1765,0))</f>
        <v>0</v>
      </c>
      <c r="O1765" s="27">
        <f>IF($M1765="","",IF($F1765="Faltou",$M1765,0))</f>
        <v>0</v>
      </c>
      <c r="P1765" s="27">
        <f>IF($M1765="","",IF($F1765="Compareceu",MAX(0,$M1765-N($H1765)),0))</f>
        <v>0</v>
      </c>
      <c r="Q1765" s="19">
        <f>IF(AND($F1765="Compareceu",$E1765&lt;&gt;"",$A1765&lt;&gt;""),IF(IFERROR(INDEX(ProcRet,MATCH($E1765,ProcNome,0)),0)&gt;0,$A1765+INDEX(ProcRet,MATCH($E1765,ProcNome,0)),""),"")</f>
        <v>0</v>
      </c>
      <c r="R1765" s="26">
        <f>IF($Q1765="","",IF(COUNTIFS(AgPac,$D1765,AgData,"&gt;"&amp;$A1765,AgStatus,"&lt;&gt;Cancelado",AgStatus,"&lt;&gt;Remarcado")&gt;0,"Sim","Não"))</f>
        <v>0</v>
      </c>
      <c r="S1765" s="28">
        <f>IF($A1765="","",IF(AND($F1765="Agendado",$A1765-Hoje&gt;=0,$A1765-Hoje&lt;=DiasConf),"CONFIRMAR",IF(AND($A1765&lt;Hoje,OR($F1765="Agendado",$F1765="Confirmado")),"Atualizar status",IF(AND($F1765="Compareceu",$P1765&gt;0.005),"Cobrar",IF($F1765="Faltou","Falta: reagendar","")))))</f>
        <v>0</v>
      </c>
      <c r="T1765" s="29">
        <f>IF($A1765="","",DATE(YEAR($A1765),MONTH($A1765),1))</f>
        <v>0</v>
      </c>
      <c r="U1765" s="30">
        <f>IF($S1765="CONFIRMAR",MAX($U$4:$U1764)+1,"")</f>
        <v>0</v>
      </c>
      <c r="V1765" s="30">
        <f>IF(AND($R1765="Não",$Q1765&lt;&gt;"",$Q1765&lt;=Hoje+JanelaRet,$Q1765&gt;=Hoje-60),MAX($V$4:$V1764)+1,"")</f>
        <v>0</v>
      </c>
    </row>
    <row r="1766" spans="1:22">
      <c r="A1766" s="16"/>
      <c r="B1766" s="23"/>
      <c r="C1766" s="15"/>
      <c r="D1766" s="15"/>
      <c r="E1766" s="15"/>
      <c r="F1766" s="24"/>
      <c r="G1766" s="17"/>
      <c r="H1766" s="17"/>
      <c r="I1766" s="15"/>
      <c r="J1766" s="25">
        <f>IF($D1766="","",IFERROR(INDEX(PacNome,MATCH($D1766,PacCod,0)),"Paciente não cadastrado"))</f>
        <v>0</v>
      </c>
      <c r="K1766" s="26">
        <f>IF($D1766="","",IFERROR(INDEX(PacConv,MATCH($D1766,PacCod,0))&amp;"",""))</f>
        <v>0</v>
      </c>
      <c r="L1766" s="26">
        <f>IF($A1766="","",CHOOSE(WEEKDAY($A1766,2),"Seg","Ter","Qua","Qui","Sex","Sáb","Dom"))</f>
        <v>0</v>
      </c>
      <c r="M1766" s="27">
        <f>IF($E1766="","",IF($G1766&lt;&gt;"",$G1766,IFERROR(INDEX(ProcValor,MATCH($E1766,ProcNome,0)),0)))</f>
        <v>0</v>
      </c>
      <c r="N1766" s="27">
        <f>IF($M1766="","",IF($F1766="Compareceu",$M1766,0))</f>
        <v>0</v>
      </c>
      <c r="O1766" s="27">
        <f>IF($M1766="","",IF($F1766="Faltou",$M1766,0))</f>
        <v>0</v>
      </c>
      <c r="P1766" s="27">
        <f>IF($M1766="","",IF($F1766="Compareceu",MAX(0,$M1766-N($H1766)),0))</f>
        <v>0</v>
      </c>
      <c r="Q1766" s="19">
        <f>IF(AND($F1766="Compareceu",$E1766&lt;&gt;"",$A1766&lt;&gt;""),IF(IFERROR(INDEX(ProcRet,MATCH($E1766,ProcNome,0)),0)&gt;0,$A1766+INDEX(ProcRet,MATCH($E1766,ProcNome,0)),""),"")</f>
        <v>0</v>
      </c>
      <c r="R1766" s="26">
        <f>IF($Q1766="","",IF(COUNTIFS(AgPac,$D1766,AgData,"&gt;"&amp;$A1766,AgStatus,"&lt;&gt;Cancelado",AgStatus,"&lt;&gt;Remarcado")&gt;0,"Sim","Não"))</f>
        <v>0</v>
      </c>
      <c r="S1766" s="28">
        <f>IF($A1766="","",IF(AND($F1766="Agendado",$A1766-Hoje&gt;=0,$A1766-Hoje&lt;=DiasConf),"CONFIRMAR",IF(AND($A1766&lt;Hoje,OR($F1766="Agendado",$F1766="Confirmado")),"Atualizar status",IF(AND($F1766="Compareceu",$P1766&gt;0.005),"Cobrar",IF($F1766="Faltou","Falta: reagendar","")))))</f>
        <v>0</v>
      </c>
      <c r="T1766" s="29">
        <f>IF($A1766="","",DATE(YEAR($A1766),MONTH($A1766),1))</f>
        <v>0</v>
      </c>
      <c r="U1766" s="30">
        <f>IF($S1766="CONFIRMAR",MAX($U$4:$U1765)+1,"")</f>
        <v>0</v>
      </c>
      <c r="V1766" s="30">
        <f>IF(AND($R1766="Não",$Q1766&lt;&gt;"",$Q1766&lt;=Hoje+JanelaRet,$Q1766&gt;=Hoje-60),MAX($V$4:$V1765)+1,"")</f>
        <v>0</v>
      </c>
    </row>
    <row r="1767" spans="1:22">
      <c r="A1767" s="16"/>
      <c r="B1767" s="23"/>
      <c r="C1767" s="15"/>
      <c r="D1767" s="15"/>
      <c r="E1767" s="15"/>
      <c r="F1767" s="24"/>
      <c r="G1767" s="17"/>
      <c r="H1767" s="17"/>
      <c r="I1767" s="15"/>
      <c r="J1767" s="25">
        <f>IF($D1767="","",IFERROR(INDEX(PacNome,MATCH($D1767,PacCod,0)),"Paciente não cadastrado"))</f>
        <v>0</v>
      </c>
      <c r="K1767" s="26">
        <f>IF($D1767="","",IFERROR(INDEX(PacConv,MATCH($D1767,PacCod,0))&amp;"",""))</f>
        <v>0</v>
      </c>
      <c r="L1767" s="26">
        <f>IF($A1767="","",CHOOSE(WEEKDAY($A1767,2),"Seg","Ter","Qua","Qui","Sex","Sáb","Dom"))</f>
        <v>0</v>
      </c>
      <c r="M1767" s="27">
        <f>IF($E1767="","",IF($G1767&lt;&gt;"",$G1767,IFERROR(INDEX(ProcValor,MATCH($E1767,ProcNome,0)),0)))</f>
        <v>0</v>
      </c>
      <c r="N1767" s="27">
        <f>IF($M1767="","",IF($F1767="Compareceu",$M1767,0))</f>
        <v>0</v>
      </c>
      <c r="O1767" s="27">
        <f>IF($M1767="","",IF($F1767="Faltou",$M1767,0))</f>
        <v>0</v>
      </c>
      <c r="P1767" s="27">
        <f>IF($M1767="","",IF($F1767="Compareceu",MAX(0,$M1767-N($H1767)),0))</f>
        <v>0</v>
      </c>
      <c r="Q1767" s="19">
        <f>IF(AND($F1767="Compareceu",$E1767&lt;&gt;"",$A1767&lt;&gt;""),IF(IFERROR(INDEX(ProcRet,MATCH($E1767,ProcNome,0)),0)&gt;0,$A1767+INDEX(ProcRet,MATCH($E1767,ProcNome,0)),""),"")</f>
        <v>0</v>
      </c>
      <c r="R1767" s="26">
        <f>IF($Q1767="","",IF(COUNTIFS(AgPac,$D1767,AgData,"&gt;"&amp;$A1767,AgStatus,"&lt;&gt;Cancelado",AgStatus,"&lt;&gt;Remarcado")&gt;0,"Sim","Não"))</f>
        <v>0</v>
      </c>
      <c r="S1767" s="28">
        <f>IF($A1767="","",IF(AND($F1767="Agendado",$A1767-Hoje&gt;=0,$A1767-Hoje&lt;=DiasConf),"CONFIRMAR",IF(AND($A1767&lt;Hoje,OR($F1767="Agendado",$F1767="Confirmado")),"Atualizar status",IF(AND($F1767="Compareceu",$P1767&gt;0.005),"Cobrar",IF($F1767="Faltou","Falta: reagendar","")))))</f>
        <v>0</v>
      </c>
      <c r="T1767" s="29">
        <f>IF($A1767="","",DATE(YEAR($A1767),MONTH($A1767),1))</f>
        <v>0</v>
      </c>
      <c r="U1767" s="30">
        <f>IF($S1767="CONFIRMAR",MAX($U$4:$U1766)+1,"")</f>
        <v>0</v>
      </c>
      <c r="V1767" s="30">
        <f>IF(AND($R1767="Não",$Q1767&lt;&gt;"",$Q1767&lt;=Hoje+JanelaRet,$Q1767&gt;=Hoje-60),MAX($V$4:$V1766)+1,"")</f>
        <v>0</v>
      </c>
    </row>
    <row r="1768" spans="1:22">
      <c r="A1768" s="16"/>
      <c r="B1768" s="23"/>
      <c r="C1768" s="15"/>
      <c r="D1768" s="15"/>
      <c r="E1768" s="15"/>
      <c r="F1768" s="24"/>
      <c r="G1768" s="17"/>
      <c r="H1768" s="17"/>
      <c r="I1768" s="15"/>
      <c r="J1768" s="25">
        <f>IF($D1768="","",IFERROR(INDEX(PacNome,MATCH($D1768,PacCod,0)),"Paciente não cadastrado"))</f>
        <v>0</v>
      </c>
      <c r="K1768" s="26">
        <f>IF($D1768="","",IFERROR(INDEX(PacConv,MATCH($D1768,PacCod,0))&amp;"",""))</f>
        <v>0</v>
      </c>
      <c r="L1768" s="26">
        <f>IF($A1768="","",CHOOSE(WEEKDAY($A1768,2),"Seg","Ter","Qua","Qui","Sex","Sáb","Dom"))</f>
        <v>0</v>
      </c>
      <c r="M1768" s="27">
        <f>IF($E1768="","",IF($G1768&lt;&gt;"",$G1768,IFERROR(INDEX(ProcValor,MATCH($E1768,ProcNome,0)),0)))</f>
        <v>0</v>
      </c>
      <c r="N1768" s="27">
        <f>IF($M1768="","",IF($F1768="Compareceu",$M1768,0))</f>
        <v>0</v>
      </c>
      <c r="O1768" s="27">
        <f>IF($M1768="","",IF($F1768="Faltou",$M1768,0))</f>
        <v>0</v>
      </c>
      <c r="P1768" s="27">
        <f>IF($M1768="","",IF($F1768="Compareceu",MAX(0,$M1768-N($H1768)),0))</f>
        <v>0</v>
      </c>
      <c r="Q1768" s="19">
        <f>IF(AND($F1768="Compareceu",$E1768&lt;&gt;"",$A1768&lt;&gt;""),IF(IFERROR(INDEX(ProcRet,MATCH($E1768,ProcNome,0)),0)&gt;0,$A1768+INDEX(ProcRet,MATCH($E1768,ProcNome,0)),""),"")</f>
        <v>0</v>
      </c>
      <c r="R1768" s="26">
        <f>IF($Q1768="","",IF(COUNTIFS(AgPac,$D1768,AgData,"&gt;"&amp;$A1768,AgStatus,"&lt;&gt;Cancelado",AgStatus,"&lt;&gt;Remarcado")&gt;0,"Sim","Não"))</f>
        <v>0</v>
      </c>
      <c r="S1768" s="28">
        <f>IF($A1768="","",IF(AND($F1768="Agendado",$A1768-Hoje&gt;=0,$A1768-Hoje&lt;=DiasConf),"CONFIRMAR",IF(AND($A1768&lt;Hoje,OR($F1768="Agendado",$F1768="Confirmado")),"Atualizar status",IF(AND($F1768="Compareceu",$P1768&gt;0.005),"Cobrar",IF($F1768="Faltou","Falta: reagendar","")))))</f>
        <v>0</v>
      </c>
      <c r="T1768" s="29">
        <f>IF($A1768="","",DATE(YEAR($A1768),MONTH($A1768),1))</f>
        <v>0</v>
      </c>
      <c r="U1768" s="30">
        <f>IF($S1768="CONFIRMAR",MAX($U$4:$U1767)+1,"")</f>
        <v>0</v>
      </c>
      <c r="V1768" s="30">
        <f>IF(AND($R1768="Não",$Q1768&lt;&gt;"",$Q1768&lt;=Hoje+JanelaRet,$Q1768&gt;=Hoje-60),MAX($V$4:$V1767)+1,"")</f>
        <v>0</v>
      </c>
    </row>
    <row r="1769" spans="1:22">
      <c r="A1769" s="16"/>
      <c r="B1769" s="23"/>
      <c r="C1769" s="15"/>
      <c r="D1769" s="15"/>
      <c r="E1769" s="15"/>
      <c r="F1769" s="24"/>
      <c r="G1769" s="17"/>
      <c r="H1769" s="17"/>
      <c r="I1769" s="15"/>
      <c r="J1769" s="25">
        <f>IF($D1769="","",IFERROR(INDEX(PacNome,MATCH($D1769,PacCod,0)),"Paciente não cadastrado"))</f>
        <v>0</v>
      </c>
      <c r="K1769" s="26">
        <f>IF($D1769="","",IFERROR(INDEX(PacConv,MATCH($D1769,PacCod,0))&amp;"",""))</f>
        <v>0</v>
      </c>
      <c r="L1769" s="26">
        <f>IF($A1769="","",CHOOSE(WEEKDAY($A1769,2),"Seg","Ter","Qua","Qui","Sex","Sáb","Dom"))</f>
        <v>0</v>
      </c>
      <c r="M1769" s="27">
        <f>IF($E1769="","",IF($G1769&lt;&gt;"",$G1769,IFERROR(INDEX(ProcValor,MATCH($E1769,ProcNome,0)),0)))</f>
        <v>0</v>
      </c>
      <c r="N1769" s="27">
        <f>IF($M1769="","",IF($F1769="Compareceu",$M1769,0))</f>
        <v>0</v>
      </c>
      <c r="O1769" s="27">
        <f>IF($M1769="","",IF($F1769="Faltou",$M1769,0))</f>
        <v>0</v>
      </c>
      <c r="P1769" s="27">
        <f>IF($M1769="","",IF($F1769="Compareceu",MAX(0,$M1769-N($H1769)),0))</f>
        <v>0</v>
      </c>
      <c r="Q1769" s="19">
        <f>IF(AND($F1769="Compareceu",$E1769&lt;&gt;"",$A1769&lt;&gt;""),IF(IFERROR(INDEX(ProcRet,MATCH($E1769,ProcNome,0)),0)&gt;0,$A1769+INDEX(ProcRet,MATCH($E1769,ProcNome,0)),""),"")</f>
        <v>0</v>
      </c>
      <c r="R1769" s="26">
        <f>IF($Q1769="","",IF(COUNTIFS(AgPac,$D1769,AgData,"&gt;"&amp;$A1769,AgStatus,"&lt;&gt;Cancelado",AgStatus,"&lt;&gt;Remarcado")&gt;0,"Sim","Não"))</f>
        <v>0</v>
      </c>
      <c r="S1769" s="28">
        <f>IF($A1769="","",IF(AND($F1769="Agendado",$A1769-Hoje&gt;=0,$A1769-Hoje&lt;=DiasConf),"CONFIRMAR",IF(AND($A1769&lt;Hoje,OR($F1769="Agendado",$F1769="Confirmado")),"Atualizar status",IF(AND($F1769="Compareceu",$P1769&gt;0.005),"Cobrar",IF($F1769="Faltou","Falta: reagendar","")))))</f>
        <v>0</v>
      </c>
      <c r="T1769" s="29">
        <f>IF($A1769="","",DATE(YEAR($A1769),MONTH($A1769),1))</f>
        <v>0</v>
      </c>
      <c r="U1769" s="30">
        <f>IF($S1769="CONFIRMAR",MAX($U$4:$U1768)+1,"")</f>
        <v>0</v>
      </c>
      <c r="V1769" s="30">
        <f>IF(AND($R1769="Não",$Q1769&lt;&gt;"",$Q1769&lt;=Hoje+JanelaRet,$Q1769&gt;=Hoje-60),MAX($V$4:$V1768)+1,"")</f>
        <v>0</v>
      </c>
    </row>
    <row r="1770" spans="1:22">
      <c r="A1770" s="16"/>
      <c r="B1770" s="23"/>
      <c r="C1770" s="15"/>
      <c r="D1770" s="15"/>
      <c r="E1770" s="15"/>
      <c r="F1770" s="24"/>
      <c r="G1770" s="17"/>
      <c r="H1770" s="17"/>
      <c r="I1770" s="15"/>
      <c r="J1770" s="25">
        <f>IF($D1770="","",IFERROR(INDEX(PacNome,MATCH($D1770,PacCod,0)),"Paciente não cadastrado"))</f>
        <v>0</v>
      </c>
      <c r="K1770" s="26">
        <f>IF($D1770="","",IFERROR(INDEX(PacConv,MATCH($D1770,PacCod,0))&amp;"",""))</f>
        <v>0</v>
      </c>
      <c r="L1770" s="26">
        <f>IF($A1770="","",CHOOSE(WEEKDAY($A1770,2),"Seg","Ter","Qua","Qui","Sex","Sáb","Dom"))</f>
        <v>0</v>
      </c>
      <c r="M1770" s="27">
        <f>IF($E1770="","",IF($G1770&lt;&gt;"",$G1770,IFERROR(INDEX(ProcValor,MATCH($E1770,ProcNome,0)),0)))</f>
        <v>0</v>
      </c>
      <c r="N1770" s="27">
        <f>IF($M1770="","",IF($F1770="Compareceu",$M1770,0))</f>
        <v>0</v>
      </c>
      <c r="O1770" s="27">
        <f>IF($M1770="","",IF($F1770="Faltou",$M1770,0))</f>
        <v>0</v>
      </c>
      <c r="P1770" s="27">
        <f>IF($M1770="","",IF($F1770="Compareceu",MAX(0,$M1770-N($H1770)),0))</f>
        <v>0</v>
      </c>
      <c r="Q1770" s="19">
        <f>IF(AND($F1770="Compareceu",$E1770&lt;&gt;"",$A1770&lt;&gt;""),IF(IFERROR(INDEX(ProcRet,MATCH($E1770,ProcNome,0)),0)&gt;0,$A1770+INDEX(ProcRet,MATCH($E1770,ProcNome,0)),""),"")</f>
        <v>0</v>
      </c>
      <c r="R1770" s="26">
        <f>IF($Q1770="","",IF(COUNTIFS(AgPac,$D1770,AgData,"&gt;"&amp;$A1770,AgStatus,"&lt;&gt;Cancelado",AgStatus,"&lt;&gt;Remarcado")&gt;0,"Sim","Não"))</f>
        <v>0</v>
      </c>
      <c r="S1770" s="28">
        <f>IF($A1770="","",IF(AND($F1770="Agendado",$A1770-Hoje&gt;=0,$A1770-Hoje&lt;=DiasConf),"CONFIRMAR",IF(AND($A1770&lt;Hoje,OR($F1770="Agendado",$F1770="Confirmado")),"Atualizar status",IF(AND($F1770="Compareceu",$P1770&gt;0.005),"Cobrar",IF($F1770="Faltou","Falta: reagendar","")))))</f>
        <v>0</v>
      </c>
      <c r="T1770" s="29">
        <f>IF($A1770="","",DATE(YEAR($A1770),MONTH($A1770),1))</f>
        <v>0</v>
      </c>
      <c r="U1770" s="30">
        <f>IF($S1770="CONFIRMAR",MAX($U$4:$U1769)+1,"")</f>
        <v>0</v>
      </c>
      <c r="V1770" s="30">
        <f>IF(AND($R1770="Não",$Q1770&lt;&gt;"",$Q1770&lt;=Hoje+JanelaRet,$Q1770&gt;=Hoje-60),MAX($V$4:$V1769)+1,"")</f>
        <v>0</v>
      </c>
    </row>
    <row r="1771" spans="1:22">
      <c r="A1771" s="16"/>
      <c r="B1771" s="23"/>
      <c r="C1771" s="15"/>
      <c r="D1771" s="15"/>
      <c r="E1771" s="15"/>
      <c r="F1771" s="24"/>
      <c r="G1771" s="17"/>
      <c r="H1771" s="17"/>
      <c r="I1771" s="15"/>
      <c r="J1771" s="25">
        <f>IF($D1771="","",IFERROR(INDEX(PacNome,MATCH($D1771,PacCod,0)),"Paciente não cadastrado"))</f>
        <v>0</v>
      </c>
      <c r="K1771" s="26">
        <f>IF($D1771="","",IFERROR(INDEX(PacConv,MATCH($D1771,PacCod,0))&amp;"",""))</f>
        <v>0</v>
      </c>
      <c r="L1771" s="26">
        <f>IF($A1771="","",CHOOSE(WEEKDAY($A1771,2),"Seg","Ter","Qua","Qui","Sex","Sáb","Dom"))</f>
        <v>0</v>
      </c>
      <c r="M1771" s="27">
        <f>IF($E1771="","",IF($G1771&lt;&gt;"",$G1771,IFERROR(INDEX(ProcValor,MATCH($E1771,ProcNome,0)),0)))</f>
        <v>0</v>
      </c>
      <c r="N1771" s="27">
        <f>IF($M1771="","",IF($F1771="Compareceu",$M1771,0))</f>
        <v>0</v>
      </c>
      <c r="O1771" s="27">
        <f>IF($M1771="","",IF($F1771="Faltou",$M1771,0))</f>
        <v>0</v>
      </c>
      <c r="P1771" s="27">
        <f>IF($M1771="","",IF($F1771="Compareceu",MAX(0,$M1771-N($H1771)),0))</f>
        <v>0</v>
      </c>
      <c r="Q1771" s="19">
        <f>IF(AND($F1771="Compareceu",$E1771&lt;&gt;"",$A1771&lt;&gt;""),IF(IFERROR(INDEX(ProcRet,MATCH($E1771,ProcNome,0)),0)&gt;0,$A1771+INDEX(ProcRet,MATCH($E1771,ProcNome,0)),""),"")</f>
        <v>0</v>
      </c>
      <c r="R1771" s="26">
        <f>IF($Q1771="","",IF(COUNTIFS(AgPac,$D1771,AgData,"&gt;"&amp;$A1771,AgStatus,"&lt;&gt;Cancelado",AgStatus,"&lt;&gt;Remarcado")&gt;0,"Sim","Não"))</f>
        <v>0</v>
      </c>
      <c r="S1771" s="28">
        <f>IF($A1771="","",IF(AND($F1771="Agendado",$A1771-Hoje&gt;=0,$A1771-Hoje&lt;=DiasConf),"CONFIRMAR",IF(AND($A1771&lt;Hoje,OR($F1771="Agendado",$F1771="Confirmado")),"Atualizar status",IF(AND($F1771="Compareceu",$P1771&gt;0.005),"Cobrar",IF($F1771="Faltou","Falta: reagendar","")))))</f>
        <v>0</v>
      </c>
      <c r="T1771" s="29">
        <f>IF($A1771="","",DATE(YEAR($A1771),MONTH($A1771),1))</f>
        <v>0</v>
      </c>
      <c r="U1771" s="30">
        <f>IF($S1771="CONFIRMAR",MAX($U$4:$U1770)+1,"")</f>
        <v>0</v>
      </c>
      <c r="V1771" s="30">
        <f>IF(AND($R1771="Não",$Q1771&lt;&gt;"",$Q1771&lt;=Hoje+JanelaRet,$Q1771&gt;=Hoje-60),MAX($V$4:$V1770)+1,"")</f>
        <v>0</v>
      </c>
    </row>
    <row r="1772" spans="1:22">
      <c r="A1772" s="16"/>
      <c r="B1772" s="23"/>
      <c r="C1772" s="15"/>
      <c r="D1772" s="15"/>
      <c r="E1772" s="15"/>
      <c r="F1772" s="24"/>
      <c r="G1772" s="17"/>
      <c r="H1772" s="17"/>
      <c r="I1772" s="15"/>
      <c r="J1772" s="25">
        <f>IF($D1772="","",IFERROR(INDEX(PacNome,MATCH($D1772,PacCod,0)),"Paciente não cadastrado"))</f>
        <v>0</v>
      </c>
      <c r="K1772" s="26">
        <f>IF($D1772="","",IFERROR(INDEX(PacConv,MATCH($D1772,PacCod,0))&amp;"",""))</f>
        <v>0</v>
      </c>
      <c r="L1772" s="26">
        <f>IF($A1772="","",CHOOSE(WEEKDAY($A1772,2),"Seg","Ter","Qua","Qui","Sex","Sáb","Dom"))</f>
        <v>0</v>
      </c>
      <c r="M1772" s="27">
        <f>IF($E1772="","",IF($G1772&lt;&gt;"",$G1772,IFERROR(INDEX(ProcValor,MATCH($E1772,ProcNome,0)),0)))</f>
        <v>0</v>
      </c>
      <c r="N1772" s="27">
        <f>IF($M1772="","",IF($F1772="Compareceu",$M1772,0))</f>
        <v>0</v>
      </c>
      <c r="O1772" s="27">
        <f>IF($M1772="","",IF($F1772="Faltou",$M1772,0))</f>
        <v>0</v>
      </c>
      <c r="P1772" s="27">
        <f>IF($M1772="","",IF($F1772="Compareceu",MAX(0,$M1772-N($H1772)),0))</f>
        <v>0</v>
      </c>
      <c r="Q1772" s="19">
        <f>IF(AND($F1772="Compareceu",$E1772&lt;&gt;"",$A1772&lt;&gt;""),IF(IFERROR(INDEX(ProcRet,MATCH($E1772,ProcNome,0)),0)&gt;0,$A1772+INDEX(ProcRet,MATCH($E1772,ProcNome,0)),""),"")</f>
        <v>0</v>
      </c>
      <c r="R1772" s="26">
        <f>IF($Q1772="","",IF(COUNTIFS(AgPac,$D1772,AgData,"&gt;"&amp;$A1772,AgStatus,"&lt;&gt;Cancelado",AgStatus,"&lt;&gt;Remarcado")&gt;0,"Sim","Não"))</f>
        <v>0</v>
      </c>
      <c r="S1772" s="28">
        <f>IF($A1772="","",IF(AND($F1772="Agendado",$A1772-Hoje&gt;=0,$A1772-Hoje&lt;=DiasConf),"CONFIRMAR",IF(AND($A1772&lt;Hoje,OR($F1772="Agendado",$F1772="Confirmado")),"Atualizar status",IF(AND($F1772="Compareceu",$P1772&gt;0.005),"Cobrar",IF($F1772="Faltou","Falta: reagendar","")))))</f>
        <v>0</v>
      </c>
      <c r="T1772" s="29">
        <f>IF($A1772="","",DATE(YEAR($A1772),MONTH($A1772),1))</f>
        <v>0</v>
      </c>
      <c r="U1772" s="30">
        <f>IF($S1772="CONFIRMAR",MAX($U$4:$U1771)+1,"")</f>
        <v>0</v>
      </c>
      <c r="V1772" s="30">
        <f>IF(AND($R1772="Não",$Q1772&lt;&gt;"",$Q1772&lt;=Hoje+JanelaRet,$Q1772&gt;=Hoje-60),MAX($V$4:$V1771)+1,"")</f>
        <v>0</v>
      </c>
    </row>
    <row r="1773" spans="1:22">
      <c r="A1773" s="16"/>
      <c r="B1773" s="23"/>
      <c r="C1773" s="15"/>
      <c r="D1773" s="15"/>
      <c r="E1773" s="15"/>
      <c r="F1773" s="24"/>
      <c r="G1773" s="17"/>
      <c r="H1773" s="17"/>
      <c r="I1773" s="15"/>
      <c r="J1773" s="25">
        <f>IF($D1773="","",IFERROR(INDEX(PacNome,MATCH($D1773,PacCod,0)),"Paciente não cadastrado"))</f>
        <v>0</v>
      </c>
      <c r="K1773" s="26">
        <f>IF($D1773="","",IFERROR(INDEX(PacConv,MATCH($D1773,PacCod,0))&amp;"",""))</f>
        <v>0</v>
      </c>
      <c r="L1773" s="26">
        <f>IF($A1773="","",CHOOSE(WEEKDAY($A1773,2),"Seg","Ter","Qua","Qui","Sex","Sáb","Dom"))</f>
        <v>0</v>
      </c>
      <c r="M1773" s="27">
        <f>IF($E1773="","",IF($G1773&lt;&gt;"",$G1773,IFERROR(INDEX(ProcValor,MATCH($E1773,ProcNome,0)),0)))</f>
        <v>0</v>
      </c>
      <c r="N1773" s="27">
        <f>IF($M1773="","",IF($F1773="Compareceu",$M1773,0))</f>
        <v>0</v>
      </c>
      <c r="O1773" s="27">
        <f>IF($M1773="","",IF($F1773="Faltou",$M1773,0))</f>
        <v>0</v>
      </c>
      <c r="P1773" s="27">
        <f>IF($M1773="","",IF($F1773="Compareceu",MAX(0,$M1773-N($H1773)),0))</f>
        <v>0</v>
      </c>
      <c r="Q1773" s="19">
        <f>IF(AND($F1773="Compareceu",$E1773&lt;&gt;"",$A1773&lt;&gt;""),IF(IFERROR(INDEX(ProcRet,MATCH($E1773,ProcNome,0)),0)&gt;0,$A1773+INDEX(ProcRet,MATCH($E1773,ProcNome,0)),""),"")</f>
        <v>0</v>
      </c>
      <c r="R1773" s="26">
        <f>IF($Q1773="","",IF(COUNTIFS(AgPac,$D1773,AgData,"&gt;"&amp;$A1773,AgStatus,"&lt;&gt;Cancelado",AgStatus,"&lt;&gt;Remarcado")&gt;0,"Sim","Não"))</f>
        <v>0</v>
      </c>
      <c r="S1773" s="28">
        <f>IF($A1773="","",IF(AND($F1773="Agendado",$A1773-Hoje&gt;=0,$A1773-Hoje&lt;=DiasConf),"CONFIRMAR",IF(AND($A1773&lt;Hoje,OR($F1773="Agendado",$F1773="Confirmado")),"Atualizar status",IF(AND($F1773="Compareceu",$P1773&gt;0.005),"Cobrar",IF($F1773="Faltou","Falta: reagendar","")))))</f>
        <v>0</v>
      </c>
      <c r="T1773" s="29">
        <f>IF($A1773="","",DATE(YEAR($A1773),MONTH($A1773),1))</f>
        <v>0</v>
      </c>
      <c r="U1773" s="30">
        <f>IF($S1773="CONFIRMAR",MAX($U$4:$U1772)+1,"")</f>
        <v>0</v>
      </c>
      <c r="V1773" s="30">
        <f>IF(AND($R1773="Não",$Q1773&lt;&gt;"",$Q1773&lt;=Hoje+JanelaRet,$Q1773&gt;=Hoje-60),MAX($V$4:$V1772)+1,"")</f>
        <v>0</v>
      </c>
    </row>
    <row r="1774" spans="1:22">
      <c r="A1774" s="16"/>
      <c r="B1774" s="23"/>
      <c r="C1774" s="15"/>
      <c r="D1774" s="15"/>
      <c r="E1774" s="15"/>
      <c r="F1774" s="24"/>
      <c r="G1774" s="17"/>
      <c r="H1774" s="17"/>
      <c r="I1774" s="15"/>
      <c r="J1774" s="25">
        <f>IF($D1774="","",IFERROR(INDEX(PacNome,MATCH($D1774,PacCod,0)),"Paciente não cadastrado"))</f>
        <v>0</v>
      </c>
      <c r="K1774" s="26">
        <f>IF($D1774="","",IFERROR(INDEX(PacConv,MATCH($D1774,PacCod,0))&amp;"",""))</f>
        <v>0</v>
      </c>
      <c r="L1774" s="26">
        <f>IF($A1774="","",CHOOSE(WEEKDAY($A1774,2),"Seg","Ter","Qua","Qui","Sex","Sáb","Dom"))</f>
        <v>0</v>
      </c>
      <c r="M1774" s="27">
        <f>IF($E1774="","",IF($G1774&lt;&gt;"",$G1774,IFERROR(INDEX(ProcValor,MATCH($E1774,ProcNome,0)),0)))</f>
        <v>0</v>
      </c>
      <c r="N1774" s="27">
        <f>IF($M1774="","",IF($F1774="Compareceu",$M1774,0))</f>
        <v>0</v>
      </c>
      <c r="O1774" s="27">
        <f>IF($M1774="","",IF($F1774="Faltou",$M1774,0))</f>
        <v>0</v>
      </c>
      <c r="P1774" s="27">
        <f>IF($M1774="","",IF($F1774="Compareceu",MAX(0,$M1774-N($H1774)),0))</f>
        <v>0</v>
      </c>
      <c r="Q1774" s="19">
        <f>IF(AND($F1774="Compareceu",$E1774&lt;&gt;"",$A1774&lt;&gt;""),IF(IFERROR(INDEX(ProcRet,MATCH($E1774,ProcNome,0)),0)&gt;0,$A1774+INDEX(ProcRet,MATCH($E1774,ProcNome,0)),""),"")</f>
        <v>0</v>
      </c>
      <c r="R1774" s="26">
        <f>IF($Q1774="","",IF(COUNTIFS(AgPac,$D1774,AgData,"&gt;"&amp;$A1774,AgStatus,"&lt;&gt;Cancelado",AgStatus,"&lt;&gt;Remarcado")&gt;0,"Sim","Não"))</f>
        <v>0</v>
      </c>
      <c r="S1774" s="28">
        <f>IF($A1774="","",IF(AND($F1774="Agendado",$A1774-Hoje&gt;=0,$A1774-Hoje&lt;=DiasConf),"CONFIRMAR",IF(AND($A1774&lt;Hoje,OR($F1774="Agendado",$F1774="Confirmado")),"Atualizar status",IF(AND($F1774="Compareceu",$P1774&gt;0.005),"Cobrar",IF($F1774="Faltou","Falta: reagendar","")))))</f>
        <v>0</v>
      </c>
      <c r="T1774" s="29">
        <f>IF($A1774="","",DATE(YEAR($A1774),MONTH($A1774),1))</f>
        <v>0</v>
      </c>
      <c r="U1774" s="30">
        <f>IF($S1774="CONFIRMAR",MAX($U$4:$U1773)+1,"")</f>
        <v>0</v>
      </c>
      <c r="V1774" s="30">
        <f>IF(AND($R1774="Não",$Q1774&lt;&gt;"",$Q1774&lt;=Hoje+JanelaRet,$Q1774&gt;=Hoje-60),MAX($V$4:$V1773)+1,"")</f>
        <v>0</v>
      </c>
    </row>
    <row r="1775" spans="1:22">
      <c r="A1775" s="16"/>
      <c r="B1775" s="23"/>
      <c r="C1775" s="15"/>
      <c r="D1775" s="15"/>
      <c r="E1775" s="15"/>
      <c r="F1775" s="24"/>
      <c r="G1775" s="17"/>
      <c r="H1775" s="17"/>
      <c r="I1775" s="15"/>
      <c r="J1775" s="25">
        <f>IF($D1775="","",IFERROR(INDEX(PacNome,MATCH($D1775,PacCod,0)),"Paciente não cadastrado"))</f>
        <v>0</v>
      </c>
      <c r="K1775" s="26">
        <f>IF($D1775="","",IFERROR(INDEX(PacConv,MATCH($D1775,PacCod,0))&amp;"",""))</f>
        <v>0</v>
      </c>
      <c r="L1775" s="26">
        <f>IF($A1775="","",CHOOSE(WEEKDAY($A1775,2),"Seg","Ter","Qua","Qui","Sex","Sáb","Dom"))</f>
        <v>0</v>
      </c>
      <c r="M1775" s="27">
        <f>IF($E1775="","",IF($G1775&lt;&gt;"",$G1775,IFERROR(INDEX(ProcValor,MATCH($E1775,ProcNome,0)),0)))</f>
        <v>0</v>
      </c>
      <c r="N1775" s="27">
        <f>IF($M1775="","",IF($F1775="Compareceu",$M1775,0))</f>
        <v>0</v>
      </c>
      <c r="O1775" s="27">
        <f>IF($M1775="","",IF($F1775="Faltou",$M1775,0))</f>
        <v>0</v>
      </c>
      <c r="P1775" s="27">
        <f>IF($M1775="","",IF($F1775="Compareceu",MAX(0,$M1775-N($H1775)),0))</f>
        <v>0</v>
      </c>
      <c r="Q1775" s="19">
        <f>IF(AND($F1775="Compareceu",$E1775&lt;&gt;"",$A1775&lt;&gt;""),IF(IFERROR(INDEX(ProcRet,MATCH($E1775,ProcNome,0)),0)&gt;0,$A1775+INDEX(ProcRet,MATCH($E1775,ProcNome,0)),""),"")</f>
        <v>0</v>
      </c>
      <c r="R1775" s="26">
        <f>IF($Q1775="","",IF(COUNTIFS(AgPac,$D1775,AgData,"&gt;"&amp;$A1775,AgStatus,"&lt;&gt;Cancelado",AgStatus,"&lt;&gt;Remarcado")&gt;0,"Sim","Não"))</f>
        <v>0</v>
      </c>
      <c r="S1775" s="28">
        <f>IF($A1775="","",IF(AND($F1775="Agendado",$A1775-Hoje&gt;=0,$A1775-Hoje&lt;=DiasConf),"CONFIRMAR",IF(AND($A1775&lt;Hoje,OR($F1775="Agendado",$F1775="Confirmado")),"Atualizar status",IF(AND($F1775="Compareceu",$P1775&gt;0.005),"Cobrar",IF($F1775="Faltou","Falta: reagendar","")))))</f>
        <v>0</v>
      </c>
      <c r="T1775" s="29">
        <f>IF($A1775="","",DATE(YEAR($A1775),MONTH($A1775),1))</f>
        <v>0</v>
      </c>
      <c r="U1775" s="30">
        <f>IF($S1775="CONFIRMAR",MAX($U$4:$U1774)+1,"")</f>
        <v>0</v>
      </c>
      <c r="V1775" s="30">
        <f>IF(AND($R1775="Não",$Q1775&lt;&gt;"",$Q1775&lt;=Hoje+JanelaRet,$Q1775&gt;=Hoje-60),MAX($V$4:$V1774)+1,"")</f>
        <v>0</v>
      </c>
    </row>
    <row r="1776" spans="1:22">
      <c r="A1776" s="16"/>
      <c r="B1776" s="23"/>
      <c r="C1776" s="15"/>
      <c r="D1776" s="15"/>
      <c r="E1776" s="15"/>
      <c r="F1776" s="24"/>
      <c r="G1776" s="17"/>
      <c r="H1776" s="17"/>
      <c r="I1776" s="15"/>
      <c r="J1776" s="25">
        <f>IF($D1776="","",IFERROR(INDEX(PacNome,MATCH($D1776,PacCod,0)),"Paciente não cadastrado"))</f>
        <v>0</v>
      </c>
      <c r="K1776" s="26">
        <f>IF($D1776="","",IFERROR(INDEX(PacConv,MATCH($D1776,PacCod,0))&amp;"",""))</f>
        <v>0</v>
      </c>
      <c r="L1776" s="26">
        <f>IF($A1776="","",CHOOSE(WEEKDAY($A1776,2),"Seg","Ter","Qua","Qui","Sex","Sáb","Dom"))</f>
        <v>0</v>
      </c>
      <c r="M1776" s="27">
        <f>IF($E1776="","",IF($G1776&lt;&gt;"",$G1776,IFERROR(INDEX(ProcValor,MATCH($E1776,ProcNome,0)),0)))</f>
        <v>0</v>
      </c>
      <c r="N1776" s="27">
        <f>IF($M1776="","",IF($F1776="Compareceu",$M1776,0))</f>
        <v>0</v>
      </c>
      <c r="O1776" s="27">
        <f>IF($M1776="","",IF($F1776="Faltou",$M1776,0))</f>
        <v>0</v>
      </c>
      <c r="P1776" s="27">
        <f>IF($M1776="","",IF($F1776="Compareceu",MAX(0,$M1776-N($H1776)),0))</f>
        <v>0</v>
      </c>
      <c r="Q1776" s="19">
        <f>IF(AND($F1776="Compareceu",$E1776&lt;&gt;"",$A1776&lt;&gt;""),IF(IFERROR(INDEX(ProcRet,MATCH($E1776,ProcNome,0)),0)&gt;0,$A1776+INDEX(ProcRet,MATCH($E1776,ProcNome,0)),""),"")</f>
        <v>0</v>
      </c>
      <c r="R1776" s="26">
        <f>IF($Q1776="","",IF(COUNTIFS(AgPac,$D1776,AgData,"&gt;"&amp;$A1776,AgStatus,"&lt;&gt;Cancelado",AgStatus,"&lt;&gt;Remarcado")&gt;0,"Sim","Não"))</f>
        <v>0</v>
      </c>
      <c r="S1776" s="28">
        <f>IF($A1776="","",IF(AND($F1776="Agendado",$A1776-Hoje&gt;=0,$A1776-Hoje&lt;=DiasConf),"CONFIRMAR",IF(AND($A1776&lt;Hoje,OR($F1776="Agendado",$F1776="Confirmado")),"Atualizar status",IF(AND($F1776="Compareceu",$P1776&gt;0.005),"Cobrar",IF($F1776="Faltou","Falta: reagendar","")))))</f>
        <v>0</v>
      </c>
      <c r="T1776" s="29">
        <f>IF($A1776="","",DATE(YEAR($A1776),MONTH($A1776),1))</f>
        <v>0</v>
      </c>
      <c r="U1776" s="30">
        <f>IF($S1776="CONFIRMAR",MAX($U$4:$U1775)+1,"")</f>
        <v>0</v>
      </c>
      <c r="V1776" s="30">
        <f>IF(AND($R1776="Não",$Q1776&lt;&gt;"",$Q1776&lt;=Hoje+JanelaRet,$Q1776&gt;=Hoje-60),MAX($V$4:$V1775)+1,"")</f>
        <v>0</v>
      </c>
    </row>
    <row r="1777" spans="1:22">
      <c r="A1777" s="16"/>
      <c r="B1777" s="23"/>
      <c r="C1777" s="15"/>
      <c r="D1777" s="15"/>
      <c r="E1777" s="15"/>
      <c r="F1777" s="24"/>
      <c r="G1777" s="17"/>
      <c r="H1777" s="17"/>
      <c r="I1777" s="15"/>
      <c r="J1777" s="25">
        <f>IF($D1777="","",IFERROR(INDEX(PacNome,MATCH($D1777,PacCod,0)),"Paciente não cadastrado"))</f>
        <v>0</v>
      </c>
      <c r="K1777" s="26">
        <f>IF($D1777="","",IFERROR(INDEX(PacConv,MATCH($D1777,PacCod,0))&amp;"",""))</f>
        <v>0</v>
      </c>
      <c r="L1777" s="26">
        <f>IF($A1777="","",CHOOSE(WEEKDAY($A1777,2),"Seg","Ter","Qua","Qui","Sex","Sáb","Dom"))</f>
        <v>0</v>
      </c>
      <c r="M1777" s="27">
        <f>IF($E1777="","",IF($G1777&lt;&gt;"",$G1777,IFERROR(INDEX(ProcValor,MATCH($E1777,ProcNome,0)),0)))</f>
        <v>0</v>
      </c>
      <c r="N1777" s="27">
        <f>IF($M1777="","",IF($F1777="Compareceu",$M1777,0))</f>
        <v>0</v>
      </c>
      <c r="O1777" s="27">
        <f>IF($M1777="","",IF($F1777="Faltou",$M1777,0))</f>
        <v>0</v>
      </c>
      <c r="P1777" s="27">
        <f>IF($M1777="","",IF($F1777="Compareceu",MAX(0,$M1777-N($H1777)),0))</f>
        <v>0</v>
      </c>
      <c r="Q1777" s="19">
        <f>IF(AND($F1777="Compareceu",$E1777&lt;&gt;"",$A1777&lt;&gt;""),IF(IFERROR(INDEX(ProcRet,MATCH($E1777,ProcNome,0)),0)&gt;0,$A1777+INDEX(ProcRet,MATCH($E1777,ProcNome,0)),""),"")</f>
        <v>0</v>
      </c>
      <c r="R1777" s="26">
        <f>IF($Q1777="","",IF(COUNTIFS(AgPac,$D1777,AgData,"&gt;"&amp;$A1777,AgStatus,"&lt;&gt;Cancelado",AgStatus,"&lt;&gt;Remarcado")&gt;0,"Sim","Não"))</f>
        <v>0</v>
      </c>
      <c r="S1777" s="28">
        <f>IF($A1777="","",IF(AND($F1777="Agendado",$A1777-Hoje&gt;=0,$A1777-Hoje&lt;=DiasConf),"CONFIRMAR",IF(AND($A1777&lt;Hoje,OR($F1777="Agendado",$F1777="Confirmado")),"Atualizar status",IF(AND($F1777="Compareceu",$P1777&gt;0.005),"Cobrar",IF($F1777="Faltou","Falta: reagendar","")))))</f>
        <v>0</v>
      </c>
      <c r="T1777" s="29">
        <f>IF($A1777="","",DATE(YEAR($A1777),MONTH($A1777),1))</f>
        <v>0</v>
      </c>
      <c r="U1777" s="30">
        <f>IF($S1777="CONFIRMAR",MAX($U$4:$U1776)+1,"")</f>
        <v>0</v>
      </c>
      <c r="V1777" s="30">
        <f>IF(AND($R1777="Não",$Q1777&lt;&gt;"",$Q1777&lt;=Hoje+JanelaRet,$Q1777&gt;=Hoje-60),MAX($V$4:$V1776)+1,"")</f>
        <v>0</v>
      </c>
    </row>
    <row r="1778" spans="1:22">
      <c r="A1778" s="16"/>
      <c r="B1778" s="23"/>
      <c r="C1778" s="15"/>
      <c r="D1778" s="15"/>
      <c r="E1778" s="15"/>
      <c r="F1778" s="24"/>
      <c r="G1778" s="17"/>
      <c r="H1778" s="17"/>
      <c r="I1778" s="15"/>
      <c r="J1778" s="25">
        <f>IF($D1778="","",IFERROR(INDEX(PacNome,MATCH($D1778,PacCod,0)),"Paciente não cadastrado"))</f>
        <v>0</v>
      </c>
      <c r="K1778" s="26">
        <f>IF($D1778="","",IFERROR(INDEX(PacConv,MATCH($D1778,PacCod,0))&amp;"",""))</f>
        <v>0</v>
      </c>
      <c r="L1778" s="26">
        <f>IF($A1778="","",CHOOSE(WEEKDAY($A1778,2),"Seg","Ter","Qua","Qui","Sex","Sáb","Dom"))</f>
        <v>0</v>
      </c>
      <c r="M1778" s="27">
        <f>IF($E1778="","",IF($G1778&lt;&gt;"",$G1778,IFERROR(INDEX(ProcValor,MATCH($E1778,ProcNome,0)),0)))</f>
        <v>0</v>
      </c>
      <c r="N1778" s="27">
        <f>IF($M1778="","",IF($F1778="Compareceu",$M1778,0))</f>
        <v>0</v>
      </c>
      <c r="O1778" s="27">
        <f>IF($M1778="","",IF($F1778="Faltou",$M1778,0))</f>
        <v>0</v>
      </c>
      <c r="P1778" s="27">
        <f>IF($M1778="","",IF($F1778="Compareceu",MAX(0,$M1778-N($H1778)),0))</f>
        <v>0</v>
      </c>
      <c r="Q1778" s="19">
        <f>IF(AND($F1778="Compareceu",$E1778&lt;&gt;"",$A1778&lt;&gt;""),IF(IFERROR(INDEX(ProcRet,MATCH($E1778,ProcNome,0)),0)&gt;0,$A1778+INDEX(ProcRet,MATCH($E1778,ProcNome,0)),""),"")</f>
        <v>0</v>
      </c>
      <c r="R1778" s="26">
        <f>IF($Q1778="","",IF(COUNTIFS(AgPac,$D1778,AgData,"&gt;"&amp;$A1778,AgStatus,"&lt;&gt;Cancelado",AgStatus,"&lt;&gt;Remarcado")&gt;0,"Sim","Não"))</f>
        <v>0</v>
      </c>
      <c r="S1778" s="28">
        <f>IF($A1778="","",IF(AND($F1778="Agendado",$A1778-Hoje&gt;=0,$A1778-Hoje&lt;=DiasConf),"CONFIRMAR",IF(AND($A1778&lt;Hoje,OR($F1778="Agendado",$F1778="Confirmado")),"Atualizar status",IF(AND($F1778="Compareceu",$P1778&gt;0.005),"Cobrar",IF($F1778="Faltou","Falta: reagendar","")))))</f>
        <v>0</v>
      </c>
      <c r="T1778" s="29">
        <f>IF($A1778="","",DATE(YEAR($A1778),MONTH($A1778),1))</f>
        <v>0</v>
      </c>
      <c r="U1778" s="30">
        <f>IF($S1778="CONFIRMAR",MAX($U$4:$U1777)+1,"")</f>
        <v>0</v>
      </c>
      <c r="V1778" s="30">
        <f>IF(AND($R1778="Não",$Q1778&lt;&gt;"",$Q1778&lt;=Hoje+JanelaRet,$Q1778&gt;=Hoje-60),MAX($V$4:$V1777)+1,"")</f>
        <v>0</v>
      </c>
    </row>
    <row r="1779" spans="1:22">
      <c r="A1779" s="16"/>
      <c r="B1779" s="23"/>
      <c r="C1779" s="15"/>
      <c r="D1779" s="15"/>
      <c r="E1779" s="15"/>
      <c r="F1779" s="24"/>
      <c r="G1779" s="17"/>
      <c r="H1779" s="17"/>
      <c r="I1779" s="15"/>
      <c r="J1779" s="25">
        <f>IF($D1779="","",IFERROR(INDEX(PacNome,MATCH($D1779,PacCod,0)),"Paciente não cadastrado"))</f>
        <v>0</v>
      </c>
      <c r="K1779" s="26">
        <f>IF($D1779="","",IFERROR(INDEX(PacConv,MATCH($D1779,PacCod,0))&amp;"",""))</f>
        <v>0</v>
      </c>
      <c r="L1779" s="26">
        <f>IF($A1779="","",CHOOSE(WEEKDAY($A1779,2),"Seg","Ter","Qua","Qui","Sex","Sáb","Dom"))</f>
        <v>0</v>
      </c>
      <c r="M1779" s="27">
        <f>IF($E1779="","",IF($G1779&lt;&gt;"",$G1779,IFERROR(INDEX(ProcValor,MATCH($E1779,ProcNome,0)),0)))</f>
        <v>0</v>
      </c>
      <c r="N1779" s="27">
        <f>IF($M1779="","",IF($F1779="Compareceu",$M1779,0))</f>
        <v>0</v>
      </c>
      <c r="O1779" s="27">
        <f>IF($M1779="","",IF($F1779="Faltou",$M1779,0))</f>
        <v>0</v>
      </c>
      <c r="P1779" s="27">
        <f>IF($M1779="","",IF($F1779="Compareceu",MAX(0,$M1779-N($H1779)),0))</f>
        <v>0</v>
      </c>
      <c r="Q1779" s="19">
        <f>IF(AND($F1779="Compareceu",$E1779&lt;&gt;"",$A1779&lt;&gt;""),IF(IFERROR(INDEX(ProcRet,MATCH($E1779,ProcNome,0)),0)&gt;0,$A1779+INDEX(ProcRet,MATCH($E1779,ProcNome,0)),""),"")</f>
        <v>0</v>
      </c>
      <c r="R1779" s="26">
        <f>IF($Q1779="","",IF(COUNTIFS(AgPac,$D1779,AgData,"&gt;"&amp;$A1779,AgStatus,"&lt;&gt;Cancelado",AgStatus,"&lt;&gt;Remarcado")&gt;0,"Sim","Não"))</f>
        <v>0</v>
      </c>
      <c r="S1779" s="28">
        <f>IF($A1779="","",IF(AND($F1779="Agendado",$A1779-Hoje&gt;=0,$A1779-Hoje&lt;=DiasConf),"CONFIRMAR",IF(AND($A1779&lt;Hoje,OR($F1779="Agendado",$F1779="Confirmado")),"Atualizar status",IF(AND($F1779="Compareceu",$P1779&gt;0.005),"Cobrar",IF($F1779="Faltou","Falta: reagendar","")))))</f>
        <v>0</v>
      </c>
      <c r="T1779" s="29">
        <f>IF($A1779="","",DATE(YEAR($A1779),MONTH($A1779),1))</f>
        <v>0</v>
      </c>
      <c r="U1779" s="30">
        <f>IF($S1779="CONFIRMAR",MAX($U$4:$U1778)+1,"")</f>
        <v>0</v>
      </c>
      <c r="V1779" s="30">
        <f>IF(AND($R1779="Não",$Q1779&lt;&gt;"",$Q1779&lt;=Hoje+JanelaRet,$Q1779&gt;=Hoje-60),MAX($V$4:$V1778)+1,"")</f>
        <v>0</v>
      </c>
    </row>
    <row r="1780" spans="1:22">
      <c r="A1780" s="16"/>
      <c r="B1780" s="23"/>
      <c r="C1780" s="15"/>
      <c r="D1780" s="15"/>
      <c r="E1780" s="15"/>
      <c r="F1780" s="24"/>
      <c r="G1780" s="17"/>
      <c r="H1780" s="17"/>
      <c r="I1780" s="15"/>
      <c r="J1780" s="25">
        <f>IF($D1780="","",IFERROR(INDEX(PacNome,MATCH($D1780,PacCod,0)),"Paciente não cadastrado"))</f>
        <v>0</v>
      </c>
      <c r="K1780" s="26">
        <f>IF($D1780="","",IFERROR(INDEX(PacConv,MATCH($D1780,PacCod,0))&amp;"",""))</f>
        <v>0</v>
      </c>
      <c r="L1780" s="26">
        <f>IF($A1780="","",CHOOSE(WEEKDAY($A1780,2),"Seg","Ter","Qua","Qui","Sex","Sáb","Dom"))</f>
        <v>0</v>
      </c>
      <c r="M1780" s="27">
        <f>IF($E1780="","",IF($G1780&lt;&gt;"",$G1780,IFERROR(INDEX(ProcValor,MATCH($E1780,ProcNome,0)),0)))</f>
        <v>0</v>
      </c>
      <c r="N1780" s="27">
        <f>IF($M1780="","",IF($F1780="Compareceu",$M1780,0))</f>
        <v>0</v>
      </c>
      <c r="O1780" s="27">
        <f>IF($M1780="","",IF($F1780="Faltou",$M1780,0))</f>
        <v>0</v>
      </c>
      <c r="P1780" s="27">
        <f>IF($M1780="","",IF($F1780="Compareceu",MAX(0,$M1780-N($H1780)),0))</f>
        <v>0</v>
      </c>
      <c r="Q1780" s="19">
        <f>IF(AND($F1780="Compareceu",$E1780&lt;&gt;"",$A1780&lt;&gt;""),IF(IFERROR(INDEX(ProcRet,MATCH($E1780,ProcNome,0)),0)&gt;0,$A1780+INDEX(ProcRet,MATCH($E1780,ProcNome,0)),""),"")</f>
        <v>0</v>
      </c>
      <c r="R1780" s="26">
        <f>IF($Q1780="","",IF(COUNTIFS(AgPac,$D1780,AgData,"&gt;"&amp;$A1780,AgStatus,"&lt;&gt;Cancelado",AgStatus,"&lt;&gt;Remarcado")&gt;0,"Sim","Não"))</f>
        <v>0</v>
      </c>
      <c r="S1780" s="28">
        <f>IF($A1780="","",IF(AND($F1780="Agendado",$A1780-Hoje&gt;=0,$A1780-Hoje&lt;=DiasConf),"CONFIRMAR",IF(AND($A1780&lt;Hoje,OR($F1780="Agendado",$F1780="Confirmado")),"Atualizar status",IF(AND($F1780="Compareceu",$P1780&gt;0.005),"Cobrar",IF($F1780="Faltou","Falta: reagendar","")))))</f>
        <v>0</v>
      </c>
      <c r="T1780" s="29">
        <f>IF($A1780="","",DATE(YEAR($A1780),MONTH($A1780),1))</f>
        <v>0</v>
      </c>
      <c r="U1780" s="30">
        <f>IF($S1780="CONFIRMAR",MAX($U$4:$U1779)+1,"")</f>
        <v>0</v>
      </c>
      <c r="V1780" s="30">
        <f>IF(AND($R1780="Não",$Q1780&lt;&gt;"",$Q1780&lt;=Hoje+JanelaRet,$Q1780&gt;=Hoje-60),MAX($V$4:$V1779)+1,"")</f>
        <v>0</v>
      </c>
    </row>
    <row r="1781" spans="1:22">
      <c r="A1781" s="16"/>
      <c r="B1781" s="23"/>
      <c r="C1781" s="15"/>
      <c r="D1781" s="15"/>
      <c r="E1781" s="15"/>
      <c r="F1781" s="24"/>
      <c r="G1781" s="17"/>
      <c r="H1781" s="17"/>
      <c r="I1781" s="15"/>
      <c r="J1781" s="25">
        <f>IF($D1781="","",IFERROR(INDEX(PacNome,MATCH($D1781,PacCod,0)),"Paciente não cadastrado"))</f>
        <v>0</v>
      </c>
      <c r="K1781" s="26">
        <f>IF($D1781="","",IFERROR(INDEX(PacConv,MATCH($D1781,PacCod,0))&amp;"",""))</f>
        <v>0</v>
      </c>
      <c r="L1781" s="26">
        <f>IF($A1781="","",CHOOSE(WEEKDAY($A1781,2),"Seg","Ter","Qua","Qui","Sex","Sáb","Dom"))</f>
        <v>0</v>
      </c>
      <c r="M1781" s="27">
        <f>IF($E1781="","",IF($G1781&lt;&gt;"",$G1781,IFERROR(INDEX(ProcValor,MATCH($E1781,ProcNome,0)),0)))</f>
        <v>0</v>
      </c>
      <c r="N1781" s="27">
        <f>IF($M1781="","",IF($F1781="Compareceu",$M1781,0))</f>
        <v>0</v>
      </c>
      <c r="O1781" s="27">
        <f>IF($M1781="","",IF($F1781="Faltou",$M1781,0))</f>
        <v>0</v>
      </c>
      <c r="P1781" s="27">
        <f>IF($M1781="","",IF($F1781="Compareceu",MAX(0,$M1781-N($H1781)),0))</f>
        <v>0</v>
      </c>
      <c r="Q1781" s="19">
        <f>IF(AND($F1781="Compareceu",$E1781&lt;&gt;"",$A1781&lt;&gt;""),IF(IFERROR(INDEX(ProcRet,MATCH($E1781,ProcNome,0)),0)&gt;0,$A1781+INDEX(ProcRet,MATCH($E1781,ProcNome,0)),""),"")</f>
        <v>0</v>
      </c>
      <c r="R1781" s="26">
        <f>IF($Q1781="","",IF(COUNTIFS(AgPac,$D1781,AgData,"&gt;"&amp;$A1781,AgStatus,"&lt;&gt;Cancelado",AgStatus,"&lt;&gt;Remarcado")&gt;0,"Sim","Não"))</f>
        <v>0</v>
      </c>
      <c r="S1781" s="28">
        <f>IF($A1781="","",IF(AND($F1781="Agendado",$A1781-Hoje&gt;=0,$A1781-Hoje&lt;=DiasConf),"CONFIRMAR",IF(AND($A1781&lt;Hoje,OR($F1781="Agendado",$F1781="Confirmado")),"Atualizar status",IF(AND($F1781="Compareceu",$P1781&gt;0.005),"Cobrar",IF($F1781="Faltou","Falta: reagendar","")))))</f>
        <v>0</v>
      </c>
      <c r="T1781" s="29">
        <f>IF($A1781="","",DATE(YEAR($A1781),MONTH($A1781),1))</f>
        <v>0</v>
      </c>
      <c r="U1781" s="30">
        <f>IF($S1781="CONFIRMAR",MAX($U$4:$U1780)+1,"")</f>
        <v>0</v>
      </c>
      <c r="V1781" s="30">
        <f>IF(AND($R1781="Não",$Q1781&lt;&gt;"",$Q1781&lt;=Hoje+JanelaRet,$Q1781&gt;=Hoje-60),MAX($V$4:$V1780)+1,"")</f>
        <v>0</v>
      </c>
    </row>
    <row r="1782" spans="1:22">
      <c r="A1782" s="16"/>
      <c r="B1782" s="23"/>
      <c r="C1782" s="15"/>
      <c r="D1782" s="15"/>
      <c r="E1782" s="15"/>
      <c r="F1782" s="24"/>
      <c r="G1782" s="17"/>
      <c r="H1782" s="17"/>
      <c r="I1782" s="15"/>
      <c r="J1782" s="25">
        <f>IF($D1782="","",IFERROR(INDEX(PacNome,MATCH($D1782,PacCod,0)),"Paciente não cadastrado"))</f>
        <v>0</v>
      </c>
      <c r="K1782" s="26">
        <f>IF($D1782="","",IFERROR(INDEX(PacConv,MATCH($D1782,PacCod,0))&amp;"",""))</f>
        <v>0</v>
      </c>
      <c r="L1782" s="26">
        <f>IF($A1782="","",CHOOSE(WEEKDAY($A1782,2),"Seg","Ter","Qua","Qui","Sex","Sáb","Dom"))</f>
        <v>0</v>
      </c>
      <c r="M1782" s="27">
        <f>IF($E1782="","",IF($G1782&lt;&gt;"",$G1782,IFERROR(INDEX(ProcValor,MATCH($E1782,ProcNome,0)),0)))</f>
        <v>0</v>
      </c>
      <c r="N1782" s="27">
        <f>IF($M1782="","",IF($F1782="Compareceu",$M1782,0))</f>
        <v>0</v>
      </c>
      <c r="O1782" s="27">
        <f>IF($M1782="","",IF($F1782="Faltou",$M1782,0))</f>
        <v>0</v>
      </c>
      <c r="P1782" s="27">
        <f>IF($M1782="","",IF($F1782="Compareceu",MAX(0,$M1782-N($H1782)),0))</f>
        <v>0</v>
      </c>
      <c r="Q1782" s="19">
        <f>IF(AND($F1782="Compareceu",$E1782&lt;&gt;"",$A1782&lt;&gt;""),IF(IFERROR(INDEX(ProcRet,MATCH($E1782,ProcNome,0)),0)&gt;0,$A1782+INDEX(ProcRet,MATCH($E1782,ProcNome,0)),""),"")</f>
        <v>0</v>
      </c>
      <c r="R1782" s="26">
        <f>IF($Q1782="","",IF(COUNTIFS(AgPac,$D1782,AgData,"&gt;"&amp;$A1782,AgStatus,"&lt;&gt;Cancelado",AgStatus,"&lt;&gt;Remarcado")&gt;0,"Sim","Não"))</f>
        <v>0</v>
      </c>
      <c r="S1782" s="28">
        <f>IF($A1782="","",IF(AND($F1782="Agendado",$A1782-Hoje&gt;=0,$A1782-Hoje&lt;=DiasConf),"CONFIRMAR",IF(AND($A1782&lt;Hoje,OR($F1782="Agendado",$F1782="Confirmado")),"Atualizar status",IF(AND($F1782="Compareceu",$P1782&gt;0.005),"Cobrar",IF($F1782="Faltou","Falta: reagendar","")))))</f>
        <v>0</v>
      </c>
      <c r="T1782" s="29">
        <f>IF($A1782="","",DATE(YEAR($A1782),MONTH($A1782),1))</f>
        <v>0</v>
      </c>
      <c r="U1782" s="30">
        <f>IF($S1782="CONFIRMAR",MAX($U$4:$U1781)+1,"")</f>
        <v>0</v>
      </c>
      <c r="V1782" s="30">
        <f>IF(AND($R1782="Não",$Q1782&lt;&gt;"",$Q1782&lt;=Hoje+JanelaRet,$Q1782&gt;=Hoje-60),MAX($V$4:$V1781)+1,"")</f>
        <v>0</v>
      </c>
    </row>
    <row r="1783" spans="1:22">
      <c r="A1783" s="16"/>
      <c r="B1783" s="23"/>
      <c r="C1783" s="15"/>
      <c r="D1783" s="15"/>
      <c r="E1783" s="15"/>
      <c r="F1783" s="24"/>
      <c r="G1783" s="17"/>
      <c r="H1783" s="17"/>
      <c r="I1783" s="15"/>
      <c r="J1783" s="25">
        <f>IF($D1783="","",IFERROR(INDEX(PacNome,MATCH($D1783,PacCod,0)),"Paciente não cadastrado"))</f>
        <v>0</v>
      </c>
      <c r="K1783" s="26">
        <f>IF($D1783="","",IFERROR(INDEX(PacConv,MATCH($D1783,PacCod,0))&amp;"",""))</f>
        <v>0</v>
      </c>
      <c r="L1783" s="26">
        <f>IF($A1783="","",CHOOSE(WEEKDAY($A1783,2),"Seg","Ter","Qua","Qui","Sex","Sáb","Dom"))</f>
        <v>0</v>
      </c>
      <c r="M1783" s="27">
        <f>IF($E1783="","",IF($G1783&lt;&gt;"",$G1783,IFERROR(INDEX(ProcValor,MATCH($E1783,ProcNome,0)),0)))</f>
        <v>0</v>
      </c>
      <c r="N1783" s="27">
        <f>IF($M1783="","",IF($F1783="Compareceu",$M1783,0))</f>
        <v>0</v>
      </c>
      <c r="O1783" s="27">
        <f>IF($M1783="","",IF($F1783="Faltou",$M1783,0))</f>
        <v>0</v>
      </c>
      <c r="P1783" s="27">
        <f>IF($M1783="","",IF($F1783="Compareceu",MAX(0,$M1783-N($H1783)),0))</f>
        <v>0</v>
      </c>
      <c r="Q1783" s="19">
        <f>IF(AND($F1783="Compareceu",$E1783&lt;&gt;"",$A1783&lt;&gt;""),IF(IFERROR(INDEX(ProcRet,MATCH($E1783,ProcNome,0)),0)&gt;0,$A1783+INDEX(ProcRet,MATCH($E1783,ProcNome,0)),""),"")</f>
        <v>0</v>
      </c>
      <c r="R1783" s="26">
        <f>IF($Q1783="","",IF(COUNTIFS(AgPac,$D1783,AgData,"&gt;"&amp;$A1783,AgStatus,"&lt;&gt;Cancelado",AgStatus,"&lt;&gt;Remarcado")&gt;0,"Sim","Não"))</f>
        <v>0</v>
      </c>
      <c r="S1783" s="28">
        <f>IF($A1783="","",IF(AND($F1783="Agendado",$A1783-Hoje&gt;=0,$A1783-Hoje&lt;=DiasConf),"CONFIRMAR",IF(AND($A1783&lt;Hoje,OR($F1783="Agendado",$F1783="Confirmado")),"Atualizar status",IF(AND($F1783="Compareceu",$P1783&gt;0.005),"Cobrar",IF($F1783="Faltou","Falta: reagendar","")))))</f>
        <v>0</v>
      </c>
      <c r="T1783" s="29">
        <f>IF($A1783="","",DATE(YEAR($A1783),MONTH($A1783),1))</f>
        <v>0</v>
      </c>
      <c r="U1783" s="30">
        <f>IF($S1783="CONFIRMAR",MAX($U$4:$U1782)+1,"")</f>
        <v>0</v>
      </c>
      <c r="V1783" s="30">
        <f>IF(AND($R1783="Não",$Q1783&lt;&gt;"",$Q1783&lt;=Hoje+JanelaRet,$Q1783&gt;=Hoje-60),MAX($V$4:$V1782)+1,"")</f>
        <v>0</v>
      </c>
    </row>
    <row r="1784" spans="1:22">
      <c r="A1784" s="16"/>
      <c r="B1784" s="23"/>
      <c r="C1784" s="15"/>
      <c r="D1784" s="15"/>
      <c r="E1784" s="15"/>
      <c r="F1784" s="24"/>
      <c r="G1784" s="17"/>
      <c r="H1784" s="17"/>
      <c r="I1784" s="15"/>
      <c r="J1784" s="25">
        <f>IF($D1784="","",IFERROR(INDEX(PacNome,MATCH($D1784,PacCod,0)),"Paciente não cadastrado"))</f>
        <v>0</v>
      </c>
      <c r="K1784" s="26">
        <f>IF($D1784="","",IFERROR(INDEX(PacConv,MATCH($D1784,PacCod,0))&amp;"",""))</f>
        <v>0</v>
      </c>
      <c r="L1784" s="26">
        <f>IF($A1784="","",CHOOSE(WEEKDAY($A1784,2),"Seg","Ter","Qua","Qui","Sex","Sáb","Dom"))</f>
        <v>0</v>
      </c>
      <c r="M1784" s="27">
        <f>IF($E1784="","",IF($G1784&lt;&gt;"",$G1784,IFERROR(INDEX(ProcValor,MATCH($E1784,ProcNome,0)),0)))</f>
        <v>0</v>
      </c>
      <c r="N1784" s="27">
        <f>IF($M1784="","",IF($F1784="Compareceu",$M1784,0))</f>
        <v>0</v>
      </c>
      <c r="O1784" s="27">
        <f>IF($M1784="","",IF($F1784="Faltou",$M1784,0))</f>
        <v>0</v>
      </c>
      <c r="P1784" s="27">
        <f>IF($M1784="","",IF($F1784="Compareceu",MAX(0,$M1784-N($H1784)),0))</f>
        <v>0</v>
      </c>
      <c r="Q1784" s="19">
        <f>IF(AND($F1784="Compareceu",$E1784&lt;&gt;"",$A1784&lt;&gt;""),IF(IFERROR(INDEX(ProcRet,MATCH($E1784,ProcNome,0)),0)&gt;0,$A1784+INDEX(ProcRet,MATCH($E1784,ProcNome,0)),""),"")</f>
        <v>0</v>
      </c>
      <c r="R1784" s="26">
        <f>IF($Q1784="","",IF(COUNTIFS(AgPac,$D1784,AgData,"&gt;"&amp;$A1784,AgStatus,"&lt;&gt;Cancelado",AgStatus,"&lt;&gt;Remarcado")&gt;0,"Sim","Não"))</f>
        <v>0</v>
      </c>
      <c r="S1784" s="28">
        <f>IF($A1784="","",IF(AND($F1784="Agendado",$A1784-Hoje&gt;=0,$A1784-Hoje&lt;=DiasConf),"CONFIRMAR",IF(AND($A1784&lt;Hoje,OR($F1784="Agendado",$F1784="Confirmado")),"Atualizar status",IF(AND($F1784="Compareceu",$P1784&gt;0.005),"Cobrar",IF($F1784="Faltou","Falta: reagendar","")))))</f>
        <v>0</v>
      </c>
      <c r="T1784" s="29">
        <f>IF($A1784="","",DATE(YEAR($A1784),MONTH($A1784),1))</f>
        <v>0</v>
      </c>
      <c r="U1784" s="30">
        <f>IF($S1784="CONFIRMAR",MAX($U$4:$U1783)+1,"")</f>
        <v>0</v>
      </c>
      <c r="V1784" s="30">
        <f>IF(AND($R1784="Não",$Q1784&lt;&gt;"",$Q1784&lt;=Hoje+JanelaRet,$Q1784&gt;=Hoje-60),MAX($V$4:$V1783)+1,"")</f>
        <v>0</v>
      </c>
    </row>
    <row r="1785" spans="1:22">
      <c r="A1785" s="16"/>
      <c r="B1785" s="23"/>
      <c r="C1785" s="15"/>
      <c r="D1785" s="15"/>
      <c r="E1785" s="15"/>
      <c r="F1785" s="24"/>
      <c r="G1785" s="17"/>
      <c r="H1785" s="17"/>
      <c r="I1785" s="15"/>
      <c r="J1785" s="25">
        <f>IF($D1785="","",IFERROR(INDEX(PacNome,MATCH($D1785,PacCod,0)),"Paciente não cadastrado"))</f>
        <v>0</v>
      </c>
      <c r="K1785" s="26">
        <f>IF($D1785="","",IFERROR(INDEX(PacConv,MATCH($D1785,PacCod,0))&amp;"",""))</f>
        <v>0</v>
      </c>
      <c r="L1785" s="26">
        <f>IF($A1785="","",CHOOSE(WEEKDAY($A1785,2),"Seg","Ter","Qua","Qui","Sex","Sáb","Dom"))</f>
        <v>0</v>
      </c>
      <c r="M1785" s="27">
        <f>IF($E1785="","",IF($G1785&lt;&gt;"",$G1785,IFERROR(INDEX(ProcValor,MATCH($E1785,ProcNome,0)),0)))</f>
        <v>0</v>
      </c>
      <c r="N1785" s="27">
        <f>IF($M1785="","",IF($F1785="Compareceu",$M1785,0))</f>
        <v>0</v>
      </c>
      <c r="O1785" s="27">
        <f>IF($M1785="","",IF($F1785="Faltou",$M1785,0))</f>
        <v>0</v>
      </c>
      <c r="P1785" s="27">
        <f>IF($M1785="","",IF($F1785="Compareceu",MAX(0,$M1785-N($H1785)),0))</f>
        <v>0</v>
      </c>
      <c r="Q1785" s="19">
        <f>IF(AND($F1785="Compareceu",$E1785&lt;&gt;"",$A1785&lt;&gt;""),IF(IFERROR(INDEX(ProcRet,MATCH($E1785,ProcNome,0)),0)&gt;0,$A1785+INDEX(ProcRet,MATCH($E1785,ProcNome,0)),""),"")</f>
        <v>0</v>
      </c>
      <c r="R1785" s="26">
        <f>IF($Q1785="","",IF(COUNTIFS(AgPac,$D1785,AgData,"&gt;"&amp;$A1785,AgStatus,"&lt;&gt;Cancelado",AgStatus,"&lt;&gt;Remarcado")&gt;0,"Sim","Não"))</f>
        <v>0</v>
      </c>
      <c r="S1785" s="28">
        <f>IF($A1785="","",IF(AND($F1785="Agendado",$A1785-Hoje&gt;=0,$A1785-Hoje&lt;=DiasConf),"CONFIRMAR",IF(AND($A1785&lt;Hoje,OR($F1785="Agendado",$F1785="Confirmado")),"Atualizar status",IF(AND($F1785="Compareceu",$P1785&gt;0.005),"Cobrar",IF($F1785="Faltou","Falta: reagendar","")))))</f>
        <v>0</v>
      </c>
      <c r="T1785" s="29">
        <f>IF($A1785="","",DATE(YEAR($A1785),MONTH($A1785),1))</f>
        <v>0</v>
      </c>
      <c r="U1785" s="30">
        <f>IF($S1785="CONFIRMAR",MAX($U$4:$U1784)+1,"")</f>
        <v>0</v>
      </c>
      <c r="V1785" s="30">
        <f>IF(AND($R1785="Não",$Q1785&lt;&gt;"",$Q1785&lt;=Hoje+JanelaRet,$Q1785&gt;=Hoje-60),MAX($V$4:$V1784)+1,"")</f>
        <v>0</v>
      </c>
    </row>
    <row r="1786" spans="1:22">
      <c r="A1786" s="16"/>
      <c r="B1786" s="23"/>
      <c r="C1786" s="15"/>
      <c r="D1786" s="15"/>
      <c r="E1786" s="15"/>
      <c r="F1786" s="24"/>
      <c r="G1786" s="17"/>
      <c r="H1786" s="17"/>
      <c r="I1786" s="15"/>
      <c r="J1786" s="25">
        <f>IF($D1786="","",IFERROR(INDEX(PacNome,MATCH($D1786,PacCod,0)),"Paciente não cadastrado"))</f>
        <v>0</v>
      </c>
      <c r="K1786" s="26">
        <f>IF($D1786="","",IFERROR(INDEX(PacConv,MATCH($D1786,PacCod,0))&amp;"",""))</f>
        <v>0</v>
      </c>
      <c r="L1786" s="26">
        <f>IF($A1786="","",CHOOSE(WEEKDAY($A1786,2),"Seg","Ter","Qua","Qui","Sex","Sáb","Dom"))</f>
        <v>0</v>
      </c>
      <c r="M1786" s="27">
        <f>IF($E1786="","",IF($G1786&lt;&gt;"",$G1786,IFERROR(INDEX(ProcValor,MATCH($E1786,ProcNome,0)),0)))</f>
        <v>0</v>
      </c>
      <c r="N1786" s="27">
        <f>IF($M1786="","",IF($F1786="Compareceu",$M1786,0))</f>
        <v>0</v>
      </c>
      <c r="O1786" s="27">
        <f>IF($M1786="","",IF($F1786="Faltou",$M1786,0))</f>
        <v>0</v>
      </c>
      <c r="P1786" s="27">
        <f>IF($M1786="","",IF($F1786="Compareceu",MAX(0,$M1786-N($H1786)),0))</f>
        <v>0</v>
      </c>
      <c r="Q1786" s="19">
        <f>IF(AND($F1786="Compareceu",$E1786&lt;&gt;"",$A1786&lt;&gt;""),IF(IFERROR(INDEX(ProcRet,MATCH($E1786,ProcNome,0)),0)&gt;0,$A1786+INDEX(ProcRet,MATCH($E1786,ProcNome,0)),""),"")</f>
        <v>0</v>
      </c>
      <c r="R1786" s="26">
        <f>IF($Q1786="","",IF(COUNTIFS(AgPac,$D1786,AgData,"&gt;"&amp;$A1786,AgStatus,"&lt;&gt;Cancelado",AgStatus,"&lt;&gt;Remarcado")&gt;0,"Sim","Não"))</f>
        <v>0</v>
      </c>
      <c r="S1786" s="28">
        <f>IF($A1786="","",IF(AND($F1786="Agendado",$A1786-Hoje&gt;=0,$A1786-Hoje&lt;=DiasConf),"CONFIRMAR",IF(AND($A1786&lt;Hoje,OR($F1786="Agendado",$F1786="Confirmado")),"Atualizar status",IF(AND($F1786="Compareceu",$P1786&gt;0.005),"Cobrar",IF($F1786="Faltou","Falta: reagendar","")))))</f>
        <v>0</v>
      </c>
      <c r="T1786" s="29">
        <f>IF($A1786="","",DATE(YEAR($A1786),MONTH($A1786),1))</f>
        <v>0</v>
      </c>
      <c r="U1786" s="30">
        <f>IF($S1786="CONFIRMAR",MAX($U$4:$U1785)+1,"")</f>
        <v>0</v>
      </c>
      <c r="V1786" s="30">
        <f>IF(AND($R1786="Não",$Q1786&lt;&gt;"",$Q1786&lt;=Hoje+JanelaRet,$Q1786&gt;=Hoje-60),MAX($V$4:$V1785)+1,"")</f>
        <v>0</v>
      </c>
    </row>
    <row r="1787" spans="1:22">
      <c r="A1787" s="16"/>
      <c r="B1787" s="23"/>
      <c r="C1787" s="15"/>
      <c r="D1787" s="15"/>
      <c r="E1787" s="15"/>
      <c r="F1787" s="24"/>
      <c r="G1787" s="17"/>
      <c r="H1787" s="17"/>
      <c r="I1787" s="15"/>
      <c r="J1787" s="25">
        <f>IF($D1787="","",IFERROR(INDEX(PacNome,MATCH($D1787,PacCod,0)),"Paciente não cadastrado"))</f>
        <v>0</v>
      </c>
      <c r="K1787" s="26">
        <f>IF($D1787="","",IFERROR(INDEX(PacConv,MATCH($D1787,PacCod,0))&amp;"",""))</f>
        <v>0</v>
      </c>
      <c r="L1787" s="26">
        <f>IF($A1787="","",CHOOSE(WEEKDAY($A1787,2),"Seg","Ter","Qua","Qui","Sex","Sáb","Dom"))</f>
        <v>0</v>
      </c>
      <c r="M1787" s="27">
        <f>IF($E1787="","",IF($G1787&lt;&gt;"",$G1787,IFERROR(INDEX(ProcValor,MATCH($E1787,ProcNome,0)),0)))</f>
        <v>0</v>
      </c>
      <c r="N1787" s="27">
        <f>IF($M1787="","",IF($F1787="Compareceu",$M1787,0))</f>
        <v>0</v>
      </c>
      <c r="O1787" s="27">
        <f>IF($M1787="","",IF($F1787="Faltou",$M1787,0))</f>
        <v>0</v>
      </c>
      <c r="P1787" s="27">
        <f>IF($M1787="","",IF($F1787="Compareceu",MAX(0,$M1787-N($H1787)),0))</f>
        <v>0</v>
      </c>
      <c r="Q1787" s="19">
        <f>IF(AND($F1787="Compareceu",$E1787&lt;&gt;"",$A1787&lt;&gt;""),IF(IFERROR(INDEX(ProcRet,MATCH($E1787,ProcNome,0)),0)&gt;0,$A1787+INDEX(ProcRet,MATCH($E1787,ProcNome,0)),""),"")</f>
        <v>0</v>
      </c>
      <c r="R1787" s="26">
        <f>IF($Q1787="","",IF(COUNTIFS(AgPac,$D1787,AgData,"&gt;"&amp;$A1787,AgStatus,"&lt;&gt;Cancelado",AgStatus,"&lt;&gt;Remarcado")&gt;0,"Sim","Não"))</f>
        <v>0</v>
      </c>
      <c r="S1787" s="28">
        <f>IF($A1787="","",IF(AND($F1787="Agendado",$A1787-Hoje&gt;=0,$A1787-Hoje&lt;=DiasConf),"CONFIRMAR",IF(AND($A1787&lt;Hoje,OR($F1787="Agendado",$F1787="Confirmado")),"Atualizar status",IF(AND($F1787="Compareceu",$P1787&gt;0.005),"Cobrar",IF($F1787="Faltou","Falta: reagendar","")))))</f>
        <v>0</v>
      </c>
      <c r="T1787" s="29">
        <f>IF($A1787="","",DATE(YEAR($A1787),MONTH($A1787),1))</f>
        <v>0</v>
      </c>
      <c r="U1787" s="30">
        <f>IF($S1787="CONFIRMAR",MAX($U$4:$U1786)+1,"")</f>
        <v>0</v>
      </c>
      <c r="V1787" s="30">
        <f>IF(AND($R1787="Não",$Q1787&lt;&gt;"",$Q1787&lt;=Hoje+JanelaRet,$Q1787&gt;=Hoje-60),MAX($V$4:$V1786)+1,"")</f>
        <v>0</v>
      </c>
    </row>
    <row r="1788" spans="1:22">
      <c r="A1788" s="16"/>
      <c r="B1788" s="23"/>
      <c r="C1788" s="15"/>
      <c r="D1788" s="15"/>
      <c r="E1788" s="15"/>
      <c r="F1788" s="24"/>
      <c r="G1788" s="17"/>
      <c r="H1788" s="17"/>
      <c r="I1788" s="15"/>
      <c r="J1788" s="25">
        <f>IF($D1788="","",IFERROR(INDEX(PacNome,MATCH($D1788,PacCod,0)),"Paciente não cadastrado"))</f>
        <v>0</v>
      </c>
      <c r="K1788" s="26">
        <f>IF($D1788="","",IFERROR(INDEX(PacConv,MATCH($D1788,PacCod,0))&amp;"",""))</f>
        <v>0</v>
      </c>
      <c r="L1788" s="26">
        <f>IF($A1788="","",CHOOSE(WEEKDAY($A1788,2),"Seg","Ter","Qua","Qui","Sex","Sáb","Dom"))</f>
        <v>0</v>
      </c>
      <c r="M1788" s="27">
        <f>IF($E1788="","",IF($G1788&lt;&gt;"",$G1788,IFERROR(INDEX(ProcValor,MATCH($E1788,ProcNome,0)),0)))</f>
        <v>0</v>
      </c>
      <c r="N1788" s="27">
        <f>IF($M1788="","",IF($F1788="Compareceu",$M1788,0))</f>
        <v>0</v>
      </c>
      <c r="O1788" s="27">
        <f>IF($M1788="","",IF($F1788="Faltou",$M1788,0))</f>
        <v>0</v>
      </c>
      <c r="P1788" s="27">
        <f>IF($M1788="","",IF($F1788="Compareceu",MAX(0,$M1788-N($H1788)),0))</f>
        <v>0</v>
      </c>
      <c r="Q1788" s="19">
        <f>IF(AND($F1788="Compareceu",$E1788&lt;&gt;"",$A1788&lt;&gt;""),IF(IFERROR(INDEX(ProcRet,MATCH($E1788,ProcNome,0)),0)&gt;0,$A1788+INDEX(ProcRet,MATCH($E1788,ProcNome,0)),""),"")</f>
        <v>0</v>
      </c>
      <c r="R1788" s="26">
        <f>IF($Q1788="","",IF(COUNTIFS(AgPac,$D1788,AgData,"&gt;"&amp;$A1788,AgStatus,"&lt;&gt;Cancelado",AgStatus,"&lt;&gt;Remarcado")&gt;0,"Sim","Não"))</f>
        <v>0</v>
      </c>
      <c r="S1788" s="28">
        <f>IF($A1788="","",IF(AND($F1788="Agendado",$A1788-Hoje&gt;=0,$A1788-Hoje&lt;=DiasConf),"CONFIRMAR",IF(AND($A1788&lt;Hoje,OR($F1788="Agendado",$F1788="Confirmado")),"Atualizar status",IF(AND($F1788="Compareceu",$P1788&gt;0.005),"Cobrar",IF($F1788="Faltou","Falta: reagendar","")))))</f>
        <v>0</v>
      </c>
      <c r="T1788" s="29">
        <f>IF($A1788="","",DATE(YEAR($A1788),MONTH($A1788),1))</f>
        <v>0</v>
      </c>
      <c r="U1788" s="30">
        <f>IF($S1788="CONFIRMAR",MAX($U$4:$U1787)+1,"")</f>
        <v>0</v>
      </c>
      <c r="V1788" s="30">
        <f>IF(AND($R1788="Não",$Q1788&lt;&gt;"",$Q1788&lt;=Hoje+JanelaRet,$Q1788&gt;=Hoje-60),MAX($V$4:$V1787)+1,"")</f>
        <v>0</v>
      </c>
    </row>
    <row r="1789" spans="1:22">
      <c r="A1789" s="16"/>
      <c r="B1789" s="23"/>
      <c r="C1789" s="15"/>
      <c r="D1789" s="15"/>
      <c r="E1789" s="15"/>
      <c r="F1789" s="24"/>
      <c r="G1789" s="17"/>
      <c r="H1789" s="17"/>
      <c r="I1789" s="15"/>
      <c r="J1789" s="25">
        <f>IF($D1789="","",IFERROR(INDEX(PacNome,MATCH($D1789,PacCod,0)),"Paciente não cadastrado"))</f>
        <v>0</v>
      </c>
      <c r="K1789" s="26">
        <f>IF($D1789="","",IFERROR(INDEX(PacConv,MATCH($D1789,PacCod,0))&amp;"",""))</f>
        <v>0</v>
      </c>
      <c r="L1789" s="26">
        <f>IF($A1789="","",CHOOSE(WEEKDAY($A1789,2),"Seg","Ter","Qua","Qui","Sex","Sáb","Dom"))</f>
        <v>0</v>
      </c>
      <c r="M1789" s="27">
        <f>IF($E1789="","",IF($G1789&lt;&gt;"",$G1789,IFERROR(INDEX(ProcValor,MATCH($E1789,ProcNome,0)),0)))</f>
        <v>0</v>
      </c>
      <c r="N1789" s="27">
        <f>IF($M1789="","",IF($F1789="Compareceu",$M1789,0))</f>
        <v>0</v>
      </c>
      <c r="O1789" s="27">
        <f>IF($M1789="","",IF($F1789="Faltou",$M1789,0))</f>
        <v>0</v>
      </c>
      <c r="P1789" s="27">
        <f>IF($M1789="","",IF($F1789="Compareceu",MAX(0,$M1789-N($H1789)),0))</f>
        <v>0</v>
      </c>
      <c r="Q1789" s="19">
        <f>IF(AND($F1789="Compareceu",$E1789&lt;&gt;"",$A1789&lt;&gt;""),IF(IFERROR(INDEX(ProcRet,MATCH($E1789,ProcNome,0)),0)&gt;0,$A1789+INDEX(ProcRet,MATCH($E1789,ProcNome,0)),""),"")</f>
        <v>0</v>
      </c>
      <c r="R1789" s="26">
        <f>IF($Q1789="","",IF(COUNTIFS(AgPac,$D1789,AgData,"&gt;"&amp;$A1789,AgStatus,"&lt;&gt;Cancelado",AgStatus,"&lt;&gt;Remarcado")&gt;0,"Sim","Não"))</f>
        <v>0</v>
      </c>
      <c r="S1789" s="28">
        <f>IF($A1789="","",IF(AND($F1789="Agendado",$A1789-Hoje&gt;=0,$A1789-Hoje&lt;=DiasConf),"CONFIRMAR",IF(AND($A1789&lt;Hoje,OR($F1789="Agendado",$F1789="Confirmado")),"Atualizar status",IF(AND($F1789="Compareceu",$P1789&gt;0.005),"Cobrar",IF($F1789="Faltou","Falta: reagendar","")))))</f>
        <v>0</v>
      </c>
      <c r="T1789" s="29">
        <f>IF($A1789="","",DATE(YEAR($A1789),MONTH($A1789),1))</f>
        <v>0</v>
      </c>
      <c r="U1789" s="30">
        <f>IF($S1789="CONFIRMAR",MAX($U$4:$U1788)+1,"")</f>
        <v>0</v>
      </c>
      <c r="V1789" s="30">
        <f>IF(AND($R1789="Não",$Q1789&lt;&gt;"",$Q1789&lt;=Hoje+JanelaRet,$Q1789&gt;=Hoje-60),MAX($V$4:$V1788)+1,"")</f>
        <v>0</v>
      </c>
    </row>
    <row r="1790" spans="1:22">
      <c r="A1790" s="16"/>
      <c r="B1790" s="23"/>
      <c r="C1790" s="15"/>
      <c r="D1790" s="15"/>
      <c r="E1790" s="15"/>
      <c r="F1790" s="24"/>
      <c r="G1790" s="17"/>
      <c r="H1790" s="17"/>
      <c r="I1790" s="15"/>
      <c r="J1790" s="25">
        <f>IF($D1790="","",IFERROR(INDEX(PacNome,MATCH($D1790,PacCod,0)),"Paciente não cadastrado"))</f>
        <v>0</v>
      </c>
      <c r="K1790" s="26">
        <f>IF($D1790="","",IFERROR(INDEX(PacConv,MATCH($D1790,PacCod,0))&amp;"",""))</f>
        <v>0</v>
      </c>
      <c r="L1790" s="26">
        <f>IF($A1790="","",CHOOSE(WEEKDAY($A1790,2),"Seg","Ter","Qua","Qui","Sex","Sáb","Dom"))</f>
        <v>0</v>
      </c>
      <c r="M1790" s="27">
        <f>IF($E1790="","",IF($G1790&lt;&gt;"",$G1790,IFERROR(INDEX(ProcValor,MATCH($E1790,ProcNome,0)),0)))</f>
        <v>0</v>
      </c>
      <c r="N1790" s="27">
        <f>IF($M1790="","",IF($F1790="Compareceu",$M1790,0))</f>
        <v>0</v>
      </c>
      <c r="O1790" s="27">
        <f>IF($M1790="","",IF($F1790="Faltou",$M1790,0))</f>
        <v>0</v>
      </c>
      <c r="P1790" s="27">
        <f>IF($M1790="","",IF($F1790="Compareceu",MAX(0,$M1790-N($H1790)),0))</f>
        <v>0</v>
      </c>
      <c r="Q1790" s="19">
        <f>IF(AND($F1790="Compareceu",$E1790&lt;&gt;"",$A1790&lt;&gt;""),IF(IFERROR(INDEX(ProcRet,MATCH($E1790,ProcNome,0)),0)&gt;0,$A1790+INDEX(ProcRet,MATCH($E1790,ProcNome,0)),""),"")</f>
        <v>0</v>
      </c>
      <c r="R1790" s="26">
        <f>IF($Q1790="","",IF(COUNTIFS(AgPac,$D1790,AgData,"&gt;"&amp;$A1790,AgStatus,"&lt;&gt;Cancelado",AgStatus,"&lt;&gt;Remarcado")&gt;0,"Sim","Não"))</f>
        <v>0</v>
      </c>
      <c r="S1790" s="28">
        <f>IF($A1790="","",IF(AND($F1790="Agendado",$A1790-Hoje&gt;=0,$A1790-Hoje&lt;=DiasConf),"CONFIRMAR",IF(AND($A1790&lt;Hoje,OR($F1790="Agendado",$F1790="Confirmado")),"Atualizar status",IF(AND($F1790="Compareceu",$P1790&gt;0.005),"Cobrar",IF($F1790="Faltou","Falta: reagendar","")))))</f>
        <v>0</v>
      </c>
      <c r="T1790" s="29">
        <f>IF($A1790="","",DATE(YEAR($A1790),MONTH($A1790),1))</f>
        <v>0</v>
      </c>
      <c r="U1790" s="30">
        <f>IF($S1790="CONFIRMAR",MAX($U$4:$U1789)+1,"")</f>
        <v>0</v>
      </c>
      <c r="V1790" s="30">
        <f>IF(AND($R1790="Não",$Q1790&lt;&gt;"",$Q1790&lt;=Hoje+JanelaRet,$Q1790&gt;=Hoje-60),MAX($V$4:$V1789)+1,"")</f>
        <v>0</v>
      </c>
    </row>
    <row r="1791" spans="1:22">
      <c r="A1791" s="16"/>
      <c r="B1791" s="23"/>
      <c r="C1791" s="15"/>
      <c r="D1791" s="15"/>
      <c r="E1791" s="15"/>
      <c r="F1791" s="24"/>
      <c r="G1791" s="17"/>
      <c r="H1791" s="17"/>
      <c r="I1791" s="15"/>
      <c r="J1791" s="25">
        <f>IF($D1791="","",IFERROR(INDEX(PacNome,MATCH($D1791,PacCod,0)),"Paciente não cadastrado"))</f>
        <v>0</v>
      </c>
      <c r="K1791" s="26">
        <f>IF($D1791="","",IFERROR(INDEX(PacConv,MATCH($D1791,PacCod,0))&amp;"",""))</f>
        <v>0</v>
      </c>
      <c r="L1791" s="26">
        <f>IF($A1791="","",CHOOSE(WEEKDAY($A1791,2),"Seg","Ter","Qua","Qui","Sex","Sáb","Dom"))</f>
        <v>0</v>
      </c>
      <c r="M1791" s="27">
        <f>IF($E1791="","",IF($G1791&lt;&gt;"",$G1791,IFERROR(INDEX(ProcValor,MATCH($E1791,ProcNome,0)),0)))</f>
        <v>0</v>
      </c>
      <c r="N1791" s="27">
        <f>IF($M1791="","",IF($F1791="Compareceu",$M1791,0))</f>
        <v>0</v>
      </c>
      <c r="O1791" s="27">
        <f>IF($M1791="","",IF($F1791="Faltou",$M1791,0))</f>
        <v>0</v>
      </c>
      <c r="P1791" s="27">
        <f>IF($M1791="","",IF($F1791="Compareceu",MAX(0,$M1791-N($H1791)),0))</f>
        <v>0</v>
      </c>
      <c r="Q1791" s="19">
        <f>IF(AND($F1791="Compareceu",$E1791&lt;&gt;"",$A1791&lt;&gt;""),IF(IFERROR(INDEX(ProcRet,MATCH($E1791,ProcNome,0)),0)&gt;0,$A1791+INDEX(ProcRet,MATCH($E1791,ProcNome,0)),""),"")</f>
        <v>0</v>
      </c>
      <c r="R1791" s="26">
        <f>IF($Q1791="","",IF(COUNTIFS(AgPac,$D1791,AgData,"&gt;"&amp;$A1791,AgStatus,"&lt;&gt;Cancelado",AgStatus,"&lt;&gt;Remarcado")&gt;0,"Sim","Não"))</f>
        <v>0</v>
      </c>
      <c r="S1791" s="28">
        <f>IF($A1791="","",IF(AND($F1791="Agendado",$A1791-Hoje&gt;=0,$A1791-Hoje&lt;=DiasConf),"CONFIRMAR",IF(AND($A1791&lt;Hoje,OR($F1791="Agendado",$F1791="Confirmado")),"Atualizar status",IF(AND($F1791="Compareceu",$P1791&gt;0.005),"Cobrar",IF($F1791="Faltou","Falta: reagendar","")))))</f>
        <v>0</v>
      </c>
      <c r="T1791" s="29">
        <f>IF($A1791="","",DATE(YEAR($A1791),MONTH($A1791),1))</f>
        <v>0</v>
      </c>
      <c r="U1791" s="30">
        <f>IF($S1791="CONFIRMAR",MAX($U$4:$U1790)+1,"")</f>
        <v>0</v>
      </c>
      <c r="V1791" s="30">
        <f>IF(AND($R1791="Não",$Q1791&lt;&gt;"",$Q1791&lt;=Hoje+JanelaRet,$Q1791&gt;=Hoje-60),MAX($V$4:$V1790)+1,"")</f>
        <v>0</v>
      </c>
    </row>
    <row r="1792" spans="1:22">
      <c r="A1792" s="16"/>
      <c r="B1792" s="23"/>
      <c r="C1792" s="15"/>
      <c r="D1792" s="15"/>
      <c r="E1792" s="15"/>
      <c r="F1792" s="24"/>
      <c r="G1792" s="17"/>
      <c r="H1792" s="17"/>
      <c r="I1792" s="15"/>
      <c r="J1792" s="25">
        <f>IF($D1792="","",IFERROR(INDEX(PacNome,MATCH($D1792,PacCod,0)),"Paciente não cadastrado"))</f>
        <v>0</v>
      </c>
      <c r="K1792" s="26">
        <f>IF($D1792="","",IFERROR(INDEX(PacConv,MATCH($D1792,PacCod,0))&amp;"",""))</f>
        <v>0</v>
      </c>
      <c r="L1792" s="26">
        <f>IF($A1792="","",CHOOSE(WEEKDAY($A1792,2),"Seg","Ter","Qua","Qui","Sex","Sáb","Dom"))</f>
        <v>0</v>
      </c>
      <c r="M1792" s="27">
        <f>IF($E1792="","",IF($G1792&lt;&gt;"",$G1792,IFERROR(INDEX(ProcValor,MATCH($E1792,ProcNome,0)),0)))</f>
        <v>0</v>
      </c>
      <c r="N1792" s="27">
        <f>IF($M1792="","",IF($F1792="Compareceu",$M1792,0))</f>
        <v>0</v>
      </c>
      <c r="O1792" s="27">
        <f>IF($M1792="","",IF($F1792="Faltou",$M1792,0))</f>
        <v>0</v>
      </c>
      <c r="P1792" s="27">
        <f>IF($M1792="","",IF($F1792="Compareceu",MAX(0,$M1792-N($H1792)),0))</f>
        <v>0</v>
      </c>
      <c r="Q1792" s="19">
        <f>IF(AND($F1792="Compareceu",$E1792&lt;&gt;"",$A1792&lt;&gt;""),IF(IFERROR(INDEX(ProcRet,MATCH($E1792,ProcNome,0)),0)&gt;0,$A1792+INDEX(ProcRet,MATCH($E1792,ProcNome,0)),""),"")</f>
        <v>0</v>
      </c>
      <c r="R1792" s="26">
        <f>IF($Q1792="","",IF(COUNTIFS(AgPac,$D1792,AgData,"&gt;"&amp;$A1792,AgStatus,"&lt;&gt;Cancelado",AgStatus,"&lt;&gt;Remarcado")&gt;0,"Sim","Não"))</f>
        <v>0</v>
      </c>
      <c r="S1792" s="28">
        <f>IF($A1792="","",IF(AND($F1792="Agendado",$A1792-Hoje&gt;=0,$A1792-Hoje&lt;=DiasConf),"CONFIRMAR",IF(AND($A1792&lt;Hoje,OR($F1792="Agendado",$F1792="Confirmado")),"Atualizar status",IF(AND($F1792="Compareceu",$P1792&gt;0.005),"Cobrar",IF($F1792="Faltou","Falta: reagendar","")))))</f>
        <v>0</v>
      </c>
      <c r="T1792" s="29">
        <f>IF($A1792="","",DATE(YEAR($A1792),MONTH($A1792),1))</f>
        <v>0</v>
      </c>
      <c r="U1792" s="30">
        <f>IF($S1792="CONFIRMAR",MAX($U$4:$U1791)+1,"")</f>
        <v>0</v>
      </c>
      <c r="V1792" s="30">
        <f>IF(AND($R1792="Não",$Q1792&lt;&gt;"",$Q1792&lt;=Hoje+JanelaRet,$Q1792&gt;=Hoje-60),MAX($V$4:$V1791)+1,"")</f>
        <v>0</v>
      </c>
    </row>
    <row r="1793" spans="1:22">
      <c r="A1793" s="16"/>
      <c r="B1793" s="23"/>
      <c r="C1793" s="15"/>
      <c r="D1793" s="15"/>
      <c r="E1793" s="15"/>
      <c r="F1793" s="24"/>
      <c r="G1793" s="17"/>
      <c r="H1793" s="17"/>
      <c r="I1793" s="15"/>
      <c r="J1793" s="25">
        <f>IF($D1793="","",IFERROR(INDEX(PacNome,MATCH($D1793,PacCod,0)),"Paciente não cadastrado"))</f>
        <v>0</v>
      </c>
      <c r="K1793" s="26">
        <f>IF($D1793="","",IFERROR(INDEX(PacConv,MATCH($D1793,PacCod,0))&amp;"",""))</f>
        <v>0</v>
      </c>
      <c r="L1793" s="26">
        <f>IF($A1793="","",CHOOSE(WEEKDAY($A1793,2),"Seg","Ter","Qua","Qui","Sex","Sáb","Dom"))</f>
        <v>0</v>
      </c>
      <c r="M1793" s="27">
        <f>IF($E1793="","",IF($G1793&lt;&gt;"",$G1793,IFERROR(INDEX(ProcValor,MATCH($E1793,ProcNome,0)),0)))</f>
        <v>0</v>
      </c>
      <c r="N1793" s="27">
        <f>IF($M1793="","",IF($F1793="Compareceu",$M1793,0))</f>
        <v>0</v>
      </c>
      <c r="O1793" s="27">
        <f>IF($M1793="","",IF($F1793="Faltou",$M1793,0))</f>
        <v>0</v>
      </c>
      <c r="P1793" s="27">
        <f>IF($M1793="","",IF($F1793="Compareceu",MAX(0,$M1793-N($H1793)),0))</f>
        <v>0</v>
      </c>
      <c r="Q1793" s="19">
        <f>IF(AND($F1793="Compareceu",$E1793&lt;&gt;"",$A1793&lt;&gt;""),IF(IFERROR(INDEX(ProcRet,MATCH($E1793,ProcNome,0)),0)&gt;0,$A1793+INDEX(ProcRet,MATCH($E1793,ProcNome,0)),""),"")</f>
        <v>0</v>
      </c>
      <c r="R1793" s="26">
        <f>IF($Q1793="","",IF(COUNTIFS(AgPac,$D1793,AgData,"&gt;"&amp;$A1793,AgStatus,"&lt;&gt;Cancelado",AgStatus,"&lt;&gt;Remarcado")&gt;0,"Sim","Não"))</f>
        <v>0</v>
      </c>
      <c r="S1793" s="28">
        <f>IF($A1793="","",IF(AND($F1793="Agendado",$A1793-Hoje&gt;=0,$A1793-Hoje&lt;=DiasConf),"CONFIRMAR",IF(AND($A1793&lt;Hoje,OR($F1793="Agendado",$F1793="Confirmado")),"Atualizar status",IF(AND($F1793="Compareceu",$P1793&gt;0.005),"Cobrar",IF($F1793="Faltou","Falta: reagendar","")))))</f>
        <v>0</v>
      </c>
      <c r="T1793" s="29">
        <f>IF($A1793="","",DATE(YEAR($A1793),MONTH($A1793),1))</f>
        <v>0</v>
      </c>
      <c r="U1793" s="30">
        <f>IF($S1793="CONFIRMAR",MAX($U$4:$U1792)+1,"")</f>
        <v>0</v>
      </c>
      <c r="V1793" s="30">
        <f>IF(AND($R1793="Não",$Q1793&lt;&gt;"",$Q1793&lt;=Hoje+JanelaRet,$Q1793&gt;=Hoje-60),MAX($V$4:$V1792)+1,"")</f>
        <v>0</v>
      </c>
    </row>
    <row r="1794" spans="1:22">
      <c r="A1794" s="16"/>
      <c r="B1794" s="23"/>
      <c r="C1794" s="15"/>
      <c r="D1794" s="15"/>
      <c r="E1794" s="15"/>
      <c r="F1794" s="24"/>
      <c r="G1794" s="17"/>
      <c r="H1794" s="17"/>
      <c r="I1794" s="15"/>
      <c r="J1794" s="25">
        <f>IF($D1794="","",IFERROR(INDEX(PacNome,MATCH($D1794,PacCod,0)),"Paciente não cadastrado"))</f>
        <v>0</v>
      </c>
      <c r="K1794" s="26">
        <f>IF($D1794="","",IFERROR(INDEX(PacConv,MATCH($D1794,PacCod,0))&amp;"",""))</f>
        <v>0</v>
      </c>
      <c r="L1794" s="26">
        <f>IF($A1794="","",CHOOSE(WEEKDAY($A1794,2),"Seg","Ter","Qua","Qui","Sex","Sáb","Dom"))</f>
        <v>0</v>
      </c>
      <c r="M1794" s="27">
        <f>IF($E1794="","",IF($G1794&lt;&gt;"",$G1794,IFERROR(INDEX(ProcValor,MATCH($E1794,ProcNome,0)),0)))</f>
        <v>0</v>
      </c>
      <c r="N1794" s="27">
        <f>IF($M1794="","",IF($F1794="Compareceu",$M1794,0))</f>
        <v>0</v>
      </c>
      <c r="O1794" s="27">
        <f>IF($M1794="","",IF($F1794="Faltou",$M1794,0))</f>
        <v>0</v>
      </c>
      <c r="P1794" s="27">
        <f>IF($M1794="","",IF($F1794="Compareceu",MAX(0,$M1794-N($H1794)),0))</f>
        <v>0</v>
      </c>
      <c r="Q1794" s="19">
        <f>IF(AND($F1794="Compareceu",$E1794&lt;&gt;"",$A1794&lt;&gt;""),IF(IFERROR(INDEX(ProcRet,MATCH($E1794,ProcNome,0)),0)&gt;0,$A1794+INDEX(ProcRet,MATCH($E1794,ProcNome,0)),""),"")</f>
        <v>0</v>
      </c>
      <c r="R1794" s="26">
        <f>IF($Q1794="","",IF(COUNTIFS(AgPac,$D1794,AgData,"&gt;"&amp;$A1794,AgStatus,"&lt;&gt;Cancelado",AgStatus,"&lt;&gt;Remarcado")&gt;0,"Sim","Não"))</f>
        <v>0</v>
      </c>
      <c r="S1794" s="28">
        <f>IF($A1794="","",IF(AND($F1794="Agendado",$A1794-Hoje&gt;=0,$A1794-Hoje&lt;=DiasConf),"CONFIRMAR",IF(AND($A1794&lt;Hoje,OR($F1794="Agendado",$F1794="Confirmado")),"Atualizar status",IF(AND($F1794="Compareceu",$P1794&gt;0.005),"Cobrar",IF($F1794="Faltou","Falta: reagendar","")))))</f>
        <v>0</v>
      </c>
      <c r="T1794" s="29">
        <f>IF($A1794="","",DATE(YEAR($A1794),MONTH($A1794),1))</f>
        <v>0</v>
      </c>
      <c r="U1794" s="30">
        <f>IF($S1794="CONFIRMAR",MAX($U$4:$U1793)+1,"")</f>
        <v>0</v>
      </c>
      <c r="V1794" s="30">
        <f>IF(AND($R1794="Não",$Q1794&lt;&gt;"",$Q1794&lt;=Hoje+JanelaRet,$Q1794&gt;=Hoje-60),MAX($V$4:$V1793)+1,"")</f>
        <v>0</v>
      </c>
    </row>
    <row r="1795" spans="1:22">
      <c r="A1795" s="16"/>
      <c r="B1795" s="23"/>
      <c r="C1795" s="15"/>
      <c r="D1795" s="15"/>
      <c r="E1795" s="15"/>
      <c r="F1795" s="24"/>
      <c r="G1795" s="17"/>
      <c r="H1795" s="17"/>
      <c r="I1795" s="15"/>
      <c r="J1795" s="25">
        <f>IF($D1795="","",IFERROR(INDEX(PacNome,MATCH($D1795,PacCod,0)),"Paciente não cadastrado"))</f>
        <v>0</v>
      </c>
      <c r="K1795" s="26">
        <f>IF($D1795="","",IFERROR(INDEX(PacConv,MATCH($D1795,PacCod,0))&amp;"",""))</f>
        <v>0</v>
      </c>
      <c r="L1795" s="26">
        <f>IF($A1795="","",CHOOSE(WEEKDAY($A1795,2),"Seg","Ter","Qua","Qui","Sex","Sáb","Dom"))</f>
        <v>0</v>
      </c>
      <c r="M1795" s="27">
        <f>IF($E1795="","",IF($G1795&lt;&gt;"",$G1795,IFERROR(INDEX(ProcValor,MATCH($E1795,ProcNome,0)),0)))</f>
        <v>0</v>
      </c>
      <c r="N1795" s="27">
        <f>IF($M1795="","",IF($F1795="Compareceu",$M1795,0))</f>
        <v>0</v>
      </c>
      <c r="O1795" s="27">
        <f>IF($M1795="","",IF($F1795="Faltou",$M1795,0))</f>
        <v>0</v>
      </c>
      <c r="P1795" s="27">
        <f>IF($M1795="","",IF($F1795="Compareceu",MAX(0,$M1795-N($H1795)),0))</f>
        <v>0</v>
      </c>
      <c r="Q1795" s="19">
        <f>IF(AND($F1795="Compareceu",$E1795&lt;&gt;"",$A1795&lt;&gt;""),IF(IFERROR(INDEX(ProcRet,MATCH($E1795,ProcNome,0)),0)&gt;0,$A1795+INDEX(ProcRet,MATCH($E1795,ProcNome,0)),""),"")</f>
        <v>0</v>
      </c>
      <c r="R1795" s="26">
        <f>IF($Q1795="","",IF(COUNTIFS(AgPac,$D1795,AgData,"&gt;"&amp;$A1795,AgStatus,"&lt;&gt;Cancelado",AgStatus,"&lt;&gt;Remarcado")&gt;0,"Sim","Não"))</f>
        <v>0</v>
      </c>
      <c r="S1795" s="28">
        <f>IF($A1795="","",IF(AND($F1795="Agendado",$A1795-Hoje&gt;=0,$A1795-Hoje&lt;=DiasConf),"CONFIRMAR",IF(AND($A1795&lt;Hoje,OR($F1795="Agendado",$F1795="Confirmado")),"Atualizar status",IF(AND($F1795="Compareceu",$P1795&gt;0.005),"Cobrar",IF($F1795="Faltou","Falta: reagendar","")))))</f>
        <v>0</v>
      </c>
      <c r="T1795" s="29">
        <f>IF($A1795="","",DATE(YEAR($A1795),MONTH($A1795),1))</f>
        <v>0</v>
      </c>
      <c r="U1795" s="30">
        <f>IF($S1795="CONFIRMAR",MAX($U$4:$U1794)+1,"")</f>
        <v>0</v>
      </c>
      <c r="V1795" s="30">
        <f>IF(AND($R1795="Não",$Q1795&lt;&gt;"",$Q1795&lt;=Hoje+JanelaRet,$Q1795&gt;=Hoje-60),MAX($V$4:$V1794)+1,"")</f>
        <v>0</v>
      </c>
    </row>
    <row r="1796" spans="1:22">
      <c r="A1796" s="16"/>
      <c r="B1796" s="23"/>
      <c r="C1796" s="15"/>
      <c r="D1796" s="15"/>
      <c r="E1796" s="15"/>
      <c r="F1796" s="24"/>
      <c r="G1796" s="17"/>
      <c r="H1796" s="17"/>
      <c r="I1796" s="15"/>
      <c r="J1796" s="25">
        <f>IF($D1796="","",IFERROR(INDEX(PacNome,MATCH($D1796,PacCod,0)),"Paciente não cadastrado"))</f>
        <v>0</v>
      </c>
      <c r="K1796" s="26">
        <f>IF($D1796="","",IFERROR(INDEX(PacConv,MATCH($D1796,PacCod,0))&amp;"",""))</f>
        <v>0</v>
      </c>
      <c r="L1796" s="26">
        <f>IF($A1796="","",CHOOSE(WEEKDAY($A1796,2),"Seg","Ter","Qua","Qui","Sex","Sáb","Dom"))</f>
        <v>0</v>
      </c>
      <c r="M1796" s="27">
        <f>IF($E1796="","",IF($G1796&lt;&gt;"",$G1796,IFERROR(INDEX(ProcValor,MATCH($E1796,ProcNome,0)),0)))</f>
        <v>0</v>
      </c>
      <c r="N1796" s="27">
        <f>IF($M1796="","",IF($F1796="Compareceu",$M1796,0))</f>
        <v>0</v>
      </c>
      <c r="O1796" s="27">
        <f>IF($M1796="","",IF($F1796="Faltou",$M1796,0))</f>
        <v>0</v>
      </c>
      <c r="P1796" s="27">
        <f>IF($M1796="","",IF($F1796="Compareceu",MAX(0,$M1796-N($H1796)),0))</f>
        <v>0</v>
      </c>
      <c r="Q1796" s="19">
        <f>IF(AND($F1796="Compareceu",$E1796&lt;&gt;"",$A1796&lt;&gt;""),IF(IFERROR(INDEX(ProcRet,MATCH($E1796,ProcNome,0)),0)&gt;0,$A1796+INDEX(ProcRet,MATCH($E1796,ProcNome,0)),""),"")</f>
        <v>0</v>
      </c>
      <c r="R1796" s="26">
        <f>IF($Q1796="","",IF(COUNTIFS(AgPac,$D1796,AgData,"&gt;"&amp;$A1796,AgStatus,"&lt;&gt;Cancelado",AgStatus,"&lt;&gt;Remarcado")&gt;0,"Sim","Não"))</f>
        <v>0</v>
      </c>
      <c r="S1796" s="28">
        <f>IF($A1796="","",IF(AND($F1796="Agendado",$A1796-Hoje&gt;=0,$A1796-Hoje&lt;=DiasConf),"CONFIRMAR",IF(AND($A1796&lt;Hoje,OR($F1796="Agendado",$F1796="Confirmado")),"Atualizar status",IF(AND($F1796="Compareceu",$P1796&gt;0.005),"Cobrar",IF($F1796="Faltou","Falta: reagendar","")))))</f>
        <v>0</v>
      </c>
      <c r="T1796" s="29">
        <f>IF($A1796="","",DATE(YEAR($A1796),MONTH($A1796),1))</f>
        <v>0</v>
      </c>
      <c r="U1796" s="30">
        <f>IF($S1796="CONFIRMAR",MAX($U$4:$U1795)+1,"")</f>
        <v>0</v>
      </c>
      <c r="V1796" s="30">
        <f>IF(AND($R1796="Não",$Q1796&lt;&gt;"",$Q1796&lt;=Hoje+JanelaRet,$Q1796&gt;=Hoje-60),MAX($V$4:$V1795)+1,"")</f>
        <v>0</v>
      </c>
    </row>
    <row r="1797" spans="1:22">
      <c r="A1797" s="16"/>
      <c r="B1797" s="23"/>
      <c r="C1797" s="15"/>
      <c r="D1797" s="15"/>
      <c r="E1797" s="15"/>
      <c r="F1797" s="24"/>
      <c r="G1797" s="17"/>
      <c r="H1797" s="17"/>
      <c r="I1797" s="15"/>
      <c r="J1797" s="25">
        <f>IF($D1797="","",IFERROR(INDEX(PacNome,MATCH($D1797,PacCod,0)),"Paciente não cadastrado"))</f>
        <v>0</v>
      </c>
      <c r="K1797" s="26">
        <f>IF($D1797="","",IFERROR(INDEX(PacConv,MATCH($D1797,PacCod,0))&amp;"",""))</f>
        <v>0</v>
      </c>
      <c r="L1797" s="26">
        <f>IF($A1797="","",CHOOSE(WEEKDAY($A1797,2),"Seg","Ter","Qua","Qui","Sex","Sáb","Dom"))</f>
        <v>0</v>
      </c>
      <c r="M1797" s="27">
        <f>IF($E1797="","",IF($G1797&lt;&gt;"",$G1797,IFERROR(INDEX(ProcValor,MATCH($E1797,ProcNome,0)),0)))</f>
        <v>0</v>
      </c>
      <c r="N1797" s="27">
        <f>IF($M1797="","",IF($F1797="Compareceu",$M1797,0))</f>
        <v>0</v>
      </c>
      <c r="O1797" s="27">
        <f>IF($M1797="","",IF($F1797="Faltou",$M1797,0))</f>
        <v>0</v>
      </c>
      <c r="P1797" s="27">
        <f>IF($M1797="","",IF($F1797="Compareceu",MAX(0,$M1797-N($H1797)),0))</f>
        <v>0</v>
      </c>
      <c r="Q1797" s="19">
        <f>IF(AND($F1797="Compareceu",$E1797&lt;&gt;"",$A1797&lt;&gt;""),IF(IFERROR(INDEX(ProcRet,MATCH($E1797,ProcNome,0)),0)&gt;0,$A1797+INDEX(ProcRet,MATCH($E1797,ProcNome,0)),""),"")</f>
        <v>0</v>
      </c>
      <c r="R1797" s="26">
        <f>IF($Q1797="","",IF(COUNTIFS(AgPac,$D1797,AgData,"&gt;"&amp;$A1797,AgStatus,"&lt;&gt;Cancelado",AgStatus,"&lt;&gt;Remarcado")&gt;0,"Sim","Não"))</f>
        <v>0</v>
      </c>
      <c r="S1797" s="28">
        <f>IF($A1797="","",IF(AND($F1797="Agendado",$A1797-Hoje&gt;=0,$A1797-Hoje&lt;=DiasConf),"CONFIRMAR",IF(AND($A1797&lt;Hoje,OR($F1797="Agendado",$F1797="Confirmado")),"Atualizar status",IF(AND($F1797="Compareceu",$P1797&gt;0.005),"Cobrar",IF($F1797="Faltou","Falta: reagendar","")))))</f>
        <v>0</v>
      </c>
      <c r="T1797" s="29">
        <f>IF($A1797="","",DATE(YEAR($A1797),MONTH($A1797),1))</f>
        <v>0</v>
      </c>
      <c r="U1797" s="30">
        <f>IF($S1797="CONFIRMAR",MAX($U$4:$U1796)+1,"")</f>
        <v>0</v>
      </c>
      <c r="V1797" s="30">
        <f>IF(AND($R1797="Não",$Q1797&lt;&gt;"",$Q1797&lt;=Hoje+JanelaRet,$Q1797&gt;=Hoje-60),MAX($V$4:$V1796)+1,"")</f>
        <v>0</v>
      </c>
    </row>
    <row r="1798" spans="1:22">
      <c r="A1798" s="16"/>
      <c r="B1798" s="23"/>
      <c r="C1798" s="15"/>
      <c r="D1798" s="15"/>
      <c r="E1798" s="15"/>
      <c r="F1798" s="24"/>
      <c r="G1798" s="17"/>
      <c r="H1798" s="17"/>
      <c r="I1798" s="15"/>
      <c r="J1798" s="25">
        <f>IF($D1798="","",IFERROR(INDEX(PacNome,MATCH($D1798,PacCod,0)),"Paciente não cadastrado"))</f>
        <v>0</v>
      </c>
      <c r="K1798" s="26">
        <f>IF($D1798="","",IFERROR(INDEX(PacConv,MATCH($D1798,PacCod,0))&amp;"",""))</f>
        <v>0</v>
      </c>
      <c r="L1798" s="26">
        <f>IF($A1798="","",CHOOSE(WEEKDAY($A1798,2),"Seg","Ter","Qua","Qui","Sex","Sáb","Dom"))</f>
        <v>0</v>
      </c>
      <c r="M1798" s="27">
        <f>IF($E1798="","",IF($G1798&lt;&gt;"",$G1798,IFERROR(INDEX(ProcValor,MATCH($E1798,ProcNome,0)),0)))</f>
        <v>0</v>
      </c>
      <c r="N1798" s="27">
        <f>IF($M1798="","",IF($F1798="Compareceu",$M1798,0))</f>
        <v>0</v>
      </c>
      <c r="O1798" s="27">
        <f>IF($M1798="","",IF($F1798="Faltou",$M1798,0))</f>
        <v>0</v>
      </c>
      <c r="P1798" s="27">
        <f>IF($M1798="","",IF($F1798="Compareceu",MAX(0,$M1798-N($H1798)),0))</f>
        <v>0</v>
      </c>
      <c r="Q1798" s="19">
        <f>IF(AND($F1798="Compareceu",$E1798&lt;&gt;"",$A1798&lt;&gt;""),IF(IFERROR(INDEX(ProcRet,MATCH($E1798,ProcNome,0)),0)&gt;0,$A1798+INDEX(ProcRet,MATCH($E1798,ProcNome,0)),""),"")</f>
        <v>0</v>
      </c>
      <c r="R1798" s="26">
        <f>IF($Q1798="","",IF(COUNTIFS(AgPac,$D1798,AgData,"&gt;"&amp;$A1798,AgStatus,"&lt;&gt;Cancelado",AgStatus,"&lt;&gt;Remarcado")&gt;0,"Sim","Não"))</f>
        <v>0</v>
      </c>
      <c r="S1798" s="28">
        <f>IF($A1798="","",IF(AND($F1798="Agendado",$A1798-Hoje&gt;=0,$A1798-Hoje&lt;=DiasConf),"CONFIRMAR",IF(AND($A1798&lt;Hoje,OR($F1798="Agendado",$F1798="Confirmado")),"Atualizar status",IF(AND($F1798="Compareceu",$P1798&gt;0.005),"Cobrar",IF($F1798="Faltou","Falta: reagendar","")))))</f>
        <v>0</v>
      </c>
      <c r="T1798" s="29">
        <f>IF($A1798="","",DATE(YEAR($A1798),MONTH($A1798),1))</f>
        <v>0</v>
      </c>
      <c r="U1798" s="30">
        <f>IF($S1798="CONFIRMAR",MAX($U$4:$U1797)+1,"")</f>
        <v>0</v>
      </c>
      <c r="V1798" s="30">
        <f>IF(AND($R1798="Não",$Q1798&lt;&gt;"",$Q1798&lt;=Hoje+JanelaRet,$Q1798&gt;=Hoje-60),MAX($V$4:$V1797)+1,"")</f>
        <v>0</v>
      </c>
    </row>
    <row r="1799" spans="1:22">
      <c r="A1799" s="16"/>
      <c r="B1799" s="23"/>
      <c r="C1799" s="15"/>
      <c r="D1799" s="15"/>
      <c r="E1799" s="15"/>
      <c r="F1799" s="24"/>
      <c r="G1799" s="17"/>
      <c r="H1799" s="17"/>
      <c r="I1799" s="15"/>
      <c r="J1799" s="25">
        <f>IF($D1799="","",IFERROR(INDEX(PacNome,MATCH($D1799,PacCod,0)),"Paciente não cadastrado"))</f>
        <v>0</v>
      </c>
      <c r="K1799" s="26">
        <f>IF($D1799="","",IFERROR(INDEX(PacConv,MATCH($D1799,PacCod,0))&amp;"",""))</f>
        <v>0</v>
      </c>
      <c r="L1799" s="26">
        <f>IF($A1799="","",CHOOSE(WEEKDAY($A1799,2),"Seg","Ter","Qua","Qui","Sex","Sáb","Dom"))</f>
        <v>0</v>
      </c>
      <c r="M1799" s="27">
        <f>IF($E1799="","",IF($G1799&lt;&gt;"",$G1799,IFERROR(INDEX(ProcValor,MATCH($E1799,ProcNome,0)),0)))</f>
        <v>0</v>
      </c>
      <c r="N1799" s="27">
        <f>IF($M1799="","",IF($F1799="Compareceu",$M1799,0))</f>
        <v>0</v>
      </c>
      <c r="O1799" s="27">
        <f>IF($M1799="","",IF($F1799="Faltou",$M1799,0))</f>
        <v>0</v>
      </c>
      <c r="P1799" s="27">
        <f>IF($M1799="","",IF($F1799="Compareceu",MAX(0,$M1799-N($H1799)),0))</f>
        <v>0</v>
      </c>
      <c r="Q1799" s="19">
        <f>IF(AND($F1799="Compareceu",$E1799&lt;&gt;"",$A1799&lt;&gt;""),IF(IFERROR(INDEX(ProcRet,MATCH($E1799,ProcNome,0)),0)&gt;0,$A1799+INDEX(ProcRet,MATCH($E1799,ProcNome,0)),""),"")</f>
        <v>0</v>
      </c>
      <c r="R1799" s="26">
        <f>IF($Q1799="","",IF(COUNTIFS(AgPac,$D1799,AgData,"&gt;"&amp;$A1799,AgStatus,"&lt;&gt;Cancelado",AgStatus,"&lt;&gt;Remarcado")&gt;0,"Sim","Não"))</f>
        <v>0</v>
      </c>
      <c r="S1799" s="28">
        <f>IF($A1799="","",IF(AND($F1799="Agendado",$A1799-Hoje&gt;=0,$A1799-Hoje&lt;=DiasConf),"CONFIRMAR",IF(AND($A1799&lt;Hoje,OR($F1799="Agendado",$F1799="Confirmado")),"Atualizar status",IF(AND($F1799="Compareceu",$P1799&gt;0.005),"Cobrar",IF($F1799="Faltou","Falta: reagendar","")))))</f>
        <v>0</v>
      </c>
      <c r="T1799" s="29">
        <f>IF($A1799="","",DATE(YEAR($A1799),MONTH($A1799),1))</f>
        <v>0</v>
      </c>
      <c r="U1799" s="30">
        <f>IF($S1799="CONFIRMAR",MAX($U$4:$U1798)+1,"")</f>
        <v>0</v>
      </c>
      <c r="V1799" s="30">
        <f>IF(AND($R1799="Não",$Q1799&lt;&gt;"",$Q1799&lt;=Hoje+JanelaRet,$Q1799&gt;=Hoje-60),MAX($V$4:$V1798)+1,"")</f>
        <v>0</v>
      </c>
    </row>
    <row r="1800" spans="1:22">
      <c r="A1800" s="16"/>
      <c r="B1800" s="23"/>
      <c r="C1800" s="15"/>
      <c r="D1800" s="15"/>
      <c r="E1800" s="15"/>
      <c r="F1800" s="24"/>
      <c r="G1800" s="17"/>
      <c r="H1800" s="17"/>
      <c r="I1800" s="15"/>
      <c r="J1800" s="25">
        <f>IF($D1800="","",IFERROR(INDEX(PacNome,MATCH($D1800,PacCod,0)),"Paciente não cadastrado"))</f>
        <v>0</v>
      </c>
      <c r="K1800" s="26">
        <f>IF($D1800="","",IFERROR(INDEX(PacConv,MATCH($D1800,PacCod,0))&amp;"",""))</f>
        <v>0</v>
      </c>
      <c r="L1800" s="26">
        <f>IF($A1800="","",CHOOSE(WEEKDAY($A1800,2),"Seg","Ter","Qua","Qui","Sex","Sáb","Dom"))</f>
        <v>0</v>
      </c>
      <c r="M1800" s="27">
        <f>IF($E1800="","",IF($G1800&lt;&gt;"",$G1800,IFERROR(INDEX(ProcValor,MATCH($E1800,ProcNome,0)),0)))</f>
        <v>0</v>
      </c>
      <c r="N1800" s="27">
        <f>IF($M1800="","",IF($F1800="Compareceu",$M1800,0))</f>
        <v>0</v>
      </c>
      <c r="O1800" s="27">
        <f>IF($M1800="","",IF($F1800="Faltou",$M1800,0))</f>
        <v>0</v>
      </c>
      <c r="P1800" s="27">
        <f>IF($M1800="","",IF($F1800="Compareceu",MAX(0,$M1800-N($H1800)),0))</f>
        <v>0</v>
      </c>
      <c r="Q1800" s="19">
        <f>IF(AND($F1800="Compareceu",$E1800&lt;&gt;"",$A1800&lt;&gt;""),IF(IFERROR(INDEX(ProcRet,MATCH($E1800,ProcNome,0)),0)&gt;0,$A1800+INDEX(ProcRet,MATCH($E1800,ProcNome,0)),""),"")</f>
        <v>0</v>
      </c>
      <c r="R1800" s="26">
        <f>IF($Q1800="","",IF(COUNTIFS(AgPac,$D1800,AgData,"&gt;"&amp;$A1800,AgStatus,"&lt;&gt;Cancelado",AgStatus,"&lt;&gt;Remarcado")&gt;0,"Sim","Não"))</f>
        <v>0</v>
      </c>
      <c r="S1800" s="28">
        <f>IF($A1800="","",IF(AND($F1800="Agendado",$A1800-Hoje&gt;=0,$A1800-Hoje&lt;=DiasConf),"CONFIRMAR",IF(AND($A1800&lt;Hoje,OR($F1800="Agendado",$F1800="Confirmado")),"Atualizar status",IF(AND($F1800="Compareceu",$P1800&gt;0.005),"Cobrar",IF($F1800="Faltou","Falta: reagendar","")))))</f>
        <v>0</v>
      </c>
      <c r="T1800" s="29">
        <f>IF($A1800="","",DATE(YEAR($A1800),MONTH($A1800),1))</f>
        <v>0</v>
      </c>
      <c r="U1800" s="30">
        <f>IF($S1800="CONFIRMAR",MAX($U$4:$U1799)+1,"")</f>
        <v>0</v>
      </c>
      <c r="V1800" s="30">
        <f>IF(AND($R1800="Não",$Q1800&lt;&gt;"",$Q1800&lt;=Hoje+JanelaRet,$Q1800&gt;=Hoje-60),MAX($V$4:$V1799)+1,"")</f>
        <v>0</v>
      </c>
    </row>
    <row r="1801" spans="1:22">
      <c r="A1801" s="16"/>
      <c r="B1801" s="23"/>
      <c r="C1801" s="15"/>
      <c r="D1801" s="15"/>
      <c r="E1801" s="15"/>
      <c r="F1801" s="24"/>
      <c r="G1801" s="17"/>
      <c r="H1801" s="17"/>
      <c r="I1801" s="15"/>
      <c r="J1801" s="25">
        <f>IF($D1801="","",IFERROR(INDEX(PacNome,MATCH($D1801,PacCod,0)),"Paciente não cadastrado"))</f>
        <v>0</v>
      </c>
      <c r="K1801" s="26">
        <f>IF($D1801="","",IFERROR(INDEX(PacConv,MATCH($D1801,PacCod,0))&amp;"",""))</f>
        <v>0</v>
      </c>
      <c r="L1801" s="26">
        <f>IF($A1801="","",CHOOSE(WEEKDAY($A1801,2),"Seg","Ter","Qua","Qui","Sex","Sáb","Dom"))</f>
        <v>0</v>
      </c>
      <c r="M1801" s="27">
        <f>IF($E1801="","",IF($G1801&lt;&gt;"",$G1801,IFERROR(INDEX(ProcValor,MATCH($E1801,ProcNome,0)),0)))</f>
        <v>0</v>
      </c>
      <c r="N1801" s="27">
        <f>IF($M1801="","",IF($F1801="Compareceu",$M1801,0))</f>
        <v>0</v>
      </c>
      <c r="O1801" s="27">
        <f>IF($M1801="","",IF($F1801="Faltou",$M1801,0))</f>
        <v>0</v>
      </c>
      <c r="P1801" s="27">
        <f>IF($M1801="","",IF($F1801="Compareceu",MAX(0,$M1801-N($H1801)),0))</f>
        <v>0</v>
      </c>
      <c r="Q1801" s="19">
        <f>IF(AND($F1801="Compareceu",$E1801&lt;&gt;"",$A1801&lt;&gt;""),IF(IFERROR(INDEX(ProcRet,MATCH($E1801,ProcNome,0)),0)&gt;0,$A1801+INDEX(ProcRet,MATCH($E1801,ProcNome,0)),""),"")</f>
        <v>0</v>
      </c>
      <c r="R1801" s="26">
        <f>IF($Q1801="","",IF(COUNTIFS(AgPac,$D1801,AgData,"&gt;"&amp;$A1801,AgStatus,"&lt;&gt;Cancelado",AgStatus,"&lt;&gt;Remarcado")&gt;0,"Sim","Não"))</f>
        <v>0</v>
      </c>
      <c r="S1801" s="28">
        <f>IF($A1801="","",IF(AND($F1801="Agendado",$A1801-Hoje&gt;=0,$A1801-Hoje&lt;=DiasConf),"CONFIRMAR",IF(AND($A1801&lt;Hoje,OR($F1801="Agendado",$F1801="Confirmado")),"Atualizar status",IF(AND($F1801="Compareceu",$P1801&gt;0.005),"Cobrar",IF($F1801="Faltou","Falta: reagendar","")))))</f>
        <v>0</v>
      </c>
      <c r="T1801" s="29">
        <f>IF($A1801="","",DATE(YEAR($A1801),MONTH($A1801),1))</f>
        <v>0</v>
      </c>
      <c r="U1801" s="30">
        <f>IF($S1801="CONFIRMAR",MAX($U$4:$U1800)+1,"")</f>
        <v>0</v>
      </c>
      <c r="V1801" s="30">
        <f>IF(AND($R1801="Não",$Q1801&lt;&gt;"",$Q1801&lt;=Hoje+JanelaRet,$Q1801&gt;=Hoje-60),MAX($V$4:$V1800)+1,"")</f>
        <v>0</v>
      </c>
    </row>
    <row r="1802" spans="1:22">
      <c r="A1802" s="16"/>
      <c r="B1802" s="23"/>
      <c r="C1802" s="15"/>
      <c r="D1802" s="15"/>
      <c r="E1802" s="15"/>
      <c r="F1802" s="24"/>
      <c r="G1802" s="17"/>
      <c r="H1802" s="17"/>
      <c r="I1802" s="15"/>
      <c r="J1802" s="25">
        <f>IF($D1802="","",IFERROR(INDEX(PacNome,MATCH($D1802,PacCod,0)),"Paciente não cadastrado"))</f>
        <v>0</v>
      </c>
      <c r="K1802" s="26">
        <f>IF($D1802="","",IFERROR(INDEX(PacConv,MATCH($D1802,PacCod,0))&amp;"",""))</f>
        <v>0</v>
      </c>
      <c r="L1802" s="26">
        <f>IF($A1802="","",CHOOSE(WEEKDAY($A1802,2),"Seg","Ter","Qua","Qui","Sex","Sáb","Dom"))</f>
        <v>0</v>
      </c>
      <c r="M1802" s="27">
        <f>IF($E1802="","",IF($G1802&lt;&gt;"",$G1802,IFERROR(INDEX(ProcValor,MATCH($E1802,ProcNome,0)),0)))</f>
        <v>0</v>
      </c>
      <c r="N1802" s="27">
        <f>IF($M1802="","",IF($F1802="Compareceu",$M1802,0))</f>
        <v>0</v>
      </c>
      <c r="O1802" s="27">
        <f>IF($M1802="","",IF($F1802="Faltou",$M1802,0))</f>
        <v>0</v>
      </c>
      <c r="P1802" s="27">
        <f>IF($M1802="","",IF($F1802="Compareceu",MAX(0,$M1802-N($H1802)),0))</f>
        <v>0</v>
      </c>
      <c r="Q1802" s="19">
        <f>IF(AND($F1802="Compareceu",$E1802&lt;&gt;"",$A1802&lt;&gt;""),IF(IFERROR(INDEX(ProcRet,MATCH($E1802,ProcNome,0)),0)&gt;0,$A1802+INDEX(ProcRet,MATCH($E1802,ProcNome,0)),""),"")</f>
        <v>0</v>
      </c>
      <c r="R1802" s="26">
        <f>IF($Q1802="","",IF(COUNTIFS(AgPac,$D1802,AgData,"&gt;"&amp;$A1802,AgStatus,"&lt;&gt;Cancelado",AgStatus,"&lt;&gt;Remarcado")&gt;0,"Sim","Não"))</f>
        <v>0</v>
      </c>
      <c r="S1802" s="28">
        <f>IF($A1802="","",IF(AND($F1802="Agendado",$A1802-Hoje&gt;=0,$A1802-Hoje&lt;=DiasConf),"CONFIRMAR",IF(AND($A1802&lt;Hoje,OR($F1802="Agendado",$F1802="Confirmado")),"Atualizar status",IF(AND($F1802="Compareceu",$P1802&gt;0.005),"Cobrar",IF($F1802="Faltou","Falta: reagendar","")))))</f>
        <v>0</v>
      </c>
      <c r="T1802" s="29">
        <f>IF($A1802="","",DATE(YEAR($A1802),MONTH($A1802),1))</f>
        <v>0</v>
      </c>
      <c r="U1802" s="30">
        <f>IF($S1802="CONFIRMAR",MAX($U$4:$U1801)+1,"")</f>
        <v>0</v>
      </c>
      <c r="V1802" s="30">
        <f>IF(AND($R1802="Não",$Q1802&lt;&gt;"",$Q1802&lt;=Hoje+JanelaRet,$Q1802&gt;=Hoje-60),MAX($V$4:$V1801)+1,"")</f>
        <v>0</v>
      </c>
    </row>
    <row r="1803" spans="1:22">
      <c r="A1803" s="16"/>
      <c r="B1803" s="23"/>
      <c r="C1803" s="15"/>
      <c r="D1803" s="15"/>
      <c r="E1803" s="15"/>
      <c r="F1803" s="24"/>
      <c r="G1803" s="17"/>
      <c r="H1803" s="17"/>
      <c r="I1803" s="15"/>
      <c r="J1803" s="25">
        <f>IF($D1803="","",IFERROR(INDEX(PacNome,MATCH($D1803,PacCod,0)),"Paciente não cadastrado"))</f>
        <v>0</v>
      </c>
      <c r="K1803" s="26">
        <f>IF($D1803="","",IFERROR(INDEX(PacConv,MATCH($D1803,PacCod,0))&amp;"",""))</f>
        <v>0</v>
      </c>
      <c r="L1803" s="26">
        <f>IF($A1803="","",CHOOSE(WEEKDAY($A1803,2),"Seg","Ter","Qua","Qui","Sex","Sáb","Dom"))</f>
        <v>0</v>
      </c>
      <c r="M1803" s="27">
        <f>IF($E1803="","",IF($G1803&lt;&gt;"",$G1803,IFERROR(INDEX(ProcValor,MATCH($E1803,ProcNome,0)),0)))</f>
        <v>0</v>
      </c>
      <c r="N1803" s="27">
        <f>IF($M1803="","",IF($F1803="Compareceu",$M1803,0))</f>
        <v>0</v>
      </c>
      <c r="O1803" s="27">
        <f>IF($M1803="","",IF($F1803="Faltou",$M1803,0))</f>
        <v>0</v>
      </c>
      <c r="P1803" s="27">
        <f>IF($M1803="","",IF($F1803="Compareceu",MAX(0,$M1803-N($H1803)),0))</f>
        <v>0</v>
      </c>
      <c r="Q1803" s="19">
        <f>IF(AND($F1803="Compareceu",$E1803&lt;&gt;"",$A1803&lt;&gt;""),IF(IFERROR(INDEX(ProcRet,MATCH($E1803,ProcNome,0)),0)&gt;0,$A1803+INDEX(ProcRet,MATCH($E1803,ProcNome,0)),""),"")</f>
        <v>0</v>
      </c>
      <c r="R1803" s="26">
        <f>IF($Q1803="","",IF(COUNTIFS(AgPac,$D1803,AgData,"&gt;"&amp;$A1803,AgStatus,"&lt;&gt;Cancelado",AgStatus,"&lt;&gt;Remarcado")&gt;0,"Sim","Não"))</f>
        <v>0</v>
      </c>
      <c r="S1803" s="28">
        <f>IF($A1803="","",IF(AND($F1803="Agendado",$A1803-Hoje&gt;=0,$A1803-Hoje&lt;=DiasConf),"CONFIRMAR",IF(AND($A1803&lt;Hoje,OR($F1803="Agendado",$F1803="Confirmado")),"Atualizar status",IF(AND($F1803="Compareceu",$P1803&gt;0.005),"Cobrar",IF($F1803="Faltou","Falta: reagendar","")))))</f>
        <v>0</v>
      </c>
      <c r="T1803" s="29">
        <f>IF($A1803="","",DATE(YEAR($A1803),MONTH($A1803),1))</f>
        <v>0</v>
      </c>
      <c r="U1803" s="30">
        <f>IF($S1803="CONFIRMAR",MAX($U$4:$U1802)+1,"")</f>
        <v>0</v>
      </c>
      <c r="V1803" s="30">
        <f>IF(AND($R1803="Não",$Q1803&lt;&gt;"",$Q1803&lt;=Hoje+JanelaRet,$Q1803&gt;=Hoje-60),MAX($V$4:$V1802)+1,"")</f>
        <v>0</v>
      </c>
    </row>
    <row r="1804" spans="1:22">
      <c r="A1804" s="16"/>
      <c r="B1804" s="23"/>
      <c r="C1804" s="15"/>
      <c r="D1804" s="15"/>
      <c r="E1804" s="15"/>
      <c r="F1804" s="24"/>
      <c r="G1804" s="17"/>
      <c r="H1804" s="17"/>
      <c r="I1804" s="15"/>
      <c r="J1804" s="25">
        <f>IF($D1804="","",IFERROR(INDEX(PacNome,MATCH($D1804,PacCod,0)),"Paciente não cadastrado"))</f>
        <v>0</v>
      </c>
      <c r="K1804" s="26">
        <f>IF($D1804="","",IFERROR(INDEX(PacConv,MATCH($D1804,PacCod,0))&amp;"",""))</f>
        <v>0</v>
      </c>
      <c r="L1804" s="26">
        <f>IF($A1804="","",CHOOSE(WEEKDAY($A1804,2),"Seg","Ter","Qua","Qui","Sex","Sáb","Dom"))</f>
        <v>0</v>
      </c>
      <c r="M1804" s="27">
        <f>IF($E1804="","",IF($G1804&lt;&gt;"",$G1804,IFERROR(INDEX(ProcValor,MATCH($E1804,ProcNome,0)),0)))</f>
        <v>0</v>
      </c>
      <c r="N1804" s="27">
        <f>IF($M1804="","",IF($F1804="Compareceu",$M1804,0))</f>
        <v>0</v>
      </c>
      <c r="O1804" s="27">
        <f>IF($M1804="","",IF($F1804="Faltou",$M1804,0))</f>
        <v>0</v>
      </c>
      <c r="P1804" s="27">
        <f>IF($M1804="","",IF($F1804="Compareceu",MAX(0,$M1804-N($H1804)),0))</f>
        <v>0</v>
      </c>
      <c r="Q1804" s="19">
        <f>IF(AND($F1804="Compareceu",$E1804&lt;&gt;"",$A1804&lt;&gt;""),IF(IFERROR(INDEX(ProcRet,MATCH($E1804,ProcNome,0)),0)&gt;0,$A1804+INDEX(ProcRet,MATCH($E1804,ProcNome,0)),""),"")</f>
        <v>0</v>
      </c>
      <c r="R1804" s="26">
        <f>IF($Q1804="","",IF(COUNTIFS(AgPac,$D1804,AgData,"&gt;"&amp;$A1804,AgStatus,"&lt;&gt;Cancelado",AgStatus,"&lt;&gt;Remarcado")&gt;0,"Sim","Não"))</f>
        <v>0</v>
      </c>
      <c r="S1804" s="28">
        <f>IF($A1804="","",IF(AND($F1804="Agendado",$A1804-Hoje&gt;=0,$A1804-Hoje&lt;=DiasConf),"CONFIRMAR",IF(AND($A1804&lt;Hoje,OR($F1804="Agendado",$F1804="Confirmado")),"Atualizar status",IF(AND($F1804="Compareceu",$P1804&gt;0.005),"Cobrar",IF($F1804="Faltou","Falta: reagendar","")))))</f>
        <v>0</v>
      </c>
      <c r="T1804" s="29">
        <f>IF($A1804="","",DATE(YEAR($A1804),MONTH($A1804),1))</f>
        <v>0</v>
      </c>
      <c r="U1804" s="30">
        <f>IF($S1804="CONFIRMAR",MAX($U$4:$U1803)+1,"")</f>
        <v>0</v>
      </c>
      <c r="V1804" s="30">
        <f>IF(AND($R1804="Não",$Q1804&lt;&gt;"",$Q1804&lt;=Hoje+JanelaRet,$Q1804&gt;=Hoje-60),MAX($V$4:$V1803)+1,"")</f>
        <v>0</v>
      </c>
    </row>
    <row r="1805" spans="1:22">
      <c r="A1805" s="16"/>
      <c r="B1805" s="23"/>
      <c r="C1805" s="15"/>
      <c r="D1805" s="15"/>
      <c r="E1805" s="15"/>
      <c r="F1805" s="24"/>
      <c r="G1805" s="17"/>
      <c r="H1805" s="17"/>
      <c r="I1805" s="15"/>
      <c r="J1805" s="25">
        <f>IF($D1805="","",IFERROR(INDEX(PacNome,MATCH($D1805,PacCod,0)),"Paciente não cadastrado"))</f>
        <v>0</v>
      </c>
      <c r="K1805" s="26">
        <f>IF($D1805="","",IFERROR(INDEX(PacConv,MATCH($D1805,PacCod,0))&amp;"",""))</f>
        <v>0</v>
      </c>
      <c r="L1805" s="26">
        <f>IF($A1805="","",CHOOSE(WEEKDAY($A1805,2),"Seg","Ter","Qua","Qui","Sex","Sáb","Dom"))</f>
        <v>0</v>
      </c>
      <c r="M1805" s="27">
        <f>IF($E1805="","",IF($G1805&lt;&gt;"",$G1805,IFERROR(INDEX(ProcValor,MATCH($E1805,ProcNome,0)),0)))</f>
        <v>0</v>
      </c>
      <c r="N1805" s="27">
        <f>IF($M1805="","",IF($F1805="Compareceu",$M1805,0))</f>
        <v>0</v>
      </c>
      <c r="O1805" s="27">
        <f>IF($M1805="","",IF($F1805="Faltou",$M1805,0))</f>
        <v>0</v>
      </c>
      <c r="P1805" s="27">
        <f>IF($M1805="","",IF($F1805="Compareceu",MAX(0,$M1805-N($H1805)),0))</f>
        <v>0</v>
      </c>
      <c r="Q1805" s="19">
        <f>IF(AND($F1805="Compareceu",$E1805&lt;&gt;"",$A1805&lt;&gt;""),IF(IFERROR(INDEX(ProcRet,MATCH($E1805,ProcNome,0)),0)&gt;0,$A1805+INDEX(ProcRet,MATCH($E1805,ProcNome,0)),""),"")</f>
        <v>0</v>
      </c>
      <c r="R1805" s="26">
        <f>IF($Q1805="","",IF(COUNTIFS(AgPac,$D1805,AgData,"&gt;"&amp;$A1805,AgStatus,"&lt;&gt;Cancelado",AgStatus,"&lt;&gt;Remarcado")&gt;0,"Sim","Não"))</f>
        <v>0</v>
      </c>
      <c r="S1805" s="28">
        <f>IF($A1805="","",IF(AND($F1805="Agendado",$A1805-Hoje&gt;=0,$A1805-Hoje&lt;=DiasConf),"CONFIRMAR",IF(AND($A1805&lt;Hoje,OR($F1805="Agendado",$F1805="Confirmado")),"Atualizar status",IF(AND($F1805="Compareceu",$P1805&gt;0.005),"Cobrar",IF($F1805="Faltou","Falta: reagendar","")))))</f>
        <v>0</v>
      </c>
      <c r="T1805" s="29">
        <f>IF($A1805="","",DATE(YEAR($A1805),MONTH($A1805),1))</f>
        <v>0</v>
      </c>
      <c r="U1805" s="30">
        <f>IF($S1805="CONFIRMAR",MAX($U$4:$U1804)+1,"")</f>
        <v>0</v>
      </c>
      <c r="V1805" s="30">
        <f>IF(AND($R1805="Não",$Q1805&lt;&gt;"",$Q1805&lt;=Hoje+JanelaRet,$Q1805&gt;=Hoje-60),MAX($V$4:$V1804)+1,"")</f>
        <v>0</v>
      </c>
    </row>
    <row r="1806" spans="1:22">
      <c r="A1806" s="16"/>
      <c r="B1806" s="23"/>
      <c r="C1806" s="15"/>
      <c r="D1806" s="15"/>
      <c r="E1806" s="15"/>
      <c r="F1806" s="24"/>
      <c r="G1806" s="17"/>
      <c r="H1806" s="17"/>
      <c r="I1806" s="15"/>
      <c r="J1806" s="25">
        <f>IF($D1806="","",IFERROR(INDEX(PacNome,MATCH($D1806,PacCod,0)),"Paciente não cadastrado"))</f>
        <v>0</v>
      </c>
      <c r="K1806" s="26">
        <f>IF($D1806="","",IFERROR(INDEX(PacConv,MATCH($D1806,PacCod,0))&amp;"",""))</f>
        <v>0</v>
      </c>
      <c r="L1806" s="26">
        <f>IF($A1806="","",CHOOSE(WEEKDAY($A1806,2),"Seg","Ter","Qua","Qui","Sex","Sáb","Dom"))</f>
        <v>0</v>
      </c>
      <c r="M1806" s="27">
        <f>IF($E1806="","",IF($G1806&lt;&gt;"",$G1806,IFERROR(INDEX(ProcValor,MATCH($E1806,ProcNome,0)),0)))</f>
        <v>0</v>
      </c>
      <c r="N1806" s="27">
        <f>IF($M1806="","",IF($F1806="Compareceu",$M1806,0))</f>
        <v>0</v>
      </c>
      <c r="O1806" s="27">
        <f>IF($M1806="","",IF($F1806="Faltou",$M1806,0))</f>
        <v>0</v>
      </c>
      <c r="P1806" s="27">
        <f>IF($M1806="","",IF($F1806="Compareceu",MAX(0,$M1806-N($H1806)),0))</f>
        <v>0</v>
      </c>
      <c r="Q1806" s="19">
        <f>IF(AND($F1806="Compareceu",$E1806&lt;&gt;"",$A1806&lt;&gt;""),IF(IFERROR(INDEX(ProcRet,MATCH($E1806,ProcNome,0)),0)&gt;0,$A1806+INDEX(ProcRet,MATCH($E1806,ProcNome,0)),""),"")</f>
        <v>0</v>
      </c>
      <c r="R1806" s="26">
        <f>IF($Q1806="","",IF(COUNTIFS(AgPac,$D1806,AgData,"&gt;"&amp;$A1806,AgStatus,"&lt;&gt;Cancelado",AgStatus,"&lt;&gt;Remarcado")&gt;0,"Sim","Não"))</f>
        <v>0</v>
      </c>
      <c r="S1806" s="28">
        <f>IF($A1806="","",IF(AND($F1806="Agendado",$A1806-Hoje&gt;=0,$A1806-Hoje&lt;=DiasConf),"CONFIRMAR",IF(AND($A1806&lt;Hoje,OR($F1806="Agendado",$F1806="Confirmado")),"Atualizar status",IF(AND($F1806="Compareceu",$P1806&gt;0.005),"Cobrar",IF($F1806="Faltou","Falta: reagendar","")))))</f>
        <v>0</v>
      </c>
      <c r="T1806" s="29">
        <f>IF($A1806="","",DATE(YEAR($A1806),MONTH($A1806),1))</f>
        <v>0</v>
      </c>
      <c r="U1806" s="30">
        <f>IF($S1806="CONFIRMAR",MAX($U$4:$U1805)+1,"")</f>
        <v>0</v>
      </c>
      <c r="V1806" s="30">
        <f>IF(AND($R1806="Não",$Q1806&lt;&gt;"",$Q1806&lt;=Hoje+JanelaRet,$Q1806&gt;=Hoje-60),MAX($V$4:$V1805)+1,"")</f>
        <v>0</v>
      </c>
    </row>
    <row r="1807" spans="1:22">
      <c r="A1807" s="16"/>
      <c r="B1807" s="23"/>
      <c r="C1807" s="15"/>
      <c r="D1807" s="15"/>
      <c r="E1807" s="15"/>
      <c r="F1807" s="24"/>
      <c r="G1807" s="17"/>
      <c r="H1807" s="17"/>
      <c r="I1807" s="15"/>
      <c r="J1807" s="25">
        <f>IF($D1807="","",IFERROR(INDEX(PacNome,MATCH($D1807,PacCod,0)),"Paciente não cadastrado"))</f>
        <v>0</v>
      </c>
      <c r="K1807" s="26">
        <f>IF($D1807="","",IFERROR(INDEX(PacConv,MATCH($D1807,PacCod,0))&amp;"",""))</f>
        <v>0</v>
      </c>
      <c r="L1807" s="26">
        <f>IF($A1807="","",CHOOSE(WEEKDAY($A1807,2),"Seg","Ter","Qua","Qui","Sex","Sáb","Dom"))</f>
        <v>0</v>
      </c>
      <c r="M1807" s="27">
        <f>IF($E1807="","",IF($G1807&lt;&gt;"",$G1807,IFERROR(INDEX(ProcValor,MATCH($E1807,ProcNome,0)),0)))</f>
        <v>0</v>
      </c>
      <c r="N1807" s="27">
        <f>IF($M1807="","",IF($F1807="Compareceu",$M1807,0))</f>
        <v>0</v>
      </c>
      <c r="O1807" s="27">
        <f>IF($M1807="","",IF($F1807="Faltou",$M1807,0))</f>
        <v>0</v>
      </c>
      <c r="P1807" s="27">
        <f>IF($M1807="","",IF($F1807="Compareceu",MAX(0,$M1807-N($H1807)),0))</f>
        <v>0</v>
      </c>
      <c r="Q1807" s="19">
        <f>IF(AND($F1807="Compareceu",$E1807&lt;&gt;"",$A1807&lt;&gt;""),IF(IFERROR(INDEX(ProcRet,MATCH($E1807,ProcNome,0)),0)&gt;0,$A1807+INDEX(ProcRet,MATCH($E1807,ProcNome,0)),""),"")</f>
        <v>0</v>
      </c>
      <c r="R1807" s="26">
        <f>IF($Q1807="","",IF(COUNTIFS(AgPac,$D1807,AgData,"&gt;"&amp;$A1807,AgStatus,"&lt;&gt;Cancelado",AgStatus,"&lt;&gt;Remarcado")&gt;0,"Sim","Não"))</f>
        <v>0</v>
      </c>
      <c r="S1807" s="28">
        <f>IF($A1807="","",IF(AND($F1807="Agendado",$A1807-Hoje&gt;=0,$A1807-Hoje&lt;=DiasConf),"CONFIRMAR",IF(AND($A1807&lt;Hoje,OR($F1807="Agendado",$F1807="Confirmado")),"Atualizar status",IF(AND($F1807="Compareceu",$P1807&gt;0.005),"Cobrar",IF($F1807="Faltou","Falta: reagendar","")))))</f>
        <v>0</v>
      </c>
      <c r="T1807" s="29">
        <f>IF($A1807="","",DATE(YEAR($A1807),MONTH($A1807),1))</f>
        <v>0</v>
      </c>
      <c r="U1807" s="30">
        <f>IF($S1807="CONFIRMAR",MAX($U$4:$U1806)+1,"")</f>
        <v>0</v>
      </c>
      <c r="V1807" s="30">
        <f>IF(AND($R1807="Não",$Q1807&lt;&gt;"",$Q1807&lt;=Hoje+JanelaRet,$Q1807&gt;=Hoje-60),MAX($V$4:$V1806)+1,"")</f>
        <v>0</v>
      </c>
    </row>
    <row r="1808" spans="1:22">
      <c r="A1808" s="16"/>
      <c r="B1808" s="23"/>
      <c r="C1808" s="15"/>
      <c r="D1808" s="15"/>
      <c r="E1808" s="15"/>
      <c r="F1808" s="24"/>
      <c r="G1808" s="17"/>
      <c r="H1808" s="17"/>
      <c r="I1808" s="15"/>
      <c r="J1808" s="25">
        <f>IF($D1808="","",IFERROR(INDEX(PacNome,MATCH($D1808,PacCod,0)),"Paciente não cadastrado"))</f>
        <v>0</v>
      </c>
      <c r="K1808" s="26">
        <f>IF($D1808="","",IFERROR(INDEX(PacConv,MATCH($D1808,PacCod,0))&amp;"",""))</f>
        <v>0</v>
      </c>
      <c r="L1808" s="26">
        <f>IF($A1808="","",CHOOSE(WEEKDAY($A1808,2),"Seg","Ter","Qua","Qui","Sex","Sáb","Dom"))</f>
        <v>0</v>
      </c>
      <c r="M1808" s="27">
        <f>IF($E1808="","",IF($G1808&lt;&gt;"",$G1808,IFERROR(INDEX(ProcValor,MATCH($E1808,ProcNome,0)),0)))</f>
        <v>0</v>
      </c>
      <c r="N1808" s="27">
        <f>IF($M1808="","",IF($F1808="Compareceu",$M1808,0))</f>
        <v>0</v>
      </c>
      <c r="O1808" s="27">
        <f>IF($M1808="","",IF($F1808="Faltou",$M1808,0))</f>
        <v>0</v>
      </c>
      <c r="P1808" s="27">
        <f>IF($M1808="","",IF($F1808="Compareceu",MAX(0,$M1808-N($H1808)),0))</f>
        <v>0</v>
      </c>
      <c r="Q1808" s="19">
        <f>IF(AND($F1808="Compareceu",$E1808&lt;&gt;"",$A1808&lt;&gt;""),IF(IFERROR(INDEX(ProcRet,MATCH($E1808,ProcNome,0)),0)&gt;0,$A1808+INDEX(ProcRet,MATCH($E1808,ProcNome,0)),""),"")</f>
        <v>0</v>
      </c>
      <c r="R1808" s="26">
        <f>IF($Q1808="","",IF(COUNTIFS(AgPac,$D1808,AgData,"&gt;"&amp;$A1808,AgStatus,"&lt;&gt;Cancelado",AgStatus,"&lt;&gt;Remarcado")&gt;0,"Sim","Não"))</f>
        <v>0</v>
      </c>
      <c r="S1808" s="28">
        <f>IF($A1808="","",IF(AND($F1808="Agendado",$A1808-Hoje&gt;=0,$A1808-Hoje&lt;=DiasConf),"CONFIRMAR",IF(AND($A1808&lt;Hoje,OR($F1808="Agendado",$F1808="Confirmado")),"Atualizar status",IF(AND($F1808="Compareceu",$P1808&gt;0.005),"Cobrar",IF($F1808="Faltou","Falta: reagendar","")))))</f>
        <v>0</v>
      </c>
      <c r="T1808" s="29">
        <f>IF($A1808="","",DATE(YEAR($A1808),MONTH($A1808),1))</f>
        <v>0</v>
      </c>
      <c r="U1808" s="30">
        <f>IF($S1808="CONFIRMAR",MAX($U$4:$U1807)+1,"")</f>
        <v>0</v>
      </c>
      <c r="V1808" s="30">
        <f>IF(AND($R1808="Não",$Q1808&lt;&gt;"",$Q1808&lt;=Hoje+JanelaRet,$Q1808&gt;=Hoje-60),MAX($V$4:$V1807)+1,"")</f>
        <v>0</v>
      </c>
    </row>
    <row r="1809" spans="1:22">
      <c r="A1809" s="16"/>
      <c r="B1809" s="23"/>
      <c r="C1809" s="15"/>
      <c r="D1809" s="15"/>
      <c r="E1809" s="15"/>
      <c r="F1809" s="24"/>
      <c r="G1809" s="17"/>
      <c r="H1809" s="17"/>
      <c r="I1809" s="15"/>
      <c r="J1809" s="25">
        <f>IF($D1809="","",IFERROR(INDEX(PacNome,MATCH($D1809,PacCod,0)),"Paciente não cadastrado"))</f>
        <v>0</v>
      </c>
      <c r="K1809" s="26">
        <f>IF($D1809="","",IFERROR(INDEX(PacConv,MATCH($D1809,PacCod,0))&amp;"",""))</f>
        <v>0</v>
      </c>
      <c r="L1809" s="26">
        <f>IF($A1809="","",CHOOSE(WEEKDAY($A1809,2),"Seg","Ter","Qua","Qui","Sex","Sáb","Dom"))</f>
        <v>0</v>
      </c>
      <c r="M1809" s="27">
        <f>IF($E1809="","",IF($G1809&lt;&gt;"",$G1809,IFERROR(INDEX(ProcValor,MATCH($E1809,ProcNome,0)),0)))</f>
        <v>0</v>
      </c>
      <c r="N1809" s="27">
        <f>IF($M1809="","",IF($F1809="Compareceu",$M1809,0))</f>
        <v>0</v>
      </c>
      <c r="O1809" s="27">
        <f>IF($M1809="","",IF($F1809="Faltou",$M1809,0))</f>
        <v>0</v>
      </c>
      <c r="P1809" s="27">
        <f>IF($M1809="","",IF($F1809="Compareceu",MAX(0,$M1809-N($H1809)),0))</f>
        <v>0</v>
      </c>
      <c r="Q1809" s="19">
        <f>IF(AND($F1809="Compareceu",$E1809&lt;&gt;"",$A1809&lt;&gt;""),IF(IFERROR(INDEX(ProcRet,MATCH($E1809,ProcNome,0)),0)&gt;0,$A1809+INDEX(ProcRet,MATCH($E1809,ProcNome,0)),""),"")</f>
        <v>0</v>
      </c>
      <c r="R1809" s="26">
        <f>IF($Q1809="","",IF(COUNTIFS(AgPac,$D1809,AgData,"&gt;"&amp;$A1809,AgStatus,"&lt;&gt;Cancelado",AgStatus,"&lt;&gt;Remarcado")&gt;0,"Sim","Não"))</f>
        <v>0</v>
      </c>
      <c r="S1809" s="28">
        <f>IF($A1809="","",IF(AND($F1809="Agendado",$A1809-Hoje&gt;=0,$A1809-Hoje&lt;=DiasConf),"CONFIRMAR",IF(AND($A1809&lt;Hoje,OR($F1809="Agendado",$F1809="Confirmado")),"Atualizar status",IF(AND($F1809="Compareceu",$P1809&gt;0.005),"Cobrar",IF($F1809="Faltou","Falta: reagendar","")))))</f>
        <v>0</v>
      </c>
      <c r="T1809" s="29">
        <f>IF($A1809="","",DATE(YEAR($A1809),MONTH($A1809),1))</f>
        <v>0</v>
      </c>
      <c r="U1809" s="30">
        <f>IF($S1809="CONFIRMAR",MAX($U$4:$U1808)+1,"")</f>
        <v>0</v>
      </c>
      <c r="V1809" s="30">
        <f>IF(AND($R1809="Não",$Q1809&lt;&gt;"",$Q1809&lt;=Hoje+JanelaRet,$Q1809&gt;=Hoje-60),MAX($V$4:$V1808)+1,"")</f>
        <v>0</v>
      </c>
    </row>
    <row r="1810" spans="1:22">
      <c r="A1810" s="16"/>
      <c r="B1810" s="23"/>
      <c r="C1810" s="15"/>
      <c r="D1810" s="15"/>
      <c r="E1810" s="15"/>
      <c r="F1810" s="24"/>
      <c r="G1810" s="17"/>
      <c r="H1810" s="17"/>
      <c r="I1810" s="15"/>
      <c r="J1810" s="25">
        <f>IF($D1810="","",IFERROR(INDEX(PacNome,MATCH($D1810,PacCod,0)),"Paciente não cadastrado"))</f>
        <v>0</v>
      </c>
      <c r="K1810" s="26">
        <f>IF($D1810="","",IFERROR(INDEX(PacConv,MATCH($D1810,PacCod,0))&amp;"",""))</f>
        <v>0</v>
      </c>
      <c r="L1810" s="26">
        <f>IF($A1810="","",CHOOSE(WEEKDAY($A1810,2),"Seg","Ter","Qua","Qui","Sex","Sáb","Dom"))</f>
        <v>0</v>
      </c>
      <c r="M1810" s="27">
        <f>IF($E1810="","",IF($G1810&lt;&gt;"",$G1810,IFERROR(INDEX(ProcValor,MATCH($E1810,ProcNome,0)),0)))</f>
        <v>0</v>
      </c>
      <c r="N1810" s="27">
        <f>IF($M1810="","",IF($F1810="Compareceu",$M1810,0))</f>
        <v>0</v>
      </c>
      <c r="O1810" s="27">
        <f>IF($M1810="","",IF($F1810="Faltou",$M1810,0))</f>
        <v>0</v>
      </c>
      <c r="P1810" s="27">
        <f>IF($M1810="","",IF($F1810="Compareceu",MAX(0,$M1810-N($H1810)),0))</f>
        <v>0</v>
      </c>
      <c r="Q1810" s="19">
        <f>IF(AND($F1810="Compareceu",$E1810&lt;&gt;"",$A1810&lt;&gt;""),IF(IFERROR(INDEX(ProcRet,MATCH($E1810,ProcNome,0)),0)&gt;0,$A1810+INDEX(ProcRet,MATCH($E1810,ProcNome,0)),""),"")</f>
        <v>0</v>
      </c>
      <c r="R1810" s="26">
        <f>IF($Q1810="","",IF(COUNTIFS(AgPac,$D1810,AgData,"&gt;"&amp;$A1810,AgStatus,"&lt;&gt;Cancelado",AgStatus,"&lt;&gt;Remarcado")&gt;0,"Sim","Não"))</f>
        <v>0</v>
      </c>
      <c r="S1810" s="28">
        <f>IF($A1810="","",IF(AND($F1810="Agendado",$A1810-Hoje&gt;=0,$A1810-Hoje&lt;=DiasConf),"CONFIRMAR",IF(AND($A1810&lt;Hoje,OR($F1810="Agendado",$F1810="Confirmado")),"Atualizar status",IF(AND($F1810="Compareceu",$P1810&gt;0.005),"Cobrar",IF($F1810="Faltou","Falta: reagendar","")))))</f>
        <v>0</v>
      </c>
      <c r="T1810" s="29">
        <f>IF($A1810="","",DATE(YEAR($A1810),MONTH($A1810),1))</f>
        <v>0</v>
      </c>
      <c r="U1810" s="30">
        <f>IF($S1810="CONFIRMAR",MAX($U$4:$U1809)+1,"")</f>
        <v>0</v>
      </c>
      <c r="V1810" s="30">
        <f>IF(AND($R1810="Não",$Q1810&lt;&gt;"",$Q1810&lt;=Hoje+JanelaRet,$Q1810&gt;=Hoje-60),MAX($V$4:$V1809)+1,"")</f>
        <v>0</v>
      </c>
    </row>
    <row r="1811" spans="1:22">
      <c r="A1811" s="16"/>
      <c r="B1811" s="23"/>
      <c r="C1811" s="15"/>
      <c r="D1811" s="15"/>
      <c r="E1811" s="15"/>
      <c r="F1811" s="24"/>
      <c r="G1811" s="17"/>
      <c r="H1811" s="17"/>
      <c r="I1811" s="15"/>
      <c r="J1811" s="25">
        <f>IF($D1811="","",IFERROR(INDEX(PacNome,MATCH($D1811,PacCod,0)),"Paciente não cadastrado"))</f>
        <v>0</v>
      </c>
      <c r="K1811" s="26">
        <f>IF($D1811="","",IFERROR(INDEX(PacConv,MATCH($D1811,PacCod,0))&amp;"",""))</f>
        <v>0</v>
      </c>
      <c r="L1811" s="26">
        <f>IF($A1811="","",CHOOSE(WEEKDAY($A1811,2),"Seg","Ter","Qua","Qui","Sex","Sáb","Dom"))</f>
        <v>0</v>
      </c>
      <c r="M1811" s="27">
        <f>IF($E1811="","",IF($G1811&lt;&gt;"",$G1811,IFERROR(INDEX(ProcValor,MATCH($E1811,ProcNome,0)),0)))</f>
        <v>0</v>
      </c>
      <c r="N1811" s="27">
        <f>IF($M1811="","",IF($F1811="Compareceu",$M1811,0))</f>
        <v>0</v>
      </c>
      <c r="O1811" s="27">
        <f>IF($M1811="","",IF($F1811="Faltou",$M1811,0))</f>
        <v>0</v>
      </c>
      <c r="P1811" s="27">
        <f>IF($M1811="","",IF($F1811="Compareceu",MAX(0,$M1811-N($H1811)),0))</f>
        <v>0</v>
      </c>
      <c r="Q1811" s="19">
        <f>IF(AND($F1811="Compareceu",$E1811&lt;&gt;"",$A1811&lt;&gt;""),IF(IFERROR(INDEX(ProcRet,MATCH($E1811,ProcNome,0)),0)&gt;0,$A1811+INDEX(ProcRet,MATCH($E1811,ProcNome,0)),""),"")</f>
        <v>0</v>
      </c>
      <c r="R1811" s="26">
        <f>IF($Q1811="","",IF(COUNTIFS(AgPac,$D1811,AgData,"&gt;"&amp;$A1811,AgStatus,"&lt;&gt;Cancelado",AgStatus,"&lt;&gt;Remarcado")&gt;0,"Sim","Não"))</f>
        <v>0</v>
      </c>
      <c r="S1811" s="28">
        <f>IF($A1811="","",IF(AND($F1811="Agendado",$A1811-Hoje&gt;=0,$A1811-Hoje&lt;=DiasConf),"CONFIRMAR",IF(AND($A1811&lt;Hoje,OR($F1811="Agendado",$F1811="Confirmado")),"Atualizar status",IF(AND($F1811="Compareceu",$P1811&gt;0.005),"Cobrar",IF($F1811="Faltou","Falta: reagendar","")))))</f>
        <v>0</v>
      </c>
      <c r="T1811" s="29">
        <f>IF($A1811="","",DATE(YEAR($A1811),MONTH($A1811),1))</f>
        <v>0</v>
      </c>
      <c r="U1811" s="30">
        <f>IF($S1811="CONFIRMAR",MAX($U$4:$U1810)+1,"")</f>
        <v>0</v>
      </c>
      <c r="V1811" s="30">
        <f>IF(AND($R1811="Não",$Q1811&lt;&gt;"",$Q1811&lt;=Hoje+JanelaRet,$Q1811&gt;=Hoje-60),MAX($V$4:$V1810)+1,"")</f>
        <v>0</v>
      </c>
    </row>
    <row r="1812" spans="1:22">
      <c r="A1812" s="16"/>
      <c r="B1812" s="23"/>
      <c r="C1812" s="15"/>
      <c r="D1812" s="15"/>
      <c r="E1812" s="15"/>
      <c r="F1812" s="24"/>
      <c r="G1812" s="17"/>
      <c r="H1812" s="17"/>
      <c r="I1812" s="15"/>
      <c r="J1812" s="25">
        <f>IF($D1812="","",IFERROR(INDEX(PacNome,MATCH($D1812,PacCod,0)),"Paciente não cadastrado"))</f>
        <v>0</v>
      </c>
      <c r="K1812" s="26">
        <f>IF($D1812="","",IFERROR(INDEX(PacConv,MATCH($D1812,PacCod,0))&amp;"",""))</f>
        <v>0</v>
      </c>
      <c r="L1812" s="26">
        <f>IF($A1812="","",CHOOSE(WEEKDAY($A1812,2),"Seg","Ter","Qua","Qui","Sex","Sáb","Dom"))</f>
        <v>0</v>
      </c>
      <c r="M1812" s="27">
        <f>IF($E1812="","",IF($G1812&lt;&gt;"",$G1812,IFERROR(INDEX(ProcValor,MATCH($E1812,ProcNome,0)),0)))</f>
        <v>0</v>
      </c>
      <c r="N1812" s="27">
        <f>IF($M1812="","",IF($F1812="Compareceu",$M1812,0))</f>
        <v>0</v>
      </c>
      <c r="O1812" s="27">
        <f>IF($M1812="","",IF($F1812="Faltou",$M1812,0))</f>
        <v>0</v>
      </c>
      <c r="P1812" s="27">
        <f>IF($M1812="","",IF($F1812="Compareceu",MAX(0,$M1812-N($H1812)),0))</f>
        <v>0</v>
      </c>
      <c r="Q1812" s="19">
        <f>IF(AND($F1812="Compareceu",$E1812&lt;&gt;"",$A1812&lt;&gt;""),IF(IFERROR(INDEX(ProcRet,MATCH($E1812,ProcNome,0)),0)&gt;0,$A1812+INDEX(ProcRet,MATCH($E1812,ProcNome,0)),""),"")</f>
        <v>0</v>
      </c>
      <c r="R1812" s="26">
        <f>IF($Q1812="","",IF(COUNTIFS(AgPac,$D1812,AgData,"&gt;"&amp;$A1812,AgStatus,"&lt;&gt;Cancelado",AgStatus,"&lt;&gt;Remarcado")&gt;0,"Sim","Não"))</f>
        <v>0</v>
      </c>
      <c r="S1812" s="28">
        <f>IF($A1812="","",IF(AND($F1812="Agendado",$A1812-Hoje&gt;=0,$A1812-Hoje&lt;=DiasConf),"CONFIRMAR",IF(AND($A1812&lt;Hoje,OR($F1812="Agendado",$F1812="Confirmado")),"Atualizar status",IF(AND($F1812="Compareceu",$P1812&gt;0.005),"Cobrar",IF($F1812="Faltou","Falta: reagendar","")))))</f>
        <v>0</v>
      </c>
      <c r="T1812" s="29">
        <f>IF($A1812="","",DATE(YEAR($A1812),MONTH($A1812),1))</f>
        <v>0</v>
      </c>
      <c r="U1812" s="30">
        <f>IF($S1812="CONFIRMAR",MAX($U$4:$U1811)+1,"")</f>
        <v>0</v>
      </c>
      <c r="V1812" s="30">
        <f>IF(AND($R1812="Não",$Q1812&lt;&gt;"",$Q1812&lt;=Hoje+JanelaRet,$Q1812&gt;=Hoje-60),MAX($V$4:$V1811)+1,"")</f>
        <v>0</v>
      </c>
    </row>
    <row r="1813" spans="1:22">
      <c r="A1813" s="16"/>
      <c r="B1813" s="23"/>
      <c r="C1813" s="15"/>
      <c r="D1813" s="15"/>
      <c r="E1813" s="15"/>
      <c r="F1813" s="24"/>
      <c r="G1813" s="17"/>
      <c r="H1813" s="17"/>
      <c r="I1813" s="15"/>
      <c r="J1813" s="25">
        <f>IF($D1813="","",IFERROR(INDEX(PacNome,MATCH($D1813,PacCod,0)),"Paciente não cadastrado"))</f>
        <v>0</v>
      </c>
      <c r="K1813" s="26">
        <f>IF($D1813="","",IFERROR(INDEX(PacConv,MATCH($D1813,PacCod,0))&amp;"",""))</f>
        <v>0</v>
      </c>
      <c r="L1813" s="26">
        <f>IF($A1813="","",CHOOSE(WEEKDAY($A1813,2),"Seg","Ter","Qua","Qui","Sex","Sáb","Dom"))</f>
        <v>0</v>
      </c>
      <c r="M1813" s="27">
        <f>IF($E1813="","",IF($G1813&lt;&gt;"",$G1813,IFERROR(INDEX(ProcValor,MATCH($E1813,ProcNome,0)),0)))</f>
        <v>0</v>
      </c>
      <c r="N1813" s="27">
        <f>IF($M1813="","",IF($F1813="Compareceu",$M1813,0))</f>
        <v>0</v>
      </c>
      <c r="O1813" s="27">
        <f>IF($M1813="","",IF($F1813="Faltou",$M1813,0))</f>
        <v>0</v>
      </c>
      <c r="P1813" s="27">
        <f>IF($M1813="","",IF($F1813="Compareceu",MAX(0,$M1813-N($H1813)),0))</f>
        <v>0</v>
      </c>
      <c r="Q1813" s="19">
        <f>IF(AND($F1813="Compareceu",$E1813&lt;&gt;"",$A1813&lt;&gt;""),IF(IFERROR(INDEX(ProcRet,MATCH($E1813,ProcNome,0)),0)&gt;0,$A1813+INDEX(ProcRet,MATCH($E1813,ProcNome,0)),""),"")</f>
        <v>0</v>
      </c>
      <c r="R1813" s="26">
        <f>IF($Q1813="","",IF(COUNTIFS(AgPac,$D1813,AgData,"&gt;"&amp;$A1813,AgStatus,"&lt;&gt;Cancelado",AgStatus,"&lt;&gt;Remarcado")&gt;0,"Sim","Não"))</f>
        <v>0</v>
      </c>
      <c r="S1813" s="28">
        <f>IF($A1813="","",IF(AND($F1813="Agendado",$A1813-Hoje&gt;=0,$A1813-Hoje&lt;=DiasConf),"CONFIRMAR",IF(AND($A1813&lt;Hoje,OR($F1813="Agendado",$F1813="Confirmado")),"Atualizar status",IF(AND($F1813="Compareceu",$P1813&gt;0.005),"Cobrar",IF($F1813="Faltou","Falta: reagendar","")))))</f>
        <v>0</v>
      </c>
      <c r="T1813" s="29">
        <f>IF($A1813="","",DATE(YEAR($A1813),MONTH($A1813),1))</f>
        <v>0</v>
      </c>
      <c r="U1813" s="30">
        <f>IF($S1813="CONFIRMAR",MAX($U$4:$U1812)+1,"")</f>
        <v>0</v>
      </c>
      <c r="V1813" s="30">
        <f>IF(AND($R1813="Não",$Q1813&lt;&gt;"",$Q1813&lt;=Hoje+JanelaRet,$Q1813&gt;=Hoje-60),MAX($V$4:$V1812)+1,"")</f>
        <v>0</v>
      </c>
    </row>
    <row r="1814" spans="1:22">
      <c r="A1814" s="16"/>
      <c r="B1814" s="23"/>
      <c r="C1814" s="15"/>
      <c r="D1814" s="15"/>
      <c r="E1814" s="15"/>
      <c r="F1814" s="24"/>
      <c r="G1814" s="17"/>
      <c r="H1814" s="17"/>
      <c r="I1814" s="15"/>
      <c r="J1814" s="25">
        <f>IF($D1814="","",IFERROR(INDEX(PacNome,MATCH($D1814,PacCod,0)),"Paciente não cadastrado"))</f>
        <v>0</v>
      </c>
      <c r="K1814" s="26">
        <f>IF($D1814="","",IFERROR(INDEX(PacConv,MATCH($D1814,PacCod,0))&amp;"",""))</f>
        <v>0</v>
      </c>
      <c r="L1814" s="26">
        <f>IF($A1814="","",CHOOSE(WEEKDAY($A1814,2),"Seg","Ter","Qua","Qui","Sex","Sáb","Dom"))</f>
        <v>0</v>
      </c>
      <c r="M1814" s="27">
        <f>IF($E1814="","",IF($G1814&lt;&gt;"",$G1814,IFERROR(INDEX(ProcValor,MATCH($E1814,ProcNome,0)),0)))</f>
        <v>0</v>
      </c>
      <c r="N1814" s="27">
        <f>IF($M1814="","",IF($F1814="Compareceu",$M1814,0))</f>
        <v>0</v>
      </c>
      <c r="O1814" s="27">
        <f>IF($M1814="","",IF($F1814="Faltou",$M1814,0))</f>
        <v>0</v>
      </c>
      <c r="P1814" s="27">
        <f>IF($M1814="","",IF($F1814="Compareceu",MAX(0,$M1814-N($H1814)),0))</f>
        <v>0</v>
      </c>
      <c r="Q1814" s="19">
        <f>IF(AND($F1814="Compareceu",$E1814&lt;&gt;"",$A1814&lt;&gt;""),IF(IFERROR(INDEX(ProcRet,MATCH($E1814,ProcNome,0)),0)&gt;0,$A1814+INDEX(ProcRet,MATCH($E1814,ProcNome,0)),""),"")</f>
        <v>0</v>
      </c>
      <c r="R1814" s="26">
        <f>IF($Q1814="","",IF(COUNTIFS(AgPac,$D1814,AgData,"&gt;"&amp;$A1814,AgStatus,"&lt;&gt;Cancelado",AgStatus,"&lt;&gt;Remarcado")&gt;0,"Sim","Não"))</f>
        <v>0</v>
      </c>
      <c r="S1814" s="28">
        <f>IF($A1814="","",IF(AND($F1814="Agendado",$A1814-Hoje&gt;=0,$A1814-Hoje&lt;=DiasConf),"CONFIRMAR",IF(AND($A1814&lt;Hoje,OR($F1814="Agendado",$F1814="Confirmado")),"Atualizar status",IF(AND($F1814="Compareceu",$P1814&gt;0.005),"Cobrar",IF($F1814="Faltou","Falta: reagendar","")))))</f>
        <v>0</v>
      </c>
      <c r="T1814" s="29">
        <f>IF($A1814="","",DATE(YEAR($A1814),MONTH($A1814),1))</f>
        <v>0</v>
      </c>
      <c r="U1814" s="30">
        <f>IF($S1814="CONFIRMAR",MAX($U$4:$U1813)+1,"")</f>
        <v>0</v>
      </c>
      <c r="V1814" s="30">
        <f>IF(AND($R1814="Não",$Q1814&lt;&gt;"",$Q1814&lt;=Hoje+JanelaRet,$Q1814&gt;=Hoje-60),MAX($V$4:$V1813)+1,"")</f>
        <v>0</v>
      </c>
    </row>
    <row r="1815" spans="1:22">
      <c r="A1815" s="16"/>
      <c r="B1815" s="23"/>
      <c r="C1815" s="15"/>
      <c r="D1815" s="15"/>
      <c r="E1815" s="15"/>
      <c r="F1815" s="24"/>
      <c r="G1815" s="17"/>
      <c r="H1815" s="17"/>
      <c r="I1815" s="15"/>
      <c r="J1815" s="25">
        <f>IF($D1815="","",IFERROR(INDEX(PacNome,MATCH($D1815,PacCod,0)),"Paciente não cadastrado"))</f>
        <v>0</v>
      </c>
      <c r="K1815" s="26">
        <f>IF($D1815="","",IFERROR(INDEX(PacConv,MATCH($D1815,PacCod,0))&amp;"",""))</f>
        <v>0</v>
      </c>
      <c r="L1815" s="26">
        <f>IF($A1815="","",CHOOSE(WEEKDAY($A1815,2),"Seg","Ter","Qua","Qui","Sex","Sáb","Dom"))</f>
        <v>0</v>
      </c>
      <c r="M1815" s="27">
        <f>IF($E1815="","",IF($G1815&lt;&gt;"",$G1815,IFERROR(INDEX(ProcValor,MATCH($E1815,ProcNome,0)),0)))</f>
        <v>0</v>
      </c>
      <c r="N1815" s="27">
        <f>IF($M1815="","",IF($F1815="Compareceu",$M1815,0))</f>
        <v>0</v>
      </c>
      <c r="O1815" s="27">
        <f>IF($M1815="","",IF($F1815="Faltou",$M1815,0))</f>
        <v>0</v>
      </c>
      <c r="P1815" s="27">
        <f>IF($M1815="","",IF($F1815="Compareceu",MAX(0,$M1815-N($H1815)),0))</f>
        <v>0</v>
      </c>
      <c r="Q1815" s="19">
        <f>IF(AND($F1815="Compareceu",$E1815&lt;&gt;"",$A1815&lt;&gt;""),IF(IFERROR(INDEX(ProcRet,MATCH($E1815,ProcNome,0)),0)&gt;0,$A1815+INDEX(ProcRet,MATCH($E1815,ProcNome,0)),""),"")</f>
        <v>0</v>
      </c>
      <c r="R1815" s="26">
        <f>IF($Q1815="","",IF(COUNTIFS(AgPac,$D1815,AgData,"&gt;"&amp;$A1815,AgStatus,"&lt;&gt;Cancelado",AgStatus,"&lt;&gt;Remarcado")&gt;0,"Sim","Não"))</f>
        <v>0</v>
      </c>
      <c r="S1815" s="28">
        <f>IF($A1815="","",IF(AND($F1815="Agendado",$A1815-Hoje&gt;=0,$A1815-Hoje&lt;=DiasConf),"CONFIRMAR",IF(AND($A1815&lt;Hoje,OR($F1815="Agendado",$F1815="Confirmado")),"Atualizar status",IF(AND($F1815="Compareceu",$P1815&gt;0.005),"Cobrar",IF($F1815="Faltou","Falta: reagendar","")))))</f>
        <v>0</v>
      </c>
      <c r="T1815" s="29">
        <f>IF($A1815="","",DATE(YEAR($A1815),MONTH($A1815),1))</f>
        <v>0</v>
      </c>
      <c r="U1815" s="30">
        <f>IF($S1815="CONFIRMAR",MAX($U$4:$U1814)+1,"")</f>
        <v>0</v>
      </c>
      <c r="V1815" s="30">
        <f>IF(AND($R1815="Não",$Q1815&lt;&gt;"",$Q1815&lt;=Hoje+JanelaRet,$Q1815&gt;=Hoje-60),MAX($V$4:$V1814)+1,"")</f>
        <v>0</v>
      </c>
    </row>
    <row r="1816" spans="1:22">
      <c r="A1816" s="16"/>
      <c r="B1816" s="23"/>
      <c r="C1816" s="15"/>
      <c r="D1816" s="15"/>
      <c r="E1816" s="15"/>
      <c r="F1816" s="24"/>
      <c r="G1816" s="17"/>
      <c r="H1816" s="17"/>
      <c r="I1816" s="15"/>
      <c r="J1816" s="25">
        <f>IF($D1816="","",IFERROR(INDEX(PacNome,MATCH($D1816,PacCod,0)),"Paciente não cadastrado"))</f>
        <v>0</v>
      </c>
      <c r="K1816" s="26">
        <f>IF($D1816="","",IFERROR(INDEX(PacConv,MATCH($D1816,PacCod,0))&amp;"",""))</f>
        <v>0</v>
      </c>
      <c r="L1816" s="26">
        <f>IF($A1816="","",CHOOSE(WEEKDAY($A1816,2),"Seg","Ter","Qua","Qui","Sex","Sáb","Dom"))</f>
        <v>0</v>
      </c>
      <c r="M1816" s="27">
        <f>IF($E1816="","",IF($G1816&lt;&gt;"",$G1816,IFERROR(INDEX(ProcValor,MATCH($E1816,ProcNome,0)),0)))</f>
        <v>0</v>
      </c>
      <c r="N1816" s="27">
        <f>IF($M1816="","",IF($F1816="Compareceu",$M1816,0))</f>
        <v>0</v>
      </c>
      <c r="O1816" s="27">
        <f>IF($M1816="","",IF($F1816="Faltou",$M1816,0))</f>
        <v>0</v>
      </c>
      <c r="P1816" s="27">
        <f>IF($M1816="","",IF($F1816="Compareceu",MAX(0,$M1816-N($H1816)),0))</f>
        <v>0</v>
      </c>
      <c r="Q1816" s="19">
        <f>IF(AND($F1816="Compareceu",$E1816&lt;&gt;"",$A1816&lt;&gt;""),IF(IFERROR(INDEX(ProcRet,MATCH($E1816,ProcNome,0)),0)&gt;0,$A1816+INDEX(ProcRet,MATCH($E1816,ProcNome,0)),""),"")</f>
        <v>0</v>
      </c>
      <c r="R1816" s="26">
        <f>IF($Q1816="","",IF(COUNTIFS(AgPac,$D1816,AgData,"&gt;"&amp;$A1816,AgStatus,"&lt;&gt;Cancelado",AgStatus,"&lt;&gt;Remarcado")&gt;0,"Sim","Não"))</f>
        <v>0</v>
      </c>
      <c r="S1816" s="28">
        <f>IF($A1816="","",IF(AND($F1816="Agendado",$A1816-Hoje&gt;=0,$A1816-Hoje&lt;=DiasConf),"CONFIRMAR",IF(AND($A1816&lt;Hoje,OR($F1816="Agendado",$F1816="Confirmado")),"Atualizar status",IF(AND($F1816="Compareceu",$P1816&gt;0.005),"Cobrar",IF($F1816="Faltou","Falta: reagendar","")))))</f>
        <v>0</v>
      </c>
      <c r="T1816" s="29">
        <f>IF($A1816="","",DATE(YEAR($A1816),MONTH($A1816),1))</f>
        <v>0</v>
      </c>
      <c r="U1816" s="30">
        <f>IF($S1816="CONFIRMAR",MAX($U$4:$U1815)+1,"")</f>
        <v>0</v>
      </c>
      <c r="V1816" s="30">
        <f>IF(AND($R1816="Não",$Q1816&lt;&gt;"",$Q1816&lt;=Hoje+JanelaRet,$Q1816&gt;=Hoje-60),MAX($V$4:$V1815)+1,"")</f>
        <v>0</v>
      </c>
    </row>
    <row r="1817" spans="1:22">
      <c r="A1817" s="16"/>
      <c r="B1817" s="23"/>
      <c r="C1817" s="15"/>
      <c r="D1817" s="15"/>
      <c r="E1817" s="15"/>
      <c r="F1817" s="24"/>
      <c r="G1817" s="17"/>
      <c r="H1817" s="17"/>
      <c r="I1817" s="15"/>
      <c r="J1817" s="25">
        <f>IF($D1817="","",IFERROR(INDEX(PacNome,MATCH($D1817,PacCod,0)),"Paciente não cadastrado"))</f>
        <v>0</v>
      </c>
      <c r="K1817" s="26">
        <f>IF($D1817="","",IFERROR(INDEX(PacConv,MATCH($D1817,PacCod,0))&amp;"",""))</f>
        <v>0</v>
      </c>
      <c r="L1817" s="26">
        <f>IF($A1817="","",CHOOSE(WEEKDAY($A1817,2),"Seg","Ter","Qua","Qui","Sex","Sáb","Dom"))</f>
        <v>0</v>
      </c>
      <c r="M1817" s="27">
        <f>IF($E1817="","",IF($G1817&lt;&gt;"",$G1817,IFERROR(INDEX(ProcValor,MATCH($E1817,ProcNome,0)),0)))</f>
        <v>0</v>
      </c>
      <c r="N1817" s="27">
        <f>IF($M1817="","",IF($F1817="Compareceu",$M1817,0))</f>
        <v>0</v>
      </c>
      <c r="O1817" s="27">
        <f>IF($M1817="","",IF($F1817="Faltou",$M1817,0))</f>
        <v>0</v>
      </c>
      <c r="P1817" s="27">
        <f>IF($M1817="","",IF($F1817="Compareceu",MAX(0,$M1817-N($H1817)),0))</f>
        <v>0</v>
      </c>
      <c r="Q1817" s="19">
        <f>IF(AND($F1817="Compareceu",$E1817&lt;&gt;"",$A1817&lt;&gt;""),IF(IFERROR(INDEX(ProcRet,MATCH($E1817,ProcNome,0)),0)&gt;0,$A1817+INDEX(ProcRet,MATCH($E1817,ProcNome,0)),""),"")</f>
        <v>0</v>
      </c>
      <c r="R1817" s="26">
        <f>IF($Q1817="","",IF(COUNTIFS(AgPac,$D1817,AgData,"&gt;"&amp;$A1817,AgStatus,"&lt;&gt;Cancelado",AgStatus,"&lt;&gt;Remarcado")&gt;0,"Sim","Não"))</f>
        <v>0</v>
      </c>
      <c r="S1817" s="28">
        <f>IF($A1817="","",IF(AND($F1817="Agendado",$A1817-Hoje&gt;=0,$A1817-Hoje&lt;=DiasConf),"CONFIRMAR",IF(AND($A1817&lt;Hoje,OR($F1817="Agendado",$F1817="Confirmado")),"Atualizar status",IF(AND($F1817="Compareceu",$P1817&gt;0.005),"Cobrar",IF($F1817="Faltou","Falta: reagendar","")))))</f>
        <v>0</v>
      </c>
      <c r="T1817" s="29">
        <f>IF($A1817="","",DATE(YEAR($A1817),MONTH($A1817),1))</f>
        <v>0</v>
      </c>
      <c r="U1817" s="30">
        <f>IF($S1817="CONFIRMAR",MAX($U$4:$U1816)+1,"")</f>
        <v>0</v>
      </c>
      <c r="V1817" s="30">
        <f>IF(AND($R1817="Não",$Q1817&lt;&gt;"",$Q1817&lt;=Hoje+JanelaRet,$Q1817&gt;=Hoje-60),MAX($V$4:$V1816)+1,"")</f>
        <v>0</v>
      </c>
    </row>
    <row r="1818" spans="1:22">
      <c r="A1818" s="16"/>
      <c r="B1818" s="23"/>
      <c r="C1818" s="15"/>
      <c r="D1818" s="15"/>
      <c r="E1818" s="15"/>
      <c r="F1818" s="24"/>
      <c r="G1818" s="17"/>
      <c r="H1818" s="17"/>
      <c r="I1818" s="15"/>
      <c r="J1818" s="25">
        <f>IF($D1818="","",IFERROR(INDEX(PacNome,MATCH($D1818,PacCod,0)),"Paciente não cadastrado"))</f>
        <v>0</v>
      </c>
      <c r="K1818" s="26">
        <f>IF($D1818="","",IFERROR(INDEX(PacConv,MATCH($D1818,PacCod,0))&amp;"",""))</f>
        <v>0</v>
      </c>
      <c r="L1818" s="26">
        <f>IF($A1818="","",CHOOSE(WEEKDAY($A1818,2),"Seg","Ter","Qua","Qui","Sex","Sáb","Dom"))</f>
        <v>0</v>
      </c>
      <c r="M1818" s="27">
        <f>IF($E1818="","",IF($G1818&lt;&gt;"",$G1818,IFERROR(INDEX(ProcValor,MATCH($E1818,ProcNome,0)),0)))</f>
        <v>0</v>
      </c>
      <c r="N1818" s="27">
        <f>IF($M1818="","",IF($F1818="Compareceu",$M1818,0))</f>
        <v>0</v>
      </c>
      <c r="O1818" s="27">
        <f>IF($M1818="","",IF($F1818="Faltou",$M1818,0))</f>
        <v>0</v>
      </c>
      <c r="P1818" s="27">
        <f>IF($M1818="","",IF($F1818="Compareceu",MAX(0,$M1818-N($H1818)),0))</f>
        <v>0</v>
      </c>
      <c r="Q1818" s="19">
        <f>IF(AND($F1818="Compareceu",$E1818&lt;&gt;"",$A1818&lt;&gt;""),IF(IFERROR(INDEX(ProcRet,MATCH($E1818,ProcNome,0)),0)&gt;0,$A1818+INDEX(ProcRet,MATCH($E1818,ProcNome,0)),""),"")</f>
        <v>0</v>
      </c>
      <c r="R1818" s="26">
        <f>IF($Q1818="","",IF(COUNTIFS(AgPac,$D1818,AgData,"&gt;"&amp;$A1818,AgStatus,"&lt;&gt;Cancelado",AgStatus,"&lt;&gt;Remarcado")&gt;0,"Sim","Não"))</f>
        <v>0</v>
      </c>
      <c r="S1818" s="28">
        <f>IF($A1818="","",IF(AND($F1818="Agendado",$A1818-Hoje&gt;=0,$A1818-Hoje&lt;=DiasConf),"CONFIRMAR",IF(AND($A1818&lt;Hoje,OR($F1818="Agendado",$F1818="Confirmado")),"Atualizar status",IF(AND($F1818="Compareceu",$P1818&gt;0.005),"Cobrar",IF($F1818="Faltou","Falta: reagendar","")))))</f>
        <v>0</v>
      </c>
      <c r="T1818" s="29">
        <f>IF($A1818="","",DATE(YEAR($A1818),MONTH($A1818),1))</f>
        <v>0</v>
      </c>
      <c r="U1818" s="30">
        <f>IF($S1818="CONFIRMAR",MAX($U$4:$U1817)+1,"")</f>
        <v>0</v>
      </c>
      <c r="V1818" s="30">
        <f>IF(AND($R1818="Não",$Q1818&lt;&gt;"",$Q1818&lt;=Hoje+JanelaRet,$Q1818&gt;=Hoje-60),MAX($V$4:$V1817)+1,"")</f>
        <v>0</v>
      </c>
    </row>
    <row r="1819" spans="1:22">
      <c r="A1819" s="16"/>
      <c r="B1819" s="23"/>
      <c r="C1819" s="15"/>
      <c r="D1819" s="15"/>
      <c r="E1819" s="15"/>
      <c r="F1819" s="24"/>
      <c r="G1819" s="17"/>
      <c r="H1819" s="17"/>
      <c r="I1819" s="15"/>
      <c r="J1819" s="25">
        <f>IF($D1819="","",IFERROR(INDEX(PacNome,MATCH($D1819,PacCod,0)),"Paciente não cadastrado"))</f>
        <v>0</v>
      </c>
      <c r="K1819" s="26">
        <f>IF($D1819="","",IFERROR(INDEX(PacConv,MATCH($D1819,PacCod,0))&amp;"",""))</f>
        <v>0</v>
      </c>
      <c r="L1819" s="26">
        <f>IF($A1819="","",CHOOSE(WEEKDAY($A1819,2),"Seg","Ter","Qua","Qui","Sex","Sáb","Dom"))</f>
        <v>0</v>
      </c>
      <c r="M1819" s="27">
        <f>IF($E1819="","",IF($G1819&lt;&gt;"",$G1819,IFERROR(INDEX(ProcValor,MATCH($E1819,ProcNome,0)),0)))</f>
        <v>0</v>
      </c>
      <c r="N1819" s="27">
        <f>IF($M1819="","",IF($F1819="Compareceu",$M1819,0))</f>
        <v>0</v>
      </c>
      <c r="O1819" s="27">
        <f>IF($M1819="","",IF($F1819="Faltou",$M1819,0))</f>
        <v>0</v>
      </c>
      <c r="P1819" s="27">
        <f>IF($M1819="","",IF($F1819="Compareceu",MAX(0,$M1819-N($H1819)),0))</f>
        <v>0</v>
      </c>
      <c r="Q1819" s="19">
        <f>IF(AND($F1819="Compareceu",$E1819&lt;&gt;"",$A1819&lt;&gt;""),IF(IFERROR(INDEX(ProcRet,MATCH($E1819,ProcNome,0)),0)&gt;0,$A1819+INDEX(ProcRet,MATCH($E1819,ProcNome,0)),""),"")</f>
        <v>0</v>
      </c>
      <c r="R1819" s="26">
        <f>IF($Q1819="","",IF(COUNTIFS(AgPac,$D1819,AgData,"&gt;"&amp;$A1819,AgStatus,"&lt;&gt;Cancelado",AgStatus,"&lt;&gt;Remarcado")&gt;0,"Sim","Não"))</f>
        <v>0</v>
      </c>
      <c r="S1819" s="28">
        <f>IF($A1819="","",IF(AND($F1819="Agendado",$A1819-Hoje&gt;=0,$A1819-Hoje&lt;=DiasConf),"CONFIRMAR",IF(AND($A1819&lt;Hoje,OR($F1819="Agendado",$F1819="Confirmado")),"Atualizar status",IF(AND($F1819="Compareceu",$P1819&gt;0.005),"Cobrar",IF($F1819="Faltou","Falta: reagendar","")))))</f>
        <v>0</v>
      </c>
      <c r="T1819" s="29">
        <f>IF($A1819="","",DATE(YEAR($A1819),MONTH($A1819),1))</f>
        <v>0</v>
      </c>
      <c r="U1819" s="30">
        <f>IF($S1819="CONFIRMAR",MAX($U$4:$U1818)+1,"")</f>
        <v>0</v>
      </c>
      <c r="V1819" s="30">
        <f>IF(AND($R1819="Não",$Q1819&lt;&gt;"",$Q1819&lt;=Hoje+JanelaRet,$Q1819&gt;=Hoje-60),MAX($V$4:$V1818)+1,"")</f>
        <v>0</v>
      </c>
    </row>
    <row r="1820" spans="1:22">
      <c r="A1820" s="16"/>
      <c r="B1820" s="23"/>
      <c r="C1820" s="15"/>
      <c r="D1820" s="15"/>
      <c r="E1820" s="15"/>
      <c r="F1820" s="24"/>
      <c r="G1820" s="17"/>
      <c r="H1820" s="17"/>
      <c r="I1820" s="15"/>
      <c r="J1820" s="25">
        <f>IF($D1820="","",IFERROR(INDEX(PacNome,MATCH($D1820,PacCod,0)),"Paciente não cadastrado"))</f>
        <v>0</v>
      </c>
      <c r="K1820" s="26">
        <f>IF($D1820="","",IFERROR(INDEX(PacConv,MATCH($D1820,PacCod,0))&amp;"",""))</f>
        <v>0</v>
      </c>
      <c r="L1820" s="26">
        <f>IF($A1820="","",CHOOSE(WEEKDAY($A1820,2),"Seg","Ter","Qua","Qui","Sex","Sáb","Dom"))</f>
        <v>0</v>
      </c>
      <c r="M1820" s="27">
        <f>IF($E1820="","",IF($G1820&lt;&gt;"",$G1820,IFERROR(INDEX(ProcValor,MATCH($E1820,ProcNome,0)),0)))</f>
        <v>0</v>
      </c>
      <c r="N1820" s="27">
        <f>IF($M1820="","",IF($F1820="Compareceu",$M1820,0))</f>
        <v>0</v>
      </c>
      <c r="O1820" s="27">
        <f>IF($M1820="","",IF($F1820="Faltou",$M1820,0))</f>
        <v>0</v>
      </c>
      <c r="P1820" s="27">
        <f>IF($M1820="","",IF($F1820="Compareceu",MAX(0,$M1820-N($H1820)),0))</f>
        <v>0</v>
      </c>
      <c r="Q1820" s="19">
        <f>IF(AND($F1820="Compareceu",$E1820&lt;&gt;"",$A1820&lt;&gt;""),IF(IFERROR(INDEX(ProcRet,MATCH($E1820,ProcNome,0)),0)&gt;0,$A1820+INDEX(ProcRet,MATCH($E1820,ProcNome,0)),""),"")</f>
        <v>0</v>
      </c>
      <c r="R1820" s="26">
        <f>IF($Q1820="","",IF(COUNTIFS(AgPac,$D1820,AgData,"&gt;"&amp;$A1820,AgStatus,"&lt;&gt;Cancelado",AgStatus,"&lt;&gt;Remarcado")&gt;0,"Sim","Não"))</f>
        <v>0</v>
      </c>
      <c r="S1820" s="28">
        <f>IF($A1820="","",IF(AND($F1820="Agendado",$A1820-Hoje&gt;=0,$A1820-Hoje&lt;=DiasConf),"CONFIRMAR",IF(AND($A1820&lt;Hoje,OR($F1820="Agendado",$F1820="Confirmado")),"Atualizar status",IF(AND($F1820="Compareceu",$P1820&gt;0.005),"Cobrar",IF($F1820="Faltou","Falta: reagendar","")))))</f>
        <v>0</v>
      </c>
      <c r="T1820" s="29">
        <f>IF($A1820="","",DATE(YEAR($A1820),MONTH($A1820),1))</f>
        <v>0</v>
      </c>
      <c r="U1820" s="30">
        <f>IF($S1820="CONFIRMAR",MAX($U$4:$U1819)+1,"")</f>
        <v>0</v>
      </c>
      <c r="V1820" s="30">
        <f>IF(AND($R1820="Não",$Q1820&lt;&gt;"",$Q1820&lt;=Hoje+JanelaRet,$Q1820&gt;=Hoje-60),MAX($V$4:$V1819)+1,"")</f>
        <v>0</v>
      </c>
    </row>
    <row r="1821" spans="1:22">
      <c r="A1821" s="16"/>
      <c r="B1821" s="23"/>
      <c r="C1821" s="15"/>
      <c r="D1821" s="15"/>
      <c r="E1821" s="15"/>
      <c r="F1821" s="24"/>
      <c r="G1821" s="17"/>
      <c r="H1821" s="17"/>
      <c r="I1821" s="15"/>
      <c r="J1821" s="25">
        <f>IF($D1821="","",IFERROR(INDEX(PacNome,MATCH($D1821,PacCod,0)),"Paciente não cadastrado"))</f>
        <v>0</v>
      </c>
      <c r="K1821" s="26">
        <f>IF($D1821="","",IFERROR(INDEX(PacConv,MATCH($D1821,PacCod,0))&amp;"",""))</f>
        <v>0</v>
      </c>
      <c r="L1821" s="26">
        <f>IF($A1821="","",CHOOSE(WEEKDAY($A1821,2),"Seg","Ter","Qua","Qui","Sex","Sáb","Dom"))</f>
        <v>0</v>
      </c>
      <c r="M1821" s="27">
        <f>IF($E1821="","",IF($G1821&lt;&gt;"",$G1821,IFERROR(INDEX(ProcValor,MATCH($E1821,ProcNome,0)),0)))</f>
        <v>0</v>
      </c>
      <c r="N1821" s="27">
        <f>IF($M1821="","",IF($F1821="Compareceu",$M1821,0))</f>
        <v>0</v>
      </c>
      <c r="O1821" s="27">
        <f>IF($M1821="","",IF($F1821="Faltou",$M1821,0))</f>
        <v>0</v>
      </c>
      <c r="P1821" s="27">
        <f>IF($M1821="","",IF($F1821="Compareceu",MAX(0,$M1821-N($H1821)),0))</f>
        <v>0</v>
      </c>
      <c r="Q1821" s="19">
        <f>IF(AND($F1821="Compareceu",$E1821&lt;&gt;"",$A1821&lt;&gt;""),IF(IFERROR(INDEX(ProcRet,MATCH($E1821,ProcNome,0)),0)&gt;0,$A1821+INDEX(ProcRet,MATCH($E1821,ProcNome,0)),""),"")</f>
        <v>0</v>
      </c>
      <c r="R1821" s="26">
        <f>IF($Q1821="","",IF(COUNTIFS(AgPac,$D1821,AgData,"&gt;"&amp;$A1821,AgStatus,"&lt;&gt;Cancelado",AgStatus,"&lt;&gt;Remarcado")&gt;0,"Sim","Não"))</f>
        <v>0</v>
      </c>
      <c r="S1821" s="28">
        <f>IF($A1821="","",IF(AND($F1821="Agendado",$A1821-Hoje&gt;=0,$A1821-Hoje&lt;=DiasConf),"CONFIRMAR",IF(AND($A1821&lt;Hoje,OR($F1821="Agendado",$F1821="Confirmado")),"Atualizar status",IF(AND($F1821="Compareceu",$P1821&gt;0.005),"Cobrar",IF($F1821="Faltou","Falta: reagendar","")))))</f>
        <v>0</v>
      </c>
      <c r="T1821" s="29">
        <f>IF($A1821="","",DATE(YEAR($A1821),MONTH($A1821),1))</f>
        <v>0</v>
      </c>
      <c r="U1821" s="30">
        <f>IF($S1821="CONFIRMAR",MAX($U$4:$U1820)+1,"")</f>
        <v>0</v>
      </c>
      <c r="V1821" s="30">
        <f>IF(AND($R1821="Não",$Q1821&lt;&gt;"",$Q1821&lt;=Hoje+JanelaRet,$Q1821&gt;=Hoje-60),MAX($V$4:$V1820)+1,"")</f>
        <v>0</v>
      </c>
    </row>
    <row r="1822" spans="1:22">
      <c r="A1822" s="16"/>
      <c r="B1822" s="23"/>
      <c r="C1822" s="15"/>
      <c r="D1822" s="15"/>
      <c r="E1822" s="15"/>
      <c r="F1822" s="24"/>
      <c r="G1822" s="17"/>
      <c r="H1822" s="17"/>
      <c r="I1822" s="15"/>
      <c r="J1822" s="25">
        <f>IF($D1822="","",IFERROR(INDEX(PacNome,MATCH($D1822,PacCod,0)),"Paciente não cadastrado"))</f>
        <v>0</v>
      </c>
      <c r="K1822" s="26">
        <f>IF($D1822="","",IFERROR(INDEX(PacConv,MATCH($D1822,PacCod,0))&amp;"",""))</f>
        <v>0</v>
      </c>
      <c r="L1822" s="26">
        <f>IF($A1822="","",CHOOSE(WEEKDAY($A1822,2),"Seg","Ter","Qua","Qui","Sex","Sáb","Dom"))</f>
        <v>0</v>
      </c>
      <c r="M1822" s="27">
        <f>IF($E1822="","",IF($G1822&lt;&gt;"",$G1822,IFERROR(INDEX(ProcValor,MATCH($E1822,ProcNome,0)),0)))</f>
        <v>0</v>
      </c>
      <c r="N1822" s="27">
        <f>IF($M1822="","",IF($F1822="Compareceu",$M1822,0))</f>
        <v>0</v>
      </c>
      <c r="O1822" s="27">
        <f>IF($M1822="","",IF($F1822="Faltou",$M1822,0))</f>
        <v>0</v>
      </c>
      <c r="P1822" s="27">
        <f>IF($M1822="","",IF($F1822="Compareceu",MAX(0,$M1822-N($H1822)),0))</f>
        <v>0</v>
      </c>
      <c r="Q1822" s="19">
        <f>IF(AND($F1822="Compareceu",$E1822&lt;&gt;"",$A1822&lt;&gt;""),IF(IFERROR(INDEX(ProcRet,MATCH($E1822,ProcNome,0)),0)&gt;0,$A1822+INDEX(ProcRet,MATCH($E1822,ProcNome,0)),""),"")</f>
        <v>0</v>
      </c>
      <c r="R1822" s="26">
        <f>IF($Q1822="","",IF(COUNTIFS(AgPac,$D1822,AgData,"&gt;"&amp;$A1822,AgStatus,"&lt;&gt;Cancelado",AgStatus,"&lt;&gt;Remarcado")&gt;0,"Sim","Não"))</f>
        <v>0</v>
      </c>
      <c r="S1822" s="28">
        <f>IF($A1822="","",IF(AND($F1822="Agendado",$A1822-Hoje&gt;=0,$A1822-Hoje&lt;=DiasConf),"CONFIRMAR",IF(AND($A1822&lt;Hoje,OR($F1822="Agendado",$F1822="Confirmado")),"Atualizar status",IF(AND($F1822="Compareceu",$P1822&gt;0.005),"Cobrar",IF($F1822="Faltou","Falta: reagendar","")))))</f>
        <v>0</v>
      </c>
      <c r="T1822" s="29">
        <f>IF($A1822="","",DATE(YEAR($A1822),MONTH($A1822),1))</f>
        <v>0</v>
      </c>
      <c r="U1822" s="30">
        <f>IF($S1822="CONFIRMAR",MAX($U$4:$U1821)+1,"")</f>
        <v>0</v>
      </c>
      <c r="V1822" s="30">
        <f>IF(AND($R1822="Não",$Q1822&lt;&gt;"",$Q1822&lt;=Hoje+JanelaRet,$Q1822&gt;=Hoje-60),MAX($V$4:$V1821)+1,"")</f>
        <v>0</v>
      </c>
    </row>
    <row r="1823" spans="1:22">
      <c r="A1823" s="16"/>
      <c r="B1823" s="23"/>
      <c r="C1823" s="15"/>
      <c r="D1823" s="15"/>
      <c r="E1823" s="15"/>
      <c r="F1823" s="24"/>
      <c r="G1823" s="17"/>
      <c r="H1823" s="17"/>
      <c r="I1823" s="15"/>
      <c r="J1823" s="25">
        <f>IF($D1823="","",IFERROR(INDEX(PacNome,MATCH($D1823,PacCod,0)),"Paciente não cadastrado"))</f>
        <v>0</v>
      </c>
      <c r="K1823" s="26">
        <f>IF($D1823="","",IFERROR(INDEX(PacConv,MATCH($D1823,PacCod,0))&amp;"",""))</f>
        <v>0</v>
      </c>
      <c r="L1823" s="26">
        <f>IF($A1823="","",CHOOSE(WEEKDAY($A1823,2),"Seg","Ter","Qua","Qui","Sex","Sáb","Dom"))</f>
        <v>0</v>
      </c>
      <c r="M1823" s="27">
        <f>IF($E1823="","",IF($G1823&lt;&gt;"",$G1823,IFERROR(INDEX(ProcValor,MATCH($E1823,ProcNome,0)),0)))</f>
        <v>0</v>
      </c>
      <c r="N1823" s="27">
        <f>IF($M1823="","",IF($F1823="Compareceu",$M1823,0))</f>
        <v>0</v>
      </c>
      <c r="O1823" s="27">
        <f>IF($M1823="","",IF($F1823="Faltou",$M1823,0))</f>
        <v>0</v>
      </c>
      <c r="P1823" s="27">
        <f>IF($M1823="","",IF($F1823="Compareceu",MAX(0,$M1823-N($H1823)),0))</f>
        <v>0</v>
      </c>
      <c r="Q1823" s="19">
        <f>IF(AND($F1823="Compareceu",$E1823&lt;&gt;"",$A1823&lt;&gt;""),IF(IFERROR(INDEX(ProcRet,MATCH($E1823,ProcNome,0)),0)&gt;0,$A1823+INDEX(ProcRet,MATCH($E1823,ProcNome,0)),""),"")</f>
        <v>0</v>
      </c>
      <c r="R1823" s="26">
        <f>IF($Q1823="","",IF(COUNTIFS(AgPac,$D1823,AgData,"&gt;"&amp;$A1823,AgStatus,"&lt;&gt;Cancelado",AgStatus,"&lt;&gt;Remarcado")&gt;0,"Sim","Não"))</f>
        <v>0</v>
      </c>
      <c r="S1823" s="28">
        <f>IF($A1823="","",IF(AND($F1823="Agendado",$A1823-Hoje&gt;=0,$A1823-Hoje&lt;=DiasConf),"CONFIRMAR",IF(AND($A1823&lt;Hoje,OR($F1823="Agendado",$F1823="Confirmado")),"Atualizar status",IF(AND($F1823="Compareceu",$P1823&gt;0.005),"Cobrar",IF($F1823="Faltou","Falta: reagendar","")))))</f>
        <v>0</v>
      </c>
      <c r="T1823" s="29">
        <f>IF($A1823="","",DATE(YEAR($A1823),MONTH($A1823),1))</f>
        <v>0</v>
      </c>
      <c r="U1823" s="30">
        <f>IF($S1823="CONFIRMAR",MAX($U$4:$U1822)+1,"")</f>
        <v>0</v>
      </c>
      <c r="V1823" s="30">
        <f>IF(AND($R1823="Não",$Q1823&lt;&gt;"",$Q1823&lt;=Hoje+JanelaRet,$Q1823&gt;=Hoje-60),MAX($V$4:$V1822)+1,"")</f>
        <v>0</v>
      </c>
    </row>
    <row r="1824" spans="1:22">
      <c r="A1824" s="16"/>
      <c r="B1824" s="23"/>
      <c r="C1824" s="15"/>
      <c r="D1824" s="15"/>
      <c r="E1824" s="15"/>
      <c r="F1824" s="24"/>
      <c r="G1824" s="17"/>
      <c r="H1824" s="17"/>
      <c r="I1824" s="15"/>
      <c r="J1824" s="25">
        <f>IF($D1824="","",IFERROR(INDEX(PacNome,MATCH($D1824,PacCod,0)),"Paciente não cadastrado"))</f>
        <v>0</v>
      </c>
      <c r="K1824" s="26">
        <f>IF($D1824="","",IFERROR(INDEX(PacConv,MATCH($D1824,PacCod,0))&amp;"",""))</f>
        <v>0</v>
      </c>
      <c r="L1824" s="26">
        <f>IF($A1824="","",CHOOSE(WEEKDAY($A1824,2),"Seg","Ter","Qua","Qui","Sex","Sáb","Dom"))</f>
        <v>0</v>
      </c>
      <c r="M1824" s="27">
        <f>IF($E1824="","",IF($G1824&lt;&gt;"",$G1824,IFERROR(INDEX(ProcValor,MATCH($E1824,ProcNome,0)),0)))</f>
        <v>0</v>
      </c>
      <c r="N1824" s="27">
        <f>IF($M1824="","",IF($F1824="Compareceu",$M1824,0))</f>
        <v>0</v>
      </c>
      <c r="O1824" s="27">
        <f>IF($M1824="","",IF($F1824="Faltou",$M1824,0))</f>
        <v>0</v>
      </c>
      <c r="P1824" s="27">
        <f>IF($M1824="","",IF($F1824="Compareceu",MAX(0,$M1824-N($H1824)),0))</f>
        <v>0</v>
      </c>
      <c r="Q1824" s="19">
        <f>IF(AND($F1824="Compareceu",$E1824&lt;&gt;"",$A1824&lt;&gt;""),IF(IFERROR(INDEX(ProcRet,MATCH($E1824,ProcNome,0)),0)&gt;0,$A1824+INDEX(ProcRet,MATCH($E1824,ProcNome,0)),""),"")</f>
        <v>0</v>
      </c>
      <c r="R1824" s="26">
        <f>IF($Q1824="","",IF(COUNTIFS(AgPac,$D1824,AgData,"&gt;"&amp;$A1824,AgStatus,"&lt;&gt;Cancelado",AgStatus,"&lt;&gt;Remarcado")&gt;0,"Sim","Não"))</f>
        <v>0</v>
      </c>
      <c r="S1824" s="28">
        <f>IF($A1824="","",IF(AND($F1824="Agendado",$A1824-Hoje&gt;=0,$A1824-Hoje&lt;=DiasConf),"CONFIRMAR",IF(AND($A1824&lt;Hoje,OR($F1824="Agendado",$F1824="Confirmado")),"Atualizar status",IF(AND($F1824="Compareceu",$P1824&gt;0.005),"Cobrar",IF($F1824="Faltou","Falta: reagendar","")))))</f>
        <v>0</v>
      </c>
      <c r="T1824" s="29">
        <f>IF($A1824="","",DATE(YEAR($A1824),MONTH($A1824),1))</f>
        <v>0</v>
      </c>
      <c r="U1824" s="30">
        <f>IF($S1824="CONFIRMAR",MAX($U$4:$U1823)+1,"")</f>
        <v>0</v>
      </c>
      <c r="V1824" s="30">
        <f>IF(AND($R1824="Não",$Q1824&lt;&gt;"",$Q1824&lt;=Hoje+JanelaRet,$Q1824&gt;=Hoje-60),MAX($V$4:$V1823)+1,"")</f>
        <v>0</v>
      </c>
    </row>
    <row r="1825" spans="1:22">
      <c r="A1825" s="16"/>
      <c r="B1825" s="23"/>
      <c r="C1825" s="15"/>
      <c r="D1825" s="15"/>
      <c r="E1825" s="15"/>
      <c r="F1825" s="24"/>
      <c r="G1825" s="17"/>
      <c r="H1825" s="17"/>
      <c r="I1825" s="15"/>
      <c r="J1825" s="25">
        <f>IF($D1825="","",IFERROR(INDEX(PacNome,MATCH($D1825,PacCod,0)),"Paciente não cadastrado"))</f>
        <v>0</v>
      </c>
      <c r="K1825" s="26">
        <f>IF($D1825="","",IFERROR(INDEX(PacConv,MATCH($D1825,PacCod,0))&amp;"",""))</f>
        <v>0</v>
      </c>
      <c r="L1825" s="26">
        <f>IF($A1825="","",CHOOSE(WEEKDAY($A1825,2),"Seg","Ter","Qua","Qui","Sex","Sáb","Dom"))</f>
        <v>0</v>
      </c>
      <c r="M1825" s="27">
        <f>IF($E1825="","",IF($G1825&lt;&gt;"",$G1825,IFERROR(INDEX(ProcValor,MATCH($E1825,ProcNome,0)),0)))</f>
        <v>0</v>
      </c>
      <c r="N1825" s="27">
        <f>IF($M1825="","",IF($F1825="Compareceu",$M1825,0))</f>
        <v>0</v>
      </c>
      <c r="O1825" s="27">
        <f>IF($M1825="","",IF($F1825="Faltou",$M1825,0))</f>
        <v>0</v>
      </c>
      <c r="P1825" s="27">
        <f>IF($M1825="","",IF($F1825="Compareceu",MAX(0,$M1825-N($H1825)),0))</f>
        <v>0</v>
      </c>
      <c r="Q1825" s="19">
        <f>IF(AND($F1825="Compareceu",$E1825&lt;&gt;"",$A1825&lt;&gt;""),IF(IFERROR(INDEX(ProcRet,MATCH($E1825,ProcNome,0)),0)&gt;0,$A1825+INDEX(ProcRet,MATCH($E1825,ProcNome,0)),""),"")</f>
        <v>0</v>
      </c>
      <c r="R1825" s="26">
        <f>IF($Q1825="","",IF(COUNTIFS(AgPac,$D1825,AgData,"&gt;"&amp;$A1825,AgStatus,"&lt;&gt;Cancelado",AgStatus,"&lt;&gt;Remarcado")&gt;0,"Sim","Não"))</f>
        <v>0</v>
      </c>
      <c r="S1825" s="28">
        <f>IF($A1825="","",IF(AND($F1825="Agendado",$A1825-Hoje&gt;=0,$A1825-Hoje&lt;=DiasConf),"CONFIRMAR",IF(AND($A1825&lt;Hoje,OR($F1825="Agendado",$F1825="Confirmado")),"Atualizar status",IF(AND($F1825="Compareceu",$P1825&gt;0.005),"Cobrar",IF($F1825="Faltou","Falta: reagendar","")))))</f>
        <v>0</v>
      </c>
      <c r="T1825" s="29">
        <f>IF($A1825="","",DATE(YEAR($A1825),MONTH($A1825),1))</f>
        <v>0</v>
      </c>
      <c r="U1825" s="30">
        <f>IF($S1825="CONFIRMAR",MAX($U$4:$U1824)+1,"")</f>
        <v>0</v>
      </c>
      <c r="V1825" s="30">
        <f>IF(AND($R1825="Não",$Q1825&lt;&gt;"",$Q1825&lt;=Hoje+JanelaRet,$Q1825&gt;=Hoje-60),MAX($V$4:$V1824)+1,"")</f>
        <v>0</v>
      </c>
    </row>
    <row r="1826" spans="1:22">
      <c r="A1826" s="16"/>
      <c r="B1826" s="23"/>
      <c r="C1826" s="15"/>
      <c r="D1826" s="15"/>
      <c r="E1826" s="15"/>
      <c r="F1826" s="24"/>
      <c r="G1826" s="17"/>
      <c r="H1826" s="17"/>
      <c r="I1826" s="15"/>
      <c r="J1826" s="25">
        <f>IF($D1826="","",IFERROR(INDEX(PacNome,MATCH($D1826,PacCod,0)),"Paciente não cadastrado"))</f>
        <v>0</v>
      </c>
      <c r="K1826" s="26">
        <f>IF($D1826="","",IFERROR(INDEX(PacConv,MATCH($D1826,PacCod,0))&amp;"",""))</f>
        <v>0</v>
      </c>
      <c r="L1826" s="26">
        <f>IF($A1826="","",CHOOSE(WEEKDAY($A1826,2),"Seg","Ter","Qua","Qui","Sex","Sáb","Dom"))</f>
        <v>0</v>
      </c>
      <c r="M1826" s="27">
        <f>IF($E1826="","",IF($G1826&lt;&gt;"",$G1826,IFERROR(INDEX(ProcValor,MATCH($E1826,ProcNome,0)),0)))</f>
        <v>0</v>
      </c>
      <c r="N1826" s="27">
        <f>IF($M1826="","",IF($F1826="Compareceu",$M1826,0))</f>
        <v>0</v>
      </c>
      <c r="O1826" s="27">
        <f>IF($M1826="","",IF($F1826="Faltou",$M1826,0))</f>
        <v>0</v>
      </c>
      <c r="P1826" s="27">
        <f>IF($M1826="","",IF($F1826="Compareceu",MAX(0,$M1826-N($H1826)),0))</f>
        <v>0</v>
      </c>
      <c r="Q1826" s="19">
        <f>IF(AND($F1826="Compareceu",$E1826&lt;&gt;"",$A1826&lt;&gt;""),IF(IFERROR(INDEX(ProcRet,MATCH($E1826,ProcNome,0)),0)&gt;0,$A1826+INDEX(ProcRet,MATCH($E1826,ProcNome,0)),""),"")</f>
        <v>0</v>
      </c>
      <c r="R1826" s="26">
        <f>IF($Q1826="","",IF(COUNTIFS(AgPac,$D1826,AgData,"&gt;"&amp;$A1826,AgStatus,"&lt;&gt;Cancelado",AgStatus,"&lt;&gt;Remarcado")&gt;0,"Sim","Não"))</f>
        <v>0</v>
      </c>
      <c r="S1826" s="28">
        <f>IF($A1826="","",IF(AND($F1826="Agendado",$A1826-Hoje&gt;=0,$A1826-Hoje&lt;=DiasConf),"CONFIRMAR",IF(AND($A1826&lt;Hoje,OR($F1826="Agendado",$F1826="Confirmado")),"Atualizar status",IF(AND($F1826="Compareceu",$P1826&gt;0.005),"Cobrar",IF($F1826="Faltou","Falta: reagendar","")))))</f>
        <v>0</v>
      </c>
      <c r="T1826" s="29">
        <f>IF($A1826="","",DATE(YEAR($A1826),MONTH($A1826),1))</f>
        <v>0</v>
      </c>
      <c r="U1826" s="30">
        <f>IF($S1826="CONFIRMAR",MAX($U$4:$U1825)+1,"")</f>
        <v>0</v>
      </c>
      <c r="V1826" s="30">
        <f>IF(AND($R1826="Não",$Q1826&lt;&gt;"",$Q1826&lt;=Hoje+JanelaRet,$Q1826&gt;=Hoje-60),MAX($V$4:$V1825)+1,"")</f>
        <v>0</v>
      </c>
    </row>
    <row r="1827" spans="1:22">
      <c r="A1827" s="16"/>
      <c r="B1827" s="23"/>
      <c r="C1827" s="15"/>
      <c r="D1827" s="15"/>
      <c r="E1827" s="15"/>
      <c r="F1827" s="24"/>
      <c r="G1827" s="17"/>
      <c r="H1827" s="17"/>
      <c r="I1827" s="15"/>
      <c r="J1827" s="25">
        <f>IF($D1827="","",IFERROR(INDEX(PacNome,MATCH($D1827,PacCod,0)),"Paciente não cadastrado"))</f>
        <v>0</v>
      </c>
      <c r="K1827" s="26">
        <f>IF($D1827="","",IFERROR(INDEX(PacConv,MATCH($D1827,PacCod,0))&amp;"",""))</f>
        <v>0</v>
      </c>
      <c r="L1827" s="26">
        <f>IF($A1827="","",CHOOSE(WEEKDAY($A1827,2),"Seg","Ter","Qua","Qui","Sex","Sáb","Dom"))</f>
        <v>0</v>
      </c>
      <c r="M1827" s="27">
        <f>IF($E1827="","",IF($G1827&lt;&gt;"",$G1827,IFERROR(INDEX(ProcValor,MATCH($E1827,ProcNome,0)),0)))</f>
        <v>0</v>
      </c>
      <c r="N1827" s="27">
        <f>IF($M1827="","",IF($F1827="Compareceu",$M1827,0))</f>
        <v>0</v>
      </c>
      <c r="O1827" s="27">
        <f>IF($M1827="","",IF($F1827="Faltou",$M1827,0))</f>
        <v>0</v>
      </c>
      <c r="P1827" s="27">
        <f>IF($M1827="","",IF($F1827="Compareceu",MAX(0,$M1827-N($H1827)),0))</f>
        <v>0</v>
      </c>
      <c r="Q1827" s="19">
        <f>IF(AND($F1827="Compareceu",$E1827&lt;&gt;"",$A1827&lt;&gt;""),IF(IFERROR(INDEX(ProcRet,MATCH($E1827,ProcNome,0)),0)&gt;0,$A1827+INDEX(ProcRet,MATCH($E1827,ProcNome,0)),""),"")</f>
        <v>0</v>
      </c>
      <c r="R1827" s="26">
        <f>IF($Q1827="","",IF(COUNTIFS(AgPac,$D1827,AgData,"&gt;"&amp;$A1827,AgStatus,"&lt;&gt;Cancelado",AgStatus,"&lt;&gt;Remarcado")&gt;0,"Sim","Não"))</f>
        <v>0</v>
      </c>
      <c r="S1827" s="28">
        <f>IF($A1827="","",IF(AND($F1827="Agendado",$A1827-Hoje&gt;=0,$A1827-Hoje&lt;=DiasConf),"CONFIRMAR",IF(AND($A1827&lt;Hoje,OR($F1827="Agendado",$F1827="Confirmado")),"Atualizar status",IF(AND($F1827="Compareceu",$P1827&gt;0.005),"Cobrar",IF($F1827="Faltou","Falta: reagendar","")))))</f>
        <v>0</v>
      </c>
      <c r="T1827" s="29">
        <f>IF($A1827="","",DATE(YEAR($A1827),MONTH($A1827),1))</f>
        <v>0</v>
      </c>
      <c r="U1827" s="30">
        <f>IF($S1827="CONFIRMAR",MAX($U$4:$U1826)+1,"")</f>
        <v>0</v>
      </c>
      <c r="V1827" s="30">
        <f>IF(AND($R1827="Não",$Q1827&lt;&gt;"",$Q1827&lt;=Hoje+JanelaRet,$Q1827&gt;=Hoje-60),MAX($V$4:$V1826)+1,"")</f>
        <v>0</v>
      </c>
    </row>
    <row r="1828" spans="1:22">
      <c r="A1828" s="16"/>
      <c r="B1828" s="23"/>
      <c r="C1828" s="15"/>
      <c r="D1828" s="15"/>
      <c r="E1828" s="15"/>
      <c r="F1828" s="24"/>
      <c r="G1828" s="17"/>
      <c r="H1828" s="17"/>
      <c r="I1828" s="15"/>
      <c r="J1828" s="25">
        <f>IF($D1828="","",IFERROR(INDEX(PacNome,MATCH($D1828,PacCod,0)),"Paciente não cadastrado"))</f>
        <v>0</v>
      </c>
      <c r="K1828" s="26">
        <f>IF($D1828="","",IFERROR(INDEX(PacConv,MATCH($D1828,PacCod,0))&amp;"",""))</f>
        <v>0</v>
      </c>
      <c r="L1828" s="26">
        <f>IF($A1828="","",CHOOSE(WEEKDAY($A1828,2),"Seg","Ter","Qua","Qui","Sex","Sáb","Dom"))</f>
        <v>0</v>
      </c>
      <c r="M1828" s="27">
        <f>IF($E1828="","",IF($G1828&lt;&gt;"",$G1828,IFERROR(INDEX(ProcValor,MATCH($E1828,ProcNome,0)),0)))</f>
        <v>0</v>
      </c>
      <c r="N1828" s="27">
        <f>IF($M1828="","",IF($F1828="Compareceu",$M1828,0))</f>
        <v>0</v>
      </c>
      <c r="O1828" s="27">
        <f>IF($M1828="","",IF($F1828="Faltou",$M1828,0))</f>
        <v>0</v>
      </c>
      <c r="P1828" s="27">
        <f>IF($M1828="","",IF($F1828="Compareceu",MAX(0,$M1828-N($H1828)),0))</f>
        <v>0</v>
      </c>
      <c r="Q1828" s="19">
        <f>IF(AND($F1828="Compareceu",$E1828&lt;&gt;"",$A1828&lt;&gt;""),IF(IFERROR(INDEX(ProcRet,MATCH($E1828,ProcNome,0)),0)&gt;0,$A1828+INDEX(ProcRet,MATCH($E1828,ProcNome,0)),""),"")</f>
        <v>0</v>
      </c>
      <c r="R1828" s="26">
        <f>IF($Q1828="","",IF(COUNTIFS(AgPac,$D1828,AgData,"&gt;"&amp;$A1828,AgStatus,"&lt;&gt;Cancelado",AgStatus,"&lt;&gt;Remarcado")&gt;0,"Sim","Não"))</f>
        <v>0</v>
      </c>
      <c r="S1828" s="28">
        <f>IF($A1828="","",IF(AND($F1828="Agendado",$A1828-Hoje&gt;=0,$A1828-Hoje&lt;=DiasConf),"CONFIRMAR",IF(AND($A1828&lt;Hoje,OR($F1828="Agendado",$F1828="Confirmado")),"Atualizar status",IF(AND($F1828="Compareceu",$P1828&gt;0.005),"Cobrar",IF($F1828="Faltou","Falta: reagendar","")))))</f>
        <v>0</v>
      </c>
      <c r="T1828" s="29">
        <f>IF($A1828="","",DATE(YEAR($A1828),MONTH($A1828),1))</f>
        <v>0</v>
      </c>
      <c r="U1828" s="30">
        <f>IF($S1828="CONFIRMAR",MAX($U$4:$U1827)+1,"")</f>
        <v>0</v>
      </c>
      <c r="V1828" s="30">
        <f>IF(AND($R1828="Não",$Q1828&lt;&gt;"",$Q1828&lt;=Hoje+JanelaRet,$Q1828&gt;=Hoje-60),MAX($V$4:$V1827)+1,"")</f>
        <v>0</v>
      </c>
    </row>
    <row r="1829" spans="1:22">
      <c r="A1829" s="16"/>
      <c r="B1829" s="23"/>
      <c r="C1829" s="15"/>
      <c r="D1829" s="15"/>
      <c r="E1829" s="15"/>
      <c r="F1829" s="24"/>
      <c r="G1829" s="17"/>
      <c r="H1829" s="17"/>
      <c r="I1829" s="15"/>
      <c r="J1829" s="25">
        <f>IF($D1829="","",IFERROR(INDEX(PacNome,MATCH($D1829,PacCod,0)),"Paciente não cadastrado"))</f>
        <v>0</v>
      </c>
      <c r="K1829" s="26">
        <f>IF($D1829="","",IFERROR(INDEX(PacConv,MATCH($D1829,PacCod,0))&amp;"",""))</f>
        <v>0</v>
      </c>
      <c r="L1829" s="26">
        <f>IF($A1829="","",CHOOSE(WEEKDAY($A1829,2),"Seg","Ter","Qua","Qui","Sex","Sáb","Dom"))</f>
        <v>0</v>
      </c>
      <c r="M1829" s="27">
        <f>IF($E1829="","",IF($G1829&lt;&gt;"",$G1829,IFERROR(INDEX(ProcValor,MATCH($E1829,ProcNome,0)),0)))</f>
        <v>0</v>
      </c>
      <c r="N1829" s="27">
        <f>IF($M1829="","",IF($F1829="Compareceu",$M1829,0))</f>
        <v>0</v>
      </c>
      <c r="O1829" s="27">
        <f>IF($M1829="","",IF($F1829="Faltou",$M1829,0))</f>
        <v>0</v>
      </c>
      <c r="P1829" s="27">
        <f>IF($M1829="","",IF($F1829="Compareceu",MAX(0,$M1829-N($H1829)),0))</f>
        <v>0</v>
      </c>
      <c r="Q1829" s="19">
        <f>IF(AND($F1829="Compareceu",$E1829&lt;&gt;"",$A1829&lt;&gt;""),IF(IFERROR(INDEX(ProcRet,MATCH($E1829,ProcNome,0)),0)&gt;0,$A1829+INDEX(ProcRet,MATCH($E1829,ProcNome,0)),""),"")</f>
        <v>0</v>
      </c>
      <c r="R1829" s="26">
        <f>IF($Q1829="","",IF(COUNTIFS(AgPac,$D1829,AgData,"&gt;"&amp;$A1829,AgStatus,"&lt;&gt;Cancelado",AgStatus,"&lt;&gt;Remarcado")&gt;0,"Sim","Não"))</f>
        <v>0</v>
      </c>
      <c r="S1829" s="28">
        <f>IF($A1829="","",IF(AND($F1829="Agendado",$A1829-Hoje&gt;=0,$A1829-Hoje&lt;=DiasConf),"CONFIRMAR",IF(AND($A1829&lt;Hoje,OR($F1829="Agendado",$F1829="Confirmado")),"Atualizar status",IF(AND($F1829="Compareceu",$P1829&gt;0.005),"Cobrar",IF($F1829="Faltou","Falta: reagendar","")))))</f>
        <v>0</v>
      </c>
      <c r="T1829" s="29">
        <f>IF($A1829="","",DATE(YEAR($A1829),MONTH($A1829),1))</f>
        <v>0</v>
      </c>
      <c r="U1829" s="30">
        <f>IF($S1829="CONFIRMAR",MAX($U$4:$U1828)+1,"")</f>
        <v>0</v>
      </c>
      <c r="V1829" s="30">
        <f>IF(AND($R1829="Não",$Q1829&lt;&gt;"",$Q1829&lt;=Hoje+JanelaRet,$Q1829&gt;=Hoje-60),MAX($V$4:$V1828)+1,"")</f>
        <v>0</v>
      </c>
    </row>
    <row r="1830" spans="1:22">
      <c r="A1830" s="16"/>
      <c r="B1830" s="23"/>
      <c r="C1830" s="15"/>
      <c r="D1830" s="15"/>
      <c r="E1830" s="15"/>
      <c r="F1830" s="24"/>
      <c r="G1830" s="17"/>
      <c r="H1830" s="17"/>
      <c r="I1830" s="15"/>
      <c r="J1830" s="25">
        <f>IF($D1830="","",IFERROR(INDEX(PacNome,MATCH($D1830,PacCod,0)),"Paciente não cadastrado"))</f>
        <v>0</v>
      </c>
      <c r="K1830" s="26">
        <f>IF($D1830="","",IFERROR(INDEX(PacConv,MATCH($D1830,PacCod,0))&amp;"",""))</f>
        <v>0</v>
      </c>
      <c r="L1830" s="26">
        <f>IF($A1830="","",CHOOSE(WEEKDAY($A1830,2),"Seg","Ter","Qua","Qui","Sex","Sáb","Dom"))</f>
        <v>0</v>
      </c>
      <c r="M1830" s="27">
        <f>IF($E1830="","",IF($G1830&lt;&gt;"",$G1830,IFERROR(INDEX(ProcValor,MATCH($E1830,ProcNome,0)),0)))</f>
        <v>0</v>
      </c>
      <c r="N1830" s="27">
        <f>IF($M1830="","",IF($F1830="Compareceu",$M1830,0))</f>
        <v>0</v>
      </c>
      <c r="O1830" s="27">
        <f>IF($M1830="","",IF($F1830="Faltou",$M1830,0))</f>
        <v>0</v>
      </c>
      <c r="P1830" s="27">
        <f>IF($M1830="","",IF($F1830="Compareceu",MAX(0,$M1830-N($H1830)),0))</f>
        <v>0</v>
      </c>
      <c r="Q1830" s="19">
        <f>IF(AND($F1830="Compareceu",$E1830&lt;&gt;"",$A1830&lt;&gt;""),IF(IFERROR(INDEX(ProcRet,MATCH($E1830,ProcNome,0)),0)&gt;0,$A1830+INDEX(ProcRet,MATCH($E1830,ProcNome,0)),""),"")</f>
        <v>0</v>
      </c>
      <c r="R1830" s="26">
        <f>IF($Q1830="","",IF(COUNTIFS(AgPac,$D1830,AgData,"&gt;"&amp;$A1830,AgStatus,"&lt;&gt;Cancelado",AgStatus,"&lt;&gt;Remarcado")&gt;0,"Sim","Não"))</f>
        <v>0</v>
      </c>
      <c r="S1830" s="28">
        <f>IF($A1830="","",IF(AND($F1830="Agendado",$A1830-Hoje&gt;=0,$A1830-Hoje&lt;=DiasConf),"CONFIRMAR",IF(AND($A1830&lt;Hoje,OR($F1830="Agendado",$F1830="Confirmado")),"Atualizar status",IF(AND($F1830="Compareceu",$P1830&gt;0.005),"Cobrar",IF($F1830="Faltou","Falta: reagendar","")))))</f>
        <v>0</v>
      </c>
      <c r="T1830" s="29">
        <f>IF($A1830="","",DATE(YEAR($A1830),MONTH($A1830),1))</f>
        <v>0</v>
      </c>
      <c r="U1830" s="30">
        <f>IF($S1830="CONFIRMAR",MAX($U$4:$U1829)+1,"")</f>
        <v>0</v>
      </c>
      <c r="V1830" s="30">
        <f>IF(AND($R1830="Não",$Q1830&lt;&gt;"",$Q1830&lt;=Hoje+JanelaRet,$Q1830&gt;=Hoje-60),MAX($V$4:$V1829)+1,"")</f>
        <v>0</v>
      </c>
    </row>
    <row r="1831" spans="1:22">
      <c r="A1831" s="16"/>
      <c r="B1831" s="23"/>
      <c r="C1831" s="15"/>
      <c r="D1831" s="15"/>
      <c r="E1831" s="15"/>
      <c r="F1831" s="24"/>
      <c r="G1831" s="17"/>
      <c r="H1831" s="17"/>
      <c r="I1831" s="15"/>
      <c r="J1831" s="25">
        <f>IF($D1831="","",IFERROR(INDEX(PacNome,MATCH($D1831,PacCod,0)),"Paciente não cadastrado"))</f>
        <v>0</v>
      </c>
      <c r="K1831" s="26">
        <f>IF($D1831="","",IFERROR(INDEX(PacConv,MATCH($D1831,PacCod,0))&amp;"",""))</f>
        <v>0</v>
      </c>
      <c r="L1831" s="26">
        <f>IF($A1831="","",CHOOSE(WEEKDAY($A1831,2),"Seg","Ter","Qua","Qui","Sex","Sáb","Dom"))</f>
        <v>0</v>
      </c>
      <c r="M1831" s="27">
        <f>IF($E1831="","",IF($G1831&lt;&gt;"",$G1831,IFERROR(INDEX(ProcValor,MATCH($E1831,ProcNome,0)),0)))</f>
        <v>0</v>
      </c>
      <c r="N1831" s="27">
        <f>IF($M1831="","",IF($F1831="Compareceu",$M1831,0))</f>
        <v>0</v>
      </c>
      <c r="O1831" s="27">
        <f>IF($M1831="","",IF($F1831="Faltou",$M1831,0))</f>
        <v>0</v>
      </c>
      <c r="P1831" s="27">
        <f>IF($M1831="","",IF($F1831="Compareceu",MAX(0,$M1831-N($H1831)),0))</f>
        <v>0</v>
      </c>
      <c r="Q1831" s="19">
        <f>IF(AND($F1831="Compareceu",$E1831&lt;&gt;"",$A1831&lt;&gt;""),IF(IFERROR(INDEX(ProcRet,MATCH($E1831,ProcNome,0)),0)&gt;0,$A1831+INDEX(ProcRet,MATCH($E1831,ProcNome,0)),""),"")</f>
        <v>0</v>
      </c>
      <c r="R1831" s="26">
        <f>IF($Q1831="","",IF(COUNTIFS(AgPac,$D1831,AgData,"&gt;"&amp;$A1831,AgStatus,"&lt;&gt;Cancelado",AgStatus,"&lt;&gt;Remarcado")&gt;0,"Sim","Não"))</f>
        <v>0</v>
      </c>
      <c r="S1831" s="28">
        <f>IF($A1831="","",IF(AND($F1831="Agendado",$A1831-Hoje&gt;=0,$A1831-Hoje&lt;=DiasConf),"CONFIRMAR",IF(AND($A1831&lt;Hoje,OR($F1831="Agendado",$F1831="Confirmado")),"Atualizar status",IF(AND($F1831="Compareceu",$P1831&gt;0.005),"Cobrar",IF($F1831="Faltou","Falta: reagendar","")))))</f>
        <v>0</v>
      </c>
      <c r="T1831" s="29">
        <f>IF($A1831="","",DATE(YEAR($A1831),MONTH($A1831),1))</f>
        <v>0</v>
      </c>
      <c r="U1831" s="30">
        <f>IF($S1831="CONFIRMAR",MAX($U$4:$U1830)+1,"")</f>
        <v>0</v>
      </c>
      <c r="V1831" s="30">
        <f>IF(AND($R1831="Não",$Q1831&lt;&gt;"",$Q1831&lt;=Hoje+JanelaRet,$Q1831&gt;=Hoje-60),MAX($V$4:$V1830)+1,"")</f>
        <v>0</v>
      </c>
    </row>
    <row r="1832" spans="1:22">
      <c r="A1832" s="16"/>
      <c r="B1832" s="23"/>
      <c r="C1832" s="15"/>
      <c r="D1832" s="15"/>
      <c r="E1832" s="15"/>
      <c r="F1832" s="24"/>
      <c r="G1832" s="17"/>
      <c r="H1832" s="17"/>
      <c r="I1832" s="15"/>
      <c r="J1832" s="25">
        <f>IF($D1832="","",IFERROR(INDEX(PacNome,MATCH($D1832,PacCod,0)),"Paciente não cadastrado"))</f>
        <v>0</v>
      </c>
      <c r="K1832" s="26">
        <f>IF($D1832="","",IFERROR(INDEX(PacConv,MATCH($D1832,PacCod,0))&amp;"",""))</f>
        <v>0</v>
      </c>
      <c r="L1832" s="26">
        <f>IF($A1832="","",CHOOSE(WEEKDAY($A1832,2),"Seg","Ter","Qua","Qui","Sex","Sáb","Dom"))</f>
        <v>0</v>
      </c>
      <c r="M1832" s="27">
        <f>IF($E1832="","",IF($G1832&lt;&gt;"",$G1832,IFERROR(INDEX(ProcValor,MATCH($E1832,ProcNome,0)),0)))</f>
        <v>0</v>
      </c>
      <c r="N1832" s="27">
        <f>IF($M1832="","",IF($F1832="Compareceu",$M1832,0))</f>
        <v>0</v>
      </c>
      <c r="O1832" s="27">
        <f>IF($M1832="","",IF($F1832="Faltou",$M1832,0))</f>
        <v>0</v>
      </c>
      <c r="P1832" s="27">
        <f>IF($M1832="","",IF($F1832="Compareceu",MAX(0,$M1832-N($H1832)),0))</f>
        <v>0</v>
      </c>
      <c r="Q1832" s="19">
        <f>IF(AND($F1832="Compareceu",$E1832&lt;&gt;"",$A1832&lt;&gt;""),IF(IFERROR(INDEX(ProcRet,MATCH($E1832,ProcNome,0)),0)&gt;0,$A1832+INDEX(ProcRet,MATCH($E1832,ProcNome,0)),""),"")</f>
        <v>0</v>
      </c>
      <c r="R1832" s="26">
        <f>IF($Q1832="","",IF(COUNTIFS(AgPac,$D1832,AgData,"&gt;"&amp;$A1832,AgStatus,"&lt;&gt;Cancelado",AgStatus,"&lt;&gt;Remarcado")&gt;0,"Sim","Não"))</f>
        <v>0</v>
      </c>
      <c r="S1832" s="28">
        <f>IF($A1832="","",IF(AND($F1832="Agendado",$A1832-Hoje&gt;=0,$A1832-Hoje&lt;=DiasConf),"CONFIRMAR",IF(AND($A1832&lt;Hoje,OR($F1832="Agendado",$F1832="Confirmado")),"Atualizar status",IF(AND($F1832="Compareceu",$P1832&gt;0.005),"Cobrar",IF($F1832="Faltou","Falta: reagendar","")))))</f>
        <v>0</v>
      </c>
      <c r="T1832" s="29">
        <f>IF($A1832="","",DATE(YEAR($A1832),MONTH($A1832),1))</f>
        <v>0</v>
      </c>
      <c r="U1832" s="30">
        <f>IF($S1832="CONFIRMAR",MAX($U$4:$U1831)+1,"")</f>
        <v>0</v>
      </c>
      <c r="V1832" s="30">
        <f>IF(AND($R1832="Não",$Q1832&lt;&gt;"",$Q1832&lt;=Hoje+JanelaRet,$Q1832&gt;=Hoje-60),MAX($V$4:$V1831)+1,"")</f>
        <v>0</v>
      </c>
    </row>
    <row r="1833" spans="1:22">
      <c r="A1833" s="16"/>
      <c r="B1833" s="23"/>
      <c r="C1833" s="15"/>
      <c r="D1833" s="15"/>
      <c r="E1833" s="15"/>
      <c r="F1833" s="24"/>
      <c r="G1833" s="17"/>
      <c r="H1833" s="17"/>
      <c r="I1833" s="15"/>
      <c r="J1833" s="25">
        <f>IF($D1833="","",IFERROR(INDEX(PacNome,MATCH($D1833,PacCod,0)),"Paciente não cadastrado"))</f>
        <v>0</v>
      </c>
      <c r="K1833" s="26">
        <f>IF($D1833="","",IFERROR(INDEX(PacConv,MATCH($D1833,PacCod,0))&amp;"",""))</f>
        <v>0</v>
      </c>
      <c r="L1833" s="26">
        <f>IF($A1833="","",CHOOSE(WEEKDAY($A1833,2),"Seg","Ter","Qua","Qui","Sex","Sáb","Dom"))</f>
        <v>0</v>
      </c>
      <c r="M1833" s="27">
        <f>IF($E1833="","",IF($G1833&lt;&gt;"",$G1833,IFERROR(INDEX(ProcValor,MATCH($E1833,ProcNome,0)),0)))</f>
        <v>0</v>
      </c>
      <c r="N1833" s="27">
        <f>IF($M1833="","",IF($F1833="Compareceu",$M1833,0))</f>
        <v>0</v>
      </c>
      <c r="O1833" s="27">
        <f>IF($M1833="","",IF($F1833="Faltou",$M1833,0))</f>
        <v>0</v>
      </c>
      <c r="P1833" s="27">
        <f>IF($M1833="","",IF($F1833="Compareceu",MAX(0,$M1833-N($H1833)),0))</f>
        <v>0</v>
      </c>
      <c r="Q1833" s="19">
        <f>IF(AND($F1833="Compareceu",$E1833&lt;&gt;"",$A1833&lt;&gt;""),IF(IFERROR(INDEX(ProcRet,MATCH($E1833,ProcNome,0)),0)&gt;0,$A1833+INDEX(ProcRet,MATCH($E1833,ProcNome,0)),""),"")</f>
        <v>0</v>
      </c>
      <c r="R1833" s="26">
        <f>IF($Q1833="","",IF(COUNTIFS(AgPac,$D1833,AgData,"&gt;"&amp;$A1833,AgStatus,"&lt;&gt;Cancelado",AgStatus,"&lt;&gt;Remarcado")&gt;0,"Sim","Não"))</f>
        <v>0</v>
      </c>
      <c r="S1833" s="28">
        <f>IF($A1833="","",IF(AND($F1833="Agendado",$A1833-Hoje&gt;=0,$A1833-Hoje&lt;=DiasConf),"CONFIRMAR",IF(AND($A1833&lt;Hoje,OR($F1833="Agendado",$F1833="Confirmado")),"Atualizar status",IF(AND($F1833="Compareceu",$P1833&gt;0.005),"Cobrar",IF($F1833="Faltou","Falta: reagendar","")))))</f>
        <v>0</v>
      </c>
      <c r="T1833" s="29">
        <f>IF($A1833="","",DATE(YEAR($A1833),MONTH($A1833),1))</f>
        <v>0</v>
      </c>
      <c r="U1833" s="30">
        <f>IF($S1833="CONFIRMAR",MAX($U$4:$U1832)+1,"")</f>
        <v>0</v>
      </c>
      <c r="V1833" s="30">
        <f>IF(AND($R1833="Não",$Q1833&lt;&gt;"",$Q1833&lt;=Hoje+JanelaRet,$Q1833&gt;=Hoje-60),MAX($V$4:$V1832)+1,"")</f>
        <v>0</v>
      </c>
    </row>
    <row r="1834" spans="1:22">
      <c r="A1834" s="16"/>
      <c r="B1834" s="23"/>
      <c r="C1834" s="15"/>
      <c r="D1834" s="15"/>
      <c r="E1834" s="15"/>
      <c r="F1834" s="24"/>
      <c r="G1834" s="17"/>
      <c r="H1834" s="17"/>
      <c r="I1834" s="15"/>
      <c r="J1834" s="25">
        <f>IF($D1834="","",IFERROR(INDEX(PacNome,MATCH($D1834,PacCod,0)),"Paciente não cadastrado"))</f>
        <v>0</v>
      </c>
      <c r="K1834" s="26">
        <f>IF($D1834="","",IFERROR(INDEX(PacConv,MATCH($D1834,PacCod,0))&amp;"",""))</f>
        <v>0</v>
      </c>
      <c r="L1834" s="26">
        <f>IF($A1834="","",CHOOSE(WEEKDAY($A1834,2),"Seg","Ter","Qua","Qui","Sex","Sáb","Dom"))</f>
        <v>0</v>
      </c>
      <c r="M1834" s="27">
        <f>IF($E1834="","",IF($G1834&lt;&gt;"",$G1834,IFERROR(INDEX(ProcValor,MATCH($E1834,ProcNome,0)),0)))</f>
        <v>0</v>
      </c>
      <c r="N1834" s="27">
        <f>IF($M1834="","",IF($F1834="Compareceu",$M1834,0))</f>
        <v>0</v>
      </c>
      <c r="O1834" s="27">
        <f>IF($M1834="","",IF($F1834="Faltou",$M1834,0))</f>
        <v>0</v>
      </c>
      <c r="P1834" s="27">
        <f>IF($M1834="","",IF($F1834="Compareceu",MAX(0,$M1834-N($H1834)),0))</f>
        <v>0</v>
      </c>
      <c r="Q1834" s="19">
        <f>IF(AND($F1834="Compareceu",$E1834&lt;&gt;"",$A1834&lt;&gt;""),IF(IFERROR(INDEX(ProcRet,MATCH($E1834,ProcNome,0)),0)&gt;0,$A1834+INDEX(ProcRet,MATCH($E1834,ProcNome,0)),""),"")</f>
        <v>0</v>
      </c>
      <c r="R1834" s="26">
        <f>IF($Q1834="","",IF(COUNTIFS(AgPac,$D1834,AgData,"&gt;"&amp;$A1834,AgStatus,"&lt;&gt;Cancelado",AgStatus,"&lt;&gt;Remarcado")&gt;0,"Sim","Não"))</f>
        <v>0</v>
      </c>
      <c r="S1834" s="28">
        <f>IF($A1834="","",IF(AND($F1834="Agendado",$A1834-Hoje&gt;=0,$A1834-Hoje&lt;=DiasConf),"CONFIRMAR",IF(AND($A1834&lt;Hoje,OR($F1834="Agendado",$F1834="Confirmado")),"Atualizar status",IF(AND($F1834="Compareceu",$P1834&gt;0.005),"Cobrar",IF($F1834="Faltou","Falta: reagendar","")))))</f>
        <v>0</v>
      </c>
      <c r="T1834" s="29">
        <f>IF($A1834="","",DATE(YEAR($A1834),MONTH($A1834),1))</f>
        <v>0</v>
      </c>
      <c r="U1834" s="30">
        <f>IF($S1834="CONFIRMAR",MAX($U$4:$U1833)+1,"")</f>
        <v>0</v>
      </c>
      <c r="V1834" s="30">
        <f>IF(AND($R1834="Não",$Q1834&lt;&gt;"",$Q1834&lt;=Hoje+JanelaRet,$Q1834&gt;=Hoje-60),MAX($V$4:$V1833)+1,"")</f>
        <v>0</v>
      </c>
    </row>
    <row r="1835" spans="1:22">
      <c r="A1835" s="16"/>
      <c r="B1835" s="23"/>
      <c r="C1835" s="15"/>
      <c r="D1835" s="15"/>
      <c r="E1835" s="15"/>
      <c r="F1835" s="24"/>
      <c r="G1835" s="17"/>
      <c r="H1835" s="17"/>
      <c r="I1835" s="15"/>
      <c r="J1835" s="25">
        <f>IF($D1835="","",IFERROR(INDEX(PacNome,MATCH($D1835,PacCod,0)),"Paciente não cadastrado"))</f>
        <v>0</v>
      </c>
      <c r="K1835" s="26">
        <f>IF($D1835="","",IFERROR(INDEX(PacConv,MATCH($D1835,PacCod,0))&amp;"",""))</f>
        <v>0</v>
      </c>
      <c r="L1835" s="26">
        <f>IF($A1835="","",CHOOSE(WEEKDAY($A1835,2),"Seg","Ter","Qua","Qui","Sex","Sáb","Dom"))</f>
        <v>0</v>
      </c>
      <c r="M1835" s="27">
        <f>IF($E1835="","",IF($G1835&lt;&gt;"",$G1835,IFERROR(INDEX(ProcValor,MATCH($E1835,ProcNome,0)),0)))</f>
        <v>0</v>
      </c>
      <c r="N1835" s="27">
        <f>IF($M1835="","",IF($F1835="Compareceu",$M1835,0))</f>
        <v>0</v>
      </c>
      <c r="O1835" s="27">
        <f>IF($M1835="","",IF($F1835="Faltou",$M1835,0))</f>
        <v>0</v>
      </c>
      <c r="P1835" s="27">
        <f>IF($M1835="","",IF($F1835="Compareceu",MAX(0,$M1835-N($H1835)),0))</f>
        <v>0</v>
      </c>
      <c r="Q1835" s="19">
        <f>IF(AND($F1835="Compareceu",$E1835&lt;&gt;"",$A1835&lt;&gt;""),IF(IFERROR(INDEX(ProcRet,MATCH($E1835,ProcNome,0)),0)&gt;0,$A1835+INDEX(ProcRet,MATCH($E1835,ProcNome,0)),""),"")</f>
        <v>0</v>
      </c>
      <c r="R1835" s="26">
        <f>IF($Q1835="","",IF(COUNTIFS(AgPac,$D1835,AgData,"&gt;"&amp;$A1835,AgStatus,"&lt;&gt;Cancelado",AgStatus,"&lt;&gt;Remarcado")&gt;0,"Sim","Não"))</f>
        <v>0</v>
      </c>
      <c r="S1835" s="28">
        <f>IF($A1835="","",IF(AND($F1835="Agendado",$A1835-Hoje&gt;=0,$A1835-Hoje&lt;=DiasConf),"CONFIRMAR",IF(AND($A1835&lt;Hoje,OR($F1835="Agendado",$F1835="Confirmado")),"Atualizar status",IF(AND($F1835="Compareceu",$P1835&gt;0.005),"Cobrar",IF($F1835="Faltou","Falta: reagendar","")))))</f>
        <v>0</v>
      </c>
      <c r="T1835" s="29">
        <f>IF($A1835="","",DATE(YEAR($A1835),MONTH($A1835),1))</f>
        <v>0</v>
      </c>
      <c r="U1835" s="30">
        <f>IF($S1835="CONFIRMAR",MAX($U$4:$U1834)+1,"")</f>
        <v>0</v>
      </c>
      <c r="V1835" s="30">
        <f>IF(AND($R1835="Não",$Q1835&lt;&gt;"",$Q1835&lt;=Hoje+JanelaRet,$Q1835&gt;=Hoje-60),MAX($V$4:$V1834)+1,"")</f>
        <v>0</v>
      </c>
    </row>
    <row r="1836" spans="1:22">
      <c r="A1836" s="16"/>
      <c r="B1836" s="23"/>
      <c r="C1836" s="15"/>
      <c r="D1836" s="15"/>
      <c r="E1836" s="15"/>
      <c r="F1836" s="24"/>
      <c r="G1836" s="17"/>
      <c r="H1836" s="17"/>
      <c r="I1836" s="15"/>
      <c r="J1836" s="25">
        <f>IF($D1836="","",IFERROR(INDEX(PacNome,MATCH($D1836,PacCod,0)),"Paciente não cadastrado"))</f>
        <v>0</v>
      </c>
      <c r="K1836" s="26">
        <f>IF($D1836="","",IFERROR(INDEX(PacConv,MATCH($D1836,PacCod,0))&amp;"",""))</f>
        <v>0</v>
      </c>
      <c r="L1836" s="26">
        <f>IF($A1836="","",CHOOSE(WEEKDAY($A1836,2),"Seg","Ter","Qua","Qui","Sex","Sáb","Dom"))</f>
        <v>0</v>
      </c>
      <c r="M1836" s="27">
        <f>IF($E1836="","",IF($G1836&lt;&gt;"",$G1836,IFERROR(INDEX(ProcValor,MATCH($E1836,ProcNome,0)),0)))</f>
        <v>0</v>
      </c>
      <c r="N1836" s="27">
        <f>IF($M1836="","",IF($F1836="Compareceu",$M1836,0))</f>
        <v>0</v>
      </c>
      <c r="O1836" s="27">
        <f>IF($M1836="","",IF($F1836="Faltou",$M1836,0))</f>
        <v>0</v>
      </c>
      <c r="P1836" s="27">
        <f>IF($M1836="","",IF($F1836="Compareceu",MAX(0,$M1836-N($H1836)),0))</f>
        <v>0</v>
      </c>
      <c r="Q1836" s="19">
        <f>IF(AND($F1836="Compareceu",$E1836&lt;&gt;"",$A1836&lt;&gt;""),IF(IFERROR(INDEX(ProcRet,MATCH($E1836,ProcNome,0)),0)&gt;0,$A1836+INDEX(ProcRet,MATCH($E1836,ProcNome,0)),""),"")</f>
        <v>0</v>
      </c>
      <c r="R1836" s="26">
        <f>IF($Q1836="","",IF(COUNTIFS(AgPac,$D1836,AgData,"&gt;"&amp;$A1836,AgStatus,"&lt;&gt;Cancelado",AgStatus,"&lt;&gt;Remarcado")&gt;0,"Sim","Não"))</f>
        <v>0</v>
      </c>
      <c r="S1836" s="28">
        <f>IF($A1836="","",IF(AND($F1836="Agendado",$A1836-Hoje&gt;=0,$A1836-Hoje&lt;=DiasConf),"CONFIRMAR",IF(AND($A1836&lt;Hoje,OR($F1836="Agendado",$F1836="Confirmado")),"Atualizar status",IF(AND($F1836="Compareceu",$P1836&gt;0.005),"Cobrar",IF($F1836="Faltou","Falta: reagendar","")))))</f>
        <v>0</v>
      </c>
      <c r="T1836" s="29">
        <f>IF($A1836="","",DATE(YEAR($A1836),MONTH($A1836),1))</f>
        <v>0</v>
      </c>
      <c r="U1836" s="30">
        <f>IF($S1836="CONFIRMAR",MAX($U$4:$U1835)+1,"")</f>
        <v>0</v>
      </c>
      <c r="V1836" s="30">
        <f>IF(AND($R1836="Não",$Q1836&lt;&gt;"",$Q1836&lt;=Hoje+JanelaRet,$Q1836&gt;=Hoje-60),MAX($V$4:$V1835)+1,"")</f>
        <v>0</v>
      </c>
    </row>
    <row r="1837" spans="1:22">
      <c r="A1837" s="16"/>
      <c r="B1837" s="23"/>
      <c r="C1837" s="15"/>
      <c r="D1837" s="15"/>
      <c r="E1837" s="15"/>
      <c r="F1837" s="24"/>
      <c r="G1837" s="17"/>
      <c r="H1837" s="17"/>
      <c r="I1837" s="15"/>
      <c r="J1837" s="25">
        <f>IF($D1837="","",IFERROR(INDEX(PacNome,MATCH($D1837,PacCod,0)),"Paciente não cadastrado"))</f>
        <v>0</v>
      </c>
      <c r="K1837" s="26">
        <f>IF($D1837="","",IFERROR(INDEX(PacConv,MATCH($D1837,PacCod,0))&amp;"",""))</f>
        <v>0</v>
      </c>
      <c r="L1837" s="26">
        <f>IF($A1837="","",CHOOSE(WEEKDAY($A1837,2),"Seg","Ter","Qua","Qui","Sex","Sáb","Dom"))</f>
        <v>0</v>
      </c>
      <c r="M1837" s="27">
        <f>IF($E1837="","",IF($G1837&lt;&gt;"",$G1837,IFERROR(INDEX(ProcValor,MATCH($E1837,ProcNome,0)),0)))</f>
        <v>0</v>
      </c>
      <c r="N1837" s="27">
        <f>IF($M1837="","",IF($F1837="Compareceu",$M1837,0))</f>
        <v>0</v>
      </c>
      <c r="O1837" s="27">
        <f>IF($M1837="","",IF($F1837="Faltou",$M1837,0))</f>
        <v>0</v>
      </c>
      <c r="P1837" s="27">
        <f>IF($M1837="","",IF($F1837="Compareceu",MAX(0,$M1837-N($H1837)),0))</f>
        <v>0</v>
      </c>
      <c r="Q1837" s="19">
        <f>IF(AND($F1837="Compareceu",$E1837&lt;&gt;"",$A1837&lt;&gt;""),IF(IFERROR(INDEX(ProcRet,MATCH($E1837,ProcNome,0)),0)&gt;0,$A1837+INDEX(ProcRet,MATCH($E1837,ProcNome,0)),""),"")</f>
        <v>0</v>
      </c>
      <c r="R1837" s="26">
        <f>IF($Q1837="","",IF(COUNTIFS(AgPac,$D1837,AgData,"&gt;"&amp;$A1837,AgStatus,"&lt;&gt;Cancelado",AgStatus,"&lt;&gt;Remarcado")&gt;0,"Sim","Não"))</f>
        <v>0</v>
      </c>
      <c r="S1837" s="28">
        <f>IF($A1837="","",IF(AND($F1837="Agendado",$A1837-Hoje&gt;=0,$A1837-Hoje&lt;=DiasConf),"CONFIRMAR",IF(AND($A1837&lt;Hoje,OR($F1837="Agendado",$F1837="Confirmado")),"Atualizar status",IF(AND($F1837="Compareceu",$P1837&gt;0.005),"Cobrar",IF($F1837="Faltou","Falta: reagendar","")))))</f>
        <v>0</v>
      </c>
      <c r="T1837" s="29">
        <f>IF($A1837="","",DATE(YEAR($A1837),MONTH($A1837),1))</f>
        <v>0</v>
      </c>
      <c r="U1837" s="30">
        <f>IF($S1837="CONFIRMAR",MAX($U$4:$U1836)+1,"")</f>
        <v>0</v>
      </c>
      <c r="V1837" s="30">
        <f>IF(AND($R1837="Não",$Q1837&lt;&gt;"",$Q1837&lt;=Hoje+JanelaRet,$Q1837&gt;=Hoje-60),MAX($V$4:$V1836)+1,"")</f>
        <v>0</v>
      </c>
    </row>
    <row r="1838" spans="1:22">
      <c r="A1838" s="16"/>
      <c r="B1838" s="23"/>
      <c r="C1838" s="15"/>
      <c r="D1838" s="15"/>
      <c r="E1838" s="15"/>
      <c r="F1838" s="24"/>
      <c r="G1838" s="17"/>
      <c r="H1838" s="17"/>
      <c r="I1838" s="15"/>
      <c r="J1838" s="25">
        <f>IF($D1838="","",IFERROR(INDEX(PacNome,MATCH($D1838,PacCod,0)),"Paciente não cadastrado"))</f>
        <v>0</v>
      </c>
      <c r="K1838" s="26">
        <f>IF($D1838="","",IFERROR(INDEX(PacConv,MATCH($D1838,PacCod,0))&amp;"",""))</f>
        <v>0</v>
      </c>
      <c r="L1838" s="26">
        <f>IF($A1838="","",CHOOSE(WEEKDAY($A1838,2),"Seg","Ter","Qua","Qui","Sex","Sáb","Dom"))</f>
        <v>0</v>
      </c>
      <c r="M1838" s="27">
        <f>IF($E1838="","",IF($G1838&lt;&gt;"",$G1838,IFERROR(INDEX(ProcValor,MATCH($E1838,ProcNome,0)),0)))</f>
        <v>0</v>
      </c>
      <c r="N1838" s="27">
        <f>IF($M1838="","",IF($F1838="Compareceu",$M1838,0))</f>
        <v>0</v>
      </c>
      <c r="O1838" s="27">
        <f>IF($M1838="","",IF($F1838="Faltou",$M1838,0))</f>
        <v>0</v>
      </c>
      <c r="P1838" s="27">
        <f>IF($M1838="","",IF($F1838="Compareceu",MAX(0,$M1838-N($H1838)),0))</f>
        <v>0</v>
      </c>
      <c r="Q1838" s="19">
        <f>IF(AND($F1838="Compareceu",$E1838&lt;&gt;"",$A1838&lt;&gt;""),IF(IFERROR(INDEX(ProcRet,MATCH($E1838,ProcNome,0)),0)&gt;0,$A1838+INDEX(ProcRet,MATCH($E1838,ProcNome,0)),""),"")</f>
        <v>0</v>
      </c>
      <c r="R1838" s="26">
        <f>IF($Q1838="","",IF(COUNTIFS(AgPac,$D1838,AgData,"&gt;"&amp;$A1838,AgStatus,"&lt;&gt;Cancelado",AgStatus,"&lt;&gt;Remarcado")&gt;0,"Sim","Não"))</f>
        <v>0</v>
      </c>
      <c r="S1838" s="28">
        <f>IF($A1838="","",IF(AND($F1838="Agendado",$A1838-Hoje&gt;=0,$A1838-Hoje&lt;=DiasConf),"CONFIRMAR",IF(AND($A1838&lt;Hoje,OR($F1838="Agendado",$F1838="Confirmado")),"Atualizar status",IF(AND($F1838="Compareceu",$P1838&gt;0.005),"Cobrar",IF($F1838="Faltou","Falta: reagendar","")))))</f>
        <v>0</v>
      </c>
      <c r="T1838" s="29">
        <f>IF($A1838="","",DATE(YEAR($A1838),MONTH($A1838),1))</f>
        <v>0</v>
      </c>
      <c r="U1838" s="30">
        <f>IF($S1838="CONFIRMAR",MAX($U$4:$U1837)+1,"")</f>
        <v>0</v>
      </c>
      <c r="V1838" s="30">
        <f>IF(AND($R1838="Não",$Q1838&lt;&gt;"",$Q1838&lt;=Hoje+JanelaRet,$Q1838&gt;=Hoje-60),MAX($V$4:$V1837)+1,"")</f>
        <v>0</v>
      </c>
    </row>
    <row r="1839" spans="1:22">
      <c r="A1839" s="16"/>
      <c r="B1839" s="23"/>
      <c r="C1839" s="15"/>
      <c r="D1839" s="15"/>
      <c r="E1839" s="15"/>
      <c r="F1839" s="24"/>
      <c r="G1839" s="17"/>
      <c r="H1839" s="17"/>
      <c r="I1839" s="15"/>
      <c r="J1839" s="25">
        <f>IF($D1839="","",IFERROR(INDEX(PacNome,MATCH($D1839,PacCod,0)),"Paciente não cadastrado"))</f>
        <v>0</v>
      </c>
      <c r="K1839" s="26">
        <f>IF($D1839="","",IFERROR(INDEX(PacConv,MATCH($D1839,PacCod,0))&amp;"",""))</f>
        <v>0</v>
      </c>
      <c r="L1839" s="26">
        <f>IF($A1839="","",CHOOSE(WEEKDAY($A1839,2),"Seg","Ter","Qua","Qui","Sex","Sáb","Dom"))</f>
        <v>0</v>
      </c>
      <c r="M1839" s="27">
        <f>IF($E1839="","",IF($G1839&lt;&gt;"",$G1839,IFERROR(INDEX(ProcValor,MATCH($E1839,ProcNome,0)),0)))</f>
        <v>0</v>
      </c>
      <c r="N1839" s="27">
        <f>IF($M1839="","",IF($F1839="Compareceu",$M1839,0))</f>
        <v>0</v>
      </c>
      <c r="O1839" s="27">
        <f>IF($M1839="","",IF($F1839="Faltou",$M1839,0))</f>
        <v>0</v>
      </c>
      <c r="P1839" s="27">
        <f>IF($M1839="","",IF($F1839="Compareceu",MAX(0,$M1839-N($H1839)),0))</f>
        <v>0</v>
      </c>
      <c r="Q1839" s="19">
        <f>IF(AND($F1839="Compareceu",$E1839&lt;&gt;"",$A1839&lt;&gt;""),IF(IFERROR(INDEX(ProcRet,MATCH($E1839,ProcNome,0)),0)&gt;0,$A1839+INDEX(ProcRet,MATCH($E1839,ProcNome,0)),""),"")</f>
        <v>0</v>
      </c>
      <c r="R1839" s="26">
        <f>IF($Q1839="","",IF(COUNTIFS(AgPac,$D1839,AgData,"&gt;"&amp;$A1839,AgStatus,"&lt;&gt;Cancelado",AgStatus,"&lt;&gt;Remarcado")&gt;0,"Sim","Não"))</f>
        <v>0</v>
      </c>
      <c r="S1839" s="28">
        <f>IF($A1839="","",IF(AND($F1839="Agendado",$A1839-Hoje&gt;=0,$A1839-Hoje&lt;=DiasConf),"CONFIRMAR",IF(AND($A1839&lt;Hoje,OR($F1839="Agendado",$F1839="Confirmado")),"Atualizar status",IF(AND($F1839="Compareceu",$P1839&gt;0.005),"Cobrar",IF($F1839="Faltou","Falta: reagendar","")))))</f>
        <v>0</v>
      </c>
      <c r="T1839" s="29">
        <f>IF($A1839="","",DATE(YEAR($A1839),MONTH($A1839),1))</f>
        <v>0</v>
      </c>
      <c r="U1839" s="30">
        <f>IF($S1839="CONFIRMAR",MAX($U$4:$U1838)+1,"")</f>
        <v>0</v>
      </c>
      <c r="V1839" s="30">
        <f>IF(AND($R1839="Não",$Q1839&lt;&gt;"",$Q1839&lt;=Hoje+JanelaRet,$Q1839&gt;=Hoje-60),MAX($V$4:$V1838)+1,"")</f>
        <v>0</v>
      </c>
    </row>
    <row r="1840" spans="1:22">
      <c r="A1840" s="16"/>
      <c r="B1840" s="23"/>
      <c r="C1840" s="15"/>
      <c r="D1840" s="15"/>
      <c r="E1840" s="15"/>
      <c r="F1840" s="24"/>
      <c r="G1840" s="17"/>
      <c r="H1840" s="17"/>
      <c r="I1840" s="15"/>
      <c r="J1840" s="25">
        <f>IF($D1840="","",IFERROR(INDEX(PacNome,MATCH($D1840,PacCod,0)),"Paciente não cadastrado"))</f>
        <v>0</v>
      </c>
      <c r="K1840" s="26">
        <f>IF($D1840="","",IFERROR(INDEX(PacConv,MATCH($D1840,PacCod,0))&amp;"",""))</f>
        <v>0</v>
      </c>
      <c r="L1840" s="26">
        <f>IF($A1840="","",CHOOSE(WEEKDAY($A1840,2),"Seg","Ter","Qua","Qui","Sex","Sáb","Dom"))</f>
        <v>0</v>
      </c>
      <c r="M1840" s="27">
        <f>IF($E1840="","",IF($G1840&lt;&gt;"",$G1840,IFERROR(INDEX(ProcValor,MATCH($E1840,ProcNome,0)),0)))</f>
        <v>0</v>
      </c>
      <c r="N1840" s="27">
        <f>IF($M1840="","",IF($F1840="Compareceu",$M1840,0))</f>
        <v>0</v>
      </c>
      <c r="O1840" s="27">
        <f>IF($M1840="","",IF($F1840="Faltou",$M1840,0))</f>
        <v>0</v>
      </c>
      <c r="P1840" s="27">
        <f>IF($M1840="","",IF($F1840="Compareceu",MAX(0,$M1840-N($H1840)),0))</f>
        <v>0</v>
      </c>
      <c r="Q1840" s="19">
        <f>IF(AND($F1840="Compareceu",$E1840&lt;&gt;"",$A1840&lt;&gt;""),IF(IFERROR(INDEX(ProcRet,MATCH($E1840,ProcNome,0)),0)&gt;0,$A1840+INDEX(ProcRet,MATCH($E1840,ProcNome,0)),""),"")</f>
        <v>0</v>
      </c>
      <c r="R1840" s="26">
        <f>IF($Q1840="","",IF(COUNTIFS(AgPac,$D1840,AgData,"&gt;"&amp;$A1840,AgStatus,"&lt;&gt;Cancelado",AgStatus,"&lt;&gt;Remarcado")&gt;0,"Sim","Não"))</f>
        <v>0</v>
      </c>
      <c r="S1840" s="28">
        <f>IF($A1840="","",IF(AND($F1840="Agendado",$A1840-Hoje&gt;=0,$A1840-Hoje&lt;=DiasConf),"CONFIRMAR",IF(AND($A1840&lt;Hoje,OR($F1840="Agendado",$F1840="Confirmado")),"Atualizar status",IF(AND($F1840="Compareceu",$P1840&gt;0.005),"Cobrar",IF($F1840="Faltou","Falta: reagendar","")))))</f>
        <v>0</v>
      </c>
      <c r="T1840" s="29">
        <f>IF($A1840="","",DATE(YEAR($A1840),MONTH($A1840),1))</f>
        <v>0</v>
      </c>
      <c r="U1840" s="30">
        <f>IF($S1840="CONFIRMAR",MAX($U$4:$U1839)+1,"")</f>
        <v>0</v>
      </c>
      <c r="V1840" s="30">
        <f>IF(AND($R1840="Não",$Q1840&lt;&gt;"",$Q1840&lt;=Hoje+JanelaRet,$Q1840&gt;=Hoje-60),MAX($V$4:$V1839)+1,"")</f>
        <v>0</v>
      </c>
    </row>
    <row r="1841" spans="1:22">
      <c r="A1841" s="16"/>
      <c r="B1841" s="23"/>
      <c r="C1841" s="15"/>
      <c r="D1841" s="15"/>
      <c r="E1841" s="15"/>
      <c r="F1841" s="24"/>
      <c r="G1841" s="17"/>
      <c r="H1841" s="17"/>
      <c r="I1841" s="15"/>
      <c r="J1841" s="25">
        <f>IF($D1841="","",IFERROR(INDEX(PacNome,MATCH($D1841,PacCod,0)),"Paciente não cadastrado"))</f>
        <v>0</v>
      </c>
      <c r="K1841" s="26">
        <f>IF($D1841="","",IFERROR(INDEX(PacConv,MATCH($D1841,PacCod,0))&amp;"",""))</f>
        <v>0</v>
      </c>
      <c r="L1841" s="26">
        <f>IF($A1841="","",CHOOSE(WEEKDAY($A1841,2),"Seg","Ter","Qua","Qui","Sex","Sáb","Dom"))</f>
        <v>0</v>
      </c>
      <c r="M1841" s="27">
        <f>IF($E1841="","",IF($G1841&lt;&gt;"",$G1841,IFERROR(INDEX(ProcValor,MATCH($E1841,ProcNome,0)),0)))</f>
        <v>0</v>
      </c>
      <c r="N1841" s="27">
        <f>IF($M1841="","",IF($F1841="Compareceu",$M1841,0))</f>
        <v>0</v>
      </c>
      <c r="O1841" s="27">
        <f>IF($M1841="","",IF($F1841="Faltou",$M1841,0))</f>
        <v>0</v>
      </c>
      <c r="P1841" s="27">
        <f>IF($M1841="","",IF($F1841="Compareceu",MAX(0,$M1841-N($H1841)),0))</f>
        <v>0</v>
      </c>
      <c r="Q1841" s="19">
        <f>IF(AND($F1841="Compareceu",$E1841&lt;&gt;"",$A1841&lt;&gt;""),IF(IFERROR(INDEX(ProcRet,MATCH($E1841,ProcNome,0)),0)&gt;0,$A1841+INDEX(ProcRet,MATCH($E1841,ProcNome,0)),""),"")</f>
        <v>0</v>
      </c>
      <c r="R1841" s="26">
        <f>IF($Q1841="","",IF(COUNTIFS(AgPac,$D1841,AgData,"&gt;"&amp;$A1841,AgStatus,"&lt;&gt;Cancelado",AgStatus,"&lt;&gt;Remarcado")&gt;0,"Sim","Não"))</f>
        <v>0</v>
      </c>
      <c r="S1841" s="28">
        <f>IF($A1841="","",IF(AND($F1841="Agendado",$A1841-Hoje&gt;=0,$A1841-Hoje&lt;=DiasConf),"CONFIRMAR",IF(AND($A1841&lt;Hoje,OR($F1841="Agendado",$F1841="Confirmado")),"Atualizar status",IF(AND($F1841="Compareceu",$P1841&gt;0.005),"Cobrar",IF($F1841="Faltou","Falta: reagendar","")))))</f>
        <v>0</v>
      </c>
      <c r="T1841" s="29">
        <f>IF($A1841="","",DATE(YEAR($A1841),MONTH($A1841),1))</f>
        <v>0</v>
      </c>
      <c r="U1841" s="30">
        <f>IF($S1841="CONFIRMAR",MAX($U$4:$U1840)+1,"")</f>
        <v>0</v>
      </c>
      <c r="V1841" s="30">
        <f>IF(AND($R1841="Não",$Q1841&lt;&gt;"",$Q1841&lt;=Hoje+JanelaRet,$Q1841&gt;=Hoje-60),MAX($V$4:$V1840)+1,"")</f>
        <v>0</v>
      </c>
    </row>
    <row r="1842" spans="1:22">
      <c r="A1842" s="16"/>
      <c r="B1842" s="23"/>
      <c r="C1842" s="15"/>
      <c r="D1842" s="15"/>
      <c r="E1842" s="15"/>
      <c r="F1842" s="24"/>
      <c r="G1842" s="17"/>
      <c r="H1842" s="17"/>
      <c r="I1842" s="15"/>
      <c r="J1842" s="25">
        <f>IF($D1842="","",IFERROR(INDEX(PacNome,MATCH($D1842,PacCod,0)),"Paciente não cadastrado"))</f>
        <v>0</v>
      </c>
      <c r="K1842" s="26">
        <f>IF($D1842="","",IFERROR(INDEX(PacConv,MATCH($D1842,PacCod,0))&amp;"",""))</f>
        <v>0</v>
      </c>
      <c r="L1842" s="26">
        <f>IF($A1842="","",CHOOSE(WEEKDAY($A1842,2),"Seg","Ter","Qua","Qui","Sex","Sáb","Dom"))</f>
        <v>0</v>
      </c>
      <c r="M1842" s="27">
        <f>IF($E1842="","",IF($G1842&lt;&gt;"",$G1842,IFERROR(INDEX(ProcValor,MATCH($E1842,ProcNome,0)),0)))</f>
        <v>0</v>
      </c>
      <c r="N1842" s="27">
        <f>IF($M1842="","",IF($F1842="Compareceu",$M1842,0))</f>
        <v>0</v>
      </c>
      <c r="O1842" s="27">
        <f>IF($M1842="","",IF($F1842="Faltou",$M1842,0))</f>
        <v>0</v>
      </c>
      <c r="P1842" s="27">
        <f>IF($M1842="","",IF($F1842="Compareceu",MAX(0,$M1842-N($H1842)),0))</f>
        <v>0</v>
      </c>
      <c r="Q1842" s="19">
        <f>IF(AND($F1842="Compareceu",$E1842&lt;&gt;"",$A1842&lt;&gt;""),IF(IFERROR(INDEX(ProcRet,MATCH($E1842,ProcNome,0)),0)&gt;0,$A1842+INDEX(ProcRet,MATCH($E1842,ProcNome,0)),""),"")</f>
        <v>0</v>
      </c>
      <c r="R1842" s="26">
        <f>IF($Q1842="","",IF(COUNTIFS(AgPac,$D1842,AgData,"&gt;"&amp;$A1842,AgStatus,"&lt;&gt;Cancelado",AgStatus,"&lt;&gt;Remarcado")&gt;0,"Sim","Não"))</f>
        <v>0</v>
      </c>
      <c r="S1842" s="28">
        <f>IF($A1842="","",IF(AND($F1842="Agendado",$A1842-Hoje&gt;=0,$A1842-Hoje&lt;=DiasConf),"CONFIRMAR",IF(AND($A1842&lt;Hoje,OR($F1842="Agendado",$F1842="Confirmado")),"Atualizar status",IF(AND($F1842="Compareceu",$P1842&gt;0.005),"Cobrar",IF($F1842="Faltou","Falta: reagendar","")))))</f>
        <v>0</v>
      </c>
      <c r="T1842" s="29">
        <f>IF($A1842="","",DATE(YEAR($A1842),MONTH($A1842),1))</f>
        <v>0</v>
      </c>
      <c r="U1842" s="30">
        <f>IF($S1842="CONFIRMAR",MAX($U$4:$U1841)+1,"")</f>
        <v>0</v>
      </c>
      <c r="V1842" s="30">
        <f>IF(AND($R1842="Não",$Q1842&lt;&gt;"",$Q1842&lt;=Hoje+JanelaRet,$Q1842&gt;=Hoje-60),MAX($V$4:$V1841)+1,"")</f>
        <v>0</v>
      </c>
    </row>
    <row r="1843" spans="1:22">
      <c r="A1843" s="16"/>
      <c r="B1843" s="23"/>
      <c r="C1843" s="15"/>
      <c r="D1843" s="15"/>
      <c r="E1843" s="15"/>
      <c r="F1843" s="24"/>
      <c r="G1843" s="17"/>
      <c r="H1843" s="17"/>
      <c r="I1843" s="15"/>
      <c r="J1843" s="25">
        <f>IF($D1843="","",IFERROR(INDEX(PacNome,MATCH($D1843,PacCod,0)),"Paciente não cadastrado"))</f>
        <v>0</v>
      </c>
      <c r="K1843" s="26">
        <f>IF($D1843="","",IFERROR(INDEX(PacConv,MATCH($D1843,PacCod,0))&amp;"",""))</f>
        <v>0</v>
      </c>
      <c r="L1843" s="26">
        <f>IF($A1843="","",CHOOSE(WEEKDAY($A1843,2),"Seg","Ter","Qua","Qui","Sex","Sáb","Dom"))</f>
        <v>0</v>
      </c>
      <c r="M1843" s="27">
        <f>IF($E1843="","",IF($G1843&lt;&gt;"",$G1843,IFERROR(INDEX(ProcValor,MATCH($E1843,ProcNome,0)),0)))</f>
        <v>0</v>
      </c>
      <c r="N1843" s="27">
        <f>IF($M1843="","",IF($F1843="Compareceu",$M1843,0))</f>
        <v>0</v>
      </c>
      <c r="O1843" s="27">
        <f>IF($M1843="","",IF($F1843="Faltou",$M1843,0))</f>
        <v>0</v>
      </c>
      <c r="P1843" s="27">
        <f>IF($M1843="","",IF($F1843="Compareceu",MAX(0,$M1843-N($H1843)),0))</f>
        <v>0</v>
      </c>
      <c r="Q1843" s="19">
        <f>IF(AND($F1843="Compareceu",$E1843&lt;&gt;"",$A1843&lt;&gt;""),IF(IFERROR(INDEX(ProcRet,MATCH($E1843,ProcNome,0)),0)&gt;0,$A1843+INDEX(ProcRet,MATCH($E1843,ProcNome,0)),""),"")</f>
        <v>0</v>
      </c>
      <c r="R1843" s="26">
        <f>IF($Q1843="","",IF(COUNTIFS(AgPac,$D1843,AgData,"&gt;"&amp;$A1843,AgStatus,"&lt;&gt;Cancelado",AgStatus,"&lt;&gt;Remarcado")&gt;0,"Sim","Não"))</f>
        <v>0</v>
      </c>
      <c r="S1843" s="28">
        <f>IF($A1843="","",IF(AND($F1843="Agendado",$A1843-Hoje&gt;=0,$A1843-Hoje&lt;=DiasConf),"CONFIRMAR",IF(AND($A1843&lt;Hoje,OR($F1843="Agendado",$F1843="Confirmado")),"Atualizar status",IF(AND($F1843="Compareceu",$P1843&gt;0.005),"Cobrar",IF($F1843="Faltou","Falta: reagendar","")))))</f>
        <v>0</v>
      </c>
      <c r="T1843" s="29">
        <f>IF($A1843="","",DATE(YEAR($A1843),MONTH($A1843),1))</f>
        <v>0</v>
      </c>
      <c r="U1843" s="30">
        <f>IF($S1843="CONFIRMAR",MAX($U$4:$U1842)+1,"")</f>
        <v>0</v>
      </c>
      <c r="V1843" s="30">
        <f>IF(AND($R1843="Não",$Q1843&lt;&gt;"",$Q1843&lt;=Hoje+JanelaRet,$Q1843&gt;=Hoje-60),MAX($V$4:$V1842)+1,"")</f>
        <v>0</v>
      </c>
    </row>
    <row r="1844" spans="1:22">
      <c r="A1844" s="16"/>
      <c r="B1844" s="23"/>
      <c r="C1844" s="15"/>
      <c r="D1844" s="15"/>
      <c r="E1844" s="15"/>
      <c r="F1844" s="24"/>
      <c r="G1844" s="17"/>
      <c r="H1844" s="17"/>
      <c r="I1844" s="15"/>
      <c r="J1844" s="25">
        <f>IF($D1844="","",IFERROR(INDEX(PacNome,MATCH($D1844,PacCod,0)),"Paciente não cadastrado"))</f>
        <v>0</v>
      </c>
      <c r="K1844" s="26">
        <f>IF($D1844="","",IFERROR(INDEX(PacConv,MATCH($D1844,PacCod,0))&amp;"",""))</f>
        <v>0</v>
      </c>
      <c r="L1844" s="26">
        <f>IF($A1844="","",CHOOSE(WEEKDAY($A1844,2),"Seg","Ter","Qua","Qui","Sex","Sáb","Dom"))</f>
        <v>0</v>
      </c>
      <c r="M1844" s="27">
        <f>IF($E1844="","",IF($G1844&lt;&gt;"",$G1844,IFERROR(INDEX(ProcValor,MATCH($E1844,ProcNome,0)),0)))</f>
        <v>0</v>
      </c>
      <c r="N1844" s="27">
        <f>IF($M1844="","",IF($F1844="Compareceu",$M1844,0))</f>
        <v>0</v>
      </c>
      <c r="O1844" s="27">
        <f>IF($M1844="","",IF($F1844="Faltou",$M1844,0))</f>
        <v>0</v>
      </c>
      <c r="P1844" s="27">
        <f>IF($M1844="","",IF($F1844="Compareceu",MAX(0,$M1844-N($H1844)),0))</f>
        <v>0</v>
      </c>
      <c r="Q1844" s="19">
        <f>IF(AND($F1844="Compareceu",$E1844&lt;&gt;"",$A1844&lt;&gt;""),IF(IFERROR(INDEX(ProcRet,MATCH($E1844,ProcNome,0)),0)&gt;0,$A1844+INDEX(ProcRet,MATCH($E1844,ProcNome,0)),""),"")</f>
        <v>0</v>
      </c>
      <c r="R1844" s="26">
        <f>IF($Q1844="","",IF(COUNTIFS(AgPac,$D1844,AgData,"&gt;"&amp;$A1844,AgStatus,"&lt;&gt;Cancelado",AgStatus,"&lt;&gt;Remarcado")&gt;0,"Sim","Não"))</f>
        <v>0</v>
      </c>
      <c r="S1844" s="28">
        <f>IF($A1844="","",IF(AND($F1844="Agendado",$A1844-Hoje&gt;=0,$A1844-Hoje&lt;=DiasConf),"CONFIRMAR",IF(AND($A1844&lt;Hoje,OR($F1844="Agendado",$F1844="Confirmado")),"Atualizar status",IF(AND($F1844="Compareceu",$P1844&gt;0.005),"Cobrar",IF($F1844="Faltou","Falta: reagendar","")))))</f>
        <v>0</v>
      </c>
      <c r="T1844" s="29">
        <f>IF($A1844="","",DATE(YEAR($A1844),MONTH($A1844),1))</f>
        <v>0</v>
      </c>
      <c r="U1844" s="30">
        <f>IF($S1844="CONFIRMAR",MAX($U$4:$U1843)+1,"")</f>
        <v>0</v>
      </c>
      <c r="V1844" s="30">
        <f>IF(AND($R1844="Não",$Q1844&lt;&gt;"",$Q1844&lt;=Hoje+JanelaRet,$Q1844&gt;=Hoje-60),MAX($V$4:$V1843)+1,"")</f>
        <v>0</v>
      </c>
    </row>
    <row r="1845" spans="1:22">
      <c r="A1845" s="16"/>
      <c r="B1845" s="23"/>
      <c r="C1845" s="15"/>
      <c r="D1845" s="15"/>
      <c r="E1845" s="15"/>
      <c r="F1845" s="24"/>
      <c r="G1845" s="17"/>
      <c r="H1845" s="17"/>
      <c r="I1845" s="15"/>
      <c r="J1845" s="25">
        <f>IF($D1845="","",IFERROR(INDEX(PacNome,MATCH($D1845,PacCod,0)),"Paciente não cadastrado"))</f>
        <v>0</v>
      </c>
      <c r="K1845" s="26">
        <f>IF($D1845="","",IFERROR(INDEX(PacConv,MATCH($D1845,PacCod,0))&amp;"",""))</f>
        <v>0</v>
      </c>
      <c r="L1845" s="26">
        <f>IF($A1845="","",CHOOSE(WEEKDAY($A1845,2),"Seg","Ter","Qua","Qui","Sex","Sáb","Dom"))</f>
        <v>0</v>
      </c>
      <c r="M1845" s="27">
        <f>IF($E1845="","",IF($G1845&lt;&gt;"",$G1845,IFERROR(INDEX(ProcValor,MATCH($E1845,ProcNome,0)),0)))</f>
        <v>0</v>
      </c>
      <c r="N1845" s="27">
        <f>IF($M1845="","",IF($F1845="Compareceu",$M1845,0))</f>
        <v>0</v>
      </c>
      <c r="O1845" s="27">
        <f>IF($M1845="","",IF($F1845="Faltou",$M1845,0))</f>
        <v>0</v>
      </c>
      <c r="P1845" s="27">
        <f>IF($M1845="","",IF($F1845="Compareceu",MAX(0,$M1845-N($H1845)),0))</f>
        <v>0</v>
      </c>
      <c r="Q1845" s="19">
        <f>IF(AND($F1845="Compareceu",$E1845&lt;&gt;"",$A1845&lt;&gt;""),IF(IFERROR(INDEX(ProcRet,MATCH($E1845,ProcNome,0)),0)&gt;0,$A1845+INDEX(ProcRet,MATCH($E1845,ProcNome,0)),""),"")</f>
        <v>0</v>
      </c>
      <c r="R1845" s="26">
        <f>IF($Q1845="","",IF(COUNTIFS(AgPac,$D1845,AgData,"&gt;"&amp;$A1845,AgStatus,"&lt;&gt;Cancelado",AgStatus,"&lt;&gt;Remarcado")&gt;0,"Sim","Não"))</f>
        <v>0</v>
      </c>
      <c r="S1845" s="28">
        <f>IF($A1845="","",IF(AND($F1845="Agendado",$A1845-Hoje&gt;=0,$A1845-Hoje&lt;=DiasConf),"CONFIRMAR",IF(AND($A1845&lt;Hoje,OR($F1845="Agendado",$F1845="Confirmado")),"Atualizar status",IF(AND($F1845="Compareceu",$P1845&gt;0.005),"Cobrar",IF($F1845="Faltou","Falta: reagendar","")))))</f>
        <v>0</v>
      </c>
      <c r="T1845" s="29">
        <f>IF($A1845="","",DATE(YEAR($A1845),MONTH($A1845),1))</f>
        <v>0</v>
      </c>
      <c r="U1845" s="30">
        <f>IF($S1845="CONFIRMAR",MAX($U$4:$U1844)+1,"")</f>
        <v>0</v>
      </c>
      <c r="V1845" s="30">
        <f>IF(AND($R1845="Não",$Q1845&lt;&gt;"",$Q1845&lt;=Hoje+JanelaRet,$Q1845&gt;=Hoje-60),MAX($V$4:$V1844)+1,"")</f>
        <v>0</v>
      </c>
    </row>
    <row r="1846" spans="1:22">
      <c r="A1846" s="16"/>
      <c r="B1846" s="23"/>
      <c r="C1846" s="15"/>
      <c r="D1846" s="15"/>
      <c r="E1846" s="15"/>
      <c r="F1846" s="24"/>
      <c r="G1846" s="17"/>
      <c r="H1846" s="17"/>
      <c r="I1846" s="15"/>
      <c r="J1846" s="25">
        <f>IF($D1846="","",IFERROR(INDEX(PacNome,MATCH($D1846,PacCod,0)),"Paciente não cadastrado"))</f>
        <v>0</v>
      </c>
      <c r="K1846" s="26">
        <f>IF($D1846="","",IFERROR(INDEX(PacConv,MATCH($D1846,PacCod,0))&amp;"",""))</f>
        <v>0</v>
      </c>
      <c r="L1846" s="26">
        <f>IF($A1846="","",CHOOSE(WEEKDAY($A1846,2),"Seg","Ter","Qua","Qui","Sex","Sáb","Dom"))</f>
        <v>0</v>
      </c>
      <c r="M1846" s="27">
        <f>IF($E1846="","",IF($G1846&lt;&gt;"",$G1846,IFERROR(INDEX(ProcValor,MATCH($E1846,ProcNome,0)),0)))</f>
        <v>0</v>
      </c>
      <c r="N1846" s="27">
        <f>IF($M1846="","",IF($F1846="Compareceu",$M1846,0))</f>
        <v>0</v>
      </c>
      <c r="O1846" s="27">
        <f>IF($M1846="","",IF($F1846="Faltou",$M1846,0))</f>
        <v>0</v>
      </c>
      <c r="P1846" s="27">
        <f>IF($M1846="","",IF($F1846="Compareceu",MAX(0,$M1846-N($H1846)),0))</f>
        <v>0</v>
      </c>
      <c r="Q1846" s="19">
        <f>IF(AND($F1846="Compareceu",$E1846&lt;&gt;"",$A1846&lt;&gt;""),IF(IFERROR(INDEX(ProcRet,MATCH($E1846,ProcNome,0)),0)&gt;0,$A1846+INDEX(ProcRet,MATCH($E1846,ProcNome,0)),""),"")</f>
        <v>0</v>
      </c>
      <c r="R1846" s="26">
        <f>IF($Q1846="","",IF(COUNTIFS(AgPac,$D1846,AgData,"&gt;"&amp;$A1846,AgStatus,"&lt;&gt;Cancelado",AgStatus,"&lt;&gt;Remarcado")&gt;0,"Sim","Não"))</f>
        <v>0</v>
      </c>
      <c r="S1846" s="28">
        <f>IF($A1846="","",IF(AND($F1846="Agendado",$A1846-Hoje&gt;=0,$A1846-Hoje&lt;=DiasConf),"CONFIRMAR",IF(AND($A1846&lt;Hoje,OR($F1846="Agendado",$F1846="Confirmado")),"Atualizar status",IF(AND($F1846="Compareceu",$P1846&gt;0.005),"Cobrar",IF($F1846="Faltou","Falta: reagendar","")))))</f>
        <v>0</v>
      </c>
      <c r="T1846" s="29">
        <f>IF($A1846="","",DATE(YEAR($A1846),MONTH($A1846),1))</f>
        <v>0</v>
      </c>
      <c r="U1846" s="30">
        <f>IF($S1846="CONFIRMAR",MAX($U$4:$U1845)+1,"")</f>
        <v>0</v>
      </c>
      <c r="V1846" s="30">
        <f>IF(AND($R1846="Não",$Q1846&lt;&gt;"",$Q1846&lt;=Hoje+JanelaRet,$Q1846&gt;=Hoje-60),MAX($V$4:$V1845)+1,"")</f>
        <v>0</v>
      </c>
    </row>
    <row r="1847" spans="1:22">
      <c r="A1847" s="16"/>
      <c r="B1847" s="23"/>
      <c r="C1847" s="15"/>
      <c r="D1847" s="15"/>
      <c r="E1847" s="15"/>
      <c r="F1847" s="24"/>
      <c r="G1847" s="17"/>
      <c r="H1847" s="17"/>
      <c r="I1847" s="15"/>
      <c r="J1847" s="25">
        <f>IF($D1847="","",IFERROR(INDEX(PacNome,MATCH($D1847,PacCod,0)),"Paciente não cadastrado"))</f>
        <v>0</v>
      </c>
      <c r="K1847" s="26">
        <f>IF($D1847="","",IFERROR(INDEX(PacConv,MATCH($D1847,PacCod,0))&amp;"",""))</f>
        <v>0</v>
      </c>
      <c r="L1847" s="26">
        <f>IF($A1847="","",CHOOSE(WEEKDAY($A1847,2),"Seg","Ter","Qua","Qui","Sex","Sáb","Dom"))</f>
        <v>0</v>
      </c>
      <c r="M1847" s="27">
        <f>IF($E1847="","",IF($G1847&lt;&gt;"",$G1847,IFERROR(INDEX(ProcValor,MATCH($E1847,ProcNome,0)),0)))</f>
        <v>0</v>
      </c>
      <c r="N1847" s="27">
        <f>IF($M1847="","",IF($F1847="Compareceu",$M1847,0))</f>
        <v>0</v>
      </c>
      <c r="O1847" s="27">
        <f>IF($M1847="","",IF($F1847="Faltou",$M1847,0))</f>
        <v>0</v>
      </c>
      <c r="P1847" s="27">
        <f>IF($M1847="","",IF($F1847="Compareceu",MAX(0,$M1847-N($H1847)),0))</f>
        <v>0</v>
      </c>
      <c r="Q1847" s="19">
        <f>IF(AND($F1847="Compareceu",$E1847&lt;&gt;"",$A1847&lt;&gt;""),IF(IFERROR(INDEX(ProcRet,MATCH($E1847,ProcNome,0)),0)&gt;0,$A1847+INDEX(ProcRet,MATCH($E1847,ProcNome,0)),""),"")</f>
        <v>0</v>
      </c>
      <c r="R1847" s="26">
        <f>IF($Q1847="","",IF(COUNTIFS(AgPac,$D1847,AgData,"&gt;"&amp;$A1847,AgStatus,"&lt;&gt;Cancelado",AgStatus,"&lt;&gt;Remarcado")&gt;0,"Sim","Não"))</f>
        <v>0</v>
      </c>
      <c r="S1847" s="28">
        <f>IF($A1847="","",IF(AND($F1847="Agendado",$A1847-Hoje&gt;=0,$A1847-Hoje&lt;=DiasConf),"CONFIRMAR",IF(AND($A1847&lt;Hoje,OR($F1847="Agendado",$F1847="Confirmado")),"Atualizar status",IF(AND($F1847="Compareceu",$P1847&gt;0.005),"Cobrar",IF($F1847="Faltou","Falta: reagendar","")))))</f>
        <v>0</v>
      </c>
      <c r="T1847" s="29">
        <f>IF($A1847="","",DATE(YEAR($A1847),MONTH($A1847),1))</f>
        <v>0</v>
      </c>
      <c r="U1847" s="30">
        <f>IF($S1847="CONFIRMAR",MAX($U$4:$U1846)+1,"")</f>
        <v>0</v>
      </c>
      <c r="V1847" s="30">
        <f>IF(AND($R1847="Não",$Q1847&lt;&gt;"",$Q1847&lt;=Hoje+JanelaRet,$Q1847&gt;=Hoje-60),MAX($V$4:$V1846)+1,"")</f>
        <v>0</v>
      </c>
    </row>
    <row r="1848" spans="1:22">
      <c r="A1848" s="16"/>
      <c r="B1848" s="23"/>
      <c r="C1848" s="15"/>
      <c r="D1848" s="15"/>
      <c r="E1848" s="15"/>
      <c r="F1848" s="24"/>
      <c r="G1848" s="17"/>
      <c r="H1848" s="17"/>
      <c r="I1848" s="15"/>
      <c r="J1848" s="25">
        <f>IF($D1848="","",IFERROR(INDEX(PacNome,MATCH($D1848,PacCod,0)),"Paciente não cadastrado"))</f>
        <v>0</v>
      </c>
      <c r="K1848" s="26">
        <f>IF($D1848="","",IFERROR(INDEX(PacConv,MATCH($D1848,PacCod,0))&amp;"",""))</f>
        <v>0</v>
      </c>
      <c r="L1848" s="26">
        <f>IF($A1848="","",CHOOSE(WEEKDAY($A1848,2),"Seg","Ter","Qua","Qui","Sex","Sáb","Dom"))</f>
        <v>0</v>
      </c>
      <c r="M1848" s="27">
        <f>IF($E1848="","",IF($G1848&lt;&gt;"",$G1848,IFERROR(INDEX(ProcValor,MATCH($E1848,ProcNome,0)),0)))</f>
        <v>0</v>
      </c>
      <c r="N1848" s="27">
        <f>IF($M1848="","",IF($F1848="Compareceu",$M1848,0))</f>
        <v>0</v>
      </c>
      <c r="O1848" s="27">
        <f>IF($M1848="","",IF($F1848="Faltou",$M1848,0))</f>
        <v>0</v>
      </c>
      <c r="P1848" s="27">
        <f>IF($M1848="","",IF($F1848="Compareceu",MAX(0,$M1848-N($H1848)),0))</f>
        <v>0</v>
      </c>
      <c r="Q1848" s="19">
        <f>IF(AND($F1848="Compareceu",$E1848&lt;&gt;"",$A1848&lt;&gt;""),IF(IFERROR(INDEX(ProcRet,MATCH($E1848,ProcNome,0)),0)&gt;0,$A1848+INDEX(ProcRet,MATCH($E1848,ProcNome,0)),""),"")</f>
        <v>0</v>
      </c>
      <c r="R1848" s="26">
        <f>IF($Q1848="","",IF(COUNTIFS(AgPac,$D1848,AgData,"&gt;"&amp;$A1848,AgStatus,"&lt;&gt;Cancelado",AgStatus,"&lt;&gt;Remarcado")&gt;0,"Sim","Não"))</f>
        <v>0</v>
      </c>
      <c r="S1848" s="28">
        <f>IF($A1848="","",IF(AND($F1848="Agendado",$A1848-Hoje&gt;=0,$A1848-Hoje&lt;=DiasConf),"CONFIRMAR",IF(AND($A1848&lt;Hoje,OR($F1848="Agendado",$F1848="Confirmado")),"Atualizar status",IF(AND($F1848="Compareceu",$P1848&gt;0.005),"Cobrar",IF($F1848="Faltou","Falta: reagendar","")))))</f>
        <v>0</v>
      </c>
      <c r="T1848" s="29">
        <f>IF($A1848="","",DATE(YEAR($A1848),MONTH($A1848),1))</f>
        <v>0</v>
      </c>
      <c r="U1848" s="30">
        <f>IF($S1848="CONFIRMAR",MAX($U$4:$U1847)+1,"")</f>
        <v>0</v>
      </c>
      <c r="V1848" s="30">
        <f>IF(AND($R1848="Não",$Q1848&lt;&gt;"",$Q1848&lt;=Hoje+JanelaRet,$Q1848&gt;=Hoje-60),MAX($V$4:$V1847)+1,"")</f>
        <v>0</v>
      </c>
    </row>
    <row r="1849" spans="1:22">
      <c r="A1849" s="16"/>
      <c r="B1849" s="23"/>
      <c r="C1849" s="15"/>
      <c r="D1849" s="15"/>
      <c r="E1849" s="15"/>
      <c r="F1849" s="24"/>
      <c r="G1849" s="17"/>
      <c r="H1849" s="17"/>
      <c r="I1849" s="15"/>
      <c r="J1849" s="25">
        <f>IF($D1849="","",IFERROR(INDEX(PacNome,MATCH($D1849,PacCod,0)),"Paciente não cadastrado"))</f>
        <v>0</v>
      </c>
      <c r="K1849" s="26">
        <f>IF($D1849="","",IFERROR(INDEX(PacConv,MATCH($D1849,PacCod,0))&amp;"",""))</f>
        <v>0</v>
      </c>
      <c r="L1849" s="26">
        <f>IF($A1849="","",CHOOSE(WEEKDAY($A1849,2),"Seg","Ter","Qua","Qui","Sex","Sáb","Dom"))</f>
        <v>0</v>
      </c>
      <c r="M1849" s="27">
        <f>IF($E1849="","",IF($G1849&lt;&gt;"",$G1849,IFERROR(INDEX(ProcValor,MATCH($E1849,ProcNome,0)),0)))</f>
        <v>0</v>
      </c>
      <c r="N1849" s="27">
        <f>IF($M1849="","",IF($F1849="Compareceu",$M1849,0))</f>
        <v>0</v>
      </c>
      <c r="O1849" s="27">
        <f>IF($M1849="","",IF($F1849="Faltou",$M1849,0))</f>
        <v>0</v>
      </c>
      <c r="P1849" s="27">
        <f>IF($M1849="","",IF($F1849="Compareceu",MAX(0,$M1849-N($H1849)),0))</f>
        <v>0</v>
      </c>
      <c r="Q1849" s="19">
        <f>IF(AND($F1849="Compareceu",$E1849&lt;&gt;"",$A1849&lt;&gt;""),IF(IFERROR(INDEX(ProcRet,MATCH($E1849,ProcNome,0)),0)&gt;0,$A1849+INDEX(ProcRet,MATCH($E1849,ProcNome,0)),""),"")</f>
        <v>0</v>
      </c>
      <c r="R1849" s="26">
        <f>IF($Q1849="","",IF(COUNTIFS(AgPac,$D1849,AgData,"&gt;"&amp;$A1849,AgStatus,"&lt;&gt;Cancelado",AgStatus,"&lt;&gt;Remarcado")&gt;0,"Sim","Não"))</f>
        <v>0</v>
      </c>
      <c r="S1849" s="28">
        <f>IF($A1849="","",IF(AND($F1849="Agendado",$A1849-Hoje&gt;=0,$A1849-Hoje&lt;=DiasConf),"CONFIRMAR",IF(AND($A1849&lt;Hoje,OR($F1849="Agendado",$F1849="Confirmado")),"Atualizar status",IF(AND($F1849="Compareceu",$P1849&gt;0.005),"Cobrar",IF($F1849="Faltou","Falta: reagendar","")))))</f>
        <v>0</v>
      </c>
      <c r="T1849" s="29">
        <f>IF($A1849="","",DATE(YEAR($A1849),MONTH($A1849),1))</f>
        <v>0</v>
      </c>
      <c r="U1849" s="30">
        <f>IF($S1849="CONFIRMAR",MAX($U$4:$U1848)+1,"")</f>
        <v>0</v>
      </c>
      <c r="V1849" s="30">
        <f>IF(AND($R1849="Não",$Q1849&lt;&gt;"",$Q1849&lt;=Hoje+JanelaRet,$Q1849&gt;=Hoje-60),MAX($V$4:$V1848)+1,"")</f>
        <v>0</v>
      </c>
    </row>
    <row r="1850" spans="1:22">
      <c r="A1850" s="16"/>
      <c r="B1850" s="23"/>
      <c r="C1850" s="15"/>
      <c r="D1850" s="15"/>
      <c r="E1850" s="15"/>
      <c r="F1850" s="24"/>
      <c r="G1850" s="17"/>
      <c r="H1850" s="17"/>
      <c r="I1850" s="15"/>
      <c r="J1850" s="25">
        <f>IF($D1850="","",IFERROR(INDEX(PacNome,MATCH($D1850,PacCod,0)),"Paciente não cadastrado"))</f>
        <v>0</v>
      </c>
      <c r="K1850" s="26">
        <f>IF($D1850="","",IFERROR(INDEX(PacConv,MATCH($D1850,PacCod,0))&amp;"",""))</f>
        <v>0</v>
      </c>
      <c r="L1850" s="26">
        <f>IF($A1850="","",CHOOSE(WEEKDAY($A1850,2),"Seg","Ter","Qua","Qui","Sex","Sáb","Dom"))</f>
        <v>0</v>
      </c>
      <c r="M1850" s="27">
        <f>IF($E1850="","",IF($G1850&lt;&gt;"",$G1850,IFERROR(INDEX(ProcValor,MATCH($E1850,ProcNome,0)),0)))</f>
        <v>0</v>
      </c>
      <c r="N1850" s="27">
        <f>IF($M1850="","",IF($F1850="Compareceu",$M1850,0))</f>
        <v>0</v>
      </c>
      <c r="O1850" s="27">
        <f>IF($M1850="","",IF($F1850="Faltou",$M1850,0))</f>
        <v>0</v>
      </c>
      <c r="P1850" s="27">
        <f>IF($M1850="","",IF($F1850="Compareceu",MAX(0,$M1850-N($H1850)),0))</f>
        <v>0</v>
      </c>
      <c r="Q1850" s="19">
        <f>IF(AND($F1850="Compareceu",$E1850&lt;&gt;"",$A1850&lt;&gt;""),IF(IFERROR(INDEX(ProcRet,MATCH($E1850,ProcNome,0)),0)&gt;0,$A1850+INDEX(ProcRet,MATCH($E1850,ProcNome,0)),""),"")</f>
        <v>0</v>
      </c>
      <c r="R1850" s="26">
        <f>IF($Q1850="","",IF(COUNTIFS(AgPac,$D1850,AgData,"&gt;"&amp;$A1850,AgStatus,"&lt;&gt;Cancelado",AgStatus,"&lt;&gt;Remarcado")&gt;0,"Sim","Não"))</f>
        <v>0</v>
      </c>
      <c r="S1850" s="28">
        <f>IF($A1850="","",IF(AND($F1850="Agendado",$A1850-Hoje&gt;=0,$A1850-Hoje&lt;=DiasConf),"CONFIRMAR",IF(AND($A1850&lt;Hoje,OR($F1850="Agendado",$F1850="Confirmado")),"Atualizar status",IF(AND($F1850="Compareceu",$P1850&gt;0.005),"Cobrar",IF($F1850="Faltou","Falta: reagendar","")))))</f>
        <v>0</v>
      </c>
      <c r="T1850" s="29">
        <f>IF($A1850="","",DATE(YEAR($A1850),MONTH($A1850),1))</f>
        <v>0</v>
      </c>
      <c r="U1850" s="30">
        <f>IF($S1850="CONFIRMAR",MAX($U$4:$U1849)+1,"")</f>
        <v>0</v>
      </c>
      <c r="V1850" s="30">
        <f>IF(AND($R1850="Não",$Q1850&lt;&gt;"",$Q1850&lt;=Hoje+JanelaRet,$Q1850&gt;=Hoje-60),MAX($V$4:$V1849)+1,"")</f>
        <v>0</v>
      </c>
    </row>
    <row r="1851" spans="1:22">
      <c r="A1851" s="16"/>
      <c r="B1851" s="23"/>
      <c r="C1851" s="15"/>
      <c r="D1851" s="15"/>
      <c r="E1851" s="15"/>
      <c r="F1851" s="24"/>
      <c r="G1851" s="17"/>
      <c r="H1851" s="17"/>
      <c r="I1851" s="15"/>
      <c r="J1851" s="25">
        <f>IF($D1851="","",IFERROR(INDEX(PacNome,MATCH($D1851,PacCod,0)),"Paciente não cadastrado"))</f>
        <v>0</v>
      </c>
      <c r="K1851" s="26">
        <f>IF($D1851="","",IFERROR(INDEX(PacConv,MATCH($D1851,PacCod,0))&amp;"",""))</f>
        <v>0</v>
      </c>
      <c r="L1851" s="26">
        <f>IF($A1851="","",CHOOSE(WEEKDAY($A1851,2),"Seg","Ter","Qua","Qui","Sex","Sáb","Dom"))</f>
        <v>0</v>
      </c>
      <c r="M1851" s="27">
        <f>IF($E1851="","",IF($G1851&lt;&gt;"",$G1851,IFERROR(INDEX(ProcValor,MATCH($E1851,ProcNome,0)),0)))</f>
        <v>0</v>
      </c>
      <c r="N1851" s="27">
        <f>IF($M1851="","",IF($F1851="Compareceu",$M1851,0))</f>
        <v>0</v>
      </c>
      <c r="O1851" s="27">
        <f>IF($M1851="","",IF($F1851="Faltou",$M1851,0))</f>
        <v>0</v>
      </c>
      <c r="P1851" s="27">
        <f>IF($M1851="","",IF($F1851="Compareceu",MAX(0,$M1851-N($H1851)),0))</f>
        <v>0</v>
      </c>
      <c r="Q1851" s="19">
        <f>IF(AND($F1851="Compareceu",$E1851&lt;&gt;"",$A1851&lt;&gt;""),IF(IFERROR(INDEX(ProcRet,MATCH($E1851,ProcNome,0)),0)&gt;0,$A1851+INDEX(ProcRet,MATCH($E1851,ProcNome,0)),""),"")</f>
        <v>0</v>
      </c>
      <c r="R1851" s="26">
        <f>IF($Q1851="","",IF(COUNTIFS(AgPac,$D1851,AgData,"&gt;"&amp;$A1851,AgStatus,"&lt;&gt;Cancelado",AgStatus,"&lt;&gt;Remarcado")&gt;0,"Sim","Não"))</f>
        <v>0</v>
      </c>
      <c r="S1851" s="28">
        <f>IF($A1851="","",IF(AND($F1851="Agendado",$A1851-Hoje&gt;=0,$A1851-Hoje&lt;=DiasConf),"CONFIRMAR",IF(AND($A1851&lt;Hoje,OR($F1851="Agendado",$F1851="Confirmado")),"Atualizar status",IF(AND($F1851="Compareceu",$P1851&gt;0.005),"Cobrar",IF($F1851="Faltou","Falta: reagendar","")))))</f>
        <v>0</v>
      </c>
      <c r="T1851" s="29">
        <f>IF($A1851="","",DATE(YEAR($A1851),MONTH($A1851),1))</f>
        <v>0</v>
      </c>
      <c r="U1851" s="30">
        <f>IF($S1851="CONFIRMAR",MAX($U$4:$U1850)+1,"")</f>
        <v>0</v>
      </c>
      <c r="V1851" s="30">
        <f>IF(AND($R1851="Não",$Q1851&lt;&gt;"",$Q1851&lt;=Hoje+JanelaRet,$Q1851&gt;=Hoje-60),MAX($V$4:$V1850)+1,"")</f>
        <v>0</v>
      </c>
    </row>
    <row r="1852" spans="1:22">
      <c r="A1852" s="16"/>
      <c r="B1852" s="23"/>
      <c r="C1852" s="15"/>
      <c r="D1852" s="15"/>
      <c r="E1852" s="15"/>
      <c r="F1852" s="24"/>
      <c r="G1852" s="17"/>
      <c r="H1852" s="17"/>
      <c r="I1852" s="15"/>
      <c r="J1852" s="25">
        <f>IF($D1852="","",IFERROR(INDEX(PacNome,MATCH($D1852,PacCod,0)),"Paciente não cadastrado"))</f>
        <v>0</v>
      </c>
      <c r="K1852" s="26">
        <f>IF($D1852="","",IFERROR(INDEX(PacConv,MATCH($D1852,PacCod,0))&amp;"",""))</f>
        <v>0</v>
      </c>
      <c r="L1852" s="26">
        <f>IF($A1852="","",CHOOSE(WEEKDAY($A1852,2),"Seg","Ter","Qua","Qui","Sex","Sáb","Dom"))</f>
        <v>0</v>
      </c>
      <c r="M1852" s="27">
        <f>IF($E1852="","",IF($G1852&lt;&gt;"",$G1852,IFERROR(INDEX(ProcValor,MATCH($E1852,ProcNome,0)),0)))</f>
        <v>0</v>
      </c>
      <c r="N1852" s="27">
        <f>IF($M1852="","",IF($F1852="Compareceu",$M1852,0))</f>
        <v>0</v>
      </c>
      <c r="O1852" s="27">
        <f>IF($M1852="","",IF($F1852="Faltou",$M1852,0))</f>
        <v>0</v>
      </c>
      <c r="P1852" s="27">
        <f>IF($M1852="","",IF($F1852="Compareceu",MAX(0,$M1852-N($H1852)),0))</f>
        <v>0</v>
      </c>
      <c r="Q1852" s="19">
        <f>IF(AND($F1852="Compareceu",$E1852&lt;&gt;"",$A1852&lt;&gt;""),IF(IFERROR(INDEX(ProcRet,MATCH($E1852,ProcNome,0)),0)&gt;0,$A1852+INDEX(ProcRet,MATCH($E1852,ProcNome,0)),""),"")</f>
        <v>0</v>
      </c>
      <c r="R1852" s="26">
        <f>IF($Q1852="","",IF(COUNTIFS(AgPac,$D1852,AgData,"&gt;"&amp;$A1852,AgStatus,"&lt;&gt;Cancelado",AgStatus,"&lt;&gt;Remarcado")&gt;0,"Sim","Não"))</f>
        <v>0</v>
      </c>
      <c r="S1852" s="28">
        <f>IF($A1852="","",IF(AND($F1852="Agendado",$A1852-Hoje&gt;=0,$A1852-Hoje&lt;=DiasConf),"CONFIRMAR",IF(AND($A1852&lt;Hoje,OR($F1852="Agendado",$F1852="Confirmado")),"Atualizar status",IF(AND($F1852="Compareceu",$P1852&gt;0.005),"Cobrar",IF($F1852="Faltou","Falta: reagendar","")))))</f>
        <v>0</v>
      </c>
      <c r="T1852" s="29">
        <f>IF($A1852="","",DATE(YEAR($A1852),MONTH($A1852),1))</f>
        <v>0</v>
      </c>
      <c r="U1852" s="30">
        <f>IF($S1852="CONFIRMAR",MAX($U$4:$U1851)+1,"")</f>
        <v>0</v>
      </c>
      <c r="V1852" s="30">
        <f>IF(AND($R1852="Não",$Q1852&lt;&gt;"",$Q1852&lt;=Hoje+JanelaRet,$Q1852&gt;=Hoje-60),MAX($V$4:$V1851)+1,"")</f>
        <v>0</v>
      </c>
    </row>
    <row r="1853" spans="1:22">
      <c r="A1853" s="16"/>
      <c r="B1853" s="23"/>
      <c r="C1853" s="15"/>
      <c r="D1853" s="15"/>
      <c r="E1853" s="15"/>
      <c r="F1853" s="24"/>
      <c r="G1853" s="17"/>
      <c r="H1853" s="17"/>
      <c r="I1853" s="15"/>
      <c r="J1853" s="25">
        <f>IF($D1853="","",IFERROR(INDEX(PacNome,MATCH($D1853,PacCod,0)),"Paciente não cadastrado"))</f>
        <v>0</v>
      </c>
      <c r="K1853" s="26">
        <f>IF($D1853="","",IFERROR(INDEX(PacConv,MATCH($D1853,PacCod,0))&amp;"",""))</f>
        <v>0</v>
      </c>
      <c r="L1853" s="26">
        <f>IF($A1853="","",CHOOSE(WEEKDAY($A1853,2),"Seg","Ter","Qua","Qui","Sex","Sáb","Dom"))</f>
        <v>0</v>
      </c>
      <c r="M1853" s="27">
        <f>IF($E1853="","",IF($G1853&lt;&gt;"",$G1853,IFERROR(INDEX(ProcValor,MATCH($E1853,ProcNome,0)),0)))</f>
        <v>0</v>
      </c>
      <c r="N1853" s="27">
        <f>IF($M1853="","",IF($F1853="Compareceu",$M1853,0))</f>
        <v>0</v>
      </c>
      <c r="O1853" s="27">
        <f>IF($M1853="","",IF($F1853="Faltou",$M1853,0))</f>
        <v>0</v>
      </c>
      <c r="P1853" s="27">
        <f>IF($M1853="","",IF($F1853="Compareceu",MAX(0,$M1853-N($H1853)),0))</f>
        <v>0</v>
      </c>
      <c r="Q1853" s="19">
        <f>IF(AND($F1853="Compareceu",$E1853&lt;&gt;"",$A1853&lt;&gt;""),IF(IFERROR(INDEX(ProcRet,MATCH($E1853,ProcNome,0)),0)&gt;0,$A1853+INDEX(ProcRet,MATCH($E1853,ProcNome,0)),""),"")</f>
        <v>0</v>
      </c>
      <c r="R1853" s="26">
        <f>IF($Q1853="","",IF(COUNTIFS(AgPac,$D1853,AgData,"&gt;"&amp;$A1853,AgStatus,"&lt;&gt;Cancelado",AgStatus,"&lt;&gt;Remarcado")&gt;0,"Sim","Não"))</f>
        <v>0</v>
      </c>
      <c r="S1853" s="28">
        <f>IF($A1853="","",IF(AND($F1853="Agendado",$A1853-Hoje&gt;=0,$A1853-Hoje&lt;=DiasConf),"CONFIRMAR",IF(AND($A1853&lt;Hoje,OR($F1853="Agendado",$F1853="Confirmado")),"Atualizar status",IF(AND($F1853="Compareceu",$P1853&gt;0.005),"Cobrar",IF($F1853="Faltou","Falta: reagendar","")))))</f>
        <v>0</v>
      </c>
      <c r="T1853" s="29">
        <f>IF($A1853="","",DATE(YEAR($A1853),MONTH($A1853),1))</f>
        <v>0</v>
      </c>
      <c r="U1853" s="30">
        <f>IF($S1853="CONFIRMAR",MAX($U$4:$U1852)+1,"")</f>
        <v>0</v>
      </c>
      <c r="V1853" s="30">
        <f>IF(AND($R1853="Não",$Q1853&lt;&gt;"",$Q1853&lt;=Hoje+JanelaRet,$Q1853&gt;=Hoje-60),MAX($V$4:$V1852)+1,"")</f>
        <v>0</v>
      </c>
    </row>
    <row r="1854" spans="1:22">
      <c r="A1854" s="16"/>
      <c r="B1854" s="23"/>
      <c r="C1854" s="15"/>
      <c r="D1854" s="15"/>
      <c r="E1854" s="15"/>
      <c r="F1854" s="24"/>
      <c r="G1854" s="17"/>
      <c r="H1854" s="17"/>
      <c r="I1854" s="15"/>
      <c r="J1854" s="25">
        <f>IF($D1854="","",IFERROR(INDEX(PacNome,MATCH($D1854,PacCod,0)),"Paciente não cadastrado"))</f>
        <v>0</v>
      </c>
      <c r="K1854" s="26">
        <f>IF($D1854="","",IFERROR(INDEX(PacConv,MATCH($D1854,PacCod,0))&amp;"",""))</f>
        <v>0</v>
      </c>
      <c r="L1854" s="26">
        <f>IF($A1854="","",CHOOSE(WEEKDAY($A1854,2),"Seg","Ter","Qua","Qui","Sex","Sáb","Dom"))</f>
        <v>0</v>
      </c>
      <c r="M1854" s="27">
        <f>IF($E1854="","",IF($G1854&lt;&gt;"",$G1854,IFERROR(INDEX(ProcValor,MATCH($E1854,ProcNome,0)),0)))</f>
        <v>0</v>
      </c>
      <c r="N1854" s="27">
        <f>IF($M1854="","",IF($F1854="Compareceu",$M1854,0))</f>
        <v>0</v>
      </c>
      <c r="O1854" s="27">
        <f>IF($M1854="","",IF($F1854="Faltou",$M1854,0))</f>
        <v>0</v>
      </c>
      <c r="P1854" s="27">
        <f>IF($M1854="","",IF($F1854="Compareceu",MAX(0,$M1854-N($H1854)),0))</f>
        <v>0</v>
      </c>
      <c r="Q1854" s="19">
        <f>IF(AND($F1854="Compareceu",$E1854&lt;&gt;"",$A1854&lt;&gt;""),IF(IFERROR(INDEX(ProcRet,MATCH($E1854,ProcNome,0)),0)&gt;0,$A1854+INDEX(ProcRet,MATCH($E1854,ProcNome,0)),""),"")</f>
        <v>0</v>
      </c>
      <c r="R1854" s="26">
        <f>IF($Q1854="","",IF(COUNTIFS(AgPac,$D1854,AgData,"&gt;"&amp;$A1854,AgStatus,"&lt;&gt;Cancelado",AgStatus,"&lt;&gt;Remarcado")&gt;0,"Sim","Não"))</f>
        <v>0</v>
      </c>
      <c r="S1854" s="28">
        <f>IF($A1854="","",IF(AND($F1854="Agendado",$A1854-Hoje&gt;=0,$A1854-Hoje&lt;=DiasConf),"CONFIRMAR",IF(AND($A1854&lt;Hoje,OR($F1854="Agendado",$F1854="Confirmado")),"Atualizar status",IF(AND($F1854="Compareceu",$P1854&gt;0.005),"Cobrar",IF($F1854="Faltou","Falta: reagendar","")))))</f>
        <v>0</v>
      </c>
      <c r="T1854" s="29">
        <f>IF($A1854="","",DATE(YEAR($A1854),MONTH($A1854),1))</f>
        <v>0</v>
      </c>
      <c r="U1854" s="30">
        <f>IF($S1854="CONFIRMAR",MAX($U$4:$U1853)+1,"")</f>
        <v>0</v>
      </c>
      <c r="V1854" s="30">
        <f>IF(AND($R1854="Não",$Q1854&lt;&gt;"",$Q1854&lt;=Hoje+JanelaRet,$Q1854&gt;=Hoje-60),MAX($V$4:$V1853)+1,"")</f>
        <v>0</v>
      </c>
    </row>
    <row r="1855" spans="1:22">
      <c r="A1855" s="16"/>
      <c r="B1855" s="23"/>
      <c r="C1855" s="15"/>
      <c r="D1855" s="15"/>
      <c r="E1855" s="15"/>
      <c r="F1855" s="24"/>
      <c r="G1855" s="17"/>
      <c r="H1855" s="17"/>
      <c r="I1855" s="15"/>
      <c r="J1855" s="25">
        <f>IF($D1855="","",IFERROR(INDEX(PacNome,MATCH($D1855,PacCod,0)),"Paciente não cadastrado"))</f>
        <v>0</v>
      </c>
      <c r="K1855" s="26">
        <f>IF($D1855="","",IFERROR(INDEX(PacConv,MATCH($D1855,PacCod,0))&amp;"",""))</f>
        <v>0</v>
      </c>
      <c r="L1855" s="26">
        <f>IF($A1855="","",CHOOSE(WEEKDAY($A1855,2),"Seg","Ter","Qua","Qui","Sex","Sáb","Dom"))</f>
        <v>0</v>
      </c>
      <c r="M1855" s="27">
        <f>IF($E1855="","",IF($G1855&lt;&gt;"",$G1855,IFERROR(INDEX(ProcValor,MATCH($E1855,ProcNome,0)),0)))</f>
        <v>0</v>
      </c>
      <c r="N1855" s="27">
        <f>IF($M1855="","",IF($F1855="Compareceu",$M1855,0))</f>
        <v>0</v>
      </c>
      <c r="O1855" s="27">
        <f>IF($M1855="","",IF($F1855="Faltou",$M1855,0))</f>
        <v>0</v>
      </c>
      <c r="P1855" s="27">
        <f>IF($M1855="","",IF($F1855="Compareceu",MAX(0,$M1855-N($H1855)),0))</f>
        <v>0</v>
      </c>
      <c r="Q1855" s="19">
        <f>IF(AND($F1855="Compareceu",$E1855&lt;&gt;"",$A1855&lt;&gt;""),IF(IFERROR(INDEX(ProcRet,MATCH($E1855,ProcNome,0)),0)&gt;0,$A1855+INDEX(ProcRet,MATCH($E1855,ProcNome,0)),""),"")</f>
        <v>0</v>
      </c>
      <c r="R1855" s="26">
        <f>IF($Q1855="","",IF(COUNTIFS(AgPac,$D1855,AgData,"&gt;"&amp;$A1855,AgStatus,"&lt;&gt;Cancelado",AgStatus,"&lt;&gt;Remarcado")&gt;0,"Sim","Não"))</f>
        <v>0</v>
      </c>
      <c r="S1855" s="28">
        <f>IF($A1855="","",IF(AND($F1855="Agendado",$A1855-Hoje&gt;=0,$A1855-Hoje&lt;=DiasConf),"CONFIRMAR",IF(AND($A1855&lt;Hoje,OR($F1855="Agendado",$F1855="Confirmado")),"Atualizar status",IF(AND($F1855="Compareceu",$P1855&gt;0.005),"Cobrar",IF($F1855="Faltou","Falta: reagendar","")))))</f>
        <v>0</v>
      </c>
      <c r="T1855" s="29">
        <f>IF($A1855="","",DATE(YEAR($A1855),MONTH($A1855),1))</f>
        <v>0</v>
      </c>
      <c r="U1855" s="30">
        <f>IF($S1855="CONFIRMAR",MAX($U$4:$U1854)+1,"")</f>
        <v>0</v>
      </c>
      <c r="V1855" s="30">
        <f>IF(AND($R1855="Não",$Q1855&lt;&gt;"",$Q1855&lt;=Hoje+JanelaRet,$Q1855&gt;=Hoje-60),MAX($V$4:$V1854)+1,"")</f>
        <v>0</v>
      </c>
    </row>
    <row r="1856" spans="1:22">
      <c r="A1856" s="16"/>
      <c r="B1856" s="23"/>
      <c r="C1856" s="15"/>
      <c r="D1856" s="15"/>
      <c r="E1856" s="15"/>
      <c r="F1856" s="24"/>
      <c r="G1856" s="17"/>
      <c r="H1856" s="17"/>
      <c r="I1856" s="15"/>
      <c r="J1856" s="25">
        <f>IF($D1856="","",IFERROR(INDEX(PacNome,MATCH($D1856,PacCod,0)),"Paciente não cadastrado"))</f>
        <v>0</v>
      </c>
      <c r="K1856" s="26">
        <f>IF($D1856="","",IFERROR(INDEX(PacConv,MATCH($D1856,PacCod,0))&amp;"",""))</f>
        <v>0</v>
      </c>
      <c r="L1856" s="26">
        <f>IF($A1856="","",CHOOSE(WEEKDAY($A1856,2),"Seg","Ter","Qua","Qui","Sex","Sáb","Dom"))</f>
        <v>0</v>
      </c>
      <c r="M1856" s="27">
        <f>IF($E1856="","",IF($G1856&lt;&gt;"",$G1856,IFERROR(INDEX(ProcValor,MATCH($E1856,ProcNome,0)),0)))</f>
        <v>0</v>
      </c>
      <c r="N1856" s="27">
        <f>IF($M1856="","",IF($F1856="Compareceu",$M1856,0))</f>
        <v>0</v>
      </c>
      <c r="O1856" s="27">
        <f>IF($M1856="","",IF($F1856="Faltou",$M1856,0))</f>
        <v>0</v>
      </c>
      <c r="P1856" s="27">
        <f>IF($M1856="","",IF($F1856="Compareceu",MAX(0,$M1856-N($H1856)),0))</f>
        <v>0</v>
      </c>
      <c r="Q1856" s="19">
        <f>IF(AND($F1856="Compareceu",$E1856&lt;&gt;"",$A1856&lt;&gt;""),IF(IFERROR(INDEX(ProcRet,MATCH($E1856,ProcNome,0)),0)&gt;0,$A1856+INDEX(ProcRet,MATCH($E1856,ProcNome,0)),""),"")</f>
        <v>0</v>
      </c>
      <c r="R1856" s="26">
        <f>IF($Q1856="","",IF(COUNTIFS(AgPac,$D1856,AgData,"&gt;"&amp;$A1856,AgStatus,"&lt;&gt;Cancelado",AgStatus,"&lt;&gt;Remarcado")&gt;0,"Sim","Não"))</f>
        <v>0</v>
      </c>
      <c r="S1856" s="28">
        <f>IF($A1856="","",IF(AND($F1856="Agendado",$A1856-Hoje&gt;=0,$A1856-Hoje&lt;=DiasConf),"CONFIRMAR",IF(AND($A1856&lt;Hoje,OR($F1856="Agendado",$F1856="Confirmado")),"Atualizar status",IF(AND($F1856="Compareceu",$P1856&gt;0.005),"Cobrar",IF($F1856="Faltou","Falta: reagendar","")))))</f>
        <v>0</v>
      </c>
      <c r="T1856" s="29">
        <f>IF($A1856="","",DATE(YEAR($A1856),MONTH($A1856),1))</f>
        <v>0</v>
      </c>
      <c r="U1856" s="30">
        <f>IF($S1856="CONFIRMAR",MAX($U$4:$U1855)+1,"")</f>
        <v>0</v>
      </c>
      <c r="V1856" s="30">
        <f>IF(AND($R1856="Não",$Q1856&lt;&gt;"",$Q1856&lt;=Hoje+JanelaRet,$Q1856&gt;=Hoje-60),MAX($V$4:$V1855)+1,"")</f>
        <v>0</v>
      </c>
    </row>
    <row r="1857" spans="1:22">
      <c r="A1857" s="16"/>
      <c r="B1857" s="23"/>
      <c r="C1857" s="15"/>
      <c r="D1857" s="15"/>
      <c r="E1857" s="15"/>
      <c r="F1857" s="24"/>
      <c r="G1857" s="17"/>
      <c r="H1857" s="17"/>
      <c r="I1857" s="15"/>
      <c r="J1857" s="25">
        <f>IF($D1857="","",IFERROR(INDEX(PacNome,MATCH($D1857,PacCod,0)),"Paciente não cadastrado"))</f>
        <v>0</v>
      </c>
      <c r="K1857" s="26">
        <f>IF($D1857="","",IFERROR(INDEX(PacConv,MATCH($D1857,PacCod,0))&amp;"",""))</f>
        <v>0</v>
      </c>
      <c r="L1857" s="26">
        <f>IF($A1857="","",CHOOSE(WEEKDAY($A1857,2),"Seg","Ter","Qua","Qui","Sex","Sáb","Dom"))</f>
        <v>0</v>
      </c>
      <c r="M1857" s="27">
        <f>IF($E1857="","",IF($G1857&lt;&gt;"",$G1857,IFERROR(INDEX(ProcValor,MATCH($E1857,ProcNome,0)),0)))</f>
        <v>0</v>
      </c>
      <c r="N1857" s="27">
        <f>IF($M1857="","",IF($F1857="Compareceu",$M1857,0))</f>
        <v>0</v>
      </c>
      <c r="O1857" s="27">
        <f>IF($M1857="","",IF($F1857="Faltou",$M1857,0))</f>
        <v>0</v>
      </c>
      <c r="P1857" s="27">
        <f>IF($M1857="","",IF($F1857="Compareceu",MAX(0,$M1857-N($H1857)),0))</f>
        <v>0</v>
      </c>
      <c r="Q1857" s="19">
        <f>IF(AND($F1857="Compareceu",$E1857&lt;&gt;"",$A1857&lt;&gt;""),IF(IFERROR(INDEX(ProcRet,MATCH($E1857,ProcNome,0)),0)&gt;0,$A1857+INDEX(ProcRet,MATCH($E1857,ProcNome,0)),""),"")</f>
        <v>0</v>
      </c>
      <c r="R1857" s="26">
        <f>IF($Q1857="","",IF(COUNTIFS(AgPac,$D1857,AgData,"&gt;"&amp;$A1857,AgStatus,"&lt;&gt;Cancelado",AgStatus,"&lt;&gt;Remarcado")&gt;0,"Sim","Não"))</f>
        <v>0</v>
      </c>
      <c r="S1857" s="28">
        <f>IF($A1857="","",IF(AND($F1857="Agendado",$A1857-Hoje&gt;=0,$A1857-Hoje&lt;=DiasConf),"CONFIRMAR",IF(AND($A1857&lt;Hoje,OR($F1857="Agendado",$F1857="Confirmado")),"Atualizar status",IF(AND($F1857="Compareceu",$P1857&gt;0.005),"Cobrar",IF($F1857="Faltou","Falta: reagendar","")))))</f>
        <v>0</v>
      </c>
      <c r="T1857" s="29">
        <f>IF($A1857="","",DATE(YEAR($A1857),MONTH($A1857),1))</f>
        <v>0</v>
      </c>
      <c r="U1857" s="30">
        <f>IF($S1857="CONFIRMAR",MAX($U$4:$U1856)+1,"")</f>
        <v>0</v>
      </c>
      <c r="V1857" s="30">
        <f>IF(AND($R1857="Não",$Q1857&lt;&gt;"",$Q1857&lt;=Hoje+JanelaRet,$Q1857&gt;=Hoje-60),MAX($V$4:$V1856)+1,"")</f>
        <v>0</v>
      </c>
    </row>
    <row r="1858" spans="1:22">
      <c r="A1858" s="16"/>
      <c r="B1858" s="23"/>
      <c r="C1858" s="15"/>
      <c r="D1858" s="15"/>
      <c r="E1858" s="15"/>
      <c r="F1858" s="24"/>
      <c r="G1858" s="17"/>
      <c r="H1858" s="17"/>
      <c r="I1858" s="15"/>
      <c r="J1858" s="25">
        <f>IF($D1858="","",IFERROR(INDEX(PacNome,MATCH($D1858,PacCod,0)),"Paciente não cadastrado"))</f>
        <v>0</v>
      </c>
      <c r="K1858" s="26">
        <f>IF($D1858="","",IFERROR(INDEX(PacConv,MATCH($D1858,PacCod,0))&amp;"",""))</f>
        <v>0</v>
      </c>
      <c r="L1858" s="26">
        <f>IF($A1858="","",CHOOSE(WEEKDAY($A1858,2),"Seg","Ter","Qua","Qui","Sex","Sáb","Dom"))</f>
        <v>0</v>
      </c>
      <c r="M1858" s="27">
        <f>IF($E1858="","",IF($G1858&lt;&gt;"",$G1858,IFERROR(INDEX(ProcValor,MATCH($E1858,ProcNome,0)),0)))</f>
        <v>0</v>
      </c>
      <c r="N1858" s="27">
        <f>IF($M1858="","",IF($F1858="Compareceu",$M1858,0))</f>
        <v>0</v>
      </c>
      <c r="O1858" s="27">
        <f>IF($M1858="","",IF($F1858="Faltou",$M1858,0))</f>
        <v>0</v>
      </c>
      <c r="P1858" s="27">
        <f>IF($M1858="","",IF($F1858="Compareceu",MAX(0,$M1858-N($H1858)),0))</f>
        <v>0</v>
      </c>
      <c r="Q1858" s="19">
        <f>IF(AND($F1858="Compareceu",$E1858&lt;&gt;"",$A1858&lt;&gt;""),IF(IFERROR(INDEX(ProcRet,MATCH($E1858,ProcNome,0)),0)&gt;0,$A1858+INDEX(ProcRet,MATCH($E1858,ProcNome,0)),""),"")</f>
        <v>0</v>
      </c>
      <c r="R1858" s="26">
        <f>IF($Q1858="","",IF(COUNTIFS(AgPac,$D1858,AgData,"&gt;"&amp;$A1858,AgStatus,"&lt;&gt;Cancelado",AgStatus,"&lt;&gt;Remarcado")&gt;0,"Sim","Não"))</f>
        <v>0</v>
      </c>
      <c r="S1858" s="28">
        <f>IF($A1858="","",IF(AND($F1858="Agendado",$A1858-Hoje&gt;=0,$A1858-Hoje&lt;=DiasConf),"CONFIRMAR",IF(AND($A1858&lt;Hoje,OR($F1858="Agendado",$F1858="Confirmado")),"Atualizar status",IF(AND($F1858="Compareceu",$P1858&gt;0.005),"Cobrar",IF($F1858="Faltou","Falta: reagendar","")))))</f>
        <v>0</v>
      </c>
      <c r="T1858" s="29">
        <f>IF($A1858="","",DATE(YEAR($A1858),MONTH($A1858),1))</f>
        <v>0</v>
      </c>
      <c r="U1858" s="30">
        <f>IF($S1858="CONFIRMAR",MAX($U$4:$U1857)+1,"")</f>
        <v>0</v>
      </c>
      <c r="V1858" s="30">
        <f>IF(AND($R1858="Não",$Q1858&lt;&gt;"",$Q1858&lt;=Hoje+JanelaRet,$Q1858&gt;=Hoje-60),MAX($V$4:$V1857)+1,"")</f>
        <v>0</v>
      </c>
    </row>
    <row r="1859" spans="1:22">
      <c r="A1859" s="16"/>
      <c r="B1859" s="23"/>
      <c r="C1859" s="15"/>
      <c r="D1859" s="15"/>
      <c r="E1859" s="15"/>
      <c r="F1859" s="24"/>
      <c r="G1859" s="17"/>
      <c r="H1859" s="17"/>
      <c r="I1859" s="15"/>
      <c r="J1859" s="25">
        <f>IF($D1859="","",IFERROR(INDEX(PacNome,MATCH($D1859,PacCod,0)),"Paciente não cadastrado"))</f>
        <v>0</v>
      </c>
      <c r="K1859" s="26">
        <f>IF($D1859="","",IFERROR(INDEX(PacConv,MATCH($D1859,PacCod,0))&amp;"",""))</f>
        <v>0</v>
      </c>
      <c r="L1859" s="26">
        <f>IF($A1859="","",CHOOSE(WEEKDAY($A1859,2),"Seg","Ter","Qua","Qui","Sex","Sáb","Dom"))</f>
        <v>0</v>
      </c>
      <c r="M1859" s="27">
        <f>IF($E1859="","",IF($G1859&lt;&gt;"",$G1859,IFERROR(INDEX(ProcValor,MATCH($E1859,ProcNome,0)),0)))</f>
        <v>0</v>
      </c>
      <c r="N1859" s="27">
        <f>IF($M1859="","",IF($F1859="Compareceu",$M1859,0))</f>
        <v>0</v>
      </c>
      <c r="O1859" s="27">
        <f>IF($M1859="","",IF($F1859="Faltou",$M1859,0))</f>
        <v>0</v>
      </c>
      <c r="P1859" s="27">
        <f>IF($M1859="","",IF($F1859="Compareceu",MAX(0,$M1859-N($H1859)),0))</f>
        <v>0</v>
      </c>
      <c r="Q1859" s="19">
        <f>IF(AND($F1859="Compareceu",$E1859&lt;&gt;"",$A1859&lt;&gt;""),IF(IFERROR(INDEX(ProcRet,MATCH($E1859,ProcNome,0)),0)&gt;0,$A1859+INDEX(ProcRet,MATCH($E1859,ProcNome,0)),""),"")</f>
        <v>0</v>
      </c>
      <c r="R1859" s="26">
        <f>IF($Q1859="","",IF(COUNTIFS(AgPac,$D1859,AgData,"&gt;"&amp;$A1859,AgStatus,"&lt;&gt;Cancelado",AgStatus,"&lt;&gt;Remarcado")&gt;0,"Sim","Não"))</f>
        <v>0</v>
      </c>
      <c r="S1859" s="28">
        <f>IF($A1859="","",IF(AND($F1859="Agendado",$A1859-Hoje&gt;=0,$A1859-Hoje&lt;=DiasConf),"CONFIRMAR",IF(AND($A1859&lt;Hoje,OR($F1859="Agendado",$F1859="Confirmado")),"Atualizar status",IF(AND($F1859="Compareceu",$P1859&gt;0.005),"Cobrar",IF($F1859="Faltou","Falta: reagendar","")))))</f>
        <v>0</v>
      </c>
      <c r="T1859" s="29">
        <f>IF($A1859="","",DATE(YEAR($A1859),MONTH($A1859),1))</f>
        <v>0</v>
      </c>
      <c r="U1859" s="30">
        <f>IF($S1859="CONFIRMAR",MAX($U$4:$U1858)+1,"")</f>
        <v>0</v>
      </c>
      <c r="V1859" s="30">
        <f>IF(AND($R1859="Não",$Q1859&lt;&gt;"",$Q1859&lt;=Hoje+JanelaRet,$Q1859&gt;=Hoje-60),MAX($V$4:$V1858)+1,"")</f>
        <v>0</v>
      </c>
    </row>
    <row r="1860" spans="1:22">
      <c r="A1860" s="16"/>
      <c r="B1860" s="23"/>
      <c r="C1860" s="15"/>
      <c r="D1860" s="15"/>
      <c r="E1860" s="15"/>
      <c r="F1860" s="24"/>
      <c r="G1860" s="17"/>
      <c r="H1860" s="17"/>
      <c r="I1860" s="15"/>
      <c r="J1860" s="25">
        <f>IF($D1860="","",IFERROR(INDEX(PacNome,MATCH($D1860,PacCod,0)),"Paciente não cadastrado"))</f>
        <v>0</v>
      </c>
      <c r="K1860" s="26">
        <f>IF($D1860="","",IFERROR(INDEX(PacConv,MATCH($D1860,PacCod,0))&amp;"",""))</f>
        <v>0</v>
      </c>
      <c r="L1860" s="26">
        <f>IF($A1860="","",CHOOSE(WEEKDAY($A1860,2),"Seg","Ter","Qua","Qui","Sex","Sáb","Dom"))</f>
        <v>0</v>
      </c>
      <c r="M1860" s="27">
        <f>IF($E1860="","",IF($G1860&lt;&gt;"",$G1860,IFERROR(INDEX(ProcValor,MATCH($E1860,ProcNome,0)),0)))</f>
        <v>0</v>
      </c>
      <c r="N1860" s="27">
        <f>IF($M1860="","",IF($F1860="Compareceu",$M1860,0))</f>
        <v>0</v>
      </c>
      <c r="O1860" s="27">
        <f>IF($M1860="","",IF($F1860="Faltou",$M1860,0))</f>
        <v>0</v>
      </c>
      <c r="P1860" s="27">
        <f>IF($M1860="","",IF($F1860="Compareceu",MAX(0,$M1860-N($H1860)),0))</f>
        <v>0</v>
      </c>
      <c r="Q1860" s="19">
        <f>IF(AND($F1860="Compareceu",$E1860&lt;&gt;"",$A1860&lt;&gt;""),IF(IFERROR(INDEX(ProcRet,MATCH($E1860,ProcNome,0)),0)&gt;0,$A1860+INDEX(ProcRet,MATCH($E1860,ProcNome,0)),""),"")</f>
        <v>0</v>
      </c>
      <c r="R1860" s="26">
        <f>IF($Q1860="","",IF(COUNTIFS(AgPac,$D1860,AgData,"&gt;"&amp;$A1860,AgStatus,"&lt;&gt;Cancelado",AgStatus,"&lt;&gt;Remarcado")&gt;0,"Sim","Não"))</f>
        <v>0</v>
      </c>
      <c r="S1860" s="28">
        <f>IF($A1860="","",IF(AND($F1860="Agendado",$A1860-Hoje&gt;=0,$A1860-Hoje&lt;=DiasConf),"CONFIRMAR",IF(AND($A1860&lt;Hoje,OR($F1860="Agendado",$F1860="Confirmado")),"Atualizar status",IF(AND($F1860="Compareceu",$P1860&gt;0.005),"Cobrar",IF($F1860="Faltou","Falta: reagendar","")))))</f>
        <v>0</v>
      </c>
      <c r="T1860" s="29">
        <f>IF($A1860="","",DATE(YEAR($A1860),MONTH($A1860),1))</f>
        <v>0</v>
      </c>
      <c r="U1860" s="30">
        <f>IF($S1860="CONFIRMAR",MAX($U$4:$U1859)+1,"")</f>
        <v>0</v>
      </c>
      <c r="V1860" s="30">
        <f>IF(AND($R1860="Não",$Q1860&lt;&gt;"",$Q1860&lt;=Hoje+JanelaRet,$Q1860&gt;=Hoje-60),MAX($V$4:$V1859)+1,"")</f>
        <v>0</v>
      </c>
    </row>
    <row r="1861" spans="1:22">
      <c r="A1861" s="16"/>
      <c r="B1861" s="23"/>
      <c r="C1861" s="15"/>
      <c r="D1861" s="15"/>
      <c r="E1861" s="15"/>
      <c r="F1861" s="24"/>
      <c r="G1861" s="17"/>
      <c r="H1861" s="17"/>
      <c r="I1861" s="15"/>
      <c r="J1861" s="25">
        <f>IF($D1861="","",IFERROR(INDEX(PacNome,MATCH($D1861,PacCod,0)),"Paciente não cadastrado"))</f>
        <v>0</v>
      </c>
      <c r="K1861" s="26">
        <f>IF($D1861="","",IFERROR(INDEX(PacConv,MATCH($D1861,PacCod,0))&amp;"",""))</f>
        <v>0</v>
      </c>
      <c r="L1861" s="26">
        <f>IF($A1861="","",CHOOSE(WEEKDAY($A1861,2),"Seg","Ter","Qua","Qui","Sex","Sáb","Dom"))</f>
        <v>0</v>
      </c>
      <c r="M1861" s="27">
        <f>IF($E1861="","",IF($G1861&lt;&gt;"",$G1861,IFERROR(INDEX(ProcValor,MATCH($E1861,ProcNome,0)),0)))</f>
        <v>0</v>
      </c>
      <c r="N1861" s="27">
        <f>IF($M1861="","",IF($F1861="Compareceu",$M1861,0))</f>
        <v>0</v>
      </c>
      <c r="O1861" s="27">
        <f>IF($M1861="","",IF($F1861="Faltou",$M1861,0))</f>
        <v>0</v>
      </c>
      <c r="P1861" s="27">
        <f>IF($M1861="","",IF($F1861="Compareceu",MAX(0,$M1861-N($H1861)),0))</f>
        <v>0</v>
      </c>
      <c r="Q1861" s="19">
        <f>IF(AND($F1861="Compareceu",$E1861&lt;&gt;"",$A1861&lt;&gt;""),IF(IFERROR(INDEX(ProcRet,MATCH($E1861,ProcNome,0)),0)&gt;0,$A1861+INDEX(ProcRet,MATCH($E1861,ProcNome,0)),""),"")</f>
        <v>0</v>
      </c>
      <c r="R1861" s="26">
        <f>IF($Q1861="","",IF(COUNTIFS(AgPac,$D1861,AgData,"&gt;"&amp;$A1861,AgStatus,"&lt;&gt;Cancelado",AgStatus,"&lt;&gt;Remarcado")&gt;0,"Sim","Não"))</f>
        <v>0</v>
      </c>
      <c r="S1861" s="28">
        <f>IF($A1861="","",IF(AND($F1861="Agendado",$A1861-Hoje&gt;=0,$A1861-Hoje&lt;=DiasConf),"CONFIRMAR",IF(AND($A1861&lt;Hoje,OR($F1861="Agendado",$F1861="Confirmado")),"Atualizar status",IF(AND($F1861="Compareceu",$P1861&gt;0.005),"Cobrar",IF($F1861="Faltou","Falta: reagendar","")))))</f>
        <v>0</v>
      </c>
      <c r="T1861" s="29">
        <f>IF($A1861="","",DATE(YEAR($A1861),MONTH($A1861),1))</f>
        <v>0</v>
      </c>
      <c r="U1861" s="30">
        <f>IF($S1861="CONFIRMAR",MAX($U$4:$U1860)+1,"")</f>
        <v>0</v>
      </c>
      <c r="V1861" s="30">
        <f>IF(AND($R1861="Não",$Q1861&lt;&gt;"",$Q1861&lt;=Hoje+JanelaRet,$Q1861&gt;=Hoje-60),MAX($V$4:$V1860)+1,"")</f>
        <v>0</v>
      </c>
    </row>
    <row r="1862" spans="1:22">
      <c r="A1862" s="16"/>
      <c r="B1862" s="23"/>
      <c r="C1862" s="15"/>
      <c r="D1862" s="15"/>
      <c r="E1862" s="15"/>
      <c r="F1862" s="24"/>
      <c r="G1862" s="17"/>
      <c r="H1862" s="17"/>
      <c r="I1862" s="15"/>
      <c r="J1862" s="25">
        <f>IF($D1862="","",IFERROR(INDEX(PacNome,MATCH($D1862,PacCod,0)),"Paciente não cadastrado"))</f>
        <v>0</v>
      </c>
      <c r="K1862" s="26">
        <f>IF($D1862="","",IFERROR(INDEX(PacConv,MATCH($D1862,PacCod,0))&amp;"",""))</f>
        <v>0</v>
      </c>
      <c r="L1862" s="26">
        <f>IF($A1862="","",CHOOSE(WEEKDAY($A1862,2),"Seg","Ter","Qua","Qui","Sex","Sáb","Dom"))</f>
        <v>0</v>
      </c>
      <c r="M1862" s="27">
        <f>IF($E1862="","",IF($G1862&lt;&gt;"",$G1862,IFERROR(INDEX(ProcValor,MATCH($E1862,ProcNome,0)),0)))</f>
        <v>0</v>
      </c>
      <c r="N1862" s="27">
        <f>IF($M1862="","",IF($F1862="Compareceu",$M1862,0))</f>
        <v>0</v>
      </c>
      <c r="O1862" s="27">
        <f>IF($M1862="","",IF($F1862="Faltou",$M1862,0))</f>
        <v>0</v>
      </c>
      <c r="P1862" s="27">
        <f>IF($M1862="","",IF($F1862="Compareceu",MAX(0,$M1862-N($H1862)),0))</f>
        <v>0</v>
      </c>
      <c r="Q1862" s="19">
        <f>IF(AND($F1862="Compareceu",$E1862&lt;&gt;"",$A1862&lt;&gt;""),IF(IFERROR(INDEX(ProcRet,MATCH($E1862,ProcNome,0)),0)&gt;0,$A1862+INDEX(ProcRet,MATCH($E1862,ProcNome,0)),""),"")</f>
        <v>0</v>
      </c>
      <c r="R1862" s="26">
        <f>IF($Q1862="","",IF(COUNTIFS(AgPac,$D1862,AgData,"&gt;"&amp;$A1862,AgStatus,"&lt;&gt;Cancelado",AgStatus,"&lt;&gt;Remarcado")&gt;0,"Sim","Não"))</f>
        <v>0</v>
      </c>
      <c r="S1862" s="28">
        <f>IF($A1862="","",IF(AND($F1862="Agendado",$A1862-Hoje&gt;=0,$A1862-Hoje&lt;=DiasConf),"CONFIRMAR",IF(AND($A1862&lt;Hoje,OR($F1862="Agendado",$F1862="Confirmado")),"Atualizar status",IF(AND($F1862="Compareceu",$P1862&gt;0.005),"Cobrar",IF($F1862="Faltou","Falta: reagendar","")))))</f>
        <v>0</v>
      </c>
      <c r="T1862" s="29">
        <f>IF($A1862="","",DATE(YEAR($A1862),MONTH($A1862),1))</f>
        <v>0</v>
      </c>
      <c r="U1862" s="30">
        <f>IF($S1862="CONFIRMAR",MAX($U$4:$U1861)+1,"")</f>
        <v>0</v>
      </c>
      <c r="V1862" s="30">
        <f>IF(AND($R1862="Não",$Q1862&lt;&gt;"",$Q1862&lt;=Hoje+JanelaRet,$Q1862&gt;=Hoje-60),MAX($V$4:$V1861)+1,"")</f>
        <v>0</v>
      </c>
    </row>
    <row r="1863" spans="1:22">
      <c r="A1863" s="16"/>
      <c r="B1863" s="23"/>
      <c r="C1863" s="15"/>
      <c r="D1863" s="15"/>
      <c r="E1863" s="15"/>
      <c r="F1863" s="24"/>
      <c r="G1863" s="17"/>
      <c r="H1863" s="17"/>
      <c r="I1863" s="15"/>
      <c r="J1863" s="25">
        <f>IF($D1863="","",IFERROR(INDEX(PacNome,MATCH($D1863,PacCod,0)),"Paciente não cadastrado"))</f>
        <v>0</v>
      </c>
      <c r="K1863" s="26">
        <f>IF($D1863="","",IFERROR(INDEX(PacConv,MATCH($D1863,PacCod,0))&amp;"",""))</f>
        <v>0</v>
      </c>
      <c r="L1863" s="26">
        <f>IF($A1863="","",CHOOSE(WEEKDAY($A1863,2),"Seg","Ter","Qua","Qui","Sex","Sáb","Dom"))</f>
        <v>0</v>
      </c>
      <c r="M1863" s="27">
        <f>IF($E1863="","",IF($G1863&lt;&gt;"",$G1863,IFERROR(INDEX(ProcValor,MATCH($E1863,ProcNome,0)),0)))</f>
        <v>0</v>
      </c>
      <c r="N1863" s="27">
        <f>IF($M1863="","",IF($F1863="Compareceu",$M1863,0))</f>
        <v>0</v>
      </c>
      <c r="O1863" s="27">
        <f>IF($M1863="","",IF($F1863="Faltou",$M1863,0))</f>
        <v>0</v>
      </c>
      <c r="P1863" s="27">
        <f>IF($M1863="","",IF($F1863="Compareceu",MAX(0,$M1863-N($H1863)),0))</f>
        <v>0</v>
      </c>
      <c r="Q1863" s="19">
        <f>IF(AND($F1863="Compareceu",$E1863&lt;&gt;"",$A1863&lt;&gt;""),IF(IFERROR(INDEX(ProcRet,MATCH($E1863,ProcNome,0)),0)&gt;0,$A1863+INDEX(ProcRet,MATCH($E1863,ProcNome,0)),""),"")</f>
        <v>0</v>
      </c>
      <c r="R1863" s="26">
        <f>IF($Q1863="","",IF(COUNTIFS(AgPac,$D1863,AgData,"&gt;"&amp;$A1863,AgStatus,"&lt;&gt;Cancelado",AgStatus,"&lt;&gt;Remarcado")&gt;0,"Sim","Não"))</f>
        <v>0</v>
      </c>
      <c r="S1863" s="28">
        <f>IF($A1863="","",IF(AND($F1863="Agendado",$A1863-Hoje&gt;=0,$A1863-Hoje&lt;=DiasConf),"CONFIRMAR",IF(AND($A1863&lt;Hoje,OR($F1863="Agendado",$F1863="Confirmado")),"Atualizar status",IF(AND($F1863="Compareceu",$P1863&gt;0.005),"Cobrar",IF($F1863="Faltou","Falta: reagendar","")))))</f>
        <v>0</v>
      </c>
      <c r="T1863" s="29">
        <f>IF($A1863="","",DATE(YEAR($A1863),MONTH($A1863),1))</f>
        <v>0</v>
      </c>
      <c r="U1863" s="30">
        <f>IF($S1863="CONFIRMAR",MAX($U$4:$U1862)+1,"")</f>
        <v>0</v>
      </c>
      <c r="V1863" s="30">
        <f>IF(AND($R1863="Não",$Q1863&lt;&gt;"",$Q1863&lt;=Hoje+JanelaRet,$Q1863&gt;=Hoje-60),MAX($V$4:$V1862)+1,"")</f>
        <v>0</v>
      </c>
    </row>
    <row r="1864" spans="1:22">
      <c r="A1864" s="16"/>
      <c r="B1864" s="23"/>
      <c r="C1864" s="15"/>
      <c r="D1864" s="15"/>
      <c r="E1864" s="15"/>
      <c r="F1864" s="24"/>
      <c r="G1864" s="17"/>
      <c r="H1864" s="17"/>
      <c r="I1864" s="15"/>
      <c r="J1864" s="25">
        <f>IF($D1864="","",IFERROR(INDEX(PacNome,MATCH($D1864,PacCod,0)),"Paciente não cadastrado"))</f>
        <v>0</v>
      </c>
      <c r="K1864" s="26">
        <f>IF($D1864="","",IFERROR(INDEX(PacConv,MATCH($D1864,PacCod,0))&amp;"",""))</f>
        <v>0</v>
      </c>
      <c r="L1864" s="26">
        <f>IF($A1864="","",CHOOSE(WEEKDAY($A1864,2),"Seg","Ter","Qua","Qui","Sex","Sáb","Dom"))</f>
        <v>0</v>
      </c>
      <c r="M1864" s="27">
        <f>IF($E1864="","",IF($G1864&lt;&gt;"",$G1864,IFERROR(INDEX(ProcValor,MATCH($E1864,ProcNome,0)),0)))</f>
        <v>0</v>
      </c>
      <c r="N1864" s="27">
        <f>IF($M1864="","",IF($F1864="Compareceu",$M1864,0))</f>
        <v>0</v>
      </c>
      <c r="O1864" s="27">
        <f>IF($M1864="","",IF($F1864="Faltou",$M1864,0))</f>
        <v>0</v>
      </c>
      <c r="P1864" s="27">
        <f>IF($M1864="","",IF($F1864="Compareceu",MAX(0,$M1864-N($H1864)),0))</f>
        <v>0</v>
      </c>
      <c r="Q1864" s="19">
        <f>IF(AND($F1864="Compareceu",$E1864&lt;&gt;"",$A1864&lt;&gt;""),IF(IFERROR(INDEX(ProcRet,MATCH($E1864,ProcNome,0)),0)&gt;0,$A1864+INDEX(ProcRet,MATCH($E1864,ProcNome,0)),""),"")</f>
        <v>0</v>
      </c>
      <c r="R1864" s="26">
        <f>IF($Q1864="","",IF(COUNTIFS(AgPac,$D1864,AgData,"&gt;"&amp;$A1864,AgStatus,"&lt;&gt;Cancelado",AgStatus,"&lt;&gt;Remarcado")&gt;0,"Sim","Não"))</f>
        <v>0</v>
      </c>
      <c r="S1864" s="28">
        <f>IF($A1864="","",IF(AND($F1864="Agendado",$A1864-Hoje&gt;=0,$A1864-Hoje&lt;=DiasConf),"CONFIRMAR",IF(AND($A1864&lt;Hoje,OR($F1864="Agendado",$F1864="Confirmado")),"Atualizar status",IF(AND($F1864="Compareceu",$P1864&gt;0.005),"Cobrar",IF($F1864="Faltou","Falta: reagendar","")))))</f>
        <v>0</v>
      </c>
      <c r="T1864" s="29">
        <f>IF($A1864="","",DATE(YEAR($A1864),MONTH($A1864),1))</f>
        <v>0</v>
      </c>
      <c r="U1864" s="30">
        <f>IF($S1864="CONFIRMAR",MAX($U$4:$U1863)+1,"")</f>
        <v>0</v>
      </c>
      <c r="V1864" s="30">
        <f>IF(AND($R1864="Não",$Q1864&lt;&gt;"",$Q1864&lt;=Hoje+JanelaRet,$Q1864&gt;=Hoje-60),MAX($V$4:$V1863)+1,"")</f>
        <v>0</v>
      </c>
    </row>
    <row r="1865" spans="1:22">
      <c r="A1865" s="16"/>
      <c r="B1865" s="23"/>
      <c r="C1865" s="15"/>
      <c r="D1865" s="15"/>
      <c r="E1865" s="15"/>
      <c r="F1865" s="24"/>
      <c r="G1865" s="17"/>
      <c r="H1865" s="17"/>
      <c r="I1865" s="15"/>
      <c r="J1865" s="25">
        <f>IF($D1865="","",IFERROR(INDEX(PacNome,MATCH($D1865,PacCod,0)),"Paciente não cadastrado"))</f>
        <v>0</v>
      </c>
      <c r="K1865" s="26">
        <f>IF($D1865="","",IFERROR(INDEX(PacConv,MATCH($D1865,PacCod,0))&amp;"",""))</f>
        <v>0</v>
      </c>
      <c r="L1865" s="26">
        <f>IF($A1865="","",CHOOSE(WEEKDAY($A1865,2),"Seg","Ter","Qua","Qui","Sex","Sáb","Dom"))</f>
        <v>0</v>
      </c>
      <c r="M1865" s="27">
        <f>IF($E1865="","",IF($G1865&lt;&gt;"",$G1865,IFERROR(INDEX(ProcValor,MATCH($E1865,ProcNome,0)),0)))</f>
        <v>0</v>
      </c>
      <c r="N1865" s="27">
        <f>IF($M1865="","",IF($F1865="Compareceu",$M1865,0))</f>
        <v>0</v>
      </c>
      <c r="O1865" s="27">
        <f>IF($M1865="","",IF($F1865="Faltou",$M1865,0))</f>
        <v>0</v>
      </c>
      <c r="P1865" s="27">
        <f>IF($M1865="","",IF($F1865="Compareceu",MAX(0,$M1865-N($H1865)),0))</f>
        <v>0</v>
      </c>
      <c r="Q1865" s="19">
        <f>IF(AND($F1865="Compareceu",$E1865&lt;&gt;"",$A1865&lt;&gt;""),IF(IFERROR(INDEX(ProcRet,MATCH($E1865,ProcNome,0)),0)&gt;0,$A1865+INDEX(ProcRet,MATCH($E1865,ProcNome,0)),""),"")</f>
        <v>0</v>
      </c>
      <c r="R1865" s="26">
        <f>IF($Q1865="","",IF(COUNTIFS(AgPac,$D1865,AgData,"&gt;"&amp;$A1865,AgStatus,"&lt;&gt;Cancelado",AgStatus,"&lt;&gt;Remarcado")&gt;0,"Sim","Não"))</f>
        <v>0</v>
      </c>
      <c r="S1865" s="28">
        <f>IF($A1865="","",IF(AND($F1865="Agendado",$A1865-Hoje&gt;=0,$A1865-Hoje&lt;=DiasConf),"CONFIRMAR",IF(AND($A1865&lt;Hoje,OR($F1865="Agendado",$F1865="Confirmado")),"Atualizar status",IF(AND($F1865="Compareceu",$P1865&gt;0.005),"Cobrar",IF($F1865="Faltou","Falta: reagendar","")))))</f>
        <v>0</v>
      </c>
      <c r="T1865" s="29">
        <f>IF($A1865="","",DATE(YEAR($A1865),MONTH($A1865),1))</f>
        <v>0</v>
      </c>
      <c r="U1865" s="30">
        <f>IF($S1865="CONFIRMAR",MAX($U$4:$U1864)+1,"")</f>
        <v>0</v>
      </c>
      <c r="V1865" s="30">
        <f>IF(AND($R1865="Não",$Q1865&lt;&gt;"",$Q1865&lt;=Hoje+JanelaRet,$Q1865&gt;=Hoje-60),MAX($V$4:$V1864)+1,"")</f>
        <v>0</v>
      </c>
    </row>
    <row r="1866" spans="1:22">
      <c r="A1866" s="16"/>
      <c r="B1866" s="23"/>
      <c r="C1866" s="15"/>
      <c r="D1866" s="15"/>
      <c r="E1866" s="15"/>
      <c r="F1866" s="24"/>
      <c r="G1866" s="17"/>
      <c r="H1866" s="17"/>
      <c r="I1866" s="15"/>
      <c r="J1866" s="25">
        <f>IF($D1866="","",IFERROR(INDEX(PacNome,MATCH($D1866,PacCod,0)),"Paciente não cadastrado"))</f>
        <v>0</v>
      </c>
      <c r="K1866" s="26">
        <f>IF($D1866="","",IFERROR(INDEX(PacConv,MATCH($D1866,PacCod,0))&amp;"",""))</f>
        <v>0</v>
      </c>
      <c r="L1866" s="26">
        <f>IF($A1866="","",CHOOSE(WEEKDAY($A1866,2),"Seg","Ter","Qua","Qui","Sex","Sáb","Dom"))</f>
        <v>0</v>
      </c>
      <c r="M1866" s="27">
        <f>IF($E1866="","",IF($G1866&lt;&gt;"",$G1866,IFERROR(INDEX(ProcValor,MATCH($E1866,ProcNome,0)),0)))</f>
        <v>0</v>
      </c>
      <c r="N1866" s="27">
        <f>IF($M1866="","",IF($F1866="Compareceu",$M1866,0))</f>
        <v>0</v>
      </c>
      <c r="O1866" s="27">
        <f>IF($M1866="","",IF($F1866="Faltou",$M1866,0))</f>
        <v>0</v>
      </c>
      <c r="P1866" s="27">
        <f>IF($M1866="","",IF($F1866="Compareceu",MAX(0,$M1866-N($H1866)),0))</f>
        <v>0</v>
      </c>
      <c r="Q1866" s="19">
        <f>IF(AND($F1866="Compareceu",$E1866&lt;&gt;"",$A1866&lt;&gt;""),IF(IFERROR(INDEX(ProcRet,MATCH($E1866,ProcNome,0)),0)&gt;0,$A1866+INDEX(ProcRet,MATCH($E1866,ProcNome,0)),""),"")</f>
        <v>0</v>
      </c>
      <c r="R1866" s="26">
        <f>IF($Q1866="","",IF(COUNTIFS(AgPac,$D1866,AgData,"&gt;"&amp;$A1866,AgStatus,"&lt;&gt;Cancelado",AgStatus,"&lt;&gt;Remarcado")&gt;0,"Sim","Não"))</f>
        <v>0</v>
      </c>
      <c r="S1866" s="28">
        <f>IF($A1866="","",IF(AND($F1866="Agendado",$A1866-Hoje&gt;=0,$A1866-Hoje&lt;=DiasConf),"CONFIRMAR",IF(AND($A1866&lt;Hoje,OR($F1866="Agendado",$F1866="Confirmado")),"Atualizar status",IF(AND($F1866="Compareceu",$P1866&gt;0.005),"Cobrar",IF($F1866="Faltou","Falta: reagendar","")))))</f>
        <v>0</v>
      </c>
      <c r="T1866" s="29">
        <f>IF($A1866="","",DATE(YEAR($A1866),MONTH($A1866),1))</f>
        <v>0</v>
      </c>
      <c r="U1866" s="30">
        <f>IF($S1866="CONFIRMAR",MAX($U$4:$U1865)+1,"")</f>
        <v>0</v>
      </c>
      <c r="V1866" s="30">
        <f>IF(AND($R1866="Não",$Q1866&lt;&gt;"",$Q1866&lt;=Hoje+JanelaRet,$Q1866&gt;=Hoje-60),MAX($V$4:$V1865)+1,"")</f>
        <v>0</v>
      </c>
    </row>
    <row r="1867" spans="1:22">
      <c r="A1867" s="16"/>
      <c r="B1867" s="23"/>
      <c r="C1867" s="15"/>
      <c r="D1867" s="15"/>
      <c r="E1867" s="15"/>
      <c r="F1867" s="24"/>
      <c r="G1867" s="17"/>
      <c r="H1867" s="17"/>
      <c r="I1867" s="15"/>
      <c r="J1867" s="25">
        <f>IF($D1867="","",IFERROR(INDEX(PacNome,MATCH($D1867,PacCod,0)),"Paciente não cadastrado"))</f>
        <v>0</v>
      </c>
      <c r="K1867" s="26">
        <f>IF($D1867="","",IFERROR(INDEX(PacConv,MATCH($D1867,PacCod,0))&amp;"",""))</f>
        <v>0</v>
      </c>
      <c r="L1867" s="26">
        <f>IF($A1867="","",CHOOSE(WEEKDAY($A1867,2),"Seg","Ter","Qua","Qui","Sex","Sáb","Dom"))</f>
        <v>0</v>
      </c>
      <c r="M1867" s="27">
        <f>IF($E1867="","",IF($G1867&lt;&gt;"",$G1867,IFERROR(INDEX(ProcValor,MATCH($E1867,ProcNome,0)),0)))</f>
        <v>0</v>
      </c>
      <c r="N1867" s="27">
        <f>IF($M1867="","",IF($F1867="Compareceu",$M1867,0))</f>
        <v>0</v>
      </c>
      <c r="O1867" s="27">
        <f>IF($M1867="","",IF($F1867="Faltou",$M1867,0))</f>
        <v>0</v>
      </c>
      <c r="P1867" s="27">
        <f>IF($M1867="","",IF($F1867="Compareceu",MAX(0,$M1867-N($H1867)),0))</f>
        <v>0</v>
      </c>
      <c r="Q1867" s="19">
        <f>IF(AND($F1867="Compareceu",$E1867&lt;&gt;"",$A1867&lt;&gt;""),IF(IFERROR(INDEX(ProcRet,MATCH($E1867,ProcNome,0)),0)&gt;0,$A1867+INDEX(ProcRet,MATCH($E1867,ProcNome,0)),""),"")</f>
        <v>0</v>
      </c>
      <c r="R1867" s="26">
        <f>IF($Q1867="","",IF(COUNTIFS(AgPac,$D1867,AgData,"&gt;"&amp;$A1867,AgStatus,"&lt;&gt;Cancelado",AgStatus,"&lt;&gt;Remarcado")&gt;0,"Sim","Não"))</f>
        <v>0</v>
      </c>
      <c r="S1867" s="28">
        <f>IF($A1867="","",IF(AND($F1867="Agendado",$A1867-Hoje&gt;=0,$A1867-Hoje&lt;=DiasConf),"CONFIRMAR",IF(AND($A1867&lt;Hoje,OR($F1867="Agendado",$F1867="Confirmado")),"Atualizar status",IF(AND($F1867="Compareceu",$P1867&gt;0.005),"Cobrar",IF($F1867="Faltou","Falta: reagendar","")))))</f>
        <v>0</v>
      </c>
      <c r="T1867" s="29">
        <f>IF($A1867="","",DATE(YEAR($A1867),MONTH($A1867),1))</f>
        <v>0</v>
      </c>
      <c r="U1867" s="30">
        <f>IF($S1867="CONFIRMAR",MAX($U$4:$U1866)+1,"")</f>
        <v>0</v>
      </c>
      <c r="V1867" s="30">
        <f>IF(AND($R1867="Não",$Q1867&lt;&gt;"",$Q1867&lt;=Hoje+JanelaRet,$Q1867&gt;=Hoje-60),MAX($V$4:$V1866)+1,"")</f>
        <v>0</v>
      </c>
    </row>
    <row r="1868" spans="1:22">
      <c r="A1868" s="16"/>
      <c r="B1868" s="23"/>
      <c r="C1868" s="15"/>
      <c r="D1868" s="15"/>
      <c r="E1868" s="15"/>
      <c r="F1868" s="24"/>
      <c r="G1868" s="17"/>
      <c r="H1868" s="17"/>
      <c r="I1868" s="15"/>
      <c r="J1868" s="25">
        <f>IF($D1868="","",IFERROR(INDEX(PacNome,MATCH($D1868,PacCod,0)),"Paciente não cadastrado"))</f>
        <v>0</v>
      </c>
      <c r="K1868" s="26">
        <f>IF($D1868="","",IFERROR(INDEX(PacConv,MATCH($D1868,PacCod,0))&amp;"",""))</f>
        <v>0</v>
      </c>
      <c r="L1868" s="26">
        <f>IF($A1868="","",CHOOSE(WEEKDAY($A1868,2),"Seg","Ter","Qua","Qui","Sex","Sáb","Dom"))</f>
        <v>0</v>
      </c>
      <c r="M1868" s="27">
        <f>IF($E1868="","",IF($G1868&lt;&gt;"",$G1868,IFERROR(INDEX(ProcValor,MATCH($E1868,ProcNome,0)),0)))</f>
        <v>0</v>
      </c>
      <c r="N1868" s="27">
        <f>IF($M1868="","",IF($F1868="Compareceu",$M1868,0))</f>
        <v>0</v>
      </c>
      <c r="O1868" s="27">
        <f>IF($M1868="","",IF($F1868="Faltou",$M1868,0))</f>
        <v>0</v>
      </c>
      <c r="P1868" s="27">
        <f>IF($M1868="","",IF($F1868="Compareceu",MAX(0,$M1868-N($H1868)),0))</f>
        <v>0</v>
      </c>
      <c r="Q1868" s="19">
        <f>IF(AND($F1868="Compareceu",$E1868&lt;&gt;"",$A1868&lt;&gt;""),IF(IFERROR(INDEX(ProcRet,MATCH($E1868,ProcNome,0)),0)&gt;0,$A1868+INDEX(ProcRet,MATCH($E1868,ProcNome,0)),""),"")</f>
        <v>0</v>
      </c>
      <c r="R1868" s="26">
        <f>IF($Q1868="","",IF(COUNTIFS(AgPac,$D1868,AgData,"&gt;"&amp;$A1868,AgStatus,"&lt;&gt;Cancelado",AgStatus,"&lt;&gt;Remarcado")&gt;0,"Sim","Não"))</f>
        <v>0</v>
      </c>
      <c r="S1868" s="28">
        <f>IF($A1868="","",IF(AND($F1868="Agendado",$A1868-Hoje&gt;=0,$A1868-Hoje&lt;=DiasConf),"CONFIRMAR",IF(AND($A1868&lt;Hoje,OR($F1868="Agendado",$F1868="Confirmado")),"Atualizar status",IF(AND($F1868="Compareceu",$P1868&gt;0.005),"Cobrar",IF($F1868="Faltou","Falta: reagendar","")))))</f>
        <v>0</v>
      </c>
      <c r="T1868" s="29">
        <f>IF($A1868="","",DATE(YEAR($A1868),MONTH($A1868),1))</f>
        <v>0</v>
      </c>
      <c r="U1868" s="30">
        <f>IF($S1868="CONFIRMAR",MAX($U$4:$U1867)+1,"")</f>
        <v>0</v>
      </c>
      <c r="V1868" s="30">
        <f>IF(AND($R1868="Não",$Q1868&lt;&gt;"",$Q1868&lt;=Hoje+JanelaRet,$Q1868&gt;=Hoje-60),MAX($V$4:$V1867)+1,"")</f>
        <v>0</v>
      </c>
    </row>
    <row r="1869" spans="1:22">
      <c r="A1869" s="16"/>
      <c r="B1869" s="23"/>
      <c r="C1869" s="15"/>
      <c r="D1869" s="15"/>
      <c r="E1869" s="15"/>
      <c r="F1869" s="24"/>
      <c r="G1869" s="17"/>
      <c r="H1869" s="17"/>
      <c r="I1869" s="15"/>
      <c r="J1869" s="25">
        <f>IF($D1869="","",IFERROR(INDEX(PacNome,MATCH($D1869,PacCod,0)),"Paciente não cadastrado"))</f>
        <v>0</v>
      </c>
      <c r="K1869" s="26">
        <f>IF($D1869="","",IFERROR(INDEX(PacConv,MATCH($D1869,PacCod,0))&amp;"",""))</f>
        <v>0</v>
      </c>
      <c r="L1869" s="26">
        <f>IF($A1869="","",CHOOSE(WEEKDAY($A1869,2),"Seg","Ter","Qua","Qui","Sex","Sáb","Dom"))</f>
        <v>0</v>
      </c>
      <c r="M1869" s="27">
        <f>IF($E1869="","",IF($G1869&lt;&gt;"",$G1869,IFERROR(INDEX(ProcValor,MATCH($E1869,ProcNome,0)),0)))</f>
        <v>0</v>
      </c>
      <c r="N1869" s="27">
        <f>IF($M1869="","",IF($F1869="Compareceu",$M1869,0))</f>
        <v>0</v>
      </c>
      <c r="O1869" s="27">
        <f>IF($M1869="","",IF($F1869="Faltou",$M1869,0))</f>
        <v>0</v>
      </c>
      <c r="P1869" s="27">
        <f>IF($M1869="","",IF($F1869="Compareceu",MAX(0,$M1869-N($H1869)),0))</f>
        <v>0</v>
      </c>
      <c r="Q1869" s="19">
        <f>IF(AND($F1869="Compareceu",$E1869&lt;&gt;"",$A1869&lt;&gt;""),IF(IFERROR(INDEX(ProcRet,MATCH($E1869,ProcNome,0)),0)&gt;0,$A1869+INDEX(ProcRet,MATCH($E1869,ProcNome,0)),""),"")</f>
        <v>0</v>
      </c>
      <c r="R1869" s="26">
        <f>IF($Q1869="","",IF(COUNTIFS(AgPac,$D1869,AgData,"&gt;"&amp;$A1869,AgStatus,"&lt;&gt;Cancelado",AgStatus,"&lt;&gt;Remarcado")&gt;0,"Sim","Não"))</f>
        <v>0</v>
      </c>
      <c r="S1869" s="28">
        <f>IF($A1869="","",IF(AND($F1869="Agendado",$A1869-Hoje&gt;=0,$A1869-Hoje&lt;=DiasConf),"CONFIRMAR",IF(AND($A1869&lt;Hoje,OR($F1869="Agendado",$F1869="Confirmado")),"Atualizar status",IF(AND($F1869="Compareceu",$P1869&gt;0.005),"Cobrar",IF($F1869="Faltou","Falta: reagendar","")))))</f>
        <v>0</v>
      </c>
      <c r="T1869" s="29">
        <f>IF($A1869="","",DATE(YEAR($A1869),MONTH($A1869),1))</f>
        <v>0</v>
      </c>
      <c r="U1869" s="30">
        <f>IF($S1869="CONFIRMAR",MAX($U$4:$U1868)+1,"")</f>
        <v>0</v>
      </c>
      <c r="V1869" s="30">
        <f>IF(AND($R1869="Não",$Q1869&lt;&gt;"",$Q1869&lt;=Hoje+JanelaRet,$Q1869&gt;=Hoje-60),MAX($V$4:$V1868)+1,"")</f>
        <v>0</v>
      </c>
    </row>
    <row r="1870" spans="1:22">
      <c r="A1870" s="16"/>
      <c r="B1870" s="23"/>
      <c r="C1870" s="15"/>
      <c r="D1870" s="15"/>
      <c r="E1870" s="15"/>
      <c r="F1870" s="24"/>
      <c r="G1870" s="17"/>
      <c r="H1870" s="17"/>
      <c r="I1870" s="15"/>
      <c r="J1870" s="25">
        <f>IF($D1870="","",IFERROR(INDEX(PacNome,MATCH($D1870,PacCod,0)),"Paciente não cadastrado"))</f>
        <v>0</v>
      </c>
      <c r="K1870" s="26">
        <f>IF($D1870="","",IFERROR(INDEX(PacConv,MATCH($D1870,PacCod,0))&amp;"",""))</f>
        <v>0</v>
      </c>
      <c r="L1870" s="26">
        <f>IF($A1870="","",CHOOSE(WEEKDAY($A1870,2),"Seg","Ter","Qua","Qui","Sex","Sáb","Dom"))</f>
        <v>0</v>
      </c>
      <c r="M1870" s="27">
        <f>IF($E1870="","",IF($G1870&lt;&gt;"",$G1870,IFERROR(INDEX(ProcValor,MATCH($E1870,ProcNome,0)),0)))</f>
        <v>0</v>
      </c>
      <c r="N1870" s="27">
        <f>IF($M1870="","",IF($F1870="Compareceu",$M1870,0))</f>
        <v>0</v>
      </c>
      <c r="O1870" s="27">
        <f>IF($M1870="","",IF($F1870="Faltou",$M1870,0))</f>
        <v>0</v>
      </c>
      <c r="P1870" s="27">
        <f>IF($M1870="","",IF($F1870="Compareceu",MAX(0,$M1870-N($H1870)),0))</f>
        <v>0</v>
      </c>
      <c r="Q1870" s="19">
        <f>IF(AND($F1870="Compareceu",$E1870&lt;&gt;"",$A1870&lt;&gt;""),IF(IFERROR(INDEX(ProcRet,MATCH($E1870,ProcNome,0)),0)&gt;0,$A1870+INDEX(ProcRet,MATCH($E1870,ProcNome,0)),""),"")</f>
        <v>0</v>
      </c>
      <c r="R1870" s="26">
        <f>IF($Q1870="","",IF(COUNTIFS(AgPac,$D1870,AgData,"&gt;"&amp;$A1870,AgStatus,"&lt;&gt;Cancelado",AgStatus,"&lt;&gt;Remarcado")&gt;0,"Sim","Não"))</f>
        <v>0</v>
      </c>
      <c r="S1870" s="28">
        <f>IF($A1870="","",IF(AND($F1870="Agendado",$A1870-Hoje&gt;=0,$A1870-Hoje&lt;=DiasConf),"CONFIRMAR",IF(AND($A1870&lt;Hoje,OR($F1870="Agendado",$F1870="Confirmado")),"Atualizar status",IF(AND($F1870="Compareceu",$P1870&gt;0.005),"Cobrar",IF($F1870="Faltou","Falta: reagendar","")))))</f>
        <v>0</v>
      </c>
      <c r="T1870" s="29">
        <f>IF($A1870="","",DATE(YEAR($A1870),MONTH($A1870),1))</f>
        <v>0</v>
      </c>
      <c r="U1870" s="30">
        <f>IF($S1870="CONFIRMAR",MAX($U$4:$U1869)+1,"")</f>
        <v>0</v>
      </c>
      <c r="V1870" s="30">
        <f>IF(AND($R1870="Não",$Q1870&lt;&gt;"",$Q1870&lt;=Hoje+JanelaRet,$Q1870&gt;=Hoje-60),MAX($V$4:$V1869)+1,"")</f>
        <v>0</v>
      </c>
    </row>
    <row r="1871" spans="1:22">
      <c r="A1871" s="16"/>
      <c r="B1871" s="23"/>
      <c r="C1871" s="15"/>
      <c r="D1871" s="15"/>
      <c r="E1871" s="15"/>
      <c r="F1871" s="24"/>
      <c r="G1871" s="17"/>
      <c r="H1871" s="17"/>
      <c r="I1871" s="15"/>
      <c r="J1871" s="25">
        <f>IF($D1871="","",IFERROR(INDEX(PacNome,MATCH($D1871,PacCod,0)),"Paciente não cadastrado"))</f>
        <v>0</v>
      </c>
      <c r="K1871" s="26">
        <f>IF($D1871="","",IFERROR(INDEX(PacConv,MATCH($D1871,PacCod,0))&amp;"",""))</f>
        <v>0</v>
      </c>
      <c r="L1871" s="26">
        <f>IF($A1871="","",CHOOSE(WEEKDAY($A1871,2),"Seg","Ter","Qua","Qui","Sex","Sáb","Dom"))</f>
        <v>0</v>
      </c>
      <c r="M1871" s="27">
        <f>IF($E1871="","",IF($G1871&lt;&gt;"",$G1871,IFERROR(INDEX(ProcValor,MATCH($E1871,ProcNome,0)),0)))</f>
        <v>0</v>
      </c>
      <c r="N1871" s="27">
        <f>IF($M1871="","",IF($F1871="Compareceu",$M1871,0))</f>
        <v>0</v>
      </c>
      <c r="O1871" s="27">
        <f>IF($M1871="","",IF($F1871="Faltou",$M1871,0))</f>
        <v>0</v>
      </c>
      <c r="P1871" s="27">
        <f>IF($M1871="","",IF($F1871="Compareceu",MAX(0,$M1871-N($H1871)),0))</f>
        <v>0</v>
      </c>
      <c r="Q1871" s="19">
        <f>IF(AND($F1871="Compareceu",$E1871&lt;&gt;"",$A1871&lt;&gt;""),IF(IFERROR(INDEX(ProcRet,MATCH($E1871,ProcNome,0)),0)&gt;0,$A1871+INDEX(ProcRet,MATCH($E1871,ProcNome,0)),""),"")</f>
        <v>0</v>
      </c>
      <c r="R1871" s="26">
        <f>IF($Q1871="","",IF(COUNTIFS(AgPac,$D1871,AgData,"&gt;"&amp;$A1871,AgStatus,"&lt;&gt;Cancelado",AgStatus,"&lt;&gt;Remarcado")&gt;0,"Sim","Não"))</f>
        <v>0</v>
      </c>
      <c r="S1871" s="28">
        <f>IF($A1871="","",IF(AND($F1871="Agendado",$A1871-Hoje&gt;=0,$A1871-Hoje&lt;=DiasConf),"CONFIRMAR",IF(AND($A1871&lt;Hoje,OR($F1871="Agendado",$F1871="Confirmado")),"Atualizar status",IF(AND($F1871="Compareceu",$P1871&gt;0.005),"Cobrar",IF($F1871="Faltou","Falta: reagendar","")))))</f>
        <v>0</v>
      </c>
      <c r="T1871" s="29">
        <f>IF($A1871="","",DATE(YEAR($A1871),MONTH($A1871),1))</f>
        <v>0</v>
      </c>
      <c r="U1871" s="30">
        <f>IF($S1871="CONFIRMAR",MAX($U$4:$U1870)+1,"")</f>
        <v>0</v>
      </c>
      <c r="V1871" s="30">
        <f>IF(AND($R1871="Não",$Q1871&lt;&gt;"",$Q1871&lt;=Hoje+JanelaRet,$Q1871&gt;=Hoje-60),MAX($V$4:$V1870)+1,"")</f>
        <v>0</v>
      </c>
    </row>
    <row r="1872" spans="1:22">
      <c r="A1872" s="16"/>
      <c r="B1872" s="23"/>
      <c r="C1872" s="15"/>
      <c r="D1872" s="15"/>
      <c r="E1872" s="15"/>
      <c r="F1872" s="24"/>
      <c r="G1872" s="17"/>
      <c r="H1872" s="17"/>
      <c r="I1872" s="15"/>
      <c r="J1872" s="25">
        <f>IF($D1872="","",IFERROR(INDEX(PacNome,MATCH($D1872,PacCod,0)),"Paciente não cadastrado"))</f>
        <v>0</v>
      </c>
      <c r="K1872" s="26">
        <f>IF($D1872="","",IFERROR(INDEX(PacConv,MATCH($D1872,PacCod,0))&amp;"",""))</f>
        <v>0</v>
      </c>
      <c r="L1872" s="26">
        <f>IF($A1872="","",CHOOSE(WEEKDAY($A1872,2),"Seg","Ter","Qua","Qui","Sex","Sáb","Dom"))</f>
        <v>0</v>
      </c>
      <c r="M1872" s="27">
        <f>IF($E1872="","",IF($G1872&lt;&gt;"",$G1872,IFERROR(INDEX(ProcValor,MATCH($E1872,ProcNome,0)),0)))</f>
        <v>0</v>
      </c>
      <c r="N1872" s="27">
        <f>IF($M1872="","",IF($F1872="Compareceu",$M1872,0))</f>
        <v>0</v>
      </c>
      <c r="O1872" s="27">
        <f>IF($M1872="","",IF($F1872="Faltou",$M1872,0))</f>
        <v>0</v>
      </c>
      <c r="P1872" s="27">
        <f>IF($M1872="","",IF($F1872="Compareceu",MAX(0,$M1872-N($H1872)),0))</f>
        <v>0</v>
      </c>
      <c r="Q1872" s="19">
        <f>IF(AND($F1872="Compareceu",$E1872&lt;&gt;"",$A1872&lt;&gt;""),IF(IFERROR(INDEX(ProcRet,MATCH($E1872,ProcNome,0)),0)&gt;0,$A1872+INDEX(ProcRet,MATCH($E1872,ProcNome,0)),""),"")</f>
        <v>0</v>
      </c>
      <c r="R1872" s="26">
        <f>IF($Q1872="","",IF(COUNTIFS(AgPac,$D1872,AgData,"&gt;"&amp;$A1872,AgStatus,"&lt;&gt;Cancelado",AgStatus,"&lt;&gt;Remarcado")&gt;0,"Sim","Não"))</f>
        <v>0</v>
      </c>
      <c r="S1872" s="28">
        <f>IF($A1872="","",IF(AND($F1872="Agendado",$A1872-Hoje&gt;=0,$A1872-Hoje&lt;=DiasConf),"CONFIRMAR",IF(AND($A1872&lt;Hoje,OR($F1872="Agendado",$F1872="Confirmado")),"Atualizar status",IF(AND($F1872="Compareceu",$P1872&gt;0.005),"Cobrar",IF($F1872="Faltou","Falta: reagendar","")))))</f>
        <v>0</v>
      </c>
      <c r="T1872" s="29">
        <f>IF($A1872="","",DATE(YEAR($A1872),MONTH($A1872),1))</f>
        <v>0</v>
      </c>
      <c r="U1872" s="30">
        <f>IF($S1872="CONFIRMAR",MAX($U$4:$U1871)+1,"")</f>
        <v>0</v>
      </c>
      <c r="V1872" s="30">
        <f>IF(AND($R1872="Não",$Q1872&lt;&gt;"",$Q1872&lt;=Hoje+JanelaRet,$Q1872&gt;=Hoje-60),MAX($V$4:$V1871)+1,"")</f>
        <v>0</v>
      </c>
    </row>
    <row r="1873" spans="1:22">
      <c r="A1873" s="16"/>
      <c r="B1873" s="23"/>
      <c r="C1873" s="15"/>
      <c r="D1873" s="15"/>
      <c r="E1873" s="15"/>
      <c r="F1873" s="24"/>
      <c r="G1873" s="17"/>
      <c r="H1873" s="17"/>
      <c r="I1873" s="15"/>
      <c r="J1873" s="25">
        <f>IF($D1873="","",IFERROR(INDEX(PacNome,MATCH($D1873,PacCod,0)),"Paciente não cadastrado"))</f>
        <v>0</v>
      </c>
      <c r="K1873" s="26">
        <f>IF($D1873="","",IFERROR(INDEX(PacConv,MATCH($D1873,PacCod,0))&amp;"",""))</f>
        <v>0</v>
      </c>
      <c r="L1873" s="26">
        <f>IF($A1873="","",CHOOSE(WEEKDAY($A1873,2),"Seg","Ter","Qua","Qui","Sex","Sáb","Dom"))</f>
        <v>0</v>
      </c>
      <c r="M1873" s="27">
        <f>IF($E1873="","",IF($G1873&lt;&gt;"",$G1873,IFERROR(INDEX(ProcValor,MATCH($E1873,ProcNome,0)),0)))</f>
        <v>0</v>
      </c>
      <c r="N1873" s="27">
        <f>IF($M1873="","",IF($F1873="Compareceu",$M1873,0))</f>
        <v>0</v>
      </c>
      <c r="O1873" s="27">
        <f>IF($M1873="","",IF($F1873="Faltou",$M1873,0))</f>
        <v>0</v>
      </c>
      <c r="P1873" s="27">
        <f>IF($M1873="","",IF($F1873="Compareceu",MAX(0,$M1873-N($H1873)),0))</f>
        <v>0</v>
      </c>
      <c r="Q1873" s="19">
        <f>IF(AND($F1873="Compareceu",$E1873&lt;&gt;"",$A1873&lt;&gt;""),IF(IFERROR(INDEX(ProcRet,MATCH($E1873,ProcNome,0)),0)&gt;0,$A1873+INDEX(ProcRet,MATCH($E1873,ProcNome,0)),""),"")</f>
        <v>0</v>
      </c>
      <c r="R1873" s="26">
        <f>IF($Q1873="","",IF(COUNTIFS(AgPac,$D1873,AgData,"&gt;"&amp;$A1873,AgStatus,"&lt;&gt;Cancelado",AgStatus,"&lt;&gt;Remarcado")&gt;0,"Sim","Não"))</f>
        <v>0</v>
      </c>
      <c r="S1873" s="28">
        <f>IF($A1873="","",IF(AND($F1873="Agendado",$A1873-Hoje&gt;=0,$A1873-Hoje&lt;=DiasConf),"CONFIRMAR",IF(AND($A1873&lt;Hoje,OR($F1873="Agendado",$F1873="Confirmado")),"Atualizar status",IF(AND($F1873="Compareceu",$P1873&gt;0.005),"Cobrar",IF($F1873="Faltou","Falta: reagendar","")))))</f>
        <v>0</v>
      </c>
      <c r="T1873" s="29">
        <f>IF($A1873="","",DATE(YEAR($A1873),MONTH($A1873),1))</f>
        <v>0</v>
      </c>
      <c r="U1873" s="30">
        <f>IF($S1873="CONFIRMAR",MAX($U$4:$U1872)+1,"")</f>
        <v>0</v>
      </c>
      <c r="V1873" s="30">
        <f>IF(AND($R1873="Não",$Q1873&lt;&gt;"",$Q1873&lt;=Hoje+JanelaRet,$Q1873&gt;=Hoje-60),MAX($V$4:$V1872)+1,"")</f>
        <v>0</v>
      </c>
    </row>
    <row r="1874" spans="1:22">
      <c r="A1874" s="16"/>
      <c r="B1874" s="23"/>
      <c r="C1874" s="15"/>
      <c r="D1874" s="15"/>
      <c r="E1874" s="15"/>
      <c r="F1874" s="24"/>
      <c r="G1874" s="17"/>
      <c r="H1874" s="17"/>
      <c r="I1874" s="15"/>
      <c r="J1874" s="25">
        <f>IF($D1874="","",IFERROR(INDEX(PacNome,MATCH($D1874,PacCod,0)),"Paciente não cadastrado"))</f>
        <v>0</v>
      </c>
      <c r="K1874" s="26">
        <f>IF($D1874="","",IFERROR(INDEX(PacConv,MATCH($D1874,PacCod,0))&amp;"",""))</f>
        <v>0</v>
      </c>
      <c r="L1874" s="26">
        <f>IF($A1874="","",CHOOSE(WEEKDAY($A1874,2),"Seg","Ter","Qua","Qui","Sex","Sáb","Dom"))</f>
        <v>0</v>
      </c>
      <c r="M1874" s="27">
        <f>IF($E1874="","",IF($G1874&lt;&gt;"",$G1874,IFERROR(INDEX(ProcValor,MATCH($E1874,ProcNome,0)),0)))</f>
        <v>0</v>
      </c>
      <c r="N1874" s="27">
        <f>IF($M1874="","",IF($F1874="Compareceu",$M1874,0))</f>
        <v>0</v>
      </c>
      <c r="O1874" s="27">
        <f>IF($M1874="","",IF($F1874="Faltou",$M1874,0))</f>
        <v>0</v>
      </c>
      <c r="P1874" s="27">
        <f>IF($M1874="","",IF($F1874="Compareceu",MAX(0,$M1874-N($H1874)),0))</f>
        <v>0</v>
      </c>
      <c r="Q1874" s="19">
        <f>IF(AND($F1874="Compareceu",$E1874&lt;&gt;"",$A1874&lt;&gt;""),IF(IFERROR(INDEX(ProcRet,MATCH($E1874,ProcNome,0)),0)&gt;0,$A1874+INDEX(ProcRet,MATCH($E1874,ProcNome,0)),""),"")</f>
        <v>0</v>
      </c>
      <c r="R1874" s="26">
        <f>IF($Q1874="","",IF(COUNTIFS(AgPac,$D1874,AgData,"&gt;"&amp;$A1874,AgStatus,"&lt;&gt;Cancelado",AgStatus,"&lt;&gt;Remarcado")&gt;0,"Sim","Não"))</f>
        <v>0</v>
      </c>
      <c r="S1874" s="28">
        <f>IF($A1874="","",IF(AND($F1874="Agendado",$A1874-Hoje&gt;=0,$A1874-Hoje&lt;=DiasConf),"CONFIRMAR",IF(AND($A1874&lt;Hoje,OR($F1874="Agendado",$F1874="Confirmado")),"Atualizar status",IF(AND($F1874="Compareceu",$P1874&gt;0.005),"Cobrar",IF($F1874="Faltou","Falta: reagendar","")))))</f>
        <v>0</v>
      </c>
      <c r="T1874" s="29">
        <f>IF($A1874="","",DATE(YEAR($A1874),MONTH($A1874),1))</f>
        <v>0</v>
      </c>
      <c r="U1874" s="30">
        <f>IF($S1874="CONFIRMAR",MAX($U$4:$U1873)+1,"")</f>
        <v>0</v>
      </c>
      <c r="V1874" s="30">
        <f>IF(AND($R1874="Não",$Q1874&lt;&gt;"",$Q1874&lt;=Hoje+JanelaRet,$Q1874&gt;=Hoje-60),MAX($V$4:$V1873)+1,"")</f>
        <v>0</v>
      </c>
    </row>
    <row r="1875" spans="1:22">
      <c r="A1875" s="16"/>
      <c r="B1875" s="23"/>
      <c r="C1875" s="15"/>
      <c r="D1875" s="15"/>
      <c r="E1875" s="15"/>
      <c r="F1875" s="24"/>
      <c r="G1875" s="17"/>
      <c r="H1875" s="17"/>
      <c r="I1875" s="15"/>
      <c r="J1875" s="25">
        <f>IF($D1875="","",IFERROR(INDEX(PacNome,MATCH($D1875,PacCod,0)),"Paciente não cadastrado"))</f>
        <v>0</v>
      </c>
      <c r="K1875" s="26">
        <f>IF($D1875="","",IFERROR(INDEX(PacConv,MATCH($D1875,PacCod,0))&amp;"",""))</f>
        <v>0</v>
      </c>
      <c r="L1875" s="26">
        <f>IF($A1875="","",CHOOSE(WEEKDAY($A1875,2),"Seg","Ter","Qua","Qui","Sex","Sáb","Dom"))</f>
        <v>0</v>
      </c>
      <c r="M1875" s="27">
        <f>IF($E1875="","",IF($G1875&lt;&gt;"",$G1875,IFERROR(INDEX(ProcValor,MATCH($E1875,ProcNome,0)),0)))</f>
        <v>0</v>
      </c>
      <c r="N1875" s="27">
        <f>IF($M1875="","",IF($F1875="Compareceu",$M1875,0))</f>
        <v>0</v>
      </c>
      <c r="O1875" s="27">
        <f>IF($M1875="","",IF($F1875="Faltou",$M1875,0))</f>
        <v>0</v>
      </c>
      <c r="P1875" s="27">
        <f>IF($M1875="","",IF($F1875="Compareceu",MAX(0,$M1875-N($H1875)),0))</f>
        <v>0</v>
      </c>
      <c r="Q1875" s="19">
        <f>IF(AND($F1875="Compareceu",$E1875&lt;&gt;"",$A1875&lt;&gt;""),IF(IFERROR(INDEX(ProcRet,MATCH($E1875,ProcNome,0)),0)&gt;0,$A1875+INDEX(ProcRet,MATCH($E1875,ProcNome,0)),""),"")</f>
        <v>0</v>
      </c>
      <c r="R1875" s="26">
        <f>IF($Q1875="","",IF(COUNTIFS(AgPac,$D1875,AgData,"&gt;"&amp;$A1875,AgStatus,"&lt;&gt;Cancelado",AgStatus,"&lt;&gt;Remarcado")&gt;0,"Sim","Não"))</f>
        <v>0</v>
      </c>
      <c r="S1875" s="28">
        <f>IF($A1875="","",IF(AND($F1875="Agendado",$A1875-Hoje&gt;=0,$A1875-Hoje&lt;=DiasConf),"CONFIRMAR",IF(AND($A1875&lt;Hoje,OR($F1875="Agendado",$F1875="Confirmado")),"Atualizar status",IF(AND($F1875="Compareceu",$P1875&gt;0.005),"Cobrar",IF($F1875="Faltou","Falta: reagendar","")))))</f>
        <v>0</v>
      </c>
      <c r="T1875" s="29">
        <f>IF($A1875="","",DATE(YEAR($A1875),MONTH($A1875),1))</f>
        <v>0</v>
      </c>
      <c r="U1875" s="30">
        <f>IF($S1875="CONFIRMAR",MAX($U$4:$U1874)+1,"")</f>
        <v>0</v>
      </c>
      <c r="V1875" s="30">
        <f>IF(AND($R1875="Não",$Q1875&lt;&gt;"",$Q1875&lt;=Hoje+JanelaRet,$Q1875&gt;=Hoje-60),MAX($V$4:$V1874)+1,"")</f>
        <v>0</v>
      </c>
    </row>
    <row r="1876" spans="1:22">
      <c r="A1876" s="16"/>
      <c r="B1876" s="23"/>
      <c r="C1876" s="15"/>
      <c r="D1876" s="15"/>
      <c r="E1876" s="15"/>
      <c r="F1876" s="24"/>
      <c r="G1876" s="17"/>
      <c r="H1876" s="17"/>
      <c r="I1876" s="15"/>
      <c r="J1876" s="25">
        <f>IF($D1876="","",IFERROR(INDEX(PacNome,MATCH($D1876,PacCod,0)),"Paciente não cadastrado"))</f>
        <v>0</v>
      </c>
      <c r="K1876" s="26">
        <f>IF($D1876="","",IFERROR(INDEX(PacConv,MATCH($D1876,PacCod,0))&amp;"",""))</f>
        <v>0</v>
      </c>
      <c r="L1876" s="26">
        <f>IF($A1876="","",CHOOSE(WEEKDAY($A1876,2),"Seg","Ter","Qua","Qui","Sex","Sáb","Dom"))</f>
        <v>0</v>
      </c>
      <c r="M1876" s="27">
        <f>IF($E1876="","",IF($G1876&lt;&gt;"",$G1876,IFERROR(INDEX(ProcValor,MATCH($E1876,ProcNome,0)),0)))</f>
        <v>0</v>
      </c>
      <c r="N1876" s="27">
        <f>IF($M1876="","",IF($F1876="Compareceu",$M1876,0))</f>
        <v>0</v>
      </c>
      <c r="O1876" s="27">
        <f>IF($M1876="","",IF($F1876="Faltou",$M1876,0))</f>
        <v>0</v>
      </c>
      <c r="P1876" s="27">
        <f>IF($M1876="","",IF($F1876="Compareceu",MAX(0,$M1876-N($H1876)),0))</f>
        <v>0</v>
      </c>
      <c r="Q1876" s="19">
        <f>IF(AND($F1876="Compareceu",$E1876&lt;&gt;"",$A1876&lt;&gt;""),IF(IFERROR(INDEX(ProcRet,MATCH($E1876,ProcNome,0)),0)&gt;0,$A1876+INDEX(ProcRet,MATCH($E1876,ProcNome,0)),""),"")</f>
        <v>0</v>
      </c>
      <c r="R1876" s="26">
        <f>IF($Q1876="","",IF(COUNTIFS(AgPac,$D1876,AgData,"&gt;"&amp;$A1876,AgStatus,"&lt;&gt;Cancelado",AgStatus,"&lt;&gt;Remarcado")&gt;0,"Sim","Não"))</f>
        <v>0</v>
      </c>
      <c r="S1876" s="28">
        <f>IF($A1876="","",IF(AND($F1876="Agendado",$A1876-Hoje&gt;=0,$A1876-Hoje&lt;=DiasConf),"CONFIRMAR",IF(AND($A1876&lt;Hoje,OR($F1876="Agendado",$F1876="Confirmado")),"Atualizar status",IF(AND($F1876="Compareceu",$P1876&gt;0.005),"Cobrar",IF($F1876="Faltou","Falta: reagendar","")))))</f>
        <v>0</v>
      </c>
      <c r="T1876" s="29">
        <f>IF($A1876="","",DATE(YEAR($A1876),MONTH($A1876),1))</f>
        <v>0</v>
      </c>
      <c r="U1876" s="30">
        <f>IF($S1876="CONFIRMAR",MAX($U$4:$U1875)+1,"")</f>
        <v>0</v>
      </c>
      <c r="V1876" s="30">
        <f>IF(AND($R1876="Não",$Q1876&lt;&gt;"",$Q1876&lt;=Hoje+JanelaRet,$Q1876&gt;=Hoje-60),MAX($V$4:$V1875)+1,"")</f>
        <v>0</v>
      </c>
    </row>
    <row r="1877" spans="1:22">
      <c r="A1877" s="16"/>
      <c r="B1877" s="23"/>
      <c r="C1877" s="15"/>
      <c r="D1877" s="15"/>
      <c r="E1877" s="15"/>
      <c r="F1877" s="24"/>
      <c r="G1877" s="17"/>
      <c r="H1877" s="17"/>
      <c r="I1877" s="15"/>
      <c r="J1877" s="25">
        <f>IF($D1877="","",IFERROR(INDEX(PacNome,MATCH($D1877,PacCod,0)),"Paciente não cadastrado"))</f>
        <v>0</v>
      </c>
      <c r="K1877" s="26">
        <f>IF($D1877="","",IFERROR(INDEX(PacConv,MATCH($D1877,PacCod,0))&amp;"",""))</f>
        <v>0</v>
      </c>
      <c r="L1877" s="26">
        <f>IF($A1877="","",CHOOSE(WEEKDAY($A1877,2),"Seg","Ter","Qua","Qui","Sex","Sáb","Dom"))</f>
        <v>0</v>
      </c>
      <c r="M1877" s="27">
        <f>IF($E1877="","",IF($G1877&lt;&gt;"",$G1877,IFERROR(INDEX(ProcValor,MATCH($E1877,ProcNome,0)),0)))</f>
        <v>0</v>
      </c>
      <c r="N1877" s="27">
        <f>IF($M1877="","",IF($F1877="Compareceu",$M1877,0))</f>
        <v>0</v>
      </c>
      <c r="O1877" s="27">
        <f>IF($M1877="","",IF($F1877="Faltou",$M1877,0))</f>
        <v>0</v>
      </c>
      <c r="P1877" s="27">
        <f>IF($M1877="","",IF($F1877="Compareceu",MAX(0,$M1877-N($H1877)),0))</f>
        <v>0</v>
      </c>
      <c r="Q1877" s="19">
        <f>IF(AND($F1877="Compareceu",$E1877&lt;&gt;"",$A1877&lt;&gt;""),IF(IFERROR(INDEX(ProcRet,MATCH($E1877,ProcNome,0)),0)&gt;0,$A1877+INDEX(ProcRet,MATCH($E1877,ProcNome,0)),""),"")</f>
        <v>0</v>
      </c>
      <c r="R1877" s="26">
        <f>IF($Q1877="","",IF(COUNTIFS(AgPac,$D1877,AgData,"&gt;"&amp;$A1877,AgStatus,"&lt;&gt;Cancelado",AgStatus,"&lt;&gt;Remarcado")&gt;0,"Sim","Não"))</f>
        <v>0</v>
      </c>
      <c r="S1877" s="28">
        <f>IF($A1877="","",IF(AND($F1877="Agendado",$A1877-Hoje&gt;=0,$A1877-Hoje&lt;=DiasConf),"CONFIRMAR",IF(AND($A1877&lt;Hoje,OR($F1877="Agendado",$F1877="Confirmado")),"Atualizar status",IF(AND($F1877="Compareceu",$P1877&gt;0.005),"Cobrar",IF($F1877="Faltou","Falta: reagendar","")))))</f>
        <v>0</v>
      </c>
      <c r="T1877" s="29">
        <f>IF($A1877="","",DATE(YEAR($A1877),MONTH($A1877),1))</f>
        <v>0</v>
      </c>
      <c r="U1877" s="30">
        <f>IF($S1877="CONFIRMAR",MAX($U$4:$U1876)+1,"")</f>
        <v>0</v>
      </c>
      <c r="V1877" s="30">
        <f>IF(AND($R1877="Não",$Q1877&lt;&gt;"",$Q1877&lt;=Hoje+JanelaRet,$Q1877&gt;=Hoje-60),MAX($V$4:$V1876)+1,"")</f>
        <v>0</v>
      </c>
    </row>
    <row r="1878" spans="1:22">
      <c r="A1878" s="16"/>
      <c r="B1878" s="23"/>
      <c r="C1878" s="15"/>
      <c r="D1878" s="15"/>
      <c r="E1878" s="15"/>
      <c r="F1878" s="24"/>
      <c r="G1878" s="17"/>
      <c r="H1878" s="17"/>
      <c r="I1878" s="15"/>
      <c r="J1878" s="25">
        <f>IF($D1878="","",IFERROR(INDEX(PacNome,MATCH($D1878,PacCod,0)),"Paciente não cadastrado"))</f>
        <v>0</v>
      </c>
      <c r="K1878" s="26">
        <f>IF($D1878="","",IFERROR(INDEX(PacConv,MATCH($D1878,PacCod,0))&amp;"",""))</f>
        <v>0</v>
      </c>
      <c r="L1878" s="26">
        <f>IF($A1878="","",CHOOSE(WEEKDAY($A1878,2),"Seg","Ter","Qua","Qui","Sex","Sáb","Dom"))</f>
        <v>0</v>
      </c>
      <c r="M1878" s="27">
        <f>IF($E1878="","",IF($G1878&lt;&gt;"",$G1878,IFERROR(INDEX(ProcValor,MATCH($E1878,ProcNome,0)),0)))</f>
        <v>0</v>
      </c>
      <c r="N1878" s="27">
        <f>IF($M1878="","",IF($F1878="Compareceu",$M1878,0))</f>
        <v>0</v>
      </c>
      <c r="O1878" s="27">
        <f>IF($M1878="","",IF($F1878="Faltou",$M1878,0))</f>
        <v>0</v>
      </c>
      <c r="P1878" s="27">
        <f>IF($M1878="","",IF($F1878="Compareceu",MAX(0,$M1878-N($H1878)),0))</f>
        <v>0</v>
      </c>
      <c r="Q1878" s="19">
        <f>IF(AND($F1878="Compareceu",$E1878&lt;&gt;"",$A1878&lt;&gt;""),IF(IFERROR(INDEX(ProcRet,MATCH($E1878,ProcNome,0)),0)&gt;0,$A1878+INDEX(ProcRet,MATCH($E1878,ProcNome,0)),""),"")</f>
        <v>0</v>
      </c>
      <c r="R1878" s="26">
        <f>IF($Q1878="","",IF(COUNTIFS(AgPac,$D1878,AgData,"&gt;"&amp;$A1878,AgStatus,"&lt;&gt;Cancelado",AgStatus,"&lt;&gt;Remarcado")&gt;0,"Sim","Não"))</f>
        <v>0</v>
      </c>
      <c r="S1878" s="28">
        <f>IF($A1878="","",IF(AND($F1878="Agendado",$A1878-Hoje&gt;=0,$A1878-Hoje&lt;=DiasConf),"CONFIRMAR",IF(AND($A1878&lt;Hoje,OR($F1878="Agendado",$F1878="Confirmado")),"Atualizar status",IF(AND($F1878="Compareceu",$P1878&gt;0.005),"Cobrar",IF($F1878="Faltou","Falta: reagendar","")))))</f>
        <v>0</v>
      </c>
      <c r="T1878" s="29">
        <f>IF($A1878="","",DATE(YEAR($A1878),MONTH($A1878),1))</f>
        <v>0</v>
      </c>
      <c r="U1878" s="30">
        <f>IF($S1878="CONFIRMAR",MAX($U$4:$U1877)+1,"")</f>
        <v>0</v>
      </c>
      <c r="V1878" s="30">
        <f>IF(AND($R1878="Não",$Q1878&lt;&gt;"",$Q1878&lt;=Hoje+JanelaRet,$Q1878&gt;=Hoje-60),MAX($V$4:$V1877)+1,"")</f>
        <v>0</v>
      </c>
    </row>
    <row r="1879" spans="1:22">
      <c r="A1879" s="16"/>
      <c r="B1879" s="23"/>
      <c r="C1879" s="15"/>
      <c r="D1879" s="15"/>
      <c r="E1879" s="15"/>
      <c r="F1879" s="24"/>
      <c r="G1879" s="17"/>
      <c r="H1879" s="17"/>
      <c r="I1879" s="15"/>
      <c r="J1879" s="25">
        <f>IF($D1879="","",IFERROR(INDEX(PacNome,MATCH($D1879,PacCod,0)),"Paciente não cadastrado"))</f>
        <v>0</v>
      </c>
      <c r="K1879" s="26">
        <f>IF($D1879="","",IFERROR(INDEX(PacConv,MATCH($D1879,PacCod,0))&amp;"",""))</f>
        <v>0</v>
      </c>
      <c r="L1879" s="26">
        <f>IF($A1879="","",CHOOSE(WEEKDAY($A1879,2),"Seg","Ter","Qua","Qui","Sex","Sáb","Dom"))</f>
        <v>0</v>
      </c>
      <c r="M1879" s="27">
        <f>IF($E1879="","",IF($G1879&lt;&gt;"",$G1879,IFERROR(INDEX(ProcValor,MATCH($E1879,ProcNome,0)),0)))</f>
        <v>0</v>
      </c>
      <c r="N1879" s="27">
        <f>IF($M1879="","",IF($F1879="Compareceu",$M1879,0))</f>
        <v>0</v>
      </c>
      <c r="O1879" s="27">
        <f>IF($M1879="","",IF($F1879="Faltou",$M1879,0))</f>
        <v>0</v>
      </c>
      <c r="P1879" s="27">
        <f>IF($M1879="","",IF($F1879="Compareceu",MAX(0,$M1879-N($H1879)),0))</f>
        <v>0</v>
      </c>
      <c r="Q1879" s="19">
        <f>IF(AND($F1879="Compareceu",$E1879&lt;&gt;"",$A1879&lt;&gt;""),IF(IFERROR(INDEX(ProcRet,MATCH($E1879,ProcNome,0)),0)&gt;0,$A1879+INDEX(ProcRet,MATCH($E1879,ProcNome,0)),""),"")</f>
        <v>0</v>
      </c>
      <c r="R1879" s="26">
        <f>IF($Q1879="","",IF(COUNTIFS(AgPac,$D1879,AgData,"&gt;"&amp;$A1879,AgStatus,"&lt;&gt;Cancelado",AgStatus,"&lt;&gt;Remarcado")&gt;0,"Sim","Não"))</f>
        <v>0</v>
      </c>
      <c r="S1879" s="28">
        <f>IF($A1879="","",IF(AND($F1879="Agendado",$A1879-Hoje&gt;=0,$A1879-Hoje&lt;=DiasConf),"CONFIRMAR",IF(AND($A1879&lt;Hoje,OR($F1879="Agendado",$F1879="Confirmado")),"Atualizar status",IF(AND($F1879="Compareceu",$P1879&gt;0.005),"Cobrar",IF($F1879="Faltou","Falta: reagendar","")))))</f>
        <v>0</v>
      </c>
      <c r="T1879" s="29">
        <f>IF($A1879="","",DATE(YEAR($A1879),MONTH($A1879),1))</f>
        <v>0</v>
      </c>
      <c r="U1879" s="30">
        <f>IF($S1879="CONFIRMAR",MAX($U$4:$U1878)+1,"")</f>
        <v>0</v>
      </c>
      <c r="V1879" s="30">
        <f>IF(AND($R1879="Não",$Q1879&lt;&gt;"",$Q1879&lt;=Hoje+JanelaRet,$Q1879&gt;=Hoje-60),MAX($V$4:$V1878)+1,"")</f>
        <v>0</v>
      </c>
    </row>
    <row r="1880" spans="1:22">
      <c r="A1880" s="16"/>
      <c r="B1880" s="23"/>
      <c r="C1880" s="15"/>
      <c r="D1880" s="15"/>
      <c r="E1880" s="15"/>
      <c r="F1880" s="24"/>
      <c r="G1880" s="17"/>
      <c r="H1880" s="17"/>
      <c r="I1880" s="15"/>
      <c r="J1880" s="25">
        <f>IF($D1880="","",IFERROR(INDEX(PacNome,MATCH($D1880,PacCod,0)),"Paciente não cadastrado"))</f>
        <v>0</v>
      </c>
      <c r="K1880" s="26">
        <f>IF($D1880="","",IFERROR(INDEX(PacConv,MATCH($D1880,PacCod,0))&amp;"",""))</f>
        <v>0</v>
      </c>
      <c r="L1880" s="26">
        <f>IF($A1880="","",CHOOSE(WEEKDAY($A1880,2),"Seg","Ter","Qua","Qui","Sex","Sáb","Dom"))</f>
        <v>0</v>
      </c>
      <c r="M1880" s="27">
        <f>IF($E1880="","",IF($G1880&lt;&gt;"",$G1880,IFERROR(INDEX(ProcValor,MATCH($E1880,ProcNome,0)),0)))</f>
        <v>0</v>
      </c>
      <c r="N1880" s="27">
        <f>IF($M1880="","",IF($F1880="Compareceu",$M1880,0))</f>
        <v>0</v>
      </c>
      <c r="O1880" s="27">
        <f>IF($M1880="","",IF($F1880="Faltou",$M1880,0))</f>
        <v>0</v>
      </c>
      <c r="P1880" s="27">
        <f>IF($M1880="","",IF($F1880="Compareceu",MAX(0,$M1880-N($H1880)),0))</f>
        <v>0</v>
      </c>
      <c r="Q1880" s="19">
        <f>IF(AND($F1880="Compareceu",$E1880&lt;&gt;"",$A1880&lt;&gt;""),IF(IFERROR(INDEX(ProcRet,MATCH($E1880,ProcNome,0)),0)&gt;0,$A1880+INDEX(ProcRet,MATCH($E1880,ProcNome,0)),""),"")</f>
        <v>0</v>
      </c>
      <c r="R1880" s="26">
        <f>IF($Q1880="","",IF(COUNTIFS(AgPac,$D1880,AgData,"&gt;"&amp;$A1880,AgStatus,"&lt;&gt;Cancelado",AgStatus,"&lt;&gt;Remarcado")&gt;0,"Sim","Não"))</f>
        <v>0</v>
      </c>
      <c r="S1880" s="28">
        <f>IF($A1880="","",IF(AND($F1880="Agendado",$A1880-Hoje&gt;=0,$A1880-Hoje&lt;=DiasConf),"CONFIRMAR",IF(AND($A1880&lt;Hoje,OR($F1880="Agendado",$F1880="Confirmado")),"Atualizar status",IF(AND($F1880="Compareceu",$P1880&gt;0.005),"Cobrar",IF($F1880="Faltou","Falta: reagendar","")))))</f>
        <v>0</v>
      </c>
      <c r="T1880" s="29">
        <f>IF($A1880="","",DATE(YEAR($A1880),MONTH($A1880),1))</f>
        <v>0</v>
      </c>
      <c r="U1880" s="30">
        <f>IF($S1880="CONFIRMAR",MAX($U$4:$U1879)+1,"")</f>
        <v>0</v>
      </c>
      <c r="V1880" s="30">
        <f>IF(AND($R1880="Não",$Q1880&lt;&gt;"",$Q1880&lt;=Hoje+JanelaRet,$Q1880&gt;=Hoje-60),MAX($V$4:$V1879)+1,"")</f>
        <v>0</v>
      </c>
    </row>
    <row r="1881" spans="1:22">
      <c r="A1881" s="16"/>
      <c r="B1881" s="23"/>
      <c r="C1881" s="15"/>
      <c r="D1881" s="15"/>
      <c r="E1881" s="15"/>
      <c r="F1881" s="24"/>
      <c r="G1881" s="17"/>
      <c r="H1881" s="17"/>
      <c r="I1881" s="15"/>
      <c r="J1881" s="25">
        <f>IF($D1881="","",IFERROR(INDEX(PacNome,MATCH($D1881,PacCod,0)),"Paciente não cadastrado"))</f>
        <v>0</v>
      </c>
      <c r="K1881" s="26">
        <f>IF($D1881="","",IFERROR(INDEX(PacConv,MATCH($D1881,PacCod,0))&amp;"",""))</f>
        <v>0</v>
      </c>
      <c r="L1881" s="26">
        <f>IF($A1881="","",CHOOSE(WEEKDAY($A1881,2),"Seg","Ter","Qua","Qui","Sex","Sáb","Dom"))</f>
        <v>0</v>
      </c>
      <c r="M1881" s="27">
        <f>IF($E1881="","",IF($G1881&lt;&gt;"",$G1881,IFERROR(INDEX(ProcValor,MATCH($E1881,ProcNome,0)),0)))</f>
        <v>0</v>
      </c>
      <c r="N1881" s="27">
        <f>IF($M1881="","",IF($F1881="Compareceu",$M1881,0))</f>
        <v>0</v>
      </c>
      <c r="O1881" s="27">
        <f>IF($M1881="","",IF($F1881="Faltou",$M1881,0))</f>
        <v>0</v>
      </c>
      <c r="P1881" s="27">
        <f>IF($M1881="","",IF($F1881="Compareceu",MAX(0,$M1881-N($H1881)),0))</f>
        <v>0</v>
      </c>
      <c r="Q1881" s="19">
        <f>IF(AND($F1881="Compareceu",$E1881&lt;&gt;"",$A1881&lt;&gt;""),IF(IFERROR(INDEX(ProcRet,MATCH($E1881,ProcNome,0)),0)&gt;0,$A1881+INDEX(ProcRet,MATCH($E1881,ProcNome,0)),""),"")</f>
        <v>0</v>
      </c>
      <c r="R1881" s="26">
        <f>IF($Q1881="","",IF(COUNTIFS(AgPac,$D1881,AgData,"&gt;"&amp;$A1881,AgStatus,"&lt;&gt;Cancelado",AgStatus,"&lt;&gt;Remarcado")&gt;0,"Sim","Não"))</f>
        <v>0</v>
      </c>
      <c r="S1881" s="28">
        <f>IF($A1881="","",IF(AND($F1881="Agendado",$A1881-Hoje&gt;=0,$A1881-Hoje&lt;=DiasConf),"CONFIRMAR",IF(AND($A1881&lt;Hoje,OR($F1881="Agendado",$F1881="Confirmado")),"Atualizar status",IF(AND($F1881="Compareceu",$P1881&gt;0.005),"Cobrar",IF($F1881="Faltou","Falta: reagendar","")))))</f>
        <v>0</v>
      </c>
      <c r="T1881" s="29">
        <f>IF($A1881="","",DATE(YEAR($A1881),MONTH($A1881),1))</f>
        <v>0</v>
      </c>
      <c r="U1881" s="30">
        <f>IF($S1881="CONFIRMAR",MAX($U$4:$U1880)+1,"")</f>
        <v>0</v>
      </c>
      <c r="V1881" s="30">
        <f>IF(AND($R1881="Não",$Q1881&lt;&gt;"",$Q1881&lt;=Hoje+JanelaRet,$Q1881&gt;=Hoje-60),MAX($V$4:$V1880)+1,"")</f>
        <v>0</v>
      </c>
    </row>
    <row r="1882" spans="1:22">
      <c r="A1882" s="16"/>
      <c r="B1882" s="23"/>
      <c r="C1882" s="15"/>
      <c r="D1882" s="15"/>
      <c r="E1882" s="15"/>
      <c r="F1882" s="24"/>
      <c r="G1882" s="17"/>
      <c r="H1882" s="17"/>
      <c r="I1882" s="15"/>
      <c r="J1882" s="25">
        <f>IF($D1882="","",IFERROR(INDEX(PacNome,MATCH($D1882,PacCod,0)),"Paciente não cadastrado"))</f>
        <v>0</v>
      </c>
      <c r="K1882" s="26">
        <f>IF($D1882="","",IFERROR(INDEX(PacConv,MATCH($D1882,PacCod,0))&amp;"",""))</f>
        <v>0</v>
      </c>
      <c r="L1882" s="26">
        <f>IF($A1882="","",CHOOSE(WEEKDAY($A1882,2),"Seg","Ter","Qua","Qui","Sex","Sáb","Dom"))</f>
        <v>0</v>
      </c>
      <c r="M1882" s="27">
        <f>IF($E1882="","",IF($G1882&lt;&gt;"",$G1882,IFERROR(INDEX(ProcValor,MATCH($E1882,ProcNome,0)),0)))</f>
        <v>0</v>
      </c>
      <c r="N1882" s="27">
        <f>IF($M1882="","",IF($F1882="Compareceu",$M1882,0))</f>
        <v>0</v>
      </c>
      <c r="O1882" s="27">
        <f>IF($M1882="","",IF($F1882="Faltou",$M1882,0))</f>
        <v>0</v>
      </c>
      <c r="P1882" s="27">
        <f>IF($M1882="","",IF($F1882="Compareceu",MAX(0,$M1882-N($H1882)),0))</f>
        <v>0</v>
      </c>
      <c r="Q1882" s="19">
        <f>IF(AND($F1882="Compareceu",$E1882&lt;&gt;"",$A1882&lt;&gt;""),IF(IFERROR(INDEX(ProcRet,MATCH($E1882,ProcNome,0)),0)&gt;0,$A1882+INDEX(ProcRet,MATCH($E1882,ProcNome,0)),""),"")</f>
        <v>0</v>
      </c>
      <c r="R1882" s="26">
        <f>IF($Q1882="","",IF(COUNTIFS(AgPac,$D1882,AgData,"&gt;"&amp;$A1882,AgStatus,"&lt;&gt;Cancelado",AgStatus,"&lt;&gt;Remarcado")&gt;0,"Sim","Não"))</f>
        <v>0</v>
      </c>
      <c r="S1882" s="28">
        <f>IF($A1882="","",IF(AND($F1882="Agendado",$A1882-Hoje&gt;=0,$A1882-Hoje&lt;=DiasConf),"CONFIRMAR",IF(AND($A1882&lt;Hoje,OR($F1882="Agendado",$F1882="Confirmado")),"Atualizar status",IF(AND($F1882="Compareceu",$P1882&gt;0.005),"Cobrar",IF($F1882="Faltou","Falta: reagendar","")))))</f>
        <v>0</v>
      </c>
      <c r="T1882" s="29">
        <f>IF($A1882="","",DATE(YEAR($A1882),MONTH($A1882),1))</f>
        <v>0</v>
      </c>
      <c r="U1882" s="30">
        <f>IF($S1882="CONFIRMAR",MAX($U$4:$U1881)+1,"")</f>
        <v>0</v>
      </c>
      <c r="V1882" s="30">
        <f>IF(AND($R1882="Não",$Q1882&lt;&gt;"",$Q1882&lt;=Hoje+JanelaRet,$Q1882&gt;=Hoje-60),MAX($V$4:$V1881)+1,"")</f>
        <v>0</v>
      </c>
    </row>
    <row r="1883" spans="1:22">
      <c r="A1883" s="16"/>
      <c r="B1883" s="23"/>
      <c r="C1883" s="15"/>
      <c r="D1883" s="15"/>
      <c r="E1883" s="15"/>
      <c r="F1883" s="24"/>
      <c r="G1883" s="17"/>
      <c r="H1883" s="17"/>
      <c r="I1883" s="15"/>
      <c r="J1883" s="25">
        <f>IF($D1883="","",IFERROR(INDEX(PacNome,MATCH($D1883,PacCod,0)),"Paciente não cadastrado"))</f>
        <v>0</v>
      </c>
      <c r="K1883" s="26">
        <f>IF($D1883="","",IFERROR(INDEX(PacConv,MATCH($D1883,PacCod,0))&amp;"",""))</f>
        <v>0</v>
      </c>
      <c r="L1883" s="26">
        <f>IF($A1883="","",CHOOSE(WEEKDAY($A1883,2),"Seg","Ter","Qua","Qui","Sex","Sáb","Dom"))</f>
        <v>0</v>
      </c>
      <c r="M1883" s="27">
        <f>IF($E1883="","",IF($G1883&lt;&gt;"",$G1883,IFERROR(INDEX(ProcValor,MATCH($E1883,ProcNome,0)),0)))</f>
        <v>0</v>
      </c>
      <c r="N1883" s="27">
        <f>IF($M1883="","",IF($F1883="Compareceu",$M1883,0))</f>
        <v>0</v>
      </c>
      <c r="O1883" s="27">
        <f>IF($M1883="","",IF($F1883="Faltou",$M1883,0))</f>
        <v>0</v>
      </c>
      <c r="P1883" s="27">
        <f>IF($M1883="","",IF($F1883="Compareceu",MAX(0,$M1883-N($H1883)),0))</f>
        <v>0</v>
      </c>
      <c r="Q1883" s="19">
        <f>IF(AND($F1883="Compareceu",$E1883&lt;&gt;"",$A1883&lt;&gt;""),IF(IFERROR(INDEX(ProcRet,MATCH($E1883,ProcNome,0)),0)&gt;0,$A1883+INDEX(ProcRet,MATCH($E1883,ProcNome,0)),""),"")</f>
        <v>0</v>
      </c>
      <c r="R1883" s="26">
        <f>IF($Q1883="","",IF(COUNTIFS(AgPac,$D1883,AgData,"&gt;"&amp;$A1883,AgStatus,"&lt;&gt;Cancelado",AgStatus,"&lt;&gt;Remarcado")&gt;0,"Sim","Não"))</f>
        <v>0</v>
      </c>
      <c r="S1883" s="28">
        <f>IF($A1883="","",IF(AND($F1883="Agendado",$A1883-Hoje&gt;=0,$A1883-Hoje&lt;=DiasConf),"CONFIRMAR",IF(AND($A1883&lt;Hoje,OR($F1883="Agendado",$F1883="Confirmado")),"Atualizar status",IF(AND($F1883="Compareceu",$P1883&gt;0.005),"Cobrar",IF($F1883="Faltou","Falta: reagendar","")))))</f>
        <v>0</v>
      </c>
      <c r="T1883" s="29">
        <f>IF($A1883="","",DATE(YEAR($A1883),MONTH($A1883),1))</f>
        <v>0</v>
      </c>
      <c r="U1883" s="30">
        <f>IF($S1883="CONFIRMAR",MAX($U$4:$U1882)+1,"")</f>
        <v>0</v>
      </c>
      <c r="V1883" s="30">
        <f>IF(AND($R1883="Não",$Q1883&lt;&gt;"",$Q1883&lt;=Hoje+JanelaRet,$Q1883&gt;=Hoje-60),MAX($V$4:$V1882)+1,"")</f>
        <v>0</v>
      </c>
    </row>
    <row r="1884" spans="1:22">
      <c r="A1884" s="16"/>
      <c r="B1884" s="23"/>
      <c r="C1884" s="15"/>
      <c r="D1884" s="15"/>
      <c r="E1884" s="15"/>
      <c r="F1884" s="24"/>
      <c r="G1884" s="17"/>
      <c r="H1884" s="17"/>
      <c r="I1884" s="15"/>
      <c r="J1884" s="25">
        <f>IF($D1884="","",IFERROR(INDEX(PacNome,MATCH($D1884,PacCod,0)),"Paciente não cadastrado"))</f>
        <v>0</v>
      </c>
      <c r="K1884" s="26">
        <f>IF($D1884="","",IFERROR(INDEX(PacConv,MATCH($D1884,PacCod,0))&amp;"",""))</f>
        <v>0</v>
      </c>
      <c r="L1884" s="26">
        <f>IF($A1884="","",CHOOSE(WEEKDAY($A1884,2),"Seg","Ter","Qua","Qui","Sex","Sáb","Dom"))</f>
        <v>0</v>
      </c>
      <c r="M1884" s="27">
        <f>IF($E1884="","",IF($G1884&lt;&gt;"",$G1884,IFERROR(INDEX(ProcValor,MATCH($E1884,ProcNome,0)),0)))</f>
        <v>0</v>
      </c>
      <c r="N1884" s="27">
        <f>IF($M1884="","",IF($F1884="Compareceu",$M1884,0))</f>
        <v>0</v>
      </c>
      <c r="O1884" s="27">
        <f>IF($M1884="","",IF($F1884="Faltou",$M1884,0))</f>
        <v>0</v>
      </c>
      <c r="P1884" s="27">
        <f>IF($M1884="","",IF($F1884="Compareceu",MAX(0,$M1884-N($H1884)),0))</f>
        <v>0</v>
      </c>
      <c r="Q1884" s="19">
        <f>IF(AND($F1884="Compareceu",$E1884&lt;&gt;"",$A1884&lt;&gt;""),IF(IFERROR(INDEX(ProcRet,MATCH($E1884,ProcNome,0)),0)&gt;0,$A1884+INDEX(ProcRet,MATCH($E1884,ProcNome,0)),""),"")</f>
        <v>0</v>
      </c>
      <c r="R1884" s="26">
        <f>IF($Q1884="","",IF(COUNTIFS(AgPac,$D1884,AgData,"&gt;"&amp;$A1884,AgStatus,"&lt;&gt;Cancelado",AgStatus,"&lt;&gt;Remarcado")&gt;0,"Sim","Não"))</f>
        <v>0</v>
      </c>
      <c r="S1884" s="28">
        <f>IF($A1884="","",IF(AND($F1884="Agendado",$A1884-Hoje&gt;=0,$A1884-Hoje&lt;=DiasConf),"CONFIRMAR",IF(AND($A1884&lt;Hoje,OR($F1884="Agendado",$F1884="Confirmado")),"Atualizar status",IF(AND($F1884="Compareceu",$P1884&gt;0.005),"Cobrar",IF($F1884="Faltou","Falta: reagendar","")))))</f>
        <v>0</v>
      </c>
      <c r="T1884" s="29">
        <f>IF($A1884="","",DATE(YEAR($A1884),MONTH($A1884),1))</f>
        <v>0</v>
      </c>
      <c r="U1884" s="30">
        <f>IF($S1884="CONFIRMAR",MAX($U$4:$U1883)+1,"")</f>
        <v>0</v>
      </c>
      <c r="V1884" s="30">
        <f>IF(AND($R1884="Não",$Q1884&lt;&gt;"",$Q1884&lt;=Hoje+JanelaRet,$Q1884&gt;=Hoje-60),MAX($V$4:$V1883)+1,"")</f>
        <v>0</v>
      </c>
    </row>
    <row r="1885" spans="1:22">
      <c r="A1885" s="16"/>
      <c r="B1885" s="23"/>
      <c r="C1885" s="15"/>
      <c r="D1885" s="15"/>
      <c r="E1885" s="15"/>
      <c r="F1885" s="24"/>
      <c r="G1885" s="17"/>
      <c r="H1885" s="17"/>
      <c r="I1885" s="15"/>
      <c r="J1885" s="25">
        <f>IF($D1885="","",IFERROR(INDEX(PacNome,MATCH($D1885,PacCod,0)),"Paciente não cadastrado"))</f>
        <v>0</v>
      </c>
      <c r="K1885" s="26">
        <f>IF($D1885="","",IFERROR(INDEX(PacConv,MATCH($D1885,PacCod,0))&amp;"",""))</f>
        <v>0</v>
      </c>
      <c r="L1885" s="26">
        <f>IF($A1885="","",CHOOSE(WEEKDAY($A1885,2),"Seg","Ter","Qua","Qui","Sex","Sáb","Dom"))</f>
        <v>0</v>
      </c>
      <c r="M1885" s="27">
        <f>IF($E1885="","",IF($G1885&lt;&gt;"",$G1885,IFERROR(INDEX(ProcValor,MATCH($E1885,ProcNome,0)),0)))</f>
        <v>0</v>
      </c>
      <c r="N1885" s="27">
        <f>IF($M1885="","",IF($F1885="Compareceu",$M1885,0))</f>
        <v>0</v>
      </c>
      <c r="O1885" s="27">
        <f>IF($M1885="","",IF($F1885="Faltou",$M1885,0))</f>
        <v>0</v>
      </c>
      <c r="P1885" s="27">
        <f>IF($M1885="","",IF($F1885="Compareceu",MAX(0,$M1885-N($H1885)),0))</f>
        <v>0</v>
      </c>
      <c r="Q1885" s="19">
        <f>IF(AND($F1885="Compareceu",$E1885&lt;&gt;"",$A1885&lt;&gt;""),IF(IFERROR(INDEX(ProcRet,MATCH($E1885,ProcNome,0)),0)&gt;0,$A1885+INDEX(ProcRet,MATCH($E1885,ProcNome,0)),""),"")</f>
        <v>0</v>
      </c>
      <c r="R1885" s="26">
        <f>IF($Q1885="","",IF(COUNTIFS(AgPac,$D1885,AgData,"&gt;"&amp;$A1885,AgStatus,"&lt;&gt;Cancelado",AgStatus,"&lt;&gt;Remarcado")&gt;0,"Sim","Não"))</f>
        <v>0</v>
      </c>
      <c r="S1885" s="28">
        <f>IF($A1885="","",IF(AND($F1885="Agendado",$A1885-Hoje&gt;=0,$A1885-Hoje&lt;=DiasConf),"CONFIRMAR",IF(AND($A1885&lt;Hoje,OR($F1885="Agendado",$F1885="Confirmado")),"Atualizar status",IF(AND($F1885="Compareceu",$P1885&gt;0.005),"Cobrar",IF($F1885="Faltou","Falta: reagendar","")))))</f>
        <v>0</v>
      </c>
      <c r="T1885" s="29">
        <f>IF($A1885="","",DATE(YEAR($A1885),MONTH($A1885),1))</f>
        <v>0</v>
      </c>
      <c r="U1885" s="30">
        <f>IF($S1885="CONFIRMAR",MAX($U$4:$U1884)+1,"")</f>
        <v>0</v>
      </c>
      <c r="V1885" s="30">
        <f>IF(AND($R1885="Não",$Q1885&lt;&gt;"",$Q1885&lt;=Hoje+JanelaRet,$Q1885&gt;=Hoje-60),MAX($V$4:$V1884)+1,"")</f>
        <v>0</v>
      </c>
    </row>
    <row r="1886" spans="1:22">
      <c r="A1886" s="16"/>
      <c r="B1886" s="23"/>
      <c r="C1886" s="15"/>
      <c r="D1886" s="15"/>
      <c r="E1886" s="15"/>
      <c r="F1886" s="24"/>
      <c r="G1886" s="17"/>
      <c r="H1886" s="17"/>
      <c r="I1886" s="15"/>
      <c r="J1886" s="25">
        <f>IF($D1886="","",IFERROR(INDEX(PacNome,MATCH($D1886,PacCod,0)),"Paciente não cadastrado"))</f>
        <v>0</v>
      </c>
      <c r="K1886" s="26">
        <f>IF($D1886="","",IFERROR(INDEX(PacConv,MATCH($D1886,PacCod,0))&amp;"",""))</f>
        <v>0</v>
      </c>
      <c r="L1886" s="26">
        <f>IF($A1886="","",CHOOSE(WEEKDAY($A1886,2),"Seg","Ter","Qua","Qui","Sex","Sáb","Dom"))</f>
        <v>0</v>
      </c>
      <c r="M1886" s="27">
        <f>IF($E1886="","",IF($G1886&lt;&gt;"",$G1886,IFERROR(INDEX(ProcValor,MATCH($E1886,ProcNome,0)),0)))</f>
        <v>0</v>
      </c>
      <c r="N1886" s="27">
        <f>IF($M1886="","",IF($F1886="Compareceu",$M1886,0))</f>
        <v>0</v>
      </c>
      <c r="O1886" s="27">
        <f>IF($M1886="","",IF($F1886="Faltou",$M1886,0))</f>
        <v>0</v>
      </c>
      <c r="P1886" s="27">
        <f>IF($M1886="","",IF($F1886="Compareceu",MAX(0,$M1886-N($H1886)),0))</f>
        <v>0</v>
      </c>
      <c r="Q1886" s="19">
        <f>IF(AND($F1886="Compareceu",$E1886&lt;&gt;"",$A1886&lt;&gt;""),IF(IFERROR(INDEX(ProcRet,MATCH($E1886,ProcNome,0)),0)&gt;0,$A1886+INDEX(ProcRet,MATCH($E1886,ProcNome,0)),""),"")</f>
        <v>0</v>
      </c>
      <c r="R1886" s="26">
        <f>IF($Q1886="","",IF(COUNTIFS(AgPac,$D1886,AgData,"&gt;"&amp;$A1886,AgStatus,"&lt;&gt;Cancelado",AgStatus,"&lt;&gt;Remarcado")&gt;0,"Sim","Não"))</f>
        <v>0</v>
      </c>
      <c r="S1886" s="28">
        <f>IF($A1886="","",IF(AND($F1886="Agendado",$A1886-Hoje&gt;=0,$A1886-Hoje&lt;=DiasConf),"CONFIRMAR",IF(AND($A1886&lt;Hoje,OR($F1886="Agendado",$F1886="Confirmado")),"Atualizar status",IF(AND($F1886="Compareceu",$P1886&gt;0.005),"Cobrar",IF($F1886="Faltou","Falta: reagendar","")))))</f>
        <v>0</v>
      </c>
      <c r="T1886" s="29">
        <f>IF($A1886="","",DATE(YEAR($A1886),MONTH($A1886),1))</f>
        <v>0</v>
      </c>
      <c r="U1886" s="30">
        <f>IF($S1886="CONFIRMAR",MAX($U$4:$U1885)+1,"")</f>
        <v>0</v>
      </c>
      <c r="V1886" s="30">
        <f>IF(AND($R1886="Não",$Q1886&lt;&gt;"",$Q1886&lt;=Hoje+JanelaRet,$Q1886&gt;=Hoje-60),MAX($V$4:$V1885)+1,"")</f>
        <v>0</v>
      </c>
    </row>
    <row r="1887" spans="1:22">
      <c r="A1887" s="16"/>
      <c r="B1887" s="23"/>
      <c r="C1887" s="15"/>
      <c r="D1887" s="15"/>
      <c r="E1887" s="15"/>
      <c r="F1887" s="24"/>
      <c r="G1887" s="17"/>
      <c r="H1887" s="17"/>
      <c r="I1887" s="15"/>
      <c r="J1887" s="25">
        <f>IF($D1887="","",IFERROR(INDEX(PacNome,MATCH($D1887,PacCod,0)),"Paciente não cadastrado"))</f>
        <v>0</v>
      </c>
      <c r="K1887" s="26">
        <f>IF($D1887="","",IFERROR(INDEX(PacConv,MATCH($D1887,PacCod,0))&amp;"",""))</f>
        <v>0</v>
      </c>
      <c r="L1887" s="26">
        <f>IF($A1887="","",CHOOSE(WEEKDAY($A1887,2),"Seg","Ter","Qua","Qui","Sex","Sáb","Dom"))</f>
        <v>0</v>
      </c>
      <c r="M1887" s="27">
        <f>IF($E1887="","",IF($G1887&lt;&gt;"",$G1887,IFERROR(INDEX(ProcValor,MATCH($E1887,ProcNome,0)),0)))</f>
        <v>0</v>
      </c>
      <c r="N1887" s="27">
        <f>IF($M1887="","",IF($F1887="Compareceu",$M1887,0))</f>
        <v>0</v>
      </c>
      <c r="O1887" s="27">
        <f>IF($M1887="","",IF($F1887="Faltou",$M1887,0))</f>
        <v>0</v>
      </c>
      <c r="P1887" s="27">
        <f>IF($M1887="","",IF($F1887="Compareceu",MAX(0,$M1887-N($H1887)),0))</f>
        <v>0</v>
      </c>
      <c r="Q1887" s="19">
        <f>IF(AND($F1887="Compareceu",$E1887&lt;&gt;"",$A1887&lt;&gt;""),IF(IFERROR(INDEX(ProcRet,MATCH($E1887,ProcNome,0)),0)&gt;0,$A1887+INDEX(ProcRet,MATCH($E1887,ProcNome,0)),""),"")</f>
        <v>0</v>
      </c>
      <c r="R1887" s="26">
        <f>IF($Q1887="","",IF(COUNTIFS(AgPac,$D1887,AgData,"&gt;"&amp;$A1887,AgStatus,"&lt;&gt;Cancelado",AgStatus,"&lt;&gt;Remarcado")&gt;0,"Sim","Não"))</f>
        <v>0</v>
      </c>
      <c r="S1887" s="28">
        <f>IF($A1887="","",IF(AND($F1887="Agendado",$A1887-Hoje&gt;=0,$A1887-Hoje&lt;=DiasConf),"CONFIRMAR",IF(AND($A1887&lt;Hoje,OR($F1887="Agendado",$F1887="Confirmado")),"Atualizar status",IF(AND($F1887="Compareceu",$P1887&gt;0.005),"Cobrar",IF($F1887="Faltou","Falta: reagendar","")))))</f>
        <v>0</v>
      </c>
      <c r="T1887" s="29">
        <f>IF($A1887="","",DATE(YEAR($A1887),MONTH($A1887),1))</f>
        <v>0</v>
      </c>
      <c r="U1887" s="30">
        <f>IF($S1887="CONFIRMAR",MAX($U$4:$U1886)+1,"")</f>
        <v>0</v>
      </c>
      <c r="V1887" s="30">
        <f>IF(AND($R1887="Não",$Q1887&lt;&gt;"",$Q1887&lt;=Hoje+JanelaRet,$Q1887&gt;=Hoje-60),MAX($V$4:$V1886)+1,"")</f>
        <v>0</v>
      </c>
    </row>
    <row r="1888" spans="1:22">
      <c r="A1888" s="16"/>
      <c r="B1888" s="23"/>
      <c r="C1888" s="15"/>
      <c r="D1888" s="15"/>
      <c r="E1888" s="15"/>
      <c r="F1888" s="24"/>
      <c r="G1888" s="17"/>
      <c r="H1888" s="17"/>
      <c r="I1888" s="15"/>
      <c r="J1888" s="25">
        <f>IF($D1888="","",IFERROR(INDEX(PacNome,MATCH($D1888,PacCod,0)),"Paciente não cadastrado"))</f>
        <v>0</v>
      </c>
      <c r="K1888" s="26">
        <f>IF($D1888="","",IFERROR(INDEX(PacConv,MATCH($D1888,PacCod,0))&amp;"",""))</f>
        <v>0</v>
      </c>
      <c r="L1888" s="26">
        <f>IF($A1888="","",CHOOSE(WEEKDAY($A1888,2),"Seg","Ter","Qua","Qui","Sex","Sáb","Dom"))</f>
        <v>0</v>
      </c>
      <c r="M1888" s="27">
        <f>IF($E1888="","",IF($G1888&lt;&gt;"",$G1888,IFERROR(INDEX(ProcValor,MATCH($E1888,ProcNome,0)),0)))</f>
        <v>0</v>
      </c>
      <c r="N1888" s="27">
        <f>IF($M1888="","",IF($F1888="Compareceu",$M1888,0))</f>
        <v>0</v>
      </c>
      <c r="O1888" s="27">
        <f>IF($M1888="","",IF($F1888="Faltou",$M1888,0))</f>
        <v>0</v>
      </c>
      <c r="P1888" s="27">
        <f>IF($M1888="","",IF($F1888="Compareceu",MAX(0,$M1888-N($H1888)),0))</f>
        <v>0</v>
      </c>
      <c r="Q1888" s="19">
        <f>IF(AND($F1888="Compareceu",$E1888&lt;&gt;"",$A1888&lt;&gt;""),IF(IFERROR(INDEX(ProcRet,MATCH($E1888,ProcNome,0)),0)&gt;0,$A1888+INDEX(ProcRet,MATCH($E1888,ProcNome,0)),""),"")</f>
        <v>0</v>
      </c>
      <c r="R1888" s="26">
        <f>IF($Q1888="","",IF(COUNTIFS(AgPac,$D1888,AgData,"&gt;"&amp;$A1888,AgStatus,"&lt;&gt;Cancelado",AgStatus,"&lt;&gt;Remarcado")&gt;0,"Sim","Não"))</f>
        <v>0</v>
      </c>
      <c r="S1888" s="28">
        <f>IF($A1888="","",IF(AND($F1888="Agendado",$A1888-Hoje&gt;=0,$A1888-Hoje&lt;=DiasConf),"CONFIRMAR",IF(AND($A1888&lt;Hoje,OR($F1888="Agendado",$F1888="Confirmado")),"Atualizar status",IF(AND($F1888="Compareceu",$P1888&gt;0.005),"Cobrar",IF($F1888="Faltou","Falta: reagendar","")))))</f>
        <v>0</v>
      </c>
      <c r="T1888" s="29">
        <f>IF($A1888="","",DATE(YEAR($A1888),MONTH($A1888),1))</f>
        <v>0</v>
      </c>
      <c r="U1888" s="30">
        <f>IF($S1888="CONFIRMAR",MAX($U$4:$U1887)+1,"")</f>
        <v>0</v>
      </c>
      <c r="V1888" s="30">
        <f>IF(AND($R1888="Não",$Q1888&lt;&gt;"",$Q1888&lt;=Hoje+JanelaRet,$Q1888&gt;=Hoje-60),MAX($V$4:$V1887)+1,"")</f>
        <v>0</v>
      </c>
    </row>
    <row r="1889" spans="1:22">
      <c r="A1889" s="16"/>
      <c r="B1889" s="23"/>
      <c r="C1889" s="15"/>
      <c r="D1889" s="15"/>
      <c r="E1889" s="15"/>
      <c r="F1889" s="24"/>
      <c r="G1889" s="17"/>
      <c r="H1889" s="17"/>
      <c r="I1889" s="15"/>
      <c r="J1889" s="25">
        <f>IF($D1889="","",IFERROR(INDEX(PacNome,MATCH($D1889,PacCod,0)),"Paciente não cadastrado"))</f>
        <v>0</v>
      </c>
      <c r="K1889" s="26">
        <f>IF($D1889="","",IFERROR(INDEX(PacConv,MATCH($D1889,PacCod,0))&amp;"",""))</f>
        <v>0</v>
      </c>
      <c r="L1889" s="26">
        <f>IF($A1889="","",CHOOSE(WEEKDAY($A1889,2),"Seg","Ter","Qua","Qui","Sex","Sáb","Dom"))</f>
        <v>0</v>
      </c>
      <c r="M1889" s="27">
        <f>IF($E1889="","",IF($G1889&lt;&gt;"",$G1889,IFERROR(INDEX(ProcValor,MATCH($E1889,ProcNome,0)),0)))</f>
        <v>0</v>
      </c>
      <c r="N1889" s="27">
        <f>IF($M1889="","",IF($F1889="Compareceu",$M1889,0))</f>
        <v>0</v>
      </c>
      <c r="O1889" s="27">
        <f>IF($M1889="","",IF($F1889="Faltou",$M1889,0))</f>
        <v>0</v>
      </c>
      <c r="P1889" s="27">
        <f>IF($M1889="","",IF($F1889="Compareceu",MAX(0,$M1889-N($H1889)),0))</f>
        <v>0</v>
      </c>
      <c r="Q1889" s="19">
        <f>IF(AND($F1889="Compareceu",$E1889&lt;&gt;"",$A1889&lt;&gt;""),IF(IFERROR(INDEX(ProcRet,MATCH($E1889,ProcNome,0)),0)&gt;0,$A1889+INDEX(ProcRet,MATCH($E1889,ProcNome,0)),""),"")</f>
        <v>0</v>
      </c>
      <c r="R1889" s="26">
        <f>IF($Q1889="","",IF(COUNTIFS(AgPac,$D1889,AgData,"&gt;"&amp;$A1889,AgStatus,"&lt;&gt;Cancelado",AgStatus,"&lt;&gt;Remarcado")&gt;0,"Sim","Não"))</f>
        <v>0</v>
      </c>
      <c r="S1889" s="28">
        <f>IF($A1889="","",IF(AND($F1889="Agendado",$A1889-Hoje&gt;=0,$A1889-Hoje&lt;=DiasConf),"CONFIRMAR",IF(AND($A1889&lt;Hoje,OR($F1889="Agendado",$F1889="Confirmado")),"Atualizar status",IF(AND($F1889="Compareceu",$P1889&gt;0.005),"Cobrar",IF($F1889="Faltou","Falta: reagendar","")))))</f>
        <v>0</v>
      </c>
      <c r="T1889" s="29">
        <f>IF($A1889="","",DATE(YEAR($A1889),MONTH($A1889),1))</f>
        <v>0</v>
      </c>
      <c r="U1889" s="30">
        <f>IF($S1889="CONFIRMAR",MAX($U$4:$U1888)+1,"")</f>
        <v>0</v>
      </c>
      <c r="V1889" s="30">
        <f>IF(AND($R1889="Não",$Q1889&lt;&gt;"",$Q1889&lt;=Hoje+JanelaRet,$Q1889&gt;=Hoje-60),MAX($V$4:$V1888)+1,"")</f>
        <v>0</v>
      </c>
    </row>
    <row r="1890" spans="1:22">
      <c r="A1890" s="16"/>
      <c r="B1890" s="23"/>
      <c r="C1890" s="15"/>
      <c r="D1890" s="15"/>
      <c r="E1890" s="15"/>
      <c r="F1890" s="24"/>
      <c r="G1890" s="17"/>
      <c r="H1890" s="17"/>
      <c r="I1890" s="15"/>
      <c r="J1890" s="25">
        <f>IF($D1890="","",IFERROR(INDEX(PacNome,MATCH($D1890,PacCod,0)),"Paciente não cadastrado"))</f>
        <v>0</v>
      </c>
      <c r="K1890" s="26">
        <f>IF($D1890="","",IFERROR(INDEX(PacConv,MATCH($D1890,PacCod,0))&amp;"",""))</f>
        <v>0</v>
      </c>
      <c r="L1890" s="26">
        <f>IF($A1890="","",CHOOSE(WEEKDAY($A1890,2),"Seg","Ter","Qua","Qui","Sex","Sáb","Dom"))</f>
        <v>0</v>
      </c>
      <c r="M1890" s="27">
        <f>IF($E1890="","",IF($G1890&lt;&gt;"",$G1890,IFERROR(INDEX(ProcValor,MATCH($E1890,ProcNome,0)),0)))</f>
        <v>0</v>
      </c>
      <c r="N1890" s="27">
        <f>IF($M1890="","",IF($F1890="Compareceu",$M1890,0))</f>
        <v>0</v>
      </c>
      <c r="O1890" s="27">
        <f>IF($M1890="","",IF($F1890="Faltou",$M1890,0))</f>
        <v>0</v>
      </c>
      <c r="P1890" s="27">
        <f>IF($M1890="","",IF($F1890="Compareceu",MAX(0,$M1890-N($H1890)),0))</f>
        <v>0</v>
      </c>
      <c r="Q1890" s="19">
        <f>IF(AND($F1890="Compareceu",$E1890&lt;&gt;"",$A1890&lt;&gt;""),IF(IFERROR(INDEX(ProcRet,MATCH($E1890,ProcNome,0)),0)&gt;0,$A1890+INDEX(ProcRet,MATCH($E1890,ProcNome,0)),""),"")</f>
        <v>0</v>
      </c>
      <c r="R1890" s="26">
        <f>IF($Q1890="","",IF(COUNTIFS(AgPac,$D1890,AgData,"&gt;"&amp;$A1890,AgStatus,"&lt;&gt;Cancelado",AgStatus,"&lt;&gt;Remarcado")&gt;0,"Sim","Não"))</f>
        <v>0</v>
      </c>
      <c r="S1890" s="28">
        <f>IF($A1890="","",IF(AND($F1890="Agendado",$A1890-Hoje&gt;=0,$A1890-Hoje&lt;=DiasConf),"CONFIRMAR",IF(AND($A1890&lt;Hoje,OR($F1890="Agendado",$F1890="Confirmado")),"Atualizar status",IF(AND($F1890="Compareceu",$P1890&gt;0.005),"Cobrar",IF($F1890="Faltou","Falta: reagendar","")))))</f>
        <v>0</v>
      </c>
      <c r="T1890" s="29">
        <f>IF($A1890="","",DATE(YEAR($A1890),MONTH($A1890),1))</f>
        <v>0</v>
      </c>
      <c r="U1890" s="30">
        <f>IF($S1890="CONFIRMAR",MAX($U$4:$U1889)+1,"")</f>
        <v>0</v>
      </c>
      <c r="V1890" s="30">
        <f>IF(AND($R1890="Não",$Q1890&lt;&gt;"",$Q1890&lt;=Hoje+JanelaRet,$Q1890&gt;=Hoje-60),MAX($V$4:$V1889)+1,"")</f>
        <v>0</v>
      </c>
    </row>
    <row r="1891" spans="1:22">
      <c r="A1891" s="16"/>
      <c r="B1891" s="23"/>
      <c r="C1891" s="15"/>
      <c r="D1891" s="15"/>
      <c r="E1891" s="15"/>
      <c r="F1891" s="24"/>
      <c r="G1891" s="17"/>
      <c r="H1891" s="17"/>
      <c r="I1891" s="15"/>
      <c r="J1891" s="25">
        <f>IF($D1891="","",IFERROR(INDEX(PacNome,MATCH($D1891,PacCod,0)),"Paciente não cadastrado"))</f>
        <v>0</v>
      </c>
      <c r="K1891" s="26">
        <f>IF($D1891="","",IFERROR(INDEX(PacConv,MATCH($D1891,PacCod,0))&amp;"",""))</f>
        <v>0</v>
      </c>
      <c r="L1891" s="26">
        <f>IF($A1891="","",CHOOSE(WEEKDAY($A1891,2),"Seg","Ter","Qua","Qui","Sex","Sáb","Dom"))</f>
        <v>0</v>
      </c>
      <c r="M1891" s="27">
        <f>IF($E1891="","",IF($G1891&lt;&gt;"",$G1891,IFERROR(INDEX(ProcValor,MATCH($E1891,ProcNome,0)),0)))</f>
        <v>0</v>
      </c>
      <c r="N1891" s="27">
        <f>IF($M1891="","",IF($F1891="Compareceu",$M1891,0))</f>
        <v>0</v>
      </c>
      <c r="O1891" s="27">
        <f>IF($M1891="","",IF($F1891="Faltou",$M1891,0))</f>
        <v>0</v>
      </c>
      <c r="P1891" s="27">
        <f>IF($M1891="","",IF($F1891="Compareceu",MAX(0,$M1891-N($H1891)),0))</f>
        <v>0</v>
      </c>
      <c r="Q1891" s="19">
        <f>IF(AND($F1891="Compareceu",$E1891&lt;&gt;"",$A1891&lt;&gt;""),IF(IFERROR(INDEX(ProcRet,MATCH($E1891,ProcNome,0)),0)&gt;0,$A1891+INDEX(ProcRet,MATCH($E1891,ProcNome,0)),""),"")</f>
        <v>0</v>
      </c>
      <c r="R1891" s="26">
        <f>IF($Q1891="","",IF(COUNTIFS(AgPac,$D1891,AgData,"&gt;"&amp;$A1891,AgStatus,"&lt;&gt;Cancelado",AgStatus,"&lt;&gt;Remarcado")&gt;0,"Sim","Não"))</f>
        <v>0</v>
      </c>
      <c r="S1891" s="28">
        <f>IF($A1891="","",IF(AND($F1891="Agendado",$A1891-Hoje&gt;=0,$A1891-Hoje&lt;=DiasConf),"CONFIRMAR",IF(AND($A1891&lt;Hoje,OR($F1891="Agendado",$F1891="Confirmado")),"Atualizar status",IF(AND($F1891="Compareceu",$P1891&gt;0.005),"Cobrar",IF($F1891="Faltou","Falta: reagendar","")))))</f>
        <v>0</v>
      </c>
      <c r="T1891" s="29">
        <f>IF($A1891="","",DATE(YEAR($A1891),MONTH($A1891),1))</f>
        <v>0</v>
      </c>
      <c r="U1891" s="30">
        <f>IF($S1891="CONFIRMAR",MAX($U$4:$U1890)+1,"")</f>
        <v>0</v>
      </c>
      <c r="V1891" s="30">
        <f>IF(AND($R1891="Não",$Q1891&lt;&gt;"",$Q1891&lt;=Hoje+JanelaRet,$Q1891&gt;=Hoje-60),MAX($V$4:$V1890)+1,"")</f>
        <v>0</v>
      </c>
    </row>
    <row r="1892" spans="1:22">
      <c r="A1892" s="16"/>
      <c r="B1892" s="23"/>
      <c r="C1892" s="15"/>
      <c r="D1892" s="15"/>
      <c r="E1892" s="15"/>
      <c r="F1892" s="24"/>
      <c r="G1892" s="17"/>
      <c r="H1892" s="17"/>
      <c r="I1892" s="15"/>
      <c r="J1892" s="25">
        <f>IF($D1892="","",IFERROR(INDEX(PacNome,MATCH($D1892,PacCod,0)),"Paciente não cadastrado"))</f>
        <v>0</v>
      </c>
      <c r="K1892" s="26">
        <f>IF($D1892="","",IFERROR(INDEX(PacConv,MATCH($D1892,PacCod,0))&amp;"",""))</f>
        <v>0</v>
      </c>
      <c r="L1892" s="26">
        <f>IF($A1892="","",CHOOSE(WEEKDAY($A1892,2),"Seg","Ter","Qua","Qui","Sex","Sáb","Dom"))</f>
        <v>0</v>
      </c>
      <c r="M1892" s="27">
        <f>IF($E1892="","",IF($G1892&lt;&gt;"",$G1892,IFERROR(INDEX(ProcValor,MATCH($E1892,ProcNome,0)),0)))</f>
        <v>0</v>
      </c>
      <c r="N1892" s="27">
        <f>IF($M1892="","",IF($F1892="Compareceu",$M1892,0))</f>
        <v>0</v>
      </c>
      <c r="O1892" s="27">
        <f>IF($M1892="","",IF($F1892="Faltou",$M1892,0))</f>
        <v>0</v>
      </c>
      <c r="P1892" s="27">
        <f>IF($M1892="","",IF($F1892="Compareceu",MAX(0,$M1892-N($H1892)),0))</f>
        <v>0</v>
      </c>
      <c r="Q1892" s="19">
        <f>IF(AND($F1892="Compareceu",$E1892&lt;&gt;"",$A1892&lt;&gt;""),IF(IFERROR(INDEX(ProcRet,MATCH($E1892,ProcNome,0)),0)&gt;0,$A1892+INDEX(ProcRet,MATCH($E1892,ProcNome,0)),""),"")</f>
        <v>0</v>
      </c>
      <c r="R1892" s="26">
        <f>IF($Q1892="","",IF(COUNTIFS(AgPac,$D1892,AgData,"&gt;"&amp;$A1892,AgStatus,"&lt;&gt;Cancelado",AgStatus,"&lt;&gt;Remarcado")&gt;0,"Sim","Não"))</f>
        <v>0</v>
      </c>
      <c r="S1892" s="28">
        <f>IF($A1892="","",IF(AND($F1892="Agendado",$A1892-Hoje&gt;=0,$A1892-Hoje&lt;=DiasConf),"CONFIRMAR",IF(AND($A1892&lt;Hoje,OR($F1892="Agendado",$F1892="Confirmado")),"Atualizar status",IF(AND($F1892="Compareceu",$P1892&gt;0.005),"Cobrar",IF($F1892="Faltou","Falta: reagendar","")))))</f>
        <v>0</v>
      </c>
      <c r="T1892" s="29">
        <f>IF($A1892="","",DATE(YEAR($A1892),MONTH($A1892),1))</f>
        <v>0</v>
      </c>
      <c r="U1892" s="30">
        <f>IF($S1892="CONFIRMAR",MAX($U$4:$U1891)+1,"")</f>
        <v>0</v>
      </c>
      <c r="V1892" s="30">
        <f>IF(AND($R1892="Não",$Q1892&lt;&gt;"",$Q1892&lt;=Hoje+JanelaRet,$Q1892&gt;=Hoje-60),MAX($V$4:$V1891)+1,"")</f>
        <v>0</v>
      </c>
    </row>
    <row r="1893" spans="1:22">
      <c r="A1893" s="16"/>
      <c r="B1893" s="23"/>
      <c r="C1893" s="15"/>
      <c r="D1893" s="15"/>
      <c r="E1893" s="15"/>
      <c r="F1893" s="24"/>
      <c r="G1893" s="17"/>
      <c r="H1893" s="17"/>
      <c r="I1893" s="15"/>
      <c r="J1893" s="25">
        <f>IF($D1893="","",IFERROR(INDEX(PacNome,MATCH($D1893,PacCod,0)),"Paciente não cadastrado"))</f>
        <v>0</v>
      </c>
      <c r="K1893" s="26">
        <f>IF($D1893="","",IFERROR(INDEX(PacConv,MATCH($D1893,PacCod,0))&amp;"",""))</f>
        <v>0</v>
      </c>
      <c r="L1893" s="26">
        <f>IF($A1893="","",CHOOSE(WEEKDAY($A1893,2),"Seg","Ter","Qua","Qui","Sex","Sáb","Dom"))</f>
        <v>0</v>
      </c>
      <c r="M1893" s="27">
        <f>IF($E1893="","",IF($G1893&lt;&gt;"",$G1893,IFERROR(INDEX(ProcValor,MATCH($E1893,ProcNome,0)),0)))</f>
        <v>0</v>
      </c>
      <c r="N1893" s="27">
        <f>IF($M1893="","",IF($F1893="Compareceu",$M1893,0))</f>
        <v>0</v>
      </c>
      <c r="O1893" s="27">
        <f>IF($M1893="","",IF($F1893="Faltou",$M1893,0))</f>
        <v>0</v>
      </c>
      <c r="P1893" s="27">
        <f>IF($M1893="","",IF($F1893="Compareceu",MAX(0,$M1893-N($H1893)),0))</f>
        <v>0</v>
      </c>
      <c r="Q1893" s="19">
        <f>IF(AND($F1893="Compareceu",$E1893&lt;&gt;"",$A1893&lt;&gt;""),IF(IFERROR(INDEX(ProcRet,MATCH($E1893,ProcNome,0)),0)&gt;0,$A1893+INDEX(ProcRet,MATCH($E1893,ProcNome,0)),""),"")</f>
        <v>0</v>
      </c>
      <c r="R1893" s="26">
        <f>IF($Q1893="","",IF(COUNTIFS(AgPac,$D1893,AgData,"&gt;"&amp;$A1893,AgStatus,"&lt;&gt;Cancelado",AgStatus,"&lt;&gt;Remarcado")&gt;0,"Sim","Não"))</f>
        <v>0</v>
      </c>
      <c r="S1893" s="28">
        <f>IF($A1893="","",IF(AND($F1893="Agendado",$A1893-Hoje&gt;=0,$A1893-Hoje&lt;=DiasConf),"CONFIRMAR",IF(AND($A1893&lt;Hoje,OR($F1893="Agendado",$F1893="Confirmado")),"Atualizar status",IF(AND($F1893="Compareceu",$P1893&gt;0.005),"Cobrar",IF($F1893="Faltou","Falta: reagendar","")))))</f>
        <v>0</v>
      </c>
      <c r="T1893" s="29">
        <f>IF($A1893="","",DATE(YEAR($A1893),MONTH($A1893),1))</f>
        <v>0</v>
      </c>
      <c r="U1893" s="30">
        <f>IF($S1893="CONFIRMAR",MAX($U$4:$U1892)+1,"")</f>
        <v>0</v>
      </c>
      <c r="V1893" s="30">
        <f>IF(AND($R1893="Não",$Q1893&lt;&gt;"",$Q1893&lt;=Hoje+JanelaRet,$Q1893&gt;=Hoje-60),MAX($V$4:$V1892)+1,"")</f>
        <v>0</v>
      </c>
    </row>
    <row r="1894" spans="1:22">
      <c r="A1894" s="16"/>
      <c r="B1894" s="23"/>
      <c r="C1894" s="15"/>
      <c r="D1894" s="15"/>
      <c r="E1894" s="15"/>
      <c r="F1894" s="24"/>
      <c r="G1894" s="17"/>
      <c r="H1894" s="17"/>
      <c r="I1894" s="15"/>
      <c r="J1894" s="25">
        <f>IF($D1894="","",IFERROR(INDEX(PacNome,MATCH($D1894,PacCod,0)),"Paciente não cadastrado"))</f>
        <v>0</v>
      </c>
      <c r="K1894" s="26">
        <f>IF($D1894="","",IFERROR(INDEX(PacConv,MATCH($D1894,PacCod,0))&amp;"",""))</f>
        <v>0</v>
      </c>
      <c r="L1894" s="26">
        <f>IF($A1894="","",CHOOSE(WEEKDAY($A1894,2),"Seg","Ter","Qua","Qui","Sex","Sáb","Dom"))</f>
        <v>0</v>
      </c>
      <c r="M1894" s="27">
        <f>IF($E1894="","",IF($G1894&lt;&gt;"",$G1894,IFERROR(INDEX(ProcValor,MATCH($E1894,ProcNome,0)),0)))</f>
        <v>0</v>
      </c>
      <c r="N1894" s="27">
        <f>IF($M1894="","",IF($F1894="Compareceu",$M1894,0))</f>
        <v>0</v>
      </c>
      <c r="O1894" s="27">
        <f>IF($M1894="","",IF($F1894="Faltou",$M1894,0))</f>
        <v>0</v>
      </c>
      <c r="P1894" s="27">
        <f>IF($M1894="","",IF($F1894="Compareceu",MAX(0,$M1894-N($H1894)),0))</f>
        <v>0</v>
      </c>
      <c r="Q1894" s="19">
        <f>IF(AND($F1894="Compareceu",$E1894&lt;&gt;"",$A1894&lt;&gt;""),IF(IFERROR(INDEX(ProcRet,MATCH($E1894,ProcNome,0)),0)&gt;0,$A1894+INDEX(ProcRet,MATCH($E1894,ProcNome,0)),""),"")</f>
        <v>0</v>
      </c>
      <c r="R1894" s="26">
        <f>IF($Q1894="","",IF(COUNTIFS(AgPac,$D1894,AgData,"&gt;"&amp;$A1894,AgStatus,"&lt;&gt;Cancelado",AgStatus,"&lt;&gt;Remarcado")&gt;0,"Sim","Não"))</f>
        <v>0</v>
      </c>
      <c r="S1894" s="28">
        <f>IF($A1894="","",IF(AND($F1894="Agendado",$A1894-Hoje&gt;=0,$A1894-Hoje&lt;=DiasConf),"CONFIRMAR",IF(AND($A1894&lt;Hoje,OR($F1894="Agendado",$F1894="Confirmado")),"Atualizar status",IF(AND($F1894="Compareceu",$P1894&gt;0.005),"Cobrar",IF($F1894="Faltou","Falta: reagendar","")))))</f>
        <v>0</v>
      </c>
      <c r="T1894" s="29">
        <f>IF($A1894="","",DATE(YEAR($A1894),MONTH($A1894),1))</f>
        <v>0</v>
      </c>
      <c r="U1894" s="30">
        <f>IF($S1894="CONFIRMAR",MAX($U$4:$U1893)+1,"")</f>
        <v>0</v>
      </c>
      <c r="V1894" s="30">
        <f>IF(AND($R1894="Não",$Q1894&lt;&gt;"",$Q1894&lt;=Hoje+JanelaRet,$Q1894&gt;=Hoje-60),MAX($V$4:$V1893)+1,"")</f>
        <v>0</v>
      </c>
    </row>
    <row r="1895" spans="1:22">
      <c r="A1895" s="16"/>
      <c r="B1895" s="23"/>
      <c r="C1895" s="15"/>
      <c r="D1895" s="15"/>
      <c r="E1895" s="15"/>
      <c r="F1895" s="24"/>
      <c r="G1895" s="17"/>
      <c r="H1895" s="17"/>
      <c r="I1895" s="15"/>
      <c r="J1895" s="25">
        <f>IF($D1895="","",IFERROR(INDEX(PacNome,MATCH($D1895,PacCod,0)),"Paciente não cadastrado"))</f>
        <v>0</v>
      </c>
      <c r="K1895" s="26">
        <f>IF($D1895="","",IFERROR(INDEX(PacConv,MATCH($D1895,PacCod,0))&amp;"",""))</f>
        <v>0</v>
      </c>
      <c r="L1895" s="26">
        <f>IF($A1895="","",CHOOSE(WEEKDAY($A1895,2),"Seg","Ter","Qua","Qui","Sex","Sáb","Dom"))</f>
        <v>0</v>
      </c>
      <c r="M1895" s="27">
        <f>IF($E1895="","",IF($G1895&lt;&gt;"",$G1895,IFERROR(INDEX(ProcValor,MATCH($E1895,ProcNome,0)),0)))</f>
        <v>0</v>
      </c>
      <c r="N1895" s="27">
        <f>IF($M1895="","",IF($F1895="Compareceu",$M1895,0))</f>
        <v>0</v>
      </c>
      <c r="O1895" s="27">
        <f>IF($M1895="","",IF($F1895="Faltou",$M1895,0))</f>
        <v>0</v>
      </c>
      <c r="P1895" s="27">
        <f>IF($M1895="","",IF($F1895="Compareceu",MAX(0,$M1895-N($H1895)),0))</f>
        <v>0</v>
      </c>
      <c r="Q1895" s="19">
        <f>IF(AND($F1895="Compareceu",$E1895&lt;&gt;"",$A1895&lt;&gt;""),IF(IFERROR(INDEX(ProcRet,MATCH($E1895,ProcNome,0)),0)&gt;0,$A1895+INDEX(ProcRet,MATCH($E1895,ProcNome,0)),""),"")</f>
        <v>0</v>
      </c>
      <c r="R1895" s="26">
        <f>IF($Q1895="","",IF(COUNTIFS(AgPac,$D1895,AgData,"&gt;"&amp;$A1895,AgStatus,"&lt;&gt;Cancelado",AgStatus,"&lt;&gt;Remarcado")&gt;0,"Sim","Não"))</f>
        <v>0</v>
      </c>
      <c r="S1895" s="28">
        <f>IF($A1895="","",IF(AND($F1895="Agendado",$A1895-Hoje&gt;=0,$A1895-Hoje&lt;=DiasConf),"CONFIRMAR",IF(AND($A1895&lt;Hoje,OR($F1895="Agendado",$F1895="Confirmado")),"Atualizar status",IF(AND($F1895="Compareceu",$P1895&gt;0.005),"Cobrar",IF($F1895="Faltou","Falta: reagendar","")))))</f>
        <v>0</v>
      </c>
      <c r="T1895" s="29">
        <f>IF($A1895="","",DATE(YEAR($A1895),MONTH($A1895),1))</f>
        <v>0</v>
      </c>
      <c r="U1895" s="30">
        <f>IF($S1895="CONFIRMAR",MAX($U$4:$U1894)+1,"")</f>
        <v>0</v>
      </c>
      <c r="V1895" s="30">
        <f>IF(AND($R1895="Não",$Q1895&lt;&gt;"",$Q1895&lt;=Hoje+JanelaRet,$Q1895&gt;=Hoje-60),MAX($V$4:$V1894)+1,"")</f>
        <v>0</v>
      </c>
    </row>
    <row r="1896" spans="1:22">
      <c r="A1896" s="16"/>
      <c r="B1896" s="23"/>
      <c r="C1896" s="15"/>
      <c r="D1896" s="15"/>
      <c r="E1896" s="15"/>
      <c r="F1896" s="24"/>
      <c r="G1896" s="17"/>
      <c r="H1896" s="17"/>
      <c r="I1896" s="15"/>
      <c r="J1896" s="25">
        <f>IF($D1896="","",IFERROR(INDEX(PacNome,MATCH($D1896,PacCod,0)),"Paciente não cadastrado"))</f>
        <v>0</v>
      </c>
      <c r="K1896" s="26">
        <f>IF($D1896="","",IFERROR(INDEX(PacConv,MATCH($D1896,PacCod,0))&amp;"",""))</f>
        <v>0</v>
      </c>
      <c r="L1896" s="26">
        <f>IF($A1896="","",CHOOSE(WEEKDAY($A1896,2),"Seg","Ter","Qua","Qui","Sex","Sáb","Dom"))</f>
        <v>0</v>
      </c>
      <c r="M1896" s="27">
        <f>IF($E1896="","",IF($G1896&lt;&gt;"",$G1896,IFERROR(INDEX(ProcValor,MATCH($E1896,ProcNome,0)),0)))</f>
        <v>0</v>
      </c>
      <c r="N1896" s="27">
        <f>IF($M1896="","",IF($F1896="Compareceu",$M1896,0))</f>
        <v>0</v>
      </c>
      <c r="O1896" s="27">
        <f>IF($M1896="","",IF($F1896="Faltou",$M1896,0))</f>
        <v>0</v>
      </c>
      <c r="P1896" s="27">
        <f>IF($M1896="","",IF($F1896="Compareceu",MAX(0,$M1896-N($H1896)),0))</f>
        <v>0</v>
      </c>
      <c r="Q1896" s="19">
        <f>IF(AND($F1896="Compareceu",$E1896&lt;&gt;"",$A1896&lt;&gt;""),IF(IFERROR(INDEX(ProcRet,MATCH($E1896,ProcNome,0)),0)&gt;0,$A1896+INDEX(ProcRet,MATCH($E1896,ProcNome,0)),""),"")</f>
        <v>0</v>
      </c>
      <c r="R1896" s="26">
        <f>IF($Q1896="","",IF(COUNTIFS(AgPac,$D1896,AgData,"&gt;"&amp;$A1896,AgStatus,"&lt;&gt;Cancelado",AgStatus,"&lt;&gt;Remarcado")&gt;0,"Sim","Não"))</f>
        <v>0</v>
      </c>
      <c r="S1896" s="28">
        <f>IF($A1896="","",IF(AND($F1896="Agendado",$A1896-Hoje&gt;=0,$A1896-Hoje&lt;=DiasConf),"CONFIRMAR",IF(AND($A1896&lt;Hoje,OR($F1896="Agendado",$F1896="Confirmado")),"Atualizar status",IF(AND($F1896="Compareceu",$P1896&gt;0.005),"Cobrar",IF($F1896="Faltou","Falta: reagendar","")))))</f>
        <v>0</v>
      </c>
      <c r="T1896" s="29">
        <f>IF($A1896="","",DATE(YEAR($A1896),MONTH($A1896),1))</f>
        <v>0</v>
      </c>
      <c r="U1896" s="30">
        <f>IF($S1896="CONFIRMAR",MAX($U$4:$U1895)+1,"")</f>
        <v>0</v>
      </c>
      <c r="V1896" s="30">
        <f>IF(AND($R1896="Não",$Q1896&lt;&gt;"",$Q1896&lt;=Hoje+JanelaRet,$Q1896&gt;=Hoje-60),MAX($V$4:$V1895)+1,"")</f>
        <v>0</v>
      </c>
    </row>
    <row r="1897" spans="1:22">
      <c r="A1897" s="16"/>
      <c r="B1897" s="23"/>
      <c r="C1897" s="15"/>
      <c r="D1897" s="15"/>
      <c r="E1897" s="15"/>
      <c r="F1897" s="24"/>
      <c r="G1897" s="17"/>
      <c r="H1897" s="17"/>
      <c r="I1897" s="15"/>
      <c r="J1897" s="25">
        <f>IF($D1897="","",IFERROR(INDEX(PacNome,MATCH($D1897,PacCod,0)),"Paciente não cadastrado"))</f>
        <v>0</v>
      </c>
      <c r="K1897" s="26">
        <f>IF($D1897="","",IFERROR(INDEX(PacConv,MATCH($D1897,PacCod,0))&amp;"",""))</f>
        <v>0</v>
      </c>
      <c r="L1897" s="26">
        <f>IF($A1897="","",CHOOSE(WEEKDAY($A1897,2),"Seg","Ter","Qua","Qui","Sex","Sáb","Dom"))</f>
        <v>0</v>
      </c>
      <c r="M1897" s="27">
        <f>IF($E1897="","",IF($G1897&lt;&gt;"",$G1897,IFERROR(INDEX(ProcValor,MATCH($E1897,ProcNome,0)),0)))</f>
        <v>0</v>
      </c>
      <c r="N1897" s="27">
        <f>IF($M1897="","",IF($F1897="Compareceu",$M1897,0))</f>
        <v>0</v>
      </c>
      <c r="O1897" s="27">
        <f>IF($M1897="","",IF($F1897="Faltou",$M1897,0))</f>
        <v>0</v>
      </c>
      <c r="P1897" s="27">
        <f>IF($M1897="","",IF($F1897="Compareceu",MAX(0,$M1897-N($H1897)),0))</f>
        <v>0</v>
      </c>
      <c r="Q1897" s="19">
        <f>IF(AND($F1897="Compareceu",$E1897&lt;&gt;"",$A1897&lt;&gt;""),IF(IFERROR(INDEX(ProcRet,MATCH($E1897,ProcNome,0)),0)&gt;0,$A1897+INDEX(ProcRet,MATCH($E1897,ProcNome,0)),""),"")</f>
        <v>0</v>
      </c>
      <c r="R1897" s="26">
        <f>IF($Q1897="","",IF(COUNTIFS(AgPac,$D1897,AgData,"&gt;"&amp;$A1897,AgStatus,"&lt;&gt;Cancelado",AgStatus,"&lt;&gt;Remarcado")&gt;0,"Sim","Não"))</f>
        <v>0</v>
      </c>
      <c r="S1897" s="28">
        <f>IF($A1897="","",IF(AND($F1897="Agendado",$A1897-Hoje&gt;=0,$A1897-Hoje&lt;=DiasConf),"CONFIRMAR",IF(AND($A1897&lt;Hoje,OR($F1897="Agendado",$F1897="Confirmado")),"Atualizar status",IF(AND($F1897="Compareceu",$P1897&gt;0.005),"Cobrar",IF($F1897="Faltou","Falta: reagendar","")))))</f>
        <v>0</v>
      </c>
      <c r="T1897" s="29">
        <f>IF($A1897="","",DATE(YEAR($A1897),MONTH($A1897),1))</f>
        <v>0</v>
      </c>
      <c r="U1897" s="30">
        <f>IF($S1897="CONFIRMAR",MAX($U$4:$U1896)+1,"")</f>
        <v>0</v>
      </c>
      <c r="V1897" s="30">
        <f>IF(AND($R1897="Não",$Q1897&lt;&gt;"",$Q1897&lt;=Hoje+JanelaRet,$Q1897&gt;=Hoje-60),MAX($V$4:$V1896)+1,"")</f>
        <v>0</v>
      </c>
    </row>
    <row r="1898" spans="1:22">
      <c r="A1898" s="16"/>
      <c r="B1898" s="23"/>
      <c r="C1898" s="15"/>
      <c r="D1898" s="15"/>
      <c r="E1898" s="15"/>
      <c r="F1898" s="24"/>
      <c r="G1898" s="17"/>
      <c r="H1898" s="17"/>
      <c r="I1898" s="15"/>
      <c r="J1898" s="25">
        <f>IF($D1898="","",IFERROR(INDEX(PacNome,MATCH($D1898,PacCod,0)),"Paciente não cadastrado"))</f>
        <v>0</v>
      </c>
      <c r="K1898" s="26">
        <f>IF($D1898="","",IFERROR(INDEX(PacConv,MATCH($D1898,PacCod,0))&amp;"",""))</f>
        <v>0</v>
      </c>
      <c r="L1898" s="26">
        <f>IF($A1898="","",CHOOSE(WEEKDAY($A1898,2),"Seg","Ter","Qua","Qui","Sex","Sáb","Dom"))</f>
        <v>0</v>
      </c>
      <c r="M1898" s="27">
        <f>IF($E1898="","",IF($G1898&lt;&gt;"",$G1898,IFERROR(INDEX(ProcValor,MATCH($E1898,ProcNome,0)),0)))</f>
        <v>0</v>
      </c>
      <c r="N1898" s="27">
        <f>IF($M1898="","",IF($F1898="Compareceu",$M1898,0))</f>
        <v>0</v>
      </c>
      <c r="O1898" s="27">
        <f>IF($M1898="","",IF($F1898="Faltou",$M1898,0))</f>
        <v>0</v>
      </c>
      <c r="P1898" s="27">
        <f>IF($M1898="","",IF($F1898="Compareceu",MAX(0,$M1898-N($H1898)),0))</f>
        <v>0</v>
      </c>
      <c r="Q1898" s="19">
        <f>IF(AND($F1898="Compareceu",$E1898&lt;&gt;"",$A1898&lt;&gt;""),IF(IFERROR(INDEX(ProcRet,MATCH($E1898,ProcNome,0)),0)&gt;0,$A1898+INDEX(ProcRet,MATCH($E1898,ProcNome,0)),""),"")</f>
        <v>0</v>
      </c>
      <c r="R1898" s="26">
        <f>IF($Q1898="","",IF(COUNTIFS(AgPac,$D1898,AgData,"&gt;"&amp;$A1898,AgStatus,"&lt;&gt;Cancelado",AgStatus,"&lt;&gt;Remarcado")&gt;0,"Sim","Não"))</f>
        <v>0</v>
      </c>
      <c r="S1898" s="28">
        <f>IF($A1898="","",IF(AND($F1898="Agendado",$A1898-Hoje&gt;=0,$A1898-Hoje&lt;=DiasConf),"CONFIRMAR",IF(AND($A1898&lt;Hoje,OR($F1898="Agendado",$F1898="Confirmado")),"Atualizar status",IF(AND($F1898="Compareceu",$P1898&gt;0.005),"Cobrar",IF($F1898="Faltou","Falta: reagendar","")))))</f>
        <v>0</v>
      </c>
      <c r="T1898" s="29">
        <f>IF($A1898="","",DATE(YEAR($A1898),MONTH($A1898),1))</f>
        <v>0</v>
      </c>
      <c r="U1898" s="30">
        <f>IF($S1898="CONFIRMAR",MAX($U$4:$U1897)+1,"")</f>
        <v>0</v>
      </c>
      <c r="V1898" s="30">
        <f>IF(AND($R1898="Não",$Q1898&lt;&gt;"",$Q1898&lt;=Hoje+JanelaRet,$Q1898&gt;=Hoje-60),MAX($V$4:$V1897)+1,"")</f>
        <v>0</v>
      </c>
    </row>
    <row r="1899" spans="1:22">
      <c r="A1899" s="16"/>
      <c r="B1899" s="23"/>
      <c r="C1899" s="15"/>
      <c r="D1899" s="15"/>
      <c r="E1899" s="15"/>
      <c r="F1899" s="24"/>
      <c r="G1899" s="17"/>
      <c r="H1899" s="17"/>
      <c r="I1899" s="15"/>
      <c r="J1899" s="25">
        <f>IF($D1899="","",IFERROR(INDEX(PacNome,MATCH($D1899,PacCod,0)),"Paciente não cadastrado"))</f>
        <v>0</v>
      </c>
      <c r="K1899" s="26">
        <f>IF($D1899="","",IFERROR(INDEX(PacConv,MATCH($D1899,PacCod,0))&amp;"",""))</f>
        <v>0</v>
      </c>
      <c r="L1899" s="26">
        <f>IF($A1899="","",CHOOSE(WEEKDAY($A1899,2),"Seg","Ter","Qua","Qui","Sex","Sáb","Dom"))</f>
        <v>0</v>
      </c>
      <c r="M1899" s="27">
        <f>IF($E1899="","",IF($G1899&lt;&gt;"",$G1899,IFERROR(INDEX(ProcValor,MATCH($E1899,ProcNome,0)),0)))</f>
        <v>0</v>
      </c>
      <c r="N1899" s="27">
        <f>IF($M1899="","",IF($F1899="Compareceu",$M1899,0))</f>
        <v>0</v>
      </c>
      <c r="O1899" s="27">
        <f>IF($M1899="","",IF($F1899="Faltou",$M1899,0))</f>
        <v>0</v>
      </c>
      <c r="P1899" s="27">
        <f>IF($M1899="","",IF($F1899="Compareceu",MAX(0,$M1899-N($H1899)),0))</f>
        <v>0</v>
      </c>
      <c r="Q1899" s="19">
        <f>IF(AND($F1899="Compareceu",$E1899&lt;&gt;"",$A1899&lt;&gt;""),IF(IFERROR(INDEX(ProcRet,MATCH($E1899,ProcNome,0)),0)&gt;0,$A1899+INDEX(ProcRet,MATCH($E1899,ProcNome,0)),""),"")</f>
        <v>0</v>
      </c>
      <c r="R1899" s="26">
        <f>IF($Q1899="","",IF(COUNTIFS(AgPac,$D1899,AgData,"&gt;"&amp;$A1899,AgStatus,"&lt;&gt;Cancelado",AgStatus,"&lt;&gt;Remarcado")&gt;0,"Sim","Não"))</f>
        <v>0</v>
      </c>
      <c r="S1899" s="28">
        <f>IF($A1899="","",IF(AND($F1899="Agendado",$A1899-Hoje&gt;=0,$A1899-Hoje&lt;=DiasConf),"CONFIRMAR",IF(AND($A1899&lt;Hoje,OR($F1899="Agendado",$F1899="Confirmado")),"Atualizar status",IF(AND($F1899="Compareceu",$P1899&gt;0.005),"Cobrar",IF($F1899="Faltou","Falta: reagendar","")))))</f>
        <v>0</v>
      </c>
      <c r="T1899" s="29">
        <f>IF($A1899="","",DATE(YEAR($A1899),MONTH($A1899),1))</f>
        <v>0</v>
      </c>
      <c r="U1899" s="30">
        <f>IF($S1899="CONFIRMAR",MAX($U$4:$U1898)+1,"")</f>
        <v>0</v>
      </c>
      <c r="V1899" s="30">
        <f>IF(AND($R1899="Não",$Q1899&lt;&gt;"",$Q1899&lt;=Hoje+JanelaRet,$Q1899&gt;=Hoje-60),MAX($V$4:$V1898)+1,"")</f>
        <v>0</v>
      </c>
    </row>
    <row r="1900" spans="1:22">
      <c r="A1900" s="16"/>
      <c r="B1900" s="23"/>
      <c r="C1900" s="15"/>
      <c r="D1900" s="15"/>
      <c r="E1900" s="15"/>
      <c r="F1900" s="24"/>
      <c r="G1900" s="17"/>
      <c r="H1900" s="17"/>
      <c r="I1900" s="15"/>
      <c r="J1900" s="25">
        <f>IF($D1900="","",IFERROR(INDEX(PacNome,MATCH($D1900,PacCod,0)),"Paciente não cadastrado"))</f>
        <v>0</v>
      </c>
      <c r="K1900" s="26">
        <f>IF($D1900="","",IFERROR(INDEX(PacConv,MATCH($D1900,PacCod,0))&amp;"",""))</f>
        <v>0</v>
      </c>
      <c r="L1900" s="26">
        <f>IF($A1900="","",CHOOSE(WEEKDAY($A1900,2),"Seg","Ter","Qua","Qui","Sex","Sáb","Dom"))</f>
        <v>0</v>
      </c>
      <c r="M1900" s="27">
        <f>IF($E1900="","",IF($G1900&lt;&gt;"",$G1900,IFERROR(INDEX(ProcValor,MATCH($E1900,ProcNome,0)),0)))</f>
        <v>0</v>
      </c>
      <c r="N1900" s="27">
        <f>IF($M1900="","",IF($F1900="Compareceu",$M1900,0))</f>
        <v>0</v>
      </c>
      <c r="O1900" s="27">
        <f>IF($M1900="","",IF($F1900="Faltou",$M1900,0))</f>
        <v>0</v>
      </c>
      <c r="P1900" s="27">
        <f>IF($M1900="","",IF($F1900="Compareceu",MAX(0,$M1900-N($H1900)),0))</f>
        <v>0</v>
      </c>
      <c r="Q1900" s="19">
        <f>IF(AND($F1900="Compareceu",$E1900&lt;&gt;"",$A1900&lt;&gt;""),IF(IFERROR(INDEX(ProcRet,MATCH($E1900,ProcNome,0)),0)&gt;0,$A1900+INDEX(ProcRet,MATCH($E1900,ProcNome,0)),""),"")</f>
        <v>0</v>
      </c>
      <c r="R1900" s="26">
        <f>IF($Q1900="","",IF(COUNTIFS(AgPac,$D1900,AgData,"&gt;"&amp;$A1900,AgStatus,"&lt;&gt;Cancelado",AgStatus,"&lt;&gt;Remarcado")&gt;0,"Sim","Não"))</f>
        <v>0</v>
      </c>
      <c r="S1900" s="28">
        <f>IF($A1900="","",IF(AND($F1900="Agendado",$A1900-Hoje&gt;=0,$A1900-Hoje&lt;=DiasConf),"CONFIRMAR",IF(AND($A1900&lt;Hoje,OR($F1900="Agendado",$F1900="Confirmado")),"Atualizar status",IF(AND($F1900="Compareceu",$P1900&gt;0.005),"Cobrar",IF($F1900="Faltou","Falta: reagendar","")))))</f>
        <v>0</v>
      </c>
      <c r="T1900" s="29">
        <f>IF($A1900="","",DATE(YEAR($A1900),MONTH($A1900),1))</f>
        <v>0</v>
      </c>
      <c r="U1900" s="30">
        <f>IF($S1900="CONFIRMAR",MAX($U$4:$U1899)+1,"")</f>
        <v>0</v>
      </c>
      <c r="V1900" s="30">
        <f>IF(AND($R1900="Não",$Q1900&lt;&gt;"",$Q1900&lt;=Hoje+JanelaRet,$Q1900&gt;=Hoje-60),MAX($V$4:$V1899)+1,"")</f>
        <v>0</v>
      </c>
    </row>
    <row r="1901" spans="1:22">
      <c r="A1901" s="16"/>
      <c r="B1901" s="23"/>
      <c r="C1901" s="15"/>
      <c r="D1901" s="15"/>
      <c r="E1901" s="15"/>
      <c r="F1901" s="24"/>
      <c r="G1901" s="17"/>
      <c r="H1901" s="17"/>
      <c r="I1901" s="15"/>
      <c r="J1901" s="25">
        <f>IF($D1901="","",IFERROR(INDEX(PacNome,MATCH($D1901,PacCod,0)),"Paciente não cadastrado"))</f>
        <v>0</v>
      </c>
      <c r="K1901" s="26">
        <f>IF($D1901="","",IFERROR(INDEX(PacConv,MATCH($D1901,PacCod,0))&amp;"",""))</f>
        <v>0</v>
      </c>
      <c r="L1901" s="26">
        <f>IF($A1901="","",CHOOSE(WEEKDAY($A1901,2),"Seg","Ter","Qua","Qui","Sex","Sáb","Dom"))</f>
        <v>0</v>
      </c>
      <c r="M1901" s="27">
        <f>IF($E1901="","",IF($G1901&lt;&gt;"",$G1901,IFERROR(INDEX(ProcValor,MATCH($E1901,ProcNome,0)),0)))</f>
        <v>0</v>
      </c>
      <c r="N1901" s="27">
        <f>IF($M1901="","",IF($F1901="Compareceu",$M1901,0))</f>
        <v>0</v>
      </c>
      <c r="O1901" s="27">
        <f>IF($M1901="","",IF($F1901="Faltou",$M1901,0))</f>
        <v>0</v>
      </c>
      <c r="P1901" s="27">
        <f>IF($M1901="","",IF($F1901="Compareceu",MAX(0,$M1901-N($H1901)),0))</f>
        <v>0</v>
      </c>
      <c r="Q1901" s="19">
        <f>IF(AND($F1901="Compareceu",$E1901&lt;&gt;"",$A1901&lt;&gt;""),IF(IFERROR(INDEX(ProcRet,MATCH($E1901,ProcNome,0)),0)&gt;0,$A1901+INDEX(ProcRet,MATCH($E1901,ProcNome,0)),""),"")</f>
        <v>0</v>
      </c>
      <c r="R1901" s="26">
        <f>IF($Q1901="","",IF(COUNTIFS(AgPac,$D1901,AgData,"&gt;"&amp;$A1901,AgStatus,"&lt;&gt;Cancelado",AgStatus,"&lt;&gt;Remarcado")&gt;0,"Sim","Não"))</f>
        <v>0</v>
      </c>
      <c r="S1901" s="28">
        <f>IF($A1901="","",IF(AND($F1901="Agendado",$A1901-Hoje&gt;=0,$A1901-Hoje&lt;=DiasConf),"CONFIRMAR",IF(AND($A1901&lt;Hoje,OR($F1901="Agendado",$F1901="Confirmado")),"Atualizar status",IF(AND($F1901="Compareceu",$P1901&gt;0.005),"Cobrar",IF($F1901="Faltou","Falta: reagendar","")))))</f>
        <v>0</v>
      </c>
      <c r="T1901" s="29">
        <f>IF($A1901="","",DATE(YEAR($A1901),MONTH($A1901),1))</f>
        <v>0</v>
      </c>
      <c r="U1901" s="30">
        <f>IF($S1901="CONFIRMAR",MAX($U$4:$U1900)+1,"")</f>
        <v>0</v>
      </c>
      <c r="V1901" s="30">
        <f>IF(AND($R1901="Não",$Q1901&lt;&gt;"",$Q1901&lt;=Hoje+JanelaRet,$Q1901&gt;=Hoje-60),MAX($V$4:$V1900)+1,"")</f>
        <v>0</v>
      </c>
    </row>
    <row r="1902" spans="1:22">
      <c r="A1902" s="16"/>
      <c r="B1902" s="23"/>
      <c r="C1902" s="15"/>
      <c r="D1902" s="15"/>
      <c r="E1902" s="15"/>
      <c r="F1902" s="24"/>
      <c r="G1902" s="17"/>
      <c r="H1902" s="17"/>
      <c r="I1902" s="15"/>
      <c r="J1902" s="25">
        <f>IF($D1902="","",IFERROR(INDEX(PacNome,MATCH($D1902,PacCod,0)),"Paciente não cadastrado"))</f>
        <v>0</v>
      </c>
      <c r="K1902" s="26">
        <f>IF($D1902="","",IFERROR(INDEX(PacConv,MATCH($D1902,PacCod,0))&amp;"",""))</f>
        <v>0</v>
      </c>
      <c r="L1902" s="26">
        <f>IF($A1902="","",CHOOSE(WEEKDAY($A1902,2),"Seg","Ter","Qua","Qui","Sex","Sáb","Dom"))</f>
        <v>0</v>
      </c>
      <c r="M1902" s="27">
        <f>IF($E1902="","",IF($G1902&lt;&gt;"",$G1902,IFERROR(INDEX(ProcValor,MATCH($E1902,ProcNome,0)),0)))</f>
        <v>0</v>
      </c>
      <c r="N1902" s="27">
        <f>IF($M1902="","",IF($F1902="Compareceu",$M1902,0))</f>
        <v>0</v>
      </c>
      <c r="O1902" s="27">
        <f>IF($M1902="","",IF($F1902="Faltou",$M1902,0))</f>
        <v>0</v>
      </c>
      <c r="P1902" s="27">
        <f>IF($M1902="","",IF($F1902="Compareceu",MAX(0,$M1902-N($H1902)),0))</f>
        <v>0</v>
      </c>
      <c r="Q1902" s="19">
        <f>IF(AND($F1902="Compareceu",$E1902&lt;&gt;"",$A1902&lt;&gt;""),IF(IFERROR(INDEX(ProcRet,MATCH($E1902,ProcNome,0)),0)&gt;0,$A1902+INDEX(ProcRet,MATCH($E1902,ProcNome,0)),""),"")</f>
        <v>0</v>
      </c>
      <c r="R1902" s="26">
        <f>IF($Q1902="","",IF(COUNTIFS(AgPac,$D1902,AgData,"&gt;"&amp;$A1902,AgStatus,"&lt;&gt;Cancelado",AgStatus,"&lt;&gt;Remarcado")&gt;0,"Sim","Não"))</f>
        <v>0</v>
      </c>
      <c r="S1902" s="28">
        <f>IF($A1902="","",IF(AND($F1902="Agendado",$A1902-Hoje&gt;=0,$A1902-Hoje&lt;=DiasConf),"CONFIRMAR",IF(AND($A1902&lt;Hoje,OR($F1902="Agendado",$F1902="Confirmado")),"Atualizar status",IF(AND($F1902="Compareceu",$P1902&gt;0.005),"Cobrar",IF($F1902="Faltou","Falta: reagendar","")))))</f>
        <v>0</v>
      </c>
      <c r="T1902" s="29">
        <f>IF($A1902="","",DATE(YEAR($A1902),MONTH($A1902),1))</f>
        <v>0</v>
      </c>
      <c r="U1902" s="30">
        <f>IF($S1902="CONFIRMAR",MAX($U$4:$U1901)+1,"")</f>
        <v>0</v>
      </c>
      <c r="V1902" s="30">
        <f>IF(AND($R1902="Não",$Q1902&lt;&gt;"",$Q1902&lt;=Hoje+JanelaRet,$Q1902&gt;=Hoje-60),MAX($V$4:$V1901)+1,"")</f>
        <v>0</v>
      </c>
    </row>
    <row r="1903" spans="1:22">
      <c r="A1903" s="16"/>
      <c r="B1903" s="23"/>
      <c r="C1903" s="15"/>
      <c r="D1903" s="15"/>
      <c r="E1903" s="15"/>
      <c r="F1903" s="24"/>
      <c r="G1903" s="17"/>
      <c r="H1903" s="17"/>
      <c r="I1903" s="15"/>
      <c r="J1903" s="25">
        <f>IF($D1903="","",IFERROR(INDEX(PacNome,MATCH($D1903,PacCod,0)),"Paciente não cadastrado"))</f>
        <v>0</v>
      </c>
      <c r="K1903" s="26">
        <f>IF($D1903="","",IFERROR(INDEX(PacConv,MATCH($D1903,PacCod,0))&amp;"",""))</f>
        <v>0</v>
      </c>
      <c r="L1903" s="26">
        <f>IF($A1903="","",CHOOSE(WEEKDAY($A1903,2),"Seg","Ter","Qua","Qui","Sex","Sáb","Dom"))</f>
        <v>0</v>
      </c>
      <c r="M1903" s="27">
        <f>IF($E1903="","",IF($G1903&lt;&gt;"",$G1903,IFERROR(INDEX(ProcValor,MATCH($E1903,ProcNome,0)),0)))</f>
        <v>0</v>
      </c>
      <c r="N1903" s="27">
        <f>IF($M1903="","",IF($F1903="Compareceu",$M1903,0))</f>
        <v>0</v>
      </c>
      <c r="O1903" s="27">
        <f>IF($M1903="","",IF($F1903="Faltou",$M1903,0))</f>
        <v>0</v>
      </c>
      <c r="P1903" s="27">
        <f>IF($M1903="","",IF($F1903="Compareceu",MAX(0,$M1903-N($H1903)),0))</f>
        <v>0</v>
      </c>
      <c r="Q1903" s="19">
        <f>IF(AND($F1903="Compareceu",$E1903&lt;&gt;"",$A1903&lt;&gt;""),IF(IFERROR(INDEX(ProcRet,MATCH($E1903,ProcNome,0)),0)&gt;0,$A1903+INDEX(ProcRet,MATCH($E1903,ProcNome,0)),""),"")</f>
        <v>0</v>
      </c>
      <c r="R1903" s="26">
        <f>IF($Q1903="","",IF(COUNTIFS(AgPac,$D1903,AgData,"&gt;"&amp;$A1903,AgStatus,"&lt;&gt;Cancelado",AgStatus,"&lt;&gt;Remarcado")&gt;0,"Sim","Não"))</f>
        <v>0</v>
      </c>
      <c r="S1903" s="28">
        <f>IF($A1903="","",IF(AND($F1903="Agendado",$A1903-Hoje&gt;=0,$A1903-Hoje&lt;=DiasConf),"CONFIRMAR",IF(AND($A1903&lt;Hoje,OR($F1903="Agendado",$F1903="Confirmado")),"Atualizar status",IF(AND($F1903="Compareceu",$P1903&gt;0.005),"Cobrar",IF($F1903="Faltou","Falta: reagendar","")))))</f>
        <v>0</v>
      </c>
      <c r="T1903" s="29">
        <f>IF($A1903="","",DATE(YEAR($A1903),MONTH($A1903),1))</f>
        <v>0</v>
      </c>
      <c r="U1903" s="30">
        <f>IF($S1903="CONFIRMAR",MAX($U$4:$U1902)+1,"")</f>
        <v>0</v>
      </c>
      <c r="V1903" s="30">
        <f>IF(AND($R1903="Não",$Q1903&lt;&gt;"",$Q1903&lt;=Hoje+JanelaRet,$Q1903&gt;=Hoje-60),MAX($V$4:$V1902)+1,"")</f>
        <v>0</v>
      </c>
    </row>
    <row r="1904" spans="1:22">
      <c r="A1904" s="16"/>
      <c r="B1904" s="23"/>
      <c r="C1904" s="15"/>
      <c r="D1904" s="15"/>
      <c r="E1904" s="15"/>
      <c r="F1904" s="24"/>
      <c r="G1904" s="17"/>
      <c r="H1904" s="17"/>
      <c r="I1904" s="15"/>
      <c r="J1904" s="25">
        <f>IF($D1904="","",IFERROR(INDEX(PacNome,MATCH($D1904,PacCod,0)),"Paciente não cadastrado"))</f>
        <v>0</v>
      </c>
      <c r="K1904" s="26">
        <f>IF($D1904="","",IFERROR(INDEX(PacConv,MATCH($D1904,PacCod,0))&amp;"",""))</f>
        <v>0</v>
      </c>
      <c r="L1904" s="26">
        <f>IF($A1904="","",CHOOSE(WEEKDAY($A1904,2),"Seg","Ter","Qua","Qui","Sex","Sáb","Dom"))</f>
        <v>0</v>
      </c>
      <c r="M1904" s="27">
        <f>IF($E1904="","",IF($G1904&lt;&gt;"",$G1904,IFERROR(INDEX(ProcValor,MATCH($E1904,ProcNome,0)),0)))</f>
        <v>0</v>
      </c>
      <c r="N1904" s="27">
        <f>IF($M1904="","",IF($F1904="Compareceu",$M1904,0))</f>
        <v>0</v>
      </c>
      <c r="O1904" s="27">
        <f>IF($M1904="","",IF($F1904="Faltou",$M1904,0))</f>
        <v>0</v>
      </c>
      <c r="P1904" s="27">
        <f>IF($M1904="","",IF($F1904="Compareceu",MAX(0,$M1904-N($H1904)),0))</f>
        <v>0</v>
      </c>
      <c r="Q1904" s="19">
        <f>IF(AND($F1904="Compareceu",$E1904&lt;&gt;"",$A1904&lt;&gt;""),IF(IFERROR(INDEX(ProcRet,MATCH($E1904,ProcNome,0)),0)&gt;0,$A1904+INDEX(ProcRet,MATCH($E1904,ProcNome,0)),""),"")</f>
        <v>0</v>
      </c>
      <c r="R1904" s="26">
        <f>IF($Q1904="","",IF(COUNTIFS(AgPac,$D1904,AgData,"&gt;"&amp;$A1904,AgStatus,"&lt;&gt;Cancelado",AgStatus,"&lt;&gt;Remarcado")&gt;0,"Sim","Não"))</f>
        <v>0</v>
      </c>
      <c r="S1904" s="28">
        <f>IF($A1904="","",IF(AND($F1904="Agendado",$A1904-Hoje&gt;=0,$A1904-Hoje&lt;=DiasConf),"CONFIRMAR",IF(AND($A1904&lt;Hoje,OR($F1904="Agendado",$F1904="Confirmado")),"Atualizar status",IF(AND($F1904="Compareceu",$P1904&gt;0.005),"Cobrar",IF($F1904="Faltou","Falta: reagendar","")))))</f>
        <v>0</v>
      </c>
      <c r="T1904" s="29">
        <f>IF($A1904="","",DATE(YEAR($A1904),MONTH($A1904),1))</f>
        <v>0</v>
      </c>
      <c r="U1904" s="30">
        <f>IF($S1904="CONFIRMAR",MAX($U$4:$U1903)+1,"")</f>
        <v>0</v>
      </c>
      <c r="V1904" s="30">
        <f>IF(AND($R1904="Não",$Q1904&lt;&gt;"",$Q1904&lt;=Hoje+JanelaRet,$Q1904&gt;=Hoje-60),MAX($V$4:$V1903)+1,"")</f>
        <v>0</v>
      </c>
    </row>
    <row r="1905" spans="1:22">
      <c r="A1905" s="16"/>
      <c r="B1905" s="23"/>
      <c r="C1905" s="15"/>
      <c r="D1905" s="15"/>
      <c r="E1905" s="15"/>
      <c r="F1905" s="24"/>
      <c r="G1905" s="17"/>
      <c r="H1905" s="17"/>
      <c r="I1905" s="15"/>
      <c r="J1905" s="25">
        <f>IF($D1905="","",IFERROR(INDEX(PacNome,MATCH($D1905,PacCod,0)),"Paciente não cadastrado"))</f>
        <v>0</v>
      </c>
      <c r="K1905" s="26">
        <f>IF($D1905="","",IFERROR(INDEX(PacConv,MATCH($D1905,PacCod,0))&amp;"",""))</f>
        <v>0</v>
      </c>
      <c r="L1905" s="26">
        <f>IF($A1905="","",CHOOSE(WEEKDAY($A1905,2),"Seg","Ter","Qua","Qui","Sex","Sáb","Dom"))</f>
        <v>0</v>
      </c>
      <c r="M1905" s="27">
        <f>IF($E1905="","",IF($G1905&lt;&gt;"",$G1905,IFERROR(INDEX(ProcValor,MATCH($E1905,ProcNome,0)),0)))</f>
        <v>0</v>
      </c>
      <c r="N1905" s="27">
        <f>IF($M1905="","",IF($F1905="Compareceu",$M1905,0))</f>
        <v>0</v>
      </c>
      <c r="O1905" s="27">
        <f>IF($M1905="","",IF($F1905="Faltou",$M1905,0))</f>
        <v>0</v>
      </c>
      <c r="P1905" s="27">
        <f>IF($M1905="","",IF($F1905="Compareceu",MAX(0,$M1905-N($H1905)),0))</f>
        <v>0</v>
      </c>
      <c r="Q1905" s="19">
        <f>IF(AND($F1905="Compareceu",$E1905&lt;&gt;"",$A1905&lt;&gt;""),IF(IFERROR(INDEX(ProcRet,MATCH($E1905,ProcNome,0)),0)&gt;0,$A1905+INDEX(ProcRet,MATCH($E1905,ProcNome,0)),""),"")</f>
        <v>0</v>
      </c>
      <c r="R1905" s="26">
        <f>IF($Q1905="","",IF(COUNTIFS(AgPac,$D1905,AgData,"&gt;"&amp;$A1905,AgStatus,"&lt;&gt;Cancelado",AgStatus,"&lt;&gt;Remarcado")&gt;0,"Sim","Não"))</f>
        <v>0</v>
      </c>
      <c r="S1905" s="28">
        <f>IF($A1905="","",IF(AND($F1905="Agendado",$A1905-Hoje&gt;=0,$A1905-Hoje&lt;=DiasConf),"CONFIRMAR",IF(AND($A1905&lt;Hoje,OR($F1905="Agendado",$F1905="Confirmado")),"Atualizar status",IF(AND($F1905="Compareceu",$P1905&gt;0.005),"Cobrar",IF($F1905="Faltou","Falta: reagendar","")))))</f>
        <v>0</v>
      </c>
      <c r="T1905" s="29">
        <f>IF($A1905="","",DATE(YEAR($A1905),MONTH($A1905),1))</f>
        <v>0</v>
      </c>
      <c r="U1905" s="30">
        <f>IF($S1905="CONFIRMAR",MAX($U$4:$U1904)+1,"")</f>
        <v>0</v>
      </c>
      <c r="V1905" s="30">
        <f>IF(AND($R1905="Não",$Q1905&lt;&gt;"",$Q1905&lt;=Hoje+JanelaRet,$Q1905&gt;=Hoje-60),MAX($V$4:$V1904)+1,"")</f>
        <v>0</v>
      </c>
    </row>
    <row r="1906" spans="1:22">
      <c r="A1906" s="16"/>
      <c r="B1906" s="23"/>
      <c r="C1906" s="15"/>
      <c r="D1906" s="15"/>
      <c r="E1906" s="15"/>
      <c r="F1906" s="24"/>
      <c r="G1906" s="17"/>
      <c r="H1906" s="17"/>
      <c r="I1906" s="15"/>
      <c r="J1906" s="25">
        <f>IF($D1906="","",IFERROR(INDEX(PacNome,MATCH($D1906,PacCod,0)),"Paciente não cadastrado"))</f>
        <v>0</v>
      </c>
      <c r="K1906" s="26">
        <f>IF($D1906="","",IFERROR(INDEX(PacConv,MATCH($D1906,PacCod,0))&amp;"",""))</f>
        <v>0</v>
      </c>
      <c r="L1906" s="26">
        <f>IF($A1906="","",CHOOSE(WEEKDAY($A1906,2),"Seg","Ter","Qua","Qui","Sex","Sáb","Dom"))</f>
        <v>0</v>
      </c>
      <c r="M1906" s="27">
        <f>IF($E1906="","",IF($G1906&lt;&gt;"",$G1906,IFERROR(INDEX(ProcValor,MATCH($E1906,ProcNome,0)),0)))</f>
        <v>0</v>
      </c>
      <c r="N1906" s="27">
        <f>IF($M1906="","",IF($F1906="Compareceu",$M1906,0))</f>
        <v>0</v>
      </c>
      <c r="O1906" s="27">
        <f>IF($M1906="","",IF($F1906="Faltou",$M1906,0))</f>
        <v>0</v>
      </c>
      <c r="P1906" s="27">
        <f>IF($M1906="","",IF($F1906="Compareceu",MAX(0,$M1906-N($H1906)),0))</f>
        <v>0</v>
      </c>
      <c r="Q1906" s="19">
        <f>IF(AND($F1906="Compareceu",$E1906&lt;&gt;"",$A1906&lt;&gt;""),IF(IFERROR(INDEX(ProcRet,MATCH($E1906,ProcNome,0)),0)&gt;0,$A1906+INDEX(ProcRet,MATCH($E1906,ProcNome,0)),""),"")</f>
        <v>0</v>
      </c>
      <c r="R1906" s="26">
        <f>IF($Q1906="","",IF(COUNTIFS(AgPac,$D1906,AgData,"&gt;"&amp;$A1906,AgStatus,"&lt;&gt;Cancelado",AgStatus,"&lt;&gt;Remarcado")&gt;0,"Sim","Não"))</f>
        <v>0</v>
      </c>
      <c r="S1906" s="28">
        <f>IF($A1906="","",IF(AND($F1906="Agendado",$A1906-Hoje&gt;=0,$A1906-Hoje&lt;=DiasConf),"CONFIRMAR",IF(AND($A1906&lt;Hoje,OR($F1906="Agendado",$F1906="Confirmado")),"Atualizar status",IF(AND($F1906="Compareceu",$P1906&gt;0.005),"Cobrar",IF($F1906="Faltou","Falta: reagendar","")))))</f>
        <v>0</v>
      </c>
      <c r="T1906" s="29">
        <f>IF($A1906="","",DATE(YEAR($A1906),MONTH($A1906),1))</f>
        <v>0</v>
      </c>
      <c r="U1906" s="30">
        <f>IF($S1906="CONFIRMAR",MAX($U$4:$U1905)+1,"")</f>
        <v>0</v>
      </c>
      <c r="V1906" s="30">
        <f>IF(AND($R1906="Não",$Q1906&lt;&gt;"",$Q1906&lt;=Hoje+JanelaRet,$Q1906&gt;=Hoje-60),MAX($V$4:$V1905)+1,"")</f>
        <v>0</v>
      </c>
    </row>
    <row r="1907" spans="1:22">
      <c r="A1907" s="16"/>
      <c r="B1907" s="23"/>
      <c r="C1907" s="15"/>
      <c r="D1907" s="15"/>
      <c r="E1907" s="15"/>
      <c r="F1907" s="24"/>
      <c r="G1907" s="17"/>
      <c r="H1907" s="17"/>
      <c r="I1907" s="15"/>
      <c r="J1907" s="25">
        <f>IF($D1907="","",IFERROR(INDEX(PacNome,MATCH($D1907,PacCod,0)),"Paciente não cadastrado"))</f>
        <v>0</v>
      </c>
      <c r="K1907" s="26">
        <f>IF($D1907="","",IFERROR(INDEX(PacConv,MATCH($D1907,PacCod,0))&amp;"",""))</f>
        <v>0</v>
      </c>
      <c r="L1907" s="26">
        <f>IF($A1907="","",CHOOSE(WEEKDAY($A1907,2),"Seg","Ter","Qua","Qui","Sex","Sáb","Dom"))</f>
        <v>0</v>
      </c>
      <c r="M1907" s="27">
        <f>IF($E1907="","",IF($G1907&lt;&gt;"",$G1907,IFERROR(INDEX(ProcValor,MATCH($E1907,ProcNome,0)),0)))</f>
        <v>0</v>
      </c>
      <c r="N1907" s="27">
        <f>IF($M1907="","",IF($F1907="Compareceu",$M1907,0))</f>
        <v>0</v>
      </c>
      <c r="O1907" s="27">
        <f>IF($M1907="","",IF($F1907="Faltou",$M1907,0))</f>
        <v>0</v>
      </c>
      <c r="P1907" s="27">
        <f>IF($M1907="","",IF($F1907="Compareceu",MAX(0,$M1907-N($H1907)),0))</f>
        <v>0</v>
      </c>
      <c r="Q1907" s="19">
        <f>IF(AND($F1907="Compareceu",$E1907&lt;&gt;"",$A1907&lt;&gt;""),IF(IFERROR(INDEX(ProcRet,MATCH($E1907,ProcNome,0)),0)&gt;0,$A1907+INDEX(ProcRet,MATCH($E1907,ProcNome,0)),""),"")</f>
        <v>0</v>
      </c>
      <c r="R1907" s="26">
        <f>IF($Q1907="","",IF(COUNTIFS(AgPac,$D1907,AgData,"&gt;"&amp;$A1907,AgStatus,"&lt;&gt;Cancelado",AgStatus,"&lt;&gt;Remarcado")&gt;0,"Sim","Não"))</f>
        <v>0</v>
      </c>
      <c r="S1907" s="28">
        <f>IF($A1907="","",IF(AND($F1907="Agendado",$A1907-Hoje&gt;=0,$A1907-Hoje&lt;=DiasConf),"CONFIRMAR",IF(AND($A1907&lt;Hoje,OR($F1907="Agendado",$F1907="Confirmado")),"Atualizar status",IF(AND($F1907="Compareceu",$P1907&gt;0.005),"Cobrar",IF($F1907="Faltou","Falta: reagendar","")))))</f>
        <v>0</v>
      </c>
      <c r="T1907" s="29">
        <f>IF($A1907="","",DATE(YEAR($A1907),MONTH($A1907),1))</f>
        <v>0</v>
      </c>
      <c r="U1907" s="30">
        <f>IF($S1907="CONFIRMAR",MAX($U$4:$U1906)+1,"")</f>
        <v>0</v>
      </c>
      <c r="V1907" s="30">
        <f>IF(AND($R1907="Não",$Q1907&lt;&gt;"",$Q1907&lt;=Hoje+JanelaRet,$Q1907&gt;=Hoje-60),MAX($V$4:$V1906)+1,"")</f>
        <v>0</v>
      </c>
    </row>
    <row r="1908" spans="1:22">
      <c r="A1908" s="16"/>
      <c r="B1908" s="23"/>
      <c r="C1908" s="15"/>
      <c r="D1908" s="15"/>
      <c r="E1908" s="15"/>
      <c r="F1908" s="24"/>
      <c r="G1908" s="17"/>
      <c r="H1908" s="17"/>
      <c r="I1908" s="15"/>
      <c r="J1908" s="25">
        <f>IF($D1908="","",IFERROR(INDEX(PacNome,MATCH($D1908,PacCod,0)),"Paciente não cadastrado"))</f>
        <v>0</v>
      </c>
      <c r="K1908" s="26">
        <f>IF($D1908="","",IFERROR(INDEX(PacConv,MATCH($D1908,PacCod,0))&amp;"",""))</f>
        <v>0</v>
      </c>
      <c r="L1908" s="26">
        <f>IF($A1908="","",CHOOSE(WEEKDAY($A1908,2),"Seg","Ter","Qua","Qui","Sex","Sáb","Dom"))</f>
        <v>0</v>
      </c>
      <c r="M1908" s="27">
        <f>IF($E1908="","",IF($G1908&lt;&gt;"",$G1908,IFERROR(INDEX(ProcValor,MATCH($E1908,ProcNome,0)),0)))</f>
        <v>0</v>
      </c>
      <c r="N1908" s="27">
        <f>IF($M1908="","",IF($F1908="Compareceu",$M1908,0))</f>
        <v>0</v>
      </c>
      <c r="O1908" s="27">
        <f>IF($M1908="","",IF($F1908="Faltou",$M1908,0))</f>
        <v>0</v>
      </c>
      <c r="P1908" s="27">
        <f>IF($M1908="","",IF($F1908="Compareceu",MAX(0,$M1908-N($H1908)),0))</f>
        <v>0</v>
      </c>
      <c r="Q1908" s="19">
        <f>IF(AND($F1908="Compareceu",$E1908&lt;&gt;"",$A1908&lt;&gt;""),IF(IFERROR(INDEX(ProcRet,MATCH($E1908,ProcNome,0)),0)&gt;0,$A1908+INDEX(ProcRet,MATCH($E1908,ProcNome,0)),""),"")</f>
        <v>0</v>
      </c>
      <c r="R1908" s="26">
        <f>IF($Q1908="","",IF(COUNTIFS(AgPac,$D1908,AgData,"&gt;"&amp;$A1908,AgStatus,"&lt;&gt;Cancelado",AgStatus,"&lt;&gt;Remarcado")&gt;0,"Sim","Não"))</f>
        <v>0</v>
      </c>
      <c r="S1908" s="28">
        <f>IF($A1908="","",IF(AND($F1908="Agendado",$A1908-Hoje&gt;=0,$A1908-Hoje&lt;=DiasConf),"CONFIRMAR",IF(AND($A1908&lt;Hoje,OR($F1908="Agendado",$F1908="Confirmado")),"Atualizar status",IF(AND($F1908="Compareceu",$P1908&gt;0.005),"Cobrar",IF($F1908="Faltou","Falta: reagendar","")))))</f>
        <v>0</v>
      </c>
      <c r="T1908" s="29">
        <f>IF($A1908="","",DATE(YEAR($A1908),MONTH($A1908),1))</f>
        <v>0</v>
      </c>
      <c r="U1908" s="30">
        <f>IF($S1908="CONFIRMAR",MAX($U$4:$U1907)+1,"")</f>
        <v>0</v>
      </c>
      <c r="V1908" s="30">
        <f>IF(AND($R1908="Não",$Q1908&lt;&gt;"",$Q1908&lt;=Hoje+JanelaRet,$Q1908&gt;=Hoje-60),MAX($V$4:$V1907)+1,"")</f>
        <v>0</v>
      </c>
    </row>
    <row r="1909" spans="1:22">
      <c r="A1909" s="16"/>
      <c r="B1909" s="23"/>
      <c r="C1909" s="15"/>
      <c r="D1909" s="15"/>
      <c r="E1909" s="15"/>
      <c r="F1909" s="24"/>
      <c r="G1909" s="17"/>
      <c r="H1909" s="17"/>
      <c r="I1909" s="15"/>
      <c r="J1909" s="25">
        <f>IF($D1909="","",IFERROR(INDEX(PacNome,MATCH($D1909,PacCod,0)),"Paciente não cadastrado"))</f>
        <v>0</v>
      </c>
      <c r="K1909" s="26">
        <f>IF($D1909="","",IFERROR(INDEX(PacConv,MATCH($D1909,PacCod,0))&amp;"",""))</f>
        <v>0</v>
      </c>
      <c r="L1909" s="26">
        <f>IF($A1909="","",CHOOSE(WEEKDAY($A1909,2),"Seg","Ter","Qua","Qui","Sex","Sáb","Dom"))</f>
        <v>0</v>
      </c>
      <c r="M1909" s="27">
        <f>IF($E1909="","",IF($G1909&lt;&gt;"",$G1909,IFERROR(INDEX(ProcValor,MATCH($E1909,ProcNome,0)),0)))</f>
        <v>0</v>
      </c>
      <c r="N1909" s="27">
        <f>IF($M1909="","",IF($F1909="Compareceu",$M1909,0))</f>
        <v>0</v>
      </c>
      <c r="O1909" s="27">
        <f>IF($M1909="","",IF($F1909="Faltou",$M1909,0))</f>
        <v>0</v>
      </c>
      <c r="P1909" s="27">
        <f>IF($M1909="","",IF($F1909="Compareceu",MAX(0,$M1909-N($H1909)),0))</f>
        <v>0</v>
      </c>
      <c r="Q1909" s="19">
        <f>IF(AND($F1909="Compareceu",$E1909&lt;&gt;"",$A1909&lt;&gt;""),IF(IFERROR(INDEX(ProcRet,MATCH($E1909,ProcNome,0)),0)&gt;0,$A1909+INDEX(ProcRet,MATCH($E1909,ProcNome,0)),""),"")</f>
        <v>0</v>
      </c>
      <c r="R1909" s="26">
        <f>IF($Q1909="","",IF(COUNTIFS(AgPac,$D1909,AgData,"&gt;"&amp;$A1909,AgStatus,"&lt;&gt;Cancelado",AgStatus,"&lt;&gt;Remarcado")&gt;0,"Sim","Não"))</f>
        <v>0</v>
      </c>
      <c r="S1909" s="28">
        <f>IF($A1909="","",IF(AND($F1909="Agendado",$A1909-Hoje&gt;=0,$A1909-Hoje&lt;=DiasConf),"CONFIRMAR",IF(AND($A1909&lt;Hoje,OR($F1909="Agendado",$F1909="Confirmado")),"Atualizar status",IF(AND($F1909="Compareceu",$P1909&gt;0.005),"Cobrar",IF($F1909="Faltou","Falta: reagendar","")))))</f>
        <v>0</v>
      </c>
      <c r="T1909" s="29">
        <f>IF($A1909="","",DATE(YEAR($A1909),MONTH($A1909),1))</f>
        <v>0</v>
      </c>
      <c r="U1909" s="30">
        <f>IF($S1909="CONFIRMAR",MAX($U$4:$U1908)+1,"")</f>
        <v>0</v>
      </c>
      <c r="V1909" s="30">
        <f>IF(AND($R1909="Não",$Q1909&lt;&gt;"",$Q1909&lt;=Hoje+JanelaRet,$Q1909&gt;=Hoje-60),MAX($V$4:$V1908)+1,"")</f>
        <v>0</v>
      </c>
    </row>
    <row r="1910" spans="1:22">
      <c r="A1910" s="16"/>
      <c r="B1910" s="23"/>
      <c r="C1910" s="15"/>
      <c r="D1910" s="15"/>
      <c r="E1910" s="15"/>
      <c r="F1910" s="24"/>
      <c r="G1910" s="17"/>
      <c r="H1910" s="17"/>
      <c r="I1910" s="15"/>
      <c r="J1910" s="25">
        <f>IF($D1910="","",IFERROR(INDEX(PacNome,MATCH($D1910,PacCod,0)),"Paciente não cadastrado"))</f>
        <v>0</v>
      </c>
      <c r="K1910" s="26">
        <f>IF($D1910="","",IFERROR(INDEX(PacConv,MATCH($D1910,PacCod,0))&amp;"",""))</f>
        <v>0</v>
      </c>
      <c r="L1910" s="26">
        <f>IF($A1910="","",CHOOSE(WEEKDAY($A1910,2),"Seg","Ter","Qua","Qui","Sex","Sáb","Dom"))</f>
        <v>0</v>
      </c>
      <c r="M1910" s="27">
        <f>IF($E1910="","",IF($G1910&lt;&gt;"",$G1910,IFERROR(INDEX(ProcValor,MATCH($E1910,ProcNome,0)),0)))</f>
        <v>0</v>
      </c>
      <c r="N1910" s="27">
        <f>IF($M1910="","",IF($F1910="Compareceu",$M1910,0))</f>
        <v>0</v>
      </c>
      <c r="O1910" s="27">
        <f>IF($M1910="","",IF($F1910="Faltou",$M1910,0))</f>
        <v>0</v>
      </c>
      <c r="P1910" s="27">
        <f>IF($M1910="","",IF($F1910="Compareceu",MAX(0,$M1910-N($H1910)),0))</f>
        <v>0</v>
      </c>
      <c r="Q1910" s="19">
        <f>IF(AND($F1910="Compareceu",$E1910&lt;&gt;"",$A1910&lt;&gt;""),IF(IFERROR(INDEX(ProcRet,MATCH($E1910,ProcNome,0)),0)&gt;0,$A1910+INDEX(ProcRet,MATCH($E1910,ProcNome,0)),""),"")</f>
        <v>0</v>
      </c>
      <c r="R1910" s="26">
        <f>IF($Q1910="","",IF(COUNTIFS(AgPac,$D1910,AgData,"&gt;"&amp;$A1910,AgStatus,"&lt;&gt;Cancelado",AgStatus,"&lt;&gt;Remarcado")&gt;0,"Sim","Não"))</f>
        <v>0</v>
      </c>
      <c r="S1910" s="28">
        <f>IF($A1910="","",IF(AND($F1910="Agendado",$A1910-Hoje&gt;=0,$A1910-Hoje&lt;=DiasConf),"CONFIRMAR",IF(AND($A1910&lt;Hoje,OR($F1910="Agendado",$F1910="Confirmado")),"Atualizar status",IF(AND($F1910="Compareceu",$P1910&gt;0.005),"Cobrar",IF($F1910="Faltou","Falta: reagendar","")))))</f>
        <v>0</v>
      </c>
      <c r="T1910" s="29">
        <f>IF($A1910="","",DATE(YEAR($A1910),MONTH($A1910),1))</f>
        <v>0</v>
      </c>
      <c r="U1910" s="30">
        <f>IF($S1910="CONFIRMAR",MAX($U$4:$U1909)+1,"")</f>
        <v>0</v>
      </c>
      <c r="V1910" s="30">
        <f>IF(AND($R1910="Não",$Q1910&lt;&gt;"",$Q1910&lt;=Hoje+JanelaRet,$Q1910&gt;=Hoje-60),MAX($V$4:$V1909)+1,"")</f>
        <v>0</v>
      </c>
    </row>
    <row r="1911" spans="1:22">
      <c r="A1911" s="16"/>
      <c r="B1911" s="23"/>
      <c r="C1911" s="15"/>
      <c r="D1911" s="15"/>
      <c r="E1911" s="15"/>
      <c r="F1911" s="24"/>
      <c r="G1911" s="17"/>
      <c r="H1911" s="17"/>
      <c r="I1911" s="15"/>
      <c r="J1911" s="25">
        <f>IF($D1911="","",IFERROR(INDEX(PacNome,MATCH($D1911,PacCod,0)),"Paciente não cadastrado"))</f>
        <v>0</v>
      </c>
      <c r="K1911" s="26">
        <f>IF($D1911="","",IFERROR(INDEX(PacConv,MATCH($D1911,PacCod,0))&amp;"",""))</f>
        <v>0</v>
      </c>
      <c r="L1911" s="26">
        <f>IF($A1911="","",CHOOSE(WEEKDAY($A1911,2),"Seg","Ter","Qua","Qui","Sex","Sáb","Dom"))</f>
        <v>0</v>
      </c>
      <c r="M1911" s="27">
        <f>IF($E1911="","",IF($G1911&lt;&gt;"",$G1911,IFERROR(INDEX(ProcValor,MATCH($E1911,ProcNome,0)),0)))</f>
        <v>0</v>
      </c>
      <c r="N1911" s="27">
        <f>IF($M1911="","",IF($F1911="Compareceu",$M1911,0))</f>
        <v>0</v>
      </c>
      <c r="O1911" s="27">
        <f>IF($M1911="","",IF($F1911="Faltou",$M1911,0))</f>
        <v>0</v>
      </c>
      <c r="P1911" s="27">
        <f>IF($M1911="","",IF($F1911="Compareceu",MAX(0,$M1911-N($H1911)),0))</f>
        <v>0</v>
      </c>
      <c r="Q1911" s="19">
        <f>IF(AND($F1911="Compareceu",$E1911&lt;&gt;"",$A1911&lt;&gt;""),IF(IFERROR(INDEX(ProcRet,MATCH($E1911,ProcNome,0)),0)&gt;0,$A1911+INDEX(ProcRet,MATCH($E1911,ProcNome,0)),""),"")</f>
        <v>0</v>
      </c>
      <c r="R1911" s="26">
        <f>IF($Q1911="","",IF(COUNTIFS(AgPac,$D1911,AgData,"&gt;"&amp;$A1911,AgStatus,"&lt;&gt;Cancelado",AgStatus,"&lt;&gt;Remarcado")&gt;0,"Sim","Não"))</f>
        <v>0</v>
      </c>
      <c r="S1911" s="28">
        <f>IF($A1911="","",IF(AND($F1911="Agendado",$A1911-Hoje&gt;=0,$A1911-Hoje&lt;=DiasConf),"CONFIRMAR",IF(AND($A1911&lt;Hoje,OR($F1911="Agendado",$F1911="Confirmado")),"Atualizar status",IF(AND($F1911="Compareceu",$P1911&gt;0.005),"Cobrar",IF($F1911="Faltou","Falta: reagendar","")))))</f>
        <v>0</v>
      </c>
      <c r="T1911" s="29">
        <f>IF($A1911="","",DATE(YEAR($A1911),MONTH($A1911),1))</f>
        <v>0</v>
      </c>
      <c r="U1911" s="30">
        <f>IF($S1911="CONFIRMAR",MAX($U$4:$U1910)+1,"")</f>
        <v>0</v>
      </c>
      <c r="V1911" s="30">
        <f>IF(AND($R1911="Não",$Q1911&lt;&gt;"",$Q1911&lt;=Hoje+JanelaRet,$Q1911&gt;=Hoje-60),MAX($V$4:$V1910)+1,"")</f>
        <v>0</v>
      </c>
    </row>
    <row r="1912" spans="1:22">
      <c r="A1912" s="16"/>
      <c r="B1912" s="23"/>
      <c r="C1912" s="15"/>
      <c r="D1912" s="15"/>
      <c r="E1912" s="15"/>
      <c r="F1912" s="24"/>
      <c r="G1912" s="17"/>
      <c r="H1912" s="17"/>
      <c r="I1912" s="15"/>
      <c r="J1912" s="25">
        <f>IF($D1912="","",IFERROR(INDEX(PacNome,MATCH($D1912,PacCod,0)),"Paciente não cadastrado"))</f>
        <v>0</v>
      </c>
      <c r="K1912" s="26">
        <f>IF($D1912="","",IFERROR(INDEX(PacConv,MATCH($D1912,PacCod,0))&amp;"",""))</f>
        <v>0</v>
      </c>
      <c r="L1912" s="26">
        <f>IF($A1912="","",CHOOSE(WEEKDAY($A1912,2),"Seg","Ter","Qua","Qui","Sex","Sáb","Dom"))</f>
        <v>0</v>
      </c>
      <c r="M1912" s="27">
        <f>IF($E1912="","",IF($G1912&lt;&gt;"",$G1912,IFERROR(INDEX(ProcValor,MATCH($E1912,ProcNome,0)),0)))</f>
        <v>0</v>
      </c>
      <c r="N1912" s="27">
        <f>IF($M1912="","",IF($F1912="Compareceu",$M1912,0))</f>
        <v>0</v>
      </c>
      <c r="O1912" s="27">
        <f>IF($M1912="","",IF($F1912="Faltou",$M1912,0))</f>
        <v>0</v>
      </c>
      <c r="P1912" s="27">
        <f>IF($M1912="","",IF($F1912="Compareceu",MAX(0,$M1912-N($H1912)),0))</f>
        <v>0</v>
      </c>
      <c r="Q1912" s="19">
        <f>IF(AND($F1912="Compareceu",$E1912&lt;&gt;"",$A1912&lt;&gt;""),IF(IFERROR(INDEX(ProcRet,MATCH($E1912,ProcNome,0)),0)&gt;0,$A1912+INDEX(ProcRet,MATCH($E1912,ProcNome,0)),""),"")</f>
        <v>0</v>
      </c>
      <c r="R1912" s="26">
        <f>IF($Q1912="","",IF(COUNTIFS(AgPac,$D1912,AgData,"&gt;"&amp;$A1912,AgStatus,"&lt;&gt;Cancelado",AgStatus,"&lt;&gt;Remarcado")&gt;0,"Sim","Não"))</f>
        <v>0</v>
      </c>
      <c r="S1912" s="28">
        <f>IF($A1912="","",IF(AND($F1912="Agendado",$A1912-Hoje&gt;=0,$A1912-Hoje&lt;=DiasConf),"CONFIRMAR",IF(AND($A1912&lt;Hoje,OR($F1912="Agendado",$F1912="Confirmado")),"Atualizar status",IF(AND($F1912="Compareceu",$P1912&gt;0.005),"Cobrar",IF($F1912="Faltou","Falta: reagendar","")))))</f>
        <v>0</v>
      </c>
      <c r="T1912" s="29">
        <f>IF($A1912="","",DATE(YEAR($A1912),MONTH($A1912),1))</f>
        <v>0</v>
      </c>
      <c r="U1912" s="30">
        <f>IF($S1912="CONFIRMAR",MAX($U$4:$U1911)+1,"")</f>
        <v>0</v>
      </c>
      <c r="V1912" s="30">
        <f>IF(AND($R1912="Não",$Q1912&lt;&gt;"",$Q1912&lt;=Hoje+JanelaRet,$Q1912&gt;=Hoje-60),MAX($V$4:$V1911)+1,"")</f>
        <v>0</v>
      </c>
    </row>
    <row r="1913" spans="1:22">
      <c r="A1913" s="16"/>
      <c r="B1913" s="23"/>
      <c r="C1913" s="15"/>
      <c r="D1913" s="15"/>
      <c r="E1913" s="15"/>
      <c r="F1913" s="24"/>
      <c r="G1913" s="17"/>
      <c r="H1913" s="17"/>
      <c r="I1913" s="15"/>
      <c r="J1913" s="25">
        <f>IF($D1913="","",IFERROR(INDEX(PacNome,MATCH($D1913,PacCod,0)),"Paciente não cadastrado"))</f>
        <v>0</v>
      </c>
      <c r="K1913" s="26">
        <f>IF($D1913="","",IFERROR(INDEX(PacConv,MATCH($D1913,PacCod,0))&amp;"",""))</f>
        <v>0</v>
      </c>
      <c r="L1913" s="26">
        <f>IF($A1913="","",CHOOSE(WEEKDAY($A1913,2),"Seg","Ter","Qua","Qui","Sex","Sáb","Dom"))</f>
        <v>0</v>
      </c>
      <c r="M1913" s="27">
        <f>IF($E1913="","",IF($G1913&lt;&gt;"",$G1913,IFERROR(INDEX(ProcValor,MATCH($E1913,ProcNome,0)),0)))</f>
        <v>0</v>
      </c>
      <c r="N1913" s="27">
        <f>IF($M1913="","",IF($F1913="Compareceu",$M1913,0))</f>
        <v>0</v>
      </c>
      <c r="O1913" s="27">
        <f>IF($M1913="","",IF($F1913="Faltou",$M1913,0))</f>
        <v>0</v>
      </c>
      <c r="P1913" s="27">
        <f>IF($M1913="","",IF($F1913="Compareceu",MAX(0,$M1913-N($H1913)),0))</f>
        <v>0</v>
      </c>
      <c r="Q1913" s="19">
        <f>IF(AND($F1913="Compareceu",$E1913&lt;&gt;"",$A1913&lt;&gt;""),IF(IFERROR(INDEX(ProcRet,MATCH($E1913,ProcNome,0)),0)&gt;0,$A1913+INDEX(ProcRet,MATCH($E1913,ProcNome,0)),""),"")</f>
        <v>0</v>
      </c>
      <c r="R1913" s="26">
        <f>IF($Q1913="","",IF(COUNTIFS(AgPac,$D1913,AgData,"&gt;"&amp;$A1913,AgStatus,"&lt;&gt;Cancelado",AgStatus,"&lt;&gt;Remarcado")&gt;0,"Sim","Não"))</f>
        <v>0</v>
      </c>
      <c r="S1913" s="28">
        <f>IF($A1913="","",IF(AND($F1913="Agendado",$A1913-Hoje&gt;=0,$A1913-Hoje&lt;=DiasConf),"CONFIRMAR",IF(AND($A1913&lt;Hoje,OR($F1913="Agendado",$F1913="Confirmado")),"Atualizar status",IF(AND($F1913="Compareceu",$P1913&gt;0.005),"Cobrar",IF($F1913="Faltou","Falta: reagendar","")))))</f>
        <v>0</v>
      </c>
      <c r="T1913" s="29">
        <f>IF($A1913="","",DATE(YEAR($A1913),MONTH($A1913),1))</f>
        <v>0</v>
      </c>
      <c r="U1913" s="30">
        <f>IF($S1913="CONFIRMAR",MAX($U$4:$U1912)+1,"")</f>
        <v>0</v>
      </c>
      <c r="V1913" s="30">
        <f>IF(AND($R1913="Não",$Q1913&lt;&gt;"",$Q1913&lt;=Hoje+JanelaRet,$Q1913&gt;=Hoje-60),MAX($V$4:$V1912)+1,"")</f>
        <v>0</v>
      </c>
    </row>
    <row r="1914" spans="1:22">
      <c r="A1914" s="16"/>
      <c r="B1914" s="23"/>
      <c r="C1914" s="15"/>
      <c r="D1914" s="15"/>
      <c r="E1914" s="15"/>
      <c r="F1914" s="24"/>
      <c r="G1914" s="17"/>
      <c r="H1914" s="17"/>
      <c r="I1914" s="15"/>
      <c r="J1914" s="25">
        <f>IF($D1914="","",IFERROR(INDEX(PacNome,MATCH($D1914,PacCod,0)),"Paciente não cadastrado"))</f>
        <v>0</v>
      </c>
      <c r="K1914" s="26">
        <f>IF($D1914="","",IFERROR(INDEX(PacConv,MATCH($D1914,PacCod,0))&amp;"",""))</f>
        <v>0</v>
      </c>
      <c r="L1914" s="26">
        <f>IF($A1914="","",CHOOSE(WEEKDAY($A1914,2),"Seg","Ter","Qua","Qui","Sex","Sáb","Dom"))</f>
        <v>0</v>
      </c>
      <c r="M1914" s="27">
        <f>IF($E1914="","",IF($G1914&lt;&gt;"",$G1914,IFERROR(INDEX(ProcValor,MATCH($E1914,ProcNome,0)),0)))</f>
        <v>0</v>
      </c>
      <c r="N1914" s="27">
        <f>IF($M1914="","",IF($F1914="Compareceu",$M1914,0))</f>
        <v>0</v>
      </c>
      <c r="O1914" s="27">
        <f>IF($M1914="","",IF($F1914="Faltou",$M1914,0))</f>
        <v>0</v>
      </c>
      <c r="P1914" s="27">
        <f>IF($M1914="","",IF($F1914="Compareceu",MAX(0,$M1914-N($H1914)),0))</f>
        <v>0</v>
      </c>
      <c r="Q1914" s="19">
        <f>IF(AND($F1914="Compareceu",$E1914&lt;&gt;"",$A1914&lt;&gt;""),IF(IFERROR(INDEX(ProcRet,MATCH($E1914,ProcNome,0)),0)&gt;0,$A1914+INDEX(ProcRet,MATCH($E1914,ProcNome,0)),""),"")</f>
        <v>0</v>
      </c>
      <c r="R1914" s="26">
        <f>IF($Q1914="","",IF(COUNTIFS(AgPac,$D1914,AgData,"&gt;"&amp;$A1914,AgStatus,"&lt;&gt;Cancelado",AgStatus,"&lt;&gt;Remarcado")&gt;0,"Sim","Não"))</f>
        <v>0</v>
      </c>
      <c r="S1914" s="28">
        <f>IF($A1914="","",IF(AND($F1914="Agendado",$A1914-Hoje&gt;=0,$A1914-Hoje&lt;=DiasConf),"CONFIRMAR",IF(AND($A1914&lt;Hoje,OR($F1914="Agendado",$F1914="Confirmado")),"Atualizar status",IF(AND($F1914="Compareceu",$P1914&gt;0.005),"Cobrar",IF($F1914="Faltou","Falta: reagendar","")))))</f>
        <v>0</v>
      </c>
      <c r="T1914" s="29">
        <f>IF($A1914="","",DATE(YEAR($A1914),MONTH($A1914),1))</f>
        <v>0</v>
      </c>
      <c r="U1914" s="30">
        <f>IF($S1914="CONFIRMAR",MAX($U$4:$U1913)+1,"")</f>
        <v>0</v>
      </c>
      <c r="V1914" s="30">
        <f>IF(AND($R1914="Não",$Q1914&lt;&gt;"",$Q1914&lt;=Hoje+JanelaRet,$Q1914&gt;=Hoje-60),MAX($V$4:$V1913)+1,"")</f>
        <v>0</v>
      </c>
    </row>
    <row r="1915" spans="1:22">
      <c r="A1915" s="16"/>
      <c r="B1915" s="23"/>
      <c r="C1915" s="15"/>
      <c r="D1915" s="15"/>
      <c r="E1915" s="15"/>
      <c r="F1915" s="24"/>
      <c r="G1915" s="17"/>
      <c r="H1915" s="17"/>
      <c r="I1915" s="15"/>
      <c r="J1915" s="25">
        <f>IF($D1915="","",IFERROR(INDEX(PacNome,MATCH($D1915,PacCod,0)),"Paciente não cadastrado"))</f>
        <v>0</v>
      </c>
      <c r="K1915" s="26">
        <f>IF($D1915="","",IFERROR(INDEX(PacConv,MATCH($D1915,PacCod,0))&amp;"",""))</f>
        <v>0</v>
      </c>
      <c r="L1915" s="26">
        <f>IF($A1915="","",CHOOSE(WEEKDAY($A1915,2),"Seg","Ter","Qua","Qui","Sex","Sáb","Dom"))</f>
        <v>0</v>
      </c>
      <c r="M1915" s="27">
        <f>IF($E1915="","",IF($G1915&lt;&gt;"",$G1915,IFERROR(INDEX(ProcValor,MATCH($E1915,ProcNome,0)),0)))</f>
        <v>0</v>
      </c>
      <c r="N1915" s="27">
        <f>IF($M1915="","",IF($F1915="Compareceu",$M1915,0))</f>
        <v>0</v>
      </c>
      <c r="O1915" s="27">
        <f>IF($M1915="","",IF($F1915="Faltou",$M1915,0))</f>
        <v>0</v>
      </c>
      <c r="P1915" s="27">
        <f>IF($M1915="","",IF($F1915="Compareceu",MAX(0,$M1915-N($H1915)),0))</f>
        <v>0</v>
      </c>
      <c r="Q1915" s="19">
        <f>IF(AND($F1915="Compareceu",$E1915&lt;&gt;"",$A1915&lt;&gt;""),IF(IFERROR(INDEX(ProcRet,MATCH($E1915,ProcNome,0)),0)&gt;0,$A1915+INDEX(ProcRet,MATCH($E1915,ProcNome,0)),""),"")</f>
        <v>0</v>
      </c>
      <c r="R1915" s="26">
        <f>IF($Q1915="","",IF(COUNTIFS(AgPac,$D1915,AgData,"&gt;"&amp;$A1915,AgStatus,"&lt;&gt;Cancelado",AgStatus,"&lt;&gt;Remarcado")&gt;0,"Sim","Não"))</f>
        <v>0</v>
      </c>
      <c r="S1915" s="28">
        <f>IF($A1915="","",IF(AND($F1915="Agendado",$A1915-Hoje&gt;=0,$A1915-Hoje&lt;=DiasConf),"CONFIRMAR",IF(AND($A1915&lt;Hoje,OR($F1915="Agendado",$F1915="Confirmado")),"Atualizar status",IF(AND($F1915="Compareceu",$P1915&gt;0.005),"Cobrar",IF($F1915="Faltou","Falta: reagendar","")))))</f>
        <v>0</v>
      </c>
      <c r="T1915" s="29">
        <f>IF($A1915="","",DATE(YEAR($A1915),MONTH($A1915),1))</f>
        <v>0</v>
      </c>
      <c r="U1915" s="30">
        <f>IF($S1915="CONFIRMAR",MAX($U$4:$U1914)+1,"")</f>
        <v>0</v>
      </c>
      <c r="V1915" s="30">
        <f>IF(AND($R1915="Não",$Q1915&lt;&gt;"",$Q1915&lt;=Hoje+JanelaRet,$Q1915&gt;=Hoje-60),MAX($V$4:$V1914)+1,"")</f>
        <v>0</v>
      </c>
    </row>
    <row r="1916" spans="1:22">
      <c r="A1916" s="16"/>
      <c r="B1916" s="23"/>
      <c r="C1916" s="15"/>
      <c r="D1916" s="15"/>
      <c r="E1916" s="15"/>
      <c r="F1916" s="24"/>
      <c r="G1916" s="17"/>
      <c r="H1916" s="17"/>
      <c r="I1916" s="15"/>
      <c r="J1916" s="25">
        <f>IF($D1916="","",IFERROR(INDEX(PacNome,MATCH($D1916,PacCod,0)),"Paciente não cadastrado"))</f>
        <v>0</v>
      </c>
      <c r="K1916" s="26">
        <f>IF($D1916="","",IFERROR(INDEX(PacConv,MATCH($D1916,PacCod,0))&amp;"",""))</f>
        <v>0</v>
      </c>
      <c r="L1916" s="26">
        <f>IF($A1916="","",CHOOSE(WEEKDAY($A1916,2),"Seg","Ter","Qua","Qui","Sex","Sáb","Dom"))</f>
        <v>0</v>
      </c>
      <c r="M1916" s="27">
        <f>IF($E1916="","",IF($G1916&lt;&gt;"",$G1916,IFERROR(INDEX(ProcValor,MATCH($E1916,ProcNome,0)),0)))</f>
        <v>0</v>
      </c>
      <c r="N1916" s="27">
        <f>IF($M1916="","",IF($F1916="Compareceu",$M1916,0))</f>
        <v>0</v>
      </c>
      <c r="O1916" s="27">
        <f>IF($M1916="","",IF($F1916="Faltou",$M1916,0))</f>
        <v>0</v>
      </c>
      <c r="P1916" s="27">
        <f>IF($M1916="","",IF($F1916="Compareceu",MAX(0,$M1916-N($H1916)),0))</f>
        <v>0</v>
      </c>
      <c r="Q1916" s="19">
        <f>IF(AND($F1916="Compareceu",$E1916&lt;&gt;"",$A1916&lt;&gt;""),IF(IFERROR(INDEX(ProcRet,MATCH($E1916,ProcNome,0)),0)&gt;0,$A1916+INDEX(ProcRet,MATCH($E1916,ProcNome,0)),""),"")</f>
        <v>0</v>
      </c>
      <c r="R1916" s="26">
        <f>IF($Q1916="","",IF(COUNTIFS(AgPac,$D1916,AgData,"&gt;"&amp;$A1916,AgStatus,"&lt;&gt;Cancelado",AgStatus,"&lt;&gt;Remarcado")&gt;0,"Sim","Não"))</f>
        <v>0</v>
      </c>
      <c r="S1916" s="28">
        <f>IF($A1916="","",IF(AND($F1916="Agendado",$A1916-Hoje&gt;=0,$A1916-Hoje&lt;=DiasConf),"CONFIRMAR",IF(AND($A1916&lt;Hoje,OR($F1916="Agendado",$F1916="Confirmado")),"Atualizar status",IF(AND($F1916="Compareceu",$P1916&gt;0.005),"Cobrar",IF($F1916="Faltou","Falta: reagendar","")))))</f>
        <v>0</v>
      </c>
      <c r="T1916" s="29">
        <f>IF($A1916="","",DATE(YEAR($A1916),MONTH($A1916),1))</f>
        <v>0</v>
      </c>
      <c r="U1916" s="30">
        <f>IF($S1916="CONFIRMAR",MAX($U$4:$U1915)+1,"")</f>
        <v>0</v>
      </c>
      <c r="V1916" s="30">
        <f>IF(AND($R1916="Não",$Q1916&lt;&gt;"",$Q1916&lt;=Hoje+JanelaRet,$Q1916&gt;=Hoje-60),MAX($V$4:$V1915)+1,"")</f>
        <v>0</v>
      </c>
    </row>
    <row r="1917" spans="1:22">
      <c r="A1917" s="16"/>
      <c r="B1917" s="23"/>
      <c r="C1917" s="15"/>
      <c r="D1917" s="15"/>
      <c r="E1917" s="15"/>
      <c r="F1917" s="24"/>
      <c r="G1917" s="17"/>
      <c r="H1917" s="17"/>
      <c r="I1917" s="15"/>
      <c r="J1917" s="25">
        <f>IF($D1917="","",IFERROR(INDEX(PacNome,MATCH($D1917,PacCod,0)),"Paciente não cadastrado"))</f>
        <v>0</v>
      </c>
      <c r="K1917" s="26">
        <f>IF($D1917="","",IFERROR(INDEX(PacConv,MATCH($D1917,PacCod,0))&amp;"",""))</f>
        <v>0</v>
      </c>
      <c r="L1917" s="26">
        <f>IF($A1917="","",CHOOSE(WEEKDAY($A1917,2),"Seg","Ter","Qua","Qui","Sex","Sáb","Dom"))</f>
        <v>0</v>
      </c>
      <c r="M1917" s="27">
        <f>IF($E1917="","",IF($G1917&lt;&gt;"",$G1917,IFERROR(INDEX(ProcValor,MATCH($E1917,ProcNome,0)),0)))</f>
        <v>0</v>
      </c>
      <c r="N1917" s="27">
        <f>IF($M1917="","",IF($F1917="Compareceu",$M1917,0))</f>
        <v>0</v>
      </c>
      <c r="O1917" s="27">
        <f>IF($M1917="","",IF($F1917="Faltou",$M1917,0))</f>
        <v>0</v>
      </c>
      <c r="P1917" s="27">
        <f>IF($M1917="","",IF($F1917="Compareceu",MAX(0,$M1917-N($H1917)),0))</f>
        <v>0</v>
      </c>
      <c r="Q1917" s="19">
        <f>IF(AND($F1917="Compareceu",$E1917&lt;&gt;"",$A1917&lt;&gt;""),IF(IFERROR(INDEX(ProcRet,MATCH($E1917,ProcNome,0)),0)&gt;0,$A1917+INDEX(ProcRet,MATCH($E1917,ProcNome,0)),""),"")</f>
        <v>0</v>
      </c>
      <c r="R1917" s="26">
        <f>IF($Q1917="","",IF(COUNTIFS(AgPac,$D1917,AgData,"&gt;"&amp;$A1917,AgStatus,"&lt;&gt;Cancelado",AgStatus,"&lt;&gt;Remarcado")&gt;0,"Sim","Não"))</f>
        <v>0</v>
      </c>
      <c r="S1917" s="28">
        <f>IF($A1917="","",IF(AND($F1917="Agendado",$A1917-Hoje&gt;=0,$A1917-Hoje&lt;=DiasConf),"CONFIRMAR",IF(AND($A1917&lt;Hoje,OR($F1917="Agendado",$F1917="Confirmado")),"Atualizar status",IF(AND($F1917="Compareceu",$P1917&gt;0.005),"Cobrar",IF($F1917="Faltou","Falta: reagendar","")))))</f>
        <v>0</v>
      </c>
      <c r="T1917" s="29">
        <f>IF($A1917="","",DATE(YEAR($A1917),MONTH($A1917),1))</f>
        <v>0</v>
      </c>
      <c r="U1917" s="30">
        <f>IF($S1917="CONFIRMAR",MAX($U$4:$U1916)+1,"")</f>
        <v>0</v>
      </c>
      <c r="V1917" s="30">
        <f>IF(AND($R1917="Não",$Q1917&lt;&gt;"",$Q1917&lt;=Hoje+JanelaRet,$Q1917&gt;=Hoje-60),MAX($V$4:$V1916)+1,"")</f>
        <v>0</v>
      </c>
    </row>
    <row r="1918" spans="1:22">
      <c r="A1918" s="16"/>
      <c r="B1918" s="23"/>
      <c r="C1918" s="15"/>
      <c r="D1918" s="15"/>
      <c r="E1918" s="15"/>
      <c r="F1918" s="24"/>
      <c r="G1918" s="17"/>
      <c r="H1918" s="17"/>
      <c r="I1918" s="15"/>
      <c r="J1918" s="25">
        <f>IF($D1918="","",IFERROR(INDEX(PacNome,MATCH($D1918,PacCod,0)),"Paciente não cadastrado"))</f>
        <v>0</v>
      </c>
      <c r="K1918" s="26">
        <f>IF($D1918="","",IFERROR(INDEX(PacConv,MATCH($D1918,PacCod,0))&amp;"",""))</f>
        <v>0</v>
      </c>
      <c r="L1918" s="26">
        <f>IF($A1918="","",CHOOSE(WEEKDAY($A1918,2),"Seg","Ter","Qua","Qui","Sex","Sáb","Dom"))</f>
        <v>0</v>
      </c>
      <c r="M1918" s="27">
        <f>IF($E1918="","",IF($G1918&lt;&gt;"",$G1918,IFERROR(INDEX(ProcValor,MATCH($E1918,ProcNome,0)),0)))</f>
        <v>0</v>
      </c>
      <c r="N1918" s="27">
        <f>IF($M1918="","",IF($F1918="Compareceu",$M1918,0))</f>
        <v>0</v>
      </c>
      <c r="O1918" s="27">
        <f>IF($M1918="","",IF($F1918="Faltou",$M1918,0))</f>
        <v>0</v>
      </c>
      <c r="P1918" s="27">
        <f>IF($M1918="","",IF($F1918="Compareceu",MAX(0,$M1918-N($H1918)),0))</f>
        <v>0</v>
      </c>
      <c r="Q1918" s="19">
        <f>IF(AND($F1918="Compareceu",$E1918&lt;&gt;"",$A1918&lt;&gt;""),IF(IFERROR(INDEX(ProcRet,MATCH($E1918,ProcNome,0)),0)&gt;0,$A1918+INDEX(ProcRet,MATCH($E1918,ProcNome,0)),""),"")</f>
        <v>0</v>
      </c>
      <c r="R1918" s="26">
        <f>IF($Q1918="","",IF(COUNTIFS(AgPac,$D1918,AgData,"&gt;"&amp;$A1918,AgStatus,"&lt;&gt;Cancelado",AgStatus,"&lt;&gt;Remarcado")&gt;0,"Sim","Não"))</f>
        <v>0</v>
      </c>
      <c r="S1918" s="28">
        <f>IF($A1918="","",IF(AND($F1918="Agendado",$A1918-Hoje&gt;=0,$A1918-Hoje&lt;=DiasConf),"CONFIRMAR",IF(AND($A1918&lt;Hoje,OR($F1918="Agendado",$F1918="Confirmado")),"Atualizar status",IF(AND($F1918="Compareceu",$P1918&gt;0.005),"Cobrar",IF($F1918="Faltou","Falta: reagendar","")))))</f>
        <v>0</v>
      </c>
      <c r="T1918" s="29">
        <f>IF($A1918="","",DATE(YEAR($A1918),MONTH($A1918),1))</f>
        <v>0</v>
      </c>
      <c r="U1918" s="30">
        <f>IF($S1918="CONFIRMAR",MAX($U$4:$U1917)+1,"")</f>
        <v>0</v>
      </c>
      <c r="V1918" s="30">
        <f>IF(AND($R1918="Não",$Q1918&lt;&gt;"",$Q1918&lt;=Hoje+JanelaRet,$Q1918&gt;=Hoje-60),MAX($V$4:$V1917)+1,"")</f>
        <v>0</v>
      </c>
    </row>
    <row r="1919" spans="1:22">
      <c r="A1919" s="16"/>
      <c r="B1919" s="23"/>
      <c r="C1919" s="15"/>
      <c r="D1919" s="15"/>
      <c r="E1919" s="15"/>
      <c r="F1919" s="24"/>
      <c r="G1919" s="17"/>
      <c r="H1919" s="17"/>
      <c r="I1919" s="15"/>
      <c r="J1919" s="25">
        <f>IF($D1919="","",IFERROR(INDEX(PacNome,MATCH($D1919,PacCod,0)),"Paciente não cadastrado"))</f>
        <v>0</v>
      </c>
      <c r="K1919" s="26">
        <f>IF($D1919="","",IFERROR(INDEX(PacConv,MATCH($D1919,PacCod,0))&amp;"",""))</f>
        <v>0</v>
      </c>
      <c r="L1919" s="26">
        <f>IF($A1919="","",CHOOSE(WEEKDAY($A1919,2),"Seg","Ter","Qua","Qui","Sex","Sáb","Dom"))</f>
        <v>0</v>
      </c>
      <c r="M1919" s="27">
        <f>IF($E1919="","",IF($G1919&lt;&gt;"",$G1919,IFERROR(INDEX(ProcValor,MATCH($E1919,ProcNome,0)),0)))</f>
        <v>0</v>
      </c>
      <c r="N1919" s="27">
        <f>IF($M1919="","",IF($F1919="Compareceu",$M1919,0))</f>
        <v>0</v>
      </c>
      <c r="O1919" s="27">
        <f>IF($M1919="","",IF($F1919="Faltou",$M1919,0))</f>
        <v>0</v>
      </c>
      <c r="P1919" s="27">
        <f>IF($M1919="","",IF($F1919="Compareceu",MAX(0,$M1919-N($H1919)),0))</f>
        <v>0</v>
      </c>
      <c r="Q1919" s="19">
        <f>IF(AND($F1919="Compareceu",$E1919&lt;&gt;"",$A1919&lt;&gt;""),IF(IFERROR(INDEX(ProcRet,MATCH($E1919,ProcNome,0)),0)&gt;0,$A1919+INDEX(ProcRet,MATCH($E1919,ProcNome,0)),""),"")</f>
        <v>0</v>
      </c>
      <c r="R1919" s="26">
        <f>IF($Q1919="","",IF(COUNTIFS(AgPac,$D1919,AgData,"&gt;"&amp;$A1919,AgStatus,"&lt;&gt;Cancelado",AgStatus,"&lt;&gt;Remarcado")&gt;0,"Sim","Não"))</f>
        <v>0</v>
      </c>
      <c r="S1919" s="28">
        <f>IF($A1919="","",IF(AND($F1919="Agendado",$A1919-Hoje&gt;=0,$A1919-Hoje&lt;=DiasConf),"CONFIRMAR",IF(AND($A1919&lt;Hoje,OR($F1919="Agendado",$F1919="Confirmado")),"Atualizar status",IF(AND($F1919="Compareceu",$P1919&gt;0.005),"Cobrar",IF($F1919="Faltou","Falta: reagendar","")))))</f>
        <v>0</v>
      </c>
      <c r="T1919" s="29">
        <f>IF($A1919="","",DATE(YEAR($A1919),MONTH($A1919),1))</f>
        <v>0</v>
      </c>
      <c r="U1919" s="30">
        <f>IF($S1919="CONFIRMAR",MAX($U$4:$U1918)+1,"")</f>
        <v>0</v>
      </c>
      <c r="V1919" s="30">
        <f>IF(AND($R1919="Não",$Q1919&lt;&gt;"",$Q1919&lt;=Hoje+JanelaRet,$Q1919&gt;=Hoje-60),MAX($V$4:$V1918)+1,"")</f>
        <v>0</v>
      </c>
    </row>
    <row r="1920" spans="1:22">
      <c r="A1920" s="16"/>
      <c r="B1920" s="23"/>
      <c r="C1920" s="15"/>
      <c r="D1920" s="15"/>
      <c r="E1920" s="15"/>
      <c r="F1920" s="24"/>
      <c r="G1920" s="17"/>
      <c r="H1920" s="17"/>
      <c r="I1920" s="15"/>
      <c r="J1920" s="25">
        <f>IF($D1920="","",IFERROR(INDEX(PacNome,MATCH($D1920,PacCod,0)),"Paciente não cadastrado"))</f>
        <v>0</v>
      </c>
      <c r="K1920" s="26">
        <f>IF($D1920="","",IFERROR(INDEX(PacConv,MATCH($D1920,PacCod,0))&amp;"",""))</f>
        <v>0</v>
      </c>
      <c r="L1920" s="26">
        <f>IF($A1920="","",CHOOSE(WEEKDAY($A1920,2),"Seg","Ter","Qua","Qui","Sex","Sáb","Dom"))</f>
        <v>0</v>
      </c>
      <c r="M1920" s="27">
        <f>IF($E1920="","",IF($G1920&lt;&gt;"",$G1920,IFERROR(INDEX(ProcValor,MATCH($E1920,ProcNome,0)),0)))</f>
        <v>0</v>
      </c>
      <c r="N1920" s="27">
        <f>IF($M1920="","",IF($F1920="Compareceu",$M1920,0))</f>
        <v>0</v>
      </c>
      <c r="O1920" s="27">
        <f>IF($M1920="","",IF($F1920="Faltou",$M1920,0))</f>
        <v>0</v>
      </c>
      <c r="P1920" s="27">
        <f>IF($M1920="","",IF($F1920="Compareceu",MAX(0,$M1920-N($H1920)),0))</f>
        <v>0</v>
      </c>
      <c r="Q1920" s="19">
        <f>IF(AND($F1920="Compareceu",$E1920&lt;&gt;"",$A1920&lt;&gt;""),IF(IFERROR(INDEX(ProcRet,MATCH($E1920,ProcNome,0)),0)&gt;0,$A1920+INDEX(ProcRet,MATCH($E1920,ProcNome,0)),""),"")</f>
        <v>0</v>
      </c>
      <c r="R1920" s="26">
        <f>IF($Q1920="","",IF(COUNTIFS(AgPac,$D1920,AgData,"&gt;"&amp;$A1920,AgStatus,"&lt;&gt;Cancelado",AgStatus,"&lt;&gt;Remarcado")&gt;0,"Sim","Não"))</f>
        <v>0</v>
      </c>
      <c r="S1920" s="28">
        <f>IF($A1920="","",IF(AND($F1920="Agendado",$A1920-Hoje&gt;=0,$A1920-Hoje&lt;=DiasConf),"CONFIRMAR",IF(AND($A1920&lt;Hoje,OR($F1920="Agendado",$F1920="Confirmado")),"Atualizar status",IF(AND($F1920="Compareceu",$P1920&gt;0.005),"Cobrar",IF($F1920="Faltou","Falta: reagendar","")))))</f>
        <v>0</v>
      </c>
      <c r="T1920" s="29">
        <f>IF($A1920="","",DATE(YEAR($A1920),MONTH($A1920),1))</f>
        <v>0</v>
      </c>
      <c r="U1920" s="30">
        <f>IF($S1920="CONFIRMAR",MAX($U$4:$U1919)+1,"")</f>
        <v>0</v>
      </c>
      <c r="V1920" s="30">
        <f>IF(AND($R1920="Não",$Q1920&lt;&gt;"",$Q1920&lt;=Hoje+JanelaRet,$Q1920&gt;=Hoje-60),MAX($V$4:$V1919)+1,"")</f>
        <v>0</v>
      </c>
    </row>
    <row r="1921" spans="1:22">
      <c r="A1921" s="16"/>
      <c r="B1921" s="23"/>
      <c r="C1921" s="15"/>
      <c r="D1921" s="15"/>
      <c r="E1921" s="15"/>
      <c r="F1921" s="24"/>
      <c r="G1921" s="17"/>
      <c r="H1921" s="17"/>
      <c r="I1921" s="15"/>
      <c r="J1921" s="25">
        <f>IF($D1921="","",IFERROR(INDEX(PacNome,MATCH($D1921,PacCod,0)),"Paciente não cadastrado"))</f>
        <v>0</v>
      </c>
      <c r="K1921" s="26">
        <f>IF($D1921="","",IFERROR(INDEX(PacConv,MATCH($D1921,PacCod,0))&amp;"",""))</f>
        <v>0</v>
      </c>
      <c r="L1921" s="26">
        <f>IF($A1921="","",CHOOSE(WEEKDAY($A1921,2),"Seg","Ter","Qua","Qui","Sex","Sáb","Dom"))</f>
        <v>0</v>
      </c>
      <c r="M1921" s="27">
        <f>IF($E1921="","",IF($G1921&lt;&gt;"",$G1921,IFERROR(INDEX(ProcValor,MATCH($E1921,ProcNome,0)),0)))</f>
        <v>0</v>
      </c>
      <c r="N1921" s="27">
        <f>IF($M1921="","",IF($F1921="Compareceu",$M1921,0))</f>
        <v>0</v>
      </c>
      <c r="O1921" s="27">
        <f>IF($M1921="","",IF($F1921="Faltou",$M1921,0))</f>
        <v>0</v>
      </c>
      <c r="P1921" s="27">
        <f>IF($M1921="","",IF($F1921="Compareceu",MAX(0,$M1921-N($H1921)),0))</f>
        <v>0</v>
      </c>
      <c r="Q1921" s="19">
        <f>IF(AND($F1921="Compareceu",$E1921&lt;&gt;"",$A1921&lt;&gt;""),IF(IFERROR(INDEX(ProcRet,MATCH($E1921,ProcNome,0)),0)&gt;0,$A1921+INDEX(ProcRet,MATCH($E1921,ProcNome,0)),""),"")</f>
        <v>0</v>
      </c>
      <c r="R1921" s="26">
        <f>IF($Q1921="","",IF(COUNTIFS(AgPac,$D1921,AgData,"&gt;"&amp;$A1921,AgStatus,"&lt;&gt;Cancelado",AgStatus,"&lt;&gt;Remarcado")&gt;0,"Sim","Não"))</f>
        <v>0</v>
      </c>
      <c r="S1921" s="28">
        <f>IF($A1921="","",IF(AND($F1921="Agendado",$A1921-Hoje&gt;=0,$A1921-Hoje&lt;=DiasConf),"CONFIRMAR",IF(AND($A1921&lt;Hoje,OR($F1921="Agendado",$F1921="Confirmado")),"Atualizar status",IF(AND($F1921="Compareceu",$P1921&gt;0.005),"Cobrar",IF($F1921="Faltou","Falta: reagendar","")))))</f>
        <v>0</v>
      </c>
      <c r="T1921" s="29">
        <f>IF($A1921="","",DATE(YEAR($A1921),MONTH($A1921),1))</f>
        <v>0</v>
      </c>
      <c r="U1921" s="30">
        <f>IF($S1921="CONFIRMAR",MAX($U$4:$U1920)+1,"")</f>
        <v>0</v>
      </c>
      <c r="V1921" s="30">
        <f>IF(AND($R1921="Não",$Q1921&lt;&gt;"",$Q1921&lt;=Hoje+JanelaRet,$Q1921&gt;=Hoje-60),MAX($V$4:$V1920)+1,"")</f>
        <v>0</v>
      </c>
    </row>
    <row r="1922" spans="1:22">
      <c r="A1922" s="16"/>
      <c r="B1922" s="23"/>
      <c r="C1922" s="15"/>
      <c r="D1922" s="15"/>
      <c r="E1922" s="15"/>
      <c r="F1922" s="24"/>
      <c r="G1922" s="17"/>
      <c r="H1922" s="17"/>
      <c r="I1922" s="15"/>
      <c r="J1922" s="25">
        <f>IF($D1922="","",IFERROR(INDEX(PacNome,MATCH($D1922,PacCod,0)),"Paciente não cadastrado"))</f>
        <v>0</v>
      </c>
      <c r="K1922" s="26">
        <f>IF($D1922="","",IFERROR(INDEX(PacConv,MATCH($D1922,PacCod,0))&amp;"",""))</f>
        <v>0</v>
      </c>
      <c r="L1922" s="26">
        <f>IF($A1922="","",CHOOSE(WEEKDAY($A1922,2),"Seg","Ter","Qua","Qui","Sex","Sáb","Dom"))</f>
        <v>0</v>
      </c>
      <c r="M1922" s="27">
        <f>IF($E1922="","",IF($G1922&lt;&gt;"",$G1922,IFERROR(INDEX(ProcValor,MATCH($E1922,ProcNome,0)),0)))</f>
        <v>0</v>
      </c>
      <c r="N1922" s="27">
        <f>IF($M1922="","",IF($F1922="Compareceu",$M1922,0))</f>
        <v>0</v>
      </c>
      <c r="O1922" s="27">
        <f>IF($M1922="","",IF($F1922="Faltou",$M1922,0))</f>
        <v>0</v>
      </c>
      <c r="P1922" s="27">
        <f>IF($M1922="","",IF($F1922="Compareceu",MAX(0,$M1922-N($H1922)),0))</f>
        <v>0</v>
      </c>
      <c r="Q1922" s="19">
        <f>IF(AND($F1922="Compareceu",$E1922&lt;&gt;"",$A1922&lt;&gt;""),IF(IFERROR(INDEX(ProcRet,MATCH($E1922,ProcNome,0)),0)&gt;0,$A1922+INDEX(ProcRet,MATCH($E1922,ProcNome,0)),""),"")</f>
        <v>0</v>
      </c>
      <c r="R1922" s="26">
        <f>IF($Q1922="","",IF(COUNTIFS(AgPac,$D1922,AgData,"&gt;"&amp;$A1922,AgStatus,"&lt;&gt;Cancelado",AgStatus,"&lt;&gt;Remarcado")&gt;0,"Sim","Não"))</f>
        <v>0</v>
      </c>
      <c r="S1922" s="28">
        <f>IF($A1922="","",IF(AND($F1922="Agendado",$A1922-Hoje&gt;=0,$A1922-Hoje&lt;=DiasConf),"CONFIRMAR",IF(AND($A1922&lt;Hoje,OR($F1922="Agendado",$F1922="Confirmado")),"Atualizar status",IF(AND($F1922="Compareceu",$P1922&gt;0.005),"Cobrar",IF($F1922="Faltou","Falta: reagendar","")))))</f>
        <v>0</v>
      </c>
      <c r="T1922" s="29">
        <f>IF($A1922="","",DATE(YEAR($A1922),MONTH($A1922),1))</f>
        <v>0</v>
      </c>
      <c r="U1922" s="30">
        <f>IF($S1922="CONFIRMAR",MAX($U$4:$U1921)+1,"")</f>
        <v>0</v>
      </c>
      <c r="V1922" s="30">
        <f>IF(AND($R1922="Não",$Q1922&lt;&gt;"",$Q1922&lt;=Hoje+JanelaRet,$Q1922&gt;=Hoje-60),MAX($V$4:$V1921)+1,"")</f>
        <v>0</v>
      </c>
    </row>
    <row r="1923" spans="1:22">
      <c r="A1923" s="16"/>
      <c r="B1923" s="23"/>
      <c r="C1923" s="15"/>
      <c r="D1923" s="15"/>
      <c r="E1923" s="15"/>
      <c r="F1923" s="24"/>
      <c r="G1923" s="17"/>
      <c r="H1923" s="17"/>
      <c r="I1923" s="15"/>
      <c r="J1923" s="25">
        <f>IF($D1923="","",IFERROR(INDEX(PacNome,MATCH($D1923,PacCod,0)),"Paciente não cadastrado"))</f>
        <v>0</v>
      </c>
      <c r="K1923" s="26">
        <f>IF($D1923="","",IFERROR(INDEX(PacConv,MATCH($D1923,PacCod,0))&amp;"",""))</f>
        <v>0</v>
      </c>
      <c r="L1923" s="26">
        <f>IF($A1923="","",CHOOSE(WEEKDAY($A1923,2),"Seg","Ter","Qua","Qui","Sex","Sáb","Dom"))</f>
        <v>0</v>
      </c>
      <c r="M1923" s="27">
        <f>IF($E1923="","",IF($G1923&lt;&gt;"",$G1923,IFERROR(INDEX(ProcValor,MATCH($E1923,ProcNome,0)),0)))</f>
        <v>0</v>
      </c>
      <c r="N1923" s="27">
        <f>IF($M1923="","",IF($F1923="Compareceu",$M1923,0))</f>
        <v>0</v>
      </c>
      <c r="O1923" s="27">
        <f>IF($M1923="","",IF($F1923="Faltou",$M1923,0))</f>
        <v>0</v>
      </c>
      <c r="P1923" s="27">
        <f>IF($M1923="","",IF($F1923="Compareceu",MAX(0,$M1923-N($H1923)),0))</f>
        <v>0</v>
      </c>
      <c r="Q1923" s="19">
        <f>IF(AND($F1923="Compareceu",$E1923&lt;&gt;"",$A1923&lt;&gt;""),IF(IFERROR(INDEX(ProcRet,MATCH($E1923,ProcNome,0)),0)&gt;0,$A1923+INDEX(ProcRet,MATCH($E1923,ProcNome,0)),""),"")</f>
        <v>0</v>
      </c>
      <c r="R1923" s="26">
        <f>IF($Q1923="","",IF(COUNTIFS(AgPac,$D1923,AgData,"&gt;"&amp;$A1923,AgStatus,"&lt;&gt;Cancelado",AgStatus,"&lt;&gt;Remarcado")&gt;0,"Sim","Não"))</f>
        <v>0</v>
      </c>
      <c r="S1923" s="28">
        <f>IF($A1923="","",IF(AND($F1923="Agendado",$A1923-Hoje&gt;=0,$A1923-Hoje&lt;=DiasConf),"CONFIRMAR",IF(AND($A1923&lt;Hoje,OR($F1923="Agendado",$F1923="Confirmado")),"Atualizar status",IF(AND($F1923="Compareceu",$P1923&gt;0.005),"Cobrar",IF($F1923="Faltou","Falta: reagendar","")))))</f>
        <v>0</v>
      </c>
      <c r="T1923" s="29">
        <f>IF($A1923="","",DATE(YEAR($A1923),MONTH($A1923),1))</f>
        <v>0</v>
      </c>
      <c r="U1923" s="30">
        <f>IF($S1923="CONFIRMAR",MAX($U$4:$U1922)+1,"")</f>
        <v>0</v>
      </c>
      <c r="V1923" s="30">
        <f>IF(AND($R1923="Não",$Q1923&lt;&gt;"",$Q1923&lt;=Hoje+JanelaRet,$Q1923&gt;=Hoje-60),MAX($V$4:$V1922)+1,"")</f>
        <v>0</v>
      </c>
    </row>
    <row r="1924" spans="1:22">
      <c r="A1924" s="16"/>
      <c r="B1924" s="23"/>
      <c r="C1924" s="15"/>
      <c r="D1924" s="15"/>
      <c r="E1924" s="15"/>
      <c r="F1924" s="24"/>
      <c r="G1924" s="17"/>
      <c r="H1924" s="17"/>
      <c r="I1924" s="15"/>
      <c r="J1924" s="25">
        <f>IF($D1924="","",IFERROR(INDEX(PacNome,MATCH($D1924,PacCod,0)),"Paciente não cadastrado"))</f>
        <v>0</v>
      </c>
      <c r="K1924" s="26">
        <f>IF($D1924="","",IFERROR(INDEX(PacConv,MATCH($D1924,PacCod,0))&amp;"",""))</f>
        <v>0</v>
      </c>
      <c r="L1924" s="26">
        <f>IF($A1924="","",CHOOSE(WEEKDAY($A1924,2),"Seg","Ter","Qua","Qui","Sex","Sáb","Dom"))</f>
        <v>0</v>
      </c>
      <c r="M1924" s="27">
        <f>IF($E1924="","",IF($G1924&lt;&gt;"",$G1924,IFERROR(INDEX(ProcValor,MATCH($E1924,ProcNome,0)),0)))</f>
        <v>0</v>
      </c>
      <c r="N1924" s="27">
        <f>IF($M1924="","",IF($F1924="Compareceu",$M1924,0))</f>
        <v>0</v>
      </c>
      <c r="O1924" s="27">
        <f>IF($M1924="","",IF($F1924="Faltou",$M1924,0))</f>
        <v>0</v>
      </c>
      <c r="P1924" s="27">
        <f>IF($M1924="","",IF($F1924="Compareceu",MAX(0,$M1924-N($H1924)),0))</f>
        <v>0</v>
      </c>
      <c r="Q1924" s="19">
        <f>IF(AND($F1924="Compareceu",$E1924&lt;&gt;"",$A1924&lt;&gt;""),IF(IFERROR(INDEX(ProcRet,MATCH($E1924,ProcNome,0)),0)&gt;0,$A1924+INDEX(ProcRet,MATCH($E1924,ProcNome,0)),""),"")</f>
        <v>0</v>
      </c>
      <c r="R1924" s="26">
        <f>IF($Q1924="","",IF(COUNTIFS(AgPac,$D1924,AgData,"&gt;"&amp;$A1924,AgStatus,"&lt;&gt;Cancelado",AgStatus,"&lt;&gt;Remarcado")&gt;0,"Sim","Não"))</f>
        <v>0</v>
      </c>
      <c r="S1924" s="28">
        <f>IF($A1924="","",IF(AND($F1924="Agendado",$A1924-Hoje&gt;=0,$A1924-Hoje&lt;=DiasConf),"CONFIRMAR",IF(AND($A1924&lt;Hoje,OR($F1924="Agendado",$F1924="Confirmado")),"Atualizar status",IF(AND($F1924="Compareceu",$P1924&gt;0.005),"Cobrar",IF($F1924="Faltou","Falta: reagendar","")))))</f>
        <v>0</v>
      </c>
      <c r="T1924" s="29">
        <f>IF($A1924="","",DATE(YEAR($A1924),MONTH($A1924),1))</f>
        <v>0</v>
      </c>
      <c r="U1924" s="30">
        <f>IF($S1924="CONFIRMAR",MAX($U$4:$U1923)+1,"")</f>
        <v>0</v>
      </c>
      <c r="V1924" s="30">
        <f>IF(AND($R1924="Não",$Q1924&lt;&gt;"",$Q1924&lt;=Hoje+JanelaRet,$Q1924&gt;=Hoje-60),MAX($V$4:$V1923)+1,"")</f>
        <v>0</v>
      </c>
    </row>
    <row r="1925" spans="1:22">
      <c r="A1925" s="16"/>
      <c r="B1925" s="23"/>
      <c r="C1925" s="15"/>
      <c r="D1925" s="15"/>
      <c r="E1925" s="15"/>
      <c r="F1925" s="24"/>
      <c r="G1925" s="17"/>
      <c r="H1925" s="17"/>
      <c r="I1925" s="15"/>
      <c r="J1925" s="25">
        <f>IF($D1925="","",IFERROR(INDEX(PacNome,MATCH($D1925,PacCod,0)),"Paciente não cadastrado"))</f>
        <v>0</v>
      </c>
      <c r="K1925" s="26">
        <f>IF($D1925="","",IFERROR(INDEX(PacConv,MATCH($D1925,PacCod,0))&amp;"",""))</f>
        <v>0</v>
      </c>
      <c r="L1925" s="26">
        <f>IF($A1925="","",CHOOSE(WEEKDAY($A1925,2),"Seg","Ter","Qua","Qui","Sex","Sáb","Dom"))</f>
        <v>0</v>
      </c>
      <c r="M1925" s="27">
        <f>IF($E1925="","",IF($G1925&lt;&gt;"",$G1925,IFERROR(INDEX(ProcValor,MATCH($E1925,ProcNome,0)),0)))</f>
        <v>0</v>
      </c>
      <c r="N1925" s="27">
        <f>IF($M1925="","",IF($F1925="Compareceu",$M1925,0))</f>
        <v>0</v>
      </c>
      <c r="O1925" s="27">
        <f>IF($M1925="","",IF($F1925="Faltou",$M1925,0))</f>
        <v>0</v>
      </c>
      <c r="P1925" s="27">
        <f>IF($M1925="","",IF($F1925="Compareceu",MAX(0,$M1925-N($H1925)),0))</f>
        <v>0</v>
      </c>
      <c r="Q1925" s="19">
        <f>IF(AND($F1925="Compareceu",$E1925&lt;&gt;"",$A1925&lt;&gt;""),IF(IFERROR(INDEX(ProcRet,MATCH($E1925,ProcNome,0)),0)&gt;0,$A1925+INDEX(ProcRet,MATCH($E1925,ProcNome,0)),""),"")</f>
        <v>0</v>
      </c>
      <c r="R1925" s="26">
        <f>IF($Q1925="","",IF(COUNTIFS(AgPac,$D1925,AgData,"&gt;"&amp;$A1925,AgStatus,"&lt;&gt;Cancelado",AgStatus,"&lt;&gt;Remarcado")&gt;0,"Sim","Não"))</f>
        <v>0</v>
      </c>
      <c r="S1925" s="28">
        <f>IF($A1925="","",IF(AND($F1925="Agendado",$A1925-Hoje&gt;=0,$A1925-Hoje&lt;=DiasConf),"CONFIRMAR",IF(AND($A1925&lt;Hoje,OR($F1925="Agendado",$F1925="Confirmado")),"Atualizar status",IF(AND($F1925="Compareceu",$P1925&gt;0.005),"Cobrar",IF($F1925="Faltou","Falta: reagendar","")))))</f>
        <v>0</v>
      </c>
      <c r="T1925" s="29">
        <f>IF($A1925="","",DATE(YEAR($A1925),MONTH($A1925),1))</f>
        <v>0</v>
      </c>
      <c r="U1925" s="30">
        <f>IF($S1925="CONFIRMAR",MAX($U$4:$U1924)+1,"")</f>
        <v>0</v>
      </c>
      <c r="V1925" s="30">
        <f>IF(AND($R1925="Não",$Q1925&lt;&gt;"",$Q1925&lt;=Hoje+JanelaRet,$Q1925&gt;=Hoje-60),MAX($V$4:$V1924)+1,"")</f>
        <v>0</v>
      </c>
    </row>
    <row r="1926" spans="1:22">
      <c r="A1926" s="16"/>
      <c r="B1926" s="23"/>
      <c r="C1926" s="15"/>
      <c r="D1926" s="15"/>
      <c r="E1926" s="15"/>
      <c r="F1926" s="24"/>
      <c r="G1926" s="17"/>
      <c r="H1926" s="17"/>
      <c r="I1926" s="15"/>
      <c r="J1926" s="25">
        <f>IF($D1926="","",IFERROR(INDEX(PacNome,MATCH($D1926,PacCod,0)),"Paciente não cadastrado"))</f>
        <v>0</v>
      </c>
      <c r="K1926" s="26">
        <f>IF($D1926="","",IFERROR(INDEX(PacConv,MATCH($D1926,PacCod,0))&amp;"",""))</f>
        <v>0</v>
      </c>
      <c r="L1926" s="26">
        <f>IF($A1926="","",CHOOSE(WEEKDAY($A1926,2),"Seg","Ter","Qua","Qui","Sex","Sáb","Dom"))</f>
        <v>0</v>
      </c>
      <c r="M1926" s="27">
        <f>IF($E1926="","",IF($G1926&lt;&gt;"",$G1926,IFERROR(INDEX(ProcValor,MATCH($E1926,ProcNome,0)),0)))</f>
        <v>0</v>
      </c>
      <c r="N1926" s="27">
        <f>IF($M1926="","",IF($F1926="Compareceu",$M1926,0))</f>
        <v>0</v>
      </c>
      <c r="O1926" s="27">
        <f>IF($M1926="","",IF($F1926="Faltou",$M1926,0))</f>
        <v>0</v>
      </c>
      <c r="P1926" s="27">
        <f>IF($M1926="","",IF($F1926="Compareceu",MAX(0,$M1926-N($H1926)),0))</f>
        <v>0</v>
      </c>
      <c r="Q1926" s="19">
        <f>IF(AND($F1926="Compareceu",$E1926&lt;&gt;"",$A1926&lt;&gt;""),IF(IFERROR(INDEX(ProcRet,MATCH($E1926,ProcNome,0)),0)&gt;0,$A1926+INDEX(ProcRet,MATCH($E1926,ProcNome,0)),""),"")</f>
        <v>0</v>
      </c>
      <c r="R1926" s="26">
        <f>IF($Q1926="","",IF(COUNTIFS(AgPac,$D1926,AgData,"&gt;"&amp;$A1926,AgStatus,"&lt;&gt;Cancelado",AgStatus,"&lt;&gt;Remarcado")&gt;0,"Sim","Não"))</f>
        <v>0</v>
      </c>
      <c r="S1926" s="28">
        <f>IF($A1926="","",IF(AND($F1926="Agendado",$A1926-Hoje&gt;=0,$A1926-Hoje&lt;=DiasConf),"CONFIRMAR",IF(AND($A1926&lt;Hoje,OR($F1926="Agendado",$F1926="Confirmado")),"Atualizar status",IF(AND($F1926="Compareceu",$P1926&gt;0.005),"Cobrar",IF($F1926="Faltou","Falta: reagendar","")))))</f>
        <v>0</v>
      </c>
      <c r="T1926" s="29">
        <f>IF($A1926="","",DATE(YEAR($A1926),MONTH($A1926),1))</f>
        <v>0</v>
      </c>
      <c r="U1926" s="30">
        <f>IF($S1926="CONFIRMAR",MAX($U$4:$U1925)+1,"")</f>
        <v>0</v>
      </c>
      <c r="V1926" s="30">
        <f>IF(AND($R1926="Não",$Q1926&lt;&gt;"",$Q1926&lt;=Hoje+JanelaRet,$Q1926&gt;=Hoje-60),MAX($V$4:$V1925)+1,"")</f>
        <v>0</v>
      </c>
    </row>
    <row r="1927" spans="1:22">
      <c r="A1927" s="16"/>
      <c r="B1927" s="23"/>
      <c r="C1927" s="15"/>
      <c r="D1927" s="15"/>
      <c r="E1927" s="15"/>
      <c r="F1927" s="24"/>
      <c r="G1927" s="17"/>
      <c r="H1927" s="17"/>
      <c r="I1927" s="15"/>
      <c r="J1927" s="25">
        <f>IF($D1927="","",IFERROR(INDEX(PacNome,MATCH($D1927,PacCod,0)),"Paciente não cadastrado"))</f>
        <v>0</v>
      </c>
      <c r="K1927" s="26">
        <f>IF($D1927="","",IFERROR(INDEX(PacConv,MATCH($D1927,PacCod,0))&amp;"",""))</f>
        <v>0</v>
      </c>
      <c r="L1927" s="26">
        <f>IF($A1927="","",CHOOSE(WEEKDAY($A1927,2),"Seg","Ter","Qua","Qui","Sex","Sáb","Dom"))</f>
        <v>0</v>
      </c>
      <c r="M1927" s="27">
        <f>IF($E1927="","",IF($G1927&lt;&gt;"",$G1927,IFERROR(INDEX(ProcValor,MATCH($E1927,ProcNome,0)),0)))</f>
        <v>0</v>
      </c>
      <c r="N1927" s="27">
        <f>IF($M1927="","",IF($F1927="Compareceu",$M1927,0))</f>
        <v>0</v>
      </c>
      <c r="O1927" s="27">
        <f>IF($M1927="","",IF($F1927="Faltou",$M1927,0))</f>
        <v>0</v>
      </c>
      <c r="P1927" s="27">
        <f>IF($M1927="","",IF($F1927="Compareceu",MAX(0,$M1927-N($H1927)),0))</f>
        <v>0</v>
      </c>
      <c r="Q1927" s="19">
        <f>IF(AND($F1927="Compareceu",$E1927&lt;&gt;"",$A1927&lt;&gt;""),IF(IFERROR(INDEX(ProcRet,MATCH($E1927,ProcNome,0)),0)&gt;0,$A1927+INDEX(ProcRet,MATCH($E1927,ProcNome,0)),""),"")</f>
        <v>0</v>
      </c>
      <c r="R1927" s="26">
        <f>IF($Q1927="","",IF(COUNTIFS(AgPac,$D1927,AgData,"&gt;"&amp;$A1927,AgStatus,"&lt;&gt;Cancelado",AgStatus,"&lt;&gt;Remarcado")&gt;0,"Sim","Não"))</f>
        <v>0</v>
      </c>
      <c r="S1927" s="28">
        <f>IF($A1927="","",IF(AND($F1927="Agendado",$A1927-Hoje&gt;=0,$A1927-Hoje&lt;=DiasConf),"CONFIRMAR",IF(AND($A1927&lt;Hoje,OR($F1927="Agendado",$F1927="Confirmado")),"Atualizar status",IF(AND($F1927="Compareceu",$P1927&gt;0.005),"Cobrar",IF($F1927="Faltou","Falta: reagendar","")))))</f>
        <v>0</v>
      </c>
      <c r="T1927" s="29">
        <f>IF($A1927="","",DATE(YEAR($A1927),MONTH($A1927),1))</f>
        <v>0</v>
      </c>
      <c r="U1927" s="30">
        <f>IF($S1927="CONFIRMAR",MAX($U$4:$U1926)+1,"")</f>
        <v>0</v>
      </c>
      <c r="V1927" s="30">
        <f>IF(AND($R1927="Não",$Q1927&lt;&gt;"",$Q1927&lt;=Hoje+JanelaRet,$Q1927&gt;=Hoje-60),MAX($V$4:$V1926)+1,"")</f>
        <v>0</v>
      </c>
    </row>
    <row r="1928" spans="1:22">
      <c r="A1928" s="16"/>
      <c r="B1928" s="23"/>
      <c r="C1928" s="15"/>
      <c r="D1928" s="15"/>
      <c r="E1928" s="15"/>
      <c r="F1928" s="24"/>
      <c r="G1928" s="17"/>
      <c r="H1928" s="17"/>
      <c r="I1928" s="15"/>
      <c r="J1928" s="25">
        <f>IF($D1928="","",IFERROR(INDEX(PacNome,MATCH($D1928,PacCod,0)),"Paciente não cadastrado"))</f>
        <v>0</v>
      </c>
      <c r="K1928" s="26">
        <f>IF($D1928="","",IFERROR(INDEX(PacConv,MATCH($D1928,PacCod,0))&amp;"",""))</f>
        <v>0</v>
      </c>
      <c r="L1928" s="26">
        <f>IF($A1928="","",CHOOSE(WEEKDAY($A1928,2),"Seg","Ter","Qua","Qui","Sex","Sáb","Dom"))</f>
        <v>0</v>
      </c>
      <c r="M1928" s="27">
        <f>IF($E1928="","",IF($G1928&lt;&gt;"",$G1928,IFERROR(INDEX(ProcValor,MATCH($E1928,ProcNome,0)),0)))</f>
        <v>0</v>
      </c>
      <c r="N1928" s="27">
        <f>IF($M1928="","",IF($F1928="Compareceu",$M1928,0))</f>
        <v>0</v>
      </c>
      <c r="O1928" s="27">
        <f>IF($M1928="","",IF($F1928="Faltou",$M1928,0))</f>
        <v>0</v>
      </c>
      <c r="P1928" s="27">
        <f>IF($M1928="","",IF($F1928="Compareceu",MAX(0,$M1928-N($H1928)),0))</f>
        <v>0</v>
      </c>
      <c r="Q1928" s="19">
        <f>IF(AND($F1928="Compareceu",$E1928&lt;&gt;"",$A1928&lt;&gt;""),IF(IFERROR(INDEX(ProcRet,MATCH($E1928,ProcNome,0)),0)&gt;0,$A1928+INDEX(ProcRet,MATCH($E1928,ProcNome,0)),""),"")</f>
        <v>0</v>
      </c>
      <c r="R1928" s="26">
        <f>IF($Q1928="","",IF(COUNTIFS(AgPac,$D1928,AgData,"&gt;"&amp;$A1928,AgStatus,"&lt;&gt;Cancelado",AgStatus,"&lt;&gt;Remarcado")&gt;0,"Sim","Não"))</f>
        <v>0</v>
      </c>
      <c r="S1928" s="28">
        <f>IF($A1928="","",IF(AND($F1928="Agendado",$A1928-Hoje&gt;=0,$A1928-Hoje&lt;=DiasConf),"CONFIRMAR",IF(AND($A1928&lt;Hoje,OR($F1928="Agendado",$F1928="Confirmado")),"Atualizar status",IF(AND($F1928="Compareceu",$P1928&gt;0.005),"Cobrar",IF($F1928="Faltou","Falta: reagendar","")))))</f>
        <v>0</v>
      </c>
      <c r="T1928" s="29">
        <f>IF($A1928="","",DATE(YEAR($A1928),MONTH($A1928),1))</f>
        <v>0</v>
      </c>
      <c r="U1928" s="30">
        <f>IF($S1928="CONFIRMAR",MAX($U$4:$U1927)+1,"")</f>
        <v>0</v>
      </c>
      <c r="V1928" s="30">
        <f>IF(AND($R1928="Não",$Q1928&lt;&gt;"",$Q1928&lt;=Hoje+JanelaRet,$Q1928&gt;=Hoje-60),MAX($V$4:$V1927)+1,"")</f>
        <v>0</v>
      </c>
    </row>
    <row r="1929" spans="1:22">
      <c r="A1929" s="16"/>
      <c r="B1929" s="23"/>
      <c r="C1929" s="15"/>
      <c r="D1929" s="15"/>
      <c r="E1929" s="15"/>
      <c r="F1929" s="24"/>
      <c r="G1929" s="17"/>
      <c r="H1929" s="17"/>
      <c r="I1929" s="15"/>
      <c r="J1929" s="25">
        <f>IF($D1929="","",IFERROR(INDEX(PacNome,MATCH($D1929,PacCod,0)),"Paciente não cadastrado"))</f>
        <v>0</v>
      </c>
      <c r="K1929" s="26">
        <f>IF($D1929="","",IFERROR(INDEX(PacConv,MATCH($D1929,PacCod,0))&amp;"",""))</f>
        <v>0</v>
      </c>
      <c r="L1929" s="26">
        <f>IF($A1929="","",CHOOSE(WEEKDAY($A1929,2),"Seg","Ter","Qua","Qui","Sex","Sáb","Dom"))</f>
        <v>0</v>
      </c>
      <c r="M1929" s="27">
        <f>IF($E1929="","",IF($G1929&lt;&gt;"",$G1929,IFERROR(INDEX(ProcValor,MATCH($E1929,ProcNome,0)),0)))</f>
        <v>0</v>
      </c>
      <c r="N1929" s="27">
        <f>IF($M1929="","",IF($F1929="Compareceu",$M1929,0))</f>
        <v>0</v>
      </c>
      <c r="O1929" s="27">
        <f>IF($M1929="","",IF($F1929="Faltou",$M1929,0))</f>
        <v>0</v>
      </c>
      <c r="P1929" s="27">
        <f>IF($M1929="","",IF($F1929="Compareceu",MAX(0,$M1929-N($H1929)),0))</f>
        <v>0</v>
      </c>
      <c r="Q1929" s="19">
        <f>IF(AND($F1929="Compareceu",$E1929&lt;&gt;"",$A1929&lt;&gt;""),IF(IFERROR(INDEX(ProcRet,MATCH($E1929,ProcNome,0)),0)&gt;0,$A1929+INDEX(ProcRet,MATCH($E1929,ProcNome,0)),""),"")</f>
        <v>0</v>
      </c>
      <c r="R1929" s="26">
        <f>IF($Q1929="","",IF(COUNTIFS(AgPac,$D1929,AgData,"&gt;"&amp;$A1929,AgStatus,"&lt;&gt;Cancelado",AgStatus,"&lt;&gt;Remarcado")&gt;0,"Sim","Não"))</f>
        <v>0</v>
      </c>
      <c r="S1929" s="28">
        <f>IF($A1929="","",IF(AND($F1929="Agendado",$A1929-Hoje&gt;=0,$A1929-Hoje&lt;=DiasConf),"CONFIRMAR",IF(AND($A1929&lt;Hoje,OR($F1929="Agendado",$F1929="Confirmado")),"Atualizar status",IF(AND($F1929="Compareceu",$P1929&gt;0.005),"Cobrar",IF($F1929="Faltou","Falta: reagendar","")))))</f>
        <v>0</v>
      </c>
      <c r="T1929" s="29">
        <f>IF($A1929="","",DATE(YEAR($A1929),MONTH($A1929),1))</f>
        <v>0</v>
      </c>
      <c r="U1929" s="30">
        <f>IF($S1929="CONFIRMAR",MAX($U$4:$U1928)+1,"")</f>
        <v>0</v>
      </c>
      <c r="V1929" s="30">
        <f>IF(AND($R1929="Não",$Q1929&lt;&gt;"",$Q1929&lt;=Hoje+JanelaRet,$Q1929&gt;=Hoje-60),MAX($V$4:$V1928)+1,"")</f>
        <v>0</v>
      </c>
    </row>
    <row r="1930" spans="1:22">
      <c r="A1930" s="16"/>
      <c r="B1930" s="23"/>
      <c r="C1930" s="15"/>
      <c r="D1930" s="15"/>
      <c r="E1930" s="15"/>
      <c r="F1930" s="24"/>
      <c r="G1930" s="17"/>
      <c r="H1930" s="17"/>
      <c r="I1930" s="15"/>
      <c r="J1930" s="25">
        <f>IF($D1930="","",IFERROR(INDEX(PacNome,MATCH($D1930,PacCod,0)),"Paciente não cadastrado"))</f>
        <v>0</v>
      </c>
      <c r="K1930" s="26">
        <f>IF($D1930="","",IFERROR(INDEX(PacConv,MATCH($D1930,PacCod,0))&amp;"",""))</f>
        <v>0</v>
      </c>
      <c r="L1930" s="26">
        <f>IF($A1930="","",CHOOSE(WEEKDAY($A1930,2),"Seg","Ter","Qua","Qui","Sex","Sáb","Dom"))</f>
        <v>0</v>
      </c>
      <c r="M1930" s="27">
        <f>IF($E1930="","",IF($G1930&lt;&gt;"",$G1930,IFERROR(INDEX(ProcValor,MATCH($E1930,ProcNome,0)),0)))</f>
        <v>0</v>
      </c>
      <c r="N1930" s="27">
        <f>IF($M1930="","",IF($F1930="Compareceu",$M1930,0))</f>
        <v>0</v>
      </c>
      <c r="O1930" s="27">
        <f>IF($M1930="","",IF($F1930="Faltou",$M1930,0))</f>
        <v>0</v>
      </c>
      <c r="P1930" s="27">
        <f>IF($M1930="","",IF($F1930="Compareceu",MAX(0,$M1930-N($H1930)),0))</f>
        <v>0</v>
      </c>
      <c r="Q1930" s="19">
        <f>IF(AND($F1930="Compareceu",$E1930&lt;&gt;"",$A1930&lt;&gt;""),IF(IFERROR(INDEX(ProcRet,MATCH($E1930,ProcNome,0)),0)&gt;0,$A1930+INDEX(ProcRet,MATCH($E1930,ProcNome,0)),""),"")</f>
        <v>0</v>
      </c>
      <c r="R1930" s="26">
        <f>IF($Q1930="","",IF(COUNTIFS(AgPac,$D1930,AgData,"&gt;"&amp;$A1930,AgStatus,"&lt;&gt;Cancelado",AgStatus,"&lt;&gt;Remarcado")&gt;0,"Sim","Não"))</f>
        <v>0</v>
      </c>
      <c r="S1930" s="28">
        <f>IF($A1930="","",IF(AND($F1930="Agendado",$A1930-Hoje&gt;=0,$A1930-Hoje&lt;=DiasConf),"CONFIRMAR",IF(AND($A1930&lt;Hoje,OR($F1930="Agendado",$F1930="Confirmado")),"Atualizar status",IF(AND($F1930="Compareceu",$P1930&gt;0.005),"Cobrar",IF($F1930="Faltou","Falta: reagendar","")))))</f>
        <v>0</v>
      </c>
      <c r="T1930" s="29">
        <f>IF($A1930="","",DATE(YEAR($A1930),MONTH($A1930),1))</f>
        <v>0</v>
      </c>
      <c r="U1930" s="30">
        <f>IF($S1930="CONFIRMAR",MAX($U$4:$U1929)+1,"")</f>
        <v>0</v>
      </c>
      <c r="V1930" s="30">
        <f>IF(AND($R1930="Não",$Q1930&lt;&gt;"",$Q1930&lt;=Hoje+JanelaRet,$Q1930&gt;=Hoje-60),MAX($V$4:$V1929)+1,"")</f>
        <v>0</v>
      </c>
    </row>
    <row r="1931" spans="1:22">
      <c r="A1931" s="16"/>
      <c r="B1931" s="23"/>
      <c r="C1931" s="15"/>
      <c r="D1931" s="15"/>
      <c r="E1931" s="15"/>
      <c r="F1931" s="24"/>
      <c r="G1931" s="17"/>
      <c r="H1931" s="17"/>
      <c r="I1931" s="15"/>
      <c r="J1931" s="25">
        <f>IF($D1931="","",IFERROR(INDEX(PacNome,MATCH($D1931,PacCod,0)),"Paciente não cadastrado"))</f>
        <v>0</v>
      </c>
      <c r="K1931" s="26">
        <f>IF($D1931="","",IFERROR(INDEX(PacConv,MATCH($D1931,PacCod,0))&amp;"",""))</f>
        <v>0</v>
      </c>
      <c r="L1931" s="26">
        <f>IF($A1931="","",CHOOSE(WEEKDAY($A1931,2),"Seg","Ter","Qua","Qui","Sex","Sáb","Dom"))</f>
        <v>0</v>
      </c>
      <c r="M1931" s="27">
        <f>IF($E1931="","",IF($G1931&lt;&gt;"",$G1931,IFERROR(INDEX(ProcValor,MATCH($E1931,ProcNome,0)),0)))</f>
        <v>0</v>
      </c>
      <c r="N1931" s="27">
        <f>IF($M1931="","",IF($F1931="Compareceu",$M1931,0))</f>
        <v>0</v>
      </c>
      <c r="O1931" s="27">
        <f>IF($M1931="","",IF($F1931="Faltou",$M1931,0))</f>
        <v>0</v>
      </c>
      <c r="P1931" s="27">
        <f>IF($M1931="","",IF($F1931="Compareceu",MAX(0,$M1931-N($H1931)),0))</f>
        <v>0</v>
      </c>
      <c r="Q1931" s="19">
        <f>IF(AND($F1931="Compareceu",$E1931&lt;&gt;"",$A1931&lt;&gt;""),IF(IFERROR(INDEX(ProcRet,MATCH($E1931,ProcNome,0)),0)&gt;0,$A1931+INDEX(ProcRet,MATCH($E1931,ProcNome,0)),""),"")</f>
        <v>0</v>
      </c>
      <c r="R1931" s="26">
        <f>IF($Q1931="","",IF(COUNTIFS(AgPac,$D1931,AgData,"&gt;"&amp;$A1931,AgStatus,"&lt;&gt;Cancelado",AgStatus,"&lt;&gt;Remarcado")&gt;0,"Sim","Não"))</f>
        <v>0</v>
      </c>
      <c r="S1931" s="28">
        <f>IF($A1931="","",IF(AND($F1931="Agendado",$A1931-Hoje&gt;=0,$A1931-Hoje&lt;=DiasConf),"CONFIRMAR",IF(AND($A1931&lt;Hoje,OR($F1931="Agendado",$F1931="Confirmado")),"Atualizar status",IF(AND($F1931="Compareceu",$P1931&gt;0.005),"Cobrar",IF($F1931="Faltou","Falta: reagendar","")))))</f>
        <v>0</v>
      </c>
      <c r="T1931" s="29">
        <f>IF($A1931="","",DATE(YEAR($A1931),MONTH($A1931),1))</f>
        <v>0</v>
      </c>
      <c r="U1931" s="30">
        <f>IF($S1931="CONFIRMAR",MAX($U$4:$U1930)+1,"")</f>
        <v>0</v>
      </c>
      <c r="V1931" s="30">
        <f>IF(AND($R1931="Não",$Q1931&lt;&gt;"",$Q1931&lt;=Hoje+JanelaRet,$Q1931&gt;=Hoje-60),MAX($V$4:$V1930)+1,"")</f>
        <v>0</v>
      </c>
    </row>
    <row r="1932" spans="1:22">
      <c r="A1932" s="16"/>
      <c r="B1932" s="23"/>
      <c r="C1932" s="15"/>
      <c r="D1932" s="15"/>
      <c r="E1932" s="15"/>
      <c r="F1932" s="24"/>
      <c r="G1932" s="17"/>
      <c r="H1932" s="17"/>
      <c r="I1932" s="15"/>
      <c r="J1932" s="25">
        <f>IF($D1932="","",IFERROR(INDEX(PacNome,MATCH($D1932,PacCod,0)),"Paciente não cadastrado"))</f>
        <v>0</v>
      </c>
      <c r="K1932" s="26">
        <f>IF($D1932="","",IFERROR(INDEX(PacConv,MATCH($D1932,PacCod,0))&amp;"",""))</f>
        <v>0</v>
      </c>
      <c r="L1932" s="26">
        <f>IF($A1932="","",CHOOSE(WEEKDAY($A1932,2),"Seg","Ter","Qua","Qui","Sex","Sáb","Dom"))</f>
        <v>0</v>
      </c>
      <c r="M1932" s="27">
        <f>IF($E1932="","",IF($G1932&lt;&gt;"",$G1932,IFERROR(INDEX(ProcValor,MATCH($E1932,ProcNome,0)),0)))</f>
        <v>0</v>
      </c>
      <c r="N1932" s="27">
        <f>IF($M1932="","",IF($F1932="Compareceu",$M1932,0))</f>
        <v>0</v>
      </c>
      <c r="O1932" s="27">
        <f>IF($M1932="","",IF($F1932="Faltou",$M1932,0))</f>
        <v>0</v>
      </c>
      <c r="P1932" s="27">
        <f>IF($M1932="","",IF($F1932="Compareceu",MAX(0,$M1932-N($H1932)),0))</f>
        <v>0</v>
      </c>
      <c r="Q1932" s="19">
        <f>IF(AND($F1932="Compareceu",$E1932&lt;&gt;"",$A1932&lt;&gt;""),IF(IFERROR(INDEX(ProcRet,MATCH($E1932,ProcNome,0)),0)&gt;0,$A1932+INDEX(ProcRet,MATCH($E1932,ProcNome,0)),""),"")</f>
        <v>0</v>
      </c>
      <c r="R1932" s="26">
        <f>IF($Q1932="","",IF(COUNTIFS(AgPac,$D1932,AgData,"&gt;"&amp;$A1932,AgStatus,"&lt;&gt;Cancelado",AgStatus,"&lt;&gt;Remarcado")&gt;0,"Sim","Não"))</f>
        <v>0</v>
      </c>
      <c r="S1932" s="28">
        <f>IF($A1932="","",IF(AND($F1932="Agendado",$A1932-Hoje&gt;=0,$A1932-Hoje&lt;=DiasConf),"CONFIRMAR",IF(AND($A1932&lt;Hoje,OR($F1932="Agendado",$F1932="Confirmado")),"Atualizar status",IF(AND($F1932="Compareceu",$P1932&gt;0.005),"Cobrar",IF($F1932="Faltou","Falta: reagendar","")))))</f>
        <v>0</v>
      </c>
      <c r="T1932" s="29">
        <f>IF($A1932="","",DATE(YEAR($A1932),MONTH($A1932),1))</f>
        <v>0</v>
      </c>
      <c r="U1932" s="30">
        <f>IF($S1932="CONFIRMAR",MAX($U$4:$U1931)+1,"")</f>
        <v>0</v>
      </c>
      <c r="V1932" s="30">
        <f>IF(AND($R1932="Não",$Q1932&lt;&gt;"",$Q1932&lt;=Hoje+JanelaRet,$Q1932&gt;=Hoje-60),MAX($V$4:$V1931)+1,"")</f>
        <v>0</v>
      </c>
    </row>
    <row r="1933" spans="1:22">
      <c r="A1933" s="16"/>
      <c r="B1933" s="23"/>
      <c r="C1933" s="15"/>
      <c r="D1933" s="15"/>
      <c r="E1933" s="15"/>
      <c r="F1933" s="24"/>
      <c r="G1933" s="17"/>
      <c r="H1933" s="17"/>
      <c r="I1933" s="15"/>
      <c r="J1933" s="25">
        <f>IF($D1933="","",IFERROR(INDEX(PacNome,MATCH($D1933,PacCod,0)),"Paciente não cadastrado"))</f>
        <v>0</v>
      </c>
      <c r="K1933" s="26">
        <f>IF($D1933="","",IFERROR(INDEX(PacConv,MATCH($D1933,PacCod,0))&amp;"",""))</f>
        <v>0</v>
      </c>
      <c r="L1933" s="26">
        <f>IF($A1933="","",CHOOSE(WEEKDAY($A1933,2),"Seg","Ter","Qua","Qui","Sex","Sáb","Dom"))</f>
        <v>0</v>
      </c>
      <c r="M1933" s="27">
        <f>IF($E1933="","",IF($G1933&lt;&gt;"",$G1933,IFERROR(INDEX(ProcValor,MATCH($E1933,ProcNome,0)),0)))</f>
        <v>0</v>
      </c>
      <c r="N1933" s="27">
        <f>IF($M1933="","",IF($F1933="Compareceu",$M1933,0))</f>
        <v>0</v>
      </c>
      <c r="O1933" s="27">
        <f>IF($M1933="","",IF($F1933="Faltou",$M1933,0))</f>
        <v>0</v>
      </c>
      <c r="P1933" s="27">
        <f>IF($M1933="","",IF($F1933="Compareceu",MAX(0,$M1933-N($H1933)),0))</f>
        <v>0</v>
      </c>
      <c r="Q1933" s="19">
        <f>IF(AND($F1933="Compareceu",$E1933&lt;&gt;"",$A1933&lt;&gt;""),IF(IFERROR(INDEX(ProcRet,MATCH($E1933,ProcNome,0)),0)&gt;0,$A1933+INDEX(ProcRet,MATCH($E1933,ProcNome,0)),""),"")</f>
        <v>0</v>
      </c>
      <c r="R1933" s="26">
        <f>IF($Q1933="","",IF(COUNTIFS(AgPac,$D1933,AgData,"&gt;"&amp;$A1933,AgStatus,"&lt;&gt;Cancelado",AgStatus,"&lt;&gt;Remarcado")&gt;0,"Sim","Não"))</f>
        <v>0</v>
      </c>
      <c r="S1933" s="28">
        <f>IF($A1933="","",IF(AND($F1933="Agendado",$A1933-Hoje&gt;=0,$A1933-Hoje&lt;=DiasConf),"CONFIRMAR",IF(AND($A1933&lt;Hoje,OR($F1933="Agendado",$F1933="Confirmado")),"Atualizar status",IF(AND($F1933="Compareceu",$P1933&gt;0.005),"Cobrar",IF($F1933="Faltou","Falta: reagendar","")))))</f>
        <v>0</v>
      </c>
      <c r="T1933" s="29">
        <f>IF($A1933="","",DATE(YEAR($A1933),MONTH($A1933),1))</f>
        <v>0</v>
      </c>
      <c r="U1933" s="30">
        <f>IF($S1933="CONFIRMAR",MAX($U$4:$U1932)+1,"")</f>
        <v>0</v>
      </c>
      <c r="V1933" s="30">
        <f>IF(AND($R1933="Não",$Q1933&lt;&gt;"",$Q1933&lt;=Hoje+JanelaRet,$Q1933&gt;=Hoje-60),MAX($V$4:$V1932)+1,"")</f>
        <v>0</v>
      </c>
    </row>
    <row r="1934" spans="1:22">
      <c r="A1934" s="16"/>
      <c r="B1934" s="23"/>
      <c r="C1934" s="15"/>
      <c r="D1934" s="15"/>
      <c r="E1934" s="15"/>
      <c r="F1934" s="24"/>
      <c r="G1934" s="17"/>
      <c r="H1934" s="17"/>
      <c r="I1934" s="15"/>
      <c r="J1934" s="25">
        <f>IF($D1934="","",IFERROR(INDEX(PacNome,MATCH($D1934,PacCod,0)),"Paciente não cadastrado"))</f>
        <v>0</v>
      </c>
      <c r="K1934" s="26">
        <f>IF($D1934="","",IFERROR(INDEX(PacConv,MATCH($D1934,PacCod,0))&amp;"",""))</f>
        <v>0</v>
      </c>
      <c r="L1934" s="26">
        <f>IF($A1934="","",CHOOSE(WEEKDAY($A1934,2),"Seg","Ter","Qua","Qui","Sex","Sáb","Dom"))</f>
        <v>0</v>
      </c>
      <c r="M1934" s="27">
        <f>IF($E1934="","",IF($G1934&lt;&gt;"",$G1934,IFERROR(INDEX(ProcValor,MATCH($E1934,ProcNome,0)),0)))</f>
        <v>0</v>
      </c>
      <c r="N1934" s="27">
        <f>IF($M1934="","",IF($F1934="Compareceu",$M1934,0))</f>
        <v>0</v>
      </c>
      <c r="O1934" s="27">
        <f>IF($M1934="","",IF($F1934="Faltou",$M1934,0))</f>
        <v>0</v>
      </c>
      <c r="P1934" s="27">
        <f>IF($M1934="","",IF($F1934="Compareceu",MAX(0,$M1934-N($H1934)),0))</f>
        <v>0</v>
      </c>
      <c r="Q1934" s="19">
        <f>IF(AND($F1934="Compareceu",$E1934&lt;&gt;"",$A1934&lt;&gt;""),IF(IFERROR(INDEX(ProcRet,MATCH($E1934,ProcNome,0)),0)&gt;0,$A1934+INDEX(ProcRet,MATCH($E1934,ProcNome,0)),""),"")</f>
        <v>0</v>
      </c>
      <c r="R1934" s="26">
        <f>IF($Q1934="","",IF(COUNTIFS(AgPac,$D1934,AgData,"&gt;"&amp;$A1934,AgStatus,"&lt;&gt;Cancelado",AgStatus,"&lt;&gt;Remarcado")&gt;0,"Sim","Não"))</f>
        <v>0</v>
      </c>
      <c r="S1934" s="28">
        <f>IF($A1934="","",IF(AND($F1934="Agendado",$A1934-Hoje&gt;=0,$A1934-Hoje&lt;=DiasConf),"CONFIRMAR",IF(AND($A1934&lt;Hoje,OR($F1934="Agendado",$F1934="Confirmado")),"Atualizar status",IF(AND($F1934="Compareceu",$P1934&gt;0.005),"Cobrar",IF($F1934="Faltou","Falta: reagendar","")))))</f>
        <v>0</v>
      </c>
      <c r="T1934" s="29">
        <f>IF($A1934="","",DATE(YEAR($A1934),MONTH($A1934),1))</f>
        <v>0</v>
      </c>
      <c r="U1934" s="30">
        <f>IF($S1934="CONFIRMAR",MAX($U$4:$U1933)+1,"")</f>
        <v>0</v>
      </c>
      <c r="V1934" s="30">
        <f>IF(AND($R1934="Não",$Q1934&lt;&gt;"",$Q1934&lt;=Hoje+JanelaRet,$Q1934&gt;=Hoje-60),MAX($V$4:$V1933)+1,"")</f>
        <v>0</v>
      </c>
    </row>
    <row r="1935" spans="1:22">
      <c r="A1935" s="16"/>
      <c r="B1935" s="23"/>
      <c r="C1935" s="15"/>
      <c r="D1935" s="15"/>
      <c r="E1935" s="15"/>
      <c r="F1935" s="24"/>
      <c r="G1935" s="17"/>
      <c r="H1935" s="17"/>
      <c r="I1935" s="15"/>
      <c r="J1935" s="25">
        <f>IF($D1935="","",IFERROR(INDEX(PacNome,MATCH($D1935,PacCod,0)),"Paciente não cadastrado"))</f>
        <v>0</v>
      </c>
      <c r="K1935" s="26">
        <f>IF($D1935="","",IFERROR(INDEX(PacConv,MATCH($D1935,PacCod,0))&amp;"",""))</f>
        <v>0</v>
      </c>
      <c r="L1935" s="26">
        <f>IF($A1935="","",CHOOSE(WEEKDAY($A1935,2),"Seg","Ter","Qua","Qui","Sex","Sáb","Dom"))</f>
        <v>0</v>
      </c>
      <c r="M1935" s="27">
        <f>IF($E1935="","",IF($G1935&lt;&gt;"",$G1935,IFERROR(INDEX(ProcValor,MATCH($E1935,ProcNome,0)),0)))</f>
        <v>0</v>
      </c>
      <c r="N1935" s="27">
        <f>IF($M1935="","",IF($F1935="Compareceu",$M1935,0))</f>
        <v>0</v>
      </c>
      <c r="O1935" s="27">
        <f>IF($M1935="","",IF($F1935="Faltou",$M1935,0))</f>
        <v>0</v>
      </c>
      <c r="P1935" s="27">
        <f>IF($M1935="","",IF($F1935="Compareceu",MAX(0,$M1935-N($H1935)),0))</f>
        <v>0</v>
      </c>
      <c r="Q1935" s="19">
        <f>IF(AND($F1935="Compareceu",$E1935&lt;&gt;"",$A1935&lt;&gt;""),IF(IFERROR(INDEX(ProcRet,MATCH($E1935,ProcNome,0)),0)&gt;0,$A1935+INDEX(ProcRet,MATCH($E1935,ProcNome,0)),""),"")</f>
        <v>0</v>
      </c>
      <c r="R1935" s="26">
        <f>IF($Q1935="","",IF(COUNTIFS(AgPac,$D1935,AgData,"&gt;"&amp;$A1935,AgStatus,"&lt;&gt;Cancelado",AgStatus,"&lt;&gt;Remarcado")&gt;0,"Sim","Não"))</f>
        <v>0</v>
      </c>
      <c r="S1935" s="28">
        <f>IF($A1935="","",IF(AND($F1935="Agendado",$A1935-Hoje&gt;=0,$A1935-Hoje&lt;=DiasConf),"CONFIRMAR",IF(AND($A1935&lt;Hoje,OR($F1935="Agendado",$F1935="Confirmado")),"Atualizar status",IF(AND($F1935="Compareceu",$P1935&gt;0.005),"Cobrar",IF($F1935="Faltou","Falta: reagendar","")))))</f>
        <v>0</v>
      </c>
      <c r="T1935" s="29">
        <f>IF($A1935="","",DATE(YEAR($A1935),MONTH($A1935),1))</f>
        <v>0</v>
      </c>
      <c r="U1935" s="30">
        <f>IF($S1935="CONFIRMAR",MAX($U$4:$U1934)+1,"")</f>
        <v>0</v>
      </c>
      <c r="V1935" s="30">
        <f>IF(AND($R1935="Não",$Q1935&lt;&gt;"",$Q1935&lt;=Hoje+JanelaRet,$Q1935&gt;=Hoje-60),MAX($V$4:$V1934)+1,"")</f>
        <v>0</v>
      </c>
    </row>
    <row r="1936" spans="1:22">
      <c r="A1936" s="16"/>
      <c r="B1936" s="23"/>
      <c r="C1936" s="15"/>
      <c r="D1936" s="15"/>
      <c r="E1936" s="15"/>
      <c r="F1936" s="24"/>
      <c r="G1936" s="17"/>
      <c r="H1936" s="17"/>
      <c r="I1936" s="15"/>
      <c r="J1936" s="25">
        <f>IF($D1936="","",IFERROR(INDEX(PacNome,MATCH($D1936,PacCod,0)),"Paciente não cadastrado"))</f>
        <v>0</v>
      </c>
      <c r="K1936" s="26">
        <f>IF($D1936="","",IFERROR(INDEX(PacConv,MATCH($D1936,PacCod,0))&amp;"",""))</f>
        <v>0</v>
      </c>
      <c r="L1936" s="26">
        <f>IF($A1936="","",CHOOSE(WEEKDAY($A1936,2),"Seg","Ter","Qua","Qui","Sex","Sáb","Dom"))</f>
        <v>0</v>
      </c>
      <c r="M1936" s="27">
        <f>IF($E1936="","",IF($G1936&lt;&gt;"",$G1936,IFERROR(INDEX(ProcValor,MATCH($E1936,ProcNome,0)),0)))</f>
        <v>0</v>
      </c>
      <c r="N1936" s="27">
        <f>IF($M1936="","",IF($F1936="Compareceu",$M1936,0))</f>
        <v>0</v>
      </c>
      <c r="O1936" s="27">
        <f>IF($M1936="","",IF($F1936="Faltou",$M1936,0))</f>
        <v>0</v>
      </c>
      <c r="P1936" s="27">
        <f>IF($M1936="","",IF($F1936="Compareceu",MAX(0,$M1936-N($H1936)),0))</f>
        <v>0</v>
      </c>
      <c r="Q1936" s="19">
        <f>IF(AND($F1936="Compareceu",$E1936&lt;&gt;"",$A1936&lt;&gt;""),IF(IFERROR(INDEX(ProcRet,MATCH($E1936,ProcNome,0)),0)&gt;0,$A1936+INDEX(ProcRet,MATCH($E1936,ProcNome,0)),""),"")</f>
        <v>0</v>
      </c>
      <c r="R1936" s="26">
        <f>IF($Q1936="","",IF(COUNTIFS(AgPac,$D1936,AgData,"&gt;"&amp;$A1936,AgStatus,"&lt;&gt;Cancelado",AgStatus,"&lt;&gt;Remarcado")&gt;0,"Sim","Não"))</f>
        <v>0</v>
      </c>
      <c r="S1936" s="28">
        <f>IF($A1936="","",IF(AND($F1936="Agendado",$A1936-Hoje&gt;=0,$A1936-Hoje&lt;=DiasConf),"CONFIRMAR",IF(AND($A1936&lt;Hoje,OR($F1936="Agendado",$F1936="Confirmado")),"Atualizar status",IF(AND($F1936="Compareceu",$P1936&gt;0.005),"Cobrar",IF($F1936="Faltou","Falta: reagendar","")))))</f>
        <v>0</v>
      </c>
      <c r="T1936" s="29">
        <f>IF($A1936="","",DATE(YEAR($A1936),MONTH($A1936),1))</f>
        <v>0</v>
      </c>
      <c r="U1936" s="30">
        <f>IF($S1936="CONFIRMAR",MAX($U$4:$U1935)+1,"")</f>
        <v>0</v>
      </c>
      <c r="V1936" s="30">
        <f>IF(AND($R1936="Não",$Q1936&lt;&gt;"",$Q1936&lt;=Hoje+JanelaRet,$Q1936&gt;=Hoje-60),MAX($V$4:$V1935)+1,"")</f>
        <v>0</v>
      </c>
    </row>
    <row r="1937" spans="1:22">
      <c r="A1937" s="16"/>
      <c r="B1937" s="23"/>
      <c r="C1937" s="15"/>
      <c r="D1937" s="15"/>
      <c r="E1937" s="15"/>
      <c r="F1937" s="24"/>
      <c r="G1937" s="17"/>
      <c r="H1937" s="17"/>
      <c r="I1937" s="15"/>
      <c r="J1937" s="25">
        <f>IF($D1937="","",IFERROR(INDEX(PacNome,MATCH($D1937,PacCod,0)),"Paciente não cadastrado"))</f>
        <v>0</v>
      </c>
      <c r="K1937" s="26">
        <f>IF($D1937="","",IFERROR(INDEX(PacConv,MATCH($D1937,PacCod,0))&amp;"",""))</f>
        <v>0</v>
      </c>
      <c r="L1937" s="26">
        <f>IF($A1937="","",CHOOSE(WEEKDAY($A1937,2),"Seg","Ter","Qua","Qui","Sex","Sáb","Dom"))</f>
        <v>0</v>
      </c>
      <c r="M1937" s="27">
        <f>IF($E1937="","",IF($G1937&lt;&gt;"",$G1937,IFERROR(INDEX(ProcValor,MATCH($E1937,ProcNome,0)),0)))</f>
        <v>0</v>
      </c>
      <c r="N1937" s="27">
        <f>IF($M1937="","",IF($F1937="Compareceu",$M1937,0))</f>
        <v>0</v>
      </c>
      <c r="O1937" s="27">
        <f>IF($M1937="","",IF($F1937="Faltou",$M1937,0))</f>
        <v>0</v>
      </c>
      <c r="P1937" s="27">
        <f>IF($M1937="","",IF($F1937="Compareceu",MAX(0,$M1937-N($H1937)),0))</f>
        <v>0</v>
      </c>
      <c r="Q1937" s="19">
        <f>IF(AND($F1937="Compareceu",$E1937&lt;&gt;"",$A1937&lt;&gt;""),IF(IFERROR(INDEX(ProcRet,MATCH($E1937,ProcNome,0)),0)&gt;0,$A1937+INDEX(ProcRet,MATCH($E1937,ProcNome,0)),""),"")</f>
        <v>0</v>
      </c>
      <c r="R1937" s="26">
        <f>IF($Q1937="","",IF(COUNTIFS(AgPac,$D1937,AgData,"&gt;"&amp;$A1937,AgStatus,"&lt;&gt;Cancelado",AgStatus,"&lt;&gt;Remarcado")&gt;0,"Sim","Não"))</f>
        <v>0</v>
      </c>
      <c r="S1937" s="28">
        <f>IF($A1937="","",IF(AND($F1937="Agendado",$A1937-Hoje&gt;=0,$A1937-Hoje&lt;=DiasConf),"CONFIRMAR",IF(AND($A1937&lt;Hoje,OR($F1937="Agendado",$F1937="Confirmado")),"Atualizar status",IF(AND($F1937="Compareceu",$P1937&gt;0.005),"Cobrar",IF($F1937="Faltou","Falta: reagendar","")))))</f>
        <v>0</v>
      </c>
      <c r="T1937" s="29">
        <f>IF($A1937="","",DATE(YEAR($A1937),MONTH($A1937),1))</f>
        <v>0</v>
      </c>
      <c r="U1937" s="30">
        <f>IF($S1937="CONFIRMAR",MAX($U$4:$U1936)+1,"")</f>
        <v>0</v>
      </c>
      <c r="V1937" s="30">
        <f>IF(AND($R1937="Não",$Q1937&lt;&gt;"",$Q1937&lt;=Hoje+JanelaRet,$Q1937&gt;=Hoje-60),MAX($V$4:$V1936)+1,"")</f>
        <v>0</v>
      </c>
    </row>
    <row r="1938" spans="1:22">
      <c r="A1938" s="16"/>
      <c r="B1938" s="23"/>
      <c r="C1938" s="15"/>
      <c r="D1938" s="15"/>
      <c r="E1938" s="15"/>
      <c r="F1938" s="24"/>
      <c r="G1938" s="17"/>
      <c r="H1938" s="17"/>
      <c r="I1938" s="15"/>
      <c r="J1938" s="25">
        <f>IF($D1938="","",IFERROR(INDEX(PacNome,MATCH($D1938,PacCod,0)),"Paciente não cadastrado"))</f>
        <v>0</v>
      </c>
      <c r="K1938" s="26">
        <f>IF($D1938="","",IFERROR(INDEX(PacConv,MATCH($D1938,PacCod,0))&amp;"",""))</f>
        <v>0</v>
      </c>
      <c r="L1938" s="26">
        <f>IF($A1938="","",CHOOSE(WEEKDAY($A1938,2),"Seg","Ter","Qua","Qui","Sex","Sáb","Dom"))</f>
        <v>0</v>
      </c>
      <c r="M1938" s="27">
        <f>IF($E1938="","",IF($G1938&lt;&gt;"",$G1938,IFERROR(INDEX(ProcValor,MATCH($E1938,ProcNome,0)),0)))</f>
        <v>0</v>
      </c>
      <c r="N1938" s="27">
        <f>IF($M1938="","",IF($F1938="Compareceu",$M1938,0))</f>
        <v>0</v>
      </c>
      <c r="O1938" s="27">
        <f>IF($M1938="","",IF($F1938="Faltou",$M1938,0))</f>
        <v>0</v>
      </c>
      <c r="P1938" s="27">
        <f>IF($M1938="","",IF($F1938="Compareceu",MAX(0,$M1938-N($H1938)),0))</f>
        <v>0</v>
      </c>
      <c r="Q1938" s="19">
        <f>IF(AND($F1938="Compareceu",$E1938&lt;&gt;"",$A1938&lt;&gt;""),IF(IFERROR(INDEX(ProcRet,MATCH($E1938,ProcNome,0)),0)&gt;0,$A1938+INDEX(ProcRet,MATCH($E1938,ProcNome,0)),""),"")</f>
        <v>0</v>
      </c>
      <c r="R1938" s="26">
        <f>IF($Q1938="","",IF(COUNTIFS(AgPac,$D1938,AgData,"&gt;"&amp;$A1938,AgStatus,"&lt;&gt;Cancelado",AgStatus,"&lt;&gt;Remarcado")&gt;0,"Sim","Não"))</f>
        <v>0</v>
      </c>
      <c r="S1938" s="28">
        <f>IF($A1938="","",IF(AND($F1938="Agendado",$A1938-Hoje&gt;=0,$A1938-Hoje&lt;=DiasConf),"CONFIRMAR",IF(AND($A1938&lt;Hoje,OR($F1938="Agendado",$F1938="Confirmado")),"Atualizar status",IF(AND($F1938="Compareceu",$P1938&gt;0.005),"Cobrar",IF($F1938="Faltou","Falta: reagendar","")))))</f>
        <v>0</v>
      </c>
      <c r="T1938" s="29">
        <f>IF($A1938="","",DATE(YEAR($A1938),MONTH($A1938),1))</f>
        <v>0</v>
      </c>
      <c r="U1938" s="30">
        <f>IF($S1938="CONFIRMAR",MAX($U$4:$U1937)+1,"")</f>
        <v>0</v>
      </c>
      <c r="V1938" s="30">
        <f>IF(AND($R1938="Não",$Q1938&lt;&gt;"",$Q1938&lt;=Hoje+JanelaRet,$Q1938&gt;=Hoje-60),MAX($V$4:$V1937)+1,"")</f>
        <v>0</v>
      </c>
    </row>
    <row r="1939" spans="1:22">
      <c r="A1939" s="16"/>
      <c r="B1939" s="23"/>
      <c r="C1939" s="15"/>
      <c r="D1939" s="15"/>
      <c r="E1939" s="15"/>
      <c r="F1939" s="24"/>
      <c r="G1939" s="17"/>
      <c r="H1939" s="17"/>
      <c r="I1939" s="15"/>
      <c r="J1939" s="25">
        <f>IF($D1939="","",IFERROR(INDEX(PacNome,MATCH($D1939,PacCod,0)),"Paciente não cadastrado"))</f>
        <v>0</v>
      </c>
      <c r="K1939" s="26">
        <f>IF($D1939="","",IFERROR(INDEX(PacConv,MATCH($D1939,PacCod,0))&amp;"",""))</f>
        <v>0</v>
      </c>
      <c r="L1939" s="26">
        <f>IF($A1939="","",CHOOSE(WEEKDAY($A1939,2),"Seg","Ter","Qua","Qui","Sex","Sáb","Dom"))</f>
        <v>0</v>
      </c>
      <c r="M1939" s="27">
        <f>IF($E1939="","",IF($G1939&lt;&gt;"",$G1939,IFERROR(INDEX(ProcValor,MATCH($E1939,ProcNome,0)),0)))</f>
        <v>0</v>
      </c>
      <c r="N1939" s="27">
        <f>IF($M1939="","",IF($F1939="Compareceu",$M1939,0))</f>
        <v>0</v>
      </c>
      <c r="O1939" s="27">
        <f>IF($M1939="","",IF($F1939="Faltou",$M1939,0))</f>
        <v>0</v>
      </c>
      <c r="P1939" s="27">
        <f>IF($M1939="","",IF($F1939="Compareceu",MAX(0,$M1939-N($H1939)),0))</f>
        <v>0</v>
      </c>
      <c r="Q1939" s="19">
        <f>IF(AND($F1939="Compareceu",$E1939&lt;&gt;"",$A1939&lt;&gt;""),IF(IFERROR(INDEX(ProcRet,MATCH($E1939,ProcNome,0)),0)&gt;0,$A1939+INDEX(ProcRet,MATCH($E1939,ProcNome,0)),""),"")</f>
        <v>0</v>
      </c>
      <c r="R1939" s="26">
        <f>IF($Q1939="","",IF(COUNTIFS(AgPac,$D1939,AgData,"&gt;"&amp;$A1939,AgStatus,"&lt;&gt;Cancelado",AgStatus,"&lt;&gt;Remarcado")&gt;0,"Sim","Não"))</f>
        <v>0</v>
      </c>
      <c r="S1939" s="28">
        <f>IF($A1939="","",IF(AND($F1939="Agendado",$A1939-Hoje&gt;=0,$A1939-Hoje&lt;=DiasConf),"CONFIRMAR",IF(AND($A1939&lt;Hoje,OR($F1939="Agendado",$F1939="Confirmado")),"Atualizar status",IF(AND($F1939="Compareceu",$P1939&gt;0.005),"Cobrar",IF($F1939="Faltou","Falta: reagendar","")))))</f>
        <v>0</v>
      </c>
      <c r="T1939" s="29">
        <f>IF($A1939="","",DATE(YEAR($A1939),MONTH($A1939),1))</f>
        <v>0</v>
      </c>
      <c r="U1939" s="30">
        <f>IF($S1939="CONFIRMAR",MAX($U$4:$U1938)+1,"")</f>
        <v>0</v>
      </c>
      <c r="V1939" s="30">
        <f>IF(AND($R1939="Não",$Q1939&lt;&gt;"",$Q1939&lt;=Hoje+JanelaRet,$Q1939&gt;=Hoje-60),MAX($V$4:$V1938)+1,"")</f>
        <v>0</v>
      </c>
    </row>
    <row r="1940" spans="1:22">
      <c r="A1940" s="16"/>
      <c r="B1940" s="23"/>
      <c r="C1940" s="15"/>
      <c r="D1940" s="15"/>
      <c r="E1940" s="15"/>
      <c r="F1940" s="24"/>
      <c r="G1940" s="17"/>
      <c r="H1940" s="17"/>
      <c r="I1940" s="15"/>
      <c r="J1940" s="25">
        <f>IF($D1940="","",IFERROR(INDEX(PacNome,MATCH($D1940,PacCod,0)),"Paciente não cadastrado"))</f>
        <v>0</v>
      </c>
      <c r="K1940" s="26">
        <f>IF($D1940="","",IFERROR(INDEX(PacConv,MATCH($D1940,PacCod,0))&amp;"",""))</f>
        <v>0</v>
      </c>
      <c r="L1940" s="26">
        <f>IF($A1940="","",CHOOSE(WEEKDAY($A1940,2),"Seg","Ter","Qua","Qui","Sex","Sáb","Dom"))</f>
        <v>0</v>
      </c>
      <c r="M1940" s="27">
        <f>IF($E1940="","",IF($G1940&lt;&gt;"",$G1940,IFERROR(INDEX(ProcValor,MATCH($E1940,ProcNome,0)),0)))</f>
        <v>0</v>
      </c>
      <c r="N1940" s="27">
        <f>IF($M1940="","",IF($F1940="Compareceu",$M1940,0))</f>
        <v>0</v>
      </c>
      <c r="O1940" s="27">
        <f>IF($M1940="","",IF($F1940="Faltou",$M1940,0))</f>
        <v>0</v>
      </c>
      <c r="P1940" s="27">
        <f>IF($M1940="","",IF($F1940="Compareceu",MAX(0,$M1940-N($H1940)),0))</f>
        <v>0</v>
      </c>
      <c r="Q1940" s="19">
        <f>IF(AND($F1940="Compareceu",$E1940&lt;&gt;"",$A1940&lt;&gt;""),IF(IFERROR(INDEX(ProcRet,MATCH($E1940,ProcNome,0)),0)&gt;0,$A1940+INDEX(ProcRet,MATCH($E1940,ProcNome,0)),""),"")</f>
        <v>0</v>
      </c>
      <c r="R1940" s="26">
        <f>IF($Q1940="","",IF(COUNTIFS(AgPac,$D1940,AgData,"&gt;"&amp;$A1940,AgStatus,"&lt;&gt;Cancelado",AgStatus,"&lt;&gt;Remarcado")&gt;0,"Sim","Não"))</f>
        <v>0</v>
      </c>
      <c r="S1940" s="28">
        <f>IF($A1940="","",IF(AND($F1940="Agendado",$A1940-Hoje&gt;=0,$A1940-Hoje&lt;=DiasConf),"CONFIRMAR",IF(AND($A1940&lt;Hoje,OR($F1940="Agendado",$F1940="Confirmado")),"Atualizar status",IF(AND($F1940="Compareceu",$P1940&gt;0.005),"Cobrar",IF($F1940="Faltou","Falta: reagendar","")))))</f>
        <v>0</v>
      </c>
      <c r="T1940" s="29">
        <f>IF($A1940="","",DATE(YEAR($A1940),MONTH($A1940),1))</f>
        <v>0</v>
      </c>
      <c r="U1940" s="30">
        <f>IF($S1940="CONFIRMAR",MAX($U$4:$U1939)+1,"")</f>
        <v>0</v>
      </c>
      <c r="V1940" s="30">
        <f>IF(AND($R1940="Não",$Q1940&lt;&gt;"",$Q1940&lt;=Hoje+JanelaRet,$Q1940&gt;=Hoje-60),MAX($V$4:$V1939)+1,"")</f>
        <v>0</v>
      </c>
    </row>
    <row r="1941" spans="1:22">
      <c r="A1941" s="16"/>
      <c r="B1941" s="23"/>
      <c r="C1941" s="15"/>
      <c r="D1941" s="15"/>
      <c r="E1941" s="15"/>
      <c r="F1941" s="24"/>
      <c r="G1941" s="17"/>
      <c r="H1941" s="17"/>
      <c r="I1941" s="15"/>
      <c r="J1941" s="25">
        <f>IF($D1941="","",IFERROR(INDEX(PacNome,MATCH($D1941,PacCod,0)),"Paciente não cadastrado"))</f>
        <v>0</v>
      </c>
      <c r="K1941" s="26">
        <f>IF($D1941="","",IFERROR(INDEX(PacConv,MATCH($D1941,PacCod,0))&amp;"",""))</f>
        <v>0</v>
      </c>
      <c r="L1941" s="26">
        <f>IF($A1941="","",CHOOSE(WEEKDAY($A1941,2),"Seg","Ter","Qua","Qui","Sex","Sáb","Dom"))</f>
        <v>0</v>
      </c>
      <c r="M1941" s="27">
        <f>IF($E1941="","",IF($G1941&lt;&gt;"",$G1941,IFERROR(INDEX(ProcValor,MATCH($E1941,ProcNome,0)),0)))</f>
        <v>0</v>
      </c>
      <c r="N1941" s="27">
        <f>IF($M1941="","",IF($F1941="Compareceu",$M1941,0))</f>
        <v>0</v>
      </c>
      <c r="O1941" s="27">
        <f>IF($M1941="","",IF($F1941="Faltou",$M1941,0))</f>
        <v>0</v>
      </c>
      <c r="P1941" s="27">
        <f>IF($M1941="","",IF($F1941="Compareceu",MAX(0,$M1941-N($H1941)),0))</f>
        <v>0</v>
      </c>
      <c r="Q1941" s="19">
        <f>IF(AND($F1941="Compareceu",$E1941&lt;&gt;"",$A1941&lt;&gt;""),IF(IFERROR(INDEX(ProcRet,MATCH($E1941,ProcNome,0)),0)&gt;0,$A1941+INDEX(ProcRet,MATCH($E1941,ProcNome,0)),""),"")</f>
        <v>0</v>
      </c>
      <c r="R1941" s="26">
        <f>IF($Q1941="","",IF(COUNTIFS(AgPac,$D1941,AgData,"&gt;"&amp;$A1941,AgStatus,"&lt;&gt;Cancelado",AgStatus,"&lt;&gt;Remarcado")&gt;0,"Sim","Não"))</f>
        <v>0</v>
      </c>
      <c r="S1941" s="28">
        <f>IF($A1941="","",IF(AND($F1941="Agendado",$A1941-Hoje&gt;=0,$A1941-Hoje&lt;=DiasConf),"CONFIRMAR",IF(AND($A1941&lt;Hoje,OR($F1941="Agendado",$F1941="Confirmado")),"Atualizar status",IF(AND($F1941="Compareceu",$P1941&gt;0.005),"Cobrar",IF($F1941="Faltou","Falta: reagendar","")))))</f>
        <v>0</v>
      </c>
      <c r="T1941" s="29">
        <f>IF($A1941="","",DATE(YEAR($A1941),MONTH($A1941),1))</f>
        <v>0</v>
      </c>
      <c r="U1941" s="30">
        <f>IF($S1941="CONFIRMAR",MAX($U$4:$U1940)+1,"")</f>
        <v>0</v>
      </c>
      <c r="V1941" s="30">
        <f>IF(AND($R1941="Não",$Q1941&lt;&gt;"",$Q1941&lt;=Hoje+JanelaRet,$Q1941&gt;=Hoje-60),MAX($V$4:$V1940)+1,"")</f>
        <v>0</v>
      </c>
    </row>
    <row r="1942" spans="1:22">
      <c r="A1942" s="16"/>
      <c r="B1942" s="23"/>
      <c r="C1942" s="15"/>
      <c r="D1942" s="15"/>
      <c r="E1942" s="15"/>
      <c r="F1942" s="24"/>
      <c r="G1942" s="17"/>
      <c r="H1942" s="17"/>
      <c r="I1942" s="15"/>
      <c r="J1942" s="25">
        <f>IF($D1942="","",IFERROR(INDEX(PacNome,MATCH($D1942,PacCod,0)),"Paciente não cadastrado"))</f>
        <v>0</v>
      </c>
      <c r="K1942" s="26">
        <f>IF($D1942="","",IFERROR(INDEX(PacConv,MATCH($D1942,PacCod,0))&amp;"",""))</f>
        <v>0</v>
      </c>
      <c r="L1942" s="26">
        <f>IF($A1942="","",CHOOSE(WEEKDAY($A1942,2),"Seg","Ter","Qua","Qui","Sex","Sáb","Dom"))</f>
        <v>0</v>
      </c>
      <c r="M1942" s="27">
        <f>IF($E1942="","",IF($G1942&lt;&gt;"",$G1942,IFERROR(INDEX(ProcValor,MATCH($E1942,ProcNome,0)),0)))</f>
        <v>0</v>
      </c>
      <c r="N1942" s="27">
        <f>IF($M1942="","",IF($F1942="Compareceu",$M1942,0))</f>
        <v>0</v>
      </c>
      <c r="O1942" s="27">
        <f>IF($M1942="","",IF($F1942="Faltou",$M1942,0))</f>
        <v>0</v>
      </c>
      <c r="P1942" s="27">
        <f>IF($M1942="","",IF($F1942="Compareceu",MAX(0,$M1942-N($H1942)),0))</f>
        <v>0</v>
      </c>
      <c r="Q1942" s="19">
        <f>IF(AND($F1942="Compareceu",$E1942&lt;&gt;"",$A1942&lt;&gt;""),IF(IFERROR(INDEX(ProcRet,MATCH($E1942,ProcNome,0)),0)&gt;0,$A1942+INDEX(ProcRet,MATCH($E1942,ProcNome,0)),""),"")</f>
        <v>0</v>
      </c>
      <c r="R1942" s="26">
        <f>IF($Q1942="","",IF(COUNTIFS(AgPac,$D1942,AgData,"&gt;"&amp;$A1942,AgStatus,"&lt;&gt;Cancelado",AgStatus,"&lt;&gt;Remarcado")&gt;0,"Sim","Não"))</f>
        <v>0</v>
      </c>
      <c r="S1942" s="28">
        <f>IF($A1942="","",IF(AND($F1942="Agendado",$A1942-Hoje&gt;=0,$A1942-Hoje&lt;=DiasConf),"CONFIRMAR",IF(AND($A1942&lt;Hoje,OR($F1942="Agendado",$F1942="Confirmado")),"Atualizar status",IF(AND($F1942="Compareceu",$P1942&gt;0.005),"Cobrar",IF($F1942="Faltou","Falta: reagendar","")))))</f>
        <v>0</v>
      </c>
      <c r="T1942" s="29">
        <f>IF($A1942="","",DATE(YEAR($A1942),MONTH($A1942),1))</f>
        <v>0</v>
      </c>
      <c r="U1942" s="30">
        <f>IF($S1942="CONFIRMAR",MAX($U$4:$U1941)+1,"")</f>
        <v>0</v>
      </c>
      <c r="V1942" s="30">
        <f>IF(AND($R1942="Não",$Q1942&lt;&gt;"",$Q1942&lt;=Hoje+JanelaRet,$Q1942&gt;=Hoje-60),MAX($V$4:$V1941)+1,"")</f>
        <v>0</v>
      </c>
    </row>
    <row r="1943" spans="1:22">
      <c r="A1943" s="16"/>
      <c r="B1943" s="23"/>
      <c r="C1943" s="15"/>
      <c r="D1943" s="15"/>
      <c r="E1943" s="15"/>
      <c r="F1943" s="24"/>
      <c r="G1943" s="17"/>
      <c r="H1943" s="17"/>
      <c r="I1943" s="15"/>
      <c r="J1943" s="25">
        <f>IF($D1943="","",IFERROR(INDEX(PacNome,MATCH($D1943,PacCod,0)),"Paciente não cadastrado"))</f>
        <v>0</v>
      </c>
      <c r="K1943" s="26">
        <f>IF($D1943="","",IFERROR(INDEX(PacConv,MATCH($D1943,PacCod,0))&amp;"",""))</f>
        <v>0</v>
      </c>
      <c r="L1943" s="26">
        <f>IF($A1943="","",CHOOSE(WEEKDAY($A1943,2),"Seg","Ter","Qua","Qui","Sex","Sáb","Dom"))</f>
        <v>0</v>
      </c>
      <c r="M1943" s="27">
        <f>IF($E1943="","",IF($G1943&lt;&gt;"",$G1943,IFERROR(INDEX(ProcValor,MATCH($E1943,ProcNome,0)),0)))</f>
        <v>0</v>
      </c>
      <c r="N1943" s="27">
        <f>IF($M1943="","",IF($F1943="Compareceu",$M1943,0))</f>
        <v>0</v>
      </c>
      <c r="O1943" s="27">
        <f>IF($M1943="","",IF($F1943="Faltou",$M1943,0))</f>
        <v>0</v>
      </c>
      <c r="P1943" s="27">
        <f>IF($M1943="","",IF($F1943="Compareceu",MAX(0,$M1943-N($H1943)),0))</f>
        <v>0</v>
      </c>
      <c r="Q1943" s="19">
        <f>IF(AND($F1943="Compareceu",$E1943&lt;&gt;"",$A1943&lt;&gt;""),IF(IFERROR(INDEX(ProcRet,MATCH($E1943,ProcNome,0)),0)&gt;0,$A1943+INDEX(ProcRet,MATCH($E1943,ProcNome,0)),""),"")</f>
        <v>0</v>
      </c>
      <c r="R1943" s="26">
        <f>IF($Q1943="","",IF(COUNTIFS(AgPac,$D1943,AgData,"&gt;"&amp;$A1943,AgStatus,"&lt;&gt;Cancelado",AgStatus,"&lt;&gt;Remarcado")&gt;0,"Sim","Não"))</f>
        <v>0</v>
      </c>
      <c r="S1943" s="28">
        <f>IF($A1943="","",IF(AND($F1943="Agendado",$A1943-Hoje&gt;=0,$A1943-Hoje&lt;=DiasConf),"CONFIRMAR",IF(AND($A1943&lt;Hoje,OR($F1943="Agendado",$F1943="Confirmado")),"Atualizar status",IF(AND($F1943="Compareceu",$P1943&gt;0.005),"Cobrar",IF($F1943="Faltou","Falta: reagendar","")))))</f>
        <v>0</v>
      </c>
      <c r="T1943" s="29">
        <f>IF($A1943="","",DATE(YEAR($A1943),MONTH($A1943),1))</f>
        <v>0</v>
      </c>
      <c r="U1943" s="30">
        <f>IF($S1943="CONFIRMAR",MAX($U$4:$U1942)+1,"")</f>
        <v>0</v>
      </c>
      <c r="V1943" s="30">
        <f>IF(AND($R1943="Não",$Q1943&lt;&gt;"",$Q1943&lt;=Hoje+JanelaRet,$Q1943&gt;=Hoje-60),MAX($V$4:$V1942)+1,"")</f>
        <v>0</v>
      </c>
    </row>
    <row r="1944" spans="1:22">
      <c r="A1944" s="16"/>
      <c r="B1944" s="23"/>
      <c r="C1944" s="15"/>
      <c r="D1944" s="15"/>
      <c r="E1944" s="15"/>
      <c r="F1944" s="24"/>
      <c r="G1944" s="17"/>
      <c r="H1944" s="17"/>
      <c r="I1944" s="15"/>
      <c r="J1944" s="25">
        <f>IF($D1944="","",IFERROR(INDEX(PacNome,MATCH($D1944,PacCod,0)),"Paciente não cadastrado"))</f>
        <v>0</v>
      </c>
      <c r="K1944" s="26">
        <f>IF($D1944="","",IFERROR(INDEX(PacConv,MATCH($D1944,PacCod,0))&amp;"",""))</f>
        <v>0</v>
      </c>
      <c r="L1944" s="26">
        <f>IF($A1944="","",CHOOSE(WEEKDAY($A1944,2),"Seg","Ter","Qua","Qui","Sex","Sáb","Dom"))</f>
        <v>0</v>
      </c>
      <c r="M1944" s="27">
        <f>IF($E1944="","",IF($G1944&lt;&gt;"",$G1944,IFERROR(INDEX(ProcValor,MATCH($E1944,ProcNome,0)),0)))</f>
        <v>0</v>
      </c>
      <c r="N1944" s="27">
        <f>IF($M1944="","",IF($F1944="Compareceu",$M1944,0))</f>
        <v>0</v>
      </c>
      <c r="O1944" s="27">
        <f>IF($M1944="","",IF($F1944="Faltou",$M1944,0))</f>
        <v>0</v>
      </c>
      <c r="P1944" s="27">
        <f>IF($M1944="","",IF($F1944="Compareceu",MAX(0,$M1944-N($H1944)),0))</f>
        <v>0</v>
      </c>
      <c r="Q1944" s="19">
        <f>IF(AND($F1944="Compareceu",$E1944&lt;&gt;"",$A1944&lt;&gt;""),IF(IFERROR(INDEX(ProcRet,MATCH($E1944,ProcNome,0)),0)&gt;0,$A1944+INDEX(ProcRet,MATCH($E1944,ProcNome,0)),""),"")</f>
        <v>0</v>
      </c>
      <c r="R1944" s="26">
        <f>IF($Q1944="","",IF(COUNTIFS(AgPac,$D1944,AgData,"&gt;"&amp;$A1944,AgStatus,"&lt;&gt;Cancelado",AgStatus,"&lt;&gt;Remarcado")&gt;0,"Sim","Não"))</f>
        <v>0</v>
      </c>
      <c r="S1944" s="28">
        <f>IF($A1944="","",IF(AND($F1944="Agendado",$A1944-Hoje&gt;=0,$A1944-Hoje&lt;=DiasConf),"CONFIRMAR",IF(AND($A1944&lt;Hoje,OR($F1944="Agendado",$F1944="Confirmado")),"Atualizar status",IF(AND($F1944="Compareceu",$P1944&gt;0.005),"Cobrar",IF($F1944="Faltou","Falta: reagendar","")))))</f>
        <v>0</v>
      </c>
      <c r="T1944" s="29">
        <f>IF($A1944="","",DATE(YEAR($A1944),MONTH($A1944),1))</f>
        <v>0</v>
      </c>
      <c r="U1944" s="30">
        <f>IF($S1944="CONFIRMAR",MAX($U$4:$U1943)+1,"")</f>
        <v>0</v>
      </c>
      <c r="V1944" s="30">
        <f>IF(AND($R1944="Não",$Q1944&lt;&gt;"",$Q1944&lt;=Hoje+JanelaRet,$Q1944&gt;=Hoje-60),MAX($V$4:$V1943)+1,"")</f>
        <v>0</v>
      </c>
    </row>
    <row r="1945" spans="1:22">
      <c r="A1945" s="16"/>
      <c r="B1945" s="23"/>
      <c r="C1945" s="15"/>
      <c r="D1945" s="15"/>
      <c r="E1945" s="15"/>
      <c r="F1945" s="24"/>
      <c r="G1945" s="17"/>
      <c r="H1945" s="17"/>
      <c r="I1945" s="15"/>
      <c r="J1945" s="25">
        <f>IF($D1945="","",IFERROR(INDEX(PacNome,MATCH($D1945,PacCod,0)),"Paciente não cadastrado"))</f>
        <v>0</v>
      </c>
      <c r="K1945" s="26">
        <f>IF($D1945="","",IFERROR(INDEX(PacConv,MATCH($D1945,PacCod,0))&amp;"",""))</f>
        <v>0</v>
      </c>
      <c r="L1945" s="26">
        <f>IF($A1945="","",CHOOSE(WEEKDAY($A1945,2),"Seg","Ter","Qua","Qui","Sex","Sáb","Dom"))</f>
        <v>0</v>
      </c>
      <c r="M1945" s="27">
        <f>IF($E1945="","",IF($G1945&lt;&gt;"",$G1945,IFERROR(INDEX(ProcValor,MATCH($E1945,ProcNome,0)),0)))</f>
        <v>0</v>
      </c>
      <c r="N1945" s="27">
        <f>IF($M1945="","",IF($F1945="Compareceu",$M1945,0))</f>
        <v>0</v>
      </c>
      <c r="O1945" s="27">
        <f>IF($M1945="","",IF($F1945="Faltou",$M1945,0))</f>
        <v>0</v>
      </c>
      <c r="P1945" s="27">
        <f>IF($M1945="","",IF($F1945="Compareceu",MAX(0,$M1945-N($H1945)),0))</f>
        <v>0</v>
      </c>
      <c r="Q1945" s="19">
        <f>IF(AND($F1945="Compareceu",$E1945&lt;&gt;"",$A1945&lt;&gt;""),IF(IFERROR(INDEX(ProcRet,MATCH($E1945,ProcNome,0)),0)&gt;0,$A1945+INDEX(ProcRet,MATCH($E1945,ProcNome,0)),""),"")</f>
        <v>0</v>
      </c>
      <c r="R1945" s="26">
        <f>IF($Q1945="","",IF(COUNTIFS(AgPac,$D1945,AgData,"&gt;"&amp;$A1945,AgStatus,"&lt;&gt;Cancelado",AgStatus,"&lt;&gt;Remarcado")&gt;0,"Sim","Não"))</f>
        <v>0</v>
      </c>
      <c r="S1945" s="28">
        <f>IF($A1945="","",IF(AND($F1945="Agendado",$A1945-Hoje&gt;=0,$A1945-Hoje&lt;=DiasConf),"CONFIRMAR",IF(AND($A1945&lt;Hoje,OR($F1945="Agendado",$F1945="Confirmado")),"Atualizar status",IF(AND($F1945="Compareceu",$P1945&gt;0.005),"Cobrar",IF($F1945="Faltou","Falta: reagendar","")))))</f>
        <v>0</v>
      </c>
      <c r="T1945" s="29">
        <f>IF($A1945="","",DATE(YEAR($A1945),MONTH($A1945),1))</f>
        <v>0</v>
      </c>
      <c r="U1945" s="30">
        <f>IF($S1945="CONFIRMAR",MAX($U$4:$U1944)+1,"")</f>
        <v>0</v>
      </c>
      <c r="V1945" s="30">
        <f>IF(AND($R1945="Não",$Q1945&lt;&gt;"",$Q1945&lt;=Hoje+JanelaRet,$Q1945&gt;=Hoje-60),MAX($V$4:$V1944)+1,"")</f>
        <v>0</v>
      </c>
    </row>
    <row r="1946" spans="1:22">
      <c r="A1946" s="16"/>
      <c r="B1946" s="23"/>
      <c r="C1946" s="15"/>
      <c r="D1946" s="15"/>
      <c r="E1946" s="15"/>
      <c r="F1946" s="24"/>
      <c r="G1946" s="17"/>
      <c r="H1946" s="17"/>
      <c r="I1946" s="15"/>
      <c r="J1946" s="25">
        <f>IF($D1946="","",IFERROR(INDEX(PacNome,MATCH($D1946,PacCod,0)),"Paciente não cadastrado"))</f>
        <v>0</v>
      </c>
      <c r="K1946" s="26">
        <f>IF($D1946="","",IFERROR(INDEX(PacConv,MATCH($D1946,PacCod,0))&amp;"",""))</f>
        <v>0</v>
      </c>
      <c r="L1946" s="26">
        <f>IF($A1946="","",CHOOSE(WEEKDAY($A1946,2),"Seg","Ter","Qua","Qui","Sex","Sáb","Dom"))</f>
        <v>0</v>
      </c>
      <c r="M1946" s="27">
        <f>IF($E1946="","",IF($G1946&lt;&gt;"",$G1946,IFERROR(INDEX(ProcValor,MATCH($E1946,ProcNome,0)),0)))</f>
        <v>0</v>
      </c>
      <c r="N1946" s="27">
        <f>IF($M1946="","",IF($F1946="Compareceu",$M1946,0))</f>
        <v>0</v>
      </c>
      <c r="O1946" s="27">
        <f>IF($M1946="","",IF($F1946="Faltou",$M1946,0))</f>
        <v>0</v>
      </c>
      <c r="P1946" s="27">
        <f>IF($M1946="","",IF($F1946="Compareceu",MAX(0,$M1946-N($H1946)),0))</f>
        <v>0</v>
      </c>
      <c r="Q1946" s="19">
        <f>IF(AND($F1946="Compareceu",$E1946&lt;&gt;"",$A1946&lt;&gt;""),IF(IFERROR(INDEX(ProcRet,MATCH($E1946,ProcNome,0)),0)&gt;0,$A1946+INDEX(ProcRet,MATCH($E1946,ProcNome,0)),""),"")</f>
        <v>0</v>
      </c>
      <c r="R1946" s="26">
        <f>IF($Q1946="","",IF(COUNTIFS(AgPac,$D1946,AgData,"&gt;"&amp;$A1946,AgStatus,"&lt;&gt;Cancelado",AgStatus,"&lt;&gt;Remarcado")&gt;0,"Sim","Não"))</f>
        <v>0</v>
      </c>
      <c r="S1946" s="28">
        <f>IF($A1946="","",IF(AND($F1946="Agendado",$A1946-Hoje&gt;=0,$A1946-Hoje&lt;=DiasConf),"CONFIRMAR",IF(AND($A1946&lt;Hoje,OR($F1946="Agendado",$F1946="Confirmado")),"Atualizar status",IF(AND($F1946="Compareceu",$P1946&gt;0.005),"Cobrar",IF($F1946="Faltou","Falta: reagendar","")))))</f>
        <v>0</v>
      </c>
      <c r="T1946" s="29">
        <f>IF($A1946="","",DATE(YEAR($A1946),MONTH($A1946),1))</f>
        <v>0</v>
      </c>
      <c r="U1946" s="30">
        <f>IF($S1946="CONFIRMAR",MAX($U$4:$U1945)+1,"")</f>
        <v>0</v>
      </c>
      <c r="V1946" s="30">
        <f>IF(AND($R1946="Não",$Q1946&lt;&gt;"",$Q1946&lt;=Hoje+JanelaRet,$Q1946&gt;=Hoje-60),MAX($V$4:$V1945)+1,"")</f>
        <v>0</v>
      </c>
    </row>
    <row r="1947" spans="1:22">
      <c r="A1947" s="16"/>
      <c r="B1947" s="23"/>
      <c r="C1947" s="15"/>
      <c r="D1947" s="15"/>
      <c r="E1947" s="15"/>
      <c r="F1947" s="24"/>
      <c r="G1947" s="17"/>
      <c r="H1947" s="17"/>
      <c r="I1947" s="15"/>
      <c r="J1947" s="25">
        <f>IF($D1947="","",IFERROR(INDEX(PacNome,MATCH($D1947,PacCod,0)),"Paciente não cadastrado"))</f>
        <v>0</v>
      </c>
      <c r="K1947" s="26">
        <f>IF($D1947="","",IFERROR(INDEX(PacConv,MATCH($D1947,PacCod,0))&amp;"",""))</f>
        <v>0</v>
      </c>
      <c r="L1947" s="26">
        <f>IF($A1947="","",CHOOSE(WEEKDAY($A1947,2),"Seg","Ter","Qua","Qui","Sex","Sáb","Dom"))</f>
        <v>0</v>
      </c>
      <c r="M1947" s="27">
        <f>IF($E1947="","",IF($G1947&lt;&gt;"",$G1947,IFERROR(INDEX(ProcValor,MATCH($E1947,ProcNome,0)),0)))</f>
        <v>0</v>
      </c>
      <c r="N1947" s="27">
        <f>IF($M1947="","",IF($F1947="Compareceu",$M1947,0))</f>
        <v>0</v>
      </c>
      <c r="O1947" s="27">
        <f>IF($M1947="","",IF($F1947="Faltou",$M1947,0))</f>
        <v>0</v>
      </c>
      <c r="P1947" s="27">
        <f>IF($M1947="","",IF($F1947="Compareceu",MAX(0,$M1947-N($H1947)),0))</f>
        <v>0</v>
      </c>
      <c r="Q1947" s="19">
        <f>IF(AND($F1947="Compareceu",$E1947&lt;&gt;"",$A1947&lt;&gt;""),IF(IFERROR(INDEX(ProcRet,MATCH($E1947,ProcNome,0)),0)&gt;0,$A1947+INDEX(ProcRet,MATCH($E1947,ProcNome,0)),""),"")</f>
        <v>0</v>
      </c>
      <c r="R1947" s="26">
        <f>IF($Q1947="","",IF(COUNTIFS(AgPac,$D1947,AgData,"&gt;"&amp;$A1947,AgStatus,"&lt;&gt;Cancelado",AgStatus,"&lt;&gt;Remarcado")&gt;0,"Sim","Não"))</f>
        <v>0</v>
      </c>
      <c r="S1947" s="28">
        <f>IF($A1947="","",IF(AND($F1947="Agendado",$A1947-Hoje&gt;=0,$A1947-Hoje&lt;=DiasConf),"CONFIRMAR",IF(AND($A1947&lt;Hoje,OR($F1947="Agendado",$F1947="Confirmado")),"Atualizar status",IF(AND($F1947="Compareceu",$P1947&gt;0.005),"Cobrar",IF($F1947="Faltou","Falta: reagendar","")))))</f>
        <v>0</v>
      </c>
      <c r="T1947" s="29">
        <f>IF($A1947="","",DATE(YEAR($A1947),MONTH($A1947),1))</f>
        <v>0</v>
      </c>
      <c r="U1947" s="30">
        <f>IF($S1947="CONFIRMAR",MAX($U$4:$U1946)+1,"")</f>
        <v>0</v>
      </c>
      <c r="V1947" s="30">
        <f>IF(AND($R1947="Não",$Q1947&lt;&gt;"",$Q1947&lt;=Hoje+JanelaRet,$Q1947&gt;=Hoje-60),MAX($V$4:$V1946)+1,"")</f>
        <v>0</v>
      </c>
    </row>
    <row r="1948" spans="1:22">
      <c r="A1948" s="16"/>
      <c r="B1948" s="23"/>
      <c r="C1948" s="15"/>
      <c r="D1948" s="15"/>
      <c r="E1948" s="15"/>
      <c r="F1948" s="24"/>
      <c r="G1948" s="17"/>
      <c r="H1948" s="17"/>
      <c r="I1948" s="15"/>
      <c r="J1948" s="25">
        <f>IF($D1948="","",IFERROR(INDEX(PacNome,MATCH($D1948,PacCod,0)),"Paciente não cadastrado"))</f>
        <v>0</v>
      </c>
      <c r="K1948" s="26">
        <f>IF($D1948="","",IFERROR(INDEX(PacConv,MATCH($D1948,PacCod,0))&amp;"",""))</f>
        <v>0</v>
      </c>
      <c r="L1948" s="26">
        <f>IF($A1948="","",CHOOSE(WEEKDAY($A1948,2),"Seg","Ter","Qua","Qui","Sex","Sáb","Dom"))</f>
        <v>0</v>
      </c>
      <c r="M1948" s="27">
        <f>IF($E1948="","",IF($G1948&lt;&gt;"",$G1948,IFERROR(INDEX(ProcValor,MATCH($E1948,ProcNome,0)),0)))</f>
        <v>0</v>
      </c>
      <c r="N1948" s="27">
        <f>IF($M1948="","",IF($F1948="Compareceu",$M1948,0))</f>
        <v>0</v>
      </c>
      <c r="O1948" s="27">
        <f>IF($M1948="","",IF($F1948="Faltou",$M1948,0))</f>
        <v>0</v>
      </c>
      <c r="P1948" s="27">
        <f>IF($M1948="","",IF($F1948="Compareceu",MAX(0,$M1948-N($H1948)),0))</f>
        <v>0</v>
      </c>
      <c r="Q1948" s="19">
        <f>IF(AND($F1948="Compareceu",$E1948&lt;&gt;"",$A1948&lt;&gt;""),IF(IFERROR(INDEX(ProcRet,MATCH($E1948,ProcNome,0)),0)&gt;0,$A1948+INDEX(ProcRet,MATCH($E1948,ProcNome,0)),""),"")</f>
        <v>0</v>
      </c>
      <c r="R1948" s="26">
        <f>IF($Q1948="","",IF(COUNTIFS(AgPac,$D1948,AgData,"&gt;"&amp;$A1948,AgStatus,"&lt;&gt;Cancelado",AgStatus,"&lt;&gt;Remarcado")&gt;0,"Sim","Não"))</f>
        <v>0</v>
      </c>
      <c r="S1948" s="28">
        <f>IF($A1948="","",IF(AND($F1948="Agendado",$A1948-Hoje&gt;=0,$A1948-Hoje&lt;=DiasConf),"CONFIRMAR",IF(AND($A1948&lt;Hoje,OR($F1948="Agendado",$F1948="Confirmado")),"Atualizar status",IF(AND($F1948="Compareceu",$P1948&gt;0.005),"Cobrar",IF($F1948="Faltou","Falta: reagendar","")))))</f>
        <v>0</v>
      </c>
      <c r="T1948" s="29">
        <f>IF($A1948="","",DATE(YEAR($A1948),MONTH($A1948),1))</f>
        <v>0</v>
      </c>
      <c r="U1948" s="30">
        <f>IF($S1948="CONFIRMAR",MAX($U$4:$U1947)+1,"")</f>
        <v>0</v>
      </c>
      <c r="V1948" s="30">
        <f>IF(AND($R1948="Não",$Q1948&lt;&gt;"",$Q1948&lt;=Hoje+JanelaRet,$Q1948&gt;=Hoje-60),MAX($V$4:$V1947)+1,"")</f>
        <v>0</v>
      </c>
    </row>
    <row r="1949" spans="1:22">
      <c r="A1949" s="16"/>
      <c r="B1949" s="23"/>
      <c r="C1949" s="15"/>
      <c r="D1949" s="15"/>
      <c r="E1949" s="15"/>
      <c r="F1949" s="24"/>
      <c r="G1949" s="17"/>
      <c r="H1949" s="17"/>
      <c r="I1949" s="15"/>
      <c r="J1949" s="25">
        <f>IF($D1949="","",IFERROR(INDEX(PacNome,MATCH($D1949,PacCod,0)),"Paciente não cadastrado"))</f>
        <v>0</v>
      </c>
      <c r="K1949" s="26">
        <f>IF($D1949="","",IFERROR(INDEX(PacConv,MATCH($D1949,PacCod,0))&amp;"",""))</f>
        <v>0</v>
      </c>
      <c r="L1949" s="26">
        <f>IF($A1949="","",CHOOSE(WEEKDAY($A1949,2),"Seg","Ter","Qua","Qui","Sex","Sáb","Dom"))</f>
        <v>0</v>
      </c>
      <c r="M1949" s="27">
        <f>IF($E1949="","",IF($G1949&lt;&gt;"",$G1949,IFERROR(INDEX(ProcValor,MATCH($E1949,ProcNome,0)),0)))</f>
        <v>0</v>
      </c>
      <c r="N1949" s="27">
        <f>IF($M1949="","",IF($F1949="Compareceu",$M1949,0))</f>
        <v>0</v>
      </c>
      <c r="O1949" s="27">
        <f>IF($M1949="","",IF($F1949="Faltou",$M1949,0))</f>
        <v>0</v>
      </c>
      <c r="P1949" s="27">
        <f>IF($M1949="","",IF($F1949="Compareceu",MAX(0,$M1949-N($H1949)),0))</f>
        <v>0</v>
      </c>
      <c r="Q1949" s="19">
        <f>IF(AND($F1949="Compareceu",$E1949&lt;&gt;"",$A1949&lt;&gt;""),IF(IFERROR(INDEX(ProcRet,MATCH($E1949,ProcNome,0)),0)&gt;0,$A1949+INDEX(ProcRet,MATCH($E1949,ProcNome,0)),""),"")</f>
        <v>0</v>
      </c>
      <c r="R1949" s="26">
        <f>IF($Q1949="","",IF(COUNTIFS(AgPac,$D1949,AgData,"&gt;"&amp;$A1949,AgStatus,"&lt;&gt;Cancelado",AgStatus,"&lt;&gt;Remarcado")&gt;0,"Sim","Não"))</f>
        <v>0</v>
      </c>
      <c r="S1949" s="28">
        <f>IF($A1949="","",IF(AND($F1949="Agendado",$A1949-Hoje&gt;=0,$A1949-Hoje&lt;=DiasConf),"CONFIRMAR",IF(AND($A1949&lt;Hoje,OR($F1949="Agendado",$F1949="Confirmado")),"Atualizar status",IF(AND($F1949="Compareceu",$P1949&gt;0.005),"Cobrar",IF($F1949="Faltou","Falta: reagendar","")))))</f>
        <v>0</v>
      </c>
      <c r="T1949" s="29">
        <f>IF($A1949="","",DATE(YEAR($A1949),MONTH($A1949),1))</f>
        <v>0</v>
      </c>
      <c r="U1949" s="30">
        <f>IF($S1949="CONFIRMAR",MAX($U$4:$U1948)+1,"")</f>
        <v>0</v>
      </c>
      <c r="V1949" s="30">
        <f>IF(AND($R1949="Não",$Q1949&lt;&gt;"",$Q1949&lt;=Hoje+JanelaRet,$Q1949&gt;=Hoje-60),MAX($V$4:$V1948)+1,"")</f>
        <v>0</v>
      </c>
    </row>
    <row r="1950" spans="1:22">
      <c r="A1950" s="16"/>
      <c r="B1950" s="23"/>
      <c r="C1950" s="15"/>
      <c r="D1950" s="15"/>
      <c r="E1950" s="15"/>
      <c r="F1950" s="24"/>
      <c r="G1950" s="17"/>
      <c r="H1950" s="17"/>
      <c r="I1950" s="15"/>
      <c r="J1950" s="25">
        <f>IF($D1950="","",IFERROR(INDEX(PacNome,MATCH($D1950,PacCod,0)),"Paciente não cadastrado"))</f>
        <v>0</v>
      </c>
      <c r="K1950" s="26">
        <f>IF($D1950="","",IFERROR(INDEX(PacConv,MATCH($D1950,PacCod,0))&amp;"",""))</f>
        <v>0</v>
      </c>
      <c r="L1950" s="26">
        <f>IF($A1950="","",CHOOSE(WEEKDAY($A1950,2),"Seg","Ter","Qua","Qui","Sex","Sáb","Dom"))</f>
        <v>0</v>
      </c>
      <c r="M1950" s="27">
        <f>IF($E1950="","",IF($G1950&lt;&gt;"",$G1950,IFERROR(INDEX(ProcValor,MATCH($E1950,ProcNome,0)),0)))</f>
        <v>0</v>
      </c>
      <c r="N1950" s="27">
        <f>IF($M1950="","",IF($F1950="Compareceu",$M1950,0))</f>
        <v>0</v>
      </c>
      <c r="O1950" s="27">
        <f>IF($M1950="","",IF($F1950="Faltou",$M1950,0))</f>
        <v>0</v>
      </c>
      <c r="P1950" s="27">
        <f>IF($M1950="","",IF($F1950="Compareceu",MAX(0,$M1950-N($H1950)),0))</f>
        <v>0</v>
      </c>
      <c r="Q1950" s="19">
        <f>IF(AND($F1950="Compareceu",$E1950&lt;&gt;"",$A1950&lt;&gt;""),IF(IFERROR(INDEX(ProcRet,MATCH($E1950,ProcNome,0)),0)&gt;0,$A1950+INDEX(ProcRet,MATCH($E1950,ProcNome,0)),""),"")</f>
        <v>0</v>
      </c>
      <c r="R1950" s="26">
        <f>IF($Q1950="","",IF(COUNTIFS(AgPac,$D1950,AgData,"&gt;"&amp;$A1950,AgStatus,"&lt;&gt;Cancelado",AgStatus,"&lt;&gt;Remarcado")&gt;0,"Sim","Não"))</f>
        <v>0</v>
      </c>
      <c r="S1950" s="28">
        <f>IF($A1950="","",IF(AND($F1950="Agendado",$A1950-Hoje&gt;=0,$A1950-Hoje&lt;=DiasConf),"CONFIRMAR",IF(AND($A1950&lt;Hoje,OR($F1950="Agendado",$F1950="Confirmado")),"Atualizar status",IF(AND($F1950="Compareceu",$P1950&gt;0.005),"Cobrar",IF($F1950="Faltou","Falta: reagendar","")))))</f>
        <v>0</v>
      </c>
      <c r="T1950" s="29">
        <f>IF($A1950="","",DATE(YEAR($A1950),MONTH($A1950),1))</f>
        <v>0</v>
      </c>
      <c r="U1950" s="30">
        <f>IF($S1950="CONFIRMAR",MAX($U$4:$U1949)+1,"")</f>
        <v>0</v>
      </c>
      <c r="V1950" s="30">
        <f>IF(AND($R1950="Não",$Q1950&lt;&gt;"",$Q1950&lt;=Hoje+JanelaRet,$Q1950&gt;=Hoje-60),MAX($V$4:$V1949)+1,"")</f>
        <v>0</v>
      </c>
    </row>
    <row r="1951" spans="1:22">
      <c r="A1951" s="16"/>
      <c r="B1951" s="23"/>
      <c r="C1951" s="15"/>
      <c r="D1951" s="15"/>
      <c r="E1951" s="15"/>
      <c r="F1951" s="24"/>
      <c r="G1951" s="17"/>
      <c r="H1951" s="17"/>
      <c r="I1951" s="15"/>
      <c r="J1951" s="25">
        <f>IF($D1951="","",IFERROR(INDEX(PacNome,MATCH($D1951,PacCod,0)),"Paciente não cadastrado"))</f>
        <v>0</v>
      </c>
      <c r="K1951" s="26">
        <f>IF($D1951="","",IFERROR(INDEX(PacConv,MATCH($D1951,PacCod,0))&amp;"",""))</f>
        <v>0</v>
      </c>
      <c r="L1951" s="26">
        <f>IF($A1951="","",CHOOSE(WEEKDAY($A1951,2),"Seg","Ter","Qua","Qui","Sex","Sáb","Dom"))</f>
        <v>0</v>
      </c>
      <c r="M1951" s="27">
        <f>IF($E1951="","",IF($G1951&lt;&gt;"",$G1951,IFERROR(INDEX(ProcValor,MATCH($E1951,ProcNome,0)),0)))</f>
        <v>0</v>
      </c>
      <c r="N1951" s="27">
        <f>IF($M1951="","",IF($F1951="Compareceu",$M1951,0))</f>
        <v>0</v>
      </c>
      <c r="O1951" s="27">
        <f>IF($M1951="","",IF($F1951="Faltou",$M1951,0))</f>
        <v>0</v>
      </c>
      <c r="P1951" s="27">
        <f>IF($M1951="","",IF($F1951="Compareceu",MAX(0,$M1951-N($H1951)),0))</f>
        <v>0</v>
      </c>
      <c r="Q1951" s="19">
        <f>IF(AND($F1951="Compareceu",$E1951&lt;&gt;"",$A1951&lt;&gt;""),IF(IFERROR(INDEX(ProcRet,MATCH($E1951,ProcNome,0)),0)&gt;0,$A1951+INDEX(ProcRet,MATCH($E1951,ProcNome,0)),""),"")</f>
        <v>0</v>
      </c>
      <c r="R1951" s="26">
        <f>IF($Q1951="","",IF(COUNTIFS(AgPac,$D1951,AgData,"&gt;"&amp;$A1951,AgStatus,"&lt;&gt;Cancelado",AgStatus,"&lt;&gt;Remarcado")&gt;0,"Sim","Não"))</f>
        <v>0</v>
      </c>
      <c r="S1951" s="28">
        <f>IF($A1951="","",IF(AND($F1951="Agendado",$A1951-Hoje&gt;=0,$A1951-Hoje&lt;=DiasConf),"CONFIRMAR",IF(AND($A1951&lt;Hoje,OR($F1951="Agendado",$F1951="Confirmado")),"Atualizar status",IF(AND($F1951="Compareceu",$P1951&gt;0.005),"Cobrar",IF($F1951="Faltou","Falta: reagendar","")))))</f>
        <v>0</v>
      </c>
      <c r="T1951" s="29">
        <f>IF($A1951="","",DATE(YEAR($A1951),MONTH($A1951),1))</f>
        <v>0</v>
      </c>
      <c r="U1951" s="30">
        <f>IF($S1951="CONFIRMAR",MAX($U$4:$U1950)+1,"")</f>
        <v>0</v>
      </c>
      <c r="V1951" s="30">
        <f>IF(AND($R1951="Não",$Q1951&lt;&gt;"",$Q1951&lt;=Hoje+JanelaRet,$Q1951&gt;=Hoje-60),MAX($V$4:$V1950)+1,"")</f>
        <v>0</v>
      </c>
    </row>
    <row r="1952" spans="1:22">
      <c r="A1952" s="16"/>
      <c r="B1952" s="23"/>
      <c r="C1952" s="15"/>
      <c r="D1952" s="15"/>
      <c r="E1952" s="15"/>
      <c r="F1952" s="24"/>
      <c r="G1952" s="17"/>
      <c r="H1952" s="17"/>
      <c r="I1952" s="15"/>
      <c r="J1952" s="25">
        <f>IF($D1952="","",IFERROR(INDEX(PacNome,MATCH($D1952,PacCod,0)),"Paciente não cadastrado"))</f>
        <v>0</v>
      </c>
      <c r="K1952" s="26">
        <f>IF($D1952="","",IFERROR(INDEX(PacConv,MATCH($D1952,PacCod,0))&amp;"",""))</f>
        <v>0</v>
      </c>
      <c r="L1952" s="26">
        <f>IF($A1952="","",CHOOSE(WEEKDAY($A1952,2),"Seg","Ter","Qua","Qui","Sex","Sáb","Dom"))</f>
        <v>0</v>
      </c>
      <c r="M1952" s="27">
        <f>IF($E1952="","",IF($G1952&lt;&gt;"",$G1952,IFERROR(INDEX(ProcValor,MATCH($E1952,ProcNome,0)),0)))</f>
        <v>0</v>
      </c>
      <c r="N1952" s="27">
        <f>IF($M1952="","",IF($F1952="Compareceu",$M1952,0))</f>
        <v>0</v>
      </c>
      <c r="O1952" s="27">
        <f>IF($M1952="","",IF($F1952="Faltou",$M1952,0))</f>
        <v>0</v>
      </c>
      <c r="P1952" s="27">
        <f>IF($M1952="","",IF($F1952="Compareceu",MAX(0,$M1952-N($H1952)),0))</f>
        <v>0</v>
      </c>
      <c r="Q1952" s="19">
        <f>IF(AND($F1952="Compareceu",$E1952&lt;&gt;"",$A1952&lt;&gt;""),IF(IFERROR(INDEX(ProcRet,MATCH($E1952,ProcNome,0)),0)&gt;0,$A1952+INDEX(ProcRet,MATCH($E1952,ProcNome,0)),""),"")</f>
        <v>0</v>
      </c>
      <c r="R1952" s="26">
        <f>IF($Q1952="","",IF(COUNTIFS(AgPac,$D1952,AgData,"&gt;"&amp;$A1952,AgStatus,"&lt;&gt;Cancelado",AgStatus,"&lt;&gt;Remarcado")&gt;0,"Sim","Não"))</f>
        <v>0</v>
      </c>
      <c r="S1952" s="28">
        <f>IF($A1952="","",IF(AND($F1952="Agendado",$A1952-Hoje&gt;=0,$A1952-Hoje&lt;=DiasConf),"CONFIRMAR",IF(AND($A1952&lt;Hoje,OR($F1952="Agendado",$F1952="Confirmado")),"Atualizar status",IF(AND($F1952="Compareceu",$P1952&gt;0.005),"Cobrar",IF($F1952="Faltou","Falta: reagendar","")))))</f>
        <v>0</v>
      </c>
      <c r="T1952" s="29">
        <f>IF($A1952="","",DATE(YEAR($A1952),MONTH($A1952),1))</f>
        <v>0</v>
      </c>
      <c r="U1952" s="30">
        <f>IF($S1952="CONFIRMAR",MAX($U$4:$U1951)+1,"")</f>
        <v>0</v>
      </c>
      <c r="V1952" s="30">
        <f>IF(AND($R1952="Não",$Q1952&lt;&gt;"",$Q1952&lt;=Hoje+JanelaRet,$Q1952&gt;=Hoje-60),MAX($V$4:$V1951)+1,"")</f>
        <v>0</v>
      </c>
    </row>
    <row r="1953" spans="1:22">
      <c r="A1953" s="16"/>
      <c r="B1953" s="23"/>
      <c r="C1953" s="15"/>
      <c r="D1953" s="15"/>
      <c r="E1953" s="15"/>
      <c r="F1953" s="24"/>
      <c r="G1953" s="17"/>
      <c r="H1953" s="17"/>
      <c r="I1953" s="15"/>
      <c r="J1953" s="25">
        <f>IF($D1953="","",IFERROR(INDEX(PacNome,MATCH($D1953,PacCod,0)),"Paciente não cadastrado"))</f>
        <v>0</v>
      </c>
      <c r="K1953" s="26">
        <f>IF($D1953="","",IFERROR(INDEX(PacConv,MATCH($D1953,PacCod,0))&amp;"",""))</f>
        <v>0</v>
      </c>
      <c r="L1953" s="26">
        <f>IF($A1953="","",CHOOSE(WEEKDAY($A1953,2),"Seg","Ter","Qua","Qui","Sex","Sáb","Dom"))</f>
        <v>0</v>
      </c>
      <c r="M1953" s="27">
        <f>IF($E1953="","",IF($G1953&lt;&gt;"",$G1953,IFERROR(INDEX(ProcValor,MATCH($E1953,ProcNome,0)),0)))</f>
        <v>0</v>
      </c>
      <c r="N1953" s="27">
        <f>IF($M1953="","",IF($F1953="Compareceu",$M1953,0))</f>
        <v>0</v>
      </c>
      <c r="O1953" s="27">
        <f>IF($M1953="","",IF($F1953="Faltou",$M1953,0))</f>
        <v>0</v>
      </c>
      <c r="P1953" s="27">
        <f>IF($M1953="","",IF($F1953="Compareceu",MAX(0,$M1953-N($H1953)),0))</f>
        <v>0</v>
      </c>
      <c r="Q1953" s="19">
        <f>IF(AND($F1953="Compareceu",$E1953&lt;&gt;"",$A1953&lt;&gt;""),IF(IFERROR(INDEX(ProcRet,MATCH($E1953,ProcNome,0)),0)&gt;0,$A1953+INDEX(ProcRet,MATCH($E1953,ProcNome,0)),""),"")</f>
        <v>0</v>
      </c>
      <c r="R1953" s="26">
        <f>IF($Q1953="","",IF(COUNTIFS(AgPac,$D1953,AgData,"&gt;"&amp;$A1953,AgStatus,"&lt;&gt;Cancelado",AgStatus,"&lt;&gt;Remarcado")&gt;0,"Sim","Não"))</f>
        <v>0</v>
      </c>
      <c r="S1953" s="28">
        <f>IF($A1953="","",IF(AND($F1953="Agendado",$A1953-Hoje&gt;=0,$A1953-Hoje&lt;=DiasConf),"CONFIRMAR",IF(AND($A1953&lt;Hoje,OR($F1953="Agendado",$F1953="Confirmado")),"Atualizar status",IF(AND($F1953="Compareceu",$P1953&gt;0.005),"Cobrar",IF($F1953="Faltou","Falta: reagendar","")))))</f>
        <v>0</v>
      </c>
      <c r="T1953" s="29">
        <f>IF($A1953="","",DATE(YEAR($A1953),MONTH($A1953),1))</f>
        <v>0</v>
      </c>
      <c r="U1953" s="30">
        <f>IF($S1953="CONFIRMAR",MAX($U$4:$U1952)+1,"")</f>
        <v>0</v>
      </c>
      <c r="V1953" s="30">
        <f>IF(AND($R1953="Não",$Q1953&lt;&gt;"",$Q1953&lt;=Hoje+JanelaRet,$Q1953&gt;=Hoje-60),MAX($V$4:$V1952)+1,"")</f>
        <v>0</v>
      </c>
    </row>
    <row r="1954" spans="1:22">
      <c r="A1954" s="16"/>
      <c r="B1954" s="23"/>
      <c r="C1954" s="15"/>
      <c r="D1954" s="15"/>
      <c r="E1954" s="15"/>
      <c r="F1954" s="24"/>
      <c r="G1954" s="17"/>
      <c r="H1954" s="17"/>
      <c r="I1954" s="15"/>
      <c r="J1954" s="25">
        <f>IF($D1954="","",IFERROR(INDEX(PacNome,MATCH($D1954,PacCod,0)),"Paciente não cadastrado"))</f>
        <v>0</v>
      </c>
      <c r="K1954" s="26">
        <f>IF($D1954="","",IFERROR(INDEX(PacConv,MATCH($D1954,PacCod,0))&amp;"",""))</f>
        <v>0</v>
      </c>
      <c r="L1954" s="26">
        <f>IF($A1954="","",CHOOSE(WEEKDAY($A1954,2),"Seg","Ter","Qua","Qui","Sex","Sáb","Dom"))</f>
        <v>0</v>
      </c>
      <c r="M1954" s="27">
        <f>IF($E1954="","",IF($G1954&lt;&gt;"",$G1954,IFERROR(INDEX(ProcValor,MATCH($E1954,ProcNome,0)),0)))</f>
        <v>0</v>
      </c>
      <c r="N1954" s="27">
        <f>IF($M1954="","",IF($F1954="Compareceu",$M1954,0))</f>
        <v>0</v>
      </c>
      <c r="O1954" s="27">
        <f>IF($M1954="","",IF($F1954="Faltou",$M1954,0))</f>
        <v>0</v>
      </c>
      <c r="P1954" s="27">
        <f>IF($M1954="","",IF($F1954="Compareceu",MAX(0,$M1954-N($H1954)),0))</f>
        <v>0</v>
      </c>
      <c r="Q1954" s="19">
        <f>IF(AND($F1954="Compareceu",$E1954&lt;&gt;"",$A1954&lt;&gt;""),IF(IFERROR(INDEX(ProcRet,MATCH($E1954,ProcNome,0)),0)&gt;0,$A1954+INDEX(ProcRet,MATCH($E1954,ProcNome,0)),""),"")</f>
        <v>0</v>
      </c>
      <c r="R1954" s="26">
        <f>IF($Q1954="","",IF(COUNTIFS(AgPac,$D1954,AgData,"&gt;"&amp;$A1954,AgStatus,"&lt;&gt;Cancelado",AgStatus,"&lt;&gt;Remarcado")&gt;0,"Sim","Não"))</f>
        <v>0</v>
      </c>
      <c r="S1954" s="28">
        <f>IF($A1954="","",IF(AND($F1954="Agendado",$A1954-Hoje&gt;=0,$A1954-Hoje&lt;=DiasConf),"CONFIRMAR",IF(AND($A1954&lt;Hoje,OR($F1954="Agendado",$F1954="Confirmado")),"Atualizar status",IF(AND($F1954="Compareceu",$P1954&gt;0.005),"Cobrar",IF($F1954="Faltou","Falta: reagendar","")))))</f>
        <v>0</v>
      </c>
      <c r="T1954" s="29">
        <f>IF($A1954="","",DATE(YEAR($A1954),MONTH($A1954),1))</f>
        <v>0</v>
      </c>
      <c r="U1954" s="30">
        <f>IF($S1954="CONFIRMAR",MAX($U$4:$U1953)+1,"")</f>
        <v>0</v>
      </c>
      <c r="V1954" s="30">
        <f>IF(AND($R1954="Não",$Q1954&lt;&gt;"",$Q1954&lt;=Hoje+JanelaRet,$Q1954&gt;=Hoje-60),MAX($V$4:$V1953)+1,"")</f>
        <v>0</v>
      </c>
    </row>
    <row r="1955" spans="1:22">
      <c r="A1955" s="16"/>
      <c r="B1955" s="23"/>
      <c r="C1955" s="15"/>
      <c r="D1955" s="15"/>
      <c r="E1955" s="15"/>
      <c r="F1955" s="24"/>
      <c r="G1955" s="17"/>
      <c r="H1955" s="17"/>
      <c r="I1955" s="15"/>
      <c r="J1955" s="25">
        <f>IF($D1955="","",IFERROR(INDEX(PacNome,MATCH($D1955,PacCod,0)),"Paciente não cadastrado"))</f>
        <v>0</v>
      </c>
      <c r="K1955" s="26">
        <f>IF($D1955="","",IFERROR(INDEX(PacConv,MATCH($D1955,PacCod,0))&amp;"",""))</f>
        <v>0</v>
      </c>
      <c r="L1955" s="26">
        <f>IF($A1955="","",CHOOSE(WEEKDAY($A1955,2),"Seg","Ter","Qua","Qui","Sex","Sáb","Dom"))</f>
        <v>0</v>
      </c>
      <c r="M1955" s="27">
        <f>IF($E1955="","",IF($G1955&lt;&gt;"",$G1955,IFERROR(INDEX(ProcValor,MATCH($E1955,ProcNome,0)),0)))</f>
        <v>0</v>
      </c>
      <c r="N1955" s="27">
        <f>IF($M1955="","",IF($F1955="Compareceu",$M1955,0))</f>
        <v>0</v>
      </c>
      <c r="O1955" s="27">
        <f>IF($M1955="","",IF($F1955="Faltou",$M1955,0))</f>
        <v>0</v>
      </c>
      <c r="P1955" s="27">
        <f>IF($M1955="","",IF($F1955="Compareceu",MAX(0,$M1955-N($H1955)),0))</f>
        <v>0</v>
      </c>
      <c r="Q1955" s="19">
        <f>IF(AND($F1955="Compareceu",$E1955&lt;&gt;"",$A1955&lt;&gt;""),IF(IFERROR(INDEX(ProcRet,MATCH($E1955,ProcNome,0)),0)&gt;0,$A1955+INDEX(ProcRet,MATCH($E1955,ProcNome,0)),""),"")</f>
        <v>0</v>
      </c>
      <c r="R1955" s="26">
        <f>IF($Q1955="","",IF(COUNTIFS(AgPac,$D1955,AgData,"&gt;"&amp;$A1955,AgStatus,"&lt;&gt;Cancelado",AgStatus,"&lt;&gt;Remarcado")&gt;0,"Sim","Não"))</f>
        <v>0</v>
      </c>
      <c r="S1955" s="28">
        <f>IF($A1955="","",IF(AND($F1955="Agendado",$A1955-Hoje&gt;=0,$A1955-Hoje&lt;=DiasConf),"CONFIRMAR",IF(AND($A1955&lt;Hoje,OR($F1955="Agendado",$F1955="Confirmado")),"Atualizar status",IF(AND($F1955="Compareceu",$P1955&gt;0.005),"Cobrar",IF($F1955="Faltou","Falta: reagendar","")))))</f>
        <v>0</v>
      </c>
      <c r="T1955" s="29">
        <f>IF($A1955="","",DATE(YEAR($A1955),MONTH($A1955),1))</f>
        <v>0</v>
      </c>
      <c r="U1955" s="30">
        <f>IF($S1955="CONFIRMAR",MAX($U$4:$U1954)+1,"")</f>
        <v>0</v>
      </c>
      <c r="V1955" s="30">
        <f>IF(AND($R1955="Não",$Q1955&lt;&gt;"",$Q1955&lt;=Hoje+JanelaRet,$Q1955&gt;=Hoje-60),MAX($V$4:$V1954)+1,"")</f>
        <v>0</v>
      </c>
    </row>
    <row r="1956" spans="1:22">
      <c r="A1956" s="16"/>
      <c r="B1956" s="23"/>
      <c r="C1956" s="15"/>
      <c r="D1956" s="15"/>
      <c r="E1956" s="15"/>
      <c r="F1956" s="24"/>
      <c r="G1956" s="17"/>
      <c r="H1956" s="17"/>
      <c r="I1956" s="15"/>
      <c r="J1956" s="25">
        <f>IF($D1956="","",IFERROR(INDEX(PacNome,MATCH($D1956,PacCod,0)),"Paciente não cadastrado"))</f>
        <v>0</v>
      </c>
      <c r="K1956" s="26">
        <f>IF($D1956="","",IFERROR(INDEX(PacConv,MATCH($D1956,PacCod,0))&amp;"",""))</f>
        <v>0</v>
      </c>
      <c r="L1956" s="26">
        <f>IF($A1956="","",CHOOSE(WEEKDAY($A1956,2),"Seg","Ter","Qua","Qui","Sex","Sáb","Dom"))</f>
        <v>0</v>
      </c>
      <c r="M1956" s="27">
        <f>IF($E1956="","",IF($G1956&lt;&gt;"",$G1956,IFERROR(INDEX(ProcValor,MATCH($E1956,ProcNome,0)),0)))</f>
        <v>0</v>
      </c>
      <c r="N1956" s="27">
        <f>IF($M1956="","",IF($F1956="Compareceu",$M1956,0))</f>
        <v>0</v>
      </c>
      <c r="O1956" s="27">
        <f>IF($M1956="","",IF($F1956="Faltou",$M1956,0))</f>
        <v>0</v>
      </c>
      <c r="P1956" s="27">
        <f>IF($M1956="","",IF($F1956="Compareceu",MAX(0,$M1956-N($H1956)),0))</f>
        <v>0</v>
      </c>
      <c r="Q1956" s="19">
        <f>IF(AND($F1956="Compareceu",$E1956&lt;&gt;"",$A1956&lt;&gt;""),IF(IFERROR(INDEX(ProcRet,MATCH($E1956,ProcNome,0)),0)&gt;0,$A1956+INDEX(ProcRet,MATCH($E1956,ProcNome,0)),""),"")</f>
        <v>0</v>
      </c>
      <c r="R1956" s="26">
        <f>IF($Q1956="","",IF(COUNTIFS(AgPac,$D1956,AgData,"&gt;"&amp;$A1956,AgStatus,"&lt;&gt;Cancelado",AgStatus,"&lt;&gt;Remarcado")&gt;0,"Sim","Não"))</f>
        <v>0</v>
      </c>
      <c r="S1956" s="28">
        <f>IF($A1956="","",IF(AND($F1956="Agendado",$A1956-Hoje&gt;=0,$A1956-Hoje&lt;=DiasConf),"CONFIRMAR",IF(AND($A1956&lt;Hoje,OR($F1956="Agendado",$F1956="Confirmado")),"Atualizar status",IF(AND($F1956="Compareceu",$P1956&gt;0.005),"Cobrar",IF($F1956="Faltou","Falta: reagendar","")))))</f>
        <v>0</v>
      </c>
      <c r="T1956" s="29">
        <f>IF($A1956="","",DATE(YEAR($A1956),MONTH($A1956),1))</f>
        <v>0</v>
      </c>
      <c r="U1956" s="30">
        <f>IF($S1956="CONFIRMAR",MAX($U$4:$U1955)+1,"")</f>
        <v>0</v>
      </c>
      <c r="V1956" s="30">
        <f>IF(AND($R1956="Não",$Q1956&lt;&gt;"",$Q1956&lt;=Hoje+JanelaRet,$Q1956&gt;=Hoje-60),MAX($V$4:$V1955)+1,"")</f>
        <v>0</v>
      </c>
    </row>
    <row r="1957" spans="1:22">
      <c r="A1957" s="16"/>
      <c r="B1957" s="23"/>
      <c r="C1957" s="15"/>
      <c r="D1957" s="15"/>
      <c r="E1957" s="15"/>
      <c r="F1957" s="24"/>
      <c r="G1957" s="17"/>
      <c r="H1957" s="17"/>
      <c r="I1957" s="15"/>
      <c r="J1957" s="25">
        <f>IF($D1957="","",IFERROR(INDEX(PacNome,MATCH($D1957,PacCod,0)),"Paciente não cadastrado"))</f>
        <v>0</v>
      </c>
      <c r="K1957" s="26">
        <f>IF($D1957="","",IFERROR(INDEX(PacConv,MATCH($D1957,PacCod,0))&amp;"",""))</f>
        <v>0</v>
      </c>
      <c r="L1957" s="26">
        <f>IF($A1957="","",CHOOSE(WEEKDAY($A1957,2),"Seg","Ter","Qua","Qui","Sex","Sáb","Dom"))</f>
        <v>0</v>
      </c>
      <c r="M1957" s="27">
        <f>IF($E1957="","",IF($G1957&lt;&gt;"",$G1957,IFERROR(INDEX(ProcValor,MATCH($E1957,ProcNome,0)),0)))</f>
        <v>0</v>
      </c>
      <c r="N1957" s="27">
        <f>IF($M1957="","",IF($F1957="Compareceu",$M1957,0))</f>
        <v>0</v>
      </c>
      <c r="O1957" s="27">
        <f>IF($M1957="","",IF($F1957="Faltou",$M1957,0))</f>
        <v>0</v>
      </c>
      <c r="P1957" s="27">
        <f>IF($M1957="","",IF($F1957="Compareceu",MAX(0,$M1957-N($H1957)),0))</f>
        <v>0</v>
      </c>
      <c r="Q1957" s="19">
        <f>IF(AND($F1957="Compareceu",$E1957&lt;&gt;"",$A1957&lt;&gt;""),IF(IFERROR(INDEX(ProcRet,MATCH($E1957,ProcNome,0)),0)&gt;0,$A1957+INDEX(ProcRet,MATCH($E1957,ProcNome,0)),""),"")</f>
        <v>0</v>
      </c>
      <c r="R1957" s="26">
        <f>IF($Q1957="","",IF(COUNTIFS(AgPac,$D1957,AgData,"&gt;"&amp;$A1957,AgStatus,"&lt;&gt;Cancelado",AgStatus,"&lt;&gt;Remarcado")&gt;0,"Sim","Não"))</f>
        <v>0</v>
      </c>
      <c r="S1957" s="28">
        <f>IF($A1957="","",IF(AND($F1957="Agendado",$A1957-Hoje&gt;=0,$A1957-Hoje&lt;=DiasConf),"CONFIRMAR",IF(AND($A1957&lt;Hoje,OR($F1957="Agendado",$F1957="Confirmado")),"Atualizar status",IF(AND($F1957="Compareceu",$P1957&gt;0.005),"Cobrar",IF($F1957="Faltou","Falta: reagendar","")))))</f>
        <v>0</v>
      </c>
      <c r="T1957" s="29">
        <f>IF($A1957="","",DATE(YEAR($A1957),MONTH($A1957),1))</f>
        <v>0</v>
      </c>
      <c r="U1957" s="30">
        <f>IF($S1957="CONFIRMAR",MAX($U$4:$U1956)+1,"")</f>
        <v>0</v>
      </c>
      <c r="V1957" s="30">
        <f>IF(AND($R1957="Não",$Q1957&lt;&gt;"",$Q1957&lt;=Hoje+JanelaRet,$Q1957&gt;=Hoje-60),MAX($V$4:$V1956)+1,"")</f>
        <v>0</v>
      </c>
    </row>
    <row r="1958" spans="1:22">
      <c r="A1958" s="16"/>
      <c r="B1958" s="23"/>
      <c r="C1958" s="15"/>
      <c r="D1958" s="15"/>
      <c r="E1958" s="15"/>
      <c r="F1958" s="24"/>
      <c r="G1958" s="17"/>
      <c r="H1958" s="17"/>
      <c r="I1958" s="15"/>
      <c r="J1958" s="25">
        <f>IF($D1958="","",IFERROR(INDEX(PacNome,MATCH($D1958,PacCod,0)),"Paciente não cadastrado"))</f>
        <v>0</v>
      </c>
      <c r="K1958" s="26">
        <f>IF($D1958="","",IFERROR(INDEX(PacConv,MATCH($D1958,PacCod,0))&amp;"",""))</f>
        <v>0</v>
      </c>
      <c r="L1958" s="26">
        <f>IF($A1958="","",CHOOSE(WEEKDAY($A1958,2),"Seg","Ter","Qua","Qui","Sex","Sáb","Dom"))</f>
        <v>0</v>
      </c>
      <c r="M1958" s="27">
        <f>IF($E1958="","",IF($G1958&lt;&gt;"",$G1958,IFERROR(INDEX(ProcValor,MATCH($E1958,ProcNome,0)),0)))</f>
        <v>0</v>
      </c>
      <c r="N1958" s="27">
        <f>IF($M1958="","",IF($F1958="Compareceu",$M1958,0))</f>
        <v>0</v>
      </c>
      <c r="O1958" s="27">
        <f>IF($M1958="","",IF($F1958="Faltou",$M1958,0))</f>
        <v>0</v>
      </c>
      <c r="P1958" s="27">
        <f>IF($M1958="","",IF($F1958="Compareceu",MAX(0,$M1958-N($H1958)),0))</f>
        <v>0</v>
      </c>
      <c r="Q1958" s="19">
        <f>IF(AND($F1958="Compareceu",$E1958&lt;&gt;"",$A1958&lt;&gt;""),IF(IFERROR(INDEX(ProcRet,MATCH($E1958,ProcNome,0)),0)&gt;0,$A1958+INDEX(ProcRet,MATCH($E1958,ProcNome,0)),""),"")</f>
        <v>0</v>
      </c>
      <c r="R1958" s="26">
        <f>IF($Q1958="","",IF(COUNTIFS(AgPac,$D1958,AgData,"&gt;"&amp;$A1958,AgStatus,"&lt;&gt;Cancelado",AgStatus,"&lt;&gt;Remarcado")&gt;0,"Sim","Não"))</f>
        <v>0</v>
      </c>
      <c r="S1958" s="28">
        <f>IF($A1958="","",IF(AND($F1958="Agendado",$A1958-Hoje&gt;=0,$A1958-Hoje&lt;=DiasConf),"CONFIRMAR",IF(AND($A1958&lt;Hoje,OR($F1958="Agendado",$F1958="Confirmado")),"Atualizar status",IF(AND($F1958="Compareceu",$P1958&gt;0.005),"Cobrar",IF($F1958="Faltou","Falta: reagendar","")))))</f>
        <v>0</v>
      </c>
      <c r="T1958" s="29">
        <f>IF($A1958="","",DATE(YEAR($A1958),MONTH($A1958),1))</f>
        <v>0</v>
      </c>
      <c r="U1958" s="30">
        <f>IF($S1958="CONFIRMAR",MAX($U$4:$U1957)+1,"")</f>
        <v>0</v>
      </c>
      <c r="V1958" s="30">
        <f>IF(AND($R1958="Não",$Q1958&lt;&gt;"",$Q1958&lt;=Hoje+JanelaRet,$Q1958&gt;=Hoje-60),MAX($V$4:$V1957)+1,"")</f>
        <v>0</v>
      </c>
    </row>
    <row r="1959" spans="1:22">
      <c r="A1959" s="16"/>
      <c r="B1959" s="23"/>
      <c r="C1959" s="15"/>
      <c r="D1959" s="15"/>
      <c r="E1959" s="15"/>
      <c r="F1959" s="24"/>
      <c r="G1959" s="17"/>
      <c r="H1959" s="17"/>
      <c r="I1959" s="15"/>
      <c r="J1959" s="25">
        <f>IF($D1959="","",IFERROR(INDEX(PacNome,MATCH($D1959,PacCod,0)),"Paciente não cadastrado"))</f>
        <v>0</v>
      </c>
      <c r="K1959" s="26">
        <f>IF($D1959="","",IFERROR(INDEX(PacConv,MATCH($D1959,PacCod,0))&amp;"",""))</f>
        <v>0</v>
      </c>
      <c r="L1959" s="26">
        <f>IF($A1959="","",CHOOSE(WEEKDAY($A1959,2),"Seg","Ter","Qua","Qui","Sex","Sáb","Dom"))</f>
        <v>0</v>
      </c>
      <c r="M1959" s="27">
        <f>IF($E1959="","",IF($G1959&lt;&gt;"",$G1959,IFERROR(INDEX(ProcValor,MATCH($E1959,ProcNome,0)),0)))</f>
        <v>0</v>
      </c>
      <c r="N1959" s="27">
        <f>IF($M1959="","",IF($F1959="Compareceu",$M1959,0))</f>
        <v>0</v>
      </c>
      <c r="O1959" s="27">
        <f>IF($M1959="","",IF($F1959="Faltou",$M1959,0))</f>
        <v>0</v>
      </c>
      <c r="P1959" s="27">
        <f>IF($M1959="","",IF($F1959="Compareceu",MAX(0,$M1959-N($H1959)),0))</f>
        <v>0</v>
      </c>
      <c r="Q1959" s="19">
        <f>IF(AND($F1959="Compareceu",$E1959&lt;&gt;"",$A1959&lt;&gt;""),IF(IFERROR(INDEX(ProcRet,MATCH($E1959,ProcNome,0)),0)&gt;0,$A1959+INDEX(ProcRet,MATCH($E1959,ProcNome,0)),""),"")</f>
        <v>0</v>
      </c>
      <c r="R1959" s="26">
        <f>IF($Q1959="","",IF(COUNTIFS(AgPac,$D1959,AgData,"&gt;"&amp;$A1959,AgStatus,"&lt;&gt;Cancelado",AgStatus,"&lt;&gt;Remarcado")&gt;0,"Sim","Não"))</f>
        <v>0</v>
      </c>
      <c r="S1959" s="28">
        <f>IF($A1959="","",IF(AND($F1959="Agendado",$A1959-Hoje&gt;=0,$A1959-Hoje&lt;=DiasConf),"CONFIRMAR",IF(AND($A1959&lt;Hoje,OR($F1959="Agendado",$F1959="Confirmado")),"Atualizar status",IF(AND($F1959="Compareceu",$P1959&gt;0.005),"Cobrar",IF($F1959="Faltou","Falta: reagendar","")))))</f>
        <v>0</v>
      </c>
      <c r="T1959" s="29">
        <f>IF($A1959="","",DATE(YEAR($A1959),MONTH($A1959),1))</f>
        <v>0</v>
      </c>
      <c r="U1959" s="30">
        <f>IF($S1959="CONFIRMAR",MAX($U$4:$U1958)+1,"")</f>
        <v>0</v>
      </c>
      <c r="V1959" s="30">
        <f>IF(AND($R1959="Não",$Q1959&lt;&gt;"",$Q1959&lt;=Hoje+JanelaRet,$Q1959&gt;=Hoje-60),MAX($V$4:$V1958)+1,"")</f>
        <v>0</v>
      </c>
    </row>
    <row r="1960" spans="1:22">
      <c r="A1960" s="16"/>
      <c r="B1960" s="23"/>
      <c r="C1960" s="15"/>
      <c r="D1960" s="15"/>
      <c r="E1960" s="15"/>
      <c r="F1960" s="24"/>
      <c r="G1960" s="17"/>
      <c r="H1960" s="17"/>
      <c r="I1960" s="15"/>
      <c r="J1960" s="25">
        <f>IF($D1960="","",IFERROR(INDEX(PacNome,MATCH($D1960,PacCod,0)),"Paciente não cadastrado"))</f>
        <v>0</v>
      </c>
      <c r="K1960" s="26">
        <f>IF($D1960="","",IFERROR(INDEX(PacConv,MATCH($D1960,PacCod,0))&amp;"",""))</f>
        <v>0</v>
      </c>
      <c r="L1960" s="26">
        <f>IF($A1960="","",CHOOSE(WEEKDAY($A1960,2),"Seg","Ter","Qua","Qui","Sex","Sáb","Dom"))</f>
        <v>0</v>
      </c>
      <c r="M1960" s="27">
        <f>IF($E1960="","",IF($G1960&lt;&gt;"",$G1960,IFERROR(INDEX(ProcValor,MATCH($E1960,ProcNome,0)),0)))</f>
        <v>0</v>
      </c>
      <c r="N1960" s="27">
        <f>IF($M1960="","",IF($F1960="Compareceu",$M1960,0))</f>
        <v>0</v>
      </c>
      <c r="O1960" s="27">
        <f>IF($M1960="","",IF($F1960="Faltou",$M1960,0))</f>
        <v>0</v>
      </c>
      <c r="P1960" s="27">
        <f>IF($M1960="","",IF($F1960="Compareceu",MAX(0,$M1960-N($H1960)),0))</f>
        <v>0</v>
      </c>
      <c r="Q1960" s="19">
        <f>IF(AND($F1960="Compareceu",$E1960&lt;&gt;"",$A1960&lt;&gt;""),IF(IFERROR(INDEX(ProcRet,MATCH($E1960,ProcNome,0)),0)&gt;0,$A1960+INDEX(ProcRet,MATCH($E1960,ProcNome,0)),""),"")</f>
        <v>0</v>
      </c>
      <c r="R1960" s="26">
        <f>IF($Q1960="","",IF(COUNTIFS(AgPac,$D1960,AgData,"&gt;"&amp;$A1960,AgStatus,"&lt;&gt;Cancelado",AgStatus,"&lt;&gt;Remarcado")&gt;0,"Sim","Não"))</f>
        <v>0</v>
      </c>
      <c r="S1960" s="28">
        <f>IF($A1960="","",IF(AND($F1960="Agendado",$A1960-Hoje&gt;=0,$A1960-Hoje&lt;=DiasConf),"CONFIRMAR",IF(AND($A1960&lt;Hoje,OR($F1960="Agendado",$F1960="Confirmado")),"Atualizar status",IF(AND($F1960="Compareceu",$P1960&gt;0.005),"Cobrar",IF($F1960="Faltou","Falta: reagendar","")))))</f>
        <v>0</v>
      </c>
      <c r="T1960" s="29">
        <f>IF($A1960="","",DATE(YEAR($A1960),MONTH($A1960),1))</f>
        <v>0</v>
      </c>
      <c r="U1960" s="30">
        <f>IF($S1960="CONFIRMAR",MAX($U$4:$U1959)+1,"")</f>
        <v>0</v>
      </c>
      <c r="V1960" s="30">
        <f>IF(AND($R1960="Não",$Q1960&lt;&gt;"",$Q1960&lt;=Hoje+JanelaRet,$Q1960&gt;=Hoje-60),MAX($V$4:$V1959)+1,"")</f>
        <v>0</v>
      </c>
    </row>
    <row r="1961" spans="1:22">
      <c r="A1961" s="16"/>
      <c r="B1961" s="23"/>
      <c r="C1961" s="15"/>
      <c r="D1961" s="15"/>
      <c r="E1961" s="15"/>
      <c r="F1961" s="24"/>
      <c r="G1961" s="17"/>
      <c r="H1961" s="17"/>
      <c r="I1961" s="15"/>
      <c r="J1961" s="25">
        <f>IF($D1961="","",IFERROR(INDEX(PacNome,MATCH($D1961,PacCod,0)),"Paciente não cadastrado"))</f>
        <v>0</v>
      </c>
      <c r="K1961" s="26">
        <f>IF($D1961="","",IFERROR(INDEX(PacConv,MATCH($D1961,PacCod,0))&amp;"",""))</f>
        <v>0</v>
      </c>
      <c r="L1961" s="26">
        <f>IF($A1961="","",CHOOSE(WEEKDAY($A1961,2),"Seg","Ter","Qua","Qui","Sex","Sáb","Dom"))</f>
        <v>0</v>
      </c>
      <c r="M1961" s="27">
        <f>IF($E1961="","",IF($G1961&lt;&gt;"",$G1961,IFERROR(INDEX(ProcValor,MATCH($E1961,ProcNome,0)),0)))</f>
        <v>0</v>
      </c>
      <c r="N1961" s="27">
        <f>IF($M1961="","",IF($F1961="Compareceu",$M1961,0))</f>
        <v>0</v>
      </c>
      <c r="O1961" s="27">
        <f>IF($M1961="","",IF($F1961="Faltou",$M1961,0))</f>
        <v>0</v>
      </c>
      <c r="P1961" s="27">
        <f>IF($M1961="","",IF($F1961="Compareceu",MAX(0,$M1961-N($H1961)),0))</f>
        <v>0</v>
      </c>
      <c r="Q1961" s="19">
        <f>IF(AND($F1961="Compareceu",$E1961&lt;&gt;"",$A1961&lt;&gt;""),IF(IFERROR(INDEX(ProcRet,MATCH($E1961,ProcNome,0)),0)&gt;0,$A1961+INDEX(ProcRet,MATCH($E1961,ProcNome,0)),""),"")</f>
        <v>0</v>
      </c>
      <c r="R1961" s="26">
        <f>IF($Q1961="","",IF(COUNTIFS(AgPac,$D1961,AgData,"&gt;"&amp;$A1961,AgStatus,"&lt;&gt;Cancelado",AgStatus,"&lt;&gt;Remarcado")&gt;0,"Sim","Não"))</f>
        <v>0</v>
      </c>
      <c r="S1961" s="28">
        <f>IF($A1961="","",IF(AND($F1961="Agendado",$A1961-Hoje&gt;=0,$A1961-Hoje&lt;=DiasConf),"CONFIRMAR",IF(AND($A1961&lt;Hoje,OR($F1961="Agendado",$F1961="Confirmado")),"Atualizar status",IF(AND($F1961="Compareceu",$P1961&gt;0.005),"Cobrar",IF($F1961="Faltou","Falta: reagendar","")))))</f>
        <v>0</v>
      </c>
      <c r="T1961" s="29">
        <f>IF($A1961="","",DATE(YEAR($A1961),MONTH($A1961),1))</f>
        <v>0</v>
      </c>
      <c r="U1961" s="30">
        <f>IF($S1961="CONFIRMAR",MAX($U$4:$U1960)+1,"")</f>
        <v>0</v>
      </c>
      <c r="V1961" s="30">
        <f>IF(AND($R1961="Não",$Q1961&lt;&gt;"",$Q1961&lt;=Hoje+JanelaRet,$Q1961&gt;=Hoje-60),MAX($V$4:$V1960)+1,"")</f>
        <v>0</v>
      </c>
    </row>
    <row r="1962" spans="1:22">
      <c r="A1962" s="16"/>
      <c r="B1962" s="23"/>
      <c r="C1962" s="15"/>
      <c r="D1962" s="15"/>
      <c r="E1962" s="15"/>
      <c r="F1962" s="24"/>
      <c r="G1962" s="17"/>
      <c r="H1962" s="17"/>
      <c r="I1962" s="15"/>
      <c r="J1962" s="25">
        <f>IF($D1962="","",IFERROR(INDEX(PacNome,MATCH($D1962,PacCod,0)),"Paciente não cadastrado"))</f>
        <v>0</v>
      </c>
      <c r="K1962" s="26">
        <f>IF($D1962="","",IFERROR(INDEX(PacConv,MATCH($D1962,PacCod,0))&amp;"",""))</f>
        <v>0</v>
      </c>
      <c r="L1962" s="26">
        <f>IF($A1962="","",CHOOSE(WEEKDAY($A1962,2),"Seg","Ter","Qua","Qui","Sex","Sáb","Dom"))</f>
        <v>0</v>
      </c>
      <c r="M1962" s="27">
        <f>IF($E1962="","",IF($G1962&lt;&gt;"",$G1962,IFERROR(INDEX(ProcValor,MATCH($E1962,ProcNome,0)),0)))</f>
        <v>0</v>
      </c>
      <c r="N1962" s="27">
        <f>IF($M1962="","",IF($F1962="Compareceu",$M1962,0))</f>
        <v>0</v>
      </c>
      <c r="O1962" s="27">
        <f>IF($M1962="","",IF($F1962="Faltou",$M1962,0))</f>
        <v>0</v>
      </c>
      <c r="P1962" s="27">
        <f>IF($M1962="","",IF($F1962="Compareceu",MAX(0,$M1962-N($H1962)),0))</f>
        <v>0</v>
      </c>
      <c r="Q1962" s="19">
        <f>IF(AND($F1962="Compareceu",$E1962&lt;&gt;"",$A1962&lt;&gt;""),IF(IFERROR(INDEX(ProcRet,MATCH($E1962,ProcNome,0)),0)&gt;0,$A1962+INDEX(ProcRet,MATCH($E1962,ProcNome,0)),""),"")</f>
        <v>0</v>
      </c>
      <c r="R1962" s="26">
        <f>IF($Q1962="","",IF(COUNTIFS(AgPac,$D1962,AgData,"&gt;"&amp;$A1962,AgStatus,"&lt;&gt;Cancelado",AgStatus,"&lt;&gt;Remarcado")&gt;0,"Sim","Não"))</f>
        <v>0</v>
      </c>
      <c r="S1962" s="28">
        <f>IF($A1962="","",IF(AND($F1962="Agendado",$A1962-Hoje&gt;=0,$A1962-Hoje&lt;=DiasConf),"CONFIRMAR",IF(AND($A1962&lt;Hoje,OR($F1962="Agendado",$F1962="Confirmado")),"Atualizar status",IF(AND($F1962="Compareceu",$P1962&gt;0.005),"Cobrar",IF($F1962="Faltou","Falta: reagendar","")))))</f>
        <v>0</v>
      </c>
      <c r="T1962" s="29">
        <f>IF($A1962="","",DATE(YEAR($A1962),MONTH($A1962),1))</f>
        <v>0</v>
      </c>
      <c r="U1962" s="30">
        <f>IF($S1962="CONFIRMAR",MAX($U$4:$U1961)+1,"")</f>
        <v>0</v>
      </c>
      <c r="V1962" s="30">
        <f>IF(AND($R1962="Não",$Q1962&lt;&gt;"",$Q1962&lt;=Hoje+JanelaRet,$Q1962&gt;=Hoje-60),MAX($V$4:$V1961)+1,"")</f>
        <v>0</v>
      </c>
    </row>
    <row r="1963" spans="1:22">
      <c r="A1963" s="16"/>
      <c r="B1963" s="23"/>
      <c r="C1963" s="15"/>
      <c r="D1963" s="15"/>
      <c r="E1963" s="15"/>
      <c r="F1963" s="24"/>
      <c r="G1963" s="17"/>
      <c r="H1963" s="17"/>
      <c r="I1963" s="15"/>
      <c r="J1963" s="25">
        <f>IF($D1963="","",IFERROR(INDEX(PacNome,MATCH($D1963,PacCod,0)),"Paciente não cadastrado"))</f>
        <v>0</v>
      </c>
      <c r="K1963" s="26">
        <f>IF($D1963="","",IFERROR(INDEX(PacConv,MATCH($D1963,PacCod,0))&amp;"",""))</f>
        <v>0</v>
      </c>
      <c r="L1963" s="26">
        <f>IF($A1963="","",CHOOSE(WEEKDAY($A1963,2),"Seg","Ter","Qua","Qui","Sex","Sáb","Dom"))</f>
        <v>0</v>
      </c>
      <c r="M1963" s="27">
        <f>IF($E1963="","",IF($G1963&lt;&gt;"",$G1963,IFERROR(INDEX(ProcValor,MATCH($E1963,ProcNome,0)),0)))</f>
        <v>0</v>
      </c>
      <c r="N1963" s="27">
        <f>IF($M1963="","",IF($F1963="Compareceu",$M1963,0))</f>
        <v>0</v>
      </c>
      <c r="O1963" s="27">
        <f>IF($M1963="","",IF($F1963="Faltou",$M1963,0))</f>
        <v>0</v>
      </c>
      <c r="P1963" s="27">
        <f>IF($M1963="","",IF($F1963="Compareceu",MAX(0,$M1963-N($H1963)),0))</f>
        <v>0</v>
      </c>
      <c r="Q1963" s="19">
        <f>IF(AND($F1963="Compareceu",$E1963&lt;&gt;"",$A1963&lt;&gt;""),IF(IFERROR(INDEX(ProcRet,MATCH($E1963,ProcNome,0)),0)&gt;0,$A1963+INDEX(ProcRet,MATCH($E1963,ProcNome,0)),""),"")</f>
        <v>0</v>
      </c>
      <c r="R1963" s="26">
        <f>IF($Q1963="","",IF(COUNTIFS(AgPac,$D1963,AgData,"&gt;"&amp;$A1963,AgStatus,"&lt;&gt;Cancelado",AgStatus,"&lt;&gt;Remarcado")&gt;0,"Sim","Não"))</f>
        <v>0</v>
      </c>
      <c r="S1963" s="28">
        <f>IF($A1963="","",IF(AND($F1963="Agendado",$A1963-Hoje&gt;=0,$A1963-Hoje&lt;=DiasConf),"CONFIRMAR",IF(AND($A1963&lt;Hoje,OR($F1963="Agendado",$F1963="Confirmado")),"Atualizar status",IF(AND($F1963="Compareceu",$P1963&gt;0.005),"Cobrar",IF($F1963="Faltou","Falta: reagendar","")))))</f>
        <v>0</v>
      </c>
      <c r="T1963" s="29">
        <f>IF($A1963="","",DATE(YEAR($A1963),MONTH($A1963),1))</f>
        <v>0</v>
      </c>
      <c r="U1963" s="30">
        <f>IF($S1963="CONFIRMAR",MAX($U$4:$U1962)+1,"")</f>
        <v>0</v>
      </c>
      <c r="V1963" s="30">
        <f>IF(AND($R1963="Não",$Q1963&lt;&gt;"",$Q1963&lt;=Hoje+JanelaRet,$Q1963&gt;=Hoje-60),MAX($V$4:$V1962)+1,"")</f>
        <v>0</v>
      </c>
    </row>
    <row r="1964" spans="1:22">
      <c r="A1964" s="16"/>
      <c r="B1964" s="23"/>
      <c r="C1964" s="15"/>
      <c r="D1964" s="15"/>
      <c r="E1964" s="15"/>
      <c r="F1964" s="24"/>
      <c r="G1964" s="17"/>
      <c r="H1964" s="17"/>
      <c r="I1964" s="15"/>
      <c r="J1964" s="25">
        <f>IF($D1964="","",IFERROR(INDEX(PacNome,MATCH($D1964,PacCod,0)),"Paciente não cadastrado"))</f>
        <v>0</v>
      </c>
      <c r="K1964" s="26">
        <f>IF($D1964="","",IFERROR(INDEX(PacConv,MATCH($D1964,PacCod,0))&amp;"",""))</f>
        <v>0</v>
      </c>
      <c r="L1964" s="26">
        <f>IF($A1964="","",CHOOSE(WEEKDAY($A1964,2),"Seg","Ter","Qua","Qui","Sex","Sáb","Dom"))</f>
        <v>0</v>
      </c>
      <c r="M1964" s="27">
        <f>IF($E1964="","",IF($G1964&lt;&gt;"",$G1964,IFERROR(INDEX(ProcValor,MATCH($E1964,ProcNome,0)),0)))</f>
        <v>0</v>
      </c>
      <c r="N1964" s="27">
        <f>IF($M1964="","",IF($F1964="Compareceu",$M1964,0))</f>
        <v>0</v>
      </c>
      <c r="O1964" s="27">
        <f>IF($M1964="","",IF($F1964="Faltou",$M1964,0))</f>
        <v>0</v>
      </c>
      <c r="P1964" s="27">
        <f>IF($M1964="","",IF($F1964="Compareceu",MAX(0,$M1964-N($H1964)),0))</f>
        <v>0</v>
      </c>
      <c r="Q1964" s="19">
        <f>IF(AND($F1964="Compareceu",$E1964&lt;&gt;"",$A1964&lt;&gt;""),IF(IFERROR(INDEX(ProcRet,MATCH($E1964,ProcNome,0)),0)&gt;0,$A1964+INDEX(ProcRet,MATCH($E1964,ProcNome,0)),""),"")</f>
        <v>0</v>
      </c>
      <c r="R1964" s="26">
        <f>IF($Q1964="","",IF(COUNTIFS(AgPac,$D1964,AgData,"&gt;"&amp;$A1964,AgStatus,"&lt;&gt;Cancelado",AgStatus,"&lt;&gt;Remarcado")&gt;0,"Sim","Não"))</f>
        <v>0</v>
      </c>
      <c r="S1964" s="28">
        <f>IF($A1964="","",IF(AND($F1964="Agendado",$A1964-Hoje&gt;=0,$A1964-Hoje&lt;=DiasConf),"CONFIRMAR",IF(AND($A1964&lt;Hoje,OR($F1964="Agendado",$F1964="Confirmado")),"Atualizar status",IF(AND($F1964="Compareceu",$P1964&gt;0.005),"Cobrar",IF($F1964="Faltou","Falta: reagendar","")))))</f>
        <v>0</v>
      </c>
      <c r="T1964" s="29">
        <f>IF($A1964="","",DATE(YEAR($A1964),MONTH($A1964),1))</f>
        <v>0</v>
      </c>
      <c r="U1964" s="30">
        <f>IF($S1964="CONFIRMAR",MAX($U$4:$U1963)+1,"")</f>
        <v>0</v>
      </c>
      <c r="V1964" s="30">
        <f>IF(AND($R1964="Não",$Q1964&lt;&gt;"",$Q1964&lt;=Hoje+JanelaRet,$Q1964&gt;=Hoje-60),MAX($V$4:$V1963)+1,"")</f>
        <v>0</v>
      </c>
    </row>
    <row r="1965" spans="1:22">
      <c r="A1965" s="16"/>
      <c r="B1965" s="23"/>
      <c r="C1965" s="15"/>
      <c r="D1965" s="15"/>
      <c r="E1965" s="15"/>
      <c r="F1965" s="24"/>
      <c r="G1965" s="17"/>
      <c r="H1965" s="17"/>
      <c r="I1965" s="15"/>
      <c r="J1965" s="25">
        <f>IF($D1965="","",IFERROR(INDEX(PacNome,MATCH($D1965,PacCod,0)),"Paciente não cadastrado"))</f>
        <v>0</v>
      </c>
      <c r="K1965" s="26">
        <f>IF($D1965="","",IFERROR(INDEX(PacConv,MATCH($D1965,PacCod,0))&amp;"",""))</f>
        <v>0</v>
      </c>
      <c r="L1965" s="26">
        <f>IF($A1965="","",CHOOSE(WEEKDAY($A1965,2),"Seg","Ter","Qua","Qui","Sex","Sáb","Dom"))</f>
        <v>0</v>
      </c>
      <c r="M1965" s="27">
        <f>IF($E1965="","",IF($G1965&lt;&gt;"",$G1965,IFERROR(INDEX(ProcValor,MATCH($E1965,ProcNome,0)),0)))</f>
        <v>0</v>
      </c>
      <c r="N1965" s="27">
        <f>IF($M1965="","",IF($F1965="Compareceu",$M1965,0))</f>
        <v>0</v>
      </c>
      <c r="O1965" s="27">
        <f>IF($M1965="","",IF($F1965="Faltou",$M1965,0))</f>
        <v>0</v>
      </c>
      <c r="P1965" s="27">
        <f>IF($M1965="","",IF($F1965="Compareceu",MAX(0,$M1965-N($H1965)),0))</f>
        <v>0</v>
      </c>
      <c r="Q1965" s="19">
        <f>IF(AND($F1965="Compareceu",$E1965&lt;&gt;"",$A1965&lt;&gt;""),IF(IFERROR(INDEX(ProcRet,MATCH($E1965,ProcNome,0)),0)&gt;0,$A1965+INDEX(ProcRet,MATCH($E1965,ProcNome,0)),""),"")</f>
        <v>0</v>
      </c>
      <c r="R1965" s="26">
        <f>IF($Q1965="","",IF(COUNTIFS(AgPac,$D1965,AgData,"&gt;"&amp;$A1965,AgStatus,"&lt;&gt;Cancelado",AgStatus,"&lt;&gt;Remarcado")&gt;0,"Sim","Não"))</f>
        <v>0</v>
      </c>
      <c r="S1965" s="28">
        <f>IF($A1965="","",IF(AND($F1965="Agendado",$A1965-Hoje&gt;=0,$A1965-Hoje&lt;=DiasConf),"CONFIRMAR",IF(AND($A1965&lt;Hoje,OR($F1965="Agendado",$F1965="Confirmado")),"Atualizar status",IF(AND($F1965="Compareceu",$P1965&gt;0.005),"Cobrar",IF($F1965="Faltou","Falta: reagendar","")))))</f>
        <v>0</v>
      </c>
      <c r="T1965" s="29">
        <f>IF($A1965="","",DATE(YEAR($A1965),MONTH($A1965),1))</f>
        <v>0</v>
      </c>
      <c r="U1965" s="30">
        <f>IF($S1965="CONFIRMAR",MAX($U$4:$U1964)+1,"")</f>
        <v>0</v>
      </c>
      <c r="V1965" s="30">
        <f>IF(AND($R1965="Não",$Q1965&lt;&gt;"",$Q1965&lt;=Hoje+JanelaRet,$Q1965&gt;=Hoje-60),MAX($V$4:$V1964)+1,"")</f>
        <v>0</v>
      </c>
    </row>
    <row r="1966" spans="1:22">
      <c r="A1966" s="16"/>
      <c r="B1966" s="23"/>
      <c r="C1966" s="15"/>
      <c r="D1966" s="15"/>
      <c r="E1966" s="15"/>
      <c r="F1966" s="24"/>
      <c r="G1966" s="17"/>
      <c r="H1966" s="17"/>
      <c r="I1966" s="15"/>
      <c r="J1966" s="25">
        <f>IF($D1966="","",IFERROR(INDEX(PacNome,MATCH($D1966,PacCod,0)),"Paciente não cadastrado"))</f>
        <v>0</v>
      </c>
      <c r="K1966" s="26">
        <f>IF($D1966="","",IFERROR(INDEX(PacConv,MATCH($D1966,PacCod,0))&amp;"",""))</f>
        <v>0</v>
      </c>
      <c r="L1966" s="26">
        <f>IF($A1966="","",CHOOSE(WEEKDAY($A1966,2),"Seg","Ter","Qua","Qui","Sex","Sáb","Dom"))</f>
        <v>0</v>
      </c>
      <c r="M1966" s="27">
        <f>IF($E1966="","",IF($G1966&lt;&gt;"",$G1966,IFERROR(INDEX(ProcValor,MATCH($E1966,ProcNome,0)),0)))</f>
        <v>0</v>
      </c>
      <c r="N1966" s="27">
        <f>IF($M1966="","",IF($F1966="Compareceu",$M1966,0))</f>
        <v>0</v>
      </c>
      <c r="O1966" s="27">
        <f>IF($M1966="","",IF($F1966="Faltou",$M1966,0))</f>
        <v>0</v>
      </c>
      <c r="P1966" s="27">
        <f>IF($M1966="","",IF($F1966="Compareceu",MAX(0,$M1966-N($H1966)),0))</f>
        <v>0</v>
      </c>
      <c r="Q1966" s="19">
        <f>IF(AND($F1966="Compareceu",$E1966&lt;&gt;"",$A1966&lt;&gt;""),IF(IFERROR(INDEX(ProcRet,MATCH($E1966,ProcNome,0)),0)&gt;0,$A1966+INDEX(ProcRet,MATCH($E1966,ProcNome,0)),""),"")</f>
        <v>0</v>
      </c>
      <c r="R1966" s="26">
        <f>IF($Q1966="","",IF(COUNTIFS(AgPac,$D1966,AgData,"&gt;"&amp;$A1966,AgStatus,"&lt;&gt;Cancelado",AgStatus,"&lt;&gt;Remarcado")&gt;0,"Sim","Não"))</f>
        <v>0</v>
      </c>
      <c r="S1966" s="28">
        <f>IF($A1966="","",IF(AND($F1966="Agendado",$A1966-Hoje&gt;=0,$A1966-Hoje&lt;=DiasConf),"CONFIRMAR",IF(AND($A1966&lt;Hoje,OR($F1966="Agendado",$F1966="Confirmado")),"Atualizar status",IF(AND($F1966="Compareceu",$P1966&gt;0.005),"Cobrar",IF($F1966="Faltou","Falta: reagendar","")))))</f>
        <v>0</v>
      </c>
      <c r="T1966" s="29">
        <f>IF($A1966="","",DATE(YEAR($A1966),MONTH($A1966),1))</f>
        <v>0</v>
      </c>
      <c r="U1966" s="30">
        <f>IF($S1966="CONFIRMAR",MAX($U$4:$U1965)+1,"")</f>
        <v>0</v>
      </c>
      <c r="V1966" s="30">
        <f>IF(AND($R1966="Não",$Q1966&lt;&gt;"",$Q1966&lt;=Hoje+JanelaRet,$Q1966&gt;=Hoje-60),MAX($V$4:$V1965)+1,"")</f>
        <v>0</v>
      </c>
    </row>
    <row r="1967" spans="1:22">
      <c r="A1967" s="16"/>
      <c r="B1967" s="23"/>
      <c r="C1967" s="15"/>
      <c r="D1967" s="15"/>
      <c r="E1967" s="15"/>
      <c r="F1967" s="24"/>
      <c r="G1967" s="17"/>
      <c r="H1967" s="17"/>
      <c r="I1967" s="15"/>
      <c r="J1967" s="25">
        <f>IF($D1967="","",IFERROR(INDEX(PacNome,MATCH($D1967,PacCod,0)),"Paciente não cadastrado"))</f>
        <v>0</v>
      </c>
      <c r="K1967" s="26">
        <f>IF($D1967="","",IFERROR(INDEX(PacConv,MATCH($D1967,PacCod,0))&amp;"",""))</f>
        <v>0</v>
      </c>
      <c r="L1967" s="26">
        <f>IF($A1967="","",CHOOSE(WEEKDAY($A1967,2),"Seg","Ter","Qua","Qui","Sex","Sáb","Dom"))</f>
        <v>0</v>
      </c>
      <c r="M1967" s="27">
        <f>IF($E1967="","",IF($G1967&lt;&gt;"",$G1967,IFERROR(INDEX(ProcValor,MATCH($E1967,ProcNome,0)),0)))</f>
        <v>0</v>
      </c>
      <c r="N1967" s="27">
        <f>IF($M1967="","",IF($F1967="Compareceu",$M1967,0))</f>
        <v>0</v>
      </c>
      <c r="O1967" s="27">
        <f>IF($M1967="","",IF($F1967="Faltou",$M1967,0))</f>
        <v>0</v>
      </c>
      <c r="P1967" s="27">
        <f>IF($M1967="","",IF($F1967="Compareceu",MAX(0,$M1967-N($H1967)),0))</f>
        <v>0</v>
      </c>
      <c r="Q1967" s="19">
        <f>IF(AND($F1967="Compareceu",$E1967&lt;&gt;"",$A1967&lt;&gt;""),IF(IFERROR(INDEX(ProcRet,MATCH($E1967,ProcNome,0)),0)&gt;0,$A1967+INDEX(ProcRet,MATCH($E1967,ProcNome,0)),""),"")</f>
        <v>0</v>
      </c>
      <c r="R1967" s="26">
        <f>IF($Q1967="","",IF(COUNTIFS(AgPac,$D1967,AgData,"&gt;"&amp;$A1967,AgStatus,"&lt;&gt;Cancelado",AgStatus,"&lt;&gt;Remarcado")&gt;0,"Sim","Não"))</f>
        <v>0</v>
      </c>
      <c r="S1967" s="28">
        <f>IF($A1967="","",IF(AND($F1967="Agendado",$A1967-Hoje&gt;=0,$A1967-Hoje&lt;=DiasConf),"CONFIRMAR",IF(AND($A1967&lt;Hoje,OR($F1967="Agendado",$F1967="Confirmado")),"Atualizar status",IF(AND($F1967="Compareceu",$P1967&gt;0.005),"Cobrar",IF($F1967="Faltou","Falta: reagendar","")))))</f>
        <v>0</v>
      </c>
      <c r="T1967" s="29">
        <f>IF($A1967="","",DATE(YEAR($A1967),MONTH($A1967),1))</f>
        <v>0</v>
      </c>
      <c r="U1967" s="30">
        <f>IF($S1967="CONFIRMAR",MAX($U$4:$U1966)+1,"")</f>
        <v>0</v>
      </c>
      <c r="V1967" s="30">
        <f>IF(AND($R1967="Não",$Q1967&lt;&gt;"",$Q1967&lt;=Hoje+JanelaRet,$Q1967&gt;=Hoje-60),MAX($V$4:$V1966)+1,"")</f>
        <v>0</v>
      </c>
    </row>
    <row r="1968" spans="1:22">
      <c r="A1968" s="16"/>
      <c r="B1968" s="23"/>
      <c r="C1968" s="15"/>
      <c r="D1968" s="15"/>
      <c r="E1968" s="15"/>
      <c r="F1968" s="24"/>
      <c r="G1968" s="17"/>
      <c r="H1968" s="17"/>
      <c r="I1968" s="15"/>
      <c r="J1968" s="25">
        <f>IF($D1968="","",IFERROR(INDEX(PacNome,MATCH($D1968,PacCod,0)),"Paciente não cadastrado"))</f>
        <v>0</v>
      </c>
      <c r="K1968" s="26">
        <f>IF($D1968="","",IFERROR(INDEX(PacConv,MATCH($D1968,PacCod,0))&amp;"",""))</f>
        <v>0</v>
      </c>
      <c r="L1968" s="26">
        <f>IF($A1968="","",CHOOSE(WEEKDAY($A1968,2),"Seg","Ter","Qua","Qui","Sex","Sáb","Dom"))</f>
        <v>0</v>
      </c>
      <c r="M1968" s="27">
        <f>IF($E1968="","",IF($G1968&lt;&gt;"",$G1968,IFERROR(INDEX(ProcValor,MATCH($E1968,ProcNome,0)),0)))</f>
        <v>0</v>
      </c>
      <c r="N1968" s="27">
        <f>IF($M1968="","",IF($F1968="Compareceu",$M1968,0))</f>
        <v>0</v>
      </c>
      <c r="O1968" s="27">
        <f>IF($M1968="","",IF($F1968="Faltou",$M1968,0))</f>
        <v>0</v>
      </c>
      <c r="P1968" s="27">
        <f>IF($M1968="","",IF($F1968="Compareceu",MAX(0,$M1968-N($H1968)),0))</f>
        <v>0</v>
      </c>
      <c r="Q1968" s="19">
        <f>IF(AND($F1968="Compareceu",$E1968&lt;&gt;"",$A1968&lt;&gt;""),IF(IFERROR(INDEX(ProcRet,MATCH($E1968,ProcNome,0)),0)&gt;0,$A1968+INDEX(ProcRet,MATCH($E1968,ProcNome,0)),""),"")</f>
        <v>0</v>
      </c>
      <c r="R1968" s="26">
        <f>IF($Q1968="","",IF(COUNTIFS(AgPac,$D1968,AgData,"&gt;"&amp;$A1968,AgStatus,"&lt;&gt;Cancelado",AgStatus,"&lt;&gt;Remarcado")&gt;0,"Sim","Não"))</f>
        <v>0</v>
      </c>
      <c r="S1968" s="28">
        <f>IF($A1968="","",IF(AND($F1968="Agendado",$A1968-Hoje&gt;=0,$A1968-Hoje&lt;=DiasConf),"CONFIRMAR",IF(AND($A1968&lt;Hoje,OR($F1968="Agendado",$F1968="Confirmado")),"Atualizar status",IF(AND($F1968="Compareceu",$P1968&gt;0.005),"Cobrar",IF($F1968="Faltou","Falta: reagendar","")))))</f>
        <v>0</v>
      </c>
      <c r="T1968" s="29">
        <f>IF($A1968="","",DATE(YEAR($A1968),MONTH($A1968),1))</f>
        <v>0</v>
      </c>
      <c r="U1968" s="30">
        <f>IF($S1968="CONFIRMAR",MAX($U$4:$U1967)+1,"")</f>
        <v>0</v>
      </c>
      <c r="V1968" s="30">
        <f>IF(AND($R1968="Não",$Q1968&lt;&gt;"",$Q1968&lt;=Hoje+JanelaRet,$Q1968&gt;=Hoje-60),MAX($V$4:$V1967)+1,"")</f>
        <v>0</v>
      </c>
    </row>
    <row r="1969" spans="1:22">
      <c r="A1969" s="16"/>
      <c r="B1969" s="23"/>
      <c r="C1969" s="15"/>
      <c r="D1969" s="15"/>
      <c r="E1969" s="15"/>
      <c r="F1969" s="24"/>
      <c r="G1969" s="17"/>
      <c r="H1969" s="17"/>
      <c r="I1969" s="15"/>
      <c r="J1969" s="25">
        <f>IF($D1969="","",IFERROR(INDEX(PacNome,MATCH($D1969,PacCod,0)),"Paciente não cadastrado"))</f>
        <v>0</v>
      </c>
      <c r="K1969" s="26">
        <f>IF($D1969="","",IFERROR(INDEX(PacConv,MATCH($D1969,PacCod,0))&amp;"",""))</f>
        <v>0</v>
      </c>
      <c r="L1969" s="26">
        <f>IF($A1969="","",CHOOSE(WEEKDAY($A1969,2),"Seg","Ter","Qua","Qui","Sex","Sáb","Dom"))</f>
        <v>0</v>
      </c>
      <c r="M1969" s="27">
        <f>IF($E1969="","",IF($G1969&lt;&gt;"",$G1969,IFERROR(INDEX(ProcValor,MATCH($E1969,ProcNome,0)),0)))</f>
        <v>0</v>
      </c>
      <c r="N1969" s="27">
        <f>IF($M1969="","",IF($F1969="Compareceu",$M1969,0))</f>
        <v>0</v>
      </c>
      <c r="O1969" s="27">
        <f>IF($M1969="","",IF($F1969="Faltou",$M1969,0))</f>
        <v>0</v>
      </c>
      <c r="P1969" s="27">
        <f>IF($M1969="","",IF($F1969="Compareceu",MAX(0,$M1969-N($H1969)),0))</f>
        <v>0</v>
      </c>
      <c r="Q1969" s="19">
        <f>IF(AND($F1969="Compareceu",$E1969&lt;&gt;"",$A1969&lt;&gt;""),IF(IFERROR(INDEX(ProcRet,MATCH($E1969,ProcNome,0)),0)&gt;0,$A1969+INDEX(ProcRet,MATCH($E1969,ProcNome,0)),""),"")</f>
        <v>0</v>
      </c>
      <c r="R1969" s="26">
        <f>IF($Q1969="","",IF(COUNTIFS(AgPac,$D1969,AgData,"&gt;"&amp;$A1969,AgStatus,"&lt;&gt;Cancelado",AgStatus,"&lt;&gt;Remarcado")&gt;0,"Sim","Não"))</f>
        <v>0</v>
      </c>
      <c r="S1969" s="28">
        <f>IF($A1969="","",IF(AND($F1969="Agendado",$A1969-Hoje&gt;=0,$A1969-Hoje&lt;=DiasConf),"CONFIRMAR",IF(AND($A1969&lt;Hoje,OR($F1969="Agendado",$F1969="Confirmado")),"Atualizar status",IF(AND($F1969="Compareceu",$P1969&gt;0.005),"Cobrar",IF($F1969="Faltou","Falta: reagendar","")))))</f>
        <v>0</v>
      </c>
      <c r="T1969" s="29">
        <f>IF($A1969="","",DATE(YEAR($A1969),MONTH($A1969),1))</f>
        <v>0</v>
      </c>
      <c r="U1969" s="30">
        <f>IF($S1969="CONFIRMAR",MAX($U$4:$U1968)+1,"")</f>
        <v>0</v>
      </c>
      <c r="V1969" s="30">
        <f>IF(AND($R1969="Não",$Q1969&lt;&gt;"",$Q1969&lt;=Hoje+JanelaRet,$Q1969&gt;=Hoje-60),MAX($V$4:$V1968)+1,"")</f>
        <v>0</v>
      </c>
    </row>
    <row r="1970" spans="1:22">
      <c r="A1970" s="16"/>
      <c r="B1970" s="23"/>
      <c r="C1970" s="15"/>
      <c r="D1970" s="15"/>
      <c r="E1970" s="15"/>
      <c r="F1970" s="24"/>
      <c r="G1970" s="17"/>
      <c r="H1970" s="17"/>
      <c r="I1970" s="15"/>
      <c r="J1970" s="25">
        <f>IF($D1970="","",IFERROR(INDEX(PacNome,MATCH($D1970,PacCod,0)),"Paciente não cadastrado"))</f>
        <v>0</v>
      </c>
      <c r="K1970" s="26">
        <f>IF($D1970="","",IFERROR(INDEX(PacConv,MATCH($D1970,PacCod,0))&amp;"",""))</f>
        <v>0</v>
      </c>
      <c r="L1970" s="26">
        <f>IF($A1970="","",CHOOSE(WEEKDAY($A1970,2),"Seg","Ter","Qua","Qui","Sex","Sáb","Dom"))</f>
        <v>0</v>
      </c>
      <c r="M1970" s="27">
        <f>IF($E1970="","",IF($G1970&lt;&gt;"",$G1970,IFERROR(INDEX(ProcValor,MATCH($E1970,ProcNome,0)),0)))</f>
        <v>0</v>
      </c>
      <c r="N1970" s="27">
        <f>IF($M1970="","",IF($F1970="Compareceu",$M1970,0))</f>
        <v>0</v>
      </c>
      <c r="O1970" s="27">
        <f>IF($M1970="","",IF($F1970="Faltou",$M1970,0))</f>
        <v>0</v>
      </c>
      <c r="P1970" s="27">
        <f>IF($M1970="","",IF($F1970="Compareceu",MAX(0,$M1970-N($H1970)),0))</f>
        <v>0</v>
      </c>
      <c r="Q1970" s="19">
        <f>IF(AND($F1970="Compareceu",$E1970&lt;&gt;"",$A1970&lt;&gt;""),IF(IFERROR(INDEX(ProcRet,MATCH($E1970,ProcNome,0)),0)&gt;0,$A1970+INDEX(ProcRet,MATCH($E1970,ProcNome,0)),""),"")</f>
        <v>0</v>
      </c>
      <c r="R1970" s="26">
        <f>IF($Q1970="","",IF(COUNTIFS(AgPac,$D1970,AgData,"&gt;"&amp;$A1970,AgStatus,"&lt;&gt;Cancelado",AgStatus,"&lt;&gt;Remarcado")&gt;0,"Sim","Não"))</f>
        <v>0</v>
      </c>
      <c r="S1970" s="28">
        <f>IF($A1970="","",IF(AND($F1970="Agendado",$A1970-Hoje&gt;=0,$A1970-Hoje&lt;=DiasConf),"CONFIRMAR",IF(AND($A1970&lt;Hoje,OR($F1970="Agendado",$F1970="Confirmado")),"Atualizar status",IF(AND($F1970="Compareceu",$P1970&gt;0.005),"Cobrar",IF($F1970="Faltou","Falta: reagendar","")))))</f>
        <v>0</v>
      </c>
      <c r="T1970" s="29">
        <f>IF($A1970="","",DATE(YEAR($A1970),MONTH($A1970),1))</f>
        <v>0</v>
      </c>
      <c r="U1970" s="30">
        <f>IF($S1970="CONFIRMAR",MAX($U$4:$U1969)+1,"")</f>
        <v>0</v>
      </c>
      <c r="V1970" s="30">
        <f>IF(AND($R1970="Não",$Q1970&lt;&gt;"",$Q1970&lt;=Hoje+JanelaRet,$Q1970&gt;=Hoje-60),MAX($V$4:$V1969)+1,"")</f>
        <v>0</v>
      </c>
    </row>
    <row r="1971" spans="1:22">
      <c r="A1971" s="16"/>
      <c r="B1971" s="23"/>
      <c r="C1971" s="15"/>
      <c r="D1971" s="15"/>
      <c r="E1971" s="15"/>
      <c r="F1971" s="24"/>
      <c r="G1971" s="17"/>
      <c r="H1971" s="17"/>
      <c r="I1971" s="15"/>
      <c r="J1971" s="25">
        <f>IF($D1971="","",IFERROR(INDEX(PacNome,MATCH($D1971,PacCod,0)),"Paciente não cadastrado"))</f>
        <v>0</v>
      </c>
      <c r="K1971" s="26">
        <f>IF($D1971="","",IFERROR(INDEX(PacConv,MATCH($D1971,PacCod,0))&amp;"",""))</f>
        <v>0</v>
      </c>
      <c r="L1971" s="26">
        <f>IF($A1971="","",CHOOSE(WEEKDAY($A1971,2),"Seg","Ter","Qua","Qui","Sex","Sáb","Dom"))</f>
        <v>0</v>
      </c>
      <c r="M1971" s="27">
        <f>IF($E1971="","",IF($G1971&lt;&gt;"",$G1971,IFERROR(INDEX(ProcValor,MATCH($E1971,ProcNome,0)),0)))</f>
        <v>0</v>
      </c>
      <c r="N1971" s="27">
        <f>IF($M1971="","",IF($F1971="Compareceu",$M1971,0))</f>
        <v>0</v>
      </c>
      <c r="O1971" s="27">
        <f>IF($M1971="","",IF($F1971="Faltou",$M1971,0))</f>
        <v>0</v>
      </c>
      <c r="P1971" s="27">
        <f>IF($M1971="","",IF($F1971="Compareceu",MAX(0,$M1971-N($H1971)),0))</f>
        <v>0</v>
      </c>
      <c r="Q1971" s="19">
        <f>IF(AND($F1971="Compareceu",$E1971&lt;&gt;"",$A1971&lt;&gt;""),IF(IFERROR(INDEX(ProcRet,MATCH($E1971,ProcNome,0)),0)&gt;0,$A1971+INDEX(ProcRet,MATCH($E1971,ProcNome,0)),""),"")</f>
        <v>0</v>
      </c>
      <c r="R1971" s="26">
        <f>IF($Q1971="","",IF(COUNTIFS(AgPac,$D1971,AgData,"&gt;"&amp;$A1971,AgStatus,"&lt;&gt;Cancelado",AgStatus,"&lt;&gt;Remarcado")&gt;0,"Sim","Não"))</f>
        <v>0</v>
      </c>
      <c r="S1971" s="28">
        <f>IF($A1971="","",IF(AND($F1971="Agendado",$A1971-Hoje&gt;=0,$A1971-Hoje&lt;=DiasConf),"CONFIRMAR",IF(AND($A1971&lt;Hoje,OR($F1971="Agendado",$F1971="Confirmado")),"Atualizar status",IF(AND($F1971="Compareceu",$P1971&gt;0.005),"Cobrar",IF($F1971="Faltou","Falta: reagendar","")))))</f>
        <v>0</v>
      </c>
      <c r="T1971" s="29">
        <f>IF($A1971="","",DATE(YEAR($A1971),MONTH($A1971),1))</f>
        <v>0</v>
      </c>
      <c r="U1971" s="30">
        <f>IF($S1971="CONFIRMAR",MAX($U$4:$U1970)+1,"")</f>
        <v>0</v>
      </c>
      <c r="V1971" s="30">
        <f>IF(AND($R1971="Não",$Q1971&lt;&gt;"",$Q1971&lt;=Hoje+JanelaRet,$Q1971&gt;=Hoje-60),MAX($V$4:$V1970)+1,"")</f>
        <v>0</v>
      </c>
    </row>
    <row r="1972" spans="1:22">
      <c r="A1972" s="16"/>
      <c r="B1972" s="23"/>
      <c r="C1972" s="15"/>
      <c r="D1972" s="15"/>
      <c r="E1972" s="15"/>
      <c r="F1972" s="24"/>
      <c r="G1972" s="17"/>
      <c r="H1972" s="17"/>
      <c r="I1972" s="15"/>
      <c r="J1972" s="25">
        <f>IF($D1972="","",IFERROR(INDEX(PacNome,MATCH($D1972,PacCod,0)),"Paciente não cadastrado"))</f>
        <v>0</v>
      </c>
      <c r="K1972" s="26">
        <f>IF($D1972="","",IFERROR(INDEX(PacConv,MATCH($D1972,PacCod,0))&amp;"",""))</f>
        <v>0</v>
      </c>
      <c r="L1972" s="26">
        <f>IF($A1972="","",CHOOSE(WEEKDAY($A1972,2),"Seg","Ter","Qua","Qui","Sex","Sáb","Dom"))</f>
        <v>0</v>
      </c>
      <c r="M1972" s="27">
        <f>IF($E1972="","",IF($G1972&lt;&gt;"",$G1972,IFERROR(INDEX(ProcValor,MATCH($E1972,ProcNome,0)),0)))</f>
        <v>0</v>
      </c>
      <c r="N1972" s="27">
        <f>IF($M1972="","",IF($F1972="Compareceu",$M1972,0))</f>
        <v>0</v>
      </c>
      <c r="O1972" s="27">
        <f>IF($M1972="","",IF($F1972="Faltou",$M1972,0))</f>
        <v>0</v>
      </c>
      <c r="P1972" s="27">
        <f>IF($M1972="","",IF($F1972="Compareceu",MAX(0,$M1972-N($H1972)),0))</f>
        <v>0</v>
      </c>
      <c r="Q1972" s="19">
        <f>IF(AND($F1972="Compareceu",$E1972&lt;&gt;"",$A1972&lt;&gt;""),IF(IFERROR(INDEX(ProcRet,MATCH($E1972,ProcNome,0)),0)&gt;0,$A1972+INDEX(ProcRet,MATCH($E1972,ProcNome,0)),""),"")</f>
        <v>0</v>
      </c>
      <c r="R1972" s="26">
        <f>IF($Q1972="","",IF(COUNTIFS(AgPac,$D1972,AgData,"&gt;"&amp;$A1972,AgStatus,"&lt;&gt;Cancelado",AgStatus,"&lt;&gt;Remarcado")&gt;0,"Sim","Não"))</f>
        <v>0</v>
      </c>
      <c r="S1972" s="28">
        <f>IF($A1972="","",IF(AND($F1972="Agendado",$A1972-Hoje&gt;=0,$A1972-Hoje&lt;=DiasConf),"CONFIRMAR",IF(AND($A1972&lt;Hoje,OR($F1972="Agendado",$F1972="Confirmado")),"Atualizar status",IF(AND($F1972="Compareceu",$P1972&gt;0.005),"Cobrar",IF($F1972="Faltou","Falta: reagendar","")))))</f>
        <v>0</v>
      </c>
      <c r="T1972" s="29">
        <f>IF($A1972="","",DATE(YEAR($A1972),MONTH($A1972),1))</f>
        <v>0</v>
      </c>
      <c r="U1972" s="30">
        <f>IF($S1972="CONFIRMAR",MAX($U$4:$U1971)+1,"")</f>
        <v>0</v>
      </c>
      <c r="V1972" s="30">
        <f>IF(AND($R1972="Não",$Q1972&lt;&gt;"",$Q1972&lt;=Hoje+JanelaRet,$Q1972&gt;=Hoje-60),MAX($V$4:$V1971)+1,"")</f>
        <v>0</v>
      </c>
    </row>
    <row r="1973" spans="1:22">
      <c r="A1973" s="16"/>
      <c r="B1973" s="23"/>
      <c r="C1973" s="15"/>
      <c r="D1973" s="15"/>
      <c r="E1973" s="15"/>
      <c r="F1973" s="24"/>
      <c r="G1973" s="17"/>
      <c r="H1973" s="17"/>
      <c r="I1973" s="15"/>
      <c r="J1973" s="25">
        <f>IF($D1973="","",IFERROR(INDEX(PacNome,MATCH($D1973,PacCod,0)),"Paciente não cadastrado"))</f>
        <v>0</v>
      </c>
      <c r="K1973" s="26">
        <f>IF($D1973="","",IFERROR(INDEX(PacConv,MATCH($D1973,PacCod,0))&amp;"",""))</f>
        <v>0</v>
      </c>
      <c r="L1973" s="26">
        <f>IF($A1973="","",CHOOSE(WEEKDAY($A1973,2),"Seg","Ter","Qua","Qui","Sex","Sáb","Dom"))</f>
        <v>0</v>
      </c>
      <c r="M1973" s="27">
        <f>IF($E1973="","",IF($G1973&lt;&gt;"",$G1973,IFERROR(INDEX(ProcValor,MATCH($E1973,ProcNome,0)),0)))</f>
        <v>0</v>
      </c>
      <c r="N1973" s="27">
        <f>IF($M1973="","",IF($F1973="Compareceu",$M1973,0))</f>
        <v>0</v>
      </c>
      <c r="O1973" s="27">
        <f>IF($M1973="","",IF($F1973="Faltou",$M1973,0))</f>
        <v>0</v>
      </c>
      <c r="P1973" s="27">
        <f>IF($M1973="","",IF($F1973="Compareceu",MAX(0,$M1973-N($H1973)),0))</f>
        <v>0</v>
      </c>
      <c r="Q1973" s="19">
        <f>IF(AND($F1973="Compareceu",$E1973&lt;&gt;"",$A1973&lt;&gt;""),IF(IFERROR(INDEX(ProcRet,MATCH($E1973,ProcNome,0)),0)&gt;0,$A1973+INDEX(ProcRet,MATCH($E1973,ProcNome,0)),""),"")</f>
        <v>0</v>
      </c>
      <c r="R1973" s="26">
        <f>IF($Q1973="","",IF(COUNTIFS(AgPac,$D1973,AgData,"&gt;"&amp;$A1973,AgStatus,"&lt;&gt;Cancelado",AgStatus,"&lt;&gt;Remarcado")&gt;0,"Sim","Não"))</f>
        <v>0</v>
      </c>
      <c r="S1973" s="28">
        <f>IF($A1973="","",IF(AND($F1973="Agendado",$A1973-Hoje&gt;=0,$A1973-Hoje&lt;=DiasConf),"CONFIRMAR",IF(AND($A1973&lt;Hoje,OR($F1973="Agendado",$F1973="Confirmado")),"Atualizar status",IF(AND($F1973="Compareceu",$P1973&gt;0.005),"Cobrar",IF($F1973="Faltou","Falta: reagendar","")))))</f>
        <v>0</v>
      </c>
      <c r="T1973" s="29">
        <f>IF($A1973="","",DATE(YEAR($A1973),MONTH($A1973),1))</f>
        <v>0</v>
      </c>
      <c r="U1973" s="30">
        <f>IF($S1973="CONFIRMAR",MAX($U$4:$U1972)+1,"")</f>
        <v>0</v>
      </c>
      <c r="V1973" s="30">
        <f>IF(AND($R1973="Não",$Q1973&lt;&gt;"",$Q1973&lt;=Hoje+JanelaRet,$Q1973&gt;=Hoje-60),MAX($V$4:$V1972)+1,"")</f>
        <v>0</v>
      </c>
    </row>
    <row r="1974" spans="1:22">
      <c r="A1974" s="16"/>
      <c r="B1974" s="23"/>
      <c r="C1974" s="15"/>
      <c r="D1974" s="15"/>
      <c r="E1974" s="15"/>
      <c r="F1974" s="24"/>
      <c r="G1974" s="17"/>
      <c r="H1974" s="17"/>
      <c r="I1974" s="15"/>
      <c r="J1974" s="25">
        <f>IF($D1974="","",IFERROR(INDEX(PacNome,MATCH($D1974,PacCod,0)),"Paciente não cadastrado"))</f>
        <v>0</v>
      </c>
      <c r="K1974" s="26">
        <f>IF($D1974="","",IFERROR(INDEX(PacConv,MATCH($D1974,PacCod,0))&amp;"",""))</f>
        <v>0</v>
      </c>
      <c r="L1974" s="26">
        <f>IF($A1974="","",CHOOSE(WEEKDAY($A1974,2),"Seg","Ter","Qua","Qui","Sex","Sáb","Dom"))</f>
        <v>0</v>
      </c>
      <c r="M1974" s="27">
        <f>IF($E1974="","",IF($G1974&lt;&gt;"",$G1974,IFERROR(INDEX(ProcValor,MATCH($E1974,ProcNome,0)),0)))</f>
        <v>0</v>
      </c>
      <c r="N1974" s="27">
        <f>IF($M1974="","",IF($F1974="Compareceu",$M1974,0))</f>
        <v>0</v>
      </c>
      <c r="O1974" s="27">
        <f>IF($M1974="","",IF($F1974="Faltou",$M1974,0))</f>
        <v>0</v>
      </c>
      <c r="P1974" s="27">
        <f>IF($M1974="","",IF($F1974="Compareceu",MAX(0,$M1974-N($H1974)),0))</f>
        <v>0</v>
      </c>
      <c r="Q1974" s="19">
        <f>IF(AND($F1974="Compareceu",$E1974&lt;&gt;"",$A1974&lt;&gt;""),IF(IFERROR(INDEX(ProcRet,MATCH($E1974,ProcNome,0)),0)&gt;0,$A1974+INDEX(ProcRet,MATCH($E1974,ProcNome,0)),""),"")</f>
        <v>0</v>
      </c>
      <c r="R1974" s="26">
        <f>IF($Q1974="","",IF(COUNTIFS(AgPac,$D1974,AgData,"&gt;"&amp;$A1974,AgStatus,"&lt;&gt;Cancelado",AgStatus,"&lt;&gt;Remarcado")&gt;0,"Sim","Não"))</f>
        <v>0</v>
      </c>
      <c r="S1974" s="28">
        <f>IF($A1974="","",IF(AND($F1974="Agendado",$A1974-Hoje&gt;=0,$A1974-Hoje&lt;=DiasConf),"CONFIRMAR",IF(AND($A1974&lt;Hoje,OR($F1974="Agendado",$F1974="Confirmado")),"Atualizar status",IF(AND($F1974="Compareceu",$P1974&gt;0.005),"Cobrar",IF($F1974="Faltou","Falta: reagendar","")))))</f>
        <v>0</v>
      </c>
      <c r="T1974" s="29">
        <f>IF($A1974="","",DATE(YEAR($A1974),MONTH($A1974),1))</f>
        <v>0</v>
      </c>
      <c r="U1974" s="30">
        <f>IF($S1974="CONFIRMAR",MAX($U$4:$U1973)+1,"")</f>
        <v>0</v>
      </c>
      <c r="V1974" s="30">
        <f>IF(AND($R1974="Não",$Q1974&lt;&gt;"",$Q1974&lt;=Hoje+JanelaRet,$Q1974&gt;=Hoje-60),MAX($V$4:$V1973)+1,"")</f>
        <v>0</v>
      </c>
    </row>
    <row r="1975" spans="1:22">
      <c r="A1975" s="16"/>
      <c r="B1975" s="23"/>
      <c r="C1975" s="15"/>
      <c r="D1975" s="15"/>
      <c r="E1975" s="15"/>
      <c r="F1975" s="24"/>
      <c r="G1975" s="17"/>
      <c r="H1975" s="17"/>
      <c r="I1975" s="15"/>
      <c r="J1975" s="25">
        <f>IF($D1975="","",IFERROR(INDEX(PacNome,MATCH($D1975,PacCod,0)),"Paciente não cadastrado"))</f>
        <v>0</v>
      </c>
      <c r="K1975" s="26">
        <f>IF($D1975="","",IFERROR(INDEX(PacConv,MATCH($D1975,PacCod,0))&amp;"",""))</f>
        <v>0</v>
      </c>
      <c r="L1975" s="26">
        <f>IF($A1975="","",CHOOSE(WEEKDAY($A1975,2),"Seg","Ter","Qua","Qui","Sex","Sáb","Dom"))</f>
        <v>0</v>
      </c>
      <c r="M1975" s="27">
        <f>IF($E1975="","",IF($G1975&lt;&gt;"",$G1975,IFERROR(INDEX(ProcValor,MATCH($E1975,ProcNome,0)),0)))</f>
        <v>0</v>
      </c>
      <c r="N1975" s="27">
        <f>IF($M1975="","",IF($F1975="Compareceu",$M1975,0))</f>
        <v>0</v>
      </c>
      <c r="O1975" s="27">
        <f>IF($M1975="","",IF($F1975="Faltou",$M1975,0))</f>
        <v>0</v>
      </c>
      <c r="P1975" s="27">
        <f>IF($M1975="","",IF($F1975="Compareceu",MAX(0,$M1975-N($H1975)),0))</f>
        <v>0</v>
      </c>
      <c r="Q1975" s="19">
        <f>IF(AND($F1975="Compareceu",$E1975&lt;&gt;"",$A1975&lt;&gt;""),IF(IFERROR(INDEX(ProcRet,MATCH($E1975,ProcNome,0)),0)&gt;0,$A1975+INDEX(ProcRet,MATCH($E1975,ProcNome,0)),""),"")</f>
        <v>0</v>
      </c>
      <c r="R1975" s="26">
        <f>IF($Q1975="","",IF(COUNTIFS(AgPac,$D1975,AgData,"&gt;"&amp;$A1975,AgStatus,"&lt;&gt;Cancelado",AgStatus,"&lt;&gt;Remarcado")&gt;0,"Sim","Não"))</f>
        <v>0</v>
      </c>
      <c r="S1975" s="28">
        <f>IF($A1975="","",IF(AND($F1975="Agendado",$A1975-Hoje&gt;=0,$A1975-Hoje&lt;=DiasConf),"CONFIRMAR",IF(AND($A1975&lt;Hoje,OR($F1975="Agendado",$F1975="Confirmado")),"Atualizar status",IF(AND($F1975="Compareceu",$P1975&gt;0.005),"Cobrar",IF($F1975="Faltou","Falta: reagendar","")))))</f>
        <v>0</v>
      </c>
      <c r="T1975" s="29">
        <f>IF($A1975="","",DATE(YEAR($A1975),MONTH($A1975),1))</f>
        <v>0</v>
      </c>
      <c r="U1975" s="30">
        <f>IF($S1975="CONFIRMAR",MAX($U$4:$U1974)+1,"")</f>
        <v>0</v>
      </c>
      <c r="V1975" s="30">
        <f>IF(AND($R1975="Não",$Q1975&lt;&gt;"",$Q1975&lt;=Hoje+JanelaRet,$Q1975&gt;=Hoje-60),MAX($V$4:$V1974)+1,"")</f>
        <v>0</v>
      </c>
    </row>
    <row r="1976" spans="1:22">
      <c r="A1976" s="16"/>
      <c r="B1976" s="23"/>
      <c r="C1976" s="15"/>
      <c r="D1976" s="15"/>
      <c r="E1976" s="15"/>
      <c r="F1976" s="24"/>
      <c r="G1976" s="17"/>
      <c r="H1976" s="17"/>
      <c r="I1976" s="15"/>
      <c r="J1976" s="25">
        <f>IF($D1976="","",IFERROR(INDEX(PacNome,MATCH($D1976,PacCod,0)),"Paciente não cadastrado"))</f>
        <v>0</v>
      </c>
      <c r="K1976" s="26">
        <f>IF($D1976="","",IFERROR(INDEX(PacConv,MATCH($D1976,PacCod,0))&amp;"",""))</f>
        <v>0</v>
      </c>
      <c r="L1976" s="26">
        <f>IF($A1976="","",CHOOSE(WEEKDAY($A1976,2),"Seg","Ter","Qua","Qui","Sex","Sáb","Dom"))</f>
        <v>0</v>
      </c>
      <c r="M1976" s="27">
        <f>IF($E1976="","",IF($G1976&lt;&gt;"",$G1976,IFERROR(INDEX(ProcValor,MATCH($E1976,ProcNome,0)),0)))</f>
        <v>0</v>
      </c>
      <c r="N1976" s="27">
        <f>IF($M1976="","",IF($F1976="Compareceu",$M1976,0))</f>
        <v>0</v>
      </c>
      <c r="O1976" s="27">
        <f>IF($M1976="","",IF($F1976="Faltou",$M1976,0))</f>
        <v>0</v>
      </c>
      <c r="P1976" s="27">
        <f>IF($M1976="","",IF($F1976="Compareceu",MAX(0,$M1976-N($H1976)),0))</f>
        <v>0</v>
      </c>
      <c r="Q1976" s="19">
        <f>IF(AND($F1976="Compareceu",$E1976&lt;&gt;"",$A1976&lt;&gt;""),IF(IFERROR(INDEX(ProcRet,MATCH($E1976,ProcNome,0)),0)&gt;0,$A1976+INDEX(ProcRet,MATCH($E1976,ProcNome,0)),""),"")</f>
        <v>0</v>
      </c>
      <c r="R1976" s="26">
        <f>IF($Q1976="","",IF(COUNTIFS(AgPac,$D1976,AgData,"&gt;"&amp;$A1976,AgStatus,"&lt;&gt;Cancelado",AgStatus,"&lt;&gt;Remarcado")&gt;0,"Sim","Não"))</f>
        <v>0</v>
      </c>
      <c r="S1976" s="28">
        <f>IF($A1976="","",IF(AND($F1976="Agendado",$A1976-Hoje&gt;=0,$A1976-Hoje&lt;=DiasConf),"CONFIRMAR",IF(AND($A1976&lt;Hoje,OR($F1976="Agendado",$F1976="Confirmado")),"Atualizar status",IF(AND($F1976="Compareceu",$P1976&gt;0.005),"Cobrar",IF($F1976="Faltou","Falta: reagendar","")))))</f>
        <v>0</v>
      </c>
      <c r="T1976" s="29">
        <f>IF($A1976="","",DATE(YEAR($A1976),MONTH($A1976),1))</f>
        <v>0</v>
      </c>
      <c r="U1976" s="30">
        <f>IF($S1976="CONFIRMAR",MAX($U$4:$U1975)+1,"")</f>
        <v>0</v>
      </c>
      <c r="V1976" s="30">
        <f>IF(AND($R1976="Não",$Q1976&lt;&gt;"",$Q1976&lt;=Hoje+JanelaRet,$Q1976&gt;=Hoje-60),MAX($V$4:$V1975)+1,"")</f>
        <v>0</v>
      </c>
    </row>
    <row r="1977" spans="1:22">
      <c r="A1977" s="16"/>
      <c r="B1977" s="23"/>
      <c r="C1977" s="15"/>
      <c r="D1977" s="15"/>
      <c r="E1977" s="15"/>
      <c r="F1977" s="24"/>
      <c r="G1977" s="17"/>
      <c r="H1977" s="17"/>
      <c r="I1977" s="15"/>
      <c r="J1977" s="25">
        <f>IF($D1977="","",IFERROR(INDEX(PacNome,MATCH($D1977,PacCod,0)),"Paciente não cadastrado"))</f>
        <v>0</v>
      </c>
      <c r="K1977" s="26">
        <f>IF($D1977="","",IFERROR(INDEX(PacConv,MATCH($D1977,PacCod,0))&amp;"",""))</f>
        <v>0</v>
      </c>
      <c r="L1977" s="26">
        <f>IF($A1977="","",CHOOSE(WEEKDAY($A1977,2),"Seg","Ter","Qua","Qui","Sex","Sáb","Dom"))</f>
        <v>0</v>
      </c>
      <c r="M1977" s="27">
        <f>IF($E1977="","",IF($G1977&lt;&gt;"",$G1977,IFERROR(INDEX(ProcValor,MATCH($E1977,ProcNome,0)),0)))</f>
        <v>0</v>
      </c>
      <c r="N1977" s="27">
        <f>IF($M1977="","",IF($F1977="Compareceu",$M1977,0))</f>
        <v>0</v>
      </c>
      <c r="O1977" s="27">
        <f>IF($M1977="","",IF($F1977="Faltou",$M1977,0))</f>
        <v>0</v>
      </c>
      <c r="P1977" s="27">
        <f>IF($M1977="","",IF($F1977="Compareceu",MAX(0,$M1977-N($H1977)),0))</f>
        <v>0</v>
      </c>
      <c r="Q1977" s="19">
        <f>IF(AND($F1977="Compareceu",$E1977&lt;&gt;"",$A1977&lt;&gt;""),IF(IFERROR(INDEX(ProcRet,MATCH($E1977,ProcNome,0)),0)&gt;0,$A1977+INDEX(ProcRet,MATCH($E1977,ProcNome,0)),""),"")</f>
        <v>0</v>
      </c>
      <c r="R1977" s="26">
        <f>IF($Q1977="","",IF(COUNTIFS(AgPac,$D1977,AgData,"&gt;"&amp;$A1977,AgStatus,"&lt;&gt;Cancelado",AgStatus,"&lt;&gt;Remarcado")&gt;0,"Sim","Não"))</f>
        <v>0</v>
      </c>
      <c r="S1977" s="28">
        <f>IF($A1977="","",IF(AND($F1977="Agendado",$A1977-Hoje&gt;=0,$A1977-Hoje&lt;=DiasConf),"CONFIRMAR",IF(AND($A1977&lt;Hoje,OR($F1977="Agendado",$F1977="Confirmado")),"Atualizar status",IF(AND($F1977="Compareceu",$P1977&gt;0.005),"Cobrar",IF($F1977="Faltou","Falta: reagendar","")))))</f>
        <v>0</v>
      </c>
      <c r="T1977" s="29">
        <f>IF($A1977="","",DATE(YEAR($A1977),MONTH($A1977),1))</f>
        <v>0</v>
      </c>
      <c r="U1977" s="30">
        <f>IF($S1977="CONFIRMAR",MAX($U$4:$U1976)+1,"")</f>
        <v>0</v>
      </c>
      <c r="V1977" s="30">
        <f>IF(AND($R1977="Não",$Q1977&lt;&gt;"",$Q1977&lt;=Hoje+JanelaRet,$Q1977&gt;=Hoje-60),MAX($V$4:$V1976)+1,"")</f>
        <v>0</v>
      </c>
    </row>
    <row r="1978" spans="1:22">
      <c r="A1978" s="16"/>
      <c r="B1978" s="23"/>
      <c r="C1978" s="15"/>
      <c r="D1978" s="15"/>
      <c r="E1978" s="15"/>
      <c r="F1978" s="24"/>
      <c r="G1978" s="17"/>
      <c r="H1978" s="17"/>
      <c r="I1978" s="15"/>
      <c r="J1978" s="25">
        <f>IF($D1978="","",IFERROR(INDEX(PacNome,MATCH($D1978,PacCod,0)),"Paciente não cadastrado"))</f>
        <v>0</v>
      </c>
      <c r="K1978" s="26">
        <f>IF($D1978="","",IFERROR(INDEX(PacConv,MATCH($D1978,PacCod,0))&amp;"",""))</f>
        <v>0</v>
      </c>
      <c r="L1978" s="26">
        <f>IF($A1978="","",CHOOSE(WEEKDAY($A1978,2),"Seg","Ter","Qua","Qui","Sex","Sáb","Dom"))</f>
        <v>0</v>
      </c>
      <c r="M1978" s="27">
        <f>IF($E1978="","",IF($G1978&lt;&gt;"",$G1978,IFERROR(INDEX(ProcValor,MATCH($E1978,ProcNome,0)),0)))</f>
        <v>0</v>
      </c>
      <c r="N1978" s="27">
        <f>IF($M1978="","",IF($F1978="Compareceu",$M1978,0))</f>
        <v>0</v>
      </c>
      <c r="O1978" s="27">
        <f>IF($M1978="","",IF($F1978="Faltou",$M1978,0))</f>
        <v>0</v>
      </c>
      <c r="P1978" s="27">
        <f>IF($M1978="","",IF($F1978="Compareceu",MAX(0,$M1978-N($H1978)),0))</f>
        <v>0</v>
      </c>
      <c r="Q1978" s="19">
        <f>IF(AND($F1978="Compareceu",$E1978&lt;&gt;"",$A1978&lt;&gt;""),IF(IFERROR(INDEX(ProcRet,MATCH($E1978,ProcNome,0)),0)&gt;0,$A1978+INDEX(ProcRet,MATCH($E1978,ProcNome,0)),""),"")</f>
        <v>0</v>
      </c>
      <c r="R1978" s="26">
        <f>IF($Q1978="","",IF(COUNTIFS(AgPac,$D1978,AgData,"&gt;"&amp;$A1978,AgStatus,"&lt;&gt;Cancelado",AgStatus,"&lt;&gt;Remarcado")&gt;0,"Sim","Não"))</f>
        <v>0</v>
      </c>
      <c r="S1978" s="28">
        <f>IF($A1978="","",IF(AND($F1978="Agendado",$A1978-Hoje&gt;=0,$A1978-Hoje&lt;=DiasConf),"CONFIRMAR",IF(AND($A1978&lt;Hoje,OR($F1978="Agendado",$F1978="Confirmado")),"Atualizar status",IF(AND($F1978="Compareceu",$P1978&gt;0.005),"Cobrar",IF($F1978="Faltou","Falta: reagendar","")))))</f>
        <v>0</v>
      </c>
      <c r="T1978" s="29">
        <f>IF($A1978="","",DATE(YEAR($A1978),MONTH($A1978),1))</f>
        <v>0</v>
      </c>
      <c r="U1978" s="30">
        <f>IF($S1978="CONFIRMAR",MAX($U$4:$U1977)+1,"")</f>
        <v>0</v>
      </c>
      <c r="V1978" s="30">
        <f>IF(AND($R1978="Não",$Q1978&lt;&gt;"",$Q1978&lt;=Hoje+JanelaRet,$Q1978&gt;=Hoje-60),MAX($V$4:$V1977)+1,"")</f>
        <v>0</v>
      </c>
    </row>
    <row r="1979" spans="1:22">
      <c r="A1979" s="16"/>
      <c r="B1979" s="23"/>
      <c r="C1979" s="15"/>
      <c r="D1979" s="15"/>
      <c r="E1979" s="15"/>
      <c r="F1979" s="24"/>
      <c r="G1979" s="17"/>
      <c r="H1979" s="17"/>
      <c r="I1979" s="15"/>
      <c r="J1979" s="25">
        <f>IF($D1979="","",IFERROR(INDEX(PacNome,MATCH($D1979,PacCod,0)),"Paciente não cadastrado"))</f>
        <v>0</v>
      </c>
      <c r="K1979" s="26">
        <f>IF($D1979="","",IFERROR(INDEX(PacConv,MATCH($D1979,PacCod,0))&amp;"",""))</f>
        <v>0</v>
      </c>
      <c r="L1979" s="26">
        <f>IF($A1979="","",CHOOSE(WEEKDAY($A1979,2),"Seg","Ter","Qua","Qui","Sex","Sáb","Dom"))</f>
        <v>0</v>
      </c>
      <c r="M1979" s="27">
        <f>IF($E1979="","",IF($G1979&lt;&gt;"",$G1979,IFERROR(INDEX(ProcValor,MATCH($E1979,ProcNome,0)),0)))</f>
        <v>0</v>
      </c>
      <c r="N1979" s="27">
        <f>IF($M1979="","",IF($F1979="Compareceu",$M1979,0))</f>
        <v>0</v>
      </c>
      <c r="O1979" s="27">
        <f>IF($M1979="","",IF($F1979="Faltou",$M1979,0))</f>
        <v>0</v>
      </c>
      <c r="P1979" s="27">
        <f>IF($M1979="","",IF($F1979="Compareceu",MAX(0,$M1979-N($H1979)),0))</f>
        <v>0</v>
      </c>
      <c r="Q1979" s="19">
        <f>IF(AND($F1979="Compareceu",$E1979&lt;&gt;"",$A1979&lt;&gt;""),IF(IFERROR(INDEX(ProcRet,MATCH($E1979,ProcNome,0)),0)&gt;0,$A1979+INDEX(ProcRet,MATCH($E1979,ProcNome,0)),""),"")</f>
        <v>0</v>
      </c>
      <c r="R1979" s="26">
        <f>IF($Q1979="","",IF(COUNTIFS(AgPac,$D1979,AgData,"&gt;"&amp;$A1979,AgStatus,"&lt;&gt;Cancelado",AgStatus,"&lt;&gt;Remarcado")&gt;0,"Sim","Não"))</f>
        <v>0</v>
      </c>
      <c r="S1979" s="28">
        <f>IF($A1979="","",IF(AND($F1979="Agendado",$A1979-Hoje&gt;=0,$A1979-Hoje&lt;=DiasConf),"CONFIRMAR",IF(AND($A1979&lt;Hoje,OR($F1979="Agendado",$F1979="Confirmado")),"Atualizar status",IF(AND($F1979="Compareceu",$P1979&gt;0.005),"Cobrar",IF($F1979="Faltou","Falta: reagendar","")))))</f>
        <v>0</v>
      </c>
      <c r="T1979" s="29">
        <f>IF($A1979="","",DATE(YEAR($A1979),MONTH($A1979),1))</f>
        <v>0</v>
      </c>
      <c r="U1979" s="30">
        <f>IF($S1979="CONFIRMAR",MAX($U$4:$U1978)+1,"")</f>
        <v>0</v>
      </c>
      <c r="V1979" s="30">
        <f>IF(AND($R1979="Não",$Q1979&lt;&gt;"",$Q1979&lt;=Hoje+JanelaRet,$Q1979&gt;=Hoje-60),MAX($V$4:$V1978)+1,"")</f>
        <v>0</v>
      </c>
    </row>
    <row r="1980" spans="1:22">
      <c r="A1980" s="16"/>
      <c r="B1980" s="23"/>
      <c r="C1980" s="15"/>
      <c r="D1980" s="15"/>
      <c r="E1980" s="15"/>
      <c r="F1980" s="24"/>
      <c r="G1980" s="17"/>
      <c r="H1980" s="17"/>
      <c r="I1980" s="15"/>
      <c r="J1980" s="25">
        <f>IF($D1980="","",IFERROR(INDEX(PacNome,MATCH($D1980,PacCod,0)),"Paciente não cadastrado"))</f>
        <v>0</v>
      </c>
      <c r="K1980" s="26">
        <f>IF($D1980="","",IFERROR(INDEX(PacConv,MATCH($D1980,PacCod,0))&amp;"",""))</f>
        <v>0</v>
      </c>
      <c r="L1980" s="26">
        <f>IF($A1980="","",CHOOSE(WEEKDAY($A1980,2),"Seg","Ter","Qua","Qui","Sex","Sáb","Dom"))</f>
        <v>0</v>
      </c>
      <c r="M1980" s="27">
        <f>IF($E1980="","",IF($G1980&lt;&gt;"",$G1980,IFERROR(INDEX(ProcValor,MATCH($E1980,ProcNome,0)),0)))</f>
        <v>0</v>
      </c>
      <c r="N1980" s="27">
        <f>IF($M1980="","",IF($F1980="Compareceu",$M1980,0))</f>
        <v>0</v>
      </c>
      <c r="O1980" s="27">
        <f>IF($M1980="","",IF($F1980="Faltou",$M1980,0))</f>
        <v>0</v>
      </c>
      <c r="P1980" s="27">
        <f>IF($M1980="","",IF($F1980="Compareceu",MAX(0,$M1980-N($H1980)),0))</f>
        <v>0</v>
      </c>
      <c r="Q1980" s="19">
        <f>IF(AND($F1980="Compareceu",$E1980&lt;&gt;"",$A1980&lt;&gt;""),IF(IFERROR(INDEX(ProcRet,MATCH($E1980,ProcNome,0)),0)&gt;0,$A1980+INDEX(ProcRet,MATCH($E1980,ProcNome,0)),""),"")</f>
        <v>0</v>
      </c>
      <c r="R1980" s="26">
        <f>IF($Q1980="","",IF(COUNTIFS(AgPac,$D1980,AgData,"&gt;"&amp;$A1980,AgStatus,"&lt;&gt;Cancelado",AgStatus,"&lt;&gt;Remarcado")&gt;0,"Sim","Não"))</f>
        <v>0</v>
      </c>
      <c r="S1980" s="28">
        <f>IF($A1980="","",IF(AND($F1980="Agendado",$A1980-Hoje&gt;=0,$A1980-Hoje&lt;=DiasConf),"CONFIRMAR",IF(AND($A1980&lt;Hoje,OR($F1980="Agendado",$F1980="Confirmado")),"Atualizar status",IF(AND($F1980="Compareceu",$P1980&gt;0.005),"Cobrar",IF($F1980="Faltou","Falta: reagendar","")))))</f>
        <v>0</v>
      </c>
      <c r="T1980" s="29">
        <f>IF($A1980="","",DATE(YEAR($A1980),MONTH($A1980),1))</f>
        <v>0</v>
      </c>
      <c r="U1980" s="30">
        <f>IF($S1980="CONFIRMAR",MAX($U$4:$U1979)+1,"")</f>
        <v>0</v>
      </c>
      <c r="V1980" s="30">
        <f>IF(AND($R1980="Não",$Q1980&lt;&gt;"",$Q1980&lt;=Hoje+JanelaRet,$Q1980&gt;=Hoje-60),MAX($V$4:$V1979)+1,"")</f>
        <v>0</v>
      </c>
    </row>
    <row r="1981" spans="1:22">
      <c r="A1981" s="16"/>
      <c r="B1981" s="23"/>
      <c r="C1981" s="15"/>
      <c r="D1981" s="15"/>
      <c r="E1981" s="15"/>
      <c r="F1981" s="24"/>
      <c r="G1981" s="17"/>
      <c r="H1981" s="17"/>
      <c r="I1981" s="15"/>
      <c r="J1981" s="25">
        <f>IF($D1981="","",IFERROR(INDEX(PacNome,MATCH($D1981,PacCod,0)),"Paciente não cadastrado"))</f>
        <v>0</v>
      </c>
      <c r="K1981" s="26">
        <f>IF($D1981="","",IFERROR(INDEX(PacConv,MATCH($D1981,PacCod,0))&amp;"",""))</f>
        <v>0</v>
      </c>
      <c r="L1981" s="26">
        <f>IF($A1981="","",CHOOSE(WEEKDAY($A1981,2),"Seg","Ter","Qua","Qui","Sex","Sáb","Dom"))</f>
        <v>0</v>
      </c>
      <c r="M1981" s="27">
        <f>IF($E1981="","",IF($G1981&lt;&gt;"",$G1981,IFERROR(INDEX(ProcValor,MATCH($E1981,ProcNome,0)),0)))</f>
        <v>0</v>
      </c>
      <c r="N1981" s="27">
        <f>IF($M1981="","",IF($F1981="Compareceu",$M1981,0))</f>
        <v>0</v>
      </c>
      <c r="O1981" s="27">
        <f>IF($M1981="","",IF($F1981="Faltou",$M1981,0))</f>
        <v>0</v>
      </c>
      <c r="P1981" s="27">
        <f>IF($M1981="","",IF($F1981="Compareceu",MAX(0,$M1981-N($H1981)),0))</f>
        <v>0</v>
      </c>
      <c r="Q1981" s="19">
        <f>IF(AND($F1981="Compareceu",$E1981&lt;&gt;"",$A1981&lt;&gt;""),IF(IFERROR(INDEX(ProcRet,MATCH($E1981,ProcNome,0)),0)&gt;0,$A1981+INDEX(ProcRet,MATCH($E1981,ProcNome,0)),""),"")</f>
        <v>0</v>
      </c>
      <c r="R1981" s="26">
        <f>IF($Q1981="","",IF(COUNTIFS(AgPac,$D1981,AgData,"&gt;"&amp;$A1981,AgStatus,"&lt;&gt;Cancelado",AgStatus,"&lt;&gt;Remarcado")&gt;0,"Sim","Não"))</f>
        <v>0</v>
      </c>
      <c r="S1981" s="28">
        <f>IF($A1981="","",IF(AND($F1981="Agendado",$A1981-Hoje&gt;=0,$A1981-Hoje&lt;=DiasConf),"CONFIRMAR",IF(AND($A1981&lt;Hoje,OR($F1981="Agendado",$F1981="Confirmado")),"Atualizar status",IF(AND($F1981="Compareceu",$P1981&gt;0.005),"Cobrar",IF($F1981="Faltou","Falta: reagendar","")))))</f>
        <v>0</v>
      </c>
      <c r="T1981" s="29">
        <f>IF($A1981="","",DATE(YEAR($A1981),MONTH($A1981),1))</f>
        <v>0</v>
      </c>
      <c r="U1981" s="30">
        <f>IF($S1981="CONFIRMAR",MAX($U$4:$U1980)+1,"")</f>
        <v>0</v>
      </c>
      <c r="V1981" s="30">
        <f>IF(AND($R1981="Não",$Q1981&lt;&gt;"",$Q1981&lt;=Hoje+JanelaRet,$Q1981&gt;=Hoje-60),MAX($V$4:$V1980)+1,"")</f>
        <v>0</v>
      </c>
    </row>
    <row r="1982" spans="1:22">
      <c r="A1982" s="16"/>
      <c r="B1982" s="23"/>
      <c r="C1982" s="15"/>
      <c r="D1982" s="15"/>
      <c r="E1982" s="15"/>
      <c r="F1982" s="24"/>
      <c r="G1982" s="17"/>
      <c r="H1982" s="17"/>
      <c r="I1982" s="15"/>
      <c r="J1982" s="25">
        <f>IF($D1982="","",IFERROR(INDEX(PacNome,MATCH($D1982,PacCod,0)),"Paciente não cadastrado"))</f>
        <v>0</v>
      </c>
      <c r="K1982" s="26">
        <f>IF($D1982="","",IFERROR(INDEX(PacConv,MATCH($D1982,PacCod,0))&amp;"",""))</f>
        <v>0</v>
      </c>
      <c r="L1982" s="26">
        <f>IF($A1982="","",CHOOSE(WEEKDAY($A1982,2),"Seg","Ter","Qua","Qui","Sex","Sáb","Dom"))</f>
        <v>0</v>
      </c>
      <c r="M1982" s="27">
        <f>IF($E1982="","",IF($G1982&lt;&gt;"",$G1982,IFERROR(INDEX(ProcValor,MATCH($E1982,ProcNome,0)),0)))</f>
        <v>0</v>
      </c>
      <c r="N1982" s="27">
        <f>IF($M1982="","",IF($F1982="Compareceu",$M1982,0))</f>
        <v>0</v>
      </c>
      <c r="O1982" s="27">
        <f>IF($M1982="","",IF($F1982="Faltou",$M1982,0))</f>
        <v>0</v>
      </c>
      <c r="P1982" s="27">
        <f>IF($M1982="","",IF($F1982="Compareceu",MAX(0,$M1982-N($H1982)),0))</f>
        <v>0</v>
      </c>
      <c r="Q1982" s="19">
        <f>IF(AND($F1982="Compareceu",$E1982&lt;&gt;"",$A1982&lt;&gt;""),IF(IFERROR(INDEX(ProcRet,MATCH($E1982,ProcNome,0)),0)&gt;0,$A1982+INDEX(ProcRet,MATCH($E1982,ProcNome,0)),""),"")</f>
        <v>0</v>
      </c>
      <c r="R1982" s="26">
        <f>IF($Q1982="","",IF(COUNTIFS(AgPac,$D1982,AgData,"&gt;"&amp;$A1982,AgStatus,"&lt;&gt;Cancelado",AgStatus,"&lt;&gt;Remarcado")&gt;0,"Sim","Não"))</f>
        <v>0</v>
      </c>
      <c r="S1982" s="28">
        <f>IF($A1982="","",IF(AND($F1982="Agendado",$A1982-Hoje&gt;=0,$A1982-Hoje&lt;=DiasConf),"CONFIRMAR",IF(AND($A1982&lt;Hoje,OR($F1982="Agendado",$F1982="Confirmado")),"Atualizar status",IF(AND($F1982="Compareceu",$P1982&gt;0.005),"Cobrar",IF($F1982="Faltou","Falta: reagendar","")))))</f>
        <v>0</v>
      </c>
      <c r="T1982" s="29">
        <f>IF($A1982="","",DATE(YEAR($A1982),MONTH($A1982),1))</f>
        <v>0</v>
      </c>
      <c r="U1982" s="30">
        <f>IF($S1982="CONFIRMAR",MAX($U$4:$U1981)+1,"")</f>
        <v>0</v>
      </c>
      <c r="V1982" s="30">
        <f>IF(AND($R1982="Não",$Q1982&lt;&gt;"",$Q1982&lt;=Hoje+JanelaRet,$Q1982&gt;=Hoje-60),MAX($V$4:$V1981)+1,"")</f>
        <v>0</v>
      </c>
    </row>
    <row r="1983" spans="1:22">
      <c r="A1983" s="16"/>
      <c r="B1983" s="23"/>
      <c r="C1983" s="15"/>
      <c r="D1983" s="15"/>
      <c r="E1983" s="15"/>
      <c r="F1983" s="24"/>
      <c r="G1983" s="17"/>
      <c r="H1983" s="17"/>
      <c r="I1983" s="15"/>
      <c r="J1983" s="25">
        <f>IF($D1983="","",IFERROR(INDEX(PacNome,MATCH($D1983,PacCod,0)),"Paciente não cadastrado"))</f>
        <v>0</v>
      </c>
      <c r="K1983" s="26">
        <f>IF($D1983="","",IFERROR(INDEX(PacConv,MATCH($D1983,PacCod,0))&amp;"",""))</f>
        <v>0</v>
      </c>
      <c r="L1983" s="26">
        <f>IF($A1983="","",CHOOSE(WEEKDAY($A1983,2),"Seg","Ter","Qua","Qui","Sex","Sáb","Dom"))</f>
        <v>0</v>
      </c>
      <c r="M1983" s="27">
        <f>IF($E1983="","",IF($G1983&lt;&gt;"",$G1983,IFERROR(INDEX(ProcValor,MATCH($E1983,ProcNome,0)),0)))</f>
        <v>0</v>
      </c>
      <c r="N1983" s="27">
        <f>IF($M1983="","",IF($F1983="Compareceu",$M1983,0))</f>
        <v>0</v>
      </c>
      <c r="O1983" s="27">
        <f>IF($M1983="","",IF($F1983="Faltou",$M1983,0))</f>
        <v>0</v>
      </c>
      <c r="P1983" s="27">
        <f>IF($M1983="","",IF($F1983="Compareceu",MAX(0,$M1983-N($H1983)),0))</f>
        <v>0</v>
      </c>
      <c r="Q1983" s="19">
        <f>IF(AND($F1983="Compareceu",$E1983&lt;&gt;"",$A1983&lt;&gt;""),IF(IFERROR(INDEX(ProcRet,MATCH($E1983,ProcNome,0)),0)&gt;0,$A1983+INDEX(ProcRet,MATCH($E1983,ProcNome,0)),""),"")</f>
        <v>0</v>
      </c>
      <c r="R1983" s="26">
        <f>IF($Q1983="","",IF(COUNTIFS(AgPac,$D1983,AgData,"&gt;"&amp;$A1983,AgStatus,"&lt;&gt;Cancelado",AgStatus,"&lt;&gt;Remarcado")&gt;0,"Sim","Não"))</f>
        <v>0</v>
      </c>
      <c r="S1983" s="28">
        <f>IF($A1983="","",IF(AND($F1983="Agendado",$A1983-Hoje&gt;=0,$A1983-Hoje&lt;=DiasConf),"CONFIRMAR",IF(AND($A1983&lt;Hoje,OR($F1983="Agendado",$F1983="Confirmado")),"Atualizar status",IF(AND($F1983="Compareceu",$P1983&gt;0.005),"Cobrar",IF($F1983="Faltou","Falta: reagendar","")))))</f>
        <v>0</v>
      </c>
      <c r="T1983" s="29">
        <f>IF($A1983="","",DATE(YEAR($A1983),MONTH($A1983),1))</f>
        <v>0</v>
      </c>
      <c r="U1983" s="30">
        <f>IF($S1983="CONFIRMAR",MAX($U$4:$U1982)+1,"")</f>
        <v>0</v>
      </c>
      <c r="V1983" s="30">
        <f>IF(AND($R1983="Não",$Q1983&lt;&gt;"",$Q1983&lt;=Hoje+JanelaRet,$Q1983&gt;=Hoje-60),MAX($V$4:$V1982)+1,"")</f>
        <v>0</v>
      </c>
    </row>
    <row r="1984" spans="1:22">
      <c r="A1984" s="16"/>
      <c r="B1984" s="23"/>
      <c r="C1984" s="15"/>
      <c r="D1984" s="15"/>
      <c r="E1984" s="15"/>
      <c r="F1984" s="24"/>
      <c r="G1984" s="17"/>
      <c r="H1984" s="17"/>
      <c r="I1984" s="15"/>
      <c r="J1984" s="25">
        <f>IF($D1984="","",IFERROR(INDEX(PacNome,MATCH($D1984,PacCod,0)),"Paciente não cadastrado"))</f>
        <v>0</v>
      </c>
      <c r="K1984" s="26">
        <f>IF($D1984="","",IFERROR(INDEX(PacConv,MATCH($D1984,PacCod,0))&amp;"",""))</f>
        <v>0</v>
      </c>
      <c r="L1984" s="26">
        <f>IF($A1984="","",CHOOSE(WEEKDAY($A1984,2),"Seg","Ter","Qua","Qui","Sex","Sáb","Dom"))</f>
        <v>0</v>
      </c>
      <c r="M1984" s="27">
        <f>IF($E1984="","",IF($G1984&lt;&gt;"",$G1984,IFERROR(INDEX(ProcValor,MATCH($E1984,ProcNome,0)),0)))</f>
        <v>0</v>
      </c>
      <c r="N1984" s="27">
        <f>IF($M1984="","",IF($F1984="Compareceu",$M1984,0))</f>
        <v>0</v>
      </c>
      <c r="O1984" s="27">
        <f>IF($M1984="","",IF($F1984="Faltou",$M1984,0))</f>
        <v>0</v>
      </c>
      <c r="P1984" s="27">
        <f>IF($M1984="","",IF($F1984="Compareceu",MAX(0,$M1984-N($H1984)),0))</f>
        <v>0</v>
      </c>
      <c r="Q1984" s="19">
        <f>IF(AND($F1984="Compareceu",$E1984&lt;&gt;"",$A1984&lt;&gt;""),IF(IFERROR(INDEX(ProcRet,MATCH($E1984,ProcNome,0)),0)&gt;0,$A1984+INDEX(ProcRet,MATCH($E1984,ProcNome,0)),""),"")</f>
        <v>0</v>
      </c>
      <c r="R1984" s="26">
        <f>IF($Q1984="","",IF(COUNTIFS(AgPac,$D1984,AgData,"&gt;"&amp;$A1984,AgStatus,"&lt;&gt;Cancelado",AgStatus,"&lt;&gt;Remarcado")&gt;0,"Sim","Não"))</f>
        <v>0</v>
      </c>
      <c r="S1984" s="28">
        <f>IF($A1984="","",IF(AND($F1984="Agendado",$A1984-Hoje&gt;=0,$A1984-Hoje&lt;=DiasConf),"CONFIRMAR",IF(AND($A1984&lt;Hoje,OR($F1984="Agendado",$F1984="Confirmado")),"Atualizar status",IF(AND($F1984="Compareceu",$P1984&gt;0.005),"Cobrar",IF($F1984="Faltou","Falta: reagendar","")))))</f>
        <v>0</v>
      </c>
      <c r="T1984" s="29">
        <f>IF($A1984="","",DATE(YEAR($A1984),MONTH($A1984),1))</f>
        <v>0</v>
      </c>
      <c r="U1984" s="30">
        <f>IF($S1984="CONFIRMAR",MAX($U$4:$U1983)+1,"")</f>
        <v>0</v>
      </c>
      <c r="V1984" s="30">
        <f>IF(AND($R1984="Não",$Q1984&lt;&gt;"",$Q1984&lt;=Hoje+JanelaRet,$Q1984&gt;=Hoje-60),MAX($V$4:$V1983)+1,"")</f>
        <v>0</v>
      </c>
    </row>
    <row r="1985" spans="1:22">
      <c r="A1985" s="16"/>
      <c r="B1985" s="23"/>
      <c r="C1985" s="15"/>
      <c r="D1985" s="15"/>
      <c r="E1985" s="15"/>
      <c r="F1985" s="24"/>
      <c r="G1985" s="17"/>
      <c r="H1985" s="17"/>
      <c r="I1985" s="15"/>
      <c r="J1985" s="25">
        <f>IF($D1985="","",IFERROR(INDEX(PacNome,MATCH($D1985,PacCod,0)),"Paciente não cadastrado"))</f>
        <v>0</v>
      </c>
      <c r="K1985" s="26">
        <f>IF($D1985="","",IFERROR(INDEX(PacConv,MATCH($D1985,PacCod,0))&amp;"",""))</f>
        <v>0</v>
      </c>
      <c r="L1985" s="26">
        <f>IF($A1985="","",CHOOSE(WEEKDAY($A1985,2),"Seg","Ter","Qua","Qui","Sex","Sáb","Dom"))</f>
        <v>0</v>
      </c>
      <c r="M1985" s="27">
        <f>IF($E1985="","",IF($G1985&lt;&gt;"",$G1985,IFERROR(INDEX(ProcValor,MATCH($E1985,ProcNome,0)),0)))</f>
        <v>0</v>
      </c>
      <c r="N1985" s="27">
        <f>IF($M1985="","",IF($F1985="Compareceu",$M1985,0))</f>
        <v>0</v>
      </c>
      <c r="O1985" s="27">
        <f>IF($M1985="","",IF($F1985="Faltou",$M1985,0))</f>
        <v>0</v>
      </c>
      <c r="P1985" s="27">
        <f>IF($M1985="","",IF($F1985="Compareceu",MAX(0,$M1985-N($H1985)),0))</f>
        <v>0</v>
      </c>
      <c r="Q1985" s="19">
        <f>IF(AND($F1985="Compareceu",$E1985&lt;&gt;"",$A1985&lt;&gt;""),IF(IFERROR(INDEX(ProcRet,MATCH($E1985,ProcNome,0)),0)&gt;0,$A1985+INDEX(ProcRet,MATCH($E1985,ProcNome,0)),""),"")</f>
        <v>0</v>
      </c>
      <c r="R1985" s="26">
        <f>IF($Q1985="","",IF(COUNTIFS(AgPac,$D1985,AgData,"&gt;"&amp;$A1985,AgStatus,"&lt;&gt;Cancelado",AgStatus,"&lt;&gt;Remarcado")&gt;0,"Sim","Não"))</f>
        <v>0</v>
      </c>
      <c r="S1985" s="28">
        <f>IF($A1985="","",IF(AND($F1985="Agendado",$A1985-Hoje&gt;=0,$A1985-Hoje&lt;=DiasConf),"CONFIRMAR",IF(AND($A1985&lt;Hoje,OR($F1985="Agendado",$F1985="Confirmado")),"Atualizar status",IF(AND($F1985="Compareceu",$P1985&gt;0.005),"Cobrar",IF($F1985="Faltou","Falta: reagendar","")))))</f>
        <v>0</v>
      </c>
      <c r="T1985" s="29">
        <f>IF($A1985="","",DATE(YEAR($A1985),MONTH($A1985),1))</f>
        <v>0</v>
      </c>
      <c r="U1985" s="30">
        <f>IF($S1985="CONFIRMAR",MAX($U$4:$U1984)+1,"")</f>
        <v>0</v>
      </c>
      <c r="V1985" s="30">
        <f>IF(AND($R1985="Não",$Q1985&lt;&gt;"",$Q1985&lt;=Hoje+JanelaRet,$Q1985&gt;=Hoje-60),MAX($V$4:$V1984)+1,"")</f>
        <v>0</v>
      </c>
    </row>
    <row r="1986" spans="1:22">
      <c r="A1986" s="16"/>
      <c r="B1986" s="23"/>
      <c r="C1986" s="15"/>
      <c r="D1986" s="15"/>
      <c r="E1986" s="15"/>
      <c r="F1986" s="24"/>
      <c r="G1986" s="17"/>
      <c r="H1986" s="17"/>
      <c r="I1986" s="15"/>
      <c r="J1986" s="25">
        <f>IF($D1986="","",IFERROR(INDEX(PacNome,MATCH($D1986,PacCod,0)),"Paciente não cadastrado"))</f>
        <v>0</v>
      </c>
      <c r="K1986" s="26">
        <f>IF($D1986="","",IFERROR(INDEX(PacConv,MATCH($D1986,PacCod,0))&amp;"",""))</f>
        <v>0</v>
      </c>
      <c r="L1986" s="26">
        <f>IF($A1986="","",CHOOSE(WEEKDAY($A1986,2),"Seg","Ter","Qua","Qui","Sex","Sáb","Dom"))</f>
        <v>0</v>
      </c>
      <c r="M1986" s="27">
        <f>IF($E1986="","",IF($G1986&lt;&gt;"",$G1986,IFERROR(INDEX(ProcValor,MATCH($E1986,ProcNome,0)),0)))</f>
        <v>0</v>
      </c>
      <c r="N1986" s="27">
        <f>IF($M1986="","",IF($F1986="Compareceu",$M1986,0))</f>
        <v>0</v>
      </c>
      <c r="O1986" s="27">
        <f>IF($M1986="","",IF($F1986="Faltou",$M1986,0))</f>
        <v>0</v>
      </c>
      <c r="P1986" s="27">
        <f>IF($M1986="","",IF($F1986="Compareceu",MAX(0,$M1986-N($H1986)),0))</f>
        <v>0</v>
      </c>
      <c r="Q1986" s="19">
        <f>IF(AND($F1986="Compareceu",$E1986&lt;&gt;"",$A1986&lt;&gt;""),IF(IFERROR(INDEX(ProcRet,MATCH($E1986,ProcNome,0)),0)&gt;0,$A1986+INDEX(ProcRet,MATCH($E1986,ProcNome,0)),""),"")</f>
        <v>0</v>
      </c>
      <c r="R1986" s="26">
        <f>IF($Q1986="","",IF(COUNTIFS(AgPac,$D1986,AgData,"&gt;"&amp;$A1986,AgStatus,"&lt;&gt;Cancelado",AgStatus,"&lt;&gt;Remarcado")&gt;0,"Sim","Não"))</f>
        <v>0</v>
      </c>
      <c r="S1986" s="28">
        <f>IF($A1986="","",IF(AND($F1986="Agendado",$A1986-Hoje&gt;=0,$A1986-Hoje&lt;=DiasConf),"CONFIRMAR",IF(AND($A1986&lt;Hoje,OR($F1986="Agendado",$F1986="Confirmado")),"Atualizar status",IF(AND($F1986="Compareceu",$P1986&gt;0.005),"Cobrar",IF($F1986="Faltou","Falta: reagendar","")))))</f>
        <v>0</v>
      </c>
      <c r="T1986" s="29">
        <f>IF($A1986="","",DATE(YEAR($A1986),MONTH($A1986),1))</f>
        <v>0</v>
      </c>
      <c r="U1986" s="30">
        <f>IF($S1986="CONFIRMAR",MAX($U$4:$U1985)+1,"")</f>
        <v>0</v>
      </c>
      <c r="V1986" s="30">
        <f>IF(AND($R1986="Não",$Q1986&lt;&gt;"",$Q1986&lt;=Hoje+JanelaRet,$Q1986&gt;=Hoje-60),MAX($V$4:$V1985)+1,"")</f>
        <v>0</v>
      </c>
    </row>
    <row r="1987" spans="1:22">
      <c r="A1987" s="16"/>
      <c r="B1987" s="23"/>
      <c r="C1987" s="15"/>
      <c r="D1987" s="15"/>
      <c r="E1987" s="15"/>
      <c r="F1987" s="24"/>
      <c r="G1987" s="17"/>
      <c r="H1987" s="17"/>
      <c r="I1987" s="15"/>
      <c r="J1987" s="25">
        <f>IF($D1987="","",IFERROR(INDEX(PacNome,MATCH($D1987,PacCod,0)),"Paciente não cadastrado"))</f>
        <v>0</v>
      </c>
      <c r="K1987" s="26">
        <f>IF($D1987="","",IFERROR(INDEX(PacConv,MATCH($D1987,PacCod,0))&amp;"",""))</f>
        <v>0</v>
      </c>
      <c r="L1987" s="26">
        <f>IF($A1987="","",CHOOSE(WEEKDAY($A1987,2),"Seg","Ter","Qua","Qui","Sex","Sáb","Dom"))</f>
        <v>0</v>
      </c>
      <c r="M1987" s="27">
        <f>IF($E1987="","",IF($G1987&lt;&gt;"",$G1987,IFERROR(INDEX(ProcValor,MATCH($E1987,ProcNome,0)),0)))</f>
        <v>0</v>
      </c>
      <c r="N1987" s="27">
        <f>IF($M1987="","",IF($F1987="Compareceu",$M1987,0))</f>
        <v>0</v>
      </c>
      <c r="O1987" s="27">
        <f>IF($M1987="","",IF($F1987="Faltou",$M1987,0))</f>
        <v>0</v>
      </c>
      <c r="P1987" s="27">
        <f>IF($M1987="","",IF($F1987="Compareceu",MAX(0,$M1987-N($H1987)),0))</f>
        <v>0</v>
      </c>
      <c r="Q1987" s="19">
        <f>IF(AND($F1987="Compareceu",$E1987&lt;&gt;"",$A1987&lt;&gt;""),IF(IFERROR(INDEX(ProcRet,MATCH($E1987,ProcNome,0)),0)&gt;0,$A1987+INDEX(ProcRet,MATCH($E1987,ProcNome,0)),""),"")</f>
        <v>0</v>
      </c>
      <c r="R1987" s="26">
        <f>IF($Q1987="","",IF(COUNTIFS(AgPac,$D1987,AgData,"&gt;"&amp;$A1987,AgStatus,"&lt;&gt;Cancelado",AgStatus,"&lt;&gt;Remarcado")&gt;0,"Sim","Não"))</f>
        <v>0</v>
      </c>
      <c r="S1987" s="28">
        <f>IF($A1987="","",IF(AND($F1987="Agendado",$A1987-Hoje&gt;=0,$A1987-Hoje&lt;=DiasConf),"CONFIRMAR",IF(AND($A1987&lt;Hoje,OR($F1987="Agendado",$F1987="Confirmado")),"Atualizar status",IF(AND($F1987="Compareceu",$P1987&gt;0.005),"Cobrar",IF($F1987="Faltou","Falta: reagendar","")))))</f>
        <v>0</v>
      </c>
      <c r="T1987" s="29">
        <f>IF($A1987="","",DATE(YEAR($A1987),MONTH($A1987),1))</f>
        <v>0</v>
      </c>
      <c r="U1987" s="30">
        <f>IF($S1987="CONFIRMAR",MAX($U$4:$U1986)+1,"")</f>
        <v>0</v>
      </c>
      <c r="V1987" s="30">
        <f>IF(AND($R1987="Não",$Q1987&lt;&gt;"",$Q1987&lt;=Hoje+JanelaRet,$Q1987&gt;=Hoje-60),MAX($V$4:$V1986)+1,"")</f>
        <v>0</v>
      </c>
    </row>
    <row r="1988" spans="1:22">
      <c r="A1988" s="16"/>
      <c r="B1988" s="23"/>
      <c r="C1988" s="15"/>
      <c r="D1988" s="15"/>
      <c r="E1988" s="15"/>
      <c r="F1988" s="24"/>
      <c r="G1988" s="17"/>
      <c r="H1988" s="17"/>
      <c r="I1988" s="15"/>
      <c r="J1988" s="25">
        <f>IF($D1988="","",IFERROR(INDEX(PacNome,MATCH($D1988,PacCod,0)),"Paciente não cadastrado"))</f>
        <v>0</v>
      </c>
      <c r="K1988" s="26">
        <f>IF($D1988="","",IFERROR(INDEX(PacConv,MATCH($D1988,PacCod,0))&amp;"",""))</f>
        <v>0</v>
      </c>
      <c r="L1988" s="26">
        <f>IF($A1988="","",CHOOSE(WEEKDAY($A1988,2),"Seg","Ter","Qua","Qui","Sex","Sáb","Dom"))</f>
        <v>0</v>
      </c>
      <c r="M1988" s="27">
        <f>IF($E1988="","",IF($G1988&lt;&gt;"",$G1988,IFERROR(INDEX(ProcValor,MATCH($E1988,ProcNome,0)),0)))</f>
        <v>0</v>
      </c>
      <c r="N1988" s="27">
        <f>IF($M1988="","",IF($F1988="Compareceu",$M1988,0))</f>
        <v>0</v>
      </c>
      <c r="O1988" s="27">
        <f>IF($M1988="","",IF($F1988="Faltou",$M1988,0))</f>
        <v>0</v>
      </c>
      <c r="P1988" s="27">
        <f>IF($M1988="","",IF($F1988="Compareceu",MAX(0,$M1988-N($H1988)),0))</f>
        <v>0</v>
      </c>
      <c r="Q1988" s="19">
        <f>IF(AND($F1988="Compareceu",$E1988&lt;&gt;"",$A1988&lt;&gt;""),IF(IFERROR(INDEX(ProcRet,MATCH($E1988,ProcNome,0)),0)&gt;0,$A1988+INDEX(ProcRet,MATCH($E1988,ProcNome,0)),""),"")</f>
        <v>0</v>
      </c>
      <c r="R1988" s="26">
        <f>IF($Q1988="","",IF(COUNTIFS(AgPac,$D1988,AgData,"&gt;"&amp;$A1988,AgStatus,"&lt;&gt;Cancelado",AgStatus,"&lt;&gt;Remarcado")&gt;0,"Sim","Não"))</f>
        <v>0</v>
      </c>
      <c r="S1988" s="28">
        <f>IF($A1988="","",IF(AND($F1988="Agendado",$A1988-Hoje&gt;=0,$A1988-Hoje&lt;=DiasConf),"CONFIRMAR",IF(AND($A1988&lt;Hoje,OR($F1988="Agendado",$F1988="Confirmado")),"Atualizar status",IF(AND($F1988="Compareceu",$P1988&gt;0.005),"Cobrar",IF($F1988="Faltou","Falta: reagendar","")))))</f>
        <v>0</v>
      </c>
      <c r="T1988" s="29">
        <f>IF($A1988="","",DATE(YEAR($A1988),MONTH($A1988),1))</f>
        <v>0</v>
      </c>
      <c r="U1988" s="30">
        <f>IF($S1988="CONFIRMAR",MAX($U$4:$U1987)+1,"")</f>
        <v>0</v>
      </c>
      <c r="V1988" s="30">
        <f>IF(AND($R1988="Não",$Q1988&lt;&gt;"",$Q1988&lt;=Hoje+JanelaRet,$Q1988&gt;=Hoje-60),MAX($V$4:$V1987)+1,"")</f>
        <v>0</v>
      </c>
    </row>
    <row r="1989" spans="1:22">
      <c r="A1989" s="16"/>
      <c r="B1989" s="23"/>
      <c r="C1989" s="15"/>
      <c r="D1989" s="15"/>
      <c r="E1989" s="15"/>
      <c r="F1989" s="24"/>
      <c r="G1989" s="17"/>
      <c r="H1989" s="17"/>
      <c r="I1989" s="15"/>
      <c r="J1989" s="25">
        <f>IF($D1989="","",IFERROR(INDEX(PacNome,MATCH($D1989,PacCod,0)),"Paciente não cadastrado"))</f>
        <v>0</v>
      </c>
      <c r="K1989" s="26">
        <f>IF($D1989="","",IFERROR(INDEX(PacConv,MATCH($D1989,PacCod,0))&amp;"",""))</f>
        <v>0</v>
      </c>
      <c r="L1989" s="26">
        <f>IF($A1989="","",CHOOSE(WEEKDAY($A1989,2),"Seg","Ter","Qua","Qui","Sex","Sáb","Dom"))</f>
        <v>0</v>
      </c>
      <c r="M1989" s="27">
        <f>IF($E1989="","",IF($G1989&lt;&gt;"",$G1989,IFERROR(INDEX(ProcValor,MATCH($E1989,ProcNome,0)),0)))</f>
        <v>0</v>
      </c>
      <c r="N1989" s="27">
        <f>IF($M1989="","",IF($F1989="Compareceu",$M1989,0))</f>
        <v>0</v>
      </c>
      <c r="O1989" s="27">
        <f>IF($M1989="","",IF($F1989="Faltou",$M1989,0))</f>
        <v>0</v>
      </c>
      <c r="P1989" s="27">
        <f>IF($M1989="","",IF($F1989="Compareceu",MAX(0,$M1989-N($H1989)),0))</f>
        <v>0</v>
      </c>
      <c r="Q1989" s="19">
        <f>IF(AND($F1989="Compareceu",$E1989&lt;&gt;"",$A1989&lt;&gt;""),IF(IFERROR(INDEX(ProcRet,MATCH($E1989,ProcNome,0)),0)&gt;0,$A1989+INDEX(ProcRet,MATCH($E1989,ProcNome,0)),""),"")</f>
        <v>0</v>
      </c>
      <c r="R1989" s="26">
        <f>IF($Q1989="","",IF(COUNTIFS(AgPac,$D1989,AgData,"&gt;"&amp;$A1989,AgStatus,"&lt;&gt;Cancelado",AgStatus,"&lt;&gt;Remarcado")&gt;0,"Sim","Não"))</f>
        <v>0</v>
      </c>
      <c r="S1989" s="28">
        <f>IF($A1989="","",IF(AND($F1989="Agendado",$A1989-Hoje&gt;=0,$A1989-Hoje&lt;=DiasConf),"CONFIRMAR",IF(AND($A1989&lt;Hoje,OR($F1989="Agendado",$F1989="Confirmado")),"Atualizar status",IF(AND($F1989="Compareceu",$P1989&gt;0.005),"Cobrar",IF($F1989="Faltou","Falta: reagendar","")))))</f>
        <v>0</v>
      </c>
      <c r="T1989" s="29">
        <f>IF($A1989="","",DATE(YEAR($A1989),MONTH($A1989),1))</f>
        <v>0</v>
      </c>
      <c r="U1989" s="30">
        <f>IF($S1989="CONFIRMAR",MAX($U$4:$U1988)+1,"")</f>
        <v>0</v>
      </c>
      <c r="V1989" s="30">
        <f>IF(AND($R1989="Não",$Q1989&lt;&gt;"",$Q1989&lt;=Hoje+JanelaRet,$Q1989&gt;=Hoje-60),MAX($V$4:$V1988)+1,"")</f>
        <v>0</v>
      </c>
    </row>
    <row r="1990" spans="1:22">
      <c r="A1990" s="16"/>
      <c r="B1990" s="23"/>
      <c r="C1990" s="15"/>
      <c r="D1990" s="15"/>
      <c r="E1990" s="15"/>
      <c r="F1990" s="24"/>
      <c r="G1990" s="17"/>
      <c r="H1990" s="17"/>
      <c r="I1990" s="15"/>
      <c r="J1990" s="25">
        <f>IF($D1990="","",IFERROR(INDEX(PacNome,MATCH($D1990,PacCod,0)),"Paciente não cadastrado"))</f>
        <v>0</v>
      </c>
      <c r="K1990" s="26">
        <f>IF($D1990="","",IFERROR(INDEX(PacConv,MATCH($D1990,PacCod,0))&amp;"",""))</f>
        <v>0</v>
      </c>
      <c r="L1990" s="26">
        <f>IF($A1990="","",CHOOSE(WEEKDAY($A1990,2),"Seg","Ter","Qua","Qui","Sex","Sáb","Dom"))</f>
        <v>0</v>
      </c>
      <c r="M1990" s="27">
        <f>IF($E1990="","",IF($G1990&lt;&gt;"",$G1990,IFERROR(INDEX(ProcValor,MATCH($E1990,ProcNome,0)),0)))</f>
        <v>0</v>
      </c>
      <c r="N1990" s="27">
        <f>IF($M1990="","",IF($F1990="Compareceu",$M1990,0))</f>
        <v>0</v>
      </c>
      <c r="O1990" s="27">
        <f>IF($M1990="","",IF($F1990="Faltou",$M1990,0))</f>
        <v>0</v>
      </c>
      <c r="P1990" s="27">
        <f>IF($M1990="","",IF($F1990="Compareceu",MAX(0,$M1990-N($H1990)),0))</f>
        <v>0</v>
      </c>
      <c r="Q1990" s="19">
        <f>IF(AND($F1990="Compareceu",$E1990&lt;&gt;"",$A1990&lt;&gt;""),IF(IFERROR(INDEX(ProcRet,MATCH($E1990,ProcNome,0)),0)&gt;0,$A1990+INDEX(ProcRet,MATCH($E1990,ProcNome,0)),""),"")</f>
        <v>0</v>
      </c>
      <c r="R1990" s="26">
        <f>IF($Q1990="","",IF(COUNTIFS(AgPac,$D1990,AgData,"&gt;"&amp;$A1990,AgStatus,"&lt;&gt;Cancelado",AgStatus,"&lt;&gt;Remarcado")&gt;0,"Sim","Não"))</f>
        <v>0</v>
      </c>
      <c r="S1990" s="28">
        <f>IF($A1990="","",IF(AND($F1990="Agendado",$A1990-Hoje&gt;=0,$A1990-Hoje&lt;=DiasConf),"CONFIRMAR",IF(AND($A1990&lt;Hoje,OR($F1990="Agendado",$F1990="Confirmado")),"Atualizar status",IF(AND($F1990="Compareceu",$P1990&gt;0.005),"Cobrar",IF($F1990="Faltou","Falta: reagendar","")))))</f>
        <v>0</v>
      </c>
      <c r="T1990" s="29">
        <f>IF($A1990="","",DATE(YEAR($A1990),MONTH($A1990),1))</f>
        <v>0</v>
      </c>
      <c r="U1990" s="30">
        <f>IF($S1990="CONFIRMAR",MAX($U$4:$U1989)+1,"")</f>
        <v>0</v>
      </c>
      <c r="V1990" s="30">
        <f>IF(AND($R1990="Não",$Q1990&lt;&gt;"",$Q1990&lt;=Hoje+JanelaRet,$Q1990&gt;=Hoje-60),MAX($V$4:$V1989)+1,"")</f>
        <v>0</v>
      </c>
    </row>
    <row r="1991" spans="1:22">
      <c r="A1991" s="16"/>
      <c r="B1991" s="23"/>
      <c r="C1991" s="15"/>
      <c r="D1991" s="15"/>
      <c r="E1991" s="15"/>
      <c r="F1991" s="24"/>
      <c r="G1991" s="17"/>
      <c r="H1991" s="17"/>
      <c r="I1991" s="15"/>
      <c r="J1991" s="25">
        <f>IF($D1991="","",IFERROR(INDEX(PacNome,MATCH($D1991,PacCod,0)),"Paciente não cadastrado"))</f>
        <v>0</v>
      </c>
      <c r="K1991" s="26">
        <f>IF($D1991="","",IFERROR(INDEX(PacConv,MATCH($D1991,PacCod,0))&amp;"",""))</f>
        <v>0</v>
      </c>
      <c r="L1991" s="26">
        <f>IF($A1991="","",CHOOSE(WEEKDAY($A1991,2),"Seg","Ter","Qua","Qui","Sex","Sáb","Dom"))</f>
        <v>0</v>
      </c>
      <c r="M1991" s="27">
        <f>IF($E1991="","",IF($G1991&lt;&gt;"",$G1991,IFERROR(INDEX(ProcValor,MATCH($E1991,ProcNome,0)),0)))</f>
        <v>0</v>
      </c>
      <c r="N1991" s="27">
        <f>IF($M1991="","",IF($F1991="Compareceu",$M1991,0))</f>
        <v>0</v>
      </c>
      <c r="O1991" s="27">
        <f>IF($M1991="","",IF($F1991="Faltou",$M1991,0))</f>
        <v>0</v>
      </c>
      <c r="P1991" s="27">
        <f>IF($M1991="","",IF($F1991="Compareceu",MAX(0,$M1991-N($H1991)),0))</f>
        <v>0</v>
      </c>
      <c r="Q1991" s="19">
        <f>IF(AND($F1991="Compareceu",$E1991&lt;&gt;"",$A1991&lt;&gt;""),IF(IFERROR(INDEX(ProcRet,MATCH($E1991,ProcNome,0)),0)&gt;0,$A1991+INDEX(ProcRet,MATCH($E1991,ProcNome,0)),""),"")</f>
        <v>0</v>
      </c>
      <c r="R1991" s="26">
        <f>IF($Q1991="","",IF(COUNTIFS(AgPac,$D1991,AgData,"&gt;"&amp;$A1991,AgStatus,"&lt;&gt;Cancelado",AgStatus,"&lt;&gt;Remarcado")&gt;0,"Sim","Não"))</f>
        <v>0</v>
      </c>
      <c r="S1991" s="28">
        <f>IF($A1991="","",IF(AND($F1991="Agendado",$A1991-Hoje&gt;=0,$A1991-Hoje&lt;=DiasConf),"CONFIRMAR",IF(AND($A1991&lt;Hoje,OR($F1991="Agendado",$F1991="Confirmado")),"Atualizar status",IF(AND($F1991="Compareceu",$P1991&gt;0.005),"Cobrar",IF($F1991="Faltou","Falta: reagendar","")))))</f>
        <v>0</v>
      </c>
      <c r="T1991" s="29">
        <f>IF($A1991="","",DATE(YEAR($A1991),MONTH($A1991),1))</f>
        <v>0</v>
      </c>
      <c r="U1991" s="30">
        <f>IF($S1991="CONFIRMAR",MAX($U$4:$U1990)+1,"")</f>
        <v>0</v>
      </c>
      <c r="V1991" s="30">
        <f>IF(AND($R1991="Não",$Q1991&lt;&gt;"",$Q1991&lt;=Hoje+JanelaRet,$Q1991&gt;=Hoje-60),MAX($V$4:$V1990)+1,"")</f>
        <v>0</v>
      </c>
    </row>
    <row r="1992" spans="1:22">
      <c r="A1992" s="16"/>
      <c r="B1992" s="23"/>
      <c r="C1992" s="15"/>
      <c r="D1992" s="15"/>
      <c r="E1992" s="15"/>
      <c r="F1992" s="24"/>
      <c r="G1992" s="17"/>
      <c r="H1992" s="17"/>
      <c r="I1992" s="15"/>
      <c r="J1992" s="25">
        <f>IF($D1992="","",IFERROR(INDEX(PacNome,MATCH($D1992,PacCod,0)),"Paciente não cadastrado"))</f>
        <v>0</v>
      </c>
      <c r="K1992" s="26">
        <f>IF($D1992="","",IFERROR(INDEX(PacConv,MATCH($D1992,PacCod,0))&amp;"",""))</f>
        <v>0</v>
      </c>
      <c r="L1992" s="26">
        <f>IF($A1992="","",CHOOSE(WEEKDAY($A1992,2),"Seg","Ter","Qua","Qui","Sex","Sáb","Dom"))</f>
        <v>0</v>
      </c>
      <c r="M1992" s="27">
        <f>IF($E1992="","",IF($G1992&lt;&gt;"",$G1992,IFERROR(INDEX(ProcValor,MATCH($E1992,ProcNome,0)),0)))</f>
        <v>0</v>
      </c>
      <c r="N1992" s="27">
        <f>IF($M1992="","",IF($F1992="Compareceu",$M1992,0))</f>
        <v>0</v>
      </c>
      <c r="O1992" s="27">
        <f>IF($M1992="","",IF($F1992="Faltou",$M1992,0))</f>
        <v>0</v>
      </c>
      <c r="P1992" s="27">
        <f>IF($M1992="","",IF($F1992="Compareceu",MAX(0,$M1992-N($H1992)),0))</f>
        <v>0</v>
      </c>
      <c r="Q1992" s="19">
        <f>IF(AND($F1992="Compareceu",$E1992&lt;&gt;"",$A1992&lt;&gt;""),IF(IFERROR(INDEX(ProcRet,MATCH($E1992,ProcNome,0)),0)&gt;0,$A1992+INDEX(ProcRet,MATCH($E1992,ProcNome,0)),""),"")</f>
        <v>0</v>
      </c>
      <c r="R1992" s="26">
        <f>IF($Q1992="","",IF(COUNTIFS(AgPac,$D1992,AgData,"&gt;"&amp;$A1992,AgStatus,"&lt;&gt;Cancelado",AgStatus,"&lt;&gt;Remarcado")&gt;0,"Sim","Não"))</f>
        <v>0</v>
      </c>
      <c r="S1992" s="28">
        <f>IF($A1992="","",IF(AND($F1992="Agendado",$A1992-Hoje&gt;=0,$A1992-Hoje&lt;=DiasConf),"CONFIRMAR",IF(AND($A1992&lt;Hoje,OR($F1992="Agendado",$F1992="Confirmado")),"Atualizar status",IF(AND($F1992="Compareceu",$P1992&gt;0.005),"Cobrar",IF($F1992="Faltou","Falta: reagendar","")))))</f>
        <v>0</v>
      </c>
      <c r="T1992" s="29">
        <f>IF($A1992="","",DATE(YEAR($A1992),MONTH($A1992),1))</f>
        <v>0</v>
      </c>
      <c r="U1992" s="30">
        <f>IF($S1992="CONFIRMAR",MAX($U$4:$U1991)+1,"")</f>
        <v>0</v>
      </c>
      <c r="V1992" s="30">
        <f>IF(AND($R1992="Não",$Q1992&lt;&gt;"",$Q1992&lt;=Hoje+JanelaRet,$Q1992&gt;=Hoje-60),MAX($V$4:$V1991)+1,"")</f>
        <v>0</v>
      </c>
    </row>
    <row r="1993" spans="1:22">
      <c r="A1993" s="16"/>
      <c r="B1993" s="23"/>
      <c r="C1993" s="15"/>
      <c r="D1993" s="15"/>
      <c r="E1993" s="15"/>
      <c r="F1993" s="24"/>
      <c r="G1993" s="17"/>
      <c r="H1993" s="17"/>
      <c r="I1993" s="15"/>
      <c r="J1993" s="25">
        <f>IF($D1993="","",IFERROR(INDEX(PacNome,MATCH($D1993,PacCod,0)),"Paciente não cadastrado"))</f>
        <v>0</v>
      </c>
      <c r="K1993" s="26">
        <f>IF($D1993="","",IFERROR(INDEX(PacConv,MATCH($D1993,PacCod,0))&amp;"",""))</f>
        <v>0</v>
      </c>
      <c r="L1993" s="26">
        <f>IF($A1993="","",CHOOSE(WEEKDAY($A1993,2),"Seg","Ter","Qua","Qui","Sex","Sáb","Dom"))</f>
        <v>0</v>
      </c>
      <c r="M1993" s="27">
        <f>IF($E1993="","",IF($G1993&lt;&gt;"",$G1993,IFERROR(INDEX(ProcValor,MATCH($E1993,ProcNome,0)),0)))</f>
        <v>0</v>
      </c>
      <c r="N1993" s="27">
        <f>IF($M1993="","",IF($F1993="Compareceu",$M1993,0))</f>
        <v>0</v>
      </c>
      <c r="O1993" s="27">
        <f>IF($M1993="","",IF($F1993="Faltou",$M1993,0))</f>
        <v>0</v>
      </c>
      <c r="P1993" s="27">
        <f>IF($M1993="","",IF($F1993="Compareceu",MAX(0,$M1993-N($H1993)),0))</f>
        <v>0</v>
      </c>
      <c r="Q1993" s="19">
        <f>IF(AND($F1993="Compareceu",$E1993&lt;&gt;"",$A1993&lt;&gt;""),IF(IFERROR(INDEX(ProcRet,MATCH($E1993,ProcNome,0)),0)&gt;0,$A1993+INDEX(ProcRet,MATCH($E1993,ProcNome,0)),""),"")</f>
        <v>0</v>
      </c>
      <c r="R1993" s="26">
        <f>IF($Q1993="","",IF(COUNTIFS(AgPac,$D1993,AgData,"&gt;"&amp;$A1993,AgStatus,"&lt;&gt;Cancelado",AgStatus,"&lt;&gt;Remarcado")&gt;0,"Sim","Não"))</f>
        <v>0</v>
      </c>
      <c r="S1993" s="28">
        <f>IF($A1993="","",IF(AND($F1993="Agendado",$A1993-Hoje&gt;=0,$A1993-Hoje&lt;=DiasConf),"CONFIRMAR",IF(AND($A1993&lt;Hoje,OR($F1993="Agendado",$F1993="Confirmado")),"Atualizar status",IF(AND($F1993="Compareceu",$P1993&gt;0.005),"Cobrar",IF($F1993="Faltou","Falta: reagendar","")))))</f>
        <v>0</v>
      </c>
      <c r="T1993" s="29">
        <f>IF($A1993="","",DATE(YEAR($A1993),MONTH($A1993),1))</f>
        <v>0</v>
      </c>
      <c r="U1993" s="30">
        <f>IF($S1993="CONFIRMAR",MAX($U$4:$U1992)+1,"")</f>
        <v>0</v>
      </c>
      <c r="V1993" s="30">
        <f>IF(AND($R1993="Não",$Q1993&lt;&gt;"",$Q1993&lt;=Hoje+JanelaRet,$Q1993&gt;=Hoje-60),MAX($V$4:$V1992)+1,"")</f>
        <v>0</v>
      </c>
    </row>
    <row r="1994" spans="1:22">
      <c r="A1994" s="16"/>
      <c r="B1994" s="23"/>
      <c r="C1994" s="15"/>
      <c r="D1994" s="15"/>
      <c r="E1994" s="15"/>
      <c r="F1994" s="24"/>
      <c r="G1994" s="17"/>
      <c r="H1994" s="17"/>
      <c r="I1994" s="15"/>
      <c r="J1994" s="25">
        <f>IF($D1994="","",IFERROR(INDEX(PacNome,MATCH($D1994,PacCod,0)),"Paciente não cadastrado"))</f>
        <v>0</v>
      </c>
      <c r="K1994" s="26">
        <f>IF($D1994="","",IFERROR(INDEX(PacConv,MATCH($D1994,PacCod,0))&amp;"",""))</f>
        <v>0</v>
      </c>
      <c r="L1994" s="26">
        <f>IF($A1994="","",CHOOSE(WEEKDAY($A1994,2),"Seg","Ter","Qua","Qui","Sex","Sáb","Dom"))</f>
        <v>0</v>
      </c>
      <c r="M1994" s="27">
        <f>IF($E1994="","",IF($G1994&lt;&gt;"",$G1994,IFERROR(INDEX(ProcValor,MATCH($E1994,ProcNome,0)),0)))</f>
        <v>0</v>
      </c>
      <c r="N1994" s="27">
        <f>IF($M1994="","",IF($F1994="Compareceu",$M1994,0))</f>
        <v>0</v>
      </c>
      <c r="O1994" s="27">
        <f>IF($M1994="","",IF($F1994="Faltou",$M1994,0))</f>
        <v>0</v>
      </c>
      <c r="P1994" s="27">
        <f>IF($M1994="","",IF($F1994="Compareceu",MAX(0,$M1994-N($H1994)),0))</f>
        <v>0</v>
      </c>
      <c r="Q1994" s="19">
        <f>IF(AND($F1994="Compareceu",$E1994&lt;&gt;"",$A1994&lt;&gt;""),IF(IFERROR(INDEX(ProcRet,MATCH($E1994,ProcNome,0)),0)&gt;0,$A1994+INDEX(ProcRet,MATCH($E1994,ProcNome,0)),""),"")</f>
        <v>0</v>
      </c>
      <c r="R1994" s="26">
        <f>IF($Q1994="","",IF(COUNTIFS(AgPac,$D1994,AgData,"&gt;"&amp;$A1994,AgStatus,"&lt;&gt;Cancelado",AgStatus,"&lt;&gt;Remarcado")&gt;0,"Sim","Não"))</f>
        <v>0</v>
      </c>
      <c r="S1994" s="28">
        <f>IF($A1994="","",IF(AND($F1994="Agendado",$A1994-Hoje&gt;=0,$A1994-Hoje&lt;=DiasConf),"CONFIRMAR",IF(AND($A1994&lt;Hoje,OR($F1994="Agendado",$F1994="Confirmado")),"Atualizar status",IF(AND($F1994="Compareceu",$P1994&gt;0.005),"Cobrar",IF($F1994="Faltou","Falta: reagendar","")))))</f>
        <v>0</v>
      </c>
      <c r="T1994" s="29">
        <f>IF($A1994="","",DATE(YEAR($A1994),MONTH($A1994),1))</f>
        <v>0</v>
      </c>
      <c r="U1994" s="30">
        <f>IF($S1994="CONFIRMAR",MAX($U$4:$U1993)+1,"")</f>
        <v>0</v>
      </c>
      <c r="V1994" s="30">
        <f>IF(AND($R1994="Não",$Q1994&lt;&gt;"",$Q1994&lt;=Hoje+JanelaRet,$Q1994&gt;=Hoje-60),MAX($V$4:$V1993)+1,"")</f>
        <v>0</v>
      </c>
    </row>
    <row r="1995" spans="1:22">
      <c r="A1995" s="16"/>
      <c r="B1995" s="23"/>
      <c r="C1995" s="15"/>
      <c r="D1995" s="15"/>
      <c r="E1995" s="15"/>
      <c r="F1995" s="24"/>
      <c r="G1995" s="17"/>
      <c r="H1995" s="17"/>
      <c r="I1995" s="15"/>
      <c r="J1995" s="25">
        <f>IF($D1995="","",IFERROR(INDEX(PacNome,MATCH($D1995,PacCod,0)),"Paciente não cadastrado"))</f>
        <v>0</v>
      </c>
      <c r="K1995" s="26">
        <f>IF($D1995="","",IFERROR(INDEX(PacConv,MATCH($D1995,PacCod,0))&amp;"",""))</f>
        <v>0</v>
      </c>
      <c r="L1995" s="26">
        <f>IF($A1995="","",CHOOSE(WEEKDAY($A1995,2),"Seg","Ter","Qua","Qui","Sex","Sáb","Dom"))</f>
        <v>0</v>
      </c>
      <c r="M1995" s="27">
        <f>IF($E1995="","",IF($G1995&lt;&gt;"",$G1995,IFERROR(INDEX(ProcValor,MATCH($E1995,ProcNome,0)),0)))</f>
        <v>0</v>
      </c>
      <c r="N1995" s="27">
        <f>IF($M1995="","",IF($F1995="Compareceu",$M1995,0))</f>
        <v>0</v>
      </c>
      <c r="O1995" s="27">
        <f>IF($M1995="","",IF($F1995="Faltou",$M1995,0))</f>
        <v>0</v>
      </c>
      <c r="P1995" s="27">
        <f>IF($M1995="","",IF($F1995="Compareceu",MAX(0,$M1995-N($H1995)),0))</f>
        <v>0</v>
      </c>
      <c r="Q1995" s="19">
        <f>IF(AND($F1995="Compareceu",$E1995&lt;&gt;"",$A1995&lt;&gt;""),IF(IFERROR(INDEX(ProcRet,MATCH($E1995,ProcNome,0)),0)&gt;0,$A1995+INDEX(ProcRet,MATCH($E1995,ProcNome,0)),""),"")</f>
        <v>0</v>
      </c>
      <c r="R1995" s="26">
        <f>IF($Q1995="","",IF(COUNTIFS(AgPac,$D1995,AgData,"&gt;"&amp;$A1995,AgStatus,"&lt;&gt;Cancelado",AgStatus,"&lt;&gt;Remarcado")&gt;0,"Sim","Não"))</f>
        <v>0</v>
      </c>
      <c r="S1995" s="28">
        <f>IF($A1995="","",IF(AND($F1995="Agendado",$A1995-Hoje&gt;=0,$A1995-Hoje&lt;=DiasConf),"CONFIRMAR",IF(AND($A1995&lt;Hoje,OR($F1995="Agendado",$F1995="Confirmado")),"Atualizar status",IF(AND($F1995="Compareceu",$P1995&gt;0.005),"Cobrar",IF($F1995="Faltou","Falta: reagendar","")))))</f>
        <v>0</v>
      </c>
      <c r="T1995" s="29">
        <f>IF($A1995="","",DATE(YEAR($A1995),MONTH($A1995),1))</f>
        <v>0</v>
      </c>
      <c r="U1995" s="30">
        <f>IF($S1995="CONFIRMAR",MAX($U$4:$U1994)+1,"")</f>
        <v>0</v>
      </c>
      <c r="V1995" s="30">
        <f>IF(AND($R1995="Não",$Q1995&lt;&gt;"",$Q1995&lt;=Hoje+JanelaRet,$Q1995&gt;=Hoje-60),MAX($V$4:$V1994)+1,"")</f>
        <v>0</v>
      </c>
    </row>
    <row r="1996" spans="1:22">
      <c r="A1996" s="16"/>
      <c r="B1996" s="23"/>
      <c r="C1996" s="15"/>
      <c r="D1996" s="15"/>
      <c r="E1996" s="15"/>
      <c r="F1996" s="24"/>
      <c r="G1996" s="17"/>
      <c r="H1996" s="17"/>
      <c r="I1996" s="15"/>
      <c r="J1996" s="25">
        <f>IF($D1996="","",IFERROR(INDEX(PacNome,MATCH($D1996,PacCod,0)),"Paciente não cadastrado"))</f>
        <v>0</v>
      </c>
      <c r="K1996" s="26">
        <f>IF($D1996="","",IFERROR(INDEX(PacConv,MATCH($D1996,PacCod,0))&amp;"",""))</f>
        <v>0</v>
      </c>
      <c r="L1996" s="26">
        <f>IF($A1996="","",CHOOSE(WEEKDAY($A1996,2),"Seg","Ter","Qua","Qui","Sex","Sáb","Dom"))</f>
        <v>0</v>
      </c>
      <c r="M1996" s="27">
        <f>IF($E1996="","",IF($G1996&lt;&gt;"",$G1996,IFERROR(INDEX(ProcValor,MATCH($E1996,ProcNome,0)),0)))</f>
        <v>0</v>
      </c>
      <c r="N1996" s="27">
        <f>IF($M1996="","",IF($F1996="Compareceu",$M1996,0))</f>
        <v>0</v>
      </c>
      <c r="O1996" s="27">
        <f>IF($M1996="","",IF($F1996="Faltou",$M1996,0))</f>
        <v>0</v>
      </c>
      <c r="P1996" s="27">
        <f>IF($M1996="","",IF($F1996="Compareceu",MAX(0,$M1996-N($H1996)),0))</f>
        <v>0</v>
      </c>
      <c r="Q1996" s="19">
        <f>IF(AND($F1996="Compareceu",$E1996&lt;&gt;"",$A1996&lt;&gt;""),IF(IFERROR(INDEX(ProcRet,MATCH($E1996,ProcNome,0)),0)&gt;0,$A1996+INDEX(ProcRet,MATCH($E1996,ProcNome,0)),""),"")</f>
        <v>0</v>
      </c>
      <c r="R1996" s="26">
        <f>IF($Q1996="","",IF(COUNTIFS(AgPac,$D1996,AgData,"&gt;"&amp;$A1996,AgStatus,"&lt;&gt;Cancelado",AgStatus,"&lt;&gt;Remarcado")&gt;0,"Sim","Não"))</f>
        <v>0</v>
      </c>
      <c r="S1996" s="28">
        <f>IF($A1996="","",IF(AND($F1996="Agendado",$A1996-Hoje&gt;=0,$A1996-Hoje&lt;=DiasConf),"CONFIRMAR",IF(AND($A1996&lt;Hoje,OR($F1996="Agendado",$F1996="Confirmado")),"Atualizar status",IF(AND($F1996="Compareceu",$P1996&gt;0.005),"Cobrar",IF($F1996="Faltou","Falta: reagendar","")))))</f>
        <v>0</v>
      </c>
      <c r="T1996" s="29">
        <f>IF($A1996="","",DATE(YEAR($A1996),MONTH($A1996),1))</f>
        <v>0</v>
      </c>
      <c r="U1996" s="30">
        <f>IF($S1996="CONFIRMAR",MAX($U$4:$U1995)+1,"")</f>
        <v>0</v>
      </c>
      <c r="V1996" s="30">
        <f>IF(AND($R1996="Não",$Q1996&lt;&gt;"",$Q1996&lt;=Hoje+JanelaRet,$Q1996&gt;=Hoje-60),MAX($V$4:$V1995)+1,"")</f>
        <v>0</v>
      </c>
    </row>
    <row r="1997" spans="1:22">
      <c r="A1997" s="16"/>
      <c r="B1997" s="23"/>
      <c r="C1997" s="15"/>
      <c r="D1997" s="15"/>
      <c r="E1997" s="15"/>
      <c r="F1997" s="24"/>
      <c r="G1997" s="17"/>
      <c r="H1997" s="17"/>
      <c r="I1997" s="15"/>
      <c r="J1997" s="25">
        <f>IF($D1997="","",IFERROR(INDEX(PacNome,MATCH($D1997,PacCod,0)),"Paciente não cadastrado"))</f>
        <v>0</v>
      </c>
      <c r="K1997" s="26">
        <f>IF($D1997="","",IFERROR(INDEX(PacConv,MATCH($D1997,PacCod,0))&amp;"",""))</f>
        <v>0</v>
      </c>
      <c r="L1997" s="26">
        <f>IF($A1997="","",CHOOSE(WEEKDAY($A1997,2),"Seg","Ter","Qua","Qui","Sex","Sáb","Dom"))</f>
        <v>0</v>
      </c>
      <c r="M1997" s="27">
        <f>IF($E1997="","",IF($G1997&lt;&gt;"",$G1997,IFERROR(INDEX(ProcValor,MATCH($E1997,ProcNome,0)),0)))</f>
        <v>0</v>
      </c>
      <c r="N1997" s="27">
        <f>IF($M1997="","",IF($F1997="Compareceu",$M1997,0))</f>
        <v>0</v>
      </c>
      <c r="O1997" s="27">
        <f>IF($M1997="","",IF($F1997="Faltou",$M1997,0))</f>
        <v>0</v>
      </c>
      <c r="P1997" s="27">
        <f>IF($M1997="","",IF($F1997="Compareceu",MAX(0,$M1997-N($H1997)),0))</f>
        <v>0</v>
      </c>
      <c r="Q1997" s="19">
        <f>IF(AND($F1997="Compareceu",$E1997&lt;&gt;"",$A1997&lt;&gt;""),IF(IFERROR(INDEX(ProcRet,MATCH($E1997,ProcNome,0)),0)&gt;0,$A1997+INDEX(ProcRet,MATCH($E1997,ProcNome,0)),""),"")</f>
        <v>0</v>
      </c>
      <c r="R1997" s="26">
        <f>IF($Q1997="","",IF(COUNTIFS(AgPac,$D1997,AgData,"&gt;"&amp;$A1997,AgStatus,"&lt;&gt;Cancelado",AgStatus,"&lt;&gt;Remarcado")&gt;0,"Sim","Não"))</f>
        <v>0</v>
      </c>
      <c r="S1997" s="28">
        <f>IF($A1997="","",IF(AND($F1997="Agendado",$A1997-Hoje&gt;=0,$A1997-Hoje&lt;=DiasConf),"CONFIRMAR",IF(AND($A1997&lt;Hoje,OR($F1997="Agendado",$F1997="Confirmado")),"Atualizar status",IF(AND($F1997="Compareceu",$P1997&gt;0.005),"Cobrar",IF($F1997="Faltou","Falta: reagendar","")))))</f>
        <v>0</v>
      </c>
      <c r="T1997" s="29">
        <f>IF($A1997="","",DATE(YEAR($A1997),MONTH($A1997),1))</f>
        <v>0</v>
      </c>
      <c r="U1997" s="30">
        <f>IF($S1997="CONFIRMAR",MAX($U$4:$U1996)+1,"")</f>
        <v>0</v>
      </c>
      <c r="V1997" s="30">
        <f>IF(AND($R1997="Não",$Q1997&lt;&gt;"",$Q1997&lt;=Hoje+JanelaRet,$Q1997&gt;=Hoje-60),MAX($V$4:$V1996)+1,"")</f>
        <v>0</v>
      </c>
    </row>
    <row r="1998" spans="1:22">
      <c r="A1998" s="16"/>
      <c r="B1998" s="23"/>
      <c r="C1998" s="15"/>
      <c r="D1998" s="15"/>
      <c r="E1998" s="15"/>
      <c r="F1998" s="24"/>
      <c r="G1998" s="17"/>
      <c r="H1998" s="17"/>
      <c r="I1998" s="15"/>
      <c r="J1998" s="25">
        <f>IF($D1998="","",IFERROR(INDEX(PacNome,MATCH($D1998,PacCod,0)),"Paciente não cadastrado"))</f>
        <v>0</v>
      </c>
      <c r="K1998" s="26">
        <f>IF($D1998="","",IFERROR(INDEX(PacConv,MATCH($D1998,PacCod,0))&amp;"",""))</f>
        <v>0</v>
      </c>
      <c r="L1998" s="26">
        <f>IF($A1998="","",CHOOSE(WEEKDAY($A1998,2),"Seg","Ter","Qua","Qui","Sex","Sáb","Dom"))</f>
        <v>0</v>
      </c>
      <c r="M1998" s="27">
        <f>IF($E1998="","",IF($G1998&lt;&gt;"",$G1998,IFERROR(INDEX(ProcValor,MATCH($E1998,ProcNome,0)),0)))</f>
        <v>0</v>
      </c>
      <c r="N1998" s="27">
        <f>IF($M1998="","",IF($F1998="Compareceu",$M1998,0))</f>
        <v>0</v>
      </c>
      <c r="O1998" s="27">
        <f>IF($M1998="","",IF($F1998="Faltou",$M1998,0))</f>
        <v>0</v>
      </c>
      <c r="P1998" s="27">
        <f>IF($M1998="","",IF($F1998="Compareceu",MAX(0,$M1998-N($H1998)),0))</f>
        <v>0</v>
      </c>
      <c r="Q1998" s="19">
        <f>IF(AND($F1998="Compareceu",$E1998&lt;&gt;"",$A1998&lt;&gt;""),IF(IFERROR(INDEX(ProcRet,MATCH($E1998,ProcNome,0)),0)&gt;0,$A1998+INDEX(ProcRet,MATCH($E1998,ProcNome,0)),""),"")</f>
        <v>0</v>
      </c>
      <c r="R1998" s="26">
        <f>IF($Q1998="","",IF(COUNTIFS(AgPac,$D1998,AgData,"&gt;"&amp;$A1998,AgStatus,"&lt;&gt;Cancelado",AgStatus,"&lt;&gt;Remarcado")&gt;0,"Sim","Não"))</f>
        <v>0</v>
      </c>
      <c r="S1998" s="28">
        <f>IF($A1998="","",IF(AND($F1998="Agendado",$A1998-Hoje&gt;=0,$A1998-Hoje&lt;=DiasConf),"CONFIRMAR",IF(AND($A1998&lt;Hoje,OR($F1998="Agendado",$F1998="Confirmado")),"Atualizar status",IF(AND($F1998="Compareceu",$P1998&gt;0.005),"Cobrar",IF($F1998="Faltou","Falta: reagendar","")))))</f>
        <v>0</v>
      </c>
      <c r="T1998" s="29">
        <f>IF($A1998="","",DATE(YEAR($A1998),MONTH($A1998),1))</f>
        <v>0</v>
      </c>
      <c r="U1998" s="30">
        <f>IF($S1998="CONFIRMAR",MAX($U$4:$U1997)+1,"")</f>
        <v>0</v>
      </c>
      <c r="V1998" s="30">
        <f>IF(AND($R1998="Não",$Q1998&lt;&gt;"",$Q1998&lt;=Hoje+JanelaRet,$Q1998&gt;=Hoje-60),MAX($V$4:$V1997)+1,"")</f>
        <v>0</v>
      </c>
    </row>
    <row r="1999" spans="1:22">
      <c r="A1999" s="16"/>
      <c r="B1999" s="23"/>
      <c r="C1999" s="15"/>
      <c r="D1999" s="15"/>
      <c r="E1999" s="15"/>
      <c r="F1999" s="24"/>
      <c r="G1999" s="17"/>
      <c r="H1999" s="17"/>
      <c r="I1999" s="15"/>
      <c r="J1999" s="25">
        <f>IF($D1999="","",IFERROR(INDEX(PacNome,MATCH($D1999,PacCod,0)),"Paciente não cadastrado"))</f>
        <v>0</v>
      </c>
      <c r="K1999" s="26">
        <f>IF($D1999="","",IFERROR(INDEX(PacConv,MATCH($D1999,PacCod,0))&amp;"",""))</f>
        <v>0</v>
      </c>
      <c r="L1999" s="26">
        <f>IF($A1999="","",CHOOSE(WEEKDAY($A1999,2),"Seg","Ter","Qua","Qui","Sex","Sáb","Dom"))</f>
        <v>0</v>
      </c>
      <c r="M1999" s="27">
        <f>IF($E1999="","",IF($G1999&lt;&gt;"",$G1999,IFERROR(INDEX(ProcValor,MATCH($E1999,ProcNome,0)),0)))</f>
        <v>0</v>
      </c>
      <c r="N1999" s="27">
        <f>IF($M1999="","",IF($F1999="Compareceu",$M1999,0))</f>
        <v>0</v>
      </c>
      <c r="O1999" s="27">
        <f>IF($M1999="","",IF($F1999="Faltou",$M1999,0))</f>
        <v>0</v>
      </c>
      <c r="P1999" s="27">
        <f>IF($M1999="","",IF($F1999="Compareceu",MAX(0,$M1999-N($H1999)),0))</f>
        <v>0</v>
      </c>
      <c r="Q1999" s="19">
        <f>IF(AND($F1999="Compareceu",$E1999&lt;&gt;"",$A1999&lt;&gt;""),IF(IFERROR(INDEX(ProcRet,MATCH($E1999,ProcNome,0)),0)&gt;0,$A1999+INDEX(ProcRet,MATCH($E1999,ProcNome,0)),""),"")</f>
        <v>0</v>
      </c>
      <c r="R1999" s="26">
        <f>IF($Q1999="","",IF(COUNTIFS(AgPac,$D1999,AgData,"&gt;"&amp;$A1999,AgStatus,"&lt;&gt;Cancelado",AgStatus,"&lt;&gt;Remarcado")&gt;0,"Sim","Não"))</f>
        <v>0</v>
      </c>
      <c r="S1999" s="28">
        <f>IF($A1999="","",IF(AND($F1999="Agendado",$A1999-Hoje&gt;=0,$A1999-Hoje&lt;=DiasConf),"CONFIRMAR",IF(AND($A1999&lt;Hoje,OR($F1999="Agendado",$F1999="Confirmado")),"Atualizar status",IF(AND($F1999="Compareceu",$P1999&gt;0.005),"Cobrar",IF($F1999="Faltou","Falta: reagendar","")))))</f>
        <v>0</v>
      </c>
      <c r="T1999" s="29">
        <f>IF($A1999="","",DATE(YEAR($A1999),MONTH($A1999),1))</f>
        <v>0</v>
      </c>
      <c r="U1999" s="30">
        <f>IF($S1999="CONFIRMAR",MAX($U$4:$U1998)+1,"")</f>
        <v>0</v>
      </c>
      <c r="V1999" s="30">
        <f>IF(AND($R1999="Não",$Q1999&lt;&gt;"",$Q1999&lt;=Hoje+JanelaRet,$Q1999&gt;=Hoje-60),MAX($V$4:$V1998)+1,"")</f>
        <v>0</v>
      </c>
    </row>
    <row r="2000" spans="1:22">
      <c r="A2000" s="16"/>
      <c r="B2000" s="23"/>
      <c r="C2000" s="15"/>
      <c r="D2000" s="15"/>
      <c r="E2000" s="15"/>
      <c r="F2000" s="24"/>
      <c r="G2000" s="17"/>
      <c r="H2000" s="17"/>
      <c r="I2000" s="15"/>
      <c r="J2000" s="25">
        <f>IF($D2000="","",IFERROR(INDEX(PacNome,MATCH($D2000,PacCod,0)),"Paciente não cadastrado"))</f>
        <v>0</v>
      </c>
      <c r="K2000" s="26">
        <f>IF($D2000="","",IFERROR(INDEX(PacConv,MATCH($D2000,PacCod,0))&amp;"",""))</f>
        <v>0</v>
      </c>
      <c r="L2000" s="26">
        <f>IF($A2000="","",CHOOSE(WEEKDAY($A2000,2),"Seg","Ter","Qua","Qui","Sex","Sáb","Dom"))</f>
        <v>0</v>
      </c>
      <c r="M2000" s="27">
        <f>IF($E2000="","",IF($G2000&lt;&gt;"",$G2000,IFERROR(INDEX(ProcValor,MATCH($E2000,ProcNome,0)),0)))</f>
        <v>0</v>
      </c>
      <c r="N2000" s="27">
        <f>IF($M2000="","",IF($F2000="Compareceu",$M2000,0))</f>
        <v>0</v>
      </c>
      <c r="O2000" s="27">
        <f>IF($M2000="","",IF($F2000="Faltou",$M2000,0))</f>
        <v>0</v>
      </c>
      <c r="P2000" s="27">
        <f>IF($M2000="","",IF($F2000="Compareceu",MAX(0,$M2000-N($H2000)),0))</f>
        <v>0</v>
      </c>
      <c r="Q2000" s="19">
        <f>IF(AND($F2000="Compareceu",$E2000&lt;&gt;"",$A2000&lt;&gt;""),IF(IFERROR(INDEX(ProcRet,MATCH($E2000,ProcNome,0)),0)&gt;0,$A2000+INDEX(ProcRet,MATCH($E2000,ProcNome,0)),""),"")</f>
        <v>0</v>
      </c>
      <c r="R2000" s="26">
        <f>IF($Q2000="","",IF(COUNTIFS(AgPac,$D2000,AgData,"&gt;"&amp;$A2000,AgStatus,"&lt;&gt;Cancelado",AgStatus,"&lt;&gt;Remarcado")&gt;0,"Sim","Não"))</f>
        <v>0</v>
      </c>
      <c r="S2000" s="28">
        <f>IF($A2000="","",IF(AND($F2000="Agendado",$A2000-Hoje&gt;=0,$A2000-Hoje&lt;=DiasConf),"CONFIRMAR",IF(AND($A2000&lt;Hoje,OR($F2000="Agendado",$F2000="Confirmado")),"Atualizar status",IF(AND($F2000="Compareceu",$P2000&gt;0.005),"Cobrar",IF($F2000="Faltou","Falta: reagendar","")))))</f>
        <v>0</v>
      </c>
      <c r="T2000" s="29">
        <f>IF($A2000="","",DATE(YEAR($A2000),MONTH($A2000),1))</f>
        <v>0</v>
      </c>
      <c r="U2000" s="30">
        <f>IF($S2000="CONFIRMAR",MAX($U$4:$U1999)+1,"")</f>
        <v>0</v>
      </c>
      <c r="V2000" s="30">
        <f>IF(AND($R2000="Não",$Q2000&lt;&gt;"",$Q2000&lt;=Hoje+JanelaRet,$Q2000&gt;=Hoje-60),MAX($V$4:$V1999)+1,"")</f>
        <v>0</v>
      </c>
    </row>
    <row r="2001" spans="1:22">
      <c r="A2001" s="16"/>
      <c r="B2001" s="23"/>
      <c r="C2001" s="15"/>
      <c r="D2001" s="15"/>
      <c r="E2001" s="15"/>
      <c r="F2001" s="24"/>
      <c r="G2001" s="17"/>
      <c r="H2001" s="17"/>
      <c r="I2001" s="15"/>
      <c r="J2001" s="25">
        <f>IF($D2001="","",IFERROR(INDEX(PacNome,MATCH($D2001,PacCod,0)),"Paciente não cadastrado"))</f>
        <v>0</v>
      </c>
      <c r="K2001" s="26">
        <f>IF($D2001="","",IFERROR(INDEX(PacConv,MATCH($D2001,PacCod,0))&amp;"",""))</f>
        <v>0</v>
      </c>
      <c r="L2001" s="26">
        <f>IF($A2001="","",CHOOSE(WEEKDAY($A2001,2),"Seg","Ter","Qua","Qui","Sex","Sáb","Dom"))</f>
        <v>0</v>
      </c>
      <c r="M2001" s="27">
        <f>IF($E2001="","",IF($G2001&lt;&gt;"",$G2001,IFERROR(INDEX(ProcValor,MATCH($E2001,ProcNome,0)),0)))</f>
        <v>0</v>
      </c>
      <c r="N2001" s="27">
        <f>IF($M2001="","",IF($F2001="Compareceu",$M2001,0))</f>
        <v>0</v>
      </c>
      <c r="O2001" s="27">
        <f>IF($M2001="","",IF($F2001="Faltou",$M2001,0))</f>
        <v>0</v>
      </c>
      <c r="P2001" s="27">
        <f>IF($M2001="","",IF($F2001="Compareceu",MAX(0,$M2001-N($H2001)),0))</f>
        <v>0</v>
      </c>
      <c r="Q2001" s="19">
        <f>IF(AND($F2001="Compareceu",$E2001&lt;&gt;"",$A2001&lt;&gt;""),IF(IFERROR(INDEX(ProcRet,MATCH($E2001,ProcNome,0)),0)&gt;0,$A2001+INDEX(ProcRet,MATCH($E2001,ProcNome,0)),""),"")</f>
        <v>0</v>
      </c>
      <c r="R2001" s="26">
        <f>IF($Q2001="","",IF(COUNTIFS(AgPac,$D2001,AgData,"&gt;"&amp;$A2001,AgStatus,"&lt;&gt;Cancelado",AgStatus,"&lt;&gt;Remarcado")&gt;0,"Sim","Não"))</f>
        <v>0</v>
      </c>
      <c r="S2001" s="28">
        <f>IF($A2001="","",IF(AND($F2001="Agendado",$A2001-Hoje&gt;=0,$A2001-Hoje&lt;=DiasConf),"CONFIRMAR",IF(AND($A2001&lt;Hoje,OR($F2001="Agendado",$F2001="Confirmado")),"Atualizar status",IF(AND($F2001="Compareceu",$P2001&gt;0.005),"Cobrar",IF($F2001="Faltou","Falta: reagendar","")))))</f>
        <v>0</v>
      </c>
      <c r="T2001" s="29">
        <f>IF($A2001="","",DATE(YEAR($A2001),MONTH($A2001),1))</f>
        <v>0</v>
      </c>
      <c r="U2001" s="30">
        <f>IF($S2001="CONFIRMAR",MAX($U$4:$U2000)+1,"")</f>
        <v>0</v>
      </c>
      <c r="V2001" s="30">
        <f>IF(AND($R2001="Não",$Q2001&lt;&gt;"",$Q2001&lt;=Hoje+JanelaRet,$Q2001&gt;=Hoje-60),MAX($V$4:$V2000)+1,"")</f>
        <v>0</v>
      </c>
    </row>
    <row r="2002" spans="1:22">
      <c r="A2002" s="16"/>
      <c r="B2002" s="23"/>
      <c r="C2002" s="15"/>
      <c r="D2002" s="15"/>
      <c r="E2002" s="15"/>
      <c r="F2002" s="24"/>
      <c r="G2002" s="17"/>
      <c r="H2002" s="17"/>
      <c r="I2002" s="15"/>
      <c r="J2002" s="25">
        <f>IF($D2002="","",IFERROR(INDEX(PacNome,MATCH($D2002,PacCod,0)),"Paciente não cadastrado"))</f>
        <v>0</v>
      </c>
      <c r="K2002" s="26">
        <f>IF($D2002="","",IFERROR(INDEX(PacConv,MATCH($D2002,PacCod,0))&amp;"",""))</f>
        <v>0</v>
      </c>
      <c r="L2002" s="26">
        <f>IF($A2002="","",CHOOSE(WEEKDAY($A2002,2),"Seg","Ter","Qua","Qui","Sex","Sáb","Dom"))</f>
        <v>0</v>
      </c>
      <c r="M2002" s="27">
        <f>IF($E2002="","",IF($G2002&lt;&gt;"",$G2002,IFERROR(INDEX(ProcValor,MATCH($E2002,ProcNome,0)),0)))</f>
        <v>0</v>
      </c>
      <c r="N2002" s="27">
        <f>IF($M2002="","",IF($F2002="Compareceu",$M2002,0))</f>
        <v>0</v>
      </c>
      <c r="O2002" s="27">
        <f>IF($M2002="","",IF($F2002="Faltou",$M2002,0))</f>
        <v>0</v>
      </c>
      <c r="P2002" s="27">
        <f>IF($M2002="","",IF($F2002="Compareceu",MAX(0,$M2002-N($H2002)),0))</f>
        <v>0</v>
      </c>
      <c r="Q2002" s="19">
        <f>IF(AND($F2002="Compareceu",$E2002&lt;&gt;"",$A2002&lt;&gt;""),IF(IFERROR(INDEX(ProcRet,MATCH($E2002,ProcNome,0)),0)&gt;0,$A2002+INDEX(ProcRet,MATCH($E2002,ProcNome,0)),""),"")</f>
        <v>0</v>
      </c>
      <c r="R2002" s="26">
        <f>IF($Q2002="","",IF(COUNTIFS(AgPac,$D2002,AgData,"&gt;"&amp;$A2002,AgStatus,"&lt;&gt;Cancelado",AgStatus,"&lt;&gt;Remarcado")&gt;0,"Sim","Não"))</f>
        <v>0</v>
      </c>
      <c r="S2002" s="28">
        <f>IF($A2002="","",IF(AND($F2002="Agendado",$A2002-Hoje&gt;=0,$A2002-Hoje&lt;=DiasConf),"CONFIRMAR",IF(AND($A2002&lt;Hoje,OR($F2002="Agendado",$F2002="Confirmado")),"Atualizar status",IF(AND($F2002="Compareceu",$P2002&gt;0.005),"Cobrar",IF($F2002="Faltou","Falta: reagendar","")))))</f>
        <v>0</v>
      </c>
      <c r="T2002" s="29">
        <f>IF($A2002="","",DATE(YEAR($A2002),MONTH($A2002),1))</f>
        <v>0</v>
      </c>
      <c r="U2002" s="30">
        <f>IF($S2002="CONFIRMAR",MAX($U$4:$U2001)+1,"")</f>
        <v>0</v>
      </c>
      <c r="V2002" s="30">
        <f>IF(AND($R2002="Não",$Q2002&lt;&gt;"",$Q2002&lt;=Hoje+JanelaRet,$Q2002&gt;=Hoje-60),MAX($V$4:$V2001)+1,"")</f>
        <v>0</v>
      </c>
    </row>
    <row r="2003" spans="1:22">
      <c r="A2003" s="16"/>
      <c r="B2003" s="23"/>
      <c r="C2003" s="15"/>
      <c r="D2003" s="15"/>
      <c r="E2003" s="15"/>
      <c r="F2003" s="24"/>
      <c r="G2003" s="17"/>
      <c r="H2003" s="17"/>
      <c r="I2003" s="15"/>
      <c r="J2003" s="25">
        <f>IF($D2003="","",IFERROR(INDEX(PacNome,MATCH($D2003,PacCod,0)),"Paciente não cadastrado"))</f>
        <v>0</v>
      </c>
      <c r="K2003" s="26">
        <f>IF($D2003="","",IFERROR(INDEX(PacConv,MATCH($D2003,PacCod,0))&amp;"",""))</f>
        <v>0</v>
      </c>
      <c r="L2003" s="26">
        <f>IF($A2003="","",CHOOSE(WEEKDAY($A2003,2),"Seg","Ter","Qua","Qui","Sex","Sáb","Dom"))</f>
        <v>0</v>
      </c>
      <c r="M2003" s="27">
        <f>IF($E2003="","",IF($G2003&lt;&gt;"",$G2003,IFERROR(INDEX(ProcValor,MATCH($E2003,ProcNome,0)),0)))</f>
        <v>0</v>
      </c>
      <c r="N2003" s="27">
        <f>IF($M2003="","",IF($F2003="Compareceu",$M2003,0))</f>
        <v>0</v>
      </c>
      <c r="O2003" s="27">
        <f>IF($M2003="","",IF($F2003="Faltou",$M2003,0))</f>
        <v>0</v>
      </c>
      <c r="P2003" s="27">
        <f>IF($M2003="","",IF($F2003="Compareceu",MAX(0,$M2003-N($H2003)),0))</f>
        <v>0</v>
      </c>
      <c r="Q2003" s="19">
        <f>IF(AND($F2003="Compareceu",$E2003&lt;&gt;"",$A2003&lt;&gt;""),IF(IFERROR(INDEX(ProcRet,MATCH($E2003,ProcNome,0)),0)&gt;0,$A2003+INDEX(ProcRet,MATCH($E2003,ProcNome,0)),""),"")</f>
        <v>0</v>
      </c>
      <c r="R2003" s="26">
        <f>IF($Q2003="","",IF(COUNTIFS(AgPac,$D2003,AgData,"&gt;"&amp;$A2003,AgStatus,"&lt;&gt;Cancelado",AgStatus,"&lt;&gt;Remarcado")&gt;0,"Sim","Não"))</f>
        <v>0</v>
      </c>
      <c r="S2003" s="28">
        <f>IF($A2003="","",IF(AND($F2003="Agendado",$A2003-Hoje&gt;=0,$A2003-Hoje&lt;=DiasConf),"CONFIRMAR",IF(AND($A2003&lt;Hoje,OR($F2003="Agendado",$F2003="Confirmado")),"Atualizar status",IF(AND($F2003="Compareceu",$P2003&gt;0.005),"Cobrar",IF($F2003="Faltou","Falta: reagendar","")))))</f>
        <v>0</v>
      </c>
      <c r="T2003" s="29">
        <f>IF($A2003="","",DATE(YEAR($A2003),MONTH($A2003),1))</f>
        <v>0</v>
      </c>
      <c r="U2003" s="30">
        <f>IF($S2003="CONFIRMAR",MAX($U$4:$U2002)+1,"")</f>
        <v>0</v>
      </c>
      <c r="V2003" s="30">
        <f>IF(AND($R2003="Não",$Q2003&lt;&gt;"",$Q2003&lt;=Hoje+JanelaRet,$Q2003&gt;=Hoje-60),MAX($V$4:$V2002)+1,"")</f>
        <v>0</v>
      </c>
    </row>
    <row r="2004" spans="1:22">
      <c r="A2004" s="16"/>
      <c r="B2004" s="23"/>
      <c r="C2004" s="15"/>
      <c r="D2004" s="15"/>
      <c r="E2004" s="15"/>
      <c r="F2004" s="24"/>
      <c r="G2004" s="17"/>
      <c r="H2004" s="17"/>
      <c r="I2004" s="15"/>
      <c r="J2004" s="25">
        <f>IF($D2004="","",IFERROR(INDEX(PacNome,MATCH($D2004,PacCod,0)),"Paciente não cadastrado"))</f>
        <v>0</v>
      </c>
      <c r="K2004" s="26">
        <f>IF($D2004="","",IFERROR(INDEX(PacConv,MATCH($D2004,PacCod,0))&amp;"",""))</f>
        <v>0</v>
      </c>
      <c r="L2004" s="26">
        <f>IF($A2004="","",CHOOSE(WEEKDAY($A2004,2),"Seg","Ter","Qua","Qui","Sex","Sáb","Dom"))</f>
        <v>0</v>
      </c>
      <c r="M2004" s="27">
        <f>IF($E2004="","",IF($G2004&lt;&gt;"",$G2004,IFERROR(INDEX(ProcValor,MATCH($E2004,ProcNome,0)),0)))</f>
        <v>0</v>
      </c>
      <c r="N2004" s="27">
        <f>IF($M2004="","",IF($F2004="Compareceu",$M2004,0))</f>
        <v>0</v>
      </c>
      <c r="O2004" s="27">
        <f>IF($M2004="","",IF($F2004="Faltou",$M2004,0))</f>
        <v>0</v>
      </c>
      <c r="P2004" s="27">
        <f>IF($M2004="","",IF($F2004="Compareceu",MAX(0,$M2004-N($H2004)),0))</f>
        <v>0</v>
      </c>
      <c r="Q2004" s="19">
        <f>IF(AND($F2004="Compareceu",$E2004&lt;&gt;"",$A2004&lt;&gt;""),IF(IFERROR(INDEX(ProcRet,MATCH($E2004,ProcNome,0)),0)&gt;0,$A2004+INDEX(ProcRet,MATCH($E2004,ProcNome,0)),""),"")</f>
        <v>0</v>
      </c>
      <c r="R2004" s="26">
        <f>IF($Q2004="","",IF(COUNTIFS(AgPac,$D2004,AgData,"&gt;"&amp;$A2004,AgStatus,"&lt;&gt;Cancelado",AgStatus,"&lt;&gt;Remarcado")&gt;0,"Sim","Não"))</f>
        <v>0</v>
      </c>
      <c r="S2004" s="28">
        <f>IF($A2004="","",IF(AND($F2004="Agendado",$A2004-Hoje&gt;=0,$A2004-Hoje&lt;=DiasConf),"CONFIRMAR",IF(AND($A2004&lt;Hoje,OR($F2004="Agendado",$F2004="Confirmado")),"Atualizar status",IF(AND($F2004="Compareceu",$P2004&gt;0.005),"Cobrar",IF($F2004="Faltou","Falta: reagendar","")))))</f>
        <v>0</v>
      </c>
      <c r="T2004" s="29">
        <f>IF($A2004="","",DATE(YEAR($A2004),MONTH($A2004),1))</f>
        <v>0</v>
      </c>
      <c r="U2004" s="30">
        <f>IF($S2004="CONFIRMAR",MAX($U$4:$U2003)+1,"")</f>
        <v>0</v>
      </c>
      <c r="V2004" s="30">
        <f>IF(AND($R2004="Não",$Q2004&lt;&gt;"",$Q2004&lt;=Hoje+JanelaRet,$Q2004&gt;=Hoje-60),MAX($V$4:$V2003)+1,"")</f>
        <v>0</v>
      </c>
    </row>
    <row r="2005" spans="1:22">
      <c r="A2005" s="16"/>
      <c r="B2005" s="23"/>
      <c r="C2005" s="15"/>
      <c r="D2005" s="15"/>
      <c r="E2005" s="15"/>
      <c r="F2005" s="24"/>
      <c r="G2005" s="17"/>
      <c r="H2005" s="17"/>
      <c r="I2005" s="15"/>
      <c r="J2005" s="25">
        <f>IF($D2005="","",IFERROR(INDEX(PacNome,MATCH($D2005,PacCod,0)),"Paciente não cadastrado"))</f>
        <v>0</v>
      </c>
      <c r="K2005" s="26">
        <f>IF($D2005="","",IFERROR(INDEX(PacConv,MATCH($D2005,PacCod,0))&amp;"",""))</f>
        <v>0</v>
      </c>
      <c r="L2005" s="26">
        <f>IF($A2005="","",CHOOSE(WEEKDAY($A2005,2),"Seg","Ter","Qua","Qui","Sex","Sáb","Dom"))</f>
        <v>0</v>
      </c>
      <c r="M2005" s="27">
        <f>IF($E2005="","",IF($G2005&lt;&gt;"",$G2005,IFERROR(INDEX(ProcValor,MATCH($E2005,ProcNome,0)),0)))</f>
        <v>0</v>
      </c>
      <c r="N2005" s="27">
        <f>IF($M2005="","",IF($F2005="Compareceu",$M2005,0))</f>
        <v>0</v>
      </c>
      <c r="O2005" s="27">
        <f>IF($M2005="","",IF($F2005="Faltou",$M2005,0))</f>
        <v>0</v>
      </c>
      <c r="P2005" s="27">
        <f>IF($M2005="","",IF($F2005="Compareceu",MAX(0,$M2005-N($H2005)),0))</f>
        <v>0</v>
      </c>
      <c r="Q2005" s="19">
        <f>IF(AND($F2005="Compareceu",$E2005&lt;&gt;"",$A2005&lt;&gt;""),IF(IFERROR(INDEX(ProcRet,MATCH($E2005,ProcNome,0)),0)&gt;0,$A2005+INDEX(ProcRet,MATCH($E2005,ProcNome,0)),""),"")</f>
        <v>0</v>
      </c>
      <c r="R2005" s="26">
        <f>IF($Q2005="","",IF(COUNTIFS(AgPac,$D2005,AgData,"&gt;"&amp;$A2005,AgStatus,"&lt;&gt;Cancelado",AgStatus,"&lt;&gt;Remarcado")&gt;0,"Sim","Não"))</f>
        <v>0</v>
      </c>
      <c r="S2005" s="28">
        <f>IF($A2005="","",IF(AND($F2005="Agendado",$A2005-Hoje&gt;=0,$A2005-Hoje&lt;=DiasConf),"CONFIRMAR",IF(AND($A2005&lt;Hoje,OR($F2005="Agendado",$F2005="Confirmado")),"Atualizar status",IF(AND($F2005="Compareceu",$P2005&gt;0.005),"Cobrar",IF($F2005="Faltou","Falta: reagendar","")))))</f>
        <v>0</v>
      </c>
      <c r="T2005" s="29">
        <f>IF($A2005="","",DATE(YEAR($A2005),MONTH($A2005),1))</f>
        <v>0</v>
      </c>
      <c r="U2005" s="30">
        <f>IF($S2005="CONFIRMAR",MAX($U$4:$U2004)+1,"")</f>
        <v>0</v>
      </c>
      <c r="V2005" s="30">
        <f>IF(AND($R2005="Não",$Q2005&lt;&gt;"",$Q2005&lt;=Hoje+JanelaRet,$Q2005&gt;=Hoje-60),MAX($V$4:$V2004)+1,"")</f>
        <v>0</v>
      </c>
    </row>
    <row r="2006" spans="1:22">
      <c r="A2006" s="16"/>
      <c r="B2006" s="23"/>
      <c r="C2006" s="15"/>
      <c r="D2006" s="15"/>
      <c r="E2006" s="15"/>
      <c r="F2006" s="24"/>
      <c r="G2006" s="17"/>
      <c r="H2006" s="17"/>
      <c r="I2006" s="15"/>
      <c r="J2006" s="25">
        <f>IF($D2006="","",IFERROR(INDEX(PacNome,MATCH($D2006,PacCod,0)),"Paciente não cadastrado"))</f>
        <v>0</v>
      </c>
      <c r="K2006" s="26">
        <f>IF($D2006="","",IFERROR(INDEX(PacConv,MATCH($D2006,PacCod,0))&amp;"",""))</f>
        <v>0</v>
      </c>
      <c r="L2006" s="26">
        <f>IF($A2006="","",CHOOSE(WEEKDAY($A2006,2),"Seg","Ter","Qua","Qui","Sex","Sáb","Dom"))</f>
        <v>0</v>
      </c>
      <c r="M2006" s="27">
        <f>IF($E2006="","",IF($G2006&lt;&gt;"",$G2006,IFERROR(INDEX(ProcValor,MATCH($E2006,ProcNome,0)),0)))</f>
        <v>0</v>
      </c>
      <c r="N2006" s="27">
        <f>IF($M2006="","",IF($F2006="Compareceu",$M2006,0))</f>
        <v>0</v>
      </c>
      <c r="O2006" s="27">
        <f>IF($M2006="","",IF($F2006="Faltou",$M2006,0))</f>
        <v>0</v>
      </c>
      <c r="P2006" s="27">
        <f>IF($M2006="","",IF($F2006="Compareceu",MAX(0,$M2006-N($H2006)),0))</f>
        <v>0</v>
      </c>
      <c r="Q2006" s="19">
        <f>IF(AND($F2006="Compareceu",$E2006&lt;&gt;"",$A2006&lt;&gt;""),IF(IFERROR(INDEX(ProcRet,MATCH($E2006,ProcNome,0)),0)&gt;0,$A2006+INDEX(ProcRet,MATCH($E2006,ProcNome,0)),""),"")</f>
        <v>0</v>
      </c>
      <c r="R2006" s="26">
        <f>IF($Q2006="","",IF(COUNTIFS(AgPac,$D2006,AgData,"&gt;"&amp;$A2006,AgStatus,"&lt;&gt;Cancelado",AgStatus,"&lt;&gt;Remarcado")&gt;0,"Sim","Não"))</f>
        <v>0</v>
      </c>
      <c r="S2006" s="28">
        <f>IF($A2006="","",IF(AND($F2006="Agendado",$A2006-Hoje&gt;=0,$A2006-Hoje&lt;=DiasConf),"CONFIRMAR",IF(AND($A2006&lt;Hoje,OR($F2006="Agendado",$F2006="Confirmado")),"Atualizar status",IF(AND($F2006="Compareceu",$P2006&gt;0.005),"Cobrar",IF($F2006="Faltou","Falta: reagendar","")))))</f>
        <v>0</v>
      </c>
      <c r="T2006" s="29">
        <f>IF($A2006="","",DATE(YEAR($A2006),MONTH($A2006),1))</f>
        <v>0</v>
      </c>
      <c r="U2006" s="30">
        <f>IF($S2006="CONFIRMAR",MAX($U$4:$U2005)+1,"")</f>
        <v>0</v>
      </c>
      <c r="V2006" s="30">
        <f>IF(AND($R2006="Não",$Q2006&lt;&gt;"",$Q2006&lt;=Hoje+JanelaRet,$Q2006&gt;=Hoje-60),MAX($V$4:$V2005)+1,"")</f>
        <v>0</v>
      </c>
    </row>
    <row r="2007" spans="1:22">
      <c r="A2007" s="16"/>
      <c r="B2007" s="23"/>
      <c r="C2007" s="15"/>
      <c r="D2007" s="15"/>
      <c r="E2007" s="15"/>
      <c r="F2007" s="24"/>
      <c r="G2007" s="17"/>
      <c r="H2007" s="17"/>
      <c r="I2007" s="15"/>
      <c r="J2007" s="25">
        <f>IF($D2007="","",IFERROR(INDEX(PacNome,MATCH($D2007,PacCod,0)),"Paciente não cadastrado"))</f>
        <v>0</v>
      </c>
      <c r="K2007" s="26">
        <f>IF($D2007="","",IFERROR(INDEX(PacConv,MATCH($D2007,PacCod,0))&amp;"",""))</f>
        <v>0</v>
      </c>
      <c r="L2007" s="26">
        <f>IF($A2007="","",CHOOSE(WEEKDAY($A2007,2),"Seg","Ter","Qua","Qui","Sex","Sáb","Dom"))</f>
        <v>0</v>
      </c>
      <c r="M2007" s="27">
        <f>IF($E2007="","",IF($G2007&lt;&gt;"",$G2007,IFERROR(INDEX(ProcValor,MATCH($E2007,ProcNome,0)),0)))</f>
        <v>0</v>
      </c>
      <c r="N2007" s="27">
        <f>IF($M2007="","",IF($F2007="Compareceu",$M2007,0))</f>
        <v>0</v>
      </c>
      <c r="O2007" s="27">
        <f>IF($M2007="","",IF($F2007="Faltou",$M2007,0))</f>
        <v>0</v>
      </c>
      <c r="P2007" s="27">
        <f>IF($M2007="","",IF($F2007="Compareceu",MAX(0,$M2007-N($H2007)),0))</f>
        <v>0</v>
      </c>
      <c r="Q2007" s="19">
        <f>IF(AND($F2007="Compareceu",$E2007&lt;&gt;"",$A2007&lt;&gt;""),IF(IFERROR(INDEX(ProcRet,MATCH($E2007,ProcNome,0)),0)&gt;0,$A2007+INDEX(ProcRet,MATCH($E2007,ProcNome,0)),""),"")</f>
        <v>0</v>
      </c>
      <c r="R2007" s="26">
        <f>IF($Q2007="","",IF(COUNTIFS(AgPac,$D2007,AgData,"&gt;"&amp;$A2007,AgStatus,"&lt;&gt;Cancelado",AgStatus,"&lt;&gt;Remarcado")&gt;0,"Sim","Não"))</f>
        <v>0</v>
      </c>
      <c r="S2007" s="28">
        <f>IF($A2007="","",IF(AND($F2007="Agendado",$A2007-Hoje&gt;=0,$A2007-Hoje&lt;=DiasConf),"CONFIRMAR",IF(AND($A2007&lt;Hoje,OR($F2007="Agendado",$F2007="Confirmado")),"Atualizar status",IF(AND($F2007="Compareceu",$P2007&gt;0.005),"Cobrar",IF($F2007="Faltou","Falta: reagendar","")))))</f>
        <v>0</v>
      </c>
      <c r="T2007" s="29">
        <f>IF($A2007="","",DATE(YEAR($A2007),MONTH($A2007),1))</f>
        <v>0</v>
      </c>
      <c r="U2007" s="30">
        <f>IF($S2007="CONFIRMAR",MAX($U$4:$U2006)+1,"")</f>
        <v>0</v>
      </c>
      <c r="V2007" s="30">
        <f>IF(AND($R2007="Não",$Q2007&lt;&gt;"",$Q2007&lt;=Hoje+JanelaRet,$Q2007&gt;=Hoje-60),MAX($V$4:$V2006)+1,"")</f>
        <v>0</v>
      </c>
    </row>
    <row r="2008" spans="1:22">
      <c r="A2008" s="16"/>
      <c r="B2008" s="23"/>
      <c r="C2008" s="15"/>
      <c r="D2008" s="15"/>
      <c r="E2008" s="15"/>
      <c r="F2008" s="24"/>
      <c r="G2008" s="17"/>
      <c r="H2008" s="17"/>
      <c r="I2008" s="15"/>
      <c r="J2008" s="25">
        <f>IF($D2008="","",IFERROR(INDEX(PacNome,MATCH($D2008,PacCod,0)),"Paciente não cadastrado"))</f>
        <v>0</v>
      </c>
      <c r="K2008" s="26">
        <f>IF($D2008="","",IFERROR(INDEX(PacConv,MATCH($D2008,PacCod,0))&amp;"",""))</f>
        <v>0</v>
      </c>
      <c r="L2008" s="26">
        <f>IF($A2008="","",CHOOSE(WEEKDAY($A2008,2),"Seg","Ter","Qua","Qui","Sex","Sáb","Dom"))</f>
        <v>0</v>
      </c>
      <c r="M2008" s="27">
        <f>IF($E2008="","",IF($G2008&lt;&gt;"",$G2008,IFERROR(INDEX(ProcValor,MATCH($E2008,ProcNome,0)),0)))</f>
        <v>0</v>
      </c>
      <c r="N2008" s="27">
        <f>IF($M2008="","",IF($F2008="Compareceu",$M2008,0))</f>
        <v>0</v>
      </c>
      <c r="O2008" s="27">
        <f>IF($M2008="","",IF($F2008="Faltou",$M2008,0))</f>
        <v>0</v>
      </c>
      <c r="P2008" s="27">
        <f>IF($M2008="","",IF($F2008="Compareceu",MAX(0,$M2008-N($H2008)),0))</f>
        <v>0</v>
      </c>
      <c r="Q2008" s="19">
        <f>IF(AND($F2008="Compareceu",$E2008&lt;&gt;"",$A2008&lt;&gt;""),IF(IFERROR(INDEX(ProcRet,MATCH($E2008,ProcNome,0)),0)&gt;0,$A2008+INDEX(ProcRet,MATCH($E2008,ProcNome,0)),""),"")</f>
        <v>0</v>
      </c>
      <c r="R2008" s="26">
        <f>IF($Q2008="","",IF(COUNTIFS(AgPac,$D2008,AgData,"&gt;"&amp;$A2008,AgStatus,"&lt;&gt;Cancelado",AgStatus,"&lt;&gt;Remarcado")&gt;0,"Sim","Não"))</f>
        <v>0</v>
      </c>
      <c r="S2008" s="28">
        <f>IF($A2008="","",IF(AND($F2008="Agendado",$A2008-Hoje&gt;=0,$A2008-Hoje&lt;=DiasConf),"CONFIRMAR",IF(AND($A2008&lt;Hoje,OR($F2008="Agendado",$F2008="Confirmado")),"Atualizar status",IF(AND($F2008="Compareceu",$P2008&gt;0.005),"Cobrar",IF($F2008="Faltou","Falta: reagendar","")))))</f>
        <v>0</v>
      </c>
      <c r="T2008" s="29">
        <f>IF($A2008="","",DATE(YEAR($A2008),MONTH($A2008),1))</f>
        <v>0</v>
      </c>
      <c r="U2008" s="30">
        <f>IF($S2008="CONFIRMAR",MAX($U$4:$U2007)+1,"")</f>
        <v>0</v>
      </c>
      <c r="V2008" s="30">
        <f>IF(AND($R2008="Não",$Q2008&lt;&gt;"",$Q2008&lt;=Hoje+JanelaRet,$Q2008&gt;=Hoje-60),MAX($V$4:$V2007)+1,"")</f>
        <v>0</v>
      </c>
    </row>
    <row r="2009" spans="1:22">
      <c r="A2009" s="16"/>
      <c r="B2009" s="23"/>
      <c r="C2009" s="15"/>
      <c r="D2009" s="15"/>
      <c r="E2009" s="15"/>
      <c r="F2009" s="24"/>
      <c r="G2009" s="17"/>
      <c r="H2009" s="17"/>
      <c r="I2009" s="15"/>
      <c r="J2009" s="25">
        <f>IF($D2009="","",IFERROR(INDEX(PacNome,MATCH($D2009,PacCod,0)),"Paciente não cadastrado"))</f>
        <v>0</v>
      </c>
      <c r="K2009" s="26">
        <f>IF($D2009="","",IFERROR(INDEX(PacConv,MATCH($D2009,PacCod,0))&amp;"",""))</f>
        <v>0</v>
      </c>
      <c r="L2009" s="26">
        <f>IF($A2009="","",CHOOSE(WEEKDAY($A2009,2),"Seg","Ter","Qua","Qui","Sex","Sáb","Dom"))</f>
        <v>0</v>
      </c>
      <c r="M2009" s="27">
        <f>IF($E2009="","",IF($G2009&lt;&gt;"",$G2009,IFERROR(INDEX(ProcValor,MATCH($E2009,ProcNome,0)),0)))</f>
        <v>0</v>
      </c>
      <c r="N2009" s="27">
        <f>IF($M2009="","",IF($F2009="Compareceu",$M2009,0))</f>
        <v>0</v>
      </c>
      <c r="O2009" s="27">
        <f>IF($M2009="","",IF($F2009="Faltou",$M2009,0))</f>
        <v>0</v>
      </c>
      <c r="P2009" s="27">
        <f>IF($M2009="","",IF($F2009="Compareceu",MAX(0,$M2009-N($H2009)),0))</f>
        <v>0</v>
      </c>
      <c r="Q2009" s="19">
        <f>IF(AND($F2009="Compareceu",$E2009&lt;&gt;"",$A2009&lt;&gt;""),IF(IFERROR(INDEX(ProcRet,MATCH($E2009,ProcNome,0)),0)&gt;0,$A2009+INDEX(ProcRet,MATCH($E2009,ProcNome,0)),""),"")</f>
        <v>0</v>
      </c>
      <c r="R2009" s="26">
        <f>IF($Q2009="","",IF(COUNTIFS(AgPac,$D2009,AgData,"&gt;"&amp;$A2009,AgStatus,"&lt;&gt;Cancelado",AgStatus,"&lt;&gt;Remarcado")&gt;0,"Sim","Não"))</f>
        <v>0</v>
      </c>
      <c r="S2009" s="28">
        <f>IF($A2009="","",IF(AND($F2009="Agendado",$A2009-Hoje&gt;=0,$A2009-Hoje&lt;=DiasConf),"CONFIRMAR",IF(AND($A2009&lt;Hoje,OR($F2009="Agendado",$F2009="Confirmado")),"Atualizar status",IF(AND($F2009="Compareceu",$P2009&gt;0.005),"Cobrar",IF($F2009="Faltou","Falta: reagendar","")))))</f>
        <v>0</v>
      </c>
      <c r="T2009" s="29">
        <f>IF($A2009="","",DATE(YEAR($A2009),MONTH($A2009),1))</f>
        <v>0</v>
      </c>
      <c r="U2009" s="30">
        <f>IF($S2009="CONFIRMAR",MAX($U$4:$U2008)+1,"")</f>
        <v>0</v>
      </c>
      <c r="V2009" s="30">
        <f>IF(AND($R2009="Não",$Q2009&lt;&gt;"",$Q2009&lt;=Hoje+JanelaRet,$Q2009&gt;=Hoje-60),MAX($V$4:$V2008)+1,"")</f>
        <v>0</v>
      </c>
    </row>
    <row r="2010" spans="1:22">
      <c r="A2010" s="16"/>
      <c r="B2010" s="23"/>
      <c r="C2010" s="15"/>
      <c r="D2010" s="15"/>
      <c r="E2010" s="15"/>
      <c r="F2010" s="24"/>
      <c r="G2010" s="17"/>
      <c r="H2010" s="17"/>
      <c r="I2010" s="15"/>
      <c r="J2010" s="25">
        <f>IF($D2010="","",IFERROR(INDEX(PacNome,MATCH($D2010,PacCod,0)),"Paciente não cadastrado"))</f>
        <v>0</v>
      </c>
      <c r="K2010" s="26">
        <f>IF($D2010="","",IFERROR(INDEX(PacConv,MATCH($D2010,PacCod,0))&amp;"",""))</f>
        <v>0</v>
      </c>
      <c r="L2010" s="26">
        <f>IF($A2010="","",CHOOSE(WEEKDAY($A2010,2),"Seg","Ter","Qua","Qui","Sex","Sáb","Dom"))</f>
        <v>0</v>
      </c>
      <c r="M2010" s="27">
        <f>IF($E2010="","",IF($G2010&lt;&gt;"",$G2010,IFERROR(INDEX(ProcValor,MATCH($E2010,ProcNome,0)),0)))</f>
        <v>0</v>
      </c>
      <c r="N2010" s="27">
        <f>IF($M2010="","",IF($F2010="Compareceu",$M2010,0))</f>
        <v>0</v>
      </c>
      <c r="O2010" s="27">
        <f>IF($M2010="","",IF($F2010="Faltou",$M2010,0))</f>
        <v>0</v>
      </c>
      <c r="P2010" s="27">
        <f>IF($M2010="","",IF($F2010="Compareceu",MAX(0,$M2010-N($H2010)),0))</f>
        <v>0</v>
      </c>
      <c r="Q2010" s="19">
        <f>IF(AND($F2010="Compareceu",$E2010&lt;&gt;"",$A2010&lt;&gt;""),IF(IFERROR(INDEX(ProcRet,MATCH($E2010,ProcNome,0)),0)&gt;0,$A2010+INDEX(ProcRet,MATCH($E2010,ProcNome,0)),""),"")</f>
        <v>0</v>
      </c>
      <c r="R2010" s="26">
        <f>IF($Q2010="","",IF(COUNTIFS(AgPac,$D2010,AgData,"&gt;"&amp;$A2010,AgStatus,"&lt;&gt;Cancelado",AgStatus,"&lt;&gt;Remarcado")&gt;0,"Sim","Não"))</f>
        <v>0</v>
      </c>
      <c r="S2010" s="28">
        <f>IF($A2010="","",IF(AND($F2010="Agendado",$A2010-Hoje&gt;=0,$A2010-Hoje&lt;=DiasConf),"CONFIRMAR",IF(AND($A2010&lt;Hoje,OR($F2010="Agendado",$F2010="Confirmado")),"Atualizar status",IF(AND($F2010="Compareceu",$P2010&gt;0.005),"Cobrar",IF($F2010="Faltou","Falta: reagendar","")))))</f>
        <v>0</v>
      </c>
      <c r="T2010" s="29">
        <f>IF($A2010="","",DATE(YEAR($A2010),MONTH($A2010),1))</f>
        <v>0</v>
      </c>
      <c r="U2010" s="30">
        <f>IF($S2010="CONFIRMAR",MAX($U$4:$U2009)+1,"")</f>
        <v>0</v>
      </c>
      <c r="V2010" s="30">
        <f>IF(AND($R2010="Não",$Q2010&lt;&gt;"",$Q2010&lt;=Hoje+JanelaRet,$Q2010&gt;=Hoje-60),MAX($V$4:$V2009)+1,"")</f>
        <v>0</v>
      </c>
    </row>
    <row r="2011" spans="1:22">
      <c r="A2011" s="16"/>
      <c r="B2011" s="23"/>
      <c r="C2011" s="15"/>
      <c r="D2011" s="15"/>
      <c r="E2011" s="15"/>
      <c r="F2011" s="24"/>
      <c r="G2011" s="17"/>
      <c r="H2011" s="17"/>
      <c r="I2011" s="15"/>
      <c r="J2011" s="25">
        <f>IF($D2011="","",IFERROR(INDEX(PacNome,MATCH($D2011,PacCod,0)),"Paciente não cadastrado"))</f>
        <v>0</v>
      </c>
      <c r="K2011" s="26">
        <f>IF($D2011="","",IFERROR(INDEX(PacConv,MATCH($D2011,PacCod,0))&amp;"",""))</f>
        <v>0</v>
      </c>
      <c r="L2011" s="26">
        <f>IF($A2011="","",CHOOSE(WEEKDAY($A2011,2),"Seg","Ter","Qua","Qui","Sex","Sáb","Dom"))</f>
        <v>0</v>
      </c>
      <c r="M2011" s="27">
        <f>IF($E2011="","",IF($G2011&lt;&gt;"",$G2011,IFERROR(INDEX(ProcValor,MATCH($E2011,ProcNome,0)),0)))</f>
        <v>0</v>
      </c>
      <c r="N2011" s="27">
        <f>IF($M2011="","",IF($F2011="Compareceu",$M2011,0))</f>
        <v>0</v>
      </c>
      <c r="O2011" s="27">
        <f>IF($M2011="","",IF($F2011="Faltou",$M2011,0))</f>
        <v>0</v>
      </c>
      <c r="P2011" s="27">
        <f>IF($M2011="","",IF($F2011="Compareceu",MAX(0,$M2011-N($H2011)),0))</f>
        <v>0</v>
      </c>
      <c r="Q2011" s="19">
        <f>IF(AND($F2011="Compareceu",$E2011&lt;&gt;"",$A2011&lt;&gt;""),IF(IFERROR(INDEX(ProcRet,MATCH($E2011,ProcNome,0)),0)&gt;0,$A2011+INDEX(ProcRet,MATCH($E2011,ProcNome,0)),""),"")</f>
        <v>0</v>
      </c>
      <c r="R2011" s="26">
        <f>IF($Q2011="","",IF(COUNTIFS(AgPac,$D2011,AgData,"&gt;"&amp;$A2011,AgStatus,"&lt;&gt;Cancelado",AgStatus,"&lt;&gt;Remarcado")&gt;0,"Sim","Não"))</f>
        <v>0</v>
      </c>
      <c r="S2011" s="28">
        <f>IF($A2011="","",IF(AND($F2011="Agendado",$A2011-Hoje&gt;=0,$A2011-Hoje&lt;=DiasConf),"CONFIRMAR",IF(AND($A2011&lt;Hoje,OR($F2011="Agendado",$F2011="Confirmado")),"Atualizar status",IF(AND($F2011="Compareceu",$P2011&gt;0.005),"Cobrar",IF($F2011="Faltou","Falta: reagendar","")))))</f>
        <v>0</v>
      </c>
      <c r="T2011" s="29">
        <f>IF($A2011="","",DATE(YEAR($A2011),MONTH($A2011),1))</f>
        <v>0</v>
      </c>
      <c r="U2011" s="30">
        <f>IF($S2011="CONFIRMAR",MAX($U$4:$U2010)+1,"")</f>
        <v>0</v>
      </c>
      <c r="V2011" s="30">
        <f>IF(AND($R2011="Não",$Q2011&lt;&gt;"",$Q2011&lt;=Hoje+JanelaRet,$Q2011&gt;=Hoje-60),MAX($V$4:$V2010)+1,"")</f>
        <v>0</v>
      </c>
    </row>
    <row r="2012" spans="1:22">
      <c r="A2012" s="16"/>
      <c r="B2012" s="23"/>
      <c r="C2012" s="15"/>
      <c r="D2012" s="15"/>
      <c r="E2012" s="15"/>
      <c r="F2012" s="24"/>
      <c r="G2012" s="17"/>
      <c r="H2012" s="17"/>
      <c r="I2012" s="15"/>
      <c r="J2012" s="25">
        <f>IF($D2012="","",IFERROR(INDEX(PacNome,MATCH($D2012,PacCod,0)),"Paciente não cadastrado"))</f>
        <v>0</v>
      </c>
      <c r="K2012" s="26">
        <f>IF($D2012="","",IFERROR(INDEX(PacConv,MATCH($D2012,PacCod,0))&amp;"",""))</f>
        <v>0</v>
      </c>
      <c r="L2012" s="26">
        <f>IF($A2012="","",CHOOSE(WEEKDAY($A2012,2),"Seg","Ter","Qua","Qui","Sex","Sáb","Dom"))</f>
        <v>0</v>
      </c>
      <c r="M2012" s="27">
        <f>IF($E2012="","",IF($G2012&lt;&gt;"",$G2012,IFERROR(INDEX(ProcValor,MATCH($E2012,ProcNome,0)),0)))</f>
        <v>0</v>
      </c>
      <c r="N2012" s="27">
        <f>IF($M2012="","",IF($F2012="Compareceu",$M2012,0))</f>
        <v>0</v>
      </c>
      <c r="O2012" s="27">
        <f>IF($M2012="","",IF($F2012="Faltou",$M2012,0))</f>
        <v>0</v>
      </c>
      <c r="P2012" s="27">
        <f>IF($M2012="","",IF($F2012="Compareceu",MAX(0,$M2012-N($H2012)),0))</f>
        <v>0</v>
      </c>
      <c r="Q2012" s="19">
        <f>IF(AND($F2012="Compareceu",$E2012&lt;&gt;"",$A2012&lt;&gt;""),IF(IFERROR(INDEX(ProcRet,MATCH($E2012,ProcNome,0)),0)&gt;0,$A2012+INDEX(ProcRet,MATCH($E2012,ProcNome,0)),""),"")</f>
        <v>0</v>
      </c>
      <c r="R2012" s="26">
        <f>IF($Q2012="","",IF(COUNTIFS(AgPac,$D2012,AgData,"&gt;"&amp;$A2012,AgStatus,"&lt;&gt;Cancelado",AgStatus,"&lt;&gt;Remarcado")&gt;0,"Sim","Não"))</f>
        <v>0</v>
      </c>
      <c r="S2012" s="28">
        <f>IF($A2012="","",IF(AND($F2012="Agendado",$A2012-Hoje&gt;=0,$A2012-Hoje&lt;=DiasConf),"CONFIRMAR",IF(AND($A2012&lt;Hoje,OR($F2012="Agendado",$F2012="Confirmado")),"Atualizar status",IF(AND($F2012="Compareceu",$P2012&gt;0.005),"Cobrar",IF($F2012="Faltou","Falta: reagendar","")))))</f>
        <v>0</v>
      </c>
      <c r="T2012" s="29">
        <f>IF($A2012="","",DATE(YEAR($A2012),MONTH($A2012),1))</f>
        <v>0</v>
      </c>
      <c r="U2012" s="30">
        <f>IF($S2012="CONFIRMAR",MAX($U$4:$U2011)+1,"")</f>
        <v>0</v>
      </c>
      <c r="V2012" s="30">
        <f>IF(AND($R2012="Não",$Q2012&lt;&gt;"",$Q2012&lt;=Hoje+JanelaRet,$Q2012&gt;=Hoje-60),MAX($V$4:$V2011)+1,"")</f>
        <v>0</v>
      </c>
    </row>
    <row r="2013" spans="1:22">
      <c r="A2013" s="16"/>
      <c r="B2013" s="23"/>
      <c r="C2013" s="15"/>
      <c r="D2013" s="15"/>
      <c r="E2013" s="15"/>
      <c r="F2013" s="24"/>
      <c r="G2013" s="17"/>
      <c r="H2013" s="17"/>
      <c r="I2013" s="15"/>
      <c r="J2013" s="25">
        <f>IF($D2013="","",IFERROR(INDEX(PacNome,MATCH($D2013,PacCod,0)),"Paciente não cadastrado"))</f>
        <v>0</v>
      </c>
      <c r="K2013" s="26">
        <f>IF($D2013="","",IFERROR(INDEX(PacConv,MATCH($D2013,PacCod,0))&amp;"",""))</f>
        <v>0</v>
      </c>
      <c r="L2013" s="26">
        <f>IF($A2013="","",CHOOSE(WEEKDAY($A2013,2),"Seg","Ter","Qua","Qui","Sex","Sáb","Dom"))</f>
        <v>0</v>
      </c>
      <c r="M2013" s="27">
        <f>IF($E2013="","",IF($G2013&lt;&gt;"",$G2013,IFERROR(INDEX(ProcValor,MATCH($E2013,ProcNome,0)),0)))</f>
        <v>0</v>
      </c>
      <c r="N2013" s="27">
        <f>IF($M2013="","",IF($F2013="Compareceu",$M2013,0))</f>
        <v>0</v>
      </c>
      <c r="O2013" s="27">
        <f>IF($M2013="","",IF($F2013="Faltou",$M2013,0))</f>
        <v>0</v>
      </c>
      <c r="P2013" s="27">
        <f>IF($M2013="","",IF($F2013="Compareceu",MAX(0,$M2013-N($H2013)),0))</f>
        <v>0</v>
      </c>
      <c r="Q2013" s="19">
        <f>IF(AND($F2013="Compareceu",$E2013&lt;&gt;"",$A2013&lt;&gt;""),IF(IFERROR(INDEX(ProcRet,MATCH($E2013,ProcNome,0)),0)&gt;0,$A2013+INDEX(ProcRet,MATCH($E2013,ProcNome,0)),""),"")</f>
        <v>0</v>
      </c>
      <c r="R2013" s="26">
        <f>IF($Q2013="","",IF(COUNTIFS(AgPac,$D2013,AgData,"&gt;"&amp;$A2013,AgStatus,"&lt;&gt;Cancelado",AgStatus,"&lt;&gt;Remarcado")&gt;0,"Sim","Não"))</f>
        <v>0</v>
      </c>
      <c r="S2013" s="28">
        <f>IF($A2013="","",IF(AND($F2013="Agendado",$A2013-Hoje&gt;=0,$A2013-Hoje&lt;=DiasConf),"CONFIRMAR",IF(AND($A2013&lt;Hoje,OR($F2013="Agendado",$F2013="Confirmado")),"Atualizar status",IF(AND($F2013="Compareceu",$P2013&gt;0.005),"Cobrar",IF($F2013="Faltou","Falta: reagendar","")))))</f>
        <v>0</v>
      </c>
      <c r="T2013" s="29">
        <f>IF($A2013="","",DATE(YEAR($A2013),MONTH($A2013),1))</f>
        <v>0</v>
      </c>
      <c r="U2013" s="30">
        <f>IF($S2013="CONFIRMAR",MAX($U$4:$U2012)+1,"")</f>
        <v>0</v>
      </c>
      <c r="V2013" s="30">
        <f>IF(AND($R2013="Não",$Q2013&lt;&gt;"",$Q2013&lt;=Hoje+JanelaRet,$Q2013&gt;=Hoje-60),MAX($V$4:$V2012)+1,"")</f>
        <v>0</v>
      </c>
    </row>
    <row r="2014" spans="1:22">
      <c r="A2014" s="16"/>
      <c r="B2014" s="23"/>
      <c r="C2014" s="15"/>
      <c r="D2014" s="15"/>
      <c r="E2014" s="15"/>
      <c r="F2014" s="24"/>
      <c r="G2014" s="17"/>
      <c r="H2014" s="17"/>
      <c r="I2014" s="15"/>
      <c r="J2014" s="25">
        <f>IF($D2014="","",IFERROR(INDEX(PacNome,MATCH($D2014,PacCod,0)),"Paciente não cadastrado"))</f>
        <v>0</v>
      </c>
      <c r="K2014" s="26">
        <f>IF($D2014="","",IFERROR(INDEX(PacConv,MATCH($D2014,PacCod,0))&amp;"",""))</f>
        <v>0</v>
      </c>
      <c r="L2014" s="26">
        <f>IF($A2014="","",CHOOSE(WEEKDAY($A2014,2),"Seg","Ter","Qua","Qui","Sex","Sáb","Dom"))</f>
        <v>0</v>
      </c>
      <c r="M2014" s="27">
        <f>IF($E2014="","",IF($G2014&lt;&gt;"",$G2014,IFERROR(INDEX(ProcValor,MATCH($E2014,ProcNome,0)),0)))</f>
        <v>0</v>
      </c>
      <c r="N2014" s="27">
        <f>IF($M2014="","",IF($F2014="Compareceu",$M2014,0))</f>
        <v>0</v>
      </c>
      <c r="O2014" s="27">
        <f>IF($M2014="","",IF($F2014="Faltou",$M2014,0))</f>
        <v>0</v>
      </c>
      <c r="P2014" s="27">
        <f>IF($M2014="","",IF($F2014="Compareceu",MAX(0,$M2014-N($H2014)),0))</f>
        <v>0</v>
      </c>
      <c r="Q2014" s="19">
        <f>IF(AND($F2014="Compareceu",$E2014&lt;&gt;"",$A2014&lt;&gt;""),IF(IFERROR(INDEX(ProcRet,MATCH($E2014,ProcNome,0)),0)&gt;0,$A2014+INDEX(ProcRet,MATCH($E2014,ProcNome,0)),""),"")</f>
        <v>0</v>
      </c>
      <c r="R2014" s="26">
        <f>IF($Q2014="","",IF(COUNTIFS(AgPac,$D2014,AgData,"&gt;"&amp;$A2014,AgStatus,"&lt;&gt;Cancelado",AgStatus,"&lt;&gt;Remarcado")&gt;0,"Sim","Não"))</f>
        <v>0</v>
      </c>
      <c r="S2014" s="28">
        <f>IF($A2014="","",IF(AND($F2014="Agendado",$A2014-Hoje&gt;=0,$A2014-Hoje&lt;=DiasConf),"CONFIRMAR",IF(AND($A2014&lt;Hoje,OR($F2014="Agendado",$F2014="Confirmado")),"Atualizar status",IF(AND($F2014="Compareceu",$P2014&gt;0.005),"Cobrar",IF($F2014="Faltou","Falta: reagendar","")))))</f>
        <v>0</v>
      </c>
      <c r="T2014" s="29">
        <f>IF($A2014="","",DATE(YEAR($A2014),MONTH($A2014),1))</f>
        <v>0</v>
      </c>
      <c r="U2014" s="30">
        <f>IF($S2014="CONFIRMAR",MAX($U$4:$U2013)+1,"")</f>
        <v>0</v>
      </c>
      <c r="V2014" s="30">
        <f>IF(AND($R2014="Não",$Q2014&lt;&gt;"",$Q2014&lt;=Hoje+JanelaRet,$Q2014&gt;=Hoje-60),MAX($V$4:$V2013)+1,"")</f>
        <v>0</v>
      </c>
    </row>
    <row r="2015" spans="1:22">
      <c r="A2015" s="16"/>
      <c r="B2015" s="23"/>
      <c r="C2015" s="15"/>
      <c r="D2015" s="15"/>
      <c r="E2015" s="15"/>
      <c r="F2015" s="24"/>
      <c r="G2015" s="17"/>
      <c r="H2015" s="17"/>
      <c r="I2015" s="15"/>
      <c r="J2015" s="25">
        <f>IF($D2015="","",IFERROR(INDEX(PacNome,MATCH($D2015,PacCod,0)),"Paciente não cadastrado"))</f>
        <v>0</v>
      </c>
      <c r="K2015" s="26">
        <f>IF($D2015="","",IFERROR(INDEX(PacConv,MATCH($D2015,PacCod,0))&amp;"",""))</f>
        <v>0</v>
      </c>
      <c r="L2015" s="26">
        <f>IF($A2015="","",CHOOSE(WEEKDAY($A2015,2),"Seg","Ter","Qua","Qui","Sex","Sáb","Dom"))</f>
        <v>0</v>
      </c>
      <c r="M2015" s="27">
        <f>IF($E2015="","",IF($G2015&lt;&gt;"",$G2015,IFERROR(INDEX(ProcValor,MATCH($E2015,ProcNome,0)),0)))</f>
        <v>0</v>
      </c>
      <c r="N2015" s="27">
        <f>IF($M2015="","",IF($F2015="Compareceu",$M2015,0))</f>
        <v>0</v>
      </c>
      <c r="O2015" s="27">
        <f>IF($M2015="","",IF($F2015="Faltou",$M2015,0))</f>
        <v>0</v>
      </c>
      <c r="P2015" s="27">
        <f>IF($M2015="","",IF($F2015="Compareceu",MAX(0,$M2015-N($H2015)),0))</f>
        <v>0</v>
      </c>
      <c r="Q2015" s="19">
        <f>IF(AND($F2015="Compareceu",$E2015&lt;&gt;"",$A2015&lt;&gt;""),IF(IFERROR(INDEX(ProcRet,MATCH($E2015,ProcNome,0)),0)&gt;0,$A2015+INDEX(ProcRet,MATCH($E2015,ProcNome,0)),""),"")</f>
        <v>0</v>
      </c>
      <c r="R2015" s="26">
        <f>IF($Q2015="","",IF(COUNTIFS(AgPac,$D2015,AgData,"&gt;"&amp;$A2015,AgStatus,"&lt;&gt;Cancelado",AgStatus,"&lt;&gt;Remarcado")&gt;0,"Sim","Não"))</f>
        <v>0</v>
      </c>
      <c r="S2015" s="28">
        <f>IF($A2015="","",IF(AND($F2015="Agendado",$A2015-Hoje&gt;=0,$A2015-Hoje&lt;=DiasConf),"CONFIRMAR",IF(AND($A2015&lt;Hoje,OR($F2015="Agendado",$F2015="Confirmado")),"Atualizar status",IF(AND($F2015="Compareceu",$P2015&gt;0.005),"Cobrar",IF($F2015="Faltou","Falta: reagendar","")))))</f>
        <v>0</v>
      </c>
      <c r="T2015" s="29">
        <f>IF($A2015="","",DATE(YEAR($A2015),MONTH($A2015),1))</f>
        <v>0</v>
      </c>
      <c r="U2015" s="30">
        <f>IF($S2015="CONFIRMAR",MAX($U$4:$U2014)+1,"")</f>
        <v>0</v>
      </c>
      <c r="V2015" s="30">
        <f>IF(AND($R2015="Não",$Q2015&lt;&gt;"",$Q2015&lt;=Hoje+JanelaRet,$Q2015&gt;=Hoje-60),MAX($V$4:$V2014)+1,"")</f>
        <v>0</v>
      </c>
    </row>
    <row r="2016" spans="1:22">
      <c r="A2016" s="16"/>
      <c r="B2016" s="23"/>
      <c r="C2016" s="15"/>
      <c r="D2016" s="15"/>
      <c r="E2016" s="15"/>
      <c r="F2016" s="24"/>
      <c r="G2016" s="17"/>
      <c r="H2016" s="17"/>
      <c r="I2016" s="15"/>
      <c r="J2016" s="25">
        <f>IF($D2016="","",IFERROR(INDEX(PacNome,MATCH($D2016,PacCod,0)),"Paciente não cadastrado"))</f>
        <v>0</v>
      </c>
      <c r="K2016" s="26">
        <f>IF($D2016="","",IFERROR(INDEX(PacConv,MATCH($D2016,PacCod,0))&amp;"",""))</f>
        <v>0</v>
      </c>
      <c r="L2016" s="26">
        <f>IF($A2016="","",CHOOSE(WEEKDAY($A2016,2),"Seg","Ter","Qua","Qui","Sex","Sáb","Dom"))</f>
        <v>0</v>
      </c>
      <c r="M2016" s="27">
        <f>IF($E2016="","",IF($G2016&lt;&gt;"",$G2016,IFERROR(INDEX(ProcValor,MATCH($E2016,ProcNome,0)),0)))</f>
        <v>0</v>
      </c>
      <c r="N2016" s="27">
        <f>IF($M2016="","",IF($F2016="Compareceu",$M2016,0))</f>
        <v>0</v>
      </c>
      <c r="O2016" s="27">
        <f>IF($M2016="","",IF($F2016="Faltou",$M2016,0))</f>
        <v>0</v>
      </c>
      <c r="P2016" s="27">
        <f>IF($M2016="","",IF($F2016="Compareceu",MAX(0,$M2016-N($H2016)),0))</f>
        <v>0</v>
      </c>
      <c r="Q2016" s="19">
        <f>IF(AND($F2016="Compareceu",$E2016&lt;&gt;"",$A2016&lt;&gt;""),IF(IFERROR(INDEX(ProcRet,MATCH($E2016,ProcNome,0)),0)&gt;0,$A2016+INDEX(ProcRet,MATCH($E2016,ProcNome,0)),""),"")</f>
        <v>0</v>
      </c>
      <c r="R2016" s="26">
        <f>IF($Q2016="","",IF(COUNTIFS(AgPac,$D2016,AgData,"&gt;"&amp;$A2016,AgStatus,"&lt;&gt;Cancelado",AgStatus,"&lt;&gt;Remarcado")&gt;0,"Sim","Não"))</f>
        <v>0</v>
      </c>
      <c r="S2016" s="28">
        <f>IF($A2016="","",IF(AND($F2016="Agendado",$A2016-Hoje&gt;=0,$A2016-Hoje&lt;=DiasConf),"CONFIRMAR",IF(AND($A2016&lt;Hoje,OR($F2016="Agendado",$F2016="Confirmado")),"Atualizar status",IF(AND($F2016="Compareceu",$P2016&gt;0.005),"Cobrar",IF($F2016="Faltou","Falta: reagendar","")))))</f>
        <v>0</v>
      </c>
      <c r="T2016" s="29">
        <f>IF($A2016="","",DATE(YEAR($A2016),MONTH($A2016),1))</f>
        <v>0</v>
      </c>
      <c r="U2016" s="30">
        <f>IF($S2016="CONFIRMAR",MAX($U$4:$U2015)+1,"")</f>
        <v>0</v>
      </c>
      <c r="V2016" s="30">
        <f>IF(AND($R2016="Não",$Q2016&lt;&gt;"",$Q2016&lt;=Hoje+JanelaRet,$Q2016&gt;=Hoje-60),MAX($V$4:$V2015)+1,"")</f>
        <v>0</v>
      </c>
    </row>
    <row r="2017" spans="1:22">
      <c r="A2017" s="16"/>
      <c r="B2017" s="23"/>
      <c r="C2017" s="15"/>
      <c r="D2017" s="15"/>
      <c r="E2017" s="15"/>
      <c r="F2017" s="24"/>
      <c r="G2017" s="17"/>
      <c r="H2017" s="17"/>
      <c r="I2017" s="15"/>
      <c r="J2017" s="25">
        <f>IF($D2017="","",IFERROR(INDEX(PacNome,MATCH($D2017,PacCod,0)),"Paciente não cadastrado"))</f>
        <v>0</v>
      </c>
      <c r="K2017" s="26">
        <f>IF($D2017="","",IFERROR(INDEX(PacConv,MATCH($D2017,PacCod,0))&amp;"",""))</f>
        <v>0</v>
      </c>
      <c r="L2017" s="26">
        <f>IF($A2017="","",CHOOSE(WEEKDAY($A2017,2),"Seg","Ter","Qua","Qui","Sex","Sáb","Dom"))</f>
        <v>0</v>
      </c>
      <c r="M2017" s="27">
        <f>IF($E2017="","",IF($G2017&lt;&gt;"",$G2017,IFERROR(INDEX(ProcValor,MATCH($E2017,ProcNome,0)),0)))</f>
        <v>0</v>
      </c>
      <c r="N2017" s="27">
        <f>IF($M2017="","",IF($F2017="Compareceu",$M2017,0))</f>
        <v>0</v>
      </c>
      <c r="O2017" s="27">
        <f>IF($M2017="","",IF($F2017="Faltou",$M2017,0))</f>
        <v>0</v>
      </c>
      <c r="P2017" s="27">
        <f>IF($M2017="","",IF($F2017="Compareceu",MAX(0,$M2017-N($H2017)),0))</f>
        <v>0</v>
      </c>
      <c r="Q2017" s="19">
        <f>IF(AND($F2017="Compareceu",$E2017&lt;&gt;"",$A2017&lt;&gt;""),IF(IFERROR(INDEX(ProcRet,MATCH($E2017,ProcNome,0)),0)&gt;0,$A2017+INDEX(ProcRet,MATCH($E2017,ProcNome,0)),""),"")</f>
        <v>0</v>
      </c>
      <c r="R2017" s="26">
        <f>IF($Q2017="","",IF(COUNTIFS(AgPac,$D2017,AgData,"&gt;"&amp;$A2017,AgStatus,"&lt;&gt;Cancelado",AgStatus,"&lt;&gt;Remarcado")&gt;0,"Sim","Não"))</f>
        <v>0</v>
      </c>
      <c r="S2017" s="28">
        <f>IF($A2017="","",IF(AND($F2017="Agendado",$A2017-Hoje&gt;=0,$A2017-Hoje&lt;=DiasConf),"CONFIRMAR",IF(AND($A2017&lt;Hoje,OR($F2017="Agendado",$F2017="Confirmado")),"Atualizar status",IF(AND($F2017="Compareceu",$P2017&gt;0.005),"Cobrar",IF($F2017="Faltou","Falta: reagendar","")))))</f>
        <v>0</v>
      </c>
      <c r="T2017" s="29">
        <f>IF($A2017="","",DATE(YEAR($A2017),MONTH($A2017),1))</f>
        <v>0</v>
      </c>
      <c r="U2017" s="30">
        <f>IF($S2017="CONFIRMAR",MAX($U$4:$U2016)+1,"")</f>
        <v>0</v>
      </c>
      <c r="V2017" s="30">
        <f>IF(AND($R2017="Não",$Q2017&lt;&gt;"",$Q2017&lt;=Hoje+JanelaRet,$Q2017&gt;=Hoje-60),MAX($V$4:$V2016)+1,"")</f>
        <v>0</v>
      </c>
    </row>
    <row r="2018" spans="1:22">
      <c r="A2018" s="16"/>
      <c r="B2018" s="23"/>
      <c r="C2018" s="15"/>
      <c r="D2018" s="15"/>
      <c r="E2018" s="15"/>
      <c r="F2018" s="24"/>
      <c r="G2018" s="17"/>
      <c r="H2018" s="17"/>
      <c r="I2018" s="15"/>
      <c r="J2018" s="25">
        <f>IF($D2018="","",IFERROR(INDEX(PacNome,MATCH($D2018,PacCod,0)),"Paciente não cadastrado"))</f>
        <v>0</v>
      </c>
      <c r="K2018" s="26">
        <f>IF($D2018="","",IFERROR(INDEX(PacConv,MATCH($D2018,PacCod,0))&amp;"",""))</f>
        <v>0</v>
      </c>
      <c r="L2018" s="26">
        <f>IF($A2018="","",CHOOSE(WEEKDAY($A2018,2),"Seg","Ter","Qua","Qui","Sex","Sáb","Dom"))</f>
        <v>0</v>
      </c>
      <c r="M2018" s="27">
        <f>IF($E2018="","",IF($G2018&lt;&gt;"",$G2018,IFERROR(INDEX(ProcValor,MATCH($E2018,ProcNome,0)),0)))</f>
        <v>0</v>
      </c>
      <c r="N2018" s="27">
        <f>IF($M2018="","",IF($F2018="Compareceu",$M2018,0))</f>
        <v>0</v>
      </c>
      <c r="O2018" s="27">
        <f>IF($M2018="","",IF($F2018="Faltou",$M2018,0))</f>
        <v>0</v>
      </c>
      <c r="P2018" s="27">
        <f>IF($M2018="","",IF($F2018="Compareceu",MAX(0,$M2018-N($H2018)),0))</f>
        <v>0</v>
      </c>
      <c r="Q2018" s="19">
        <f>IF(AND($F2018="Compareceu",$E2018&lt;&gt;"",$A2018&lt;&gt;""),IF(IFERROR(INDEX(ProcRet,MATCH($E2018,ProcNome,0)),0)&gt;0,$A2018+INDEX(ProcRet,MATCH($E2018,ProcNome,0)),""),"")</f>
        <v>0</v>
      </c>
      <c r="R2018" s="26">
        <f>IF($Q2018="","",IF(COUNTIFS(AgPac,$D2018,AgData,"&gt;"&amp;$A2018,AgStatus,"&lt;&gt;Cancelado",AgStatus,"&lt;&gt;Remarcado")&gt;0,"Sim","Não"))</f>
        <v>0</v>
      </c>
      <c r="S2018" s="28">
        <f>IF($A2018="","",IF(AND($F2018="Agendado",$A2018-Hoje&gt;=0,$A2018-Hoje&lt;=DiasConf),"CONFIRMAR",IF(AND($A2018&lt;Hoje,OR($F2018="Agendado",$F2018="Confirmado")),"Atualizar status",IF(AND($F2018="Compareceu",$P2018&gt;0.005),"Cobrar",IF($F2018="Faltou","Falta: reagendar","")))))</f>
        <v>0</v>
      </c>
      <c r="T2018" s="29">
        <f>IF($A2018="","",DATE(YEAR($A2018),MONTH($A2018),1))</f>
        <v>0</v>
      </c>
      <c r="U2018" s="30">
        <f>IF($S2018="CONFIRMAR",MAX($U$4:$U2017)+1,"")</f>
        <v>0</v>
      </c>
      <c r="V2018" s="30">
        <f>IF(AND($R2018="Não",$Q2018&lt;&gt;"",$Q2018&lt;=Hoje+JanelaRet,$Q2018&gt;=Hoje-60),MAX($V$4:$V2017)+1,"")</f>
        <v>0</v>
      </c>
    </row>
    <row r="2019" spans="1:22">
      <c r="A2019" s="16"/>
      <c r="B2019" s="23"/>
      <c r="C2019" s="15"/>
      <c r="D2019" s="15"/>
      <c r="E2019" s="15"/>
      <c r="F2019" s="24"/>
      <c r="G2019" s="17"/>
      <c r="H2019" s="17"/>
      <c r="I2019" s="15"/>
      <c r="J2019" s="25">
        <f>IF($D2019="","",IFERROR(INDEX(PacNome,MATCH($D2019,PacCod,0)),"Paciente não cadastrado"))</f>
        <v>0</v>
      </c>
      <c r="K2019" s="26">
        <f>IF($D2019="","",IFERROR(INDEX(PacConv,MATCH($D2019,PacCod,0))&amp;"",""))</f>
        <v>0</v>
      </c>
      <c r="L2019" s="26">
        <f>IF($A2019="","",CHOOSE(WEEKDAY($A2019,2),"Seg","Ter","Qua","Qui","Sex","Sáb","Dom"))</f>
        <v>0</v>
      </c>
      <c r="M2019" s="27">
        <f>IF($E2019="","",IF($G2019&lt;&gt;"",$G2019,IFERROR(INDEX(ProcValor,MATCH($E2019,ProcNome,0)),0)))</f>
        <v>0</v>
      </c>
      <c r="N2019" s="27">
        <f>IF($M2019="","",IF($F2019="Compareceu",$M2019,0))</f>
        <v>0</v>
      </c>
      <c r="O2019" s="27">
        <f>IF($M2019="","",IF($F2019="Faltou",$M2019,0))</f>
        <v>0</v>
      </c>
      <c r="P2019" s="27">
        <f>IF($M2019="","",IF($F2019="Compareceu",MAX(0,$M2019-N($H2019)),0))</f>
        <v>0</v>
      </c>
      <c r="Q2019" s="19">
        <f>IF(AND($F2019="Compareceu",$E2019&lt;&gt;"",$A2019&lt;&gt;""),IF(IFERROR(INDEX(ProcRet,MATCH($E2019,ProcNome,0)),0)&gt;0,$A2019+INDEX(ProcRet,MATCH($E2019,ProcNome,0)),""),"")</f>
        <v>0</v>
      </c>
      <c r="R2019" s="26">
        <f>IF($Q2019="","",IF(COUNTIFS(AgPac,$D2019,AgData,"&gt;"&amp;$A2019,AgStatus,"&lt;&gt;Cancelado",AgStatus,"&lt;&gt;Remarcado")&gt;0,"Sim","Não"))</f>
        <v>0</v>
      </c>
      <c r="S2019" s="28">
        <f>IF($A2019="","",IF(AND($F2019="Agendado",$A2019-Hoje&gt;=0,$A2019-Hoje&lt;=DiasConf),"CONFIRMAR",IF(AND($A2019&lt;Hoje,OR($F2019="Agendado",$F2019="Confirmado")),"Atualizar status",IF(AND($F2019="Compareceu",$P2019&gt;0.005),"Cobrar",IF($F2019="Faltou","Falta: reagendar","")))))</f>
        <v>0</v>
      </c>
      <c r="T2019" s="29">
        <f>IF($A2019="","",DATE(YEAR($A2019),MONTH($A2019),1))</f>
        <v>0</v>
      </c>
      <c r="U2019" s="30">
        <f>IF($S2019="CONFIRMAR",MAX($U$4:$U2018)+1,"")</f>
        <v>0</v>
      </c>
      <c r="V2019" s="30">
        <f>IF(AND($R2019="Não",$Q2019&lt;&gt;"",$Q2019&lt;=Hoje+JanelaRet,$Q2019&gt;=Hoje-60),MAX($V$4:$V2018)+1,"")</f>
        <v>0</v>
      </c>
    </row>
    <row r="2020" spans="1:22">
      <c r="A2020" s="16"/>
      <c r="B2020" s="23"/>
      <c r="C2020" s="15"/>
      <c r="D2020" s="15"/>
      <c r="E2020" s="15"/>
      <c r="F2020" s="24"/>
      <c r="G2020" s="17"/>
      <c r="H2020" s="17"/>
      <c r="I2020" s="15"/>
      <c r="J2020" s="25">
        <f>IF($D2020="","",IFERROR(INDEX(PacNome,MATCH($D2020,PacCod,0)),"Paciente não cadastrado"))</f>
        <v>0</v>
      </c>
      <c r="K2020" s="26">
        <f>IF($D2020="","",IFERROR(INDEX(PacConv,MATCH($D2020,PacCod,0))&amp;"",""))</f>
        <v>0</v>
      </c>
      <c r="L2020" s="26">
        <f>IF($A2020="","",CHOOSE(WEEKDAY($A2020,2),"Seg","Ter","Qua","Qui","Sex","Sáb","Dom"))</f>
        <v>0</v>
      </c>
      <c r="M2020" s="27">
        <f>IF($E2020="","",IF($G2020&lt;&gt;"",$G2020,IFERROR(INDEX(ProcValor,MATCH($E2020,ProcNome,0)),0)))</f>
        <v>0</v>
      </c>
      <c r="N2020" s="27">
        <f>IF($M2020="","",IF($F2020="Compareceu",$M2020,0))</f>
        <v>0</v>
      </c>
      <c r="O2020" s="27">
        <f>IF($M2020="","",IF($F2020="Faltou",$M2020,0))</f>
        <v>0</v>
      </c>
      <c r="P2020" s="27">
        <f>IF($M2020="","",IF($F2020="Compareceu",MAX(0,$M2020-N($H2020)),0))</f>
        <v>0</v>
      </c>
      <c r="Q2020" s="19">
        <f>IF(AND($F2020="Compareceu",$E2020&lt;&gt;"",$A2020&lt;&gt;""),IF(IFERROR(INDEX(ProcRet,MATCH($E2020,ProcNome,0)),0)&gt;0,$A2020+INDEX(ProcRet,MATCH($E2020,ProcNome,0)),""),"")</f>
        <v>0</v>
      </c>
      <c r="R2020" s="26">
        <f>IF($Q2020="","",IF(COUNTIFS(AgPac,$D2020,AgData,"&gt;"&amp;$A2020,AgStatus,"&lt;&gt;Cancelado",AgStatus,"&lt;&gt;Remarcado")&gt;0,"Sim","Não"))</f>
        <v>0</v>
      </c>
      <c r="S2020" s="28">
        <f>IF($A2020="","",IF(AND($F2020="Agendado",$A2020-Hoje&gt;=0,$A2020-Hoje&lt;=DiasConf),"CONFIRMAR",IF(AND($A2020&lt;Hoje,OR($F2020="Agendado",$F2020="Confirmado")),"Atualizar status",IF(AND($F2020="Compareceu",$P2020&gt;0.005),"Cobrar",IF($F2020="Faltou","Falta: reagendar","")))))</f>
        <v>0</v>
      </c>
      <c r="T2020" s="29">
        <f>IF($A2020="","",DATE(YEAR($A2020),MONTH($A2020),1))</f>
        <v>0</v>
      </c>
      <c r="U2020" s="30">
        <f>IF($S2020="CONFIRMAR",MAX($U$4:$U2019)+1,"")</f>
        <v>0</v>
      </c>
      <c r="V2020" s="30">
        <f>IF(AND($R2020="Não",$Q2020&lt;&gt;"",$Q2020&lt;=Hoje+JanelaRet,$Q2020&gt;=Hoje-60),MAX($V$4:$V2019)+1,"")</f>
        <v>0</v>
      </c>
    </row>
    <row r="2021" spans="1:22">
      <c r="A2021" s="16"/>
      <c r="B2021" s="23"/>
      <c r="C2021" s="15"/>
      <c r="D2021" s="15"/>
      <c r="E2021" s="15"/>
      <c r="F2021" s="24"/>
      <c r="G2021" s="17"/>
      <c r="H2021" s="17"/>
      <c r="I2021" s="15"/>
      <c r="J2021" s="25">
        <f>IF($D2021="","",IFERROR(INDEX(PacNome,MATCH($D2021,PacCod,0)),"Paciente não cadastrado"))</f>
        <v>0</v>
      </c>
      <c r="K2021" s="26">
        <f>IF($D2021="","",IFERROR(INDEX(PacConv,MATCH($D2021,PacCod,0))&amp;"",""))</f>
        <v>0</v>
      </c>
      <c r="L2021" s="26">
        <f>IF($A2021="","",CHOOSE(WEEKDAY($A2021,2),"Seg","Ter","Qua","Qui","Sex","Sáb","Dom"))</f>
        <v>0</v>
      </c>
      <c r="M2021" s="27">
        <f>IF($E2021="","",IF($G2021&lt;&gt;"",$G2021,IFERROR(INDEX(ProcValor,MATCH($E2021,ProcNome,0)),0)))</f>
        <v>0</v>
      </c>
      <c r="N2021" s="27">
        <f>IF($M2021="","",IF($F2021="Compareceu",$M2021,0))</f>
        <v>0</v>
      </c>
      <c r="O2021" s="27">
        <f>IF($M2021="","",IF($F2021="Faltou",$M2021,0))</f>
        <v>0</v>
      </c>
      <c r="P2021" s="27">
        <f>IF($M2021="","",IF($F2021="Compareceu",MAX(0,$M2021-N($H2021)),0))</f>
        <v>0</v>
      </c>
      <c r="Q2021" s="19">
        <f>IF(AND($F2021="Compareceu",$E2021&lt;&gt;"",$A2021&lt;&gt;""),IF(IFERROR(INDEX(ProcRet,MATCH($E2021,ProcNome,0)),0)&gt;0,$A2021+INDEX(ProcRet,MATCH($E2021,ProcNome,0)),""),"")</f>
        <v>0</v>
      </c>
      <c r="R2021" s="26">
        <f>IF($Q2021="","",IF(COUNTIFS(AgPac,$D2021,AgData,"&gt;"&amp;$A2021,AgStatus,"&lt;&gt;Cancelado",AgStatus,"&lt;&gt;Remarcado")&gt;0,"Sim","Não"))</f>
        <v>0</v>
      </c>
      <c r="S2021" s="28">
        <f>IF($A2021="","",IF(AND($F2021="Agendado",$A2021-Hoje&gt;=0,$A2021-Hoje&lt;=DiasConf),"CONFIRMAR",IF(AND($A2021&lt;Hoje,OR($F2021="Agendado",$F2021="Confirmado")),"Atualizar status",IF(AND($F2021="Compareceu",$P2021&gt;0.005),"Cobrar",IF($F2021="Faltou","Falta: reagendar","")))))</f>
        <v>0</v>
      </c>
      <c r="T2021" s="29">
        <f>IF($A2021="","",DATE(YEAR($A2021),MONTH($A2021),1))</f>
        <v>0</v>
      </c>
      <c r="U2021" s="30">
        <f>IF($S2021="CONFIRMAR",MAX($U$4:$U2020)+1,"")</f>
        <v>0</v>
      </c>
      <c r="V2021" s="30">
        <f>IF(AND($R2021="Não",$Q2021&lt;&gt;"",$Q2021&lt;=Hoje+JanelaRet,$Q2021&gt;=Hoje-60),MAX($V$4:$V2020)+1,"")</f>
        <v>0</v>
      </c>
    </row>
    <row r="2022" spans="1:22">
      <c r="A2022" s="16"/>
      <c r="B2022" s="23"/>
      <c r="C2022" s="15"/>
      <c r="D2022" s="15"/>
      <c r="E2022" s="15"/>
      <c r="F2022" s="24"/>
      <c r="G2022" s="17"/>
      <c r="H2022" s="17"/>
      <c r="I2022" s="15"/>
      <c r="J2022" s="25">
        <f>IF($D2022="","",IFERROR(INDEX(PacNome,MATCH($D2022,PacCod,0)),"Paciente não cadastrado"))</f>
        <v>0</v>
      </c>
      <c r="K2022" s="26">
        <f>IF($D2022="","",IFERROR(INDEX(PacConv,MATCH($D2022,PacCod,0))&amp;"",""))</f>
        <v>0</v>
      </c>
      <c r="L2022" s="26">
        <f>IF($A2022="","",CHOOSE(WEEKDAY($A2022,2),"Seg","Ter","Qua","Qui","Sex","Sáb","Dom"))</f>
        <v>0</v>
      </c>
      <c r="M2022" s="27">
        <f>IF($E2022="","",IF($G2022&lt;&gt;"",$G2022,IFERROR(INDEX(ProcValor,MATCH($E2022,ProcNome,0)),0)))</f>
        <v>0</v>
      </c>
      <c r="N2022" s="27">
        <f>IF($M2022="","",IF($F2022="Compareceu",$M2022,0))</f>
        <v>0</v>
      </c>
      <c r="O2022" s="27">
        <f>IF($M2022="","",IF($F2022="Faltou",$M2022,0))</f>
        <v>0</v>
      </c>
      <c r="P2022" s="27">
        <f>IF($M2022="","",IF($F2022="Compareceu",MAX(0,$M2022-N($H2022)),0))</f>
        <v>0</v>
      </c>
      <c r="Q2022" s="19">
        <f>IF(AND($F2022="Compareceu",$E2022&lt;&gt;"",$A2022&lt;&gt;""),IF(IFERROR(INDEX(ProcRet,MATCH($E2022,ProcNome,0)),0)&gt;0,$A2022+INDEX(ProcRet,MATCH($E2022,ProcNome,0)),""),"")</f>
        <v>0</v>
      </c>
      <c r="R2022" s="26">
        <f>IF($Q2022="","",IF(COUNTIFS(AgPac,$D2022,AgData,"&gt;"&amp;$A2022,AgStatus,"&lt;&gt;Cancelado",AgStatus,"&lt;&gt;Remarcado")&gt;0,"Sim","Não"))</f>
        <v>0</v>
      </c>
      <c r="S2022" s="28">
        <f>IF($A2022="","",IF(AND($F2022="Agendado",$A2022-Hoje&gt;=0,$A2022-Hoje&lt;=DiasConf),"CONFIRMAR",IF(AND($A2022&lt;Hoje,OR($F2022="Agendado",$F2022="Confirmado")),"Atualizar status",IF(AND($F2022="Compareceu",$P2022&gt;0.005),"Cobrar",IF($F2022="Faltou","Falta: reagendar","")))))</f>
        <v>0</v>
      </c>
      <c r="T2022" s="29">
        <f>IF($A2022="","",DATE(YEAR($A2022),MONTH($A2022),1))</f>
        <v>0</v>
      </c>
      <c r="U2022" s="30">
        <f>IF($S2022="CONFIRMAR",MAX($U$4:$U2021)+1,"")</f>
        <v>0</v>
      </c>
      <c r="V2022" s="30">
        <f>IF(AND($R2022="Não",$Q2022&lt;&gt;"",$Q2022&lt;=Hoje+JanelaRet,$Q2022&gt;=Hoje-60),MAX($V$4:$V2021)+1,"")</f>
        <v>0</v>
      </c>
    </row>
    <row r="2023" spans="1:22">
      <c r="A2023" s="16"/>
      <c r="B2023" s="23"/>
      <c r="C2023" s="15"/>
      <c r="D2023" s="15"/>
      <c r="E2023" s="15"/>
      <c r="F2023" s="24"/>
      <c r="G2023" s="17"/>
      <c r="H2023" s="17"/>
      <c r="I2023" s="15"/>
      <c r="J2023" s="25">
        <f>IF($D2023="","",IFERROR(INDEX(PacNome,MATCH($D2023,PacCod,0)),"Paciente não cadastrado"))</f>
        <v>0</v>
      </c>
      <c r="K2023" s="26">
        <f>IF($D2023="","",IFERROR(INDEX(PacConv,MATCH($D2023,PacCod,0))&amp;"",""))</f>
        <v>0</v>
      </c>
      <c r="L2023" s="26">
        <f>IF($A2023="","",CHOOSE(WEEKDAY($A2023,2),"Seg","Ter","Qua","Qui","Sex","Sáb","Dom"))</f>
        <v>0</v>
      </c>
      <c r="M2023" s="27">
        <f>IF($E2023="","",IF($G2023&lt;&gt;"",$G2023,IFERROR(INDEX(ProcValor,MATCH($E2023,ProcNome,0)),0)))</f>
        <v>0</v>
      </c>
      <c r="N2023" s="27">
        <f>IF($M2023="","",IF($F2023="Compareceu",$M2023,0))</f>
        <v>0</v>
      </c>
      <c r="O2023" s="27">
        <f>IF($M2023="","",IF($F2023="Faltou",$M2023,0))</f>
        <v>0</v>
      </c>
      <c r="P2023" s="27">
        <f>IF($M2023="","",IF($F2023="Compareceu",MAX(0,$M2023-N($H2023)),0))</f>
        <v>0</v>
      </c>
      <c r="Q2023" s="19">
        <f>IF(AND($F2023="Compareceu",$E2023&lt;&gt;"",$A2023&lt;&gt;""),IF(IFERROR(INDEX(ProcRet,MATCH($E2023,ProcNome,0)),0)&gt;0,$A2023+INDEX(ProcRet,MATCH($E2023,ProcNome,0)),""),"")</f>
        <v>0</v>
      </c>
      <c r="R2023" s="26">
        <f>IF($Q2023="","",IF(COUNTIFS(AgPac,$D2023,AgData,"&gt;"&amp;$A2023,AgStatus,"&lt;&gt;Cancelado",AgStatus,"&lt;&gt;Remarcado")&gt;0,"Sim","Não"))</f>
        <v>0</v>
      </c>
      <c r="S2023" s="28">
        <f>IF($A2023="","",IF(AND($F2023="Agendado",$A2023-Hoje&gt;=0,$A2023-Hoje&lt;=DiasConf),"CONFIRMAR",IF(AND($A2023&lt;Hoje,OR($F2023="Agendado",$F2023="Confirmado")),"Atualizar status",IF(AND($F2023="Compareceu",$P2023&gt;0.005),"Cobrar",IF($F2023="Faltou","Falta: reagendar","")))))</f>
        <v>0</v>
      </c>
      <c r="T2023" s="29">
        <f>IF($A2023="","",DATE(YEAR($A2023),MONTH($A2023),1))</f>
        <v>0</v>
      </c>
      <c r="U2023" s="30">
        <f>IF($S2023="CONFIRMAR",MAX($U$4:$U2022)+1,"")</f>
        <v>0</v>
      </c>
      <c r="V2023" s="30">
        <f>IF(AND($R2023="Não",$Q2023&lt;&gt;"",$Q2023&lt;=Hoje+JanelaRet,$Q2023&gt;=Hoje-60),MAX($V$4:$V2022)+1,"")</f>
        <v>0</v>
      </c>
    </row>
    <row r="2024" spans="1:22">
      <c r="A2024" s="16"/>
      <c r="B2024" s="23"/>
      <c r="C2024" s="15"/>
      <c r="D2024" s="15"/>
      <c r="E2024" s="15"/>
      <c r="F2024" s="24"/>
      <c r="G2024" s="17"/>
      <c r="H2024" s="17"/>
      <c r="I2024" s="15"/>
      <c r="J2024" s="25">
        <f>IF($D2024="","",IFERROR(INDEX(PacNome,MATCH($D2024,PacCod,0)),"Paciente não cadastrado"))</f>
        <v>0</v>
      </c>
      <c r="K2024" s="26">
        <f>IF($D2024="","",IFERROR(INDEX(PacConv,MATCH($D2024,PacCod,0))&amp;"",""))</f>
        <v>0</v>
      </c>
      <c r="L2024" s="26">
        <f>IF($A2024="","",CHOOSE(WEEKDAY($A2024,2),"Seg","Ter","Qua","Qui","Sex","Sáb","Dom"))</f>
        <v>0</v>
      </c>
      <c r="M2024" s="27">
        <f>IF($E2024="","",IF($G2024&lt;&gt;"",$G2024,IFERROR(INDEX(ProcValor,MATCH($E2024,ProcNome,0)),0)))</f>
        <v>0</v>
      </c>
      <c r="N2024" s="27">
        <f>IF($M2024="","",IF($F2024="Compareceu",$M2024,0))</f>
        <v>0</v>
      </c>
      <c r="O2024" s="27">
        <f>IF($M2024="","",IF($F2024="Faltou",$M2024,0))</f>
        <v>0</v>
      </c>
      <c r="P2024" s="27">
        <f>IF($M2024="","",IF($F2024="Compareceu",MAX(0,$M2024-N($H2024)),0))</f>
        <v>0</v>
      </c>
      <c r="Q2024" s="19">
        <f>IF(AND($F2024="Compareceu",$E2024&lt;&gt;"",$A2024&lt;&gt;""),IF(IFERROR(INDEX(ProcRet,MATCH($E2024,ProcNome,0)),0)&gt;0,$A2024+INDEX(ProcRet,MATCH($E2024,ProcNome,0)),""),"")</f>
        <v>0</v>
      </c>
      <c r="R2024" s="26">
        <f>IF($Q2024="","",IF(COUNTIFS(AgPac,$D2024,AgData,"&gt;"&amp;$A2024,AgStatus,"&lt;&gt;Cancelado",AgStatus,"&lt;&gt;Remarcado")&gt;0,"Sim","Não"))</f>
        <v>0</v>
      </c>
      <c r="S2024" s="28">
        <f>IF($A2024="","",IF(AND($F2024="Agendado",$A2024-Hoje&gt;=0,$A2024-Hoje&lt;=DiasConf),"CONFIRMAR",IF(AND($A2024&lt;Hoje,OR($F2024="Agendado",$F2024="Confirmado")),"Atualizar status",IF(AND($F2024="Compareceu",$P2024&gt;0.005),"Cobrar",IF($F2024="Faltou","Falta: reagendar","")))))</f>
        <v>0</v>
      </c>
      <c r="T2024" s="29">
        <f>IF($A2024="","",DATE(YEAR($A2024),MONTH($A2024),1))</f>
        <v>0</v>
      </c>
      <c r="U2024" s="30">
        <f>IF($S2024="CONFIRMAR",MAX($U$4:$U2023)+1,"")</f>
        <v>0</v>
      </c>
      <c r="V2024" s="30">
        <f>IF(AND($R2024="Não",$Q2024&lt;&gt;"",$Q2024&lt;=Hoje+JanelaRet,$Q2024&gt;=Hoje-60),MAX($V$4:$V2023)+1,"")</f>
        <v>0</v>
      </c>
    </row>
    <row r="2025" spans="1:22">
      <c r="A2025" s="16"/>
      <c r="B2025" s="23"/>
      <c r="C2025" s="15"/>
      <c r="D2025" s="15"/>
      <c r="E2025" s="15"/>
      <c r="F2025" s="24"/>
      <c r="G2025" s="17"/>
      <c r="H2025" s="17"/>
      <c r="I2025" s="15"/>
      <c r="J2025" s="25">
        <f>IF($D2025="","",IFERROR(INDEX(PacNome,MATCH($D2025,PacCod,0)),"Paciente não cadastrado"))</f>
        <v>0</v>
      </c>
      <c r="K2025" s="26">
        <f>IF($D2025="","",IFERROR(INDEX(PacConv,MATCH($D2025,PacCod,0))&amp;"",""))</f>
        <v>0</v>
      </c>
      <c r="L2025" s="26">
        <f>IF($A2025="","",CHOOSE(WEEKDAY($A2025,2),"Seg","Ter","Qua","Qui","Sex","Sáb","Dom"))</f>
        <v>0</v>
      </c>
      <c r="M2025" s="27">
        <f>IF($E2025="","",IF($G2025&lt;&gt;"",$G2025,IFERROR(INDEX(ProcValor,MATCH($E2025,ProcNome,0)),0)))</f>
        <v>0</v>
      </c>
      <c r="N2025" s="27">
        <f>IF($M2025="","",IF($F2025="Compareceu",$M2025,0))</f>
        <v>0</v>
      </c>
      <c r="O2025" s="27">
        <f>IF($M2025="","",IF($F2025="Faltou",$M2025,0))</f>
        <v>0</v>
      </c>
      <c r="P2025" s="27">
        <f>IF($M2025="","",IF($F2025="Compareceu",MAX(0,$M2025-N($H2025)),0))</f>
        <v>0</v>
      </c>
      <c r="Q2025" s="19">
        <f>IF(AND($F2025="Compareceu",$E2025&lt;&gt;"",$A2025&lt;&gt;""),IF(IFERROR(INDEX(ProcRet,MATCH($E2025,ProcNome,0)),0)&gt;0,$A2025+INDEX(ProcRet,MATCH($E2025,ProcNome,0)),""),"")</f>
        <v>0</v>
      </c>
      <c r="R2025" s="26">
        <f>IF($Q2025="","",IF(COUNTIFS(AgPac,$D2025,AgData,"&gt;"&amp;$A2025,AgStatus,"&lt;&gt;Cancelado",AgStatus,"&lt;&gt;Remarcado")&gt;0,"Sim","Não"))</f>
        <v>0</v>
      </c>
      <c r="S2025" s="28">
        <f>IF($A2025="","",IF(AND($F2025="Agendado",$A2025-Hoje&gt;=0,$A2025-Hoje&lt;=DiasConf),"CONFIRMAR",IF(AND($A2025&lt;Hoje,OR($F2025="Agendado",$F2025="Confirmado")),"Atualizar status",IF(AND($F2025="Compareceu",$P2025&gt;0.005),"Cobrar",IF($F2025="Faltou","Falta: reagendar","")))))</f>
        <v>0</v>
      </c>
      <c r="T2025" s="29">
        <f>IF($A2025="","",DATE(YEAR($A2025),MONTH($A2025),1))</f>
        <v>0</v>
      </c>
      <c r="U2025" s="30">
        <f>IF($S2025="CONFIRMAR",MAX($U$4:$U2024)+1,"")</f>
        <v>0</v>
      </c>
      <c r="V2025" s="30">
        <f>IF(AND($R2025="Não",$Q2025&lt;&gt;"",$Q2025&lt;=Hoje+JanelaRet,$Q2025&gt;=Hoje-60),MAX($V$4:$V2024)+1,"")</f>
        <v>0</v>
      </c>
    </row>
    <row r="2026" spans="1:22">
      <c r="A2026" s="16"/>
      <c r="B2026" s="23"/>
      <c r="C2026" s="15"/>
      <c r="D2026" s="15"/>
      <c r="E2026" s="15"/>
      <c r="F2026" s="24"/>
      <c r="G2026" s="17"/>
      <c r="H2026" s="17"/>
      <c r="I2026" s="15"/>
      <c r="J2026" s="25">
        <f>IF($D2026="","",IFERROR(INDEX(PacNome,MATCH($D2026,PacCod,0)),"Paciente não cadastrado"))</f>
        <v>0</v>
      </c>
      <c r="K2026" s="26">
        <f>IF($D2026="","",IFERROR(INDEX(PacConv,MATCH($D2026,PacCod,0))&amp;"",""))</f>
        <v>0</v>
      </c>
      <c r="L2026" s="26">
        <f>IF($A2026="","",CHOOSE(WEEKDAY($A2026,2),"Seg","Ter","Qua","Qui","Sex","Sáb","Dom"))</f>
        <v>0</v>
      </c>
      <c r="M2026" s="27">
        <f>IF($E2026="","",IF($G2026&lt;&gt;"",$G2026,IFERROR(INDEX(ProcValor,MATCH($E2026,ProcNome,0)),0)))</f>
        <v>0</v>
      </c>
      <c r="N2026" s="27">
        <f>IF($M2026="","",IF($F2026="Compareceu",$M2026,0))</f>
        <v>0</v>
      </c>
      <c r="O2026" s="27">
        <f>IF($M2026="","",IF($F2026="Faltou",$M2026,0))</f>
        <v>0</v>
      </c>
      <c r="P2026" s="27">
        <f>IF($M2026="","",IF($F2026="Compareceu",MAX(0,$M2026-N($H2026)),0))</f>
        <v>0</v>
      </c>
      <c r="Q2026" s="19">
        <f>IF(AND($F2026="Compareceu",$E2026&lt;&gt;"",$A2026&lt;&gt;""),IF(IFERROR(INDEX(ProcRet,MATCH($E2026,ProcNome,0)),0)&gt;0,$A2026+INDEX(ProcRet,MATCH($E2026,ProcNome,0)),""),"")</f>
        <v>0</v>
      </c>
      <c r="R2026" s="26">
        <f>IF($Q2026="","",IF(COUNTIFS(AgPac,$D2026,AgData,"&gt;"&amp;$A2026,AgStatus,"&lt;&gt;Cancelado",AgStatus,"&lt;&gt;Remarcado")&gt;0,"Sim","Não"))</f>
        <v>0</v>
      </c>
      <c r="S2026" s="28">
        <f>IF($A2026="","",IF(AND($F2026="Agendado",$A2026-Hoje&gt;=0,$A2026-Hoje&lt;=DiasConf),"CONFIRMAR",IF(AND($A2026&lt;Hoje,OR($F2026="Agendado",$F2026="Confirmado")),"Atualizar status",IF(AND($F2026="Compareceu",$P2026&gt;0.005),"Cobrar",IF($F2026="Faltou","Falta: reagendar","")))))</f>
        <v>0</v>
      </c>
      <c r="T2026" s="29">
        <f>IF($A2026="","",DATE(YEAR($A2026),MONTH($A2026),1))</f>
        <v>0</v>
      </c>
      <c r="U2026" s="30">
        <f>IF($S2026="CONFIRMAR",MAX($U$4:$U2025)+1,"")</f>
        <v>0</v>
      </c>
      <c r="V2026" s="30">
        <f>IF(AND($R2026="Não",$Q2026&lt;&gt;"",$Q2026&lt;=Hoje+JanelaRet,$Q2026&gt;=Hoje-60),MAX($V$4:$V2025)+1,"")</f>
        <v>0</v>
      </c>
    </row>
    <row r="2027" spans="1:22">
      <c r="A2027" s="16"/>
      <c r="B2027" s="23"/>
      <c r="C2027" s="15"/>
      <c r="D2027" s="15"/>
      <c r="E2027" s="15"/>
      <c r="F2027" s="24"/>
      <c r="G2027" s="17"/>
      <c r="H2027" s="17"/>
      <c r="I2027" s="15"/>
      <c r="J2027" s="25">
        <f>IF($D2027="","",IFERROR(INDEX(PacNome,MATCH($D2027,PacCod,0)),"Paciente não cadastrado"))</f>
        <v>0</v>
      </c>
      <c r="K2027" s="26">
        <f>IF($D2027="","",IFERROR(INDEX(PacConv,MATCH($D2027,PacCod,0))&amp;"",""))</f>
        <v>0</v>
      </c>
      <c r="L2027" s="26">
        <f>IF($A2027="","",CHOOSE(WEEKDAY($A2027,2),"Seg","Ter","Qua","Qui","Sex","Sáb","Dom"))</f>
        <v>0</v>
      </c>
      <c r="M2027" s="27">
        <f>IF($E2027="","",IF($G2027&lt;&gt;"",$G2027,IFERROR(INDEX(ProcValor,MATCH($E2027,ProcNome,0)),0)))</f>
        <v>0</v>
      </c>
      <c r="N2027" s="27">
        <f>IF($M2027="","",IF($F2027="Compareceu",$M2027,0))</f>
        <v>0</v>
      </c>
      <c r="O2027" s="27">
        <f>IF($M2027="","",IF($F2027="Faltou",$M2027,0))</f>
        <v>0</v>
      </c>
      <c r="P2027" s="27">
        <f>IF($M2027="","",IF($F2027="Compareceu",MAX(0,$M2027-N($H2027)),0))</f>
        <v>0</v>
      </c>
      <c r="Q2027" s="19">
        <f>IF(AND($F2027="Compareceu",$E2027&lt;&gt;"",$A2027&lt;&gt;""),IF(IFERROR(INDEX(ProcRet,MATCH($E2027,ProcNome,0)),0)&gt;0,$A2027+INDEX(ProcRet,MATCH($E2027,ProcNome,0)),""),"")</f>
        <v>0</v>
      </c>
      <c r="R2027" s="26">
        <f>IF($Q2027="","",IF(COUNTIFS(AgPac,$D2027,AgData,"&gt;"&amp;$A2027,AgStatus,"&lt;&gt;Cancelado",AgStatus,"&lt;&gt;Remarcado")&gt;0,"Sim","Não"))</f>
        <v>0</v>
      </c>
      <c r="S2027" s="28">
        <f>IF($A2027="","",IF(AND($F2027="Agendado",$A2027-Hoje&gt;=0,$A2027-Hoje&lt;=DiasConf),"CONFIRMAR",IF(AND($A2027&lt;Hoje,OR($F2027="Agendado",$F2027="Confirmado")),"Atualizar status",IF(AND($F2027="Compareceu",$P2027&gt;0.005),"Cobrar",IF($F2027="Faltou","Falta: reagendar","")))))</f>
        <v>0</v>
      </c>
      <c r="T2027" s="29">
        <f>IF($A2027="","",DATE(YEAR($A2027),MONTH($A2027),1))</f>
        <v>0</v>
      </c>
      <c r="U2027" s="30">
        <f>IF($S2027="CONFIRMAR",MAX($U$4:$U2026)+1,"")</f>
        <v>0</v>
      </c>
      <c r="V2027" s="30">
        <f>IF(AND($R2027="Não",$Q2027&lt;&gt;"",$Q2027&lt;=Hoje+JanelaRet,$Q2027&gt;=Hoje-60),MAX($V$4:$V2026)+1,"")</f>
        <v>0</v>
      </c>
    </row>
    <row r="2028" spans="1:22">
      <c r="A2028" s="16"/>
      <c r="B2028" s="23"/>
      <c r="C2028" s="15"/>
      <c r="D2028" s="15"/>
      <c r="E2028" s="15"/>
      <c r="F2028" s="24"/>
      <c r="G2028" s="17"/>
      <c r="H2028" s="17"/>
      <c r="I2028" s="15"/>
      <c r="J2028" s="25">
        <f>IF($D2028="","",IFERROR(INDEX(PacNome,MATCH($D2028,PacCod,0)),"Paciente não cadastrado"))</f>
        <v>0</v>
      </c>
      <c r="K2028" s="26">
        <f>IF($D2028="","",IFERROR(INDEX(PacConv,MATCH($D2028,PacCod,0))&amp;"",""))</f>
        <v>0</v>
      </c>
      <c r="L2028" s="26">
        <f>IF($A2028="","",CHOOSE(WEEKDAY($A2028,2),"Seg","Ter","Qua","Qui","Sex","Sáb","Dom"))</f>
        <v>0</v>
      </c>
      <c r="M2028" s="27">
        <f>IF($E2028="","",IF($G2028&lt;&gt;"",$G2028,IFERROR(INDEX(ProcValor,MATCH($E2028,ProcNome,0)),0)))</f>
        <v>0</v>
      </c>
      <c r="N2028" s="27">
        <f>IF($M2028="","",IF($F2028="Compareceu",$M2028,0))</f>
        <v>0</v>
      </c>
      <c r="O2028" s="27">
        <f>IF($M2028="","",IF($F2028="Faltou",$M2028,0))</f>
        <v>0</v>
      </c>
      <c r="P2028" s="27">
        <f>IF($M2028="","",IF($F2028="Compareceu",MAX(0,$M2028-N($H2028)),0))</f>
        <v>0</v>
      </c>
      <c r="Q2028" s="19">
        <f>IF(AND($F2028="Compareceu",$E2028&lt;&gt;"",$A2028&lt;&gt;""),IF(IFERROR(INDEX(ProcRet,MATCH($E2028,ProcNome,0)),0)&gt;0,$A2028+INDEX(ProcRet,MATCH($E2028,ProcNome,0)),""),"")</f>
        <v>0</v>
      </c>
      <c r="R2028" s="26">
        <f>IF($Q2028="","",IF(COUNTIFS(AgPac,$D2028,AgData,"&gt;"&amp;$A2028,AgStatus,"&lt;&gt;Cancelado",AgStatus,"&lt;&gt;Remarcado")&gt;0,"Sim","Não"))</f>
        <v>0</v>
      </c>
      <c r="S2028" s="28">
        <f>IF($A2028="","",IF(AND($F2028="Agendado",$A2028-Hoje&gt;=0,$A2028-Hoje&lt;=DiasConf),"CONFIRMAR",IF(AND($A2028&lt;Hoje,OR($F2028="Agendado",$F2028="Confirmado")),"Atualizar status",IF(AND($F2028="Compareceu",$P2028&gt;0.005),"Cobrar",IF($F2028="Faltou","Falta: reagendar","")))))</f>
        <v>0</v>
      </c>
      <c r="T2028" s="29">
        <f>IF($A2028="","",DATE(YEAR($A2028),MONTH($A2028),1))</f>
        <v>0</v>
      </c>
      <c r="U2028" s="30">
        <f>IF($S2028="CONFIRMAR",MAX($U$4:$U2027)+1,"")</f>
        <v>0</v>
      </c>
      <c r="V2028" s="30">
        <f>IF(AND($R2028="Não",$Q2028&lt;&gt;"",$Q2028&lt;=Hoje+JanelaRet,$Q2028&gt;=Hoje-60),MAX($V$4:$V2027)+1,"")</f>
        <v>0</v>
      </c>
    </row>
    <row r="2029" spans="1:22">
      <c r="A2029" s="16"/>
      <c r="B2029" s="23"/>
      <c r="C2029" s="15"/>
      <c r="D2029" s="15"/>
      <c r="E2029" s="15"/>
      <c r="F2029" s="24"/>
      <c r="G2029" s="17"/>
      <c r="H2029" s="17"/>
      <c r="I2029" s="15"/>
      <c r="J2029" s="25">
        <f>IF($D2029="","",IFERROR(INDEX(PacNome,MATCH($D2029,PacCod,0)),"Paciente não cadastrado"))</f>
        <v>0</v>
      </c>
      <c r="K2029" s="26">
        <f>IF($D2029="","",IFERROR(INDEX(PacConv,MATCH($D2029,PacCod,0))&amp;"",""))</f>
        <v>0</v>
      </c>
      <c r="L2029" s="26">
        <f>IF($A2029="","",CHOOSE(WEEKDAY($A2029,2),"Seg","Ter","Qua","Qui","Sex","Sáb","Dom"))</f>
        <v>0</v>
      </c>
      <c r="M2029" s="27">
        <f>IF($E2029="","",IF($G2029&lt;&gt;"",$G2029,IFERROR(INDEX(ProcValor,MATCH($E2029,ProcNome,0)),0)))</f>
        <v>0</v>
      </c>
      <c r="N2029" s="27">
        <f>IF($M2029="","",IF($F2029="Compareceu",$M2029,0))</f>
        <v>0</v>
      </c>
      <c r="O2029" s="27">
        <f>IF($M2029="","",IF($F2029="Faltou",$M2029,0))</f>
        <v>0</v>
      </c>
      <c r="P2029" s="27">
        <f>IF($M2029="","",IF($F2029="Compareceu",MAX(0,$M2029-N($H2029)),0))</f>
        <v>0</v>
      </c>
      <c r="Q2029" s="19">
        <f>IF(AND($F2029="Compareceu",$E2029&lt;&gt;"",$A2029&lt;&gt;""),IF(IFERROR(INDEX(ProcRet,MATCH($E2029,ProcNome,0)),0)&gt;0,$A2029+INDEX(ProcRet,MATCH($E2029,ProcNome,0)),""),"")</f>
        <v>0</v>
      </c>
      <c r="R2029" s="26">
        <f>IF($Q2029="","",IF(COUNTIFS(AgPac,$D2029,AgData,"&gt;"&amp;$A2029,AgStatus,"&lt;&gt;Cancelado",AgStatus,"&lt;&gt;Remarcado")&gt;0,"Sim","Não"))</f>
        <v>0</v>
      </c>
      <c r="S2029" s="28">
        <f>IF($A2029="","",IF(AND($F2029="Agendado",$A2029-Hoje&gt;=0,$A2029-Hoje&lt;=DiasConf),"CONFIRMAR",IF(AND($A2029&lt;Hoje,OR($F2029="Agendado",$F2029="Confirmado")),"Atualizar status",IF(AND($F2029="Compareceu",$P2029&gt;0.005),"Cobrar",IF($F2029="Faltou","Falta: reagendar","")))))</f>
        <v>0</v>
      </c>
      <c r="T2029" s="29">
        <f>IF($A2029="","",DATE(YEAR($A2029),MONTH($A2029),1))</f>
        <v>0</v>
      </c>
      <c r="U2029" s="30">
        <f>IF($S2029="CONFIRMAR",MAX($U$4:$U2028)+1,"")</f>
        <v>0</v>
      </c>
      <c r="V2029" s="30">
        <f>IF(AND($R2029="Não",$Q2029&lt;&gt;"",$Q2029&lt;=Hoje+JanelaRet,$Q2029&gt;=Hoje-60),MAX($V$4:$V2028)+1,"")</f>
        <v>0</v>
      </c>
    </row>
    <row r="2030" spans="1:22">
      <c r="A2030" s="16"/>
      <c r="B2030" s="23"/>
      <c r="C2030" s="15"/>
      <c r="D2030" s="15"/>
      <c r="E2030" s="15"/>
      <c r="F2030" s="24"/>
      <c r="G2030" s="17"/>
      <c r="H2030" s="17"/>
      <c r="I2030" s="15"/>
      <c r="J2030" s="25">
        <f>IF($D2030="","",IFERROR(INDEX(PacNome,MATCH($D2030,PacCod,0)),"Paciente não cadastrado"))</f>
        <v>0</v>
      </c>
      <c r="K2030" s="26">
        <f>IF($D2030="","",IFERROR(INDEX(PacConv,MATCH($D2030,PacCod,0))&amp;"",""))</f>
        <v>0</v>
      </c>
      <c r="L2030" s="26">
        <f>IF($A2030="","",CHOOSE(WEEKDAY($A2030,2),"Seg","Ter","Qua","Qui","Sex","Sáb","Dom"))</f>
        <v>0</v>
      </c>
      <c r="M2030" s="27">
        <f>IF($E2030="","",IF($G2030&lt;&gt;"",$G2030,IFERROR(INDEX(ProcValor,MATCH($E2030,ProcNome,0)),0)))</f>
        <v>0</v>
      </c>
      <c r="N2030" s="27">
        <f>IF($M2030="","",IF($F2030="Compareceu",$M2030,0))</f>
        <v>0</v>
      </c>
      <c r="O2030" s="27">
        <f>IF($M2030="","",IF($F2030="Faltou",$M2030,0))</f>
        <v>0</v>
      </c>
      <c r="P2030" s="27">
        <f>IF($M2030="","",IF($F2030="Compareceu",MAX(0,$M2030-N($H2030)),0))</f>
        <v>0</v>
      </c>
      <c r="Q2030" s="19">
        <f>IF(AND($F2030="Compareceu",$E2030&lt;&gt;"",$A2030&lt;&gt;""),IF(IFERROR(INDEX(ProcRet,MATCH($E2030,ProcNome,0)),0)&gt;0,$A2030+INDEX(ProcRet,MATCH($E2030,ProcNome,0)),""),"")</f>
        <v>0</v>
      </c>
      <c r="R2030" s="26">
        <f>IF($Q2030="","",IF(COUNTIFS(AgPac,$D2030,AgData,"&gt;"&amp;$A2030,AgStatus,"&lt;&gt;Cancelado",AgStatus,"&lt;&gt;Remarcado")&gt;0,"Sim","Não"))</f>
        <v>0</v>
      </c>
      <c r="S2030" s="28">
        <f>IF($A2030="","",IF(AND($F2030="Agendado",$A2030-Hoje&gt;=0,$A2030-Hoje&lt;=DiasConf),"CONFIRMAR",IF(AND($A2030&lt;Hoje,OR($F2030="Agendado",$F2030="Confirmado")),"Atualizar status",IF(AND($F2030="Compareceu",$P2030&gt;0.005),"Cobrar",IF($F2030="Faltou","Falta: reagendar","")))))</f>
        <v>0</v>
      </c>
      <c r="T2030" s="29">
        <f>IF($A2030="","",DATE(YEAR($A2030),MONTH($A2030),1))</f>
        <v>0</v>
      </c>
      <c r="U2030" s="30">
        <f>IF($S2030="CONFIRMAR",MAX($U$4:$U2029)+1,"")</f>
        <v>0</v>
      </c>
      <c r="V2030" s="30">
        <f>IF(AND($R2030="Não",$Q2030&lt;&gt;"",$Q2030&lt;=Hoje+JanelaRet,$Q2030&gt;=Hoje-60),MAX($V$4:$V2029)+1,"")</f>
        <v>0</v>
      </c>
    </row>
    <row r="2031" spans="1:22">
      <c r="A2031" s="16"/>
      <c r="B2031" s="23"/>
      <c r="C2031" s="15"/>
      <c r="D2031" s="15"/>
      <c r="E2031" s="15"/>
      <c r="F2031" s="24"/>
      <c r="G2031" s="17"/>
      <c r="H2031" s="17"/>
      <c r="I2031" s="15"/>
      <c r="J2031" s="25">
        <f>IF($D2031="","",IFERROR(INDEX(PacNome,MATCH($D2031,PacCod,0)),"Paciente não cadastrado"))</f>
        <v>0</v>
      </c>
      <c r="K2031" s="26">
        <f>IF($D2031="","",IFERROR(INDEX(PacConv,MATCH($D2031,PacCod,0))&amp;"",""))</f>
        <v>0</v>
      </c>
      <c r="L2031" s="26">
        <f>IF($A2031="","",CHOOSE(WEEKDAY($A2031,2),"Seg","Ter","Qua","Qui","Sex","Sáb","Dom"))</f>
        <v>0</v>
      </c>
      <c r="M2031" s="27">
        <f>IF($E2031="","",IF($G2031&lt;&gt;"",$G2031,IFERROR(INDEX(ProcValor,MATCH($E2031,ProcNome,0)),0)))</f>
        <v>0</v>
      </c>
      <c r="N2031" s="27">
        <f>IF($M2031="","",IF($F2031="Compareceu",$M2031,0))</f>
        <v>0</v>
      </c>
      <c r="O2031" s="27">
        <f>IF($M2031="","",IF($F2031="Faltou",$M2031,0))</f>
        <v>0</v>
      </c>
      <c r="P2031" s="27">
        <f>IF($M2031="","",IF($F2031="Compareceu",MAX(0,$M2031-N($H2031)),0))</f>
        <v>0</v>
      </c>
      <c r="Q2031" s="19">
        <f>IF(AND($F2031="Compareceu",$E2031&lt;&gt;"",$A2031&lt;&gt;""),IF(IFERROR(INDEX(ProcRet,MATCH($E2031,ProcNome,0)),0)&gt;0,$A2031+INDEX(ProcRet,MATCH($E2031,ProcNome,0)),""),"")</f>
        <v>0</v>
      </c>
      <c r="R2031" s="26">
        <f>IF($Q2031="","",IF(COUNTIFS(AgPac,$D2031,AgData,"&gt;"&amp;$A2031,AgStatus,"&lt;&gt;Cancelado",AgStatus,"&lt;&gt;Remarcado")&gt;0,"Sim","Não"))</f>
        <v>0</v>
      </c>
      <c r="S2031" s="28">
        <f>IF($A2031="","",IF(AND($F2031="Agendado",$A2031-Hoje&gt;=0,$A2031-Hoje&lt;=DiasConf),"CONFIRMAR",IF(AND($A2031&lt;Hoje,OR($F2031="Agendado",$F2031="Confirmado")),"Atualizar status",IF(AND($F2031="Compareceu",$P2031&gt;0.005),"Cobrar",IF($F2031="Faltou","Falta: reagendar","")))))</f>
        <v>0</v>
      </c>
      <c r="T2031" s="29">
        <f>IF($A2031="","",DATE(YEAR($A2031),MONTH($A2031),1))</f>
        <v>0</v>
      </c>
      <c r="U2031" s="30">
        <f>IF($S2031="CONFIRMAR",MAX($U$4:$U2030)+1,"")</f>
        <v>0</v>
      </c>
      <c r="V2031" s="30">
        <f>IF(AND($R2031="Não",$Q2031&lt;&gt;"",$Q2031&lt;=Hoje+JanelaRet,$Q2031&gt;=Hoje-60),MAX($V$4:$V2030)+1,"")</f>
        <v>0</v>
      </c>
    </row>
    <row r="2032" spans="1:22">
      <c r="A2032" s="16"/>
      <c r="B2032" s="23"/>
      <c r="C2032" s="15"/>
      <c r="D2032" s="15"/>
      <c r="E2032" s="15"/>
      <c r="F2032" s="24"/>
      <c r="G2032" s="17"/>
      <c r="H2032" s="17"/>
      <c r="I2032" s="15"/>
      <c r="J2032" s="25">
        <f>IF($D2032="","",IFERROR(INDEX(PacNome,MATCH($D2032,PacCod,0)),"Paciente não cadastrado"))</f>
        <v>0</v>
      </c>
      <c r="K2032" s="26">
        <f>IF($D2032="","",IFERROR(INDEX(PacConv,MATCH($D2032,PacCod,0))&amp;"",""))</f>
        <v>0</v>
      </c>
      <c r="L2032" s="26">
        <f>IF($A2032="","",CHOOSE(WEEKDAY($A2032,2),"Seg","Ter","Qua","Qui","Sex","Sáb","Dom"))</f>
        <v>0</v>
      </c>
      <c r="M2032" s="27">
        <f>IF($E2032="","",IF($G2032&lt;&gt;"",$G2032,IFERROR(INDEX(ProcValor,MATCH($E2032,ProcNome,0)),0)))</f>
        <v>0</v>
      </c>
      <c r="N2032" s="27">
        <f>IF($M2032="","",IF($F2032="Compareceu",$M2032,0))</f>
        <v>0</v>
      </c>
      <c r="O2032" s="27">
        <f>IF($M2032="","",IF($F2032="Faltou",$M2032,0))</f>
        <v>0</v>
      </c>
      <c r="P2032" s="27">
        <f>IF($M2032="","",IF($F2032="Compareceu",MAX(0,$M2032-N($H2032)),0))</f>
        <v>0</v>
      </c>
      <c r="Q2032" s="19">
        <f>IF(AND($F2032="Compareceu",$E2032&lt;&gt;"",$A2032&lt;&gt;""),IF(IFERROR(INDEX(ProcRet,MATCH($E2032,ProcNome,0)),0)&gt;0,$A2032+INDEX(ProcRet,MATCH($E2032,ProcNome,0)),""),"")</f>
        <v>0</v>
      </c>
      <c r="R2032" s="26">
        <f>IF($Q2032="","",IF(COUNTIFS(AgPac,$D2032,AgData,"&gt;"&amp;$A2032,AgStatus,"&lt;&gt;Cancelado",AgStatus,"&lt;&gt;Remarcado")&gt;0,"Sim","Não"))</f>
        <v>0</v>
      </c>
      <c r="S2032" s="28">
        <f>IF($A2032="","",IF(AND($F2032="Agendado",$A2032-Hoje&gt;=0,$A2032-Hoje&lt;=DiasConf),"CONFIRMAR",IF(AND($A2032&lt;Hoje,OR($F2032="Agendado",$F2032="Confirmado")),"Atualizar status",IF(AND($F2032="Compareceu",$P2032&gt;0.005),"Cobrar",IF($F2032="Faltou","Falta: reagendar","")))))</f>
        <v>0</v>
      </c>
      <c r="T2032" s="29">
        <f>IF($A2032="","",DATE(YEAR($A2032),MONTH($A2032),1))</f>
        <v>0</v>
      </c>
      <c r="U2032" s="30">
        <f>IF($S2032="CONFIRMAR",MAX($U$4:$U2031)+1,"")</f>
        <v>0</v>
      </c>
      <c r="V2032" s="30">
        <f>IF(AND($R2032="Não",$Q2032&lt;&gt;"",$Q2032&lt;=Hoje+JanelaRet,$Q2032&gt;=Hoje-60),MAX($V$4:$V2031)+1,"")</f>
        <v>0</v>
      </c>
    </row>
    <row r="2033" spans="1:22">
      <c r="A2033" s="16"/>
      <c r="B2033" s="23"/>
      <c r="C2033" s="15"/>
      <c r="D2033" s="15"/>
      <c r="E2033" s="15"/>
      <c r="F2033" s="24"/>
      <c r="G2033" s="17"/>
      <c r="H2033" s="17"/>
      <c r="I2033" s="15"/>
      <c r="J2033" s="25">
        <f>IF($D2033="","",IFERROR(INDEX(PacNome,MATCH($D2033,PacCod,0)),"Paciente não cadastrado"))</f>
        <v>0</v>
      </c>
      <c r="K2033" s="26">
        <f>IF($D2033="","",IFERROR(INDEX(PacConv,MATCH($D2033,PacCod,0))&amp;"",""))</f>
        <v>0</v>
      </c>
      <c r="L2033" s="26">
        <f>IF($A2033="","",CHOOSE(WEEKDAY($A2033,2),"Seg","Ter","Qua","Qui","Sex","Sáb","Dom"))</f>
        <v>0</v>
      </c>
      <c r="M2033" s="27">
        <f>IF($E2033="","",IF($G2033&lt;&gt;"",$G2033,IFERROR(INDEX(ProcValor,MATCH($E2033,ProcNome,0)),0)))</f>
        <v>0</v>
      </c>
      <c r="N2033" s="27">
        <f>IF($M2033="","",IF($F2033="Compareceu",$M2033,0))</f>
        <v>0</v>
      </c>
      <c r="O2033" s="27">
        <f>IF($M2033="","",IF($F2033="Faltou",$M2033,0))</f>
        <v>0</v>
      </c>
      <c r="P2033" s="27">
        <f>IF($M2033="","",IF($F2033="Compareceu",MAX(0,$M2033-N($H2033)),0))</f>
        <v>0</v>
      </c>
      <c r="Q2033" s="19">
        <f>IF(AND($F2033="Compareceu",$E2033&lt;&gt;"",$A2033&lt;&gt;""),IF(IFERROR(INDEX(ProcRet,MATCH($E2033,ProcNome,0)),0)&gt;0,$A2033+INDEX(ProcRet,MATCH($E2033,ProcNome,0)),""),"")</f>
        <v>0</v>
      </c>
      <c r="R2033" s="26">
        <f>IF($Q2033="","",IF(COUNTIFS(AgPac,$D2033,AgData,"&gt;"&amp;$A2033,AgStatus,"&lt;&gt;Cancelado",AgStatus,"&lt;&gt;Remarcado")&gt;0,"Sim","Não"))</f>
        <v>0</v>
      </c>
      <c r="S2033" s="28">
        <f>IF($A2033="","",IF(AND($F2033="Agendado",$A2033-Hoje&gt;=0,$A2033-Hoje&lt;=DiasConf),"CONFIRMAR",IF(AND($A2033&lt;Hoje,OR($F2033="Agendado",$F2033="Confirmado")),"Atualizar status",IF(AND($F2033="Compareceu",$P2033&gt;0.005),"Cobrar",IF($F2033="Faltou","Falta: reagendar","")))))</f>
        <v>0</v>
      </c>
      <c r="T2033" s="29">
        <f>IF($A2033="","",DATE(YEAR($A2033),MONTH($A2033),1))</f>
        <v>0</v>
      </c>
      <c r="U2033" s="30">
        <f>IF($S2033="CONFIRMAR",MAX($U$4:$U2032)+1,"")</f>
        <v>0</v>
      </c>
      <c r="V2033" s="30">
        <f>IF(AND($R2033="Não",$Q2033&lt;&gt;"",$Q2033&lt;=Hoje+JanelaRet,$Q2033&gt;=Hoje-60),MAX($V$4:$V2032)+1,"")</f>
        <v>0</v>
      </c>
    </row>
    <row r="2034" spans="1:22">
      <c r="A2034" s="16"/>
      <c r="B2034" s="23"/>
      <c r="C2034" s="15"/>
      <c r="D2034" s="15"/>
      <c r="E2034" s="15"/>
      <c r="F2034" s="24"/>
      <c r="G2034" s="17"/>
      <c r="H2034" s="17"/>
      <c r="I2034" s="15"/>
      <c r="J2034" s="25">
        <f>IF($D2034="","",IFERROR(INDEX(PacNome,MATCH($D2034,PacCod,0)),"Paciente não cadastrado"))</f>
        <v>0</v>
      </c>
      <c r="K2034" s="26">
        <f>IF($D2034="","",IFERROR(INDEX(PacConv,MATCH($D2034,PacCod,0))&amp;"",""))</f>
        <v>0</v>
      </c>
      <c r="L2034" s="26">
        <f>IF($A2034="","",CHOOSE(WEEKDAY($A2034,2),"Seg","Ter","Qua","Qui","Sex","Sáb","Dom"))</f>
        <v>0</v>
      </c>
      <c r="M2034" s="27">
        <f>IF($E2034="","",IF($G2034&lt;&gt;"",$G2034,IFERROR(INDEX(ProcValor,MATCH($E2034,ProcNome,0)),0)))</f>
        <v>0</v>
      </c>
      <c r="N2034" s="27">
        <f>IF($M2034="","",IF($F2034="Compareceu",$M2034,0))</f>
        <v>0</v>
      </c>
      <c r="O2034" s="27">
        <f>IF($M2034="","",IF($F2034="Faltou",$M2034,0))</f>
        <v>0</v>
      </c>
      <c r="P2034" s="27">
        <f>IF($M2034="","",IF($F2034="Compareceu",MAX(0,$M2034-N($H2034)),0))</f>
        <v>0</v>
      </c>
      <c r="Q2034" s="19">
        <f>IF(AND($F2034="Compareceu",$E2034&lt;&gt;"",$A2034&lt;&gt;""),IF(IFERROR(INDEX(ProcRet,MATCH($E2034,ProcNome,0)),0)&gt;0,$A2034+INDEX(ProcRet,MATCH($E2034,ProcNome,0)),""),"")</f>
        <v>0</v>
      </c>
      <c r="R2034" s="26">
        <f>IF($Q2034="","",IF(COUNTIFS(AgPac,$D2034,AgData,"&gt;"&amp;$A2034,AgStatus,"&lt;&gt;Cancelado",AgStatus,"&lt;&gt;Remarcado")&gt;0,"Sim","Não"))</f>
        <v>0</v>
      </c>
      <c r="S2034" s="28">
        <f>IF($A2034="","",IF(AND($F2034="Agendado",$A2034-Hoje&gt;=0,$A2034-Hoje&lt;=DiasConf),"CONFIRMAR",IF(AND($A2034&lt;Hoje,OR($F2034="Agendado",$F2034="Confirmado")),"Atualizar status",IF(AND($F2034="Compareceu",$P2034&gt;0.005),"Cobrar",IF($F2034="Faltou","Falta: reagendar","")))))</f>
        <v>0</v>
      </c>
      <c r="T2034" s="29">
        <f>IF($A2034="","",DATE(YEAR($A2034),MONTH($A2034),1))</f>
        <v>0</v>
      </c>
      <c r="U2034" s="30">
        <f>IF($S2034="CONFIRMAR",MAX($U$4:$U2033)+1,"")</f>
        <v>0</v>
      </c>
      <c r="V2034" s="30">
        <f>IF(AND($R2034="Não",$Q2034&lt;&gt;"",$Q2034&lt;=Hoje+JanelaRet,$Q2034&gt;=Hoje-60),MAX($V$4:$V2033)+1,"")</f>
        <v>0</v>
      </c>
    </row>
    <row r="2035" spans="1:22">
      <c r="A2035" s="16"/>
      <c r="B2035" s="23"/>
      <c r="C2035" s="15"/>
      <c r="D2035" s="15"/>
      <c r="E2035" s="15"/>
      <c r="F2035" s="24"/>
      <c r="G2035" s="17"/>
      <c r="H2035" s="17"/>
      <c r="I2035" s="15"/>
      <c r="J2035" s="25">
        <f>IF($D2035="","",IFERROR(INDEX(PacNome,MATCH($D2035,PacCod,0)),"Paciente não cadastrado"))</f>
        <v>0</v>
      </c>
      <c r="K2035" s="26">
        <f>IF($D2035="","",IFERROR(INDEX(PacConv,MATCH($D2035,PacCod,0))&amp;"",""))</f>
        <v>0</v>
      </c>
      <c r="L2035" s="26">
        <f>IF($A2035="","",CHOOSE(WEEKDAY($A2035,2),"Seg","Ter","Qua","Qui","Sex","Sáb","Dom"))</f>
        <v>0</v>
      </c>
      <c r="M2035" s="27">
        <f>IF($E2035="","",IF($G2035&lt;&gt;"",$G2035,IFERROR(INDEX(ProcValor,MATCH($E2035,ProcNome,0)),0)))</f>
        <v>0</v>
      </c>
      <c r="N2035" s="27">
        <f>IF($M2035="","",IF($F2035="Compareceu",$M2035,0))</f>
        <v>0</v>
      </c>
      <c r="O2035" s="27">
        <f>IF($M2035="","",IF($F2035="Faltou",$M2035,0))</f>
        <v>0</v>
      </c>
      <c r="P2035" s="27">
        <f>IF($M2035="","",IF($F2035="Compareceu",MAX(0,$M2035-N($H2035)),0))</f>
        <v>0</v>
      </c>
      <c r="Q2035" s="19">
        <f>IF(AND($F2035="Compareceu",$E2035&lt;&gt;"",$A2035&lt;&gt;""),IF(IFERROR(INDEX(ProcRet,MATCH($E2035,ProcNome,0)),0)&gt;0,$A2035+INDEX(ProcRet,MATCH($E2035,ProcNome,0)),""),"")</f>
        <v>0</v>
      </c>
      <c r="R2035" s="26">
        <f>IF($Q2035="","",IF(COUNTIFS(AgPac,$D2035,AgData,"&gt;"&amp;$A2035,AgStatus,"&lt;&gt;Cancelado",AgStatus,"&lt;&gt;Remarcado")&gt;0,"Sim","Não"))</f>
        <v>0</v>
      </c>
      <c r="S2035" s="28">
        <f>IF($A2035="","",IF(AND($F2035="Agendado",$A2035-Hoje&gt;=0,$A2035-Hoje&lt;=DiasConf),"CONFIRMAR",IF(AND($A2035&lt;Hoje,OR($F2035="Agendado",$F2035="Confirmado")),"Atualizar status",IF(AND($F2035="Compareceu",$P2035&gt;0.005),"Cobrar",IF($F2035="Faltou","Falta: reagendar","")))))</f>
        <v>0</v>
      </c>
      <c r="T2035" s="29">
        <f>IF($A2035="","",DATE(YEAR($A2035),MONTH($A2035),1))</f>
        <v>0</v>
      </c>
      <c r="U2035" s="30">
        <f>IF($S2035="CONFIRMAR",MAX($U$4:$U2034)+1,"")</f>
        <v>0</v>
      </c>
      <c r="V2035" s="30">
        <f>IF(AND($R2035="Não",$Q2035&lt;&gt;"",$Q2035&lt;=Hoje+JanelaRet,$Q2035&gt;=Hoje-60),MAX($V$4:$V2034)+1,"")</f>
        <v>0</v>
      </c>
    </row>
    <row r="2036" spans="1:22">
      <c r="A2036" s="16"/>
      <c r="B2036" s="23"/>
      <c r="C2036" s="15"/>
      <c r="D2036" s="15"/>
      <c r="E2036" s="15"/>
      <c r="F2036" s="24"/>
      <c r="G2036" s="17"/>
      <c r="H2036" s="17"/>
      <c r="I2036" s="15"/>
      <c r="J2036" s="25">
        <f>IF($D2036="","",IFERROR(INDEX(PacNome,MATCH($D2036,PacCod,0)),"Paciente não cadastrado"))</f>
        <v>0</v>
      </c>
      <c r="K2036" s="26">
        <f>IF($D2036="","",IFERROR(INDEX(PacConv,MATCH($D2036,PacCod,0))&amp;"",""))</f>
        <v>0</v>
      </c>
      <c r="L2036" s="26">
        <f>IF($A2036="","",CHOOSE(WEEKDAY($A2036,2),"Seg","Ter","Qua","Qui","Sex","Sáb","Dom"))</f>
        <v>0</v>
      </c>
      <c r="M2036" s="27">
        <f>IF($E2036="","",IF($G2036&lt;&gt;"",$G2036,IFERROR(INDEX(ProcValor,MATCH($E2036,ProcNome,0)),0)))</f>
        <v>0</v>
      </c>
      <c r="N2036" s="27">
        <f>IF($M2036="","",IF($F2036="Compareceu",$M2036,0))</f>
        <v>0</v>
      </c>
      <c r="O2036" s="27">
        <f>IF($M2036="","",IF($F2036="Faltou",$M2036,0))</f>
        <v>0</v>
      </c>
      <c r="P2036" s="27">
        <f>IF($M2036="","",IF($F2036="Compareceu",MAX(0,$M2036-N($H2036)),0))</f>
        <v>0</v>
      </c>
      <c r="Q2036" s="19">
        <f>IF(AND($F2036="Compareceu",$E2036&lt;&gt;"",$A2036&lt;&gt;""),IF(IFERROR(INDEX(ProcRet,MATCH($E2036,ProcNome,0)),0)&gt;0,$A2036+INDEX(ProcRet,MATCH($E2036,ProcNome,0)),""),"")</f>
        <v>0</v>
      </c>
      <c r="R2036" s="26">
        <f>IF($Q2036="","",IF(COUNTIFS(AgPac,$D2036,AgData,"&gt;"&amp;$A2036,AgStatus,"&lt;&gt;Cancelado",AgStatus,"&lt;&gt;Remarcado")&gt;0,"Sim","Não"))</f>
        <v>0</v>
      </c>
      <c r="S2036" s="28">
        <f>IF($A2036="","",IF(AND($F2036="Agendado",$A2036-Hoje&gt;=0,$A2036-Hoje&lt;=DiasConf),"CONFIRMAR",IF(AND($A2036&lt;Hoje,OR($F2036="Agendado",$F2036="Confirmado")),"Atualizar status",IF(AND($F2036="Compareceu",$P2036&gt;0.005),"Cobrar",IF($F2036="Faltou","Falta: reagendar","")))))</f>
        <v>0</v>
      </c>
      <c r="T2036" s="29">
        <f>IF($A2036="","",DATE(YEAR($A2036),MONTH($A2036),1))</f>
        <v>0</v>
      </c>
      <c r="U2036" s="30">
        <f>IF($S2036="CONFIRMAR",MAX($U$4:$U2035)+1,"")</f>
        <v>0</v>
      </c>
      <c r="V2036" s="30">
        <f>IF(AND($R2036="Não",$Q2036&lt;&gt;"",$Q2036&lt;=Hoje+JanelaRet,$Q2036&gt;=Hoje-60),MAX($V$4:$V2035)+1,"")</f>
        <v>0</v>
      </c>
    </row>
    <row r="2037" spans="1:22">
      <c r="A2037" s="16"/>
      <c r="B2037" s="23"/>
      <c r="C2037" s="15"/>
      <c r="D2037" s="15"/>
      <c r="E2037" s="15"/>
      <c r="F2037" s="24"/>
      <c r="G2037" s="17"/>
      <c r="H2037" s="17"/>
      <c r="I2037" s="15"/>
      <c r="J2037" s="25">
        <f>IF($D2037="","",IFERROR(INDEX(PacNome,MATCH($D2037,PacCod,0)),"Paciente não cadastrado"))</f>
        <v>0</v>
      </c>
      <c r="K2037" s="26">
        <f>IF($D2037="","",IFERROR(INDEX(PacConv,MATCH($D2037,PacCod,0))&amp;"",""))</f>
        <v>0</v>
      </c>
      <c r="L2037" s="26">
        <f>IF($A2037="","",CHOOSE(WEEKDAY($A2037,2),"Seg","Ter","Qua","Qui","Sex","Sáb","Dom"))</f>
        <v>0</v>
      </c>
      <c r="M2037" s="27">
        <f>IF($E2037="","",IF($G2037&lt;&gt;"",$G2037,IFERROR(INDEX(ProcValor,MATCH($E2037,ProcNome,0)),0)))</f>
        <v>0</v>
      </c>
      <c r="N2037" s="27">
        <f>IF($M2037="","",IF($F2037="Compareceu",$M2037,0))</f>
        <v>0</v>
      </c>
      <c r="O2037" s="27">
        <f>IF($M2037="","",IF($F2037="Faltou",$M2037,0))</f>
        <v>0</v>
      </c>
      <c r="P2037" s="27">
        <f>IF($M2037="","",IF($F2037="Compareceu",MAX(0,$M2037-N($H2037)),0))</f>
        <v>0</v>
      </c>
      <c r="Q2037" s="19">
        <f>IF(AND($F2037="Compareceu",$E2037&lt;&gt;"",$A2037&lt;&gt;""),IF(IFERROR(INDEX(ProcRet,MATCH($E2037,ProcNome,0)),0)&gt;0,$A2037+INDEX(ProcRet,MATCH($E2037,ProcNome,0)),""),"")</f>
        <v>0</v>
      </c>
      <c r="R2037" s="26">
        <f>IF($Q2037="","",IF(COUNTIFS(AgPac,$D2037,AgData,"&gt;"&amp;$A2037,AgStatus,"&lt;&gt;Cancelado",AgStatus,"&lt;&gt;Remarcado")&gt;0,"Sim","Não"))</f>
        <v>0</v>
      </c>
      <c r="S2037" s="28">
        <f>IF($A2037="","",IF(AND($F2037="Agendado",$A2037-Hoje&gt;=0,$A2037-Hoje&lt;=DiasConf),"CONFIRMAR",IF(AND($A2037&lt;Hoje,OR($F2037="Agendado",$F2037="Confirmado")),"Atualizar status",IF(AND($F2037="Compareceu",$P2037&gt;0.005),"Cobrar",IF($F2037="Faltou","Falta: reagendar","")))))</f>
        <v>0</v>
      </c>
      <c r="T2037" s="29">
        <f>IF($A2037="","",DATE(YEAR($A2037),MONTH($A2037),1))</f>
        <v>0</v>
      </c>
      <c r="U2037" s="30">
        <f>IF($S2037="CONFIRMAR",MAX($U$4:$U2036)+1,"")</f>
        <v>0</v>
      </c>
      <c r="V2037" s="30">
        <f>IF(AND($R2037="Não",$Q2037&lt;&gt;"",$Q2037&lt;=Hoje+JanelaRet,$Q2037&gt;=Hoje-60),MAX($V$4:$V2036)+1,"")</f>
        <v>0</v>
      </c>
    </row>
    <row r="2038" spans="1:22">
      <c r="A2038" s="16"/>
      <c r="B2038" s="23"/>
      <c r="C2038" s="15"/>
      <c r="D2038" s="15"/>
      <c r="E2038" s="15"/>
      <c r="F2038" s="24"/>
      <c r="G2038" s="17"/>
      <c r="H2038" s="17"/>
      <c r="I2038" s="15"/>
      <c r="J2038" s="25">
        <f>IF($D2038="","",IFERROR(INDEX(PacNome,MATCH($D2038,PacCod,0)),"Paciente não cadastrado"))</f>
        <v>0</v>
      </c>
      <c r="K2038" s="26">
        <f>IF($D2038="","",IFERROR(INDEX(PacConv,MATCH($D2038,PacCod,0))&amp;"",""))</f>
        <v>0</v>
      </c>
      <c r="L2038" s="26">
        <f>IF($A2038="","",CHOOSE(WEEKDAY($A2038,2),"Seg","Ter","Qua","Qui","Sex","Sáb","Dom"))</f>
        <v>0</v>
      </c>
      <c r="M2038" s="27">
        <f>IF($E2038="","",IF($G2038&lt;&gt;"",$G2038,IFERROR(INDEX(ProcValor,MATCH($E2038,ProcNome,0)),0)))</f>
        <v>0</v>
      </c>
      <c r="N2038" s="27">
        <f>IF($M2038="","",IF($F2038="Compareceu",$M2038,0))</f>
        <v>0</v>
      </c>
      <c r="O2038" s="27">
        <f>IF($M2038="","",IF($F2038="Faltou",$M2038,0))</f>
        <v>0</v>
      </c>
      <c r="P2038" s="27">
        <f>IF($M2038="","",IF($F2038="Compareceu",MAX(0,$M2038-N($H2038)),0))</f>
        <v>0</v>
      </c>
      <c r="Q2038" s="19">
        <f>IF(AND($F2038="Compareceu",$E2038&lt;&gt;"",$A2038&lt;&gt;""),IF(IFERROR(INDEX(ProcRet,MATCH($E2038,ProcNome,0)),0)&gt;0,$A2038+INDEX(ProcRet,MATCH($E2038,ProcNome,0)),""),"")</f>
        <v>0</v>
      </c>
      <c r="R2038" s="26">
        <f>IF($Q2038="","",IF(COUNTIFS(AgPac,$D2038,AgData,"&gt;"&amp;$A2038,AgStatus,"&lt;&gt;Cancelado",AgStatus,"&lt;&gt;Remarcado")&gt;0,"Sim","Não"))</f>
        <v>0</v>
      </c>
      <c r="S2038" s="28">
        <f>IF($A2038="","",IF(AND($F2038="Agendado",$A2038-Hoje&gt;=0,$A2038-Hoje&lt;=DiasConf),"CONFIRMAR",IF(AND($A2038&lt;Hoje,OR($F2038="Agendado",$F2038="Confirmado")),"Atualizar status",IF(AND($F2038="Compareceu",$P2038&gt;0.005),"Cobrar",IF($F2038="Faltou","Falta: reagendar","")))))</f>
        <v>0</v>
      </c>
      <c r="T2038" s="29">
        <f>IF($A2038="","",DATE(YEAR($A2038),MONTH($A2038),1))</f>
        <v>0</v>
      </c>
      <c r="U2038" s="30">
        <f>IF($S2038="CONFIRMAR",MAX($U$4:$U2037)+1,"")</f>
        <v>0</v>
      </c>
      <c r="V2038" s="30">
        <f>IF(AND($R2038="Não",$Q2038&lt;&gt;"",$Q2038&lt;=Hoje+JanelaRet,$Q2038&gt;=Hoje-60),MAX($V$4:$V2037)+1,"")</f>
        <v>0</v>
      </c>
    </row>
    <row r="2039" spans="1:22">
      <c r="A2039" s="16"/>
      <c r="B2039" s="23"/>
      <c r="C2039" s="15"/>
      <c r="D2039" s="15"/>
      <c r="E2039" s="15"/>
      <c r="F2039" s="24"/>
      <c r="G2039" s="17"/>
      <c r="H2039" s="17"/>
      <c r="I2039" s="15"/>
      <c r="J2039" s="25">
        <f>IF($D2039="","",IFERROR(INDEX(PacNome,MATCH($D2039,PacCod,0)),"Paciente não cadastrado"))</f>
        <v>0</v>
      </c>
      <c r="K2039" s="26">
        <f>IF($D2039="","",IFERROR(INDEX(PacConv,MATCH($D2039,PacCod,0))&amp;"",""))</f>
        <v>0</v>
      </c>
      <c r="L2039" s="26">
        <f>IF($A2039="","",CHOOSE(WEEKDAY($A2039,2),"Seg","Ter","Qua","Qui","Sex","Sáb","Dom"))</f>
        <v>0</v>
      </c>
      <c r="M2039" s="27">
        <f>IF($E2039="","",IF($G2039&lt;&gt;"",$G2039,IFERROR(INDEX(ProcValor,MATCH($E2039,ProcNome,0)),0)))</f>
        <v>0</v>
      </c>
      <c r="N2039" s="27">
        <f>IF($M2039="","",IF($F2039="Compareceu",$M2039,0))</f>
        <v>0</v>
      </c>
      <c r="O2039" s="27">
        <f>IF($M2039="","",IF($F2039="Faltou",$M2039,0))</f>
        <v>0</v>
      </c>
      <c r="P2039" s="27">
        <f>IF($M2039="","",IF($F2039="Compareceu",MAX(0,$M2039-N($H2039)),0))</f>
        <v>0</v>
      </c>
      <c r="Q2039" s="19">
        <f>IF(AND($F2039="Compareceu",$E2039&lt;&gt;"",$A2039&lt;&gt;""),IF(IFERROR(INDEX(ProcRet,MATCH($E2039,ProcNome,0)),0)&gt;0,$A2039+INDEX(ProcRet,MATCH($E2039,ProcNome,0)),""),"")</f>
        <v>0</v>
      </c>
      <c r="R2039" s="26">
        <f>IF($Q2039="","",IF(COUNTIFS(AgPac,$D2039,AgData,"&gt;"&amp;$A2039,AgStatus,"&lt;&gt;Cancelado",AgStatus,"&lt;&gt;Remarcado")&gt;0,"Sim","Não"))</f>
        <v>0</v>
      </c>
      <c r="S2039" s="28">
        <f>IF($A2039="","",IF(AND($F2039="Agendado",$A2039-Hoje&gt;=0,$A2039-Hoje&lt;=DiasConf),"CONFIRMAR",IF(AND($A2039&lt;Hoje,OR($F2039="Agendado",$F2039="Confirmado")),"Atualizar status",IF(AND($F2039="Compareceu",$P2039&gt;0.005),"Cobrar",IF($F2039="Faltou","Falta: reagendar","")))))</f>
        <v>0</v>
      </c>
      <c r="T2039" s="29">
        <f>IF($A2039="","",DATE(YEAR($A2039),MONTH($A2039),1))</f>
        <v>0</v>
      </c>
      <c r="U2039" s="30">
        <f>IF($S2039="CONFIRMAR",MAX($U$4:$U2038)+1,"")</f>
        <v>0</v>
      </c>
      <c r="V2039" s="30">
        <f>IF(AND($R2039="Não",$Q2039&lt;&gt;"",$Q2039&lt;=Hoje+JanelaRet,$Q2039&gt;=Hoje-60),MAX($V$4:$V2038)+1,"")</f>
        <v>0</v>
      </c>
    </row>
    <row r="2040" spans="1:22">
      <c r="A2040" s="16"/>
      <c r="B2040" s="23"/>
      <c r="C2040" s="15"/>
      <c r="D2040" s="15"/>
      <c r="E2040" s="15"/>
      <c r="F2040" s="24"/>
      <c r="G2040" s="17"/>
      <c r="H2040" s="17"/>
      <c r="I2040" s="15"/>
      <c r="J2040" s="25">
        <f>IF($D2040="","",IFERROR(INDEX(PacNome,MATCH($D2040,PacCod,0)),"Paciente não cadastrado"))</f>
        <v>0</v>
      </c>
      <c r="K2040" s="26">
        <f>IF($D2040="","",IFERROR(INDEX(PacConv,MATCH($D2040,PacCod,0))&amp;"",""))</f>
        <v>0</v>
      </c>
      <c r="L2040" s="26">
        <f>IF($A2040="","",CHOOSE(WEEKDAY($A2040,2),"Seg","Ter","Qua","Qui","Sex","Sáb","Dom"))</f>
        <v>0</v>
      </c>
      <c r="M2040" s="27">
        <f>IF($E2040="","",IF($G2040&lt;&gt;"",$G2040,IFERROR(INDEX(ProcValor,MATCH($E2040,ProcNome,0)),0)))</f>
        <v>0</v>
      </c>
      <c r="N2040" s="27">
        <f>IF($M2040="","",IF($F2040="Compareceu",$M2040,0))</f>
        <v>0</v>
      </c>
      <c r="O2040" s="27">
        <f>IF($M2040="","",IF($F2040="Faltou",$M2040,0))</f>
        <v>0</v>
      </c>
      <c r="P2040" s="27">
        <f>IF($M2040="","",IF($F2040="Compareceu",MAX(0,$M2040-N($H2040)),0))</f>
        <v>0</v>
      </c>
      <c r="Q2040" s="19">
        <f>IF(AND($F2040="Compareceu",$E2040&lt;&gt;"",$A2040&lt;&gt;""),IF(IFERROR(INDEX(ProcRet,MATCH($E2040,ProcNome,0)),0)&gt;0,$A2040+INDEX(ProcRet,MATCH($E2040,ProcNome,0)),""),"")</f>
        <v>0</v>
      </c>
      <c r="R2040" s="26">
        <f>IF($Q2040="","",IF(COUNTIFS(AgPac,$D2040,AgData,"&gt;"&amp;$A2040,AgStatus,"&lt;&gt;Cancelado",AgStatus,"&lt;&gt;Remarcado")&gt;0,"Sim","Não"))</f>
        <v>0</v>
      </c>
      <c r="S2040" s="28">
        <f>IF($A2040="","",IF(AND($F2040="Agendado",$A2040-Hoje&gt;=0,$A2040-Hoje&lt;=DiasConf),"CONFIRMAR",IF(AND($A2040&lt;Hoje,OR($F2040="Agendado",$F2040="Confirmado")),"Atualizar status",IF(AND($F2040="Compareceu",$P2040&gt;0.005),"Cobrar",IF($F2040="Faltou","Falta: reagendar","")))))</f>
        <v>0</v>
      </c>
      <c r="T2040" s="29">
        <f>IF($A2040="","",DATE(YEAR($A2040),MONTH($A2040),1))</f>
        <v>0</v>
      </c>
      <c r="U2040" s="30">
        <f>IF($S2040="CONFIRMAR",MAX($U$4:$U2039)+1,"")</f>
        <v>0</v>
      </c>
      <c r="V2040" s="30">
        <f>IF(AND($R2040="Não",$Q2040&lt;&gt;"",$Q2040&lt;=Hoje+JanelaRet,$Q2040&gt;=Hoje-60),MAX($V$4:$V2039)+1,"")</f>
        <v>0</v>
      </c>
    </row>
    <row r="2041" spans="1:22">
      <c r="A2041" s="16"/>
      <c r="B2041" s="23"/>
      <c r="C2041" s="15"/>
      <c r="D2041" s="15"/>
      <c r="E2041" s="15"/>
      <c r="F2041" s="24"/>
      <c r="G2041" s="17"/>
      <c r="H2041" s="17"/>
      <c r="I2041" s="15"/>
      <c r="J2041" s="25">
        <f>IF($D2041="","",IFERROR(INDEX(PacNome,MATCH($D2041,PacCod,0)),"Paciente não cadastrado"))</f>
        <v>0</v>
      </c>
      <c r="K2041" s="26">
        <f>IF($D2041="","",IFERROR(INDEX(PacConv,MATCH($D2041,PacCod,0))&amp;"",""))</f>
        <v>0</v>
      </c>
      <c r="L2041" s="26">
        <f>IF($A2041="","",CHOOSE(WEEKDAY($A2041,2),"Seg","Ter","Qua","Qui","Sex","Sáb","Dom"))</f>
        <v>0</v>
      </c>
      <c r="M2041" s="27">
        <f>IF($E2041="","",IF($G2041&lt;&gt;"",$G2041,IFERROR(INDEX(ProcValor,MATCH($E2041,ProcNome,0)),0)))</f>
        <v>0</v>
      </c>
      <c r="N2041" s="27">
        <f>IF($M2041="","",IF($F2041="Compareceu",$M2041,0))</f>
        <v>0</v>
      </c>
      <c r="O2041" s="27">
        <f>IF($M2041="","",IF($F2041="Faltou",$M2041,0))</f>
        <v>0</v>
      </c>
      <c r="P2041" s="27">
        <f>IF($M2041="","",IF($F2041="Compareceu",MAX(0,$M2041-N($H2041)),0))</f>
        <v>0</v>
      </c>
      <c r="Q2041" s="19">
        <f>IF(AND($F2041="Compareceu",$E2041&lt;&gt;"",$A2041&lt;&gt;""),IF(IFERROR(INDEX(ProcRet,MATCH($E2041,ProcNome,0)),0)&gt;0,$A2041+INDEX(ProcRet,MATCH($E2041,ProcNome,0)),""),"")</f>
        <v>0</v>
      </c>
      <c r="R2041" s="26">
        <f>IF($Q2041="","",IF(COUNTIFS(AgPac,$D2041,AgData,"&gt;"&amp;$A2041,AgStatus,"&lt;&gt;Cancelado",AgStatus,"&lt;&gt;Remarcado")&gt;0,"Sim","Não"))</f>
        <v>0</v>
      </c>
      <c r="S2041" s="28">
        <f>IF($A2041="","",IF(AND($F2041="Agendado",$A2041-Hoje&gt;=0,$A2041-Hoje&lt;=DiasConf),"CONFIRMAR",IF(AND($A2041&lt;Hoje,OR($F2041="Agendado",$F2041="Confirmado")),"Atualizar status",IF(AND($F2041="Compareceu",$P2041&gt;0.005),"Cobrar",IF($F2041="Faltou","Falta: reagendar","")))))</f>
        <v>0</v>
      </c>
      <c r="T2041" s="29">
        <f>IF($A2041="","",DATE(YEAR($A2041),MONTH($A2041),1))</f>
        <v>0</v>
      </c>
      <c r="U2041" s="30">
        <f>IF($S2041="CONFIRMAR",MAX($U$4:$U2040)+1,"")</f>
        <v>0</v>
      </c>
      <c r="V2041" s="30">
        <f>IF(AND($R2041="Não",$Q2041&lt;&gt;"",$Q2041&lt;=Hoje+JanelaRet,$Q2041&gt;=Hoje-60),MAX($V$4:$V2040)+1,"")</f>
        <v>0</v>
      </c>
    </row>
    <row r="2042" spans="1:22">
      <c r="A2042" s="16"/>
      <c r="B2042" s="23"/>
      <c r="C2042" s="15"/>
      <c r="D2042" s="15"/>
      <c r="E2042" s="15"/>
      <c r="F2042" s="24"/>
      <c r="G2042" s="17"/>
      <c r="H2042" s="17"/>
      <c r="I2042" s="15"/>
      <c r="J2042" s="25">
        <f>IF($D2042="","",IFERROR(INDEX(PacNome,MATCH($D2042,PacCod,0)),"Paciente não cadastrado"))</f>
        <v>0</v>
      </c>
      <c r="K2042" s="26">
        <f>IF($D2042="","",IFERROR(INDEX(PacConv,MATCH($D2042,PacCod,0))&amp;"",""))</f>
        <v>0</v>
      </c>
      <c r="L2042" s="26">
        <f>IF($A2042="","",CHOOSE(WEEKDAY($A2042,2),"Seg","Ter","Qua","Qui","Sex","Sáb","Dom"))</f>
        <v>0</v>
      </c>
      <c r="M2042" s="27">
        <f>IF($E2042="","",IF($G2042&lt;&gt;"",$G2042,IFERROR(INDEX(ProcValor,MATCH($E2042,ProcNome,0)),0)))</f>
        <v>0</v>
      </c>
      <c r="N2042" s="27">
        <f>IF($M2042="","",IF($F2042="Compareceu",$M2042,0))</f>
        <v>0</v>
      </c>
      <c r="O2042" s="27">
        <f>IF($M2042="","",IF($F2042="Faltou",$M2042,0))</f>
        <v>0</v>
      </c>
      <c r="P2042" s="27">
        <f>IF($M2042="","",IF($F2042="Compareceu",MAX(0,$M2042-N($H2042)),0))</f>
        <v>0</v>
      </c>
      <c r="Q2042" s="19">
        <f>IF(AND($F2042="Compareceu",$E2042&lt;&gt;"",$A2042&lt;&gt;""),IF(IFERROR(INDEX(ProcRet,MATCH($E2042,ProcNome,0)),0)&gt;0,$A2042+INDEX(ProcRet,MATCH($E2042,ProcNome,0)),""),"")</f>
        <v>0</v>
      </c>
      <c r="R2042" s="26">
        <f>IF($Q2042="","",IF(COUNTIFS(AgPac,$D2042,AgData,"&gt;"&amp;$A2042,AgStatus,"&lt;&gt;Cancelado",AgStatus,"&lt;&gt;Remarcado")&gt;0,"Sim","Não"))</f>
        <v>0</v>
      </c>
      <c r="S2042" s="28">
        <f>IF($A2042="","",IF(AND($F2042="Agendado",$A2042-Hoje&gt;=0,$A2042-Hoje&lt;=DiasConf),"CONFIRMAR",IF(AND($A2042&lt;Hoje,OR($F2042="Agendado",$F2042="Confirmado")),"Atualizar status",IF(AND($F2042="Compareceu",$P2042&gt;0.005),"Cobrar",IF($F2042="Faltou","Falta: reagendar","")))))</f>
        <v>0</v>
      </c>
      <c r="T2042" s="29">
        <f>IF($A2042="","",DATE(YEAR($A2042),MONTH($A2042),1))</f>
        <v>0</v>
      </c>
      <c r="U2042" s="30">
        <f>IF($S2042="CONFIRMAR",MAX($U$4:$U2041)+1,"")</f>
        <v>0</v>
      </c>
      <c r="V2042" s="30">
        <f>IF(AND($R2042="Não",$Q2042&lt;&gt;"",$Q2042&lt;=Hoje+JanelaRet,$Q2042&gt;=Hoje-60),MAX($V$4:$V2041)+1,"")</f>
        <v>0</v>
      </c>
    </row>
    <row r="2043" spans="1:22">
      <c r="A2043" s="16"/>
      <c r="B2043" s="23"/>
      <c r="C2043" s="15"/>
      <c r="D2043" s="15"/>
      <c r="E2043" s="15"/>
      <c r="F2043" s="24"/>
      <c r="G2043" s="17"/>
      <c r="H2043" s="17"/>
      <c r="I2043" s="15"/>
      <c r="J2043" s="25">
        <f>IF($D2043="","",IFERROR(INDEX(PacNome,MATCH($D2043,PacCod,0)),"Paciente não cadastrado"))</f>
        <v>0</v>
      </c>
      <c r="K2043" s="26">
        <f>IF($D2043="","",IFERROR(INDEX(PacConv,MATCH($D2043,PacCod,0))&amp;"",""))</f>
        <v>0</v>
      </c>
      <c r="L2043" s="26">
        <f>IF($A2043="","",CHOOSE(WEEKDAY($A2043,2),"Seg","Ter","Qua","Qui","Sex","Sáb","Dom"))</f>
        <v>0</v>
      </c>
      <c r="M2043" s="27">
        <f>IF($E2043="","",IF($G2043&lt;&gt;"",$G2043,IFERROR(INDEX(ProcValor,MATCH($E2043,ProcNome,0)),0)))</f>
        <v>0</v>
      </c>
      <c r="N2043" s="27">
        <f>IF($M2043="","",IF($F2043="Compareceu",$M2043,0))</f>
        <v>0</v>
      </c>
      <c r="O2043" s="27">
        <f>IF($M2043="","",IF($F2043="Faltou",$M2043,0))</f>
        <v>0</v>
      </c>
      <c r="P2043" s="27">
        <f>IF($M2043="","",IF($F2043="Compareceu",MAX(0,$M2043-N($H2043)),0))</f>
        <v>0</v>
      </c>
      <c r="Q2043" s="19">
        <f>IF(AND($F2043="Compareceu",$E2043&lt;&gt;"",$A2043&lt;&gt;""),IF(IFERROR(INDEX(ProcRet,MATCH($E2043,ProcNome,0)),0)&gt;0,$A2043+INDEX(ProcRet,MATCH($E2043,ProcNome,0)),""),"")</f>
        <v>0</v>
      </c>
      <c r="R2043" s="26">
        <f>IF($Q2043="","",IF(COUNTIFS(AgPac,$D2043,AgData,"&gt;"&amp;$A2043,AgStatus,"&lt;&gt;Cancelado",AgStatus,"&lt;&gt;Remarcado")&gt;0,"Sim","Não"))</f>
        <v>0</v>
      </c>
      <c r="S2043" s="28">
        <f>IF($A2043="","",IF(AND($F2043="Agendado",$A2043-Hoje&gt;=0,$A2043-Hoje&lt;=DiasConf),"CONFIRMAR",IF(AND($A2043&lt;Hoje,OR($F2043="Agendado",$F2043="Confirmado")),"Atualizar status",IF(AND($F2043="Compareceu",$P2043&gt;0.005),"Cobrar",IF($F2043="Faltou","Falta: reagendar","")))))</f>
        <v>0</v>
      </c>
      <c r="T2043" s="29">
        <f>IF($A2043="","",DATE(YEAR($A2043),MONTH($A2043),1))</f>
        <v>0</v>
      </c>
      <c r="U2043" s="30">
        <f>IF($S2043="CONFIRMAR",MAX($U$4:$U2042)+1,"")</f>
        <v>0</v>
      </c>
      <c r="V2043" s="30">
        <f>IF(AND($R2043="Não",$Q2043&lt;&gt;"",$Q2043&lt;=Hoje+JanelaRet,$Q2043&gt;=Hoje-60),MAX($V$4:$V2042)+1,"")</f>
        <v>0</v>
      </c>
    </row>
    <row r="2044" spans="1:22">
      <c r="A2044" s="16"/>
      <c r="B2044" s="23"/>
      <c r="C2044" s="15"/>
      <c r="D2044" s="15"/>
      <c r="E2044" s="15"/>
      <c r="F2044" s="24"/>
      <c r="G2044" s="17"/>
      <c r="H2044" s="17"/>
      <c r="I2044" s="15"/>
      <c r="J2044" s="25">
        <f>IF($D2044="","",IFERROR(INDEX(PacNome,MATCH($D2044,PacCod,0)),"Paciente não cadastrado"))</f>
        <v>0</v>
      </c>
      <c r="K2044" s="26">
        <f>IF($D2044="","",IFERROR(INDEX(PacConv,MATCH($D2044,PacCod,0))&amp;"",""))</f>
        <v>0</v>
      </c>
      <c r="L2044" s="26">
        <f>IF($A2044="","",CHOOSE(WEEKDAY($A2044,2),"Seg","Ter","Qua","Qui","Sex","Sáb","Dom"))</f>
        <v>0</v>
      </c>
      <c r="M2044" s="27">
        <f>IF($E2044="","",IF($G2044&lt;&gt;"",$G2044,IFERROR(INDEX(ProcValor,MATCH($E2044,ProcNome,0)),0)))</f>
        <v>0</v>
      </c>
      <c r="N2044" s="27">
        <f>IF($M2044="","",IF($F2044="Compareceu",$M2044,0))</f>
        <v>0</v>
      </c>
      <c r="O2044" s="27">
        <f>IF($M2044="","",IF($F2044="Faltou",$M2044,0))</f>
        <v>0</v>
      </c>
      <c r="P2044" s="27">
        <f>IF($M2044="","",IF($F2044="Compareceu",MAX(0,$M2044-N($H2044)),0))</f>
        <v>0</v>
      </c>
      <c r="Q2044" s="19">
        <f>IF(AND($F2044="Compareceu",$E2044&lt;&gt;"",$A2044&lt;&gt;""),IF(IFERROR(INDEX(ProcRet,MATCH($E2044,ProcNome,0)),0)&gt;0,$A2044+INDEX(ProcRet,MATCH($E2044,ProcNome,0)),""),"")</f>
        <v>0</v>
      </c>
      <c r="R2044" s="26">
        <f>IF($Q2044="","",IF(COUNTIFS(AgPac,$D2044,AgData,"&gt;"&amp;$A2044,AgStatus,"&lt;&gt;Cancelado",AgStatus,"&lt;&gt;Remarcado")&gt;0,"Sim","Não"))</f>
        <v>0</v>
      </c>
      <c r="S2044" s="28">
        <f>IF($A2044="","",IF(AND($F2044="Agendado",$A2044-Hoje&gt;=0,$A2044-Hoje&lt;=DiasConf),"CONFIRMAR",IF(AND($A2044&lt;Hoje,OR($F2044="Agendado",$F2044="Confirmado")),"Atualizar status",IF(AND($F2044="Compareceu",$P2044&gt;0.005),"Cobrar",IF($F2044="Faltou","Falta: reagendar","")))))</f>
        <v>0</v>
      </c>
      <c r="T2044" s="29">
        <f>IF($A2044="","",DATE(YEAR($A2044),MONTH($A2044),1))</f>
        <v>0</v>
      </c>
      <c r="U2044" s="30">
        <f>IF($S2044="CONFIRMAR",MAX($U$4:$U2043)+1,"")</f>
        <v>0</v>
      </c>
      <c r="V2044" s="30">
        <f>IF(AND($R2044="Não",$Q2044&lt;&gt;"",$Q2044&lt;=Hoje+JanelaRet,$Q2044&gt;=Hoje-60),MAX($V$4:$V2043)+1,"")</f>
        <v>0</v>
      </c>
    </row>
    <row r="2045" spans="1:22">
      <c r="A2045" s="16"/>
      <c r="B2045" s="23"/>
      <c r="C2045" s="15"/>
      <c r="D2045" s="15"/>
      <c r="E2045" s="15"/>
      <c r="F2045" s="24"/>
      <c r="G2045" s="17"/>
      <c r="H2045" s="17"/>
      <c r="I2045" s="15"/>
      <c r="J2045" s="25">
        <f>IF($D2045="","",IFERROR(INDEX(PacNome,MATCH($D2045,PacCod,0)),"Paciente não cadastrado"))</f>
        <v>0</v>
      </c>
      <c r="K2045" s="26">
        <f>IF($D2045="","",IFERROR(INDEX(PacConv,MATCH($D2045,PacCod,0))&amp;"",""))</f>
        <v>0</v>
      </c>
      <c r="L2045" s="26">
        <f>IF($A2045="","",CHOOSE(WEEKDAY($A2045,2),"Seg","Ter","Qua","Qui","Sex","Sáb","Dom"))</f>
        <v>0</v>
      </c>
      <c r="M2045" s="27">
        <f>IF($E2045="","",IF($G2045&lt;&gt;"",$G2045,IFERROR(INDEX(ProcValor,MATCH($E2045,ProcNome,0)),0)))</f>
        <v>0</v>
      </c>
      <c r="N2045" s="27">
        <f>IF($M2045="","",IF($F2045="Compareceu",$M2045,0))</f>
        <v>0</v>
      </c>
      <c r="O2045" s="27">
        <f>IF($M2045="","",IF($F2045="Faltou",$M2045,0))</f>
        <v>0</v>
      </c>
      <c r="P2045" s="27">
        <f>IF($M2045="","",IF($F2045="Compareceu",MAX(0,$M2045-N($H2045)),0))</f>
        <v>0</v>
      </c>
      <c r="Q2045" s="19">
        <f>IF(AND($F2045="Compareceu",$E2045&lt;&gt;"",$A2045&lt;&gt;""),IF(IFERROR(INDEX(ProcRet,MATCH($E2045,ProcNome,0)),0)&gt;0,$A2045+INDEX(ProcRet,MATCH($E2045,ProcNome,0)),""),"")</f>
        <v>0</v>
      </c>
      <c r="R2045" s="26">
        <f>IF($Q2045="","",IF(COUNTIFS(AgPac,$D2045,AgData,"&gt;"&amp;$A2045,AgStatus,"&lt;&gt;Cancelado",AgStatus,"&lt;&gt;Remarcado")&gt;0,"Sim","Não"))</f>
        <v>0</v>
      </c>
      <c r="S2045" s="28">
        <f>IF($A2045="","",IF(AND($F2045="Agendado",$A2045-Hoje&gt;=0,$A2045-Hoje&lt;=DiasConf),"CONFIRMAR",IF(AND($A2045&lt;Hoje,OR($F2045="Agendado",$F2045="Confirmado")),"Atualizar status",IF(AND($F2045="Compareceu",$P2045&gt;0.005),"Cobrar",IF($F2045="Faltou","Falta: reagendar","")))))</f>
        <v>0</v>
      </c>
      <c r="T2045" s="29">
        <f>IF($A2045="","",DATE(YEAR($A2045),MONTH($A2045),1))</f>
        <v>0</v>
      </c>
      <c r="U2045" s="30">
        <f>IF($S2045="CONFIRMAR",MAX($U$4:$U2044)+1,"")</f>
        <v>0</v>
      </c>
      <c r="V2045" s="30">
        <f>IF(AND($R2045="Não",$Q2045&lt;&gt;"",$Q2045&lt;=Hoje+JanelaRet,$Q2045&gt;=Hoje-60),MAX($V$4:$V2044)+1,"")</f>
        <v>0</v>
      </c>
    </row>
    <row r="2046" spans="1:22">
      <c r="A2046" s="16"/>
      <c r="B2046" s="23"/>
      <c r="C2046" s="15"/>
      <c r="D2046" s="15"/>
      <c r="E2046" s="15"/>
      <c r="F2046" s="24"/>
      <c r="G2046" s="17"/>
      <c r="H2046" s="17"/>
      <c r="I2046" s="15"/>
      <c r="J2046" s="25">
        <f>IF($D2046="","",IFERROR(INDEX(PacNome,MATCH($D2046,PacCod,0)),"Paciente não cadastrado"))</f>
        <v>0</v>
      </c>
      <c r="K2046" s="26">
        <f>IF($D2046="","",IFERROR(INDEX(PacConv,MATCH($D2046,PacCod,0))&amp;"",""))</f>
        <v>0</v>
      </c>
      <c r="L2046" s="26">
        <f>IF($A2046="","",CHOOSE(WEEKDAY($A2046,2),"Seg","Ter","Qua","Qui","Sex","Sáb","Dom"))</f>
        <v>0</v>
      </c>
      <c r="M2046" s="27">
        <f>IF($E2046="","",IF($G2046&lt;&gt;"",$G2046,IFERROR(INDEX(ProcValor,MATCH($E2046,ProcNome,0)),0)))</f>
        <v>0</v>
      </c>
      <c r="N2046" s="27">
        <f>IF($M2046="","",IF($F2046="Compareceu",$M2046,0))</f>
        <v>0</v>
      </c>
      <c r="O2046" s="27">
        <f>IF($M2046="","",IF($F2046="Faltou",$M2046,0))</f>
        <v>0</v>
      </c>
      <c r="P2046" s="27">
        <f>IF($M2046="","",IF($F2046="Compareceu",MAX(0,$M2046-N($H2046)),0))</f>
        <v>0</v>
      </c>
      <c r="Q2046" s="19">
        <f>IF(AND($F2046="Compareceu",$E2046&lt;&gt;"",$A2046&lt;&gt;""),IF(IFERROR(INDEX(ProcRet,MATCH($E2046,ProcNome,0)),0)&gt;0,$A2046+INDEX(ProcRet,MATCH($E2046,ProcNome,0)),""),"")</f>
        <v>0</v>
      </c>
      <c r="R2046" s="26">
        <f>IF($Q2046="","",IF(COUNTIFS(AgPac,$D2046,AgData,"&gt;"&amp;$A2046,AgStatus,"&lt;&gt;Cancelado",AgStatus,"&lt;&gt;Remarcado")&gt;0,"Sim","Não"))</f>
        <v>0</v>
      </c>
      <c r="S2046" s="28">
        <f>IF($A2046="","",IF(AND($F2046="Agendado",$A2046-Hoje&gt;=0,$A2046-Hoje&lt;=DiasConf),"CONFIRMAR",IF(AND($A2046&lt;Hoje,OR($F2046="Agendado",$F2046="Confirmado")),"Atualizar status",IF(AND($F2046="Compareceu",$P2046&gt;0.005),"Cobrar",IF($F2046="Faltou","Falta: reagendar","")))))</f>
        <v>0</v>
      </c>
      <c r="T2046" s="29">
        <f>IF($A2046="","",DATE(YEAR($A2046),MONTH($A2046),1))</f>
        <v>0</v>
      </c>
      <c r="U2046" s="30">
        <f>IF($S2046="CONFIRMAR",MAX($U$4:$U2045)+1,"")</f>
        <v>0</v>
      </c>
      <c r="V2046" s="30">
        <f>IF(AND($R2046="Não",$Q2046&lt;&gt;"",$Q2046&lt;=Hoje+JanelaRet,$Q2046&gt;=Hoje-60),MAX($V$4:$V2045)+1,"")</f>
        <v>0</v>
      </c>
    </row>
    <row r="2047" spans="1:22">
      <c r="A2047" s="16"/>
      <c r="B2047" s="23"/>
      <c r="C2047" s="15"/>
      <c r="D2047" s="15"/>
      <c r="E2047" s="15"/>
      <c r="F2047" s="24"/>
      <c r="G2047" s="17"/>
      <c r="H2047" s="17"/>
      <c r="I2047" s="15"/>
      <c r="J2047" s="25">
        <f>IF($D2047="","",IFERROR(INDEX(PacNome,MATCH($D2047,PacCod,0)),"Paciente não cadastrado"))</f>
        <v>0</v>
      </c>
      <c r="K2047" s="26">
        <f>IF($D2047="","",IFERROR(INDEX(PacConv,MATCH($D2047,PacCod,0))&amp;"",""))</f>
        <v>0</v>
      </c>
      <c r="L2047" s="26">
        <f>IF($A2047="","",CHOOSE(WEEKDAY($A2047,2),"Seg","Ter","Qua","Qui","Sex","Sáb","Dom"))</f>
        <v>0</v>
      </c>
      <c r="M2047" s="27">
        <f>IF($E2047="","",IF($G2047&lt;&gt;"",$G2047,IFERROR(INDEX(ProcValor,MATCH($E2047,ProcNome,0)),0)))</f>
        <v>0</v>
      </c>
      <c r="N2047" s="27">
        <f>IF($M2047="","",IF($F2047="Compareceu",$M2047,0))</f>
        <v>0</v>
      </c>
      <c r="O2047" s="27">
        <f>IF($M2047="","",IF($F2047="Faltou",$M2047,0))</f>
        <v>0</v>
      </c>
      <c r="P2047" s="27">
        <f>IF($M2047="","",IF($F2047="Compareceu",MAX(0,$M2047-N($H2047)),0))</f>
        <v>0</v>
      </c>
      <c r="Q2047" s="19">
        <f>IF(AND($F2047="Compareceu",$E2047&lt;&gt;"",$A2047&lt;&gt;""),IF(IFERROR(INDEX(ProcRet,MATCH($E2047,ProcNome,0)),0)&gt;0,$A2047+INDEX(ProcRet,MATCH($E2047,ProcNome,0)),""),"")</f>
        <v>0</v>
      </c>
      <c r="R2047" s="26">
        <f>IF($Q2047="","",IF(COUNTIFS(AgPac,$D2047,AgData,"&gt;"&amp;$A2047,AgStatus,"&lt;&gt;Cancelado",AgStatus,"&lt;&gt;Remarcado")&gt;0,"Sim","Não"))</f>
        <v>0</v>
      </c>
      <c r="S2047" s="28">
        <f>IF($A2047="","",IF(AND($F2047="Agendado",$A2047-Hoje&gt;=0,$A2047-Hoje&lt;=DiasConf),"CONFIRMAR",IF(AND($A2047&lt;Hoje,OR($F2047="Agendado",$F2047="Confirmado")),"Atualizar status",IF(AND($F2047="Compareceu",$P2047&gt;0.005),"Cobrar",IF($F2047="Faltou","Falta: reagendar","")))))</f>
        <v>0</v>
      </c>
      <c r="T2047" s="29">
        <f>IF($A2047="","",DATE(YEAR($A2047),MONTH($A2047),1))</f>
        <v>0</v>
      </c>
      <c r="U2047" s="30">
        <f>IF($S2047="CONFIRMAR",MAX($U$4:$U2046)+1,"")</f>
        <v>0</v>
      </c>
      <c r="V2047" s="30">
        <f>IF(AND($R2047="Não",$Q2047&lt;&gt;"",$Q2047&lt;=Hoje+JanelaRet,$Q2047&gt;=Hoje-60),MAX($V$4:$V2046)+1,"")</f>
        <v>0</v>
      </c>
    </row>
    <row r="2048" spans="1:22">
      <c r="A2048" s="16"/>
      <c r="B2048" s="23"/>
      <c r="C2048" s="15"/>
      <c r="D2048" s="15"/>
      <c r="E2048" s="15"/>
      <c r="F2048" s="24"/>
      <c r="G2048" s="17"/>
      <c r="H2048" s="17"/>
      <c r="I2048" s="15"/>
      <c r="J2048" s="25">
        <f>IF($D2048="","",IFERROR(INDEX(PacNome,MATCH($D2048,PacCod,0)),"Paciente não cadastrado"))</f>
        <v>0</v>
      </c>
      <c r="K2048" s="26">
        <f>IF($D2048="","",IFERROR(INDEX(PacConv,MATCH($D2048,PacCod,0))&amp;"",""))</f>
        <v>0</v>
      </c>
      <c r="L2048" s="26">
        <f>IF($A2048="","",CHOOSE(WEEKDAY($A2048,2),"Seg","Ter","Qua","Qui","Sex","Sáb","Dom"))</f>
        <v>0</v>
      </c>
      <c r="M2048" s="27">
        <f>IF($E2048="","",IF($G2048&lt;&gt;"",$G2048,IFERROR(INDEX(ProcValor,MATCH($E2048,ProcNome,0)),0)))</f>
        <v>0</v>
      </c>
      <c r="N2048" s="27">
        <f>IF($M2048="","",IF($F2048="Compareceu",$M2048,0))</f>
        <v>0</v>
      </c>
      <c r="O2048" s="27">
        <f>IF($M2048="","",IF($F2048="Faltou",$M2048,0))</f>
        <v>0</v>
      </c>
      <c r="P2048" s="27">
        <f>IF($M2048="","",IF($F2048="Compareceu",MAX(0,$M2048-N($H2048)),0))</f>
        <v>0</v>
      </c>
      <c r="Q2048" s="19">
        <f>IF(AND($F2048="Compareceu",$E2048&lt;&gt;"",$A2048&lt;&gt;""),IF(IFERROR(INDEX(ProcRet,MATCH($E2048,ProcNome,0)),0)&gt;0,$A2048+INDEX(ProcRet,MATCH($E2048,ProcNome,0)),""),"")</f>
        <v>0</v>
      </c>
      <c r="R2048" s="26">
        <f>IF($Q2048="","",IF(COUNTIFS(AgPac,$D2048,AgData,"&gt;"&amp;$A2048,AgStatus,"&lt;&gt;Cancelado",AgStatus,"&lt;&gt;Remarcado")&gt;0,"Sim","Não"))</f>
        <v>0</v>
      </c>
      <c r="S2048" s="28">
        <f>IF($A2048="","",IF(AND($F2048="Agendado",$A2048-Hoje&gt;=0,$A2048-Hoje&lt;=DiasConf),"CONFIRMAR",IF(AND($A2048&lt;Hoje,OR($F2048="Agendado",$F2048="Confirmado")),"Atualizar status",IF(AND($F2048="Compareceu",$P2048&gt;0.005),"Cobrar",IF($F2048="Faltou","Falta: reagendar","")))))</f>
        <v>0</v>
      </c>
      <c r="T2048" s="29">
        <f>IF($A2048="","",DATE(YEAR($A2048),MONTH($A2048),1))</f>
        <v>0</v>
      </c>
      <c r="U2048" s="30">
        <f>IF($S2048="CONFIRMAR",MAX($U$4:$U2047)+1,"")</f>
        <v>0</v>
      </c>
      <c r="V2048" s="30">
        <f>IF(AND($R2048="Não",$Q2048&lt;&gt;"",$Q2048&lt;=Hoje+JanelaRet,$Q2048&gt;=Hoje-60),MAX($V$4:$V2047)+1,"")</f>
        <v>0</v>
      </c>
    </row>
    <row r="2049" spans="1:22">
      <c r="A2049" s="16"/>
      <c r="B2049" s="23"/>
      <c r="C2049" s="15"/>
      <c r="D2049" s="15"/>
      <c r="E2049" s="15"/>
      <c r="F2049" s="24"/>
      <c r="G2049" s="17"/>
      <c r="H2049" s="17"/>
      <c r="I2049" s="15"/>
      <c r="J2049" s="25">
        <f>IF($D2049="","",IFERROR(INDEX(PacNome,MATCH($D2049,PacCod,0)),"Paciente não cadastrado"))</f>
        <v>0</v>
      </c>
      <c r="K2049" s="26">
        <f>IF($D2049="","",IFERROR(INDEX(PacConv,MATCH($D2049,PacCod,0))&amp;"",""))</f>
        <v>0</v>
      </c>
      <c r="L2049" s="26">
        <f>IF($A2049="","",CHOOSE(WEEKDAY($A2049,2),"Seg","Ter","Qua","Qui","Sex","Sáb","Dom"))</f>
        <v>0</v>
      </c>
      <c r="M2049" s="27">
        <f>IF($E2049="","",IF($G2049&lt;&gt;"",$G2049,IFERROR(INDEX(ProcValor,MATCH($E2049,ProcNome,0)),0)))</f>
        <v>0</v>
      </c>
      <c r="N2049" s="27">
        <f>IF($M2049="","",IF($F2049="Compareceu",$M2049,0))</f>
        <v>0</v>
      </c>
      <c r="O2049" s="27">
        <f>IF($M2049="","",IF($F2049="Faltou",$M2049,0))</f>
        <v>0</v>
      </c>
      <c r="P2049" s="27">
        <f>IF($M2049="","",IF($F2049="Compareceu",MAX(0,$M2049-N($H2049)),0))</f>
        <v>0</v>
      </c>
      <c r="Q2049" s="19">
        <f>IF(AND($F2049="Compareceu",$E2049&lt;&gt;"",$A2049&lt;&gt;""),IF(IFERROR(INDEX(ProcRet,MATCH($E2049,ProcNome,0)),0)&gt;0,$A2049+INDEX(ProcRet,MATCH($E2049,ProcNome,0)),""),"")</f>
        <v>0</v>
      </c>
      <c r="R2049" s="26">
        <f>IF($Q2049="","",IF(COUNTIFS(AgPac,$D2049,AgData,"&gt;"&amp;$A2049,AgStatus,"&lt;&gt;Cancelado",AgStatus,"&lt;&gt;Remarcado")&gt;0,"Sim","Não"))</f>
        <v>0</v>
      </c>
      <c r="S2049" s="28">
        <f>IF($A2049="","",IF(AND($F2049="Agendado",$A2049-Hoje&gt;=0,$A2049-Hoje&lt;=DiasConf),"CONFIRMAR",IF(AND($A2049&lt;Hoje,OR($F2049="Agendado",$F2049="Confirmado")),"Atualizar status",IF(AND($F2049="Compareceu",$P2049&gt;0.005),"Cobrar",IF($F2049="Faltou","Falta: reagendar","")))))</f>
        <v>0</v>
      </c>
      <c r="T2049" s="29">
        <f>IF($A2049="","",DATE(YEAR($A2049),MONTH($A2049),1))</f>
        <v>0</v>
      </c>
      <c r="U2049" s="30">
        <f>IF($S2049="CONFIRMAR",MAX($U$4:$U2048)+1,"")</f>
        <v>0</v>
      </c>
      <c r="V2049" s="30">
        <f>IF(AND($R2049="Não",$Q2049&lt;&gt;"",$Q2049&lt;=Hoje+JanelaRet,$Q2049&gt;=Hoje-60),MAX($V$4:$V2048)+1,"")</f>
        <v>0</v>
      </c>
    </row>
    <row r="2050" spans="1:22">
      <c r="A2050" s="16"/>
      <c r="B2050" s="23"/>
      <c r="C2050" s="15"/>
      <c r="D2050" s="15"/>
      <c r="E2050" s="15"/>
      <c r="F2050" s="24"/>
      <c r="G2050" s="17"/>
      <c r="H2050" s="17"/>
      <c r="I2050" s="15"/>
      <c r="J2050" s="25">
        <f>IF($D2050="","",IFERROR(INDEX(PacNome,MATCH($D2050,PacCod,0)),"Paciente não cadastrado"))</f>
        <v>0</v>
      </c>
      <c r="K2050" s="26">
        <f>IF($D2050="","",IFERROR(INDEX(PacConv,MATCH($D2050,PacCod,0))&amp;"",""))</f>
        <v>0</v>
      </c>
      <c r="L2050" s="26">
        <f>IF($A2050="","",CHOOSE(WEEKDAY($A2050,2),"Seg","Ter","Qua","Qui","Sex","Sáb","Dom"))</f>
        <v>0</v>
      </c>
      <c r="M2050" s="27">
        <f>IF($E2050="","",IF($G2050&lt;&gt;"",$G2050,IFERROR(INDEX(ProcValor,MATCH($E2050,ProcNome,0)),0)))</f>
        <v>0</v>
      </c>
      <c r="N2050" s="27">
        <f>IF($M2050="","",IF($F2050="Compareceu",$M2050,0))</f>
        <v>0</v>
      </c>
      <c r="O2050" s="27">
        <f>IF($M2050="","",IF($F2050="Faltou",$M2050,0))</f>
        <v>0</v>
      </c>
      <c r="P2050" s="27">
        <f>IF($M2050="","",IF($F2050="Compareceu",MAX(0,$M2050-N($H2050)),0))</f>
        <v>0</v>
      </c>
      <c r="Q2050" s="19">
        <f>IF(AND($F2050="Compareceu",$E2050&lt;&gt;"",$A2050&lt;&gt;""),IF(IFERROR(INDEX(ProcRet,MATCH($E2050,ProcNome,0)),0)&gt;0,$A2050+INDEX(ProcRet,MATCH($E2050,ProcNome,0)),""),"")</f>
        <v>0</v>
      </c>
      <c r="R2050" s="26">
        <f>IF($Q2050="","",IF(COUNTIFS(AgPac,$D2050,AgData,"&gt;"&amp;$A2050,AgStatus,"&lt;&gt;Cancelado",AgStatus,"&lt;&gt;Remarcado")&gt;0,"Sim","Não"))</f>
        <v>0</v>
      </c>
      <c r="S2050" s="28">
        <f>IF($A2050="","",IF(AND($F2050="Agendado",$A2050-Hoje&gt;=0,$A2050-Hoje&lt;=DiasConf),"CONFIRMAR",IF(AND($A2050&lt;Hoje,OR($F2050="Agendado",$F2050="Confirmado")),"Atualizar status",IF(AND($F2050="Compareceu",$P2050&gt;0.005),"Cobrar",IF($F2050="Faltou","Falta: reagendar","")))))</f>
        <v>0</v>
      </c>
      <c r="T2050" s="29">
        <f>IF($A2050="","",DATE(YEAR($A2050),MONTH($A2050),1))</f>
        <v>0</v>
      </c>
      <c r="U2050" s="30">
        <f>IF($S2050="CONFIRMAR",MAX($U$4:$U2049)+1,"")</f>
        <v>0</v>
      </c>
      <c r="V2050" s="30">
        <f>IF(AND($R2050="Não",$Q2050&lt;&gt;"",$Q2050&lt;=Hoje+JanelaRet,$Q2050&gt;=Hoje-60),MAX($V$4:$V2049)+1,"")</f>
        <v>0</v>
      </c>
    </row>
    <row r="2051" spans="1:22">
      <c r="A2051" s="16"/>
      <c r="B2051" s="23"/>
      <c r="C2051" s="15"/>
      <c r="D2051" s="15"/>
      <c r="E2051" s="15"/>
      <c r="F2051" s="24"/>
      <c r="G2051" s="17"/>
      <c r="H2051" s="17"/>
      <c r="I2051" s="15"/>
      <c r="J2051" s="25">
        <f>IF($D2051="","",IFERROR(INDEX(PacNome,MATCH($D2051,PacCod,0)),"Paciente não cadastrado"))</f>
        <v>0</v>
      </c>
      <c r="K2051" s="26">
        <f>IF($D2051="","",IFERROR(INDEX(PacConv,MATCH($D2051,PacCod,0))&amp;"",""))</f>
        <v>0</v>
      </c>
      <c r="L2051" s="26">
        <f>IF($A2051="","",CHOOSE(WEEKDAY($A2051,2),"Seg","Ter","Qua","Qui","Sex","Sáb","Dom"))</f>
        <v>0</v>
      </c>
      <c r="M2051" s="27">
        <f>IF($E2051="","",IF($G2051&lt;&gt;"",$G2051,IFERROR(INDEX(ProcValor,MATCH($E2051,ProcNome,0)),0)))</f>
        <v>0</v>
      </c>
      <c r="N2051" s="27">
        <f>IF($M2051="","",IF($F2051="Compareceu",$M2051,0))</f>
        <v>0</v>
      </c>
      <c r="O2051" s="27">
        <f>IF($M2051="","",IF($F2051="Faltou",$M2051,0))</f>
        <v>0</v>
      </c>
      <c r="P2051" s="27">
        <f>IF($M2051="","",IF($F2051="Compareceu",MAX(0,$M2051-N($H2051)),0))</f>
        <v>0</v>
      </c>
      <c r="Q2051" s="19">
        <f>IF(AND($F2051="Compareceu",$E2051&lt;&gt;"",$A2051&lt;&gt;""),IF(IFERROR(INDEX(ProcRet,MATCH($E2051,ProcNome,0)),0)&gt;0,$A2051+INDEX(ProcRet,MATCH($E2051,ProcNome,0)),""),"")</f>
        <v>0</v>
      </c>
      <c r="R2051" s="26">
        <f>IF($Q2051="","",IF(COUNTIFS(AgPac,$D2051,AgData,"&gt;"&amp;$A2051,AgStatus,"&lt;&gt;Cancelado",AgStatus,"&lt;&gt;Remarcado")&gt;0,"Sim","Não"))</f>
        <v>0</v>
      </c>
      <c r="S2051" s="28">
        <f>IF($A2051="","",IF(AND($F2051="Agendado",$A2051-Hoje&gt;=0,$A2051-Hoje&lt;=DiasConf),"CONFIRMAR",IF(AND($A2051&lt;Hoje,OR($F2051="Agendado",$F2051="Confirmado")),"Atualizar status",IF(AND($F2051="Compareceu",$P2051&gt;0.005),"Cobrar",IF($F2051="Faltou","Falta: reagendar","")))))</f>
        <v>0</v>
      </c>
      <c r="T2051" s="29">
        <f>IF($A2051="","",DATE(YEAR($A2051),MONTH($A2051),1))</f>
        <v>0</v>
      </c>
      <c r="U2051" s="30">
        <f>IF($S2051="CONFIRMAR",MAX($U$4:$U2050)+1,"")</f>
        <v>0</v>
      </c>
      <c r="V2051" s="30">
        <f>IF(AND($R2051="Não",$Q2051&lt;&gt;"",$Q2051&lt;=Hoje+JanelaRet,$Q2051&gt;=Hoje-60),MAX($V$4:$V2050)+1,"")</f>
        <v>0</v>
      </c>
    </row>
    <row r="2052" spans="1:22">
      <c r="A2052" s="16"/>
      <c r="B2052" s="23"/>
      <c r="C2052" s="15"/>
      <c r="D2052" s="15"/>
      <c r="E2052" s="15"/>
      <c r="F2052" s="24"/>
      <c r="G2052" s="17"/>
      <c r="H2052" s="17"/>
      <c r="I2052" s="15"/>
      <c r="J2052" s="25">
        <f>IF($D2052="","",IFERROR(INDEX(PacNome,MATCH($D2052,PacCod,0)),"Paciente não cadastrado"))</f>
        <v>0</v>
      </c>
      <c r="K2052" s="26">
        <f>IF($D2052="","",IFERROR(INDEX(PacConv,MATCH($D2052,PacCod,0))&amp;"",""))</f>
        <v>0</v>
      </c>
      <c r="L2052" s="26">
        <f>IF($A2052="","",CHOOSE(WEEKDAY($A2052,2),"Seg","Ter","Qua","Qui","Sex","Sáb","Dom"))</f>
        <v>0</v>
      </c>
      <c r="M2052" s="27">
        <f>IF($E2052="","",IF($G2052&lt;&gt;"",$G2052,IFERROR(INDEX(ProcValor,MATCH($E2052,ProcNome,0)),0)))</f>
        <v>0</v>
      </c>
      <c r="N2052" s="27">
        <f>IF($M2052="","",IF($F2052="Compareceu",$M2052,0))</f>
        <v>0</v>
      </c>
      <c r="O2052" s="27">
        <f>IF($M2052="","",IF($F2052="Faltou",$M2052,0))</f>
        <v>0</v>
      </c>
      <c r="P2052" s="27">
        <f>IF($M2052="","",IF($F2052="Compareceu",MAX(0,$M2052-N($H2052)),0))</f>
        <v>0</v>
      </c>
      <c r="Q2052" s="19">
        <f>IF(AND($F2052="Compareceu",$E2052&lt;&gt;"",$A2052&lt;&gt;""),IF(IFERROR(INDEX(ProcRet,MATCH($E2052,ProcNome,0)),0)&gt;0,$A2052+INDEX(ProcRet,MATCH($E2052,ProcNome,0)),""),"")</f>
        <v>0</v>
      </c>
      <c r="R2052" s="26">
        <f>IF($Q2052="","",IF(COUNTIFS(AgPac,$D2052,AgData,"&gt;"&amp;$A2052,AgStatus,"&lt;&gt;Cancelado",AgStatus,"&lt;&gt;Remarcado")&gt;0,"Sim","Não"))</f>
        <v>0</v>
      </c>
      <c r="S2052" s="28">
        <f>IF($A2052="","",IF(AND($F2052="Agendado",$A2052-Hoje&gt;=0,$A2052-Hoje&lt;=DiasConf),"CONFIRMAR",IF(AND($A2052&lt;Hoje,OR($F2052="Agendado",$F2052="Confirmado")),"Atualizar status",IF(AND($F2052="Compareceu",$P2052&gt;0.005),"Cobrar",IF($F2052="Faltou","Falta: reagendar","")))))</f>
        <v>0</v>
      </c>
      <c r="T2052" s="29">
        <f>IF($A2052="","",DATE(YEAR($A2052),MONTH($A2052),1))</f>
        <v>0</v>
      </c>
      <c r="U2052" s="30">
        <f>IF($S2052="CONFIRMAR",MAX($U$4:$U2051)+1,"")</f>
        <v>0</v>
      </c>
      <c r="V2052" s="30">
        <f>IF(AND($R2052="Não",$Q2052&lt;&gt;"",$Q2052&lt;=Hoje+JanelaRet,$Q2052&gt;=Hoje-60),MAX($V$4:$V2051)+1,"")</f>
        <v>0</v>
      </c>
    </row>
    <row r="2053" spans="1:22">
      <c r="A2053" s="16"/>
      <c r="B2053" s="23"/>
      <c r="C2053" s="15"/>
      <c r="D2053" s="15"/>
      <c r="E2053" s="15"/>
      <c r="F2053" s="24"/>
      <c r="G2053" s="17"/>
      <c r="H2053" s="17"/>
      <c r="I2053" s="15"/>
      <c r="J2053" s="25">
        <f>IF($D2053="","",IFERROR(INDEX(PacNome,MATCH($D2053,PacCod,0)),"Paciente não cadastrado"))</f>
        <v>0</v>
      </c>
      <c r="K2053" s="26">
        <f>IF($D2053="","",IFERROR(INDEX(PacConv,MATCH($D2053,PacCod,0))&amp;"",""))</f>
        <v>0</v>
      </c>
      <c r="L2053" s="26">
        <f>IF($A2053="","",CHOOSE(WEEKDAY($A2053,2),"Seg","Ter","Qua","Qui","Sex","Sáb","Dom"))</f>
        <v>0</v>
      </c>
      <c r="M2053" s="27">
        <f>IF($E2053="","",IF($G2053&lt;&gt;"",$G2053,IFERROR(INDEX(ProcValor,MATCH($E2053,ProcNome,0)),0)))</f>
        <v>0</v>
      </c>
      <c r="N2053" s="27">
        <f>IF($M2053="","",IF($F2053="Compareceu",$M2053,0))</f>
        <v>0</v>
      </c>
      <c r="O2053" s="27">
        <f>IF($M2053="","",IF($F2053="Faltou",$M2053,0))</f>
        <v>0</v>
      </c>
      <c r="P2053" s="27">
        <f>IF($M2053="","",IF($F2053="Compareceu",MAX(0,$M2053-N($H2053)),0))</f>
        <v>0</v>
      </c>
      <c r="Q2053" s="19">
        <f>IF(AND($F2053="Compareceu",$E2053&lt;&gt;"",$A2053&lt;&gt;""),IF(IFERROR(INDEX(ProcRet,MATCH($E2053,ProcNome,0)),0)&gt;0,$A2053+INDEX(ProcRet,MATCH($E2053,ProcNome,0)),""),"")</f>
        <v>0</v>
      </c>
      <c r="R2053" s="26">
        <f>IF($Q2053="","",IF(COUNTIFS(AgPac,$D2053,AgData,"&gt;"&amp;$A2053,AgStatus,"&lt;&gt;Cancelado",AgStatus,"&lt;&gt;Remarcado")&gt;0,"Sim","Não"))</f>
        <v>0</v>
      </c>
      <c r="S2053" s="28">
        <f>IF($A2053="","",IF(AND($F2053="Agendado",$A2053-Hoje&gt;=0,$A2053-Hoje&lt;=DiasConf),"CONFIRMAR",IF(AND($A2053&lt;Hoje,OR($F2053="Agendado",$F2053="Confirmado")),"Atualizar status",IF(AND($F2053="Compareceu",$P2053&gt;0.005),"Cobrar",IF($F2053="Faltou","Falta: reagendar","")))))</f>
        <v>0</v>
      </c>
      <c r="T2053" s="29">
        <f>IF($A2053="","",DATE(YEAR($A2053),MONTH($A2053),1))</f>
        <v>0</v>
      </c>
      <c r="U2053" s="30">
        <f>IF($S2053="CONFIRMAR",MAX($U$4:$U2052)+1,"")</f>
        <v>0</v>
      </c>
      <c r="V2053" s="30">
        <f>IF(AND($R2053="Não",$Q2053&lt;&gt;"",$Q2053&lt;=Hoje+JanelaRet,$Q2053&gt;=Hoje-60),MAX($V$4:$V2052)+1,"")</f>
        <v>0</v>
      </c>
    </row>
    <row r="2054" spans="1:22">
      <c r="A2054" s="16"/>
      <c r="B2054" s="23"/>
      <c r="C2054" s="15"/>
      <c r="D2054" s="15"/>
      <c r="E2054" s="15"/>
      <c r="F2054" s="24"/>
      <c r="G2054" s="17"/>
      <c r="H2054" s="17"/>
      <c r="I2054" s="15"/>
      <c r="J2054" s="25">
        <f>IF($D2054="","",IFERROR(INDEX(PacNome,MATCH($D2054,PacCod,0)),"Paciente não cadastrado"))</f>
        <v>0</v>
      </c>
      <c r="K2054" s="26">
        <f>IF($D2054="","",IFERROR(INDEX(PacConv,MATCH($D2054,PacCod,0))&amp;"",""))</f>
        <v>0</v>
      </c>
      <c r="L2054" s="26">
        <f>IF($A2054="","",CHOOSE(WEEKDAY($A2054,2),"Seg","Ter","Qua","Qui","Sex","Sáb","Dom"))</f>
        <v>0</v>
      </c>
      <c r="M2054" s="27">
        <f>IF($E2054="","",IF($G2054&lt;&gt;"",$G2054,IFERROR(INDEX(ProcValor,MATCH($E2054,ProcNome,0)),0)))</f>
        <v>0</v>
      </c>
      <c r="N2054" s="27">
        <f>IF($M2054="","",IF($F2054="Compareceu",$M2054,0))</f>
        <v>0</v>
      </c>
      <c r="O2054" s="27">
        <f>IF($M2054="","",IF($F2054="Faltou",$M2054,0))</f>
        <v>0</v>
      </c>
      <c r="P2054" s="27">
        <f>IF($M2054="","",IF($F2054="Compareceu",MAX(0,$M2054-N($H2054)),0))</f>
        <v>0</v>
      </c>
      <c r="Q2054" s="19">
        <f>IF(AND($F2054="Compareceu",$E2054&lt;&gt;"",$A2054&lt;&gt;""),IF(IFERROR(INDEX(ProcRet,MATCH($E2054,ProcNome,0)),0)&gt;0,$A2054+INDEX(ProcRet,MATCH($E2054,ProcNome,0)),""),"")</f>
        <v>0</v>
      </c>
      <c r="R2054" s="26">
        <f>IF($Q2054="","",IF(COUNTIFS(AgPac,$D2054,AgData,"&gt;"&amp;$A2054,AgStatus,"&lt;&gt;Cancelado",AgStatus,"&lt;&gt;Remarcado")&gt;0,"Sim","Não"))</f>
        <v>0</v>
      </c>
      <c r="S2054" s="28">
        <f>IF($A2054="","",IF(AND($F2054="Agendado",$A2054-Hoje&gt;=0,$A2054-Hoje&lt;=DiasConf),"CONFIRMAR",IF(AND($A2054&lt;Hoje,OR($F2054="Agendado",$F2054="Confirmado")),"Atualizar status",IF(AND($F2054="Compareceu",$P2054&gt;0.005),"Cobrar",IF($F2054="Faltou","Falta: reagendar","")))))</f>
        <v>0</v>
      </c>
      <c r="T2054" s="29">
        <f>IF($A2054="","",DATE(YEAR($A2054),MONTH($A2054),1))</f>
        <v>0</v>
      </c>
      <c r="U2054" s="30">
        <f>IF($S2054="CONFIRMAR",MAX($U$4:$U2053)+1,"")</f>
        <v>0</v>
      </c>
      <c r="V2054" s="30">
        <f>IF(AND($R2054="Não",$Q2054&lt;&gt;"",$Q2054&lt;=Hoje+JanelaRet,$Q2054&gt;=Hoje-60),MAX($V$4:$V2053)+1,"")</f>
        <v>0</v>
      </c>
    </row>
    <row r="2055" spans="1:22">
      <c r="A2055" s="16"/>
      <c r="B2055" s="23"/>
      <c r="C2055" s="15"/>
      <c r="D2055" s="15"/>
      <c r="E2055" s="15"/>
      <c r="F2055" s="24"/>
      <c r="G2055" s="17"/>
      <c r="H2055" s="17"/>
      <c r="I2055" s="15"/>
      <c r="J2055" s="25">
        <f>IF($D2055="","",IFERROR(INDEX(PacNome,MATCH($D2055,PacCod,0)),"Paciente não cadastrado"))</f>
        <v>0</v>
      </c>
      <c r="K2055" s="26">
        <f>IF($D2055="","",IFERROR(INDEX(PacConv,MATCH($D2055,PacCod,0))&amp;"",""))</f>
        <v>0</v>
      </c>
      <c r="L2055" s="26">
        <f>IF($A2055="","",CHOOSE(WEEKDAY($A2055,2),"Seg","Ter","Qua","Qui","Sex","Sáb","Dom"))</f>
        <v>0</v>
      </c>
      <c r="M2055" s="27">
        <f>IF($E2055="","",IF($G2055&lt;&gt;"",$G2055,IFERROR(INDEX(ProcValor,MATCH($E2055,ProcNome,0)),0)))</f>
        <v>0</v>
      </c>
      <c r="N2055" s="27">
        <f>IF($M2055="","",IF($F2055="Compareceu",$M2055,0))</f>
        <v>0</v>
      </c>
      <c r="O2055" s="27">
        <f>IF($M2055="","",IF($F2055="Faltou",$M2055,0))</f>
        <v>0</v>
      </c>
      <c r="P2055" s="27">
        <f>IF($M2055="","",IF($F2055="Compareceu",MAX(0,$M2055-N($H2055)),0))</f>
        <v>0</v>
      </c>
      <c r="Q2055" s="19">
        <f>IF(AND($F2055="Compareceu",$E2055&lt;&gt;"",$A2055&lt;&gt;""),IF(IFERROR(INDEX(ProcRet,MATCH($E2055,ProcNome,0)),0)&gt;0,$A2055+INDEX(ProcRet,MATCH($E2055,ProcNome,0)),""),"")</f>
        <v>0</v>
      </c>
      <c r="R2055" s="26">
        <f>IF($Q2055="","",IF(COUNTIFS(AgPac,$D2055,AgData,"&gt;"&amp;$A2055,AgStatus,"&lt;&gt;Cancelado",AgStatus,"&lt;&gt;Remarcado")&gt;0,"Sim","Não"))</f>
        <v>0</v>
      </c>
      <c r="S2055" s="28">
        <f>IF($A2055="","",IF(AND($F2055="Agendado",$A2055-Hoje&gt;=0,$A2055-Hoje&lt;=DiasConf),"CONFIRMAR",IF(AND($A2055&lt;Hoje,OR($F2055="Agendado",$F2055="Confirmado")),"Atualizar status",IF(AND($F2055="Compareceu",$P2055&gt;0.005),"Cobrar",IF($F2055="Faltou","Falta: reagendar","")))))</f>
        <v>0</v>
      </c>
      <c r="T2055" s="29">
        <f>IF($A2055="","",DATE(YEAR($A2055),MONTH($A2055),1))</f>
        <v>0</v>
      </c>
      <c r="U2055" s="30">
        <f>IF($S2055="CONFIRMAR",MAX($U$4:$U2054)+1,"")</f>
        <v>0</v>
      </c>
      <c r="V2055" s="30">
        <f>IF(AND($R2055="Não",$Q2055&lt;&gt;"",$Q2055&lt;=Hoje+JanelaRet,$Q2055&gt;=Hoje-60),MAX($V$4:$V2054)+1,"")</f>
        <v>0</v>
      </c>
    </row>
    <row r="2056" spans="1:22">
      <c r="A2056" s="16"/>
      <c r="B2056" s="23"/>
      <c r="C2056" s="15"/>
      <c r="D2056" s="15"/>
      <c r="E2056" s="15"/>
      <c r="F2056" s="24"/>
      <c r="G2056" s="17"/>
      <c r="H2056" s="17"/>
      <c r="I2056" s="15"/>
      <c r="J2056" s="25">
        <f>IF($D2056="","",IFERROR(INDEX(PacNome,MATCH($D2056,PacCod,0)),"Paciente não cadastrado"))</f>
        <v>0</v>
      </c>
      <c r="K2056" s="26">
        <f>IF($D2056="","",IFERROR(INDEX(PacConv,MATCH($D2056,PacCod,0))&amp;"",""))</f>
        <v>0</v>
      </c>
      <c r="L2056" s="26">
        <f>IF($A2056="","",CHOOSE(WEEKDAY($A2056,2),"Seg","Ter","Qua","Qui","Sex","Sáb","Dom"))</f>
        <v>0</v>
      </c>
      <c r="M2056" s="27">
        <f>IF($E2056="","",IF($G2056&lt;&gt;"",$G2056,IFERROR(INDEX(ProcValor,MATCH($E2056,ProcNome,0)),0)))</f>
        <v>0</v>
      </c>
      <c r="N2056" s="27">
        <f>IF($M2056="","",IF($F2056="Compareceu",$M2056,0))</f>
        <v>0</v>
      </c>
      <c r="O2056" s="27">
        <f>IF($M2056="","",IF($F2056="Faltou",$M2056,0))</f>
        <v>0</v>
      </c>
      <c r="P2056" s="27">
        <f>IF($M2056="","",IF($F2056="Compareceu",MAX(0,$M2056-N($H2056)),0))</f>
        <v>0</v>
      </c>
      <c r="Q2056" s="19">
        <f>IF(AND($F2056="Compareceu",$E2056&lt;&gt;"",$A2056&lt;&gt;""),IF(IFERROR(INDEX(ProcRet,MATCH($E2056,ProcNome,0)),0)&gt;0,$A2056+INDEX(ProcRet,MATCH($E2056,ProcNome,0)),""),"")</f>
        <v>0</v>
      </c>
      <c r="R2056" s="26">
        <f>IF($Q2056="","",IF(COUNTIFS(AgPac,$D2056,AgData,"&gt;"&amp;$A2056,AgStatus,"&lt;&gt;Cancelado",AgStatus,"&lt;&gt;Remarcado")&gt;0,"Sim","Não"))</f>
        <v>0</v>
      </c>
      <c r="S2056" s="28">
        <f>IF($A2056="","",IF(AND($F2056="Agendado",$A2056-Hoje&gt;=0,$A2056-Hoje&lt;=DiasConf),"CONFIRMAR",IF(AND($A2056&lt;Hoje,OR($F2056="Agendado",$F2056="Confirmado")),"Atualizar status",IF(AND($F2056="Compareceu",$P2056&gt;0.005),"Cobrar",IF($F2056="Faltou","Falta: reagendar","")))))</f>
        <v>0</v>
      </c>
      <c r="T2056" s="29">
        <f>IF($A2056="","",DATE(YEAR($A2056),MONTH($A2056),1))</f>
        <v>0</v>
      </c>
      <c r="U2056" s="30">
        <f>IF($S2056="CONFIRMAR",MAX($U$4:$U2055)+1,"")</f>
        <v>0</v>
      </c>
      <c r="V2056" s="30">
        <f>IF(AND($R2056="Não",$Q2056&lt;&gt;"",$Q2056&lt;=Hoje+JanelaRet,$Q2056&gt;=Hoje-60),MAX($V$4:$V2055)+1,"")</f>
        <v>0</v>
      </c>
    </row>
    <row r="2057" spans="1:22">
      <c r="A2057" s="16"/>
      <c r="B2057" s="23"/>
      <c r="C2057" s="15"/>
      <c r="D2057" s="15"/>
      <c r="E2057" s="15"/>
      <c r="F2057" s="24"/>
      <c r="G2057" s="17"/>
      <c r="H2057" s="17"/>
      <c r="I2057" s="15"/>
      <c r="J2057" s="25">
        <f>IF($D2057="","",IFERROR(INDEX(PacNome,MATCH($D2057,PacCod,0)),"Paciente não cadastrado"))</f>
        <v>0</v>
      </c>
      <c r="K2057" s="26">
        <f>IF($D2057="","",IFERROR(INDEX(PacConv,MATCH($D2057,PacCod,0))&amp;"",""))</f>
        <v>0</v>
      </c>
      <c r="L2057" s="26">
        <f>IF($A2057="","",CHOOSE(WEEKDAY($A2057,2),"Seg","Ter","Qua","Qui","Sex","Sáb","Dom"))</f>
        <v>0</v>
      </c>
      <c r="M2057" s="27">
        <f>IF($E2057="","",IF($G2057&lt;&gt;"",$G2057,IFERROR(INDEX(ProcValor,MATCH($E2057,ProcNome,0)),0)))</f>
        <v>0</v>
      </c>
      <c r="N2057" s="27">
        <f>IF($M2057="","",IF($F2057="Compareceu",$M2057,0))</f>
        <v>0</v>
      </c>
      <c r="O2057" s="27">
        <f>IF($M2057="","",IF($F2057="Faltou",$M2057,0))</f>
        <v>0</v>
      </c>
      <c r="P2057" s="27">
        <f>IF($M2057="","",IF($F2057="Compareceu",MAX(0,$M2057-N($H2057)),0))</f>
        <v>0</v>
      </c>
      <c r="Q2057" s="19">
        <f>IF(AND($F2057="Compareceu",$E2057&lt;&gt;"",$A2057&lt;&gt;""),IF(IFERROR(INDEX(ProcRet,MATCH($E2057,ProcNome,0)),0)&gt;0,$A2057+INDEX(ProcRet,MATCH($E2057,ProcNome,0)),""),"")</f>
        <v>0</v>
      </c>
      <c r="R2057" s="26">
        <f>IF($Q2057="","",IF(COUNTIFS(AgPac,$D2057,AgData,"&gt;"&amp;$A2057,AgStatus,"&lt;&gt;Cancelado",AgStatus,"&lt;&gt;Remarcado")&gt;0,"Sim","Não"))</f>
        <v>0</v>
      </c>
      <c r="S2057" s="28">
        <f>IF($A2057="","",IF(AND($F2057="Agendado",$A2057-Hoje&gt;=0,$A2057-Hoje&lt;=DiasConf),"CONFIRMAR",IF(AND($A2057&lt;Hoje,OR($F2057="Agendado",$F2057="Confirmado")),"Atualizar status",IF(AND($F2057="Compareceu",$P2057&gt;0.005),"Cobrar",IF($F2057="Faltou","Falta: reagendar","")))))</f>
        <v>0</v>
      </c>
      <c r="T2057" s="29">
        <f>IF($A2057="","",DATE(YEAR($A2057),MONTH($A2057),1))</f>
        <v>0</v>
      </c>
      <c r="U2057" s="30">
        <f>IF($S2057="CONFIRMAR",MAX($U$4:$U2056)+1,"")</f>
        <v>0</v>
      </c>
      <c r="V2057" s="30">
        <f>IF(AND($R2057="Não",$Q2057&lt;&gt;"",$Q2057&lt;=Hoje+JanelaRet,$Q2057&gt;=Hoje-60),MAX($V$4:$V2056)+1,"")</f>
        <v>0</v>
      </c>
    </row>
    <row r="2058" spans="1:22">
      <c r="A2058" s="16"/>
      <c r="B2058" s="23"/>
      <c r="C2058" s="15"/>
      <c r="D2058" s="15"/>
      <c r="E2058" s="15"/>
      <c r="F2058" s="24"/>
      <c r="G2058" s="17"/>
      <c r="H2058" s="17"/>
      <c r="I2058" s="15"/>
      <c r="J2058" s="25">
        <f>IF($D2058="","",IFERROR(INDEX(PacNome,MATCH($D2058,PacCod,0)),"Paciente não cadastrado"))</f>
        <v>0</v>
      </c>
      <c r="K2058" s="26">
        <f>IF($D2058="","",IFERROR(INDEX(PacConv,MATCH($D2058,PacCod,0))&amp;"",""))</f>
        <v>0</v>
      </c>
      <c r="L2058" s="26">
        <f>IF($A2058="","",CHOOSE(WEEKDAY($A2058,2),"Seg","Ter","Qua","Qui","Sex","Sáb","Dom"))</f>
        <v>0</v>
      </c>
      <c r="M2058" s="27">
        <f>IF($E2058="","",IF($G2058&lt;&gt;"",$G2058,IFERROR(INDEX(ProcValor,MATCH($E2058,ProcNome,0)),0)))</f>
        <v>0</v>
      </c>
      <c r="N2058" s="27">
        <f>IF($M2058="","",IF($F2058="Compareceu",$M2058,0))</f>
        <v>0</v>
      </c>
      <c r="O2058" s="27">
        <f>IF($M2058="","",IF($F2058="Faltou",$M2058,0))</f>
        <v>0</v>
      </c>
      <c r="P2058" s="27">
        <f>IF($M2058="","",IF($F2058="Compareceu",MAX(0,$M2058-N($H2058)),0))</f>
        <v>0</v>
      </c>
      <c r="Q2058" s="19">
        <f>IF(AND($F2058="Compareceu",$E2058&lt;&gt;"",$A2058&lt;&gt;""),IF(IFERROR(INDEX(ProcRet,MATCH($E2058,ProcNome,0)),0)&gt;0,$A2058+INDEX(ProcRet,MATCH($E2058,ProcNome,0)),""),"")</f>
        <v>0</v>
      </c>
      <c r="R2058" s="26">
        <f>IF($Q2058="","",IF(COUNTIFS(AgPac,$D2058,AgData,"&gt;"&amp;$A2058,AgStatus,"&lt;&gt;Cancelado",AgStatus,"&lt;&gt;Remarcado")&gt;0,"Sim","Não"))</f>
        <v>0</v>
      </c>
      <c r="S2058" s="28">
        <f>IF($A2058="","",IF(AND($F2058="Agendado",$A2058-Hoje&gt;=0,$A2058-Hoje&lt;=DiasConf),"CONFIRMAR",IF(AND($A2058&lt;Hoje,OR($F2058="Agendado",$F2058="Confirmado")),"Atualizar status",IF(AND($F2058="Compareceu",$P2058&gt;0.005),"Cobrar",IF($F2058="Faltou","Falta: reagendar","")))))</f>
        <v>0</v>
      </c>
      <c r="T2058" s="29">
        <f>IF($A2058="","",DATE(YEAR($A2058),MONTH($A2058),1))</f>
        <v>0</v>
      </c>
      <c r="U2058" s="30">
        <f>IF($S2058="CONFIRMAR",MAX($U$4:$U2057)+1,"")</f>
        <v>0</v>
      </c>
      <c r="V2058" s="30">
        <f>IF(AND($R2058="Não",$Q2058&lt;&gt;"",$Q2058&lt;=Hoje+JanelaRet,$Q2058&gt;=Hoje-60),MAX($V$4:$V2057)+1,"")</f>
        <v>0</v>
      </c>
    </row>
    <row r="2059" spans="1:22">
      <c r="A2059" s="16"/>
      <c r="B2059" s="23"/>
      <c r="C2059" s="15"/>
      <c r="D2059" s="15"/>
      <c r="E2059" s="15"/>
      <c r="F2059" s="24"/>
      <c r="G2059" s="17"/>
      <c r="H2059" s="17"/>
      <c r="I2059" s="15"/>
      <c r="J2059" s="25">
        <f>IF($D2059="","",IFERROR(INDEX(PacNome,MATCH($D2059,PacCod,0)),"Paciente não cadastrado"))</f>
        <v>0</v>
      </c>
      <c r="K2059" s="26">
        <f>IF($D2059="","",IFERROR(INDEX(PacConv,MATCH($D2059,PacCod,0))&amp;"",""))</f>
        <v>0</v>
      </c>
      <c r="L2059" s="26">
        <f>IF($A2059="","",CHOOSE(WEEKDAY($A2059,2),"Seg","Ter","Qua","Qui","Sex","Sáb","Dom"))</f>
        <v>0</v>
      </c>
      <c r="M2059" s="27">
        <f>IF($E2059="","",IF($G2059&lt;&gt;"",$G2059,IFERROR(INDEX(ProcValor,MATCH($E2059,ProcNome,0)),0)))</f>
        <v>0</v>
      </c>
      <c r="N2059" s="27">
        <f>IF($M2059="","",IF($F2059="Compareceu",$M2059,0))</f>
        <v>0</v>
      </c>
      <c r="O2059" s="27">
        <f>IF($M2059="","",IF($F2059="Faltou",$M2059,0))</f>
        <v>0</v>
      </c>
      <c r="P2059" s="27">
        <f>IF($M2059="","",IF($F2059="Compareceu",MAX(0,$M2059-N($H2059)),0))</f>
        <v>0</v>
      </c>
      <c r="Q2059" s="19">
        <f>IF(AND($F2059="Compareceu",$E2059&lt;&gt;"",$A2059&lt;&gt;""),IF(IFERROR(INDEX(ProcRet,MATCH($E2059,ProcNome,0)),0)&gt;0,$A2059+INDEX(ProcRet,MATCH($E2059,ProcNome,0)),""),"")</f>
        <v>0</v>
      </c>
      <c r="R2059" s="26">
        <f>IF($Q2059="","",IF(COUNTIFS(AgPac,$D2059,AgData,"&gt;"&amp;$A2059,AgStatus,"&lt;&gt;Cancelado",AgStatus,"&lt;&gt;Remarcado")&gt;0,"Sim","Não"))</f>
        <v>0</v>
      </c>
      <c r="S2059" s="28">
        <f>IF($A2059="","",IF(AND($F2059="Agendado",$A2059-Hoje&gt;=0,$A2059-Hoje&lt;=DiasConf),"CONFIRMAR",IF(AND($A2059&lt;Hoje,OR($F2059="Agendado",$F2059="Confirmado")),"Atualizar status",IF(AND($F2059="Compareceu",$P2059&gt;0.005),"Cobrar",IF($F2059="Faltou","Falta: reagendar","")))))</f>
        <v>0</v>
      </c>
      <c r="T2059" s="29">
        <f>IF($A2059="","",DATE(YEAR($A2059),MONTH($A2059),1))</f>
        <v>0</v>
      </c>
      <c r="U2059" s="30">
        <f>IF($S2059="CONFIRMAR",MAX($U$4:$U2058)+1,"")</f>
        <v>0</v>
      </c>
      <c r="V2059" s="30">
        <f>IF(AND($R2059="Não",$Q2059&lt;&gt;"",$Q2059&lt;=Hoje+JanelaRet,$Q2059&gt;=Hoje-60),MAX($V$4:$V2058)+1,"")</f>
        <v>0</v>
      </c>
    </row>
    <row r="2060" spans="1:22">
      <c r="A2060" s="16"/>
      <c r="B2060" s="23"/>
      <c r="C2060" s="15"/>
      <c r="D2060" s="15"/>
      <c r="E2060" s="15"/>
      <c r="F2060" s="24"/>
      <c r="G2060" s="17"/>
      <c r="H2060" s="17"/>
      <c r="I2060" s="15"/>
      <c r="J2060" s="25">
        <f>IF($D2060="","",IFERROR(INDEX(PacNome,MATCH($D2060,PacCod,0)),"Paciente não cadastrado"))</f>
        <v>0</v>
      </c>
      <c r="K2060" s="26">
        <f>IF($D2060="","",IFERROR(INDEX(PacConv,MATCH($D2060,PacCod,0))&amp;"",""))</f>
        <v>0</v>
      </c>
      <c r="L2060" s="26">
        <f>IF($A2060="","",CHOOSE(WEEKDAY($A2060,2),"Seg","Ter","Qua","Qui","Sex","Sáb","Dom"))</f>
        <v>0</v>
      </c>
      <c r="M2060" s="27">
        <f>IF($E2060="","",IF($G2060&lt;&gt;"",$G2060,IFERROR(INDEX(ProcValor,MATCH($E2060,ProcNome,0)),0)))</f>
        <v>0</v>
      </c>
      <c r="N2060" s="27">
        <f>IF($M2060="","",IF($F2060="Compareceu",$M2060,0))</f>
        <v>0</v>
      </c>
      <c r="O2060" s="27">
        <f>IF($M2060="","",IF($F2060="Faltou",$M2060,0))</f>
        <v>0</v>
      </c>
      <c r="P2060" s="27">
        <f>IF($M2060="","",IF($F2060="Compareceu",MAX(0,$M2060-N($H2060)),0))</f>
        <v>0</v>
      </c>
      <c r="Q2060" s="19">
        <f>IF(AND($F2060="Compareceu",$E2060&lt;&gt;"",$A2060&lt;&gt;""),IF(IFERROR(INDEX(ProcRet,MATCH($E2060,ProcNome,0)),0)&gt;0,$A2060+INDEX(ProcRet,MATCH($E2060,ProcNome,0)),""),"")</f>
        <v>0</v>
      </c>
      <c r="R2060" s="26">
        <f>IF($Q2060="","",IF(COUNTIFS(AgPac,$D2060,AgData,"&gt;"&amp;$A2060,AgStatus,"&lt;&gt;Cancelado",AgStatus,"&lt;&gt;Remarcado")&gt;0,"Sim","Não"))</f>
        <v>0</v>
      </c>
      <c r="S2060" s="28">
        <f>IF($A2060="","",IF(AND($F2060="Agendado",$A2060-Hoje&gt;=0,$A2060-Hoje&lt;=DiasConf),"CONFIRMAR",IF(AND($A2060&lt;Hoje,OR($F2060="Agendado",$F2060="Confirmado")),"Atualizar status",IF(AND($F2060="Compareceu",$P2060&gt;0.005),"Cobrar",IF($F2060="Faltou","Falta: reagendar","")))))</f>
        <v>0</v>
      </c>
      <c r="T2060" s="29">
        <f>IF($A2060="","",DATE(YEAR($A2060),MONTH($A2060),1))</f>
        <v>0</v>
      </c>
      <c r="U2060" s="30">
        <f>IF($S2060="CONFIRMAR",MAX($U$4:$U2059)+1,"")</f>
        <v>0</v>
      </c>
      <c r="V2060" s="30">
        <f>IF(AND($R2060="Não",$Q2060&lt;&gt;"",$Q2060&lt;=Hoje+JanelaRet,$Q2060&gt;=Hoje-60),MAX($V$4:$V2059)+1,"")</f>
        <v>0</v>
      </c>
    </row>
    <row r="2061" spans="1:22">
      <c r="A2061" s="16"/>
      <c r="B2061" s="23"/>
      <c r="C2061" s="15"/>
      <c r="D2061" s="15"/>
      <c r="E2061" s="15"/>
      <c r="F2061" s="24"/>
      <c r="G2061" s="17"/>
      <c r="H2061" s="17"/>
      <c r="I2061" s="15"/>
      <c r="J2061" s="25">
        <f>IF($D2061="","",IFERROR(INDEX(PacNome,MATCH($D2061,PacCod,0)),"Paciente não cadastrado"))</f>
        <v>0</v>
      </c>
      <c r="K2061" s="26">
        <f>IF($D2061="","",IFERROR(INDEX(PacConv,MATCH($D2061,PacCod,0))&amp;"",""))</f>
        <v>0</v>
      </c>
      <c r="L2061" s="26">
        <f>IF($A2061="","",CHOOSE(WEEKDAY($A2061,2),"Seg","Ter","Qua","Qui","Sex","Sáb","Dom"))</f>
        <v>0</v>
      </c>
      <c r="M2061" s="27">
        <f>IF($E2061="","",IF($G2061&lt;&gt;"",$G2061,IFERROR(INDEX(ProcValor,MATCH($E2061,ProcNome,0)),0)))</f>
        <v>0</v>
      </c>
      <c r="N2061" s="27">
        <f>IF($M2061="","",IF($F2061="Compareceu",$M2061,0))</f>
        <v>0</v>
      </c>
      <c r="O2061" s="27">
        <f>IF($M2061="","",IF($F2061="Faltou",$M2061,0))</f>
        <v>0</v>
      </c>
      <c r="P2061" s="27">
        <f>IF($M2061="","",IF($F2061="Compareceu",MAX(0,$M2061-N($H2061)),0))</f>
        <v>0</v>
      </c>
      <c r="Q2061" s="19">
        <f>IF(AND($F2061="Compareceu",$E2061&lt;&gt;"",$A2061&lt;&gt;""),IF(IFERROR(INDEX(ProcRet,MATCH($E2061,ProcNome,0)),0)&gt;0,$A2061+INDEX(ProcRet,MATCH($E2061,ProcNome,0)),""),"")</f>
        <v>0</v>
      </c>
      <c r="R2061" s="26">
        <f>IF($Q2061="","",IF(COUNTIFS(AgPac,$D2061,AgData,"&gt;"&amp;$A2061,AgStatus,"&lt;&gt;Cancelado",AgStatus,"&lt;&gt;Remarcado")&gt;0,"Sim","Não"))</f>
        <v>0</v>
      </c>
      <c r="S2061" s="28">
        <f>IF($A2061="","",IF(AND($F2061="Agendado",$A2061-Hoje&gt;=0,$A2061-Hoje&lt;=DiasConf),"CONFIRMAR",IF(AND($A2061&lt;Hoje,OR($F2061="Agendado",$F2061="Confirmado")),"Atualizar status",IF(AND($F2061="Compareceu",$P2061&gt;0.005),"Cobrar",IF($F2061="Faltou","Falta: reagendar","")))))</f>
        <v>0</v>
      </c>
      <c r="T2061" s="29">
        <f>IF($A2061="","",DATE(YEAR($A2061),MONTH($A2061),1))</f>
        <v>0</v>
      </c>
      <c r="U2061" s="30">
        <f>IF($S2061="CONFIRMAR",MAX($U$4:$U2060)+1,"")</f>
        <v>0</v>
      </c>
      <c r="V2061" s="30">
        <f>IF(AND($R2061="Não",$Q2061&lt;&gt;"",$Q2061&lt;=Hoje+JanelaRet,$Q2061&gt;=Hoje-60),MAX($V$4:$V2060)+1,"")</f>
        <v>0</v>
      </c>
    </row>
    <row r="2062" spans="1:22">
      <c r="A2062" s="16"/>
      <c r="B2062" s="23"/>
      <c r="C2062" s="15"/>
      <c r="D2062" s="15"/>
      <c r="E2062" s="15"/>
      <c r="F2062" s="24"/>
      <c r="G2062" s="17"/>
      <c r="H2062" s="17"/>
      <c r="I2062" s="15"/>
      <c r="J2062" s="25">
        <f>IF($D2062="","",IFERROR(INDEX(PacNome,MATCH($D2062,PacCod,0)),"Paciente não cadastrado"))</f>
        <v>0</v>
      </c>
      <c r="K2062" s="26">
        <f>IF($D2062="","",IFERROR(INDEX(PacConv,MATCH($D2062,PacCod,0))&amp;"",""))</f>
        <v>0</v>
      </c>
      <c r="L2062" s="26">
        <f>IF($A2062="","",CHOOSE(WEEKDAY($A2062,2),"Seg","Ter","Qua","Qui","Sex","Sáb","Dom"))</f>
        <v>0</v>
      </c>
      <c r="M2062" s="27">
        <f>IF($E2062="","",IF($G2062&lt;&gt;"",$G2062,IFERROR(INDEX(ProcValor,MATCH($E2062,ProcNome,0)),0)))</f>
        <v>0</v>
      </c>
      <c r="N2062" s="27">
        <f>IF($M2062="","",IF($F2062="Compareceu",$M2062,0))</f>
        <v>0</v>
      </c>
      <c r="O2062" s="27">
        <f>IF($M2062="","",IF($F2062="Faltou",$M2062,0))</f>
        <v>0</v>
      </c>
      <c r="P2062" s="27">
        <f>IF($M2062="","",IF($F2062="Compareceu",MAX(0,$M2062-N($H2062)),0))</f>
        <v>0</v>
      </c>
      <c r="Q2062" s="19">
        <f>IF(AND($F2062="Compareceu",$E2062&lt;&gt;"",$A2062&lt;&gt;""),IF(IFERROR(INDEX(ProcRet,MATCH($E2062,ProcNome,0)),0)&gt;0,$A2062+INDEX(ProcRet,MATCH($E2062,ProcNome,0)),""),"")</f>
        <v>0</v>
      </c>
      <c r="R2062" s="26">
        <f>IF($Q2062="","",IF(COUNTIFS(AgPac,$D2062,AgData,"&gt;"&amp;$A2062,AgStatus,"&lt;&gt;Cancelado",AgStatus,"&lt;&gt;Remarcado")&gt;0,"Sim","Não"))</f>
        <v>0</v>
      </c>
      <c r="S2062" s="28">
        <f>IF($A2062="","",IF(AND($F2062="Agendado",$A2062-Hoje&gt;=0,$A2062-Hoje&lt;=DiasConf),"CONFIRMAR",IF(AND($A2062&lt;Hoje,OR($F2062="Agendado",$F2062="Confirmado")),"Atualizar status",IF(AND($F2062="Compareceu",$P2062&gt;0.005),"Cobrar",IF($F2062="Faltou","Falta: reagendar","")))))</f>
        <v>0</v>
      </c>
      <c r="T2062" s="29">
        <f>IF($A2062="","",DATE(YEAR($A2062),MONTH($A2062),1))</f>
        <v>0</v>
      </c>
      <c r="U2062" s="30">
        <f>IF($S2062="CONFIRMAR",MAX($U$4:$U2061)+1,"")</f>
        <v>0</v>
      </c>
      <c r="V2062" s="30">
        <f>IF(AND($R2062="Não",$Q2062&lt;&gt;"",$Q2062&lt;=Hoje+JanelaRet,$Q2062&gt;=Hoje-60),MAX($V$4:$V2061)+1,"")</f>
        <v>0</v>
      </c>
    </row>
    <row r="2063" spans="1:22">
      <c r="A2063" s="16"/>
      <c r="B2063" s="23"/>
      <c r="C2063" s="15"/>
      <c r="D2063" s="15"/>
      <c r="E2063" s="15"/>
      <c r="F2063" s="24"/>
      <c r="G2063" s="17"/>
      <c r="H2063" s="17"/>
      <c r="I2063" s="15"/>
      <c r="J2063" s="25">
        <f>IF($D2063="","",IFERROR(INDEX(PacNome,MATCH($D2063,PacCod,0)),"Paciente não cadastrado"))</f>
        <v>0</v>
      </c>
      <c r="K2063" s="26">
        <f>IF($D2063="","",IFERROR(INDEX(PacConv,MATCH($D2063,PacCod,0))&amp;"",""))</f>
        <v>0</v>
      </c>
      <c r="L2063" s="26">
        <f>IF($A2063="","",CHOOSE(WEEKDAY($A2063,2),"Seg","Ter","Qua","Qui","Sex","Sáb","Dom"))</f>
        <v>0</v>
      </c>
      <c r="M2063" s="27">
        <f>IF($E2063="","",IF($G2063&lt;&gt;"",$G2063,IFERROR(INDEX(ProcValor,MATCH($E2063,ProcNome,0)),0)))</f>
        <v>0</v>
      </c>
      <c r="N2063" s="27">
        <f>IF($M2063="","",IF($F2063="Compareceu",$M2063,0))</f>
        <v>0</v>
      </c>
      <c r="O2063" s="27">
        <f>IF($M2063="","",IF($F2063="Faltou",$M2063,0))</f>
        <v>0</v>
      </c>
      <c r="P2063" s="27">
        <f>IF($M2063="","",IF($F2063="Compareceu",MAX(0,$M2063-N($H2063)),0))</f>
        <v>0</v>
      </c>
      <c r="Q2063" s="19">
        <f>IF(AND($F2063="Compareceu",$E2063&lt;&gt;"",$A2063&lt;&gt;""),IF(IFERROR(INDEX(ProcRet,MATCH($E2063,ProcNome,0)),0)&gt;0,$A2063+INDEX(ProcRet,MATCH($E2063,ProcNome,0)),""),"")</f>
        <v>0</v>
      </c>
      <c r="R2063" s="26">
        <f>IF($Q2063="","",IF(COUNTIFS(AgPac,$D2063,AgData,"&gt;"&amp;$A2063,AgStatus,"&lt;&gt;Cancelado",AgStatus,"&lt;&gt;Remarcado")&gt;0,"Sim","Não"))</f>
        <v>0</v>
      </c>
      <c r="S2063" s="28">
        <f>IF($A2063="","",IF(AND($F2063="Agendado",$A2063-Hoje&gt;=0,$A2063-Hoje&lt;=DiasConf),"CONFIRMAR",IF(AND($A2063&lt;Hoje,OR($F2063="Agendado",$F2063="Confirmado")),"Atualizar status",IF(AND($F2063="Compareceu",$P2063&gt;0.005),"Cobrar",IF($F2063="Faltou","Falta: reagendar","")))))</f>
        <v>0</v>
      </c>
      <c r="T2063" s="29">
        <f>IF($A2063="","",DATE(YEAR($A2063),MONTH($A2063),1))</f>
        <v>0</v>
      </c>
      <c r="U2063" s="30">
        <f>IF($S2063="CONFIRMAR",MAX($U$4:$U2062)+1,"")</f>
        <v>0</v>
      </c>
      <c r="V2063" s="30">
        <f>IF(AND($R2063="Não",$Q2063&lt;&gt;"",$Q2063&lt;=Hoje+JanelaRet,$Q2063&gt;=Hoje-60),MAX($V$4:$V2062)+1,"")</f>
        <v>0</v>
      </c>
    </row>
    <row r="2064" spans="1:22">
      <c r="A2064" s="16"/>
      <c r="B2064" s="23"/>
      <c r="C2064" s="15"/>
      <c r="D2064" s="15"/>
      <c r="E2064" s="15"/>
      <c r="F2064" s="24"/>
      <c r="G2064" s="17"/>
      <c r="H2064" s="17"/>
      <c r="I2064" s="15"/>
      <c r="J2064" s="25">
        <f>IF($D2064="","",IFERROR(INDEX(PacNome,MATCH($D2064,PacCod,0)),"Paciente não cadastrado"))</f>
        <v>0</v>
      </c>
      <c r="K2064" s="26">
        <f>IF($D2064="","",IFERROR(INDEX(PacConv,MATCH($D2064,PacCod,0))&amp;"",""))</f>
        <v>0</v>
      </c>
      <c r="L2064" s="26">
        <f>IF($A2064="","",CHOOSE(WEEKDAY($A2064,2),"Seg","Ter","Qua","Qui","Sex","Sáb","Dom"))</f>
        <v>0</v>
      </c>
      <c r="M2064" s="27">
        <f>IF($E2064="","",IF($G2064&lt;&gt;"",$G2064,IFERROR(INDEX(ProcValor,MATCH($E2064,ProcNome,0)),0)))</f>
        <v>0</v>
      </c>
      <c r="N2064" s="27">
        <f>IF($M2064="","",IF($F2064="Compareceu",$M2064,0))</f>
        <v>0</v>
      </c>
      <c r="O2064" s="27">
        <f>IF($M2064="","",IF($F2064="Faltou",$M2064,0))</f>
        <v>0</v>
      </c>
      <c r="P2064" s="27">
        <f>IF($M2064="","",IF($F2064="Compareceu",MAX(0,$M2064-N($H2064)),0))</f>
        <v>0</v>
      </c>
      <c r="Q2064" s="19">
        <f>IF(AND($F2064="Compareceu",$E2064&lt;&gt;"",$A2064&lt;&gt;""),IF(IFERROR(INDEX(ProcRet,MATCH($E2064,ProcNome,0)),0)&gt;0,$A2064+INDEX(ProcRet,MATCH($E2064,ProcNome,0)),""),"")</f>
        <v>0</v>
      </c>
      <c r="R2064" s="26">
        <f>IF($Q2064="","",IF(COUNTIFS(AgPac,$D2064,AgData,"&gt;"&amp;$A2064,AgStatus,"&lt;&gt;Cancelado",AgStatus,"&lt;&gt;Remarcado")&gt;0,"Sim","Não"))</f>
        <v>0</v>
      </c>
      <c r="S2064" s="28">
        <f>IF($A2064="","",IF(AND($F2064="Agendado",$A2064-Hoje&gt;=0,$A2064-Hoje&lt;=DiasConf),"CONFIRMAR",IF(AND($A2064&lt;Hoje,OR($F2064="Agendado",$F2064="Confirmado")),"Atualizar status",IF(AND($F2064="Compareceu",$P2064&gt;0.005),"Cobrar",IF($F2064="Faltou","Falta: reagendar","")))))</f>
        <v>0</v>
      </c>
      <c r="T2064" s="29">
        <f>IF($A2064="","",DATE(YEAR($A2064),MONTH($A2064),1))</f>
        <v>0</v>
      </c>
      <c r="U2064" s="30">
        <f>IF($S2064="CONFIRMAR",MAX($U$4:$U2063)+1,"")</f>
        <v>0</v>
      </c>
      <c r="V2064" s="30">
        <f>IF(AND($R2064="Não",$Q2064&lt;&gt;"",$Q2064&lt;=Hoje+JanelaRet,$Q2064&gt;=Hoje-60),MAX($V$4:$V2063)+1,"")</f>
        <v>0</v>
      </c>
    </row>
    <row r="2065" spans="1:22">
      <c r="A2065" s="16"/>
      <c r="B2065" s="23"/>
      <c r="C2065" s="15"/>
      <c r="D2065" s="15"/>
      <c r="E2065" s="15"/>
      <c r="F2065" s="24"/>
      <c r="G2065" s="17"/>
      <c r="H2065" s="17"/>
      <c r="I2065" s="15"/>
      <c r="J2065" s="25">
        <f>IF($D2065="","",IFERROR(INDEX(PacNome,MATCH($D2065,PacCod,0)),"Paciente não cadastrado"))</f>
        <v>0</v>
      </c>
      <c r="K2065" s="26">
        <f>IF($D2065="","",IFERROR(INDEX(PacConv,MATCH($D2065,PacCod,0))&amp;"",""))</f>
        <v>0</v>
      </c>
      <c r="L2065" s="26">
        <f>IF($A2065="","",CHOOSE(WEEKDAY($A2065,2),"Seg","Ter","Qua","Qui","Sex","Sáb","Dom"))</f>
        <v>0</v>
      </c>
      <c r="M2065" s="27">
        <f>IF($E2065="","",IF($G2065&lt;&gt;"",$G2065,IFERROR(INDEX(ProcValor,MATCH($E2065,ProcNome,0)),0)))</f>
        <v>0</v>
      </c>
      <c r="N2065" s="27">
        <f>IF($M2065="","",IF($F2065="Compareceu",$M2065,0))</f>
        <v>0</v>
      </c>
      <c r="O2065" s="27">
        <f>IF($M2065="","",IF($F2065="Faltou",$M2065,0))</f>
        <v>0</v>
      </c>
      <c r="P2065" s="27">
        <f>IF($M2065="","",IF($F2065="Compareceu",MAX(0,$M2065-N($H2065)),0))</f>
        <v>0</v>
      </c>
      <c r="Q2065" s="19">
        <f>IF(AND($F2065="Compareceu",$E2065&lt;&gt;"",$A2065&lt;&gt;""),IF(IFERROR(INDEX(ProcRet,MATCH($E2065,ProcNome,0)),0)&gt;0,$A2065+INDEX(ProcRet,MATCH($E2065,ProcNome,0)),""),"")</f>
        <v>0</v>
      </c>
      <c r="R2065" s="26">
        <f>IF($Q2065="","",IF(COUNTIFS(AgPac,$D2065,AgData,"&gt;"&amp;$A2065,AgStatus,"&lt;&gt;Cancelado",AgStatus,"&lt;&gt;Remarcado")&gt;0,"Sim","Não"))</f>
        <v>0</v>
      </c>
      <c r="S2065" s="28">
        <f>IF($A2065="","",IF(AND($F2065="Agendado",$A2065-Hoje&gt;=0,$A2065-Hoje&lt;=DiasConf),"CONFIRMAR",IF(AND($A2065&lt;Hoje,OR($F2065="Agendado",$F2065="Confirmado")),"Atualizar status",IF(AND($F2065="Compareceu",$P2065&gt;0.005),"Cobrar",IF($F2065="Faltou","Falta: reagendar","")))))</f>
        <v>0</v>
      </c>
      <c r="T2065" s="29">
        <f>IF($A2065="","",DATE(YEAR($A2065),MONTH($A2065),1))</f>
        <v>0</v>
      </c>
      <c r="U2065" s="30">
        <f>IF($S2065="CONFIRMAR",MAX($U$4:$U2064)+1,"")</f>
        <v>0</v>
      </c>
      <c r="V2065" s="30">
        <f>IF(AND($R2065="Não",$Q2065&lt;&gt;"",$Q2065&lt;=Hoje+JanelaRet,$Q2065&gt;=Hoje-60),MAX($V$4:$V2064)+1,"")</f>
        <v>0</v>
      </c>
    </row>
    <row r="2066" spans="1:22">
      <c r="A2066" s="16"/>
      <c r="B2066" s="23"/>
      <c r="C2066" s="15"/>
      <c r="D2066" s="15"/>
      <c r="E2066" s="15"/>
      <c r="F2066" s="24"/>
      <c r="G2066" s="17"/>
      <c r="H2066" s="17"/>
      <c r="I2066" s="15"/>
      <c r="J2066" s="25">
        <f>IF($D2066="","",IFERROR(INDEX(PacNome,MATCH($D2066,PacCod,0)),"Paciente não cadastrado"))</f>
        <v>0</v>
      </c>
      <c r="K2066" s="26">
        <f>IF($D2066="","",IFERROR(INDEX(PacConv,MATCH($D2066,PacCod,0))&amp;"",""))</f>
        <v>0</v>
      </c>
      <c r="L2066" s="26">
        <f>IF($A2066="","",CHOOSE(WEEKDAY($A2066,2),"Seg","Ter","Qua","Qui","Sex","Sáb","Dom"))</f>
        <v>0</v>
      </c>
      <c r="M2066" s="27">
        <f>IF($E2066="","",IF($G2066&lt;&gt;"",$G2066,IFERROR(INDEX(ProcValor,MATCH($E2066,ProcNome,0)),0)))</f>
        <v>0</v>
      </c>
      <c r="N2066" s="27">
        <f>IF($M2066="","",IF($F2066="Compareceu",$M2066,0))</f>
        <v>0</v>
      </c>
      <c r="O2066" s="27">
        <f>IF($M2066="","",IF($F2066="Faltou",$M2066,0))</f>
        <v>0</v>
      </c>
      <c r="P2066" s="27">
        <f>IF($M2066="","",IF($F2066="Compareceu",MAX(0,$M2066-N($H2066)),0))</f>
        <v>0</v>
      </c>
      <c r="Q2066" s="19">
        <f>IF(AND($F2066="Compareceu",$E2066&lt;&gt;"",$A2066&lt;&gt;""),IF(IFERROR(INDEX(ProcRet,MATCH($E2066,ProcNome,0)),0)&gt;0,$A2066+INDEX(ProcRet,MATCH($E2066,ProcNome,0)),""),"")</f>
        <v>0</v>
      </c>
      <c r="R2066" s="26">
        <f>IF($Q2066="","",IF(COUNTIFS(AgPac,$D2066,AgData,"&gt;"&amp;$A2066,AgStatus,"&lt;&gt;Cancelado",AgStatus,"&lt;&gt;Remarcado")&gt;0,"Sim","Não"))</f>
        <v>0</v>
      </c>
      <c r="S2066" s="28">
        <f>IF($A2066="","",IF(AND($F2066="Agendado",$A2066-Hoje&gt;=0,$A2066-Hoje&lt;=DiasConf),"CONFIRMAR",IF(AND($A2066&lt;Hoje,OR($F2066="Agendado",$F2066="Confirmado")),"Atualizar status",IF(AND($F2066="Compareceu",$P2066&gt;0.005),"Cobrar",IF($F2066="Faltou","Falta: reagendar","")))))</f>
        <v>0</v>
      </c>
      <c r="T2066" s="29">
        <f>IF($A2066="","",DATE(YEAR($A2066),MONTH($A2066),1))</f>
        <v>0</v>
      </c>
      <c r="U2066" s="30">
        <f>IF($S2066="CONFIRMAR",MAX($U$4:$U2065)+1,"")</f>
        <v>0</v>
      </c>
      <c r="V2066" s="30">
        <f>IF(AND($R2066="Não",$Q2066&lt;&gt;"",$Q2066&lt;=Hoje+JanelaRet,$Q2066&gt;=Hoje-60),MAX($V$4:$V2065)+1,"")</f>
        <v>0</v>
      </c>
    </row>
    <row r="2067" spans="1:22">
      <c r="A2067" s="16"/>
      <c r="B2067" s="23"/>
      <c r="C2067" s="15"/>
      <c r="D2067" s="15"/>
      <c r="E2067" s="15"/>
      <c r="F2067" s="24"/>
      <c r="G2067" s="17"/>
      <c r="H2067" s="17"/>
      <c r="I2067" s="15"/>
      <c r="J2067" s="25">
        <f>IF($D2067="","",IFERROR(INDEX(PacNome,MATCH($D2067,PacCod,0)),"Paciente não cadastrado"))</f>
        <v>0</v>
      </c>
      <c r="K2067" s="26">
        <f>IF($D2067="","",IFERROR(INDEX(PacConv,MATCH($D2067,PacCod,0))&amp;"",""))</f>
        <v>0</v>
      </c>
      <c r="L2067" s="26">
        <f>IF($A2067="","",CHOOSE(WEEKDAY($A2067,2),"Seg","Ter","Qua","Qui","Sex","Sáb","Dom"))</f>
        <v>0</v>
      </c>
      <c r="M2067" s="27">
        <f>IF($E2067="","",IF($G2067&lt;&gt;"",$G2067,IFERROR(INDEX(ProcValor,MATCH($E2067,ProcNome,0)),0)))</f>
        <v>0</v>
      </c>
      <c r="N2067" s="27">
        <f>IF($M2067="","",IF($F2067="Compareceu",$M2067,0))</f>
        <v>0</v>
      </c>
      <c r="O2067" s="27">
        <f>IF($M2067="","",IF($F2067="Faltou",$M2067,0))</f>
        <v>0</v>
      </c>
      <c r="P2067" s="27">
        <f>IF($M2067="","",IF($F2067="Compareceu",MAX(0,$M2067-N($H2067)),0))</f>
        <v>0</v>
      </c>
      <c r="Q2067" s="19">
        <f>IF(AND($F2067="Compareceu",$E2067&lt;&gt;"",$A2067&lt;&gt;""),IF(IFERROR(INDEX(ProcRet,MATCH($E2067,ProcNome,0)),0)&gt;0,$A2067+INDEX(ProcRet,MATCH($E2067,ProcNome,0)),""),"")</f>
        <v>0</v>
      </c>
      <c r="R2067" s="26">
        <f>IF($Q2067="","",IF(COUNTIFS(AgPac,$D2067,AgData,"&gt;"&amp;$A2067,AgStatus,"&lt;&gt;Cancelado",AgStatus,"&lt;&gt;Remarcado")&gt;0,"Sim","Não"))</f>
        <v>0</v>
      </c>
      <c r="S2067" s="28">
        <f>IF($A2067="","",IF(AND($F2067="Agendado",$A2067-Hoje&gt;=0,$A2067-Hoje&lt;=DiasConf),"CONFIRMAR",IF(AND($A2067&lt;Hoje,OR($F2067="Agendado",$F2067="Confirmado")),"Atualizar status",IF(AND($F2067="Compareceu",$P2067&gt;0.005),"Cobrar",IF($F2067="Faltou","Falta: reagendar","")))))</f>
        <v>0</v>
      </c>
      <c r="T2067" s="29">
        <f>IF($A2067="","",DATE(YEAR($A2067),MONTH($A2067),1))</f>
        <v>0</v>
      </c>
      <c r="U2067" s="30">
        <f>IF($S2067="CONFIRMAR",MAX($U$4:$U2066)+1,"")</f>
        <v>0</v>
      </c>
      <c r="V2067" s="30">
        <f>IF(AND($R2067="Não",$Q2067&lt;&gt;"",$Q2067&lt;=Hoje+JanelaRet,$Q2067&gt;=Hoje-60),MAX($V$4:$V2066)+1,"")</f>
        <v>0</v>
      </c>
    </row>
    <row r="2068" spans="1:22">
      <c r="A2068" s="16"/>
      <c r="B2068" s="23"/>
      <c r="C2068" s="15"/>
      <c r="D2068" s="15"/>
      <c r="E2068" s="15"/>
      <c r="F2068" s="24"/>
      <c r="G2068" s="17"/>
      <c r="H2068" s="17"/>
      <c r="I2068" s="15"/>
      <c r="J2068" s="25">
        <f>IF($D2068="","",IFERROR(INDEX(PacNome,MATCH($D2068,PacCod,0)),"Paciente não cadastrado"))</f>
        <v>0</v>
      </c>
      <c r="K2068" s="26">
        <f>IF($D2068="","",IFERROR(INDEX(PacConv,MATCH($D2068,PacCod,0))&amp;"",""))</f>
        <v>0</v>
      </c>
      <c r="L2068" s="26">
        <f>IF($A2068="","",CHOOSE(WEEKDAY($A2068,2),"Seg","Ter","Qua","Qui","Sex","Sáb","Dom"))</f>
        <v>0</v>
      </c>
      <c r="M2068" s="27">
        <f>IF($E2068="","",IF($G2068&lt;&gt;"",$G2068,IFERROR(INDEX(ProcValor,MATCH($E2068,ProcNome,0)),0)))</f>
        <v>0</v>
      </c>
      <c r="N2068" s="27">
        <f>IF($M2068="","",IF($F2068="Compareceu",$M2068,0))</f>
        <v>0</v>
      </c>
      <c r="O2068" s="27">
        <f>IF($M2068="","",IF($F2068="Faltou",$M2068,0))</f>
        <v>0</v>
      </c>
      <c r="P2068" s="27">
        <f>IF($M2068="","",IF($F2068="Compareceu",MAX(0,$M2068-N($H2068)),0))</f>
        <v>0</v>
      </c>
      <c r="Q2068" s="19">
        <f>IF(AND($F2068="Compareceu",$E2068&lt;&gt;"",$A2068&lt;&gt;""),IF(IFERROR(INDEX(ProcRet,MATCH($E2068,ProcNome,0)),0)&gt;0,$A2068+INDEX(ProcRet,MATCH($E2068,ProcNome,0)),""),"")</f>
        <v>0</v>
      </c>
      <c r="R2068" s="26">
        <f>IF($Q2068="","",IF(COUNTIFS(AgPac,$D2068,AgData,"&gt;"&amp;$A2068,AgStatus,"&lt;&gt;Cancelado",AgStatus,"&lt;&gt;Remarcado")&gt;0,"Sim","Não"))</f>
        <v>0</v>
      </c>
      <c r="S2068" s="28">
        <f>IF($A2068="","",IF(AND($F2068="Agendado",$A2068-Hoje&gt;=0,$A2068-Hoje&lt;=DiasConf),"CONFIRMAR",IF(AND($A2068&lt;Hoje,OR($F2068="Agendado",$F2068="Confirmado")),"Atualizar status",IF(AND($F2068="Compareceu",$P2068&gt;0.005),"Cobrar",IF($F2068="Faltou","Falta: reagendar","")))))</f>
        <v>0</v>
      </c>
      <c r="T2068" s="29">
        <f>IF($A2068="","",DATE(YEAR($A2068),MONTH($A2068),1))</f>
        <v>0</v>
      </c>
      <c r="U2068" s="30">
        <f>IF($S2068="CONFIRMAR",MAX($U$4:$U2067)+1,"")</f>
        <v>0</v>
      </c>
      <c r="V2068" s="30">
        <f>IF(AND($R2068="Não",$Q2068&lt;&gt;"",$Q2068&lt;=Hoje+JanelaRet,$Q2068&gt;=Hoje-60),MAX($V$4:$V2067)+1,"")</f>
        <v>0</v>
      </c>
    </row>
    <row r="2069" spans="1:22">
      <c r="A2069" s="16"/>
      <c r="B2069" s="23"/>
      <c r="C2069" s="15"/>
      <c r="D2069" s="15"/>
      <c r="E2069" s="15"/>
      <c r="F2069" s="24"/>
      <c r="G2069" s="17"/>
      <c r="H2069" s="17"/>
      <c r="I2069" s="15"/>
      <c r="J2069" s="25">
        <f>IF($D2069="","",IFERROR(INDEX(PacNome,MATCH($D2069,PacCod,0)),"Paciente não cadastrado"))</f>
        <v>0</v>
      </c>
      <c r="K2069" s="26">
        <f>IF($D2069="","",IFERROR(INDEX(PacConv,MATCH($D2069,PacCod,0))&amp;"",""))</f>
        <v>0</v>
      </c>
      <c r="L2069" s="26">
        <f>IF($A2069="","",CHOOSE(WEEKDAY($A2069,2),"Seg","Ter","Qua","Qui","Sex","Sáb","Dom"))</f>
        <v>0</v>
      </c>
      <c r="M2069" s="27">
        <f>IF($E2069="","",IF($G2069&lt;&gt;"",$G2069,IFERROR(INDEX(ProcValor,MATCH($E2069,ProcNome,0)),0)))</f>
        <v>0</v>
      </c>
      <c r="N2069" s="27">
        <f>IF($M2069="","",IF($F2069="Compareceu",$M2069,0))</f>
        <v>0</v>
      </c>
      <c r="O2069" s="27">
        <f>IF($M2069="","",IF($F2069="Faltou",$M2069,0))</f>
        <v>0</v>
      </c>
      <c r="P2069" s="27">
        <f>IF($M2069="","",IF($F2069="Compareceu",MAX(0,$M2069-N($H2069)),0))</f>
        <v>0</v>
      </c>
      <c r="Q2069" s="19">
        <f>IF(AND($F2069="Compareceu",$E2069&lt;&gt;"",$A2069&lt;&gt;""),IF(IFERROR(INDEX(ProcRet,MATCH($E2069,ProcNome,0)),0)&gt;0,$A2069+INDEX(ProcRet,MATCH($E2069,ProcNome,0)),""),"")</f>
        <v>0</v>
      </c>
      <c r="R2069" s="26">
        <f>IF($Q2069="","",IF(COUNTIFS(AgPac,$D2069,AgData,"&gt;"&amp;$A2069,AgStatus,"&lt;&gt;Cancelado",AgStatus,"&lt;&gt;Remarcado")&gt;0,"Sim","Não"))</f>
        <v>0</v>
      </c>
      <c r="S2069" s="28">
        <f>IF($A2069="","",IF(AND($F2069="Agendado",$A2069-Hoje&gt;=0,$A2069-Hoje&lt;=DiasConf),"CONFIRMAR",IF(AND($A2069&lt;Hoje,OR($F2069="Agendado",$F2069="Confirmado")),"Atualizar status",IF(AND($F2069="Compareceu",$P2069&gt;0.005),"Cobrar",IF($F2069="Faltou","Falta: reagendar","")))))</f>
        <v>0</v>
      </c>
      <c r="T2069" s="29">
        <f>IF($A2069="","",DATE(YEAR($A2069),MONTH($A2069),1))</f>
        <v>0</v>
      </c>
      <c r="U2069" s="30">
        <f>IF($S2069="CONFIRMAR",MAX($U$4:$U2068)+1,"")</f>
        <v>0</v>
      </c>
      <c r="V2069" s="30">
        <f>IF(AND($R2069="Não",$Q2069&lt;&gt;"",$Q2069&lt;=Hoje+JanelaRet,$Q2069&gt;=Hoje-60),MAX($V$4:$V2068)+1,"")</f>
        <v>0</v>
      </c>
    </row>
    <row r="2070" spans="1:22">
      <c r="A2070" s="16"/>
      <c r="B2070" s="23"/>
      <c r="C2070" s="15"/>
      <c r="D2070" s="15"/>
      <c r="E2070" s="15"/>
      <c r="F2070" s="24"/>
      <c r="G2070" s="17"/>
      <c r="H2070" s="17"/>
      <c r="I2070" s="15"/>
      <c r="J2070" s="25">
        <f>IF($D2070="","",IFERROR(INDEX(PacNome,MATCH($D2070,PacCod,0)),"Paciente não cadastrado"))</f>
        <v>0</v>
      </c>
      <c r="K2070" s="26">
        <f>IF($D2070="","",IFERROR(INDEX(PacConv,MATCH($D2070,PacCod,0))&amp;"",""))</f>
        <v>0</v>
      </c>
      <c r="L2070" s="26">
        <f>IF($A2070="","",CHOOSE(WEEKDAY($A2070,2),"Seg","Ter","Qua","Qui","Sex","Sáb","Dom"))</f>
        <v>0</v>
      </c>
      <c r="M2070" s="27">
        <f>IF($E2070="","",IF($G2070&lt;&gt;"",$G2070,IFERROR(INDEX(ProcValor,MATCH($E2070,ProcNome,0)),0)))</f>
        <v>0</v>
      </c>
      <c r="N2070" s="27">
        <f>IF($M2070="","",IF($F2070="Compareceu",$M2070,0))</f>
        <v>0</v>
      </c>
      <c r="O2070" s="27">
        <f>IF($M2070="","",IF($F2070="Faltou",$M2070,0))</f>
        <v>0</v>
      </c>
      <c r="P2070" s="27">
        <f>IF($M2070="","",IF($F2070="Compareceu",MAX(0,$M2070-N($H2070)),0))</f>
        <v>0</v>
      </c>
      <c r="Q2070" s="19">
        <f>IF(AND($F2070="Compareceu",$E2070&lt;&gt;"",$A2070&lt;&gt;""),IF(IFERROR(INDEX(ProcRet,MATCH($E2070,ProcNome,0)),0)&gt;0,$A2070+INDEX(ProcRet,MATCH($E2070,ProcNome,0)),""),"")</f>
        <v>0</v>
      </c>
      <c r="R2070" s="26">
        <f>IF($Q2070="","",IF(COUNTIFS(AgPac,$D2070,AgData,"&gt;"&amp;$A2070,AgStatus,"&lt;&gt;Cancelado",AgStatus,"&lt;&gt;Remarcado")&gt;0,"Sim","Não"))</f>
        <v>0</v>
      </c>
      <c r="S2070" s="28">
        <f>IF($A2070="","",IF(AND($F2070="Agendado",$A2070-Hoje&gt;=0,$A2070-Hoje&lt;=DiasConf),"CONFIRMAR",IF(AND($A2070&lt;Hoje,OR($F2070="Agendado",$F2070="Confirmado")),"Atualizar status",IF(AND($F2070="Compareceu",$P2070&gt;0.005),"Cobrar",IF($F2070="Faltou","Falta: reagendar","")))))</f>
        <v>0</v>
      </c>
      <c r="T2070" s="29">
        <f>IF($A2070="","",DATE(YEAR($A2070),MONTH($A2070),1))</f>
        <v>0</v>
      </c>
      <c r="U2070" s="30">
        <f>IF($S2070="CONFIRMAR",MAX($U$4:$U2069)+1,"")</f>
        <v>0</v>
      </c>
      <c r="V2070" s="30">
        <f>IF(AND($R2070="Não",$Q2070&lt;&gt;"",$Q2070&lt;=Hoje+JanelaRet,$Q2070&gt;=Hoje-60),MAX($V$4:$V2069)+1,"")</f>
        <v>0</v>
      </c>
    </row>
    <row r="2071" spans="1:22">
      <c r="A2071" s="16"/>
      <c r="B2071" s="23"/>
      <c r="C2071" s="15"/>
      <c r="D2071" s="15"/>
      <c r="E2071" s="15"/>
      <c r="F2071" s="24"/>
      <c r="G2071" s="17"/>
      <c r="H2071" s="17"/>
      <c r="I2071" s="15"/>
      <c r="J2071" s="25">
        <f>IF($D2071="","",IFERROR(INDEX(PacNome,MATCH($D2071,PacCod,0)),"Paciente não cadastrado"))</f>
        <v>0</v>
      </c>
      <c r="K2071" s="26">
        <f>IF($D2071="","",IFERROR(INDEX(PacConv,MATCH($D2071,PacCod,0))&amp;"",""))</f>
        <v>0</v>
      </c>
      <c r="L2071" s="26">
        <f>IF($A2071="","",CHOOSE(WEEKDAY($A2071,2),"Seg","Ter","Qua","Qui","Sex","Sáb","Dom"))</f>
        <v>0</v>
      </c>
      <c r="M2071" s="27">
        <f>IF($E2071="","",IF($G2071&lt;&gt;"",$G2071,IFERROR(INDEX(ProcValor,MATCH($E2071,ProcNome,0)),0)))</f>
        <v>0</v>
      </c>
      <c r="N2071" s="27">
        <f>IF($M2071="","",IF($F2071="Compareceu",$M2071,0))</f>
        <v>0</v>
      </c>
      <c r="O2071" s="27">
        <f>IF($M2071="","",IF($F2071="Faltou",$M2071,0))</f>
        <v>0</v>
      </c>
      <c r="P2071" s="27">
        <f>IF($M2071="","",IF($F2071="Compareceu",MAX(0,$M2071-N($H2071)),0))</f>
        <v>0</v>
      </c>
      <c r="Q2071" s="19">
        <f>IF(AND($F2071="Compareceu",$E2071&lt;&gt;"",$A2071&lt;&gt;""),IF(IFERROR(INDEX(ProcRet,MATCH($E2071,ProcNome,0)),0)&gt;0,$A2071+INDEX(ProcRet,MATCH($E2071,ProcNome,0)),""),"")</f>
        <v>0</v>
      </c>
      <c r="R2071" s="26">
        <f>IF($Q2071="","",IF(COUNTIFS(AgPac,$D2071,AgData,"&gt;"&amp;$A2071,AgStatus,"&lt;&gt;Cancelado",AgStatus,"&lt;&gt;Remarcado")&gt;0,"Sim","Não"))</f>
        <v>0</v>
      </c>
      <c r="S2071" s="28">
        <f>IF($A2071="","",IF(AND($F2071="Agendado",$A2071-Hoje&gt;=0,$A2071-Hoje&lt;=DiasConf),"CONFIRMAR",IF(AND($A2071&lt;Hoje,OR($F2071="Agendado",$F2071="Confirmado")),"Atualizar status",IF(AND($F2071="Compareceu",$P2071&gt;0.005),"Cobrar",IF($F2071="Faltou","Falta: reagendar","")))))</f>
        <v>0</v>
      </c>
      <c r="T2071" s="29">
        <f>IF($A2071="","",DATE(YEAR($A2071),MONTH($A2071),1))</f>
        <v>0</v>
      </c>
      <c r="U2071" s="30">
        <f>IF($S2071="CONFIRMAR",MAX($U$4:$U2070)+1,"")</f>
        <v>0</v>
      </c>
      <c r="V2071" s="30">
        <f>IF(AND($R2071="Não",$Q2071&lt;&gt;"",$Q2071&lt;=Hoje+JanelaRet,$Q2071&gt;=Hoje-60),MAX($V$4:$V2070)+1,"")</f>
        <v>0</v>
      </c>
    </row>
    <row r="2072" spans="1:22">
      <c r="A2072" s="16"/>
      <c r="B2072" s="23"/>
      <c r="C2072" s="15"/>
      <c r="D2072" s="15"/>
      <c r="E2072" s="15"/>
      <c r="F2072" s="24"/>
      <c r="G2072" s="17"/>
      <c r="H2072" s="17"/>
      <c r="I2072" s="15"/>
      <c r="J2072" s="25">
        <f>IF($D2072="","",IFERROR(INDEX(PacNome,MATCH($D2072,PacCod,0)),"Paciente não cadastrado"))</f>
        <v>0</v>
      </c>
      <c r="K2072" s="26">
        <f>IF($D2072="","",IFERROR(INDEX(PacConv,MATCH($D2072,PacCod,0))&amp;"",""))</f>
        <v>0</v>
      </c>
      <c r="L2072" s="26">
        <f>IF($A2072="","",CHOOSE(WEEKDAY($A2072,2),"Seg","Ter","Qua","Qui","Sex","Sáb","Dom"))</f>
        <v>0</v>
      </c>
      <c r="M2072" s="27">
        <f>IF($E2072="","",IF($G2072&lt;&gt;"",$G2072,IFERROR(INDEX(ProcValor,MATCH($E2072,ProcNome,0)),0)))</f>
        <v>0</v>
      </c>
      <c r="N2072" s="27">
        <f>IF($M2072="","",IF($F2072="Compareceu",$M2072,0))</f>
        <v>0</v>
      </c>
      <c r="O2072" s="27">
        <f>IF($M2072="","",IF($F2072="Faltou",$M2072,0))</f>
        <v>0</v>
      </c>
      <c r="P2072" s="27">
        <f>IF($M2072="","",IF($F2072="Compareceu",MAX(0,$M2072-N($H2072)),0))</f>
        <v>0</v>
      </c>
      <c r="Q2072" s="19">
        <f>IF(AND($F2072="Compareceu",$E2072&lt;&gt;"",$A2072&lt;&gt;""),IF(IFERROR(INDEX(ProcRet,MATCH($E2072,ProcNome,0)),0)&gt;0,$A2072+INDEX(ProcRet,MATCH($E2072,ProcNome,0)),""),"")</f>
        <v>0</v>
      </c>
      <c r="R2072" s="26">
        <f>IF($Q2072="","",IF(COUNTIFS(AgPac,$D2072,AgData,"&gt;"&amp;$A2072,AgStatus,"&lt;&gt;Cancelado",AgStatus,"&lt;&gt;Remarcado")&gt;0,"Sim","Não"))</f>
        <v>0</v>
      </c>
      <c r="S2072" s="28">
        <f>IF($A2072="","",IF(AND($F2072="Agendado",$A2072-Hoje&gt;=0,$A2072-Hoje&lt;=DiasConf),"CONFIRMAR",IF(AND($A2072&lt;Hoje,OR($F2072="Agendado",$F2072="Confirmado")),"Atualizar status",IF(AND($F2072="Compareceu",$P2072&gt;0.005),"Cobrar",IF($F2072="Faltou","Falta: reagendar","")))))</f>
        <v>0</v>
      </c>
      <c r="T2072" s="29">
        <f>IF($A2072="","",DATE(YEAR($A2072),MONTH($A2072),1))</f>
        <v>0</v>
      </c>
      <c r="U2072" s="30">
        <f>IF($S2072="CONFIRMAR",MAX($U$4:$U2071)+1,"")</f>
        <v>0</v>
      </c>
      <c r="V2072" s="30">
        <f>IF(AND($R2072="Não",$Q2072&lt;&gt;"",$Q2072&lt;=Hoje+JanelaRet,$Q2072&gt;=Hoje-60),MAX($V$4:$V2071)+1,"")</f>
        <v>0</v>
      </c>
    </row>
    <row r="2073" spans="1:22">
      <c r="A2073" s="16"/>
      <c r="B2073" s="23"/>
      <c r="C2073" s="15"/>
      <c r="D2073" s="15"/>
      <c r="E2073" s="15"/>
      <c r="F2073" s="24"/>
      <c r="G2073" s="17"/>
      <c r="H2073" s="17"/>
      <c r="I2073" s="15"/>
      <c r="J2073" s="25">
        <f>IF($D2073="","",IFERROR(INDEX(PacNome,MATCH($D2073,PacCod,0)),"Paciente não cadastrado"))</f>
        <v>0</v>
      </c>
      <c r="K2073" s="26">
        <f>IF($D2073="","",IFERROR(INDEX(PacConv,MATCH($D2073,PacCod,0))&amp;"",""))</f>
        <v>0</v>
      </c>
      <c r="L2073" s="26">
        <f>IF($A2073="","",CHOOSE(WEEKDAY($A2073,2),"Seg","Ter","Qua","Qui","Sex","Sáb","Dom"))</f>
        <v>0</v>
      </c>
      <c r="M2073" s="27">
        <f>IF($E2073="","",IF($G2073&lt;&gt;"",$G2073,IFERROR(INDEX(ProcValor,MATCH($E2073,ProcNome,0)),0)))</f>
        <v>0</v>
      </c>
      <c r="N2073" s="27">
        <f>IF($M2073="","",IF($F2073="Compareceu",$M2073,0))</f>
        <v>0</v>
      </c>
      <c r="O2073" s="27">
        <f>IF($M2073="","",IF($F2073="Faltou",$M2073,0))</f>
        <v>0</v>
      </c>
      <c r="P2073" s="27">
        <f>IF($M2073="","",IF($F2073="Compareceu",MAX(0,$M2073-N($H2073)),0))</f>
        <v>0</v>
      </c>
      <c r="Q2073" s="19">
        <f>IF(AND($F2073="Compareceu",$E2073&lt;&gt;"",$A2073&lt;&gt;""),IF(IFERROR(INDEX(ProcRet,MATCH($E2073,ProcNome,0)),0)&gt;0,$A2073+INDEX(ProcRet,MATCH($E2073,ProcNome,0)),""),"")</f>
        <v>0</v>
      </c>
      <c r="R2073" s="26">
        <f>IF($Q2073="","",IF(COUNTIFS(AgPac,$D2073,AgData,"&gt;"&amp;$A2073,AgStatus,"&lt;&gt;Cancelado",AgStatus,"&lt;&gt;Remarcado")&gt;0,"Sim","Não"))</f>
        <v>0</v>
      </c>
      <c r="S2073" s="28">
        <f>IF($A2073="","",IF(AND($F2073="Agendado",$A2073-Hoje&gt;=0,$A2073-Hoje&lt;=DiasConf),"CONFIRMAR",IF(AND($A2073&lt;Hoje,OR($F2073="Agendado",$F2073="Confirmado")),"Atualizar status",IF(AND($F2073="Compareceu",$P2073&gt;0.005),"Cobrar",IF($F2073="Faltou","Falta: reagendar","")))))</f>
        <v>0</v>
      </c>
      <c r="T2073" s="29">
        <f>IF($A2073="","",DATE(YEAR($A2073),MONTH($A2073),1))</f>
        <v>0</v>
      </c>
      <c r="U2073" s="30">
        <f>IF($S2073="CONFIRMAR",MAX($U$4:$U2072)+1,"")</f>
        <v>0</v>
      </c>
      <c r="V2073" s="30">
        <f>IF(AND($R2073="Não",$Q2073&lt;&gt;"",$Q2073&lt;=Hoje+JanelaRet,$Q2073&gt;=Hoje-60),MAX($V$4:$V2072)+1,"")</f>
        <v>0</v>
      </c>
    </row>
    <row r="2074" spans="1:22">
      <c r="A2074" s="16"/>
      <c r="B2074" s="23"/>
      <c r="C2074" s="15"/>
      <c r="D2074" s="15"/>
      <c r="E2074" s="15"/>
      <c r="F2074" s="24"/>
      <c r="G2074" s="17"/>
      <c r="H2074" s="17"/>
      <c r="I2074" s="15"/>
      <c r="J2074" s="25">
        <f>IF($D2074="","",IFERROR(INDEX(PacNome,MATCH($D2074,PacCod,0)),"Paciente não cadastrado"))</f>
        <v>0</v>
      </c>
      <c r="K2074" s="26">
        <f>IF($D2074="","",IFERROR(INDEX(PacConv,MATCH($D2074,PacCod,0))&amp;"",""))</f>
        <v>0</v>
      </c>
      <c r="L2074" s="26">
        <f>IF($A2074="","",CHOOSE(WEEKDAY($A2074,2),"Seg","Ter","Qua","Qui","Sex","Sáb","Dom"))</f>
        <v>0</v>
      </c>
      <c r="M2074" s="27">
        <f>IF($E2074="","",IF($G2074&lt;&gt;"",$G2074,IFERROR(INDEX(ProcValor,MATCH($E2074,ProcNome,0)),0)))</f>
        <v>0</v>
      </c>
      <c r="N2074" s="27">
        <f>IF($M2074="","",IF($F2074="Compareceu",$M2074,0))</f>
        <v>0</v>
      </c>
      <c r="O2074" s="27">
        <f>IF($M2074="","",IF($F2074="Faltou",$M2074,0))</f>
        <v>0</v>
      </c>
      <c r="P2074" s="27">
        <f>IF($M2074="","",IF($F2074="Compareceu",MAX(0,$M2074-N($H2074)),0))</f>
        <v>0</v>
      </c>
      <c r="Q2074" s="19">
        <f>IF(AND($F2074="Compareceu",$E2074&lt;&gt;"",$A2074&lt;&gt;""),IF(IFERROR(INDEX(ProcRet,MATCH($E2074,ProcNome,0)),0)&gt;0,$A2074+INDEX(ProcRet,MATCH($E2074,ProcNome,0)),""),"")</f>
        <v>0</v>
      </c>
      <c r="R2074" s="26">
        <f>IF($Q2074="","",IF(COUNTIFS(AgPac,$D2074,AgData,"&gt;"&amp;$A2074,AgStatus,"&lt;&gt;Cancelado",AgStatus,"&lt;&gt;Remarcado")&gt;0,"Sim","Não"))</f>
        <v>0</v>
      </c>
      <c r="S2074" s="28">
        <f>IF($A2074="","",IF(AND($F2074="Agendado",$A2074-Hoje&gt;=0,$A2074-Hoje&lt;=DiasConf),"CONFIRMAR",IF(AND($A2074&lt;Hoje,OR($F2074="Agendado",$F2074="Confirmado")),"Atualizar status",IF(AND($F2074="Compareceu",$P2074&gt;0.005),"Cobrar",IF($F2074="Faltou","Falta: reagendar","")))))</f>
        <v>0</v>
      </c>
      <c r="T2074" s="29">
        <f>IF($A2074="","",DATE(YEAR($A2074),MONTH($A2074),1))</f>
        <v>0</v>
      </c>
      <c r="U2074" s="30">
        <f>IF($S2074="CONFIRMAR",MAX($U$4:$U2073)+1,"")</f>
        <v>0</v>
      </c>
      <c r="V2074" s="30">
        <f>IF(AND($R2074="Não",$Q2074&lt;&gt;"",$Q2074&lt;=Hoje+JanelaRet,$Q2074&gt;=Hoje-60),MAX($V$4:$V2073)+1,"")</f>
        <v>0</v>
      </c>
    </row>
    <row r="2075" spans="1:22">
      <c r="A2075" s="16"/>
      <c r="B2075" s="23"/>
      <c r="C2075" s="15"/>
      <c r="D2075" s="15"/>
      <c r="E2075" s="15"/>
      <c r="F2075" s="24"/>
      <c r="G2075" s="17"/>
      <c r="H2075" s="17"/>
      <c r="I2075" s="15"/>
      <c r="J2075" s="25">
        <f>IF($D2075="","",IFERROR(INDEX(PacNome,MATCH($D2075,PacCod,0)),"Paciente não cadastrado"))</f>
        <v>0</v>
      </c>
      <c r="K2075" s="26">
        <f>IF($D2075="","",IFERROR(INDEX(PacConv,MATCH($D2075,PacCod,0))&amp;"",""))</f>
        <v>0</v>
      </c>
      <c r="L2075" s="26">
        <f>IF($A2075="","",CHOOSE(WEEKDAY($A2075,2),"Seg","Ter","Qua","Qui","Sex","Sáb","Dom"))</f>
        <v>0</v>
      </c>
      <c r="M2075" s="27">
        <f>IF($E2075="","",IF($G2075&lt;&gt;"",$G2075,IFERROR(INDEX(ProcValor,MATCH($E2075,ProcNome,0)),0)))</f>
        <v>0</v>
      </c>
      <c r="N2075" s="27">
        <f>IF($M2075="","",IF($F2075="Compareceu",$M2075,0))</f>
        <v>0</v>
      </c>
      <c r="O2075" s="27">
        <f>IF($M2075="","",IF($F2075="Faltou",$M2075,0))</f>
        <v>0</v>
      </c>
      <c r="P2075" s="27">
        <f>IF($M2075="","",IF($F2075="Compareceu",MAX(0,$M2075-N($H2075)),0))</f>
        <v>0</v>
      </c>
      <c r="Q2075" s="19">
        <f>IF(AND($F2075="Compareceu",$E2075&lt;&gt;"",$A2075&lt;&gt;""),IF(IFERROR(INDEX(ProcRet,MATCH($E2075,ProcNome,0)),0)&gt;0,$A2075+INDEX(ProcRet,MATCH($E2075,ProcNome,0)),""),"")</f>
        <v>0</v>
      </c>
      <c r="R2075" s="26">
        <f>IF($Q2075="","",IF(COUNTIFS(AgPac,$D2075,AgData,"&gt;"&amp;$A2075,AgStatus,"&lt;&gt;Cancelado",AgStatus,"&lt;&gt;Remarcado")&gt;0,"Sim","Não"))</f>
        <v>0</v>
      </c>
      <c r="S2075" s="28">
        <f>IF($A2075="","",IF(AND($F2075="Agendado",$A2075-Hoje&gt;=0,$A2075-Hoje&lt;=DiasConf),"CONFIRMAR",IF(AND($A2075&lt;Hoje,OR($F2075="Agendado",$F2075="Confirmado")),"Atualizar status",IF(AND($F2075="Compareceu",$P2075&gt;0.005),"Cobrar",IF($F2075="Faltou","Falta: reagendar","")))))</f>
        <v>0</v>
      </c>
      <c r="T2075" s="29">
        <f>IF($A2075="","",DATE(YEAR($A2075),MONTH($A2075),1))</f>
        <v>0</v>
      </c>
      <c r="U2075" s="30">
        <f>IF($S2075="CONFIRMAR",MAX($U$4:$U2074)+1,"")</f>
        <v>0</v>
      </c>
      <c r="V2075" s="30">
        <f>IF(AND($R2075="Não",$Q2075&lt;&gt;"",$Q2075&lt;=Hoje+JanelaRet,$Q2075&gt;=Hoje-60),MAX($V$4:$V2074)+1,"")</f>
        <v>0</v>
      </c>
    </row>
    <row r="2076" spans="1:22">
      <c r="A2076" s="16"/>
      <c r="B2076" s="23"/>
      <c r="C2076" s="15"/>
      <c r="D2076" s="15"/>
      <c r="E2076" s="15"/>
      <c r="F2076" s="24"/>
      <c r="G2076" s="17"/>
      <c r="H2076" s="17"/>
      <c r="I2076" s="15"/>
      <c r="J2076" s="25">
        <f>IF($D2076="","",IFERROR(INDEX(PacNome,MATCH($D2076,PacCod,0)),"Paciente não cadastrado"))</f>
        <v>0</v>
      </c>
      <c r="K2076" s="26">
        <f>IF($D2076="","",IFERROR(INDEX(PacConv,MATCH($D2076,PacCod,0))&amp;"",""))</f>
        <v>0</v>
      </c>
      <c r="L2076" s="26">
        <f>IF($A2076="","",CHOOSE(WEEKDAY($A2076,2),"Seg","Ter","Qua","Qui","Sex","Sáb","Dom"))</f>
        <v>0</v>
      </c>
      <c r="M2076" s="27">
        <f>IF($E2076="","",IF($G2076&lt;&gt;"",$G2076,IFERROR(INDEX(ProcValor,MATCH($E2076,ProcNome,0)),0)))</f>
        <v>0</v>
      </c>
      <c r="N2076" s="27">
        <f>IF($M2076="","",IF($F2076="Compareceu",$M2076,0))</f>
        <v>0</v>
      </c>
      <c r="O2076" s="27">
        <f>IF($M2076="","",IF($F2076="Faltou",$M2076,0))</f>
        <v>0</v>
      </c>
      <c r="P2076" s="27">
        <f>IF($M2076="","",IF($F2076="Compareceu",MAX(0,$M2076-N($H2076)),0))</f>
        <v>0</v>
      </c>
      <c r="Q2076" s="19">
        <f>IF(AND($F2076="Compareceu",$E2076&lt;&gt;"",$A2076&lt;&gt;""),IF(IFERROR(INDEX(ProcRet,MATCH($E2076,ProcNome,0)),0)&gt;0,$A2076+INDEX(ProcRet,MATCH($E2076,ProcNome,0)),""),"")</f>
        <v>0</v>
      </c>
      <c r="R2076" s="26">
        <f>IF($Q2076="","",IF(COUNTIFS(AgPac,$D2076,AgData,"&gt;"&amp;$A2076,AgStatus,"&lt;&gt;Cancelado",AgStatus,"&lt;&gt;Remarcado")&gt;0,"Sim","Não"))</f>
        <v>0</v>
      </c>
      <c r="S2076" s="28">
        <f>IF($A2076="","",IF(AND($F2076="Agendado",$A2076-Hoje&gt;=0,$A2076-Hoje&lt;=DiasConf),"CONFIRMAR",IF(AND($A2076&lt;Hoje,OR($F2076="Agendado",$F2076="Confirmado")),"Atualizar status",IF(AND($F2076="Compareceu",$P2076&gt;0.005),"Cobrar",IF($F2076="Faltou","Falta: reagendar","")))))</f>
        <v>0</v>
      </c>
      <c r="T2076" s="29">
        <f>IF($A2076="","",DATE(YEAR($A2076),MONTH($A2076),1))</f>
        <v>0</v>
      </c>
      <c r="U2076" s="30">
        <f>IF($S2076="CONFIRMAR",MAX($U$4:$U2075)+1,"")</f>
        <v>0</v>
      </c>
      <c r="V2076" s="30">
        <f>IF(AND($R2076="Não",$Q2076&lt;&gt;"",$Q2076&lt;=Hoje+JanelaRet,$Q2076&gt;=Hoje-60),MAX($V$4:$V2075)+1,"")</f>
        <v>0</v>
      </c>
    </row>
    <row r="2077" spans="1:22">
      <c r="A2077" s="16"/>
      <c r="B2077" s="23"/>
      <c r="C2077" s="15"/>
      <c r="D2077" s="15"/>
      <c r="E2077" s="15"/>
      <c r="F2077" s="24"/>
      <c r="G2077" s="17"/>
      <c r="H2077" s="17"/>
      <c r="I2077" s="15"/>
      <c r="J2077" s="25">
        <f>IF($D2077="","",IFERROR(INDEX(PacNome,MATCH($D2077,PacCod,0)),"Paciente não cadastrado"))</f>
        <v>0</v>
      </c>
      <c r="K2077" s="26">
        <f>IF($D2077="","",IFERROR(INDEX(PacConv,MATCH($D2077,PacCod,0))&amp;"",""))</f>
        <v>0</v>
      </c>
      <c r="L2077" s="26">
        <f>IF($A2077="","",CHOOSE(WEEKDAY($A2077,2),"Seg","Ter","Qua","Qui","Sex","Sáb","Dom"))</f>
        <v>0</v>
      </c>
      <c r="M2077" s="27">
        <f>IF($E2077="","",IF($G2077&lt;&gt;"",$G2077,IFERROR(INDEX(ProcValor,MATCH($E2077,ProcNome,0)),0)))</f>
        <v>0</v>
      </c>
      <c r="N2077" s="27">
        <f>IF($M2077="","",IF($F2077="Compareceu",$M2077,0))</f>
        <v>0</v>
      </c>
      <c r="O2077" s="27">
        <f>IF($M2077="","",IF($F2077="Faltou",$M2077,0))</f>
        <v>0</v>
      </c>
      <c r="P2077" s="27">
        <f>IF($M2077="","",IF($F2077="Compareceu",MAX(0,$M2077-N($H2077)),0))</f>
        <v>0</v>
      </c>
      <c r="Q2077" s="19">
        <f>IF(AND($F2077="Compareceu",$E2077&lt;&gt;"",$A2077&lt;&gt;""),IF(IFERROR(INDEX(ProcRet,MATCH($E2077,ProcNome,0)),0)&gt;0,$A2077+INDEX(ProcRet,MATCH($E2077,ProcNome,0)),""),"")</f>
        <v>0</v>
      </c>
      <c r="R2077" s="26">
        <f>IF($Q2077="","",IF(COUNTIFS(AgPac,$D2077,AgData,"&gt;"&amp;$A2077,AgStatus,"&lt;&gt;Cancelado",AgStatus,"&lt;&gt;Remarcado")&gt;0,"Sim","Não"))</f>
        <v>0</v>
      </c>
      <c r="S2077" s="28">
        <f>IF($A2077="","",IF(AND($F2077="Agendado",$A2077-Hoje&gt;=0,$A2077-Hoje&lt;=DiasConf),"CONFIRMAR",IF(AND($A2077&lt;Hoje,OR($F2077="Agendado",$F2077="Confirmado")),"Atualizar status",IF(AND($F2077="Compareceu",$P2077&gt;0.005),"Cobrar",IF($F2077="Faltou","Falta: reagendar","")))))</f>
        <v>0</v>
      </c>
      <c r="T2077" s="29">
        <f>IF($A2077="","",DATE(YEAR($A2077),MONTH($A2077),1))</f>
        <v>0</v>
      </c>
      <c r="U2077" s="30">
        <f>IF($S2077="CONFIRMAR",MAX($U$4:$U2076)+1,"")</f>
        <v>0</v>
      </c>
      <c r="V2077" s="30">
        <f>IF(AND($R2077="Não",$Q2077&lt;&gt;"",$Q2077&lt;=Hoje+JanelaRet,$Q2077&gt;=Hoje-60),MAX($V$4:$V2076)+1,"")</f>
        <v>0</v>
      </c>
    </row>
    <row r="2078" spans="1:22">
      <c r="A2078" s="16"/>
      <c r="B2078" s="23"/>
      <c r="C2078" s="15"/>
      <c r="D2078" s="15"/>
      <c r="E2078" s="15"/>
      <c r="F2078" s="24"/>
      <c r="G2078" s="17"/>
      <c r="H2078" s="17"/>
      <c r="I2078" s="15"/>
      <c r="J2078" s="25">
        <f>IF($D2078="","",IFERROR(INDEX(PacNome,MATCH($D2078,PacCod,0)),"Paciente não cadastrado"))</f>
        <v>0</v>
      </c>
      <c r="K2078" s="26">
        <f>IF($D2078="","",IFERROR(INDEX(PacConv,MATCH($D2078,PacCod,0))&amp;"",""))</f>
        <v>0</v>
      </c>
      <c r="L2078" s="26">
        <f>IF($A2078="","",CHOOSE(WEEKDAY($A2078,2),"Seg","Ter","Qua","Qui","Sex","Sáb","Dom"))</f>
        <v>0</v>
      </c>
      <c r="M2078" s="27">
        <f>IF($E2078="","",IF($G2078&lt;&gt;"",$G2078,IFERROR(INDEX(ProcValor,MATCH($E2078,ProcNome,0)),0)))</f>
        <v>0</v>
      </c>
      <c r="N2078" s="27">
        <f>IF($M2078="","",IF($F2078="Compareceu",$M2078,0))</f>
        <v>0</v>
      </c>
      <c r="O2078" s="27">
        <f>IF($M2078="","",IF($F2078="Faltou",$M2078,0))</f>
        <v>0</v>
      </c>
      <c r="P2078" s="27">
        <f>IF($M2078="","",IF($F2078="Compareceu",MAX(0,$M2078-N($H2078)),0))</f>
        <v>0</v>
      </c>
      <c r="Q2078" s="19">
        <f>IF(AND($F2078="Compareceu",$E2078&lt;&gt;"",$A2078&lt;&gt;""),IF(IFERROR(INDEX(ProcRet,MATCH($E2078,ProcNome,0)),0)&gt;0,$A2078+INDEX(ProcRet,MATCH($E2078,ProcNome,0)),""),"")</f>
        <v>0</v>
      </c>
      <c r="R2078" s="26">
        <f>IF($Q2078="","",IF(COUNTIFS(AgPac,$D2078,AgData,"&gt;"&amp;$A2078,AgStatus,"&lt;&gt;Cancelado",AgStatus,"&lt;&gt;Remarcado")&gt;0,"Sim","Não"))</f>
        <v>0</v>
      </c>
      <c r="S2078" s="28">
        <f>IF($A2078="","",IF(AND($F2078="Agendado",$A2078-Hoje&gt;=0,$A2078-Hoje&lt;=DiasConf),"CONFIRMAR",IF(AND($A2078&lt;Hoje,OR($F2078="Agendado",$F2078="Confirmado")),"Atualizar status",IF(AND($F2078="Compareceu",$P2078&gt;0.005),"Cobrar",IF($F2078="Faltou","Falta: reagendar","")))))</f>
        <v>0</v>
      </c>
      <c r="T2078" s="29">
        <f>IF($A2078="","",DATE(YEAR($A2078),MONTH($A2078),1))</f>
        <v>0</v>
      </c>
      <c r="U2078" s="30">
        <f>IF($S2078="CONFIRMAR",MAX($U$4:$U2077)+1,"")</f>
        <v>0</v>
      </c>
      <c r="V2078" s="30">
        <f>IF(AND($R2078="Não",$Q2078&lt;&gt;"",$Q2078&lt;=Hoje+JanelaRet,$Q2078&gt;=Hoje-60),MAX($V$4:$V2077)+1,"")</f>
        <v>0</v>
      </c>
    </row>
    <row r="2079" spans="1:22">
      <c r="A2079" s="16"/>
      <c r="B2079" s="23"/>
      <c r="C2079" s="15"/>
      <c r="D2079" s="15"/>
      <c r="E2079" s="15"/>
      <c r="F2079" s="24"/>
      <c r="G2079" s="17"/>
      <c r="H2079" s="17"/>
      <c r="I2079" s="15"/>
      <c r="J2079" s="25">
        <f>IF($D2079="","",IFERROR(INDEX(PacNome,MATCH($D2079,PacCod,0)),"Paciente não cadastrado"))</f>
        <v>0</v>
      </c>
      <c r="K2079" s="26">
        <f>IF($D2079="","",IFERROR(INDEX(PacConv,MATCH($D2079,PacCod,0))&amp;"",""))</f>
        <v>0</v>
      </c>
      <c r="L2079" s="26">
        <f>IF($A2079="","",CHOOSE(WEEKDAY($A2079,2),"Seg","Ter","Qua","Qui","Sex","Sáb","Dom"))</f>
        <v>0</v>
      </c>
      <c r="M2079" s="27">
        <f>IF($E2079="","",IF($G2079&lt;&gt;"",$G2079,IFERROR(INDEX(ProcValor,MATCH($E2079,ProcNome,0)),0)))</f>
        <v>0</v>
      </c>
      <c r="N2079" s="27">
        <f>IF($M2079="","",IF($F2079="Compareceu",$M2079,0))</f>
        <v>0</v>
      </c>
      <c r="O2079" s="27">
        <f>IF($M2079="","",IF($F2079="Faltou",$M2079,0))</f>
        <v>0</v>
      </c>
      <c r="P2079" s="27">
        <f>IF($M2079="","",IF($F2079="Compareceu",MAX(0,$M2079-N($H2079)),0))</f>
        <v>0</v>
      </c>
      <c r="Q2079" s="19">
        <f>IF(AND($F2079="Compareceu",$E2079&lt;&gt;"",$A2079&lt;&gt;""),IF(IFERROR(INDEX(ProcRet,MATCH($E2079,ProcNome,0)),0)&gt;0,$A2079+INDEX(ProcRet,MATCH($E2079,ProcNome,0)),""),"")</f>
        <v>0</v>
      </c>
      <c r="R2079" s="26">
        <f>IF($Q2079="","",IF(COUNTIFS(AgPac,$D2079,AgData,"&gt;"&amp;$A2079,AgStatus,"&lt;&gt;Cancelado",AgStatus,"&lt;&gt;Remarcado")&gt;0,"Sim","Não"))</f>
        <v>0</v>
      </c>
      <c r="S2079" s="28">
        <f>IF($A2079="","",IF(AND($F2079="Agendado",$A2079-Hoje&gt;=0,$A2079-Hoje&lt;=DiasConf),"CONFIRMAR",IF(AND($A2079&lt;Hoje,OR($F2079="Agendado",$F2079="Confirmado")),"Atualizar status",IF(AND($F2079="Compareceu",$P2079&gt;0.005),"Cobrar",IF($F2079="Faltou","Falta: reagendar","")))))</f>
        <v>0</v>
      </c>
      <c r="T2079" s="29">
        <f>IF($A2079="","",DATE(YEAR($A2079),MONTH($A2079),1))</f>
        <v>0</v>
      </c>
      <c r="U2079" s="30">
        <f>IF($S2079="CONFIRMAR",MAX($U$4:$U2078)+1,"")</f>
        <v>0</v>
      </c>
      <c r="V2079" s="30">
        <f>IF(AND($R2079="Não",$Q2079&lt;&gt;"",$Q2079&lt;=Hoje+JanelaRet,$Q2079&gt;=Hoje-60),MAX($V$4:$V2078)+1,"")</f>
        <v>0</v>
      </c>
    </row>
    <row r="2080" spans="1:22">
      <c r="A2080" s="16"/>
      <c r="B2080" s="23"/>
      <c r="C2080" s="15"/>
      <c r="D2080" s="15"/>
      <c r="E2080" s="15"/>
      <c r="F2080" s="24"/>
      <c r="G2080" s="17"/>
      <c r="H2080" s="17"/>
      <c r="I2080" s="15"/>
      <c r="J2080" s="25">
        <f>IF($D2080="","",IFERROR(INDEX(PacNome,MATCH($D2080,PacCod,0)),"Paciente não cadastrado"))</f>
        <v>0</v>
      </c>
      <c r="K2080" s="26">
        <f>IF($D2080="","",IFERROR(INDEX(PacConv,MATCH($D2080,PacCod,0))&amp;"",""))</f>
        <v>0</v>
      </c>
      <c r="L2080" s="26">
        <f>IF($A2080="","",CHOOSE(WEEKDAY($A2080,2),"Seg","Ter","Qua","Qui","Sex","Sáb","Dom"))</f>
        <v>0</v>
      </c>
      <c r="M2080" s="27">
        <f>IF($E2080="","",IF($G2080&lt;&gt;"",$G2080,IFERROR(INDEX(ProcValor,MATCH($E2080,ProcNome,0)),0)))</f>
        <v>0</v>
      </c>
      <c r="N2080" s="27">
        <f>IF($M2080="","",IF($F2080="Compareceu",$M2080,0))</f>
        <v>0</v>
      </c>
      <c r="O2080" s="27">
        <f>IF($M2080="","",IF($F2080="Faltou",$M2080,0))</f>
        <v>0</v>
      </c>
      <c r="P2080" s="27">
        <f>IF($M2080="","",IF($F2080="Compareceu",MAX(0,$M2080-N($H2080)),0))</f>
        <v>0</v>
      </c>
      <c r="Q2080" s="19">
        <f>IF(AND($F2080="Compareceu",$E2080&lt;&gt;"",$A2080&lt;&gt;""),IF(IFERROR(INDEX(ProcRet,MATCH($E2080,ProcNome,0)),0)&gt;0,$A2080+INDEX(ProcRet,MATCH($E2080,ProcNome,0)),""),"")</f>
        <v>0</v>
      </c>
      <c r="R2080" s="26">
        <f>IF($Q2080="","",IF(COUNTIFS(AgPac,$D2080,AgData,"&gt;"&amp;$A2080,AgStatus,"&lt;&gt;Cancelado",AgStatus,"&lt;&gt;Remarcado")&gt;0,"Sim","Não"))</f>
        <v>0</v>
      </c>
      <c r="S2080" s="28">
        <f>IF($A2080="","",IF(AND($F2080="Agendado",$A2080-Hoje&gt;=0,$A2080-Hoje&lt;=DiasConf),"CONFIRMAR",IF(AND($A2080&lt;Hoje,OR($F2080="Agendado",$F2080="Confirmado")),"Atualizar status",IF(AND($F2080="Compareceu",$P2080&gt;0.005),"Cobrar",IF($F2080="Faltou","Falta: reagendar","")))))</f>
        <v>0</v>
      </c>
      <c r="T2080" s="29">
        <f>IF($A2080="","",DATE(YEAR($A2080),MONTH($A2080),1))</f>
        <v>0</v>
      </c>
      <c r="U2080" s="30">
        <f>IF($S2080="CONFIRMAR",MAX($U$4:$U2079)+1,"")</f>
        <v>0</v>
      </c>
      <c r="V2080" s="30">
        <f>IF(AND($R2080="Não",$Q2080&lt;&gt;"",$Q2080&lt;=Hoje+JanelaRet,$Q2080&gt;=Hoje-60),MAX($V$4:$V2079)+1,"")</f>
        <v>0</v>
      </c>
    </row>
    <row r="2081" spans="1:22">
      <c r="A2081" s="16"/>
      <c r="B2081" s="23"/>
      <c r="C2081" s="15"/>
      <c r="D2081" s="15"/>
      <c r="E2081" s="15"/>
      <c r="F2081" s="24"/>
      <c r="G2081" s="17"/>
      <c r="H2081" s="17"/>
      <c r="I2081" s="15"/>
      <c r="J2081" s="25">
        <f>IF($D2081="","",IFERROR(INDEX(PacNome,MATCH($D2081,PacCod,0)),"Paciente não cadastrado"))</f>
        <v>0</v>
      </c>
      <c r="K2081" s="26">
        <f>IF($D2081="","",IFERROR(INDEX(PacConv,MATCH($D2081,PacCod,0))&amp;"",""))</f>
        <v>0</v>
      </c>
      <c r="L2081" s="26">
        <f>IF($A2081="","",CHOOSE(WEEKDAY($A2081,2),"Seg","Ter","Qua","Qui","Sex","Sáb","Dom"))</f>
        <v>0</v>
      </c>
      <c r="M2081" s="27">
        <f>IF($E2081="","",IF($G2081&lt;&gt;"",$G2081,IFERROR(INDEX(ProcValor,MATCH($E2081,ProcNome,0)),0)))</f>
        <v>0</v>
      </c>
      <c r="N2081" s="27">
        <f>IF($M2081="","",IF($F2081="Compareceu",$M2081,0))</f>
        <v>0</v>
      </c>
      <c r="O2081" s="27">
        <f>IF($M2081="","",IF($F2081="Faltou",$M2081,0))</f>
        <v>0</v>
      </c>
      <c r="P2081" s="27">
        <f>IF($M2081="","",IF($F2081="Compareceu",MAX(0,$M2081-N($H2081)),0))</f>
        <v>0</v>
      </c>
      <c r="Q2081" s="19">
        <f>IF(AND($F2081="Compareceu",$E2081&lt;&gt;"",$A2081&lt;&gt;""),IF(IFERROR(INDEX(ProcRet,MATCH($E2081,ProcNome,0)),0)&gt;0,$A2081+INDEX(ProcRet,MATCH($E2081,ProcNome,0)),""),"")</f>
        <v>0</v>
      </c>
      <c r="R2081" s="26">
        <f>IF($Q2081="","",IF(COUNTIFS(AgPac,$D2081,AgData,"&gt;"&amp;$A2081,AgStatus,"&lt;&gt;Cancelado",AgStatus,"&lt;&gt;Remarcado")&gt;0,"Sim","Não"))</f>
        <v>0</v>
      </c>
      <c r="S2081" s="28">
        <f>IF($A2081="","",IF(AND($F2081="Agendado",$A2081-Hoje&gt;=0,$A2081-Hoje&lt;=DiasConf),"CONFIRMAR",IF(AND($A2081&lt;Hoje,OR($F2081="Agendado",$F2081="Confirmado")),"Atualizar status",IF(AND($F2081="Compareceu",$P2081&gt;0.005),"Cobrar",IF($F2081="Faltou","Falta: reagendar","")))))</f>
        <v>0</v>
      </c>
      <c r="T2081" s="29">
        <f>IF($A2081="","",DATE(YEAR($A2081),MONTH($A2081),1))</f>
        <v>0</v>
      </c>
      <c r="U2081" s="30">
        <f>IF($S2081="CONFIRMAR",MAX($U$4:$U2080)+1,"")</f>
        <v>0</v>
      </c>
      <c r="V2081" s="30">
        <f>IF(AND($R2081="Não",$Q2081&lt;&gt;"",$Q2081&lt;=Hoje+JanelaRet,$Q2081&gt;=Hoje-60),MAX($V$4:$V2080)+1,"")</f>
        <v>0</v>
      </c>
    </row>
    <row r="2082" spans="1:22">
      <c r="A2082" s="16"/>
      <c r="B2082" s="23"/>
      <c r="C2082" s="15"/>
      <c r="D2082" s="15"/>
      <c r="E2082" s="15"/>
      <c r="F2082" s="24"/>
      <c r="G2082" s="17"/>
      <c r="H2082" s="17"/>
      <c r="I2082" s="15"/>
      <c r="J2082" s="25">
        <f>IF($D2082="","",IFERROR(INDEX(PacNome,MATCH($D2082,PacCod,0)),"Paciente não cadastrado"))</f>
        <v>0</v>
      </c>
      <c r="K2082" s="26">
        <f>IF($D2082="","",IFERROR(INDEX(PacConv,MATCH($D2082,PacCod,0))&amp;"",""))</f>
        <v>0</v>
      </c>
      <c r="L2082" s="26">
        <f>IF($A2082="","",CHOOSE(WEEKDAY($A2082,2),"Seg","Ter","Qua","Qui","Sex","Sáb","Dom"))</f>
        <v>0</v>
      </c>
      <c r="M2082" s="27">
        <f>IF($E2082="","",IF($G2082&lt;&gt;"",$G2082,IFERROR(INDEX(ProcValor,MATCH($E2082,ProcNome,0)),0)))</f>
        <v>0</v>
      </c>
      <c r="N2082" s="27">
        <f>IF($M2082="","",IF($F2082="Compareceu",$M2082,0))</f>
        <v>0</v>
      </c>
      <c r="O2082" s="27">
        <f>IF($M2082="","",IF($F2082="Faltou",$M2082,0))</f>
        <v>0</v>
      </c>
      <c r="P2082" s="27">
        <f>IF($M2082="","",IF($F2082="Compareceu",MAX(0,$M2082-N($H2082)),0))</f>
        <v>0</v>
      </c>
      <c r="Q2082" s="19">
        <f>IF(AND($F2082="Compareceu",$E2082&lt;&gt;"",$A2082&lt;&gt;""),IF(IFERROR(INDEX(ProcRet,MATCH($E2082,ProcNome,0)),0)&gt;0,$A2082+INDEX(ProcRet,MATCH($E2082,ProcNome,0)),""),"")</f>
        <v>0</v>
      </c>
      <c r="R2082" s="26">
        <f>IF($Q2082="","",IF(COUNTIFS(AgPac,$D2082,AgData,"&gt;"&amp;$A2082,AgStatus,"&lt;&gt;Cancelado",AgStatus,"&lt;&gt;Remarcado")&gt;0,"Sim","Não"))</f>
        <v>0</v>
      </c>
      <c r="S2082" s="28">
        <f>IF($A2082="","",IF(AND($F2082="Agendado",$A2082-Hoje&gt;=0,$A2082-Hoje&lt;=DiasConf),"CONFIRMAR",IF(AND($A2082&lt;Hoje,OR($F2082="Agendado",$F2082="Confirmado")),"Atualizar status",IF(AND($F2082="Compareceu",$P2082&gt;0.005),"Cobrar",IF($F2082="Faltou","Falta: reagendar","")))))</f>
        <v>0</v>
      </c>
      <c r="T2082" s="29">
        <f>IF($A2082="","",DATE(YEAR($A2082),MONTH($A2082),1))</f>
        <v>0</v>
      </c>
      <c r="U2082" s="30">
        <f>IF($S2082="CONFIRMAR",MAX($U$4:$U2081)+1,"")</f>
        <v>0</v>
      </c>
      <c r="V2082" s="30">
        <f>IF(AND($R2082="Não",$Q2082&lt;&gt;"",$Q2082&lt;=Hoje+JanelaRet,$Q2082&gt;=Hoje-60),MAX($V$4:$V2081)+1,"")</f>
        <v>0</v>
      </c>
    </row>
    <row r="2083" spans="1:22">
      <c r="A2083" s="16"/>
      <c r="B2083" s="23"/>
      <c r="C2083" s="15"/>
      <c r="D2083" s="15"/>
      <c r="E2083" s="15"/>
      <c r="F2083" s="24"/>
      <c r="G2083" s="17"/>
      <c r="H2083" s="17"/>
      <c r="I2083" s="15"/>
      <c r="J2083" s="25">
        <f>IF($D2083="","",IFERROR(INDEX(PacNome,MATCH($D2083,PacCod,0)),"Paciente não cadastrado"))</f>
        <v>0</v>
      </c>
      <c r="K2083" s="26">
        <f>IF($D2083="","",IFERROR(INDEX(PacConv,MATCH($D2083,PacCod,0))&amp;"",""))</f>
        <v>0</v>
      </c>
      <c r="L2083" s="26">
        <f>IF($A2083="","",CHOOSE(WEEKDAY($A2083,2),"Seg","Ter","Qua","Qui","Sex","Sáb","Dom"))</f>
        <v>0</v>
      </c>
      <c r="M2083" s="27">
        <f>IF($E2083="","",IF($G2083&lt;&gt;"",$G2083,IFERROR(INDEX(ProcValor,MATCH($E2083,ProcNome,0)),0)))</f>
        <v>0</v>
      </c>
      <c r="N2083" s="27">
        <f>IF($M2083="","",IF($F2083="Compareceu",$M2083,0))</f>
        <v>0</v>
      </c>
      <c r="O2083" s="27">
        <f>IF($M2083="","",IF($F2083="Faltou",$M2083,0))</f>
        <v>0</v>
      </c>
      <c r="P2083" s="27">
        <f>IF($M2083="","",IF($F2083="Compareceu",MAX(0,$M2083-N($H2083)),0))</f>
        <v>0</v>
      </c>
      <c r="Q2083" s="19">
        <f>IF(AND($F2083="Compareceu",$E2083&lt;&gt;"",$A2083&lt;&gt;""),IF(IFERROR(INDEX(ProcRet,MATCH($E2083,ProcNome,0)),0)&gt;0,$A2083+INDEX(ProcRet,MATCH($E2083,ProcNome,0)),""),"")</f>
        <v>0</v>
      </c>
      <c r="R2083" s="26">
        <f>IF($Q2083="","",IF(COUNTIFS(AgPac,$D2083,AgData,"&gt;"&amp;$A2083,AgStatus,"&lt;&gt;Cancelado",AgStatus,"&lt;&gt;Remarcado")&gt;0,"Sim","Não"))</f>
        <v>0</v>
      </c>
      <c r="S2083" s="28">
        <f>IF($A2083="","",IF(AND($F2083="Agendado",$A2083-Hoje&gt;=0,$A2083-Hoje&lt;=DiasConf),"CONFIRMAR",IF(AND($A2083&lt;Hoje,OR($F2083="Agendado",$F2083="Confirmado")),"Atualizar status",IF(AND($F2083="Compareceu",$P2083&gt;0.005),"Cobrar",IF($F2083="Faltou","Falta: reagendar","")))))</f>
        <v>0</v>
      </c>
      <c r="T2083" s="29">
        <f>IF($A2083="","",DATE(YEAR($A2083),MONTH($A2083),1))</f>
        <v>0</v>
      </c>
      <c r="U2083" s="30">
        <f>IF($S2083="CONFIRMAR",MAX($U$4:$U2082)+1,"")</f>
        <v>0</v>
      </c>
      <c r="V2083" s="30">
        <f>IF(AND($R2083="Não",$Q2083&lt;&gt;"",$Q2083&lt;=Hoje+JanelaRet,$Q2083&gt;=Hoje-60),MAX($V$4:$V2082)+1,"")</f>
        <v>0</v>
      </c>
    </row>
    <row r="2084" spans="1:22">
      <c r="A2084" s="16"/>
      <c r="B2084" s="23"/>
      <c r="C2084" s="15"/>
      <c r="D2084" s="15"/>
      <c r="E2084" s="15"/>
      <c r="F2084" s="24"/>
      <c r="G2084" s="17"/>
      <c r="H2084" s="17"/>
      <c r="I2084" s="15"/>
      <c r="J2084" s="25">
        <f>IF($D2084="","",IFERROR(INDEX(PacNome,MATCH($D2084,PacCod,0)),"Paciente não cadastrado"))</f>
        <v>0</v>
      </c>
      <c r="K2084" s="26">
        <f>IF($D2084="","",IFERROR(INDEX(PacConv,MATCH($D2084,PacCod,0))&amp;"",""))</f>
        <v>0</v>
      </c>
      <c r="L2084" s="26">
        <f>IF($A2084="","",CHOOSE(WEEKDAY($A2084,2),"Seg","Ter","Qua","Qui","Sex","Sáb","Dom"))</f>
        <v>0</v>
      </c>
      <c r="M2084" s="27">
        <f>IF($E2084="","",IF($G2084&lt;&gt;"",$G2084,IFERROR(INDEX(ProcValor,MATCH($E2084,ProcNome,0)),0)))</f>
        <v>0</v>
      </c>
      <c r="N2084" s="27">
        <f>IF($M2084="","",IF($F2084="Compareceu",$M2084,0))</f>
        <v>0</v>
      </c>
      <c r="O2084" s="27">
        <f>IF($M2084="","",IF($F2084="Faltou",$M2084,0))</f>
        <v>0</v>
      </c>
      <c r="P2084" s="27">
        <f>IF($M2084="","",IF($F2084="Compareceu",MAX(0,$M2084-N($H2084)),0))</f>
        <v>0</v>
      </c>
      <c r="Q2084" s="19">
        <f>IF(AND($F2084="Compareceu",$E2084&lt;&gt;"",$A2084&lt;&gt;""),IF(IFERROR(INDEX(ProcRet,MATCH($E2084,ProcNome,0)),0)&gt;0,$A2084+INDEX(ProcRet,MATCH($E2084,ProcNome,0)),""),"")</f>
        <v>0</v>
      </c>
      <c r="R2084" s="26">
        <f>IF($Q2084="","",IF(COUNTIFS(AgPac,$D2084,AgData,"&gt;"&amp;$A2084,AgStatus,"&lt;&gt;Cancelado",AgStatus,"&lt;&gt;Remarcado")&gt;0,"Sim","Não"))</f>
        <v>0</v>
      </c>
      <c r="S2084" s="28">
        <f>IF($A2084="","",IF(AND($F2084="Agendado",$A2084-Hoje&gt;=0,$A2084-Hoje&lt;=DiasConf),"CONFIRMAR",IF(AND($A2084&lt;Hoje,OR($F2084="Agendado",$F2084="Confirmado")),"Atualizar status",IF(AND($F2084="Compareceu",$P2084&gt;0.005),"Cobrar",IF($F2084="Faltou","Falta: reagendar","")))))</f>
        <v>0</v>
      </c>
      <c r="T2084" s="29">
        <f>IF($A2084="","",DATE(YEAR($A2084),MONTH($A2084),1))</f>
        <v>0</v>
      </c>
      <c r="U2084" s="30">
        <f>IF($S2084="CONFIRMAR",MAX($U$4:$U2083)+1,"")</f>
        <v>0</v>
      </c>
      <c r="V2084" s="30">
        <f>IF(AND($R2084="Não",$Q2084&lt;&gt;"",$Q2084&lt;=Hoje+JanelaRet,$Q2084&gt;=Hoje-60),MAX($V$4:$V2083)+1,"")</f>
        <v>0</v>
      </c>
    </row>
    <row r="2085" spans="1:22">
      <c r="A2085" s="16"/>
      <c r="B2085" s="23"/>
      <c r="C2085" s="15"/>
      <c r="D2085" s="15"/>
      <c r="E2085" s="15"/>
      <c r="F2085" s="24"/>
      <c r="G2085" s="17"/>
      <c r="H2085" s="17"/>
      <c r="I2085" s="15"/>
      <c r="J2085" s="25">
        <f>IF($D2085="","",IFERROR(INDEX(PacNome,MATCH($D2085,PacCod,0)),"Paciente não cadastrado"))</f>
        <v>0</v>
      </c>
      <c r="K2085" s="26">
        <f>IF($D2085="","",IFERROR(INDEX(PacConv,MATCH($D2085,PacCod,0))&amp;"",""))</f>
        <v>0</v>
      </c>
      <c r="L2085" s="26">
        <f>IF($A2085="","",CHOOSE(WEEKDAY($A2085,2),"Seg","Ter","Qua","Qui","Sex","Sáb","Dom"))</f>
        <v>0</v>
      </c>
      <c r="M2085" s="27">
        <f>IF($E2085="","",IF($G2085&lt;&gt;"",$G2085,IFERROR(INDEX(ProcValor,MATCH($E2085,ProcNome,0)),0)))</f>
        <v>0</v>
      </c>
      <c r="N2085" s="27">
        <f>IF($M2085="","",IF($F2085="Compareceu",$M2085,0))</f>
        <v>0</v>
      </c>
      <c r="O2085" s="27">
        <f>IF($M2085="","",IF($F2085="Faltou",$M2085,0))</f>
        <v>0</v>
      </c>
      <c r="P2085" s="27">
        <f>IF($M2085="","",IF($F2085="Compareceu",MAX(0,$M2085-N($H2085)),0))</f>
        <v>0</v>
      </c>
      <c r="Q2085" s="19">
        <f>IF(AND($F2085="Compareceu",$E2085&lt;&gt;"",$A2085&lt;&gt;""),IF(IFERROR(INDEX(ProcRet,MATCH($E2085,ProcNome,0)),0)&gt;0,$A2085+INDEX(ProcRet,MATCH($E2085,ProcNome,0)),""),"")</f>
        <v>0</v>
      </c>
      <c r="R2085" s="26">
        <f>IF($Q2085="","",IF(COUNTIFS(AgPac,$D2085,AgData,"&gt;"&amp;$A2085,AgStatus,"&lt;&gt;Cancelado",AgStatus,"&lt;&gt;Remarcado")&gt;0,"Sim","Não"))</f>
        <v>0</v>
      </c>
      <c r="S2085" s="28">
        <f>IF($A2085="","",IF(AND($F2085="Agendado",$A2085-Hoje&gt;=0,$A2085-Hoje&lt;=DiasConf),"CONFIRMAR",IF(AND($A2085&lt;Hoje,OR($F2085="Agendado",$F2085="Confirmado")),"Atualizar status",IF(AND($F2085="Compareceu",$P2085&gt;0.005),"Cobrar",IF($F2085="Faltou","Falta: reagendar","")))))</f>
        <v>0</v>
      </c>
      <c r="T2085" s="29">
        <f>IF($A2085="","",DATE(YEAR($A2085),MONTH($A2085),1))</f>
        <v>0</v>
      </c>
      <c r="U2085" s="30">
        <f>IF($S2085="CONFIRMAR",MAX($U$4:$U2084)+1,"")</f>
        <v>0</v>
      </c>
      <c r="V2085" s="30">
        <f>IF(AND($R2085="Não",$Q2085&lt;&gt;"",$Q2085&lt;=Hoje+JanelaRet,$Q2085&gt;=Hoje-60),MAX($V$4:$V2084)+1,"")</f>
        <v>0</v>
      </c>
    </row>
    <row r="2086" spans="1:22">
      <c r="A2086" s="16"/>
      <c r="B2086" s="23"/>
      <c r="C2086" s="15"/>
      <c r="D2086" s="15"/>
      <c r="E2086" s="15"/>
      <c r="F2086" s="24"/>
      <c r="G2086" s="17"/>
      <c r="H2086" s="17"/>
      <c r="I2086" s="15"/>
      <c r="J2086" s="25">
        <f>IF($D2086="","",IFERROR(INDEX(PacNome,MATCH($D2086,PacCod,0)),"Paciente não cadastrado"))</f>
        <v>0</v>
      </c>
      <c r="K2086" s="26">
        <f>IF($D2086="","",IFERROR(INDEX(PacConv,MATCH($D2086,PacCod,0))&amp;"",""))</f>
        <v>0</v>
      </c>
      <c r="L2086" s="26">
        <f>IF($A2086="","",CHOOSE(WEEKDAY($A2086,2),"Seg","Ter","Qua","Qui","Sex","Sáb","Dom"))</f>
        <v>0</v>
      </c>
      <c r="M2086" s="27">
        <f>IF($E2086="","",IF($G2086&lt;&gt;"",$G2086,IFERROR(INDEX(ProcValor,MATCH($E2086,ProcNome,0)),0)))</f>
        <v>0</v>
      </c>
      <c r="N2086" s="27">
        <f>IF($M2086="","",IF($F2086="Compareceu",$M2086,0))</f>
        <v>0</v>
      </c>
      <c r="O2086" s="27">
        <f>IF($M2086="","",IF($F2086="Faltou",$M2086,0))</f>
        <v>0</v>
      </c>
      <c r="P2086" s="27">
        <f>IF($M2086="","",IF($F2086="Compareceu",MAX(0,$M2086-N($H2086)),0))</f>
        <v>0</v>
      </c>
      <c r="Q2086" s="19">
        <f>IF(AND($F2086="Compareceu",$E2086&lt;&gt;"",$A2086&lt;&gt;""),IF(IFERROR(INDEX(ProcRet,MATCH($E2086,ProcNome,0)),0)&gt;0,$A2086+INDEX(ProcRet,MATCH($E2086,ProcNome,0)),""),"")</f>
        <v>0</v>
      </c>
      <c r="R2086" s="26">
        <f>IF($Q2086="","",IF(COUNTIFS(AgPac,$D2086,AgData,"&gt;"&amp;$A2086,AgStatus,"&lt;&gt;Cancelado",AgStatus,"&lt;&gt;Remarcado")&gt;0,"Sim","Não"))</f>
        <v>0</v>
      </c>
      <c r="S2086" s="28">
        <f>IF($A2086="","",IF(AND($F2086="Agendado",$A2086-Hoje&gt;=0,$A2086-Hoje&lt;=DiasConf),"CONFIRMAR",IF(AND($A2086&lt;Hoje,OR($F2086="Agendado",$F2086="Confirmado")),"Atualizar status",IF(AND($F2086="Compareceu",$P2086&gt;0.005),"Cobrar",IF($F2086="Faltou","Falta: reagendar","")))))</f>
        <v>0</v>
      </c>
      <c r="T2086" s="29">
        <f>IF($A2086="","",DATE(YEAR($A2086),MONTH($A2086),1))</f>
        <v>0</v>
      </c>
      <c r="U2086" s="30">
        <f>IF($S2086="CONFIRMAR",MAX($U$4:$U2085)+1,"")</f>
        <v>0</v>
      </c>
      <c r="V2086" s="30">
        <f>IF(AND($R2086="Não",$Q2086&lt;&gt;"",$Q2086&lt;=Hoje+JanelaRet,$Q2086&gt;=Hoje-60),MAX($V$4:$V2085)+1,"")</f>
        <v>0</v>
      </c>
    </row>
    <row r="2087" spans="1:22">
      <c r="A2087" s="16"/>
      <c r="B2087" s="23"/>
      <c r="C2087" s="15"/>
      <c r="D2087" s="15"/>
      <c r="E2087" s="15"/>
      <c r="F2087" s="24"/>
      <c r="G2087" s="17"/>
      <c r="H2087" s="17"/>
      <c r="I2087" s="15"/>
      <c r="J2087" s="25">
        <f>IF($D2087="","",IFERROR(INDEX(PacNome,MATCH($D2087,PacCod,0)),"Paciente não cadastrado"))</f>
        <v>0</v>
      </c>
      <c r="K2087" s="26">
        <f>IF($D2087="","",IFERROR(INDEX(PacConv,MATCH($D2087,PacCod,0))&amp;"",""))</f>
        <v>0</v>
      </c>
      <c r="L2087" s="26">
        <f>IF($A2087="","",CHOOSE(WEEKDAY($A2087,2),"Seg","Ter","Qua","Qui","Sex","Sáb","Dom"))</f>
        <v>0</v>
      </c>
      <c r="M2087" s="27">
        <f>IF($E2087="","",IF($G2087&lt;&gt;"",$G2087,IFERROR(INDEX(ProcValor,MATCH($E2087,ProcNome,0)),0)))</f>
        <v>0</v>
      </c>
      <c r="N2087" s="27">
        <f>IF($M2087="","",IF($F2087="Compareceu",$M2087,0))</f>
        <v>0</v>
      </c>
      <c r="O2087" s="27">
        <f>IF($M2087="","",IF($F2087="Faltou",$M2087,0))</f>
        <v>0</v>
      </c>
      <c r="P2087" s="27">
        <f>IF($M2087="","",IF($F2087="Compareceu",MAX(0,$M2087-N($H2087)),0))</f>
        <v>0</v>
      </c>
      <c r="Q2087" s="19">
        <f>IF(AND($F2087="Compareceu",$E2087&lt;&gt;"",$A2087&lt;&gt;""),IF(IFERROR(INDEX(ProcRet,MATCH($E2087,ProcNome,0)),0)&gt;0,$A2087+INDEX(ProcRet,MATCH($E2087,ProcNome,0)),""),"")</f>
        <v>0</v>
      </c>
      <c r="R2087" s="26">
        <f>IF($Q2087="","",IF(COUNTIFS(AgPac,$D2087,AgData,"&gt;"&amp;$A2087,AgStatus,"&lt;&gt;Cancelado",AgStatus,"&lt;&gt;Remarcado")&gt;0,"Sim","Não"))</f>
        <v>0</v>
      </c>
      <c r="S2087" s="28">
        <f>IF($A2087="","",IF(AND($F2087="Agendado",$A2087-Hoje&gt;=0,$A2087-Hoje&lt;=DiasConf),"CONFIRMAR",IF(AND($A2087&lt;Hoje,OR($F2087="Agendado",$F2087="Confirmado")),"Atualizar status",IF(AND($F2087="Compareceu",$P2087&gt;0.005),"Cobrar",IF($F2087="Faltou","Falta: reagendar","")))))</f>
        <v>0</v>
      </c>
      <c r="T2087" s="29">
        <f>IF($A2087="","",DATE(YEAR($A2087),MONTH($A2087),1))</f>
        <v>0</v>
      </c>
      <c r="U2087" s="30">
        <f>IF($S2087="CONFIRMAR",MAX($U$4:$U2086)+1,"")</f>
        <v>0</v>
      </c>
      <c r="V2087" s="30">
        <f>IF(AND($R2087="Não",$Q2087&lt;&gt;"",$Q2087&lt;=Hoje+JanelaRet,$Q2087&gt;=Hoje-60),MAX($V$4:$V2086)+1,"")</f>
        <v>0</v>
      </c>
    </row>
    <row r="2088" spans="1:22">
      <c r="A2088" s="16"/>
      <c r="B2088" s="23"/>
      <c r="C2088" s="15"/>
      <c r="D2088" s="15"/>
      <c r="E2088" s="15"/>
      <c r="F2088" s="24"/>
      <c r="G2088" s="17"/>
      <c r="H2088" s="17"/>
      <c r="I2088" s="15"/>
      <c r="J2088" s="25">
        <f>IF($D2088="","",IFERROR(INDEX(PacNome,MATCH($D2088,PacCod,0)),"Paciente não cadastrado"))</f>
        <v>0</v>
      </c>
      <c r="K2088" s="26">
        <f>IF($D2088="","",IFERROR(INDEX(PacConv,MATCH($D2088,PacCod,0))&amp;"",""))</f>
        <v>0</v>
      </c>
      <c r="L2088" s="26">
        <f>IF($A2088="","",CHOOSE(WEEKDAY($A2088,2),"Seg","Ter","Qua","Qui","Sex","Sáb","Dom"))</f>
        <v>0</v>
      </c>
      <c r="M2088" s="27">
        <f>IF($E2088="","",IF($G2088&lt;&gt;"",$G2088,IFERROR(INDEX(ProcValor,MATCH($E2088,ProcNome,0)),0)))</f>
        <v>0</v>
      </c>
      <c r="N2088" s="27">
        <f>IF($M2088="","",IF($F2088="Compareceu",$M2088,0))</f>
        <v>0</v>
      </c>
      <c r="O2088" s="27">
        <f>IF($M2088="","",IF($F2088="Faltou",$M2088,0))</f>
        <v>0</v>
      </c>
      <c r="P2088" s="27">
        <f>IF($M2088="","",IF($F2088="Compareceu",MAX(0,$M2088-N($H2088)),0))</f>
        <v>0</v>
      </c>
      <c r="Q2088" s="19">
        <f>IF(AND($F2088="Compareceu",$E2088&lt;&gt;"",$A2088&lt;&gt;""),IF(IFERROR(INDEX(ProcRet,MATCH($E2088,ProcNome,0)),0)&gt;0,$A2088+INDEX(ProcRet,MATCH($E2088,ProcNome,0)),""),"")</f>
        <v>0</v>
      </c>
      <c r="R2088" s="26">
        <f>IF($Q2088="","",IF(COUNTIFS(AgPac,$D2088,AgData,"&gt;"&amp;$A2088,AgStatus,"&lt;&gt;Cancelado",AgStatus,"&lt;&gt;Remarcado")&gt;0,"Sim","Não"))</f>
        <v>0</v>
      </c>
      <c r="S2088" s="28">
        <f>IF($A2088="","",IF(AND($F2088="Agendado",$A2088-Hoje&gt;=0,$A2088-Hoje&lt;=DiasConf),"CONFIRMAR",IF(AND($A2088&lt;Hoje,OR($F2088="Agendado",$F2088="Confirmado")),"Atualizar status",IF(AND($F2088="Compareceu",$P2088&gt;0.005),"Cobrar",IF($F2088="Faltou","Falta: reagendar","")))))</f>
        <v>0</v>
      </c>
      <c r="T2088" s="29">
        <f>IF($A2088="","",DATE(YEAR($A2088),MONTH($A2088),1))</f>
        <v>0</v>
      </c>
      <c r="U2088" s="30">
        <f>IF($S2088="CONFIRMAR",MAX($U$4:$U2087)+1,"")</f>
        <v>0</v>
      </c>
      <c r="V2088" s="30">
        <f>IF(AND($R2088="Não",$Q2088&lt;&gt;"",$Q2088&lt;=Hoje+JanelaRet,$Q2088&gt;=Hoje-60),MAX($V$4:$V2087)+1,"")</f>
        <v>0</v>
      </c>
    </row>
    <row r="2089" spans="1:22">
      <c r="A2089" s="16"/>
      <c r="B2089" s="23"/>
      <c r="C2089" s="15"/>
      <c r="D2089" s="15"/>
      <c r="E2089" s="15"/>
      <c r="F2089" s="24"/>
      <c r="G2089" s="17"/>
      <c r="H2089" s="17"/>
      <c r="I2089" s="15"/>
      <c r="J2089" s="25">
        <f>IF($D2089="","",IFERROR(INDEX(PacNome,MATCH($D2089,PacCod,0)),"Paciente não cadastrado"))</f>
        <v>0</v>
      </c>
      <c r="K2089" s="26">
        <f>IF($D2089="","",IFERROR(INDEX(PacConv,MATCH($D2089,PacCod,0))&amp;"",""))</f>
        <v>0</v>
      </c>
      <c r="L2089" s="26">
        <f>IF($A2089="","",CHOOSE(WEEKDAY($A2089,2),"Seg","Ter","Qua","Qui","Sex","Sáb","Dom"))</f>
        <v>0</v>
      </c>
      <c r="M2089" s="27">
        <f>IF($E2089="","",IF($G2089&lt;&gt;"",$G2089,IFERROR(INDEX(ProcValor,MATCH($E2089,ProcNome,0)),0)))</f>
        <v>0</v>
      </c>
      <c r="N2089" s="27">
        <f>IF($M2089="","",IF($F2089="Compareceu",$M2089,0))</f>
        <v>0</v>
      </c>
      <c r="O2089" s="27">
        <f>IF($M2089="","",IF($F2089="Faltou",$M2089,0))</f>
        <v>0</v>
      </c>
      <c r="P2089" s="27">
        <f>IF($M2089="","",IF($F2089="Compareceu",MAX(0,$M2089-N($H2089)),0))</f>
        <v>0</v>
      </c>
      <c r="Q2089" s="19">
        <f>IF(AND($F2089="Compareceu",$E2089&lt;&gt;"",$A2089&lt;&gt;""),IF(IFERROR(INDEX(ProcRet,MATCH($E2089,ProcNome,0)),0)&gt;0,$A2089+INDEX(ProcRet,MATCH($E2089,ProcNome,0)),""),"")</f>
        <v>0</v>
      </c>
      <c r="R2089" s="26">
        <f>IF($Q2089="","",IF(COUNTIFS(AgPac,$D2089,AgData,"&gt;"&amp;$A2089,AgStatus,"&lt;&gt;Cancelado",AgStatus,"&lt;&gt;Remarcado")&gt;0,"Sim","Não"))</f>
        <v>0</v>
      </c>
      <c r="S2089" s="28">
        <f>IF($A2089="","",IF(AND($F2089="Agendado",$A2089-Hoje&gt;=0,$A2089-Hoje&lt;=DiasConf),"CONFIRMAR",IF(AND($A2089&lt;Hoje,OR($F2089="Agendado",$F2089="Confirmado")),"Atualizar status",IF(AND($F2089="Compareceu",$P2089&gt;0.005),"Cobrar",IF($F2089="Faltou","Falta: reagendar","")))))</f>
        <v>0</v>
      </c>
      <c r="T2089" s="29">
        <f>IF($A2089="","",DATE(YEAR($A2089),MONTH($A2089),1))</f>
        <v>0</v>
      </c>
      <c r="U2089" s="30">
        <f>IF($S2089="CONFIRMAR",MAX($U$4:$U2088)+1,"")</f>
        <v>0</v>
      </c>
      <c r="V2089" s="30">
        <f>IF(AND($R2089="Não",$Q2089&lt;&gt;"",$Q2089&lt;=Hoje+JanelaRet,$Q2089&gt;=Hoje-60),MAX($V$4:$V2088)+1,"")</f>
        <v>0</v>
      </c>
    </row>
    <row r="2090" spans="1:22">
      <c r="A2090" s="16"/>
      <c r="B2090" s="23"/>
      <c r="C2090" s="15"/>
      <c r="D2090" s="15"/>
      <c r="E2090" s="15"/>
      <c r="F2090" s="24"/>
      <c r="G2090" s="17"/>
      <c r="H2090" s="17"/>
      <c r="I2090" s="15"/>
      <c r="J2090" s="25">
        <f>IF($D2090="","",IFERROR(INDEX(PacNome,MATCH($D2090,PacCod,0)),"Paciente não cadastrado"))</f>
        <v>0</v>
      </c>
      <c r="K2090" s="26">
        <f>IF($D2090="","",IFERROR(INDEX(PacConv,MATCH($D2090,PacCod,0))&amp;"",""))</f>
        <v>0</v>
      </c>
      <c r="L2090" s="26">
        <f>IF($A2090="","",CHOOSE(WEEKDAY($A2090,2),"Seg","Ter","Qua","Qui","Sex","Sáb","Dom"))</f>
        <v>0</v>
      </c>
      <c r="M2090" s="27">
        <f>IF($E2090="","",IF($G2090&lt;&gt;"",$G2090,IFERROR(INDEX(ProcValor,MATCH($E2090,ProcNome,0)),0)))</f>
        <v>0</v>
      </c>
      <c r="N2090" s="27">
        <f>IF($M2090="","",IF($F2090="Compareceu",$M2090,0))</f>
        <v>0</v>
      </c>
      <c r="O2090" s="27">
        <f>IF($M2090="","",IF($F2090="Faltou",$M2090,0))</f>
        <v>0</v>
      </c>
      <c r="P2090" s="27">
        <f>IF($M2090="","",IF($F2090="Compareceu",MAX(0,$M2090-N($H2090)),0))</f>
        <v>0</v>
      </c>
      <c r="Q2090" s="19">
        <f>IF(AND($F2090="Compareceu",$E2090&lt;&gt;"",$A2090&lt;&gt;""),IF(IFERROR(INDEX(ProcRet,MATCH($E2090,ProcNome,0)),0)&gt;0,$A2090+INDEX(ProcRet,MATCH($E2090,ProcNome,0)),""),"")</f>
        <v>0</v>
      </c>
      <c r="R2090" s="26">
        <f>IF($Q2090="","",IF(COUNTIFS(AgPac,$D2090,AgData,"&gt;"&amp;$A2090,AgStatus,"&lt;&gt;Cancelado",AgStatus,"&lt;&gt;Remarcado")&gt;0,"Sim","Não"))</f>
        <v>0</v>
      </c>
      <c r="S2090" s="28">
        <f>IF($A2090="","",IF(AND($F2090="Agendado",$A2090-Hoje&gt;=0,$A2090-Hoje&lt;=DiasConf),"CONFIRMAR",IF(AND($A2090&lt;Hoje,OR($F2090="Agendado",$F2090="Confirmado")),"Atualizar status",IF(AND($F2090="Compareceu",$P2090&gt;0.005),"Cobrar",IF($F2090="Faltou","Falta: reagendar","")))))</f>
        <v>0</v>
      </c>
      <c r="T2090" s="29">
        <f>IF($A2090="","",DATE(YEAR($A2090),MONTH($A2090),1))</f>
        <v>0</v>
      </c>
      <c r="U2090" s="30">
        <f>IF($S2090="CONFIRMAR",MAX($U$4:$U2089)+1,"")</f>
        <v>0</v>
      </c>
      <c r="V2090" s="30">
        <f>IF(AND($R2090="Não",$Q2090&lt;&gt;"",$Q2090&lt;=Hoje+JanelaRet,$Q2090&gt;=Hoje-60),MAX($V$4:$V2089)+1,"")</f>
        <v>0</v>
      </c>
    </row>
    <row r="2091" spans="1:22">
      <c r="A2091" s="16"/>
      <c r="B2091" s="23"/>
      <c r="C2091" s="15"/>
      <c r="D2091" s="15"/>
      <c r="E2091" s="15"/>
      <c r="F2091" s="24"/>
      <c r="G2091" s="17"/>
      <c r="H2091" s="17"/>
      <c r="I2091" s="15"/>
      <c r="J2091" s="25">
        <f>IF($D2091="","",IFERROR(INDEX(PacNome,MATCH($D2091,PacCod,0)),"Paciente não cadastrado"))</f>
        <v>0</v>
      </c>
      <c r="K2091" s="26">
        <f>IF($D2091="","",IFERROR(INDEX(PacConv,MATCH($D2091,PacCod,0))&amp;"",""))</f>
        <v>0</v>
      </c>
      <c r="L2091" s="26">
        <f>IF($A2091="","",CHOOSE(WEEKDAY($A2091,2),"Seg","Ter","Qua","Qui","Sex","Sáb","Dom"))</f>
        <v>0</v>
      </c>
      <c r="M2091" s="27">
        <f>IF($E2091="","",IF($G2091&lt;&gt;"",$G2091,IFERROR(INDEX(ProcValor,MATCH($E2091,ProcNome,0)),0)))</f>
        <v>0</v>
      </c>
      <c r="N2091" s="27">
        <f>IF($M2091="","",IF($F2091="Compareceu",$M2091,0))</f>
        <v>0</v>
      </c>
      <c r="O2091" s="27">
        <f>IF($M2091="","",IF($F2091="Faltou",$M2091,0))</f>
        <v>0</v>
      </c>
      <c r="P2091" s="27">
        <f>IF($M2091="","",IF($F2091="Compareceu",MAX(0,$M2091-N($H2091)),0))</f>
        <v>0</v>
      </c>
      <c r="Q2091" s="19">
        <f>IF(AND($F2091="Compareceu",$E2091&lt;&gt;"",$A2091&lt;&gt;""),IF(IFERROR(INDEX(ProcRet,MATCH($E2091,ProcNome,0)),0)&gt;0,$A2091+INDEX(ProcRet,MATCH($E2091,ProcNome,0)),""),"")</f>
        <v>0</v>
      </c>
      <c r="R2091" s="26">
        <f>IF($Q2091="","",IF(COUNTIFS(AgPac,$D2091,AgData,"&gt;"&amp;$A2091,AgStatus,"&lt;&gt;Cancelado",AgStatus,"&lt;&gt;Remarcado")&gt;0,"Sim","Não"))</f>
        <v>0</v>
      </c>
      <c r="S2091" s="28">
        <f>IF($A2091="","",IF(AND($F2091="Agendado",$A2091-Hoje&gt;=0,$A2091-Hoje&lt;=DiasConf),"CONFIRMAR",IF(AND($A2091&lt;Hoje,OR($F2091="Agendado",$F2091="Confirmado")),"Atualizar status",IF(AND($F2091="Compareceu",$P2091&gt;0.005),"Cobrar",IF($F2091="Faltou","Falta: reagendar","")))))</f>
        <v>0</v>
      </c>
      <c r="T2091" s="29">
        <f>IF($A2091="","",DATE(YEAR($A2091),MONTH($A2091),1))</f>
        <v>0</v>
      </c>
      <c r="U2091" s="30">
        <f>IF($S2091="CONFIRMAR",MAX($U$4:$U2090)+1,"")</f>
        <v>0</v>
      </c>
      <c r="V2091" s="30">
        <f>IF(AND($R2091="Não",$Q2091&lt;&gt;"",$Q2091&lt;=Hoje+JanelaRet,$Q2091&gt;=Hoje-60),MAX($V$4:$V2090)+1,"")</f>
        <v>0</v>
      </c>
    </row>
    <row r="2092" spans="1:22">
      <c r="A2092" s="16"/>
      <c r="B2092" s="23"/>
      <c r="C2092" s="15"/>
      <c r="D2092" s="15"/>
      <c r="E2092" s="15"/>
      <c r="F2092" s="24"/>
      <c r="G2092" s="17"/>
      <c r="H2092" s="17"/>
      <c r="I2092" s="15"/>
      <c r="J2092" s="25">
        <f>IF($D2092="","",IFERROR(INDEX(PacNome,MATCH($D2092,PacCod,0)),"Paciente não cadastrado"))</f>
        <v>0</v>
      </c>
      <c r="K2092" s="26">
        <f>IF($D2092="","",IFERROR(INDEX(PacConv,MATCH($D2092,PacCod,0))&amp;"",""))</f>
        <v>0</v>
      </c>
      <c r="L2092" s="26">
        <f>IF($A2092="","",CHOOSE(WEEKDAY($A2092,2),"Seg","Ter","Qua","Qui","Sex","Sáb","Dom"))</f>
        <v>0</v>
      </c>
      <c r="M2092" s="27">
        <f>IF($E2092="","",IF($G2092&lt;&gt;"",$G2092,IFERROR(INDEX(ProcValor,MATCH($E2092,ProcNome,0)),0)))</f>
        <v>0</v>
      </c>
      <c r="N2092" s="27">
        <f>IF($M2092="","",IF($F2092="Compareceu",$M2092,0))</f>
        <v>0</v>
      </c>
      <c r="O2092" s="27">
        <f>IF($M2092="","",IF($F2092="Faltou",$M2092,0))</f>
        <v>0</v>
      </c>
      <c r="P2092" s="27">
        <f>IF($M2092="","",IF($F2092="Compareceu",MAX(0,$M2092-N($H2092)),0))</f>
        <v>0</v>
      </c>
      <c r="Q2092" s="19">
        <f>IF(AND($F2092="Compareceu",$E2092&lt;&gt;"",$A2092&lt;&gt;""),IF(IFERROR(INDEX(ProcRet,MATCH($E2092,ProcNome,0)),0)&gt;0,$A2092+INDEX(ProcRet,MATCH($E2092,ProcNome,0)),""),"")</f>
        <v>0</v>
      </c>
      <c r="R2092" s="26">
        <f>IF($Q2092="","",IF(COUNTIFS(AgPac,$D2092,AgData,"&gt;"&amp;$A2092,AgStatus,"&lt;&gt;Cancelado",AgStatus,"&lt;&gt;Remarcado")&gt;0,"Sim","Não"))</f>
        <v>0</v>
      </c>
      <c r="S2092" s="28">
        <f>IF($A2092="","",IF(AND($F2092="Agendado",$A2092-Hoje&gt;=0,$A2092-Hoje&lt;=DiasConf),"CONFIRMAR",IF(AND($A2092&lt;Hoje,OR($F2092="Agendado",$F2092="Confirmado")),"Atualizar status",IF(AND($F2092="Compareceu",$P2092&gt;0.005),"Cobrar",IF($F2092="Faltou","Falta: reagendar","")))))</f>
        <v>0</v>
      </c>
      <c r="T2092" s="29">
        <f>IF($A2092="","",DATE(YEAR($A2092),MONTH($A2092),1))</f>
        <v>0</v>
      </c>
      <c r="U2092" s="30">
        <f>IF($S2092="CONFIRMAR",MAX($U$4:$U2091)+1,"")</f>
        <v>0</v>
      </c>
      <c r="V2092" s="30">
        <f>IF(AND($R2092="Não",$Q2092&lt;&gt;"",$Q2092&lt;=Hoje+JanelaRet,$Q2092&gt;=Hoje-60),MAX($V$4:$V2091)+1,"")</f>
        <v>0</v>
      </c>
    </row>
    <row r="2093" spans="1:22">
      <c r="A2093" s="16"/>
      <c r="B2093" s="23"/>
      <c r="C2093" s="15"/>
      <c r="D2093" s="15"/>
      <c r="E2093" s="15"/>
      <c r="F2093" s="24"/>
      <c r="G2093" s="17"/>
      <c r="H2093" s="17"/>
      <c r="I2093" s="15"/>
      <c r="J2093" s="25">
        <f>IF($D2093="","",IFERROR(INDEX(PacNome,MATCH($D2093,PacCod,0)),"Paciente não cadastrado"))</f>
        <v>0</v>
      </c>
      <c r="K2093" s="26">
        <f>IF($D2093="","",IFERROR(INDEX(PacConv,MATCH($D2093,PacCod,0))&amp;"",""))</f>
        <v>0</v>
      </c>
      <c r="L2093" s="26">
        <f>IF($A2093="","",CHOOSE(WEEKDAY($A2093,2),"Seg","Ter","Qua","Qui","Sex","Sáb","Dom"))</f>
        <v>0</v>
      </c>
      <c r="M2093" s="27">
        <f>IF($E2093="","",IF($G2093&lt;&gt;"",$G2093,IFERROR(INDEX(ProcValor,MATCH($E2093,ProcNome,0)),0)))</f>
        <v>0</v>
      </c>
      <c r="N2093" s="27">
        <f>IF($M2093="","",IF($F2093="Compareceu",$M2093,0))</f>
        <v>0</v>
      </c>
      <c r="O2093" s="27">
        <f>IF($M2093="","",IF($F2093="Faltou",$M2093,0))</f>
        <v>0</v>
      </c>
      <c r="P2093" s="27">
        <f>IF($M2093="","",IF($F2093="Compareceu",MAX(0,$M2093-N($H2093)),0))</f>
        <v>0</v>
      </c>
      <c r="Q2093" s="19">
        <f>IF(AND($F2093="Compareceu",$E2093&lt;&gt;"",$A2093&lt;&gt;""),IF(IFERROR(INDEX(ProcRet,MATCH($E2093,ProcNome,0)),0)&gt;0,$A2093+INDEX(ProcRet,MATCH($E2093,ProcNome,0)),""),"")</f>
        <v>0</v>
      </c>
      <c r="R2093" s="26">
        <f>IF($Q2093="","",IF(COUNTIFS(AgPac,$D2093,AgData,"&gt;"&amp;$A2093,AgStatus,"&lt;&gt;Cancelado",AgStatus,"&lt;&gt;Remarcado")&gt;0,"Sim","Não"))</f>
        <v>0</v>
      </c>
      <c r="S2093" s="28">
        <f>IF($A2093="","",IF(AND($F2093="Agendado",$A2093-Hoje&gt;=0,$A2093-Hoje&lt;=DiasConf),"CONFIRMAR",IF(AND($A2093&lt;Hoje,OR($F2093="Agendado",$F2093="Confirmado")),"Atualizar status",IF(AND($F2093="Compareceu",$P2093&gt;0.005),"Cobrar",IF($F2093="Faltou","Falta: reagendar","")))))</f>
        <v>0</v>
      </c>
      <c r="T2093" s="29">
        <f>IF($A2093="","",DATE(YEAR($A2093),MONTH($A2093),1))</f>
        <v>0</v>
      </c>
      <c r="U2093" s="30">
        <f>IF($S2093="CONFIRMAR",MAX($U$4:$U2092)+1,"")</f>
        <v>0</v>
      </c>
      <c r="V2093" s="30">
        <f>IF(AND($R2093="Não",$Q2093&lt;&gt;"",$Q2093&lt;=Hoje+JanelaRet,$Q2093&gt;=Hoje-60),MAX($V$4:$V2092)+1,"")</f>
        <v>0</v>
      </c>
    </row>
    <row r="2094" spans="1:22">
      <c r="A2094" s="16"/>
      <c r="B2094" s="23"/>
      <c r="C2094" s="15"/>
      <c r="D2094" s="15"/>
      <c r="E2094" s="15"/>
      <c r="F2094" s="24"/>
      <c r="G2094" s="17"/>
      <c r="H2094" s="17"/>
      <c r="I2094" s="15"/>
      <c r="J2094" s="25">
        <f>IF($D2094="","",IFERROR(INDEX(PacNome,MATCH($D2094,PacCod,0)),"Paciente não cadastrado"))</f>
        <v>0</v>
      </c>
      <c r="K2094" s="26">
        <f>IF($D2094="","",IFERROR(INDEX(PacConv,MATCH($D2094,PacCod,0))&amp;"",""))</f>
        <v>0</v>
      </c>
      <c r="L2094" s="26">
        <f>IF($A2094="","",CHOOSE(WEEKDAY($A2094,2),"Seg","Ter","Qua","Qui","Sex","Sáb","Dom"))</f>
        <v>0</v>
      </c>
      <c r="M2094" s="27">
        <f>IF($E2094="","",IF($G2094&lt;&gt;"",$G2094,IFERROR(INDEX(ProcValor,MATCH($E2094,ProcNome,0)),0)))</f>
        <v>0</v>
      </c>
      <c r="N2094" s="27">
        <f>IF($M2094="","",IF($F2094="Compareceu",$M2094,0))</f>
        <v>0</v>
      </c>
      <c r="O2094" s="27">
        <f>IF($M2094="","",IF($F2094="Faltou",$M2094,0))</f>
        <v>0</v>
      </c>
      <c r="P2094" s="27">
        <f>IF($M2094="","",IF($F2094="Compareceu",MAX(0,$M2094-N($H2094)),0))</f>
        <v>0</v>
      </c>
      <c r="Q2094" s="19">
        <f>IF(AND($F2094="Compareceu",$E2094&lt;&gt;"",$A2094&lt;&gt;""),IF(IFERROR(INDEX(ProcRet,MATCH($E2094,ProcNome,0)),0)&gt;0,$A2094+INDEX(ProcRet,MATCH($E2094,ProcNome,0)),""),"")</f>
        <v>0</v>
      </c>
      <c r="R2094" s="26">
        <f>IF($Q2094="","",IF(COUNTIFS(AgPac,$D2094,AgData,"&gt;"&amp;$A2094,AgStatus,"&lt;&gt;Cancelado",AgStatus,"&lt;&gt;Remarcado")&gt;0,"Sim","Não"))</f>
        <v>0</v>
      </c>
      <c r="S2094" s="28">
        <f>IF($A2094="","",IF(AND($F2094="Agendado",$A2094-Hoje&gt;=0,$A2094-Hoje&lt;=DiasConf),"CONFIRMAR",IF(AND($A2094&lt;Hoje,OR($F2094="Agendado",$F2094="Confirmado")),"Atualizar status",IF(AND($F2094="Compareceu",$P2094&gt;0.005),"Cobrar",IF($F2094="Faltou","Falta: reagendar","")))))</f>
        <v>0</v>
      </c>
      <c r="T2094" s="29">
        <f>IF($A2094="","",DATE(YEAR($A2094),MONTH($A2094),1))</f>
        <v>0</v>
      </c>
      <c r="U2094" s="30">
        <f>IF($S2094="CONFIRMAR",MAX($U$4:$U2093)+1,"")</f>
        <v>0</v>
      </c>
      <c r="V2094" s="30">
        <f>IF(AND($R2094="Não",$Q2094&lt;&gt;"",$Q2094&lt;=Hoje+JanelaRet,$Q2094&gt;=Hoje-60),MAX($V$4:$V2093)+1,"")</f>
        <v>0</v>
      </c>
    </row>
    <row r="2095" spans="1:22">
      <c r="A2095" s="16"/>
      <c r="B2095" s="23"/>
      <c r="C2095" s="15"/>
      <c r="D2095" s="15"/>
      <c r="E2095" s="15"/>
      <c r="F2095" s="24"/>
      <c r="G2095" s="17"/>
      <c r="H2095" s="17"/>
      <c r="I2095" s="15"/>
      <c r="J2095" s="25">
        <f>IF($D2095="","",IFERROR(INDEX(PacNome,MATCH($D2095,PacCod,0)),"Paciente não cadastrado"))</f>
        <v>0</v>
      </c>
      <c r="K2095" s="26">
        <f>IF($D2095="","",IFERROR(INDEX(PacConv,MATCH($D2095,PacCod,0))&amp;"",""))</f>
        <v>0</v>
      </c>
      <c r="L2095" s="26">
        <f>IF($A2095="","",CHOOSE(WEEKDAY($A2095,2),"Seg","Ter","Qua","Qui","Sex","Sáb","Dom"))</f>
        <v>0</v>
      </c>
      <c r="M2095" s="27">
        <f>IF($E2095="","",IF($G2095&lt;&gt;"",$G2095,IFERROR(INDEX(ProcValor,MATCH($E2095,ProcNome,0)),0)))</f>
        <v>0</v>
      </c>
      <c r="N2095" s="27">
        <f>IF($M2095="","",IF($F2095="Compareceu",$M2095,0))</f>
        <v>0</v>
      </c>
      <c r="O2095" s="27">
        <f>IF($M2095="","",IF($F2095="Faltou",$M2095,0))</f>
        <v>0</v>
      </c>
      <c r="P2095" s="27">
        <f>IF($M2095="","",IF($F2095="Compareceu",MAX(0,$M2095-N($H2095)),0))</f>
        <v>0</v>
      </c>
      <c r="Q2095" s="19">
        <f>IF(AND($F2095="Compareceu",$E2095&lt;&gt;"",$A2095&lt;&gt;""),IF(IFERROR(INDEX(ProcRet,MATCH($E2095,ProcNome,0)),0)&gt;0,$A2095+INDEX(ProcRet,MATCH($E2095,ProcNome,0)),""),"")</f>
        <v>0</v>
      </c>
      <c r="R2095" s="26">
        <f>IF($Q2095="","",IF(COUNTIFS(AgPac,$D2095,AgData,"&gt;"&amp;$A2095,AgStatus,"&lt;&gt;Cancelado",AgStatus,"&lt;&gt;Remarcado")&gt;0,"Sim","Não"))</f>
        <v>0</v>
      </c>
      <c r="S2095" s="28">
        <f>IF($A2095="","",IF(AND($F2095="Agendado",$A2095-Hoje&gt;=0,$A2095-Hoje&lt;=DiasConf),"CONFIRMAR",IF(AND($A2095&lt;Hoje,OR($F2095="Agendado",$F2095="Confirmado")),"Atualizar status",IF(AND($F2095="Compareceu",$P2095&gt;0.005),"Cobrar",IF($F2095="Faltou","Falta: reagendar","")))))</f>
        <v>0</v>
      </c>
      <c r="T2095" s="29">
        <f>IF($A2095="","",DATE(YEAR($A2095),MONTH($A2095),1))</f>
        <v>0</v>
      </c>
      <c r="U2095" s="30">
        <f>IF($S2095="CONFIRMAR",MAX($U$4:$U2094)+1,"")</f>
        <v>0</v>
      </c>
      <c r="V2095" s="30">
        <f>IF(AND($R2095="Não",$Q2095&lt;&gt;"",$Q2095&lt;=Hoje+JanelaRet,$Q2095&gt;=Hoje-60),MAX($V$4:$V2094)+1,"")</f>
        <v>0</v>
      </c>
    </row>
    <row r="2096" spans="1:22">
      <c r="A2096" s="16"/>
      <c r="B2096" s="23"/>
      <c r="C2096" s="15"/>
      <c r="D2096" s="15"/>
      <c r="E2096" s="15"/>
      <c r="F2096" s="24"/>
      <c r="G2096" s="17"/>
      <c r="H2096" s="17"/>
      <c r="I2096" s="15"/>
      <c r="J2096" s="25">
        <f>IF($D2096="","",IFERROR(INDEX(PacNome,MATCH($D2096,PacCod,0)),"Paciente não cadastrado"))</f>
        <v>0</v>
      </c>
      <c r="K2096" s="26">
        <f>IF($D2096="","",IFERROR(INDEX(PacConv,MATCH($D2096,PacCod,0))&amp;"",""))</f>
        <v>0</v>
      </c>
      <c r="L2096" s="26">
        <f>IF($A2096="","",CHOOSE(WEEKDAY($A2096,2),"Seg","Ter","Qua","Qui","Sex","Sáb","Dom"))</f>
        <v>0</v>
      </c>
      <c r="M2096" s="27">
        <f>IF($E2096="","",IF($G2096&lt;&gt;"",$G2096,IFERROR(INDEX(ProcValor,MATCH($E2096,ProcNome,0)),0)))</f>
        <v>0</v>
      </c>
      <c r="N2096" s="27">
        <f>IF($M2096="","",IF($F2096="Compareceu",$M2096,0))</f>
        <v>0</v>
      </c>
      <c r="O2096" s="27">
        <f>IF($M2096="","",IF($F2096="Faltou",$M2096,0))</f>
        <v>0</v>
      </c>
      <c r="P2096" s="27">
        <f>IF($M2096="","",IF($F2096="Compareceu",MAX(0,$M2096-N($H2096)),0))</f>
        <v>0</v>
      </c>
      <c r="Q2096" s="19">
        <f>IF(AND($F2096="Compareceu",$E2096&lt;&gt;"",$A2096&lt;&gt;""),IF(IFERROR(INDEX(ProcRet,MATCH($E2096,ProcNome,0)),0)&gt;0,$A2096+INDEX(ProcRet,MATCH($E2096,ProcNome,0)),""),"")</f>
        <v>0</v>
      </c>
      <c r="R2096" s="26">
        <f>IF($Q2096="","",IF(COUNTIFS(AgPac,$D2096,AgData,"&gt;"&amp;$A2096,AgStatus,"&lt;&gt;Cancelado",AgStatus,"&lt;&gt;Remarcado")&gt;0,"Sim","Não"))</f>
        <v>0</v>
      </c>
      <c r="S2096" s="28">
        <f>IF($A2096="","",IF(AND($F2096="Agendado",$A2096-Hoje&gt;=0,$A2096-Hoje&lt;=DiasConf),"CONFIRMAR",IF(AND($A2096&lt;Hoje,OR($F2096="Agendado",$F2096="Confirmado")),"Atualizar status",IF(AND($F2096="Compareceu",$P2096&gt;0.005),"Cobrar",IF($F2096="Faltou","Falta: reagendar","")))))</f>
        <v>0</v>
      </c>
      <c r="T2096" s="29">
        <f>IF($A2096="","",DATE(YEAR($A2096),MONTH($A2096),1))</f>
        <v>0</v>
      </c>
      <c r="U2096" s="30">
        <f>IF($S2096="CONFIRMAR",MAX($U$4:$U2095)+1,"")</f>
        <v>0</v>
      </c>
      <c r="V2096" s="30">
        <f>IF(AND($R2096="Não",$Q2096&lt;&gt;"",$Q2096&lt;=Hoje+JanelaRet,$Q2096&gt;=Hoje-60),MAX($V$4:$V2095)+1,"")</f>
        <v>0</v>
      </c>
    </row>
    <row r="2097" spans="1:22">
      <c r="A2097" s="16"/>
      <c r="B2097" s="23"/>
      <c r="C2097" s="15"/>
      <c r="D2097" s="15"/>
      <c r="E2097" s="15"/>
      <c r="F2097" s="24"/>
      <c r="G2097" s="17"/>
      <c r="H2097" s="17"/>
      <c r="I2097" s="15"/>
      <c r="J2097" s="25">
        <f>IF($D2097="","",IFERROR(INDEX(PacNome,MATCH($D2097,PacCod,0)),"Paciente não cadastrado"))</f>
        <v>0</v>
      </c>
      <c r="K2097" s="26">
        <f>IF($D2097="","",IFERROR(INDEX(PacConv,MATCH($D2097,PacCod,0))&amp;"",""))</f>
        <v>0</v>
      </c>
      <c r="L2097" s="26">
        <f>IF($A2097="","",CHOOSE(WEEKDAY($A2097,2),"Seg","Ter","Qua","Qui","Sex","Sáb","Dom"))</f>
        <v>0</v>
      </c>
      <c r="M2097" s="27">
        <f>IF($E2097="","",IF($G2097&lt;&gt;"",$G2097,IFERROR(INDEX(ProcValor,MATCH($E2097,ProcNome,0)),0)))</f>
        <v>0</v>
      </c>
      <c r="N2097" s="27">
        <f>IF($M2097="","",IF($F2097="Compareceu",$M2097,0))</f>
        <v>0</v>
      </c>
      <c r="O2097" s="27">
        <f>IF($M2097="","",IF($F2097="Faltou",$M2097,0))</f>
        <v>0</v>
      </c>
      <c r="P2097" s="27">
        <f>IF($M2097="","",IF($F2097="Compareceu",MAX(0,$M2097-N($H2097)),0))</f>
        <v>0</v>
      </c>
      <c r="Q2097" s="19">
        <f>IF(AND($F2097="Compareceu",$E2097&lt;&gt;"",$A2097&lt;&gt;""),IF(IFERROR(INDEX(ProcRet,MATCH($E2097,ProcNome,0)),0)&gt;0,$A2097+INDEX(ProcRet,MATCH($E2097,ProcNome,0)),""),"")</f>
        <v>0</v>
      </c>
      <c r="R2097" s="26">
        <f>IF($Q2097="","",IF(COUNTIFS(AgPac,$D2097,AgData,"&gt;"&amp;$A2097,AgStatus,"&lt;&gt;Cancelado",AgStatus,"&lt;&gt;Remarcado")&gt;0,"Sim","Não"))</f>
        <v>0</v>
      </c>
      <c r="S2097" s="28">
        <f>IF($A2097="","",IF(AND($F2097="Agendado",$A2097-Hoje&gt;=0,$A2097-Hoje&lt;=DiasConf),"CONFIRMAR",IF(AND($A2097&lt;Hoje,OR($F2097="Agendado",$F2097="Confirmado")),"Atualizar status",IF(AND($F2097="Compareceu",$P2097&gt;0.005),"Cobrar",IF($F2097="Faltou","Falta: reagendar","")))))</f>
        <v>0</v>
      </c>
      <c r="T2097" s="29">
        <f>IF($A2097="","",DATE(YEAR($A2097),MONTH($A2097),1))</f>
        <v>0</v>
      </c>
      <c r="U2097" s="30">
        <f>IF($S2097="CONFIRMAR",MAX($U$4:$U2096)+1,"")</f>
        <v>0</v>
      </c>
      <c r="V2097" s="30">
        <f>IF(AND($R2097="Não",$Q2097&lt;&gt;"",$Q2097&lt;=Hoje+JanelaRet,$Q2097&gt;=Hoje-60),MAX($V$4:$V2096)+1,"")</f>
        <v>0</v>
      </c>
    </row>
    <row r="2098" spans="1:22">
      <c r="A2098" s="16"/>
      <c r="B2098" s="23"/>
      <c r="C2098" s="15"/>
      <c r="D2098" s="15"/>
      <c r="E2098" s="15"/>
      <c r="F2098" s="24"/>
      <c r="G2098" s="17"/>
      <c r="H2098" s="17"/>
      <c r="I2098" s="15"/>
      <c r="J2098" s="25">
        <f>IF($D2098="","",IFERROR(INDEX(PacNome,MATCH($D2098,PacCod,0)),"Paciente não cadastrado"))</f>
        <v>0</v>
      </c>
      <c r="K2098" s="26">
        <f>IF($D2098="","",IFERROR(INDEX(PacConv,MATCH($D2098,PacCod,0))&amp;"",""))</f>
        <v>0</v>
      </c>
      <c r="L2098" s="26">
        <f>IF($A2098="","",CHOOSE(WEEKDAY($A2098,2),"Seg","Ter","Qua","Qui","Sex","Sáb","Dom"))</f>
        <v>0</v>
      </c>
      <c r="M2098" s="27">
        <f>IF($E2098="","",IF($G2098&lt;&gt;"",$G2098,IFERROR(INDEX(ProcValor,MATCH($E2098,ProcNome,0)),0)))</f>
        <v>0</v>
      </c>
      <c r="N2098" s="27">
        <f>IF($M2098="","",IF($F2098="Compareceu",$M2098,0))</f>
        <v>0</v>
      </c>
      <c r="O2098" s="27">
        <f>IF($M2098="","",IF($F2098="Faltou",$M2098,0))</f>
        <v>0</v>
      </c>
      <c r="P2098" s="27">
        <f>IF($M2098="","",IF($F2098="Compareceu",MAX(0,$M2098-N($H2098)),0))</f>
        <v>0</v>
      </c>
      <c r="Q2098" s="19">
        <f>IF(AND($F2098="Compareceu",$E2098&lt;&gt;"",$A2098&lt;&gt;""),IF(IFERROR(INDEX(ProcRet,MATCH($E2098,ProcNome,0)),0)&gt;0,$A2098+INDEX(ProcRet,MATCH($E2098,ProcNome,0)),""),"")</f>
        <v>0</v>
      </c>
      <c r="R2098" s="26">
        <f>IF($Q2098="","",IF(COUNTIFS(AgPac,$D2098,AgData,"&gt;"&amp;$A2098,AgStatus,"&lt;&gt;Cancelado",AgStatus,"&lt;&gt;Remarcado")&gt;0,"Sim","Não"))</f>
        <v>0</v>
      </c>
      <c r="S2098" s="28">
        <f>IF($A2098="","",IF(AND($F2098="Agendado",$A2098-Hoje&gt;=0,$A2098-Hoje&lt;=DiasConf),"CONFIRMAR",IF(AND($A2098&lt;Hoje,OR($F2098="Agendado",$F2098="Confirmado")),"Atualizar status",IF(AND($F2098="Compareceu",$P2098&gt;0.005),"Cobrar",IF($F2098="Faltou","Falta: reagendar","")))))</f>
        <v>0</v>
      </c>
      <c r="T2098" s="29">
        <f>IF($A2098="","",DATE(YEAR($A2098),MONTH($A2098),1))</f>
        <v>0</v>
      </c>
      <c r="U2098" s="30">
        <f>IF($S2098="CONFIRMAR",MAX($U$4:$U2097)+1,"")</f>
        <v>0</v>
      </c>
      <c r="V2098" s="30">
        <f>IF(AND($R2098="Não",$Q2098&lt;&gt;"",$Q2098&lt;=Hoje+JanelaRet,$Q2098&gt;=Hoje-60),MAX($V$4:$V2097)+1,"")</f>
        <v>0</v>
      </c>
    </row>
    <row r="2099" spans="1:22">
      <c r="A2099" s="16"/>
      <c r="B2099" s="23"/>
      <c r="C2099" s="15"/>
      <c r="D2099" s="15"/>
      <c r="E2099" s="15"/>
      <c r="F2099" s="24"/>
      <c r="G2099" s="17"/>
      <c r="H2099" s="17"/>
      <c r="I2099" s="15"/>
      <c r="J2099" s="25">
        <f>IF($D2099="","",IFERROR(INDEX(PacNome,MATCH($D2099,PacCod,0)),"Paciente não cadastrado"))</f>
        <v>0</v>
      </c>
      <c r="K2099" s="26">
        <f>IF($D2099="","",IFERROR(INDEX(PacConv,MATCH($D2099,PacCod,0))&amp;"",""))</f>
        <v>0</v>
      </c>
      <c r="L2099" s="26">
        <f>IF($A2099="","",CHOOSE(WEEKDAY($A2099,2),"Seg","Ter","Qua","Qui","Sex","Sáb","Dom"))</f>
        <v>0</v>
      </c>
      <c r="M2099" s="27">
        <f>IF($E2099="","",IF($G2099&lt;&gt;"",$G2099,IFERROR(INDEX(ProcValor,MATCH($E2099,ProcNome,0)),0)))</f>
        <v>0</v>
      </c>
      <c r="N2099" s="27">
        <f>IF($M2099="","",IF($F2099="Compareceu",$M2099,0))</f>
        <v>0</v>
      </c>
      <c r="O2099" s="27">
        <f>IF($M2099="","",IF($F2099="Faltou",$M2099,0))</f>
        <v>0</v>
      </c>
      <c r="P2099" s="27">
        <f>IF($M2099="","",IF($F2099="Compareceu",MAX(0,$M2099-N($H2099)),0))</f>
        <v>0</v>
      </c>
      <c r="Q2099" s="19">
        <f>IF(AND($F2099="Compareceu",$E2099&lt;&gt;"",$A2099&lt;&gt;""),IF(IFERROR(INDEX(ProcRet,MATCH($E2099,ProcNome,0)),0)&gt;0,$A2099+INDEX(ProcRet,MATCH($E2099,ProcNome,0)),""),"")</f>
        <v>0</v>
      </c>
      <c r="R2099" s="26">
        <f>IF($Q2099="","",IF(COUNTIFS(AgPac,$D2099,AgData,"&gt;"&amp;$A2099,AgStatus,"&lt;&gt;Cancelado",AgStatus,"&lt;&gt;Remarcado")&gt;0,"Sim","Não"))</f>
        <v>0</v>
      </c>
      <c r="S2099" s="28">
        <f>IF($A2099="","",IF(AND($F2099="Agendado",$A2099-Hoje&gt;=0,$A2099-Hoje&lt;=DiasConf),"CONFIRMAR",IF(AND($A2099&lt;Hoje,OR($F2099="Agendado",$F2099="Confirmado")),"Atualizar status",IF(AND($F2099="Compareceu",$P2099&gt;0.005),"Cobrar",IF($F2099="Faltou","Falta: reagendar","")))))</f>
        <v>0</v>
      </c>
      <c r="T2099" s="29">
        <f>IF($A2099="","",DATE(YEAR($A2099),MONTH($A2099),1))</f>
        <v>0</v>
      </c>
      <c r="U2099" s="30">
        <f>IF($S2099="CONFIRMAR",MAX($U$4:$U2098)+1,"")</f>
        <v>0</v>
      </c>
      <c r="V2099" s="30">
        <f>IF(AND($R2099="Não",$Q2099&lt;&gt;"",$Q2099&lt;=Hoje+JanelaRet,$Q2099&gt;=Hoje-60),MAX($V$4:$V2098)+1,"")</f>
        <v>0</v>
      </c>
    </row>
    <row r="2100" spans="1:22">
      <c r="A2100" s="16"/>
      <c r="B2100" s="23"/>
      <c r="C2100" s="15"/>
      <c r="D2100" s="15"/>
      <c r="E2100" s="15"/>
      <c r="F2100" s="24"/>
      <c r="G2100" s="17"/>
      <c r="H2100" s="17"/>
      <c r="I2100" s="15"/>
      <c r="J2100" s="25">
        <f>IF($D2100="","",IFERROR(INDEX(PacNome,MATCH($D2100,PacCod,0)),"Paciente não cadastrado"))</f>
        <v>0</v>
      </c>
      <c r="K2100" s="26">
        <f>IF($D2100="","",IFERROR(INDEX(PacConv,MATCH($D2100,PacCod,0))&amp;"",""))</f>
        <v>0</v>
      </c>
      <c r="L2100" s="26">
        <f>IF($A2100="","",CHOOSE(WEEKDAY($A2100,2),"Seg","Ter","Qua","Qui","Sex","Sáb","Dom"))</f>
        <v>0</v>
      </c>
      <c r="M2100" s="27">
        <f>IF($E2100="","",IF($G2100&lt;&gt;"",$G2100,IFERROR(INDEX(ProcValor,MATCH($E2100,ProcNome,0)),0)))</f>
        <v>0</v>
      </c>
      <c r="N2100" s="27">
        <f>IF($M2100="","",IF($F2100="Compareceu",$M2100,0))</f>
        <v>0</v>
      </c>
      <c r="O2100" s="27">
        <f>IF($M2100="","",IF($F2100="Faltou",$M2100,0))</f>
        <v>0</v>
      </c>
      <c r="P2100" s="27">
        <f>IF($M2100="","",IF($F2100="Compareceu",MAX(0,$M2100-N($H2100)),0))</f>
        <v>0</v>
      </c>
      <c r="Q2100" s="19">
        <f>IF(AND($F2100="Compareceu",$E2100&lt;&gt;"",$A2100&lt;&gt;""),IF(IFERROR(INDEX(ProcRet,MATCH($E2100,ProcNome,0)),0)&gt;0,$A2100+INDEX(ProcRet,MATCH($E2100,ProcNome,0)),""),"")</f>
        <v>0</v>
      </c>
      <c r="R2100" s="26">
        <f>IF($Q2100="","",IF(COUNTIFS(AgPac,$D2100,AgData,"&gt;"&amp;$A2100,AgStatus,"&lt;&gt;Cancelado",AgStatus,"&lt;&gt;Remarcado")&gt;0,"Sim","Não"))</f>
        <v>0</v>
      </c>
      <c r="S2100" s="28">
        <f>IF($A2100="","",IF(AND($F2100="Agendado",$A2100-Hoje&gt;=0,$A2100-Hoje&lt;=DiasConf),"CONFIRMAR",IF(AND($A2100&lt;Hoje,OR($F2100="Agendado",$F2100="Confirmado")),"Atualizar status",IF(AND($F2100="Compareceu",$P2100&gt;0.005),"Cobrar",IF($F2100="Faltou","Falta: reagendar","")))))</f>
        <v>0</v>
      </c>
      <c r="T2100" s="29">
        <f>IF($A2100="","",DATE(YEAR($A2100),MONTH($A2100),1))</f>
        <v>0</v>
      </c>
      <c r="U2100" s="30">
        <f>IF($S2100="CONFIRMAR",MAX($U$4:$U2099)+1,"")</f>
        <v>0</v>
      </c>
      <c r="V2100" s="30">
        <f>IF(AND($R2100="Não",$Q2100&lt;&gt;"",$Q2100&lt;=Hoje+JanelaRet,$Q2100&gt;=Hoje-60),MAX($V$4:$V2099)+1,"")</f>
        <v>0</v>
      </c>
    </row>
    <row r="2101" spans="1:22">
      <c r="A2101" s="16"/>
      <c r="B2101" s="23"/>
      <c r="C2101" s="15"/>
      <c r="D2101" s="15"/>
      <c r="E2101" s="15"/>
      <c r="F2101" s="24"/>
      <c r="G2101" s="17"/>
      <c r="H2101" s="17"/>
      <c r="I2101" s="15"/>
      <c r="J2101" s="25">
        <f>IF($D2101="","",IFERROR(INDEX(PacNome,MATCH($D2101,PacCod,0)),"Paciente não cadastrado"))</f>
        <v>0</v>
      </c>
      <c r="K2101" s="26">
        <f>IF($D2101="","",IFERROR(INDEX(PacConv,MATCH($D2101,PacCod,0))&amp;"",""))</f>
        <v>0</v>
      </c>
      <c r="L2101" s="26">
        <f>IF($A2101="","",CHOOSE(WEEKDAY($A2101,2),"Seg","Ter","Qua","Qui","Sex","Sáb","Dom"))</f>
        <v>0</v>
      </c>
      <c r="M2101" s="27">
        <f>IF($E2101="","",IF($G2101&lt;&gt;"",$G2101,IFERROR(INDEX(ProcValor,MATCH($E2101,ProcNome,0)),0)))</f>
        <v>0</v>
      </c>
      <c r="N2101" s="27">
        <f>IF($M2101="","",IF($F2101="Compareceu",$M2101,0))</f>
        <v>0</v>
      </c>
      <c r="O2101" s="27">
        <f>IF($M2101="","",IF($F2101="Faltou",$M2101,0))</f>
        <v>0</v>
      </c>
      <c r="P2101" s="27">
        <f>IF($M2101="","",IF($F2101="Compareceu",MAX(0,$M2101-N($H2101)),0))</f>
        <v>0</v>
      </c>
      <c r="Q2101" s="19">
        <f>IF(AND($F2101="Compareceu",$E2101&lt;&gt;"",$A2101&lt;&gt;""),IF(IFERROR(INDEX(ProcRet,MATCH($E2101,ProcNome,0)),0)&gt;0,$A2101+INDEX(ProcRet,MATCH($E2101,ProcNome,0)),""),"")</f>
        <v>0</v>
      </c>
      <c r="R2101" s="26">
        <f>IF($Q2101="","",IF(COUNTIFS(AgPac,$D2101,AgData,"&gt;"&amp;$A2101,AgStatus,"&lt;&gt;Cancelado",AgStatus,"&lt;&gt;Remarcado")&gt;0,"Sim","Não"))</f>
        <v>0</v>
      </c>
      <c r="S2101" s="28">
        <f>IF($A2101="","",IF(AND($F2101="Agendado",$A2101-Hoje&gt;=0,$A2101-Hoje&lt;=DiasConf),"CONFIRMAR",IF(AND($A2101&lt;Hoje,OR($F2101="Agendado",$F2101="Confirmado")),"Atualizar status",IF(AND($F2101="Compareceu",$P2101&gt;0.005),"Cobrar",IF($F2101="Faltou","Falta: reagendar","")))))</f>
        <v>0</v>
      </c>
      <c r="T2101" s="29">
        <f>IF($A2101="","",DATE(YEAR($A2101),MONTH($A2101),1))</f>
        <v>0</v>
      </c>
      <c r="U2101" s="30">
        <f>IF($S2101="CONFIRMAR",MAX($U$4:$U2100)+1,"")</f>
        <v>0</v>
      </c>
      <c r="V2101" s="30">
        <f>IF(AND($R2101="Não",$Q2101&lt;&gt;"",$Q2101&lt;=Hoje+JanelaRet,$Q2101&gt;=Hoje-60),MAX($V$4:$V2100)+1,"")</f>
        <v>0</v>
      </c>
    </row>
    <row r="2102" spans="1:22">
      <c r="A2102" s="16"/>
      <c r="B2102" s="23"/>
      <c r="C2102" s="15"/>
      <c r="D2102" s="15"/>
      <c r="E2102" s="15"/>
      <c r="F2102" s="24"/>
      <c r="G2102" s="17"/>
      <c r="H2102" s="17"/>
      <c r="I2102" s="15"/>
      <c r="J2102" s="25">
        <f>IF($D2102="","",IFERROR(INDEX(PacNome,MATCH($D2102,PacCod,0)),"Paciente não cadastrado"))</f>
        <v>0</v>
      </c>
      <c r="K2102" s="26">
        <f>IF($D2102="","",IFERROR(INDEX(PacConv,MATCH($D2102,PacCod,0))&amp;"",""))</f>
        <v>0</v>
      </c>
      <c r="L2102" s="26">
        <f>IF($A2102="","",CHOOSE(WEEKDAY($A2102,2),"Seg","Ter","Qua","Qui","Sex","Sáb","Dom"))</f>
        <v>0</v>
      </c>
      <c r="M2102" s="27">
        <f>IF($E2102="","",IF($G2102&lt;&gt;"",$G2102,IFERROR(INDEX(ProcValor,MATCH($E2102,ProcNome,0)),0)))</f>
        <v>0</v>
      </c>
      <c r="N2102" s="27">
        <f>IF($M2102="","",IF($F2102="Compareceu",$M2102,0))</f>
        <v>0</v>
      </c>
      <c r="O2102" s="27">
        <f>IF($M2102="","",IF($F2102="Faltou",$M2102,0))</f>
        <v>0</v>
      </c>
      <c r="P2102" s="27">
        <f>IF($M2102="","",IF($F2102="Compareceu",MAX(0,$M2102-N($H2102)),0))</f>
        <v>0</v>
      </c>
      <c r="Q2102" s="19">
        <f>IF(AND($F2102="Compareceu",$E2102&lt;&gt;"",$A2102&lt;&gt;""),IF(IFERROR(INDEX(ProcRet,MATCH($E2102,ProcNome,0)),0)&gt;0,$A2102+INDEX(ProcRet,MATCH($E2102,ProcNome,0)),""),"")</f>
        <v>0</v>
      </c>
      <c r="R2102" s="26">
        <f>IF($Q2102="","",IF(COUNTIFS(AgPac,$D2102,AgData,"&gt;"&amp;$A2102,AgStatus,"&lt;&gt;Cancelado",AgStatus,"&lt;&gt;Remarcado")&gt;0,"Sim","Não"))</f>
        <v>0</v>
      </c>
      <c r="S2102" s="28">
        <f>IF($A2102="","",IF(AND($F2102="Agendado",$A2102-Hoje&gt;=0,$A2102-Hoje&lt;=DiasConf),"CONFIRMAR",IF(AND($A2102&lt;Hoje,OR($F2102="Agendado",$F2102="Confirmado")),"Atualizar status",IF(AND($F2102="Compareceu",$P2102&gt;0.005),"Cobrar",IF($F2102="Faltou","Falta: reagendar","")))))</f>
        <v>0</v>
      </c>
      <c r="T2102" s="29">
        <f>IF($A2102="","",DATE(YEAR($A2102),MONTH($A2102),1))</f>
        <v>0</v>
      </c>
      <c r="U2102" s="30">
        <f>IF($S2102="CONFIRMAR",MAX($U$4:$U2101)+1,"")</f>
        <v>0</v>
      </c>
      <c r="V2102" s="30">
        <f>IF(AND($R2102="Não",$Q2102&lt;&gt;"",$Q2102&lt;=Hoje+JanelaRet,$Q2102&gt;=Hoje-60),MAX($V$4:$V2101)+1,"")</f>
        <v>0</v>
      </c>
    </row>
    <row r="2103" spans="1:22">
      <c r="A2103" s="16"/>
      <c r="B2103" s="23"/>
      <c r="C2103" s="15"/>
      <c r="D2103" s="15"/>
      <c r="E2103" s="15"/>
      <c r="F2103" s="24"/>
      <c r="G2103" s="17"/>
      <c r="H2103" s="17"/>
      <c r="I2103" s="15"/>
      <c r="J2103" s="25">
        <f>IF($D2103="","",IFERROR(INDEX(PacNome,MATCH($D2103,PacCod,0)),"Paciente não cadastrado"))</f>
        <v>0</v>
      </c>
      <c r="K2103" s="26">
        <f>IF($D2103="","",IFERROR(INDEX(PacConv,MATCH($D2103,PacCod,0))&amp;"",""))</f>
        <v>0</v>
      </c>
      <c r="L2103" s="26">
        <f>IF($A2103="","",CHOOSE(WEEKDAY($A2103,2),"Seg","Ter","Qua","Qui","Sex","Sáb","Dom"))</f>
        <v>0</v>
      </c>
      <c r="M2103" s="27">
        <f>IF($E2103="","",IF($G2103&lt;&gt;"",$G2103,IFERROR(INDEX(ProcValor,MATCH($E2103,ProcNome,0)),0)))</f>
        <v>0</v>
      </c>
      <c r="N2103" s="27">
        <f>IF($M2103="","",IF($F2103="Compareceu",$M2103,0))</f>
        <v>0</v>
      </c>
      <c r="O2103" s="27">
        <f>IF($M2103="","",IF($F2103="Faltou",$M2103,0))</f>
        <v>0</v>
      </c>
      <c r="P2103" s="27">
        <f>IF($M2103="","",IF($F2103="Compareceu",MAX(0,$M2103-N($H2103)),0))</f>
        <v>0</v>
      </c>
      <c r="Q2103" s="19">
        <f>IF(AND($F2103="Compareceu",$E2103&lt;&gt;"",$A2103&lt;&gt;""),IF(IFERROR(INDEX(ProcRet,MATCH($E2103,ProcNome,0)),0)&gt;0,$A2103+INDEX(ProcRet,MATCH($E2103,ProcNome,0)),""),"")</f>
        <v>0</v>
      </c>
      <c r="R2103" s="26">
        <f>IF($Q2103="","",IF(COUNTIFS(AgPac,$D2103,AgData,"&gt;"&amp;$A2103,AgStatus,"&lt;&gt;Cancelado",AgStatus,"&lt;&gt;Remarcado")&gt;0,"Sim","Não"))</f>
        <v>0</v>
      </c>
      <c r="S2103" s="28">
        <f>IF($A2103="","",IF(AND($F2103="Agendado",$A2103-Hoje&gt;=0,$A2103-Hoje&lt;=DiasConf),"CONFIRMAR",IF(AND($A2103&lt;Hoje,OR($F2103="Agendado",$F2103="Confirmado")),"Atualizar status",IF(AND($F2103="Compareceu",$P2103&gt;0.005),"Cobrar",IF($F2103="Faltou","Falta: reagendar","")))))</f>
        <v>0</v>
      </c>
      <c r="T2103" s="29">
        <f>IF($A2103="","",DATE(YEAR($A2103),MONTH($A2103),1))</f>
        <v>0</v>
      </c>
      <c r="U2103" s="30">
        <f>IF($S2103="CONFIRMAR",MAX($U$4:$U2102)+1,"")</f>
        <v>0</v>
      </c>
      <c r="V2103" s="30">
        <f>IF(AND($R2103="Não",$Q2103&lt;&gt;"",$Q2103&lt;=Hoje+JanelaRet,$Q2103&gt;=Hoje-60),MAX($V$4:$V2102)+1,"")</f>
        <v>0</v>
      </c>
    </row>
    <row r="2104" spans="1:22">
      <c r="A2104" s="16"/>
      <c r="B2104" s="23"/>
      <c r="C2104" s="15"/>
      <c r="D2104" s="15"/>
      <c r="E2104" s="15"/>
      <c r="F2104" s="24"/>
      <c r="G2104" s="17"/>
      <c r="H2104" s="17"/>
      <c r="I2104" s="15"/>
      <c r="J2104" s="25">
        <f>IF($D2104="","",IFERROR(INDEX(PacNome,MATCH($D2104,PacCod,0)),"Paciente não cadastrado"))</f>
        <v>0</v>
      </c>
      <c r="K2104" s="26">
        <f>IF($D2104="","",IFERROR(INDEX(PacConv,MATCH($D2104,PacCod,0))&amp;"",""))</f>
        <v>0</v>
      </c>
      <c r="L2104" s="26">
        <f>IF($A2104="","",CHOOSE(WEEKDAY($A2104,2),"Seg","Ter","Qua","Qui","Sex","Sáb","Dom"))</f>
        <v>0</v>
      </c>
      <c r="M2104" s="27">
        <f>IF($E2104="","",IF($G2104&lt;&gt;"",$G2104,IFERROR(INDEX(ProcValor,MATCH($E2104,ProcNome,0)),0)))</f>
        <v>0</v>
      </c>
      <c r="N2104" s="27">
        <f>IF($M2104="","",IF($F2104="Compareceu",$M2104,0))</f>
        <v>0</v>
      </c>
      <c r="O2104" s="27">
        <f>IF($M2104="","",IF($F2104="Faltou",$M2104,0))</f>
        <v>0</v>
      </c>
      <c r="P2104" s="27">
        <f>IF($M2104="","",IF($F2104="Compareceu",MAX(0,$M2104-N($H2104)),0))</f>
        <v>0</v>
      </c>
      <c r="Q2104" s="19">
        <f>IF(AND($F2104="Compareceu",$E2104&lt;&gt;"",$A2104&lt;&gt;""),IF(IFERROR(INDEX(ProcRet,MATCH($E2104,ProcNome,0)),0)&gt;0,$A2104+INDEX(ProcRet,MATCH($E2104,ProcNome,0)),""),"")</f>
        <v>0</v>
      </c>
      <c r="R2104" s="26">
        <f>IF($Q2104="","",IF(COUNTIFS(AgPac,$D2104,AgData,"&gt;"&amp;$A2104,AgStatus,"&lt;&gt;Cancelado",AgStatus,"&lt;&gt;Remarcado")&gt;0,"Sim","Não"))</f>
        <v>0</v>
      </c>
      <c r="S2104" s="28">
        <f>IF($A2104="","",IF(AND($F2104="Agendado",$A2104-Hoje&gt;=0,$A2104-Hoje&lt;=DiasConf),"CONFIRMAR",IF(AND($A2104&lt;Hoje,OR($F2104="Agendado",$F2104="Confirmado")),"Atualizar status",IF(AND($F2104="Compareceu",$P2104&gt;0.005),"Cobrar",IF($F2104="Faltou","Falta: reagendar","")))))</f>
        <v>0</v>
      </c>
      <c r="T2104" s="29">
        <f>IF($A2104="","",DATE(YEAR($A2104),MONTH($A2104),1))</f>
        <v>0</v>
      </c>
      <c r="U2104" s="30">
        <f>IF($S2104="CONFIRMAR",MAX($U$4:$U2103)+1,"")</f>
        <v>0</v>
      </c>
      <c r="V2104" s="30">
        <f>IF(AND($R2104="Não",$Q2104&lt;&gt;"",$Q2104&lt;=Hoje+JanelaRet,$Q2104&gt;=Hoje-60),MAX($V$4:$V2103)+1,"")</f>
        <v>0</v>
      </c>
    </row>
    <row r="2105" spans="1:22">
      <c r="A2105" s="16"/>
      <c r="B2105" s="23"/>
      <c r="C2105" s="15"/>
      <c r="D2105" s="15"/>
      <c r="E2105" s="15"/>
      <c r="F2105" s="24"/>
      <c r="G2105" s="17"/>
      <c r="H2105" s="17"/>
      <c r="I2105" s="15"/>
      <c r="J2105" s="25">
        <f>IF($D2105="","",IFERROR(INDEX(PacNome,MATCH($D2105,PacCod,0)),"Paciente não cadastrado"))</f>
        <v>0</v>
      </c>
      <c r="K2105" s="26">
        <f>IF($D2105="","",IFERROR(INDEX(PacConv,MATCH($D2105,PacCod,0))&amp;"",""))</f>
        <v>0</v>
      </c>
      <c r="L2105" s="26">
        <f>IF($A2105="","",CHOOSE(WEEKDAY($A2105,2),"Seg","Ter","Qua","Qui","Sex","Sáb","Dom"))</f>
        <v>0</v>
      </c>
      <c r="M2105" s="27">
        <f>IF($E2105="","",IF($G2105&lt;&gt;"",$G2105,IFERROR(INDEX(ProcValor,MATCH($E2105,ProcNome,0)),0)))</f>
        <v>0</v>
      </c>
      <c r="N2105" s="27">
        <f>IF($M2105="","",IF($F2105="Compareceu",$M2105,0))</f>
        <v>0</v>
      </c>
      <c r="O2105" s="27">
        <f>IF($M2105="","",IF($F2105="Faltou",$M2105,0))</f>
        <v>0</v>
      </c>
      <c r="P2105" s="27">
        <f>IF($M2105="","",IF($F2105="Compareceu",MAX(0,$M2105-N($H2105)),0))</f>
        <v>0</v>
      </c>
      <c r="Q2105" s="19">
        <f>IF(AND($F2105="Compareceu",$E2105&lt;&gt;"",$A2105&lt;&gt;""),IF(IFERROR(INDEX(ProcRet,MATCH($E2105,ProcNome,0)),0)&gt;0,$A2105+INDEX(ProcRet,MATCH($E2105,ProcNome,0)),""),"")</f>
        <v>0</v>
      </c>
      <c r="R2105" s="26">
        <f>IF($Q2105="","",IF(COUNTIFS(AgPac,$D2105,AgData,"&gt;"&amp;$A2105,AgStatus,"&lt;&gt;Cancelado",AgStatus,"&lt;&gt;Remarcado")&gt;0,"Sim","Não"))</f>
        <v>0</v>
      </c>
      <c r="S2105" s="28">
        <f>IF($A2105="","",IF(AND($F2105="Agendado",$A2105-Hoje&gt;=0,$A2105-Hoje&lt;=DiasConf),"CONFIRMAR",IF(AND($A2105&lt;Hoje,OR($F2105="Agendado",$F2105="Confirmado")),"Atualizar status",IF(AND($F2105="Compareceu",$P2105&gt;0.005),"Cobrar",IF($F2105="Faltou","Falta: reagendar","")))))</f>
        <v>0</v>
      </c>
      <c r="T2105" s="29">
        <f>IF($A2105="","",DATE(YEAR($A2105),MONTH($A2105),1))</f>
        <v>0</v>
      </c>
      <c r="U2105" s="30">
        <f>IF($S2105="CONFIRMAR",MAX($U$4:$U2104)+1,"")</f>
        <v>0</v>
      </c>
      <c r="V2105" s="30">
        <f>IF(AND($R2105="Não",$Q2105&lt;&gt;"",$Q2105&lt;=Hoje+JanelaRet,$Q2105&gt;=Hoje-60),MAX($V$4:$V2104)+1,"")</f>
        <v>0</v>
      </c>
    </row>
    <row r="2106" spans="1:22">
      <c r="A2106" s="16"/>
      <c r="B2106" s="23"/>
      <c r="C2106" s="15"/>
      <c r="D2106" s="15"/>
      <c r="E2106" s="15"/>
      <c r="F2106" s="24"/>
      <c r="G2106" s="17"/>
      <c r="H2106" s="17"/>
      <c r="I2106" s="15"/>
      <c r="J2106" s="25">
        <f>IF($D2106="","",IFERROR(INDEX(PacNome,MATCH($D2106,PacCod,0)),"Paciente não cadastrado"))</f>
        <v>0</v>
      </c>
      <c r="K2106" s="26">
        <f>IF($D2106="","",IFERROR(INDEX(PacConv,MATCH($D2106,PacCod,0))&amp;"",""))</f>
        <v>0</v>
      </c>
      <c r="L2106" s="26">
        <f>IF($A2106="","",CHOOSE(WEEKDAY($A2106,2),"Seg","Ter","Qua","Qui","Sex","Sáb","Dom"))</f>
        <v>0</v>
      </c>
      <c r="M2106" s="27">
        <f>IF($E2106="","",IF($G2106&lt;&gt;"",$G2106,IFERROR(INDEX(ProcValor,MATCH($E2106,ProcNome,0)),0)))</f>
        <v>0</v>
      </c>
      <c r="N2106" s="27">
        <f>IF($M2106="","",IF($F2106="Compareceu",$M2106,0))</f>
        <v>0</v>
      </c>
      <c r="O2106" s="27">
        <f>IF($M2106="","",IF($F2106="Faltou",$M2106,0))</f>
        <v>0</v>
      </c>
      <c r="P2106" s="27">
        <f>IF($M2106="","",IF($F2106="Compareceu",MAX(0,$M2106-N($H2106)),0))</f>
        <v>0</v>
      </c>
      <c r="Q2106" s="19">
        <f>IF(AND($F2106="Compareceu",$E2106&lt;&gt;"",$A2106&lt;&gt;""),IF(IFERROR(INDEX(ProcRet,MATCH($E2106,ProcNome,0)),0)&gt;0,$A2106+INDEX(ProcRet,MATCH($E2106,ProcNome,0)),""),"")</f>
        <v>0</v>
      </c>
      <c r="R2106" s="26">
        <f>IF($Q2106="","",IF(COUNTIFS(AgPac,$D2106,AgData,"&gt;"&amp;$A2106,AgStatus,"&lt;&gt;Cancelado",AgStatus,"&lt;&gt;Remarcado")&gt;0,"Sim","Não"))</f>
        <v>0</v>
      </c>
      <c r="S2106" s="28">
        <f>IF($A2106="","",IF(AND($F2106="Agendado",$A2106-Hoje&gt;=0,$A2106-Hoje&lt;=DiasConf),"CONFIRMAR",IF(AND($A2106&lt;Hoje,OR($F2106="Agendado",$F2106="Confirmado")),"Atualizar status",IF(AND($F2106="Compareceu",$P2106&gt;0.005),"Cobrar",IF($F2106="Faltou","Falta: reagendar","")))))</f>
        <v>0</v>
      </c>
      <c r="T2106" s="29">
        <f>IF($A2106="","",DATE(YEAR($A2106),MONTH($A2106),1))</f>
        <v>0</v>
      </c>
      <c r="U2106" s="30">
        <f>IF($S2106="CONFIRMAR",MAX($U$4:$U2105)+1,"")</f>
        <v>0</v>
      </c>
      <c r="V2106" s="30">
        <f>IF(AND($R2106="Não",$Q2106&lt;&gt;"",$Q2106&lt;=Hoje+JanelaRet,$Q2106&gt;=Hoje-60),MAX($V$4:$V2105)+1,"")</f>
        <v>0</v>
      </c>
    </row>
    <row r="2107" spans="1:22">
      <c r="A2107" s="16"/>
      <c r="B2107" s="23"/>
      <c r="C2107" s="15"/>
      <c r="D2107" s="15"/>
      <c r="E2107" s="15"/>
      <c r="F2107" s="24"/>
      <c r="G2107" s="17"/>
      <c r="H2107" s="17"/>
      <c r="I2107" s="15"/>
      <c r="J2107" s="25">
        <f>IF($D2107="","",IFERROR(INDEX(PacNome,MATCH($D2107,PacCod,0)),"Paciente não cadastrado"))</f>
        <v>0</v>
      </c>
      <c r="K2107" s="26">
        <f>IF($D2107="","",IFERROR(INDEX(PacConv,MATCH($D2107,PacCod,0))&amp;"",""))</f>
        <v>0</v>
      </c>
      <c r="L2107" s="26">
        <f>IF($A2107="","",CHOOSE(WEEKDAY($A2107,2),"Seg","Ter","Qua","Qui","Sex","Sáb","Dom"))</f>
        <v>0</v>
      </c>
      <c r="M2107" s="27">
        <f>IF($E2107="","",IF($G2107&lt;&gt;"",$G2107,IFERROR(INDEX(ProcValor,MATCH($E2107,ProcNome,0)),0)))</f>
        <v>0</v>
      </c>
      <c r="N2107" s="27">
        <f>IF($M2107="","",IF($F2107="Compareceu",$M2107,0))</f>
        <v>0</v>
      </c>
      <c r="O2107" s="27">
        <f>IF($M2107="","",IF($F2107="Faltou",$M2107,0))</f>
        <v>0</v>
      </c>
      <c r="P2107" s="27">
        <f>IF($M2107="","",IF($F2107="Compareceu",MAX(0,$M2107-N($H2107)),0))</f>
        <v>0</v>
      </c>
      <c r="Q2107" s="19">
        <f>IF(AND($F2107="Compareceu",$E2107&lt;&gt;"",$A2107&lt;&gt;""),IF(IFERROR(INDEX(ProcRet,MATCH($E2107,ProcNome,0)),0)&gt;0,$A2107+INDEX(ProcRet,MATCH($E2107,ProcNome,0)),""),"")</f>
        <v>0</v>
      </c>
      <c r="R2107" s="26">
        <f>IF($Q2107="","",IF(COUNTIFS(AgPac,$D2107,AgData,"&gt;"&amp;$A2107,AgStatus,"&lt;&gt;Cancelado",AgStatus,"&lt;&gt;Remarcado")&gt;0,"Sim","Não"))</f>
        <v>0</v>
      </c>
      <c r="S2107" s="28">
        <f>IF($A2107="","",IF(AND($F2107="Agendado",$A2107-Hoje&gt;=0,$A2107-Hoje&lt;=DiasConf),"CONFIRMAR",IF(AND($A2107&lt;Hoje,OR($F2107="Agendado",$F2107="Confirmado")),"Atualizar status",IF(AND($F2107="Compareceu",$P2107&gt;0.005),"Cobrar",IF($F2107="Faltou","Falta: reagendar","")))))</f>
        <v>0</v>
      </c>
      <c r="T2107" s="29">
        <f>IF($A2107="","",DATE(YEAR($A2107),MONTH($A2107),1))</f>
        <v>0</v>
      </c>
      <c r="U2107" s="30">
        <f>IF($S2107="CONFIRMAR",MAX($U$4:$U2106)+1,"")</f>
        <v>0</v>
      </c>
      <c r="V2107" s="30">
        <f>IF(AND($R2107="Não",$Q2107&lt;&gt;"",$Q2107&lt;=Hoje+JanelaRet,$Q2107&gt;=Hoje-60),MAX($V$4:$V2106)+1,"")</f>
        <v>0</v>
      </c>
    </row>
    <row r="2108" spans="1:22">
      <c r="A2108" s="16"/>
      <c r="B2108" s="23"/>
      <c r="C2108" s="15"/>
      <c r="D2108" s="15"/>
      <c r="E2108" s="15"/>
      <c r="F2108" s="24"/>
      <c r="G2108" s="17"/>
      <c r="H2108" s="17"/>
      <c r="I2108" s="15"/>
      <c r="J2108" s="25">
        <f>IF($D2108="","",IFERROR(INDEX(PacNome,MATCH($D2108,PacCod,0)),"Paciente não cadastrado"))</f>
        <v>0</v>
      </c>
      <c r="K2108" s="26">
        <f>IF($D2108="","",IFERROR(INDEX(PacConv,MATCH($D2108,PacCod,0))&amp;"",""))</f>
        <v>0</v>
      </c>
      <c r="L2108" s="26">
        <f>IF($A2108="","",CHOOSE(WEEKDAY($A2108,2),"Seg","Ter","Qua","Qui","Sex","Sáb","Dom"))</f>
        <v>0</v>
      </c>
      <c r="M2108" s="27">
        <f>IF($E2108="","",IF($G2108&lt;&gt;"",$G2108,IFERROR(INDEX(ProcValor,MATCH($E2108,ProcNome,0)),0)))</f>
        <v>0</v>
      </c>
      <c r="N2108" s="27">
        <f>IF($M2108="","",IF($F2108="Compareceu",$M2108,0))</f>
        <v>0</v>
      </c>
      <c r="O2108" s="27">
        <f>IF($M2108="","",IF($F2108="Faltou",$M2108,0))</f>
        <v>0</v>
      </c>
      <c r="P2108" s="27">
        <f>IF($M2108="","",IF($F2108="Compareceu",MAX(0,$M2108-N($H2108)),0))</f>
        <v>0</v>
      </c>
      <c r="Q2108" s="19">
        <f>IF(AND($F2108="Compareceu",$E2108&lt;&gt;"",$A2108&lt;&gt;""),IF(IFERROR(INDEX(ProcRet,MATCH($E2108,ProcNome,0)),0)&gt;0,$A2108+INDEX(ProcRet,MATCH($E2108,ProcNome,0)),""),"")</f>
        <v>0</v>
      </c>
      <c r="R2108" s="26">
        <f>IF($Q2108="","",IF(COUNTIFS(AgPac,$D2108,AgData,"&gt;"&amp;$A2108,AgStatus,"&lt;&gt;Cancelado",AgStatus,"&lt;&gt;Remarcado")&gt;0,"Sim","Não"))</f>
        <v>0</v>
      </c>
      <c r="S2108" s="28">
        <f>IF($A2108="","",IF(AND($F2108="Agendado",$A2108-Hoje&gt;=0,$A2108-Hoje&lt;=DiasConf),"CONFIRMAR",IF(AND($A2108&lt;Hoje,OR($F2108="Agendado",$F2108="Confirmado")),"Atualizar status",IF(AND($F2108="Compareceu",$P2108&gt;0.005),"Cobrar",IF($F2108="Faltou","Falta: reagendar","")))))</f>
        <v>0</v>
      </c>
      <c r="T2108" s="29">
        <f>IF($A2108="","",DATE(YEAR($A2108),MONTH($A2108),1))</f>
        <v>0</v>
      </c>
      <c r="U2108" s="30">
        <f>IF($S2108="CONFIRMAR",MAX($U$4:$U2107)+1,"")</f>
        <v>0</v>
      </c>
      <c r="V2108" s="30">
        <f>IF(AND($R2108="Não",$Q2108&lt;&gt;"",$Q2108&lt;=Hoje+JanelaRet,$Q2108&gt;=Hoje-60),MAX($V$4:$V2107)+1,"")</f>
        <v>0</v>
      </c>
    </row>
    <row r="2109" spans="1:22">
      <c r="A2109" s="16"/>
      <c r="B2109" s="23"/>
      <c r="C2109" s="15"/>
      <c r="D2109" s="15"/>
      <c r="E2109" s="15"/>
      <c r="F2109" s="24"/>
      <c r="G2109" s="17"/>
      <c r="H2109" s="17"/>
      <c r="I2109" s="15"/>
      <c r="J2109" s="25">
        <f>IF($D2109="","",IFERROR(INDEX(PacNome,MATCH($D2109,PacCod,0)),"Paciente não cadastrado"))</f>
        <v>0</v>
      </c>
      <c r="K2109" s="26">
        <f>IF($D2109="","",IFERROR(INDEX(PacConv,MATCH($D2109,PacCod,0))&amp;"",""))</f>
        <v>0</v>
      </c>
      <c r="L2109" s="26">
        <f>IF($A2109="","",CHOOSE(WEEKDAY($A2109,2),"Seg","Ter","Qua","Qui","Sex","Sáb","Dom"))</f>
        <v>0</v>
      </c>
      <c r="M2109" s="27">
        <f>IF($E2109="","",IF($G2109&lt;&gt;"",$G2109,IFERROR(INDEX(ProcValor,MATCH($E2109,ProcNome,0)),0)))</f>
        <v>0</v>
      </c>
      <c r="N2109" s="27">
        <f>IF($M2109="","",IF($F2109="Compareceu",$M2109,0))</f>
        <v>0</v>
      </c>
      <c r="O2109" s="27">
        <f>IF($M2109="","",IF($F2109="Faltou",$M2109,0))</f>
        <v>0</v>
      </c>
      <c r="P2109" s="27">
        <f>IF($M2109="","",IF($F2109="Compareceu",MAX(0,$M2109-N($H2109)),0))</f>
        <v>0</v>
      </c>
      <c r="Q2109" s="19">
        <f>IF(AND($F2109="Compareceu",$E2109&lt;&gt;"",$A2109&lt;&gt;""),IF(IFERROR(INDEX(ProcRet,MATCH($E2109,ProcNome,0)),0)&gt;0,$A2109+INDEX(ProcRet,MATCH($E2109,ProcNome,0)),""),"")</f>
        <v>0</v>
      </c>
      <c r="R2109" s="26">
        <f>IF($Q2109="","",IF(COUNTIFS(AgPac,$D2109,AgData,"&gt;"&amp;$A2109,AgStatus,"&lt;&gt;Cancelado",AgStatus,"&lt;&gt;Remarcado")&gt;0,"Sim","Não"))</f>
        <v>0</v>
      </c>
      <c r="S2109" s="28">
        <f>IF($A2109="","",IF(AND($F2109="Agendado",$A2109-Hoje&gt;=0,$A2109-Hoje&lt;=DiasConf),"CONFIRMAR",IF(AND($A2109&lt;Hoje,OR($F2109="Agendado",$F2109="Confirmado")),"Atualizar status",IF(AND($F2109="Compareceu",$P2109&gt;0.005),"Cobrar",IF($F2109="Faltou","Falta: reagendar","")))))</f>
        <v>0</v>
      </c>
      <c r="T2109" s="29">
        <f>IF($A2109="","",DATE(YEAR($A2109),MONTH($A2109),1))</f>
        <v>0</v>
      </c>
      <c r="U2109" s="30">
        <f>IF($S2109="CONFIRMAR",MAX($U$4:$U2108)+1,"")</f>
        <v>0</v>
      </c>
      <c r="V2109" s="30">
        <f>IF(AND($R2109="Não",$Q2109&lt;&gt;"",$Q2109&lt;=Hoje+JanelaRet,$Q2109&gt;=Hoje-60),MAX($V$4:$V2108)+1,"")</f>
        <v>0</v>
      </c>
    </row>
    <row r="2110" spans="1:22">
      <c r="A2110" s="16"/>
      <c r="B2110" s="23"/>
      <c r="C2110" s="15"/>
      <c r="D2110" s="15"/>
      <c r="E2110" s="15"/>
      <c r="F2110" s="24"/>
      <c r="G2110" s="17"/>
      <c r="H2110" s="17"/>
      <c r="I2110" s="15"/>
      <c r="J2110" s="25">
        <f>IF($D2110="","",IFERROR(INDEX(PacNome,MATCH($D2110,PacCod,0)),"Paciente não cadastrado"))</f>
        <v>0</v>
      </c>
      <c r="K2110" s="26">
        <f>IF($D2110="","",IFERROR(INDEX(PacConv,MATCH($D2110,PacCod,0))&amp;"",""))</f>
        <v>0</v>
      </c>
      <c r="L2110" s="26">
        <f>IF($A2110="","",CHOOSE(WEEKDAY($A2110,2),"Seg","Ter","Qua","Qui","Sex","Sáb","Dom"))</f>
        <v>0</v>
      </c>
      <c r="M2110" s="27">
        <f>IF($E2110="","",IF($G2110&lt;&gt;"",$G2110,IFERROR(INDEX(ProcValor,MATCH($E2110,ProcNome,0)),0)))</f>
        <v>0</v>
      </c>
      <c r="N2110" s="27">
        <f>IF($M2110="","",IF($F2110="Compareceu",$M2110,0))</f>
        <v>0</v>
      </c>
      <c r="O2110" s="27">
        <f>IF($M2110="","",IF($F2110="Faltou",$M2110,0))</f>
        <v>0</v>
      </c>
      <c r="P2110" s="27">
        <f>IF($M2110="","",IF($F2110="Compareceu",MAX(0,$M2110-N($H2110)),0))</f>
        <v>0</v>
      </c>
      <c r="Q2110" s="19">
        <f>IF(AND($F2110="Compareceu",$E2110&lt;&gt;"",$A2110&lt;&gt;""),IF(IFERROR(INDEX(ProcRet,MATCH($E2110,ProcNome,0)),0)&gt;0,$A2110+INDEX(ProcRet,MATCH($E2110,ProcNome,0)),""),"")</f>
        <v>0</v>
      </c>
      <c r="R2110" s="26">
        <f>IF($Q2110="","",IF(COUNTIFS(AgPac,$D2110,AgData,"&gt;"&amp;$A2110,AgStatus,"&lt;&gt;Cancelado",AgStatus,"&lt;&gt;Remarcado")&gt;0,"Sim","Não"))</f>
        <v>0</v>
      </c>
      <c r="S2110" s="28">
        <f>IF($A2110="","",IF(AND($F2110="Agendado",$A2110-Hoje&gt;=0,$A2110-Hoje&lt;=DiasConf),"CONFIRMAR",IF(AND($A2110&lt;Hoje,OR($F2110="Agendado",$F2110="Confirmado")),"Atualizar status",IF(AND($F2110="Compareceu",$P2110&gt;0.005),"Cobrar",IF($F2110="Faltou","Falta: reagendar","")))))</f>
        <v>0</v>
      </c>
      <c r="T2110" s="29">
        <f>IF($A2110="","",DATE(YEAR($A2110),MONTH($A2110),1))</f>
        <v>0</v>
      </c>
      <c r="U2110" s="30">
        <f>IF($S2110="CONFIRMAR",MAX($U$4:$U2109)+1,"")</f>
        <v>0</v>
      </c>
      <c r="V2110" s="30">
        <f>IF(AND($R2110="Não",$Q2110&lt;&gt;"",$Q2110&lt;=Hoje+JanelaRet,$Q2110&gt;=Hoje-60),MAX($V$4:$V2109)+1,"")</f>
        <v>0</v>
      </c>
    </row>
    <row r="2111" spans="1:22">
      <c r="A2111" s="16"/>
      <c r="B2111" s="23"/>
      <c r="C2111" s="15"/>
      <c r="D2111" s="15"/>
      <c r="E2111" s="15"/>
      <c r="F2111" s="24"/>
      <c r="G2111" s="17"/>
      <c r="H2111" s="17"/>
      <c r="I2111" s="15"/>
      <c r="J2111" s="25">
        <f>IF($D2111="","",IFERROR(INDEX(PacNome,MATCH($D2111,PacCod,0)),"Paciente não cadastrado"))</f>
        <v>0</v>
      </c>
      <c r="K2111" s="26">
        <f>IF($D2111="","",IFERROR(INDEX(PacConv,MATCH($D2111,PacCod,0))&amp;"",""))</f>
        <v>0</v>
      </c>
      <c r="L2111" s="26">
        <f>IF($A2111="","",CHOOSE(WEEKDAY($A2111,2),"Seg","Ter","Qua","Qui","Sex","Sáb","Dom"))</f>
        <v>0</v>
      </c>
      <c r="M2111" s="27">
        <f>IF($E2111="","",IF($G2111&lt;&gt;"",$G2111,IFERROR(INDEX(ProcValor,MATCH($E2111,ProcNome,0)),0)))</f>
        <v>0</v>
      </c>
      <c r="N2111" s="27">
        <f>IF($M2111="","",IF($F2111="Compareceu",$M2111,0))</f>
        <v>0</v>
      </c>
      <c r="O2111" s="27">
        <f>IF($M2111="","",IF($F2111="Faltou",$M2111,0))</f>
        <v>0</v>
      </c>
      <c r="P2111" s="27">
        <f>IF($M2111="","",IF($F2111="Compareceu",MAX(0,$M2111-N($H2111)),0))</f>
        <v>0</v>
      </c>
      <c r="Q2111" s="19">
        <f>IF(AND($F2111="Compareceu",$E2111&lt;&gt;"",$A2111&lt;&gt;""),IF(IFERROR(INDEX(ProcRet,MATCH($E2111,ProcNome,0)),0)&gt;0,$A2111+INDEX(ProcRet,MATCH($E2111,ProcNome,0)),""),"")</f>
        <v>0</v>
      </c>
      <c r="R2111" s="26">
        <f>IF($Q2111="","",IF(COUNTIFS(AgPac,$D2111,AgData,"&gt;"&amp;$A2111,AgStatus,"&lt;&gt;Cancelado",AgStatus,"&lt;&gt;Remarcado")&gt;0,"Sim","Não"))</f>
        <v>0</v>
      </c>
      <c r="S2111" s="28">
        <f>IF($A2111="","",IF(AND($F2111="Agendado",$A2111-Hoje&gt;=0,$A2111-Hoje&lt;=DiasConf),"CONFIRMAR",IF(AND($A2111&lt;Hoje,OR($F2111="Agendado",$F2111="Confirmado")),"Atualizar status",IF(AND($F2111="Compareceu",$P2111&gt;0.005),"Cobrar",IF($F2111="Faltou","Falta: reagendar","")))))</f>
        <v>0</v>
      </c>
      <c r="T2111" s="29">
        <f>IF($A2111="","",DATE(YEAR($A2111),MONTH($A2111),1))</f>
        <v>0</v>
      </c>
      <c r="U2111" s="30">
        <f>IF($S2111="CONFIRMAR",MAX($U$4:$U2110)+1,"")</f>
        <v>0</v>
      </c>
      <c r="V2111" s="30">
        <f>IF(AND($R2111="Não",$Q2111&lt;&gt;"",$Q2111&lt;=Hoje+JanelaRet,$Q2111&gt;=Hoje-60),MAX($V$4:$V2110)+1,"")</f>
        <v>0</v>
      </c>
    </row>
    <row r="2112" spans="1:22">
      <c r="A2112" s="16"/>
      <c r="B2112" s="23"/>
      <c r="C2112" s="15"/>
      <c r="D2112" s="15"/>
      <c r="E2112" s="15"/>
      <c r="F2112" s="24"/>
      <c r="G2112" s="17"/>
      <c r="H2112" s="17"/>
      <c r="I2112" s="15"/>
      <c r="J2112" s="25">
        <f>IF($D2112="","",IFERROR(INDEX(PacNome,MATCH($D2112,PacCod,0)),"Paciente não cadastrado"))</f>
        <v>0</v>
      </c>
      <c r="K2112" s="26">
        <f>IF($D2112="","",IFERROR(INDEX(PacConv,MATCH($D2112,PacCod,0))&amp;"",""))</f>
        <v>0</v>
      </c>
      <c r="L2112" s="26">
        <f>IF($A2112="","",CHOOSE(WEEKDAY($A2112,2),"Seg","Ter","Qua","Qui","Sex","Sáb","Dom"))</f>
        <v>0</v>
      </c>
      <c r="M2112" s="27">
        <f>IF($E2112="","",IF($G2112&lt;&gt;"",$G2112,IFERROR(INDEX(ProcValor,MATCH($E2112,ProcNome,0)),0)))</f>
        <v>0</v>
      </c>
      <c r="N2112" s="27">
        <f>IF($M2112="","",IF($F2112="Compareceu",$M2112,0))</f>
        <v>0</v>
      </c>
      <c r="O2112" s="27">
        <f>IF($M2112="","",IF($F2112="Faltou",$M2112,0))</f>
        <v>0</v>
      </c>
      <c r="P2112" s="27">
        <f>IF($M2112="","",IF($F2112="Compareceu",MAX(0,$M2112-N($H2112)),0))</f>
        <v>0</v>
      </c>
      <c r="Q2112" s="19">
        <f>IF(AND($F2112="Compareceu",$E2112&lt;&gt;"",$A2112&lt;&gt;""),IF(IFERROR(INDEX(ProcRet,MATCH($E2112,ProcNome,0)),0)&gt;0,$A2112+INDEX(ProcRet,MATCH($E2112,ProcNome,0)),""),"")</f>
        <v>0</v>
      </c>
      <c r="R2112" s="26">
        <f>IF($Q2112="","",IF(COUNTIFS(AgPac,$D2112,AgData,"&gt;"&amp;$A2112,AgStatus,"&lt;&gt;Cancelado",AgStatus,"&lt;&gt;Remarcado")&gt;0,"Sim","Não"))</f>
        <v>0</v>
      </c>
      <c r="S2112" s="28">
        <f>IF($A2112="","",IF(AND($F2112="Agendado",$A2112-Hoje&gt;=0,$A2112-Hoje&lt;=DiasConf),"CONFIRMAR",IF(AND($A2112&lt;Hoje,OR($F2112="Agendado",$F2112="Confirmado")),"Atualizar status",IF(AND($F2112="Compareceu",$P2112&gt;0.005),"Cobrar",IF($F2112="Faltou","Falta: reagendar","")))))</f>
        <v>0</v>
      </c>
      <c r="T2112" s="29">
        <f>IF($A2112="","",DATE(YEAR($A2112),MONTH($A2112),1))</f>
        <v>0</v>
      </c>
      <c r="U2112" s="30">
        <f>IF($S2112="CONFIRMAR",MAX($U$4:$U2111)+1,"")</f>
        <v>0</v>
      </c>
      <c r="V2112" s="30">
        <f>IF(AND($R2112="Não",$Q2112&lt;&gt;"",$Q2112&lt;=Hoje+JanelaRet,$Q2112&gt;=Hoje-60),MAX($V$4:$V2111)+1,"")</f>
        <v>0</v>
      </c>
    </row>
    <row r="2113" spans="1:22">
      <c r="A2113" s="16"/>
      <c r="B2113" s="23"/>
      <c r="C2113" s="15"/>
      <c r="D2113" s="15"/>
      <c r="E2113" s="15"/>
      <c r="F2113" s="24"/>
      <c r="G2113" s="17"/>
      <c r="H2113" s="17"/>
      <c r="I2113" s="15"/>
      <c r="J2113" s="25">
        <f>IF($D2113="","",IFERROR(INDEX(PacNome,MATCH($D2113,PacCod,0)),"Paciente não cadastrado"))</f>
        <v>0</v>
      </c>
      <c r="K2113" s="26">
        <f>IF($D2113="","",IFERROR(INDEX(PacConv,MATCH($D2113,PacCod,0))&amp;"",""))</f>
        <v>0</v>
      </c>
      <c r="L2113" s="26">
        <f>IF($A2113="","",CHOOSE(WEEKDAY($A2113,2),"Seg","Ter","Qua","Qui","Sex","Sáb","Dom"))</f>
        <v>0</v>
      </c>
      <c r="M2113" s="27">
        <f>IF($E2113="","",IF($G2113&lt;&gt;"",$G2113,IFERROR(INDEX(ProcValor,MATCH($E2113,ProcNome,0)),0)))</f>
        <v>0</v>
      </c>
      <c r="N2113" s="27">
        <f>IF($M2113="","",IF($F2113="Compareceu",$M2113,0))</f>
        <v>0</v>
      </c>
      <c r="O2113" s="27">
        <f>IF($M2113="","",IF($F2113="Faltou",$M2113,0))</f>
        <v>0</v>
      </c>
      <c r="P2113" s="27">
        <f>IF($M2113="","",IF($F2113="Compareceu",MAX(0,$M2113-N($H2113)),0))</f>
        <v>0</v>
      </c>
      <c r="Q2113" s="19">
        <f>IF(AND($F2113="Compareceu",$E2113&lt;&gt;"",$A2113&lt;&gt;""),IF(IFERROR(INDEX(ProcRet,MATCH($E2113,ProcNome,0)),0)&gt;0,$A2113+INDEX(ProcRet,MATCH($E2113,ProcNome,0)),""),"")</f>
        <v>0</v>
      </c>
      <c r="R2113" s="26">
        <f>IF($Q2113="","",IF(COUNTIFS(AgPac,$D2113,AgData,"&gt;"&amp;$A2113,AgStatus,"&lt;&gt;Cancelado",AgStatus,"&lt;&gt;Remarcado")&gt;0,"Sim","Não"))</f>
        <v>0</v>
      </c>
      <c r="S2113" s="28">
        <f>IF($A2113="","",IF(AND($F2113="Agendado",$A2113-Hoje&gt;=0,$A2113-Hoje&lt;=DiasConf),"CONFIRMAR",IF(AND($A2113&lt;Hoje,OR($F2113="Agendado",$F2113="Confirmado")),"Atualizar status",IF(AND($F2113="Compareceu",$P2113&gt;0.005),"Cobrar",IF($F2113="Faltou","Falta: reagendar","")))))</f>
        <v>0</v>
      </c>
      <c r="T2113" s="29">
        <f>IF($A2113="","",DATE(YEAR($A2113),MONTH($A2113),1))</f>
        <v>0</v>
      </c>
      <c r="U2113" s="30">
        <f>IF($S2113="CONFIRMAR",MAX($U$4:$U2112)+1,"")</f>
        <v>0</v>
      </c>
      <c r="V2113" s="30">
        <f>IF(AND($R2113="Não",$Q2113&lt;&gt;"",$Q2113&lt;=Hoje+JanelaRet,$Q2113&gt;=Hoje-60),MAX($V$4:$V2112)+1,"")</f>
        <v>0</v>
      </c>
    </row>
    <row r="2114" spans="1:22">
      <c r="A2114" s="16"/>
      <c r="B2114" s="23"/>
      <c r="C2114" s="15"/>
      <c r="D2114" s="15"/>
      <c r="E2114" s="15"/>
      <c r="F2114" s="24"/>
      <c r="G2114" s="17"/>
      <c r="H2114" s="17"/>
      <c r="I2114" s="15"/>
      <c r="J2114" s="25">
        <f>IF($D2114="","",IFERROR(INDEX(PacNome,MATCH($D2114,PacCod,0)),"Paciente não cadastrado"))</f>
        <v>0</v>
      </c>
      <c r="K2114" s="26">
        <f>IF($D2114="","",IFERROR(INDEX(PacConv,MATCH($D2114,PacCod,0))&amp;"",""))</f>
        <v>0</v>
      </c>
      <c r="L2114" s="26">
        <f>IF($A2114="","",CHOOSE(WEEKDAY($A2114,2),"Seg","Ter","Qua","Qui","Sex","Sáb","Dom"))</f>
        <v>0</v>
      </c>
      <c r="M2114" s="27">
        <f>IF($E2114="","",IF($G2114&lt;&gt;"",$G2114,IFERROR(INDEX(ProcValor,MATCH($E2114,ProcNome,0)),0)))</f>
        <v>0</v>
      </c>
      <c r="N2114" s="27">
        <f>IF($M2114="","",IF($F2114="Compareceu",$M2114,0))</f>
        <v>0</v>
      </c>
      <c r="O2114" s="27">
        <f>IF($M2114="","",IF($F2114="Faltou",$M2114,0))</f>
        <v>0</v>
      </c>
      <c r="P2114" s="27">
        <f>IF($M2114="","",IF($F2114="Compareceu",MAX(0,$M2114-N($H2114)),0))</f>
        <v>0</v>
      </c>
      <c r="Q2114" s="19">
        <f>IF(AND($F2114="Compareceu",$E2114&lt;&gt;"",$A2114&lt;&gt;""),IF(IFERROR(INDEX(ProcRet,MATCH($E2114,ProcNome,0)),0)&gt;0,$A2114+INDEX(ProcRet,MATCH($E2114,ProcNome,0)),""),"")</f>
        <v>0</v>
      </c>
      <c r="R2114" s="26">
        <f>IF($Q2114="","",IF(COUNTIFS(AgPac,$D2114,AgData,"&gt;"&amp;$A2114,AgStatus,"&lt;&gt;Cancelado",AgStatus,"&lt;&gt;Remarcado")&gt;0,"Sim","Não"))</f>
        <v>0</v>
      </c>
      <c r="S2114" s="28">
        <f>IF($A2114="","",IF(AND($F2114="Agendado",$A2114-Hoje&gt;=0,$A2114-Hoje&lt;=DiasConf),"CONFIRMAR",IF(AND($A2114&lt;Hoje,OR($F2114="Agendado",$F2114="Confirmado")),"Atualizar status",IF(AND($F2114="Compareceu",$P2114&gt;0.005),"Cobrar",IF($F2114="Faltou","Falta: reagendar","")))))</f>
        <v>0</v>
      </c>
      <c r="T2114" s="29">
        <f>IF($A2114="","",DATE(YEAR($A2114),MONTH($A2114),1))</f>
        <v>0</v>
      </c>
      <c r="U2114" s="30">
        <f>IF($S2114="CONFIRMAR",MAX($U$4:$U2113)+1,"")</f>
        <v>0</v>
      </c>
      <c r="V2114" s="30">
        <f>IF(AND($R2114="Não",$Q2114&lt;&gt;"",$Q2114&lt;=Hoje+JanelaRet,$Q2114&gt;=Hoje-60),MAX($V$4:$V2113)+1,"")</f>
        <v>0</v>
      </c>
    </row>
    <row r="2115" spans="1:22">
      <c r="A2115" s="16"/>
      <c r="B2115" s="23"/>
      <c r="C2115" s="15"/>
      <c r="D2115" s="15"/>
      <c r="E2115" s="15"/>
      <c r="F2115" s="24"/>
      <c r="G2115" s="17"/>
      <c r="H2115" s="17"/>
      <c r="I2115" s="15"/>
      <c r="J2115" s="25">
        <f>IF($D2115="","",IFERROR(INDEX(PacNome,MATCH($D2115,PacCod,0)),"Paciente não cadastrado"))</f>
        <v>0</v>
      </c>
      <c r="K2115" s="26">
        <f>IF($D2115="","",IFERROR(INDEX(PacConv,MATCH($D2115,PacCod,0))&amp;"",""))</f>
        <v>0</v>
      </c>
      <c r="L2115" s="26">
        <f>IF($A2115="","",CHOOSE(WEEKDAY($A2115,2),"Seg","Ter","Qua","Qui","Sex","Sáb","Dom"))</f>
        <v>0</v>
      </c>
      <c r="M2115" s="27">
        <f>IF($E2115="","",IF($G2115&lt;&gt;"",$G2115,IFERROR(INDEX(ProcValor,MATCH($E2115,ProcNome,0)),0)))</f>
        <v>0</v>
      </c>
      <c r="N2115" s="27">
        <f>IF($M2115="","",IF($F2115="Compareceu",$M2115,0))</f>
        <v>0</v>
      </c>
      <c r="O2115" s="27">
        <f>IF($M2115="","",IF($F2115="Faltou",$M2115,0))</f>
        <v>0</v>
      </c>
      <c r="P2115" s="27">
        <f>IF($M2115="","",IF($F2115="Compareceu",MAX(0,$M2115-N($H2115)),0))</f>
        <v>0</v>
      </c>
      <c r="Q2115" s="19">
        <f>IF(AND($F2115="Compareceu",$E2115&lt;&gt;"",$A2115&lt;&gt;""),IF(IFERROR(INDEX(ProcRet,MATCH($E2115,ProcNome,0)),0)&gt;0,$A2115+INDEX(ProcRet,MATCH($E2115,ProcNome,0)),""),"")</f>
        <v>0</v>
      </c>
      <c r="R2115" s="26">
        <f>IF($Q2115="","",IF(COUNTIFS(AgPac,$D2115,AgData,"&gt;"&amp;$A2115,AgStatus,"&lt;&gt;Cancelado",AgStatus,"&lt;&gt;Remarcado")&gt;0,"Sim","Não"))</f>
        <v>0</v>
      </c>
      <c r="S2115" s="28">
        <f>IF($A2115="","",IF(AND($F2115="Agendado",$A2115-Hoje&gt;=0,$A2115-Hoje&lt;=DiasConf),"CONFIRMAR",IF(AND($A2115&lt;Hoje,OR($F2115="Agendado",$F2115="Confirmado")),"Atualizar status",IF(AND($F2115="Compareceu",$P2115&gt;0.005),"Cobrar",IF($F2115="Faltou","Falta: reagendar","")))))</f>
        <v>0</v>
      </c>
      <c r="T2115" s="29">
        <f>IF($A2115="","",DATE(YEAR($A2115),MONTH($A2115),1))</f>
        <v>0</v>
      </c>
      <c r="U2115" s="30">
        <f>IF($S2115="CONFIRMAR",MAX($U$4:$U2114)+1,"")</f>
        <v>0</v>
      </c>
      <c r="V2115" s="30">
        <f>IF(AND($R2115="Não",$Q2115&lt;&gt;"",$Q2115&lt;=Hoje+JanelaRet,$Q2115&gt;=Hoje-60),MAX($V$4:$V2114)+1,"")</f>
        <v>0</v>
      </c>
    </row>
    <row r="2116" spans="1:22">
      <c r="A2116" s="16"/>
      <c r="B2116" s="23"/>
      <c r="C2116" s="15"/>
      <c r="D2116" s="15"/>
      <c r="E2116" s="15"/>
      <c r="F2116" s="24"/>
      <c r="G2116" s="17"/>
      <c r="H2116" s="17"/>
      <c r="I2116" s="15"/>
      <c r="J2116" s="25">
        <f>IF($D2116="","",IFERROR(INDEX(PacNome,MATCH($D2116,PacCod,0)),"Paciente não cadastrado"))</f>
        <v>0</v>
      </c>
      <c r="K2116" s="26">
        <f>IF($D2116="","",IFERROR(INDEX(PacConv,MATCH($D2116,PacCod,0))&amp;"",""))</f>
        <v>0</v>
      </c>
      <c r="L2116" s="26">
        <f>IF($A2116="","",CHOOSE(WEEKDAY($A2116,2),"Seg","Ter","Qua","Qui","Sex","Sáb","Dom"))</f>
        <v>0</v>
      </c>
      <c r="M2116" s="27">
        <f>IF($E2116="","",IF($G2116&lt;&gt;"",$G2116,IFERROR(INDEX(ProcValor,MATCH($E2116,ProcNome,0)),0)))</f>
        <v>0</v>
      </c>
      <c r="N2116" s="27">
        <f>IF($M2116="","",IF($F2116="Compareceu",$M2116,0))</f>
        <v>0</v>
      </c>
      <c r="O2116" s="27">
        <f>IF($M2116="","",IF($F2116="Faltou",$M2116,0))</f>
        <v>0</v>
      </c>
      <c r="P2116" s="27">
        <f>IF($M2116="","",IF($F2116="Compareceu",MAX(0,$M2116-N($H2116)),0))</f>
        <v>0</v>
      </c>
      <c r="Q2116" s="19">
        <f>IF(AND($F2116="Compareceu",$E2116&lt;&gt;"",$A2116&lt;&gt;""),IF(IFERROR(INDEX(ProcRet,MATCH($E2116,ProcNome,0)),0)&gt;0,$A2116+INDEX(ProcRet,MATCH($E2116,ProcNome,0)),""),"")</f>
        <v>0</v>
      </c>
      <c r="R2116" s="26">
        <f>IF($Q2116="","",IF(COUNTIFS(AgPac,$D2116,AgData,"&gt;"&amp;$A2116,AgStatus,"&lt;&gt;Cancelado",AgStatus,"&lt;&gt;Remarcado")&gt;0,"Sim","Não"))</f>
        <v>0</v>
      </c>
      <c r="S2116" s="28">
        <f>IF($A2116="","",IF(AND($F2116="Agendado",$A2116-Hoje&gt;=0,$A2116-Hoje&lt;=DiasConf),"CONFIRMAR",IF(AND($A2116&lt;Hoje,OR($F2116="Agendado",$F2116="Confirmado")),"Atualizar status",IF(AND($F2116="Compareceu",$P2116&gt;0.005),"Cobrar",IF($F2116="Faltou","Falta: reagendar","")))))</f>
        <v>0</v>
      </c>
      <c r="T2116" s="29">
        <f>IF($A2116="","",DATE(YEAR($A2116),MONTH($A2116),1))</f>
        <v>0</v>
      </c>
      <c r="U2116" s="30">
        <f>IF($S2116="CONFIRMAR",MAX($U$4:$U2115)+1,"")</f>
        <v>0</v>
      </c>
      <c r="V2116" s="30">
        <f>IF(AND($R2116="Não",$Q2116&lt;&gt;"",$Q2116&lt;=Hoje+JanelaRet,$Q2116&gt;=Hoje-60),MAX($V$4:$V2115)+1,"")</f>
        <v>0</v>
      </c>
    </row>
    <row r="2117" spans="1:22">
      <c r="A2117" s="16"/>
      <c r="B2117" s="23"/>
      <c r="C2117" s="15"/>
      <c r="D2117" s="15"/>
      <c r="E2117" s="15"/>
      <c r="F2117" s="24"/>
      <c r="G2117" s="17"/>
      <c r="H2117" s="17"/>
      <c r="I2117" s="15"/>
      <c r="J2117" s="25">
        <f>IF($D2117="","",IFERROR(INDEX(PacNome,MATCH($D2117,PacCod,0)),"Paciente não cadastrado"))</f>
        <v>0</v>
      </c>
      <c r="K2117" s="26">
        <f>IF($D2117="","",IFERROR(INDEX(PacConv,MATCH($D2117,PacCod,0))&amp;"",""))</f>
        <v>0</v>
      </c>
      <c r="L2117" s="26">
        <f>IF($A2117="","",CHOOSE(WEEKDAY($A2117,2),"Seg","Ter","Qua","Qui","Sex","Sáb","Dom"))</f>
        <v>0</v>
      </c>
      <c r="M2117" s="27">
        <f>IF($E2117="","",IF($G2117&lt;&gt;"",$G2117,IFERROR(INDEX(ProcValor,MATCH($E2117,ProcNome,0)),0)))</f>
        <v>0</v>
      </c>
      <c r="N2117" s="27">
        <f>IF($M2117="","",IF($F2117="Compareceu",$M2117,0))</f>
        <v>0</v>
      </c>
      <c r="O2117" s="27">
        <f>IF($M2117="","",IF($F2117="Faltou",$M2117,0))</f>
        <v>0</v>
      </c>
      <c r="P2117" s="27">
        <f>IF($M2117="","",IF($F2117="Compareceu",MAX(0,$M2117-N($H2117)),0))</f>
        <v>0</v>
      </c>
      <c r="Q2117" s="19">
        <f>IF(AND($F2117="Compareceu",$E2117&lt;&gt;"",$A2117&lt;&gt;""),IF(IFERROR(INDEX(ProcRet,MATCH($E2117,ProcNome,0)),0)&gt;0,$A2117+INDEX(ProcRet,MATCH($E2117,ProcNome,0)),""),"")</f>
        <v>0</v>
      </c>
      <c r="R2117" s="26">
        <f>IF($Q2117="","",IF(COUNTIFS(AgPac,$D2117,AgData,"&gt;"&amp;$A2117,AgStatus,"&lt;&gt;Cancelado",AgStatus,"&lt;&gt;Remarcado")&gt;0,"Sim","Não"))</f>
        <v>0</v>
      </c>
      <c r="S2117" s="28">
        <f>IF($A2117="","",IF(AND($F2117="Agendado",$A2117-Hoje&gt;=0,$A2117-Hoje&lt;=DiasConf),"CONFIRMAR",IF(AND($A2117&lt;Hoje,OR($F2117="Agendado",$F2117="Confirmado")),"Atualizar status",IF(AND($F2117="Compareceu",$P2117&gt;0.005),"Cobrar",IF($F2117="Faltou","Falta: reagendar","")))))</f>
        <v>0</v>
      </c>
      <c r="T2117" s="29">
        <f>IF($A2117="","",DATE(YEAR($A2117),MONTH($A2117),1))</f>
        <v>0</v>
      </c>
      <c r="U2117" s="30">
        <f>IF($S2117="CONFIRMAR",MAX($U$4:$U2116)+1,"")</f>
        <v>0</v>
      </c>
      <c r="V2117" s="30">
        <f>IF(AND($R2117="Não",$Q2117&lt;&gt;"",$Q2117&lt;=Hoje+JanelaRet,$Q2117&gt;=Hoje-60),MAX($V$4:$V2116)+1,"")</f>
        <v>0</v>
      </c>
    </row>
    <row r="2118" spans="1:22">
      <c r="A2118" s="16"/>
      <c r="B2118" s="23"/>
      <c r="C2118" s="15"/>
      <c r="D2118" s="15"/>
      <c r="E2118" s="15"/>
      <c r="F2118" s="24"/>
      <c r="G2118" s="17"/>
      <c r="H2118" s="17"/>
      <c r="I2118" s="15"/>
      <c r="J2118" s="25">
        <f>IF($D2118="","",IFERROR(INDEX(PacNome,MATCH($D2118,PacCod,0)),"Paciente não cadastrado"))</f>
        <v>0</v>
      </c>
      <c r="K2118" s="26">
        <f>IF($D2118="","",IFERROR(INDEX(PacConv,MATCH($D2118,PacCod,0))&amp;"",""))</f>
        <v>0</v>
      </c>
      <c r="L2118" s="26">
        <f>IF($A2118="","",CHOOSE(WEEKDAY($A2118,2),"Seg","Ter","Qua","Qui","Sex","Sáb","Dom"))</f>
        <v>0</v>
      </c>
      <c r="M2118" s="27">
        <f>IF($E2118="","",IF($G2118&lt;&gt;"",$G2118,IFERROR(INDEX(ProcValor,MATCH($E2118,ProcNome,0)),0)))</f>
        <v>0</v>
      </c>
      <c r="N2118" s="27">
        <f>IF($M2118="","",IF($F2118="Compareceu",$M2118,0))</f>
        <v>0</v>
      </c>
      <c r="O2118" s="27">
        <f>IF($M2118="","",IF($F2118="Faltou",$M2118,0))</f>
        <v>0</v>
      </c>
      <c r="P2118" s="27">
        <f>IF($M2118="","",IF($F2118="Compareceu",MAX(0,$M2118-N($H2118)),0))</f>
        <v>0</v>
      </c>
      <c r="Q2118" s="19">
        <f>IF(AND($F2118="Compareceu",$E2118&lt;&gt;"",$A2118&lt;&gt;""),IF(IFERROR(INDEX(ProcRet,MATCH($E2118,ProcNome,0)),0)&gt;0,$A2118+INDEX(ProcRet,MATCH($E2118,ProcNome,0)),""),"")</f>
        <v>0</v>
      </c>
      <c r="R2118" s="26">
        <f>IF($Q2118="","",IF(COUNTIFS(AgPac,$D2118,AgData,"&gt;"&amp;$A2118,AgStatus,"&lt;&gt;Cancelado",AgStatus,"&lt;&gt;Remarcado")&gt;0,"Sim","Não"))</f>
        <v>0</v>
      </c>
      <c r="S2118" s="28">
        <f>IF($A2118="","",IF(AND($F2118="Agendado",$A2118-Hoje&gt;=0,$A2118-Hoje&lt;=DiasConf),"CONFIRMAR",IF(AND($A2118&lt;Hoje,OR($F2118="Agendado",$F2118="Confirmado")),"Atualizar status",IF(AND($F2118="Compareceu",$P2118&gt;0.005),"Cobrar",IF($F2118="Faltou","Falta: reagendar","")))))</f>
        <v>0</v>
      </c>
      <c r="T2118" s="29">
        <f>IF($A2118="","",DATE(YEAR($A2118),MONTH($A2118),1))</f>
        <v>0</v>
      </c>
      <c r="U2118" s="30">
        <f>IF($S2118="CONFIRMAR",MAX($U$4:$U2117)+1,"")</f>
        <v>0</v>
      </c>
      <c r="V2118" s="30">
        <f>IF(AND($R2118="Não",$Q2118&lt;&gt;"",$Q2118&lt;=Hoje+JanelaRet,$Q2118&gt;=Hoje-60),MAX($V$4:$V2117)+1,"")</f>
        <v>0</v>
      </c>
    </row>
    <row r="2119" spans="1:22">
      <c r="A2119" s="16"/>
      <c r="B2119" s="23"/>
      <c r="C2119" s="15"/>
      <c r="D2119" s="15"/>
      <c r="E2119" s="15"/>
      <c r="F2119" s="24"/>
      <c r="G2119" s="17"/>
      <c r="H2119" s="17"/>
      <c r="I2119" s="15"/>
      <c r="J2119" s="25">
        <f>IF($D2119="","",IFERROR(INDEX(PacNome,MATCH($D2119,PacCod,0)),"Paciente não cadastrado"))</f>
        <v>0</v>
      </c>
      <c r="K2119" s="26">
        <f>IF($D2119="","",IFERROR(INDEX(PacConv,MATCH($D2119,PacCod,0))&amp;"",""))</f>
        <v>0</v>
      </c>
      <c r="L2119" s="26">
        <f>IF($A2119="","",CHOOSE(WEEKDAY($A2119,2),"Seg","Ter","Qua","Qui","Sex","Sáb","Dom"))</f>
        <v>0</v>
      </c>
      <c r="M2119" s="27">
        <f>IF($E2119="","",IF($G2119&lt;&gt;"",$G2119,IFERROR(INDEX(ProcValor,MATCH($E2119,ProcNome,0)),0)))</f>
        <v>0</v>
      </c>
      <c r="N2119" s="27">
        <f>IF($M2119="","",IF($F2119="Compareceu",$M2119,0))</f>
        <v>0</v>
      </c>
      <c r="O2119" s="27">
        <f>IF($M2119="","",IF($F2119="Faltou",$M2119,0))</f>
        <v>0</v>
      </c>
      <c r="P2119" s="27">
        <f>IF($M2119="","",IF($F2119="Compareceu",MAX(0,$M2119-N($H2119)),0))</f>
        <v>0</v>
      </c>
      <c r="Q2119" s="19">
        <f>IF(AND($F2119="Compareceu",$E2119&lt;&gt;"",$A2119&lt;&gt;""),IF(IFERROR(INDEX(ProcRet,MATCH($E2119,ProcNome,0)),0)&gt;0,$A2119+INDEX(ProcRet,MATCH($E2119,ProcNome,0)),""),"")</f>
        <v>0</v>
      </c>
      <c r="R2119" s="26">
        <f>IF($Q2119="","",IF(COUNTIFS(AgPac,$D2119,AgData,"&gt;"&amp;$A2119,AgStatus,"&lt;&gt;Cancelado",AgStatus,"&lt;&gt;Remarcado")&gt;0,"Sim","Não"))</f>
        <v>0</v>
      </c>
      <c r="S2119" s="28">
        <f>IF($A2119="","",IF(AND($F2119="Agendado",$A2119-Hoje&gt;=0,$A2119-Hoje&lt;=DiasConf),"CONFIRMAR",IF(AND($A2119&lt;Hoje,OR($F2119="Agendado",$F2119="Confirmado")),"Atualizar status",IF(AND($F2119="Compareceu",$P2119&gt;0.005),"Cobrar",IF($F2119="Faltou","Falta: reagendar","")))))</f>
        <v>0</v>
      </c>
      <c r="T2119" s="29">
        <f>IF($A2119="","",DATE(YEAR($A2119),MONTH($A2119),1))</f>
        <v>0</v>
      </c>
      <c r="U2119" s="30">
        <f>IF($S2119="CONFIRMAR",MAX($U$4:$U2118)+1,"")</f>
        <v>0</v>
      </c>
      <c r="V2119" s="30">
        <f>IF(AND($R2119="Não",$Q2119&lt;&gt;"",$Q2119&lt;=Hoje+JanelaRet,$Q2119&gt;=Hoje-60),MAX($V$4:$V2118)+1,"")</f>
        <v>0</v>
      </c>
    </row>
    <row r="2120" spans="1:22">
      <c r="A2120" s="16"/>
      <c r="B2120" s="23"/>
      <c r="C2120" s="15"/>
      <c r="D2120" s="15"/>
      <c r="E2120" s="15"/>
      <c r="F2120" s="24"/>
      <c r="G2120" s="17"/>
      <c r="H2120" s="17"/>
      <c r="I2120" s="15"/>
      <c r="J2120" s="25">
        <f>IF($D2120="","",IFERROR(INDEX(PacNome,MATCH($D2120,PacCod,0)),"Paciente não cadastrado"))</f>
        <v>0</v>
      </c>
      <c r="K2120" s="26">
        <f>IF($D2120="","",IFERROR(INDEX(PacConv,MATCH($D2120,PacCod,0))&amp;"",""))</f>
        <v>0</v>
      </c>
      <c r="L2120" s="26">
        <f>IF($A2120="","",CHOOSE(WEEKDAY($A2120,2),"Seg","Ter","Qua","Qui","Sex","Sáb","Dom"))</f>
        <v>0</v>
      </c>
      <c r="M2120" s="27">
        <f>IF($E2120="","",IF($G2120&lt;&gt;"",$G2120,IFERROR(INDEX(ProcValor,MATCH($E2120,ProcNome,0)),0)))</f>
        <v>0</v>
      </c>
      <c r="N2120" s="27">
        <f>IF($M2120="","",IF($F2120="Compareceu",$M2120,0))</f>
        <v>0</v>
      </c>
      <c r="O2120" s="27">
        <f>IF($M2120="","",IF($F2120="Faltou",$M2120,0))</f>
        <v>0</v>
      </c>
      <c r="P2120" s="27">
        <f>IF($M2120="","",IF($F2120="Compareceu",MAX(0,$M2120-N($H2120)),0))</f>
        <v>0</v>
      </c>
      <c r="Q2120" s="19">
        <f>IF(AND($F2120="Compareceu",$E2120&lt;&gt;"",$A2120&lt;&gt;""),IF(IFERROR(INDEX(ProcRet,MATCH($E2120,ProcNome,0)),0)&gt;0,$A2120+INDEX(ProcRet,MATCH($E2120,ProcNome,0)),""),"")</f>
        <v>0</v>
      </c>
      <c r="R2120" s="26">
        <f>IF($Q2120="","",IF(COUNTIFS(AgPac,$D2120,AgData,"&gt;"&amp;$A2120,AgStatus,"&lt;&gt;Cancelado",AgStatus,"&lt;&gt;Remarcado")&gt;0,"Sim","Não"))</f>
        <v>0</v>
      </c>
      <c r="S2120" s="28">
        <f>IF($A2120="","",IF(AND($F2120="Agendado",$A2120-Hoje&gt;=0,$A2120-Hoje&lt;=DiasConf),"CONFIRMAR",IF(AND($A2120&lt;Hoje,OR($F2120="Agendado",$F2120="Confirmado")),"Atualizar status",IF(AND($F2120="Compareceu",$P2120&gt;0.005),"Cobrar",IF($F2120="Faltou","Falta: reagendar","")))))</f>
        <v>0</v>
      </c>
      <c r="T2120" s="29">
        <f>IF($A2120="","",DATE(YEAR($A2120),MONTH($A2120),1))</f>
        <v>0</v>
      </c>
      <c r="U2120" s="30">
        <f>IF($S2120="CONFIRMAR",MAX($U$4:$U2119)+1,"")</f>
        <v>0</v>
      </c>
      <c r="V2120" s="30">
        <f>IF(AND($R2120="Não",$Q2120&lt;&gt;"",$Q2120&lt;=Hoje+JanelaRet,$Q2120&gt;=Hoje-60),MAX($V$4:$V2119)+1,"")</f>
        <v>0</v>
      </c>
    </row>
    <row r="2121" spans="1:22">
      <c r="A2121" s="16"/>
      <c r="B2121" s="23"/>
      <c r="C2121" s="15"/>
      <c r="D2121" s="15"/>
      <c r="E2121" s="15"/>
      <c r="F2121" s="24"/>
      <c r="G2121" s="17"/>
      <c r="H2121" s="17"/>
      <c r="I2121" s="15"/>
      <c r="J2121" s="25">
        <f>IF($D2121="","",IFERROR(INDEX(PacNome,MATCH($D2121,PacCod,0)),"Paciente não cadastrado"))</f>
        <v>0</v>
      </c>
      <c r="K2121" s="26">
        <f>IF($D2121="","",IFERROR(INDEX(PacConv,MATCH($D2121,PacCod,0))&amp;"",""))</f>
        <v>0</v>
      </c>
      <c r="L2121" s="26">
        <f>IF($A2121="","",CHOOSE(WEEKDAY($A2121,2),"Seg","Ter","Qua","Qui","Sex","Sáb","Dom"))</f>
        <v>0</v>
      </c>
      <c r="M2121" s="27">
        <f>IF($E2121="","",IF($G2121&lt;&gt;"",$G2121,IFERROR(INDEX(ProcValor,MATCH($E2121,ProcNome,0)),0)))</f>
        <v>0</v>
      </c>
      <c r="N2121" s="27">
        <f>IF($M2121="","",IF($F2121="Compareceu",$M2121,0))</f>
        <v>0</v>
      </c>
      <c r="O2121" s="27">
        <f>IF($M2121="","",IF($F2121="Faltou",$M2121,0))</f>
        <v>0</v>
      </c>
      <c r="P2121" s="27">
        <f>IF($M2121="","",IF($F2121="Compareceu",MAX(0,$M2121-N($H2121)),0))</f>
        <v>0</v>
      </c>
      <c r="Q2121" s="19">
        <f>IF(AND($F2121="Compareceu",$E2121&lt;&gt;"",$A2121&lt;&gt;""),IF(IFERROR(INDEX(ProcRet,MATCH($E2121,ProcNome,0)),0)&gt;0,$A2121+INDEX(ProcRet,MATCH($E2121,ProcNome,0)),""),"")</f>
        <v>0</v>
      </c>
      <c r="R2121" s="26">
        <f>IF($Q2121="","",IF(COUNTIFS(AgPac,$D2121,AgData,"&gt;"&amp;$A2121,AgStatus,"&lt;&gt;Cancelado",AgStatus,"&lt;&gt;Remarcado")&gt;0,"Sim","Não"))</f>
        <v>0</v>
      </c>
      <c r="S2121" s="28">
        <f>IF($A2121="","",IF(AND($F2121="Agendado",$A2121-Hoje&gt;=0,$A2121-Hoje&lt;=DiasConf),"CONFIRMAR",IF(AND($A2121&lt;Hoje,OR($F2121="Agendado",$F2121="Confirmado")),"Atualizar status",IF(AND($F2121="Compareceu",$P2121&gt;0.005),"Cobrar",IF($F2121="Faltou","Falta: reagendar","")))))</f>
        <v>0</v>
      </c>
      <c r="T2121" s="29">
        <f>IF($A2121="","",DATE(YEAR($A2121),MONTH($A2121),1))</f>
        <v>0</v>
      </c>
      <c r="U2121" s="30">
        <f>IF($S2121="CONFIRMAR",MAX($U$4:$U2120)+1,"")</f>
        <v>0</v>
      </c>
      <c r="V2121" s="30">
        <f>IF(AND($R2121="Não",$Q2121&lt;&gt;"",$Q2121&lt;=Hoje+JanelaRet,$Q2121&gt;=Hoje-60),MAX($V$4:$V2120)+1,"")</f>
        <v>0</v>
      </c>
    </row>
    <row r="2122" spans="1:22">
      <c r="A2122" s="16"/>
      <c r="B2122" s="23"/>
      <c r="C2122" s="15"/>
      <c r="D2122" s="15"/>
      <c r="E2122" s="15"/>
      <c r="F2122" s="24"/>
      <c r="G2122" s="17"/>
      <c r="H2122" s="17"/>
      <c r="I2122" s="15"/>
      <c r="J2122" s="25">
        <f>IF($D2122="","",IFERROR(INDEX(PacNome,MATCH($D2122,PacCod,0)),"Paciente não cadastrado"))</f>
        <v>0</v>
      </c>
      <c r="K2122" s="26">
        <f>IF($D2122="","",IFERROR(INDEX(PacConv,MATCH($D2122,PacCod,0))&amp;"",""))</f>
        <v>0</v>
      </c>
      <c r="L2122" s="26">
        <f>IF($A2122="","",CHOOSE(WEEKDAY($A2122,2),"Seg","Ter","Qua","Qui","Sex","Sáb","Dom"))</f>
        <v>0</v>
      </c>
      <c r="M2122" s="27">
        <f>IF($E2122="","",IF($G2122&lt;&gt;"",$G2122,IFERROR(INDEX(ProcValor,MATCH($E2122,ProcNome,0)),0)))</f>
        <v>0</v>
      </c>
      <c r="N2122" s="27">
        <f>IF($M2122="","",IF($F2122="Compareceu",$M2122,0))</f>
        <v>0</v>
      </c>
      <c r="O2122" s="27">
        <f>IF($M2122="","",IF($F2122="Faltou",$M2122,0))</f>
        <v>0</v>
      </c>
      <c r="P2122" s="27">
        <f>IF($M2122="","",IF($F2122="Compareceu",MAX(0,$M2122-N($H2122)),0))</f>
        <v>0</v>
      </c>
      <c r="Q2122" s="19">
        <f>IF(AND($F2122="Compareceu",$E2122&lt;&gt;"",$A2122&lt;&gt;""),IF(IFERROR(INDEX(ProcRet,MATCH($E2122,ProcNome,0)),0)&gt;0,$A2122+INDEX(ProcRet,MATCH($E2122,ProcNome,0)),""),"")</f>
        <v>0</v>
      </c>
      <c r="R2122" s="26">
        <f>IF($Q2122="","",IF(COUNTIFS(AgPac,$D2122,AgData,"&gt;"&amp;$A2122,AgStatus,"&lt;&gt;Cancelado",AgStatus,"&lt;&gt;Remarcado")&gt;0,"Sim","Não"))</f>
        <v>0</v>
      </c>
      <c r="S2122" s="28">
        <f>IF($A2122="","",IF(AND($F2122="Agendado",$A2122-Hoje&gt;=0,$A2122-Hoje&lt;=DiasConf),"CONFIRMAR",IF(AND($A2122&lt;Hoje,OR($F2122="Agendado",$F2122="Confirmado")),"Atualizar status",IF(AND($F2122="Compareceu",$P2122&gt;0.005),"Cobrar",IF($F2122="Faltou","Falta: reagendar","")))))</f>
        <v>0</v>
      </c>
      <c r="T2122" s="29">
        <f>IF($A2122="","",DATE(YEAR($A2122),MONTH($A2122),1))</f>
        <v>0</v>
      </c>
      <c r="U2122" s="30">
        <f>IF($S2122="CONFIRMAR",MAX($U$4:$U2121)+1,"")</f>
        <v>0</v>
      </c>
      <c r="V2122" s="30">
        <f>IF(AND($R2122="Não",$Q2122&lt;&gt;"",$Q2122&lt;=Hoje+JanelaRet,$Q2122&gt;=Hoje-60),MAX($V$4:$V2121)+1,"")</f>
        <v>0</v>
      </c>
    </row>
    <row r="2123" spans="1:22">
      <c r="A2123" s="16"/>
      <c r="B2123" s="23"/>
      <c r="C2123" s="15"/>
      <c r="D2123" s="15"/>
      <c r="E2123" s="15"/>
      <c r="F2123" s="24"/>
      <c r="G2123" s="17"/>
      <c r="H2123" s="17"/>
      <c r="I2123" s="15"/>
      <c r="J2123" s="25">
        <f>IF($D2123="","",IFERROR(INDEX(PacNome,MATCH($D2123,PacCod,0)),"Paciente não cadastrado"))</f>
        <v>0</v>
      </c>
      <c r="K2123" s="26">
        <f>IF($D2123="","",IFERROR(INDEX(PacConv,MATCH($D2123,PacCod,0))&amp;"",""))</f>
        <v>0</v>
      </c>
      <c r="L2123" s="26">
        <f>IF($A2123="","",CHOOSE(WEEKDAY($A2123,2),"Seg","Ter","Qua","Qui","Sex","Sáb","Dom"))</f>
        <v>0</v>
      </c>
      <c r="M2123" s="27">
        <f>IF($E2123="","",IF($G2123&lt;&gt;"",$G2123,IFERROR(INDEX(ProcValor,MATCH($E2123,ProcNome,0)),0)))</f>
        <v>0</v>
      </c>
      <c r="N2123" s="27">
        <f>IF($M2123="","",IF($F2123="Compareceu",$M2123,0))</f>
        <v>0</v>
      </c>
      <c r="O2123" s="27">
        <f>IF($M2123="","",IF($F2123="Faltou",$M2123,0))</f>
        <v>0</v>
      </c>
      <c r="P2123" s="27">
        <f>IF($M2123="","",IF($F2123="Compareceu",MAX(0,$M2123-N($H2123)),0))</f>
        <v>0</v>
      </c>
      <c r="Q2123" s="19">
        <f>IF(AND($F2123="Compareceu",$E2123&lt;&gt;"",$A2123&lt;&gt;""),IF(IFERROR(INDEX(ProcRet,MATCH($E2123,ProcNome,0)),0)&gt;0,$A2123+INDEX(ProcRet,MATCH($E2123,ProcNome,0)),""),"")</f>
        <v>0</v>
      </c>
      <c r="R2123" s="26">
        <f>IF($Q2123="","",IF(COUNTIFS(AgPac,$D2123,AgData,"&gt;"&amp;$A2123,AgStatus,"&lt;&gt;Cancelado",AgStatus,"&lt;&gt;Remarcado")&gt;0,"Sim","Não"))</f>
        <v>0</v>
      </c>
      <c r="S2123" s="28">
        <f>IF($A2123="","",IF(AND($F2123="Agendado",$A2123-Hoje&gt;=0,$A2123-Hoje&lt;=DiasConf),"CONFIRMAR",IF(AND($A2123&lt;Hoje,OR($F2123="Agendado",$F2123="Confirmado")),"Atualizar status",IF(AND($F2123="Compareceu",$P2123&gt;0.005),"Cobrar",IF($F2123="Faltou","Falta: reagendar","")))))</f>
        <v>0</v>
      </c>
      <c r="T2123" s="29">
        <f>IF($A2123="","",DATE(YEAR($A2123),MONTH($A2123),1))</f>
        <v>0</v>
      </c>
      <c r="U2123" s="30">
        <f>IF($S2123="CONFIRMAR",MAX($U$4:$U2122)+1,"")</f>
        <v>0</v>
      </c>
      <c r="V2123" s="30">
        <f>IF(AND($R2123="Não",$Q2123&lt;&gt;"",$Q2123&lt;=Hoje+JanelaRet,$Q2123&gt;=Hoje-60),MAX($V$4:$V2122)+1,"")</f>
        <v>0</v>
      </c>
    </row>
    <row r="2124" spans="1:22">
      <c r="A2124" s="16"/>
      <c r="B2124" s="23"/>
      <c r="C2124" s="15"/>
      <c r="D2124" s="15"/>
      <c r="E2124" s="15"/>
      <c r="F2124" s="24"/>
      <c r="G2124" s="17"/>
      <c r="H2124" s="17"/>
      <c r="I2124" s="15"/>
      <c r="J2124" s="25">
        <f>IF($D2124="","",IFERROR(INDEX(PacNome,MATCH($D2124,PacCod,0)),"Paciente não cadastrado"))</f>
        <v>0</v>
      </c>
      <c r="K2124" s="26">
        <f>IF($D2124="","",IFERROR(INDEX(PacConv,MATCH($D2124,PacCod,0))&amp;"",""))</f>
        <v>0</v>
      </c>
      <c r="L2124" s="26">
        <f>IF($A2124="","",CHOOSE(WEEKDAY($A2124,2),"Seg","Ter","Qua","Qui","Sex","Sáb","Dom"))</f>
        <v>0</v>
      </c>
      <c r="M2124" s="27">
        <f>IF($E2124="","",IF($G2124&lt;&gt;"",$G2124,IFERROR(INDEX(ProcValor,MATCH($E2124,ProcNome,0)),0)))</f>
        <v>0</v>
      </c>
      <c r="N2124" s="27">
        <f>IF($M2124="","",IF($F2124="Compareceu",$M2124,0))</f>
        <v>0</v>
      </c>
      <c r="O2124" s="27">
        <f>IF($M2124="","",IF($F2124="Faltou",$M2124,0))</f>
        <v>0</v>
      </c>
      <c r="P2124" s="27">
        <f>IF($M2124="","",IF($F2124="Compareceu",MAX(0,$M2124-N($H2124)),0))</f>
        <v>0</v>
      </c>
      <c r="Q2124" s="19">
        <f>IF(AND($F2124="Compareceu",$E2124&lt;&gt;"",$A2124&lt;&gt;""),IF(IFERROR(INDEX(ProcRet,MATCH($E2124,ProcNome,0)),0)&gt;0,$A2124+INDEX(ProcRet,MATCH($E2124,ProcNome,0)),""),"")</f>
        <v>0</v>
      </c>
      <c r="R2124" s="26">
        <f>IF($Q2124="","",IF(COUNTIFS(AgPac,$D2124,AgData,"&gt;"&amp;$A2124,AgStatus,"&lt;&gt;Cancelado",AgStatus,"&lt;&gt;Remarcado")&gt;0,"Sim","Não"))</f>
        <v>0</v>
      </c>
      <c r="S2124" s="28">
        <f>IF($A2124="","",IF(AND($F2124="Agendado",$A2124-Hoje&gt;=0,$A2124-Hoje&lt;=DiasConf),"CONFIRMAR",IF(AND($A2124&lt;Hoje,OR($F2124="Agendado",$F2124="Confirmado")),"Atualizar status",IF(AND($F2124="Compareceu",$P2124&gt;0.005),"Cobrar",IF($F2124="Faltou","Falta: reagendar","")))))</f>
        <v>0</v>
      </c>
      <c r="T2124" s="29">
        <f>IF($A2124="","",DATE(YEAR($A2124),MONTH($A2124),1))</f>
        <v>0</v>
      </c>
      <c r="U2124" s="30">
        <f>IF($S2124="CONFIRMAR",MAX($U$4:$U2123)+1,"")</f>
        <v>0</v>
      </c>
      <c r="V2124" s="30">
        <f>IF(AND($R2124="Não",$Q2124&lt;&gt;"",$Q2124&lt;=Hoje+JanelaRet,$Q2124&gt;=Hoje-60),MAX($V$4:$V2123)+1,"")</f>
        <v>0</v>
      </c>
    </row>
    <row r="2125" spans="1:22">
      <c r="A2125" s="16"/>
      <c r="B2125" s="23"/>
      <c r="C2125" s="15"/>
      <c r="D2125" s="15"/>
      <c r="E2125" s="15"/>
      <c r="F2125" s="24"/>
      <c r="G2125" s="17"/>
      <c r="H2125" s="17"/>
      <c r="I2125" s="15"/>
      <c r="J2125" s="25">
        <f>IF($D2125="","",IFERROR(INDEX(PacNome,MATCH($D2125,PacCod,0)),"Paciente não cadastrado"))</f>
        <v>0</v>
      </c>
      <c r="K2125" s="26">
        <f>IF($D2125="","",IFERROR(INDEX(PacConv,MATCH($D2125,PacCod,0))&amp;"",""))</f>
        <v>0</v>
      </c>
      <c r="L2125" s="26">
        <f>IF($A2125="","",CHOOSE(WEEKDAY($A2125,2),"Seg","Ter","Qua","Qui","Sex","Sáb","Dom"))</f>
        <v>0</v>
      </c>
      <c r="M2125" s="27">
        <f>IF($E2125="","",IF($G2125&lt;&gt;"",$G2125,IFERROR(INDEX(ProcValor,MATCH($E2125,ProcNome,0)),0)))</f>
        <v>0</v>
      </c>
      <c r="N2125" s="27">
        <f>IF($M2125="","",IF($F2125="Compareceu",$M2125,0))</f>
        <v>0</v>
      </c>
      <c r="O2125" s="27">
        <f>IF($M2125="","",IF($F2125="Faltou",$M2125,0))</f>
        <v>0</v>
      </c>
      <c r="P2125" s="27">
        <f>IF($M2125="","",IF($F2125="Compareceu",MAX(0,$M2125-N($H2125)),0))</f>
        <v>0</v>
      </c>
      <c r="Q2125" s="19">
        <f>IF(AND($F2125="Compareceu",$E2125&lt;&gt;"",$A2125&lt;&gt;""),IF(IFERROR(INDEX(ProcRet,MATCH($E2125,ProcNome,0)),0)&gt;0,$A2125+INDEX(ProcRet,MATCH($E2125,ProcNome,0)),""),"")</f>
        <v>0</v>
      </c>
      <c r="R2125" s="26">
        <f>IF($Q2125="","",IF(COUNTIFS(AgPac,$D2125,AgData,"&gt;"&amp;$A2125,AgStatus,"&lt;&gt;Cancelado",AgStatus,"&lt;&gt;Remarcado")&gt;0,"Sim","Não"))</f>
        <v>0</v>
      </c>
      <c r="S2125" s="28">
        <f>IF($A2125="","",IF(AND($F2125="Agendado",$A2125-Hoje&gt;=0,$A2125-Hoje&lt;=DiasConf),"CONFIRMAR",IF(AND($A2125&lt;Hoje,OR($F2125="Agendado",$F2125="Confirmado")),"Atualizar status",IF(AND($F2125="Compareceu",$P2125&gt;0.005),"Cobrar",IF($F2125="Faltou","Falta: reagendar","")))))</f>
        <v>0</v>
      </c>
      <c r="T2125" s="29">
        <f>IF($A2125="","",DATE(YEAR($A2125),MONTH($A2125),1))</f>
        <v>0</v>
      </c>
      <c r="U2125" s="30">
        <f>IF($S2125="CONFIRMAR",MAX($U$4:$U2124)+1,"")</f>
        <v>0</v>
      </c>
      <c r="V2125" s="30">
        <f>IF(AND($R2125="Não",$Q2125&lt;&gt;"",$Q2125&lt;=Hoje+JanelaRet,$Q2125&gt;=Hoje-60),MAX($V$4:$V2124)+1,"")</f>
        <v>0</v>
      </c>
    </row>
    <row r="2126" spans="1:22">
      <c r="A2126" s="16"/>
      <c r="B2126" s="23"/>
      <c r="C2126" s="15"/>
      <c r="D2126" s="15"/>
      <c r="E2126" s="15"/>
      <c r="F2126" s="24"/>
      <c r="G2126" s="17"/>
      <c r="H2126" s="17"/>
      <c r="I2126" s="15"/>
      <c r="J2126" s="25">
        <f>IF($D2126="","",IFERROR(INDEX(PacNome,MATCH($D2126,PacCod,0)),"Paciente não cadastrado"))</f>
        <v>0</v>
      </c>
      <c r="K2126" s="26">
        <f>IF($D2126="","",IFERROR(INDEX(PacConv,MATCH($D2126,PacCod,0))&amp;"",""))</f>
        <v>0</v>
      </c>
      <c r="L2126" s="26">
        <f>IF($A2126="","",CHOOSE(WEEKDAY($A2126,2),"Seg","Ter","Qua","Qui","Sex","Sáb","Dom"))</f>
        <v>0</v>
      </c>
      <c r="M2126" s="27">
        <f>IF($E2126="","",IF($G2126&lt;&gt;"",$G2126,IFERROR(INDEX(ProcValor,MATCH($E2126,ProcNome,0)),0)))</f>
        <v>0</v>
      </c>
      <c r="N2126" s="27">
        <f>IF($M2126="","",IF($F2126="Compareceu",$M2126,0))</f>
        <v>0</v>
      </c>
      <c r="O2126" s="27">
        <f>IF($M2126="","",IF($F2126="Faltou",$M2126,0))</f>
        <v>0</v>
      </c>
      <c r="P2126" s="27">
        <f>IF($M2126="","",IF($F2126="Compareceu",MAX(0,$M2126-N($H2126)),0))</f>
        <v>0</v>
      </c>
      <c r="Q2126" s="19">
        <f>IF(AND($F2126="Compareceu",$E2126&lt;&gt;"",$A2126&lt;&gt;""),IF(IFERROR(INDEX(ProcRet,MATCH($E2126,ProcNome,0)),0)&gt;0,$A2126+INDEX(ProcRet,MATCH($E2126,ProcNome,0)),""),"")</f>
        <v>0</v>
      </c>
      <c r="R2126" s="26">
        <f>IF($Q2126="","",IF(COUNTIFS(AgPac,$D2126,AgData,"&gt;"&amp;$A2126,AgStatus,"&lt;&gt;Cancelado",AgStatus,"&lt;&gt;Remarcado")&gt;0,"Sim","Não"))</f>
        <v>0</v>
      </c>
      <c r="S2126" s="28">
        <f>IF($A2126="","",IF(AND($F2126="Agendado",$A2126-Hoje&gt;=0,$A2126-Hoje&lt;=DiasConf),"CONFIRMAR",IF(AND($A2126&lt;Hoje,OR($F2126="Agendado",$F2126="Confirmado")),"Atualizar status",IF(AND($F2126="Compareceu",$P2126&gt;0.005),"Cobrar",IF($F2126="Faltou","Falta: reagendar","")))))</f>
        <v>0</v>
      </c>
      <c r="T2126" s="29">
        <f>IF($A2126="","",DATE(YEAR($A2126),MONTH($A2126),1))</f>
        <v>0</v>
      </c>
      <c r="U2126" s="30">
        <f>IF($S2126="CONFIRMAR",MAX($U$4:$U2125)+1,"")</f>
        <v>0</v>
      </c>
      <c r="V2126" s="30">
        <f>IF(AND($R2126="Não",$Q2126&lt;&gt;"",$Q2126&lt;=Hoje+JanelaRet,$Q2126&gt;=Hoje-60),MAX($V$4:$V2125)+1,"")</f>
        <v>0</v>
      </c>
    </row>
    <row r="2127" spans="1:22">
      <c r="A2127" s="16"/>
      <c r="B2127" s="23"/>
      <c r="C2127" s="15"/>
      <c r="D2127" s="15"/>
      <c r="E2127" s="15"/>
      <c r="F2127" s="24"/>
      <c r="G2127" s="17"/>
      <c r="H2127" s="17"/>
      <c r="I2127" s="15"/>
      <c r="J2127" s="25">
        <f>IF($D2127="","",IFERROR(INDEX(PacNome,MATCH($D2127,PacCod,0)),"Paciente não cadastrado"))</f>
        <v>0</v>
      </c>
      <c r="K2127" s="26">
        <f>IF($D2127="","",IFERROR(INDEX(PacConv,MATCH($D2127,PacCod,0))&amp;"",""))</f>
        <v>0</v>
      </c>
      <c r="L2127" s="26">
        <f>IF($A2127="","",CHOOSE(WEEKDAY($A2127,2),"Seg","Ter","Qua","Qui","Sex","Sáb","Dom"))</f>
        <v>0</v>
      </c>
      <c r="M2127" s="27">
        <f>IF($E2127="","",IF($G2127&lt;&gt;"",$G2127,IFERROR(INDEX(ProcValor,MATCH($E2127,ProcNome,0)),0)))</f>
        <v>0</v>
      </c>
      <c r="N2127" s="27">
        <f>IF($M2127="","",IF($F2127="Compareceu",$M2127,0))</f>
        <v>0</v>
      </c>
      <c r="O2127" s="27">
        <f>IF($M2127="","",IF($F2127="Faltou",$M2127,0))</f>
        <v>0</v>
      </c>
      <c r="P2127" s="27">
        <f>IF($M2127="","",IF($F2127="Compareceu",MAX(0,$M2127-N($H2127)),0))</f>
        <v>0</v>
      </c>
      <c r="Q2127" s="19">
        <f>IF(AND($F2127="Compareceu",$E2127&lt;&gt;"",$A2127&lt;&gt;""),IF(IFERROR(INDEX(ProcRet,MATCH($E2127,ProcNome,0)),0)&gt;0,$A2127+INDEX(ProcRet,MATCH($E2127,ProcNome,0)),""),"")</f>
        <v>0</v>
      </c>
      <c r="R2127" s="26">
        <f>IF($Q2127="","",IF(COUNTIFS(AgPac,$D2127,AgData,"&gt;"&amp;$A2127,AgStatus,"&lt;&gt;Cancelado",AgStatus,"&lt;&gt;Remarcado")&gt;0,"Sim","Não"))</f>
        <v>0</v>
      </c>
      <c r="S2127" s="28">
        <f>IF($A2127="","",IF(AND($F2127="Agendado",$A2127-Hoje&gt;=0,$A2127-Hoje&lt;=DiasConf),"CONFIRMAR",IF(AND($A2127&lt;Hoje,OR($F2127="Agendado",$F2127="Confirmado")),"Atualizar status",IF(AND($F2127="Compareceu",$P2127&gt;0.005),"Cobrar",IF($F2127="Faltou","Falta: reagendar","")))))</f>
        <v>0</v>
      </c>
      <c r="T2127" s="29">
        <f>IF($A2127="","",DATE(YEAR($A2127),MONTH($A2127),1))</f>
        <v>0</v>
      </c>
      <c r="U2127" s="30">
        <f>IF($S2127="CONFIRMAR",MAX($U$4:$U2126)+1,"")</f>
        <v>0</v>
      </c>
      <c r="V2127" s="30">
        <f>IF(AND($R2127="Não",$Q2127&lt;&gt;"",$Q2127&lt;=Hoje+JanelaRet,$Q2127&gt;=Hoje-60),MAX($V$4:$V2126)+1,"")</f>
        <v>0</v>
      </c>
    </row>
    <row r="2128" spans="1:22">
      <c r="A2128" s="16"/>
      <c r="B2128" s="23"/>
      <c r="C2128" s="15"/>
      <c r="D2128" s="15"/>
      <c r="E2128" s="15"/>
      <c r="F2128" s="24"/>
      <c r="G2128" s="17"/>
      <c r="H2128" s="17"/>
      <c r="I2128" s="15"/>
      <c r="J2128" s="25">
        <f>IF($D2128="","",IFERROR(INDEX(PacNome,MATCH($D2128,PacCod,0)),"Paciente não cadastrado"))</f>
        <v>0</v>
      </c>
      <c r="K2128" s="26">
        <f>IF($D2128="","",IFERROR(INDEX(PacConv,MATCH($D2128,PacCod,0))&amp;"",""))</f>
        <v>0</v>
      </c>
      <c r="L2128" s="26">
        <f>IF($A2128="","",CHOOSE(WEEKDAY($A2128,2),"Seg","Ter","Qua","Qui","Sex","Sáb","Dom"))</f>
        <v>0</v>
      </c>
      <c r="M2128" s="27">
        <f>IF($E2128="","",IF($G2128&lt;&gt;"",$G2128,IFERROR(INDEX(ProcValor,MATCH($E2128,ProcNome,0)),0)))</f>
        <v>0</v>
      </c>
      <c r="N2128" s="27">
        <f>IF($M2128="","",IF($F2128="Compareceu",$M2128,0))</f>
        <v>0</v>
      </c>
      <c r="O2128" s="27">
        <f>IF($M2128="","",IF($F2128="Faltou",$M2128,0))</f>
        <v>0</v>
      </c>
      <c r="P2128" s="27">
        <f>IF($M2128="","",IF($F2128="Compareceu",MAX(0,$M2128-N($H2128)),0))</f>
        <v>0</v>
      </c>
      <c r="Q2128" s="19">
        <f>IF(AND($F2128="Compareceu",$E2128&lt;&gt;"",$A2128&lt;&gt;""),IF(IFERROR(INDEX(ProcRet,MATCH($E2128,ProcNome,0)),0)&gt;0,$A2128+INDEX(ProcRet,MATCH($E2128,ProcNome,0)),""),"")</f>
        <v>0</v>
      </c>
      <c r="R2128" s="26">
        <f>IF($Q2128="","",IF(COUNTIFS(AgPac,$D2128,AgData,"&gt;"&amp;$A2128,AgStatus,"&lt;&gt;Cancelado",AgStatus,"&lt;&gt;Remarcado")&gt;0,"Sim","Não"))</f>
        <v>0</v>
      </c>
      <c r="S2128" s="28">
        <f>IF($A2128="","",IF(AND($F2128="Agendado",$A2128-Hoje&gt;=0,$A2128-Hoje&lt;=DiasConf),"CONFIRMAR",IF(AND($A2128&lt;Hoje,OR($F2128="Agendado",$F2128="Confirmado")),"Atualizar status",IF(AND($F2128="Compareceu",$P2128&gt;0.005),"Cobrar",IF($F2128="Faltou","Falta: reagendar","")))))</f>
        <v>0</v>
      </c>
      <c r="T2128" s="29">
        <f>IF($A2128="","",DATE(YEAR($A2128),MONTH($A2128),1))</f>
        <v>0</v>
      </c>
      <c r="U2128" s="30">
        <f>IF($S2128="CONFIRMAR",MAX($U$4:$U2127)+1,"")</f>
        <v>0</v>
      </c>
      <c r="V2128" s="30">
        <f>IF(AND($R2128="Não",$Q2128&lt;&gt;"",$Q2128&lt;=Hoje+JanelaRet,$Q2128&gt;=Hoje-60),MAX($V$4:$V2127)+1,"")</f>
        <v>0</v>
      </c>
    </row>
    <row r="2129" spans="1:22">
      <c r="A2129" s="16"/>
      <c r="B2129" s="23"/>
      <c r="C2129" s="15"/>
      <c r="D2129" s="15"/>
      <c r="E2129" s="15"/>
      <c r="F2129" s="24"/>
      <c r="G2129" s="17"/>
      <c r="H2129" s="17"/>
      <c r="I2129" s="15"/>
      <c r="J2129" s="25">
        <f>IF($D2129="","",IFERROR(INDEX(PacNome,MATCH($D2129,PacCod,0)),"Paciente não cadastrado"))</f>
        <v>0</v>
      </c>
      <c r="K2129" s="26">
        <f>IF($D2129="","",IFERROR(INDEX(PacConv,MATCH($D2129,PacCod,0))&amp;"",""))</f>
        <v>0</v>
      </c>
      <c r="L2129" s="26">
        <f>IF($A2129="","",CHOOSE(WEEKDAY($A2129,2),"Seg","Ter","Qua","Qui","Sex","Sáb","Dom"))</f>
        <v>0</v>
      </c>
      <c r="M2129" s="27">
        <f>IF($E2129="","",IF($G2129&lt;&gt;"",$G2129,IFERROR(INDEX(ProcValor,MATCH($E2129,ProcNome,0)),0)))</f>
        <v>0</v>
      </c>
      <c r="N2129" s="27">
        <f>IF($M2129="","",IF($F2129="Compareceu",$M2129,0))</f>
        <v>0</v>
      </c>
      <c r="O2129" s="27">
        <f>IF($M2129="","",IF($F2129="Faltou",$M2129,0))</f>
        <v>0</v>
      </c>
      <c r="P2129" s="27">
        <f>IF($M2129="","",IF($F2129="Compareceu",MAX(0,$M2129-N($H2129)),0))</f>
        <v>0</v>
      </c>
      <c r="Q2129" s="19">
        <f>IF(AND($F2129="Compareceu",$E2129&lt;&gt;"",$A2129&lt;&gt;""),IF(IFERROR(INDEX(ProcRet,MATCH($E2129,ProcNome,0)),0)&gt;0,$A2129+INDEX(ProcRet,MATCH($E2129,ProcNome,0)),""),"")</f>
        <v>0</v>
      </c>
      <c r="R2129" s="26">
        <f>IF($Q2129="","",IF(COUNTIFS(AgPac,$D2129,AgData,"&gt;"&amp;$A2129,AgStatus,"&lt;&gt;Cancelado",AgStatus,"&lt;&gt;Remarcado")&gt;0,"Sim","Não"))</f>
        <v>0</v>
      </c>
      <c r="S2129" s="28">
        <f>IF($A2129="","",IF(AND($F2129="Agendado",$A2129-Hoje&gt;=0,$A2129-Hoje&lt;=DiasConf),"CONFIRMAR",IF(AND($A2129&lt;Hoje,OR($F2129="Agendado",$F2129="Confirmado")),"Atualizar status",IF(AND($F2129="Compareceu",$P2129&gt;0.005),"Cobrar",IF($F2129="Faltou","Falta: reagendar","")))))</f>
        <v>0</v>
      </c>
      <c r="T2129" s="29">
        <f>IF($A2129="","",DATE(YEAR($A2129),MONTH($A2129),1))</f>
        <v>0</v>
      </c>
      <c r="U2129" s="30">
        <f>IF($S2129="CONFIRMAR",MAX($U$4:$U2128)+1,"")</f>
        <v>0</v>
      </c>
      <c r="V2129" s="30">
        <f>IF(AND($R2129="Não",$Q2129&lt;&gt;"",$Q2129&lt;=Hoje+JanelaRet,$Q2129&gt;=Hoje-60),MAX($V$4:$V2128)+1,"")</f>
        <v>0</v>
      </c>
    </row>
    <row r="2130" spans="1:22">
      <c r="A2130" s="16"/>
      <c r="B2130" s="23"/>
      <c r="C2130" s="15"/>
      <c r="D2130" s="15"/>
      <c r="E2130" s="15"/>
      <c r="F2130" s="24"/>
      <c r="G2130" s="17"/>
      <c r="H2130" s="17"/>
      <c r="I2130" s="15"/>
      <c r="J2130" s="25">
        <f>IF($D2130="","",IFERROR(INDEX(PacNome,MATCH($D2130,PacCod,0)),"Paciente não cadastrado"))</f>
        <v>0</v>
      </c>
      <c r="K2130" s="26">
        <f>IF($D2130="","",IFERROR(INDEX(PacConv,MATCH($D2130,PacCod,0))&amp;"",""))</f>
        <v>0</v>
      </c>
      <c r="L2130" s="26">
        <f>IF($A2130="","",CHOOSE(WEEKDAY($A2130,2),"Seg","Ter","Qua","Qui","Sex","Sáb","Dom"))</f>
        <v>0</v>
      </c>
      <c r="M2130" s="27">
        <f>IF($E2130="","",IF($G2130&lt;&gt;"",$G2130,IFERROR(INDEX(ProcValor,MATCH($E2130,ProcNome,0)),0)))</f>
        <v>0</v>
      </c>
      <c r="N2130" s="27">
        <f>IF($M2130="","",IF($F2130="Compareceu",$M2130,0))</f>
        <v>0</v>
      </c>
      <c r="O2130" s="27">
        <f>IF($M2130="","",IF($F2130="Faltou",$M2130,0))</f>
        <v>0</v>
      </c>
      <c r="P2130" s="27">
        <f>IF($M2130="","",IF($F2130="Compareceu",MAX(0,$M2130-N($H2130)),0))</f>
        <v>0</v>
      </c>
      <c r="Q2130" s="19">
        <f>IF(AND($F2130="Compareceu",$E2130&lt;&gt;"",$A2130&lt;&gt;""),IF(IFERROR(INDEX(ProcRet,MATCH($E2130,ProcNome,0)),0)&gt;0,$A2130+INDEX(ProcRet,MATCH($E2130,ProcNome,0)),""),"")</f>
        <v>0</v>
      </c>
      <c r="R2130" s="26">
        <f>IF($Q2130="","",IF(COUNTIFS(AgPac,$D2130,AgData,"&gt;"&amp;$A2130,AgStatus,"&lt;&gt;Cancelado",AgStatus,"&lt;&gt;Remarcado")&gt;0,"Sim","Não"))</f>
        <v>0</v>
      </c>
      <c r="S2130" s="28">
        <f>IF($A2130="","",IF(AND($F2130="Agendado",$A2130-Hoje&gt;=0,$A2130-Hoje&lt;=DiasConf),"CONFIRMAR",IF(AND($A2130&lt;Hoje,OR($F2130="Agendado",$F2130="Confirmado")),"Atualizar status",IF(AND($F2130="Compareceu",$P2130&gt;0.005),"Cobrar",IF($F2130="Faltou","Falta: reagendar","")))))</f>
        <v>0</v>
      </c>
      <c r="T2130" s="29">
        <f>IF($A2130="","",DATE(YEAR($A2130),MONTH($A2130),1))</f>
        <v>0</v>
      </c>
      <c r="U2130" s="30">
        <f>IF($S2130="CONFIRMAR",MAX($U$4:$U2129)+1,"")</f>
        <v>0</v>
      </c>
      <c r="V2130" s="30">
        <f>IF(AND($R2130="Não",$Q2130&lt;&gt;"",$Q2130&lt;=Hoje+JanelaRet,$Q2130&gt;=Hoje-60),MAX($V$4:$V2129)+1,"")</f>
        <v>0</v>
      </c>
    </row>
    <row r="2131" spans="1:22">
      <c r="A2131" s="16"/>
      <c r="B2131" s="23"/>
      <c r="C2131" s="15"/>
      <c r="D2131" s="15"/>
      <c r="E2131" s="15"/>
      <c r="F2131" s="24"/>
      <c r="G2131" s="17"/>
      <c r="H2131" s="17"/>
      <c r="I2131" s="15"/>
      <c r="J2131" s="25">
        <f>IF($D2131="","",IFERROR(INDEX(PacNome,MATCH($D2131,PacCod,0)),"Paciente não cadastrado"))</f>
        <v>0</v>
      </c>
      <c r="K2131" s="26">
        <f>IF($D2131="","",IFERROR(INDEX(PacConv,MATCH($D2131,PacCod,0))&amp;"",""))</f>
        <v>0</v>
      </c>
      <c r="L2131" s="26">
        <f>IF($A2131="","",CHOOSE(WEEKDAY($A2131,2),"Seg","Ter","Qua","Qui","Sex","Sáb","Dom"))</f>
        <v>0</v>
      </c>
      <c r="M2131" s="27">
        <f>IF($E2131="","",IF($G2131&lt;&gt;"",$G2131,IFERROR(INDEX(ProcValor,MATCH($E2131,ProcNome,0)),0)))</f>
        <v>0</v>
      </c>
      <c r="N2131" s="27">
        <f>IF($M2131="","",IF($F2131="Compareceu",$M2131,0))</f>
        <v>0</v>
      </c>
      <c r="O2131" s="27">
        <f>IF($M2131="","",IF($F2131="Faltou",$M2131,0))</f>
        <v>0</v>
      </c>
      <c r="P2131" s="27">
        <f>IF($M2131="","",IF($F2131="Compareceu",MAX(0,$M2131-N($H2131)),0))</f>
        <v>0</v>
      </c>
      <c r="Q2131" s="19">
        <f>IF(AND($F2131="Compareceu",$E2131&lt;&gt;"",$A2131&lt;&gt;""),IF(IFERROR(INDEX(ProcRet,MATCH($E2131,ProcNome,0)),0)&gt;0,$A2131+INDEX(ProcRet,MATCH($E2131,ProcNome,0)),""),"")</f>
        <v>0</v>
      </c>
      <c r="R2131" s="26">
        <f>IF($Q2131="","",IF(COUNTIFS(AgPac,$D2131,AgData,"&gt;"&amp;$A2131,AgStatus,"&lt;&gt;Cancelado",AgStatus,"&lt;&gt;Remarcado")&gt;0,"Sim","Não"))</f>
        <v>0</v>
      </c>
      <c r="S2131" s="28">
        <f>IF($A2131="","",IF(AND($F2131="Agendado",$A2131-Hoje&gt;=0,$A2131-Hoje&lt;=DiasConf),"CONFIRMAR",IF(AND($A2131&lt;Hoje,OR($F2131="Agendado",$F2131="Confirmado")),"Atualizar status",IF(AND($F2131="Compareceu",$P2131&gt;0.005),"Cobrar",IF($F2131="Faltou","Falta: reagendar","")))))</f>
        <v>0</v>
      </c>
      <c r="T2131" s="29">
        <f>IF($A2131="","",DATE(YEAR($A2131),MONTH($A2131),1))</f>
        <v>0</v>
      </c>
      <c r="U2131" s="30">
        <f>IF($S2131="CONFIRMAR",MAX($U$4:$U2130)+1,"")</f>
        <v>0</v>
      </c>
      <c r="V2131" s="30">
        <f>IF(AND($R2131="Não",$Q2131&lt;&gt;"",$Q2131&lt;=Hoje+JanelaRet,$Q2131&gt;=Hoje-60),MAX($V$4:$V2130)+1,"")</f>
        <v>0</v>
      </c>
    </row>
    <row r="2132" spans="1:22">
      <c r="A2132" s="16"/>
      <c r="B2132" s="23"/>
      <c r="C2132" s="15"/>
      <c r="D2132" s="15"/>
      <c r="E2132" s="15"/>
      <c r="F2132" s="24"/>
      <c r="G2132" s="17"/>
      <c r="H2132" s="17"/>
      <c r="I2132" s="15"/>
      <c r="J2132" s="25">
        <f>IF($D2132="","",IFERROR(INDEX(PacNome,MATCH($D2132,PacCod,0)),"Paciente não cadastrado"))</f>
        <v>0</v>
      </c>
      <c r="K2132" s="26">
        <f>IF($D2132="","",IFERROR(INDEX(PacConv,MATCH($D2132,PacCod,0))&amp;"",""))</f>
        <v>0</v>
      </c>
      <c r="L2132" s="26">
        <f>IF($A2132="","",CHOOSE(WEEKDAY($A2132,2),"Seg","Ter","Qua","Qui","Sex","Sáb","Dom"))</f>
        <v>0</v>
      </c>
      <c r="M2132" s="27">
        <f>IF($E2132="","",IF($G2132&lt;&gt;"",$G2132,IFERROR(INDEX(ProcValor,MATCH($E2132,ProcNome,0)),0)))</f>
        <v>0</v>
      </c>
      <c r="N2132" s="27">
        <f>IF($M2132="","",IF($F2132="Compareceu",$M2132,0))</f>
        <v>0</v>
      </c>
      <c r="O2132" s="27">
        <f>IF($M2132="","",IF($F2132="Faltou",$M2132,0))</f>
        <v>0</v>
      </c>
      <c r="P2132" s="27">
        <f>IF($M2132="","",IF($F2132="Compareceu",MAX(0,$M2132-N($H2132)),0))</f>
        <v>0</v>
      </c>
      <c r="Q2132" s="19">
        <f>IF(AND($F2132="Compareceu",$E2132&lt;&gt;"",$A2132&lt;&gt;""),IF(IFERROR(INDEX(ProcRet,MATCH($E2132,ProcNome,0)),0)&gt;0,$A2132+INDEX(ProcRet,MATCH($E2132,ProcNome,0)),""),"")</f>
        <v>0</v>
      </c>
      <c r="R2132" s="26">
        <f>IF($Q2132="","",IF(COUNTIFS(AgPac,$D2132,AgData,"&gt;"&amp;$A2132,AgStatus,"&lt;&gt;Cancelado",AgStatus,"&lt;&gt;Remarcado")&gt;0,"Sim","Não"))</f>
        <v>0</v>
      </c>
      <c r="S2132" s="28">
        <f>IF($A2132="","",IF(AND($F2132="Agendado",$A2132-Hoje&gt;=0,$A2132-Hoje&lt;=DiasConf),"CONFIRMAR",IF(AND($A2132&lt;Hoje,OR($F2132="Agendado",$F2132="Confirmado")),"Atualizar status",IF(AND($F2132="Compareceu",$P2132&gt;0.005),"Cobrar",IF($F2132="Faltou","Falta: reagendar","")))))</f>
        <v>0</v>
      </c>
      <c r="T2132" s="29">
        <f>IF($A2132="","",DATE(YEAR($A2132),MONTH($A2132),1))</f>
        <v>0</v>
      </c>
      <c r="U2132" s="30">
        <f>IF($S2132="CONFIRMAR",MAX($U$4:$U2131)+1,"")</f>
        <v>0</v>
      </c>
      <c r="V2132" s="30">
        <f>IF(AND($R2132="Não",$Q2132&lt;&gt;"",$Q2132&lt;=Hoje+JanelaRet,$Q2132&gt;=Hoje-60),MAX($V$4:$V2131)+1,"")</f>
        <v>0</v>
      </c>
    </row>
    <row r="2133" spans="1:22">
      <c r="A2133" s="16"/>
      <c r="B2133" s="23"/>
      <c r="C2133" s="15"/>
      <c r="D2133" s="15"/>
      <c r="E2133" s="15"/>
      <c r="F2133" s="24"/>
      <c r="G2133" s="17"/>
      <c r="H2133" s="17"/>
      <c r="I2133" s="15"/>
      <c r="J2133" s="25">
        <f>IF($D2133="","",IFERROR(INDEX(PacNome,MATCH($D2133,PacCod,0)),"Paciente não cadastrado"))</f>
        <v>0</v>
      </c>
      <c r="K2133" s="26">
        <f>IF($D2133="","",IFERROR(INDEX(PacConv,MATCH($D2133,PacCod,0))&amp;"",""))</f>
        <v>0</v>
      </c>
      <c r="L2133" s="26">
        <f>IF($A2133="","",CHOOSE(WEEKDAY($A2133,2),"Seg","Ter","Qua","Qui","Sex","Sáb","Dom"))</f>
        <v>0</v>
      </c>
      <c r="M2133" s="27">
        <f>IF($E2133="","",IF($G2133&lt;&gt;"",$G2133,IFERROR(INDEX(ProcValor,MATCH($E2133,ProcNome,0)),0)))</f>
        <v>0</v>
      </c>
      <c r="N2133" s="27">
        <f>IF($M2133="","",IF($F2133="Compareceu",$M2133,0))</f>
        <v>0</v>
      </c>
      <c r="O2133" s="27">
        <f>IF($M2133="","",IF($F2133="Faltou",$M2133,0))</f>
        <v>0</v>
      </c>
      <c r="P2133" s="27">
        <f>IF($M2133="","",IF($F2133="Compareceu",MAX(0,$M2133-N($H2133)),0))</f>
        <v>0</v>
      </c>
      <c r="Q2133" s="19">
        <f>IF(AND($F2133="Compareceu",$E2133&lt;&gt;"",$A2133&lt;&gt;""),IF(IFERROR(INDEX(ProcRet,MATCH($E2133,ProcNome,0)),0)&gt;0,$A2133+INDEX(ProcRet,MATCH($E2133,ProcNome,0)),""),"")</f>
        <v>0</v>
      </c>
      <c r="R2133" s="26">
        <f>IF($Q2133="","",IF(COUNTIFS(AgPac,$D2133,AgData,"&gt;"&amp;$A2133,AgStatus,"&lt;&gt;Cancelado",AgStatus,"&lt;&gt;Remarcado")&gt;0,"Sim","Não"))</f>
        <v>0</v>
      </c>
      <c r="S2133" s="28">
        <f>IF($A2133="","",IF(AND($F2133="Agendado",$A2133-Hoje&gt;=0,$A2133-Hoje&lt;=DiasConf),"CONFIRMAR",IF(AND($A2133&lt;Hoje,OR($F2133="Agendado",$F2133="Confirmado")),"Atualizar status",IF(AND($F2133="Compareceu",$P2133&gt;0.005),"Cobrar",IF($F2133="Faltou","Falta: reagendar","")))))</f>
        <v>0</v>
      </c>
      <c r="T2133" s="29">
        <f>IF($A2133="","",DATE(YEAR($A2133),MONTH($A2133),1))</f>
        <v>0</v>
      </c>
      <c r="U2133" s="30">
        <f>IF($S2133="CONFIRMAR",MAX($U$4:$U2132)+1,"")</f>
        <v>0</v>
      </c>
      <c r="V2133" s="30">
        <f>IF(AND($R2133="Não",$Q2133&lt;&gt;"",$Q2133&lt;=Hoje+JanelaRet,$Q2133&gt;=Hoje-60),MAX($V$4:$V2132)+1,"")</f>
        <v>0</v>
      </c>
    </row>
    <row r="2134" spans="1:22">
      <c r="A2134" s="16"/>
      <c r="B2134" s="23"/>
      <c r="C2134" s="15"/>
      <c r="D2134" s="15"/>
      <c r="E2134" s="15"/>
      <c r="F2134" s="24"/>
      <c r="G2134" s="17"/>
      <c r="H2134" s="17"/>
      <c r="I2134" s="15"/>
      <c r="J2134" s="25">
        <f>IF($D2134="","",IFERROR(INDEX(PacNome,MATCH($D2134,PacCod,0)),"Paciente não cadastrado"))</f>
        <v>0</v>
      </c>
      <c r="K2134" s="26">
        <f>IF($D2134="","",IFERROR(INDEX(PacConv,MATCH($D2134,PacCod,0))&amp;"",""))</f>
        <v>0</v>
      </c>
      <c r="L2134" s="26">
        <f>IF($A2134="","",CHOOSE(WEEKDAY($A2134,2),"Seg","Ter","Qua","Qui","Sex","Sáb","Dom"))</f>
        <v>0</v>
      </c>
      <c r="M2134" s="27">
        <f>IF($E2134="","",IF($G2134&lt;&gt;"",$G2134,IFERROR(INDEX(ProcValor,MATCH($E2134,ProcNome,0)),0)))</f>
        <v>0</v>
      </c>
      <c r="N2134" s="27">
        <f>IF($M2134="","",IF($F2134="Compareceu",$M2134,0))</f>
        <v>0</v>
      </c>
      <c r="O2134" s="27">
        <f>IF($M2134="","",IF($F2134="Faltou",$M2134,0))</f>
        <v>0</v>
      </c>
      <c r="P2134" s="27">
        <f>IF($M2134="","",IF($F2134="Compareceu",MAX(0,$M2134-N($H2134)),0))</f>
        <v>0</v>
      </c>
      <c r="Q2134" s="19">
        <f>IF(AND($F2134="Compareceu",$E2134&lt;&gt;"",$A2134&lt;&gt;""),IF(IFERROR(INDEX(ProcRet,MATCH($E2134,ProcNome,0)),0)&gt;0,$A2134+INDEX(ProcRet,MATCH($E2134,ProcNome,0)),""),"")</f>
        <v>0</v>
      </c>
      <c r="R2134" s="26">
        <f>IF($Q2134="","",IF(COUNTIFS(AgPac,$D2134,AgData,"&gt;"&amp;$A2134,AgStatus,"&lt;&gt;Cancelado",AgStatus,"&lt;&gt;Remarcado")&gt;0,"Sim","Não"))</f>
        <v>0</v>
      </c>
      <c r="S2134" s="28">
        <f>IF($A2134="","",IF(AND($F2134="Agendado",$A2134-Hoje&gt;=0,$A2134-Hoje&lt;=DiasConf),"CONFIRMAR",IF(AND($A2134&lt;Hoje,OR($F2134="Agendado",$F2134="Confirmado")),"Atualizar status",IF(AND($F2134="Compareceu",$P2134&gt;0.005),"Cobrar",IF($F2134="Faltou","Falta: reagendar","")))))</f>
        <v>0</v>
      </c>
      <c r="T2134" s="29">
        <f>IF($A2134="","",DATE(YEAR($A2134),MONTH($A2134),1))</f>
        <v>0</v>
      </c>
      <c r="U2134" s="30">
        <f>IF($S2134="CONFIRMAR",MAX($U$4:$U2133)+1,"")</f>
        <v>0</v>
      </c>
      <c r="V2134" s="30">
        <f>IF(AND($R2134="Não",$Q2134&lt;&gt;"",$Q2134&lt;=Hoje+JanelaRet,$Q2134&gt;=Hoje-60),MAX($V$4:$V2133)+1,"")</f>
        <v>0</v>
      </c>
    </row>
    <row r="2135" spans="1:22">
      <c r="A2135" s="16"/>
      <c r="B2135" s="23"/>
      <c r="C2135" s="15"/>
      <c r="D2135" s="15"/>
      <c r="E2135" s="15"/>
      <c r="F2135" s="24"/>
      <c r="G2135" s="17"/>
      <c r="H2135" s="17"/>
      <c r="I2135" s="15"/>
      <c r="J2135" s="25">
        <f>IF($D2135="","",IFERROR(INDEX(PacNome,MATCH($D2135,PacCod,0)),"Paciente não cadastrado"))</f>
        <v>0</v>
      </c>
      <c r="K2135" s="26">
        <f>IF($D2135="","",IFERROR(INDEX(PacConv,MATCH($D2135,PacCod,0))&amp;"",""))</f>
        <v>0</v>
      </c>
      <c r="L2135" s="26">
        <f>IF($A2135="","",CHOOSE(WEEKDAY($A2135,2),"Seg","Ter","Qua","Qui","Sex","Sáb","Dom"))</f>
        <v>0</v>
      </c>
      <c r="M2135" s="27">
        <f>IF($E2135="","",IF($G2135&lt;&gt;"",$G2135,IFERROR(INDEX(ProcValor,MATCH($E2135,ProcNome,0)),0)))</f>
        <v>0</v>
      </c>
      <c r="N2135" s="27">
        <f>IF($M2135="","",IF($F2135="Compareceu",$M2135,0))</f>
        <v>0</v>
      </c>
      <c r="O2135" s="27">
        <f>IF($M2135="","",IF($F2135="Faltou",$M2135,0))</f>
        <v>0</v>
      </c>
      <c r="P2135" s="27">
        <f>IF($M2135="","",IF($F2135="Compareceu",MAX(0,$M2135-N($H2135)),0))</f>
        <v>0</v>
      </c>
      <c r="Q2135" s="19">
        <f>IF(AND($F2135="Compareceu",$E2135&lt;&gt;"",$A2135&lt;&gt;""),IF(IFERROR(INDEX(ProcRet,MATCH($E2135,ProcNome,0)),0)&gt;0,$A2135+INDEX(ProcRet,MATCH($E2135,ProcNome,0)),""),"")</f>
        <v>0</v>
      </c>
      <c r="R2135" s="26">
        <f>IF($Q2135="","",IF(COUNTIFS(AgPac,$D2135,AgData,"&gt;"&amp;$A2135,AgStatus,"&lt;&gt;Cancelado",AgStatus,"&lt;&gt;Remarcado")&gt;0,"Sim","Não"))</f>
        <v>0</v>
      </c>
      <c r="S2135" s="28">
        <f>IF($A2135="","",IF(AND($F2135="Agendado",$A2135-Hoje&gt;=0,$A2135-Hoje&lt;=DiasConf),"CONFIRMAR",IF(AND($A2135&lt;Hoje,OR($F2135="Agendado",$F2135="Confirmado")),"Atualizar status",IF(AND($F2135="Compareceu",$P2135&gt;0.005),"Cobrar",IF($F2135="Faltou","Falta: reagendar","")))))</f>
        <v>0</v>
      </c>
      <c r="T2135" s="29">
        <f>IF($A2135="","",DATE(YEAR($A2135),MONTH($A2135),1))</f>
        <v>0</v>
      </c>
      <c r="U2135" s="30">
        <f>IF($S2135="CONFIRMAR",MAX($U$4:$U2134)+1,"")</f>
        <v>0</v>
      </c>
      <c r="V2135" s="30">
        <f>IF(AND($R2135="Não",$Q2135&lt;&gt;"",$Q2135&lt;=Hoje+JanelaRet,$Q2135&gt;=Hoje-60),MAX($V$4:$V2134)+1,"")</f>
        <v>0</v>
      </c>
    </row>
    <row r="2136" spans="1:22">
      <c r="A2136" s="16"/>
      <c r="B2136" s="23"/>
      <c r="C2136" s="15"/>
      <c r="D2136" s="15"/>
      <c r="E2136" s="15"/>
      <c r="F2136" s="24"/>
      <c r="G2136" s="17"/>
      <c r="H2136" s="17"/>
      <c r="I2136" s="15"/>
      <c r="J2136" s="25">
        <f>IF($D2136="","",IFERROR(INDEX(PacNome,MATCH($D2136,PacCod,0)),"Paciente não cadastrado"))</f>
        <v>0</v>
      </c>
      <c r="K2136" s="26">
        <f>IF($D2136="","",IFERROR(INDEX(PacConv,MATCH($D2136,PacCod,0))&amp;"",""))</f>
        <v>0</v>
      </c>
      <c r="L2136" s="26">
        <f>IF($A2136="","",CHOOSE(WEEKDAY($A2136,2),"Seg","Ter","Qua","Qui","Sex","Sáb","Dom"))</f>
        <v>0</v>
      </c>
      <c r="M2136" s="27">
        <f>IF($E2136="","",IF($G2136&lt;&gt;"",$G2136,IFERROR(INDEX(ProcValor,MATCH($E2136,ProcNome,0)),0)))</f>
        <v>0</v>
      </c>
      <c r="N2136" s="27">
        <f>IF($M2136="","",IF($F2136="Compareceu",$M2136,0))</f>
        <v>0</v>
      </c>
      <c r="O2136" s="27">
        <f>IF($M2136="","",IF($F2136="Faltou",$M2136,0))</f>
        <v>0</v>
      </c>
      <c r="P2136" s="27">
        <f>IF($M2136="","",IF($F2136="Compareceu",MAX(0,$M2136-N($H2136)),0))</f>
        <v>0</v>
      </c>
      <c r="Q2136" s="19">
        <f>IF(AND($F2136="Compareceu",$E2136&lt;&gt;"",$A2136&lt;&gt;""),IF(IFERROR(INDEX(ProcRet,MATCH($E2136,ProcNome,0)),0)&gt;0,$A2136+INDEX(ProcRet,MATCH($E2136,ProcNome,0)),""),"")</f>
        <v>0</v>
      </c>
      <c r="R2136" s="26">
        <f>IF($Q2136="","",IF(COUNTIFS(AgPac,$D2136,AgData,"&gt;"&amp;$A2136,AgStatus,"&lt;&gt;Cancelado",AgStatus,"&lt;&gt;Remarcado")&gt;0,"Sim","Não"))</f>
        <v>0</v>
      </c>
      <c r="S2136" s="28">
        <f>IF($A2136="","",IF(AND($F2136="Agendado",$A2136-Hoje&gt;=0,$A2136-Hoje&lt;=DiasConf),"CONFIRMAR",IF(AND($A2136&lt;Hoje,OR($F2136="Agendado",$F2136="Confirmado")),"Atualizar status",IF(AND($F2136="Compareceu",$P2136&gt;0.005),"Cobrar",IF($F2136="Faltou","Falta: reagendar","")))))</f>
        <v>0</v>
      </c>
      <c r="T2136" s="29">
        <f>IF($A2136="","",DATE(YEAR($A2136),MONTH($A2136),1))</f>
        <v>0</v>
      </c>
      <c r="U2136" s="30">
        <f>IF($S2136="CONFIRMAR",MAX($U$4:$U2135)+1,"")</f>
        <v>0</v>
      </c>
      <c r="V2136" s="30">
        <f>IF(AND($R2136="Não",$Q2136&lt;&gt;"",$Q2136&lt;=Hoje+JanelaRet,$Q2136&gt;=Hoje-60),MAX($V$4:$V2135)+1,"")</f>
        <v>0</v>
      </c>
    </row>
    <row r="2137" spans="1:22">
      <c r="A2137" s="16"/>
      <c r="B2137" s="23"/>
      <c r="C2137" s="15"/>
      <c r="D2137" s="15"/>
      <c r="E2137" s="15"/>
      <c r="F2137" s="24"/>
      <c r="G2137" s="17"/>
      <c r="H2137" s="17"/>
      <c r="I2137" s="15"/>
      <c r="J2137" s="25">
        <f>IF($D2137="","",IFERROR(INDEX(PacNome,MATCH($D2137,PacCod,0)),"Paciente não cadastrado"))</f>
        <v>0</v>
      </c>
      <c r="K2137" s="26">
        <f>IF($D2137="","",IFERROR(INDEX(PacConv,MATCH($D2137,PacCod,0))&amp;"",""))</f>
        <v>0</v>
      </c>
      <c r="L2137" s="26">
        <f>IF($A2137="","",CHOOSE(WEEKDAY($A2137,2),"Seg","Ter","Qua","Qui","Sex","Sáb","Dom"))</f>
        <v>0</v>
      </c>
      <c r="M2137" s="27">
        <f>IF($E2137="","",IF($G2137&lt;&gt;"",$G2137,IFERROR(INDEX(ProcValor,MATCH($E2137,ProcNome,0)),0)))</f>
        <v>0</v>
      </c>
      <c r="N2137" s="27">
        <f>IF($M2137="","",IF($F2137="Compareceu",$M2137,0))</f>
        <v>0</v>
      </c>
      <c r="O2137" s="27">
        <f>IF($M2137="","",IF($F2137="Faltou",$M2137,0))</f>
        <v>0</v>
      </c>
      <c r="P2137" s="27">
        <f>IF($M2137="","",IF($F2137="Compareceu",MAX(0,$M2137-N($H2137)),0))</f>
        <v>0</v>
      </c>
      <c r="Q2137" s="19">
        <f>IF(AND($F2137="Compareceu",$E2137&lt;&gt;"",$A2137&lt;&gt;""),IF(IFERROR(INDEX(ProcRet,MATCH($E2137,ProcNome,0)),0)&gt;0,$A2137+INDEX(ProcRet,MATCH($E2137,ProcNome,0)),""),"")</f>
        <v>0</v>
      </c>
      <c r="R2137" s="26">
        <f>IF($Q2137="","",IF(COUNTIFS(AgPac,$D2137,AgData,"&gt;"&amp;$A2137,AgStatus,"&lt;&gt;Cancelado",AgStatus,"&lt;&gt;Remarcado")&gt;0,"Sim","Não"))</f>
        <v>0</v>
      </c>
      <c r="S2137" s="28">
        <f>IF($A2137="","",IF(AND($F2137="Agendado",$A2137-Hoje&gt;=0,$A2137-Hoje&lt;=DiasConf),"CONFIRMAR",IF(AND($A2137&lt;Hoje,OR($F2137="Agendado",$F2137="Confirmado")),"Atualizar status",IF(AND($F2137="Compareceu",$P2137&gt;0.005),"Cobrar",IF($F2137="Faltou","Falta: reagendar","")))))</f>
        <v>0</v>
      </c>
      <c r="T2137" s="29">
        <f>IF($A2137="","",DATE(YEAR($A2137),MONTH($A2137),1))</f>
        <v>0</v>
      </c>
      <c r="U2137" s="30">
        <f>IF($S2137="CONFIRMAR",MAX($U$4:$U2136)+1,"")</f>
        <v>0</v>
      </c>
      <c r="V2137" s="30">
        <f>IF(AND($R2137="Não",$Q2137&lt;&gt;"",$Q2137&lt;=Hoje+JanelaRet,$Q2137&gt;=Hoje-60),MAX($V$4:$V2136)+1,"")</f>
        <v>0</v>
      </c>
    </row>
    <row r="2138" spans="1:22">
      <c r="A2138" s="16"/>
      <c r="B2138" s="23"/>
      <c r="C2138" s="15"/>
      <c r="D2138" s="15"/>
      <c r="E2138" s="15"/>
      <c r="F2138" s="24"/>
      <c r="G2138" s="17"/>
      <c r="H2138" s="17"/>
      <c r="I2138" s="15"/>
      <c r="J2138" s="25">
        <f>IF($D2138="","",IFERROR(INDEX(PacNome,MATCH($D2138,PacCod,0)),"Paciente não cadastrado"))</f>
        <v>0</v>
      </c>
      <c r="K2138" s="26">
        <f>IF($D2138="","",IFERROR(INDEX(PacConv,MATCH($D2138,PacCod,0))&amp;"",""))</f>
        <v>0</v>
      </c>
      <c r="L2138" s="26">
        <f>IF($A2138="","",CHOOSE(WEEKDAY($A2138,2),"Seg","Ter","Qua","Qui","Sex","Sáb","Dom"))</f>
        <v>0</v>
      </c>
      <c r="M2138" s="27">
        <f>IF($E2138="","",IF($G2138&lt;&gt;"",$G2138,IFERROR(INDEX(ProcValor,MATCH($E2138,ProcNome,0)),0)))</f>
        <v>0</v>
      </c>
      <c r="N2138" s="27">
        <f>IF($M2138="","",IF($F2138="Compareceu",$M2138,0))</f>
        <v>0</v>
      </c>
      <c r="O2138" s="27">
        <f>IF($M2138="","",IF($F2138="Faltou",$M2138,0))</f>
        <v>0</v>
      </c>
      <c r="P2138" s="27">
        <f>IF($M2138="","",IF($F2138="Compareceu",MAX(0,$M2138-N($H2138)),0))</f>
        <v>0</v>
      </c>
      <c r="Q2138" s="19">
        <f>IF(AND($F2138="Compareceu",$E2138&lt;&gt;"",$A2138&lt;&gt;""),IF(IFERROR(INDEX(ProcRet,MATCH($E2138,ProcNome,0)),0)&gt;0,$A2138+INDEX(ProcRet,MATCH($E2138,ProcNome,0)),""),"")</f>
        <v>0</v>
      </c>
      <c r="R2138" s="26">
        <f>IF($Q2138="","",IF(COUNTIFS(AgPac,$D2138,AgData,"&gt;"&amp;$A2138,AgStatus,"&lt;&gt;Cancelado",AgStatus,"&lt;&gt;Remarcado")&gt;0,"Sim","Não"))</f>
        <v>0</v>
      </c>
      <c r="S2138" s="28">
        <f>IF($A2138="","",IF(AND($F2138="Agendado",$A2138-Hoje&gt;=0,$A2138-Hoje&lt;=DiasConf),"CONFIRMAR",IF(AND($A2138&lt;Hoje,OR($F2138="Agendado",$F2138="Confirmado")),"Atualizar status",IF(AND($F2138="Compareceu",$P2138&gt;0.005),"Cobrar",IF($F2138="Faltou","Falta: reagendar","")))))</f>
        <v>0</v>
      </c>
      <c r="T2138" s="29">
        <f>IF($A2138="","",DATE(YEAR($A2138),MONTH($A2138),1))</f>
        <v>0</v>
      </c>
      <c r="U2138" s="30">
        <f>IF($S2138="CONFIRMAR",MAX($U$4:$U2137)+1,"")</f>
        <v>0</v>
      </c>
      <c r="V2138" s="30">
        <f>IF(AND($R2138="Não",$Q2138&lt;&gt;"",$Q2138&lt;=Hoje+JanelaRet,$Q2138&gt;=Hoje-60),MAX($V$4:$V2137)+1,"")</f>
        <v>0</v>
      </c>
    </row>
    <row r="2139" spans="1:22">
      <c r="A2139" s="16"/>
      <c r="B2139" s="23"/>
      <c r="C2139" s="15"/>
      <c r="D2139" s="15"/>
      <c r="E2139" s="15"/>
      <c r="F2139" s="24"/>
      <c r="G2139" s="17"/>
      <c r="H2139" s="17"/>
      <c r="I2139" s="15"/>
      <c r="J2139" s="25">
        <f>IF($D2139="","",IFERROR(INDEX(PacNome,MATCH($D2139,PacCod,0)),"Paciente não cadastrado"))</f>
        <v>0</v>
      </c>
      <c r="K2139" s="26">
        <f>IF($D2139="","",IFERROR(INDEX(PacConv,MATCH($D2139,PacCod,0))&amp;"",""))</f>
        <v>0</v>
      </c>
      <c r="L2139" s="26">
        <f>IF($A2139="","",CHOOSE(WEEKDAY($A2139,2),"Seg","Ter","Qua","Qui","Sex","Sáb","Dom"))</f>
        <v>0</v>
      </c>
      <c r="M2139" s="27">
        <f>IF($E2139="","",IF($G2139&lt;&gt;"",$G2139,IFERROR(INDEX(ProcValor,MATCH($E2139,ProcNome,0)),0)))</f>
        <v>0</v>
      </c>
      <c r="N2139" s="27">
        <f>IF($M2139="","",IF($F2139="Compareceu",$M2139,0))</f>
        <v>0</v>
      </c>
      <c r="O2139" s="27">
        <f>IF($M2139="","",IF($F2139="Faltou",$M2139,0))</f>
        <v>0</v>
      </c>
      <c r="P2139" s="27">
        <f>IF($M2139="","",IF($F2139="Compareceu",MAX(0,$M2139-N($H2139)),0))</f>
        <v>0</v>
      </c>
      <c r="Q2139" s="19">
        <f>IF(AND($F2139="Compareceu",$E2139&lt;&gt;"",$A2139&lt;&gt;""),IF(IFERROR(INDEX(ProcRet,MATCH($E2139,ProcNome,0)),0)&gt;0,$A2139+INDEX(ProcRet,MATCH($E2139,ProcNome,0)),""),"")</f>
        <v>0</v>
      </c>
      <c r="R2139" s="26">
        <f>IF($Q2139="","",IF(COUNTIFS(AgPac,$D2139,AgData,"&gt;"&amp;$A2139,AgStatus,"&lt;&gt;Cancelado",AgStatus,"&lt;&gt;Remarcado")&gt;0,"Sim","Não"))</f>
        <v>0</v>
      </c>
      <c r="S2139" s="28">
        <f>IF($A2139="","",IF(AND($F2139="Agendado",$A2139-Hoje&gt;=0,$A2139-Hoje&lt;=DiasConf),"CONFIRMAR",IF(AND($A2139&lt;Hoje,OR($F2139="Agendado",$F2139="Confirmado")),"Atualizar status",IF(AND($F2139="Compareceu",$P2139&gt;0.005),"Cobrar",IF($F2139="Faltou","Falta: reagendar","")))))</f>
        <v>0</v>
      </c>
      <c r="T2139" s="29">
        <f>IF($A2139="","",DATE(YEAR($A2139),MONTH($A2139),1))</f>
        <v>0</v>
      </c>
      <c r="U2139" s="30">
        <f>IF($S2139="CONFIRMAR",MAX($U$4:$U2138)+1,"")</f>
        <v>0</v>
      </c>
      <c r="V2139" s="30">
        <f>IF(AND($R2139="Não",$Q2139&lt;&gt;"",$Q2139&lt;=Hoje+JanelaRet,$Q2139&gt;=Hoje-60),MAX($V$4:$V2138)+1,"")</f>
        <v>0</v>
      </c>
    </row>
    <row r="2140" spans="1:22">
      <c r="A2140" s="16"/>
      <c r="B2140" s="23"/>
      <c r="C2140" s="15"/>
      <c r="D2140" s="15"/>
      <c r="E2140" s="15"/>
      <c r="F2140" s="24"/>
      <c r="G2140" s="17"/>
      <c r="H2140" s="17"/>
      <c r="I2140" s="15"/>
      <c r="J2140" s="25">
        <f>IF($D2140="","",IFERROR(INDEX(PacNome,MATCH($D2140,PacCod,0)),"Paciente não cadastrado"))</f>
        <v>0</v>
      </c>
      <c r="K2140" s="26">
        <f>IF($D2140="","",IFERROR(INDEX(PacConv,MATCH($D2140,PacCod,0))&amp;"",""))</f>
        <v>0</v>
      </c>
      <c r="L2140" s="26">
        <f>IF($A2140="","",CHOOSE(WEEKDAY($A2140,2),"Seg","Ter","Qua","Qui","Sex","Sáb","Dom"))</f>
        <v>0</v>
      </c>
      <c r="M2140" s="27">
        <f>IF($E2140="","",IF($G2140&lt;&gt;"",$G2140,IFERROR(INDEX(ProcValor,MATCH($E2140,ProcNome,0)),0)))</f>
        <v>0</v>
      </c>
      <c r="N2140" s="27">
        <f>IF($M2140="","",IF($F2140="Compareceu",$M2140,0))</f>
        <v>0</v>
      </c>
      <c r="O2140" s="27">
        <f>IF($M2140="","",IF($F2140="Faltou",$M2140,0))</f>
        <v>0</v>
      </c>
      <c r="P2140" s="27">
        <f>IF($M2140="","",IF($F2140="Compareceu",MAX(0,$M2140-N($H2140)),0))</f>
        <v>0</v>
      </c>
      <c r="Q2140" s="19">
        <f>IF(AND($F2140="Compareceu",$E2140&lt;&gt;"",$A2140&lt;&gt;""),IF(IFERROR(INDEX(ProcRet,MATCH($E2140,ProcNome,0)),0)&gt;0,$A2140+INDEX(ProcRet,MATCH($E2140,ProcNome,0)),""),"")</f>
        <v>0</v>
      </c>
      <c r="R2140" s="26">
        <f>IF($Q2140="","",IF(COUNTIFS(AgPac,$D2140,AgData,"&gt;"&amp;$A2140,AgStatus,"&lt;&gt;Cancelado",AgStatus,"&lt;&gt;Remarcado")&gt;0,"Sim","Não"))</f>
        <v>0</v>
      </c>
      <c r="S2140" s="28">
        <f>IF($A2140="","",IF(AND($F2140="Agendado",$A2140-Hoje&gt;=0,$A2140-Hoje&lt;=DiasConf),"CONFIRMAR",IF(AND($A2140&lt;Hoje,OR($F2140="Agendado",$F2140="Confirmado")),"Atualizar status",IF(AND($F2140="Compareceu",$P2140&gt;0.005),"Cobrar",IF($F2140="Faltou","Falta: reagendar","")))))</f>
        <v>0</v>
      </c>
      <c r="T2140" s="29">
        <f>IF($A2140="","",DATE(YEAR($A2140),MONTH($A2140),1))</f>
        <v>0</v>
      </c>
      <c r="U2140" s="30">
        <f>IF($S2140="CONFIRMAR",MAX($U$4:$U2139)+1,"")</f>
        <v>0</v>
      </c>
      <c r="V2140" s="30">
        <f>IF(AND($R2140="Não",$Q2140&lt;&gt;"",$Q2140&lt;=Hoje+JanelaRet,$Q2140&gt;=Hoje-60),MAX($V$4:$V2139)+1,"")</f>
        <v>0</v>
      </c>
    </row>
    <row r="2141" spans="1:22">
      <c r="A2141" s="16"/>
      <c r="B2141" s="23"/>
      <c r="C2141" s="15"/>
      <c r="D2141" s="15"/>
      <c r="E2141" s="15"/>
      <c r="F2141" s="24"/>
      <c r="G2141" s="17"/>
      <c r="H2141" s="17"/>
      <c r="I2141" s="15"/>
      <c r="J2141" s="25">
        <f>IF($D2141="","",IFERROR(INDEX(PacNome,MATCH($D2141,PacCod,0)),"Paciente não cadastrado"))</f>
        <v>0</v>
      </c>
      <c r="K2141" s="26">
        <f>IF($D2141="","",IFERROR(INDEX(PacConv,MATCH($D2141,PacCod,0))&amp;"",""))</f>
        <v>0</v>
      </c>
      <c r="L2141" s="26">
        <f>IF($A2141="","",CHOOSE(WEEKDAY($A2141,2),"Seg","Ter","Qua","Qui","Sex","Sáb","Dom"))</f>
        <v>0</v>
      </c>
      <c r="M2141" s="27">
        <f>IF($E2141="","",IF($G2141&lt;&gt;"",$G2141,IFERROR(INDEX(ProcValor,MATCH($E2141,ProcNome,0)),0)))</f>
        <v>0</v>
      </c>
      <c r="N2141" s="27">
        <f>IF($M2141="","",IF($F2141="Compareceu",$M2141,0))</f>
        <v>0</v>
      </c>
      <c r="O2141" s="27">
        <f>IF($M2141="","",IF($F2141="Faltou",$M2141,0))</f>
        <v>0</v>
      </c>
      <c r="P2141" s="27">
        <f>IF($M2141="","",IF($F2141="Compareceu",MAX(0,$M2141-N($H2141)),0))</f>
        <v>0</v>
      </c>
      <c r="Q2141" s="19">
        <f>IF(AND($F2141="Compareceu",$E2141&lt;&gt;"",$A2141&lt;&gt;""),IF(IFERROR(INDEX(ProcRet,MATCH($E2141,ProcNome,0)),0)&gt;0,$A2141+INDEX(ProcRet,MATCH($E2141,ProcNome,0)),""),"")</f>
        <v>0</v>
      </c>
      <c r="R2141" s="26">
        <f>IF($Q2141="","",IF(COUNTIFS(AgPac,$D2141,AgData,"&gt;"&amp;$A2141,AgStatus,"&lt;&gt;Cancelado",AgStatus,"&lt;&gt;Remarcado")&gt;0,"Sim","Não"))</f>
        <v>0</v>
      </c>
      <c r="S2141" s="28">
        <f>IF($A2141="","",IF(AND($F2141="Agendado",$A2141-Hoje&gt;=0,$A2141-Hoje&lt;=DiasConf),"CONFIRMAR",IF(AND($A2141&lt;Hoje,OR($F2141="Agendado",$F2141="Confirmado")),"Atualizar status",IF(AND($F2141="Compareceu",$P2141&gt;0.005),"Cobrar",IF($F2141="Faltou","Falta: reagendar","")))))</f>
        <v>0</v>
      </c>
      <c r="T2141" s="29">
        <f>IF($A2141="","",DATE(YEAR($A2141),MONTH($A2141),1))</f>
        <v>0</v>
      </c>
      <c r="U2141" s="30">
        <f>IF($S2141="CONFIRMAR",MAX($U$4:$U2140)+1,"")</f>
        <v>0</v>
      </c>
      <c r="V2141" s="30">
        <f>IF(AND($R2141="Não",$Q2141&lt;&gt;"",$Q2141&lt;=Hoje+JanelaRet,$Q2141&gt;=Hoje-60),MAX($V$4:$V2140)+1,"")</f>
        <v>0</v>
      </c>
    </row>
    <row r="2142" spans="1:22">
      <c r="A2142" s="16"/>
      <c r="B2142" s="23"/>
      <c r="C2142" s="15"/>
      <c r="D2142" s="15"/>
      <c r="E2142" s="15"/>
      <c r="F2142" s="24"/>
      <c r="G2142" s="17"/>
      <c r="H2142" s="17"/>
      <c r="I2142" s="15"/>
      <c r="J2142" s="25">
        <f>IF($D2142="","",IFERROR(INDEX(PacNome,MATCH($D2142,PacCod,0)),"Paciente não cadastrado"))</f>
        <v>0</v>
      </c>
      <c r="K2142" s="26">
        <f>IF($D2142="","",IFERROR(INDEX(PacConv,MATCH($D2142,PacCod,0))&amp;"",""))</f>
        <v>0</v>
      </c>
      <c r="L2142" s="26">
        <f>IF($A2142="","",CHOOSE(WEEKDAY($A2142,2),"Seg","Ter","Qua","Qui","Sex","Sáb","Dom"))</f>
        <v>0</v>
      </c>
      <c r="M2142" s="27">
        <f>IF($E2142="","",IF($G2142&lt;&gt;"",$G2142,IFERROR(INDEX(ProcValor,MATCH($E2142,ProcNome,0)),0)))</f>
        <v>0</v>
      </c>
      <c r="N2142" s="27">
        <f>IF($M2142="","",IF($F2142="Compareceu",$M2142,0))</f>
        <v>0</v>
      </c>
      <c r="O2142" s="27">
        <f>IF($M2142="","",IF($F2142="Faltou",$M2142,0))</f>
        <v>0</v>
      </c>
      <c r="P2142" s="27">
        <f>IF($M2142="","",IF($F2142="Compareceu",MAX(0,$M2142-N($H2142)),0))</f>
        <v>0</v>
      </c>
      <c r="Q2142" s="19">
        <f>IF(AND($F2142="Compareceu",$E2142&lt;&gt;"",$A2142&lt;&gt;""),IF(IFERROR(INDEX(ProcRet,MATCH($E2142,ProcNome,0)),0)&gt;0,$A2142+INDEX(ProcRet,MATCH($E2142,ProcNome,0)),""),"")</f>
        <v>0</v>
      </c>
      <c r="R2142" s="26">
        <f>IF($Q2142="","",IF(COUNTIFS(AgPac,$D2142,AgData,"&gt;"&amp;$A2142,AgStatus,"&lt;&gt;Cancelado",AgStatus,"&lt;&gt;Remarcado")&gt;0,"Sim","Não"))</f>
        <v>0</v>
      </c>
      <c r="S2142" s="28">
        <f>IF($A2142="","",IF(AND($F2142="Agendado",$A2142-Hoje&gt;=0,$A2142-Hoje&lt;=DiasConf),"CONFIRMAR",IF(AND($A2142&lt;Hoje,OR($F2142="Agendado",$F2142="Confirmado")),"Atualizar status",IF(AND($F2142="Compareceu",$P2142&gt;0.005),"Cobrar",IF($F2142="Faltou","Falta: reagendar","")))))</f>
        <v>0</v>
      </c>
      <c r="T2142" s="29">
        <f>IF($A2142="","",DATE(YEAR($A2142),MONTH($A2142),1))</f>
        <v>0</v>
      </c>
      <c r="U2142" s="30">
        <f>IF($S2142="CONFIRMAR",MAX($U$4:$U2141)+1,"")</f>
        <v>0</v>
      </c>
      <c r="V2142" s="30">
        <f>IF(AND($R2142="Não",$Q2142&lt;&gt;"",$Q2142&lt;=Hoje+JanelaRet,$Q2142&gt;=Hoje-60),MAX($V$4:$V2141)+1,"")</f>
        <v>0</v>
      </c>
    </row>
    <row r="2143" spans="1:22">
      <c r="A2143" s="16"/>
      <c r="B2143" s="23"/>
      <c r="C2143" s="15"/>
      <c r="D2143" s="15"/>
      <c r="E2143" s="15"/>
      <c r="F2143" s="24"/>
      <c r="G2143" s="17"/>
      <c r="H2143" s="17"/>
      <c r="I2143" s="15"/>
      <c r="J2143" s="25">
        <f>IF($D2143="","",IFERROR(INDEX(PacNome,MATCH($D2143,PacCod,0)),"Paciente não cadastrado"))</f>
        <v>0</v>
      </c>
      <c r="K2143" s="26">
        <f>IF($D2143="","",IFERROR(INDEX(PacConv,MATCH($D2143,PacCod,0))&amp;"",""))</f>
        <v>0</v>
      </c>
      <c r="L2143" s="26">
        <f>IF($A2143="","",CHOOSE(WEEKDAY($A2143,2),"Seg","Ter","Qua","Qui","Sex","Sáb","Dom"))</f>
        <v>0</v>
      </c>
      <c r="M2143" s="27">
        <f>IF($E2143="","",IF($G2143&lt;&gt;"",$G2143,IFERROR(INDEX(ProcValor,MATCH($E2143,ProcNome,0)),0)))</f>
        <v>0</v>
      </c>
      <c r="N2143" s="27">
        <f>IF($M2143="","",IF($F2143="Compareceu",$M2143,0))</f>
        <v>0</v>
      </c>
      <c r="O2143" s="27">
        <f>IF($M2143="","",IF($F2143="Faltou",$M2143,0))</f>
        <v>0</v>
      </c>
      <c r="P2143" s="27">
        <f>IF($M2143="","",IF($F2143="Compareceu",MAX(0,$M2143-N($H2143)),0))</f>
        <v>0</v>
      </c>
      <c r="Q2143" s="19">
        <f>IF(AND($F2143="Compareceu",$E2143&lt;&gt;"",$A2143&lt;&gt;""),IF(IFERROR(INDEX(ProcRet,MATCH($E2143,ProcNome,0)),0)&gt;0,$A2143+INDEX(ProcRet,MATCH($E2143,ProcNome,0)),""),"")</f>
        <v>0</v>
      </c>
      <c r="R2143" s="26">
        <f>IF($Q2143="","",IF(COUNTIFS(AgPac,$D2143,AgData,"&gt;"&amp;$A2143,AgStatus,"&lt;&gt;Cancelado",AgStatus,"&lt;&gt;Remarcado")&gt;0,"Sim","Não"))</f>
        <v>0</v>
      </c>
      <c r="S2143" s="28">
        <f>IF($A2143="","",IF(AND($F2143="Agendado",$A2143-Hoje&gt;=0,$A2143-Hoje&lt;=DiasConf),"CONFIRMAR",IF(AND($A2143&lt;Hoje,OR($F2143="Agendado",$F2143="Confirmado")),"Atualizar status",IF(AND($F2143="Compareceu",$P2143&gt;0.005),"Cobrar",IF($F2143="Faltou","Falta: reagendar","")))))</f>
        <v>0</v>
      </c>
      <c r="T2143" s="29">
        <f>IF($A2143="","",DATE(YEAR($A2143),MONTH($A2143),1))</f>
        <v>0</v>
      </c>
      <c r="U2143" s="30">
        <f>IF($S2143="CONFIRMAR",MAX($U$4:$U2142)+1,"")</f>
        <v>0</v>
      </c>
      <c r="V2143" s="30">
        <f>IF(AND($R2143="Não",$Q2143&lt;&gt;"",$Q2143&lt;=Hoje+JanelaRet,$Q2143&gt;=Hoje-60),MAX($V$4:$V2142)+1,"")</f>
        <v>0</v>
      </c>
    </row>
    <row r="2144" spans="1:22">
      <c r="A2144" s="16"/>
      <c r="B2144" s="23"/>
      <c r="C2144" s="15"/>
      <c r="D2144" s="15"/>
      <c r="E2144" s="15"/>
      <c r="F2144" s="24"/>
      <c r="G2144" s="17"/>
      <c r="H2144" s="17"/>
      <c r="I2144" s="15"/>
      <c r="J2144" s="25">
        <f>IF($D2144="","",IFERROR(INDEX(PacNome,MATCH($D2144,PacCod,0)),"Paciente não cadastrado"))</f>
        <v>0</v>
      </c>
      <c r="K2144" s="26">
        <f>IF($D2144="","",IFERROR(INDEX(PacConv,MATCH($D2144,PacCod,0))&amp;"",""))</f>
        <v>0</v>
      </c>
      <c r="L2144" s="26">
        <f>IF($A2144="","",CHOOSE(WEEKDAY($A2144,2),"Seg","Ter","Qua","Qui","Sex","Sáb","Dom"))</f>
        <v>0</v>
      </c>
      <c r="M2144" s="27">
        <f>IF($E2144="","",IF($G2144&lt;&gt;"",$G2144,IFERROR(INDEX(ProcValor,MATCH($E2144,ProcNome,0)),0)))</f>
        <v>0</v>
      </c>
      <c r="N2144" s="27">
        <f>IF($M2144="","",IF($F2144="Compareceu",$M2144,0))</f>
        <v>0</v>
      </c>
      <c r="O2144" s="27">
        <f>IF($M2144="","",IF($F2144="Faltou",$M2144,0))</f>
        <v>0</v>
      </c>
      <c r="P2144" s="27">
        <f>IF($M2144="","",IF($F2144="Compareceu",MAX(0,$M2144-N($H2144)),0))</f>
        <v>0</v>
      </c>
      <c r="Q2144" s="19">
        <f>IF(AND($F2144="Compareceu",$E2144&lt;&gt;"",$A2144&lt;&gt;""),IF(IFERROR(INDEX(ProcRet,MATCH($E2144,ProcNome,0)),0)&gt;0,$A2144+INDEX(ProcRet,MATCH($E2144,ProcNome,0)),""),"")</f>
        <v>0</v>
      </c>
      <c r="R2144" s="26">
        <f>IF($Q2144="","",IF(COUNTIFS(AgPac,$D2144,AgData,"&gt;"&amp;$A2144,AgStatus,"&lt;&gt;Cancelado",AgStatus,"&lt;&gt;Remarcado")&gt;0,"Sim","Não"))</f>
        <v>0</v>
      </c>
      <c r="S2144" s="28">
        <f>IF($A2144="","",IF(AND($F2144="Agendado",$A2144-Hoje&gt;=0,$A2144-Hoje&lt;=DiasConf),"CONFIRMAR",IF(AND($A2144&lt;Hoje,OR($F2144="Agendado",$F2144="Confirmado")),"Atualizar status",IF(AND($F2144="Compareceu",$P2144&gt;0.005),"Cobrar",IF($F2144="Faltou","Falta: reagendar","")))))</f>
        <v>0</v>
      </c>
      <c r="T2144" s="29">
        <f>IF($A2144="","",DATE(YEAR($A2144),MONTH($A2144),1))</f>
        <v>0</v>
      </c>
      <c r="U2144" s="30">
        <f>IF($S2144="CONFIRMAR",MAX($U$4:$U2143)+1,"")</f>
        <v>0</v>
      </c>
      <c r="V2144" s="30">
        <f>IF(AND($R2144="Não",$Q2144&lt;&gt;"",$Q2144&lt;=Hoje+JanelaRet,$Q2144&gt;=Hoje-60),MAX($V$4:$V2143)+1,"")</f>
        <v>0</v>
      </c>
    </row>
    <row r="2145" spans="1:22">
      <c r="A2145" s="16"/>
      <c r="B2145" s="23"/>
      <c r="C2145" s="15"/>
      <c r="D2145" s="15"/>
      <c r="E2145" s="15"/>
      <c r="F2145" s="24"/>
      <c r="G2145" s="17"/>
      <c r="H2145" s="17"/>
      <c r="I2145" s="15"/>
      <c r="J2145" s="25">
        <f>IF($D2145="","",IFERROR(INDEX(PacNome,MATCH($D2145,PacCod,0)),"Paciente não cadastrado"))</f>
        <v>0</v>
      </c>
      <c r="K2145" s="26">
        <f>IF($D2145="","",IFERROR(INDEX(PacConv,MATCH($D2145,PacCod,0))&amp;"",""))</f>
        <v>0</v>
      </c>
      <c r="L2145" s="26">
        <f>IF($A2145="","",CHOOSE(WEEKDAY($A2145,2),"Seg","Ter","Qua","Qui","Sex","Sáb","Dom"))</f>
        <v>0</v>
      </c>
      <c r="M2145" s="27">
        <f>IF($E2145="","",IF($G2145&lt;&gt;"",$G2145,IFERROR(INDEX(ProcValor,MATCH($E2145,ProcNome,0)),0)))</f>
        <v>0</v>
      </c>
      <c r="N2145" s="27">
        <f>IF($M2145="","",IF($F2145="Compareceu",$M2145,0))</f>
        <v>0</v>
      </c>
      <c r="O2145" s="27">
        <f>IF($M2145="","",IF($F2145="Faltou",$M2145,0))</f>
        <v>0</v>
      </c>
      <c r="P2145" s="27">
        <f>IF($M2145="","",IF($F2145="Compareceu",MAX(0,$M2145-N($H2145)),0))</f>
        <v>0</v>
      </c>
      <c r="Q2145" s="19">
        <f>IF(AND($F2145="Compareceu",$E2145&lt;&gt;"",$A2145&lt;&gt;""),IF(IFERROR(INDEX(ProcRet,MATCH($E2145,ProcNome,0)),0)&gt;0,$A2145+INDEX(ProcRet,MATCH($E2145,ProcNome,0)),""),"")</f>
        <v>0</v>
      </c>
      <c r="R2145" s="26">
        <f>IF($Q2145="","",IF(COUNTIFS(AgPac,$D2145,AgData,"&gt;"&amp;$A2145,AgStatus,"&lt;&gt;Cancelado",AgStatus,"&lt;&gt;Remarcado")&gt;0,"Sim","Não"))</f>
        <v>0</v>
      </c>
      <c r="S2145" s="28">
        <f>IF($A2145="","",IF(AND($F2145="Agendado",$A2145-Hoje&gt;=0,$A2145-Hoje&lt;=DiasConf),"CONFIRMAR",IF(AND($A2145&lt;Hoje,OR($F2145="Agendado",$F2145="Confirmado")),"Atualizar status",IF(AND($F2145="Compareceu",$P2145&gt;0.005),"Cobrar",IF($F2145="Faltou","Falta: reagendar","")))))</f>
        <v>0</v>
      </c>
      <c r="T2145" s="29">
        <f>IF($A2145="","",DATE(YEAR($A2145),MONTH($A2145),1))</f>
        <v>0</v>
      </c>
      <c r="U2145" s="30">
        <f>IF($S2145="CONFIRMAR",MAX($U$4:$U2144)+1,"")</f>
        <v>0</v>
      </c>
      <c r="V2145" s="30">
        <f>IF(AND($R2145="Não",$Q2145&lt;&gt;"",$Q2145&lt;=Hoje+JanelaRet,$Q2145&gt;=Hoje-60),MAX($V$4:$V2144)+1,"")</f>
        <v>0</v>
      </c>
    </row>
    <row r="2146" spans="1:22">
      <c r="A2146" s="16"/>
      <c r="B2146" s="23"/>
      <c r="C2146" s="15"/>
      <c r="D2146" s="15"/>
      <c r="E2146" s="15"/>
      <c r="F2146" s="24"/>
      <c r="G2146" s="17"/>
      <c r="H2146" s="17"/>
      <c r="I2146" s="15"/>
      <c r="J2146" s="25">
        <f>IF($D2146="","",IFERROR(INDEX(PacNome,MATCH($D2146,PacCod,0)),"Paciente não cadastrado"))</f>
        <v>0</v>
      </c>
      <c r="K2146" s="26">
        <f>IF($D2146="","",IFERROR(INDEX(PacConv,MATCH($D2146,PacCod,0))&amp;"",""))</f>
        <v>0</v>
      </c>
      <c r="L2146" s="26">
        <f>IF($A2146="","",CHOOSE(WEEKDAY($A2146,2),"Seg","Ter","Qua","Qui","Sex","Sáb","Dom"))</f>
        <v>0</v>
      </c>
      <c r="M2146" s="27">
        <f>IF($E2146="","",IF($G2146&lt;&gt;"",$G2146,IFERROR(INDEX(ProcValor,MATCH($E2146,ProcNome,0)),0)))</f>
        <v>0</v>
      </c>
      <c r="N2146" s="27">
        <f>IF($M2146="","",IF($F2146="Compareceu",$M2146,0))</f>
        <v>0</v>
      </c>
      <c r="O2146" s="27">
        <f>IF($M2146="","",IF($F2146="Faltou",$M2146,0))</f>
        <v>0</v>
      </c>
      <c r="P2146" s="27">
        <f>IF($M2146="","",IF($F2146="Compareceu",MAX(0,$M2146-N($H2146)),0))</f>
        <v>0</v>
      </c>
      <c r="Q2146" s="19">
        <f>IF(AND($F2146="Compareceu",$E2146&lt;&gt;"",$A2146&lt;&gt;""),IF(IFERROR(INDEX(ProcRet,MATCH($E2146,ProcNome,0)),0)&gt;0,$A2146+INDEX(ProcRet,MATCH($E2146,ProcNome,0)),""),"")</f>
        <v>0</v>
      </c>
      <c r="R2146" s="26">
        <f>IF($Q2146="","",IF(COUNTIFS(AgPac,$D2146,AgData,"&gt;"&amp;$A2146,AgStatus,"&lt;&gt;Cancelado",AgStatus,"&lt;&gt;Remarcado")&gt;0,"Sim","Não"))</f>
        <v>0</v>
      </c>
      <c r="S2146" s="28">
        <f>IF($A2146="","",IF(AND($F2146="Agendado",$A2146-Hoje&gt;=0,$A2146-Hoje&lt;=DiasConf),"CONFIRMAR",IF(AND($A2146&lt;Hoje,OR($F2146="Agendado",$F2146="Confirmado")),"Atualizar status",IF(AND($F2146="Compareceu",$P2146&gt;0.005),"Cobrar",IF($F2146="Faltou","Falta: reagendar","")))))</f>
        <v>0</v>
      </c>
      <c r="T2146" s="29">
        <f>IF($A2146="","",DATE(YEAR($A2146),MONTH($A2146),1))</f>
        <v>0</v>
      </c>
      <c r="U2146" s="30">
        <f>IF($S2146="CONFIRMAR",MAX($U$4:$U2145)+1,"")</f>
        <v>0</v>
      </c>
      <c r="V2146" s="30">
        <f>IF(AND($R2146="Não",$Q2146&lt;&gt;"",$Q2146&lt;=Hoje+JanelaRet,$Q2146&gt;=Hoje-60),MAX($V$4:$V2145)+1,"")</f>
        <v>0</v>
      </c>
    </row>
    <row r="2147" spans="1:22">
      <c r="A2147" s="16"/>
      <c r="B2147" s="23"/>
      <c r="C2147" s="15"/>
      <c r="D2147" s="15"/>
      <c r="E2147" s="15"/>
      <c r="F2147" s="24"/>
      <c r="G2147" s="17"/>
      <c r="H2147" s="17"/>
      <c r="I2147" s="15"/>
      <c r="J2147" s="25">
        <f>IF($D2147="","",IFERROR(INDEX(PacNome,MATCH($D2147,PacCod,0)),"Paciente não cadastrado"))</f>
        <v>0</v>
      </c>
      <c r="K2147" s="26">
        <f>IF($D2147="","",IFERROR(INDEX(PacConv,MATCH($D2147,PacCod,0))&amp;"",""))</f>
        <v>0</v>
      </c>
      <c r="L2147" s="26">
        <f>IF($A2147="","",CHOOSE(WEEKDAY($A2147,2),"Seg","Ter","Qua","Qui","Sex","Sáb","Dom"))</f>
        <v>0</v>
      </c>
      <c r="M2147" s="27">
        <f>IF($E2147="","",IF($G2147&lt;&gt;"",$G2147,IFERROR(INDEX(ProcValor,MATCH($E2147,ProcNome,0)),0)))</f>
        <v>0</v>
      </c>
      <c r="N2147" s="27">
        <f>IF($M2147="","",IF($F2147="Compareceu",$M2147,0))</f>
        <v>0</v>
      </c>
      <c r="O2147" s="27">
        <f>IF($M2147="","",IF($F2147="Faltou",$M2147,0))</f>
        <v>0</v>
      </c>
      <c r="P2147" s="27">
        <f>IF($M2147="","",IF($F2147="Compareceu",MAX(0,$M2147-N($H2147)),0))</f>
        <v>0</v>
      </c>
      <c r="Q2147" s="19">
        <f>IF(AND($F2147="Compareceu",$E2147&lt;&gt;"",$A2147&lt;&gt;""),IF(IFERROR(INDEX(ProcRet,MATCH($E2147,ProcNome,0)),0)&gt;0,$A2147+INDEX(ProcRet,MATCH($E2147,ProcNome,0)),""),"")</f>
        <v>0</v>
      </c>
      <c r="R2147" s="26">
        <f>IF($Q2147="","",IF(COUNTIFS(AgPac,$D2147,AgData,"&gt;"&amp;$A2147,AgStatus,"&lt;&gt;Cancelado",AgStatus,"&lt;&gt;Remarcado")&gt;0,"Sim","Não"))</f>
        <v>0</v>
      </c>
      <c r="S2147" s="28">
        <f>IF($A2147="","",IF(AND($F2147="Agendado",$A2147-Hoje&gt;=0,$A2147-Hoje&lt;=DiasConf),"CONFIRMAR",IF(AND($A2147&lt;Hoje,OR($F2147="Agendado",$F2147="Confirmado")),"Atualizar status",IF(AND($F2147="Compareceu",$P2147&gt;0.005),"Cobrar",IF($F2147="Faltou","Falta: reagendar","")))))</f>
        <v>0</v>
      </c>
      <c r="T2147" s="29">
        <f>IF($A2147="","",DATE(YEAR($A2147),MONTH($A2147),1))</f>
        <v>0</v>
      </c>
      <c r="U2147" s="30">
        <f>IF($S2147="CONFIRMAR",MAX($U$4:$U2146)+1,"")</f>
        <v>0</v>
      </c>
      <c r="V2147" s="30">
        <f>IF(AND($R2147="Não",$Q2147&lt;&gt;"",$Q2147&lt;=Hoje+JanelaRet,$Q2147&gt;=Hoje-60),MAX($V$4:$V2146)+1,"")</f>
        <v>0</v>
      </c>
    </row>
    <row r="2148" spans="1:22">
      <c r="A2148" s="16"/>
      <c r="B2148" s="23"/>
      <c r="C2148" s="15"/>
      <c r="D2148" s="15"/>
      <c r="E2148" s="15"/>
      <c r="F2148" s="24"/>
      <c r="G2148" s="17"/>
      <c r="H2148" s="17"/>
      <c r="I2148" s="15"/>
      <c r="J2148" s="25">
        <f>IF($D2148="","",IFERROR(INDEX(PacNome,MATCH($D2148,PacCod,0)),"Paciente não cadastrado"))</f>
        <v>0</v>
      </c>
      <c r="K2148" s="26">
        <f>IF($D2148="","",IFERROR(INDEX(PacConv,MATCH($D2148,PacCod,0))&amp;"",""))</f>
        <v>0</v>
      </c>
      <c r="L2148" s="26">
        <f>IF($A2148="","",CHOOSE(WEEKDAY($A2148,2),"Seg","Ter","Qua","Qui","Sex","Sáb","Dom"))</f>
        <v>0</v>
      </c>
      <c r="M2148" s="27">
        <f>IF($E2148="","",IF($G2148&lt;&gt;"",$G2148,IFERROR(INDEX(ProcValor,MATCH($E2148,ProcNome,0)),0)))</f>
        <v>0</v>
      </c>
      <c r="N2148" s="27">
        <f>IF($M2148="","",IF($F2148="Compareceu",$M2148,0))</f>
        <v>0</v>
      </c>
      <c r="O2148" s="27">
        <f>IF($M2148="","",IF($F2148="Faltou",$M2148,0))</f>
        <v>0</v>
      </c>
      <c r="P2148" s="27">
        <f>IF($M2148="","",IF($F2148="Compareceu",MAX(0,$M2148-N($H2148)),0))</f>
        <v>0</v>
      </c>
      <c r="Q2148" s="19">
        <f>IF(AND($F2148="Compareceu",$E2148&lt;&gt;"",$A2148&lt;&gt;""),IF(IFERROR(INDEX(ProcRet,MATCH($E2148,ProcNome,0)),0)&gt;0,$A2148+INDEX(ProcRet,MATCH($E2148,ProcNome,0)),""),"")</f>
        <v>0</v>
      </c>
      <c r="R2148" s="26">
        <f>IF($Q2148="","",IF(COUNTIFS(AgPac,$D2148,AgData,"&gt;"&amp;$A2148,AgStatus,"&lt;&gt;Cancelado",AgStatus,"&lt;&gt;Remarcado")&gt;0,"Sim","Não"))</f>
        <v>0</v>
      </c>
      <c r="S2148" s="28">
        <f>IF($A2148="","",IF(AND($F2148="Agendado",$A2148-Hoje&gt;=0,$A2148-Hoje&lt;=DiasConf),"CONFIRMAR",IF(AND($A2148&lt;Hoje,OR($F2148="Agendado",$F2148="Confirmado")),"Atualizar status",IF(AND($F2148="Compareceu",$P2148&gt;0.005),"Cobrar",IF($F2148="Faltou","Falta: reagendar","")))))</f>
        <v>0</v>
      </c>
      <c r="T2148" s="29">
        <f>IF($A2148="","",DATE(YEAR($A2148),MONTH($A2148),1))</f>
        <v>0</v>
      </c>
      <c r="U2148" s="30">
        <f>IF($S2148="CONFIRMAR",MAX($U$4:$U2147)+1,"")</f>
        <v>0</v>
      </c>
      <c r="V2148" s="30">
        <f>IF(AND($R2148="Não",$Q2148&lt;&gt;"",$Q2148&lt;=Hoje+JanelaRet,$Q2148&gt;=Hoje-60),MAX($V$4:$V2147)+1,"")</f>
        <v>0</v>
      </c>
    </row>
    <row r="2149" spans="1:22">
      <c r="A2149" s="16"/>
      <c r="B2149" s="23"/>
      <c r="C2149" s="15"/>
      <c r="D2149" s="15"/>
      <c r="E2149" s="15"/>
      <c r="F2149" s="24"/>
      <c r="G2149" s="17"/>
      <c r="H2149" s="17"/>
      <c r="I2149" s="15"/>
      <c r="J2149" s="25">
        <f>IF($D2149="","",IFERROR(INDEX(PacNome,MATCH($D2149,PacCod,0)),"Paciente não cadastrado"))</f>
        <v>0</v>
      </c>
      <c r="K2149" s="26">
        <f>IF($D2149="","",IFERROR(INDEX(PacConv,MATCH($D2149,PacCod,0))&amp;"",""))</f>
        <v>0</v>
      </c>
      <c r="L2149" s="26">
        <f>IF($A2149="","",CHOOSE(WEEKDAY($A2149,2),"Seg","Ter","Qua","Qui","Sex","Sáb","Dom"))</f>
        <v>0</v>
      </c>
      <c r="M2149" s="27">
        <f>IF($E2149="","",IF($G2149&lt;&gt;"",$G2149,IFERROR(INDEX(ProcValor,MATCH($E2149,ProcNome,0)),0)))</f>
        <v>0</v>
      </c>
      <c r="N2149" s="27">
        <f>IF($M2149="","",IF($F2149="Compareceu",$M2149,0))</f>
        <v>0</v>
      </c>
      <c r="O2149" s="27">
        <f>IF($M2149="","",IF($F2149="Faltou",$M2149,0))</f>
        <v>0</v>
      </c>
      <c r="P2149" s="27">
        <f>IF($M2149="","",IF($F2149="Compareceu",MAX(0,$M2149-N($H2149)),0))</f>
        <v>0</v>
      </c>
      <c r="Q2149" s="19">
        <f>IF(AND($F2149="Compareceu",$E2149&lt;&gt;"",$A2149&lt;&gt;""),IF(IFERROR(INDEX(ProcRet,MATCH($E2149,ProcNome,0)),0)&gt;0,$A2149+INDEX(ProcRet,MATCH($E2149,ProcNome,0)),""),"")</f>
        <v>0</v>
      </c>
      <c r="R2149" s="26">
        <f>IF($Q2149="","",IF(COUNTIFS(AgPac,$D2149,AgData,"&gt;"&amp;$A2149,AgStatus,"&lt;&gt;Cancelado",AgStatus,"&lt;&gt;Remarcado")&gt;0,"Sim","Não"))</f>
        <v>0</v>
      </c>
      <c r="S2149" s="28">
        <f>IF($A2149="","",IF(AND($F2149="Agendado",$A2149-Hoje&gt;=0,$A2149-Hoje&lt;=DiasConf),"CONFIRMAR",IF(AND($A2149&lt;Hoje,OR($F2149="Agendado",$F2149="Confirmado")),"Atualizar status",IF(AND($F2149="Compareceu",$P2149&gt;0.005),"Cobrar",IF($F2149="Faltou","Falta: reagendar","")))))</f>
        <v>0</v>
      </c>
      <c r="T2149" s="29">
        <f>IF($A2149="","",DATE(YEAR($A2149),MONTH($A2149),1))</f>
        <v>0</v>
      </c>
      <c r="U2149" s="30">
        <f>IF($S2149="CONFIRMAR",MAX($U$4:$U2148)+1,"")</f>
        <v>0</v>
      </c>
      <c r="V2149" s="30">
        <f>IF(AND($R2149="Não",$Q2149&lt;&gt;"",$Q2149&lt;=Hoje+JanelaRet,$Q2149&gt;=Hoje-60),MAX($V$4:$V2148)+1,"")</f>
        <v>0</v>
      </c>
    </row>
    <row r="2150" spans="1:22">
      <c r="A2150" s="16"/>
      <c r="B2150" s="23"/>
      <c r="C2150" s="15"/>
      <c r="D2150" s="15"/>
      <c r="E2150" s="15"/>
      <c r="F2150" s="24"/>
      <c r="G2150" s="17"/>
      <c r="H2150" s="17"/>
      <c r="I2150" s="15"/>
      <c r="J2150" s="25">
        <f>IF($D2150="","",IFERROR(INDEX(PacNome,MATCH($D2150,PacCod,0)),"Paciente não cadastrado"))</f>
        <v>0</v>
      </c>
      <c r="K2150" s="26">
        <f>IF($D2150="","",IFERROR(INDEX(PacConv,MATCH($D2150,PacCod,0))&amp;"",""))</f>
        <v>0</v>
      </c>
      <c r="L2150" s="26">
        <f>IF($A2150="","",CHOOSE(WEEKDAY($A2150,2),"Seg","Ter","Qua","Qui","Sex","Sáb","Dom"))</f>
        <v>0</v>
      </c>
      <c r="M2150" s="27">
        <f>IF($E2150="","",IF($G2150&lt;&gt;"",$G2150,IFERROR(INDEX(ProcValor,MATCH($E2150,ProcNome,0)),0)))</f>
        <v>0</v>
      </c>
      <c r="N2150" s="27">
        <f>IF($M2150="","",IF($F2150="Compareceu",$M2150,0))</f>
        <v>0</v>
      </c>
      <c r="O2150" s="27">
        <f>IF($M2150="","",IF($F2150="Faltou",$M2150,0))</f>
        <v>0</v>
      </c>
      <c r="P2150" s="27">
        <f>IF($M2150="","",IF($F2150="Compareceu",MAX(0,$M2150-N($H2150)),0))</f>
        <v>0</v>
      </c>
      <c r="Q2150" s="19">
        <f>IF(AND($F2150="Compareceu",$E2150&lt;&gt;"",$A2150&lt;&gt;""),IF(IFERROR(INDEX(ProcRet,MATCH($E2150,ProcNome,0)),0)&gt;0,$A2150+INDEX(ProcRet,MATCH($E2150,ProcNome,0)),""),"")</f>
        <v>0</v>
      </c>
      <c r="R2150" s="26">
        <f>IF($Q2150="","",IF(COUNTIFS(AgPac,$D2150,AgData,"&gt;"&amp;$A2150,AgStatus,"&lt;&gt;Cancelado",AgStatus,"&lt;&gt;Remarcado")&gt;0,"Sim","Não"))</f>
        <v>0</v>
      </c>
      <c r="S2150" s="28">
        <f>IF($A2150="","",IF(AND($F2150="Agendado",$A2150-Hoje&gt;=0,$A2150-Hoje&lt;=DiasConf),"CONFIRMAR",IF(AND($A2150&lt;Hoje,OR($F2150="Agendado",$F2150="Confirmado")),"Atualizar status",IF(AND($F2150="Compareceu",$P2150&gt;0.005),"Cobrar",IF($F2150="Faltou","Falta: reagendar","")))))</f>
        <v>0</v>
      </c>
      <c r="T2150" s="29">
        <f>IF($A2150="","",DATE(YEAR($A2150),MONTH($A2150),1))</f>
        <v>0</v>
      </c>
      <c r="U2150" s="30">
        <f>IF($S2150="CONFIRMAR",MAX($U$4:$U2149)+1,"")</f>
        <v>0</v>
      </c>
      <c r="V2150" s="30">
        <f>IF(AND($R2150="Não",$Q2150&lt;&gt;"",$Q2150&lt;=Hoje+JanelaRet,$Q2150&gt;=Hoje-60),MAX($V$4:$V2149)+1,"")</f>
        <v>0</v>
      </c>
    </row>
    <row r="2151" spans="1:22">
      <c r="A2151" s="16"/>
      <c r="B2151" s="23"/>
      <c r="C2151" s="15"/>
      <c r="D2151" s="15"/>
      <c r="E2151" s="15"/>
      <c r="F2151" s="24"/>
      <c r="G2151" s="17"/>
      <c r="H2151" s="17"/>
      <c r="I2151" s="15"/>
      <c r="J2151" s="25">
        <f>IF($D2151="","",IFERROR(INDEX(PacNome,MATCH($D2151,PacCod,0)),"Paciente não cadastrado"))</f>
        <v>0</v>
      </c>
      <c r="K2151" s="26">
        <f>IF($D2151="","",IFERROR(INDEX(PacConv,MATCH($D2151,PacCod,0))&amp;"",""))</f>
        <v>0</v>
      </c>
      <c r="L2151" s="26">
        <f>IF($A2151="","",CHOOSE(WEEKDAY($A2151,2),"Seg","Ter","Qua","Qui","Sex","Sáb","Dom"))</f>
        <v>0</v>
      </c>
      <c r="M2151" s="27">
        <f>IF($E2151="","",IF($G2151&lt;&gt;"",$G2151,IFERROR(INDEX(ProcValor,MATCH($E2151,ProcNome,0)),0)))</f>
        <v>0</v>
      </c>
      <c r="N2151" s="27">
        <f>IF($M2151="","",IF($F2151="Compareceu",$M2151,0))</f>
        <v>0</v>
      </c>
      <c r="O2151" s="27">
        <f>IF($M2151="","",IF($F2151="Faltou",$M2151,0))</f>
        <v>0</v>
      </c>
      <c r="P2151" s="27">
        <f>IF($M2151="","",IF($F2151="Compareceu",MAX(0,$M2151-N($H2151)),0))</f>
        <v>0</v>
      </c>
      <c r="Q2151" s="19">
        <f>IF(AND($F2151="Compareceu",$E2151&lt;&gt;"",$A2151&lt;&gt;""),IF(IFERROR(INDEX(ProcRet,MATCH($E2151,ProcNome,0)),0)&gt;0,$A2151+INDEX(ProcRet,MATCH($E2151,ProcNome,0)),""),"")</f>
        <v>0</v>
      </c>
      <c r="R2151" s="26">
        <f>IF($Q2151="","",IF(COUNTIFS(AgPac,$D2151,AgData,"&gt;"&amp;$A2151,AgStatus,"&lt;&gt;Cancelado",AgStatus,"&lt;&gt;Remarcado")&gt;0,"Sim","Não"))</f>
        <v>0</v>
      </c>
      <c r="S2151" s="28">
        <f>IF($A2151="","",IF(AND($F2151="Agendado",$A2151-Hoje&gt;=0,$A2151-Hoje&lt;=DiasConf),"CONFIRMAR",IF(AND($A2151&lt;Hoje,OR($F2151="Agendado",$F2151="Confirmado")),"Atualizar status",IF(AND($F2151="Compareceu",$P2151&gt;0.005),"Cobrar",IF($F2151="Faltou","Falta: reagendar","")))))</f>
        <v>0</v>
      </c>
      <c r="T2151" s="29">
        <f>IF($A2151="","",DATE(YEAR($A2151),MONTH($A2151),1))</f>
        <v>0</v>
      </c>
      <c r="U2151" s="30">
        <f>IF($S2151="CONFIRMAR",MAX($U$4:$U2150)+1,"")</f>
        <v>0</v>
      </c>
      <c r="V2151" s="30">
        <f>IF(AND($R2151="Não",$Q2151&lt;&gt;"",$Q2151&lt;=Hoje+JanelaRet,$Q2151&gt;=Hoje-60),MAX($V$4:$V2150)+1,"")</f>
        <v>0</v>
      </c>
    </row>
    <row r="2152" spans="1:22">
      <c r="A2152" s="16"/>
      <c r="B2152" s="23"/>
      <c r="C2152" s="15"/>
      <c r="D2152" s="15"/>
      <c r="E2152" s="15"/>
      <c r="F2152" s="24"/>
      <c r="G2152" s="17"/>
      <c r="H2152" s="17"/>
      <c r="I2152" s="15"/>
      <c r="J2152" s="25">
        <f>IF($D2152="","",IFERROR(INDEX(PacNome,MATCH($D2152,PacCod,0)),"Paciente não cadastrado"))</f>
        <v>0</v>
      </c>
      <c r="K2152" s="26">
        <f>IF($D2152="","",IFERROR(INDEX(PacConv,MATCH($D2152,PacCod,0))&amp;"",""))</f>
        <v>0</v>
      </c>
      <c r="L2152" s="26">
        <f>IF($A2152="","",CHOOSE(WEEKDAY($A2152,2),"Seg","Ter","Qua","Qui","Sex","Sáb","Dom"))</f>
        <v>0</v>
      </c>
      <c r="M2152" s="27">
        <f>IF($E2152="","",IF($G2152&lt;&gt;"",$G2152,IFERROR(INDEX(ProcValor,MATCH($E2152,ProcNome,0)),0)))</f>
        <v>0</v>
      </c>
      <c r="N2152" s="27">
        <f>IF($M2152="","",IF($F2152="Compareceu",$M2152,0))</f>
        <v>0</v>
      </c>
      <c r="O2152" s="27">
        <f>IF($M2152="","",IF($F2152="Faltou",$M2152,0))</f>
        <v>0</v>
      </c>
      <c r="P2152" s="27">
        <f>IF($M2152="","",IF($F2152="Compareceu",MAX(0,$M2152-N($H2152)),0))</f>
        <v>0</v>
      </c>
      <c r="Q2152" s="19">
        <f>IF(AND($F2152="Compareceu",$E2152&lt;&gt;"",$A2152&lt;&gt;""),IF(IFERROR(INDEX(ProcRet,MATCH($E2152,ProcNome,0)),0)&gt;0,$A2152+INDEX(ProcRet,MATCH($E2152,ProcNome,0)),""),"")</f>
        <v>0</v>
      </c>
      <c r="R2152" s="26">
        <f>IF($Q2152="","",IF(COUNTIFS(AgPac,$D2152,AgData,"&gt;"&amp;$A2152,AgStatus,"&lt;&gt;Cancelado",AgStatus,"&lt;&gt;Remarcado")&gt;0,"Sim","Não"))</f>
        <v>0</v>
      </c>
      <c r="S2152" s="28">
        <f>IF($A2152="","",IF(AND($F2152="Agendado",$A2152-Hoje&gt;=0,$A2152-Hoje&lt;=DiasConf),"CONFIRMAR",IF(AND($A2152&lt;Hoje,OR($F2152="Agendado",$F2152="Confirmado")),"Atualizar status",IF(AND($F2152="Compareceu",$P2152&gt;0.005),"Cobrar",IF($F2152="Faltou","Falta: reagendar","")))))</f>
        <v>0</v>
      </c>
      <c r="T2152" s="29">
        <f>IF($A2152="","",DATE(YEAR($A2152),MONTH($A2152),1))</f>
        <v>0</v>
      </c>
      <c r="U2152" s="30">
        <f>IF($S2152="CONFIRMAR",MAX($U$4:$U2151)+1,"")</f>
        <v>0</v>
      </c>
      <c r="V2152" s="30">
        <f>IF(AND($R2152="Não",$Q2152&lt;&gt;"",$Q2152&lt;=Hoje+JanelaRet,$Q2152&gt;=Hoje-60),MAX($V$4:$V2151)+1,"")</f>
        <v>0</v>
      </c>
    </row>
    <row r="2153" spans="1:22">
      <c r="A2153" s="16"/>
      <c r="B2153" s="23"/>
      <c r="C2153" s="15"/>
      <c r="D2153" s="15"/>
      <c r="E2153" s="15"/>
      <c r="F2153" s="24"/>
      <c r="G2153" s="17"/>
      <c r="H2153" s="17"/>
      <c r="I2153" s="15"/>
      <c r="J2153" s="25">
        <f>IF($D2153="","",IFERROR(INDEX(PacNome,MATCH($D2153,PacCod,0)),"Paciente não cadastrado"))</f>
        <v>0</v>
      </c>
      <c r="K2153" s="26">
        <f>IF($D2153="","",IFERROR(INDEX(PacConv,MATCH($D2153,PacCod,0))&amp;"",""))</f>
        <v>0</v>
      </c>
      <c r="L2153" s="26">
        <f>IF($A2153="","",CHOOSE(WEEKDAY($A2153,2),"Seg","Ter","Qua","Qui","Sex","Sáb","Dom"))</f>
        <v>0</v>
      </c>
      <c r="M2153" s="27">
        <f>IF($E2153="","",IF($G2153&lt;&gt;"",$G2153,IFERROR(INDEX(ProcValor,MATCH($E2153,ProcNome,0)),0)))</f>
        <v>0</v>
      </c>
      <c r="N2153" s="27">
        <f>IF($M2153="","",IF($F2153="Compareceu",$M2153,0))</f>
        <v>0</v>
      </c>
      <c r="O2153" s="27">
        <f>IF($M2153="","",IF($F2153="Faltou",$M2153,0))</f>
        <v>0</v>
      </c>
      <c r="P2153" s="27">
        <f>IF($M2153="","",IF($F2153="Compareceu",MAX(0,$M2153-N($H2153)),0))</f>
        <v>0</v>
      </c>
      <c r="Q2153" s="19">
        <f>IF(AND($F2153="Compareceu",$E2153&lt;&gt;"",$A2153&lt;&gt;""),IF(IFERROR(INDEX(ProcRet,MATCH($E2153,ProcNome,0)),0)&gt;0,$A2153+INDEX(ProcRet,MATCH($E2153,ProcNome,0)),""),"")</f>
        <v>0</v>
      </c>
      <c r="R2153" s="26">
        <f>IF($Q2153="","",IF(COUNTIFS(AgPac,$D2153,AgData,"&gt;"&amp;$A2153,AgStatus,"&lt;&gt;Cancelado",AgStatus,"&lt;&gt;Remarcado")&gt;0,"Sim","Não"))</f>
        <v>0</v>
      </c>
      <c r="S2153" s="28">
        <f>IF($A2153="","",IF(AND($F2153="Agendado",$A2153-Hoje&gt;=0,$A2153-Hoje&lt;=DiasConf),"CONFIRMAR",IF(AND($A2153&lt;Hoje,OR($F2153="Agendado",$F2153="Confirmado")),"Atualizar status",IF(AND($F2153="Compareceu",$P2153&gt;0.005),"Cobrar",IF($F2153="Faltou","Falta: reagendar","")))))</f>
        <v>0</v>
      </c>
      <c r="T2153" s="29">
        <f>IF($A2153="","",DATE(YEAR($A2153),MONTH($A2153),1))</f>
        <v>0</v>
      </c>
      <c r="U2153" s="30">
        <f>IF($S2153="CONFIRMAR",MAX($U$4:$U2152)+1,"")</f>
        <v>0</v>
      </c>
      <c r="V2153" s="30">
        <f>IF(AND($R2153="Não",$Q2153&lt;&gt;"",$Q2153&lt;=Hoje+JanelaRet,$Q2153&gt;=Hoje-60),MAX($V$4:$V2152)+1,"")</f>
        <v>0</v>
      </c>
    </row>
    <row r="2154" spans="1:22">
      <c r="A2154" s="16"/>
      <c r="B2154" s="23"/>
      <c r="C2154" s="15"/>
      <c r="D2154" s="15"/>
      <c r="E2154" s="15"/>
      <c r="F2154" s="24"/>
      <c r="G2154" s="17"/>
      <c r="H2154" s="17"/>
      <c r="I2154" s="15"/>
      <c r="J2154" s="25">
        <f>IF($D2154="","",IFERROR(INDEX(PacNome,MATCH($D2154,PacCod,0)),"Paciente não cadastrado"))</f>
        <v>0</v>
      </c>
      <c r="K2154" s="26">
        <f>IF($D2154="","",IFERROR(INDEX(PacConv,MATCH($D2154,PacCod,0))&amp;"",""))</f>
        <v>0</v>
      </c>
      <c r="L2154" s="26">
        <f>IF($A2154="","",CHOOSE(WEEKDAY($A2154,2),"Seg","Ter","Qua","Qui","Sex","Sáb","Dom"))</f>
        <v>0</v>
      </c>
      <c r="M2154" s="27">
        <f>IF($E2154="","",IF($G2154&lt;&gt;"",$G2154,IFERROR(INDEX(ProcValor,MATCH($E2154,ProcNome,0)),0)))</f>
        <v>0</v>
      </c>
      <c r="N2154" s="27">
        <f>IF($M2154="","",IF($F2154="Compareceu",$M2154,0))</f>
        <v>0</v>
      </c>
      <c r="O2154" s="27">
        <f>IF($M2154="","",IF($F2154="Faltou",$M2154,0))</f>
        <v>0</v>
      </c>
      <c r="P2154" s="27">
        <f>IF($M2154="","",IF($F2154="Compareceu",MAX(0,$M2154-N($H2154)),0))</f>
        <v>0</v>
      </c>
      <c r="Q2154" s="19">
        <f>IF(AND($F2154="Compareceu",$E2154&lt;&gt;"",$A2154&lt;&gt;""),IF(IFERROR(INDEX(ProcRet,MATCH($E2154,ProcNome,0)),0)&gt;0,$A2154+INDEX(ProcRet,MATCH($E2154,ProcNome,0)),""),"")</f>
        <v>0</v>
      </c>
      <c r="R2154" s="26">
        <f>IF($Q2154="","",IF(COUNTIFS(AgPac,$D2154,AgData,"&gt;"&amp;$A2154,AgStatus,"&lt;&gt;Cancelado",AgStatus,"&lt;&gt;Remarcado")&gt;0,"Sim","Não"))</f>
        <v>0</v>
      </c>
      <c r="S2154" s="28">
        <f>IF($A2154="","",IF(AND($F2154="Agendado",$A2154-Hoje&gt;=0,$A2154-Hoje&lt;=DiasConf),"CONFIRMAR",IF(AND($A2154&lt;Hoje,OR($F2154="Agendado",$F2154="Confirmado")),"Atualizar status",IF(AND($F2154="Compareceu",$P2154&gt;0.005),"Cobrar",IF($F2154="Faltou","Falta: reagendar","")))))</f>
        <v>0</v>
      </c>
      <c r="T2154" s="29">
        <f>IF($A2154="","",DATE(YEAR($A2154),MONTH($A2154),1))</f>
        <v>0</v>
      </c>
      <c r="U2154" s="30">
        <f>IF($S2154="CONFIRMAR",MAX($U$4:$U2153)+1,"")</f>
        <v>0</v>
      </c>
      <c r="V2154" s="30">
        <f>IF(AND($R2154="Não",$Q2154&lt;&gt;"",$Q2154&lt;=Hoje+JanelaRet,$Q2154&gt;=Hoje-60),MAX($V$4:$V2153)+1,"")</f>
        <v>0</v>
      </c>
    </row>
    <row r="2155" spans="1:22">
      <c r="A2155" s="16"/>
      <c r="B2155" s="23"/>
      <c r="C2155" s="15"/>
      <c r="D2155" s="15"/>
      <c r="E2155" s="15"/>
      <c r="F2155" s="24"/>
      <c r="G2155" s="17"/>
      <c r="H2155" s="17"/>
      <c r="I2155" s="15"/>
      <c r="J2155" s="25">
        <f>IF($D2155="","",IFERROR(INDEX(PacNome,MATCH($D2155,PacCod,0)),"Paciente não cadastrado"))</f>
        <v>0</v>
      </c>
      <c r="K2155" s="26">
        <f>IF($D2155="","",IFERROR(INDEX(PacConv,MATCH($D2155,PacCod,0))&amp;"",""))</f>
        <v>0</v>
      </c>
      <c r="L2155" s="26">
        <f>IF($A2155="","",CHOOSE(WEEKDAY($A2155,2),"Seg","Ter","Qua","Qui","Sex","Sáb","Dom"))</f>
        <v>0</v>
      </c>
      <c r="M2155" s="27">
        <f>IF($E2155="","",IF($G2155&lt;&gt;"",$G2155,IFERROR(INDEX(ProcValor,MATCH($E2155,ProcNome,0)),0)))</f>
        <v>0</v>
      </c>
      <c r="N2155" s="27">
        <f>IF($M2155="","",IF($F2155="Compareceu",$M2155,0))</f>
        <v>0</v>
      </c>
      <c r="O2155" s="27">
        <f>IF($M2155="","",IF($F2155="Faltou",$M2155,0))</f>
        <v>0</v>
      </c>
      <c r="P2155" s="27">
        <f>IF($M2155="","",IF($F2155="Compareceu",MAX(0,$M2155-N($H2155)),0))</f>
        <v>0</v>
      </c>
      <c r="Q2155" s="19">
        <f>IF(AND($F2155="Compareceu",$E2155&lt;&gt;"",$A2155&lt;&gt;""),IF(IFERROR(INDEX(ProcRet,MATCH($E2155,ProcNome,0)),0)&gt;0,$A2155+INDEX(ProcRet,MATCH($E2155,ProcNome,0)),""),"")</f>
        <v>0</v>
      </c>
      <c r="R2155" s="26">
        <f>IF($Q2155="","",IF(COUNTIFS(AgPac,$D2155,AgData,"&gt;"&amp;$A2155,AgStatus,"&lt;&gt;Cancelado",AgStatus,"&lt;&gt;Remarcado")&gt;0,"Sim","Não"))</f>
        <v>0</v>
      </c>
      <c r="S2155" s="28">
        <f>IF($A2155="","",IF(AND($F2155="Agendado",$A2155-Hoje&gt;=0,$A2155-Hoje&lt;=DiasConf),"CONFIRMAR",IF(AND($A2155&lt;Hoje,OR($F2155="Agendado",$F2155="Confirmado")),"Atualizar status",IF(AND($F2155="Compareceu",$P2155&gt;0.005),"Cobrar",IF($F2155="Faltou","Falta: reagendar","")))))</f>
        <v>0</v>
      </c>
      <c r="T2155" s="29">
        <f>IF($A2155="","",DATE(YEAR($A2155),MONTH($A2155),1))</f>
        <v>0</v>
      </c>
      <c r="U2155" s="30">
        <f>IF($S2155="CONFIRMAR",MAX($U$4:$U2154)+1,"")</f>
        <v>0</v>
      </c>
      <c r="V2155" s="30">
        <f>IF(AND($R2155="Não",$Q2155&lt;&gt;"",$Q2155&lt;=Hoje+JanelaRet,$Q2155&gt;=Hoje-60),MAX($V$4:$V2154)+1,"")</f>
        <v>0</v>
      </c>
    </row>
    <row r="2156" spans="1:22">
      <c r="A2156" s="16"/>
      <c r="B2156" s="23"/>
      <c r="C2156" s="15"/>
      <c r="D2156" s="15"/>
      <c r="E2156" s="15"/>
      <c r="F2156" s="24"/>
      <c r="G2156" s="17"/>
      <c r="H2156" s="17"/>
      <c r="I2156" s="15"/>
      <c r="J2156" s="25">
        <f>IF($D2156="","",IFERROR(INDEX(PacNome,MATCH($D2156,PacCod,0)),"Paciente não cadastrado"))</f>
        <v>0</v>
      </c>
      <c r="K2156" s="26">
        <f>IF($D2156="","",IFERROR(INDEX(PacConv,MATCH($D2156,PacCod,0))&amp;"",""))</f>
        <v>0</v>
      </c>
      <c r="L2156" s="26">
        <f>IF($A2156="","",CHOOSE(WEEKDAY($A2156,2),"Seg","Ter","Qua","Qui","Sex","Sáb","Dom"))</f>
        <v>0</v>
      </c>
      <c r="M2156" s="27">
        <f>IF($E2156="","",IF($G2156&lt;&gt;"",$G2156,IFERROR(INDEX(ProcValor,MATCH($E2156,ProcNome,0)),0)))</f>
        <v>0</v>
      </c>
      <c r="N2156" s="27">
        <f>IF($M2156="","",IF($F2156="Compareceu",$M2156,0))</f>
        <v>0</v>
      </c>
      <c r="O2156" s="27">
        <f>IF($M2156="","",IF($F2156="Faltou",$M2156,0))</f>
        <v>0</v>
      </c>
      <c r="P2156" s="27">
        <f>IF($M2156="","",IF($F2156="Compareceu",MAX(0,$M2156-N($H2156)),0))</f>
        <v>0</v>
      </c>
      <c r="Q2156" s="19">
        <f>IF(AND($F2156="Compareceu",$E2156&lt;&gt;"",$A2156&lt;&gt;""),IF(IFERROR(INDEX(ProcRet,MATCH($E2156,ProcNome,0)),0)&gt;0,$A2156+INDEX(ProcRet,MATCH($E2156,ProcNome,0)),""),"")</f>
        <v>0</v>
      </c>
      <c r="R2156" s="26">
        <f>IF($Q2156="","",IF(COUNTIFS(AgPac,$D2156,AgData,"&gt;"&amp;$A2156,AgStatus,"&lt;&gt;Cancelado",AgStatus,"&lt;&gt;Remarcado")&gt;0,"Sim","Não"))</f>
        <v>0</v>
      </c>
      <c r="S2156" s="28">
        <f>IF($A2156="","",IF(AND($F2156="Agendado",$A2156-Hoje&gt;=0,$A2156-Hoje&lt;=DiasConf),"CONFIRMAR",IF(AND($A2156&lt;Hoje,OR($F2156="Agendado",$F2156="Confirmado")),"Atualizar status",IF(AND($F2156="Compareceu",$P2156&gt;0.005),"Cobrar",IF($F2156="Faltou","Falta: reagendar","")))))</f>
        <v>0</v>
      </c>
      <c r="T2156" s="29">
        <f>IF($A2156="","",DATE(YEAR($A2156),MONTH($A2156),1))</f>
        <v>0</v>
      </c>
      <c r="U2156" s="30">
        <f>IF($S2156="CONFIRMAR",MAX($U$4:$U2155)+1,"")</f>
        <v>0</v>
      </c>
      <c r="V2156" s="30">
        <f>IF(AND($R2156="Não",$Q2156&lt;&gt;"",$Q2156&lt;=Hoje+JanelaRet,$Q2156&gt;=Hoje-60),MAX($V$4:$V2155)+1,"")</f>
        <v>0</v>
      </c>
    </row>
    <row r="2157" spans="1:22">
      <c r="A2157" s="16"/>
      <c r="B2157" s="23"/>
      <c r="C2157" s="15"/>
      <c r="D2157" s="15"/>
      <c r="E2157" s="15"/>
      <c r="F2157" s="24"/>
      <c r="G2157" s="17"/>
      <c r="H2157" s="17"/>
      <c r="I2157" s="15"/>
      <c r="J2157" s="25">
        <f>IF($D2157="","",IFERROR(INDEX(PacNome,MATCH($D2157,PacCod,0)),"Paciente não cadastrado"))</f>
        <v>0</v>
      </c>
      <c r="K2157" s="26">
        <f>IF($D2157="","",IFERROR(INDEX(PacConv,MATCH($D2157,PacCod,0))&amp;"",""))</f>
        <v>0</v>
      </c>
      <c r="L2157" s="26">
        <f>IF($A2157="","",CHOOSE(WEEKDAY($A2157,2),"Seg","Ter","Qua","Qui","Sex","Sáb","Dom"))</f>
        <v>0</v>
      </c>
      <c r="M2157" s="27">
        <f>IF($E2157="","",IF($G2157&lt;&gt;"",$G2157,IFERROR(INDEX(ProcValor,MATCH($E2157,ProcNome,0)),0)))</f>
        <v>0</v>
      </c>
      <c r="N2157" s="27">
        <f>IF($M2157="","",IF($F2157="Compareceu",$M2157,0))</f>
        <v>0</v>
      </c>
      <c r="O2157" s="27">
        <f>IF($M2157="","",IF($F2157="Faltou",$M2157,0))</f>
        <v>0</v>
      </c>
      <c r="P2157" s="27">
        <f>IF($M2157="","",IF($F2157="Compareceu",MAX(0,$M2157-N($H2157)),0))</f>
        <v>0</v>
      </c>
      <c r="Q2157" s="19">
        <f>IF(AND($F2157="Compareceu",$E2157&lt;&gt;"",$A2157&lt;&gt;""),IF(IFERROR(INDEX(ProcRet,MATCH($E2157,ProcNome,0)),0)&gt;0,$A2157+INDEX(ProcRet,MATCH($E2157,ProcNome,0)),""),"")</f>
        <v>0</v>
      </c>
      <c r="R2157" s="26">
        <f>IF($Q2157="","",IF(COUNTIFS(AgPac,$D2157,AgData,"&gt;"&amp;$A2157,AgStatus,"&lt;&gt;Cancelado",AgStatus,"&lt;&gt;Remarcado")&gt;0,"Sim","Não"))</f>
        <v>0</v>
      </c>
      <c r="S2157" s="28">
        <f>IF($A2157="","",IF(AND($F2157="Agendado",$A2157-Hoje&gt;=0,$A2157-Hoje&lt;=DiasConf),"CONFIRMAR",IF(AND($A2157&lt;Hoje,OR($F2157="Agendado",$F2157="Confirmado")),"Atualizar status",IF(AND($F2157="Compareceu",$P2157&gt;0.005),"Cobrar",IF($F2157="Faltou","Falta: reagendar","")))))</f>
        <v>0</v>
      </c>
      <c r="T2157" s="29">
        <f>IF($A2157="","",DATE(YEAR($A2157),MONTH($A2157),1))</f>
        <v>0</v>
      </c>
      <c r="U2157" s="30">
        <f>IF($S2157="CONFIRMAR",MAX($U$4:$U2156)+1,"")</f>
        <v>0</v>
      </c>
      <c r="V2157" s="30">
        <f>IF(AND($R2157="Não",$Q2157&lt;&gt;"",$Q2157&lt;=Hoje+JanelaRet,$Q2157&gt;=Hoje-60),MAX($V$4:$V2156)+1,"")</f>
        <v>0</v>
      </c>
    </row>
    <row r="2158" spans="1:22">
      <c r="A2158" s="16"/>
      <c r="B2158" s="23"/>
      <c r="C2158" s="15"/>
      <c r="D2158" s="15"/>
      <c r="E2158" s="15"/>
      <c r="F2158" s="24"/>
      <c r="G2158" s="17"/>
      <c r="H2158" s="17"/>
      <c r="I2158" s="15"/>
      <c r="J2158" s="25">
        <f>IF($D2158="","",IFERROR(INDEX(PacNome,MATCH($D2158,PacCod,0)),"Paciente não cadastrado"))</f>
        <v>0</v>
      </c>
      <c r="K2158" s="26">
        <f>IF($D2158="","",IFERROR(INDEX(PacConv,MATCH($D2158,PacCod,0))&amp;"",""))</f>
        <v>0</v>
      </c>
      <c r="L2158" s="26">
        <f>IF($A2158="","",CHOOSE(WEEKDAY($A2158,2),"Seg","Ter","Qua","Qui","Sex","Sáb","Dom"))</f>
        <v>0</v>
      </c>
      <c r="M2158" s="27">
        <f>IF($E2158="","",IF($G2158&lt;&gt;"",$G2158,IFERROR(INDEX(ProcValor,MATCH($E2158,ProcNome,0)),0)))</f>
        <v>0</v>
      </c>
      <c r="N2158" s="27">
        <f>IF($M2158="","",IF($F2158="Compareceu",$M2158,0))</f>
        <v>0</v>
      </c>
      <c r="O2158" s="27">
        <f>IF($M2158="","",IF($F2158="Faltou",$M2158,0))</f>
        <v>0</v>
      </c>
      <c r="P2158" s="27">
        <f>IF($M2158="","",IF($F2158="Compareceu",MAX(0,$M2158-N($H2158)),0))</f>
        <v>0</v>
      </c>
      <c r="Q2158" s="19">
        <f>IF(AND($F2158="Compareceu",$E2158&lt;&gt;"",$A2158&lt;&gt;""),IF(IFERROR(INDEX(ProcRet,MATCH($E2158,ProcNome,0)),0)&gt;0,$A2158+INDEX(ProcRet,MATCH($E2158,ProcNome,0)),""),"")</f>
        <v>0</v>
      </c>
      <c r="R2158" s="26">
        <f>IF($Q2158="","",IF(COUNTIFS(AgPac,$D2158,AgData,"&gt;"&amp;$A2158,AgStatus,"&lt;&gt;Cancelado",AgStatus,"&lt;&gt;Remarcado")&gt;0,"Sim","Não"))</f>
        <v>0</v>
      </c>
      <c r="S2158" s="28">
        <f>IF($A2158="","",IF(AND($F2158="Agendado",$A2158-Hoje&gt;=0,$A2158-Hoje&lt;=DiasConf),"CONFIRMAR",IF(AND($A2158&lt;Hoje,OR($F2158="Agendado",$F2158="Confirmado")),"Atualizar status",IF(AND($F2158="Compareceu",$P2158&gt;0.005),"Cobrar",IF($F2158="Faltou","Falta: reagendar","")))))</f>
        <v>0</v>
      </c>
      <c r="T2158" s="29">
        <f>IF($A2158="","",DATE(YEAR($A2158),MONTH($A2158),1))</f>
        <v>0</v>
      </c>
      <c r="U2158" s="30">
        <f>IF($S2158="CONFIRMAR",MAX($U$4:$U2157)+1,"")</f>
        <v>0</v>
      </c>
      <c r="V2158" s="30">
        <f>IF(AND($R2158="Não",$Q2158&lt;&gt;"",$Q2158&lt;=Hoje+JanelaRet,$Q2158&gt;=Hoje-60),MAX($V$4:$V2157)+1,"")</f>
        <v>0</v>
      </c>
    </row>
    <row r="2159" spans="1:22">
      <c r="A2159" s="16"/>
      <c r="B2159" s="23"/>
      <c r="C2159" s="15"/>
      <c r="D2159" s="15"/>
      <c r="E2159" s="15"/>
      <c r="F2159" s="24"/>
      <c r="G2159" s="17"/>
      <c r="H2159" s="17"/>
      <c r="I2159" s="15"/>
      <c r="J2159" s="25">
        <f>IF($D2159="","",IFERROR(INDEX(PacNome,MATCH($D2159,PacCod,0)),"Paciente não cadastrado"))</f>
        <v>0</v>
      </c>
      <c r="K2159" s="26">
        <f>IF($D2159="","",IFERROR(INDEX(PacConv,MATCH($D2159,PacCod,0))&amp;"",""))</f>
        <v>0</v>
      </c>
      <c r="L2159" s="26">
        <f>IF($A2159="","",CHOOSE(WEEKDAY($A2159,2),"Seg","Ter","Qua","Qui","Sex","Sáb","Dom"))</f>
        <v>0</v>
      </c>
      <c r="M2159" s="27">
        <f>IF($E2159="","",IF($G2159&lt;&gt;"",$G2159,IFERROR(INDEX(ProcValor,MATCH($E2159,ProcNome,0)),0)))</f>
        <v>0</v>
      </c>
      <c r="N2159" s="27">
        <f>IF($M2159="","",IF($F2159="Compareceu",$M2159,0))</f>
        <v>0</v>
      </c>
      <c r="O2159" s="27">
        <f>IF($M2159="","",IF($F2159="Faltou",$M2159,0))</f>
        <v>0</v>
      </c>
      <c r="P2159" s="27">
        <f>IF($M2159="","",IF($F2159="Compareceu",MAX(0,$M2159-N($H2159)),0))</f>
        <v>0</v>
      </c>
      <c r="Q2159" s="19">
        <f>IF(AND($F2159="Compareceu",$E2159&lt;&gt;"",$A2159&lt;&gt;""),IF(IFERROR(INDEX(ProcRet,MATCH($E2159,ProcNome,0)),0)&gt;0,$A2159+INDEX(ProcRet,MATCH($E2159,ProcNome,0)),""),"")</f>
        <v>0</v>
      </c>
      <c r="R2159" s="26">
        <f>IF($Q2159="","",IF(COUNTIFS(AgPac,$D2159,AgData,"&gt;"&amp;$A2159,AgStatus,"&lt;&gt;Cancelado",AgStatus,"&lt;&gt;Remarcado")&gt;0,"Sim","Não"))</f>
        <v>0</v>
      </c>
      <c r="S2159" s="28">
        <f>IF($A2159="","",IF(AND($F2159="Agendado",$A2159-Hoje&gt;=0,$A2159-Hoje&lt;=DiasConf),"CONFIRMAR",IF(AND($A2159&lt;Hoje,OR($F2159="Agendado",$F2159="Confirmado")),"Atualizar status",IF(AND($F2159="Compareceu",$P2159&gt;0.005),"Cobrar",IF($F2159="Faltou","Falta: reagendar","")))))</f>
        <v>0</v>
      </c>
      <c r="T2159" s="29">
        <f>IF($A2159="","",DATE(YEAR($A2159),MONTH($A2159),1))</f>
        <v>0</v>
      </c>
      <c r="U2159" s="30">
        <f>IF($S2159="CONFIRMAR",MAX($U$4:$U2158)+1,"")</f>
        <v>0</v>
      </c>
      <c r="V2159" s="30">
        <f>IF(AND($R2159="Não",$Q2159&lt;&gt;"",$Q2159&lt;=Hoje+JanelaRet,$Q2159&gt;=Hoje-60),MAX($V$4:$V2158)+1,"")</f>
        <v>0</v>
      </c>
    </row>
    <row r="2160" spans="1:22">
      <c r="A2160" s="16"/>
      <c r="B2160" s="23"/>
      <c r="C2160" s="15"/>
      <c r="D2160" s="15"/>
      <c r="E2160" s="15"/>
      <c r="F2160" s="24"/>
      <c r="G2160" s="17"/>
      <c r="H2160" s="17"/>
      <c r="I2160" s="15"/>
      <c r="J2160" s="25">
        <f>IF($D2160="","",IFERROR(INDEX(PacNome,MATCH($D2160,PacCod,0)),"Paciente não cadastrado"))</f>
        <v>0</v>
      </c>
      <c r="K2160" s="26">
        <f>IF($D2160="","",IFERROR(INDEX(PacConv,MATCH($D2160,PacCod,0))&amp;"",""))</f>
        <v>0</v>
      </c>
      <c r="L2160" s="26">
        <f>IF($A2160="","",CHOOSE(WEEKDAY($A2160,2),"Seg","Ter","Qua","Qui","Sex","Sáb","Dom"))</f>
        <v>0</v>
      </c>
      <c r="M2160" s="27">
        <f>IF($E2160="","",IF($G2160&lt;&gt;"",$G2160,IFERROR(INDEX(ProcValor,MATCH($E2160,ProcNome,0)),0)))</f>
        <v>0</v>
      </c>
      <c r="N2160" s="27">
        <f>IF($M2160="","",IF($F2160="Compareceu",$M2160,0))</f>
        <v>0</v>
      </c>
      <c r="O2160" s="27">
        <f>IF($M2160="","",IF($F2160="Faltou",$M2160,0))</f>
        <v>0</v>
      </c>
      <c r="P2160" s="27">
        <f>IF($M2160="","",IF($F2160="Compareceu",MAX(0,$M2160-N($H2160)),0))</f>
        <v>0</v>
      </c>
      <c r="Q2160" s="19">
        <f>IF(AND($F2160="Compareceu",$E2160&lt;&gt;"",$A2160&lt;&gt;""),IF(IFERROR(INDEX(ProcRet,MATCH($E2160,ProcNome,0)),0)&gt;0,$A2160+INDEX(ProcRet,MATCH($E2160,ProcNome,0)),""),"")</f>
        <v>0</v>
      </c>
      <c r="R2160" s="26">
        <f>IF($Q2160="","",IF(COUNTIFS(AgPac,$D2160,AgData,"&gt;"&amp;$A2160,AgStatus,"&lt;&gt;Cancelado",AgStatus,"&lt;&gt;Remarcado")&gt;0,"Sim","Não"))</f>
        <v>0</v>
      </c>
      <c r="S2160" s="28">
        <f>IF($A2160="","",IF(AND($F2160="Agendado",$A2160-Hoje&gt;=0,$A2160-Hoje&lt;=DiasConf),"CONFIRMAR",IF(AND($A2160&lt;Hoje,OR($F2160="Agendado",$F2160="Confirmado")),"Atualizar status",IF(AND($F2160="Compareceu",$P2160&gt;0.005),"Cobrar",IF($F2160="Faltou","Falta: reagendar","")))))</f>
        <v>0</v>
      </c>
      <c r="T2160" s="29">
        <f>IF($A2160="","",DATE(YEAR($A2160),MONTH($A2160),1))</f>
        <v>0</v>
      </c>
      <c r="U2160" s="30">
        <f>IF($S2160="CONFIRMAR",MAX($U$4:$U2159)+1,"")</f>
        <v>0</v>
      </c>
      <c r="V2160" s="30">
        <f>IF(AND($R2160="Não",$Q2160&lt;&gt;"",$Q2160&lt;=Hoje+JanelaRet,$Q2160&gt;=Hoje-60),MAX($V$4:$V2159)+1,"")</f>
        <v>0</v>
      </c>
    </row>
    <row r="2161" spans="1:22">
      <c r="A2161" s="16"/>
      <c r="B2161" s="23"/>
      <c r="C2161" s="15"/>
      <c r="D2161" s="15"/>
      <c r="E2161" s="15"/>
      <c r="F2161" s="24"/>
      <c r="G2161" s="17"/>
      <c r="H2161" s="17"/>
      <c r="I2161" s="15"/>
      <c r="J2161" s="25">
        <f>IF($D2161="","",IFERROR(INDEX(PacNome,MATCH($D2161,PacCod,0)),"Paciente não cadastrado"))</f>
        <v>0</v>
      </c>
      <c r="K2161" s="26">
        <f>IF($D2161="","",IFERROR(INDEX(PacConv,MATCH($D2161,PacCod,0))&amp;"",""))</f>
        <v>0</v>
      </c>
      <c r="L2161" s="26">
        <f>IF($A2161="","",CHOOSE(WEEKDAY($A2161,2),"Seg","Ter","Qua","Qui","Sex","Sáb","Dom"))</f>
        <v>0</v>
      </c>
      <c r="M2161" s="27">
        <f>IF($E2161="","",IF($G2161&lt;&gt;"",$G2161,IFERROR(INDEX(ProcValor,MATCH($E2161,ProcNome,0)),0)))</f>
        <v>0</v>
      </c>
      <c r="N2161" s="27">
        <f>IF($M2161="","",IF($F2161="Compareceu",$M2161,0))</f>
        <v>0</v>
      </c>
      <c r="O2161" s="27">
        <f>IF($M2161="","",IF($F2161="Faltou",$M2161,0))</f>
        <v>0</v>
      </c>
      <c r="P2161" s="27">
        <f>IF($M2161="","",IF($F2161="Compareceu",MAX(0,$M2161-N($H2161)),0))</f>
        <v>0</v>
      </c>
      <c r="Q2161" s="19">
        <f>IF(AND($F2161="Compareceu",$E2161&lt;&gt;"",$A2161&lt;&gt;""),IF(IFERROR(INDEX(ProcRet,MATCH($E2161,ProcNome,0)),0)&gt;0,$A2161+INDEX(ProcRet,MATCH($E2161,ProcNome,0)),""),"")</f>
        <v>0</v>
      </c>
      <c r="R2161" s="26">
        <f>IF($Q2161="","",IF(COUNTIFS(AgPac,$D2161,AgData,"&gt;"&amp;$A2161,AgStatus,"&lt;&gt;Cancelado",AgStatus,"&lt;&gt;Remarcado")&gt;0,"Sim","Não"))</f>
        <v>0</v>
      </c>
      <c r="S2161" s="28">
        <f>IF($A2161="","",IF(AND($F2161="Agendado",$A2161-Hoje&gt;=0,$A2161-Hoje&lt;=DiasConf),"CONFIRMAR",IF(AND($A2161&lt;Hoje,OR($F2161="Agendado",$F2161="Confirmado")),"Atualizar status",IF(AND($F2161="Compareceu",$P2161&gt;0.005),"Cobrar",IF($F2161="Faltou","Falta: reagendar","")))))</f>
        <v>0</v>
      </c>
      <c r="T2161" s="29">
        <f>IF($A2161="","",DATE(YEAR($A2161),MONTH($A2161),1))</f>
        <v>0</v>
      </c>
      <c r="U2161" s="30">
        <f>IF($S2161="CONFIRMAR",MAX($U$4:$U2160)+1,"")</f>
        <v>0</v>
      </c>
      <c r="V2161" s="30">
        <f>IF(AND($R2161="Não",$Q2161&lt;&gt;"",$Q2161&lt;=Hoje+JanelaRet,$Q2161&gt;=Hoje-60),MAX($V$4:$V2160)+1,"")</f>
        <v>0</v>
      </c>
    </row>
    <row r="2162" spans="1:22">
      <c r="A2162" s="16"/>
      <c r="B2162" s="23"/>
      <c r="C2162" s="15"/>
      <c r="D2162" s="15"/>
      <c r="E2162" s="15"/>
      <c r="F2162" s="24"/>
      <c r="G2162" s="17"/>
      <c r="H2162" s="17"/>
      <c r="I2162" s="15"/>
      <c r="J2162" s="25">
        <f>IF($D2162="","",IFERROR(INDEX(PacNome,MATCH($D2162,PacCod,0)),"Paciente não cadastrado"))</f>
        <v>0</v>
      </c>
      <c r="K2162" s="26">
        <f>IF($D2162="","",IFERROR(INDEX(PacConv,MATCH($D2162,PacCod,0))&amp;"",""))</f>
        <v>0</v>
      </c>
      <c r="L2162" s="26">
        <f>IF($A2162="","",CHOOSE(WEEKDAY($A2162,2),"Seg","Ter","Qua","Qui","Sex","Sáb","Dom"))</f>
        <v>0</v>
      </c>
      <c r="M2162" s="27">
        <f>IF($E2162="","",IF($G2162&lt;&gt;"",$G2162,IFERROR(INDEX(ProcValor,MATCH($E2162,ProcNome,0)),0)))</f>
        <v>0</v>
      </c>
      <c r="N2162" s="27">
        <f>IF($M2162="","",IF($F2162="Compareceu",$M2162,0))</f>
        <v>0</v>
      </c>
      <c r="O2162" s="27">
        <f>IF($M2162="","",IF($F2162="Faltou",$M2162,0))</f>
        <v>0</v>
      </c>
      <c r="P2162" s="27">
        <f>IF($M2162="","",IF($F2162="Compareceu",MAX(0,$M2162-N($H2162)),0))</f>
        <v>0</v>
      </c>
      <c r="Q2162" s="19">
        <f>IF(AND($F2162="Compareceu",$E2162&lt;&gt;"",$A2162&lt;&gt;""),IF(IFERROR(INDEX(ProcRet,MATCH($E2162,ProcNome,0)),0)&gt;0,$A2162+INDEX(ProcRet,MATCH($E2162,ProcNome,0)),""),"")</f>
        <v>0</v>
      </c>
      <c r="R2162" s="26">
        <f>IF($Q2162="","",IF(COUNTIFS(AgPac,$D2162,AgData,"&gt;"&amp;$A2162,AgStatus,"&lt;&gt;Cancelado",AgStatus,"&lt;&gt;Remarcado")&gt;0,"Sim","Não"))</f>
        <v>0</v>
      </c>
      <c r="S2162" s="28">
        <f>IF($A2162="","",IF(AND($F2162="Agendado",$A2162-Hoje&gt;=0,$A2162-Hoje&lt;=DiasConf),"CONFIRMAR",IF(AND($A2162&lt;Hoje,OR($F2162="Agendado",$F2162="Confirmado")),"Atualizar status",IF(AND($F2162="Compareceu",$P2162&gt;0.005),"Cobrar",IF($F2162="Faltou","Falta: reagendar","")))))</f>
        <v>0</v>
      </c>
      <c r="T2162" s="29">
        <f>IF($A2162="","",DATE(YEAR($A2162),MONTH($A2162),1))</f>
        <v>0</v>
      </c>
      <c r="U2162" s="30">
        <f>IF($S2162="CONFIRMAR",MAX($U$4:$U2161)+1,"")</f>
        <v>0</v>
      </c>
      <c r="V2162" s="30">
        <f>IF(AND($R2162="Não",$Q2162&lt;&gt;"",$Q2162&lt;=Hoje+JanelaRet,$Q2162&gt;=Hoje-60),MAX($V$4:$V2161)+1,"")</f>
        <v>0</v>
      </c>
    </row>
    <row r="2163" spans="1:22">
      <c r="A2163" s="16"/>
      <c r="B2163" s="23"/>
      <c r="C2163" s="15"/>
      <c r="D2163" s="15"/>
      <c r="E2163" s="15"/>
      <c r="F2163" s="24"/>
      <c r="G2163" s="17"/>
      <c r="H2163" s="17"/>
      <c r="I2163" s="15"/>
      <c r="J2163" s="25">
        <f>IF($D2163="","",IFERROR(INDEX(PacNome,MATCH($D2163,PacCod,0)),"Paciente não cadastrado"))</f>
        <v>0</v>
      </c>
      <c r="K2163" s="26">
        <f>IF($D2163="","",IFERROR(INDEX(PacConv,MATCH($D2163,PacCod,0))&amp;"",""))</f>
        <v>0</v>
      </c>
      <c r="L2163" s="26">
        <f>IF($A2163="","",CHOOSE(WEEKDAY($A2163,2),"Seg","Ter","Qua","Qui","Sex","Sáb","Dom"))</f>
        <v>0</v>
      </c>
      <c r="M2163" s="27">
        <f>IF($E2163="","",IF($G2163&lt;&gt;"",$G2163,IFERROR(INDEX(ProcValor,MATCH($E2163,ProcNome,0)),0)))</f>
        <v>0</v>
      </c>
      <c r="N2163" s="27">
        <f>IF($M2163="","",IF($F2163="Compareceu",$M2163,0))</f>
        <v>0</v>
      </c>
      <c r="O2163" s="27">
        <f>IF($M2163="","",IF($F2163="Faltou",$M2163,0))</f>
        <v>0</v>
      </c>
      <c r="P2163" s="27">
        <f>IF($M2163="","",IF($F2163="Compareceu",MAX(0,$M2163-N($H2163)),0))</f>
        <v>0</v>
      </c>
      <c r="Q2163" s="19">
        <f>IF(AND($F2163="Compareceu",$E2163&lt;&gt;"",$A2163&lt;&gt;""),IF(IFERROR(INDEX(ProcRet,MATCH($E2163,ProcNome,0)),0)&gt;0,$A2163+INDEX(ProcRet,MATCH($E2163,ProcNome,0)),""),"")</f>
        <v>0</v>
      </c>
      <c r="R2163" s="26">
        <f>IF($Q2163="","",IF(COUNTIFS(AgPac,$D2163,AgData,"&gt;"&amp;$A2163,AgStatus,"&lt;&gt;Cancelado",AgStatus,"&lt;&gt;Remarcado")&gt;0,"Sim","Não"))</f>
        <v>0</v>
      </c>
      <c r="S2163" s="28">
        <f>IF($A2163="","",IF(AND($F2163="Agendado",$A2163-Hoje&gt;=0,$A2163-Hoje&lt;=DiasConf),"CONFIRMAR",IF(AND($A2163&lt;Hoje,OR($F2163="Agendado",$F2163="Confirmado")),"Atualizar status",IF(AND($F2163="Compareceu",$P2163&gt;0.005),"Cobrar",IF($F2163="Faltou","Falta: reagendar","")))))</f>
        <v>0</v>
      </c>
      <c r="T2163" s="29">
        <f>IF($A2163="","",DATE(YEAR($A2163),MONTH($A2163),1))</f>
        <v>0</v>
      </c>
      <c r="U2163" s="30">
        <f>IF($S2163="CONFIRMAR",MAX($U$4:$U2162)+1,"")</f>
        <v>0</v>
      </c>
      <c r="V2163" s="30">
        <f>IF(AND($R2163="Não",$Q2163&lt;&gt;"",$Q2163&lt;=Hoje+JanelaRet,$Q2163&gt;=Hoje-60),MAX($V$4:$V2162)+1,"")</f>
        <v>0</v>
      </c>
    </row>
    <row r="2164" spans="1:22">
      <c r="A2164" s="16"/>
      <c r="B2164" s="23"/>
      <c r="C2164" s="15"/>
      <c r="D2164" s="15"/>
      <c r="E2164" s="15"/>
      <c r="F2164" s="24"/>
      <c r="G2164" s="17"/>
      <c r="H2164" s="17"/>
      <c r="I2164" s="15"/>
      <c r="J2164" s="25">
        <f>IF($D2164="","",IFERROR(INDEX(PacNome,MATCH($D2164,PacCod,0)),"Paciente não cadastrado"))</f>
        <v>0</v>
      </c>
      <c r="K2164" s="26">
        <f>IF($D2164="","",IFERROR(INDEX(PacConv,MATCH($D2164,PacCod,0))&amp;"",""))</f>
        <v>0</v>
      </c>
      <c r="L2164" s="26">
        <f>IF($A2164="","",CHOOSE(WEEKDAY($A2164,2),"Seg","Ter","Qua","Qui","Sex","Sáb","Dom"))</f>
        <v>0</v>
      </c>
      <c r="M2164" s="27">
        <f>IF($E2164="","",IF($G2164&lt;&gt;"",$G2164,IFERROR(INDEX(ProcValor,MATCH($E2164,ProcNome,0)),0)))</f>
        <v>0</v>
      </c>
      <c r="N2164" s="27">
        <f>IF($M2164="","",IF($F2164="Compareceu",$M2164,0))</f>
        <v>0</v>
      </c>
      <c r="O2164" s="27">
        <f>IF($M2164="","",IF($F2164="Faltou",$M2164,0))</f>
        <v>0</v>
      </c>
      <c r="P2164" s="27">
        <f>IF($M2164="","",IF($F2164="Compareceu",MAX(0,$M2164-N($H2164)),0))</f>
        <v>0</v>
      </c>
      <c r="Q2164" s="19">
        <f>IF(AND($F2164="Compareceu",$E2164&lt;&gt;"",$A2164&lt;&gt;""),IF(IFERROR(INDEX(ProcRet,MATCH($E2164,ProcNome,0)),0)&gt;0,$A2164+INDEX(ProcRet,MATCH($E2164,ProcNome,0)),""),"")</f>
        <v>0</v>
      </c>
      <c r="R2164" s="26">
        <f>IF($Q2164="","",IF(COUNTIFS(AgPac,$D2164,AgData,"&gt;"&amp;$A2164,AgStatus,"&lt;&gt;Cancelado",AgStatus,"&lt;&gt;Remarcado")&gt;0,"Sim","Não"))</f>
        <v>0</v>
      </c>
      <c r="S2164" s="28">
        <f>IF($A2164="","",IF(AND($F2164="Agendado",$A2164-Hoje&gt;=0,$A2164-Hoje&lt;=DiasConf),"CONFIRMAR",IF(AND($A2164&lt;Hoje,OR($F2164="Agendado",$F2164="Confirmado")),"Atualizar status",IF(AND($F2164="Compareceu",$P2164&gt;0.005),"Cobrar",IF($F2164="Faltou","Falta: reagendar","")))))</f>
        <v>0</v>
      </c>
      <c r="T2164" s="29">
        <f>IF($A2164="","",DATE(YEAR($A2164),MONTH($A2164),1))</f>
        <v>0</v>
      </c>
      <c r="U2164" s="30">
        <f>IF($S2164="CONFIRMAR",MAX($U$4:$U2163)+1,"")</f>
        <v>0</v>
      </c>
      <c r="V2164" s="30">
        <f>IF(AND($R2164="Não",$Q2164&lt;&gt;"",$Q2164&lt;=Hoje+JanelaRet,$Q2164&gt;=Hoje-60),MAX($V$4:$V2163)+1,"")</f>
        <v>0</v>
      </c>
    </row>
    <row r="2165" spans="1:22">
      <c r="A2165" s="16"/>
      <c r="B2165" s="23"/>
      <c r="C2165" s="15"/>
      <c r="D2165" s="15"/>
      <c r="E2165" s="15"/>
      <c r="F2165" s="24"/>
      <c r="G2165" s="17"/>
      <c r="H2165" s="17"/>
      <c r="I2165" s="15"/>
      <c r="J2165" s="25">
        <f>IF($D2165="","",IFERROR(INDEX(PacNome,MATCH($D2165,PacCod,0)),"Paciente não cadastrado"))</f>
        <v>0</v>
      </c>
      <c r="K2165" s="26">
        <f>IF($D2165="","",IFERROR(INDEX(PacConv,MATCH($D2165,PacCod,0))&amp;"",""))</f>
        <v>0</v>
      </c>
      <c r="L2165" s="26">
        <f>IF($A2165="","",CHOOSE(WEEKDAY($A2165,2),"Seg","Ter","Qua","Qui","Sex","Sáb","Dom"))</f>
        <v>0</v>
      </c>
      <c r="M2165" s="27">
        <f>IF($E2165="","",IF($G2165&lt;&gt;"",$G2165,IFERROR(INDEX(ProcValor,MATCH($E2165,ProcNome,0)),0)))</f>
        <v>0</v>
      </c>
      <c r="N2165" s="27">
        <f>IF($M2165="","",IF($F2165="Compareceu",$M2165,0))</f>
        <v>0</v>
      </c>
      <c r="O2165" s="27">
        <f>IF($M2165="","",IF($F2165="Faltou",$M2165,0))</f>
        <v>0</v>
      </c>
      <c r="P2165" s="27">
        <f>IF($M2165="","",IF($F2165="Compareceu",MAX(0,$M2165-N($H2165)),0))</f>
        <v>0</v>
      </c>
      <c r="Q2165" s="19">
        <f>IF(AND($F2165="Compareceu",$E2165&lt;&gt;"",$A2165&lt;&gt;""),IF(IFERROR(INDEX(ProcRet,MATCH($E2165,ProcNome,0)),0)&gt;0,$A2165+INDEX(ProcRet,MATCH($E2165,ProcNome,0)),""),"")</f>
        <v>0</v>
      </c>
      <c r="R2165" s="26">
        <f>IF($Q2165="","",IF(COUNTIFS(AgPac,$D2165,AgData,"&gt;"&amp;$A2165,AgStatus,"&lt;&gt;Cancelado",AgStatus,"&lt;&gt;Remarcado")&gt;0,"Sim","Não"))</f>
        <v>0</v>
      </c>
      <c r="S2165" s="28">
        <f>IF($A2165="","",IF(AND($F2165="Agendado",$A2165-Hoje&gt;=0,$A2165-Hoje&lt;=DiasConf),"CONFIRMAR",IF(AND($A2165&lt;Hoje,OR($F2165="Agendado",$F2165="Confirmado")),"Atualizar status",IF(AND($F2165="Compareceu",$P2165&gt;0.005),"Cobrar",IF($F2165="Faltou","Falta: reagendar","")))))</f>
        <v>0</v>
      </c>
      <c r="T2165" s="29">
        <f>IF($A2165="","",DATE(YEAR($A2165),MONTH($A2165),1))</f>
        <v>0</v>
      </c>
      <c r="U2165" s="30">
        <f>IF($S2165="CONFIRMAR",MAX($U$4:$U2164)+1,"")</f>
        <v>0</v>
      </c>
      <c r="V2165" s="30">
        <f>IF(AND($R2165="Não",$Q2165&lt;&gt;"",$Q2165&lt;=Hoje+JanelaRet,$Q2165&gt;=Hoje-60),MAX($V$4:$V2164)+1,"")</f>
        <v>0</v>
      </c>
    </row>
    <row r="2166" spans="1:22">
      <c r="A2166" s="16"/>
      <c r="B2166" s="23"/>
      <c r="C2166" s="15"/>
      <c r="D2166" s="15"/>
      <c r="E2166" s="15"/>
      <c r="F2166" s="24"/>
      <c r="G2166" s="17"/>
      <c r="H2166" s="17"/>
      <c r="I2166" s="15"/>
      <c r="J2166" s="25">
        <f>IF($D2166="","",IFERROR(INDEX(PacNome,MATCH($D2166,PacCod,0)),"Paciente não cadastrado"))</f>
        <v>0</v>
      </c>
      <c r="K2166" s="26">
        <f>IF($D2166="","",IFERROR(INDEX(PacConv,MATCH($D2166,PacCod,0))&amp;"",""))</f>
        <v>0</v>
      </c>
      <c r="L2166" s="26">
        <f>IF($A2166="","",CHOOSE(WEEKDAY($A2166,2),"Seg","Ter","Qua","Qui","Sex","Sáb","Dom"))</f>
        <v>0</v>
      </c>
      <c r="M2166" s="27">
        <f>IF($E2166="","",IF($G2166&lt;&gt;"",$G2166,IFERROR(INDEX(ProcValor,MATCH($E2166,ProcNome,0)),0)))</f>
        <v>0</v>
      </c>
      <c r="N2166" s="27">
        <f>IF($M2166="","",IF($F2166="Compareceu",$M2166,0))</f>
        <v>0</v>
      </c>
      <c r="O2166" s="27">
        <f>IF($M2166="","",IF($F2166="Faltou",$M2166,0))</f>
        <v>0</v>
      </c>
      <c r="P2166" s="27">
        <f>IF($M2166="","",IF($F2166="Compareceu",MAX(0,$M2166-N($H2166)),0))</f>
        <v>0</v>
      </c>
      <c r="Q2166" s="19">
        <f>IF(AND($F2166="Compareceu",$E2166&lt;&gt;"",$A2166&lt;&gt;""),IF(IFERROR(INDEX(ProcRet,MATCH($E2166,ProcNome,0)),0)&gt;0,$A2166+INDEX(ProcRet,MATCH($E2166,ProcNome,0)),""),"")</f>
        <v>0</v>
      </c>
      <c r="R2166" s="26">
        <f>IF($Q2166="","",IF(COUNTIFS(AgPac,$D2166,AgData,"&gt;"&amp;$A2166,AgStatus,"&lt;&gt;Cancelado",AgStatus,"&lt;&gt;Remarcado")&gt;0,"Sim","Não"))</f>
        <v>0</v>
      </c>
      <c r="S2166" s="28">
        <f>IF($A2166="","",IF(AND($F2166="Agendado",$A2166-Hoje&gt;=0,$A2166-Hoje&lt;=DiasConf),"CONFIRMAR",IF(AND($A2166&lt;Hoje,OR($F2166="Agendado",$F2166="Confirmado")),"Atualizar status",IF(AND($F2166="Compareceu",$P2166&gt;0.005),"Cobrar",IF($F2166="Faltou","Falta: reagendar","")))))</f>
        <v>0</v>
      </c>
      <c r="T2166" s="29">
        <f>IF($A2166="","",DATE(YEAR($A2166),MONTH($A2166),1))</f>
        <v>0</v>
      </c>
      <c r="U2166" s="30">
        <f>IF($S2166="CONFIRMAR",MAX($U$4:$U2165)+1,"")</f>
        <v>0</v>
      </c>
      <c r="V2166" s="30">
        <f>IF(AND($R2166="Não",$Q2166&lt;&gt;"",$Q2166&lt;=Hoje+JanelaRet,$Q2166&gt;=Hoje-60),MAX($V$4:$V2165)+1,"")</f>
        <v>0</v>
      </c>
    </row>
    <row r="2167" spans="1:22">
      <c r="A2167" s="16"/>
      <c r="B2167" s="23"/>
      <c r="C2167" s="15"/>
      <c r="D2167" s="15"/>
      <c r="E2167" s="15"/>
      <c r="F2167" s="24"/>
      <c r="G2167" s="17"/>
      <c r="H2167" s="17"/>
      <c r="I2167" s="15"/>
      <c r="J2167" s="25">
        <f>IF($D2167="","",IFERROR(INDEX(PacNome,MATCH($D2167,PacCod,0)),"Paciente não cadastrado"))</f>
        <v>0</v>
      </c>
      <c r="K2167" s="26">
        <f>IF($D2167="","",IFERROR(INDEX(PacConv,MATCH($D2167,PacCod,0))&amp;"",""))</f>
        <v>0</v>
      </c>
      <c r="L2167" s="26">
        <f>IF($A2167="","",CHOOSE(WEEKDAY($A2167,2),"Seg","Ter","Qua","Qui","Sex","Sáb","Dom"))</f>
        <v>0</v>
      </c>
      <c r="M2167" s="27">
        <f>IF($E2167="","",IF($G2167&lt;&gt;"",$G2167,IFERROR(INDEX(ProcValor,MATCH($E2167,ProcNome,0)),0)))</f>
        <v>0</v>
      </c>
      <c r="N2167" s="27">
        <f>IF($M2167="","",IF($F2167="Compareceu",$M2167,0))</f>
        <v>0</v>
      </c>
      <c r="O2167" s="27">
        <f>IF($M2167="","",IF($F2167="Faltou",$M2167,0))</f>
        <v>0</v>
      </c>
      <c r="P2167" s="27">
        <f>IF($M2167="","",IF($F2167="Compareceu",MAX(0,$M2167-N($H2167)),0))</f>
        <v>0</v>
      </c>
      <c r="Q2167" s="19">
        <f>IF(AND($F2167="Compareceu",$E2167&lt;&gt;"",$A2167&lt;&gt;""),IF(IFERROR(INDEX(ProcRet,MATCH($E2167,ProcNome,0)),0)&gt;0,$A2167+INDEX(ProcRet,MATCH($E2167,ProcNome,0)),""),"")</f>
        <v>0</v>
      </c>
      <c r="R2167" s="26">
        <f>IF($Q2167="","",IF(COUNTIFS(AgPac,$D2167,AgData,"&gt;"&amp;$A2167,AgStatus,"&lt;&gt;Cancelado",AgStatus,"&lt;&gt;Remarcado")&gt;0,"Sim","Não"))</f>
        <v>0</v>
      </c>
      <c r="S2167" s="28">
        <f>IF($A2167="","",IF(AND($F2167="Agendado",$A2167-Hoje&gt;=0,$A2167-Hoje&lt;=DiasConf),"CONFIRMAR",IF(AND($A2167&lt;Hoje,OR($F2167="Agendado",$F2167="Confirmado")),"Atualizar status",IF(AND($F2167="Compareceu",$P2167&gt;0.005),"Cobrar",IF($F2167="Faltou","Falta: reagendar","")))))</f>
        <v>0</v>
      </c>
      <c r="T2167" s="29">
        <f>IF($A2167="","",DATE(YEAR($A2167),MONTH($A2167),1))</f>
        <v>0</v>
      </c>
      <c r="U2167" s="30">
        <f>IF($S2167="CONFIRMAR",MAX($U$4:$U2166)+1,"")</f>
        <v>0</v>
      </c>
      <c r="V2167" s="30">
        <f>IF(AND($R2167="Não",$Q2167&lt;&gt;"",$Q2167&lt;=Hoje+JanelaRet,$Q2167&gt;=Hoje-60),MAX($V$4:$V2166)+1,"")</f>
        <v>0</v>
      </c>
    </row>
    <row r="2168" spans="1:22">
      <c r="A2168" s="16"/>
      <c r="B2168" s="23"/>
      <c r="C2168" s="15"/>
      <c r="D2168" s="15"/>
      <c r="E2168" s="15"/>
      <c r="F2168" s="24"/>
      <c r="G2168" s="17"/>
      <c r="H2168" s="17"/>
      <c r="I2168" s="15"/>
      <c r="J2168" s="25">
        <f>IF($D2168="","",IFERROR(INDEX(PacNome,MATCH($D2168,PacCod,0)),"Paciente não cadastrado"))</f>
        <v>0</v>
      </c>
      <c r="K2168" s="26">
        <f>IF($D2168="","",IFERROR(INDEX(PacConv,MATCH($D2168,PacCod,0))&amp;"",""))</f>
        <v>0</v>
      </c>
      <c r="L2168" s="26">
        <f>IF($A2168="","",CHOOSE(WEEKDAY($A2168,2),"Seg","Ter","Qua","Qui","Sex","Sáb","Dom"))</f>
        <v>0</v>
      </c>
      <c r="M2168" s="27">
        <f>IF($E2168="","",IF($G2168&lt;&gt;"",$G2168,IFERROR(INDEX(ProcValor,MATCH($E2168,ProcNome,0)),0)))</f>
        <v>0</v>
      </c>
      <c r="N2168" s="27">
        <f>IF($M2168="","",IF($F2168="Compareceu",$M2168,0))</f>
        <v>0</v>
      </c>
      <c r="O2168" s="27">
        <f>IF($M2168="","",IF($F2168="Faltou",$M2168,0))</f>
        <v>0</v>
      </c>
      <c r="P2168" s="27">
        <f>IF($M2168="","",IF($F2168="Compareceu",MAX(0,$M2168-N($H2168)),0))</f>
        <v>0</v>
      </c>
      <c r="Q2168" s="19">
        <f>IF(AND($F2168="Compareceu",$E2168&lt;&gt;"",$A2168&lt;&gt;""),IF(IFERROR(INDEX(ProcRet,MATCH($E2168,ProcNome,0)),0)&gt;0,$A2168+INDEX(ProcRet,MATCH($E2168,ProcNome,0)),""),"")</f>
        <v>0</v>
      </c>
      <c r="R2168" s="26">
        <f>IF($Q2168="","",IF(COUNTIFS(AgPac,$D2168,AgData,"&gt;"&amp;$A2168,AgStatus,"&lt;&gt;Cancelado",AgStatus,"&lt;&gt;Remarcado")&gt;0,"Sim","Não"))</f>
        <v>0</v>
      </c>
      <c r="S2168" s="28">
        <f>IF($A2168="","",IF(AND($F2168="Agendado",$A2168-Hoje&gt;=0,$A2168-Hoje&lt;=DiasConf),"CONFIRMAR",IF(AND($A2168&lt;Hoje,OR($F2168="Agendado",$F2168="Confirmado")),"Atualizar status",IF(AND($F2168="Compareceu",$P2168&gt;0.005),"Cobrar",IF($F2168="Faltou","Falta: reagendar","")))))</f>
        <v>0</v>
      </c>
      <c r="T2168" s="29">
        <f>IF($A2168="","",DATE(YEAR($A2168),MONTH($A2168),1))</f>
        <v>0</v>
      </c>
      <c r="U2168" s="30">
        <f>IF($S2168="CONFIRMAR",MAX($U$4:$U2167)+1,"")</f>
        <v>0</v>
      </c>
      <c r="V2168" s="30">
        <f>IF(AND($R2168="Não",$Q2168&lt;&gt;"",$Q2168&lt;=Hoje+JanelaRet,$Q2168&gt;=Hoje-60),MAX($V$4:$V2167)+1,"")</f>
        <v>0</v>
      </c>
    </row>
    <row r="2169" spans="1:22">
      <c r="A2169" s="16"/>
      <c r="B2169" s="23"/>
      <c r="C2169" s="15"/>
      <c r="D2169" s="15"/>
      <c r="E2169" s="15"/>
      <c r="F2169" s="24"/>
      <c r="G2169" s="17"/>
      <c r="H2169" s="17"/>
      <c r="I2169" s="15"/>
      <c r="J2169" s="25">
        <f>IF($D2169="","",IFERROR(INDEX(PacNome,MATCH($D2169,PacCod,0)),"Paciente não cadastrado"))</f>
        <v>0</v>
      </c>
      <c r="K2169" s="26">
        <f>IF($D2169="","",IFERROR(INDEX(PacConv,MATCH($D2169,PacCod,0))&amp;"",""))</f>
        <v>0</v>
      </c>
      <c r="L2169" s="26">
        <f>IF($A2169="","",CHOOSE(WEEKDAY($A2169,2),"Seg","Ter","Qua","Qui","Sex","Sáb","Dom"))</f>
        <v>0</v>
      </c>
      <c r="M2169" s="27">
        <f>IF($E2169="","",IF($G2169&lt;&gt;"",$G2169,IFERROR(INDEX(ProcValor,MATCH($E2169,ProcNome,0)),0)))</f>
        <v>0</v>
      </c>
      <c r="N2169" s="27">
        <f>IF($M2169="","",IF($F2169="Compareceu",$M2169,0))</f>
        <v>0</v>
      </c>
      <c r="O2169" s="27">
        <f>IF($M2169="","",IF($F2169="Faltou",$M2169,0))</f>
        <v>0</v>
      </c>
      <c r="P2169" s="27">
        <f>IF($M2169="","",IF($F2169="Compareceu",MAX(0,$M2169-N($H2169)),0))</f>
        <v>0</v>
      </c>
      <c r="Q2169" s="19">
        <f>IF(AND($F2169="Compareceu",$E2169&lt;&gt;"",$A2169&lt;&gt;""),IF(IFERROR(INDEX(ProcRet,MATCH($E2169,ProcNome,0)),0)&gt;0,$A2169+INDEX(ProcRet,MATCH($E2169,ProcNome,0)),""),"")</f>
        <v>0</v>
      </c>
      <c r="R2169" s="26">
        <f>IF($Q2169="","",IF(COUNTIFS(AgPac,$D2169,AgData,"&gt;"&amp;$A2169,AgStatus,"&lt;&gt;Cancelado",AgStatus,"&lt;&gt;Remarcado")&gt;0,"Sim","Não"))</f>
        <v>0</v>
      </c>
      <c r="S2169" s="28">
        <f>IF($A2169="","",IF(AND($F2169="Agendado",$A2169-Hoje&gt;=0,$A2169-Hoje&lt;=DiasConf),"CONFIRMAR",IF(AND($A2169&lt;Hoje,OR($F2169="Agendado",$F2169="Confirmado")),"Atualizar status",IF(AND($F2169="Compareceu",$P2169&gt;0.005),"Cobrar",IF($F2169="Faltou","Falta: reagendar","")))))</f>
        <v>0</v>
      </c>
      <c r="T2169" s="29">
        <f>IF($A2169="","",DATE(YEAR($A2169),MONTH($A2169),1))</f>
        <v>0</v>
      </c>
      <c r="U2169" s="30">
        <f>IF($S2169="CONFIRMAR",MAX($U$4:$U2168)+1,"")</f>
        <v>0</v>
      </c>
      <c r="V2169" s="30">
        <f>IF(AND($R2169="Não",$Q2169&lt;&gt;"",$Q2169&lt;=Hoje+JanelaRet,$Q2169&gt;=Hoje-60),MAX($V$4:$V2168)+1,"")</f>
        <v>0</v>
      </c>
    </row>
    <row r="2170" spans="1:22">
      <c r="A2170" s="16"/>
      <c r="B2170" s="23"/>
      <c r="C2170" s="15"/>
      <c r="D2170" s="15"/>
      <c r="E2170" s="15"/>
      <c r="F2170" s="24"/>
      <c r="G2170" s="17"/>
      <c r="H2170" s="17"/>
      <c r="I2170" s="15"/>
      <c r="J2170" s="25">
        <f>IF($D2170="","",IFERROR(INDEX(PacNome,MATCH($D2170,PacCod,0)),"Paciente não cadastrado"))</f>
        <v>0</v>
      </c>
      <c r="K2170" s="26">
        <f>IF($D2170="","",IFERROR(INDEX(PacConv,MATCH($D2170,PacCod,0))&amp;"",""))</f>
        <v>0</v>
      </c>
      <c r="L2170" s="26">
        <f>IF($A2170="","",CHOOSE(WEEKDAY($A2170,2),"Seg","Ter","Qua","Qui","Sex","Sáb","Dom"))</f>
        <v>0</v>
      </c>
      <c r="M2170" s="27">
        <f>IF($E2170="","",IF($G2170&lt;&gt;"",$G2170,IFERROR(INDEX(ProcValor,MATCH($E2170,ProcNome,0)),0)))</f>
        <v>0</v>
      </c>
      <c r="N2170" s="27">
        <f>IF($M2170="","",IF($F2170="Compareceu",$M2170,0))</f>
        <v>0</v>
      </c>
      <c r="O2170" s="27">
        <f>IF($M2170="","",IF($F2170="Faltou",$M2170,0))</f>
        <v>0</v>
      </c>
      <c r="P2170" s="27">
        <f>IF($M2170="","",IF($F2170="Compareceu",MAX(0,$M2170-N($H2170)),0))</f>
        <v>0</v>
      </c>
      <c r="Q2170" s="19">
        <f>IF(AND($F2170="Compareceu",$E2170&lt;&gt;"",$A2170&lt;&gt;""),IF(IFERROR(INDEX(ProcRet,MATCH($E2170,ProcNome,0)),0)&gt;0,$A2170+INDEX(ProcRet,MATCH($E2170,ProcNome,0)),""),"")</f>
        <v>0</v>
      </c>
      <c r="R2170" s="26">
        <f>IF($Q2170="","",IF(COUNTIFS(AgPac,$D2170,AgData,"&gt;"&amp;$A2170,AgStatus,"&lt;&gt;Cancelado",AgStatus,"&lt;&gt;Remarcado")&gt;0,"Sim","Não"))</f>
        <v>0</v>
      </c>
      <c r="S2170" s="28">
        <f>IF($A2170="","",IF(AND($F2170="Agendado",$A2170-Hoje&gt;=0,$A2170-Hoje&lt;=DiasConf),"CONFIRMAR",IF(AND($A2170&lt;Hoje,OR($F2170="Agendado",$F2170="Confirmado")),"Atualizar status",IF(AND($F2170="Compareceu",$P2170&gt;0.005),"Cobrar",IF($F2170="Faltou","Falta: reagendar","")))))</f>
        <v>0</v>
      </c>
      <c r="T2170" s="29">
        <f>IF($A2170="","",DATE(YEAR($A2170),MONTH($A2170),1))</f>
        <v>0</v>
      </c>
      <c r="U2170" s="30">
        <f>IF($S2170="CONFIRMAR",MAX($U$4:$U2169)+1,"")</f>
        <v>0</v>
      </c>
      <c r="V2170" s="30">
        <f>IF(AND($R2170="Não",$Q2170&lt;&gt;"",$Q2170&lt;=Hoje+JanelaRet,$Q2170&gt;=Hoje-60),MAX($V$4:$V2169)+1,"")</f>
        <v>0</v>
      </c>
    </row>
    <row r="2171" spans="1:22">
      <c r="A2171" s="16"/>
      <c r="B2171" s="23"/>
      <c r="C2171" s="15"/>
      <c r="D2171" s="15"/>
      <c r="E2171" s="15"/>
      <c r="F2171" s="24"/>
      <c r="G2171" s="17"/>
      <c r="H2171" s="17"/>
      <c r="I2171" s="15"/>
      <c r="J2171" s="25">
        <f>IF($D2171="","",IFERROR(INDEX(PacNome,MATCH($D2171,PacCod,0)),"Paciente não cadastrado"))</f>
        <v>0</v>
      </c>
      <c r="K2171" s="26">
        <f>IF($D2171="","",IFERROR(INDEX(PacConv,MATCH($D2171,PacCod,0))&amp;"",""))</f>
        <v>0</v>
      </c>
      <c r="L2171" s="26">
        <f>IF($A2171="","",CHOOSE(WEEKDAY($A2171,2),"Seg","Ter","Qua","Qui","Sex","Sáb","Dom"))</f>
        <v>0</v>
      </c>
      <c r="M2171" s="27">
        <f>IF($E2171="","",IF($G2171&lt;&gt;"",$G2171,IFERROR(INDEX(ProcValor,MATCH($E2171,ProcNome,0)),0)))</f>
        <v>0</v>
      </c>
      <c r="N2171" s="27">
        <f>IF($M2171="","",IF($F2171="Compareceu",$M2171,0))</f>
        <v>0</v>
      </c>
      <c r="O2171" s="27">
        <f>IF($M2171="","",IF($F2171="Faltou",$M2171,0))</f>
        <v>0</v>
      </c>
      <c r="P2171" s="27">
        <f>IF($M2171="","",IF($F2171="Compareceu",MAX(0,$M2171-N($H2171)),0))</f>
        <v>0</v>
      </c>
      <c r="Q2171" s="19">
        <f>IF(AND($F2171="Compareceu",$E2171&lt;&gt;"",$A2171&lt;&gt;""),IF(IFERROR(INDEX(ProcRet,MATCH($E2171,ProcNome,0)),0)&gt;0,$A2171+INDEX(ProcRet,MATCH($E2171,ProcNome,0)),""),"")</f>
        <v>0</v>
      </c>
      <c r="R2171" s="26">
        <f>IF($Q2171="","",IF(COUNTIFS(AgPac,$D2171,AgData,"&gt;"&amp;$A2171,AgStatus,"&lt;&gt;Cancelado",AgStatus,"&lt;&gt;Remarcado")&gt;0,"Sim","Não"))</f>
        <v>0</v>
      </c>
      <c r="S2171" s="28">
        <f>IF($A2171="","",IF(AND($F2171="Agendado",$A2171-Hoje&gt;=0,$A2171-Hoje&lt;=DiasConf),"CONFIRMAR",IF(AND($A2171&lt;Hoje,OR($F2171="Agendado",$F2171="Confirmado")),"Atualizar status",IF(AND($F2171="Compareceu",$P2171&gt;0.005),"Cobrar",IF($F2171="Faltou","Falta: reagendar","")))))</f>
        <v>0</v>
      </c>
      <c r="T2171" s="29">
        <f>IF($A2171="","",DATE(YEAR($A2171),MONTH($A2171),1))</f>
        <v>0</v>
      </c>
      <c r="U2171" s="30">
        <f>IF($S2171="CONFIRMAR",MAX($U$4:$U2170)+1,"")</f>
        <v>0</v>
      </c>
      <c r="V2171" s="30">
        <f>IF(AND($R2171="Não",$Q2171&lt;&gt;"",$Q2171&lt;=Hoje+JanelaRet,$Q2171&gt;=Hoje-60),MAX($V$4:$V2170)+1,"")</f>
        <v>0</v>
      </c>
    </row>
    <row r="2172" spans="1:22">
      <c r="A2172" s="16"/>
      <c r="B2172" s="23"/>
      <c r="C2172" s="15"/>
      <c r="D2172" s="15"/>
      <c r="E2172" s="15"/>
      <c r="F2172" s="24"/>
      <c r="G2172" s="17"/>
      <c r="H2172" s="17"/>
      <c r="I2172" s="15"/>
      <c r="J2172" s="25">
        <f>IF($D2172="","",IFERROR(INDEX(PacNome,MATCH($D2172,PacCod,0)),"Paciente não cadastrado"))</f>
        <v>0</v>
      </c>
      <c r="K2172" s="26">
        <f>IF($D2172="","",IFERROR(INDEX(PacConv,MATCH($D2172,PacCod,0))&amp;"",""))</f>
        <v>0</v>
      </c>
      <c r="L2172" s="26">
        <f>IF($A2172="","",CHOOSE(WEEKDAY($A2172,2),"Seg","Ter","Qua","Qui","Sex","Sáb","Dom"))</f>
        <v>0</v>
      </c>
      <c r="M2172" s="27">
        <f>IF($E2172="","",IF($G2172&lt;&gt;"",$G2172,IFERROR(INDEX(ProcValor,MATCH($E2172,ProcNome,0)),0)))</f>
        <v>0</v>
      </c>
      <c r="N2172" s="27">
        <f>IF($M2172="","",IF($F2172="Compareceu",$M2172,0))</f>
        <v>0</v>
      </c>
      <c r="O2172" s="27">
        <f>IF($M2172="","",IF($F2172="Faltou",$M2172,0))</f>
        <v>0</v>
      </c>
      <c r="P2172" s="27">
        <f>IF($M2172="","",IF($F2172="Compareceu",MAX(0,$M2172-N($H2172)),0))</f>
        <v>0</v>
      </c>
      <c r="Q2172" s="19">
        <f>IF(AND($F2172="Compareceu",$E2172&lt;&gt;"",$A2172&lt;&gt;""),IF(IFERROR(INDEX(ProcRet,MATCH($E2172,ProcNome,0)),0)&gt;0,$A2172+INDEX(ProcRet,MATCH($E2172,ProcNome,0)),""),"")</f>
        <v>0</v>
      </c>
      <c r="R2172" s="26">
        <f>IF($Q2172="","",IF(COUNTIFS(AgPac,$D2172,AgData,"&gt;"&amp;$A2172,AgStatus,"&lt;&gt;Cancelado",AgStatus,"&lt;&gt;Remarcado")&gt;0,"Sim","Não"))</f>
        <v>0</v>
      </c>
      <c r="S2172" s="28">
        <f>IF($A2172="","",IF(AND($F2172="Agendado",$A2172-Hoje&gt;=0,$A2172-Hoje&lt;=DiasConf),"CONFIRMAR",IF(AND($A2172&lt;Hoje,OR($F2172="Agendado",$F2172="Confirmado")),"Atualizar status",IF(AND($F2172="Compareceu",$P2172&gt;0.005),"Cobrar",IF($F2172="Faltou","Falta: reagendar","")))))</f>
        <v>0</v>
      </c>
      <c r="T2172" s="29">
        <f>IF($A2172="","",DATE(YEAR($A2172),MONTH($A2172),1))</f>
        <v>0</v>
      </c>
      <c r="U2172" s="30">
        <f>IF($S2172="CONFIRMAR",MAX($U$4:$U2171)+1,"")</f>
        <v>0</v>
      </c>
      <c r="V2172" s="30">
        <f>IF(AND($R2172="Não",$Q2172&lt;&gt;"",$Q2172&lt;=Hoje+JanelaRet,$Q2172&gt;=Hoje-60),MAX($V$4:$V2171)+1,"")</f>
        <v>0</v>
      </c>
    </row>
    <row r="2173" spans="1:22">
      <c r="A2173" s="16"/>
      <c r="B2173" s="23"/>
      <c r="C2173" s="15"/>
      <c r="D2173" s="15"/>
      <c r="E2173" s="15"/>
      <c r="F2173" s="24"/>
      <c r="G2173" s="17"/>
      <c r="H2173" s="17"/>
      <c r="I2173" s="15"/>
      <c r="J2173" s="25">
        <f>IF($D2173="","",IFERROR(INDEX(PacNome,MATCH($D2173,PacCod,0)),"Paciente não cadastrado"))</f>
        <v>0</v>
      </c>
      <c r="K2173" s="26">
        <f>IF($D2173="","",IFERROR(INDEX(PacConv,MATCH($D2173,PacCod,0))&amp;"",""))</f>
        <v>0</v>
      </c>
      <c r="L2173" s="26">
        <f>IF($A2173="","",CHOOSE(WEEKDAY($A2173,2),"Seg","Ter","Qua","Qui","Sex","Sáb","Dom"))</f>
        <v>0</v>
      </c>
      <c r="M2173" s="27">
        <f>IF($E2173="","",IF($G2173&lt;&gt;"",$G2173,IFERROR(INDEX(ProcValor,MATCH($E2173,ProcNome,0)),0)))</f>
        <v>0</v>
      </c>
      <c r="N2173" s="27">
        <f>IF($M2173="","",IF($F2173="Compareceu",$M2173,0))</f>
        <v>0</v>
      </c>
      <c r="O2173" s="27">
        <f>IF($M2173="","",IF($F2173="Faltou",$M2173,0))</f>
        <v>0</v>
      </c>
      <c r="P2173" s="27">
        <f>IF($M2173="","",IF($F2173="Compareceu",MAX(0,$M2173-N($H2173)),0))</f>
        <v>0</v>
      </c>
      <c r="Q2173" s="19">
        <f>IF(AND($F2173="Compareceu",$E2173&lt;&gt;"",$A2173&lt;&gt;""),IF(IFERROR(INDEX(ProcRet,MATCH($E2173,ProcNome,0)),0)&gt;0,$A2173+INDEX(ProcRet,MATCH($E2173,ProcNome,0)),""),"")</f>
        <v>0</v>
      </c>
      <c r="R2173" s="26">
        <f>IF($Q2173="","",IF(COUNTIFS(AgPac,$D2173,AgData,"&gt;"&amp;$A2173,AgStatus,"&lt;&gt;Cancelado",AgStatus,"&lt;&gt;Remarcado")&gt;0,"Sim","Não"))</f>
        <v>0</v>
      </c>
      <c r="S2173" s="28">
        <f>IF($A2173="","",IF(AND($F2173="Agendado",$A2173-Hoje&gt;=0,$A2173-Hoje&lt;=DiasConf),"CONFIRMAR",IF(AND($A2173&lt;Hoje,OR($F2173="Agendado",$F2173="Confirmado")),"Atualizar status",IF(AND($F2173="Compareceu",$P2173&gt;0.005),"Cobrar",IF($F2173="Faltou","Falta: reagendar","")))))</f>
        <v>0</v>
      </c>
      <c r="T2173" s="29">
        <f>IF($A2173="","",DATE(YEAR($A2173),MONTH($A2173),1))</f>
        <v>0</v>
      </c>
      <c r="U2173" s="30">
        <f>IF($S2173="CONFIRMAR",MAX($U$4:$U2172)+1,"")</f>
        <v>0</v>
      </c>
      <c r="V2173" s="30">
        <f>IF(AND($R2173="Não",$Q2173&lt;&gt;"",$Q2173&lt;=Hoje+JanelaRet,$Q2173&gt;=Hoje-60),MAX($V$4:$V2172)+1,"")</f>
        <v>0</v>
      </c>
    </row>
    <row r="2174" spans="1:22">
      <c r="A2174" s="16"/>
      <c r="B2174" s="23"/>
      <c r="C2174" s="15"/>
      <c r="D2174" s="15"/>
      <c r="E2174" s="15"/>
      <c r="F2174" s="24"/>
      <c r="G2174" s="17"/>
      <c r="H2174" s="17"/>
      <c r="I2174" s="15"/>
      <c r="J2174" s="25">
        <f>IF($D2174="","",IFERROR(INDEX(PacNome,MATCH($D2174,PacCod,0)),"Paciente não cadastrado"))</f>
        <v>0</v>
      </c>
      <c r="K2174" s="26">
        <f>IF($D2174="","",IFERROR(INDEX(PacConv,MATCH($D2174,PacCod,0))&amp;"",""))</f>
        <v>0</v>
      </c>
      <c r="L2174" s="26">
        <f>IF($A2174="","",CHOOSE(WEEKDAY($A2174,2),"Seg","Ter","Qua","Qui","Sex","Sáb","Dom"))</f>
        <v>0</v>
      </c>
      <c r="M2174" s="27">
        <f>IF($E2174="","",IF($G2174&lt;&gt;"",$G2174,IFERROR(INDEX(ProcValor,MATCH($E2174,ProcNome,0)),0)))</f>
        <v>0</v>
      </c>
      <c r="N2174" s="27">
        <f>IF($M2174="","",IF($F2174="Compareceu",$M2174,0))</f>
        <v>0</v>
      </c>
      <c r="O2174" s="27">
        <f>IF($M2174="","",IF($F2174="Faltou",$M2174,0))</f>
        <v>0</v>
      </c>
      <c r="P2174" s="27">
        <f>IF($M2174="","",IF($F2174="Compareceu",MAX(0,$M2174-N($H2174)),0))</f>
        <v>0</v>
      </c>
      <c r="Q2174" s="19">
        <f>IF(AND($F2174="Compareceu",$E2174&lt;&gt;"",$A2174&lt;&gt;""),IF(IFERROR(INDEX(ProcRet,MATCH($E2174,ProcNome,0)),0)&gt;0,$A2174+INDEX(ProcRet,MATCH($E2174,ProcNome,0)),""),"")</f>
        <v>0</v>
      </c>
      <c r="R2174" s="26">
        <f>IF($Q2174="","",IF(COUNTIFS(AgPac,$D2174,AgData,"&gt;"&amp;$A2174,AgStatus,"&lt;&gt;Cancelado",AgStatus,"&lt;&gt;Remarcado")&gt;0,"Sim","Não"))</f>
        <v>0</v>
      </c>
      <c r="S2174" s="28">
        <f>IF($A2174="","",IF(AND($F2174="Agendado",$A2174-Hoje&gt;=0,$A2174-Hoje&lt;=DiasConf),"CONFIRMAR",IF(AND($A2174&lt;Hoje,OR($F2174="Agendado",$F2174="Confirmado")),"Atualizar status",IF(AND($F2174="Compareceu",$P2174&gt;0.005),"Cobrar",IF($F2174="Faltou","Falta: reagendar","")))))</f>
        <v>0</v>
      </c>
      <c r="T2174" s="29">
        <f>IF($A2174="","",DATE(YEAR($A2174),MONTH($A2174),1))</f>
        <v>0</v>
      </c>
      <c r="U2174" s="30">
        <f>IF($S2174="CONFIRMAR",MAX($U$4:$U2173)+1,"")</f>
        <v>0</v>
      </c>
      <c r="V2174" s="30">
        <f>IF(AND($R2174="Não",$Q2174&lt;&gt;"",$Q2174&lt;=Hoje+JanelaRet,$Q2174&gt;=Hoje-60),MAX($V$4:$V2173)+1,"")</f>
        <v>0</v>
      </c>
    </row>
    <row r="2175" spans="1:22">
      <c r="A2175" s="16"/>
      <c r="B2175" s="23"/>
      <c r="C2175" s="15"/>
      <c r="D2175" s="15"/>
      <c r="E2175" s="15"/>
      <c r="F2175" s="24"/>
      <c r="G2175" s="17"/>
      <c r="H2175" s="17"/>
      <c r="I2175" s="15"/>
      <c r="J2175" s="25">
        <f>IF($D2175="","",IFERROR(INDEX(PacNome,MATCH($D2175,PacCod,0)),"Paciente não cadastrado"))</f>
        <v>0</v>
      </c>
      <c r="K2175" s="26">
        <f>IF($D2175="","",IFERROR(INDEX(PacConv,MATCH($D2175,PacCod,0))&amp;"",""))</f>
        <v>0</v>
      </c>
      <c r="L2175" s="26">
        <f>IF($A2175="","",CHOOSE(WEEKDAY($A2175,2),"Seg","Ter","Qua","Qui","Sex","Sáb","Dom"))</f>
        <v>0</v>
      </c>
      <c r="M2175" s="27">
        <f>IF($E2175="","",IF($G2175&lt;&gt;"",$G2175,IFERROR(INDEX(ProcValor,MATCH($E2175,ProcNome,0)),0)))</f>
        <v>0</v>
      </c>
      <c r="N2175" s="27">
        <f>IF($M2175="","",IF($F2175="Compareceu",$M2175,0))</f>
        <v>0</v>
      </c>
      <c r="O2175" s="27">
        <f>IF($M2175="","",IF($F2175="Faltou",$M2175,0))</f>
        <v>0</v>
      </c>
      <c r="P2175" s="27">
        <f>IF($M2175="","",IF($F2175="Compareceu",MAX(0,$M2175-N($H2175)),0))</f>
        <v>0</v>
      </c>
      <c r="Q2175" s="19">
        <f>IF(AND($F2175="Compareceu",$E2175&lt;&gt;"",$A2175&lt;&gt;""),IF(IFERROR(INDEX(ProcRet,MATCH($E2175,ProcNome,0)),0)&gt;0,$A2175+INDEX(ProcRet,MATCH($E2175,ProcNome,0)),""),"")</f>
        <v>0</v>
      </c>
      <c r="R2175" s="26">
        <f>IF($Q2175="","",IF(COUNTIFS(AgPac,$D2175,AgData,"&gt;"&amp;$A2175,AgStatus,"&lt;&gt;Cancelado",AgStatus,"&lt;&gt;Remarcado")&gt;0,"Sim","Não"))</f>
        <v>0</v>
      </c>
      <c r="S2175" s="28">
        <f>IF($A2175="","",IF(AND($F2175="Agendado",$A2175-Hoje&gt;=0,$A2175-Hoje&lt;=DiasConf),"CONFIRMAR",IF(AND($A2175&lt;Hoje,OR($F2175="Agendado",$F2175="Confirmado")),"Atualizar status",IF(AND($F2175="Compareceu",$P2175&gt;0.005),"Cobrar",IF($F2175="Faltou","Falta: reagendar","")))))</f>
        <v>0</v>
      </c>
      <c r="T2175" s="29">
        <f>IF($A2175="","",DATE(YEAR($A2175),MONTH($A2175),1))</f>
        <v>0</v>
      </c>
      <c r="U2175" s="30">
        <f>IF($S2175="CONFIRMAR",MAX($U$4:$U2174)+1,"")</f>
        <v>0</v>
      </c>
      <c r="V2175" s="30">
        <f>IF(AND($R2175="Não",$Q2175&lt;&gt;"",$Q2175&lt;=Hoje+JanelaRet,$Q2175&gt;=Hoje-60),MAX($V$4:$V2174)+1,"")</f>
        <v>0</v>
      </c>
    </row>
    <row r="2176" spans="1:22">
      <c r="A2176" s="16"/>
      <c r="B2176" s="23"/>
      <c r="C2176" s="15"/>
      <c r="D2176" s="15"/>
      <c r="E2176" s="15"/>
      <c r="F2176" s="24"/>
      <c r="G2176" s="17"/>
      <c r="H2176" s="17"/>
      <c r="I2176" s="15"/>
      <c r="J2176" s="25">
        <f>IF($D2176="","",IFERROR(INDEX(PacNome,MATCH($D2176,PacCod,0)),"Paciente não cadastrado"))</f>
        <v>0</v>
      </c>
      <c r="K2176" s="26">
        <f>IF($D2176="","",IFERROR(INDEX(PacConv,MATCH($D2176,PacCod,0))&amp;"",""))</f>
        <v>0</v>
      </c>
      <c r="L2176" s="26">
        <f>IF($A2176="","",CHOOSE(WEEKDAY($A2176,2),"Seg","Ter","Qua","Qui","Sex","Sáb","Dom"))</f>
        <v>0</v>
      </c>
      <c r="M2176" s="27">
        <f>IF($E2176="","",IF($G2176&lt;&gt;"",$G2176,IFERROR(INDEX(ProcValor,MATCH($E2176,ProcNome,0)),0)))</f>
        <v>0</v>
      </c>
      <c r="N2176" s="27">
        <f>IF($M2176="","",IF($F2176="Compareceu",$M2176,0))</f>
        <v>0</v>
      </c>
      <c r="O2176" s="27">
        <f>IF($M2176="","",IF($F2176="Faltou",$M2176,0))</f>
        <v>0</v>
      </c>
      <c r="P2176" s="27">
        <f>IF($M2176="","",IF($F2176="Compareceu",MAX(0,$M2176-N($H2176)),0))</f>
        <v>0</v>
      </c>
      <c r="Q2176" s="19">
        <f>IF(AND($F2176="Compareceu",$E2176&lt;&gt;"",$A2176&lt;&gt;""),IF(IFERROR(INDEX(ProcRet,MATCH($E2176,ProcNome,0)),0)&gt;0,$A2176+INDEX(ProcRet,MATCH($E2176,ProcNome,0)),""),"")</f>
        <v>0</v>
      </c>
      <c r="R2176" s="26">
        <f>IF($Q2176="","",IF(COUNTIFS(AgPac,$D2176,AgData,"&gt;"&amp;$A2176,AgStatus,"&lt;&gt;Cancelado",AgStatus,"&lt;&gt;Remarcado")&gt;0,"Sim","Não"))</f>
        <v>0</v>
      </c>
      <c r="S2176" s="28">
        <f>IF($A2176="","",IF(AND($F2176="Agendado",$A2176-Hoje&gt;=0,$A2176-Hoje&lt;=DiasConf),"CONFIRMAR",IF(AND($A2176&lt;Hoje,OR($F2176="Agendado",$F2176="Confirmado")),"Atualizar status",IF(AND($F2176="Compareceu",$P2176&gt;0.005),"Cobrar",IF($F2176="Faltou","Falta: reagendar","")))))</f>
        <v>0</v>
      </c>
      <c r="T2176" s="29">
        <f>IF($A2176="","",DATE(YEAR($A2176),MONTH($A2176),1))</f>
        <v>0</v>
      </c>
      <c r="U2176" s="30">
        <f>IF($S2176="CONFIRMAR",MAX($U$4:$U2175)+1,"")</f>
        <v>0</v>
      </c>
      <c r="V2176" s="30">
        <f>IF(AND($R2176="Não",$Q2176&lt;&gt;"",$Q2176&lt;=Hoje+JanelaRet,$Q2176&gt;=Hoje-60),MAX($V$4:$V2175)+1,"")</f>
        <v>0</v>
      </c>
    </row>
    <row r="2177" spans="1:22">
      <c r="A2177" s="16"/>
      <c r="B2177" s="23"/>
      <c r="C2177" s="15"/>
      <c r="D2177" s="15"/>
      <c r="E2177" s="15"/>
      <c r="F2177" s="24"/>
      <c r="G2177" s="17"/>
      <c r="H2177" s="17"/>
      <c r="I2177" s="15"/>
      <c r="J2177" s="25">
        <f>IF($D2177="","",IFERROR(INDEX(PacNome,MATCH($D2177,PacCod,0)),"Paciente não cadastrado"))</f>
        <v>0</v>
      </c>
      <c r="K2177" s="26">
        <f>IF($D2177="","",IFERROR(INDEX(PacConv,MATCH($D2177,PacCod,0))&amp;"",""))</f>
        <v>0</v>
      </c>
      <c r="L2177" s="26">
        <f>IF($A2177="","",CHOOSE(WEEKDAY($A2177,2),"Seg","Ter","Qua","Qui","Sex","Sáb","Dom"))</f>
        <v>0</v>
      </c>
      <c r="M2177" s="27">
        <f>IF($E2177="","",IF($G2177&lt;&gt;"",$G2177,IFERROR(INDEX(ProcValor,MATCH($E2177,ProcNome,0)),0)))</f>
        <v>0</v>
      </c>
      <c r="N2177" s="27">
        <f>IF($M2177="","",IF($F2177="Compareceu",$M2177,0))</f>
        <v>0</v>
      </c>
      <c r="O2177" s="27">
        <f>IF($M2177="","",IF($F2177="Faltou",$M2177,0))</f>
        <v>0</v>
      </c>
      <c r="P2177" s="27">
        <f>IF($M2177="","",IF($F2177="Compareceu",MAX(0,$M2177-N($H2177)),0))</f>
        <v>0</v>
      </c>
      <c r="Q2177" s="19">
        <f>IF(AND($F2177="Compareceu",$E2177&lt;&gt;"",$A2177&lt;&gt;""),IF(IFERROR(INDEX(ProcRet,MATCH($E2177,ProcNome,0)),0)&gt;0,$A2177+INDEX(ProcRet,MATCH($E2177,ProcNome,0)),""),"")</f>
        <v>0</v>
      </c>
      <c r="R2177" s="26">
        <f>IF($Q2177="","",IF(COUNTIFS(AgPac,$D2177,AgData,"&gt;"&amp;$A2177,AgStatus,"&lt;&gt;Cancelado",AgStatus,"&lt;&gt;Remarcado")&gt;0,"Sim","Não"))</f>
        <v>0</v>
      </c>
      <c r="S2177" s="28">
        <f>IF($A2177="","",IF(AND($F2177="Agendado",$A2177-Hoje&gt;=0,$A2177-Hoje&lt;=DiasConf),"CONFIRMAR",IF(AND($A2177&lt;Hoje,OR($F2177="Agendado",$F2177="Confirmado")),"Atualizar status",IF(AND($F2177="Compareceu",$P2177&gt;0.005),"Cobrar",IF($F2177="Faltou","Falta: reagendar","")))))</f>
        <v>0</v>
      </c>
      <c r="T2177" s="29">
        <f>IF($A2177="","",DATE(YEAR($A2177),MONTH($A2177),1))</f>
        <v>0</v>
      </c>
      <c r="U2177" s="30">
        <f>IF($S2177="CONFIRMAR",MAX($U$4:$U2176)+1,"")</f>
        <v>0</v>
      </c>
      <c r="V2177" s="30">
        <f>IF(AND($R2177="Não",$Q2177&lt;&gt;"",$Q2177&lt;=Hoje+JanelaRet,$Q2177&gt;=Hoje-60),MAX($V$4:$V2176)+1,"")</f>
        <v>0</v>
      </c>
    </row>
    <row r="2178" spans="1:22">
      <c r="A2178" s="16"/>
      <c r="B2178" s="23"/>
      <c r="C2178" s="15"/>
      <c r="D2178" s="15"/>
      <c r="E2178" s="15"/>
      <c r="F2178" s="24"/>
      <c r="G2178" s="17"/>
      <c r="H2178" s="17"/>
      <c r="I2178" s="15"/>
      <c r="J2178" s="25">
        <f>IF($D2178="","",IFERROR(INDEX(PacNome,MATCH($D2178,PacCod,0)),"Paciente não cadastrado"))</f>
        <v>0</v>
      </c>
      <c r="K2178" s="26">
        <f>IF($D2178="","",IFERROR(INDEX(PacConv,MATCH($D2178,PacCod,0))&amp;"",""))</f>
        <v>0</v>
      </c>
      <c r="L2178" s="26">
        <f>IF($A2178="","",CHOOSE(WEEKDAY($A2178,2),"Seg","Ter","Qua","Qui","Sex","Sáb","Dom"))</f>
        <v>0</v>
      </c>
      <c r="M2178" s="27">
        <f>IF($E2178="","",IF($G2178&lt;&gt;"",$G2178,IFERROR(INDEX(ProcValor,MATCH($E2178,ProcNome,0)),0)))</f>
        <v>0</v>
      </c>
      <c r="N2178" s="27">
        <f>IF($M2178="","",IF($F2178="Compareceu",$M2178,0))</f>
        <v>0</v>
      </c>
      <c r="O2178" s="27">
        <f>IF($M2178="","",IF($F2178="Faltou",$M2178,0))</f>
        <v>0</v>
      </c>
      <c r="P2178" s="27">
        <f>IF($M2178="","",IF($F2178="Compareceu",MAX(0,$M2178-N($H2178)),0))</f>
        <v>0</v>
      </c>
      <c r="Q2178" s="19">
        <f>IF(AND($F2178="Compareceu",$E2178&lt;&gt;"",$A2178&lt;&gt;""),IF(IFERROR(INDEX(ProcRet,MATCH($E2178,ProcNome,0)),0)&gt;0,$A2178+INDEX(ProcRet,MATCH($E2178,ProcNome,0)),""),"")</f>
        <v>0</v>
      </c>
      <c r="R2178" s="26">
        <f>IF($Q2178="","",IF(COUNTIFS(AgPac,$D2178,AgData,"&gt;"&amp;$A2178,AgStatus,"&lt;&gt;Cancelado",AgStatus,"&lt;&gt;Remarcado")&gt;0,"Sim","Não"))</f>
        <v>0</v>
      </c>
      <c r="S2178" s="28">
        <f>IF($A2178="","",IF(AND($F2178="Agendado",$A2178-Hoje&gt;=0,$A2178-Hoje&lt;=DiasConf),"CONFIRMAR",IF(AND($A2178&lt;Hoje,OR($F2178="Agendado",$F2178="Confirmado")),"Atualizar status",IF(AND($F2178="Compareceu",$P2178&gt;0.005),"Cobrar",IF($F2178="Faltou","Falta: reagendar","")))))</f>
        <v>0</v>
      </c>
      <c r="T2178" s="29">
        <f>IF($A2178="","",DATE(YEAR($A2178),MONTH($A2178),1))</f>
        <v>0</v>
      </c>
      <c r="U2178" s="30">
        <f>IF($S2178="CONFIRMAR",MAX($U$4:$U2177)+1,"")</f>
        <v>0</v>
      </c>
      <c r="V2178" s="30">
        <f>IF(AND($R2178="Não",$Q2178&lt;&gt;"",$Q2178&lt;=Hoje+JanelaRet,$Q2178&gt;=Hoje-60),MAX($V$4:$V2177)+1,"")</f>
        <v>0</v>
      </c>
    </row>
    <row r="2179" spans="1:22">
      <c r="A2179" s="16"/>
      <c r="B2179" s="23"/>
      <c r="C2179" s="15"/>
      <c r="D2179" s="15"/>
      <c r="E2179" s="15"/>
      <c r="F2179" s="24"/>
      <c r="G2179" s="17"/>
      <c r="H2179" s="17"/>
      <c r="I2179" s="15"/>
      <c r="J2179" s="25">
        <f>IF($D2179="","",IFERROR(INDEX(PacNome,MATCH($D2179,PacCod,0)),"Paciente não cadastrado"))</f>
        <v>0</v>
      </c>
      <c r="K2179" s="26">
        <f>IF($D2179="","",IFERROR(INDEX(PacConv,MATCH($D2179,PacCod,0))&amp;"",""))</f>
        <v>0</v>
      </c>
      <c r="L2179" s="26">
        <f>IF($A2179="","",CHOOSE(WEEKDAY($A2179,2),"Seg","Ter","Qua","Qui","Sex","Sáb","Dom"))</f>
        <v>0</v>
      </c>
      <c r="M2179" s="27">
        <f>IF($E2179="","",IF($G2179&lt;&gt;"",$G2179,IFERROR(INDEX(ProcValor,MATCH($E2179,ProcNome,0)),0)))</f>
        <v>0</v>
      </c>
      <c r="N2179" s="27">
        <f>IF($M2179="","",IF($F2179="Compareceu",$M2179,0))</f>
        <v>0</v>
      </c>
      <c r="O2179" s="27">
        <f>IF($M2179="","",IF($F2179="Faltou",$M2179,0))</f>
        <v>0</v>
      </c>
      <c r="P2179" s="27">
        <f>IF($M2179="","",IF($F2179="Compareceu",MAX(0,$M2179-N($H2179)),0))</f>
        <v>0</v>
      </c>
      <c r="Q2179" s="19">
        <f>IF(AND($F2179="Compareceu",$E2179&lt;&gt;"",$A2179&lt;&gt;""),IF(IFERROR(INDEX(ProcRet,MATCH($E2179,ProcNome,0)),0)&gt;0,$A2179+INDEX(ProcRet,MATCH($E2179,ProcNome,0)),""),"")</f>
        <v>0</v>
      </c>
      <c r="R2179" s="26">
        <f>IF($Q2179="","",IF(COUNTIFS(AgPac,$D2179,AgData,"&gt;"&amp;$A2179,AgStatus,"&lt;&gt;Cancelado",AgStatus,"&lt;&gt;Remarcado")&gt;0,"Sim","Não"))</f>
        <v>0</v>
      </c>
      <c r="S2179" s="28">
        <f>IF($A2179="","",IF(AND($F2179="Agendado",$A2179-Hoje&gt;=0,$A2179-Hoje&lt;=DiasConf),"CONFIRMAR",IF(AND($A2179&lt;Hoje,OR($F2179="Agendado",$F2179="Confirmado")),"Atualizar status",IF(AND($F2179="Compareceu",$P2179&gt;0.005),"Cobrar",IF($F2179="Faltou","Falta: reagendar","")))))</f>
        <v>0</v>
      </c>
      <c r="T2179" s="29">
        <f>IF($A2179="","",DATE(YEAR($A2179),MONTH($A2179),1))</f>
        <v>0</v>
      </c>
      <c r="U2179" s="30">
        <f>IF($S2179="CONFIRMAR",MAX($U$4:$U2178)+1,"")</f>
        <v>0</v>
      </c>
      <c r="V2179" s="30">
        <f>IF(AND($R2179="Não",$Q2179&lt;&gt;"",$Q2179&lt;=Hoje+JanelaRet,$Q2179&gt;=Hoje-60),MAX($V$4:$V2178)+1,"")</f>
        <v>0</v>
      </c>
    </row>
    <row r="2180" spans="1:22">
      <c r="A2180" s="16"/>
      <c r="B2180" s="23"/>
      <c r="C2180" s="15"/>
      <c r="D2180" s="15"/>
      <c r="E2180" s="15"/>
      <c r="F2180" s="24"/>
      <c r="G2180" s="17"/>
      <c r="H2180" s="17"/>
      <c r="I2180" s="15"/>
      <c r="J2180" s="25">
        <f>IF($D2180="","",IFERROR(INDEX(PacNome,MATCH($D2180,PacCod,0)),"Paciente não cadastrado"))</f>
        <v>0</v>
      </c>
      <c r="K2180" s="26">
        <f>IF($D2180="","",IFERROR(INDEX(PacConv,MATCH($D2180,PacCod,0))&amp;"",""))</f>
        <v>0</v>
      </c>
      <c r="L2180" s="26">
        <f>IF($A2180="","",CHOOSE(WEEKDAY($A2180,2),"Seg","Ter","Qua","Qui","Sex","Sáb","Dom"))</f>
        <v>0</v>
      </c>
      <c r="M2180" s="27">
        <f>IF($E2180="","",IF($G2180&lt;&gt;"",$G2180,IFERROR(INDEX(ProcValor,MATCH($E2180,ProcNome,0)),0)))</f>
        <v>0</v>
      </c>
      <c r="N2180" s="27">
        <f>IF($M2180="","",IF($F2180="Compareceu",$M2180,0))</f>
        <v>0</v>
      </c>
      <c r="O2180" s="27">
        <f>IF($M2180="","",IF($F2180="Faltou",$M2180,0))</f>
        <v>0</v>
      </c>
      <c r="P2180" s="27">
        <f>IF($M2180="","",IF($F2180="Compareceu",MAX(0,$M2180-N($H2180)),0))</f>
        <v>0</v>
      </c>
      <c r="Q2180" s="19">
        <f>IF(AND($F2180="Compareceu",$E2180&lt;&gt;"",$A2180&lt;&gt;""),IF(IFERROR(INDEX(ProcRet,MATCH($E2180,ProcNome,0)),0)&gt;0,$A2180+INDEX(ProcRet,MATCH($E2180,ProcNome,0)),""),"")</f>
        <v>0</v>
      </c>
      <c r="R2180" s="26">
        <f>IF($Q2180="","",IF(COUNTIFS(AgPac,$D2180,AgData,"&gt;"&amp;$A2180,AgStatus,"&lt;&gt;Cancelado",AgStatus,"&lt;&gt;Remarcado")&gt;0,"Sim","Não"))</f>
        <v>0</v>
      </c>
      <c r="S2180" s="28">
        <f>IF($A2180="","",IF(AND($F2180="Agendado",$A2180-Hoje&gt;=0,$A2180-Hoje&lt;=DiasConf),"CONFIRMAR",IF(AND($A2180&lt;Hoje,OR($F2180="Agendado",$F2180="Confirmado")),"Atualizar status",IF(AND($F2180="Compareceu",$P2180&gt;0.005),"Cobrar",IF($F2180="Faltou","Falta: reagendar","")))))</f>
        <v>0</v>
      </c>
      <c r="T2180" s="29">
        <f>IF($A2180="","",DATE(YEAR($A2180),MONTH($A2180),1))</f>
        <v>0</v>
      </c>
      <c r="U2180" s="30">
        <f>IF($S2180="CONFIRMAR",MAX($U$4:$U2179)+1,"")</f>
        <v>0</v>
      </c>
      <c r="V2180" s="30">
        <f>IF(AND($R2180="Não",$Q2180&lt;&gt;"",$Q2180&lt;=Hoje+JanelaRet,$Q2180&gt;=Hoje-60),MAX($V$4:$V2179)+1,"")</f>
        <v>0</v>
      </c>
    </row>
    <row r="2181" spans="1:22">
      <c r="A2181" s="16"/>
      <c r="B2181" s="23"/>
      <c r="C2181" s="15"/>
      <c r="D2181" s="15"/>
      <c r="E2181" s="15"/>
      <c r="F2181" s="24"/>
      <c r="G2181" s="17"/>
      <c r="H2181" s="17"/>
      <c r="I2181" s="15"/>
      <c r="J2181" s="25">
        <f>IF($D2181="","",IFERROR(INDEX(PacNome,MATCH($D2181,PacCod,0)),"Paciente não cadastrado"))</f>
        <v>0</v>
      </c>
      <c r="K2181" s="26">
        <f>IF($D2181="","",IFERROR(INDEX(PacConv,MATCH($D2181,PacCod,0))&amp;"",""))</f>
        <v>0</v>
      </c>
      <c r="L2181" s="26">
        <f>IF($A2181="","",CHOOSE(WEEKDAY($A2181,2),"Seg","Ter","Qua","Qui","Sex","Sáb","Dom"))</f>
        <v>0</v>
      </c>
      <c r="M2181" s="27">
        <f>IF($E2181="","",IF($G2181&lt;&gt;"",$G2181,IFERROR(INDEX(ProcValor,MATCH($E2181,ProcNome,0)),0)))</f>
        <v>0</v>
      </c>
      <c r="N2181" s="27">
        <f>IF($M2181="","",IF($F2181="Compareceu",$M2181,0))</f>
        <v>0</v>
      </c>
      <c r="O2181" s="27">
        <f>IF($M2181="","",IF($F2181="Faltou",$M2181,0))</f>
        <v>0</v>
      </c>
      <c r="P2181" s="27">
        <f>IF($M2181="","",IF($F2181="Compareceu",MAX(0,$M2181-N($H2181)),0))</f>
        <v>0</v>
      </c>
      <c r="Q2181" s="19">
        <f>IF(AND($F2181="Compareceu",$E2181&lt;&gt;"",$A2181&lt;&gt;""),IF(IFERROR(INDEX(ProcRet,MATCH($E2181,ProcNome,0)),0)&gt;0,$A2181+INDEX(ProcRet,MATCH($E2181,ProcNome,0)),""),"")</f>
        <v>0</v>
      </c>
      <c r="R2181" s="26">
        <f>IF($Q2181="","",IF(COUNTIFS(AgPac,$D2181,AgData,"&gt;"&amp;$A2181,AgStatus,"&lt;&gt;Cancelado",AgStatus,"&lt;&gt;Remarcado")&gt;0,"Sim","Não"))</f>
        <v>0</v>
      </c>
      <c r="S2181" s="28">
        <f>IF($A2181="","",IF(AND($F2181="Agendado",$A2181-Hoje&gt;=0,$A2181-Hoje&lt;=DiasConf),"CONFIRMAR",IF(AND($A2181&lt;Hoje,OR($F2181="Agendado",$F2181="Confirmado")),"Atualizar status",IF(AND($F2181="Compareceu",$P2181&gt;0.005),"Cobrar",IF($F2181="Faltou","Falta: reagendar","")))))</f>
        <v>0</v>
      </c>
      <c r="T2181" s="29">
        <f>IF($A2181="","",DATE(YEAR($A2181),MONTH($A2181),1))</f>
        <v>0</v>
      </c>
      <c r="U2181" s="30">
        <f>IF($S2181="CONFIRMAR",MAX($U$4:$U2180)+1,"")</f>
        <v>0</v>
      </c>
      <c r="V2181" s="30">
        <f>IF(AND($R2181="Não",$Q2181&lt;&gt;"",$Q2181&lt;=Hoje+JanelaRet,$Q2181&gt;=Hoje-60),MAX($V$4:$V2180)+1,"")</f>
        <v>0</v>
      </c>
    </row>
    <row r="2182" spans="1:22">
      <c r="A2182" s="16"/>
      <c r="B2182" s="23"/>
      <c r="C2182" s="15"/>
      <c r="D2182" s="15"/>
      <c r="E2182" s="15"/>
      <c r="F2182" s="24"/>
      <c r="G2182" s="17"/>
      <c r="H2182" s="17"/>
      <c r="I2182" s="15"/>
      <c r="J2182" s="25">
        <f>IF($D2182="","",IFERROR(INDEX(PacNome,MATCH($D2182,PacCod,0)),"Paciente não cadastrado"))</f>
        <v>0</v>
      </c>
      <c r="K2182" s="26">
        <f>IF($D2182="","",IFERROR(INDEX(PacConv,MATCH($D2182,PacCod,0))&amp;"",""))</f>
        <v>0</v>
      </c>
      <c r="L2182" s="26">
        <f>IF($A2182="","",CHOOSE(WEEKDAY($A2182,2),"Seg","Ter","Qua","Qui","Sex","Sáb","Dom"))</f>
        <v>0</v>
      </c>
      <c r="M2182" s="27">
        <f>IF($E2182="","",IF($G2182&lt;&gt;"",$G2182,IFERROR(INDEX(ProcValor,MATCH($E2182,ProcNome,0)),0)))</f>
        <v>0</v>
      </c>
      <c r="N2182" s="27">
        <f>IF($M2182="","",IF($F2182="Compareceu",$M2182,0))</f>
        <v>0</v>
      </c>
      <c r="O2182" s="27">
        <f>IF($M2182="","",IF($F2182="Faltou",$M2182,0))</f>
        <v>0</v>
      </c>
      <c r="P2182" s="27">
        <f>IF($M2182="","",IF($F2182="Compareceu",MAX(0,$M2182-N($H2182)),0))</f>
        <v>0</v>
      </c>
      <c r="Q2182" s="19">
        <f>IF(AND($F2182="Compareceu",$E2182&lt;&gt;"",$A2182&lt;&gt;""),IF(IFERROR(INDEX(ProcRet,MATCH($E2182,ProcNome,0)),0)&gt;0,$A2182+INDEX(ProcRet,MATCH($E2182,ProcNome,0)),""),"")</f>
        <v>0</v>
      </c>
      <c r="R2182" s="26">
        <f>IF($Q2182="","",IF(COUNTIFS(AgPac,$D2182,AgData,"&gt;"&amp;$A2182,AgStatus,"&lt;&gt;Cancelado",AgStatus,"&lt;&gt;Remarcado")&gt;0,"Sim","Não"))</f>
        <v>0</v>
      </c>
      <c r="S2182" s="28">
        <f>IF($A2182="","",IF(AND($F2182="Agendado",$A2182-Hoje&gt;=0,$A2182-Hoje&lt;=DiasConf),"CONFIRMAR",IF(AND($A2182&lt;Hoje,OR($F2182="Agendado",$F2182="Confirmado")),"Atualizar status",IF(AND($F2182="Compareceu",$P2182&gt;0.005),"Cobrar",IF($F2182="Faltou","Falta: reagendar","")))))</f>
        <v>0</v>
      </c>
      <c r="T2182" s="29">
        <f>IF($A2182="","",DATE(YEAR($A2182),MONTH($A2182),1))</f>
        <v>0</v>
      </c>
      <c r="U2182" s="30">
        <f>IF($S2182="CONFIRMAR",MAX($U$4:$U2181)+1,"")</f>
        <v>0</v>
      </c>
      <c r="V2182" s="30">
        <f>IF(AND($R2182="Não",$Q2182&lt;&gt;"",$Q2182&lt;=Hoje+JanelaRet,$Q2182&gt;=Hoje-60),MAX($V$4:$V2181)+1,"")</f>
        <v>0</v>
      </c>
    </row>
    <row r="2183" spans="1:22">
      <c r="A2183" s="16"/>
      <c r="B2183" s="23"/>
      <c r="C2183" s="15"/>
      <c r="D2183" s="15"/>
      <c r="E2183" s="15"/>
      <c r="F2183" s="24"/>
      <c r="G2183" s="17"/>
      <c r="H2183" s="17"/>
      <c r="I2183" s="15"/>
      <c r="J2183" s="25">
        <f>IF($D2183="","",IFERROR(INDEX(PacNome,MATCH($D2183,PacCod,0)),"Paciente não cadastrado"))</f>
        <v>0</v>
      </c>
      <c r="K2183" s="26">
        <f>IF($D2183="","",IFERROR(INDEX(PacConv,MATCH($D2183,PacCod,0))&amp;"",""))</f>
        <v>0</v>
      </c>
      <c r="L2183" s="26">
        <f>IF($A2183="","",CHOOSE(WEEKDAY($A2183,2),"Seg","Ter","Qua","Qui","Sex","Sáb","Dom"))</f>
        <v>0</v>
      </c>
      <c r="M2183" s="27">
        <f>IF($E2183="","",IF($G2183&lt;&gt;"",$G2183,IFERROR(INDEX(ProcValor,MATCH($E2183,ProcNome,0)),0)))</f>
        <v>0</v>
      </c>
      <c r="N2183" s="27">
        <f>IF($M2183="","",IF($F2183="Compareceu",$M2183,0))</f>
        <v>0</v>
      </c>
      <c r="O2183" s="27">
        <f>IF($M2183="","",IF($F2183="Faltou",$M2183,0))</f>
        <v>0</v>
      </c>
      <c r="P2183" s="27">
        <f>IF($M2183="","",IF($F2183="Compareceu",MAX(0,$M2183-N($H2183)),0))</f>
        <v>0</v>
      </c>
      <c r="Q2183" s="19">
        <f>IF(AND($F2183="Compareceu",$E2183&lt;&gt;"",$A2183&lt;&gt;""),IF(IFERROR(INDEX(ProcRet,MATCH($E2183,ProcNome,0)),0)&gt;0,$A2183+INDEX(ProcRet,MATCH($E2183,ProcNome,0)),""),"")</f>
        <v>0</v>
      </c>
      <c r="R2183" s="26">
        <f>IF($Q2183="","",IF(COUNTIFS(AgPac,$D2183,AgData,"&gt;"&amp;$A2183,AgStatus,"&lt;&gt;Cancelado",AgStatus,"&lt;&gt;Remarcado")&gt;0,"Sim","Não"))</f>
        <v>0</v>
      </c>
      <c r="S2183" s="28">
        <f>IF($A2183="","",IF(AND($F2183="Agendado",$A2183-Hoje&gt;=0,$A2183-Hoje&lt;=DiasConf),"CONFIRMAR",IF(AND($A2183&lt;Hoje,OR($F2183="Agendado",$F2183="Confirmado")),"Atualizar status",IF(AND($F2183="Compareceu",$P2183&gt;0.005),"Cobrar",IF($F2183="Faltou","Falta: reagendar","")))))</f>
        <v>0</v>
      </c>
      <c r="T2183" s="29">
        <f>IF($A2183="","",DATE(YEAR($A2183),MONTH($A2183),1))</f>
        <v>0</v>
      </c>
      <c r="U2183" s="30">
        <f>IF($S2183="CONFIRMAR",MAX($U$4:$U2182)+1,"")</f>
        <v>0</v>
      </c>
      <c r="V2183" s="30">
        <f>IF(AND($R2183="Não",$Q2183&lt;&gt;"",$Q2183&lt;=Hoje+JanelaRet,$Q2183&gt;=Hoje-60),MAX($V$4:$V2182)+1,"")</f>
        <v>0</v>
      </c>
    </row>
    <row r="2184" spans="1:22">
      <c r="A2184" s="16"/>
      <c r="B2184" s="23"/>
      <c r="C2184" s="15"/>
      <c r="D2184" s="15"/>
      <c r="E2184" s="15"/>
      <c r="F2184" s="24"/>
      <c r="G2184" s="17"/>
      <c r="H2184" s="17"/>
      <c r="I2184" s="15"/>
      <c r="J2184" s="25">
        <f>IF($D2184="","",IFERROR(INDEX(PacNome,MATCH($D2184,PacCod,0)),"Paciente não cadastrado"))</f>
        <v>0</v>
      </c>
      <c r="K2184" s="26">
        <f>IF($D2184="","",IFERROR(INDEX(PacConv,MATCH($D2184,PacCod,0))&amp;"",""))</f>
        <v>0</v>
      </c>
      <c r="L2184" s="26">
        <f>IF($A2184="","",CHOOSE(WEEKDAY($A2184,2),"Seg","Ter","Qua","Qui","Sex","Sáb","Dom"))</f>
        <v>0</v>
      </c>
      <c r="M2184" s="27">
        <f>IF($E2184="","",IF($G2184&lt;&gt;"",$G2184,IFERROR(INDEX(ProcValor,MATCH($E2184,ProcNome,0)),0)))</f>
        <v>0</v>
      </c>
      <c r="N2184" s="27">
        <f>IF($M2184="","",IF($F2184="Compareceu",$M2184,0))</f>
        <v>0</v>
      </c>
      <c r="O2184" s="27">
        <f>IF($M2184="","",IF($F2184="Faltou",$M2184,0))</f>
        <v>0</v>
      </c>
      <c r="P2184" s="27">
        <f>IF($M2184="","",IF($F2184="Compareceu",MAX(0,$M2184-N($H2184)),0))</f>
        <v>0</v>
      </c>
      <c r="Q2184" s="19">
        <f>IF(AND($F2184="Compareceu",$E2184&lt;&gt;"",$A2184&lt;&gt;""),IF(IFERROR(INDEX(ProcRet,MATCH($E2184,ProcNome,0)),0)&gt;0,$A2184+INDEX(ProcRet,MATCH($E2184,ProcNome,0)),""),"")</f>
        <v>0</v>
      </c>
      <c r="R2184" s="26">
        <f>IF($Q2184="","",IF(COUNTIFS(AgPac,$D2184,AgData,"&gt;"&amp;$A2184,AgStatus,"&lt;&gt;Cancelado",AgStatus,"&lt;&gt;Remarcado")&gt;0,"Sim","Não"))</f>
        <v>0</v>
      </c>
      <c r="S2184" s="28">
        <f>IF($A2184="","",IF(AND($F2184="Agendado",$A2184-Hoje&gt;=0,$A2184-Hoje&lt;=DiasConf),"CONFIRMAR",IF(AND($A2184&lt;Hoje,OR($F2184="Agendado",$F2184="Confirmado")),"Atualizar status",IF(AND($F2184="Compareceu",$P2184&gt;0.005),"Cobrar",IF($F2184="Faltou","Falta: reagendar","")))))</f>
        <v>0</v>
      </c>
      <c r="T2184" s="29">
        <f>IF($A2184="","",DATE(YEAR($A2184),MONTH($A2184),1))</f>
        <v>0</v>
      </c>
      <c r="U2184" s="30">
        <f>IF($S2184="CONFIRMAR",MAX($U$4:$U2183)+1,"")</f>
        <v>0</v>
      </c>
      <c r="V2184" s="30">
        <f>IF(AND($R2184="Não",$Q2184&lt;&gt;"",$Q2184&lt;=Hoje+JanelaRet,$Q2184&gt;=Hoje-60),MAX($V$4:$V2183)+1,"")</f>
        <v>0</v>
      </c>
    </row>
    <row r="2185" spans="1:22">
      <c r="A2185" s="16"/>
      <c r="B2185" s="23"/>
      <c r="C2185" s="15"/>
      <c r="D2185" s="15"/>
      <c r="E2185" s="15"/>
      <c r="F2185" s="24"/>
      <c r="G2185" s="17"/>
      <c r="H2185" s="17"/>
      <c r="I2185" s="15"/>
      <c r="J2185" s="25">
        <f>IF($D2185="","",IFERROR(INDEX(PacNome,MATCH($D2185,PacCod,0)),"Paciente não cadastrado"))</f>
        <v>0</v>
      </c>
      <c r="K2185" s="26">
        <f>IF($D2185="","",IFERROR(INDEX(PacConv,MATCH($D2185,PacCod,0))&amp;"",""))</f>
        <v>0</v>
      </c>
      <c r="L2185" s="26">
        <f>IF($A2185="","",CHOOSE(WEEKDAY($A2185,2),"Seg","Ter","Qua","Qui","Sex","Sáb","Dom"))</f>
        <v>0</v>
      </c>
      <c r="M2185" s="27">
        <f>IF($E2185="","",IF($G2185&lt;&gt;"",$G2185,IFERROR(INDEX(ProcValor,MATCH($E2185,ProcNome,0)),0)))</f>
        <v>0</v>
      </c>
      <c r="N2185" s="27">
        <f>IF($M2185="","",IF($F2185="Compareceu",$M2185,0))</f>
        <v>0</v>
      </c>
      <c r="O2185" s="27">
        <f>IF($M2185="","",IF($F2185="Faltou",$M2185,0))</f>
        <v>0</v>
      </c>
      <c r="P2185" s="27">
        <f>IF($M2185="","",IF($F2185="Compareceu",MAX(0,$M2185-N($H2185)),0))</f>
        <v>0</v>
      </c>
      <c r="Q2185" s="19">
        <f>IF(AND($F2185="Compareceu",$E2185&lt;&gt;"",$A2185&lt;&gt;""),IF(IFERROR(INDEX(ProcRet,MATCH($E2185,ProcNome,0)),0)&gt;0,$A2185+INDEX(ProcRet,MATCH($E2185,ProcNome,0)),""),"")</f>
        <v>0</v>
      </c>
      <c r="R2185" s="26">
        <f>IF($Q2185="","",IF(COUNTIFS(AgPac,$D2185,AgData,"&gt;"&amp;$A2185,AgStatus,"&lt;&gt;Cancelado",AgStatus,"&lt;&gt;Remarcado")&gt;0,"Sim","Não"))</f>
        <v>0</v>
      </c>
      <c r="S2185" s="28">
        <f>IF($A2185="","",IF(AND($F2185="Agendado",$A2185-Hoje&gt;=0,$A2185-Hoje&lt;=DiasConf),"CONFIRMAR",IF(AND($A2185&lt;Hoje,OR($F2185="Agendado",$F2185="Confirmado")),"Atualizar status",IF(AND($F2185="Compareceu",$P2185&gt;0.005),"Cobrar",IF($F2185="Faltou","Falta: reagendar","")))))</f>
        <v>0</v>
      </c>
      <c r="T2185" s="29">
        <f>IF($A2185="","",DATE(YEAR($A2185),MONTH($A2185),1))</f>
        <v>0</v>
      </c>
      <c r="U2185" s="30">
        <f>IF($S2185="CONFIRMAR",MAX($U$4:$U2184)+1,"")</f>
        <v>0</v>
      </c>
      <c r="V2185" s="30">
        <f>IF(AND($R2185="Não",$Q2185&lt;&gt;"",$Q2185&lt;=Hoje+JanelaRet,$Q2185&gt;=Hoje-60),MAX($V$4:$V2184)+1,"")</f>
        <v>0</v>
      </c>
    </row>
    <row r="2186" spans="1:22">
      <c r="A2186" s="16"/>
      <c r="B2186" s="23"/>
      <c r="C2186" s="15"/>
      <c r="D2186" s="15"/>
      <c r="E2186" s="15"/>
      <c r="F2186" s="24"/>
      <c r="G2186" s="17"/>
      <c r="H2186" s="17"/>
      <c r="I2186" s="15"/>
      <c r="J2186" s="25">
        <f>IF($D2186="","",IFERROR(INDEX(PacNome,MATCH($D2186,PacCod,0)),"Paciente não cadastrado"))</f>
        <v>0</v>
      </c>
      <c r="K2186" s="26">
        <f>IF($D2186="","",IFERROR(INDEX(PacConv,MATCH($D2186,PacCod,0))&amp;"",""))</f>
        <v>0</v>
      </c>
      <c r="L2186" s="26">
        <f>IF($A2186="","",CHOOSE(WEEKDAY($A2186,2),"Seg","Ter","Qua","Qui","Sex","Sáb","Dom"))</f>
        <v>0</v>
      </c>
      <c r="M2186" s="27">
        <f>IF($E2186="","",IF($G2186&lt;&gt;"",$G2186,IFERROR(INDEX(ProcValor,MATCH($E2186,ProcNome,0)),0)))</f>
        <v>0</v>
      </c>
      <c r="N2186" s="27">
        <f>IF($M2186="","",IF($F2186="Compareceu",$M2186,0))</f>
        <v>0</v>
      </c>
      <c r="O2186" s="27">
        <f>IF($M2186="","",IF($F2186="Faltou",$M2186,0))</f>
        <v>0</v>
      </c>
      <c r="P2186" s="27">
        <f>IF($M2186="","",IF($F2186="Compareceu",MAX(0,$M2186-N($H2186)),0))</f>
        <v>0</v>
      </c>
      <c r="Q2186" s="19">
        <f>IF(AND($F2186="Compareceu",$E2186&lt;&gt;"",$A2186&lt;&gt;""),IF(IFERROR(INDEX(ProcRet,MATCH($E2186,ProcNome,0)),0)&gt;0,$A2186+INDEX(ProcRet,MATCH($E2186,ProcNome,0)),""),"")</f>
        <v>0</v>
      </c>
      <c r="R2186" s="26">
        <f>IF($Q2186="","",IF(COUNTIFS(AgPac,$D2186,AgData,"&gt;"&amp;$A2186,AgStatus,"&lt;&gt;Cancelado",AgStatus,"&lt;&gt;Remarcado")&gt;0,"Sim","Não"))</f>
        <v>0</v>
      </c>
      <c r="S2186" s="28">
        <f>IF($A2186="","",IF(AND($F2186="Agendado",$A2186-Hoje&gt;=0,$A2186-Hoje&lt;=DiasConf),"CONFIRMAR",IF(AND($A2186&lt;Hoje,OR($F2186="Agendado",$F2186="Confirmado")),"Atualizar status",IF(AND($F2186="Compareceu",$P2186&gt;0.005),"Cobrar",IF($F2186="Faltou","Falta: reagendar","")))))</f>
        <v>0</v>
      </c>
      <c r="T2186" s="29">
        <f>IF($A2186="","",DATE(YEAR($A2186),MONTH($A2186),1))</f>
        <v>0</v>
      </c>
      <c r="U2186" s="30">
        <f>IF($S2186="CONFIRMAR",MAX($U$4:$U2185)+1,"")</f>
        <v>0</v>
      </c>
      <c r="V2186" s="30">
        <f>IF(AND($R2186="Não",$Q2186&lt;&gt;"",$Q2186&lt;=Hoje+JanelaRet,$Q2186&gt;=Hoje-60),MAX($V$4:$V2185)+1,"")</f>
        <v>0</v>
      </c>
    </row>
    <row r="2187" spans="1:22">
      <c r="A2187" s="16"/>
      <c r="B2187" s="23"/>
      <c r="C2187" s="15"/>
      <c r="D2187" s="15"/>
      <c r="E2187" s="15"/>
      <c r="F2187" s="24"/>
      <c r="G2187" s="17"/>
      <c r="H2187" s="17"/>
      <c r="I2187" s="15"/>
      <c r="J2187" s="25">
        <f>IF($D2187="","",IFERROR(INDEX(PacNome,MATCH($D2187,PacCod,0)),"Paciente não cadastrado"))</f>
        <v>0</v>
      </c>
      <c r="K2187" s="26">
        <f>IF($D2187="","",IFERROR(INDEX(PacConv,MATCH($D2187,PacCod,0))&amp;"",""))</f>
        <v>0</v>
      </c>
      <c r="L2187" s="26">
        <f>IF($A2187="","",CHOOSE(WEEKDAY($A2187,2),"Seg","Ter","Qua","Qui","Sex","Sáb","Dom"))</f>
        <v>0</v>
      </c>
      <c r="M2187" s="27">
        <f>IF($E2187="","",IF($G2187&lt;&gt;"",$G2187,IFERROR(INDEX(ProcValor,MATCH($E2187,ProcNome,0)),0)))</f>
        <v>0</v>
      </c>
      <c r="N2187" s="27">
        <f>IF($M2187="","",IF($F2187="Compareceu",$M2187,0))</f>
        <v>0</v>
      </c>
      <c r="O2187" s="27">
        <f>IF($M2187="","",IF($F2187="Faltou",$M2187,0))</f>
        <v>0</v>
      </c>
      <c r="P2187" s="27">
        <f>IF($M2187="","",IF($F2187="Compareceu",MAX(0,$M2187-N($H2187)),0))</f>
        <v>0</v>
      </c>
      <c r="Q2187" s="19">
        <f>IF(AND($F2187="Compareceu",$E2187&lt;&gt;"",$A2187&lt;&gt;""),IF(IFERROR(INDEX(ProcRet,MATCH($E2187,ProcNome,0)),0)&gt;0,$A2187+INDEX(ProcRet,MATCH($E2187,ProcNome,0)),""),"")</f>
        <v>0</v>
      </c>
      <c r="R2187" s="26">
        <f>IF($Q2187="","",IF(COUNTIFS(AgPac,$D2187,AgData,"&gt;"&amp;$A2187,AgStatus,"&lt;&gt;Cancelado",AgStatus,"&lt;&gt;Remarcado")&gt;0,"Sim","Não"))</f>
        <v>0</v>
      </c>
      <c r="S2187" s="28">
        <f>IF($A2187="","",IF(AND($F2187="Agendado",$A2187-Hoje&gt;=0,$A2187-Hoje&lt;=DiasConf),"CONFIRMAR",IF(AND($A2187&lt;Hoje,OR($F2187="Agendado",$F2187="Confirmado")),"Atualizar status",IF(AND($F2187="Compareceu",$P2187&gt;0.005),"Cobrar",IF($F2187="Faltou","Falta: reagendar","")))))</f>
        <v>0</v>
      </c>
      <c r="T2187" s="29">
        <f>IF($A2187="","",DATE(YEAR($A2187),MONTH($A2187),1))</f>
        <v>0</v>
      </c>
      <c r="U2187" s="30">
        <f>IF($S2187="CONFIRMAR",MAX($U$4:$U2186)+1,"")</f>
        <v>0</v>
      </c>
      <c r="V2187" s="30">
        <f>IF(AND($R2187="Não",$Q2187&lt;&gt;"",$Q2187&lt;=Hoje+JanelaRet,$Q2187&gt;=Hoje-60),MAX($V$4:$V2186)+1,"")</f>
        <v>0</v>
      </c>
    </row>
    <row r="2188" spans="1:22">
      <c r="A2188" s="16"/>
      <c r="B2188" s="23"/>
      <c r="C2188" s="15"/>
      <c r="D2188" s="15"/>
      <c r="E2188" s="15"/>
      <c r="F2188" s="24"/>
      <c r="G2188" s="17"/>
      <c r="H2188" s="17"/>
      <c r="I2188" s="15"/>
      <c r="J2188" s="25">
        <f>IF($D2188="","",IFERROR(INDEX(PacNome,MATCH($D2188,PacCod,0)),"Paciente não cadastrado"))</f>
        <v>0</v>
      </c>
      <c r="K2188" s="26">
        <f>IF($D2188="","",IFERROR(INDEX(PacConv,MATCH($D2188,PacCod,0))&amp;"",""))</f>
        <v>0</v>
      </c>
      <c r="L2188" s="26">
        <f>IF($A2188="","",CHOOSE(WEEKDAY($A2188,2),"Seg","Ter","Qua","Qui","Sex","Sáb","Dom"))</f>
        <v>0</v>
      </c>
      <c r="M2188" s="27">
        <f>IF($E2188="","",IF($G2188&lt;&gt;"",$G2188,IFERROR(INDEX(ProcValor,MATCH($E2188,ProcNome,0)),0)))</f>
        <v>0</v>
      </c>
      <c r="N2188" s="27">
        <f>IF($M2188="","",IF($F2188="Compareceu",$M2188,0))</f>
        <v>0</v>
      </c>
      <c r="O2188" s="27">
        <f>IF($M2188="","",IF($F2188="Faltou",$M2188,0))</f>
        <v>0</v>
      </c>
      <c r="P2188" s="27">
        <f>IF($M2188="","",IF($F2188="Compareceu",MAX(0,$M2188-N($H2188)),0))</f>
        <v>0</v>
      </c>
      <c r="Q2188" s="19">
        <f>IF(AND($F2188="Compareceu",$E2188&lt;&gt;"",$A2188&lt;&gt;""),IF(IFERROR(INDEX(ProcRet,MATCH($E2188,ProcNome,0)),0)&gt;0,$A2188+INDEX(ProcRet,MATCH($E2188,ProcNome,0)),""),"")</f>
        <v>0</v>
      </c>
      <c r="R2188" s="26">
        <f>IF($Q2188="","",IF(COUNTIFS(AgPac,$D2188,AgData,"&gt;"&amp;$A2188,AgStatus,"&lt;&gt;Cancelado",AgStatus,"&lt;&gt;Remarcado")&gt;0,"Sim","Não"))</f>
        <v>0</v>
      </c>
      <c r="S2188" s="28">
        <f>IF($A2188="","",IF(AND($F2188="Agendado",$A2188-Hoje&gt;=0,$A2188-Hoje&lt;=DiasConf),"CONFIRMAR",IF(AND($A2188&lt;Hoje,OR($F2188="Agendado",$F2188="Confirmado")),"Atualizar status",IF(AND($F2188="Compareceu",$P2188&gt;0.005),"Cobrar",IF($F2188="Faltou","Falta: reagendar","")))))</f>
        <v>0</v>
      </c>
      <c r="T2188" s="29">
        <f>IF($A2188="","",DATE(YEAR($A2188),MONTH($A2188),1))</f>
        <v>0</v>
      </c>
      <c r="U2188" s="30">
        <f>IF($S2188="CONFIRMAR",MAX($U$4:$U2187)+1,"")</f>
        <v>0</v>
      </c>
      <c r="V2188" s="30">
        <f>IF(AND($R2188="Não",$Q2188&lt;&gt;"",$Q2188&lt;=Hoje+JanelaRet,$Q2188&gt;=Hoje-60),MAX($V$4:$V2187)+1,"")</f>
        <v>0</v>
      </c>
    </row>
    <row r="2189" spans="1:22">
      <c r="A2189" s="16"/>
      <c r="B2189" s="23"/>
      <c r="C2189" s="15"/>
      <c r="D2189" s="15"/>
      <c r="E2189" s="15"/>
      <c r="F2189" s="24"/>
      <c r="G2189" s="17"/>
      <c r="H2189" s="17"/>
      <c r="I2189" s="15"/>
      <c r="J2189" s="25">
        <f>IF($D2189="","",IFERROR(INDEX(PacNome,MATCH($D2189,PacCod,0)),"Paciente não cadastrado"))</f>
        <v>0</v>
      </c>
      <c r="K2189" s="26">
        <f>IF($D2189="","",IFERROR(INDEX(PacConv,MATCH($D2189,PacCod,0))&amp;"",""))</f>
        <v>0</v>
      </c>
      <c r="L2189" s="26">
        <f>IF($A2189="","",CHOOSE(WEEKDAY($A2189,2),"Seg","Ter","Qua","Qui","Sex","Sáb","Dom"))</f>
        <v>0</v>
      </c>
      <c r="M2189" s="27">
        <f>IF($E2189="","",IF($G2189&lt;&gt;"",$G2189,IFERROR(INDEX(ProcValor,MATCH($E2189,ProcNome,0)),0)))</f>
        <v>0</v>
      </c>
      <c r="N2189" s="27">
        <f>IF($M2189="","",IF($F2189="Compareceu",$M2189,0))</f>
        <v>0</v>
      </c>
      <c r="O2189" s="27">
        <f>IF($M2189="","",IF($F2189="Faltou",$M2189,0))</f>
        <v>0</v>
      </c>
      <c r="P2189" s="27">
        <f>IF($M2189="","",IF($F2189="Compareceu",MAX(0,$M2189-N($H2189)),0))</f>
        <v>0</v>
      </c>
      <c r="Q2189" s="19">
        <f>IF(AND($F2189="Compareceu",$E2189&lt;&gt;"",$A2189&lt;&gt;""),IF(IFERROR(INDEX(ProcRet,MATCH($E2189,ProcNome,0)),0)&gt;0,$A2189+INDEX(ProcRet,MATCH($E2189,ProcNome,0)),""),"")</f>
        <v>0</v>
      </c>
      <c r="R2189" s="26">
        <f>IF($Q2189="","",IF(COUNTIFS(AgPac,$D2189,AgData,"&gt;"&amp;$A2189,AgStatus,"&lt;&gt;Cancelado",AgStatus,"&lt;&gt;Remarcado")&gt;0,"Sim","Não"))</f>
        <v>0</v>
      </c>
      <c r="S2189" s="28">
        <f>IF($A2189="","",IF(AND($F2189="Agendado",$A2189-Hoje&gt;=0,$A2189-Hoje&lt;=DiasConf),"CONFIRMAR",IF(AND($A2189&lt;Hoje,OR($F2189="Agendado",$F2189="Confirmado")),"Atualizar status",IF(AND($F2189="Compareceu",$P2189&gt;0.005),"Cobrar",IF($F2189="Faltou","Falta: reagendar","")))))</f>
        <v>0</v>
      </c>
      <c r="T2189" s="29">
        <f>IF($A2189="","",DATE(YEAR($A2189),MONTH($A2189),1))</f>
        <v>0</v>
      </c>
      <c r="U2189" s="30">
        <f>IF($S2189="CONFIRMAR",MAX($U$4:$U2188)+1,"")</f>
        <v>0</v>
      </c>
      <c r="V2189" s="30">
        <f>IF(AND($R2189="Não",$Q2189&lt;&gt;"",$Q2189&lt;=Hoje+JanelaRet,$Q2189&gt;=Hoje-60),MAX($V$4:$V2188)+1,"")</f>
        <v>0</v>
      </c>
    </row>
    <row r="2190" spans="1:22">
      <c r="A2190" s="16"/>
      <c r="B2190" s="23"/>
      <c r="C2190" s="15"/>
      <c r="D2190" s="15"/>
      <c r="E2190" s="15"/>
      <c r="F2190" s="24"/>
      <c r="G2190" s="17"/>
      <c r="H2190" s="17"/>
      <c r="I2190" s="15"/>
      <c r="J2190" s="25">
        <f>IF($D2190="","",IFERROR(INDEX(PacNome,MATCH($D2190,PacCod,0)),"Paciente não cadastrado"))</f>
        <v>0</v>
      </c>
      <c r="K2190" s="26">
        <f>IF($D2190="","",IFERROR(INDEX(PacConv,MATCH($D2190,PacCod,0))&amp;"",""))</f>
        <v>0</v>
      </c>
      <c r="L2190" s="26">
        <f>IF($A2190="","",CHOOSE(WEEKDAY($A2190,2),"Seg","Ter","Qua","Qui","Sex","Sáb","Dom"))</f>
        <v>0</v>
      </c>
      <c r="M2190" s="27">
        <f>IF($E2190="","",IF($G2190&lt;&gt;"",$G2190,IFERROR(INDEX(ProcValor,MATCH($E2190,ProcNome,0)),0)))</f>
        <v>0</v>
      </c>
      <c r="N2190" s="27">
        <f>IF($M2190="","",IF($F2190="Compareceu",$M2190,0))</f>
        <v>0</v>
      </c>
      <c r="O2190" s="27">
        <f>IF($M2190="","",IF($F2190="Faltou",$M2190,0))</f>
        <v>0</v>
      </c>
      <c r="P2190" s="27">
        <f>IF($M2190="","",IF($F2190="Compareceu",MAX(0,$M2190-N($H2190)),0))</f>
        <v>0</v>
      </c>
      <c r="Q2190" s="19">
        <f>IF(AND($F2190="Compareceu",$E2190&lt;&gt;"",$A2190&lt;&gt;""),IF(IFERROR(INDEX(ProcRet,MATCH($E2190,ProcNome,0)),0)&gt;0,$A2190+INDEX(ProcRet,MATCH($E2190,ProcNome,0)),""),"")</f>
        <v>0</v>
      </c>
      <c r="R2190" s="26">
        <f>IF($Q2190="","",IF(COUNTIFS(AgPac,$D2190,AgData,"&gt;"&amp;$A2190,AgStatus,"&lt;&gt;Cancelado",AgStatus,"&lt;&gt;Remarcado")&gt;0,"Sim","Não"))</f>
        <v>0</v>
      </c>
      <c r="S2190" s="28">
        <f>IF($A2190="","",IF(AND($F2190="Agendado",$A2190-Hoje&gt;=0,$A2190-Hoje&lt;=DiasConf),"CONFIRMAR",IF(AND($A2190&lt;Hoje,OR($F2190="Agendado",$F2190="Confirmado")),"Atualizar status",IF(AND($F2190="Compareceu",$P2190&gt;0.005),"Cobrar",IF($F2190="Faltou","Falta: reagendar","")))))</f>
        <v>0</v>
      </c>
      <c r="T2190" s="29">
        <f>IF($A2190="","",DATE(YEAR($A2190),MONTH($A2190),1))</f>
        <v>0</v>
      </c>
      <c r="U2190" s="30">
        <f>IF($S2190="CONFIRMAR",MAX($U$4:$U2189)+1,"")</f>
        <v>0</v>
      </c>
      <c r="V2190" s="30">
        <f>IF(AND($R2190="Não",$Q2190&lt;&gt;"",$Q2190&lt;=Hoje+JanelaRet,$Q2190&gt;=Hoje-60),MAX($V$4:$V2189)+1,"")</f>
        <v>0</v>
      </c>
    </row>
    <row r="2191" spans="1:22">
      <c r="A2191" s="16"/>
      <c r="B2191" s="23"/>
      <c r="C2191" s="15"/>
      <c r="D2191" s="15"/>
      <c r="E2191" s="15"/>
      <c r="F2191" s="24"/>
      <c r="G2191" s="17"/>
      <c r="H2191" s="17"/>
      <c r="I2191" s="15"/>
      <c r="J2191" s="25">
        <f>IF($D2191="","",IFERROR(INDEX(PacNome,MATCH($D2191,PacCod,0)),"Paciente não cadastrado"))</f>
        <v>0</v>
      </c>
      <c r="K2191" s="26">
        <f>IF($D2191="","",IFERROR(INDEX(PacConv,MATCH($D2191,PacCod,0))&amp;"",""))</f>
        <v>0</v>
      </c>
      <c r="L2191" s="26">
        <f>IF($A2191="","",CHOOSE(WEEKDAY($A2191,2),"Seg","Ter","Qua","Qui","Sex","Sáb","Dom"))</f>
        <v>0</v>
      </c>
      <c r="M2191" s="27">
        <f>IF($E2191="","",IF($G2191&lt;&gt;"",$G2191,IFERROR(INDEX(ProcValor,MATCH($E2191,ProcNome,0)),0)))</f>
        <v>0</v>
      </c>
      <c r="N2191" s="27">
        <f>IF($M2191="","",IF($F2191="Compareceu",$M2191,0))</f>
        <v>0</v>
      </c>
      <c r="O2191" s="27">
        <f>IF($M2191="","",IF($F2191="Faltou",$M2191,0))</f>
        <v>0</v>
      </c>
      <c r="P2191" s="27">
        <f>IF($M2191="","",IF($F2191="Compareceu",MAX(0,$M2191-N($H2191)),0))</f>
        <v>0</v>
      </c>
      <c r="Q2191" s="19">
        <f>IF(AND($F2191="Compareceu",$E2191&lt;&gt;"",$A2191&lt;&gt;""),IF(IFERROR(INDEX(ProcRet,MATCH($E2191,ProcNome,0)),0)&gt;0,$A2191+INDEX(ProcRet,MATCH($E2191,ProcNome,0)),""),"")</f>
        <v>0</v>
      </c>
      <c r="R2191" s="26">
        <f>IF($Q2191="","",IF(COUNTIFS(AgPac,$D2191,AgData,"&gt;"&amp;$A2191,AgStatus,"&lt;&gt;Cancelado",AgStatus,"&lt;&gt;Remarcado")&gt;0,"Sim","Não"))</f>
        <v>0</v>
      </c>
      <c r="S2191" s="28">
        <f>IF($A2191="","",IF(AND($F2191="Agendado",$A2191-Hoje&gt;=0,$A2191-Hoje&lt;=DiasConf),"CONFIRMAR",IF(AND($A2191&lt;Hoje,OR($F2191="Agendado",$F2191="Confirmado")),"Atualizar status",IF(AND($F2191="Compareceu",$P2191&gt;0.005),"Cobrar",IF($F2191="Faltou","Falta: reagendar","")))))</f>
        <v>0</v>
      </c>
      <c r="T2191" s="29">
        <f>IF($A2191="","",DATE(YEAR($A2191),MONTH($A2191),1))</f>
        <v>0</v>
      </c>
      <c r="U2191" s="30">
        <f>IF($S2191="CONFIRMAR",MAX($U$4:$U2190)+1,"")</f>
        <v>0</v>
      </c>
      <c r="V2191" s="30">
        <f>IF(AND($R2191="Não",$Q2191&lt;&gt;"",$Q2191&lt;=Hoje+JanelaRet,$Q2191&gt;=Hoje-60),MAX($V$4:$V2190)+1,"")</f>
        <v>0</v>
      </c>
    </row>
    <row r="2192" spans="1:22">
      <c r="A2192" s="16"/>
      <c r="B2192" s="23"/>
      <c r="C2192" s="15"/>
      <c r="D2192" s="15"/>
      <c r="E2192" s="15"/>
      <c r="F2192" s="24"/>
      <c r="G2192" s="17"/>
      <c r="H2192" s="17"/>
      <c r="I2192" s="15"/>
      <c r="J2192" s="25">
        <f>IF($D2192="","",IFERROR(INDEX(PacNome,MATCH($D2192,PacCod,0)),"Paciente não cadastrado"))</f>
        <v>0</v>
      </c>
      <c r="K2192" s="26">
        <f>IF($D2192="","",IFERROR(INDEX(PacConv,MATCH($D2192,PacCod,0))&amp;"",""))</f>
        <v>0</v>
      </c>
      <c r="L2192" s="26">
        <f>IF($A2192="","",CHOOSE(WEEKDAY($A2192,2),"Seg","Ter","Qua","Qui","Sex","Sáb","Dom"))</f>
        <v>0</v>
      </c>
      <c r="M2192" s="27">
        <f>IF($E2192="","",IF($G2192&lt;&gt;"",$G2192,IFERROR(INDEX(ProcValor,MATCH($E2192,ProcNome,0)),0)))</f>
        <v>0</v>
      </c>
      <c r="N2192" s="27">
        <f>IF($M2192="","",IF($F2192="Compareceu",$M2192,0))</f>
        <v>0</v>
      </c>
      <c r="O2192" s="27">
        <f>IF($M2192="","",IF($F2192="Faltou",$M2192,0))</f>
        <v>0</v>
      </c>
      <c r="P2192" s="27">
        <f>IF($M2192="","",IF($F2192="Compareceu",MAX(0,$M2192-N($H2192)),0))</f>
        <v>0</v>
      </c>
      <c r="Q2192" s="19">
        <f>IF(AND($F2192="Compareceu",$E2192&lt;&gt;"",$A2192&lt;&gt;""),IF(IFERROR(INDEX(ProcRet,MATCH($E2192,ProcNome,0)),0)&gt;0,$A2192+INDEX(ProcRet,MATCH($E2192,ProcNome,0)),""),"")</f>
        <v>0</v>
      </c>
      <c r="R2192" s="26">
        <f>IF($Q2192="","",IF(COUNTIFS(AgPac,$D2192,AgData,"&gt;"&amp;$A2192,AgStatus,"&lt;&gt;Cancelado",AgStatus,"&lt;&gt;Remarcado")&gt;0,"Sim","Não"))</f>
        <v>0</v>
      </c>
      <c r="S2192" s="28">
        <f>IF($A2192="","",IF(AND($F2192="Agendado",$A2192-Hoje&gt;=0,$A2192-Hoje&lt;=DiasConf),"CONFIRMAR",IF(AND($A2192&lt;Hoje,OR($F2192="Agendado",$F2192="Confirmado")),"Atualizar status",IF(AND($F2192="Compareceu",$P2192&gt;0.005),"Cobrar",IF($F2192="Faltou","Falta: reagendar","")))))</f>
        <v>0</v>
      </c>
      <c r="T2192" s="29">
        <f>IF($A2192="","",DATE(YEAR($A2192),MONTH($A2192),1))</f>
        <v>0</v>
      </c>
      <c r="U2192" s="30">
        <f>IF($S2192="CONFIRMAR",MAX($U$4:$U2191)+1,"")</f>
        <v>0</v>
      </c>
      <c r="V2192" s="30">
        <f>IF(AND($R2192="Não",$Q2192&lt;&gt;"",$Q2192&lt;=Hoje+JanelaRet,$Q2192&gt;=Hoje-60),MAX($V$4:$V2191)+1,"")</f>
        <v>0</v>
      </c>
    </row>
    <row r="2193" spans="1:22">
      <c r="A2193" s="16"/>
      <c r="B2193" s="23"/>
      <c r="C2193" s="15"/>
      <c r="D2193" s="15"/>
      <c r="E2193" s="15"/>
      <c r="F2193" s="24"/>
      <c r="G2193" s="17"/>
      <c r="H2193" s="17"/>
      <c r="I2193" s="15"/>
      <c r="J2193" s="25">
        <f>IF($D2193="","",IFERROR(INDEX(PacNome,MATCH($D2193,PacCod,0)),"Paciente não cadastrado"))</f>
        <v>0</v>
      </c>
      <c r="K2193" s="26">
        <f>IF($D2193="","",IFERROR(INDEX(PacConv,MATCH($D2193,PacCod,0))&amp;"",""))</f>
        <v>0</v>
      </c>
      <c r="L2193" s="26">
        <f>IF($A2193="","",CHOOSE(WEEKDAY($A2193,2),"Seg","Ter","Qua","Qui","Sex","Sáb","Dom"))</f>
        <v>0</v>
      </c>
      <c r="M2193" s="27">
        <f>IF($E2193="","",IF($G2193&lt;&gt;"",$G2193,IFERROR(INDEX(ProcValor,MATCH($E2193,ProcNome,0)),0)))</f>
        <v>0</v>
      </c>
      <c r="N2193" s="27">
        <f>IF($M2193="","",IF($F2193="Compareceu",$M2193,0))</f>
        <v>0</v>
      </c>
      <c r="O2193" s="27">
        <f>IF($M2193="","",IF($F2193="Faltou",$M2193,0))</f>
        <v>0</v>
      </c>
      <c r="P2193" s="27">
        <f>IF($M2193="","",IF($F2193="Compareceu",MAX(0,$M2193-N($H2193)),0))</f>
        <v>0</v>
      </c>
      <c r="Q2193" s="19">
        <f>IF(AND($F2193="Compareceu",$E2193&lt;&gt;"",$A2193&lt;&gt;""),IF(IFERROR(INDEX(ProcRet,MATCH($E2193,ProcNome,0)),0)&gt;0,$A2193+INDEX(ProcRet,MATCH($E2193,ProcNome,0)),""),"")</f>
        <v>0</v>
      </c>
      <c r="R2193" s="26">
        <f>IF($Q2193="","",IF(COUNTIFS(AgPac,$D2193,AgData,"&gt;"&amp;$A2193,AgStatus,"&lt;&gt;Cancelado",AgStatus,"&lt;&gt;Remarcado")&gt;0,"Sim","Não"))</f>
        <v>0</v>
      </c>
      <c r="S2193" s="28">
        <f>IF($A2193="","",IF(AND($F2193="Agendado",$A2193-Hoje&gt;=0,$A2193-Hoje&lt;=DiasConf),"CONFIRMAR",IF(AND($A2193&lt;Hoje,OR($F2193="Agendado",$F2193="Confirmado")),"Atualizar status",IF(AND($F2193="Compareceu",$P2193&gt;0.005),"Cobrar",IF($F2193="Faltou","Falta: reagendar","")))))</f>
        <v>0</v>
      </c>
      <c r="T2193" s="29">
        <f>IF($A2193="","",DATE(YEAR($A2193),MONTH($A2193),1))</f>
        <v>0</v>
      </c>
      <c r="U2193" s="30">
        <f>IF($S2193="CONFIRMAR",MAX($U$4:$U2192)+1,"")</f>
        <v>0</v>
      </c>
      <c r="V2193" s="30">
        <f>IF(AND($R2193="Não",$Q2193&lt;&gt;"",$Q2193&lt;=Hoje+JanelaRet,$Q2193&gt;=Hoje-60),MAX($V$4:$V2192)+1,"")</f>
        <v>0</v>
      </c>
    </row>
    <row r="2194" spans="1:22">
      <c r="A2194" s="16"/>
      <c r="B2194" s="23"/>
      <c r="C2194" s="15"/>
      <c r="D2194" s="15"/>
      <c r="E2194" s="15"/>
      <c r="F2194" s="24"/>
      <c r="G2194" s="17"/>
      <c r="H2194" s="17"/>
      <c r="I2194" s="15"/>
      <c r="J2194" s="25">
        <f>IF($D2194="","",IFERROR(INDEX(PacNome,MATCH($D2194,PacCod,0)),"Paciente não cadastrado"))</f>
        <v>0</v>
      </c>
      <c r="K2194" s="26">
        <f>IF($D2194="","",IFERROR(INDEX(PacConv,MATCH($D2194,PacCod,0))&amp;"",""))</f>
        <v>0</v>
      </c>
      <c r="L2194" s="26">
        <f>IF($A2194="","",CHOOSE(WEEKDAY($A2194,2),"Seg","Ter","Qua","Qui","Sex","Sáb","Dom"))</f>
        <v>0</v>
      </c>
      <c r="M2194" s="27">
        <f>IF($E2194="","",IF($G2194&lt;&gt;"",$G2194,IFERROR(INDEX(ProcValor,MATCH($E2194,ProcNome,0)),0)))</f>
        <v>0</v>
      </c>
      <c r="N2194" s="27">
        <f>IF($M2194="","",IF($F2194="Compareceu",$M2194,0))</f>
        <v>0</v>
      </c>
      <c r="O2194" s="27">
        <f>IF($M2194="","",IF($F2194="Faltou",$M2194,0))</f>
        <v>0</v>
      </c>
      <c r="P2194" s="27">
        <f>IF($M2194="","",IF($F2194="Compareceu",MAX(0,$M2194-N($H2194)),0))</f>
        <v>0</v>
      </c>
      <c r="Q2194" s="19">
        <f>IF(AND($F2194="Compareceu",$E2194&lt;&gt;"",$A2194&lt;&gt;""),IF(IFERROR(INDEX(ProcRet,MATCH($E2194,ProcNome,0)),0)&gt;0,$A2194+INDEX(ProcRet,MATCH($E2194,ProcNome,0)),""),"")</f>
        <v>0</v>
      </c>
      <c r="R2194" s="26">
        <f>IF($Q2194="","",IF(COUNTIFS(AgPac,$D2194,AgData,"&gt;"&amp;$A2194,AgStatus,"&lt;&gt;Cancelado",AgStatus,"&lt;&gt;Remarcado")&gt;0,"Sim","Não"))</f>
        <v>0</v>
      </c>
      <c r="S2194" s="28">
        <f>IF($A2194="","",IF(AND($F2194="Agendado",$A2194-Hoje&gt;=0,$A2194-Hoje&lt;=DiasConf),"CONFIRMAR",IF(AND($A2194&lt;Hoje,OR($F2194="Agendado",$F2194="Confirmado")),"Atualizar status",IF(AND($F2194="Compareceu",$P2194&gt;0.005),"Cobrar",IF($F2194="Faltou","Falta: reagendar","")))))</f>
        <v>0</v>
      </c>
      <c r="T2194" s="29">
        <f>IF($A2194="","",DATE(YEAR($A2194),MONTH($A2194),1))</f>
        <v>0</v>
      </c>
      <c r="U2194" s="30">
        <f>IF($S2194="CONFIRMAR",MAX($U$4:$U2193)+1,"")</f>
        <v>0</v>
      </c>
      <c r="V2194" s="30">
        <f>IF(AND($R2194="Não",$Q2194&lt;&gt;"",$Q2194&lt;=Hoje+JanelaRet,$Q2194&gt;=Hoje-60),MAX($V$4:$V2193)+1,"")</f>
        <v>0</v>
      </c>
    </row>
    <row r="2195" spans="1:22">
      <c r="A2195" s="16"/>
      <c r="B2195" s="23"/>
      <c r="C2195" s="15"/>
      <c r="D2195" s="15"/>
      <c r="E2195" s="15"/>
      <c r="F2195" s="24"/>
      <c r="G2195" s="17"/>
      <c r="H2195" s="17"/>
      <c r="I2195" s="15"/>
      <c r="J2195" s="25">
        <f>IF($D2195="","",IFERROR(INDEX(PacNome,MATCH($D2195,PacCod,0)),"Paciente não cadastrado"))</f>
        <v>0</v>
      </c>
      <c r="K2195" s="26">
        <f>IF($D2195="","",IFERROR(INDEX(PacConv,MATCH($D2195,PacCod,0))&amp;"",""))</f>
        <v>0</v>
      </c>
      <c r="L2195" s="26">
        <f>IF($A2195="","",CHOOSE(WEEKDAY($A2195,2),"Seg","Ter","Qua","Qui","Sex","Sáb","Dom"))</f>
        <v>0</v>
      </c>
      <c r="M2195" s="27">
        <f>IF($E2195="","",IF($G2195&lt;&gt;"",$G2195,IFERROR(INDEX(ProcValor,MATCH($E2195,ProcNome,0)),0)))</f>
        <v>0</v>
      </c>
      <c r="N2195" s="27">
        <f>IF($M2195="","",IF($F2195="Compareceu",$M2195,0))</f>
        <v>0</v>
      </c>
      <c r="O2195" s="27">
        <f>IF($M2195="","",IF($F2195="Faltou",$M2195,0))</f>
        <v>0</v>
      </c>
      <c r="P2195" s="27">
        <f>IF($M2195="","",IF($F2195="Compareceu",MAX(0,$M2195-N($H2195)),0))</f>
        <v>0</v>
      </c>
      <c r="Q2195" s="19">
        <f>IF(AND($F2195="Compareceu",$E2195&lt;&gt;"",$A2195&lt;&gt;""),IF(IFERROR(INDEX(ProcRet,MATCH($E2195,ProcNome,0)),0)&gt;0,$A2195+INDEX(ProcRet,MATCH($E2195,ProcNome,0)),""),"")</f>
        <v>0</v>
      </c>
      <c r="R2195" s="26">
        <f>IF($Q2195="","",IF(COUNTIFS(AgPac,$D2195,AgData,"&gt;"&amp;$A2195,AgStatus,"&lt;&gt;Cancelado",AgStatus,"&lt;&gt;Remarcado")&gt;0,"Sim","Não"))</f>
        <v>0</v>
      </c>
      <c r="S2195" s="28">
        <f>IF($A2195="","",IF(AND($F2195="Agendado",$A2195-Hoje&gt;=0,$A2195-Hoje&lt;=DiasConf),"CONFIRMAR",IF(AND($A2195&lt;Hoje,OR($F2195="Agendado",$F2195="Confirmado")),"Atualizar status",IF(AND($F2195="Compareceu",$P2195&gt;0.005),"Cobrar",IF($F2195="Faltou","Falta: reagendar","")))))</f>
        <v>0</v>
      </c>
      <c r="T2195" s="29">
        <f>IF($A2195="","",DATE(YEAR($A2195),MONTH($A2195),1))</f>
        <v>0</v>
      </c>
      <c r="U2195" s="30">
        <f>IF($S2195="CONFIRMAR",MAX($U$4:$U2194)+1,"")</f>
        <v>0</v>
      </c>
      <c r="V2195" s="30">
        <f>IF(AND($R2195="Não",$Q2195&lt;&gt;"",$Q2195&lt;=Hoje+JanelaRet,$Q2195&gt;=Hoje-60),MAX($V$4:$V2194)+1,"")</f>
        <v>0</v>
      </c>
    </row>
    <row r="2196" spans="1:22">
      <c r="A2196" s="16"/>
      <c r="B2196" s="23"/>
      <c r="C2196" s="15"/>
      <c r="D2196" s="15"/>
      <c r="E2196" s="15"/>
      <c r="F2196" s="24"/>
      <c r="G2196" s="17"/>
      <c r="H2196" s="17"/>
      <c r="I2196" s="15"/>
      <c r="J2196" s="25">
        <f>IF($D2196="","",IFERROR(INDEX(PacNome,MATCH($D2196,PacCod,0)),"Paciente não cadastrado"))</f>
        <v>0</v>
      </c>
      <c r="K2196" s="26">
        <f>IF($D2196="","",IFERROR(INDEX(PacConv,MATCH($D2196,PacCod,0))&amp;"",""))</f>
        <v>0</v>
      </c>
      <c r="L2196" s="26">
        <f>IF($A2196="","",CHOOSE(WEEKDAY($A2196,2),"Seg","Ter","Qua","Qui","Sex","Sáb","Dom"))</f>
        <v>0</v>
      </c>
      <c r="M2196" s="27">
        <f>IF($E2196="","",IF($G2196&lt;&gt;"",$G2196,IFERROR(INDEX(ProcValor,MATCH($E2196,ProcNome,0)),0)))</f>
        <v>0</v>
      </c>
      <c r="N2196" s="27">
        <f>IF($M2196="","",IF($F2196="Compareceu",$M2196,0))</f>
        <v>0</v>
      </c>
      <c r="O2196" s="27">
        <f>IF($M2196="","",IF($F2196="Faltou",$M2196,0))</f>
        <v>0</v>
      </c>
      <c r="P2196" s="27">
        <f>IF($M2196="","",IF($F2196="Compareceu",MAX(0,$M2196-N($H2196)),0))</f>
        <v>0</v>
      </c>
      <c r="Q2196" s="19">
        <f>IF(AND($F2196="Compareceu",$E2196&lt;&gt;"",$A2196&lt;&gt;""),IF(IFERROR(INDEX(ProcRet,MATCH($E2196,ProcNome,0)),0)&gt;0,$A2196+INDEX(ProcRet,MATCH($E2196,ProcNome,0)),""),"")</f>
        <v>0</v>
      </c>
      <c r="R2196" s="26">
        <f>IF($Q2196="","",IF(COUNTIFS(AgPac,$D2196,AgData,"&gt;"&amp;$A2196,AgStatus,"&lt;&gt;Cancelado",AgStatus,"&lt;&gt;Remarcado")&gt;0,"Sim","Não"))</f>
        <v>0</v>
      </c>
      <c r="S2196" s="28">
        <f>IF($A2196="","",IF(AND($F2196="Agendado",$A2196-Hoje&gt;=0,$A2196-Hoje&lt;=DiasConf),"CONFIRMAR",IF(AND($A2196&lt;Hoje,OR($F2196="Agendado",$F2196="Confirmado")),"Atualizar status",IF(AND($F2196="Compareceu",$P2196&gt;0.005),"Cobrar",IF($F2196="Faltou","Falta: reagendar","")))))</f>
        <v>0</v>
      </c>
      <c r="T2196" s="29">
        <f>IF($A2196="","",DATE(YEAR($A2196),MONTH($A2196),1))</f>
        <v>0</v>
      </c>
      <c r="U2196" s="30">
        <f>IF($S2196="CONFIRMAR",MAX($U$4:$U2195)+1,"")</f>
        <v>0</v>
      </c>
      <c r="V2196" s="30">
        <f>IF(AND($R2196="Não",$Q2196&lt;&gt;"",$Q2196&lt;=Hoje+JanelaRet,$Q2196&gt;=Hoje-60),MAX($V$4:$V2195)+1,"")</f>
        <v>0</v>
      </c>
    </row>
    <row r="2197" spans="1:22">
      <c r="A2197" s="16"/>
      <c r="B2197" s="23"/>
      <c r="C2197" s="15"/>
      <c r="D2197" s="15"/>
      <c r="E2197" s="15"/>
      <c r="F2197" s="24"/>
      <c r="G2197" s="17"/>
      <c r="H2197" s="17"/>
      <c r="I2197" s="15"/>
      <c r="J2197" s="25">
        <f>IF($D2197="","",IFERROR(INDEX(PacNome,MATCH($D2197,PacCod,0)),"Paciente não cadastrado"))</f>
        <v>0</v>
      </c>
      <c r="K2197" s="26">
        <f>IF($D2197="","",IFERROR(INDEX(PacConv,MATCH($D2197,PacCod,0))&amp;"",""))</f>
        <v>0</v>
      </c>
      <c r="L2197" s="26">
        <f>IF($A2197="","",CHOOSE(WEEKDAY($A2197,2),"Seg","Ter","Qua","Qui","Sex","Sáb","Dom"))</f>
        <v>0</v>
      </c>
      <c r="M2197" s="27">
        <f>IF($E2197="","",IF($G2197&lt;&gt;"",$G2197,IFERROR(INDEX(ProcValor,MATCH($E2197,ProcNome,0)),0)))</f>
        <v>0</v>
      </c>
      <c r="N2197" s="27">
        <f>IF($M2197="","",IF($F2197="Compareceu",$M2197,0))</f>
        <v>0</v>
      </c>
      <c r="O2197" s="27">
        <f>IF($M2197="","",IF($F2197="Faltou",$M2197,0))</f>
        <v>0</v>
      </c>
      <c r="P2197" s="27">
        <f>IF($M2197="","",IF($F2197="Compareceu",MAX(0,$M2197-N($H2197)),0))</f>
        <v>0</v>
      </c>
      <c r="Q2197" s="19">
        <f>IF(AND($F2197="Compareceu",$E2197&lt;&gt;"",$A2197&lt;&gt;""),IF(IFERROR(INDEX(ProcRet,MATCH($E2197,ProcNome,0)),0)&gt;0,$A2197+INDEX(ProcRet,MATCH($E2197,ProcNome,0)),""),"")</f>
        <v>0</v>
      </c>
      <c r="R2197" s="26">
        <f>IF($Q2197="","",IF(COUNTIFS(AgPac,$D2197,AgData,"&gt;"&amp;$A2197,AgStatus,"&lt;&gt;Cancelado",AgStatus,"&lt;&gt;Remarcado")&gt;0,"Sim","Não"))</f>
        <v>0</v>
      </c>
      <c r="S2197" s="28">
        <f>IF($A2197="","",IF(AND($F2197="Agendado",$A2197-Hoje&gt;=0,$A2197-Hoje&lt;=DiasConf),"CONFIRMAR",IF(AND($A2197&lt;Hoje,OR($F2197="Agendado",$F2197="Confirmado")),"Atualizar status",IF(AND($F2197="Compareceu",$P2197&gt;0.005),"Cobrar",IF($F2197="Faltou","Falta: reagendar","")))))</f>
        <v>0</v>
      </c>
      <c r="T2197" s="29">
        <f>IF($A2197="","",DATE(YEAR($A2197),MONTH($A2197),1))</f>
        <v>0</v>
      </c>
      <c r="U2197" s="30">
        <f>IF($S2197="CONFIRMAR",MAX($U$4:$U2196)+1,"")</f>
        <v>0</v>
      </c>
      <c r="V2197" s="30">
        <f>IF(AND($R2197="Não",$Q2197&lt;&gt;"",$Q2197&lt;=Hoje+JanelaRet,$Q2197&gt;=Hoje-60),MAX($V$4:$V2196)+1,"")</f>
        <v>0</v>
      </c>
    </row>
    <row r="2198" spans="1:22">
      <c r="A2198" s="16"/>
      <c r="B2198" s="23"/>
      <c r="C2198" s="15"/>
      <c r="D2198" s="15"/>
      <c r="E2198" s="15"/>
      <c r="F2198" s="24"/>
      <c r="G2198" s="17"/>
      <c r="H2198" s="17"/>
      <c r="I2198" s="15"/>
      <c r="J2198" s="25">
        <f>IF($D2198="","",IFERROR(INDEX(PacNome,MATCH($D2198,PacCod,0)),"Paciente não cadastrado"))</f>
        <v>0</v>
      </c>
      <c r="K2198" s="26">
        <f>IF($D2198="","",IFERROR(INDEX(PacConv,MATCH($D2198,PacCod,0))&amp;"",""))</f>
        <v>0</v>
      </c>
      <c r="L2198" s="26">
        <f>IF($A2198="","",CHOOSE(WEEKDAY($A2198,2),"Seg","Ter","Qua","Qui","Sex","Sáb","Dom"))</f>
        <v>0</v>
      </c>
      <c r="M2198" s="27">
        <f>IF($E2198="","",IF($G2198&lt;&gt;"",$G2198,IFERROR(INDEX(ProcValor,MATCH($E2198,ProcNome,0)),0)))</f>
        <v>0</v>
      </c>
      <c r="N2198" s="27">
        <f>IF($M2198="","",IF($F2198="Compareceu",$M2198,0))</f>
        <v>0</v>
      </c>
      <c r="O2198" s="27">
        <f>IF($M2198="","",IF($F2198="Faltou",$M2198,0))</f>
        <v>0</v>
      </c>
      <c r="P2198" s="27">
        <f>IF($M2198="","",IF($F2198="Compareceu",MAX(0,$M2198-N($H2198)),0))</f>
        <v>0</v>
      </c>
      <c r="Q2198" s="19">
        <f>IF(AND($F2198="Compareceu",$E2198&lt;&gt;"",$A2198&lt;&gt;""),IF(IFERROR(INDEX(ProcRet,MATCH($E2198,ProcNome,0)),0)&gt;0,$A2198+INDEX(ProcRet,MATCH($E2198,ProcNome,0)),""),"")</f>
        <v>0</v>
      </c>
      <c r="R2198" s="26">
        <f>IF($Q2198="","",IF(COUNTIFS(AgPac,$D2198,AgData,"&gt;"&amp;$A2198,AgStatus,"&lt;&gt;Cancelado",AgStatus,"&lt;&gt;Remarcado")&gt;0,"Sim","Não"))</f>
        <v>0</v>
      </c>
      <c r="S2198" s="28">
        <f>IF($A2198="","",IF(AND($F2198="Agendado",$A2198-Hoje&gt;=0,$A2198-Hoje&lt;=DiasConf),"CONFIRMAR",IF(AND($A2198&lt;Hoje,OR($F2198="Agendado",$F2198="Confirmado")),"Atualizar status",IF(AND($F2198="Compareceu",$P2198&gt;0.005),"Cobrar",IF($F2198="Faltou","Falta: reagendar","")))))</f>
        <v>0</v>
      </c>
      <c r="T2198" s="29">
        <f>IF($A2198="","",DATE(YEAR($A2198),MONTH($A2198),1))</f>
        <v>0</v>
      </c>
      <c r="U2198" s="30">
        <f>IF($S2198="CONFIRMAR",MAX($U$4:$U2197)+1,"")</f>
        <v>0</v>
      </c>
      <c r="V2198" s="30">
        <f>IF(AND($R2198="Não",$Q2198&lt;&gt;"",$Q2198&lt;=Hoje+JanelaRet,$Q2198&gt;=Hoje-60),MAX($V$4:$V2197)+1,"")</f>
        <v>0</v>
      </c>
    </row>
    <row r="2199" spans="1:22">
      <c r="A2199" s="16"/>
      <c r="B2199" s="23"/>
      <c r="C2199" s="15"/>
      <c r="D2199" s="15"/>
      <c r="E2199" s="15"/>
      <c r="F2199" s="24"/>
      <c r="G2199" s="17"/>
      <c r="H2199" s="17"/>
      <c r="I2199" s="15"/>
      <c r="J2199" s="25">
        <f>IF($D2199="","",IFERROR(INDEX(PacNome,MATCH($D2199,PacCod,0)),"Paciente não cadastrado"))</f>
        <v>0</v>
      </c>
      <c r="K2199" s="26">
        <f>IF($D2199="","",IFERROR(INDEX(PacConv,MATCH($D2199,PacCod,0))&amp;"",""))</f>
        <v>0</v>
      </c>
      <c r="L2199" s="26">
        <f>IF($A2199="","",CHOOSE(WEEKDAY($A2199,2),"Seg","Ter","Qua","Qui","Sex","Sáb","Dom"))</f>
        <v>0</v>
      </c>
      <c r="M2199" s="27">
        <f>IF($E2199="","",IF($G2199&lt;&gt;"",$G2199,IFERROR(INDEX(ProcValor,MATCH($E2199,ProcNome,0)),0)))</f>
        <v>0</v>
      </c>
      <c r="N2199" s="27">
        <f>IF($M2199="","",IF($F2199="Compareceu",$M2199,0))</f>
        <v>0</v>
      </c>
      <c r="O2199" s="27">
        <f>IF($M2199="","",IF($F2199="Faltou",$M2199,0))</f>
        <v>0</v>
      </c>
      <c r="P2199" s="27">
        <f>IF($M2199="","",IF($F2199="Compareceu",MAX(0,$M2199-N($H2199)),0))</f>
        <v>0</v>
      </c>
      <c r="Q2199" s="19">
        <f>IF(AND($F2199="Compareceu",$E2199&lt;&gt;"",$A2199&lt;&gt;""),IF(IFERROR(INDEX(ProcRet,MATCH($E2199,ProcNome,0)),0)&gt;0,$A2199+INDEX(ProcRet,MATCH($E2199,ProcNome,0)),""),"")</f>
        <v>0</v>
      </c>
      <c r="R2199" s="26">
        <f>IF($Q2199="","",IF(COUNTIFS(AgPac,$D2199,AgData,"&gt;"&amp;$A2199,AgStatus,"&lt;&gt;Cancelado",AgStatus,"&lt;&gt;Remarcado")&gt;0,"Sim","Não"))</f>
        <v>0</v>
      </c>
      <c r="S2199" s="28">
        <f>IF($A2199="","",IF(AND($F2199="Agendado",$A2199-Hoje&gt;=0,$A2199-Hoje&lt;=DiasConf),"CONFIRMAR",IF(AND($A2199&lt;Hoje,OR($F2199="Agendado",$F2199="Confirmado")),"Atualizar status",IF(AND($F2199="Compareceu",$P2199&gt;0.005),"Cobrar",IF($F2199="Faltou","Falta: reagendar","")))))</f>
        <v>0</v>
      </c>
      <c r="T2199" s="29">
        <f>IF($A2199="","",DATE(YEAR($A2199),MONTH($A2199),1))</f>
        <v>0</v>
      </c>
      <c r="U2199" s="30">
        <f>IF($S2199="CONFIRMAR",MAX($U$4:$U2198)+1,"")</f>
        <v>0</v>
      </c>
      <c r="V2199" s="30">
        <f>IF(AND($R2199="Não",$Q2199&lt;&gt;"",$Q2199&lt;=Hoje+JanelaRet,$Q2199&gt;=Hoje-60),MAX($V$4:$V2198)+1,"")</f>
        <v>0</v>
      </c>
    </row>
    <row r="2200" spans="1:22">
      <c r="A2200" s="16"/>
      <c r="B2200" s="23"/>
      <c r="C2200" s="15"/>
      <c r="D2200" s="15"/>
      <c r="E2200" s="15"/>
      <c r="F2200" s="24"/>
      <c r="G2200" s="17"/>
      <c r="H2200" s="17"/>
      <c r="I2200" s="15"/>
      <c r="J2200" s="25">
        <f>IF($D2200="","",IFERROR(INDEX(PacNome,MATCH($D2200,PacCod,0)),"Paciente não cadastrado"))</f>
        <v>0</v>
      </c>
      <c r="K2200" s="26">
        <f>IF($D2200="","",IFERROR(INDEX(PacConv,MATCH($D2200,PacCod,0))&amp;"",""))</f>
        <v>0</v>
      </c>
      <c r="L2200" s="26">
        <f>IF($A2200="","",CHOOSE(WEEKDAY($A2200,2),"Seg","Ter","Qua","Qui","Sex","Sáb","Dom"))</f>
        <v>0</v>
      </c>
      <c r="M2200" s="27">
        <f>IF($E2200="","",IF($G2200&lt;&gt;"",$G2200,IFERROR(INDEX(ProcValor,MATCH($E2200,ProcNome,0)),0)))</f>
        <v>0</v>
      </c>
      <c r="N2200" s="27">
        <f>IF($M2200="","",IF($F2200="Compareceu",$M2200,0))</f>
        <v>0</v>
      </c>
      <c r="O2200" s="27">
        <f>IF($M2200="","",IF($F2200="Faltou",$M2200,0))</f>
        <v>0</v>
      </c>
      <c r="P2200" s="27">
        <f>IF($M2200="","",IF($F2200="Compareceu",MAX(0,$M2200-N($H2200)),0))</f>
        <v>0</v>
      </c>
      <c r="Q2200" s="19">
        <f>IF(AND($F2200="Compareceu",$E2200&lt;&gt;"",$A2200&lt;&gt;""),IF(IFERROR(INDEX(ProcRet,MATCH($E2200,ProcNome,0)),0)&gt;0,$A2200+INDEX(ProcRet,MATCH($E2200,ProcNome,0)),""),"")</f>
        <v>0</v>
      </c>
      <c r="R2200" s="26">
        <f>IF($Q2200="","",IF(COUNTIFS(AgPac,$D2200,AgData,"&gt;"&amp;$A2200,AgStatus,"&lt;&gt;Cancelado",AgStatus,"&lt;&gt;Remarcado")&gt;0,"Sim","Não"))</f>
        <v>0</v>
      </c>
      <c r="S2200" s="28">
        <f>IF($A2200="","",IF(AND($F2200="Agendado",$A2200-Hoje&gt;=0,$A2200-Hoje&lt;=DiasConf),"CONFIRMAR",IF(AND($A2200&lt;Hoje,OR($F2200="Agendado",$F2200="Confirmado")),"Atualizar status",IF(AND($F2200="Compareceu",$P2200&gt;0.005),"Cobrar",IF($F2200="Faltou","Falta: reagendar","")))))</f>
        <v>0</v>
      </c>
      <c r="T2200" s="29">
        <f>IF($A2200="","",DATE(YEAR($A2200),MONTH($A2200),1))</f>
        <v>0</v>
      </c>
      <c r="U2200" s="30">
        <f>IF($S2200="CONFIRMAR",MAX($U$4:$U2199)+1,"")</f>
        <v>0</v>
      </c>
      <c r="V2200" s="30">
        <f>IF(AND($R2200="Não",$Q2200&lt;&gt;"",$Q2200&lt;=Hoje+JanelaRet,$Q2200&gt;=Hoje-60),MAX($V$4:$V2199)+1,"")</f>
        <v>0</v>
      </c>
    </row>
    <row r="2201" spans="1:22">
      <c r="A2201" s="16"/>
      <c r="B2201" s="23"/>
      <c r="C2201" s="15"/>
      <c r="D2201" s="15"/>
      <c r="E2201" s="15"/>
      <c r="F2201" s="24"/>
      <c r="G2201" s="17"/>
      <c r="H2201" s="17"/>
      <c r="I2201" s="15"/>
      <c r="J2201" s="25">
        <f>IF($D2201="","",IFERROR(INDEX(PacNome,MATCH($D2201,PacCod,0)),"Paciente não cadastrado"))</f>
        <v>0</v>
      </c>
      <c r="K2201" s="26">
        <f>IF($D2201="","",IFERROR(INDEX(PacConv,MATCH($D2201,PacCod,0))&amp;"",""))</f>
        <v>0</v>
      </c>
      <c r="L2201" s="26">
        <f>IF($A2201="","",CHOOSE(WEEKDAY($A2201,2),"Seg","Ter","Qua","Qui","Sex","Sáb","Dom"))</f>
        <v>0</v>
      </c>
      <c r="M2201" s="27">
        <f>IF($E2201="","",IF($G2201&lt;&gt;"",$G2201,IFERROR(INDEX(ProcValor,MATCH($E2201,ProcNome,0)),0)))</f>
        <v>0</v>
      </c>
      <c r="N2201" s="27">
        <f>IF($M2201="","",IF($F2201="Compareceu",$M2201,0))</f>
        <v>0</v>
      </c>
      <c r="O2201" s="27">
        <f>IF($M2201="","",IF($F2201="Faltou",$M2201,0))</f>
        <v>0</v>
      </c>
      <c r="P2201" s="27">
        <f>IF($M2201="","",IF($F2201="Compareceu",MAX(0,$M2201-N($H2201)),0))</f>
        <v>0</v>
      </c>
      <c r="Q2201" s="19">
        <f>IF(AND($F2201="Compareceu",$E2201&lt;&gt;"",$A2201&lt;&gt;""),IF(IFERROR(INDEX(ProcRet,MATCH($E2201,ProcNome,0)),0)&gt;0,$A2201+INDEX(ProcRet,MATCH($E2201,ProcNome,0)),""),"")</f>
        <v>0</v>
      </c>
      <c r="R2201" s="26">
        <f>IF($Q2201="","",IF(COUNTIFS(AgPac,$D2201,AgData,"&gt;"&amp;$A2201,AgStatus,"&lt;&gt;Cancelado",AgStatus,"&lt;&gt;Remarcado")&gt;0,"Sim","Não"))</f>
        <v>0</v>
      </c>
      <c r="S2201" s="28">
        <f>IF($A2201="","",IF(AND($F2201="Agendado",$A2201-Hoje&gt;=0,$A2201-Hoje&lt;=DiasConf),"CONFIRMAR",IF(AND($A2201&lt;Hoje,OR($F2201="Agendado",$F2201="Confirmado")),"Atualizar status",IF(AND($F2201="Compareceu",$P2201&gt;0.005),"Cobrar",IF($F2201="Faltou","Falta: reagendar","")))))</f>
        <v>0</v>
      </c>
      <c r="T2201" s="29">
        <f>IF($A2201="","",DATE(YEAR($A2201),MONTH($A2201),1))</f>
        <v>0</v>
      </c>
      <c r="U2201" s="30">
        <f>IF($S2201="CONFIRMAR",MAX($U$4:$U2200)+1,"")</f>
        <v>0</v>
      </c>
      <c r="V2201" s="30">
        <f>IF(AND($R2201="Não",$Q2201&lt;&gt;"",$Q2201&lt;=Hoje+JanelaRet,$Q2201&gt;=Hoje-60),MAX($V$4:$V2200)+1,"")</f>
        <v>0</v>
      </c>
    </row>
    <row r="2202" spans="1:22">
      <c r="A2202" s="16"/>
      <c r="B2202" s="23"/>
      <c r="C2202" s="15"/>
      <c r="D2202" s="15"/>
      <c r="E2202" s="15"/>
      <c r="F2202" s="24"/>
      <c r="G2202" s="17"/>
      <c r="H2202" s="17"/>
      <c r="I2202" s="15"/>
      <c r="J2202" s="25">
        <f>IF($D2202="","",IFERROR(INDEX(PacNome,MATCH($D2202,PacCod,0)),"Paciente não cadastrado"))</f>
        <v>0</v>
      </c>
      <c r="K2202" s="26">
        <f>IF($D2202="","",IFERROR(INDEX(PacConv,MATCH($D2202,PacCod,0))&amp;"",""))</f>
        <v>0</v>
      </c>
      <c r="L2202" s="26">
        <f>IF($A2202="","",CHOOSE(WEEKDAY($A2202,2),"Seg","Ter","Qua","Qui","Sex","Sáb","Dom"))</f>
        <v>0</v>
      </c>
      <c r="M2202" s="27">
        <f>IF($E2202="","",IF($G2202&lt;&gt;"",$G2202,IFERROR(INDEX(ProcValor,MATCH($E2202,ProcNome,0)),0)))</f>
        <v>0</v>
      </c>
      <c r="N2202" s="27">
        <f>IF($M2202="","",IF($F2202="Compareceu",$M2202,0))</f>
        <v>0</v>
      </c>
      <c r="O2202" s="27">
        <f>IF($M2202="","",IF($F2202="Faltou",$M2202,0))</f>
        <v>0</v>
      </c>
      <c r="P2202" s="27">
        <f>IF($M2202="","",IF($F2202="Compareceu",MAX(0,$M2202-N($H2202)),0))</f>
        <v>0</v>
      </c>
      <c r="Q2202" s="19">
        <f>IF(AND($F2202="Compareceu",$E2202&lt;&gt;"",$A2202&lt;&gt;""),IF(IFERROR(INDEX(ProcRet,MATCH($E2202,ProcNome,0)),0)&gt;0,$A2202+INDEX(ProcRet,MATCH($E2202,ProcNome,0)),""),"")</f>
        <v>0</v>
      </c>
      <c r="R2202" s="26">
        <f>IF($Q2202="","",IF(COUNTIFS(AgPac,$D2202,AgData,"&gt;"&amp;$A2202,AgStatus,"&lt;&gt;Cancelado",AgStatus,"&lt;&gt;Remarcado")&gt;0,"Sim","Não"))</f>
        <v>0</v>
      </c>
      <c r="S2202" s="28">
        <f>IF($A2202="","",IF(AND($F2202="Agendado",$A2202-Hoje&gt;=0,$A2202-Hoje&lt;=DiasConf),"CONFIRMAR",IF(AND($A2202&lt;Hoje,OR($F2202="Agendado",$F2202="Confirmado")),"Atualizar status",IF(AND($F2202="Compareceu",$P2202&gt;0.005),"Cobrar",IF($F2202="Faltou","Falta: reagendar","")))))</f>
        <v>0</v>
      </c>
      <c r="T2202" s="29">
        <f>IF($A2202="","",DATE(YEAR($A2202),MONTH($A2202),1))</f>
        <v>0</v>
      </c>
      <c r="U2202" s="30">
        <f>IF($S2202="CONFIRMAR",MAX($U$4:$U2201)+1,"")</f>
        <v>0</v>
      </c>
      <c r="V2202" s="30">
        <f>IF(AND($R2202="Não",$Q2202&lt;&gt;"",$Q2202&lt;=Hoje+JanelaRet,$Q2202&gt;=Hoje-60),MAX($V$4:$V2201)+1,"")</f>
        <v>0</v>
      </c>
    </row>
    <row r="2203" spans="1:22">
      <c r="A2203" s="16"/>
      <c r="B2203" s="23"/>
      <c r="C2203" s="15"/>
      <c r="D2203" s="15"/>
      <c r="E2203" s="15"/>
      <c r="F2203" s="24"/>
      <c r="G2203" s="17"/>
      <c r="H2203" s="17"/>
      <c r="I2203" s="15"/>
      <c r="J2203" s="25">
        <f>IF($D2203="","",IFERROR(INDEX(PacNome,MATCH($D2203,PacCod,0)),"Paciente não cadastrado"))</f>
        <v>0</v>
      </c>
      <c r="K2203" s="26">
        <f>IF($D2203="","",IFERROR(INDEX(PacConv,MATCH($D2203,PacCod,0))&amp;"",""))</f>
        <v>0</v>
      </c>
      <c r="L2203" s="26">
        <f>IF($A2203="","",CHOOSE(WEEKDAY($A2203,2),"Seg","Ter","Qua","Qui","Sex","Sáb","Dom"))</f>
        <v>0</v>
      </c>
      <c r="M2203" s="27">
        <f>IF($E2203="","",IF($G2203&lt;&gt;"",$G2203,IFERROR(INDEX(ProcValor,MATCH($E2203,ProcNome,0)),0)))</f>
        <v>0</v>
      </c>
      <c r="N2203" s="27">
        <f>IF($M2203="","",IF($F2203="Compareceu",$M2203,0))</f>
        <v>0</v>
      </c>
      <c r="O2203" s="27">
        <f>IF($M2203="","",IF($F2203="Faltou",$M2203,0))</f>
        <v>0</v>
      </c>
      <c r="P2203" s="27">
        <f>IF($M2203="","",IF($F2203="Compareceu",MAX(0,$M2203-N($H2203)),0))</f>
        <v>0</v>
      </c>
      <c r="Q2203" s="19">
        <f>IF(AND($F2203="Compareceu",$E2203&lt;&gt;"",$A2203&lt;&gt;""),IF(IFERROR(INDEX(ProcRet,MATCH($E2203,ProcNome,0)),0)&gt;0,$A2203+INDEX(ProcRet,MATCH($E2203,ProcNome,0)),""),"")</f>
        <v>0</v>
      </c>
      <c r="R2203" s="26">
        <f>IF($Q2203="","",IF(COUNTIFS(AgPac,$D2203,AgData,"&gt;"&amp;$A2203,AgStatus,"&lt;&gt;Cancelado",AgStatus,"&lt;&gt;Remarcado")&gt;0,"Sim","Não"))</f>
        <v>0</v>
      </c>
      <c r="S2203" s="28">
        <f>IF($A2203="","",IF(AND($F2203="Agendado",$A2203-Hoje&gt;=0,$A2203-Hoje&lt;=DiasConf),"CONFIRMAR",IF(AND($A2203&lt;Hoje,OR($F2203="Agendado",$F2203="Confirmado")),"Atualizar status",IF(AND($F2203="Compareceu",$P2203&gt;0.005),"Cobrar",IF($F2203="Faltou","Falta: reagendar","")))))</f>
        <v>0</v>
      </c>
      <c r="T2203" s="29">
        <f>IF($A2203="","",DATE(YEAR($A2203),MONTH($A2203),1))</f>
        <v>0</v>
      </c>
      <c r="U2203" s="30">
        <f>IF($S2203="CONFIRMAR",MAX($U$4:$U2202)+1,"")</f>
        <v>0</v>
      </c>
      <c r="V2203" s="30">
        <f>IF(AND($R2203="Não",$Q2203&lt;&gt;"",$Q2203&lt;=Hoje+JanelaRet,$Q2203&gt;=Hoje-60),MAX($V$4:$V2202)+1,"")</f>
        <v>0</v>
      </c>
    </row>
    <row r="2204" spans="1:22">
      <c r="A2204" s="16"/>
      <c r="B2204" s="23"/>
      <c r="C2204" s="15"/>
      <c r="D2204" s="15"/>
      <c r="E2204" s="15"/>
      <c r="F2204" s="24"/>
      <c r="G2204" s="17"/>
      <c r="H2204" s="17"/>
      <c r="I2204" s="15"/>
      <c r="J2204" s="25">
        <f>IF($D2204="","",IFERROR(INDEX(PacNome,MATCH($D2204,PacCod,0)),"Paciente não cadastrado"))</f>
        <v>0</v>
      </c>
      <c r="K2204" s="26">
        <f>IF($D2204="","",IFERROR(INDEX(PacConv,MATCH($D2204,PacCod,0))&amp;"",""))</f>
        <v>0</v>
      </c>
      <c r="L2204" s="26">
        <f>IF($A2204="","",CHOOSE(WEEKDAY($A2204,2),"Seg","Ter","Qua","Qui","Sex","Sáb","Dom"))</f>
        <v>0</v>
      </c>
      <c r="M2204" s="27">
        <f>IF($E2204="","",IF($G2204&lt;&gt;"",$G2204,IFERROR(INDEX(ProcValor,MATCH($E2204,ProcNome,0)),0)))</f>
        <v>0</v>
      </c>
      <c r="N2204" s="27">
        <f>IF($M2204="","",IF($F2204="Compareceu",$M2204,0))</f>
        <v>0</v>
      </c>
      <c r="O2204" s="27">
        <f>IF($M2204="","",IF($F2204="Faltou",$M2204,0))</f>
        <v>0</v>
      </c>
      <c r="P2204" s="27">
        <f>IF($M2204="","",IF($F2204="Compareceu",MAX(0,$M2204-N($H2204)),0))</f>
        <v>0</v>
      </c>
      <c r="Q2204" s="19">
        <f>IF(AND($F2204="Compareceu",$E2204&lt;&gt;"",$A2204&lt;&gt;""),IF(IFERROR(INDEX(ProcRet,MATCH($E2204,ProcNome,0)),0)&gt;0,$A2204+INDEX(ProcRet,MATCH($E2204,ProcNome,0)),""),"")</f>
        <v>0</v>
      </c>
      <c r="R2204" s="26">
        <f>IF($Q2204="","",IF(COUNTIFS(AgPac,$D2204,AgData,"&gt;"&amp;$A2204,AgStatus,"&lt;&gt;Cancelado",AgStatus,"&lt;&gt;Remarcado")&gt;0,"Sim","Não"))</f>
        <v>0</v>
      </c>
      <c r="S2204" s="28">
        <f>IF($A2204="","",IF(AND($F2204="Agendado",$A2204-Hoje&gt;=0,$A2204-Hoje&lt;=DiasConf),"CONFIRMAR",IF(AND($A2204&lt;Hoje,OR($F2204="Agendado",$F2204="Confirmado")),"Atualizar status",IF(AND($F2204="Compareceu",$P2204&gt;0.005),"Cobrar",IF($F2204="Faltou","Falta: reagendar","")))))</f>
        <v>0</v>
      </c>
      <c r="T2204" s="29">
        <f>IF($A2204="","",DATE(YEAR($A2204),MONTH($A2204),1))</f>
        <v>0</v>
      </c>
      <c r="U2204" s="30">
        <f>IF($S2204="CONFIRMAR",MAX($U$4:$U2203)+1,"")</f>
        <v>0</v>
      </c>
      <c r="V2204" s="30">
        <f>IF(AND($R2204="Não",$Q2204&lt;&gt;"",$Q2204&lt;=Hoje+JanelaRet,$Q2204&gt;=Hoje-60),MAX($V$4:$V2203)+1,"")</f>
        <v>0</v>
      </c>
    </row>
    <row r="2205" spans="1:22">
      <c r="A2205" s="16"/>
      <c r="B2205" s="23"/>
      <c r="C2205" s="15"/>
      <c r="D2205" s="15"/>
      <c r="E2205" s="15"/>
      <c r="F2205" s="24"/>
      <c r="G2205" s="17"/>
      <c r="H2205" s="17"/>
      <c r="I2205" s="15"/>
      <c r="J2205" s="25">
        <f>IF($D2205="","",IFERROR(INDEX(PacNome,MATCH($D2205,PacCod,0)),"Paciente não cadastrado"))</f>
        <v>0</v>
      </c>
      <c r="K2205" s="26">
        <f>IF($D2205="","",IFERROR(INDEX(PacConv,MATCH($D2205,PacCod,0))&amp;"",""))</f>
        <v>0</v>
      </c>
      <c r="L2205" s="26">
        <f>IF($A2205="","",CHOOSE(WEEKDAY($A2205,2),"Seg","Ter","Qua","Qui","Sex","Sáb","Dom"))</f>
        <v>0</v>
      </c>
      <c r="M2205" s="27">
        <f>IF($E2205="","",IF($G2205&lt;&gt;"",$G2205,IFERROR(INDEX(ProcValor,MATCH($E2205,ProcNome,0)),0)))</f>
        <v>0</v>
      </c>
      <c r="N2205" s="27">
        <f>IF($M2205="","",IF($F2205="Compareceu",$M2205,0))</f>
        <v>0</v>
      </c>
      <c r="O2205" s="27">
        <f>IF($M2205="","",IF($F2205="Faltou",$M2205,0))</f>
        <v>0</v>
      </c>
      <c r="P2205" s="27">
        <f>IF($M2205="","",IF($F2205="Compareceu",MAX(0,$M2205-N($H2205)),0))</f>
        <v>0</v>
      </c>
      <c r="Q2205" s="19">
        <f>IF(AND($F2205="Compareceu",$E2205&lt;&gt;"",$A2205&lt;&gt;""),IF(IFERROR(INDEX(ProcRet,MATCH($E2205,ProcNome,0)),0)&gt;0,$A2205+INDEX(ProcRet,MATCH($E2205,ProcNome,0)),""),"")</f>
        <v>0</v>
      </c>
      <c r="R2205" s="26">
        <f>IF($Q2205="","",IF(COUNTIFS(AgPac,$D2205,AgData,"&gt;"&amp;$A2205,AgStatus,"&lt;&gt;Cancelado",AgStatus,"&lt;&gt;Remarcado")&gt;0,"Sim","Não"))</f>
        <v>0</v>
      </c>
      <c r="S2205" s="28">
        <f>IF($A2205="","",IF(AND($F2205="Agendado",$A2205-Hoje&gt;=0,$A2205-Hoje&lt;=DiasConf),"CONFIRMAR",IF(AND($A2205&lt;Hoje,OR($F2205="Agendado",$F2205="Confirmado")),"Atualizar status",IF(AND($F2205="Compareceu",$P2205&gt;0.005),"Cobrar",IF($F2205="Faltou","Falta: reagendar","")))))</f>
        <v>0</v>
      </c>
      <c r="T2205" s="29">
        <f>IF($A2205="","",DATE(YEAR($A2205),MONTH($A2205),1))</f>
        <v>0</v>
      </c>
      <c r="U2205" s="30">
        <f>IF($S2205="CONFIRMAR",MAX($U$4:$U2204)+1,"")</f>
        <v>0</v>
      </c>
      <c r="V2205" s="30">
        <f>IF(AND($R2205="Não",$Q2205&lt;&gt;"",$Q2205&lt;=Hoje+JanelaRet,$Q2205&gt;=Hoje-60),MAX($V$4:$V2204)+1,"")</f>
        <v>0</v>
      </c>
    </row>
    <row r="2206" spans="1:22">
      <c r="A2206" s="16"/>
      <c r="B2206" s="23"/>
      <c r="C2206" s="15"/>
      <c r="D2206" s="15"/>
      <c r="E2206" s="15"/>
      <c r="F2206" s="24"/>
      <c r="G2206" s="17"/>
      <c r="H2206" s="17"/>
      <c r="I2206" s="15"/>
      <c r="J2206" s="25">
        <f>IF($D2206="","",IFERROR(INDEX(PacNome,MATCH($D2206,PacCod,0)),"Paciente não cadastrado"))</f>
        <v>0</v>
      </c>
      <c r="K2206" s="26">
        <f>IF($D2206="","",IFERROR(INDEX(PacConv,MATCH($D2206,PacCod,0))&amp;"",""))</f>
        <v>0</v>
      </c>
      <c r="L2206" s="26">
        <f>IF($A2206="","",CHOOSE(WEEKDAY($A2206,2),"Seg","Ter","Qua","Qui","Sex","Sáb","Dom"))</f>
        <v>0</v>
      </c>
      <c r="M2206" s="27">
        <f>IF($E2206="","",IF($G2206&lt;&gt;"",$G2206,IFERROR(INDEX(ProcValor,MATCH($E2206,ProcNome,0)),0)))</f>
        <v>0</v>
      </c>
      <c r="N2206" s="27">
        <f>IF($M2206="","",IF($F2206="Compareceu",$M2206,0))</f>
        <v>0</v>
      </c>
      <c r="O2206" s="27">
        <f>IF($M2206="","",IF($F2206="Faltou",$M2206,0))</f>
        <v>0</v>
      </c>
      <c r="P2206" s="27">
        <f>IF($M2206="","",IF($F2206="Compareceu",MAX(0,$M2206-N($H2206)),0))</f>
        <v>0</v>
      </c>
      <c r="Q2206" s="19">
        <f>IF(AND($F2206="Compareceu",$E2206&lt;&gt;"",$A2206&lt;&gt;""),IF(IFERROR(INDEX(ProcRet,MATCH($E2206,ProcNome,0)),0)&gt;0,$A2206+INDEX(ProcRet,MATCH($E2206,ProcNome,0)),""),"")</f>
        <v>0</v>
      </c>
      <c r="R2206" s="26">
        <f>IF($Q2206="","",IF(COUNTIFS(AgPac,$D2206,AgData,"&gt;"&amp;$A2206,AgStatus,"&lt;&gt;Cancelado",AgStatus,"&lt;&gt;Remarcado")&gt;0,"Sim","Não"))</f>
        <v>0</v>
      </c>
      <c r="S2206" s="28">
        <f>IF($A2206="","",IF(AND($F2206="Agendado",$A2206-Hoje&gt;=0,$A2206-Hoje&lt;=DiasConf),"CONFIRMAR",IF(AND($A2206&lt;Hoje,OR($F2206="Agendado",$F2206="Confirmado")),"Atualizar status",IF(AND($F2206="Compareceu",$P2206&gt;0.005),"Cobrar",IF($F2206="Faltou","Falta: reagendar","")))))</f>
        <v>0</v>
      </c>
      <c r="T2206" s="29">
        <f>IF($A2206="","",DATE(YEAR($A2206),MONTH($A2206),1))</f>
        <v>0</v>
      </c>
      <c r="U2206" s="30">
        <f>IF($S2206="CONFIRMAR",MAX($U$4:$U2205)+1,"")</f>
        <v>0</v>
      </c>
      <c r="V2206" s="30">
        <f>IF(AND($R2206="Não",$Q2206&lt;&gt;"",$Q2206&lt;=Hoje+JanelaRet,$Q2206&gt;=Hoje-60),MAX($V$4:$V2205)+1,"")</f>
        <v>0</v>
      </c>
    </row>
    <row r="2207" spans="1:22">
      <c r="A2207" s="16"/>
      <c r="B2207" s="23"/>
      <c r="C2207" s="15"/>
      <c r="D2207" s="15"/>
      <c r="E2207" s="15"/>
      <c r="F2207" s="24"/>
      <c r="G2207" s="17"/>
      <c r="H2207" s="17"/>
      <c r="I2207" s="15"/>
      <c r="J2207" s="25">
        <f>IF($D2207="","",IFERROR(INDEX(PacNome,MATCH($D2207,PacCod,0)),"Paciente não cadastrado"))</f>
        <v>0</v>
      </c>
      <c r="K2207" s="26">
        <f>IF($D2207="","",IFERROR(INDEX(PacConv,MATCH($D2207,PacCod,0))&amp;"",""))</f>
        <v>0</v>
      </c>
      <c r="L2207" s="26">
        <f>IF($A2207="","",CHOOSE(WEEKDAY($A2207,2),"Seg","Ter","Qua","Qui","Sex","Sáb","Dom"))</f>
        <v>0</v>
      </c>
      <c r="M2207" s="27">
        <f>IF($E2207="","",IF($G2207&lt;&gt;"",$G2207,IFERROR(INDEX(ProcValor,MATCH($E2207,ProcNome,0)),0)))</f>
        <v>0</v>
      </c>
      <c r="N2207" s="27">
        <f>IF($M2207="","",IF($F2207="Compareceu",$M2207,0))</f>
        <v>0</v>
      </c>
      <c r="O2207" s="27">
        <f>IF($M2207="","",IF($F2207="Faltou",$M2207,0))</f>
        <v>0</v>
      </c>
      <c r="P2207" s="27">
        <f>IF($M2207="","",IF($F2207="Compareceu",MAX(0,$M2207-N($H2207)),0))</f>
        <v>0</v>
      </c>
      <c r="Q2207" s="19">
        <f>IF(AND($F2207="Compareceu",$E2207&lt;&gt;"",$A2207&lt;&gt;""),IF(IFERROR(INDEX(ProcRet,MATCH($E2207,ProcNome,0)),0)&gt;0,$A2207+INDEX(ProcRet,MATCH($E2207,ProcNome,0)),""),"")</f>
        <v>0</v>
      </c>
      <c r="R2207" s="26">
        <f>IF($Q2207="","",IF(COUNTIFS(AgPac,$D2207,AgData,"&gt;"&amp;$A2207,AgStatus,"&lt;&gt;Cancelado",AgStatus,"&lt;&gt;Remarcado")&gt;0,"Sim","Não"))</f>
        <v>0</v>
      </c>
      <c r="S2207" s="28">
        <f>IF($A2207="","",IF(AND($F2207="Agendado",$A2207-Hoje&gt;=0,$A2207-Hoje&lt;=DiasConf),"CONFIRMAR",IF(AND($A2207&lt;Hoje,OR($F2207="Agendado",$F2207="Confirmado")),"Atualizar status",IF(AND($F2207="Compareceu",$P2207&gt;0.005),"Cobrar",IF($F2207="Faltou","Falta: reagendar","")))))</f>
        <v>0</v>
      </c>
      <c r="T2207" s="29">
        <f>IF($A2207="","",DATE(YEAR($A2207),MONTH($A2207),1))</f>
        <v>0</v>
      </c>
      <c r="U2207" s="30">
        <f>IF($S2207="CONFIRMAR",MAX($U$4:$U2206)+1,"")</f>
        <v>0</v>
      </c>
      <c r="V2207" s="30">
        <f>IF(AND($R2207="Não",$Q2207&lt;&gt;"",$Q2207&lt;=Hoje+JanelaRet,$Q2207&gt;=Hoje-60),MAX($V$4:$V2206)+1,"")</f>
        <v>0</v>
      </c>
    </row>
    <row r="2208" spans="1:22">
      <c r="A2208" s="16"/>
      <c r="B2208" s="23"/>
      <c r="C2208" s="15"/>
      <c r="D2208" s="15"/>
      <c r="E2208" s="15"/>
      <c r="F2208" s="24"/>
      <c r="G2208" s="17"/>
      <c r="H2208" s="17"/>
      <c r="I2208" s="15"/>
      <c r="J2208" s="25">
        <f>IF($D2208="","",IFERROR(INDEX(PacNome,MATCH($D2208,PacCod,0)),"Paciente não cadastrado"))</f>
        <v>0</v>
      </c>
      <c r="K2208" s="26">
        <f>IF($D2208="","",IFERROR(INDEX(PacConv,MATCH($D2208,PacCod,0))&amp;"",""))</f>
        <v>0</v>
      </c>
      <c r="L2208" s="26">
        <f>IF($A2208="","",CHOOSE(WEEKDAY($A2208,2),"Seg","Ter","Qua","Qui","Sex","Sáb","Dom"))</f>
        <v>0</v>
      </c>
      <c r="M2208" s="27">
        <f>IF($E2208="","",IF($G2208&lt;&gt;"",$G2208,IFERROR(INDEX(ProcValor,MATCH($E2208,ProcNome,0)),0)))</f>
        <v>0</v>
      </c>
      <c r="N2208" s="27">
        <f>IF($M2208="","",IF($F2208="Compareceu",$M2208,0))</f>
        <v>0</v>
      </c>
      <c r="O2208" s="27">
        <f>IF($M2208="","",IF($F2208="Faltou",$M2208,0))</f>
        <v>0</v>
      </c>
      <c r="P2208" s="27">
        <f>IF($M2208="","",IF($F2208="Compareceu",MAX(0,$M2208-N($H2208)),0))</f>
        <v>0</v>
      </c>
      <c r="Q2208" s="19">
        <f>IF(AND($F2208="Compareceu",$E2208&lt;&gt;"",$A2208&lt;&gt;""),IF(IFERROR(INDEX(ProcRet,MATCH($E2208,ProcNome,0)),0)&gt;0,$A2208+INDEX(ProcRet,MATCH($E2208,ProcNome,0)),""),"")</f>
        <v>0</v>
      </c>
      <c r="R2208" s="26">
        <f>IF($Q2208="","",IF(COUNTIFS(AgPac,$D2208,AgData,"&gt;"&amp;$A2208,AgStatus,"&lt;&gt;Cancelado",AgStatus,"&lt;&gt;Remarcado")&gt;0,"Sim","Não"))</f>
        <v>0</v>
      </c>
      <c r="S2208" s="28">
        <f>IF($A2208="","",IF(AND($F2208="Agendado",$A2208-Hoje&gt;=0,$A2208-Hoje&lt;=DiasConf),"CONFIRMAR",IF(AND($A2208&lt;Hoje,OR($F2208="Agendado",$F2208="Confirmado")),"Atualizar status",IF(AND($F2208="Compareceu",$P2208&gt;0.005),"Cobrar",IF($F2208="Faltou","Falta: reagendar","")))))</f>
        <v>0</v>
      </c>
      <c r="T2208" s="29">
        <f>IF($A2208="","",DATE(YEAR($A2208),MONTH($A2208),1))</f>
        <v>0</v>
      </c>
      <c r="U2208" s="30">
        <f>IF($S2208="CONFIRMAR",MAX($U$4:$U2207)+1,"")</f>
        <v>0</v>
      </c>
      <c r="V2208" s="30">
        <f>IF(AND($R2208="Não",$Q2208&lt;&gt;"",$Q2208&lt;=Hoje+JanelaRet,$Q2208&gt;=Hoje-60),MAX($V$4:$V2207)+1,"")</f>
        <v>0</v>
      </c>
    </row>
    <row r="2209" spans="1:22">
      <c r="A2209" s="16"/>
      <c r="B2209" s="23"/>
      <c r="C2209" s="15"/>
      <c r="D2209" s="15"/>
      <c r="E2209" s="15"/>
      <c r="F2209" s="24"/>
      <c r="G2209" s="17"/>
      <c r="H2209" s="17"/>
      <c r="I2209" s="15"/>
      <c r="J2209" s="25">
        <f>IF($D2209="","",IFERROR(INDEX(PacNome,MATCH($D2209,PacCod,0)),"Paciente não cadastrado"))</f>
        <v>0</v>
      </c>
      <c r="K2209" s="26">
        <f>IF($D2209="","",IFERROR(INDEX(PacConv,MATCH($D2209,PacCod,0))&amp;"",""))</f>
        <v>0</v>
      </c>
      <c r="L2209" s="26">
        <f>IF($A2209="","",CHOOSE(WEEKDAY($A2209,2),"Seg","Ter","Qua","Qui","Sex","Sáb","Dom"))</f>
        <v>0</v>
      </c>
      <c r="M2209" s="27">
        <f>IF($E2209="","",IF($G2209&lt;&gt;"",$G2209,IFERROR(INDEX(ProcValor,MATCH($E2209,ProcNome,0)),0)))</f>
        <v>0</v>
      </c>
      <c r="N2209" s="27">
        <f>IF($M2209="","",IF($F2209="Compareceu",$M2209,0))</f>
        <v>0</v>
      </c>
      <c r="O2209" s="27">
        <f>IF($M2209="","",IF($F2209="Faltou",$M2209,0))</f>
        <v>0</v>
      </c>
      <c r="P2209" s="27">
        <f>IF($M2209="","",IF($F2209="Compareceu",MAX(0,$M2209-N($H2209)),0))</f>
        <v>0</v>
      </c>
      <c r="Q2209" s="19">
        <f>IF(AND($F2209="Compareceu",$E2209&lt;&gt;"",$A2209&lt;&gt;""),IF(IFERROR(INDEX(ProcRet,MATCH($E2209,ProcNome,0)),0)&gt;0,$A2209+INDEX(ProcRet,MATCH($E2209,ProcNome,0)),""),"")</f>
        <v>0</v>
      </c>
      <c r="R2209" s="26">
        <f>IF($Q2209="","",IF(COUNTIFS(AgPac,$D2209,AgData,"&gt;"&amp;$A2209,AgStatus,"&lt;&gt;Cancelado",AgStatus,"&lt;&gt;Remarcado")&gt;0,"Sim","Não"))</f>
        <v>0</v>
      </c>
      <c r="S2209" s="28">
        <f>IF($A2209="","",IF(AND($F2209="Agendado",$A2209-Hoje&gt;=0,$A2209-Hoje&lt;=DiasConf),"CONFIRMAR",IF(AND($A2209&lt;Hoje,OR($F2209="Agendado",$F2209="Confirmado")),"Atualizar status",IF(AND($F2209="Compareceu",$P2209&gt;0.005),"Cobrar",IF($F2209="Faltou","Falta: reagendar","")))))</f>
        <v>0</v>
      </c>
      <c r="T2209" s="29">
        <f>IF($A2209="","",DATE(YEAR($A2209),MONTH($A2209),1))</f>
        <v>0</v>
      </c>
      <c r="U2209" s="30">
        <f>IF($S2209="CONFIRMAR",MAX($U$4:$U2208)+1,"")</f>
        <v>0</v>
      </c>
      <c r="V2209" s="30">
        <f>IF(AND($R2209="Não",$Q2209&lt;&gt;"",$Q2209&lt;=Hoje+JanelaRet,$Q2209&gt;=Hoje-60),MAX($V$4:$V2208)+1,"")</f>
        <v>0</v>
      </c>
    </row>
    <row r="2210" spans="1:22">
      <c r="A2210" s="16"/>
      <c r="B2210" s="23"/>
      <c r="C2210" s="15"/>
      <c r="D2210" s="15"/>
      <c r="E2210" s="15"/>
      <c r="F2210" s="24"/>
      <c r="G2210" s="17"/>
      <c r="H2210" s="17"/>
      <c r="I2210" s="15"/>
      <c r="J2210" s="25">
        <f>IF($D2210="","",IFERROR(INDEX(PacNome,MATCH($D2210,PacCod,0)),"Paciente não cadastrado"))</f>
        <v>0</v>
      </c>
      <c r="K2210" s="26">
        <f>IF($D2210="","",IFERROR(INDEX(PacConv,MATCH($D2210,PacCod,0))&amp;"",""))</f>
        <v>0</v>
      </c>
      <c r="L2210" s="26">
        <f>IF($A2210="","",CHOOSE(WEEKDAY($A2210,2),"Seg","Ter","Qua","Qui","Sex","Sáb","Dom"))</f>
        <v>0</v>
      </c>
      <c r="M2210" s="27">
        <f>IF($E2210="","",IF($G2210&lt;&gt;"",$G2210,IFERROR(INDEX(ProcValor,MATCH($E2210,ProcNome,0)),0)))</f>
        <v>0</v>
      </c>
      <c r="N2210" s="27">
        <f>IF($M2210="","",IF($F2210="Compareceu",$M2210,0))</f>
        <v>0</v>
      </c>
      <c r="O2210" s="27">
        <f>IF($M2210="","",IF($F2210="Faltou",$M2210,0))</f>
        <v>0</v>
      </c>
      <c r="P2210" s="27">
        <f>IF($M2210="","",IF($F2210="Compareceu",MAX(0,$M2210-N($H2210)),0))</f>
        <v>0</v>
      </c>
      <c r="Q2210" s="19">
        <f>IF(AND($F2210="Compareceu",$E2210&lt;&gt;"",$A2210&lt;&gt;""),IF(IFERROR(INDEX(ProcRet,MATCH($E2210,ProcNome,0)),0)&gt;0,$A2210+INDEX(ProcRet,MATCH($E2210,ProcNome,0)),""),"")</f>
        <v>0</v>
      </c>
      <c r="R2210" s="26">
        <f>IF($Q2210="","",IF(COUNTIFS(AgPac,$D2210,AgData,"&gt;"&amp;$A2210,AgStatus,"&lt;&gt;Cancelado",AgStatus,"&lt;&gt;Remarcado")&gt;0,"Sim","Não"))</f>
        <v>0</v>
      </c>
      <c r="S2210" s="28">
        <f>IF($A2210="","",IF(AND($F2210="Agendado",$A2210-Hoje&gt;=0,$A2210-Hoje&lt;=DiasConf),"CONFIRMAR",IF(AND($A2210&lt;Hoje,OR($F2210="Agendado",$F2210="Confirmado")),"Atualizar status",IF(AND($F2210="Compareceu",$P2210&gt;0.005),"Cobrar",IF($F2210="Faltou","Falta: reagendar","")))))</f>
        <v>0</v>
      </c>
      <c r="T2210" s="29">
        <f>IF($A2210="","",DATE(YEAR($A2210),MONTH($A2210),1))</f>
        <v>0</v>
      </c>
      <c r="U2210" s="30">
        <f>IF($S2210="CONFIRMAR",MAX($U$4:$U2209)+1,"")</f>
        <v>0</v>
      </c>
      <c r="V2210" s="30">
        <f>IF(AND($R2210="Não",$Q2210&lt;&gt;"",$Q2210&lt;=Hoje+JanelaRet,$Q2210&gt;=Hoje-60),MAX($V$4:$V2209)+1,"")</f>
        <v>0</v>
      </c>
    </row>
    <row r="2211" spans="1:22">
      <c r="A2211" s="16"/>
      <c r="B2211" s="23"/>
      <c r="C2211" s="15"/>
      <c r="D2211" s="15"/>
      <c r="E2211" s="15"/>
      <c r="F2211" s="24"/>
      <c r="G2211" s="17"/>
      <c r="H2211" s="17"/>
      <c r="I2211" s="15"/>
      <c r="J2211" s="25">
        <f>IF($D2211="","",IFERROR(INDEX(PacNome,MATCH($D2211,PacCod,0)),"Paciente não cadastrado"))</f>
        <v>0</v>
      </c>
      <c r="K2211" s="26">
        <f>IF($D2211="","",IFERROR(INDEX(PacConv,MATCH($D2211,PacCod,0))&amp;"",""))</f>
        <v>0</v>
      </c>
      <c r="L2211" s="26">
        <f>IF($A2211="","",CHOOSE(WEEKDAY($A2211,2),"Seg","Ter","Qua","Qui","Sex","Sáb","Dom"))</f>
        <v>0</v>
      </c>
      <c r="M2211" s="27">
        <f>IF($E2211="","",IF($G2211&lt;&gt;"",$G2211,IFERROR(INDEX(ProcValor,MATCH($E2211,ProcNome,0)),0)))</f>
        <v>0</v>
      </c>
      <c r="N2211" s="27">
        <f>IF($M2211="","",IF($F2211="Compareceu",$M2211,0))</f>
        <v>0</v>
      </c>
      <c r="O2211" s="27">
        <f>IF($M2211="","",IF($F2211="Faltou",$M2211,0))</f>
        <v>0</v>
      </c>
      <c r="P2211" s="27">
        <f>IF($M2211="","",IF($F2211="Compareceu",MAX(0,$M2211-N($H2211)),0))</f>
        <v>0</v>
      </c>
      <c r="Q2211" s="19">
        <f>IF(AND($F2211="Compareceu",$E2211&lt;&gt;"",$A2211&lt;&gt;""),IF(IFERROR(INDEX(ProcRet,MATCH($E2211,ProcNome,0)),0)&gt;0,$A2211+INDEX(ProcRet,MATCH($E2211,ProcNome,0)),""),"")</f>
        <v>0</v>
      </c>
      <c r="R2211" s="26">
        <f>IF($Q2211="","",IF(COUNTIFS(AgPac,$D2211,AgData,"&gt;"&amp;$A2211,AgStatus,"&lt;&gt;Cancelado",AgStatus,"&lt;&gt;Remarcado")&gt;0,"Sim","Não"))</f>
        <v>0</v>
      </c>
      <c r="S2211" s="28">
        <f>IF($A2211="","",IF(AND($F2211="Agendado",$A2211-Hoje&gt;=0,$A2211-Hoje&lt;=DiasConf),"CONFIRMAR",IF(AND($A2211&lt;Hoje,OR($F2211="Agendado",$F2211="Confirmado")),"Atualizar status",IF(AND($F2211="Compareceu",$P2211&gt;0.005),"Cobrar",IF($F2211="Faltou","Falta: reagendar","")))))</f>
        <v>0</v>
      </c>
      <c r="T2211" s="29">
        <f>IF($A2211="","",DATE(YEAR($A2211),MONTH($A2211),1))</f>
        <v>0</v>
      </c>
      <c r="U2211" s="30">
        <f>IF($S2211="CONFIRMAR",MAX($U$4:$U2210)+1,"")</f>
        <v>0</v>
      </c>
      <c r="V2211" s="30">
        <f>IF(AND($R2211="Não",$Q2211&lt;&gt;"",$Q2211&lt;=Hoje+JanelaRet,$Q2211&gt;=Hoje-60),MAX($V$4:$V2210)+1,"")</f>
        <v>0</v>
      </c>
    </row>
    <row r="2212" spans="1:22">
      <c r="A2212" s="16"/>
      <c r="B2212" s="23"/>
      <c r="C2212" s="15"/>
      <c r="D2212" s="15"/>
      <c r="E2212" s="15"/>
      <c r="F2212" s="24"/>
      <c r="G2212" s="17"/>
      <c r="H2212" s="17"/>
      <c r="I2212" s="15"/>
      <c r="J2212" s="25">
        <f>IF($D2212="","",IFERROR(INDEX(PacNome,MATCH($D2212,PacCod,0)),"Paciente não cadastrado"))</f>
        <v>0</v>
      </c>
      <c r="K2212" s="26">
        <f>IF($D2212="","",IFERROR(INDEX(PacConv,MATCH($D2212,PacCod,0))&amp;"",""))</f>
        <v>0</v>
      </c>
      <c r="L2212" s="26">
        <f>IF($A2212="","",CHOOSE(WEEKDAY($A2212,2),"Seg","Ter","Qua","Qui","Sex","Sáb","Dom"))</f>
        <v>0</v>
      </c>
      <c r="M2212" s="27">
        <f>IF($E2212="","",IF($G2212&lt;&gt;"",$G2212,IFERROR(INDEX(ProcValor,MATCH($E2212,ProcNome,0)),0)))</f>
        <v>0</v>
      </c>
      <c r="N2212" s="27">
        <f>IF($M2212="","",IF($F2212="Compareceu",$M2212,0))</f>
        <v>0</v>
      </c>
      <c r="O2212" s="27">
        <f>IF($M2212="","",IF($F2212="Faltou",$M2212,0))</f>
        <v>0</v>
      </c>
      <c r="P2212" s="27">
        <f>IF($M2212="","",IF($F2212="Compareceu",MAX(0,$M2212-N($H2212)),0))</f>
        <v>0</v>
      </c>
      <c r="Q2212" s="19">
        <f>IF(AND($F2212="Compareceu",$E2212&lt;&gt;"",$A2212&lt;&gt;""),IF(IFERROR(INDEX(ProcRet,MATCH($E2212,ProcNome,0)),0)&gt;0,$A2212+INDEX(ProcRet,MATCH($E2212,ProcNome,0)),""),"")</f>
        <v>0</v>
      </c>
      <c r="R2212" s="26">
        <f>IF($Q2212="","",IF(COUNTIFS(AgPac,$D2212,AgData,"&gt;"&amp;$A2212,AgStatus,"&lt;&gt;Cancelado",AgStatus,"&lt;&gt;Remarcado")&gt;0,"Sim","Não"))</f>
        <v>0</v>
      </c>
      <c r="S2212" s="28">
        <f>IF($A2212="","",IF(AND($F2212="Agendado",$A2212-Hoje&gt;=0,$A2212-Hoje&lt;=DiasConf),"CONFIRMAR",IF(AND($A2212&lt;Hoje,OR($F2212="Agendado",$F2212="Confirmado")),"Atualizar status",IF(AND($F2212="Compareceu",$P2212&gt;0.005),"Cobrar",IF($F2212="Faltou","Falta: reagendar","")))))</f>
        <v>0</v>
      </c>
      <c r="T2212" s="29">
        <f>IF($A2212="","",DATE(YEAR($A2212),MONTH($A2212),1))</f>
        <v>0</v>
      </c>
      <c r="U2212" s="30">
        <f>IF($S2212="CONFIRMAR",MAX($U$4:$U2211)+1,"")</f>
        <v>0</v>
      </c>
      <c r="V2212" s="30">
        <f>IF(AND($R2212="Não",$Q2212&lt;&gt;"",$Q2212&lt;=Hoje+JanelaRet,$Q2212&gt;=Hoje-60),MAX($V$4:$V2211)+1,"")</f>
        <v>0</v>
      </c>
    </row>
    <row r="2213" spans="1:22">
      <c r="A2213" s="16"/>
      <c r="B2213" s="23"/>
      <c r="C2213" s="15"/>
      <c r="D2213" s="15"/>
      <c r="E2213" s="15"/>
      <c r="F2213" s="24"/>
      <c r="G2213" s="17"/>
      <c r="H2213" s="17"/>
      <c r="I2213" s="15"/>
      <c r="J2213" s="25">
        <f>IF($D2213="","",IFERROR(INDEX(PacNome,MATCH($D2213,PacCod,0)),"Paciente não cadastrado"))</f>
        <v>0</v>
      </c>
      <c r="K2213" s="26">
        <f>IF($D2213="","",IFERROR(INDEX(PacConv,MATCH($D2213,PacCod,0))&amp;"",""))</f>
        <v>0</v>
      </c>
      <c r="L2213" s="26">
        <f>IF($A2213="","",CHOOSE(WEEKDAY($A2213,2),"Seg","Ter","Qua","Qui","Sex","Sáb","Dom"))</f>
        <v>0</v>
      </c>
      <c r="M2213" s="27">
        <f>IF($E2213="","",IF($G2213&lt;&gt;"",$G2213,IFERROR(INDEX(ProcValor,MATCH($E2213,ProcNome,0)),0)))</f>
        <v>0</v>
      </c>
      <c r="N2213" s="27">
        <f>IF($M2213="","",IF($F2213="Compareceu",$M2213,0))</f>
        <v>0</v>
      </c>
      <c r="O2213" s="27">
        <f>IF($M2213="","",IF($F2213="Faltou",$M2213,0))</f>
        <v>0</v>
      </c>
      <c r="P2213" s="27">
        <f>IF($M2213="","",IF($F2213="Compareceu",MAX(0,$M2213-N($H2213)),0))</f>
        <v>0</v>
      </c>
      <c r="Q2213" s="19">
        <f>IF(AND($F2213="Compareceu",$E2213&lt;&gt;"",$A2213&lt;&gt;""),IF(IFERROR(INDEX(ProcRet,MATCH($E2213,ProcNome,0)),0)&gt;0,$A2213+INDEX(ProcRet,MATCH($E2213,ProcNome,0)),""),"")</f>
        <v>0</v>
      </c>
      <c r="R2213" s="26">
        <f>IF($Q2213="","",IF(COUNTIFS(AgPac,$D2213,AgData,"&gt;"&amp;$A2213,AgStatus,"&lt;&gt;Cancelado",AgStatus,"&lt;&gt;Remarcado")&gt;0,"Sim","Não"))</f>
        <v>0</v>
      </c>
      <c r="S2213" s="28">
        <f>IF($A2213="","",IF(AND($F2213="Agendado",$A2213-Hoje&gt;=0,$A2213-Hoje&lt;=DiasConf),"CONFIRMAR",IF(AND($A2213&lt;Hoje,OR($F2213="Agendado",$F2213="Confirmado")),"Atualizar status",IF(AND($F2213="Compareceu",$P2213&gt;0.005),"Cobrar",IF($F2213="Faltou","Falta: reagendar","")))))</f>
        <v>0</v>
      </c>
      <c r="T2213" s="29">
        <f>IF($A2213="","",DATE(YEAR($A2213),MONTH($A2213),1))</f>
        <v>0</v>
      </c>
      <c r="U2213" s="30">
        <f>IF($S2213="CONFIRMAR",MAX($U$4:$U2212)+1,"")</f>
        <v>0</v>
      </c>
      <c r="V2213" s="30">
        <f>IF(AND($R2213="Não",$Q2213&lt;&gt;"",$Q2213&lt;=Hoje+JanelaRet,$Q2213&gt;=Hoje-60),MAX($V$4:$V2212)+1,"")</f>
        <v>0</v>
      </c>
    </row>
    <row r="2214" spans="1:22">
      <c r="A2214" s="16"/>
      <c r="B2214" s="23"/>
      <c r="C2214" s="15"/>
      <c r="D2214" s="15"/>
      <c r="E2214" s="15"/>
      <c r="F2214" s="24"/>
      <c r="G2214" s="17"/>
      <c r="H2214" s="17"/>
      <c r="I2214" s="15"/>
      <c r="J2214" s="25">
        <f>IF($D2214="","",IFERROR(INDEX(PacNome,MATCH($D2214,PacCod,0)),"Paciente não cadastrado"))</f>
        <v>0</v>
      </c>
      <c r="K2214" s="26">
        <f>IF($D2214="","",IFERROR(INDEX(PacConv,MATCH($D2214,PacCod,0))&amp;"",""))</f>
        <v>0</v>
      </c>
      <c r="L2214" s="26">
        <f>IF($A2214="","",CHOOSE(WEEKDAY($A2214,2),"Seg","Ter","Qua","Qui","Sex","Sáb","Dom"))</f>
        <v>0</v>
      </c>
      <c r="M2214" s="27">
        <f>IF($E2214="","",IF($G2214&lt;&gt;"",$G2214,IFERROR(INDEX(ProcValor,MATCH($E2214,ProcNome,0)),0)))</f>
        <v>0</v>
      </c>
      <c r="N2214" s="27">
        <f>IF($M2214="","",IF($F2214="Compareceu",$M2214,0))</f>
        <v>0</v>
      </c>
      <c r="O2214" s="27">
        <f>IF($M2214="","",IF($F2214="Faltou",$M2214,0))</f>
        <v>0</v>
      </c>
      <c r="P2214" s="27">
        <f>IF($M2214="","",IF($F2214="Compareceu",MAX(0,$M2214-N($H2214)),0))</f>
        <v>0</v>
      </c>
      <c r="Q2214" s="19">
        <f>IF(AND($F2214="Compareceu",$E2214&lt;&gt;"",$A2214&lt;&gt;""),IF(IFERROR(INDEX(ProcRet,MATCH($E2214,ProcNome,0)),0)&gt;0,$A2214+INDEX(ProcRet,MATCH($E2214,ProcNome,0)),""),"")</f>
        <v>0</v>
      </c>
      <c r="R2214" s="26">
        <f>IF($Q2214="","",IF(COUNTIFS(AgPac,$D2214,AgData,"&gt;"&amp;$A2214,AgStatus,"&lt;&gt;Cancelado",AgStatus,"&lt;&gt;Remarcado")&gt;0,"Sim","Não"))</f>
        <v>0</v>
      </c>
      <c r="S2214" s="28">
        <f>IF($A2214="","",IF(AND($F2214="Agendado",$A2214-Hoje&gt;=0,$A2214-Hoje&lt;=DiasConf),"CONFIRMAR",IF(AND($A2214&lt;Hoje,OR($F2214="Agendado",$F2214="Confirmado")),"Atualizar status",IF(AND($F2214="Compareceu",$P2214&gt;0.005),"Cobrar",IF($F2214="Faltou","Falta: reagendar","")))))</f>
        <v>0</v>
      </c>
      <c r="T2214" s="29">
        <f>IF($A2214="","",DATE(YEAR($A2214),MONTH($A2214),1))</f>
        <v>0</v>
      </c>
      <c r="U2214" s="30">
        <f>IF($S2214="CONFIRMAR",MAX($U$4:$U2213)+1,"")</f>
        <v>0</v>
      </c>
      <c r="V2214" s="30">
        <f>IF(AND($R2214="Não",$Q2214&lt;&gt;"",$Q2214&lt;=Hoje+JanelaRet,$Q2214&gt;=Hoje-60),MAX($V$4:$V2213)+1,"")</f>
        <v>0</v>
      </c>
    </row>
    <row r="2215" spans="1:22">
      <c r="A2215" s="16"/>
      <c r="B2215" s="23"/>
      <c r="C2215" s="15"/>
      <c r="D2215" s="15"/>
      <c r="E2215" s="15"/>
      <c r="F2215" s="24"/>
      <c r="G2215" s="17"/>
      <c r="H2215" s="17"/>
      <c r="I2215" s="15"/>
      <c r="J2215" s="25">
        <f>IF($D2215="","",IFERROR(INDEX(PacNome,MATCH($D2215,PacCod,0)),"Paciente não cadastrado"))</f>
        <v>0</v>
      </c>
      <c r="K2215" s="26">
        <f>IF($D2215="","",IFERROR(INDEX(PacConv,MATCH($D2215,PacCod,0))&amp;"",""))</f>
        <v>0</v>
      </c>
      <c r="L2215" s="26">
        <f>IF($A2215="","",CHOOSE(WEEKDAY($A2215,2),"Seg","Ter","Qua","Qui","Sex","Sáb","Dom"))</f>
        <v>0</v>
      </c>
      <c r="M2215" s="27">
        <f>IF($E2215="","",IF($G2215&lt;&gt;"",$G2215,IFERROR(INDEX(ProcValor,MATCH($E2215,ProcNome,0)),0)))</f>
        <v>0</v>
      </c>
      <c r="N2215" s="27">
        <f>IF($M2215="","",IF($F2215="Compareceu",$M2215,0))</f>
        <v>0</v>
      </c>
      <c r="O2215" s="27">
        <f>IF($M2215="","",IF($F2215="Faltou",$M2215,0))</f>
        <v>0</v>
      </c>
      <c r="P2215" s="27">
        <f>IF($M2215="","",IF($F2215="Compareceu",MAX(0,$M2215-N($H2215)),0))</f>
        <v>0</v>
      </c>
      <c r="Q2215" s="19">
        <f>IF(AND($F2215="Compareceu",$E2215&lt;&gt;"",$A2215&lt;&gt;""),IF(IFERROR(INDEX(ProcRet,MATCH($E2215,ProcNome,0)),0)&gt;0,$A2215+INDEX(ProcRet,MATCH($E2215,ProcNome,0)),""),"")</f>
        <v>0</v>
      </c>
      <c r="R2215" s="26">
        <f>IF($Q2215="","",IF(COUNTIFS(AgPac,$D2215,AgData,"&gt;"&amp;$A2215,AgStatus,"&lt;&gt;Cancelado",AgStatus,"&lt;&gt;Remarcado")&gt;0,"Sim","Não"))</f>
        <v>0</v>
      </c>
      <c r="S2215" s="28">
        <f>IF($A2215="","",IF(AND($F2215="Agendado",$A2215-Hoje&gt;=0,$A2215-Hoje&lt;=DiasConf),"CONFIRMAR",IF(AND($A2215&lt;Hoje,OR($F2215="Agendado",$F2215="Confirmado")),"Atualizar status",IF(AND($F2215="Compareceu",$P2215&gt;0.005),"Cobrar",IF($F2215="Faltou","Falta: reagendar","")))))</f>
        <v>0</v>
      </c>
      <c r="T2215" s="29">
        <f>IF($A2215="","",DATE(YEAR($A2215),MONTH($A2215),1))</f>
        <v>0</v>
      </c>
      <c r="U2215" s="30">
        <f>IF($S2215="CONFIRMAR",MAX($U$4:$U2214)+1,"")</f>
        <v>0</v>
      </c>
      <c r="V2215" s="30">
        <f>IF(AND($R2215="Não",$Q2215&lt;&gt;"",$Q2215&lt;=Hoje+JanelaRet,$Q2215&gt;=Hoje-60),MAX($V$4:$V2214)+1,"")</f>
        <v>0</v>
      </c>
    </row>
    <row r="2216" spans="1:22">
      <c r="A2216" s="16"/>
      <c r="B2216" s="23"/>
      <c r="C2216" s="15"/>
      <c r="D2216" s="15"/>
      <c r="E2216" s="15"/>
      <c r="F2216" s="24"/>
      <c r="G2216" s="17"/>
      <c r="H2216" s="17"/>
      <c r="I2216" s="15"/>
      <c r="J2216" s="25">
        <f>IF($D2216="","",IFERROR(INDEX(PacNome,MATCH($D2216,PacCod,0)),"Paciente não cadastrado"))</f>
        <v>0</v>
      </c>
      <c r="K2216" s="26">
        <f>IF($D2216="","",IFERROR(INDEX(PacConv,MATCH($D2216,PacCod,0))&amp;"",""))</f>
        <v>0</v>
      </c>
      <c r="L2216" s="26">
        <f>IF($A2216="","",CHOOSE(WEEKDAY($A2216,2),"Seg","Ter","Qua","Qui","Sex","Sáb","Dom"))</f>
        <v>0</v>
      </c>
      <c r="M2216" s="27">
        <f>IF($E2216="","",IF($G2216&lt;&gt;"",$G2216,IFERROR(INDEX(ProcValor,MATCH($E2216,ProcNome,0)),0)))</f>
        <v>0</v>
      </c>
      <c r="N2216" s="27">
        <f>IF($M2216="","",IF($F2216="Compareceu",$M2216,0))</f>
        <v>0</v>
      </c>
      <c r="O2216" s="27">
        <f>IF($M2216="","",IF($F2216="Faltou",$M2216,0))</f>
        <v>0</v>
      </c>
      <c r="P2216" s="27">
        <f>IF($M2216="","",IF($F2216="Compareceu",MAX(0,$M2216-N($H2216)),0))</f>
        <v>0</v>
      </c>
      <c r="Q2216" s="19">
        <f>IF(AND($F2216="Compareceu",$E2216&lt;&gt;"",$A2216&lt;&gt;""),IF(IFERROR(INDEX(ProcRet,MATCH($E2216,ProcNome,0)),0)&gt;0,$A2216+INDEX(ProcRet,MATCH($E2216,ProcNome,0)),""),"")</f>
        <v>0</v>
      </c>
      <c r="R2216" s="26">
        <f>IF($Q2216="","",IF(COUNTIFS(AgPac,$D2216,AgData,"&gt;"&amp;$A2216,AgStatus,"&lt;&gt;Cancelado",AgStatus,"&lt;&gt;Remarcado")&gt;0,"Sim","Não"))</f>
        <v>0</v>
      </c>
      <c r="S2216" s="28">
        <f>IF($A2216="","",IF(AND($F2216="Agendado",$A2216-Hoje&gt;=0,$A2216-Hoje&lt;=DiasConf),"CONFIRMAR",IF(AND($A2216&lt;Hoje,OR($F2216="Agendado",$F2216="Confirmado")),"Atualizar status",IF(AND($F2216="Compareceu",$P2216&gt;0.005),"Cobrar",IF($F2216="Faltou","Falta: reagendar","")))))</f>
        <v>0</v>
      </c>
      <c r="T2216" s="29">
        <f>IF($A2216="","",DATE(YEAR($A2216),MONTH($A2216),1))</f>
        <v>0</v>
      </c>
      <c r="U2216" s="30">
        <f>IF($S2216="CONFIRMAR",MAX($U$4:$U2215)+1,"")</f>
        <v>0</v>
      </c>
      <c r="V2216" s="30">
        <f>IF(AND($R2216="Não",$Q2216&lt;&gt;"",$Q2216&lt;=Hoje+JanelaRet,$Q2216&gt;=Hoje-60),MAX($V$4:$V2215)+1,"")</f>
        <v>0</v>
      </c>
    </row>
    <row r="2217" spans="1:22">
      <c r="A2217" s="16"/>
      <c r="B2217" s="23"/>
      <c r="C2217" s="15"/>
      <c r="D2217" s="15"/>
      <c r="E2217" s="15"/>
      <c r="F2217" s="24"/>
      <c r="G2217" s="17"/>
      <c r="H2217" s="17"/>
      <c r="I2217" s="15"/>
      <c r="J2217" s="25">
        <f>IF($D2217="","",IFERROR(INDEX(PacNome,MATCH($D2217,PacCod,0)),"Paciente não cadastrado"))</f>
        <v>0</v>
      </c>
      <c r="K2217" s="26">
        <f>IF($D2217="","",IFERROR(INDEX(PacConv,MATCH($D2217,PacCod,0))&amp;"",""))</f>
        <v>0</v>
      </c>
      <c r="L2217" s="26">
        <f>IF($A2217="","",CHOOSE(WEEKDAY($A2217,2),"Seg","Ter","Qua","Qui","Sex","Sáb","Dom"))</f>
        <v>0</v>
      </c>
      <c r="M2217" s="27">
        <f>IF($E2217="","",IF($G2217&lt;&gt;"",$G2217,IFERROR(INDEX(ProcValor,MATCH($E2217,ProcNome,0)),0)))</f>
        <v>0</v>
      </c>
      <c r="N2217" s="27">
        <f>IF($M2217="","",IF($F2217="Compareceu",$M2217,0))</f>
        <v>0</v>
      </c>
      <c r="O2217" s="27">
        <f>IF($M2217="","",IF($F2217="Faltou",$M2217,0))</f>
        <v>0</v>
      </c>
      <c r="P2217" s="27">
        <f>IF($M2217="","",IF($F2217="Compareceu",MAX(0,$M2217-N($H2217)),0))</f>
        <v>0</v>
      </c>
      <c r="Q2217" s="19">
        <f>IF(AND($F2217="Compareceu",$E2217&lt;&gt;"",$A2217&lt;&gt;""),IF(IFERROR(INDEX(ProcRet,MATCH($E2217,ProcNome,0)),0)&gt;0,$A2217+INDEX(ProcRet,MATCH($E2217,ProcNome,0)),""),"")</f>
        <v>0</v>
      </c>
      <c r="R2217" s="26">
        <f>IF($Q2217="","",IF(COUNTIFS(AgPac,$D2217,AgData,"&gt;"&amp;$A2217,AgStatus,"&lt;&gt;Cancelado",AgStatus,"&lt;&gt;Remarcado")&gt;0,"Sim","Não"))</f>
        <v>0</v>
      </c>
      <c r="S2217" s="28">
        <f>IF($A2217="","",IF(AND($F2217="Agendado",$A2217-Hoje&gt;=0,$A2217-Hoje&lt;=DiasConf),"CONFIRMAR",IF(AND($A2217&lt;Hoje,OR($F2217="Agendado",$F2217="Confirmado")),"Atualizar status",IF(AND($F2217="Compareceu",$P2217&gt;0.005),"Cobrar",IF($F2217="Faltou","Falta: reagendar","")))))</f>
        <v>0</v>
      </c>
      <c r="T2217" s="29">
        <f>IF($A2217="","",DATE(YEAR($A2217),MONTH($A2217),1))</f>
        <v>0</v>
      </c>
      <c r="U2217" s="30">
        <f>IF($S2217="CONFIRMAR",MAX($U$4:$U2216)+1,"")</f>
        <v>0</v>
      </c>
      <c r="V2217" s="30">
        <f>IF(AND($R2217="Não",$Q2217&lt;&gt;"",$Q2217&lt;=Hoje+JanelaRet,$Q2217&gt;=Hoje-60),MAX($V$4:$V2216)+1,"")</f>
        <v>0</v>
      </c>
    </row>
    <row r="2218" spans="1:22">
      <c r="A2218" s="16"/>
      <c r="B2218" s="23"/>
      <c r="C2218" s="15"/>
      <c r="D2218" s="15"/>
      <c r="E2218" s="15"/>
      <c r="F2218" s="24"/>
      <c r="G2218" s="17"/>
      <c r="H2218" s="17"/>
      <c r="I2218" s="15"/>
      <c r="J2218" s="25">
        <f>IF($D2218="","",IFERROR(INDEX(PacNome,MATCH($D2218,PacCod,0)),"Paciente não cadastrado"))</f>
        <v>0</v>
      </c>
      <c r="K2218" s="26">
        <f>IF($D2218="","",IFERROR(INDEX(PacConv,MATCH($D2218,PacCod,0))&amp;"",""))</f>
        <v>0</v>
      </c>
      <c r="L2218" s="26">
        <f>IF($A2218="","",CHOOSE(WEEKDAY($A2218,2),"Seg","Ter","Qua","Qui","Sex","Sáb","Dom"))</f>
        <v>0</v>
      </c>
      <c r="M2218" s="27">
        <f>IF($E2218="","",IF($G2218&lt;&gt;"",$G2218,IFERROR(INDEX(ProcValor,MATCH($E2218,ProcNome,0)),0)))</f>
        <v>0</v>
      </c>
      <c r="N2218" s="27">
        <f>IF($M2218="","",IF($F2218="Compareceu",$M2218,0))</f>
        <v>0</v>
      </c>
      <c r="O2218" s="27">
        <f>IF($M2218="","",IF($F2218="Faltou",$M2218,0))</f>
        <v>0</v>
      </c>
      <c r="P2218" s="27">
        <f>IF($M2218="","",IF($F2218="Compareceu",MAX(0,$M2218-N($H2218)),0))</f>
        <v>0</v>
      </c>
      <c r="Q2218" s="19">
        <f>IF(AND($F2218="Compareceu",$E2218&lt;&gt;"",$A2218&lt;&gt;""),IF(IFERROR(INDEX(ProcRet,MATCH($E2218,ProcNome,0)),0)&gt;0,$A2218+INDEX(ProcRet,MATCH($E2218,ProcNome,0)),""),"")</f>
        <v>0</v>
      </c>
      <c r="R2218" s="26">
        <f>IF($Q2218="","",IF(COUNTIFS(AgPac,$D2218,AgData,"&gt;"&amp;$A2218,AgStatus,"&lt;&gt;Cancelado",AgStatus,"&lt;&gt;Remarcado")&gt;0,"Sim","Não"))</f>
        <v>0</v>
      </c>
      <c r="S2218" s="28">
        <f>IF($A2218="","",IF(AND($F2218="Agendado",$A2218-Hoje&gt;=0,$A2218-Hoje&lt;=DiasConf),"CONFIRMAR",IF(AND($A2218&lt;Hoje,OR($F2218="Agendado",$F2218="Confirmado")),"Atualizar status",IF(AND($F2218="Compareceu",$P2218&gt;0.005),"Cobrar",IF($F2218="Faltou","Falta: reagendar","")))))</f>
        <v>0</v>
      </c>
      <c r="T2218" s="29">
        <f>IF($A2218="","",DATE(YEAR($A2218),MONTH($A2218),1))</f>
        <v>0</v>
      </c>
      <c r="U2218" s="30">
        <f>IF($S2218="CONFIRMAR",MAX($U$4:$U2217)+1,"")</f>
        <v>0</v>
      </c>
      <c r="V2218" s="30">
        <f>IF(AND($R2218="Não",$Q2218&lt;&gt;"",$Q2218&lt;=Hoje+JanelaRet,$Q2218&gt;=Hoje-60),MAX($V$4:$V2217)+1,"")</f>
        <v>0</v>
      </c>
    </row>
    <row r="2219" spans="1:22">
      <c r="A2219" s="16"/>
      <c r="B2219" s="23"/>
      <c r="C2219" s="15"/>
      <c r="D2219" s="15"/>
      <c r="E2219" s="15"/>
      <c r="F2219" s="24"/>
      <c r="G2219" s="17"/>
      <c r="H2219" s="17"/>
      <c r="I2219" s="15"/>
      <c r="J2219" s="25">
        <f>IF($D2219="","",IFERROR(INDEX(PacNome,MATCH($D2219,PacCod,0)),"Paciente não cadastrado"))</f>
        <v>0</v>
      </c>
      <c r="K2219" s="26">
        <f>IF($D2219="","",IFERROR(INDEX(PacConv,MATCH($D2219,PacCod,0))&amp;"",""))</f>
        <v>0</v>
      </c>
      <c r="L2219" s="26">
        <f>IF($A2219="","",CHOOSE(WEEKDAY($A2219,2),"Seg","Ter","Qua","Qui","Sex","Sáb","Dom"))</f>
        <v>0</v>
      </c>
      <c r="M2219" s="27">
        <f>IF($E2219="","",IF($G2219&lt;&gt;"",$G2219,IFERROR(INDEX(ProcValor,MATCH($E2219,ProcNome,0)),0)))</f>
        <v>0</v>
      </c>
      <c r="N2219" s="27">
        <f>IF($M2219="","",IF($F2219="Compareceu",$M2219,0))</f>
        <v>0</v>
      </c>
      <c r="O2219" s="27">
        <f>IF($M2219="","",IF($F2219="Faltou",$M2219,0))</f>
        <v>0</v>
      </c>
      <c r="P2219" s="27">
        <f>IF($M2219="","",IF($F2219="Compareceu",MAX(0,$M2219-N($H2219)),0))</f>
        <v>0</v>
      </c>
      <c r="Q2219" s="19">
        <f>IF(AND($F2219="Compareceu",$E2219&lt;&gt;"",$A2219&lt;&gt;""),IF(IFERROR(INDEX(ProcRet,MATCH($E2219,ProcNome,0)),0)&gt;0,$A2219+INDEX(ProcRet,MATCH($E2219,ProcNome,0)),""),"")</f>
        <v>0</v>
      </c>
      <c r="R2219" s="26">
        <f>IF($Q2219="","",IF(COUNTIFS(AgPac,$D2219,AgData,"&gt;"&amp;$A2219,AgStatus,"&lt;&gt;Cancelado",AgStatus,"&lt;&gt;Remarcado")&gt;0,"Sim","Não"))</f>
        <v>0</v>
      </c>
      <c r="S2219" s="28">
        <f>IF($A2219="","",IF(AND($F2219="Agendado",$A2219-Hoje&gt;=0,$A2219-Hoje&lt;=DiasConf),"CONFIRMAR",IF(AND($A2219&lt;Hoje,OR($F2219="Agendado",$F2219="Confirmado")),"Atualizar status",IF(AND($F2219="Compareceu",$P2219&gt;0.005),"Cobrar",IF($F2219="Faltou","Falta: reagendar","")))))</f>
        <v>0</v>
      </c>
      <c r="T2219" s="29">
        <f>IF($A2219="","",DATE(YEAR($A2219),MONTH($A2219),1))</f>
        <v>0</v>
      </c>
      <c r="U2219" s="30">
        <f>IF($S2219="CONFIRMAR",MAX($U$4:$U2218)+1,"")</f>
        <v>0</v>
      </c>
      <c r="V2219" s="30">
        <f>IF(AND($R2219="Não",$Q2219&lt;&gt;"",$Q2219&lt;=Hoje+JanelaRet,$Q2219&gt;=Hoje-60),MAX($V$4:$V2218)+1,"")</f>
        <v>0</v>
      </c>
    </row>
    <row r="2220" spans="1:22">
      <c r="A2220" s="16"/>
      <c r="B2220" s="23"/>
      <c r="C2220" s="15"/>
      <c r="D2220" s="15"/>
      <c r="E2220" s="15"/>
      <c r="F2220" s="24"/>
      <c r="G2220" s="17"/>
      <c r="H2220" s="17"/>
      <c r="I2220" s="15"/>
      <c r="J2220" s="25">
        <f>IF($D2220="","",IFERROR(INDEX(PacNome,MATCH($D2220,PacCod,0)),"Paciente não cadastrado"))</f>
        <v>0</v>
      </c>
      <c r="K2220" s="26">
        <f>IF($D2220="","",IFERROR(INDEX(PacConv,MATCH($D2220,PacCod,0))&amp;"",""))</f>
        <v>0</v>
      </c>
      <c r="L2220" s="26">
        <f>IF($A2220="","",CHOOSE(WEEKDAY($A2220,2),"Seg","Ter","Qua","Qui","Sex","Sáb","Dom"))</f>
        <v>0</v>
      </c>
      <c r="M2220" s="27">
        <f>IF($E2220="","",IF($G2220&lt;&gt;"",$G2220,IFERROR(INDEX(ProcValor,MATCH($E2220,ProcNome,0)),0)))</f>
        <v>0</v>
      </c>
      <c r="N2220" s="27">
        <f>IF($M2220="","",IF($F2220="Compareceu",$M2220,0))</f>
        <v>0</v>
      </c>
      <c r="O2220" s="27">
        <f>IF($M2220="","",IF($F2220="Faltou",$M2220,0))</f>
        <v>0</v>
      </c>
      <c r="P2220" s="27">
        <f>IF($M2220="","",IF($F2220="Compareceu",MAX(0,$M2220-N($H2220)),0))</f>
        <v>0</v>
      </c>
      <c r="Q2220" s="19">
        <f>IF(AND($F2220="Compareceu",$E2220&lt;&gt;"",$A2220&lt;&gt;""),IF(IFERROR(INDEX(ProcRet,MATCH($E2220,ProcNome,0)),0)&gt;0,$A2220+INDEX(ProcRet,MATCH($E2220,ProcNome,0)),""),"")</f>
        <v>0</v>
      </c>
      <c r="R2220" s="26">
        <f>IF($Q2220="","",IF(COUNTIFS(AgPac,$D2220,AgData,"&gt;"&amp;$A2220,AgStatus,"&lt;&gt;Cancelado",AgStatus,"&lt;&gt;Remarcado")&gt;0,"Sim","Não"))</f>
        <v>0</v>
      </c>
      <c r="S2220" s="28">
        <f>IF($A2220="","",IF(AND($F2220="Agendado",$A2220-Hoje&gt;=0,$A2220-Hoje&lt;=DiasConf),"CONFIRMAR",IF(AND($A2220&lt;Hoje,OR($F2220="Agendado",$F2220="Confirmado")),"Atualizar status",IF(AND($F2220="Compareceu",$P2220&gt;0.005),"Cobrar",IF($F2220="Faltou","Falta: reagendar","")))))</f>
        <v>0</v>
      </c>
      <c r="T2220" s="29">
        <f>IF($A2220="","",DATE(YEAR($A2220),MONTH($A2220),1))</f>
        <v>0</v>
      </c>
      <c r="U2220" s="30">
        <f>IF($S2220="CONFIRMAR",MAX($U$4:$U2219)+1,"")</f>
        <v>0</v>
      </c>
      <c r="V2220" s="30">
        <f>IF(AND($R2220="Não",$Q2220&lt;&gt;"",$Q2220&lt;=Hoje+JanelaRet,$Q2220&gt;=Hoje-60),MAX($V$4:$V2219)+1,"")</f>
        <v>0</v>
      </c>
    </row>
    <row r="2221" spans="1:22">
      <c r="A2221" s="16"/>
      <c r="B2221" s="23"/>
      <c r="C2221" s="15"/>
      <c r="D2221" s="15"/>
      <c r="E2221" s="15"/>
      <c r="F2221" s="24"/>
      <c r="G2221" s="17"/>
      <c r="H2221" s="17"/>
      <c r="I2221" s="15"/>
      <c r="J2221" s="25">
        <f>IF($D2221="","",IFERROR(INDEX(PacNome,MATCH($D2221,PacCod,0)),"Paciente não cadastrado"))</f>
        <v>0</v>
      </c>
      <c r="K2221" s="26">
        <f>IF($D2221="","",IFERROR(INDEX(PacConv,MATCH($D2221,PacCod,0))&amp;"",""))</f>
        <v>0</v>
      </c>
      <c r="L2221" s="26">
        <f>IF($A2221="","",CHOOSE(WEEKDAY($A2221,2),"Seg","Ter","Qua","Qui","Sex","Sáb","Dom"))</f>
        <v>0</v>
      </c>
      <c r="M2221" s="27">
        <f>IF($E2221="","",IF($G2221&lt;&gt;"",$G2221,IFERROR(INDEX(ProcValor,MATCH($E2221,ProcNome,0)),0)))</f>
        <v>0</v>
      </c>
      <c r="N2221" s="27">
        <f>IF($M2221="","",IF($F2221="Compareceu",$M2221,0))</f>
        <v>0</v>
      </c>
      <c r="O2221" s="27">
        <f>IF($M2221="","",IF($F2221="Faltou",$M2221,0))</f>
        <v>0</v>
      </c>
      <c r="P2221" s="27">
        <f>IF($M2221="","",IF($F2221="Compareceu",MAX(0,$M2221-N($H2221)),0))</f>
        <v>0</v>
      </c>
      <c r="Q2221" s="19">
        <f>IF(AND($F2221="Compareceu",$E2221&lt;&gt;"",$A2221&lt;&gt;""),IF(IFERROR(INDEX(ProcRet,MATCH($E2221,ProcNome,0)),0)&gt;0,$A2221+INDEX(ProcRet,MATCH($E2221,ProcNome,0)),""),"")</f>
        <v>0</v>
      </c>
      <c r="R2221" s="26">
        <f>IF($Q2221="","",IF(COUNTIFS(AgPac,$D2221,AgData,"&gt;"&amp;$A2221,AgStatus,"&lt;&gt;Cancelado",AgStatus,"&lt;&gt;Remarcado")&gt;0,"Sim","Não"))</f>
        <v>0</v>
      </c>
      <c r="S2221" s="28">
        <f>IF($A2221="","",IF(AND($F2221="Agendado",$A2221-Hoje&gt;=0,$A2221-Hoje&lt;=DiasConf),"CONFIRMAR",IF(AND($A2221&lt;Hoje,OR($F2221="Agendado",$F2221="Confirmado")),"Atualizar status",IF(AND($F2221="Compareceu",$P2221&gt;0.005),"Cobrar",IF($F2221="Faltou","Falta: reagendar","")))))</f>
        <v>0</v>
      </c>
      <c r="T2221" s="29">
        <f>IF($A2221="","",DATE(YEAR($A2221),MONTH($A2221),1))</f>
        <v>0</v>
      </c>
      <c r="U2221" s="30">
        <f>IF($S2221="CONFIRMAR",MAX($U$4:$U2220)+1,"")</f>
        <v>0</v>
      </c>
      <c r="V2221" s="30">
        <f>IF(AND($R2221="Não",$Q2221&lt;&gt;"",$Q2221&lt;=Hoje+JanelaRet,$Q2221&gt;=Hoje-60),MAX($V$4:$V2220)+1,"")</f>
        <v>0</v>
      </c>
    </row>
    <row r="2222" spans="1:22">
      <c r="A2222" s="16"/>
      <c r="B2222" s="23"/>
      <c r="C2222" s="15"/>
      <c r="D2222" s="15"/>
      <c r="E2222" s="15"/>
      <c r="F2222" s="24"/>
      <c r="G2222" s="17"/>
      <c r="H2222" s="17"/>
      <c r="I2222" s="15"/>
      <c r="J2222" s="25">
        <f>IF($D2222="","",IFERROR(INDEX(PacNome,MATCH($D2222,PacCod,0)),"Paciente não cadastrado"))</f>
        <v>0</v>
      </c>
      <c r="K2222" s="26">
        <f>IF($D2222="","",IFERROR(INDEX(PacConv,MATCH($D2222,PacCod,0))&amp;"",""))</f>
        <v>0</v>
      </c>
      <c r="L2222" s="26">
        <f>IF($A2222="","",CHOOSE(WEEKDAY($A2222,2),"Seg","Ter","Qua","Qui","Sex","Sáb","Dom"))</f>
        <v>0</v>
      </c>
      <c r="M2222" s="27">
        <f>IF($E2222="","",IF($G2222&lt;&gt;"",$G2222,IFERROR(INDEX(ProcValor,MATCH($E2222,ProcNome,0)),0)))</f>
        <v>0</v>
      </c>
      <c r="N2222" s="27">
        <f>IF($M2222="","",IF($F2222="Compareceu",$M2222,0))</f>
        <v>0</v>
      </c>
      <c r="O2222" s="27">
        <f>IF($M2222="","",IF($F2222="Faltou",$M2222,0))</f>
        <v>0</v>
      </c>
      <c r="P2222" s="27">
        <f>IF($M2222="","",IF($F2222="Compareceu",MAX(0,$M2222-N($H2222)),0))</f>
        <v>0</v>
      </c>
      <c r="Q2222" s="19">
        <f>IF(AND($F2222="Compareceu",$E2222&lt;&gt;"",$A2222&lt;&gt;""),IF(IFERROR(INDEX(ProcRet,MATCH($E2222,ProcNome,0)),0)&gt;0,$A2222+INDEX(ProcRet,MATCH($E2222,ProcNome,0)),""),"")</f>
        <v>0</v>
      </c>
      <c r="R2222" s="26">
        <f>IF($Q2222="","",IF(COUNTIFS(AgPac,$D2222,AgData,"&gt;"&amp;$A2222,AgStatus,"&lt;&gt;Cancelado",AgStatus,"&lt;&gt;Remarcado")&gt;0,"Sim","Não"))</f>
        <v>0</v>
      </c>
      <c r="S2222" s="28">
        <f>IF($A2222="","",IF(AND($F2222="Agendado",$A2222-Hoje&gt;=0,$A2222-Hoje&lt;=DiasConf),"CONFIRMAR",IF(AND($A2222&lt;Hoje,OR($F2222="Agendado",$F2222="Confirmado")),"Atualizar status",IF(AND($F2222="Compareceu",$P2222&gt;0.005),"Cobrar",IF($F2222="Faltou","Falta: reagendar","")))))</f>
        <v>0</v>
      </c>
      <c r="T2222" s="29">
        <f>IF($A2222="","",DATE(YEAR($A2222),MONTH($A2222),1))</f>
        <v>0</v>
      </c>
      <c r="U2222" s="30">
        <f>IF($S2222="CONFIRMAR",MAX($U$4:$U2221)+1,"")</f>
        <v>0</v>
      </c>
      <c r="V2222" s="30">
        <f>IF(AND($R2222="Não",$Q2222&lt;&gt;"",$Q2222&lt;=Hoje+JanelaRet,$Q2222&gt;=Hoje-60),MAX($V$4:$V2221)+1,"")</f>
        <v>0</v>
      </c>
    </row>
    <row r="2223" spans="1:22">
      <c r="A2223" s="16"/>
      <c r="B2223" s="23"/>
      <c r="C2223" s="15"/>
      <c r="D2223" s="15"/>
      <c r="E2223" s="15"/>
      <c r="F2223" s="24"/>
      <c r="G2223" s="17"/>
      <c r="H2223" s="17"/>
      <c r="I2223" s="15"/>
      <c r="J2223" s="25">
        <f>IF($D2223="","",IFERROR(INDEX(PacNome,MATCH($D2223,PacCod,0)),"Paciente não cadastrado"))</f>
        <v>0</v>
      </c>
      <c r="K2223" s="26">
        <f>IF($D2223="","",IFERROR(INDEX(PacConv,MATCH($D2223,PacCod,0))&amp;"",""))</f>
        <v>0</v>
      </c>
      <c r="L2223" s="26">
        <f>IF($A2223="","",CHOOSE(WEEKDAY($A2223,2),"Seg","Ter","Qua","Qui","Sex","Sáb","Dom"))</f>
        <v>0</v>
      </c>
      <c r="M2223" s="27">
        <f>IF($E2223="","",IF($G2223&lt;&gt;"",$G2223,IFERROR(INDEX(ProcValor,MATCH($E2223,ProcNome,0)),0)))</f>
        <v>0</v>
      </c>
      <c r="N2223" s="27">
        <f>IF($M2223="","",IF($F2223="Compareceu",$M2223,0))</f>
        <v>0</v>
      </c>
      <c r="O2223" s="27">
        <f>IF($M2223="","",IF($F2223="Faltou",$M2223,0))</f>
        <v>0</v>
      </c>
      <c r="P2223" s="27">
        <f>IF($M2223="","",IF($F2223="Compareceu",MAX(0,$M2223-N($H2223)),0))</f>
        <v>0</v>
      </c>
      <c r="Q2223" s="19">
        <f>IF(AND($F2223="Compareceu",$E2223&lt;&gt;"",$A2223&lt;&gt;""),IF(IFERROR(INDEX(ProcRet,MATCH($E2223,ProcNome,0)),0)&gt;0,$A2223+INDEX(ProcRet,MATCH($E2223,ProcNome,0)),""),"")</f>
        <v>0</v>
      </c>
      <c r="R2223" s="26">
        <f>IF($Q2223="","",IF(COUNTIFS(AgPac,$D2223,AgData,"&gt;"&amp;$A2223,AgStatus,"&lt;&gt;Cancelado",AgStatus,"&lt;&gt;Remarcado")&gt;0,"Sim","Não"))</f>
        <v>0</v>
      </c>
      <c r="S2223" s="28">
        <f>IF($A2223="","",IF(AND($F2223="Agendado",$A2223-Hoje&gt;=0,$A2223-Hoje&lt;=DiasConf),"CONFIRMAR",IF(AND($A2223&lt;Hoje,OR($F2223="Agendado",$F2223="Confirmado")),"Atualizar status",IF(AND($F2223="Compareceu",$P2223&gt;0.005),"Cobrar",IF($F2223="Faltou","Falta: reagendar","")))))</f>
        <v>0</v>
      </c>
      <c r="T2223" s="29">
        <f>IF($A2223="","",DATE(YEAR($A2223),MONTH($A2223),1))</f>
        <v>0</v>
      </c>
      <c r="U2223" s="30">
        <f>IF($S2223="CONFIRMAR",MAX($U$4:$U2222)+1,"")</f>
        <v>0</v>
      </c>
      <c r="V2223" s="30">
        <f>IF(AND($R2223="Não",$Q2223&lt;&gt;"",$Q2223&lt;=Hoje+JanelaRet,$Q2223&gt;=Hoje-60),MAX($V$4:$V2222)+1,"")</f>
        <v>0</v>
      </c>
    </row>
    <row r="2224" spans="1:22">
      <c r="A2224" s="16"/>
      <c r="B2224" s="23"/>
      <c r="C2224" s="15"/>
      <c r="D2224" s="15"/>
      <c r="E2224" s="15"/>
      <c r="F2224" s="24"/>
      <c r="G2224" s="17"/>
      <c r="H2224" s="17"/>
      <c r="I2224" s="15"/>
      <c r="J2224" s="25">
        <f>IF($D2224="","",IFERROR(INDEX(PacNome,MATCH($D2224,PacCod,0)),"Paciente não cadastrado"))</f>
        <v>0</v>
      </c>
      <c r="K2224" s="26">
        <f>IF($D2224="","",IFERROR(INDEX(PacConv,MATCH($D2224,PacCod,0))&amp;"",""))</f>
        <v>0</v>
      </c>
      <c r="L2224" s="26">
        <f>IF($A2224="","",CHOOSE(WEEKDAY($A2224,2),"Seg","Ter","Qua","Qui","Sex","Sáb","Dom"))</f>
        <v>0</v>
      </c>
      <c r="M2224" s="27">
        <f>IF($E2224="","",IF($G2224&lt;&gt;"",$G2224,IFERROR(INDEX(ProcValor,MATCH($E2224,ProcNome,0)),0)))</f>
        <v>0</v>
      </c>
      <c r="N2224" s="27">
        <f>IF($M2224="","",IF($F2224="Compareceu",$M2224,0))</f>
        <v>0</v>
      </c>
      <c r="O2224" s="27">
        <f>IF($M2224="","",IF($F2224="Faltou",$M2224,0))</f>
        <v>0</v>
      </c>
      <c r="P2224" s="27">
        <f>IF($M2224="","",IF($F2224="Compareceu",MAX(0,$M2224-N($H2224)),0))</f>
        <v>0</v>
      </c>
      <c r="Q2224" s="19">
        <f>IF(AND($F2224="Compareceu",$E2224&lt;&gt;"",$A2224&lt;&gt;""),IF(IFERROR(INDEX(ProcRet,MATCH($E2224,ProcNome,0)),0)&gt;0,$A2224+INDEX(ProcRet,MATCH($E2224,ProcNome,0)),""),"")</f>
        <v>0</v>
      </c>
      <c r="R2224" s="26">
        <f>IF($Q2224="","",IF(COUNTIFS(AgPac,$D2224,AgData,"&gt;"&amp;$A2224,AgStatus,"&lt;&gt;Cancelado",AgStatus,"&lt;&gt;Remarcado")&gt;0,"Sim","Não"))</f>
        <v>0</v>
      </c>
      <c r="S2224" s="28">
        <f>IF($A2224="","",IF(AND($F2224="Agendado",$A2224-Hoje&gt;=0,$A2224-Hoje&lt;=DiasConf),"CONFIRMAR",IF(AND($A2224&lt;Hoje,OR($F2224="Agendado",$F2224="Confirmado")),"Atualizar status",IF(AND($F2224="Compareceu",$P2224&gt;0.005),"Cobrar",IF($F2224="Faltou","Falta: reagendar","")))))</f>
        <v>0</v>
      </c>
      <c r="T2224" s="29">
        <f>IF($A2224="","",DATE(YEAR($A2224),MONTH($A2224),1))</f>
        <v>0</v>
      </c>
      <c r="U2224" s="30">
        <f>IF($S2224="CONFIRMAR",MAX($U$4:$U2223)+1,"")</f>
        <v>0</v>
      </c>
      <c r="V2224" s="30">
        <f>IF(AND($R2224="Não",$Q2224&lt;&gt;"",$Q2224&lt;=Hoje+JanelaRet,$Q2224&gt;=Hoje-60),MAX($V$4:$V2223)+1,"")</f>
        <v>0</v>
      </c>
    </row>
    <row r="2225" spans="1:22">
      <c r="A2225" s="16"/>
      <c r="B2225" s="23"/>
      <c r="C2225" s="15"/>
      <c r="D2225" s="15"/>
      <c r="E2225" s="15"/>
      <c r="F2225" s="24"/>
      <c r="G2225" s="17"/>
      <c r="H2225" s="17"/>
      <c r="I2225" s="15"/>
      <c r="J2225" s="25">
        <f>IF($D2225="","",IFERROR(INDEX(PacNome,MATCH($D2225,PacCod,0)),"Paciente não cadastrado"))</f>
        <v>0</v>
      </c>
      <c r="K2225" s="26">
        <f>IF($D2225="","",IFERROR(INDEX(PacConv,MATCH($D2225,PacCod,0))&amp;"",""))</f>
        <v>0</v>
      </c>
      <c r="L2225" s="26">
        <f>IF($A2225="","",CHOOSE(WEEKDAY($A2225,2),"Seg","Ter","Qua","Qui","Sex","Sáb","Dom"))</f>
        <v>0</v>
      </c>
      <c r="M2225" s="27">
        <f>IF($E2225="","",IF($G2225&lt;&gt;"",$G2225,IFERROR(INDEX(ProcValor,MATCH($E2225,ProcNome,0)),0)))</f>
        <v>0</v>
      </c>
      <c r="N2225" s="27">
        <f>IF($M2225="","",IF($F2225="Compareceu",$M2225,0))</f>
        <v>0</v>
      </c>
      <c r="O2225" s="27">
        <f>IF($M2225="","",IF($F2225="Faltou",$M2225,0))</f>
        <v>0</v>
      </c>
      <c r="P2225" s="27">
        <f>IF($M2225="","",IF($F2225="Compareceu",MAX(0,$M2225-N($H2225)),0))</f>
        <v>0</v>
      </c>
      <c r="Q2225" s="19">
        <f>IF(AND($F2225="Compareceu",$E2225&lt;&gt;"",$A2225&lt;&gt;""),IF(IFERROR(INDEX(ProcRet,MATCH($E2225,ProcNome,0)),0)&gt;0,$A2225+INDEX(ProcRet,MATCH($E2225,ProcNome,0)),""),"")</f>
        <v>0</v>
      </c>
      <c r="R2225" s="26">
        <f>IF($Q2225="","",IF(COUNTIFS(AgPac,$D2225,AgData,"&gt;"&amp;$A2225,AgStatus,"&lt;&gt;Cancelado",AgStatus,"&lt;&gt;Remarcado")&gt;0,"Sim","Não"))</f>
        <v>0</v>
      </c>
      <c r="S2225" s="28">
        <f>IF($A2225="","",IF(AND($F2225="Agendado",$A2225-Hoje&gt;=0,$A2225-Hoje&lt;=DiasConf),"CONFIRMAR",IF(AND($A2225&lt;Hoje,OR($F2225="Agendado",$F2225="Confirmado")),"Atualizar status",IF(AND($F2225="Compareceu",$P2225&gt;0.005),"Cobrar",IF($F2225="Faltou","Falta: reagendar","")))))</f>
        <v>0</v>
      </c>
      <c r="T2225" s="29">
        <f>IF($A2225="","",DATE(YEAR($A2225),MONTH($A2225),1))</f>
        <v>0</v>
      </c>
      <c r="U2225" s="30">
        <f>IF($S2225="CONFIRMAR",MAX($U$4:$U2224)+1,"")</f>
        <v>0</v>
      </c>
      <c r="V2225" s="30">
        <f>IF(AND($R2225="Não",$Q2225&lt;&gt;"",$Q2225&lt;=Hoje+JanelaRet,$Q2225&gt;=Hoje-60),MAX($V$4:$V2224)+1,"")</f>
        <v>0</v>
      </c>
    </row>
    <row r="2226" spans="1:22">
      <c r="A2226" s="16"/>
      <c r="B2226" s="23"/>
      <c r="C2226" s="15"/>
      <c r="D2226" s="15"/>
      <c r="E2226" s="15"/>
      <c r="F2226" s="24"/>
      <c r="G2226" s="17"/>
      <c r="H2226" s="17"/>
      <c r="I2226" s="15"/>
      <c r="J2226" s="25">
        <f>IF($D2226="","",IFERROR(INDEX(PacNome,MATCH($D2226,PacCod,0)),"Paciente não cadastrado"))</f>
        <v>0</v>
      </c>
      <c r="K2226" s="26">
        <f>IF($D2226="","",IFERROR(INDEX(PacConv,MATCH($D2226,PacCod,0))&amp;"",""))</f>
        <v>0</v>
      </c>
      <c r="L2226" s="26">
        <f>IF($A2226="","",CHOOSE(WEEKDAY($A2226,2),"Seg","Ter","Qua","Qui","Sex","Sáb","Dom"))</f>
        <v>0</v>
      </c>
      <c r="M2226" s="27">
        <f>IF($E2226="","",IF($G2226&lt;&gt;"",$G2226,IFERROR(INDEX(ProcValor,MATCH($E2226,ProcNome,0)),0)))</f>
        <v>0</v>
      </c>
      <c r="N2226" s="27">
        <f>IF($M2226="","",IF($F2226="Compareceu",$M2226,0))</f>
        <v>0</v>
      </c>
      <c r="O2226" s="27">
        <f>IF($M2226="","",IF($F2226="Faltou",$M2226,0))</f>
        <v>0</v>
      </c>
      <c r="P2226" s="27">
        <f>IF($M2226="","",IF($F2226="Compareceu",MAX(0,$M2226-N($H2226)),0))</f>
        <v>0</v>
      </c>
      <c r="Q2226" s="19">
        <f>IF(AND($F2226="Compareceu",$E2226&lt;&gt;"",$A2226&lt;&gt;""),IF(IFERROR(INDEX(ProcRet,MATCH($E2226,ProcNome,0)),0)&gt;0,$A2226+INDEX(ProcRet,MATCH($E2226,ProcNome,0)),""),"")</f>
        <v>0</v>
      </c>
      <c r="R2226" s="26">
        <f>IF($Q2226="","",IF(COUNTIFS(AgPac,$D2226,AgData,"&gt;"&amp;$A2226,AgStatus,"&lt;&gt;Cancelado",AgStatus,"&lt;&gt;Remarcado")&gt;0,"Sim","Não"))</f>
        <v>0</v>
      </c>
      <c r="S2226" s="28">
        <f>IF($A2226="","",IF(AND($F2226="Agendado",$A2226-Hoje&gt;=0,$A2226-Hoje&lt;=DiasConf),"CONFIRMAR",IF(AND($A2226&lt;Hoje,OR($F2226="Agendado",$F2226="Confirmado")),"Atualizar status",IF(AND($F2226="Compareceu",$P2226&gt;0.005),"Cobrar",IF($F2226="Faltou","Falta: reagendar","")))))</f>
        <v>0</v>
      </c>
      <c r="T2226" s="29">
        <f>IF($A2226="","",DATE(YEAR($A2226),MONTH($A2226),1))</f>
        <v>0</v>
      </c>
      <c r="U2226" s="30">
        <f>IF($S2226="CONFIRMAR",MAX($U$4:$U2225)+1,"")</f>
        <v>0</v>
      </c>
      <c r="V2226" s="30">
        <f>IF(AND($R2226="Não",$Q2226&lt;&gt;"",$Q2226&lt;=Hoje+JanelaRet,$Q2226&gt;=Hoje-60),MAX($V$4:$V2225)+1,"")</f>
        <v>0</v>
      </c>
    </row>
    <row r="2227" spans="1:22">
      <c r="A2227" s="16"/>
      <c r="B2227" s="23"/>
      <c r="C2227" s="15"/>
      <c r="D2227" s="15"/>
      <c r="E2227" s="15"/>
      <c r="F2227" s="24"/>
      <c r="G2227" s="17"/>
      <c r="H2227" s="17"/>
      <c r="I2227" s="15"/>
      <c r="J2227" s="25">
        <f>IF($D2227="","",IFERROR(INDEX(PacNome,MATCH($D2227,PacCod,0)),"Paciente não cadastrado"))</f>
        <v>0</v>
      </c>
      <c r="K2227" s="26">
        <f>IF($D2227="","",IFERROR(INDEX(PacConv,MATCH($D2227,PacCod,0))&amp;"",""))</f>
        <v>0</v>
      </c>
      <c r="L2227" s="26">
        <f>IF($A2227="","",CHOOSE(WEEKDAY($A2227,2),"Seg","Ter","Qua","Qui","Sex","Sáb","Dom"))</f>
        <v>0</v>
      </c>
      <c r="M2227" s="27">
        <f>IF($E2227="","",IF($G2227&lt;&gt;"",$G2227,IFERROR(INDEX(ProcValor,MATCH($E2227,ProcNome,0)),0)))</f>
        <v>0</v>
      </c>
      <c r="N2227" s="27">
        <f>IF($M2227="","",IF($F2227="Compareceu",$M2227,0))</f>
        <v>0</v>
      </c>
      <c r="O2227" s="27">
        <f>IF($M2227="","",IF($F2227="Faltou",$M2227,0))</f>
        <v>0</v>
      </c>
      <c r="P2227" s="27">
        <f>IF($M2227="","",IF($F2227="Compareceu",MAX(0,$M2227-N($H2227)),0))</f>
        <v>0</v>
      </c>
      <c r="Q2227" s="19">
        <f>IF(AND($F2227="Compareceu",$E2227&lt;&gt;"",$A2227&lt;&gt;""),IF(IFERROR(INDEX(ProcRet,MATCH($E2227,ProcNome,0)),0)&gt;0,$A2227+INDEX(ProcRet,MATCH($E2227,ProcNome,0)),""),"")</f>
        <v>0</v>
      </c>
      <c r="R2227" s="26">
        <f>IF($Q2227="","",IF(COUNTIFS(AgPac,$D2227,AgData,"&gt;"&amp;$A2227,AgStatus,"&lt;&gt;Cancelado",AgStatus,"&lt;&gt;Remarcado")&gt;0,"Sim","Não"))</f>
        <v>0</v>
      </c>
      <c r="S2227" s="28">
        <f>IF($A2227="","",IF(AND($F2227="Agendado",$A2227-Hoje&gt;=0,$A2227-Hoje&lt;=DiasConf),"CONFIRMAR",IF(AND($A2227&lt;Hoje,OR($F2227="Agendado",$F2227="Confirmado")),"Atualizar status",IF(AND($F2227="Compareceu",$P2227&gt;0.005),"Cobrar",IF($F2227="Faltou","Falta: reagendar","")))))</f>
        <v>0</v>
      </c>
      <c r="T2227" s="29">
        <f>IF($A2227="","",DATE(YEAR($A2227),MONTH($A2227),1))</f>
        <v>0</v>
      </c>
      <c r="U2227" s="30">
        <f>IF($S2227="CONFIRMAR",MAX($U$4:$U2226)+1,"")</f>
        <v>0</v>
      </c>
      <c r="V2227" s="30">
        <f>IF(AND($R2227="Não",$Q2227&lt;&gt;"",$Q2227&lt;=Hoje+JanelaRet,$Q2227&gt;=Hoje-60),MAX($V$4:$V2226)+1,"")</f>
        <v>0</v>
      </c>
    </row>
    <row r="2228" spans="1:22">
      <c r="A2228" s="16"/>
      <c r="B2228" s="23"/>
      <c r="C2228" s="15"/>
      <c r="D2228" s="15"/>
      <c r="E2228" s="15"/>
      <c r="F2228" s="24"/>
      <c r="G2228" s="17"/>
      <c r="H2228" s="17"/>
      <c r="I2228" s="15"/>
      <c r="J2228" s="25">
        <f>IF($D2228="","",IFERROR(INDEX(PacNome,MATCH($D2228,PacCod,0)),"Paciente não cadastrado"))</f>
        <v>0</v>
      </c>
      <c r="K2228" s="26">
        <f>IF($D2228="","",IFERROR(INDEX(PacConv,MATCH($D2228,PacCod,0))&amp;"",""))</f>
        <v>0</v>
      </c>
      <c r="L2228" s="26">
        <f>IF($A2228="","",CHOOSE(WEEKDAY($A2228,2),"Seg","Ter","Qua","Qui","Sex","Sáb","Dom"))</f>
        <v>0</v>
      </c>
      <c r="M2228" s="27">
        <f>IF($E2228="","",IF($G2228&lt;&gt;"",$G2228,IFERROR(INDEX(ProcValor,MATCH($E2228,ProcNome,0)),0)))</f>
        <v>0</v>
      </c>
      <c r="N2228" s="27">
        <f>IF($M2228="","",IF($F2228="Compareceu",$M2228,0))</f>
        <v>0</v>
      </c>
      <c r="O2228" s="27">
        <f>IF($M2228="","",IF($F2228="Faltou",$M2228,0))</f>
        <v>0</v>
      </c>
      <c r="P2228" s="27">
        <f>IF($M2228="","",IF($F2228="Compareceu",MAX(0,$M2228-N($H2228)),0))</f>
        <v>0</v>
      </c>
      <c r="Q2228" s="19">
        <f>IF(AND($F2228="Compareceu",$E2228&lt;&gt;"",$A2228&lt;&gt;""),IF(IFERROR(INDEX(ProcRet,MATCH($E2228,ProcNome,0)),0)&gt;0,$A2228+INDEX(ProcRet,MATCH($E2228,ProcNome,0)),""),"")</f>
        <v>0</v>
      </c>
      <c r="R2228" s="26">
        <f>IF($Q2228="","",IF(COUNTIFS(AgPac,$D2228,AgData,"&gt;"&amp;$A2228,AgStatus,"&lt;&gt;Cancelado",AgStatus,"&lt;&gt;Remarcado")&gt;0,"Sim","Não"))</f>
        <v>0</v>
      </c>
      <c r="S2228" s="28">
        <f>IF($A2228="","",IF(AND($F2228="Agendado",$A2228-Hoje&gt;=0,$A2228-Hoje&lt;=DiasConf),"CONFIRMAR",IF(AND($A2228&lt;Hoje,OR($F2228="Agendado",$F2228="Confirmado")),"Atualizar status",IF(AND($F2228="Compareceu",$P2228&gt;0.005),"Cobrar",IF($F2228="Faltou","Falta: reagendar","")))))</f>
        <v>0</v>
      </c>
      <c r="T2228" s="29">
        <f>IF($A2228="","",DATE(YEAR($A2228),MONTH($A2228),1))</f>
        <v>0</v>
      </c>
      <c r="U2228" s="30">
        <f>IF($S2228="CONFIRMAR",MAX($U$4:$U2227)+1,"")</f>
        <v>0</v>
      </c>
      <c r="V2228" s="30">
        <f>IF(AND($R2228="Não",$Q2228&lt;&gt;"",$Q2228&lt;=Hoje+JanelaRet,$Q2228&gt;=Hoje-60),MAX($V$4:$V2227)+1,"")</f>
        <v>0</v>
      </c>
    </row>
    <row r="2229" spans="1:22">
      <c r="A2229" s="16"/>
      <c r="B2229" s="23"/>
      <c r="C2229" s="15"/>
      <c r="D2229" s="15"/>
      <c r="E2229" s="15"/>
      <c r="F2229" s="24"/>
      <c r="G2229" s="17"/>
      <c r="H2229" s="17"/>
      <c r="I2229" s="15"/>
      <c r="J2229" s="25">
        <f>IF($D2229="","",IFERROR(INDEX(PacNome,MATCH($D2229,PacCod,0)),"Paciente não cadastrado"))</f>
        <v>0</v>
      </c>
      <c r="K2229" s="26">
        <f>IF($D2229="","",IFERROR(INDEX(PacConv,MATCH($D2229,PacCod,0))&amp;"",""))</f>
        <v>0</v>
      </c>
      <c r="L2229" s="26">
        <f>IF($A2229="","",CHOOSE(WEEKDAY($A2229,2),"Seg","Ter","Qua","Qui","Sex","Sáb","Dom"))</f>
        <v>0</v>
      </c>
      <c r="M2229" s="27">
        <f>IF($E2229="","",IF($G2229&lt;&gt;"",$G2229,IFERROR(INDEX(ProcValor,MATCH($E2229,ProcNome,0)),0)))</f>
        <v>0</v>
      </c>
      <c r="N2229" s="27">
        <f>IF($M2229="","",IF($F2229="Compareceu",$M2229,0))</f>
        <v>0</v>
      </c>
      <c r="O2229" s="27">
        <f>IF($M2229="","",IF($F2229="Faltou",$M2229,0))</f>
        <v>0</v>
      </c>
      <c r="P2229" s="27">
        <f>IF($M2229="","",IF($F2229="Compareceu",MAX(0,$M2229-N($H2229)),0))</f>
        <v>0</v>
      </c>
      <c r="Q2229" s="19">
        <f>IF(AND($F2229="Compareceu",$E2229&lt;&gt;"",$A2229&lt;&gt;""),IF(IFERROR(INDEX(ProcRet,MATCH($E2229,ProcNome,0)),0)&gt;0,$A2229+INDEX(ProcRet,MATCH($E2229,ProcNome,0)),""),"")</f>
        <v>0</v>
      </c>
      <c r="R2229" s="26">
        <f>IF($Q2229="","",IF(COUNTIFS(AgPac,$D2229,AgData,"&gt;"&amp;$A2229,AgStatus,"&lt;&gt;Cancelado",AgStatus,"&lt;&gt;Remarcado")&gt;0,"Sim","Não"))</f>
        <v>0</v>
      </c>
      <c r="S2229" s="28">
        <f>IF($A2229="","",IF(AND($F2229="Agendado",$A2229-Hoje&gt;=0,$A2229-Hoje&lt;=DiasConf),"CONFIRMAR",IF(AND($A2229&lt;Hoje,OR($F2229="Agendado",$F2229="Confirmado")),"Atualizar status",IF(AND($F2229="Compareceu",$P2229&gt;0.005),"Cobrar",IF($F2229="Faltou","Falta: reagendar","")))))</f>
        <v>0</v>
      </c>
      <c r="T2229" s="29">
        <f>IF($A2229="","",DATE(YEAR($A2229),MONTH($A2229),1))</f>
        <v>0</v>
      </c>
      <c r="U2229" s="30">
        <f>IF($S2229="CONFIRMAR",MAX($U$4:$U2228)+1,"")</f>
        <v>0</v>
      </c>
      <c r="V2229" s="30">
        <f>IF(AND($R2229="Não",$Q2229&lt;&gt;"",$Q2229&lt;=Hoje+JanelaRet,$Q2229&gt;=Hoje-60),MAX($V$4:$V2228)+1,"")</f>
        <v>0</v>
      </c>
    </row>
    <row r="2230" spans="1:22">
      <c r="A2230" s="16"/>
      <c r="B2230" s="23"/>
      <c r="C2230" s="15"/>
      <c r="D2230" s="15"/>
      <c r="E2230" s="15"/>
      <c r="F2230" s="24"/>
      <c r="G2230" s="17"/>
      <c r="H2230" s="17"/>
      <c r="I2230" s="15"/>
      <c r="J2230" s="25">
        <f>IF($D2230="","",IFERROR(INDEX(PacNome,MATCH($D2230,PacCod,0)),"Paciente não cadastrado"))</f>
        <v>0</v>
      </c>
      <c r="K2230" s="26">
        <f>IF($D2230="","",IFERROR(INDEX(PacConv,MATCH($D2230,PacCod,0))&amp;"",""))</f>
        <v>0</v>
      </c>
      <c r="L2230" s="26">
        <f>IF($A2230="","",CHOOSE(WEEKDAY($A2230,2),"Seg","Ter","Qua","Qui","Sex","Sáb","Dom"))</f>
        <v>0</v>
      </c>
      <c r="M2230" s="27">
        <f>IF($E2230="","",IF($G2230&lt;&gt;"",$G2230,IFERROR(INDEX(ProcValor,MATCH($E2230,ProcNome,0)),0)))</f>
        <v>0</v>
      </c>
      <c r="N2230" s="27">
        <f>IF($M2230="","",IF($F2230="Compareceu",$M2230,0))</f>
        <v>0</v>
      </c>
      <c r="O2230" s="27">
        <f>IF($M2230="","",IF($F2230="Faltou",$M2230,0))</f>
        <v>0</v>
      </c>
      <c r="P2230" s="27">
        <f>IF($M2230="","",IF($F2230="Compareceu",MAX(0,$M2230-N($H2230)),0))</f>
        <v>0</v>
      </c>
      <c r="Q2230" s="19">
        <f>IF(AND($F2230="Compareceu",$E2230&lt;&gt;"",$A2230&lt;&gt;""),IF(IFERROR(INDEX(ProcRet,MATCH($E2230,ProcNome,0)),0)&gt;0,$A2230+INDEX(ProcRet,MATCH($E2230,ProcNome,0)),""),"")</f>
        <v>0</v>
      </c>
      <c r="R2230" s="26">
        <f>IF($Q2230="","",IF(COUNTIFS(AgPac,$D2230,AgData,"&gt;"&amp;$A2230,AgStatus,"&lt;&gt;Cancelado",AgStatus,"&lt;&gt;Remarcado")&gt;0,"Sim","Não"))</f>
        <v>0</v>
      </c>
      <c r="S2230" s="28">
        <f>IF($A2230="","",IF(AND($F2230="Agendado",$A2230-Hoje&gt;=0,$A2230-Hoje&lt;=DiasConf),"CONFIRMAR",IF(AND($A2230&lt;Hoje,OR($F2230="Agendado",$F2230="Confirmado")),"Atualizar status",IF(AND($F2230="Compareceu",$P2230&gt;0.005),"Cobrar",IF($F2230="Faltou","Falta: reagendar","")))))</f>
        <v>0</v>
      </c>
      <c r="T2230" s="29">
        <f>IF($A2230="","",DATE(YEAR($A2230),MONTH($A2230),1))</f>
        <v>0</v>
      </c>
      <c r="U2230" s="30">
        <f>IF($S2230="CONFIRMAR",MAX($U$4:$U2229)+1,"")</f>
        <v>0</v>
      </c>
      <c r="V2230" s="30">
        <f>IF(AND($R2230="Não",$Q2230&lt;&gt;"",$Q2230&lt;=Hoje+JanelaRet,$Q2230&gt;=Hoje-60),MAX($V$4:$V2229)+1,"")</f>
        <v>0</v>
      </c>
    </row>
    <row r="2231" spans="1:22">
      <c r="A2231" s="16"/>
      <c r="B2231" s="23"/>
      <c r="C2231" s="15"/>
      <c r="D2231" s="15"/>
      <c r="E2231" s="15"/>
      <c r="F2231" s="24"/>
      <c r="G2231" s="17"/>
      <c r="H2231" s="17"/>
      <c r="I2231" s="15"/>
      <c r="J2231" s="25">
        <f>IF($D2231="","",IFERROR(INDEX(PacNome,MATCH($D2231,PacCod,0)),"Paciente não cadastrado"))</f>
        <v>0</v>
      </c>
      <c r="K2231" s="26">
        <f>IF($D2231="","",IFERROR(INDEX(PacConv,MATCH($D2231,PacCod,0))&amp;"",""))</f>
        <v>0</v>
      </c>
      <c r="L2231" s="26">
        <f>IF($A2231="","",CHOOSE(WEEKDAY($A2231,2),"Seg","Ter","Qua","Qui","Sex","Sáb","Dom"))</f>
        <v>0</v>
      </c>
      <c r="M2231" s="27">
        <f>IF($E2231="","",IF($G2231&lt;&gt;"",$G2231,IFERROR(INDEX(ProcValor,MATCH($E2231,ProcNome,0)),0)))</f>
        <v>0</v>
      </c>
      <c r="N2231" s="27">
        <f>IF($M2231="","",IF($F2231="Compareceu",$M2231,0))</f>
        <v>0</v>
      </c>
      <c r="O2231" s="27">
        <f>IF($M2231="","",IF($F2231="Faltou",$M2231,0))</f>
        <v>0</v>
      </c>
      <c r="P2231" s="27">
        <f>IF($M2231="","",IF($F2231="Compareceu",MAX(0,$M2231-N($H2231)),0))</f>
        <v>0</v>
      </c>
      <c r="Q2231" s="19">
        <f>IF(AND($F2231="Compareceu",$E2231&lt;&gt;"",$A2231&lt;&gt;""),IF(IFERROR(INDEX(ProcRet,MATCH($E2231,ProcNome,0)),0)&gt;0,$A2231+INDEX(ProcRet,MATCH($E2231,ProcNome,0)),""),"")</f>
        <v>0</v>
      </c>
      <c r="R2231" s="26">
        <f>IF($Q2231="","",IF(COUNTIFS(AgPac,$D2231,AgData,"&gt;"&amp;$A2231,AgStatus,"&lt;&gt;Cancelado",AgStatus,"&lt;&gt;Remarcado")&gt;0,"Sim","Não"))</f>
        <v>0</v>
      </c>
      <c r="S2231" s="28">
        <f>IF($A2231="","",IF(AND($F2231="Agendado",$A2231-Hoje&gt;=0,$A2231-Hoje&lt;=DiasConf),"CONFIRMAR",IF(AND($A2231&lt;Hoje,OR($F2231="Agendado",$F2231="Confirmado")),"Atualizar status",IF(AND($F2231="Compareceu",$P2231&gt;0.005),"Cobrar",IF($F2231="Faltou","Falta: reagendar","")))))</f>
        <v>0</v>
      </c>
      <c r="T2231" s="29">
        <f>IF($A2231="","",DATE(YEAR($A2231),MONTH($A2231),1))</f>
        <v>0</v>
      </c>
      <c r="U2231" s="30">
        <f>IF($S2231="CONFIRMAR",MAX($U$4:$U2230)+1,"")</f>
        <v>0</v>
      </c>
      <c r="V2231" s="30">
        <f>IF(AND($R2231="Não",$Q2231&lt;&gt;"",$Q2231&lt;=Hoje+JanelaRet,$Q2231&gt;=Hoje-60),MAX($V$4:$V2230)+1,"")</f>
        <v>0</v>
      </c>
    </row>
    <row r="2232" spans="1:22">
      <c r="A2232" s="16"/>
      <c r="B2232" s="23"/>
      <c r="C2232" s="15"/>
      <c r="D2232" s="15"/>
      <c r="E2232" s="15"/>
      <c r="F2232" s="24"/>
      <c r="G2232" s="17"/>
      <c r="H2232" s="17"/>
      <c r="I2232" s="15"/>
      <c r="J2232" s="25">
        <f>IF($D2232="","",IFERROR(INDEX(PacNome,MATCH($D2232,PacCod,0)),"Paciente não cadastrado"))</f>
        <v>0</v>
      </c>
      <c r="K2232" s="26">
        <f>IF($D2232="","",IFERROR(INDEX(PacConv,MATCH($D2232,PacCod,0))&amp;"",""))</f>
        <v>0</v>
      </c>
      <c r="L2232" s="26">
        <f>IF($A2232="","",CHOOSE(WEEKDAY($A2232,2),"Seg","Ter","Qua","Qui","Sex","Sáb","Dom"))</f>
        <v>0</v>
      </c>
      <c r="M2232" s="27">
        <f>IF($E2232="","",IF($G2232&lt;&gt;"",$G2232,IFERROR(INDEX(ProcValor,MATCH($E2232,ProcNome,0)),0)))</f>
        <v>0</v>
      </c>
      <c r="N2232" s="27">
        <f>IF($M2232="","",IF($F2232="Compareceu",$M2232,0))</f>
        <v>0</v>
      </c>
      <c r="O2232" s="27">
        <f>IF($M2232="","",IF($F2232="Faltou",$M2232,0))</f>
        <v>0</v>
      </c>
      <c r="P2232" s="27">
        <f>IF($M2232="","",IF($F2232="Compareceu",MAX(0,$M2232-N($H2232)),0))</f>
        <v>0</v>
      </c>
      <c r="Q2232" s="19">
        <f>IF(AND($F2232="Compareceu",$E2232&lt;&gt;"",$A2232&lt;&gt;""),IF(IFERROR(INDEX(ProcRet,MATCH($E2232,ProcNome,0)),0)&gt;0,$A2232+INDEX(ProcRet,MATCH($E2232,ProcNome,0)),""),"")</f>
        <v>0</v>
      </c>
      <c r="R2232" s="26">
        <f>IF($Q2232="","",IF(COUNTIFS(AgPac,$D2232,AgData,"&gt;"&amp;$A2232,AgStatus,"&lt;&gt;Cancelado",AgStatus,"&lt;&gt;Remarcado")&gt;0,"Sim","Não"))</f>
        <v>0</v>
      </c>
      <c r="S2232" s="28">
        <f>IF($A2232="","",IF(AND($F2232="Agendado",$A2232-Hoje&gt;=0,$A2232-Hoje&lt;=DiasConf),"CONFIRMAR",IF(AND($A2232&lt;Hoje,OR($F2232="Agendado",$F2232="Confirmado")),"Atualizar status",IF(AND($F2232="Compareceu",$P2232&gt;0.005),"Cobrar",IF($F2232="Faltou","Falta: reagendar","")))))</f>
        <v>0</v>
      </c>
      <c r="T2232" s="29">
        <f>IF($A2232="","",DATE(YEAR($A2232),MONTH($A2232),1))</f>
        <v>0</v>
      </c>
      <c r="U2232" s="30">
        <f>IF($S2232="CONFIRMAR",MAX($U$4:$U2231)+1,"")</f>
        <v>0</v>
      </c>
      <c r="V2232" s="30">
        <f>IF(AND($R2232="Não",$Q2232&lt;&gt;"",$Q2232&lt;=Hoje+JanelaRet,$Q2232&gt;=Hoje-60),MAX($V$4:$V2231)+1,"")</f>
        <v>0</v>
      </c>
    </row>
    <row r="2233" spans="1:22">
      <c r="A2233" s="16"/>
      <c r="B2233" s="23"/>
      <c r="C2233" s="15"/>
      <c r="D2233" s="15"/>
      <c r="E2233" s="15"/>
      <c r="F2233" s="24"/>
      <c r="G2233" s="17"/>
      <c r="H2233" s="17"/>
      <c r="I2233" s="15"/>
      <c r="J2233" s="25">
        <f>IF($D2233="","",IFERROR(INDEX(PacNome,MATCH($D2233,PacCod,0)),"Paciente não cadastrado"))</f>
        <v>0</v>
      </c>
      <c r="K2233" s="26">
        <f>IF($D2233="","",IFERROR(INDEX(PacConv,MATCH($D2233,PacCod,0))&amp;"",""))</f>
        <v>0</v>
      </c>
      <c r="L2233" s="26">
        <f>IF($A2233="","",CHOOSE(WEEKDAY($A2233,2),"Seg","Ter","Qua","Qui","Sex","Sáb","Dom"))</f>
        <v>0</v>
      </c>
      <c r="M2233" s="27">
        <f>IF($E2233="","",IF($G2233&lt;&gt;"",$G2233,IFERROR(INDEX(ProcValor,MATCH($E2233,ProcNome,0)),0)))</f>
        <v>0</v>
      </c>
      <c r="N2233" s="27">
        <f>IF($M2233="","",IF($F2233="Compareceu",$M2233,0))</f>
        <v>0</v>
      </c>
      <c r="O2233" s="27">
        <f>IF($M2233="","",IF($F2233="Faltou",$M2233,0))</f>
        <v>0</v>
      </c>
      <c r="P2233" s="27">
        <f>IF($M2233="","",IF($F2233="Compareceu",MAX(0,$M2233-N($H2233)),0))</f>
        <v>0</v>
      </c>
      <c r="Q2233" s="19">
        <f>IF(AND($F2233="Compareceu",$E2233&lt;&gt;"",$A2233&lt;&gt;""),IF(IFERROR(INDEX(ProcRet,MATCH($E2233,ProcNome,0)),0)&gt;0,$A2233+INDEX(ProcRet,MATCH($E2233,ProcNome,0)),""),"")</f>
        <v>0</v>
      </c>
      <c r="R2233" s="26">
        <f>IF($Q2233="","",IF(COUNTIFS(AgPac,$D2233,AgData,"&gt;"&amp;$A2233,AgStatus,"&lt;&gt;Cancelado",AgStatus,"&lt;&gt;Remarcado")&gt;0,"Sim","Não"))</f>
        <v>0</v>
      </c>
      <c r="S2233" s="28">
        <f>IF($A2233="","",IF(AND($F2233="Agendado",$A2233-Hoje&gt;=0,$A2233-Hoje&lt;=DiasConf),"CONFIRMAR",IF(AND($A2233&lt;Hoje,OR($F2233="Agendado",$F2233="Confirmado")),"Atualizar status",IF(AND($F2233="Compareceu",$P2233&gt;0.005),"Cobrar",IF($F2233="Faltou","Falta: reagendar","")))))</f>
        <v>0</v>
      </c>
      <c r="T2233" s="29">
        <f>IF($A2233="","",DATE(YEAR($A2233),MONTH($A2233),1))</f>
        <v>0</v>
      </c>
      <c r="U2233" s="30">
        <f>IF($S2233="CONFIRMAR",MAX($U$4:$U2232)+1,"")</f>
        <v>0</v>
      </c>
      <c r="V2233" s="30">
        <f>IF(AND($R2233="Não",$Q2233&lt;&gt;"",$Q2233&lt;=Hoje+JanelaRet,$Q2233&gt;=Hoje-60),MAX($V$4:$V2232)+1,"")</f>
        <v>0</v>
      </c>
    </row>
    <row r="2234" spans="1:22">
      <c r="A2234" s="16"/>
      <c r="B2234" s="23"/>
      <c r="C2234" s="15"/>
      <c r="D2234" s="15"/>
      <c r="E2234" s="15"/>
      <c r="F2234" s="24"/>
      <c r="G2234" s="17"/>
      <c r="H2234" s="17"/>
      <c r="I2234" s="15"/>
      <c r="J2234" s="25">
        <f>IF($D2234="","",IFERROR(INDEX(PacNome,MATCH($D2234,PacCod,0)),"Paciente não cadastrado"))</f>
        <v>0</v>
      </c>
      <c r="K2234" s="26">
        <f>IF($D2234="","",IFERROR(INDEX(PacConv,MATCH($D2234,PacCod,0))&amp;"",""))</f>
        <v>0</v>
      </c>
      <c r="L2234" s="26">
        <f>IF($A2234="","",CHOOSE(WEEKDAY($A2234,2),"Seg","Ter","Qua","Qui","Sex","Sáb","Dom"))</f>
        <v>0</v>
      </c>
      <c r="M2234" s="27">
        <f>IF($E2234="","",IF($G2234&lt;&gt;"",$G2234,IFERROR(INDEX(ProcValor,MATCH($E2234,ProcNome,0)),0)))</f>
        <v>0</v>
      </c>
      <c r="N2234" s="27">
        <f>IF($M2234="","",IF($F2234="Compareceu",$M2234,0))</f>
        <v>0</v>
      </c>
      <c r="O2234" s="27">
        <f>IF($M2234="","",IF($F2234="Faltou",$M2234,0))</f>
        <v>0</v>
      </c>
      <c r="P2234" s="27">
        <f>IF($M2234="","",IF($F2234="Compareceu",MAX(0,$M2234-N($H2234)),0))</f>
        <v>0</v>
      </c>
      <c r="Q2234" s="19">
        <f>IF(AND($F2234="Compareceu",$E2234&lt;&gt;"",$A2234&lt;&gt;""),IF(IFERROR(INDEX(ProcRet,MATCH($E2234,ProcNome,0)),0)&gt;0,$A2234+INDEX(ProcRet,MATCH($E2234,ProcNome,0)),""),"")</f>
        <v>0</v>
      </c>
      <c r="R2234" s="26">
        <f>IF($Q2234="","",IF(COUNTIFS(AgPac,$D2234,AgData,"&gt;"&amp;$A2234,AgStatus,"&lt;&gt;Cancelado",AgStatus,"&lt;&gt;Remarcado")&gt;0,"Sim","Não"))</f>
        <v>0</v>
      </c>
      <c r="S2234" s="28">
        <f>IF($A2234="","",IF(AND($F2234="Agendado",$A2234-Hoje&gt;=0,$A2234-Hoje&lt;=DiasConf),"CONFIRMAR",IF(AND($A2234&lt;Hoje,OR($F2234="Agendado",$F2234="Confirmado")),"Atualizar status",IF(AND($F2234="Compareceu",$P2234&gt;0.005),"Cobrar",IF($F2234="Faltou","Falta: reagendar","")))))</f>
        <v>0</v>
      </c>
      <c r="T2234" s="29">
        <f>IF($A2234="","",DATE(YEAR($A2234),MONTH($A2234),1))</f>
        <v>0</v>
      </c>
      <c r="U2234" s="30">
        <f>IF($S2234="CONFIRMAR",MAX($U$4:$U2233)+1,"")</f>
        <v>0</v>
      </c>
      <c r="V2234" s="30">
        <f>IF(AND($R2234="Não",$Q2234&lt;&gt;"",$Q2234&lt;=Hoje+JanelaRet,$Q2234&gt;=Hoje-60),MAX($V$4:$V2233)+1,"")</f>
        <v>0</v>
      </c>
    </row>
    <row r="2235" spans="1:22">
      <c r="A2235" s="16"/>
      <c r="B2235" s="23"/>
      <c r="C2235" s="15"/>
      <c r="D2235" s="15"/>
      <c r="E2235" s="15"/>
      <c r="F2235" s="24"/>
      <c r="G2235" s="17"/>
      <c r="H2235" s="17"/>
      <c r="I2235" s="15"/>
      <c r="J2235" s="25">
        <f>IF($D2235="","",IFERROR(INDEX(PacNome,MATCH($D2235,PacCod,0)),"Paciente não cadastrado"))</f>
        <v>0</v>
      </c>
      <c r="K2235" s="26">
        <f>IF($D2235="","",IFERROR(INDEX(PacConv,MATCH($D2235,PacCod,0))&amp;"",""))</f>
        <v>0</v>
      </c>
      <c r="L2235" s="26">
        <f>IF($A2235="","",CHOOSE(WEEKDAY($A2235,2),"Seg","Ter","Qua","Qui","Sex","Sáb","Dom"))</f>
        <v>0</v>
      </c>
      <c r="M2235" s="27">
        <f>IF($E2235="","",IF($G2235&lt;&gt;"",$G2235,IFERROR(INDEX(ProcValor,MATCH($E2235,ProcNome,0)),0)))</f>
        <v>0</v>
      </c>
      <c r="N2235" s="27">
        <f>IF($M2235="","",IF($F2235="Compareceu",$M2235,0))</f>
        <v>0</v>
      </c>
      <c r="O2235" s="27">
        <f>IF($M2235="","",IF($F2235="Faltou",$M2235,0))</f>
        <v>0</v>
      </c>
      <c r="P2235" s="27">
        <f>IF($M2235="","",IF($F2235="Compareceu",MAX(0,$M2235-N($H2235)),0))</f>
        <v>0</v>
      </c>
      <c r="Q2235" s="19">
        <f>IF(AND($F2235="Compareceu",$E2235&lt;&gt;"",$A2235&lt;&gt;""),IF(IFERROR(INDEX(ProcRet,MATCH($E2235,ProcNome,0)),0)&gt;0,$A2235+INDEX(ProcRet,MATCH($E2235,ProcNome,0)),""),"")</f>
        <v>0</v>
      </c>
      <c r="R2235" s="26">
        <f>IF($Q2235="","",IF(COUNTIFS(AgPac,$D2235,AgData,"&gt;"&amp;$A2235,AgStatus,"&lt;&gt;Cancelado",AgStatus,"&lt;&gt;Remarcado")&gt;0,"Sim","Não"))</f>
        <v>0</v>
      </c>
      <c r="S2235" s="28">
        <f>IF($A2235="","",IF(AND($F2235="Agendado",$A2235-Hoje&gt;=0,$A2235-Hoje&lt;=DiasConf),"CONFIRMAR",IF(AND($A2235&lt;Hoje,OR($F2235="Agendado",$F2235="Confirmado")),"Atualizar status",IF(AND($F2235="Compareceu",$P2235&gt;0.005),"Cobrar",IF($F2235="Faltou","Falta: reagendar","")))))</f>
        <v>0</v>
      </c>
      <c r="T2235" s="29">
        <f>IF($A2235="","",DATE(YEAR($A2235),MONTH($A2235),1))</f>
        <v>0</v>
      </c>
      <c r="U2235" s="30">
        <f>IF($S2235="CONFIRMAR",MAX($U$4:$U2234)+1,"")</f>
        <v>0</v>
      </c>
      <c r="V2235" s="30">
        <f>IF(AND($R2235="Não",$Q2235&lt;&gt;"",$Q2235&lt;=Hoje+JanelaRet,$Q2235&gt;=Hoje-60),MAX($V$4:$V2234)+1,"")</f>
        <v>0</v>
      </c>
    </row>
    <row r="2236" spans="1:22">
      <c r="A2236" s="16"/>
      <c r="B2236" s="23"/>
      <c r="C2236" s="15"/>
      <c r="D2236" s="15"/>
      <c r="E2236" s="15"/>
      <c r="F2236" s="24"/>
      <c r="G2236" s="17"/>
      <c r="H2236" s="17"/>
      <c r="I2236" s="15"/>
      <c r="J2236" s="25">
        <f>IF($D2236="","",IFERROR(INDEX(PacNome,MATCH($D2236,PacCod,0)),"Paciente não cadastrado"))</f>
        <v>0</v>
      </c>
      <c r="K2236" s="26">
        <f>IF($D2236="","",IFERROR(INDEX(PacConv,MATCH($D2236,PacCod,0))&amp;"",""))</f>
        <v>0</v>
      </c>
      <c r="L2236" s="26">
        <f>IF($A2236="","",CHOOSE(WEEKDAY($A2236,2),"Seg","Ter","Qua","Qui","Sex","Sáb","Dom"))</f>
        <v>0</v>
      </c>
      <c r="M2236" s="27">
        <f>IF($E2236="","",IF($G2236&lt;&gt;"",$G2236,IFERROR(INDEX(ProcValor,MATCH($E2236,ProcNome,0)),0)))</f>
        <v>0</v>
      </c>
      <c r="N2236" s="27">
        <f>IF($M2236="","",IF($F2236="Compareceu",$M2236,0))</f>
        <v>0</v>
      </c>
      <c r="O2236" s="27">
        <f>IF($M2236="","",IF($F2236="Faltou",$M2236,0))</f>
        <v>0</v>
      </c>
      <c r="P2236" s="27">
        <f>IF($M2236="","",IF($F2236="Compareceu",MAX(0,$M2236-N($H2236)),0))</f>
        <v>0</v>
      </c>
      <c r="Q2236" s="19">
        <f>IF(AND($F2236="Compareceu",$E2236&lt;&gt;"",$A2236&lt;&gt;""),IF(IFERROR(INDEX(ProcRet,MATCH($E2236,ProcNome,0)),0)&gt;0,$A2236+INDEX(ProcRet,MATCH($E2236,ProcNome,0)),""),"")</f>
        <v>0</v>
      </c>
      <c r="R2236" s="26">
        <f>IF($Q2236="","",IF(COUNTIFS(AgPac,$D2236,AgData,"&gt;"&amp;$A2236,AgStatus,"&lt;&gt;Cancelado",AgStatus,"&lt;&gt;Remarcado")&gt;0,"Sim","Não"))</f>
        <v>0</v>
      </c>
      <c r="S2236" s="28">
        <f>IF($A2236="","",IF(AND($F2236="Agendado",$A2236-Hoje&gt;=0,$A2236-Hoje&lt;=DiasConf),"CONFIRMAR",IF(AND($A2236&lt;Hoje,OR($F2236="Agendado",$F2236="Confirmado")),"Atualizar status",IF(AND($F2236="Compareceu",$P2236&gt;0.005),"Cobrar",IF($F2236="Faltou","Falta: reagendar","")))))</f>
        <v>0</v>
      </c>
      <c r="T2236" s="29">
        <f>IF($A2236="","",DATE(YEAR($A2236),MONTH($A2236),1))</f>
        <v>0</v>
      </c>
      <c r="U2236" s="30">
        <f>IF($S2236="CONFIRMAR",MAX($U$4:$U2235)+1,"")</f>
        <v>0</v>
      </c>
      <c r="V2236" s="30">
        <f>IF(AND($R2236="Não",$Q2236&lt;&gt;"",$Q2236&lt;=Hoje+JanelaRet,$Q2236&gt;=Hoje-60),MAX($V$4:$V2235)+1,"")</f>
        <v>0</v>
      </c>
    </row>
    <row r="2237" spans="1:22">
      <c r="A2237" s="16"/>
      <c r="B2237" s="23"/>
      <c r="C2237" s="15"/>
      <c r="D2237" s="15"/>
      <c r="E2237" s="15"/>
      <c r="F2237" s="24"/>
      <c r="G2237" s="17"/>
      <c r="H2237" s="17"/>
      <c r="I2237" s="15"/>
      <c r="J2237" s="25">
        <f>IF($D2237="","",IFERROR(INDEX(PacNome,MATCH($D2237,PacCod,0)),"Paciente não cadastrado"))</f>
        <v>0</v>
      </c>
      <c r="K2237" s="26">
        <f>IF($D2237="","",IFERROR(INDEX(PacConv,MATCH($D2237,PacCod,0))&amp;"",""))</f>
        <v>0</v>
      </c>
      <c r="L2237" s="26">
        <f>IF($A2237="","",CHOOSE(WEEKDAY($A2237,2),"Seg","Ter","Qua","Qui","Sex","Sáb","Dom"))</f>
        <v>0</v>
      </c>
      <c r="M2237" s="27">
        <f>IF($E2237="","",IF($G2237&lt;&gt;"",$G2237,IFERROR(INDEX(ProcValor,MATCH($E2237,ProcNome,0)),0)))</f>
        <v>0</v>
      </c>
      <c r="N2237" s="27">
        <f>IF($M2237="","",IF($F2237="Compareceu",$M2237,0))</f>
        <v>0</v>
      </c>
      <c r="O2237" s="27">
        <f>IF($M2237="","",IF($F2237="Faltou",$M2237,0))</f>
        <v>0</v>
      </c>
      <c r="P2237" s="27">
        <f>IF($M2237="","",IF($F2237="Compareceu",MAX(0,$M2237-N($H2237)),0))</f>
        <v>0</v>
      </c>
      <c r="Q2237" s="19">
        <f>IF(AND($F2237="Compareceu",$E2237&lt;&gt;"",$A2237&lt;&gt;""),IF(IFERROR(INDEX(ProcRet,MATCH($E2237,ProcNome,0)),0)&gt;0,$A2237+INDEX(ProcRet,MATCH($E2237,ProcNome,0)),""),"")</f>
        <v>0</v>
      </c>
      <c r="R2237" s="26">
        <f>IF($Q2237="","",IF(COUNTIFS(AgPac,$D2237,AgData,"&gt;"&amp;$A2237,AgStatus,"&lt;&gt;Cancelado",AgStatus,"&lt;&gt;Remarcado")&gt;0,"Sim","Não"))</f>
        <v>0</v>
      </c>
      <c r="S2237" s="28">
        <f>IF($A2237="","",IF(AND($F2237="Agendado",$A2237-Hoje&gt;=0,$A2237-Hoje&lt;=DiasConf),"CONFIRMAR",IF(AND($A2237&lt;Hoje,OR($F2237="Agendado",$F2237="Confirmado")),"Atualizar status",IF(AND($F2237="Compareceu",$P2237&gt;0.005),"Cobrar",IF($F2237="Faltou","Falta: reagendar","")))))</f>
        <v>0</v>
      </c>
      <c r="T2237" s="29">
        <f>IF($A2237="","",DATE(YEAR($A2237),MONTH($A2237),1))</f>
        <v>0</v>
      </c>
      <c r="U2237" s="30">
        <f>IF($S2237="CONFIRMAR",MAX($U$4:$U2236)+1,"")</f>
        <v>0</v>
      </c>
      <c r="V2237" s="30">
        <f>IF(AND($R2237="Não",$Q2237&lt;&gt;"",$Q2237&lt;=Hoje+JanelaRet,$Q2237&gt;=Hoje-60),MAX($V$4:$V2236)+1,"")</f>
        <v>0</v>
      </c>
    </row>
    <row r="2238" spans="1:22">
      <c r="A2238" s="16"/>
      <c r="B2238" s="23"/>
      <c r="C2238" s="15"/>
      <c r="D2238" s="15"/>
      <c r="E2238" s="15"/>
      <c r="F2238" s="24"/>
      <c r="G2238" s="17"/>
      <c r="H2238" s="17"/>
      <c r="I2238" s="15"/>
      <c r="J2238" s="25">
        <f>IF($D2238="","",IFERROR(INDEX(PacNome,MATCH($D2238,PacCod,0)),"Paciente não cadastrado"))</f>
        <v>0</v>
      </c>
      <c r="K2238" s="26">
        <f>IF($D2238="","",IFERROR(INDEX(PacConv,MATCH($D2238,PacCod,0))&amp;"",""))</f>
        <v>0</v>
      </c>
      <c r="L2238" s="26">
        <f>IF($A2238="","",CHOOSE(WEEKDAY($A2238,2),"Seg","Ter","Qua","Qui","Sex","Sáb","Dom"))</f>
        <v>0</v>
      </c>
      <c r="M2238" s="27">
        <f>IF($E2238="","",IF($G2238&lt;&gt;"",$G2238,IFERROR(INDEX(ProcValor,MATCH($E2238,ProcNome,0)),0)))</f>
        <v>0</v>
      </c>
      <c r="N2238" s="27">
        <f>IF($M2238="","",IF($F2238="Compareceu",$M2238,0))</f>
        <v>0</v>
      </c>
      <c r="O2238" s="27">
        <f>IF($M2238="","",IF($F2238="Faltou",$M2238,0))</f>
        <v>0</v>
      </c>
      <c r="P2238" s="27">
        <f>IF($M2238="","",IF($F2238="Compareceu",MAX(0,$M2238-N($H2238)),0))</f>
        <v>0</v>
      </c>
      <c r="Q2238" s="19">
        <f>IF(AND($F2238="Compareceu",$E2238&lt;&gt;"",$A2238&lt;&gt;""),IF(IFERROR(INDEX(ProcRet,MATCH($E2238,ProcNome,0)),0)&gt;0,$A2238+INDEX(ProcRet,MATCH($E2238,ProcNome,0)),""),"")</f>
        <v>0</v>
      </c>
      <c r="R2238" s="26">
        <f>IF($Q2238="","",IF(COUNTIFS(AgPac,$D2238,AgData,"&gt;"&amp;$A2238,AgStatus,"&lt;&gt;Cancelado",AgStatus,"&lt;&gt;Remarcado")&gt;0,"Sim","Não"))</f>
        <v>0</v>
      </c>
      <c r="S2238" s="28">
        <f>IF($A2238="","",IF(AND($F2238="Agendado",$A2238-Hoje&gt;=0,$A2238-Hoje&lt;=DiasConf),"CONFIRMAR",IF(AND($A2238&lt;Hoje,OR($F2238="Agendado",$F2238="Confirmado")),"Atualizar status",IF(AND($F2238="Compareceu",$P2238&gt;0.005),"Cobrar",IF($F2238="Faltou","Falta: reagendar","")))))</f>
        <v>0</v>
      </c>
      <c r="T2238" s="29">
        <f>IF($A2238="","",DATE(YEAR($A2238),MONTH($A2238),1))</f>
        <v>0</v>
      </c>
      <c r="U2238" s="30">
        <f>IF($S2238="CONFIRMAR",MAX($U$4:$U2237)+1,"")</f>
        <v>0</v>
      </c>
      <c r="V2238" s="30">
        <f>IF(AND($R2238="Não",$Q2238&lt;&gt;"",$Q2238&lt;=Hoje+JanelaRet,$Q2238&gt;=Hoje-60),MAX($V$4:$V2237)+1,"")</f>
        <v>0</v>
      </c>
    </row>
    <row r="2239" spans="1:22">
      <c r="A2239" s="16"/>
      <c r="B2239" s="23"/>
      <c r="C2239" s="15"/>
      <c r="D2239" s="15"/>
      <c r="E2239" s="15"/>
      <c r="F2239" s="24"/>
      <c r="G2239" s="17"/>
      <c r="H2239" s="17"/>
      <c r="I2239" s="15"/>
      <c r="J2239" s="25">
        <f>IF($D2239="","",IFERROR(INDEX(PacNome,MATCH($D2239,PacCod,0)),"Paciente não cadastrado"))</f>
        <v>0</v>
      </c>
      <c r="K2239" s="26">
        <f>IF($D2239="","",IFERROR(INDEX(PacConv,MATCH($D2239,PacCod,0))&amp;"",""))</f>
        <v>0</v>
      </c>
      <c r="L2239" s="26">
        <f>IF($A2239="","",CHOOSE(WEEKDAY($A2239,2),"Seg","Ter","Qua","Qui","Sex","Sáb","Dom"))</f>
        <v>0</v>
      </c>
      <c r="M2239" s="27">
        <f>IF($E2239="","",IF($G2239&lt;&gt;"",$G2239,IFERROR(INDEX(ProcValor,MATCH($E2239,ProcNome,0)),0)))</f>
        <v>0</v>
      </c>
      <c r="N2239" s="27">
        <f>IF($M2239="","",IF($F2239="Compareceu",$M2239,0))</f>
        <v>0</v>
      </c>
      <c r="O2239" s="27">
        <f>IF($M2239="","",IF($F2239="Faltou",$M2239,0))</f>
        <v>0</v>
      </c>
      <c r="P2239" s="27">
        <f>IF($M2239="","",IF($F2239="Compareceu",MAX(0,$M2239-N($H2239)),0))</f>
        <v>0</v>
      </c>
      <c r="Q2239" s="19">
        <f>IF(AND($F2239="Compareceu",$E2239&lt;&gt;"",$A2239&lt;&gt;""),IF(IFERROR(INDEX(ProcRet,MATCH($E2239,ProcNome,0)),0)&gt;0,$A2239+INDEX(ProcRet,MATCH($E2239,ProcNome,0)),""),"")</f>
        <v>0</v>
      </c>
      <c r="R2239" s="26">
        <f>IF($Q2239="","",IF(COUNTIFS(AgPac,$D2239,AgData,"&gt;"&amp;$A2239,AgStatus,"&lt;&gt;Cancelado",AgStatus,"&lt;&gt;Remarcado")&gt;0,"Sim","Não"))</f>
        <v>0</v>
      </c>
      <c r="S2239" s="28">
        <f>IF($A2239="","",IF(AND($F2239="Agendado",$A2239-Hoje&gt;=0,$A2239-Hoje&lt;=DiasConf),"CONFIRMAR",IF(AND($A2239&lt;Hoje,OR($F2239="Agendado",$F2239="Confirmado")),"Atualizar status",IF(AND($F2239="Compareceu",$P2239&gt;0.005),"Cobrar",IF($F2239="Faltou","Falta: reagendar","")))))</f>
        <v>0</v>
      </c>
      <c r="T2239" s="29">
        <f>IF($A2239="","",DATE(YEAR($A2239),MONTH($A2239),1))</f>
        <v>0</v>
      </c>
      <c r="U2239" s="30">
        <f>IF($S2239="CONFIRMAR",MAX($U$4:$U2238)+1,"")</f>
        <v>0</v>
      </c>
      <c r="V2239" s="30">
        <f>IF(AND($R2239="Não",$Q2239&lt;&gt;"",$Q2239&lt;=Hoje+JanelaRet,$Q2239&gt;=Hoje-60),MAX($V$4:$V2238)+1,"")</f>
        <v>0</v>
      </c>
    </row>
    <row r="2240" spans="1:22">
      <c r="A2240" s="16"/>
      <c r="B2240" s="23"/>
      <c r="C2240" s="15"/>
      <c r="D2240" s="15"/>
      <c r="E2240" s="15"/>
      <c r="F2240" s="24"/>
      <c r="G2240" s="17"/>
      <c r="H2240" s="17"/>
      <c r="I2240" s="15"/>
      <c r="J2240" s="25">
        <f>IF($D2240="","",IFERROR(INDEX(PacNome,MATCH($D2240,PacCod,0)),"Paciente não cadastrado"))</f>
        <v>0</v>
      </c>
      <c r="K2240" s="26">
        <f>IF($D2240="","",IFERROR(INDEX(PacConv,MATCH($D2240,PacCod,0))&amp;"",""))</f>
        <v>0</v>
      </c>
      <c r="L2240" s="26">
        <f>IF($A2240="","",CHOOSE(WEEKDAY($A2240,2),"Seg","Ter","Qua","Qui","Sex","Sáb","Dom"))</f>
        <v>0</v>
      </c>
      <c r="M2240" s="27">
        <f>IF($E2240="","",IF($G2240&lt;&gt;"",$G2240,IFERROR(INDEX(ProcValor,MATCH($E2240,ProcNome,0)),0)))</f>
        <v>0</v>
      </c>
      <c r="N2240" s="27">
        <f>IF($M2240="","",IF($F2240="Compareceu",$M2240,0))</f>
        <v>0</v>
      </c>
      <c r="O2240" s="27">
        <f>IF($M2240="","",IF($F2240="Faltou",$M2240,0))</f>
        <v>0</v>
      </c>
      <c r="P2240" s="27">
        <f>IF($M2240="","",IF($F2240="Compareceu",MAX(0,$M2240-N($H2240)),0))</f>
        <v>0</v>
      </c>
      <c r="Q2240" s="19">
        <f>IF(AND($F2240="Compareceu",$E2240&lt;&gt;"",$A2240&lt;&gt;""),IF(IFERROR(INDEX(ProcRet,MATCH($E2240,ProcNome,0)),0)&gt;0,$A2240+INDEX(ProcRet,MATCH($E2240,ProcNome,0)),""),"")</f>
        <v>0</v>
      </c>
      <c r="R2240" s="26">
        <f>IF($Q2240="","",IF(COUNTIFS(AgPac,$D2240,AgData,"&gt;"&amp;$A2240,AgStatus,"&lt;&gt;Cancelado",AgStatus,"&lt;&gt;Remarcado")&gt;0,"Sim","Não"))</f>
        <v>0</v>
      </c>
      <c r="S2240" s="28">
        <f>IF($A2240="","",IF(AND($F2240="Agendado",$A2240-Hoje&gt;=0,$A2240-Hoje&lt;=DiasConf),"CONFIRMAR",IF(AND($A2240&lt;Hoje,OR($F2240="Agendado",$F2240="Confirmado")),"Atualizar status",IF(AND($F2240="Compareceu",$P2240&gt;0.005),"Cobrar",IF($F2240="Faltou","Falta: reagendar","")))))</f>
        <v>0</v>
      </c>
      <c r="T2240" s="29">
        <f>IF($A2240="","",DATE(YEAR($A2240),MONTH($A2240),1))</f>
        <v>0</v>
      </c>
      <c r="U2240" s="30">
        <f>IF($S2240="CONFIRMAR",MAX($U$4:$U2239)+1,"")</f>
        <v>0</v>
      </c>
      <c r="V2240" s="30">
        <f>IF(AND($R2240="Não",$Q2240&lt;&gt;"",$Q2240&lt;=Hoje+JanelaRet,$Q2240&gt;=Hoje-60),MAX($V$4:$V2239)+1,"")</f>
        <v>0</v>
      </c>
    </row>
    <row r="2241" spans="1:22">
      <c r="A2241" s="16"/>
      <c r="B2241" s="23"/>
      <c r="C2241" s="15"/>
      <c r="D2241" s="15"/>
      <c r="E2241" s="15"/>
      <c r="F2241" s="24"/>
      <c r="G2241" s="17"/>
      <c r="H2241" s="17"/>
      <c r="I2241" s="15"/>
      <c r="J2241" s="25">
        <f>IF($D2241="","",IFERROR(INDEX(PacNome,MATCH($D2241,PacCod,0)),"Paciente não cadastrado"))</f>
        <v>0</v>
      </c>
      <c r="K2241" s="26">
        <f>IF($D2241="","",IFERROR(INDEX(PacConv,MATCH($D2241,PacCod,0))&amp;"",""))</f>
        <v>0</v>
      </c>
      <c r="L2241" s="26">
        <f>IF($A2241="","",CHOOSE(WEEKDAY($A2241,2),"Seg","Ter","Qua","Qui","Sex","Sáb","Dom"))</f>
        <v>0</v>
      </c>
      <c r="M2241" s="27">
        <f>IF($E2241="","",IF($G2241&lt;&gt;"",$G2241,IFERROR(INDEX(ProcValor,MATCH($E2241,ProcNome,0)),0)))</f>
        <v>0</v>
      </c>
      <c r="N2241" s="27">
        <f>IF($M2241="","",IF($F2241="Compareceu",$M2241,0))</f>
        <v>0</v>
      </c>
      <c r="O2241" s="27">
        <f>IF($M2241="","",IF($F2241="Faltou",$M2241,0))</f>
        <v>0</v>
      </c>
      <c r="P2241" s="27">
        <f>IF($M2241="","",IF($F2241="Compareceu",MAX(0,$M2241-N($H2241)),0))</f>
        <v>0</v>
      </c>
      <c r="Q2241" s="19">
        <f>IF(AND($F2241="Compareceu",$E2241&lt;&gt;"",$A2241&lt;&gt;""),IF(IFERROR(INDEX(ProcRet,MATCH($E2241,ProcNome,0)),0)&gt;0,$A2241+INDEX(ProcRet,MATCH($E2241,ProcNome,0)),""),"")</f>
        <v>0</v>
      </c>
      <c r="R2241" s="26">
        <f>IF($Q2241="","",IF(COUNTIFS(AgPac,$D2241,AgData,"&gt;"&amp;$A2241,AgStatus,"&lt;&gt;Cancelado",AgStatus,"&lt;&gt;Remarcado")&gt;0,"Sim","Não"))</f>
        <v>0</v>
      </c>
      <c r="S2241" s="28">
        <f>IF($A2241="","",IF(AND($F2241="Agendado",$A2241-Hoje&gt;=0,$A2241-Hoje&lt;=DiasConf),"CONFIRMAR",IF(AND($A2241&lt;Hoje,OR($F2241="Agendado",$F2241="Confirmado")),"Atualizar status",IF(AND($F2241="Compareceu",$P2241&gt;0.005),"Cobrar",IF($F2241="Faltou","Falta: reagendar","")))))</f>
        <v>0</v>
      </c>
      <c r="T2241" s="29">
        <f>IF($A2241="","",DATE(YEAR($A2241),MONTH($A2241),1))</f>
        <v>0</v>
      </c>
      <c r="U2241" s="30">
        <f>IF($S2241="CONFIRMAR",MAX($U$4:$U2240)+1,"")</f>
        <v>0</v>
      </c>
      <c r="V2241" s="30">
        <f>IF(AND($R2241="Não",$Q2241&lt;&gt;"",$Q2241&lt;=Hoje+JanelaRet,$Q2241&gt;=Hoje-60),MAX($V$4:$V2240)+1,"")</f>
        <v>0</v>
      </c>
    </row>
    <row r="2242" spans="1:22">
      <c r="A2242" s="16"/>
      <c r="B2242" s="23"/>
      <c r="C2242" s="15"/>
      <c r="D2242" s="15"/>
      <c r="E2242" s="15"/>
      <c r="F2242" s="24"/>
      <c r="G2242" s="17"/>
      <c r="H2242" s="17"/>
      <c r="I2242" s="15"/>
      <c r="J2242" s="25">
        <f>IF($D2242="","",IFERROR(INDEX(PacNome,MATCH($D2242,PacCod,0)),"Paciente não cadastrado"))</f>
        <v>0</v>
      </c>
      <c r="K2242" s="26">
        <f>IF($D2242="","",IFERROR(INDEX(PacConv,MATCH($D2242,PacCod,0))&amp;"",""))</f>
        <v>0</v>
      </c>
      <c r="L2242" s="26">
        <f>IF($A2242="","",CHOOSE(WEEKDAY($A2242,2),"Seg","Ter","Qua","Qui","Sex","Sáb","Dom"))</f>
        <v>0</v>
      </c>
      <c r="M2242" s="27">
        <f>IF($E2242="","",IF($G2242&lt;&gt;"",$G2242,IFERROR(INDEX(ProcValor,MATCH($E2242,ProcNome,0)),0)))</f>
        <v>0</v>
      </c>
      <c r="N2242" s="27">
        <f>IF($M2242="","",IF($F2242="Compareceu",$M2242,0))</f>
        <v>0</v>
      </c>
      <c r="O2242" s="27">
        <f>IF($M2242="","",IF($F2242="Faltou",$M2242,0))</f>
        <v>0</v>
      </c>
      <c r="P2242" s="27">
        <f>IF($M2242="","",IF($F2242="Compareceu",MAX(0,$M2242-N($H2242)),0))</f>
        <v>0</v>
      </c>
      <c r="Q2242" s="19">
        <f>IF(AND($F2242="Compareceu",$E2242&lt;&gt;"",$A2242&lt;&gt;""),IF(IFERROR(INDEX(ProcRet,MATCH($E2242,ProcNome,0)),0)&gt;0,$A2242+INDEX(ProcRet,MATCH($E2242,ProcNome,0)),""),"")</f>
        <v>0</v>
      </c>
      <c r="R2242" s="26">
        <f>IF($Q2242="","",IF(COUNTIFS(AgPac,$D2242,AgData,"&gt;"&amp;$A2242,AgStatus,"&lt;&gt;Cancelado",AgStatus,"&lt;&gt;Remarcado")&gt;0,"Sim","Não"))</f>
        <v>0</v>
      </c>
      <c r="S2242" s="28">
        <f>IF($A2242="","",IF(AND($F2242="Agendado",$A2242-Hoje&gt;=0,$A2242-Hoje&lt;=DiasConf),"CONFIRMAR",IF(AND($A2242&lt;Hoje,OR($F2242="Agendado",$F2242="Confirmado")),"Atualizar status",IF(AND($F2242="Compareceu",$P2242&gt;0.005),"Cobrar",IF($F2242="Faltou","Falta: reagendar","")))))</f>
        <v>0</v>
      </c>
      <c r="T2242" s="29">
        <f>IF($A2242="","",DATE(YEAR($A2242),MONTH($A2242),1))</f>
        <v>0</v>
      </c>
      <c r="U2242" s="30">
        <f>IF($S2242="CONFIRMAR",MAX($U$4:$U2241)+1,"")</f>
        <v>0</v>
      </c>
      <c r="V2242" s="30">
        <f>IF(AND($R2242="Não",$Q2242&lt;&gt;"",$Q2242&lt;=Hoje+JanelaRet,$Q2242&gt;=Hoje-60),MAX($V$4:$V2241)+1,"")</f>
        <v>0</v>
      </c>
    </row>
    <row r="2243" spans="1:22">
      <c r="A2243" s="16"/>
      <c r="B2243" s="23"/>
      <c r="C2243" s="15"/>
      <c r="D2243" s="15"/>
      <c r="E2243" s="15"/>
      <c r="F2243" s="24"/>
      <c r="G2243" s="17"/>
      <c r="H2243" s="17"/>
      <c r="I2243" s="15"/>
      <c r="J2243" s="25">
        <f>IF($D2243="","",IFERROR(INDEX(PacNome,MATCH($D2243,PacCod,0)),"Paciente não cadastrado"))</f>
        <v>0</v>
      </c>
      <c r="K2243" s="26">
        <f>IF($D2243="","",IFERROR(INDEX(PacConv,MATCH($D2243,PacCod,0))&amp;"",""))</f>
        <v>0</v>
      </c>
      <c r="L2243" s="26">
        <f>IF($A2243="","",CHOOSE(WEEKDAY($A2243,2),"Seg","Ter","Qua","Qui","Sex","Sáb","Dom"))</f>
        <v>0</v>
      </c>
      <c r="M2243" s="27">
        <f>IF($E2243="","",IF($G2243&lt;&gt;"",$G2243,IFERROR(INDEX(ProcValor,MATCH($E2243,ProcNome,0)),0)))</f>
        <v>0</v>
      </c>
      <c r="N2243" s="27">
        <f>IF($M2243="","",IF($F2243="Compareceu",$M2243,0))</f>
        <v>0</v>
      </c>
      <c r="O2243" s="27">
        <f>IF($M2243="","",IF($F2243="Faltou",$M2243,0))</f>
        <v>0</v>
      </c>
      <c r="P2243" s="27">
        <f>IF($M2243="","",IF($F2243="Compareceu",MAX(0,$M2243-N($H2243)),0))</f>
        <v>0</v>
      </c>
      <c r="Q2243" s="19">
        <f>IF(AND($F2243="Compareceu",$E2243&lt;&gt;"",$A2243&lt;&gt;""),IF(IFERROR(INDEX(ProcRet,MATCH($E2243,ProcNome,0)),0)&gt;0,$A2243+INDEX(ProcRet,MATCH($E2243,ProcNome,0)),""),"")</f>
        <v>0</v>
      </c>
      <c r="R2243" s="26">
        <f>IF($Q2243="","",IF(COUNTIFS(AgPac,$D2243,AgData,"&gt;"&amp;$A2243,AgStatus,"&lt;&gt;Cancelado",AgStatus,"&lt;&gt;Remarcado")&gt;0,"Sim","Não"))</f>
        <v>0</v>
      </c>
      <c r="S2243" s="28">
        <f>IF($A2243="","",IF(AND($F2243="Agendado",$A2243-Hoje&gt;=0,$A2243-Hoje&lt;=DiasConf),"CONFIRMAR",IF(AND($A2243&lt;Hoje,OR($F2243="Agendado",$F2243="Confirmado")),"Atualizar status",IF(AND($F2243="Compareceu",$P2243&gt;0.005),"Cobrar",IF($F2243="Faltou","Falta: reagendar","")))))</f>
        <v>0</v>
      </c>
      <c r="T2243" s="29">
        <f>IF($A2243="","",DATE(YEAR($A2243),MONTH($A2243),1))</f>
        <v>0</v>
      </c>
      <c r="U2243" s="30">
        <f>IF($S2243="CONFIRMAR",MAX($U$4:$U2242)+1,"")</f>
        <v>0</v>
      </c>
      <c r="V2243" s="30">
        <f>IF(AND($R2243="Não",$Q2243&lt;&gt;"",$Q2243&lt;=Hoje+JanelaRet,$Q2243&gt;=Hoje-60),MAX($V$4:$V2242)+1,"")</f>
        <v>0</v>
      </c>
    </row>
    <row r="2244" spans="1:22">
      <c r="A2244" s="16"/>
      <c r="B2244" s="23"/>
      <c r="C2244" s="15"/>
      <c r="D2244" s="15"/>
      <c r="E2244" s="15"/>
      <c r="F2244" s="24"/>
      <c r="G2244" s="17"/>
      <c r="H2244" s="17"/>
      <c r="I2244" s="15"/>
      <c r="J2244" s="25">
        <f>IF($D2244="","",IFERROR(INDEX(PacNome,MATCH($D2244,PacCod,0)),"Paciente não cadastrado"))</f>
        <v>0</v>
      </c>
      <c r="K2244" s="26">
        <f>IF($D2244="","",IFERROR(INDEX(PacConv,MATCH($D2244,PacCod,0))&amp;"",""))</f>
        <v>0</v>
      </c>
      <c r="L2244" s="26">
        <f>IF($A2244="","",CHOOSE(WEEKDAY($A2244,2),"Seg","Ter","Qua","Qui","Sex","Sáb","Dom"))</f>
        <v>0</v>
      </c>
      <c r="M2244" s="27">
        <f>IF($E2244="","",IF($G2244&lt;&gt;"",$G2244,IFERROR(INDEX(ProcValor,MATCH($E2244,ProcNome,0)),0)))</f>
        <v>0</v>
      </c>
      <c r="N2244" s="27">
        <f>IF($M2244="","",IF($F2244="Compareceu",$M2244,0))</f>
        <v>0</v>
      </c>
      <c r="O2244" s="27">
        <f>IF($M2244="","",IF($F2244="Faltou",$M2244,0))</f>
        <v>0</v>
      </c>
      <c r="P2244" s="27">
        <f>IF($M2244="","",IF($F2244="Compareceu",MAX(0,$M2244-N($H2244)),0))</f>
        <v>0</v>
      </c>
      <c r="Q2244" s="19">
        <f>IF(AND($F2244="Compareceu",$E2244&lt;&gt;"",$A2244&lt;&gt;""),IF(IFERROR(INDEX(ProcRet,MATCH($E2244,ProcNome,0)),0)&gt;0,$A2244+INDEX(ProcRet,MATCH($E2244,ProcNome,0)),""),"")</f>
        <v>0</v>
      </c>
      <c r="R2244" s="26">
        <f>IF($Q2244="","",IF(COUNTIFS(AgPac,$D2244,AgData,"&gt;"&amp;$A2244,AgStatus,"&lt;&gt;Cancelado",AgStatus,"&lt;&gt;Remarcado")&gt;0,"Sim","Não"))</f>
        <v>0</v>
      </c>
      <c r="S2244" s="28">
        <f>IF($A2244="","",IF(AND($F2244="Agendado",$A2244-Hoje&gt;=0,$A2244-Hoje&lt;=DiasConf),"CONFIRMAR",IF(AND($A2244&lt;Hoje,OR($F2244="Agendado",$F2244="Confirmado")),"Atualizar status",IF(AND($F2244="Compareceu",$P2244&gt;0.005),"Cobrar",IF($F2244="Faltou","Falta: reagendar","")))))</f>
        <v>0</v>
      </c>
      <c r="T2244" s="29">
        <f>IF($A2244="","",DATE(YEAR($A2244),MONTH($A2244),1))</f>
        <v>0</v>
      </c>
      <c r="U2244" s="30">
        <f>IF($S2244="CONFIRMAR",MAX($U$4:$U2243)+1,"")</f>
        <v>0</v>
      </c>
      <c r="V2244" s="30">
        <f>IF(AND($R2244="Não",$Q2244&lt;&gt;"",$Q2244&lt;=Hoje+JanelaRet,$Q2244&gt;=Hoje-60),MAX($V$4:$V2243)+1,"")</f>
        <v>0</v>
      </c>
    </row>
    <row r="2245" spans="1:22">
      <c r="A2245" s="16"/>
      <c r="B2245" s="23"/>
      <c r="C2245" s="15"/>
      <c r="D2245" s="15"/>
      <c r="E2245" s="15"/>
      <c r="F2245" s="24"/>
      <c r="G2245" s="17"/>
      <c r="H2245" s="17"/>
      <c r="I2245" s="15"/>
      <c r="J2245" s="25">
        <f>IF($D2245="","",IFERROR(INDEX(PacNome,MATCH($D2245,PacCod,0)),"Paciente não cadastrado"))</f>
        <v>0</v>
      </c>
      <c r="K2245" s="26">
        <f>IF($D2245="","",IFERROR(INDEX(PacConv,MATCH($D2245,PacCod,0))&amp;"",""))</f>
        <v>0</v>
      </c>
      <c r="L2245" s="26">
        <f>IF($A2245="","",CHOOSE(WEEKDAY($A2245,2),"Seg","Ter","Qua","Qui","Sex","Sáb","Dom"))</f>
        <v>0</v>
      </c>
      <c r="M2245" s="27">
        <f>IF($E2245="","",IF($G2245&lt;&gt;"",$G2245,IFERROR(INDEX(ProcValor,MATCH($E2245,ProcNome,0)),0)))</f>
        <v>0</v>
      </c>
      <c r="N2245" s="27">
        <f>IF($M2245="","",IF($F2245="Compareceu",$M2245,0))</f>
        <v>0</v>
      </c>
      <c r="O2245" s="27">
        <f>IF($M2245="","",IF($F2245="Faltou",$M2245,0))</f>
        <v>0</v>
      </c>
      <c r="P2245" s="27">
        <f>IF($M2245="","",IF($F2245="Compareceu",MAX(0,$M2245-N($H2245)),0))</f>
        <v>0</v>
      </c>
      <c r="Q2245" s="19">
        <f>IF(AND($F2245="Compareceu",$E2245&lt;&gt;"",$A2245&lt;&gt;""),IF(IFERROR(INDEX(ProcRet,MATCH($E2245,ProcNome,0)),0)&gt;0,$A2245+INDEX(ProcRet,MATCH($E2245,ProcNome,0)),""),"")</f>
        <v>0</v>
      </c>
      <c r="R2245" s="26">
        <f>IF($Q2245="","",IF(COUNTIFS(AgPac,$D2245,AgData,"&gt;"&amp;$A2245,AgStatus,"&lt;&gt;Cancelado",AgStatus,"&lt;&gt;Remarcado")&gt;0,"Sim","Não"))</f>
        <v>0</v>
      </c>
      <c r="S2245" s="28">
        <f>IF($A2245="","",IF(AND($F2245="Agendado",$A2245-Hoje&gt;=0,$A2245-Hoje&lt;=DiasConf),"CONFIRMAR",IF(AND($A2245&lt;Hoje,OR($F2245="Agendado",$F2245="Confirmado")),"Atualizar status",IF(AND($F2245="Compareceu",$P2245&gt;0.005),"Cobrar",IF($F2245="Faltou","Falta: reagendar","")))))</f>
        <v>0</v>
      </c>
      <c r="T2245" s="29">
        <f>IF($A2245="","",DATE(YEAR($A2245),MONTH($A2245),1))</f>
        <v>0</v>
      </c>
      <c r="U2245" s="30">
        <f>IF($S2245="CONFIRMAR",MAX($U$4:$U2244)+1,"")</f>
        <v>0</v>
      </c>
      <c r="V2245" s="30">
        <f>IF(AND($R2245="Não",$Q2245&lt;&gt;"",$Q2245&lt;=Hoje+JanelaRet,$Q2245&gt;=Hoje-60),MAX($V$4:$V2244)+1,"")</f>
        <v>0</v>
      </c>
    </row>
    <row r="2246" spans="1:22">
      <c r="A2246" s="16"/>
      <c r="B2246" s="23"/>
      <c r="C2246" s="15"/>
      <c r="D2246" s="15"/>
      <c r="E2246" s="15"/>
      <c r="F2246" s="24"/>
      <c r="G2246" s="17"/>
      <c r="H2246" s="17"/>
      <c r="I2246" s="15"/>
      <c r="J2246" s="25">
        <f>IF($D2246="","",IFERROR(INDEX(PacNome,MATCH($D2246,PacCod,0)),"Paciente não cadastrado"))</f>
        <v>0</v>
      </c>
      <c r="K2246" s="26">
        <f>IF($D2246="","",IFERROR(INDEX(PacConv,MATCH($D2246,PacCod,0))&amp;"",""))</f>
        <v>0</v>
      </c>
      <c r="L2246" s="26">
        <f>IF($A2246="","",CHOOSE(WEEKDAY($A2246,2),"Seg","Ter","Qua","Qui","Sex","Sáb","Dom"))</f>
        <v>0</v>
      </c>
      <c r="M2246" s="27">
        <f>IF($E2246="","",IF($G2246&lt;&gt;"",$G2246,IFERROR(INDEX(ProcValor,MATCH($E2246,ProcNome,0)),0)))</f>
        <v>0</v>
      </c>
      <c r="N2246" s="27">
        <f>IF($M2246="","",IF($F2246="Compareceu",$M2246,0))</f>
        <v>0</v>
      </c>
      <c r="O2246" s="27">
        <f>IF($M2246="","",IF($F2246="Faltou",$M2246,0))</f>
        <v>0</v>
      </c>
      <c r="P2246" s="27">
        <f>IF($M2246="","",IF($F2246="Compareceu",MAX(0,$M2246-N($H2246)),0))</f>
        <v>0</v>
      </c>
      <c r="Q2246" s="19">
        <f>IF(AND($F2246="Compareceu",$E2246&lt;&gt;"",$A2246&lt;&gt;""),IF(IFERROR(INDEX(ProcRet,MATCH($E2246,ProcNome,0)),0)&gt;0,$A2246+INDEX(ProcRet,MATCH($E2246,ProcNome,0)),""),"")</f>
        <v>0</v>
      </c>
      <c r="R2246" s="26">
        <f>IF($Q2246="","",IF(COUNTIFS(AgPac,$D2246,AgData,"&gt;"&amp;$A2246,AgStatus,"&lt;&gt;Cancelado",AgStatus,"&lt;&gt;Remarcado")&gt;0,"Sim","Não"))</f>
        <v>0</v>
      </c>
      <c r="S2246" s="28">
        <f>IF($A2246="","",IF(AND($F2246="Agendado",$A2246-Hoje&gt;=0,$A2246-Hoje&lt;=DiasConf),"CONFIRMAR",IF(AND($A2246&lt;Hoje,OR($F2246="Agendado",$F2246="Confirmado")),"Atualizar status",IF(AND($F2246="Compareceu",$P2246&gt;0.005),"Cobrar",IF($F2246="Faltou","Falta: reagendar","")))))</f>
        <v>0</v>
      </c>
      <c r="T2246" s="29">
        <f>IF($A2246="","",DATE(YEAR($A2246),MONTH($A2246),1))</f>
        <v>0</v>
      </c>
      <c r="U2246" s="30">
        <f>IF($S2246="CONFIRMAR",MAX($U$4:$U2245)+1,"")</f>
        <v>0</v>
      </c>
      <c r="V2246" s="30">
        <f>IF(AND($R2246="Não",$Q2246&lt;&gt;"",$Q2246&lt;=Hoje+JanelaRet,$Q2246&gt;=Hoje-60),MAX($V$4:$V2245)+1,"")</f>
        <v>0</v>
      </c>
    </row>
    <row r="2247" spans="1:22">
      <c r="A2247" s="16"/>
      <c r="B2247" s="23"/>
      <c r="C2247" s="15"/>
      <c r="D2247" s="15"/>
      <c r="E2247" s="15"/>
      <c r="F2247" s="24"/>
      <c r="G2247" s="17"/>
      <c r="H2247" s="17"/>
      <c r="I2247" s="15"/>
      <c r="J2247" s="25">
        <f>IF($D2247="","",IFERROR(INDEX(PacNome,MATCH($D2247,PacCod,0)),"Paciente não cadastrado"))</f>
        <v>0</v>
      </c>
      <c r="K2247" s="26">
        <f>IF($D2247="","",IFERROR(INDEX(PacConv,MATCH($D2247,PacCod,0))&amp;"",""))</f>
        <v>0</v>
      </c>
      <c r="L2247" s="26">
        <f>IF($A2247="","",CHOOSE(WEEKDAY($A2247,2),"Seg","Ter","Qua","Qui","Sex","Sáb","Dom"))</f>
        <v>0</v>
      </c>
      <c r="M2247" s="27">
        <f>IF($E2247="","",IF($G2247&lt;&gt;"",$G2247,IFERROR(INDEX(ProcValor,MATCH($E2247,ProcNome,0)),0)))</f>
        <v>0</v>
      </c>
      <c r="N2247" s="27">
        <f>IF($M2247="","",IF($F2247="Compareceu",$M2247,0))</f>
        <v>0</v>
      </c>
      <c r="O2247" s="27">
        <f>IF($M2247="","",IF($F2247="Faltou",$M2247,0))</f>
        <v>0</v>
      </c>
      <c r="P2247" s="27">
        <f>IF($M2247="","",IF($F2247="Compareceu",MAX(0,$M2247-N($H2247)),0))</f>
        <v>0</v>
      </c>
      <c r="Q2247" s="19">
        <f>IF(AND($F2247="Compareceu",$E2247&lt;&gt;"",$A2247&lt;&gt;""),IF(IFERROR(INDEX(ProcRet,MATCH($E2247,ProcNome,0)),0)&gt;0,$A2247+INDEX(ProcRet,MATCH($E2247,ProcNome,0)),""),"")</f>
        <v>0</v>
      </c>
      <c r="R2247" s="26">
        <f>IF($Q2247="","",IF(COUNTIFS(AgPac,$D2247,AgData,"&gt;"&amp;$A2247,AgStatus,"&lt;&gt;Cancelado",AgStatus,"&lt;&gt;Remarcado")&gt;0,"Sim","Não"))</f>
        <v>0</v>
      </c>
      <c r="S2247" s="28">
        <f>IF($A2247="","",IF(AND($F2247="Agendado",$A2247-Hoje&gt;=0,$A2247-Hoje&lt;=DiasConf),"CONFIRMAR",IF(AND($A2247&lt;Hoje,OR($F2247="Agendado",$F2247="Confirmado")),"Atualizar status",IF(AND($F2247="Compareceu",$P2247&gt;0.005),"Cobrar",IF($F2247="Faltou","Falta: reagendar","")))))</f>
        <v>0</v>
      </c>
      <c r="T2247" s="29">
        <f>IF($A2247="","",DATE(YEAR($A2247),MONTH($A2247),1))</f>
        <v>0</v>
      </c>
      <c r="U2247" s="30">
        <f>IF($S2247="CONFIRMAR",MAX($U$4:$U2246)+1,"")</f>
        <v>0</v>
      </c>
      <c r="V2247" s="30">
        <f>IF(AND($R2247="Não",$Q2247&lt;&gt;"",$Q2247&lt;=Hoje+JanelaRet,$Q2247&gt;=Hoje-60),MAX($V$4:$V2246)+1,"")</f>
        <v>0</v>
      </c>
    </row>
    <row r="2248" spans="1:22">
      <c r="A2248" s="16"/>
      <c r="B2248" s="23"/>
      <c r="C2248" s="15"/>
      <c r="D2248" s="15"/>
      <c r="E2248" s="15"/>
      <c r="F2248" s="24"/>
      <c r="G2248" s="17"/>
      <c r="H2248" s="17"/>
      <c r="I2248" s="15"/>
      <c r="J2248" s="25">
        <f>IF($D2248="","",IFERROR(INDEX(PacNome,MATCH($D2248,PacCod,0)),"Paciente não cadastrado"))</f>
        <v>0</v>
      </c>
      <c r="K2248" s="26">
        <f>IF($D2248="","",IFERROR(INDEX(PacConv,MATCH($D2248,PacCod,0))&amp;"",""))</f>
        <v>0</v>
      </c>
      <c r="L2248" s="26">
        <f>IF($A2248="","",CHOOSE(WEEKDAY($A2248,2),"Seg","Ter","Qua","Qui","Sex","Sáb","Dom"))</f>
        <v>0</v>
      </c>
      <c r="M2248" s="27">
        <f>IF($E2248="","",IF($G2248&lt;&gt;"",$G2248,IFERROR(INDEX(ProcValor,MATCH($E2248,ProcNome,0)),0)))</f>
        <v>0</v>
      </c>
      <c r="N2248" s="27">
        <f>IF($M2248="","",IF($F2248="Compareceu",$M2248,0))</f>
        <v>0</v>
      </c>
      <c r="O2248" s="27">
        <f>IF($M2248="","",IF($F2248="Faltou",$M2248,0))</f>
        <v>0</v>
      </c>
      <c r="P2248" s="27">
        <f>IF($M2248="","",IF($F2248="Compareceu",MAX(0,$M2248-N($H2248)),0))</f>
        <v>0</v>
      </c>
      <c r="Q2248" s="19">
        <f>IF(AND($F2248="Compareceu",$E2248&lt;&gt;"",$A2248&lt;&gt;""),IF(IFERROR(INDEX(ProcRet,MATCH($E2248,ProcNome,0)),0)&gt;0,$A2248+INDEX(ProcRet,MATCH($E2248,ProcNome,0)),""),"")</f>
        <v>0</v>
      </c>
      <c r="R2248" s="26">
        <f>IF($Q2248="","",IF(COUNTIFS(AgPac,$D2248,AgData,"&gt;"&amp;$A2248,AgStatus,"&lt;&gt;Cancelado",AgStatus,"&lt;&gt;Remarcado")&gt;0,"Sim","Não"))</f>
        <v>0</v>
      </c>
      <c r="S2248" s="28">
        <f>IF($A2248="","",IF(AND($F2248="Agendado",$A2248-Hoje&gt;=0,$A2248-Hoje&lt;=DiasConf),"CONFIRMAR",IF(AND($A2248&lt;Hoje,OR($F2248="Agendado",$F2248="Confirmado")),"Atualizar status",IF(AND($F2248="Compareceu",$P2248&gt;0.005),"Cobrar",IF($F2248="Faltou","Falta: reagendar","")))))</f>
        <v>0</v>
      </c>
      <c r="T2248" s="29">
        <f>IF($A2248="","",DATE(YEAR($A2248),MONTH($A2248),1))</f>
        <v>0</v>
      </c>
      <c r="U2248" s="30">
        <f>IF($S2248="CONFIRMAR",MAX($U$4:$U2247)+1,"")</f>
        <v>0</v>
      </c>
      <c r="V2248" s="30">
        <f>IF(AND($R2248="Não",$Q2248&lt;&gt;"",$Q2248&lt;=Hoje+JanelaRet,$Q2248&gt;=Hoje-60),MAX($V$4:$V2247)+1,"")</f>
        <v>0</v>
      </c>
    </row>
    <row r="2249" spans="1:22">
      <c r="A2249" s="16"/>
      <c r="B2249" s="23"/>
      <c r="C2249" s="15"/>
      <c r="D2249" s="15"/>
      <c r="E2249" s="15"/>
      <c r="F2249" s="24"/>
      <c r="G2249" s="17"/>
      <c r="H2249" s="17"/>
      <c r="I2249" s="15"/>
      <c r="J2249" s="25">
        <f>IF($D2249="","",IFERROR(INDEX(PacNome,MATCH($D2249,PacCod,0)),"Paciente não cadastrado"))</f>
        <v>0</v>
      </c>
      <c r="K2249" s="26">
        <f>IF($D2249="","",IFERROR(INDEX(PacConv,MATCH($D2249,PacCod,0))&amp;"",""))</f>
        <v>0</v>
      </c>
      <c r="L2249" s="26">
        <f>IF($A2249="","",CHOOSE(WEEKDAY($A2249,2),"Seg","Ter","Qua","Qui","Sex","Sáb","Dom"))</f>
        <v>0</v>
      </c>
      <c r="M2249" s="27">
        <f>IF($E2249="","",IF($G2249&lt;&gt;"",$G2249,IFERROR(INDEX(ProcValor,MATCH($E2249,ProcNome,0)),0)))</f>
        <v>0</v>
      </c>
      <c r="N2249" s="27">
        <f>IF($M2249="","",IF($F2249="Compareceu",$M2249,0))</f>
        <v>0</v>
      </c>
      <c r="O2249" s="27">
        <f>IF($M2249="","",IF($F2249="Faltou",$M2249,0))</f>
        <v>0</v>
      </c>
      <c r="P2249" s="27">
        <f>IF($M2249="","",IF($F2249="Compareceu",MAX(0,$M2249-N($H2249)),0))</f>
        <v>0</v>
      </c>
      <c r="Q2249" s="19">
        <f>IF(AND($F2249="Compareceu",$E2249&lt;&gt;"",$A2249&lt;&gt;""),IF(IFERROR(INDEX(ProcRet,MATCH($E2249,ProcNome,0)),0)&gt;0,$A2249+INDEX(ProcRet,MATCH($E2249,ProcNome,0)),""),"")</f>
        <v>0</v>
      </c>
      <c r="R2249" s="26">
        <f>IF($Q2249="","",IF(COUNTIFS(AgPac,$D2249,AgData,"&gt;"&amp;$A2249,AgStatus,"&lt;&gt;Cancelado",AgStatus,"&lt;&gt;Remarcado")&gt;0,"Sim","Não"))</f>
        <v>0</v>
      </c>
      <c r="S2249" s="28">
        <f>IF($A2249="","",IF(AND($F2249="Agendado",$A2249-Hoje&gt;=0,$A2249-Hoje&lt;=DiasConf),"CONFIRMAR",IF(AND($A2249&lt;Hoje,OR($F2249="Agendado",$F2249="Confirmado")),"Atualizar status",IF(AND($F2249="Compareceu",$P2249&gt;0.005),"Cobrar",IF($F2249="Faltou","Falta: reagendar","")))))</f>
        <v>0</v>
      </c>
      <c r="T2249" s="29">
        <f>IF($A2249="","",DATE(YEAR($A2249),MONTH($A2249),1))</f>
        <v>0</v>
      </c>
      <c r="U2249" s="30">
        <f>IF($S2249="CONFIRMAR",MAX($U$4:$U2248)+1,"")</f>
        <v>0</v>
      </c>
      <c r="V2249" s="30">
        <f>IF(AND($R2249="Não",$Q2249&lt;&gt;"",$Q2249&lt;=Hoje+JanelaRet,$Q2249&gt;=Hoje-60),MAX($V$4:$V2248)+1,"")</f>
        <v>0</v>
      </c>
    </row>
    <row r="2250" spans="1:22">
      <c r="A2250" s="16"/>
      <c r="B2250" s="23"/>
      <c r="C2250" s="15"/>
      <c r="D2250" s="15"/>
      <c r="E2250" s="15"/>
      <c r="F2250" s="24"/>
      <c r="G2250" s="17"/>
      <c r="H2250" s="17"/>
      <c r="I2250" s="15"/>
      <c r="J2250" s="25">
        <f>IF($D2250="","",IFERROR(INDEX(PacNome,MATCH($D2250,PacCod,0)),"Paciente não cadastrado"))</f>
        <v>0</v>
      </c>
      <c r="K2250" s="26">
        <f>IF($D2250="","",IFERROR(INDEX(PacConv,MATCH($D2250,PacCod,0))&amp;"",""))</f>
        <v>0</v>
      </c>
      <c r="L2250" s="26">
        <f>IF($A2250="","",CHOOSE(WEEKDAY($A2250,2),"Seg","Ter","Qua","Qui","Sex","Sáb","Dom"))</f>
        <v>0</v>
      </c>
      <c r="M2250" s="27">
        <f>IF($E2250="","",IF($G2250&lt;&gt;"",$G2250,IFERROR(INDEX(ProcValor,MATCH($E2250,ProcNome,0)),0)))</f>
        <v>0</v>
      </c>
      <c r="N2250" s="27">
        <f>IF($M2250="","",IF($F2250="Compareceu",$M2250,0))</f>
        <v>0</v>
      </c>
      <c r="O2250" s="27">
        <f>IF($M2250="","",IF($F2250="Faltou",$M2250,0))</f>
        <v>0</v>
      </c>
      <c r="P2250" s="27">
        <f>IF($M2250="","",IF($F2250="Compareceu",MAX(0,$M2250-N($H2250)),0))</f>
        <v>0</v>
      </c>
      <c r="Q2250" s="19">
        <f>IF(AND($F2250="Compareceu",$E2250&lt;&gt;"",$A2250&lt;&gt;""),IF(IFERROR(INDEX(ProcRet,MATCH($E2250,ProcNome,0)),0)&gt;0,$A2250+INDEX(ProcRet,MATCH($E2250,ProcNome,0)),""),"")</f>
        <v>0</v>
      </c>
      <c r="R2250" s="26">
        <f>IF($Q2250="","",IF(COUNTIFS(AgPac,$D2250,AgData,"&gt;"&amp;$A2250,AgStatus,"&lt;&gt;Cancelado",AgStatus,"&lt;&gt;Remarcado")&gt;0,"Sim","Não"))</f>
        <v>0</v>
      </c>
      <c r="S2250" s="28">
        <f>IF($A2250="","",IF(AND($F2250="Agendado",$A2250-Hoje&gt;=0,$A2250-Hoje&lt;=DiasConf),"CONFIRMAR",IF(AND($A2250&lt;Hoje,OR($F2250="Agendado",$F2250="Confirmado")),"Atualizar status",IF(AND($F2250="Compareceu",$P2250&gt;0.005),"Cobrar",IF($F2250="Faltou","Falta: reagendar","")))))</f>
        <v>0</v>
      </c>
      <c r="T2250" s="29">
        <f>IF($A2250="","",DATE(YEAR($A2250),MONTH($A2250),1))</f>
        <v>0</v>
      </c>
      <c r="U2250" s="30">
        <f>IF($S2250="CONFIRMAR",MAX($U$4:$U2249)+1,"")</f>
        <v>0</v>
      </c>
      <c r="V2250" s="30">
        <f>IF(AND($R2250="Não",$Q2250&lt;&gt;"",$Q2250&lt;=Hoje+JanelaRet,$Q2250&gt;=Hoje-60),MAX($V$4:$V2249)+1,"")</f>
        <v>0</v>
      </c>
    </row>
    <row r="2251" spans="1:22">
      <c r="A2251" s="16"/>
      <c r="B2251" s="23"/>
      <c r="C2251" s="15"/>
      <c r="D2251" s="15"/>
      <c r="E2251" s="15"/>
      <c r="F2251" s="24"/>
      <c r="G2251" s="17"/>
      <c r="H2251" s="17"/>
      <c r="I2251" s="15"/>
      <c r="J2251" s="25">
        <f>IF($D2251="","",IFERROR(INDEX(PacNome,MATCH($D2251,PacCod,0)),"Paciente não cadastrado"))</f>
        <v>0</v>
      </c>
      <c r="K2251" s="26">
        <f>IF($D2251="","",IFERROR(INDEX(PacConv,MATCH($D2251,PacCod,0))&amp;"",""))</f>
        <v>0</v>
      </c>
      <c r="L2251" s="26">
        <f>IF($A2251="","",CHOOSE(WEEKDAY($A2251,2),"Seg","Ter","Qua","Qui","Sex","Sáb","Dom"))</f>
        <v>0</v>
      </c>
      <c r="M2251" s="27">
        <f>IF($E2251="","",IF($G2251&lt;&gt;"",$G2251,IFERROR(INDEX(ProcValor,MATCH($E2251,ProcNome,0)),0)))</f>
        <v>0</v>
      </c>
      <c r="N2251" s="27">
        <f>IF($M2251="","",IF($F2251="Compareceu",$M2251,0))</f>
        <v>0</v>
      </c>
      <c r="O2251" s="27">
        <f>IF($M2251="","",IF($F2251="Faltou",$M2251,0))</f>
        <v>0</v>
      </c>
      <c r="P2251" s="27">
        <f>IF($M2251="","",IF($F2251="Compareceu",MAX(0,$M2251-N($H2251)),0))</f>
        <v>0</v>
      </c>
      <c r="Q2251" s="19">
        <f>IF(AND($F2251="Compareceu",$E2251&lt;&gt;"",$A2251&lt;&gt;""),IF(IFERROR(INDEX(ProcRet,MATCH($E2251,ProcNome,0)),0)&gt;0,$A2251+INDEX(ProcRet,MATCH($E2251,ProcNome,0)),""),"")</f>
        <v>0</v>
      </c>
      <c r="R2251" s="26">
        <f>IF($Q2251="","",IF(COUNTIFS(AgPac,$D2251,AgData,"&gt;"&amp;$A2251,AgStatus,"&lt;&gt;Cancelado",AgStatus,"&lt;&gt;Remarcado")&gt;0,"Sim","Não"))</f>
        <v>0</v>
      </c>
      <c r="S2251" s="28">
        <f>IF($A2251="","",IF(AND($F2251="Agendado",$A2251-Hoje&gt;=0,$A2251-Hoje&lt;=DiasConf),"CONFIRMAR",IF(AND($A2251&lt;Hoje,OR($F2251="Agendado",$F2251="Confirmado")),"Atualizar status",IF(AND($F2251="Compareceu",$P2251&gt;0.005),"Cobrar",IF($F2251="Faltou","Falta: reagendar","")))))</f>
        <v>0</v>
      </c>
      <c r="T2251" s="29">
        <f>IF($A2251="","",DATE(YEAR($A2251),MONTH($A2251),1))</f>
        <v>0</v>
      </c>
      <c r="U2251" s="30">
        <f>IF($S2251="CONFIRMAR",MAX($U$4:$U2250)+1,"")</f>
        <v>0</v>
      </c>
      <c r="V2251" s="30">
        <f>IF(AND($R2251="Não",$Q2251&lt;&gt;"",$Q2251&lt;=Hoje+JanelaRet,$Q2251&gt;=Hoje-60),MAX($V$4:$V2250)+1,"")</f>
        <v>0</v>
      </c>
    </row>
    <row r="2252" spans="1:22">
      <c r="A2252" s="16"/>
      <c r="B2252" s="23"/>
      <c r="C2252" s="15"/>
      <c r="D2252" s="15"/>
      <c r="E2252" s="15"/>
      <c r="F2252" s="24"/>
      <c r="G2252" s="17"/>
      <c r="H2252" s="17"/>
      <c r="I2252" s="15"/>
      <c r="J2252" s="25">
        <f>IF($D2252="","",IFERROR(INDEX(PacNome,MATCH($D2252,PacCod,0)),"Paciente não cadastrado"))</f>
        <v>0</v>
      </c>
      <c r="K2252" s="26">
        <f>IF($D2252="","",IFERROR(INDEX(PacConv,MATCH($D2252,PacCod,0))&amp;"",""))</f>
        <v>0</v>
      </c>
      <c r="L2252" s="26">
        <f>IF($A2252="","",CHOOSE(WEEKDAY($A2252,2),"Seg","Ter","Qua","Qui","Sex","Sáb","Dom"))</f>
        <v>0</v>
      </c>
      <c r="M2252" s="27">
        <f>IF($E2252="","",IF($G2252&lt;&gt;"",$G2252,IFERROR(INDEX(ProcValor,MATCH($E2252,ProcNome,0)),0)))</f>
        <v>0</v>
      </c>
      <c r="N2252" s="27">
        <f>IF($M2252="","",IF($F2252="Compareceu",$M2252,0))</f>
        <v>0</v>
      </c>
      <c r="O2252" s="27">
        <f>IF($M2252="","",IF($F2252="Faltou",$M2252,0))</f>
        <v>0</v>
      </c>
      <c r="P2252" s="27">
        <f>IF($M2252="","",IF($F2252="Compareceu",MAX(0,$M2252-N($H2252)),0))</f>
        <v>0</v>
      </c>
      <c r="Q2252" s="19">
        <f>IF(AND($F2252="Compareceu",$E2252&lt;&gt;"",$A2252&lt;&gt;""),IF(IFERROR(INDEX(ProcRet,MATCH($E2252,ProcNome,0)),0)&gt;0,$A2252+INDEX(ProcRet,MATCH($E2252,ProcNome,0)),""),"")</f>
        <v>0</v>
      </c>
      <c r="R2252" s="26">
        <f>IF($Q2252="","",IF(COUNTIFS(AgPac,$D2252,AgData,"&gt;"&amp;$A2252,AgStatus,"&lt;&gt;Cancelado",AgStatus,"&lt;&gt;Remarcado")&gt;0,"Sim","Não"))</f>
        <v>0</v>
      </c>
      <c r="S2252" s="28">
        <f>IF($A2252="","",IF(AND($F2252="Agendado",$A2252-Hoje&gt;=0,$A2252-Hoje&lt;=DiasConf),"CONFIRMAR",IF(AND($A2252&lt;Hoje,OR($F2252="Agendado",$F2252="Confirmado")),"Atualizar status",IF(AND($F2252="Compareceu",$P2252&gt;0.005),"Cobrar",IF($F2252="Faltou","Falta: reagendar","")))))</f>
        <v>0</v>
      </c>
      <c r="T2252" s="29">
        <f>IF($A2252="","",DATE(YEAR($A2252),MONTH($A2252),1))</f>
        <v>0</v>
      </c>
      <c r="U2252" s="30">
        <f>IF($S2252="CONFIRMAR",MAX($U$4:$U2251)+1,"")</f>
        <v>0</v>
      </c>
      <c r="V2252" s="30">
        <f>IF(AND($R2252="Não",$Q2252&lt;&gt;"",$Q2252&lt;=Hoje+JanelaRet,$Q2252&gt;=Hoje-60),MAX($V$4:$V2251)+1,"")</f>
        <v>0</v>
      </c>
    </row>
    <row r="2253" spans="1:22">
      <c r="A2253" s="16"/>
      <c r="B2253" s="23"/>
      <c r="C2253" s="15"/>
      <c r="D2253" s="15"/>
      <c r="E2253" s="15"/>
      <c r="F2253" s="24"/>
      <c r="G2253" s="17"/>
      <c r="H2253" s="17"/>
      <c r="I2253" s="15"/>
      <c r="J2253" s="25">
        <f>IF($D2253="","",IFERROR(INDEX(PacNome,MATCH($D2253,PacCod,0)),"Paciente não cadastrado"))</f>
        <v>0</v>
      </c>
      <c r="K2253" s="26">
        <f>IF($D2253="","",IFERROR(INDEX(PacConv,MATCH($D2253,PacCod,0))&amp;"",""))</f>
        <v>0</v>
      </c>
      <c r="L2253" s="26">
        <f>IF($A2253="","",CHOOSE(WEEKDAY($A2253,2),"Seg","Ter","Qua","Qui","Sex","Sáb","Dom"))</f>
        <v>0</v>
      </c>
      <c r="M2253" s="27">
        <f>IF($E2253="","",IF($G2253&lt;&gt;"",$G2253,IFERROR(INDEX(ProcValor,MATCH($E2253,ProcNome,0)),0)))</f>
        <v>0</v>
      </c>
      <c r="N2253" s="27">
        <f>IF($M2253="","",IF($F2253="Compareceu",$M2253,0))</f>
        <v>0</v>
      </c>
      <c r="O2253" s="27">
        <f>IF($M2253="","",IF($F2253="Faltou",$M2253,0))</f>
        <v>0</v>
      </c>
      <c r="P2253" s="27">
        <f>IF($M2253="","",IF($F2253="Compareceu",MAX(0,$M2253-N($H2253)),0))</f>
        <v>0</v>
      </c>
      <c r="Q2253" s="19">
        <f>IF(AND($F2253="Compareceu",$E2253&lt;&gt;"",$A2253&lt;&gt;""),IF(IFERROR(INDEX(ProcRet,MATCH($E2253,ProcNome,0)),0)&gt;0,$A2253+INDEX(ProcRet,MATCH($E2253,ProcNome,0)),""),"")</f>
        <v>0</v>
      </c>
      <c r="R2253" s="26">
        <f>IF($Q2253="","",IF(COUNTIFS(AgPac,$D2253,AgData,"&gt;"&amp;$A2253,AgStatus,"&lt;&gt;Cancelado",AgStatus,"&lt;&gt;Remarcado")&gt;0,"Sim","Não"))</f>
        <v>0</v>
      </c>
      <c r="S2253" s="28">
        <f>IF($A2253="","",IF(AND($F2253="Agendado",$A2253-Hoje&gt;=0,$A2253-Hoje&lt;=DiasConf),"CONFIRMAR",IF(AND($A2253&lt;Hoje,OR($F2253="Agendado",$F2253="Confirmado")),"Atualizar status",IF(AND($F2253="Compareceu",$P2253&gt;0.005),"Cobrar",IF($F2253="Faltou","Falta: reagendar","")))))</f>
        <v>0</v>
      </c>
      <c r="T2253" s="29">
        <f>IF($A2253="","",DATE(YEAR($A2253),MONTH($A2253),1))</f>
        <v>0</v>
      </c>
      <c r="U2253" s="30">
        <f>IF($S2253="CONFIRMAR",MAX($U$4:$U2252)+1,"")</f>
        <v>0</v>
      </c>
      <c r="V2253" s="30">
        <f>IF(AND($R2253="Não",$Q2253&lt;&gt;"",$Q2253&lt;=Hoje+JanelaRet,$Q2253&gt;=Hoje-60),MAX($V$4:$V2252)+1,"")</f>
        <v>0</v>
      </c>
    </row>
    <row r="2254" spans="1:22">
      <c r="A2254" s="16"/>
      <c r="B2254" s="23"/>
      <c r="C2254" s="15"/>
      <c r="D2254" s="15"/>
      <c r="E2254" s="15"/>
      <c r="F2254" s="24"/>
      <c r="G2254" s="17"/>
      <c r="H2254" s="17"/>
      <c r="I2254" s="15"/>
      <c r="J2254" s="25">
        <f>IF($D2254="","",IFERROR(INDEX(PacNome,MATCH($D2254,PacCod,0)),"Paciente não cadastrado"))</f>
        <v>0</v>
      </c>
      <c r="K2254" s="26">
        <f>IF($D2254="","",IFERROR(INDEX(PacConv,MATCH($D2254,PacCod,0))&amp;"",""))</f>
        <v>0</v>
      </c>
      <c r="L2254" s="26">
        <f>IF($A2254="","",CHOOSE(WEEKDAY($A2254,2),"Seg","Ter","Qua","Qui","Sex","Sáb","Dom"))</f>
        <v>0</v>
      </c>
      <c r="M2254" s="27">
        <f>IF($E2254="","",IF($G2254&lt;&gt;"",$G2254,IFERROR(INDEX(ProcValor,MATCH($E2254,ProcNome,0)),0)))</f>
        <v>0</v>
      </c>
      <c r="N2254" s="27">
        <f>IF($M2254="","",IF($F2254="Compareceu",$M2254,0))</f>
        <v>0</v>
      </c>
      <c r="O2254" s="27">
        <f>IF($M2254="","",IF($F2254="Faltou",$M2254,0))</f>
        <v>0</v>
      </c>
      <c r="P2254" s="27">
        <f>IF($M2254="","",IF($F2254="Compareceu",MAX(0,$M2254-N($H2254)),0))</f>
        <v>0</v>
      </c>
      <c r="Q2254" s="19">
        <f>IF(AND($F2254="Compareceu",$E2254&lt;&gt;"",$A2254&lt;&gt;""),IF(IFERROR(INDEX(ProcRet,MATCH($E2254,ProcNome,0)),0)&gt;0,$A2254+INDEX(ProcRet,MATCH($E2254,ProcNome,0)),""),"")</f>
        <v>0</v>
      </c>
      <c r="R2254" s="26">
        <f>IF($Q2254="","",IF(COUNTIFS(AgPac,$D2254,AgData,"&gt;"&amp;$A2254,AgStatus,"&lt;&gt;Cancelado",AgStatus,"&lt;&gt;Remarcado")&gt;0,"Sim","Não"))</f>
        <v>0</v>
      </c>
      <c r="S2254" s="28">
        <f>IF($A2254="","",IF(AND($F2254="Agendado",$A2254-Hoje&gt;=0,$A2254-Hoje&lt;=DiasConf),"CONFIRMAR",IF(AND($A2254&lt;Hoje,OR($F2254="Agendado",$F2254="Confirmado")),"Atualizar status",IF(AND($F2254="Compareceu",$P2254&gt;0.005),"Cobrar",IF($F2254="Faltou","Falta: reagendar","")))))</f>
        <v>0</v>
      </c>
      <c r="T2254" s="29">
        <f>IF($A2254="","",DATE(YEAR($A2254),MONTH($A2254),1))</f>
        <v>0</v>
      </c>
      <c r="U2254" s="30">
        <f>IF($S2254="CONFIRMAR",MAX($U$4:$U2253)+1,"")</f>
        <v>0</v>
      </c>
      <c r="V2254" s="30">
        <f>IF(AND($R2254="Não",$Q2254&lt;&gt;"",$Q2254&lt;=Hoje+JanelaRet,$Q2254&gt;=Hoje-60),MAX($V$4:$V2253)+1,"")</f>
        <v>0</v>
      </c>
    </row>
    <row r="2255" spans="1:22">
      <c r="A2255" s="16"/>
      <c r="B2255" s="23"/>
      <c r="C2255" s="15"/>
      <c r="D2255" s="15"/>
      <c r="E2255" s="15"/>
      <c r="F2255" s="24"/>
      <c r="G2255" s="17"/>
      <c r="H2255" s="17"/>
      <c r="I2255" s="15"/>
      <c r="J2255" s="25">
        <f>IF($D2255="","",IFERROR(INDEX(PacNome,MATCH($D2255,PacCod,0)),"Paciente não cadastrado"))</f>
        <v>0</v>
      </c>
      <c r="K2255" s="26">
        <f>IF($D2255="","",IFERROR(INDEX(PacConv,MATCH($D2255,PacCod,0))&amp;"",""))</f>
        <v>0</v>
      </c>
      <c r="L2255" s="26">
        <f>IF($A2255="","",CHOOSE(WEEKDAY($A2255,2),"Seg","Ter","Qua","Qui","Sex","Sáb","Dom"))</f>
        <v>0</v>
      </c>
      <c r="M2255" s="27">
        <f>IF($E2255="","",IF($G2255&lt;&gt;"",$G2255,IFERROR(INDEX(ProcValor,MATCH($E2255,ProcNome,0)),0)))</f>
        <v>0</v>
      </c>
      <c r="N2255" s="27">
        <f>IF($M2255="","",IF($F2255="Compareceu",$M2255,0))</f>
        <v>0</v>
      </c>
      <c r="O2255" s="27">
        <f>IF($M2255="","",IF($F2255="Faltou",$M2255,0))</f>
        <v>0</v>
      </c>
      <c r="P2255" s="27">
        <f>IF($M2255="","",IF($F2255="Compareceu",MAX(0,$M2255-N($H2255)),0))</f>
        <v>0</v>
      </c>
      <c r="Q2255" s="19">
        <f>IF(AND($F2255="Compareceu",$E2255&lt;&gt;"",$A2255&lt;&gt;""),IF(IFERROR(INDEX(ProcRet,MATCH($E2255,ProcNome,0)),0)&gt;0,$A2255+INDEX(ProcRet,MATCH($E2255,ProcNome,0)),""),"")</f>
        <v>0</v>
      </c>
      <c r="R2255" s="26">
        <f>IF($Q2255="","",IF(COUNTIFS(AgPac,$D2255,AgData,"&gt;"&amp;$A2255,AgStatus,"&lt;&gt;Cancelado",AgStatus,"&lt;&gt;Remarcado")&gt;0,"Sim","Não"))</f>
        <v>0</v>
      </c>
      <c r="S2255" s="28">
        <f>IF($A2255="","",IF(AND($F2255="Agendado",$A2255-Hoje&gt;=0,$A2255-Hoje&lt;=DiasConf),"CONFIRMAR",IF(AND($A2255&lt;Hoje,OR($F2255="Agendado",$F2255="Confirmado")),"Atualizar status",IF(AND($F2255="Compareceu",$P2255&gt;0.005),"Cobrar",IF($F2255="Faltou","Falta: reagendar","")))))</f>
        <v>0</v>
      </c>
      <c r="T2255" s="29">
        <f>IF($A2255="","",DATE(YEAR($A2255),MONTH($A2255),1))</f>
        <v>0</v>
      </c>
      <c r="U2255" s="30">
        <f>IF($S2255="CONFIRMAR",MAX($U$4:$U2254)+1,"")</f>
        <v>0</v>
      </c>
      <c r="V2255" s="30">
        <f>IF(AND($R2255="Não",$Q2255&lt;&gt;"",$Q2255&lt;=Hoje+JanelaRet,$Q2255&gt;=Hoje-60),MAX($V$4:$V2254)+1,"")</f>
        <v>0</v>
      </c>
    </row>
    <row r="2256" spans="1:22">
      <c r="A2256" s="16"/>
      <c r="B2256" s="23"/>
      <c r="C2256" s="15"/>
      <c r="D2256" s="15"/>
      <c r="E2256" s="15"/>
      <c r="F2256" s="24"/>
      <c r="G2256" s="17"/>
      <c r="H2256" s="17"/>
      <c r="I2256" s="15"/>
      <c r="J2256" s="25">
        <f>IF($D2256="","",IFERROR(INDEX(PacNome,MATCH($D2256,PacCod,0)),"Paciente não cadastrado"))</f>
        <v>0</v>
      </c>
      <c r="K2256" s="26">
        <f>IF($D2256="","",IFERROR(INDEX(PacConv,MATCH($D2256,PacCod,0))&amp;"",""))</f>
        <v>0</v>
      </c>
      <c r="L2256" s="26">
        <f>IF($A2256="","",CHOOSE(WEEKDAY($A2256,2),"Seg","Ter","Qua","Qui","Sex","Sáb","Dom"))</f>
        <v>0</v>
      </c>
      <c r="M2256" s="27">
        <f>IF($E2256="","",IF($G2256&lt;&gt;"",$G2256,IFERROR(INDEX(ProcValor,MATCH($E2256,ProcNome,0)),0)))</f>
        <v>0</v>
      </c>
      <c r="N2256" s="27">
        <f>IF($M2256="","",IF($F2256="Compareceu",$M2256,0))</f>
        <v>0</v>
      </c>
      <c r="O2256" s="27">
        <f>IF($M2256="","",IF($F2256="Faltou",$M2256,0))</f>
        <v>0</v>
      </c>
      <c r="P2256" s="27">
        <f>IF($M2256="","",IF($F2256="Compareceu",MAX(0,$M2256-N($H2256)),0))</f>
        <v>0</v>
      </c>
      <c r="Q2256" s="19">
        <f>IF(AND($F2256="Compareceu",$E2256&lt;&gt;"",$A2256&lt;&gt;""),IF(IFERROR(INDEX(ProcRet,MATCH($E2256,ProcNome,0)),0)&gt;0,$A2256+INDEX(ProcRet,MATCH($E2256,ProcNome,0)),""),"")</f>
        <v>0</v>
      </c>
      <c r="R2256" s="26">
        <f>IF($Q2256="","",IF(COUNTIFS(AgPac,$D2256,AgData,"&gt;"&amp;$A2256,AgStatus,"&lt;&gt;Cancelado",AgStatus,"&lt;&gt;Remarcado")&gt;0,"Sim","Não"))</f>
        <v>0</v>
      </c>
      <c r="S2256" s="28">
        <f>IF($A2256="","",IF(AND($F2256="Agendado",$A2256-Hoje&gt;=0,$A2256-Hoje&lt;=DiasConf),"CONFIRMAR",IF(AND($A2256&lt;Hoje,OR($F2256="Agendado",$F2256="Confirmado")),"Atualizar status",IF(AND($F2256="Compareceu",$P2256&gt;0.005),"Cobrar",IF($F2256="Faltou","Falta: reagendar","")))))</f>
        <v>0</v>
      </c>
      <c r="T2256" s="29">
        <f>IF($A2256="","",DATE(YEAR($A2256),MONTH($A2256),1))</f>
        <v>0</v>
      </c>
      <c r="U2256" s="30">
        <f>IF($S2256="CONFIRMAR",MAX($U$4:$U2255)+1,"")</f>
        <v>0</v>
      </c>
      <c r="V2256" s="30">
        <f>IF(AND($R2256="Não",$Q2256&lt;&gt;"",$Q2256&lt;=Hoje+JanelaRet,$Q2256&gt;=Hoje-60),MAX($V$4:$V2255)+1,"")</f>
        <v>0</v>
      </c>
    </row>
    <row r="2257" spans="1:22">
      <c r="A2257" s="16"/>
      <c r="B2257" s="23"/>
      <c r="C2257" s="15"/>
      <c r="D2257" s="15"/>
      <c r="E2257" s="15"/>
      <c r="F2257" s="24"/>
      <c r="G2257" s="17"/>
      <c r="H2257" s="17"/>
      <c r="I2257" s="15"/>
      <c r="J2257" s="25">
        <f>IF($D2257="","",IFERROR(INDEX(PacNome,MATCH($D2257,PacCod,0)),"Paciente não cadastrado"))</f>
        <v>0</v>
      </c>
      <c r="K2257" s="26">
        <f>IF($D2257="","",IFERROR(INDEX(PacConv,MATCH($D2257,PacCod,0))&amp;"",""))</f>
        <v>0</v>
      </c>
      <c r="L2257" s="26">
        <f>IF($A2257="","",CHOOSE(WEEKDAY($A2257,2),"Seg","Ter","Qua","Qui","Sex","Sáb","Dom"))</f>
        <v>0</v>
      </c>
      <c r="M2257" s="27">
        <f>IF($E2257="","",IF($G2257&lt;&gt;"",$G2257,IFERROR(INDEX(ProcValor,MATCH($E2257,ProcNome,0)),0)))</f>
        <v>0</v>
      </c>
      <c r="N2257" s="27">
        <f>IF($M2257="","",IF($F2257="Compareceu",$M2257,0))</f>
        <v>0</v>
      </c>
      <c r="O2257" s="27">
        <f>IF($M2257="","",IF($F2257="Faltou",$M2257,0))</f>
        <v>0</v>
      </c>
      <c r="P2257" s="27">
        <f>IF($M2257="","",IF($F2257="Compareceu",MAX(0,$M2257-N($H2257)),0))</f>
        <v>0</v>
      </c>
      <c r="Q2257" s="19">
        <f>IF(AND($F2257="Compareceu",$E2257&lt;&gt;"",$A2257&lt;&gt;""),IF(IFERROR(INDEX(ProcRet,MATCH($E2257,ProcNome,0)),0)&gt;0,$A2257+INDEX(ProcRet,MATCH($E2257,ProcNome,0)),""),"")</f>
        <v>0</v>
      </c>
      <c r="R2257" s="26">
        <f>IF($Q2257="","",IF(COUNTIFS(AgPac,$D2257,AgData,"&gt;"&amp;$A2257,AgStatus,"&lt;&gt;Cancelado",AgStatus,"&lt;&gt;Remarcado")&gt;0,"Sim","Não"))</f>
        <v>0</v>
      </c>
      <c r="S2257" s="28">
        <f>IF($A2257="","",IF(AND($F2257="Agendado",$A2257-Hoje&gt;=0,$A2257-Hoje&lt;=DiasConf),"CONFIRMAR",IF(AND($A2257&lt;Hoje,OR($F2257="Agendado",$F2257="Confirmado")),"Atualizar status",IF(AND($F2257="Compareceu",$P2257&gt;0.005),"Cobrar",IF($F2257="Faltou","Falta: reagendar","")))))</f>
        <v>0</v>
      </c>
      <c r="T2257" s="29">
        <f>IF($A2257="","",DATE(YEAR($A2257),MONTH($A2257),1))</f>
        <v>0</v>
      </c>
      <c r="U2257" s="30">
        <f>IF($S2257="CONFIRMAR",MAX($U$4:$U2256)+1,"")</f>
        <v>0</v>
      </c>
      <c r="V2257" s="30">
        <f>IF(AND($R2257="Não",$Q2257&lt;&gt;"",$Q2257&lt;=Hoje+JanelaRet,$Q2257&gt;=Hoje-60),MAX($V$4:$V2256)+1,"")</f>
        <v>0</v>
      </c>
    </row>
    <row r="2258" spans="1:22">
      <c r="A2258" s="16"/>
      <c r="B2258" s="23"/>
      <c r="C2258" s="15"/>
      <c r="D2258" s="15"/>
      <c r="E2258" s="15"/>
      <c r="F2258" s="24"/>
      <c r="G2258" s="17"/>
      <c r="H2258" s="17"/>
      <c r="I2258" s="15"/>
      <c r="J2258" s="25">
        <f>IF($D2258="","",IFERROR(INDEX(PacNome,MATCH($D2258,PacCod,0)),"Paciente não cadastrado"))</f>
        <v>0</v>
      </c>
      <c r="K2258" s="26">
        <f>IF($D2258="","",IFERROR(INDEX(PacConv,MATCH($D2258,PacCod,0))&amp;"",""))</f>
        <v>0</v>
      </c>
      <c r="L2258" s="26">
        <f>IF($A2258="","",CHOOSE(WEEKDAY($A2258,2),"Seg","Ter","Qua","Qui","Sex","Sáb","Dom"))</f>
        <v>0</v>
      </c>
      <c r="M2258" s="27">
        <f>IF($E2258="","",IF($G2258&lt;&gt;"",$G2258,IFERROR(INDEX(ProcValor,MATCH($E2258,ProcNome,0)),0)))</f>
        <v>0</v>
      </c>
      <c r="N2258" s="27">
        <f>IF($M2258="","",IF($F2258="Compareceu",$M2258,0))</f>
        <v>0</v>
      </c>
      <c r="O2258" s="27">
        <f>IF($M2258="","",IF($F2258="Faltou",$M2258,0))</f>
        <v>0</v>
      </c>
      <c r="P2258" s="27">
        <f>IF($M2258="","",IF($F2258="Compareceu",MAX(0,$M2258-N($H2258)),0))</f>
        <v>0</v>
      </c>
      <c r="Q2258" s="19">
        <f>IF(AND($F2258="Compareceu",$E2258&lt;&gt;"",$A2258&lt;&gt;""),IF(IFERROR(INDEX(ProcRet,MATCH($E2258,ProcNome,0)),0)&gt;0,$A2258+INDEX(ProcRet,MATCH($E2258,ProcNome,0)),""),"")</f>
        <v>0</v>
      </c>
      <c r="R2258" s="26">
        <f>IF($Q2258="","",IF(COUNTIFS(AgPac,$D2258,AgData,"&gt;"&amp;$A2258,AgStatus,"&lt;&gt;Cancelado",AgStatus,"&lt;&gt;Remarcado")&gt;0,"Sim","Não"))</f>
        <v>0</v>
      </c>
      <c r="S2258" s="28">
        <f>IF($A2258="","",IF(AND($F2258="Agendado",$A2258-Hoje&gt;=0,$A2258-Hoje&lt;=DiasConf),"CONFIRMAR",IF(AND($A2258&lt;Hoje,OR($F2258="Agendado",$F2258="Confirmado")),"Atualizar status",IF(AND($F2258="Compareceu",$P2258&gt;0.005),"Cobrar",IF($F2258="Faltou","Falta: reagendar","")))))</f>
        <v>0</v>
      </c>
      <c r="T2258" s="29">
        <f>IF($A2258="","",DATE(YEAR($A2258),MONTH($A2258),1))</f>
        <v>0</v>
      </c>
      <c r="U2258" s="30">
        <f>IF($S2258="CONFIRMAR",MAX($U$4:$U2257)+1,"")</f>
        <v>0</v>
      </c>
      <c r="V2258" s="30">
        <f>IF(AND($R2258="Não",$Q2258&lt;&gt;"",$Q2258&lt;=Hoje+JanelaRet,$Q2258&gt;=Hoje-60),MAX($V$4:$V2257)+1,"")</f>
        <v>0</v>
      </c>
    </row>
    <row r="2259" spans="1:22">
      <c r="A2259" s="16"/>
      <c r="B2259" s="23"/>
      <c r="C2259" s="15"/>
      <c r="D2259" s="15"/>
      <c r="E2259" s="15"/>
      <c r="F2259" s="24"/>
      <c r="G2259" s="17"/>
      <c r="H2259" s="17"/>
      <c r="I2259" s="15"/>
      <c r="J2259" s="25">
        <f>IF($D2259="","",IFERROR(INDEX(PacNome,MATCH($D2259,PacCod,0)),"Paciente não cadastrado"))</f>
        <v>0</v>
      </c>
      <c r="K2259" s="26">
        <f>IF($D2259="","",IFERROR(INDEX(PacConv,MATCH($D2259,PacCod,0))&amp;"",""))</f>
        <v>0</v>
      </c>
      <c r="L2259" s="26">
        <f>IF($A2259="","",CHOOSE(WEEKDAY($A2259,2),"Seg","Ter","Qua","Qui","Sex","Sáb","Dom"))</f>
        <v>0</v>
      </c>
      <c r="M2259" s="27">
        <f>IF($E2259="","",IF($G2259&lt;&gt;"",$G2259,IFERROR(INDEX(ProcValor,MATCH($E2259,ProcNome,0)),0)))</f>
        <v>0</v>
      </c>
      <c r="N2259" s="27">
        <f>IF($M2259="","",IF($F2259="Compareceu",$M2259,0))</f>
        <v>0</v>
      </c>
      <c r="O2259" s="27">
        <f>IF($M2259="","",IF($F2259="Faltou",$M2259,0))</f>
        <v>0</v>
      </c>
      <c r="P2259" s="27">
        <f>IF($M2259="","",IF($F2259="Compareceu",MAX(0,$M2259-N($H2259)),0))</f>
        <v>0</v>
      </c>
      <c r="Q2259" s="19">
        <f>IF(AND($F2259="Compareceu",$E2259&lt;&gt;"",$A2259&lt;&gt;""),IF(IFERROR(INDEX(ProcRet,MATCH($E2259,ProcNome,0)),0)&gt;0,$A2259+INDEX(ProcRet,MATCH($E2259,ProcNome,0)),""),"")</f>
        <v>0</v>
      </c>
      <c r="R2259" s="26">
        <f>IF($Q2259="","",IF(COUNTIFS(AgPac,$D2259,AgData,"&gt;"&amp;$A2259,AgStatus,"&lt;&gt;Cancelado",AgStatus,"&lt;&gt;Remarcado")&gt;0,"Sim","Não"))</f>
        <v>0</v>
      </c>
      <c r="S2259" s="28">
        <f>IF($A2259="","",IF(AND($F2259="Agendado",$A2259-Hoje&gt;=0,$A2259-Hoje&lt;=DiasConf),"CONFIRMAR",IF(AND($A2259&lt;Hoje,OR($F2259="Agendado",$F2259="Confirmado")),"Atualizar status",IF(AND($F2259="Compareceu",$P2259&gt;0.005),"Cobrar",IF($F2259="Faltou","Falta: reagendar","")))))</f>
        <v>0</v>
      </c>
      <c r="T2259" s="29">
        <f>IF($A2259="","",DATE(YEAR($A2259),MONTH($A2259),1))</f>
        <v>0</v>
      </c>
      <c r="U2259" s="30">
        <f>IF($S2259="CONFIRMAR",MAX($U$4:$U2258)+1,"")</f>
        <v>0</v>
      </c>
      <c r="V2259" s="30">
        <f>IF(AND($R2259="Não",$Q2259&lt;&gt;"",$Q2259&lt;=Hoje+JanelaRet,$Q2259&gt;=Hoje-60),MAX($V$4:$V2258)+1,"")</f>
        <v>0</v>
      </c>
    </row>
    <row r="2260" spans="1:22">
      <c r="A2260" s="16"/>
      <c r="B2260" s="23"/>
      <c r="C2260" s="15"/>
      <c r="D2260" s="15"/>
      <c r="E2260" s="15"/>
      <c r="F2260" s="24"/>
      <c r="G2260" s="17"/>
      <c r="H2260" s="17"/>
      <c r="I2260" s="15"/>
      <c r="J2260" s="25">
        <f>IF($D2260="","",IFERROR(INDEX(PacNome,MATCH($D2260,PacCod,0)),"Paciente não cadastrado"))</f>
        <v>0</v>
      </c>
      <c r="K2260" s="26">
        <f>IF($D2260="","",IFERROR(INDEX(PacConv,MATCH($D2260,PacCod,0))&amp;"",""))</f>
        <v>0</v>
      </c>
      <c r="L2260" s="26">
        <f>IF($A2260="","",CHOOSE(WEEKDAY($A2260,2),"Seg","Ter","Qua","Qui","Sex","Sáb","Dom"))</f>
        <v>0</v>
      </c>
      <c r="M2260" s="27">
        <f>IF($E2260="","",IF($G2260&lt;&gt;"",$G2260,IFERROR(INDEX(ProcValor,MATCH($E2260,ProcNome,0)),0)))</f>
        <v>0</v>
      </c>
      <c r="N2260" s="27">
        <f>IF($M2260="","",IF($F2260="Compareceu",$M2260,0))</f>
        <v>0</v>
      </c>
      <c r="O2260" s="27">
        <f>IF($M2260="","",IF($F2260="Faltou",$M2260,0))</f>
        <v>0</v>
      </c>
      <c r="P2260" s="27">
        <f>IF($M2260="","",IF($F2260="Compareceu",MAX(0,$M2260-N($H2260)),0))</f>
        <v>0</v>
      </c>
      <c r="Q2260" s="19">
        <f>IF(AND($F2260="Compareceu",$E2260&lt;&gt;"",$A2260&lt;&gt;""),IF(IFERROR(INDEX(ProcRet,MATCH($E2260,ProcNome,0)),0)&gt;0,$A2260+INDEX(ProcRet,MATCH($E2260,ProcNome,0)),""),"")</f>
        <v>0</v>
      </c>
      <c r="R2260" s="26">
        <f>IF($Q2260="","",IF(COUNTIFS(AgPac,$D2260,AgData,"&gt;"&amp;$A2260,AgStatus,"&lt;&gt;Cancelado",AgStatus,"&lt;&gt;Remarcado")&gt;0,"Sim","Não"))</f>
        <v>0</v>
      </c>
      <c r="S2260" s="28">
        <f>IF($A2260="","",IF(AND($F2260="Agendado",$A2260-Hoje&gt;=0,$A2260-Hoje&lt;=DiasConf),"CONFIRMAR",IF(AND($A2260&lt;Hoje,OR($F2260="Agendado",$F2260="Confirmado")),"Atualizar status",IF(AND($F2260="Compareceu",$P2260&gt;0.005),"Cobrar",IF($F2260="Faltou","Falta: reagendar","")))))</f>
        <v>0</v>
      </c>
      <c r="T2260" s="29">
        <f>IF($A2260="","",DATE(YEAR($A2260),MONTH($A2260),1))</f>
        <v>0</v>
      </c>
      <c r="U2260" s="30">
        <f>IF($S2260="CONFIRMAR",MAX($U$4:$U2259)+1,"")</f>
        <v>0</v>
      </c>
      <c r="V2260" s="30">
        <f>IF(AND($R2260="Não",$Q2260&lt;&gt;"",$Q2260&lt;=Hoje+JanelaRet,$Q2260&gt;=Hoje-60),MAX($V$4:$V2259)+1,"")</f>
        <v>0</v>
      </c>
    </row>
    <row r="2261" spans="1:22">
      <c r="A2261" s="16"/>
      <c r="B2261" s="23"/>
      <c r="C2261" s="15"/>
      <c r="D2261" s="15"/>
      <c r="E2261" s="15"/>
      <c r="F2261" s="24"/>
      <c r="G2261" s="17"/>
      <c r="H2261" s="17"/>
      <c r="I2261" s="15"/>
      <c r="J2261" s="25">
        <f>IF($D2261="","",IFERROR(INDEX(PacNome,MATCH($D2261,PacCod,0)),"Paciente não cadastrado"))</f>
        <v>0</v>
      </c>
      <c r="K2261" s="26">
        <f>IF($D2261="","",IFERROR(INDEX(PacConv,MATCH($D2261,PacCod,0))&amp;"",""))</f>
        <v>0</v>
      </c>
      <c r="L2261" s="26">
        <f>IF($A2261="","",CHOOSE(WEEKDAY($A2261,2),"Seg","Ter","Qua","Qui","Sex","Sáb","Dom"))</f>
        <v>0</v>
      </c>
      <c r="M2261" s="27">
        <f>IF($E2261="","",IF($G2261&lt;&gt;"",$G2261,IFERROR(INDEX(ProcValor,MATCH($E2261,ProcNome,0)),0)))</f>
        <v>0</v>
      </c>
      <c r="N2261" s="27">
        <f>IF($M2261="","",IF($F2261="Compareceu",$M2261,0))</f>
        <v>0</v>
      </c>
      <c r="O2261" s="27">
        <f>IF($M2261="","",IF($F2261="Faltou",$M2261,0))</f>
        <v>0</v>
      </c>
      <c r="P2261" s="27">
        <f>IF($M2261="","",IF($F2261="Compareceu",MAX(0,$M2261-N($H2261)),0))</f>
        <v>0</v>
      </c>
      <c r="Q2261" s="19">
        <f>IF(AND($F2261="Compareceu",$E2261&lt;&gt;"",$A2261&lt;&gt;""),IF(IFERROR(INDEX(ProcRet,MATCH($E2261,ProcNome,0)),0)&gt;0,$A2261+INDEX(ProcRet,MATCH($E2261,ProcNome,0)),""),"")</f>
        <v>0</v>
      </c>
      <c r="R2261" s="26">
        <f>IF($Q2261="","",IF(COUNTIFS(AgPac,$D2261,AgData,"&gt;"&amp;$A2261,AgStatus,"&lt;&gt;Cancelado",AgStatus,"&lt;&gt;Remarcado")&gt;0,"Sim","Não"))</f>
        <v>0</v>
      </c>
      <c r="S2261" s="28">
        <f>IF($A2261="","",IF(AND($F2261="Agendado",$A2261-Hoje&gt;=0,$A2261-Hoje&lt;=DiasConf),"CONFIRMAR",IF(AND($A2261&lt;Hoje,OR($F2261="Agendado",$F2261="Confirmado")),"Atualizar status",IF(AND($F2261="Compareceu",$P2261&gt;0.005),"Cobrar",IF($F2261="Faltou","Falta: reagendar","")))))</f>
        <v>0</v>
      </c>
      <c r="T2261" s="29">
        <f>IF($A2261="","",DATE(YEAR($A2261),MONTH($A2261),1))</f>
        <v>0</v>
      </c>
      <c r="U2261" s="30">
        <f>IF($S2261="CONFIRMAR",MAX($U$4:$U2260)+1,"")</f>
        <v>0</v>
      </c>
      <c r="V2261" s="30">
        <f>IF(AND($R2261="Não",$Q2261&lt;&gt;"",$Q2261&lt;=Hoje+JanelaRet,$Q2261&gt;=Hoje-60),MAX($V$4:$V2260)+1,"")</f>
        <v>0</v>
      </c>
    </row>
    <row r="2262" spans="1:22">
      <c r="A2262" s="16"/>
      <c r="B2262" s="23"/>
      <c r="C2262" s="15"/>
      <c r="D2262" s="15"/>
      <c r="E2262" s="15"/>
      <c r="F2262" s="24"/>
      <c r="G2262" s="17"/>
      <c r="H2262" s="17"/>
      <c r="I2262" s="15"/>
      <c r="J2262" s="25">
        <f>IF($D2262="","",IFERROR(INDEX(PacNome,MATCH($D2262,PacCod,0)),"Paciente não cadastrado"))</f>
        <v>0</v>
      </c>
      <c r="K2262" s="26">
        <f>IF($D2262="","",IFERROR(INDEX(PacConv,MATCH($D2262,PacCod,0))&amp;"",""))</f>
        <v>0</v>
      </c>
      <c r="L2262" s="26">
        <f>IF($A2262="","",CHOOSE(WEEKDAY($A2262,2),"Seg","Ter","Qua","Qui","Sex","Sáb","Dom"))</f>
        <v>0</v>
      </c>
      <c r="M2262" s="27">
        <f>IF($E2262="","",IF($G2262&lt;&gt;"",$G2262,IFERROR(INDEX(ProcValor,MATCH($E2262,ProcNome,0)),0)))</f>
        <v>0</v>
      </c>
      <c r="N2262" s="27">
        <f>IF($M2262="","",IF($F2262="Compareceu",$M2262,0))</f>
        <v>0</v>
      </c>
      <c r="O2262" s="27">
        <f>IF($M2262="","",IF($F2262="Faltou",$M2262,0))</f>
        <v>0</v>
      </c>
      <c r="P2262" s="27">
        <f>IF($M2262="","",IF($F2262="Compareceu",MAX(0,$M2262-N($H2262)),0))</f>
        <v>0</v>
      </c>
      <c r="Q2262" s="19">
        <f>IF(AND($F2262="Compareceu",$E2262&lt;&gt;"",$A2262&lt;&gt;""),IF(IFERROR(INDEX(ProcRet,MATCH($E2262,ProcNome,0)),0)&gt;0,$A2262+INDEX(ProcRet,MATCH($E2262,ProcNome,0)),""),"")</f>
        <v>0</v>
      </c>
      <c r="R2262" s="26">
        <f>IF($Q2262="","",IF(COUNTIFS(AgPac,$D2262,AgData,"&gt;"&amp;$A2262,AgStatus,"&lt;&gt;Cancelado",AgStatus,"&lt;&gt;Remarcado")&gt;0,"Sim","Não"))</f>
        <v>0</v>
      </c>
      <c r="S2262" s="28">
        <f>IF($A2262="","",IF(AND($F2262="Agendado",$A2262-Hoje&gt;=0,$A2262-Hoje&lt;=DiasConf),"CONFIRMAR",IF(AND($A2262&lt;Hoje,OR($F2262="Agendado",$F2262="Confirmado")),"Atualizar status",IF(AND($F2262="Compareceu",$P2262&gt;0.005),"Cobrar",IF($F2262="Faltou","Falta: reagendar","")))))</f>
        <v>0</v>
      </c>
      <c r="T2262" s="29">
        <f>IF($A2262="","",DATE(YEAR($A2262),MONTH($A2262),1))</f>
        <v>0</v>
      </c>
      <c r="U2262" s="30">
        <f>IF($S2262="CONFIRMAR",MAX($U$4:$U2261)+1,"")</f>
        <v>0</v>
      </c>
      <c r="V2262" s="30">
        <f>IF(AND($R2262="Não",$Q2262&lt;&gt;"",$Q2262&lt;=Hoje+JanelaRet,$Q2262&gt;=Hoje-60),MAX($V$4:$V2261)+1,"")</f>
        <v>0</v>
      </c>
    </row>
    <row r="2263" spans="1:22">
      <c r="A2263" s="16"/>
      <c r="B2263" s="23"/>
      <c r="C2263" s="15"/>
      <c r="D2263" s="15"/>
      <c r="E2263" s="15"/>
      <c r="F2263" s="24"/>
      <c r="G2263" s="17"/>
      <c r="H2263" s="17"/>
      <c r="I2263" s="15"/>
      <c r="J2263" s="25">
        <f>IF($D2263="","",IFERROR(INDEX(PacNome,MATCH($D2263,PacCod,0)),"Paciente não cadastrado"))</f>
        <v>0</v>
      </c>
      <c r="K2263" s="26">
        <f>IF($D2263="","",IFERROR(INDEX(PacConv,MATCH($D2263,PacCod,0))&amp;"",""))</f>
        <v>0</v>
      </c>
      <c r="L2263" s="26">
        <f>IF($A2263="","",CHOOSE(WEEKDAY($A2263,2),"Seg","Ter","Qua","Qui","Sex","Sáb","Dom"))</f>
        <v>0</v>
      </c>
      <c r="M2263" s="27">
        <f>IF($E2263="","",IF($G2263&lt;&gt;"",$G2263,IFERROR(INDEX(ProcValor,MATCH($E2263,ProcNome,0)),0)))</f>
        <v>0</v>
      </c>
      <c r="N2263" s="27">
        <f>IF($M2263="","",IF($F2263="Compareceu",$M2263,0))</f>
        <v>0</v>
      </c>
      <c r="O2263" s="27">
        <f>IF($M2263="","",IF($F2263="Faltou",$M2263,0))</f>
        <v>0</v>
      </c>
      <c r="P2263" s="27">
        <f>IF($M2263="","",IF($F2263="Compareceu",MAX(0,$M2263-N($H2263)),0))</f>
        <v>0</v>
      </c>
      <c r="Q2263" s="19">
        <f>IF(AND($F2263="Compareceu",$E2263&lt;&gt;"",$A2263&lt;&gt;""),IF(IFERROR(INDEX(ProcRet,MATCH($E2263,ProcNome,0)),0)&gt;0,$A2263+INDEX(ProcRet,MATCH($E2263,ProcNome,0)),""),"")</f>
        <v>0</v>
      </c>
      <c r="R2263" s="26">
        <f>IF($Q2263="","",IF(COUNTIFS(AgPac,$D2263,AgData,"&gt;"&amp;$A2263,AgStatus,"&lt;&gt;Cancelado",AgStatus,"&lt;&gt;Remarcado")&gt;0,"Sim","Não"))</f>
        <v>0</v>
      </c>
      <c r="S2263" s="28">
        <f>IF($A2263="","",IF(AND($F2263="Agendado",$A2263-Hoje&gt;=0,$A2263-Hoje&lt;=DiasConf),"CONFIRMAR",IF(AND($A2263&lt;Hoje,OR($F2263="Agendado",$F2263="Confirmado")),"Atualizar status",IF(AND($F2263="Compareceu",$P2263&gt;0.005),"Cobrar",IF($F2263="Faltou","Falta: reagendar","")))))</f>
        <v>0</v>
      </c>
      <c r="T2263" s="29">
        <f>IF($A2263="","",DATE(YEAR($A2263),MONTH($A2263),1))</f>
        <v>0</v>
      </c>
      <c r="U2263" s="30">
        <f>IF($S2263="CONFIRMAR",MAX($U$4:$U2262)+1,"")</f>
        <v>0</v>
      </c>
      <c r="V2263" s="30">
        <f>IF(AND($R2263="Não",$Q2263&lt;&gt;"",$Q2263&lt;=Hoje+JanelaRet,$Q2263&gt;=Hoje-60),MAX($V$4:$V2262)+1,"")</f>
        <v>0</v>
      </c>
    </row>
    <row r="2264" spans="1:22">
      <c r="A2264" s="16"/>
      <c r="B2264" s="23"/>
      <c r="C2264" s="15"/>
      <c r="D2264" s="15"/>
      <c r="E2264" s="15"/>
      <c r="F2264" s="24"/>
      <c r="G2264" s="17"/>
      <c r="H2264" s="17"/>
      <c r="I2264" s="15"/>
      <c r="J2264" s="25">
        <f>IF($D2264="","",IFERROR(INDEX(PacNome,MATCH($D2264,PacCod,0)),"Paciente não cadastrado"))</f>
        <v>0</v>
      </c>
      <c r="K2264" s="26">
        <f>IF($D2264="","",IFERROR(INDEX(PacConv,MATCH($D2264,PacCod,0))&amp;"",""))</f>
        <v>0</v>
      </c>
      <c r="L2264" s="26">
        <f>IF($A2264="","",CHOOSE(WEEKDAY($A2264,2),"Seg","Ter","Qua","Qui","Sex","Sáb","Dom"))</f>
        <v>0</v>
      </c>
      <c r="M2264" s="27">
        <f>IF($E2264="","",IF($G2264&lt;&gt;"",$G2264,IFERROR(INDEX(ProcValor,MATCH($E2264,ProcNome,0)),0)))</f>
        <v>0</v>
      </c>
      <c r="N2264" s="27">
        <f>IF($M2264="","",IF($F2264="Compareceu",$M2264,0))</f>
        <v>0</v>
      </c>
      <c r="O2264" s="27">
        <f>IF($M2264="","",IF($F2264="Faltou",$M2264,0))</f>
        <v>0</v>
      </c>
      <c r="P2264" s="27">
        <f>IF($M2264="","",IF($F2264="Compareceu",MAX(0,$M2264-N($H2264)),0))</f>
        <v>0</v>
      </c>
      <c r="Q2264" s="19">
        <f>IF(AND($F2264="Compareceu",$E2264&lt;&gt;"",$A2264&lt;&gt;""),IF(IFERROR(INDEX(ProcRet,MATCH($E2264,ProcNome,0)),0)&gt;0,$A2264+INDEX(ProcRet,MATCH($E2264,ProcNome,0)),""),"")</f>
        <v>0</v>
      </c>
      <c r="R2264" s="26">
        <f>IF($Q2264="","",IF(COUNTIFS(AgPac,$D2264,AgData,"&gt;"&amp;$A2264,AgStatus,"&lt;&gt;Cancelado",AgStatus,"&lt;&gt;Remarcado")&gt;0,"Sim","Não"))</f>
        <v>0</v>
      </c>
      <c r="S2264" s="28">
        <f>IF($A2264="","",IF(AND($F2264="Agendado",$A2264-Hoje&gt;=0,$A2264-Hoje&lt;=DiasConf),"CONFIRMAR",IF(AND($A2264&lt;Hoje,OR($F2264="Agendado",$F2264="Confirmado")),"Atualizar status",IF(AND($F2264="Compareceu",$P2264&gt;0.005),"Cobrar",IF($F2264="Faltou","Falta: reagendar","")))))</f>
        <v>0</v>
      </c>
      <c r="T2264" s="29">
        <f>IF($A2264="","",DATE(YEAR($A2264),MONTH($A2264),1))</f>
        <v>0</v>
      </c>
      <c r="U2264" s="30">
        <f>IF($S2264="CONFIRMAR",MAX($U$4:$U2263)+1,"")</f>
        <v>0</v>
      </c>
      <c r="V2264" s="30">
        <f>IF(AND($R2264="Não",$Q2264&lt;&gt;"",$Q2264&lt;=Hoje+JanelaRet,$Q2264&gt;=Hoje-60),MAX($V$4:$V2263)+1,"")</f>
        <v>0</v>
      </c>
    </row>
    <row r="2265" spans="1:22">
      <c r="A2265" s="16"/>
      <c r="B2265" s="23"/>
      <c r="C2265" s="15"/>
      <c r="D2265" s="15"/>
      <c r="E2265" s="15"/>
      <c r="F2265" s="24"/>
      <c r="G2265" s="17"/>
      <c r="H2265" s="17"/>
      <c r="I2265" s="15"/>
      <c r="J2265" s="25">
        <f>IF($D2265="","",IFERROR(INDEX(PacNome,MATCH($D2265,PacCod,0)),"Paciente não cadastrado"))</f>
        <v>0</v>
      </c>
      <c r="K2265" s="26">
        <f>IF($D2265="","",IFERROR(INDEX(PacConv,MATCH($D2265,PacCod,0))&amp;"",""))</f>
        <v>0</v>
      </c>
      <c r="L2265" s="26">
        <f>IF($A2265="","",CHOOSE(WEEKDAY($A2265,2),"Seg","Ter","Qua","Qui","Sex","Sáb","Dom"))</f>
        <v>0</v>
      </c>
      <c r="M2265" s="27">
        <f>IF($E2265="","",IF($G2265&lt;&gt;"",$G2265,IFERROR(INDEX(ProcValor,MATCH($E2265,ProcNome,0)),0)))</f>
        <v>0</v>
      </c>
      <c r="N2265" s="27">
        <f>IF($M2265="","",IF($F2265="Compareceu",$M2265,0))</f>
        <v>0</v>
      </c>
      <c r="O2265" s="27">
        <f>IF($M2265="","",IF($F2265="Faltou",$M2265,0))</f>
        <v>0</v>
      </c>
      <c r="P2265" s="27">
        <f>IF($M2265="","",IF($F2265="Compareceu",MAX(0,$M2265-N($H2265)),0))</f>
        <v>0</v>
      </c>
      <c r="Q2265" s="19">
        <f>IF(AND($F2265="Compareceu",$E2265&lt;&gt;"",$A2265&lt;&gt;""),IF(IFERROR(INDEX(ProcRet,MATCH($E2265,ProcNome,0)),0)&gt;0,$A2265+INDEX(ProcRet,MATCH($E2265,ProcNome,0)),""),"")</f>
        <v>0</v>
      </c>
      <c r="R2265" s="26">
        <f>IF($Q2265="","",IF(COUNTIFS(AgPac,$D2265,AgData,"&gt;"&amp;$A2265,AgStatus,"&lt;&gt;Cancelado",AgStatus,"&lt;&gt;Remarcado")&gt;0,"Sim","Não"))</f>
        <v>0</v>
      </c>
      <c r="S2265" s="28">
        <f>IF($A2265="","",IF(AND($F2265="Agendado",$A2265-Hoje&gt;=0,$A2265-Hoje&lt;=DiasConf),"CONFIRMAR",IF(AND($A2265&lt;Hoje,OR($F2265="Agendado",$F2265="Confirmado")),"Atualizar status",IF(AND($F2265="Compareceu",$P2265&gt;0.005),"Cobrar",IF($F2265="Faltou","Falta: reagendar","")))))</f>
        <v>0</v>
      </c>
      <c r="T2265" s="29">
        <f>IF($A2265="","",DATE(YEAR($A2265),MONTH($A2265),1))</f>
        <v>0</v>
      </c>
      <c r="U2265" s="30">
        <f>IF($S2265="CONFIRMAR",MAX($U$4:$U2264)+1,"")</f>
        <v>0</v>
      </c>
      <c r="V2265" s="30">
        <f>IF(AND($R2265="Não",$Q2265&lt;&gt;"",$Q2265&lt;=Hoje+JanelaRet,$Q2265&gt;=Hoje-60),MAX($V$4:$V2264)+1,"")</f>
        <v>0</v>
      </c>
    </row>
    <row r="2266" spans="1:22">
      <c r="A2266" s="16"/>
      <c r="B2266" s="23"/>
      <c r="C2266" s="15"/>
      <c r="D2266" s="15"/>
      <c r="E2266" s="15"/>
      <c r="F2266" s="24"/>
      <c r="G2266" s="17"/>
      <c r="H2266" s="17"/>
      <c r="I2266" s="15"/>
      <c r="J2266" s="25">
        <f>IF($D2266="","",IFERROR(INDEX(PacNome,MATCH($D2266,PacCod,0)),"Paciente não cadastrado"))</f>
        <v>0</v>
      </c>
      <c r="K2266" s="26">
        <f>IF($D2266="","",IFERROR(INDEX(PacConv,MATCH($D2266,PacCod,0))&amp;"",""))</f>
        <v>0</v>
      </c>
      <c r="L2266" s="26">
        <f>IF($A2266="","",CHOOSE(WEEKDAY($A2266,2),"Seg","Ter","Qua","Qui","Sex","Sáb","Dom"))</f>
        <v>0</v>
      </c>
      <c r="M2266" s="27">
        <f>IF($E2266="","",IF($G2266&lt;&gt;"",$G2266,IFERROR(INDEX(ProcValor,MATCH($E2266,ProcNome,0)),0)))</f>
        <v>0</v>
      </c>
      <c r="N2266" s="27">
        <f>IF($M2266="","",IF($F2266="Compareceu",$M2266,0))</f>
        <v>0</v>
      </c>
      <c r="O2266" s="27">
        <f>IF($M2266="","",IF($F2266="Faltou",$M2266,0))</f>
        <v>0</v>
      </c>
      <c r="P2266" s="27">
        <f>IF($M2266="","",IF($F2266="Compareceu",MAX(0,$M2266-N($H2266)),0))</f>
        <v>0</v>
      </c>
      <c r="Q2266" s="19">
        <f>IF(AND($F2266="Compareceu",$E2266&lt;&gt;"",$A2266&lt;&gt;""),IF(IFERROR(INDEX(ProcRet,MATCH($E2266,ProcNome,0)),0)&gt;0,$A2266+INDEX(ProcRet,MATCH($E2266,ProcNome,0)),""),"")</f>
        <v>0</v>
      </c>
      <c r="R2266" s="26">
        <f>IF($Q2266="","",IF(COUNTIFS(AgPac,$D2266,AgData,"&gt;"&amp;$A2266,AgStatus,"&lt;&gt;Cancelado",AgStatus,"&lt;&gt;Remarcado")&gt;0,"Sim","Não"))</f>
        <v>0</v>
      </c>
      <c r="S2266" s="28">
        <f>IF($A2266="","",IF(AND($F2266="Agendado",$A2266-Hoje&gt;=0,$A2266-Hoje&lt;=DiasConf),"CONFIRMAR",IF(AND($A2266&lt;Hoje,OR($F2266="Agendado",$F2266="Confirmado")),"Atualizar status",IF(AND($F2266="Compareceu",$P2266&gt;0.005),"Cobrar",IF($F2266="Faltou","Falta: reagendar","")))))</f>
        <v>0</v>
      </c>
      <c r="T2266" s="29">
        <f>IF($A2266="","",DATE(YEAR($A2266),MONTH($A2266),1))</f>
        <v>0</v>
      </c>
      <c r="U2266" s="30">
        <f>IF($S2266="CONFIRMAR",MAX($U$4:$U2265)+1,"")</f>
        <v>0</v>
      </c>
      <c r="V2266" s="30">
        <f>IF(AND($R2266="Não",$Q2266&lt;&gt;"",$Q2266&lt;=Hoje+JanelaRet,$Q2266&gt;=Hoje-60),MAX($V$4:$V2265)+1,"")</f>
        <v>0</v>
      </c>
    </row>
    <row r="2267" spans="1:22">
      <c r="A2267" s="16"/>
      <c r="B2267" s="23"/>
      <c r="C2267" s="15"/>
      <c r="D2267" s="15"/>
      <c r="E2267" s="15"/>
      <c r="F2267" s="24"/>
      <c r="G2267" s="17"/>
      <c r="H2267" s="17"/>
      <c r="I2267" s="15"/>
      <c r="J2267" s="25">
        <f>IF($D2267="","",IFERROR(INDEX(PacNome,MATCH($D2267,PacCod,0)),"Paciente não cadastrado"))</f>
        <v>0</v>
      </c>
      <c r="K2267" s="26">
        <f>IF($D2267="","",IFERROR(INDEX(PacConv,MATCH($D2267,PacCod,0))&amp;"",""))</f>
        <v>0</v>
      </c>
      <c r="L2267" s="26">
        <f>IF($A2267="","",CHOOSE(WEEKDAY($A2267,2),"Seg","Ter","Qua","Qui","Sex","Sáb","Dom"))</f>
        <v>0</v>
      </c>
      <c r="M2267" s="27">
        <f>IF($E2267="","",IF($G2267&lt;&gt;"",$G2267,IFERROR(INDEX(ProcValor,MATCH($E2267,ProcNome,0)),0)))</f>
        <v>0</v>
      </c>
      <c r="N2267" s="27">
        <f>IF($M2267="","",IF($F2267="Compareceu",$M2267,0))</f>
        <v>0</v>
      </c>
      <c r="O2267" s="27">
        <f>IF($M2267="","",IF($F2267="Faltou",$M2267,0))</f>
        <v>0</v>
      </c>
      <c r="P2267" s="27">
        <f>IF($M2267="","",IF($F2267="Compareceu",MAX(0,$M2267-N($H2267)),0))</f>
        <v>0</v>
      </c>
      <c r="Q2267" s="19">
        <f>IF(AND($F2267="Compareceu",$E2267&lt;&gt;"",$A2267&lt;&gt;""),IF(IFERROR(INDEX(ProcRet,MATCH($E2267,ProcNome,0)),0)&gt;0,$A2267+INDEX(ProcRet,MATCH($E2267,ProcNome,0)),""),"")</f>
        <v>0</v>
      </c>
      <c r="R2267" s="26">
        <f>IF($Q2267="","",IF(COUNTIFS(AgPac,$D2267,AgData,"&gt;"&amp;$A2267,AgStatus,"&lt;&gt;Cancelado",AgStatus,"&lt;&gt;Remarcado")&gt;0,"Sim","Não"))</f>
        <v>0</v>
      </c>
      <c r="S2267" s="28">
        <f>IF($A2267="","",IF(AND($F2267="Agendado",$A2267-Hoje&gt;=0,$A2267-Hoje&lt;=DiasConf),"CONFIRMAR",IF(AND($A2267&lt;Hoje,OR($F2267="Agendado",$F2267="Confirmado")),"Atualizar status",IF(AND($F2267="Compareceu",$P2267&gt;0.005),"Cobrar",IF($F2267="Faltou","Falta: reagendar","")))))</f>
        <v>0</v>
      </c>
      <c r="T2267" s="29">
        <f>IF($A2267="","",DATE(YEAR($A2267),MONTH($A2267),1))</f>
        <v>0</v>
      </c>
      <c r="U2267" s="30">
        <f>IF($S2267="CONFIRMAR",MAX($U$4:$U2266)+1,"")</f>
        <v>0</v>
      </c>
      <c r="V2267" s="30">
        <f>IF(AND($R2267="Não",$Q2267&lt;&gt;"",$Q2267&lt;=Hoje+JanelaRet,$Q2267&gt;=Hoje-60),MAX($V$4:$V2266)+1,"")</f>
        <v>0</v>
      </c>
    </row>
    <row r="2268" spans="1:22">
      <c r="A2268" s="16"/>
      <c r="B2268" s="23"/>
      <c r="C2268" s="15"/>
      <c r="D2268" s="15"/>
      <c r="E2268" s="15"/>
      <c r="F2268" s="24"/>
      <c r="G2268" s="17"/>
      <c r="H2268" s="17"/>
      <c r="I2268" s="15"/>
      <c r="J2268" s="25">
        <f>IF($D2268="","",IFERROR(INDEX(PacNome,MATCH($D2268,PacCod,0)),"Paciente não cadastrado"))</f>
        <v>0</v>
      </c>
      <c r="K2268" s="26">
        <f>IF($D2268="","",IFERROR(INDEX(PacConv,MATCH($D2268,PacCod,0))&amp;"",""))</f>
        <v>0</v>
      </c>
      <c r="L2268" s="26">
        <f>IF($A2268="","",CHOOSE(WEEKDAY($A2268,2),"Seg","Ter","Qua","Qui","Sex","Sáb","Dom"))</f>
        <v>0</v>
      </c>
      <c r="M2268" s="27">
        <f>IF($E2268="","",IF($G2268&lt;&gt;"",$G2268,IFERROR(INDEX(ProcValor,MATCH($E2268,ProcNome,0)),0)))</f>
        <v>0</v>
      </c>
      <c r="N2268" s="27">
        <f>IF($M2268="","",IF($F2268="Compareceu",$M2268,0))</f>
        <v>0</v>
      </c>
      <c r="O2268" s="27">
        <f>IF($M2268="","",IF($F2268="Faltou",$M2268,0))</f>
        <v>0</v>
      </c>
      <c r="P2268" s="27">
        <f>IF($M2268="","",IF($F2268="Compareceu",MAX(0,$M2268-N($H2268)),0))</f>
        <v>0</v>
      </c>
      <c r="Q2268" s="19">
        <f>IF(AND($F2268="Compareceu",$E2268&lt;&gt;"",$A2268&lt;&gt;""),IF(IFERROR(INDEX(ProcRet,MATCH($E2268,ProcNome,0)),0)&gt;0,$A2268+INDEX(ProcRet,MATCH($E2268,ProcNome,0)),""),"")</f>
        <v>0</v>
      </c>
      <c r="R2268" s="26">
        <f>IF($Q2268="","",IF(COUNTIFS(AgPac,$D2268,AgData,"&gt;"&amp;$A2268,AgStatus,"&lt;&gt;Cancelado",AgStatus,"&lt;&gt;Remarcado")&gt;0,"Sim","Não"))</f>
        <v>0</v>
      </c>
      <c r="S2268" s="28">
        <f>IF($A2268="","",IF(AND($F2268="Agendado",$A2268-Hoje&gt;=0,$A2268-Hoje&lt;=DiasConf),"CONFIRMAR",IF(AND($A2268&lt;Hoje,OR($F2268="Agendado",$F2268="Confirmado")),"Atualizar status",IF(AND($F2268="Compareceu",$P2268&gt;0.005),"Cobrar",IF($F2268="Faltou","Falta: reagendar","")))))</f>
        <v>0</v>
      </c>
      <c r="T2268" s="29">
        <f>IF($A2268="","",DATE(YEAR($A2268),MONTH($A2268),1))</f>
        <v>0</v>
      </c>
      <c r="U2268" s="30">
        <f>IF($S2268="CONFIRMAR",MAX($U$4:$U2267)+1,"")</f>
        <v>0</v>
      </c>
      <c r="V2268" s="30">
        <f>IF(AND($R2268="Não",$Q2268&lt;&gt;"",$Q2268&lt;=Hoje+JanelaRet,$Q2268&gt;=Hoje-60),MAX($V$4:$V2267)+1,"")</f>
        <v>0</v>
      </c>
    </row>
    <row r="2269" spans="1:22">
      <c r="A2269" s="16"/>
      <c r="B2269" s="23"/>
      <c r="C2269" s="15"/>
      <c r="D2269" s="15"/>
      <c r="E2269" s="15"/>
      <c r="F2269" s="24"/>
      <c r="G2269" s="17"/>
      <c r="H2269" s="17"/>
      <c r="I2269" s="15"/>
      <c r="J2269" s="25">
        <f>IF($D2269="","",IFERROR(INDEX(PacNome,MATCH($D2269,PacCod,0)),"Paciente não cadastrado"))</f>
        <v>0</v>
      </c>
      <c r="K2269" s="26">
        <f>IF($D2269="","",IFERROR(INDEX(PacConv,MATCH($D2269,PacCod,0))&amp;"",""))</f>
        <v>0</v>
      </c>
      <c r="L2269" s="26">
        <f>IF($A2269="","",CHOOSE(WEEKDAY($A2269,2),"Seg","Ter","Qua","Qui","Sex","Sáb","Dom"))</f>
        <v>0</v>
      </c>
      <c r="M2269" s="27">
        <f>IF($E2269="","",IF($G2269&lt;&gt;"",$G2269,IFERROR(INDEX(ProcValor,MATCH($E2269,ProcNome,0)),0)))</f>
        <v>0</v>
      </c>
      <c r="N2269" s="27">
        <f>IF($M2269="","",IF($F2269="Compareceu",$M2269,0))</f>
        <v>0</v>
      </c>
      <c r="O2269" s="27">
        <f>IF($M2269="","",IF($F2269="Faltou",$M2269,0))</f>
        <v>0</v>
      </c>
      <c r="P2269" s="27">
        <f>IF($M2269="","",IF($F2269="Compareceu",MAX(0,$M2269-N($H2269)),0))</f>
        <v>0</v>
      </c>
      <c r="Q2269" s="19">
        <f>IF(AND($F2269="Compareceu",$E2269&lt;&gt;"",$A2269&lt;&gt;""),IF(IFERROR(INDEX(ProcRet,MATCH($E2269,ProcNome,0)),0)&gt;0,$A2269+INDEX(ProcRet,MATCH($E2269,ProcNome,0)),""),"")</f>
        <v>0</v>
      </c>
      <c r="R2269" s="26">
        <f>IF($Q2269="","",IF(COUNTIFS(AgPac,$D2269,AgData,"&gt;"&amp;$A2269,AgStatus,"&lt;&gt;Cancelado",AgStatus,"&lt;&gt;Remarcado")&gt;0,"Sim","Não"))</f>
        <v>0</v>
      </c>
      <c r="S2269" s="28">
        <f>IF($A2269="","",IF(AND($F2269="Agendado",$A2269-Hoje&gt;=0,$A2269-Hoje&lt;=DiasConf),"CONFIRMAR",IF(AND($A2269&lt;Hoje,OR($F2269="Agendado",$F2269="Confirmado")),"Atualizar status",IF(AND($F2269="Compareceu",$P2269&gt;0.005),"Cobrar",IF($F2269="Faltou","Falta: reagendar","")))))</f>
        <v>0</v>
      </c>
      <c r="T2269" s="29">
        <f>IF($A2269="","",DATE(YEAR($A2269),MONTH($A2269),1))</f>
        <v>0</v>
      </c>
      <c r="U2269" s="30">
        <f>IF($S2269="CONFIRMAR",MAX($U$4:$U2268)+1,"")</f>
        <v>0</v>
      </c>
      <c r="V2269" s="30">
        <f>IF(AND($R2269="Não",$Q2269&lt;&gt;"",$Q2269&lt;=Hoje+JanelaRet,$Q2269&gt;=Hoje-60),MAX($V$4:$V2268)+1,"")</f>
        <v>0</v>
      </c>
    </row>
    <row r="2270" spans="1:22">
      <c r="A2270" s="16"/>
      <c r="B2270" s="23"/>
      <c r="C2270" s="15"/>
      <c r="D2270" s="15"/>
      <c r="E2270" s="15"/>
      <c r="F2270" s="24"/>
      <c r="G2270" s="17"/>
      <c r="H2270" s="17"/>
      <c r="I2270" s="15"/>
      <c r="J2270" s="25">
        <f>IF($D2270="","",IFERROR(INDEX(PacNome,MATCH($D2270,PacCod,0)),"Paciente não cadastrado"))</f>
        <v>0</v>
      </c>
      <c r="K2270" s="26">
        <f>IF($D2270="","",IFERROR(INDEX(PacConv,MATCH($D2270,PacCod,0))&amp;"",""))</f>
        <v>0</v>
      </c>
      <c r="L2270" s="26">
        <f>IF($A2270="","",CHOOSE(WEEKDAY($A2270,2),"Seg","Ter","Qua","Qui","Sex","Sáb","Dom"))</f>
        <v>0</v>
      </c>
      <c r="M2270" s="27">
        <f>IF($E2270="","",IF($G2270&lt;&gt;"",$G2270,IFERROR(INDEX(ProcValor,MATCH($E2270,ProcNome,0)),0)))</f>
        <v>0</v>
      </c>
      <c r="N2270" s="27">
        <f>IF($M2270="","",IF($F2270="Compareceu",$M2270,0))</f>
        <v>0</v>
      </c>
      <c r="O2270" s="27">
        <f>IF($M2270="","",IF($F2270="Faltou",$M2270,0))</f>
        <v>0</v>
      </c>
      <c r="P2270" s="27">
        <f>IF($M2270="","",IF($F2270="Compareceu",MAX(0,$M2270-N($H2270)),0))</f>
        <v>0</v>
      </c>
      <c r="Q2270" s="19">
        <f>IF(AND($F2270="Compareceu",$E2270&lt;&gt;"",$A2270&lt;&gt;""),IF(IFERROR(INDEX(ProcRet,MATCH($E2270,ProcNome,0)),0)&gt;0,$A2270+INDEX(ProcRet,MATCH($E2270,ProcNome,0)),""),"")</f>
        <v>0</v>
      </c>
      <c r="R2270" s="26">
        <f>IF($Q2270="","",IF(COUNTIFS(AgPac,$D2270,AgData,"&gt;"&amp;$A2270,AgStatus,"&lt;&gt;Cancelado",AgStatus,"&lt;&gt;Remarcado")&gt;0,"Sim","Não"))</f>
        <v>0</v>
      </c>
      <c r="S2270" s="28">
        <f>IF($A2270="","",IF(AND($F2270="Agendado",$A2270-Hoje&gt;=0,$A2270-Hoje&lt;=DiasConf),"CONFIRMAR",IF(AND($A2270&lt;Hoje,OR($F2270="Agendado",$F2270="Confirmado")),"Atualizar status",IF(AND($F2270="Compareceu",$P2270&gt;0.005),"Cobrar",IF($F2270="Faltou","Falta: reagendar","")))))</f>
        <v>0</v>
      </c>
      <c r="T2270" s="29">
        <f>IF($A2270="","",DATE(YEAR($A2270),MONTH($A2270),1))</f>
        <v>0</v>
      </c>
      <c r="U2270" s="30">
        <f>IF($S2270="CONFIRMAR",MAX($U$4:$U2269)+1,"")</f>
        <v>0</v>
      </c>
      <c r="V2270" s="30">
        <f>IF(AND($R2270="Não",$Q2270&lt;&gt;"",$Q2270&lt;=Hoje+JanelaRet,$Q2270&gt;=Hoje-60),MAX($V$4:$V2269)+1,"")</f>
        <v>0</v>
      </c>
    </row>
    <row r="2271" spans="1:22">
      <c r="A2271" s="16"/>
      <c r="B2271" s="23"/>
      <c r="C2271" s="15"/>
      <c r="D2271" s="15"/>
      <c r="E2271" s="15"/>
      <c r="F2271" s="24"/>
      <c r="G2271" s="17"/>
      <c r="H2271" s="17"/>
      <c r="I2271" s="15"/>
      <c r="J2271" s="25">
        <f>IF($D2271="","",IFERROR(INDEX(PacNome,MATCH($D2271,PacCod,0)),"Paciente não cadastrado"))</f>
        <v>0</v>
      </c>
      <c r="K2271" s="26">
        <f>IF($D2271="","",IFERROR(INDEX(PacConv,MATCH($D2271,PacCod,0))&amp;"",""))</f>
        <v>0</v>
      </c>
      <c r="L2271" s="26">
        <f>IF($A2271="","",CHOOSE(WEEKDAY($A2271,2),"Seg","Ter","Qua","Qui","Sex","Sáb","Dom"))</f>
        <v>0</v>
      </c>
      <c r="M2271" s="27">
        <f>IF($E2271="","",IF($G2271&lt;&gt;"",$G2271,IFERROR(INDEX(ProcValor,MATCH($E2271,ProcNome,0)),0)))</f>
        <v>0</v>
      </c>
      <c r="N2271" s="27">
        <f>IF($M2271="","",IF($F2271="Compareceu",$M2271,0))</f>
        <v>0</v>
      </c>
      <c r="O2271" s="27">
        <f>IF($M2271="","",IF($F2271="Faltou",$M2271,0))</f>
        <v>0</v>
      </c>
      <c r="P2271" s="27">
        <f>IF($M2271="","",IF($F2271="Compareceu",MAX(0,$M2271-N($H2271)),0))</f>
        <v>0</v>
      </c>
      <c r="Q2271" s="19">
        <f>IF(AND($F2271="Compareceu",$E2271&lt;&gt;"",$A2271&lt;&gt;""),IF(IFERROR(INDEX(ProcRet,MATCH($E2271,ProcNome,0)),0)&gt;0,$A2271+INDEX(ProcRet,MATCH($E2271,ProcNome,0)),""),"")</f>
        <v>0</v>
      </c>
      <c r="R2271" s="26">
        <f>IF($Q2271="","",IF(COUNTIFS(AgPac,$D2271,AgData,"&gt;"&amp;$A2271,AgStatus,"&lt;&gt;Cancelado",AgStatus,"&lt;&gt;Remarcado")&gt;0,"Sim","Não"))</f>
        <v>0</v>
      </c>
      <c r="S2271" s="28">
        <f>IF($A2271="","",IF(AND($F2271="Agendado",$A2271-Hoje&gt;=0,$A2271-Hoje&lt;=DiasConf),"CONFIRMAR",IF(AND($A2271&lt;Hoje,OR($F2271="Agendado",$F2271="Confirmado")),"Atualizar status",IF(AND($F2271="Compareceu",$P2271&gt;0.005),"Cobrar",IF($F2271="Faltou","Falta: reagendar","")))))</f>
        <v>0</v>
      </c>
      <c r="T2271" s="29">
        <f>IF($A2271="","",DATE(YEAR($A2271),MONTH($A2271),1))</f>
        <v>0</v>
      </c>
      <c r="U2271" s="30">
        <f>IF($S2271="CONFIRMAR",MAX($U$4:$U2270)+1,"")</f>
        <v>0</v>
      </c>
      <c r="V2271" s="30">
        <f>IF(AND($R2271="Não",$Q2271&lt;&gt;"",$Q2271&lt;=Hoje+JanelaRet,$Q2271&gt;=Hoje-60),MAX($V$4:$V2270)+1,"")</f>
        <v>0</v>
      </c>
    </row>
    <row r="2272" spans="1:22">
      <c r="A2272" s="16"/>
      <c r="B2272" s="23"/>
      <c r="C2272" s="15"/>
      <c r="D2272" s="15"/>
      <c r="E2272" s="15"/>
      <c r="F2272" s="24"/>
      <c r="G2272" s="17"/>
      <c r="H2272" s="17"/>
      <c r="I2272" s="15"/>
      <c r="J2272" s="25">
        <f>IF($D2272="","",IFERROR(INDEX(PacNome,MATCH($D2272,PacCod,0)),"Paciente não cadastrado"))</f>
        <v>0</v>
      </c>
      <c r="K2272" s="26">
        <f>IF($D2272="","",IFERROR(INDEX(PacConv,MATCH($D2272,PacCod,0))&amp;"",""))</f>
        <v>0</v>
      </c>
      <c r="L2272" s="26">
        <f>IF($A2272="","",CHOOSE(WEEKDAY($A2272,2),"Seg","Ter","Qua","Qui","Sex","Sáb","Dom"))</f>
        <v>0</v>
      </c>
      <c r="M2272" s="27">
        <f>IF($E2272="","",IF($G2272&lt;&gt;"",$G2272,IFERROR(INDEX(ProcValor,MATCH($E2272,ProcNome,0)),0)))</f>
        <v>0</v>
      </c>
      <c r="N2272" s="27">
        <f>IF($M2272="","",IF($F2272="Compareceu",$M2272,0))</f>
        <v>0</v>
      </c>
      <c r="O2272" s="27">
        <f>IF($M2272="","",IF($F2272="Faltou",$M2272,0))</f>
        <v>0</v>
      </c>
      <c r="P2272" s="27">
        <f>IF($M2272="","",IF($F2272="Compareceu",MAX(0,$M2272-N($H2272)),0))</f>
        <v>0</v>
      </c>
      <c r="Q2272" s="19">
        <f>IF(AND($F2272="Compareceu",$E2272&lt;&gt;"",$A2272&lt;&gt;""),IF(IFERROR(INDEX(ProcRet,MATCH($E2272,ProcNome,0)),0)&gt;0,$A2272+INDEX(ProcRet,MATCH($E2272,ProcNome,0)),""),"")</f>
        <v>0</v>
      </c>
      <c r="R2272" s="26">
        <f>IF($Q2272="","",IF(COUNTIFS(AgPac,$D2272,AgData,"&gt;"&amp;$A2272,AgStatus,"&lt;&gt;Cancelado",AgStatus,"&lt;&gt;Remarcado")&gt;0,"Sim","Não"))</f>
        <v>0</v>
      </c>
      <c r="S2272" s="28">
        <f>IF($A2272="","",IF(AND($F2272="Agendado",$A2272-Hoje&gt;=0,$A2272-Hoje&lt;=DiasConf),"CONFIRMAR",IF(AND($A2272&lt;Hoje,OR($F2272="Agendado",$F2272="Confirmado")),"Atualizar status",IF(AND($F2272="Compareceu",$P2272&gt;0.005),"Cobrar",IF($F2272="Faltou","Falta: reagendar","")))))</f>
        <v>0</v>
      </c>
      <c r="T2272" s="29">
        <f>IF($A2272="","",DATE(YEAR($A2272),MONTH($A2272),1))</f>
        <v>0</v>
      </c>
      <c r="U2272" s="30">
        <f>IF($S2272="CONFIRMAR",MAX($U$4:$U2271)+1,"")</f>
        <v>0</v>
      </c>
      <c r="V2272" s="30">
        <f>IF(AND($R2272="Não",$Q2272&lt;&gt;"",$Q2272&lt;=Hoje+JanelaRet,$Q2272&gt;=Hoje-60),MAX($V$4:$V2271)+1,"")</f>
        <v>0</v>
      </c>
    </row>
    <row r="2273" spans="1:22">
      <c r="A2273" s="16"/>
      <c r="B2273" s="23"/>
      <c r="C2273" s="15"/>
      <c r="D2273" s="15"/>
      <c r="E2273" s="15"/>
      <c r="F2273" s="24"/>
      <c r="G2273" s="17"/>
      <c r="H2273" s="17"/>
      <c r="I2273" s="15"/>
      <c r="J2273" s="25">
        <f>IF($D2273="","",IFERROR(INDEX(PacNome,MATCH($D2273,PacCod,0)),"Paciente não cadastrado"))</f>
        <v>0</v>
      </c>
      <c r="K2273" s="26">
        <f>IF($D2273="","",IFERROR(INDEX(PacConv,MATCH($D2273,PacCod,0))&amp;"",""))</f>
        <v>0</v>
      </c>
      <c r="L2273" s="26">
        <f>IF($A2273="","",CHOOSE(WEEKDAY($A2273,2),"Seg","Ter","Qua","Qui","Sex","Sáb","Dom"))</f>
        <v>0</v>
      </c>
      <c r="M2273" s="27">
        <f>IF($E2273="","",IF($G2273&lt;&gt;"",$G2273,IFERROR(INDEX(ProcValor,MATCH($E2273,ProcNome,0)),0)))</f>
        <v>0</v>
      </c>
      <c r="N2273" s="27">
        <f>IF($M2273="","",IF($F2273="Compareceu",$M2273,0))</f>
        <v>0</v>
      </c>
      <c r="O2273" s="27">
        <f>IF($M2273="","",IF($F2273="Faltou",$M2273,0))</f>
        <v>0</v>
      </c>
      <c r="P2273" s="27">
        <f>IF($M2273="","",IF($F2273="Compareceu",MAX(0,$M2273-N($H2273)),0))</f>
        <v>0</v>
      </c>
      <c r="Q2273" s="19">
        <f>IF(AND($F2273="Compareceu",$E2273&lt;&gt;"",$A2273&lt;&gt;""),IF(IFERROR(INDEX(ProcRet,MATCH($E2273,ProcNome,0)),0)&gt;0,$A2273+INDEX(ProcRet,MATCH($E2273,ProcNome,0)),""),"")</f>
        <v>0</v>
      </c>
      <c r="R2273" s="26">
        <f>IF($Q2273="","",IF(COUNTIFS(AgPac,$D2273,AgData,"&gt;"&amp;$A2273,AgStatus,"&lt;&gt;Cancelado",AgStatus,"&lt;&gt;Remarcado")&gt;0,"Sim","Não"))</f>
        <v>0</v>
      </c>
      <c r="S2273" s="28">
        <f>IF($A2273="","",IF(AND($F2273="Agendado",$A2273-Hoje&gt;=0,$A2273-Hoje&lt;=DiasConf),"CONFIRMAR",IF(AND($A2273&lt;Hoje,OR($F2273="Agendado",$F2273="Confirmado")),"Atualizar status",IF(AND($F2273="Compareceu",$P2273&gt;0.005),"Cobrar",IF($F2273="Faltou","Falta: reagendar","")))))</f>
        <v>0</v>
      </c>
      <c r="T2273" s="29">
        <f>IF($A2273="","",DATE(YEAR($A2273),MONTH($A2273),1))</f>
        <v>0</v>
      </c>
      <c r="U2273" s="30">
        <f>IF($S2273="CONFIRMAR",MAX($U$4:$U2272)+1,"")</f>
        <v>0</v>
      </c>
      <c r="V2273" s="30">
        <f>IF(AND($R2273="Não",$Q2273&lt;&gt;"",$Q2273&lt;=Hoje+JanelaRet,$Q2273&gt;=Hoje-60),MAX($V$4:$V2272)+1,"")</f>
        <v>0</v>
      </c>
    </row>
    <row r="2274" spans="1:22">
      <c r="A2274" s="16"/>
      <c r="B2274" s="23"/>
      <c r="C2274" s="15"/>
      <c r="D2274" s="15"/>
      <c r="E2274" s="15"/>
      <c r="F2274" s="24"/>
      <c r="G2274" s="17"/>
      <c r="H2274" s="17"/>
      <c r="I2274" s="15"/>
      <c r="J2274" s="25">
        <f>IF($D2274="","",IFERROR(INDEX(PacNome,MATCH($D2274,PacCod,0)),"Paciente não cadastrado"))</f>
        <v>0</v>
      </c>
      <c r="K2274" s="26">
        <f>IF($D2274="","",IFERROR(INDEX(PacConv,MATCH($D2274,PacCod,0))&amp;"",""))</f>
        <v>0</v>
      </c>
      <c r="L2274" s="26">
        <f>IF($A2274="","",CHOOSE(WEEKDAY($A2274,2),"Seg","Ter","Qua","Qui","Sex","Sáb","Dom"))</f>
        <v>0</v>
      </c>
      <c r="M2274" s="27">
        <f>IF($E2274="","",IF($G2274&lt;&gt;"",$G2274,IFERROR(INDEX(ProcValor,MATCH($E2274,ProcNome,0)),0)))</f>
        <v>0</v>
      </c>
      <c r="N2274" s="27">
        <f>IF($M2274="","",IF($F2274="Compareceu",$M2274,0))</f>
        <v>0</v>
      </c>
      <c r="O2274" s="27">
        <f>IF($M2274="","",IF($F2274="Faltou",$M2274,0))</f>
        <v>0</v>
      </c>
      <c r="P2274" s="27">
        <f>IF($M2274="","",IF($F2274="Compareceu",MAX(0,$M2274-N($H2274)),0))</f>
        <v>0</v>
      </c>
      <c r="Q2274" s="19">
        <f>IF(AND($F2274="Compareceu",$E2274&lt;&gt;"",$A2274&lt;&gt;""),IF(IFERROR(INDEX(ProcRet,MATCH($E2274,ProcNome,0)),0)&gt;0,$A2274+INDEX(ProcRet,MATCH($E2274,ProcNome,0)),""),"")</f>
        <v>0</v>
      </c>
      <c r="R2274" s="26">
        <f>IF($Q2274="","",IF(COUNTIFS(AgPac,$D2274,AgData,"&gt;"&amp;$A2274,AgStatus,"&lt;&gt;Cancelado",AgStatus,"&lt;&gt;Remarcado")&gt;0,"Sim","Não"))</f>
        <v>0</v>
      </c>
      <c r="S2274" s="28">
        <f>IF($A2274="","",IF(AND($F2274="Agendado",$A2274-Hoje&gt;=0,$A2274-Hoje&lt;=DiasConf),"CONFIRMAR",IF(AND($A2274&lt;Hoje,OR($F2274="Agendado",$F2274="Confirmado")),"Atualizar status",IF(AND($F2274="Compareceu",$P2274&gt;0.005),"Cobrar",IF($F2274="Faltou","Falta: reagendar","")))))</f>
        <v>0</v>
      </c>
      <c r="T2274" s="29">
        <f>IF($A2274="","",DATE(YEAR($A2274),MONTH($A2274),1))</f>
        <v>0</v>
      </c>
      <c r="U2274" s="30">
        <f>IF($S2274="CONFIRMAR",MAX($U$4:$U2273)+1,"")</f>
        <v>0</v>
      </c>
      <c r="V2274" s="30">
        <f>IF(AND($R2274="Não",$Q2274&lt;&gt;"",$Q2274&lt;=Hoje+JanelaRet,$Q2274&gt;=Hoje-60),MAX($V$4:$V2273)+1,"")</f>
        <v>0</v>
      </c>
    </row>
    <row r="2275" spans="1:22">
      <c r="A2275" s="16"/>
      <c r="B2275" s="23"/>
      <c r="C2275" s="15"/>
      <c r="D2275" s="15"/>
      <c r="E2275" s="15"/>
      <c r="F2275" s="24"/>
      <c r="G2275" s="17"/>
      <c r="H2275" s="17"/>
      <c r="I2275" s="15"/>
      <c r="J2275" s="25">
        <f>IF($D2275="","",IFERROR(INDEX(PacNome,MATCH($D2275,PacCod,0)),"Paciente não cadastrado"))</f>
        <v>0</v>
      </c>
      <c r="K2275" s="26">
        <f>IF($D2275="","",IFERROR(INDEX(PacConv,MATCH($D2275,PacCod,0))&amp;"",""))</f>
        <v>0</v>
      </c>
      <c r="L2275" s="26">
        <f>IF($A2275="","",CHOOSE(WEEKDAY($A2275,2),"Seg","Ter","Qua","Qui","Sex","Sáb","Dom"))</f>
        <v>0</v>
      </c>
      <c r="M2275" s="27">
        <f>IF($E2275="","",IF($G2275&lt;&gt;"",$G2275,IFERROR(INDEX(ProcValor,MATCH($E2275,ProcNome,0)),0)))</f>
        <v>0</v>
      </c>
      <c r="N2275" s="27">
        <f>IF($M2275="","",IF($F2275="Compareceu",$M2275,0))</f>
        <v>0</v>
      </c>
      <c r="O2275" s="27">
        <f>IF($M2275="","",IF($F2275="Faltou",$M2275,0))</f>
        <v>0</v>
      </c>
      <c r="P2275" s="27">
        <f>IF($M2275="","",IF($F2275="Compareceu",MAX(0,$M2275-N($H2275)),0))</f>
        <v>0</v>
      </c>
      <c r="Q2275" s="19">
        <f>IF(AND($F2275="Compareceu",$E2275&lt;&gt;"",$A2275&lt;&gt;""),IF(IFERROR(INDEX(ProcRet,MATCH($E2275,ProcNome,0)),0)&gt;0,$A2275+INDEX(ProcRet,MATCH($E2275,ProcNome,0)),""),"")</f>
        <v>0</v>
      </c>
      <c r="R2275" s="26">
        <f>IF($Q2275="","",IF(COUNTIFS(AgPac,$D2275,AgData,"&gt;"&amp;$A2275,AgStatus,"&lt;&gt;Cancelado",AgStatus,"&lt;&gt;Remarcado")&gt;0,"Sim","Não"))</f>
        <v>0</v>
      </c>
      <c r="S2275" s="28">
        <f>IF($A2275="","",IF(AND($F2275="Agendado",$A2275-Hoje&gt;=0,$A2275-Hoje&lt;=DiasConf),"CONFIRMAR",IF(AND($A2275&lt;Hoje,OR($F2275="Agendado",$F2275="Confirmado")),"Atualizar status",IF(AND($F2275="Compareceu",$P2275&gt;0.005),"Cobrar",IF($F2275="Faltou","Falta: reagendar","")))))</f>
        <v>0</v>
      </c>
      <c r="T2275" s="29">
        <f>IF($A2275="","",DATE(YEAR($A2275),MONTH($A2275),1))</f>
        <v>0</v>
      </c>
      <c r="U2275" s="30">
        <f>IF($S2275="CONFIRMAR",MAX($U$4:$U2274)+1,"")</f>
        <v>0</v>
      </c>
      <c r="V2275" s="30">
        <f>IF(AND($R2275="Não",$Q2275&lt;&gt;"",$Q2275&lt;=Hoje+JanelaRet,$Q2275&gt;=Hoje-60),MAX($V$4:$V2274)+1,"")</f>
        <v>0</v>
      </c>
    </row>
    <row r="2276" spans="1:22">
      <c r="A2276" s="16"/>
      <c r="B2276" s="23"/>
      <c r="C2276" s="15"/>
      <c r="D2276" s="15"/>
      <c r="E2276" s="15"/>
      <c r="F2276" s="24"/>
      <c r="G2276" s="17"/>
      <c r="H2276" s="17"/>
      <c r="I2276" s="15"/>
      <c r="J2276" s="25">
        <f>IF($D2276="","",IFERROR(INDEX(PacNome,MATCH($D2276,PacCod,0)),"Paciente não cadastrado"))</f>
        <v>0</v>
      </c>
      <c r="K2276" s="26">
        <f>IF($D2276="","",IFERROR(INDEX(PacConv,MATCH($D2276,PacCod,0))&amp;"",""))</f>
        <v>0</v>
      </c>
      <c r="L2276" s="26">
        <f>IF($A2276="","",CHOOSE(WEEKDAY($A2276,2),"Seg","Ter","Qua","Qui","Sex","Sáb","Dom"))</f>
        <v>0</v>
      </c>
      <c r="M2276" s="27">
        <f>IF($E2276="","",IF($G2276&lt;&gt;"",$G2276,IFERROR(INDEX(ProcValor,MATCH($E2276,ProcNome,0)),0)))</f>
        <v>0</v>
      </c>
      <c r="N2276" s="27">
        <f>IF($M2276="","",IF($F2276="Compareceu",$M2276,0))</f>
        <v>0</v>
      </c>
      <c r="O2276" s="27">
        <f>IF($M2276="","",IF($F2276="Faltou",$M2276,0))</f>
        <v>0</v>
      </c>
      <c r="P2276" s="27">
        <f>IF($M2276="","",IF($F2276="Compareceu",MAX(0,$M2276-N($H2276)),0))</f>
        <v>0</v>
      </c>
      <c r="Q2276" s="19">
        <f>IF(AND($F2276="Compareceu",$E2276&lt;&gt;"",$A2276&lt;&gt;""),IF(IFERROR(INDEX(ProcRet,MATCH($E2276,ProcNome,0)),0)&gt;0,$A2276+INDEX(ProcRet,MATCH($E2276,ProcNome,0)),""),"")</f>
        <v>0</v>
      </c>
      <c r="R2276" s="26">
        <f>IF($Q2276="","",IF(COUNTIFS(AgPac,$D2276,AgData,"&gt;"&amp;$A2276,AgStatus,"&lt;&gt;Cancelado",AgStatus,"&lt;&gt;Remarcado")&gt;0,"Sim","Não"))</f>
        <v>0</v>
      </c>
      <c r="S2276" s="28">
        <f>IF($A2276="","",IF(AND($F2276="Agendado",$A2276-Hoje&gt;=0,$A2276-Hoje&lt;=DiasConf),"CONFIRMAR",IF(AND($A2276&lt;Hoje,OR($F2276="Agendado",$F2276="Confirmado")),"Atualizar status",IF(AND($F2276="Compareceu",$P2276&gt;0.005),"Cobrar",IF($F2276="Faltou","Falta: reagendar","")))))</f>
        <v>0</v>
      </c>
      <c r="T2276" s="29">
        <f>IF($A2276="","",DATE(YEAR($A2276),MONTH($A2276),1))</f>
        <v>0</v>
      </c>
      <c r="U2276" s="30">
        <f>IF($S2276="CONFIRMAR",MAX($U$4:$U2275)+1,"")</f>
        <v>0</v>
      </c>
      <c r="V2276" s="30">
        <f>IF(AND($R2276="Não",$Q2276&lt;&gt;"",$Q2276&lt;=Hoje+JanelaRet,$Q2276&gt;=Hoje-60),MAX($V$4:$V2275)+1,"")</f>
        <v>0</v>
      </c>
    </row>
    <row r="2277" spans="1:22">
      <c r="A2277" s="16"/>
      <c r="B2277" s="23"/>
      <c r="C2277" s="15"/>
      <c r="D2277" s="15"/>
      <c r="E2277" s="15"/>
      <c r="F2277" s="24"/>
      <c r="G2277" s="17"/>
      <c r="H2277" s="17"/>
      <c r="I2277" s="15"/>
      <c r="J2277" s="25">
        <f>IF($D2277="","",IFERROR(INDEX(PacNome,MATCH($D2277,PacCod,0)),"Paciente não cadastrado"))</f>
        <v>0</v>
      </c>
      <c r="K2277" s="26">
        <f>IF($D2277="","",IFERROR(INDEX(PacConv,MATCH($D2277,PacCod,0))&amp;"",""))</f>
        <v>0</v>
      </c>
      <c r="L2277" s="26">
        <f>IF($A2277="","",CHOOSE(WEEKDAY($A2277,2),"Seg","Ter","Qua","Qui","Sex","Sáb","Dom"))</f>
        <v>0</v>
      </c>
      <c r="M2277" s="27">
        <f>IF($E2277="","",IF($G2277&lt;&gt;"",$G2277,IFERROR(INDEX(ProcValor,MATCH($E2277,ProcNome,0)),0)))</f>
        <v>0</v>
      </c>
      <c r="N2277" s="27">
        <f>IF($M2277="","",IF($F2277="Compareceu",$M2277,0))</f>
        <v>0</v>
      </c>
      <c r="O2277" s="27">
        <f>IF($M2277="","",IF($F2277="Faltou",$M2277,0))</f>
        <v>0</v>
      </c>
      <c r="P2277" s="27">
        <f>IF($M2277="","",IF($F2277="Compareceu",MAX(0,$M2277-N($H2277)),0))</f>
        <v>0</v>
      </c>
      <c r="Q2277" s="19">
        <f>IF(AND($F2277="Compareceu",$E2277&lt;&gt;"",$A2277&lt;&gt;""),IF(IFERROR(INDEX(ProcRet,MATCH($E2277,ProcNome,0)),0)&gt;0,$A2277+INDEX(ProcRet,MATCH($E2277,ProcNome,0)),""),"")</f>
        <v>0</v>
      </c>
      <c r="R2277" s="26">
        <f>IF($Q2277="","",IF(COUNTIFS(AgPac,$D2277,AgData,"&gt;"&amp;$A2277,AgStatus,"&lt;&gt;Cancelado",AgStatus,"&lt;&gt;Remarcado")&gt;0,"Sim","Não"))</f>
        <v>0</v>
      </c>
      <c r="S2277" s="28">
        <f>IF($A2277="","",IF(AND($F2277="Agendado",$A2277-Hoje&gt;=0,$A2277-Hoje&lt;=DiasConf),"CONFIRMAR",IF(AND($A2277&lt;Hoje,OR($F2277="Agendado",$F2277="Confirmado")),"Atualizar status",IF(AND($F2277="Compareceu",$P2277&gt;0.005),"Cobrar",IF($F2277="Faltou","Falta: reagendar","")))))</f>
        <v>0</v>
      </c>
      <c r="T2277" s="29">
        <f>IF($A2277="","",DATE(YEAR($A2277),MONTH($A2277),1))</f>
        <v>0</v>
      </c>
      <c r="U2277" s="30">
        <f>IF($S2277="CONFIRMAR",MAX($U$4:$U2276)+1,"")</f>
        <v>0</v>
      </c>
      <c r="V2277" s="30">
        <f>IF(AND($R2277="Não",$Q2277&lt;&gt;"",$Q2277&lt;=Hoje+JanelaRet,$Q2277&gt;=Hoje-60),MAX($V$4:$V2276)+1,"")</f>
        <v>0</v>
      </c>
    </row>
    <row r="2278" spans="1:22">
      <c r="A2278" s="16"/>
      <c r="B2278" s="23"/>
      <c r="C2278" s="15"/>
      <c r="D2278" s="15"/>
      <c r="E2278" s="15"/>
      <c r="F2278" s="24"/>
      <c r="G2278" s="17"/>
      <c r="H2278" s="17"/>
      <c r="I2278" s="15"/>
      <c r="J2278" s="25">
        <f>IF($D2278="","",IFERROR(INDEX(PacNome,MATCH($D2278,PacCod,0)),"Paciente não cadastrado"))</f>
        <v>0</v>
      </c>
      <c r="K2278" s="26">
        <f>IF($D2278="","",IFERROR(INDEX(PacConv,MATCH($D2278,PacCod,0))&amp;"",""))</f>
        <v>0</v>
      </c>
      <c r="L2278" s="26">
        <f>IF($A2278="","",CHOOSE(WEEKDAY($A2278,2),"Seg","Ter","Qua","Qui","Sex","Sáb","Dom"))</f>
        <v>0</v>
      </c>
      <c r="M2278" s="27">
        <f>IF($E2278="","",IF($G2278&lt;&gt;"",$G2278,IFERROR(INDEX(ProcValor,MATCH($E2278,ProcNome,0)),0)))</f>
        <v>0</v>
      </c>
      <c r="N2278" s="27">
        <f>IF($M2278="","",IF($F2278="Compareceu",$M2278,0))</f>
        <v>0</v>
      </c>
      <c r="O2278" s="27">
        <f>IF($M2278="","",IF($F2278="Faltou",$M2278,0))</f>
        <v>0</v>
      </c>
      <c r="P2278" s="27">
        <f>IF($M2278="","",IF($F2278="Compareceu",MAX(0,$M2278-N($H2278)),0))</f>
        <v>0</v>
      </c>
      <c r="Q2278" s="19">
        <f>IF(AND($F2278="Compareceu",$E2278&lt;&gt;"",$A2278&lt;&gt;""),IF(IFERROR(INDEX(ProcRet,MATCH($E2278,ProcNome,0)),0)&gt;0,$A2278+INDEX(ProcRet,MATCH($E2278,ProcNome,0)),""),"")</f>
        <v>0</v>
      </c>
      <c r="R2278" s="26">
        <f>IF($Q2278="","",IF(COUNTIFS(AgPac,$D2278,AgData,"&gt;"&amp;$A2278,AgStatus,"&lt;&gt;Cancelado",AgStatus,"&lt;&gt;Remarcado")&gt;0,"Sim","Não"))</f>
        <v>0</v>
      </c>
      <c r="S2278" s="28">
        <f>IF($A2278="","",IF(AND($F2278="Agendado",$A2278-Hoje&gt;=0,$A2278-Hoje&lt;=DiasConf),"CONFIRMAR",IF(AND($A2278&lt;Hoje,OR($F2278="Agendado",$F2278="Confirmado")),"Atualizar status",IF(AND($F2278="Compareceu",$P2278&gt;0.005),"Cobrar",IF($F2278="Faltou","Falta: reagendar","")))))</f>
        <v>0</v>
      </c>
      <c r="T2278" s="29">
        <f>IF($A2278="","",DATE(YEAR($A2278),MONTH($A2278),1))</f>
        <v>0</v>
      </c>
      <c r="U2278" s="30">
        <f>IF($S2278="CONFIRMAR",MAX($U$4:$U2277)+1,"")</f>
        <v>0</v>
      </c>
      <c r="V2278" s="30">
        <f>IF(AND($R2278="Não",$Q2278&lt;&gt;"",$Q2278&lt;=Hoje+JanelaRet,$Q2278&gt;=Hoje-60),MAX($V$4:$V2277)+1,"")</f>
        <v>0</v>
      </c>
    </row>
    <row r="2279" spans="1:22">
      <c r="A2279" s="16"/>
      <c r="B2279" s="23"/>
      <c r="C2279" s="15"/>
      <c r="D2279" s="15"/>
      <c r="E2279" s="15"/>
      <c r="F2279" s="24"/>
      <c r="G2279" s="17"/>
      <c r="H2279" s="17"/>
      <c r="I2279" s="15"/>
      <c r="J2279" s="25">
        <f>IF($D2279="","",IFERROR(INDEX(PacNome,MATCH($D2279,PacCod,0)),"Paciente não cadastrado"))</f>
        <v>0</v>
      </c>
      <c r="K2279" s="26">
        <f>IF($D2279="","",IFERROR(INDEX(PacConv,MATCH($D2279,PacCod,0))&amp;"",""))</f>
        <v>0</v>
      </c>
      <c r="L2279" s="26">
        <f>IF($A2279="","",CHOOSE(WEEKDAY($A2279,2),"Seg","Ter","Qua","Qui","Sex","Sáb","Dom"))</f>
        <v>0</v>
      </c>
      <c r="M2279" s="27">
        <f>IF($E2279="","",IF($G2279&lt;&gt;"",$G2279,IFERROR(INDEX(ProcValor,MATCH($E2279,ProcNome,0)),0)))</f>
        <v>0</v>
      </c>
      <c r="N2279" s="27">
        <f>IF($M2279="","",IF($F2279="Compareceu",$M2279,0))</f>
        <v>0</v>
      </c>
      <c r="O2279" s="27">
        <f>IF($M2279="","",IF($F2279="Faltou",$M2279,0))</f>
        <v>0</v>
      </c>
      <c r="P2279" s="27">
        <f>IF($M2279="","",IF($F2279="Compareceu",MAX(0,$M2279-N($H2279)),0))</f>
        <v>0</v>
      </c>
      <c r="Q2279" s="19">
        <f>IF(AND($F2279="Compareceu",$E2279&lt;&gt;"",$A2279&lt;&gt;""),IF(IFERROR(INDEX(ProcRet,MATCH($E2279,ProcNome,0)),0)&gt;0,$A2279+INDEX(ProcRet,MATCH($E2279,ProcNome,0)),""),"")</f>
        <v>0</v>
      </c>
      <c r="R2279" s="26">
        <f>IF($Q2279="","",IF(COUNTIFS(AgPac,$D2279,AgData,"&gt;"&amp;$A2279,AgStatus,"&lt;&gt;Cancelado",AgStatus,"&lt;&gt;Remarcado")&gt;0,"Sim","Não"))</f>
        <v>0</v>
      </c>
      <c r="S2279" s="28">
        <f>IF($A2279="","",IF(AND($F2279="Agendado",$A2279-Hoje&gt;=0,$A2279-Hoje&lt;=DiasConf),"CONFIRMAR",IF(AND($A2279&lt;Hoje,OR($F2279="Agendado",$F2279="Confirmado")),"Atualizar status",IF(AND($F2279="Compareceu",$P2279&gt;0.005),"Cobrar",IF($F2279="Faltou","Falta: reagendar","")))))</f>
        <v>0</v>
      </c>
      <c r="T2279" s="29">
        <f>IF($A2279="","",DATE(YEAR($A2279),MONTH($A2279),1))</f>
        <v>0</v>
      </c>
      <c r="U2279" s="30">
        <f>IF($S2279="CONFIRMAR",MAX($U$4:$U2278)+1,"")</f>
        <v>0</v>
      </c>
      <c r="V2279" s="30">
        <f>IF(AND($R2279="Não",$Q2279&lt;&gt;"",$Q2279&lt;=Hoje+JanelaRet,$Q2279&gt;=Hoje-60),MAX($V$4:$V2278)+1,"")</f>
        <v>0</v>
      </c>
    </row>
    <row r="2280" spans="1:22">
      <c r="A2280" s="16"/>
      <c r="B2280" s="23"/>
      <c r="C2280" s="15"/>
      <c r="D2280" s="15"/>
      <c r="E2280" s="15"/>
      <c r="F2280" s="24"/>
      <c r="G2280" s="17"/>
      <c r="H2280" s="17"/>
      <c r="I2280" s="15"/>
      <c r="J2280" s="25">
        <f>IF($D2280="","",IFERROR(INDEX(PacNome,MATCH($D2280,PacCod,0)),"Paciente não cadastrado"))</f>
        <v>0</v>
      </c>
      <c r="K2280" s="26">
        <f>IF($D2280="","",IFERROR(INDEX(PacConv,MATCH($D2280,PacCod,0))&amp;"",""))</f>
        <v>0</v>
      </c>
      <c r="L2280" s="26">
        <f>IF($A2280="","",CHOOSE(WEEKDAY($A2280,2),"Seg","Ter","Qua","Qui","Sex","Sáb","Dom"))</f>
        <v>0</v>
      </c>
      <c r="M2280" s="27">
        <f>IF($E2280="","",IF($G2280&lt;&gt;"",$G2280,IFERROR(INDEX(ProcValor,MATCH($E2280,ProcNome,0)),0)))</f>
        <v>0</v>
      </c>
      <c r="N2280" s="27">
        <f>IF($M2280="","",IF($F2280="Compareceu",$M2280,0))</f>
        <v>0</v>
      </c>
      <c r="O2280" s="27">
        <f>IF($M2280="","",IF($F2280="Faltou",$M2280,0))</f>
        <v>0</v>
      </c>
      <c r="P2280" s="27">
        <f>IF($M2280="","",IF($F2280="Compareceu",MAX(0,$M2280-N($H2280)),0))</f>
        <v>0</v>
      </c>
      <c r="Q2280" s="19">
        <f>IF(AND($F2280="Compareceu",$E2280&lt;&gt;"",$A2280&lt;&gt;""),IF(IFERROR(INDEX(ProcRet,MATCH($E2280,ProcNome,0)),0)&gt;0,$A2280+INDEX(ProcRet,MATCH($E2280,ProcNome,0)),""),"")</f>
        <v>0</v>
      </c>
      <c r="R2280" s="26">
        <f>IF($Q2280="","",IF(COUNTIFS(AgPac,$D2280,AgData,"&gt;"&amp;$A2280,AgStatus,"&lt;&gt;Cancelado",AgStatus,"&lt;&gt;Remarcado")&gt;0,"Sim","Não"))</f>
        <v>0</v>
      </c>
      <c r="S2280" s="28">
        <f>IF($A2280="","",IF(AND($F2280="Agendado",$A2280-Hoje&gt;=0,$A2280-Hoje&lt;=DiasConf),"CONFIRMAR",IF(AND($A2280&lt;Hoje,OR($F2280="Agendado",$F2280="Confirmado")),"Atualizar status",IF(AND($F2280="Compareceu",$P2280&gt;0.005),"Cobrar",IF($F2280="Faltou","Falta: reagendar","")))))</f>
        <v>0</v>
      </c>
      <c r="T2280" s="29">
        <f>IF($A2280="","",DATE(YEAR($A2280),MONTH($A2280),1))</f>
        <v>0</v>
      </c>
      <c r="U2280" s="30">
        <f>IF($S2280="CONFIRMAR",MAX($U$4:$U2279)+1,"")</f>
        <v>0</v>
      </c>
      <c r="V2280" s="30">
        <f>IF(AND($R2280="Não",$Q2280&lt;&gt;"",$Q2280&lt;=Hoje+JanelaRet,$Q2280&gt;=Hoje-60),MAX($V$4:$V2279)+1,"")</f>
        <v>0</v>
      </c>
    </row>
    <row r="2281" spans="1:22">
      <c r="A2281" s="16"/>
      <c r="B2281" s="23"/>
      <c r="C2281" s="15"/>
      <c r="D2281" s="15"/>
      <c r="E2281" s="15"/>
      <c r="F2281" s="24"/>
      <c r="G2281" s="17"/>
      <c r="H2281" s="17"/>
      <c r="I2281" s="15"/>
      <c r="J2281" s="25">
        <f>IF($D2281="","",IFERROR(INDEX(PacNome,MATCH($D2281,PacCod,0)),"Paciente não cadastrado"))</f>
        <v>0</v>
      </c>
      <c r="K2281" s="26">
        <f>IF($D2281="","",IFERROR(INDEX(PacConv,MATCH($D2281,PacCod,0))&amp;"",""))</f>
        <v>0</v>
      </c>
      <c r="L2281" s="26">
        <f>IF($A2281="","",CHOOSE(WEEKDAY($A2281,2),"Seg","Ter","Qua","Qui","Sex","Sáb","Dom"))</f>
        <v>0</v>
      </c>
      <c r="M2281" s="27">
        <f>IF($E2281="","",IF($G2281&lt;&gt;"",$G2281,IFERROR(INDEX(ProcValor,MATCH($E2281,ProcNome,0)),0)))</f>
        <v>0</v>
      </c>
      <c r="N2281" s="27">
        <f>IF($M2281="","",IF($F2281="Compareceu",$M2281,0))</f>
        <v>0</v>
      </c>
      <c r="O2281" s="27">
        <f>IF($M2281="","",IF($F2281="Faltou",$M2281,0))</f>
        <v>0</v>
      </c>
      <c r="P2281" s="27">
        <f>IF($M2281="","",IF($F2281="Compareceu",MAX(0,$M2281-N($H2281)),0))</f>
        <v>0</v>
      </c>
      <c r="Q2281" s="19">
        <f>IF(AND($F2281="Compareceu",$E2281&lt;&gt;"",$A2281&lt;&gt;""),IF(IFERROR(INDEX(ProcRet,MATCH($E2281,ProcNome,0)),0)&gt;0,$A2281+INDEX(ProcRet,MATCH($E2281,ProcNome,0)),""),"")</f>
        <v>0</v>
      </c>
      <c r="R2281" s="26">
        <f>IF($Q2281="","",IF(COUNTIFS(AgPac,$D2281,AgData,"&gt;"&amp;$A2281,AgStatus,"&lt;&gt;Cancelado",AgStatus,"&lt;&gt;Remarcado")&gt;0,"Sim","Não"))</f>
        <v>0</v>
      </c>
      <c r="S2281" s="28">
        <f>IF($A2281="","",IF(AND($F2281="Agendado",$A2281-Hoje&gt;=0,$A2281-Hoje&lt;=DiasConf),"CONFIRMAR",IF(AND($A2281&lt;Hoje,OR($F2281="Agendado",$F2281="Confirmado")),"Atualizar status",IF(AND($F2281="Compareceu",$P2281&gt;0.005),"Cobrar",IF($F2281="Faltou","Falta: reagendar","")))))</f>
        <v>0</v>
      </c>
      <c r="T2281" s="29">
        <f>IF($A2281="","",DATE(YEAR($A2281),MONTH($A2281),1))</f>
        <v>0</v>
      </c>
      <c r="U2281" s="30">
        <f>IF($S2281="CONFIRMAR",MAX($U$4:$U2280)+1,"")</f>
        <v>0</v>
      </c>
      <c r="V2281" s="30">
        <f>IF(AND($R2281="Não",$Q2281&lt;&gt;"",$Q2281&lt;=Hoje+JanelaRet,$Q2281&gt;=Hoje-60),MAX($V$4:$V2280)+1,"")</f>
        <v>0</v>
      </c>
    </row>
    <row r="2282" spans="1:22">
      <c r="A2282" s="16"/>
      <c r="B2282" s="23"/>
      <c r="C2282" s="15"/>
      <c r="D2282" s="15"/>
      <c r="E2282" s="15"/>
      <c r="F2282" s="24"/>
      <c r="G2282" s="17"/>
      <c r="H2282" s="17"/>
      <c r="I2282" s="15"/>
      <c r="J2282" s="25">
        <f>IF($D2282="","",IFERROR(INDEX(PacNome,MATCH($D2282,PacCod,0)),"Paciente não cadastrado"))</f>
        <v>0</v>
      </c>
      <c r="K2282" s="26">
        <f>IF($D2282="","",IFERROR(INDEX(PacConv,MATCH($D2282,PacCod,0))&amp;"",""))</f>
        <v>0</v>
      </c>
      <c r="L2282" s="26">
        <f>IF($A2282="","",CHOOSE(WEEKDAY($A2282,2),"Seg","Ter","Qua","Qui","Sex","Sáb","Dom"))</f>
        <v>0</v>
      </c>
      <c r="M2282" s="27">
        <f>IF($E2282="","",IF($G2282&lt;&gt;"",$G2282,IFERROR(INDEX(ProcValor,MATCH($E2282,ProcNome,0)),0)))</f>
        <v>0</v>
      </c>
      <c r="N2282" s="27">
        <f>IF($M2282="","",IF($F2282="Compareceu",$M2282,0))</f>
        <v>0</v>
      </c>
      <c r="O2282" s="27">
        <f>IF($M2282="","",IF($F2282="Faltou",$M2282,0))</f>
        <v>0</v>
      </c>
      <c r="P2282" s="27">
        <f>IF($M2282="","",IF($F2282="Compareceu",MAX(0,$M2282-N($H2282)),0))</f>
        <v>0</v>
      </c>
      <c r="Q2282" s="19">
        <f>IF(AND($F2282="Compareceu",$E2282&lt;&gt;"",$A2282&lt;&gt;""),IF(IFERROR(INDEX(ProcRet,MATCH($E2282,ProcNome,0)),0)&gt;0,$A2282+INDEX(ProcRet,MATCH($E2282,ProcNome,0)),""),"")</f>
        <v>0</v>
      </c>
      <c r="R2282" s="26">
        <f>IF($Q2282="","",IF(COUNTIFS(AgPac,$D2282,AgData,"&gt;"&amp;$A2282,AgStatus,"&lt;&gt;Cancelado",AgStatus,"&lt;&gt;Remarcado")&gt;0,"Sim","Não"))</f>
        <v>0</v>
      </c>
      <c r="S2282" s="28">
        <f>IF($A2282="","",IF(AND($F2282="Agendado",$A2282-Hoje&gt;=0,$A2282-Hoje&lt;=DiasConf),"CONFIRMAR",IF(AND($A2282&lt;Hoje,OR($F2282="Agendado",$F2282="Confirmado")),"Atualizar status",IF(AND($F2282="Compareceu",$P2282&gt;0.005),"Cobrar",IF($F2282="Faltou","Falta: reagendar","")))))</f>
        <v>0</v>
      </c>
      <c r="T2282" s="29">
        <f>IF($A2282="","",DATE(YEAR($A2282),MONTH($A2282),1))</f>
        <v>0</v>
      </c>
      <c r="U2282" s="30">
        <f>IF($S2282="CONFIRMAR",MAX($U$4:$U2281)+1,"")</f>
        <v>0</v>
      </c>
      <c r="V2282" s="30">
        <f>IF(AND($R2282="Não",$Q2282&lt;&gt;"",$Q2282&lt;=Hoje+JanelaRet,$Q2282&gt;=Hoje-60),MAX($V$4:$V2281)+1,"")</f>
        <v>0</v>
      </c>
    </row>
    <row r="2283" spans="1:22">
      <c r="A2283" s="16"/>
      <c r="B2283" s="23"/>
      <c r="C2283" s="15"/>
      <c r="D2283" s="15"/>
      <c r="E2283" s="15"/>
      <c r="F2283" s="24"/>
      <c r="G2283" s="17"/>
      <c r="H2283" s="17"/>
      <c r="I2283" s="15"/>
      <c r="J2283" s="25">
        <f>IF($D2283="","",IFERROR(INDEX(PacNome,MATCH($D2283,PacCod,0)),"Paciente não cadastrado"))</f>
        <v>0</v>
      </c>
      <c r="K2283" s="26">
        <f>IF($D2283="","",IFERROR(INDEX(PacConv,MATCH($D2283,PacCod,0))&amp;"",""))</f>
        <v>0</v>
      </c>
      <c r="L2283" s="26">
        <f>IF($A2283="","",CHOOSE(WEEKDAY($A2283,2),"Seg","Ter","Qua","Qui","Sex","Sáb","Dom"))</f>
        <v>0</v>
      </c>
      <c r="M2283" s="27">
        <f>IF($E2283="","",IF($G2283&lt;&gt;"",$G2283,IFERROR(INDEX(ProcValor,MATCH($E2283,ProcNome,0)),0)))</f>
        <v>0</v>
      </c>
      <c r="N2283" s="27">
        <f>IF($M2283="","",IF($F2283="Compareceu",$M2283,0))</f>
        <v>0</v>
      </c>
      <c r="O2283" s="27">
        <f>IF($M2283="","",IF($F2283="Faltou",$M2283,0))</f>
        <v>0</v>
      </c>
      <c r="P2283" s="27">
        <f>IF($M2283="","",IF($F2283="Compareceu",MAX(0,$M2283-N($H2283)),0))</f>
        <v>0</v>
      </c>
      <c r="Q2283" s="19">
        <f>IF(AND($F2283="Compareceu",$E2283&lt;&gt;"",$A2283&lt;&gt;""),IF(IFERROR(INDEX(ProcRet,MATCH($E2283,ProcNome,0)),0)&gt;0,$A2283+INDEX(ProcRet,MATCH($E2283,ProcNome,0)),""),"")</f>
        <v>0</v>
      </c>
      <c r="R2283" s="26">
        <f>IF($Q2283="","",IF(COUNTIFS(AgPac,$D2283,AgData,"&gt;"&amp;$A2283,AgStatus,"&lt;&gt;Cancelado",AgStatus,"&lt;&gt;Remarcado")&gt;0,"Sim","Não"))</f>
        <v>0</v>
      </c>
      <c r="S2283" s="28">
        <f>IF($A2283="","",IF(AND($F2283="Agendado",$A2283-Hoje&gt;=0,$A2283-Hoje&lt;=DiasConf),"CONFIRMAR",IF(AND($A2283&lt;Hoje,OR($F2283="Agendado",$F2283="Confirmado")),"Atualizar status",IF(AND($F2283="Compareceu",$P2283&gt;0.005),"Cobrar",IF($F2283="Faltou","Falta: reagendar","")))))</f>
        <v>0</v>
      </c>
      <c r="T2283" s="29">
        <f>IF($A2283="","",DATE(YEAR($A2283),MONTH($A2283),1))</f>
        <v>0</v>
      </c>
      <c r="U2283" s="30">
        <f>IF($S2283="CONFIRMAR",MAX($U$4:$U2282)+1,"")</f>
        <v>0</v>
      </c>
      <c r="V2283" s="30">
        <f>IF(AND($R2283="Não",$Q2283&lt;&gt;"",$Q2283&lt;=Hoje+JanelaRet,$Q2283&gt;=Hoje-60),MAX($V$4:$V2282)+1,"")</f>
        <v>0</v>
      </c>
    </row>
    <row r="2284" spans="1:22">
      <c r="A2284" s="16"/>
      <c r="B2284" s="23"/>
      <c r="C2284" s="15"/>
      <c r="D2284" s="15"/>
      <c r="E2284" s="15"/>
      <c r="F2284" s="24"/>
      <c r="G2284" s="17"/>
      <c r="H2284" s="17"/>
      <c r="I2284" s="15"/>
      <c r="J2284" s="25">
        <f>IF($D2284="","",IFERROR(INDEX(PacNome,MATCH($D2284,PacCod,0)),"Paciente não cadastrado"))</f>
        <v>0</v>
      </c>
      <c r="K2284" s="26">
        <f>IF($D2284="","",IFERROR(INDEX(PacConv,MATCH($D2284,PacCod,0))&amp;"",""))</f>
        <v>0</v>
      </c>
      <c r="L2284" s="26">
        <f>IF($A2284="","",CHOOSE(WEEKDAY($A2284,2),"Seg","Ter","Qua","Qui","Sex","Sáb","Dom"))</f>
        <v>0</v>
      </c>
      <c r="M2284" s="27">
        <f>IF($E2284="","",IF($G2284&lt;&gt;"",$G2284,IFERROR(INDEX(ProcValor,MATCH($E2284,ProcNome,0)),0)))</f>
        <v>0</v>
      </c>
      <c r="N2284" s="27">
        <f>IF($M2284="","",IF($F2284="Compareceu",$M2284,0))</f>
        <v>0</v>
      </c>
      <c r="O2284" s="27">
        <f>IF($M2284="","",IF($F2284="Faltou",$M2284,0))</f>
        <v>0</v>
      </c>
      <c r="P2284" s="27">
        <f>IF($M2284="","",IF($F2284="Compareceu",MAX(0,$M2284-N($H2284)),0))</f>
        <v>0</v>
      </c>
      <c r="Q2284" s="19">
        <f>IF(AND($F2284="Compareceu",$E2284&lt;&gt;"",$A2284&lt;&gt;""),IF(IFERROR(INDEX(ProcRet,MATCH($E2284,ProcNome,0)),0)&gt;0,$A2284+INDEX(ProcRet,MATCH($E2284,ProcNome,0)),""),"")</f>
        <v>0</v>
      </c>
      <c r="R2284" s="26">
        <f>IF($Q2284="","",IF(COUNTIFS(AgPac,$D2284,AgData,"&gt;"&amp;$A2284,AgStatus,"&lt;&gt;Cancelado",AgStatus,"&lt;&gt;Remarcado")&gt;0,"Sim","Não"))</f>
        <v>0</v>
      </c>
      <c r="S2284" s="28">
        <f>IF($A2284="","",IF(AND($F2284="Agendado",$A2284-Hoje&gt;=0,$A2284-Hoje&lt;=DiasConf),"CONFIRMAR",IF(AND($A2284&lt;Hoje,OR($F2284="Agendado",$F2284="Confirmado")),"Atualizar status",IF(AND($F2284="Compareceu",$P2284&gt;0.005),"Cobrar",IF($F2284="Faltou","Falta: reagendar","")))))</f>
        <v>0</v>
      </c>
      <c r="T2284" s="29">
        <f>IF($A2284="","",DATE(YEAR($A2284),MONTH($A2284),1))</f>
        <v>0</v>
      </c>
      <c r="U2284" s="30">
        <f>IF($S2284="CONFIRMAR",MAX($U$4:$U2283)+1,"")</f>
        <v>0</v>
      </c>
      <c r="V2284" s="30">
        <f>IF(AND($R2284="Não",$Q2284&lt;&gt;"",$Q2284&lt;=Hoje+JanelaRet,$Q2284&gt;=Hoje-60),MAX($V$4:$V2283)+1,"")</f>
        <v>0</v>
      </c>
    </row>
    <row r="2285" spans="1:22">
      <c r="A2285" s="16"/>
      <c r="B2285" s="23"/>
      <c r="C2285" s="15"/>
      <c r="D2285" s="15"/>
      <c r="E2285" s="15"/>
      <c r="F2285" s="24"/>
      <c r="G2285" s="17"/>
      <c r="H2285" s="17"/>
      <c r="I2285" s="15"/>
      <c r="J2285" s="25">
        <f>IF($D2285="","",IFERROR(INDEX(PacNome,MATCH($D2285,PacCod,0)),"Paciente não cadastrado"))</f>
        <v>0</v>
      </c>
      <c r="K2285" s="26">
        <f>IF($D2285="","",IFERROR(INDEX(PacConv,MATCH($D2285,PacCod,0))&amp;"",""))</f>
        <v>0</v>
      </c>
      <c r="L2285" s="26">
        <f>IF($A2285="","",CHOOSE(WEEKDAY($A2285,2),"Seg","Ter","Qua","Qui","Sex","Sáb","Dom"))</f>
        <v>0</v>
      </c>
      <c r="M2285" s="27">
        <f>IF($E2285="","",IF($G2285&lt;&gt;"",$G2285,IFERROR(INDEX(ProcValor,MATCH($E2285,ProcNome,0)),0)))</f>
        <v>0</v>
      </c>
      <c r="N2285" s="27">
        <f>IF($M2285="","",IF($F2285="Compareceu",$M2285,0))</f>
        <v>0</v>
      </c>
      <c r="O2285" s="27">
        <f>IF($M2285="","",IF($F2285="Faltou",$M2285,0))</f>
        <v>0</v>
      </c>
      <c r="P2285" s="27">
        <f>IF($M2285="","",IF($F2285="Compareceu",MAX(0,$M2285-N($H2285)),0))</f>
        <v>0</v>
      </c>
      <c r="Q2285" s="19">
        <f>IF(AND($F2285="Compareceu",$E2285&lt;&gt;"",$A2285&lt;&gt;""),IF(IFERROR(INDEX(ProcRet,MATCH($E2285,ProcNome,0)),0)&gt;0,$A2285+INDEX(ProcRet,MATCH($E2285,ProcNome,0)),""),"")</f>
        <v>0</v>
      </c>
      <c r="R2285" s="26">
        <f>IF($Q2285="","",IF(COUNTIFS(AgPac,$D2285,AgData,"&gt;"&amp;$A2285,AgStatus,"&lt;&gt;Cancelado",AgStatus,"&lt;&gt;Remarcado")&gt;0,"Sim","Não"))</f>
        <v>0</v>
      </c>
      <c r="S2285" s="28">
        <f>IF($A2285="","",IF(AND($F2285="Agendado",$A2285-Hoje&gt;=0,$A2285-Hoje&lt;=DiasConf),"CONFIRMAR",IF(AND($A2285&lt;Hoje,OR($F2285="Agendado",$F2285="Confirmado")),"Atualizar status",IF(AND($F2285="Compareceu",$P2285&gt;0.005),"Cobrar",IF($F2285="Faltou","Falta: reagendar","")))))</f>
        <v>0</v>
      </c>
      <c r="T2285" s="29">
        <f>IF($A2285="","",DATE(YEAR($A2285),MONTH($A2285),1))</f>
        <v>0</v>
      </c>
      <c r="U2285" s="30">
        <f>IF($S2285="CONFIRMAR",MAX($U$4:$U2284)+1,"")</f>
        <v>0</v>
      </c>
      <c r="V2285" s="30">
        <f>IF(AND($R2285="Não",$Q2285&lt;&gt;"",$Q2285&lt;=Hoje+JanelaRet,$Q2285&gt;=Hoje-60),MAX($V$4:$V2284)+1,"")</f>
        <v>0</v>
      </c>
    </row>
    <row r="2286" spans="1:22">
      <c r="A2286" s="16"/>
      <c r="B2286" s="23"/>
      <c r="C2286" s="15"/>
      <c r="D2286" s="15"/>
      <c r="E2286" s="15"/>
      <c r="F2286" s="24"/>
      <c r="G2286" s="17"/>
      <c r="H2286" s="17"/>
      <c r="I2286" s="15"/>
      <c r="J2286" s="25">
        <f>IF($D2286="","",IFERROR(INDEX(PacNome,MATCH($D2286,PacCod,0)),"Paciente não cadastrado"))</f>
        <v>0</v>
      </c>
      <c r="K2286" s="26">
        <f>IF($D2286="","",IFERROR(INDEX(PacConv,MATCH($D2286,PacCod,0))&amp;"",""))</f>
        <v>0</v>
      </c>
      <c r="L2286" s="26">
        <f>IF($A2286="","",CHOOSE(WEEKDAY($A2286,2),"Seg","Ter","Qua","Qui","Sex","Sáb","Dom"))</f>
        <v>0</v>
      </c>
      <c r="M2286" s="27">
        <f>IF($E2286="","",IF($G2286&lt;&gt;"",$G2286,IFERROR(INDEX(ProcValor,MATCH($E2286,ProcNome,0)),0)))</f>
        <v>0</v>
      </c>
      <c r="N2286" s="27">
        <f>IF($M2286="","",IF($F2286="Compareceu",$M2286,0))</f>
        <v>0</v>
      </c>
      <c r="O2286" s="27">
        <f>IF($M2286="","",IF($F2286="Faltou",$M2286,0))</f>
        <v>0</v>
      </c>
      <c r="P2286" s="27">
        <f>IF($M2286="","",IF($F2286="Compareceu",MAX(0,$M2286-N($H2286)),0))</f>
        <v>0</v>
      </c>
      <c r="Q2286" s="19">
        <f>IF(AND($F2286="Compareceu",$E2286&lt;&gt;"",$A2286&lt;&gt;""),IF(IFERROR(INDEX(ProcRet,MATCH($E2286,ProcNome,0)),0)&gt;0,$A2286+INDEX(ProcRet,MATCH($E2286,ProcNome,0)),""),"")</f>
        <v>0</v>
      </c>
      <c r="R2286" s="26">
        <f>IF($Q2286="","",IF(COUNTIFS(AgPac,$D2286,AgData,"&gt;"&amp;$A2286,AgStatus,"&lt;&gt;Cancelado",AgStatus,"&lt;&gt;Remarcado")&gt;0,"Sim","Não"))</f>
        <v>0</v>
      </c>
      <c r="S2286" s="28">
        <f>IF($A2286="","",IF(AND($F2286="Agendado",$A2286-Hoje&gt;=0,$A2286-Hoje&lt;=DiasConf),"CONFIRMAR",IF(AND($A2286&lt;Hoje,OR($F2286="Agendado",$F2286="Confirmado")),"Atualizar status",IF(AND($F2286="Compareceu",$P2286&gt;0.005),"Cobrar",IF($F2286="Faltou","Falta: reagendar","")))))</f>
        <v>0</v>
      </c>
      <c r="T2286" s="29">
        <f>IF($A2286="","",DATE(YEAR($A2286),MONTH($A2286),1))</f>
        <v>0</v>
      </c>
      <c r="U2286" s="30">
        <f>IF($S2286="CONFIRMAR",MAX($U$4:$U2285)+1,"")</f>
        <v>0</v>
      </c>
      <c r="V2286" s="30">
        <f>IF(AND($R2286="Não",$Q2286&lt;&gt;"",$Q2286&lt;=Hoje+JanelaRet,$Q2286&gt;=Hoje-60),MAX($V$4:$V2285)+1,"")</f>
        <v>0</v>
      </c>
    </row>
    <row r="2287" spans="1:22">
      <c r="A2287" s="16"/>
      <c r="B2287" s="23"/>
      <c r="C2287" s="15"/>
      <c r="D2287" s="15"/>
      <c r="E2287" s="15"/>
      <c r="F2287" s="24"/>
      <c r="G2287" s="17"/>
      <c r="H2287" s="17"/>
      <c r="I2287" s="15"/>
      <c r="J2287" s="25">
        <f>IF($D2287="","",IFERROR(INDEX(PacNome,MATCH($D2287,PacCod,0)),"Paciente não cadastrado"))</f>
        <v>0</v>
      </c>
      <c r="K2287" s="26">
        <f>IF($D2287="","",IFERROR(INDEX(PacConv,MATCH($D2287,PacCod,0))&amp;"",""))</f>
        <v>0</v>
      </c>
      <c r="L2287" s="26">
        <f>IF($A2287="","",CHOOSE(WEEKDAY($A2287,2),"Seg","Ter","Qua","Qui","Sex","Sáb","Dom"))</f>
        <v>0</v>
      </c>
      <c r="M2287" s="27">
        <f>IF($E2287="","",IF($G2287&lt;&gt;"",$G2287,IFERROR(INDEX(ProcValor,MATCH($E2287,ProcNome,0)),0)))</f>
        <v>0</v>
      </c>
      <c r="N2287" s="27">
        <f>IF($M2287="","",IF($F2287="Compareceu",$M2287,0))</f>
        <v>0</v>
      </c>
      <c r="O2287" s="27">
        <f>IF($M2287="","",IF($F2287="Faltou",$M2287,0))</f>
        <v>0</v>
      </c>
      <c r="P2287" s="27">
        <f>IF($M2287="","",IF($F2287="Compareceu",MAX(0,$M2287-N($H2287)),0))</f>
        <v>0</v>
      </c>
      <c r="Q2287" s="19">
        <f>IF(AND($F2287="Compareceu",$E2287&lt;&gt;"",$A2287&lt;&gt;""),IF(IFERROR(INDEX(ProcRet,MATCH($E2287,ProcNome,0)),0)&gt;0,$A2287+INDEX(ProcRet,MATCH($E2287,ProcNome,0)),""),"")</f>
        <v>0</v>
      </c>
      <c r="R2287" s="26">
        <f>IF($Q2287="","",IF(COUNTIFS(AgPac,$D2287,AgData,"&gt;"&amp;$A2287,AgStatus,"&lt;&gt;Cancelado",AgStatus,"&lt;&gt;Remarcado")&gt;0,"Sim","Não"))</f>
        <v>0</v>
      </c>
      <c r="S2287" s="28">
        <f>IF($A2287="","",IF(AND($F2287="Agendado",$A2287-Hoje&gt;=0,$A2287-Hoje&lt;=DiasConf),"CONFIRMAR",IF(AND($A2287&lt;Hoje,OR($F2287="Agendado",$F2287="Confirmado")),"Atualizar status",IF(AND($F2287="Compareceu",$P2287&gt;0.005),"Cobrar",IF($F2287="Faltou","Falta: reagendar","")))))</f>
        <v>0</v>
      </c>
      <c r="T2287" s="29">
        <f>IF($A2287="","",DATE(YEAR($A2287),MONTH($A2287),1))</f>
        <v>0</v>
      </c>
      <c r="U2287" s="30">
        <f>IF($S2287="CONFIRMAR",MAX($U$4:$U2286)+1,"")</f>
        <v>0</v>
      </c>
      <c r="V2287" s="30">
        <f>IF(AND($R2287="Não",$Q2287&lt;&gt;"",$Q2287&lt;=Hoje+JanelaRet,$Q2287&gt;=Hoje-60),MAX($V$4:$V2286)+1,"")</f>
        <v>0</v>
      </c>
    </row>
    <row r="2288" spans="1:22">
      <c r="A2288" s="16"/>
      <c r="B2288" s="23"/>
      <c r="C2288" s="15"/>
      <c r="D2288" s="15"/>
      <c r="E2288" s="15"/>
      <c r="F2288" s="24"/>
      <c r="G2288" s="17"/>
      <c r="H2288" s="17"/>
      <c r="I2288" s="15"/>
      <c r="J2288" s="25">
        <f>IF($D2288="","",IFERROR(INDEX(PacNome,MATCH($D2288,PacCod,0)),"Paciente não cadastrado"))</f>
        <v>0</v>
      </c>
      <c r="K2288" s="26">
        <f>IF($D2288="","",IFERROR(INDEX(PacConv,MATCH($D2288,PacCod,0))&amp;"",""))</f>
        <v>0</v>
      </c>
      <c r="L2288" s="26">
        <f>IF($A2288="","",CHOOSE(WEEKDAY($A2288,2),"Seg","Ter","Qua","Qui","Sex","Sáb","Dom"))</f>
        <v>0</v>
      </c>
      <c r="M2288" s="27">
        <f>IF($E2288="","",IF($G2288&lt;&gt;"",$G2288,IFERROR(INDEX(ProcValor,MATCH($E2288,ProcNome,0)),0)))</f>
        <v>0</v>
      </c>
      <c r="N2288" s="27">
        <f>IF($M2288="","",IF($F2288="Compareceu",$M2288,0))</f>
        <v>0</v>
      </c>
      <c r="O2288" s="27">
        <f>IF($M2288="","",IF($F2288="Faltou",$M2288,0))</f>
        <v>0</v>
      </c>
      <c r="P2288" s="27">
        <f>IF($M2288="","",IF($F2288="Compareceu",MAX(0,$M2288-N($H2288)),0))</f>
        <v>0</v>
      </c>
      <c r="Q2288" s="19">
        <f>IF(AND($F2288="Compareceu",$E2288&lt;&gt;"",$A2288&lt;&gt;""),IF(IFERROR(INDEX(ProcRet,MATCH($E2288,ProcNome,0)),0)&gt;0,$A2288+INDEX(ProcRet,MATCH($E2288,ProcNome,0)),""),"")</f>
        <v>0</v>
      </c>
      <c r="R2288" s="26">
        <f>IF($Q2288="","",IF(COUNTIFS(AgPac,$D2288,AgData,"&gt;"&amp;$A2288,AgStatus,"&lt;&gt;Cancelado",AgStatus,"&lt;&gt;Remarcado")&gt;0,"Sim","Não"))</f>
        <v>0</v>
      </c>
      <c r="S2288" s="28">
        <f>IF($A2288="","",IF(AND($F2288="Agendado",$A2288-Hoje&gt;=0,$A2288-Hoje&lt;=DiasConf),"CONFIRMAR",IF(AND($A2288&lt;Hoje,OR($F2288="Agendado",$F2288="Confirmado")),"Atualizar status",IF(AND($F2288="Compareceu",$P2288&gt;0.005),"Cobrar",IF($F2288="Faltou","Falta: reagendar","")))))</f>
        <v>0</v>
      </c>
      <c r="T2288" s="29">
        <f>IF($A2288="","",DATE(YEAR($A2288),MONTH($A2288),1))</f>
        <v>0</v>
      </c>
      <c r="U2288" s="30">
        <f>IF($S2288="CONFIRMAR",MAX($U$4:$U2287)+1,"")</f>
        <v>0</v>
      </c>
      <c r="V2288" s="30">
        <f>IF(AND($R2288="Não",$Q2288&lt;&gt;"",$Q2288&lt;=Hoje+JanelaRet,$Q2288&gt;=Hoje-60),MAX($V$4:$V2287)+1,"")</f>
        <v>0</v>
      </c>
    </row>
    <row r="2289" spans="1:22">
      <c r="A2289" s="16"/>
      <c r="B2289" s="23"/>
      <c r="C2289" s="15"/>
      <c r="D2289" s="15"/>
      <c r="E2289" s="15"/>
      <c r="F2289" s="24"/>
      <c r="G2289" s="17"/>
      <c r="H2289" s="17"/>
      <c r="I2289" s="15"/>
      <c r="J2289" s="25">
        <f>IF($D2289="","",IFERROR(INDEX(PacNome,MATCH($D2289,PacCod,0)),"Paciente não cadastrado"))</f>
        <v>0</v>
      </c>
      <c r="K2289" s="26">
        <f>IF($D2289="","",IFERROR(INDEX(PacConv,MATCH($D2289,PacCod,0))&amp;"",""))</f>
        <v>0</v>
      </c>
      <c r="L2289" s="26">
        <f>IF($A2289="","",CHOOSE(WEEKDAY($A2289,2),"Seg","Ter","Qua","Qui","Sex","Sáb","Dom"))</f>
        <v>0</v>
      </c>
      <c r="M2289" s="27">
        <f>IF($E2289="","",IF($G2289&lt;&gt;"",$G2289,IFERROR(INDEX(ProcValor,MATCH($E2289,ProcNome,0)),0)))</f>
        <v>0</v>
      </c>
      <c r="N2289" s="27">
        <f>IF($M2289="","",IF($F2289="Compareceu",$M2289,0))</f>
        <v>0</v>
      </c>
      <c r="O2289" s="27">
        <f>IF($M2289="","",IF($F2289="Faltou",$M2289,0))</f>
        <v>0</v>
      </c>
      <c r="P2289" s="27">
        <f>IF($M2289="","",IF($F2289="Compareceu",MAX(0,$M2289-N($H2289)),0))</f>
        <v>0</v>
      </c>
      <c r="Q2289" s="19">
        <f>IF(AND($F2289="Compareceu",$E2289&lt;&gt;"",$A2289&lt;&gt;""),IF(IFERROR(INDEX(ProcRet,MATCH($E2289,ProcNome,0)),0)&gt;0,$A2289+INDEX(ProcRet,MATCH($E2289,ProcNome,0)),""),"")</f>
        <v>0</v>
      </c>
      <c r="R2289" s="26">
        <f>IF($Q2289="","",IF(COUNTIFS(AgPac,$D2289,AgData,"&gt;"&amp;$A2289,AgStatus,"&lt;&gt;Cancelado",AgStatus,"&lt;&gt;Remarcado")&gt;0,"Sim","Não"))</f>
        <v>0</v>
      </c>
      <c r="S2289" s="28">
        <f>IF($A2289="","",IF(AND($F2289="Agendado",$A2289-Hoje&gt;=0,$A2289-Hoje&lt;=DiasConf),"CONFIRMAR",IF(AND($A2289&lt;Hoje,OR($F2289="Agendado",$F2289="Confirmado")),"Atualizar status",IF(AND($F2289="Compareceu",$P2289&gt;0.005),"Cobrar",IF($F2289="Faltou","Falta: reagendar","")))))</f>
        <v>0</v>
      </c>
      <c r="T2289" s="29">
        <f>IF($A2289="","",DATE(YEAR($A2289),MONTH($A2289),1))</f>
        <v>0</v>
      </c>
      <c r="U2289" s="30">
        <f>IF($S2289="CONFIRMAR",MAX($U$4:$U2288)+1,"")</f>
        <v>0</v>
      </c>
      <c r="V2289" s="30">
        <f>IF(AND($R2289="Não",$Q2289&lt;&gt;"",$Q2289&lt;=Hoje+JanelaRet,$Q2289&gt;=Hoje-60),MAX($V$4:$V2288)+1,"")</f>
        <v>0</v>
      </c>
    </row>
    <row r="2290" spans="1:22">
      <c r="A2290" s="16"/>
      <c r="B2290" s="23"/>
      <c r="C2290" s="15"/>
      <c r="D2290" s="15"/>
      <c r="E2290" s="15"/>
      <c r="F2290" s="24"/>
      <c r="G2290" s="17"/>
      <c r="H2290" s="17"/>
      <c r="I2290" s="15"/>
      <c r="J2290" s="25">
        <f>IF($D2290="","",IFERROR(INDEX(PacNome,MATCH($D2290,PacCod,0)),"Paciente não cadastrado"))</f>
        <v>0</v>
      </c>
      <c r="K2290" s="26">
        <f>IF($D2290="","",IFERROR(INDEX(PacConv,MATCH($D2290,PacCod,0))&amp;"",""))</f>
        <v>0</v>
      </c>
      <c r="L2290" s="26">
        <f>IF($A2290="","",CHOOSE(WEEKDAY($A2290,2),"Seg","Ter","Qua","Qui","Sex","Sáb","Dom"))</f>
        <v>0</v>
      </c>
      <c r="M2290" s="27">
        <f>IF($E2290="","",IF($G2290&lt;&gt;"",$G2290,IFERROR(INDEX(ProcValor,MATCH($E2290,ProcNome,0)),0)))</f>
        <v>0</v>
      </c>
      <c r="N2290" s="27">
        <f>IF($M2290="","",IF($F2290="Compareceu",$M2290,0))</f>
        <v>0</v>
      </c>
      <c r="O2290" s="27">
        <f>IF($M2290="","",IF($F2290="Faltou",$M2290,0))</f>
        <v>0</v>
      </c>
      <c r="P2290" s="27">
        <f>IF($M2290="","",IF($F2290="Compareceu",MAX(0,$M2290-N($H2290)),0))</f>
        <v>0</v>
      </c>
      <c r="Q2290" s="19">
        <f>IF(AND($F2290="Compareceu",$E2290&lt;&gt;"",$A2290&lt;&gt;""),IF(IFERROR(INDEX(ProcRet,MATCH($E2290,ProcNome,0)),0)&gt;0,$A2290+INDEX(ProcRet,MATCH($E2290,ProcNome,0)),""),"")</f>
        <v>0</v>
      </c>
      <c r="R2290" s="26">
        <f>IF($Q2290="","",IF(COUNTIFS(AgPac,$D2290,AgData,"&gt;"&amp;$A2290,AgStatus,"&lt;&gt;Cancelado",AgStatus,"&lt;&gt;Remarcado")&gt;0,"Sim","Não"))</f>
        <v>0</v>
      </c>
      <c r="S2290" s="28">
        <f>IF($A2290="","",IF(AND($F2290="Agendado",$A2290-Hoje&gt;=0,$A2290-Hoje&lt;=DiasConf),"CONFIRMAR",IF(AND($A2290&lt;Hoje,OR($F2290="Agendado",$F2290="Confirmado")),"Atualizar status",IF(AND($F2290="Compareceu",$P2290&gt;0.005),"Cobrar",IF($F2290="Faltou","Falta: reagendar","")))))</f>
        <v>0</v>
      </c>
      <c r="T2290" s="29">
        <f>IF($A2290="","",DATE(YEAR($A2290),MONTH($A2290),1))</f>
        <v>0</v>
      </c>
      <c r="U2290" s="30">
        <f>IF($S2290="CONFIRMAR",MAX($U$4:$U2289)+1,"")</f>
        <v>0</v>
      </c>
      <c r="V2290" s="30">
        <f>IF(AND($R2290="Não",$Q2290&lt;&gt;"",$Q2290&lt;=Hoje+JanelaRet,$Q2290&gt;=Hoje-60),MAX($V$4:$V2289)+1,"")</f>
        <v>0</v>
      </c>
    </row>
    <row r="2291" spans="1:22">
      <c r="A2291" s="16"/>
      <c r="B2291" s="23"/>
      <c r="C2291" s="15"/>
      <c r="D2291" s="15"/>
      <c r="E2291" s="15"/>
      <c r="F2291" s="24"/>
      <c r="G2291" s="17"/>
      <c r="H2291" s="17"/>
      <c r="I2291" s="15"/>
      <c r="J2291" s="25">
        <f>IF($D2291="","",IFERROR(INDEX(PacNome,MATCH($D2291,PacCod,0)),"Paciente não cadastrado"))</f>
        <v>0</v>
      </c>
      <c r="K2291" s="26">
        <f>IF($D2291="","",IFERROR(INDEX(PacConv,MATCH($D2291,PacCod,0))&amp;"",""))</f>
        <v>0</v>
      </c>
      <c r="L2291" s="26">
        <f>IF($A2291="","",CHOOSE(WEEKDAY($A2291,2),"Seg","Ter","Qua","Qui","Sex","Sáb","Dom"))</f>
        <v>0</v>
      </c>
      <c r="M2291" s="27">
        <f>IF($E2291="","",IF($G2291&lt;&gt;"",$G2291,IFERROR(INDEX(ProcValor,MATCH($E2291,ProcNome,0)),0)))</f>
        <v>0</v>
      </c>
      <c r="N2291" s="27">
        <f>IF($M2291="","",IF($F2291="Compareceu",$M2291,0))</f>
        <v>0</v>
      </c>
      <c r="O2291" s="27">
        <f>IF($M2291="","",IF($F2291="Faltou",$M2291,0))</f>
        <v>0</v>
      </c>
      <c r="P2291" s="27">
        <f>IF($M2291="","",IF($F2291="Compareceu",MAX(0,$M2291-N($H2291)),0))</f>
        <v>0</v>
      </c>
      <c r="Q2291" s="19">
        <f>IF(AND($F2291="Compareceu",$E2291&lt;&gt;"",$A2291&lt;&gt;""),IF(IFERROR(INDEX(ProcRet,MATCH($E2291,ProcNome,0)),0)&gt;0,$A2291+INDEX(ProcRet,MATCH($E2291,ProcNome,0)),""),"")</f>
        <v>0</v>
      </c>
      <c r="R2291" s="26">
        <f>IF($Q2291="","",IF(COUNTIFS(AgPac,$D2291,AgData,"&gt;"&amp;$A2291,AgStatus,"&lt;&gt;Cancelado",AgStatus,"&lt;&gt;Remarcado")&gt;0,"Sim","Não"))</f>
        <v>0</v>
      </c>
      <c r="S2291" s="28">
        <f>IF($A2291="","",IF(AND($F2291="Agendado",$A2291-Hoje&gt;=0,$A2291-Hoje&lt;=DiasConf),"CONFIRMAR",IF(AND($A2291&lt;Hoje,OR($F2291="Agendado",$F2291="Confirmado")),"Atualizar status",IF(AND($F2291="Compareceu",$P2291&gt;0.005),"Cobrar",IF($F2291="Faltou","Falta: reagendar","")))))</f>
        <v>0</v>
      </c>
      <c r="T2291" s="29">
        <f>IF($A2291="","",DATE(YEAR($A2291),MONTH($A2291),1))</f>
        <v>0</v>
      </c>
      <c r="U2291" s="30">
        <f>IF($S2291="CONFIRMAR",MAX($U$4:$U2290)+1,"")</f>
        <v>0</v>
      </c>
      <c r="V2291" s="30">
        <f>IF(AND($R2291="Não",$Q2291&lt;&gt;"",$Q2291&lt;=Hoje+JanelaRet,$Q2291&gt;=Hoje-60),MAX($V$4:$V2290)+1,"")</f>
        <v>0</v>
      </c>
    </row>
    <row r="2292" spans="1:22">
      <c r="A2292" s="16"/>
      <c r="B2292" s="23"/>
      <c r="C2292" s="15"/>
      <c r="D2292" s="15"/>
      <c r="E2292" s="15"/>
      <c r="F2292" s="24"/>
      <c r="G2292" s="17"/>
      <c r="H2292" s="17"/>
      <c r="I2292" s="15"/>
      <c r="J2292" s="25">
        <f>IF($D2292="","",IFERROR(INDEX(PacNome,MATCH($D2292,PacCod,0)),"Paciente não cadastrado"))</f>
        <v>0</v>
      </c>
      <c r="K2292" s="26">
        <f>IF($D2292="","",IFERROR(INDEX(PacConv,MATCH($D2292,PacCod,0))&amp;"",""))</f>
        <v>0</v>
      </c>
      <c r="L2292" s="26">
        <f>IF($A2292="","",CHOOSE(WEEKDAY($A2292,2),"Seg","Ter","Qua","Qui","Sex","Sáb","Dom"))</f>
        <v>0</v>
      </c>
      <c r="M2292" s="27">
        <f>IF($E2292="","",IF($G2292&lt;&gt;"",$G2292,IFERROR(INDEX(ProcValor,MATCH($E2292,ProcNome,0)),0)))</f>
        <v>0</v>
      </c>
      <c r="N2292" s="27">
        <f>IF($M2292="","",IF($F2292="Compareceu",$M2292,0))</f>
        <v>0</v>
      </c>
      <c r="O2292" s="27">
        <f>IF($M2292="","",IF($F2292="Faltou",$M2292,0))</f>
        <v>0</v>
      </c>
      <c r="P2292" s="27">
        <f>IF($M2292="","",IF($F2292="Compareceu",MAX(0,$M2292-N($H2292)),0))</f>
        <v>0</v>
      </c>
      <c r="Q2292" s="19">
        <f>IF(AND($F2292="Compareceu",$E2292&lt;&gt;"",$A2292&lt;&gt;""),IF(IFERROR(INDEX(ProcRet,MATCH($E2292,ProcNome,0)),0)&gt;0,$A2292+INDEX(ProcRet,MATCH($E2292,ProcNome,0)),""),"")</f>
        <v>0</v>
      </c>
      <c r="R2292" s="26">
        <f>IF($Q2292="","",IF(COUNTIFS(AgPac,$D2292,AgData,"&gt;"&amp;$A2292,AgStatus,"&lt;&gt;Cancelado",AgStatus,"&lt;&gt;Remarcado")&gt;0,"Sim","Não"))</f>
        <v>0</v>
      </c>
      <c r="S2292" s="28">
        <f>IF($A2292="","",IF(AND($F2292="Agendado",$A2292-Hoje&gt;=0,$A2292-Hoje&lt;=DiasConf),"CONFIRMAR",IF(AND($A2292&lt;Hoje,OR($F2292="Agendado",$F2292="Confirmado")),"Atualizar status",IF(AND($F2292="Compareceu",$P2292&gt;0.005),"Cobrar",IF($F2292="Faltou","Falta: reagendar","")))))</f>
        <v>0</v>
      </c>
      <c r="T2292" s="29">
        <f>IF($A2292="","",DATE(YEAR($A2292),MONTH($A2292),1))</f>
        <v>0</v>
      </c>
      <c r="U2292" s="30">
        <f>IF($S2292="CONFIRMAR",MAX($U$4:$U2291)+1,"")</f>
        <v>0</v>
      </c>
      <c r="V2292" s="30">
        <f>IF(AND($R2292="Não",$Q2292&lt;&gt;"",$Q2292&lt;=Hoje+JanelaRet,$Q2292&gt;=Hoje-60),MAX($V$4:$V2291)+1,"")</f>
        <v>0</v>
      </c>
    </row>
    <row r="2293" spans="1:22">
      <c r="A2293" s="16"/>
      <c r="B2293" s="23"/>
      <c r="C2293" s="15"/>
      <c r="D2293" s="15"/>
      <c r="E2293" s="15"/>
      <c r="F2293" s="24"/>
      <c r="G2293" s="17"/>
      <c r="H2293" s="17"/>
      <c r="I2293" s="15"/>
      <c r="J2293" s="25">
        <f>IF($D2293="","",IFERROR(INDEX(PacNome,MATCH($D2293,PacCod,0)),"Paciente não cadastrado"))</f>
        <v>0</v>
      </c>
      <c r="K2293" s="26">
        <f>IF($D2293="","",IFERROR(INDEX(PacConv,MATCH($D2293,PacCod,0))&amp;"",""))</f>
        <v>0</v>
      </c>
      <c r="L2293" s="26">
        <f>IF($A2293="","",CHOOSE(WEEKDAY($A2293,2),"Seg","Ter","Qua","Qui","Sex","Sáb","Dom"))</f>
        <v>0</v>
      </c>
      <c r="M2293" s="27">
        <f>IF($E2293="","",IF($G2293&lt;&gt;"",$G2293,IFERROR(INDEX(ProcValor,MATCH($E2293,ProcNome,0)),0)))</f>
        <v>0</v>
      </c>
      <c r="N2293" s="27">
        <f>IF($M2293="","",IF($F2293="Compareceu",$M2293,0))</f>
        <v>0</v>
      </c>
      <c r="O2293" s="27">
        <f>IF($M2293="","",IF($F2293="Faltou",$M2293,0))</f>
        <v>0</v>
      </c>
      <c r="P2293" s="27">
        <f>IF($M2293="","",IF($F2293="Compareceu",MAX(0,$M2293-N($H2293)),0))</f>
        <v>0</v>
      </c>
      <c r="Q2293" s="19">
        <f>IF(AND($F2293="Compareceu",$E2293&lt;&gt;"",$A2293&lt;&gt;""),IF(IFERROR(INDEX(ProcRet,MATCH($E2293,ProcNome,0)),0)&gt;0,$A2293+INDEX(ProcRet,MATCH($E2293,ProcNome,0)),""),"")</f>
        <v>0</v>
      </c>
      <c r="R2293" s="26">
        <f>IF($Q2293="","",IF(COUNTIFS(AgPac,$D2293,AgData,"&gt;"&amp;$A2293,AgStatus,"&lt;&gt;Cancelado",AgStatus,"&lt;&gt;Remarcado")&gt;0,"Sim","Não"))</f>
        <v>0</v>
      </c>
      <c r="S2293" s="28">
        <f>IF($A2293="","",IF(AND($F2293="Agendado",$A2293-Hoje&gt;=0,$A2293-Hoje&lt;=DiasConf),"CONFIRMAR",IF(AND($A2293&lt;Hoje,OR($F2293="Agendado",$F2293="Confirmado")),"Atualizar status",IF(AND($F2293="Compareceu",$P2293&gt;0.005),"Cobrar",IF($F2293="Faltou","Falta: reagendar","")))))</f>
        <v>0</v>
      </c>
      <c r="T2293" s="29">
        <f>IF($A2293="","",DATE(YEAR($A2293),MONTH($A2293),1))</f>
        <v>0</v>
      </c>
      <c r="U2293" s="30">
        <f>IF($S2293="CONFIRMAR",MAX($U$4:$U2292)+1,"")</f>
        <v>0</v>
      </c>
      <c r="V2293" s="30">
        <f>IF(AND($R2293="Não",$Q2293&lt;&gt;"",$Q2293&lt;=Hoje+JanelaRet,$Q2293&gt;=Hoje-60),MAX($V$4:$V2292)+1,"")</f>
        <v>0</v>
      </c>
    </row>
    <row r="2294" spans="1:22">
      <c r="A2294" s="16"/>
      <c r="B2294" s="23"/>
      <c r="C2294" s="15"/>
      <c r="D2294" s="15"/>
      <c r="E2294" s="15"/>
      <c r="F2294" s="24"/>
      <c r="G2294" s="17"/>
      <c r="H2294" s="17"/>
      <c r="I2294" s="15"/>
      <c r="J2294" s="25">
        <f>IF($D2294="","",IFERROR(INDEX(PacNome,MATCH($D2294,PacCod,0)),"Paciente não cadastrado"))</f>
        <v>0</v>
      </c>
      <c r="K2294" s="26">
        <f>IF($D2294="","",IFERROR(INDEX(PacConv,MATCH($D2294,PacCod,0))&amp;"",""))</f>
        <v>0</v>
      </c>
      <c r="L2294" s="26">
        <f>IF($A2294="","",CHOOSE(WEEKDAY($A2294,2),"Seg","Ter","Qua","Qui","Sex","Sáb","Dom"))</f>
        <v>0</v>
      </c>
      <c r="M2294" s="27">
        <f>IF($E2294="","",IF($G2294&lt;&gt;"",$G2294,IFERROR(INDEX(ProcValor,MATCH($E2294,ProcNome,0)),0)))</f>
        <v>0</v>
      </c>
      <c r="N2294" s="27">
        <f>IF($M2294="","",IF($F2294="Compareceu",$M2294,0))</f>
        <v>0</v>
      </c>
      <c r="O2294" s="27">
        <f>IF($M2294="","",IF($F2294="Faltou",$M2294,0))</f>
        <v>0</v>
      </c>
      <c r="P2294" s="27">
        <f>IF($M2294="","",IF($F2294="Compareceu",MAX(0,$M2294-N($H2294)),0))</f>
        <v>0</v>
      </c>
      <c r="Q2294" s="19">
        <f>IF(AND($F2294="Compareceu",$E2294&lt;&gt;"",$A2294&lt;&gt;""),IF(IFERROR(INDEX(ProcRet,MATCH($E2294,ProcNome,0)),0)&gt;0,$A2294+INDEX(ProcRet,MATCH($E2294,ProcNome,0)),""),"")</f>
        <v>0</v>
      </c>
      <c r="R2294" s="26">
        <f>IF($Q2294="","",IF(COUNTIFS(AgPac,$D2294,AgData,"&gt;"&amp;$A2294,AgStatus,"&lt;&gt;Cancelado",AgStatus,"&lt;&gt;Remarcado")&gt;0,"Sim","Não"))</f>
        <v>0</v>
      </c>
      <c r="S2294" s="28">
        <f>IF($A2294="","",IF(AND($F2294="Agendado",$A2294-Hoje&gt;=0,$A2294-Hoje&lt;=DiasConf),"CONFIRMAR",IF(AND($A2294&lt;Hoje,OR($F2294="Agendado",$F2294="Confirmado")),"Atualizar status",IF(AND($F2294="Compareceu",$P2294&gt;0.005),"Cobrar",IF($F2294="Faltou","Falta: reagendar","")))))</f>
        <v>0</v>
      </c>
      <c r="T2294" s="29">
        <f>IF($A2294="","",DATE(YEAR($A2294),MONTH($A2294),1))</f>
        <v>0</v>
      </c>
      <c r="U2294" s="30">
        <f>IF($S2294="CONFIRMAR",MAX($U$4:$U2293)+1,"")</f>
        <v>0</v>
      </c>
      <c r="V2294" s="30">
        <f>IF(AND($R2294="Não",$Q2294&lt;&gt;"",$Q2294&lt;=Hoje+JanelaRet,$Q2294&gt;=Hoje-60),MAX($V$4:$V2293)+1,"")</f>
        <v>0</v>
      </c>
    </row>
    <row r="2295" spans="1:22">
      <c r="A2295" s="16"/>
      <c r="B2295" s="23"/>
      <c r="C2295" s="15"/>
      <c r="D2295" s="15"/>
      <c r="E2295" s="15"/>
      <c r="F2295" s="24"/>
      <c r="G2295" s="17"/>
      <c r="H2295" s="17"/>
      <c r="I2295" s="15"/>
      <c r="J2295" s="25">
        <f>IF($D2295="","",IFERROR(INDEX(PacNome,MATCH($D2295,PacCod,0)),"Paciente não cadastrado"))</f>
        <v>0</v>
      </c>
      <c r="K2295" s="26">
        <f>IF($D2295="","",IFERROR(INDEX(PacConv,MATCH($D2295,PacCod,0))&amp;"",""))</f>
        <v>0</v>
      </c>
      <c r="L2295" s="26">
        <f>IF($A2295="","",CHOOSE(WEEKDAY($A2295,2),"Seg","Ter","Qua","Qui","Sex","Sáb","Dom"))</f>
        <v>0</v>
      </c>
      <c r="M2295" s="27">
        <f>IF($E2295="","",IF($G2295&lt;&gt;"",$G2295,IFERROR(INDEX(ProcValor,MATCH($E2295,ProcNome,0)),0)))</f>
        <v>0</v>
      </c>
      <c r="N2295" s="27">
        <f>IF($M2295="","",IF($F2295="Compareceu",$M2295,0))</f>
        <v>0</v>
      </c>
      <c r="O2295" s="27">
        <f>IF($M2295="","",IF($F2295="Faltou",$M2295,0))</f>
        <v>0</v>
      </c>
      <c r="P2295" s="27">
        <f>IF($M2295="","",IF($F2295="Compareceu",MAX(0,$M2295-N($H2295)),0))</f>
        <v>0</v>
      </c>
      <c r="Q2295" s="19">
        <f>IF(AND($F2295="Compareceu",$E2295&lt;&gt;"",$A2295&lt;&gt;""),IF(IFERROR(INDEX(ProcRet,MATCH($E2295,ProcNome,0)),0)&gt;0,$A2295+INDEX(ProcRet,MATCH($E2295,ProcNome,0)),""),"")</f>
        <v>0</v>
      </c>
      <c r="R2295" s="26">
        <f>IF($Q2295="","",IF(COUNTIFS(AgPac,$D2295,AgData,"&gt;"&amp;$A2295,AgStatus,"&lt;&gt;Cancelado",AgStatus,"&lt;&gt;Remarcado")&gt;0,"Sim","Não"))</f>
        <v>0</v>
      </c>
      <c r="S2295" s="28">
        <f>IF($A2295="","",IF(AND($F2295="Agendado",$A2295-Hoje&gt;=0,$A2295-Hoje&lt;=DiasConf),"CONFIRMAR",IF(AND($A2295&lt;Hoje,OR($F2295="Agendado",$F2295="Confirmado")),"Atualizar status",IF(AND($F2295="Compareceu",$P2295&gt;0.005),"Cobrar",IF($F2295="Faltou","Falta: reagendar","")))))</f>
        <v>0</v>
      </c>
      <c r="T2295" s="29">
        <f>IF($A2295="","",DATE(YEAR($A2295),MONTH($A2295),1))</f>
        <v>0</v>
      </c>
      <c r="U2295" s="30">
        <f>IF($S2295="CONFIRMAR",MAX($U$4:$U2294)+1,"")</f>
        <v>0</v>
      </c>
      <c r="V2295" s="30">
        <f>IF(AND($R2295="Não",$Q2295&lt;&gt;"",$Q2295&lt;=Hoje+JanelaRet,$Q2295&gt;=Hoje-60),MAX($V$4:$V2294)+1,"")</f>
        <v>0</v>
      </c>
    </row>
    <row r="2296" spans="1:22">
      <c r="A2296" s="16"/>
      <c r="B2296" s="23"/>
      <c r="C2296" s="15"/>
      <c r="D2296" s="15"/>
      <c r="E2296" s="15"/>
      <c r="F2296" s="24"/>
      <c r="G2296" s="17"/>
      <c r="H2296" s="17"/>
      <c r="I2296" s="15"/>
      <c r="J2296" s="25">
        <f>IF($D2296="","",IFERROR(INDEX(PacNome,MATCH($D2296,PacCod,0)),"Paciente não cadastrado"))</f>
        <v>0</v>
      </c>
      <c r="K2296" s="26">
        <f>IF($D2296="","",IFERROR(INDEX(PacConv,MATCH($D2296,PacCod,0))&amp;"",""))</f>
        <v>0</v>
      </c>
      <c r="L2296" s="26">
        <f>IF($A2296="","",CHOOSE(WEEKDAY($A2296,2),"Seg","Ter","Qua","Qui","Sex","Sáb","Dom"))</f>
        <v>0</v>
      </c>
      <c r="M2296" s="27">
        <f>IF($E2296="","",IF($G2296&lt;&gt;"",$G2296,IFERROR(INDEX(ProcValor,MATCH($E2296,ProcNome,0)),0)))</f>
        <v>0</v>
      </c>
      <c r="N2296" s="27">
        <f>IF($M2296="","",IF($F2296="Compareceu",$M2296,0))</f>
        <v>0</v>
      </c>
      <c r="O2296" s="27">
        <f>IF($M2296="","",IF($F2296="Faltou",$M2296,0))</f>
        <v>0</v>
      </c>
      <c r="P2296" s="27">
        <f>IF($M2296="","",IF($F2296="Compareceu",MAX(0,$M2296-N($H2296)),0))</f>
        <v>0</v>
      </c>
      <c r="Q2296" s="19">
        <f>IF(AND($F2296="Compareceu",$E2296&lt;&gt;"",$A2296&lt;&gt;""),IF(IFERROR(INDEX(ProcRet,MATCH($E2296,ProcNome,0)),0)&gt;0,$A2296+INDEX(ProcRet,MATCH($E2296,ProcNome,0)),""),"")</f>
        <v>0</v>
      </c>
      <c r="R2296" s="26">
        <f>IF($Q2296="","",IF(COUNTIFS(AgPac,$D2296,AgData,"&gt;"&amp;$A2296,AgStatus,"&lt;&gt;Cancelado",AgStatus,"&lt;&gt;Remarcado")&gt;0,"Sim","Não"))</f>
        <v>0</v>
      </c>
      <c r="S2296" s="28">
        <f>IF($A2296="","",IF(AND($F2296="Agendado",$A2296-Hoje&gt;=0,$A2296-Hoje&lt;=DiasConf),"CONFIRMAR",IF(AND($A2296&lt;Hoje,OR($F2296="Agendado",$F2296="Confirmado")),"Atualizar status",IF(AND($F2296="Compareceu",$P2296&gt;0.005),"Cobrar",IF($F2296="Faltou","Falta: reagendar","")))))</f>
        <v>0</v>
      </c>
      <c r="T2296" s="29">
        <f>IF($A2296="","",DATE(YEAR($A2296),MONTH($A2296),1))</f>
        <v>0</v>
      </c>
      <c r="U2296" s="30">
        <f>IF($S2296="CONFIRMAR",MAX($U$4:$U2295)+1,"")</f>
        <v>0</v>
      </c>
      <c r="V2296" s="30">
        <f>IF(AND($R2296="Não",$Q2296&lt;&gt;"",$Q2296&lt;=Hoje+JanelaRet,$Q2296&gt;=Hoje-60),MAX($V$4:$V2295)+1,"")</f>
        <v>0</v>
      </c>
    </row>
    <row r="2297" spans="1:22">
      <c r="A2297" s="16"/>
      <c r="B2297" s="23"/>
      <c r="C2297" s="15"/>
      <c r="D2297" s="15"/>
      <c r="E2297" s="15"/>
      <c r="F2297" s="24"/>
      <c r="G2297" s="17"/>
      <c r="H2297" s="17"/>
      <c r="I2297" s="15"/>
      <c r="J2297" s="25">
        <f>IF($D2297="","",IFERROR(INDEX(PacNome,MATCH($D2297,PacCod,0)),"Paciente não cadastrado"))</f>
        <v>0</v>
      </c>
      <c r="K2297" s="26">
        <f>IF($D2297="","",IFERROR(INDEX(PacConv,MATCH($D2297,PacCod,0))&amp;"",""))</f>
        <v>0</v>
      </c>
      <c r="L2297" s="26">
        <f>IF($A2297="","",CHOOSE(WEEKDAY($A2297,2),"Seg","Ter","Qua","Qui","Sex","Sáb","Dom"))</f>
        <v>0</v>
      </c>
      <c r="M2297" s="27">
        <f>IF($E2297="","",IF($G2297&lt;&gt;"",$G2297,IFERROR(INDEX(ProcValor,MATCH($E2297,ProcNome,0)),0)))</f>
        <v>0</v>
      </c>
      <c r="N2297" s="27">
        <f>IF($M2297="","",IF($F2297="Compareceu",$M2297,0))</f>
        <v>0</v>
      </c>
      <c r="O2297" s="27">
        <f>IF($M2297="","",IF($F2297="Faltou",$M2297,0))</f>
        <v>0</v>
      </c>
      <c r="P2297" s="27">
        <f>IF($M2297="","",IF($F2297="Compareceu",MAX(0,$M2297-N($H2297)),0))</f>
        <v>0</v>
      </c>
      <c r="Q2297" s="19">
        <f>IF(AND($F2297="Compareceu",$E2297&lt;&gt;"",$A2297&lt;&gt;""),IF(IFERROR(INDEX(ProcRet,MATCH($E2297,ProcNome,0)),0)&gt;0,$A2297+INDEX(ProcRet,MATCH($E2297,ProcNome,0)),""),"")</f>
        <v>0</v>
      </c>
      <c r="R2297" s="26">
        <f>IF($Q2297="","",IF(COUNTIFS(AgPac,$D2297,AgData,"&gt;"&amp;$A2297,AgStatus,"&lt;&gt;Cancelado",AgStatus,"&lt;&gt;Remarcado")&gt;0,"Sim","Não"))</f>
        <v>0</v>
      </c>
      <c r="S2297" s="28">
        <f>IF($A2297="","",IF(AND($F2297="Agendado",$A2297-Hoje&gt;=0,$A2297-Hoje&lt;=DiasConf),"CONFIRMAR",IF(AND($A2297&lt;Hoje,OR($F2297="Agendado",$F2297="Confirmado")),"Atualizar status",IF(AND($F2297="Compareceu",$P2297&gt;0.005),"Cobrar",IF($F2297="Faltou","Falta: reagendar","")))))</f>
        <v>0</v>
      </c>
      <c r="T2297" s="29">
        <f>IF($A2297="","",DATE(YEAR($A2297),MONTH($A2297),1))</f>
        <v>0</v>
      </c>
      <c r="U2297" s="30">
        <f>IF($S2297="CONFIRMAR",MAX($U$4:$U2296)+1,"")</f>
        <v>0</v>
      </c>
      <c r="V2297" s="30">
        <f>IF(AND($R2297="Não",$Q2297&lt;&gt;"",$Q2297&lt;=Hoje+JanelaRet,$Q2297&gt;=Hoje-60),MAX($V$4:$V2296)+1,"")</f>
        <v>0</v>
      </c>
    </row>
    <row r="2298" spans="1:22">
      <c r="A2298" s="16"/>
      <c r="B2298" s="23"/>
      <c r="C2298" s="15"/>
      <c r="D2298" s="15"/>
      <c r="E2298" s="15"/>
      <c r="F2298" s="24"/>
      <c r="G2298" s="17"/>
      <c r="H2298" s="17"/>
      <c r="I2298" s="15"/>
      <c r="J2298" s="25">
        <f>IF($D2298="","",IFERROR(INDEX(PacNome,MATCH($D2298,PacCod,0)),"Paciente não cadastrado"))</f>
        <v>0</v>
      </c>
      <c r="K2298" s="26">
        <f>IF($D2298="","",IFERROR(INDEX(PacConv,MATCH($D2298,PacCod,0))&amp;"",""))</f>
        <v>0</v>
      </c>
      <c r="L2298" s="26">
        <f>IF($A2298="","",CHOOSE(WEEKDAY($A2298,2),"Seg","Ter","Qua","Qui","Sex","Sáb","Dom"))</f>
        <v>0</v>
      </c>
      <c r="M2298" s="27">
        <f>IF($E2298="","",IF($G2298&lt;&gt;"",$G2298,IFERROR(INDEX(ProcValor,MATCH($E2298,ProcNome,0)),0)))</f>
        <v>0</v>
      </c>
      <c r="N2298" s="27">
        <f>IF($M2298="","",IF($F2298="Compareceu",$M2298,0))</f>
        <v>0</v>
      </c>
      <c r="O2298" s="27">
        <f>IF($M2298="","",IF($F2298="Faltou",$M2298,0))</f>
        <v>0</v>
      </c>
      <c r="P2298" s="27">
        <f>IF($M2298="","",IF($F2298="Compareceu",MAX(0,$M2298-N($H2298)),0))</f>
        <v>0</v>
      </c>
      <c r="Q2298" s="19">
        <f>IF(AND($F2298="Compareceu",$E2298&lt;&gt;"",$A2298&lt;&gt;""),IF(IFERROR(INDEX(ProcRet,MATCH($E2298,ProcNome,0)),0)&gt;0,$A2298+INDEX(ProcRet,MATCH($E2298,ProcNome,0)),""),"")</f>
        <v>0</v>
      </c>
      <c r="R2298" s="26">
        <f>IF($Q2298="","",IF(COUNTIFS(AgPac,$D2298,AgData,"&gt;"&amp;$A2298,AgStatus,"&lt;&gt;Cancelado",AgStatus,"&lt;&gt;Remarcado")&gt;0,"Sim","Não"))</f>
        <v>0</v>
      </c>
      <c r="S2298" s="28">
        <f>IF($A2298="","",IF(AND($F2298="Agendado",$A2298-Hoje&gt;=0,$A2298-Hoje&lt;=DiasConf),"CONFIRMAR",IF(AND($A2298&lt;Hoje,OR($F2298="Agendado",$F2298="Confirmado")),"Atualizar status",IF(AND($F2298="Compareceu",$P2298&gt;0.005),"Cobrar",IF($F2298="Faltou","Falta: reagendar","")))))</f>
        <v>0</v>
      </c>
      <c r="T2298" s="29">
        <f>IF($A2298="","",DATE(YEAR($A2298),MONTH($A2298),1))</f>
        <v>0</v>
      </c>
      <c r="U2298" s="30">
        <f>IF($S2298="CONFIRMAR",MAX($U$4:$U2297)+1,"")</f>
        <v>0</v>
      </c>
      <c r="V2298" s="30">
        <f>IF(AND($R2298="Não",$Q2298&lt;&gt;"",$Q2298&lt;=Hoje+JanelaRet,$Q2298&gt;=Hoje-60),MAX($V$4:$V2297)+1,"")</f>
        <v>0</v>
      </c>
    </row>
    <row r="2299" spans="1:22">
      <c r="A2299" s="16"/>
      <c r="B2299" s="23"/>
      <c r="C2299" s="15"/>
      <c r="D2299" s="15"/>
      <c r="E2299" s="15"/>
      <c r="F2299" s="24"/>
      <c r="G2299" s="17"/>
      <c r="H2299" s="17"/>
      <c r="I2299" s="15"/>
      <c r="J2299" s="25">
        <f>IF($D2299="","",IFERROR(INDEX(PacNome,MATCH($D2299,PacCod,0)),"Paciente não cadastrado"))</f>
        <v>0</v>
      </c>
      <c r="K2299" s="26">
        <f>IF($D2299="","",IFERROR(INDEX(PacConv,MATCH($D2299,PacCod,0))&amp;"",""))</f>
        <v>0</v>
      </c>
      <c r="L2299" s="26">
        <f>IF($A2299="","",CHOOSE(WEEKDAY($A2299,2),"Seg","Ter","Qua","Qui","Sex","Sáb","Dom"))</f>
        <v>0</v>
      </c>
      <c r="M2299" s="27">
        <f>IF($E2299="","",IF($G2299&lt;&gt;"",$G2299,IFERROR(INDEX(ProcValor,MATCH($E2299,ProcNome,0)),0)))</f>
        <v>0</v>
      </c>
      <c r="N2299" s="27">
        <f>IF($M2299="","",IF($F2299="Compareceu",$M2299,0))</f>
        <v>0</v>
      </c>
      <c r="O2299" s="27">
        <f>IF($M2299="","",IF($F2299="Faltou",$M2299,0))</f>
        <v>0</v>
      </c>
      <c r="P2299" s="27">
        <f>IF($M2299="","",IF($F2299="Compareceu",MAX(0,$M2299-N($H2299)),0))</f>
        <v>0</v>
      </c>
      <c r="Q2299" s="19">
        <f>IF(AND($F2299="Compareceu",$E2299&lt;&gt;"",$A2299&lt;&gt;""),IF(IFERROR(INDEX(ProcRet,MATCH($E2299,ProcNome,0)),0)&gt;0,$A2299+INDEX(ProcRet,MATCH($E2299,ProcNome,0)),""),"")</f>
        <v>0</v>
      </c>
      <c r="R2299" s="26">
        <f>IF($Q2299="","",IF(COUNTIFS(AgPac,$D2299,AgData,"&gt;"&amp;$A2299,AgStatus,"&lt;&gt;Cancelado",AgStatus,"&lt;&gt;Remarcado")&gt;0,"Sim","Não"))</f>
        <v>0</v>
      </c>
      <c r="S2299" s="28">
        <f>IF($A2299="","",IF(AND($F2299="Agendado",$A2299-Hoje&gt;=0,$A2299-Hoje&lt;=DiasConf),"CONFIRMAR",IF(AND($A2299&lt;Hoje,OR($F2299="Agendado",$F2299="Confirmado")),"Atualizar status",IF(AND($F2299="Compareceu",$P2299&gt;0.005),"Cobrar",IF($F2299="Faltou","Falta: reagendar","")))))</f>
        <v>0</v>
      </c>
      <c r="T2299" s="29">
        <f>IF($A2299="","",DATE(YEAR($A2299),MONTH($A2299),1))</f>
        <v>0</v>
      </c>
      <c r="U2299" s="30">
        <f>IF($S2299="CONFIRMAR",MAX($U$4:$U2298)+1,"")</f>
        <v>0</v>
      </c>
      <c r="V2299" s="30">
        <f>IF(AND($R2299="Não",$Q2299&lt;&gt;"",$Q2299&lt;=Hoje+JanelaRet,$Q2299&gt;=Hoje-60),MAX($V$4:$V2298)+1,"")</f>
        <v>0</v>
      </c>
    </row>
    <row r="2300" spans="1:22">
      <c r="A2300" s="16"/>
      <c r="B2300" s="23"/>
      <c r="C2300" s="15"/>
      <c r="D2300" s="15"/>
      <c r="E2300" s="15"/>
      <c r="F2300" s="24"/>
      <c r="G2300" s="17"/>
      <c r="H2300" s="17"/>
      <c r="I2300" s="15"/>
      <c r="J2300" s="25">
        <f>IF($D2300="","",IFERROR(INDEX(PacNome,MATCH($D2300,PacCod,0)),"Paciente não cadastrado"))</f>
        <v>0</v>
      </c>
      <c r="K2300" s="26">
        <f>IF($D2300="","",IFERROR(INDEX(PacConv,MATCH($D2300,PacCod,0))&amp;"",""))</f>
        <v>0</v>
      </c>
      <c r="L2300" s="26">
        <f>IF($A2300="","",CHOOSE(WEEKDAY($A2300,2),"Seg","Ter","Qua","Qui","Sex","Sáb","Dom"))</f>
        <v>0</v>
      </c>
      <c r="M2300" s="27">
        <f>IF($E2300="","",IF($G2300&lt;&gt;"",$G2300,IFERROR(INDEX(ProcValor,MATCH($E2300,ProcNome,0)),0)))</f>
        <v>0</v>
      </c>
      <c r="N2300" s="27">
        <f>IF($M2300="","",IF($F2300="Compareceu",$M2300,0))</f>
        <v>0</v>
      </c>
      <c r="O2300" s="27">
        <f>IF($M2300="","",IF($F2300="Faltou",$M2300,0))</f>
        <v>0</v>
      </c>
      <c r="P2300" s="27">
        <f>IF($M2300="","",IF($F2300="Compareceu",MAX(0,$M2300-N($H2300)),0))</f>
        <v>0</v>
      </c>
      <c r="Q2300" s="19">
        <f>IF(AND($F2300="Compareceu",$E2300&lt;&gt;"",$A2300&lt;&gt;""),IF(IFERROR(INDEX(ProcRet,MATCH($E2300,ProcNome,0)),0)&gt;0,$A2300+INDEX(ProcRet,MATCH($E2300,ProcNome,0)),""),"")</f>
        <v>0</v>
      </c>
      <c r="R2300" s="26">
        <f>IF($Q2300="","",IF(COUNTIFS(AgPac,$D2300,AgData,"&gt;"&amp;$A2300,AgStatus,"&lt;&gt;Cancelado",AgStatus,"&lt;&gt;Remarcado")&gt;0,"Sim","Não"))</f>
        <v>0</v>
      </c>
      <c r="S2300" s="28">
        <f>IF($A2300="","",IF(AND($F2300="Agendado",$A2300-Hoje&gt;=0,$A2300-Hoje&lt;=DiasConf),"CONFIRMAR",IF(AND($A2300&lt;Hoje,OR($F2300="Agendado",$F2300="Confirmado")),"Atualizar status",IF(AND($F2300="Compareceu",$P2300&gt;0.005),"Cobrar",IF($F2300="Faltou","Falta: reagendar","")))))</f>
        <v>0</v>
      </c>
      <c r="T2300" s="29">
        <f>IF($A2300="","",DATE(YEAR($A2300),MONTH($A2300),1))</f>
        <v>0</v>
      </c>
      <c r="U2300" s="30">
        <f>IF($S2300="CONFIRMAR",MAX($U$4:$U2299)+1,"")</f>
        <v>0</v>
      </c>
      <c r="V2300" s="30">
        <f>IF(AND($R2300="Não",$Q2300&lt;&gt;"",$Q2300&lt;=Hoje+JanelaRet,$Q2300&gt;=Hoje-60),MAX($V$4:$V2299)+1,"")</f>
        <v>0</v>
      </c>
    </row>
    <row r="2301" spans="1:22">
      <c r="A2301" s="16"/>
      <c r="B2301" s="23"/>
      <c r="C2301" s="15"/>
      <c r="D2301" s="15"/>
      <c r="E2301" s="15"/>
      <c r="F2301" s="24"/>
      <c r="G2301" s="17"/>
      <c r="H2301" s="17"/>
      <c r="I2301" s="15"/>
      <c r="J2301" s="25">
        <f>IF($D2301="","",IFERROR(INDEX(PacNome,MATCH($D2301,PacCod,0)),"Paciente não cadastrado"))</f>
        <v>0</v>
      </c>
      <c r="K2301" s="26">
        <f>IF($D2301="","",IFERROR(INDEX(PacConv,MATCH($D2301,PacCod,0))&amp;"",""))</f>
        <v>0</v>
      </c>
      <c r="L2301" s="26">
        <f>IF($A2301="","",CHOOSE(WEEKDAY($A2301,2),"Seg","Ter","Qua","Qui","Sex","Sáb","Dom"))</f>
        <v>0</v>
      </c>
      <c r="M2301" s="27">
        <f>IF($E2301="","",IF($G2301&lt;&gt;"",$G2301,IFERROR(INDEX(ProcValor,MATCH($E2301,ProcNome,0)),0)))</f>
        <v>0</v>
      </c>
      <c r="N2301" s="27">
        <f>IF($M2301="","",IF($F2301="Compareceu",$M2301,0))</f>
        <v>0</v>
      </c>
      <c r="O2301" s="27">
        <f>IF($M2301="","",IF($F2301="Faltou",$M2301,0))</f>
        <v>0</v>
      </c>
      <c r="P2301" s="27">
        <f>IF($M2301="","",IF($F2301="Compareceu",MAX(0,$M2301-N($H2301)),0))</f>
        <v>0</v>
      </c>
      <c r="Q2301" s="19">
        <f>IF(AND($F2301="Compareceu",$E2301&lt;&gt;"",$A2301&lt;&gt;""),IF(IFERROR(INDEX(ProcRet,MATCH($E2301,ProcNome,0)),0)&gt;0,$A2301+INDEX(ProcRet,MATCH($E2301,ProcNome,0)),""),"")</f>
        <v>0</v>
      </c>
      <c r="R2301" s="26">
        <f>IF($Q2301="","",IF(COUNTIFS(AgPac,$D2301,AgData,"&gt;"&amp;$A2301,AgStatus,"&lt;&gt;Cancelado",AgStatus,"&lt;&gt;Remarcado")&gt;0,"Sim","Não"))</f>
        <v>0</v>
      </c>
      <c r="S2301" s="28">
        <f>IF($A2301="","",IF(AND($F2301="Agendado",$A2301-Hoje&gt;=0,$A2301-Hoje&lt;=DiasConf),"CONFIRMAR",IF(AND($A2301&lt;Hoje,OR($F2301="Agendado",$F2301="Confirmado")),"Atualizar status",IF(AND($F2301="Compareceu",$P2301&gt;0.005),"Cobrar",IF($F2301="Faltou","Falta: reagendar","")))))</f>
        <v>0</v>
      </c>
      <c r="T2301" s="29">
        <f>IF($A2301="","",DATE(YEAR($A2301),MONTH($A2301),1))</f>
        <v>0</v>
      </c>
      <c r="U2301" s="30">
        <f>IF($S2301="CONFIRMAR",MAX($U$4:$U2300)+1,"")</f>
        <v>0</v>
      </c>
      <c r="V2301" s="30">
        <f>IF(AND($R2301="Não",$Q2301&lt;&gt;"",$Q2301&lt;=Hoje+JanelaRet,$Q2301&gt;=Hoje-60),MAX($V$4:$V2300)+1,"")</f>
        <v>0</v>
      </c>
    </row>
    <row r="2302" spans="1:22">
      <c r="A2302" s="16"/>
      <c r="B2302" s="23"/>
      <c r="C2302" s="15"/>
      <c r="D2302" s="15"/>
      <c r="E2302" s="15"/>
      <c r="F2302" s="24"/>
      <c r="G2302" s="17"/>
      <c r="H2302" s="17"/>
      <c r="I2302" s="15"/>
      <c r="J2302" s="25">
        <f>IF($D2302="","",IFERROR(INDEX(PacNome,MATCH($D2302,PacCod,0)),"Paciente não cadastrado"))</f>
        <v>0</v>
      </c>
      <c r="K2302" s="26">
        <f>IF($D2302="","",IFERROR(INDEX(PacConv,MATCH($D2302,PacCod,0))&amp;"",""))</f>
        <v>0</v>
      </c>
      <c r="L2302" s="26">
        <f>IF($A2302="","",CHOOSE(WEEKDAY($A2302,2),"Seg","Ter","Qua","Qui","Sex","Sáb","Dom"))</f>
        <v>0</v>
      </c>
      <c r="M2302" s="27">
        <f>IF($E2302="","",IF($G2302&lt;&gt;"",$G2302,IFERROR(INDEX(ProcValor,MATCH($E2302,ProcNome,0)),0)))</f>
        <v>0</v>
      </c>
      <c r="N2302" s="27">
        <f>IF($M2302="","",IF($F2302="Compareceu",$M2302,0))</f>
        <v>0</v>
      </c>
      <c r="O2302" s="27">
        <f>IF($M2302="","",IF($F2302="Faltou",$M2302,0))</f>
        <v>0</v>
      </c>
      <c r="P2302" s="27">
        <f>IF($M2302="","",IF($F2302="Compareceu",MAX(0,$M2302-N($H2302)),0))</f>
        <v>0</v>
      </c>
      <c r="Q2302" s="19">
        <f>IF(AND($F2302="Compareceu",$E2302&lt;&gt;"",$A2302&lt;&gt;""),IF(IFERROR(INDEX(ProcRet,MATCH($E2302,ProcNome,0)),0)&gt;0,$A2302+INDEX(ProcRet,MATCH($E2302,ProcNome,0)),""),"")</f>
        <v>0</v>
      </c>
      <c r="R2302" s="26">
        <f>IF($Q2302="","",IF(COUNTIFS(AgPac,$D2302,AgData,"&gt;"&amp;$A2302,AgStatus,"&lt;&gt;Cancelado",AgStatus,"&lt;&gt;Remarcado")&gt;0,"Sim","Não"))</f>
        <v>0</v>
      </c>
      <c r="S2302" s="28">
        <f>IF($A2302="","",IF(AND($F2302="Agendado",$A2302-Hoje&gt;=0,$A2302-Hoje&lt;=DiasConf),"CONFIRMAR",IF(AND($A2302&lt;Hoje,OR($F2302="Agendado",$F2302="Confirmado")),"Atualizar status",IF(AND($F2302="Compareceu",$P2302&gt;0.005),"Cobrar",IF($F2302="Faltou","Falta: reagendar","")))))</f>
        <v>0</v>
      </c>
      <c r="T2302" s="29">
        <f>IF($A2302="","",DATE(YEAR($A2302),MONTH($A2302),1))</f>
        <v>0</v>
      </c>
      <c r="U2302" s="30">
        <f>IF($S2302="CONFIRMAR",MAX($U$4:$U2301)+1,"")</f>
        <v>0</v>
      </c>
      <c r="V2302" s="30">
        <f>IF(AND($R2302="Não",$Q2302&lt;&gt;"",$Q2302&lt;=Hoje+JanelaRet,$Q2302&gt;=Hoje-60),MAX($V$4:$V2301)+1,"")</f>
        <v>0</v>
      </c>
    </row>
    <row r="2303" spans="1:22">
      <c r="A2303" s="16"/>
      <c r="B2303" s="23"/>
      <c r="C2303" s="15"/>
      <c r="D2303" s="15"/>
      <c r="E2303" s="15"/>
      <c r="F2303" s="24"/>
      <c r="G2303" s="17"/>
      <c r="H2303" s="17"/>
      <c r="I2303" s="15"/>
      <c r="J2303" s="25">
        <f>IF($D2303="","",IFERROR(INDEX(PacNome,MATCH($D2303,PacCod,0)),"Paciente não cadastrado"))</f>
        <v>0</v>
      </c>
      <c r="K2303" s="26">
        <f>IF($D2303="","",IFERROR(INDEX(PacConv,MATCH($D2303,PacCod,0))&amp;"",""))</f>
        <v>0</v>
      </c>
      <c r="L2303" s="26">
        <f>IF($A2303="","",CHOOSE(WEEKDAY($A2303,2),"Seg","Ter","Qua","Qui","Sex","Sáb","Dom"))</f>
        <v>0</v>
      </c>
      <c r="M2303" s="27">
        <f>IF($E2303="","",IF($G2303&lt;&gt;"",$G2303,IFERROR(INDEX(ProcValor,MATCH($E2303,ProcNome,0)),0)))</f>
        <v>0</v>
      </c>
      <c r="N2303" s="27">
        <f>IF($M2303="","",IF($F2303="Compareceu",$M2303,0))</f>
        <v>0</v>
      </c>
      <c r="O2303" s="27">
        <f>IF($M2303="","",IF($F2303="Faltou",$M2303,0))</f>
        <v>0</v>
      </c>
      <c r="P2303" s="27">
        <f>IF($M2303="","",IF($F2303="Compareceu",MAX(0,$M2303-N($H2303)),0))</f>
        <v>0</v>
      </c>
      <c r="Q2303" s="19">
        <f>IF(AND($F2303="Compareceu",$E2303&lt;&gt;"",$A2303&lt;&gt;""),IF(IFERROR(INDEX(ProcRet,MATCH($E2303,ProcNome,0)),0)&gt;0,$A2303+INDEX(ProcRet,MATCH($E2303,ProcNome,0)),""),"")</f>
        <v>0</v>
      </c>
      <c r="R2303" s="26">
        <f>IF($Q2303="","",IF(COUNTIFS(AgPac,$D2303,AgData,"&gt;"&amp;$A2303,AgStatus,"&lt;&gt;Cancelado",AgStatus,"&lt;&gt;Remarcado")&gt;0,"Sim","Não"))</f>
        <v>0</v>
      </c>
      <c r="S2303" s="28">
        <f>IF($A2303="","",IF(AND($F2303="Agendado",$A2303-Hoje&gt;=0,$A2303-Hoje&lt;=DiasConf),"CONFIRMAR",IF(AND($A2303&lt;Hoje,OR($F2303="Agendado",$F2303="Confirmado")),"Atualizar status",IF(AND($F2303="Compareceu",$P2303&gt;0.005),"Cobrar",IF($F2303="Faltou","Falta: reagendar","")))))</f>
        <v>0</v>
      </c>
      <c r="T2303" s="29">
        <f>IF($A2303="","",DATE(YEAR($A2303),MONTH($A2303),1))</f>
        <v>0</v>
      </c>
      <c r="U2303" s="30">
        <f>IF($S2303="CONFIRMAR",MAX($U$4:$U2302)+1,"")</f>
        <v>0</v>
      </c>
      <c r="V2303" s="30">
        <f>IF(AND($R2303="Não",$Q2303&lt;&gt;"",$Q2303&lt;=Hoje+JanelaRet,$Q2303&gt;=Hoje-60),MAX($V$4:$V2302)+1,"")</f>
        <v>0</v>
      </c>
    </row>
    <row r="2304" spans="1:22">
      <c r="A2304" s="16"/>
      <c r="B2304" s="23"/>
      <c r="C2304" s="15"/>
      <c r="D2304" s="15"/>
      <c r="E2304" s="15"/>
      <c r="F2304" s="24"/>
      <c r="G2304" s="17"/>
      <c r="H2304" s="17"/>
      <c r="I2304" s="15"/>
      <c r="J2304" s="25">
        <f>IF($D2304="","",IFERROR(INDEX(PacNome,MATCH($D2304,PacCod,0)),"Paciente não cadastrado"))</f>
        <v>0</v>
      </c>
      <c r="K2304" s="26">
        <f>IF($D2304="","",IFERROR(INDEX(PacConv,MATCH($D2304,PacCod,0))&amp;"",""))</f>
        <v>0</v>
      </c>
      <c r="L2304" s="26">
        <f>IF($A2304="","",CHOOSE(WEEKDAY($A2304,2),"Seg","Ter","Qua","Qui","Sex","Sáb","Dom"))</f>
        <v>0</v>
      </c>
      <c r="M2304" s="27">
        <f>IF($E2304="","",IF($G2304&lt;&gt;"",$G2304,IFERROR(INDEX(ProcValor,MATCH($E2304,ProcNome,0)),0)))</f>
        <v>0</v>
      </c>
      <c r="N2304" s="27">
        <f>IF($M2304="","",IF($F2304="Compareceu",$M2304,0))</f>
        <v>0</v>
      </c>
      <c r="O2304" s="27">
        <f>IF($M2304="","",IF($F2304="Faltou",$M2304,0))</f>
        <v>0</v>
      </c>
      <c r="P2304" s="27">
        <f>IF($M2304="","",IF($F2304="Compareceu",MAX(0,$M2304-N($H2304)),0))</f>
        <v>0</v>
      </c>
      <c r="Q2304" s="19">
        <f>IF(AND($F2304="Compareceu",$E2304&lt;&gt;"",$A2304&lt;&gt;""),IF(IFERROR(INDEX(ProcRet,MATCH($E2304,ProcNome,0)),0)&gt;0,$A2304+INDEX(ProcRet,MATCH($E2304,ProcNome,0)),""),"")</f>
        <v>0</v>
      </c>
      <c r="R2304" s="26">
        <f>IF($Q2304="","",IF(COUNTIFS(AgPac,$D2304,AgData,"&gt;"&amp;$A2304,AgStatus,"&lt;&gt;Cancelado",AgStatus,"&lt;&gt;Remarcado")&gt;0,"Sim","Não"))</f>
        <v>0</v>
      </c>
      <c r="S2304" s="28">
        <f>IF($A2304="","",IF(AND($F2304="Agendado",$A2304-Hoje&gt;=0,$A2304-Hoje&lt;=DiasConf),"CONFIRMAR",IF(AND($A2304&lt;Hoje,OR($F2304="Agendado",$F2304="Confirmado")),"Atualizar status",IF(AND($F2304="Compareceu",$P2304&gt;0.005),"Cobrar",IF($F2304="Faltou","Falta: reagendar","")))))</f>
        <v>0</v>
      </c>
      <c r="T2304" s="29">
        <f>IF($A2304="","",DATE(YEAR($A2304),MONTH($A2304),1))</f>
        <v>0</v>
      </c>
      <c r="U2304" s="30">
        <f>IF($S2304="CONFIRMAR",MAX($U$4:$U2303)+1,"")</f>
        <v>0</v>
      </c>
      <c r="V2304" s="30">
        <f>IF(AND($R2304="Não",$Q2304&lt;&gt;"",$Q2304&lt;=Hoje+JanelaRet,$Q2304&gt;=Hoje-60),MAX($V$4:$V2303)+1,"")</f>
        <v>0</v>
      </c>
    </row>
    <row r="2305" spans="1:22">
      <c r="A2305" s="16"/>
      <c r="B2305" s="23"/>
      <c r="C2305" s="15"/>
      <c r="D2305" s="15"/>
      <c r="E2305" s="15"/>
      <c r="F2305" s="24"/>
      <c r="G2305" s="17"/>
      <c r="H2305" s="17"/>
      <c r="I2305" s="15"/>
      <c r="J2305" s="25">
        <f>IF($D2305="","",IFERROR(INDEX(PacNome,MATCH($D2305,PacCod,0)),"Paciente não cadastrado"))</f>
        <v>0</v>
      </c>
      <c r="K2305" s="26">
        <f>IF($D2305="","",IFERROR(INDEX(PacConv,MATCH($D2305,PacCod,0))&amp;"",""))</f>
        <v>0</v>
      </c>
      <c r="L2305" s="26">
        <f>IF($A2305="","",CHOOSE(WEEKDAY($A2305,2),"Seg","Ter","Qua","Qui","Sex","Sáb","Dom"))</f>
        <v>0</v>
      </c>
      <c r="M2305" s="27">
        <f>IF($E2305="","",IF($G2305&lt;&gt;"",$G2305,IFERROR(INDEX(ProcValor,MATCH($E2305,ProcNome,0)),0)))</f>
        <v>0</v>
      </c>
      <c r="N2305" s="27">
        <f>IF($M2305="","",IF($F2305="Compareceu",$M2305,0))</f>
        <v>0</v>
      </c>
      <c r="O2305" s="27">
        <f>IF($M2305="","",IF($F2305="Faltou",$M2305,0))</f>
        <v>0</v>
      </c>
      <c r="P2305" s="27">
        <f>IF($M2305="","",IF($F2305="Compareceu",MAX(0,$M2305-N($H2305)),0))</f>
        <v>0</v>
      </c>
      <c r="Q2305" s="19">
        <f>IF(AND($F2305="Compareceu",$E2305&lt;&gt;"",$A2305&lt;&gt;""),IF(IFERROR(INDEX(ProcRet,MATCH($E2305,ProcNome,0)),0)&gt;0,$A2305+INDEX(ProcRet,MATCH($E2305,ProcNome,0)),""),"")</f>
        <v>0</v>
      </c>
      <c r="R2305" s="26">
        <f>IF($Q2305="","",IF(COUNTIFS(AgPac,$D2305,AgData,"&gt;"&amp;$A2305,AgStatus,"&lt;&gt;Cancelado",AgStatus,"&lt;&gt;Remarcado")&gt;0,"Sim","Não"))</f>
        <v>0</v>
      </c>
      <c r="S2305" s="28">
        <f>IF($A2305="","",IF(AND($F2305="Agendado",$A2305-Hoje&gt;=0,$A2305-Hoje&lt;=DiasConf),"CONFIRMAR",IF(AND($A2305&lt;Hoje,OR($F2305="Agendado",$F2305="Confirmado")),"Atualizar status",IF(AND($F2305="Compareceu",$P2305&gt;0.005),"Cobrar",IF($F2305="Faltou","Falta: reagendar","")))))</f>
        <v>0</v>
      </c>
      <c r="T2305" s="29">
        <f>IF($A2305="","",DATE(YEAR($A2305),MONTH($A2305),1))</f>
        <v>0</v>
      </c>
      <c r="U2305" s="30">
        <f>IF($S2305="CONFIRMAR",MAX($U$4:$U2304)+1,"")</f>
        <v>0</v>
      </c>
      <c r="V2305" s="30">
        <f>IF(AND($R2305="Não",$Q2305&lt;&gt;"",$Q2305&lt;=Hoje+JanelaRet,$Q2305&gt;=Hoje-60),MAX($V$4:$V2304)+1,"")</f>
        <v>0</v>
      </c>
    </row>
    <row r="2306" spans="1:22">
      <c r="A2306" s="16"/>
      <c r="B2306" s="23"/>
      <c r="C2306" s="15"/>
      <c r="D2306" s="15"/>
      <c r="E2306" s="15"/>
      <c r="F2306" s="24"/>
      <c r="G2306" s="17"/>
      <c r="H2306" s="17"/>
      <c r="I2306" s="15"/>
      <c r="J2306" s="25">
        <f>IF($D2306="","",IFERROR(INDEX(PacNome,MATCH($D2306,PacCod,0)),"Paciente não cadastrado"))</f>
        <v>0</v>
      </c>
      <c r="K2306" s="26">
        <f>IF($D2306="","",IFERROR(INDEX(PacConv,MATCH($D2306,PacCod,0))&amp;"",""))</f>
        <v>0</v>
      </c>
      <c r="L2306" s="26">
        <f>IF($A2306="","",CHOOSE(WEEKDAY($A2306,2),"Seg","Ter","Qua","Qui","Sex","Sáb","Dom"))</f>
        <v>0</v>
      </c>
      <c r="M2306" s="27">
        <f>IF($E2306="","",IF($G2306&lt;&gt;"",$G2306,IFERROR(INDEX(ProcValor,MATCH($E2306,ProcNome,0)),0)))</f>
        <v>0</v>
      </c>
      <c r="N2306" s="27">
        <f>IF($M2306="","",IF($F2306="Compareceu",$M2306,0))</f>
        <v>0</v>
      </c>
      <c r="O2306" s="27">
        <f>IF($M2306="","",IF($F2306="Faltou",$M2306,0))</f>
        <v>0</v>
      </c>
      <c r="P2306" s="27">
        <f>IF($M2306="","",IF($F2306="Compareceu",MAX(0,$M2306-N($H2306)),0))</f>
        <v>0</v>
      </c>
      <c r="Q2306" s="19">
        <f>IF(AND($F2306="Compareceu",$E2306&lt;&gt;"",$A2306&lt;&gt;""),IF(IFERROR(INDEX(ProcRet,MATCH($E2306,ProcNome,0)),0)&gt;0,$A2306+INDEX(ProcRet,MATCH($E2306,ProcNome,0)),""),"")</f>
        <v>0</v>
      </c>
      <c r="R2306" s="26">
        <f>IF($Q2306="","",IF(COUNTIFS(AgPac,$D2306,AgData,"&gt;"&amp;$A2306,AgStatus,"&lt;&gt;Cancelado",AgStatus,"&lt;&gt;Remarcado")&gt;0,"Sim","Não"))</f>
        <v>0</v>
      </c>
      <c r="S2306" s="28">
        <f>IF($A2306="","",IF(AND($F2306="Agendado",$A2306-Hoje&gt;=0,$A2306-Hoje&lt;=DiasConf),"CONFIRMAR",IF(AND($A2306&lt;Hoje,OR($F2306="Agendado",$F2306="Confirmado")),"Atualizar status",IF(AND($F2306="Compareceu",$P2306&gt;0.005),"Cobrar",IF($F2306="Faltou","Falta: reagendar","")))))</f>
        <v>0</v>
      </c>
      <c r="T2306" s="29">
        <f>IF($A2306="","",DATE(YEAR($A2306),MONTH($A2306),1))</f>
        <v>0</v>
      </c>
      <c r="U2306" s="30">
        <f>IF($S2306="CONFIRMAR",MAX($U$4:$U2305)+1,"")</f>
        <v>0</v>
      </c>
      <c r="V2306" s="30">
        <f>IF(AND($R2306="Não",$Q2306&lt;&gt;"",$Q2306&lt;=Hoje+JanelaRet,$Q2306&gt;=Hoje-60),MAX($V$4:$V2305)+1,"")</f>
        <v>0</v>
      </c>
    </row>
    <row r="2307" spans="1:22">
      <c r="A2307" s="16"/>
      <c r="B2307" s="23"/>
      <c r="C2307" s="15"/>
      <c r="D2307" s="15"/>
      <c r="E2307" s="15"/>
      <c r="F2307" s="24"/>
      <c r="G2307" s="17"/>
      <c r="H2307" s="17"/>
      <c r="I2307" s="15"/>
      <c r="J2307" s="25">
        <f>IF($D2307="","",IFERROR(INDEX(PacNome,MATCH($D2307,PacCod,0)),"Paciente não cadastrado"))</f>
        <v>0</v>
      </c>
      <c r="K2307" s="26">
        <f>IF($D2307="","",IFERROR(INDEX(PacConv,MATCH($D2307,PacCod,0))&amp;"",""))</f>
        <v>0</v>
      </c>
      <c r="L2307" s="26">
        <f>IF($A2307="","",CHOOSE(WEEKDAY($A2307,2),"Seg","Ter","Qua","Qui","Sex","Sáb","Dom"))</f>
        <v>0</v>
      </c>
      <c r="M2307" s="27">
        <f>IF($E2307="","",IF($G2307&lt;&gt;"",$G2307,IFERROR(INDEX(ProcValor,MATCH($E2307,ProcNome,0)),0)))</f>
        <v>0</v>
      </c>
      <c r="N2307" s="27">
        <f>IF($M2307="","",IF($F2307="Compareceu",$M2307,0))</f>
        <v>0</v>
      </c>
      <c r="O2307" s="27">
        <f>IF($M2307="","",IF($F2307="Faltou",$M2307,0))</f>
        <v>0</v>
      </c>
      <c r="P2307" s="27">
        <f>IF($M2307="","",IF($F2307="Compareceu",MAX(0,$M2307-N($H2307)),0))</f>
        <v>0</v>
      </c>
      <c r="Q2307" s="19">
        <f>IF(AND($F2307="Compareceu",$E2307&lt;&gt;"",$A2307&lt;&gt;""),IF(IFERROR(INDEX(ProcRet,MATCH($E2307,ProcNome,0)),0)&gt;0,$A2307+INDEX(ProcRet,MATCH($E2307,ProcNome,0)),""),"")</f>
        <v>0</v>
      </c>
      <c r="R2307" s="26">
        <f>IF($Q2307="","",IF(COUNTIFS(AgPac,$D2307,AgData,"&gt;"&amp;$A2307,AgStatus,"&lt;&gt;Cancelado",AgStatus,"&lt;&gt;Remarcado")&gt;0,"Sim","Não"))</f>
        <v>0</v>
      </c>
      <c r="S2307" s="28">
        <f>IF($A2307="","",IF(AND($F2307="Agendado",$A2307-Hoje&gt;=0,$A2307-Hoje&lt;=DiasConf),"CONFIRMAR",IF(AND($A2307&lt;Hoje,OR($F2307="Agendado",$F2307="Confirmado")),"Atualizar status",IF(AND($F2307="Compareceu",$P2307&gt;0.005),"Cobrar",IF($F2307="Faltou","Falta: reagendar","")))))</f>
        <v>0</v>
      </c>
      <c r="T2307" s="29">
        <f>IF($A2307="","",DATE(YEAR($A2307),MONTH($A2307),1))</f>
        <v>0</v>
      </c>
      <c r="U2307" s="30">
        <f>IF($S2307="CONFIRMAR",MAX($U$4:$U2306)+1,"")</f>
        <v>0</v>
      </c>
      <c r="V2307" s="30">
        <f>IF(AND($R2307="Não",$Q2307&lt;&gt;"",$Q2307&lt;=Hoje+JanelaRet,$Q2307&gt;=Hoje-60),MAX($V$4:$V2306)+1,"")</f>
        <v>0</v>
      </c>
    </row>
    <row r="2308" spans="1:22">
      <c r="A2308" s="16"/>
      <c r="B2308" s="23"/>
      <c r="C2308" s="15"/>
      <c r="D2308" s="15"/>
      <c r="E2308" s="15"/>
      <c r="F2308" s="24"/>
      <c r="G2308" s="17"/>
      <c r="H2308" s="17"/>
      <c r="I2308" s="15"/>
      <c r="J2308" s="25">
        <f>IF($D2308="","",IFERROR(INDEX(PacNome,MATCH($D2308,PacCod,0)),"Paciente não cadastrado"))</f>
        <v>0</v>
      </c>
      <c r="K2308" s="26">
        <f>IF($D2308="","",IFERROR(INDEX(PacConv,MATCH($D2308,PacCod,0))&amp;"",""))</f>
        <v>0</v>
      </c>
      <c r="L2308" s="26">
        <f>IF($A2308="","",CHOOSE(WEEKDAY($A2308,2),"Seg","Ter","Qua","Qui","Sex","Sáb","Dom"))</f>
        <v>0</v>
      </c>
      <c r="M2308" s="27">
        <f>IF($E2308="","",IF($G2308&lt;&gt;"",$G2308,IFERROR(INDEX(ProcValor,MATCH($E2308,ProcNome,0)),0)))</f>
        <v>0</v>
      </c>
      <c r="N2308" s="27">
        <f>IF($M2308="","",IF($F2308="Compareceu",$M2308,0))</f>
        <v>0</v>
      </c>
      <c r="O2308" s="27">
        <f>IF($M2308="","",IF($F2308="Faltou",$M2308,0))</f>
        <v>0</v>
      </c>
      <c r="P2308" s="27">
        <f>IF($M2308="","",IF($F2308="Compareceu",MAX(0,$M2308-N($H2308)),0))</f>
        <v>0</v>
      </c>
      <c r="Q2308" s="19">
        <f>IF(AND($F2308="Compareceu",$E2308&lt;&gt;"",$A2308&lt;&gt;""),IF(IFERROR(INDEX(ProcRet,MATCH($E2308,ProcNome,0)),0)&gt;0,$A2308+INDEX(ProcRet,MATCH($E2308,ProcNome,0)),""),"")</f>
        <v>0</v>
      </c>
      <c r="R2308" s="26">
        <f>IF($Q2308="","",IF(COUNTIFS(AgPac,$D2308,AgData,"&gt;"&amp;$A2308,AgStatus,"&lt;&gt;Cancelado",AgStatus,"&lt;&gt;Remarcado")&gt;0,"Sim","Não"))</f>
        <v>0</v>
      </c>
      <c r="S2308" s="28">
        <f>IF($A2308="","",IF(AND($F2308="Agendado",$A2308-Hoje&gt;=0,$A2308-Hoje&lt;=DiasConf),"CONFIRMAR",IF(AND($A2308&lt;Hoje,OR($F2308="Agendado",$F2308="Confirmado")),"Atualizar status",IF(AND($F2308="Compareceu",$P2308&gt;0.005),"Cobrar",IF($F2308="Faltou","Falta: reagendar","")))))</f>
        <v>0</v>
      </c>
      <c r="T2308" s="29">
        <f>IF($A2308="","",DATE(YEAR($A2308),MONTH($A2308),1))</f>
        <v>0</v>
      </c>
      <c r="U2308" s="30">
        <f>IF($S2308="CONFIRMAR",MAX($U$4:$U2307)+1,"")</f>
        <v>0</v>
      </c>
      <c r="V2308" s="30">
        <f>IF(AND($R2308="Não",$Q2308&lt;&gt;"",$Q2308&lt;=Hoje+JanelaRet,$Q2308&gt;=Hoje-60),MAX($V$4:$V2307)+1,"")</f>
        <v>0</v>
      </c>
    </row>
    <row r="2309" spans="1:22">
      <c r="A2309" s="16"/>
      <c r="B2309" s="23"/>
      <c r="C2309" s="15"/>
      <c r="D2309" s="15"/>
      <c r="E2309" s="15"/>
      <c r="F2309" s="24"/>
      <c r="G2309" s="17"/>
      <c r="H2309" s="17"/>
      <c r="I2309" s="15"/>
      <c r="J2309" s="25">
        <f>IF($D2309="","",IFERROR(INDEX(PacNome,MATCH($D2309,PacCod,0)),"Paciente não cadastrado"))</f>
        <v>0</v>
      </c>
      <c r="K2309" s="26">
        <f>IF($D2309="","",IFERROR(INDEX(PacConv,MATCH($D2309,PacCod,0))&amp;"",""))</f>
        <v>0</v>
      </c>
      <c r="L2309" s="26">
        <f>IF($A2309="","",CHOOSE(WEEKDAY($A2309,2),"Seg","Ter","Qua","Qui","Sex","Sáb","Dom"))</f>
        <v>0</v>
      </c>
      <c r="M2309" s="27">
        <f>IF($E2309="","",IF($G2309&lt;&gt;"",$G2309,IFERROR(INDEX(ProcValor,MATCH($E2309,ProcNome,0)),0)))</f>
        <v>0</v>
      </c>
      <c r="N2309" s="27">
        <f>IF($M2309="","",IF($F2309="Compareceu",$M2309,0))</f>
        <v>0</v>
      </c>
      <c r="O2309" s="27">
        <f>IF($M2309="","",IF($F2309="Faltou",$M2309,0))</f>
        <v>0</v>
      </c>
      <c r="P2309" s="27">
        <f>IF($M2309="","",IF($F2309="Compareceu",MAX(0,$M2309-N($H2309)),0))</f>
        <v>0</v>
      </c>
      <c r="Q2309" s="19">
        <f>IF(AND($F2309="Compareceu",$E2309&lt;&gt;"",$A2309&lt;&gt;""),IF(IFERROR(INDEX(ProcRet,MATCH($E2309,ProcNome,0)),0)&gt;0,$A2309+INDEX(ProcRet,MATCH($E2309,ProcNome,0)),""),"")</f>
        <v>0</v>
      </c>
      <c r="R2309" s="26">
        <f>IF($Q2309="","",IF(COUNTIFS(AgPac,$D2309,AgData,"&gt;"&amp;$A2309,AgStatus,"&lt;&gt;Cancelado",AgStatus,"&lt;&gt;Remarcado")&gt;0,"Sim","Não"))</f>
        <v>0</v>
      </c>
      <c r="S2309" s="28">
        <f>IF($A2309="","",IF(AND($F2309="Agendado",$A2309-Hoje&gt;=0,$A2309-Hoje&lt;=DiasConf),"CONFIRMAR",IF(AND($A2309&lt;Hoje,OR($F2309="Agendado",$F2309="Confirmado")),"Atualizar status",IF(AND($F2309="Compareceu",$P2309&gt;0.005),"Cobrar",IF($F2309="Faltou","Falta: reagendar","")))))</f>
        <v>0</v>
      </c>
      <c r="T2309" s="29">
        <f>IF($A2309="","",DATE(YEAR($A2309),MONTH($A2309),1))</f>
        <v>0</v>
      </c>
      <c r="U2309" s="30">
        <f>IF($S2309="CONFIRMAR",MAX($U$4:$U2308)+1,"")</f>
        <v>0</v>
      </c>
      <c r="V2309" s="30">
        <f>IF(AND($R2309="Não",$Q2309&lt;&gt;"",$Q2309&lt;=Hoje+JanelaRet,$Q2309&gt;=Hoje-60),MAX($V$4:$V2308)+1,"")</f>
        <v>0</v>
      </c>
    </row>
    <row r="2310" spans="1:22">
      <c r="A2310" s="16"/>
      <c r="B2310" s="23"/>
      <c r="C2310" s="15"/>
      <c r="D2310" s="15"/>
      <c r="E2310" s="15"/>
      <c r="F2310" s="24"/>
      <c r="G2310" s="17"/>
      <c r="H2310" s="17"/>
      <c r="I2310" s="15"/>
      <c r="J2310" s="25">
        <f>IF($D2310="","",IFERROR(INDEX(PacNome,MATCH($D2310,PacCod,0)),"Paciente não cadastrado"))</f>
        <v>0</v>
      </c>
      <c r="K2310" s="26">
        <f>IF($D2310="","",IFERROR(INDEX(PacConv,MATCH($D2310,PacCod,0))&amp;"",""))</f>
        <v>0</v>
      </c>
      <c r="L2310" s="26">
        <f>IF($A2310="","",CHOOSE(WEEKDAY($A2310,2),"Seg","Ter","Qua","Qui","Sex","Sáb","Dom"))</f>
        <v>0</v>
      </c>
      <c r="M2310" s="27">
        <f>IF($E2310="","",IF($G2310&lt;&gt;"",$G2310,IFERROR(INDEX(ProcValor,MATCH($E2310,ProcNome,0)),0)))</f>
        <v>0</v>
      </c>
      <c r="N2310" s="27">
        <f>IF($M2310="","",IF($F2310="Compareceu",$M2310,0))</f>
        <v>0</v>
      </c>
      <c r="O2310" s="27">
        <f>IF($M2310="","",IF($F2310="Faltou",$M2310,0))</f>
        <v>0</v>
      </c>
      <c r="P2310" s="27">
        <f>IF($M2310="","",IF($F2310="Compareceu",MAX(0,$M2310-N($H2310)),0))</f>
        <v>0</v>
      </c>
      <c r="Q2310" s="19">
        <f>IF(AND($F2310="Compareceu",$E2310&lt;&gt;"",$A2310&lt;&gt;""),IF(IFERROR(INDEX(ProcRet,MATCH($E2310,ProcNome,0)),0)&gt;0,$A2310+INDEX(ProcRet,MATCH($E2310,ProcNome,0)),""),"")</f>
        <v>0</v>
      </c>
      <c r="R2310" s="26">
        <f>IF($Q2310="","",IF(COUNTIFS(AgPac,$D2310,AgData,"&gt;"&amp;$A2310,AgStatus,"&lt;&gt;Cancelado",AgStatus,"&lt;&gt;Remarcado")&gt;0,"Sim","Não"))</f>
        <v>0</v>
      </c>
      <c r="S2310" s="28">
        <f>IF($A2310="","",IF(AND($F2310="Agendado",$A2310-Hoje&gt;=0,$A2310-Hoje&lt;=DiasConf),"CONFIRMAR",IF(AND($A2310&lt;Hoje,OR($F2310="Agendado",$F2310="Confirmado")),"Atualizar status",IF(AND($F2310="Compareceu",$P2310&gt;0.005),"Cobrar",IF($F2310="Faltou","Falta: reagendar","")))))</f>
        <v>0</v>
      </c>
      <c r="T2310" s="29">
        <f>IF($A2310="","",DATE(YEAR($A2310),MONTH($A2310),1))</f>
        <v>0</v>
      </c>
      <c r="U2310" s="30">
        <f>IF($S2310="CONFIRMAR",MAX($U$4:$U2309)+1,"")</f>
        <v>0</v>
      </c>
      <c r="V2310" s="30">
        <f>IF(AND($R2310="Não",$Q2310&lt;&gt;"",$Q2310&lt;=Hoje+JanelaRet,$Q2310&gt;=Hoje-60),MAX($V$4:$V2309)+1,"")</f>
        <v>0</v>
      </c>
    </row>
    <row r="2311" spans="1:22">
      <c r="A2311" s="16"/>
      <c r="B2311" s="23"/>
      <c r="C2311" s="15"/>
      <c r="D2311" s="15"/>
      <c r="E2311" s="15"/>
      <c r="F2311" s="24"/>
      <c r="G2311" s="17"/>
      <c r="H2311" s="17"/>
      <c r="I2311" s="15"/>
      <c r="J2311" s="25">
        <f>IF($D2311="","",IFERROR(INDEX(PacNome,MATCH($D2311,PacCod,0)),"Paciente não cadastrado"))</f>
        <v>0</v>
      </c>
      <c r="K2311" s="26">
        <f>IF($D2311="","",IFERROR(INDEX(PacConv,MATCH($D2311,PacCod,0))&amp;"",""))</f>
        <v>0</v>
      </c>
      <c r="L2311" s="26">
        <f>IF($A2311="","",CHOOSE(WEEKDAY($A2311,2),"Seg","Ter","Qua","Qui","Sex","Sáb","Dom"))</f>
        <v>0</v>
      </c>
      <c r="M2311" s="27">
        <f>IF($E2311="","",IF($G2311&lt;&gt;"",$G2311,IFERROR(INDEX(ProcValor,MATCH($E2311,ProcNome,0)),0)))</f>
        <v>0</v>
      </c>
      <c r="N2311" s="27">
        <f>IF($M2311="","",IF($F2311="Compareceu",$M2311,0))</f>
        <v>0</v>
      </c>
      <c r="O2311" s="27">
        <f>IF($M2311="","",IF($F2311="Faltou",$M2311,0))</f>
        <v>0</v>
      </c>
      <c r="P2311" s="27">
        <f>IF($M2311="","",IF($F2311="Compareceu",MAX(0,$M2311-N($H2311)),0))</f>
        <v>0</v>
      </c>
      <c r="Q2311" s="19">
        <f>IF(AND($F2311="Compareceu",$E2311&lt;&gt;"",$A2311&lt;&gt;""),IF(IFERROR(INDEX(ProcRet,MATCH($E2311,ProcNome,0)),0)&gt;0,$A2311+INDEX(ProcRet,MATCH($E2311,ProcNome,0)),""),"")</f>
        <v>0</v>
      </c>
      <c r="R2311" s="26">
        <f>IF($Q2311="","",IF(COUNTIFS(AgPac,$D2311,AgData,"&gt;"&amp;$A2311,AgStatus,"&lt;&gt;Cancelado",AgStatus,"&lt;&gt;Remarcado")&gt;0,"Sim","Não"))</f>
        <v>0</v>
      </c>
      <c r="S2311" s="28">
        <f>IF($A2311="","",IF(AND($F2311="Agendado",$A2311-Hoje&gt;=0,$A2311-Hoje&lt;=DiasConf),"CONFIRMAR",IF(AND($A2311&lt;Hoje,OR($F2311="Agendado",$F2311="Confirmado")),"Atualizar status",IF(AND($F2311="Compareceu",$P2311&gt;0.005),"Cobrar",IF($F2311="Faltou","Falta: reagendar","")))))</f>
        <v>0</v>
      </c>
      <c r="T2311" s="29">
        <f>IF($A2311="","",DATE(YEAR($A2311),MONTH($A2311),1))</f>
        <v>0</v>
      </c>
      <c r="U2311" s="30">
        <f>IF($S2311="CONFIRMAR",MAX($U$4:$U2310)+1,"")</f>
        <v>0</v>
      </c>
      <c r="V2311" s="30">
        <f>IF(AND($R2311="Não",$Q2311&lt;&gt;"",$Q2311&lt;=Hoje+JanelaRet,$Q2311&gt;=Hoje-60),MAX($V$4:$V2310)+1,"")</f>
        <v>0</v>
      </c>
    </row>
    <row r="2312" spans="1:22">
      <c r="A2312" s="16"/>
      <c r="B2312" s="23"/>
      <c r="C2312" s="15"/>
      <c r="D2312" s="15"/>
      <c r="E2312" s="15"/>
      <c r="F2312" s="24"/>
      <c r="G2312" s="17"/>
      <c r="H2312" s="17"/>
      <c r="I2312" s="15"/>
      <c r="J2312" s="25">
        <f>IF($D2312="","",IFERROR(INDEX(PacNome,MATCH($D2312,PacCod,0)),"Paciente não cadastrado"))</f>
        <v>0</v>
      </c>
      <c r="K2312" s="26">
        <f>IF($D2312="","",IFERROR(INDEX(PacConv,MATCH($D2312,PacCod,0))&amp;"",""))</f>
        <v>0</v>
      </c>
      <c r="L2312" s="26">
        <f>IF($A2312="","",CHOOSE(WEEKDAY($A2312,2),"Seg","Ter","Qua","Qui","Sex","Sáb","Dom"))</f>
        <v>0</v>
      </c>
      <c r="M2312" s="27">
        <f>IF($E2312="","",IF($G2312&lt;&gt;"",$G2312,IFERROR(INDEX(ProcValor,MATCH($E2312,ProcNome,0)),0)))</f>
        <v>0</v>
      </c>
      <c r="N2312" s="27">
        <f>IF($M2312="","",IF($F2312="Compareceu",$M2312,0))</f>
        <v>0</v>
      </c>
      <c r="O2312" s="27">
        <f>IF($M2312="","",IF($F2312="Faltou",$M2312,0))</f>
        <v>0</v>
      </c>
      <c r="P2312" s="27">
        <f>IF($M2312="","",IF($F2312="Compareceu",MAX(0,$M2312-N($H2312)),0))</f>
        <v>0</v>
      </c>
      <c r="Q2312" s="19">
        <f>IF(AND($F2312="Compareceu",$E2312&lt;&gt;"",$A2312&lt;&gt;""),IF(IFERROR(INDEX(ProcRet,MATCH($E2312,ProcNome,0)),0)&gt;0,$A2312+INDEX(ProcRet,MATCH($E2312,ProcNome,0)),""),"")</f>
        <v>0</v>
      </c>
      <c r="R2312" s="26">
        <f>IF($Q2312="","",IF(COUNTIFS(AgPac,$D2312,AgData,"&gt;"&amp;$A2312,AgStatus,"&lt;&gt;Cancelado",AgStatus,"&lt;&gt;Remarcado")&gt;0,"Sim","Não"))</f>
        <v>0</v>
      </c>
      <c r="S2312" s="28">
        <f>IF($A2312="","",IF(AND($F2312="Agendado",$A2312-Hoje&gt;=0,$A2312-Hoje&lt;=DiasConf),"CONFIRMAR",IF(AND($A2312&lt;Hoje,OR($F2312="Agendado",$F2312="Confirmado")),"Atualizar status",IF(AND($F2312="Compareceu",$P2312&gt;0.005),"Cobrar",IF($F2312="Faltou","Falta: reagendar","")))))</f>
        <v>0</v>
      </c>
      <c r="T2312" s="29">
        <f>IF($A2312="","",DATE(YEAR($A2312),MONTH($A2312),1))</f>
        <v>0</v>
      </c>
      <c r="U2312" s="30">
        <f>IF($S2312="CONFIRMAR",MAX($U$4:$U2311)+1,"")</f>
        <v>0</v>
      </c>
      <c r="V2312" s="30">
        <f>IF(AND($R2312="Não",$Q2312&lt;&gt;"",$Q2312&lt;=Hoje+JanelaRet,$Q2312&gt;=Hoje-60),MAX($V$4:$V2311)+1,"")</f>
        <v>0</v>
      </c>
    </row>
    <row r="2313" spans="1:22">
      <c r="A2313" s="16"/>
      <c r="B2313" s="23"/>
      <c r="C2313" s="15"/>
      <c r="D2313" s="15"/>
      <c r="E2313" s="15"/>
      <c r="F2313" s="24"/>
      <c r="G2313" s="17"/>
      <c r="H2313" s="17"/>
      <c r="I2313" s="15"/>
      <c r="J2313" s="25">
        <f>IF($D2313="","",IFERROR(INDEX(PacNome,MATCH($D2313,PacCod,0)),"Paciente não cadastrado"))</f>
        <v>0</v>
      </c>
      <c r="K2313" s="26">
        <f>IF($D2313="","",IFERROR(INDEX(PacConv,MATCH($D2313,PacCod,0))&amp;"",""))</f>
        <v>0</v>
      </c>
      <c r="L2313" s="26">
        <f>IF($A2313="","",CHOOSE(WEEKDAY($A2313,2),"Seg","Ter","Qua","Qui","Sex","Sáb","Dom"))</f>
        <v>0</v>
      </c>
      <c r="M2313" s="27">
        <f>IF($E2313="","",IF($G2313&lt;&gt;"",$G2313,IFERROR(INDEX(ProcValor,MATCH($E2313,ProcNome,0)),0)))</f>
        <v>0</v>
      </c>
      <c r="N2313" s="27">
        <f>IF($M2313="","",IF($F2313="Compareceu",$M2313,0))</f>
        <v>0</v>
      </c>
      <c r="O2313" s="27">
        <f>IF($M2313="","",IF($F2313="Faltou",$M2313,0))</f>
        <v>0</v>
      </c>
      <c r="P2313" s="27">
        <f>IF($M2313="","",IF($F2313="Compareceu",MAX(0,$M2313-N($H2313)),0))</f>
        <v>0</v>
      </c>
      <c r="Q2313" s="19">
        <f>IF(AND($F2313="Compareceu",$E2313&lt;&gt;"",$A2313&lt;&gt;""),IF(IFERROR(INDEX(ProcRet,MATCH($E2313,ProcNome,0)),0)&gt;0,$A2313+INDEX(ProcRet,MATCH($E2313,ProcNome,0)),""),"")</f>
        <v>0</v>
      </c>
      <c r="R2313" s="26">
        <f>IF($Q2313="","",IF(COUNTIFS(AgPac,$D2313,AgData,"&gt;"&amp;$A2313,AgStatus,"&lt;&gt;Cancelado",AgStatus,"&lt;&gt;Remarcado")&gt;0,"Sim","Não"))</f>
        <v>0</v>
      </c>
      <c r="S2313" s="28">
        <f>IF($A2313="","",IF(AND($F2313="Agendado",$A2313-Hoje&gt;=0,$A2313-Hoje&lt;=DiasConf),"CONFIRMAR",IF(AND($A2313&lt;Hoje,OR($F2313="Agendado",$F2313="Confirmado")),"Atualizar status",IF(AND($F2313="Compareceu",$P2313&gt;0.005),"Cobrar",IF($F2313="Faltou","Falta: reagendar","")))))</f>
        <v>0</v>
      </c>
      <c r="T2313" s="29">
        <f>IF($A2313="","",DATE(YEAR($A2313),MONTH($A2313),1))</f>
        <v>0</v>
      </c>
      <c r="U2313" s="30">
        <f>IF($S2313="CONFIRMAR",MAX($U$4:$U2312)+1,"")</f>
        <v>0</v>
      </c>
      <c r="V2313" s="30">
        <f>IF(AND($R2313="Não",$Q2313&lt;&gt;"",$Q2313&lt;=Hoje+JanelaRet,$Q2313&gt;=Hoje-60),MAX($V$4:$V2312)+1,"")</f>
        <v>0</v>
      </c>
    </row>
    <row r="2314" spans="1:22">
      <c r="A2314" s="16"/>
      <c r="B2314" s="23"/>
      <c r="C2314" s="15"/>
      <c r="D2314" s="15"/>
      <c r="E2314" s="15"/>
      <c r="F2314" s="24"/>
      <c r="G2314" s="17"/>
      <c r="H2314" s="17"/>
      <c r="I2314" s="15"/>
      <c r="J2314" s="25">
        <f>IF($D2314="","",IFERROR(INDEX(PacNome,MATCH($D2314,PacCod,0)),"Paciente não cadastrado"))</f>
        <v>0</v>
      </c>
      <c r="K2314" s="26">
        <f>IF($D2314="","",IFERROR(INDEX(PacConv,MATCH($D2314,PacCod,0))&amp;"",""))</f>
        <v>0</v>
      </c>
      <c r="L2314" s="26">
        <f>IF($A2314="","",CHOOSE(WEEKDAY($A2314,2),"Seg","Ter","Qua","Qui","Sex","Sáb","Dom"))</f>
        <v>0</v>
      </c>
      <c r="M2314" s="27">
        <f>IF($E2314="","",IF($G2314&lt;&gt;"",$G2314,IFERROR(INDEX(ProcValor,MATCH($E2314,ProcNome,0)),0)))</f>
        <v>0</v>
      </c>
      <c r="N2314" s="27">
        <f>IF($M2314="","",IF($F2314="Compareceu",$M2314,0))</f>
        <v>0</v>
      </c>
      <c r="O2314" s="27">
        <f>IF($M2314="","",IF($F2314="Faltou",$M2314,0))</f>
        <v>0</v>
      </c>
      <c r="P2314" s="27">
        <f>IF($M2314="","",IF($F2314="Compareceu",MAX(0,$M2314-N($H2314)),0))</f>
        <v>0</v>
      </c>
      <c r="Q2314" s="19">
        <f>IF(AND($F2314="Compareceu",$E2314&lt;&gt;"",$A2314&lt;&gt;""),IF(IFERROR(INDEX(ProcRet,MATCH($E2314,ProcNome,0)),0)&gt;0,$A2314+INDEX(ProcRet,MATCH($E2314,ProcNome,0)),""),"")</f>
        <v>0</v>
      </c>
      <c r="R2314" s="26">
        <f>IF($Q2314="","",IF(COUNTIFS(AgPac,$D2314,AgData,"&gt;"&amp;$A2314,AgStatus,"&lt;&gt;Cancelado",AgStatus,"&lt;&gt;Remarcado")&gt;0,"Sim","Não"))</f>
        <v>0</v>
      </c>
      <c r="S2314" s="28">
        <f>IF($A2314="","",IF(AND($F2314="Agendado",$A2314-Hoje&gt;=0,$A2314-Hoje&lt;=DiasConf),"CONFIRMAR",IF(AND($A2314&lt;Hoje,OR($F2314="Agendado",$F2314="Confirmado")),"Atualizar status",IF(AND($F2314="Compareceu",$P2314&gt;0.005),"Cobrar",IF($F2314="Faltou","Falta: reagendar","")))))</f>
        <v>0</v>
      </c>
      <c r="T2314" s="29">
        <f>IF($A2314="","",DATE(YEAR($A2314),MONTH($A2314),1))</f>
        <v>0</v>
      </c>
      <c r="U2314" s="30">
        <f>IF($S2314="CONFIRMAR",MAX($U$4:$U2313)+1,"")</f>
        <v>0</v>
      </c>
      <c r="V2314" s="30">
        <f>IF(AND($R2314="Não",$Q2314&lt;&gt;"",$Q2314&lt;=Hoje+JanelaRet,$Q2314&gt;=Hoje-60),MAX($V$4:$V2313)+1,"")</f>
        <v>0</v>
      </c>
    </row>
    <row r="2315" spans="1:22">
      <c r="A2315" s="16"/>
      <c r="B2315" s="23"/>
      <c r="C2315" s="15"/>
      <c r="D2315" s="15"/>
      <c r="E2315" s="15"/>
      <c r="F2315" s="24"/>
      <c r="G2315" s="17"/>
      <c r="H2315" s="17"/>
      <c r="I2315" s="15"/>
      <c r="J2315" s="25">
        <f>IF($D2315="","",IFERROR(INDEX(PacNome,MATCH($D2315,PacCod,0)),"Paciente não cadastrado"))</f>
        <v>0</v>
      </c>
      <c r="K2315" s="26">
        <f>IF($D2315="","",IFERROR(INDEX(PacConv,MATCH($D2315,PacCod,0))&amp;"",""))</f>
        <v>0</v>
      </c>
      <c r="L2315" s="26">
        <f>IF($A2315="","",CHOOSE(WEEKDAY($A2315,2),"Seg","Ter","Qua","Qui","Sex","Sáb","Dom"))</f>
        <v>0</v>
      </c>
      <c r="M2315" s="27">
        <f>IF($E2315="","",IF($G2315&lt;&gt;"",$G2315,IFERROR(INDEX(ProcValor,MATCH($E2315,ProcNome,0)),0)))</f>
        <v>0</v>
      </c>
      <c r="N2315" s="27">
        <f>IF($M2315="","",IF($F2315="Compareceu",$M2315,0))</f>
        <v>0</v>
      </c>
      <c r="O2315" s="27">
        <f>IF($M2315="","",IF($F2315="Faltou",$M2315,0))</f>
        <v>0</v>
      </c>
      <c r="P2315" s="27">
        <f>IF($M2315="","",IF($F2315="Compareceu",MAX(0,$M2315-N($H2315)),0))</f>
        <v>0</v>
      </c>
      <c r="Q2315" s="19">
        <f>IF(AND($F2315="Compareceu",$E2315&lt;&gt;"",$A2315&lt;&gt;""),IF(IFERROR(INDEX(ProcRet,MATCH($E2315,ProcNome,0)),0)&gt;0,$A2315+INDEX(ProcRet,MATCH($E2315,ProcNome,0)),""),"")</f>
        <v>0</v>
      </c>
      <c r="R2315" s="26">
        <f>IF($Q2315="","",IF(COUNTIFS(AgPac,$D2315,AgData,"&gt;"&amp;$A2315,AgStatus,"&lt;&gt;Cancelado",AgStatus,"&lt;&gt;Remarcado")&gt;0,"Sim","Não"))</f>
        <v>0</v>
      </c>
      <c r="S2315" s="28">
        <f>IF($A2315="","",IF(AND($F2315="Agendado",$A2315-Hoje&gt;=0,$A2315-Hoje&lt;=DiasConf),"CONFIRMAR",IF(AND($A2315&lt;Hoje,OR($F2315="Agendado",$F2315="Confirmado")),"Atualizar status",IF(AND($F2315="Compareceu",$P2315&gt;0.005),"Cobrar",IF($F2315="Faltou","Falta: reagendar","")))))</f>
        <v>0</v>
      </c>
      <c r="T2315" s="29">
        <f>IF($A2315="","",DATE(YEAR($A2315),MONTH($A2315),1))</f>
        <v>0</v>
      </c>
      <c r="U2315" s="30">
        <f>IF($S2315="CONFIRMAR",MAX($U$4:$U2314)+1,"")</f>
        <v>0</v>
      </c>
      <c r="V2315" s="30">
        <f>IF(AND($R2315="Não",$Q2315&lt;&gt;"",$Q2315&lt;=Hoje+JanelaRet,$Q2315&gt;=Hoje-60),MAX($V$4:$V2314)+1,"")</f>
        <v>0</v>
      </c>
    </row>
    <row r="2316" spans="1:22">
      <c r="A2316" s="16"/>
      <c r="B2316" s="23"/>
      <c r="C2316" s="15"/>
      <c r="D2316" s="15"/>
      <c r="E2316" s="15"/>
      <c r="F2316" s="24"/>
      <c r="G2316" s="17"/>
      <c r="H2316" s="17"/>
      <c r="I2316" s="15"/>
      <c r="J2316" s="25">
        <f>IF($D2316="","",IFERROR(INDEX(PacNome,MATCH($D2316,PacCod,0)),"Paciente não cadastrado"))</f>
        <v>0</v>
      </c>
      <c r="K2316" s="26">
        <f>IF($D2316="","",IFERROR(INDEX(PacConv,MATCH($D2316,PacCod,0))&amp;"",""))</f>
        <v>0</v>
      </c>
      <c r="L2316" s="26">
        <f>IF($A2316="","",CHOOSE(WEEKDAY($A2316,2),"Seg","Ter","Qua","Qui","Sex","Sáb","Dom"))</f>
        <v>0</v>
      </c>
      <c r="M2316" s="27">
        <f>IF($E2316="","",IF($G2316&lt;&gt;"",$G2316,IFERROR(INDEX(ProcValor,MATCH($E2316,ProcNome,0)),0)))</f>
        <v>0</v>
      </c>
      <c r="N2316" s="27">
        <f>IF($M2316="","",IF($F2316="Compareceu",$M2316,0))</f>
        <v>0</v>
      </c>
      <c r="O2316" s="27">
        <f>IF($M2316="","",IF($F2316="Faltou",$M2316,0))</f>
        <v>0</v>
      </c>
      <c r="P2316" s="27">
        <f>IF($M2316="","",IF($F2316="Compareceu",MAX(0,$M2316-N($H2316)),0))</f>
        <v>0</v>
      </c>
      <c r="Q2316" s="19">
        <f>IF(AND($F2316="Compareceu",$E2316&lt;&gt;"",$A2316&lt;&gt;""),IF(IFERROR(INDEX(ProcRet,MATCH($E2316,ProcNome,0)),0)&gt;0,$A2316+INDEX(ProcRet,MATCH($E2316,ProcNome,0)),""),"")</f>
        <v>0</v>
      </c>
      <c r="R2316" s="26">
        <f>IF($Q2316="","",IF(COUNTIFS(AgPac,$D2316,AgData,"&gt;"&amp;$A2316,AgStatus,"&lt;&gt;Cancelado",AgStatus,"&lt;&gt;Remarcado")&gt;0,"Sim","Não"))</f>
        <v>0</v>
      </c>
      <c r="S2316" s="28">
        <f>IF($A2316="","",IF(AND($F2316="Agendado",$A2316-Hoje&gt;=0,$A2316-Hoje&lt;=DiasConf),"CONFIRMAR",IF(AND($A2316&lt;Hoje,OR($F2316="Agendado",$F2316="Confirmado")),"Atualizar status",IF(AND($F2316="Compareceu",$P2316&gt;0.005),"Cobrar",IF($F2316="Faltou","Falta: reagendar","")))))</f>
        <v>0</v>
      </c>
      <c r="T2316" s="29">
        <f>IF($A2316="","",DATE(YEAR($A2316),MONTH($A2316),1))</f>
        <v>0</v>
      </c>
      <c r="U2316" s="30">
        <f>IF($S2316="CONFIRMAR",MAX($U$4:$U2315)+1,"")</f>
        <v>0</v>
      </c>
      <c r="V2316" s="30">
        <f>IF(AND($R2316="Não",$Q2316&lt;&gt;"",$Q2316&lt;=Hoje+JanelaRet,$Q2316&gt;=Hoje-60),MAX($V$4:$V2315)+1,"")</f>
        <v>0</v>
      </c>
    </row>
    <row r="2317" spans="1:22">
      <c r="A2317" s="16"/>
      <c r="B2317" s="23"/>
      <c r="C2317" s="15"/>
      <c r="D2317" s="15"/>
      <c r="E2317" s="15"/>
      <c r="F2317" s="24"/>
      <c r="G2317" s="17"/>
      <c r="H2317" s="17"/>
      <c r="I2317" s="15"/>
      <c r="J2317" s="25">
        <f>IF($D2317="","",IFERROR(INDEX(PacNome,MATCH($D2317,PacCod,0)),"Paciente não cadastrado"))</f>
        <v>0</v>
      </c>
      <c r="K2317" s="26">
        <f>IF($D2317="","",IFERROR(INDEX(PacConv,MATCH($D2317,PacCod,0))&amp;"",""))</f>
        <v>0</v>
      </c>
      <c r="L2317" s="26">
        <f>IF($A2317="","",CHOOSE(WEEKDAY($A2317,2),"Seg","Ter","Qua","Qui","Sex","Sáb","Dom"))</f>
        <v>0</v>
      </c>
      <c r="M2317" s="27">
        <f>IF($E2317="","",IF($G2317&lt;&gt;"",$G2317,IFERROR(INDEX(ProcValor,MATCH($E2317,ProcNome,0)),0)))</f>
        <v>0</v>
      </c>
      <c r="N2317" s="27">
        <f>IF($M2317="","",IF($F2317="Compareceu",$M2317,0))</f>
        <v>0</v>
      </c>
      <c r="O2317" s="27">
        <f>IF($M2317="","",IF($F2317="Faltou",$M2317,0))</f>
        <v>0</v>
      </c>
      <c r="P2317" s="27">
        <f>IF($M2317="","",IF($F2317="Compareceu",MAX(0,$M2317-N($H2317)),0))</f>
        <v>0</v>
      </c>
      <c r="Q2317" s="19">
        <f>IF(AND($F2317="Compareceu",$E2317&lt;&gt;"",$A2317&lt;&gt;""),IF(IFERROR(INDEX(ProcRet,MATCH($E2317,ProcNome,0)),0)&gt;0,$A2317+INDEX(ProcRet,MATCH($E2317,ProcNome,0)),""),"")</f>
        <v>0</v>
      </c>
      <c r="R2317" s="26">
        <f>IF($Q2317="","",IF(COUNTIFS(AgPac,$D2317,AgData,"&gt;"&amp;$A2317,AgStatus,"&lt;&gt;Cancelado",AgStatus,"&lt;&gt;Remarcado")&gt;0,"Sim","Não"))</f>
        <v>0</v>
      </c>
      <c r="S2317" s="28">
        <f>IF($A2317="","",IF(AND($F2317="Agendado",$A2317-Hoje&gt;=0,$A2317-Hoje&lt;=DiasConf),"CONFIRMAR",IF(AND($A2317&lt;Hoje,OR($F2317="Agendado",$F2317="Confirmado")),"Atualizar status",IF(AND($F2317="Compareceu",$P2317&gt;0.005),"Cobrar",IF($F2317="Faltou","Falta: reagendar","")))))</f>
        <v>0</v>
      </c>
      <c r="T2317" s="29">
        <f>IF($A2317="","",DATE(YEAR($A2317),MONTH($A2317),1))</f>
        <v>0</v>
      </c>
      <c r="U2317" s="30">
        <f>IF($S2317="CONFIRMAR",MAX($U$4:$U2316)+1,"")</f>
        <v>0</v>
      </c>
      <c r="V2317" s="30">
        <f>IF(AND($R2317="Não",$Q2317&lt;&gt;"",$Q2317&lt;=Hoje+JanelaRet,$Q2317&gt;=Hoje-60),MAX($V$4:$V2316)+1,"")</f>
        <v>0</v>
      </c>
    </row>
    <row r="2318" spans="1:22">
      <c r="A2318" s="16"/>
      <c r="B2318" s="23"/>
      <c r="C2318" s="15"/>
      <c r="D2318" s="15"/>
      <c r="E2318" s="15"/>
      <c r="F2318" s="24"/>
      <c r="G2318" s="17"/>
      <c r="H2318" s="17"/>
      <c r="I2318" s="15"/>
      <c r="J2318" s="25">
        <f>IF($D2318="","",IFERROR(INDEX(PacNome,MATCH($D2318,PacCod,0)),"Paciente não cadastrado"))</f>
        <v>0</v>
      </c>
      <c r="K2318" s="26">
        <f>IF($D2318="","",IFERROR(INDEX(PacConv,MATCH($D2318,PacCod,0))&amp;"",""))</f>
        <v>0</v>
      </c>
      <c r="L2318" s="26">
        <f>IF($A2318="","",CHOOSE(WEEKDAY($A2318,2),"Seg","Ter","Qua","Qui","Sex","Sáb","Dom"))</f>
        <v>0</v>
      </c>
      <c r="M2318" s="27">
        <f>IF($E2318="","",IF($G2318&lt;&gt;"",$G2318,IFERROR(INDEX(ProcValor,MATCH($E2318,ProcNome,0)),0)))</f>
        <v>0</v>
      </c>
      <c r="N2318" s="27">
        <f>IF($M2318="","",IF($F2318="Compareceu",$M2318,0))</f>
        <v>0</v>
      </c>
      <c r="O2318" s="27">
        <f>IF($M2318="","",IF($F2318="Faltou",$M2318,0))</f>
        <v>0</v>
      </c>
      <c r="P2318" s="27">
        <f>IF($M2318="","",IF($F2318="Compareceu",MAX(0,$M2318-N($H2318)),0))</f>
        <v>0</v>
      </c>
      <c r="Q2318" s="19">
        <f>IF(AND($F2318="Compareceu",$E2318&lt;&gt;"",$A2318&lt;&gt;""),IF(IFERROR(INDEX(ProcRet,MATCH($E2318,ProcNome,0)),0)&gt;0,$A2318+INDEX(ProcRet,MATCH($E2318,ProcNome,0)),""),"")</f>
        <v>0</v>
      </c>
      <c r="R2318" s="26">
        <f>IF($Q2318="","",IF(COUNTIFS(AgPac,$D2318,AgData,"&gt;"&amp;$A2318,AgStatus,"&lt;&gt;Cancelado",AgStatus,"&lt;&gt;Remarcado")&gt;0,"Sim","Não"))</f>
        <v>0</v>
      </c>
      <c r="S2318" s="28">
        <f>IF($A2318="","",IF(AND($F2318="Agendado",$A2318-Hoje&gt;=0,$A2318-Hoje&lt;=DiasConf),"CONFIRMAR",IF(AND($A2318&lt;Hoje,OR($F2318="Agendado",$F2318="Confirmado")),"Atualizar status",IF(AND($F2318="Compareceu",$P2318&gt;0.005),"Cobrar",IF($F2318="Faltou","Falta: reagendar","")))))</f>
        <v>0</v>
      </c>
      <c r="T2318" s="29">
        <f>IF($A2318="","",DATE(YEAR($A2318),MONTH($A2318),1))</f>
        <v>0</v>
      </c>
      <c r="U2318" s="30">
        <f>IF($S2318="CONFIRMAR",MAX($U$4:$U2317)+1,"")</f>
        <v>0</v>
      </c>
      <c r="V2318" s="30">
        <f>IF(AND($R2318="Não",$Q2318&lt;&gt;"",$Q2318&lt;=Hoje+JanelaRet,$Q2318&gt;=Hoje-60),MAX($V$4:$V2317)+1,"")</f>
        <v>0</v>
      </c>
    </row>
    <row r="2319" spans="1:22">
      <c r="A2319" s="16"/>
      <c r="B2319" s="23"/>
      <c r="C2319" s="15"/>
      <c r="D2319" s="15"/>
      <c r="E2319" s="15"/>
      <c r="F2319" s="24"/>
      <c r="G2319" s="17"/>
      <c r="H2319" s="17"/>
      <c r="I2319" s="15"/>
      <c r="J2319" s="25">
        <f>IF($D2319="","",IFERROR(INDEX(PacNome,MATCH($D2319,PacCod,0)),"Paciente não cadastrado"))</f>
        <v>0</v>
      </c>
      <c r="K2319" s="26">
        <f>IF($D2319="","",IFERROR(INDEX(PacConv,MATCH($D2319,PacCod,0))&amp;"",""))</f>
        <v>0</v>
      </c>
      <c r="L2319" s="26">
        <f>IF($A2319="","",CHOOSE(WEEKDAY($A2319,2),"Seg","Ter","Qua","Qui","Sex","Sáb","Dom"))</f>
        <v>0</v>
      </c>
      <c r="M2319" s="27">
        <f>IF($E2319="","",IF($G2319&lt;&gt;"",$G2319,IFERROR(INDEX(ProcValor,MATCH($E2319,ProcNome,0)),0)))</f>
        <v>0</v>
      </c>
      <c r="N2319" s="27">
        <f>IF($M2319="","",IF($F2319="Compareceu",$M2319,0))</f>
        <v>0</v>
      </c>
      <c r="O2319" s="27">
        <f>IF($M2319="","",IF($F2319="Faltou",$M2319,0))</f>
        <v>0</v>
      </c>
      <c r="P2319" s="27">
        <f>IF($M2319="","",IF($F2319="Compareceu",MAX(0,$M2319-N($H2319)),0))</f>
        <v>0</v>
      </c>
      <c r="Q2319" s="19">
        <f>IF(AND($F2319="Compareceu",$E2319&lt;&gt;"",$A2319&lt;&gt;""),IF(IFERROR(INDEX(ProcRet,MATCH($E2319,ProcNome,0)),0)&gt;0,$A2319+INDEX(ProcRet,MATCH($E2319,ProcNome,0)),""),"")</f>
        <v>0</v>
      </c>
      <c r="R2319" s="26">
        <f>IF($Q2319="","",IF(COUNTIFS(AgPac,$D2319,AgData,"&gt;"&amp;$A2319,AgStatus,"&lt;&gt;Cancelado",AgStatus,"&lt;&gt;Remarcado")&gt;0,"Sim","Não"))</f>
        <v>0</v>
      </c>
      <c r="S2319" s="28">
        <f>IF($A2319="","",IF(AND($F2319="Agendado",$A2319-Hoje&gt;=0,$A2319-Hoje&lt;=DiasConf),"CONFIRMAR",IF(AND($A2319&lt;Hoje,OR($F2319="Agendado",$F2319="Confirmado")),"Atualizar status",IF(AND($F2319="Compareceu",$P2319&gt;0.005),"Cobrar",IF($F2319="Faltou","Falta: reagendar","")))))</f>
        <v>0</v>
      </c>
      <c r="T2319" s="29">
        <f>IF($A2319="","",DATE(YEAR($A2319),MONTH($A2319),1))</f>
        <v>0</v>
      </c>
      <c r="U2319" s="30">
        <f>IF($S2319="CONFIRMAR",MAX($U$4:$U2318)+1,"")</f>
        <v>0</v>
      </c>
      <c r="V2319" s="30">
        <f>IF(AND($R2319="Não",$Q2319&lt;&gt;"",$Q2319&lt;=Hoje+JanelaRet,$Q2319&gt;=Hoje-60),MAX($V$4:$V2318)+1,"")</f>
        <v>0</v>
      </c>
    </row>
    <row r="2320" spans="1:22">
      <c r="A2320" s="16"/>
      <c r="B2320" s="23"/>
      <c r="C2320" s="15"/>
      <c r="D2320" s="15"/>
      <c r="E2320" s="15"/>
      <c r="F2320" s="24"/>
      <c r="G2320" s="17"/>
      <c r="H2320" s="17"/>
      <c r="I2320" s="15"/>
      <c r="J2320" s="25">
        <f>IF($D2320="","",IFERROR(INDEX(PacNome,MATCH($D2320,PacCod,0)),"Paciente não cadastrado"))</f>
        <v>0</v>
      </c>
      <c r="K2320" s="26">
        <f>IF($D2320="","",IFERROR(INDEX(PacConv,MATCH($D2320,PacCod,0))&amp;"",""))</f>
        <v>0</v>
      </c>
      <c r="L2320" s="26">
        <f>IF($A2320="","",CHOOSE(WEEKDAY($A2320,2),"Seg","Ter","Qua","Qui","Sex","Sáb","Dom"))</f>
        <v>0</v>
      </c>
      <c r="M2320" s="27">
        <f>IF($E2320="","",IF($G2320&lt;&gt;"",$G2320,IFERROR(INDEX(ProcValor,MATCH($E2320,ProcNome,0)),0)))</f>
        <v>0</v>
      </c>
      <c r="N2320" s="27">
        <f>IF($M2320="","",IF($F2320="Compareceu",$M2320,0))</f>
        <v>0</v>
      </c>
      <c r="O2320" s="27">
        <f>IF($M2320="","",IF($F2320="Faltou",$M2320,0))</f>
        <v>0</v>
      </c>
      <c r="P2320" s="27">
        <f>IF($M2320="","",IF($F2320="Compareceu",MAX(0,$M2320-N($H2320)),0))</f>
        <v>0</v>
      </c>
      <c r="Q2320" s="19">
        <f>IF(AND($F2320="Compareceu",$E2320&lt;&gt;"",$A2320&lt;&gt;""),IF(IFERROR(INDEX(ProcRet,MATCH($E2320,ProcNome,0)),0)&gt;0,$A2320+INDEX(ProcRet,MATCH($E2320,ProcNome,0)),""),"")</f>
        <v>0</v>
      </c>
      <c r="R2320" s="26">
        <f>IF($Q2320="","",IF(COUNTIFS(AgPac,$D2320,AgData,"&gt;"&amp;$A2320,AgStatus,"&lt;&gt;Cancelado",AgStatus,"&lt;&gt;Remarcado")&gt;0,"Sim","Não"))</f>
        <v>0</v>
      </c>
      <c r="S2320" s="28">
        <f>IF($A2320="","",IF(AND($F2320="Agendado",$A2320-Hoje&gt;=0,$A2320-Hoje&lt;=DiasConf),"CONFIRMAR",IF(AND($A2320&lt;Hoje,OR($F2320="Agendado",$F2320="Confirmado")),"Atualizar status",IF(AND($F2320="Compareceu",$P2320&gt;0.005),"Cobrar",IF($F2320="Faltou","Falta: reagendar","")))))</f>
        <v>0</v>
      </c>
      <c r="T2320" s="29">
        <f>IF($A2320="","",DATE(YEAR($A2320),MONTH($A2320),1))</f>
        <v>0</v>
      </c>
      <c r="U2320" s="30">
        <f>IF($S2320="CONFIRMAR",MAX($U$4:$U2319)+1,"")</f>
        <v>0</v>
      </c>
      <c r="V2320" s="30">
        <f>IF(AND($R2320="Não",$Q2320&lt;&gt;"",$Q2320&lt;=Hoje+JanelaRet,$Q2320&gt;=Hoje-60),MAX($V$4:$V2319)+1,"")</f>
        <v>0</v>
      </c>
    </row>
    <row r="2321" spans="1:22">
      <c r="A2321" s="16"/>
      <c r="B2321" s="23"/>
      <c r="C2321" s="15"/>
      <c r="D2321" s="15"/>
      <c r="E2321" s="15"/>
      <c r="F2321" s="24"/>
      <c r="G2321" s="17"/>
      <c r="H2321" s="17"/>
      <c r="I2321" s="15"/>
      <c r="J2321" s="25">
        <f>IF($D2321="","",IFERROR(INDEX(PacNome,MATCH($D2321,PacCod,0)),"Paciente não cadastrado"))</f>
        <v>0</v>
      </c>
      <c r="K2321" s="26">
        <f>IF($D2321="","",IFERROR(INDEX(PacConv,MATCH($D2321,PacCod,0))&amp;"",""))</f>
        <v>0</v>
      </c>
      <c r="L2321" s="26">
        <f>IF($A2321="","",CHOOSE(WEEKDAY($A2321,2),"Seg","Ter","Qua","Qui","Sex","Sáb","Dom"))</f>
        <v>0</v>
      </c>
      <c r="M2321" s="27">
        <f>IF($E2321="","",IF($G2321&lt;&gt;"",$G2321,IFERROR(INDEX(ProcValor,MATCH($E2321,ProcNome,0)),0)))</f>
        <v>0</v>
      </c>
      <c r="N2321" s="27">
        <f>IF($M2321="","",IF($F2321="Compareceu",$M2321,0))</f>
        <v>0</v>
      </c>
      <c r="O2321" s="27">
        <f>IF($M2321="","",IF($F2321="Faltou",$M2321,0))</f>
        <v>0</v>
      </c>
      <c r="P2321" s="27">
        <f>IF($M2321="","",IF($F2321="Compareceu",MAX(0,$M2321-N($H2321)),0))</f>
        <v>0</v>
      </c>
      <c r="Q2321" s="19">
        <f>IF(AND($F2321="Compareceu",$E2321&lt;&gt;"",$A2321&lt;&gt;""),IF(IFERROR(INDEX(ProcRet,MATCH($E2321,ProcNome,0)),0)&gt;0,$A2321+INDEX(ProcRet,MATCH($E2321,ProcNome,0)),""),"")</f>
        <v>0</v>
      </c>
      <c r="R2321" s="26">
        <f>IF($Q2321="","",IF(COUNTIFS(AgPac,$D2321,AgData,"&gt;"&amp;$A2321,AgStatus,"&lt;&gt;Cancelado",AgStatus,"&lt;&gt;Remarcado")&gt;0,"Sim","Não"))</f>
        <v>0</v>
      </c>
      <c r="S2321" s="28">
        <f>IF($A2321="","",IF(AND($F2321="Agendado",$A2321-Hoje&gt;=0,$A2321-Hoje&lt;=DiasConf),"CONFIRMAR",IF(AND($A2321&lt;Hoje,OR($F2321="Agendado",$F2321="Confirmado")),"Atualizar status",IF(AND($F2321="Compareceu",$P2321&gt;0.005),"Cobrar",IF($F2321="Faltou","Falta: reagendar","")))))</f>
        <v>0</v>
      </c>
      <c r="T2321" s="29">
        <f>IF($A2321="","",DATE(YEAR($A2321),MONTH($A2321),1))</f>
        <v>0</v>
      </c>
      <c r="U2321" s="30">
        <f>IF($S2321="CONFIRMAR",MAX($U$4:$U2320)+1,"")</f>
        <v>0</v>
      </c>
      <c r="V2321" s="30">
        <f>IF(AND($R2321="Não",$Q2321&lt;&gt;"",$Q2321&lt;=Hoje+JanelaRet,$Q2321&gt;=Hoje-60),MAX($V$4:$V2320)+1,"")</f>
        <v>0</v>
      </c>
    </row>
    <row r="2322" spans="1:22">
      <c r="A2322" s="16"/>
      <c r="B2322" s="23"/>
      <c r="C2322" s="15"/>
      <c r="D2322" s="15"/>
      <c r="E2322" s="15"/>
      <c r="F2322" s="24"/>
      <c r="G2322" s="17"/>
      <c r="H2322" s="17"/>
      <c r="I2322" s="15"/>
      <c r="J2322" s="25">
        <f>IF($D2322="","",IFERROR(INDEX(PacNome,MATCH($D2322,PacCod,0)),"Paciente não cadastrado"))</f>
        <v>0</v>
      </c>
      <c r="K2322" s="26">
        <f>IF($D2322="","",IFERROR(INDEX(PacConv,MATCH($D2322,PacCod,0))&amp;"",""))</f>
        <v>0</v>
      </c>
      <c r="L2322" s="26">
        <f>IF($A2322="","",CHOOSE(WEEKDAY($A2322,2),"Seg","Ter","Qua","Qui","Sex","Sáb","Dom"))</f>
        <v>0</v>
      </c>
      <c r="M2322" s="27">
        <f>IF($E2322="","",IF($G2322&lt;&gt;"",$G2322,IFERROR(INDEX(ProcValor,MATCH($E2322,ProcNome,0)),0)))</f>
        <v>0</v>
      </c>
      <c r="N2322" s="27">
        <f>IF($M2322="","",IF($F2322="Compareceu",$M2322,0))</f>
        <v>0</v>
      </c>
      <c r="O2322" s="27">
        <f>IF($M2322="","",IF($F2322="Faltou",$M2322,0))</f>
        <v>0</v>
      </c>
      <c r="P2322" s="27">
        <f>IF($M2322="","",IF($F2322="Compareceu",MAX(0,$M2322-N($H2322)),0))</f>
        <v>0</v>
      </c>
      <c r="Q2322" s="19">
        <f>IF(AND($F2322="Compareceu",$E2322&lt;&gt;"",$A2322&lt;&gt;""),IF(IFERROR(INDEX(ProcRet,MATCH($E2322,ProcNome,0)),0)&gt;0,$A2322+INDEX(ProcRet,MATCH($E2322,ProcNome,0)),""),"")</f>
        <v>0</v>
      </c>
      <c r="R2322" s="26">
        <f>IF($Q2322="","",IF(COUNTIFS(AgPac,$D2322,AgData,"&gt;"&amp;$A2322,AgStatus,"&lt;&gt;Cancelado",AgStatus,"&lt;&gt;Remarcado")&gt;0,"Sim","Não"))</f>
        <v>0</v>
      </c>
      <c r="S2322" s="28">
        <f>IF($A2322="","",IF(AND($F2322="Agendado",$A2322-Hoje&gt;=0,$A2322-Hoje&lt;=DiasConf),"CONFIRMAR",IF(AND($A2322&lt;Hoje,OR($F2322="Agendado",$F2322="Confirmado")),"Atualizar status",IF(AND($F2322="Compareceu",$P2322&gt;0.005),"Cobrar",IF($F2322="Faltou","Falta: reagendar","")))))</f>
        <v>0</v>
      </c>
      <c r="T2322" s="29">
        <f>IF($A2322="","",DATE(YEAR($A2322),MONTH($A2322),1))</f>
        <v>0</v>
      </c>
      <c r="U2322" s="30">
        <f>IF($S2322="CONFIRMAR",MAX($U$4:$U2321)+1,"")</f>
        <v>0</v>
      </c>
      <c r="V2322" s="30">
        <f>IF(AND($R2322="Não",$Q2322&lt;&gt;"",$Q2322&lt;=Hoje+JanelaRet,$Q2322&gt;=Hoje-60),MAX($V$4:$V2321)+1,"")</f>
        <v>0</v>
      </c>
    </row>
    <row r="2323" spans="1:22">
      <c r="A2323" s="16"/>
      <c r="B2323" s="23"/>
      <c r="C2323" s="15"/>
      <c r="D2323" s="15"/>
      <c r="E2323" s="15"/>
      <c r="F2323" s="24"/>
      <c r="G2323" s="17"/>
      <c r="H2323" s="17"/>
      <c r="I2323" s="15"/>
      <c r="J2323" s="25">
        <f>IF($D2323="","",IFERROR(INDEX(PacNome,MATCH($D2323,PacCod,0)),"Paciente não cadastrado"))</f>
        <v>0</v>
      </c>
      <c r="K2323" s="26">
        <f>IF($D2323="","",IFERROR(INDEX(PacConv,MATCH($D2323,PacCod,0))&amp;"",""))</f>
        <v>0</v>
      </c>
      <c r="L2323" s="26">
        <f>IF($A2323="","",CHOOSE(WEEKDAY($A2323,2),"Seg","Ter","Qua","Qui","Sex","Sáb","Dom"))</f>
        <v>0</v>
      </c>
      <c r="M2323" s="27">
        <f>IF($E2323="","",IF($G2323&lt;&gt;"",$G2323,IFERROR(INDEX(ProcValor,MATCH($E2323,ProcNome,0)),0)))</f>
        <v>0</v>
      </c>
      <c r="N2323" s="27">
        <f>IF($M2323="","",IF($F2323="Compareceu",$M2323,0))</f>
        <v>0</v>
      </c>
      <c r="O2323" s="27">
        <f>IF($M2323="","",IF($F2323="Faltou",$M2323,0))</f>
        <v>0</v>
      </c>
      <c r="P2323" s="27">
        <f>IF($M2323="","",IF($F2323="Compareceu",MAX(0,$M2323-N($H2323)),0))</f>
        <v>0</v>
      </c>
      <c r="Q2323" s="19">
        <f>IF(AND($F2323="Compareceu",$E2323&lt;&gt;"",$A2323&lt;&gt;""),IF(IFERROR(INDEX(ProcRet,MATCH($E2323,ProcNome,0)),0)&gt;0,$A2323+INDEX(ProcRet,MATCH($E2323,ProcNome,0)),""),"")</f>
        <v>0</v>
      </c>
      <c r="R2323" s="26">
        <f>IF($Q2323="","",IF(COUNTIFS(AgPac,$D2323,AgData,"&gt;"&amp;$A2323,AgStatus,"&lt;&gt;Cancelado",AgStatus,"&lt;&gt;Remarcado")&gt;0,"Sim","Não"))</f>
        <v>0</v>
      </c>
      <c r="S2323" s="28">
        <f>IF($A2323="","",IF(AND($F2323="Agendado",$A2323-Hoje&gt;=0,$A2323-Hoje&lt;=DiasConf),"CONFIRMAR",IF(AND($A2323&lt;Hoje,OR($F2323="Agendado",$F2323="Confirmado")),"Atualizar status",IF(AND($F2323="Compareceu",$P2323&gt;0.005),"Cobrar",IF($F2323="Faltou","Falta: reagendar","")))))</f>
        <v>0</v>
      </c>
      <c r="T2323" s="29">
        <f>IF($A2323="","",DATE(YEAR($A2323),MONTH($A2323),1))</f>
        <v>0</v>
      </c>
      <c r="U2323" s="30">
        <f>IF($S2323="CONFIRMAR",MAX($U$4:$U2322)+1,"")</f>
        <v>0</v>
      </c>
      <c r="V2323" s="30">
        <f>IF(AND($R2323="Não",$Q2323&lt;&gt;"",$Q2323&lt;=Hoje+JanelaRet,$Q2323&gt;=Hoje-60),MAX($V$4:$V2322)+1,"")</f>
        <v>0</v>
      </c>
    </row>
    <row r="2324" spans="1:22">
      <c r="A2324" s="16"/>
      <c r="B2324" s="23"/>
      <c r="C2324" s="15"/>
      <c r="D2324" s="15"/>
      <c r="E2324" s="15"/>
      <c r="F2324" s="24"/>
      <c r="G2324" s="17"/>
      <c r="H2324" s="17"/>
      <c r="I2324" s="15"/>
      <c r="J2324" s="25">
        <f>IF($D2324="","",IFERROR(INDEX(PacNome,MATCH($D2324,PacCod,0)),"Paciente não cadastrado"))</f>
        <v>0</v>
      </c>
      <c r="K2324" s="26">
        <f>IF($D2324="","",IFERROR(INDEX(PacConv,MATCH($D2324,PacCod,0))&amp;"",""))</f>
        <v>0</v>
      </c>
      <c r="L2324" s="26">
        <f>IF($A2324="","",CHOOSE(WEEKDAY($A2324,2),"Seg","Ter","Qua","Qui","Sex","Sáb","Dom"))</f>
        <v>0</v>
      </c>
      <c r="M2324" s="27">
        <f>IF($E2324="","",IF($G2324&lt;&gt;"",$G2324,IFERROR(INDEX(ProcValor,MATCH($E2324,ProcNome,0)),0)))</f>
        <v>0</v>
      </c>
      <c r="N2324" s="27">
        <f>IF($M2324="","",IF($F2324="Compareceu",$M2324,0))</f>
        <v>0</v>
      </c>
      <c r="O2324" s="27">
        <f>IF($M2324="","",IF($F2324="Faltou",$M2324,0))</f>
        <v>0</v>
      </c>
      <c r="P2324" s="27">
        <f>IF($M2324="","",IF($F2324="Compareceu",MAX(0,$M2324-N($H2324)),0))</f>
        <v>0</v>
      </c>
      <c r="Q2324" s="19">
        <f>IF(AND($F2324="Compareceu",$E2324&lt;&gt;"",$A2324&lt;&gt;""),IF(IFERROR(INDEX(ProcRet,MATCH($E2324,ProcNome,0)),0)&gt;0,$A2324+INDEX(ProcRet,MATCH($E2324,ProcNome,0)),""),"")</f>
        <v>0</v>
      </c>
      <c r="R2324" s="26">
        <f>IF($Q2324="","",IF(COUNTIFS(AgPac,$D2324,AgData,"&gt;"&amp;$A2324,AgStatus,"&lt;&gt;Cancelado",AgStatus,"&lt;&gt;Remarcado")&gt;0,"Sim","Não"))</f>
        <v>0</v>
      </c>
      <c r="S2324" s="28">
        <f>IF($A2324="","",IF(AND($F2324="Agendado",$A2324-Hoje&gt;=0,$A2324-Hoje&lt;=DiasConf),"CONFIRMAR",IF(AND($A2324&lt;Hoje,OR($F2324="Agendado",$F2324="Confirmado")),"Atualizar status",IF(AND($F2324="Compareceu",$P2324&gt;0.005),"Cobrar",IF($F2324="Faltou","Falta: reagendar","")))))</f>
        <v>0</v>
      </c>
      <c r="T2324" s="29">
        <f>IF($A2324="","",DATE(YEAR($A2324),MONTH($A2324),1))</f>
        <v>0</v>
      </c>
      <c r="U2324" s="30">
        <f>IF($S2324="CONFIRMAR",MAX($U$4:$U2323)+1,"")</f>
        <v>0</v>
      </c>
      <c r="V2324" s="30">
        <f>IF(AND($R2324="Não",$Q2324&lt;&gt;"",$Q2324&lt;=Hoje+JanelaRet,$Q2324&gt;=Hoje-60),MAX($V$4:$V2323)+1,"")</f>
        <v>0</v>
      </c>
    </row>
    <row r="2325" spans="1:22">
      <c r="A2325" s="16"/>
      <c r="B2325" s="23"/>
      <c r="C2325" s="15"/>
      <c r="D2325" s="15"/>
      <c r="E2325" s="15"/>
      <c r="F2325" s="24"/>
      <c r="G2325" s="17"/>
      <c r="H2325" s="17"/>
      <c r="I2325" s="15"/>
      <c r="J2325" s="25">
        <f>IF($D2325="","",IFERROR(INDEX(PacNome,MATCH($D2325,PacCod,0)),"Paciente não cadastrado"))</f>
        <v>0</v>
      </c>
      <c r="K2325" s="26">
        <f>IF($D2325="","",IFERROR(INDEX(PacConv,MATCH($D2325,PacCod,0))&amp;"",""))</f>
        <v>0</v>
      </c>
      <c r="L2325" s="26">
        <f>IF($A2325="","",CHOOSE(WEEKDAY($A2325,2),"Seg","Ter","Qua","Qui","Sex","Sáb","Dom"))</f>
        <v>0</v>
      </c>
      <c r="M2325" s="27">
        <f>IF($E2325="","",IF($G2325&lt;&gt;"",$G2325,IFERROR(INDEX(ProcValor,MATCH($E2325,ProcNome,0)),0)))</f>
        <v>0</v>
      </c>
      <c r="N2325" s="27">
        <f>IF($M2325="","",IF($F2325="Compareceu",$M2325,0))</f>
        <v>0</v>
      </c>
      <c r="O2325" s="27">
        <f>IF($M2325="","",IF($F2325="Faltou",$M2325,0))</f>
        <v>0</v>
      </c>
      <c r="P2325" s="27">
        <f>IF($M2325="","",IF($F2325="Compareceu",MAX(0,$M2325-N($H2325)),0))</f>
        <v>0</v>
      </c>
      <c r="Q2325" s="19">
        <f>IF(AND($F2325="Compareceu",$E2325&lt;&gt;"",$A2325&lt;&gt;""),IF(IFERROR(INDEX(ProcRet,MATCH($E2325,ProcNome,0)),0)&gt;0,$A2325+INDEX(ProcRet,MATCH($E2325,ProcNome,0)),""),"")</f>
        <v>0</v>
      </c>
      <c r="R2325" s="26">
        <f>IF($Q2325="","",IF(COUNTIFS(AgPac,$D2325,AgData,"&gt;"&amp;$A2325,AgStatus,"&lt;&gt;Cancelado",AgStatus,"&lt;&gt;Remarcado")&gt;0,"Sim","Não"))</f>
        <v>0</v>
      </c>
      <c r="S2325" s="28">
        <f>IF($A2325="","",IF(AND($F2325="Agendado",$A2325-Hoje&gt;=0,$A2325-Hoje&lt;=DiasConf),"CONFIRMAR",IF(AND($A2325&lt;Hoje,OR($F2325="Agendado",$F2325="Confirmado")),"Atualizar status",IF(AND($F2325="Compareceu",$P2325&gt;0.005),"Cobrar",IF($F2325="Faltou","Falta: reagendar","")))))</f>
        <v>0</v>
      </c>
      <c r="T2325" s="29">
        <f>IF($A2325="","",DATE(YEAR($A2325),MONTH($A2325),1))</f>
        <v>0</v>
      </c>
      <c r="U2325" s="30">
        <f>IF($S2325="CONFIRMAR",MAX($U$4:$U2324)+1,"")</f>
        <v>0</v>
      </c>
      <c r="V2325" s="30">
        <f>IF(AND($R2325="Não",$Q2325&lt;&gt;"",$Q2325&lt;=Hoje+JanelaRet,$Q2325&gt;=Hoje-60),MAX($V$4:$V2324)+1,"")</f>
        <v>0</v>
      </c>
    </row>
    <row r="2326" spans="1:22">
      <c r="A2326" s="16"/>
      <c r="B2326" s="23"/>
      <c r="C2326" s="15"/>
      <c r="D2326" s="15"/>
      <c r="E2326" s="15"/>
      <c r="F2326" s="24"/>
      <c r="G2326" s="17"/>
      <c r="H2326" s="17"/>
      <c r="I2326" s="15"/>
      <c r="J2326" s="25">
        <f>IF($D2326="","",IFERROR(INDEX(PacNome,MATCH($D2326,PacCod,0)),"Paciente não cadastrado"))</f>
        <v>0</v>
      </c>
      <c r="K2326" s="26">
        <f>IF($D2326="","",IFERROR(INDEX(PacConv,MATCH($D2326,PacCod,0))&amp;"",""))</f>
        <v>0</v>
      </c>
      <c r="L2326" s="26">
        <f>IF($A2326="","",CHOOSE(WEEKDAY($A2326,2),"Seg","Ter","Qua","Qui","Sex","Sáb","Dom"))</f>
        <v>0</v>
      </c>
      <c r="M2326" s="27">
        <f>IF($E2326="","",IF($G2326&lt;&gt;"",$G2326,IFERROR(INDEX(ProcValor,MATCH($E2326,ProcNome,0)),0)))</f>
        <v>0</v>
      </c>
      <c r="N2326" s="27">
        <f>IF($M2326="","",IF($F2326="Compareceu",$M2326,0))</f>
        <v>0</v>
      </c>
      <c r="O2326" s="27">
        <f>IF($M2326="","",IF($F2326="Faltou",$M2326,0))</f>
        <v>0</v>
      </c>
      <c r="P2326" s="27">
        <f>IF($M2326="","",IF($F2326="Compareceu",MAX(0,$M2326-N($H2326)),0))</f>
        <v>0</v>
      </c>
      <c r="Q2326" s="19">
        <f>IF(AND($F2326="Compareceu",$E2326&lt;&gt;"",$A2326&lt;&gt;""),IF(IFERROR(INDEX(ProcRet,MATCH($E2326,ProcNome,0)),0)&gt;0,$A2326+INDEX(ProcRet,MATCH($E2326,ProcNome,0)),""),"")</f>
        <v>0</v>
      </c>
      <c r="R2326" s="26">
        <f>IF($Q2326="","",IF(COUNTIFS(AgPac,$D2326,AgData,"&gt;"&amp;$A2326,AgStatus,"&lt;&gt;Cancelado",AgStatus,"&lt;&gt;Remarcado")&gt;0,"Sim","Não"))</f>
        <v>0</v>
      </c>
      <c r="S2326" s="28">
        <f>IF($A2326="","",IF(AND($F2326="Agendado",$A2326-Hoje&gt;=0,$A2326-Hoje&lt;=DiasConf),"CONFIRMAR",IF(AND($A2326&lt;Hoje,OR($F2326="Agendado",$F2326="Confirmado")),"Atualizar status",IF(AND($F2326="Compareceu",$P2326&gt;0.005),"Cobrar",IF($F2326="Faltou","Falta: reagendar","")))))</f>
        <v>0</v>
      </c>
      <c r="T2326" s="29">
        <f>IF($A2326="","",DATE(YEAR($A2326),MONTH($A2326),1))</f>
        <v>0</v>
      </c>
      <c r="U2326" s="30">
        <f>IF($S2326="CONFIRMAR",MAX($U$4:$U2325)+1,"")</f>
        <v>0</v>
      </c>
      <c r="V2326" s="30">
        <f>IF(AND($R2326="Não",$Q2326&lt;&gt;"",$Q2326&lt;=Hoje+JanelaRet,$Q2326&gt;=Hoje-60),MAX($V$4:$V2325)+1,"")</f>
        <v>0</v>
      </c>
    </row>
    <row r="2327" spans="1:22">
      <c r="A2327" s="16"/>
      <c r="B2327" s="23"/>
      <c r="C2327" s="15"/>
      <c r="D2327" s="15"/>
      <c r="E2327" s="15"/>
      <c r="F2327" s="24"/>
      <c r="G2327" s="17"/>
      <c r="H2327" s="17"/>
      <c r="I2327" s="15"/>
      <c r="J2327" s="25">
        <f>IF($D2327="","",IFERROR(INDEX(PacNome,MATCH($D2327,PacCod,0)),"Paciente não cadastrado"))</f>
        <v>0</v>
      </c>
      <c r="K2327" s="26">
        <f>IF($D2327="","",IFERROR(INDEX(PacConv,MATCH($D2327,PacCod,0))&amp;"",""))</f>
        <v>0</v>
      </c>
      <c r="L2327" s="26">
        <f>IF($A2327="","",CHOOSE(WEEKDAY($A2327,2),"Seg","Ter","Qua","Qui","Sex","Sáb","Dom"))</f>
        <v>0</v>
      </c>
      <c r="M2327" s="27">
        <f>IF($E2327="","",IF($G2327&lt;&gt;"",$G2327,IFERROR(INDEX(ProcValor,MATCH($E2327,ProcNome,0)),0)))</f>
        <v>0</v>
      </c>
      <c r="N2327" s="27">
        <f>IF($M2327="","",IF($F2327="Compareceu",$M2327,0))</f>
        <v>0</v>
      </c>
      <c r="O2327" s="27">
        <f>IF($M2327="","",IF($F2327="Faltou",$M2327,0))</f>
        <v>0</v>
      </c>
      <c r="P2327" s="27">
        <f>IF($M2327="","",IF($F2327="Compareceu",MAX(0,$M2327-N($H2327)),0))</f>
        <v>0</v>
      </c>
      <c r="Q2327" s="19">
        <f>IF(AND($F2327="Compareceu",$E2327&lt;&gt;"",$A2327&lt;&gt;""),IF(IFERROR(INDEX(ProcRet,MATCH($E2327,ProcNome,0)),0)&gt;0,$A2327+INDEX(ProcRet,MATCH($E2327,ProcNome,0)),""),"")</f>
        <v>0</v>
      </c>
      <c r="R2327" s="26">
        <f>IF($Q2327="","",IF(COUNTIFS(AgPac,$D2327,AgData,"&gt;"&amp;$A2327,AgStatus,"&lt;&gt;Cancelado",AgStatus,"&lt;&gt;Remarcado")&gt;0,"Sim","Não"))</f>
        <v>0</v>
      </c>
      <c r="S2327" s="28">
        <f>IF($A2327="","",IF(AND($F2327="Agendado",$A2327-Hoje&gt;=0,$A2327-Hoje&lt;=DiasConf),"CONFIRMAR",IF(AND($A2327&lt;Hoje,OR($F2327="Agendado",$F2327="Confirmado")),"Atualizar status",IF(AND($F2327="Compareceu",$P2327&gt;0.005),"Cobrar",IF($F2327="Faltou","Falta: reagendar","")))))</f>
        <v>0</v>
      </c>
      <c r="T2327" s="29">
        <f>IF($A2327="","",DATE(YEAR($A2327),MONTH($A2327),1))</f>
        <v>0</v>
      </c>
      <c r="U2327" s="30">
        <f>IF($S2327="CONFIRMAR",MAX($U$4:$U2326)+1,"")</f>
        <v>0</v>
      </c>
      <c r="V2327" s="30">
        <f>IF(AND($R2327="Não",$Q2327&lt;&gt;"",$Q2327&lt;=Hoje+JanelaRet,$Q2327&gt;=Hoje-60),MAX($V$4:$V2326)+1,"")</f>
        <v>0</v>
      </c>
    </row>
    <row r="2328" spans="1:22">
      <c r="A2328" s="16"/>
      <c r="B2328" s="23"/>
      <c r="C2328" s="15"/>
      <c r="D2328" s="15"/>
      <c r="E2328" s="15"/>
      <c r="F2328" s="24"/>
      <c r="G2328" s="17"/>
      <c r="H2328" s="17"/>
      <c r="I2328" s="15"/>
      <c r="J2328" s="25">
        <f>IF($D2328="","",IFERROR(INDEX(PacNome,MATCH($D2328,PacCod,0)),"Paciente não cadastrado"))</f>
        <v>0</v>
      </c>
      <c r="K2328" s="26">
        <f>IF($D2328="","",IFERROR(INDEX(PacConv,MATCH($D2328,PacCod,0))&amp;"",""))</f>
        <v>0</v>
      </c>
      <c r="L2328" s="26">
        <f>IF($A2328="","",CHOOSE(WEEKDAY($A2328,2),"Seg","Ter","Qua","Qui","Sex","Sáb","Dom"))</f>
        <v>0</v>
      </c>
      <c r="M2328" s="27">
        <f>IF($E2328="","",IF($G2328&lt;&gt;"",$G2328,IFERROR(INDEX(ProcValor,MATCH($E2328,ProcNome,0)),0)))</f>
        <v>0</v>
      </c>
      <c r="N2328" s="27">
        <f>IF($M2328="","",IF($F2328="Compareceu",$M2328,0))</f>
        <v>0</v>
      </c>
      <c r="O2328" s="27">
        <f>IF($M2328="","",IF($F2328="Faltou",$M2328,0))</f>
        <v>0</v>
      </c>
      <c r="P2328" s="27">
        <f>IF($M2328="","",IF($F2328="Compareceu",MAX(0,$M2328-N($H2328)),0))</f>
        <v>0</v>
      </c>
      <c r="Q2328" s="19">
        <f>IF(AND($F2328="Compareceu",$E2328&lt;&gt;"",$A2328&lt;&gt;""),IF(IFERROR(INDEX(ProcRet,MATCH($E2328,ProcNome,0)),0)&gt;0,$A2328+INDEX(ProcRet,MATCH($E2328,ProcNome,0)),""),"")</f>
        <v>0</v>
      </c>
      <c r="R2328" s="26">
        <f>IF($Q2328="","",IF(COUNTIFS(AgPac,$D2328,AgData,"&gt;"&amp;$A2328,AgStatus,"&lt;&gt;Cancelado",AgStatus,"&lt;&gt;Remarcado")&gt;0,"Sim","Não"))</f>
        <v>0</v>
      </c>
      <c r="S2328" s="28">
        <f>IF($A2328="","",IF(AND($F2328="Agendado",$A2328-Hoje&gt;=0,$A2328-Hoje&lt;=DiasConf),"CONFIRMAR",IF(AND($A2328&lt;Hoje,OR($F2328="Agendado",$F2328="Confirmado")),"Atualizar status",IF(AND($F2328="Compareceu",$P2328&gt;0.005),"Cobrar",IF($F2328="Faltou","Falta: reagendar","")))))</f>
        <v>0</v>
      </c>
      <c r="T2328" s="29">
        <f>IF($A2328="","",DATE(YEAR($A2328),MONTH($A2328),1))</f>
        <v>0</v>
      </c>
      <c r="U2328" s="30">
        <f>IF($S2328="CONFIRMAR",MAX($U$4:$U2327)+1,"")</f>
        <v>0</v>
      </c>
      <c r="V2328" s="30">
        <f>IF(AND($R2328="Não",$Q2328&lt;&gt;"",$Q2328&lt;=Hoje+JanelaRet,$Q2328&gt;=Hoje-60),MAX($V$4:$V2327)+1,"")</f>
        <v>0</v>
      </c>
    </row>
    <row r="2329" spans="1:22">
      <c r="A2329" s="16"/>
      <c r="B2329" s="23"/>
      <c r="C2329" s="15"/>
      <c r="D2329" s="15"/>
      <c r="E2329" s="15"/>
      <c r="F2329" s="24"/>
      <c r="G2329" s="17"/>
      <c r="H2329" s="17"/>
      <c r="I2329" s="15"/>
      <c r="J2329" s="25">
        <f>IF($D2329="","",IFERROR(INDEX(PacNome,MATCH($D2329,PacCod,0)),"Paciente não cadastrado"))</f>
        <v>0</v>
      </c>
      <c r="K2329" s="26">
        <f>IF($D2329="","",IFERROR(INDEX(PacConv,MATCH($D2329,PacCod,0))&amp;"",""))</f>
        <v>0</v>
      </c>
      <c r="L2329" s="26">
        <f>IF($A2329="","",CHOOSE(WEEKDAY($A2329,2),"Seg","Ter","Qua","Qui","Sex","Sáb","Dom"))</f>
        <v>0</v>
      </c>
      <c r="M2329" s="27">
        <f>IF($E2329="","",IF($G2329&lt;&gt;"",$G2329,IFERROR(INDEX(ProcValor,MATCH($E2329,ProcNome,0)),0)))</f>
        <v>0</v>
      </c>
      <c r="N2329" s="27">
        <f>IF($M2329="","",IF($F2329="Compareceu",$M2329,0))</f>
        <v>0</v>
      </c>
      <c r="O2329" s="27">
        <f>IF($M2329="","",IF($F2329="Faltou",$M2329,0))</f>
        <v>0</v>
      </c>
      <c r="P2329" s="27">
        <f>IF($M2329="","",IF($F2329="Compareceu",MAX(0,$M2329-N($H2329)),0))</f>
        <v>0</v>
      </c>
      <c r="Q2329" s="19">
        <f>IF(AND($F2329="Compareceu",$E2329&lt;&gt;"",$A2329&lt;&gt;""),IF(IFERROR(INDEX(ProcRet,MATCH($E2329,ProcNome,0)),0)&gt;0,$A2329+INDEX(ProcRet,MATCH($E2329,ProcNome,0)),""),"")</f>
        <v>0</v>
      </c>
      <c r="R2329" s="26">
        <f>IF($Q2329="","",IF(COUNTIFS(AgPac,$D2329,AgData,"&gt;"&amp;$A2329,AgStatus,"&lt;&gt;Cancelado",AgStatus,"&lt;&gt;Remarcado")&gt;0,"Sim","Não"))</f>
        <v>0</v>
      </c>
      <c r="S2329" s="28">
        <f>IF($A2329="","",IF(AND($F2329="Agendado",$A2329-Hoje&gt;=0,$A2329-Hoje&lt;=DiasConf),"CONFIRMAR",IF(AND($A2329&lt;Hoje,OR($F2329="Agendado",$F2329="Confirmado")),"Atualizar status",IF(AND($F2329="Compareceu",$P2329&gt;0.005),"Cobrar",IF($F2329="Faltou","Falta: reagendar","")))))</f>
        <v>0</v>
      </c>
      <c r="T2329" s="29">
        <f>IF($A2329="","",DATE(YEAR($A2329),MONTH($A2329),1))</f>
        <v>0</v>
      </c>
      <c r="U2329" s="30">
        <f>IF($S2329="CONFIRMAR",MAX($U$4:$U2328)+1,"")</f>
        <v>0</v>
      </c>
      <c r="V2329" s="30">
        <f>IF(AND($R2329="Não",$Q2329&lt;&gt;"",$Q2329&lt;=Hoje+JanelaRet,$Q2329&gt;=Hoje-60),MAX($V$4:$V2328)+1,"")</f>
        <v>0</v>
      </c>
    </row>
    <row r="2330" spans="1:22">
      <c r="A2330" s="16"/>
      <c r="B2330" s="23"/>
      <c r="C2330" s="15"/>
      <c r="D2330" s="15"/>
      <c r="E2330" s="15"/>
      <c r="F2330" s="24"/>
      <c r="G2330" s="17"/>
      <c r="H2330" s="17"/>
      <c r="I2330" s="15"/>
      <c r="J2330" s="25">
        <f>IF($D2330="","",IFERROR(INDEX(PacNome,MATCH($D2330,PacCod,0)),"Paciente não cadastrado"))</f>
        <v>0</v>
      </c>
      <c r="K2330" s="26">
        <f>IF($D2330="","",IFERROR(INDEX(PacConv,MATCH($D2330,PacCod,0))&amp;"",""))</f>
        <v>0</v>
      </c>
      <c r="L2330" s="26">
        <f>IF($A2330="","",CHOOSE(WEEKDAY($A2330,2),"Seg","Ter","Qua","Qui","Sex","Sáb","Dom"))</f>
        <v>0</v>
      </c>
      <c r="M2330" s="27">
        <f>IF($E2330="","",IF($G2330&lt;&gt;"",$G2330,IFERROR(INDEX(ProcValor,MATCH($E2330,ProcNome,0)),0)))</f>
        <v>0</v>
      </c>
      <c r="N2330" s="27">
        <f>IF($M2330="","",IF($F2330="Compareceu",$M2330,0))</f>
        <v>0</v>
      </c>
      <c r="O2330" s="27">
        <f>IF($M2330="","",IF($F2330="Faltou",$M2330,0))</f>
        <v>0</v>
      </c>
      <c r="P2330" s="27">
        <f>IF($M2330="","",IF($F2330="Compareceu",MAX(0,$M2330-N($H2330)),0))</f>
        <v>0</v>
      </c>
      <c r="Q2330" s="19">
        <f>IF(AND($F2330="Compareceu",$E2330&lt;&gt;"",$A2330&lt;&gt;""),IF(IFERROR(INDEX(ProcRet,MATCH($E2330,ProcNome,0)),0)&gt;0,$A2330+INDEX(ProcRet,MATCH($E2330,ProcNome,0)),""),"")</f>
        <v>0</v>
      </c>
      <c r="R2330" s="26">
        <f>IF($Q2330="","",IF(COUNTIFS(AgPac,$D2330,AgData,"&gt;"&amp;$A2330,AgStatus,"&lt;&gt;Cancelado",AgStatus,"&lt;&gt;Remarcado")&gt;0,"Sim","Não"))</f>
        <v>0</v>
      </c>
      <c r="S2330" s="28">
        <f>IF($A2330="","",IF(AND($F2330="Agendado",$A2330-Hoje&gt;=0,$A2330-Hoje&lt;=DiasConf),"CONFIRMAR",IF(AND($A2330&lt;Hoje,OR($F2330="Agendado",$F2330="Confirmado")),"Atualizar status",IF(AND($F2330="Compareceu",$P2330&gt;0.005),"Cobrar",IF($F2330="Faltou","Falta: reagendar","")))))</f>
        <v>0</v>
      </c>
      <c r="T2330" s="29">
        <f>IF($A2330="","",DATE(YEAR($A2330),MONTH($A2330),1))</f>
        <v>0</v>
      </c>
      <c r="U2330" s="30">
        <f>IF($S2330="CONFIRMAR",MAX($U$4:$U2329)+1,"")</f>
        <v>0</v>
      </c>
      <c r="V2330" s="30">
        <f>IF(AND($R2330="Não",$Q2330&lt;&gt;"",$Q2330&lt;=Hoje+JanelaRet,$Q2330&gt;=Hoje-60),MAX($V$4:$V2329)+1,"")</f>
        <v>0</v>
      </c>
    </row>
    <row r="2331" spans="1:22">
      <c r="A2331" s="16"/>
      <c r="B2331" s="23"/>
      <c r="C2331" s="15"/>
      <c r="D2331" s="15"/>
      <c r="E2331" s="15"/>
      <c r="F2331" s="24"/>
      <c r="G2331" s="17"/>
      <c r="H2331" s="17"/>
      <c r="I2331" s="15"/>
      <c r="J2331" s="25">
        <f>IF($D2331="","",IFERROR(INDEX(PacNome,MATCH($D2331,PacCod,0)),"Paciente não cadastrado"))</f>
        <v>0</v>
      </c>
      <c r="K2331" s="26">
        <f>IF($D2331="","",IFERROR(INDEX(PacConv,MATCH($D2331,PacCod,0))&amp;"",""))</f>
        <v>0</v>
      </c>
      <c r="L2331" s="26">
        <f>IF($A2331="","",CHOOSE(WEEKDAY($A2331,2),"Seg","Ter","Qua","Qui","Sex","Sáb","Dom"))</f>
        <v>0</v>
      </c>
      <c r="M2331" s="27">
        <f>IF($E2331="","",IF($G2331&lt;&gt;"",$G2331,IFERROR(INDEX(ProcValor,MATCH($E2331,ProcNome,0)),0)))</f>
        <v>0</v>
      </c>
      <c r="N2331" s="27">
        <f>IF($M2331="","",IF($F2331="Compareceu",$M2331,0))</f>
        <v>0</v>
      </c>
      <c r="O2331" s="27">
        <f>IF($M2331="","",IF($F2331="Faltou",$M2331,0))</f>
        <v>0</v>
      </c>
      <c r="P2331" s="27">
        <f>IF($M2331="","",IF($F2331="Compareceu",MAX(0,$M2331-N($H2331)),0))</f>
        <v>0</v>
      </c>
      <c r="Q2331" s="19">
        <f>IF(AND($F2331="Compareceu",$E2331&lt;&gt;"",$A2331&lt;&gt;""),IF(IFERROR(INDEX(ProcRet,MATCH($E2331,ProcNome,0)),0)&gt;0,$A2331+INDEX(ProcRet,MATCH($E2331,ProcNome,0)),""),"")</f>
        <v>0</v>
      </c>
      <c r="R2331" s="26">
        <f>IF($Q2331="","",IF(COUNTIFS(AgPac,$D2331,AgData,"&gt;"&amp;$A2331,AgStatus,"&lt;&gt;Cancelado",AgStatus,"&lt;&gt;Remarcado")&gt;0,"Sim","Não"))</f>
        <v>0</v>
      </c>
      <c r="S2331" s="28">
        <f>IF($A2331="","",IF(AND($F2331="Agendado",$A2331-Hoje&gt;=0,$A2331-Hoje&lt;=DiasConf),"CONFIRMAR",IF(AND($A2331&lt;Hoje,OR($F2331="Agendado",$F2331="Confirmado")),"Atualizar status",IF(AND($F2331="Compareceu",$P2331&gt;0.005),"Cobrar",IF($F2331="Faltou","Falta: reagendar","")))))</f>
        <v>0</v>
      </c>
      <c r="T2331" s="29">
        <f>IF($A2331="","",DATE(YEAR($A2331),MONTH($A2331),1))</f>
        <v>0</v>
      </c>
      <c r="U2331" s="30">
        <f>IF($S2331="CONFIRMAR",MAX($U$4:$U2330)+1,"")</f>
        <v>0</v>
      </c>
      <c r="V2331" s="30">
        <f>IF(AND($R2331="Não",$Q2331&lt;&gt;"",$Q2331&lt;=Hoje+JanelaRet,$Q2331&gt;=Hoje-60),MAX($V$4:$V2330)+1,"")</f>
        <v>0</v>
      </c>
    </row>
    <row r="2332" spans="1:22">
      <c r="A2332" s="16"/>
      <c r="B2332" s="23"/>
      <c r="C2332" s="15"/>
      <c r="D2332" s="15"/>
      <c r="E2332" s="15"/>
      <c r="F2332" s="24"/>
      <c r="G2332" s="17"/>
      <c r="H2332" s="17"/>
      <c r="I2332" s="15"/>
      <c r="J2332" s="25">
        <f>IF($D2332="","",IFERROR(INDEX(PacNome,MATCH($D2332,PacCod,0)),"Paciente não cadastrado"))</f>
        <v>0</v>
      </c>
      <c r="K2332" s="26">
        <f>IF($D2332="","",IFERROR(INDEX(PacConv,MATCH($D2332,PacCod,0))&amp;"",""))</f>
        <v>0</v>
      </c>
      <c r="L2332" s="26">
        <f>IF($A2332="","",CHOOSE(WEEKDAY($A2332,2),"Seg","Ter","Qua","Qui","Sex","Sáb","Dom"))</f>
        <v>0</v>
      </c>
      <c r="M2332" s="27">
        <f>IF($E2332="","",IF($G2332&lt;&gt;"",$G2332,IFERROR(INDEX(ProcValor,MATCH($E2332,ProcNome,0)),0)))</f>
        <v>0</v>
      </c>
      <c r="N2332" s="27">
        <f>IF($M2332="","",IF($F2332="Compareceu",$M2332,0))</f>
        <v>0</v>
      </c>
      <c r="O2332" s="27">
        <f>IF($M2332="","",IF($F2332="Faltou",$M2332,0))</f>
        <v>0</v>
      </c>
      <c r="P2332" s="27">
        <f>IF($M2332="","",IF($F2332="Compareceu",MAX(0,$M2332-N($H2332)),0))</f>
        <v>0</v>
      </c>
      <c r="Q2332" s="19">
        <f>IF(AND($F2332="Compareceu",$E2332&lt;&gt;"",$A2332&lt;&gt;""),IF(IFERROR(INDEX(ProcRet,MATCH($E2332,ProcNome,0)),0)&gt;0,$A2332+INDEX(ProcRet,MATCH($E2332,ProcNome,0)),""),"")</f>
        <v>0</v>
      </c>
      <c r="R2332" s="26">
        <f>IF($Q2332="","",IF(COUNTIFS(AgPac,$D2332,AgData,"&gt;"&amp;$A2332,AgStatus,"&lt;&gt;Cancelado",AgStatus,"&lt;&gt;Remarcado")&gt;0,"Sim","Não"))</f>
        <v>0</v>
      </c>
      <c r="S2332" s="28">
        <f>IF($A2332="","",IF(AND($F2332="Agendado",$A2332-Hoje&gt;=0,$A2332-Hoje&lt;=DiasConf),"CONFIRMAR",IF(AND($A2332&lt;Hoje,OR($F2332="Agendado",$F2332="Confirmado")),"Atualizar status",IF(AND($F2332="Compareceu",$P2332&gt;0.005),"Cobrar",IF($F2332="Faltou","Falta: reagendar","")))))</f>
        <v>0</v>
      </c>
      <c r="T2332" s="29">
        <f>IF($A2332="","",DATE(YEAR($A2332),MONTH($A2332),1))</f>
        <v>0</v>
      </c>
      <c r="U2332" s="30">
        <f>IF($S2332="CONFIRMAR",MAX($U$4:$U2331)+1,"")</f>
        <v>0</v>
      </c>
      <c r="V2332" s="30">
        <f>IF(AND($R2332="Não",$Q2332&lt;&gt;"",$Q2332&lt;=Hoje+JanelaRet,$Q2332&gt;=Hoje-60),MAX($V$4:$V2331)+1,"")</f>
        <v>0</v>
      </c>
    </row>
    <row r="2333" spans="1:22">
      <c r="A2333" s="16"/>
      <c r="B2333" s="23"/>
      <c r="C2333" s="15"/>
      <c r="D2333" s="15"/>
      <c r="E2333" s="15"/>
      <c r="F2333" s="24"/>
      <c r="G2333" s="17"/>
      <c r="H2333" s="17"/>
      <c r="I2333" s="15"/>
      <c r="J2333" s="25">
        <f>IF($D2333="","",IFERROR(INDEX(PacNome,MATCH($D2333,PacCod,0)),"Paciente não cadastrado"))</f>
        <v>0</v>
      </c>
      <c r="K2333" s="26">
        <f>IF($D2333="","",IFERROR(INDEX(PacConv,MATCH($D2333,PacCod,0))&amp;"",""))</f>
        <v>0</v>
      </c>
      <c r="L2333" s="26">
        <f>IF($A2333="","",CHOOSE(WEEKDAY($A2333,2),"Seg","Ter","Qua","Qui","Sex","Sáb","Dom"))</f>
        <v>0</v>
      </c>
      <c r="M2333" s="27">
        <f>IF($E2333="","",IF($G2333&lt;&gt;"",$G2333,IFERROR(INDEX(ProcValor,MATCH($E2333,ProcNome,0)),0)))</f>
        <v>0</v>
      </c>
      <c r="N2333" s="27">
        <f>IF($M2333="","",IF($F2333="Compareceu",$M2333,0))</f>
        <v>0</v>
      </c>
      <c r="O2333" s="27">
        <f>IF($M2333="","",IF($F2333="Faltou",$M2333,0))</f>
        <v>0</v>
      </c>
      <c r="P2333" s="27">
        <f>IF($M2333="","",IF($F2333="Compareceu",MAX(0,$M2333-N($H2333)),0))</f>
        <v>0</v>
      </c>
      <c r="Q2333" s="19">
        <f>IF(AND($F2333="Compareceu",$E2333&lt;&gt;"",$A2333&lt;&gt;""),IF(IFERROR(INDEX(ProcRet,MATCH($E2333,ProcNome,0)),0)&gt;0,$A2333+INDEX(ProcRet,MATCH($E2333,ProcNome,0)),""),"")</f>
        <v>0</v>
      </c>
      <c r="R2333" s="26">
        <f>IF($Q2333="","",IF(COUNTIFS(AgPac,$D2333,AgData,"&gt;"&amp;$A2333,AgStatus,"&lt;&gt;Cancelado",AgStatus,"&lt;&gt;Remarcado")&gt;0,"Sim","Não"))</f>
        <v>0</v>
      </c>
      <c r="S2333" s="28">
        <f>IF($A2333="","",IF(AND($F2333="Agendado",$A2333-Hoje&gt;=0,$A2333-Hoje&lt;=DiasConf),"CONFIRMAR",IF(AND($A2333&lt;Hoje,OR($F2333="Agendado",$F2333="Confirmado")),"Atualizar status",IF(AND($F2333="Compareceu",$P2333&gt;0.005),"Cobrar",IF($F2333="Faltou","Falta: reagendar","")))))</f>
        <v>0</v>
      </c>
      <c r="T2333" s="29">
        <f>IF($A2333="","",DATE(YEAR($A2333),MONTH($A2333),1))</f>
        <v>0</v>
      </c>
      <c r="U2333" s="30">
        <f>IF($S2333="CONFIRMAR",MAX($U$4:$U2332)+1,"")</f>
        <v>0</v>
      </c>
      <c r="V2333" s="30">
        <f>IF(AND($R2333="Não",$Q2333&lt;&gt;"",$Q2333&lt;=Hoje+JanelaRet,$Q2333&gt;=Hoje-60),MAX($V$4:$V2332)+1,"")</f>
        <v>0</v>
      </c>
    </row>
    <row r="2334" spans="1:22">
      <c r="A2334" s="16"/>
      <c r="B2334" s="23"/>
      <c r="C2334" s="15"/>
      <c r="D2334" s="15"/>
      <c r="E2334" s="15"/>
      <c r="F2334" s="24"/>
      <c r="G2334" s="17"/>
      <c r="H2334" s="17"/>
      <c r="I2334" s="15"/>
      <c r="J2334" s="25">
        <f>IF($D2334="","",IFERROR(INDEX(PacNome,MATCH($D2334,PacCod,0)),"Paciente não cadastrado"))</f>
        <v>0</v>
      </c>
      <c r="K2334" s="26">
        <f>IF($D2334="","",IFERROR(INDEX(PacConv,MATCH($D2334,PacCod,0))&amp;"",""))</f>
        <v>0</v>
      </c>
      <c r="L2334" s="26">
        <f>IF($A2334="","",CHOOSE(WEEKDAY($A2334,2),"Seg","Ter","Qua","Qui","Sex","Sáb","Dom"))</f>
        <v>0</v>
      </c>
      <c r="M2334" s="27">
        <f>IF($E2334="","",IF($G2334&lt;&gt;"",$G2334,IFERROR(INDEX(ProcValor,MATCH($E2334,ProcNome,0)),0)))</f>
        <v>0</v>
      </c>
      <c r="N2334" s="27">
        <f>IF($M2334="","",IF($F2334="Compareceu",$M2334,0))</f>
        <v>0</v>
      </c>
      <c r="O2334" s="27">
        <f>IF($M2334="","",IF($F2334="Faltou",$M2334,0))</f>
        <v>0</v>
      </c>
      <c r="P2334" s="27">
        <f>IF($M2334="","",IF($F2334="Compareceu",MAX(0,$M2334-N($H2334)),0))</f>
        <v>0</v>
      </c>
      <c r="Q2334" s="19">
        <f>IF(AND($F2334="Compareceu",$E2334&lt;&gt;"",$A2334&lt;&gt;""),IF(IFERROR(INDEX(ProcRet,MATCH($E2334,ProcNome,0)),0)&gt;0,$A2334+INDEX(ProcRet,MATCH($E2334,ProcNome,0)),""),"")</f>
        <v>0</v>
      </c>
      <c r="R2334" s="26">
        <f>IF($Q2334="","",IF(COUNTIFS(AgPac,$D2334,AgData,"&gt;"&amp;$A2334,AgStatus,"&lt;&gt;Cancelado",AgStatus,"&lt;&gt;Remarcado")&gt;0,"Sim","Não"))</f>
        <v>0</v>
      </c>
      <c r="S2334" s="28">
        <f>IF($A2334="","",IF(AND($F2334="Agendado",$A2334-Hoje&gt;=0,$A2334-Hoje&lt;=DiasConf),"CONFIRMAR",IF(AND($A2334&lt;Hoje,OR($F2334="Agendado",$F2334="Confirmado")),"Atualizar status",IF(AND($F2334="Compareceu",$P2334&gt;0.005),"Cobrar",IF($F2334="Faltou","Falta: reagendar","")))))</f>
        <v>0</v>
      </c>
      <c r="T2334" s="29">
        <f>IF($A2334="","",DATE(YEAR($A2334),MONTH($A2334),1))</f>
        <v>0</v>
      </c>
      <c r="U2334" s="30">
        <f>IF($S2334="CONFIRMAR",MAX($U$4:$U2333)+1,"")</f>
        <v>0</v>
      </c>
      <c r="V2334" s="30">
        <f>IF(AND($R2334="Não",$Q2334&lt;&gt;"",$Q2334&lt;=Hoje+JanelaRet,$Q2334&gt;=Hoje-60),MAX($V$4:$V2333)+1,"")</f>
        <v>0</v>
      </c>
    </row>
    <row r="2335" spans="1:22">
      <c r="A2335" s="16"/>
      <c r="B2335" s="23"/>
      <c r="C2335" s="15"/>
      <c r="D2335" s="15"/>
      <c r="E2335" s="15"/>
      <c r="F2335" s="24"/>
      <c r="G2335" s="17"/>
      <c r="H2335" s="17"/>
      <c r="I2335" s="15"/>
      <c r="J2335" s="25">
        <f>IF($D2335="","",IFERROR(INDEX(PacNome,MATCH($D2335,PacCod,0)),"Paciente não cadastrado"))</f>
        <v>0</v>
      </c>
      <c r="K2335" s="26">
        <f>IF($D2335="","",IFERROR(INDEX(PacConv,MATCH($D2335,PacCod,0))&amp;"",""))</f>
        <v>0</v>
      </c>
      <c r="L2335" s="26">
        <f>IF($A2335="","",CHOOSE(WEEKDAY($A2335,2),"Seg","Ter","Qua","Qui","Sex","Sáb","Dom"))</f>
        <v>0</v>
      </c>
      <c r="M2335" s="27">
        <f>IF($E2335="","",IF($G2335&lt;&gt;"",$G2335,IFERROR(INDEX(ProcValor,MATCH($E2335,ProcNome,0)),0)))</f>
        <v>0</v>
      </c>
      <c r="N2335" s="27">
        <f>IF($M2335="","",IF($F2335="Compareceu",$M2335,0))</f>
        <v>0</v>
      </c>
      <c r="O2335" s="27">
        <f>IF($M2335="","",IF($F2335="Faltou",$M2335,0))</f>
        <v>0</v>
      </c>
      <c r="P2335" s="27">
        <f>IF($M2335="","",IF($F2335="Compareceu",MAX(0,$M2335-N($H2335)),0))</f>
        <v>0</v>
      </c>
      <c r="Q2335" s="19">
        <f>IF(AND($F2335="Compareceu",$E2335&lt;&gt;"",$A2335&lt;&gt;""),IF(IFERROR(INDEX(ProcRet,MATCH($E2335,ProcNome,0)),0)&gt;0,$A2335+INDEX(ProcRet,MATCH($E2335,ProcNome,0)),""),"")</f>
        <v>0</v>
      </c>
      <c r="R2335" s="26">
        <f>IF($Q2335="","",IF(COUNTIFS(AgPac,$D2335,AgData,"&gt;"&amp;$A2335,AgStatus,"&lt;&gt;Cancelado",AgStatus,"&lt;&gt;Remarcado")&gt;0,"Sim","Não"))</f>
        <v>0</v>
      </c>
      <c r="S2335" s="28">
        <f>IF($A2335="","",IF(AND($F2335="Agendado",$A2335-Hoje&gt;=0,$A2335-Hoje&lt;=DiasConf),"CONFIRMAR",IF(AND($A2335&lt;Hoje,OR($F2335="Agendado",$F2335="Confirmado")),"Atualizar status",IF(AND($F2335="Compareceu",$P2335&gt;0.005),"Cobrar",IF($F2335="Faltou","Falta: reagendar","")))))</f>
        <v>0</v>
      </c>
      <c r="T2335" s="29">
        <f>IF($A2335="","",DATE(YEAR($A2335),MONTH($A2335),1))</f>
        <v>0</v>
      </c>
      <c r="U2335" s="30">
        <f>IF($S2335="CONFIRMAR",MAX($U$4:$U2334)+1,"")</f>
        <v>0</v>
      </c>
      <c r="V2335" s="30">
        <f>IF(AND($R2335="Não",$Q2335&lt;&gt;"",$Q2335&lt;=Hoje+JanelaRet,$Q2335&gt;=Hoje-60),MAX($V$4:$V2334)+1,"")</f>
        <v>0</v>
      </c>
    </row>
    <row r="2336" spans="1:22">
      <c r="A2336" s="16"/>
      <c r="B2336" s="23"/>
      <c r="C2336" s="15"/>
      <c r="D2336" s="15"/>
      <c r="E2336" s="15"/>
      <c r="F2336" s="24"/>
      <c r="G2336" s="17"/>
      <c r="H2336" s="17"/>
      <c r="I2336" s="15"/>
      <c r="J2336" s="25">
        <f>IF($D2336="","",IFERROR(INDEX(PacNome,MATCH($D2336,PacCod,0)),"Paciente não cadastrado"))</f>
        <v>0</v>
      </c>
      <c r="K2336" s="26">
        <f>IF($D2336="","",IFERROR(INDEX(PacConv,MATCH($D2336,PacCod,0))&amp;"",""))</f>
        <v>0</v>
      </c>
      <c r="L2336" s="26">
        <f>IF($A2336="","",CHOOSE(WEEKDAY($A2336,2),"Seg","Ter","Qua","Qui","Sex","Sáb","Dom"))</f>
        <v>0</v>
      </c>
      <c r="M2336" s="27">
        <f>IF($E2336="","",IF($G2336&lt;&gt;"",$G2336,IFERROR(INDEX(ProcValor,MATCH($E2336,ProcNome,0)),0)))</f>
        <v>0</v>
      </c>
      <c r="N2336" s="27">
        <f>IF($M2336="","",IF($F2336="Compareceu",$M2336,0))</f>
        <v>0</v>
      </c>
      <c r="O2336" s="27">
        <f>IF($M2336="","",IF($F2336="Faltou",$M2336,0))</f>
        <v>0</v>
      </c>
      <c r="P2336" s="27">
        <f>IF($M2336="","",IF($F2336="Compareceu",MAX(0,$M2336-N($H2336)),0))</f>
        <v>0</v>
      </c>
      <c r="Q2336" s="19">
        <f>IF(AND($F2336="Compareceu",$E2336&lt;&gt;"",$A2336&lt;&gt;""),IF(IFERROR(INDEX(ProcRet,MATCH($E2336,ProcNome,0)),0)&gt;0,$A2336+INDEX(ProcRet,MATCH($E2336,ProcNome,0)),""),"")</f>
        <v>0</v>
      </c>
      <c r="R2336" s="26">
        <f>IF($Q2336="","",IF(COUNTIFS(AgPac,$D2336,AgData,"&gt;"&amp;$A2336,AgStatus,"&lt;&gt;Cancelado",AgStatus,"&lt;&gt;Remarcado")&gt;0,"Sim","Não"))</f>
        <v>0</v>
      </c>
      <c r="S2336" s="28">
        <f>IF($A2336="","",IF(AND($F2336="Agendado",$A2336-Hoje&gt;=0,$A2336-Hoje&lt;=DiasConf),"CONFIRMAR",IF(AND($A2336&lt;Hoje,OR($F2336="Agendado",$F2336="Confirmado")),"Atualizar status",IF(AND($F2336="Compareceu",$P2336&gt;0.005),"Cobrar",IF($F2336="Faltou","Falta: reagendar","")))))</f>
        <v>0</v>
      </c>
      <c r="T2336" s="29">
        <f>IF($A2336="","",DATE(YEAR($A2336),MONTH($A2336),1))</f>
        <v>0</v>
      </c>
      <c r="U2336" s="30">
        <f>IF($S2336="CONFIRMAR",MAX($U$4:$U2335)+1,"")</f>
        <v>0</v>
      </c>
      <c r="V2336" s="30">
        <f>IF(AND($R2336="Não",$Q2336&lt;&gt;"",$Q2336&lt;=Hoje+JanelaRet,$Q2336&gt;=Hoje-60),MAX($V$4:$V2335)+1,"")</f>
        <v>0</v>
      </c>
    </row>
    <row r="2337" spans="1:22">
      <c r="A2337" s="16"/>
      <c r="B2337" s="23"/>
      <c r="C2337" s="15"/>
      <c r="D2337" s="15"/>
      <c r="E2337" s="15"/>
      <c r="F2337" s="24"/>
      <c r="G2337" s="17"/>
      <c r="H2337" s="17"/>
      <c r="I2337" s="15"/>
      <c r="J2337" s="25">
        <f>IF($D2337="","",IFERROR(INDEX(PacNome,MATCH($D2337,PacCod,0)),"Paciente não cadastrado"))</f>
        <v>0</v>
      </c>
      <c r="K2337" s="26">
        <f>IF($D2337="","",IFERROR(INDEX(PacConv,MATCH($D2337,PacCod,0))&amp;"",""))</f>
        <v>0</v>
      </c>
      <c r="L2337" s="26">
        <f>IF($A2337="","",CHOOSE(WEEKDAY($A2337,2),"Seg","Ter","Qua","Qui","Sex","Sáb","Dom"))</f>
        <v>0</v>
      </c>
      <c r="M2337" s="27">
        <f>IF($E2337="","",IF($G2337&lt;&gt;"",$G2337,IFERROR(INDEX(ProcValor,MATCH($E2337,ProcNome,0)),0)))</f>
        <v>0</v>
      </c>
      <c r="N2337" s="27">
        <f>IF($M2337="","",IF($F2337="Compareceu",$M2337,0))</f>
        <v>0</v>
      </c>
      <c r="O2337" s="27">
        <f>IF($M2337="","",IF($F2337="Faltou",$M2337,0))</f>
        <v>0</v>
      </c>
      <c r="P2337" s="27">
        <f>IF($M2337="","",IF($F2337="Compareceu",MAX(0,$M2337-N($H2337)),0))</f>
        <v>0</v>
      </c>
      <c r="Q2337" s="19">
        <f>IF(AND($F2337="Compareceu",$E2337&lt;&gt;"",$A2337&lt;&gt;""),IF(IFERROR(INDEX(ProcRet,MATCH($E2337,ProcNome,0)),0)&gt;0,$A2337+INDEX(ProcRet,MATCH($E2337,ProcNome,0)),""),"")</f>
        <v>0</v>
      </c>
      <c r="R2337" s="26">
        <f>IF($Q2337="","",IF(COUNTIFS(AgPac,$D2337,AgData,"&gt;"&amp;$A2337,AgStatus,"&lt;&gt;Cancelado",AgStatus,"&lt;&gt;Remarcado")&gt;0,"Sim","Não"))</f>
        <v>0</v>
      </c>
      <c r="S2337" s="28">
        <f>IF($A2337="","",IF(AND($F2337="Agendado",$A2337-Hoje&gt;=0,$A2337-Hoje&lt;=DiasConf),"CONFIRMAR",IF(AND($A2337&lt;Hoje,OR($F2337="Agendado",$F2337="Confirmado")),"Atualizar status",IF(AND($F2337="Compareceu",$P2337&gt;0.005),"Cobrar",IF($F2337="Faltou","Falta: reagendar","")))))</f>
        <v>0</v>
      </c>
      <c r="T2337" s="29">
        <f>IF($A2337="","",DATE(YEAR($A2337),MONTH($A2337),1))</f>
        <v>0</v>
      </c>
      <c r="U2337" s="30">
        <f>IF($S2337="CONFIRMAR",MAX($U$4:$U2336)+1,"")</f>
        <v>0</v>
      </c>
      <c r="V2337" s="30">
        <f>IF(AND($R2337="Não",$Q2337&lt;&gt;"",$Q2337&lt;=Hoje+JanelaRet,$Q2337&gt;=Hoje-60),MAX($V$4:$V2336)+1,"")</f>
        <v>0</v>
      </c>
    </row>
    <row r="2338" spans="1:22">
      <c r="A2338" s="16"/>
      <c r="B2338" s="23"/>
      <c r="C2338" s="15"/>
      <c r="D2338" s="15"/>
      <c r="E2338" s="15"/>
      <c r="F2338" s="24"/>
      <c r="G2338" s="17"/>
      <c r="H2338" s="17"/>
      <c r="I2338" s="15"/>
      <c r="J2338" s="25">
        <f>IF($D2338="","",IFERROR(INDEX(PacNome,MATCH($D2338,PacCod,0)),"Paciente não cadastrado"))</f>
        <v>0</v>
      </c>
      <c r="K2338" s="26">
        <f>IF($D2338="","",IFERROR(INDEX(PacConv,MATCH($D2338,PacCod,0))&amp;"",""))</f>
        <v>0</v>
      </c>
      <c r="L2338" s="26">
        <f>IF($A2338="","",CHOOSE(WEEKDAY($A2338,2),"Seg","Ter","Qua","Qui","Sex","Sáb","Dom"))</f>
        <v>0</v>
      </c>
      <c r="M2338" s="27">
        <f>IF($E2338="","",IF($G2338&lt;&gt;"",$G2338,IFERROR(INDEX(ProcValor,MATCH($E2338,ProcNome,0)),0)))</f>
        <v>0</v>
      </c>
      <c r="N2338" s="27">
        <f>IF($M2338="","",IF($F2338="Compareceu",$M2338,0))</f>
        <v>0</v>
      </c>
      <c r="O2338" s="27">
        <f>IF($M2338="","",IF($F2338="Faltou",$M2338,0))</f>
        <v>0</v>
      </c>
      <c r="P2338" s="27">
        <f>IF($M2338="","",IF($F2338="Compareceu",MAX(0,$M2338-N($H2338)),0))</f>
        <v>0</v>
      </c>
      <c r="Q2338" s="19">
        <f>IF(AND($F2338="Compareceu",$E2338&lt;&gt;"",$A2338&lt;&gt;""),IF(IFERROR(INDEX(ProcRet,MATCH($E2338,ProcNome,0)),0)&gt;0,$A2338+INDEX(ProcRet,MATCH($E2338,ProcNome,0)),""),"")</f>
        <v>0</v>
      </c>
      <c r="R2338" s="26">
        <f>IF($Q2338="","",IF(COUNTIFS(AgPac,$D2338,AgData,"&gt;"&amp;$A2338,AgStatus,"&lt;&gt;Cancelado",AgStatus,"&lt;&gt;Remarcado")&gt;0,"Sim","Não"))</f>
        <v>0</v>
      </c>
      <c r="S2338" s="28">
        <f>IF($A2338="","",IF(AND($F2338="Agendado",$A2338-Hoje&gt;=0,$A2338-Hoje&lt;=DiasConf),"CONFIRMAR",IF(AND($A2338&lt;Hoje,OR($F2338="Agendado",$F2338="Confirmado")),"Atualizar status",IF(AND($F2338="Compareceu",$P2338&gt;0.005),"Cobrar",IF($F2338="Faltou","Falta: reagendar","")))))</f>
        <v>0</v>
      </c>
      <c r="T2338" s="29">
        <f>IF($A2338="","",DATE(YEAR($A2338),MONTH($A2338),1))</f>
        <v>0</v>
      </c>
      <c r="U2338" s="30">
        <f>IF($S2338="CONFIRMAR",MAX($U$4:$U2337)+1,"")</f>
        <v>0</v>
      </c>
      <c r="V2338" s="30">
        <f>IF(AND($R2338="Não",$Q2338&lt;&gt;"",$Q2338&lt;=Hoje+JanelaRet,$Q2338&gt;=Hoje-60),MAX($V$4:$V2337)+1,"")</f>
        <v>0</v>
      </c>
    </row>
    <row r="2339" spans="1:22">
      <c r="A2339" s="16"/>
      <c r="B2339" s="23"/>
      <c r="C2339" s="15"/>
      <c r="D2339" s="15"/>
      <c r="E2339" s="15"/>
      <c r="F2339" s="24"/>
      <c r="G2339" s="17"/>
      <c r="H2339" s="17"/>
      <c r="I2339" s="15"/>
      <c r="J2339" s="25">
        <f>IF($D2339="","",IFERROR(INDEX(PacNome,MATCH($D2339,PacCod,0)),"Paciente não cadastrado"))</f>
        <v>0</v>
      </c>
      <c r="K2339" s="26">
        <f>IF($D2339="","",IFERROR(INDEX(PacConv,MATCH($D2339,PacCod,0))&amp;"",""))</f>
        <v>0</v>
      </c>
      <c r="L2339" s="26">
        <f>IF($A2339="","",CHOOSE(WEEKDAY($A2339,2),"Seg","Ter","Qua","Qui","Sex","Sáb","Dom"))</f>
        <v>0</v>
      </c>
      <c r="M2339" s="27">
        <f>IF($E2339="","",IF($G2339&lt;&gt;"",$G2339,IFERROR(INDEX(ProcValor,MATCH($E2339,ProcNome,0)),0)))</f>
        <v>0</v>
      </c>
      <c r="N2339" s="27">
        <f>IF($M2339="","",IF($F2339="Compareceu",$M2339,0))</f>
        <v>0</v>
      </c>
      <c r="O2339" s="27">
        <f>IF($M2339="","",IF($F2339="Faltou",$M2339,0))</f>
        <v>0</v>
      </c>
      <c r="P2339" s="27">
        <f>IF($M2339="","",IF($F2339="Compareceu",MAX(0,$M2339-N($H2339)),0))</f>
        <v>0</v>
      </c>
      <c r="Q2339" s="19">
        <f>IF(AND($F2339="Compareceu",$E2339&lt;&gt;"",$A2339&lt;&gt;""),IF(IFERROR(INDEX(ProcRet,MATCH($E2339,ProcNome,0)),0)&gt;0,$A2339+INDEX(ProcRet,MATCH($E2339,ProcNome,0)),""),"")</f>
        <v>0</v>
      </c>
      <c r="R2339" s="26">
        <f>IF($Q2339="","",IF(COUNTIFS(AgPac,$D2339,AgData,"&gt;"&amp;$A2339,AgStatus,"&lt;&gt;Cancelado",AgStatus,"&lt;&gt;Remarcado")&gt;0,"Sim","Não"))</f>
        <v>0</v>
      </c>
      <c r="S2339" s="28">
        <f>IF($A2339="","",IF(AND($F2339="Agendado",$A2339-Hoje&gt;=0,$A2339-Hoje&lt;=DiasConf),"CONFIRMAR",IF(AND($A2339&lt;Hoje,OR($F2339="Agendado",$F2339="Confirmado")),"Atualizar status",IF(AND($F2339="Compareceu",$P2339&gt;0.005),"Cobrar",IF($F2339="Faltou","Falta: reagendar","")))))</f>
        <v>0</v>
      </c>
      <c r="T2339" s="29">
        <f>IF($A2339="","",DATE(YEAR($A2339),MONTH($A2339),1))</f>
        <v>0</v>
      </c>
      <c r="U2339" s="30">
        <f>IF($S2339="CONFIRMAR",MAX($U$4:$U2338)+1,"")</f>
        <v>0</v>
      </c>
      <c r="V2339" s="30">
        <f>IF(AND($R2339="Não",$Q2339&lt;&gt;"",$Q2339&lt;=Hoje+JanelaRet,$Q2339&gt;=Hoje-60),MAX($V$4:$V2338)+1,"")</f>
        <v>0</v>
      </c>
    </row>
    <row r="2340" spans="1:22">
      <c r="A2340" s="16"/>
      <c r="B2340" s="23"/>
      <c r="C2340" s="15"/>
      <c r="D2340" s="15"/>
      <c r="E2340" s="15"/>
      <c r="F2340" s="24"/>
      <c r="G2340" s="17"/>
      <c r="H2340" s="17"/>
      <c r="I2340" s="15"/>
      <c r="J2340" s="25">
        <f>IF($D2340="","",IFERROR(INDEX(PacNome,MATCH($D2340,PacCod,0)),"Paciente não cadastrado"))</f>
        <v>0</v>
      </c>
      <c r="K2340" s="26">
        <f>IF($D2340="","",IFERROR(INDEX(PacConv,MATCH($D2340,PacCod,0))&amp;"",""))</f>
        <v>0</v>
      </c>
      <c r="L2340" s="26">
        <f>IF($A2340="","",CHOOSE(WEEKDAY($A2340,2),"Seg","Ter","Qua","Qui","Sex","Sáb","Dom"))</f>
        <v>0</v>
      </c>
      <c r="M2340" s="27">
        <f>IF($E2340="","",IF($G2340&lt;&gt;"",$G2340,IFERROR(INDEX(ProcValor,MATCH($E2340,ProcNome,0)),0)))</f>
        <v>0</v>
      </c>
      <c r="N2340" s="27">
        <f>IF($M2340="","",IF($F2340="Compareceu",$M2340,0))</f>
        <v>0</v>
      </c>
      <c r="O2340" s="27">
        <f>IF($M2340="","",IF($F2340="Faltou",$M2340,0))</f>
        <v>0</v>
      </c>
      <c r="P2340" s="27">
        <f>IF($M2340="","",IF($F2340="Compareceu",MAX(0,$M2340-N($H2340)),0))</f>
        <v>0</v>
      </c>
      <c r="Q2340" s="19">
        <f>IF(AND($F2340="Compareceu",$E2340&lt;&gt;"",$A2340&lt;&gt;""),IF(IFERROR(INDEX(ProcRet,MATCH($E2340,ProcNome,0)),0)&gt;0,$A2340+INDEX(ProcRet,MATCH($E2340,ProcNome,0)),""),"")</f>
        <v>0</v>
      </c>
      <c r="R2340" s="26">
        <f>IF($Q2340="","",IF(COUNTIFS(AgPac,$D2340,AgData,"&gt;"&amp;$A2340,AgStatus,"&lt;&gt;Cancelado",AgStatus,"&lt;&gt;Remarcado")&gt;0,"Sim","Não"))</f>
        <v>0</v>
      </c>
      <c r="S2340" s="28">
        <f>IF($A2340="","",IF(AND($F2340="Agendado",$A2340-Hoje&gt;=0,$A2340-Hoje&lt;=DiasConf),"CONFIRMAR",IF(AND($A2340&lt;Hoje,OR($F2340="Agendado",$F2340="Confirmado")),"Atualizar status",IF(AND($F2340="Compareceu",$P2340&gt;0.005),"Cobrar",IF($F2340="Faltou","Falta: reagendar","")))))</f>
        <v>0</v>
      </c>
      <c r="T2340" s="29">
        <f>IF($A2340="","",DATE(YEAR($A2340),MONTH($A2340),1))</f>
        <v>0</v>
      </c>
      <c r="U2340" s="30">
        <f>IF($S2340="CONFIRMAR",MAX($U$4:$U2339)+1,"")</f>
        <v>0</v>
      </c>
      <c r="V2340" s="30">
        <f>IF(AND($R2340="Não",$Q2340&lt;&gt;"",$Q2340&lt;=Hoje+JanelaRet,$Q2340&gt;=Hoje-60),MAX($V$4:$V2339)+1,"")</f>
        <v>0</v>
      </c>
    </row>
    <row r="2341" spans="1:22">
      <c r="A2341" s="16"/>
      <c r="B2341" s="23"/>
      <c r="C2341" s="15"/>
      <c r="D2341" s="15"/>
      <c r="E2341" s="15"/>
      <c r="F2341" s="24"/>
      <c r="G2341" s="17"/>
      <c r="H2341" s="17"/>
      <c r="I2341" s="15"/>
      <c r="J2341" s="25">
        <f>IF($D2341="","",IFERROR(INDEX(PacNome,MATCH($D2341,PacCod,0)),"Paciente não cadastrado"))</f>
        <v>0</v>
      </c>
      <c r="K2341" s="26">
        <f>IF($D2341="","",IFERROR(INDEX(PacConv,MATCH($D2341,PacCod,0))&amp;"",""))</f>
        <v>0</v>
      </c>
      <c r="L2341" s="26">
        <f>IF($A2341="","",CHOOSE(WEEKDAY($A2341,2),"Seg","Ter","Qua","Qui","Sex","Sáb","Dom"))</f>
        <v>0</v>
      </c>
      <c r="M2341" s="27">
        <f>IF($E2341="","",IF($G2341&lt;&gt;"",$G2341,IFERROR(INDEX(ProcValor,MATCH($E2341,ProcNome,0)),0)))</f>
        <v>0</v>
      </c>
      <c r="N2341" s="27">
        <f>IF($M2341="","",IF($F2341="Compareceu",$M2341,0))</f>
        <v>0</v>
      </c>
      <c r="O2341" s="27">
        <f>IF($M2341="","",IF($F2341="Faltou",$M2341,0))</f>
        <v>0</v>
      </c>
      <c r="P2341" s="27">
        <f>IF($M2341="","",IF($F2341="Compareceu",MAX(0,$M2341-N($H2341)),0))</f>
        <v>0</v>
      </c>
      <c r="Q2341" s="19">
        <f>IF(AND($F2341="Compareceu",$E2341&lt;&gt;"",$A2341&lt;&gt;""),IF(IFERROR(INDEX(ProcRet,MATCH($E2341,ProcNome,0)),0)&gt;0,$A2341+INDEX(ProcRet,MATCH($E2341,ProcNome,0)),""),"")</f>
        <v>0</v>
      </c>
      <c r="R2341" s="26">
        <f>IF($Q2341="","",IF(COUNTIFS(AgPac,$D2341,AgData,"&gt;"&amp;$A2341,AgStatus,"&lt;&gt;Cancelado",AgStatus,"&lt;&gt;Remarcado")&gt;0,"Sim","Não"))</f>
        <v>0</v>
      </c>
      <c r="S2341" s="28">
        <f>IF($A2341="","",IF(AND($F2341="Agendado",$A2341-Hoje&gt;=0,$A2341-Hoje&lt;=DiasConf),"CONFIRMAR",IF(AND($A2341&lt;Hoje,OR($F2341="Agendado",$F2341="Confirmado")),"Atualizar status",IF(AND($F2341="Compareceu",$P2341&gt;0.005),"Cobrar",IF($F2341="Faltou","Falta: reagendar","")))))</f>
        <v>0</v>
      </c>
      <c r="T2341" s="29">
        <f>IF($A2341="","",DATE(YEAR($A2341),MONTH($A2341),1))</f>
        <v>0</v>
      </c>
      <c r="U2341" s="30">
        <f>IF($S2341="CONFIRMAR",MAX($U$4:$U2340)+1,"")</f>
        <v>0</v>
      </c>
      <c r="V2341" s="30">
        <f>IF(AND($R2341="Não",$Q2341&lt;&gt;"",$Q2341&lt;=Hoje+JanelaRet,$Q2341&gt;=Hoje-60),MAX($V$4:$V2340)+1,"")</f>
        <v>0</v>
      </c>
    </row>
    <row r="2342" spans="1:22">
      <c r="A2342" s="16"/>
      <c r="B2342" s="23"/>
      <c r="C2342" s="15"/>
      <c r="D2342" s="15"/>
      <c r="E2342" s="15"/>
      <c r="F2342" s="24"/>
      <c r="G2342" s="17"/>
      <c r="H2342" s="17"/>
      <c r="I2342" s="15"/>
      <c r="J2342" s="25">
        <f>IF($D2342="","",IFERROR(INDEX(PacNome,MATCH($D2342,PacCod,0)),"Paciente não cadastrado"))</f>
        <v>0</v>
      </c>
      <c r="K2342" s="26">
        <f>IF($D2342="","",IFERROR(INDEX(PacConv,MATCH($D2342,PacCod,0))&amp;"",""))</f>
        <v>0</v>
      </c>
      <c r="L2342" s="26">
        <f>IF($A2342="","",CHOOSE(WEEKDAY($A2342,2),"Seg","Ter","Qua","Qui","Sex","Sáb","Dom"))</f>
        <v>0</v>
      </c>
      <c r="M2342" s="27">
        <f>IF($E2342="","",IF($G2342&lt;&gt;"",$G2342,IFERROR(INDEX(ProcValor,MATCH($E2342,ProcNome,0)),0)))</f>
        <v>0</v>
      </c>
      <c r="N2342" s="27">
        <f>IF($M2342="","",IF($F2342="Compareceu",$M2342,0))</f>
        <v>0</v>
      </c>
      <c r="O2342" s="27">
        <f>IF($M2342="","",IF($F2342="Faltou",$M2342,0))</f>
        <v>0</v>
      </c>
      <c r="P2342" s="27">
        <f>IF($M2342="","",IF($F2342="Compareceu",MAX(0,$M2342-N($H2342)),0))</f>
        <v>0</v>
      </c>
      <c r="Q2342" s="19">
        <f>IF(AND($F2342="Compareceu",$E2342&lt;&gt;"",$A2342&lt;&gt;""),IF(IFERROR(INDEX(ProcRet,MATCH($E2342,ProcNome,0)),0)&gt;0,$A2342+INDEX(ProcRet,MATCH($E2342,ProcNome,0)),""),"")</f>
        <v>0</v>
      </c>
      <c r="R2342" s="26">
        <f>IF($Q2342="","",IF(COUNTIFS(AgPac,$D2342,AgData,"&gt;"&amp;$A2342,AgStatus,"&lt;&gt;Cancelado",AgStatus,"&lt;&gt;Remarcado")&gt;0,"Sim","Não"))</f>
        <v>0</v>
      </c>
      <c r="S2342" s="28">
        <f>IF($A2342="","",IF(AND($F2342="Agendado",$A2342-Hoje&gt;=0,$A2342-Hoje&lt;=DiasConf),"CONFIRMAR",IF(AND($A2342&lt;Hoje,OR($F2342="Agendado",$F2342="Confirmado")),"Atualizar status",IF(AND($F2342="Compareceu",$P2342&gt;0.005),"Cobrar",IF($F2342="Faltou","Falta: reagendar","")))))</f>
        <v>0</v>
      </c>
      <c r="T2342" s="29">
        <f>IF($A2342="","",DATE(YEAR($A2342),MONTH($A2342),1))</f>
        <v>0</v>
      </c>
      <c r="U2342" s="30">
        <f>IF($S2342="CONFIRMAR",MAX($U$4:$U2341)+1,"")</f>
        <v>0</v>
      </c>
      <c r="V2342" s="30">
        <f>IF(AND($R2342="Não",$Q2342&lt;&gt;"",$Q2342&lt;=Hoje+JanelaRet,$Q2342&gt;=Hoje-60),MAX($V$4:$V2341)+1,"")</f>
        <v>0</v>
      </c>
    </row>
    <row r="2343" spans="1:22">
      <c r="A2343" s="16"/>
      <c r="B2343" s="23"/>
      <c r="C2343" s="15"/>
      <c r="D2343" s="15"/>
      <c r="E2343" s="15"/>
      <c r="F2343" s="24"/>
      <c r="G2343" s="17"/>
      <c r="H2343" s="17"/>
      <c r="I2343" s="15"/>
      <c r="J2343" s="25">
        <f>IF($D2343="","",IFERROR(INDEX(PacNome,MATCH($D2343,PacCod,0)),"Paciente não cadastrado"))</f>
        <v>0</v>
      </c>
      <c r="K2343" s="26">
        <f>IF($D2343="","",IFERROR(INDEX(PacConv,MATCH($D2343,PacCod,0))&amp;"",""))</f>
        <v>0</v>
      </c>
      <c r="L2343" s="26">
        <f>IF($A2343="","",CHOOSE(WEEKDAY($A2343,2),"Seg","Ter","Qua","Qui","Sex","Sáb","Dom"))</f>
        <v>0</v>
      </c>
      <c r="M2343" s="27">
        <f>IF($E2343="","",IF($G2343&lt;&gt;"",$G2343,IFERROR(INDEX(ProcValor,MATCH($E2343,ProcNome,0)),0)))</f>
        <v>0</v>
      </c>
      <c r="N2343" s="27">
        <f>IF($M2343="","",IF($F2343="Compareceu",$M2343,0))</f>
        <v>0</v>
      </c>
      <c r="O2343" s="27">
        <f>IF($M2343="","",IF($F2343="Faltou",$M2343,0))</f>
        <v>0</v>
      </c>
      <c r="P2343" s="27">
        <f>IF($M2343="","",IF($F2343="Compareceu",MAX(0,$M2343-N($H2343)),0))</f>
        <v>0</v>
      </c>
      <c r="Q2343" s="19">
        <f>IF(AND($F2343="Compareceu",$E2343&lt;&gt;"",$A2343&lt;&gt;""),IF(IFERROR(INDEX(ProcRet,MATCH($E2343,ProcNome,0)),0)&gt;0,$A2343+INDEX(ProcRet,MATCH($E2343,ProcNome,0)),""),"")</f>
        <v>0</v>
      </c>
      <c r="R2343" s="26">
        <f>IF($Q2343="","",IF(COUNTIFS(AgPac,$D2343,AgData,"&gt;"&amp;$A2343,AgStatus,"&lt;&gt;Cancelado",AgStatus,"&lt;&gt;Remarcado")&gt;0,"Sim","Não"))</f>
        <v>0</v>
      </c>
      <c r="S2343" s="28">
        <f>IF($A2343="","",IF(AND($F2343="Agendado",$A2343-Hoje&gt;=0,$A2343-Hoje&lt;=DiasConf),"CONFIRMAR",IF(AND($A2343&lt;Hoje,OR($F2343="Agendado",$F2343="Confirmado")),"Atualizar status",IF(AND($F2343="Compareceu",$P2343&gt;0.005),"Cobrar",IF($F2343="Faltou","Falta: reagendar","")))))</f>
        <v>0</v>
      </c>
      <c r="T2343" s="29">
        <f>IF($A2343="","",DATE(YEAR($A2343),MONTH($A2343),1))</f>
        <v>0</v>
      </c>
      <c r="U2343" s="30">
        <f>IF($S2343="CONFIRMAR",MAX($U$4:$U2342)+1,"")</f>
        <v>0</v>
      </c>
      <c r="V2343" s="30">
        <f>IF(AND($R2343="Não",$Q2343&lt;&gt;"",$Q2343&lt;=Hoje+JanelaRet,$Q2343&gt;=Hoje-60),MAX($V$4:$V2342)+1,"")</f>
        <v>0</v>
      </c>
    </row>
    <row r="2344" spans="1:22">
      <c r="A2344" s="16"/>
      <c r="B2344" s="23"/>
      <c r="C2344" s="15"/>
      <c r="D2344" s="15"/>
      <c r="E2344" s="15"/>
      <c r="F2344" s="24"/>
      <c r="G2344" s="17"/>
      <c r="H2344" s="17"/>
      <c r="I2344" s="15"/>
      <c r="J2344" s="25">
        <f>IF($D2344="","",IFERROR(INDEX(PacNome,MATCH($D2344,PacCod,0)),"Paciente não cadastrado"))</f>
        <v>0</v>
      </c>
      <c r="K2344" s="26">
        <f>IF($D2344="","",IFERROR(INDEX(PacConv,MATCH($D2344,PacCod,0))&amp;"",""))</f>
        <v>0</v>
      </c>
      <c r="L2344" s="26">
        <f>IF($A2344="","",CHOOSE(WEEKDAY($A2344,2),"Seg","Ter","Qua","Qui","Sex","Sáb","Dom"))</f>
        <v>0</v>
      </c>
      <c r="M2344" s="27">
        <f>IF($E2344="","",IF($G2344&lt;&gt;"",$G2344,IFERROR(INDEX(ProcValor,MATCH($E2344,ProcNome,0)),0)))</f>
        <v>0</v>
      </c>
      <c r="N2344" s="27">
        <f>IF($M2344="","",IF($F2344="Compareceu",$M2344,0))</f>
        <v>0</v>
      </c>
      <c r="O2344" s="27">
        <f>IF($M2344="","",IF($F2344="Faltou",$M2344,0))</f>
        <v>0</v>
      </c>
      <c r="P2344" s="27">
        <f>IF($M2344="","",IF($F2344="Compareceu",MAX(0,$M2344-N($H2344)),0))</f>
        <v>0</v>
      </c>
      <c r="Q2344" s="19">
        <f>IF(AND($F2344="Compareceu",$E2344&lt;&gt;"",$A2344&lt;&gt;""),IF(IFERROR(INDEX(ProcRet,MATCH($E2344,ProcNome,0)),0)&gt;0,$A2344+INDEX(ProcRet,MATCH($E2344,ProcNome,0)),""),"")</f>
        <v>0</v>
      </c>
      <c r="R2344" s="26">
        <f>IF($Q2344="","",IF(COUNTIFS(AgPac,$D2344,AgData,"&gt;"&amp;$A2344,AgStatus,"&lt;&gt;Cancelado",AgStatus,"&lt;&gt;Remarcado")&gt;0,"Sim","Não"))</f>
        <v>0</v>
      </c>
      <c r="S2344" s="28">
        <f>IF($A2344="","",IF(AND($F2344="Agendado",$A2344-Hoje&gt;=0,$A2344-Hoje&lt;=DiasConf),"CONFIRMAR",IF(AND($A2344&lt;Hoje,OR($F2344="Agendado",$F2344="Confirmado")),"Atualizar status",IF(AND($F2344="Compareceu",$P2344&gt;0.005),"Cobrar",IF($F2344="Faltou","Falta: reagendar","")))))</f>
        <v>0</v>
      </c>
      <c r="T2344" s="29">
        <f>IF($A2344="","",DATE(YEAR($A2344),MONTH($A2344),1))</f>
        <v>0</v>
      </c>
      <c r="U2344" s="30">
        <f>IF($S2344="CONFIRMAR",MAX($U$4:$U2343)+1,"")</f>
        <v>0</v>
      </c>
      <c r="V2344" s="30">
        <f>IF(AND($R2344="Não",$Q2344&lt;&gt;"",$Q2344&lt;=Hoje+JanelaRet,$Q2344&gt;=Hoje-60),MAX($V$4:$V2343)+1,"")</f>
        <v>0</v>
      </c>
    </row>
    <row r="2345" spans="1:22">
      <c r="A2345" s="16"/>
      <c r="B2345" s="23"/>
      <c r="C2345" s="15"/>
      <c r="D2345" s="15"/>
      <c r="E2345" s="15"/>
      <c r="F2345" s="24"/>
      <c r="G2345" s="17"/>
      <c r="H2345" s="17"/>
      <c r="I2345" s="15"/>
      <c r="J2345" s="25">
        <f>IF($D2345="","",IFERROR(INDEX(PacNome,MATCH($D2345,PacCod,0)),"Paciente não cadastrado"))</f>
        <v>0</v>
      </c>
      <c r="K2345" s="26">
        <f>IF($D2345="","",IFERROR(INDEX(PacConv,MATCH($D2345,PacCod,0))&amp;"",""))</f>
        <v>0</v>
      </c>
      <c r="L2345" s="26">
        <f>IF($A2345="","",CHOOSE(WEEKDAY($A2345,2),"Seg","Ter","Qua","Qui","Sex","Sáb","Dom"))</f>
        <v>0</v>
      </c>
      <c r="M2345" s="27">
        <f>IF($E2345="","",IF($G2345&lt;&gt;"",$G2345,IFERROR(INDEX(ProcValor,MATCH($E2345,ProcNome,0)),0)))</f>
        <v>0</v>
      </c>
      <c r="N2345" s="27">
        <f>IF($M2345="","",IF($F2345="Compareceu",$M2345,0))</f>
        <v>0</v>
      </c>
      <c r="O2345" s="27">
        <f>IF($M2345="","",IF($F2345="Faltou",$M2345,0))</f>
        <v>0</v>
      </c>
      <c r="P2345" s="27">
        <f>IF($M2345="","",IF($F2345="Compareceu",MAX(0,$M2345-N($H2345)),0))</f>
        <v>0</v>
      </c>
      <c r="Q2345" s="19">
        <f>IF(AND($F2345="Compareceu",$E2345&lt;&gt;"",$A2345&lt;&gt;""),IF(IFERROR(INDEX(ProcRet,MATCH($E2345,ProcNome,0)),0)&gt;0,$A2345+INDEX(ProcRet,MATCH($E2345,ProcNome,0)),""),"")</f>
        <v>0</v>
      </c>
      <c r="R2345" s="26">
        <f>IF($Q2345="","",IF(COUNTIFS(AgPac,$D2345,AgData,"&gt;"&amp;$A2345,AgStatus,"&lt;&gt;Cancelado",AgStatus,"&lt;&gt;Remarcado")&gt;0,"Sim","Não"))</f>
        <v>0</v>
      </c>
      <c r="S2345" s="28">
        <f>IF($A2345="","",IF(AND($F2345="Agendado",$A2345-Hoje&gt;=0,$A2345-Hoje&lt;=DiasConf),"CONFIRMAR",IF(AND($A2345&lt;Hoje,OR($F2345="Agendado",$F2345="Confirmado")),"Atualizar status",IF(AND($F2345="Compareceu",$P2345&gt;0.005),"Cobrar",IF($F2345="Faltou","Falta: reagendar","")))))</f>
        <v>0</v>
      </c>
      <c r="T2345" s="29">
        <f>IF($A2345="","",DATE(YEAR($A2345),MONTH($A2345),1))</f>
        <v>0</v>
      </c>
      <c r="U2345" s="30">
        <f>IF($S2345="CONFIRMAR",MAX($U$4:$U2344)+1,"")</f>
        <v>0</v>
      </c>
      <c r="V2345" s="30">
        <f>IF(AND($R2345="Não",$Q2345&lt;&gt;"",$Q2345&lt;=Hoje+JanelaRet,$Q2345&gt;=Hoje-60),MAX($V$4:$V2344)+1,"")</f>
        <v>0</v>
      </c>
    </row>
    <row r="2346" spans="1:22">
      <c r="A2346" s="16"/>
      <c r="B2346" s="23"/>
      <c r="C2346" s="15"/>
      <c r="D2346" s="15"/>
      <c r="E2346" s="15"/>
      <c r="F2346" s="24"/>
      <c r="G2346" s="17"/>
      <c r="H2346" s="17"/>
      <c r="I2346" s="15"/>
      <c r="J2346" s="25">
        <f>IF($D2346="","",IFERROR(INDEX(PacNome,MATCH($D2346,PacCod,0)),"Paciente não cadastrado"))</f>
        <v>0</v>
      </c>
      <c r="K2346" s="26">
        <f>IF($D2346="","",IFERROR(INDEX(PacConv,MATCH($D2346,PacCod,0))&amp;"",""))</f>
        <v>0</v>
      </c>
      <c r="L2346" s="26">
        <f>IF($A2346="","",CHOOSE(WEEKDAY($A2346,2),"Seg","Ter","Qua","Qui","Sex","Sáb","Dom"))</f>
        <v>0</v>
      </c>
      <c r="M2346" s="27">
        <f>IF($E2346="","",IF($G2346&lt;&gt;"",$G2346,IFERROR(INDEX(ProcValor,MATCH($E2346,ProcNome,0)),0)))</f>
        <v>0</v>
      </c>
      <c r="N2346" s="27">
        <f>IF($M2346="","",IF($F2346="Compareceu",$M2346,0))</f>
        <v>0</v>
      </c>
      <c r="O2346" s="27">
        <f>IF($M2346="","",IF($F2346="Faltou",$M2346,0))</f>
        <v>0</v>
      </c>
      <c r="P2346" s="27">
        <f>IF($M2346="","",IF($F2346="Compareceu",MAX(0,$M2346-N($H2346)),0))</f>
        <v>0</v>
      </c>
      <c r="Q2346" s="19">
        <f>IF(AND($F2346="Compareceu",$E2346&lt;&gt;"",$A2346&lt;&gt;""),IF(IFERROR(INDEX(ProcRet,MATCH($E2346,ProcNome,0)),0)&gt;0,$A2346+INDEX(ProcRet,MATCH($E2346,ProcNome,0)),""),"")</f>
        <v>0</v>
      </c>
      <c r="R2346" s="26">
        <f>IF($Q2346="","",IF(COUNTIFS(AgPac,$D2346,AgData,"&gt;"&amp;$A2346,AgStatus,"&lt;&gt;Cancelado",AgStatus,"&lt;&gt;Remarcado")&gt;0,"Sim","Não"))</f>
        <v>0</v>
      </c>
      <c r="S2346" s="28">
        <f>IF($A2346="","",IF(AND($F2346="Agendado",$A2346-Hoje&gt;=0,$A2346-Hoje&lt;=DiasConf),"CONFIRMAR",IF(AND($A2346&lt;Hoje,OR($F2346="Agendado",$F2346="Confirmado")),"Atualizar status",IF(AND($F2346="Compareceu",$P2346&gt;0.005),"Cobrar",IF($F2346="Faltou","Falta: reagendar","")))))</f>
        <v>0</v>
      </c>
      <c r="T2346" s="29">
        <f>IF($A2346="","",DATE(YEAR($A2346),MONTH($A2346),1))</f>
        <v>0</v>
      </c>
      <c r="U2346" s="30">
        <f>IF($S2346="CONFIRMAR",MAX($U$4:$U2345)+1,"")</f>
        <v>0</v>
      </c>
      <c r="V2346" s="30">
        <f>IF(AND($R2346="Não",$Q2346&lt;&gt;"",$Q2346&lt;=Hoje+JanelaRet,$Q2346&gt;=Hoje-60),MAX($V$4:$V2345)+1,"")</f>
        <v>0</v>
      </c>
    </row>
    <row r="2347" spans="1:22">
      <c r="A2347" s="16"/>
      <c r="B2347" s="23"/>
      <c r="C2347" s="15"/>
      <c r="D2347" s="15"/>
      <c r="E2347" s="15"/>
      <c r="F2347" s="24"/>
      <c r="G2347" s="17"/>
      <c r="H2347" s="17"/>
      <c r="I2347" s="15"/>
      <c r="J2347" s="25">
        <f>IF($D2347="","",IFERROR(INDEX(PacNome,MATCH($D2347,PacCod,0)),"Paciente não cadastrado"))</f>
        <v>0</v>
      </c>
      <c r="K2347" s="26">
        <f>IF($D2347="","",IFERROR(INDEX(PacConv,MATCH($D2347,PacCod,0))&amp;"",""))</f>
        <v>0</v>
      </c>
      <c r="L2347" s="26">
        <f>IF($A2347="","",CHOOSE(WEEKDAY($A2347,2),"Seg","Ter","Qua","Qui","Sex","Sáb","Dom"))</f>
        <v>0</v>
      </c>
      <c r="M2347" s="27">
        <f>IF($E2347="","",IF($G2347&lt;&gt;"",$G2347,IFERROR(INDEX(ProcValor,MATCH($E2347,ProcNome,0)),0)))</f>
        <v>0</v>
      </c>
      <c r="N2347" s="27">
        <f>IF($M2347="","",IF($F2347="Compareceu",$M2347,0))</f>
        <v>0</v>
      </c>
      <c r="O2347" s="27">
        <f>IF($M2347="","",IF($F2347="Faltou",$M2347,0))</f>
        <v>0</v>
      </c>
      <c r="P2347" s="27">
        <f>IF($M2347="","",IF($F2347="Compareceu",MAX(0,$M2347-N($H2347)),0))</f>
        <v>0</v>
      </c>
      <c r="Q2347" s="19">
        <f>IF(AND($F2347="Compareceu",$E2347&lt;&gt;"",$A2347&lt;&gt;""),IF(IFERROR(INDEX(ProcRet,MATCH($E2347,ProcNome,0)),0)&gt;0,$A2347+INDEX(ProcRet,MATCH($E2347,ProcNome,0)),""),"")</f>
        <v>0</v>
      </c>
      <c r="R2347" s="26">
        <f>IF($Q2347="","",IF(COUNTIFS(AgPac,$D2347,AgData,"&gt;"&amp;$A2347,AgStatus,"&lt;&gt;Cancelado",AgStatus,"&lt;&gt;Remarcado")&gt;0,"Sim","Não"))</f>
        <v>0</v>
      </c>
      <c r="S2347" s="28">
        <f>IF($A2347="","",IF(AND($F2347="Agendado",$A2347-Hoje&gt;=0,$A2347-Hoje&lt;=DiasConf),"CONFIRMAR",IF(AND($A2347&lt;Hoje,OR($F2347="Agendado",$F2347="Confirmado")),"Atualizar status",IF(AND($F2347="Compareceu",$P2347&gt;0.005),"Cobrar",IF($F2347="Faltou","Falta: reagendar","")))))</f>
        <v>0</v>
      </c>
      <c r="T2347" s="29">
        <f>IF($A2347="","",DATE(YEAR($A2347),MONTH($A2347),1))</f>
        <v>0</v>
      </c>
      <c r="U2347" s="30">
        <f>IF($S2347="CONFIRMAR",MAX($U$4:$U2346)+1,"")</f>
        <v>0</v>
      </c>
      <c r="V2347" s="30">
        <f>IF(AND($R2347="Não",$Q2347&lt;&gt;"",$Q2347&lt;=Hoje+JanelaRet,$Q2347&gt;=Hoje-60),MAX($V$4:$V2346)+1,"")</f>
        <v>0</v>
      </c>
    </row>
    <row r="2348" spans="1:22">
      <c r="A2348" s="16"/>
      <c r="B2348" s="23"/>
      <c r="C2348" s="15"/>
      <c r="D2348" s="15"/>
      <c r="E2348" s="15"/>
      <c r="F2348" s="24"/>
      <c r="G2348" s="17"/>
      <c r="H2348" s="17"/>
      <c r="I2348" s="15"/>
      <c r="J2348" s="25">
        <f>IF($D2348="","",IFERROR(INDEX(PacNome,MATCH($D2348,PacCod,0)),"Paciente não cadastrado"))</f>
        <v>0</v>
      </c>
      <c r="K2348" s="26">
        <f>IF($D2348="","",IFERROR(INDEX(PacConv,MATCH($D2348,PacCod,0))&amp;"",""))</f>
        <v>0</v>
      </c>
      <c r="L2348" s="26">
        <f>IF($A2348="","",CHOOSE(WEEKDAY($A2348,2),"Seg","Ter","Qua","Qui","Sex","Sáb","Dom"))</f>
        <v>0</v>
      </c>
      <c r="M2348" s="27">
        <f>IF($E2348="","",IF($G2348&lt;&gt;"",$G2348,IFERROR(INDEX(ProcValor,MATCH($E2348,ProcNome,0)),0)))</f>
        <v>0</v>
      </c>
      <c r="N2348" s="27">
        <f>IF($M2348="","",IF($F2348="Compareceu",$M2348,0))</f>
        <v>0</v>
      </c>
      <c r="O2348" s="27">
        <f>IF($M2348="","",IF($F2348="Faltou",$M2348,0))</f>
        <v>0</v>
      </c>
      <c r="P2348" s="27">
        <f>IF($M2348="","",IF($F2348="Compareceu",MAX(0,$M2348-N($H2348)),0))</f>
        <v>0</v>
      </c>
      <c r="Q2348" s="19">
        <f>IF(AND($F2348="Compareceu",$E2348&lt;&gt;"",$A2348&lt;&gt;""),IF(IFERROR(INDEX(ProcRet,MATCH($E2348,ProcNome,0)),0)&gt;0,$A2348+INDEX(ProcRet,MATCH($E2348,ProcNome,0)),""),"")</f>
        <v>0</v>
      </c>
      <c r="R2348" s="26">
        <f>IF($Q2348="","",IF(COUNTIFS(AgPac,$D2348,AgData,"&gt;"&amp;$A2348,AgStatus,"&lt;&gt;Cancelado",AgStatus,"&lt;&gt;Remarcado")&gt;0,"Sim","Não"))</f>
        <v>0</v>
      </c>
      <c r="S2348" s="28">
        <f>IF($A2348="","",IF(AND($F2348="Agendado",$A2348-Hoje&gt;=0,$A2348-Hoje&lt;=DiasConf),"CONFIRMAR",IF(AND($A2348&lt;Hoje,OR($F2348="Agendado",$F2348="Confirmado")),"Atualizar status",IF(AND($F2348="Compareceu",$P2348&gt;0.005),"Cobrar",IF($F2348="Faltou","Falta: reagendar","")))))</f>
        <v>0</v>
      </c>
      <c r="T2348" s="29">
        <f>IF($A2348="","",DATE(YEAR($A2348),MONTH($A2348),1))</f>
        <v>0</v>
      </c>
      <c r="U2348" s="30">
        <f>IF($S2348="CONFIRMAR",MAX($U$4:$U2347)+1,"")</f>
        <v>0</v>
      </c>
      <c r="V2348" s="30">
        <f>IF(AND($R2348="Não",$Q2348&lt;&gt;"",$Q2348&lt;=Hoje+JanelaRet,$Q2348&gt;=Hoje-60),MAX($V$4:$V2347)+1,"")</f>
        <v>0</v>
      </c>
    </row>
    <row r="2349" spans="1:22">
      <c r="A2349" s="16"/>
      <c r="B2349" s="23"/>
      <c r="C2349" s="15"/>
      <c r="D2349" s="15"/>
      <c r="E2349" s="15"/>
      <c r="F2349" s="24"/>
      <c r="G2349" s="17"/>
      <c r="H2349" s="17"/>
      <c r="I2349" s="15"/>
      <c r="J2349" s="25">
        <f>IF($D2349="","",IFERROR(INDEX(PacNome,MATCH($D2349,PacCod,0)),"Paciente não cadastrado"))</f>
        <v>0</v>
      </c>
      <c r="K2349" s="26">
        <f>IF($D2349="","",IFERROR(INDEX(PacConv,MATCH($D2349,PacCod,0))&amp;"",""))</f>
        <v>0</v>
      </c>
      <c r="L2349" s="26">
        <f>IF($A2349="","",CHOOSE(WEEKDAY($A2349,2),"Seg","Ter","Qua","Qui","Sex","Sáb","Dom"))</f>
        <v>0</v>
      </c>
      <c r="M2349" s="27">
        <f>IF($E2349="","",IF($G2349&lt;&gt;"",$G2349,IFERROR(INDEX(ProcValor,MATCH($E2349,ProcNome,0)),0)))</f>
        <v>0</v>
      </c>
      <c r="N2349" s="27">
        <f>IF($M2349="","",IF($F2349="Compareceu",$M2349,0))</f>
        <v>0</v>
      </c>
      <c r="O2349" s="27">
        <f>IF($M2349="","",IF($F2349="Faltou",$M2349,0))</f>
        <v>0</v>
      </c>
      <c r="P2349" s="27">
        <f>IF($M2349="","",IF($F2349="Compareceu",MAX(0,$M2349-N($H2349)),0))</f>
        <v>0</v>
      </c>
      <c r="Q2349" s="19">
        <f>IF(AND($F2349="Compareceu",$E2349&lt;&gt;"",$A2349&lt;&gt;""),IF(IFERROR(INDEX(ProcRet,MATCH($E2349,ProcNome,0)),0)&gt;0,$A2349+INDEX(ProcRet,MATCH($E2349,ProcNome,0)),""),"")</f>
        <v>0</v>
      </c>
      <c r="R2349" s="26">
        <f>IF($Q2349="","",IF(COUNTIFS(AgPac,$D2349,AgData,"&gt;"&amp;$A2349,AgStatus,"&lt;&gt;Cancelado",AgStatus,"&lt;&gt;Remarcado")&gt;0,"Sim","Não"))</f>
        <v>0</v>
      </c>
      <c r="S2349" s="28">
        <f>IF($A2349="","",IF(AND($F2349="Agendado",$A2349-Hoje&gt;=0,$A2349-Hoje&lt;=DiasConf),"CONFIRMAR",IF(AND($A2349&lt;Hoje,OR($F2349="Agendado",$F2349="Confirmado")),"Atualizar status",IF(AND($F2349="Compareceu",$P2349&gt;0.005),"Cobrar",IF($F2349="Faltou","Falta: reagendar","")))))</f>
        <v>0</v>
      </c>
      <c r="T2349" s="29">
        <f>IF($A2349="","",DATE(YEAR($A2349),MONTH($A2349),1))</f>
        <v>0</v>
      </c>
      <c r="U2349" s="30">
        <f>IF($S2349="CONFIRMAR",MAX($U$4:$U2348)+1,"")</f>
        <v>0</v>
      </c>
      <c r="V2349" s="30">
        <f>IF(AND($R2349="Não",$Q2349&lt;&gt;"",$Q2349&lt;=Hoje+JanelaRet,$Q2349&gt;=Hoje-60),MAX($V$4:$V2348)+1,"")</f>
        <v>0</v>
      </c>
    </row>
    <row r="2350" spans="1:22">
      <c r="A2350" s="16"/>
      <c r="B2350" s="23"/>
      <c r="C2350" s="15"/>
      <c r="D2350" s="15"/>
      <c r="E2350" s="15"/>
      <c r="F2350" s="24"/>
      <c r="G2350" s="17"/>
      <c r="H2350" s="17"/>
      <c r="I2350" s="15"/>
      <c r="J2350" s="25">
        <f>IF($D2350="","",IFERROR(INDEX(PacNome,MATCH($D2350,PacCod,0)),"Paciente não cadastrado"))</f>
        <v>0</v>
      </c>
      <c r="K2350" s="26">
        <f>IF($D2350="","",IFERROR(INDEX(PacConv,MATCH($D2350,PacCod,0))&amp;"",""))</f>
        <v>0</v>
      </c>
      <c r="L2350" s="26">
        <f>IF($A2350="","",CHOOSE(WEEKDAY($A2350,2),"Seg","Ter","Qua","Qui","Sex","Sáb","Dom"))</f>
        <v>0</v>
      </c>
      <c r="M2350" s="27">
        <f>IF($E2350="","",IF($G2350&lt;&gt;"",$G2350,IFERROR(INDEX(ProcValor,MATCH($E2350,ProcNome,0)),0)))</f>
        <v>0</v>
      </c>
      <c r="N2350" s="27">
        <f>IF($M2350="","",IF($F2350="Compareceu",$M2350,0))</f>
        <v>0</v>
      </c>
      <c r="O2350" s="27">
        <f>IF($M2350="","",IF($F2350="Faltou",$M2350,0))</f>
        <v>0</v>
      </c>
      <c r="P2350" s="27">
        <f>IF($M2350="","",IF($F2350="Compareceu",MAX(0,$M2350-N($H2350)),0))</f>
        <v>0</v>
      </c>
      <c r="Q2350" s="19">
        <f>IF(AND($F2350="Compareceu",$E2350&lt;&gt;"",$A2350&lt;&gt;""),IF(IFERROR(INDEX(ProcRet,MATCH($E2350,ProcNome,0)),0)&gt;0,$A2350+INDEX(ProcRet,MATCH($E2350,ProcNome,0)),""),"")</f>
        <v>0</v>
      </c>
      <c r="R2350" s="26">
        <f>IF($Q2350="","",IF(COUNTIFS(AgPac,$D2350,AgData,"&gt;"&amp;$A2350,AgStatus,"&lt;&gt;Cancelado",AgStatus,"&lt;&gt;Remarcado")&gt;0,"Sim","Não"))</f>
        <v>0</v>
      </c>
      <c r="S2350" s="28">
        <f>IF($A2350="","",IF(AND($F2350="Agendado",$A2350-Hoje&gt;=0,$A2350-Hoje&lt;=DiasConf),"CONFIRMAR",IF(AND($A2350&lt;Hoje,OR($F2350="Agendado",$F2350="Confirmado")),"Atualizar status",IF(AND($F2350="Compareceu",$P2350&gt;0.005),"Cobrar",IF($F2350="Faltou","Falta: reagendar","")))))</f>
        <v>0</v>
      </c>
      <c r="T2350" s="29">
        <f>IF($A2350="","",DATE(YEAR($A2350),MONTH($A2350),1))</f>
        <v>0</v>
      </c>
      <c r="U2350" s="30">
        <f>IF($S2350="CONFIRMAR",MAX($U$4:$U2349)+1,"")</f>
        <v>0</v>
      </c>
      <c r="V2350" s="30">
        <f>IF(AND($R2350="Não",$Q2350&lt;&gt;"",$Q2350&lt;=Hoje+JanelaRet,$Q2350&gt;=Hoje-60),MAX($V$4:$V2349)+1,"")</f>
        <v>0</v>
      </c>
    </row>
    <row r="2351" spans="1:22">
      <c r="A2351" s="16"/>
      <c r="B2351" s="23"/>
      <c r="C2351" s="15"/>
      <c r="D2351" s="15"/>
      <c r="E2351" s="15"/>
      <c r="F2351" s="24"/>
      <c r="G2351" s="17"/>
      <c r="H2351" s="17"/>
      <c r="I2351" s="15"/>
      <c r="J2351" s="25">
        <f>IF($D2351="","",IFERROR(INDEX(PacNome,MATCH($D2351,PacCod,0)),"Paciente não cadastrado"))</f>
        <v>0</v>
      </c>
      <c r="K2351" s="26">
        <f>IF($D2351="","",IFERROR(INDEX(PacConv,MATCH($D2351,PacCod,0))&amp;"",""))</f>
        <v>0</v>
      </c>
      <c r="L2351" s="26">
        <f>IF($A2351="","",CHOOSE(WEEKDAY($A2351,2),"Seg","Ter","Qua","Qui","Sex","Sáb","Dom"))</f>
        <v>0</v>
      </c>
      <c r="M2351" s="27">
        <f>IF($E2351="","",IF($G2351&lt;&gt;"",$G2351,IFERROR(INDEX(ProcValor,MATCH($E2351,ProcNome,0)),0)))</f>
        <v>0</v>
      </c>
      <c r="N2351" s="27">
        <f>IF($M2351="","",IF($F2351="Compareceu",$M2351,0))</f>
        <v>0</v>
      </c>
      <c r="O2351" s="27">
        <f>IF($M2351="","",IF($F2351="Faltou",$M2351,0))</f>
        <v>0</v>
      </c>
      <c r="P2351" s="27">
        <f>IF($M2351="","",IF($F2351="Compareceu",MAX(0,$M2351-N($H2351)),0))</f>
        <v>0</v>
      </c>
      <c r="Q2351" s="19">
        <f>IF(AND($F2351="Compareceu",$E2351&lt;&gt;"",$A2351&lt;&gt;""),IF(IFERROR(INDEX(ProcRet,MATCH($E2351,ProcNome,0)),0)&gt;0,$A2351+INDEX(ProcRet,MATCH($E2351,ProcNome,0)),""),"")</f>
        <v>0</v>
      </c>
      <c r="R2351" s="26">
        <f>IF($Q2351="","",IF(COUNTIFS(AgPac,$D2351,AgData,"&gt;"&amp;$A2351,AgStatus,"&lt;&gt;Cancelado",AgStatus,"&lt;&gt;Remarcado")&gt;0,"Sim","Não"))</f>
        <v>0</v>
      </c>
      <c r="S2351" s="28">
        <f>IF($A2351="","",IF(AND($F2351="Agendado",$A2351-Hoje&gt;=0,$A2351-Hoje&lt;=DiasConf),"CONFIRMAR",IF(AND($A2351&lt;Hoje,OR($F2351="Agendado",$F2351="Confirmado")),"Atualizar status",IF(AND($F2351="Compareceu",$P2351&gt;0.005),"Cobrar",IF($F2351="Faltou","Falta: reagendar","")))))</f>
        <v>0</v>
      </c>
      <c r="T2351" s="29">
        <f>IF($A2351="","",DATE(YEAR($A2351),MONTH($A2351),1))</f>
        <v>0</v>
      </c>
      <c r="U2351" s="30">
        <f>IF($S2351="CONFIRMAR",MAX($U$4:$U2350)+1,"")</f>
        <v>0</v>
      </c>
      <c r="V2351" s="30">
        <f>IF(AND($R2351="Não",$Q2351&lt;&gt;"",$Q2351&lt;=Hoje+JanelaRet,$Q2351&gt;=Hoje-60),MAX($V$4:$V2350)+1,"")</f>
        <v>0</v>
      </c>
    </row>
    <row r="2352" spans="1:22">
      <c r="A2352" s="16"/>
      <c r="B2352" s="23"/>
      <c r="C2352" s="15"/>
      <c r="D2352" s="15"/>
      <c r="E2352" s="15"/>
      <c r="F2352" s="24"/>
      <c r="G2352" s="17"/>
      <c r="H2352" s="17"/>
      <c r="I2352" s="15"/>
      <c r="J2352" s="25">
        <f>IF($D2352="","",IFERROR(INDEX(PacNome,MATCH($D2352,PacCod,0)),"Paciente não cadastrado"))</f>
        <v>0</v>
      </c>
      <c r="K2352" s="26">
        <f>IF($D2352="","",IFERROR(INDEX(PacConv,MATCH($D2352,PacCod,0))&amp;"",""))</f>
        <v>0</v>
      </c>
      <c r="L2352" s="26">
        <f>IF($A2352="","",CHOOSE(WEEKDAY($A2352,2),"Seg","Ter","Qua","Qui","Sex","Sáb","Dom"))</f>
        <v>0</v>
      </c>
      <c r="M2352" s="27">
        <f>IF($E2352="","",IF($G2352&lt;&gt;"",$G2352,IFERROR(INDEX(ProcValor,MATCH($E2352,ProcNome,0)),0)))</f>
        <v>0</v>
      </c>
      <c r="N2352" s="27">
        <f>IF($M2352="","",IF($F2352="Compareceu",$M2352,0))</f>
        <v>0</v>
      </c>
      <c r="O2352" s="27">
        <f>IF($M2352="","",IF($F2352="Faltou",$M2352,0))</f>
        <v>0</v>
      </c>
      <c r="P2352" s="27">
        <f>IF($M2352="","",IF($F2352="Compareceu",MAX(0,$M2352-N($H2352)),0))</f>
        <v>0</v>
      </c>
      <c r="Q2352" s="19">
        <f>IF(AND($F2352="Compareceu",$E2352&lt;&gt;"",$A2352&lt;&gt;""),IF(IFERROR(INDEX(ProcRet,MATCH($E2352,ProcNome,0)),0)&gt;0,$A2352+INDEX(ProcRet,MATCH($E2352,ProcNome,0)),""),"")</f>
        <v>0</v>
      </c>
      <c r="R2352" s="26">
        <f>IF($Q2352="","",IF(COUNTIFS(AgPac,$D2352,AgData,"&gt;"&amp;$A2352,AgStatus,"&lt;&gt;Cancelado",AgStatus,"&lt;&gt;Remarcado")&gt;0,"Sim","Não"))</f>
        <v>0</v>
      </c>
      <c r="S2352" s="28">
        <f>IF($A2352="","",IF(AND($F2352="Agendado",$A2352-Hoje&gt;=0,$A2352-Hoje&lt;=DiasConf),"CONFIRMAR",IF(AND($A2352&lt;Hoje,OR($F2352="Agendado",$F2352="Confirmado")),"Atualizar status",IF(AND($F2352="Compareceu",$P2352&gt;0.005),"Cobrar",IF($F2352="Faltou","Falta: reagendar","")))))</f>
        <v>0</v>
      </c>
      <c r="T2352" s="29">
        <f>IF($A2352="","",DATE(YEAR($A2352),MONTH($A2352),1))</f>
        <v>0</v>
      </c>
      <c r="U2352" s="30">
        <f>IF($S2352="CONFIRMAR",MAX($U$4:$U2351)+1,"")</f>
        <v>0</v>
      </c>
      <c r="V2352" s="30">
        <f>IF(AND($R2352="Não",$Q2352&lt;&gt;"",$Q2352&lt;=Hoje+JanelaRet,$Q2352&gt;=Hoje-60),MAX($V$4:$V2351)+1,"")</f>
        <v>0</v>
      </c>
    </row>
    <row r="2353" spans="1:22">
      <c r="A2353" s="16"/>
      <c r="B2353" s="23"/>
      <c r="C2353" s="15"/>
      <c r="D2353" s="15"/>
      <c r="E2353" s="15"/>
      <c r="F2353" s="24"/>
      <c r="G2353" s="17"/>
      <c r="H2353" s="17"/>
      <c r="I2353" s="15"/>
      <c r="J2353" s="25">
        <f>IF($D2353="","",IFERROR(INDEX(PacNome,MATCH($D2353,PacCod,0)),"Paciente não cadastrado"))</f>
        <v>0</v>
      </c>
      <c r="K2353" s="26">
        <f>IF($D2353="","",IFERROR(INDEX(PacConv,MATCH($D2353,PacCod,0))&amp;"",""))</f>
        <v>0</v>
      </c>
      <c r="L2353" s="26">
        <f>IF($A2353="","",CHOOSE(WEEKDAY($A2353,2),"Seg","Ter","Qua","Qui","Sex","Sáb","Dom"))</f>
        <v>0</v>
      </c>
      <c r="M2353" s="27">
        <f>IF($E2353="","",IF($G2353&lt;&gt;"",$G2353,IFERROR(INDEX(ProcValor,MATCH($E2353,ProcNome,0)),0)))</f>
        <v>0</v>
      </c>
      <c r="N2353" s="27">
        <f>IF($M2353="","",IF($F2353="Compareceu",$M2353,0))</f>
        <v>0</v>
      </c>
      <c r="O2353" s="27">
        <f>IF($M2353="","",IF($F2353="Faltou",$M2353,0))</f>
        <v>0</v>
      </c>
      <c r="P2353" s="27">
        <f>IF($M2353="","",IF($F2353="Compareceu",MAX(0,$M2353-N($H2353)),0))</f>
        <v>0</v>
      </c>
      <c r="Q2353" s="19">
        <f>IF(AND($F2353="Compareceu",$E2353&lt;&gt;"",$A2353&lt;&gt;""),IF(IFERROR(INDEX(ProcRet,MATCH($E2353,ProcNome,0)),0)&gt;0,$A2353+INDEX(ProcRet,MATCH($E2353,ProcNome,0)),""),"")</f>
        <v>0</v>
      </c>
      <c r="R2353" s="26">
        <f>IF($Q2353="","",IF(COUNTIFS(AgPac,$D2353,AgData,"&gt;"&amp;$A2353,AgStatus,"&lt;&gt;Cancelado",AgStatus,"&lt;&gt;Remarcado")&gt;0,"Sim","Não"))</f>
        <v>0</v>
      </c>
      <c r="S2353" s="28">
        <f>IF($A2353="","",IF(AND($F2353="Agendado",$A2353-Hoje&gt;=0,$A2353-Hoje&lt;=DiasConf),"CONFIRMAR",IF(AND($A2353&lt;Hoje,OR($F2353="Agendado",$F2353="Confirmado")),"Atualizar status",IF(AND($F2353="Compareceu",$P2353&gt;0.005),"Cobrar",IF($F2353="Faltou","Falta: reagendar","")))))</f>
        <v>0</v>
      </c>
      <c r="T2353" s="29">
        <f>IF($A2353="","",DATE(YEAR($A2353),MONTH($A2353),1))</f>
        <v>0</v>
      </c>
      <c r="U2353" s="30">
        <f>IF($S2353="CONFIRMAR",MAX($U$4:$U2352)+1,"")</f>
        <v>0</v>
      </c>
      <c r="V2353" s="30">
        <f>IF(AND($R2353="Não",$Q2353&lt;&gt;"",$Q2353&lt;=Hoje+JanelaRet,$Q2353&gt;=Hoje-60),MAX($V$4:$V2352)+1,"")</f>
        <v>0</v>
      </c>
    </row>
    <row r="2354" spans="1:22">
      <c r="A2354" s="16"/>
      <c r="B2354" s="23"/>
      <c r="C2354" s="15"/>
      <c r="D2354" s="15"/>
      <c r="E2354" s="15"/>
      <c r="F2354" s="24"/>
      <c r="G2354" s="17"/>
      <c r="H2354" s="17"/>
      <c r="I2354" s="15"/>
      <c r="J2354" s="25">
        <f>IF($D2354="","",IFERROR(INDEX(PacNome,MATCH($D2354,PacCod,0)),"Paciente não cadastrado"))</f>
        <v>0</v>
      </c>
      <c r="K2354" s="26">
        <f>IF($D2354="","",IFERROR(INDEX(PacConv,MATCH($D2354,PacCod,0))&amp;"",""))</f>
        <v>0</v>
      </c>
      <c r="L2354" s="26">
        <f>IF($A2354="","",CHOOSE(WEEKDAY($A2354,2),"Seg","Ter","Qua","Qui","Sex","Sáb","Dom"))</f>
        <v>0</v>
      </c>
      <c r="M2354" s="27">
        <f>IF($E2354="","",IF($G2354&lt;&gt;"",$G2354,IFERROR(INDEX(ProcValor,MATCH($E2354,ProcNome,0)),0)))</f>
        <v>0</v>
      </c>
      <c r="N2354" s="27">
        <f>IF($M2354="","",IF($F2354="Compareceu",$M2354,0))</f>
        <v>0</v>
      </c>
      <c r="O2354" s="27">
        <f>IF($M2354="","",IF($F2354="Faltou",$M2354,0))</f>
        <v>0</v>
      </c>
      <c r="P2354" s="27">
        <f>IF($M2354="","",IF($F2354="Compareceu",MAX(0,$M2354-N($H2354)),0))</f>
        <v>0</v>
      </c>
      <c r="Q2354" s="19">
        <f>IF(AND($F2354="Compareceu",$E2354&lt;&gt;"",$A2354&lt;&gt;""),IF(IFERROR(INDEX(ProcRet,MATCH($E2354,ProcNome,0)),0)&gt;0,$A2354+INDEX(ProcRet,MATCH($E2354,ProcNome,0)),""),"")</f>
        <v>0</v>
      </c>
      <c r="R2354" s="26">
        <f>IF($Q2354="","",IF(COUNTIFS(AgPac,$D2354,AgData,"&gt;"&amp;$A2354,AgStatus,"&lt;&gt;Cancelado",AgStatus,"&lt;&gt;Remarcado")&gt;0,"Sim","Não"))</f>
        <v>0</v>
      </c>
      <c r="S2354" s="28">
        <f>IF($A2354="","",IF(AND($F2354="Agendado",$A2354-Hoje&gt;=0,$A2354-Hoje&lt;=DiasConf),"CONFIRMAR",IF(AND($A2354&lt;Hoje,OR($F2354="Agendado",$F2354="Confirmado")),"Atualizar status",IF(AND($F2354="Compareceu",$P2354&gt;0.005),"Cobrar",IF($F2354="Faltou","Falta: reagendar","")))))</f>
        <v>0</v>
      </c>
      <c r="T2354" s="29">
        <f>IF($A2354="","",DATE(YEAR($A2354),MONTH($A2354),1))</f>
        <v>0</v>
      </c>
      <c r="U2354" s="30">
        <f>IF($S2354="CONFIRMAR",MAX($U$4:$U2353)+1,"")</f>
        <v>0</v>
      </c>
      <c r="V2354" s="30">
        <f>IF(AND($R2354="Não",$Q2354&lt;&gt;"",$Q2354&lt;=Hoje+JanelaRet,$Q2354&gt;=Hoje-60),MAX($V$4:$V2353)+1,"")</f>
        <v>0</v>
      </c>
    </row>
    <row r="2355" spans="1:22">
      <c r="A2355" s="16"/>
      <c r="B2355" s="23"/>
      <c r="C2355" s="15"/>
      <c r="D2355" s="15"/>
      <c r="E2355" s="15"/>
      <c r="F2355" s="24"/>
      <c r="G2355" s="17"/>
      <c r="H2355" s="17"/>
      <c r="I2355" s="15"/>
      <c r="J2355" s="25">
        <f>IF($D2355="","",IFERROR(INDEX(PacNome,MATCH($D2355,PacCod,0)),"Paciente não cadastrado"))</f>
        <v>0</v>
      </c>
      <c r="K2355" s="26">
        <f>IF($D2355="","",IFERROR(INDEX(PacConv,MATCH($D2355,PacCod,0))&amp;"",""))</f>
        <v>0</v>
      </c>
      <c r="L2355" s="26">
        <f>IF($A2355="","",CHOOSE(WEEKDAY($A2355,2),"Seg","Ter","Qua","Qui","Sex","Sáb","Dom"))</f>
        <v>0</v>
      </c>
      <c r="M2355" s="27">
        <f>IF($E2355="","",IF($G2355&lt;&gt;"",$G2355,IFERROR(INDEX(ProcValor,MATCH($E2355,ProcNome,0)),0)))</f>
        <v>0</v>
      </c>
      <c r="N2355" s="27">
        <f>IF($M2355="","",IF($F2355="Compareceu",$M2355,0))</f>
        <v>0</v>
      </c>
      <c r="O2355" s="27">
        <f>IF($M2355="","",IF($F2355="Faltou",$M2355,0))</f>
        <v>0</v>
      </c>
      <c r="P2355" s="27">
        <f>IF($M2355="","",IF($F2355="Compareceu",MAX(0,$M2355-N($H2355)),0))</f>
        <v>0</v>
      </c>
      <c r="Q2355" s="19">
        <f>IF(AND($F2355="Compareceu",$E2355&lt;&gt;"",$A2355&lt;&gt;""),IF(IFERROR(INDEX(ProcRet,MATCH($E2355,ProcNome,0)),0)&gt;0,$A2355+INDEX(ProcRet,MATCH($E2355,ProcNome,0)),""),"")</f>
        <v>0</v>
      </c>
      <c r="R2355" s="26">
        <f>IF($Q2355="","",IF(COUNTIFS(AgPac,$D2355,AgData,"&gt;"&amp;$A2355,AgStatus,"&lt;&gt;Cancelado",AgStatus,"&lt;&gt;Remarcado")&gt;0,"Sim","Não"))</f>
        <v>0</v>
      </c>
      <c r="S2355" s="28">
        <f>IF($A2355="","",IF(AND($F2355="Agendado",$A2355-Hoje&gt;=0,$A2355-Hoje&lt;=DiasConf),"CONFIRMAR",IF(AND($A2355&lt;Hoje,OR($F2355="Agendado",$F2355="Confirmado")),"Atualizar status",IF(AND($F2355="Compareceu",$P2355&gt;0.005),"Cobrar",IF($F2355="Faltou","Falta: reagendar","")))))</f>
        <v>0</v>
      </c>
      <c r="T2355" s="29">
        <f>IF($A2355="","",DATE(YEAR($A2355),MONTH($A2355),1))</f>
        <v>0</v>
      </c>
      <c r="U2355" s="30">
        <f>IF($S2355="CONFIRMAR",MAX($U$4:$U2354)+1,"")</f>
        <v>0</v>
      </c>
      <c r="V2355" s="30">
        <f>IF(AND($R2355="Não",$Q2355&lt;&gt;"",$Q2355&lt;=Hoje+JanelaRet,$Q2355&gt;=Hoje-60),MAX($V$4:$V2354)+1,"")</f>
        <v>0</v>
      </c>
    </row>
    <row r="2356" spans="1:22">
      <c r="A2356" s="16"/>
      <c r="B2356" s="23"/>
      <c r="C2356" s="15"/>
      <c r="D2356" s="15"/>
      <c r="E2356" s="15"/>
      <c r="F2356" s="24"/>
      <c r="G2356" s="17"/>
      <c r="H2356" s="17"/>
      <c r="I2356" s="15"/>
      <c r="J2356" s="25">
        <f>IF($D2356="","",IFERROR(INDEX(PacNome,MATCH($D2356,PacCod,0)),"Paciente não cadastrado"))</f>
        <v>0</v>
      </c>
      <c r="K2356" s="26">
        <f>IF($D2356="","",IFERROR(INDEX(PacConv,MATCH($D2356,PacCod,0))&amp;"",""))</f>
        <v>0</v>
      </c>
      <c r="L2356" s="26">
        <f>IF($A2356="","",CHOOSE(WEEKDAY($A2356,2),"Seg","Ter","Qua","Qui","Sex","Sáb","Dom"))</f>
        <v>0</v>
      </c>
      <c r="M2356" s="27">
        <f>IF($E2356="","",IF($G2356&lt;&gt;"",$G2356,IFERROR(INDEX(ProcValor,MATCH($E2356,ProcNome,0)),0)))</f>
        <v>0</v>
      </c>
      <c r="N2356" s="27">
        <f>IF($M2356="","",IF($F2356="Compareceu",$M2356,0))</f>
        <v>0</v>
      </c>
      <c r="O2356" s="27">
        <f>IF($M2356="","",IF($F2356="Faltou",$M2356,0))</f>
        <v>0</v>
      </c>
      <c r="P2356" s="27">
        <f>IF($M2356="","",IF($F2356="Compareceu",MAX(0,$M2356-N($H2356)),0))</f>
        <v>0</v>
      </c>
      <c r="Q2356" s="19">
        <f>IF(AND($F2356="Compareceu",$E2356&lt;&gt;"",$A2356&lt;&gt;""),IF(IFERROR(INDEX(ProcRet,MATCH($E2356,ProcNome,0)),0)&gt;0,$A2356+INDEX(ProcRet,MATCH($E2356,ProcNome,0)),""),"")</f>
        <v>0</v>
      </c>
      <c r="R2356" s="26">
        <f>IF($Q2356="","",IF(COUNTIFS(AgPac,$D2356,AgData,"&gt;"&amp;$A2356,AgStatus,"&lt;&gt;Cancelado",AgStatus,"&lt;&gt;Remarcado")&gt;0,"Sim","Não"))</f>
        <v>0</v>
      </c>
      <c r="S2356" s="28">
        <f>IF($A2356="","",IF(AND($F2356="Agendado",$A2356-Hoje&gt;=0,$A2356-Hoje&lt;=DiasConf),"CONFIRMAR",IF(AND($A2356&lt;Hoje,OR($F2356="Agendado",$F2356="Confirmado")),"Atualizar status",IF(AND($F2356="Compareceu",$P2356&gt;0.005),"Cobrar",IF($F2356="Faltou","Falta: reagendar","")))))</f>
        <v>0</v>
      </c>
      <c r="T2356" s="29">
        <f>IF($A2356="","",DATE(YEAR($A2356),MONTH($A2356),1))</f>
        <v>0</v>
      </c>
      <c r="U2356" s="30">
        <f>IF($S2356="CONFIRMAR",MAX($U$4:$U2355)+1,"")</f>
        <v>0</v>
      </c>
      <c r="V2356" s="30">
        <f>IF(AND($R2356="Não",$Q2356&lt;&gt;"",$Q2356&lt;=Hoje+JanelaRet,$Q2356&gt;=Hoje-60),MAX($V$4:$V2355)+1,"")</f>
        <v>0</v>
      </c>
    </row>
    <row r="2357" spans="1:22">
      <c r="A2357" s="16"/>
      <c r="B2357" s="23"/>
      <c r="C2357" s="15"/>
      <c r="D2357" s="15"/>
      <c r="E2357" s="15"/>
      <c r="F2357" s="24"/>
      <c r="G2357" s="17"/>
      <c r="H2357" s="17"/>
      <c r="I2357" s="15"/>
      <c r="J2357" s="25">
        <f>IF($D2357="","",IFERROR(INDEX(PacNome,MATCH($D2357,PacCod,0)),"Paciente não cadastrado"))</f>
        <v>0</v>
      </c>
      <c r="K2357" s="26">
        <f>IF($D2357="","",IFERROR(INDEX(PacConv,MATCH($D2357,PacCod,0))&amp;"",""))</f>
        <v>0</v>
      </c>
      <c r="L2357" s="26">
        <f>IF($A2357="","",CHOOSE(WEEKDAY($A2357,2),"Seg","Ter","Qua","Qui","Sex","Sáb","Dom"))</f>
        <v>0</v>
      </c>
      <c r="M2357" s="27">
        <f>IF($E2357="","",IF($G2357&lt;&gt;"",$G2357,IFERROR(INDEX(ProcValor,MATCH($E2357,ProcNome,0)),0)))</f>
        <v>0</v>
      </c>
      <c r="N2357" s="27">
        <f>IF($M2357="","",IF($F2357="Compareceu",$M2357,0))</f>
        <v>0</v>
      </c>
      <c r="O2357" s="27">
        <f>IF($M2357="","",IF($F2357="Faltou",$M2357,0))</f>
        <v>0</v>
      </c>
      <c r="P2357" s="27">
        <f>IF($M2357="","",IF($F2357="Compareceu",MAX(0,$M2357-N($H2357)),0))</f>
        <v>0</v>
      </c>
      <c r="Q2357" s="19">
        <f>IF(AND($F2357="Compareceu",$E2357&lt;&gt;"",$A2357&lt;&gt;""),IF(IFERROR(INDEX(ProcRet,MATCH($E2357,ProcNome,0)),0)&gt;0,$A2357+INDEX(ProcRet,MATCH($E2357,ProcNome,0)),""),"")</f>
        <v>0</v>
      </c>
      <c r="R2357" s="26">
        <f>IF($Q2357="","",IF(COUNTIFS(AgPac,$D2357,AgData,"&gt;"&amp;$A2357,AgStatus,"&lt;&gt;Cancelado",AgStatus,"&lt;&gt;Remarcado")&gt;0,"Sim","Não"))</f>
        <v>0</v>
      </c>
      <c r="S2357" s="28">
        <f>IF($A2357="","",IF(AND($F2357="Agendado",$A2357-Hoje&gt;=0,$A2357-Hoje&lt;=DiasConf),"CONFIRMAR",IF(AND($A2357&lt;Hoje,OR($F2357="Agendado",$F2357="Confirmado")),"Atualizar status",IF(AND($F2357="Compareceu",$P2357&gt;0.005),"Cobrar",IF($F2357="Faltou","Falta: reagendar","")))))</f>
        <v>0</v>
      </c>
      <c r="T2357" s="29">
        <f>IF($A2357="","",DATE(YEAR($A2357),MONTH($A2357),1))</f>
        <v>0</v>
      </c>
      <c r="U2357" s="30">
        <f>IF($S2357="CONFIRMAR",MAX($U$4:$U2356)+1,"")</f>
        <v>0</v>
      </c>
      <c r="V2357" s="30">
        <f>IF(AND($R2357="Não",$Q2357&lt;&gt;"",$Q2357&lt;=Hoje+JanelaRet,$Q2357&gt;=Hoje-60),MAX($V$4:$V2356)+1,"")</f>
        <v>0</v>
      </c>
    </row>
    <row r="2358" spans="1:22">
      <c r="A2358" s="16"/>
      <c r="B2358" s="23"/>
      <c r="C2358" s="15"/>
      <c r="D2358" s="15"/>
      <c r="E2358" s="15"/>
      <c r="F2358" s="24"/>
      <c r="G2358" s="17"/>
      <c r="H2358" s="17"/>
      <c r="I2358" s="15"/>
      <c r="J2358" s="25">
        <f>IF($D2358="","",IFERROR(INDEX(PacNome,MATCH($D2358,PacCod,0)),"Paciente não cadastrado"))</f>
        <v>0</v>
      </c>
      <c r="K2358" s="26">
        <f>IF($D2358="","",IFERROR(INDEX(PacConv,MATCH($D2358,PacCod,0))&amp;"",""))</f>
        <v>0</v>
      </c>
      <c r="L2358" s="26">
        <f>IF($A2358="","",CHOOSE(WEEKDAY($A2358,2),"Seg","Ter","Qua","Qui","Sex","Sáb","Dom"))</f>
        <v>0</v>
      </c>
      <c r="M2358" s="27">
        <f>IF($E2358="","",IF($G2358&lt;&gt;"",$G2358,IFERROR(INDEX(ProcValor,MATCH($E2358,ProcNome,0)),0)))</f>
        <v>0</v>
      </c>
      <c r="N2358" s="27">
        <f>IF($M2358="","",IF($F2358="Compareceu",$M2358,0))</f>
        <v>0</v>
      </c>
      <c r="O2358" s="27">
        <f>IF($M2358="","",IF($F2358="Faltou",$M2358,0))</f>
        <v>0</v>
      </c>
      <c r="P2358" s="27">
        <f>IF($M2358="","",IF($F2358="Compareceu",MAX(0,$M2358-N($H2358)),0))</f>
        <v>0</v>
      </c>
      <c r="Q2358" s="19">
        <f>IF(AND($F2358="Compareceu",$E2358&lt;&gt;"",$A2358&lt;&gt;""),IF(IFERROR(INDEX(ProcRet,MATCH($E2358,ProcNome,0)),0)&gt;0,$A2358+INDEX(ProcRet,MATCH($E2358,ProcNome,0)),""),"")</f>
        <v>0</v>
      </c>
      <c r="R2358" s="26">
        <f>IF($Q2358="","",IF(COUNTIFS(AgPac,$D2358,AgData,"&gt;"&amp;$A2358,AgStatus,"&lt;&gt;Cancelado",AgStatus,"&lt;&gt;Remarcado")&gt;0,"Sim","Não"))</f>
        <v>0</v>
      </c>
      <c r="S2358" s="28">
        <f>IF($A2358="","",IF(AND($F2358="Agendado",$A2358-Hoje&gt;=0,$A2358-Hoje&lt;=DiasConf),"CONFIRMAR",IF(AND($A2358&lt;Hoje,OR($F2358="Agendado",$F2358="Confirmado")),"Atualizar status",IF(AND($F2358="Compareceu",$P2358&gt;0.005),"Cobrar",IF($F2358="Faltou","Falta: reagendar","")))))</f>
        <v>0</v>
      </c>
      <c r="T2358" s="29">
        <f>IF($A2358="","",DATE(YEAR($A2358),MONTH($A2358),1))</f>
        <v>0</v>
      </c>
      <c r="U2358" s="30">
        <f>IF($S2358="CONFIRMAR",MAX($U$4:$U2357)+1,"")</f>
        <v>0</v>
      </c>
      <c r="V2358" s="30">
        <f>IF(AND($R2358="Não",$Q2358&lt;&gt;"",$Q2358&lt;=Hoje+JanelaRet,$Q2358&gt;=Hoje-60),MAX($V$4:$V2357)+1,"")</f>
        <v>0</v>
      </c>
    </row>
    <row r="2359" spans="1:22">
      <c r="A2359" s="16"/>
      <c r="B2359" s="23"/>
      <c r="C2359" s="15"/>
      <c r="D2359" s="15"/>
      <c r="E2359" s="15"/>
      <c r="F2359" s="24"/>
      <c r="G2359" s="17"/>
      <c r="H2359" s="17"/>
      <c r="I2359" s="15"/>
      <c r="J2359" s="25">
        <f>IF($D2359="","",IFERROR(INDEX(PacNome,MATCH($D2359,PacCod,0)),"Paciente não cadastrado"))</f>
        <v>0</v>
      </c>
      <c r="K2359" s="26">
        <f>IF($D2359="","",IFERROR(INDEX(PacConv,MATCH($D2359,PacCod,0))&amp;"",""))</f>
        <v>0</v>
      </c>
      <c r="L2359" s="26">
        <f>IF($A2359="","",CHOOSE(WEEKDAY($A2359,2),"Seg","Ter","Qua","Qui","Sex","Sáb","Dom"))</f>
        <v>0</v>
      </c>
      <c r="M2359" s="27">
        <f>IF($E2359="","",IF($G2359&lt;&gt;"",$G2359,IFERROR(INDEX(ProcValor,MATCH($E2359,ProcNome,0)),0)))</f>
        <v>0</v>
      </c>
      <c r="N2359" s="27">
        <f>IF($M2359="","",IF($F2359="Compareceu",$M2359,0))</f>
        <v>0</v>
      </c>
      <c r="O2359" s="27">
        <f>IF($M2359="","",IF($F2359="Faltou",$M2359,0))</f>
        <v>0</v>
      </c>
      <c r="P2359" s="27">
        <f>IF($M2359="","",IF($F2359="Compareceu",MAX(0,$M2359-N($H2359)),0))</f>
        <v>0</v>
      </c>
      <c r="Q2359" s="19">
        <f>IF(AND($F2359="Compareceu",$E2359&lt;&gt;"",$A2359&lt;&gt;""),IF(IFERROR(INDEX(ProcRet,MATCH($E2359,ProcNome,0)),0)&gt;0,$A2359+INDEX(ProcRet,MATCH($E2359,ProcNome,0)),""),"")</f>
        <v>0</v>
      </c>
      <c r="R2359" s="26">
        <f>IF($Q2359="","",IF(COUNTIFS(AgPac,$D2359,AgData,"&gt;"&amp;$A2359,AgStatus,"&lt;&gt;Cancelado",AgStatus,"&lt;&gt;Remarcado")&gt;0,"Sim","Não"))</f>
        <v>0</v>
      </c>
      <c r="S2359" s="28">
        <f>IF($A2359="","",IF(AND($F2359="Agendado",$A2359-Hoje&gt;=0,$A2359-Hoje&lt;=DiasConf),"CONFIRMAR",IF(AND($A2359&lt;Hoje,OR($F2359="Agendado",$F2359="Confirmado")),"Atualizar status",IF(AND($F2359="Compareceu",$P2359&gt;0.005),"Cobrar",IF($F2359="Faltou","Falta: reagendar","")))))</f>
        <v>0</v>
      </c>
      <c r="T2359" s="29">
        <f>IF($A2359="","",DATE(YEAR($A2359),MONTH($A2359),1))</f>
        <v>0</v>
      </c>
      <c r="U2359" s="30">
        <f>IF($S2359="CONFIRMAR",MAX($U$4:$U2358)+1,"")</f>
        <v>0</v>
      </c>
      <c r="V2359" s="30">
        <f>IF(AND($R2359="Não",$Q2359&lt;&gt;"",$Q2359&lt;=Hoje+JanelaRet,$Q2359&gt;=Hoje-60),MAX($V$4:$V2358)+1,"")</f>
        <v>0</v>
      </c>
    </row>
    <row r="2360" spans="1:22">
      <c r="A2360" s="16"/>
      <c r="B2360" s="23"/>
      <c r="C2360" s="15"/>
      <c r="D2360" s="15"/>
      <c r="E2360" s="15"/>
      <c r="F2360" s="24"/>
      <c r="G2360" s="17"/>
      <c r="H2360" s="17"/>
      <c r="I2360" s="15"/>
      <c r="J2360" s="25">
        <f>IF($D2360="","",IFERROR(INDEX(PacNome,MATCH($D2360,PacCod,0)),"Paciente não cadastrado"))</f>
        <v>0</v>
      </c>
      <c r="K2360" s="26">
        <f>IF($D2360="","",IFERROR(INDEX(PacConv,MATCH($D2360,PacCod,0))&amp;"",""))</f>
        <v>0</v>
      </c>
      <c r="L2360" s="26">
        <f>IF($A2360="","",CHOOSE(WEEKDAY($A2360,2),"Seg","Ter","Qua","Qui","Sex","Sáb","Dom"))</f>
        <v>0</v>
      </c>
      <c r="M2360" s="27">
        <f>IF($E2360="","",IF($G2360&lt;&gt;"",$G2360,IFERROR(INDEX(ProcValor,MATCH($E2360,ProcNome,0)),0)))</f>
        <v>0</v>
      </c>
      <c r="N2360" s="27">
        <f>IF($M2360="","",IF($F2360="Compareceu",$M2360,0))</f>
        <v>0</v>
      </c>
      <c r="O2360" s="27">
        <f>IF($M2360="","",IF($F2360="Faltou",$M2360,0))</f>
        <v>0</v>
      </c>
      <c r="P2360" s="27">
        <f>IF($M2360="","",IF($F2360="Compareceu",MAX(0,$M2360-N($H2360)),0))</f>
        <v>0</v>
      </c>
      <c r="Q2360" s="19">
        <f>IF(AND($F2360="Compareceu",$E2360&lt;&gt;"",$A2360&lt;&gt;""),IF(IFERROR(INDEX(ProcRet,MATCH($E2360,ProcNome,0)),0)&gt;0,$A2360+INDEX(ProcRet,MATCH($E2360,ProcNome,0)),""),"")</f>
        <v>0</v>
      </c>
      <c r="R2360" s="26">
        <f>IF($Q2360="","",IF(COUNTIFS(AgPac,$D2360,AgData,"&gt;"&amp;$A2360,AgStatus,"&lt;&gt;Cancelado",AgStatus,"&lt;&gt;Remarcado")&gt;0,"Sim","Não"))</f>
        <v>0</v>
      </c>
      <c r="S2360" s="28">
        <f>IF($A2360="","",IF(AND($F2360="Agendado",$A2360-Hoje&gt;=0,$A2360-Hoje&lt;=DiasConf),"CONFIRMAR",IF(AND($A2360&lt;Hoje,OR($F2360="Agendado",$F2360="Confirmado")),"Atualizar status",IF(AND($F2360="Compareceu",$P2360&gt;0.005),"Cobrar",IF($F2360="Faltou","Falta: reagendar","")))))</f>
        <v>0</v>
      </c>
      <c r="T2360" s="29">
        <f>IF($A2360="","",DATE(YEAR($A2360),MONTH($A2360),1))</f>
        <v>0</v>
      </c>
      <c r="U2360" s="30">
        <f>IF($S2360="CONFIRMAR",MAX($U$4:$U2359)+1,"")</f>
        <v>0</v>
      </c>
      <c r="V2360" s="30">
        <f>IF(AND($R2360="Não",$Q2360&lt;&gt;"",$Q2360&lt;=Hoje+JanelaRet,$Q2360&gt;=Hoje-60),MAX($V$4:$V2359)+1,"")</f>
        <v>0</v>
      </c>
    </row>
    <row r="2361" spans="1:22">
      <c r="A2361" s="16"/>
      <c r="B2361" s="23"/>
      <c r="C2361" s="15"/>
      <c r="D2361" s="15"/>
      <c r="E2361" s="15"/>
      <c r="F2361" s="24"/>
      <c r="G2361" s="17"/>
      <c r="H2361" s="17"/>
      <c r="I2361" s="15"/>
      <c r="J2361" s="25">
        <f>IF($D2361="","",IFERROR(INDEX(PacNome,MATCH($D2361,PacCod,0)),"Paciente não cadastrado"))</f>
        <v>0</v>
      </c>
      <c r="K2361" s="26">
        <f>IF($D2361="","",IFERROR(INDEX(PacConv,MATCH($D2361,PacCod,0))&amp;"",""))</f>
        <v>0</v>
      </c>
      <c r="L2361" s="26">
        <f>IF($A2361="","",CHOOSE(WEEKDAY($A2361,2),"Seg","Ter","Qua","Qui","Sex","Sáb","Dom"))</f>
        <v>0</v>
      </c>
      <c r="M2361" s="27">
        <f>IF($E2361="","",IF($G2361&lt;&gt;"",$G2361,IFERROR(INDEX(ProcValor,MATCH($E2361,ProcNome,0)),0)))</f>
        <v>0</v>
      </c>
      <c r="N2361" s="27">
        <f>IF($M2361="","",IF($F2361="Compareceu",$M2361,0))</f>
        <v>0</v>
      </c>
      <c r="O2361" s="27">
        <f>IF($M2361="","",IF($F2361="Faltou",$M2361,0))</f>
        <v>0</v>
      </c>
      <c r="P2361" s="27">
        <f>IF($M2361="","",IF($F2361="Compareceu",MAX(0,$M2361-N($H2361)),0))</f>
        <v>0</v>
      </c>
      <c r="Q2361" s="19">
        <f>IF(AND($F2361="Compareceu",$E2361&lt;&gt;"",$A2361&lt;&gt;""),IF(IFERROR(INDEX(ProcRet,MATCH($E2361,ProcNome,0)),0)&gt;0,$A2361+INDEX(ProcRet,MATCH($E2361,ProcNome,0)),""),"")</f>
        <v>0</v>
      </c>
      <c r="R2361" s="26">
        <f>IF($Q2361="","",IF(COUNTIFS(AgPac,$D2361,AgData,"&gt;"&amp;$A2361,AgStatus,"&lt;&gt;Cancelado",AgStatus,"&lt;&gt;Remarcado")&gt;0,"Sim","Não"))</f>
        <v>0</v>
      </c>
      <c r="S2361" s="28">
        <f>IF($A2361="","",IF(AND($F2361="Agendado",$A2361-Hoje&gt;=0,$A2361-Hoje&lt;=DiasConf),"CONFIRMAR",IF(AND($A2361&lt;Hoje,OR($F2361="Agendado",$F2361="Confirmado")),"Atualizar status",IF(AND($F2361="Compareceu",$P2361&gt;0.005),"Cobrar",IF($F2361="Faltou","Falta: reagendar","")))))</f>
        <v>0</v>
      </c>
      <c r="T2361" s="29">
        <f>IF($A2361="","",DATE(YEAR($A2361),MONTH($A2361),1))</f>
        <v>0</v>
      </c>
      <c r="U2361" s="30">
        <f>IF($S2361="CONFIRMAR",MAX($U$4:$U2360)+1,"")</f>
        <v>0</v>
      </c>
      <c r="V2361" s="30">
        <f>IF(AND($R2361="Não",$Q2361&lt;&gt;"",$Q2361&lt;=Hoje+JanelaRet,$Q2361&gt;=Hoje-60),MAX($V$4:$V2360)+1,"")</f>
        <v>0</v>
      </c>
    </row>
    <row r="2362" spans="1:22">
      <c r="A2362" s="16"/>
      <c r="B2362" s="23"/>
      <c r="C2362" s="15"/>
      <c r="D2362" s="15"/>
      <c r="E2362" s="15"/>
      <c r="F2362" s="24"/>
      <c r="G2362" s="17"/>
      <c r="H2362" s="17"/>
      <c r="I2362" s="15"/>
      <c r="J2362" s="25">
        <f>IF($D2362="","",IFERROR(INDEX(PacNome,MATCH($D2362,PacCod,0)),"Paciente não cadastrado"))</f>
        <v>0</v>
      </c>
      <c r="K2362" s="26">
        <f>IF($D2362="","",IFERROR(INDEX(PacConv,MATCH($D2362,PacCod,0))&amp;"",""))</f>
        <v>0</v>
      </c>
      <c r="L2362" s="26">
        <f>IF($A2362="","",CHOOSE(WEEKDAY($A2362,2),"Seg","Ter","Qua","Qui","Sex","Sáb","Dom"))</f>
        <v>0</v>
      </c>
      <c r="M2362" s="27">
        <f>IF($E2362="","",IF($G2362&lt;&gt;"",$G2362,IFERROR(INDEX(ProcValor,MATCH($E2362,ProcNome,0)),0)))</f>
        <v>0</v>
      </c>
      <c r="N2362" s="27">
        <f>IF($M2362="","",IF($F2362="Compareceu",$M2362,0))</f>
        <v>0</v>
      </c>
      <c r="O2362" s="27">
        <f>IF($M2362="","",IF($F2362="Faltou",$M2362,0))</f>
        <v>0</v>
      </c>
      <c r="P2362" s="27">
        <f>IF($M2362="","",IF($F2362="Compareceu",MAX(0,$M2362-N($H2362)),0))</f>
        <v>0</v>
      </c>
      <c r="Q2362" s="19">
        <f>IF(AND($F2362="Compareceu",$E2362&lt;&gt;"",$A2362&lt;&gt;""),IF(IFERROR(INDEX(ProcRet,MATCH($E2362,ProcNome,0)),0)&gt;0,$A2362+INDEX(ProcRet,MATCH($E2362,ProcNome,0)),""),"")</f>
        <v>0</v>
      </c>
      <c r="R2362" s="26">
        <f>IF($Q2362="","",IF(COUNTIFS(AgPac,$D2362,AgData,"&gt;"&amp;$A2362,AgStatus,"&lt;&gt;Cancelado",AgStatus,"&lt;&gt;Remarcado")&gt;0,"Sim","Não"))</f>
        <v>0</v>
      </c>
      <c r="S2362" s="28">
        <f>IF($A2362="","",IF(AND($F2362="Agendado",$A2362-Hoje&gt;=0,$A2362-Hoje&lt;=DiasConf),"CONFIRMAR",IF(AND($A2362&lt;Hoje,OR($F2362="Agendado",$F2362="Confirmado")),"Atualizar status",IF(AND($F2362="Compareceu",$P2362&gt;0.005),"Cobrar",IF($F2362="Faltou","Falta: reagendar","")))))</f>
        <v>0</v>
      </c>
      <c r="T2362" s="29">
        <f>IF($A2362="","",DATE(YEAR($A2362),MONTH($A2362),1))</f>
        <v>0</v>
      </c>
      <c r="U2362" s="30">
        <f>IF($S2362="CONFIRMAR",MAX($U$4:$U2361)+1,"")</f>
        <v>0</v>
      </c>
      <c r="V2362" s="30">
        <f>IF(AND($R2362="Não",$Q2362&lt;&gt;"",$Q2362&lt;=Hoje+JanelaRet,$Q2362&gt;=Hoje-60),MAX($V$4:$V2361)+1,"")</f>
        <v>0</v>
      </c>
    </row>
    <row r="2363" spans="1:22">
      <c r="A2363" s="16"/>
      <c r="B2363" s="23"/>
      <c r="C2363" s="15"/>
      <c r="D2363" s="15"/>
      <c r="E2363" s="15"/>
      <c r="F2363" s="24"/>
      <c r="G2363" s="17"/>
      <c r="H2363" s="17"/>
      <c r="I2363" s="15"/>
      <c r="J2363" s="25">
        <f>IF($D2363="","",IFERROR(INDEX(PacNome,MATCH($D2363,PacCod,0)),"Paciente não cadastrado"))</f>
        <v>0</v>
      </c>
      <c r="K2363" s="26">
        <f>IF($D2363="","",IFERROR(INDEX(PacConv,MATCH($D2363,PacCod,0))&amp;"",""))</f>
        <v>0</v>
      </c>
      <c r="L2363" s="26">
        <f>IF($A2363="","",CHOOSE(WEEKDAY($A2363,2),"Seg","Ter","Qua","Qui","Sex","Sáb","Dom"))</f>
        <v>0</v>
      </c>
      <c r="M2363" s="27">
        <f>IF($E2363="","",IF($G2363&lt;&gt;"",$G2363,IFERROR(INDEX(ProcValor,MATCH($E2363,ProcNome,0)),0)))</f>
        <v>0</v>
      </c>
      <c r="N2363" s="27">
        <f>IF($M2363="","",IF($F2363="Compareceu",$M2363,0))</f>
        <v>0</v>
      </c>
      <c r="O2363" s="27">
        <f>IF($M2363="","",IF($F2363="Faltou",$M2363,0))</f>
        <v>0</v>
      </c>
      <c r="P2363" s="27">
        <f>IF($M2363="","",IF($F2363="Compareceu",MAX(0,$M2363-N($H2363)),0))</f>
        <v>0</v>
      </c>
      <c r="Q2363" s="19">
        <f>IF(AND($F2363="Compareceu",$E2363&lt;&gt;"",$A2363&lt;&gt;""),IF(IFERROR(INDEX(ProcRet,MATCH($E2363,ProcNome,0)),0)&gt;0,$A2363+INDEX(ProcRet,MATCH($E2363,ProcNome,0)),""),"")</f>
        <v>0</v>
      </c>
      <c r="R2363" s="26">
        <f>IF($Q2363="","",IF(COUNTIFS(AgPac,$D2363,AgData,"&gt;"&amp;$A2363,AgStatus,"&lt;&gt;Cancelado",AgStatus,"&lt;&gt;Remarcado")&gt;0,"Sim","Não"))</f>
        <v>0</v>
      </c>
      <c r="S2363" s="28">
        <f>IF($A2363="","",IF(AND($F2363="Agendado",$A2363-Hoje&gt;=0,$A2363-Hoje&lt;=DiasConf),"CONFIRMAR",IF(AND($A2363&lt;Hoje,OR($F2363="Agendado",$F2363="Confirmado")),"Atualizar status",IF(AND($F2363="Compareceu",$P2363&gt;0.005),"Cobrar",IF($F2363="Faltou","Falta: reagendar","")))))</f>
        <v>0</v>
      </c>
      <c r="T2363" s="29">
        <f>IF($A2363="","",DATE(YEAR($A2363),MONTH($A2363),1))</f>
        <v>0</v>
      </c>
      <c r="U2363" s="30">
        <f>IF($S2363="CONFIRMAR",MAX($U$4:$U2362)+1,"")</f>
        <v>0</v>
      </c>
      <c r="V2363" s="30">
        <f>IF(AND($R2363="Não",$Q2363&lt;&gt;"",$Q2363&lt;=Hoje+JanelaRet,$Q2363&gt;=Hoje-60),MAX($V$4:$V2362)+1,"")</f>
        <v>0</v>
      </c>
    </row>
    <row r="2364" spans="1:22">
      <c r="A2364" s="16"/>
      <c r="B2364" s="23"/>
      <c r="C2364" s="15"/>
      <c r="D2364" s="15"/>
      <c r="E2364" s="15"/>
      <c r="F2364" s="24"/>
      <c r="G2364" s="17"/>
      <c r="H2364" s="17"/>
      <c r="I2364" s="15"/>
      <c r="J2364" s="25">
        <f>IF($D2364="","",IFERROR(INDEX(PacNome,MATCH($D2364,PacCod,0)),"Paciente não cadastrado"))</f>
        <v>0</v>
      </c>
      <c r="K2364" s="26">
        <f>IF($D2364="","",IFERROR(INDEX(PacConv,MATCH($D2364,PacCod,0))&amp;"",""))</f>
        <v>0</v>
      </c>
      <c r="L2364" s="26">
        <f>IF($A2364="","",CHOOSE(WEEKDAY($A2364,2),"Seg","Ter","Qua","Qui","Sex","Sáb","Dom"))</f>
        <v>0</v>
      </c>
      <c r="M2364" s="27">
        <f>IF($E2364="","",IF($G2364&lt;&gt;"",$G2364,IFERROR(INDEX(ProcValor,MATCH($E2364,ProcNome,0)),0)))</f>
        <v>0</v>
      </c>
      <c r="N2364" s="27">
        <f>IF($M2364="","",IF($F2364="Compareceu",$M2364,0))</f>
        <v>0</v>
      </c>
      <c r="O2364" s="27">
        <f>IF($M2364="","",IF($F2364="Faltou",$M2364,0))</f>
        <v>0</v>
      </c>
      <c r="P2364" s="27">
        <f>IF($M2364="","",IF($F2364="Compareceu",MAX(0,$M2364-N($H2364)),0))</f>
        <v>0</v>
      </c>
      <c r="Q2364" s="19">
        <f>IF(AND($F2364="Compareceu",$E2364&lt;&gt;"",$A2364&lt;&gt;""),IF(IFERROR(INDEX(ProcRet,MATCH($E2364,ProcNome,0)),0)&gt;0,$A2364+INDEX(ProcRet,MATCH($E2364,ProcNome,0)),""),"")</f>
        <v>0</v>
      </c>
      <c r="R2364" s="26">
        <f>IF($Q2364="","",IF(COUNTIFS(AgPac,$D2364,AgData,"&gt;"&amp;$A2364,AgStatus,"&lt;&gt;Cancelado",AgStatus,"&lt;&gt;Remarcado")&gt;0,"Sim","Não"))</f>
        <v>0</v>
      </c>
      <c r="S2364" s="28">
        <f>IF($A2364="","",IF(AND($F2364="Agendado",$A2364-Hoje&gt;=0,$A2364-Hoje&lt;=DiasConf),"CONFIRMAR",IF(AND($A2364&lt;Hoje,OR($F2364="Agendado",$F2364="Confirmado")),"Atualizar status",IF(AND($F2364="Compareceu",$P2364&gt;0.005),"Cobrar",IF($F2364="Faltou","Falta: reagendar","")))))</f>
        <v>0</v>
      </c>
      <c r="T2364" s="29">
        <f>IF($A2364="","",DATE(YEAR($A2364),MONTH($A2364),1))</f>
        <v>0</v>
      </c>
      <c r="U2364" s="30">
        <f>IF($S2364="CONFIRMAR",MAX($U$4:$U2363)+1,"")</f>
        <v>0</v>
      </c>
      <c r="V2364" s="30">
        <f>IF(AND($R2364="Não",$Q2364&lt;&gt;"",$Q2364&lt;=Hoje+JanelaRet,$Q2364&gt;=Hoje-60),MAX($V$4:$V2363)+1,"")</f>
        <v>0</v>
      </c>
    </row>
    <row r="2365" spans="1:22">
      <c r="A2365" s="16"/>
      <c r="B2365" s="23"/>
      <c r="C2365" s="15"/>
      <c r="D2365" s="15"/>
      <c r="E2365" s="15"/>
      <c r="F2365" s="24"/>
      <c r="G2365" s="17"/>
      <c r="H2365" s="17"/>
      <c r="I2365" s="15"/>
      <c r="J2365" s="25">
        <f>IF($D2365="","",IFERROR(INDEX(PacNome,MATCH($D2365,PacCod,0)),"Paciente não cadastrado"))</f>
        <v>0</v>
      </c>
      <c r="K2365" s="26">
        <f>IF($D2365="","",IFERROR(INDEX(PacConv,MATCH($D2365,PacCod,0))&amp;"",""))</f>
        <v>0</v>
      </c>
      <c r="L2365" s="26">
        <f>IF($A2365="","",CHOOSE(WEEKDAY($A2365,2),"Seg","Ter","Qua","Qui","Sex","Sáb","Dom"))</f>
        <v>0</v>
      </c>
      <c r="M2365" s="27">
        <f>IF($E2365="","",IF($G2365&lt;&gt;"",$G2365,IFERROR(INDEX(ProcValor,MATCH($E2365,ProcNome,0)),0)))</f>
        <v>0</v>
      </c>
      <c r="N2365" s="27">
        <f>IF($M2365="","",IF($F2365="Compareceu",$M2365,0))</f>
        <v>0</v>
      </c>
      <c r="O2365" s="27">
        <f>IF($M2365="","",IF($F2365="Faltou",$M2365,0))</f>
        <v>0</v>
      </c>
      <c r="P2365" s="27">
        <f>IF($M2365="","",IF($F2365="Compareceu",MAX(0,$M2365-N($H2365)),0))</f>
        <v>0</v>
      </c>
      <c r="Q2365" s="19">
        <f>IF(AND($F2365="Compareceu",$E2365&lt;&gt;"",$A2365&lt;&gt;""),IF(IFERROR(INDEX(ProcRet,MATCH($E2365,ProcNome,0)),0)&gt;0,$A2365+INDEX(ProcRet,MATCH($E2365,ProcNome,0)),""),"")</f>
        <v>0</v>
      </c>
      <c r="R2365" s="26">
        <f>IF($Q2365="","",IF(COUNTIFS(AgPac,$D2365,AgData,"&gt;"&amp;$A2365,AgStatus,"&lt;&gt;Cancelado",AgStatus,"&lt;&gt;Remarcado")&gt;0,"Sim","Não"))</f>
        <v>0</v>
      </c>
      <c r="S2365" s="28">
        <f>IF($A2365="","",IF(AND($F2365="Agendado",$A2365-Hoje&gt;=0,$A2365-Hoje&lt;=DiasConf),"CONFIRMAR",IF(AND($A2365&lt;Hoje,OR($F2365="Agendado",$F2365="Confirmado")),"Atualizar status",IF(AND($F2365="Compareceu",$P2365&gt;0.005),"Cobrar",IF($F2365="Faltou","Falta: reagendar","")))))</f>
        <v>0</v>
      </c>
      <c r="T2365" s="29">
        <f>IF($A2365="","",DATE(YEAR($A2365),MONTH($A2365),1))</f>
        <v>0</v>
      </c>
      <c r="U2365" s="30">
        <f>IF($S2365="CONFIRMAR",MAX($U$4:$U2364)+1,"")</f>
        <v>0</v>
      </c>
      <c r="V2365" s="30">
        <f>IF(AND($R2365="Não",$Q2365&lt;&gt;"",$Q2365&lt;=Hoje+JanelaRet,$Q2365&gt;=Hoje-60),MAX($V$4:$V2364)+1,"")</f>
        <v>0</v>
      </c>
    </row>
    <row r="2366" spans="1:22">
      <c r="A2366" s="16"/>
      <c r="B2366" s="23"/>
      <c r="C2366" s="15"/>
      <c r="D2366" s="15"/>
      <c r="E2366" s="15"/>
      <c r="F2366" s="24"/>
      <c r="G2366" s="17"/>
      <c r="H2366" s="17"/>
      <c r="I2366" s="15"/>
      <c r="J2366" s="25">
        <f>IF($D2366="","",IFERROR(INDEX(PacNome,MATCH($D2366,PacCod,0)),"Paciente não cadastrado"))</f>
        <v>0</v>
      </c>
      <c r="K2366" s="26">
        <f>IF($D2366="","",IFERROR(INDEX(PacConv,MATCH($D2366,PacCod,0))&amp;"",""))</f>
        <v>0</v>
      </c>
      <c r="L2366" s="26">
        <f>IF($A2366="","",CHOOSE(WEEKDAY($A2366,2),"Seg","Ter","Qua","Qui","Sex","Sáb","Dom"))</f>
        <v>0</v>
      </c>
      <c r="M2366" s="27">
        <f>IF($E2366="","",IF($G2366&lt;&gt;"",$G2366,IFERROR(INDEX(ProcValor,MATCH($E2366,ProcNome,0)),0)))</f>
        <v>0</v>
      </c>
      <c r="N2366" s="27">
        <f>IF($M2366="","",IF($F2366="Compareceu",$M2366,0))</f>
        <v>0</v>
      </c>
      <c r="O2366" s="27">
        <f>IF($M2366="","",IF($F2366="Faltou",$M2366,0))</f>
        <v>0</v>
      </c>
      <c r="P2366" s="27">
        <f>IF($M2366="","",IF($F2366="Compareceu",MAX(0,$M2366-N($H2366)),0))</f>
        <v>0</v>
      </c>
      <c r="Q2366" s="19">
        <f>IF(AND($F2366="Compareceu",$E2366&lt;&gt;"",$A2366&lt;&gt;""),IF(IFERROR(INDEX(ProcRet,MATCH($E2366,ProcNome,0)),0)&gt;0,$A2366+INDEX(ProcRet,MATCH($E2366,ProcNome,0)),""),"")</f>
        <v>0</v>
      </c>
      <c r="R2366" s="26">
        <f>IF($Q2366="","",IF(COUNTIFS(AgPac,$D2366,AgData,"&gt;"&amp;$A2366,AgStatus,"&lt;&gt;Cancelado",AgStatus,"&lt;&gt;Remarcado")&gt;0,"Sim","Não"))</f>
        <v>0</v>
      </c>
      <c r="S2366" s="28">
        <f>IF($A2366="","",IF(AND($F2366="Agendado",$A2366-Hoje&gt;=0,$A2366-Hoje&lt;=DiasConf),"CONFIRMAR",IF(AND($A2366&lt;Hoje,OR($F2366="Agendado",$F2366="Confirmado")),"Atualizar status",IF(AND($F2366="Compareceu",$P2366&gt;0.005),"Cobrar",IF($F2366="Faltou","Falta: reagendar","")))))</f>
        <v>0</v>
      </c>
      <c r="T2366" s="29">
        <f>IF($A2366="","",DATE(YEAR($A2366),MONTH($A2366),1))</f>
        <v>0</v>
      </c>
      <c r="U2366" s="30">
        <f>IF($S2366="CONFIRMAR",MAX($U$4:$U2365)+1,"")</f>
        <v>0</v>
      </c>
      <c r="V2366" s="30">
        <f>IF(AND($R2366="Não",$Q2366&lt;&gt;"",$Q2366&lt;=Hoje+JanelaRet,$Q2366&gt;=Hoje-60),MAX($V$4:$V2365)+1,"")</f>
        <v>0</v>
      </c>
    </row>
    <row r="2367" spans="1:22">
      <c r="A2367" s="16"/>
      <c r="B2367" s="23"/>
      <c r="C2367" s="15"/>
      <c r="D2367" s="15"/>
      <c r="E2367" s="15"/>
      <c r="F2367" s="24"/>
      <c r="G2367" s="17"/>
      <c r="H2367" s="17"/>
      <c r="I2367" s="15"/>
      <c r="J2367" s="25">
        <f>IF($D2367="","",IFERROR(INDEX(PacNome,MATCH($D2367,PacCod,0)),"Paciente não cadastrado"))</f>
        <v>0</v>
      </c>
      <c r="K2367" s="26">
        <f>IF($D2367="","",IFERROR(INDEX(PacConv,MATCH($D2367,PacCod,0))&amp;"",""))</f>
        <v>0</v>
      </c>
      <c r="L2367" s="26">
        <f>IF($A2367="","",CHOOSE(WEEKDAY($A2367,2),"Seg","Ter","Qua","Qui","Sex","Sáb","Dom"))</f>
        <v>0</v>
      </c>
      <c r="M2367" s="27">
        <f>IF($E2367="","",IF($G2367&lt;&gt;"",$G2367,IFERROR(INDEX(ProcValor,MATCH($E2367,ProcNome,0)),0)))</f>
        <v>0</v>
      </c>
      <c r="N2367" s="27">
        <f>IF($M2367="","",IF($F2367="Compareceu",$M2367,0))</f>
        <v>0</v>
      </c>
      <c r="O2367" s="27">
        <f>IF($M2367="","",IF($F2367="Faltou",$M2367,0))</f>
        <v>0</v>
      </c>
      <c r="P2367" s="27">
        <f>IF($M2367="","",IF($F2367="Compareceu",MAX(0,$M2367-N($H2367)),0))</f>
        <v>0</v>
      </c>
      <c r="Q2367" s="19">
        <f>IF(AND($F2367="Compareceu",$E2367&lt;&gt;"",$A2367&lt;&gt;""),IF(IFERROR(INDEX(ProcRet,MATCH($E2367,ProcNome,0)),0)&gt;0,$A2367+INDEX(ProcRet,MATCH($E2367,ProcNome,0)),""),"")</f>
        <v>0</v>
      </c>
      <c r="R2367" s="26">
        <f>IF($Q2367="","",IF(COUNTIFS(AgPac,$D2367,AgData,"&gt;"&amp;$A2367,AgStatus,"&lt;&gt;Cancelado",AgStatus,"&lt;&gt;Remarcado")&gt;0,"Sim","Não"))</f>
        <v>0</v>
      </c>
      <c r="S2367" s="28">
        <f>IF($A2367="","",IF(AND($F2367="Agendado",$A2367-Hoje&gt;=0,$A2367-Hoje&lt;=DiasConf),"CONFIRMAR",IF(AND($A2367&lt;Hoje,OR($F2367="Agendado",$F2367="Confirmado")),"Atualizar status",IF(AND($F2367="Compareceu",$P2367&gt;0.005),"Cobrar",IF($F2367="Faltou","Falta: reagendar","")))))</f>
        <v>0</v>
      </c>
      <c r="T2367" s="29">
        <f>IF($A2367="","",DATE(YEAR($A2367),MONTH($A2367),1))</f>
        <v>0</v>
      </c>
      <c r="U2367" s="30">
        <f>IF($S2367="CONFIRMAR",MAX($U$4:$U2366)+1,"")</f>
        <v>0</v>
      </c>
      <c r="V2367" s="30">
        <f>IF(AND($R2367="Não",$Q2367&lt;&gt;"",$Q2367&lt;=Hoje+JanelaRet,$Q2367&gt;=Hoje-60),MAX($V$4:$V2366)+1,"")</f>
        <v>0</v>
      </c>
    </row>
    <row r="2368" spans="1:22">
      <c r="A2368" s="16"/>
      <c r="B2368" s="23"/>
      <c r="C2368" s="15"/>
      <c r="D2368" s="15"/>
      <c r="E2368" s="15"/>
      <c r="F2368" s="24"/>
      <c r="G2368" s="17"/>
      <c r="H2368" s="17"/>
      <c r="I2368" s="15"/>
      <c r="J2368" s="25">
        <f>IF($D2368="","",IFERROR(INDEX(PacNome,MATCH($D2368,PacCod,0)),"Paciente não cadastrado"))</f>
        <v>0</v>
      </c>
      <c r="K2368" s="26">
        <f>IF($D2368="","",IFERROR(INDEX(PacConv,MATCH($D2368,PacCod,0))&amp;"",""))</f>
        <v>0</v>
      </c>
      <c r="L2368" s="26">
        <f>IF($A2368="","",CHOOSE(WEEKDAY($A2368,2),"Seg","Ter","Qua","Qui","Sex","Sáb","Dom"))</f>
        <v>0</v>
      </c>
      <c r="M2368" s="27">
        <f>IF($E2368="","",IF($G2368&lt;&gt;"",$G2368,IFERROR(INDEX(ProcValor,MATCH($E2368,ProcNome,0)),0)))</f>
        <v>0</v>
      </c>
      <c r="N2368" s="27">
        <f>IF($M2368="","",IF($F2368="Compareceu",$M2368,0))</f>
        <v>0</v>
      </c>
      <c r="O2368" s="27">
        <f>IF($M2368="","",IF($F2368="Faltou",$M2368,0))</f>
        <v>0</v>
      </c>
      <c r="P2368" s="27">
        <f>IF($M2368="","",IF($F2368="Compareceu",MAX(0,$M2368-N($H2368)),0))</f>
        <v>0</v>
      </c>
      <c r="Q2368" s="19">
        <f>IF(AND($F2368="Compareceu",$E2368&lt;&gt;"",$A2368&lt;&gt;""),IF(IFERROR(INDEX(ProcRet,MATCH($E2368,ProcNome,0)),0)&gt;0,$A2368+INDEX(ProcRet,MATCH($E2368,ProcNome,0)),""),"")</f>
        <v>0</v>
      </c>
      <c r="R2368" s="26">
        <f>IF($Q2368="","",IF(COUNTIFS(AgPac,$D2368,AgData,"&gt;"&amp;$A2368,AgStatus,"&lt;&gt;Cancelado",AgStatus,"&lt;&gt;Remarcado")&gt;0,"Sim","Não"))</f>
        <v>0</v>
      </c>
      <c r="S2368" s="28">
        <f>IF($A2368="","",IF(AND($F2368="Agendado",$A2368-Hoje&gt;=0,$A2368-Hoje&lt;=DiasConf),"CONFIRMAR",IF(AND($A2368&lt;Hoje,OR($F2368="Agendado",$F2368="Confirmado")),"Atualizar status",IF(AND($F2368="Compareceu",$P2368&gt;0.005),"Cobrar",IF($F2368="Faltou","Falta: reagendar","")))))</f>
        <v>0</v>
      </c>
      <c r="T2368" s="29">
        <f>IF($A2368="","",DATE(YEAR($A2368),MONTH($A2368),1))</f>
        <v>0</v>
      </c>
      <c r="U2368" s="30">
        <f>IF($S2368="CONFIRMAR",MAX($U$4:$U2367)+1,"")</f>
        <v>0</v>
      </c>
      <c r="V2368" s="30">
        <f>IF(AND($R2368="Não",$Q2368&lt;&gt;"",$Q2368&lt;=Hoje+JanelaRet,$Q2368&gt;=Hoje-60),MAX($V$4:$V2367)+1,"")</f>
        <v>0</v>
      </c>
    </row>
    <row r="2369" spans="1:22">
      <c r="A2369" s="16"/>
      <c r="B2369" s="23"/>
      <c r="C2369" s="15"/>
      <c r="D2369" s="15"/>
      <c r="E2369" s="15"/>
      <c r="F2369" s="24"/>
      <c r="G2369" s="17"/>
      <c r="H2369" s="17"/>
      <c r="I2369" s="15"/>
      <c r="J2369" s="25">
        <f>IF($D2369="","",IFERROR(INDEX(PacNome,MATCH($D2369,PacCod,0)),"Paciente não cadastrado"))</f>
        <v>0</v>
      </c>
      <c r="K2369" s="26">
        <f>IF($D2369="","",IFERROR(INDEX(PacConv,MATCH($D2369,PacCod,0))&amp;"",""))</f>
        <v>0</v>
      </c>
      <c r="L2369" s="26">
        <f>IF($A2369="","",CHOOSE(WEEKDAY($A2369,2),"Seg","Ter","Qua","Qui","Sex","Sáb","Dom"))</f>
        <v>0</v>
      </c>
      <c r="M2369" s="27">
        <f>IF($E2369="","",IF($G2369&lt;&gt;"",$G2369,IFERROR(INDEX(ProcValor,MATCH($E2369,ProcNome,0)),0)))</f>
        <v>0</v>
      </c>
      <c r="N2369" s="27">
        <f>IF($M2369="","",IF($F2369="Compareceu",$M2369,0))</f>
        <v>0</v>
      </c>
      <c r="O2369" s="27">
        <f>IF($M2369="","",IF($F2369="Faltou",$M2369,0))</f>
        <v>0</v>
      </c>
      <c r="P2369" s="27">
        <f>IF($M2369="","",IF($F2369="Compareceu",MAX(0,$M2369-N($H2369)),0))</f>
        <v>0</v>
      </c>
      <c r="Q2369" s="19">
        <f>IF(AND($F2369="Compareceu",$E2369&lt;&gt;"",$A2369&lt;&gt;""),IF(IFERROR(INDEX(ProcRet,MATCH($E2369,ProcNome,0)),0)&gt;0,$A2369+INDEX(ProcRet,MATCH($E2369,ProcNome,0)),""),"")</f>
        <v>0</v>
      </c>
      <c r="R2369" s="26">
        <f>IF($Q2369="","",IF(COUNTIFS(AgPac,$D2369,AgData,"&gt;"&amp;$A2369,AgStatus,"&lt;&gt;Cancelado",AgStatus,"&lt;&gt;Remarcado")&gt;0,"Sim","Não"))</f>
        <v>0</v>
      </c>
      <c r="S2369" s="28">
        <f>IF($A2369="","",IF(AND($F2369="Agendado",$A2369-Hoje&gt;=0,$A2369-Hoje&lt;=DiasConf),"CONFIRMAR",IF(AND($A2369&lt;Hoje,OR($F2369="Agendado",$F2369="Confirmado")),"Atualizar status",IF(AND($F2369="Compareceu",$P2369&gt;0.005),"Cobrar",IF($F2369="Faltou","Falta: reagendar","")))))</f>
        <v>0</v>
      </c>
      <c r="T2369" s="29">
        <f>IF($A2369="","",DATE(YEAR($A2369),MONTH($A2369),1))</f>
        <v>0</v>
      </c>
      <c r="U2369" s="30">
        <f>IF($S2369="CONFIRMAR",MAX($U$4:$U2368)+1,"")</f>
        <v>0</v>
      </c>
      <c r="V2369" s="30">
        <f>IF(AND($R2369="Não",$Q2369&lt;&gt;"",$Q2369&lt;=Hoje+JanelaRet,$Q2369&gt;=Hoje-60),MAX($V$4:$V2368)+1,"")</f>
        <v>0</v>
      </c>
    </row>
    <row r="2370" spans="1:22">
      <c r="A2370" s="16"/>
      <c r="B2370" s="23"/>
      <c r="C2370" s="15"/>
      <c r="D2370" s="15"/>
      <c r="E2370" s="15"/>
      <c r="F2370" s="24"/>
      <c r="G2370" s="17"/>
      <c r="H2370" s="17"/>
      <c r="I2370" s="15"/>
      <c r="J2370" s="25">
        <f>IF($D2370="","",IFERROR(INDEX(PacNome,MATCH($D2370,PacCod,0)),"Paciente não cadastrado"))</f>
        <v>0</v>
      </c>
      <c r="K2370" s="26">
        <f>IF($D2370="","",IFERROR(INDEX(PacConv,MATCH($D2370,PacCod,0))&amp;"",""))</f>
        <v>0</v>
      </c>
      <c r="L2370" s="26">
        <f>IF($A2370="","",CHOOSE(WEEKDAY($A2370,2),"Seg","Ter","Qua","Qui","Sex","Sáb","Dom"))</f>
        <v>0</v>
      </c>
      <c r="M2370" s="27">
        <f>IF($E2370="","",IF($G2370&lt;&gt;"",$G2370,IFERROR(INDEX(ProcValor,MATCH($E2370,ProcNome,0)),0)))</f>
        <v>0</v>
      </c>
      <c r="N2370" s="27">
        <f>IF($M2370="","",IF($F2370="Compareceu",$M2370,0))</f>
        <v>0</v>
      </c>
      <c r="O2370" s="27">
        <f>IF($M2370="","",IF($F2370="Faltou",$M2370,0))</f>
        <v>0</v>
      </c>
      <c r="P2370" s="27">
        <f>IF($M2370="","",IF($F2370="Compareceu",MAX(0,$M2370-N($H2370)),0))</f>
        <v>0</v>
      </c>
      <c r="Q2370" s="19">
        <f>IF(AND($F2370="Compareceu",$E2370&lt;&gt;"",$A2370&lt;&gt;""),IF(IFERROR(INDEX(ProcRet,MATCH($E2370,ProcNome,0)),0)&gt;0,$A2370+INDEX(ProcRet,MATCH($E2370,ProcNome,0)),""),"")</f>
        <v>0</v>
      </c>
      <c r="R2370" s="26">
        <f>IF($Q2370="","",IF(COUNTIFS(AgPac,$D2370,AgData,"&gt;"&amp;$A2370,AgStatus,"&lt;&gt;Cancelado",AgStatus,"&lt;&gt;Remarcado")&gt;0,"Sim","Não"))</f>
        <v>0</v>
      </c>
      <c r="S2370" s="28">
        <f>IF($A2370="","",IF(AND($F2370="Agendado",$A2370-Hoje&gt;=0,$A2370-Hoje&lt;=DiasConf),"CONFIRMAR",IF(AND($A2370&lt;Hoje,OR($F2370="Agendado",$F2370="Confirmado")),"Atualizar status",IF(AND($F2370="Compareceu",$P2370&gt;0.005),"Cobrar",IF($F2370="Faltou","Falta: reagendar","")))))</f>
        <v>0</v>
      </c>
      <c r="T2370" s="29">
        <f>IF($A2370="","",DATE(YEAR($A2370),MONTH($A2370),1))</f>
        <v>0</v>
      </c>
      <c r="U2370" s="30">
        <f>IF($S2370="CONFIRMAR",MAX($U$4:$U2369)+1,"")</f>
        <v>0</v>
      </c>
      <c r="V2370" s="30">
        <f>IF(AND($R2370="Não",$Q2370&lt;&gt;"",$Q2370&lt;=Hoje+JanelaRet,$Q2370&gt;=Hoje-60),MAX($V$4:$V2369)+1,"")</f>
        <v>0</v>
      </c>
    </row>
    <row r="2371" spans="1:22">
      <c r="A2371" s="16"/>
      <c r="B2371" s="23"/>
      <c r="C2371" s="15"/>
      <c r="D2371" s="15"/>
      <c r="E2371" s="15"/>
      <c r="F2371" s="24"/>
      <c r="G2371" s="17"/>
      <c r="H2371" s="17"/>
      <c r="I2371" s="15"/>
      <c r="J2371" s="25">
        <f>IF($D2371="","",IFERROR(INDEX(PacNome,MATCH($D2371,PacCod,0)),"Paciente não cadastrado"))</f>
        <v>0</v>
      </c>
      <c r="K2371" s="26">
        <f>IF($D2371="","",IFERROR(INDEX(PacConv,MATCH($D2371,PacCod,0))&amp;"",""))</f>
        <v>0</v>
      </c>
      <c r="L2371" s="26">
        <f>IF($A2371="","",CHOOSE(WEEKDAY($A2371,2),"Seg","Ter","Qua","Qui","Sex","Sáb","Dom"))</f>
        <v>0</v>
      </c>
      <c r="M2371" s="27">
        <f>IF($E2371="","",IF($G2371&lt;&gt;"",$G2371,IFERROR(INDEX(ProcValor,MATCH($E2371,ProcNome,0)),0)))</f>
        <v>0</v>
      </c>
      <c r="N2371" s="27">
        <f>IF($M2371="","",IF($F2371="Compareceu",$M2371,0))</f>
        <v>0</v>
      </c>
      <c r="O2371" s="27">
        <f>IF($M2371="","",IF($F2371="Faltou",$M2371,0))</f>
        <v>0</v>
      </c>
      <c r="P2371" s="27">
        <f>IF($M2371="","",IF($F2371="Compareceu",MAX(0,$M2371-N($H2371)),0))</f>
        <v>0</v>
      </c>
      <c r="Q2371" s="19">
        <f>IF(AND($F2371="Compareceu",$E2371&lt;&gt;"",$A2371&lt;&gt;""),IF(IFERROR(INDEX(ProcRet,MATCH($E2371,ProcNome,0)),0)&gt;0,$A2371+INDEX(ProcRet,MATCH($E2371,ProcNome,0)),""),"")</f>
        <v>0</v>
      </c>
      <c r="R2371" s="26">
        <f>IF($Q2371="","",IF(COUNTIFS(AgPac,$D2371,AgData,"&gt;"&amp;$A2371,AgStatus,"&lt;&gt;Cancelado",AgStatus,"&lt;&gt;Remarcado")&gt;0,"Sim","Não"))</f>
        <v>0</v>
      </c>
      <c r="S2371" s="28">
        <f>IF($A2371="","",IF(AND($F2371="Agendado",$A2371-Hoje&gt;=0,$A2371-Hoje&lt;=DiasConf),"CONFIRMAR",IF(AND($A2371&lt;Hoje,OR($F2371="Agendado",$F2371="Confirmado")),"Atualizar status",IF(AND($F2371="Compareceu",$P2371&gt;0.005),"Cobrar",IF($F2371="Faltou","Falta: reagendar","")))))</f>
        <v>0</v>
      </c>
      <c r="T2371" s="29">
        <f>IF($A2371="","",DATE(YEAR($A2371),MONTH($A2371),1))</f>
        <v>0</v>
      </c>
      <c r="U2371" s="30">
        <f>IF($S2371="CONFIRMAR",MAX($U$4:$U2370)+1,"")</f>
        <v>0</v>
      </c>
      <c r="V2371" s="30">
        <f>IF(AND($R2371="Não",$Q2371&lt;&gt;"",$Q2371&lt;=Hoje+JanelaRet,$Q2371&gt;=Hoje-60),MAX($V$4:$V2370)+1,"")</f>
        <v>0</v>
      </c>
    </row>
    <row r="2372" spans="1:22">
      <c r="A2372" s="16"/>
      <c r="B2372" s="23"/>
      <c r="C2372" s="15"/>
      <c r="D2372" s="15"/>
      <c r="E2372" s="15"/>
      <c r="F2372" s="24"/>
      <c r="G2372" s="17"/>
      <c r="H2372" s="17"/>
      <c r="I2372" s="15"/>
      <c r="J2372" s="25">
        <f>IF($D2372="","",IFERROR(INDEX(PacNome,MATCH($D2372,PacCod,0)),"Paciente não cadastrado"))</f>
        <v>0</v>
      </c>
      <c r="K2372" s="26">
        <f>IF($D2372="","",IFERROR(INDEX(PacConv,MATCH($D2372,PacCod,0))&amp;"",""))</f>
        <v>0</v>
      </c>
      <c r="L2372" s="26">
        <f>IF($A2372="","",CHOOSE(WEEKDAY($A2372,2),"Seg","Ter","Qua","Qui","Sex","Sáb","Dom"))</f>
        <v>0</v>
      </c>
      <c r="M2372" s="27">
        <f>IF($E2372="","",IF($G2372&lt;&gt;"",$G2372,IFERROR(INDEX(ProcValor,MATCH($E2372,ProcNome,0)),0)))</f>
        <v>0</v>
      </c>
      <c r="N2372" s="27">
        <f>IF($M2372="","",IF($F2372="Compareceu",$M2372,0))</f>
        <v>0</v>
      </c>
      <c r="O2372" s="27">
        <f>IF($M2372="","",IF($F2372="Faltou",$M2372,0))</f>
        <v>0</v>
      </c>
      <c r="P2372" s="27">
        <f>IF($M2372="","",IF($F2372="Compareceu",MAX(0,$M2372-N($H2372)),0))</f>
        <v>0</v>
      </c>
      <c r="Q2372" s="19">
        <f>IF(AND($F2372="Compareceu",$E2372&lt;&gt;"",$A2372&lt;&gt;""),IF(IFERROR(INDEX(ProcRet,MATCH($E2372,ProcNome,0)),0)&gt;0,$A2372+INDEX(ProcRet,MATCH($E2372,ProcNome,0)),""),"")</f>
        <v>0</v>
      </c>
      <c r="R2372" s="26">
        <f>IF($Q2372="","",IF(COUNTIFS(AgPac,$D2372,AgData,"&gt;"&amp;$A2372,AgStatus,"&lt;&gt;Cancelado",AgStatus,"&lt;&gt;Remarcado")&gt;0,"Sim","Não"))</f>
        <v>0</v>
      </c>
      <c r="S2372" s="28">
        <f>IF($A2372="","",IF(AND($F2372="Agendado",$A2372-Hoje&gt;=0,$A2372-Hoje&lt;=DiasConf),"CONFIRMAR",IF(AND($A2372&lt;Hoje,OR($F2372="Agendado",$F2372="Confirmado")),"Atualizar status",IF(AND($F2372="Compareceu",$P2372&gt;0.005),"Cobrar",IF($F2372="Faltou","Falta: reagendar","")))))</f>
        <v>0</v>
      </c>
      <c r="T2372" s="29">
        <f>IF($A2372="","",DATE(YEAR($A2372),MONTH($A2372),1))</f>
        <v>0</v>
      </c>
      <c r="U2372" s="30">
        <f>IF($S2372="CONFIRMAR",MAX($U$4:$U2371)+1,"")</f>
        <v>0</v>
      </c>
      <c r="V2372" s="30">
        <f>IF(AND($R2372="Não",$Q2372&lt;&gt;"",$Q2372&lt;=Hoje+JanelaRet,$Q2372&gt;=Hoje-60),MAX($V$4:$V2371)+1,"")</f>
        <v>0</v>
      </c>
    </row>
    <row r="2373" spans="1:22">
      <c r="A2373" s="16"/>
      <c r="B2373" s="23"/>
      <c r="C2373" s="15"/>
      <c r="D2373" s="15"/>
      <c r="E2373" s="15"/>
      <c r="F2373" s="24"/>
      <c r="G2373" s="17"/>
      <c r="H2373" s="17"/>
      <c r="I2373" s="15"/>
      <c r="J2373" s="25">
        <f>IF($D2373="","",IFERROR(INDEX(PacNome,MATCH($D2373,PacCod,0)),"Paciente não cadastrado"))</f>
        <v>0</v>
      </c>
      <c r="K2373" s="26">
        <f>IF($D2373="","",IFERROR(INDEX(PacConv,MATCH($D2373,PacCod,0))&amp;"",""))</f>
        <v>0</v>
      </c>
      <c r="L2373" s="26">
        <f>IF($A2373="","",CHOOSE(WEEKDAY($A2373,2),"Seg","Ter","Qua","Qui","Sex","Sáb","Dom"))</f>
        <v>0</v>
      </c>
      <c r="M2373" s="27">
        <f>IF($E2373="","",IF($G2373&lt;&gt;"",$G2373,IFERROR(INDEX(ProcValor,MATCH($E2373,ProcNome,0)),0)))</f>
        <v>0</v>
      </c>
      <c r="N2373" s="27">
        <f>IF($M2373="","",IF($F2373="Compareceu",$M2373,0))</f>
        <v>0</v>
      </c>
      <c r="O2373" s="27">
        <f>IF($M2373="","",IF($F2373="Faltou",$M2373,0))</f>
        <v>0</v>
      </c>
      <c r="P2373" s="27">
        <f>IF($M2373="","",IF($F2373="Compareceu",MAX(0,$M2373-N($H2373)),0))</f>
        <v>0</v>
      </c>
      <c r="Q2373" s="19">
        <f>IF(AND($F2373="Compareceu",$E2373&lt;&gt;"",$A2373&lt;&gt;""),IF(IFERROR(INDEX(ProcRet,MATCH($E2373,ProcNome,0)),0)&gt;0,$A2373+INDEX(ProcRet,MATCH($E2373,ProcNome,0)),""),"")</f>
        <v>0</v>
      </c>
      <c r="R2373" s="26">
        <f>IF($Q2373="","",IF(COUNTIFS(AgPac,$D2373,AgData,"&gt;"&amp;$A2373,AgStatus,"&lt;&gt;Cancelado",AgStatus,"&lt;&gt;Remarcado")&gt;0,"Sim","Não"))</f>
        <v>0</v>
      </c>
      <c r="S2373" s="28">
        <f>IF($A2373="","",IF(AND($F2373="Agendado",$A2373-Hoje&gt;=0,$A2373-Hoje&lt;=DiasConf),"CONFIRMAR",IF(AND($A2373&lt;Hoje,OR($F2373="Agendado",$F2373="Confirmado")),"Atualizar status",IF(AND($F2373="Compareceu",$P2373&gt;0.005),"Cobrar",IF($F2373="Faltou","Falta: reagendar","")))))</f>
        <v>0</v>
      </c>
      <c r="T2373" s="29">
        <f>IF($A2373="","",DATE(YEAR($A2373),MONTH($A2373),1))</f>
        <v>0</v>
      </c>
      <c r="U2373" s="30">
        <f>IF($S2373="CONFIRMAR",MAX($U$4:$U2372)+1,"")</f>
        <v>0</v>
      </c>
      <c r="V2373" s="30">
        <f>IF(AND($R2373="Não",$Q2373&lt;&gt;"",$Q2373&lt;=Hoje+JanelaRet,$Q2373&gt;=Hoje-60),MAX($V$4:$V2372)+1,"")</f>
        <v>0</v>
      </c>
    </row>
    <row r="2374" spans="1:22">
      <c r="A2374" s="16"/>
      <c r="B2374" s="23"/>
      <c r="C2374" s="15"/>
      <c r="D2374" s="15"/>
      <c r="E2374" s="15"/>
      <c r="F2374" s="24"/>
      <c r="G2374" s="17"/>
      <c r="H2374" s="17"/>
      <c r="I2374" s="15"/>
      <c r="J2374" s="25">
        <f>IF($D2374="","",IFERROR(INDEX(PacNome,MATCH($D2374,PacCod,0)),"Paciente não cadastrado"))</f>
        <v>0</v>
      </c>
      <c r="K2374" s="26">
        <f>IF($D2374="","",IFERROR(INDEX(PacConv,MATCH($D2374,PacCod,0))&amp;"",""))</f>
        <v>0</v>
      </c>
      <c r="L2374" s="26">
        <f>IF($A2374="","",CHOOSE(WEEKDAY($A2374,2),"Seg","Ter","Qua","Qui","Sex","Sáb","Dom"))</f>
        <v>0</v>
      </c>
      <c r="M2374" s="27">
        <f>IF($E2374="","",IF($G2374&lt;&gt;"",$G2374,IFERROR(INDEX(ProcValor,MATCH($E2374,ProcNome,0)),0)))</f>
        <v>0</v>
      </c>
      <c r="N2374" s="27">
        <f>IF($M2374="","",IF($F2374="Compareceu",$M2374,0))</f>
        <v>0</v>
      </c>
      <c r="O2374" s="27">
        <f>IF($M2374="","",IF($F2374="Faltou",$M2374,0))</f>
        <v>0</v>
      </c>
      <c r="P2374" s="27">
        <f>IF($M2374="","",IF($F2374="Compareceu",MAX(0,$M2374-N($H2374)),0))</f>
        <v>0</v>
      </c>
      <c r="Q2374" s="19">
        <f>IF(AND($F2374="Compareceu",$E2374&lt;&gt;"",$A2374&lt;&gt;""),IF(IFERROR(INDEX(ProcRet,MATCH($E2374,ProcNome,0)),0)&gt;0,$A2374+INDEX(ProcRet,MATCH($E2374,ProcNome,0)),""),"")</f>
        <v>0</v>
      </c>
      <c r="R2374" s="26">
        <f>IF($Q2374="","",IF(COUNTIFS(AgPac,$D2374,AgData,"&gt;"&amp;$A2374,AgStatus,"&lt;&gt;Cancelado",AgStatus,"&lt;&gt;Remarcado")&gt;0,"Sim","Não"))</f>
        <v>0</v>
      </c>
      <c r="S2374" s="28">
        <f>IF($A2374="","",IF(AND($F2374="Agendado",$A2374-Hoje&gt;=0,$A2374-Hoje&lt;=DiasConf),"CONFIRMAR",IF(AND($A2374&lt;Hoje,OR($F2374="Agendado",$F2374="Confirmado")),"Atualizar status",IF(AND($F2374="Compareceu",$P2374&gt;0.005),"Cobrar",IF($F2374="Faltou","Falta: reagendar","")))))</f>
        <v>0</v>
      </c>
      <c r="T2374" s="29">
        <f>IF($A2374="","",DATE(YEAR($A2374),MONTH($A2374),1))</f>
        <v>0</v>
      </c>
      <c r="U2374" s="30">
        <f>IF($S2374="CONFIRMAR",MAX($U$4:$U2373)+1,"")</f>
        <v>0</v>
      </c>
      <c r="V2374" s="30">
        <f>IF(AND($R2374="Não",$Q2374&lt;&gt;"",$Q2374&lt;=Hoje+JanelaRet,$Q2374&gt;=Hoje-60),MAX($V$4:$V2373)+1,"")</f>
        <v>0</v>
      </c>
    </row>
    <row r="2375" spans="1:22">
      <c r="A2375" s="16"/>
      <c r="B2375" s="23"/>
      <c r="C2375" s="15"/>
      <c r="D2375" s="15"/>
      <c r="E2375" s="15"/>
      <c r="F2375" s="24"/>
      <c r="G2375" s="17"/>
      <c r="H2375" s="17"/>
      <c r="I2375" s="15"/>
      <c r="J2375" s="25">
        <f>IF($D2375="","",IFERROR(INDEX(PacNome,MATCH($D2375,PacCod,0)),"Paciente não cadastrado"))</f>
        <v>0</v>
      </c>
      <c r="K2375" s="26">
        <f>IF($D2375="","",IFERROR(INDEX(PacConv,MATCH($D2375,PacCod,0))&amp;"",""))</f>
        <v>0</v>
      </c>
      <c r="L2375" s="26">
        <f>IF($A2375="","",CHOOSE(WEEKDAY($A2375,2),"Seg","Ter","Qua","Qui","Sex","Sáb","Dom"))</f>
        <v>0</v>
      </c>
      <c r="M2375" s="27">
        <f>IF($E2375="","",IF($G2375&lt;&gt;"",$G2375,IFERROR(INDEX(ProcValor,MATCH($E2375,ProcNome,0)),0)))</f>
        <v>0</v>
      </c>
      <c r="N2375" s="27">
        <f>IF($M2375="","",IF($F2375="Compareceu",$M2375,0))</f>
        <v>0</v>
      </c>
      <c r="O2375" s="27">
        <f>IF($M2375="","",IF($F2375="Faltou",$M2375,0))</f>
        <v>0</v>
      </c>
      <c r="P2375" s="27">
        <f>IF($M2375="","",IF($F2375="Compareceu",MAX(0,$M2375-N($H2375)),0))</f>
        <v>0</v>
      </c>
      <c r="Q2375" s="19">
        <f>IF(AND($F2375="Compareceu",$E2375&lt;&gt;"",$A2375&lt;&gt;""),IF(IFERROR(INDEX(ProcRet,MATCH($E2375,ProcNome,0)),0)&gt;0,$A2375+INDEX(ProcRet,MATCH($E2375,ProcNome,0)),""),"")</f>
        <v>0</v>
      </c>
      <c r="R2375" s="26">
        <f>IF($Q2375="","",IF(COUNTIFS(AgPac,$D2375,AgData,"&gt;"&amp;$A2375,AgStatus,"&lt;&gt;Cancelado",AgStatus,"&lt;&gt;Remarcado")&gt;0,"Sim","Não"))</f>
        <v>0</v>
      </c>
      <c r="S2375" s="28">
        <f>IF($A2375="","",IF(AND($F2375="Agendado",$A2375-Hoje&gt;=0,$A2375-Hoje&lt;=DiasConf),"CONFIRMAR",IF(AND($A2375&lt;Hoje,OR($F2375="Agendado",$F2375="Confirmado")),"Atualizar status",IF(AND($F2375="Compareceu",$P2375&gt;0.005),"Cobrar",IF($F2375="Faltou","Falta: reagendar","")))))</f>
        <v>0</v>
      </c>
      <c r="T2375" s="29">
        <f>IF($A2375="","",DATE(YEAR($A2375),MONTH($A2375),1))</f>
        <v>0</v>
      </c>
      <c r="U2375" s="30">
        <f>IF($S2375="CONFIRMAR",MAX($U$4:$U2374)+1,"")</f>
        <v>0</v>
      </c>
      <c r="V2375" s="30">
        <f>IF(AND($R2375="Não",$Q2375&lt;&gt;"",$Q2375&lt;=Hoje+JanelaRet,$Q2375&gt;=Hoje-60),MAX($V$4:$V2374)+1,"")</f>
        <v>0</v>
      </c>
    </row>
    <row r="2376" spans="1:22">
      <c r="A2376" s="16"/>
      <c r="B2376" s="23"/>
      <c r="C2376" s="15"/>
      <c r="D2376" s="15"/>
      <c r="E2376" s="15"/>
      <c r="F2376" s="24"/>
      <c r="G2376" s="17"/>
      <c r="H2376" s="17"/>
      <c r="I2376" s="15"/>
      <c r="J2376" s="25">
        <f>IF($D2376="","",IFERROR(INDEX(PacNome,MATCH($D2376,PacCod,0)),"Paciente não cadastrado"))</f>
        <v>0</v>
      </c>
      <c r="K2376" s="26">
        <f>IF($D2376="","",IFERROR(INDEX(PacConv,MATCH($D2376,PacCod,0))&amp;"",""))</f>
        <v>0</v>
      </c>
      <c r="L2376" s="26">
        <f>IF($A2376="","",CHOOSE(WEEKDAY($A2376,2),"Seg","Ter","Qua","Qui","Sex","Sáb","Dom"))</f>
        <v>0</v>
      </c>
      <c r="M2376" s="27">
        <f>IF($E2376="","",IF($G2376&lt;&gt;"",$G2376,IFERROR(INDEX(ProcValor,MATCH($E2376,ProcNome,0)),0)))</f>
        <v>0</v>
      </c>
      <c r="N2376" s="27">
        <f>IF($M2376="","",IF($F2376="Compareceu",$M2376,0))</f>
        <v>0</v>
      </c>
      <c r="O2376" s="27">
        <f>IF($M2376="","",IF($F2376="Faltou",$M2376,0))</f>
        <v>0</v>
      </c>
      <c r="P2376" s="27">
        <f>IF($M2376="","",IF($F2376="Compareceu",MAX(0,$M2376-N($H2376)),0))</f>
        <v>0</v>
      </c>
      <c r="Q2376" s="19">
        <f>IF(AND($F2376="Compareceu",$E2376&lt;&gt;"",$A2376&lt;&gt;""),IF(IFERROR(INDEX(ProcRet,MATCH($E2376,ProcNome,0)),0)&gt;0,$A2376+INDEX(ProcRet,MATCH($E2376,ProcNome,0)),""),"")</f>
        <v>0</v>
      </c>
      <c r="R2376" s="26">
        <f>IF($Q2376="","",IF(COUNTIFS(AgPac,$D2376,AgData,"&gt;"&amp;$A2376,AgStatus,"&lt;&gt;Cancelado",AgStatus,"&lt;&gt;Remarcado")&gt;0,"Sim","Não"))</f>
        <v>0</v>
      </c>
      <c r="S2376" s="28">
        <f>IF($A2376="","",IF(AND($F2376="Agendado",$A2376-Hoje&gt;=0,$A2376-Hoje&lt;=DiasConf),"CONFIRMAR",IF(AND($A2376&lt;Hoje,OR($F2376="Agendado",$F2376="Confirmado")),"Atualizar status",IF(AND($F2376="Compareceu",$P2376&gt;0.005),"Cobrar",IF($F2376="Faltou","Falta: reagendar","")))))</f>
        <v>0</v>
      </c>
      <c r="T2376" s="29">
        <f>IF($A2376="","",DATE(YEAR($A2376),MONTH($A2376),1))</f>
        <v>0</v>
      </c>
      <c r="U2376" s="30">
        <f>IF($S2376="CONFIRMAR",MAX($U$4:$U2375)+1,"")</f>
        <v>0</v>
      </c>
      <c r="V2376" s="30">
        <f>IF(AND($R2376="Não",$Q2376&lt;&gt;"",$Q2376&lt;=Hoje+JanelaRet,$Q2376&gt;=Hoje-60),MAX($V$4:$V2375)+1,"")</f>
        <v>0</v>
      </c>
    </row>
    <row r="2377" spans="1:22">
      <c r="A2377" s="16"/>
      <c r="B2377" s="23"/>
      <c r="C2377" s="15"/>
      <c r="D2377" s="15"/>
      <c r="E2377" s="15"/>
      <c r="F2377" s="24"/>
      <c r="G2377" s="17"/>
      <c r="H2377" s="17"/>
      <c r="I2377" s="15"/>
      <c r="J2377" s="25">
        <f>IF($D2377="","",IFERROR(INDEX(PacNome,MATCH($D2377,PacCod,0)),"Paciente não cadastrado"))</f>
        <v>0</v>
      </c>
      <c r="K2377" s="26">
        <f>IF($D2377="","",IFERROR(INDEX(PacConv,MATCH($D2377,PacCod,0))&amp;"",""))</f>
        <v>0</v>
      </c>
      <c r="L2377" s="26">
        <f>IF($A2377="","",CHOOSE(WEEKDAY($A2377,2),"Seg","Ter","Qua","Qui","Sex","Sáb","Dom"))</f>
        <v>0</v>
      </c>
      <c r="M2377" s="27">
        <f>IF($E2377="","",IF($G2377&lt;&gt;"",$G2377,IFERROR(INDEX(ProcValor,MATCH($E2377,ProcNome,0)),0)))</f>
        <v>0</v>
      </c>
      <c r="N2377" s="27">
        <f>IF($M2377="","",IF($F2377="Compareceu",$M2377,0))</f>
        <v>0</v>
      </c>
      <c r="O2377" s="27">
        <f>IF($M2377="","",IF($F2377="Faltou",$M2377,0))</f>
        <v>0</v>
      </c>
      <c r="P2377" s="27">
        <f>IF($M2377="","",IF($F2377="Compareceu",MAX(0,$M2377-N($H2377)),0))</f>
        <v>0</v>
      </c>
      <c r="Q2377" s="19">
        <f>IF(AND($F2377="Compareceu",$E2377&lt;&gt;"",$A2377&lt;&gt;""),IF(IFERROR(INDEX(ProcRet,MATCH($E2377,ProcNome,0)),0)&gt;0,$A2377+INDEX(ProcRet,MATCH($E2377,ProcNome,0)),""),"")</f>
        <v>0</v>
      </c>
      <c r="R2377" s="26">
        <f>IF($Q2377="","",IF(COUNTIFS(AgPac,$D2377,AgData,"&gt;"&amp;$A2377,AgStatus,"&lt;&gt;Cancelado",AgStatus,"&lt;&gt;Remarcado")&gt;0,"Sim","Não"))</f>
        <v>0</v>
      </c>
      <c r="S2377" s="28">
        <f>IF($A2377="","",IF(AND($F2377="Agendado",$A2377-Hoje&gt;=0,$A2377-Hoje&lt;=DiasConf),"CONFIRMAR",IF(AND($A2377&lt;Hoje,OR($F2377="Agendado",$F2377="Confirmado")),"Atualizar status",IF(AND($F2377="Compareceu",$P2377&gt;0.005),"Cobrar",IF($F2377="Faltou","Falta: reagendar","")))))</f>
        <v>0</v>
      </c>
      <c r="T2377" s="29">
        <f>IF($A2377="","",DATE(YEAR($A2377),MONTH($A2377),1))</f>
        <v>0</v>
      </c>
      <c r="U2377" s="30">
        <f>IF($S2377="CONFIRMAR",MAX($U$4:$U2376)+1,"")</f>
        <v>0</v>
      </c>
      <c r="V2377" s="30">
        <f>IF(AND($R2377="Não",$Q2377&lt;&gt;"",$Q2377&lt;=Hoje+JanelaRet,$Q2377&gt;=Hoje-60),MAX($V$4:$V2376)+1,"")</f>
        <v>0</v>
      </c>
    </row>
    <row r="2378" spans="1:22">
      <c r="A2378" s="16"/>
      <c r="B2378" s="23"/>
      <c r="C2378" s="15"/>
      <c r="D2378" s="15"/>
      <c r="E2378" s="15"/>
      <c r="F2378" s="24"/>
      <c r="G2378" s="17"/>
      <c r="H2378" s="17"/>
      <c r="I2378" s="15"/>
      <c r="J2378" s="25">
        <f>IF($D2378="","",IFERROR(INDEX(PacNome,MATCH($D2378,PacCod,0)),"Paciente não cadastrado"))</f>
        <v>0</v>
      </c>
      <c r="K2378" s="26">
        <f>IF($D2378="","",IFERROR(INDEX(PacConv,MATCH($D2378,PacCod,0))&amp;"",""))</f>
        <v>0</v>
      </c>
      <c r="L2378" s="26">
        <f>IF($A2378="","",CHOOSE(WEEKDAY($A2378,2),"Seg","Ter","Qua","Qui","Sex","Sáb","Dom"))</f>
        <v>0</v>
      </c>
      <c r="M2378" s="27">
        <f>IF($E2378="","",IF($G2378&lt;&gt;"",$G2378,IFERROR(INDEX(ProcValor,MATCH($E2378,ProcNome,0)),0)))</f>
        <v>0</v>
      </c>
      <c r="N2378" s="27">
        <f>IF($M2378="","",IF($F2378="Compareceu",$M2378,0))</f>
        <v>0</v>
      </c>
      <c r="O2378" s="27">
        <f>IF($M2378="","",IF($F2378="Faltou",$M2378,0))</f>
        <v>0</v>
      </c>
      <c r="P2378" s="27">
        <f>IF($M2378="","",IF($F2378="Compareceu",MAX(0,$M2378-N($H2378)),0))</f>
        <v>0</v>
      </c>
      <c r="Q2378" s="19">
        <f>IF(AND($F2378="Compareceu",$E2378&lt;&gt;"",$A2378&lt;&gt;""),IF(IFERROR(INDEX(ProcRet,MATCH($E2378,ProcNome,0)),0)&gt;0,$A2378+INDEX(ProcRet,MATCH($E2378,ProcNome,0)),""),"")</f>
        <v>0</v>
      </c>
      <c r="R2378" s="26">
        <f>IF($Q2378="","",IF(COUNTIFS(AgPac,$D2378,AgData,"&gt;"&amp;$A2378,AgStatus,"&lt;&gt;Cancelado",AgStatus,"&lt;&gt;Remarcado")&gt;0,"Sim","Não"))</f>
        <v>0</v>
      </c>
      <c r="S2378" s="28">
        <f>IF($A2378="","",IF(AND($F2378="Agendado",$A2378-Hoje&gt;=0,$A2378-Hoje&lt;=DiasConf),"CONFIRMAR",IF(AND($A2378&lt;Hoje,OR($F2378="Agendado",$F2378="Confirmado")),"Atualizar status",IF(AND($F2378="Compareceu",$P2378&gt;0.005),"Cobrar",IF($F2378="Faltou","Falta: reagendar","")))))</f>
        <v>0</v>
      </c>
      <c r="T2378" s="29">
        <f>IF($A2378="","",DATE(YEAR($A2378),MONTH($A2378),1))</f>
        <v>0</v>
      </c>
      <c r="U2378" s="30">
        <f>IF($S2378="CONFIRMAR",MAX($U$4:$U2377)+1,"")</f>
        <v>0</v>
      </c>
      <c r="V2378" s="30">
        <f>IF(AND($R2378="Não",$Q2378&lt;&gt;"",$Q2378&lt;=Hoje+JanelaRet,$Q2378&gt;=Hoje-60),MAX($V$4:$V2377)+1,"")</f>
        <v>0</v>
      </c>
    </row>
    <row r="2379" spans="1:22">
      <c r="A2379" s="16"/>
      <c r="B2379" s="23"/>
      <c r="C2379" s="15"/>
      <c r="D2379" s="15"/>
      <c r="E2379" s="15"/>
      <c r="F2379" s="24"/>
      <c r="G2379" s="17"/>
      <c r="H2379" s="17"/>
      <c r="I2379" s="15"/>
      <c r="J2379" s="25">
        <f>IF($D2379="","",IFERROR(INDEX(PacNome,MATCH($D2379,PacCod,0)),"Paciente não cadastrado"))</f>
        <v>0</v>
      </c>
      <c r="K2379" s="26">
        <f>IF($D2379="","",IFERROR(INDEX(PacConv,MATCH($D2379,PacCod,0))&amp;"",""))</f>
        <v>0</v>
      </c>
      <c r="L2379" s="26">
        <f>IF($A2379="","",CHOOSE(WEEKDAY($A2379,2),"Seg","Ter","Qua","Qui","Sex","Sáb","Dom"))</f>
        <v>0</v>
      </c>
      <c r="M2379" s="27">
        <f>IF($E2379="","",IF($G2379&lt;&gt;"",$G2379,IFERROR(INDEX(ProcValor,MATCH($E2379,ProcNome,0)),0)))</f>
        <v>0</v>
      </c>
      <c r="N2379" s="27">
        <f>IF($M2379="","",IF($F2379="Compareceu",$M2379,0))</f>
        <v>0</v>
      </c>
      <c r="O2379" s="27">
        <f>IF($M2379="","",IF($F2379="Faltou",$M2379,0))</f>
        <v>0</v>
      </c>
      <c r="P2379" s="27">
        <f>IF($M2379="","",IF($F2379="Compareceu",MAX(0,$M2379-N($H2379)),0))</f>
        <v>0</v>
      </c>
      <c r="Q2379" s="19">
        <f>IF(AND($F2379="Compareceu",$E2379&lt;&gt;"",$A2379&lt;&gt;""),IF(IFERROR(INDEX(ProcRet,MATCH($E2379,ProcNome,0)),0)&gt;0,$A2379+INDEX(ProcRet,MATCH($E2379,ProcNome,0)),""),"")</f>
        <v>0</v>
      </c>
      <c r="R2379" s="26">
        <f>IF($Q2379="","",IF(COUNTIFS(AgPac,$D2379,AgData,"&gt;"&amp;$A2379,AgStatus,"&lt;&gt;Cancelado",AgStatus,"&lt;&gt;Remarcado")&gt;0,"Sim","Não"))</f>
        <v>0</v>
      </c>
      <c r="S2379" s="28">
        <f>IF($A2379="","",IF(AND($F2379="Agendado",$A2379-Hoje&gt;=0,$A2379-Hoje&lt;=DiasConf),"CONFIRMAR",IF(AND($A2379&lt;Hoje,OR($F2379="Agendado",$F2379="Confirmado")),"Atualizar status",IF(AND($F2379="Compareceu",$P2379&gt;0.005),"Cobrar",IF($F2379="Faltou","Falta: reagendar","")))))</f>
        <v>0</v>
      </c>
      <c r="T2379" s="29">
        <f>IF($A2379="","",DATE(YEAR($A2379),MONTH($A2379),1))</f>
        <v>0</v>
      </c>
      <c r="U2379" s="30">
        <f>IF($S2379="CONFIRMAR",MAX($U$4:$U2378)+1,"")</f>
        <v>0</v>
      </c>
      <c r="V2379" s="30">
        <f>IF(AND($R2379="Não",$Q2379&lt;&gt;"",$Q2379&lt;=Hoje+JanelaRet,$Q2379&gt;=Hoje-60),MAX($V$4:$V2378)+1,"")</f>
        <v>0</v>
      </c>
    </row>
    <row r="2380" spans="1:22">
      <c r="A2380" s="16"/>
      <c r="B2380" s="23"/>
      <c r="C2380" s="15"/>
      <c r="D2380" s="15"/>
      <c r="E2380" s="15"/>
      <c r="F2380" s="24"/>
      <c r="G2380" s="17"/>
      <c r="H2380" s="17"/>
      <c r="I2380" s="15"/>
      <c r="J2380" s="25">
        <f>IF($D2380="","",IFERROR(INDEX(PacNome,MATCH($D2380,PacCod,0)),"Paciente não cadastrado"))</f>
        <v>0</v>
      </c>
      <c r="K2380" s="26">
        <f>IF($D2380="","",IFERROR(INDEX(PacConv,MATCH($D2380,PacCod,0))&amp;"",""))</f>
        <v>0</v>
      </c>
      <c r="L2380" s="26">
        <f>IF($A2380="","",CHOOSE(WEEKDAY($A2380,2),"Seg","Ter","Qua","Qui","Sex","Sáb","Dom"))</f>
        <v>0</v>
      </c>
      <c r="M2380" s="27">
        <f>IF($E2380="","",IF($G2380&lt;&gt;"",$G2380,IFERROR(INDEX(ProcValor,MATCH($E2380,ProcNome,0)),0)))</f>
        <v>0</v>
      </c>
      <c r="N2380" s="27">
        <f>IF($M2380="","",IF($F2380="Compareceu",$M2380,0))</f>
        <v>0</v>
      </c>
      <c r="O2380" s="27">
        <f>IF($M2380="","",IF($F2380="Faltou",$M2380,0))</f>
        <v>0</v>
      </c>
      <c r="P2380" s="27">
        <f>IF($M2380="","",IF($F2380="Compareceu",MAX(0,$M2380-N($H2380)),0))</f>
        <v>0</v>
      </c>
      <c r="Q2380" s="19">
        <f>IF(AND($F2380="Compareceu",$E2380&lt;&gt;"",$A2380&lt;&gt;""),IF(IFERROR(INDEX(ProcRet,MATCH($E2380,ProcNome,0)),0)&gt;0,$A2380+INDEX(ProcRet,MATCH($E2380,ProcNome,0)),""),"")</f>
        <v>0</v>
      </c>
      <c r="R2380" s="26">
        <f>IF($Q2380="","",IF(COUNTIFS(AgPac,$D2380,AgData,"&gt;"&amp;$A2380,AgStatus,"&lt;&gt;Cancelado",AgStatus,"&lt;&gt;Remarcado")&gt;0,"Sim","Não"))</f>
        <v>0</v>
      </c>
      <c r="S2380" s="28">
        <f>IF($A2380="","",IF(AND($F2380="Agendado",$A2380-Hoje&gt;=0,$A2380-Hoje&lt;=DiasConf),"CONFIRMAR",IF(AND($A2380&lt;Hoje,OR($F2380="Agendado",$F2380="Confirmado")),"Atualizar status",IF(AND($F2380="Compareceu",$P2380&gt;0.005),"Cobrar",IF($F2380="Faltou","Falta: reagendar","")))))</f>
        <v>0</v>
      </c>
      <c r="T2380" s="29">
        <f>IF($A2380="","",DATE(YEAR($A2380),MONTH($A2380),1))</f>
        <v>0</v>
      </c>
      <c r="U2380" s="30">
        <f>IF($S2380="CONFIRMAR",MAX($U$4:$U2379)+1,"")</f>
        <v>0</v>
      </c>
      <c r="V2380" s="30">
        <f>IF(AND($R2380="Não",$Q2380&lt;&gt;"",$Q2380&lt;=Hoje+JanelaRet,$Q2380&gt;=Hoje-60),MAX($V$4:$V2379)+1,"")</f>
        <v>0</v>
      </c>
    </row>
    <row r="2381" spans="1:22">
      <c r="A2381" s="16"/>
      <c r="B2381" s="23"/>
      <c r="C2381" s="15"/>
      <c r="D2381" s="15"/>
      <c r="E2381" s="15"/>
      <c r="F2381" s="24"/>
      <c r="G2381" s="17"/>
      <c r="H2381" s="17"/>
      <c r="I2381" s="15"/>
      <c r="J2381" s="25">
        <f>IF($D2381="","",IFERROR(INDEX(PacNome,MATCH($D2381,PacCod,0)),"Paciente não cadastrado"))</f>
        <v>0</v>
      </c>
      <c r="K2381" s="26">
        <f>IF($D2381="","",IFERROR(INDEX(PacConv,MATCH($D2381,PacCod,0))&amp;"",""))</f>
        <v>0</v>
      </c>
      <c r="L2381" s="26">
        <f>IF($A2381="","",CHOOSE(WEEKDAY($A2381,2),"Seg","Ter","Qua","Qui","Sex","Sáb","Dom"))</f>
        <v>0</v>
      </c>
      <c r="M2381" s="27">
        <f>IF($E2381="","",IF($G2381&lt;&gt;"",$G2381,IFERROR(INDEX(ProcValor,MATCH($E2381,ProcNome,0)),0)))</f>
        <v>0</v>
      </c>
      <c r="N2381" s="27">
        <f>IF($M2381="","",IF($F2381="Compareceu",$M2381,0))</f>
        <v>0</v>
      </c>
      <c r="O2381" s="27">
        <f>IF($M2381="","",IF($F2381="Faltou",$M2381,0))</f>
        <v>0</v>
      </c>
      <c r="P2381" s="27">
        <f>IF($M2381="","",IF($F2381="Compareceu",MAX(0,$M2381-N($H2381)),0))</f>
        <v>0</v>
      </c>
      <c r="Q2381" s="19">
        <f>IF(AND($F2381="Compareceu",$E2381&lt;&gt;"",$A2381&lt;&gt;""),IF(IFERROR(INDEX(ProcRet,MATCH($E2381,ProcNome,0)),0)&gt;0,$A2381+INDEX(ProcRet,MATCH($E2381,ProcNome,0)),""),"")</f>
        <v>0</v>
      </c>
      <c r="R2381" s="26">
        <f>IF($Q2381="","",IF(COUNTIFS(AgPac,$D2381,AgData,"&gt;"&amp;$A2381,AgStatus,"&lt;&gt;Cancelado",AgStatus,"&lt;&gt;Remarcado")&gt;0,"Sim","Não"))</f>
        <v>0</v>
      </c>
      <c r="S2381" s="28">
        <f>IF($A2381="","",IF(AND($F2381="Agendado",$A2381-Hoje&gt;=0,$A2381-Hoje&lt;=DiasConf),"CONFIRMAR",IF(AND($A2381&lt;Hoje,OR($F2381="Agendado",$F2381="Confirmado")),"Atualizar status",IF(AND($F2381="Compareceu",$P2381&gt;0.005),"Cobrar",IF($F2381="Faltou","Falta: reagendar","")))))</f>
        <v>0</v>
      </c>
      <c r="T2381" s="29">
        <f>IF($A2381="","",DATE(YEAR($A2381),MONTH($A2381),1))</f>
        <v>0</v>
      </c>
      <c r="U2381" s="30">
        <f>IF($S2381="CONFIRMAR",MAX($U$4:$U2380)+1,"")</f>
        <v>0</v>
      </c>
      <c r="V2381" s="30">
        <f>IF(AND($R2381="Não",$Q2381&lt;&gt;"",$Q2381&lt;=Hoje+JanelaRet,$Q2381&gt;=Hoje-60),MAX($V$4:$V2380)+1,"")</f>
        <v>0</v>
      </c>
    </row>
    <row r="2382" spans="1:22">
      <c r="A2382" s="16"/>
      <c r="B2382" s="23"/>
      <c r="C2382" s="15"/>
      <c r="D2382" s="15"/>
      <c r="E2382" s="15"/>
      <c r="F2382" s="24"/>
      <c r="G2382" s="17"/>
      <c r="H2382" s="17"/>
      <c r="I2382" s="15"/>
      <c r="J2382" s="25">
        <f>IF($D2382="","",IFERROR(INDEX(PacNome,MATCH($D2382,PacCod,0)),"Paciente não cadastrado"))</f>
        <v>0</v>
      </c>
      <c r="K2382" s="26">
        <f>IF($D2382="","",IFERROR(INDEX(PacConv,MATCH($D2382,PacCod,0))&amp;"",""))</f>
        <v>0</v>
      </c>
      <c r="L2382" s="26">
        <f>IF($A2382="","",CHOOSE(WEEKDAY($A2382,2),"Seg","Ter","Qua","Qui","Sex","Sáb","Dom"))</f>
        <v>0</v>
      </c>
      <c r="M2382" s="27">
        <f>IF($E2382="","",IF($G2382&lt;&gt;"",$G2382,IFERROR(INDEX(ProcValor,MATCH($E2382,ProcNome,0)),0)))</f>
        <v>0</v>
      </c>
      <c r="N2382" s="27">
        <f>IF($M2382="","",IF($F2382="Compareceu",$M2382,0))</f>
        <v>0</v>
      </c>
      <c r="O2382" s="27">
        <f>IF($M2382="","",IF($F2382="Faltou",$M2382,0))</f>
        <v>0</v>
      </c>
      <c r="P2382" s="27">
        <f>IF($M2382="","",IF($F2382="Compareceu",MAX(0,$M2382-N($H2382)),0))</f>
        <v>0</v>
      </c>
      <c r="Q2382" s="19">
        <f>IF(AND($F2382="Compareceu",$E2382&lt;&gt;"",$A2382&lt;&gt;""),IF(IFERROR(INDEX(ProcRet,MATCH($E2382,ProcNome,0)),0)&gt;0,$A2382+INDEX(ProcRet,MATCH($E2382,ProcNome,0)),""),"")</f>
        <v>0</v>
      </c>
      <c r="R2382" s="26">
        <f>IF($Q2382="","",IF(COUNTIFS(AgPac,$D2382,AgData,"&gt;"&amp;$A2382,AgStatus,"&lt;&gt;Cancelado",AgStatus,"&lt;&gt;Remarcado")&gt;0,"Sim","Não"))</f>
        <v>0</v>
      </c>
      <c r="S2382" s="28">
        <f>IF($A2382="","",IF(AND($F2382="Agendado",$A2382-Hoje&gt;=0,$A2382-Hoje&lt;=DiasConf),"CONFIRMAR",IF(AND($A2382&lt;Hoje,OR($F2382="Agendado",$F2382="Confirmado")),"Atualizar status",IF(AND($F2382="Compareceu",$P2382&gt;0.005),"Cobrar",IF($F2382="Faltou","Falta: reagendar","")))))</f>
        <v>0</v>
      </c>
      <c r="T2382" s="29">
        <f>IF($A2382="","",DATE(YEAR($A2382),MONTH($A2382),1))</f>
        <v>0</v>
      </c>
      <c r="U2382" s="30">
        <f>IF($S2382="CONFIRMAR",MAX($U$4:$U2381)+1,"")</f>
        <v>0</v>
      </c>
      <c r="V2382" s="30">
        <f>IF(AND($R2382="Não",$Q2382&lt;&gt;"",$Q2382&lt;=Hoje+JanelaRet,$Q2382&gt;=Hoje-60),MAX($V$4:$V2381)+1,"")</f>
        <v>0</v>
      </c>
    </row>
    <row r="2383" spans="1:22">
      <c r="A2383" s="16"/>
      <c r="B2383" s="23"/>
      <c r="C2383" s="15"/>
      <c r="D2383" s="15"/>
      <c r="E2383" s="15"/>
      <c r="F2383" s="24"/>
      <c r="G2383" s="17"/>
      <c r="H2383" s="17"/>
      <c r="I2383" s="15"/>
      <c r="J2383" s="25">
        <f>IF($D2383="","",IFERROR(INDEX(PacNome,MATCH($D2383,PacCod,0)),"Paciente não cadastrado"))</f>
        <v>0</v>
      </c>
      <c r="K2383" s="26">
        <f>IF($D2383="","",IFERROR(INDEX(PacConv,MATCH($D2383,PacCod,0))&amp;"",""))</f>
        <v>0</v>
      </c>
      <c r="L2383" s="26">
        <f>IF($A2383="","",CHOOSE(WEEKDAY($A2383,2),"Seg","Ter","Qua","Qui","Sex","Sáb","Dom"))</f>
        <v>0</v>
      </c>
      <c r="M2383" s="27">
        <f>IF($E2383="","",IF($G2383&lt;&gt;"",$G2383,IFERROR(INDEX(ProcValor,MATCH($E2383,ProcNome,0)),0)))</f>
        <v>0</v>
      </c>
      <c r="N2383" s="27">
        <f>IF($M2383="","",IF($F2383="Compareceu",$M2383,0))</f>
        <v>0</v>
      </c>
      <c r="O2383" s="27">
        <f>IF($M2383="","",IF($F2383="Faltou",$M2383,0))</f>
        <v>0</v>
      </c>
      <c r="P2383" s="27">
        <f>IF($M2383="","",IF($F2383="Compareceu",MAX(0,$M2383-N($H2383)),0))</f>
        <v>0</v>
      </c>
      <c r="Q2383" s="19">
        <f>IF(AND($F2383="Compareceu",$E2383&lt;&gt;"",$A2383&lt;&gt;""),IF(IFERROR(INDEX(ProcRet,MATCH($E2383,ProcNome,0)),0)&gt;0,$A2383+INDEX(ProcRet,MATCH($E2383,ProcNome,0)),""),"")</f>
        <v>0</v>
      </c>
      <c r="R2383" s="26">
        <f>IF($Q2383="","",IF(COUNTIFS(AgPac,$D2383,AgData,"&gt;"&amp;$A2383,AgStatus,"&lt;&gt;Cancelado",AgStatus,"&lt;&gt;Remarcado")&gt;0,"Sim","Não"))</f>
        <v>0</v>
      </c>
      <c r="S2383" s="28">
        <f>IF($A2383="","",IF(AND($F2383="Agendado",$A2383-Hoje&gt;=0,$A2383-Hoje&lt;=DiasConf),"CONFIRMAR",IF(AND($A2383&lt;Hoje,OR($F2383="Agendado",$F2383="Confirmado")),"Atualizar status",IF(AND($F2383="Compareceu",$P2383&gt;0.005),"Cobrar",IF($F2383="Faltou","Falta: reagendar","")))))</f>
        <v>0</v>
      </c>
      <c r="T2383" s="29">
        <f>IF($A2383="","",DATE(YEAR($A2383),MONTH($A2383),1))</f>
        <v>0</v>
      </c>
      <c r="U2383" s="30">
        <f>IF($S2383="CONFIRMAR",MAX($U$4:$U2382)+1,"")</f>
        <v>0</v>
      </c>
      <c r="V2383" s="30">
        <f>IF(AND($R2383="Não",$Q2383&lt;&gt;"",$Q2383&lt;=Hoje+JanelaRet,$Q2383&gt;=Hoje-60),MAX($V$4:$V2382)+1,"")</f>
        <v>0</v>
      </c>
    </row>
    <row r="2384" spans="1:22">
      <c r="A2384" s="16"/>
      <c r="B2384" s="23"/>
      <c r="C2384" s="15"/>
      <c r="D2384" s="15"/>
      <c r="E2384" s="15"/>
      <c r="F2384" s="24"/>
      <c r="G2384" s="17"/>
      <c r="H2384" s="17"/>
      <c r="I2384" s="15"/>
      <c r="J2384" s="25">
        <f>IF($D2384="","",IFERROR(INDEX(PacNome,MATCH($D2384,PacCod,0)),"Paciente não cadastrado"))</f>
        <v>0</v>
      </c>
      <c r="K2384" s="26">
        <f>IF($D2384="","",IFERROR(INDEX(PacConv,MATCH($D2384,PacCod,0))&amp;"",""))</f>
        <v>0</v>
      </c>
      <c r="L2384" s="26">
        <f>IF($A2384="","",CHOOSE(WEEKDAY($A2384,2),"Seg","Ter","Qua","Qui","Sex","Sáb","Dom"))</f>
        <v>0</v>
      </c>
      <c r="M2384" s="27">
        <f>IF($E2384="","",IF($G2384&lt;&gt;"",$G2384,IFERROR(INDEX(ProcValor,MATCH($E2384,ProcNome,0)),0)))</f>
        <v>0</v>
      </c>
      <c r="N2384" s="27">
        <f>IF($M2384="","",IF($F2384="Compareceu",$M2384,0))</f>
        <v>0</v>
      </c>
      <c r="O2384" s="27">
        <f>IF($M2384="","",IF($F2384="Faltou",$M2384,0))</f>
        <v>0</v>
      </c>
      <c r="P2384" s="27">
        <f>IF($M2384="","",IF($F2384="Compareceu",MAX(0,$M2384-N($H2384)),0))</f>
        <v>0</v>
      </c>
      <c r="Q2384" s="19">
        <f>IF(AND($F2384="Compareceu",$E2384&lt;&gt;"",$A2384&lt;&gt;""),IF(IFERROR(INDEX(ProcRet,MATCH($E2384,ProcNome,0)),0)&gt;0,$A2384+INDEX(ProcRet,MATCH($E2384,ProcNome,0)),""),"")</f>
        <v>0</v>
      </c>
      <c r="R2384" s="26">
        <f>IF($Q2384="","",IF(COUNTIFS(AgPac,$D2384,AgData,"&gt;"&amp;$A2384,AgStatus,"&lt;&gt;Cancelado",AgStatus,"&lt;&gt;Remarcado")&gt;0,"Sim","Não"))</f>
        <v>0</v>
      </c>
      <c r="S2384" s="28">
        <f>IF($A2384="","",IF(AND($F2384="Agendado",$A2384-Hoje&gt;=0,$A2384-Hoje&lt;=DiasConf),"CONFIRMAR",IF(AND($A2384&lt;Hoje,OR($F2384="Agendado",$F2384="Confirmado")),"Atualizar status",IF(AND($F2384="Compareceu",$P2384&gt;0.005),"Cobrar",IF($F2384="Faltou","Falta: reagendar","")))))</f>
        <v>0</v>
      </c>
      <c r="T2384" s="29">
        <f>IF($A2384="","",DATE(YEAR($A2384),MONTH($A2384),1))</f>
        <v>0</v>
      </c>
      <c r="U2384" s="30">
        <f>IF($S2384="CONFIRMAR",MAX($U$4:$U2383)+1,"")</f>
        <v>0</v>
      </c>
      <c r="V2384" s="30">
        <f>IF(AND($R2384="Não",$Q2384&lt;&gt;"",$Q2384&lt;=Hoje+JanelaRet,$Q2384&gt;=Hoje-60),MAX($V$4:$V2383)+1,"")</f>
        <v>0</v>
      </c>
    </row>
    <row r="2385" spans="1:22">
      <c r="A2385" s="16"/>
      <c r="B2385" s="23"/>
      <c r="C2385" s="15"/>
      <c r="D2385" s="15"/>
      <c r="E2385" s="15"/>
      <c r="F2385" s="24"/>
      <c r="G2385" s="17"/>
      <c r="H2385" s="17"/>
      <c r="I2385" s="15"/>
      <c r="J2385" s="25">
        <f>IF($D2385="","",IFERROR(INDEX(PacNome,MATCH($D2385,PacCod,0)),"Paciente não cadastrado"))</f>
        <v>0</v>
      </c>
      <c r="K2385" s="26">
        <f>IF($D2385="","",IFERROR(INDEX(PacConv,MATCH($D2385,PacCod,0))&amp;"",""))</f>
        <v>0</v>
      </c>
      <c r="L2385" s="26">
        <f>IF($A2385="","",CHOOSE(WEEKDAY($A2385,2),"Seg","Ter","Qua","Qui","Sex","Sáb","Dom"))</f>
        <v>0</v>
      </c>
      <c r="M2385" s="27">
        <f>IF($E2385="","",IF($G2385&lt;&gt;"",$G2385,IFERROR(INDEX(ProcValor,MATCH($E2385,ProcNome,0)),0)))</f>
        <v>0</v>
      </c>
      <c r="N2385" s="27">
        <f>IF($M2385="","",IF($F2385="Compareceu",$M2385,0))</f>
        <v>0</v>
      </c>
      <c r="O2385" s="27">
        <f>IF($M2385="","",IF($F2385="Faltou",$M2385,0))</f>
        <v>0</v>
      </c>
      <c r="P2385" s="27">
        <f>IF($M2385="","",IF($F2385="Compareceu",MAX(0,$M2385-N($H2385)),0))</f>
        <v>0</v>
      </c>
      <c r="Q2385" s="19">
        <f>IF(AND($F2385="Compareceu",$E2385&lt;&gt;"",$A2385&lt;&gt;""),IF(IFERROR(INDEX(ProcRet,MATCH($E2385,ProcNome,0)),0)&gt;0,$A2385+INDEX(ProcRet,MATCH($E2385,ProcNome,0)),""),"")</f>
        <v>0</v>
      </c>
      <c r="R2385" s="26">
        <f>IF($Q2385="","",IF(COUNTIFS(AgPac,$D2385,AgData,"&gt;"&amp;$A2385,AgStatus,"&lt;&gt;Cancelado",AgStatus,"&lt;&gt;Remarcado")&gt;0,"Sim","Não"))</f>
        <v>0</v>
      </c>
      <c r="S2385" s="28">
        <f>IF($A2385="","",IF(AND($F2385="Agendado",$A2385-Hoje&gt;=0,$A2385-Hoje&lt;=DiasConf),"CONFIRMAR",IF(AND($A2385&lt;Hoje,OR($F2385="Agendado",$F2385="Confirmado")),"Atualizar status",IF(AND($F2385="Compareceu",$P2385&gt;0.005),"Cobrar",IF($F2385="Faltou","Falta: reagendar","")))))</f>
        <v>0</v>
      </c>
      <c r="T2385" s="29">
        <f>IF($A2385="","",DATE(YEAR($A2385),MONTH($A2385),1))</f>
        <v>0</v>
      </c>
      <c r="U2385" s="30">
        <f>IF($S2385="CONFIRMAR",MAX($U$4:$U2384)+1,"")</f>
        <v>0</v>
      </c>
      <c r="V2385" s="30">
        <f>IF(AND($R2385="Não",$Q2385&lt;&gt;"",$Q2385&lt;=Hoje+JanelaRet,$Q2385&gt;=Hoje-60),MAX($V$4:$V2384)+1,"")</f>
        <v>0</v>
      </c>
    </row>
    <row r="2386" spans="1:22">
      <c r="A2386" s="16"/>
      <c r="B2386" s="23"/>
      <c r="C2386" s="15"/>
      <c r="D2386" s="15"/>
      <c r="E2386" s="15"/>
      <c r="F2386" s="24"/>
      <c r="G2386" s="17"/>
      <c r="H2386" s="17"/>
      <c r="I2386" s="15"/>
      <c r="J2386" s="25">
        <f>IF($D2386="","",IFERROR(INDEX(PacNome,MATCH($D2386,PacCod,0)),"Paciente não cadastrado"))</f>
        <v>0</v>
      </c>
      <c r="K2386" s="26">
        <f>IF($D2386="","",IFERROR(INDEX(PacConv,MATCH($D2386,PacCod,0))&amp;"",""))</f>
        <v>0</v>
      </c>
      <c r="L2386" s="26">
        <f>IF($A2386="","",CHOOSE(WEEKDAY($A2386,2),"Seg","Ter","Qua","Qui","Sex","Sáb","Dom"))</f>
        <v>0</v>
      </c>
      <c r="M2386" s="27">
        <f>IF($E2386="","",IF($G2386&lt;&gt;"",$G2386,IFERROR(INDEX(ProcValor,MATCH($E2386,ProcNome,0)),0)))</f>
        <v>0</v>
      </c>
      <c r="N2386" s="27">
        <f>IF($M2386="","",IF($F2386="Compareceu",$M2386,0))</f>
        <v>0</v>
      </c>
      <c r="O2386" s="27">
        <f>IF($M2386="","",IF($F2386="Faltou",$M2386,0))</f>
        <v>0</v>
      </c>
      <c r="P2386" s="27">
        <f>IF($M2386="","",IF($F2386="Compareceu",MAX(0,$M2386-N($H2386)),0))</f>
        <v>0</v>
      </c>
      <c r="Q2386" s="19">
        <f>IF(AND($F2386="Compareceu",$E2386&lt;&gt;"",$A2386&lt;&gt;""),IF(IFERROR(INDEX(ProcRet,MATCH($E2386,ProcNome,0)),0)&gt;0,$A2386+INDEX(ProcRet,MATCH($E2386,ProcNome,0)),""),"")</f>
        <v>0</v>
      </c>
      <c r="R2386" s="26">
        <f>IF($Q2386="","",IF(COUNTIFS(AgPac,$D2386,AgData,"&gt;"&amp;$A2386,AgStatus,"&lt;&gt;Cancelado",AgStatus,"&lt;&gt;Remarcado")&gt;0,"Sim","Não"))</f>
        <v>0</v>
      </c>
      <c r="S2386" s="28">
        <f>IF($A2386="","",IF(AND($F2386="Agendado",$A2386-Hoje&gt;=0,$A2386-Hoje&lt;=DiasConf),"CONFIRMAR",IF(AND($A2386&lt;Hoje,OR($F2386="Agendado",$F2386="Confirmado")),"Atualizar status",IF(AND($F2386="Compareceu",$P2386&gt;0.005),"Cobrar",IF($F2386="Faltou","Falta: reagendar","")))))</f>
        <v>0</v>
      </c>
      <c r="T2386" s="29">
        <f>IF($A2386="","",DATE(YEAR($A2386),MONTH($A2386),1))</f>
        <v>0</v>
      </c>
      <c r="U2386" s="30">
        <f>IF($S2386="CONFIRMAR",MAX($U$4:$U2385)+1,"")</f>
        <v>0</v>
      </c>
      <c r="V2386" s="30">
        <f>IF(AND($R2386="Não",$Q2386&lt;&gt;"",$Q2386&lt;=Hoje+JanelaRet,$Q2386&gt;=Hoje-60),MAX($V$4:$V2385)+1,"")</f>
        <v>0</v>
      </c>
    </row>
    <row r="2387" spans="1:22">
      <c r="A2387" s="16"/>
      <c r="B2387" s="23"/>
      <c r="C2387" s="15"/>
      <c r="D2387" s="15"/>
      <c r="E2387" s="15"/>
      <c r="F2387" s="24"/>
      <c r="G2387" s="17"/>
      <c r="H2387" s="17"/>
      <c r="I2387" s="15"/>
      <c r="J2387" s="25">
        <f>IF($D2387="","",IFERROR(INDEX(PacNome,MATCH($D2387,PacCod,0)),"Paciente não cadastrado"))</f>
        <v>0</v>
      </c>
      <c r="K2387" s="26">
        <f>IF($D2387="","",IFERROR(INDEX(PacConv,MATCH($D2387,PacCod,0))&amp;"",""))</f>
        <v>0</v>
      </c>
      <c r="L2387" s="26">
        <f>IF($A2387="","",CHOOSE(WEEKDAY($A2387,2),"Seg","Ter","Qua","Qui","Sex","Sáb","Dom"))</f>
        <v>0</v>
      </c>
      <c r="M2387" s="27">
        <f>IF($E2387="","",IF($G2387&lt;&gt;"",$G2387,IFERROR(INDEX(ProcValor,MATCH($E2387,ProcNome,0)),0)))</f>
        <v>0</v>
      </c>
      <c r="N2387" s="27">
        <f>IF($M2387="","",IF($F2387="Compareceu",$M2387,0))</f>
        <v>0</v>
      </c>
      <c r="O2387" s="27">
        <f>IF($M2387="","",IF($F2387="Faltou",$M2387,0))</f>
        <v>0</v>
      </c>
      <c r="P2387" s="27">
        <f>IF($M2387="","",IF($F2387="Compareceu",MAX(0,$M2387-N($H2387)),0))</f>
        <v>0</v>
      </c>
      <c r="Q2387" s="19">
        <f>IF(AND($F2387="Compareceu",$E2387&lt;&gt;"",$A2387&lt;&gt;""),IF(IFERROR(INDEX(ProcRet,MATCH($E2387,ProcNome,0)),0)&gt;0,$A2387+INDEX(ProcRet,MATCH($E2387,ProcNome,0)),""),"")</f>
        <v>0</v>
      </c>
      <c r="R2387" s="26">
        <f>IF($Q2387="","",IF(COUNTIFS(AgPac,$D2387,AgData,"&gt;"&amp;$A2387,AgStatus,"&lt;&gt;Cancelado",AgStatus,"&lt;&gt;Remarcado")&gt;0,"Sim","Não"))</f>
        <v>0</v>
      </c>
      <c r="S2387" s="28">
        <f>IF($A2387="","",IF(AND($F2387="Agendado",$A2387-Hoje&gt;=0,$A2387-Hoje&lt;=DiasConf),"CONFIRMAR",IF(AND($A2387&lt;Hoje,OR($F2387="Agendado",$F2387="Confirmado")),"Atualizar status",IF(AND($F2387="Compareceu",$P2387&gt;0.005),"Cobrar",IF($F2387="Faltou","Falta: reagendar","")))))</f>
        <v>0</v>
      </c>
      <c r="T2387" s="29">
        <f>IF($A2387="","",DATE(YEAR($A2387),MONTH($A2387),1))</f>
        <v>0</v>
      </c>
      <c r="U2387" s="30">
        <f>IF($S2387="CONFIRMAR",MAX($U$4:$U2386)+1,"")</f>
        <v>0</v>
      </c>
      <c r="V2387" s="30">
        <f>IF(AND($R2387="Não",$Q2387&lt;&gt;"",$Q2387&lt;=Hoje+JanelaRet,$Q2387&gt;=Hoje-60),MAX($V$4:$V2386)+1,"")</f>
        <v>0</v>
      </c>
    </row>
    <row r="2388" spans="1:22">
      <c r="A2388" s="16"/>
      <c r="B2388" s="23"/>
      <c r="C2388" s="15"/>
      <c r="D2388" s="15"/>
      <c r="E2388" s="15"/>
      <c r="F2388" s="24"/>
      <c r="G2388" s="17"/>
      <c r="H2388" s="17"/>
      <c r="I2388" s="15"/>
      <c r="J2388" s="25">
        <f>IF($D2388="","",IFERROR(INDEX(PacNome,MATCH($D2388,PacCod,0)),"Paciente não cadastrado"))</f>
        <v>0</v>
      </c>
      <c r="K2388" s="26">
        <f>IF($D2388="","",IFERROR(INDEX(PacConv,MATCH($D2388,PacCod,0))&amp;"",""))</f>
        <v>0</v>
      </c>
      <c r="L2388" s="26">
        <f>IF($A2388="","",CHOOSE(WEEKDAY($A2388,2),"Seg","Ter","Qua","Qui","Sex","Sáb","Dom"))</f>
        <v>0</v>
      </c>
      <c r="M2388" s="27">
        <f>IF($E2388="","",IF($G2388&lt;&gt;"",$G2388,IFERROR(INDEX(ProcValor,MATCH($E2388,ProcNome,0)),0)))</f>
        <v>0</v>
      </c>
      <c r="N2388" s="27">
        <f>IF($M2388="","",IF($F2388="Compareceu",$M2388,0))</f>
        <v>0</v>
      </c>
      <c r="O2388" s="27">
        <f>IF($M2388="","",IF($F2388="Faltou",$M2388,0))</f>
        <v>0</v>
      </c>
      <c r="P2388" s="27">
        <f>IF($M2388="","",IF($F2388="Compareceu",MAX(0,$M2388-N($H2388)),0))</f>
        <v>0</v>
      </c>
      <c r="Q2388" s="19">
        <f>IF(AND($F2388="Compareceu",$E2388&lt;&gt;"",$A2388&lt;&gt;""),IF(IFERROR(INDEX(ProcRet,MATCH($E2388,ProcNome,0)),0)&gt;0,$A2388+INDEX(ProcRet,MATCH($E2388,ProcNome,0)),""),"")</f>
        <v>0</v>
      </c>
      <c r="R2388" s="26">
        <f>IF($Q2388="","",IF(COUNTIFS(AgPac,$D2388,AgData,"&gt;"&amp;$A2388,AgStatus,"&lt;&gt;Cancelado",AgStatus,"&lt;&gt;Remarcado")&gt;0,"Sim","Não"))</f>
        <v>0</v>
      </c>
      <c r="S2388" s="28">
        <f>IF($A2388="","",IF(AND($F2388="Agendado",$A2388-Hoje&gt;=0,$A2388-Hoje&lt;=DiasConf),"CONFIRMAR",IF(AND($A2388&lt;Hoje,OR($F2388="Agendado",$F2388="Confirmado")),"Atualizar status",IF(AND($F2388="Compareceu",$P2388&gt;0.005),"Cobrar",IF($F2388="Faltou","Falta: reagendar","")))))</f>
        <v>0</v>
      </c>
      <c r="T2388" s="29">
        <f>IF($A2388="","",DATE(YEAR($A2388),MONTH($A2388),1))</f>
        <v>0</v>
      </c>
      <c r="U2388" s="30">
        <f>IF($S2388="CONFIRMAR",MAX($U$4:$U2387)+1,"")</f>
        <v>0</v>
      </c>
      <c r="V2388" s="30">
        <f>IF(AND($R2388="Não",$Q2388&lt;&gt;"",$Q2388&lt;=Hoje+JanelaRet,$Q2388&gt;=Hoje-60),MAX($V$4:$V2387)+1,"")</f>
        <v>0</v>
      </c>
    </row>
    <row r="2389" spans="1:22">
      <c r="A2389" s="16"/>
      <c r="B2389" s="23"/>
      <c r="C2389" s="15"/>
      <c r="D2389" s="15"/>
      <c r="E2389" s="15"/>
      <c r="F2389" s="24"/>
      <c r="G2389" s="17"/>
      <c r="H2389" s="17"/>
      <c r="I2389" s="15"/>
      <c r="J2389" s="25">
        <f>IF($D2389="","",IFERROR(INDEX(PacNome,MATCH($D2389,PacCod,0)),"Paciente não cadastrado"))</f>
        <v>0</v>
      </c>
      <c r="K2389" s="26">
        <f>IF($D2389="","",IFERROR(INDEX(PacConv,MATCH($D2389,PacCod,0))&amp;"",""))</f>
        <v>0</v>
      </c>
      <c r="L2389" s="26">
        <f>IF($A2389="","",CHOOSE(WEEKDAY($A2389,2),"Seg","Ter","Qua","Qui","Sex","Sáb","Dom"))</f>
        <v>0</v>
      </c>
      <c r="M2389" s="27">
        <f>IF($E2389="","",IF($G2389&lt;&gt;"",$G2389,IFERROR(INDEX(ProcValor,MATCH($E2389,ProcNome,0)),0)))</f>
        <v>0</v>
      </c>
      <c r="N2389" s="27">
        <f>IF($M2389="","",IF($F2389="Compareceu",$M2389,0))</f>
        <v>0</v>
      </c>
      <c r="O2389" s="27">
        <f>IF($M2389="","",IF($F2389="Faltou",$M2389,0))</f>
        <v>0</v>
      </c>
      <c r="P2389" s="27">
        <f>IF($M2389="","",IF($F2389="Compareceu",MAX(0,$M2389-N($H2389)),0))</f>
        <v>0</v>
      </c>
      <c r="Q2389" s="19">
        <f>IF(AND($F2389="Compareceu",$E2389&lt;&gt;"",$A2389&lt;&gt;""),IF(IFERROR(INDEX(ProcRet,MATCH($E2389,ProcNome,0)),0)&gt;0,$A2389+INDEX(ProcRet,MATCH($E2389,ProcNome,0)),""),"")</f>
        <v>0</v>
      </c>
      <c r="R2389" s="26">
        <f>IF($Q2389="","",IF(COUNTIFS(AgPac,$D2389,AgData,"&gt;"&amp;$A2389,AgStatus,"&lt;&gt;Cancelado",AgStatus,"&lt;&gt;Remarcado")&gt;0,"Sim","Não"))</f>
        <v>0</v>
      </c>
      <c r="S2389" s="28">
        <f>IF($A2389="","",IF(AND($F2389="Agendado",$A2389-Hoje&gt;=0,$A2389-Hoje&lt;=DiasConf),"CONFIRMAR",IF(AND($A2389&lt;Hoje,OR($F2389="Agendado",$F2389="Confirmado")),"Atualizar status",IF(AND($F2389="Compareceu",$P2389&gt;0.005),"Cobrar",IF($F2389="Faltou","Falta: reagendar","")))))</f>
        <v>0</v>
      </c>
      <c r="T2389" s="29">
        <f>IF($A2389="","",DATE(YEAR($A2389),MONTH($A2389),1))</f>
        <v>0</v>
      </c>
      <c r="U2389" s="30">
        <f>IF($S2389="CONFIRMAR",MAX($U$4:$U2388)+1,"")</f>
        <v>0</v>
      </c>
      <c r="V2389" s="30">
        <f>IF(AND($R2389="Não",$Q2389&lt;&gt;"",$Q2389&lt;=Hoje+JanelaRet,$Q2389&gt;=Hoje-60),MAX($V$4:$V2388)+1,"")</f>
        <v>0</v>
      </c>
    </row>
    <row r="2390" spans="1:22">
      <c r="A2390" s="16"/>
      <c r="B2390" s="23"/>
      <c r="C2390" s="15"/>
      <c r="D2390" s="15"/>
      <c r="E2390" s="15"/>
      <c r="F2390" s="24"/>
      <c r="G2390" s="17"/>
      <c r="H2390" s="17"/>
      <c r="I2390" s="15"/>
      <c r="J2390" s="25">
        <f>IF($D2390="","",IFERROR(INDEX(PacNome,MATCH($D2390,PacCod,0)),"Paciente não cadastrado"))</f>
        <v>0</v>
      </c>
      <c r="K2390" s="26">
        <f>IF($D2390="","",IFERROR(INDEX(PacConv,MATCH($D2390,PacCod,0))&amp;"",""))</f>
        <v>0</v>
      </c>
      <c r="L2390" s="26">
        <f>IF($A2390="","",CHOOSE(WEEKDAY($A2390,2),"Seg","Ter","Qua","Qui","Sex","Sáb","Dom"))</f>
        <v>0</v>
      </c>
      <c r="M2390" s="27">
        <f>IF($E2390="","",IF($G2390&lt;&gt;"",$G2390,IFERROR(INDEX(ProcValor,MATCH($E2390,ProcNome,0)),0)))</f>
        <v>0</v>
      </c>
      <c r="N2390" s="27">
        <f>IF($M2390="","",IF($F2390="Compareceu",$M2390,0))</f>
        <v>0</v>
      </c>
      <c r="O2390" s="27">
        <f>IF($M2390="","",IF($F2390="Faltou",$M2390,0))</f>
        <v>0</v>
      </c>
      <c r="P2390" s="27">
        <f>IF($M2390="","",IF($F2390="Compareceu",MAX(0,$M2390-N($H2390)),0))</f>
        <v>0</v>
      </c>
      <c r="Q2390" s="19">
        <f>IF(AND($F2390="Compareceu",$E2390&lt;&gt;"",$A2390&lt;&gt;""),IF(IFERROR(INDEX(ProcRet,MATCH($E2390,ProcNome,0)),0)&gt;0,$A2390+INDEX(ProcRet,MATCH($E2390,ProcNome,0)),""),"")</f>
        <v>0</v>
      </c>
      <c r="R2390" s="26">
        <f>IF($Q2390="","",IF(COUNTIFS(AgPac,$D2390,AgData,"&gt;"&amp;$A2390,AgStatus,"&lt;&gt;Cancelado",AgStatus,"&lt;&gt;Remarcado")&gt;0,"Sim","Não"))</f>
        <v>0</v>
      </c>
      <c r="S2390" s="28">
        <f>IF($A2390="","",IF(AND($F2390="Agendado",$A2390-Hoje&gt;=0,$A2390-Hoje&lt;=DiasConf),"CONFIRMAR",IF(AND($A2390&lt;Hoje,OR($F2390="Agendado",$F2390="Confirmado")),"Atualizar status",IF(AND($F2390="Compareceu",$P2390&gt;0.005),"Cobrar",IF($F2390="Faltou","Falta: reagendar","")))))</f>
        <v>0</v>
      </c>
      <c r="T2390" s="29">
        <f>IF($A2390="","",DATE(YEAR($A2390),MONTH($A2390),1))</f>
        <v>0</v>
      </c>
      <c r="U2390" s="30">
        <f>IF($S2390="CONFIRMAR",MAX($U$4:$U2389)+1,"")</f>
        <v>0</v>
      </c>
      <c r="V2390" s="30">
        <f>IF(AND($R2390="Não",$Q2390&lt;&gt;"",$Q2390&lt;=Hoje+JanelaRet,$Q2390&gt;=Hoje-60),MAX($V$4:$V2389)+1,"")</f>
        <v>0</v>
      </c>
    </row>
    <row r="2391" spans="1:22">
      <c r="A2391" s="16"/>
      <c r="B2391" s="23"/>
      <c r="C2391" s="15"/>
      <c r="D2391" s="15"/>
      <c r="E2391" s="15"/>
      <c r="F2391" s="24"/>
      <c r="G2391" s="17"/>
      <c r="H2391" s="17"/>
      <c r="I2391" s="15"/>
      <c r="J2391" s="25">
        <f>IF($D2391="","",IFERROR(INDEX(PacNome,MATCH($D2391,PacCod,0)),"Paciente não cadastrado"))</f>
        <v>0</v>
      </c>
      <c r="K2391" s="26">
        <f>IF($D2391="","",IFERROR(INDEX(PacConv,MATCH($D2391,PacCod,0))&amp;"",""))</f>
        <v>0</v>
      </c>
      <c r="L2391" s="26">
        <f>IF($A2391="","",CHOOSE(WEEKDAY($A2391,2),"Seg","Ter","Qua","Qui","Sex","Sáb","Dom"))</f>
        <v>0</v>
      </c>
      <c r="M2391" s="27">
        <f>IF($E2391="","",IF($G2391&lt;&gt;"",$G2391,IFERROR(INDEX(ProcValor,MATCH($E2391,ProcNome,0)),0)))</f>
        <v>0</v>
      </c>
      <c r="N2391" s="27">
        <f>IF($M2391="","",IF($F2391="Compareceu",$M2391,0))</f>
        <v>0</v>
      </c>
      <c r="O2391" s="27">
        <f>IF($M2391="","",IF($F2391="Faltou",$M2391,0))</f>
        <v>0</v>
      </c>
      <c r="P2391" s="27">
        <f>IF($M2391="","",IF($F2391="Compareceu",MAX(0,$M2391-N($H2391)),0))</f>
        <v>0</v>
      </c>
      <c r="Q2391" s="19">
        <f>IF(AND($F2391="Compareceu",$E2391&lt;&gt;"",$A2391&lt;&gt;""),IF(IFERROR(INDEX(ProcRet,MATCH($E2391,ProcNome,0)),0)&gt;0,$A2391+INDEX(ProcRet,MATCH($E2391,ProcNome,0)),""),"")</f>
        <v>0</v>
      </c>
      <c r="R2391" s="26">
        <f>IF($Q2391="","",IF(COUNTIFS(AgPac,$D2391,AgData,"&gt;"&amp;$A2391,AgStatus,"&lt;&gt;Cancelado",AgStatus,"&lt;&gt;Remarcado")&gt;0,"Sim","Não"))</f>
        <v>0</v>
      </c>
      <c r="S2391" s="28">
        <f>IF($A2391="","",IF(AND($F2391="Agendado",$A2391-Hoje&gt;=0,$A2391-Hoje&lt;=DiasConf),"CONFIRMAR",IF(AND($A2391&lt;Hoje,OR($F2391="Agendado",$F2391="Confirmado")),"Atualizar status",IF(AND($F2391="Compareceu",$P2391&gt;0.005),"Cobrar",IF($F2391="Faltou","Falta: reagendar","")))))</f>
        <v>0</v>
      </c>
      <c r="T2391" s="29">
        <f>IF($A2391="","",DATE(YEAR($A2391),MONTH($A2391),1))</f>
        <v>0</v>
      </c>
      <c r="U2391" s="30">
        <f>IF($S2391="CONFIRMAR",MAX($U$4:$U2390)+1,"")</f>
        <v>0</v>
      </c>
      <c r="V2391" s="30">
        <f>IF(AND($R2391="Não",$Q2391&lt;&gt;"",$Q2391&lt;=Hoje+JanelaRet,$Q2391&gt;=Hoje-60),MAX($V$4:$V2390)+1,"")</f>
        <v>0</v>
      </c>
    </row>
    <row r="2392" spans="1:22">
      <c r="A2392" s="16"/>
      <c r="B2392" s="23"/>
      <c r="C2392" s="15"/>
      <c r="D2392" s="15"/>
      <c r="E2392" s="15"/>
      <c r="F2392" s="24"/>
      <c r="G2392" s="17"/>
      <c r="H2392" s="17"/>
      <c r="I2392" s="15"/>
      <c r="J2392" s="25">
        <f>IF($D2392="","",IFERROR(INDEX(PacNome,MATCH($D2392,PacCod,0)),"Paciente não cadastrado"))</f>
        <v>0</v>
      </c>
      <c r="K2392" s="26">
        <f>IF($D2392="","",IFERROR(INDEX(PacConv,MATCH($D2392,PacCod,0))&amp;"",""))</f>
        <v>0</v>
      </c>
      <c r="L2392" s="26">
        <f>IF($A2392="","",CHOOSE(WEEKDAY($A2392,2),"Seg","Ter","Qua","Qui","Sex","Sáb","Dom"))</f>
        <v>0</v>
      </c>
      <c r="M2392" s="27">
        <f>IF($E2392="","",IF($G2392&lt;&gt;"",$G2392,IFERROR(INDEX(ProcValor,MATCH($E2392,ProcNome,0)),0)))</f>
        <v>0</v>
      </c>
      <c r="N2392" s="27">
        <f>IF($M2392="","",IF($F2392="Compareceu",$M2392,0))</f>
        <v>0</v>
      </c>
      <c r="O2392" s="27">
        <f>IF($M2392="","",IF($F2392="Faltou",$M2392,0))</f>
        <v>0</v>
      </c>
      <c r="P2392" s="27">
        <f>IF($M2392="","",IF($F2392="Compareceu",MAX(0,$M2392-N($H2392)),0))</f>
        <v>0</v>
      </c>
      <c r="Q2392" s="19">
        <f>IF(AND($F2392="Compareceu",$E2392&lt;&gt;"",$A2392&lt;&gt;""),IF(IFERROR(INDEX(ProcRet,MATCH($E2392,ProcNome,0)),0)&gt;0,$A2392+INDEX(ProcRet,MATCH($E2392,ProcNome,0)),""),"")</f>
        <v>0</v>
      </c>
      <c r="R2392" s="26">
        <f>IF($Q2392="","",IF(COUNTIFS(AgPac,$D2392,AgData,"&gt;"&amp;$A2392,AgStatus,"&lt;&gt;Cancelado",AgStatus,"&lt;&gt;Remarcado")&gt;0,"Sim","Não"))</f>
        <v>0</v>
      </c>
      <c r="S2392" s="28">
        <f>IF($A2392="","",IF(AND($F2392="Agendado",$A2392-Hoje&gt;=0,$A2392-Hoje&lt;=DiasConf),"CONFIRMAR",IF(AND($A2392&lt;Hoje,OR($F2392="Agendado",$F2392="Confirmado")),"Atualizar status",IF(AND($F2392="Compareceu",$P2392&gt;0.005),"Cobrar",IF($F2392="Faltou","Falta: reagendar","")))))</f>
        <v>0</v>
      </c>
      <c r="T2392" s="29">
        <f>IF($A2392="","",DATE(YEAR($A2392),MONTH($A2392),1))</f>
        <v>0</v>
      </c>
      <c r="U2392" s="30">
        <f>IF($S2392="CONFIRMAR",MAX($U$4:$U2391)+1,"")</f>
        <v>0</v>
      </c>
      <c r="V2392" s="30">
        <f>IF(AND($R2392="Não",$Q2392&lt;&gt;"",$Q2392&lt;=Hoje+JanelaRet,$Q2392&gt;=Hoje-60),MAX($V$4:$V2391)+1,"")</f>
        <v>0</v>
      </c>
    </row>
    <row r="2393" spans="1:22">
      <c r="A2393" s="16"/>
      <c r="B2393" s="23"/>
      <c r="C2393" s="15"/>
      <c r="D2393" s="15"/>
      <c r="E2393" s="15"/>
      <c r="F2393" s="24"/>
      <c r="G2393" s="17"/>
      <c r="H2393" s="17"/>
      <c r="I2393" s="15"/>
      <c r="J2393" s="25">
        <f>IF($D2393="","",IFERROR(INDEX(PacNome,MATCH($D2393,PacCod,0)),"Paciente não cadastrado"))</f>
        <v>0</v>
      </c>
      <c r="K2393" s="26">
        <f>IF($D2393="","",IFERROR(INDEX(PacConv,MATCH($D2393,PacCod,0))&amp;"",""))</f>
        <v>0</v>
      </c>
      <c r="L2393" s="26">
        <f>IF($A2393="","",CHOOSE(WEEKDAY($A2393,2),"Seg","Ter","Qua","Qui","Sex","Sáb","Dom"))</f>
        <v>0</v>
      </c>
      <c r="M2393" s="27">
        <f>IF($E2393="","",IF($G2393&lt;&gt;"",$G2393,IFERROR(INDEX(ProcValor,MATCH($E2393,ProcNome,0)),0)))</f>
        <v>0</v>
      </c>
      <c r="N2393" s="27">
        <f>IF($M2393="","",IF($F2393="Compareceu",$M2393,0))</f>
        <v>0</v>
      </c>
      <c r="O2393" s="27">
        <f>IF($M2393="","",IF($F2393="Faltou",$M2393,0))</f>
        <v>0</v>
      </c>
      <c r="P2393" s="27">
        <f>IF($M2393="","",IF($F2393="Compareceu",MAX(0,$M2393-N($H2393)),0))</f>
        <v>0</v>
      </c>
      <c r="Q2393" s="19">
        <f>IF(AND($F2393="Compareceu",$E2393&lt;&gt;"",$A2393&lt;&gt;""),IF(IFERROR(INDEX(ProcRet,MATCH($E2393,ProcNome,0)),0)&gt;0,$A2393+INDEX(ProcRet,MATCH($E2393,ProcNome,0)),""),"")</f>
        <v>0</v>
      </c>
      <c r="R2393" s="26">
        <f>IF($Q2393="","",IF(COUNTIFS(AgPac,$D2393,AgData,"&gt;"&amp;$A2393,AgStatus,"&lt;&gt;Cancelado",AgStatus,"&lt;&gt;Remarcado")&gt;0,"Sim","Não"))</f>
        <v>0</v>
      </c>
      <c r="S2393" s="28">
        <f>IF($A2393="","",IF(AND($F2393="Agendado",$A2393-Hoje&gt;=0,$A2393-Hoje&lt;=DiasConf),"CONFIRMAR",IF(AND($A2393&lt;Hoje,OR($F2393="Agendado",$F2393="Confirmado")),"Atualizar status",IF(AND($F2393="Compareceu",$P2393&gt;0.005),"Cobrar",IF($F2393="Faltou","Falta: reagendar","")))))</f>
        <v>0</v>
      </c>
      <c r="T2393" s="29">
        <f>IF($A2393="","",DATE(YEAR($A2393),MONTH($A2393),1))</f>
        <v>0</v>
      </c>
      <c r="U2393" s="30">
        <f>IF($S2393="CONFIRMAR",MAX($U$4:$U2392)+1,"")</f>
        <v>0</v>
      </c>
      <c r="V2393" s="30">
        <f>IF(AND($R2393="Não",$Q2393&lt;&gt;"",$Q2393&lt;=Hoje+JanelaRet,$Q2393&gt;=Hoje-60),MAX($V$4:$V2392)+1,"")</f>
        <v>0</v>
      </c>
    </row>
    <row r="2394" spans="1:22">
      <c r="A2394" s="16"/>
      <c r="B2394" s="23"/>
      <c r="C2394" s="15"/>
      <c r="D2394" s="15"/>
      <c r="E2394" s="15"/>
      <c r="F2394" s="24"/>
      <c r="G2394" s="17"/>
      <c r="H2394" s="17"/>
      <c r="I2394" s="15"/>
      <c r="J2394" s="25">
        <f>IF($D2394="","",IFERROR(INDEX(PacNome,MATCH($D2394,PacCod,0)),"Paciente não cadastrado"))</f>
        <v>0</v>
      </c>
      <c r="K2394" s="26">
        <f>IF($D2394="","",IFERROR(INDEX(PacConv,MATCH($D2394,PacCod,0))&amp;"",""))</f>
        <v>0</v>
      </c>
      <c r="L2394" s="26">
        <f>IF($A2394="","",CHOOSE(WEEKDAY($A2394,2),"Seg","Ter","Qua","Qui","Sex","Sáb","Dom"))</f>
        <v>0</v>
      </c>
      <c r="M2394" s="27">
        <f>IF($E2394="","",IF($G2394&lt;&gt;"",$G2394,IFERROR(INDEX(ProcValor,MATCH($E2394,ProcNome,0)),0)))</f>
        <v>0</v>
      </c>
      <c r="N2394" s="27">
        <f>IF($M2394="","",IF($F2394="Compareceu",$M2394,0))</f>
        <v>0</v>
      </c>
      <c r="O2394" s="27">
        <f>IF($M2394="","",IF($F2394="Faltou",$M2394,0))</f>
        <v>0</v>
      </c>
      <c r="P2394" s="27">
        <f>IF($M2394="","",IF($F2394="Compareceu",MAX(0,$M2394-N($H2394)),0))</f>
        <v>0</v>
      </c>
      <c r="Q2394" s="19">
        <f>IF(AND($F2394="Compareceu",$E2394&lt;&gt;"",$A2394&lt;&gt;""),IF(IFERROR(INDEX(ProcRet,MATCH($E2394,ProcNome,0)),0)&gt;0,$A2394+INDEX(ProcRet,MATCH($E2394,ProcNome,0)),""),"")</f>
        <v>0</v>
      </c>
      <c r="R2394" s="26">
        <f>IF($Q2394="","",IF(COUNTIFS(AgPac,$D2394,AgData,"&gt;"&amp;$A2394,AgStatus,"&lt;&gt;Cancelado",AgStatus,"&lt;&gt;Remarcado")&gt;0,"Sim","Não"))</f>
        <v>0</v>
      </c>
      <c r="S2394" s="28">
        <f>IF($A2394="","",IF(AND($F2394="Agendado",$A2394-Hoje&gt;=0,$A2394-Hoje&lt;=DiasConf),"CONFIRMAR",IF(AND($A2394&lt;Hoje,OR($F2394="Agendado",$F2394="Confirmado")),"Atualizar status",IF(AND($F2394="Compareceu",$P2394&gt;0.005),"Cobrar",IF($F2394="Faltou","Falta: reagendar","")))))</f>
        <v>0</v>
      </c>
      <c r="T2394" s="29">
        <f>IF($A2394="","",DATE(YEAR($A2394),MONTH($A2394),1))</f>
        <v>0</v>
      </c>
      <c r="U2394" s="30">
        <f>IF($S2394="CONFIRMAR",MAX($U$4:$U2393)+1,"")</f>
        <v>0</v>
      </c>
      <c r="V2394" s="30">
        <f>IF(AND($R2394="Não",$Q2394&lt;&gt;"",$Q2394&lt;=Hoje+JanelaRet,$Q2394&gt;=Hoje-60),MAX($V$4:$V2393)+1,"")</f>
        <v>0</v>
      </c>
    </row>
    <row r="2395" spans="1:22">
      <c r="A2395" s="16"/>
      <c r="B2395" s="23"/>
      <c r="C2395" s="15"/>
      <c r="D2395" s="15"/>
      <c r="E2395" s="15"/>
      <c r="F2395" s="24"/>
      <c r="G2395" s="17"/>
      <c r="H2395" s="17"/>
      <c r="I2395" s="15"/>
      <c r="J2395" s="25">
        <f>IF($D2395="","",IFERROR(INDEX(PacNome,MATCH($D2395,PacCod,0)),"Paciente não cadastrado"))</f>
        <v>0</v>
      </c>
      <c r="K2395" s="26">
        <f>IF($D2395="","",IFERROR(INDEX(PacConv,MATCH($D2395,PacCod,0))&amp;"",""))</f>
        <v>0</v>
      </c>
      <c r="L2395" s="26">
        <f>IF($A2395="","",CHOOSE(WEEKDAY($A2395,2),"Seg","Ter","Qua","Qui","Sex","Sáb","Dom"))</f>
        <v>0</v>
      </c>
      <c r="M2395" s="27">
        <f>IF($E2395="","",IF($G2395&lt;&gt;"",$G2395,IFERROR(INDEX(ProcValor,MATCH($E2395,ProcNome,0)),0)))</f>
        <v>0</v>
      </c>
      <c r="N2395" s="27">
        <f>IF($M2395="","",IF($F2395="Compareceu",$M2395,0))</f>
        <v>0</v>
      </c>
      <c r="O2395" s="27">
        <f>IF($M2395="","",IF($F2395="Faltou",$M2395,0))</f>
        <v>0</v>
      </c>
      <c r="P2395" s="27">
        <f>IF($M2395="","",IF($F2395="Compareceu",MAX(0,$M2395-N($H2395)),0))</f>
        <v>0</v>
      </c>
      <c r="Q2395" s="19">
        <f>IF(AND($F2395="Compareceu",$E2395&lt;&gt;"",$A2395&lt;&gt;""),IF(IFERROR(INDEX(ProcRet,MATCH($E2395,ProcNome,0)),0)&gt;0,$A2395+INDEX(ProcRet,MATCH($E2395,ProcNome,0)),""),"")</f>
        <v>0</v>
      </c>
      <c r="R2395" s="26">
        <f>IF($Q2395="","",IF(COUNTIFS(AgPac,$D2395,AgData,"&gt;"&amp;$A2395,AgStatus,"&lt;&gt;Cancelado",AgStatus,"&lt;&gt;Remarcado")&gt;0,"Sim","Não"))</f>
        <v>0</v>
      </c>
      <c r="S2395" s="28">
        <f>IF($A2395="","",IF(AND($F2395="Agendado",$A2395-Hoje&gt;=0,$A2395-Hoje&lt;=DiasConf),"CONFIRMAR",IF(AND($A2395&lt;Hoje,OR($F2395="Agendado",$F2395="Confirmado")),"Atualizar status",IF(AND($F2395="Compareceu",$P2395&gt;0.005),"Cobrar",IF($F2395="Faltou","Falta: reagendar","")))))</f>
        <v>0</v>
      </c>
      <c r="T2395" s="29">
        <f>IF($A2395="","",DATE(YEAR($A2395),MONTH($A2395),1))</f>
        <v>0</v>
      </c>
      <c r="U2395" s="30">
        <f>IF($S2395="CONFIRMAR",MAX($U$4:$U2394)+1,"")</f>
        <v>0</v>
      </c>
      <c r="V2395" s="30">
        <f>IF(AND($R2395="Não",$Q2395&lt;&gt;"",$Q2395&lt;=Hoje+JanelaRet,$Q2395&gt;=Hoje-60),MAX($V$4:$V2394)+1,"")</f>
        <v>0</v>
      </c>
    </row>
    <row r="2396" spans="1:22">
      <c r="A2396" s="16"/>
      <c r="B2396" s="23"/>
      <c r="C2396" s="15"/>
      <c r="D2396" s="15"/>
      <c r="E2396" s="15"/>
      <c r="F2396" s="24"/>
      <c r="G2396" s="17"/>
      <c r="H2396" s="17"/>
      <c r="I2396" s="15"/>
      <c r="J2396" s="25">
        <f>IF($D2396="","",IFERROR(INDEX(PacNome,MATCH($D2396,PacCod,0)),"Paciente não cadastrado"))</f>
        <v>0</v>
      </c>
      <c r="K2396" s="26">
        <f>IF($D2396="","",IFERROR(INDEX(PacConv,MATCH($D2396,PacCod,0))&amp;"",""))</f>
        <v>0</v>
      </c>
      <c r="L2396" s="26">
        <f>IF($A2396="","",CHOOSE(WEEKDAY($A2396,2),"Seg","Ter","Qua","Qui","Sex","Sáb","Dom"))</f>
        <v>0</v>
      </c>
      <c r="M2396" s="27">
        <f>IF($E2396="","",IF($G2396&lt;&gt;"",$G2396,IFERROR(INDEX(ProcValor,MATCH($E2396,ProcNome,0)),0)))</f>
        <v>0</v>
      </c>
      <c r="N2396" s="27">
        <f>IF($M2396="","",IF($F2396="Compareceu",$M2396,0))</f>
        <v>0</v>
      </c>
      <c r="O2396" s="27">
        <f>IF($M2396="","",IF($F2396="Faltou",$M2396,0))</f>
        <v>0</v>
      </c>
      <c r="P2396" s="27">
        <f>IF($M2396="","",IF($F2396="Compareceu",MAX(0,$M2396-N($H2396)),0))</f>
        <v>0</v>
      </c>
      <c r="Q2396" s="19">
        <f>IF(AND($F2396="Compareceu",$E2396&lt;&gt;"",$A2396&lt;&gt;""),IF(IFERROR(INDEX(ProcRet,MATCH($E2396,ProcNome,0)),0)&gt;0,$A2396+INDEX(ProcRet,MATCH($E2396,ProcNome,0)),""),"")</f>
        <v>0</v>
      </c>
      <c r="R2396" s="26">
        <f>IF($Q2396="","",IF(COUNTIFS(AgPac,$D2396,AgData,"&gt;"&amp;$A2396,AgStatus,"&lt;&gt;Cancelado",AgStatus,"&lt;&gt;Remarcado")&gt;0,"Sim","Não"))</f>
        <v>0</v>
      </c>
      <c r="S2396" s="28">
        <f>IF($A2396="","",IF(AND($F2396="Agendado",$A2396-Hoje&gt;=0,$A2396-Hoje&lt;=DiasConf),"CONFIRMAR",IF(AND($A2396&lt;Hoje,OR($F2396="Agendado",$F2396="Confirmado")),"Atualizar status",IF(AND($F2396="Compareceu",$P2396&gt;0.005),"Cobrar",IF($F2396="Faltou","Falta: reagendar","")))))</f>
        <v>0</v>
      </c>
      <c r="T2396" s="29">
        <f>IF($A2396="","",DATE(YEAR($A2396),MONTH($A2396),1))</f>
        <v>0</v>
      </c>
      <c r="U2396" s="30">
        <f>IF($S2396="CONFIRMAR",MAX($U$4:$U2395)+1,"")</f>
        <v>0</v>
      </c>
      <c r="V2396" s="30">
        <f>IF(AND($R2396="Não",$Q2396&lt;&gt;"",$Q2396&lt;=Hoje+JanelaRet,$Q2396&gt;=Hoje-60),MAX($V$4:$V2395)+1,"")</f>
        <v>0</v>
      </c>
    </row>
    <row r="2397" spans="1:22">
      <c r="A2397" s="16"/>
      <c r="B2397" s="23"/>
      <c r="C2397" s="15"/>
      <c r="D2397" s="15"/>
      <c r="E2397" s="15"/>
      <c r="F2397" s="24"/>
      <c r="G2397" s="17"/>
      <c r="H2397" s="17"/>
      <c r="I2397" s="15"/>
      <c r="J2397" s="25">
        <f>IF($D2397="","",IFERROR(INDEX(PacNome,MATCH($D2397,PacCod,0)),"Paciente não cadastrado"))</f>
        <v>0</v>
      </c>
      <c r="K2397" s="26">
        <f>IF($D2397="","",IFERROR(INDEX(PacConv,MATCH($D2397,PacCod,0))&amp;"",""))</f>
        <v>0</v>
      </c>
      <c r="L2397" s="26">
        <f>IF($A2397="","",CHOOSE(WEEKDAY($A2397,2),"Seg","Ter","Qua","Qui","Sex","Sáb","Dom"))</f>
        <v>0</v>
      </c>
      <c r="M2397" s="27">
        <f>IF($E2397="","",IF($G2397&lt;&gt;"",$G2397,IFERROR(INDEX(ProcValor,MATCH($E2397,ProcNome,0)),0)))</f>
        <v>0</v>
      </c>
      <c r="N2397" s="27">
        <f>IF($M2397="","",IF($F2397="Compareceu",$M2397,0))</f>
        <v>0</v>
      </c>
      <c r="O2397" s="27">
        <f>IF($M2397="","",IF($F2397="Faltou",$M2397,0))</f>
        <v>0</v>
      </c>
      <c r="P2397" s="27">
        <f>IF($M2397="","",IF($F2397="Compareceu",MAX(0,$M2397-N($H2397)),0))</f>
        <v>0</v>
      </c>
      <c r="Q2397" s="19">
        <f>IF(AND($F2397="Compareceu",$E2397&lt;&gt;"",$A2397&lt;&gt;""),IF(IFERROR(INDEX(ProcRet,MATCH($E2397,ProcNome,0)),0)&gt;0,$A2397+INDEX(ProcRet,MATCH($E2397,ProcNome,0)),""),"")</f>
        <v>0</v>
      </c>
      <c r="R2397" s="26">
        <f>IF($Q2397="","",IF(COUNTIFS(AgPac,$D2397,AgData,"&gt;"&amp;$A2397,AgStatus,"&lt;&gt;Cancelado",AgStatus,"&lt;&gt;Remarcado")&gt;0,"Sim","Não"))</f>
        <v>0</v>
      </c>
      <c r="S2397" s="28">
        <f>IF($A2397="","",IF(AND($F2397="Agendado",$A2397-Hoje&gt;=0,$A2397-Hoje&lt;=DiasConf),"CONFIRMAR",IF(AND($A2397&lt;Hoje,OR($F2397="Agendado",$F2397="Confirmado")),"Atualizar status",IF(AND($F2397="Compareceu",$P2397&gt;0.005),"Cobrar",IF($F2397="Faltou","Falta: reagendar","")))))</f>
        <v>0</v>
      </c>
      <c r="T2397" s="29">
        <f>IF($A2397="","",DATE(YEAR($A2397),MONTH($A2397),1))</f>
        <v>0</v>
      </c>
      <c r="U2397" s="30">
        <f>IF($S2397="CONFIRMAR",MAX($U$4:$U2396)+1,"")</f>
        <v>0</v>
      </c>
      <c r="V2397" s="30">
        <f>IF(AND($R2397="Não",$Q2397&lt;&gt;"",$Q2397&lt;=Hoje+JanelaRet,$Q2397&gt;=Hoje-60),MAX($V$4:$V2396)+1,"")</f>
        <v>0</v>
      </c>
    </row>
    <row r="2398" spans="1:22">
      <c r="A2398" s="16"/>
      <c r="B2398" s="23"/>
      <c r="C2398" s="15"/>
      <c r="D2398" s="15"/>
      <c r="E2398" s="15"/>
      <c r="F2398" s="24"/>
      <c r="G2398" s="17"/>
      <c r="H2398" s="17"/>
      <c r="I2398" s="15"/>
      <c r="J2398" s="25">
        <f>IF($D2398="","",IFERROR(INDEX(PacNome,MATCH($D2398,PacCod,0)),"Paciente não cadastrado"))</f>
        <v>0</v>
      </c>
      <c r="K2398" s="26">
        <f>IF($D2398="","",IFERROR(INDEX(PacConv,MATCH($D2398,PacCod,0))&amp;"",""))</f>
        <v>0</v>
      </c>
      <c r="L2398" s="26">
        <f>IF($A2398="","",CHOOSE(WEEKDAY($A2398,2),"Seg","Ter","Qua","Qui","Sex","Sáb","Dom"))</f>
        <v>0</v>
      </c>
      <c r="M2398" s="27">
        <f>IF($E2398="","",IF($G2398&lt;&gt;"",$G2398,IFERROR(INDEX(ProcValor,MATCH($E2398,ProcNome,0)),0)))</f>
        <v>0</v>
      </c>
      <c r="N2398" s="27">
        <f>IF($M2398="","",IF($F2398="Compareceu",$M2398,0))</f>
        <v>0</v>
      </c>
      <c r="O2398" s="27">
        <f>IF($M2398="","",IF($F2398="Faltou",$M2398,0))</f>
        <v>0</v>
      </c>
      <c r="P2398" s="27">
        <f>IF($M2398="","",IF($F2398="Compareceu",MAX(0,$M2398-N($H2398)),0))</f>
        <v>0</v>
      </c>
      <c r="Q2398" s="19">
        <f>IF(AND($F2398="Compareceu",$E2398&lt;&gt;"",$A2398&lt;&gt;""),IF(IFERROR(INDEX(ProcRet,MATCH($E2398,ProcNome,0)),0)&gt;0,$A2398+INDEX(ProcRet,MATCH($E2398,ProcNome,0)),""),"")</f>
        <v>0</v>
      </c>
      <c r="R2398" s="26">
        <f>IF($Q2398="","",IF(COUNTIFS(AgPac,$D2398,AgData,"&gt;"&amp;$A2398,AgStatus,"&lt;&gt;Cancelado",AgStatus,"&lt;&gt;Remarcado")&gt;0,"Sim","Não"))</f>
        <v>0</v>
      </c>
      <c r="S2398" s="28">
        <f>IF($A2398="","",IF(AND($F2398="Agendado",$A2398-Hoje&gt;=0,$A2398-Hoje&lt;=DiasConf),"CONFIRMAR",IF(AND($A2398&lt;Hoje,OR($F2398="Agendado",$F2398="Confirmado")),"Atualizar status",IF(AND($F2398="Compareceu",$P2398&gt;0.005),"Cobrar",IF($F2398="Faltou","Falta: reagendar","")))))</f>
        <v>0</v>
      </c>
      <c r="T2398" s="29">
        <f>IF($A2398="","",DATE(YEAR($A2398),MONTH($A2398),1))</f>
        <v>0</v>
      </c>
      <c r="U2398" s="30">
        <f>IF($S2398="CONFIRMAR",MAX($U$4:$U2397)+1,"")</f>
        <v>0</v>
      </c>
      <c r="V2398" s="30">
        <f>IF(AND($R2398="Não",$Q2398&lt;&gt;"",$Q2398&lt;=Hoje+JanelaRet,$Q2398&gt;=Hoje-60),MAX($V$4:$V2397)+1,"")</f>
        <v>0</v>
      </c>
    </row>
    <row r="2399" spans="1:22">
      <c r="A2399" s="16"/>
      <c r="B2399" s="23"/>
      <c r="C2399" s="15"/>
      <c r="D2399" s="15"/>
      <c r="E2399" s="15"/>
      <c r="F2399" s="24"/>
      <c r="G2399" s="17"/>
      <c r="H2399" s="17"/>
      <c r="I2399" s="15"/>
      <c r="J2399" s="25">
        <f>IF($D2399="","",IFERROR(INDEX(PacNome,MATCH($D2399,PacCod,0)),"Paciente não cadastrado"))</f>
        <v>0</v>
      </c>
      <c r="K2399" s="26">
        <f>IF($D2399="","",IFERROR(INDEX(PacConv,MATCH($D2399,PacCod,0))&amp;"",""))</f>
        <v>0</v>
      </c>
      <c r="L2399" s="26">
        <f>IF($A2399="","",CHOOSE(WEEKDAY($A2399,2),"Seg","Ter","Qua","Qui","Sex","Sáb","Dom"))</f>
        <v>0</v>
      </c>
      <c r="M2399" s="27">
        <f>IF($E2399="","",IF($G2399&lt;&gt;"",$G2399,IFERROR(INDEX(ProcValor,MATCH($E2399,ProcNome,0)),0)))</f>
        <v>0</v>
      </c>
      <c r="N2399" s="27">
        <f>IF($M2399="","",IF($F2399="Compareceu",$M2399,0))</f>
        <v>0</v>
      </c>
      <c r="O2399" s="27">
        <f>IF($M2399="","",IF($F2399="Faltou",$M2399,0))</f>
        <v>0</v>
      </c>
      <c r="P2399" s="27">
        <f>IF($M2399="","",IF($F2399="Compareceu",MAX(0,$M2399-N($H2399)),0))</f>
        <v>0</v>
      </c>
      <c r="Q2399" s="19">
        <f>IF(AND($F2399="Compareceu",$E2399&lt;&gt;"",$A2399&lt;&gt;""),IF(IFERROR(INDEX(ProcRet,MATCH($E2399,ProcNome,0)),0)&gt;0,$A2399+INDEX(ProcRet,MATCH($E2399,ProcNome,0)),""),"")</f>
        <v>0</v>
      </c>
      <c r="R2399" s="26">
        <f>IF($Q2399="","",IF(COUNTIFS(AgPac,$D2399,AgData,"&gt;"&amp;$A2399,AgStatus,"&lt;&gt;Cancelado",AgStatus,"&lt;&gt;Remarcado")&gt;0,"Sim","Não"))</f>
        <v>0</v>
      </c>
      <c r="S2399" s="28">
        <f>IF($A2399="","",IF(AND($F2399="Agendado",$A2399-Hoje&gt;=0,$A2399-Hoje&lt;=DiasConf),"CONFIRMAR",IF(AND($A2399&lt;Hoje,OR($F2399="Agendado",$F2399="Confirmado")),"Atualizar status",IF(AND($F2399="Compareceu",$P2399&gt;0.005),"Cobrar",IF($F2399="Faltou","Falta: reagendar","")))))</f>
        <v>0</v>
      </c>
      <c r="T2399" s="29">
        <f>IF($A2399="","",DATE(YEAR($A2399),MONTH($A2399),1))</f>
        <v>0</v>
      </c>
      <c r="U2399" s="30">
        <f>IF($S2399="CONFIRMAR",MAX($U$4:$U2398)+1,"")</f>
        <v>0</v>
      </c>
      <c r="V2399" s="30">
        <f>IF(AND($R2399="Não",$Q2399&lt;&gt;"",$Q2399&lt;=Hoje+JanelaRet,$Q2399&gt;=Hoje-60),MAX($V$4:$V2398)+1,"")</f>
        <v>0</v>
      </c>
    </row>
    <row r="2400" spans="1:22">
      <c r="A2400" s="16"/>
      <c r="B2400" s="23"/>
      <c r="C2400" s="15"/>
      <c r="D2400" s="15"/>
      <c r="E2400" s="15"/>
      <c r="F2400" s="24"/>
      <c r="G2400" s="17"/>
      <c r="H2400" s="17"/>
      <c r="I2400" s="15"/>
      <c r="J2400" s="25">
        <f>IF($D2400="","",IFERROR(INDEX(PacNome,MATCH($D2400,PacCod,0)),"Paciente não cadastrado"))</f>
        <v>0</v>
      </c>
      <c r="K2400" s="26">
        <f>IF($D2400="","",IFERROR(INDEX(PacConv,MATCH($D2400,PacCod,0))&amp;"",""))</f>
        <v>0</v>
      </c>
      <c r="L2400" s="26">
        <f>IF($A2400="","",CHOOSE(WEEKDAY($A2400,2),"Seg","Ter","Qua","Qui","Sex","Sáb","Dom"))</f>
        <v>0</v>
      </c>
      <c r="M2400" s="27">
        <f>IF($E2400="","",IF($G2400&lt;&gt;"",$G2400,IFERROR(INDEX(ProcValor,MATCH($E2400,ProcNome,0)),0)))</f>
        <v>0</v>
      </c>
      <c r="N2400" s="27">
        <f>IF($M2400="","",IF($F2400="Compareceu",$M2400,0))</f>
        <v>0</v>
      </c>
      <c r="O2400" s="27">
        <f>IF($M2400="","",IF($F2400="Faltou",$M2400,0))</f>
        <v>0</v>
      </c>
      <c r="P2400" s="27">
        <f>IF($M2400="","",IF($F2400="Compareceu",MAX(0,$M2400-N($H2400)),0))</f>
        <v>0</v>
      </c>
      <c r="Q2400" s="19">
        <f>IF(AND($F2400="Compareceu",$E2400&lt;&gt;"",$A2400&lt;&gt;""),IF(IFERROR(INDEX(ProcRet,MATCH($E2400,ProcNome,0)),0)&gt;0,$A2400+INDEX(ProcRet,MATCH($E2400,ProcNome,0)),""),"")</f>
        <v>0</v>
      </c>
      <c r="R2400" s="26">
        <f>IF($Q2400="","",IF(COUNTIFS(AgPac,$D2400,AgData,"&gt;"&amp;$A2400,AgStatus,"&lt;&gt;Cancelado",AgStatus,"&lt;&gt;Remarcado")&gt;0,"Sim","Não"))</f>
        <v>0</v>
      </c>
      <c r="S2400" s="28">
        <f>IF($A2400="","",IF(AND($F2400="Agendado",$A2400-Hoje&gt;=0,$A2400-Hoje&lt;=DiasConf),"CONFIRMAR",IF(AND($A2400&lt;Hoje,OR($F2400="Agendado",$F2400="Confirmado")),"Atualizar status",IF(AND($F2400="Compareceu",$P2400&gt;0.005),"Cobrar",IF($F2400="Faltou","Falta: reagendar","")))))</f>
        <v>0</v>
      </c>
      <c r="T2400" s="29">
        <f>IF($A2400="","",DATE(YEAR($A2400),MONTH($A2400),1))</f>
        <v>0</v>
      </c>
      <c r="U2400" s="30">
        <f>IF($S2400="CONFIRMAR",MAX($U$4:$U2399)+1,"")</f>
        <v>0</v>
      </c>
      <c r="V2400" s="30">
        <f>IF(AND($R2400="Não",$Q2400&lt;&gt;"",$Q2400&lt;=Hoje+JanelaRet,$Q2400&gt;=Hoje-60),MAX($V$4:$V2399)+1,"")</f>
        <v>0</v>
      </c>
    </row>
    <row r="2401" spans="1:22">
      <c r="A2401" s="16"/>
      <c r="B2401" s="23"/>
      <c r="C2401" s="15"/>
      <c r="D2401" s="15"/>
      <c r="E2401" s="15"/>
      <c r="F2401" s="24"/>
      <c r="G2401" s="17"/>
      <c r="H2401" s="17"/>
      <c r="I2401" s="15"/>
      <c r="J2401" s="25">
        <f>IF($D2401="","",IFERROR(INDEX(PacNome,MATCH($D2401,PacCod,0)),"Paciente não cadastrado"))</f>
        <v>0</v>
      </c>
      <c r="K2401" s="26">
        <f>IF($D2401="","",IFERROR(INDEX(PacConv,MATCH($D2401,PacCod,0))&amp;"",""))</f>
        <v>0</v>
      </c>
      <c r="L2401" s="26">
        <f>IF($A2401="","",CHOOSE(WEEKDAY($A2401,2),"Seg","Ter","Qua","Qui","Sex","Sáb","Dom"))</f>
        <v>0</v>
      </c>
      <c r="M2401" s="27">
        <f>IF($E2401="","",IF($G2401&lt;&gt;"",$G2401,IFERROR(INDEX(ProcValor,MATCH($E2401,ProcNome,0)),0)))</f>
        <v>0</v>
      </c>
      <c r="N2401" s="27">
        <f>IF($M2401="","",IF($F2401="Compareceu",$M2401,0))</f>
        <v>0</v>
      </c>
      <c r="O2401" s="27">
        <f>IF($M2401="","",IF($F2401="Faltou",$M2401,0))</f>
        <v>0</v>
      </c>
      <c r="P2401" s="27">
        <f>IF($M2401="","",IF($F2401="Compareceu",MAX(0,$M2401-N($H2401)),0))</f>
        <v>0</v>
      </c>
      <c r="Q2401" s="19">
        <f>IF(AND($F2401="Compareceu",$E2401&lt;&gt;"",$A2401&lt;&gt;""),IF(IFERROR(INDEX(ProcRet,MATCH($E2401,ProcNome,0)),0)&gt;0,$A2401+INDEX(ProcRet,MATCH($E2401,ProcNome,0)),""),"")</f>
        <v>0</v>
      </c>
      <c r="R2401" s="26">
        <f>IF($Q2401="","",IF(COUNTIFS(AgPac,$D2401,AgData,"&gt;"&amp;$A2401,AgStatus,"&lt;&gt;Cancelado",AgStatus,"&lt;&gt;Remarcado")&gt;0,"Sim","Não"))</f>
        <v>0</v>
      </c>
      <c r="S2401" s="28">
        <f>IF($A2401="","",IF(AND($F2401="Agendado",$A2401-Hoje&gt;=0,$A2401-Hoje&lt;=DiasConf),"CONFIRMAR",IF(AND($A2401&lt;Hoje,OR($F2401="Agendado",$F2401="Confirmado")),"Atualizar status",IF(AND($F2401="Compareceu",$P2401&gt;0.005),"Cobrar",IF($F2401="Faltou","Falta: reagendar","")))))</f>
        <v>0</v>
      </c>
      <c r="T2401" s="29">
        <f>IF($A2401="","",DATE(YEAR($A2401),MONTH($A2401),1))</f>
        <v>0</v>
      </c>
      <c r="U2401" s="30">
        <f>IF($S2401="CONFIRMAR",MAX($U$4:$U2400)+1,"")</f>
        <v>0</v>
      </c>
      <c r="V2401" s="30">
        <f>IF(AND($R2401="Não",$Q2401&lt;&gt;"",$Q2401&lt;=Hoje+JanelaRet,$Q2401&gt;=Hoje-60),MAX($V$4:$V2400)+1,"")</f>
        <v>0</v>
      </c>
    </row>
    <row r="2402" spans="1:22">
      <c r="A2402" s="16"/>
      <c r="B2402" s="23"/>
      <c r="C2402" s="15"/>
      <c r="D2402" s="15"/>
      <c r="E2402" s="15"/>
      <c r="F2402" s="24"/>
      <c r="G2402" s="17"/>
      <c r="H2402" s="17"/>
      <c r="I2402" s="15"/>
      <c r="J2402" s="25">
        <f>IF($D2402="","",IFERROR(INDEX(PacNome,MATCH($D2402,PacCod,0)),"Paciente não cadastrado"))</f>
        <v>0</v>
      </c>
      <c r="K2402" s="26">
        <f>IF($D2402="","",IFERROR(INDEX(PacConv,MATCH($D2402,PacCod,0))&amp;"",""))</f>
        <v>0</v>
      </c>
      <c r="L2402" s="26">
        <f>IF($A2402="","",CHOOSE(WEEKDAY($A2402,2),"Seg","Ter","Qua","Qui","Sex","Sáb","Dom"))</f>
        <v>0</v>
      </c>
      <c r="M2402" s="27">
        <f>IF($E2402="","",IF($G2402&lt;&gt;"",$G2402,IFERROR(INDEX(ProcValor,MATCH($E2402,ProcNome,0)),0)))</f>
        <v>0</v>
      </c>
      <c r="N2402" s="27">
        <f>IF($M2402="","",IF($F2402="Compareceu",$M2402,0))</f>
        <v>0</v>
      </c>
      <c r="O2402" s="27">
        <f>IF($M2402="","",IF($F2402="Faltou",$M2402,0))</f>
        <v>0</v>
      </c>
      <c r="P2402" s="27">
        <f>IF($M2402="","",IF($F2402="Compareceu",MAX(0,$M2402-N($H2402)),0))</f>
        <v>0</v>
      </c>
      <c r="Q2402" s="19">
        <f>IF(AND($F2402="Compareceu",$E2402&lt;&gt;"",$A2402&lt;&gt;""),IF(IFERROR(INDEX(ProcRet,MATCH($E2402,ProcNome,0)),0)&gt;0,$A2402+INDEX(ProcRet,MATCH($E2402,ProcNome,0)),""),"")</f>
        <v>0</v>
      </c>
      <c r="R2402" s="26">
        <f>IF($Q2402="","",IF(COUNTIFS(AgPac,$D2402,AgData,"&gt;"&amp;$A2402,AgStatus,"&lt;&gt;Cancelado",AgStatus,"&lt;&gt;Remarcado")&gt;0,"Sim","Não"))</f>
        <v>0</v>
      </c>
      <c r="S2402" s="28">
        <f>IF($A2402="","",IF(AND($F2402="Agendado",$A2402-Hoje&gt;=0,$A2402-Hoje&lt;=DiasConf),"CONFIRMAR",IF(AND($A2402&lt;Hoje,OR($F2402="Agendado",$F2402="Confirmado")),"Atualizar status",IF(AND($F2402="Compareceu",$P2402&gt;0.005),"Cobrar",IF($F2402="Faltou","Falta: reagendar","")))))</f>
        <v>0</v>
      </c>
      <c r="T2402" s="29">
        <f>IF($A2402="","",DATE(YEAR($A2402),MONTH($A2402),1))</f>
        <v>0</v>
      </c>
      <c r="U2402" s="30">
        <f>IF($S2402="CONFIRMAR",MAX($U$4:$U2401)+1,"")</f>
        <v>0</v>
      </c>
      <c r="V2402" s="30">
        <f>IF(AND($R2402="Não",$Q2402&lt;&gt;"",$Q2402&lt;=Hoje+JanelaRet,$Q2402&gt;=Hoje-60),MAX($V$4:$V2401)+1,"")</f>
        <v>0</v>
      </c>
    </row>
    <row r="2403" spans="1:22">
      <c r="A2403" s="16"/>
      <c r="B2403" s="23"/>
      <c r="C2403" s="15"/>
      <c r="D2403" s="15"/>
      <c r="E2403" s="15"/>
      <c r="F2403" s="24"/>
      <c r="G2403" s="17"/>
      <c r="H2403" s="17"/>
      <c r="I2403" s="15"/>
      <c r="J2403" s="25">
        <f>IF($D2403="","",IFERROR(INDEX(PacNome,MATCH($D2403,PacCod,0)),"Paciente não cadastrado"))</f>
        <v>0</v>
      </c>
      <c r="K2403" s="26">
        <f>IF($D2403="","",IFERROR(INDEX(PacConv,MATCH($D2403,PacCod,0))&amp;"",""))</f>
        <v>0</v>
      </c>
      <c r="L2403" s="26">
        <f>IF($A2403="","",CHOOSE(WEEKDAY($A2403,2),"Seg","Ter","Qua","Qui","Sex","Sáb","Dom"))</f>
        <v>0</v>
      </c>
      <c r="M2403" s="27">
        <f>IF($E2403="","",IF($G2403&lt;&gt;"",$G2403,IFERROR(INDEX(ProcValor,MATCH($E2403,ProcNome,0)),0)))</f>
        <v>0</v>
      </c>
      <c r="N2403" s="27">
        <f>IF($M2403="","",IF($F2403="Compareceu",$M2403,0))</f>
        <v>0</v>
      </c>
      <c r="O2403" s="27">
        <f>IF($M2403="","",IF($F2403="Faltou",$M2403,0))</f>
        <v>0</v>
      </c>
      <c r="P2403" s="27">
        <f>IF($M2403="","",IF($F2403="Compareceu",MAX(0,$M2403-N($H2403)),0))</f>
        <v>0</v>
      </c>
      <c r="Q2403" s="19">
        <f>IF(AND($F2403="Compareceu",$E2403&lt;&gt;"",$A2403&lt;&gt;""),IF(IFERROR(INDEX(ProcRet,MATCH($E2403,ProcNome,0)),0)&gt;0,$A2403+INDEX(ProcRet,MATCH($E2403,ProcNome,0)),""),"")</f>
        <v>0</v>
      </c>
      <c r="R2403" s="26">
        <f>IF($Q2403="","",IF(COUNTIFS(AgPac,$D2403,AgData,"&gt;"&amp;$A2403,AgStatus,"&lt;&gt;Cancelado",AgStatus,"&lt;&gt;Remarcado")&gt;0,"Sim","Não"))</f>
        <v>0</v>
      </c>
      <c r="S2403" s="28">
        <f>IF($A2403="","",IF(AND($F2403="Agendado",$A2403-Hoje&gt;=0,$A2403-Hoje&lt;=DiasConf),"CONFIRMAR",IF(AND($A2403&lt;Hoje,OR($F2403="Agendado",$F2403="Confirmado")),"Atualizar status",IF(AND($F2403="Compareceu",$P2403&gt;0.005),"Cobrar",IF($F2403="Faltou","Falta: reagendar","")))))</f>
        <v>0</v>
      </c>
      <c r="T2403" s="29">
        <f>IF($A2403="","",DATE(YEAR($A2403),MONTH($A2403),1))</f>
        <v>0</v>
      </c>
      <c r="U2403" s="30">
        <f>IF($S2403="CONFIRMAR",MAX($U$4:$U2402)+1,"")</f>
        <v>0</v>
      </c>
      <c r="V2403" s="30">
        <f>IF(AND($R2403="Não",$Q2403&lt;&gt;"",$Q2403&lt;=Hoje+JanelaRet,$Q2403&gt;=Hoje-60),MAX($V$4:$V2402)+1,"")</f>
        <v>0</v>
      </c>
    </row>
    <row r="2404" spans="1:22">
      <c r="A2404" s="16"/>
      <c r="B2404" s="23"/>
      <c r="C2404" s="15"/>
      <c r="D2404" s="15"/>
      <c r="E2404" s="15"/>
      <c r="F2404" s="24"/>
      <c r="G2404" s="17"/>
      <c r="H2404" s="17"/>
      <c r="I2404" s="15"/>
      <c r="J2404" s="25">
        <f>IF($D2404="","",IFERROR(INDEX(PacNome,MATCH($D2404,PacCod,0)),"Paciente não cadastrado"))</f>
        <v>0</v>
      </c>
      <c r="K2404" s="26">
        <f>IF($D2404="","",IFERROR(INDEX(PacConv,MATCH($D2404,PacCod,0))&amp;"",""))</f>
        <v>0</v>
      </c>
      <c r="L2404" s="26">
        <f>IF($A2404="","",CHOOSE(WEEKDAY($A2404,2),"Seg","Ter","Qua","Qui","Sex","Sáb","Dom"))</f>
        <v>0</v>
      </c>
      <c r="M2404" s="27">
        <f>IF($E2404="","",IF($G2404&lt;&gt;"",$G2404,IFERROR(INDEX(ProcValor,MATCH($E2404,ProcNome,0)),0)))</f>
        <v>0</v>
      </c>
      <c r="N2404" s="27">
        <f>IF($M2404="","",IF($F2404="Compareceu",$M2404,0))</f>
        <v>0</v>
      </c>
      <c r="O2404" s="27">
        <f>IF($M2404="","",IF($F2404="Faltou",$M2404,0))</f>
        <v>0</v>
      </c>
      <c r="P2404" s="27">
        <f>IF($M2404="","",IF($F2404="Compareceu",MAX(0,$M2404-N($H2404)),0))</f>
        <v>0</v>
      </c>
      <c r="Q2404" s="19">
        <f>IF(AND($F2404="Compareceu",$E2404&lt;&gt;"",$A2404&lt;&gt;""),IF(IFERROR(INDEX(ProcRet,MATCH($E2404,ProcNome,0)),0)&gt;0,$A2404+INDEX(ProcRet,MATCH($E2404,ProcNome,0)),""),"")</f>
        <v>0</v>
      </c>
      <c r="R2404" s="26">
        <f>IF($Q2404="","",IF(COUNTIFS(AgPac,$D2404,AgData,"&gt;"&amp;$A2404,AgStatus,"&lt;&gt;Cancelado",AgStatus,"&lt;&gt;Remarcado")&gt;0,"Sim","Não"))</f>
        <v>0</v>
      </c>
      <c r="S2404" s="28">
        <f>IF($A2404="","",IF(AND($F2404="Agendado",$A2404-Hoje&gt;=0,$A2404-Hoje&lt;=DiasConf),"CONFIRMAR",IF(AND($A2404&lt;Hoje,OR($F2404="Agendado",$F2404="Confirmado")),"Atualizar status",IF(AND($F2404="Compareceu",$P2404&gt;0.005),"Cobrar",IF($F2404="Faltou","Falta: reagendar","")))))</f>
        <v>0</v>
      </c>
      <c r="T2404" s="29">
        <f>IF($A2404="","",DATE(YEAR($A2404),MONTH($A2404),1))</f>
        <v>0</v>
      </c>
      <c r="U2404" s="30">
        <f>IF($S2404="CONFIRMAR",MAX($U$4:$U2403)+1,"")</f>
        <v>0</v>
      </c>
      <c r="V2404" s="30">
        <f>IF(AND($R2404="Não",$Q2404&lt;&gt;"",$Q2404&lt;=Hoje+JanelaRet,$Q2404&gt;=Hoje-60),MAX($V$4:$V2403)+1,"")</f>
        <v>0</v>
      </c>
    </row>
    <row r="2405" spans="1:22">
      <c r="A2405" s="16"/>
      <c r="B2405" s="23"/>
      <c r="C2405" s="15"/>
      <c r="D2405" s="15"/>
      <c r="E2405" s="15"/>
      <c r="F2405" s="24"/>
      <c r="G2405" s="17"/>
      <c r="H2405" s="17"/>
      <c r="I2405" s="15"/>
      <c r="J2405" s="25">
        <f>IF($D2405="","",IFERROR(INDEX(PacNome,MATCH($D2405,PacCod,0)),"Paciente não cadastrado"))</f>
        <v>0</v>
      </c>
      <c r="K2405" s="26">
        <f>IF($D2405="","",IFERROR(INDEX(PacConv,MATCH($D2405,PacCod,0))&amp;"",""))</f>
        <v>0</v>
      </c>
      <c r="L2405" s="26">
        <f>IF($A2405="","",CHOOSE(WEEKDAY($A2405,2),"Seg","Ter","Qua","Qui","Sex","Sáb","Dom"))</f>
        <v>0</v>
      </c>
      <c r="M2405" s="27">
        <f>IF($E2405="","",IF($G2405&lt;&gt;"",$G2405,IFERROR(INDEX(ProcValor,MATCH($E2405,ProcNome,0)),0)))</f>
        <v>0</v>
      </c>
      <c r="N2405" s="27">
        <f>IF($M2405="","",IF($F2405="Compareceu",$M2405,0))</f>
        <v>0</v>
      </c>
      <c r="O2405" s="27">
        <f>IF($M2405="","",IF($F2405="Faltou",$M2405,0))</f>
        <v>0</v>
      </c>
      <c r="P2405" s="27">
        <f>IF($M2405="","",IF($F2405="Compareceu",MAX(0,$M2405-N($H2405)),0))</f>
        <v>0</v>
      </c>
      <c r="Q2405" s="19">
        <f>IF(AND($F2405="Compareceu",$E2405&lt;&gt;"",$A2405&lt;&gt;""),IF(IFERROR(INDEX(ProcRet,MATCH($E2405,ProcNome,0)),0)&gt;0,$A2405+INDEX(ProcRet,MATCH($E2405,ProcNome,0)),""),"")</f>
        <v>0</v>
      </c>
      <c r="R2405" s="26">
        <f>IF($Q2405="","",IF(COUNTIFS(AgPac,$D2405,AgData,"&gt;"&amp;$A2405,AgStatus,"&lt;&gt;Cancelado",AgStatus,"&lt;&gt;Remarcado")&gt;0,"Sim","Não"))</f>
        <v>0</v>
      </c>
      <c r="S2405" s="28">
        <f>IF($A2405="","",IF(AND($F2405="Agendado",$A2405-Hoje&gt;=0,$A2405-Hoje&lt;=DiasConf),"CONFIRMAR",IF(AND($A2405&lt;Hoje,OR($F2405="Agendado",$F2405="Confirmado")),"Atualizar status",IF(AND($F2405="Compareceu",$P2405&gt;0.005),"Cobrar",IF($F2405="Faltou","Falta: reagendar","")))))</f>
        <v>0</v>
      </c>
      <c r="T2405" s="29">
        <f>IF($A2405="","",DATE(YEAR($A2405),MONTH($A2405),1))</f>
        <v>0</v>
      </c>
      <c r="U2405" s="30">
        <f>IF($S2405="CONFIRMAR",MAX($U$4:$U2404)+1,"")</f>
        <v>0</v>
      </c>
      <c r="V2405" s="30">
        <f>IF(AND($R2405="Não",$Q2405&lt;&gt;"",$Q2405&lt;=Hoje+JanelaRet,$Q2405&gt;=Hoje-60),MAX($V$4:$V2404)+1,"")</f>
        <v>0</v>
      </c>
    </row>
    <row r="2406" spans="1:22">
      <c r="A2406" s="16"/>
      <c r="B2406" s="23"/>
      <c r="C2406" s="15"/>
      <c r="D2406" s="15"/>
      <c r="E2406" s="15"/>
      <c r="F2406" s="24"/>
      <c r="G2406" s="17"/>
      <c r="H2406" s="17"/>
      <c r="I2406" s="15"/>
      <c r="J2406" s="25">
        <f>IF($D2406="","",IFERROR(INDEX(PacNome,MATCH($D2406,PacCod,0)),"Paciente não cadastrado"))</f>
        <v>0</v>
      </c>
      <c r="K2406" s="26">
        <f>IF($D2406="","",IFERROR(INDEX(PacConv,MATCH($D2406,PacCod,0))&amp;"",""))</f>
        <v>0</v>
      </c>
      <c r="L2406" s="26">
        <f>IF($A2406="","",CHOOSE(WEEKDAY($A2406,2),"Seg","Ter","Qua","Qui","Sex","Sáb","Dom"))</f>
        <v>0</v>
      </c>
      <c r="M2406" s="27">
        <f>IF($E2406="","",IF($G2406&lt;&gt;"",$G2406,IFERROR(INDEX(ProcValor,MATCH($E2406,ProcNome,0)),0)))</f>
        <v>0</v>
      </c>
      <c r="N2406" s="27">
        <f>IF($M2406="","",IF($F2406="Compareceu",$M2406,0))</f>
        <v>0</v>
      </c>
      <c r="O2406" s="27">
        <f>IF($M2406="","",IF($F2406="Faltou",$M2406,0))</f>
        <v>0</v>
      </c>
      <c r="P2406" s="27">
        <f>IF($M2406="","",IF($F2406="Compareceu",MAX(0,$M2406-N($H2406)),0))</f>
        <v>0</v>
      </c>
      <c r="Q2406" s="19">
        <f>IF(AND($F2406="Compareceu",$E2406&lt;&gt;"",$A2406&lt;&gt;""),IF(IFERROR(INDEX(ProcRet,MATCH($E2406,ProcNome,0)),0)&gt;0,$A2406+INDEX(ProcRet,MATCH($E2406,ProcNome,0)),""),"")</f>
        <v>0</v>
      </c>
      <c r="R2406" s="26">
        <f>IF($Q2406="","",IF(COUNTIFS(AgPac,$D2406,AgData,"&gt;"&amp;$A2406,AgStatus,"&lt;&gt;Cancelado",AgStatus,"&lt;&gt;Remarcado")&gt;0,"Sim","Não"))</f>
        <v>0</v>
      </c>
      <c r="S2406" s="28">
        <f>IF($A2406="","",IF(AND($F2406="Agendado",$A2406-Hoje&gt;=0,$A2406-Hoje&lt;=DiasConf),"CONFIRMAR",IF(AND($A2406&lt;Hoje,OR($F2406="Agendado",$F2406="Confirmado")),"Atualizar status",IF(AND($F2406="Compareceu",$P2406&gt;0.005),"Cobrar",IF($F2406="Faltou","Falta: reagendar","")))))</f>
        <v>0</v>
      </c>
      <c r="T2406" s="29">
        <f>IF($A2406="","",DATE(YEAR($A2406),MONTH($A2406),1))</f>
        <v>0</v>
      </c>
      <c r="U2406" s="30">
        <f>IF($S2406="CONFIRMAR",MAX($U$4:$U2405)+1,"")</f>
        <v>0</v>
      </c>
      <c r="V2406" s="30">
        <f>IF(AND($R2406="Não",$Q2406&lt;&gt;"",$Q2406&lt;=Hoje+JanelaRet,$Q2406&gt;=Hoje-60),MAX($V$4:$V2405)+1,"")</f>
        <v>0</v>
      </c>
    </row>
    <row r="2407" spans="1:22">
      <c r="A2407" s="16"/>
      <c r="B2407" s="23"/>
      <c r="C2407" s="15"/>
      <c r="D2407" s="15"/>
      <c r="E2407" s="15"/>
      <c r="F2407" s="24"/>
      <c r="G2407" s="17"/>
      <c r="H2407" s="17"/>
      <c r="I2407" s="15"/>
      <c r="J2407" s="25">
        <f>IF($D2407="","",IFERROR(INDEX(PacNome,MATCH($D2407,PacCod,0)),"Paciente não cadastrado"))</f>
        <v>0</v>
      </c>
      <c r="K2407" s="26">
        <f>IF($D2407="","",IFERROR(INDEX(PacConv,MATCH($D2407,PacCod,0))&amp;"",""))</f>
        <v>0</v>
      </c>
      <c r="L2407" s="26">
        <f>IF($A2407="","",CHOOSE(WEEKDAY($A2407,2),"Seg","Ter","Qua","Qui","Sex","Sáb","Dom"))</f>
        <v>0</v>
      </c>
      <c r="M2407" s="27">
        <f>IF($E2407="","",IF($G2407&lt;&gt;"",$G2407,IFERROR(INDEX(ProcValor,MATCH($E2407,ProcNome,0)),0)))</f>
        <v>0</v>
      </c>
      <c r="N2407" s="27">
        <f>IF($M2407="","",IF($F2407="Compareceu",$M2407,0))</f>
        <v>0</v>
      </c>
      <c r="O2407" s="27">
        <f>IF($M2407="","",IF($F2407="Faltou",$M2407,0))</f>
        <v>0</v>
      </c>
      <c r="P2407" s="27">
        <f>IF($M2407="","",IF($F2407="Compareceu",MAX(0,$M2407-N($H2407)),0))</f>
        <v>0</v>
      </c>
      <c r="Q2407" s="19">
        <f>IF(AND($F2407="Compareceu",$E2407&lt;&gt;"",$A2407&lt;&gt;""),IF(IFERROR(INDEX(ProcRet,MATCH($E2407,ProcNome,0)),0)&gt;0,$A2407+INDEX(ProcRet,MATCH($E2407,ProcNome,0)),""),"")</f>
        <v>0</v>
      </c>
      <c r="R2407" s="26">
        <f>IF($Q2407="","",IF(COUNTIFS(AgPac,$D2407,AgData,"&gt;"&amp;$A2407,AgStatus,"&lt;&gt;Cancelado",AgStatus,"&lt;&gt;Remarcado")&gt;0,"Sim","Não"))</f>
        <v>0</v>
      </c>
      <c r="S2407" s="28">
        <f>IF($A2407="","",IF(AND($F2407="Agendado",$A2407-Hoje&gt;=0,$A2407-Hoje&lt;=DiasConf),"CONFIRMAR",IF(AND($A2407&lt;Hoje,OR($F2407="Agendado",$F2407="Confirmado")),"Atualizar status",IF(AND($F2407="Compareceu",$P2407&gt;0.005),"Cobrar",IF($F2407="Faltou","Falta: reagendar","")))))</f>
        <v>0</v>
      </c>
      <c r="T2407" s="29">
        <f>IF($A2407="","",DATE(YEAR($A2407),MONTH($A2407),1))</f>
        <v>0</v>
      </c>
      <c r="U2407" s="30">
        <f>IF($S2407="CONFIRMAR",MAX($U$4:$U2406)+1,"")</f>
        <v>0</v>
      </c>
      <c r="V2407" s="30">
        <f>IF(AND($R2407="Não",$Q2407&lt;&gt;"",$Q2407&lt;=Hoje+JanelaRet,$Q2407&gt;=Hoje-60),MAX($V$4:$V2406)+1,"")</f>
        <v>0</v>
      </c>
    </row>
    <row r="2408" spans="1:22">
      <c r="A2408" s="16"/>
      <c r="B2408" s="23"/>
      <c r="C2408" s="15"/>
      <c r="D2408" s="15"/>
      <c r="E2408" s="15"/>
      <c r="F2408" s="24"/>
      <c r="G2408" s="17"/>
      <c r="H2408" s="17"/>
      <c r="I2408" s="15"/>
      <c r="J2408" s="25">
        <f>IF($D2408="","",IFERROR(INDEX(PacNome,MATCH($D2408,PacCod,0)),"Paciente não cadastrado"))</f>
        <v>0</v>
      </c>
      <c r="K2408" s="26">
        <f>IF($D2408="","",IFERROR(INDEX(PacConv,MATCH($D2408,PacCod,0))&amp;"",""))</f>
        <v>0</v>
      </c>
      <c r="L2408" s="26">
        <f>IF($A2408="","",CHOOSE(WEEKDAY($A2408,2),"Seg","Ter","Qua","Qui","Sex","Sáb","Dom"))</f>
        <v>0</v>
      </c>
      <c r="M2408" s="27">
        <f>IF($E2408="","",IF($G2408&lt;&gt;"",$G2408,IFERROR(INDEX(ProcValor,MATCH($E2408,ProcNome,0)),0)))</f>
        <v>0</v>
      </c>
      <c r="N2408" s="27">
        <f>IF($M2408="","",IF($F2408="Compareceu",$M2408,0))</f>
        <v>0</v>
      </c>
      <c r="O2408" s="27">
        <f>IF($M2408="","",IF($F2408="Faltou",$M2408,0))</f>
        <v>0</v>
      </c>
      <c r="P2408" s="27">
        <f>IF($M2408="","",IF($F2408="Compareceu",MAX(0,$M2408-N($H2408)),0))</f>
        <v>0</v>
      </c>
      <c r="Q2408" s="19">
        <f>IF(AND($F2408="Compareceu",$E2408&lt;&gt;"",$A2408&lt;&gt;""),IF(IFERROR(INDEX(ProcRet,MATCH($E2408,ProcNome,0)),0)&gt;0,$A2408+INDEX(ProcRet,MATCH($E2408,ProcNome,0)),""),"")</f>
        <v>0</v>
      </c>
      <c r="R2408" s="26">
        <f>IF($Q2408="","",IF(COUNTIFS(AgPac,$D2408,AgData,"&gt;"&amp;$A2408,AgStatus,"&lt;&gt;Cancelado",AgStatus,"&lt;&gt;Remarcado")&gt;0,"Sim","Não"))</f>
        <v>0</v>
      </c>
      <c r="S2408" s="28">
        <f>IF($A2408="","",IF(AND($F2408="Agendado",$A2408-Hoje&gt;=0,$A2408-Hoje&lt;=DiasConf),"CONFIRMAR",IF(AND($A2408&lt;Hoje,OR($F2408="Agendado",$F2408="Confirmado")),"Atualizar status",IF(AND($F2408="Compareceu",$P2408&gt;0.005),"Cobrar",IF($F2408="Faltou","Falta: reagendar","")))))</f>
        <v>0</v>
      </c>
      <c r="T2408" s="29">
        <f>IF($A2408="","",DATE(YEAR($A2408),MONTH($A2408),1))</f>
        <v>0</v>
      </c>
      <c r="U2408" s="30">
        <f>IF($S2408="CONFIRMAR",MAX($U$4:$U2407)+1,"")</f>
        <v>0</v>
      </c>
      <c r="V2408" s="30">
        <f>IF(AND($R2408="Não",$Q2408&lt;&gt;"",$Q2408&lt;=Hoje+JanelaRet,$Q2408&gt;=Hoje-60),MAX($V$4:$V2407)+1,"")</f>
        <v>0</v>
      </c>
    </row>
    <row r="2409" spans="1:22">
      <c r="A2409" s="16"/>
      <c r="B2409" s="23"/>
      <c r="C2409" s="15"/>
      <c r="D2409" s="15"/>
      <c r="E2409" s="15"/>
      <c r="F2409" s="24"/>
      <c r="G2409" s="17"/>
      <c r="H2409" s="17"/>
      <c r="I2409" s="15"/>
      <c r="J2409" s="25">
        <f>IF($D2409="","",IFERROR(INDEX(PacNome,MATCH($D2409,PacCod,0)),"Paciente não cadastrado"))</f>
        <v>0</v>
      </c>
      <c r="K2409" s="26">
        <f>IF($D2409="","",IFERROR(INDEX(PacConv,MATCH($D2409,PacCod,0))&amp;"",""))</f>
        <v>0</v>
      </c>
      <c r="L2409" s="26">
        <f>IF($A2409="","",CHOOSE(WEEKDAY($A2409,2),"Seg","Ter","Qua","Qui","Sex","Sáb","Dom"))</f>
        <v>0</v>
      </c>
      <c r="M2409" s="27">
        <f>IF($E2409="","",IF($G2409&lt;&gt;"",$G2409,IFERROR(INDEX(ProcValor,MATCH($E2409,ProcNome,0)),0)))</f>
        <v>0</v>
      </c>
      <c r="N2409" s="27">
        <f>IF($M2409="","",IF($F2409="Compareceu",$M2409,0))</f>
        <v>0</v>
      </c>
      <c r="O2409" s="27">
        <f>IF($M2409="","",IF($F2409="Faltou",$M2409,0))</f>
        <v>0</v>
      </c>
      <c r="P2409" s="27">
        <f>IF($M2409="","",IF($F2409="Compareceu",MAX(0,$M2409-N($H2409)),0))</f>
        <v>0</v>
      </c>
      <c r="Q2409" s="19">
        <f>IF(AND($F2409="Compareceu",$E2409&lt;&gt;"",$A2409&lt;&gt;""),IF(IFERROR(INDEX(ProcRet,MATCH($E2409,ProcNome,0)),0)&gt;0,$A2409+INDEX(ProcRet,MATCH($E2409,ProcNome,0)),""),"")</f>
        <v>0</v>
      </c>
      <c r="R2409" s="26">
        <f>IF($Q2409="","",IF(COUNTIFS(AgPac,$D2409,AgData,"&gt;"&amp;$A2409,AgStatus,"&lt;&gt;Cancelado",AgStatus,"&lt;&gt;Remarcado")&gt;0,"Sim","Não"))</f>
        <v>0</v>
      </c>
      <c r="S2409" s="28">
        <f>IF($A2409="","",IF(AND($F2409="Agendado",$A2409-Hoje&gt;=0,$A2409-Hoje&lt;=DiasConf),"CONFIRMAR",IF(AND($A2409&lt;Hoje,OR($F2409="Agendado",$F2409="Confirmado")),"Atualizar status",IF(AND($F2409="Compareceu",$P2409&gt;0.005),"Cobrar",IF($F2409="Faltou","Falta: reagendar","")))))</f>
        <v>0</v>
      </c>
      <c r="T2409" s="29">
        <f>IF($A2409="","",DATE(YEAR($A2409),MONTH($A2409),1))</f>
        <v>0</v>
      </c>
      <c r="U2409" s="30">
        <f>IF($S2409="CONFIRMAR",MAX($U$4:$U2408)+1,"")</f>
        <v>0</v>
      </c>
      <c r="V2409" s="30">
        <f>IF(AND($R2409="Não",$Q2409&lt;&gt;"",$Q2409&lt;=Hoje+JanelaRet,$Q2409&gt;=Hoje-60),MAX($V$4:$V2408)+1,"")</f>
        <v>0</v>
      </c>
    </row>
    <row r="2410" spans="1:22">
      <c r="A2410" s="16"/>
      <c r="B2410" s="23"/>
      <c r="C2410" s="15"/>
      <c r="D2410" s="15"/>
      <c r="E2410" s="15"/>
      <c r="F2410" s="24"/>
      <c r="G2410" s="17"/>
      <c r="H2410" s="17"/>
      <c r="I2410" s="15"/>
      <c r="J2410" s="25">
        <f>IF($D2410="","",IFERROR(INDEX(PacNome,MATCH($D2410,PacCod,0)),"Paciente não cadastrado"))</f>
        <v>0</v>
      </c>
      <c r="K2410" s="26">
        <f>IF($D2410="","",IFERROR(INDEX(PacConv,MATCH($D2410,PacCod,0))&amp;"",""))</f>
        <v>0</v>
      </c>
      <c r="L2410" s="26">
        <f>IF($A2410="","",CHOOSE(WEEKDAY($A2410,2),"Seg","Ter","Qua","Qui","Sex","Sáb","Dom"))</f>
        <v>0</v>
      </c>
      <c r="M2410" s="27">
        <f>IF($E2410="","",IF($G2410&lt;&gt;"",$G2410,IFERROR(INDEX(ProcValor,MATCH($E2410,ProcNome,0)),0)))</f>
        <v>0</v>
      </c>
      <c r="N2410" s="27">
        <f>IF($M2410="","",IF($F2410="Compareceu",$M2410,0))</f>
        <v>0</v>
      </c>
      <c r="O2410" s="27">
        <f>IF($M2410="","",IF($F2410="Faltou",$M2410,0))</f>
        <v>0</v>
      </c>
      <c r="P2410" s="27">
        <f>IF($M2410="","",IF($F2410="Compareceu",MAX(0,$M2410-N($H2410)),0))</f>
        <v>0</v>
      </c>
      <c r="Q2410" s="19">
        <f>IF(AND($F2410="Compareceu",$E2410&lt;&gt;"",$A2410&lt;&gt;""),IF(IFERROR(INDEX(ProcRet,MATCH($E2410,ProcNome,0)),0)&gt;0,$A2410+INDEX(ProcRet,MATCH($E2410,ProcNome,0)),""),"")</f>
        <v>0</v>
      </c>
      <c r="R2410" s="26">
        <f>IF($Q2410="","",IF(COUNTIFS(AgPac,$D2410,AgData,"&gt;"&amp;$A2410,AgStatus,"&lt;&gt;Cancelado",AgStatus,"&lt;&gt;Remarcado")&gt;0,"Sim","Não"))</f>
        <v>0</v>
      </c>
      <c r="S2410" s="28">
        <f>IF($A2410="","",IF(AND($F2410="Agendado",$A2410-Hoje&gt;=0,$A2410-Hoje&lt;=DiasConf),"CONFIRMAR",IF(AND($A2410&lt;Hoje,OR($F2410="Agendado",$F2410="Confirmado")),"Atualizar status",IF(AND($F2410="Compareceu",$P2410&gt;0.005),"Cobrar",IF($F2410="Faltou","Falta: reagendar","")))))</f>
        <v>0</v>
      </c>
      <c r="T2410" s="29">
        <f>IF($A2410="","",DATE(YEAR($A2410),MONTH($A2410),1))</f>
        <v>0</v>
      </c>
      <c r="U2410" s="30">
        <f>IF($S2410="CONFIRMAR",MAX($U$4:$U2409)+1,"")</f>
        <v>0</v>
      </c>
      <c r="V2410" s="30">
        <f>IF(AND($R2410="Não",$Q2410&lt;&gt;"",$Q2410&lt;=Hoje+JanelaRet,$Q2410&gt;=Hoje-60),MAX($V$4:$V2409)+1,"")</f>
        <v>0</v>
      </c>
    </row>
    <row r="2411" spans="1:22">
      <c r="A2411" s="16"/>
      <c r="B2411" s="23"/>
      <c r="C2411" s="15"/>
      <c r="D2411" s="15"/>
      <c r="E2411" s="15"/>
      <c r="F2411" s="24"/>
      <c r="G2411" s="17"/>
      <c r="H2411" s="17"/>
      <c r="I2411" s="15"/>
      <c r="J2411" s="25">
        <f>IF($D2411="","",IFERROR(INDEX(PacNome,MATCH($D2411,PacCod,0)),"Paciente não cadastrado"))</f>
        <v>0</v>
      </c>
      <c r="K2411" s="26">
        <f>IF($D2411="","",IFERROR(INDEX(PacConv,MATCH($D2411,PacCod,0))&amp;"",""))</f>
        <v>0</v>
      </c>
      <c r="L2411" s="26">
        <f>IF($A2411="","",CHOOSE(WEEKDAY($A2411,2),"Seg","Ter","Qua","Qui","Sex","Sáb","Dom"))</f>
        <v>0</v>
      </c>
      <c r="M2411" s="27">
        <f>IF($E2411="","",IF($G2411&lt;&gt;"",$G2411,IFERROR(INDEX(ProcValor,MATCH($E2411,ProcNome,0)),0)))</f>
        <v>0</v>
      </c>
      <c r="N2411" s="27">
        <f>IF($M2411="","",IF($F2411="Compareceu",$M2411,0))</f>
        <v>0</v>
      </c>
      <c r="O2411" s="27">
        <f>IF($M2411="","",IF($F2411="Faltou",$M2411,0))</f>
        <v>0</v>
      </c>
      <c r="P2411" s="27">
        <f>IF($M2411="","",IF($F2411="Compareceu",MAX(0,$M2411-N($H2411)),0))</f>
        <v>0</v>
      </c>
      <c r="Q2411" s="19">
        <f>IF(AND($F2411="Compareceu",$E2411&lt;&gt;"",$A2411&lt;&gt;""),IF(IFERROR(INDEX(ProcRet,MATCH($E2411,ProcNome,0)),0)&gt;0,$A2411+INDEX(ProcRet,MATCH($E2411,ProcNome,0)),""),"")</f>
        <v>0</v>
      </c>
      <c r="R2411" s="26">
        <f>IF($Q2411="","",IF(COUNTIFS(AgPac,$D2411,AgData,"&gt;"&amp;$A2411,AgStatus,"&lt;&gt;Cancelado",AgStatus,"&lt;&gt;Remarcado")&gt;0,"Sim","Não"))</f>
        <v>0</v>
      </c>
      <c r="S2411" s="28">
        <f>IF($A2411="","",IF(AND($F2411="Agendado",$A2411-Hoje&gt;=0,$A2411-Hoje&lt;=DiasConf),"CONFIRMAR",IF(AND($A2411&lt;Hoje,OR($F2411="Agendado",$F2411="Confirmado")),"Atualizar status",IF(AND($F2411="Compareceu",$P2411&gt;0.005),"Cobrar",IF($F2411="Faltou","Falta: reagendar","")))))</f>
        <v>0</v>
      </c>
      <c r="T2411" s="29">
        <f>IF($A2411="","",DATE(YEAR($A2411),MONTH($A2411),1))</f>
        <v>0</v>
      </c>
      <c r="U2411" s="30">
        <f>IF($S2411="CONFIRMAR",MAX($U$4:$U2410)+1,"")</f>
        <v>0</v>
      </c>
      <c r="V2411" s="30">
        <f>IF(AND($R2411="Não",$Q2411&lt;&gt;"",$Q2411&lt;=Hoje+JanelaRet,$Q2411&gt;=Hoje-60),MAX($V$4:$V2410)+1,"")</f>
        <v>0</v>
      </c>
    </row>
    <row r="2412" spans="1:22">
      <c r="A2412" s="16"/>
      <c r="B2412" s="23"/>
      <c r="C2412" s="15"/>
      <c r="D2412" s="15"/>
      <c r="E2412" s="15"/>
      <c r="F2412" s="24"/>
      <c r="G2412" s="17"/>
      <c r="H2412" s="17"/>
      <c r="I2412" s="15"/>
      <c r="J2412" s="25">
        <f>IF($D2412="","",IFERROR(INDEX(PacNome,MATCH($D2412,PacCod,0)),"Paciente não cadastrado"))</f>
        <v>0</v>
      </c>
      <c r="K2412" s="26">
        <f>IF($D2412="","",IFERROR(INDEX(PacConv,MATCH($D2412,PacCod,0))&amp;"",""))</f>
        <v>0</v>
      </c>
      <c r="L2412" s="26">
        <f>IF($A2412="","",CHOOSE(WEEKDAY($A2412,2),"Seg","Ter","Qua","Qui","Sex","Sáb","Dom"))</f>
        <v>0</v>
      </c>
      <c r="M2412" s="27">
        <f>IF($E2412="","",IF($G2412&lt;&gt;"",$G2412,IFERROR(INDEX(ProcValor,MATCH($E2412,ProcNome,0)),0)))</f>
        <v>0</v>
      </c>
      <c r="N2412" s="27">
        <f>IF($M2412="","",IF($F2412="Compareceu",$M2412,0))</f>
        <v>0</v>
      </c>
      <c r="O2412" s="27">
        <f>IF($M2412="","",IF($F2412="Faltou",$M2412,0))</f>
        <v>0</v>
      </c>
      <c r="P2412" s="27">
        <f>IF($M2412="","",IF($F2412="Compareceu",MAX(0,$M2412-N($H2412)),0))</f>
        <v>0</v>
      </c>
      <c r="Q2412" s="19">
        <f>IF(AND($F2412="Compareceu",$E2412&lt;&gt;"",$A2412&lt;&gt;""),IF(IFERROR(INDEX(ProcRet,MATCH($E2412,ProcNome,0)),0)&gt;0,$A2412+INDEX(ProcRet,MATCH($E2412,ProcNome,0)),""),"")</f>
        <v>0</v>
      </c>
      <c r="R2412" s="26">
        <f>IF($Q2412="","",IF(COUNTIFS(AgPac,$D2412,AgData,"&gt;"&amp;$A2412,AgStatus,"&lt;&gt;Cancelado",AgStatus,"&lt;&gt;Remarcado")&gt;0,"Sim","Não"))</f>
        <v>0</v>
      </c>
      <c r="S2412" s="28">
        <f>IF($A2412="","",IF(AND($F2412="Agendado",$A2412-Hoje&gt;=0,$A2412-Hoje&lt;=DiasConf),"CONFIRMAR",IF(AND($A2412&lt;Hoje,OR($F2412="Agendado",$F2412="Confirmado")),"Atualizar status",IF(AND($F2412="Compareceu",$P2412&gt;0.005),"Cobrar",IF($F2412="Faltou","Falta: reagendar","")))))</f>
        <v>0</v>
      </c>
      <c r="T2412" s="29">
        <f>IF($A2412="","",DATE(YEAR($A2412),MONTH($A2412),1))</f>
        <v>0</v>
      </c>
      <c r="U2412" s="30">
        <f>IF($S2412="CONFIRMAR",MAX($U$4:$U2411)+1,"")</f>
        <v>0</v>
      </c>
      <c r="V2412" s="30">
        <f>IF(AND($R2412="Não",$Q2412&lt;&gt;"",$Q2412&lt;=Hoje+JanelaRet,$Q2412&gt;=Hoje-60),MAX($V$4:$V2411)+1,"")</f>
        <v>0</v>
      </c>
    </row>
    <row r="2413" spans="1:22">
      <c r="A2413" s="16"/>
      <c r="B2413" s="23"/>
      <c r="C2413" s="15"/>
      <c r="D2413" s="15"/>
      <c r="E2413" s="15"/>
      <c r="F2413" s="24"/>
      <c r="G2413" s="17"/>
      <c r="H2413" s="17"/>
      <c r="I2413" s="15"/>
      <c r="J2413" s="25">
        <f>IF($D2413="","",IFERROR(INDEX(PacNome,MATCH($D2413,PacCod,0)),"Paciente não cadastrado"))</f>
        <v>0</v>
      </c>
      <c r="K2413" s="26">
        <f>IF($D2413="","",IFERROR(INDEX(PacConv,MATCH($D2413,PacCod,0))&amp;"",""))</f>
        <v>0</v>
      </c>
      <c r="L2413" s="26">
        <f>IF($A2413="","",CHOOSE(WEEKDAY($A2413,2),"Seg","Ter","Qua","Qui","Sex","Sáb","Dom"))</f>
        <v>0</v>
      </c>
      <c r="M2413" s="27">
        <f>IF($E2413="","",IF($G2413&lt;&gt;"",$G2413,IFERROR(INDEX(ProcValor,MATCH($E2413,ProcNome,0)),0)))</f>
        <v>0</v>
      </c>
      <c r="N2413" s="27">
        <f>IF($M2413="","",IF($F2413="Compareceu",$M2413,0))</f>
        <v>0</v>
      </c>
      <c r="O2413" s="27">
        <f>IF($M2413="","",IF($F2413="Faltou",$M2413,0))</f>
        <v>0</v>
      </c>
      <c r="P2413" s="27">
        <f>IF($M2413="","",IF($F2413="Compareceu",MAX(0,$M2413-N($H2413)),0))</f>
        <v>0</v>
      </c>
      <c r="Q2413" s="19">
        <f>IF(AND($F2413="Compareceu",$E2413&lt;&gt;"",$A2413&lt;&gt;""),IF(IFERROR(INDEX(ProcRet,MATCH($E2413,ProcNome,0)),0)&gt;0,$A2413+INDEX(ProcRet,MATCH($E2413,ProcNome,0)),""),"")</f>
        <v>0</v>
      </c>
      <c r="R2413" s="26">
        <f>IF($Q2413="","",IF(COUNTIFS(AgPac,$D2413,AgData,"&gt;"&amp;$A2413,AgStatus,"&lt;&gt;Cancelado",AgStatus,"&lt;&gt;Remarcado")&gt;0,"Sim","Não"))</f>
        <v>0</v>
      </c>
      <c r="S2413" s="28">
        <f>IF($A2413="","",IF(AND($F2413="Agendado",$A2413-Hoje&gt;=0,$A2413-Hoje&lt;=DiasConf),"CONFIRMAR",IF(AND($A2413&lt;Hoje,OR($F2413="Agendado",$F2413="Confirmado")),"Atualizar status",IF(AND($F2413="Compareceu",$P2413&gt;0.005),"Cobrar",IF($F2413="Faltou","Falta: reagendar","")))))</f>
        <v>0</v>
      </c>
      <c r="T2413" s="29">
        <f>IF($A2413="","",DATE(YEAR($A2413),MONTH($A2413),1))</f>
        <v>0</v>
      </c>
      <c r="U2413" s="30">
        <f>IF($S2413="CONFIRMAR",MAX($U$4:$U2412)+1,"")</f>
        <v>0</v>
      </c>
      <c r="V2413" s="30">
        <f>IF(AND($R2413="Não",$Q2413&lt;&gt;"",$Q2413&lt;=Hoje+JanelaRet,$Q2413&gt;=Hoje-60),MAX($V$4:$V2412)+1,"")</f>
        <v>0</v>
      </c>
    </row>
    <row r="2414" spans="1:22">
      <c r="A2414" s="16"/>
      <c r="B2414" s="23"/>
      <c r="C2414" s="15"/>
      <c r="D2414" s="15"/>
      <c r="E2414" s="15"/>
      <c r="F2414" s="24"/>
      <c r="G2414" s="17"/>
      <c r="H2414" s="17"/>
      <c r="I2414" s="15"/>
      <c r="J2414" s="25">
        <f>IF($D2414="","",IFERROR(INDEX(PacNome,MATCH($D2414,PacCod,0)),"Paciente não cadastrado"))</f>
        <v>0</v>
      </c>
      <c r="K2414" s="26">
        <f>IF($D2414="","",IFERROR(INDEX(PacConv,MATCH($D2414,PacCod,0))&amp;"",""))</f>
        <v>0</v>
      </c>
      <c r="L2414" s="26">
        <f>IF($A2414="","",CHOOSE(WEEKDAY($A2414,2),"Seg","Ter","Qua","Qui","Sex","Sáb","Dom"))</f>
        <v>0</v>
      </c>
      <c r="M2414" s="27">
        <f>IF($E2414="","",IF($G2414&lt;&gt;"",$G2414,IFERROR(INDEX(ProcValor,MATCH($E2414,ProcNome,0)),0)))</f>
        <v>0</v>
      </c>
      <c r="N2414" s="27">
        <f>IF($M2414="","",IF($F2414="Compareceu",$M2414,0))</f>
        <v>0</v>
      </c>
      <c r="O2414" s="27">
        <f>IF($M2414="","",IF($F2414="Faltou",$M2414,0))</f>
        <v>0</v>
      </c>
      <c r="P2414" s="27">
        <f>IF($M2414="","",IF($F2414="Compareceu",MAX(0,$M2414-N($H2414)),0))</f>
        <v>0</v>
      </c>
      <c r="Q2414" s="19">
        <f>IF(AND($F2414="Compareceu",$E2414&lt;&gt;"",$A2414&lt;&gt;""),IF(IFERROR(INDEX(ProcRet,MATCH($E2414,ProcNome,0)),0)&gt;0,$A2414+INDEX(ProcRet,MATCH($E2414,ProcNome,0)),""),"")</f>
        <v>0</v>
      </c>
      <c r="R2414" s="26">
        <f>IF($Q2414="","",IF(COUNTIFS(AgPac,$D2414,AgData,"&gt;"&amp;$A2414,AgStatus,"&lt;&gt;Cancelado",AgStatus,"&lt;&gt;Remarcado")&gt;0,"Sim","Não"))</f>
        <v>0</v>
      </c>
      <c r="S2414" s="28">
        <f>IF($A2414="","",IF(AND($F2414="Agendado",$A2414-Hoje&gt;=0,$A2414-Hoje&lt;=DiasConf),"CONFIRMAR",IF(AND($A2414&lt;Hoje,OR($F2414="Agendado",$F2414="Confirmado")),"Atualizar status",IF(AND($F2414="Compareceu",$P2414&gt;0.005),"Cobrar",IF($F2414="Faltou","Falta: reagendar","")))))</f>
        <v>0</v>
      </c>
      <c r="T2414" s="29">
        <f>IF($A2414="","",DATE(YEAR($A2414),MONTH($A2414),1))</f>
        <v>0</v>
      </c>
      <c r="U2414" s="30">
        <f>IF($S2414="CONFIRMAR",MAX($U$4:$U2413)+1,"")</f>
        <v>0</v>
      </c>
      <c r="V2414" s="30">
        <f>IF(AND($R2414="Não",$Q2414&lt;&gt;"",$Q2414&lt;=Hoje+JanelaRet,$Q2414&gt;=Hoje-60),MAX($V$4:$V2413)+1,"")</f>
        <v>0</v>
      </c>
    </row>
    <row r="2415" spans="1:22">
      <c r="A2415" s="16"/>
      <c r="B2415" s="23"/>
      <c r="C2415" s="15"/>
      <c r="D2415" s="15"/>
      <c r="E2415" s="15"/>
      <c r="F2415" s="24"/>
      <c r="G2415" s="17"/>
      <c r="H2415" s="17"/>
      <c r="I2415" s="15"/>
      <c r="J2415" s="25">
        <f>IF($D2415="","",IFERROR(INDEX(PacNome,MATCH($D2415,PacCod,0)),"Paciente não cadastrado"))</f>
        <v>0</v>
      </c>
      <c r="K2415" s="26">
        <f>IF($D2415="","",IFERROR(INDEX(PacConv,MATCH($D2415,PacCod,0))&amp;"",""))</f>
        <v>0</v>
      </c>
      <c r="L2415" s="26">
        <f>IF($A2415="","",CHOOSE(WEEKDAY($A2415,2),"Seg","Ter","Qua","Qui","Sex","Sáb","Dom"))</f>
        <v>0</v>
      </c>
      <c r="M2415" s="27">
        <f>IF($E2415="","",IF($G2415&lt;&gt;"",$G2415,IFERROR(INDEX(ProcValor,MATCH($E2415,ProcNome,0)),0)))</f>
        <v>0</v>
      </c>
      <c r="N2415" s="27">
        <f>IF($M2415="","",IF($F2415="Compareceu",$M2415,0))</f>
        <v>0</v>
      </c>
      <c r="O2415" s="27">
        <f>IF($M2415="","",IF($F2415="Faltou",$M2415,0))</f>
        <v>0</v>
      </c>
      <c r="P2415" s="27">
        <f>IF($M2415="","",IF($F2415="Compareceu",MAX(0,$M2415-N($H2415)),0))</f>
        <v>0</v>
      </c>
      <c r="Q2415" s="19">
        <f>IF(AND($F2415="Compareceu",$E2415&lt;&gt;"",$A2415&lt;&gt;""),IF(IFERROR(INDEX(ProcRet,MATCH($E2415,ProcNome,0)),0)&gt;0,$A2415+INDEX(ProcRet,MATCH($E2415,ProcNome,0)),""),"")</f>
        <v>0</v>
      </c>
      <c r="R2415" s="26">
        <f>IF($Q2415="","",IF(COUNTIFS(AgPac,$D2415,AgData,"&gt;"&amp;$A2415,AgStatus,"&lt;&gt;Cancelado",AgStatus,"&lt;&gt;Remarcado")&gt;0,"Sim","Não"))</f>
        <v>0</v>
      </c>
      <c r="S2415" s="28">
        <f>IF($A2415="","",IF(AND($F2415="Agendado",$A2415-Hoje&gt;=0,$A2415-Hoje&lt;=DiasConf),"CONFIRMAR",IF(AND($A2415&lt;Hoje,OR($F2415="Agendado",$F2415="Confirmado")),"Atualizar status",IF(AND($F2415="Compareceu",$P2415&gt;0.005),"Cobrar",IF($F2415="Faltou","Falta: reagendar","")))))</f>
        <v>0</v>
      </c>
      <c r="T2415" s="29">
        <f>IF($A2415="","",DATE(YEAR($A2415),MONTH($A2415),1))</f>
        <v>0</v>
      </c>
      <c r="U2415" s="30">
        <f>IF($S2415="CONFIRMAR",MAX($U$4:$U2414)+1,"")</f>
        <v>0</v>
      </c>
      <c r="V2415" s="30">
        <f>IF(AND($R2415="Não",$Q2415&lt;&gt;"",$Q2415&lt;=Hoje+JanelaRet,$Q2415&gt;=Hoje-60),MAX($V$4:$V2414)+1,"")</f>
        <v>0</v>
      </c>
    </row>
    <row r="2416" spans="1:22">
      <c r="A2416" s="16"/>
      <c r="B2416" s="23"/>
      <c r="C2416" s="15"/>
      <c r="D2416" s="15"/>
      <c r="E2416" s="15"/>
      <c r="F2416" s="24"/>
      <c r="G2416" s="17"/>
      <c r="H2416" s="17"/>
      <c r="I2416" s="15"/>
      <c r="J2416" s="25">
        <f>IF($D2416="","",IFERROR(INDEX(PacNome,MATCH($D2416,PacCod,0)),"Paciente não cadastrado"))</f>
        <v>0</v>
      </c>
      <c r="K2416" s="26">
        <f>IF($D2416="","",IFERROR(INDEX(PacConv,MATCH($D2416,PacCod,0))&amp;"",""))</f>
        <v>0</v>
      </c>
      <c r="L2416" s="26">
        <f>IF($A2416="","",CHOOSE(WEEKDAY($A2416,2),"Seg","Ter","Qua","Qui","Sex","Sáb","Dom"))</f>
        <v>0</v>
      </c>
      <c r="M2416" s="27">
        <f>IF($E2416="","",IF($G2416&lt;&gt;"",$G2416,IFERROR(INDEX(ProcValor,MATCH($E2416,ProcNome,0)),0)))</f>
        <v>0</v>
      </c>
      <c r="N2416" s="27">
        <f>IF($M2416="","",IF($F2416="Compareceu",$M2416,0))</f>
        <v>0</v>
      </c>
      <c r="O2416" s="27">
        <f>IF($M2416="","",IF($F2416="Faltou",$M2416,0))</f>
        <v>0</v>
      </c>
      <c r="P2416" s="27">
        <f>IF($M2416="","",IF($F2416="Compareceu",MAX(0,$M2416-N($H2416)),0))</f>
        <v>0</v>
      </c>
      <c r="Q2416" s="19">
        <f>IF(AND($F2416="Compareceu",$E2416&lt;&gt;"",$A2416&lt;&gt;""),IF(IFERROR(INDEX(ProcRet,MATCH($E2416,ProcNome,0)),0)&gt;0,$A2416+INDEX(ProcRet,MATCH($E2416,ProcNome,0)),""),"")</f>
        <v>0</v>
      </c>
      <c r="R2416" s="26">
        <f>IF($Q2416="","",IF(COUNTIFS(AgPac,$D2416,AgData,"&gt;"&amp;$A2416,AgStatus,"&lt;&gt;Cancelado",AgStatus,"&lt;&gt;Remarcado")&gt;0,"Sim","Não"))</f>
        <v>0</v>
      </c>
      <c r="S2416" s="28">
        <f>IF($A2416="","",IF(AND($F2416="Agendado",$A2416-Hoje&gt;=0,$A2416-Hoje&lt;=DiasConf),"CONFIRMAR",IF(AND($A2416&lt;Hoje,OR($F2416="Agendado",$F2416="Confirmado")),"Atualizar status",IF(AND($F2416="Compareceu",$P2416&gt;0.005),"Cobrar",IF($F2416="Faltou","Falta: reagendar","")))))</f>
        <v>0</v>
      </c>
      <c r="T2416" s="29">
        <f>IF($A2416="","",DATE(YEAR($A2416),MONTH($A2416),1))</f>
        <v>0</v>
      </c>
      <c r="U2416" s="30">
        <f>IF($S2416="CONFIRMAR",MAX($U$4:$U2415)+1,"")</f>
        <v>0</v>
      </c>
      <c r="V2416" s="30">
        <f>IF(AND($R2416="Não",$Q2416&lt;&gt;"",$Q2416&lt;=Hoje+JanelaRet,$Q2416&gt;=Hoje-60),MAX($V$4:$V2415)+1,"")</f>
        <v>0</v>
      </c>
    </row>
    <row r="2417" spans="1:22">
      <c r="A2417" s="16"/>
      <c r="B2417" s="23"/>
      <c r="C2417" s="15"/>
      <c r="D2417" s="15"/>
      <c r="E2417" s="15"/>
      <c r="F2417" s="24"/>
      <c r="G2417" s="17"/>
      <c r="H2417" s="17"/>
      <c r="I2417" s="15"/>
      <c r="J2417" s="25">
        <f>IF($D2417="","",IFERROR(INDEX(PacNome,MATCH($D2417,PacCod,0)),"Paciente não cadastrado"))</f>
        <v>0</v>
      </c>
      <c r="K2417" s="26">
        <f>IF($D2417="","",IFERROR(INDEX(PacConv,MATCH($D2417,PacCod,0))&amp;"",""))</f>
        <v>0</v>
      </c>
      <c r="L2417" s="26">
        <f>IF($A2417="","",CHOOSE(WEEKDAY($A2417,2),"Seg","Ter","Qua","Qui","Sex","Sáb","Dom"))</f>
        <v>0</v>
      </c>
      <c r="M2417" s="27">
        <f>IF($E2417="","",IF($G2417&lt;&gt;"",$G2417,IFERROR(INDEX(ProcValor,MATCH($E2417,ProcNome,0)),0)))</f>
        <v>0</v>
      </c>
      <c r="N2417" s="27">
        <f>IF($M2417="","",IF($F2417="Compareceu",$M2417,0))</f>
        <v>0</v>
      </c>
      <c r="O2417" s="27">
        <f>IF($M2417="","",IF($F2417="Faltou",$M2417,0))</f>
        <v>0</v>
      </c>
      <c r="P2417" s="27">
        <f>IF($M2417="","",IF($F2417="Compareceu",MAX(0,$M2417-N($H2417)),0))</f>
        <v>0</v>
      </c>
      <c r="Q2417" s="19">
        <f>IF(AND($F2417="Compareceu",$E2417&lt;&gt;"",$A2417&lt;&gt;""),IF(IFERROR(INDEX(ProcRet,MATCH($E2417,ProcNome,0)),0)&gt;0,$A2417+INDEX(ProcRet,MATCH($E2417,ProcNome,0)),""),"")</f>
        <v>0</v>
      </c>
      <c r="R2417" s="26">
        <f>IF($Q2417="","",IF(COUNTIFS(AgPac,$D2417,AgData,"&gt;"&amp;$A2417,AgStatus,"&lt;&gt;Cancelado",AgStatus,"&lt;&gt;Remarcado")&gt;0,"Sim","Não"))</f>
        <v>0</v>
      </c>
      <c r="S2417" s="28">
        <f>IF($A2417="","",IF(AND($F2417="Agendado",$A2417-Hoje&gt;=0,$A2417-Hoje&lt;=DiasConf),"CONFIRMAR",IF(AND($A2417&lt;Hoje,OR($F2417="Agendado",$F2417="Confirmado")),"Atualizar status",IF(AND($F2417="Compareceu",$P2417&gt;0.005),"Cobrar",IF($F2417="Faltou","Falta: reagendar","")))))</f>
        <v>0</v>
      </c>
      <c r="T2417" s="29">
        <f>IF($A2417="","",DATE(YEAR($A2417),MONTH($A2417),1))</f>
        <v>0</v>
      </c>
      <c r="U2417" s="30">
        <f>IF($S2417="CONFIRMAR",MAX($U$4:$U2416)+1,"")</f>
        <v>0</v>
      </c>
      <c r="V2417" s="30">
        <f>IF(AND($R2417="Não",$Q2417&lt;&gt;"",$Q2417&lt;=Hoje+JanelaRet,$Q2417&gt;=Hoje-60),MAX($V$4:$V2416)+1,"")</f>
        <v>0</v>
      </c>
    </row>
    <row r="2418" spans="1:22">
      <c r="A2418" s="16"/>
      <c r="B2418" s="23"/>
      <c r="C2418" s="15"/>
      <c r="D2418" s="15"/>
      <c r="E2418" s="15"/>
      <c r="F2418" s="24"/>
      <c r="G2418" s="17"/>
      <c r="H2418" s="17"/>
      <c r="I2418" s="15"/>
      <c r="J2418" s="25">
        <f>IF($D2418="","",IFERROR(INDEX(PacNome,MATCH($D2418,PacCod,0)),"Paciente não cadastrado"))</f>
        <v>0</v>
      </c>
      <c r="K2418" s="26">
        <f>IF($D2418="","",IFERROR(INDEX(PacConv,MATCH($D2418,PacCod,0))&amp;"",""))</f>
        <v>0</v>
      </c>
      <c r="L2418" s="26">
        <f>IF($A2418="","",CHOOSE(WEEKDAY($A2418,2),"Seg","Ter","Qua","Qui","Sex","Sáb","Dom"))</f>
        <v>0</v>
      </c>
      <c r="M2418" s="27">
        <f>IF($E2418="","",IF($G2418&lt;&gt;"",$G2418,IFERROR(INDEX(ProcValor,MATCH($E2418,ProcNome,0)),0)))</f>
        <v>0</v>
      </c>
      <c r="N2418" s="27">
        <f>IF($M2418="","",IF($F2418="Compareceu",$M2418,0))</f>
        <v>0</v>
      </c>
      <c r="O2418" s="27">
        <f>IF($M2418="","",IF($F2418="Faltou",$M2418,0))</f>
        <v>0</v>
      </c>
      <c r="P2418" s="27">
        <f>IF($M2418="","",IF($F2418="Compareceu",MAX(0,$M2418-N($H2418)),0))</f>
        <v>0</v>
      </c>
      <c r="Q2418" s="19">
        <f>IF(AND($F2418="Compareceu",$E2418&lt;&gt;"",$A2418&lt;&gt;""),IF(IFERROR(INDEX(ProcRet,MATCH($E2418,ProcNome,0)),0)&gt;0,$A2418+INDEX(ProcRet,MATCH($E2418,ProcNome,0)),""),"")</f>
        <v>0</v>
      </c>
      <c r="R2418" s="26">
        <f>IF($Q2418="","",IF(COUNTIFS(AgPac,$D2418,AgData,"&gt;"&amp;$A2418,AgStatus,"&lt;&gt;Cancelado",AgStatus,"&lt;&gt;Remarcado")&gt;0,"Sim","Não"))</f>
        <v>0</v>
      </c>
      <c r="S2418" s="28">
        <f>IF($A2418="","",IF(AND($F2418="Agendado",$A2418-Hoje&gt;=0,$A2418-Hoje&lt;=DiasConf),"CONFIRMAR",IF(AND($A2418&lt;Hoje,OR($F2418="Agendado",$F2418="Confirmado")),"Atualizar status",IF(AND($F2418="Compareceu",$P2418&gt;0.005),"Cobrar",IF($F2418="Faltou","Falta: reagendar","")))))</f>
        <v>0</v>
      </c>
      <c r="T2418" s="29">
        <f>IF($A2418="","",DATE(YEAR($A2418),MONTH($A2418),1))</f>
        <v>0</v>
      </c>
      <c r="U2418" s="30">
        <f>IF($S2418="CONFIRMAR",MAX($U$4:$U2417)+1,"")</f>
        <v>0</v>
      </c>
      <c r="V2418" s="30">
        <f>IF(AND($R2418="Não",$Q2418&lt;&gt;"",$Q2418&lt;=Hoje+JanelaRet,$Q2418&gt;=Hoje-60),MAX($V$4:$V2417)+1,"")</f>
        <v>0</v>
      </c>
    </row>
    <row r="2419" spans="1:22">
      <c r="A2419" s="16"/>
      <c r="B2419" s="23"/>
      <c r="C2419" s="15"/>
      <c r="D2419" s="15"/>
      <c r="E2419" s="15"/>
      <c r="F2419" s="24"/>
      <c r="G2419" s="17"/>
      <c r="H2419" s="17"/>
      <c r="I2419" s="15"/>
      <c r="J2419" s="25">
        <f>IF($D2419="","",IFERROR(INDEX(PacNome,MATCH($D2419,PacCod,0)),"Paciente não cadastrado"))</f>
        <v>0</v>
      </c>
      <c r="K2419" s="26">
        <f>IF($D2419="","",IFERROR(INDEX(PacConv,MATCH($D2419,PacCod,0))&amp;"",""))</f>
        <v>0</v>
      </c>
      <c r="L2419" s="26">
        <f>IF($A2419="","",CHOOSE(WEEKDAY($A2419,2),"Seg","Ter","Qua","Qui","Sex","Sáb","Dom"))</f>
        <v>0</v>
      </c>
      <c r="M2419" s="27">
        <f>IF($E2419="","",IF($G2419&lt;&gt;"",$G2419,IFERROR(INDEX(ProcValor,MATCH($E2419,ProcNome,0)),0)))</f>
        <v>0</v>
      </c>
      <c r="N2419" s="27">
        <f>IF($M2419="","",IF($F2419="Compareceu",$M2419,0))</f>
        <v>0</v>
      </c>
      <c r="O2419" s="27">
        <f>IF($M2419="","",IF($F2419="Faltou",$M2419,0))</f>
        <v>0</v>
      </c>
      <c r="P2419" s="27">
        <f>IF($M2419="","",IF($F2419="Compareceu",MAX(0,$M2419-N($H2419)),0))</f>
        <v>0</v>
      </c>
      <c r="Q2419" s="19">
        <f>IF(AND($F2419="Compareceu",$E2419&lt;&gt;"",$A2419&lt;&gt;""),IF(IFERROR(INDEX(ProcRet,MATCH($E2419,ProcNome,0)),0)&gt;0,$A2419+INDEX(ProcRet,MATCH($E2419,ProcNome,0)),""),"")</f>
        <v>0</v>
      </c>
      <c r="R2419" s="26">
        <f>IF($Q2419="","",IF(COUNTIFS(AgPac,$D2419,AgData,"&gt;"&amp;$A2419,AgStatus,"&lt;&gt;Cancelado",AgStatus,"&lt;&gt;Remarcado")&gt;0,"Sim","Não"))</f>
        <v>0</v>
      </c>
      <c r="S2419" s="28">
        <f>IF($A2419="","",IF(AND($F2419="Agendado",$A2419-Hoje&gt;=0,$A2419-Hoje&lt;=DiasConf),"CONFIRMAR",IF(AND($A2419&lt;Hoje,OR($F2419="Agendado",$F2419="Confirmado")),"Atualizar status",IF(AND($F2419="Compareceu",$P2419&gt;0.005),"Cobrar",IF($F2419="Faltou","Falta: reagendar","")))))</f>
        <v>0</v>
      </c>
      <c r="T2419" s="29">
        <f>IF($A2419="","",DATE(YEAR($A2419),MONTH($A2419),1))</f>
        <v>0</v>
      </c>
      <c r="U2419" s="30">
        <f>IF($S2419="CONFIRMAR",MAX($U$4:$U2418)+1,"")</f>
        <v>0</v>
      </c>
      <c r="V2419" s="30">
        <f>IF(AND($R2419="Não",$Q2419&lt;&gt;"",$Q2419&lt;=Hoje+JanelaRet,$Q2419&gt;=Hoje-60),MAX($V$4:$V2418)+1,"")</f>
        <v>0</v>
      </c>
    </row>
    <row r="2420" spans="1:22">
      <c r="A2420" s="16"/>
      <c r="B2420" s="23"/>
      <c r="C2420" s="15"/>
      <c r="D2420" s="15"/>
      <c r="E2420" s="15"/>
      <c r="F2420" s="24"/>
      <c r="G2420" s="17"/>
      <c r="H2420" s="17"/>
      <c r="I2420" s="15"/>
      <c r="J2420" s="25">
        <f>IF($D2420="","",IFERROR(INDEX(PacNome,MATCH($D2420,PacCod,0)),"Paciente não cadastrado"))</f>
        <v>0</v>
      </c>
      <c r="K2420" s="26">
        <f>IF($D2420="","",IFERROR(INDEX(PacConv,MATCH($D2420,PacCod,0))&amp;"",""))</f>
        <v>0</v>
      </c>
      <c r="L2420" s="26">
        <f>IF($A2420="","",CHOOSE(WEEKDAY($A2420,2),"Seg","Ter","Qua","Qui","Sex","Sáb","Dom"))</f>
        <v>0</v>
      </c>
      <c r="M2420" s="27">
        <f>IF($E2420="","",IF($G2420&lt;&gt;"",$G2420,IFERROR(INDEX(ProcValor,MATCH($E2420,ProcNome,0)),0)))</f>
        <v>0</v>
      </c>
      <c r="N2420" s="27">
        <f>IF($M2420="","",IF($F2420="Compareceu",$M2420,0))</f>
        <v>0</v>
      </c>
      <c r="O2420" s="27">
        <f>IF($M2420="","",IF($F2420="Faltou",$M2420,0))</f>
        <v>0</v>
      </c>
      <c r="P2420" s="27">
        <f>IF($M2420="","",IF($F2420="Compareceu",MAX(0,$M2420-N($H2420)),0))</f>
        <v>0</v>
      </c>
      <c r="Q2420" s="19">
        <f>IF(AND($F2420="Compareceu",$E2420&lt;&gt;"",$A2420&lt;&gt;""),IF(IFERROR(INDEX(ProcRet,MATCH($E2420,ProcNome,0)),0)&gt;0,$A2420+INDEX(ProcRet,MATCH($E2420,ProcNome,0)),""),"")</f>
        <v>0</v>
      </c>
      <c r="R2420" s="26">
        <f>IF($Q2420="","",IF(COUNTIFS(AgPac,$D2420,AgData,"&gt;"&amp;$A2420,AgStatus,"&lt;&gt;Cancelado",AgStatus,"&lt;&gt;Remarcado")&gt;0,"Sim","Não"))</f>
        <v>0</v>
      </c>
      <c r="S2420" s="28">
        <f>IF($A2420="","",IF(AND($F2420="Agendado",$A2420-Hoje&gt;=0,$A2420-Hoje&lt;=DiasConf),"CONFIRMAR",IF(AND($A2420&lt;Hoje,OR($F2420="Agendado",$F2420="Confirmado")),"Atualizar status",IF(AND($F2420="Compareceu",$P2420&gt;0.005),"Cobrar",IF($F2420="Faltou","Falta: reagendar","")))))</f>
        <v>0</v>
      </c>
      <c r="T2420" s="29">
        <f>IF($A2420="","",DATE(YEAR($A2420),MONTH($A2420),1))</f>
        <v>0</v>
      </c>
      <c r="U2420" s="30">
        <f>IF($S2420="CONFIRMAR",MAX($U$4:$U2419)+1,"")</f>
        <v>0</v>
      </c>
      <c r="V2420" s="30">
        <f>IF(AND($R2420="Não",$Q2420&lt;&gt;"",$Q2420&lt;=Hoje+JanelaRet,$Q2420&gt;=Hoje-60),MAX($V$4:$V2419)+1,"")</f>
        <v>0</v>
      </c>
    </row>
    <row r="2421" spans="1:22">
      <c r="A2421" s="16"/>
      <c r="B2421" s="23"/>
      <c r="C2421" s="15"/>
      <c r="D2421" s="15"/>
      <c r="E2421" s="15"/>
      <c r="F2421" s="24"/>
      <c r="G2421" s="17"/>
      <c r="H2421" s="17"/>
      <c r="I2421" s="15"/>
      <c r="J2421" s="25">
        <f>IF($D2421="","",IFERROR(INDEX(PacNome,MATCH($D2421,PacCod,0)),"Paciente não cadastrado"))</f>
        <v>0</v>
      </c>
      <c r="K2421" s="26">
        <f>IF($D2421="","",IFERROR(INDEX(PacConv,MATCH($D2421,PacCod,0))&amp;"",""))</f>
        <v>0</v>
      </c>
      <c r="L2421" s="26">
        <f>IF($A2421="","",CHOOSE(WEEKDAY($A2421,2),"Seg","Ter","Qua","Qui","Sex","Sáb","Dom"))</f>
        <v>0</v>
      </c>
      <c r="M2421" s="27">
        <f>IF($E2421="","",IF($G2421&lt;&gt;"",$G2421,IFERROR(INDEX(ProcValor,MATCH($E2421,ProcNome,0)),0)))</f>
        <v>0</v>
      </c>
      <c r="N2421" s="27">
        <f>IF($M2421="","",IF($F2421="Compareceu",$M2421,0))</f>
        <v>0</v>
      </c>
      <c r="O2421" s="27">
        <f>IF($M2421="","",IF($F2421="Faltou",$M2421,0))</f>
        <v>0</v>
      </c>
      <c r="P2421" s="27">
        <f>IF($M2421="","",IF($F2421="Compareceu",MAX(0,$M2421-N($H2421)),0))</f>
        <v>0</v>
      </c>
      <c r="Q2421" s="19">
        <f>IF(AND($F2421="Compareceu",$E2421&lt;&gt;"",$A2421&lt;&gt;""),IF(IFERROR(INDEX(ProcRet,MATCH($E2421,ProcNome,0)),0)&gt;0,$A2421+INDEX(ProcRet,MATCH($E2421,ProcNome,0)),""),"")</f>
        <v>0</v>
      </c>
      <c r="R2421" s="26">
        <f>IF($Q2421="","",IF(COUNTIFS(AgPac,$D2421,AgData,"&gt;"&amp;$A2421,AgStatus,"&lt;&gt;Cancelado",AgStatus,"&lt;&gt;Remarcado")&gt;0,"Sim","Não"))</f>
        <v>0</v>
      </c>
      <c r="S2421" s="28">
        <f>IF($A2421="","",IF(AND($F2421="Agendado",$A2421-Hoje&gt;=0,$A2421-Hoje&lt;=DiasConf),"CONFIRMAR",IF(AND($A2421&lt;Hoje,OR($F2421="Agendado",$F2421="Confirmado")),"Atualizar status",IF(AND($F2421="Compareceu",$P2421&gt;0.005),"Cobrar",IF($F2421="Faltou","Falta: reagendar","")))))</f>
        <v>0</v>
      </c>
      <c r="T2421" s="29">
        <f>IF($A2421="","",DATE(YEAR($A2421),MONTH($A2421),1))</f>
        <v>0</v>
      </c>
      <c r="U2421" s="30">
        <f>IF($S2421="CONFIRMAR",MAX($U$4:$U2420)+1,"")</f>
        <v>0</v>
      </c>
      <c r="V2421" s="30">
        <f>IF(AND($R2421="Não",$Q2421&lt;&gt;"",$Q2421&lt;=Hoje+JanelaRet,$Q2421&gt;=Hoje-60),MAX($V$4:$V2420)+1,"")</f>
        <v>0</v>
      </c>
    </row>
    <row r="2422" spans="1:22">
      <c r="A2422" s="16"/>
      <c r="B2422" s="23"/>
      <c r="C2422" s="15"/>
      <c r="D2422" s="15"/>
      <c r="E2422" s="15"/>
      <c r="F2422" s="24"/>
      <c r="G2422" s="17"/>
      <c r="H2422" s="17"/>
      <c r="I2422" s="15"/>
      <c r="J2422" s="25">
        <f>IF($D2422="","",IFERROR(INDEX(PacNome,MATCH($D2422,PacCod,0)),"Paciente não cadastrado"))</f>
        <v>0</v>
      </c>
      <c r="K2422" s="26">
        <f>IF($D2422="","",IFERROR(INDEX(PacConv,MATCH($D2422,PacCod,0))&amp;"",""))</f>
        <v>0</v>
      </c>
      <c r="L2422" s="26">
        <f>IF($A2422="","",CHOOSE(WEEKDAY($A2422,2),"Seg","Ter","Qua","Qui","Sex","Sáb","Dom"))</f>
        <v>0</v>
      </c>
      <c r="M2422" s="27">
        <f>IF($E2422="","",IF($G2422&lt;&gt;"",$G2422,IFERROR(INDEX(ProcValor,MATCH($E2422,ProcNome,0)),0)))</f>
        <v>0</v>
      </c>
      <c r="N2422" s="27">
        <f>IF($M2422="","",IF($F2422="Compareceu",$M2422,0))</f>
        <v>0</v>
      </c>
      <c r="O2422" s="27">
        <f>IF($M2422="","",IF($F2422="Faltou",$M2422,0))</f>
        <v>0</v>
      </c>
      <c r="P2422" s="27">
        <f>IF($M2422="","",IF($F2422="Compareceu",MAX(0,$M2422-N($H2422)),0))</f>
        <v>0</v>
      </c>
      <c r="Q2422" s="19">
        <f>IF(AND($F2422="Compareceu",$E2422&lt;&gt;"",$A2422&lt;&gt;""),IF(IFERROR(INDEX(ProcRet,MATCH($E2422,ProcNome,0)),0)&gt;0,$A2422+INDEX(ProcRet,MATCH($E2422,ProcNome,0)),""),"")</f>
        <v>0</v>
      </c>
      <c r="R2422" s="26">
        <f>IF($Q2422="","",IF(COUNTIFS(AgPac,$D2422,AgData,"&gt;"&amp;$A2422,AgStatus,"&lt;&gt;Cancelado",AgStatus,"&lt;&gt;Remarcado")&gt;0,"Sim","Não"))</f>
        <v>0</v>
      </c>
      <c r="S2422" s="28">
        <f>IF($A2422="","",IF(AND($F2422="Agendado",$A2422-Hoje&gt;=0,$A2422-Hoje&lt;=DiasConf),"CONFIRMAR",IF(AND($A2422&lt;Hoje,OR($F2422="Agendado",$F2422="Confirmado")),"Atualizar status",IF(AND($F2422="Compareceu",$P2422&gt;0.005),"Cobrar",IF($F2422="Faltou","Falta: reagendar","")))))</f>
        <v>0</v>
      </c>
      <c r="T2422" s="29">
        <f>IF($A2422="","",DATE(YEAR($A2422),MONTH($A2422),1))</f>
        <v>0</v>
      </c>
      <c r="U2422" s="30">
        <f>IF($S2422="CONFIRMAR",MAX($U$4:$U2421)+1,"")</f>
        <v>0</v>
      </c>
      <c r="V2422" s="30">
        <f>IF(AND($R2422="Não",$Q2422&lt;&gt;"",$Q2422&lt;=Hoje+JanelaRet,$Q2422&gt;=Hoje-60),MAX($V$4:$V2421)+1,"")</f>
        <v>0</v>
      </c>
    </row>
    <row r="2423" spans="1:22">
      <c r="A2423" s="16"/>
      <c r="B2423" s="23"/>
      <c r="C2423" s="15"/>
      <c r="D2423" s="15"/>
      <c r="E2423" s="15"/>
      <c r="F2423" s="24"/>
      <c r="G2423" s="17"/>
      <c r="H2423" s="17"/>
      <c r="I2423" s="15"/>
      <c r="J2423" s="25">
        <f>IF($D2423="","",IFERROR(INDEX(PacNome,MATCH($D2423,PacCod,0)),"Paciente não cadastrado"))</f>
        <v>0</v>
      </c>
      <c r="K2423" s="26">
        <f>IF($D2423="","",IFERROR(INDEX(PacConv,MATCH($D2423,PacCod,0))&amp;"",""))</f>
        <v>0</v>
      </c>
      <c r="L2423" s="26">
        <f>IF($A2423="","",CHOOSE(WEEKDAY($A2423,2),"Seg","Ter","Qua","Qui","Sex","Sáb","Dom"))</f>
        <v>0</v>
      </c>
      <c r="M2423" s="27">
        <f>IF($E2423="","",IF($G2423&lt;&gt;"",$G2423,IFERROR(INDEX(ProcValor,MATCH($E2423,ProcNome,0)),0)))</f>
        <v>0</v>
      </c>
      <c r="N2423" s="27">
        <f>IF($M2423="","",IF($F2423="Compareceu",$M2423,0))</f>
        <v>0</v>
      </c>
      <c r="O2423" s="27">
        <f>IF($M2423="","",IF($F2423="Faltou",$M2423,0))</f>
        <v>0</v>
      </c>
      <c r="P2423" s="27">
        <f>IF($M2423="","",IF($F2423="Compareceu",MAX(0,$M2423-N($H2423)),0))</f>
        <v>0</v>
      </c>
      <c r="Q2423" s="19">
        <f>IF(AND($F2423="Compareceu",$E2423&lt;&gt;"",$A2423&lt;&gt;""),IF(IFERROR(INDEX(ProcRet,MATCH($E2423,ProcNome,0)),0)&gt;0,$A2423+INDEX(ProcRet,MATCH($E2423,ProcNome,0)),""),"")</f>
        <v>0</v>
      </c>
      <c r="R2423" s="26">
        <f>IF($Q2423="","",IF(COUNTIFS(AgPac,$D2423,AgData,"&gt;"&amp;$A2423,AgStatus,"&lt;&gt;Cancelado",AgStatus,"&lt;&gt;Remarcado")&gt;0,"Sim","Não"))</f>
        <v>0</v>
      </c>
      <c r="S2423" s="28">
        <f>IF($A2423="","",IF(AND($F2423="Agendado",$A2423-Hoje&gt;=0,$A2423-Hoje&lt;=DiasConf),"CONFIRMAR",IF(AND($A2423&lt;Hoje,OR($F2423="Agendado",$F2423="Confirmado")),"Atualizar status",IF(AND($F2423="Compareceu",$P2423&gt;0.005),"Cobrar",IF($F2423="Faltou","Falta: reagendar","")))))</f>
        <v>0</v>
      </c>
      <c r="T2423" s="29">
        <f>IF($A2423="","",DATE(YEAR($A2423),MONTH($A2423),1))</f>
        <v>0</v>
      </c>
      <c r="U2423" s="30">
        <f>IF($S2423="CONFIRMAR",MAX($U$4:$U2422)+1,"")</f>
        <v>0</v>
      </c>
      <c r="V2423" s="30">
        <f>IF(AND($R2423="Não",$Q2423&lt;&gt;"",$Q2423&lt;=Hoje+JanelaRet,$Q2423&gt;=Hoje-60),MAX($V$4:$V2422)+1,"")</f>
        <v>0</v>
      </c>
    </row>
    <row r="2424" spans="1:22">
      <c r="A2424" s="16"/>
      <c r="B2424" s="23"/>
      <c r="C2424" s="15"/>
      <c r="D2424" s="15"/>
      <c r="E2424" s="15"/>
      <c r="F2424" s="24"/>
      <c r="G2424" s="17"/>
      <c r="H2424" s="17"/>
      <c r="I2424" s="15"/>
      <c r="J2424" s="25">
        <f>IF($D2424="","",IFERROR(INDEX(PacNome,MATCH($D2424,PacCod,0)),"Paciente não cadastrado"))</f>
        <v>0</v>
      </c>
      <c r="K2424" s="26">
        <f>IF($D2424="","",IFERROR(INDEX(PacConv,MATCH($D2424,PacCod,0))&amp;"",""))</f>
        <v>0</v>
      </c>
      <c r="L2424" s="26">
        <f>IF($A2424="","",CHOOSE(WEEKDAY($A2424,2),"Seg","Ter","Qua","Qui","Sex","Sáb","Dom"))</f>
        <v>0</v>
      </c>
      <c r="M2424" s="27">
        <f>IF($E2424="","",IF($G2424&lt;&gt;"",$G2424,IFERROR(INDEX(ProcValor,MATCH($E2424,ProcNome,0)),0)))</f>
        <v>0</v>
      </c>
      <c r="N2424" s="27">
        <f>IF($M2424="","",IF($F2424="Compareceu",$M2424,0))</f>
        <v>0</v>
      </c>
      <c r="O2424" s="27">
        <f>IF($M2424="","",IF($F2424="Faltou",$M2424,0))</f>
        <v>0</v>
      </c>
      <c r="P2424" s="27">
        <f>IF($M2424="","",IF($F2424="Compareceu",MAX(0,$M2424-N($H2424)),0))</f>
        <v>0</v>
      </c>
      <c r="Q2424" s="19">
        <f>IF(AND($F2424="Compareceu",$E2424&lt;&gt;"",$A2424&lt;&gt;""),IF(IFERROR(INDEX(ProcRet,MATCH($E2424,ProcNome,0)),0)&gt;0,$A2424+INDEX(ProcRet,MATCH($E2424,ProcNome,0)),""),"")</f>
        <v>0</v>
      </c>
      <c r="R2424" s="26">
        <f>IF($Q2424="","",IF(COUNTIFS(AgPac,$D2424,AgData,"&gt;"&amp;$A2424,AgStatus,"&lt;&gt;Cancelado",AgStatus,"&lt;&gt;Remarcado")&gt;0,"Sim","Não"))</f>
        <v>0</v>
      </c>
      <c r="S2424" s="28">
        <f>IF($A2424="","",IF(AND($F2424="Agendado",$A2424-Hoje&gt;=0,$A2424-Hoje&lt;=DiasConf),"CONFIRMAR",IF(AND($A2424&lt;Hoje,OR($F2424="Agendado",$F2424="Confirmado")),"Atualizar status",IF(AND($F2424="Compareceu",$P2424&gt;0.005),"Cobrar",IF($F2424="Faltou","Falta: reagendar","")))))</f>
        <v>0</v>
      </c>
      <c r="T2424" s="29">
        <f>IF($A2424="","",DATE(YEAR($A2424),MONTH($A2424),1))</f>
        <v>0</v>
      </c>
      <c r="U2424" s="30">
        <f>IF($S2424="CONFIRMAR",MAX($U$4:$U2423)+1,"")</f>
        <v>0</v>
      </c>
      <c r="V2424" s="30">
        <f>IF(AND($R2424="Não",$Q2424&lt;&gt;"",$Q2424&lt;=Hoje+JanelaRet,$Q2424&gt;=Hoje-60),MAX($V$4:$V2423)+1,"")</f>
        <v>0</v>
      </c>
    </row>
    <row r="2425" spans="1:22">
      <c r="A2425" s="16"/>
      <c r="B2425" s="23"/>
      <c r="C2425" s="15"/>
      <c r="D2425" s="15"/>
      <c r="E2425" s="15"/>
      <c r="F2425" s="24"/>
      <c r="G2425" s="17"/>
      <c r="H2425" s="17"/>
      <c r="I2425" s="15"/>
      <c r="J2425" s="25">
        <f>IF($D2425="","",IFERROR(INDEX(PacNome,MATCH($D2425,PacCod,0)),"Paciente não cadastrado"))</f>
        <v>0</v>
      </c>
      <c r="K2425" s="26">
        <f>IF($D2425="","",IFERROR(INDEX(PacConv,MATCH($D2425,PacCod,0))&amp;"",""))</f>
        <v>0</v>
      </c>
      <c r="L2425" s="26">
        <f>IF($A2425="","",CHOOSE(WEEKDAY($A2425,2),"Seg","Ter","Qua","Qui","Sex","Sáb","Dom"))</f>
        <v>0</v>
      </c>
      <c r="M2425" s="27">
        <f>IF($E2425="","",IF($G2425&lt;&gt;"",$G2425,IFERROR(INDEX(ProcValor,MATCH($E2425,ProcNome,0)),0)))</f>
        <v>0</v>
      </c>
      <c r="N2425" s="27">
        <f>IF($M2425="","",IF($F2425="Compareceu",$M2425,0))</f>
        <v>0</v>
      </c>
      <c r="O2425" s="27">
        <f>IF($M2425="","",IF($F2425="Faltou",$M2425,0))</f>
        <v>0</v>
      </c>
      <c r="P2425" s="27">
        <f>IF($M2425="","",IF($F2425="Compareceu",MAX(0,$M2425-N($H2425)),0))</f>
        <v>0</v>
      </c>
      <c r="Q2425" s="19">
        <f>IF(AND($F2425="Compareceu",$E2425&lt;&gt;"",$A2425&lt;&gt;""),IF(IFERROR(INDEX(ProcRet,MATCH($E2425,ProcNome,0)),0)&gt;0,$A2425+INDEX(ProcRet,MATCH($E2425,ProcNome,0)),""),"")</f>
        <v>0</v>
      </c>
      <c r="R2425" s="26">
        <f>IF($Q2425="","",IF(COUNTIFS(AgPac,$D2425,AgData,"&gt;"&amp;$A2425,AgStatus,"&lt;&gt;Cancelado",AgStatus,"&lt;&gt;Remarcado")&gt;0,"Sim","Não"))</f>
        <v>0</v>
      </c>
      <c r="S2425" s="28">
        <f>IF($A2425="","",IF(AND($F2425="Agendado",$A2425-Hoje&gt;=0,$A2425-Hoje&lt;=DiasConf),"CONFIRMAR",IF(AND($A2425&lt;Hoje,OR($F2425="Agendado",$F2425="Confirmado")),"Atualizar status",IF(AND($F2425="Compareceu",$P2425&gt;0.005),"Cobrar",IF($F2425="Faltou","Falta: reagendar","")))))</f>
        <v>0</v>
      </c>
      <c r="T2425" s="29">
        <f>IF($A2425="","",DATE(YEAR($A2425),MONTH($A2425),1))</f>
        <v>0</v>
      </c>
      <c r="U2425" s="30">
        <f>IF($S2425="CONFIRMAR",MAX($U$4:$U2424)+1,"")</f>
        <v>0</v>
      </c>
      <c r="V2425" s="30">
        <f>IF(AND($R2425="Não",$Q2425&lt;&gt;"",$Q2425&lt;=Hoje+JanelaRet,$Q2425&gt;=Hoje-60),MAX($V$4:$V2424)+1,"")</f>
        <v>0</v>
      </c>
    </row>
    <row r="2426" spans="1:22">
      <c r="A2426" s="16"/>
      <c r="B2426" s="23"/>
      <c r="C2426" s="15"/>
      <c r="D2426" s="15"/>
      <c r="E2426" s="15"/>
      <c r="F2426" s="24"/>
      <c r="G2426" s="17"/>
      <c r="H2426" s="17"/>
      <c r="I2426" s="15"/>
      <c r="J2426" s="25">
        <f>IF($D2426="","",IFERROR(INDEX(PacNome,MATCH($D2426,PacCod,0)),"Paciente não cadastrado"))</f>
        <v>0</v>
      </c>
      <c r="K2426" s="26">
        <f>IF($D2426="","",IFERROR(INDEX(PacConv,MATCH($D2426,PacCod,0))&amp;"",""))</f>
        <v>0</v>
      </c>
      <c r="L2426" s="26">
        <f>IF($A2426="","",CHOOSE(WEEKDAY($A2426,2),"Seg","Ter","Qua","Qui","Sex","Sáb","Dom"))</f>
        <v>0</v>
      </c>
      <c r="M2426" s="27">
        <f>IF($E2426="","",IF($G2426&lt;&gt;"",$G2426,IFERROR(INDEX(ProcValor,MATCH($E2426,ProcNome,0)),0)))</f>
        <v>0</v>
      </c>
      <c r="N2426" s="27">
        <f>IF($M2426="","",IF($F2426="Compareceu",$M2426,0))</f>
        <v>0</v>
      </c>
      <c r="O2426" s="27">
        <f>IF($M2426="","",IF($F2426="Faltou",$M2426,0))</f>
        <v>0</v>
      </c>
      <c r="P2426" s="27">
        <f>IF($M2426="","",IF($F2426="Compareceu",MAX(0,$M2426-N($H2426)),0))</f>
        <v>0</v>
      </c>
      <c r="Q2426" s="19">
        <f>IF(AND($F2426="Compareceu",$E2426&lt;&gt;"",$A2426&lt;&gt;""),IF(IFERROR(INDEX(ProcRet,MATCH($E2426,ProcNome,0)),0)&gt;0,$A2426+INDEX(ProcRet,MATCH($E2426,ProcNome,0)),""),"")</f>
        <v>0</v>
      </c>
      <c r="R2426" s="26">
        <f>IF($Q2426="","",IF(COUNTIFS(AgPac,$D2426,AgData,"&gt;"&amp;$A2426,AgStatus,"&lt;&gt;Cancelado",AgStatus,"&lt;&gt;Remarcado")&gt;0,"Sim","Não"))</f>
        <v>0</v>
      </c>
      <c r="S2426" s="28">
        <f>IF($A2426="","",IF(AND($F2426="Agendado",$A2426-Hoje&gt;=0,$A2426-Hoje&lt;=DiasConf),"CONFIRMAR",IF(AND($A2426&lt;Hoje,OR($F2426="Agendado",$F2426="Confirmado")),"Atualizar status",IF(AND($F2426="Compareceu",$P2426&gt;0.005),"Cobrar",IF($F2426="Faltou","Falta: reagendar","")))))</f>
        <v>0</v>
      </c>
      <c r="T2426" s="29">
        <f>IF($A2426="","",DATE(YEAR($A2426),MONTH($A2426),1))</f>
        <v>0</v>
      </c>
      <c r="U2426" s="30">
        <f>IF($S2426="CONFIRMAR",MAX($U$4:$U2425)+1,"")</f>
        <v>0</v>
      </c>
      <c r="V2426" s="30">
        <f>IF(AND($R2426="Não",$Q2426&lt;&gt;"",$Q2426&lt;=Hoje+JanelaRet,$Q2426&gt;=Hoje-60),MAX($V$4:$V2425)+1,"")</f>
        <v>0</v>
      </c>
    </row>
    <row r="2427" spans="1:22">
      <c r="A2427" s="16"/>
      <c r="B2427" s="23"/>
      <c r="C2427" s="15"/>
      <c r="D2427" s="15"/>
      <c r="E2427" s="15"/>
      <c r="F2427" s="24"/>
      <c r="G2427" s="17"/>
      <c r="H2427" s="17"/>
      <c r="I2427" s="15"/>
      <c r="J2427" s="25">
        <f>IF($D2427="","",IFERROR(INDEX(PacNome,MATCH($D2427,PacCod,0)),"Paciente não cadastrado"))</f>
        <v>0</v>
      </c>
      <c r="K2427" s="26">
        <f>IF($D2427="","",IFERROR(INDEX(PacConv,MATCH($D2427,PacCod,0))&amp;"",""))</f>
        <v>0</v>
      </c>
      <c r="L2427" s="26">
        <f>IF($A2427="","",CHOOSE(WEEKDAY($A2427,2),"Seg","Ter","Qua","Qui","Sex","Sáb","Dom"))</f>
        <v>0</v>
      </c>
      <c r="M2427" s="27">
        <f>IF($E2427="","",IF($G2427&lt;&gt;"",$G2427,IFERROR(INDEX(ProcValor,MATCH($E2427,ProcNome,0)),0)))</f>
        <v>0</v>
      </c>
      <c r="N2427" s="27">
        <f>IF($M2427="","",IF($F2427="Compareceu",$M2427,0))</f>
        <v>0</v>
      </c>
      <c r="O2427" s="27">
        <f>IF($M2427="","",IF($F2427="Faltou",$M2427,0))</f>
        <v>0</v>
      </c>
      <c r="P2427" s="27">
        <f>IF($M2427="","",IF($F2427="Compareceu",MAX(0,$M2427-N($H2427)),0))</f>
        <v>0</v>
      </c>
      <c r="Q2427" s="19">
        <f>IF(AND($F2427="Compareceu",$E2427&lt;&gt;"",$A2427&lt;&gt;""),IF(IFERROR(INDEX(ProcRet,MATCH($E2427,ProcNome,0)),0)&gt;0,$A2427+INDEX(ProcRet,MATCH($E2427,ProcNome,0)),""),"")</f>
        <v>0</v>
      </c>
      <c r="R2427" s="26">
        <f>IF($Q2427="","",IF(COUNTIFS(AgPac,$D2427,AgData,"&gt;"&amp;$A2427,AgStatus,"&lt;&gt;Cancelado",AgStatus,"&lt;&gt;Remarcado")&gt;0,"Sim","Não"))</f>
        <v>0</v>
      </c>
      <c r="S2427" s="28">
        <f>IF($A2427="","",IF(AND($F2427="Agendado",$A2427-Hoje&gt;=0,$A2427-Hoje&lt;=DiasConf),"CONFIRMAR",IF(AND($A2427&lt;Hoje,OR($F2427="Agendado",$F2427="Confirmado")),"Atualizar status",IF(AND($F2427="Compareceu",$P2427&gt;0.005),"Cobrar",IF($F2427="Faltou","Falta: reagendar","")))))</f>
        <v>0</v>
      </c>
      <c r="T2427" s="29">
        <f>IF($A2427="","",DATE(YEAR($A2427),MONTH($A2427),1))</f>
        <v>0</v>
      </c>
      <c r="U2427" s="30">
        <f>IF($S2427="CONFIRMAR",MAX($U$4:$U2426)+1,"")</f>
        <v>0</v>
      </c>
      <c r="V2427" s="30">
        <f>IF(AND($R2427="Não",$Q2427&lt;&gt;"",$Q2427&lt;=Hoje+JanelaRet,$Q2427&gt;=Hoje-60),MAX($V$4:$V2426)+1,"")</f>
        <v>0</v>
      </c>
    </row>
    <row r="2428" spans="1:22">
      <c r="A2428" s="16"/>
      <c r="B2428" s="23"/>
      <c r="C2428" s="15"/>
      <c r="D2428" s="15"/>
      <c r="E2428" s="15"/>
      <c r="F2428" s="24"/>
      <c r="G2428" s="17"/>
      <c r="H2428" s="17"/>
      <c r="I2428" s="15"/>
      <c r="J2428" s="25">
        <f>IF($D2428="","",IFERROR(INDEX(PacNome,MATCH($D2428,PacCod,0)),"Paciente não cadastrado"))</f>
        <v>0</v>
      </c>
      <c r="K2428" s="26">
        <f>IF($D2428="","",IFERROR(INDEX(PacConv,MATCH($D2428,PacCod,0))&amp;"",""))</f>
        <v>0</v>
      </c>
      <c r="L2428" s="26">
        <f>IF($A2428="","",CHOOSE(WEEKDAY($A2428,2),"Seg","Ter","Qua","Qui","Sex","Sáb","Dom"))</f>
        <v>0</v>
      </c>
      <c r="M2428" s="27">
        <f>IF($E2428="","",IF($G2428&lt;&gt;"",$G2428,IFERROR(INDEX(ProcValor,MATCH($E2428,ProcNome,0)),0)))</f>
        <v>0</v>
      </c>
      <c r="N2428" s="27">
        <f>IF($M2428="","",IF($F2428="Compareceu",$M2428,0))</f>
        <v>0</v>
      </c>
      <c r="O2428" s="27">
        <f>IF($M2428="","",IF($F2428="Faltou",$M2428,0))</f>
        <v>0</v>
      </c>
      <c r="P2428" s="27">
        <f>IF($M2428="","",IF($F2428="Compareceu",MAX(0,$M2428-N($H2428)),0))</f>
        <v>0</v>
      </c>
      <c r="Q2428" s="19">
        <f>IF(AND($F2428="Compareceu",$E2428&lt;&gt;"",$A2428&lt;&gt;""),IF(IFERROR(INDEX(ProcRet,MATCH($E2428,ProcNome,0)),0)&gt;0,$A2428+INDEX(ProcRet,MATCH($E2428,ProcNome,0)),""),"")</f>
        <v>0</v>
      </c>
      <c r="R2428" s="26">
        <f>IF($Q2428="","",IF(COUNTIFS(AgPac,$D2428,AgData,"&gt;"&amp;$A2428,AgStatus,"&lt;&gt;Cancelado",AgStatus,"&lt;&gt;Remarcado")&gt;0,"Sim","Não"))</f>
        <v>0</v>
      </c>
      <c r="S2428" s="28">
        <f>IF($A2428="","",IF(AND($F2428="Agendado",$A2428-Hoje&gt;=0,$A2428-Hoje&lt;=DiasConf),"CONFIRMAR",IF(AND($A2428&lt;Hoje,OR($F2428="Agendado",$F2428="Confirmado")),"Atualizar status",IF(AND($F2428="Compareceu",$P2428&gt;0.005),"Cobrar",IF($F2428="Faltou","Falta: reagendar","")))))</f>
        <v>0</v>
      </c>
      <c r="T2428" s="29">
        <f>IF($A2428="","",DATE(YEAR($A2428),MONTH($A2428),1))</f>
        <v>0</v>
      </c>
      <c r="U2428" s="30">
        <f>IF($S2428="CONFIRMAR",MAX($U$4:$U2427)+1,"")</f>
        <v>0</v>
      </c>
      <c r="V2428" s="30">
        <f>IF(AND($R2428="Não",$Q2428&lt;&gt;"",$Q2428&lt;=Hoje+JanelaRet,$Q2428&gt;=Hoje-60),MAX($V$4:$V2427)+1,"")</f>
        <v>0</v>
      </c>
    </row>
    <row r="2429" spans="1:22">
      <c r="A2429" s="16"/>
      <c r="B2429" s="23"/>
      <c r="C2429" s="15"/>
      <c r="D2429" s="15"/>
      <c r="E2429" s="15"/>
      <c r="F2429" s="24"/>
      <c r="G2429" s="17"/>
      <c r="H2429" s="17"/>
      <c r="I2429" s="15"/>
      <c r="J2429" s="25">
        <f>IF($D2429="","",IFERROR(INDEX(PacNome,MATCH($D2429,PacCod,0)),"Paciente não cadastrado"))</f>
        <v>0</v>
      </c>
      <c r="K2429" s="26">
        <f>IF($D2429="","",IFERROR(INDEX(PacConv,MATCH($D2429,PacCod,0))&amp;"",""))</f>
        <v>0</v>
      </c>
      <c r="L2429" s="26">
        <f>IF($A2429="","",CHOOSE(WEEKDAY($A2429,2),"Seg","Ter","Qua","Qui","Sex","Sáb","Dom"))</f>
        <v>0</v>
      </c>
      <c r="M2429" s="27">
        <f>IF($E2429="","",IF($G2429&lt;&gt;"",$G2429,IFERROR(INDEX(ProcValor,MATCH($E2429,ProcNome,0)),0)))</f>
        <v>0</v>
      </c>
      <c r="N2429" s="27">
        <f>IF($M2429="","",IF($F2429="Compareceu",$M2429,0))</f>
        <v>0</v>
      </c>
      <c r="O2429" s="27">
        <f>IF($M2429="","",IF($F2429="Faltou",$M2429,0))</f>
        <v>0</v>
      </c>
      <c r="P2429" s="27">
        <f>IF($M2429="","",IF($F2429="Compareceu",MAX(0,$M2429-N($H2429)),0))</f>
        <v>0</v>
      </c>
      <c r="Q2429" s="19">
        <f>IF(AND($F2429="Compareceu",$E2429&lt;&gt;"",$A2429&lt;&gt;""),IF(IFERROR(INDEX(ProcRet,MATCH($E2429,ProcNome,0)),0)&gt;0,$A2429+INDEX(ProcRet,MATCH($E2429,ProcNome,0)),""),"")</f>
        <v>0</v>
      </c>
      <c r="R2429" s="26">
        <f>IF($Q2429="","",IF(COUNTIFS(AgPac,$D2429,AgData,"&gt;"&amp;$A2429,AgStatus,"&lt;&gt;Cancelado",AgStatus,"&lt;&gt;Remarcado")&gt;0,"Sim","Não"))</f>
        <v>0</v>
      </c>
      <c r="S2429" s="28">
        <f>IF($A2429="","",IF(AND($F2429="Agendado",$A2429-Hoje&gt;=0,$A2429-Hoje&lt;=DiasConf),"CONFIRMAR",IF(AND($A2429&lt;Hoje,OR($F2429="Agendado",$F2429="Confirmado")),"Atualizar status",IF(AND($F2429="Compareceu",$P2429&gt;0.005),"Cobrar",IF($F2429="Faltou","Falta: reagendar","")))))</f>
        <v>0</v>
      </c>
      <c r="T2429" s="29">
        <f>IF($A2429="","",DATE(YEAR($A2429),MONTH($A2429),1))</f>
        <v>0</v>
      </c>
      <c r="U2429" s="30">
        <f>IF($S2429="CONFIRMAR",MAX($U$4:$U2428)+1,"")</f>
        <v>0</v>
      </c>
      <c r="V2429" s="30">
        <f>IF(AND($R2429="Não",$Q2429&lt;&gt;"",$Q2429&lt;=Hoje+JanelaRet,$Q2429&gt;=Hoje-60),MAX($V$4:$V2428)+1,"")</f>
        <v>0</v>
      </c>
    </row>
    <row r="2430" spans="1:22">
      <c r="A2430" s="16"/>
      <c r="B2430" s="23"/>
      <c r="C2430" s="15"/>
      <c r="D2430" s="15"/>
      <c r="E2430" s="15"/>
      <c r="F2430" s="24"/>
      <c r="G2430" s="17"/>
      <c r="H2430" s="17"/>
      <c r="I2430" s="15"/>
      <c r="J2430" s="25">
        <f>IF($D2430="","",IFERROR(INDEX(PacNome,MATCH($D2430,PacCod,0)),"Paciente não cadastrado"))</f>
        <v>0</v>
      </c>
      <c r="K2430" s="26">
        <f>IF($D2430="","",IFERROR(INDEX(PacConv,MATCH($D2430,PacCod,0))&amp;"",""))</f>
        <v>0</v>
      </c>
      <c r="L2430" s="26">
        <f>IF($A2430="","",CHOOSE(WEEKDAY($A2430,2),"Seg","Ter","Qua","Qui","Sex","Sáb","Dom"))</f>
        <v>0</v>
      </c>
      <c r="M2430" s="27">
        <f>IF($E2430="","",IF($G2430&lt;&gt;"",$G2430,IFERROR(INDEX(ProcValor,MATCH($E2430,ProcNome,0)),0)))</f>
        <v>0</v>
      </c>
      <c r="N2430" s="27">
        <f>IF($M2430="","",IF($F2430="Compareceu",$M2430,0))</f>
        <v>0</v>
      </c>
      <c r="O2430" s="27">
        <f>IF($M2430="","",IF($F2430="Faltou",$M2430,0))</f>
        <v>0</v>
      </c>
      <c r="P2430" s="27">
        <f>IF($M2430="","",IF($F2430="Compareceu",MAX(0,$M2430-N($H2430)),0))</f>
        <v>0</v>
      </c>
      <c r="Q2430" s="19">
        <f>IF(AND($F2430="Compareceu",$E2430&lt;&gt;"",$A2430&lt;&gt;""),IF(IFERROR(INDEX(ProcRet,MATCH($E2430,ProcNome,0)),0)&gt;0,$A2430+INDEX(ProcRet,MATCH($E2430,ProcNome,0)),""),"")</f>
        <v>0</v>
      </c>
      <c r="R2430" s="26">
        <f>IF($Q2430="","",IF(COUNTIFS(AgPac,$D2430,AgData,"&gt;"&amp;$A2430,AgStatus,"&lt;&gt;Cancelado",AgStatus,"&lt;&gt;Remarcado")&gt;0,"Sim","Não"))</f>
        <v>0</v>
      </c>
      <c r="S2430" s="28">
        <f>IF($A2430="","",IF(AND($F2430="Agendado",$A2430-Hoje&gt;=0,$A2430-Hoje&lt;=DiasConf),"CONFIRMAR",IF(AND($A2430&lt;Hoje,OR($F2430="Agendado",$F2430="Confirmado")),"Atualizar status",IF(AND($F2430="Compareceu",$P2430&gt;0.005),"Cobrar",IF($F2430="Faltou","Falta: reagendar","")))))</f>
        <v>0</v>
      </c>
      <c r="T2430" s="29">
        <f>IF($A2430="","",DATE(YEAR($A2430),MONTH($A2430),1))</f>
        <v>0</v>
      </c>
      <c r="U2430" s="30">
        <f>IF($S2430="CONFIRMAR",MAX($U$4:$U2429)+1,"")</f>
        <v>0</v>
      </c>
      <c r="V2430" s="30">
        <f>IF(AND($R2430="Não",$Q2430&lt;&gt;"",$Q2430&lt;=Hoje+JanelaRet,$Q2430&gt;=Hoje-60),MAX($V$4:$V2429)+1,"")</f>
        <v>0</v>
      </c>
    </row>
    <row r="2431" spans="1:22">
      <c r="A2431" s="16"/>
      <c r="B2431" s="23"/>
      <c r="C2431" s="15"/>
      <c r="D2431" s="15"/>
      <c r="E2431" s="15"/>
      <c r="F2431" s="24"/>
      <c r="G2431" s="17"/>
      <c r="H2431" s="17"/>
      <c r="I2431" s="15"/>
      <c r="J2431" s="25">
        <f>IF($D2431="","",IFERROR(INDEX(PacNome,MATCH($D2431,PacCod,0)),"Paciente não cadastrado"))</f>
        <v>0</v>
      </c>
      <c r="K2431" s="26">
        <f>IF($D2431="","",IFERROR(INDEX(PacConv,MATCH($D2431,PacCod,0))&amp;"",""))</f>
        <v>0</v>
      </c>
      <c r="L2431" s="26">
        <f>IF($A2431="","",CHOOSE(WEEKDAY($A2431,2),"Seg","Ter","Qua","Qui","Sex","Sáb","Dom"))</f>
        <v>0</v>
      </c>
      <c r="M2431" s="27">
        <f>IF($E2431="","",IF($G2431&lt;&gt;"",$G2431,IFERROR(INDEX(ProcValor,MATCH($E2431,ProcNome,0)),0)))</f>
        <v>0</v>
      </c>
      <c r="N2431" s="27">
        <f>IF($M2431="","",IF($F2431="Compareceu",$M2431,0))</f>
        <v>0</v>
      </c>
      <c r="O2431" s="27">
        <f>IF($M2431="","",IF($F2431="Faltou",$M2431,0))</f>
        <v>0</v>
      </c>
      <c r="P2431" s="27">
        <f>IF($M2431="","",IF($F2431="Compareceu",MAX(0,$M2431-N($H2431)),0))</f>
        <v>0</v>
      </c>
      <c r="Q2431" s="19">
        <f>IF(AND($F2431="Compareceu",$E2431&lt;&gt;"",$A2431&lt;&gt;""),IF(IFERROR(INDEX(ProcRet,MATCH($E2431,ProcNome,0)),0)&gt;0,$A2431+INDEX(ProcRet,MATCH($E2431,ProcNome,0)),""),"")</f>
        <v>0</v>
      </c>
      <c r="R2431" s="26">
        <f>IF($Q2431="","",IF(COUNTIFS(AgPac,$D2431,AgData,"&gt;"&amp;$A2431,AgStatus,"&lt;&gt;Cancelado",AgStatus,"&lt;&gt;Remarcado")&gt;0,"Sim","Não"))</f>
        <v>0</v>
      </c>
      <c r="S2431" s="28">
        <f>IF($A2431="","",IF(AND($F2431="Agendado",$A2431-Hoje&gt;=0,$A2431-Hoje&lt;=DiasConf),"CONFIRMAR",IF(AND($A2431&lt;Hoje,OR($F2431="Agendado",$F2431="Confirmado")),"Atualizar status",IF(AND($F2431="Compareceu",$P2431&gt;0.005),"Cobrar",IF($F2431="Faltou","Falta: reagendar","")))))</f>
        <v>0</v>
      </c>
      <c r="T2431" s="29">
        <f>IF($A2431="","",DATE(YEAR($A2431),MONTH($A2431),1))</f>
        <v>0</v>
      </c>
      <c r="U2431" s="30">
        <f>IF($S2431="CONFIRMAR",MAX($U$4:$U2430)+1,"")</f>
        <v>0</v>
      </c>
      <c r="V2431" s="30">
        <f>IF(AND($R2431="Não",$Q2431&lt;&gt;"",$Q2431&lt;=Hoje+JanelaRet,$Q2431&gt;=Hoje-60),MAX($V$4:$V2430)+1,"")</f>
        <v>0</v>
      </c>
    </row>
    <row r="2432" spans="1:22">
      <c r="A2432" s="16"/>
      <c r="B2432" s="23"/>
      <c r="C2432" s="15"/>
      <c r="D2432" s="15"/>
      <c r="E2432" s="15"/>
      <c r="F2432" s="24"/>
      <c r="G2432" s="17"/>
      <c r="H2432" s="17"/>
      <c r="I2432" s="15"/>
      <c r="J2432" s="25">
        <f>IF($D2432="","",IFERROR(INDEX(PacNome,MATCH($D2432,PacCod,0)),"Paciente não cadastrado"))</f>
        <v>0</v>
      </c>
      <c r="K2432" s="26">
        <f>IF($D2432="","",IFERROR(INDEX(PacConv,MATCH($D2432,PacCod,0))&amp;"",""))</f>
        <v>0</v>
      </c>
      <c r="L2432" s="26">
        <f>IF($A2432="","",CHOOSE(WEEKDAY($A2432,2),"Seg","Ter","Qua","Qui","Sex","Sáb","Dom"))</f>
        <v>0</v>
      </c>
      <c r="M2432" s="27">
        <f>IF($E2432="","",IF($G2432&lt;&gt;"",$G2432,IFERROR(INDEX(ProcValor,MATCH($E2432,ProcNome,0)),0)))</f>
        <v>0</v>
      </c>
      <c r="N2432" s="27">
        <f>IF($M2432="","",IF($F2432="Compareceu",$M2432,0))</f>
        <v>0</v>
      </c>
      <c r="O2432" s="27">
        <f>IF($M2432="","",IF($F2432="Faltou",$M2432,0))</f>
        <v>0</v>
      </c>
      <c r="P2432" s="27">
        <f>IF($M2432="","",IF($F2432="Compareceu",MAX(0,$M2432-N($H2432)),0))</f>
        <v>0</v>
      </c>
      <c r="Q2432" s="19">
        <f>IF(AND($F2432="Compareceu",$E2432&lt;&gt;"",$A2432&lt;&gt;""),IF(IFERROR(INDEX(ProcRet,MATCH($E2432,ProcNome,0)),0)&gt;0,$A2432+INDEX(ProcRet,MATCH($E2432,ProcNome,0)),""),"")</f>
        <v>0</v>
      </c>
      <c r="R2432" s="26">
        <f>IF($Q2432="","",IF(COUNTIFS(AgPac,$D2432,AgData,"&gt;"&amp;$A2432,AgStatus,"&lt;&gt;Cancelado",AgStatus,"&lt;&gt;Remarcado")&gt;0,"Sim","Não"))</f>
        <v>0</v>
      </c>
      <c r="S2432" s="28">
        <f>IF($A2432="","",IF(AND($F2432="Agendado",$A2432-Hoje&gt;=0,$A2432-Hoje&lt;=DiasConf),"CONFIRMAR",IF(AND($A2432&lt;Hoje,OR($F2432="Agendado",$F2432="Confirmado")),"Atualizar status",IF(AND($F2432="Compareceu",$P2432&gt;0.005),"Cobrar",IF($F2432="Faltou","Falta: reagendar","")))))</f>
        <v>0</v>
      </c>
      <c r="T2432" s="29">
        <f>IF($A2432="","",DATE(YEAR($A2432),MONTH($A2432),1))</f>
        <v>0</v>
      </c>
      <c r="U2432" s="30">
        <f>IF($S2432="CONFIRMAR",MAX($U$4:$U2431)+1,"")</f>
        <v>0</v>
      </c>
      <c r="V2432" s="30">
        <f>IF(AND($R2432="Não",$Q2432&lt;&gt;"",$Q2432&lt;=Hoje+JanelaRet,$Q2432&gt;=Hoje-60),MAX($V$4:$V2431)+1,"")</f>
        <v>0</v>
      </c>
    </row>
    <row r="2433" spans="1:22">
      <c r="A2433" s="16"/>
      <c r="B2433" s="23"/>
      <c r="C2433" s="15"/>
      <c r="D2433" s="15"/>
      <c r="E2433" s="15"/>
      <c r="F2433" s="24"/>
      <c r="G2433" s="17"/>
      <c r="H2433" s="17"/>
      <c r="I2433" s="15"/>
      <c r="J2433" s="25">
        <f>IF($D2433="","",IFERROR(INDEX(PacNome,MATCH($D2433,PacCod,0)),"Paciente não cadastrado"))</f>
        <v>0</v>
      </c>
      <c r="K2433" s="26">
        <f>IF($D2433="","",IFERROR(INDEX(PacConv,MATCH($D2433,PacCod,0))&amp;"",""))</f>
        <v>0</v>
      </c>
      <c r="L2433" s="26">
        <f>IF($A2433="","",CHOOSE(WEEKDAY($A2433,2),"Seg","Ter","Qua","Qui","Sex","Sáb","Dom"))</f>
        <v>0</v>
      </c>
      <c r="M2433" s="27">
        <f>IF($E2433="","",IF($G2433&lt;&gt;"",$G2433,IFERROR(INDEX(ProcValor,MATCH($E2433,ProcNome,0)),0)))</f>
        <v>0</v>
      </c>
      <c r="N2433" s="27">
        <f>IF($M2433="","",IF($F2433="Compareceu",$M2433,0))</f>
        <v>0</v>
      </c>
      <c r="O2433" s="27">
        <f>IF($M2433="","",IF($F2433="Faltou",$M2433,0))</f>
        <v>0</v>
      </c>
      <c r="P2433" s="27">
        <f>IF($M2433="","",IF($F2433="Compareceu",MAX(0,$M2433-N($H2433)),0))</f>
        <v>0</v>
      </c>
      <c r="Q2433" s="19">
        <f>IF(AND($F2433="Compareceu",$E2433&lt;&gt;"",$A2433&lt;&gt;""),IF(IFERROR(INDEX(ProcRet,MATCH($E2433,ProcNome,0)),0)&gt;0,$A2433+INDEX(ProcRet,MATCH($E2433,ProcNome,0)),""),"")</f>
        <v>0</v>
      </c>
      <c r="R2433" s="26">
        <f>IF($Q2433="","",IF(COUNTIFS(AgPac,$D2433,AgData,"&gt;"&amp;$A2433,AgStatus,"&lt;&gt;Cancelado",AgStatus,"&lt;&gt;Remarcado")&gt;0,"Sim","Não"))</f>
        <v>0</v>
      </c>
      <c r="S2433" s="28">
        <f>IF($A2433="","",IF(AND($F2433="Agendado",$A2433-Hoje&gt;=0,$A2433-Hoje&lt;=DiasConf),"CONFIRMAR",IF(AND($A2433&lt;Hoje,OR($F2433="Agendado",$F2433="Confirmado")),"Atualizar status",IF(AND($F2433="Compareceu",$P2433&gt;0.005),"Cobrar",IF($F2433="Faltou","Falta: reagendar","")))))</f>
        <v>0</v>
      </c>
      <c r="T2433" s="29">
        <f>IF($A2433="","",DATE(YEAR($A2433),MONTH($A2433),1))</f>
        <v>0</v>
      </c>
      <c r="U2433" s="30">
        <f>IF($S2433="CONFIRMAR",MAX($U$4:$U2432)+1,"")</f>
        <v>0</v>
      </c>
      <c r="V2433" s="30">
        <f>IF(AND($R2433="Não",$Q2433&lt;&gt;"",$Q2433&lt;=Hoje+JanelaRet,$Q2433&gt;=Hoje-60),MAX($V$4:$V2432)+1,"")</f>
        <v>0</v>
      </c>
    </row>
    <row r="2434" spans="1:22">
      <c r="A2434" s="16"/>
      <c r="B2434" s="23"/>
      <c r="C2434" s="15"/>
      <c r="D2434" s="15"/>
      <c r="E2434" s="15"/>
      <c r="F2434" s="24"/>
      <c r="G2434" s="17"/>
      <c r="H2434" s="17"/>
      <c r="I2434" s="15"/>
      <c r="J2434" s="25">
        <f>IF($D2434="","",IFERROR(INDEX(PacNome,MATCH($D2434,PacCod,0)),"Paciente não cadastrado"))</f>
        <v>0</v>
      </c>
      <c r="K2434" s="26">
        <f>IF($D2434="","",IFERROR(INDEX(PacConv,MATCH($D2434,PacCod,0))&amp;"",""))</f>
        <v>0</v>
      </c>
      <c r="L2434" s="26">
        <f>IF($A2434="","",CHOOSE(WEEKDAY($A2434,2),"Seg","Ter","Qua","Qui","Sex","Sáb","Dom"))</f>
        <v>0</v>
      </c>
      <c r="M2434" s="27">
        <f>IF($E2434="","",IF($G2434&lt;&gt;"",$G2434,IFERROR(INDEX(ProcValor,MATCH($E2434,ProcNome,0)),0)))</f>
        <v>0</v>
      </c>
      <c r="N2434" s="27">
        <f>IF($M2434="","",IF($F2434="Compareceu",$M2434,0))</f>
        <v>0</v>
      </c>
      <c r="O2434" s="27">
        <f>IF($M2434="","",IF($F2434="Faltou",$M2434,0))</f>
        <v>0</v>
      </c>
      <c r="P2434" s="27">
        <f>IF($M2434="","",IF($F2434="Compareceu",MAX(0,$M2434-N($H2434)),0))</f>
        <v>0</v>
      </c>
      <c r="Q2434" s="19">
        <f>IF(AND($F2434="Compareceu",$E2434&lt;&gt;"",$A2434&lt;&gt;""),IF(IFERROR(INDEX(ProcRet,MATCH($E2434,ProcNome,0)),0)&gt;0,$A2434+INDEX(ProcRet,MATCH($E2434,ProcNome,0)),""),"")</f>
        <v>0</v>
      </c>
      <c r="R2434" s="26">
        <f>IF($Q2434="","",IF(COUNTIFS(AgPac,$D2434,AgData,"&gt;"&amp;$A2434,AgStatus,"&lt;&gt;Cancelado",AgStatus,"&lt;&gt;Remarcado")&gt;0,"Sim","Não"))</f>
        <v>0</v>
      </c>
      <c r="S2434" s="28">
        <f>IF($A2434="","",IF(AND($F2434="Agendado",$A2434-Hoje&gt;=0,$A2434-Hoje&lt;=DiasConf),"CONFIRMAR",IF(AND($A2434&lt;Hoje,OR($F2434="Agendado",$F2434="Confirmado")),"Atualizar status",IF(AND($F2434="Compareceu",$P2434&gt;0.005),"Cobrar",IF($F2434="Faltou","Falta: reagendar","")))))</f>
        <v>0</v>
      </c>
      <c r="T2434" s="29">
        <f>IF($A2434="","",DATE(YEAR($A2434),MONTH($A2434),1))</f>
        <v>0</v>
      </c>
      <c r="U2434" s="30">
        <f>IF($S2434="CONFIRMAR",MAX($U$4:$U2433)+1,"")</f>
        <v>0</v>
      </c>
      <c r="V2434" s="30">
        <f>IF(AND($R2434="Não",$Q2434&lt;&gt;"",$Q2434&lt;=Hoje+JanelaRet,$Q2434&gt;=Hoje-60),MAX($V$4:$V2433)+1,"")</f>
        <v>0</v>
      </c>
    </row>
    <row r="2435" spans="1:22">
      <c r="A2435" s="16"/>
      <c r="B2435" s="23"/>
      <c r="C2435" s="15"/>
      <c r="D2435" s="15"/>
      <c r="E2435" s="15"/>
      <c r="F2435" s="24"/>
      <c r="G2435" s="17"/>
      <c r="H2435" s="17"/>
      <c r="I2435" s="15"/>
      <c r="J2435" s="25">
        <f>IF($D2435="","",IFERROR(INDEX(PacNome,MATCH($D2435,PacCod,0)),"Paciente não cadastrado"))</f>
        <v>0</v>
      </c>
      <c r="K2435" s="26">
        <f>IF($D2435="","",IFERROR(INDEX(PacConv,MATCH($D2435,PacCod,0))&amp;"",""))</f>
        <v>0</v>
      </c>
      <c r="L2435" s="26">
        <f>IF($A2435="","",CHOOSE(WEEKDAY($A2435,2),"Seg","Ter","Qua","Qui","Sex","Sáb","Dom"))</f>
        <v>0</v>
      </c>
      <c r="M2435" s="27">
        <f>IF($E2435="","",IF($G2435&lt;&gt;"",$G2435,IFERROR(INDEX(ProcValor,MATCH($E2435,ProcNome,0)),0)))</f>
        <v>0</v>
      </c>
      <c r="N2435" s="27">
        <f>IF($M2435="","",IF($F2435="Compareceu",$M2435,0))</f>
        <v>0</v>
      </c>
      <c r="O2435" s="27">
        <f>IF($M2435="","",IF($F2435="Faltou",$M2435,0))</f>
        <v>0</v>
      </c>
      <c r="P2435" s="27">
        <f>IF($M2435="","",IF($F2435="Compareceu",MAX(0,$M2435-N($H2435)),0))</f>
        <v>0</v>
      </c>
      <c r="Q2435" s="19">
        <f>IF(AND($F2435="Compareceu",$E2435&lt;&gt;"",$A2435&lt;&gt;""),IF(IFERROR(INDEX(ProcRet,MATCH($E2435,ProcNome,0)),0)&gt;0,$A2435+INDEX(ProcRet,MATCH($E2435,ProcNome,0)),""),"")</f>
        <v>0</v>
      </c>
      <c r="R2435" s="26">
        <f>IF($Q2435="","",IF(COUNTIFS(AgPac,$D2435,AgData,"&gt;"&amp;$A2435,AgStatus,"&lt;&gt;Cancelado",AgStatus,"&lt;&gt;Remarcado")&gt;0,"Sim","Não"))</f>
        <v>0</v>
      </c>
      <c r="S2435" s="28">
        <f>IF($A2435="","",IF(AND($F2435="Agendado",$A2435-Hoje&gt;=0,$A2435-Hoje&lt;=DiasConf),"CONFIRMAR",IF(AND($A2435&lt;Hoje,OR($F2435="Agendado",$F2435="Confirmado")),"Atualizar status",IF(AND($F2435="Compareceu",$P2435&gt;0.005),"Cobrar",IF($F2435="Faltou","Falta: reagendar","")))))</f>
        <v>0</v>
      </c>
      <c r="T2435" s="29">
        <f>IF($A2435="","",DATE(YEAR($A2435),MONTH($A2435),1))</f>
        <v>0</v>
      </c>
      <c r="U2435" s="30">
        <f>IF($S2435="CONFIRMAR",MAX($U$4:$U2434)+1,"")</f>
        <v>0</v>
      </c>
      <c r="V2435" s="30">
        <f>IF(AND($R2435="Não",$Q2435&lt;&gt;"",$Q2435&lt;=Hoje+JanelaRet,$Q2435&gt;=Hoje-60),MAX($V$4:$V2434)+1,"")</f>
        <v>0</v>
      </c>
    </row>
    <row r="2436" spans="1:22">
      <c r="A2436" s="16"/>
      <c r="B2436" s="23"/>
      <c r="C2436" s="15"/>
      <c r="D2436" s="15"/>
      <c r="E2436" s="15"/>
      <c r="F2436" s="24"/>
      <c r="G2436" s="17"/>
      <c r="H2436" s="17"/>
      <c r="I2436" s="15"/>
      <c r="J2436" s="25">
        <f>IF($D2436="","",IFERROR(INDEX(PacNome,MATCH($D2436,PacCod,0)),"Paciente não cadastrado"))</f>
        <v>0</v>
      </c>
      <c r="K2436" s="26">
        <f>IF($D2436="","",IFERROR(INDEX(PacConv,MATCH($D2436,PacCod,0))&amp;"",""))</f>
        <v>0</v>
      </c>
      <c r="L2436" s="26">
        <f>IF($A2436="","",CHOOSE(WEEKDAY($A2436,2),"Seg","Ter","Qua","Qui","Sex","Sáb","Dom"))</f>
        <v>0</v>
      </c>
      <c r="M2436" s="27">
        <f>IF($E2436="","",IF($G2436&lt;&gt;"",$G2436,IFERROR(INDEX(ProcValor,MATCH($E2436,ProcNome,0)),0)))</f>
        <v>0</v>
      </c>
      <c r="N2436" s="27">
        <f>IF($M2436="","",IF($F2436="Compareceu",$M2436,0))</f>
        <v>0</v>
      </c>
      <c r="O2436" s="27">
        <f>IF($M2436="","",IF($F2436="Faltou",$M2436,0))</f>
        <v>0</v>
      </c>
      <c r="P2436" s="27">
        <f>IF($M2436="","",IF($F2436="Compareceu",MAX(0,$M2436-N($H2436)),0))</f>
        <v>0</v>
      </c>
      <c r="Q2436" s="19">
        <f>IF(AND($F2436="Compareceu",$E2436&lt;&gt;"",$A2436&lt;&gt;""),IF(IFERROR(INDEX(ProcRet,MATCH($E2436,ProcNome,0)),0)&gt;0,$A2436+INDEX(ProcRet,MATCH($E2436,ProcNome,0)),""),"")</f>
        <v>0</v>
      </c>
      <c r="R2436" s="26">
        <f>IF($Q2436="","",IF(COUNTIFS(AgPac,$D2436,AgData,"&gt;"&amp;$A2436,AgStatus,"&lt;&gt;Cancelado",AgStatus,"&lt;&gt;Remarcado")&gt;0,"Sim","Não"))</f>
        <v>0</v>
      </c>
      <c r="S2436" s="28">
        <f>IF($A2436="","",IF(AND($F2436="Agendado",$A2436-Hoje&gt;=0,$A2436-Hoje&lt;=DiasConf),"CONFIRMAR",IF(AND($A2436&lt;Hoje,OR($F2436="Agendado",$F2436="Confirmado")),"Atualizar status",IF(AND($F2436="Compareceu",$P2436&gt;0.005),"Cobrar",IF($F2436="Faltou","Falta: reagendar","")))))</f>
        <v>0</v>
      </c>
      <c r="T2436" s="29">
        <f>IF($A2436="","",DATE(YEAR($A2436),MONTH($A2436),1))</f>
        <v>0</v>
      </c>
      <c r="U2436" s="30">
        <f>IF($S2436="CONFIRMAR",MAX($U$4:$U2435)+1,"")</f>
        <v>0</v>
      </c>
      <c r="V2436" s="30">
        <f>IF(AND($R2436="Não",$Q2436&lt;&gt;"",$Q2436&lt;=Hoje+JanelaRet,$Q2436&gt;=Hoje-60),MAX($V$4:$V2435)+1,"")</f>
        <v>0</v>
      </c>
    </row>
    <row r="2437" spans="1:22">
      <c r="A2437" s="16"/>
      <c r="B2437" s="23"/>
      <c r="C2437" s="15"/>
      <c r="D2437" s="15"/>
      <c r="E2437" s="15"/>
      <c r="F2437" s="24"/>
      <c r="G2437" s="17"/>
      <c r="H2437" s="17"/>
      <c r="I2437" s="15"/>
      <c r="J2437" s="25">
        <f>IF($D2437="","",IFERROR(INDEX(PacNome,MATCH($D2437,PacCod,0)),"Paciente não cadastrado"))</f>
        <v>0</v>
      </c>
      <c r="K2437" s="26">
        <f>IF($D2437="","",IFERROR(INDEX(PacConv,MATCH($D2437,PacCod,0))&amp;"",""))</f>
        <v>0</v>
      </c>
      <c r="L2437" s="26">
        <f>IF($A2437="","",CHOOSE(WEEKDAY($A2437,2),"Seg","Ter","Qua","Qui","Sex","Sáb","Dom"))</f>
        <v>0</v>
      </c>
      <c r="M2437" s="27">
        <f>IF($E2437="","",IF($G2437&lt;&gt;"",$G2437,IFERROR(INDEX(ProcValor,MATCH($E2437,ProcNome,0)),0)))</f>
        <v>0</v>
      </c>
      <c r="N2437" s="27">
        <f>IF($M2437="","",IF($F2437="Compareceu",$M2437,0))</f>
        <v>0</v>
      </c>
      <c r="O2437" s="27">
        <f>IF($M2437="","",IF($F2437="Faltou",$M2437,0))</f>
        <v>0</v>
      </c>
      <c r="P2437" s="27">
        <f>IF($M2437="","",IF($F2437="Compareceu",MAX(0,$M2437-N($H2437)),0))</f>
        <v>0</v>
      </c>
      <c r="Q2437" s="19">
        <f>IF(AND($F2437="Compareceu",$E2437&lt;&gt;"",$A2437&lt;&gt;""),IF(IFERROR(INDEX(ProcRet,MATCH($E2437,ProcNome,0)),0)&gt;0,$A2437+INDEX(ProcRet,MATCH($E2437,ProcNome,0)),""),"")</f>
        <v>0</v>
      </c>
      <c r="R2437" s="26">
        <f>IF($Q2437="","",IF(COUNTIFS(AgPac,$D2437,AgData,"&gt;"&amp;$A2437,AgStatus,"&lt;&gt;Cancelado",AgStatus,"&lt;&gt;Remarcado")&gt;0,"Sim","Não"))</f>
        <v>0</v>
      </c>
      <c r="S2437" s="28">
        <f>IF($A2437="","",IF(AND($F2437="Agendado",$A2437-Hoje&gt;=0,$A2437-Hoje&lt;=DiasConf),"CONFIRMAR",IF(AND($A2437&lt;Hoje,OR($F2437="Agendado",$F2437="Confirmado")),"Atualizar status",IF(AND($F2437="Compareceu",$P2437&gt;0.005),"Cobrar",IF($F2437="Faltou","Falta: reagendar","")))))</f>
        <v>0</v>
      </c>
      <c r="T2437" s="29">
        <f>IF($A2437="","",DATE(YEAR($A2437),MONTH($A2437),1))</f>
        <v>0</v>
      </c>
      <c r="U2437" s="30">
        <f>IF($S2437="CONFIRMAR",MAX($U$4:$U2436)+1,"")</f>
        <v>0</v>
      </c>
      <c r="V2437" s="30">
        <f>IF(AND($R2437="Não",$Q2437&lt;&gt;"",$Q2437&lt;=Hoje+JanelaRet,$Q2437&gt;=Hoje-60),MAX($V$4:$V2436)+1,"")</f>
        <v>0</v>
      </c>
    </row>
    <row r="2438" spans="1:22">
      <c r="A2438" s="16"/>
      <c r="B2438" s="23"/>
      <c r="C2438" s="15"/>
      <c r="D2438" s="15"/>
      <c r="E2438" s="15"/>
      <c r="F2438" s="24"/>
      <c r="G2438" s="17"/>
      <c r="H2438" s="17"/>
      <c r="I2438" s="15"/>
      <c r="J2438" s="25">
        <f>IF($D2438="","",IFERROR(INDEX(PacNome,MATCH($D2438,PacCod,0)),"Paciente não cadastrado"))</f>
        <v>0</v>
      </c>
      <c r="K2438" s="26">
        <f>IF($D2438="","",IFERROR(INDEX(PacConv,MATCH($D2438,PacCod,0))&amp;"",""))</f>
        <v>0</v>
      </c>
      <c r="L2438" s="26">
        <f>IF($A2438="","",CHOOSE(WEEKDAY($A2438,2),"Seg","Ter","Qua","Qui","Sex","Sáb","Dom"))</f>
        <v>0</v>
      </c>
      <c r="M2438" s="27">
        <f>IF($E2438="","",IF($G2438&lt;&gt;"",$G2438,IFERROR(INDEX(ProcValor,MATCH($E2438,ProcNome,0)),0)))</f>
        <v>0</v>
      </c>
      <c r="N2438" s="27">
        <f>IF($M2438="","",IF($F2438="Compareceu",$M2438,0))</f>
        <v>0</v>
      </c>
      <c r="O2438" s="27">
        <f>IF($M2438="","",IF($F2438="Faltou",$M2438,0))</f>
        <v>0</v>
      </c>
      <c r="P2438" s="27">
        <f>IF($M2438="","",IF($F2438="Compareceu",MAX(0,$M2438-N($H2438)),0))</f>
        <v>0</v>
      </c>
      <c r="Q2438" s="19">
        <f>IF(AND($F2438="Compareceu",$E2438&lt;&gt;"",$A2438&lt;&gt;""),IF(IFERROR(INDEX(ProcRet,MATCH($E2438,ProcNome,0)),0)&gt;0,$A2438+INDEX(ProcRet,MATCH($E2438,ProcNome,0)),""),"")</f>
        <v>0</v>
      </c>
      <c r="R2438" s="26">
        <f>IF($Q2438="","",IF(COUNTIFS(AgPac,$D2438,AgData,"&gt;"&amp;$A2438,AgStatus,"&lt;&gt;Cancelado",AgStatus,"&lt;&gt;Remarcado")&gt;0,"Sim","Não"))</f>
        <v>0</v>
      </c>
      <c r="S2438" s="28">
        <f>IF($A2438="","",IF(AND($F2438="Agendado",$A2438-Hoje&gt;=0,$A2438-Hoje&lt;=DiasConf),"CONFIRMAR",IF(AND($A2438&lt;Hoje,OR($F2438="Agendado",$F2438="Confirmado")),"Atualizar status",IF(AND($F2438="Compareceu",$P2438&gt;0.005),"Cobrar",IF($F2438="Faltou","Falta: reagendar","")))))</f>
        <v>0</v>
      </c>
      <c r="T2438" s="29">
        <f>IF($A2438="","",DATE(YEAR($A2438),MONTH($A2438),1))</f>
        <v>0</v>
      </c>
      <c r="U2438" s="30">
        <f>IF($S2438="CONFIRMAR",MAX($U$4:$U2437)+1,"")</f>
        <v>0</v>
      </c>
      <c r="V2438" s="30">
        <f>IF(AND($R2438="Não",$Q2438&lt;&gt;"",$Q2438&lt;=Hoje+JanelaRet,$Q2438&gt;=Hoje-60),MAX($V$4:$V2437)+1,"")</f>
        <v>0</v>
      </c>
    </row>
    <row r="2439" spans="1:22">
      <c r="A2439" s="16"/>
      <c r="B2439" s="23"/>
      <c r="C2439" s="15"/>
      <c r="D2439" s="15"/>
      <c r="E2439" s="15"/>
      <c r="F2439" s="24"/>
      <c r="G2439" s="17"/>
      <c r="H2439" s="17"/>
      <c r="I2439" s="15"/>
      <c r="J2439" s="25">
        <f>IF($D2439="","",IFERROR(INDEX(PacNome,MATCH($D2439,PacCod,0)),"Paciente não cadastrado"))</f>
        <v>0</v>
      </c>
      <c r="K2439" s="26">
        <f>IF($D2439="","",IFERROR(INDEX(PacConv,MATCH($D2439,PacCod,0))&amp;"",""))</f>
        <v>0</v>
      </c>
      <c r="L2439" s="26">
        <f>IF($A2439="","",CHOOSE(WEEKDAY($A2439,2),"Seg","Ter","Qua","Qui","Sex","Sáb","Dom"))</f>
        <v>0</v>
      </c>
      <c r="M2439" s="27">
        <f>IF($E2439="","",IF($G2439&lt;&gt;"",$G2439,IFERROR(INDEX(ProcValor,MATCH($E2439,ProcNome,0)),0)))</f>
        <v>0</v>
      </c>
      <c r="N2439" s="27">
        <f>IF($M2439="","",IF($F2439="Compareceu",$M2439,0))</f>
        <v>0</v>
      </c>
      <c r="O2439" s="27">
        <f>IF($M2439="","",IF($F2439="Faltou",$M2439,0))</f>
        <v>0</v>
      </c>
      <c r="P2439" s="27">
        <f>IF($M2439="","",IF($F2439="Compareceu",MAX(0,$M2439-N($H2439)),0))</f>
        <v>0</v>
      </c>
      <c r="Q2439" s="19">
        <f>IF(AND($F2439="Compareceu",$E2439&lt;&gt;"",$A2439&lt;&gt;""),IF(IFERROR(INDEX(ProcRet,MATCH($E2439,ProcNome,0)),0)&gt;0,$A2439+INDEX(ProcRet,MATCH($E2439,ProcNome,0)),""),"")</f>
        <v>0</v>
      </c>
      <c r="R2439" s="26">
        <f>IF($Q2439="","",IF(COUNTIFS(AgPac,$D2439,AgData,"&gt;"&amp;$A2439,AgStatus,"&lt;&gt;Cancelado",AgStatus,"&lt;&gt;Remarcado")&gt;0,"Sim","Não"))</f>
        <v>0</v>
      </c>
      <c r="S2439" s="28">
        <f>IF($A2439="","",IF(AND($F2439="Agendado",$A2439-Hoje&gt;=0,$A2439-Hoje&lt;=DiasConf),"CONFIRMAR",IF(AND($A2439&lt;Hoje,OR($F2439="Agendado",$F2439="Confirmado")),"Atualizar status",IF(AND($F2439="Compareceu",$P2439&gt;0.005),"Cobrar",IF($F2439="Faltou","Falta: reagendar","")))))</f>
        <v>0</v>
      </c>
      <c r="T2439" s="29">
        <f>IF($A2439="","",DATE(YEAR($A2439),MONTH($A2439),1))</f>
        <v>0</v>
      </c>
      <c r="U2439" s="30">
        <f>IF($S2439="CONFIRMAR",MAX($U$4:$U2438)+1,"")</f>
        <v>0</v>
      </c>
      <c r="V2439" s="30">
        <f>IF(AND($R2439="Não",$Q2439&lt;&gt;"",$Q2439&lt;=Hoje+JanelaRet,$Q2439&gt;=Hoje-60),MAX($V$4:$V2438)+1,"")</f>
        <v>0</v>
      </c>
    </row>
    <row r="2440" spans="1:22">
      <c r="A2440" s="16"/>
      <c r="B2440" s="23"/>
      <c r="C2440" s="15"/>
      <c r="D2440" s="15"/>
      <c r="E2440" s="15"/>
      <c r="F2440" s="24"/>
      <c r="G2440" s="17"/>
      <c r="H2440" s="17"/>
      <c r="I2440" s="15"/>
      <c r="J2440" s="25">
        <f>IF($D2440="","",IFERROR(INDEX(PacNome,MATCH($D2440,PacCod,0)),"Paciente não cadastrado"))</f>
        <v>0</v>
      </c>
      <c r="K2440" s="26">
        <f>IF($D2440="","",IFERROR(INDEX(PacConv,MATCH($D2440,PacCod,0))&amp;"",""))</f>
        <v>0</v>
      </c>
      <c r="L2440" s="26">
        <f>IF($A2440="","",CHOOSE(WEEKDAY($A2440,2),"Seg","Ter","Qua","Qui","Sex","Sáb","Dom"))</f>
        <v>0</v>
      </c>
      <c r="M2440" s="27">
        <f>IF($E2440="","",IF($G2440&lt;&gt;"",$G2440,IFERROR(INDEX(ProcValor,MATCH($E2440,ProcNome,0)),0)))</f>
        <v>0</v>
      </c>
      <c r="N2440" s="27">
        <f>IF($M2440="","",IF($F2440="Compareceu",$M2440,0))</f>
        <v>0</v>
      </c>
      <c r="O2440" s="27">
        <f>IF($M2440="","",IF($F2440="Faltou",$M2440,0))</f>
        <v>0</v>
      </c>
      <c r="P2440" s="27">
        <f>IF($M2440="","",IF($F2440="Compareceu",MAX(0,$M2440-N($H2440)),0))</f>
        <v>0</v>
      </c>
      <c r="Q2440" s="19">
        <f>IF(AND($F2440="Compareceu",$E2440&lt;&gt;"",$A2440&lt;&gt;""),IF(IFERROR(INDEX(ProcRet,MATCH($E2440,ProcNome,0)),0)&gt;0,$A2440+INDEX(ProcRet,MATCH($E2440,ProcNome,0)),""),"")</f>
        <v>0</v>
      </c>
      <c r="R2440" s="26">
        <f>IF($Q2440="","",IF(COUNTIFS(AgPac,$D2440,AgData,"&gt;"&amp;$A2440,AgStatus,"&lt;&gt;Cancelado",AgStatus,"&lt;&gt;Remarcado")&gt;0,"Sim","Não"))</f>
        <v>0</v>
      </c>
      <c r="S2440" s="28">
        <f>IF($A2440="","",IF(AND($F2440="Agendado",$A2440-Hoje&gt;=0,$A2440-Hoje&lt;=DiasConf),"CONFIRMAR",IF(AND($A2440&lt;Hoje,OR($F2440="Agendado",$F2440="Confirmado")),"Atualizar status",IF(AND($F2440="Compareceu",$P2440&gt;0.005),"Cobrar",IF($F2440="Faltou","Falta: reagendar","")))))</f>
        <v>0</v>
      </c>
      <c r="T2440" s="29">
        <f>IF($A2440="","",DATE(YEAR($A2440),MONTH($A2440),1))</f>
        <v>0</v>
      </c>
      <c r="U2440" s="30">
        <f>IF($S2440="CONFIRMAR",MAX($U$4:$U2439)+1,"")</f>
        <v>0</v>
      </c>
      <c r="V2440" s="30">
        <f>IF(AND($R2440="Não",$Q2440&lt;&gt;"",$Q2440&lt;=Hoje+JanelaRet,$Q2440&gt;=Hoje-60),MAX($V$4:$V2439)+1,"")</f>
        <v>0</v>
      </c>
    </row>
    <row r="2441" spans="1:22">
      <c r="A2441" s="16"/>
      <c r="B2441" s="23"/>
      <c r="C2441" s="15"/>
      <c r="D2441" s="15"/>
      <c r="E2441" s="15"/>
      <c r="F2441" s="24"/>
      <c r="G2441" s="17"/>
      <c r="H2441" s="17"/>
      <c r="I2441" s="15"/>
      <c r="J2441" s="25">
        <f>IF($D2441="","",IFERROR(INDEX(PacNome,MATCH($D2441,PacCod,0)),"Paciente não cadastrado"))</f>
        <v>0</v>
      </c>
      <c r="K2441" s="26">
        <f>IF($D2441="","",IFERROR(INDEX(PacConv,MATCH($D2441,PacCod,0))&amp;"",""))</f>
        <v>0</v>
      </c>
      <c r="L2441" s="26">
        <f>IF($A2441="","",CHOOSE(WEEKDAY($A2441,2),"Seg","Ter","Qua","Qui","Sex","Sáb","Dom"))</f>
        <v>0</v>
      </c>
      <c r="M2441" s="27">
        <f>IF($E2441="","",IF($G2441&lt;&gt;"",$G2441,IFERROR(INDEX(ProcValor,MATCH($E2441,ProcNome,0)),0)))</f>
        <v>0</v>
      </c>
      <c r="N2441" s="27">
        <f>IF($M2441="","",IF($F2441="Compareceu",$M2441,0))</f>
        <v>0</v>
      </c>
      <c r="O2441" s="27">
        <f>IF($M2441="","",IF($F2441="Faltou",$M2441,0))</f>
        <v>0</v>
      </c>
      <c r="P2441" s="27">
        <f>IF($M2441="","",IF($F2441="Compareceu",MAX(0,$M2441-N($H2441)),0))</f>
        <v>0</v>
      </c>
      <c r="Q2441" s="19">
        <f>IF(AND($F2441="Compareceu",$E2441&lt;&gt;"",$A2441&lt;&gt;""),IF(IFERROR(INDEX(ProcRet,MATCH($E2441,ProcNome,0)),0)&gt;0,$A2441+INDEX(ProcRet,MATCH($E2441,ProcNome,0)),""),"")</f>
        <v>0</v>
      </c>
      <c r="R2441" s="26">
        <f>IF($Q2441="","",IF(COUNTIFS(AgPac,$D2441,AgData,"&gt;"&amp;$A2441,AgStatus,"&lt;&gt;Cancelado",AgStatus,"&lt;&gt;Remarcado")&gt;0,"Sim","Não"))</f>
        <v>0</v>
      </c>
      <c r="S2441" s="28">
        <f>IF($A2441="","",IF(AND($F2441="Agendado",$A2441-Hoje&gt;=0,$A2441-Hoje&lt;=DiasConf),"CONFIRMAR",IF(AND($A2441&lt;Hoje,OR($F2441="Agendado",$F2441="Confirmado")),"Atualizar status",IF(AND($F2441="Compareceu",$P2441&gt;0.005),"Cobrar",IF($F2441="Faltou","Falta: reagendar","")))))</f>
        <v>0</v>
      </c>
      <c r="T2441" s="29">
        <f>IF($A2441="","",DATE(YEAR($A2441),MONTH($A2441),1))</f>
        <v>0</v>
      </c>
      <c r="U2441" s="30">
        <f>IF($S2441="CONFIRMAR",MAX($U$4:$U2440)+1,"")</f>
        <v>0</v>
      </c>
      <c r="V2441" s="30">
        <f>IF(AND($R2441="Não",$Q2441&lt;&gt;"",$Q2441&lt;=Hoje+JanelaRet,$Q2441&gt;=Hoje-60),MAX($V$4:$V2440)+1,"")</f>
        <v>0</v>
      </c>
    </row>
    <row r="2442" spans="1:22">
      <c r="A2442" s="16"/>
      <c r="B2442" s="23"/>
      <c r="C2442" s="15"/>
      <c r="D2442" s="15"/>
      <c r="E2442" s="15"/>
      <c r="F2442" s="24"/>
      <c r="G2442" s="17"/>
      <c r="H2442" s="17"/>
      <c r="I2442" s="15"/>
      <c r="J2442" s="25">
        <f>IF($D2442="","",IFERROR(INDEX(PacNome,MATCH($D2442,PacCod,0)),"Paciente não cadastrado"))</f>
        <v>0</v>
      </c>
      <c r="K2442" s="26">
        <f>IF($D2442="","",IFERROR(INDEX(PacConv,MATCH($D2442,PacCod,0))&amp;"",""))</f>
        <v>0</v>
      </c>
      <c r="L2442" s="26">
        <f>IF($A2442="","",CHOOSE(WEEKDAY($A2442,2),"Seg","Ter","Qua","Qui","Sex","Sáb","Dom"))</f>
        <v>0</v>
      </c>
      <c r="M2442" s="27">
        <f>IF($E2442="","",IF($G2442&lt;&gt;"",$G2442,IFERROR(INDEX(ProcValor,MATCH($E2442,ProcNome,0)),0)))</f>
        <v>0</v>
      </c>
      <c r="N2442" s="27">
        <f>IF($M2442="","",IF($F2442="Compareceu",$M2442,0))</f>
        <v>0</v>
      </c>
      <c r="O2442" s="27">
        <f>IF($M2442="","",IF($F2442="Faltou",$M2442,0))</f>
        <v>0</v>
      </c>
      <c r="P2442" s="27">
        <f>IF($M2442="","",IF($F2442="Compareceu",MAX(0,$M2442-N($H2442)),0))</f>
        <v>0</v>
      </c>
      <c r="Q2442" s="19">
        <f>IF(AND($F2442="Compareceu",$E2442&lt;&gt;"",$A2442&lt;&gt;""),IF(IFERROR(INDEX(ProcRet,MATCH($E2442,ProcNome,0)),0)&gt;0,$A2442+INDEX(ProcRet,MATCH($E2442,ProcNome,0)),""),"")</f>
        <v>0</v>
      </c>
      <c r="R2442" s="26">
        <f>IF($Q2442="","",IF(COUNTIFS(AgPac,$D2442,AgData,"&gt;"&amp;$A2442,AgStatus,"&lt;&gt;Cancelado",AgStatus,"&lt;&gt;Remarcado")&gt;0,"Sim","Não"))</f>
        <v>0</v>
      </c>
      <c r="S2442" s="28">
        <f>IF($A2442="","",IF(AND($F2442="Agendado",$A2442-Hoje&gt;=0,$A2442-Hoje&lt;=DiasConf),"CONFIRMAR",IF(AND($A2442&lt;Hoje,OR($F2442="Agendado",$F2442="Confirmado")),"Atualizar status",IF(AND($F2442="Compareceu",$P2442&gt;0.005),"Cobrar",IF($F2442="Faltou","Falta: reagendar","")))))</f>
        <v>0</v>
      </c>
      <c r="T2442" s="29">
        <f>IF($A2442="","",DATE(YEAR($A2442),MONTH($A2442),1))</f>
        <v>0</v>
      </c>
      <c r="U2442" s="30">
        <f>IF($S2442="CONFIRMAR",MAX($U$4:$U2441)+1,"")</f>
        <v>0</v>
      </c>
      <c r="V2442" s="30">
        <f>IF(AND($R2442="Não",$Q2442&lt;&gt;"",$Q2442&lt;=Hoje+JanelaRet,$Q2442&gt;=Hoje-60),MAX($V$4:$V2441)+1,"")</f>
        <v>0</v>
      </c>
    </row>
    <row r="2443" spans="1:22">
      <c r="A2443" s="16"/>
      <c r="B2443" s="23"/>
      <c r="C2443" s="15"/>
      <c r="D2443" s="15"/>
      <c r="E2443" s="15"/>
      <c r="F2443" s="24"/>
      <c r="G2443" s="17"/>
      <c r="H2443" s="17"/>
      <c r="I2443" s="15"/>
      <c r="J2443" s="25">
        <f>IF($D2443="","",IFERROR(INDEX(PacNome,MATCH($D2443,PacCod,0)),"Paciente não cadastrado"))</f>
        <v>0</v>
      </c>
      <c r="K2443" s="26">
        <f>IF($D2443="","",IFERROR(INDEX(PacConv,MATCH($D2443,PacCod,0))&amp;"",""))</f>
        <v>0</v>
      </c>
      <c r="L2443" s="26">
        <f>IF($A2443="","",CHOOSE(WEEKDAY($A2443,2),"Seg","Ter","Qua","Qui","Sex","Sáb","Dom"))</f>
        <v>0</v>
      </c>
      <c r="M2443" s="27">
        <f>IF($E2443="","",IF($G2443&lt;&gt;"",$G2443,IFERROR(INDEX(ProcValor,MATCH($E2443,ProcNome,0)),0)))</f>
        <v>0</v>
      </c>
      <c r="N2443" s="27">
        <f>IF($M2443="","",IF($F2443="Compareceu",$M2443,0))</f>
        <v>0</v>
      </c>
      <c r="O2443" s="27">
        <f>IF($M2443="","",IF($F2443="Faltou",$M2443,0))</f>
        <v>0</v>
      </c>
      <c r="P2443" s="27">
        <f>IF($M2443="","",IF($F2443="Compareceu",MAX(0,$M2443-N($H2443)),0))</f>
        <v>0</v>
      </c>
      <c r="Q2443" s="19">
        <f>IF(AND($F2443="Compareceu",$E2443&lt;&gt;"",$A2443&lt;&gt;""),IF(IFERROR(INDEX(ProcRet,MATCH($E2443,ProcNome,0)),0)&gt;0,$A2443+INDEX(ProcRet,MATCH($E2443,ProcNome,0)),""),"")</f>
        <v>0</v>
      </c>
      <c r="R2443" s="26">
        <f>IF($Q2443="","",IF(COUNTIFS(AgPac,$D2443,AgData,"&gt;"&amp;$A2443,AgStatus,"&lt;&gt;Cancelado",AgStatus,"&lt;&gt;Remarcado")&gt;0,"Sim","Não"))</f>
        <v>0</v>
      </c>
      <c r="S2443" s="28">
        <f>IF($A2443="","",IF(AND($F2443="Agendado",$A2443-Hoje&gt;=0,$A2443-Hoje&lt;=DiasConf),"CONFIRMAR",IF(AND($A2443&lt;Hoje,OR($F2443="Agendado",$F2443="Confirmado")),"Atualizar status",IF(AND($F2443="Compareceu",$P2443&gt;0.005),"Cobrar",IF($F2443="Faltou","Falta: reagendar","")))))</f>
        <v>0</v>
      </c>
      <c r="T2443" s="29">
        <f>IF($A2443="","",DATE(YEAR($A2443),MONTH($A2443),1))</f>
        <v>0</v>
      </c>
      <c r="U2443" s="30">
        <f>IF($S2443="CONFIRMAR",MAX($U$4:$U2442)+1,"")</f>
        <v>0</v>
      </c>
      <c r="V2443" s="30">
        <f>IF(AND($R2443="Não",$Q2443&lt;&gt;"",$Q2443&lt;=Hoje+JanelaRet,$Q2443&gt;=Hoje-60),MAX($V$4:$V2442)+1,"")</f>
        <v>0</v>
      </c>
    </row>
    <row r="2444" spans="1:22">
      <c r="A2444" s="16"/>
      <c r="B2444" s="23"/>
      <c r="C2444" s="15"/>
      <c r="D2444" s="15"/>
      <c r="E2444" s="15"/>
      <c r="F2444" s="24"/>
      <c r="G2444" s="17"/>
      <c r="H2444" s="17"/>
      <c r="I2444" s="15"/>
      <c r="J2444" s="25">
        <f>IF($D2444="","",IFERROR(INDEX(PacNome,MATCH($D2444,PacCod,0)),"Paciente não cadastrado"))</f>
        <v>0</v>
      </c>
      <c r="K2444" s="26">
        <f>IF($D2444="","",IFERROR(INDEX(PacConv,MATCH($D2444,PacCod,0))&amp;"",""))</f>
        <v>0</v>
      </c>
      <c r="L2444" s="26">
        <f>IF($A2444="","",CHOOSE(WEEKDAY($A2444,2),"Seg","Ter","Qua","Qui","Sex","Sáb","Dom"))</f>
        <v>0</v>
      </c>
      <c r="M2444" s="27">
        <f>IF($E2444="","",IF($G2444&lt;&gt;"",$G2444,IFERROR(INDEX(ProcValor,MATCH($E2444,ProcNome,0)),0)))</f>
        <v>0</v>
      </c>
      <c r="N2444" s="27">
        <f>IF($M2444="","",IF($F2444="Compareceu",$M2444,0))</f>
        <v>0</v>
      </c>
      <c r="O2444" s="27">
        <f>IF($M2444="","",IF($F2444="Faltou",$M2444,0))</f>
        <v>0</v>
      </c>
      <c r="P2444" s="27">
        <f>IF($M2444="","",IF($F2444="Compareceu",MAX(0,$M2444-N($H2444)),0))</f>
        <v>0</v>
      </c>
      <c r="Q2444" s="19">
        <f>IF(AND($F2444="Compareceu",$E2444&lt;&gt;"",$A2444&lt;&gt;""),IF(IFERROR(INDEX(ProcRet,MATCH($E2444,ProcNome,0)),0)&gt;0,$A2444+INDEX(ProcRet,MATCH($E2444,ProcNome,0)),""),"")</f>
        <v>0</v>
      </c>
      <c r="R2444" s="26">
        <f>IF($Q2444="","",IF(COUNTIFS(AgPac,$D2444,AgData,"&gt;"&amp;$A2444,AgStatus,"&lt;&gt;Cancelado",AgStatus,"&lt;&gt;Remarcado")&gt;0,"Sim","Não"))</f>
        <v>0</v>
      </c>
      <c r="S2444" s="28">
        <f>IF($A2444="","",IF(AND($F2444="Agendado",$A2444-Hoje&gt;=0,$A2444-Hoje&lt;=DiasConf),"CONFIRMAR",IF(AND($A2444&lt;Hoje,OR($F2444="Agendado",$F2444="Confirmado")),"Atualizar status",IF(AND($F2444="Compareceu",$P2444&gt;0.005),"Cobrar",IF($F2444="Faltou","Falta: reagendar","")))))</f>
        <v>0</v>
      </c>
      <c r="T2444" s="29">
        <f>IF($A2444="","",DATE(YEAR($A2444),MONTH($A2444),1))</f>
        <v>0</v>
      </c>
      <c r="U2444" s="30">
        <f>IF($S2444="CONFIRMAR",MAX($U$4:$U2443)+1,"")</f>
        <v>0</v>
      </c>
      <c r="V2444" s="30">
        <f>IF(AND($R2444="Não",$Q2444&lt;&gt;"",$Q2444&lt;=Hoje+JanelaRet,$Q2444&gt;=Hoje-60),MAX($V$4:$V2443)+1,"")</f>
        <v>0</v>
      </c>
    </row>
    <row r="2445" spans="1:22">
      <c r="A2445" s="16"/>
      <c r="B2445" s="23"/>
      <c r="C2445" s="15"/>
      <c r="D2445" s="15"/>
      <c r="E2445" s="15"/>
      <c r="F2445" s="24"/>
      <c r="G2445" s="17"/>
      <c r="H2445" s="17"/>
      <c r="I2445" s="15"/>
      <c r="J2445" s="25">
        <f>IF($D2445="","",IFERROR(INDEX(PacNome,MATCH($D2445,PacCod,0)),"Paciente não cadastrado"))</f>
        <v>0</v>
      </c>
      <c r="K2445" s="26">
        <f>IF($D2445="","",IFERROR(INDEX(PacConv,MATCH($D2445,PacCod,0))&amp;"",""))</f>
        <v>0</v>
      </c>
      <c r="L2445" s="26">
        <f>IF($A2445="","",CHOOSE(WEEKDAY($A2445,2),"Seg","Ter","Qua","Qui","Sex","Sáb","Dom"))</f>
        <v>0</v>
      </c>
      <c r="M2445" s="27">
        <f>IF($E2445="","",IF($G2445&lt;&gt;"",$G2445,IFERROR(INDEX(ProcValor,MATCH($E2445,ProcNome,0)),0)))</f>
        <v>0</v>
      </c>
      <c r="N2445" s="27">
        <f>IF($M2445="","",IF($F2445="Compareceu",$M2445,0))</f>
        <v>0</v>
      </c>
      <c r="O2445" s="27">
        <f>IF($M2445="","",IF($F2445="Faltou",$M2445,0))</f>
        <v>0</v>
      </c>
      <c r="P2445" s="27">
        <f>IF($M2445="","",IF($F2445="Compareceu",MAX(0,$M2445-N($H2445)),0))</f>
        <v>0</v>
      </c>
      <c r="Q2445" s="19">
        <f>IF(AND($F2445="Compareceu",$E2445&lt;&gt;"",$A2445&lt;&gt;""),IF(IFERROR(INDEX(ProcRet,MATCH($E2445,ProcNome,0)),0)&gt;0,$A2445+INDEX(ProcRet,MATCH($E2445,ProcNome,0)),""),"")</f>
        <v>0</v>
      </c>
      <c r="R2445" s="26">
        <f>IF($Q2445="","",IF(COUNTIFS(AgPac,$D2445,AgData,"&gt;"&amp;$A2445,AgStatus,"&lt;&gt;Cancelado",AgStatus,"&lt;&gt;Remarcado")&gt;0,"Sim","Não"))</f>
        <v>0</v>
      </c>
      <c r="S2445" s="28">
        <f>IF($A2445="","",IF(AND($F2445="Agendado",$A2445-Hoje&gt;=0,$A2445-Hoje&lt;=DiasConf),"CONFIRMAR",IF(AND($A2445&lt;Hoje,OR($F2445="Agendado",$F2445="Confirmado")),"Atualizar status",IF(AND($F2445="Compareceu",$P2445&gt;0.005),"Cobrar",IF($F2445="Faltou","Falta: reagendar","")))))</f>
        <v>0</v>
      </c>
      <c r="T2445" s="29">
        <f>IF($A2445="","",DATE(YEAR($A2445),MONTH($A2445),1))</f>
        <v>0</v>
      </c>
      <c r="U2445" s="30">
        <f>IF($S2445="CONFIRMAR",MAX($U$4:$U2444)+1,"")</f>
        <v>0</v>
      </c>
      <c r="V2445" s="30">
        <f>IF(AND($R2445="Não",$Q2445&lt;&gt;"",$Q2445&lt;=Hoje+JanelaRet,$Q2445&gt;=Hoje-60),MAX($V$4:$V2444)+1,"")</f>
        <v>0</v>
      </c>
    </row>
    <row r="2446" spans="1:22">
      <c r="A2446" s="16"/>
      <c r="B2446" s="23"/>
      <c r="C2446" s="15"/>
      <c r="D2446" s="15"/>
      <c r="E2446" s="15"/>
      <c r="F2446" s="24"/>
      <c r="G2446" s="17"/>
      <c r="H2446" s="17"/>
      <c r="I2446" s="15"/>
      <c r="J2446" s="25">
        <f>IF($D2446="","",IFERROR(INDEX(PacNome,MATCH($D2446,PacCod,0)),"Paciente não cadastrado"))</f>
        <v>0</v>
      </c>
      <c r="K2446" s="26">
        <f>IF($D2446="","",IFERROR(INDEX(PacConv,MATCH($D2446,PacCod,0))&amp;"",""))</f>
        <v>0</v>
      </c>
      <c r="L2446" s="26">
        <f>IF($A2446="","",CHOOSE(WEEKDAY($A2446,2),"Seg","Ter","Qua","Qui","Sex","Sáb","Dom"))</f>
        <v>0</v>
      </c>
      <c r="M2446" s="27">
        <f>IF($E2446="","",IF($G2446&lt;&gt;"",$G2446,IFERROR(INDEX(ProcValor,MATCH($E2446,ProcNome,0)),0)))</f>
        <v>0</v>
      </c>
      <c r="N2446" s="27">
        <f>IF($M2446="","",IF($F2446="Compareceu",$M2446,0))</f>
        <v>0</v>
      </c>
      <c r="O2446" s="27">
        <f>IF($M2446="","",IF($F2446="Faltou",$M2446,0))</f>
        <v>0</v>
      </c>
      <c r="P2446" s="27">
        <f>IF($M2446="","",IF($F2446="Compareceu",MAX(0,$M2446-N($H2446)),0))</f>
        <v>0</v>
      </c>
      <c r="Q2446" s="19">
        <f>IF(AND($F2446="Compareceu",$E2446&lt;&gt;"",$A2446&lt;&gt;""),IF(IFERROR(INDEX(ProcRet,MATCH($E2446,ProcNome,0)),0)&gt;0,$A2446+INDEX(ProcRet,MATCH($E2446,ProcNome,0)),""),"")</f>
        <v>0</v>
      </c>
      <c r="R2446" s="26">
        <f>IF($Q2446="","",IF(COUNTIFS(AgPac,$D2446,AgData,"&gt;"&amp;$A2446,AgStatus,"&lt;&gt;Cancelado",AgStatus,"&lt;&gt;Remarcado")&gt;0,"Sim","Não"))</f>
        <v>0</v>
      </c>
      <c r="S2446" s="28">
        <f>IF($A2446="","",IF(AND($F2446="Agendado",$A2446-Hoje&gt;=0,$A2446-Hoje&lt;=DiasConf),"CONFIRMAR",IF(AND($A2446&lt;Hoje,OR($F2446="Agendado",$F2446="Confirmado")),"Atualizar status",IF(AND($F2446="Compareceu",$P2446&gt;0.005),"Cobrar",IF($F2446="Faltou","Falta: reagendar","")))))</f>
        <v>0</v>
      </c>
      <c r="T2446" s="29">
        <f>IF($A2446="","",DATE(YEAR($A2446),MONTH($A2446),1))</f>
        <v>0</v>
      </c>
      <c r="U2446" s="30">
        <f>IF($S2446="CONFIRMAR",MAX($U$4:$U2445)+1,"")</f>
        <v>0</v>
      </c>
      <c r="V2446" s="30">
        <f>IF(AND($R2446="Não",$Q2446&lt;&gt;"",$Q2446&lt;=Hoje+JanelaRet,$Q2446&gt;=Hoje-60),MAX($V$4:$V2445)+1,"")</f>
        <v>0</v>
      </c>
    </row>
    <row r="2447" spans="1:22">
      <c r="A2447" s="16"/>
      <c r="B2447" s="23"/>
      <c r="C2447" s="15"/>
      <c r="D2447" s="15"/>
      <c r="E2447" s="15"/>
      <c r="F2447" s="24"/>
      <c r="G2447" s="17"/>
      <c r="H2447" s="17"/>
      <c r="I2447" s="15"/>
      <c r="J2447" s="25">
        <f>IF($D2447="","",IFERROR(INDEX(PacNome,MATCH($D2447,PacCod,0)),"Paciente não cadastrado"))</f>
        <v>0</v>
      </c>
      <c r="K2447" s="26">
        <f>IF($D2447="","",IFERROR(INDEX(PacConv,MATCH($D2447,PacCod,0))&amp;"",""))</f>
        <v>0</v>
      </c>
      <c r="L2447" s="26">
        <f>IF($A2447="","",CHOOSE(WEEKDAY($A2447,2),"Seg","Ter","Qua","Qui","Sex","Sáb","Dom"))</f>
        <v>0</v>
      </c>
      <c r="M2447" s="27">
        <f>IF($E2447="","",IF($G2447&lt;&gt;"",$G2447,IFERROR(INDEX(ProcValor,MATCH($E2447,ProcNome,0)),0)))</f>
        <v>0</v>
      </c>
      <c r="N2447" s="27">
        <f>IF($M2447="","",IF($F2447="Compareceu",$M2447,0))</f>
        <v>0</v>
      </c>
      <c r="O2447" s="27">
        <f>IF($M2447="","",IF($F2447="Faltou",$M2447,0))</f>
        <v>0</v>
      </c>
      <c r="P2447" s="27">
        <f>IF($M2447="","",IF($F2447="Compareceu",MAX(0,$M2447-N($H2447)),0))</f>
        <v>0</v>
      </c>
      <c r="Q2447" s="19">
        <f>IF(AND($F2447="Compareceu",$E2447&lt;&gt;"",$A2447&lt;&gt;""),IF(IFERROR(INDEX(ProcRet,MATCH($E2447,ProcNome,0)),0)&gt;0,$A2447+INDEX(ProcRet,MATCH($E2447,ProcNome,0)),""),"")</f>
        <v>0</v>
      </c>
      <c r="R2447" s="26">
        <f>IF($Q2447="","",IF(COUNTIFS(AgPac,$D2447,AgData,"&gt;"&amp;$A2447,AgStatus,"&lt;&gt;Cancelado",AgStatus,"&lt;&gt;Remarcado")&gt;0,"Sim","Não"))</f>
        <v>0</v>
      </c>
      <c r="S2447" s="28">
        <f>IF($A2447="","",IF(AND($F2447="Agendado",$A2447-Hoje&gt;=0,$A2447-Hoje&lt;=DiasConf),"CONFIRMAR",IF(AND($A2447&lt;Hoje,OR($F2447="Agendado",$F2447="Confirmado")),"Atualizar status",IF(AND($F2447="Compareceu",$P2447&gt;0.005),"Cobrar",IF($F2447="Faltou","Falta: reagendar","")))))</f>
        <v>0</v>
      </c>
      <c r="T2447" s="29">
        <f>IF($A2447="","",DATE(YEAR($A2447),MONTH($A2447),1))</f>
        <v>0</v>
      </c>
      <c r="U2447" s="30">
        <f>IF($S2447="CONFIRMAR",MAX($U$4:$U2446)+1,"")</f>
        <v>0</v>
      </c>
      <c r="V2447" s="30">
        <f>IF(AND($R2447="Não",$Q2447&lt;&gt;"",$Q2447&lt;=Hoje+JanelaRet,$Q2447&gt;=Hoje-60),MAX($V$4:$V2446)+1,"")</f>
        <v>0</v>
      </c>
    </row>
    <row r="2448" spans="1:22">
      <c r="A2448" s="16"/>
      <c r="B2448" s="23"/>
      <c r="C2448" s="15"/>
      <c r="D2448" s="15"/>
      <c r="E2448" s="15"/>
      <c r="F2448" s="24"/>
      <c r="G2448" s="17"/>
      <c r="H2448" s="17"/>
      <c r="I2448" s="15"/>
      <c r="J2448" s="25">
        <f>IF($D2448="","",IFERROR(INDEX(PacNome,MATCH($D2448,PacCod,0)),"Paciente não cadastrado"))</f>
        <v>0</v>
      </c>
      <c r="K2448" s="26">
        <f>IF($D2448="","",IFERROR(INDEX(PacConv,MATCH($D2448,PacCod,0))&amp;"",""))</f>
        <v>0</v>
      </c>
      <c r="L2448" s="26">
        <f>IF($A2448="","",CHOOSE(WEEKDAY($A2448,2),"Seg","Ter","Qua","Qui","Sex","Sáb","Dom"))</f>
        <v>0</v>
      </c>
      <c r="M2448" s="27">
        <f>IF($E2448="","",IF($G2448&lt;&gt;"",$G2448,IFERROR(INDEX(ProcValor,MATCH($E2448,ProcNome,0)),0)))</f>
        <v>0</v>
      </c>
      <c r="N2448" s="27">
        <f>IF($M2448="","",IF($F2448="Compareceu",$M2448,0))</f>
        <v>0</v>
      </c>
      <c r="O2448" s="27">
        <f>IF($M2448="","",IF($F2448="Faltou",$M2448,0))</f>
        <v>0</v>
      </c>
      <c r="P2448" s="27">
        <f>IF($M2448="","",IF($F2448="Compareceu",MAX(0,$M2448-N($H2448)),0))</f>
        <v>0</v>
      </c>
      <c r="Q2448" s="19">
        <f>IF(AND($F2448="Compareceu",$E2448&lt;&gt;"",$A2448&lt;&gt;""),IF(IFERROR(INDEX(ProcRet,MATCH($E2448,ProcNome,0)),0)&gt;0,$A2448+INDEX(ProcRet,MATCH($E2448,ProcNome,0)),""),"")</f>
        <v>0</v>
      </c>
      <c r="R2448" s="26">
        <f>IF($Q2448="","",IF(COUNTIFS(AgPac,$D2448,AgData,"&gt;"&amp;$A2448,AgStatus,"&lt;&gt;Cancelado",AgStatus,"&lt;&gt;Remarcado")&gt;0,"Sim","Não"))</f>
        <v>0</v>
      </c>
      <c r="S2448" s="28">
        <f>IF($A2448="","",IF(AND($F2448="Agendado",$A2448-Hoje&gt;=0,$A2448-Hoje&lt;=DiasConf),"CONFIRMAR",IF(AND($A2448&lt;Hoje,OR($F2448="Agendado",$F2448="Confirmado")),"Atualizar status",IF(AND($F2448="Compareceu",$P2448&gt;0.005),"Cobrar",IF($F2448="Faltou","Falta: reagendar","")))))</f>
        <v>0</v>
      </c>
      <c r="T2448" s="29">
        <f>IF($A2448="","",DATE(YEAR($A2448),MONTH($A2448),1))</f>
        <v>0</v>
      </c>
      <c r="U2448" s="30">
        <f>IF($S2448="CONFIRMAR",MAX($U$4:$U2447)+1,"")</f>
        <v>0</v>
      </c>
      <c r="V2448" s="30">
        <f>IF(AND($R2448="Não",$Q2448&lt;&gt;"",$Q2448&lt;=Hoje+JanelaRet,$Q2448&gt;=Hoje-60),MAX($V$4:$V2447)+1,"")</f>
        <v>0</v>
      </c>
    </row>
    <row r="2449" spans="1:22">
      <c r="A2449" s="16"/>
      <c r="B2449" s="23"/>
      <c r="C2449" s="15"/>
      <c r="D2449" s="15"/>
      <c r="E2449" s="15"/>
      <c r="F2449" s="24"/>
      <c r="G2449" s="17"/>
      <c r="H2449" s="17"/>
      <c r="I2449" s="15"/>
      <c r="J2449" s="25">
        <f>IF($D2449="","",IFERROR(INDEX(PacNome,MATCH($D2449,PacCod,0)),"Paciente não cadastrado"))</f>
        <v>0</v>
      </c>
      <c r="K2449" s="26">
        <f>IF($D2449="","",IFERROR(INDEX(PacConv,MATCH($D2449,PacCod,0))&amp;"",""))</f>
        <v>0</v>
      </c>
      <c r="L2449" s="26">
        <f>IF($A2449="","",CHOOSE(WEEKDAY($A2449,2),"Seg","Ter","Qua","Qui","Sex","Sáb","Dom"))</f>
        <v>0</v>
      </c>
      <c r="M2449" s="27">
        <f>IF($E2449="","",IF($G2449&lt;&gt;"",$G2449,IFERROR(INDEX(ProcValor,MATCH($E2449,ProcNome,0)),0)))</f>
        <v>0</v>
      </c>
      <c r="N2449" s="27">
        <f>IF($M2449="","",IF($F2449="Compareceu",$M2449,0))</f>
        <v>0</v>
      </c>
      <c r="O2449" s="27">
        <f>IF($M2449="","",IF($F2449="Faltou",$M2449,0))</f>
        <v>0</v>
      </c>
      <c r="P2449" s="27">
        <f>IF($M2449="","",IF($F2449="Compareceu",MAX(0,$M2449-N($H2449)),0))</f>
        <v>0</v>
      </c>
      <c r="Q2449" s="19">
        <f>IF(AND($F2449="Compareceu",$E2449&lt;&gt;"",$A2449&lt;&gt;""),IF(IFERROR(INDEX(ProcRet,MATCH($E2449,ProcNome,0)),0)&gt;0,$A2449+INDEX(ProcRet,MATCH($E2449,ProcNome,0)),""),"")</f>
        <v>0</v>
      </c>
      <c r="R2449" s="26">
        <f>IF($Q2449="","",IF(COUNTIFS(AgPac,$D2449,AgData,"&gt;"&amp;$A2449,AgStatus,"&lt;&gt;Cancelado",AgStatus,"&lt;&gt;Remarcado")&gt;0,"Sim","Não"))</f>
        <v>0</v>
      </c>
      <c r="S2449" s="28">
        <f>IF($A2449="","",IF(AND($F2449="Agendado",$A2449-Hoje&gt;=0,$A2449-Hoje&lt;=DiasConf),"CONFIRMAR",IF(AND($A2449&lt;Hoje,OR($F2449="Agendado",$F2449="Confirmado")),"Atualizar status",IF(AND($F2449="Compareceu",$P2449&gt;0.005),"Cobrar",IF($F2449="Faltou","Falta: reagendar","")))))</f>
        <v>0</v>
      </c>
      <c r="T2449" s="29">
        <f>IF($A2449="","",DATE(YEAR($A2449),MONTH($A2449),1))</f>
        <v>0</v>
      </c>
      <c r="U2449" s="30">
        <f>IF($S2449="CONFIRMAR",MAX($U$4:$U2448)+1,"")</f>
        <v>0</v>
      </c>
      <c r="V2449" s="30">
        <f>IF(AND($R2449="Não",$Q2449&lt;&gt;"",$Q2449&lt;=Hoje+JanelaRet,$Q2449&gt;=Hoje-60),MAX($V$4:$V2448)+1,"")</f>
        <v>0</v>
      </c>
    </row>
    <row r="2450" spans="1:22">
      <c r="A2450" s="16"/>
      <c r="B2450" s="23"/>
      <c r="C2450" s="15"/>
      <c r="D2450" s="15"/>
      <c r="E2450" s="15"/>
      <c r="F2450" s="24"/>
      <c r="G2450" s="17"/>
      <c r="H2450" s="17"/>
      <c r="I2450" s="15"/>
      <c r="J2450" s="25">
        <f>IF($D2450="","",IFERROR(INDEX(PacNome,MATCH($D2450,PacCod,0)),"Paciente não cadastrado"))</f>
        <v>0</v>
      </c>
      <c r="K2450" s="26">
        <f>IF($D2450="","",IFERROR(INDEX(PacConv,MATCH($D2450,PacCod,0))&amp;"",""))</f>
        <v>0</v>
      </c>
      <c r="L2450" s="26">
        <f>IF($A2450="","",CHOOSE(WEEKDAY($A2450,2),"Seg","Ter","Qua","Qui","Sex","Sáb","Dom"))</f>
        <v>0</v>
      </c>
      <c r="M2450" s="27">
        <f>IF($E2450="","",IF($G2450&lt;&gt;"",$G2450,IFERROR(INDEX(ProcValor,MATCH($E2450,ProcNome,0)),0)))</f>
        <v>0</v>
      </c>
      <c r="N2450" s="27">
        <f>IF($M2450="","",IF($F2450="Compareceu",$M2450,0))</f>
        <v>0</v>
      </c>
      <c r="O2450" s="27">
        <f>IF($M2450="","",IF($F2450="Faltou",$M2450,0))</f>
        <v>0</v>
      </c>
      <c r="P2450" s="27">
        <f>IF($M2450="","",IF($F2450="Compareceu",MAX(0,$M2450-N($H2450)),0))</f>
        <v>0</v>
      </c>
      <c r="Q2450" s="19">
        <f>IF(AND($F2450="Compareceu",$E2450&lt;&gt;"",$A2450&lt;&gt;""),IF(IFERROR(INDEX(ProcRet,MATCH($E2450,ProcNome,0)),0)&gt;0,$A2450+INDEX(ProcRet,MATCH($E2450,ProcNome,0)),""),"")</f>
        <v>0</v>
      </c>
      <c r="R2450" s="26">
        <f>IF($Q2450="","",IF(COUNTIFS(AgPac,$D2450,AgData,"&gt;"&amp;$A2450,AgStatus,"&lt;&gt;Cancelado",AgStatus,"&lt;&gt;Remarcado")&gt;0,"Sim","Não"))</f>
        <v>0</v>
      </c>
      <c r="S2450" s="28">
        <f>IF($A2450="","",IF(AND($F2450="Agendado",$A2450-Hoje&gt;=0,$A2450-Hoje&lt;=DiasConf),"CONFIRMAR",IF(AND($A2450&lt;Hoje,OR($F2450="Agendado",$F2450="Confirmado")),"Atualizar status",IF(AND($F2450="Compareceu",$P2450&gt;0.005),"Cobrar",IF($F2450="Faltou","Falta: reagendar","")))))</f>
        <v>0</v>
      </c>
      <c r="T2450" s="29">
        <f>IF($A2450="","",DATE(YEAR($A2450),MONTH($A2450),1))</f>
        <v>0</v>
      </c>
      <c r="U2450" s="30">
        <f>IF($S2450="CONFIRMAR",MAX($U$4:$U2449)+1,"")</f>
        <v>0</v>
      </c>
      <c r="V2450" s="30">
        <f>IF(AND($R2450="Não",$Q2450&lt;&gt;"",$Q2450&lt;=Hoje+JanelaRet,$Q2450&gt;=Hoje-60),MAX($V$4:$V2449)+1,"")</f>
        <v>0</v>
      </c>
    </row>
    <row r="2451" spans="1:22">
      <c r="A2451" s="16"/>
      <c r="B2451" s="23"/>
      <c r="C2451" s="15"/>
      <c r="D2451" s="15"/>
      <c r="E2451" s="15"/>
      <c r="F2451" s="24"/>
      <c r="G2451" s="17"/>
      <c r="H2451" s="17"/>
      <c r="I2451" s="15"/>
      <c r="J2451" s="25">
        <f>IF($D2451="","",IFERROR(INDEX(PacNome,MATCH($D2451,PacCod,0)),"Paciente não cadastrado"))</f>
        <v>0</v>
      </c>
      <c r="K2451" s="26">
        <f>IF($D2451="","",IFERROR(INDEX(PacConv,MATCH($D2451,PacCod,0))&amp;"",""))</f>
        <v>0</v>
      </c>
      <c r="L2451" s="26">
        <f>IF($A2451="","",CHOOSE(WEEKDAY($A2451,2),"Seg","Ter","Qua","Qui","Sex","Sáb","Dom"))</f>
        <v>0</v>
      </c>
      <c r="M2451" s="27">
        <f>IF($E2451="","",IF($G2451&lt;&gt;"",$G2451,IFERROR(INDEX(ProcValor,MATCH($E2451,ProcNome,0)),0)))</f>
        <v>0</v>
      </c>
      <c r="N2451" s="27">
        <f>IF($M2451="","",IF($F2451="Compareceu",$M2451,0))</f>
        <v>0</v>
      </c>
      <c r="O2451" s="27">
        <f>IF($M2451="","",IF($F2451="Faltou",$M2451,0))</f>
        <v>0</v>
      </c>
      <c r="P2451" s="27">
        <f>IF($M2451="","",IF($F2451="Compareceu",MAX(0,$M2451-N($H2451)),0))</f>
        <v>0</v>
      </c>
      <c r="Q2451" s="19">
        <f>IF(AND($F2451="Compareceu",$E2451&lt;&gt;"",$A2451&lt;&gt;""),IF(IFERROR(INDEX(ProcRet,MATCH($E2451,ProcNome,0)),0)&gt;0,$A2451+INDEX(ProcRet,MATCH($E2451,ProcNome,0)),""),"")</f>
        <v>0</v>
      </c>
      <c r="R2451" s="26">
        <f>IF($Q2451="","",IF(COUNTIFS(AgPac,$D2451,AgData,"&gt;"&amp;$A2451,AgStatus,"&lt;&gt;Cancelado",AgStatus,"&lt;&gt;Remarcado")&gt;0,"Sim","Não"))</f>
        <v>0</v>
      </c>
      <c r="S2451" s="28">
        <f>IF($A2451="","",IF(AND($F2451="Agendado",$A2451-Hoje&gt;=0,$A2451-Hoje&lt;=DiasConf),"CONFIRMAR",IF(AND($A2451&lt;Hoje,OR($F2451="Agendado",$F2451="Confirmado")),"Atualizar status",IF(AND($F2451="Compareceu",$P2451&gt;0.005),"Cobrar",IF($F2451="Faltou","Falta: reagendar","")))))</f>
        <v>0</v>
      </c>
      <c r="T2451" s="29">
        <f>IF($A2451="","",DATE(YEAR($A2451),MONTH($A2451),1))</f>
        <v>0</v>
      </c>
      <c r="U2451" s="30">
        <f>IF($S2451="CONFIRMAR",MAX($U$4:$U2450)+1,"")</f>
        <v>0</v>
      </c>
      <c r="V2451" s="30">
        <f>IF(AND($R2451="Não",$Q2451&lt;&gt;"",$Q2451&lt;=Hoje+JanelaRet,$Q2451&gt;=Hoje-60),MAX($V$4:$V2450)+1,"")</f>
        <v>0</v>
      </c>
    </row>
    <row r="2452" spans="1:22">
      <c r="A2452" s="16"/>
      <c r="B2452" s="23"/>
      <c r="C2452" s="15"/>
      <c r="D2452" s="15"/>
      <c r="E2452" s="15"/>
      <c r="F2452" s="24"/>
      <c r="G2452" s="17"/>
      <c r="H2452" s="17"/>
      <c r="I2452" s="15"/>
      <c r="J2452" s="25">
        <f>IF($D2452="","",IFERROR(INDEX(PacNome,MATCH($D2452,PacCod,0)),"Paciente não cadastrado"))</f>
        <v>0</v>
      </c>
      <c r="K2452" s="26">
        <f>IF($D2452="","",IFERROR(INDEX(PacConv,MATCH($D2452,PacCod,0))&amp;"",""))</f>
        <v>0</v>
      </c>
      <c r="L2452" s="26">
        <f>IF($A2452="","",CHOOSE(WEEKDAY($A2452,2),"Seg","Ter","Qua","Qui","Sex","Sáb","Dom"))</f>
        <v>0</v>
      </c>
      <c r="M2452" s="27">
        <f>IF($E2452="","",IF($G2452&lt;&gt;"",$G2452,IFERROR(INDEX(ProcValor,MATCH($E2452,ProcNome,0)),0)))</f>
        <v>0</v>
      </c>
      <c r="N2452" s="27">
        <f>IF($M2452="","",IF($F2452="Compareceu",$M2452,0))</f>
        <v>0</v>
      </c>
      <c r="O2452" s="27">
        <f>IF($M2452="","",IF($F2452="Faltou",$M2452,0))</f>
        <v>0</v>
      </c>
      <c r="P2452" s="27">
        <f>IF($M2452="","",IF($F2452="Compareceu",MAX(0,$M2452-N($H2452)),0))</f>
        <v>0</v>
      </c>
      <c r="Q2452" s="19">
        <f>IF(AND($F2452="Compareceu",$E2452&lt;&gt;"",$A2452&lt;&gt;""),IF(IFERROR(INDEX(ProcRet,MATCH($E2452,ProcNome,0)),0)&gt;0,$A2452+INDEX(ProcRet,MATCH($E2452,ProcNome,0)),""),"")</f>
        <v>0</v>
      </c>
      <c r="R2452" s="26">
        <f>IF($Q2452="","",IF(COUNTIFS(AgPac,$D2452,AgData,"&gt;"&amp;$A2452,AgStatus,"&lt;&gt;Cancelado",AgStatus,"&lt;&gt;Remarcado")&gt;0,"Sim","Não"))</f>
        <v>0</v>
      </c>
      <c r="S2452" s="28">
        <f>IF($A2452="","",IF(AND($F2452="Agendado",$A2452-Hoje&gt;=0,$A2452-Hoje&lt;=DiasConf),"CONFIRMAR",IF(AND($A2452&lt;Hoje,OR($F2452="Agendado",$F2452="Confirmado")),"Atualizar status",IF(AND($F2452="Compareceu",$P2452&gt;0.005),"Cobrar",IF($F2452="Faltou","Falta: reagendar","")))))</f>
        <v>0</v>
      </c>
      <c r="T2452" s="29">
        <f>IF($A2452="","",DATE(YEAR($A2452),MONTH($A2452),1))</f>
        <v>0</v>
      </c>
      <c r="U2452" s="30">
        <f>IF($S2452="CONFIRMAR",MAX($U$4:$U2451)+1,"")</f>
        <v>0</v>
      </c>
      <c r="V2452" s="30">
        <f>IF(AND($R2452="Não",$Q2452&lt;&gt;"",$Q2452&lt;=Hoje+JanelaRet,$Q2452&gt;=Hoje-60),MAX($V$4:$V2451)+1,"")</f>
        <v>0</v>
      </c>
    </row>
    <row r="2453" spans="1:22">
      <c r="A2453" s="16"/>
      <c r="B2453" s="23"/>
      <c r="C2453" s="15"/>
      <c r="D2453" s="15"/>
      <c r="E2453" s="15"/>
      <c r="F2453" s="24"/>
      <c r="G2453" s="17"/>
      <c r="H2453" s="17"/>
      <c r="I2453" s="15"/>
      <c r="J2453" s="25">
        <f>IF($D2453="","",IFERROR(INDEX(PacNome,MATCH($D2453,PacCod,0)),"Paciente não cadastrado"))</f>
        <v>0</v>
      </c>
      <c r="K2453" s="26">
        <f>IF($D2453="","",IFERROR(INDEX(PacConv,MATCH($D2453,PacCod,0))&amp;"",""))</f>
        <v>0</v>
      </c>
      <c r="L2453" s="26">
        <f>IF($A2453="","",CHOOSE(WEEKDAY($A2453,2),"Seg","Ter","Qua","Qui","Sex","Sáb","Dom"))</f>
        <v>0</v>
      </c>
      <c r="M2453" s="27">
        <f>IF($E2453="","",IF($G2453&lt;&gt;"",$G2453,IFERROR(INDEX(ProcValor,MATCH($E2453,ProcNome,0)),0)))</f>
        <v>0</v>
      </c>
      <c r="N2453" s="27">
        <f>IF($M2453="","",IF($F2453="Compareceu",$M2453,0))</f>
        <v>0</v>
      </c>
      <c r="O2453" s="27">
        <f>IF($M2453="","",IF($F2453="Faltou",$M2453,0))</f>
        <v>0</v>
      </c>
      <c r="P2453" s="27">
        <f>IF($M2453="","",IF($F2453="Compareceu",MAX(0,$M2453-N($H2453)),0))</f>
        <v>0</v>
      </c>
      <c r="Q2453" s="19">
        <f>IF(AND($F2453="Compareceu",$E2453&lt;&gt;"",$A2453&lt;&gt;""),IF(IFERROR(INDEX(ProcRet,MATCH($E2453,ProcNome,0)),0)&gt;0,$A2453+INDEX(ProcRet,MATCH($E2453,ProcNome,0)),""),"")</f>
        <v>0</v>
      </c>
      <c r="R2453" s="26">
        <f>IF($Q2453="","",IF(COUNTIFS(AgPac,$D2453,AgData,"&gt;"&amp;$A2453,AgStatus,"&lt;&gt;Cancelado",AgStatus,"&lt;&gt;Remarcado")&gt;0,"Sim","Não"))</f>
        <v>0</v>
      </c>
      <c r="S2453" s="28">
        <f>IF($A2453="","",IF(AND($F2453="Agendado",$A2453-Hoje&gt;=0,$A2453-Hoje&lt;=DiasConf),"CONFIRMAR",IF(AND($A2453&lt;Hoje,OR($F2453="Agendado",$F2453="Confirmado")),"Atualizar status",IF(AND($F2453="Compareceu",$P2453&gt;0.005),"Cobrar",IF($F2453="Faltou","Falta: reagendar","")))))</f>
        <v>0</v>
      </c>
      <c r="T2453" s="29">
        <f>IF($A2453="","",DATE(YEAR($A2453),MONTH($A2453),1))</f>
        <v>0</v>
      </c>
      <c r="U2453" s="30">
        <f>IF($S2453="CONFIRMAR",MAX($U$4:$U2452)+1,"")</f>
        <v>0</v>
      </c>
      <c r="V2453" s="30">
        <f>IF(AND($R2453="Não",$Q2453&lt;&gt;"",$Q2453&lt;=Hoje+JanelaRet,$Q2453&gt;=Hoje-60),MAX($V$4:$V2452)+1,"")</f>
        <v>0</v>
      </c>
    </row>
    <row r="2454" spans="1:22">
      <c r="A2454" s="16"/>
      <c r="B2454" s="23"/>
      <c r="C2454" s="15"/>
      <c r="D2454" s="15"/>
      <c r="E2454" s="15"/>
      <c r="F2454" s="24"/>
      <c r="G2454" s="17"/>
      <c r="H2454" s="17"/>
      <c r="I2454" s="15"/>
      <c r="J2454" s="25">
        <f>IF($D2454="","",IFERROR(INDEX(PacNome,MATCH($D2454,PacCod,0)),"Paciente não cadastrado"))</f>
        <v>0</v>
      </c>
      <c r="K2454" s="26">
        <f>IF($D2454="","",IFERROR(INDEX(PacConv,MATCH($D2454,PacCod,0))&amp;"",""))</f>
        <v>0</v>
      </c>
      <c r="L2454" s="26">
        <f>IF($A2454="","",CHOOSE(WEEKDAY($A2454,2),"Seg","Ter","Qua","Qui","Sex","Sáb","Dom"))</f>
        <v>0</v>
      </c>
      <c r="M2454" s="27">
        <f>IF($E2454="","",IF($G2454&lt;&gt;"",$G2454,IFERROR(INDEX(ProcValor,MATCH($E2454,ProcNome,0)),0)))</f>
        <v>0</v>
      </c>
      <c r="N2454" s="27">
        <f>IF($M2454="","",IF($F2454="Compareceu",$M2454,0))</f>
        <v>0</v>
      </c>
      <c r="O2454" s="27">
        <f>IF($M2454="","",IF($F2454="Faltou",$M2454,0))</f>
        <v>0</v>
      </c>
      <c r="P2454" s="27">
        <f>IF($M2454="","",IF($F2454="Compareceu",MAX(0,$M2454-N($H2454)),0))</f>
        <v>0</v>
      </c>
      <c r="Q2454" s="19">
        <f>IF(AND($F2454="Compareceu",$E2454&lt;&gt;"",$A2454&lt;&gt;""),IF(IFERROR(INDEX(ProcRet,MATCH($E2454,ProcNome,0)),0)&gt;0,$A2454+INDEX(ProcRet,MATCH($E2454,ProcNome,0)),""),"")</f>
        <v>0</v>
      </c>
      <c r="R2454" s="26">
        <f>IF($Q2454="","",IF(COUNTIFS(AgPac,$D2454,AgData,"&gt;"&amp;$A2454,AgStatus,"&lt;&gt;Cancelado",AgStatus,"&lt;&gt;Remarcado")&gt;0,"Sim","Não"))</f>
        <v>0</v>
      </c>
      <c r="S2454" s="28">
        <f>IF($A2454="","",IF(AND($F2454="Agendado",$A2454-Hoje&gt;=0,$A2454-Hoje&lt;=DiasConf),"CONFIRMAR",IF(AND($A2454&lt;Hoje,OR($F2454="Agendado",$F2454="Confirmado")),"Atualizar status",IF(AND($F2454="Compareceu",$P2454&gt;0.005),"Cobrar",IF($F2454="Faltou","Falta: reagendar","")))))</f>
        <v>0</v>
      </c>
      <c r="T2454" s="29">
        <f>IF($A2454="","",DATE(YEAR($A2454),MONTH($A2454),1))</f>
        <v>0</v>
      </c>
      <c r="U2454" s="30">
        <f>IF($S2454="CONFIRMAR",MAX($U$4:$U2453)+1,"")</f>
        <v>0</v>
      </c>
      <c r="V2454" s="30">
        <f>IF(AND($R2454="Não",$Q2454&lt;&gt;"",$Q2454&lt;=Hoje+JanelaRet,$Q2454&gt;=Hoje-60),MAX($V$4:$V2453)+1,"")</f>
        <v>0</v>
      </c>
    </row>
    <row r="2455" spans="1:22">
      <c r="A2455" s="16"/>
      <c r="B2455" s="23"/>
      <c r="C2455" s="15"/>
      <c r="D2455" s="15"/>
      <c r="E2455" s="15"/>
      <c r="F2455" s="24"/>
      <c r="G2455" s="17"/>
      <c r="H2455" s="17"/>
      <c r="I2455" s="15"/>
      <c r="J2455" s="25">
        <f>IF($D2455="","",IFERROR(INDEX(PacNome,MATCH($D2455,PacCod,0)),"Paciente não cadastrado"))</f>
        <v>0</v>
      </c>
      <c r="K2455" s="26">
        <f>IF($D2455="","",IFERROR(INDEX(PacConv,MATCH($D2455,PacCod,0))&amp;"",""))</f>
        <v>0</v>
      </c>
      <c r="L2455" s="26">
        <f>IF($A2455="","",CHOOSE(WEEKDAY($A2455,2),"Seg","Ter","Qua","Qui","Sex","Sáb","Dom"))</f>
        <v>0</v>
      </c>
      <c r="M2455" s="27">
        <f>IF($E2455="","",IF($G2455&lt;&gt;"",$G2455,IFERROR(INDEX(ProcValor,MATCH($E2455,ProcNome,0)),0)))</f>
        <v>0</v>
      </c>
      <c r="N2455" s="27">
        <f>IF($M2455="","",IF($F2455="Compareceu",$M2455,0))</f>
        <v>0</v>
      </c>
      <c r="O2455" s="27">
        <f>IF($M2455="","",IF($F2455="Faltou",$M2455,0))</f>
        <v>0</v>
      </c>
      <c r="P2455" s="27">
        <f>IF($M2455="","",IF($F2455="Compareceu",MAX(0,$M2455-N($H2455)),0))</f>
        <v>0</v>
      </c>
      <c r="Q2455" s="19">
        <f>IF(AND($F2455="Compareceu",$E2455&lt;&gt;"",$A2455&lt;&gt;""),IF(IFERROR(INDEX(ProcRet,MATCH($E2455,ProcNome,0)),0)&gt;0,$A2455+INDEX(ProcRet,MATCH($E2455,ProcNome,0)),""),"")</f>
        <v>0</v>
      </c>
      <c r="R2455" s="26">
        <f>IF($Q2455="","",IF(COUNTIFS(AgPac,$D2455,AgData,"&gt;"&amp;$A2455,AgStatus,"&lt;&gt;Cancelado",AgStatus,"&lt;&gt;Remarcado")&gt;0,"Sim","Não"))</f>
        <v>0</v>
      </c>
      <c r="S2455" s="28">
        <f>IF($A2455="","",IF(AND($F2455="Agendado",$A2455-Hoje&gt;=0,$A2455-Hoje&lt;=DiasConf),"CONFIRMAR",IF(AND($A2455&lt;Hoje,OR($F2455="Agendado",$F2455="Confirmado")),"Atualizar status",IF(AND($F2455="Compareceu",$P2455&gt;0.005),"Cobrar",IF($F2455="Faltou","Falta: reagendar","")))))</f>
        <v>0</v>
      </c>
      <c r="T2455" s="29">
        <f>IF($A2455="","",DATE(YEAR($A2455),MONTH($A2455),1))</f>
        <v>0</v>
      </c>
      <c r="U2455" s="30">
        <f>IF($S2455="CONFIRMAR",MAX($U$4:$U2454)+1,"")</f>
        <v>0</v>
      </c>
      <c r="V2455" s="30">
        <f>IF(AND($R2455="Não",$Q2455&lt;&gt;"",$Q2455&lt;=Hoje+JanelaRet,$Q2455&gt;=Hoje-60),MAX($V$4:$V2454)+1,"")</f>
        <v>0</v>
      </c>
    </row>
    <row r="2456" spans="1:22">
      <c r="A2456" s="16"/>
      <c r="B2456" s="23"/>
      <c r="C2456" s="15"/>
      <c r="D2456" s="15"/>
      <c r="E2456" s="15"/>
      <c r="F2456" s="24"/>
      <c r="G2456" s="17"/>
      <c r="H2456" s="17"/>
      <c r="I2456" s="15"/>
      <c r="J2456" s="25">
        <f>IF($D2456="","",IFERROR(INDEX(PacNome,MATCH($D2456,PacCod,0)),"Paciente não cadastrado"))</f>
        <v>0</v>
      </c>
      <c r="K2456" s="26">
        <f>IF($D2456="","",IFERROR(INDEX(PacConv,MATCH($D2456,PacCod,0))&amp;"",""))</f>
        <v>0</v>
      </c>
      <c r="L2456" s="26">
        <f>IF($A2456="","",CHOOSE(WEEKDAY($A2456,2),"Seg","Ter","Qua","Qui","Sex","Sáb","Dom"))</f>
        <v>0</v>
      </c>
      <c r="M2456" s="27">
        <f>IF($E2456="","",IF($G2456&lt;&gt;"",$G2456,IFERROR(INDEX(ProcValor,MATCH($E2456,ProcNome,0)),0)))</f>
        <v>0</v>
      </c>
      <c r="N2456" s="27">
        <f>IF($M2456="","",IF($F2456="Compareceu",$M2456,0))</f>
        <v>0</v>
      </c>
      <c r="O2456" s="27">
        <f>IF($M2456="","",IF($F2456="Faltou",$M2456,0))</f>
        <v>0</v>
      </c>
      <c r="P2456" s="27">
        <f>IF($M2456="","",IF($F2456="Compareceu",MAX(0,$M2456-N($H2456)),0))</f>
        <v>0</v>
      </c>
      <c r="Q2456" s="19">
        <f>IF(AND($F2456="Compareceu",$E2456&lt;&gt;"",$A2456&lt;&gt;""),IF(IFERROR(INDEX(ProcRet,MATCH($E2456,ProcNome,0)),0)&gt;0,$A2456+INDEX(ProcRet,MATCH($E2456,ProcNome,0)),""),"")</f>
        <v>0</v>
      </c>
      <c r="R2456" s="26">
        <f>IF($Q2456="","",IF(COUNTIFS(AgPac,$D2456,AgData,"&gt;"&amp;$A2456,AgStatus,"&lt;&gt;Cancelado",AgStatus,"&lt;&gt;Remarcado")&gt;0,"Sim","Não"))</f>
        <v>0</v>
      </c>
      <c r="S2456" s="28">
        <f>IF($A2456="","",IF(AND($F2456="Agendado",$A2456-Hoje&gt;=0,$A2456-Hoje&lt;=DiasConf),"CONFIRMAR",IF(AND($A2456&lt;Hoje,OR($F2456="Agendado",$F2456="Confirmado")),"Atualizar status",IF(AND($F2456="Compareceu",$P2456&gt;0.005),"Cobrar",IF($F2456="Faltou","Falta: reagendar","")))))</f>
        <v>0</v>
      </c>
      <c r="T2456" s="29">
        <f>IF($A2456="","",DATE(YEAR($A2456),MONTH($A2456),1))</f>
        <v>0</v>
      </c>
      <c r="U2456" s="30">
        <f>IF($S2456="CONFIRMAR",MAX($U$4:$U2455)+1,"")</f>
        <v>0</v>
      </c>
      <c r="V2456" s="30">
        <f>IF(AND($R2456="Não",$Q2456&lt;&gt;"",$Q2456&lt;=Hoje+JanelaRet,$Q2456&gt;=Hoje-60),MAX($V$4:$V2455)+1,"")</f>
        <v>0</v>
      </c>
    </row>
    <row r="2457" spans="1:22">
      <c r="A2457" s="16"/>
      <c r="B2457" s="23"/>
      <c r="C2457" s="15"/>
      <c r="D2457" s="15"/>
      <c r="E2457" s="15"/>
      <c r="F2457" s="24"/>
      <c r="G2457" s="17"/>
      <c r="H2457" s="17"/>
      <c r="I2457" s="15"/>
      <c r="J2457" s="25">
        <f>IF($D2457="","",IFERROR(INDEX(PacNome,MATCH($D2457,PacCod,0)),"Paciente não cadastrado"))</f>
        <v>0</v>
      </c>
      <c r="K2457" s="26">
        <f>IF($D2457="","",IFERROR(INDEX(PacConv,MATCH($D2457,PacCod,0))&amp;"",""))</f>
        <v>0</v>
      </c>
      <c r="L2457" s="26">
        <f>IF($A2457="","",CHOOSE(WEEKDAY($A2457,2),"Seg","Ter","Qua","Qui","Sex","Sáb","Dom"))</f>
        <v>0</v>
      </c>
      <c r="M2457" s="27">
        <f>IF($E2457="","",IF($G2457&lt;&gt;"",$G2457,IFERROR(INDEX(ProcValor,MATCH($E2457,ProcNome,0)),0)))</f>
        <v>0</v>
      </c>
      <c r="N2457" s="27">
        <f>IF($M2457="","",IF($F2457="Compareceu",$M2457,0))</f>
        <v>0</v>
      </c>
      <c r="O2457" s="27">
        <f>IF($M2457="","",IF($F2457="Faltou",$M2457,0))</f>
        <v>0</v>
      </c>
      <c r="P2457" s="27">
        <f>IF($M2457="","",IF($F2457="Compareceu",MAX(0,$M2457-N($H2457)),0))</f>
        <v>0</v>
      </c>
      <c r="Q2457" s="19">
        <f>IF(AND($F2457="Compareceu",$E2457&lt;&gt;"",$A2457&lt;&gt;""),IF(IFERROR(INDEX(ProcRet,MATCH($E2457,ProcNome,0)),0)&gt;0,$A2457+INDEX(ProcRet,MATCH($E2457,ProcNome,0)),""),"")</f>
        <v>0</v>
      </c>
      <c r="R2457" s="26">
        <f>IF($Q2457="","",IF(COUNTIFS(AgPac,$D2457,AgData,"&gt;"&amp;$A2457,AgStatus,"&lt;&gt;Cancelado",AgStatus,"&lt;&gt;Remarcado")&gt;0,"Sim","Não"))</f>
        <v>0</v>
      </c>
      <c r="S2457" s="28">
        <f>IF($A2457="","",IF(AND($F2457="Agendado",$A2457-Hoje&gt;=0,$A2457-Hoje&lt;=DiasConf),"CONFIRMAR",IF(AND($A2457&lt;Hoje,OR($F2457="Agendado",$F2457="Confirmado")),"Atualizar status",IF(AND($F2457="Compareceu",$P2457&gt;0.005),"Cobrar",IF($F2457="Faltou","Falta: reagendar","")))))</f>
        <v>0</v>
      </c>
      <c r="T2457" s="29">
        <f>IF($A2457="","",DATE(YEAR($A2457),MONTH($A2457),1))</f>
        <v>0</v>
      </c>
      <c r="U2457" s="30">
        <f>IF($S2457="CONFIRMAR",MAX($U$4:$U2456)+1,"")</f>
        <v>0</v>
      </c>
      <c r="V2457" s="30">
        <f>IF(AND($R2457="Não",$Q2457&lt;&gt;"",$Q2457&lt;=Hoje+JanelaRet,$Q2457&gt;=Hoje-60),MAX($V$4:$V2456)+1,"")</f>
        <v>0</v>
      </c>
    </row>
    <row r="2458" spans="1:22">
      <c r="A2458" s="16"/>
      <c r="B2458" s="23"/>
      <c r="C2458" s="15"/>
      <c r="D2458" s="15"/>
      <c r="E2458" s="15"/>
      <c r="F2458" s="24"/>
      <c r="G2458" s="17"/>
      <c r="H2458" s="17"/>
      <c r="I2458" s="15"/>
      <c r="J2458" s="25">
        <f>IF($D2458="","",IFERROR(INDEX(PacNome,MATCH($D2458,PacCod,0)),"Paciente não cadastrado"))</f>
        <v>0</v>
      </c>
      <c r="K2458" s="26">
        <f>IF($D2458="","",IFERROR(INDEX(PacConv,MATCH($D2458,PacCod,0))&amp;"",""))</f>
        <v>0</v>
      </c>
      <c r="L2458" s="26">
        <f>IF($A2458="","",CHOOSE(WEEKDAY($A2458,2),"Seg","Ter","Qua","Qui","Sex","Sáb","Dom"))</f>
        <v>0</v>
      </c>
      <c r="M2458" s="27">
        <f>IF($E2458="","",IF($G2458&lt;&gt;"",$G2458,IFERROR(INDEX(ProcValor,MATCH($E2458,ProcNome,0)),0)))</f>
        <v>0</v>
      </c>
      <c r="N2458" s="27">
        <f>IF($M2458="","",IF($F2458="Compareceu",$M2458,0))</f>
        <v>0</v>
      </c>
      <c r="O2458" s="27">
        <f>IF($M2458="","",IF($F2458="Faltou",$M2458,0))</f>
        <v>0</v>
      </c>
      <c r="P2458" s="27">
        <f>IF($M2458="","",IF($F2458="Compareceu",MAX(0,$M2458-N($H2458)),0))</f>
        <v>0</v>
      </c>
      <c r="Q2458" s="19">
        <f>IF(AND($F2458="Compareceu",$E2458&lt;&gt;"",$A2458&lt;&gt;""),IF(IFERROR(INDEX(ProcRet,MATCH($E2458,ProcNome,0)),0)&gt;0,$A2458+INDEX(ProcRet,MATCH($E2458,ProcNome,0)),""),"")</f>
        <v>0</v>
      </c>
      <c r="R2458" s="26">
        <f>IF($Q2458="","",IF(COUNTIFS(AgPac,$D2458,AgData,"&gt;"&amp;$A2458,AgStatus,"&lt;&gt;Cancelado",AgStatus,"&lt;&gt;Remarcado")&gt;0,"Sim","Não"))</f>
        <v>0</v>
      </c>
      <c r="S2458" s="28">
        <f>IF($A2458="","",IF(AND($F2458="Agendado",$A2458-Hoje&gt;=0,$A2458-Hoje&lt;=DiasConf),"CONFIRMAR",IF(AND($A2458&lt;Hoje,OR($F2458="Agendado",$F2458="Confirmado")),"Atualizar status",IF(AND($F2458="Compareceu",$P2458&gt;0.005),"Cobrar",IF($F2458="Faltou","Falta: reagendar","")))))</f>
        <v>0</v>
      </c>
      <c r="T2458" s="29">
        <f>IF($A2458="","",DATE(YEAR($A2458),MONTH($A2458),1))</f>
        <v>0</v>
      </c>
      <c r="U2458" s="30">
        <f>IF($S2458="CONFIRMAR",MAX($U$4:$U2457)+1,"")</f>
        <v>0</v>
      </c>
      <c r="V2458" s="30">
        <f>IF(AND($R2458="Não",$Q2458&lt;&gt;"",$Q2458&lt;=Hoje+JanelaRet,$Q2458&gt;=Hoje-60),MAX($V$4:$V2457)+1,"")</f>
        <v>0</v>
      </c>
    </row>
    <row r="2459" spans="1:22">
      <c r="A2459" s="16"/>
      <c r="B2459" s="23"/>
      <c r="C2459" s="15"/>
      <c r="D2459" s="15"/>
      <c r="E2459" s="15"/>
      <c r="F2459" s="24"/>
      <c r="G2459" s="17"/>
      <c r="H2459" s="17"/>
      <c r="I2459" s="15"/>
      <c r="J2459" s="25">
        <f>IF($D2459="","",IFERROR(INDEX(PacNome,MATCH($D2459,PacCod,0)),"Paciente não cadastrado"))</f>
        <v>0</v>
      </c>
      <c r="K2459" s="26">
        <f>IF($D2459="","",IFERROR(INDEX(PacConv,MATCH($D2459,PacCod,0))&amp;"",""))</f>
        <v>0</v>
      </c>
      <c r="L2459" s="26">
        <f>IF($A2459="","",CHOOSE(WEEKDAY($A2459,2),"Seg","Ter","Qua","Qui","Sex","Sáb","Dom"))</f>
        <v>0</v>
      </c>
      <c r="M2459" s="27">
        <f>IF($E2459="","",IF($G2459&lt;&gt;"",$G2459,IFERROR(INDEX(ProcValor,MATCH($E2459,ProcNome,0)),0)))</f>
        <v>0</v>
      </c>
      <c r="N2459" s="27">
        <f>IF($M2459="","",IF($F2459="Compareceu",$M2459,0))</f>
        <v>0</v>
      </c>
      <c r="O2459" s="27">
        <f>IF($M2459="","",IF($F2459="Faltou",$M2459,0))</f>
        <v>0</v>
      </c>
      <c r="P2459" s="27">
        <f>IF($M2459="","",IF($F2459="Compareceu",MAX(0,$M2459-N($H2459)),0))</f>
        <v>0</v>
      </c>
      <c r="Q2459" s="19">
        <f>IF(AND($F2459="Compareceu",$E2459&lt;&gt;"",$A2459&lt;&gt;""),IF(IFERROR(INDEX(ProcRet,MATCH($E2459,ProcNome,0)),0)&gt;0,$A2459+INDEX(ProcRet,MATCH($E2459,ProcNome,0)),""),"")</f>
        <v>0</v>
      </c>
      <c r="R2459" s="26">
        <f>IF($Q2459="","",IF(COUNTIFS(AgPac,$D2459,AgData,"&gt;"&amp;$A2459,AgStatus,"&lt;&gt;Cancelado",AgStatus,"&lt;&gt;Remarcado")&gt;0,"Sim","Não"))</f>
        <v>0</v>
      </c>
      <c r="S2459" s="28">
        <f>IF($A2459="","",IF(AND($F2459="Agendado",$A2459-Hoje&gt;=0,$A2459-Hoje&lt;=DiasConf),"CONFIRMAR",IF(AND($A2459&lt;Hoje,OR($F2459="Agendado",$F2459="Confirmado")),"Atualizar status",IF(AND($F2459="Compareceu",$P2459&gt;0.005),"Cobrar",IF($F2459="Faltou","Falta: reagendar","")))))</f>
        <v>0</v>
      </c>
      <c r="T2459" s="29">
        <f>IF($A2459="","",DATE(YEAR($A2459),MONTH($A2459),1))</f>
        <v>0</v>
      </c>
      <c r="U2459" s="30">
        <f>IF($S2459="CONFIRMAR",MAX($U$4:$U2458)+1,"")</f>
        <v>0</v>
      </c>
      <c r="V2459" s="30">
        <f>IF(AND($R2459="Não",$Q2459&lt;&gt;"",$Q2459&lt;=Hoje+JanelaRet,$Q2459&gt;=Hoje-60),MAX($V$4:$V2458)+1,"")</f>
        <v>0</v>
      </c>
    </row>
    <row r="2460" spans="1:22">
      <c r="A2460" s="16"/>
      <c r="B2460" s="23"/>
      <c r="C2460" s="15"/>
      <c r="D2460" s="15"/>
      <c r="E2460" s="15"/>
      <c r="F2460" s="24"/>
      <c r="G2460" s="17"/>
      <c r="H2460" s="17"/>
      <c r="I2460" s="15"/>
      <c r="J2460" s="25">
        <f>IF($D2460="","",IFERROR(INDEX(PacNome,MATCH($D2460,PacCod,0)),"Paciente não cadastrado"))</f>
        <v>0</v>
      </c>
      <c r="K2460" s="26">
        <f>IF($D2460="","",IFERROR(INDEX(PacConv,MATCH($D2460,PacCod,0))&amp;"",""))</f>
        <v>0</v>
      </c>
      <c r="L2460" s="26">
        <f>IF($A2460="","",CHOOSE(WEEKDAY($A2460,2),"Seg","Ter","Qua","Qui","Sex","Sáb","Dom"))</f>
        <v>0</v>
      </c>
      <c r="M2460" s="27">
        <f>IF($E2460="","",IF($G2460&lt;&gt;"",$G2460,IFERROR(INDEX(ProcValor,MATCH($E2460,ProcNome,0)),0)))</f>
        <v>0</v>
      </c>
      <c r="N2460" s="27">
        <f>IF($M2460="","",IF($F2460="Compareceu",$M2460,0))</f>
        <v>0</v>
      </c>
      <c r="O2460" s="27">
        <f>IF($M2460="","",IF($F2460="Faltou",$M2460,0))</f>
        <v>0</v>
      </c>
      <c r="P2460" s="27">
        <f>IF($M2460="","",IF($F2460="Compareceu",MAX(0,$M2460-N($H2460)),0))</f>
        <v>0</v>
      </c>
      <c r="Q2460" s="19">
        <f>IF(AND($F2460="Compareceu",$E2460&lt;&gt;"",$A2460&lt;&gt;""),IF(IFERROR(INDEX(ProcRet,MATCH($E2460,ProcNome,0)),0)&gt;0,$A2460+INDEX(ProcRet,MATCH($E2460,ProcNome,0)),""),"")</f>
        <v>0</v>
      </c>
      <c r="R2460" s="26">
        <f>IF($Q2460="","",IF(COUNTIFS(AgPac,$D2460,AgData,"&gt;"&amp;$A2460,AgStatus,"&lt;&gt;Cancelado",AgStatus,"&lt;&gt;Remarcado")&gt;0,"Sim","Não"))</f>
        <v>0</v>
      </c>
      <c r="S2460" s="28">
        <f>IF($A2460="","",IF(AND($F2460="Agendado",$A2460-Hoje&gt;=0,$A2460-Hoje&lt;=DiasConf),"CONFIRMAR",IF(AND($A2460&lt;Hoje,OR($F2460="Agendado",$F2460="Confirmado")),"Atualizar status",IF(AND($F2460="Compareceu",$P2460&gt;0.005),"Cobrar",IF($F2460="Faltou","Falta: reagendar","")))))</f>
        <v>0</v>
      </c>
      <c r="T2460" s="29">
        <f>IF($A2460="","",DATE(YEAR($A2460),MONTH($A2460),1))</f>
        <v>0</v>
      </c>
      <c r="U2460" s="30">
        <f>IF($S2460="CONFIRMAR",MAX($U$4:$U2459)+1,"")</f>
        <v>0</v>
      </c>
      <c r="V2460" s="30">
        <f>IF(AND($R2460="Não",$Q2460&lt;&gt;"",$Q2460&lt;=Hoje+JanelaRet,$Q2460&gt;=Hoje-60),MAX($V$4:$V2459)+1,"")</f>
        <v>0</v>
      </c>
    </row>
    <row r="2461" spans="1:22">
      <c r="A2461" s="16"/>
      <c r="B2461" s="23"/>
      <c r="C2461" s="15"/>
      <c r="D2461" s="15"/>
      <c r="E2461" s="15"/>
      <c r="F2461" s="24"/>
      <c r="G2461" s="17"/>
      <c r="H2461" s="17"/>
      <c r="I2461" s="15"/>
      <c r="J2461" s="25">
        <f>IF($D2461="","",IFERROR(INDEX(PacNome,MATCH($D2461,PacCod,0)),"Paciente não cadastrado"))</f>
        <v>0</v>
      </c>
      <c r="K2461" s="26">
        <f>IF($D2461="","",IFERROR(INDEX(PacConv,MATCH($D2461,PacCod,0))&amp;"",""))</f>
        <v>0</v>
      </c>
      <c r="L2461" s="26">
        <f>IF($A2461="","",CHOOSE(WEEKDAY($A2461,2),"Seg","Ter","Qua","Qui","Sex","Sáb","Dom"))</f>
        <v>0</v>
      </c>
      <c r="M2461" s="27">
        <f>IF($E2461="","",IF($G2461&lt;&gt;"",$G2461,IFERROR(INDEX(ProcValor,MATCH($E2461,ProcNome,0)),0)))</f>
        <v>0</v>
      </c>
      <c r="N2461" s="27">
        <f>IF($M2461="","",IF($F2461="Compareceu",$M2461,0))</f>
        <v>0</v>
      </c>
      <c r="O2461" s="27">
        <f>IF($M2461="","",IF($F2461="Faltou",$M2461,0))</f>
        <v>0</v>
      </c>
      <c r="P2461" s="27">
        <f>IF($M2461="","",IF($F2461="Compareceu",MAX(0,$M2461-N($H2461)),0))</f>
        <v>0</v>
      </c>
      <c r="Q2461" s="19">
        <f>IF(AND($F2461="Compareceu",$E2461&lt;&gt;"",$A2461&lt;&gt;""),IF(IFERROR(INDEX(ProcRet,MATCH($E2461,ProcNome,0)),0)&gt;0,$A2461+INDEX(ProcRet,MATCH($E2461,ProcNome,0)),""),"")</f>
        <v>0</v>
      </c>
      <c r="R2461" s="26">
        <f>IF($Q2461="","",IF(COUNTIFS(AgPac,$D2461,AgData,"&gt;"&amp;$A2461,AgStatus,"&lt;&gt;Cancelado",AgStatus,"&lt;&gt;Remarcado")&gt;0,"Sim","Não"))</f>
        <v>0</v>
      </c>
      <c r="S2461" s="28">
        <f>IF($A2461="","",IF(AND($F2461="Agendado",$A2461-Hoje&gt;=0,$A2461-Hoje&lt;=DiasConf),"CONFIRMAR",IF(AND($A2461&lt;Hoje,OR($F2461="Agendado",$F2461="Confirmado")),"Atualizar status",IF(AND($F2461="Compareceu",$P2461&gt;0.005),"Cobrar",IF($F2461="Faltou","Falta: reagendar","")))))</f>
        <v>0</v>
      </c>
      <c r="T2461" s="29">
        <f>IF($A2461="","",DATE(YEAR($A2461),MONTH($A2461),1))</f>
        <v>0</v>
      </c>
      <c r="U2461" s="30">
        <f>IF($S2461="CONFIRMAR",MAX($U$4:$U2460)+1,"")</f>
        <v>0</v>
      </c>
      <c r="V2461" s="30">
        <f>IF(AND($R2461="Não",$Q2461&lt;&gt;"",$Q2461&lt;=Hoje+JanelaRet,$Q2461&gt;=Hoje-60),MAX($V$4:$V2460)+1,"")</f>
        <v>0</v>
      </c>
    </row>
    <row r="2462" spans="1:22">
      <c r="A2462" s="16"/>
      <c r="B2462" s="23"/>
      <c r="C2462" s="15"/>
      <c r="D2462" s="15"/>
      <c r="E2462" s="15"/>
      <c r="F2462" s="24"/>
      <c r="G2462" s="17"/>
      <c r="H2462" s="17"/>
      <c r="I2462" s="15"/>
      <c r="J2462" s="25">
        <f>IF($D2462="","",IFERROR(INDEX(PacNome,MATCH($D2462,PacCod,0)),"Paciente não cadastrado"))</f>
        <v>0</v>
      </c>
      <c r="K2462" s="26">
        <f>IF($D2462="","",IFERROR(INDEX(PacConv,MATCH($D2462,PacCod,0))&amp;"",""))</f>
        <v>0</v>
      </c>
      <c r="L2462" s="26">
        <f>IF($A2462="","",CHOOSE(WEEKDAY($A2462,2),"Seg","Ter","Qua","Qui","Sex","Sáb","Dom"))</f>
        <v>0</v>
      </c>
      <c r="M2462" s="27">
        <f>IF($E2462="","",IF($G2462&lt;&gt;"",$G2462,IFERROR(INDEX(ProcValor,MATCH($E2462,ProcNome,0)),0)))</f>
        <v>0</v>
      </c>
      <c r="N2462" s="27">
        <f>IF($M2462="","",IF($F2462="Compareceu",$M2462,0))</f>
        <v>0</v>
      </c>
      <c r="O2462" s="27">
        <f>IF($M2462="","",IF($F2462="Faltou",$M2462,0))</f>
        <v>0</v>
      </c>
      <c r="P2462" s="27">
        <f>IF($M2462="","",IF($F2462="Compareceu",MAX(0,$M2462-N($H2462)),0))</f>
        <v>0</v>
      </c>
      <c r="Q2462" s="19">
        <f>IF(AND($F2462="Compareceu",$E2462&lt;&gt;"",$A2462&lt;&gt;""),IF(IFERROR(INDEX(ProcRet,MATCH($E2462,ProcNome,0)),0)&gt;0,$A2462+INDEX(ProcRet,MATCH($E2462,ProcNome,0)),""),"")</f>
        <v>0</v>
      </c>
      <c r="R2462" s="26">
        <f>IF($Q2462="","",IF(COUNTIFS(AgPac,$D2462,AgData,"&gt;"&amp;$A2462,AgStatus,"&lt;&gt;Cancelado",AgStatus,"&lt;&gt;Remarcado")&gt;0,"Sim","Não"))</f>
        <v>0</v>
      </c>
      <c r="S2462" s="28">
        <f>IF($A2462="","",IF(AND($F2462="Agendado",$A2462-Hoje&gt;=0,$A2462-Hoje&lt;=DiasConf),"CONFIRMAR",IF(AND($A2462&lt;Hoje,OR($F2462="Agendado",$F2462="Confirmado")),"Atualizar status",IF(AND($F2462="Compareceu",$P2462&gt;0.005),"Cobrar",IF($F2462="Faltou","Falta: reagendar","")))))</f>
        <v>0</v>
      </c>
      <c r="T2462" s="29">
        <f>IF($A2462="","",DATE(YEAR($A2462),MONTH($A2462),1))</f>
        <v>0</v>
      </c>
      <c r="U2462" s="30">
        <f>IF($S2462="CONFIRMAR",MAX($U$4:$U2461)+1,"")</f>
        <v>0</v>
      </c>
      <c r="V2462" s="30">
        <f>IF(AND($R2462="Não",$Q2462&lt;&gt;"",$Q2462&lt;=Hoje+JanelaRet,$Q2462&gt;=Hoje-60),MAX($V$4:$V2461)+1,"")</f>
        <v>0</v>
      </c>
    </row>
    <row r="2463" spans="1:22">
      <c r="A2463" s="16"/>
      <c r="B2463" s="23"/>
      <c r="C2463" s="15"/>
      <c r="D2463" s="15"/>
      <c r="E2463" s="15"/>
      <c r="F2463" s="24"/>
      <c r="G2463" s="17"/>
      <c r="H2463" s="17"/>
      <c r="I2463" s="15"/>
      <c r="J2463" s="25">
        <f>IF($D2463="","",IFERROR(INDEX(PacNome,MATCH($D2463,PacCod,0)),"Paciente não cadastrado"))</f>
        <v>0</v>
      </c>
      <c r="K2463" s="26">
        <f>IF($D2463="","",IFERROR(INDEX(PacConv,MATCH($D2463,PacCod,0))&amp;"",""))</f>
        <v>0</v>
      </c>
      <c r="L2463" s="26">
        <f>IF($A2463="","",CHOOSE(WEEKDAY($A2463,2),"Seg","Ter","Qua","Qui","Sex","Sáb","Dom"))</f>
        <v>0</v>
      </c>
      <c r="M2463" s="27">
        <f>IF($E2463="","",IF($G2463&lt;&gt;"",$G2463,IFERROR(INDEX(ProcValor,MATCH($E2463,ProcNome,0)),0)))</f>
        <v>0</v>
      </c>
      <c r="N2463" s="27">
        <f>IF($M2463="","",IF($F2463="Compareceu",$M2463,0))</f>
        <v>0</v>
      </c>
      <c r="O2463" s="27">
        <f>IF($M2463="","",IF($F2463="Faltou",$M2463,0))</f>
        <v>0</v>
      </c>
      <c r="P2463" s="27">
        <f>IF($M2463="","",IF($F2463="Compareceu",MAX(0,$M2463-N($H2463)),0))</f>
        <v>0</v>
      </c>
      <c r="Q2463" s="19">
        <f>IF(AND($F2463="Compareceu",$E2463&lt;&gt;"",$A2463&lt;&gt;""),IF(IFERROR(INDEX(ProcRet,MATCH($E2463,ProcNome,0)),0)&gt;0,$A2463+INDEX(ProcRet,MATCH($E2463,ProcNome,0)),""),"")</f>
        <v>0</v>
      </c>
      <c r="R2463" s="26">
        <f>IF($Q2463="","",IF(COUNTIFS(AgPac,$D2463,AgData,"&gt;"&amp;$A2463,AgStatus,"&lt;&gt;Cancelado",AgStatus,"&lt;&gt;Remarcado")&gt;0,"Sim","Não"))</f>
        <v>0</v>
      </c>
      <c r="S2463" s="28">
        <f>IF($A2463="","",IF(AND($F2463="Agendado",$A2463-Hoje&gt;=0,$A2463-Hoje&lt;=DiasConf),"CONFIRMAR",IF(AND($A2463&lt;Hoje,OR($F2463="Agendado",$F2463="Confirmado")),"Atualizar status",IF(AND($F2463="Compareceu",$P2463&gt;0.005),"Cobrar",IF($F2463="Faltou","Falta: reagendar","")))))</f>
        <v>0</v>
      </c>
      <c r="T2463" s="29">
        <f>IF($A2463="","",DATE(YEAR($A2463),MONTH($A2463),1))</f>
        <v>0</v>
      </c>
      <c r="U2463" s="30">
        <f>IF($S2463="CONFIRMAR",MAX($U$4:$U2462)+1,"")</f>
        <v>0</v>
      </c>
      <c r="V2463" s="30">
        <f>IF(AND($R2463="Não",$Q2463&lt;&gt;"",$Q2463&lt;=Hoje+JanelaRet,$Q2463&gt;=Hoje-60),MAX($V$4:$V2462)+1,"")</f>
        <v>0</v>
      </c>
    </row>
    <row r="2464" spans="1:22">
      <c r="A2464" s="16"/>
      <c r="B2464" s="23"/>
      <c r="C2464" s="15"/>
      <c r="D2464" s="15"/>
      <c r="E2464" s="15"/>
      <c r="F2464" s="24"/>
      <c r="G2464" s="17"/>
      <c r="H2464" s="17"/>
      <c r="I2464" s="15"/>
      <c r="J2464" s="25">
        <f>IF($D2464="","",IFERROR(INDEX(PacNome,MATCH($D2464,PacCod,0)),"Paciente não cadastrado"))</f>
        <v>0</v>
      </c>
      <c r="K2464" s="26">
        <f>IF($D2464="","",IFERROR(INDEX(PacConv,MATCH($D2464,PacCod,0))&amp;"",""))</f>
        <v>0</v>
      </c>
      <c r="L2464" s="26">
        <f>IF($A2464="","",CHOOSE(WEEKDAY($A2464,2),"Seg","Ter","Qua","Qui","Sex","Sáb","Dom"))</f>
        <v>0</v>
      </c>
      <c r="M2464" s="27">
        <f>IF($E2464="","",IF($G2464&lt;&gt;"",$G2464,IFERROR(INDEX(ProcValor,MATCH($E2464,ProcNome,0)),0)))</f>
        <v>0</v>
      </c>
      <c r="N2464" s="27">
        <f>IF($M2464="","",IF($F2464="Compareceu",$M2464,0))</f>
        <v>0</v>
      </c>
      <c r="O2464" s="27">
        <f>IF($M2464="","",IF($F2464="Faltou",$M2464,0))</f>
        <v>0</v>
      </c>
      <c r="P2464" s="27">
        <f>IF($M2464="","",IF($F2464="Compareceu",MAX(0,$M2464-N($H2464)),0))</f>
        <v>0</v>
      </c>
      <c r="Q2464" s="19">
        <f>IF(AND($F2464="Compareceu",$E2464&lt;&gt;"",$A2464&lt;&gt;""),IF(IFERROR(INDEX(ProcRet,MATCH($E2464,ProcNome,0)),0)&gt;0,$A2464+INDEX(ProcRet,MATCH($E2464,ProcNome,0)),""),"")</f>
        <v>0</v>
      </c>
      <c r="R2464" s="26">
        <f>IF($Q2464="","",IF(COUNTIFS(AgPac,$D2464,AgData,"&gt;"&amp;$A2464,AgStatus,"&lt;&gt;Cancelado",AgStatus,"&lt;&gt;Remarcado")&gt;0,"Sim","Não"))</f>
        <v>0</v>
      </c>
      <c r="S2464" s="28">
        <f>IF($A2464="","",IF(AND($F2464="Agendado",$A2464-Hoje&gt;=0,$A2464-Hoje&lt;=DiasConf),"CONFIRMAR",IF(AND($A2464&lt;Hoje,OR($F2464="Agendado",$F2464="Confirmado")),"Atualizar status",IF(AND($F2464="Compareceu",$P2464&gt;0.005),"Cobrar",IF($F2464="Faltou","Falta: reagendar","")))))</f>
        <v>0</v>
      </c>
      <c r="T2464" s="29">
        <f>IF($A2464="","",DATE(YEAR($A2464),MONTH($A2464),1))</f>
        <v>0</v>
      </c>
      <c r="U2464" s="30">
        <f>IF($S2464="CONFIRMAR",MAX($U$4:$U2463)+1,"")</f>
        <v>0</v>
      </c>
      <c r="V2464" s="30">
        <f>IF(AND($R2464="Não",$Q2464&lt;&gt;"",$Q2464&lt;=Hoje+JanelaRet,$Q2464&gt;=Hoje-60),MAX($V$4:$V2463)+1,"")</f>
        <v>0</v>
      </c>
    </row>
    <row r="2465" spans="1:22">
      <c r="A2465" s="16"/>
      <c r="B2465" s="23"/>
      <c r="C2465" s="15"/>
      <c r="D2465" s="15"/>
      <c r="E2465" s="15"/>
      <c r="F2465" s="24"/>
      <c r="G2465" s="17"/>
      <c r="H2465" s="17"/>
      <c r="I2465" s="15"/>
      <c r="J2465" s="25">
        <f>IF($D2465="","",IFERROR(INDEX(PacNome,MATCH($D2465,PacCod,0)),"Paciente não cadastrado"))</f>
        <v>0</v>
      </c>
      <c r="K2465" s="26">
        <f>IF($D2465="","",IFERROR(INDEX(PacConv,MATCH($D2465,PacCod,0))&amp;"",""))</f>
        <v>0</v>
      </c>
      <c r="L2465" s="26">
        <f>IF($A2465="","",CHOOSE(WEEKDAY($A2465,2),"Seg","Ter","Qua","Qui","Sex","Sáb","Dom"))</f>
        <v>0</v>
      </c>
      <c r="M2465" s="27">
        <f>IF($E2465="","",IF($G2465&lt;&gt;"",$G2465,IFERROR(INDEX(ProcValor,MATCH($E2465,ProcNome,0)),0)))</f>
        <v>0</v>
      </c>
      <c r="N2465" s="27">
        <f>IF($M2465="","",IF($F2465="Compareceu",$M2465,0))</f>
        <v>0</v>
      </c>
      <c r="O2465" s="27">
        <f>IF($M2465="","",IF($F2465="Faltou",$M2465,0))</f>
        <v>0</v>
      </c>
      <c r="P2465" s="27">
        <f>IF($M2465="","",IF($F2465="Compareceu",MAX(0,$M2465-N($H2465)),0))</f>
        <v>0</v>
      </c>
      <c r="Q2465" s="19">
        <f>IF(AND($F2465="Compareceu",$E2465&lt;&gt;"",$A2465&lt;&gt;""),IF(IFERROR(INDEX(ProcRet,MATCH($E2465,ProcNome,0)),0)&gt;0,$A2465+INDEX(ProcRet,MATCH($E2465,ProcNome,0)),""),"")</f>
        <v>0</v>
      </c>
      <c r="R2465" s="26">
        <f>IF($Q2465="","",IF(COUNTIFS(AgPac,$D2465,AgData,"&gt;"&amp;$A2465,AgStatus,"&lt;&gt;Cancelado",AgStatus,"&lt;&gt;Remarcado")&gt;0,"Sim","Não"))</f>
        <v>0</v>
      </c>
      <c r="S2465" s="28">
        <f>IF($A2465="","",IF(AND($F2465="Agendado",$A2465-Hoje&gt;=0,$A2465-Hoje&lt;=DiasConf),"CONFIRMAR",IF(AND($A2465&lt;Hoje,OR($F2465="Agendado",$F2465="Confirmado")),"Atualizar status",IF(AND($F2465="Compareceu",$P2465&gt;0.005),"Cobrar",IF($F2465="Faltou","Falta: reagendar","")))))</f>
        <v>0</v>
      </c>
      <c r="T2465" s="29">
        <f>IF($A2465="","",DATE(YEAR($A2465),MONTH($A2465),1))</f>
        <v>0</v>
      </c>
      <c r="U2465" s="30">
        <f>IF($S2465="CONFIRMAR",MAX($U$4:$U2464)+1,"")</f>
        <v>0</v>
      </c>
      <c r="V2465" s="30">
        <f>IF(AND($R2465="Não",$Q2465&lt;&gt;"",$Q2465&lt;=Hoje+JanelaRet,$Q2465&gt;=Hoje-60),MAX($V$4:$V2464)+1,"")</f>
        <v>0</v>
      </c>
    </row>
    <row r="2466" spans="1:22">
      <c r="A2466" s="16"/>
      <c r="B2466" s="23"/>
      <c r="C2466" s="15"/>
      <c r="D2466" s="15"/>
      <c r="E2466" s="15"/>
      <c r="F2466" s="24"/>
      <c r="G2466" s="17"/>
      <c r="H2466" s="17"/>
      <c r="I2466" s="15"/>
      <c r="J2466" s="25">
        <f>IF($D2466="","",IFERROR(INDEX(PacNome,MATCH($D2466,PacCod,0)),"Paciente não cadastrado"))</f>
        <v>0</v>
      </c>
      <c r="K2466" s="26">
        <f>IF($D2466="","",IFERROR(INDEX(PacConv,MATCH($D2466,PacCod,0))&amp;"",""))</f>
        <v>0</v>
      </c>
      <c r="L2466" s="26">
        <f>IF($A2466="","",CHOOSE(WEEKDAY($A2466,2),"Seg","Ter","Qua","Qui","Sex","Sáb","Dom"))</f>
        <v>0</v>
      </c>
      <c r="M2466" s="27">
        <f>IF($E2466="","",IF($G2466&lt;&gt;"",$G2466,IFERROR(INDEX(ProcValor,MATCH($E2466,ProcNome,0)),0)))</f>
        <v>0</v>
      </c>
      <c r="N2466" s="27">
        <f>IF($M2466="","",IF($F2466="Compareceu",$M2466,0))</f>
        <v>0</v>
      </c>
      <c r="O2466" s="27">
        <f>IF($M2466="","",IF($F2466="Faltou",$M2466,0))</f>
        <v>0</v>
      </c>
      <c r="P2466" s="27">
        <f>IF($M2466="","",IF($F2466="Compareceu",MAX(0,$M2466-N($H2466)),0))</f>
        <v>0</v>
      </c>
      <c r="Q2466" s="19">
        <f>IF(AND($F2466="Compareceu",$E2466&lt;&gt;"",$A2466&lt;&gt;""),IF(IFERROR(INDEX(ProcRet,MATCH($E2466,ProcNome,0)),0)&gt;0,$A2466+INDEX(ProcRet,MATCH($E2466,ProcNome,0)),""),"")</f>
        <v>0</v>
      </c>
      <c r="R2466" s="26">
        <f>IF($Q2466="","",IF(COUNTIFS(AgPac,$D2466,AgData,"&gt;"&amp;$A2466,AgStatus,"&lt;&gt;Cancelado",AgStatus,"&lt;&gt;Remarcado")&gt;0,"Sim","Não"))</f>
        <v>0</v>
      </c>
      <c r="S2466" s="28">
        <f>IF($A2466="","",IF(AND($F2466="Agendado",$A2466-Hoje&gt;=0,$A2466-Hoje&lt;=DiasConf),"CONFIRMAR",IF(AND($A2466&lt;Hoje,OR($F2466="Agendado",$F2466="Confirmado")),"Atualizar status",IF(AND($F2466="Compareceu",$P2466&gt;0.005),"Cobrar",IF($F2466="Faltou","Falta: reagendar","")))))</f>
        <v>0</v>
      </c>
      <c r="T2466" s="29">
        <f>IF($A2466="","",DATE(YEAR($A2466),MONTH($A2466),1))</f>
        <v>0</v>
      </c>
      <c r="U2466" s="30">
        <f>IF($S2466="CONFIRMAR",MAX($U$4:$U2465)+1,"")</f>
        <v>0</v>
      </c>
      <c r="V2466" s="30">
        <f>IF(AND($R2466="Não",$Q2466&lt;&gt;"",$Q2466&lt;=Hoje+JanelaRet,$Q2466&gt;=Hoje-60),MAX($V$4:$V2465)+1,"")</f>
        <v>0</v>
      </c>
    </row>
    <row r="2467" spans="1:22">
      <c r="A2467" s="16"/>
      <c r="B2467" s="23"/>
      <c r="C2467" s="15"/>
      <c r="D2467" s="15"/>
      <c r="E2467" s="15"/>
      <c r="F2467" s="24"/>
      <c r="G2467" s="17"/>
      <c r="H2467" s="17"/>
      <c r="I2467" s="15"/>
      <c r="J2467" s="25">
        <f>IF($D2467="","",IFERROR(INDEX(PacNome,MATCH($D2467,PacCod,0)),"Paciente não cadastrado"))</f>
        <v>0</v>
      </c>
      <c r="K2467" s="26">
        <f>IF($D2467="","",IFERROR(INDEX(PacConv,MATCH($D2467,PacCod,0))&amp;"",""))</f>
        <v>0</v>
      </c>
      <c r="L2467" s="26">
        <f>IF($A2467="","",CHOOSE(WEEKDAY($A2467,2),"Seg","Ter","Qua","Qui","Sex","Sáb","Dom"))</f>
        <v>0</v>
      </c>
      <c r="M2467" s="27">
        <f>IF($E2467="","",IF($G2467&lt;&gt;"",$G2467,IFERROR(INDEX(ProcValor,MATCH($E2467,ProcNome,0)),0)))</f>
        <v>0</v>
      </c>
      <c r="N2467" s="27">
        <f>IF($M2467="","",IF($F2467="Compareceu",$M2467,0))</f>
        <v>0</v>
      </c>
      <c r="O2467" s="27">
        <f>IF($M2467="","",IF($F2467="Faltou",$M2467,0))</f>
        <v>0</v>
      </c>
      <c r="P2467" s="27">
        <f>IF($M2467="","",IF($F2467="Compareceu",MAX(0,$M2467-N($H2467)),0))</f>
        <v>0</v>
      </c>
      <c r="Q2467" s="19">
        <f>IF(AND($F2467="Compareceu",$E2467&lt;&gt;"",$A2467&lt;&gt;""),IF(IFERROR(INDEX(ProcRet,MATCH($E2467,ProcNome,0)),0)&gt;0,$A2467+INDEX(ProcRet,MATCH($E2467,ProcNome,0)),""),"")</f>
        <v>0</v>
      </c>
      <c r="R2467" s="26">
        <f>IF($Q2467="","",IF(COUNTIFS(AgPac,$D2467,AgData,"&gt;"&amp;$A2467,AgStatus,"&lt;&gt;Cancelado",AgStatus,"&lt;&gt;Remarcado")&gt;0,"Sim","Não"))</f>
        <v>0</v>
      </c>
      <c r="S2467" s="28">
        <f>IF($A2467="","",IF(AND($F2467="Agendado",$A2467-Hoje&gt;=0,$A2467-Hoje&lt;=DiasConf),"CONFIRMAR",IF(AND($A2467&lt;Hoje,OR($F2467="Agendado",$F2467="Confirmado")),"Atualizar status",IF(AND($F2467="Compareceu",$P2467&gt;0.005),"Cobrar",IF($F2467="Faltou","Falta: reagendar","")))))</f>
        <v>0</v>
      </c>
      <c r="T2467" s="29">
        <f>IF($A2467="","",DATE(YEAR($A2467),MONTH($A2467),1))</f>
        <v>0</v>
      </c>
      <c r="U2467" s="30">
        <f>IF($S2467="CONFIRMAR",MAX($U$4:$U2466)+1,"")</f>
        <v>0</v>
      </c>
      <c r="V2467" s="30">
        <f>IF(AND($R2467="Não",$Q2467&lt;&gt;"",$Q2467&lt;=Hoje+JanelaRet,$Q2467&gt;=Hoje-60),MAX($V$4:$V2466)+1,"")</f>
        <v>0</v>
      </c>
    </row>
    <row r="2468" spans="1:22">
      <c r="A2468" s="16"/>
      <c r="B2468" s="23"/>
      <c r="C2468" s="15"/>
      <c r="D2468" s="15"/>
      <c r="E2468" s="15"/>
      <c r="F2468" s="24"/>
      <c r="G2468" s="17"/>
      <c r="H2468" s="17"/>
      <c r="I2468" s="15"/>
      <c r="J2468" s="25">
        <f>IF($D2468="","",IFERROR(INDEX(PacNome,MATCH($D2468,PacCod,0)),"Paciente não cadastrado"))</f>
        <v>0</v>
      </c>
      <c r="K2468" s="26">
        <f>IF($D2468="","",IFERROR(INDEX(PacConv,MATCH($D2468,PacCod,0))&amp;"",""))</f>
        <v>0</v>
      </c>
      <c r="L2468" s="26">
        <f>IF($A2468="","",CHOOSE(WEEKDAY($A2468,2),"Seg","Ter","Qua","Qui","Sex","Sáb","Dom"))</f>
        <v>0</v>
      </c>
      <c r="M2468" s="27">
        <f>IF($E2468="","",IF($G2468&lt;&gt;"",$G2468,IFERROR(INDEX(ProcValor,MATCH($E2468,ProcNome,0)),0)))</f>
        <v>0</v>
      </c>
      <c r="N2468" s="27">
        <f>IF($M2468="","",IF($F2468="Compareceu",$M2468,0))</f>
        <v>0</v>
      </c>
      <c r="O2468" s="27">
        <f>IF($M2468="","",IF($F2468="Faltou",$M2468,0))</f>
        <v>0</v>
      </c>
      <c r="P2468" s="27">
        <f>IF($M2468="","",IF($F2468="Compareceu",MAX(0,$M2468-N($H2468)),0))</f>
        <v>0</v>
      </c>
      <c r="Q2468" s="19">
        <f>IF(AND($F2468="Compareceu",$E2468&lt;&gt;"",$A2468&lt;&gt;""),IF(IFERROR(INDEX(ProcRet,MATCH($E2468,ProcNome,0)),0)&gt;0,$A2468+INDEX(ProcRet,MATCH($E2468,ProcNome,0)),""),"")</f>
        <v>0</v>
      </c>
      <c r="R2468" s="26">
        <f>IF($Q2468="","",IF(COUNTIFS(AgPac,$D2468,AgData,"&gt;"&amp;$A2468,AgStatus,"&lt;&gt;Cancelado",AgStatus,"&lt;&gt;Remarcado")&gt;0,"Sim","Não"))</f>
        <v>0</v>
      </c>
      <c r="S2468" s="28">
        <f>IF($A2468="","",IF(AND($F2468="Agendado",$A2468-Hoje&gt;=0,$A2468-Hoje&lt;=DiasConf),"CONFIRMAR",IF(AND($A2468&lt;Hoje,OR($F2468="Agendado",$F2468="Confirmado")),"Atualizar status",IF(AND($F2468="Compareceu",$P2468&gt;0.005),"Cobrar",IF($F2468="Faltou","Falta: reagendar","")))))</f>
        <v>0</v>
      </c>
      <c r="T2468" s="29">
        <f>IF($A2468="","",DATE(YEAR($A2468),MONTH($A2468),1))</f>
        <v>0</v>
      </c>
      <c r="U2468" s="30">
        <f>IF($S2468="CONFIRMAR",MAX($U$4:$U2467)+1,"")</f>
        <v>0</v>
      </c>
      <c r="V2468" s="30">
        <f>IF(AND($R2468="Não",$Q2468&lt;&gt;"",$Q2468&lt;=Hoje+JanelaRet,$Q2468&gt;=Hoje-60),MAX($V$4:$V2467)+1,"")</f>
        <v>0</v>
      </c>
    </row>
    <row r="2469" spans="1:22">
      <c r="A2469" s="16"/>
      <c r="B2469" s="23"/>
      <c r="C2469" s="15"/>
      <c r="D2469" s="15"/>
      <c r="E2469" s="15"/>
      <c r="F2469" s="24"/>
      <c r="G2469" s="17"/>
      <c r="H2469" s="17"/>
      <c r="I2469" s="15"/>
      <c r="J2469" s="25">
        <f>IF($D2469="","",IFERROR(INDEX(PacNome,MATCH($D2469,PacCod,0)),"Paciente não cadastrado"))</f>
        <v>0</v>
      </c>
      <c r="K2469" s="26">
        <f>IF($D2469="","",IFERROR(INDEX(PacConv,MATCH($D2469,PacCod,0))&amp;"",""))</f>
        <v>0</v>
      </c>
      <c r="L2469" s="26">
        <f>IF($A2469="","",CHOOSE(WEEKDAY($A2469,2),"Seg","Ter","Qua","Qui","Sex","Sáb","Dom"))</f>
        <v>0</v>
      </c>
      <c r="M2469" s="27">
        <f>IF($E2469="","",IF($G2469&lt;&gt;"",$G2469,IFERROR(INDEX(ProcValor,MATCH($E2469,ProcNome,0)),0)))</f>
        <v>0</v>
      </c>
      <c r="N2469" s="27">
        <f>IF($M2469="","",IF($F2469="Compareceu",$M2469,0))</f>
        <v>0</v>
      </c>
      <c r="O2469" s="27">
        <f>IF($M2469="","",IF($F2469="Faltou",$M2469,0))</f>
        <v>0</v>
      </c>
      <c r="P2469" s="27">
        <f>IF($M2469="","",IF($F2469="Compareceu",MAX(0,$M2469-N($H2469)),0))</f>
        <v>0</v>
      </c>
      <c r="Q2469" s="19">
        <f>IF(AND($F2469="Compareceu",$E2469&lt;&gt;"",$A2469&lt;&gt;""),IF(IFERROR(INDEX(ProcRet,MATCH($E2469,ProcNome,0)),0)&gt;0,$A2469+INDEX(ProcRet,MATCH($E2469,ProcNome,0)),""),"")</f>
        <v>0</v>
      </c>
      <c r="R2469" s="26">
        <f>IF($Q2469="","",IF(COUNTIFS(AgPac,$D2469,AgData,"&gt;"&amp;$A2469,AgStatus,"&lt;&gt;Cancelado",AgStatus,"&lt;&gt;Remarcado")&gt;0,"Sim","Não"))</f>
        <v>0</v>
      </c>
      <c r="S2469" s="28">
        <f>IF($A2469="","",IF(AND($F2469="Agendado",$A2469-Hoje&gt;=0,$A2469-Hoje&lt;=DiasConf),"CONFIRMAR",IF(AND($A2469&lt;Hoje,OR($F2469="Agendado",$F2469="Confirmado")),"Atualizar status",IF(AND($F2469="Compareceu",$P2469&gt;0.005),"Cobrar",IF($F2469="Faltou","Falta: reagendar","")))))</f>
        <v>0</v>
      </c>
      <c r="T2469" s="29">
        <f>IF($A2469="","",DATE(YEAR($A2469),MONTH($A2469),1))</f>
        <v>0</v>
      </c>
      <c r="U2469" s="30">
        <f>IF($S2469="CONFIRMAR",MAX($U$4:$U2468)+1,"")</f>
        <v>0</v>
      </c>
      <c r="V2469" s="30">
        <f>IF(AND($R2469="Não",$Q2469&lt;&gt;"",$Q2469&lt;=Hoje+JanelaRet,$Q2469&gt;=Hoje-60),MAX($V$4:$V2468)+1,"")</f>
        <v>0</v>
      </c>
    </row>
    <row r="2470" spans="1:22">
      <c r="A2470" s="16"/>
      <c r="B2470" s="23"/>
      <c r="C2470" s="15"/>
      <c r="D2470" s="15"/>
      <c r="E2470" s="15"/>
      <c r="F2470" s="24"/>
      <c r="G2470" s="17"/>
      <c r="H2470" s="17"/>
      <c r="I2470" s="15"/>
      <c r="J2470" s="25">
        <f>IF($D2470="","",IFERROR(INDEX(PacNome,MATCH($D2470,PacCod,0)),"Paciente não cadastrado"))</f>
        <v>0</v>
      </c>
      <c r="K2470" s="26">
        <f>IF($D2470="","",IFERROR(INDEX(PacConv,MATCH($D2470,PacCod,0))&amp;"",""))</f>
        <v>0</v>
      </c>
      <c r="L2470" s="26">
        <f>IF($A2470="","",CHOOSE(WEEKDAY($A2470,2),"Seg","Ter","Qua","Qui","Sex","Sáb","Dom"))</f>
        <v>0</v>
      </c>
      <c r="M2470" s="27">
        <f>IF($E2470="","",IF($G2470&lt;&gt;"",$G2470,IFERROR(INDEX(ProcValor,MATCH($E2470,ProcNome,0)),0)))</f>
        <v>0</v>
      </c>
      <c r="N2470" s="27">
        <f>IF($M2470="","",IF($F2470="Compareceu",$M2470,0))</f>
        <v>0</v>
      </c>
      <c r="O2470" s="27">
        <f>IF($M2470="","",IF($F2470="Faltou",$M2470,0))</f>
        <v>0</v>
      </c>
      <c r="P2470" s="27">
        <f>IF($M2470="","",IF($F2470="Compareceu",MAX(0,$M2470-N($H2470)),0))</f>
        <v>0</v>
      </c>
      <c r="Q2470" s="19">
        <f>IF(AND($F2470="Compareceu",$E2470&lt;&gt;"",$A2470&lt;&gt;""),IF(IFERROR(INDEX(ProcRet,MATCH($E2470,ProcNome,0)),0)&gt;0,$A2470+INDEX(ProcRet,MATCH($E2470,ProcNome,0)),""),"")</f>
        <v>0</v>
      </c>
      <c r="R2470" s="26">
        <f>IF($Q2470="","",IF(COUNTIFS(AgPac,$D2470,AgData,"&gt;"&amp;$A2470,AgStatus,"&lt;&gt;Cancelado",AgStatus,"&lt;&gt;Remarcado")&gt;0,"Sim","Não"))</f>
        <v>0</v>
      </c>
      <c r="S2470" s="28">
        <f>IF($A2470="","",IF(AND($F2470="Agendado",$A2470-Hoje&gt;=0,$A2470-Hoje&lt;=DiasConf),"CONFIRMAR",IF(AND($A2470&lt;Hoje,OR($F2470="Agendado",$F2470="Confirmado")),"Atualizar status",IF(AND($F2470="Compareceu",$P2470&gt;0.005),"Cobrar",IF($F2470="Faltou","Falta: reagendar","")))))</f>
        <v>0</v>
      </c>
      <c r="T2470" s="29">
        <f>IF($A2470="","",DATE(YEAR($A2470),MONTH($A2470),1))</f>
        <v>0</v>
      </c>
      <c r="U2470" s="30">
        <f>IF($S2470="CONFIRMAR",MAX($U$4:$U2469)+1,"")</f>
        <v>0</v>
      </c>
      <c r="V2470" s="30">
        <f>IF(AND($R2470="Não",$Q2470&lt;&gt;"",$Q2470&lt;=Hoje+JanelaRet,$Q2470&gt;=Hoje-60),MAX($V$4:$V2469)+1,"")</f>
        <v>0</v>
      </c>
    </row>
    <row r="2471" spans="1:22">
      <c r="A2471" s="16"/>
      <c r="B2471" s="23"/>
      <c r="C2471" s="15"/>
      <c r="D2471" s="15"/>
      <c r="E2471" s="15"/>
      <c r="F2471" s="24"/>
      <c r="G2471" s="17"/>
      <c r="H2471" s="17"/>
      <c r="I2471" s="15"/>
      <c r="J2471" s="25">
        <f>IF($D2471="","",IFERROR(INDEX(PacNome,MATCH($D2471,PacCod,0)),"Paciente não cadastrado"))</f>
        <v>0</v>
      </c>
      <c r="K2471" s="26">
        <f>IF($D2471="","",IFERROR(INDEX(PacConv,MATCH($D2471,PacCod,0))&amp;"",""))</f>
        <v>0</v>
      </c>
      <c r="L2471" s="26">
        <f>IF($A2471="","",CHOOSE(WEEKDAY($A2471,2),"Seg","Ter","Qua","Qui","Sex","Sáb","Dom"))</f>
        <v>0</v>
      </c>
      <c r="M2471" s="27">
        <f>IF($E2471="","",IF($G2471&lt;&gt;"",$G2471,IFERROR(INDEX(ProcValor,MATCH($E2471,ProcNome,0)),0)))</f>
        <v>0</v>
      </c>
      <c r="N2471" s="27">
        <f>IF($M2471="","",IF($F2471="Compareceu",$M2471,0))</f>
        <v>0</v>
      </c>
      <c r="O2471" s="27">
        <f>IF($M2471="","",IF($F2471="Faltou",$M2471,0))</f>
        <v>0</v>
      </c>
      <c r="P2471" s="27">
        <f>IF($M2471="","",IF($F2471="Compareceu",MAX(0,$M2471-N($H2471)),0))</f>
        <v>0</v>
      </c>
      <c r="Q2471" s="19">
        <f>IF(AND($F2471="Compareceu",$E2471&lt;&gt;"",$A2471&lt;&gt;""),IF(IFERROR(INDEX(ProcRet,MATCH($E2471,ProcNome,0)),0)&gt;0,$A2471+INDEX(ProcRet,MATCH($E2471,ProcNome,0)),""),"")</f>
        <v>0</v>
      </c>
      <c r="R2471" s="26">
        <f>IF($Q2471="","",IF(COUNTIFS(AgPac,$D2471,AgData,"&gt;"&amp;$A2471,AgStatus,"&lt;&gt;Cancelado",AgStatus,"&lt;&gt;Remarcado")&gt;0,"Sim","Não"))</f>
        <v>0</v>
      </c>
      <c r="S2471" s="28">
        <f>IF($A2471="","",IF(AND($F2471="Agendado",$A2471-Hoje&gt;=0,$A2471-Hoje&lt;=DiasConf),"CONFIRMAR",IF(AND($A2471&lt;Hoje,OR($F2471="Agendado",$F2471="Confirmado")),"Atualizar status",IF(AND($F2471="Compareceu",$P2471&gt;0.005),"Cobrar",IF($F2471="Faltou","Falta: reagendar","")))))</f>
        <v>0</v>
      </c>
      <c r="T2471" s="29">
        <f>IF($A2471="","",DATE(YEAR($A2471),MONTH($A2471),1))</f>
        <v>0</v>
      </c>
      <c r="U2471" s="30">
        <f>IF($S2471="CONFIRMAR",MAX($U$4:$U2470)+1,"")</f>
        <v>0</v>
      </c>
      <c r="V2471" s="30">
        <f>IF(AND($R2471="Não",$Q2471&lt;&gt;"",$Q2471&lt;=Hoje+JanelaRet,$Q2471&gt;=Hoje-60),MAX($V$4:$V2470)+1,"")</f>
        <v>0</v>
      </c>
    </row>
    <row r="2472" spans="1:22">
      <c r="A2472" s="16"/>
      <c r="B2472" s="23"/>
      <c r="C2472" s="15"/>
      <c r="D2472" s="15"/>
      <c r="E2472" s="15"/>
      <c r="F2472" s="24"/>
      <c r="G2472" s="17"/>
      <c r="H2472" s="17"/>
      <c r="I2472" s="15"/>
      <c r="J2472" s="25">
        <f>IF($D2472="","",IFERROR(INDEX(PacNome,MATCH($D2472,PacCod,0)),"Paciente não cadastrado"))</f>
        <v>0</v>
      </c>
      <c r="K2472" s="26">
        <f>IF($D2472="","",IFERROR(INDEX(PacConv,MATCH($D2472,PacCod,0))&amp;"",""))</f>
        <v>0</v>
      </c>
      <c r="L2472" s="26">
        <f>IF($A2472="","",CHOOSE(WEEKDAY($A2472,2),"Seg","Ter","Qua","Qui","Sex","Sáb","Dom"))</f>
        <v>0</v>
      </c>
      <c r="M2472" s="27">
        <f>IF($E2472="","",IF($G2472&lt;&gt;"",$G2472,IFERROR(INDEX(ProcValor,MATCH($E2472,ProcNome,0)),0)))</f>
        <v>0</v>
      </c>
      <c r="N2472" s="27">
        <f>IF($M2472="","",IF($F2472="Compareceu",$M2472,0))</f>
        <v>0</v>
      </c>
      <c r="O2472" s="27">
        <f>IF($M2472="","",IF($F2472="Faltou",$M2472,0))</f>
        <v>0</v>
      </c>
      <c r="P2472" s="27">
        <f>IF($M2472="","",IF($F2472="Compareceu",MAX(0,$M2472-N($H2472)),0))</f>
        <v>0</v>
      </c>
      <c r="Q2472" s="19">
        <f>IF(AND($F2472="Compareceu",$E2472&lt;&gt;"",$A2472&lt;&gt;""),IF(IFERROR(INDEX(ProcRet,MATCH($E2472,ProcNome,0)),0)&gt;0,$A2472+INDEX(ProcRet,MATCH($E2472,ProcNome,0)),""),"")</f>
        <v>0</v>
      </c>
      <c r="R2472" s="26">
        <f>IF($Q2472="","",IF(COUNTIFS(AgPac,$D2472,AgData,"&gt;"&amp;$A2472,AgStatus,"&lt;&gt;Cancelado",AgStatus,"&lt;&gt;Remarcado")&gt;0,"Sim","Não"))</f>
        <v>0</v>
      </c>
      <c r="S2472" s="28">
        <f>IF($A2472="","",IF(AND($F2472="Agendado",$A2472-Hoje&gt;=0,$A2472-Hoje&lt;=DiasConf),"CONFIRMAR",IF(AND($A2472&lt;Hoje,OR($F2472="Agendado",$F2472="Confirmado")),"Atualizar status",IF(AND($F2472="Compareceu",$P2472&gt;0.005),"Cobrar",IF($F2472="Faltou","Falta: reagendar","")))))</f>
        <v>0</v>
      </c>
      <c r="T2472" s="29">
        <f>IF($A2472="","",DATE(YEAR($A2472),MONTH($A2472),1))</f>
        <v>0</v>
      </c>
      <c r="U2472" s="30">
        <f>IF($S2472="CONFIRMAR",MAX($U$4:$U2471)+1,"")</f>
        <v>0</v>
      </c>
      <c r="V2472" s="30">
        <f>IF(AND($R2472="Não",$Q2472&lt;&gt;"",$Q2472&lt;=Hoje+JanelaRet,$Q2472&gt;=Hoje-60),MAX($V$4:$V2471)+1,"")</f>
        <v>0</v>
      </c>
    </row>
    <row r="2473" spans="1:22">
      <c r="A2473" s="16"/>
      <c r="B2473" s="23"/>
      <c r="C2473" s="15"/>
      <c r="D2473" s="15"/>
      <c r="E2473" s="15"/>
      <c r="F2473" s="24"/>
      <c r="G2473" s="17"/>
      <c r="H2473" s="17"/>
      <c r="I2473" s="15"/>
      <c r="J2473" s="25">
        <f>IF($D2473="","",IFERROR(INDEX(PacNome,MATCH($D2473,PacCod,0)),"Paciente não cadastrado"))</f>
        <v>0</v>
      </c>
      <c r="K2473" s="26">
        <f>IF($D2473="","",IFERROR(INDEX(PacConv,MATCH($D2473,PacCod,0))&amp;"",""))</f>
        <v>0</v>
      </c>
      <c r="L2473" s="26">
        <f>IF($A2473="","",CHOOSE(WEEKDAY($A2473,2),"Seg","Ter","Qua","Qui","Sex","Sáb","Dom"))</f>
        <v>0</v>
      </c>
      <c r="M2473" s="27">
        <f>IF($E2473="","",IF($G2473&lt;&gt;"",$G2473,IFERROR(INDEX(ProcValor,MATCH($E2473,ProcNome,0)),0)))</f>
        <v>0</v>
      </c>
      <c r="N2473" s="27">
        <f>IF($M2473="","",IF($F2473="Compareceu",$M2473,0))</f>
        <v>0</v>
      </c>
      <c r="O2473" s="27">
        <f>IF($M2473="","",IF($F2473="Faltou",$M2473,0))</f>
        <v>0</v>
      </c>
      <c r="P2473" s="27">
        <f>IF($M2473="","",IF($F2473="Compareceu",MAX(0,$M2473-N($H2473)),0))</f>
        <v>0</v>
      </c>
      <c r="Q2473" s="19">
        <f>IF(AND($F2473="Compareceu",$E2473&lt;&gt;"",$A2473&lt;&gt;""),IF(IFERROR(INDEX(ProcRet,MATCH($E2473,ProcNome,0)),0)&gt;0,$A2473+INDEX(ProcRet,MATCH($E2473,ProcNome,0)),""),"")</f>
        <v>0</v>
      </c>
      <c r="R2473" s="26">
        <f>IF($Q2473="","",IF(COUNTIFS(AgPac,$D2473,AgData,"&gt;"&amp;$A2473,AgStatus,"&lt;&gt;Cancelado",AgStatus,"&lt;&gt;Remarcado")&gt;0,"Sim","Não"))</f>
        <v>0</v>
      </c>
      <c r="S2473" s="28">
        <f>IF($A2473="","",IF(AND($F2473="Agendado",$A2473-Hoje&gt;=0,$A2473-Hoje&lt;=DiasConf),"CONFIRMAR",IF(AND($A2473&lt;Hoje,OR($F2473="Agendado",$F2473="Confirmado")),"Atualizar status",IF(AND($F2473="Compareceu",$P2473&gt;0.005),"Cobrar",IF($F2473="Faltou","Falta: reagendar","")))))</f>
        <v>0</v>
      </c>
      <c r="T2473" s="29">
        <f>IF($A2473="","",DATE(YEAR($A2473),MONTH($A2473),1))</f>
        <v>0</v>
      </c>
      <c r="U2473" s="30">
        <f>IF($S2473="CONFIRMAR",MAX($U$4:$U2472)+1,"")</f>
        <v>0</v>
      </c>
      <c r="V2473" s="30">
        <f>IF(AND($R2473="Não",$Q2473&lt;&gt;"",$Q2473&lt;=Hoje+JanelaRet,$Q2473&gt;=Hoje-60),MAX($V$4:$V2472)+1,"")</f>
        <v>0</v>
      </c>
    </row>
    <row r="2474" spans="1:22">
      <c r="A2474" s="16"/>
      <c r="B2474" s="23"/>
      <c r="C2474" s="15"/>
      <c r="D2474" s="15"/>
      <c r="E2474" s="15"/>
      <c r="F2474" s="24"/>
      <c r="G2474" s="17"/>
      <c r="H2474" s="17"/>
      <c r="I2474" s="15"/>
      <c r="J2474" s="25">
        <f>IF($D2474="","",IFERROR(INDEX(PacNome,MATCH($D2474,PacCod,0)),"Paciente não cadastrado"))</f>
        <v>0</v>
      </c>
      <c r="K2474" s="26">
        <f>IF($D2474="","",IFERROR(INDEX(PacConv,MATCH($D2474,PacCod,0))&amp;"",""))</f>
        <v>0</v>
      </c>
      <c r="L2474" s="26">
        <f>IF($A2474="","",CHOOSE(WEEKDAY($A2474,2),"Seg","Ter","Qua","Qui","Sex","Sáb","Dom"))</f>
        <v>0</v>
      </c>
      <c r="M2474" s="27">
        <f>IF($E2474="","",IF($G2474&lt;&gt;"",$G2474,IFERROR(INDEX(ProcValor,MATCH($E2474,ProcNome,0)),0)))</f>
        <v>0</v>
      </c>
      <c r="N2474" s="27">
        <f>IF($M2474="","",IF($F2474="Compareceu",$M2474,0))</f>
        <v>0</v>
      </c>
      <c r="O2474" s="27">
        <f>IF($M2474="","",IF($F2474="Faltou",$M2474,0))</f>
        <v>0</v>
      </c>
      <c r="P2474" s="27">
        <f>IF($M2474="","",IF($F2474="Compareceu",MAX(0,$M2474-N($H2474)),0))</f>
        <v>0</v>
      </c>
      <c r="Q2474" s="19">
        <f>IF(AND($F2474="Compareceu",$E2474&lt;&gt;"",$A2474&lt;&gt;""),IF(IFERROR(INDEX(ProcRet,MATCH($E2474,ProcNome,0)),0)&gt;0,$A2474+INDEX(ProcRet,MATCH($E2474,ProcNome,0)),""),"")</f>
        <v>0</v>
      </c>
      <c r="R2474" s="26">
        <f>IF($Q2474="","",IF(COUNTIFS(AgPac,$D2474,AgData,"&gt;"&amp;$A2474,AgStatus,"&lt;&gt;Cancelado",AgStatus,"&lt;&gt;Remarcado")&gt;0,"Sim","Não"))</f>
        <v>0</v>
      </c>
      <c r="S2474" s="28">
        <f>IF($A2474="","",IF(AND($F2474="Agendado",$A2474-Hoje&gt;=0,$A2474-Hoje&lt;=DiasConf),"CONFIRMAR",IF(AND($A2474&lt;Hoje,OR($F2474="Agendado",$F2474="Confirmado")),"Atualizar status",IF(AND($F2474="Compareceu",$P2474&gt;0.005),"Cobrar",IF($F2474="Faltou","Falta: reagendar","")))))</f>
        <v>0</v>
      </c>
      <c r="T2474" s="29">
        <f>IF($A2474="","",DATE(YEAR($A2474),MONTH($A2474),1))</f>
        <v>0</v>
      </c>
      <c r="U2474" s="30">
        <f>IF($S2474="CONFIRMAR",MAX($U$4:$U2473)+1,"")</f>
        <v>0</v>
      </c>
      <c r="V2474" s="30">
        <f>IF(AND($R2474="Não",$Q2474&lt;&gt;"",$Q2474&lt;=Hoje+JanelaRet,$Q2474&gt;=Hoje-60),MAX($V$4:$V2473)+1,"")</f>
        <v>0</v>
      </c>
    </row>
    <row r="2475" spans="1:22">
      <c r="A2475" s="16"/>
      <c r="B2475" s="23"/>
      <c r="C2475" s="15"/>
      <c r="D2475" s="15"/>
      <c r="E2475" s="15"/>
      <c r="F2475" s="24"/>
      <c r="G2475" s="17"/>
      <c r="H2475" s="17"/>
      <c r="I2475" s="15"/>
      <c r="J2475" s="25">
        <f>IF($D2475="","",IFERROR(INDEX(PacNome,MATCH($D2475,PacCod,0)),"Paciente não cadastrado"))</f>
        <v>0</v>
      </c>
      <c r="K2475" s="26">
        <f>IF($D2475="","",IFERROR(INDEX(PacConv,MATCH($D2475,PacCod,0))&amp;"",""))</f>
        <v>0</v>
      </c>
      <c r="L2475" s="26">
        <f>IF($A2475="","",CHOOSE(WEEKDAY($A2475,2),"Seg","Ter","Qua","Qui","Sex","Sáb","Dom"))</f>
        <v>0</v>
      </c>
      <c r="M2475" s="27">
        <f>IF($E2475="","",IF($G2475&lt;&gt;"",$G2475,IFERROR(INDEX(ProcValor,MATCH($E2475,ProcNome,0)),0)))</f>
        <v>0</v>
      </c>
      <c r="N2475" s="27">
        <f>IF($M2475="","",IF($F2475="Compareceu",$M2475,0))</f>
        <v>0</v>
      </c>
      <c r="O2475" s="27">
        <f>IF($M2475="","",IF($F2475="Faltou",$M2475,0))</f>
        <v>0</v>
      </c>
      <c r="P2475" s="27">
        <f>IF($M2475="","",IF($F2475="Compareceu",MAX(0,$M2475-N($H2475)),0))</f>
        <v>0</v>
      </c>
      <c r="Q2475" s="19">
        <f>IF(AND($F2475="Compareceu",$E2475&lt;&gt;"",$A2475&lt;&gt;""),IF(IFERROR(INDEX(ProcRet,MATCH($E2475,ProcNome,0)),0)&gt;0,$A2475+INDEX(ProcRet,MATCH($E2475,ProcNome,0)),""),"")</f>
        <v>0</v>
      </c>
      <c r="R2475" s="26">
        <f>IF($Q2475="","",IF(COUNTIFS(AgPac,$D2475,AgData,"&gt;"&amp;$A2475,AgStatus,"&lt;&gt;Cancelado",AgStatus,"&lt;&gt;Remarcado")&gt;0,"Sim","Não"))</f>
        <v>0</v>
      </c>
      <c r="S2475" s="28">
        <f>IF($A2475="","",IF(AND($F2475="Agendado",$A2475-Hoje&gt;=0,$A2475-Hoje&lt;=DiasConf),"CONFIRMAR",IF(AND($A2475&lt;Hoje,OR($F2475="Agendado",$F2475="Confirmado")),"Atualizar status",IF(AND($F2475="Compareceu",$P2475&gt;0.005),"Cobrar",IF($F2475="Faltou","Falta: reagendar","")))))</f>
        <v>0</v>
      </c>
      <c r="T2475" s="29">
        <f>IF($A2475="","",DATE(YEAR($A2475),MONTH($A2475),1))</f>
        <v>0</v>
      </c>
      <c r="U2475" s="30">
        <f>IF($S2475="CONFIRMAR",MAX($U$4:$U2474)+1,"")</f>
        <v>0</v>
      </c>
      <c r="V2475" s="30">
        <f>IF(AND($R2475="Não",$Q2475&lt;&gt;"",$Q2475&lt;=Hoje+JanelaRet,$Q2475&gt;=Hoje-60),MAX($V$4:$V2474)+1,"")</f>
        <v>0</v>
      </c>
    </row>
    <row r="2476" spans="1:22">
      <c r="A2476" s="16"/>
      <c r="B2476" s="23"/>
      <c r="C2476" s="15"/>
      <c r="D2476" s="15"/>
      <c r="E2476" s="15"/>
      <c r="F2476" s="24"/>
      <c r="G2476" s="17"/>
      <c r="H2476" s="17"/>
      <c r="I2476" s="15"/>
      <c r="J2476" s="25">
        <f>IF($D2476="","",IFERROR(INDEX(PacNome,MATCH($D2476,PacCod,0)),"Paciente não cadastrado"))</f>
        <v>0</v>
      </c>
      <c r="K2476" s="26">
        <f>IF($D2476="","",IFERROR(INDEX(PacConv,MATCH($D2476,PacCod,0))&amp;"",""))</f>
        <v>0</v>
      </c>
      <c r="L2476" s="26">
        <f>IF($A2476="","",CHOOSE(WEEKDAY($A2476,2),"Seg","Ter","Qua","Qui","Sex","Sáb","Dom"))</f>
        <v>0</v>
      </c>
      <c r="M2476" s="27">
        <f>IF($E2476="","",IF($G2476&lt;&gt;"",$G2476,IFERROR(INDEX(ProcValor,MATCH($E2476,ProcNome,0)),0)))</f>
        <v>0</v>
      </c>
      <c r="N2476" s="27">
        <f>IF($M2476="","",IF($F2476="Compareceu",$M2476,0))</f>
        <v>0</v>
      </c>
      <c r="O2476" s="27">
        <f>IF($M2476="","",IF($F2476="Faltou",$M2476,0))</f>
        <v>0</v>
      </c>
      <c r="P2476" s="27">
        <f>IF($M2476="","",IF($F2476="Compareceu",MAX(0,$M2476-N($H2476)),0))</f>
        <v>0</v>
      </c>
      <c r="Q2476" s="19">
        <f>IF(AND($F2476="Compareceu",$E2476&lt;&gt;"",$A2476&lt;&gt;""),IF(IFERROR(INDEX(ProcRet,MATCH($E2476,ProcNome,0)),0)&gt;0,$A2476+INDEX(ProcRet,MATCH($E2476,ProcNome,0)),""),"")</f>
        <v>0</v>
      </c>
      <c r="R2476" s="26">
        <f>IF($Q2476="","",IF(COUNTIFS(AgPac,$D2476,AgData,"&gt;"&amp;$A2476,AgStatus,"&lt;&gt;Cancelado",AgStatus,"&lt;&gt;Remarcado")&gt;0,"Sim","Não"))</f>
        <v>0</v>
      </c>
      <c r="S2476" s="28">
        <f>IF($A2476="","",IF(AND($F2476="Agendado",$A2476-Hoje&gt;=0,$A2476-Hoje&lt;=DiasConf),"CONFIRMAR",IF(AND($A2476&lt;Hoje,OR($F2476="Agendado",$F2476="Confirmado")),"Atualizar status",IF(AND($F2476="Compareceu",$P2476&gt;0.005),"Cobrar",IF($F2476="Faltou","Falta: reagendar","")))))</f>
        <v>0</v>
      </c>
      <c r="T2476" s="29">
        <f>IF($A2476="","",DATE(YEAR($A2476),MONTH($A2476),1))</f>
        <v>0</v>
      </c>
      <c r="U2476" s="30">
        <f>IF($S2476="CONFIRMAR",MAX($U$4:$U2475)+1,"")</f>
        <v>0</v>
      </c>
      <c r="V2476" s="30">
        <f>IF(AND($R2476="Não",$Q2476&lt;&gt;"",$Q2476&lt;=Hoje+JanelaRet,$Q2476&gt;=Hoje-60),MAX($V$4:$V2475)+1,"")</f>
        <v>0</v>
      </c>
    </row>
    <row r="2477" spans="1:22">
      <c r="A2477" s="16"/>
      <c r="B2477" s="23"/>
      <c r="C2477" s="15"/>
      <c r="D2477" s="15"/>
      <c r="E2477" s="15"/>
      <c r="F2477" s="24"/>
      <c r="G2477" s="17"/>
      <c r="H2477" s="17"/>
      <c r="I2477" s="15"/>
      <c r="J2477" s="25">
        <f>IF($D2477="","",IFERROR(INDEX(PacNome,MATCH($D2477,PacCod,0)),"Paciente não cadastrado"))</f>
        <v>0</v>
      </c>
      <c r="K2477" s="26">
        <f>IF($D2477="","",IFERROR(INDEX(PacConv,MATCH($D2477,PacCod,0))&amp;"",""))</f>
        <v>0</v>
      </c>
      <c r="L2477" s="26">
        <f>IF($A2477="","",CHOOSE(WEEKDAY($A2477,2),"Seg","Ter","Qua","Qui","Sex","Sáb","Dom"))</f>
        <v>0</v>
      </c>
      <c r="M2477" s="27">
        <f>IF($E2477="","",IF($G2477&lt;&gt;"",$G2477,IFERROR(INDEX(ProcValor,MATCH($E2477,ProcNome,0)),0)))</f>
        <v>0</v>
      </c>
      <c r="N2477" s="27">
        <f>IF($M2477="","",IF($F2477="Compareceu",$M2477,0))</f>
        <v>0</v>
      </c>
      <c r="O2477" s="27">
        <f>IF($M2477="","",IF($F2477="Faltou",$M2477,0))</f>
        <v>0</v>
      </c>
      <c r="P2477" s="27">
        <f>IF($M2477="","",IF($F2477="Compareceu",MAX(0,$M2477-N($H2477)),0))</f>
        <v>0</v>
      </c>
      <c r="Q2477" s="19">
        <f>IF(AND($F2477="Compareceu",$E2477&lt;&gt;"",$A2477&lt;&gt;""),IF(IFERROR(INDEX(ProcRet,MATCH($E2477,ProcNome,0)),0)&gt;0,$A2477+INDEX(ProcRet,MATCH($E2477,ProcNome,0)),""),"")</f>
        <v>0</v>
      </c>
      <c r="R2477" s="26">
        <f>IF($Q2477="","",IF(COUNTIFS(AgPac,$D2477,AgData,"&gt;"&amp;$A2477,AgStatus,"&lt;&gt;Cancelado",AgStatus,"&lt;&gt;Remarcado")&gt;0,"Sim","Não"))</f>
        <v>0</v>
      </c>
      <c r="S2477" s="28">
        <f>IF($A2477="","",IF(AND($F2477="Agendado",$A2477-Hoje&gt;=0,$A2477-Hoje&lt;=DiasConf),"CONFIRMAR",IF(AND($A2477&lt;Hoje,OR($F2477="Agendado",$F2477="Confirmado")),"Atualizar status",IF(AND($F2477="Compareceu",$P2477&gt;0.005),"Cobrar",IF($F2477="Faltou","Falta: reagendar","")))))</f>
        <v>0</v>
      </c>
      <c r="T2477" s="29">
        <f>IF($A2477="","",DATE(YEAR($A2477),MONTH($A2477),1))</f>
        <v>0</v>
      </c>
      <c r="U2477" s="30">
        <f>IF($S2477="CONFIRMAR",MAX($U$4:$U2476)+1,"")</f>
        <v>0</v>
      </c>
      <c r="V2477" s="30">
        <f>IF(AND($R2477="Não",$Q2477&lt;&gt;"",$Q2477&lt;=Hoje+JanelaRet,$Q2477&gt;=Hoje-60),MAX($V$4:$V2476)+1,"")</f>
        <v>0</v>
      </c>
    </row>
    <row r="2478" spans="1:22">
      <c r="A2478" s="16"/>
      <c r="B2478" s="23"/>
      <c r="C2478" s="15"/>
      <c r="D2478" s="15"/>
      <c r="E2478" s="15"/>
      <c r="F2478" s="24"/>
      <c r="G2478" s="17"/>
      <c r="H2478" s="17"/>
      <c r="I2478" s="15"/>
      <c r="J2478" s="25">
        <f>IF($D2478="","",IFERROR(INDEX(PacNome,MATCH($D2478,PacCod,0)),"Paciente não cadastrado"))</f>
        <v>0</v>
      </c>
      <c r="K2478" s="26">
        <f>IF($D2478="","",IFERROR(INDEX(PacConv,MATCH($D2478,PacCod,0))&amp;"",""))</f>
        <v>0</v>
      </c>
      <c r="L2478" s="26">
        <f>IF($A2478="","",CHOOSE(WEEKDAY($A2478,2),"Seg","Ter","Qua","Qui","Sex","Sáb","Dom"))</f>
        <v>0</v>
      </c>
      <c r="M2478" s="27">
        <f>IF($E2478="","",IF($G2478&lt;&gt;"",$G2478,IFERROR(INDEX(ProcValor,MATCH($E2478,ProcNome,0)),0)))</f>
        <v>0</v>
      </c>
      <c r="N2478" s="27">
        <f>IF($M2478="","",IF($F2478="Compareceu",$M2478,0))</f>
        <v>0</v>
      </c>
      <c r="O2478" s="27">
        <f>IF($M2478="","",IF($F2478="Faltou",$M2478,0))</f>
        <v>0</v>
      </c>
      <c r="P2478" s="27">
        <f>IF($M2478="","",IF($F2478="Compareceu",MAX(0,$M2478-N($H2478)),0))</f>
        <v>0</v>
      </c>
      <c r="Q2478" s="19">
        <f>IF(AND($F2478="Compareceu",$E2478&lt;&gt;"",$A2478&lt;&gt;""),IF(IFERROR(INDEX(ProcRet,MATCH($E2478,ProcNome,0)),0)&gt;0,$A2478+INDEX(ProcRet,MATCH($E2478,ProcNome,0)),""),"")</f>
        <v>0</v>
      </c>
      <c r="R2478" s="26">
        <f>IF($Q2478="","",IF(COUNTIFS(AgPac,$D2478,AgData,"&gt;"&amp;$A2478,AgStatus,"&lt;&gt;Cancelado",AgStatus,"&lt;&gt;Remarcado")&gt;0,"Sim","Não"))</f>
        <v>0</v>
      </c>
      <c r="S2478" s="28">
        <f>IF($A2478="","",IF(AND($F2478="Agendado",$A2478-Hoje&gt;=0,$A2478-Hoje&lt;=DiasConf),"CONFIRMAR",IF(AND($A2478&lt;Hoje,OR($F2478="Agendado",$F2478="Confirmado")),"Atualizar status",IF(AND($F2478="Compareceu",$P2478&gt;0.005),"Cobrar",IF($F2478="Faltou","Falta: reagendar","")))))</f>
        <v>0</v>
      </c>
      <c r="T2478" s="29">
        <f>IF($A2478="","",DATE(YEAR($A2478),MONTH($A2478),1))</f>
        <v>0</v>
      </c>
      <c r="U2478" s="30">
        <f>IF($S2478="CONFIRMAR",MAX($U$4:$U2477)+1,"")</f>
        <v>0</v>
      </c>
      <c r="V2478" s="30">
        <f>IF(AND($R2478="Não",$Q2478&lt;&gt;"",$Q2478&lt;=Hoje+JanelaRet,$Q2478&gt;=Hoje-60),MAX($V$4:$V2477)+1,"")</f>
        <v>0</v>
      </c>
    </row>
    <row r="2479" spans="1:22">
      <c r="A2479" s="16"/>
      <c r="B2479" s="23"/>
      <c r="C2479" s="15"/>
      <c r="D2479" s="15"/>
      <c r="E2479" s="15"/>
      <c r="F2479" s="24"/>
      <c r="G2479" s="17"/>
      <c r="H2479" s="17"/>
      <c r="I2479" s="15"/>
      <c r="J2479" s="25">
        <f>IF($D2479="","",IFERROR(INDEX(PacNome,MATCH($D2479,PacCod,0)),"Paciente não cadastrado"))</f>
        <v>0</v>
      </c>
      <c r="K2479" s="26">
        <f>IF($D2479="","",IFERROR(INDEX(PacConv,MATCH($D2479,PacCod,0))&amp;"",""))</f>
        <v>0</v>
      </c>
      <c r="L2479" s="26">
        <f>IF($A2479="","",CHOOSE(WEEKDAY($A2479,2),"Seg","Ter","Qua","Qui","Sex","Sáb","Dom"))</f>
        <v>0</v>
      </c>
      <c r="M2479" s="27">
        <f>IF($E2479="","",IF($G2479&lt;&gt;"",$G2479,IFERROR(INDEX(ProcValor,MATCH($E2479,ProcNome,0)),0)))</f>
        <v>0</v>
      </c>
      <c r="N2479" s="27">
        <f>IF($M2479="","",IF($F2479="Compareceu",$M2479,0))</f>
        <v>0</v>
      </c>
      <c r="O2479" s="27">
        <f>IF($M2479="","",IF($F2479="Faltou",$M2479,0))</f>
        <v>0</v>
      </c>
      <c r="P2479" s="27">
        <f>IF($M2479="","",IF($F2479="Compareceu",MAX(0,$M2479-N($H2479)),0))</f>
        <v>0</v>
      </c>
      <c r="Q2479" s="19">
        <f>IF(AND($F2479="Compareceu",$E2479&lt;&gt;"",$A2479&lt;&gt;""),IF(IFERROR(INDEX(ProcRet,MATCH($E2479,ProcNome,0)),0)&gt;0,$A2479+INDEX(ProcRet,MATCH($E2479,ProcNome,0)),""),"")</f>
        <v>0</v>
      </c>
      <c r="R2479" s="26">
        <f>IF($Q2479="","",IF(COUNTIFS(AgPac,$D2479,AgData,"&gt;"&amp;$A2479,AgStatus,"&lt;&gt;Cancelado",AgStatus,"&lt;&gt;Remarcado")&gt;0,"Sim","Não"))</f>
        <v>0</v>
      </c>
      <c r="S2479" s="28">
        <f>IF($A2479="","",IF(AND($F2479="Agendado",$A2479-Hoje&gt;=0,$A2479-Hoje&lt;=DiasConf),"CONFIRMAR",IF(AND($A2479&lt;Hoje,OR($F2479="Agendado",$F2479="Confirmado")),"Atualizar status",IF(AND($F2479="Compareceu",$P2479&gt;0.005),"Cobrar",IF($F2479="Faltou","Falta: reagendar","")))))</f>
        <v>0</v>
      </c>
      <c r="T2479" s="29">
        <f>IF($A2479="","",DATE(YEAR($A2479),MONTH($A2479),1))</f>
        <v>0</v>
      </c>
      <c r="U2479" s="30">
        <f>IF($S2479="CONFIRMAR",MAX($U$4:$U2478)+1,"")</f>
        <v>0</v>
      </c>
      <c r="V2479" s="30">
        <f>IF(AND($R2479="Não",$Q2479&lt;&gt;"",$Q2479&lt;=Hoje+JanelaRet,$Q2479&gt;=Hoje-60),MAX($V$4:$V2478)+1,"")</f>
        <v>0</v>
      </c>
    </row>
    <row r="2480" spans="1:22">
      <c r="A2480" s="16"/>
      <c r="B2480" s="23"/>
      <c r="C2480" s="15"/>
      <c r="D2480" s="15"/>
      <c r="E2480" s="15"/>
      <c r="F2480" s="24"/>
      <c r="G2480" s="17"/>
      <c r="H2480" s="17"/>
      <c r="I2480" s="15"/>
      <c r="J2480" s="25">
        <f>IF($D2480="","",IFERROR(INDEX(PacNome,MATCH($D2480,PacCod,0)),"Paciente não cadastrado"))</f>
        <v>0</v>
      </c>
      <c r="K2480" s="26">
        <f>IF($D2480="","",IFERROR(INDEX(PacConv,MATCH($D2480,PacCod,0))&amp;"",""))</f>
        <v>0</v>
      </c>
      <c r="L2480" s="26">
        <f>IF($A2480="","",CHOOSE(WEEKDAY($A2480,2),"Seg","Ter","Qua","Qui","Sex","Sáb","Dom"))</f>
        <v>0</v>
      </c>
      <c r="M2480" s="27">
        <f>IF($E2480="","",IF($G2480&lt;&gt;"",$G2480,IFERROR(INDEX(ProcValor,MATCH($E2480,ProcNome,0)),0)))</f>
        <v>0</v>
      </c>
      <c r="N2480" s="27">
        <f>IF($M2480="","",IF($F2480="Compareceu",$M2480,0))</f>
        <v>0</v>
      </c>
      <c r="O2480" s="27">
        <f>IF($M2480="","",IF($F2480="Faltou",$M2480,0))</f>
        <v>0</v>
      </c>
      <c r="P2480" s="27">
        <f>IF($M2480="","",IF($F2480="Compareceu",MAX(0,$M2480-N($H2480)),0))</f>
        <v>0</v>
      </c>
      <c r="Q2480" s="19">
        <f>IF(AND($F2480="Compareceu",$E2480&lt;&gt;"",$A2480&lt;&gt;""),IF(IFERROR(INDEX(ProcRet,MATCH($E2480,ProcNome,0)),0)&gt;0,$A2480+INDEX(ProcRet,MATCH($E2480,ProcNome,0)),""),"")</f>
        <v>0</v>
      </c>
      <c r="R2480" s="26">
        <f>IF($Q2480="","",IF(COUNTIFS(AgPac,$D2480,AgData,"&gt;"&amp;$A2480,AgStatus,"&lt;&gt;Cancelado",AgStatus,"&lt;&gt;Remarcado")&gt;0,"Sim","Não"))</f>
        <v>0</v>
      </c>
      <c r="S2480" s="28">
        <f>IF($A2480="","",IF(AND($F2480="Agendado",$A2480-Hoje&gt;=0,$A2480-Hoje&lt;=DiasConf),"CONFIRMAR",IF(AND($A2480&lt;Hoje,OR($F2480="Agendado",$F2480="Confirmado")),"Atualizar status",IF(AND($F2480="Compareceu",$P2480&gt;0.005),"Cobrar",IF($F2480="Faltou","Falta: reagendar","")))))</f>
        <v>0</v>
      </c>
      <c r="T2480" s="29">
        <f>IF($A2480="","",DATE(YEAR($A2480),MONTH($A2480),1))</f>
        <v>0</v>
      </c>
      <c r="U2480" s="30">
        <f>IF($S2480="CONFIRMAR",MAX($U$4:$U2479)+1,"")</f>
        <v>0</v>
      </c>
      <c r="V2480" s="30">
        <f>IF(AND($R2480="Não",$Q2480&lt;&gt;"",$Q2480&lt;=Hoje+JanelaRet,$Q2480&gt;=Hoje-60),MAX($V$4:$V2479)+1,"")</f>
        <v>0</v>
      </c>
    </row>
    <row r="2481" spans="1:22">
      <c r="A2481" s="16"/>
      <c r="B2481" s="23"/>
      <c r="C2481" s="15"/>
      <c r="D2481" s="15"/>
      <c r="E2481" s="15"/>
      <c r="F2481" s="24"/>
      <c r="G2481" s="17"/>
      <c r="H2481" s="17"/>
      <c r="I2481" s="15"/>
      <c r="J2481" s="25">
        <f>IF($D2481="","",IFERROR(INDEX(PacNome,MATCH($D2481,PacCod,0)),"Paciente não cadastrado"))</f>
        <v>0</v>
      </c>
      <c r="K2481" s="26">
        <f>IF($D2481="","",IFERROR(INDEX(PacConv,MATCH($D2481,PacCod,0))&amp;"",""))</f>
        <v>0</v>
      </c>
      <c r="L2481" s="26">
        <f>IF($A2481="","",CHOOSE(WEEKDAY($A2481,2),"Seg","Ter","Qua","Qui","Sex","Sáb","Dom"))</f>
        <v>0</v>
      </c>
      <c r="M2481" s="27">
        <f>IF($E2481="","",IF($G2481&lt;&gt;"",$G2481,IFERROR(INDEX(ProcValor,MATCH($E2481,ProcNome,0)),0)))</f>
        <v>0</v>
      </c>
      <c r="N2481" s="27">
        <f>IF($M2481="","",IF($F2481="Compareceu",$M2481,0))</f>
        <v>0</v>
      </c>
      <c r="O2481" s="27">
        <f>IF($M2481="","",IF($F2481="Faltou",$M2481,0))</f>
        <v>0</v>
      </c>
      <c r="P2481" s="27">
        <f>IF($M2481="","",IF($F2481="Compareceu",MAX(0,$M2481-N($H2481)),0))</f>
        <v>0</v>
      </c>
      <c r="Q2481" s="19">
        <f>IF(AND($F2481="Compareceu",$E2481&lt;&gt;"",$A2481&lt;&gt;""),IF(IFERROR(INDEX(ProcRet,MATCH($E2481,ProcNome,0)),0)&gt;0,$A2481+INDEX(ProcRet,MATCH($E2481,ProcNome,0)),""),"")</f>
        <v>0</v>
      </c>
      <c r="R2481" s="26">
        <f>IF($Q2481="","",IF(COUNTIFS(AgPac,$D2481,AgData,"&gt;"&amp;$A2481,AgStatus,"&lt;&gt;Cancelado",AgStatus,"&lt;&gt;Remarcado")&gt;0,"Sim","Não"))</f>
        <v>0</v>
      </c>
      <c r="S2481" s="28">
        <f>IF($A2481="","",IF(AND($F2481="Agendado",$A2481-Hoje&gt;=0,$A2481-Hoje&lt;=DiasConf),"CONFIRMAR",IF(AND($A2481&lt;Hoje,OR($F2481="Agendado",$F2481="Confirmado")),"Atualizar status",IF(AND($F2481="Compareceu",$P2481&gt;0.005),"Cobrar",IF($F2481="Faltou","Falta: reagendar","")))))</f>
        <v>0</v>
      </c>
      <c r="T2481" s="29">
        <f>IF($A2481="","",DATE(YEAR($A2481),MONTH($A2481),1))</f>
        <v>0</v>
      </c>
      <c r="U2481" s="30">
        <f>IF($S2481="CONFIRMAR",MAX($U$4:$U2480)+1,"")</f>
        <v>0</v>
      </c>
      <c r="V2481" s="30">
        <f>IF(AND($R2481="Não",$Q2481&lt;&gt;"",$Q2481&lt;=Hoje+JanelaRet,$Q2481&gt;=Hoje-60),MAX($V$4:$V2480)+1,"")</f>
        <v>0</v>
      </c>
    </row>
    <row r="2482" spans="1:22">
      <c r="A2482" s="16"/>
      <c r="B2482" s="23"/>
      <c r="C2482" s="15"/>
      <c r="D2482" s="15"/>
      <c r="E2482" s="15"/>
      <c r="F2482" s="24"/>
      <c r="G2482" s="17"/>
      <c r="H2482" s="17"/>
      <c r="I2482" s="15"/>
      <c r="J2482" s="25">
        <f>IF($D2482="","",IFERROR(INDEX(PacNome,MATCH($D2482,PacCod,0)),"Paciente não cadastrado"))</f>
        <v>0</v>
      </c>
      <c r="K2482" s="26">
        <f>IF($D2482="","",IFERROR(INDEX(PacConv,MATCH($D2482,PacCod,0))&amp;"",""))</f>
        <v>0</v>
      </c>
      <c r="L2482" s="26">
        <f>IF($A2482="","",CHOOSE(WEEKDAY($A2482,2),"Seg","Ter","Qua","Qui","Sex","Sáb","Dom"))</f>
        <v>0</v>
      </c>
      <c r="M2482" s="27">
        <f>IF($E2482="","",IF($G2482&lt;&gt;"",$G2482,IFERROR(INDEX(ProcValor,MATCH($E2482,ProcNome,0)),0)))</f>
        <v>0</v>
      </c>
      <c r="N2482" s="27">
        <f>IF($M2482="","",IF($F2482="Compareceu",$M2482,0))</f>
        <v>0</v>
      </c>
      <c r="O2482" s="27">
        <f>IF($M2482="","",IF($F2482="Faltou",$M2482,0))</f>
        <v>0</v>
      </c>
      <c r="P2482" s="27">
        <f>IF($M2482="","",IF($F2482="Compareceu",MAX(0,$M2482-N($H2482)),0))</f>
        <v>0</v>
      </c>
      <c r="Q2482" s="19">
        <f>IF(AND($F2482="Compareceu",$E2482&lt;&gt;"",$A2482&lt;&gt;""),IF(IFERROR(INDEX(ProcRet,MATCH($E2482,ProcNome,0)),0)&gt;0,$A2482+INDEX(ProcRet,MATCH($E2482,ProcNome,0)),""),"")</f>
        <v>0</v>
      </c>
      <c r="R2482" s="26">
        <f>IF($Q2482="","",IF(COUNTIFS(AgPac,$D2482,AgData,"&gt;"&amp;$A2482,AgStatus,"&lt;&gt;Cancelado",AgStatus,"&lt;&gt;Remarcado")&gt;0,"Sim","Não"))</f>
        <v>0</v>
      </c>
      <c r="S2482" s="28">
        <f>IF($A2482="","",IF(AND($F2482="Agendado",$A2482-Hoje&gt;=0,$A2482-Hoje&lt;=DiasConf),"CONFIRMAR",IF(AND($A2482&lt;Hoje,OR($F2482="Agendado",$F2482="Confirmado")),"Atualizar status",IF(AND($F2482="Compareceu",$P2482&gt;0.005),"Cobrar",IF($F2482="Faltou","Falta: reagendar","")))))</f>
        <v>0</v>
      </c>
      <c r="T2482" s="29">
        <f>IF($A2482="","",DATE(YEAR($A2482),MONTH($A2482),1))</f>
        <v>0</v>
      </c>
      <c r="U2482" s="30">
        <f>IF($S2482="CONFIRMAR",MAX($U$4:$U2481)+1,"")</f>
        <v>0</v>
      </c>
      <c r="V2482" s="30">
        <f>IF(AND($R2482="Não",$Q2482&lt;&gt;"",$Q2482&lt;=Hoje+JanelaRet,$Q2482&gt;=Hoje-60),MAX($V$4:$V2481)+1,"")</f>
        <v>0</v>
      </c>
    </row>
    <row r="2483" spans="1:22">
      <c r="A2483" s="16"/>
      <c r="B2483" s="23"/>
      <c r="C2483" s="15"/>
      <c r="D2483" s="15"/>
      <c r="E2483" s="15"/>
      <c r="F2483" s="24"/>
      <c r="G2483" s="17"/>
      <c r="H2483" s="17"/>
      <c r="I2483" s="15"/>
      <c r="J2483" s="25">
        <f>IF($D2483="","",IFERROR(INDEX(PacNome,MATCH($D2483,PacCod,0)),"Paciente não cadastrado"))</f>
        <v>0</v>
      </c>
      <c r="K2483" s="26">
        <f>IF($D2483="","",IFERROR(INDEX(PacConv,MATCH($D2483,PacCod,0))&amp;"",""))</f>
        <v>0</v>
      </c>
      <c r="L2483" s="26">
        <f>IF($A2483="","",CHOOSE(WEEKDAY($A2483,2),"Seg","Ter","Qua","Qui","Sex","Sáb","Dom"))</f>
        <v>0</v>
      </c>
      <c r="M2483" s="27">
        <f>IF($E2483="","",IF($G2483&lt;&gt;"",$G2483,IFERROR(INDEX(ProcValor,MATCH($E2483,ProcNome,0)),0)))</f>
        <v>0</v>
      </c>
      <c r="N2483" s="27">
        <f>IF($M2483="","",IF($F2483="Compareceu",$M2483,0))</f>
        <v>0</v>
      </c>
      <c r="O2483" s="27">
        <f>IF($M2483="","",IF($F2483="Faltou",$M2483,0))</f>
        <v>0</v>
      </c>
      <c r="P2483" s="27">
        <f>IF($M2483="","",IF($F2483="Compareceu",MAX(0,$M2483-N($H2483)),0))</f>
        <v>0</v>
      </c>
      <c r="Q2483" s="19">
        <f>IF(AND($F2483="Compareceu",$E2483&lt;&gt;"",$A2483&lt;&gt;""),IF(IFERROR(INDEX(ProcRet,MATCH($E2483,ProcNome,0)),0)&gt;0,$A2483+INDEX(ProcRet,MATCH($E2483,ProcNome,0)),""),"")</f>
        <v>0</v>
      </c>
      <c r="R2483" s="26">
        <f>IF($Q2483="","",IF(COUNTIFS(AgPac,$D2483,AgData,"&gt;"&amp;$A2483,AgStatus,"&lt;&gt;Cancelado",AgStatus,"&lt;&gt;Remarcado")&gt;0,"Sim","Não"))</f>
        <v>0</v>
      </c>
      <c r="S2483" s="28">
        <f>IF($A2483="","",IF(AND($F2483="Agendado",$A2483-Hoje&gt;=0,$A2483-Hoje&lt;=DiasConf),"CONFIRMAR",IF(AND($A2483&lt;Hoje,OR($F2483="Agendado",$F2483="Confirmado")),"Atualizar status",IF(AND($F2483="Compareceu",$P2483&gt;0.005),"Cobrar",IF($F2483="Faltou","Falta: reagendar","")))))</f>
        <v>0</v>
      </c>
      <c r="T2483" s="29">
        <f>IF($A2483="","",DATE(YEAR($A2483),MONTH($A2483),1))</f>
        <v>0</v>
      </c>
      <c r="U2483" s="30">
        <f>IF($S2483="CONFIRMAR",MAX($U$4:$U2482)+1,"")</f>
        <v>0</v>
      </c>
      <c r="V2483" s="30">
        <f>IF(AND($R2483="Não",$Q2483&lt;&gt;"",$Q2483&lt;=Hoje+JanelaRet,$Q2483&gt;=Hoje-60),MAX($V$4:$V2482)+1,"")</f>
        <v>0</v>
      </c>
    </row>
    <row r="2484" spans="1:22">
      <c r="A2484" s="16"/>
      <c r="B2484" s="23"/>
      <c r="C2484" s="15"/>
      <c r="D2484" s="15"/>
      <c r="E2484" s="15"/>
      <c r="F2484" s="24"/>
      <c r="G2484" s="17"/>
      <c r="H2484" s="17"/>
      <c r="I2484" s="15"/>
      <c r="J2484" s="25">
        <f>IF($D2484="","",IFERROR(INDEX(PacNome,MATCH($D2484,PacCod,0)),"Paciente não cadastrado"))</f>
        <v>0</v>
      </c>
      <c r="K2484" s="26">
        <f>IF($D2484="","",IFERROR(INDEX(PacConv,MATCH($D2484,PacCod,0))&amp;"",""))</f>
        <v>0</v>
      </c>
      <c r="L2484" s="26">
        <f>IF($A2484="","",CHOOSE(WEEKDAY($A2484,2),"Seg","Ter","Qua","Qui","Sex","Sáb","Dom"))</f>
        <v>0</v>
      </c>
      <c r="M2484" s="27">
        <f>IF($E2484="","",IF($G2484&lt;&gt;"",$G2484,IFERROR(INDEX(ProcValor,MATCH($E2484,ProcNome,0)),0)))</f>
        <v>0</v>
      </c>
      <c r="N2484" s="27">
        <f>IF($M2484="","",IF($F2484="Compareceu",$M2484,0))</f>
        <v>0</v>
      </c>
      <c r="O2484" s="27">
        <f>IF($M2484="","",IF($F2484="Faltou",$M2484,0))</f>
        <v>0</v>
      </c>
      <c r="P2484" s="27">
        <f>IF($M2484="","",IF($F2484="Compareceu",MAX(0,$M2484-N($H2484)),0))</f>
        <v>0</v>
      </c>
      <c r="Q2484" s="19">
        <f>IF(AND($F2484="Compareceu",$E2484&lt;&gt;"",$A2484&lt;&gt;""),IF(IFERROR(INDEX(ProcRet,MATCH($E2484,ProcNome,0)),0)&gt;0,$A2484+INDEX(ProcRet,MATCH($E2484,ProcNome,0)),""),"")</f>
        <v>0</v>
      </c>
      <c r="R2484" s="26">
        <f>IF($Q2484="","",IF(COUNTIFS(AgPac,$D2484,AgData,"&gt;"&amp;$A2484,AgStatus,"&lt;&gt;Cancelado",AgStatus,"&lt;&gt;Remarcado")&gt;0,"Sim","Não"))</f>
        <v>0</v>
      </c>
      <c r="S2484" s="28">
        <f>IF($A2484="","",IF(AND($F2484="Agendado",$A2484-Hoje&gt;=0,$A2484-Hoje&lt;=DiasConf),"CONFIRMAR",IF(AND($A2484&lt;Hoje,OR($F2484="Agendado",$F2484="Confirmado")),"Atualizar status",IF(AND($F2484="Compareceu",$P2484&gt;0.005),"Cobrar",IF($F2484="Faltou","Falta: reagendar","")))))</f>
        <v>0</v>
      </c>
      <c r="T2484" s="29">
        <f>IF($A2484="","",DATE(YEAR($A2484),MONTH($A2484),1))</f>
        <v>0</v>
      </c>
      <c r="U2484" s="30">
        <f>IF($S2484="CONFIRMAR",MAX($U$4:$U2483)+1,"")</f>
        <v>0</v>
      </c>
      <c r="V2484" s="30">
        <f>IF(AND($R2484="Não",$Q2484&lt;&gt;"",$Q2484&lt;=Hoje+JanelaRet,$Q2484&gt;=Hoje-60),MAX($V$4:$V2483)+1,"")</f>
        <v>0</v>
      </c>
    </row>
    <row r="2485" spans="1:22">
      <c r="A2485" s="16"/>
      <c r="B2485" s="23"/>
      <c r="C2485" s="15"/>
      <c r="D2485" s="15"/>
      <c r="E2485" s="15"/>
      <c r="F2485" s="24"/>
      <c r="G2485" s="17"/>
      <c r="H2485" s="17"/>
      <c r="I2485" s="15"/>
      <c r="J2485" s="25">
        <f>IF($D2485="","",IFERROR(INDEX(PacNome,MATCH($D2485,PacCod,0)),"Paciente não cadastrado"))</f>
        <v>0</v>
      </c>
      <c r="K2485" s="26">
        <f>IF($D2485="","",IFERROR(INDEX(PacConv,MATCH($D2485,PacCod,0))&amp;"",""))</f>
        <v>0</v>
      </c>
      <c r="L2485" s="26">
        <f>IF($A2485="","",CHOOSE(WEEKDAY($A2485,2),"Seg","Ter","Qua","Qui","Sex","Sáb","Dom"))</f>
        <v>0</v>
      </c>
      <c r="M2485" s="27">
        <f>IF($E2485="","",IF($G2485&lt;&gt;"",$G2485,IFERROR(INDEX(ProcValor,MATCH($E2485,ProcNome,0)),0)))</f>
        <v>0</v>
      </c>
      <c r="N2485" s="27">
        <f>IF($M2485="","",IF($F2485="Compareceu",$M2485,0))</f>
        <v>0</v>
      </c>
      <c r="O2485" s="27">
        <f>IF($M2485="","",IF($F2485="Faltou",$M2485,0))</f>
        <v>0</v>
      </c>
      <c r="P2485" s="27">
        <f>IF($M2485="","",IF($F2485="Compareceu",MAX(0,$M2485-N($H2485)),0))</f>
        <v>0</v>
      </c>
      <c r="Q2485" s="19">
        <f>IF(AND($F2485="Compareceu",$E2485&lt;&gt;"",$A2485&lt;&gt;""),IF(IFERROR(INDEX(ProcRet,MATCH($E2485,ProcNome,0)),0)&gt;0,$A2485+INDEX(ProcRet,MATCH($E2485,ProcNome,0)),""),"")</f>
        <v>0</v>
      </c>
      <c r="R2485" s="26">
        <f>IF($Q2485="","",IF(COUNTIFS(AgPac,$D2485,AgData,"&gt;"&amp;$A2485,AgStatus,"&lt;&gt;Cancelado",AgStatus,"&lt;&gt;Remarcado")&gt;0,"Sim","Não"))</f>
        <v>0</v>
      </c>
      <c r="S2485" s="28">
        <f>IF($A2485="","",IF(AND($F2485="Agendado",$A2485-Hoje&gt;=0,$A2485-Hoje&lt;=DiasConf),"CONFIRMAR",IF(AND($A2485&lt;Hoje,OR($F2485="Agendado",$F2485="Confirmado")),"Atualizar status",IF(AND($F2485="Compareceu",$P2485&gt;0.005),"Cobrar",IF($F2485="Faltou","Falta: reagendar","")))))</f>
        <v>0</v>
      </c>
      <c r="T2485" s="29">
        <f>IF($A2485="","",DATE(YEAR($A2485),MONTH($A2485),1))</f>
        <v>0</v>
      </c>
      <c r="U2485" s="30">
        <f>IF($S2485="CONFIRMAR",MAX($U$4:$U2484)+1,"")</f>
        <v>0</v>
      </c>
      <c r="V2485" s="30">
        <f>IF(AND($R2485="Não",$Q2485&lt;&gt;"",$Q2485&lt;=Hoje+JanelaRet,$Q2485&gt;=Hoje-60),MAX($V$4:$V2484)+1,"")</f>
        <v>0</v>
      </c>
    </row>
    <row r="2486" spans="1:22">
      <c r="A2486" s="16"/>
      <c r="B2486" s="23"/>
      <c r="C2486" s="15"/>
      <c r="D2486" s="15"/>
      <c r="E2486" s="15"/>
      <c r="F2486" s="24"/>
      <c r="G2486" s="17"/>
      <c r="H2486" s="17"/>
      <c r="I2486" s="15"/>
      <c r="J2486" s="25">
        <f>IF($D2486="","",IFERROR(INDEX(PacNome,MATCH($D2486,PacCod,0)),"Paciente não cadastrado"))</f>
        <v>0</v>
      </c>
      <c r="K2486" s="26">
        <f>IF($D2486="","",IFERROR(INDEX(PacConv,MATCH($D2486,PacCod,0))&amp;"",""))</f>
        <v>0</v>
      </c>
      <c r="L2486" s="26">
        <f>IF($A2486="","",CHOOSE(WEEKDAY($A2486,2),"Seg","Ter","Qua","Qui","Sex","Sáb","Dom"))</f>
        <v>0</v>
      </c>
      <c r="M2486" s="27">
        <f>IF($E2486="","",IF($G2486&lt;&gt;"",$G2486,IFERROR(INDEX(ProcValor,MATCH($E2486,ProcNome,0)),0)))</f>
        <v>0</v>
      </c>
      <c r="N2486" s="27">
        <f>IF($M2486="","",IF($F2486="Compareceu",$M2486,0))</f>
        <v>0</v>
      </c>
      <c r="O2486" s="27">
        <f>IF($M2486="","",IF($F2486="Faltou",$M2486,0))</f>
        <v>0</v>
      </c>
      <c r="P2486" s="27">
        <f>IF($M2486="","",IF($F2486="Compareceu",MAX(0,$M2486-N($H2486)),0))</f>
        <v>0</v>
      </c>
      <c r="Q2486" s="19">
        <f>IF(AND($F2486="Compareceu",$E2486&lt;&gt;"",$A2486&lt;&gt;""),IF(IFERROR(INDEX(ProcRet,MATCH($E2486,ProcNome,0)),0)&gt;0,$A2486+INDEX(ProcRet,MATCH($E2486,ProcNome,0)),""),"")</f>
        <v>0</v>
      </c>
      <c r="R2486" s="26">
        <f>IF($Q2486="","",IF(COUNTIFS(AgPac,$D2486,AgData,"&gt;"&amp;$A2486,AgStatus,"&lt;&gt;Cancelado",AgStatus,"&lt;&gt;Remarcado")&gt;0,"Sim","Não"))</f>
        <v>0</v>
      </c>
      <c r="S2486" s="28">
        <f>IF($A2486="","",IF(AND($F2486="Agendado",$A2486-Hoje&gt;=0,$A2486-Hoje&lt;=DiasConf),"CONFIRMAR",IF(AND($A2486&lt;Hoje,OR($F2486="Agendado",$F2486="Confirmado")),"Atualizar status",IF(AND($F2486="Compareceu",$P2486&gt;0.005),"Cobrar",IF($F2486="Faltou","Falta: reagendar","")))))</f>
        <v>0</v>
      </c>
      <c r="T2486" s="29">
        <f>IF($A2486="","",DATE(YEAR($A2486),MONTH($A2486),1))</f>
        <v>0</v>
      </c>
      <c r="U2486" s="30">
        <f>IF($S2486="CONFIRMAR",MAX($U$4:$U2485)+1,"")</f>
        <v>0</v>
      </c>
      <c r="V2486" s="30">
        <f>IF(AND($R2486="Não",$Q2486&lt;&gt;"",$Q2486&lt;=Hoje+JanelaRet,$Q2486&gt;=Hoje-60),MAX($V$4:$V2485)+1,"")</f>
        <v>0</v>
      </c>
    </row>
    <row r="2487" spans="1:22">
      <c r="A2487" s="16"/>
      <c r="B2487" s="23"/>
      <c r="C2487" s="15"/>
      <c r="D2487" s="15"/>
      <c r="E2487" s="15"/>
      <c r="F2487" s="24"/>
      <c r="G2487" s="17"/>
      <c r="H2487" s="17"/>
      <c r="I2487" s="15"/>
      <c r="J2487" s="25">
        <f>IF($D2487="","",IFERROR(INDEX(PacNome,MATCH($D2487,PacCod,0)),"Paciente não cadastrado"))</f>
        <v>0</v>
      </c>
      <c r="K2487" s="26">
        <f>IF($D2487="","",IFERROR(INDEX(PacConv,MATCH($D2487,PacCod,0))&amp;"",""))</f>
        <v>0</v>
      </c>
      <c r="L2487" s="26">
        <f>IF($A2487="","",CHOOSE(WEEKDAY($A2487,2),"Seg","Ter","Qua","Qui","Sex","Sáb","Dom"))</f>
        <v>0</v>
      </c>
      <c r="M2487" s="27">
        <f>IF($E2487="","",IF($G2487&lt;&gt;"",$G2487,IFERROR(INDEX(ProcValor,MATCH($E2487,ProcNome,0)),0)))</f>
        <v>0</v>
      </c>
      <c r="N2487" s="27">
        <f>IF($M2487="","",IF($F2487="Compareceu",$M2487,0))</f>
        <v>0</v>
      </c>
      <c r="O2487" s="27">
        <f>IF($M2487="","",IF($F2487="Faltou",$M2487,0))</f>
        <v>0</v>
      </c>
      <c r="P2487" s="27">
        <f>IF($M2487="","",IF($F2487="Compareceu",MAX(0,$M2487-N($H2487)),0))</f>
        <v>0</v>
      </c>
      <c r="Q2487" s="19">
        <f>IF(AND($F2487="Compareceu",$E2487&lt;&gt;"",$A2487&lt;&gt;""),IF(IFERROR(INDEX(ProcRet,MATCH($E2487,ProcNome,0)),0)&gt;0,$A2487+INDEX(ProcRet,MATCH($E2487,ProcNome,0)),""),"")</f>
        <v>0</v>
      </c>
      <c r="R2487" s="26">
        <f>IF($Q2487="","",IF(COUNTIFS(AgPac,$D2487,AgData,"&gt;"&amp;$A2487,AgStatus,"&lt;&gt;Cancelado",AgStatus,"&lt;&gt;Remarcado")&gt;0,"Sim","Não"))</f>
        <v>0</v>
      </c>
      <c r="S2487" s="28">
        <f>IF($A2487="","",IF(AND($F2487="Agendado",$A2487-Hoje&gt;=0,$A2487-Hoje&lt;=DiasConf),"CONFIRMAR",IF(AND($A2487&lt;Hoje,OR($F2487="Agendado",$F2487="Confirmado")),"Atualizar status",IF(AND($F2487="Compareceu",$P2487&gt;0.005),"Cobrar",IF($F2487="Faltou","Falta: reagendar","")))))</f>
        <v>0</v>
      </c>
      <c r="T2487" s="29">
        <f>IF($A2487="","",DATE(YEAR($A2487),MONTH($A2487),1))</f>
        <v>0</v>
      </c>
      <c r="U2487" s="30">
        <f>IF($S2487="CONFIRMAR",MAX($U$4:$U2486)+1,"")</f>
        <v>0</v>
      </c>
      <c r="V2487" s="30">
        <f>IF(AND($R2487="Não",$Q2487&lt;&gt;"",$Q2487&lt;=Hoje+JanelaRet,$Q2487&gt;=Hoje-60),MAX($V$4:$V2486)+1,"")</f>
        <v>0</v>
      </c>
    </row>
    <row r="2488" spans="1:22">
      <c r="A2488" s="16"/>
      <c r="B2488" s="23"/>
      <c r="C2488" s="15"/>
      <c r="D2488" s="15"/>
      <c r="E2488" s="15"/>
      <c r="F2488" s="24"/>
      <c r="G2488" s="17"/>
      <c r="H2488" s="17"/>
      <c r="I2488" s="15"/>
      <c r="J2488" s="25">
        <f>IF($D2488="","",IFERROR(INDEX(PacNome,MATCH($D2488,PacCod,0)),"Paciente não cadastrado"))</f>
        <v>0</v>
      </c>
      <c r="K2488" s="26">
        <f>IF($D2488="","",IFERROR(INDEX(PacConv,MATCH($D2488,PacCod,0))&amp;"",""))</f>
        <v>0</v>
      </c>
      <c r="L2488" s="26">
        <f>IF($A2488="","",CHOOSE(WEEKDAY($A2488,2),"Seg","Ter","Qua","Qui","Sex","Sáb","Dom"))</f>
        <v>0</v>
      </c>
      <c r="M2488" s="27">
        <f>IF($E2488="","",IF($G2488&lt;&gt;"",$G2488,IFERROR(INDEX(ProcValor,MATCH($E2488,ProcNome,0)),0)))</f>
        <v>0</v>
      </c>
      <c r="N2488" s="27">
        <f>IF($M2488="","",IF($F2488="Compareceu",$M2488,0))</f>
        <v>0</v>
      </c>
      <c r="O2488" s="27">
        <f>IF($M2488="","",IF($F2488="Faltou",$M2488,0))</f>
        <v>0</v>
      </c>
      <c r="P2488" s="27">
        <f>IF($M2488="","",IF($F2488="Compareceu",MAX(0,$M2488-N($H2488)),0))</f>
        <v>0</v>
      </c>
      <c r="Q2488" s="19">
        <f>IF(AND($F2488="Compareceu",$E2488&lt;&gt;"",$A2488&lt;&gt;""),IF(IFERROR(INDEX(ProcRet,MATCH($E2488,ProcNome,0)),0)&gt;0,$A2488+INDEX(ProcRet,MATCH($E2488,ProcNome,0)),""),"")</f>
        <v>0</v>
      </c>
      <c r="R2488" s="26">
        <f>IF($Q2488="","",IF(COUNTIFS(AgPac,$D2488,AgData,"&gt;"&amp;$A2488,AgStatus,"&lt;&gt;Cancelado",AgStatus,"&lt;&gt;Remarcado")&gt;0,"Sim","Não"))</f>
        <v>0</v>
      </c>
      <c r="S2488" s="28">
        <f>IF($A2488="","",IF(AND($F2488="Agendado",$A2488-Hoje&gt;=0,$A2488-Hoje&lt;=DiasConf),"CONFIRMAR",IF(AND($A2488&lt;Hoje,OR($F2488="Agendado",$F2488="Confirmado")),"Atualizar status",IF(AND($F2488="Compareceu",$P2488&gt;0.005),"Cobrar",IF($F2488="Faltou","Falta: reagendar","")))))</f>
        <v>0</v>
      </c>
      <c r="T2488" s="29">
        <f>IF($A2488="","",DATE(YEAR($A2488),MONTH($A2488),1))</f>
        <v>0</v>
      </c>
      <c r="U2488" s="30">
        <f>IF($S2488="CONFIRMAR",MAX($U$4:$U2487)+1,"")</f>
        <v>0</v>
      </c>
      <c r="V2488" s="30">
        <f>IF(AND($R2488="Não",$Q2488&lt;&gt;"",$Q2488&lt;=Hoje+JanelaRet,$Q2488&gt;=Hoje-60),MAX($V$4:$V2487)+1,"")</f>
        <v>0</v>
      </c>
    </row>
    <row r="2489" spans="1:22">
      <c r="A2489" s="16"/>
      <c r="B2489" s="23"/>
      <c r="C2489" s="15"/>
      <c r="D2489" s="15"/>
      <c r="E2489" s="15"/>
      <c r="F2489" s="24"/>
      <c r="G2489" s="17"/>
      <c r="H2489" s="17"/>
      <c r="I2489" s="15"/>
      <c r="J2489" s="25">
        <f>IF($D2489="","",IFERROR(INDEX(PacNome,MATCH($D2489,PacCod,0)),"Paciente não cadastrado"))</f>
        <v>0</v>
      </c>
      <c r="K2489" s="26">
        <f>IF($D2489="","",IFERROR(INDEX(PacConv,MATCH($D2489,PacCod,0))&amp;"",""))</f>
        <v>0</v>
      </c>
      <c r="L2489" s="26">
        <f>IF($A2489="","",CHOOSE(WEEKDAY($A2489,2),"Seg","Ter","Qua","Qui","Sex","Sáb","Dom"))</f>
        <v>0</v>
      </c>
      <c r="M2489" s="27">
        <f>IF($E2489="","",IF($G2489&lt;&gt;"",$G2489,IFERROR(INDEX(ProcValor,MATCH($E2489,ProcNome,0)),0)))</f>
        <v>0</v>
      </c>
      <c r="N2489" s="27">
        <f>IF($M2489="","",IF($F2489="Compareceu",$M2489,0))</f>
        <v>0</v>
      </c>
      <c r="O2489" s="27">
        <f>IF($M2489="","",IF($F2489="Faltou",$M2489,0))</f>
        <v>0</v>
      </c>
      <c r="P2489" s="27">
        <f>IF($M2489="","",IF($F2489="Compareceu",MAX(0,$M2489-N($H2489)),0))</f>
        <v>0</v>
      </c>
      <c r="Q2489" s="19">
        <f>IF(AND($F2489="Compareceu",$E2489&lt;&gt;"",$A2489&lt;&gt;""),IF(IFERROR(INDEX(ProcRet,MATCH($E2489,ProcNome,0)),0)&gt;0,$A2489+INDEX(ProcRet,MATCH($E2489,ProcNome,0)),""),"")</f>
        <v>0</v>
      </c>
      <c r="R2489" s="26">
        <f>IF($Q2489="","",IF(COUNTIFS(AgPac,$D2489,AgData,"&gt;"&amp;$A2489,AgStatus,"&lt;&gt;Cancelado",AgStatus,"&lt;&gt;Remarcado")&gt;0,"Sim","Não"))</f>
        <v>0</v>
      </c>
      <c r="S2489" s="28">
        <f>IF($A2489="","",IF(AND($F2489="Agendado",$A2489-Hoje&gt;=0,$A2489-Hoje&lt;=DiasConf),"CONFIRMAR",IF(AND($A2489&lt;Hoje,OR($F2489="Agendado",$F2489="Confirmado")),"Atualizar status",IF(AND($F2489="Compareceu",$P2489&gt;0.005),"Cobrar",IF($F2489="Faltou","Falta: reagendar","")))))</f>
        <v>0</v>
      </c>
      <c r="T2489" s="29">
        <f>IF($A2489="","",DATE(YEAR($A2489),MONTH($A2489),1))</f>
        <v>0</v>
      </c>
      <c r="U2489" s="30">
        <f>IF($S2489="CONFIRMAR",MAX($U$4:$U2488)+1,"")</f>
        <v>0</v>
      </c>
      <c r="V2489" s="30">
        <f>IF(AND($R2489="Não",$Q2489&lt;&gt;"",$Q2489&lt;=Hoje+JanelaRet,$Q2489&gt;=Hoje-60),MAX($V$4:$V2488)+1,"")</f>
        <v>0</v>
      </c>
    </row>
    <row r="2490" spans="1:22">
      <c r="A2490" s="16"/>
      <c r="B2490" s="23"/>
      <c r="C2490" s="15"/>
      <c r="D2490" s="15"/>
      <c r="E2490" s="15"/>
      <c r="F2490" s="24"/>
      <c r="G2490" s="17"/>
      <c r="H2490" s="17"/>
      <c r="I2490" s="15"/>
      <c r="J2490" s="25">
        <f>IF($D2490="","",IFERROR(INDEX(PacNome,MATCH($D2490,PacCod,0)),"Paciente não cadastrado"))</f>
        <v>0</v>
      </c>
      <c r="K2490" s="26">
        <f>IF($D2490="","",IFERROR(INDEX(PacConv,MATCH($D2490,PacCod,0))&amp;"",""))</f>
        <v>0</v>
      </c>
      <c r="L2490" s="26">
        <f>IF($A2490="","",CHOOSE(WEEKDAY($A2490,2),"Seg","Ter","Qua","Qui","Sex","Sáb","Dom"))</f>
        <v>0</v>
      </c>
      <c r="M2490" s="27">
        <f>IF($E2490="","",IF($G2490&lt;&gt;"",$G2490,IFERROR(INDEX(ProcValor,MATCH($E2490,ProcNome,0)),0)))</f>
        <v>0</v>
      </c>
      <c r="N2490" s="27">
        <f>IF($M2490="","",IF($F2490="Compareceu",$M2490,0))</f>
        <v>0</v>
      </c>
      <c r="O2490" s="27">
        <f>IF($M2490="","",IF($F2490="Faltou",$M2490,0))</f>
        <v>0</v>
      </c>
      <c r="P2490" s="27">
        <f>IF($M2490="","",IF($F2490="Compareceu",MAX(0,$M2490-N($H2490)),0))</f>
        <v>0</v>
      </c>
      <c r="Q2490" s="19">
        <f>IF(AND($F2490="Compareceu",$E2490&lt;&gt;"",$A2490&lt;&gt;""),IF(IFERROR(INDEX(ProcRet,MATCH($E2490,ProcNome,0)),0)&gt;0,$A2490+INDEX(ProcRet,MATCH($E2490,ProcNome,0)),""),"")</f>
        <v>0</v>
      </c>
      <c r="R2490" s="26">
        <f>IF($Q2490="","",IF(COUNTIFS(AgPac,$D2490,AgData,"&gt;"&amp;$A2490,AgStatus,"&lt;&gt;Cancelado",AgStatus,"&lt;&gt;Remarcado")&gt;0,"Sim","Não"))</f>
        <v>0</v>
      </c>
      <c r="S2490" s="28">
        <f>IF($A2490="","",IF(AND($F2490="Agendado",$A2490-Hoje&gt;=0,$A2490-Hoje&lt;=DiasConf),"CONFIRMAR",IF(AND($A2490&lt;Hoje,OR($F2490="Agendado",$F2490="Confirmado")),"Atualizar status",IF(AND($F2490="Compareceu",$P2490&gt;0.005),"Cobrar",IF($F2490="Faltou","Falta: reagendar","")))))</f>
        <v>0</v>
      </c>
      <c r="T2490" s="29">
        <f>IF($A2490="","",DATE(YEAR($A2490),MONTH($A2490),1))</f>
        <v>0</v>
      </c>
      <c r="U2490" s="30">
        <f>IF($S2490="CONFIRMAR",MAX($U$4:$U2489)+1,"")</f>
        <v>0</v>
      </c>
      <c r="V2490" s="30">
        <f>IF(AND($R2490="Não",$Q2490&lt;&gt;"",$Q2490&lt;=Hoje+JanelaRet,$Q2490&gt;=Hoje-60),MAX($V$4:$V2489)+1,"")</f>
        <v>0</v>
      </c>
    </row>
    <row r="2491" spans="1:22">
      <c r="A2491" s="16"/>
      <c r="B2491" s="23"/>
      <c r="C2491" s="15"/>
      <c r="D2491" s="15"/>
      <c r="E2491" s="15"/>
      <c r="F2491" s="24"/>
      <c r="G2491" s="17"/>
      <c r="H2491" s="17"/>
      <c r="I2491" s="15"/>
      <c r="J2491" s="25">
        <f>IF($D2491="","",IFERROR(INDEX(PacNome,MATCH($D2491,PacCod,0)),"Paciente não cadastrado"))</f>
        <v>0</v>
      </c>
      <c r="K2491" s="26">
        <f>IF($D2491="","",IFERROR(INDEX(PacConv,MATCH($D2491,PacCod,0))&amp;"",""))</f>
        <v>0</v>
      </c>
      <c r="L2491" s="26">
        <f>IF($A2491="","",CHOOSE(WEEKDAY($A2491,2),"Seg","Ter","Qua","Qui","Sex","Sáb","Dom"))</f>
        <v>0</v>
      </c>
      <c r="M2491" s="27">
        <f>IF($E2491="","",IF($G2491&lt;&gt;"",$G2491,IFERROR(INDEX(ProcValor,MATCH($E2491,ProcNome,0)),0)))</f>
        <v>0</v>
      </c>
      <c r="N2491" s="27">
        <f>IF($M2491="","",IF($F2491="Compareceu",$M2491,0))</f>
        <v>0</v>
      </c>
      <c r="O2491" s="27">
        <f>IF($M2491="","",IF($F2491="Faltou",$M2491,0))</f>
        <v>0</v>
      </c>
      <c r="P2491" s="27">
        <f>IF($M2491="","",IF($F2491="Compareceu",MAX(0,$M2491-N($H2491)),0))</f>
        <v>0</v>
      </c>
      <c r="Q2491" s="19">
        <f>IF(AND($F2491="Compareceu",$E2491&lt;&gt;"",$A2491&lt;&gt;""),IF(IFERROR(INDEX(ProcRet,MATCH($E2491,ProcNome,0)),0)&gt;0,$A2491+INDEX(ProcRet,MATCH($E2491,ProcNome,0)),""),"")</f>
        <v>0</v>
      </c>
      <c r="R2491" s="26">
        <f>IF($Q2491="","",IF(COUNTIFS(AgPac,$D2491,AgData,"&gt;"&amp;$A2491,AgStatus,"&lt;&gt;Cancelado",AgStatus,"&lt;&gt;Remarcado")&gt;0,"Sim","Não"))</f>
        <v>0</v>
      </c>
      <c r="S2491" s="28">
        <f>IF($A2491="","",IF(AND($F2491="Agendado",$A2491-Hoje&gt;=0,$A2491-Hoje&lt;=DiasConf),"CONFIRMAR",IF(AND($A2491&lt;Hoje,OR($F2491="Agendado",$F2491="Confirmado")),"Atualizar status",IF(AND($F2491="Compareceu",$P2491&gt;0.005),"Cobrar",IF($F2491="Faltou","Falta: reagendar","")))))</f>
        <v>0</v>
      </c>
      <c r="T2491" s="29">
        <f>IF($A2491="","",DATE(YEAR($A2491),MONTH($A2491),1))</f>
        <v>0</v>
      </c>
      <c r="U2491" s="30">
        <f>IF($S2491="CONFIRMAR",MAX($U$4:$U2490)+1,"")</f>
        <v>0</v>
      </c>
      <c r="V2491" s="30">
        <f>IF(AND($R2491="Não",$Q2491&lt;&gt;"",$Q2491&lt;=Hoje+JanelaRet,$Q2491&gt;=Hoje-60),MAX($V$4:$V2490)+1,"")</f>
        <v>0</v>
      </c>
    </row>
    <row r="2492" spans="1:22">
      <c r="A2492" s="16"/>
      <c r="B2492" s="23"/>
      <c r="C2492" s="15"/>
      <c r="D2492" s="15"/>
      <c r="E2492" s="15"/>
      <c r="F2492" s="24"/>
      <c r="G2492" s="17"/>
      <c r="H2492" s="17"/>
      <c r="I2492" s="15"/>
      <c r="J2492" s="25">
        <f>IF($D2492="","",IFERROR(INDEX(PacNome,MATCH($D2492,PacCod,0)),"Paciente não cadastrado"))</f>
        <v>0</v>
      </c>
      <c r="K2492" s="26">
        <f>IF($D2492="","",IFERROR(INDEX(PacConv,MATCH($D2492,PacCod,0))&amp;"",""))</f>
        <v>0</v>
      </c>
      <c r="L2492" s="26">
        <f>IF($A2492="","",CHOOSE(WEEKDAY($A2492,2),"Seg","Ter","Qua","Qui","Sex","Sáb","Dom"))</f>
        <v>0</v>
      </c>
      <c r="M2492" s="27">
        <f>IF($E2492="","",IF($G2492&lt;&gt;"",$G2492,IFERROR(INDEX(ProcValor,MATCH($E2492,ProcNome,0)),0)))</f>
        <v>0</v>
      </c>
      <c r="N2492" s="27">
        <f>IF($M2492="","",IF($F2492="Compareceu",$M2492,0))</f>
        <v>0</v>
      </c>
      <c r="O2492" s="27">
        <f>IF($M2492="","",IF($F2492="Faltou",$M2492,0))</f>
        <v>0</v>
      </c>
      <c r="P2492" s="27">
        <f>IF($M2492="","",IF($F2492="Compareceu",MAX(0,$M2492-N($H2492)),0))</f>
        <v>0</v>
      </c>
      <c r="Q2492" s="19">
        <f>IF(AND($F2492="Compareceu",$E2492&lt;&gt;"",$A2492&lt;&gt;""),IF(IFERROR(INDEX(ProcRet,MATCH($E2492,ProcNome,0)),0)&gt;0,$A2492+INDEX(ProcRet,MATCH($E2492,ProcNome,0)),""),"")</f>
        <v>0</v>
      </c>
      <c r="R2492" s="26">
        <f>IF($Q2492="","",IF(COUNTIFS(AgPac,$D2492,AgData,"&gt;"&amp;$A2492,AgStatus,"&lt;&gt;Cancelado",AgStatus,"&lt;&gt;Remarcado")&gt;0,"Sim","Não"))</f>
        <v>0</v>
      </c>
      <c r="S2492" s="28">
        <f>IF($A2492="","",IF(AND($F2492="Agendado",$A2492-Hoje&gt;=0,$A2492-Hoje&lt;=DiasConf),"CONFIRMAR",IF(AND($A2492&lt;Hoje,OR($F2492="Agendado",$F2492="Confirmado")),"Atualizar status",IF(AND($F2492="Compareceu",$P2492&gt;0.005),"Cobrar",IF($F2492="Faltou","Falta: reagendar","")))))</f>
        <v>0</v>
      </c>
      <c r="T2492" s="29">
        <f>IF($A2492="","",DATE(YEAR($A2492),MONTH($A2492),1))</f>
        <v>0</v>
      </c>
      <c r="U2492" s="30">
        <f>IF($S2492="CONFIRMAR",MAX($U$4:$U2491)+1,"")</f>
        <v>0</v>
      </c>
      <c r="V2492" s="30">
        <f>IF(AND($R2492="Não",$Q2492&lt;&gt;"",$Q2492&lt;=Hoje+JanelaRet,$Q2492&gt;=Hoje-60),MAX($V$4:$V2491)+1,"")</f>
        <v>0</v>
      </c>
    </row>
    <row r="2493" spans="1:22">
      <c r="A2493" s="16"/>
      <c r="B2493" s="23"/>
      <c r="C2493" s="15"/>
      <c r="D2493" s="15"/>
      <c r="E2493" s="15"/>
      <c r="F2493" s="24"/>
      <c r="G2493" s="17"/>
      <c r="H2493" s="17"/>
      <c r="I2493" s="15"/>
      <c r="J2493" s="25">
        <f>IF($D2493="","",IFERROR(INDEX(PacNome,MATCH($D2493,PacCod,0)),"Paciente não cadastrado"))</f>
        <v>0</v>
      </c>
      <c r="K2493" s="26">
        <f>IF($D2493="","",IFERROR(INDEX(PacConv,MATCH($D2493,PacCod,0))&amp;"",""))</f>
        <v>0</v>
      </c>
      <c r="L2493" s="26">
        <f>IF($A2493="","",CHOOSE(WEEKDAY($A2493,2),"Seg","Ter","Qua","Qui","Sex","Sáb","Dom"))</f>
        <v>0</v>
      </c>
      <c r="M2493" s="27">
        <f>IF($E2493="","",IF($G2493&lt;&gt;"",$G2493,IFERROR(INDEX(ProcValor,MATCH($E2493,ProcNome,0)),0)))</f>
        <v>0</v>
      </c>
      <c r="N2493" s="27">
        <f>IF($M2493="","",IF($F2493="Compareceu",$M2493,0))</f>
        <v>0</v>
      </c>
      <c r="O2493" s="27">
        <f>IF($M2493="","",IF($F2493="Faltou",$M2493,0))</f>
        <v>0</v>
      </c>
      <c r="P2493" s="27">
        <f>IF($M2493="","",IF($F2493="Compareceu",MAX(0,$M2493-N($H2493)),0))</f>
        <v>0</v>
      </c>
      <c r="Q2493" s="19">
        <f>IF(AND($F2493="Compareceu",$E2493&lt;&gt;"",$A2493&lt;&gt;""),IF(IFERROR(INDEX(ProcRet,MATCH($E2493,ProcNome,0)),0)&gt;0,$A2493+INDEX(ProcRet,MATCH($E2493,ProcNome,0)),""),"")</f>
        <v>0</v>
      </c>
      <c r="R2493" s="26">
        <f>IF($Q2493="","",IF(COUNTIFS(AgPac,$D2493,AgData,"&gt;"&amp;$A2493,AgStatus,"&lt;&gt;Cancelado",AgStatus,"&lt;&gt;Remarcado")&gt;0,"Sim","Não"))</f>
        <v>0</v>
      </c>
      <c r="S2493" s="28">
        <f>IF($A2493="","",IF(AND($F2493="Agendado",$A2493-Hoje&gt;=0,$A2493-Hoje&lt;=DiasConf),"CONFIRMAR",IF(AND($A2493&lt;Hoje,OR($F2493="Agendado",$F2493="Confirmado")),"Atualizar status",IF(AND($F2493="Compareceu",$P2493&gt;0.005),"Cobrar",IF($F2493="Faltou","Falta: reagendar","")))))</f>
        <v>0</v>
      </c>
      <c r="T2493" s="29">
        <f>IF($A2493="","",DATE(YEAR($A2493),MONTH($A2493),1))</f>
        <v>0</v>
      </c>
      <c r="U2493" s="30">
        <f>IF($S2493="CONFIRMAR",MAX($U$4:$U2492)+1,"")</f>
        <v>0</v>
      </c>
      <c r="V2493" s="30">
        <f>IF(AND($R2493="Não",$Q2493&lt;&gt;"",$Q2493&lt;=Hoje+JanelaRet,$Q2493&gt;=Hoje-60),MAX($V$4:$V2492)+1,"")</f>
        <v>0</v>
      </c>
    </row>
    <row r="2494" spans="1:22">
      <c r="A2494" s="16"/>
      <c r="B2494" s="23"/>
      <c r="C2494" s="15"/>
      <c r="D2494" s="15"/>
      <c r="E2494" s="15"/>
      <c r="F2494" s="24"/>
      <c r="G2494" s="17"/>
      <c r="H2494" s="17"/>
      <c r="I2494" s="15"/>
      <c r="J2494" s="25">
        <f>IF($D2494="","",IFERROR(INDEX(PacNome,MATCH($D2494,PacCod,0)),"Paciente não cadastrado"))</f>
        <v>0</v>
      </c>
      <c r="K2494" s="26">
        <f>IF($D2494="","",IFERROR(INDEX(PacConv,MATCH($D2494,PacCod,0))&amp;"",""))</f>
        <v>0</v>
      </c>
      <c r="L2494" s="26">
        <f>IF($A2494="","",CHOOSE(WEEKDAY($A2494,2),"Seg","Ter","Qua","Qui","Sex","Sáb","Dom"))</f>
        <v>0</v>
      </c>
      <c r="M2494" s="27">
        <f>IF($E2494="","",IF($G2494&lt;&gt;"",$G2494,IFERROR(INDEX(ProcValor,MATCH($E2494,ProcNome,0)),0)))</f>
        <v>0</v>
      </c>
      <c r="N2494" s="27">
        <f>IF($M2494="","",IF($F2494="Compareceu",$M2494,0))</f>
        <v>0</v>
      </c>
      <c r="O2494" s="27">
        <f>IF($M2494="","",IF($F2494="Faltou",$M2494,0))</f>
        <v>0</v>
      </c>
      <c r="P2494" s="27">
        <f>IF($M2494="","",IF($F2494="Compareceu",MAX(0,$M2494-N($H2494)),0))</f>
        <v>0</v>
      </c>
      <c r="Q2494" s="19">
        <f>IF(AND($F2494="Compareceu",$E2494&lt;&gt;"",$A2494&lt;&gt;""),IF(IFERROR(INDEX(ProcRet,MATCH($E2494,ProcNome,0)),0)&gt;0,$A2494+INDEX(ProcRet,MATCH($E2494,ProcNome,0)),""),"")</f>
        <v>0</v>
      </c>
      <c r="R2494" s="26">
        <f>IF($Q2494="","",IF(COUNTIFS(AgPac,$D2494,AgData,"&gt;"&amp;$A2494,AgStatus,"&lt;&gt;Cancelado",AgStatus,"&lt;&gt;Remarcado")&gt;0,"Sim","Não"))</f>
        <v>0</v>
      </c>
      <c r="S2494" s="28">
        <f>IF($A2494="","",IF(AND($F2494="Agendado",$A2494-Hoje&gt;=0,$A2494-Hoje&lt;=DiasConf),"CONFIRMAR",IF(AND($A2494&lt;Hoje,OR($F2494="Agendado",$F2494="Confirmado")),"Atualizar status",IF(AND($F2494="Compareceu",$P2494&gt;0.005),"Cobrar",IF($F2494="Faltou","Falta: reagendar","")))))</f>
        <v>0</v>
      </c>
      <c r="T2494" s="29">
        <f>IF($A2494="","",DATE(YEAR($A2494),MONTH($A2494),1))</f>
        <v>0</v>
      </c>
      <c r="U2494" s="30">
        <f>IF($S2494="CONFIRMAR",MAX($U$4:$U2493)+1,"")</f>
        <v>0</v>
      </c>
      <c r="V2494" s="30">
        <f>IF(AND($R2494="Não",$Q2494&lt;&gt;"",$Q2494&lt;=Hoje+JanelaRet,$Q2494&gt;=Hoje-60),MAX($V$4:$V2493)+1,"")</f>
        <v>0</v>
      </c>
    </row>
    <row r="2495" spans="1:22">
      <c r="A2495" s="16"/>
      <c r="B2495" s="23"/>
      <c r="C2495" s="15"/>
      <c r="D2495" s="15"/>
      <c r="E2495" s="15"/>
      <c r="F2495" s="24"/>
      <c r="G2495" s="17"/>
      <c r="H2495" s="17"/>
      <c r="I2495" s="15"/>
      <c r="J2495" s="25">
        <f>IF($D2495="","",IFERROR(INDEX(PacNome,MATCH($D2495,PacCod,0)),"Paciente não cadastrado"))</f>
        <v>0</v>
      </c>
      <c r="K2495" s="26">
        <f>IF($D2495="","",IFERROR(INDEX(PacConv,MATCH($D2495,PacCod,0))&amp;"",""))</f>
        <v>0</v>
      </c>
      <c r="L2495" s="26">
        <f>IF($A2495="","",CHOOSE(WEEKDAY($A2495,2),"Seg","Ter","Qua","Qui","Sex","Sáb","Dom"))</f>
        <v>0</v>
      </c>
      <c r="M2495" s="27">
        <f>IF($E2495="","",IF($G2495&lt;&gt;"",$G2495,IFERROR(INDEX(ProcValor,MATCH($E2495,ProcNome,0)),0)))</f>
        <v>0</v>
      </c>
      <c r="N2495" s="27">
        <f>IF($M2495="","",IF($F2495="Compareceu",$M2495,0))</f>
        <v>0</v>
      </c>
      <c r="O2495" s="27">
        <f>IF($M2495="","",IF($F2495="Faltou",$M2495,0))</f>
        <v>0</v>
      </c>
      <c r="P2495" s="27">
        <f>IF($M2495="","",IF($F2495="Compareceu",MAX(0,$M2495-N($H2495)),0))</f>
        <v>0</v>
      </c>
      <c r="Q2495" s="19">
        <f>IF(AND($F2495="Compareceu",$E2495&lt;&gt;"",$A2495&lt;&gt;""),IF(IFERROR(INDEX(ProcRet,MATCH($E2495,ProcNome,0)),0)&gt;0,$A2495+INDEX(ProcRet,MATCH($E2495,ProcNome,0)),""),"")</f>
        <v>0</v>
      </c>
      <c r="R2495" s="26">
        <f>IF($Q2495="","",IF(COUNTIFS(AgPac,$D2495,AgData,"&gt;"&amp;$A2495,AgStatus,"&lt;&gt;Cancelado",AgStatus,"&lt;&gt;Remarcado")&gt;0,"Sim","Não"))</f>
        <v>0</v>
      </c>
      <c r="S2495" s="28">
        <f>IF($A2495="","",IF(AND($F2495="Agendado",$A2495-Hoje&gt;=0,$A2495-Hoje&lt;=DiasConf),"CONFIRMAR",IF(AND($A2495&lt;Hoje,OR($F2495="Agendado",$F2495="Confirmado")),"Atualizar status",IF(AND($F2495="Compareceu",$P2495&gt;0.005),"Cobrar",IF($F2495="Faltou","Falta: reagendar","")))))</f>
        <v>0</v>
      </c>
      <c r="T2495" s="29">
        <f>IF($A2495="","",DATE(YEAR($A2495),MONTH($A2495),1))</f>
        <v>0</v>
      </c>
      <c r="U2495" s="30">
        <f>IF($S2495="CONFIRMAR",MAX($U$4:$U2494)+1,"")</f>
        <v>0</v>
      </c>
      <c r="V2495" s="30">
        <f>IF(AND($R2495="Não",$Q2495&lt;&gt;"",$Q2495&lt;=Hoje+JanelaRet,$Q2495&gt;=Hoje-60),MAX($V$4:$V2494)+1,"")</f>
        <v>0</v>
      </c>
    </row>
    <row r="2496" spans="1:22">
      <c r="A2496" s="16"/>
      <c r="B2496" s="23"/>
      <c r="C2496" s="15"/>
      <c r="D2496" s="15"/>
      <c r="E2496" s="15"/>
      <c r="F2496" s="24"/>
      <c r="G2496" s="17"/>
      <c r="H2496" s="17"/>
      <c r="I2496" s="15"/>
      <c r="J2496" s="25">
        <f>IF($D2496="","",IFERROR(INDEX(PacNome,MATCH($D2496,PacCod,0)),"Paciente não cadastrado"))</f>
        <v>0</v>
      </c>
      <c r="K2496" s="26">
        <f>IF($D2496="","",IFERROR(INDEX(PacConv,MATCH($D2496,PacCod,0))&amp;"",""))</f>
        <v>0</v>
      </c>
      <c r="L2496" s="26">
        <f>IF($A2496="","",CHOOSE(WEEKDAY($A2496,2),"Seg","Ter","Qua","Qui","Sex","Sáb","Dom"))</f>
        <v>0</v>
      </c>
      <c r="M2496" s="27">
        <f>IF($E2496="","",IF($G2496&lt;&gt;"",$G2496,IFERROR(INDEX(ProcValor,MATCH($E2496,ProcNome,0)),0)))</f>
        <v>0</v>
      </c>
      <c r="N2496" s="27">
        <f>IF($M2496="","",IF($F2496="Compareceu",$M2496,0))</f>
        <v>0</v>
      </c>
      <c r="O2496" s="27">
        <f>IF($M2496="","",IF($F2496="Faltou",$M2496,0))</f>
        <v>0</v>
      </c>
      <c r="P2496" s="27">
        <f>IF($M2496="","",IF($F2496="Compareceu",MAX(0,$M2496-N($H2496)),0))</f>
        <v>0</v>
      </c>
      <c r="Q2496" s="19">
        <f>IF(AND($F2496="Compareceu",$E2496&lt;&gt;"",$A2496&lt;&gt;""),IF(IFERROR(INDEX(ProcRet,MATCH($E2496,ProcNome,0)),0)&gt;0,$A2496+INDEX(ProcRet,MATCH($E2496,ProcNome,0)),""),"")</f>
        <v>0</v>
      </c>
      <c r="R2496" s="26">
        <f>IF($Q2496="","",IF(COUNTIFS(AgPac,$D2496,AgData,"&gt;"&amp;$A2496,AgStatus,"&lt;&gt;Cancelado",AgStatus,"&lt;&gt;Remarcado")&gt;0,"Sim","Não"))</f>
        <v>0</v>
      </c>
      <c r="S2496" s="28">
        <f>IF($A2496="","",IF(AND($F2496="Agendado",$A2496-Hoje&gt;=0,$A2496-Hoje&lt;=DiasConf),"CONFIRMAR",IF(AND($A2496&lt;Hoje,OR($F2496="Agendado",$F2496="Confirmado")),"Atualizar status",IF(AND($F2496="Compareceu",$P2496&gt;0.005),"Cobrar",IF($F2496="Faltou","Falta: reagendar","")))))</f>
        <v>0</v>
      </c>
      <c r="T2496" s="29">
        <f>IF($A2496="","",DATE(YEAR($A2496),MONTH($A2496),1))</f>
        <v>0</v>
      </c>
      <c r="U2496" s="30">
        <f>IF($S2496="CONFIRMAR",MAX($U$4:$U2495)+1,"")</f>
        <v>0</v>
      </c>
      <c r="V2496" s="30">
        <f>IF(AND($R2496="Não",$Q2496&lt;&gt;"",$Q2496&lt;=Hoje+JanelaRet,$Q2496&gt;=Hoje-60),MAX($V$4:$V2495)+1,"")</f>
        <v>0</v>
      </c>
    </row>
    <row r="2497" spans="1:22">
      <c r="A2497" s="16"/>
      <c r="B2497" s="23"/>
      <c r="C2497" s="15"/>
      <c r="D2497" s="15"/>
      <c r="E2497" s="15"/>
      <c r="F2497" s="24"/>
      <c r="G2497" s="17"/>
      <c r="H2497" s="17"/>
      <c r="I2497" s="15"/>
      <c r="J2497" s="25">
        <f>IF($D2497="","",IFERROR(INDEX(PacNome,MATCH($D2497,PacCod,0)),"Paciente não cadastrado"))</f>
        <v>0</v>
      </c>
      <c r="K2497" s="26">
        <f>IF($D2497="","",IFERROR(INDEX(PacConv,MATCH($D2497,PacCod,0))&amp;"",""))</f>
        <v>0</v>
      </c>
      <c r="L2497" s="26">
        <f>IF($A2497="","",CHOOSE(WEEKDAY($A2497,2),"Seg","Ter","Qua","Qui","Sex","Sáb","Dom"))</f>
        <v>0</v>
      </c>
      <c r="M2497" s="27">
        <f>IF($E2497="","",IF($G2497&lt;&gt;"",$G2497,IFERROR(INDEX(ProcValor,MATCH($E2497,ProcNome,0)),0)))</f>
        <v>0</v>
      </c>
      <c r="N2497" s="27">
        <f>IF($M2497="","",IF($F2497="Compareceu",$M2497,0))</f>
        <v>0</v>
      </c>
      <c r="O2497" s="27">
        <f>IF($M2497="","",IF($F2497="Faltou",$M2497,0))</f>
        <v>0</v>
      </c>
      <c r="P2497" s="27">
        <f>IF($M2497="","",IF($F2497="Compareceu",MAX(0,$M2497-N($H2497)),0))</f>
        <v>0</v>
      </c>
      <c r="Q2497" s="19">
        <f>IF(AND($F2497="Compareceu",$E2497&lt;&gt;"",$A2497&lt;&gt;""),IF(IFERROR(INDEX(ProcRet,MATCH($E2497,ProcNome,0)),0)&gt;0,$A2497+INDEX(ProcRet,MATCH($E2497,ProcNome,0)),""),"")</f>
        <v>0</v>
      </c>
      <c r="R2497" s="26">
        <f>IF($Q2497="","",IF(COUNTIFS(AgPac,$D2497,AgData,"&gt;"&amp;$A2497,AgStatus,"&lt;&gt;Cancelado",AgStatus,"&lt;&gt;Remarcado")&gt;0,"Sim","Não"))</f>
        <v>0</v>
      </c>
      <c r="S2497" s="28">
        <f>IF($A2497="","",IF(AND($F2497="Agendado",$A2497-Hoje&gt;=0,$A2497-Hoje&lt;=DiasConf),"CONFIRMAR",IF(AND($A2497&lt;Hoje,OR($F2497="Agendado",$F2497="Confirmado")),"Atualizar status",IF(AND($F2497="Compareceu",$P2497&gt;0.005),"Cobrar",IF($F2497="Faltou","Falta: reagendar","")))))</f>
        <v>0</v>
      </c>
      <c r="T2497" s="29">
        <f>IF($A2497="","",DATE(YEAR($A2497),MONTH($A2497),1))</f>
        <v>0</v>
      </c>
      <c r="U2497" s="30">
        <f>IF($S2497="CONFIRMAR",MAX($U$4:$U2496)+1,"")</f>
        <v>0</v>
      </c>
      <c r="V2497" s="30">
        <f>IF(AND($R2497="Não",$Q2497&lt;&gt;"",$Q2497&lt;=Hoje+JanelaRet,$Q2497&gt;=Hoje-60),MAX($V$4:$V2496)+1,"")</f>
        <v>0</v>
      </c>
    </row>
    <row r="2498" spans="1:22">
      <c r="A2498" s="16"/>
      <c r="B2498" s="23"/>
      <c r="C2498" s="15"/>
      <c r="D2498" s="15"/>
      <c r="E2498" s="15"/>
      <c r="F2498" s="24"/>
      <c r="G2498" s="17"/>
      <c r="H2498" s="17"/>
      <c r="I2498" s="15"/>
      <c r="J2498" s="25">
        <f>IF($D2498="","",IFERROR(INDEX(PacNome,MATCH($D2498,PacCod,0)),"Paciente não cadastrado"))</f>
        <v>0</v>
      </c>
      <c r="K2498" s="26">
        <f>IF($D2498="","",IFERROR(INDEX(PacConv,MATCH($D2498,PacCod,0))&amp;"",""))</f>
        <v>0</v>
      </c>
      <c r="L2498" s="26">
        <f>IF($A2498="","",CHOOSE(WEEKDAY($A2498,2),"Seg","Ter","Qua","Qui","Sex","Sáb","Dom"))</f>
        <v>0</v>
      </c>
      <c r="M2498" s="27">
        <f>IF($E2498="","",IF($G2498&lt;&gt;"",$G2498,IFERROR(INDEX(ProcValor,MATCH($E2498,ProcNome,0)),0)))</f>
        <v>0</v>
      </c>
      <c r="N2498" s="27">
        <f>IF($M2498="","",IF($F2498="Compareceu",$M2498,0))</f>
        <v>0</v>
      </c>
      <c r="O2498" s="27">
        <f>IF($M2498="","",IF($F2498="Faltou",$M2498,0))</f>
        <v>0</v>
      </c>
      <c r="P2498" s="27">
        <f>IF($M2498="","",IF($F2498="Compareceu",MAX(0,$M2498-N($H2498)),0))</f>
        <v>0</v>
      </c>
      <c r="Q2498" s="19">
        <f>IF(AND($F2498="Compareceu",$E2498&lt;&gt;"",$A2498&lt;&gt;""),IF(IFERROR(INDEX(ProcRet,MATCH($E2498,ProcNome,0)),0)&gt;0,$A2498+INDEX(ProcRet,MATCH($E2498,ProcNome,0)),""),"")</f>
        <v>0</v>
      </c>
      <c r="R2498" s="26">
        <f>IF($Q2498="","",IF(COUNTIFS(AgPac,$D2498,AgData,"&gt;"&amp;$A2498,AgStatus,"&lt;&gt;Cancelado",AgStatus,"&lt;&gt;Remarcado")&gt;0,"Sim","Não"))</f>
        <v>0</v>
      </c>
      <c r="S2498" s="28">
        <f>IF($A2498="","",IF(AND($F2498="Agendado",$A2498-Hoje&gt;=0,$A2498-Hoje&lt;=DiasConf),"CONFIRMAR",IF(AND($A2498&lt;Hoje,OR($F2498="Agendado",$F2498="Confirmado")),"Atualizar status",IF(AND($F2498="Compareceu",$P2498&gt;0.005),"Cobrar",IF($F2498="Faltou","Falta: reagendar","")))))</f>
        <v>0</v>
      </c>
      <c r="T2498" s="29">
        <f>IF($A2498="","",DATE(YEAR($A2498),MONTH($A2498),1))</f>
        <v>0</v>
      </c>
      <c r="U2498" s="30">
        <f>IF($S2498="CONFIRMAR",MAX($U$4:$U2497)+1,"")</f>
        <v>0</v>
      </c>
      <c r="V2498" s="30">
        <f>IF(AND($R2498="Não",$Q2498&lt;&gt;"",$Q2498&lt;=Hoje+JanelaRet,$Q2498&gt;=Hoje-60),MAX($V$4:$V2497)+1,"")</f>
        <v>0</v>
      </c>
    </row>
    <row r="2499" spans="1:22">
      <c r="A2499" s="16"/>
      <c r="B2499" s="23"/>
      <c r="C2499" s="15"/>
      <c r="D2499" s="15"/>
      <c r="E2499" s="15"/>
      <c r="F2499" s="24"/>
      <c r="G2499" s="17"/>
      <c r="H2499" s="17"/>
      <c r="I2499" s="15"/>
      <c r="J2499" s="25">
        <f>IF($D2499="","",IFERROR(INDEX(PacNome,MATCH($D2499,PacCod,0)),"Paciente não cadastrado"))</f>
        <v>0</v>
      </c>
      <c r="K2499" s="26">
        <f>IF($D2499="","",IFERROR(INDEX(PacConv,MATCH($D2499,PacCod,0))&amp;"",""))</f>
        <v>0</v>
      </c>
      <c r="L2499" s="26">
        <f>IF($A2499="","",CHOOSE(WEEKDAY($A2499,2),"Seg","Ter","Qua","Qui","Sex","Sáb","Dom"))</f>
        <v>0</v>
      </c>
      <c r="M2499" s="27">
        <f>IF($E2499="","",IF($G2499&lt;&gt;"",$G2499,IFERROR(INDEX(ProcValor,MATCH($E2499,ProcNome,0)),0)))</f>
        <v>0</v>
      </c>
      <c r="N2499" s="27">
        <f>IF($M2499="","",IF($F2499="Compareceu",$M2499,0))</f>
        <v>0</v>
      </c>
      <c r="O2499" s="27">
        <f>IF($M2499="","",IF($F2499="Faltou",$M2499,0))</f>
        <v>0</v>
      </c>
      <c r="P2499" s="27">
        <f>IF($M2499="","",IF($F2499="Compareceu",MAX(0,$M2499-N($H2499)),0))</f>
        <v>0</v>
      </c>
      <c r="Q2499" s="19">
        <f>IF(AND($F2499="Compareceu",$E2499&lt;&gt;"",$A2499&lt;&gt;""),IF(IFERROR(INDEX(ProcRet,MATCH($E2499,ProcNome,0)),0)&gt;0,$A2499+INDEX(ProcRet,MATCH($E2499,ProcNome,0)),""),"")</f>
        <v>0</v>
      </c>
      <c r="R2499" s="26">
        <f>IF($Q2499="","",IF(COUNTIFS(AgPac,$D2499,AgData,"&gt;"&amp;$A2499,AgStatus,"&lt;&gt;Cancelado",AgStatus,"&lt;&gt;Remarcado")&gt;0,"Sim","Não"))</f>
        <v>0</v>
      </c>
      <c r="S2499" s="28">
        <f>IF($A2499="","",IF(AND($F2499="Agendado",$A2499-Hoje&gt;=0,$A2499-Hoje&lt;=DiasConf),"CONFIRMAR",IF(AND($A2499&lt;Hoje,OR($F2499="Agendado",$F2499="Confirmado")),"Atualizar status",IF(AND($F2499="Compareceu",$P2499&gt;0.005),"Cobrar",IF($F2499="Faltou","Falta: reagendar","")))))</f>
        <v>0</v>
      </c>
      <c r="T2499" s="29">
        <f>IF($A2499="","",DATE(YEAR($A2499),MONTH($A2499),1))</f>
        <v>0</v>
      </c>
      <c r="U2499" s="30">
        <f>IF($S2499="CONFIRMAR",MAX($U$4:$U2498)+1,"")</f>
        <v>0</v>
      </c>
      <c r="V2499" s="30">
        <f>IF(AND($R2499="Não",$Q2499&lt;&gt;"",$Q2499&lt;=Hoje+JanelaRet,$Q2499&gt;=Hoje-60),MAX($V$4:$V2498)+1,"")</f>
        <v>0</v>
      </c>
    </row>
    <row r="2500" spans="1:22">
      <c r="A2500" s="16"/>
      <c r="B2500" s="23"/>
      <c r="C2500" s="15"/>
      <c r="D2500" s="15"/>
      <c r="E2500" s="15"/>
      <c r="F2500" s="24"/>
      <c r="G2500" s="17"/>
      <c r="H2500" s="17"/>
      <c r="I2500" s="15"/>
      <c r="J2500" s="25">
        <f>IF($D2500="","",IFERROR(INDEX(PacNome,MATCH($D2500,PacCod,0)),"Paciente não cadastrado"))</f>
        <v>0</v>
      </c>
      <c r="K2500" s="26">
        <f>IF($D2500="","",IFERROR(INDEX(PacConv,MATCH($D2500,PacCod,0))&amp;"",""))</f>
        <v>0</v>
      </c>
      <c r="L2500" s="26">
        <f>IF($A2500="","",CHOOSE(WEEKDAY($A2500,2),"Seg","Ter","Qua","Qui","Sex","Sáb","Dom"))</f>
        <v>0</v>
      </c>
      <c r="M2500" s="27">
        <f>IF($E2500="","",IF($G2500&lt;&gt;"",$G2500,IFERROR(INDEX(ProcValor,MATCH($E2500,ProcNome,0)),0)))</f>
        <v>0</v>
      </c>
      <c r="N2500" s="27">
        <f>IF($M2500="","",IF($F2500="Compareceu",$M2500,0))</f>
        <v>0</v>
      </c>
      <c r="O2500" s="27">
        <f>IF($M2500="","",IF($F2500="Faltou",$M2500,0))</f>
        <v>0</v>
      </c>
      <c r="P2500" s="27">
        <f>IF($M2500="","",IF($F2500="Compareceu",MAX(0,$M2500-N($H2500)),0))</f>
        <v>0</v>
      </c>
      <c r="Q2500" s="19">
        <f>IF(AND($F2500="Compareceu",$E2500&lt;&gt;"",$A2500&lt;&gt;""),IF(IFERROR(INDEX(ProcRet,MATCH($E2500,ProcNome,0)),0)&gt;0,$A2500+INDEX(ProcRet,MATCH($E2500,ProcNome,0)),""),"")</f>
        <v>0</v>
      </c>
      <c r="R2500" s="26">
        <f>IF($Q2500="","",IF(COUNTIFS(AgPac,$D2500,AgData,"&gt;"&amp;$A2500,AgStatus,"&lt;&gt;Cancelado",AgStatus,"&lt;&gt;Remarcado")&gt;0,"Sim","Não"))</f>
        <v>0</v>
      </c>
      <c r="S2500" s="28">
        <f>IF($A2500="","",IF(AND($F2500="Agendado",$A2500-Hoje&gt;=0,$A2500-Hoje&lt;=DiasConf),"CONFIRMAR",IF(AND($A2500&lt;Hoje,OR($F2500="Agendado",$F2500="Confirmado")),"Atualizar status",IF(AND($F2500="Compareceu",$P2500&gt;0.005),"Cobrar",IF($F2500="Faltou","Falta: reagendar","")))))</f>
        <v>0</v>
      </c>
      <c r="T2500" s="29">
        <f>IF($A2500="","",DATE(YEAR($A2500),MONTH($A2500),1))</f>
        <v>0</v>
      </c>
      <c r="U2500" s="30">
        <f>IF($S2500="CONFIRMAR",MAX($U$4:$U2499)+1,"")</f>
        <v>0</v>
      </c>
      <c r="V2500" s="30">
        <f>IF(AND($R2500="Não",$Q2500&lt;&gt;"",$Q2500&lt;=Hoje+JanelaRet,$Q2500&gt;=Hoje-60),MAX($V$4:$V2499)+1,"")</f>
        <v>0</v>
      </c>
    </row>
    <row r="2501" spans="1:22">
      <c r="A2501" s="16"/>
      <c r="B2501" s="23"/>
      <c r="C2501" s="15"/>
      <c r="D2501" s="15"/>
      <c r="E2501" s="15"/>
      <c r="F2501" s="24"/>
      <c r="G2501" s="17"/>
      <c r="H2501" s="17"/>
      <c r="I2501" s="15"/>
      <c r="J2501" s="25">
        <f>IF($D2501="","",IFERROR(INDEX(PacNome,MATCH($D2501,PacCod,0)),"Paciente não cadastrado"))</f>
        <v>0</v>
      </c>
      <c r="K2501" s="26">
        <f>IF($D2501="","",IFERROR(INDEX(PacConv,MATCH($D2501,PacCod,0))&amp;"",""))</f>
        <v>0</v>
      </c>
      <c r="L2501" s="26">
        <f>IF($A2501="","",CHOOSE(WEEKDAY($A2501,2),"Seg","Ter","Qua","Qui","Sex","Sáb","Dom"))</f>
        <v>0</v>
      </c>
      <c r="M2501" s="27">
        <f>IF($E2501="","",IF($G2501&lt;&gt;"",$G2501,IFERROR(INDEX(ProcValor,MATCH($E2501,ProcNome,0)),0)))</f>
        <v>0</v>
      </c>
      <c r="N2501" s="27">
        <f>IF($M2501="","",IF($F2501="Compareceu",$M2501,0))</f>
        <v>0</v>
      </c>
      <c r="O2501" s="27">
        <f>IF($M2501="","",IF($F2501="Faltou",$M2501,0))</f>
        <v>0</v>
      </c>
      <c r="P2501" s="27">
        <f>IF($M2501="","",IF($F2501="Compareceu",MAX(0,$M2501-N($H2501)),0))</f>
        <v>0</v>
      </c>
      <c r="Q2501" s="19">
        <f>IF(AND($F2501="Compareceu",$E2501&lt;&gt;"",$A2501&lt;&gt;""),IF(IFERROR(INDEX(ProcRet,MATCH($E2501,ProcNome,0)),0)&gt;0,$A2501+INDEX(ProcRet,MATCH($E2501,ProcNome,0)),""),"")</f>
        <v>0</v>
      </c>
      <c r="R2501" s="26">
        <f>IF($Q2501="","",IF(COUNTIFS(AgPac,$D2501,AgData,"&gt;"&amp;$A2501,AgStatus,"&lt;&gt;Cancelado",AgStatus,"&lt;&gt;Remarcado")&gt;0,"Sim","Não"))</f>
        <v>0</v>
      </c>
      <c r="S2501" s="28">
        <f>IF($A2501="","",IF(AND($F2501="Agendado",$A2501-Hoje&gt;=0,$A2501-Hoje&lt;=DiasConf),"CONFIRMAR",IF(AND($A2501&lt;Hoje,OR($F2501="Agendado",$F2501="Confirmado")),"Atualizar status",IF(AND($F2501="Compareceu",$P2501&gt;0.005),"Cobrar",IF($F2501="Faltou","Falta: reagendar","")))))</f>
        <v>0</v>
      </c>
      <c r="T2501" s="29">
        <f>IF($A2501="","",DATE(YEAR($A2501),MONTH($A2501),1))</f>
        <v>0</v>
      </c>
      <c r="U2501" s="30">
        <f>IF($S2501="CONFIRMAR",MAX($U$4:$U2500)+1,"")</f>
        <v>0</v>
      </c>
      <c r="V2501" s="30">
        <f>IF(AND($R2501="Não",$Q2501&lt;&gt;"",$Q2501&lt;=Hoje+JanelaRet,$Q2501&gt;=Hoje-60),MAX($V$4:$V2500)+1,"")</f>
        <v>0</v>
      </c>
    </row>
    <row r="2502" spans="1:22">
      <c r="A2502" s="16"/>
      <c r="B2502" s="23"/>
      <c r="C2502" s="15"/>
      <c r="D2502" s="15"/>
      <c r="E2502" s="15"/>
      <c r="F2502" s="24"/>
      <c r="G2502" s="17"/>
      <c r="H2502" s="17"/>
      <c r="I2502" s="15"/>
      <c r="J2502" s="25">
        <f>IF($D2502="","",IFERROR(INDEX(PacNome,MATCH($D2502,PacCod,0)),"Paciente não cadastrado"))</f>
        <v>0</v>
      </c>
      <c r="K2502" s="26">
        <f>IF($D2502="","",IFERROR(INDEX(PacConv,MATCH($D2502,PacCod,0))&amp;"",""))</f>
        <v>0</v>
      </c>
      <c r="L2502" s="26">
        <f>IF($A2502="","",CHOOSE(WEEKDAY($A2502,2),"Seg","Ter","Qua","Qui","Sex","Sáb","Dom"))</f>
        <v>0</v>
      </c>
      <c r="M2502" s="27">
        <f>IF($E2502="","",IF($G2502&lt;&gt;"",$G2502,IFERROR(INDEX(ProcValor,MATCH($E2502,ProcNome,0)),0)))</f>
        <v>0</v>
      </c>
      <c r="N2502" s="27">
        <f>IF($M2502="","",IF($F2502="Compareceu",$M2502,0))</f>
        <v>0</v>
      </c>
      <c r="O2502" s="27">
        <f>IF($M2502="","",IF($F2502="Faltou",$M2502,0))</f>
        <v>0</v>
      </c>
      <c r="P2502" s="27">
        <f>IF($M2502="","",IF($F2502="Compareceu",MAX(0,$M2502-N($H2502)),0))</f>
        <v>0</v>
      </c>
      <c r="Q2502" s="19">
        <f>IF(AND($F2502="Compareceu",$E2502&lt;&gt;"",$A2502&lt;&gt;""),IF(IFERROR(INDEX(ProcRet,MATCH($E2502,ProcNome,0)),0)&gt;0,$A2502+INDEX(ProcRet,MATCH($E2502,ProcNome,0)),""),"")</f>
        <v>0</v>
      </c>
      <c r="R2502" s="26">
        <f>IF($Q2502="","",IF(COUNTIFS(AgPac,$D2502,AgData,"&gt;"&amp;$A2502,AgStatus,"&lt;&gt;Cancelado",AgStatus,"&lt;&gt;Remarcado")&gt;0,"Sim","Não"))</f>
        <v>0</v>
      </c>
      <c r="S2502" s="28">
        <f>IF($A2502="","",IF(AND($F2502="Agendado",$A2502-Hoje&gt;=0,$A2502-Hoje&lt;=DiasConf),"CONFIRMAR",IF(AND($A2502&lt;Hoje,OR($F2502="Agendado",$F2502="Confirmado")),"Atualizar status",IF(AND($F2502="Compareceu",$P2502&gt;0.005),"Cobrar",IF($F2502="Faltou","Falta: reagendar","")))))</f>
        <v>0</v>
      </c>
      <c r="T2502" s="29">
        <f>IF($A2502="","",DATE(YEAR($A2502),MONTH($A2502),1))</f>
        <v>0</v>
      </c>
      <c r="U2502" s="30">
        <f>IF($S2502="CONFIRMAR",MAX($U$4:$U2501)+1,"")</f>
        <v>0</v>
      </c>
      <c r="V2502" s="30">
        <f>IF(AND($R2502="Não",$Q2502&lt;&gt;"",$Q2502&lt;=Hoje+JanelaRet,$Q2502&gt;=Hoje-60),MAX($V$4:$V2501)+1,"")</f>
        <v>0</v>
      </c>
    </row>
    <row r="2503" spans="1:22">
      <c r="A2503" s="16"/>
      <c r="B2503" s="23"/>
      <c r="C2503" s="15"/>
      <c r="D2503" s="15"/>
      <c r="E2503" s="15"/>
      <c r="F2503" s="24"/>
      <c r="G2503" s="17"/>
      <c r="H2503" s="17"/>
      <c r="I2503" s="15"/>
      <c r="J2503" s="25">
        <f>IF($D2503="","",IFERROR(INDEX(PacNome,MATCH($D2503,PacCod,0)),"Paciente não cadastrado"))</f>
        <v>0</v>
      </c>
      <c r="K2503" s="26">
        <f>IF($D2503="","",IFERROR(INDEX(PacConv,MATCH($D2503,PacCod,0))&amp;"",""))</f>
        <v>0</v>
      </c>
      <c r="L2503" s="26">
        <f>IF($A2503="","",CHOOSE(WEEKDAY($A2503,2),"Seg","Ter","Qua","Qui","Sex","Sáb","Dom"))</f>
        <v>0</v>
      </c>
      <c r="M2503" s="27">
        <f>IF($E2503="","",IF($G2503&lt;&gt;"",$G2503,IFERROR(INDEX(ProcValor,MATCH($E2503,ProcNome,0)),0)))</f>
        <v>0</v>
      </c>
      <c r="N2503" s="27">
        <f>IF($M2503="","",IF($F2503="Compareceu",$M2503,0))</f>
        <v>0</v>
      </c>
      <c r="O2503" s="27">
        <f>IF($M2503="","",IF($F2503="Faltou",$M2503,0))</f>
        <v>0</v>
      </c>
      <c r="P2503" s="27">
        <f>IF($M2503="","",IF($F2503="Compareceu",MAX(0,$M2503-N($H2503)),0))</f>
        <v>0</v>
      </c>
      <c r="Q2503" s="19">
        <f>IF(AND($F2503="Compareceu",$E2503&lt;&gt;"",$A2503&lt;&gt;""),IF(IFERROR(INDEX(ProcRet,MATCH($E2503,ProcNome,0)),0)&gt;0,$A2503+INDEX(ProcRet,MATCH($E2503,ProcNome,0)),""),"")</f>
        <v>0</v>
      </c>
      <c r="R2503" s="26">
        <f>IF($Q2503="","",IF(COUNTIFS(AgPac,$D2503,AgData,"&gt;"&amp;$A2503,AgStatus,"&lt;&gt;Cancelado",AgStatus,"&lt;&gt;Remarcado")&gt;0,"Sim","Não"))</f>
        <v>0</v>
      </c>
      <c r="S2503" s="28">
        <f>IF($A2503="","",IF(AND($F2503="Agendado",$A2503-Hoje&gt;=0,$A2503-Hoje&lt;=DiasConf),"CONFIRMAR",IF(AND($A2503&lt;Hoje,OR($F2503="Agendado",$F2503="Confirmado")),"Atualizar status",IF(AND($F2503="Compareceu",$P2503&gt;0.005),"Cobrar",IF($F2503="Faltou","Falta: reagendar","")))))</f>
        <v>0</v>
      </c>
      <c r="T2503" s="29">
        <f>IF($A2503="","",DATE(YEAR($A2503),MONTH($A2503),1))</f>
        <v>0</v>
      </c>
      <c r="U2503" s="30">
        <f>IF($S2503="CONFIRMAR",MAX($U$4:$U2502)+1,"")</f>
        <v>0</v>
      </c>
      <c r="V2503" s="30">
        <f>IF(AND($R2503="Não",$Q2503&lt;&gt;"",$Q2503&lt;=Hoje+JanelaRet,$Q2503&gt;=Hoje-60),MAX($V$4:$V2502)+1,"")</f>
        <v>0</v>
      </c>
    </row>
    <row r="2504" spans="1:22">
      <c r="A2504" s="16"/>
      <c r="B2504" s="23"/>
      <c r="C2504" s="15"/>
      <c r="D2504" s="15"/>
      <c r="E2504" s="15"/>
      <c r="F2504" s="24"/>
      <c r="G2504" s="17"/>
      <c r="H2504" s="17"/>
      <c r="I2504" s="15"/>
      <c r="J2504" s="25">
        <f>IF($D2504="","",IFERROR(INDEX(PacNome,MATCH($D2504,PacCod,0)),"Paciente não cadastrado"))</f>
        <v>0</v>
      </c>
      <c r="K2504" s="26">
        <f>IF($D2504="","",IFERROR(INDEX(PacConv,MATCH($D2504,PacCod,0))&amp;"",""))</f>
        <v>0</v>
      </c>
      <c r="L2504" s="26">
        <f>IF($A2504="","",CHOOSE(WEEKDAY($A2504,2),"Seg","Ter","Qua","Qui","Sex","Sáb","Dom"))</f>
        <v>0</v>
      </c>
      <c r="M2504" s="27">
        <f>IF($E2504="","",IF($G2504&lt;&gt;"",$G2504,IFERROR(INDEX(ProcValor,MATCH($E2504,ProcNome,0)),0)))</f>
        <v>0</v>
      </c>
      <c r="N2504" s="27">
        <f>IF($M2504="","",IF($F2504="Compareceu",$M2504,0))</f>
        <v>0</v>
      </c>
      <c r="O2504" s="27">
        <f>IF($M2504="","",IF($F2504="Faltou",$M2504,0))</f>
        <v>0</v>
      </c>
      <c r="P2504" s="27">
        <f>IF($M2504="","",IF($F2504="Compareceu",MAX(0,$M2504-N($H2504)),0))</f>
        <v>0</v>
      </c>
      <c r="Q2504" s="19">
        <f>IF(AND($F2504="Compareceu",$E2504&lt;&gt;"",$A2504&lt;&gt;""),IF(IFERROR(INDEX(ProcRet,MATCH($E2504,ProcNome,0)),0)&gt;0,$A2504+INDEX(ProcRet,MATCH($E2504,ProcNome,0)),""),"")</f>
        <v>0</v>
      </c>
      <c r="R2504" s="26">
        <f>IF($Q2504="","",IF(COUNTIFS(AgPac,$D2504,AgData,"&gt;"&amp;$A2504,AgStatus,"&lt;&gt;Cancelado",AgStatus,"&lt;&gt;Remarcado")&gt;0,"Sim","Não"))</f>
        <v>0</v>
      </c>
      <c r="S2504" s="28">
        <f>IF($A2504="","",IF(AND($F2504="Agendado",$A2504-Hoje&gt;=0,$A2504-Hoje&lt;=DiasConf),"CONFIRMAR",IF(AND($A2504&lt;Hoje,OR($F2504="Agendado",$F2504="Confirmado")),"Atualizar status",IF(AND($F2504="Compareceu",$P2504&gt;0.005),"Cobrar",IF($F2504="Faltou","Falta: reagendar","")))))</f>
        <v>0</v>
      </c>
      <c r="T2504" s="29">
        <f>IF($A2504="","",DATE(YEAR($A2504),MONTH($A2504),1))</f>
        <v>0</v>
      </c>
      <c r="U2504" s="30">
        <f>IF($S2504="CONFIRMAR",MAX($U$4:$U2503)+1,"")</f>
        <v>0</v>
      </c>
      <c r="V2504" s="30">
        <f>IF(AND($R2504="Não",$Q2504&lt;&gt;"",$Q2504&lt;=Hoje+JanelaRet,$Q2504&gt;=Hoje-60),MAX($V$4:$V2503)+1,"")</f>
        <v>0</v>
      </c>
    </row>
    <row r="2505" spans="1:22">
      <c r="A2505" s="16"/>
      <c r="B2505" s="23"/>
      <c r="C2505" s="15"/>
      <c r="D2505" s="15"/>
      <c r="E2505" s="15"/>
      <c r="F2505" s="24"/>
      <c r="G2505" s="17"/>
      <c r="H2505" s="17"/>
      <c r="I2505" s="15"/>
      <c r="J2505" s="25">
        <f>IF($D2505="","",IFERROR(INDEX(PacNome,MATCH($D2505,PacCod,0)),"Paciente não cadastrado"))</f>
        <v>0</v>
      </c>
      <c r="K2505" s="26">
        <f>IF($D2505="","",IFERROR(INDEX(PacConv,MATCH($D2505,PacCod,0))&amp;"",""))</f>
        <v>0</v>
      </c>
      <c r="L2505" s="26">
        <f>IF($A2505="","",CHOOSE(WEEKDAY($A2505,2),"Seg","Ter","Qua","Qui","Sex","Sáb","Dom"))</f>
        <v>0</v>
      </c>
      <c r="M2505" s="27">
        <f>IF($E2505="","",IF($G2505&lt;&gt;"",$G2505,IFERROR(INDEX(ProcValor,MATCH($E2505,ProcNome,0)),0)))</f>
        <v>0</v>
      </c>
      <c r="N2505" s="27">
        <f>IF($M2505="","",IF($F2505="Compareceu",$M2505,0))</f>
        <v>0</v>
      </c>
      <c r="O2505" s="27">
        <f>IF($M2505="","",IF($F2505="Faltou",$M2505,0))</f>
        <v>0</v>
      </c>
      <c r="P2505" s="27">
        <f>IF($M2505="","",IF($F2505="Compareceu",MAX(0,$M2505-N($H2505)),0))</f>
        <v>0</v>
      </c>
      <c r="Q2505" s="19">
        <f>IF(AND($F2505="Compareceu",$E2505&lt;&gt;"",$A2505&lt;&gt;""),IF(IFERROR(INDEX(ProcRet,MATCH($E2505,ProcNome,0)),0)&gt;0,$A2505+INDEX(ProcRet,MATCH($E2505,ProcNome,0)),""),"")</f>
        <v>0</v>
      </c>
      <c r="R2505" s="26">
        <f>IF($Q2505="","",IF(COUNTIFS(AgPac,$D2505,AgData,"&gt;"&amp;$A2505,AgStatus,"&lt;&gt;Cancelado",AgStatus,"&lt;&gt;Remarcado")&gt;0,"Sim","Não"))</f>
        <v>0</v>
      </c>
      <c r="S2505" s="28">
        <f>IF($A2505="","",IF(AND($F2505="Agendado",$A2505-Hoje&gt;=0,$A2505-Hoje&lt;=DiasConf),"CONFIRMAR",IF(AND($A2505&lt;Hoje,OR($F2505="Agendado",$F2505="Confirmado")),"Atualizar status",IF(AND($F2505="Compareceu",$P2505&gt;0.005),"Cobrar",IF($F2505="Faltou","Falta: reagendar","")))))</f>
        <v>0</v>
      </c>
      <c r="T2505" s="29">
        <f>IF($A2505="","",DATE(YEAR($A2505),MONTH($A2505),1))</f>
        <v>0</v>
      </c>
      <c r="U2505" s="30">
        <f>IF($S2505="CONFIRMAR",MAX($U$4:$U2504)+1,"")</f>
        <v>0</v>
      </c>
      <c r="V2505" s="30">
        <f>IF(AND($R2505="Não",$Q2505&lt;&gt;"",$Q2505&lt;=Hoje+JanelaRet,$Q2505&gt;=Hoje-60),MAX($V$4:$V2504)+1,"")</f>
        <v>0</v>
      </c>
    </row>
    <row r="2506" spans="1:22">
      <c r="A2506" s="16"/>
      <c r="B2506" s="23"/>
      <c r="C2506" s="15"/>
      <c r="D2506" s="15"/>
      <c r="E2506" s="15"/>
      <c r="F2506" s="24"/>
      <c r="G2506" s="17"/>
      <c r="H2506" s="17"/>
      <c r="I2506" s="15"/>
      <c r="J2506" s="25">
        <f>IF($D2506="","",IFERROR(INDEX(PacNome,MATCH($D2506,PacCod,0)),"Paciente não cadastrado"))</f>
        <v>0</v>
      </c>
      <c r="K2506" s="26">
        <f>IF($D2506="","",IFERROR(INDEX(PacConv,MATCH($D2506,PacCod,0))&amp;"",""))</f>
        <v>0</v>
      </c>
      <c r="L2506" s="26">
        <f>IF($A2506="","",CHOOSE(WEEKDAY($A2506,2),"Seg","Ter","Qua","Qui","Sex","Sáb","Dom"))</f>
        <v>0</v>
      </c>
      <c r="M2506" s="27">
        <f>IF($E2506="","",IF($G2506&lt;&gt;"",$G2506,IFERROR(INDEX(ProcValor,MATCH($E2506,ProcNome,0)),0)))</f>
        <v>0</v>
      </c>
      <c r="N2506" s="27">
        <f>IF($M2506="","",IF($F2506="Compareceu",$M2506,0))</f>
        <v>0</v>
      </c>
      <c r="O2506" s="27">
        <f>IF($M2506="","",IF($F2506="Faltou",$M2506,0))</f>
        <v>0</v>
      </c>
      <c r="P2506" s="27">
        <f>IF($M2506="","",IF($F2506="Compareceu",MAX(0,$M2506-N($H2506)),0))</f>
        <v>0</v>
      </c>
      <c r="Q2506" s="19">
        <f>IF(AND($F2506="Compareceu",$E2506&lt;&gt;"",$A2506&lt;&gt;""),IF(IFERROR(INDEX(ProcRet,MATCH($E2506,ProcNome,0)),0)&gt;0,$A2506+INDEX(ProcRet,MATCH($E2506,ProcNome,0)),""),"")</f>
        <v>0</v>
      </c>
      <c r="R2506" s="26">
        <f>IF($Q2506="","",IF(COUNTIFS(AgPac,$D2506,AgData,"&gt;"&amp;$A2506,AgStatus,"&lt;&gt;Cancelado",AgStatus,"&lt;&gt;Remarcado")&gt;0,"Sim","Não"))</f>
        <v>0</v>
      </c>
      <c r="S2506" s="28">
        <f>IF($A2506="","",IF(AND($F2506="Agendado",$A2506-Hoje&gt;=0,$A2506-Hoje&lt;=DiasConf),"CONFIRMAR",IF(AND($A2506&lt;Hoje,OR($F2506="Agendado",$F2506="Confirmado")),"Atualizar status",IF(AND($F2506="Compareceu",$P2506&gt;0.005),"Cobrar",IF($F2506="Faltou","Falta: reagendar","")))))</f>
        <v>0</v>
      </c>
      <c r="T2506" s="29">
        <f>IF($A2506="","",DATE(YEAR($A2506),MONTH($A2506),1))</f>
        <v>0</v>
      </c>
      <c r="U2506" s="30">
        <f>IF($S2506="CONFIRMAR",MAX($U$4:$U2505)+1,"")</f>
        <v>0</v>
      </c>
      <c r="V2506" s="30">
        <f>IF(AND($R2506="Não",$Q2506&lt;&gt;"",$Q2506&lt;=Hoje+JanelaRet,$Q2506&gt;=Hoje-60),MAX($V$4:$V2505)+1,"")</f>
        <v>0</v>
      </c>
    </row>
    <row r="2507" spans="1:22">
      <c r="A2507" s="16"/>
      <c r="B2507" s="23"/>
      <c r="C2507" s="15"/>
      <c r="D2507" s="15"/>
      <c r="E2507" s="15"/>
      <c r="F2507" s="24"/>
      <c r="G2507" s="17"/>
      <c r="H2507" s="17"/>
      <c r="I2507" s="15"/>
      <c r="J2507" s="25">
        <f>IF($D2507="","",IFERROR(INDEX(PacNome,MATCH($D2507,PacCod,0)),"Paciente não cadastrado"))</f>
        <v>0</v>
      </c>
      <c r="K2507" s="26">
        <f>IF($D2507="","",IFERROR(INDEX(PacConv,MATCH($D2507,PacCod,0))&amp;"",""))</f>
        <v>0</v>
      </c>
      <c r="L2507" s="26">
        <f>IF($A2507="","",CHOOSE(WEEKDAY($A2507,2),"Seg","Ter","Qua","Qui","Sex","Sáb","Dom"))</f>
        <v>0</v>
      </c>
      <c r="M2507" s="27">
        <f>IF($E2507="","",IF($G2507&lt;&gt;"",$G2507,IFERROR(INDEX(ProcValor,MATCH($E2507,ProcNome,0)),0)))</f>
        <v>0</v>
      </c>
      <c r="N2507" s="27">
        <f>IF($M2507="","",IF($F2507="Compareceu",$M2507,0))</f>
        <v>0</v>
      </c>
      <c r="O2507" s="27">
        <f>IF($M2507="","",IF($F2507="Faltou",$M2507,0))</f>
        <v>0</v>
      </c>
      <c r="P2507" s="27">
        <f>IF($M2507="","",IF($F2507="Compareceu",MAX(0,$M2507-N($H2507)),0))</f>
        <v>0</v>
      </c>
      <c r="Q2507" s="19">
        <f>IF(AND($F2507="Compareceu",$E2507&lt;&gt;"",$A2507&lt;&gt;""),IF(IFERROR(INDEX(ProcRet,MATCH($E2507,ProcNome,0)),0)&gt;0,$A2507+INDEX(ProcRet,MATCH($E2507,ProcNome,0)),""),"")</f>
        <v>0</v>
      </c>
      <c r="R2507" s="26">
        <f>IF($Q2507="","",IF(COUNTIFS(AgPac,$D2507,AgData,"&gt;"&amp;$A2507,AgStatus,"&lt;&gt;Cancelado",AgStatus,"&lt;&gt;Remarcado")&gt;0,"Sim","Não"))</f>
        <v>0</v>
      </c>
      <c r="S2507" s="28">
        <f>IF($A2507="","",IF(AND($F2507="Agendado",$A2507-Hoje&gt;=0,$A2507-Hoje&lt;=DiasConf),"CONFIRMAR",IF(AND($A2507&lt;Hoje,OR($F2507="Agendado",$F2507="Confirmado")),"Atualizar status",IF(AND($F2507="Compareceu",$P2507&gt;0.005),"Cobrar",IF($F2507="Faltou","Falta: reagendar","")))))</f>
        <v>0</v>
      </c>
      <c r="T2507" s="29">
        <f>IF($A2507="","",DATE(YEAR($A2507),MONTH($A2507),1))</f>
        <v>0</v>
      </c>
      <c r="U2507" s="30">
        <f>IF($S2507="CONFIRMAR",MAX($U$4:$U2506)+1,"")</f>
        <v>0</v>
      </c>
      <c r="V2507" s="30">
        <f>IF(AND($R2507="Não",$Q2507&lt;&gt;"",$Q2507&lt;=Hoje+JanelaRet,$Q2507&gt;=Hoje-60),MAX($V$4:$V2506)+1,"")</f>
        <v>0</v>
      </c>
    </row>
    <row r="2508" spans="1:22">
      <c r="A2508" s="16"/>
      <c r="B2508" s="23"/>
      <c r="C2508" s="15"/>
      <c r="D2508" s="15"/>
      <c r="E2508" s="15"/>
      <c r="F2508" s="24"/>
      <c r="G2508" s="17"/>
      <c r="H2508" s="17"/>
      <c r="I2508" s="15"/>
      <c r="J2508" s="25">
        <f>IF($D2508="","",IFERROR(INDEX(PacNome,MATCH($D2508,PacCod,0)),"Paciente não cadastrado"))</f>
        <v>0</v>
      </c>
      <c r="K2508" s="26">
        <f>IF($D2508="","",IFERROR(INDEX(PacConv,MATCH($D2508,PacCod,0))&amp;"",""))</f>
        <v>0</v>
      </c>
      <c r="L2508" s="26">
        <f>IF($A2508="","",CHOOSE(WEEKDAY($A2508,2),"Seg","Ter","Qua","Qui","Sex","Sáb","Dom"))</f>
        <v>0</v>
      </c>
      <c r="M2508" s="27">
        <f>IF($E2508="","",IF($G2508&lt;&gt;"",$G2508,IFERROR(INDEX(ProcValor,MATCH($E2508,ProcNome,0)),0)))</f>
        <v>0</v>
      </c>
      <c r="N2508" s="27">
        <f>IF($M2508="","",IF($F2508="Compareceu",$M2508,0))</f>
        <v>0</v>
      </c>
      <c r="O2508" s="27">
        <f>IF($M2508="","",IF($F2508="Faltou",$M2508,0))</f>
        <v>0</v>
      </c>
      <c r="P2508" s="27">
        <f>IF($M2508="","",IF($F2508="Compareceu",MAX(0,$M2508-N($H2508)),0))</f>
        <v>0</v>
      </c>
      <c r="Q2508" s="19">
        <f>IF(AND($F2508="Compareceu",$E2508&lt;&gt;"",$A2508&lt;&gt;""),IF(IFERROR(INDEX(ProcRet,MATCH($E2508,ProcNome,0)),0)&gt;0,$A2508+INDEX(ProcRet,MATCH($E2508,ProcNome,0)),""),"")</f>
        <v>0</v>
      </c>
      <c r="R2508" s="26">
        <f>IF($Q2508="","",IF(COUNTIFS(AgPac,$D2508,AgData,"&gt;"&amp;$A2508,AgStatus,"&lt;&gt;Cancelado",AgStatus,"&lt;&gt;Remarcado")&gt;0,"Sim","Não"))</f>
        <v>0</v>
      </c>
      <c r="S2508" s="28">
        <f>IF($A2508="","",IF(AND($F2508="Agendado",$A2508-Hoje&gt;=0,$A2508-Hoje&lt;=DiasConf),"CONFIRMAR",IF(AND($A2508&lt;Hoje,OR($F2508="Agendado",$F2508="Confirmado")),"Atualizar status",IF(AND($F2508="Compareceu",$P2508&gt;0.005),"Cobrar",IF($F2508="Faltou","Falta: reagendar","")))))</f>
        <v>0</v>
      </c>
      <c r="T2508" s="29">
        <f>IF($A2508="","",DATE(YEAR($A2508),MONTH($A2508),1))</f>
        <v>0</v>
      </c>
      <c r="U2508" s="30">
        <f>IF($S2508="CONFIRMAR",MAX($U$4:$U2507)+1,"")</f>
        <v>0</v>
      </c>
      <c r="V2508" s="30">
        <f>IF(AND($R2508="Não",$Q2508&lt;&gt;"",$Q2508&lt;=Hoje+JanelaRet,$Q2508&gt;=Hoje-60),MAX($V$4:$V2507)+1,"")</f>
        <v>0</v>
      </c>
    </row>
    <row r="2509" spans="1:22">
      <c r="A2509" s="16"/>
      <c r="B2509" s="23"/>
      <c r="C2509" s="15"/>
      <c r="D2509" s="15"/>
      <c r="E2509" s="15"/>
      <c r="F2509" s="24"/>
      <c r="G2509" s="17"/>
      <c r="H2509" s="17"/>
      <c r="I2509" s="15"/>
      <c r="J2509" s="25">
        <f>IF($D2509="","",IFERROR(INDEX(PacNome,MATCH($D2509,PacCod,0)),"Paciente não cadastrado"))</f>
        <v>0</v>
      </c>
      <c r="K2509" s="26">
        <f>IF($D2509="","",IFERROR(INDEX(PacConv,MATCH($D2509,PacCod,0))&amp;"",""))</f>
        <v>0</v>
      </c>
      <c r="L2509" s="26">
        <f>IF($A2509="","",CHOOSE(WEEKDAY($A2509,2),"Seg","Ter","Qua","Qui","Sex","Sáb","Dom"))</f>
        <v>0</v>
      </c>
      <c r="M2509" s="27">
        <f>IF($E2509="","",IF($G2509&lt;&gt;"",$G2509,IFERROR(INDEX(ProcValor,MATCH($E2509,ProcNome,0)),0)))</f>
        <v>0</v>
      </c>
      <c r="N2509" s="27">
        <f>IF($M2509="","",IF($F2509="Compareceu",$M2509,0))</f>
        <v>0</v>
      </c>
      <c r="O2509" s="27">
        <f>IF($M2509="","",IF($F2509="Faltou",$M2509,0))</f>
        <v>0</v>
      </c>
      <c r="P2509" s="27">
        <f>IF($M2509="","",IF($F2509="Compareceu",MAX(0,$M2509-N($H2509)),0))</f>
        <v>0</v>
      </c>
      <c r="Q2509" s="19">
        <f>IF(AND($F2509="Compareceu",$E2509&lt;&gt;"",$A2509&lt;&gt;""),IF(IFERROR(INDEX(ProcRet,MATCH($E2509,ProcNome,0)),0)&gt;0,$A2509+INDEX(ProcRet,MATCH($E2509,ProcNome,0)),""),"")</f>
        <v>0</v>
      </c>
      <c r="R2509" s="26">
        <f>IF($Q2509="","",IF(COUNTIFS(AgPac,$D2509,AgData,"&gt;"&amp;$A2509,AgStatus,"&lt;&gt;Cancelado",AgStatus,"&lt;&gt;Remarcado")&gt;0,"Sim","Não"))</f>
        <v>0</v>
      </c>
      <c r="S2509" s="28">
        <f>IF($A2509="","",IF(AND($F2509="Agendado",$A2509-Hoje&gt;=0,$A2509-Hoje&lt;=DiasConf),"CONFIRMAR",IF(AND($A2509&lt;Hoje,OR($F2509="Agendado",$F2509="Confirmado")),"Atualizar status",IF(AND($F2509="Compareceu",$P2509&gt;0.005),"Cobrar",IF($F2509="Faltou","Falta: reagendar","")))))</f>
        <v>0</v>
      </c>
      <c r="T2509" s="29">
        <f>IF($A2509="","",DATE(YEAR($A2509),MONTH($A2509),1))</f>
        <v>0</v>
      </c>
      <c r="U2509" s="30">
        <f>IF($S2509="CONFIRMAR",MAX($U$4:$U2508)+1,"")</f>
        <v>0</v>
      </c>
      <c r="V2509" s="30">
        <f>IF(AND($R2509="Não",$Q2509&lt;&gt;"",$Q2509&lt;=Hoje+JanelaRet,$Q2509&gt;=Hoje-60),MAX($V$4:$V2508)+1,"")</f>
        <v>0</v>
      </c>
    </row>
    <row r="2510" spans="1:22">
      <c r="A2510" s="16"/>
      <c r="B2510" s="23"/>
      <c r="C2510" s="15"/>
      <c r="D2510" s="15"/>
      <c r="E2510" s="15"/>
      <c r="F2510" s="24"/>
      <c r="G2510" s="17"/>
      <c r="H2510" s="17"/>
      <c r="I2510" s="15"/>
      <c r="J2510" s="25">
        <f>IF($D2510="","",IFERROR(INDEX(PacNome,MATCH($D2510,PacCod,0)),"Paciente não cadastrado"))</f>
        <v>0</v>
      </c>
      <c r="K2510" s="26">
        <f>IF($D2510="","",IFERROR(INDEX(PacConv,MATCH($D2510,PacCod,0))&amp;"",""))</f>
        <v>0</v>
      </c>
      <c r="L2510" s="26">
        <f>IF($A2510="","",CHOOSE(WEEKDAY($A2510,2),"Seg","Ter","Qua","Qui","Sex","Sáb","Dom"))</f>
        <v>0</v>
      </c>
      <c r="M2510" s="27">
        <f>IF($E2510="","",IF($G2510&lt;&gt;"",$G2510,IFERROR(INDEX(ProcValor,MATCH($E2510,ProcNome,0)),0)))</f>
        <v>0</v>
      </c>
      <c r="N2510" s="27">
        <f>IF($M2510="","",IF($F2510="Compareceu",$M2510,0))</f>
        <v>0</v>
      </c>
      <c r="O2510" s="27">
        <f>IF($M2510="","",IF($F2510="Faltou",$M2510,0))</f>
        <v>0</v>
      </c>
      <c r="P2510" s="27">
        <f>IF($M2510="","",IF($F2510="Compareceu",MAX(0,$M2510-N($H2510)),0))</f>
        <v>0</v>
      </c>
      <c r="Q2510" s="19">
        <f>IF(AND($F2510="Compareceu",$E2510&lt;&gt;"",$A2510&lt;&gt;""),IF(IFERROR(INDEX(ProcRet,MATCH($E2510,ProcNome,0)),0)&gt;0,$A2510+INDEX(ProcRet,MATCH($E2510,ProcNome,0)),""),"")</f>
        <v>0</v>
      </c>
      <c r="R2510" s="26">
        <f>IF($Q2510="","",IF(COUNTIFS(AgPac,$D2510,AgData,"&gt;"&amp;$A2510,AgStatus,"&lt;&gt;Cancelado",AgStatus,"&lt;&gt;Remarcado")&gt;0,"Sim","Não"))</f>
        <v>0</v>
      </c>
      <c r="S2510" s="28">
        <f>IF($A2510="","",IF(AND($F2510="Agendado",$A2510-Hoje&gt;=0,$A2510-Hoje&lt;=DiasConf),"CONFIRMAR",IF(AND($A2510&lt;Hoje,OR($F2510="Agendado",$F2510="Confirmado")),"Atualizar status",IF(AND($F2510="Compareceu",$P2510&gt;0.005),"Cobrar",IF($F2510="Faltou","Falta: reagendar","")))))</f>
        <v>0</v>
      </c>
      <c r="T2510" s="29">
        <f>IF($A2510="","",DATE(YEAR($A2510),MONTH($A2510),1))</f>
        <v>0</v>
      </c>
      <c r="U2510" s="30">
        <f>IF($S2510="CONFIRMAR",MAX($U$4:$U2509)+1,"")</f>
        <v>0</v>
      </c>
      <c r="V2510" s="30">
        <f>IF(AND($R2510="Não",$Q2510&lt;&gt;"",$Q2510&lt;=Hoje+JanelaRet,$Q2510&gt;=Hoje-60),MAX($V$4:$V2509)+1,"")</f>
        <v>0</v>
      </c>
    </row>
    <row r="2511" spans="1:22">
      <c r="A2511" s="16"/>
      <c r="B2511" s="23"/>
      <c r="C2511" s="15"/>
      <c r="D2511" s="15"/>
      <c r="E2511" s="15"/>
      <c r="F2511" s="24"/>
      <c r="G2511" s="17"/>
      <c r="H2511" s="17"/>
      <c r="I2511" s="15"/>
      <c r="J2511" s="25">
        <f>IF($D2511="","",IFERROR(INDEX(PacNome,MATCH($D2511,PacCod,0)),"Paciente não cadastrado"))</f>
        <v>0</v>
      </c>
      <c r="K2511" s="26">
        <f>IF($D2511="","",IFERROR(INDEX(PacConv,MATCH($D2511,PacCod,0))&amp;"",""))</f>
        <v>0</v>
      </c>
      <c r="L2511" s="26">
        <f>IF($A2511="","",CHOOSE(WEEKDAY($A2511,2),"Seg","Ter","Qua","Qui","Sex","Sáb","Dom"))</f>
        <v>0</v>
      </c>
      <c r="M2511" s="27">
        <f>IF($E2511="","",IF($G2511&lt;&gt;"",$G2511,IFERROR(INDEX(ProcValor,MATCH($E2511,ProcNome,0)),0)))</f>
        <v>0</v>
      </c>
      <c r="N2511" s="27">
        <f>IF($M2511="","",IF($F2511="Compareceu",$M2511,0))</f>
        <v>0</v>
      </c>
      <c r="O2511" s="27">
        <f>IF($M2511="","",IF($F2511="Faltou",$M2511,0))</f>
        <v>0</v>
      </c>
      <c r="P2511" s="27">
        <f>IF($M2511="","",IF($F2511="Compareceu",MAX(0,$M2511-N($H2511)),0))</f>
        <v>0</v>
      </c>
      <c r="Q2511" s="19">
        <f>IF(AND($F2511="Compareceu",$E2511&lt;&gt;"",$A2511&lt;&gt;""),IF(IFERROR(INDEX(ProcRet,MATCH($E2511,ProcNome,0)),0)&gt;0,$A2511+INDEX(ProcRet,MATCH($E2511,ProcNome,0)),""),"")</f>
        <v>0</v>
      </c>
      <c r="R2511" s="26">
        <f>IF($Q2511="","",IF(COUNTIFS(AgPac,$D2511,AgData,"&gt;"&amp;$A2511,AgStatus,"&lt;&gt;Cancelado",AgStatus,"&lt;&gt;Remarcado")&gt;0,"Sim","Não"))</f>
        <v>0</v>
      </c>
      <c r="S2511" s="28">
        <f>IF($A2511="","",IF(AND($F2511="Agendado",$A2511-Hoje&gt;=0,$A2511-Hoje&lt;=DiasConf),"CONFIRMAR",IF(AND($A2511&lt;Hoje,OR($F2511="Agendado",$F2511="Confirmado")),"Atualizar status",IF(AND($F2511="Compareceu",$P2511&gt;0.005),"Cobrar",IF($F2511="Faltou","Falta: reagendar","")))))</f>
        <v>0</v>
      </c>
      <c r="T2511" s="29">
        <f>IF($A2511="","",DATE(YEAR($A2511),MONTH($A2511),1))</f>
        <v>0</v>
      </c>
      <c r="U2511" s="30">
        <f>IF($S2511="CONFIRMAR",MAX($U$4:$U2510)+1,"")</f>
        <v>0</v>
      </c>
      <c r="V2511" s="30">
        <f>IF(AND($R2511="Não",$Q2511&lt;&gt;"",$Q2511&lt;=Hoje+JanelaRet,$Q2511&gt;=Hoje-60),MAX($V$4:$V2510)+1,"")</f>
        <v>0</v>
      </c>
    </row>
    <row r="2512" spans="1:22">
      <c r="A2512" s="16"/>
      <c r="B2512" s="23"/>
      <c r="C2512" s="15"/>
      <c r="D2512" s="15"/>
      <c r="E2512" s="15"/>
      <c r="F2512" s="24"/>
      <c r="G2512" s="17"/>
      <c r="H2512" s="17"/>
      <c r="I2512" s="15"/>
      <c r="J2512" s="25">
        <f>IF($D2512="","",IFERROR(INDEX(PacNome,MATCH($D2512,PacCod,0)),"Paciente não cadastrado"))</f>
        <v>0</v>
      </c>
      <c r="K2512" s="26">
        <f>IF($D2512="","",IFERROR(INDEX(PacConv,MATCH($D2512,PacCod,0))&amp;"",""))</f>
        <v>0</v>
      </c>
      <c r="L2512" s="26">
        <f>IF($A2512="","",CHOOSE(WEEKDAY($A2512,2),"Seg","Ter","Qua","Qui","Sex","Sáb","Dom"))</f>
        <v>0</v>
      </c>
      <c r="M2512" s="27">
        <f>IF($E2512="","",IF($G2512&lt;&gt;"",$G2512,IFERROR(INDEX(ProcValor,MATCH($E2512,ProcNome,0)),0)))</f>
        <v>0</v>
      </c>
      <c r="N2512" s="27">
        <f>IF($M2512="","",IF($F2512="Compareceu",$M2512,0))</f>
        <v>0</v>
      </c>
      <c r="O2512" s="27">
        <f>IF($M2512="","",IF($F2512="Faltou",$M2512,0))</f>
        <v>0</v>
      </c>
      <c r="P2512" s="27">
        <f>IF($M2512="","",IF($F2512="Compareceu",MAX(0,$M2512-N($H2512)),0))</f>
        <v>0</v>
      </c>
      <c r="Q2512" s="19">
        <f>IF(AND($F2512="Compareceu",$E2512&lt;&gt;"",$A2512&lt;&gt;""),IF(IFERROR(INDEX(ProcRet,MATCH($E2512,ProcNome,0)),0)&gt;0,$A2512+INDEX(ProcRet,MATCH($E2512,ProcNome,0)),""),"")</f>
        <v>0</v>
      </c>
      <c r="R2512" s="26">
        <f>IF($Q2512="","",IF(COUNTIFS(AgPac,$D2512,AgData,"&gt;"&amp;$A2512,AgStatus,"&lt;&gt;Cancelado",AgStatus,"&lt;&gt;Remarcado")&gt;0,"Sim","Não"))</f>
        <v>0</v>
      </c>
      <c r="S2512" s="28">
        <f>IF($A2512="","",IF(AND($F2512="Agendado",$A2512-Hoje&gt;=0,$A2512-Hoje&lt;=DiasConf),"CONFIRMAR",IF(AND($A2512&lt;Hoje,OR($F2512="Agendado",$F2512="Confirmado")),"Atualizar status",IF(AND($F2512="Compareceu",$P2512&gt;0.005),"Cobrar",IF($F2512="Faltou","Falta: reagendar","")))))</f>
        <v>0</v>
      </c>
      <c r="T2512" s="29">
        <f>IF($A2512="","",DATE(YEAR($A2512),MONTH($A2512),1))</f>
        <v>0</v>
      </c>
      <c r="U2512" s="30">
        <f>IF($S2512="CONFIRMAR",MAX($U$4:$U2511)+1,"")</f>
        <v>0</v>
      </c>
      <c r="V2512" s="30">
        <f>IF(AND($R2512="Não",$Q2512&lt;&gt;"",$Q2512&lt;=Hoje+JanelaRet,$Q2512&gt;=Hoje-60),MAX($V$4:$V2511)+1,"")</f>
        <v>0</v>
      </c>
    </row>
    <row r="2513" spans="1:22">
      <c r="A2513" s="16"/>
      <c r="B2513" s="23"/>
      <c r="C2513" s="15"/>
      <c r="D2513" s="15"/>
      <c r="E2513" s="15"/>
      <c r="F2513" s="24"/>
      <c r="G2513" s="17"/>
      <c r="H2513" s="17"/>
      <c r="I2513" s="15"/>
      <c r="J2513" s="25">
        <f>IF($D2513="","",IFERROR(INDEX(PacNome,MATCH($D2513,PacCod,0)),"Paciente não cadastrado"))</f>
        <v>0</v>
      </c>
      <c r="K2513" s="26">
        <f>IF($D2513="","",IFERROR(INDEX(PacConv,MATCH($D2513,PacCod,0))&amp;"",""))</f>
        <v>0</v>
      </c>
      <c r="L2513" s="26">
        <f>IF($A2513="","",CHOOSE(WEEKDAY($A2513,2),"Seg","Ter","Qua","Qui","Sex","Sáb","Dom"))</f>
        <v>0</v>
      </c>
      <c r="M2513" s="27">
        <f>IF($E2513="","",IF($G2513&lt;&gt;"",$G2513,IFERROR(INDEX(ProcValor,MATCH($E2513,ProcNome,0)),0)))</f>
        <v>0</v>
      </c>
      <c r="N2513" s="27">
        <f>IF($M2513="","",IF($F2513="Compareceu",$M2513,0))</f>
        <v>0</v>
      </c>
      <c r="O2513" s="27">
        <f>IF($M2513="","",IF($F2513="Faltou",$M2513,0))</f>
        <v>0</v>
      </c>
      <c r="P2513" s="27">
        <f>IF($M2513="","",IF($F2513="Compareceu",MAX(0,$M2513-N($H2513)),0))</f>
        <v>0</v>
      </c>
      <c r="Q2513" s="19">
        <f>IF(AND($F2513="Compareceu",$E2513&lt;&gt;"",$A2513&lt;&gt;""),IF(IFERROR(INDEX(ProcRet,MATCH($E2513,ProcNome,0)),0)&gt;0,$A2513+INDEX(ProcRet,MATCH($E2513,ProcNome,0)),""),"")</f>
        <v>0</v>
      </c>
      <c r="R2513" s="26">
        <f>IF($Q2513="","",IF(COUNTIFS(AgPac,$D2513,AgData,"&gt;"&amp;$A2513,AgStatus,"&lt;&gt;Cancelado",AgStatus,"&lt;&gt;Remarcado")&gt;0,"Sim","Não"))</f>
        <v>0</v>
      </c>
      <c r="S2513" s="28">
        <f>IF($A2513="","",IF(AND($F2513="Agendado",$A2513-Hoje&gt;=0,$A2513-Hoje&lt;=DiasConf),"CONFIRMAR",IF(AND($A2513&lt;Hoje,OR($F2513="Agendado",$F2513="Confirmado")),"Atualizar status",IF(AND($F2513="Compareceu",$P2513&gt;0.005),"Cobrar",IF($F2513="Faltou","Falta: reagendar","")))))</f>
        <v>0</v>
      </c>
      <c r="T2513" s="29">
        <f>IF($A2513="","",DATE(YEAR($A2513),MONTH($A2513),1))</f>
        <v>0</v>
      </c>
      <c r="U2513" s="30">
        <f>IF($S2513="CONFIRMAR",MAX($U$4:$U2512)+1,"")</f>
        <v>0</v>
      </c>
      <c r="V2513" s="30">
        <f>IF(AND($R2513="Não",$Q2513&lt;&gt;"",$Q2513&lt;=Hoje+JanelaRet,$Q2513&gt;=Hoje-60),MAX($V$4:$V2512)+1,"")</f>
        <v>0</v>
      </c>
    </row>
    <row r="2514" spans="1:22">
      <c r="A2514" s="16"/>
      <c r="B2514" s="23"/>
      <c r="C2514" s="15"/>
      <c r="D2514" s="15"/>
      <c r="E2514" s="15"/>
      <c r="F2514" s="24"/>
      <c r="G2514" s="17"/>
      <c r="H2514" s="17"/>
      <c r="I2514" s="15"/>
      <c r="J2514" s="25">
        <f>IF($D2514="","",IFERROR(INDEX(PacNome,MATCH($D2514,PacCod,0)),"Paciente não cadastrado"))</f>
        <v>0</v>
      </c>
      <c r="K2514" s="26">
        <f>IF($D2514="","",IFERROR(INDEX(PacConv,MATCH($D2514,PacCod,0))&amp;"",""))</f>
        <v>0</v>
      </c>
      <c r="L2514" s="26">
        <f>IF($A2514="","",CHOOSE(WEEKDAY($A2514,2),"Seg","Ter","Qua","Qui","Sex","Sáb","Dom"))</f>
        <v>0</v>
      </c>
      <c r="M2514" s="27">
        <f>IF($E2514="","",IF($G2514&lt;&gt;"",$G2514,IFERROR(INDEX(ProcValor,MATCH($E2514,ProcNome,0)),0)))</f>
        <v>0</v>
      </c>
      <c r="N2514" s="27">
        <f>IF($M2514="","",IF($F2514="Compareceu",$M2514,0))</f>
        <v>0</v>
      </c>
      <c r="O2514" s="27">
        <f>IF($M2514="","",IF($F2514="Faltou",$M2514,0))</f>
        <v>0</v>
      </c>
      <c r="P2514" s="27">
        <f>IF($M2514="","",IF($F2514="Compareceu",MAX(0,$M2514-N($H2514)),0))</f>
        <v>0</v>
      </c>
      <c r="Q2514" s="19">
        <f>IF(AND($F2514="Compareceu",$E2514&lt;&gt;"",$A2514&lt;&gt;""),IF(IFERROR(INDEX(ProcRet,MATCH($E2514,ProcNome,0)),0)&gt;0,$A2514+INDEX(ProcRet,MATCH($E2514,ProcNome,0)),""),"")</f>
        <v>0</v>
      </c>
      <c r="R2514" s="26">
        <f>IF($Q2514="","",IF(COUNTIFS(AgPac,$D2514,AgData,"&gt;"&amp;$A2514,AgStatus,"&lt;&gt;Cancelado",AgStatus,"&lt;&gt;Remarcado")&gt;0,"Sim","Não"))</f>
        <v>0</v>
      </c>
      <c r="S2514" s="28">
        <f>IF($A2514="","",IF(AND($F2514="Agendado",$A2514-Hoje&gt;=0,$A2514-Hoje&lt;=DiasConf),"CONFIRMAR",IF(AND($A2514&lt;Hoje,OR($F2514="Agendado",$F2514="Confirmado")),"Atualizar status",IF(AND($F2514="Compareceu",$P2514&gt;0.005),"Cobrar",IF($F2514="Faltou","Falta: reagendar","")))))</f>
        <v>0</v>
      </c>
      <c r="T2514" s="29">
        <f>IF($A2514="","",DATE(YEAR($A2514),MONTH($A2514),1))</f>
        <v>0</v>
      </c>
      <c r="U2514" s="30">
        <f>IF($S2514="CONFIRMAR",MAX($U$4:$U2513)+1,"")</f>
        <v>0</v>
      </c>
      <c r="V2514" s="30">
        <f>IF(AND($R2514="Não",$Q2514&lt;&gt;"",$Q2514&lt;=Hoje+JanelaRet,$Q2514&gt;=Hoje-60),MAX($V$4:$V2513)+1,"")</f>
        <v>0</v>
      </c>
    </row>
    <row r="2515" spans="1:22">
      <c r="A2515" s="16"/>
      <c r="B2515" s="23"/>
      <c r="C2515" s="15"/>
      <c r="D2515" s="15"/>
      <c r="E2515" s="15"/>
      <c r="F2515" s="24"/>
      <c r="G2515" s="17"/>
      <c r="H2515" s="17"/>
      <c r="I2515" s="15"/>
      <c r="J2515" s="25">
        <f>IF($D2515="","",IFERROR(INDEX(PacNome,MATCH($D2515,PacCod,0)),"Paciente não cadastrado"))</f>
        <v>0</v>
      </c>
      <c r="K2515" s="26">
        <f>IF($D2515="","",IFERROR(INDEX(PacConv,MATCH($D2515,PacCod,0))&amp;"",""))</f>
        <v>0</v>
      </c>
      <c r="L2515" s="26">
        <f>IF($A2515="","",CHOOSE(WEEKDAY($A2515,2),"Seg","Ter","Qua","Qui","Sex","Sáb","Dom"))</f>
        <v>0</v>
      </c>
      <c r="M2515" s="27">
        <f>IF($E2515="","",IF($G2515&lt;&gt;"",$G2515,IFERROR(INDEX(ProcValor,MATCH($E2515,ProcNome,0)),0)))</f>
        <v>0</v>
      </c>
      <c r="N2515" s="27">
        <f>IF($M2515="","",IF($F2515="Compareceu",$M2515,0))</f>
        <v>0</v>
      </c>
      <c r="O2515" s="27">
        <f>IF($M2515="","",IF($F2515="Faltou",$M2515,0))</f>
        <v>0</v>
      </c>
      <c r="P2515" s="27">
        <f>IF($M2515="","",IF($F2515="Compareceu",MAX(0,$M2515-N($H2515)),0))</f>
        <v>0</v>
      </c>
      <c r="Q2515" s="19">
        <f>IF(AND($F2515="Compareceu",$E2515&lt;&gt;"",$A2515&lt;&gt;""),IF(IFERROR(INDEX(ProcRet,MATCH($E2515,ProcNome,0)),0)&gt;0,$A2515+INDEX(ProcRet,MATCH($E2515,ProcNome,0)),""),"")</f>
        <v>0</v>
      </c>
      <c r="R2515" s="26">
        <f>IF($Q2515="","",IF(COUNTIFS(AgPac,$D2515,AgData,"&gt;"&amp;$A2515,AgStatus,"&lt;&gt;Cancelado",AgStatus,"&lt;&gt;Remarcado")&gt;0,"Sim","Não"))</f>
        <v>0</v>
      </c>
      <c r="S2515" s="28">
        <f>IF($A2515="","",IF(AND($F2515="Agendado",$A2515-Hoje&gt;=0,$A2515-Hoje&lt;=DiasConf),"CONFIRMAR",IF(AND($A2515&lt;Hoje,OR($F2515="Agendado",$F2515="Confirmado")),"Atualizar status",IF(AND($F2515="Compareceu",$P2515&gt;0.005),"Cobrar",IF($F2515="Faltou","Falta: reagendar","")))))</f>
        <v>0</v>
      </c>
      <c r="T2515" s="29">
        <f>IF($A2515="","",DATE(YEAR($A2515),MONTH($A2515),1))</f>
        <v>0</v>
      </c>
      <c r="U2515" s="30">
        <f>IF($S2515="CONFIRMAR",MAX($U$4:$U2514)+1,"")</f>
        <v>0</v>
      </c>
      <c r="V2515" s="30">
        <f>IF(AND($R2515="Não",$Q2515&lt;&gt;"",$Q2515&lt;=Hoje+JanelaRet,$Q2515&gt;=Hoje-60),MAX($V$4:$V2514)+1,"")</f>
        <v>0</v>
      </c>
    </row>
    <row r="2516" spans="1:22">
      <c r="A2516" s="16"/>
      <c r="B2516" s="23"/>
      <c r="C2516" s="15"/>
      <c r="D2516" s="15"/>
      <c r="E2516" s="15"/>
      <c r="F2516" s="24"/>
      <c r="G2516" s="17"/>
      <c r="H2516" s="17"/>
      <c r="I2516" s="15"/>
      <c r="J2516" s="25">
        <f>IF($D2516="","",IFERROR(INDEX(PacNome,MATCH($D2516,PacCod,0)),"Paciente não cadastrado"))</f>
        <v>0</v>
      </c>
      <c r="K2516" s="26">
        <f>IF($D2516="","",IFERROR(INDEX(PacConv,MATCH($D2516,PacCod,0))&amp;"",""))</f>
        <v>0</v>
      </c>
      <c r="L2516" s="26">
        <f>IF($A2516="","",CHOOSE(WEEKDAY($A2516,2),"Seg","Ter","Qua","Qui","Sex","Sáb","Dom"))</f>
        <v>0</v>
      </c>
      <c r="M2516" s="27">
        <f>IF($E2516="","",IF($G2516&lt;&gt;"",$G2516,IFERROR(INDEX(ProcValor,MATCH($E2516,ProcNome,0)),0)))</f>
        <v>0</v>
      </c>
      <c r="N2516" s="27">
        <f>IF($M2516="","",IF($F2516="Compareceu",$M2516,0))</f>
        <v>0</v>
      </c>
      <c r="O2516" s="27">
        <f>IF($M2516="","",IF($F2516="Faltou",$M2516,0))</f>
        <v>0</v>
      </c>
      <c r="P2516" s="27">
        <f>IF($M2516="","",IF($F2516="Compareceu",MAX(0,$M2516-N($H2516)),0))</f>
        <v>0</v>
      </c>
      <c r="Q2516" s="19">
        <f>IF(AND($F2516="Compareceu",$E2516&lt;&gt;"",$A2516&lt;&gt;""),IF(IFERROR(INDEX(ProcRet,MATCH($E2516,ProcNome,0)),0)&gt;0,$A2516+INDEX(ProcRet,MATCH($E2516,ProcNome,0)),""),"")</f>
        <v>0</v>
      </c>
      <c r="R2516" s="26">
        <f>IF($Q2516="","",IF(COUNTIFS(AgPac,$D2516,AgData,"&gt;"&amp;$A2516,AgStatus,"&lt;&gt;Cancelado",AgStatus,"&lt;&gt;Remarcado")&gt;0,"Sim","Não"))</f>
        <v>0</v>
      </c>
      <c r="S2516" s="28">
        <f>IF($A2516="","",IF(AND($F2516="Agendado",$A2516-Hoje&gt;=0,$A2516-Hoje&lt;=DiasConf),"CONFIRMAR",IF(AND($A2516&lt;Hoje,OR($F2516="Agendado",$F2516="Confirmado")),"Atualizar status",IF(AND($F2516="Compareceu",$P2516&gt;0.005),"Cobrar",IF($F2516="Faltou","Falta: reagendar","")))))</f>
        <v>0</v>
      </c>
      <c r="T2516" s="29">
        <f>IF($A2516="","",DATE(YEAR($A2516),MONTH($A2516),1))</f>
        <v>0</v>
      </c>
      <c r="U2516" s="30">
        <f>IF($S2516="CONFIRMAR",MAX($U$4:$U2515)+1,"")</f>
        <v>0</v>
      </c>
      <c r="V2516" s="30">
        <f>IF(AND($R2516="Não",$Q2516&lt;&gt;"",$Q2516&lt;=Hoje+JanelaRet,$Q2516&gt;=Hoje-60),MAX($V$4:$V2515)+1,"")</f>
        <v>0</v>
      </c>
    </row>
    <row r="2517" spans="1:22">
      <c r="A2517" s="16"/>
      <c r="B2517" s="23"/>
      <c r="C2517" s="15"/>
      <c r="D2517" s="15"/>
      <c r="E2517" s="15"/>
      <c r="F2517" s="24"/>
      <c r="G2517" s="17"/>
      <c r="H2517" s="17"/>
      <c r="I2517" s="15"/>
      <c r="J2517" s="25">
        <f>IF($D2517="","",IFERROR(INDEX(PacNome,MATCH($D2517,PacCod,0)),"Paciente não cadastrado"))</f>
        <v>0</v>
      </c>
      <c r="K2517" s="26">
        <f>IF($D2517="","",IFERROR(INDEX(PacConv,MATCH($D2517,PacCod,0))&amp;"",""))</f>
        <v>0</v>
      </c>
      <c r="L2517" s="26">
        <f>IF($A2517="","",CHOOSE(WEEKDAY($A2517,2),"Seg","Ter","Qua","Qui","Sex","Sáb","Dom"))</f>
        <v>0</v>
      </c>
      <c r="M2517" s="27">
        <f>IF($E2517="","",IF($G2517&lt;&gt;"",$G2517,IFERROR(INDEX(ProcValor,MATCH($E2517,ProcNome,0)),0)))</f>
        <v>0</v>
      </c>
      <c r="N2517" s="27">
        <f>IF($M2517="","",IF($F2517="Compareceu",$M2517,0))</f>
        <v>0</v>
      </c>
      <c r="O2517" s="27">
        <f>IF($M2517="","",IF($F2517="Faltou",$M2517,0))</f>
        <v>0</v>
      </c>
      <c r="P2517" s="27">
        <f>IF($M2517="","",IF($F2517="Compareceu",MAX(0,$M2517-N($H2517)),0))</f>
        <v>0</v>
      </c>
      <c r="Q2517" s="19">
        <f>IF(AND($F2517="Compareceu",$E2517&lt;&gt;"",$A2517&lt;&gt;""),IF(IFERROR(INDEX(ProcRet,MATCH($E2517,ProcNome,0)),0)&gt;0,$A2517+INDEX(ProcRet,MATCH($E2517,ProcNome,0)),""),"")</f>
        <v>0</v>
      </c>
      <c r="R2517" s="26">
        <f>IF($Q2517="","",IF(COUNTIFS(AgPac,$D2517,AgData,"&gt;"&amp;$A2517,AgStatus,"&lt;&gt;Cancelado",AgStatus,"&lt;&gt;Remarcado")&gt;0,"Sim","Não"))</f>
        <v>0</v>
      </c>
      <c r="S2517" s="28">
        <f>IF($A2517="","",IF(AND($F2517="Agendado",$A2517-Hoje&gt;=0,$A2517-Hoje&lt;=DiasConf),"CONFIRMAR",IF(AND($A2517&lt;Hoje,OR($F2517="Agendado",$F2517="Confirmado")),"Atualizar status",IF(AND($F2517="Compareceu",$P2517&gt;0.005),"Cobrar",IF($F2517="Faltou","Falta: reagendar","")))))</f>
        <v>0</v>
      </c>
      <c r="T2517" s="29">
        <f>IF($A2517="","",DATE(YEAR($A2517),MONTH($A2517),1))</f>
        <v>0</v>
      </c>
      <c r="U2517" s="30">
        <f>IF($S2517="CONFIRMAR",MAX($U$4:$U2516)+1,"")</f>
        <v>0</v>
      </c>
      <c r="V2517" s="30">
        <f>IF(AND($R2517="Não",$Q2517&lt;&gt;"",$Q2517&lt;=Hoje+JanelaRet,$Q2517&gt;=Hoje-60),MAX($V$4:$V2516)+1,"")</f>
        <v>0</v>
      </c>
    </row>
    <row r="2518" spans="1:22">
      <c r="A2518" s="16"/>
      <c r="B2518" s="23"/>
      <c r="C2518" s="15"/>
      <c r="D2518" s="15"/>
      <c r="E2518" s="15"/>
      <c r="F2518" s="24"/>
      <c r="G2518" s="17"/>
      <c r="H2518" s="17"/>
      <c r="I2518" s="15"/>
      <c r="J2518" s="25">
        <f>IF($D2518="","",IFERROR(INDEX(PacNome,MATCH($D2518,PacCod,0)),"Paciente não cadastrado"))</f>
        <v>0</v>
      </c>
      <c r="K2518" s="26">
        <f>IF($D2518="","",IFERROR(INDEX(PacConv,MATCH($D2518,PacCod,0))&amp;"",""))</f>
        <v>0</v>
      </c>
      <c r="L2518" s="26">
        <f>IF($A2518="","",CHOOSE(WEEKDAY($A2518,2),"Seg","Ter","Qua","Qui","Sex","Sáb","Dom"))</f>
        <v>0</v>
      </c>
      <c r="M2518" s="27">
        <f>IF($E2518="","",IF($G2518&lt;&gt;"",$G2518,IFERROR(INDEX(ProcValor,MATCH($E2518,ProcNome,0)),0)))</f>
        <v>0</v>
      </c>
      <c r="N2518" s="27">
        <f>IF($M2518="","",IF($F2518="Compareceu",$M2518,0))</f>
        <v>0</v>
      </c>
      <c r="O2518" s="27">
        <f>IF($M2518="","",IF($F2518="Faltou",$M2518,0))</f>
        <v>0</v>
      </c>
      <c r="P2518" s="27">
        <f>IF($M2518="","",IF($F2518="Compareceu",MAX(0,$M2518-N($H2518)),0))</f>
        <v>0</v>
      </c>
      <c r="Q2518" s="19">
        <f>IF(AND($F2518="Compareceu",$E2518&lt;&gt;"",$A2518&lt;&gt;""),IF(IFERROR(INDEX(ProcRet,MATCH($E2518,ProcNome,0)),0)&gt;0,$A2518+INDEX(ProcRet,MATCH($E2518,ProcNome,0)),""),"")</f>
        <v>0</v>
      </c>
      <c r="R2518" s="26">
        <f>IF($Q2518="","",IF(COUNTIFS(AgPac,$D2518,AgData,"&gt;"&amp;$A2518,AgStatus,"&lt;&gt;Cancelado",AgStatus,"&lt;&gt;Remarcado")&gt;0,"Sim","Não"))</f>
        <v>0</v>
      </c>
      <c r="S2518" s="28">
        <f>IF($A2518="","",IF(AND($F2518="Agendado",$A2518-Hoje&gt;=0,$A2518-Hoje&lt;=DiasConf),"CONFIRMAR",IF(AND($A2518&lt;Hoje,OR($F2518="Agendado",$F2518="Confirmado")),"Atualizar status",IF(AND($F2518="Compareceu",$P2518&gt;0.005),"Cobrar",IF($F2518="Faltou","Falta: reagendar","")))))</f>
        <v>0</v>
      </c>
      <c r="T2518" s="29">
        <f>IF($A2518="","",DATE(YEAR($A2518),MONTH($A2518),1))</f>
        <v>0</v>
      </c>
      <c r="U2518" s="30">
        <f>IF($S2518="CONFIRMAR",MAX($U$4:$U2517)+1,"")</f>
        <v>0</v>
      </c>
      <c r="V2518" s="30">
        <f>IF(AND($R2518="Não",$Q2518&lt;&gt;"",$Q2518&lt;=Hoje+JanelaRet,$Q2518&gt;=Hoje-60),MAX($V$4:$V2517)+1,"")</f>
        <v>0</v>
      </c>
    </row>
    <row r="2519" spans="1:22">
      <c r="A2519" s="16"/>
      <c r="B2519" s="23"/>
      <c r="C2519" s="15"/>
      <c r="D2519" s="15"/>
      <c r="E2519" s="15"/>
      <c r="F2519" s="24"/>
      <c r="G2519" s="17"/>
      <c r="H2519" s="17"/>
      <c r="I2519" s="15"/>
      <c r="J2519" s="25">
        <f>IF($D2519="","",IFERROR(INDEX(PacNome,MATCH($D2519,PacCod,0)),"Paciente não cadastrado"))</f>
        <v>0</v>
      </c>
      <c r="K2519" s="26">
        <f>IF($D2519="","",IFERROR(INDEX(PacConv,MATCH($D2519,PacCod,0))&amp;"",""))</f>
        <v>0</v>
      </c>
      <c r="L2519" s="26">
        <f>IF($A2519="","",CHOOSE(WEEKDAY($A2519,2),"Seg","Ter","Qua","Qui","Sex","Sáb","Dom"))</f>
        <v>0</v>
      </c>
      <c r="M2519" s="27">
        <f>IF($E2519="","",IF($G2519&lt;&gt;"",$G2519,IFERROR(INDEX(ProcValor,MATCH($E2519,ProcNome,0)),0)))</f>
        <v>0</v>
      </c>
      <c r="N2519" s="27">
        <f>IF($M2519="","",IF($F2519="Compareceu",$M2519,0))</f>
        <v>0</v>
      </c>
      <c r="O2519" s="27">
        <f>IF($M2519="","",IF($F2519="Faltou",$M2519,0))</f>
        <v>0</v>
      </c>
      <c r="P2519" s="27">
        <f>IF($M2519="","",IF($F2519="Compareceu",MAX(0,$M2519-N($H2519)),0))</f>
        <v>0</v>
      </c>
      <c r="Q2519" s="19">
        <f>IF(AND($F2519="Compareceu",$E2519&lt;&gt;"",$A2519&lt;&gt;""),IF(IFERROR(INDEX(ProcRet,MATCH($E2519,ProcNome,0)),0)&gt;0,$A2519+INDEX(ProcRet,MATCH($E2519,ProcNome,0)),""),"")</f>
        <v>0</v>
      </c>
      <c r="R2519" s="26">
        <f>IF($Q2519="","",IF(COUNTIFS(AgPac,$D2519,AgData,"&gt;"&amp;$A2519,AgStatus,"&lt;&gt;Cancelado",AgStatus,"&lt;&gt;Remarcado")&gt;0,"Sim","Não"))</f>
        <v>0</v>
      </c>
      <c r="S2519" s="28">
        <f>IF($A2519="","",IF(AND($F2519="Agendado",$A2519-Hoje&gt;=0,$A2519-Hoje&lt;=DiasConf),"CONFIRMAR",IF(AND($A2519&lt;Hoje,OR($F2519="Agendado",$F2519="Confirmado")),"Atualizar status",IF(AND($F2519="Compareceu",$P2519&gt;0.005),"Cobrar",IF($F2519="Faltou","Falta: reagendar","")))))</f>
        <v>0</v>
      </c>
      <c r="T2519" s="29">
        <f>IF($A2519="","",DATE(YEAR($A2519),MONTH($A2519),1))</f>
        <v>0</v>
      </c>
      <c r="U2519" s="30">
        <f>IF($S2519="CONFIRMAR",MAX($U$4:$U2518)+1,"")</f>
        <v>0</v>
      </c>
      <c r="V2519" s="30">
        <f>IF(AND($R2519="Não",$Q2519&lt;&gt;"",$Q2519&lt;=Hoje+JanelaRet,$Q2519&gt;=Hoje-60),MAX($V$4:$V2518)+1,"")</f>
        <v>0</v>
      </c>
    </row>
    <row r="2520" spans="1:22">
      <c r="A2520" s="16"/>
      <c r="B2520" s="23"/>
      <c r="C2520" s="15"/>
      <c r="D2520" s="15"/>
      <c r="E2520" s="15"/>
      <c r="F2520" s="24"/>
      <c r="G2520" s="17"/>
      <c r="H2520" s="17"/>
      <c r="I2520" s="15"/>
      <c r="J2520" s="25">
        <f>IF($D2520="","",IFERROR(INDEX(PacNome,MATCH($D2520,PacCod,0)),"Paciente não cadastrado"))</f>
        <v>0</v>
      </c>
      <c r="K2520" s="26">
        <f>IF($D2520="","",IFERROR(INDEX(PacConv,MATCH($D2520,PacCod,0))&amp;"",""))</f>
        <v>0</v>
      </c>
      <c r="L2520" s="26">
        <f>IF($A2520="","",CHOOSE(WEEKDAY($A2520,2),"Seg","Ter","Qua","Qui","Sex","Sáb","Dom"))</f>
        <v>0</v>
      </c>
      <c r="M2520" s="27">
        <f>IF($E2520="","",IF($G2520&lt;&gt;"",$G2520,IFERROR(INDEX(ProcValor,MATCH($E2520,ProcNome,0)),0)))</f>
        <v>0</v>
      </c>
      <c r="N2520" s="27">
        <f>IF($M2520="","",IF($F2520="Compareceu",$M2520,0))</f>
        <v>0</v>
      </c>
      <c r="O2520" s="27">
        <f>IF($M2520="","",IF($F2520="Faltou",$M2520,0))</f>
        <v>0</v>
      </c>
      <c r="P2520" s="27">
        <f>IF($M2520="","",IF($F2520="Compareceu",MAX(0,$M2520-N($H2520)),0))</f>
        <v>0</v>
      </c>
      <c r="Q2520" s="19">
        <f>IF(AND($F2520="Compareceu",$E2520&lt;&gt;"",$A2520&lt;&gt;""),IF(IFERROR(INDEX(ProcRet,MATCH($E2520,ProcNome,0)),0)&gt;0,$A2520+INDEX(ProcRet,MATCH($E2520,ProcNome,0)),""),"")</f>
        <v>0</v>
      </c>
      <c r="R2520" s="26">
        <f>IF($Q2520="","",IF(COUNTIFS(AgPac,$D2520,AgData,"&gt;"&amp;$A2520,AgStatus,"&lt;&gt;Cancelado",AgStatus,"&lt;&gt;Remarcado")&gt;0,"Sim","Não"))</f>
        <v>0</v>
      </c>
      <c r="S2520" s="28">
        <f>IF($A2520="","",IF(AND($F2520="Agendado",$A2520-Hoje&gt;=0,$A2520-Hoje&lt;=DiasConf),"CONFIRMAR",IF(AND($A2520&lt;Hoje,OR($F2520="Agendado",$F2520="Confirmado")),"Atualizar status",IF(AND($F2520="Compareceu",$P2520&gt;0.005),"Cobrar",IF($F2520="Faltou","Falta: reagendar","")))))</f>
        <v>0</v>
      </c>
      <c r="T2520" s="29">
        <f>IF($A2520="","",DATE(YEAR($A2520),MONTH($A2520),1))</f>
        <v>0</v>
      </c>
      <c r="U2520" s="30">
        <f>IF($S2520="CONFIRMAR",MAX($U$4:$U2519)+1,"")</f>
        <v>0</v>
      </c>
      <c r="V2520" s="30">
        <f>IF(AND($R2520="Não",$Q2520&lt;&gt;"",$Q2520&lt;=Hoje+JanelaRet,$Q2520&gt;=Hoje-60),MAX($V$4:$V2519)+1,"")</f>
        <v>0</v>
      </c>
    </row>
    <row r="2521" spans="1:22">
      <c r="A2521" s="16"/>
      <c r="B2521" s="23"/>
      <c r="C2521" s="15"/>
      <c r="D2521" s="15"/>
      <c r="E2521" s="15"/>
      <c r="F2521" s="24"/>
      <c r="G2521" s="17"/>
      <c r="H2521" s="17"/>
      <c r="I2521" s="15"/>
      <c r="J2521" s="25">
        <f>IF($D2521="","",IFERROR(INDEX(PacNome,MATCH($D2521,PacCod,0)),"Paciente não cadastrado"))</f>
        <v>0</v>
      </c>
      <c r="K2521" s="26">
        <f>IF($D2521="","",IFERROR(INDEX(PacConv,MATCH($D2521,PacCod,0))&amp;"",""))</f>
        <v>0</v>
      </c>
      <c r="L2521" s="26">
        <f>IF($A2521="","",CHOOSE(WEEKDAY($A2521,2),"Seg","Ter","Qua","Qui","Sex","Sáb","Dom"))</f>
        <v>0</v>
      </c>
      <c r="M2521" s="27">
        <f>IF($E2521="","",IF($G2521&lt;&gt;"",$G2521,IFERROR(INDEX(ProcValor,MATCH($E2521,ProcNome,0)),0)))</f>
        <v>0</v>
      </c>
      <c r="N2521" s="27">
        <f>IF($M2521="","",IF($F2521="Compareceu",$M2521,0))</f>
        <v>0</v>
      </c>
      <c r="O2521" s="27">
        <f>IF($M2521="","",IF($F2521="Faltou",$M2521,0))</f>
        <v>0</v>
      </c>
      <c r="P2521" s="27">
        <f>IF($M2521="","",IF($F2521="Compareceu",MAX(0,$M2521-N($H2521)),0))</f>
        <v>0</v>
      </c>
      <c r="Q2521" s="19">
        <f>IF(AND($F2521="Compareceu",$E2521&lt;&gt;"",$A2521&lt;&gt;""),IF(IFERROR(INDEX(ProcRet,MATCH($E2521,ProcNome,0)),0)&gt;0,$A2521+INDEX(ProcRet,MATCH($E2521,ProcNome,0)),""),"")</f>
        <v>0</v>
      </c>
      <c r="R2521" s="26">
        <f>IF($Q2521="","",IF(COUNTIFS(AgPac,$D2521,AgData,"&gt;"&amp;$A2521,AgStatus,"&lt;&gt;Cancelado",AgStatus,"&lt;&gt;Remarcado")&gt;0,"Sim","Não"))</f>
        <v>0</v>
      </c>
      <c r="S2521" s="28">
        <f>IF($A2521="","",IF(AND($F2521="Agendado",$A2521-Hoje&gt;=0,$A2521-Hoje&lt;=DiasConf),"CONFIRMAR",IF(AND($A2521&lt;Hoje,OR($F2521="Agendado",$F2521="Confirmado")),"Atualizar status",IF(AND($F2521="Compareceu",$P2521&gt;0.005),"Cobrar",IF($F2521="Faltou","Falta: reagendar","")))))</f>
        <v>0</v>
      </c>
      <c r="T2521" s="29">
        <f>IF($A2521="","",DATE(YEAR($A2521),MONTH($A2521),1))</f>
        <v>0</v>
      </c>
      <c r="U2521" s="30">
        <f>IF($S2521="CONFIRMAR",MAX($U$4:$U2520)+1,"")</f>
        <v>0</v>
      </c>
      <c r="V2521" s="30">
        <f>IF(AND($R2521="Não",$Q2521&lt;&gt;"",$Q2521&lt;=Hoje+JanelaRet,$Q2521&gt;=Hoje-60),MAX($V$4:$V2520)+1,"")</f>
        <v>0</v>
      </c>
    </row>
    <row r="2522" spans="1:22">
      <c r="A2522" s="16"/>
      <c r="B2522" s="23"/>
      <c r="C2522" s="15"/>
      <c r="D2522" s="15"/>
      <c r="E2522" s="15"/>
      <c r="F2522" s="24"/>
      <c r="G2522" s="17"/>
      <c r="H2522" s="17"/>
      <c r="I2522" s="15"/>
      <c r="J2522" s="25">
        <f>IF($D2522="","",IFERROR(INDEX(PacNome,MATCH($D2522,PacCod,0)),"Paciente não cadastrado"))</f>
        <v>0</v>
      </c>
      <c r="K2522" s="26">
        <f>IF($D2522="","",IFERROR(INDEX(PacConv,MATCH($D2522,PacCod,0))&amp;"",""))</f>
        <v>0</v>
      </c>
      <c r="L2522" s="26">
        <f>IF($A2522="","",CHOOSE(WEEKDAY($A2522,2),"Seg","Ter","Qua","Qui","Sex","Sáb","Dom"))</f>
        <v>0</v>
      </c>
      <c r="M2522" s="27">
        <f>IF($E2522="","",IF($G2522&lt;&gt;"",$G2522,IFERROR(INDEX(ProcValor,MATCH($E2522,ProcNome,0)),0)))</f>
        <v>0</v>
      </c>
      <c r="N2522" s="27">
        <f>IF($M2522="","",IF($F2522="Compareceu",$M2522,0))</f>
        <v>0</v>
      </c>
      <c r="O2522" s="27">
        <f>IF($M2522="","",IF($F2522="Faltou",$M2522,0))</f>
        <v>0</v>
      </c>
      <c r="P2522" s="27">
        <f>IF($M2522="","",IF($F2522="Compareceu",MAX(0,$M2522-N($H2522)),0))</f>
        <v>0</v>
      </c>
      <c r="Q2522" s="19">
        <f>IF(AND($F2522="Compareceu",$E2522&lt;&gt;"",$A2522&lt;&gt;""),IF(IFERROR(INDEX(ProcRet,MATCH($E2522,ProcNome,0)),0)&gt;0,$A2522+INDEX(ProcRet,MATCH($E2522,ProcNome,0)),""),"")</f>
        <v>0</v>
      </c>
      <c r="R2522" s="26">
        <f>IF($Q2522="","",IF(COUNTIFS(AgPac,$D2522,AgData,"&gt;"&amp;$A2522,AgStatus,"&lt;&gt;Cancelado",AgStatus,"&lt;&gt;Remarcado")&gt;0,"Sim","Não"))</f>
        <v>0</v>
      </c>
      <c r="S2522" s="28">
        <f>IF($A2522="","",IF(AND($F2522="Agendado",$A2522-Hoje&gt;=0,$A2522-Hoje&lt;=DiasConf),"CONFIRMAR",IF(AND($A2522&lt;Hoje,OR($F2522="Agendado",$F2522="Confirmado")),"Atualizar status",IF(AND($F2522="Compareceu",$P2522&gt;0.005),"Cobrar",IF($F2522="Faltou","Falta: reagendar","")))))</f>
        <v>0</v>
      </c>
      <c r="T2522" s="29">
        <f>IF($A2522="","",DATE(YEAR($A2522),MONTH($A2522),1))</f>
        <v>0</v>
      </c>
      <c r="U2522" s="30">
        <f>IF($S2522="CONFIRMAR",MAX($U$4:$U2521)+1,"")</f>
        <v>0</v>
      </c>
      <c r="V2522" s="30">
        <f>IF(AND($R2522="Não",$Q2522&lt;&gt;"",$Q2522&lt;=Hoje+JanelaRet,$Q2522&gt;=Hoje-60),MAX($V$4:$V2521)+1,"")</f>
        <v>0</v>
      </c>
    </row>
    <row r="2523" spans="1:22">
      <c r="A2523" s="16"/>
      <c r="B2523" s="23"/>
      <c r="C2523" s="15"/>
      <c r="D2523" s="15"/>
      <c r="E2523" s="15"/>
      <c r="F2523" s="24"/>
      <c r="G2523" s="17"/>
      <c r="H2523" s="17"/>
      <c r="I2523" s="15"/>
      <c r="J2523" s="25">
        <f>IF($D2523="","",IFERROR(INDEX(PacNome,MATCH($D2523,PacCod,0)),"Paciente não cadastrado"))</f>
        <v>0</v>
      </c>
      <c r="K2523" s="26">
        <f>IF($D2523="","",IFERROR(INDEX(PacConv,MATCH($D2523,PacCod,0))&amp;"",""))</f>
        <v>0</v>
      </c>
      <c r="L2523" s="26">
        <f>IF($A2523="","",CHOOSE(WEEKDAY($A2523,2),"Seg","Ter","Qua","Qui","Sex","Sáb","Dom"))</f>
        <v>0</v>
      </c>
      <c r="M2523" s="27">
        <f>IF($E2523="","",IF($G2523&lt;&gt;"",$G2523,IFERROR(INDEX(ProcValor,MATCH($E2523,ProcNome,0)),0)))</f>
        <v>0</v>
      </c>
      <c r="N2523" s="27">
        <f>IF($M2523="","",IF($F2523="Compareceu",$M2523,0))</f>
        <v>0</v>
      </c>
      <c r="O2523" s="27">
        <f>IF($M2523="","",IF($F2523="Faltou",$M2523,0))</f>
        <v>0</v>
      </c>
      <c r="P2523" s="27">
        <f>IF($M2523="","",IF($F2523="Compareceu",MAX(0,$M2523-N($H2523)),0))</f>
        <v>0</v>
      </c>
      <c r="Q2523" s="19">
        <f>IF(AND($F2523="Compareceu",$E2523&lt;&gt;"",$A2523&lt;&gt;""),IF(IFERROR(INDEX(ProcRet,MATCH($E2523,ProcNome,0)),0)&gt;0,$A2523+INDEX(ProcRet,MATCH($E2523,ProcNome,0)),""),"")</f>
        <v>0</v>
      </c>
      <c r="R2523" s="26">
        <f>IF($Q2523="","",IF(COUNTIFS(AgPac,$D2523,AgData,"&gt;"&amp;$A2523,AgStatus,"&lt;&gt;Cancelado",AgStatus,"&lt;&gt;Remarcado")&gt;0,"Sim","Não"))</f>
        <v>0</v>
      </c>
      <c r="S2523" s="28">
        <f>IF($A2523="","",IF(AND($F2523="Agendado",$A2523-Hoje&gt;=0,$A2523-Hoje&lt;=DiasConf),"CONFIRMAR",IF(AND($A2523&lt;Hoje,OR($F2523="Agendado",$F2523="Confirmado")),"Atualizar status",IF(AND($F2523="Compareceu",$P2523&gt;0.005),"Cobrar",IF($F2523="Faltou","Falta: reagendar","")))))</f>
        <v>0</v>
      </c>
      <c r="T2523" s="29">
        <f>IF($A2523="","",DATE(YEAR($A2523),MONTH($A2523),1))</f>
        <v>0</v>
      </c>
      <c r="U2523" s="30">
        <f>IF($S2523="CONFIRMAR",MAX($U$4:$U2522)+1,"")</f>
        <v>0</v>
      </c>
      <c r="V2523" s="30">
        <f>IF(AND($R2523="Não",$Q2523&lt;&gt;"",$Q2523&lt;=Hoje+JanelaRet,$Q2523&gt;=Hoje-60),MAX($V$4:$V2522)+1,"")</f>
        <v>0</v>
      </c>
    </row>
    <row r="2524" spans="1:22">
      <c r="A2524" s="16"/>
      <c r="B2524" s="23"/>
      <c r="C2524" s="15"/>
      <c r="D2524" s="15"/>
      <c r="E2524" s="15"/>
      <c r="F2524" s="24"/>
      <c r="G2524" s="17"/>
      <c r="H2524" s="17"/>
      <c r="I2524" s="15"/>
      <c r="J2524" s="25">
        <f>IF($D2524="","",IFERROR(INDEX(PacNome,MATCH($D2524,PacCod,0)),"Paciente não cadastrado"))</f>
        <v>0</v>
      </c>
      <c r="K2524" s="26">
        <f>IF($D2524="","",IFERROR(INDEX(PacConv,MATCH($D2524,PacCod,0))&amp;"",""))</f>
        <v>0</v>
      </c>
      <c r="L2524" s="26">
        <f>IF($A2524="","",CHOOSE(WEEKDAY($A2524,2),"Seg","Ter","Qua","Qui","Sex","Sáb","Dom"))</f>
        <v>0</v>
      </c>
      <c r="M2524" s="27">
        <f>IF($E2524="","",IF($G2524&lt;&gt;"",$G2524,IFERROR(INDEX(ProcValor,MATCH($E2524,ProcNome,0)),0)))</f>
        <v>0</v>
      </c>
      <c r="N2524" s="27">
        <f>IF($M2524="","",IF($F2524="Compareceu",$M2524,0))</f>
        <v>0</v>
      </c>
      <c r="O2524" s="27">
        <f>IF($M2524="","",IF($F2524="Faltou",$M2524,0))</f>
        <v>0</v>
      </c>
      <c r="P2524" s="27">
        <f>IF($M2524="","",IF($F2524="Compareceu",MAX(0,$M2524-N($H2524)),0))</f>
        <v>0</v>
      </c>
      <c r="Q2524" s="19">
        <f>IF(AND($F2524="Compareceu",$E2524&lt;&gt;"",$A2524&lt;&gt;""),IF(IFERROR(INDEX(ProcRet,MATCH($E2524,ProcNome,0)),0)&gt;0,$A2524+INDEX(ProcRet,MATCH($E2524,ProcNome,0)),""),"")</f>
        <v>0</v>
      </c>
      <c r="R2524" s="26">
        <f>IF($Q2524="","",IF(COUNTIFS(AgPac,$D2524,AgData,"&gt;"&amp;$A2524,AgStatus,"&lt;&gt;Cancelado",AgStatus,"&lt;&gt;Remarcado")&gt;0,"Sim","Não"))</f>
        <v>0</v>
      </c>
      <c r="S2524" s="28">
        <f>IF($A2524="","",IF(AND($F2524="Agendado",$A2524-Hoje&gt;=0,$A2524-Hoje&lt;=DiasConf),"CONFIRMAR",IF(AND($A2524&lt;Hoje,OR($F2524="Agendado",$F2524="Confirmado")),"Atualizar status",IF(AND($F2524="Compareceu",$P2524&gt;0.005),"Cobrar",IF($F2524="Faltou","Falta: reagendar","")))))</f>
        <v>0</v>
      </c>
      <c r="T2524" s="29">
        <f>IF($A2524="","",DATE(YEAR($A2524),MONTH($A2524),1))</f>
        <v>0</v>
      </c>
      <c r="U2524" s="30">
        <f>IF($S2524="CONFIRMAR",MAX($U$4:$U2523)+1,"")</f>
        <v>0</v>
      </c>
      <c r="V2524" s="30">
        <f>IF(AND($R2524="Não",$Q2524&lt;&gt;"",$Q2524&lt;=Hoje+JanelaRet,$Q2524&gt;=Hoje-60),MAX($V$4:$V2523)+1,"")</f>
        <v>0</v>
      </c>
    </row>
    <row r="2525" spans="1:22">
      <c r="A2525" s="16"/>
      <c r="B2525" s="23"/>
      <c r="C2525" s="15"/>
      <c r="D2525" s="15"/>
      <c r="E2525" s="15"/>
      <c r="F2525" s="24"/>
      <c r="G2525" s="17"/>
      <c r="H2525" s="17"/>
      <c r="I2525" s="15"/>
      <c r="J2525" s="25">
        <f>IF($D2525="","",IFERROR(INDEX(PacNome,MATCH($D2525,PacCod,0)),"Paciente não cadastrado"))</f>
        <v>0</v>
      </c>
      <c r="K2525" s="26">
        <f>IF($D2525="","",IFERROR(INDEX(PacConv,MATCH($D2525,PacCod,0))&amp;"",""))</f>
        <v>0</v>
      </c>
      <c r="L2525" s="26">
        <f>IF($A2525="","",CHOOSE(WEEKDAY($A2525,2),"Seg","Ter","Qua","Qui","Sex","Sáb","Dom"))</f>
        <v>0</v>
      </c>
      <c r="M2525" s="27">
        <f>IF($E2525="","",IF($G2525&lt;&gt;"",$G2525,IFERROR(INDEX(ProcValor,MATCH($E2525,ProcNome,0)),0)))</f>
        <v>0</v>
      </c>
      <c r="N2525" s="27">
        <f>IF($M2525="","",IF($F2525="Compareceu",$M2525,0))</f>
        <v>0</v>
      </c>
      <c r="O2525" s="27">
        <f>IF($M2525="","",IF($F2525="Faltou",$M2525,0))</f>
        <v>0</v>
      </c>
      <c r="P2525" s="27">
        <f>IF($M2525="","",IF($F2525="Compareceu",MAX(0,$M2525-N($H2525)),0))</f>
        <v>0</v>
      </c>
      <c r="Q2525" s="19">
        <f>IF(AND($F2525="Compareceu",$E2525&lt;&gt;"",$A2525&lt;&gt;""),IF(IFERROR(INDEX(ProcRet,MATCH($E2525,ProcNome,0)),0)&gt;0,$A2525+INDEX(ProcRet,MATCH($E2525,ProcNome,0)),""),"")</f>
        <v>0</v>
      </c>
      <c r="R2525" s="26">
        <f>IF($Q2525="","",IF(COUNTIFS(AgPac,$D2525,AgData,"&gt;"&amp;$A2525,AgStatus,"&lt;&gt;Cancelado",AgStatus,"&lt;&gt;Remarcado")&gt;0,"Sim","Não"))</f>
        <v>0</v>
      </c>
      <c r="S2525" s="28">
        <f>IF($A2525="","",IF(AND($F2525="Agendado",$A2525-Hoje&gt;=0,$A2525-Hoje&lt;=DiasConf),"CONFIRMAR",IF(AND($A2525&lt;Hoje,OR($F2525="Agendado",$F2525="Confirmado")),"Atualizar status",IF(AND($F2525="Compareceu",$P2525&gt;0.005),"Cobrar",IF($F2525="Faltou","Falta: reagendar","")))))</f>
        <v>0</v>
      </c>
      <c r="T2525" s="29">
        <f>IF($A2525="","",DATE(YEAR($A2525),MONTH($A2525),1))</f>
        <v>0</v>
      </c>
      <c r="U2525" s="30">
        <f>IF($S2525="CONFIRMAR",MAX($U$4:$U2524)+1,"")</f>
        <v>0</v>
      </c>
      <c r="V2525" s="30">
        <f>IF(AND($R2525="Não",$Q2525&lt;&gt;"",$Q2525&lt;=Hoje+JanelaRet,$Q2525&gt;=Hoje-60),MAX($V$4:$V2524)+1,"")</f>
        <v>0</v>
      </c>
    </row>
    <row r="2526" spans="1:22">
      <c r="A2526" s="16"/>
      <c r="B2526" s="23"/>
      <c r="C2526" s="15"/>
      <c r="D2526" s="15"/>
      <c r="E2526" s="15"/>
      <c r="F2526" s="24"/>
      <c r="G2526" s="17"/>
      <c r="H2526" s="17"/>
      <c r="I2526" s="15"/>
      <c r="J2526" s="25">
        <f>IF($D2526="","",IFERROR(INDEX(PacNome,MATCH($D2526,PacCod,0)),"Paciente não cadastrado"))</f>
        <v>0</v>
      </c>
      <c r="K2526" s="26">
        <f>IF($D2526="","",IFERROR(INDEX(PacConv,MATCH($D2526,PacCod,0))&amp;"",""))</f>
        <v>0</v>
      </c>
      <c r="L2526" s="26">
        <f>IF($A2526="","",CHOOSE(WEEKDAY($A2526,2),"Seg","Ter","Qua","Qui","Sex","Sáb","Dom"))</f>
        <v>0</v>
      </c>
      <c r="M2526" s="27">
        <f>IF($E2526="","",IF($G2526&lt;&gt;"",$G2526,IFERROR(INDEX(ProcValor,MATCH($E2526,ProcNome,0)),0)))</f>
        <v>0</v>
      </c>
      <c r="N2526" s="27">
        <f>IF($M2526="","",IF($F2526="Compareceu",$M2526,0))</f>
        <v>0</v>
      </c>
      <c r="O2526" s="27">
        <f>IF($M2526="","",IF($F2526="Faltou",$M2526,0))</f>
        <v>0</v>
      </c>
      <c r="P2526" s="27">
        <f>IF($M2526="","",IF($F2526="Compareceu",MAX(0,$M2526-N($H2526)),0))</f>
        <v>0</v>
      </c>
      <c r="Q2526" s="19">
        <f>IF(AND($F2526="Compareceu",$E2526&lt;&gt;"",$A2526&lt;&gt;""),IF(IFERROR(INDEX(ProcRet,MATCH($E2526,ProcNome,0)),0)&gt;0,$A2526+INDEX(ProcRet,MATCH($E2526,ProcNome,0)),""),"")</f>
        <v>0</v>
      </c>
      <c r="R2526" s="26">
        <f>IF($Q2526="","",IF(COUNTIFS(AgPac,$D2526,AgData,"&gt;"&amp;$A2526,AgStatus,"&lt;&gt;Cancelado",AgStatus,"&lt;&gt;Remarcado")&gt;0,"Sim","Não"))</f>
        <v>0</v>
      </c>
      <c r="S2526" s="28">
        <f>IF($A2526="","",IF(AND($F2526="Agendado",$A2526-Hoje&gt;=0,$A2526-Hoje&lt;=DiasConf),"CONFIRMAR",IF(AND($A2526&lt;Hoje,OR($F2526="Agendado",$F2526="Confirmado")),"Atualizar status",IF(AND($F2526="Compareceu",$P2526&gt;0.005),"Cobrar",IF($F2526="Faltou","Falta: reagendar","")))))</f>
        <v>0</v>
      </c>
      <c r="T2526" s="29">
        <f>IF($A2526="","",DATE(YEAR($A2526),MONTH($A2526),1))</f>
        <v>0</v>
      </c>
      <c r="U2526" s="30">
        <f>IF($S2526="CONFIRMAR",MAX($U$4:$U2525)+1,"")</f>
        <v>0</v>
      </c>
      <c r="V2526" s="30">
        <f>IF(AND($R2526="Não",$Q2526&lt;&gt;"",$Q2526&lt;=Hoje+JanelaRet,$Q2526&gt;=Hoje-60),MAX($V$4:$V2525)+1,"")</f>
        <v>0</v>
      </c>
    </row>
    <row r="2527" spans="1:22">
      <c r="A2527" s="16"/>
      <c r="B2527" s="23"/>
      <c r="C2527" s="15"/>
      <c r="D2527" s="15"/>
      <c r="E2527" s="15"/>
      <c r="F2527" s="24"/>
      <c r="G2527" s="17"/>
      <c r="H2527" s="17"/>
      <c r="I2527" s="15"/>
      <c r="J2527" s="25">
        <f>IF($D2527="","",IFERROR(INDEX(PacNome,MATCH($D2527,PacCod,0)),"Paciente não cadastrado"))</f>
        <v>0</v>
      </c>
      <c r="K2527" s="26">
        <f>IF($D2527="","",IFERROR(INDEX(PacConv,MATCH($D2527,PacCod,0))&amp;"",""))</f>
        <v>0</v>
      </c>
      <c r="L2527" s="26">
        <f>IF($A2527="","",CHOOSE(WEEKDAY($A2527,2),"Seg","Ter","Qua","Qui","Sex","Sáb","Dom"))</f>
        <v>0</v>
      </c>
      <c r="M2527" s="27">
        <f>IF($E2527="","",IF($G2527&lt;&gt;"",$G2527,IFERROR(INDEX(ProcValor,MATCH($E2527,ProcNome,0)),0)))</f>
        <v>0</v>
      </c>
      <c r="N2527" s="27">
        <f>IF($M2527="","",IF($F2527="Compareceu",$M2527,0))</f>
        <v>0</v>
      </c>
      <c r="O2527" s="27">
        <f>IF($M2527="","",IF($F2527="Faltou",$M2527,0))</f>
        <v>0</v>
      </c>
      <c r="P2527" s="27">
        <f>IF($M2527="","",IF($F2527="Compareceu",MAX(0,$M2527-N($H2527)),0))</f>
        <v>0</v>
      </c>
      <c r="Q2527" s="19">
        <f>IF(AND($F2527="Compareceu",$E2527&lt;&gt;"",$A2527&lt;&gt;""),IF(IFERROR(INDEX(ProcRet,MATCH($E2527,ProcNome,0)),0)&gt;0,$A2527+INDEX(ProcRet,MATCH($E2527,ProcNome,0)),""),"")</f>
        <v>0</v>
      </c>
      <c r="R2527" s="26">
        <f>IF($Q2527="","",IF(COUNTIFS(AgPac,$D2527,AgData,"&gt;"&amp;$A2527,AgStatus,"&lt;&gt;Cancelado",AgStatus,"&lt;&gt;Remarcado")&gt;0,"Sim","Não"))</f>
        <v>0</v>
      </c>
      <c r="S2527" s="28">
        <f>IF($A2527="","",IF(AND($F2527="Agendado",$A2527-Hoje&gt;=0,$A2527-Hoje&lt;=DiasConf),"CONFIRMAR",IF(AND($A2527&lt;Hoje,OR($F2527="Agendado",$F2527="Confirmado")),"Atualizar status",IF(AND($F2527="Compareceu",$P2527&gt;0.005),"Cobrar",IF($F2527="Faltou","Falta: reagendar","")))))</f>
        <v>0</v>
      </c>
      <c r="T2527" s="29">
        <f>IF($A2527="","",DATE(YEAR($A2527),MONTH($A2527),1))</f>
        <v>0</v>
      </c>
      <c r="U2527" s="30">
        <f>IF($S2527="CONFIRMAR",MAX($U$4:$U2526)+1,"")</f>
        <v>0</v>
      </c>
      <c r="V2527" s="30">
        <f>IF(AND($R2527="Não",$Q2527&lt;&gt;"",$Q2527&lt;=Hoje+JanelaRet,$Q2527&gt;=Hoje-60),MAX($V$4:$V2526)+1,"")</f>
        <v>0</v>
      </c>
    </row>
    <row r="2528" spans="1:22">
      <c r="A2528" s="16"/>
      <c r="B2528" s="23"/>
      <c r="C2528" s="15"/>
      <c r="D2528" s="15"/>
      <c r="E2528" s="15"/>
      <c r="F2528" s="24"/>
      <c r="G2528" s="17"/>
      <c r="H2528" s="17"/>
      <c r="I2528" s="15"/>
      <c r="J2528" s="25">
        <f>IF($D2528="","",IFERROR(INDEX(PacNome,MATCH($D2528,PacCod,0)),"Paciente não cadastrado"))</f>
        <v>0</v>
      </c>
      <c r="K2528" s="26">
        <f>IF($D2528="","",IFERROR(INDEX(PacConv,MATCH($D2528,PacCod,0))&amp;"",""))</f>
        <v>0</v>
      </c>
      <c r="L2528" s="26">
        <f>IF($A2528="","",CHOOSE(WEEKDAY($A2528,2),"Seg","Ter","Qua","Qui","Sex","Sáb","Dom"))</f>
        <v>0</v>
      </c>
      <c r="M2528" s="27">
        <f>IF($E2528="","",IF($G2528&lt;&gt;"",$G2528,IFERROR(INDEX(ProcValor,MATCH($E2528,ProcNome,0)),0)))</f>
        <v>0</v>
      </c>
      <c r="N2528" s="27">
        <f>IF($M2528="","",IF($F2528="Compareceu",$M2528,0))</f>
        <v>0</v>
      </c>
      <c r="O2528" s="27">
        <f>IF($M2528="","",IF($F2528="Faltou",$M2528,0))</f>
        <v>0</v>
      </c>
      <c r="P2528" s="27">
        <f>IF($M2528="","",IF($F2528="Compareceu",MAX(0,$M2528-N($H2528)),0))</f>
        <v>0</v>
      </c>
      <c r="Q2528" s="19">
        <f>IF(AND($F2528="Compareceu",$E2528&lt;&gt;"",$A2528&lt;&gt;""),IF(IFERROR(INDEX(ProcRet,MATCH($E2528,ProcNome,0)),0)&gt;0,$A2528+INDEX(ProcRet,MATCH($E2528,ProcNome,0)),""),"")</f>
        <v>0</v>
      </c>
      <c r="R2528" s="26">
        <f>IF($Q2528="","",IF(COUNTIFS(AgPac,$D2528,AgData,"&gt;"&amp;$A2528,AgStatus,"&lt;&gt;Cancelado",AgStatus,"&lt;&gt;Remarcado")&gt;0,"Sim","Não"))</f>
        <v>0</v>
      </c>
      <c r="S2528" s="28">
        <f>IF($A2528="","",IF(AND($F2528="Agendado",$A2528-Hoje&gt;=0,$A2528-Hoje&lt;=DiasConf),"CONFIRMAR",IF(AND($A2528&lt;Hoje,OR($F2528="Agendado",$F2528="Confirmado")),"Atualizar status",IF(AND($F2528="Compareceu",$P2528&gt;0.005),"Cobrar",IF($F2528="Faltou","Falta: reagendar","")))))</f>
        <v>0</v>
      </c>
      <c r="T2528" s="29">
        <f>IF($A2528="","",DATE(YEAR($A2528),MONTH($A2528),1))</f>
        <v>0</v>
      </c>
      <c r="U2528" s="30">
        <f>IF($S2528="CONFIRMAR",MAX($U$4:$U2527)+1,"")</f>
        <v>0</v>
      </c>
      <c r="V2528" s="30">
        <f>IF(AND($R2528="Não",$Q2528&lt;&gt;"",$Q2528&lt;=Hoje+JanelaRet,$Q2528&gt;=Hoje-60),MAX($V$4:$V2527)+1,"")</f>
        <v>0</v>
      </c>
    </row>
    <row r="2529" spans="1:22">
      <c r="A2529" s="16"/>
      <c r="B2529" s="23"/>
      <c r="C2529" s="15"/>
      <c r="D2529" s="15"/>
      <c r="E2529" s="15"/>
      <c r="F2529" s="24"/>
      <c r="G2529" s="17"/>
      <c r="H2529" s="17"/>
      <c r="I2529" s="15"/>
      <c r="J2529" s="25">
        <f>IF($D2529="","",IFERROR(INDEX(PacNome,MATCH($D2529,PacCod,0)),"Paciente não cadastrado"))</f>
        <v>0</v>
      </c>
      <c r="K2529" s="26">
        <f>IF($D2529="","",IFERROR(INDEX(PacConv,MATCH($D2529,PacCod,0))&amp;"",""))</f>
        <v>0</v>
      </c>
      <c r="L2529" s="26">
        <f>IF($A2529="","",CHOOSE(WEEKDAY($A2529,2),"Seg","Ter","Qua","Qui","Sex","Sáb","Dom"))</f>
        <v>0</v>
      </c>
      <c r="M2529" s="27">
        <f>IF($E2529="","",IF($G2529&lt;&gt;"",$G2529,IFERROR(INDEX(ProcValor,MATCH($E2529,ProcNome,0)),0)))</f>
        <v>0</v>
      </c>
      <c r="N2529" s="27">
        <f>IF($M2529="","",IF($F2529="Compareceu",$M2529,0))</f>
        <v>0</v>
      </c>
      <c r="O2529" s="27">
        <f>IF($M2529="","",IF($F2529="Faltou",$M2529,0))</f>
        <v>0</v>
      </c>
      <c r="P2529" s="27">
        <f>IF($M2529="","",IF($F2529="Compareceu",MAX(0,$M2529-N($H2529)),0))</f>
        <v>0</v>
      </c>
      <c r="Q2529" s="19">
        <f>IF(AND($F2529="Compareceu",$E2529&lt;&gt;"",$A2529&lt;&gt;""),IF(IFERROR(INDEX(ProcRet,MATCH($E2529,ProcNome,0)),0)&gt;0,$A2529+INDEX(ProcRet,MATCH($E2529,ProcNome,0)),""),"")</f>
        <v>0</v>
      </c>
      <c r="R2529" s="26">
        <f>IF($Q2529="","",IF(COUNTIFS(AgPac,$D2529,AgData,"&gt;"&amp;$A2529,AgStatus,"&lt;&gt;Cancelado",AgStatus,"&lt;&gt;Remarcado")&gt;0,"Sim","Não"))</f>
        <v>0</v>
      </c>
      <c r="S2529" s="28">
        <f>IF($A2529="","",IF(AND($F2529="Agendado",$A2529-Hoje&gt;=0,$A2529-Hoje&lt;=DiasConf),"CONFIRMAR",IF(AND($A2529&lt;Hoje,OR($F2529="Agendado",$F2529="Confirmado")),"Atualizar status",IF(AND($F2529="Compareceu",$P2529&gt;0.005),"Cobrar",IF($F2529="Faltou","Falta: reagendar","")))))</f>
        <v>0</v>
      </c>
      <c r="T2529" s="29">
        <f>IF($A2529="","",DATE(YEAR($A2529),MONTH($A2529),1))</f>
        <v>0</v>
      </c>
      <c r="U2529" s="30">
        <f>IF($S2529="CONFIRMAR",MAX($U$4:$U2528)+1,"")</f>
        <v>0</v>
      </c>
      <c r="V2529" s="30">
        <f>IF(AND($R2529="Não",$Q2529&lt;&gt;"",$Q2529&lt;=Hoje+JanelaRet,$Q2529&gt;=Hoje-60),MAX($V$4:$V2528)+1,"")</f>
        <v>0</v>
      </c>
    </row>
    <row r="2530" spans="1:22">
      <c r="A2530" s="16"/>
      <c r="B2530" s="23"/>
      <c r="C2530" s="15"/>
      <c r="D2530" s="15"/>
      <c r="E2530" s="15"/>
      <c r="F2530" s="24"/>
      <c r="G2530" s="17"/>
      <c r="H2530" s="17"/>
      <c r="I2530" s="15"/>
      <c r="J2530" s="25">
        <f>IF($D2530="","",IFERROR(INDEX(PacNome,MATCH($D2530,PacCod,0)),"Paciente não cadastrado"))</f>
        <v>0</v>
      </c>
      <c r="K2530" s="26">
        <f>IF($D2530="","",IFERROR(INDEX(PacConv,MATCH($D2530,PacCod,0))&amp;"",""))</f>
        <v>0</v>
      </c>
      <c r="L2530" s="26">
        <f>IF($A2530="","",CHOOSE(WEEKDAY($A2530,2),"Seg","Ter","Qua","Qui","Sex","Sáb","Dom"))</f>
        <v>0</v>
      </c>
      <c r="M2530" s="27">
        <f>IF($E2530="","",IF($G2530&lt;&gt;"",$G2530,IFERROR(INDEX(ProcValor,MATCH($E2530,ProcNome,0)),0)))</f>
        <v>0</v>
      </c>
      <c r="N2530" s="27">
        <f>IF($M2530="","",IF($F2530="Compareceu",$M2530,0))</f>
        <v>0</v>
      </c>
      <c r="O2530" s="27">
        <f>IF($M2530="","",IF($F2530="Faltou",$M2530,0))</f>
        <v>0</v>
      </c>
      <c r="P2530" s="27">
        <f>IF($M2530="","",IF($F2530="Compareceu",MAX(0,$M2530-N($H2530)),0))</f>
        <v>0</v>
      </c>
      <c r="Q2530" s="19">
        <f>IF(AND($F2530="Compareceu",$E2530&lt;&gt;"",$A2530&lt;&gt;""),IF(IFERROR(INDEX(ProcRet,MATCH($E2530,ProcNome,0)),0)&gt;0,$A2530+INDEX(ProcRet,MATCH($E2530,ProcNome,0)),""),"")</f>
        <v>0</v>
      </c>
      <c r="R2530" s="26">
        <f>IF($Q2530="","",IF(COUNTIFS(AgPac,$D2530,AgData,"&gt;"&amp;$A2530,AgStatus,"&lt;&gt;Cancelado",AgStatus,"&lt;&gt;Remarcado")&gt;0,"Sim","Não"))</f>
        <v>0</v>
      </c>
      <c r="S2530" s="28">
        <f>IF($A2530="","",IF(AND($F2530="Agendado",$A2530-Hoje&gt;=0,$A2530-Hoje&lt;=DiasConf),"CONFIRMAR",IF(AND($A2530&lt;Hoje,OR($F2530="Agendado",$F2530="Confirmado")),"Atualizar status",IF(AND($F2530="Compareceu",$P2530&gt;0.005),"Cobrar",IF($F2530="Faltou","Falta: reagendar","")))))</f>
        <v>0</v>
      </c>
      <c r="T2530" s="29">
        <f>IF($A2530="","",DATE(YEAR($A2530),MONTH($A2530),1))</f>
        <v>0</v>
      </c>
      <c r="U2530" s="30">
        <f>IF($S2530="CONFIRMAR",MAX($U$4:$U2529)+1,"")</f>
        <v>0</v>
      </c>
      <c r="V2530" s="30">
        <f>IF(AND($R2530="Não",$Q2530&lt;&gt;"",$Q2530&lt;=Hoje+JanelaRet,$Q2530&gt;=Hoje-60),MAX($V$4:$V2529)+1,"")</f>
        <v>0</v>
      </c>
    </row>
    <row r="2531" spans="1:22">
      <c r="A2531" s="16"/>
      <c r="B2531" s="23"/>
      <c r="C2531" s="15"/>
      <c r="D2531" s="15"/>
      <c r="E2531" s="15"/>
      <c r="F2531" s="24"/>
      <c r="G2531" s="17"/>
      <c r="H2531" s="17"/>
      <c r="I2531" s="15"/>
      <c r="J2531" s="25">
        <f>IF($D2531="","",IFERROR(INDEX(PacNome,MATCH($D2531,PacCod,0)),"Paciente não cadastrado"))</f>
        <v>0</v>
      </c>
      <c r="K2531" s="26">
        <f>IF($D2531="","",IFERROR(INDEX(PacConv,MATCH($D2531,PacCod,0))&amp;"",""))</f>
        <v>0</v>
      </c>
      <c r="L2531" s="26">
        <f>IF($A2531="","",CHOOSE(WEEKDAY($A2531,2),"Seg","Ter","Qua","Qui","Sex","Sáb","Dom"))</f>
        <v>0</v>
      </c>
      <c r="M2531" s="27">
        <f>IF($E2531="","",IF($G2531&lt;&gt;"",$G2531,IFERROR(INDEX(ProcValor,MATCH($E2531,ProcNome,0)),0)))</f>
        <v>0</v>
      </c>
      <c r="N2531" s="27">
        <f>IF($M2531="","",IF($F2531="Compareceu",$M2531,0))</f>
        <v>0</v>
      </c>
      <c r="O2531" s="27">
        <f>IF($M2531="","",IF($F2531="Faltou",$M2531,0))</f>
        <v>0</v>
      </c>
      <c r="P2531" s="27">
        <f>IF($M2531="","",IF($F2531="Compareceu",MAX(0,$M2531-N($H2531)),0))</f>
        <v>0</v>
      </c>
      <c r="Q2531" s="19">
        <f>IF(AND($F2531="Compareceu",$E2531&lt;&gt;"",$A2531&lt;&gt;""),IF(IFERROR(INDEX(ProcRet,MATCH($E2531,ProcNome,0)),0)&gt;0,$A2531+INDEX(ProcRet,MATCH($E2531,ProcNome,0)),""),"")</f>
        <v>0</v>
      </c>
      <c r="R2531" s="26">
        <f>IF($Q2531="","",IF(COUNTIFS(AgPac,$D2531,AgData,"&gt;"&amp;$A2531,AgStatus,"&lt;&gt;Cancelado",AgStatus,"&lt;&gt;Remarcado")&gt;0,"Sim","Não"))</f>
        <v>0</v>
      </c>
      <c r="S2531" s="28">
        <f>IF($A2531="","",IF(AND($F2531="Agendado",$A2531-Hoje&gt;=0,$A2531-Hoje&lt;=DiasConf),"CONFIRMAR",IF(AND($A2531&lt;Hoje,OR($F2531="Agendado",$F2531="Confirmado")),"Atualizar status",IF(AND($F2531="Compareceu",$P2531&gt;0.005),"Cobrar",IF($F2531="Faltou","Falta: reagendar","")))))</f>
        <v>0</v>
      </c>
      <c r="T2531" s="29">
        <f>IF($A2531="","",DATE(YEAR($A2531),MONTH($A2531),1))</f>
        <v>0</v>
      </c>
      <c r="U2531" s="30">
        <f>IF($S2531="CONFIRMAR",MAX($U$4:$U2530)+1,"")</f>
        <v>0</v>
      </c>
      <c r="V2531" s="30">
        <f>IF(AND($R2531="Não",$Q2531&lt;&gt;"",$Q2531&lt;=Hoje+JanelaRet,$Q2531&gt;=Hoje-60),MAX($V$4:$V2530)+1,"")</f>
        <v>0</v>
      </c>
    </row>
    <row r="2532" spans="1:22">
      <c r="A2532" s="16"/>
      <c r="B2532" s="23"/>
      <c r="C2532" s="15"/>
      <c r="D2532" s="15"/>
      <c r="E2532" s="15"/>
      <c r="F2532" s="24"/>
      <c r="G2532" s="17"/>
      <c r="H2532" s="17"/>
      <c r="I2532" s="15"/>
      <c r="J2532" s="25">
        <f>IF($D2532="","",IFERROR(INDEX(PacNome,MATCH($D2532,PacCod,0)),"Paciente não cadastrado"))</f>
        <v>0</v>
      </c>
      <c r="K2532" s="26">
        <f>IF($D2532="","",IFERROR(INDEX(PacConv,MATCH($D2532,PacCod,0))&amp;"",""))</f>
        <v>0</v>
      </c>
      <c r="L2532" s="26">
        <f>IF($A2532="","",CHOOSE(WEEKDAY($A2532,2),"Seg","Ter","Qua","Qui","Sex","Sáb","Dom"))</f>
        <v>0</v>
      </c>
      <c r="M2532" s="27">
        <f>IF($E2532="","",IF($G2532&lt;&gt;"",$G2532,IFERROR(INDEX(ProcValor,MATCH($E2532,ProcNome,0)),0)))</f>
        <v>0</v>
      </c>
      <c r="N2532" s="27">
        <f>IF($M2532="","",IF($F2532="Compareceu",$M2532,0))</f>
        <v>0</v>
      </c>
      <c r="O2532" s="27">
        <f>IF($M2532="","",IF($F2532="Faltou",$M2532,0))</f>
        <v>0</v>
      </c>
      <c r="P2532" s="27">
        <f>IF($M2532="","",IF($F2532="Compareceu",MAX(0,$M2532-N($H2532)),0))</f>
        <v>0</v>
      </c>
      <c r="Q2532" s="19">
        <f>IF(AND($F2532="Compareceu",$E2532&lt;&gt;"",$A2532&lt;&gt;""),IF(IFERROR(INDEX(ProcRet,MATCH($E2532,ProcNome,0)),0)&gt;0,$A2532+INDEX(ProcRet,MATCH($E2532,ProcNome,0)),""),"")</f>
        <v>0</v>
      </c>
      <c r="R2532" s="26">
        <f>IF($Q2532="","",IF(COUNTIFS(AgPac,$D2532,AgData,"&gt;"&amp;$A2532,AgStatus,"&lt;&gt;Cancelado",AgStatus,"&lt;&gt;Remarcado")&gt;0,"Sim","Não"))</f>
        <v>0</v>
      </c>
      <c r="S2532" s="28">
        <f>IF($A2532="","",IF(AND($F2532="Agendado",$A2532-Hoje&gt;=0,$A2532-Hoje&lt;=DiasConf),"CONFIRMAR",IF(AND($A2532&lt;Hoje,OR($F2532="Agendado",$F2532="Confirmado")),"Atualizar status",IF(AND($F2532="Compareceu",$P2532&gt;0.005),"Cobrar",IF($F2532="Faltou","Falta: reagendar","")))))</f>
        <v>0</v>
      </c>
      <c r="T2532" s="29">
        <f>IF($A2532="","",DATE(YEAR($A2532),MONTH($A2532),1))</f>
        <v>0</v>
      </c>
      <c r="U2532" s="30">
        <f>IF($S2532="CONFIRMAR",MAX($U$4:$U2531)+1,"")</f>
        <v>0</v>
      </c>
      <c r="V2532" s="30">
        <f>IF(AND($R2532="Não",$Q2532&lt;&gt;"",$Q2532&lt;=Hoje+JanelaRet,$Q2532&gt;=Hoje-60),MAX($V$4:$V2531)+1,"")</f>
        <v>0</v>
      </c>
    </row>
    <row r="2533" spans="1:22">
      <c r="A2533" s="16"/>
      <c r="B2533" s="23"/>
      <c r="C2533" s="15"/>
      <c r="D2533" s="15"/>
      <c r="E2533" s="15"/>
      <c r="F2533" s="24"/>
      <c r="G2533" s="17"/>
      <c r="H2533" s="17"/>
      <c r="I2533" s="15"/>
      <c r="J2533" s="25">
        <f>IF($D2533="","",IFERROR(INDEX(PacNome,MATCH($D2533,PacCod,0)),"Paciente não cadastrado"))</f>
        <v>0</v>
      </c>
      <c r="K2533" s="26">
        <f>IF($D2533="","",IFERROR(INDEX(PacConv,MATCH($D2533,PacCod,0))&amp;"",""))</f>
        <v>0</v>
      </c>
      <c r="L2533" s="26">
        <f>IF($A2533="","",CHOOSE(WEEKDAY($A2533,2),"Seg","Ter","Qua","Qui","Sex","Sáb","Dom"))</f>
        <v>0</v>
      </c>
      <c r="M2533" s="27">
        <f>IF($E2533="","",IF($G2533&lt;&gt;"",$G2533,IFERROR(INDEX(ProcValor,MATCH($E2533,ProcNome,0)),0)))</f>
        <v>0</v>
      </c>
      <c r="N2533" s="27">
        <f>IF($M2533="","",IF($F2533="Compareceu",$M2533,0))</f>
        <v>0</v>
      </c>
      <c r="O2533" s="27">
        <f>IF($M2533="","",IF($F2533="Faltou",$M2533,0))</f>
        <v>0</v>
      </c>
      <c r="P2533" s="27">
        <f>IF($M2533="","",IF($F2533="Compareceu",MAX(0,$M2533-N($H2533)),0))</f>
        <v>0</v>
      </c>
      <c r="Q2533" s="19">
        <f>IF(AND($F2533="Compareceu",$E2533&lt;&gt;"",$A2533&lt;&gt;""),IF(IFERROR(INDEX(ProcRet,MATCH($E2533,ProcNome,0)),0)&gt;0,$A2533+INDEX(ProcRet,MATCH($E2533,ProcNome,0)),""),"")</f>
        <v>0</v>
      </c>
      <c r="R2533" s="26">
        <f>IF($Q2533="","",IF(COUNTIFS(AgPac,$D2533,AgData,"&gt;"&amp;$A2533,AgStatus,"&lt;&gt;Cancelado",AgStatus,"&lt;&gt;Remarcado")&gt;0,"Sim","Não"))</f>
        <v>0</v>
      </c>
      <c r="S2533" s="28">
        <f>IF($A2533="","",IF(AND($F2533="Agendado",$A2533-Hoje&gt;=0,$A2533-Hoje&lt;=DiasConf),"CONFIRMAR",IF(AND($A2533&lt;Hoje,OR($F2533="Agendado",$F2533="Confirmado")),"Atualizar status",IF(AND($F2533="Compareceu",$P2533&gt;0.005),"Cobrar",IF($F2533="Faltou","Falta: reagendar","")))))</f>
        <v>0</v>
      </c>
      <c r="T2533" s="29">
        <f>IF($A2533="","",DATE(YEAR($A2533),MONTH($A2533),1))</f>
        <v>0</v>
      </c>
      <c r="U2533" s="30">
        <f>IF($S2533="CONFIRMAR",MAX($U$4:$U2532)+1,"")</f>
        <v>0</v>
      </c>
      <c r="V2533" s="30">
        <f>IF(AND($R2533="Não",$Q2533&lt;&gt;"",$Q2533&lt;=Hoje+JanelaRet,$Q2533&gt;=Hoje-60),MAX($V$4:$V2532)+1,"")</f>
        <v>0</v>
      </c>
    </row>
    <row r="2534" spans="1:22">
      <c r="A2534" s="16"/>
      <c r="B2534" s="23"/>
      <c r="C2534" s="15"/>
      <c r="D2534" s="15"/>
      <c r="E2534" s="15"/>
      <c r="F2534" s="24"/>
      <c r="G2534" s="17"/>
      <c r="H2534" s="17"/>
      <c r="I2534" s="15"/>
      <c r="J2534" s="25">
        <f>IF($D2534="","",IFERROR(INDEX(PacNome,MATCH($D2534,PacCod,0)),"Paciente não cadastrado"))</f>
        <v>0</v>
      </c>
      <c r="K2534" s="26">
        <f>IF($D2534="","",IFERROR(INDEX(PacConv,MATCH($D2534,PacCod,0))&amp;"",""))</f>
        <v>0</v>
      </c>
      <c r="L2534" s="26">
        <f>IF($A2534="","",CHOOSE(WEEKDAY($A2534,2),"Seg","Ter","Qua","Qui","Sex","Sáb","Dom"))</f>
        <v>0</v>
      </c>
      <c r="M2534" s="27">
        <f>IF($E2534="","",IF($G2534&lt;&gt;"",$G2534,IFERROR(INDEX(ProcValor,MATCH($E2534,ProcNome,0)),0)))</f>
        <v>0</v>
      </c>
      <c r="N2534" s="27">
        <f>IF($M2534="","",IF($F2534="Compareceu",$M2534,0))</f>
        <v>0</v>
      </c>
      <c r="O2534" s="27">
        <f>IF($M2534="","",IF($F2534="Faltou",$M2534,0))</f>
        <v>0</v>
      </c>
      <c r="P2534" s="27">
        <f>IF($M2534="","",IF($F2534="Compareceu",MAX(0,$M2534-N($H2534)),0))</f>
        <v>0</v>
      </c>
      <c r="Q2534" s="19">
        <f>IF(AND($F2534="Compareceu",$E2534&lt;&gt;"",$A2534&lt;&gt;""),IF(IFERROR(INDEX(ProcRet,MATCH($E2534,ProcNome,0)),0)&gt;0,$A2534+INDEX(ProcRet,MATCH($E2534,ProcNome,0)),""),"")</f>
        <v>0</v>
      </c>
      <c r="R2534" s="26">
        <f>IF($Q2534="","",IF(COUNTIFS(AgPac,$D2534,AgData,"&gt;"&amp;$A2534,AgStatus,"&lt;&gt;Cancelado",AgStatus,"&lt;&gt;Remarcado")&gt;0,"Sim","Não"))</f>
        <v>0</v>
      </c>
      <c r="S2534" s="28">
        <f>IF($A2534="","",IF(AND($F2534="Agendado",$A2534-Hoje&gt;=0,$A2534-Hoje&lt;=DiasConf),"CONFIRMAR",IF(AND($A2534&lt;Hoje,OR($F2534="Agendado",$F2534="Confirmado")),"Atualizar status",IF(AND($F2534="Compareceu",$P2534&gt;0.005),"Cobrar",IF($F2534="Faltou","Falta: reagendar","")))))</f>
        <v>0</v>
      </c>
      <c r="T2534" s="29">
        <f>IF($A2534="","",DATE(YEAR($A2534),MONTH($A2534),1))</f>
        <v>0</v>
      </c>
      <c r="U2534" s="30">
        <f>IF($S2534="CONFIRMAR",MAX($U$4:$U2533)+1,"")</f>
        <v>0</v>
      </c>
      <c r="V2534" s="30">
        <f>IF(AND($R2534="Não",$Q2534&lt;&gt;"",$Q2534&lt;=Hoje+JanelaRet,$Q2534&gt;=Hoje-60),MAX($V$4:$V2533)+1,"")</f>
        <v>0</v>
      </c>
    </row>
    <row r="2535" spans="1:22">
      <c r="A2535" s="16"/>
      <c r="B2535" s="23"/>
      <c r="C2535" s="15"/>
      <c r="D2535" s="15"/>
      <c r="E2535" s="15"/>
      <c r="F2535" s="24"/>
      <c r="G2535" s="17"/>
      <c r="H2535" s="17"/>
      <c r="I2535" s="15"/>
      <c r="J2535" s="25">
        <f>IF($D2535="","",IFERROR(INDEX(PacNome,MATCH($D2535,PacCod,0)),"Paciente não cadastrado"))</f>
        <v>0</v>
      </c>
      <c r="K2535" s="26">
        <f>IF($D2535="","",IFERROR(INDEX(PacConv,MATCH($D2535,PacCod,0))&amp;"",""))</f>
        <v>0</v>
      </c>
      <c r="L2535" s="26">
        <f>IF($A2535="","",CHOOSE(WEEKDAY($A2535,2),"Seg","Ter","Qua","Qui","Sex","Sáb","Dom"))</f>
        <v>0</v>
      </c>
      <c r="M2535" s="27">
        <f>IF($E2535="","",IF($G2535&lt;&gt;"",$G2535,IFERROR(INDEX(ProcValor,MATCH($E2535,ProcNome,0)),0)))</f>
        <v>0</v>
      </c>
      <c r="N2535" s="27">
        <f>IF($M2535="","",IF($F2535="Compareceu",$M2535,0))</f>
        <v>0</v>
      </c>
      <c r="O2535" s="27">
        <f>IF($M2535="","",IF($F2535="Faltou",$M2535,0))</f>
        <v>0</v>
      </c>
      <c r="P2535" s="27">
        <f>IF($M2535="","",IF($F2535="Compareceu",MAX(0,$M2535-N($H2535)),0))</f>
        <v>0</v>
      </c>
      <c r="Q2535" s="19">
        <f>IF(AND($F2535="Compareceu",$E2535&lt;&gt;"",$A2535&lt;&gt;""),IF(IFERROR(INDEX(ProcRet,MATCH($E2535,ProcNome,0)),0)&gt;0,$A2535+INDEX(ProcRet,MATCH($E2535,ProcNome,0)),""),"")</f>
        <v>0</v>
      </c>
      <c r="R2535" s="26">
        <f>IF($Q2535="","",IF(COUNTIFS(AgPac,$D2535,AgData,"&gt;"&amp;$A2535,AgStatus,"&lt;&gt;Cancelado",AgStatus,"&lt;&gt;Remarcado")&gt;0,"Sim","Não"))</f>
        <v>0</v>
      </c>
      <c r="S2535" s="28">
        <f>IF($A2535="","",IF(AND($F2535="Agendado",$A2535-Hoje&gt;=0,$A2535-Hoje&lt;=DiasConf),"CONFIRMAR",IF(AND($A2535&lt;Hoje,OR($F2535="Agendado",$F2535="Confirmado")),"Atualizar status",IF(AND($F2535="Compareceu",$P2535&gt;0.005),"Cobrar",IF($F2535="Faltou","Falta: reagendar","")))))</f>
        <v>0</v>
      </c>
      <c r="T2535" s="29">
        <f>IF($A2535="","",DATE(YEAR($A2535),MONTH($A2535),1))</f>
        <v>0</v>
      </c>
      <c r="U2535" s="30">
        <f>IF($S2535="CONFIRMAR",MAX($U$4:$U2534)+1,"")</f>
        <v>0</v>
      </c>
      <c r="V2535" s="30">
        <f>IF(AND($R2535="Não",$Q2535&lt;&gt;"",$Q2535&lt;=Hoje+JanelaRet,$Q2535&gt;=Hoje-60),MAX($V$4:$V2534)+1,"")</f>
        <v>0</v>
      </c>
    </row>
    <row r="2536" spans="1:22">
      <c r="A2536" s="16"/>
      <c r="B2536" s="23"/>
      <c r="C2536" s="15"/>
      <c r="D2536" s="15"/>
      <c r="E2536" s="15"/>
      <c r="F2536" s="24"/>
      <c r="G2536" s="17"/>
      <c r="H2536" s="17"/>
      <c r="I2536" s="15"/>
      <c r="J2536" s="25">
        <f>IF($D2536="","",IFERROR(INDEX(PacNome,MATCH($D2536,PacCod,0)),"Paciente não cadastrado"))</f>
        <v>0</v>
      </c>
      <c r="K2536" s="26">
        <f>IF($D2536="","",IFERROR(INDEX(PacConv,MATCH($D2536,PacCod,0))&amp;"",""))</f>
        <v>0</v>
      </c>
      <c r="L2536" s="26">
        <f>IF($A2536="","",CHOOSE(WEEKDAY($A2536,2),"Seg","Ter","Qua","Qui","Sex","Sáb","Dom"))</f>
        <v>0</v>
      </c>
      <c r="M2536" s="27">
        <f>IF($E2536="","",IF($G2536&lt;&gt;"",$G2536,IFERROR(INDEX(ProcValor,MATCH($E2536,ProcNome,0)),0)))</f>
        <v>0</v>
      </c>
      <c r="N2536" s="27">
        <f>IF($M2536="","",IF($F2536="Compareceu",$M2536,0))</f>
        <v>0</v>
      </c>
      <c r="O2536" s="27">
        <f>IF($M2536="","",IF($F2536="Faltou",$M2536,0))</f>
        <v>0</v>
      </c>
      <c r="P2536" s="27">
        <f>IF($M2536="","",IF($F2536="Compareceu",MAX(0,$M2536-N($H2536)),0))</f>
        <v>0</v>
      </c>
      <c r="Q2536" s="19">
        <f>IF(AND($F2536="Compareceu",$E2536&lt;&gt;"",$A2536&lt;&gt;""),IF(IFERROR(INDEX(ProcRet,MATCH($E2536,ProcNome,0)),0)&gt;0,$A2536+INDEX(ProcRet,MATCH($E2536,ProcNome,0)),""),"")</f>
        <v>0</v>
      </c>
      <c r="R2536" s="26">
        <f>IF($Q2536="","",IF(COUNTIFS(AgPac,$D2536,AgData,"&gt;"&amp;$A2536,AgStatus,"&lt;&gt;Cancelado",AgStatus,"&lt;&gt;Remarcado")&gt;0,"Sim","Não"))</f>
        <v>0</v>
      </c>
      <c r="S2536" s="28">
        <f>IF($A2536="","",IF(AND($F2536="Agendado",$A2536-Hoje&gt;=0,$A2536-Hoje&lt;=DiasConf),"CONFIRMAR",IF(AND($A2536&lt;Hoje,OR($F2536="Agendado",$F2536="Confirmado")),"Atualizar status",IF(AND($F2536="Compareceu",$P2536&gt;0.005),"Cobrar",IF($F2536="Faltou","Falta: reagendar","")))))</f>
        <v>0</v>
      </c>
      <c r="T2536" s="29">
        <f>IF($A2536="","",DATE(YEAR($A2536),MONTH($A2536),1))</f>
        <v>0</v>
      </c>
      <c r="U2536" s="30">
        <f>IF($S2536="CONFIRMAR",MAX($U$4:$U2535)+1,"")</f>
        <v>0</v>
      </c>
      <c r="V2536" s="30">
        <f>IF(AND($R2536="Não",$Q2536&lt;&gt;"",$Q2536&lt;=Hoje+JanelaRet,$Q2536&gt;=Hoje-60),MAX($V$4:$V2535)+1,"")</f>
        <v>0</v>
      </c>
    </row>
    <row r="2537" spans="1:22">
      <c r="A2537" s="16"/>
      <c r="B2537" s="23"/>
      <c r="C2537" s="15"/>
      <c r="D2537" s="15"/>
      <c r="E2537" s="15"/>
      <c r="F2537" s="24"/>
      <c r="G2537" s="17"/>
      <c r="H2537" s="17"/>
      <c r="I2537" s="15"/>
      <c r="J2537" s="25">
        <f>IF($D2537="","",IFERROR(INDEX(PacNome,MATCH($D2537,PacCod,0)),"Paciente não cadastrado"))</f>
        <v>0</v>
      </c>
      <c r="K2537" s="26">
        <f>IF($D2537="","",IFERROR(INDEX(PacConv,MATCH($D2537,PacCod,0))&amp;"",""))</f>
        <v>0</v>
      </c>
      <c r="L2537" s="26">
        <f>IF($A2537="","",CHOOSE(WEEKDAY($A2537,2),"Seg","Ter","Qua","Qui","Sex","Sáb","Dom"))</f>
        <v>0</v>
      </c>
      <c r="M2537" s="27">
        <f>IF($E2537="","",IF($G2537&lt;&gt;"",$G2537,IFERROR(INDEX(ProcValor,MATCH($E2537,ProcNome,0)),0)))</f>
        <v>0</v>
      </c>
      <c r="N2537" s="27">
        <f>IF($M2537="","",IF($F2537="Compareceu",$M2537,0))</f>
        <v>0</v>
      </c>
      <c r="O2537" s="27">
        <f>IF($M2537="","",IF($F2537="Faltou",$M2537,0))</f>
        <v>0</v>
      </c>
      <c r="P2537" s="27">
        <f>IF($M2537="","",IF($F2537="Compareceu",MAX(0,$M2537-N($H2537)),0))</f>
        <v>0</v>
      </c>
      <c r="Q2537" s="19">
        <f>IF(AND($F2537="Compareceu",$E2537&lt;&gt;"",$A2537&lt;&gt;""),IF(IFERROR(INDEX(ProcRet,MATCH($E2537,ProcNome,0)),0)&gt;0,$A2537+INDEX(ProcRet,MATCH($E2537,ProcNome,0)),""),"")</f>
        <v>0</v>
      </c>
      <c r="R2537" s="26">
        <f>IF($Q2537="","",IF(COUNTIFS(AgPac,$D2537,AgData,"&gt;"&amp;$A2537,AgStatus,"&lt;&gt;Cancelado",AgStatus,"&lt;&gt;Remarcado")&gt;0,"Sim","Não"))</f>
        <v>0</v>
      </c>
      <c r="S2537" s="28">
        <f>IF($A2537="","",IF(AND($F2537="Agendado",$A2537-Hoje&gt;=0,$A2537-Hoje&lt;=DiasConf),"CONFIRMAR",IF(AND($A2537&lt;Hoje,OR($F2537="Agendado",$F2537="Confirmado")),"Atualizar status",IF(AND($F2537="Compareceu",$P2537&gt;0.005),"Cobrar",IF($F2537="Faltou","Falta: reagendar","")))))</f>
        <v>0</v>
      </c>
      <c r="T2537" s="29">
        <f>IF($A2537="","",DATE(YEAR($A2537),MONTH($A2537),1))</f>
        <v>0</v>
      </c>
      <c r="U2537" s="30">
        <f>IF($S2537="CONFIRMAR",MAX($U$4:$U2536)+1,"")</f>
        <v>0</v>
      </c>
      <c r="V2537" s="30">
        <f>IF(AND($R2537="Não",$Q2537&lt;&gt;"",$Q2537&lt;=Hoje+JanelaRet,$Q2537&gt;=Hoje-60),MAX($V$4:$V2536)+1,"")</f>
        <v>0</v>
      </c>
    </row>
    <row r="2538" spans="1:22">
      <c r="A2538" s="16"/>
      <c r="B2538" s="23"/>
      <c r="C2538" s="15"/>
      <c r="D2538" s="15"/>
      <c r="E2538" s="15"/>
      <c r="F2538" s="24"/>
      <c r="G2538" s="17"/>
      <c r="H2538" s="17"/>
      <c r="I2538" s="15"/>
      <c r="J2538" s="25">
        <f>IF($D2538="","",IFERROR(INDEX(PacNome,MATCH($D2538,PacCod,0)),"Paciente não cadastrado"))</f>
        <v>0</v>
      </c>
      <c r="K2538" s="26">
        <f>IF($D2538="","",IFERROR(INDEX(PacConv,MATCH($D2538,PacCod,0))&amp;"",""))</f>
        <v>0</v>
      </c>
      <c r="L2538" s="26">
        <f>IF($A2538="","",CHOOSE(WEEKDAY($A2538,2),"Seg","Ter","Qua","Qui","Sex","Sáb","Dom"))</f>
        <v>0</v>
      </c>
      <c r="M2538" s="27">
        <f>IF($E2538="","",IF($G2538&lt;&gt;"",$G2538,IFERROR(INDEX(ProcValor,MATCH($E2538,ProcNome,0)),0)))</f>
        <v>0</v>
      </c>
      <c r="N2538" s="27">
        <f>IF($M2538="","",IF($F2538="Compareceu",$M2538,0))</f>
        <v>0</v>
      </c>
      <c r="O2538" s="27">
        <f>IF($M2538="","",IF($F2538="Faltou",$M2538,0))</f>
        <v>0</v>
      </c>
      <c r="P2538" s="27">
        <f>IF($M2538="","",IF($F2538="Compareceu",MAX(0,$M2538-N($H2538)),0))</f>
        <v>0</v>
      </c>
      <c r="Q2538" s="19">
        <f>IF(AND($F2538="Compareceu",$E2538&lt;&gt;"",$A2538&lt;&gt;""),IF(IFERROR(INDEX(ProcRet,MATCH($E2538,ProcNome,0)),0)&gt;0,$A2538+INDEX(ProcRet,MATCH($E2538,ProcNome,0)),""),"")</f>
        <v>0</v>
      </c>
      <c r="R2538" s="26">
        <f>IF($Q2538="","",IF(COUNTIFS(AgPac,$D2538,AgData,"&gt;"&amp;$A2538,AgStatus,"&lt;&gt;Cancelado",AgStatus,"&lt;&gt;Remarcado")&gt;0,"Sim","Não"))</f>
        <v>0</v>
      </c>
      <c r="S2538" s="28">
        <f>IF($A2538="","",IF(AND($F2538="Agendado",$A2538-Hoje&gt;=0,$A2538-Hoje&lt;=DiasConf),"CONFIRMAR",IF(AND($A2538&lt;Hoje,OR($F2538="Agendado",$F2538="Confirmado")),"Atualizar status",IF(AND($F2538="Compareceu",$P2538&gt;0.005),"Cobrar",IF($F2538="Faltou","Falta: reagendar","")))))</f>
        <v>0</v>
      </c>
      <c r="T2538" s="29">
        <f>IF($A2538="","",DATE(YEAR($A2538),MONTH($A2538),1))</f>
        <v>0</v>
      </c>
      <c r="U2538" s="30">
        <f>IF($S2538="CONFIRMAR",MAX($U$4:$U2537)+1,"")</f>
        <v>0</v>
      </c>
      <c r="V2538" s="30">
        <f>IF(AND($R2538="Não",$Q2538&lt;&gt;"",$Q2538&lt;=Hoje+JanelaRet,$Q2538&gt;=Hoje-60),MAX($V$4:$V2537)+1,"")</f>
        <v>0</v>
      </c>
    </row>
    <row r="2539" spans="1:22">
      <c r="A2539" s="16"/>
      <c r="B2539" s="23"/>
      <c r="C2539" s="15"/>
      <c r="D2539" s="15"/>
      <c r="E2539" s="15"/>
      <c r="F2539" s="24"/>
      <c r="G2539" s="17"/>
      <c r="H2539" s="17"/>
      <c r="I2539" s="15"/>
      <c r="J2539" s="25">
        <f>IF($D2539="","",IFERROR(INDEX(PacNome,MATCH($D2539,PacCod,0)),"Paciente não cadastrado"))</f>
        <v>0</v>
      </c>
      <c r="K2539" s="26">
        <f>IF($D2539="","",IFERROR(INDEX(PacConv,MATCH($D2539,PacCod,0))&amp;"",""))</f>
        <v>0</v>
      </c>
      <c r="L2539" s="26">
        <f>IF($A2539="","",CHOOSE(WEEKDAY($A2539,2),"Seg","Ter","Qua","Qui","Sex","Sáb","Dom"))</f>
        <v>0</v>
      </c>
      <c r="M2539" s="27">
        <f>IF($E2539="","",IF($G2539&lt;&gt;"",$G2539,IFERROR(INDEX(ProcValor,MATCH($E2539,ProcNome,0)),0)))</f>
        <v>0</v>
      </c>
      <c r="N2539" s="27">
        <f>IF($M2539="","",IF($F2539="Compareceu",$M2539,0))</f>
        <v>0</v>
      </c>
      <c r="O2539" s="27">
        <f>IF($M2539="","",IF($F2539="Faltou",$M2539,0))</f>
        <v>0</v>
      </c>
      <c r="P2539" s="27">
        <f>IF($M2539="","",IF($F2539="Compareceu",MAX(0,$M2539-N($H2539)),0))</f>
        <v>0</v>
      </c>
      <c r="Q2539" s="19">
        <f>IF(AND($F2539="Compareceu",$E2539&lt;&gt;"",$A2539&lt;&gt;""),IF(IFERROR(INDEX(ProcRet,MATCH($E2539,ProcNome,0)),0)&gt;0,$A2539+INDEX(ProcRet,MATCH($E2539,ProcNome,0)),""),"")</f>
        <v>0</v>
      </c>
      <c r="R2539" s="26">
        <f>IF($Q2539="","",IF(COUNTIFS(AgPac,$D2539,AgData,"&gt;"&amp;$A2539,AgStatus,"&lt;&gt;Cancelado",AgStatus,"&lt;&gt;Remarcado")&gt;0,"Sim","Não"))</f>
        <v>0</v>
      </c>
      <c r="S2539" s="28">
        <f>IF($A2539="","",IF(AND($F2539="Agendado",$A2539-Hoje&gt;=0,$A2539-Hoje&lt;=DiasConf),"CONFIRMAR",IF(AND($A2539&lt;Hoje,OR($F2539="Agendado",$F2539="Confirmado")),"Atualizar status",IF(AND($F2539="Compareceu",$P2539&gt;0.005),"Cobrar",IF($F2539="Faltou","Falta: reagendar","")))))</f>
        <v>0</v>
      </c>
      <c r="T2539" s="29">
        <f>IF($A2539="","",DATE(YEAR($A2539),MONTH($A2539),1))</f>
        <v>0</v>
      </c>
      <c r="U2539" s="30">
        <f>IF($S2539="CONFIRMAR",MAX($U$4:$U2538)+1,"")</f>
        <v>0</v>
      </c>
      <c r="V2539" s="30">
        <f>IF(AND($R2539="Não",$Q2539&lt;&gt;"",$Q2539&lt;=Hoje+JanelaRet,$Q2539&gt;=Hoje-60),MAX($V$4:$V2538)+1,"")</f>
        <v>0</v>
      </c>
    </row>
    <row r="2540" spans="1:22">
      <c r="A2540" s="16"/>
      <c r="B2540" s="23"/>
      <c r="C2540" s="15"/>
      <c r="D2540" s="15"/>
      <c r="E2540" s="15"/>
      <c r="F2540" s="24"/>
      <c r="G2540" s="17"/>
      <c r="H2540" s="17"/>
      <c r="I2540" s="15"/>
      <c r="J2540" s="25">
        <f>IF($D2540="","",IFERROR(INDEX(PacNome,MATCH($D2540,PacCod,0)),"Paciente não cadastrado"))</f>
        <v>0</v>
      </c>
      <c r="K2540" s="26">
        <f>IF($D2540="","",IFERROR(INDEX(PacConv,MATCH($D2540,PacCod,0))&amp;"",""))</f>
        <v>0</v>
      </c>
      <c r="L2540" s="26">
        <f>IF($A2540="","",CHOOSE(WEEKDAY($A2540,2),"Seg","Ter","Qua","Qui","Sex","Sáb","Dom"))</f>
        <v>0</v>
      </c>
      <c r="M2540" s="27">
        <f>IF($E2540="","",IF($G2540&lt;&gt;"",$G2540,IFERROR(INDEX(ProcValor,MATCH($E2540,ProcNome,0)),0)))</f>
        <v>0</v>
      </c>
      <c r="N2540" s="27">
        <f>IF($M2540="","",IF($F2540="Compareceu",$M2540,0))</f>
        <v>0</v>
      </c>
      <c r="O2540" s="27">
        <f>IF($M2540="","",IF($F2540="Faltou",$M2540,0))</f>
        <v>0</v>
      </c>
      <c r="P2540" s="27">
        <f>IF($M2540="","",IF($F2540="Compareceu",MAX(0,$M2540-N($H2540)),0))</f>
        <v>0</v>
      </c>
      <c r="Q2540" s="19">
        <f>IF(AND($F2540="Compareceu",$E2540&lt;&gt;"",$A2540&lt;&gt;""),IF(IFERROR(INDEX(ProcRet,MATCH($E2540,ProcNome,0)),0)&gt;0,$A2540+INDEX(ProcRet,MATCH($E2540,ProcNome,0)),""),"")</f>
        <v>0</v>
      </c>
      <c r="R2540" s="26">
        <f>IF($Q2540="","",IF(COUNTIFS(AgPac,$D2540,AgData,"&gt;"&amp;$A2540,AgStatus,"&lt;&gt;Cancelado",AgStatus,"&lt;&gt;Remarcado")&gt;0,"Sim","Não"))</f>
        <v>0</v>
      </c>
      <c r="S2540" s="28">
        <f>IF($A2540="","",IF(AND($F2540="Agendado",$A2540-Hoje&gt;=0,$A2540-Hoje&lt;=DiasConf),"CONFIRMAR",IF(AND($A2540&lt;Hoje,OR($F2540="Agendado",$F2540="Confirmado")),"Atualizar status",IF(AND($F2540="Compareceu",$P2540&gt;0.005),"Cobrar",IF($F2540="Faltou","Falta: reagendar","")))))</f>
        <v>0</v>
      </c>
      <c r="T2540" s="29">
        <f>IF($A2540="","",DATE(YEAR($A2540),MONTH($A2540),1))</f>
        <v>0</v>
      </c>
      <c r="U2540" s="30">
        <f>IF($S2540="CONFIRMAR",MAX($U$4:$U2539)+1,"")</f>
        <v>0</v>
      </c>
      <c r="V2540" s="30">
        <f>IF(AND($R2540="Não",$Q2540&lt;&gt;"",$Q2540&lt;=Hoje+JanelaRet,$Q2540&gt;=Hoje-60),MAX($V$4:$V2539)+1,"")</f>
        <v>0</v>
      </c>
    </row>
    <row r="2541" spans="1:22">
      <c r="A2541" s="16"/>
      <c r="B2541" s="23"/>
      <c r="C2541" s="15"/>
      <c r="D2541" s="15"/>
      <c r="E2541" s="15"/>
      <c r="F2541" s="24"/>
      <c r="G2541" s="17"/>
      <c r="H2541" s="17"/>
      <c r="I2541" s="15"/>
      <c r="J2541" s="25">
        <f>IF($D2541="","",IFERROR(INDEX(PacNome,MATCH($D2541,PacCod,0)),"Paciente não cadastrado"))</f>
        <v>0</v>
      </c>
      <c r="K2541" s="26">
        <f>IF($D2541="","",IFERROR(INDEX(PacConv,MATCH($D2541,PacCod,0))&amp;"",""))</f>
        <v>0</v>
      </c>
      <c r="L2541" s="26">
        <f>IF($A2541="","",CHOOSE(WEEKDAY($A2541,2),"Seg","Ter","Qua","Qui","Sex","Sáb","Dom"))</f>
        <v>0</v>
      </c>
      <c r="M2541" s="27">
        <f>IF($E2541="","",IF($G2541&lt;&gt;"",$G2541,IFERROR(INDEX(ProcValor,MATCH($E2541,ProcNome,0)),0)))</f>
        <v>0</v>
      </c>
      <c r="N2541" s="27">
        <f>IF($M2541="","",IF($F2541="Compareceu",$M2541,0))</f>
        <v>0</v>
      </c>
      <c r="O2541" s="27">
        <f>IF($M2541="","",IF($F2541="Faltou",$M2541,0))</f>
        <v>0</v>
      </c>
      <c r="P2541" s="27">
        <f>IF($M2541="","",IF($F2541="Compareceu",MAX(0,$M2541-N($H2541)),0))</f>
        <v>0</v>
      </c>
      <c r="Q2541" s="19">
        <f>IF(AND($F2541="Compareceu",$E2541&lt;&gt;"",$A2541&lt;&gt;""),IF(IFERROR(INDEX(ProcRet,MATCH($E2541,ProcNome,0)),0)&gt;0,$A2541+INDEX(ProcRet,MATCH($E2541,ProcNome,0)),""),"")</f>
        <v>0</v>
      </c>
      <c r="R2541" s="26">
        <f>IF($Q2541="","",IF(COUNTIFS(AgPac,$D2541,AgData,"&gt;"&amp;$A2541,AgStatus,"&lt;&gt;Cancelado",AgStatus,"&lt;&gt;Remarcado")&gt;0,"Sim","Não"))</f>
        <v>0</v>
      </c>
      <c r="S2541" s="28">
        <f>IF($A2541="","",IF(AND($F2541="Agendado",$A2541-Hoje&gt;=0,$A2541-Hoje&lt;=DiasConf),"CONFIRMAR",IF(AND($A2541&lt;Hoje,OR($F2541="Agendado",$F2541="Confirmado")),"Atualizar status",IF(AND($F2541="Compareceu",$P2541&gt;0.005),"Cobrar",IF($F2541="Faltou","Falta: reagendar","")))))</f>
        <v>0</v>
      </c>
      <c r="T2541" s="29">
        <f>IF($A2541="","",DATE(YEAR($A2541),MONTH($A2541),1))</f>
        <v>0</v>
      </c>
      <c r="U2541" s="30">
        <f>IF($S2541="CONFIRMAR",MAX($U$4:$U2540)+1,"")</f>
        <v>0</v>
      </c>
      <c r="V2541" s="30">
        <f>IF(AND($R2541="Não",$Q2541&lt;&gt;"",$Q2541&lt;=Hoje+JanelaRet,$Q2541&gt;=Hoje-60),MAX($V$4:$V2540)+1,"")</f>
        <v>0</v>
      </c>
    </row>
    <row r="2542" spans="1:22">
      <c r="A2542" s="16"/>
      <c r="B2542" s="23"/>
      <c r="C2542" s="15"/>
      <c r="D2542" s="15"/>
      <c r="E2542" s="15"/>
      <c r="F2542" s="24"/>
      <c r="G2542" s="17"/>
      <c r="H2542" s="17"/>
      <c r="I2542" s="15"/>
      <c r="J2542" s="25">
        <f>IF($D2542="","",IFERROR(INDEX(PacNome,MATCH($D2542,PacCod,0)),"Paciente não cadastrado"))</f>
        <v>0</v>
      </c>
      <c r="K2542" s="26">
        <f>IF($D2542="","",IFERROR(INDEX(PacConv,MATCH($D2542,PacCod,0))&amp;"",""))</f>
        <v>0</v>
      </c>
      <c r="L2542" s="26">
        <f>IF($A2542="","",CHOOSE(WEEKDAY($A2542,2),"Seg","Ter","Qua","Qui","Sex","Sáb","Dom"))</f>
        <v>0</v>
      </c>
      <c r="M2542" s="27">
        <f>IF($E2542="","",IF($G2542&lt;&gt;"",$G2542,IFERROR(INDEX(ProcValor,MATCH($E2542,ProcNome,0)),0)))</f>
        <v>0</v>
      </c>
      <c r="N2542" s="27">
        <f>IF($M2542="","",IF($F2542="Compareceu",$M2542,0))</f>
        <v>0</v>
      </c>
      <c r="O2542" s="27">
        <f>IF($M2542="","",IF($F2542="Faltou",$M2542,0))</f>
        <v>0</v>
      </c>
      <c r="P2542" s="27">
        <f>IF($M2542="","",IF($F2542="Compareceu",MAX(0,$M2542-N($H2542)),0))</f>
        <v>0</v>
      </c>
      <c r="Q2542" s="19">
        <f>IF(AND($F2542="Compareceu",$E2542&lt;&gt;"",$A2542&lt;&gt;""),IF(IFERROR(INDEX(ProcRet,MATCH($E2542,ProcNome,0)),0)&gt;0,$A2542+INDEX(ProcRet,MATCH($E2542,ProcNome,0)),""),"")</f>
        <v>0</v>
      </c>
      <c r="R2542" s="26">
        <f>IF($Q2542="","",IF(COUNTIFS(AgPac,$D2542,AgData,"&gt;"&amp;$A2542,AgStatus,"&lt;&gt;Cancelado",AgStatus,"&lt;&gt;Remarcado")&gt;0,"Sim","Não"))</f>
        <v>0</v>
      </c>
      <c r="S2542" s="28">
        <f>IF($A2542="","",IF(AND($F2542="Agendado",$A2542-Hoje&gt;=0,$A2542-Hoje&lt;=DiasConf),"CONFIRMAR",IF(AND($A2542&lt;Hoje,OR($F2542="Agendado",$F2542="Confirmado")),"Atualizar status",IF(AND($F2542="Compareceu",$P2542&gt;0.005),"Cobrar",IF($F2542="Faltou","Falta: reagendar","")))))</f>
        <v>0</v>
      </c>
      <c r="T2542" s="29">
        <f>IF($A2542="","",DATE(YEAR($A2542),MONTH($A2542),1))</f>
        <v>0</v>
      </c>
      <c r="U2542" s="30">
        <f>IF($S2542="CONFIRMAR",MAX($U$4:$U2541)+1,"")</f>
        <v>0</v>
      </c>
      <c r="V2542" s="30">
        <f>IF(AND($R2542="Não",$Q2542&lt;&gt;"",$Q2542&lt;=Hoje+JanelaRet,$Q2542&gt;=Hoje-60),MAX($V$4:$V2541)+1,"")</f>
        <v>0</v>
      </c>
    </row>
    <row r="2543" spans="1:22">
      <c r="A2543" s="16"/>
      <c r="B2543" s="23"/>
      <c r="C2543" s="15"/>
      <c r="D2543" s="15"/>
      <c r="E2543" s="15"/>
      <c r="F2543" s="24"/>
      <c r="G2543" s="17"/>
      <c r="H2543" s="17"/>
      <c r="I2543" s="15"/>
      <c r="J2543" s="25">
        <f>IF($D2543="","",IFERROR(INDEX(PacNome,MATCH($D2543,PacCod,0)),"Paciente não cadastrado"))</f>
        <v>0</v>
      </c>
      <c r="K2543" s="26">
        <f>IF($D2543="","",IFERROR(INDEX(PacConv,MATCH($D2543,PacCod,0))&amp;"",""))</f>
        <v>0</v>
      </c>
      <c r="L2543" s="26">
        <f>IF($A2543="","",CHOOSE(WEEKDAY($A2543,2),"Seg","Ter","Qua","Qui","Sex","Sáb","Dom"))</f>
        <v>0</v>
      </c>
      <c r="M2543" s="27">
        <f>IF($E2543="","",IF($G2543&lt;&gt;"",$G2543,IFERROR(INDEX(ProcValor,MATCH($E2543,ProcNome,0)),0)))</f>
        <v>0</v>
      </c>
      <c r="N2543" s="27">
        <f>IF($M2543="","",IF($F2543="Compareceu",$M2543,0))</f>
        <v>0</v>
      </c>
      <c r="O2543" s="27">
        <f>IF($M2543="","",IF($F2543="Faltou",$M2543,0))</f>
        <v>0</v>
      </c>
      <c r="P2543" s="27">
        <f>IF($M2543="","",IF($F2543="Compareceu",MAX(0,$M2543-N($H2543)),0))</f>
        <v>0</v>
      </c>
      <c r="Q2543" s="19">
        <f>IF(AND($F2543="Compareceu",$E2543&lt;&gt;"",$A2543&lt;&gt;""),IF(IFERROR(INDEX(ProcRet,MATCH($E2543,ProcNome,0)),0)&gt;0,$A2543+INDEX(ProcRet,MATCH($E2543,ProcNome,0)),""),"")</f>
        <v>0</v>
      </c>
      <c r="R2543" s="26">
        <f>IF($Q2543="","",IF(COUNTIFS(AgPac,$D2543,AgData,"&gt;"&amp;$A2543,AgStatus,"&lt;&gt;Cancelado",AgStatus,"&lt;&gt;Remarcado")&gt;0,"Sim","Não"))</f>
        <v>0</v>
      </c>
      <c r="S2543" s="28">
        <f>IF($A2543="","",IF(AND($F2543="Agendado",$A2543-Hoje&gt;=0,$A2543-Hoje&lt;=DiasConf),"CONFIRMAR",IF(AND($A2543&lt;Hoje,OR($F2543="Agendado",$F2543="Confirmado")),"Atualizar status",IF(AND($F2543="Compareceu",$P2543&gt;0.005),"Cobrar",IF($F2543="Faltou","Falta: reagendar","")))))</f>
        <v>0</v>
      </c>
      <c r="T2543" s="29">
        <f>IF($A2543="","",DATE(YEAR($A2543),MONTH($A2543),1))</f>
        <v>0</v>
      </c>
      <c r="U2543" s="30">
        <f>IF($S2543="CONFIRMAR",MAX($U$4:$U2542)+1,"")</f>
        <v>0</v>
      </c>
      <c r="V2543" s="30">
        <f>IF(AND($R2543="Não",$Q2543&lt;&gt;"",$Q2543&lt;=Hoje+JanelaRet,$Q2543&gt;=Hoje-60),MAX($V$4:$V2542)+1,"")</f>
        <v>0</v>
      </c>
    </row>
    <row r="2544" spans="1:22">
      <c r="A2544" s="16"/>
      <c r="B2544" s="23"/>
      <c r="C2544" s="15"/>
      <c r="D2544" s="15"/>
      <c r="E2544" s="15"/>
      <c r="F2544" s="24"/>
      <c r="G2544" s="17"/>
      <c r="H2544" s="17"/>
      <c r="I2544" s="15"/>
      <c r="J2544" s="25">
        <f>IF($D2544="","",IFERROR(INDEX(PacNome,MATCH($D2544,PacCod,0)),"Paciente não cadastrado"))</f>
        <v>0</v>
      </c>
      <c r="K2544" s="26">
        <f>IF($D2544="","",IFERROR(INDEX(PacConv,MATCH($D2544,PacCod,0))&amp;"",""))</f>
        <v>0</v>
      </c>
      <c r="L2544" s="26">
        <f>IF($A2544="","",CHOOSE(WEEKDAY($A2544,2),"Seg","Ter","Qua","Qui","Sex","Sáb","Dom"))</f>
        <v>0</v>
      </c>
      <c r="M2544" s="27">
        <f>IF($E2544="","",IF($G2544&lt;&gt;"",$G2544,IFERROR(INDEX(ProcValor,MATCH($E2544,ProcNome,0)),0)))</f>
        <v>0</v>
      </c>
      <c r="N2544" s="27">
        <f>IF($M2544="","",IF($F2544="Compareceu",$M2544,0))</f>
        <v>0</v>
      </c>
      <c r="O2544" s="27">
        <f>IF($M2544="","",IF($F2544="Faltou",$M2544,0))</f>
        <v>0</v>
      </c>
      <c r="P2544" s="27">
        <f>IF($M2544="","",IF($F2544="Compareceu",MAX(0,$M2544-N($H2544)),0))</f>
        <v>0</v>
      </c>
      <c r="Q2544" s="19">
        <f>IF(AND($F2544="Compareceu",$E2544&lt;&gt;"",$A2544&lt;&gt;""),IF(IFERROR(INDEX(ProcRet,MATCH($E2544,ProcNome,0)),0)&gt;0,$A2544+INDEX(ProcRet,MATCH($E2544,ProcNome,0)),""),"")</f>
        <v>0</v>
      </c>
      <c r="R2544" s="26">
        <f>IF($Q2544="","",IF(COUNTIFS(AgPac,$D2544,AgData,"&gt;"&amp;$A2544,AgStatus,"&lt;&gt;Cancelado",AgStatus,"&lt;&gt;Remarcado")&gt;0,"Sim","Não"))</f>
        <v>0</v>
      </c>
      <c r="S2544" s="28">
        <f>IF($A2544="","",IF(AND($F2544="Agendado",$A2544-Hoje&gt;=0,$A2544-Hoje&lt;=DiasConf),"CONFIRMAR",IF(AND($A2544&lt;Hoje,OR($F2544="Agendado",$F2544="Confirmado")),"Atualizar status",IF(AND($F2544="Compareceu",$P2544&gt;0.005),"Cobrar",IF($F2544="Faltou","Falta: reagendar","")))))</f>
        <v>0</v>
      </c>
      <c r="T2544" s="29">
        <f>IF($A2544="","",DATE(YEAR($A2544),MONTH($A2544),1))</f>
        <v>0</v>
      </c>
      <c r="U2544" s="30">
        <f>IF($S2544="CONFIRMAR",MAX($U$4:$U2543)+1,"")</f>
        <v>0</v>
      </c>
      <c r="V2544" s="30">
        <f>IF(AND($R2544="Não",$Q2544&lt;&gt;"",$Q2544&lt;=Hoje+JanelaRet,$Q2544&gt;=Hoje-60),MAX($V$4:$V2543)+1,"")</f>
        <v>0</v>
      </c>
    </row>
    <row r="2545" spans="1:22">
      <c r="A2545" s="16"/>
      <c r="B2545" s="23"/>
      <c r="C2545" s="15"/>
      <c r="D2545" s="15"/>
      <c r="E2545" s="15"/>
      <c r="F2545" s="24"/>
      <c r="G2545" s="17"/>
      <c r="H2545" s="17"/>
      <c r="I2545" s="15"/>
      <c r="J2545" s="25">
        <f>IF($D2545="","",IFERROR(INDEX(PacNome,MATCH($D2545,PacCod,0)),"Paciente não cadastrado"))</f>
        <v>0</v>
      </c>
      <c r="K2545" s="26">
        <f>IF($D2545="","",IFERROR(INDEX(PacConv,MATCH($D2545,PacCod,0))&amp;"",""))</f>
        <v>0</v>
      </c>
      <c r="L2545" s="26">
        <f>IF($A2545="","",CHOOSE(WEEKDAY($A2545,2),"Seg","Ter","Qua","Qui","Sex","Sáb","Dom"))</f>
        <v>0</v>
      </c>
      <c r="M2545" s="27">
        <f>IF($E2545="","",IF($G2545&lt;&gt;"",$G2545,IFERROR(INDEX(ProcValor,MATCH($E2545,ProcNome,0)),0)))</f>
        <v>0</v>
      </c>
      <c r="N2545" s="27">
        <f>IF($M2545="","",IF($F2545="Compareceu",$M2545,0))</f>
        <v>0</v>
      </c>
      <c r="O2545" s="27">
        <f>IF($M2545="","",IF($F2545="Faltou",$M2545,0))</f>
        <v>0</v>
      </c>
      <c r="P2545" s="27">
        <f>IF($M2545="","",IF($F2545="Compareceu",MAX(0,$M2545-N($H2545)),0))</f>
        <v>0</v>
      </c>
      <c r="Q2545" s="19">
        <f>IF(AND($F2545="Compareceu",$E2545&lt;&gt;"",$A2545&lt;&gt;""),IF(IFERROR(INDEX(ProcRet,MATCH($E2545,ProcNome,0)),0)&gt;0,$A2545+INDEX(ProcRet,MATCH($E2545,ProcNome,0)),""),"")</f>
        <v>0</v>
      </c>
      <c r="R2545" s="26">
        <f>IF($Q2545="","",IF(COUNTIFS(AgPac,$D2545,AgData,"&gt;"&amp;$A2545,AgStatus,"&lt;&gt;Cancelado",AgStatus,"&lt;&gt;Remarcado")&gt;0,"Sim","Não"))</f>
        <v>0</v>
      </c>
      <c r="S2545" s="28">
        <f>IF($A2545="","",IF(AND($F2545="Agendado",$A2545-Hoje&gt;=0,$A2545-Hoje&lt;=DiasConf),"CONFIRMAR",IF(AND($A2545&lt;Hoje,OR($F2545="Agendado",$F2545="Confirmado")),"Atualizar status",IF(AND($F2545="Compareceu",$P2545&gt;0.005),"Cobrar",IF($F2545="Faltou","Falta: reagendar","")))))</f>
        <v>0</v>
      </c>
      <c r="T2545" s="29">
        <f>IF($A2545="","",DATE(YEAR($A2545),MONTH($A2545),1))</f>
        <v>0</v>
      </c>
      <c r="U2545" s="30">
        <f>IF($S2545="CONFIRMAR",MAX($U$4:$U2544)+1,"")</f>
        <v>0</v>
      </c>
      <c r="V2545" s="30">
        <f>IF(AND($R2545="Não",$Q2545&lt;&gt;"",$Q2545&lt;=Hoje+JanelaRet,$Q2545&gt;=Hoje-60),MAX($V$4:$V2544)+1,"")</f>
        <v>0</v>
      </c>
    </row>
    <row r="2546" spans="1:22">
      <c r="A2546" s="16"/>
      <c r="B2546" s="23"/>
      <c r="C2546" s="15"/>
      <c r="D2546" s="15"/>
      <c r="E2546" s="15"/>
      <c r="F2546" s="24"/>
      <c r="G2546" s="17"/>
      <c r="H2546" s="17"/>
      <c r="I2546" s="15"/>
      <c r="J2546" s="25">
        <f>IF($D2546="","",IFERROR(INDEX(PacNome,MATCH($D2546,PacCod,0)),"Paciente não cadastrado"))</f>
        <v>0</v>
      </c>
      <c r="K2546" s="26">
        <f>IF($D2546="","",IFERROR(INDEX(PacConv,MATCH($D2546,PacCod,0))&amp;"",""))</f>
        <v>0</v>
      </c>
      <c r="L2546" s="26">
        <f>IF($A2546="","",CHOOSE(WEEKDAY($A2546,2),"Seg","Ter","Qua","Qui","Sex","Sáb","Dom"))</f>
        <v>0</v>
      </c>
      <c r="M2546" s="27">
        <f>IF($E2546="","",IF($G2546&lt;&gt;"",$G2546,IFERROR(INDEX(ProcValor,MATCH($E2546,ProcNome,0)),0)))</f>
        <v>0</v>
      </c>
      <c r="N2546" s="27">
        <f>IF($M2546="","",IF($F2546="Compareceu",$M2546,0))</f>
        <v>0</v>
      </c>
      <c r="O2546" s="27">
        <f>IF($M2546="","",IF($F2546="Faltou",$M2546,0))</f>
        <v>0</v>
      </c>
      <c r="P2546" s="27">
        <f>IF($M2546="","",IF($F2546="Compareceu",MAX(0,$M2546-N($H2546)),0))</f>
        <v>0</v>
      </c>
      <c r="Q2546" s="19">
        <f>IF(AND($F2546="Compareceu",$E2546&lt;&gt;"",$A2546&lt;&gt;""),IF(IFERROR(INDEX(ProcRet,MATCH($E2546,ProcNome,0)),0)&gt;0,$A2546+INDEX(ProcRet,MATCH($E2546,ProcNome,0)),""),"")</f>
        <v>0</v>
      </c>
      <c r="R2546" s="26">
        <f>IF($Q2546="","",IF(COUNTIFS(AgPac,$D2546,AgData,"&gt;"&amp;$A2546,AgStatus,"&lt;&gt;Cancelado",AgStatus,"&lt;&gt;Remarcado")&gt;0,"Sim","Não"))</f>
        <v>0</v>
      </c>
      <c r="S2546" s="28">
        <f>IF($A2546="","",IF(AND($F2546="Agendado",$A2546-Hoje&gt;=0,$A2546-Hoje&lt;=DiasConf),"CONFIRMAR",IF(AND($A2546&lt;Hoje,OR($F2546="Agendado",$F2546="Confirmado")),"Atualizar status",IF(AND($F2546="Compareceu",$P2546&gt;0.005),"Cobrar",IF($F2546="Faltou","Falta: reagendar","")))))</f>
        <v>0</v>
      </c>
      <c r="T2546" s="29">
        <f>IF($A2546="","",DATE(YEAR($A2546),MONTH($A2546),1))</f>
        <v>0</v>
      </c>
      <c r="U2546" s="30">
        <f>IF($S2546="CONFIRMAR",MAX($U$4:$U2545)+1,"")</f>
        <v>0</v>
      </c>
      <c r="V2546" s="30">
        <f>IF(AND($R2546="Não",$Q2546&lt;&gt;"",$Q2546&lt;=Hoje+JanelaRet,$Q2546&gt;=Hoje-60),MAX($V$4:$V2545)+1,"")</f>
        <v>0</v>
      </c>
    </row>
    <row r="2547" spans="1:22">
      <c r="A2547" s="16"/>
      <c r="B2547" s="23"/>
      <c r="C2547" s="15"/>
      <c r="D2547" s="15"/>
      <c r="E2547" s="15"/>
      <c r="F2547" s="24"/>
      <c r="G2547" s="17"/>
      <c r="H2547" s="17"/>
      <c r="I2547" s="15"/>
      <c r="J2547" s="25">
        <f>IF($D2547="","",IFERROR(INDEX(PacNome,MATCH($D2547,PacCod,0)),"Paciente não cadastrado"))</f>
        <v>0</v>
      </c>
      <c r="K2547" s="26">
        <f>IF($D2547="","",IFERROR(INDEX(PacConv,MATCH($D2547,PacCod,0))&amp;"",""))</f>
        <v>0</v>
      </c>
      <c r="L2547" s="26">
        <f>IF($A2547="","",CHOOSE(WEEKDAY($A2547,2),"Seg","Ter","Qua","Qui","Sex","Sáb","Dom"))</f>
        <v>0</v>
      </c>
      <c r="M2547" s="27">
        <f>IF($E2547="","",IF($G2547&lt;&gt;"",$G2547,IFERROR(INDEX(ProcValor,MATCH($E2547,ProcNome,0)),0)))</f>
        <v>0</v>
      </c>
      <c r="N2547" s="27">
        <f>IF($M2547="","",IF($F2547="Compareceu",$M2547,0))</f>
        <v>0</v>
      </c>
      <c r="O2547" s="27">
        <f>IF($M2547="","",IF($F2547="Faltou",$M2547,0))</f>
        <v>0</v>
      </c>
      <c r="P2547" s="27">
        <f>IF($M2547="","",IF($F2547="Compareceu",MAX(0,$M2547-N($H2547)),0))</f>
        <v>0</v>
      </c>
      <c r="Q2547" s="19">
        <f>IF(AND($F2547="Compareceu",$E2547&lt;&gt;"",$A2547&lt;&gt;""),IF(IFERROR(INDEX(ProcRet,MATCH($E2547,ProcNome,0)),0)&gt;0,$A2547+INDEX(ProcRet,MATCH($E2547,ProcNome,0)),""),"")</f>
        <v>0</v>
      </c>
      <c r="R2547" s="26">
        <f>IF($Q2547="","",IF(COUNTIFS(AgPac,$D2547,AgData,"&gt;"&amp;$A2547,AgStatus,"&lt;&gt;Cancelado",AgStatus,"&lt;&gt;Remarcado")&gt;0,"Sim","Não"))</f>
        <v>0</v>
      </c>
      <c r="S2547" s="28">
        <f>IF($A2547="","",IF(AND($F2547="Agendado",$A2547-Hoje&gt;=0,$A2547-Hoje&lt;=DiasConf),"CONFIRMAR",IF(AND($A2547&lt;Hoje,OR($F2547="Agendado",$F2547="Confirmado")),"Atualizar status",IF(AND($F2547="Compareceu",$P2547&gt;0.005),"Cobrar",IF($F2547="Faltou","Falta: reagendar","")))))</f>
        <v>0</v>
      </c>
      <c r="T2547" s="29">
        <f>IF($A2547="","",DATE(YEAR($A2547),MONTH($A2547),1))</f>
        <v>0</v>
      </c>
      <c r="U2547" s="30">
        <f>IF($S2547="CONFIRMAR",MAX($U$4:$U2546)+1,"")</f>
        <v>0</v>
      </c>
      <c r="V2547" s="30">
        <f>IF(AND($R2547="Não",$Q2547&lt;&gt;"",$Q2547&lt;=Hoje+JanelaRet,$Q2547&gt;=Hoje-60),MAX($V$4:$V2546)+1,"")</f>
        <v>0</v>
      </c>
    </row>
    <row r="2548" spans="1:22">
      <c r="A2548" s="16"/>
      <c r="B2548" s="23"/>
      <c r="C2548" s="15"/>
      <c r="D2548" s="15"/>
      <c r="E2548" s="15"/>
      <c r="F2548" s="24"/>
      <c r="G2548" s="17"/>
      <c r="H2548" s="17"/>
      <c r="I2548" s="15"/>
      <c r="J2548" s="25">
        <f>IF($D2548="","",IFERROR(INDEX(PacNome,MATCH($D2548,PacCod,0)),"Paciente não cadastrado"))</f>
        <v>0</v>
      </c>
      <c r="K2548" s="26">
        <f>IF($D2548="","",IFERROR(INDEX(PacConv,MATCH($D2548,PacCod,0))&amp;"",""))</f>
        <v>0</v>
      </c>
      <c r="L2548" s="26">
        <f>IF($A2548="","",CHOOSE(WEEKDAY($A2548,2),"Seg","Ter","Qua","Qui","Sex","Sáb","Dom"))</f>
        <v>0</v>
      </c>
      <c r="M2548" s="27">
        <f>IF($E2548="","",IF($G2548&lt;&gt;"",$G2548,IFERROR(INDEX(ProcValor,MATCH($E2548,ProcNome,0)),0)))</f>
        <v>0</v>
      </c>
      <c r="N2548" s="27">
        <f>IF($M2548="","",IF($F2548="Compareceu",$M2548,0))</f>
        <v>0</v>
      </c>
      <c r="O2548" s="27">
        <f>IF($M2548="","",IF($F2548="Faltou",$M2548,0))</f>
        <v>0</v>
      </c>
      <c r="P2548" s="27">
        <f>IF($M2548="","",IF($F2548="Compareceu",MAX(0,$M2548-N($H2548)),0))</f>
        <v>0</v>
      </c>
      <c r="Q2548" s="19">
        <f>IF(AND($F2548="Compareceu",$E2548&lt;&gt;"",$A2548&lt;&gt;""),IF(IFERROR(INDEX(ProcRet,MATCH($E2548,ProcNome,0)),0)&gt;0,$A2548+INDEX(ProcRet,MATCH($E2548,ProcNome,0)),""),"")</f>
        <v>0</v>
      </c>
      <c r="R2548" s="26">
        <f>IF($Q2548="","",IF(COUNTIFS(AgPac,$D2548,AgData,"&gt;"&amp;$A2548,AgStatus,"&lt;&gt;Cancelado",AgStatus,"&lt;&gt;Remarcado")&gt;0,"Sim","Não"))</f>
        <v>0</v>
      </c>
      <c r="S2548" s="28">
        <f>IF($A2548="","",IF(AND($F2548="Agendado",$A2548-Hoje&gt;=0,$A2548-Hoje&lt;=DiasConf),"CONFIRMAR",IF(AND($A2548&lt;Hoje,OR($F2548="Agendado",$F2548="Confirmado")),"Atualizar status",IF(AND($F2548="Compareceu",$P2548&gt;0.005),"Cobrar",IF($F2548="Faltou","Falta: reagendar","")))))</f>
        <v>0</v>
      </c>
      <c r="T2548" s="29">
        <f>IF($A2548="","",DATE(YEAR($A2548),MONTH($A2548),1))</f>
        <v>0</v>
      </c>
      <c r="U2548" s="30">
        <f>IF($S2548="CONFIRMAR",MAX($U$4:$U2547)+1,"")</f>
        <v>0</v>
      </c>
      <c r="V2548" s="30">
        <f>IF(AND($R2548="Não",$Q2548&lt;&gt;"",$Q2548&lt;=Hoje+JanelaRet,$Q2548&gt;=Hoje-60),MAX($V$4:$V2547)+1,"")</f>
        <v>0</v>
      </c>
    </row>
    <row r="2549" spans="1:22">
      <c r="A2549" s="16"/>
      <c r="B2549" s="23"/>
      <c r="C2549" s="15"/>
      <c r="D2549" s="15"/>
      <c r="E2549" s="15"/>
      <c r="F2549" s="24"/>
      <c r="G2549" s="17"/>
      <c r="H2549" s="17"/>
      <c r="I2549" s="15"/>
      <c r="J2549" s="25">
        <f>IF($D2549="","",IFERROR(INDEX(PacNome,MATCH($D2549,PacCod,0)),"Paciente não cadastrado"))</f>
        <v>0</v>
      </c>
      <c r="K2549" s="26">
        <f>IF($D2549="","",IFERROR(INDEX(PacConv,MATCH($D2549,PacCod,0))&amp;"",""))</f>
        <v>0</v>
      </c>
      <c r="L2549" s="26">
        <f>IF($A2549="","",CHOOSE(WEEKDAY($A2549,2),"Seg","Ter","Qua","Qui","Sex","Sáb","Dom"))</f>
        <v>0</v>
      </c>
      <c r="M2549" s="27">
        <f>IF($E2549="","",IF($G2549&lt;&gt;"",$G2549,IFERROR(INDEX(ProcValor,MATCH($E2549,ProcNome,0)),0)))</f>
        <v>0</v>
      </c>
      <c r="N2549" s="27">
        <f>IF($M2549="","",IF($F2549="Compareceu",$M2549,0))</f>
        <v>0</v>
      </c>
      <c r="O2549" s="27">
        <f>IF($M2549="","",IF($F2549="Faltou",$M2549,0))</f>
        <v>0</v>
      </c>
      <c r="P2549" s="27">
        <f>IF($M2549="","",IF($F2549="Compareceu",MAX(0,$M2549-N($H2549)),0))</f>
        <v>0</v>
      </c>
      <c r="Q2549" s="19">
        <f>IF(AND($F2549="Compareceu",$E2549&lt;&gt;"",$A2549&lt;&gt;""),IF(IFERROR(INDEX(ProcRet,MATCH($E2549,ProcNome,0)),0)&gt;0,$A2549+INDEX(ProcRet,MATCH($E2549,ProcNome,0)),""),"")</f>
        <v>0</v>
      </c>
      <c r="R2549" s="26">
        <f>IF($Q2549="","",IF(COUNTIFS(AgPac,$D2549,AgData,"&gt;"&amp;$A2549,AgStatus,"&lt;&gt;Cancelado",AgStatus,"&lt;&gt;Remarcado")&gt;0,"Sim","Não"))</f>
        <v>0</v>
      </c>
      <c r="S2549" s="28">
        <f>IF($A2549="","",IF(AND($F2549="Agendado",$A2549-Hoje&gt;=0,$A2549-Hoje&lt;=DiasConf),"CONFIRMAR",IF(AND($A2549&lt;Hoje,OR($F2549="Agendado",$F2549="Confirmado")),"Atualizar status",IF(AND($F2549="Compareceu",$P2549&gt;0.005),"Cobrar",IF($F2549="Faltou","Falta: reagendar","")))))</f>
        <v>0</v>
      </c>
      <c r="T2549" s="29">
        <f>IF($A2549="","",DATE(YEAR($A2549),MONTH($A2549),1))</f>
        <v>0</v>
      </c>
      <c r="U2549" s="30">
        <f>IF($S2549="CONFIRMAR",MAX($U$4:$U2548)+1,"")</f>
        <v>0</v>
      </c>
      <c r="V2549" s="30">
        <f>IF(AND($R2549="Não",$Q2549&lt;&gt;"",$Q2549&lt;=Hoje+JanelaRet,$Q2549&gt;=Hoje-60),MAX($V$4:$V2548)+1,"")</f>
        <v>0</v>
      </c>
    </row>
    <row r="2550" spans="1:22">
      <c r="A2550" s="16"/>
      <c r="B2550" s="23"/>
      <c r="C2550" s="15"/>
      <c r="D2550" s="15"/>
      <c r="E2550" s="15"/>
      <c r="F2550" s="24"/>
      <c r="G2550" s="17"/>
      <c r="H2550" s="17"/>
      <c r="I2550" s="15"/>
      <c r="J2550" s="25">
        <f>IF($D2550="","",IFERROR(INDEX(PacNome,MATCH($D2550,PacCod,0)),"Paciente não cadastrado"))</f>
        <v>0</v>
      </c>
      <c r="K2550" s="26">
        <f>IF($D2550="","",IFERROR(INDEX(PacConv,MATCH($D2550,PacCod,0))&amp;"",""))</f>
        <v>0</v>
      </c>
      <c r="L2550" s="26">
        <f>IF($A2550="","",CHOOSE(WEEKDAY($A2550,2),"Seg","Ter","Qua","Qui","Sex","Sáb","Dom"))</f>
        <v>0</v>
      </c>
      <c r="M2550" s="27">
        <f>IF($E2550="","",IF($G2550&lt;&gt;"",$G2550,IFERROR(INDEX(ProcValor,MATCH($E2550,ProcNome,0)),0)))</f>
        <v>0</v>
      </c>
      <c r="N2550" s="27">
        <f>IF($M2550="","",IF($F2550="Compareceu",$M2550,0))</f>
        <v>0</v>
      </c>
      <c r="O2550" s="27">
        <f>IF($M2550="","",IF($F2550="Faltou",$M2550,0))</f>
        <v>0</v>
      </c>
      <c r="P2550" s="27">
        <f>IF($M2550="","",IF($F2550="Compareceu",MAX(0,$M2550-N($H2550)),0))</f>
        <v>0</v>
      </c>
      <c r="Q2550" s="19">
        <f>IF(AND($F2550="Compareceu",$E2550&lt;&gt;"",$A2550&lt;&gt;""),IF(IFERROR(INDEX(ProcRet,MATCH($E2550,ProcNome,0)),0)&gt;0,$A2550+INDEX(ProcRet,MATCH($E2550,ProcNome,0)),""),"")</f>
        <v>0</v>
      </c>
      <c r="R2550" s="26">
        <f>IF($Q2550="","",IF(COUNTIFS(AgPac,$D2550,AgData,"&gt;"&amp;$A2550,AgStatus,"&lt;&gt;Cancelado",AgStatus,"&lt;&gt;Remarcado")&gt;0,"Sim","Não"))</f>
        <v>0</v>
      </c>
      <c r="S2550" s="28">
        <f>IF($A2550="","",IF(AND($F2550="Agendado",$A2550-Hoje&gt;=0,$A2550-Hoje&lt;=DiasConf),"CONFIRMAR",IF(AND($A2550&lt;Hoje,OR($F2550="Agendado",$F2550="Confirmado")),"Atualizar status",IF(AND($F2550="Compareceu",$P2550&gt;0.005),"Cobrar",IF($F2550="Faltou","Falta: reagendar","")))))</f>
        <v>0</v>
      </c>
      <c r="T2550" s="29">
        <f>IF($A2550="","",DATE(YEAR($A2550),MONTH($A2550),1))</f>
        <v>0</v>
      </c>
      <c r="U2550" s="30">
        <f>IF($S2550="CONFIRMAR",MAX($U$4:$U2549)+1,"")</f>
        <v>0</v>
      </c>
      <c r="V2550" s="30">
        <f>IF(AND($R2550="Não",$Q2550&lt;&gt;"",$Q2550&lt;=Hoje+JanelaRet,$Q2550&gt;=Hoje-60),MAX($V$4:$V2549)+1,"")</f>
        <v>0</v>
      </c>
    </row>
    <row r="2551" spans="1:22">
      <c r="A2551" s="16"/>
      <c r="B2551" s="23"/>
      <c r="C2551" s="15"/>
      <c r="D2551" s="15"/>
      <c r="E2551" s="15"/>
      <c r="F2551" s="24"/>
      <c r="G2551" s="17"/>
      <c r="H2551" s="17"/>
      <c r="I2551" s="15"/>
      <c r="J2551" s="25">
        <f>IF($D2551="","",IFERROR(INDEX(PacNome,MATCH($D2551,PacCod,0)),"Paciente não cadastrado"))</f>
        <v>0</v>
      </c>
      <c r="K2551" s="26">
        <f>IF($D2551="","",IFERROR(INDEX(PacConv,MATCH($D2551,PacCod,0))&amp;"",""))</f>
        <v>0</v>
      </c>
      <c r="L2551" s="26">
        <f>IF($A2551="","",CHOOSE(WEEKDAY($A2551,2),"Seg","Ter","Qua","Qui","Sex","Sáb","Dom"))</f>
        <v>0</v>
      </c>
      <c r="M2551" s="27">
        <f>IF($E2551="","",IF($G2551&lt;&gt;"",$G2551,IFERROR(INDEX(ProcValor,MATCH($E2551,ProcNome,0)),0)))</f>
        <v>0</v>
      </c>
      <c r="N2551" s="27">
        <f>IF($M2551="","",IF($F2551="Compareceu",$M2551,0))</f>
        <v>0</v>
      </c>
      <c r="O2551" s="27">
        <f>IF($M2551="","",IF($F2551="Faltou",$M2551,0))</f>
        <v>0</v>
      </c>
      <c r="P2551" s="27">
        <f>IF($M2551="","",IF($F2551="Compareceu",MAX(0,$M2551-N($H2551)),0))</f>
        <v>0</v>
      </c>
      <c r="Q2551" s="19">
        <f>IF(AND($F2551="Compareceu",$E2551&lt;&gt;"",$A2551&lt;&gt;""),IF(IFERROR(INDEX(ProcRet,MATCH($E2551,ProcNome,0)),0)&gt;0,$A2551+INDEX(ProcRet,MATCH($E2551,ProcNome,0)),""),"")</f>
        <v>0</v>
      </c>
      <c r="R2551" s="26">
        <f>IF($Q2551="","",IF(COUNTIFS(AgPac,$D2551,AgData,"&gt;"&amp;$A2551,AgStatus,"&lt;&gt;Cancelado",AgStatus,"&lt;&gt;Remarcado")&gt;0,"Sim","Não"))</f>
        <v>0</v>
      </c>
      <c r="S2551" s="28">
        <f>IF($A2551="","",IF(AND($F2551="Agendado",$A2551-Hoje&gt;=0,$A2551-Hoje&lt;=DiasConf),"CONFIRMAR",IF(AND($A2551&lt;Hoje,OR($F2551="Agendado",$F2551="Confirmado")),"Atualizar status",IF(AND($F2551="Compareceu",$P2551&gt;0.005),"Cobrar",IF($F2551="Faltou","Falta: reagendar","")))))</f>
        <v>0</v>
      </c>
      <c r="T2551" s="29">
        <f>IF($A2551="","",DATE(YEAR($A2551),MONTH($A2551),1))</f>
        <v>0</v>
      </c>
      <c r="U2551" s="30">
        <f>IF($S2551="CONFIRMAR",MAX($U$4:$U2550)+1,"")</f>
        <v>0</v>
      </c>
      <c r="V2551" s="30">
        <f>IF(AND($R2551="Não",$Q2551&lt;&gt;"",$Q2551&lt;=Hoje+JanelaRet,$Q2551&gt;=Hoje-60),MAX($V$4:$V2550)+1,"")</f>
        <v>0</v>
      </c>
    </row>
    <row r="2552" spans="1:22">
      <c r="A2552" s="16"/>
      <c r="B2552" s="23"/>
      <c r="C2552" s="15"/>
      <c r="D2552" s="15"/>
      <c r="E2552" s="15"/>
      <c r="F2552" s="24"/>
      <c r="G2552" s="17"/>
      <c r="H2552" s="17"/>
      <c r="I2552" s="15"/>
      <c r="J2552" s="25">
        <f>IF($D2552="","",IFERROR(INDEX(PacNome,MATCH($D2552,PacCod,0)),"Paciente não cadastrado"))</f>
        <v>0</v>
      </c>
      <c r="K2552" s="26">
        <f>IF($D2552="","",IFERROR(INDEX(PacConv,MATCH($D2552,PacCod,0))&amp;"",""))</f>
        <v>0</v>
      </c>
      <c r="L2552" s="26">
        <f>IF($A2552="","",CHOOSE(WEEKDAY($A2552,2),"Seg","Ter","Qua","Qui","Sex","Sáb","Dom"))</f>
        <v>0</v>
      </c>
      <c r="M2552" s="27">
        <f>IF($E2552="","",IF($G2552&lt;&gt;"",$G2552,IFERROR(INDEX(ProcValor,MATCH($E2552,ProcNome,0)),0)))</f>
        <v>0</v>
      </c>
      <c r="N2552" s="27">
        <f>IF($M2552="","",IF($F2552="Compareceu",$M2552,0))</f>
        <v>0</v>
      </c>
      <c r="O2552" s="27">
        <f>IF($M2552="","",IF($F2552="Faltou",$M2552,0))</f>
        <v>0</v>
      </c>
      <c r="P2552" s="27">
        <f>IF($M2552="","",IF($F2552="Compareceu",MAX(0,$M2552-N($H2552)),0))</f>
        <v>0</v>
      </c>
      <c r="Q2552" s="19">
        <f>IF(AND($F2552="Compareceu",$E2552&lt;&gt;"",$A2552&lt;&gt;""),IF(IFERROR(INDEX(ProcRet,MATCH($E2552,ProcNome,0)),0)&gt;0,$A2552+INDEX(ProcRet,MATCH($E2552,ProcNome,0)),""),"")</f>
        <v>0</v>
      </c>
      <c r="R2552" s="26">
        <f>IF($Q2552="","",IF(COUNTIFS(AgPac,$D2552,AgData,"&gt;"&amp;$A2552,AgStatus,"&lt;&gt;Cancelado",AgStatus,"&lt;&gt;Remarcado")&gt;0,"Sim","Não"))</f>
        <v>0</v>
      </c>
      <c r="S2552" s="28">
        <f>IF($A2552="","",IF(AND($F2552="Agendado",$A2552-Hoje&gt;=0,$A2552-Hoje&lt;=DiasConf),"CONFIRMAR",IF(AND($A2552&lt;Hoje,OR($F2552="Agendado",$F2552="Confirmado")),"Atualizar status",IF(AND($F2552="Compareceu",$P2552&gt;0.005),"Cobrar",IF($F2552="Faltou","Falta: reagendar","")))))</f>
        <v>0</v>
      </c>
      <c r="T2552" s="29">
        <f>IF($A2552="","",DATE(YEAR($A2552),MONTH($A2552),1))</f>
        <v>0</v>
      </c>
      <c r="U2552" s="30">
        <f>IF($S2552="CONFIRMAR",MAX($U$4:$U2551)+1,"")</f>
        <v>0</v>
      </c>
      <c r="V2552" s="30">
        <f>IF(AND($R2552="Não",$Q2552&lt;&gt;"",$Q2552&lt;=Hoje+JanelaRet,$Q2552&gt;=Hoje-60),MAX($V$4:$V2551)+1,"")</f>
        <v>0</v>
      </c>
    </row>
    <row r="2553" spans="1:22">
      <c r="A2553" s="16"/>
      <c r="B2553" s="23"/>
      <c r="C2553" s="15"/>
      <c r="D2553" s="15"/>
      <c r="E2553" s="15"/>
      <c r="F2553" s="24"/>
      <c r="G2553" s="17"/>
      <c r="H2553" s="17"/>
      <c r="I2553" s="15"/>
      <c r="J2553" s="25">
        <f>IF($D2553="","",IFERROR(INDEX(PacNome,MATCH($D2553,PacCod,0)),"Paciente não cadastrado"))</f>
        <v>0</v>
      </c>
      <c r="K2553" s="26">
        <f>IF($D2553="","",IFERROR(INDEX(PacConv,MATCH($D2553,PacCod,0))&amp;"",""))</f>
        <v>0</v>
      </c>
      <c r="L2553" s="26">
        <f>IF($A2553="","",CHOOSE(WEEKDAY($A2553,2),"Seg","Ter","Qua","Qui","Sex","Sáb","Dom"))</f>
        <v>0</v>
      </c>
      <c r="M2553" s="27">
        <f>IF($E2553="","",IF($G2553&lt;&gt;"",$G2553,IFERROR(INDEX(ProcValor,MATCH($E2553,ProcNome,0)),0)))</f>
        <v>0</v>
      </c>
      <c r="N2553" s="27">
        <f>IF($M2553="","",IF($F2553="Compareceu",$M2553,0))</f>
        <v>0</v>
      </c>
      <c r="O2553" s="27">
        <f>IF($M2553="","",IF($F2553="Faltou",$M2553,0))</f>
        <v>0</v>
      </c>
      <c r="P2553" s="27">
        <f>IF($M2553="","",IF($F2553="Compareceu",MAX(0,$M2553-N($H2553)),0))</f>
        <v>0</v>
      </c>
      <c r="Q2553" s="19">
        <f>IF(AND($F2553="Compareceu",$E2553&lt;&gt;"",$A2553&lt;&gt;""),IF(IFERROR(INDEX(ProcRet,MATCH($E2553,ProcNome,0)),0)&gt;0,$A2553+INDEX(ProcRet,MATCH($E2553,ProcNome,0)),""),"")</f>
        <v>0</v>
      </c>
      <c r="R2553" s="26">
        <f>IF($Q2553="","",IF(COUNTIFS(AgPac,$D2553,AgData,"&gt;"&amp;$A2553,AgStatus,"&lt;&gt;Cancelado",AgStatus,"&lt;&gt;Remarcado")&gt;0,"Sim","Não"))</f>
        <v>0</v>
      </c>
      <c r="S2553" s="28">
        <f>IF($A2553="","",IF(AND($F2553="Agendado",$A2553-Hoje&gt;=0,$A2553-Hoje&lt;=DiasConf),"CONFIRMAR",IF(AND($A2553&lt;Hoje,OR($F2553="Agendado",$F2553="Confirmado")),"Atualizar status",IF(AND($F2553="Compareceu",$P2553&gt;0.005),"Cobrar",IF($F2553="Faltou","Falta: reagendar","")))))</f>
        <v>0</v>
      </c>
      <c r="T2553" s="29">
        <f>IF($A2553="","",DATE(YEAR($A2553),MONTH($A2553),1))</f>
        <v>0</v>
      </c>
      <c r="U2553" s="30">
        <f>IF($S2553="CONFIRMAR",MAX($U$4:$U2552)+1,"")</f>
        <v>0</v>
      </c>
      <c r="V2553" s="30">
        <f>IF(AND($R2553="Não",$Q2553&lt;&gt;"",$Q2553&lt;=Hoje+JanelaRet,$Q2553&gt;=Hoje-60),MAX($V$4:$V2552)+1,"")</f>
        <v>0</v>
      </c>
    </row>
    <row r="2554" spans="1:22">
      <c r="A2554" s="16"/>
      <c r="B2554" s="23"/>
      <c r="C2554" s="15"/>
      <c r="D2554" s="15"/>
      <c r="E2554" s="15"/>
      <c r="F2554" s="24"/>
      <c r="G2554" s="17"/>
      <c r="H2554" s="17"/>
      <c r="I2554" s="15"/>
      <c r="J2554" s="25">
        <f>IF($D2554="","",IFERROR(INDEX(PacNome,MATCH($D2554,PacCod,0)),"Paciente não cadastrado"))</f>
        <v>0</v>
      </c>
      <c r="K2554" s="26">
        <f>IF($D2554="","",IFERROR(INDEX(PacConv,MATCH($D2554,PacCod,0))&amp;"",""))</f>
        <v>0</v>
      </c>
      <c r="L2554" s="26">
        <f>IF($A2554="","",CHOOSE(WEEKDAY($A2554,2),"Seg","Ter","Qua","Qui","Sex","Sáb","Dom"))</f>
        <v>0</v>
      </c>
      <c r="M2554" s="27">
        <f>IF($E2554="","",IF($G2554&lt;&gt;"",$G2554,IFERROR(INDEX(ProcValor,MATCH($E2554,ProcNome,0)),0)))</f>
        <v>0</v>
      </c>
      <c r="N2554" s="27">
        <f>IF($M2554="","",IF($F2554="Compareceu",$M2554,0))</f>
        <v>0</v>
      </c>
      <c r="O2554" s="27">
        <f>IF($M2554="","",IF($F2554="Faltou",$M2554,0))</f>
        <v>0</v>
      </c>
      <c r="P2554" s="27">
        <f>IF($M2554="","",IF($F2554="Compareceu",MAX(0,$M2554-N($H2554)),0))</f>
        <v>0</v>
      </c>
      <c r="Q2554" s="19">
        <f>IF(AND($F2554="Compareceu",$E2554&lt;&gt;"",$A2554&lt;&gt;""),IF(IFERROR(INDEX(ProcRet,MATCH($E2554,ProcNome,0)),0)&gt;0,$A2554+INDEX(ProcRet,MATCH($E2554,ProcNome,0)),""),"")</f>
        <v>0</v>
      </c>
      <c r="R2554" s="26">
        <f>IF($Q2554="","",IF(COUNTIFS(AgPac,$D2554,AgData,"&gt;"&amp;$A2554,AgStatus,"&lt;&gt;Cancelado",AgStatus,"&lt;&gt;Remarcado")&gt;0,"Sim","Não"))</f>
        <v>0</v>
      </c>
      <c r="S2554" s="28">
        <f>IF($A2554="","",IF(AND($F2554="Agendado",$A2554-Hoje&gt;=0,$A2554-Hoje&lt;=DiasConf),"CONFIRMAR",IF(AND($A2554&lt;Hoje,OR($F2554="Agendado",$F2554="Confirmado")),"Atualizar status",IF(AND($F2554="Compareceu",$P2554&gt;0.005),"Cobrar",IF($F2554="Faltou","Falta: reagendar","")))))</f>
        <v>0</v>
      </c>
      <c r="T2554" s="29">
        <f>IF($A2554="","",DATE(YEAR($A2554),MONTH($A2554),1))</f>
        <v>0</v>
      </c>
      <c r="U2554" s="30">
        <f>IF($S2554="CONFIRMAR",MAX($U$4:$U2553)+1,"")</f>
        <v>0</v>
      </c>
      <c r="V2554" s="30">
        <f>IF(AND($R2554="Não",$Q2554&lt;&gt;"",$Q2554&lt;=Hoje+JanelaRet,$Q2554&gt;=Hoje-60),MAX($V$4:$V2553)+1,"")</f>
        <v>0</v>
      </c>
    </row>
    <row r="2555" spans="1:22">
      <c r="A2555" s="16"/>
      <c r="B2555" s="23"/>
      <c r="C2555" s="15"/>
      <c r="D2555" s="15"/>
      <c r="E2555" s="15"/>
      <c r="F2555" s="24"/>
      <c r="G2555" s="17"/>
      <c r="H2555" s="17"/>
      <c r="I2555" s="15"/>
      <c r="J2555" s="25">
        <f>IF($D2555="","",IFERROR(INDEX(PacNome,MATCH($D2555,PacCod,0)),"Paciente não cadastrado"))</f>
        <v>0</v>
      </c>
      <c r="K2555" s="26">
        <f>IF($D2555="","",IFERROR(INDEX(PacConv,MATCH($D2555,PacCod,0))&amp;"",""))</f>
        <v>0</v>
      </c>
      <c r="L2555" s="26">
        <f>IF($A2555="","",CHOOSE(WEEKDAY($A2555,2),"Seg","Ter","Qua","Qui","Sex","Sáb","Dom"))</f>
        <v>0</v>
      </c>
      <c r="M2555" s="27">
        <f>IF($E2555="","",IF($G2555&lt;&gt;"",$G2555,IFERROR(INDEX(ProcValor,MATCH($E2555,ProcNome,0)),0)))</f>
        <v>0</v>
      </c>
      <c r="N2555" s="27">
        <f>IF($M2555="","",IF($F2555="Compareceu",$M2555,0))</f>
        <v>0</v>
      </c>
      <c r="O2555" s="27">
        <f>IF($M2555="","",IF($F2555="Faltou",$M2555,0))</f>
        <v>0</v>
      </c>
      <c r="P2555" s="27">
        <f>IF($M2555="","",IF($F2555="Compareceu",MAX(0,$M2555-N($H2555)),0))</f>
        <v>0</v>
      </c>
      <c r="Q2555" s="19">
        <f>IF(AND($F2555="Compareceu",$E2555&lt;&gt;"",$A2555&lt;&gt;""),IF(IFERROR(INDEX(ProcRet,MATCH($E2555,ProcNome,0)),0)&gt;0,$A2555+INDEX(ProcRet,MATCH($E2555,ProcNome,0)),""),"")</f>
        <v>0</v>
      </c>
      <c r="R2555" s="26">
        <f>IF($Q2555="","",IF(COUNTIFS(AgPac,$D2555,AgData,"&gt;"&amp;$A2555,AgStatus,"&lt;&gt;Cancelado",AgStatus,"&lt;&gt;Remarcado")&gt;0,"Sim","Não"))</f>
        <v>0</v>
      </c>
      <c r="S2555" s="28">
        <f>IF($A2555="","",IF(AND($F2555="Agendado",$A2555-Hoje&gt;=0,$A2555-Hoje&lt;=DiasConf),"CONFIRMAR",IF(AND($A2555&lt;Hoje,OR($F2555="Agendado",$F2555="Confirmado")),"Atualizar status",IF(AND($F2555="Compareceu",$P2555&gt;0.005),"Cobrar",IF($F2555="Faltou","Falta: reagendar","")))))</f>
        <v>0</v>
      </c>
      <c r="T2555" s="29">
        <f>IF($A2555="","",DATE(YEAR($A2555),MONTH($A2555),1))</f>
        <v>0</v>
      </c>
      <c r="U2555" s="30">
        <f>IF($S2555="CONFIRMAR",MAX($U$4:$U2554)+1,"")</f>
        <v>0</v>
      </c>
      <c r="V2555" s="30">
        <f>IF(AND($R2555="Não",$Q2555&lt;&gt;"",$Q2555&lt;=Hoje+JanelaRet,$Q2555&gt;=Hoje-60),MAX($V$4:$V2554)+1,"")</f>
        <v>0</v>
      </c>
    </row>
    <row r="2556" spans="1:22">
      <c r="A2556" s="16"/>
      <c r="B2556" s="23"/>
      <c r="C2556" s="15"/>
      <c r="D2556" s="15"/>
      <c r="E2556" s="15"/>
      <c r="F2556" s="24"/>
      <c r="G2556" s="17"/>
      <c r="H2556" s="17"/>
      <c r="I2556" s="15"/>
      <c r="J2556" s="25">
        <f>IF($D2556="","",IFERROR(INDEX(PacNome,MATCH($D2556,PacCod,0)),"Paciente não cadastrado"))</f>
        <v>0</v>
      </c>
      <c r="K2556" s="26">
        <f>IF($D2556="","",IFERROR(INDEX(PacConv,MATCH($D2556,PacCod,0))&amp;"",""))</f>
        <v>0</v>
      </c>
      <c r="L2556" s="26">
        <f>IF($A2556="","",CHOOSE(WEEKDAY($A2556,2),"Seg","Ter","Qua","Qui","Sex","Sáb","Dom"))</f>
        <v>0</v>
      </c>
      <c r="M2556" s="27">
        <f>IF($E2556="","",IF($G2556&lt;&gt;"",$G2556,IFERROR(INDEX(ProcValor,MATCH($E2556,ProcNome,0)),0)))</f>
        <v>0</v>
      </c>
      <c r="N2556" s="27">
        <f>IF($M2556="","",IF($F2556="Compareceu",$M2556,0))</f>
        <v>0</v>
      </c>
      <c r="O2556" s="27">
        <f>IF($M2556="","",IF($F2556="Faltou",$M2556,0))</f>
        <v>0</v>
      </c>
      <c r="P2556" s="27">
        <f>IF($M2556="","",IF($F2556="Compareceu",MAX(0,$M2556-N($H2556)),0))</f>
        <v>0</v>
      </c>
      <c r="Q2556" s="19">
        <f>IF(AND($F2556="Compareceu",$E2556&lt;&gt;"",$A2556&lt;&gt;""),IF(IFERROR(INDEX(ProcRet,MATCH($E2556,ProcNome,0)),0)&gt;0,$A2556+INDEX(ProcRet,MATCH($E2556,ProcNome,0)),""),"")</f>
        <v>0</v>
      </c>
      <c r="R2556" s="26">
        <f>IF($Q2556="","",IF(COUNTIFS(AgPac,$D2556,AgData,"&gt;"&amp;$A2556,AgStatus,"&lt;&gt;Cancelado",AgStatus,"&lt;&gt;Remarcado")&gt;0,"Sim","Não"))</f>
        <v>0</v>
      </c>
      <c r="S2556" s="28">
        <f>IF($A2556="","",IF(AND($F2556="Agendado",$A2556-Hoje&gt;=0,$A2556-Hoje&lt;=DiasConf),"CONFIRMAR",IF(AND($A2556&lt;Hoje,OR($F2556="Agendado",$F2556="Confirmado")),"Atualizar status",IF(AND($F2556="Compareceu",$P2556&gt;0.005),"Cobrar",IF($F2556="Faltou","Falta: reagendar","")))))</f>
        <v>0</v>
      </c>
      <c r="T2556" s="29">
        <f>IF($A2556="","",DATE(YEAR($A2556),MONTH($A2556),1))</f>
        <v>0</v>
      </c>
      <c r="U2556" s="30">
        <f>IF($S2556="CONFIRMAR",MAX($U$4:$U2555)+1,"")</f>
        <v>0</v>
      </c>
      <c r="V2556" s="30">
        <f>IF(AND($R2556="Não",$Q2556&lt;&gt;"",$Q2556&lt;=Hoje+JanelaRet,$Q2556&gt;=Hoje-60),MAX($V$4:$V2555)+1,"")</f>
        <v>0</v>
      </c>
    </row>
    <row r="2557" spans="1:22">
      <c r="A2557" s="16"/>
      <c r="B2557" s="23"/>
      <c r="C2557" s="15"/>
      <c r="D2557" s="15"/>
      <c r="E2557" s="15"/>
      <c r="F2557" s="24"/>
      <c r="G2557" s="17"/>
      <c r="H2557" s="17"/>
      <c r="I2557" s="15"/>
      <c r="J2557" s="25">
        <f>IF($D2557="","",IFERROR(INDEX(PacNome,MATCH($D2557,PacCod,0)),"Paciente não cadastrado"))</f>
        <v>0</v>
      </c>
      <c r="K2557" s="26">
        <f>IF($D2557="","",IFERROR(INDEX(PacConv,MATCH($D2557,PacCod,0))&amp;"",""))</f>
        <v>0</v>
      </c>
      <c r="L2557" s="26">
        <f>IF($A2557="","",CHOOSE(WEEKDAY($A2557,2),"Seg","Ter","Qua","Qui","Sex","Sáb","Dom"))</f>
        <v>0</v>
      </c>
      <c r="M2557" s="27">
        <f>IF($E2557="","",IF($G2557&lt;&gt;"",$G2557,IFERROR(INDEX(ProcValor,MATCH($E2557,ProcNome,0)),0)))</f>
        <v>0</v>
      </c>
      <c r="N2557" s="27">
        <f>IF($M2557="","",IF($F2557="Compareceu",$M2557,0))</f>
        <v>0</v>
      </c>
      <c r="O2557" s="27">
        <f>IF($M2557="","",IF($F2557="Faltou",$M2557,0))</f>
        <v>0</v>
      </c>
      <c r="P2557" s="27">
        <f>IF($M2557="","",IF($F2557="Compareceu",MAX(0,$M2557-N($H2557)),0))</f>
        <v>0</v>
      </c>
      <c r="Q2557" s="19">
        <f>IF(AND($F2557="Compareceu",$E2557&lt;&gt;"",$A2557&lt;&gt;""),IF(IFERROR(INDEX(ProcRet,MATCH($E2557,ProcNome,0)),0)&gt;0,$A2557+INDEX(ProcRet,MATCH($E2557,ProcNome,0)),""),"")</f>
        <v>0</v>
      </c>
      <c r="R2557" s="26">
        <f>IF($Q2557="","",IF(COUNTIFS(AgPac,$D2557,AgData,"&gt;"&amp;$A2557,AgStatus,"&lt;&gt;Cancelado",AgStatus,"&lt;&gt;Remarcado")&gt;0,"Sim","Não"))</f>
        <v>0</v>
      </c>
      <c r="S2557" s="28">
        <f>IF($A2557="","",IF(AND($F2557="Agendado",$A2557-Hoje&gt;=0,$A2557-Hoje&lt;=DiasConf),"CONFIRMAR",IF(AND($A2557&lt;Hoje,OR($F2557="Agendado",$F2557="Confirmado")),"Atualizar status",IF(AND($F2557="Compareceu",$P2557&gt;0.005),"Cobrar",IF($F2557="Faltou","Falta: reagendar","")))))</f>
        <v>0</v>
      </c>
      <c r="T2557" s="29">
        <f>IF($A2557="","",DATE(YEAR($A2557),MONTH($A2557),1))</f>
        <v>0</v>
      </c>
      <c r="U2557" s="30">
        <f>IF($S2557="CONFIRMAR",MAX($U$4:$U2556)+1,"")</f>
        <v>0</v>
      </c>
      <c r="V2557" s="30">
        <f>IF(AND($R2557="Não",$Q2557&lt;&gt;"",$Q2557&lt;=Hoje+JanelaRet,$Q2557&gt;=Hoje-60),MAX($V$4:$V2556)+1,"")</f>
        <v>0</v>
      </c>
    </row>
    <row r="2558" spans="1:22">
      <c r="A2558" s="16"/>
      <c r="B2558" s="23"/>
      <c r="C2558" s="15"/>
      <c r="D2558" s="15"/>
      <c r="E2558" s="15"/>
      <c r="F2558" s="24"/>
      <c r="G2558" s="17"/>
      <c r="H2558" s="17"/>
      <c r="I2558" s="15"/>
      <c r="J2558" s="25">
        <f>IF($D2558="","",IFERROR(INDEX(PacNome,MATCH($D2558,PacCod,0)),"Paciente não cadastrado"))</f>
        <v>0</v>
      </c>
      <c r="K2558" s="26">
        <f>IF($D2558="","",IFERROR(INDEX(PacConv,MATCH($D2558,PacCod,0))&amp;"",""))</f>
        <v>0</v>
      </c>
      <c r="L2558" s="26">
        <f>IF($A2558="","",CHOOSE(WEEKDAY($A2558,2),"Seg","Ter","Qua","Qui","Sex","Sáb","Dom"))</f>
        <v>0</v>
      </c>
      <c r="M2558" s="27">
        <f>IF($E2558="","",IF($G2558&lt;&gt;"",$G2558,IFERROR(INDEX(ProcValor,MATCH($E2558,ProcNome,0)),0)))</f>
        <v>0</v>
      </c>
      <c r="N2558" s="27">
        <f>IF($M2558="","",IF($F2558="Compareceu",$M2558,0))</f>
        <v>0</v>
      </c>
      <c r="O2558" s="27">
        <f>IF($M2558="","",IF($F2558="Faltou",$M2558,0))</f>
        <v>0</v>
      </c>
      <c r="P2558" s="27">
        <f>IF($M2558="","",IF($F2558="Compareceu",MAX(0,$M2558-N($H2558)),0))</f>
        <v>0</v>
      </c>
      <c r="Q2558" s="19">
        <f>IF(AND($F2558="Compareceu",$E2558&lt;&gt;"",$A2558&lt;&gt;""),IF(IFERROR(INDEX(ProcRet,MATCH($E2558,ProcNome,0)),0)&gt;0,$A2558+INDEX(ProcRet,MATCH($E2558,ProcNome,0)),""),"")</f>
        <v>0</v>
      </c>
      <c r="R2558" s="26">
        <f>IF($Q2558="","",IF(COUNTIFS(AgPac,$D2558,AgData,"&gt;"&amp;$A2558,AgStatus,"&lt;&gt;Cancelado",AgStatus,"&lt;&gt;Remarcado")&gt;0,"Sim","Não"))</f>
        <v>0</v>
      </c>
      <c r="S2558" s="28">
        <f>IF($A2558="","",IF(AND($F2558="Agendado",$A2558-Hoje&gt;=0,$A2558-Hoje&lt;=DiasConf),"CONFIRMAR",IF(AND($A2558&lt;Hoje,OR($F2558="Agendado",$F2558="Confirmado")),"Atualizar status",IF(AND($F2558="Compareceu",$P2558&gt;0.005),"Cobrar",IF($F2558="Faltou","Falta: reagendar","")))))</f>
        <v>0</v>
      </c>
      <c r="T2558" s="29">
        <f>IF($A2558="","",DATE(YEAR($A2558),MONTH($A2558),1))</f>
        <v>0</v>
      </c>
      <c r="U2558" s="30">
        <f>IF($S2558="CONFIRMAR",MAX($U$4:$U2557)+1,"")</f>
        <v>0</v>
      </c>
      <c r="V2558" s="30">
        <f>IF(AND($R2558="Não",$Q2558&lt;&gt;"",$Q2558&lt;=Hoje+JanelaRet,$Q2558&gt;=Hoje-60),MAX($V$4:$V2557)+1,"")</f>
        <v>0</v>
      </c>
    </row>
    <row r="2559" spans="1:22">
      <c r="A2559" s="16"/>
      <c r="B2559" s="23"/>
      <c r="C2559" s="15"/>
      <c r="D2559" s="15"/>
      <c r="E2559" s="15"/>
      <c r="F2559" s="24"/>
      <c r="G2559" s="17"/>
      <c r="H2559" s="17"/>
      <c r="I2559" s="15"/>
      <c r="J2559" s="25">
        <f>IF($D2559="","",IFERROR(INDEX(PacNome,MATCH($D2559,PacCod,0)),"Paciente não cadastrado"))</f>
        <v>0</v>
      </c>
      <c r="K2559" s="26">
        <f>IF($D2559="","",IFERROR(INDEX(PacConv,MATCH($D2559,PacCod,0))&amp;"",""))</f>
        <v>0</v>
      </c>
      <c r="L2559" s="26">
        <f>IF($A2559="","",CHOOSE(WEEKDAY($A2559,2),"Seg","Ter","Qua","Qui","Sex","Sáb","Dom"))</f>
        <v>0</v>
      </c>
      <c r="M2559" s="27">
        <f>IF($E2559="","",IF($G2559&lt;&gt;"",$G2559,IFERROR(INDEX(ProcValor,MATCH($E2559,ProcNome,0)),0)))</f>
        <v>0</v>
      </c>
      <c r="N2559" s="27">
        <f>IF($M2559="","",IF($F2559="Compareceu",$M2559,0))</f>
        <v>0</v>
      </c>
      <c r="O2559" s="27">
        <f>IF($M2559="","",IF($F2559="Faltou",$M2559,0))</f>
        <v>0</v>
      </c>
      <c r="P2559" s="27">
        <f>IF($M2559="","",IF($F2559="Compareceu",MAX(0,$M2559-N($H2559)),0))</f>
        <v>0</v>
      </c>
      <c r="Q2559" s="19">
        <f>IF(AND($F2559="Compareceu",$E2559&lt;&gt;"",$A2559&lt;&gt;""),IF(IFERROR(INDEX(ProcRet,MATCH($E2559,ProcNome,0)),0)&gt;0,$A2559+INDEX(ProcRet,MATCH($E2559,ProcNome,0)),""),"")</f>
        <v>0</v>
      </c>
      <c r="R2559" s="26">
        <f>IF($Q2559="","",IF(COUNTIFS(AgPac,$D2559,AgData,"&gt;"&amp;$A2559,AgStatus,"&lt;&gt;Cancelado",AgStatus,"&lt;&gt;Remarcado")&gt;0,"Sim","Não"))</f>
        <v>0</v>
      </c>
      <c r="S2559" s="28">
        <f>IF($A2559="","",IF(AND($F2559="Agendado",$A2559-Hoje&gt;=0,$A2559-Hoje&lt;=DiasConf),"CONFIRMAR",IF(AND($A2559&lt;Hoje,OR($F2559="Agendado",$F2559="Confirmado")),"Atualizar status",IF(AND($F2559="Compareceu",$P2559&gt;0.005),"Cobrar",IF($F2559="Faltou","Falta: reagendar","")))))</f>
        <v>0</v>
      </c>
      <c r="T2559" s="29">
        <f>IF($A2559="","",DATE(YEAR($A2559),MONTH($A2559),1))</f>
        <v>0</v>
      </c>
      <c r="U2559" s="30">
        <f>IF($S2559="CONFIRMAR",MAX($U$4:$U2558)+1,"")</f>
        <v>0</v>
      </c>
      <c r="V2559" s="30">
        <f>IF(AND($R2559="Não",$Q2559&lt;&gt;"",$Q2559&lt;=Hoje+JanelaRet,$Q2559&gt;=Hoje-60),MAX($V$4:$V2558)+1,"")</f>
        <v>0</v>
      </c>
    </row>
    <row r="2560" spans="1:22">
      <c r="A2560" s="16"/>
      <c r="B2560" s="23"/>
      <c r="C2560" s="15"/>
      <c r="D2560" s="15"/>
      <c r="E2560" s="15"/>
      <c r="F2560" s="24"/>
      <c r="G2560" s="17"/>
      <c r="H2560" s="17"/>
      <c r="I2560" s="15"/>
      <c r="J2560" s="25">
        <f>IF($D2560="","",IFERROR(INDEX(PacNome,MATCH($D2560,PacCod,0)),"Paciente não cadastrado"))</f>
        <v>0</v>
      </c>
      <c r="K2560" s="26">
        <f>IF($D2560="","",IFERROR(INDEX(PacConv,MATCH($D2560,PacCod,0))&amp;"",""))</f>
        <v>0</v>
      </c>
      <c r="L2560" s="26">
        <f>IF($A2560="","",CHOOSE(WEEKDAY($A2560,2),"Seg","Ter","Qua","Qui","Sex","Sáb","Dom"))</f>
        <v>0</v>
      </c>
      <c r="M2560" s="27">
        <f>IF($E2560="","",IF($G2560&lt;&gt;"",$G2560,IFERROR(INDEX(ProcValor,MATCH($E2560,ProcNome,0)),0)))</f>
        <v>0</v>
      </c>
      <c r="N2560" s="27">
        <f>IF($M2560="","",IF($F2560="Compareceu",$M2560,0))</f>
        <v>0</v>
      </c>
      <c r="O2560" s="27">
        <f>IF($M2560="","",IF($F2560="Faltou",$M2560,0))</f>
        <v>0</v>
      </c>
      <c r="P2560" s="27">
        <f>IF($M2560="","",IF($F2560="Compareceu",MAX(0,$M2560-N($H2560)),0))</f>
        <v>0</v>
      </c>
      <c r="Q2560" s="19">
        <f>IF(AND($F2560="Compareceu",$E2560&lt;&gt;"",$A2560&lt;&gt;""),IF(IFERROR(INDEX(ProcRet,MATCH($E2560,ProcNome,0)),0)&gt;0,$A2560+INDEX(ProcRet,MATCH($E2560,ProcNome,0)),""),"")</f>
        <v>0</v>
      </c>
      <c r="R2560" s="26">
        <f>IF($Q2560="","",IF(COUNTIFS(AgPac,$D2560,AgData,"&gt;"&amp;$A2560,AgStatus,"&lt;&gt;Cancelado",AgStatus,"&lt;&gt;Remarcado")&gt;0,"Sim","Não"))</f>
        <v>0</v>
      </c>
      <c r="S2560" s="28">
        <f>IF($A2560="","",IF(AND($F2560="Agendado",$A2560-Hoje&gt;=0,$A2560-Hoje&lt;=DiasConf),"CONFIRMAR",IF(AND($A2560&lt;Hoje,OR($F2560="Agendado",$F2560="Confirmado")),"Atualizar status",IF(AND($F2560="Compareceu",$P2560&gt;0.005),"Cobrar",IF($F2560="Faltou","Falta: reagendar","")))))</f>
        <v>0</v>
      </c>
      <c r="T2560" s="29">
        <f>IF($A2560="","",DATE(YEAR($A2560),MONTH($A2560),1))</f>
        <v>0</v>
      </c>
      <c r="U2560" s="30">
        <f>IF($S2560="CONFIRMAR",MAX($U$4:$U2559)+1,"")</f>
        <v>0</v>
      </c>
      <c r="V2560" s="30">
        <f>IF(AND($R2560="Não",$Q2560&lt;&gt;"",$Q2560&lt;=Hoje+JanelaRet,$Q2560&gt;=Hoje-60),MAX($V$4:$V2559)+1,"")</f>
        <v>0</v>
      </c>
    </row>
    <row r="2561" spans="1:22">
      <c r="A2561" s="16"/>
      <c r="B2561" s="23"/>
      <c r="C2561" s="15"/>
      <c r="D2561" s="15"/>
      <c r="E2561" s="15"/>
      <c r="F2561" s="24"/>
      <c r="G2561" s="17"/>
      <c r="H2561" s="17"/>
      <c r="I2561" s="15"/>
      <c r="J2561" s="25">
        <f>IF($D2561="","",IFERROR(INDEX(PacNome,MATCH($D2561,PacCod,0)),"Paciente não cadastrado"))</f>
        <v>0</v>
      </c>
      <c r="K2561" s="26">
        <f>IF($D2561="","",IFERROR(INDEX(PacConv,MATCH($D2561,PacCod,0))&amp;"",""))</f>
        <v>0</v>
      </c>
      <c r="L2561" s="26">
        <f>IF($A2561="","",CHOOSE(WEEKDAY($A2561,2),"Seg","Ter","Qua","Qui","Sex","Sáb","Dom"))</f>
        <v>0</v>
      </c>
      <c r="M2561" s="27">
        <f>IF($E2561="","",IF($G2561&lt;&gt;"",$G2561,IFERROR(INDEX(ProcValor,MATCH($E2561,ProcNome,0)),0)))</f>
        <v>0</v>
      </c>
      <c r="N2561" s="27">
        <f>IF($M2561="","",IF($F2561="Compareceu",$M2561,0))</f>
        <v>0</v>
      </c>
      <c r="O2561" s="27">
        <f>IF($M2561="","",IF($F2561="Faltou",$M2561,0))</f>
        <v>0</v>
      </c>
      <c r="P2561" s="27">
        <f>IF($M2561="","",IF($F2561="Compareceu",MAX(0,$M2561-N($H2561)),0))</f>
        <v>0</v>
      </c>
      <c r="Q2561" s="19">
        <f>IF(AND($F2561="Compareceu",$E2561&lt;&gt;"",$A2561&lt;&gt;""),IF(IFERROR(INDEX(ProcRet,MATCH($E2561,ProcNome,0)),0)&gt;0,$A2561+INDEX(ProcRet,MATCH($E2561,ProcNome,0)),""),"")</f>
        <v>0</v>
      </c>
      <c r="R2561" s="26">
        <f>IF($Q2561="","",IF(COUNTIFS(AgPac,$D2561,AgData,"&gt;"&amp;$A2561,AgStatus,"&lt;&gt;Cancelado",AgStatus,"&lt;&gt;Remarcado")&gt;0,"Sim","Não"))</f>
        <v>0</v>
      </c>
      <c r="S2561" s="28">
        <f>IF($A2561="","",IF(AND($F2561="Agendado",$A2561-Hoje&gt;=0,$A2561-Hoje&lt;=DiasConf),"CONFIRMAR",IF(AND($A2561&lt;Hoje,OR($F2561="Agendado",$F2561="Confirmado")),"Atualizar status",IF(AND($F2561="Compareceu",$P2561&gt;0.005),"Cobrar",IF($F2561="Faltou","Falta: reagendar","")))))</f>
        <v>0</v>
      </c>
      <c r="T2561" s="29">
        <f>IF($A2561="","",DATE(YEAR($A2561),MONTH($A2561),1))</f>
        <v>0</v>
      </c>
      <c r="U2561" s="30">
        <f>IF($S2561="CONFIRMAR",MAX($U$4:$U2560)+1,"")</f>
        <v>0</v>
      </c>
      <c r="V2561" s="30">
        <f>IF(AND($R2561="Não",$Q2561&lt;&gt;"",$Q2561&lt;=Hoje+JanelaRet,$Q2561&gt;=Hoje-60),MAX($V$4:$V2560)+1,"")</f>
        <v>0</v>
      </c>
    </row>
    <row r="2562" spans="1:22">
      <c r="A2562" s="16"/>
      <c r="B2562" s="23"/>
      <c r="C2562" s="15"/>
      <c r="D2562" s="15"/>
      <c r="E2562" s="15"/>
      <c r="F2562" s="24"/>
      <c r="G2562" s="17"/>
      <c r="H2562" s="17"/>
      <c r="I2562" s="15"/>
      <c r="J2562" s="25">
        <f>IF($D2562="","",IFERROR(INDEX(PacNome,MATCH($D2562,PacCod,0)),"Paciente não cadastrado"))</f>
        <v>0</v>
      </c>
      <c r="K2562" s="26">
        <f>IF($D2562="","",IFERROR(INDEX(PacConv,MATCH($D2562,PacCod,0))&amp;"",""))</f>
        <v>0</v>
      </c>
      <c r="L2562" s="26">
        <f>IF($A2562="","",CHOOSE(WEEKDAY($A2562,2),"Seg","Ter","Qua","Qui","Sex","Sáb","Dom"))</f>
        <v>0</v>
      </c>
      <c r="M2562" s="27">
        <f>IF($E2562="","",IF($G2562&lt;&gt;"",$G2562,IFERROR(INDEX(ProcValor,MATCH($E2562,ProcNome,0)),0)))</f>
        <v>0</v>
      </c>
      <c r="N2562" s="27">
        <f>IF($M2562="","",IF($F2562="Compareceu",$M2562,0))</f>
        <v>0</v>
      </c>
      <c r="O2562" s="27">
        <f>IF($M2562="","",IF($F2562="Faltou",$M2562,0))</f>
        <v>0</v>
      </c>
      <c r="P2562" s="27">
        <f>IF($M2562="","",IF($F2562="Compareceu",MAX(0,$M2562-N($H2562)),0))</f>
        <v>0</v>
      </c>
      <c r="Q2562" s="19">
        <f>IF(AND($F2562="Compareceu",$E2562&lt;&gt;"",$A2562&lt;&gt;""),IF(IFERROR(INDEX(ProcRet,MATCH($E2562,ProcNome,0)),0)&gt;0,$A2562+INDEX(ProcRet,MATCH($E2562,ProcNome,0)),""),"")</f>
        <v>0</v>
      </c>
      <c r="R2562" s="26">
        <f>IF($Q2562="","",IF(COUNTIFS(AgPac,$D2562,AgData,"&gt;"&amp;$A2562,AgStatus,"&lt;&gt;Cancelado",AgStatus,"&lt;&gt;Remarcado")&gt;0,"Sim","Não"))</f>
        <v>0</v>
      </c>
      <c r="S2562" s="28">
        <f>IF($A2562="","",IF(AND($F2562="Agendado",$A2562-Hoje&gt;=0,$A2562-Hoje&lt;=DiasConf),"CONFIRMAR",IF(AND($A2562&lt;Hoje,OR($F2562="Agendado",$F2562="Confirmado")),"Atualizar status",IF(AND($F2562="Compareceu",$P2562&gt;0.005),"Cobrar",IF($F2562="Faltou","Falta: reagendar","")))))</f>
        <v>0</v>
      </c>
      <c r="T2562" s="29">
        <f>IF($A2562="","",DATE(YEAR($A2562),MONTH($A2562),1))</f>
        <v>0</v>
      </c>
      <c r="U2562" s="30">
        <f>IF($S2562="CONFIRMAR",MAX($U$4:$U2561)+1,"")</f>
        <v>0</v>
      </c>
      <c r="V2562" s="30">
        <f>IF(AND($R2562="Não",$Q2562&lt;&gt;"",$Q2562&lt;=Hoje+JanelaRet,$Q2562&gt;=Hoje-60),MAX($V$4:$V2561)+1,"")</f>
        <v>0</v>
      </c>
    </row>
    <row r="2563" spans="1:22">
      <c r="A2563" s="16"/>
      <c r="B2563" s="23"/>
      <c r="C2563" s="15"/>
      <c r="D2563" s="15"/>
      <c r="E2563" s="15"/>
      <c r="F2563" s="24"/>
      <c r="G2563" s="17"/>
      <c r="H2563" s="17"/>
      <c r="I2563" s="15"/>
      <c r="J2563" s="25">
        <f>IF($D2563="","",IFERROR(INDEX(PacNome,MATCH($D2563,PacCod,0)),"Paciente não cadastrado"))</f>
        <v>0</v>
      </c>
      <c r="K2563" s="26">
        <f>IF($D2563="","",IFERROR(INDEX(PacConv,MATCH($D2563,PacCod,0))&amp;"",""))</f>
        <v>0</v>
      </c>
      <c r="L2563" s="26">
        <f>IF($A2563="","",CHOOSE(WEEKDAY($A2563,2),"Seg","Ter","Qua","Qui","Sex","Sáb","Dom"))</f>
        <v>0</v>
      </c>
      <c r="M2563" s="27">
        <f>IF($E2563="","",IF($G2563&lt;&gt;"",$G2563,IFERROR(INDEX(ProcValor,MATCH($E2563,ProcNome,0)),0)))</f>
        <v>0</v>
      </c>
      <c r="N2563" s="27">
        <f>IF($M2563="","",IF($F2563="Compareceu",$M2563,0))</f>
        <v>0</v>
      </c>
      <c r="O2563" s="27">
        <f>IF($M2563="","",IF($F2563="Faltou",$M2563,0))</f>
        <v>0</v>
      </c>
      <c r="P2563" s="27">
        <f>IF($M2563="","",IF($F2563="Compareceu",MAX(0,$M2563-N($H2563)),0))</f>
        <v>0</v>
      </c>
      <c r="Q2563" s="19">
        <f>IF(AND($F2563="Compareceu",$E2563&lt;&gt;"",$A2563&lt;&gt;""),IF(IFERROR(INDEX(ProcRet,MATCH($E2563,ProcNome,0)),0)&gt;0,$A2563+INDEX(ProcRet,MATCH($E2563,ProcNome,0)),""),"")</f>
        <v>0</v>
      </c>
      <c r="R2563" s="26">
        <f>IF($Q2563="","",IF(COUNTIFS(AgPac,$D2563,AgData,"&gt;"&amp;$A2563,AgStatus,"&lt;&gt;Cancelado",AgStatus,"&lt;&gt;Remarcado")&gt;0,"Sim","Não"))</f>
        <v>0</v>
      </c>
      <c r="S2563" s="28">
        <f>IF($A2563="","",IF(AND($F2563="Agendado",$A2563-Hoje&gt;=0,$A2563-Hoje&lt;=DiasConf),"CONFIRMAR",IF(AND($A2563&lt;Hoje,OR($F2563="Agendado",$F2563="Confirmado")),"Atualizar status",IF(AND($F2563="Compareceu",$P2563&gt;0.005),"Cobrar",IF($F2563="Faltou","Falta: reagendar","")))))</f>
        <v>0</v>
      </c>
      <c r="T2563" s="29">
        <f>IF($A2563="","",DATE(YEAR($A2563),MONTH($A2563),1))</f>
        <v>0</v>
      </c>
      <c r="U2563" s="30">
        <f>IF($S2563="CONFIRMAR",MAX($U$4:$U2562)+1,"")</f>
        <v>0</v>
      </c>
      <c r="V2563" s="30">
        <f>IF(AND($R2563="Não",$Q2563&lt;&gt;"",$Q2563&lt;=Hoje+JanelaRet,$Q2563&gt;=Hoje-60),MAX($V$4:$V2562)+1,"")</f>
        <v>0</v>
      </c>
    </row>
    <row r="2564" spans="1:22">
      <c r="A2564" s="16"/>
      <c r="B2564" s="23"/>
      <c r="C2564" s="15"/>
      <c r="D2564" s="15"/>
      <c r="E2564" s="15"/>
      <c r="F2564" s="24"/>
      <c r="G2564" s="17"/>
      <c r="H2564" s="17"/>
      <c r="I2564" s="15"/>
      <c r="J2564" s="25">
        <f>IF($D2564="","",IFERROR(INDEX(PacNome,MATCH($D2564,PacCod,0)),"Paciente não cadastrado"))</f>
        <v>0</v>
      </c>
      <c r="K2564" s="26">
        <f>IF($D2564="","",IFERROR(INDEX(PacConv,MATCH($D2564,PacCod,0))&amp;"",""))</f>
        <v>0</v>
      </c>
      <c r="L2564" s="26">
        <f>IF($A2564="","",CHOOSE(WEEKDAY($A2564,2),"Seg","Ter","Qua","Qui","Sex","Sáb","Dom"))</f>
        <v>0</v>
      </c>
      <c r="M2564" s="27">
        <f>IF($E2564="","",IF($G2564&lt;&gt;"",$G2564,IFERROR(INDEX(ProcValor,MATCH($E2564,ProcNome,0)),0)))</f>
        <v>0</v>
      </c>
      <c r="N2564" s="27">
        <f>IF($M2564="","",IF($F2564="Compareceu",$M2564,0))</f>
        <v>0</v>
      </c>
      <c r="O2564" s="27">
        <f>IF($M2564="","",IF($F2564="Faltou",$M2564,0))</f>
        <v>0</v>
      </c>
      <c r="P2564" s="27">
        <f>IF($M2564="","",IF($F2564="Compareceu",MAX(0,$M2564-N($H2564)),0))</f>
        <v>0</v>
      </c>
      <c r="Q2564" s="19">
        <f>IF(AND($F2564="Compareceu",$E2564&lt;&gt;"",$A2564&lt;&gt;""),IF(IFERROR(INDEX(ProcRet,MATCH($E2564,ProcNome,0)),0)&gt;0,$A2564+INDEX(ProcRet,MATCH($E2564,ProcNome,0)),""),"")</f>
        <v>0</v>
      </c>
      <c r="R2564" s="26">
        <f>IF($Q2564="","",IF(COUNTIFS(AgPac,$D2564,AgData,"&gt;"&amp;$A2564,AgStatus,"&lt;&gt;Cancelado",AgStatus,"&lt;&gt;Remarcado")&gt;0,"Sim","Não"))</f>
        <v>0</v>
      </c>
      <c r="S2564" s="28">
        <f>IF($A2564="","",IF(AND($F2564="Agendado",$A2564-Hoje&gt;=0,$A2564-Hoje&lt;=DiasConf),"CONFIRMAR",IF(AND($A2564&lt;Hoje,OR($F2564="Agendado",$F2564="Confirmado")),"Atualizar status",IF(AND($F2564="Compareceu",$P2564&gt;0.005),"Cobrar",IF($F2564="Faltou","Falta: reagendar","")))))</f>
        <v>0</v>
      </c>
      <c r="T2564" s="29">
        <f>IF($A2564="","",DATE(YEAR($A2564),MONTH($A2564),1))</f>
        <v>0</v>
      </c>
      <c r="U2564" s="30">
        <f>IF($S2564="CONFIRMAR",MAX($U$4:$U2563)+1,"")</f>
        <v>0</v>
      </c>
      <c r="V2564" s="30">
        <f>IF(AND($R2564="Não",$Q2564&lt;&gt;"",$Q2564&lt;=Hoje+JanelaRet,$Q2564&gt;=Hoje-60),MAX($V$4:$V2563)+1,"")</f>
        <v>0</v>
      </c>
    </row>
    <row r="2565" spans="1:22">
      <c r="A2565" s="16"/>
      <c r="B2565" s="23"/>
      <c r="C2565" s="15"/>
      <c r="D2565" s="15"/>
      <c r="E2565" s="15"/>
      <c r="F2565" s="24"/>
      <c r="G2565" s="17"/>
      <c r="H2565" s="17"/>
      <c r="I2565" s="15"/>
      <c r="J2565" s="25">
        <f>IF($D2565="","",IFERROR(INDEX(PacNome,MATCH($D2565,PacCod,0)),"Paciente não cadastrado"))</f>
        <v>0</v>
      </c>
      <c r="K2565" s="26">
        <f>IF($D2565="","",IFERROR(INDEX(PacConv,MATCH($D2565,PacCod,0))&amp;"",""))</f>
        <v>0</v>
      </c>
      <c r="L2565" s="26">
        <f>IF($A2565="","",CHOOSE(WEEKDAY($A2565,2),"Seg","Ter","Qua","Qui","Sex","Sáb","Dom"))</f>
        <v>0</v>
      </c>
      <c r="M2565" s="27">
        <f>IF($E2565="","",IF($G2565&lt;&gt;"",$G2565,IFERROR(INDEX(ProcValor,MATCH($E2565,ProcNome,0)),0)))</f>
        <v>0</v>
      </c>
      <c r="N2565" s="27">
        <f>IF($M2565="","",IF($F2565="Compareceu",$M2565,0))</f>
        <v>0</v>
      </c>
      <c r="O2565" s="27">
        <f>IF($M2565="","",IF($F2565="Faltou",$M2565,0))</f>
        <v>0</v>
      </c>
      <c r="P2565" s="27">
        <f>IF($M2565="","",IF($F2565="Compareceu",MAX(0,$M2565-N($H2565)),0))</f>
        <v>0</v>
      </c>
      <c r="Q2565" s="19">
        <f>IF(AND($F2565="Compareceu",$E2565&lt;&gt;"",$A2565&lt;&gt;""),IF(IFERROR(INDEX(ProcRet,MATCH($E2565,ProcNome,0)),0)&gt;0,$A2565+INDEX(ProcRet,MATCH($E2565,ProcNome,0)),""),"")</f>
        <v>0</v>
      </c>
      <c r="R2565" s="26">
        <f>IF($Q2565="","",IF(COUNTIFS(AgPac,$D2565,AgData,"&gt;"&amp;$A2565,AgStatus,"&lt;&gt;Cancelado",AgStatus,"&lt;&gt;Remarcado")&gt;0,"Sim","Não"))</f>
        <v>0</v>
      </c>
      <c r="S2565" s="28">
        <f>IF($A2565="","",IF(AND($F2565="Agendado",$A2565-Hoje&gt;=0,$A2565-Hoje&lt;=DiasConf),"CONFIRMAR",IF(AND($A2565&lt;Hoje,OR($F2565="Agendado",$F2565="Confirmado")),"Atualizar status",IF(AND($F2565="Compareceu",$P2565&gt;0.005),"Cobrar",IF($F2565="Faltou","Falta: reagendar","")))))</f>
        <v>0</v>
      </c>
      <c r="T2565" s="29">
        <f>IF($A2565="","",DATE(YEAR($A2565),MONTH($A2565),1))</f>
        <v>0</v>
      </c>
      <c r="U2565" s="30">
        <f>IF($S2565="CONFIRMAR",MAX($U$4:$U2564)+1,"")</f>
        <v>0</v>
      </c>
      <c r="V2565" s="30">
        <f>IF(AND($R2565="Não",$Q2565&lt;&gt;"",$Q2565&lt;=Hoje+JanelaRet,$Q2565&gt;=Hoje-60),MAX($V$4:$V2564)+1,"")</f>
        <v>0</v>
      </c>
    </row>
    <row r="2566" spans="1:22">
      <c r="A2566" s="16"/>
      <c r="B2566" s="23"/>
      <c r="C2566" s="15"/>
      <c r="D2566" s="15"/>
      <c r="E2566" s="15"/>
      <c r="F2566" s="24"/>
      <c r="G2566" s="17"/>
      <c r="H2566" s="17"/>
      <c r="I2566" s="15"/>
      <c r="J2566" s="25">
        <f>IF($D2566="","",IFERROR(INDEX(PacNome,MATCH($D2566,PacCod,0)),"Paciente não cadastrado"))</f>
        <v>0</v>
      </c>
      <c r="K2566" s="26">
        <f>IF($D2566="","",IFERROR(INDEX(PacConv,MATCH($D2566,PacCod,0))&amp;"",""))</f>
        <v>0</v>
      </c>
      <c r="L2566" s="26">
        <f>IF($A2566="","",CHOOSE(WEEKDAY($A2566,2),"Seg","Ter","Qua","Qui","Sex","Sáb","Dom"))</f>
        <v>0</v>
      </c>
      <c r="M2566" s="27">
        <f>IF($E2566="","",IF($G2566&lt;&gt;"",$G2566,IFERROR(INDEX(ProcValor,MATCH($E2566,ProcNome,0)),0)))</f>
        <v>0</v>
      </c>
      <c r="N2566" s="27">
        <f>IF($M2566="","",IF($F2566="Compareceu",$M2566,0))</f>
        <v>0</v>
      </c>
      <c r="O2566" s="27">
        <f>IF($M2566="","",IF($F2566="Faltou",$M2566,0))</f>
        <v>0</v>
      </c>
      <c r="P2566" s="27">
        <f>IF($M2566="","",IF($F2566="Compareceu",MAX(0,$M2566-N($H2566)),0))</f>
        <v>0</v>
      </c>
      <c r="Q2566" s="19">
        <f>IF(AND($F2566="Compareceu",$E2566&lt;&gt;"",$A2566&lt;&gt;""),IF(IFERROR(INDEX(ProcRet,MATCH($E2566,ProcNome,0)),0)&gt;0,$A2566+INDEX(ProcRet,MATCH($E2566,ProcNome,0)),""),"")</f>
        <v>0</v>
      </c>
      <c r="R2566" s="26">
        <f>IF($Q2566="","",IF(COUNTIFS(AgPac,$D2566,AgData,"&gt;"&amp;$A2566,AgStatus,"&lt;&gt;Cancelado",AgStatus,"&lt;&gt;Remarcado")&gt;0,"Sim","Não"))</f>
        <v>0</v>
      </c>
      <c r="S2566" s="28">
        <f>IF($A2566="","",IF(AND($F2566="Agendado",$A2566-Hoje&gt;=0,$A2566-Hoje&lt;=DiasConf),"CONFIRMAR",IF(AND($A2566&lt;Hoje,OR($F2566="Agendado",$F2566="Confirmado")),"Atualizar status",IF(AND($F2566="Compareceu",$P2566&gt;0.005),"Cobrar",IF($F2566="Faltou","Falta: reagendar","")))))</f>
        <v>0</v>
      </c>
      <c r="T2566" s="29">
        <f>IF($A2566="","",DATE(YEAR($A2566),MONTH($A2566),1))</f>
        <v>0</v>
      </c>
      <c r="U2566" s="30">
        <f>IF($S2566="CONFIRMAR",MAX($U$4:$U2565)+1,"")</f>
        <v>0</v>
      </c>
      <c r="V2566" s="30">
        <f>IF(AND($R2566="Não",$Q2566&lt;&gt;"",$Q2566&lt;=Hoje+JanelaRet,$Q2566&gt;=Hoje-60),MAX($V$4:$V2565)+1,"")</f>
        <v>0</v>
      </c>
    </row>
    <row r="2567" spans="1:22">
      <c r="A2567" s="16"/>
      <c r="B2567" s="23"/>
      <c r="C2567" s="15"/>
      <c r="D2567" s="15"/>
      <c r="E2567" s="15"/>
      <c r="F2567" s="24"/>
      <c r="G2567" s="17"/>
      <c r="H2567" s="17"/>
      <c r="I2567" s="15"/>
      <c r="J2567" s="25">
        <f>IF($D2567="","",IFERROR(INDEX(PacNome,MATCH($D2567,PacCod,0)),"Paciente não cadastrado"))</f>
        <v>0</v>
      </c>
      <c r="K2567" s="26">
        <f>IF($D2567="","",IFERROR(INDEX(PacConv,MATCH($D2567,PacCod,0))&amp;"",""))</f>
        <v>0</v>
      </c>
      <c r="L2567" s="26">
        <f>IF($A2567="","",CHOOSE(WEEKDAY($A2567,2),"Seg","Ter","Qua","Qui","Sex","Sáb","Dom"))</f>
        <v>0</v>
      </c>
      <c r="M2567" s="27">
        <f>IF($E2567="","",IF($G2567&lt;&gt;"",$G2567,IFERROR(INDEX(ProcValor,MATCH($E2567,ProcNome,0)),0)))</f>
        <v>0</v>
      </c>
      <c r="N2567" s="27">
        <f>IF($M2567="","",IF($F2567="Compareceu",$M2567,0))</f>
        <v>0</v>
      </c>
      <c r="O2567" s="27">
        <f>IF($M2567="","",IF($F2567="Faltou",$M2567,0))</f>
        <v>0</v>
      </c>
      <c r="P2567" s="27">
        <f>IF($M2567="","",IF($F2567="Compareceu",MAX(0,$M2567-N($H2567)),0))</f>
        <v>0</v>
      </c>
      <c r="Q2567" s="19">
        <f>IF(AND($F2567="Compareceu",$E2567&lt;&gt;"",$A2567&lt;&gt;""),IF(IFERROR(INDEX(ProcRet,MATCH($E2567,ProcNome,0)),0)&gt;0,$A2567+INDEX(ProcRet,MATCH($E2567,ProcNome,0)),""),"")</f>
        <v>0</v>
      </c>
      <c r="R2567" s="26">
        <f>IF($Q2567="","",IF(COUNTIFS(AgPac,$D2567,AgData,"&gt;"&amp;$A2567,AgStatus,"&lt;&gt;Cancelado",AgStatus,"&lt;&gt;Remarcado")&gt;0,"Sim","Não"))</f>
        <v>0</v>
      </c>
      <c r="S2567" s="28">
        <f>IF($A2567="","",IF(AND($F2567="Agendado",$A2567-Hoje&gt;=0,$A2567-Hoje&lt;=DiasConf),"CONFIRMAR",IF(AND($A2567&lt;Hoje,OR($F2567="Agendado",$F2567="Confirmado")),"Atualizar status",IF(AND($F2567="Compareceu",$P2567&gt;0.005),"Cobrar",IF($F2567="Faltou","Falta: reagendar","")))))</f>
        <v>0</v>
      </c>
      <c r="T2567" s="29">
        <f>IF($A2567="","",DATE(YEAR($A2567),MONTH($A2567),1))</f>
        <v>0</v>
      </c>
      <c r="U2567" s="30">
        <f>IF($S2567="CONFIRMAR",MAX($U$4:$U2566)+1,"")</f>
        <v>0</v>
      </c>
      <c r="V2567" s="30">
        <f>IF(AND($R2567="Não",$Q2567&lt;&gt;"",$Q2567&lt;=Hoje+JanelaRet,$Q2567&gt;=Hoje-60),MAX($V$4:$V2566)+1,"")</f>
        <v>0</v>
      </c>
    </row>
    <row r="2568" spans="1:22">
      <c r="A2568" s="16"/>
      <c r="B2568" s="23"/>
      <c r="C2568" s="15"/>
      <c r="D2568" s="15"/>
      <c r="E2568" s="15"/>
      <c r="F2568" s="24"/>
      <c r="G2568" s="17"/>
      <c r="H2568" s="17"/>
      <c r="I2568" s="15"/>
      <c r="J2568" s="25">
        <f>IF($D2568="","",IFERROR(INDEX(PacNome,MATCH($D2568,PacCod,0)),"Paciente não cadastrado"))</f>
        <v>0</v>
      </c>
      <c r="K2568" s="26">
        <f>IF($D2568="","",IFERROR(INDEX(PacConv,MATCH($D2568,PacCod,0))&amp;"",""))</f>
        <v>0</v>
      </c>
      <c r="L2568" s="26">
        <f>IF($A2568="","",CHOOSE(WEEKDAY($A2568,2),"Seg","Ter","Qua","Qui","Sex","Sáb","Dom"))</f>
        <v>0</v>
      </c>
      <c r="M2568" s="27">
        <f>IF($E2568="","",IF($G2568&lt;&gt;"",$G2568,IFERROR(INDEX(ProcValor,MATCH($E2568,ProcNome,0)),0)))</f>
        <v>0</v>
      </c>
      <c r="N2568" s="27">
        <f>IF($M2568="","",IF($F2568="Compareceu",$M2568,0))</f>
        <v>0</v>
      </c>
      <c r="O2568" s="27">
        <f>IF($M2568="","",IF($F2568="Faltou",$M2568,0))</f>
        <v>0</v>
      </c>
      <c r="P2568" s="27">
        <f>IF($M2568="","",IF($F2568="Compareceu",MAX(0,$M2568-N($H2568)),0))</f>
        <v>0</v>
      </c>
      <c r="Q2568" s="19">
        <f>IF(AND($F2568="Compareceu",$E2568&lt;&gt;"",$A2568&lt;&gt;""),IF(IFERROR(INDEX(ProcRet,MATCH($E2568,ProcNome,0)),0)&gt;0,$A2568+INDEX(ProcRet,MATCH($E2568,ProcNome,0)),""),"")</f>
        <v>0</v>
      </c>
      <c r="R2568" s="26">
        <f>IF($Q2568="","",IF(COUNTIFS(AgPac,$D2568,AgData,"&gt;"&amp;$A2568,AgStatus,"&lt;&gt;Cancelado",AgStatus,"&lt;&gt;Remarcado")&gt;0,"Sim","Não"))</f>
        <v>0</v>
      </c>
      <c r="S2568" s="28">
        <f>IF($A2568="","",IF(AND($F2568="Agendado",$A2568-Hoje&gt;=0,$A2568-Hoje&lt;=DiasConf),"CONFIRMAR",IF(AND($A2568&lt;Hoje,OR($F2568="Agendado",$F2568="Confirmado")),"Atualizar status",IF(AND($F2568="Compareceu",$P2568&gt;0.005),"Cobrar",IF($F2568="Faltou","Falta: reagendar","")))))</f>
        <v>0</v>
      </c>
      <c r="T2568" s="29">
        <f>IF($A2568="","",DATE(YEAR($A2568),MONTH($A2568),1))</f>
        <v>0</v>
      </c>
      <c r="U2568" s="30">
        <f>IF($S2568="CONFIRMAR",MAX($U$4:$U2567)+1,"")</f>
        <v>0</v>
      </c>
      <c r="V2568" s="30">
        <f>IF(AND($R2568="Não",$Q2568&lt;&gt;"",$Q2568&lt;=Hoje+JanelaRet,$Q2568&gt;=Hoje-60),MAX($V$4:$V2567)+1,"")</f>
        <v>0</v>
      </c>
    </row>
    <row r="2569" spans="1:22">
      <c r="A2569" s="16"/>
      <c r="B2569" s="23"/>
      <c r="C2569" s="15"/>
      <c r="D2569" s="15"/>
      <c r="E2569" s="15"/>
      <c r="F2569" s="24"/>
      <c r="G2569" s="17"/>
      <c r="H2569" s="17"/>
      <c r="I2569" s="15"/>
      <c r="J2569" s="25">
        <f>IF($D2569="","",IFERROR(INDEX(PacNome,MATCH($D2569,PacCod,0)),"Paciente não cadastrado"))</f>
        <v>0</v>
      </c>
      <c r="K2569" s="26">
        <f>IF($D2569="","",IFERROR(INDEX(PacConv,MATCH($D2569,PacCod,0))&amp;"",""))</f>
        <v>0</v>
      </c>
      <c r="L2569" s="26">
        <f>IF($A2569="","",CHOOSE(WEEKDAY($A2569,2),"Seg","Ter","Qua","Qui","Sex","Sáb","Dom"))</f>
        <v>0</v>
      </c>
      <c r="M2569" s="27">
        <f>IF($E2569="","",IF($G2569&lt;&gt;"",$G2569,IFERROR(INDEX(ProcValor,MATCH($E2569,ProcNome,0)),0)))</f>
        <v>0</v>
      </c>
      <c r="N2569" s="27">
        <f>IF($M2569="","",IF($F2569="Compareceu",$M2569,0))</f>
        <v>0</v>
      </c>
      <c r="O2569" s="27">
        <f>IF($M2569="","",IF($F2569="Faltou",$M2569,0))</f>
        <v>0</v>
      </c>
      <c r="P2569" s="27">
        <f>IF($M2569="","",IF($F2569="Compareceu",MAX(0,$M2569-N($H2569)),0))</f>
        <v>0</v>
      </c>
      <c r="Q2569" s="19">
        <f>IF(AND($F2569="Compareceu",$E2569&lt;&gt;"",$A2569&lt;&gt;""),IF(IFERROR(INDEX(ProcRet,MATCH($E2569,ProcNome,0)),0)&gt;0,$A2569+INDEX(ProcRet,MATCH($E2569,ProcNome,0)),""),"")</f>
        <v>0</v>
      </c>
      <c r="R2569" s="26">
        <f>IF($Q2569="","",IF(COUNTIFS(AgPac,$D2569,AgData,"&gt;"&amp;$A2569,AgStatus,"&lt;&gt;Cancelado",AgStatus,"&lt;&gt;Remarcado")&gt;0,"Sim","Não"))</f>
        <v>0</v>
      </c>
      <c r="S2569" s="28">
        <f>IF($A2569="","",IF(AND($F2569="Agendado",$A2569-Hoje&gt;=0,$A2569-Hoje&lt;=DiasConf),"CONFIRMAR",IF(AND($A2569&lt;Hoje,OR($F2569="Agendado",$F2569="Confirmado")),"Atualizar status",IF(AND($F2569="Compareceu",$P2569&gt;0.005),"Cobrar",IF($F2569="Faltou","Falta: reagendar","")))))</f>
        <v>0</v>
      </c>
      <c r="T2569" s="29">
        <f>IF($A2569="","",DATE(YEAR($A2569),MONTH($A2569),1))</f>
        <v>0</v>
      </c>
      <c r="U2569" s="30">
        <f>IF($S2569="CONFIRMAR",MAX($U$4:$U2568)+1,"")</f>
        <v>0</v>
      </c>
      <c r="V2569" s="30">
        <f>IF(AND($R2569="Não",$Q2569&lt;&gt;"",$Q2569&lt;=Hoje+JanelaRet,$Q2569&gt;=Hoje-60),MAX($V$4:$V2568)+1,"")</f>
        <v>0</v>
      </c>
    </row>
    <row r="2570" spans="1:22">
      <c r="A2570" s="16"/>
      <c r="B2570" s="23"/>
      <c r="C2570" s="15"/>
      <c r="D2570" s="15"/>
      <c r="E2570" s="15"/>
      <c r="F2570" s="24"/>
      <c r="G2570" s="17"/>
      <c r="H2570" s="17"/>
      <c r="I2570" s="15"/>
      <c r="J2570" s="25">
        <f>IF($D2570="","",IFERROR(INDEX(PacNome,MATCH($D2570,PacCod,0)),"Paciente não cadastrado"))</f>
        <v>0</v>
      </c>
      <c r="K2570" s="26">
        <f>IF($D2570="","",IFERROR(INDEX(PacConv,MATCH($D2570,PacCod,0))&amp;"",""))</f>
        <v>0</v>
      </c>
      <c r="L2570" s="26">
        <f>IF($A2570="","",CHOOSE(WEEKDAY($A2570,2),"Seg","Ter","Qua","Qui","Sex","Sáb","Dom"))</f>
        <v>0</v>
      </c>
      <c r="M2570" s="27">
        <f>IF($E2570="","",IF($G2570&lt;&gt;"",$G2570,IFERROR(INDEX(ProcValor,MATCH($E2570,ProcNome,0)),0)))</f>
        <v>0</v>
      </c>
      <c r="N2570" s="27">
        <f>IF($M2570="","",IF($F2570="Compareceu",$M2570,0))</f>
        <v>0</v>
      </c>
      <c r="O2570" s="27">
        <f>IF($M2570="","",IF($F2570="Faltou",$M2570,0))</f>
        <v>0</v>
      </c>
      <c r="P2570" s="27">
        <f>IF($M2570="","",IF($F2570="Compareceu",MAX(0,$M2570-N($H2570)),0))</f>
        <v>0</v>
      </c>
      <c r="Q2570" s="19">
        <f>IF(AND($F2570="Compareceu",$E2570&lt;&gt;"",$A2570&lt;&gt;""),IF(IFERROR(INDEX(ProcRet,MATCH($E2570,ProcNome,0)),0)&gt;0,$A2570+INDEX(ProcRet,MATCH($E2570,ProcNome,0)),""),"")</f>
        <v>0</v>
      </c>
      <c r="R2570" s="26">
        <f>IF($Q2570="","",IF(COUNTIFS(AgPac,$D2570,AgData,"&gt;"&amp;$A2570,AgStatus,"&lt;&gt;Cancelado",AgStatus,"&lt;&gt;Remarcado")&gt;0,"Sim","Não"))</f>
        <v>0</v>
      </c>
      <c r="S2570" s="28">
        <f>IF($A2570="","",IF(AND($F2570="Agendado",$A2570-Hoje&gt;=0,$A2570-Hoje&lt;=DiasConf),"CONFIRMAR",IF(AND($A2570&lt;Hoje,OR($F2570="Agendado",$F2570="Confirmado")),"Atualizar status",IF(AND($F2570="Compareceu",$P2570&gt;0.005),"Cobrar",IF($F2570="Faltou","Falta: reagendar","")))))</f>
        <v>0</v>
      </c>
      <c r="T2570" s="29">
        <f>IF($A2570="","",DATE(YEAR($A2570),MONTH($A2570),1))</f>
        <v>0</v>
      </c>
      <c r="U2570" s="30">
        <f>IF($S2570="CONFIRMAR",MAX($U$4:$U2569)+1,"")</f>
        <v>0</v>
      </c>
      <c r="V2570" s="30">
        <f>IF(AND($R2570="Não",$Q2570&lt;&gt;"",$Q2570&lt;=Hoje+JanelaRet,$Q2570&gt;=Hoje-60),MAX($V$4:$V2569)+1,"")</f>
        <v>0</v>
      </c>
    </row>
    <row r="2571" spans="1:22">
      <c r="A2571" s="16"/>
      <c r="B2571" s="23"/>
      <c r="C2571" s="15"/>
      <c r="D2571" s="15"/>
      <c r="E2571" s="15"/>
      <c r="F2571" s="24"/>
      <c r="G2571" s="17"/>
      <c r="H2571" s="17"/>
      <c r="I2571" s="15"/>
      <c r="J2571" s="25">
        <f>IF($D2571="","",IFERROR(INDEX(PacNome,MATCH($D2571,PacCod,0)),"Paciente não cadastrado"))</f>
        <v>0</v>
      </c>
      <c r="K2571" s="26">
        <f>IF($D2571="","",IFERROR(INDEX(PacConv,MATCH($D2571,PacCod,0))&amp;"",""))</f>
        <v>0</v>
      </c>
      <c r="L2571" s="26">
        <f>IF($A2571="","",CHOOSE(WEEKDAY($A2571,2),"Seg","Ter","Qua","Qui","Sex","Sáb","Dom"))</f>
        <v>0</v>
      </c>
      <c r="M2571" s="27">
        <f>IF($E2571="","",IF($G2571&lt;&gt;"",$G2571,IFERROR(INDEX(ProcValor,MATCH($E2571,ProcNome,0)),0)))</f>
        <v>0</v>
      </c>
      <c r="N2571" s="27">
        <f>IF($M2571="","",IF($F2571="Compareceu",$M2571,0))</f>
        <v>0</v>
      </c>
      <c r="O2571" s="27">
        <f>IF($M2571="","",IF($F2571="Faltou",$M2571,0))</f>
        <v>0</v>
      </c>
      <c r="P2571" s="27">
        <f>IF($M2571="","",IF($F2571="Compareceu",MAX(0,$M2571-N($H2571)),0))</f>
        <v>0</v>
      </c>
      <c r="Q2571" s="19">
        <f>IF(AND($F2571="Compareceu",$E2571&lt;&gt;"",$A2571&lt;&gt;""),IF(IFERROR(INDEX(ProcRet,MATCH($E2571,ProcNome,0)),0)&gt;0,$A2571+INDEX(ProcRet,MATCH($E2571,ProcNome,0)),""),"")</f>
        <v>0</v>
      </c>
      <c r="R2571" s="26">
        <f>IF($Q2571="","",IF(COUNTIFS(AgPac,$D2571,AgData,"&gt;"&amp;$A2571,AgStatus,"&lt;&gt;Cancelado",AgStatus,"&lt;&gt;Remarcado")&gt;0,"Sim","Não"))</f>
        <v>0</v>
      </c>
      <c r="S2571" s="28">
        <f>IF($A2571="","",IF(AND($F2571="Agendado",$A2571-Hoje&gt;=0,$A2571-Hoje&lt;=DiasConf),"CONFIRMAR",IF(AND($A2571&lt;Hoje,OR($F2571="Agendado",$F2571="Confirmado")),"Atualizar status",IF(AND($F2571="Compareceu",$P2571&gt;0.005),"Cobrar",IF($F2571="Faltou","Falta: reagendar","")))))</f>
        <v>0</v>
      </c>
      <c r="T2571" s="29">
        <f>IF($A2571="","",DATE(YEAR($A2571),MONTH($A2571),1))</f>
        <v>0</v>
      </c>
      <c r="U2571" s="30">
        <f>IF($S2571="CONFIRMAR",MAX($U$4:$U2570)+1,"")</f>
        <v>0</v>
      </c>
      <c r="V2571" s="30">
        <f>IF(AND($R2571="Não",$Q2571&lt;&gt;"",$Q2571&lt;=Hoje+JanelaRet,$Q2571&gt;=Hoje-60),MAX($V$4:$V2570)+1,"")</f>
        <v>0</v>
      </c>
    </row>
    <row r="2572" spans="1:22">
      <c r="A2572" s="16"/>
      <c r="B2572" s="23"/>
      <c r="C2572" s="15"/>
      <c r="D2572" s="15"/>
      <c r="E2572" s="15"/>
      <c r="F2572" s="24"/>
      <c r="G2572" s="17"/>
      <c r="H2572" s="17"/>
      <c r="I2572" s="15"/>
      <c r="J2572" s="25">
        <f>IF($D2572="","",IFERROR(INDEX(PacNome,MATCH($D2572,PacCod,0)),"Paciente não cadastrado"))</f>
        <v>0</v>
      </c>
      <c r="K2572" s="26">
        <f>IF($D2572="","",IFERROR(INDEX(PacConv,MATCH($D2572,PacCod,0))&amp;"",""))</f>
        <v>0</v>
      </c>
      <c r="L2572" s="26">
        <f>IF($A2572="","",CHOOSE(WEEKDAY($A2572,2),"Seg","Ter","Qua","Qui","Sex","Sáb","Dom"))</f>
        <v>0</v>
      </c>
      <c r="M2572" s="27">
        <f>IF($E2572="","",IF($G2572&lt;&gt;"",$G2572,IFERROR(INDEX(ProcValor,MATCH($E2572,ProcNome,0)),0)))</f>
        <v>0</v>
      </c>
      <c r="N2572" s="27">
        <f>IF($M2572="","",IF($F2572="Compareceu",$M2572,0))</f>
        <v>0</v>
      </c>
      <c r="O2572" s="27">
        <f>IF($M2572="","",IF($F2572="Faltou",$M2572,0))</f>
        <v>0</v>
      </c>
      <c r="P2572" s="27">
        <f>IF($M2572="","",IF($F2572="Compareceu",MAX(0,$M2572-N($H2572)),0))</f>
        <v>0</v>
      </c>
      <c r="Q2572" s="19">
        <f>IF(AND($F2572="Compareceu",$E2572&lt;&gt;"",$A2572&lt;&gt;""),IF(IFERROR(INDEX(ProcRet,MATCH($E2572,ProcNome,0)),0)&gt;0,$A2572+INDEX(ProcRet,MATCH($E2572,ProcNome,0)),""),"")</f>
        <v>0</v>
      </c>
      <c r="R2572" s="26">
        <f>IF($Q2572="","",IF(COUNTIFS(AgPac,$D2572,AgData,"&gt;"&amp;$A2572,AgStatus,"&lt;&gt;Cancelado",AgStatus,"&lt;&gt;Remarcado")&gt;0,"Sim","Não"))</f>
        <v>0</v>
      </c>
      <c r="S2572" s="28">
        <f>IF($A2572="","",IF(AND($F2572="Agendado",$A2572-Hoje&gt;=0,$A2572-Hoje&lt;=DiasConf),"CONFIRMAR",IF(AND($A2572&lt;Hoje,OR($F2572="Agendado",$F2572="Confirmado")),"Atualizar status",IF(AND($F2572="Compareceu",$P2572&gt;0.005),"Cobrar",IF($F2572="Faltou","Falta: reagendar","")))))</f>
        <v>0</v>
      </c>
      <c r="T2572" s="29">
        <f>IF($A2572="","",DATE(YEAR($A2572),MONTH($A2572),1))</f>
        <v>0</v>
      </c>
      <c r="U2572" s="30">
        <f>IF($S2572="CONFIRMAR",MAX($U$4:$U2571)+1,"")</f>
        <v>0</v>
      </c>
      <c r="V2572" s="30">
        <f>IF(AND($R2572="Não",$Q2572&lt;&gt;"",$Q2572&lt;=Hoje+JanelaRet,$Q2572&gt;=Hoje-60),MAX($V$4:$V2571)+1,"")</f>
        <v>0</v>
      </c>
    </row>
    <row r="2573" spans="1:22">
      <c r="A2573" s="16"/>
      <c r="B2573" s="23"/>
      <c r="C2573" s="15"/>
      <c r="D2573" s="15"/>
      <c r="E2573" s="15"/>
      <c r="F2573" s="24"/>
      <c r="G2573" s="17"/>
      <c r="H2573" s="17"/>
      <c r="I2573" s="15"/>
      <c r="J2573" s="25">
        <f>IF($D2573="","",IFERROR(INDEX(PacNome,MATCH($D2573,PacCod,0)),"Paciente não cadastrado"))</f>
        <v>0</v>
      </c>
      <c r="K2573" s="26">
        <f>IF($D2573="","",IFERROR(INDEX(PacConv,MATCH($D2573,PacCod,0))&amp;"",""))</f>
        <v>0</v>
      </c>
      <c r="L2573" s="26">
        <f>IF($A2573="","",CHOOSE(WEEKDAY($A2573,2),"Seg","Ter","Qua","Qui","Sex","Sáb","Dom"))</f>
        <v>0</v>
      </c>
      <c r="M2573" s="27">
        <f>IF($E2573="","",IF($G2573&lt;&gt;"",$G2573,IFERROR(INDEX(ProcValor,MATCH($E2573,ProcNome,0)),0)))</f>
        <v>0</v>
      </c>
      <c r="N2573" s="27">
        <f>IF($M2573="","",IF($F2573="Compareceu",$M2573,0))</f>
        <v>0</v>
      </c>
      <c r="O2573" s="27">
        <f>IF($M2573="","",IF($F2573="Faltou",$M2573,0))</f>
        <v>0</v>
      </c>
      <c r="P2573" s="27">
        <f>IF($M2573="","",IF($F2573="Compareceu",MAX(0,$M2573-N($H2573)),0))</f>
        <v>0</v>
      </c>
      <c r="Q2573" s="19">
        <f>IF(AND($F2573="Compareceu",$E2573&lt;&gt;"",$A2573&lt;&gt;""),IF(IFERROR(INDEX(ProcRet,MATCH($E2573,ProcNome,0)),0)&gt;0,$A2573+INDEX(ProcRet,MATCH($E2573,ProcNome,0)),""),"")</f>
        <v>0</v>
      </c>
      <c r="R2573" s="26">
        <f>IF($Q2573="","",IF(COUNTIFS(AgPac,$D2573,AgData,"&gt;"&amp;$A2573,AgStatus,"&lt;&gt;Cancelado",AgStatus,"&lt;&gt;Remarcado")&gt;0,"Sim","Não"))</f>
        <v>0</v>
      </c>
      <c r="S2573" s="28">
        <f>IF($A2573="","",IF(AND($F2573="Agendado",$A2573-Hoje&gt;=0,$A2573-Hoje&lt;=DiasConf),"CONFIRMAR",IF(AND($A2573&lt;Hoje,OR($F2573="Agendado",$F2573="Confirmado")),"Atualizar status",IF(AND($F2573="Compareceu",$P2573&gt;0.005),"Cobrar",IF($F2573="Faltou","Falta: reagendar","")))))</f>
        <v>0</v>
      </c>
      <c r="T2573" s="29">
        <f>IF($A2573="","",DATE(YEAR($A2573),MONTH($A2573),1))</f>
        <v>0</v>
      </c>
      <c r="U2573" s="30">
        <f>IF($S2573="CONFIRMAR",MAX($U$4:$U2572)+1,"")</f>
        <v>0</v>
      </c>
      <c r="V2573" s="30">
        <f>IF(AND($R2573="Não",$Q2573&lt;&gt;"",$Q2573&lt;=Hoje+JanelaRet,$Q2573&gt;=Hoje-60),MAX($V$4:$V2572)+1,"")</f>
        <v>0</v>
      </c>
    </row>
    <row r="2574" spans="1:22">
      <c r="A2574" s="16"/>
      <c r="B2574" s="23"/>
      <c r="C2574" s="15"/>
      <c r="D2574" s="15"/>
      <c r="E2574" s="15"/>
      <c r="F2574" s="24"/>
      <c r="G2574" s="17"/>
      <c r="H2574" s="17"/>
      <c r="I2574" s="15"/>
      <c r="J2574" s="25">
        <f>IF($D2574="","",IFERROR(INDEX(PacNome,MATCH($D2574,PacCod,0)),"Paciente não cadastrado"))</f>
        <v>0</v>
      </c>
      <c r="K2574" s="26">
        <f>IF($D2574="","",IFERROR(INDEX(PacConv,MATCH($D2574,PacCod,0))&amp;"",""))</f>
        <v>0</v>
      </c>
      <c r="L2574" s="26">
        <f>IF($A2574="","",CHOOSE(WEEKDAY($A2574,2),"Seg","Ter","Qua","Qui","Sex","Sáb","Dom"))</f>
        <v>0</v>
      </c>
      <c r="M2574" s="27">
        <f>IF($E2574="","",IF($G2574&lt;&gt;"",$G2574,IFERROR(INDEX(ProcValor,MATCH($E2574,ProcNome,0)),0)))</f>
        <v>0</v>
      </c>
      <c r="N2574" s="27">
        <f>IF($M2574="","",IF($F2574="Compareceu",$M2574,0))</f>
        <v>0</v>
      </c>
      <c r="O2574" s="27">
        <f>IF($M2574="","",IF($F2574="Faltou",$M2574,0))</f>
        <v>0</v>
      </c>
      <c r="P2574" s="27">
        <f>IF($M2574="","",IF($F2574="Compareceu",MAX(0,$M2574-N($H2574)),0))</f>
        <v>0</v>
      </c>
      <c r="Q2574" s="19">
        <f>IF(AND($F2574="Compareceu",$E2574&lt;&gt;"",$A2574&lt;&gt;""),IF(IFERROR(INDEX(ProcRet,MATCH($E2574,ProcNome,0)),0)&gt;0,$A2574+INDEX(ProcRet,MATCH($E2574,ProcNome,0)),""),"")</f>
        <v>0</v>
      </c>
      <c r="R2574" s="26">
        <f>IF($Q2574="","",IF(COUNTIFS(AgPac,$D2574,AgData,"&gt;"&amp;$A2574,AgStatus,"&lt;&gt;Cancelado",AgStatus,"&lt;&gt;Remarcado")&gt;0,"Sim","Não"))</f>
        <v>0</v>
      </c>
      <c r="S2574" s="28">
        <f>IF($A2574="","",IF(AND($F2574="Agendado",$A2574-Hoje&gt;=0,$A2574-Hoje&lt;=DiasConf),"CONFIRMAR",IF(AND($A2574&lt;Hoje,OR($F2574="Agendado",$F2574="Confirmado")),"Atualizar status",IF(AND($F2574="Compareceu",$P2574&gt;0.005),"Cobrar",IF($F2574="Faltou","Falta: reagendar","")))))</f>
        <v>0</v>
      </c>
      <c r="T2574" s="29">
        <f>IF($A2574="","",DATE(YEAR($A2574),MONTH($A2574),1))</f>
        <v>0</v>
      </c>
      <c r="U2574" s="30">
        <f>IF($S2574="CONFIRMAR",MAX($U$4:$U2573)+1,"")</f>
        <v>0</v>
      </c>
      <c r="V2574" s="30">
        <f>IF(AND($R2574="Não",$Q2574&lt;&gt;"",$Q2574&lt;=Hoje+JanelaRet,$Q2574&gt;=Hoje-60),MAX($V$4:$V2573)+1,"")</f>
        <v>0</v>
      </c>
    </row>
    <row r="2575" spans="1:22">
      <c r="A2575" s="16"/>
      <c r="B2575" s="23"/>
      <c r="C2575" s="15"/>
      <c r="D2575" s="15"/>
      <c r="E2575" s="15"/>
      <c r="F2575" s="24"/>
      <c r="G2575" s="17"/>
      <c r="H2575" s="17"/>
      <c r="I2575" s="15"/>
      <c r="J2575" s="25">
        <f>IF($D2575="","",IFERROR(INDEX(PacNome,MATCH($D2575,PacCod,0)),"Paciente não cadastrado"))</f>
        <v>0</v>
      </c>
      <c r="K2575" s="26">
        <f>IF($D2575="","",IFERROR(INDEX(PacConv,MATCH($D2575,PacCod,0))&amp;"",""))</f>
        <v>0</v>
      </c>
      <c r="L2575" s="26">
        <f>IF($A2575="","",CHOOSE(WEEKDAY($A2575,2),"Seg","Ter","Qua","Qui","Sex","Sáb","Dom"))</f>
        <v>0</v>
      </c>
      <c r="M2575" s="27">
        <f>IF($E2575="","",IF($G2575&lt;&gt;"",$G2575,IFERROR(INDEX(ProcValor,MATCH($E2575,ProcNome,0)),0)))</f>
        <v>0</v>
      </c>
      <c r="N2575" s="27">
        <f>IF($M2575="","",IF($F2575="Compareceu",$M2575,0))</f>
        <v>0</v>
      </c>
      <c r="O2575" s="27">
        <f>IF($M2575="","",IF($F2575="Faltou",$M2575,0))</f>
        <v>0</v>
      </c>
      <c r="P2575" s="27">
        <f>IF($M2575="","",IF($F2575="Compareceu",MAX(0,$M2575-N($H2575)),0))</f>
        <v>0</v>
      </c>
      <c r="Q2575" s="19">
        <f>IF(AND($F2575="Compareceu",$E2575&lt;&gt;"",$A2575&lt;&gt;""),IF(IFERROR(INDEX(ProcRet,MATCH($E2575,ProcNome,0)),0)&gt;0,$A2575+INDEX(ProcRet,MATCH($E2575,ProcNome,0)),""),"")</f>
        <v>0</v>
      </c>
      <c r="R2575" s="26">
        <f>IF($Q2575="","",IF(COUNTIFS(AgPac,$D2575,AgData,"&gt;"&amp;$A2575,AgStatus,"&lt;&gt;Cancelado",AgStatus,"&lt;&gt;Remarcado")&gt;0,"Sim","Não"))</f>
        <v>0</v>
      </c>
      <c r="S2575" s="28">
        <f>IF($A2575="","",IF(AND($F2575="Agendado",$A2575-Hoje&gt;=0,$A2575-Hoje&lt;=DiasConf),"CONFIRMAR",IF(AND($A2575&lt;Hoje,OR($F2575="Agendado",$F2575="Confirmado")),"Atualizar status",IF(AND($F2575="Compareceu",$P2575&gt;0.005),"Cobrar",IF($F2575="Faltou","Falta: reagendar","")))))</f>
        <v>0</v>
      </c>
      <c r="T2575" s="29">
        <f>IF($A2575="","",DATE(YEAR($A2575),MONTH($A2575),1))</f>
        <v>0</v>
      </c>
      <c r="U2575" s="30">
        <f>IF($S2575="CONFIRMAR",MAX($U$4:$U2574)+1,"")</f>
        <v>0</v>
      </c>
      <c r="V2575" s="30">
        <f>IF(AND($R2575="Não",$Q2575&lt;&gt;"",$Q2575&lt;=Hoje+JanelaRet,$Q2575&gt;=Hoje-60),MAX($V$4:$V2574)+1,"")</f>
        <v>0</v>
      </c>
    </row>
    <row r="2576" spans="1:22">
      <c r="A2576" s="16"/>
      <c r="B2576" s="23"/>
      <c r="C2576" s="15"/>
      <c r="D2576" s="15"/>
      <c r="E2576" s="15"/>
      <c r="F2576" s="24"/>
      <c r="G2576" s="17"/>
      <c r="H2576" s="17"/>
      <c r="I2576" s="15"/>
      <c r="J2576" s="25">
        <f>IF($D2576="","",IFERROR(INDEX(PacNome,MATCH($D2576,PacCod,0)),"Paciente não cadastrado"))</f>
        <v>0</v>
      </c>
      <c r="K2576" s="26">
        <f>IF($D2576="","",IFERROR(INDEX(PacConv,MATCH($D2576,PacCod,0))&amp;"",""))</f>
        <v>0</v>
      </c>
      <c r="L2576" s="26">
        <f>IF($A2576="","",CHOOSE(WEEKDAY($A2576,2),"Seg","Ter","Qua","Qui","Sex","Sáb","Dom"))</f>
        <v>0</v>
      </c>
      <c r="M2576" s="27">
        <f>IF($E2576="","",IF($G2576&lt;&gt;"",$G2576,IFERROR(INDEX(ProcValor,MATCH($E2576,ProcNome,0)),0)))</f>
        <v>0</v>
      </c>
      <c r="N2576" s="27">
        <f>IF($M2576="","",IF($F2576="Compareceu",$M2576,0))</f>
        <v>0</v>
      </c>
      <c r="O2576" s="27">
        <f>IF($M2576="","",IF($F2576="Faltou",$M2576,0))</f>
        <v>0</v>
      </c>
      <c r="P2576" s="27">
        <f>IF($M2576="","",IF($F2576="Compareceu",MAX(0,$M2576-N($H2576)),0))</f>
        <v>0</v>
      </c>
      <c r="Q2576" s="19">
        <f>IF(AND($F2576="Compareceu",$E2576&lt;&gt;"",$A2576&lt;&gt;""),IF(IFERROR(INDEX(ProcRet,MATCH($E2576,ProcNome,0)),0)&gt;0,$A2576+INDEX(ProcRet,MATCH($E2576,ProcNome,0)),""),"")</f>
        <v>0</v>
      </c>
      <c r="R2576" s="26">
        <f>IF($Q2576="","",IF(COUNTIFS(AgPac,$D2576,AgData,"&gt;"&amp;$A2576,AgStatus,"&lt;&gt;Cancelado",AgStatus,"&lt;&gt;Remarcado")&gt;0,"Sim","Não"))</f>
        <v>0</v>
      </c>
      <c r="S2576" s="28">
        <f>IF($A2576="","",IF(AND($F2576="Agendado",$A2576-Hoje&gt;=0,$A2576-Hoje&lt;=DiasConf),"CONFIRMAR",IF(AND($A2576&lt;Hoje,OR($F2576="Agendado",$F2576="Confirmado")),"Atualizar status",IF(AND($F2576="Compareceu",$P2576&gt;0.005),"Cobrar",IF($F2576="Faltou","Falta: reagendar","")))))</f>
        <v>0</v>
      </c>
      <c r="T2576" s="29">
        <f>IF($A2576="","",DATE(YEAR($A2576),MONTH($A2576),1))</f>
        <v>0</v>
      </c>
      <c r="U2576" s="30">
        <f>IF($S2576="CONFIRMAR",MAX($U$4:$U2575)+1,"")</f>
        <v>0</v>
      </c>
      <c r="V2576" s="30">
        <f>IF(AND($R2576="Não",$Q2576&lt;&gt;"",$Q2576&lt;=Hoje+JanelaRet,$Q2576&gt;=Hoje-60),MAX($V$4:$V2575)+1,"")</f>
        <v>0</v>
      </c>
    </row>
    <row r="2577" spans="1:22">
      <c r="A2577" s="16"/>
      <c r="B2577" s="23"/>
      <c r="C2577" s="15"/>
      <c r="D2577" s="15"/>
      <c r="E2577" s="15"/>
      <c r="F2577" s="24"/>
      <c r="G2577" s="17"/>
      <c r="H2577" s="17"/>
      <c r="I2577" s="15"/>
      <c r="J2577" s="25">
        <f>IF($D2577="","",IFERROR(INDEX(PacNome,MATCH($D2577,PacCod,0)),"Paciente não cadastrado"))</f>
        <v>0</v>
      </c>
      <c r="K2577" s="26">
        <f>IF($D2577="","",IFERROR(INDEX(PacConv,MATCH($D2577,PacCod,0))&amp;"",""))</f>
        <v>0</v>
      </c>
      <c r="L2577" s="26">
        <f>IF($A2577="","",CHOOSE(WEEKDAY($A2577,2),"Seg","Ter","Qua","Qui","Sex","Sáb","Dom"))</f>
        <v>0</v>
      </c>
      <c r="M2577" s="27">
        <f>IF($E2577="","",IF($G2577&lt;&gt;"",$G2577,IFERROR(INDEX(ProcValor,MATCH($E2577,ProcNome,0)),0)))</f>
        <v>0</v>
      </c>
      <c r="N2577" s="27">
        <f>IF($M2577="","",IF($F2577="Compareceu",$M2577,0))</f>
        <v>0</v>
      </c>
      <c r="O2577" s="27">
        <f>IF($M2577="","",IF($F2577="Faltou",$M2577,0))</f>
        <v>0</v>
      </c>
      <c r="P2577" s="27">
        <f>IF($M2577="","",IF($F2577="Compareceu",MAX(0,$M2577-N($H2577)),0))</f>
        <v>0</v>
      </c>
      <c r="Q2577" s="19">
        <f>IF(AND($F2577="Compareceu",$E2577&lt;&gt;"",$A2577&lt;&gt;""),IF(IFERROR(INDEX(ProcRet,MATCH($E2577,ProcNome,0)),0)&gt;0,$A2577+INDEX(ProcRet,MATCH($E2577,ProcNome,0)),""),"")</f>
        <v>0</v>
      </c>
      <c r="R2577" s="26">
        <f>IF($Q2577="","",IF(COUNTIFS(AgPac,$D2577,AgData,"&gt;"&amp;$A2577,AgStatus,"&lt;&gt;Cancelado",AgStatus,"&lt;&gt;Remarcado")&gt;0,"Sim","Não"))</f>
        <v>0</v>
      </c>
      <c r="S2577" s="28">
        <f>IF($A2577="","",IF(AND($F2577="Agendado",$A2577-Hoje&gt;=0,$A2577-Hoje&lt;=DiasConf),"CONFIRMAR",IF(AND($A2577&lt;Hoje,OR($F2577="Agendado",$F2577="Confirmado")),"Atualizar status",IF(AND($F2577="Compareceu",$P2577&gt;0.005),"Cobrar",IF($F2577="Faltou","Falta: reagendar","")))))</f>
        <v>0</v>
      </c>
      <c r="T2577" s="29">
        <f>IF($A2577="","",DATE(YEAR($A2577),MONTH($A2577),1))</f>
        <v>0</v>
      </c>
      <c r="U2577" s="30">
        <f>IF($S2577="CONFIRMAR",MAX($U$4:$U2576)+1,"")</f>
        <v>0</v>
      </c>
      <c r="V2577" s="30">
        <f>IF(AND($R2577="Não",$Q2577&lt;&gt;"",$Q2577&lt;=Hoje+JanelaRet,$Q2577&gt;=Hoje-60),MAX($V$4:$V2576)+1,"")</f>
        <v>0</v>
      </c>
    </row>
    <row r="2578" spans="1:22">
      <c r="A2578" s="16"/>
      <c r="B2578" s="23"/>
      <c r="C2578" s="15"/>
      <c r="D2578" s="15"/>
      <c r="E2578" s="15"/>
      <c r="F2578" s="24"/>
      <c r="G2578" s="17"/>
      <c r="H2578" s="17"/>
      <c r="I2578" s="15"/>
      <c r="J2578" s="25">
        <f>IF($D2578="","",IFERROR(INDEX(PacNome,MATCH($D2578,PacCod,0)),"Paciente não cadastrado"))</f>
        <v>0</v>
      </c>
      <c r="K2578" s="26">
        <f>IF($D2578="","",IFERROR(INDEX(PacConv,MATCH($D2578,PacCod,0))&amp;"",""))</f>
        <v>0</v>
      </c>
      <c r="L2578" s="26">
        <f>IF($A2578="","",CHOOSE(WEEKDAY($A2578,2),"Seg","Ter","Qua","Qui","Sex","Sáb","Dom"))</f>
        <v>0</v>
      </c>
      <c r="M2578" s="27">
        <f>IF($E2578="","",IF($G2578&lt;&gt;"",$G2578,IFERROR(INDEX(ProcValor,MATCH($E2578,ProcNome,0)),0)))</f>
        <v>0</v>
      </c>
      <c r="N2578" s="27">
        <f>IF($M2578="","",IF($F2578="Compareceu",$M2578,0))</f>
        <v>0</v>
      </c>
      <c r="O2578" s="27">
        <f>IF($M2578="","",IF($F2578="Faltou",$M2578,0))</f>
        <v>0</v>
      </c>
      <c r="P2578" s="27">
        <f>IF($M2578="","",IF($F2578="Compareceu",MAX(0,$M2578-N($H2578)),0))</f>
        <v>0</v>
      </c>
      <c r="Q2578" s="19">
        <f>IF(AND($F2578="Compareceu",$E2578&lt;&gt;"",$A2578&lt;&gt;""),IF(IFERROR(INDEX(ProcRet,MATCH($E2578,ProcNome,0)),0)&gt;0,$A2578+INDEX(ProcRet,MATCH($E2578,ProcNome,0)),""),"")</f>
        <v>0</v>
      </c>
      <c r="R2578" s="26">
        <f>IF($Q2578="","",IF(COUNTIFS(AgPac,$D2578,AgData,"&gt;"&amp;$A2578,AgStatus,"&lt;&gt;Cancelado",AgStatus,"&lt;&gt;Remarcado")&gt;0,"Sim","Não"))</f>
        <v>0</v>
      </c>
      <c r="S2578" s="28">
        <f>IF($A2578="","",IF(AND($F2578="Agendado",$A2578-Hoje&gt;=0,$A2578-Hoje&lt;=DiasConf),"CONFIRMAR",IF(AND($A2578&lt;Hoje,OR($F2578="Agendado",$F2578="Confirmado")),"Atualizar status",IF(AND($F2578="Compareceu",$P2578&gt;0.005),"Cobrar",IF($F2578="Faltou","Falta: reagendar","")))))</f>
        <v>0</v>
      </c>
      <c r="T2578" s="29">
        <f>IF($A2578="","",DATE(YEAR($A2578),MONTH($A2578),1))</f>
        <v>0</v>
      </c>
      <c r="U2578" s="30">
        <f>IF($S2578="CONFIRMAR",MAX($U$4:$U2577)+1,"")</f>
        <v>0</v>
      </c>
      <c r="V2578" s="30">
        <f>IF(AND($R2578="Não",$Q2578&lt;&gt;"",$Q2578&lt;=Hoje+JanelaRet,$Q2578&gt;=Hoje-60),MAX($V$4:$V2577)+1,"")</f>
        <v>0</v>
      </c>
    </row>
    <row r="2579" spans="1:22">
      <c r="A2579" s="16"/>
      <c r="B2579" s="23"/>
      <c r="C2579" s="15"/>
      <c r="D2579" s="15"/>
      <c r="E2579" s="15"/>
      <c r="F2579" s="24"/>
      <c r="G2579" s="17"/>
      <c r="H2579" s="17"/>
      <c r="I2579" s="15"/>
      <c r="J2579" s="25">
        <f>IF($D2579="","",IFERROR(INDEX(PacNome,MATCH($D2579,PacCod,0)),"Paciente não cadastrado"))</f>
        <v>0</v>
      </c>
      <c r="K2579" s="26">
        <f>IF($D2579="","",IFERROR(INDEX(PacConv,MATCH($D2579,PacCod,0))&amp;"",""))</f>
        <v>0</v>
      </c>
      <c r="L2579" s="26">
        <f>IF($A2579="","",CHOOSE(WEEKDAY($A2579,2),"Seg","Ter","Qua","Qui","Sex","Sáb","Dom"))</f>
        <v>0</v>
      </c>
      <c r="M2579" s="27">
        <f>IF($E2579="","",IF($G2579&lt;&gt;"",$G2579,IFERROR(INDEX(ProcValor,MATCH($E2579,ProcNome,0)),0)))</f>
        <v>0</v>
      </c>
      <c r="N2579" s="27">
        <f>IF($M2579="","",IF($F2579="Compareceu",$M2579,0))</f>
        <v>0</v>
      </c>
      <c r="O2579" s="27">
        <f>IF($M2579="","",IF($F2579="Faltou",$M2579,0))</f>
        <v>0</v>
      </c>
      <c r="P2579" s="27">
        <f>IF($M2579="","",IF($F2579="Compareceu",MAX(0,$M2579-N($H2579)),0))</f>
        <v>0</v>
      </c>
      <c r="Q2579" s="19">
        <f>IF(AND($F2579="Compareceu",$E2579&lt;&gt;"",$A2579&lt;&gt;""),IF(IFERROR(INDEX(ProcRet,MATCH($E2579,ProcNome,0)),0)&gt;0,$A2579+INDEX(ProcRet,MATCH($E2579,ProcNome,0)),""),"")</f>
        <v>0</v>
      </c>
      <c r="R2579" s="26">
        <f>IF($Q2579="","",IF(COUNTIFS(AgPac,$D2579,AgData,"&gt;"&amp;$A2579,AgStatus,"&lt;&gt;Cancelado",AgStatus,"&lt;&gt;Remarcado")&gt;0,"Sim","Não"))</f>
        <v>0</v>
      </c>
      <c r="S2579" s="28">
        <f>IF($A2579="","",IF(AND($F2579="Agendado",$A2579-Hoje&gt;=0,$A2579-Hoje&lt;=DiasConf),"CONFIRMAR",IF(AND($A2579&lt;Hoje,OR($F2579="Agendado",$F2579="Confirmado")),"Atualizar status",IF(AND($F2579="Compareceu",$P2579&gt;0.005),"Cobrar",IF($F2579="Faltou","Falta: reagendar","")))))</f>
        <v>0</v>
      </c>
      <c r="T2579" s="29">
        <f>IF($A2579="","",DATE(YEAR($A2579),MONTH($A2579),1))</f>
        <v>0</v>
      </c>
      <c r="U2579" s="30">
        <f>IF($S2579="CONFIRMAR",MAX($U$4:$U2578)+1,"")</f>
        <v>0</v>
      </c>
      <c r="V2579" s="30">
        <f>IF(AND($R2579="Não",$Q2579&lt;&gt;"",$Q2579&lt;=Hoje+JanelaRet,$Q2579&gt;=Hoje-60),MAX($V$4:$V2578)+1,"")</f>
        <v>0</v>
      </c>
    </row>
    <row r="2580" spans="1:22">
      <c r="A2580" s="16"/>
      <c r="B2580" s="23"/>
      <c r="C2580" s="15"/>
      <c r="D2580" s="15"/>
      <c r="E2580" s="15"/>
      <c r="F2580" s="24"/>
      <c r="G2580" s="17"/>
      <c r="H2580" s="17"/>
      <c r="I2580" s="15"/>
      <c r="J2580" s="25">
        <f>IF($D2580="","",IFERROR(INDEX(PacNome,MATCH($D2580,PacCod,0)),"Paciente não cadastrado"))</f>
        <v>0</v>
      </c>
      <c r="K2580" s="26">
        <f>IF($D2580="","",IFERROR(INDEX(PacConv,MATCH($D2580,PacCod,0))&amp;"",""))</f>
        <v>0</v>
      </c>
      <c r="L2580" s="26">
        <f>IF($A2580="","",CHOOSE(WEEKDAY($A2580,2),"Seg","Ter","Qua","Qui","Sex","Sáb","Dom"))</f>
        <v>0</v>
      </c>
      <c r="M2580" s="27">
        <f>IF($E2580="","",IF($G2580&lt;&gt;"",$G2580,IFERROR(INDEX(ProcValor,MATCH($E2580,ProcNome,0)),0)))</f>
        <v>0</v>
      </c>
      <c r="N2580" s="27">
        <f>IF($M2580="","",IF($F2580="Compareceu",$M2580,0))</f>
        <v>0</v>
      </c>
      <c r="O2580" s="27">
        <f>IF($M2580="","",IF($F2580="Faltou",$M2580,0))</f>
        <v>0</v>
      </c>
      <c r="P2580" s="27">
        <f>IF($M2580="","",IF($F2580="Compareceu",MAX(0,$M2580-N($H2580)),0))</f>
        <v>0</v>
      </c>
      <c r="Q2580" s="19">
        <f>IF(AND($F2580="Compareceu",$E2580&lt;&gt;"",$A2580&lt;&gt;""),IF(IFERROR(INDEX(ProcRet,MATCH($E2580,ProcNome,0)),0)&gt;0,$A2580+INDEX(ProcRet,MATCH($E2580,ProcNome,0)),""),"")</f>
        <v>0</v>
      </c>
      <c r="R2580" s="26">
        <f>IF($Q2580="","",IF(COUNTIFS(AgPac,$D2580,AgData,"&gt;"&amp;$A2580,AgStatus,"&lt;&gt;Cancelado",AgStatus,"&lt;&gt;Remarcado")&gt;0,"Sim","Não"))</f>
        <v>0</v>
      </c>
      <c r="S2580" s="28">
        <f>IF($A2580="","",IF(AND($F2580="Agendado",$A2580-Hoje&gt;=0,$A2580-Hoje&lt;=DiasConf),"CONFIRMAR",IF(AND($A2580&lt;Hoje,OR($F2580="Agendado",$F2580="Confirmado")),"Atualizar status",IF(AND($F2580="Compareceu",$P2580&gt;0.005),"Cobrar",IF($F2580="Faltou","Falta: reagendar","")))))</f>
        <v>0</v>
      </c>
      <c r="T2580" s="29">
        <f>IF($A2580="","",DATE(YEAR($A2580),MONTH($A2580),1))</f>
        <v>0</v>
      </c>
      <c r="U2580" s="30">
        <f>IF($S2580="CONFIRMAR",MAX($U$4:$U2579)+1,"")</f>
        <v>0</v>
      </c>
      <c r="V2580" s="30">
        <f>IF(AND($R2580="Não",$Q2580&lt;&gt;"",$Q2580&lt;=Hoje+JanelaRet,$Q2580&gt;=Hoje-60),MAX($V$4:$V2579)+1,"")</f>
        <v>0</v>
      </c>
    </row>
    <row r="2581" spans="1:22">
      <c r="A2581" s="16"/>
      <c r="B2581" s="23"/>
      <c r="C2581" s="15"/>
      <c r="D2581" s="15"/>
      <c r="E2581" s="15"/>
      <c r="F2581" s="24"/>
      <c r="G2581" s="17"/>
      <c r="H2581" s="17"/>
      <c r="I2581" s="15"/>
      <c r="J2581" s="25">
        <f>IF($D2581="","",IFERROR(INDEX(PacNome,MATCH($D2581,PacCod,0)),"Paciente não cadastrado"))</f>
        <v>0</v>
      </c>
      <c r="K2581" s="26">
        <f>IF($D2581="","",IFERROR(INDEX(PacConv,MATCH($D2581,PacCod,0))&amp;"",""))</f>
        <v>0</v>
      </c>
      <c r="L2581" s="26">
        <f>IF($A2581="","",CHOOSE(WEEKDAY($A2581,2),"Seg","Ter","Qua","Qui","Sex","Sáb","Dom"))</f>
        <v>0</v>
      </c>
      <c r="M2581" s="27">
        <f>IF($E2581="","",IF($G2581&lt;&gt;"",$G2581,IFERROR(INDEX(ProcValor,MATCH($E2581,ProcNome,0)),0)))</f>
        <v>0</v>
      </c>
      <c r="N2581" s="27">
        <f>IF($M2581="","",IF($F2581="Compareceu",$M2581,0))</f>
        <v>0</v>
      </c>
      <c r="O2581" s="27">
        <f>IF($M2581="","",IF($F2581="Faltou",$M2581,0))</f>
        <v>0</v>
      </c>
      <c r="P2581" s="27">
        <f>IF($M2581="","",IF($F2581="Compareceu",MAX(0,$M2581-N($H2581)),0))</f>
        <v>0</v>
      </c>
      <c r="Q2581" s="19">
        <f>IF(AND($F2581="Compareceu",$E2581&lt;&gt;"",$A2581&lt;&gt;""),IF(IFERROR(INDEX(ProcRet,MATCH($E2581,ProcNome,0)),0)&gt;0,$A2581+INDEX(ProcRet,MATCH($E2581,ProcNome,0)),""),"")</f>
        <v>0</v>
      </c>
      <c r="R2581" s="26">
        <f>IF($Q2581="","",IF(COUNTIFS(AgPac,$D2581,AgData,"&gt;"&amp;$A2581,AgStatus,"&lt;&gt;Cancelado",AgStatus,"&lt;&gt;Remarcado")&gt;0,"Sim","Não"))</f>
        <v>0</v>
      </c>
      <c r="S2581" s="28">
        <f>IF($A2581="","",IF(AND($F2581="Agendado",$A2581-Hoje&gt;=0,$A2581-Hoje&lt;=DiasConf),"CONFIRMAR",IF(AND($A2581&lt;Hoje,OR($F2581="Agendado",$F2581="Confirmado")),"Atualizar status",IF(AND($F2581="Compareceu",$P2581&gt;0.005),"Cobrar",IF($F2581="Faltou","Falta: reagendar","")))))</f>
        <v>0</v>
      </c>
      <c r="T2581" s="29">
        <f>IF($A2581="","",DATE(YEAR($A2581),MONTH($A2581),1))</f>
        <v>0</v>
      </c>
      <c r="U2581" s="30">
        <f>IF($S2581="CONFIRMAR",MAX($U$4:$U2580)+1,"")</f>
        <v>0</v>
      </c>
      <c r="V2581" s="30">
        <f>IF(AND($R2581="Não",$Q2581&lt;&gt;"",$Q2581&lt;=Hoje+JanelaRet,$Q2581&gt;=Hoje-60),MAX($V$4:$V2580)+1,"")</f>
        <v>0</v>
      </c>
    </row>
    <row r="2582" spans="1:22">
      <c r="A2582" s="16"/>
      <c r="B2582" s="23"/>
      <c r="C2582" s="15"/>
      <c r="D2582" s="15"/>
      <c r="E2582" s="15"/>
      <c r="F2582" s="24"/>
      <c r="G2582" s="17"/>
      <c r="H2582" s="17"/>
      <c r="I2582" s="15"/>
      <c r="J2582" s="25">
        <f>IF($D2582="","",IFERROR(INDEX(PacNome,MATCH($D2582,PacCod,0)),"Paciente não cadastrado"))</f>
        <v>0</v>
      </c>
      <c r="K2582" s="26">
        <f>IF($D2582="","",IFERROR(INDEX(PacConv,MATCH($D2582,PacCod,0))&amp;"",""))</f>
        <v>0</v>
      </c>
      <c r="L2582" s="26">
        <f>IF($A2582="","",CHOOSE(WEEKDAY($A2582,2),"Seg","Ter","Qua","Qui","Sex","Sáb","Dom"))</f>
        <v>0</v>
      </c>
      <c r="M2582" s="27">
        <f>IF($E2582="","",IF($G2582&lt;&gt;"",$G2582,IFERROR(INDEX(ProcValor,MATCH($E2582,ProcNome,0)),0)))</f>
        <v>0</v>
      </c>
      <c r="N2582" s="27">
        <f>IF($M2582="","",IF($F2582="Compareceu",$M2582,0))</f>
        <v>0</v>
      </c>
      <c r="O2582" s="27">
        <f>IF($M2582="","",IF($F2582="Faltou",$M2582,0))</f>
        <v>0</v>
      </c>
      <c r="P2582" s="27">
        <f>IF($M2582="","",IF($F2582="Compareceu",MAX(0,$M2582-N($H2582)),0))</f>
        <v>0</v>
      </c>
      <c r="Q2582" s="19">
        <f>IF(AND($F2582="Compareceu",$E2582&lt;&gt;"",$A2582&lt;&gt;""),IF(IFERROR(INDEX(ProcRet,MATCH($E2582,ProcNome,0)),0)&gt;0,$A2582+INDEX(ProcRet,MATCH($E2582,ProcNome,0)),""),"")</f>
        <v>0</v>
      </c>
      <c r="R2582" s="26">
        <f>IF($Q2582="","",IF(COUNTIFS(AgPac,$D2582,AgData,"&gt;"&amp;$A2582,AgStatus,"&lt;&gt;Cancelado",AgStatus,"&lt;&gt;Remarcado")&gt;0,"Sim","Não"))</f>
        <v>0</v>
      </c>
      <c r="S2582" s="28">
        <f>IF($A2582="","",IF(AND($F2582="Agendado",$A2582-Hoje&gt;=0,$A2582-Hoje&lt;=DiasConf),"CONFIRMAR",IF(AND($A2582&lt;Hoje,OR($F2582="Agendado",$F2582="Confirmado")),"Atualizar status",IF(AND($F2582="Compareceu",$P2582&gt;0.005),"Cobrar",IF($F2582="Faltou","Falta: reagendar","")))))</f>
        <v>0</v>
      </c>
      <c r="T2582" s="29">
        <f>IF($A2582="","",DATE(YEAR($A2582),MONTH($A2582),1))</f>
        <v>0</v>
      </c>
      <c r="U2582" s="30">
        <f>IF($S2582="CONFIRMAR",MAX($U$4:$U2581)+1,"")</f>
        <v>0</v>
      </c>
      <c r="V2582" s="30">
        <f>IF(AND($R2582="Não",$Q2582&lt;&gt;"",$Q2582&lt;=Hoje+JanelaRet,$Q2582&gt;=Hoje-60),MAX($V$4:$V2581)+1,"")</f>
        <v>0</v>
      </c>
    </row>
    <row r="2583" spans="1:22">
      <c r="A2583" s="16"/>
      <c r="B2583" s="23"/>
      <c r="C2583" s="15"/>
      <c r="D2583" s="15"/>
      <c r="E2583" s="15"/>
      <c r="F2583" s="24"/>
      <c r="G2583" s="17"/>
      <c r="H2583" s="17"/>
      <c r="I2583" s="15"/>
      <c r="J2583" s="25">
        <f>IF($D2583="","",IFERROR(INDEX(PacNome,MATCH($D2583,PacCod,0)),"Paciente não cadastrado"))</f>
        <v>0</v>
      </c>
      <c r="K2583" s="26">
        <f>IF($D2583="","",IFERROR(INDEX(PacConv,MATCH($D2583,PacCod,0))&amp;"",""))</f>
        <v>0</v>
      </c>
      <c r="L2583" s="26">
        <f>IF($A2583="","",CHOOSE(WEEKDAY($A2583,2),"Seg","Ter","Qua","Qui","Sex","Sáb","Dom"))</f>
        <v>0</v>
      </c>
      <c r="M2583" s="27">
        <f>IF($E2583="","",IF($G2583&lt;&gt;"",$G2583,IFERROR(INDEX(ProcValor,MATCH($E2583,ProcNome,0)),0)))</f>
        <v>0</v>
      </c>
      <c r="N2583" s="27">
        <f>IF($M2583="","",IF($F2583="Compareceu",$M2583,0))</f>
        <v>0</v>
      </c>
      <c r="O2583" s="27">
        <f>IF($M2583="","",IF($F2583="Faltou",$M2583,0))</f>
        <v>0</v>
      </c>
      <c r="P2583" s="27">
        <f>IF($M2583="","",IF($F2583="Compareceu",MAX(0,$M2583-N($H2583)),0))</f>
        <v>0</v>
      </c>
      <c r="Q2583" s="19">
        <f>IF(AND($F2583="Compareceu",$E2583&lt;&gt;"",$A2583&lt;&gt;""),IF(IFERROR(INDEX(ProcRet,MATCH($E2583,ProcNome,0)),0)&gt;0,$A2583+INDEX(ProcRet,MATCH($E2583,ProcNome,0)),""),"")</f>
        <v>0</v>
      </c>
      <c r="R2583" s="26">
        <f>IF($Q2583="","",IF(COUNTIFS(AgPac,$D2583,AgData,"&gt;"&amp;$A2583,AgStatus,"&lt;&gt;Cancelado",AgStatus,"&lt;&gt;Remarcado")&gt;0,"Sim","Não"))</f>
        <v>0</v>
      </c>
      <c r="S2583" s="28">
        <f>IF($A2583="","",IF(AND($F2583="Agendado",$A2583-Hoje&gt;=0,$A2583-Hoje&lt;=DiasConf),"CONFIRMAR",IF(AND($A2583&lt;Hoje,OR($F2583="Agendado",$F2583="Confirmado")),"Atualizar status",IF(AND($F2583="Compareceu",$P2583&gt;0.005),"Cobrar",IF($F2583="Faltou","Falta: reagendar","")))))</f>
        <v>0</v>
      </c>
      <c r="T2583" s="29">
        <f>IF($A2583="","",DATE(YEAR($A2583),MONTH($A2583),1))</f>
        <v>0</v>
      </c>
      <c r="U2583" s="30">
        <f>IF($S2583="CONFIRMAR",MAX($U$4:$U2582)+1,"")</f>
        <v>0</v>
      </c>
      <c r="V2583" s="30">
        <f>IF(AND($R2583="Não",$Q2583&lt;&gt;"",$Q2583&lt;=Hoje+JanelaRet,$Q2583&gt;=Hoje-60),MAX($V$4:$V2582)+1,"")</f>
        <v>0</v>
      </c>
    </row>
    <row r="2584" spans="1:22">
      <c r="A2584" s="16"/>
      <c r="B2584" s="23"/>
      <c r="C2584" s="15"/>
      <c r="D2584" s="15"/>
      <c r="E2584" s="15"/>
      <c r="F2584" s="24"/>
      <c r="G2584" s="17"/>
      <c r="H2584" s="17"/>
      <c r="I2584" s="15"/>
      <c r="J2584" s="25">
        <f>IF($D2584="","",IFERROR(INDEX(PacNome,MATCH($D2584,PacCod,0)),"Paciente não cadastrado"))</f>
        <v>0</v>
      </c>
      <c r="K2584" s="26">
        <f>IF($D2584="","",IFERROR(INDEX(PacConv,MATCH($D2584,PacCod,0))&amp;"",""))</f>
        <v>0</v>
      </c>
      <c r="L2584" s="26">
        <f>IF($A2584="","",CHOOSE(WEEKDAY($A2584,2),"Seg","Ter","Qua","Qui","Sex","Sáb","Dom"))</f>
        <v>0</v>
      </c>
      <c r="M2584" s="27">
        <f>IF($E2584="","",IF($G2584&lt;&gt;"",$G2584,IFERROR(INDEX(ProcValor,MATCH($E2584,ProcNome,0)),0)))</f>
        <v>0</v>
      </c>
      <c r="N2584" s="27">
        <f>IF($M2584="","",IF($F2584="Compareceu",$M2584,0))</f>
        <v>0</v>
      </c>
      <c r="O2584" s="27">
        <f>IF($M2584="","",IF($F2584="Faltou",$M2584,0))</f>
        <v>0</v>
      </c>
      <c r="P2584" s="27">
        <f>IF($M2584="","",IF($F2584="Compareceu",MAX(0,$M2584-N($H2584)),0))</f>
        <v>0</v>
      </c>
      <c r="Q2584" s="19">
        <f>IF(AND($F2584="Compareceu",$E2584&lt;&gt;"",$A2584&lt;&gt;""),IF(IFERROR(INDEX(ProcRet,MATCH($E2584,ProcNome,0)),0)&gt;0,$A2584+INDEX(ProcRet,MATCH($E2584,ProcNome,0)),""),"")</f>
        <v>0</v>
      </c>
      <c r="R2584" s="26">
        <f>IF($Q2584="","",IF(COUNTIFS(AgPac,$D2584,AgData,"&gt;"&amp;$A2584,AgStatus,"&lt;&gt;Cancelado",AgStatus,"&lt;&gt;Remarcado")&gt;0,"Sim","Não"))</f>
        <v>0</v>
      </c>
      <c r="S2584" s="28">
        <f>IF($A2584="","",IF(AND($F2584="Agendado",$A2584-Hoje&gt;=0,$A2584-Hoje&lt;=DiasConf),"CONFIRMAR",IF(AND($A2584&lt;Hoje,OR($F2584="Agendado",$F2584="Confirmado")),"Atualizar status",IF(AND($F2584="Compareceu",$P2584&gt;0.005),"Cobrar",IF($F2584="Faltou","Falta: reagendar","")))))</f>
        <v>0</v>
      </c>
      <c r="T2584" s="29">
        <f>IF($A2584="","",DATE(YEAR($A2584),MONTH($A2584),1))</f>
        <v>0</v>
      </c>
      <c r="U2584" s="30">
        <f>IF($S2584="CONFIRMAR",MAX($U$4:$U2583)+1,"")</f>
        <v>0</v>
      </c>
      <c r="V2584" s="30">
        <f>IF(AND($R2584="Não",$Q2584&lt;&gt;"",$Q2584&lt;=Hoje+JanelaRet,$Q2584&gt;=Hoje-60),MAX($V$4:$V2583)+1,"")</f>
        <v>0</v>
      </c>
    </row>
    <row r="2585" spans="1:22">
      <c r="A2585" s="16"/>
      <c r="B2585" s="23"/>
      <c r="C2585" s="15"/>
      <c r="D2585" s="15"/>
      <c r="E2585" s="15"/>
      <c r="F2585" s="24"/>
      <c r="G2585" s="17"/>
      <c r="H2585" s="17"/>
      <c r="I2585" s="15"/>
      <c r="J2585" s="25">
        <f>IF($D2585="","",IFERROR(INDEX(PacNome,MATCH($D2585,PacCod,0)),"Paciente não cadastrado"))</f>
        <v>0</v>
      </c>
      <c r="K2585" s="26">
        <f>IF($D2585="","",IFERROR(INDEX(PacConv,MATCH($D2585,PacCod,0))&amp;"",""))</f>
        <v>0</v>
      </c>
      <c r="L2585" s="26">
        <f>IF($A2585="","",CHOOSE(WEEKDAY($A2585,2),"Seg","Ter","Qua","Qui","Sex","Sáb","Dom"))</f>
        <v>0</v>
      </c>
      <c r="M2585" s="27">
        <f>IF($E2585="","",IF($G2585&lt;&gt;"",$G2585,IFERROR(INDEX(ProcValor,MATCH($E2585,ProcNome,0)),0)))</f>
        <v>0</v>
      </c>
      <c r="N2585" s="27">
        <f>IF($M2585="","",IF($F2585="Compareceu",$M2585,0))</f>
        <v>0</v>
      </c>
      <c r="O2585" s="27">
        <f>IF($M2585="","",IF($F2585="Faltou",$M2585,0))</f>
        <v>0</v>
      </c>
      <c r="P2585" s="27">
        <f>IF($M2585="","",IF($F2585="Compareceu",MAX(0,$M2585-N($H2585)),0))</f>
        <v>0</v>
      </c>
      <c r="Q2585" s="19">
        <f>IF(AND($F2585="Compareceu",$E2585&lt;&gt;"",$A2585&lt;&gt;""),IF(IFERROR(INDEX(ProcRet,MATCH($E2585,ProcNome,0)),0)&gt;0,$A2585+INDEX(ProcRet,MATCH($E2585,ProcNome,0)),""),"")</f>
        <v>0</v>
      </c>
      <c r="R2585" s="26">
        <f>IF($Q2585="","",IF(COUNTIFS(AgPac,$D2585,AgData,"&gt;"&amp;$A2585,AgStatus,"&lt;&gt;Cancelado",AgStatus,"&lt;&gt;Remarcado")&gt;0,"Sim","Não"))</f>
        <v>0</v>
      </c>
      <c r="S2585" s="28">
        <f>IF($A2585="","",IF(AND($F2585="Agendado",$A2585-Hoje&gt;=0,$A2585-Hoje&lt;=DiasConf),"CONFIRMAR",IF(AND($A2585&lt;Hoje,OR($F2585="Agendado",$F2585="Confirmado")),"Atualizar status",IF(AND($F2585="Compareceu",$P2585&gt;0.005),"Cobrar",IF($F2585="Faltou","Falta: reagendar","")))))</f>
        <v>0</v>
      </c>
      <c r="T2585" s="29">
        <f>IF($A2585="","",DATE(YEAR($A2585),MONTH($A2585),1))</f>
        <v>0</v>
      </c>
      <c r="U2585" s="30">
        <f>IF($S2585="CONFIRMAR",MAX($U$4:$U2584)+1,"")</f>
        <v>0</v>
      </c>
      <c r="V2585" s="30">
        <f>IF(AND($R2585="Não",$Q2585&lt;&gt;"",$Q2585&lt;=Hoje+JanelaRet,$Q2585&gt;=Hoje-60),MAX($V$4:$V2584)+1,"")</f>
        <v>0</v>
      </c>
    </row>
    <row r="2586" spans="1:22">
      <c r="A2586" s="16"/>
      <c r="B2586" s="23"/>
      <c r="C2586" s="15"/>
      <c r="D2586" s="15"/>
      <c r="E2586" s="15"/>
      <c r="F2586" s="24"/>
      <c r="G2586" s="17"/>
      <c r="H2586" s="17"/>
      <c r="I2586" s="15"/>
      <c r="J2586" s="25">
        <f>IF($D2586="","",IFERROR(INDEX(PacNome,MATCH($D2586,PacCod,0)),"Paciente não cadastrado"))</f>
        <v>0</v>
      </c>
      <c r="K2586" s="26">
        <f>IF($D2586="","",IFERROR(INDEX(PacConv,MATCH($D2586,PacCod,0))&amp;"",""))</f>
        <v>0</v>
      </c>
      <c r="L2586" s="26">
        <f>IF($A2586="","",CHOOSE(WEEKDAY($A2586,2),"Seg","Ter","Qua","Qui","Sex","Sáb","Dom"))</f>
        <v>0</v>
      </c>
      <c r="M2586" s="27">
        <f>IF($E2586="","",IF($G2586&lt;&gt;"",$G2586,IFERROR(INDEX(ProcValor,MATCH($E2586,ProcNome,0)),0)))</f>
        <v>0</v>
      </c>
      <c r="N2586" s="27">
        <f>IF($M2586="","",IF($F2586="Compareceu",$M2586,0))</f>
        <v>0</v>
      </c>
      <c r="O2586" s="27">
        <f>IF($M2586="","",IF($F2586="Faltou",$M2586,0))</f>
        <v>0</v>
      </c>
      <c r="P2586" s="27">
        <f>IF($M2586="","",IF($F2586="Compareceu",MAX(0,$M2586-N($H2586)),0))</f>
        <v>0</v>
      </c>
      <c r="Q2586" s="19">
        <f>IF(AND($F2586="Compareceu",$E2586&lt;&gt;"",$A2586&lt;&gt;""),IF(IFERROR(INDEX(ProcRet,MATCH($E2586,ProcNome,0)),0)&gt;0,$A2586+INDEX(ProcRet,MATCH($E2586,ProcNome,0)),""),"")</f>
        <v>0</v>
      </c>
      <c r="R2586" s="26">
        <f>IF($Q2586="","",IF(COUNTIFS(AgPac,$D2586,AgData,"&gt;"&amp;$A2586,AgStatus,"&lt;&gt;Cancelado",AgStatus,"&lt;&gt;Remarcado")&gt;0,"Sim","Não"))</f>
        <v>0</v>
      </c>
      <c r="S2586" s="28">
        <f>IF($A2586="","",IF(AND($F2586="Agendado",$A2586-Hoje&gt;=0,$A2586-Hoje&lt;=DiasConf),"CONFIRMAR",IF(AND($A2586&lt;Hoje,OR($F2586="Agendado",$F2586="Confirmado")),"Atualizar status",IF(AND($F2586="Compareceu",$P2586&gt;0.005),"Cobrar",IF($F2586="Faltou","Falta: reagendar","")))))</f>
        <v>0</v>
      </c>
      <c r="T2586" s="29">
        <f>IF($A2586="","",DATE(YEAR($A2586),MONTH($A2586),1))</f>
        <v>0</v>
      </c>
      <c r="U2586" s="30">
        <f>IF($S2586="CONFIRMAR",MAX($U$4:$U2585)+1,"")</f>
        <v>0</v>
      </c>
      <c r="V2586" s="30">
        <f>IF(AND($R2586="Não",$Q2586&lt;&gt;"",$Q2586&lt;=Hoje+JanelaRet,$Q2586&gt;=Hoje-60),MAX($V$4:$V2585)+1,"")</f>
        <v>0</v>
      </c>
    </row>
    <row r="2587" spans="1:22">
      <c r="A2587" s="16"/>
      <c r="B2587" s="23"/>
      <c r="C2587" s="15"/>
      <c r="D2587" s="15"/>
      <c r="E2587" s="15"/>
      <c r="F2587" s="24"/>
      <c r="G2587" s="17"/>
      <c r="H2587" s="17"/>
      <c r="I2587" s="15"/>
      <c r="J2587" s="25">
        <f>IF($D2587="","",IFERROR(INDEX(PacNome,MATCH($D2587,PacCod,0)),"Paciente não cadastrado"))</f>
        <v>0</v>
      </c>
      <c r="K2587" s="26">
        <f>IF($D2587="","",IFERROR(INDEX(PacConv,MATCH($D2587,PacCod,0))&amp;"",""))</f>
        <v>0</v>
      </c>
      <c r="L2587" s="26">
        <f>IF($A2587="","",CHOOSE(WEEKDAY($A2587,2),"Seg","Ter","Qua","Qui","Sex","Sáb","Dom"))</f>
        <v>0</v>
      </c>
      <c r="M2587" s="27">
        <f>IF($E2587="","",IF($G2587&lt;&gt;"",$G2587,IFERROR(INDEX(ProcValor,MATCH($E2587,ProcNome,0)),0)))</f>
        <v>0</v>
      </c>
      <c r="N2587" s="27">
        <f>IF($M2587="","",IF($F2587="Compareceu",$M2587,0))</f>
        <v>0</v>
      </c>
      <c r="O2587" s="27">
        <f>IF($M2587="","",IF($F2587="Faltou",$M2587,0))</f>
        <v>0</v>
      </c>
      <c r="P2587" s="27">
        <f>IF($M2587="","",IF($F2587="Compareceu",MAX(0,$M2587-N($H2587)),0))</f>
        <v>0</v>
      </c>
      <c r="Q2587" s="19">
        <f>IF(AND($F2587="Compareceu",$E2587&lt;&gt;"",$A2587&lt;&gt;""),IF(IFERROR(INDEX(ProcRet,MATCH($E2587,ProcNome,0)),0)&gt;0,$A2587+INDEX(ProcRet,MATCH($E2587,ProcNome,0)),""),"")</f>
        <v>0</v>
      </c>
      <c r="R2587" s="26">
        <f>IF($Q2587="","",IF(COUNTIFS(AgPac,$D2587,AgData,"&gt;"&amp;$A2587,AgStatus,"&lt;&gt;Cancelado",AgStatus,"&lt;&gt;Remarcado")&gt;0,"Sim","Não"))</f>
        <v>0</v>
      </c>
      <c r="S2587" s="28">
        <f>IF($A2587="","",IF(AND($F2587="Agendado",$A2587-Hoje&gt;=0,$A2587-Hoje&lt;=DiasConf),"CONFIRMAR",IF(AND($A2587&lt;Hoje,OR($F2587="Agendado",$F2587="Confirmado")),"Atualizar status",IF(AND($F2587="Compareceu",$P2587&gt;0.005),"Cobrar",IF($F2587="Faltou","Falta: reagendar","")))))</f>
        <v>0</v>
      </c>
      <c r="T2587" s="29">
        <f>IF($A2587="","",DATE(YEAR($A2587),MONTH($A2587),1))</f>
        <v>0</v>
      </c>
      <c r="U2587" s="30">
        <f>IF($S2587="CONFIRMAR",MAX($U$4:$U2586)+1,"")</f>
        <v>0</v>
      </c>
      <c r="V2587" s="30">
        <f>IF(AND($R2587="Não",$Q2587&lt;&gt;"",$Q2587&lt;=Hoje+JanelaRet,$Q2587&gt;=Hoje-60),MAX($V$4:$V2586)+1,"")</f>
        <v>0</v>
      </c>
    </row>
    <row r="2588" spans="1:22">
      <c r="A2588" s="16"/>
      <c r="B2588" s="23"/>
      <c r="C2588" s="15"/>
      <c r="D2588" s="15"/>
      <c r="E2588" s="15"/>
      <c r="F2588" s="24"/>
      <c r="G2588" s="17"/>
      <c r="H2588" s="17"/>
      <c r="I2588" s="15"/>
      <c r="J2588" s="25">
        <f>IF($D2588="","",IFERROR(INDEX(PacNome,MATCH($D2588,PacCod,0)),"Paciente não cadastrado"))</f>
        <v>0</v>
      </c>
      <c r="K2588" s="26">
        <f>IF($D2588="","",IFERROR(INDEX(PacConv,MATCH($D2588,PacCod,0))&amp;"",""))</f>
        <v>0</v>
      </c>
      <c r="L2588" s="26">
        <f>IF($A2588="","",CHOOSE(WEEKDAY($A2588,2),"Seg","Ter","Qua","Qui","Sex","Sáb","Dom"))</f>
        <v>0</v>
      </c>
      <c r="M2588" s="27">
        <f>IF($E2588="","",IF($G2588&lt;&gt;"",$G2588,IFERROR(INDEX(ProcValor,MATCH($E2588,ProcNome,0)),0)))</f>
        <v>0</v>
      </c>
      <c r="N2588" s="27">
        <f>IF($M2588="","",IF($F2588="Compareceu",$M2588,0))</f>
        <v>0</v>
      </c>
      <c r="O2588" s="27">
        <f>IF($M2588="","",IF($F2588="Faltou",$M2588,0))</f>
        <v>0</v>
      </c>
      <c r="P2588" s="27">
        <f>IF($M2588="","",IF($F2588="Compareceu",MAX(0,$M2588-N($H2588)),0))</f>
        <v>0</v>
      </c>
      <c r="Q2588" s="19">
        <f>IF(AND($F2588="Compareceu",$E2588&lt;&gt;"",$A2588&lt;&gt;""),IF(IFERROR(INDEX(ProcRet,MATCH($E2588,ProcNome,0)),0)&gt;0,$A2588+INDEX(ProcRet,MATCH($E2588,ProcNome,0)),""),"")</f>
        <v>0</v>
      </c>
      <c r="R2588" s="26">
        <f>IF($Q2588="","",IF(COUNTIFS(AgPac,$D2588,AgData,"&gt;"&amp;$A2588,AgStatus,"&lt;&gt;Cancelado",AgStatus,"&lt;&gt;Remarcado")&gt;0,"Sim","Não"))</f>
        <v>0</v>
      </c>
      <c r="S2588" s="28">
        <f>IF($A2588="","",IF(AND($F2588="Agendado",$A2588-Hoje&gt;=0,$A2588-Hoje&lt;=DiasConf),"CONFIRMAR",IF(AND($A2588&lt;Hoje,OR($F2588="Agendado",$F2588="Confirmado")),"Atualizar status",IF(AND($F2588="Compareceu",$P2588&gt;0.005),"Cobrar",IF($F2588="Faltou","Falta: reagendar","")))))</f>
        <v>0</v>
      </c>
      <c r="T2588" s="29">
        <f>IF($A2588="","",DATE(YEAR($A2588),MONTH($A2588),1))</f>
        <v>0</v>
      </c>
      <c r="U2588" s="30">
        <f>IF($S2588="CONFIRMAR",MAX($U$4:$U2587)+1,"")</f>
        <v>0</v>
      </c>
      <c r="V2588" s="30">
        <f>IF(AND($R2588="Não",$Q2588&lt;&gt;"",$Q2588&lt;=Hoje+JanelaRet,$Q2588&gt;=Hoje-60),MAX($V$4:$V2587)+1,"")</f>
        <v>0</v>
      </c>
    </row>
    <row r="2589" spans="1:22">
      <c r="A2589" s="16"/>
      <c r="B2589" s="23"/>
      <c r="C2589" s="15"/>
      <c r="D2589" s="15"/>
      <c r="E2589" s="15"/>
      <c r="F2589" s="24"/>
      <c r="G2589" s="17"/>
      <c r="H2589" s="17"/>
      <c r="I2589" s="15"/>
      <c r="J2589" s="25">
        <f>IF($D2589="","",IFERROR(INDEX(PacNome,MATCH($D2589,PacCod,0)),"Paciente não cadastrado"))</f>
        <v>0</v>
      </c>
      <c r="K2589" s="26">
        <f>IF($D2589="","",IFERROR(INDEX(PacConv,MATCH($D2589,PacCod,0))&amp;"",""))</f>
        <v>0</v>
      </c>
      <c r="L2589" s="26">
        <f>IF($A2589="","",CHOOSE(WEEKDAY($A2589,2),"Seg","Ter","Qua","Qui","Sex","Sáb","Dom"))</f>
        <v>0</v>
      </c>
      <c r="M2589" s="27">
        <f>IF($E2589="","",IF($G2589&lt;&gt;"",$G2589,IFERROR(INDEX(ProcValor,MATCH($E2589,ProcNome,0)),0)))</f>
        <v>0</v>
      </c>
      <c r="N2589" s="27">
        <f>IF($M2589="","",IF($F2589="Compareceu",$M2589,0))</f>
        <v>0</v>
      </c>
      <c r="O2589" s="27">
        <f>IF($M2589="","",IF($F2589="Faltou",$M2589,0))</f>
        <v>0</v>
      </c>
      <c r="P2589" s="27">
        <f>IF($M2589="","",IF($F2589="Compareceu",MAX(0,$M2589-N($H2589)),0))</f>
        <v>0</v>
      </c>
      <c r="Q2589" s="19">
        <f>IF(AND($F2589="Compareceu",$E2589&lt;&gt;"",$A2589&lt;&gt;""),IF(IFERROR(INDEX(ProcRet,MATCH($E2589,ProcNome,0)),0)&gt;0,$A2589+INDEX(ProcRet,MATCH($E2589,ProcNome,0)),""),"")</f>
        <v>0</v>
      </c>
      <c r="R2589" s="26">
        <f>IF($Q2589="","",IF(COUNTIFS(AgPac,$D2589,AgData,"&gt;"&amp;$A2589,AgStatus,"&lt;&gt;Cancelado",AgStatus,"&lt;&gt;Remarcado")&gt;0,"Sim","Não"))</f>
        <v>0</v>
      </c>
      <c r="S2589" s="28">
        <f>IF($A2589="","",IF(AND($F2589="Agendado",$A2589-Hoje&gt;=0,$A2589-Hoje&lt;=DiasConf),"CONFIRMAR",IF(AND($A2589&lt;Hoje,OR($F2589="Agendado",$F2589="Confirmado")),"Atualizar status",IF(AND($F2589="Compareceu",$P2589&gt;0.005),"Cobrar",IF($F2589="Faltou","Falta: reagendar","")))))</f>
        <v>0</v>
      </c>
      <c r="T2589" s="29">
        <f>IF($A2589="","",DATE(YEAR($A2589),MONTH($A2589),1))</f>
        <v>0</v>
      </c>
      <c r="U2589" s="30">
        <f>IF($S2589="CONFIRMAR",MAX($U$4:$U2588)+1,"")</f>
        <v>0</v>
      </c>
      <c r="V2589" s="30">
        <f>IF(AND($R2589="Não",$Q2589&lt;&gt;"",$Q2589&lt;=Hoje+JanelaRet,$Q2589&gt;=Hoje-60),MAX($V$4:$V2588)+1,"")</f>
        <v>0</v>
      </c>
    </row>
    <row r="2590" spans="1:22">
      <c r="A2590" s="16"/>
      <c r="B2590" s="23"/>
      <c r="C2590" s="15"/>
      <c r="D2590" s="15"/>
      <c r="E2590" s="15"/>
      <c r="F2590" s="24"/>
      <c r="G2590" s="17"/>
      <c r="H2590" s="17"/>
      <c r="I2590" s="15"/>
      <c r="J2590" s="25">
        <f>IF($D2590="","",IFERROR(INDEX(PacNome,MATCH($D2590,PacCod,0)),"Paciente não cadastrado"))</f>
        <v>0</v>
      </c>
      <c r="K2590" s="26">
        <f>IF($D2590="","",IFERROR(INDEX(PacConv,MATCH($D2590,PacCod,0))&amp;"",""))</f>
        <v>0</v>
      </c>
      <c r="L2590" s="26">
        <f>IF($A2590="","",CHOOSE(WEEKDAY($A2590,2),"Seg","Ter","Qua","Qui","Sex","Sáb","Dom"))</f>
        <v>0</v>
      </c>
      <c r="M2590" s="27">
        <f>IF($E2590="","",IF($G2590&lt;&gt;"",$G2590,IFERROR(INDEX(ProcValor,MATCH($E2590,ProcNome,0)),0)))</f>
        <v>0</v>
      </c>
      <c r="N2590" s="27">
        <f>IF($M2590="","",IF($F2590="Compareceu",$M2590,0))</f>
        <v>0</v>
      </c>
      <c r="O2590" s="27">
        <f>IF($M2590="","",IF($F2590="Faltou",$M2590,0))</f>
        <v>0</v>
      </c>
      <c r="P2590" s="27">
        <f>IF($M2590="","",IF($F2590="Compareceu",MAX(0,$M2590-N($H2590)),0))</f>
        <v>0</v>
      </c>
      <c r="Q2590" s="19">
        <f>IF(AND($F2590="Compareceu",$E2590&lt;&gt;"",$A2590&lt;&gt;""),IF(IFERROR(INDEX(ProcRet,MATCH($E2590,ProcNome,0)),0)&gt;0,$A2590+INDEX(ProcRet,MATCH($E2590,ProcNome,0)),""),"")</f>
        <v>0</v>
      </c>
      <c r="R2590" s="26">
        <f>IF($Q2590="","",IF(COUNTIFS(AgPac,$D2590,AgData,"&gt;"&amp;$A2590,AgStatus,"&lt;&gt;Cancelado",AgStatus,"&lt;&gt;Remarcado")&gt;0,"Sim","Não"))</f>
        <v>0</v>
      </c>
      <c r="S2590" s="28">
        <f>IF($A2590="","",IF(AND($F2590="Agendado",$A2590-Hoje&gt;=0,$A2590-Hoje&lt;=DiasConf),"CONFIRMAR",IF(AND($A2590&lt;Hoje,OR($F2590="Agendado",$F2590="Confirmado")),"Atualizar status",IF(AND($F2590="Compareceu",$P2590&gt;0.005),"Cobrar",IF($F2590="Faltou","Falta: reagendar","")))))</f>
        <v>0</v>
      </c>
      <c r="T2590" s="29">
        <f>IF($A2590="","",DATE(YEAR($A2590),MONTH($A2590),1))</f>
        <v>0</v>
      </c>
      <c r="U2590" s="30">
        <f>IF($S2590="CONFIRMAR",MAX($U$4:$U2589)+1,"")</f>
        <v>0</v>
      </c>
      <c r="V2590" s="30">
        <f>IF(AND($R2590="Não",$Q2590&lt;&gt;"",$Q2590&lt;=Hoje+JanelaRet,$Q2590&gt;=Hoje-60),MAX($V$4:$V2589)+1,"")</f>
        <v>0</v>
      </c>
    </row>
    <row r="2591" spans="1:22">
      <c r="A2591" s="16"/>
      <c r="B2591" s="23"/>
      <c r="C2591" s="15"/>
      <c r="D2591" s="15"/>
      <c r="E2591" s="15"/>
      <c r="F2591" s="24"/>
      <c r="G2591" s="17"/>
      <c r="H2591" s="17"/>
      <c r="I2591" s="15"/>
      <c r="J2591" s="25">
        <f>IF($D2591="","",IFERROR(INDEX(PacNome,MATCH($D2591,PacCod,0)),"Paciente não cadastrado"))</f>
        <v>0</v>
      </c>
      <c r="K2591" s="26">
        <f>IF($D2591="","",IFERROR(INDEX(PacConv,MATCH($D2591,PacCod,0))&amp;"",""))</f>
        <v>0</v>
      </c>
      <c r="L2591" s="26">
        <f>IF($A2591="","",CHOOSE(WEEKDAY($A2591,2),"Seg","Ter","Qua","Qui","Sex","Sáb","Dom"))</f>
        <v>0</v>
      </c>
      <c r="M2591" s="27">
        <f>IF($E2591="","",IF($G2591&lt;&gt;"",$G2591,IFERROR(INDEX(ProcValor,MATCH($E2591,ProcNome,0)),0)))</f>
        <v>0</v>
      </c>
      <c r="N2591" s="27">
        <f>IF($M2591="","",IF($F2591="Compareceu",$M2591,0))</f>
        <v>0</v>
      </c>
      <c r="O2591" s="27">
        <f>IF($M2591="","",IF($F2591="Faltou",$M2591,0))</f>
        <v>0</v>
      </c>
      <c r="P2591" s="27">
        <f>IF($M2591="","",IF($F2591="Compareceu",MAX(0,$M2591-N($H2591)),0))</f>
        <v>0</v>
      </c>
      <c r="Q2591" s="19">
        <f>IF(AND($F2591="Compareceu",$E2591&lt;&gt;"",$A2591&lt;&gt;""),IF(IFERROR(INDEX(ProcRet,MATCH($E2591,ProcNome,0)),0)&gt;0,$A2591+INDEX(ProcRet,MATCH($E2591,ProcNome,0)),""),"")</f>
        <v>0</v>
      </c>
      <c r="R2591" s="26">
        <f>IF($Q2591="","",IF(COUNTIFS(AgPac,$D2591,AgData,"&gt;"&amp;$A2591,AgStatus,"&lt;&gt;Cancelado",AgStatus,"&lt;&gt;Remarcado")&gt;0,"Sim","Não"))</f>
        <v>0</v>
      </c>
      <c r="S2591" s="28">
        <f>IF($A2591="","",IF(AND($F2591="Agendado",$A2591-Hoje&gt;=0,$A2591-Hoje&lt;=DiasConf),"CONFIRMAR",IF(AND($A2591&lt;Hoje,OR($F2591="Agendado",$F2591="Confirmado")),"Atualizar status",IF(AND($F2591="Compareceu",$P2591&gt;0.005),"Cobrar",IF($F2591="Faltou","Falta: reagendar","")))))</f>
        <v>0</v>
      </c>
      <c r="T2591" s="29">
        <f>IF($A2591="","",DATE(YEAR($A2591),MONTH($A2591),1))</f>
        <v>0</v>
      </c>
      <c r="U2591" s="30">
        <f>IF($S2591="CONFIRMAR",MAX($U$4:$U2590)+1,"")</f>
        <v>0</v>
      </c>
      <c r="V2591" s="30">
        <f>IF(AND($R2591="Não",$Q2591&lt;&gt;"",$Q2591&lt;=Hoje+JanelaRet,$Q2591&gt;=Hoje-60),MAX($V$4:$V2590)+1,"")</f>
        <v>0</v>
      </c>
    </row>
    <row r="2592" spans="1:22">
      <c r="A2592" s="16"/>
      <c r="B2592" s="23"/>
      <c r="C2592" s="15"/>
      <c r="D2592" s="15"/>
      <c r="E2592" s="15"/>
      <c r="F2592" s="24"/>
      <c r="G2592" s="17"/>
      <c r="H2592" s="17"/>
      <c r="I2592" s="15"/>
      <c r="J2592" s="25">
        <f>IF($D2592="","",IFERROR(INDEX(PacNome,MATCH($D2592,PacCod,0)),"Paciente não cadastrado"))</f>
        <v>0</v>
      </c>
      <c r="K2592" s="26">
        <f>IF($D2592="","",IFERROR(INDEX(PacConv,MATCH($D2592,PacCod,0))&amp;"",""))</f>
        <v>0</v>
      </c>
      <c r="L2592" s="26">
        <f>IF($A2592="","",CHOOSE(WEEKDAY($A2592,2),"Seg","Ter","Qua","Qui","Sex","Sáb","Dom"))</f>
        <v>0</v>
      </c>
      <c r="M2592" s="27">
        <f>IF($E2592="","",IF($G2592&lt;&gt;"",$G2592,IFERROR(INDEX(ProcValor,MATCH($E2592,ProcNome,0)),0)))</f>
        <v>0</v>
      </c>
      <c r="N2592" s="27">
        <f>IF($M2592="","",IF($F2592="Compareceu",$M2592,0))</f>
        <v>0</v>
      </c>
      <c r="O2592" s="27">
        <f>IF($M2592="","",IF($F2592="Faltou",$M2592,0))</f>
        <v>0</v>
      </c>
      <c r="P2592" s="27">
        <f>IF($M2592="","",IF($F2592="Compareceu",MAX(0,$M2592-N($H2592)),0))</f>
        <v>0</v>
      </c>
      <c r="Q2592" s="19">
        <f>IF(AND($F2592="Compareceu",$E2592&lt;&gt;"",$A2592&lt;&gt;""),IF(IFERROR(INDEX(ProcRet,MATCH($E2592,ProcNome,0)),0)&gt;0,$A2592+INDEX(ProcRet,MATCH($E2592,ProcNome,0)),""),"")</f>
        <v>0</v>
      </c>
      <c r="R2592" s="26">
        <f>IF($Q2592="","",IF(COUNTIFS(AgPac,$D2592,AgData,"&gt;"&amp;$A2592,AgStatus,"&lt;&gt;Cancelado",AgStatus,"&lt;&gt;Remarcado")&gt;0,"Sim","Não"))</f>
        <v>0</v>
      </c>
      <c r="S2592" s="28">
        <f>IF($A2592="","",IF(AND($F2592="Agendado",$A2592-Hoje&gt;=0,$A2592-Hoje&lt;=DiasConf),"CONFIRMAR",IF(AND($A2592&lt;Hoje,OR($F2592="Agendado",$F2592="Confirmado")),"Atualizar status",IF(AND($F2592="Compareceu",$P2592&gt;0.005),"Cobrar",IF($F2592="Faltou","Falta: reagendar","")))))</f>
        <v>0</v>
      </c>
      <c r="T2592" s="29">
        <f>IF($A2592="","",DATE(YEAR($A2592),MONTH($A2592),1))</f>
        <v>0</v>
      </c>
      <c r="U2592" s="30">
        <f>IF($S2592="CONFIRMAR",MAX($U$4:$U2591)+1,"")</f>
        <v>0</v>
      </c>
      <c r="V2592" s="30">
        <f>IF(AND($R2592="Não",$Q2592&lt;&gt;"",$Q2592&lt;=Hoje+JanelaRet,$Q2592&gt;=Hoje-60),MAX($V$4:$V2591)+1,"")</f>
        <v>0</v>
      </c>
    </row>
    <row r="2593" spans="1:22">
      <c r="A2593" s="16"/>
      <c r="B2593" s="23"/>
      <c r="C2593" s="15"/>
      <c r="D2593" s="15"/>
      <c r="E2593" s="15"/>
      <c r="F2593" s="24"/>
      <c r="G2593" s="17"/>
      <c r="H2593" s="17"/>
      <c r="I2593" s="15"/>
      <c r="J2593" s="25">
        <f>IF($D2593="","",IFERROR(INDEX(PacNome,MATCH($D2593,PacCod,0)),"Paciente não cadastrado"))</f>
        <v>0</v>
      </c>
      <c r="K2593" s="26">
        <f>IF($D2593="","",IFERROR(INDEX(PacConv,MATCH($D2593,PacCod,0))&amp;"",""))</f>
        <v>0</v>
      </c>
      <c r="L2593" s="26">
        <f>IF($A2593="","",CHOOSE(WEEKDAY($A2593,2),"Seg","Ter","Qua","Qui","Sex","Sáb","Dom"))</f>
        <v>0</v>
      </c>
      <c r="M2593" s="27">
        <f>IF($E2593="","",IF($G2593&lt;&gt;"",$G2593,IFERROR(INDEX(ProcValor,MATCH($E2593,ProcNome,0)),0)))</f>
        <v>0</v>
      </c>
      <c r="N2593" s="27">
        <f>IF($M2593="","",IF($F2593="Compareceu",$M2593,0))</f>
        <v>0</v>
      </c>
      <c r="O2593" s="27">
        <f>IF($M2593="","",IF($F2593="Faltou",$M2593,0))</f>
        <v>0</v>
      </c>
      <c r="P2593" s="27">
        <f>IF($M2593="","",IF($F2593="Compareceu",MAX(0,$M2593-N($H2593)),0))</f>
        <v>0</v>
      </c>
      <c r="Q2593" s="19">
        <f>IF(AND($F2593="Compareceu",$E2593&lt;&gt;"",$A2593&lt;&gt;""),IF(IFERROR(INDEX(ProcRet,MATCH($E2593,ProcNome,0)),0)&gt;0,$A2593+INDEX(ProcRet,MATCH($E2593,ProcNome,0)),""),"")</f>
        <v>0</v>
      </c>
      <c r="R2593" s="26">
        <f>IF($Q2593="","",IF(COUNTIFS(AgPac,$D2593,AgData,"&gt;"&amp;$A2593,AgStatus,"&lt;&gt;Cancelado",AgStatus,"&lt;&gt;Remarcado")&gt;0,"Sim","Não"))</f>
        <v>0</v>
      </c>
      <c r="S2593" s="28">
        <f>IF($A2593="","",IF(AND($F2593="Agendado",$A2593-Hoje&gt;=0,$A2593-Hoje&lt;=DiasConf),"CONFIRMAR",IF(AND($A2593&lt;Hoje,OR($F2593="Agendado",$F2593="Confirmado")),"Atualizar status",IF(AND($F2593="Compareceu",$P2593&gt;0.005),"Cobrar",IF($F2593="Faltou","Falta: reagendar","")))))</f>
        <v>0</v>
      </c>
      <c r="T2593" s="29">
        <f>IF($A2593="","",DATE(YEAR($A2593),MONTH($A2593),1))</f>
        <v>0</v>
      </c>
      <c r="U2593" s="30">
        <f>IF($S2593="CONFIRMAR",MAX($U$4:$U2592)+1,"")</f>
        <v>0</v>
      </c>
      <c r="V2593" s="30">
        <f>IF(AND($R2593="Não",$Q2593&lt;&gt;"",$Q2593&lt;=Hoje+JanelaRet,$Q2593&gt;=Hoje-60),MAX($V$4:$V2592)+1,"")</f>
        <v>0</v>
      </c>
    </row>
    <row r="2594" spans="1:22">
      <c r="A2594" s="16"/>
      <c r="B2594" s="23"/>
      <c r="C2594" s="15"/>
      <c r="D2594" s="15"/>
      <c r="E2594" s="15"/>
      <c r="F2594" s="24"/>
      <c r="G2594" s="17"/>
      <c r="H2594" s="17"/>
      <c r="I2594" s="15"/>
      <c r="J2594" s="25">
        <f>IF($D2594="","",IFERROR(INDEX(PacNome,MATCH($D2594,PacCod,0)),"Paciente não cadastrado"))</f>
        <v>0</v>
      </c>
      <c r="K2594" s="26">
        <f>IF($D2594="","",IFERROR(INDEX(PacConv,MATCH($D2594,PacCod,0))&amp;"",""))</f>
        <v>0</v>
      </c>
      <c r="L2594" s="26">
        <f>IF($A2594="","",CHOOSE(WEEKDAY($A2594,2),"Seg","Ter","Qua","Qui","Sex","Sáb","Dom"))</f>
        <v>0</v>
      </c>
      <c r="M2594" s="27">
        <f>IF($E2594="","",IF($G2594&lt;&gt;"",$G2594,IFERROR(INDEX(ProcValor,MATCH($E2594,ProcNome,0)),0)))</f>
        <v>0</v>
      </c>
      <c r="N2594" s="27">
        <f>IF($M2594="","",IF($F2594="Compareceu",$M2594,0))</f>
        <v>0</v>
      </c>
      <c r="O2594" s="27">
        <f>IF($M2594="","",IF($F2594="Faltou",$M2594,0))</f>
        <v>0</v>
      </c>
      <c r="P2594" s="27">
        <f>IF($M2594="","",IF($F2594="Compareceu",MAX(0,$M2594-N($H2594)),0))</f>
        <v>0</v>
      </c>
      <c r="Q2594" s="19">
        <f>IF(AND($F2594="Compareceu",$E2594&lt;&gt;"",$A2594&lt;&gt;""),IF(IFERROR(INDEX(ProcRet,MATCH($E2594,ProcNome,0)),0)&gt;0,$A2594+INDEX(ProcRet,MATCH($E2594,ProcNome,0)),""),"")</f>
        <v>0</v>
      </c>
      <c r="R2594" s="26">
        <f>IF($Q2594="","",IF(COUNTIFS(AgPac,$D2594,AgData,"&gt;"&amp;$A2594,AgStatus,"&lt;&gt;Cancelado",AgStatus,"&lt;&gt;Remarcado")&gt;0,"Sim","Não"))</f>
        <v>0</v>
      </c>
      <c r="S2594" s="28">
        <f>IF($A2594="","",IF(AND($F2594="Agendado",$A2594-Hoje&gt;=0,$A2594-Hoje&lt;=DiasConf),"CONFIRMAR",IF(AND($A2594&lt;Hoje,OR($F2594="Agendado",$F2594="Confirmado")),"Atualizar status",IF(AND($F2594="Compareceu",$P2594&gt;0.005),"Cobrar",IF($F2594="Faltou","Falta: reagendar","")))))</f>
        <v>0</v>
      </c>
      <c r="T2594" s="29">
        <f>IF($A2594="","",DATE(YEAR($A2594),MONTH($A2594),1))</f>
        <v>0</v>
      </c>
      <c r="U2594" s="30">
        <f>IF($S2594="CONFIRMAR",MAX($U$4:$U2593)+1,"")</f>
        <v>0</v>
      </c>
      <c r="V2594" s="30">
        <f>IF(AND($R2594="Não",$Q2594&lt;&gt;"",$Q2594&lt;=Hoje+JanelaRet,$Q2594&gt;=Hoje-60),MAX($V$4:$V2593)+1,"")</f>
        <v>0</v>
      </c>
    </row>
    <row r="2595" spans="1:22">
      <c r="A2595" s="16"/>
      <c r="B2595" s="23"/>
      <c r="C2595" s="15"/>
      <c r="D2595" s="15"/>
      <c r="E2595" s="15"/>
      <c r="F2595" s="24"/>
      <c r="G2595" s="17"/>
      <c r="H2595" s="17"/>
      <c r="I2595" s="15"/>
      <c r="J2595" s="25">
        <f>IF($D2595="","",IFERROR(INDEX(PacNome,MATCH($D2595,PacCod,0)),"Paciente não cadastrado"))</f>
        <v>0</v>
      </c>
      <c r="K2595" s="26">
        <f>IF($D2595="","",IFERROR(INDEX(PacConv,MATCH($D2595,PacCod,0))&amp;"",""))</f>
        <v>0</v>
      </c>
      <c r="L2595" s="26">
        <f>IF($A2595="","",CHOOSE(WEEKDAY($A2595,2),"Seg","Ter","Qua","Qui","Sex","Sáb","Dom"))</f>
        <v>0</v>
      </c>
      <c r="M2595" s="27">
        <f>IF($E2595="","",IF($G2595&lt;&gt;"",$G2595,IFERROR(INDEX(ProcValor,MATCH($E2595,ProcNome,0)),0)))</f>
        <v>0</v>
      </c>
      <c r="N2595" s="27">
        <f>IF($M2595="","",IF($F2595="Compareceu",$M2595,0))</f>
        <v>0</v>
      </c>
      <c r="O2595" s="27">
        <f>IF($M2595="","",IF($F2595="Faltou",$M2595,0))</f>
        <v>0</v>
      </c>
      <c r="P2595" s="27">
        <f>IF($M2595="","",IF($F2595="Compareceu",MAX(0,$M2595-N($H2595)),0))</f>
        <v>0</v>
      </c>
      <c r="Q2595" s="19">
        <f>IF(AND($F2595="Compareceu",$E2595&lt;&gt;"",$A2595&lt;&gt;""),IF(IFERROR(INDEX(ProcRet,MATCH($E2595,ProcNome,0)),0)&gt;0,$A2595+INDEX(ProcRet,MATCH($E2595,ProcNome,0)),""),"")</f>
        <v>0</v>
      </c>
      <c r="R2595" s="26">
        <f>IF($Q2595="","",IF(COUNTIFS(AgPac,$D2595,AgData,"&gt;"&amp;$A2595,AgStatus,"&lt;&gt;Cancelado",AgStatus,"&lt;&gt;Remarcado")&gt;0,"Sim","Não"))</f>
        <v>0</v>
      </c>
      <c r="S2595" s="28">
        <f>IF($A2595="","",IF(AND($F2595="Agendado",$A2595-Hoje&gt;=0,$A2595-Hoje&lt;=DiasConf),"CONFIRMAR",IF(AND($A2595&lt;Hoje,OR($F2595="Agendado",$F2595="Confirmado")),"Atualizar status",IF(AND($F2595="Compareceu",$P2595&gt;0.005),"Cobrar",IF($F2595="Faltou","Falta: reagendar","")))))</f>
        <v>0</v>
      </c>
      <c r="T2595" s="29">
        <f>IF($A2595="","",DATE(YEAR($A2595),MONTH($A2595),1))</f>
        <v>0</v>
      </c>
      <c r="U2595" s="30">
        <f>IF($S2595="CONFIRMAR",MAX($U$4:$U2594)+1,"")</f>
        <v>0</v>
      </c>
      <c r="V2595" s="30">
        <f>IF(AND($R2595="Não",$Q2595&lt;&gt;"",$Q2595&lt;=Hoje+JanelaRet,$Q2595&gt;=Hoje-60),MAX($V$4:$V2594)+1,"")</f>
        <v>0</v>
      </c>
    </row>
    <row r="2596" spans="1:22">
      <c r="A2596" s="16"/>
      <c r="B2596" s="23"/>
      <c r="C2596" s="15"/>
      <c r="D2596" s="15"/>
      <c r="E2596" s="15"/>
      <c r="F2596" s="24"/>
      <c r="G2596" s="17"/>
      <c r="H2596" s="17"/>
      <c r="I2596" s="15"/>
      <c r="J2596" s="25">
        <f>IF($D2596="","",IFERROR(INDEX(PacNome,MATCH($D2596,PacCod,0)),"Paciente não cadastrado"))</f>
        <v>0</v>
      </c>
      <c r="K2596" s="26">
        <f>IF($D2596="","",IFERROR(INDEX(PacConv,MATCH($D2596,PacCod,0))&amp;"",""))</f>
        <v>0</v>
      </c>
      <c r="L2596" s="26">
        <f>IF($A2596="","",CHOOSE(WEEKDAY($A2596,2),"Seg","Ter","Qua","Qui","Sex","Sáb","Dom"))</f>
        <v>0</v>
      </c>
      <c r="M2596" s="27">
        <f>IF($E2596="","",IF($G2596&lt;&gt;"",$G2596,IFERROR(INDEX(ProcValor,MATCH($E2596,ProcNome,0)),0)))</f>
        <v>0</v>
      </c>
      <c r="N2596" s="27">
        <f>IF($M2596="","",IF($F2596="Compareceu",$M2596,0))</f>
        <v>0</v>
      </c>
      <c r="O2596" s="27">
        <f>IF($M2596="","",IF($F2596="Faltou",$M2596,0))</f>
        <v>0</v>
      </c>
      <c r="P2596" s="27">
        <f>IF($M2596="","",IF($F2596="Compareceu",MAX(0,$M2596-N($H2596)),0))</f>
        <v>0</v>
      </c>
      <c r="Q2596" s="19">
        <f>IF(AND($F2596="Compareceu",$E2596&lt;&gt;"",$A2596&lt;&gt;""),IF(IFERROR(INDEX(ProcRet,MATCH($E2596,ProcNome,0)),0)&gt;0,$A2596+INDEX(ProcRet,MATCH($E2596,ProcNome,0)),""),"")</f>
        <v>0</v>
      </c>
      <c r="R2596" s="26">
        <f>IF($Q2596="","",IF(COUNTIFS(AgPac,$D2596,AgData,"&gt;"&amp;$A2596,AgStatus,"&lt;&gt;Cancelado",AgStatus,"&lt;&gt;Remarcado")&gt;0,"Sim","Não"))</f>
        <v>0</v>
      </c>
      <c r="S2596" s="28">
        <f>IF($A2596="","",IF(AND($F2596="Agendado",$A2596-Hoje&gt;=0,$A2596-Hoje&lt;=DiasConf),"CONFIRMAR",IF(AND($A2596&lt;Hoje,OR($F2596="Agendado",$F2596="Confirmado")),"Atualizar status",IF(AND($F2596="Compareceu",$P2596&gt;0.005),"Cobrar",IF($F2596="Faltou","Falta: reagendar","")))))</f>
        <v>0</v>
      </c>
      <c r="T2596" s="29">
        <f>IF($A2596="","",DATE(YEAR($A2596),MONTH($A2596),1))</f>
        <v>0</v>
      </c>
      <c r="U2596" s="30">
        <f>IF($S2596="CONFIRMAR",MAX($U$4:$U2595)+1,"")</f>
        <v>0</v>
      </c>
      <c r="V2596" s="30">
        <f>IF(AND($R2596="Não",$Q2596&lt;&gt;"",$Q2596&lt;=Hoje+JanelaRet,$Q2596&gt;=Hoje-60),MAX($V$4:$V2595)+1,"")</f>
        <v>0</v>
      </c>
    </row>
    <row r="2597" spans="1:22">
      <c r="A2597" s="16"/>
      <c r="B2597" s="23"/>
      <c r="C2597" s="15"/>
      <c r="D2597" s="15"/>
      <c r="E2597" s="15"/>
      <c r="F2597" s="24"/>
      <c r="G2597" s="17"/>
      <c r="H2597" s="17"/>
      <c r="I2597" s="15"/>
      <c r="J2597" s="25">
        <f>IF($D2597="","",IFERROR(INDEX(PacNome,MATCH($D2597,PacCod,0)),"Paciente não cadastrado"))</f>
        <v>0</v>
      </c>
      <c r="K2597" s="26">
        <f>IF($D2597="","",IFERROR(INDEX(PacConv,MATCH($D2597,PacCod,0))&amp;"",""))</f>
        <v>0</v>
      </c>
      <c r="L2597" s="26">
        <f>IF($A2597="","",CHOOSE(WEEKDAY($A2597,2),"Seg","Ter","Qua","Qui","Sex","Sáb","Dom"))</f>
        <v>0</v>
      </c>
      <c r="M2597" s="27">
        <f>IF($E2597="","",IF($G2597&lt;&gt;"",$G2597,IFERROR(INDEX(ProcValor,MATCH($E2597,ProcNome,0)),0)))</f>
        <v>0</v>
      </c>
      <c r="N2597" s="27">
        <f>IF($M2597="","",IF($F2597="Compareceu",$M2597,0))</f>
        <v>0</v>
      </c>
      <c r="O2597" s="27">
        <f>IF($M2597="","",IF($F2597="Faltou",$M2597,0))</f>
        <v>0</v>
      </c>
      <c r="P2597" s="27">
        <f>IF($M2597="","",IF($F2597="Compareceu",MAX(0,$M2597-N($H2597)),0))</f>
        <v>0</v>
      </c>
      <c r="Q2597" s="19">
        <f>IF(AND($F2597="Compareceu",$E2597&lt;&gt;"",$A2597&lt;&gt;""),IF(IFERROR(INDEX(ProcRet,MATCH($E2597,ProcNome,0)),0)&gt;0,$A2597+INDEX(ProcRet,MATCH($E2597,ProcNome,0)),""),"")</f>
        <v>0</v>
      </c>
      <c r="R2597" s="26">
        <f>IF($Q2597="","",IF(COUNTIFS(AgPac,$D2597,AgData,"&gt;"&amp;$A2597,AgStatus,"&lt;&gt;Cancelado",AgStatus,"&lt;&gt;Remarcado")&gt;0,"Sim","Não"))</f>
        <v>0</v>
      </c>
      <c r="S2597" s="28">
        <f>IF($A2597="","",IF(AND($F2597="Agendado",$A2597-Hoje&gt;=0,$A2597-Hoje&lt;=DiasConf),"CONFIRMAR",IF(AND($A2597&lt;Hoje,OR($F2597="Agendado",$F2597="Confirmado")),"Atualizar status",IF(AND($F2597="Compareceu",$P2597&gt;0.005),"Cobrar",IF($F2597="Faltou","Falta: reagendar","")))))</f>
        <v>0</v>
      </c>
      <c r="T2597" s="29">
        <f>IF($A2597="","",DATE(YEAR($A2597),MONTH($A2597),1))</f>
        <v>0</v>
      </c>
      <c r="U2597" s="30">
        <f>IF($S2597="CONFIRMAR",MAX($U$4:$U2596)+1,"")</f>
        <v>0</v>
      </c>
      <c r="V2597" s="30">
        <f>IF(AND($R2597="Não",$Q2597&lt;&gt;"",$Q2597&lt;=Hoje+JanelaRet,$Q2597&gt;=Hoje-60),MAX($V$4:$V2596)+1,"")</f>
        <v>0</v>
      </c>
    </row>
    <row r="2598" spans="1:22">
      <c r="A2598" s="16"/>
      <c r="B2598" s="23"/>
      <c r="C2598" s="15"/>
      <c r="D2598" s="15"/>
      <c r="E2598" s="15"/>
      <c r="F2598" s="24"/>
      <c r="G2598" s="17"/>
      <c r="H2598" s="17"/>
      <c r="I2598" s="15"/>
      <c r="J2598" s="25">
        <f>IF($D2598="","",IFERROR(INDEX(PacNome,MATCH($D2598,PacCod,0)),"Paciente não cadastrado"))</f>
        <v>0</v>
      </c>
      <c r="K2598" s="26">
        <f>IF($D2598="","",IFERROR(INDEX(PacConv,MATCH($D2598,PacCod,0))&amp;"",""))</f>
        <v>0</v>
      </c>
      <c r="L2598" s="26">
        <f>IF($A2598="","",CHOOSE(WEEKDAY($A2598,2),"Seg","Ter","Qua","Qui","Sex","Sáb","Dom"))</f>
        <v>0</v>
      </c>
      <c r="M2598" s="27">
        <f>IF($E2598="","",IF($G2598&lt;&gt;"",$G2598,IFERROR(INDEX(ProcValor,MATCH($E2598,ProcNome,0)),0)))</f>
        <v>0</v>
      </c>
      <c r="N2598" s="27">
        <f>IF($M2598="","",IF($F2598="Compareceu",$M2598,0))</f>
        <v>0</v>
      </c>
      <c r="O2598" s="27">
        <f>IF($M2598="","",IF($F2598="Faltou",$M2598,0))</f>
        <v>0</v>
      </c>
      <c r="P2598" s="27">
        <f>IF($M2598="","",IF($F2598="Compareceu",MAX(0,$M2598-N($H2598)),0))</f>
        <v>0</v>
      </c>
      <c r="Q2598" s="19">
        <f>IF(AND($F2598="Compareceu",$E2598&lt;&gt;"",$A2598&lt;&gt;""),IF(IFERROR(INDEX(ProcRet,MATCH($E2598,ProcNome,0)),0)&gt;0,$A2598+INDEX(ProcRet,MATCH($E2598,ProcNome,0)),""),"")</f>
        <v>0</v>
      </c>
      <c r="R2598" s="26">
        <f>IF($Q2598="","",IF(COUNTIFS(AgPac,$D2598,AgData,"&gt;"&amp;$A2598,AgStatus,"&lt;&gt;Cancelado",AgStatus,"&lt;&gt;Remarcado")&gt;0,"Sim","Não"))</f>
        <v>0</v>
      </c>
      <c r="S2598" s="28">
        <f>IF($A2598="","",IF(AND($F2598="Agendado",$A2598-Hoje&gt;=0,$A2598-Hoje&lt;=DiasConf),"CONFIRMAR",IF(AND($A2598&lt;Hoje,OR($F2598="Agendado",$F2598="Confirmado")),"Atualizar status",IF(AND($F2598="Compareceu",$P2598&gt;0.005),"Cobrar",IF($F2598="Faltou","Falta: reagendar","")))))</f>
        <v>0</v>
      </c>
      <c r="T2598" s="29">
        <f>IF($A2598="","",DATE(YEAR($A2598),MONTH($A2598),1))</f>
        <v>0</v>
      </c>
      <c r="U2598" s="30">
        <f>IF($S2598="CONFIRMAR",MAX($U$4:$U2597)+1,"")</f>
        <v>0</v>
      </c>
      <c r="V2598" s="30">
        <f>IF(AND($R2598="Não",$Q2598&lt;&gt;"",$Q2598&lt;=Hoje+JanelaRet,$Q2598&gt;=Hoje-60),MAX($V$4:$V2597)+1,"")</f>
        <v>0</v>
      </c>
    </row>
    <row r="2599" spans="1:22">
      <c r="A2599" s="16"/>
      <c r="B2599" s="23"/>
      <c r="C2599" s="15"/>
      <c r="D2599" s="15"/>
      <c r="E2599" s="15"/>
      <c r="F2599" s="24"/>
      <c r="G2599" s="17"/>
      <c r="H2599" s="17"/>
      <c r="I2599" s="15"/>
      <c r="J2599" s="25">
        <f>IF($D2599="","",IFERROR(INDEX(PacNome,MATCH($D2599,PacCod,0)),"Paciente não cadastrado"))</f>
        <v>0</v>
      </c>
      <c r="K2599" s="26">
        <f>IF($D2599="","",IFERROR(INDEX(PacConv,MATCH($D2599,PacCod,0))&amp;"",""))</f>
        <v>0</v>
      </c>
      <c r="L2599" s="26">
        <f>IF($A2599="","",CHOOSE(WEEKDAY($A2599,2),"Seg","Ter","Qua","Qui","Sex","Sáb","Dom"))</f>
        <v>0</v>
      </c>
      <c r="M2599" s="27">
        <f>IF($E2599="","",IF($G2599&lt;&gt;"",$G2599,IFERROR(INDEX(ProcValor,MATCH($E2599,ProcNome,0)),0)))</f>
        <v>0</v>
      </c>
      <c r="N2599" s="27">
        <f>IF($M2599="","",IF($F2599="Compareceu",$M2599,0))</f>
        <v>0</v>
      </c>
      <c r="O2599" s="27">
        <f>IF($M2599="","",IF($F2599="Faltou",$M2599,0))</f>
        <v>0</v>
      </c>
      <c r="P2599" s="27">
        <f>IF($M2599="","",IF($F2599="Compareceu",MAX(0,$M2599-N($H2599)),0))</f>
        <v>0</v>
      </c>
      <c r="Q2599" s="19">
        <f>IF(AND($F2599="Compareceu",$E2599&lt;&gt;"",$A2599&lt;&gt;""),IF(IFERROR(INDEX(ProcRet,MATCH($E2599,ProcNome,0)),0)&gt;0,$A2599+INDEX(ProcRet,MATCH($E2599,ProcNome,0)),""),"")</f>
        <v>0</v>
      </c>
      <c r="R2599" s="26">
        <f>IF($Q2599="","",IF(COUNTIFS(AgPac,$D2599,AgData,"&gt;"&amp;$A2599,AgStatus,"&lt;&gt;Cancelado",AgStatus,"&lt;&gt;Remarcado")&gt;0,"Sim","Não"))</f>
        <v>0</v>
      </c>
      <c r="S2599" s="28">
        <f>IF($A2599="","",IF(AND($F2599="Agendado",$A2599-Hoje&gt;=0,$A2599-Hoje&lt;=DiasConf),"CONFIRMAR",IF(AND($A2599&lt;Hoje,OR($F2599="Agendado",$F2599="Confirmado")),"Atualizar status",IF(AND($F2599="Compareceu",$P2599&gt;0.005),"Cobrar",IF($F2599="Faltou","Falta: reagendar","")))))</f>
        <v>0</v>
      </c>
      <c r="T2599" s="29">
        <f>IF($A2599="","",DATE(YEAR($A2599),MONTH($A2599),1))</f>
        <v>0</v>
      </c>
      <c r="U2599" s="30">
        <f>IF($S2599="CONFIRMAR",MAX($U$4:$U2598)+1,"")</f>
        <v>0</v>
      </c>
      <c r="V2599" s="30">
        <f>IF(AND($R2599="Não",$Q2599&lt;&gt;"",$Q2599&lt;=Hoje+JanelaRet,$Q2599&gt;=Hoje-60),MAX($V$4:$V2598)+1,"")</f>
        <v>0</v>
      </c>
    </row>
    <row r="2600" spans="1:22">
      <c r="A2600" s="16"/>
      <c r="B2600" s="23"/>
      <c r="C2600" s="15"/>
      <c r="D2600" s="15"/>
      <c r="E2600" s="15"/>
      <c r="F2600" s="24"/>
      <c r="G2600" s="17"/>
      <c r="H2600" s="17"/>
      <c r="I2600" s="15"/>
      <c r="J2600" s="25">
        <f>IF($D2600="","",IFERROR(INDEX(PacNome,MATCH($D2600,PacCod,0)),"Paciente não cadastrado"))</f>
        <v>0</v>
      </c>
      <c r="K2600" s="26">
        <f>IF($D2600="","",IFERROR(INDEX(PacConv,MATCH($D2600,PacCod,0))&amp;"",""))</f>
        <v>0</v>
      </c>
      <c r="L2600" s="26">
        <f>IF($A2600="","",CHOOSE(WEEKDAY($A2600,2),"Seg","Ter","Qua","Qui","Sex","Sáb","Dom"))</f>
        <v>0</v>
      </c>
      <c r="M2600" s="27">
        <f>IF($E2600="","",IF($G2600&lt;&gt;"",$G2600,IFERROR(INDEX(ProcValor,MATCH($E2600,ProcNome,0)),0)))</f>
        <v>0</v>
      </c>
      <c r="N2600" s="27">
        <f>IF($M2600="","",IF($F2600="Compareceu",$M2600,0))</f>
        <v>0</v>
      </c>
      <c r="O2600" s="27">
        <f>IF($M2600="","",IF($F2600="Faltou",$M2600,0))</f>
        <v>0</v>
      </c>
      <c r="P2600" s="27">
        <f>IF($M2600="","",IF($F2600="Compareceu",MAX(0,$M2600-N($H2600)),0))</f>
        <v>0</v>
      </c>
      <c r="Q2600" s="19">
        <f>IF(AND($F2600="Compareceu",$E2600&lt;&gt;"",$A2600&lt;&gt;""),IF(IFERROR(INDEX(ProcRet,MATCH($E2600,ProcNome,0)),0)&gt;0,$A2600+INDEX(ProcRet,MATCH($E2600,ProcNome,0)),""),"")</f>
        <v>0</v>
      </c>
      <c r="R2600" s="26">
        <f>IF($Q2600="","",IF(COUNTIFS(AgPac,$D2600,AgData,"&gt;"&amp;$A2600,AgStatus,"&lt;&gt;Cancelado",AgStatus,"&lt;&gt;Remarcado")&gt;0,"Sim","Não"))</f>
        <v>0</v>
      </c>
      <c r="S2600" s="28">
        <f>IF($A2600="","",IF(AND($F2600="Agendado",$A2600-Hoje&gt;=0,$A2600-Hoje&lt;=DiasConf),"CONFIRMAR",IF(AND($A2600&lt;Hoje,OR($F2600="Agendado",$F2600="Confirmado")),"Atualizar status",IF(AND($F2600="Compareceu",$P2600&gt;0.005),"Cobrar",IF($F2600="Faltou","Falta: reagendar","")))))</f>
        <v>0</v>
      </c>
      <c r="T2600" s="29">
        <f>IF($A2600="","",DATE(YEAR($A2600),MONTH($A2600),1))</f>
        <v>0</v>
      </c>
      <c r="U2600" s="30">
        <f>IF($S2600="CONFIRMAR",MAX($U$4:$U2599)+1,"")</f>
        <v>0</v>
      </c>
      <c r="V2600" s="30">
        <f>IF(AND($R2600="Não",$Q2600&lt;&gt;"",$Q2600&lt;=Hoje+JanelaRet,$Q2600&gt;=Hoje-60),MAX($V$4:$V2599)+1,"")</f>
        <v>0</v>
      </c>
    </row>
    <row r="2601" spans="1:22">
      <c r="A2601" s="16"/>
      <c r="B2601" s="23"/>
      <c r="C2601" s="15"/>
      <c r="D2601" s="15"/>
      <c r="E2601" s="15"/>
      <c r="F2601" s="24"/>
      <c r="G2601" s="17"/>
      <c r="H2601" s="17"/>
      <c r="I2601" s="15"/>
      <c r="J2601" s="25">
        <f>IF($D2601="","",IFERROR(INDEX(PacNome,MATCH($D2601,PacCod,0)),"Paciente não cadastrado"))</f>
        <v>0</v>
      </c>
      <c r="K2601" s="26">
        <f>IF($D2601="","",IFERROR(INDEX(PacConv,MATCH($D2601,PacCod,0))&amp;"",""))</f>
        <v>0</v>
      </c>
      <c r="L2601" s="26">
        <f>IF($A2601="","",CHOOSE(WEEKDAY($A2601,2),"Seg","Ter","Qua","Qui","Sex","Sáb","Dom"))</f>
        <v>0</v>
      </c>
      <c r="M2601" s="27">
        <f>IF($E2601="","",IF($G2601&lt;&gt;"",$G2601,IFERROR(INDEX(ProcValor,MATCH($E2601,ProcNome,0)),0)))</f>
        <v>0</v>
      </c>
      <c r="N2601" s="27">
        <f>IF($M2601="","",IF($F2601="Compareceu",$M2601,0))</f>
        <v>0</v>
      </c>
      <c r="O2601" s="27">
        <f>IF($M2601="","",IF($F2601="Faltou",$M2601,0))</f>
        <v>0</v>
      </c>
      <c r="P2601" s="27">
        <f>IF($M2601="","",IF($F2601="Compareceu",MAX(0,$M2601-N($H2601)),0))</f>
        <v>0</v>
      </c>
      <c r="Q2601" s="19">
        <f>IF(AND($F2601="Compareceu",$E2601&lt;&gt;"",$A2601&lt;&gt;""),IF(IFERROR(INDEX(ProcRet,MATCH($E2601,ProcNome,0)),0)&gt;0,$A2601+INDEX(ProcRet,MATCH($E2601,ProcNome,0)),""),"")</f>
        <v>0</v>
      </c>
      <c r="R2601" s="26">
        <f>IF($Q2601="","",IF(COUNTIFS(AgPac,$D2601,AgData,"&gt;"&amp;$A2601,AgStatus,"&lt;&gt;Cancelado",AgStatus,"&lt;&gt;Remarcado")&gt;0,"Sim","Não"))</f>
        <v>0</v>
      </c>
      <c r="S2601" s="28">
        <f>IF($A2601="","",IF(AND($F2601="Agendado",$A2601-Hoje&gt;=0,$A2601-Hoje&lt;=DiasConf),"CONFIRMAR",IF(AND($A2601&lt;Hoje,OR($F2601="Agendado",$F2601="Confirmado")),"Atualizar status",IF(AND($F2601="Compareceu",$P2601&gt;0.005),"Cobrar",IF($F2601="Faltou","Falta: reagendar","")))))</f>
        <v>0</v>
      </c>
      <c r="T2601" s="29">
        <f>IF($A2601="","",DATE(YEAR($A2601),MONTH($A2601),1))</f>
        <v>0</v>
      </c>
      <c r="U2601" s="30">
        <f>IF($S2601="CONFIRMAR",MAX($U$4:$U2600)+1,"")</f>
        <v>0</v>
      </c>
      <c r="V2601" s="30">
        <f>IF(AND($R2601="Não",$Q2601&lt;&gt;"",$Q2601&lt;=Hoje+JanelaRet,$Q2601&gt;=Hoje-60),MAX($V$4:$V2600)+1,"")</f>
        <v>0</v>
      </c>
    </row>
    <row r="2602" spans="1:22">
      <c r="A2602" s="16"/>
      <c r="B2602" s="23"/>
      <c r="C2602" s="15"/>
      <c r="D2602" s="15"/>
      <c r="E2602" s="15"/>
      <c r="F2602" s="24"/>
      <c r="G2602" s="17"/>
      <c r="H2602" s="17"/>
      <c r="I2602" s="15"/>
      <c r="J2602" s="25">
        <f>IF($D2602="","",IFERROR(INDEX(PacNome,MATCH($D2602,PacCod,0)),"Paciente não cadastrado"))</f>
        <v>0</v>
      </c>
      <c r="K2602" s="26">
        <f>IF($D2602="","",IFERROR(INDEX(PacConv,MATCH($D2602,PacCod,0))&amp;"",""))</f>
        <v>0</v>
      </c>
      <c r="L2602" s="26">
        <f>IF($A2602="","",CHOOSE(WEEKDAY($A2602,2),"Seg","Ter","Qua","Qui","Sex","Sáb","Dom"))</f>
        <v>0</v>
      </c>
      <c r="M2602" s="27">
        <f>IF($E2602="","",IF($G2602&lt;&gt;"",$G2602,IFERROR(INDEX(ProcValor,MATCH($E2602,ProcNome,0)),0)))</f>
        <v>0</v>
      </c>
      <c r="N2602" s="27">
        <f>IF($M2602="","",IF($F2602="Compareceu",$M2602,0))</f>
        <v>0</v>
      </c>
      <c r="O2602" s="27">
        <f>IF($M2602="","",IF($F2602="Faltou",$M2602,0))</f>
        <v>0</v>
      </c>
      <c r="P2602" s="27">
        <f>IF($M2602="","",IF($F2602="Compareceu",MAX(0,$M2602-N($H2602)),0))</f>
        <v>0</v>
      </c>
      <c r="Q2602" s="19">
        <f>IF(AND($F2602="Compareceu",$E2602&lt;&gt;"",$A2602&lt;&gt;""),IF(IFERROR(INDEX(ProcRet,MATCH($E2602,ProcNome,0)),0)&gt;0,$A2602+INDEX(ProcRet,MATCH($E2602,ProcNome,0)),""),"")</f>
        <v>0</v>
      </c>
      <c r="R2602" s="26">
        <f>IF($Q2602="","",IF(COUNTIFS(AgPac,$D2602,AgData,"&gt;"&amp;$A2602,AgStatus,"&lt;&gt;Cancelado",AgStatus,"&lt;&gt;Remarcado")&gt;0,"Sim","Não"))</f>
        <v>0</v>
      </c>
      <c r="S2602" s="28">
        <f>IF($A2602="","",IF(AND($F2602="Agendado",$A2602-Hoje&gt;=0,$A2602-Hoje&lt;=DiasConf),"CONFIRMAR",IF(AND($A2602&lt;Hoje,OR($F2602="Agendado",$F2602="Confirmado")),"Atualizar status",IF(AND($F2602="Compareceu",$P2602&gt;0.005),"Cobrar",IF($F2602="Faltou","Falta: reagendar","")))))</f>
        <v>0</v>
      </c>
      <c r="T2602" s="29">
        <f>IF($A2602="","",DATE(YEAR($A2602),MONTH($A2602),1))</f>
        <v>0</v>
      </c>
      <c r="U2602" s="30">
        <f>IF($S2602="CONFIRMAR",MAX($U$4:$U2601)+1,"")</f>
        <v>0</v>
      </c>
      <c r="V2602" s="30">
        <f>IF(AND($R2602="Não",$Q2602&lt;&gt;"",$Q2602&lt;=Hoje+JanelaRet,$Q2602&gt;=Hoje-60),MAX($V$4:$V2601)+1,"")</f>
        <v>0</v>
      </c>
    </row>
    <row r="2603" spans="1:22">
      <c r="A2603" s="16"/>
      <c r="B2603" s="23"/>
      <c r="C2603" s="15"/>
      <c r="D2603" s="15"/>
      <c r="E2603" s="15"/>
      <c r="F2603" s="24"/>
      <c r="G2603" s="17"/>
      <c r="H2603" s="17"/>
      <c r="I2603" s="15"/>
      <c r="J2603" s="25">
        <f>IF($D2603="","",IFERROR(INDEX(PacNome,MATCH($D2603,PacCod,0)),"Paciente não cadastrado"))</f>
        <v>0</v>
      </c>
      <c r="K2603" s="26">
        <f>IF($D2603="","",IFERROR(INDEX(PacConv,MATCH($D2603,PacCod,0))&amp;"",""))</f>
        <v>0</v>
      </c>
      <c r="L2603" s="26">
        <f>IF($A2603="","",CHOOSE(WEEKDAY($A2603,2),"Seg","Ter","Qua","Qui","Sex","Sáb","Dom"))</f>
        <v>0</v>
      </c>
      <c r="M2603" s="27">
        <f>IF($E2603="","",IF($G2603&lt;&gt;"",$G2603,IFERROR(INDEX(ProcValor,MATCH($E2603,ProcNome,0)),0)))</f>
        <v>0</v>
      </c>
      <c r="N2603" s="27">
        <f>IF($M2603="","",IF($F2603="Compareceu",$M2603,0))</f>
        <v>0</v>
      </c>
      <c r="O2603" s="27">
        <f>IF($M2603="","",IF($F2603="Faltou",$M2603,0))</f>
        <v>0</v>
      </c>
      <c r="P2603" s="27">
        <f>IF($M2603="","",IF($F2603="Compareceu",MAX(0,$M2603-N($H2603)),0))</f>
        <v>0</v>
      </c>
      <c r="Q2603" s="19">
        <f>IF(AND($F2603="Compareceu",$E2603&lt;&gt;"",$A2603&lt;&gt;""),IF(IFERROR(INDEX(ProcRet,MATCH($E2603,ProcNome,0)),0)&gt;0,$A2603+INDEX(ProcRet,MATCH($E2603,ProcNome,0)),""),"")</f>
        <v>0</v>
      </c>
      <c r="R2603" s="26">
        <f>IF($Q2603="","",IF(COUNTIFS(AgPac,$D2603,AgData,"&gt;"&amp;$A2603,AgStatus,"&lt;&gt;Cancelado",AgStatus,"&lt;&gt;Remarcado")&gt;0,"Sim","Não"))</f>
        <v>0</v>
      </c>
      <c r="S2603" s="28">
        <f>IF($A2603="","",IF(AND($F2603="Agendado",$A2603-Hoje&gt;=0,$A2603-Hoje&lt;=DiasConf),"CONFIRMAR",IF(AND($A2603&lt;Hoje,OR($F2603="Agendado",$F2603="Confirmado")),"Atualizar status",IF(AND($F2603="Compareceu",$P2603&gt;0.005),"Cobrar",IF($F2603="Faltou","Falta: reagendar","")))))</f>
        <v>0</v>
      </c>
      <c r="T2603" s="29">
        <f>IF($A2603="","",DATE(YEAR($A2603),MONTH($A2603),1))</f>
        <v>0</v>
      </c>
      <c r="U2603" s="30">
        <f>IF($S2603="CONFIRMAR",MAX($U$4:$U2602)+1,"")</f>
        <v>0</v>
      </c>
      <c r="V2603" s="30">
        <f>IF(AND($R2603="Não",$Q2603&lt;&gt;"",$Q2603&lt;=Hoje+JanelaRet,$Q2603&gt;=Hoje-60),MAX($V$4:$V2602)+1,"")</f>
        <v>0</v>
      </c>
    </row>
    <row r="2604" spans="1:22">
      <c r="A2604" s="16"/>
      <c r="B2604" s="23"/>
      <c r="C2604" s="15"/>
      <c r="D2604" s="15"/>
      <c r="E2604" s="15"/>
      <c r="F2604" s="24"/>
      <c r="G2604" s="17"/>
      <c r="H2604" s="17"/>
      <c r="I2604" s="15"/>
      <c r="J2604" s="25">
        <f>IF($D2604="","",IFERROR(INDEX(PacNome,MATCH($D2604,PacCod,0)),"Paciente não cadastrado"))</f>
        <v>0</v>
      </c>
      <c r="K2604" s="26">
        <f>IF($D2604="","",IFERROR(INDEX(PacConv,MATCH($D2604,PacCod,0))&amp;"",""))</f>
        <v>0</v>
      </c>
      <c r="L2604" s="26">
        <f>IF($A2604="","",CHOOSE(WEEKDAY($A2604,2),"Seg","Ter","Qua","Qui","Sex","Sáb","Dom"))</f>
        <v>0</v>
      </c>
      <c r="M2604" s="27">
        <f>IF($E2604="","",IF($G2604&lt;&gt;"",$G2604,IFERROR(INDEX(ProcValor,MATCH($E2604,ProcNome,0)),0)))</f>
        <v>0</v>
      </c>
      <c r="N2604" s="27">
        <f>IF($M2604="","",IF($F2604="Compareceu",$M2604,0))</f>
        <v>0</v>
      </c>
      <c r="O2604" s="27">
        <f>IF($M2604="","",IF($F2604="Faltou",$M2604,0))</f>
        <v>0</v>
      </c>
      <c r="P2604" s="27">
        <f>IF($M2604="","",IF($F2604="Compareceu",MAX(0,$M2604-N($H2604)),0))</f>
        <v>0</v>
      </c>
      <c r="Q2604" s="19">
        <f>IF(AND($F2604="Compareceu",$E2604&lt;&gt;"",$A2604&lt;&gt;""),IF(IFERROR(INDEX(ProcRet,MATCH($E2604,ProcNome,0)),0)&gt;0,$A2604+INDEX(ProcRet,MATCH($E2604,ProcNome,0)),""),"")</f>
        <v>0</v>
      </c>
      <c r="R2604" s="26">
        <f>IF($Q2604="","",IF(COUNTIFS(AgPac,$D2604,AgData,"&gt;"&amp;$A2604,AgStatus,"&lt;&gt;Cancelado",AgStatus,"&lt;&gt;Remarcado")&gt;0,"Sim","Não"))</f>
        <v>0</v>
      </c>
      <c r="S2604" s="28">
        <f>IF($A2604="","",IF(AND($F2604="Agendado",$A2604-Hoje&gt;=0,$A2604-Hoje&lt;=DiasConf),"CONFIRMAR",IF(AND($A2604&lt;Hoje,OR($F2604="Agendado",$F2604="Confirmado")),"Atualizar status",IF(AND($F2604="Compareceu",$P2604&gt;0.005),"Cobrar",IF($F2604="Faltou","Falta: reagendar","")))))</f>
        <v>0</v>
      </c>
      <c r="T2604" s="29">
        <f>IF($A2604="","",DATE(YEAR($A2604),MONTH($A2604),1))</f>
        <v>0</v>
      </c>
      <c r="U2604" s="30">
        <f>IF($S2604="CONFIRMAR",MAX($U$4:$U2603)+1,"")</f>
        <v>0</v>
      </c>
      <c r="V2604" s="30">
        <f>IF(AND($R2604="Não",$Q2604&lt;&gt;"",$Q2604&lt;=Hoje+JanelaRet,$Q2604&gt;=Hoje-60),MAX($V$4:$V2603)+1,"")</f>
        <v>0</v>
      </c>
    </row>
    <row r="2605" spans="1:22">
      <c r="A2605" s="16"/>
      <c r="B2605" s="23"/>
      <c r="C2605" s="15"/>
      <c r="D2605" s="15"/>
      <c r="E2605" s="15"/>
      <c r="F2605" s="24"/>
      <c r="G2605" s="17"/>
      <c r="H2605" s="17"/>
      <c r="I2605" s="15"/>
      <c r="J2605" s="25">
        <f>IF($D2605="","",IFERROR(INDEX(PacNome,MATCH($D2605,PacCod,0)),"Paciente não cadastrado"))</f>
        <v>0</v>
      </c>
      <c r="K2605" s="26">
        <f>IF($D2605="","",IFERROR(INDEX(PacConv,MATCH($D2605,PacCod,0))&amp;"",""))</f>
        <v>0</v>
      </c>
      <c r="L2605" s="26">
        <f>IF($A2605="","",CHOOSE(WEEKDAY($A2605,2),"Seg","Ter","Qua","Qui","Sex","Sáb","Dom"))</f>
        <v>0</v>
      </c>
      <c r="M2605" s="27">
        <f>IF($E2605="","",IF($G2605&lt;&gt;"",$G2605,IFERROR(INDEX(ProcValor,MATCH($E2605,ProcNome,0)),0)))</f>
        <v>0</v>
      </c>
      <c r="N2605" s="27">
        <f>IF($M2605="","",IF($F2605="Compareceu",$M2605,0))</f>
        <v>0</v>
      </c>
      <c r="O2605" s="27">
        <f>IF($M2605="","",IF($F2605="Faltou",$M2605,0))</f>
        <v>0</v>
      </c>
      <c r="P2605" s="27">
        <f>IF($M2605="","",IF($F2605="Compareceu",MAX(0,$M2605-N($H2605)),0))</f>
        <v>0</v>
      </c>
      <c r="Q2605" s="19">
        <f>IF(AND($F2605="Compareceu",$E2605&lt;&gt;"",$A2605&lt;&gt;""),IF(IFERROR(INDEX(ProcRet,MATCH($E2605,ProcNome,0)),0)&gt;0,$A2605+INDEX(ProcRet,MATCH($E2605,ProcNome,0)),""),"")</f>
        <v>0</v>
      </c>
      <c r="R2605" s="26">
        <f>IF($Q2605="","",IF(COUNTIFS(AgPac,$D2605,AgData,"&gt;"&amp;$A2605,AgStatus,"&lt;&gt;Cancelado",AgStatus,"&lt;&gt;Remarcado")&gt;0,"Sim","Não"))</f>
        <v>0</v>
      </c>
      <c r="S2605" s="28">
        <f>IF($A2605="","",IF(AND($F2605="Agendado",$A2605-Hoje&gt;=0,$A2605-Hoje&lt;=DiasConf),"CONFIRMAR",IF(AND($A2605&lt;Hoje,OR($F2605="Agendado",$F2605="Confirmado")),"Atualizar status",IF(AND($F2605="Compareceu",$P2605&gt;0.005),"Cobrar",IF($F2605="Faltou","Falta: reagendar","")))))</f>
        <v>0</v>
      </c>
      <c r="T2605" s="29">
        <f>IF($A2605="","",DATE(YEAR($A2605),MONTH($A2605),1))</f>
        <v>0</v>
      </c>
      <c r="U2605" s="30">
        <f>IF($S2605="CONFIRMAR",MAX($U$4:$U2604)+1,"")</f>
        <v>0</v>
      </c>
      <c r="V2605" s="30">
        <f>IF(AND($R2605="Não",$Q2605&lt;&gt;"",$Q2605&lt;=Hoje+JanelaRet,$Q2605&gt;=Hoje-60),MAX($V$4:$V2604)+1,"")</f>
        <v>0</v>
      </c>
    </row>
    <row r="2606" spans="1:22">
      <c r="A2606" s="16"/>
      <c r="B2606" s="23"/>
      <c r="C2606" s="15"/>
      <c r="D2606" s="15"/>
      <c r="E2606" s="15"/>
      <c r="F2606" s="24"/>
      <c r="G2606" s="17"/>
      <c r="H2606" s="17"/>
      <c r="I2606" s="15"/>
      <c r="J2606" s="25">
        <f>IF($D2606="","",IFERROR(INDEX(PacNome,MATCH($D2606,PacCod,0)),"Paciente não cadastrado"))</f>
        <v>0</v>
      </c>
      <c r="K2606" s="26">
        <f>IF($D2606="","",IFERROR(INDEX(PacConv,MATCH($D2606,PacCod,0))&amp;"",""))</f>
        <v>0</v>
      </c>
      <c r="L2606" s="26">
        <f>IF($A2606="","",CHOOSE(WEEKDAY($A2606,2),"Seg","Ter","Qua","Qui","Sex","Sáb","Dom"))</f>
        <v>0</v>
      </c>
      <c r="M2606" s="27">
        <f>IF($E2606="","",IF($G2606&lt;&gt;"",$G2606,IFERROR(INDEX(ProcValor,MATCH($E2606,ProcNome,0)),0)))</f>
        <v>0</v>
      </c>
      <c r="N2606" s="27">
        <f>IF($M2606="","",IF($F2606="Compareceu",$M2606,0))</f>
        <v>0</v>
      </c>
      <c r="O2606" s="27">
        <f>IF($M2606="","",IF($F2606="Faltou",$M2606,0))</f>
        <v>0</v>
      </c>
      <c r="P2606" s="27">
        <f>IF($M2606="","",IF($F2606="Compareceu",MAX(0,$M2606-N($H2606)),0))</f>
        <v>0</v>
      </c>
      <c r="Q2606" s="19">
        <f>IF(AND($F2606="Compareceu",$E2606&lt;&gt;"",$A2606&lt;&gt;""),IF(IFERROR(INDEX(ProcRet,MATCH($E2606,ProcNome,0)),0)&gt;0,$A2606+INDEX(ProcRet,MATCH($E2606,ProcNome,0)),""),"")</f>
        <v>0</v>
      </c>
      <c r="R2606" s="26">
        <f>IF($Q2606="","",IF(COUNTIFS(AgPac,$D2606,AgData,"&gt;"&amp;$A2606,AgStatus,"&lt;&gt;Cancelado",AgStatus,"&lt;&gt;Remarcado")&gt;0,"Sim","Não"))</f>
        <v>0</v>
      </c>
      <c r="S2606" s="28">
        <f>IF($A2606="","",IF(AND($F2606="Agendado",$A2606-Hoje&gt;=0,$A2606-Hoje&lt;=DiasConf),"CONFIRMAR",IF(AND($A2606&lt;Hoje,OR($F2606="Agendado",$F2606="Confirmado")),"Atualizar status",IF(AND($F2606="Compareceu",$P2606&gt;0.005),"Cobrar",IF($F2606="Faltou","Falta: reagendar","")))))</f>
        <v>0</v>
      </c>
      <c r="T2606" s="29">
        <f>IF($A2606="","",DATE(YEAR($A2606),MONTH($A2606),1))</f>
        <v>0</v>
      </c>
      <c r="U2606" s="30">
        <f>IF($S2606="CONFIRMAR",MAX($U$4:$U2605)+1,"")</f>
        <v>0</v>
      </c>
      <c r="V2606" s="30">
        <f>IF(AND($R2606="Não",$Q2606&lt;&gt;"",$Q2606&lt;=Hoje+JanelaRet,$Q2606&gt;=Hoje-60),MAX($V$4:$V2605)+1,"")</f>
        <v>0</v>
      </c>
    </row>
    <row r="2607" spans="1:22">
      <c r="A2607" s="16"/>
      <c r="B2607" s="23"/>
      <c r="C2607" s="15"/>
      <c r="D2607" s="15"/>
      <c r="E2607" s="15"/>
      <c r="F2607" s="24"/>
      <c r="G2607" s="17"/>
      <c r="H2607" s="17"/>
      <c r="I2607" s="15"/>
      <c r="J2607" s="25">
        <f>IF($D2607="","",IFERROR(INDEX(PacNome,MATCH($D2607,PacCod,0)),"Paciente não cadastrado"))</f>
        <v>0</v>
      </c>
      <c r="K2607" s="26">
        <f>IF($D2607="","",IFERROR(INDEX(PacConv,MATCH($D2607,PacCod,0))&amp;"",""))</f>
        <v>0</v>
      </c>
      <c r="L2607" s="26">
        <f>IF($A2607="","",CHOOSE(WEEKDAY($A2607,2),"Seg","Ter","Qua","Qui","Sex","Sáb","Dom"))</f>
        <v>0</v>
      </c>
      <c r="M2607" s="27">
        <f>IF($E2607="","",IF($G2607&lt;&gt;"",$G2607,IFERROR(INDEX(ProcValor,MATCH($E2607,ProcNome,0)),0)))</f>
        <v>0</v>
      </c>
      <c r="N2607" s="27">
        <f>IF($M2607="","",IF($F2607="Compareceu",$M2607,0))</f>
        <v>0</v>
      </c>
      <c r="O2607" s="27">
        <f>IF($M2607="","",IF($F2607="Faltou",$M2607,0))</f>
        <v>0</v>
      </c>
      <c r="P2607" s="27">
        <f>IF($M2607="","",IF($F2607="Compareceu",MAX(0,$M2607-N($H2607)),0))</f>
        <v>0</v>
      </c>
      <c r="Q2607" s="19">
        <f>IF(AND($F2607="Compareceu",$E2607&lt;&gt;"",$A2607&lt;&gt;""),IF(IFERROR(INDEX(ProcRet,MATCH($E2607,ProcNome,0)),0)&gt;0,$A2607+INDEX(ProcRet,MATCH($E2607,ProcNome,0)),""),"")</f>
        <v>0</v>
      </c>
      <c r="R2607" s="26">
        <f>IF($Q2607="","",IF(COUNTIFS(AgPac,$D2607,AgData,"&gt;"&amp;$A2607,AgStatus,"&lt;&gt;Cancelado",AgStatus,"&lt;&gt;Remarcado")&gt;0,"Sim","Não"))</f>
        <v>0</v>
      </c>
      <c r="S2607" s="28">
        <f>IF($A2607="","",IF(AND($F2607="Agendado",$A2607-Hoje&gt;=0,$A2607-Hoje&lt;=DiasConf),"CONFIRMAR",IF(AND($A2607&lt;Hoje,OR($F2607="Agendado",$F2607="Confirmado")),"Atualizar status",IF(AND($F2607="Compareceu",$P2607&gt;0.005),"Cobrar",IF($F2607="Faltou","Falta: reagendar","")))))</f>
        <v>0</v>
      </c>
      <c r="T2607" s="29">
        <f>IF($A2607="","",DATE(YEAR($A2607),MONTH($A2607),1))</f>
        <v>0</v>
      </c>
      <c r="U2607" s="30">
        <f>IF($S2607="CONFIRMAR",MAX($U$4:$U2606)+1,"")</f>
        <v>0</v>
      </c>
      <c r="V2607" s="30">
        <f>IF(AND($R2607="Não",$Q2607&lt;&gt;"",$Q2607&lt;=Hoje+JanelaRet,$Q2607&gt;=Hoje-60),MAX($V$4:$V2606)+1,"")</f>
        <v>0</v>
      </c>
    </row>
    <row r="2608" spans="1:22">
      <c r="A2608" s="16"/>
      <c r="B2608" s="23"/>
      <c r="C2608" s="15"/>
      <c r="D2608" s="15"/>
      <c r="E2608" s="15"/>
      <c r="F2608" s="24"/>
      <c r="G2608" s="17"/>
      <c r="H2608" s="17"/>
      <c r="I2608" s="15"/>
      <c r="J2608" s="25">
        <f>IF($D2608="","",IFERROR(INDEX(PacNome,MATCH($D2608,PacCod,0)),"Paciente não cadastrado"))</f>
        <v>0</v>
      </c>
      <c r="K2608" s="26">
        <f>IF($D2608="","",IFERROR(INDEX(PacConv,MATCH($D2608,PacCod,0))&amp;"",""))</f>
        <v>0</v>
      </c>
      <c r="L2608" s="26">
        <f>IF($A2608="","",CHOOSE(WEEKDAY($A2608,2),"Seg","Ter","Qua","Qui","Sex","Sáb","Dom"))</f>
        <v>0</v>
      </c>
      <c r="M2608" s="27">
        <f>IF($E2608="","",IF($G2608&lt;&gt;"",$G2608,IFERROR(INDEX(ProcValor,MATCH($E2608,ProcNome,0)),0)))</f>
        <v>0</v>
      </c>
      <c r="N2608" s="27">
        <f>IF($M2608="","",IF($F2608="Compareceu",$M2608,0))</f>
        <v>0</v>
      </c>
      <c r="O2608" s="27">
        <f>IF($M2608="","",IF($F2608="Faltou",$M2608,0))</f>
        <v>0</v>
      </c>
      <c r="P2608" s="27">
        <f>IF($M2608="","",IF($F2608="Compareceu",MAX(0,$M2608-N($H2608)),0))</f>
        <v>0</v>
      </c>
      <c r="Q2608" s="19">
        <f>IF(AND($F2608="Compareceu",$E2608&lt;&gt;"",$A2608&lt;&gt;""),IF(IFERROR(INDEX(ProcRet,MATCH($E2608,ProcNome,0)),0)&gt;0,$A2608+INDEX(ProcRet,MATCH($E2608,ProcNome,0)),""),"")</f>
        <v>0</v>
      </c>
      <c r="R2608" s="26">
        <f>IF($Q2608="","",IF(COUNTIFS(AgPac,$D2608,AgData,"&gt;"&amp;$A2608,AgStatus,"&lt;&gt;Cancelado",AgStatus,"&lt;&gt;Remarcado")&gt;0,"Sim","Não"))</f>
        <v>0</v>
      </c>
      <c r="S2608" s="28">
        <f>IF($A2608="","",IF(AND($F2608="Agendado",$A2608-Hoje&gt;=0,$A2608-Hoje&lt;=DiasConf),"CONFIRMAR",IF(AND($A2608&lt;Hoje,OR($F2608="Agendado",$F2608="Confirmado")),"Atualizar status",IF(AND($F2608="Compareceu",$P2608&gt;0.005),"Cobrar",IF($F2608="Faltou","Falta: reagendar","")))))</f>
        <v>0</v>
      </c>
      <c r="T2608" s="29">
        <f>IF($A2608="","",DATE(YEAR($A2608),MONTH($A2608),1))</f>
        <v>0</v>
      </c>
      <c r="U2608" s="30">
        <f>IF($S2608="CONFIRMAR",MAX($U$4:$U2607)+1,"")</f>
        <v>0</v>
      </c>
      <c r="V2608" s="30">
        <f>IF(AND($R2608="Não",$Q2608&lt;&gt;"",$Q2608&lt;=Hoje+JanelaRet,$Q2608&gt;=Hoje-60),MAX($V$4:$V2607)+1,"")</f>
        <v>0</v>
      </c>
    </row>
    <row r="2609" spans="1:22">
      <c r="A2609" s="16"/>
      <c r="B2609" s="23"/>
      <c r="C2609" s="15"/>
      <c r="D2609" s="15"/>
      <c r="E2609" s="15"/>
      <c r="F2609" s="24"/>
      <c r="G2609" s="17"/>
      <c r="H2609" s="17"/>
      <c r="I2609" s="15"/>
      <c r="J2609" s="25">
        <f>IF($D2609="","",IFERROR(INDEX(PacNome,MATCH($D2609,PacCod,0)),"Paciente não cadastrado"))</f>
        <v>0</v>
      </c>
      <c r="K2609" s="26">
        <f>IF($D2609="","",IFERROR(INDEX(PacConv,MATCH($D2609,PacCod,0))&amp;"",""))</f>
        <v>0</v>
      </c>
      <c r="L2609" s="26">
        <f>IF($A2609="","",CHOOSE(WEEKDAY($A2609,2),"Seg","Ter","Qua","Qui","Sex","Sáb","Dom"))</f>
        <v>0</v>
      </c>
      <c r="M2609" s="27">
        <f>IF($E2609="","",IF($G2609&lt;&gt;"",$G2609,IFERROR(INDEX(ProcValor,MATCH($E2609,ProcNome,0)),0)))</f>
        <v>0</v>
      </c>
      <c r="N2609" s="27">
        <f>IF($M2609="","",IF($F2609="Compareceu",$M2609,0))</f>
        <v>0</v>
      </c>
      <c r="O2609" s="27">
        <f>IF($M2609="","",IF($F2609="Faltou",$M2609,0))</f>
        <v>0</v>
      </c>
      <c r="P2609" s="27">
        <f>IF($M2609="","",IF($F2609="Compareceu",MAX(0,$M2609-N($H2609)),0))</f>
        <v>0</v>
      </c>
      <c r="Q2609" s="19">
        <f>IF(AND($F2609="Compareceu",$E2609&lt;&gt;"",$A2609&lt;&gt;""),IF(IFERROR(INDEX(ProcRet,MATCH($E2609,ProcNome,0)),0)&gt;0,$A2609+INDEX(ProcRet,MATCH($E2609,ProcNome,0)),""),"")</f>
        <v>0</v>
      </c>
      <c r="R2609" s="26">
        <f>IF($Q2609="","",IF(COUNTIFS(AgPac,$D2609,AgData,"&gt;"&amp;$A2609,AgStatus,"&lt;&gt;Cancelado",AgStatus,"&lt;&gt;Remarcado")&gt;0,"Sim","Não"))</f>
        <v>0</v>
      </c>
      <c r="S2609" s="28">
        <f>IF($A2609="","",IF(AND($F2609="Agendado",$A2609-Hoje&gt;=0,$A2609-Hoje&lt;=DiasConf),"CONFIRMAR",IF(AND($A2609&lt;Hoje,OR($F2609="Agendado",$F2609="Confirmado")),"Atualizar status",IF(AND($F2609="Compareceu",$P2609&gt;0.005),"Cobrar",IF($F2609="Faltou","Falta: reagendar","")))))</f>
        <v>0</v>
      </c>
      <c r="T2609" s="29">
        <f>IF($A2609="","",DATE(YEAR($A2609),MONTH($A2609),1))</f>
        <v>0</v>
      </c>
      <c r="U2609" s="30">
        <f>IF($S2609="CONFIRMAR",MAX($U$4:$U2608)+1,"")</f>
        <v>0</v>
      </c>
      <c r="V2609" s="30">
        <f>IF(AND($R2609="Não",$Q2609&lt;&gt;"",$Q2609&lt;=Hoje+JanelaRet,$Q2609&gt;=Hoje-60),MAX($V$4:$V2608)+1,"")</f>
        <v>0</v>
      </c>
    </row>
    <row r="2610" spans="1:22">
      <c r="A2610" s="16"/>
      <c r="B2610" s="23"/>
      <c r="C2610" s="15"/>
      <c r="D2610" s="15"/>
      <c r="E2610" s="15"/>
      <c r="F2610" s="24"/>
      <c r="G2610" s="17"/>
      <c r="H2610" s="17"/>
      <c r="I2610" s="15"/>
      <c r="J2610" s="25">
        <f>IF($D2610="","",IFERROR(INDEX(PacNome,MATCH($D2610,PacCod,0)),"Paciente não cadastrado"))</f>
        <v>0</v>
      </c>
      <c r="K2610" s="26">
        <f>IF($D2610="","",IFERROR(INDEX(PacConv,MATCH($D2610,PacCod,0))&amp;"",""))</f>
        <v>0</v>
      </c>
      <c r="L2610" s="26">
        <f>IF($A2610="","",CHOOSE(WEEKDAY($A2610,2),"Seg","Ter","Qua","Qui","Sex","Sáb","Dom"))</f>
        <v>0</v>
      </c>
      <c r="M2610" s="27">
        <f>IF($E2610="","",IF($G2610&lt;&gt;"",$G2610,IFERROR(INDEX(ProcValor,MATCH($E2610,ProcNome,0)),0)))</f>
        <v>0</v>
      </c>
      <c r="N2610" s="27">
        <f>IF($M2610="","",IF($F2610="Compareceu",$M2610,0))</f>
        <v>0</v>
      </c>
      <c r="O2610" s="27">
        <f>IF($M2610="","",IF($F2610="Faltou",$M2610,0))</f>
        <v>0</v>
      </c>
      <c r="P2610" s="27">
        <f>IF($M2610="","",IF($F2610="Compareceu",MAX(0,$M2610-N($H2610)),0))</f>
        <v>0</v>
      </c>
      <c r="Q2610" s="19">
        <f>IF(AND($F2610="Compareceu",$E2610&lt;&gt;"",$A2610&lt;&gt;""),IF(IFERROR(INDEX(ProcRet,MATCH($E2610,ProcNome,0)),0)&gt;0,$A2610+INDEX(ProcRet,MATCH($E2610,ProcNome,0)),""),"")</f>
        <v>0</v>
      </c>
      <c r="R2610" s="26">
        <f>IF($Q2610="","",IF(COUNTIFS(AgPac,$D2610,AgData,"&gt;"&amp;$A2610,AgStatus,"&lt;&gt;Cancelado",AgStatus,"&lt;&gt;Remarcado")&gt;0,"Sim","Não"))</f>
        <v>0</v>
      </c>
      <c r="S2610" s="28">
        <f>IF($A2610="","",IF(AND($F2610="Agendado",$A2610-Hoje&gt;=0,$A2610-Hoje&lt;=DiasConf),"CONFIRMAR",IF(AND($A2610&lt;Hoje,OR($F2610="Agendado",$F2610="Confirmado")),"Atualizar status",IF(AND($F2610="Compareceu",$P2610&gt;0.005),"Cobrar",IF($F2610="Faltou","Falta: reagendar","")))))</f>
        <v>0</v>
      </c>
      <c r="T2610" s="29">
        <f>IF($A2610="","",DATE(YEAR($A2610),MONTH($A2610),1))</f>
        <v>0</v>
      </c>
      <c r="U2610" s="30">
        <f>IF($S2610="CONFIRMAR",MAX($U$4:$U2609)+1,"")</f>
        <v>0</v>
      </c>
      <c r="V2610" s="30">
        <f>IF(AND($R2610="Não",$Q2610&lt;&gt;"",$Q2610&lt;=Hoje+JanelaRet,$Q2610&gt;=Hoje-60),MAX($V$4:$V2609)+1,"")</f>
        <v>0</v>
      </c>
    </row>
    <row r="2611" spans="1:22">
      <c r="A2611" s="16"/>
      <c r="B2611" s="23"/>
      <c r="C2611" s="15"/>
      <c r="D2611" s="15"/>
      <c r="E2611" s="15"/>
      <c r="F2611" s="24"/>
      <c r="G2611" s="17"/>
      <c r="H2611" s="17"/>
      <c r="I2611" s="15"/>
      <c r="J2611" s="25">
        <f>IF($D2611="","",IFERROR(INDEX(PacNome,MATCH($D2611,PacCod,0)),"Paciente não cadastrado"))</f>
        <v>0</v>
      </c>
      <c r="K2611" s="26">
        <f>IF($D2611="","",IFERROR(INDEX(PacConv,MATCH($D2611,PacCod,0))&amp;"",""))</f>
        <v>0</v>
      </c>
      <c r="L2611" s="26">
        <f>IF($A2611="","",CHOOSE(WEEKDAY($A2611,2),"Seg","Ter","Qua","Qui","Sex","Sáb","Dom"))</f>
        <v>0</v>
      </c>
      <c r="M2611" s="27">
        <f>IF($E2611="","",IF($G2611&lt;&gt;"",$G2611,IFERROR(INDEX(ProcValor,MATCH($E2611,ProcNome,0)),0)))</f>
        <v>0</v>
      </c>
      <c r="N2611" s="27">
        <f>IF($M2611="","",IF($F2611="Compareceu",$M2611,0))</f>
        <v>0</v>
      </c>
      <c r="O2611" s="27">
        <f>IF($M2611="","",IF($F2611="Faltou",$M2611,0))</f>
        <v>0</v>
      </c>
      <c r="P2611" s="27">
        <f>IF($M2611="","",IF($F2611="Compareceu",MAX(0,$M2611-N($H2611)),0))</f>
        <v>0</v>
      </c>
      <c r="Q2611" s="19">
        <f>IF(AND($F2611="Compareceu",$E2611&lt;&gt;"",$A2611&lt;&gt;""),IF(IFERROR(INDEX(ProcRet,MATCH($E2611,ProcNome,0)),0)&gt;0,$A2611+INDEX(ProcRet,MATCH($E2611,ProcNome,0)),""),"")</f>
        <v>0</v>
      </c>
      <c r="R2611" s="26">
        <f>IF($Q2611="","",IF(COUNTIFS(AgPac,$D2611,AgData,"&gt;"&amp;$A2611,AgStatus,"&lt;&gt;Cancelado",AgStatus,"&lt;&gt;Remarcado")&gt;0,"Sim","Não"))</f>
        <v>0</v>
      </c>
      <c r="S2611" s="28">
        <f>IF($A2611="","",IF(AND($F2611="Agendado",$A2611-Hoje&gt;=0,$A2611-Hoje&lt;=DiasConf),"CONFIRMAR",IF(AND($A2611&lt;Hoje,OR($F2611="Agendado",$F2611="Confirmado")),"Atualizar status",IF(AND($F2611="Compareceu",$P2611&gt;0.005),"Cobrar",IF($F2611="Faltou","Falta: reagendar","")))))</f>
        <v>0</v>
      </c>
      <c r="T2611" s="29">
        <f>IF($A2611="","",DATE(YEAR($A2611),MONTH($A2611),1))</f>
        <v>0</v>
      </c>
      <c r="U2611" s="30">
        <f>IF($S2611="CONFIRMAR",MAX($U$4:$U2610)+1,"")</f>
        <v>0</v>
      </c>
      <c r="V2611" s="30">
        <f>IF(AND($R2611="Não",$Q2611&lt;&gt;"",$Q2611&lt;=Hoje+JanelaRet,$Q2611&gt;=Hoje-60),MAX($V$4:$V2610)+1,"")</f>
        <v>0</v>
      </c>
    </row>
    <row r="2612" spans="1:22">
      <c r="A2612" s="16"/>
      <c r="B2612" s="23"/>
      <c r="C2612" s="15"/>
      <c r="D2612" s="15"/>
      <c r="E2612" s="15"/>
      <c r="F2612" s="24"/>
      <c r="G2612" s="17"/>
      <c r="H2612" s="17"/>
      <c r="I2612" s="15"/>
      <c r="J2612" s="25">
        <f>IF($D2612="","",IFERROR(INDEX(PacNome,MATCH($D2612,PacCod,0)),"Paciente não cadastrado"))</f>
        <v>0</v>
      </c>
      <c r="K2612" s="26">
        <f>IF($D2612="","",IFERROR(INDEX(PacConv,MATCH($D2612,PacCod,0))&amp;"",""))</f>
        <v>0</v>
      </c>
      <c r="L2612" s="26">
        <f>IF($A2612="","",CHOOSE(WEEKDAY($A2612,2),"Seg","Ter","Qua","Qui","Sex","Sáb","Dom"))</f>
        <v>0</v>
      </c>
      <c r="M2612" s="27">
        <f>IF($E2612="","",IF($G2612&lt;&gt;"",$G2612,IFERROR(INDEX(ProcValor,MATCH($E2612,ProcNome,0)),0)))</f>
        <v>0</v>
      </c>
      <c r="N2612" s="27">
        <f>IF($M2612="","",IF($F2612="Compareceu",$M2612,0))</f>
        <v>0</v>
      </c>
      <c r="O2612" s="27">
        <f>IF($M2612="","",IF($F2612="Faltou",$M2612,0))</f>
        <v>0</v>
      </c>
      <c r="P2612" s="27">
        <f>IF($M2612="","",IF($F2612="Compareceu",MAX(0,$M2612-N($H2612)),0))</f>
        <v>0</v>
      </c>
      <c r="Q2612" s="19">
        <f>IF(AND($F2612="Compareceu",$E2612&lt;&gt;"",$A2612&lt;&gt;""),IF(IFERROR(INDEX(ProcRet,MATCH($E2612,ProcNome,0)),0)&gt;0,$A2612+INDEX(ProcRet,MATCH($E2612,ProcNome,0)),""),"")</f>
        <v>0</v>
      </c>
      <c r="R2612" s="26">
        <f>IF($Q2612="","",IF(COUNTIFS(AgPac,$D2612,AgData,"&gt;"&amp;$A2612,AgStatus,"&lt;&gt;Cancelado",AgStatus,"&lt;&gt;Remarcado")&gt;0,"Sim","Não"))</f>
        <v>0</v>
      </c>
      <c r="S2612" s="28">
        <f>IF($A2612="","",IF(AND($F2612="Agendado",$A2612-Hoje&gt;=0,$A2612-Hoje&lt;=DiasConf),"CONFIRMAR",IF(AND($A2612&lt;Hoje,OR($F2612="Agendado",$F2612="Confirmado")),"Atualizar status",IF(AND($F2612="Compareceu",$P2612&gt;0.005),"Cobrar",IF($F2612="Faltou","Falta: reagendar","")))))</f>
        <v>0</v>
      </c>
      <c r="T2612" s="29">
        <f>IF($A2612="","",DATE(YEAR($A2612),MONTH($A2612),1))</f>
        <v>0</v>
      </c>
      <c r="U2612" s="30">
        <f>IF($S2612="CONFIRMAR",MAX($U$4:$U2611)+1,"")</f>
        <v>0</v>
      </c>
      <c r="V2612" s="30">
        <f>IF(AND($R2612="Não",$Q2612&lt;&gt;"",$Q2612&lt;=Hoje+JanelaRet,$Q2612&gt;=Hoje-60),MAX($V$4:$V2611)+1,"")</f>
        <v>0</v>
      </c>
    </row>
    <row r="2613" spans="1:22">
      <c r="A2613" s="16"/>
      <c r="B2613" s="23"/>
      <c r="C2613" s="15"/>
      <c r="D2613" s="15"/>
      <c r="E2613" s="15"/>
      <c r="F2613" s="24"/>
      <c r="G2613" s="17"/>
      <c r="H2613" s="17"/>
      <c r="I2613" s="15"/>
      <c r="J2613" s="25">
        <f>IF($D2613="","",IFERROR(INDEX(PacNome,MATCH($D2613,PacCod,0)),"Paciente não cadastrado"))</f>
        <v>0</v>
      </c>
      <c r="K2613" s="26">
        <f>IF($D2613="","",IFERROR(INDEX(PacConv,MATCH($D2613,PacCod,0))&amp;"",""))</f>
        <v>0</v>
      </c>
      <c r="L2613" s="26">
        <f>IF($A2613="","",CHOOSE(WEEKDAY($A2613,2),"Seg","Ter","Qua","Qui","Sex","Sáb","Dom"))</f>
        <v>0</v>
      </c>
      <c r="M2613" s="27">
        <f>IF($E2613="","",IF($G2613&lt;&gt;"",$G2613,IFERROR(INDEX(ProcValor,MATCH($E2613,ProcNome,0)),0)))</f>
        <v>0</v>
      </c>
      <c r="N2613" s="27">
        <f>IF($M2613="","",IF($F2613="Compareceu",$M2613,0))</f>
        <v>0</v>
      </c>
      <c r="O2613" s="27">
        <f>IF($M2613="","",IF($F2613="Faltou",$M2613,0))</f>
        <v>0</v>
      </c>
      <c r="P2613" s="27">
        <f>IF($M2613="","",IF($F2613="Compareceu",MAX(0,$M2613-N($H2613)),0))</f>
        <v>0</v>
      </c>
      <c r="Q2613" s="19">
        <f>IF(AND($F2613="Compareceu",$E2613&lt;&gt;"",$A2613&lt;&gt;""),IF(IFERROR(INDEX(ProcRet,MATCH($E2613,ProcNome,0)),0)&gt;0,$A2613+INDEX(ProcRet,MATCH($E2613,ProcNome,0)),""),"")</f>
        <v>0</v>
      </c>
      <c r="R2613" s="26">
        <f>IF($Q2613="","",IF(COUNTIFS(AgPac,$D2613,AgData,"&gt;"&amp;$A2613,AgStatus,"&lt;&gt;Cancelado",AgStatus,"&lt;&gt;Remarcado")&gt;0,"Sim","Não"))</f>
        <v>0</v>
      </c>
      <c r="S2613" s="28">
        <f>IF($A2613="","",IF(AND($F2613="Agendado",$A2613-Hoje&gt;=0,$A2613-Hoje&lt;=DiasConf),"CONFIRMAR",IF(AND($A2613&lt;Hoje,OR($F2613="Agendado",$F2613="Confirmado")),"Atualizar status",IF(AND($F2613="Compareceu",$P2613&gt;0.005),"Cobrar",IF($F2613="Faltou","Falta: reagendar","")))))</f>
        <v>0</v>
      </c>
      <c r="T2613" s="29">
        <f>IF($A2613="","",DATE(YEAR($A2613),MONTH($A2613),1))</f>
        <v>0</v>
      </c>
      <c r="U2613" s="30">
        <f>IF($S2613="CONFIRMAR",MAX($U$4:$U2612)+1,"")</f>
        <v>0</v>
      </c>
      <c r="V2613" s="30">
        <f>IF(AND($R2613="Não",$Q2613&lt;&gt;"",$Q2613&lt;=Hoje+JanelaRet,$Q2613&gt;=Hoje-60),MAX($V$4:$V2612)+1,"")</f>
        <v>0</v>
      </c>
    </row>
    <row r="2614" spans="1:22">
      <c r="A2614" s="16"/>
      <c r="B2614" s="23"/>
      <c r="C2614" s="15"/>
      <c r="D2614" s="15"/>
      <c r="E2614" s="15"/>
      <c r="F2614" s="24"/>
      <c r="G2614" s="17"/>
      <c r="H2614" s="17"/>
      <c r="I2614" s="15"/>
      <c r="J2614" s="25">
        <f>IF($D2614="","",IFERROR(INDEX(PacNome,MATCH($D2614,PacCod,0)),"Paciente não cadastrado"))</f>
        <v>0</v>
      </c>
      <c r="K2614" s="26">
        <f>IF($D2614="","",IFERROR(INDEX(PacConv,MATCH($D2614,PacCod,0))&amp;"",""))</f>
        <v>0</v>
      </c>
      <c r="L2614" s="26">
        <f>IF($A2614="","",CHOOSE(WEEKDAY($A2614,2),"Seg","Ter","Qua","Qui","Sex","Sáb","Dom"))</f>
        <v>0</v>
      </c>
      <c r="M2614" s="27">
        <f>IF($E2614="","",IF($G2614&lt;&gt;"",$G2614,IFERROR(INDEX(ProcValor,MATCH($E2614,ProcNome,0)),0)))</f>
        <v>0</v>
      </c>
      <c r="N2614" s="27">
        <f>IF($M2614="","",IF($F2614="Compareceu",$M2614,0))</f>
        <v>0</v>
      </c>
      <c r="O2614" s="27">
        <f>IF($M2614="","",IF($F2614="Faltou",$M2614,0))</f>
        <v>0</v>
      </c>
      <c r="P2614" s="27">
        <f>IF($M2614="","",IF($F2614="Compareceu",MAX(0,$M2614-N($H2614)),0))</f>
        <v>0</v>
      </c>
      <c r="Q2614" s="19">
        <f>IF(AND($F2614="Compareceu",$E2614&lt;&gt;"",$A2614&lt;&gt;""),IF(IFERROR(INDEX(ProcRet,MATCH($E2614,ProcNome,0)),0)&gt;0,$A2614+INDEX(ProcRet,MATCH($E2614,ProcNome,0)),""),"")</f>
        <v>0</v>
      </c>
      <c r="R2614" s="26">
        <f>IF($Q2614="","",IF(COUNTIFS(AgPac,$D2614,AgData,"&gt;"&amp;$A2614,AgStatus,"&lt;&gt;Cancelado",AgStatus,"&lt;&gt;Remarcado")&gt;0,"Sim","Não"))</f>
        <v>0</v>
      </c>
      <c r="S2614" s="28">
        <f>IF($A2614="","",IF(AND($F2614="Agendado",$A2614-Hoje&gt;=0,$A2614-Hoje&lt;=DiasConf),"CONFIRMAR",IF(AND($A2614&lt;Hoje,OR($F2614="Agendado",$F2614="Confirmado")),"Atualizar status",IF(AND($F2614="Compareceu",$P2614&gt;0.005),"Cobrar",IF($F2614="Faltou","Falta: reagendar","")))))</f>
        <v>0</v>
      </c>
      <c r="T2614" s="29">
        <f>IF($A2614="","",DATE(YEAR($A2614),MONTH($A2614),1))</f>
        <v>0</v>
      </c>
      <c r="U2614" s="30">
        <f>IF($S2614="CONFIRMAR",MAX($U$4:$U2613)+1,"")</f>
        <v>0</v>
      </c>
      <c r="V2614" s="30">
        <f>IF(AND($R2614="Não",$Q2614&lt;&gt;"",$Q2614&lt;=Hoje+JanelaRet,$Q2614&gt;=Hoje-60),MAX($V$4:$V2613)+1,"")</f>
        <v>0</v>
      </c>
    </row>
    <row r="2615" spans="1:22">
      <c r="A2615" s="16"/>
      <c r="B2615" s="23"/>
      <c r="C2615" s="15"/>
      <c r="D2615" s="15"/>
      <c r="E2615" s="15"/>
      <c r="F2615" s="24"/>
      <c r="G2615" s="17"/>
      <c r="H2615" s="17"/>
      <c r="I2615" s="15"/>
      <c r="J2615" s="25">
        <f>IF($D2615="","",IFERROR(INDEX(PacNome,MATCH($D2615,PacCod,0)),"Paciente não cadastrado"))</f>
        <v>0</v>
      </c>
      <c r="K2615" s="26">
        <f>IF($D2615="","",IFERROR(INDEX(PacConv,MATCH($D2615,PacCod,0))&amp;"",""))</f>
        <v>0</v>
      </c>
      <c r="L2615" s="26">
        <f>IF($A2615="","",CHOOSE(WEEKDAY($A2615,2),"Seg","Ter","Qua","Qui","Sex","Sáb","Dom"))</f>
        <v>0</v>
      </c>
      <c r="M2615" s="27">
        <f>IF($E2615="","",IF($G2615&lt;&gt;"",$G2615,IFERROR(INDEX(ProcValor,MATCH($E2615,ProcNome,0)),0)))</f>
        <v>0</v>
      </c>
      <c r="N2615" s="27">
        <f>IF($M2615="","",IF($F2615="Compareceu",$M2615,0))</f>
        <v>0</v>
      </c>
      <c r="O2615" s="27">
        <f>IF($M2615="","",IF($F2615="Faltou",$M2615,0))</f>
        <v>0</v>
      </c>
      <c r="P2615" s="27">
        <f>IF($M2615="","",IF($F2615="Compareceu",MAX(0,$M2615-N($H2615)),0))</f>
        <v>0</v>
      </c>
      <c r="Q2615" s="19">
        <f>IF(AND($F2615="Compareceu",$E2615&lt;&gt;"",$A2615&lt;&gt;""),IF(IFERROR(INDEX(ProcRet,MATCH($E2615,ProcNome,0)),0)&gt;0,$A2615+INDEX(ProcRet,MATCH($E2615,ProcNome,0)),""),"")</f>
        <v>0</v>
      </c>
      <c r="R2615" s="26">
        <f>IF($Q2615="","",IF(COUNTIFS(AgPac,$D2615,AgData,"&gt;"&amp;$A2615,AgStatus,"&lt;&gt;Cancelado",AgStatus,"&lt;&gt;Remarcado")&gt;0,"Sim","Não"))</f>
        <v>0</v>
      </c>
      <c r="S2615" s="28">
        <f>IF($A2615="","",IF(AND($F2615="Agendado",$A2615-Hoje&gt;=0,$A2615-Hoje&lt;=DiasConf),"CONFIRMAR",IF(AND($A2615&lt;Hoje,OR($F2615="Agendado",$F2615="Confirmado")),"Atualizar status",IF(AND($F2615="Compareceu",$P2615&gt;0.005),"Cobrar",IF($F2615="Faltou","Falta: reagendar","")))))</f>
        <v>0</v>
      </c>
      <c r="T2615" s="29">
        <f>IF($A2615="","",DATE(YEAR($A2615),MONTH($A2615),1))</f>
        <v>0</v>
      </c>
      <c r="U2615" s="30">
        <f>IF($S2615="CONFIRMAR",MAX($U$4:$U2614)+1,"")</f>
        <v>0</v>
      </c>
      <c r="V2615" s="30">
        <f>IF(AND($R2615="Não",$Q2615&lt;&gt;"",$Q2615&lt;=Hoje+JanelaRet,$Q2615&gt;=Hoje-60),MAX($V$4:$V2614)+1,"")</f>
        <v>0</v>
      </c>
    </row>
    <row r="2616" spans="1:22">
      <c r="A2616" s="16"/>
      <c r="B2616" s="23"/>
      <c r="C2616" s="15"/>
      <c r="D2616" s="15"/>
      <c r="E2616" s="15"/>
      <c r="F2616" s="24"/>
      <c r="G2616" s="17"/>
      <c r="H2616" s="17"/>
      <c r="I2616" s="15"/>
      <c r="J2616" s="25">
        <f>IF($D2616="","",IFERROR(INDEX(PacNome,MATCH($D2616,PacCod,0)),"Paciente não cadastrado"))</f>
        <v>0</v>
      </c>
      <c r="K2616" s="26">
        <f>IF($D2616="","",IFERROR(INDEX(PacConv,MATCH($D2616,PacCod,0))&amp;"",""))</f>
        <v>0</v>
      </c>
      <c r="L2616" s="26">
        <f>IF($A2616="","",CHOOSE(WEEKDAY($A2616,2),"Seg","Ter","Qua","Qui","Sex","Sáb","Dom"))</f>
        <v>0</v>
      </c>
      <c r="M2616" s="27">
        <f>IF($E2616="","",IF($G2616&lt;&gt;"",$G2616,IFERROR(INDEX(ProcValor,MATCH($E2616,ProcNome,0)),0)))</f>
        <v>0</v>
      </c>
      <c r="N2616" s="27">
        <f>IF($M2616="","",IF($F2616="Compareceu",$M2616,0))</f>
        <v>0</v>
      </c>
      <c r="O2616" s="27">
        <f>IF($M2616="","",IF($F2616="Faltou",$M2616,0))</f>
        <v>0</v>
      </c>
      <c r="P2616" s="27">
        <f>IF($M2616="","",IF($F2616="Compareceu",MAX(0,$M2616-N($H2616)),0))</f>
        <v>0</v>
      </c>
      <c r="Q2616" s="19">
        <f>IF(AND($F2616="Compareceu",$E2616&lt;&gt;"",$A2616&lt;&gt;""),IF(IFERROR(INDEX(ProcRet,MATCH($E2616,ProcNome,0)),0)&gt;0,$A2616+INDEX(ProcRet,MATCH($E2616,ProcNome,0)),""),"")</f>
        <v>0</v>
      </c>
      <c r="R2616" s="26">
        <f>IF($Q2616="","",IF(COUNTIFS(AgPac,$D2616,AgData,"&gt;"&amp;$A2616,AgStatus,"&lt;&gt;Cancelado",AgStatus,"&lt;&gt;Remarcado")&gt;0,"Sim","Não"))</f>
        <v>0</v>
      </c>
      <c r="S2616" s="28">
        <f>IF($A2616="","",IF(AND($F2616="Agendado",$A2616-Hoje&gt;=0,$A2616-Hoje&lt;=DiasConf),"CONFIRMAR",IF(AND($A2616&lt;Hoje,OR($F2616="Agendado",$F2616="Confirmado")),"Atualizar status",IF(AND($F2616="Compareceu",$P2616&gt;0.005),"Cobrar",IF($F2616="Faltou","Falta: reagendar","")))))</f>
        <v>0</v>
      </c>
      <c r="T2616" s="29">
        <f>IF($A2616="","",DATE(YEAR($A2616),MONTH($A2616),1))</f>
        <v>0</v>
      </c>
      <c r="U2616" s="30">
        <f>IF($S2616="CONFIRMAR",MAX($U$4:$U2615)+1,"")</f>
        <v>0</v>
      </c>
      <c r="V2616" s="30">
        <f>IF(AND($R2616="Não",$Q2616&lt;&gt;"",$Q2616&lt;=Hoje+JanelaRet,$Q2616&gt;=Hoje-60),MAX($V$4:$V2615)+1,"")</f>
        <v>0</v>
      </c>
    </row>
    <row r="2617" spans="1:22">
      <c r="A2617" s="16"/>
      <c r="B2617" s="23"/>
      <c r="C2617" s="15"/>
      <c r="D2617" s="15"/>
      <c r="E2617" s="15"/>
      <c r="F2617" s="24"/>
      <c r="G2617" s="17"/>
      <c r="H2617" s="17"/>
      <c r="I2617" s="15"/>
      <c r="J2617" s="25">
        <f>IF($D2617="","",IFERROR(INDEX(PacNome,MATCH($D2617,PacCod,0)),"Paciente não cadastrado"))</f>
        <v>0</v>
      </c>
      <c r="K2617" s="26">
        <f>IF($D2617="","",IFERROR(INDEX(PacConv,MATCH($D2617,PacCod,0))&amp;"",""))</f>
        <v>0</v>
      </c>
      <c r="L2617" s="26">
        <f>IF($A2617="","",CHOOSE(WEEKDAY($A2617,2),"Seg","Ter","Qua","Qui","Sex","Sáb","Dom"))</f>
        <v>0</v>
      </c>
      <c r="M2617" s="27">
        <f>IF($E2617="","",IF($G2617&lt;&gt;"",$G2617,IFERROR(INDEX(ProcValor,MATCH($E2617,ProcNome,0)),0)))</f>
        <v>0</v>
      </c>
      <c r="N2617" s="27">
        <f>IF($M2617="","",IF($F2617="Compareceu",$M2617,0))</f>
        <v>0</v>
      </c>
      <c r="O2617" s="27">
        <f>IF($M2617="","",IF($F2617="Faltou",$M2617,0))</f>
        <v>0</v>
      </c>
      <c r="P2617" s="27">
        <f>IF($M2617="","",IF($F2617="Compareceu",MAX(0,$M2617-N($H2617)),0))</f>
        <v>0</v>
      </c>
      <c r="Q2617" s="19">
        <f>IF(AND($F2617="Compareceu",$E2617&lt;&gt;"",$A2617&lt;&gt;""),IF(IFERROR(INDEX(ProcRet,MATCH($E2617,ProcNome,0)),0)&gt;0,$A2617+INDEX(ProcRet,MATCH($E2617,ProcNome,0)),""),"")</f>
        <v>0</v>
      </c>
      <c r="R2617" s="26">
        <f>IF($Q2617="","",IF(COUNTIFS(AgPac,$D2617,AgData,"&gt;"&amp;$A2617,AgStatus,"&lt;&gt;Cancelado",AgStatus,"&lt;&gt;Remarcado")&gt;0,"Sim","Não"))</f>
        <v>0</v>
      </c>
      <c r="S2617" s="28">
        <f>IF($A2617="","",IF(AND($F2617="Agendado",$A2617-Hoje&gt;=0,$A2617-Hoje&lt;=DiasConf),"CONFIRMAR",IF(AND($A2617&lt;Hoje,OR($F2617="Agendado",$F2617="Confirmado")),"Atualizar status",IF(AND($F2617="Compareceu",$P2617&gt;0.005),"Cobrar",IF($F2617="Faltou","Falta: reagendar","")))))</f>
        <v>0</v>
      </c>
      <c r="T2617" s="29">
        <f>IF($A2617="","",DATE(YEAR($A2617),MONTH($A2617),1))</f>
        <v>0</v>
      </c>
      <c r="U2617" s="30">
        <f>IF($S2617="CONFIRMAR",MAX($U$4:$U2616)+1,"")</f>
        <v>0</v>
      </c>
      <c r="V2617" s="30">
        <f>IF(AND($R2617="Não",$Q2617&lt;&gt;"",$Q2617&lt;=Hoje+JanelaRet,$Q2617&gt;=Hoje-60),MAX($V$4:$V2616)+1,"")</f>
        <v>0</v>
      </c>
    </row>
    <row r="2618" spans="1:22">
      <c r="A2618" s="16"/>
      <c r="B2618" s="23"/>
      <c r="C2618" s="15"/>
      <c r="D2618" s="15"/>
      <c r="E2618" s="15"/>
      <c r="F2618" s="24"/>
      <c r="G2618" s="17"/>
      <c r="H2618" s="17"/>
      <c r="I2618" s="15"/>
      <c r="J2618" s="25">
        <f>IF($D2618="","",IFERROR(INDEX(PacNome,MATCH($D2618,PacCod,0)),"Paciente não cadastrado"))</f>
        <v>0</v>
      </c>
      <c r="K2618" s="26">
        <f>IF($D2618="","",IFERROR(INDEX(PacConv,MATCH($D2618,PacCod,0))&amp;"",""))</f>
        <v>0</v>
      </c>
      <c r="L2618" s="26">
        <f>IF($A2618="","",CHOOSE(WEEKDAY($A2618,2),"Seg","Ter","Qua","Qui","Sex","Sáb","Dom"))</f>
        <v>0</v>
      </c>
      <c r="M2618" s="27">
        <f>IF($E2618="","",IF($G2618&lt;&gt;"",$G2618,IFERROR(INDEX(ProcValor,MATCH($E2618,ProcNome,0)),0)))</f>
        <v>0</v>
      </c>
      <c r="N2618" s="27">
        <f>IF($M2618="","",IF($F2618="Compareceu",$M2618,0))</f>
        <v>0</v>
      </c>
      <c r="O2618" s="27">
        <f>IF($M2618="","",IF($F2618="Faltou",$M2618,0))</f>
        <v>0</v>
      </c>
      <c r="P2618" s="27">
        <f>IF($M2618="","",IF($F2618="Compareceu",MAX(0,$M2618-N($H2618)),0))</f>
        <v>0</v>
      </c>
      <c r="Q2618" s="19">
        <f>IF(AND($F2618="Compareceu",$E2618&lt;&gt;"",$A2618&lt;&gt;""),IF(IFERROR(INDEX(ProcRet,MATCH($E2618,ProcNome,0)),0)&gt;0,$A2618+INDEX(ProcRet,MATCH($E2618,ProcNome,0)),""),"")</f>
        <v>0</v>
      </c>
      <c r="R2618" s="26">
        <f>IF($Q2618="","",IF(COUNTIFS(AgPac,$D2618,AgData,"&gt;"&amp;$A2618,AgStatus,"&lt;&gt;Cancelado",AgStatus,"&lt;&gt;Remarcado")&gt;0,"Sim","Não"))</f>
        <v>0</v>
      </c>
      <c r="S2618" s="28">
        <f>IF($A2618="","",IF(AND($F2618="Agendado",$A2618-Hoje&gt;=0,$A2618-Hoje&lt;=DiasConf),"CONFIRMAR",IF(AND($A2618&lt;Hoje,OR($F2618="Agendado",$F2618="Confirmado")),"Atualizar status",IF(AND($F2618="Compareceu",$P2618&gt;0.005),"Cobrar",IF($F2618="Faltou","Falta: reagendar","")))))</f>
        <v>0</v>
      </c>
      <c r="T2618" s="29">
        <f>IF($A2618="","",DATE(YEAR($A2618),MONTH($A2618),1))</f>
        <v>0</v>
      </c>
      <c r="U2618" s="30">
        <f>IF($S2618="CONFIRMAR",MAX($U$4:$U2617)+1,"")</f>
        <v>0</v>
      </c>
      <c r="V2618" s="30">
        <f>IF(AND($R2618="Não",$Q2618&lt;&gt;"",$Q2618&lt;=Hoje+JanelaRet,$Q2618&gt;=Hoje-60),MAX($V$4:$V2617)+1,"")</f>
        <v>0</v>
      </c>
    </row>
    <row r="2619" spans="1:22">
      <c r="A2619" s="16"/>
      <c r="B2619" s="23"/>
      <c r="C2619" s="15"/>
      <c r="D2619" s="15"/>
      <c r="E2619" s="15"/>
      <c r="F2619" s="24"/>
      <c r="G2619" s="17"/>
      <c r="H2619" s="17"/>
      <c r="I2619" s="15"/>
      <c r="J2619" s="25">
        <f>IF($D2619="","",IFERROR(INDEX(PacNome,MATCH($D2619,PacCod,0)),"Paciente não cadastrado"))</f>
        <v>0</v>
      </c>
      <c r="K2619" s="26">
        <f>IF($D2619="","",IFERROR(INDEX(PacConv,MATCH($D2619,PacCod,0))&amp;"",""))</f>
        <v>0</v>
      </c>
      <c r="L2619" s="26">
        <f>IF($A2619="","",CHOOSE(WEEKDAY($A2619,2),"Seg","Ter","Qua","Qui","Sex","Sáb","Dom"))</f>
        <v>0</v>
      </c>
      <c r="M2619" s="27">
        <f>IF($E2619="","",IF($G2619&lt;&gt;"",$G2619,IFERROR(INDEX(ProcValor,MATCH($E2619,ProcNome,0)),0)))</f>
        <v>0</v>
      </c>
      <c r="N2619" s="27">
        <f>IF($M2619="","",IF($F2619="Compareceu",$M2619,0))</f>
        <v>0</v>
      </c>
      <c r="O2619" s="27">
        <f>IF($M2619="","",IF($F2619="Faltou",$M2619,0))</f>
        <v>0</v>
      </c>
      <c r="P2619" s="27">
        <f>IF($M2619="","",IF($F2619="Compareceu",MAX(0,$M2619-N($H2619)),0))</f>
        <v>0</v>
      </c>
      <c r="Q2619" s="19">
        <f>IF(AND($F2619="Compareceu",$E2619&lt;&gt;"",$A2619&lt;&gt;""),IF(IFERROR(INDEX(ProcRet,MATCH($E2619,ProcNome,0)),0)&gt;0,$A2619+INDEX(ProcRet,MATCH($E2619,ProcNome,0)),""),"")</f>
        <v>0</v>
      </c>
      <c r="R2619" s="26">
        <f>IF($Q2619="","",IF(COUNTIFS(AgPac,$D2619,AgData,"&gt;"&amp;$A2619,AgStatus,"&lt;&gt;Cancelado",AgStatus,"&lt;&gt;Remarcado")&gt;0,"Sim","Não"))</f>
        <v>0</v>
      </c>
      <c r="S2619" s="28">
        <f>IF($A2619="","",IF(AND($F2619="Agendado",$A2619-Hoje&gt;=0,$A2619-Hoje&lt;=DiasConf),"CONFIRMAR",IF(AND($A2619&lt;Hoje,OR($F2619="Agendado",$F2619="Confirmado")),"Atualizar status",IF(AND($F2619="Compareceu",$P2619&gt;0.005),"Cobrar",IF($F2619="Faltou","Falta: reagendar","")))))</f>
        <v>0</v>
      </c>
      <c r="T2619" s="29">
        <f>IF($A2619="","",DATE(YEAR($A2619),MONTH($A2619),1))</f>
        <v>0</v>
      </c>
      <c r="U2619" s="30">
        <f>IF($S2619="CONFIRMAR",MAX($U$4:$U2618)+1,"")</f>
        <v>0</v>
      </c>
      <c r="V2619" s="30">
        <f>IF(AND($R2619="Não",$Q2619&lt;&gt;"",$Q2619&lt;=Hoje+JanelaRet,$Q2619&gt;=Hoje-60),MAX($V$4:$V2618)+1,"")</f>
        <v>0</v>
      </c>
    </row>
    <row r="2620" spans="1:22">
      <c r="A2620" s="16"/>
      <c r="B2620" s="23"/>
      <c r="C2620" s="15"/>
      <c r="D2620" s="15"/>
      <c r="E2620" s="15"/>
      <c r="F2620" s="24"/>
      <c r="G2620" s="17"/>
      <c r="H2620" s="17"/>
      <c r="I2620" s="15"/>
      <c r="J2620" s="25">
        <f>IF($D2620="","",IFERROR(INDEX(PacNome,MATCH($D2620,PacCod,0)),"Paciente não cadastrado"))</f>
        <v>0</v>
      </c>
      <c r="K2620" s="26">
        <f>IF($D2620="","",IFERROR(INDEX(PacConv,MATCH($D2620,PacCod,0))&amp;"",""))</f>
        <v>0</v>
      </c>
      <c r="L2620" s="26">
        <f>IF($A2620="","",CHOOSE(WEEKDAY($A2620,2),"Seg","Ter","Qua","Qui","Sex","Sáb","Dom"))</f>
        <v>0</v>
      </c>
      <c r="M2620" s="27">
        <f>IF($E2620="","",IF($G2620&lt;&gt;"",$G2620,IFERROR(INDEX(ProcValor,MATCH($E2620,ProcNome,0)),0)))</f>
        <v>0</v>
      </c>
      <c r="N2620" s="27">
        <f>IF($M2620="","",IF($F2620="Compareceu",$M2620,0))</f>
        <v>0</v>
      </c>
      <c r="O2620" s="27">
        <f>IF($M2620="","",IF($F2620="Faltou",$M2620,0))</f>
        <v>0</v>
      </c>
      <c r="P2620" s="27">
        <f>IF($M2620="","",IF($F2620="Compareceu",MAX(0,$M2620-N($H2620)),0))</f>
        <v>0</v>
      </c>
      <c r="Q2620" s="19">
        <f>IF(AND($F2620="Compareceu",$E2620&lt;&gt;"",$A2620&lt;&gt;""),IF(IFERROR(INDEX(ProcRet,MATCH($E2620,ProcNome,0)),0)&gt;0,$A2620+INDEX(ProcRet,MATCH($E2620,ProcNome,0)),""),"")</f>
        <v>0</v>
      </c>
      <c r="R2620" s="26">
        <f>IF($Q2620="","",IF(COUNTIFS(AgPac,$D2620,AgData,"&gt;"&amp;$A2620,AgStatus,"&lt;&gt;Cancelado",AgStatus,"&lt;&gt;Remarcado")&gt;0,"Sim","Não"))</f>
        <v>0</v>
      </c>
      <c r="S2620" s="28">
        <f>IF($A2620="","",IF(AND($F2620="Agendado",$A2620-Hoje&gt;=0,$A2620-Hoje&lt;=DiasConf),"CONFIRMAR",IF(AND($A2620&lt;Hoje,OR($F2620="Agendado",$F2620="Confirmado")),"Atualizar status",IF(AND($F2620="Compareceu",$P2620&gt;0.005),"Cobrar",IF($F2620="Faltou","Falta: reagendar","")))))</f>
        <v>0</v>
      </c>
      <c r="T2620" s="29">
        <f>IF($A2620="","",DATE(YEAR($A2620),MONTH($A2620),1))</f>
        <v>0</v>
      </c>
      <c r="U2620" s="30">
        <f>IF($S2620="CONFIRMAR",MAX($U$4:$U2619)+1,"")</f>
        <v>0</v>
      </c>
      <c r="V2620" s="30">
        <f>IF(AND($R2620="Não",$Q2620&lt;&gt;"",$Q2620&lt;=Hoje+JanelaRet,$Q2620&gt;=Hoje-60),MAX($V$4:$V2619)+1,"")</f>
        <v>0</v>
      </c>
    </row>
    <row r="2621" spans="1:22">
      <c r="A2621" s="16"/>
      <c r="B2621" s="23"/>
      <c r="C2621" s="15"/>
      <c r="D2621" s="15"/>
      <c r="E2621" s="15"/>
      <c r="F2621" s="24"/>
      <c r="G2621" s="17"/>
      <c r="H2621" s="17"/>
      <c r="I2621" s="15"/>
      <c r="J2621" s="25">
        <f>IF($D2621="","",IFERROR(INDEX(PacNome,MATCH($D2621,PacCod,0)),"Paciente não cadastrado"))</f>
        <v>0</v>
      </c>
      <c r="K2621" s="26">
        <f>IF($D2621="","",IFERROR(INDEX(PacConv,MATCH($D2621,PacCod,0))&amp;"",""))</f>
        <v>0</v>
      </c>
      <c r="L2621" s="26">
        <f>IF($A2621="","",CHOOSE(WEEKDAY($A2621,2),"Seg","Ter","Qua","Qui","Sex","Sáb","Dom"))</f>
        <v>0</v>
      </c>
      <c r="M2621" s="27">
        <f>IF($E2621="","",IF($G2621&lt;&gt;"",$G2621,IFERROR(INDEX(ProcValor,MATCH($E2621,ProcNome,0)),0)))</f>
        <v>0</v>
      </c>
      <c r="N2621" s="27">
        <f>IF($M2621="","",IF($F2621="Compareceu",$M2621,0))</f>
        <v>0</v>
      </c>
      <c r="O2621" s="27">
        <f>IF($M2621="","",IF($F2621="Faltou",$M2621,0))</f>
        <v>0</v>
      </c>
      <c r="P2621" s="27">
        <f>IF($M2621="","",IF($F2621="Compareceu",MAX(0,$M2621-N($H2621)),0))</f>
        <v>0</v>
      </c>
      <c r="Q2621" s="19">
        <f>IF(AND($F2621="Compareceu",$E2621&lt;&gt;"",$A2621&lt;&gt;""),IF(IFERROR(INDEX(ProcRet,MATCH($E2621,ProcNome,0)),0)&gt;0,$A2621+INDEX(ProcRet,MATCH($E2621,ProcNome,0)),""),"")</f>
        <v>0</v>
      </c>
      <c r="R2621" s="26">
        <f>IF($Q2621="","",IF(COUNTIFS(AgPac,$D2621,AgData,"&gt;"&amp;$A2621,AgStatus,"&lt;&gt;Cancelado",AgStatus,"&lt;&gt;Remarcado")&gt;0,"Sim","Não"))</f>
        <v>0</v>
      </c>
      <c r="S2621" s="28">
        <f>IF($A2621="","",IF(AND($F2621="Agendado",$A2621-Hoje&gt;=0,$A2621-Hoje&lt;=DiasConf),"CONFIRMAR",IF(AND($A2621&lt;Hoje,OR($F2621="Agendado",$F2621="Confirmado")),"Atualizar status",IF(AND($F2621="Compareceu",$P2621&gt;0.005),"Cobrar",IF($F2621="Faltou","Falta: reagendar","")))))</f>
        <v>0</v>
      </c>
      <c r="T2621" s="29">
        <f>IF($A2621="","",DATE(YEAR($A2621),MONTH($A2621),1))</f>
        <v>0</v>
      </c>
      <c r="U2621" s="30">
        <f>IF($S2621="CONFIRMAR",MAX($U$4:$U2620)+1,"")</f>
        <v>0</v>
      </c>
      <c r="V2621" s="30">
        <f>IF(AND($R2621="Não",$Q2621&lt;&gt;"",$Q2621&lt;=Hoje+JanelaRet,$Q2621&gt;=Hoje-60),MAX($V$4:$V2620)+1,"")</f>
        <v>0</v>
      </c>
    </row>
    <row r="2622" spans="1:22">
      <c r="A2622" s="16"/>
      <c r="B2622" s="23"/>
      <c r="C2622" s="15"/>
      <c r="D2622" s="15"/>
      <c r="E2622" s="15"/>
      <c r="F2622" s="24"/>
      <c r="G2622" s="17"/>
      <c r="H2622" s="17"/>
      <c r="I2622" s="15"/>
      <c r="J2622" s="25">
        <f>IF($D2622="","",IFERROR(INDEX(PacNome,MATCH($D2622,PacCod,0)),"Paciente não cadastrado"))</f>
        <v>0</v>
      </c>
      <c r="K2622" s="26">
        <f>IF($D2622="","",IFERROR(INDEX(PacConv,MATCH($D2622,PacCod,0))&amp;"",""))</f>
        <v>0</v>
      </c>
      <c r="L2622" s="26">
        <f>IF($A2622="","",CHOOSE(WEEKDAY($A2622,2),"Seg","Ter","Qua","Qui","Sex","Sáb","Dom"))</f>
        <v>0</v>
      </c>
      <c r="M2622" s="27">
        <f>IF($E2622="","",IF($G2622&lt;&gt;"",$G2622,IFERROR(INDEX(ProcValor,MATCH($E2622,ProcNome,0)),0)))</f>
        <v>0</v>
      </c>
      <c r="N2622" s="27">
        <f>IF($M2622="","",IF($F2622="Compareceu",$M2622,0))</f>
        <v>0</v>
      </c>
      <c r="O2622" s="27">
        <f>IF($M2622="","",IF($F2622="Faltou",$M2622,0))</f>
        <v>0</v>
      </c>
      <c r="P2622" s="27">
        <f>IF($M2622="","",IF($F2622="Compareceu",MAX(0,$M2622-N($H2622)),0))</f>
        <v>0</v>
      </c>
      <c r="Q2622" s="19">
        <f>IF(AND($F2622="Compareceu",$E2622&lt;&gt;"",$A2622&lt;&gt;""),IF(IFERROR(INDEX(ProcRet,MATCH($E2622,ProcNome,0)),0)&gt;0,$A2622+INDEX(ProcRet,MATCH($E2622,ProcNome,0)),""),"")</f>
        <v>0</v>
      </c>
      <c r="R2622" s="26">
        <f>IF($Q2622="","",IF(COUNTIFS(AgPac,$D2622,AgData,"&gt;"&amp;$A2622,AgStatus,"&lt;&gt;Cancelado",AgStatus,"&lt;&gt;Remarcado")&gt;0,"Sim","Não"))</f>
        <v>0</v>
      </c>
      <c r="S2622" s="28">
        <f>IF($A2622="","",IF(AND($F2622="Agendado",$A2622-Hoje&gt;=0,$A2622-Hoje&lt;=DiasConf),"CONFIRMAR",IF(AND($A2622&lt;Hoje,OR($F2622="Agendado",$F2622="Confirmado")),"Atualizar status",IF(AND($F2622="Compareceu",$P2622&gt;0.005),"Cobrar",IF($F2622="Faltou","Falta: reagendar","")))))</f>
        <v>0</v>
      </c>
      <c r="T2622" s="29">
        <f>IF($A2622="","",DATE(YEAR($A2622),MONTH($A2622),1))</f>
        <v>0</v>
      </c>
      <c r="U2622" s="30">
        <f>IF($S2622="CONFIRMAR",MAX($U$4:$U2621)+1,"")</f>
        <v>0</v>
      </c>
      <c r="V2622" s="30">
        <f>IF(AND($R2622="Não",$Q2622&lt;&gt;"",$Q2622&lt;=Hoje+JanelaRet,$Q2622&gt;=Hoje-60),MAX($V$4:$V2621)+1,"")</f>
        <v>0</v>
      </c>
    </row>
    <row r="2623" spans="1:22">
      <c r="A2623" s="16"/>
      <c r="B2623" s="23"/>
      <c r="C2623" s="15"/>
      <c r="D2623" s="15"/>
      <c r="E2623" s="15"/>
      <c r="F2623" s="24"/>
      <c r="G2623" s="17"/>
      <c r="H2623" s="17"/>
      <c r="I2623" s="15"/>
      <c r="J2623" s="25">
        <f>IF($D2623="","",IFERROR(INDEX(PacNome,MATCH($D2623,PacCod,0)),"Paciente não cadastrado"))</f>
        <v>0</v>
      </c>
      <c r="K2623" s="26">
        <f>IF($D2623="","",IFERROR(INDEX(PacConv,MATCH($D2623,PacCod,0))&amp;"",""))</f>
        <v>0</v>
      </c>
      <c r="L2623" s="26">
        <f>IF($A2623="","",CHOOSE(WEEKDAY($A2623,2),"Seg","Ter","Qua","Qui","Sex","Sáb","Dom"))</f>
        <v>0</v>
      </c>
      <c r="M2623" s="27">
        <f>IF($E2623="","",IF($G2623&lt;&gt;"",$G2623,IFERROR(INDEX(ProcValor,MATCH($E2623,ProcNome,0)),0)))</f>
        <v>0</v>
      </c>
      <c r="N2623" s="27">
        <f>IF($M2623="","",IF($F2623="Compareceu",$M2623,0))</f>
        <v>0</v>
      </c>
      <c r="O2623" s="27">
        <f>IF($M2623="","",IF($F2623="Faltou",$M2623,0))</f>
        <v>0</v>
      </c>
      <c r="P2623" s="27">
        <f>IF($M2623="","",IF($F2623="Compareceu",MAX(0,$M2623-N($H2623)),0))</f>
        <v>0</v>
      </c>
      <c r="Q2623" s="19">
        <f>IF(AND($F2623="Compareceu",$E2623&lt;&gt;"",$A2623&lt;&gt;""),IF(IFERROR(INDEX(ProcRet,MATCH($E2623,ProcNome,0)),0)&gt;0,$A2623+INDEX(ProcRet,MATCH($E2623,ProcNome,0)),""),"")</f>
        <v>0</v>
      </c>
      <c r="R2623" s="26">
        <f>IF($Q2623="","",IF(COUNTIFS(AgPac,$D2623,AgData,"&gt;"&amp;$A2623,AgStatus,"&lt;&gt;Cancelado",AgStatus,"&lt;&gt;Remarcado")&gt;0,"Sim","Não"))</f>
        <v>0</v>
      </c>
      <c r="S2623" s="28">
        <f>IF($A2623="","",IF(AND($F2623="Agendado",$A2623-Hoje&gt;=0,$A2623-Hoje&lt;=DiasConf),"CONFIRMAR",IF(AND($A2623&lt;Hoje,OR($F2623="Agendado",$F2623="Confirmado")),"Atualizar status",IF(AND($F2623="Compareceu",$P2623&gt;0.005),"Cobrar",IF($F2623="Faltou","Falta: reagendar","")))))</f>
        <v>0</v>
      </c>
      <c r="T2623" s="29">
        <f>IF($A2623="","",DATE(YEAR($A2623),MONTH($A2623),1))</f>
        <v>0</v>
      </c>
      <c r="U2623" s="30">
        <f>IF($S2623="CONFIRMAR",MAX($U$4:$U2622)+1,"")</f>
        <v>0</v>
      </c>
      <c r="V2623" s="30">
        <f>IF(AND($R2623="Não",$Q2623&lt;&gt;"",$Q2623&lt;=Hoje+JanelaRet,$Q2623&gt;=Hoje-60),MAX($V$4:$V2622)+1,"")</f>
        <v>0</v>
      </c>
    </row>
    <row r="2624" spans="1:22">
      <c r="A2624" s="16"/>
      <c r="B2624" s="23"/>
      <c r="C2624" s="15"/>
      <c r="D2624" s="15"/>
      <c r="E2624" s="15"/>
      <c r="F2624" s="24"/>
      <c r="G2624" s="17"/>
      <c r="H2624" s="17"/>
      <c r="I2624" s="15"/>
      <c r="J2624" s="25">
        <f>IF($D2624="","",IFERROR(INDEX(PacNome,MATCH($D2624,PacCod,0)),"Paciente não cadastrado"))</f>
        <v>0</v>
      </c>
      <c r="K2624" s="26">
        <f>IF($D2624="","",IFERROR(INDEX(PacConv,MATCH($D2624,PacCod,0))&amp;"",""))</f>
        <v>0</v>
      </c>
      <c r="L2624" s="26">
        <f>IF($A2624="","",CHOOSE(WEEKDAY($A2624,2),"Seg","Ter","Qua","Qui","Sex","Sáb","Dom"))</f>
        <v>0</v>
      </c>
      <c r="M2624" s="27">
        <f>IF($E2624="","",IF($G2624&lt;&gt;"",$G2624,IFERROR(INDEX(ProcValor,MATCH($E2624,ProcNome,0)),0)))</f>
        <v>0</v>
      </c>
      <c r="N2624" s="27">
        <f>IF($M2624="","",IF($F2624="Compareceu",$M2624,0))</f>
        <v>0</v>
      </c>
      <c r="O2624" s="27">
        <f>IF($M2624="","",IF($F2624="Faltou",$M2624,0))</f>
        <v>0</v>
      </c>
      <c r="P2624" s="27">
        <f>IF($M2624="","",IF($F2624="Compareceu",MAX(0,$M2624-N($H2624)),0))</f>
        <v>0</v>
      </c>
      <c r="Q2624" s="19">
        <f>IF(AND($F2624="Compareceu",$E2624&lt;&gt;"",$A2624&lt;&gt;""),IF(IFERROR(INDEX(ProcRet,MATCH($E2624,ProcNome,0)),0)&gt;0,$A2624+INDEX(ProcRet,MATCH($E2624,ProcNome,0)),""),"")</f>
        <v>0</v>
      </c>
      <c r="R2624" s="26">
        <f>IF($Q2624="","",IF(COUNTIFS(AgPac,$D2624,AgData,"&gt;"&amp;$A2624,AgStatus,"&lt;&gt;Cancelado",AgStatus,"&lt;&gt;Remarcado")&gt;0,"Sim","Não"))</f>
        <v>0</v>
      </c>
      <c r="S2624" s="28">
        <f>IF($A2624="","",IF(AND($F2624="Agendado",$A2624-Hoje&gt;=0,$A2624-Hoje&lt;=DiasConf),"CONFIRMAR",IF(AND($A2624&lt;Hoje,OR($F2624="Agendado",$F2624="Confirmado")),"Atualizar status",IF(AND($F2624="Compareceu",$P2624&gt;0.005),"Cobrar",IF($F2624="Faltou","Falta: reagendar","")))))</f>
        <v>0</v>
      </c>
      <c r="T2624" s="29">
        <f>IF($A2624="","",DATE(YEAR($A2624),MONTH($A2624),1))</f>
        <v>0</v>
      </c>
      <c r="U2624" s="30">
        <f>IF($S2624="CONFIRMAR",MAX($U$4:$U2623)+1,"")</f>
        <v>0</v>
      </c>
      <c r="V2624" s="30">
        <f>IF(AND($R2624="Não",$Q2624&lt;&gt;"",$Q2624&lt;=Hoje+JanelaRet,$Q2624&gt;=Hoje-60),MAX($V$4:$V2623)+1,"")</f>
        <v>0</v>
      </c>
    </row>
    <row r="2625" spans="1:22">
      <c r="A2625" s="16"/>
      <c r="B2625" s="23"/>
      <c r="C2625" s="15"/>
      <c r="D2625" s="15"/>
      <c r="E2625" s="15"/>
      <c r="F2625" s="24"/>
      <c r="G2625" s="17"/>
      <c r="H2625" s="17"/>
      <c r="I2625" s="15"/>
      <c r="J2625" s="25">
        <f>IF($D2625="","",IFERROR(INDEX(PacNome,MATCH($D2625,PacCod,0)),"Paciente não cadastrado"))</f>
        <v>0</v>
      </c>
      <c r="K2625" s="26">
        <f>IF($D2625="","",IFERROR(INDEX(PacConv,MATCH($D2625,PacCod,0))&amp;"",""))</f>
        <v>0</v>
      </c>
      <c r="L2625" s="26">
        <f>IF($A2625="","",CHOOSE(WEEKDAY($A2625,2),"Seg","Ter","Qua","Qui","Sex","Sáb","Dom"))</f>
        <v>0</v>
      </c>
      <c r="M2625" s="27">
        <f>IF($E2625="","",IF($G2625&lt;&gt;"",$G2625,IFERROR(INDEX(ProcValor,MATCH($E2625,ProcNome,0)),0)))</f>
        <v>0</v>
      </c>
      <c r="N2625" s="27">
        <f>IF($M2625="","",IF($F2625="Compareceu",$M2625,0))</f>
        <v>0</v>
      </c>
      <c r="O2625" s="27">
        <f>IF($M2625="","",IF($F2625="Faltou",$M2625,0))</f>
        <v>0</v>
      </c>
      <c r="P2625" s="27">
        <f>IF($M2625="","",IF($F2625="Compareceu",MAX(0,$M2625-N($H2625)),0))</f>
        <v>0</v>
      </c>
      <c r="Q2625" s="19">
        <f>IF(AND($F2625="Compareceu",$E2625&lt;&gt;"",$A2625&lt;&gt;""),IF(IFERROR(INDEX(ProcRet,MATCH($E2625,ProcNome,0)),0)&gt;0,$A2625+INDEX(ProcRet,MATCH($E2625,ProcNome,0)),""),"")</f>
        <v>0</v>
      </c>
      <c r="R2625" s="26">
        <f>IF($Q2625="","",IF(COUNTIFS(AgPac,$D2625,AgData,"&gt;"&amp;$A2625,AgStatus,"&lt;&gt;Cancelado",AgStatus,"&lt;&gt;Remarcado")&gt;0,"Sim","Não"))</f>
        <v>0</v>
      </c>
      <c r="S2625" s="28">
        <f>IF($A2625="","",IF(AND($F2625="Agendado",$A2625-Hoje&gt;=0,$A2625-Hoje&lt;=DiasConf),"CONFIRMAR",IF(AND($A2625&lt;Hoje,OR($F2625="Agendado",$F2625="Confirmado")),"Atualizar status",IF(AND($F2625="Compareceu",$P2625&gt;0.005),"Cobrar",IF($F2625="Faltou","Falta: reagendar","")))))</f>
        <v>0</v>
      </c>
      <c r="T2625" s="29">
        <f>IF($A2625="","",DATE(YEAR($A2625),MONTH($A2625),1))</f>
        <v>0</v>
      </c>
      <c r="U2625" s="30">
        <f>IF($S2625="CONFIRMAR",MAX($U$4:$U2624)+1,"")</f>
        <v>0</v>
      </c>
      <c r="V2625" s="30">
        <f>IF(AND($R2625="Não",$Q2625&lt;&gt;"",$Q2625&lt;=Hoje+JanelaRet,$Q2625&gt;=Hoje-60),MAX($V$4:$V2624)+1,"")</f>
        <v>0</v>
      </c>
    </row>
    <row r="2626" spans="1:22">
      <c r="A2626" s="16"/>
      <c r="B2626" s="23"/>
      <c r="C2626" s="15"/>
      <c r="D2626" s="15"/>
      <c r="E2626" s="15"/>
      <c r="F2626" s="24"/>
      <c r="G2626" s="17"/>
      <c r="H2626" s="17"/>
      <c r="I2626" s="15"/>
      <c r="J2626" s="25">
        <f>IF($D2626="","",IFERROR(INDEX(PacNome,MATCH($D2626,PacCod,0)),"Paciente não cadastrado"))</f>
        <v>0</v>
      </c>
      <c r="K2626" s="26">
        <f>IF($D2626="","",IFERROR(INDEX(PacConv,MATCH($D2626,PacCod,0))&amp;"",""))</f>
        <v>0</v>
      </c>
      <c r="L2626" s="26">
        <f>IF($A2626="","",CHOOSE(WEEKDAY($A2626,2),"Seg","Ter","Qua","Qui","Sex","Sáb","Dom"))</f>
        <v>0</v>
      </c>
      <c r="M2626" s="27">
        <f>IF($E2626="","",IF($G2626&lt;&gt;"",$G2626,IFERROR(INDEX(ProcValor,MATCH($E2626,ProcNome,0)),0)))</f>
        <v>0</v>
      </c>
      <c r="N2626" s="27">
        <f>IF($M2626="","",IF($F2626="Compareceu",$M2626,0))</f>
        <v>0</v>
      </c>
      <c r="O2626" s="27">
        <f>IF($M2626="","",IF($F2626="Faltou",$M2626,0))</f>
        <v>0</v>
      </c>
      <c r="P2626" s="27">
        <f>IF($M2626="","",IF($F2626="Compareceu",MAX(0,$M2626-N($H2626)),0))</f>
        <v>0</v>
      </c>
      <c r="Q2626" s="19">
        <f>IF(AND($F2626="Compareceu",$E2626&lt;&gt;"",$A2626&lt;&gt;""),IF(IFERROR(INDEX(ProcRet,MATCH($E2626,ProcNome,0)),0)&gt;0,$A2626+INDEX(ProcRet,MATCH($E2626,ProcNome,0)),""),"")</f>
        <v>0</v>
      </c>
      <c r="R2626" s="26">
        <f>IF($Q2626="","",IF(COUNTIFS(AgPac,$D2626,AgData,"&gt;"&amp;$A2626,AgStatus,"&lt;&gt;Cancelado",AgStatus,"&lt;&gt;Remarcado")&gt;0,"Sim","Não"))</f>
        <v>0</v>
      </c>
      <c r="S2626" s="28">
        <f>IF($A2626="","",IF(AND($F2626="Agendado",$A2626-Hoje&gt;=0,$A2626-Hoje&lt;=DiasConf),"CONFIRMAR",IF(AND($A2626&lt;Hoje,OR($F2626="Agendado",$F2626="Confirmado")),"Atualizar status",IF(AND($F2626="Compareceu",$P2626&gt;0.005),"Cobrar",IF($F2626="Faltou","Falta: reagendar","")))))</f>
        <v>0</v>
      </c>
      <c r="T2626" s="29">
        <f>IF($A2626="","",DATE(YEAR($A2626),MONTH($A2626),1))</f>
        <v>0</v>
      </c>
      <c r="U2626" s="30">
        <f>IF($S2626="CONFIRMAR",MAX($U$4:$U2625)+1,"")</f>
        <v>0</v>
      </c>
      <c r="V2626" s="30">
        <f>IF(AND($R2626="Não",$Q2626&lt;&gt;"",$Q2626&lt;=Hoje+JanelaRet,$Q2626&gt;=Hoje-60),MAX($V$4:$V2625)+1,"")</f>
        <v>0</v>
      </c>
    </row>
    <row r="2627" spans="1:22">
      <c r="A2627" s="16"/>
      <c r="B2627" s="23"/>
      <c r="C2627" s="15"/>
      <c r="D2627" s="15"/>
      <c r="E2627" s="15"/>
      <c r="F2627" s="24"/>
      <c r="G2627" s="17"/>
      <c r="H2627" s="17"/>
      <c r="I2627" s="15"/>
      <c r="J2627" s="25">
        <f>IF($D2627="","",IFERROR(INDEX(PacNome,MATCH($D2627,PacCod,0)),"Paciente não cadastrado"))</f>
        <v>0</v>
      </c>
      <c r="K2627" s="26">
        <f>IF($D2627="","",IFERROR(INDEX(PacConv,MATCH($D2627,PacCod,0))&amp;"",""))</f>
        <v>0</v>
      </c>
      <c r="L2627" s="26">
        <f>IF($A2627="","",CHOOSE(WEEKDAY($A2627,2),"Seg","Ter","Qua","Qui","Sex","Sáb","Dom"))</f>
        <v>0</v>
      </c>
      <c r="M2627" s="27">
        <f>IF($E2627="","",IF($G2627&lt;&gt;"",$G2627,IFERROR(INDEX(ProcValor,MATCH($E2627,ProcNome,0)),0)))</f>
        <v>0</v>
      </c>
      <c r="N2627" s="27">
        <f>IF($M2627="","",IF($F2627="Compareceu",$M2627,0))</f>
        <v>0</v>
      </c>
      <c r="O2627" s="27">
        <f>IF($M2627="","",IF($F2627="Faltou",$M2627,0))</f>
        <v>0</v>
      </c>
      <c r="P2627" s="27">
        <f>IF($M2627="","",IF($F2627="Compareceu",MAX(0,$M2627-N($H2627)),0))</f>
        <v>0</v>
      </c>
      <c r="Q2627" s="19">
        <f>IF(AND($F2627="Compareceu",$E2627&lt;&gt;"",$A2627&lt;&gt;""),IF(IFERROR(INDEX(ProcRet,MATCH($E2627,ProcNome,0)),0)&gt;0,$A2627+INDEX(ProcRet,MATCH($E2627,ProcNome,0)),""),"")</f>
        <v>0</v>
      </c>
      <c r="R2627" s="26">
        <f>IF($Q2627="","",IF(COUNTIFS(AgPac,$D2627,AgData,"&gt;"&amp;$A2627,AgStatus,"&lt;&gt;Cancelado",AgStatus,"&lt;&gt;Remarcado")&gt;0,"Sim","Não"))</f>
        <v>0</v>
      </c>
      <c r="S2627" s="28">
        <f>IF($A2627="","",IF(AND($F2627="Agendado",$A2627-Hoje&gt;=0,$A2627-Hoje&lt;=DiasConf),"CONFIRMAR",IF(AND($A2627&lt;Hoje,OR($F2627="Agendado",$F2627="Confirmado")),"Atualizar status",IF(AND($F2627="Compareceu",$P2627&gt;0.005),"Cobrar",IF($F2627="Faltou","Falta: reagendar","")))))</f>
        <v>0</v>
      </c>
      <c r="T2627" s="29">
        <f>IF($A2627="","",DATE(YEAR($A2627),MONTH($A2627),1))</f>
        <v>0</v>
      </c>
      <c r="U2627" s="30">
        <f>IF($S2627="CONFIRMAR",MAX($U$4:$U2626)+1,"")</f>
        <v>0</v>
      </c>
      <c r="V2627" s="30">
        <f>IF(AND($R2627="Não",$Q2627&lt;&gt;"",$Q2627&lt;=Hoje+JanelaRet,$Q2627&gt;=Hoje-60),MAX($V$4:$V2626)+1,"")</f>
        <v>0</v>
      </c>
    </row>
    <row r="2628" spans="1:22">
      <c r="A2628" s="16"/>
      <c r="B2628" s="23"/>
      <c r="C2628" s="15"/>
      <c r="D2628" s="15"/>
      <c r="E2628" s="15"/>
      <c r="F2628" s="24"/>
      <c r="G2628" s="17"/>
      <c r="H2628" s="17"/>
      <c r="I2628" s="15"/>
      <c r="J2628" s="25">
        <f>IF($D2628="","",IFERROR(INDEX(PacNome,MATCH($D2628,PacCod,0)),"Paciente não cadastrado"))</f>
        <v>0</v>
      </c>
      <c r="K2628" s="26">
        <f>IF($D2628="","",IFERROR(INDEX(PacConv,MATCH($D2628,PacCod,0))&amp;"",""))</f>
        <v>0</v>
      </c>
      <c r="L2628" s="26">
        <f>IF($A2628="","",CHOOSE(WEEKDAY($A2628,2),"Seg","Ter","Qua","Qui","Sex","Sáb","Dom"))</f>
        <v>0</v>
      </c>
      <c r="M2628" s="27">
        <f>IF($E2628="","",IF($G2628&lt;&gt;"",$G2628,IFERROR(INDEX(ProcValor,MATCH($E2628,ProcNome,0)),0)))</f>
        <v>0</v>
      </c>
      <c r="N2628" s="27">
        <f>IF($M2628="","",IF($F2628="Compareceu",$M2628,0))</f>
        <v>0</v>
      </c>
      <c r="O2628" s="27">
        <f>IF($M2628="","",IF($F2628="Faltou",$M2628,0))</f>
        <v>0</v>
      </c>
      <c r="P2628" s="27">
        <f>IF($M2628="","",IF($F2628="Compareceu",MAX(0,$M2628-N($H2628)),0))</f>
        <v>0</v>
      </c>
      <c r="Q2628" s="19">
        <f>IF(AND($F2628="Compareceu",$E2628&lt;&gt;"",$A2628&lt;&gt;""),IF(IFERROR(INDEX(ProcRet,MATCH($E2628,ProcNome,0)),0)&gt;0,$A2628+INDEX(ProcRet,MATCH($E2628,ProcNome,0)),""),"")</f>
        <v>0</v>
      </c>
      <c r="R2628" s="26">
        <f>IF($Q2628="","",IF(COUNTIFS(AgPac,$D2628,AgData,"&gt;"&amp;$A2628,AgStatus,"&lt;&gt;Cancelado",AgStatus,"&lt;&gt;Remarcado")&gt;0,"Sim","Não"))</f>
        <v>0</v>
      </c>
      <c r="S2628" s="28">
        <f>IF($A2628="","",IF(AND($F2628="Agendado",$A2628-Hoje&gt;=0,$A2628-Hoje&lt;=DiasConf),"CONFIRMAR",IF(AND($A2628&lt;Hoje,OR($F2628="Agendado",$F2628="Confirmado")),"Atualizar status",IF(AND($F2628="Compareceu",$P2628&gt;0.005),"Cobrar",IF($F2628="Faltou","Falta: reagendar","")))))</f>
        <v>0</v>
      </c>
      <c r="T2628" s="29">
        <f>IF($A2628="","",DATE(YEAR($A2628),MONTH($A2628),1))</f>
        <v>0</v>
      </c>
      <c r="U2628" s="30">
        <f>IF($S2628="CONFIRMAR",MAX($U$4:$U2627)+1,"")</f>
        <v>0</v>
      </c>
      <c r="V2628" s="30">
        <f>IF(AND($R2628="Não",$Q2628&lt;&gt;"",$Q2628&lt;=Hoje+JanelaRet,$Q2628&gt;=Hoje-60),MAX($V$4:$V2627)+1,"")</f>
        <v>0</v>
      </c>
    </row>
    <row r="2629" spans="1:22">
      <c r="A2629" s="16"/>
      <c r="B2629" s="23"/>
      <c r="C2629" s="15"/>
      <c r="D2629" s="15"/>
      <c r="E2629" s="15"/>
      <c r="F2629" s="24"/>
      <c r="G2629" s="17"/>
      <c r="H2629" s="17"/>
      <c r="I2629" s="15"/>
      <c r="J2629" s="25">
        <f>IF($D2629="","",IFERROR(INDEX(PacNome,MATCH($D2629,PacCod,0)),"Paciente não cadastrado"))</f>
        <v>0</v>
      </c>
      <c r="K2629" s="26">
        <f>IF($D2629="","",IFERROR(INDEX(PacConv,MATCH($D2629,PacCod,0))&amp;"",""))</f>
        <v>0</v>
      </c>
      <c r="L2629" s="26">
        <f>IF($A2629="","",CHOOSE(WEEKDAY($A2629,2),"Seg","Ter","Qua","Qui","Sex","Sáb","Dom"))</f>
        <v>0</v>
      </c>
      <c r="M2629" s="27">
        <f>IF($E2629="","",IF($G2629&lt;&gt;"",$G2629,IFERROR(INDEX(ProcValor,MATCH($E2629,ProcNome,0)),0)))</f>
        <v>0</v>
      </c>
      <c r="N2629" s="27">
        <f>IF($M2629="","",IF($F2629="Compareceu",$M2629,0))</f>
        <v>0</v>
      </c>
      <c r="O2629" s="27">
        <f>IF($M2629="","",IF($F2629="Faltou",$M2629,0))</f>
        <v>0</v>
      </c>
      <c r="P2629" s="27">
        <f>IF($M2629="","",IF($F2629="Compareceu",MAX(0,$M2629-N($H2629)),0))</f>
        <v>0</v>
      </c>
      <c r="Q2629" s="19">
        <f>IF(AND($F2629="Compareceu",$E2629&lt;&gt;"",$A2629&lt;&gt;""),IF(IFERROR(INDEX(ProcRet,MATCH($E2629,ProcNome,0)),0)&gt;0,$A2629+INDEX(ProcRet,MATCH($E2629,ProcNome,0)),""),"")</f>
        <v>0</v>
      </c>
      <c r="R2629" s="26">
        <f>IF($Q2629="","",IF(COUNTIFS(AgPac,$D2629,AgData,"&gt;"&amp;$A2629,AgStatus,"&lt;&gt;Cancelado",AgStatus,"&lt;&gt;Remarcado")&gt;0,"Sim","Não"))</f>
        <v>0</v>
      </c>
      <c r="S2629" s="28">
        <f>IF($A2629="","",IF(AND($F2629="Agendado",$A2629-Hoje&gt;=0,$A2629-Hoje&lt;=DiasConf),"CONFIRMAR",IF(AND($A2629&lt;Hoje,OR($F2629="Agendado",$F2629="Confirmado")),"Atualizar status",IF(AND($F2629="Compareceu",$P2629&gt;0.005),"Cobrar",IF($F2629="Faltou","Falta: reagendar","")))))</f>
        <v>0</v>
      </c>
      <c r="T2629" s="29">
        <f>IF($A2629="","",DATE(YEAR($A2629),MONTH($A2629),1))</f>
        <v>0</v>
      </c>
      <c r="U2629" s="30">
        <f>IF($S2629="CONFIRMAR",MAX($U$4:$U2628)+1,"")</f>
        <v>0</v>
      </c>
      <c r="V2629" s="30">
        <f>IF(AND($R2629="Não",$Q2629&lt;&gt;"",$Q2629&lt;=Hoje+JanelaRet,$Q2629&gt;=Hoje-60),MAX($V$4:$V2628)+1,"")</f>
        <v>0</v>
      </c>
    </row>
    <row r="2630" spans="1:22">
      <c r="A2630" s="16"/>
      <c r="B2630" s="23"/>
      <c r="C2630" s="15"/>
      <c r="D2630" s="15"/>
      <c r="E2630" s="15"/>
      <c r="F2630" s="24"/>
      <c r="G2630" s="17"/>
      <c r="H2630" s="17"/>
      <c r="I2630" s="15"/>
      <c r="J2630" s="25">
        <f>IF($D2630="","",IFERROR(INDEX(PacNome,MATCH($D2630,PacCod,0)),"Paciente não cadastrado"))</f>
        <v>0</v>
      </c>
      <c r="K2630" s="26">
        <f>IF($D2630="","",IFERROR(INDEX(PacConv,MATCH($D2630,PacCod,0))&amp;"",""))</f>
        <v>0</v>
      </c>
      <c r="L2630" s="26">
        <f>IF($A2630="","",CHOOSE(WEEKDAY($A2630,2),"Seg","Ter","Qua","Qui","Sex","Sáb","Dom"))</f>
        <v>0</v>
      </c>
      <c r="M2630" s="27">
        <f>IF($E2630="","",IF($G2630&lt;&gt;"",$G2630,IFERROR(INDEX(ProcValor,MATCH($E2630,ProcNome,0)),0)))</f>
        <v>0</v>
      </c>
      <c r="N2630" s="27">
        <f>IF($M2630="","",IF($F2630="Compareceu",$M2630,0))</f>
        <v>0</v>
      </c>
      <c r="O2630" s="27">
        <f>IF($M2630="","",IF($F2630="Faltou",$M2630,0))</f>
        <v>0</v>
      </c>
      <c r="P2630" s="27">
        <f>IF($M2630="","",IF($F2630="Compareceu",MAX(0,$M2630-N($H2630)),0))</f>
        <v>0</v>
      </c>
      <c r="Q2630" s="19">
        <f>IF(AND($F2630="Compareceu",$E2630&lt;&gt;"",$A2630&lt;&gt;""),IF(IFERROR(INDEX(ProcRet,MATCH($E2630,ProcNome,0)),0)&gt;0,$A2630+INDEX(ProcRet,MATCH($E2630,ProcNome,0)),""),"")</f>
        <v>0</v>
      </c>
      <c r="R2630" s="26">
        <f>IF($Q2630="","",IF(COUNTIFS(AgPac,$D2630,AgData,"&gt;"&amp;$A2630,AgStatus,"&lt;&gt;Cancelado",AgStatus,"&lt;&gt;Remarcado")&gt;0,"Sim","Não"))</f>
        <v>0</v>
      </c>
      <c r="S2630" s="28">
        <f>IF($A2630="","",IF(AND($F2630="Agendado",$A2630-Hoje&gt;=0,$A2630-Hoje&lt;=DiasConf),"CONFIRMAR",IF(AND($A2630&lt;Hoje,OR($F2630="Agendado",$F2630="Confirmado")),"Atualizar status",IF(AND($F2630="Compareceu",$P2630&gt;0.005),"Cobrar",IF($F2630="Faltou","Falta: reagendar","")))))</f>
        <v>0</v>
      </c>
      <c r="T2630" s="29">
        <f>IF($A2630="","",DATE(YEAR($A2630),MONTH($A2630),1))</f>
        <v>0</v>
      </c>
      <c r="U2630" s="30">
        <f>IF($S2630="CONFIRMAR",MAX($U$4:$U2629)+1,"")</f>
        <v>0</v>
      </c>
      <c r="V2630" s="30">
        <f>IF(AND($R2630="Não",$Q2630&lt;&gt;"",$Q2630&lt;=Hoje+JanelaRet,$Q2630&gt;=Hoje-60),MAX($V$4:$V2629)+1,"")</f>
        <v>0</v>
      </c>
    </row>
    <row r="2631" spans="1:22">
      <c r="A2631" s="16"/>
      <c r="B2631" s="23"/>
      <c r="C2631" s="15"/>
      <c r="D2631" s="15"/>
      <c r="E2631" s="15"/>
      <c r="F2631" s="24"/>
      <c r="G2631" s="17"/>
      <c r="H2631" s="17"/>
      <c r="I2631" s="15"/>
      <c r="J2631" s="25">
        <f>IF($D2631="","",IFERROR(INDEX(PacNome,MATCH($D2631,PacCod,0)),"Paciente não cadastrado"))</f>
        <v>0</v>
      </c>
      <c r="K2631" s="26">
        <f>IF($D2631="","",IFERROR(INDEX(PacConv,MATCH($D2631,PacCod,0))&amp;"",""))</f>
        <v>0</v>
      </c>
      <c r="L2631" s="26">
        <f>IF($A2631="","",CHOOSE(WEEKDAY($A2631,2),"Seg","Ter","Qua","Qui","Sex","Sáb","Dom"))</f>
        <v>0</v>
      </c>
      <c r="M2631" s="27">
        <f>IF($E2631="","",IF($G2631&lt;&gt;"",$G2631,IFERROR(INDEX(ProcValor,MATCH($E2631,ProcNome,0)),0)))</f>
        <v>0</v>
      </c>
      <c r="N2631" s="27">
        <f>IF($M2631="","",IF($F2631="Compareceu",$M2631,0))</f>
        <v>0</v>
      </c>
      <c r="O2631" s="27">
        <f>IF($M2631="","",IF($F2631="Faltou",$M2631,0))</f>
        <v>0</v>
      </c>
      <c r="P2631" s="27">
        <f>IF($M2631="","",IF($F2631="Compareceu",MAX(0,$M2631-N($H2631)),0))</f>
        <v>0</v>
      </c>
      <c r="Q2631" s="19">
        <f>IF(AND($F2631="Compareceu",$E2631&lt;&gt;"",$A2631&lt;&gt;""),IF(IFERROR(INDEX(ProcRet,MATCH($E2631,ProcNome,0)),0)&gt;0,$A2631+INDEX(ProcRet,MATCH($E2631,ProcNome,0)),""),"")</f>
        <v>0</v>
      </c>
      <c r="R2631" s="26">
        <f>IF($Q2631="","",IF(COUNTIFS(AgPac,$D2631,AgData,"&gt;"&amp;$A2631,AgStatus,"&lt;&gt;Cancelado",AgStatus,"&lt;&gt;Remarcado")&gt;0,"Sim","Não"))</f>
        <v>0</v>
      </c>
      <c r="S2631" s="28">
        <f>IF($A2631="","",IF(AND($F2631="Agendado",$A2631-Hoje&gt;=0,$A2631-Hoje&lt;=DiasConf),"CONFIRMAR",IF(AND($A2631&lt;Hoje,OR($F2631="Agendado",$F2631="Confirmado")),"Atualizar status",IF(AND($F2631="Compareceu",$P2631&gt;0.005),"Cobrar",IF($F2631="Faltou","Falta: reagendar","")))))</f>
        <v>0</v>
      </c>
      <c r="T2631" s="29">
        <f>IF($A2631="","",DATE(YEAR($A2631),MONTH($A2631),1))</f>
        <v>0</v>
      </c>
      <c r="U2631" s="30">
        <f>IF($S2631="CONFIRMAR",MAX($U$4:$U2630)+1,"")</f>
        <v>0</v>
      </c>
      <c r="V2631" s="30">
        <f>IF(AND($R2631="Não",$Q2631&lt;&gt;"",$Q2631&lt;=Hoje+JanelaRet,$Q2631&gt;=Hoje-60),MAX($V$4:$V2630)+1,"")</f>
        <v>0</v>
      </c>
    </row>
    <row r="2632" spans="1:22">
      <c r="A2632" s="16"/>
      <c r="B2632" s="23"/>
      <c r="C2632" s="15"/>
      <c r="D2632" s="15"/>
      <c r="E2632" s="15"/>
      <c r="F2632" s="24"/>
      <c r="G2632" s="17"/>
      <c r="H2632" s="17"/>
      <c r="I2632" s="15"/>
      <c r="J2632" s="25">
        <f>IF($D2632="","",IFERROR(INDEX(PacNome,MATCH($D2632,PacCod,0)),"Paciente não cadastrado"))</f>
        <v>0</v>
      </c>
      <c r="K2632" s="26">
        <f>IF($D2632="","",IFERROR(INDEX(PacConv,MATCH($D2632,PacCod,0))&amp;"",""))</f>
        <v>0</v>
      </c>
      <c r="L2632" s="26">
        <f>IF($A2632="","",CHOOSE(WEEKDAY($A2632,2),"Seg","Ter","Qua","Qui","Sex","Sáb","Dom"))</f>
        <v>0</v>
      </c>
      <c r="M2632" s="27">
        <f>IF($E2632="","",IF($G2632&lt;&gt;"",$G2632,IFERROR(INDEX(ProcValor,MATCH($E2632,ProcNome,0)),0)))</f>
        <v>0</v>
      </c>
      <c r="N2632" s="27">
        <f>IF($M2632="","",IF($F2632="Compareceu",$M2632,0))</f>
        <v>0</v>
      </c>
      <c r="O2632" s="27">
        <f>IF($M2632="","",IF($F2632="Faltou",$M2632,0))</f>
        <v>0</v>
      </c>
      <c r="P2632" s="27">
        <f>IF($M2632="","",IF($F2632="Compareceu",MAX(0,$M2632-N($H2632)),0))</f>
        <v>0</v>
      </c>
      <c r="Q2632" s="19">
        <f>IF(AND($F2632="Compareceu",$E2632&lt;&gt;"",$A2632&lt;&gt;""),IF(IFERROR(INDEX(ProcRet,MATCH($E2632,ProcNome,0)),0)&gt;0,$A2632+INDEX(ProcRet,MATCH($E2632,ProcNome,0)),""),"")</f>
        <v>0</v>
      </c>
      <c r="R2632" s="26">
        <f>IF($Q2632="","",IF(COUNTIFS(AgPac,$D2632,AgData,"&gt;"&amp;$A2632,AgStatus,"&lt;&gt;Cancelado",AgStatus,"&lt;&gt;Remarcado")&gt;0,"Sim","Não"))</f>
        <v>0</v>
      </c>
      <c r="S2632" s="28">
        <f>IF($A2632="","",IF(AND($F2632="Agendado",$A2632-Hoje&gt;=0,$A2632-Hoje&lt;=DiasConf),"CONFIRMAR",IF(AND($A2632&lt;Hoje,OR($F2632="Agendado",$F2632="Confirmado")),"Atualizar status",IF(AND($F2632="Compareceu",$P2632&gt;0.005),"Cobrar",IF($F2632="Faltou","Falta: reagendar","")))))</f>
        <v>0</v>
      </c>
      <c r="T2632" s="29">
        <f>IF($A2632="","",DATE(YEAR($A2632),MONTH($A2632),1))</f>
        <v>0</v>
      </c>
      <c r="U2632" s="30">
        <f>IF($S2632="CONFIRMAR",MAX($U$4:$U2631)+1,"")</f>
        <v>0</v>
      </c>
      <c r="V2632" s="30">
        <f>IF(AND($R2632="Não",$Q2632&lt;&gt;"",$Q2632&lt;=Hoje+JanelaRet,$Q2632&gt;=Hoje-60),MAX($V$4:$V2631)+1,"")</f>
        <v>0</v>
      </c>
    </row>
    <row r="2633" spans="1:22">
      <c r="A2633" s="16"/>
      <c r="B2633" s="23"/>
      <c r="C2633" s="15"/>
      <c r="D2633" s="15"/>
      <c r="E2633" s="15"/>
      <c r="F2633" s="24"/>
      <c r="G2633" s="17"/>
      <c r="H2633" s="17"/>
      <c r="I2633" s="15"/>
      <c r="J2633" s="25">
        <f>IF($D2633="","",IFERROR(INDEX(PacNome,MATCH($D2633,PacCod,0)),"Paciente não cadastrado"))</f>
        <v>0</v>
      </c>
      <c r="K2633" s="26">
        <f>IF($D2633="","",IFERROR(INDEX(PacConv,MATCH($D2633,PacCod,0))&amp;"",""))</f>
        <v>0</v>
      </c>
      <c r="L2633" s="26">
        <f>IF($A2633="","",CHOOSE(WEEKDAY($A2633,2),"Seg","Ter","Qua","Qui","Sex","Sáb","Dom"))</f>
        <v>0</v>
      </c>
      <c r="M2633" s="27">
        <f>IF($E2633="","",IF($G2633&lt;&gt;"",$G2633,IFERROR(INDEX(ProcValor,MATCH($E2633,ProcNome,0)),0)))</f>
        <v>0</v>
      </c>
      <c r="N2633" s="27">
        <f>IF($M2633="","",IF($F2633="Compareceu",$M2633,0))</f>
        <v>0</v>
      </c>
      <c r="O2633" s="27">
        <f>IF($M2633="","",IF($F2633="Faltou",$M2633,0))</f>
        <v>0</v>
      </c>
      <c r="P2633" s="27">
        <f>IF($M2633="","",IF($F2633="Compareceu",MAX(0,$M2633-N($H2633)),0))</f>
        <v>0</v>
      </c>
      <c r="Q2633" s="19">
        <f>IF(AND($F2633="Compareceu",$E2633&lt;&gt;"",$A2633&lt;&gt;""),IF(IFERROR(INDEX(ProcRet,MATCH($E2633,ProcNome,0)),0)&gt;0,$A2633+INDEX(ProcRet,MATCH($E2633,ProcNome,0)),""),"")</f>
        <v>0</v>
      </c>
      <c r="R2633" s="26">
        <f>IF($Q2633="","",IF(COUNTIFS(AgPac,$D2633,AgData,"&gt;"&amp;$A2633,AgStatus,"&lt;&gt;Cancelado",AgStatus,"&lt;&gt;Remarcado")&gt;0,"Sim","Não"))</f>
        <v>0</v>
      </c>
      <c r="S2633" s="28">
        <f>IF($A2633="","",IF(AND($F2633="Agendado",$A2633-Hoje&gt;=0,$A2633-Hoje&lt;=DiasConf),"CONFIRMAR",IF(AND($A2633&lt;Hoje,OR($F2633="Agendado",$F2633="Confirmado")),"Atualizar status",IF(AND($F2633="Compareceu",$P2633&gt;0.005),"Cobrar",IF($F2633="Faltou","Falta: reagendar","")))))</f>
        <v>0</v>
      </c>
      <c r="T2633" s="29">
        <f>IF($A2633="","",DATE(YEAR($A2633),MONTH($A2633),1))</f>
        <v>0</v>
      </c>
      <c r="U2633" s="30">
        <f>IF($S2633="CONFIRMAR",MAX($U$4:$U2632)+1,"")</f>
        <v>0</v>
      </c>
      <c r="V2633" s="30">
        <f>IF(AND($R2633="Não",$Q2633&lt;&gt;"",$Q2633&lt;=Hoje+JanelaRet,$Q2633&gt;=Hoje-60),MAX($V$4:$V2632)+1,"")</f>
        <v>0</v>
      </c>
    </row>
    <row r="2634" spans="1:22">
      <c r="A2634" s="16"/>
      <c r="B2634" s="23"/>
      <c r="C2634" s="15"/>
      <c r="D2634" s="15"/>
      <c r="E2634" s="15"/>
      <c r="F2634" s="24"/>
      <c r="G2634" s="17"/>
      <c r="H2634" s="17"/>
      <c r="I2634" s="15"/>
      <c r="J2634" s="25">
        <f>IF($D2634="","",IFERROR(INDEX(PacNome,MATCH($D2634,PacCod,0)),"Paciente não cadastrado"))</f>
        <v>0</v>
      </c>
      <c r="K2634" s="26">
        <f>IF($D2634="","",IFERROR(INDEX(PacConv,MATCH($D2634,PacCod,0))&amp;"",""))</f>
        <v>0</v>
      </c>
      <c r="L2634" s="26">
        <f>IF($A2634="","",CHOOSE(WEEKDAY($A2634,2),"Seg","Ter","Qua","Qui","Sex","Sáb","Dom"))</f>
        <v>0</v>
      </c>
      <c r="M2634" s="27">
        <f>IF($E2634="","",IF($G2634&lt;&gt;"",$G2634,IFERROR(INDEX(ProcValor,MATCH($E2634,ProcNome,0)),0)))</f>
        <v>0</v>
      </c>
      <c r="N2634" s="27">
        <f>IF($M2634="","",IF($F2634="Compareceu",$M2634,0))</f>
        <v>0</v>
      </c>
      <c r="O2634" s="27">
        <f>IF($M2634="","",IF($F2634="Faltou",$M2634,0))</f>
        <v>0</v>
      </c>
      <c r="P2634" s="27">
        <f>IF($M2634="","",IF($F2634="Compareceu",MAX(0,$M2634-N($H2634)),0))</f>
        <v>0</v>
      </c>
      <c r="Q2634" s="19">
        <f>IF(AND($F2634="Compareceu",$E2634&lt;&gt;"",$A2634&lt;&gt;""),IF(IFERROR(INDEX(ProcRet,MATCH($E2634,ProcNome,0)),0)&gt;0,$A2634+INDEX(ProcRet,MATCH($E2634,ProcNome,0)),""),"")</f>
        <v>0</v>
      </c>
      <c r="R2634" s="26">
        <f>IF($Q2634="","",IF(COUNTIFS(AgPac,$D2634,AgData,"&gt;"&amp;$A2634,AgStatus,"&lt;&gt;Cancelado",AgStatus,"&lt;&gt;Remarcado")&gt;0,"Sim","Não"))</f>
        <v>0</v>
      </c>
      <c r="S2634" s="28">
        <f>IF($A2634="","",IF(AND($F2634="Agendado",$A2634-Hoje&gt;=0,$A2634-Hoje&lt;=DiasConf),"CONFIRMAR",IF(AND($A2634&lt;Hoje,OR($F2634="Agendado",$F2634="Confirmado")),"Atualizar status",IF(AND($F2634="Compareceu",$P2634&gt;0.005),"Cobrar",IF($F2634="Faltou","Falta: reagendar","")))))</f>
        <v>0</v>
      </c>
      <c r="T2634" s="29">
        <f>IF($A2634="","",DATE(YEAR($A2634),MONTH($A2634),1))</f>
        <v>0</v>
      </c>
      <c r="U2634" s="30">
        <f>IF($S2634="CONFIRMAR",MAX($U$4:$U2633)+1,"")</f>
        <v>0</v>
      </c>
      <c r="V2634" s="30">
        <f>IF(AND($R2634="Não",$Q2634&lt;&gt;"",$Q2634&lt;=Hoje+JanelaRet,$Q2634&gt;=Hoje-60),MAX($V$4:$V2633)+1,"")</f>
        <v>0</v>
      </c>
    </row>
    <row r="2635" spans="1:22">
      <c r="A2635" s="16"/>
      <c r="B2635" s="23"/>
      <c r="C2635" s="15"/>
      <c r="D2635" s="15"/>
      <c r="E2635" s="15"/>
      <c r="F2635" s="24"/>
      <c r="G2635" s="17"/>
      <c r="H2635" s="17"/>
      <c r="I2635" s="15"/>
      <c r="J2635" s="25">
        <f>IF($D2635="","",IFERROR(INDEX(PacNome,MATCH($D2635,PacCod,0)),"Paciente não cadastrado"))</f>
        <v>0</v>
      </c>
      <c r="K2635" s="26">
        <f>IF($D2635="","",IFERROR(INDEX(PacConv,MATCH($D2635,PacCod,0))&amp;"",""))</f>
        <v>0</v>
      </c>
      <c r="L2635" s="26">
        <f>IF($A2635="","",CHOOSE(WEEKDAY($A2635,2),"Seg","Ter","Qua","Qui","Sex","Sáb","Dom"))</f>
        <v>0</v>
      </c>
      <c r="M2635" s="27">
        <f>IF($E2635="","",IF($G2635&lt;&gt;"",$G2635,IFERROR(INDEX(ProcValor,MATCH($E2635,ProcNome,0)),0)))</f>
        <v>0</v>
      </c>
      <c r="N2635" s="27">
        <f>IF($M2635="","",IF($F2635="Compareceu",$M2635,0))</f>
        <v>0</v>
      </c>
      <c r="O2635" s="27">
        <f>IF($M2635="","",IF($F2635="Faltou",$M2635,0))</f>
        <v>0</v>
      </c>
      <c r="P2635" s="27">
        <f>IF($M2635="","",IF($F2635="Compareceu",MAX(0,$M2635-N($H2635)),0))</f>
        <v>0</v>
      </c>
      <c r="Q2635" s="19">
        <f>IF(AND($F2635="Compareceu",$E2635&lt;&gt;"",$A2635&lt;&gt;""),IF(IFERROR(INDEX(ProcRet,MATCH($E2635,ProcNome,0)),0)&gt;0,$A2635+INDEX(ProcRet,MATCH($E2635,ProcNome,0)),""),"")</f>
        <v>0</v>
      </c>
      <c r="R2635" s="26">
        <f>IF($Q2635="","",IF(COUNTIFS(AgPac,$D2635,AgData,"&gt;"&amp;$A2635,AgStatus,"&lt;&gt;Cancelado",AgStatus,"&lt;&gt;Remarcado")&gt;0,"Sim","Não"))</f>
        <v>0</v>
      </c>
      <c r="S2635" s="28">
        <f>IF($A2635="","",IF(AND($F2635="Agendado",$A2635-Hoje&gt;=0,$A2635-Hoje&lt;=DiasConf),"CONFIRMAR",IF(AND($A2635&lt;Hoje,OR($F2635="Agendado",$F2635="Confirmado")),"Atualizar status",IF(AND($F2635="Compareceu",$P2635&gt;0.005),"Cobrar",IF($F2635="Faltou","Falta: reagendar","")))))</f>
        <v>0</v>
      </c>
      <c r="T2635" s="29">
        <f>IF($A2635="","",DATE(YEAR($A2635),MONTH($A2635),1))</f>
        <v>0</v>
      </c>
      <c r="U2635" s="30">
        <f>IF($S2635="CONFIRMAR",MAX($U$4:$U2634)+1,"")</f>
        <v>0</v>
      </c>
      <c r="V2635" s="30">
        <f>IF(AND($R2635="Não",$Q2635&lt;&gt;"",$Q2635&lt;=Hoje+JanelaRet,$Q2635&gt;=Hoje-60),MAX($V$4:$V2634)+1,"")</f>
        <v>0</v>
      </c>
    </row>
    <row r="2636" spans="1:22">
      <c r="A2636" s="16"/>
      <c r="B2636" s="23"/>
      <c r="C2636" s="15"/>
      <c r="D2636" s="15"/>
      <c r="E2636" s="15"/>
      <c r="F2636" s="24"/>
      <c r="G2636" s="17"/>
      <c r="H2636" s="17"/>
      <c r="I2636" s="15"/>
      <c r="J2636" s="25">
        <f>IF($D2636="","",IFERROR(INDEX(PacNome,MATCH($D2636,PacCod,0)),"Paciente não cadastrado"))</f>
        <v>0</v>
      </c>
      <c r="K2636" s="26">
        <f>IF($D2636="","",IFERROR(INDEX(PacConv,MATCH($D2636,PacCod,0))&amp;"",""))</f>
        <v>0</v>
      </c>
      <c r="L2636" s="26">
        <f>IF($A2636="","",CHOOSE(WEEKDAY($A2636,2),"Seg","Ter","Qua","Qui","Sex","Sáb","Dom"))</f>
        <v>0</v>
      </c>
      <c r="M2636" s="27">
        <f>IF($E2636="","",IF($G2636&lt;&gt;"",$G2636,IFERROR(INDEX(ProcValor,MATCH($E2636,ProcNome,0)),0)))</f>
        <v>0</v>
      </c>
      <c r="N2636" s="27">
        <f>IF($M2636="","",IF($F2636="Compareceu",$M2636,0))</f>
        <v>0</v>
      </c>
      <c r="O2636" s="27">
        <f>IF($M2636="","",IF($F2636="Faltou",$M2636,0))</f>
        <v>0</v>
      </c>
      <c r="P2636" s="27">
        <f>IF($M2636="","",IF($F2636="Compareceu",MAX(0,$M2636-N($H2636)),0))</f>
        <v>0</v>
      </c>
      <c r="Q2636" s="19">
        <f>IF(AND($F2636="Compareceu",$E2636&lt;&gt;"",$A2636&lt;&gt;""),IF(IFERROR(INDEX(ProcRet,MATCH($E2636,ProcNome,0)),0)&gt;0,$A2636+INDEX(ProcRet,MATCH($E2636,ProcNome,0)),""),"")</f>
        <v>0</v>
      </c>
      <c r="R2636" s="26">
        <f>IF($Q2636="","",IF(COUNTIFS(AgPac,$D2636,AgData,"&gt;"&amp;$A2636,AgStatus,"&lt;&gt;Cancelado",AgStatus,"&lt;&gt;Remarcado")&gt;0,"Sim","Não"))</f>
        <v>0</v>
      </c>
      <c r="S2636" s="28">
        <f>IF($A2636="","",IF(AND($F2636="Agendado",$A2636-Hoje&gt;=0,$A2636-Hoje&lt;=DiasConf),"CONFIRMAR",IF(AND($A2636&lt;Hoje,OR($F2636="Agendado",$F2636="Confirmado")),"Atualizar status",IF(AND($F2636="Compareceu",$P2636&gt;0.005),"Cobrar",IF($F2636="Faltou","Falta: reagendar","")))))</f>
        <v>0</v>
      </c>
      <c r="T2636" s="29">
        <f>IF($A2636="","",DATE(YEAR($A2636),MONTH($A2636),1))</f>
        <v>0</v>
      </c>
      <c r="U2636" s="30">
        <f>IF($S2636="CONFIRMAR",MAX($U$4:$U2635)+1,"")</f>
        <v>0</v>
      </c>
      <c r="V2636" s="30">
        <f>IF(AND($R2636="Não",$Q2636&lt;&gt;"",$Q2636&lt;=Hoje+JanelaRet,$Q2636&gt;=Hoje-60),MAX($V$4:$V2635)+1,"")</f>
        <v>0</v>
      </c>
    </row>
    <row r="2637" spans="1:22">
      <c r="A2637" s="16"/>
      <c r="B2637" s="23"/>
      <c r="C2637" s="15"/>
      <c r="D2637" s="15"/>
      <c r="E2637" s="15"/>
      <c r="F2637" s="24"/>
      <c r="G2637" s="17"/>
      <c r="H2637" s="17"/>
      <c r="I2637" s="15"/>
      <c r="J2637" s="25">
        <f>IF($D2637="","",IFERROR(INDEX(PacNome,MATCH($D2637,PacCod,0)),"Paciente não cadastrado"))</f>
        <v>0</v>
      </c>
      <c r="K2637" s="26">
        <f>IF($D2637="","",IFERROR(INDEX(PacConv,MATCH($D2637,PacCod,0))&amp;"",""))</f>
        <v>0</v>
      </c>
      <c r="L2637" s="26">
        <f>IF($A2637="","",CHOOSE(WEEKDAY($A2637,2),"Seg","Ter","Qua","Qui","Sex","Sáb","Dom"))</f>
        <v>0</v>
      </c>
      <c r="M2637" s="27">
        <f>IF($E2637="","",IF($G2637&lt;&gt;"",$G2637,IFERROR(INDEX(ProcValor,MATCH($E2637,ProcNome,0)),0)))</f>
        <v>0</v>
      </c>
      <c r="N2637" s="27">
        <f>IF($M2637="","",IF($F2637="Compareceu",$M2637,0))</f>
        <v>0</v>
      </c>
      <c r="O2637" s="27">
        <f>IF($M2637="","",IF($F2637="Faltou",$M2637,0))</f>
        <v>0</v>
      </c>
      <c r="P2637" s="27">
        <f>IF($M2637="","",IF($F2637="Compareceu",MAX(0,$M2637-N($H2637)),0))</f>
        <v>0</v>
      </c>
      <c r="Q2637" s="19">
        <f>IF(AND($F2637="Compareceu",$E2637&lt;&gt;"",$A2637&lt;&gt;""),IF(IFERROR(INDEX(ProcRet,MATCH($E2637,ProcNome,0)),0)&gt;0,$A2637+INDEX(ProcRet,MATCH($E2637,ProcNome,0)),""),"")</f>
        <v>0</v>
      </c>
      <c r="R2637" s="26">
        <f>IF($Q2637="","",IF(COUNTIFS(AgPac,$D2637,AgData,"&gt;"&amp;$A2637,AgStatus,"&lt;&gt;Cancelado",AgStatus,"&lt;&gt;Remarcado")&gt;0,"Sim","Não"))</f>
        <v>0</v>
      </c>
      <c r="S2637" s="28">
        <f>IF($A2637="","",IF(AND($F2637="Agendado",$A2637-Hoje&gt;=0,$A2637-Hoje&lt;=DiasConf),"CONFIRMAR",IF(AND($A2637&lt;Hoje,OR($F2637="Agendado",$F2637="Confirmado")),"Atualizar status",IF(AND($F2637="Compareceu",$P2637&gt;0.005),"Cobrar",IF($F2637="Faltou","Falta: reagendar","")))))</f>
        <v>0</v>
      </c>
      <c r="T2637" s="29">
        <f>IF($A2637="","",DATE(YEAR($A2637),MONTH($A2637),1))</f>
        <v>0</v>
      </c>
      <c r="U2637" s="30">
        <f>IF($S2637="CONFIRMAR",MAX($U$4:$U2636)+1,"")</f>
        <v>0</v>
      </c>
      <c r="V2637" s="30">
        <f>IF(AND($R2637="Não",$Q2637&lt;&gt;"",$Q2637&lt;=Hoje+JanelaRet,$Q2637&gt;=Hoje-60),MAX($V$4:$V2636)+1,"")</f>
        <v>0</v>
      </c>
    </row>
    <row r="2638" spans="1:22">
      <c r="A2638" s="16"/>
      <c r="B2638" s="23"/>
      <c r="C2638" s="15"/>
      <c r="D2638" s="15"/>
      <c r="E2638" s="15"/>
      <c r="F2638" s="24"/>
      <c r="G2638" s="17"/>
      <c r="H2638" s="17"/>
      <c r="I2638" s="15"/>
      <c r="J2638" s="25">
        <f>IF($D2638="","",IFERROR(INDEX(PacNome,MATCH($D2638,PacCod,0)),"Paciente não cadastrado"))</f>
        <v>0</v>
      </c>
      <c r="K2638" s="26">
        <f>IF($D2638="","",IFERROR(INDEX(PacConv,MATCH($D2638,PacCod,0))&amp;"",""))</f>
        <v>0</v>
      </c>
      <c r="L2638" s="26">
        <f>IF($A2638="","",CHOOSE(WEEKDAY($A2638,2),"Seg","Ter","Qua","Qui","Sex","Sáb","Dom"))</f>
        <v>0</v>
      </c>
      <c r="M2638" s="27">
        <f>IF($E2638="","",IF($G2638&lt;&gt;"",$G2638,IFERROR(INDEX(ProcValor,MATCH($E2638,ProcNome,0)),0)))</f>
        <v>0</v>
      </c>
      <c r="N2638" s="27">
        <f>IF($M2638="","",IF($F2638="Compareceu",$M2638,0))</f>
        <v>0</v>
      </c>
      <c r="O2638" s="27">
        <f>IF($M2638="","",IF($F2638="Faltou",$M2638,0))</f>
        <v>0</v>
      </c>
      <c r="P2638" s="27">
        <f>IF($M2638="","",IF($F2638="Compareceu",MAX(0,$M2638-N($H2638)),0))</f>
        <v>0</v>
      </c>
      <c r="Q2638" s="19">
        <f>IF(AND($F2638="Compareceu",$E2638&lt;&gt;"",$A2638&lt;&gt;""),IF(IFERROR(INDEX(ProcRet,MATCH($E2638,ProcNome,0)),0)&gt;0,$A2638+INDEX(ProcRet,MATCH($E2638,ProcNome,0)),""),"")</f>
        <v>0</v>
      </c>
      <c r="R2638" s="26">
        <f>IF($Q2638="","",IF(COUNTIFS(AgPac,$D2638,AgData,"&gt;"&amp;$A2638,AgStatus,"&lt;&gt;Cancelado",AgStatus,"&lt;&gt;Remarcado")&gt;0,"Sim","Não"))</f>
        <v>0</v>
      </c>
      <c r="S2638" s="28">
        <f>IF($A2638="","",IF(AND($F2638="Agendado",$A2638-Hoje&gt;=0,$A2638-Hoje&lt;=DiasConf),"CONFIRMAR",IF(AND($A2638&lt;Hoje,OR($F2638="Agendado",$F2638="Confirmado")),"Atualizar status",IF(AND($F2638="Compareceu",$P2638&gt;0.005),"Cobrar",IF($F2638="Faltou","Falta: reagendar","")))))</f>
        <v>0</v>
      </c>
      <c r="T2638" s="29">
        <f>IF($A2638="","",DATE(YEAR($A2638),MONTH($A2638),1))</f>
        <v>0</v>
      </c>
      <c r="U2638" s="30">
        <f>IF($S2638="CONFIRMAR",MAX($U$4:$U2637)+1,"")</f>
        <v>0</v>
      </c>
      <c r="V2638" s="30">
        <f>IF(AND($R2638="Não",$Q2638&lt;&gt;"",$Q2638&lt;=Hoje+JanelaRet,$Q2638&gt;=Hoje-60),MAX($V$4:$V2637)+1,"")</f>
        <v>0</v>
      </c>
    </row>
    <row r="2639" spans="1:22">
      <c r="A2639" s="16"/>
      <c r="B2639" s="23"/>
      <c r="C2639" s="15"/>
      <c r="D2639" s="15"/>
      <c r="E2639" s="15"/>
      <c r="F2639" s="24"/>
      <c r="G2639" s="17"/>
      <c r="H2639" s="17"/>
      <c r="I2639" s="15"/>
      <c r="J2639" s="25">
        <f>IF($D2639="","",IFERROR(INDEX(PacNome,MATCH($D2639,PacCod,0)),"Paciente não cadastrado"))</f>
        <v>0</v>
      </c>
      <c r="K2639" s="26">
        <f>IF($D2639="","",IFERROR(INDEX(PacConv,MATCH($D2639,PacCod,0))&amp;"",""))</f>
        <v>0</v>
      </c>
      <c r="L2639" s="26">
        <f>IF($A2639="","",CHOOSE(WEEKDAY($A2639,2),"Seg","Ter","Qua","Qui","Sex","Sáb","Dom"))</f>
        <v>0</v>
      </c>
      <c r="M2639" s="27">
        <f>IF($E2639="","",IF($G2639&lt;&gt;"",$G2639,IFERROR(INDEX(ProcValor,MATCH($E2639,ProcNome,0)),0)))</f>
        <v>0</v>
      </c>
      <c r="N2639" s="27">
        <f>IF($M2639="","",IF($F2639="Compareceu",$M2639,0))</f>
        <v>0</v>
      </c>
      <c r="O2639" s="27">
        <f>IF($M2639="","",IF($F2639="Faltou",$M2639,0))</f>
        <v>0</v>
      </c>
      <c r="P2639" s="27">
        <f>IF($M2639="","",IF($F2639="Compareceu",MAX(0,$M2639-N($H2639)),0))</f>
        <v>0</v>
      </c>
      <c r="Q2639" s="19">
        <f>IF(AND($F2639="Compareceu",$E2639&lt;&gt;"",$A2639&lt;&gt;""),IF(IFERROR(INDEX(ProcRet,MATCH($E2639,ProcNome,0)),0)&gt;0,$A2639+INDEX(ProcRet,MATCH($E2639,ProcNome,0)),""),"")</f>
        <v>0</v>
      </c>
      <c r="R2639" s="26">
        <f>IF($Q2639="","",IF(COUNTIFS(AgPac,$D2639,AgData,"&gt;"&amp;$A2639,AgStatus,"&lt;&gt;Cancelado",AgStatus,"&lt;&gt;Remarcado")&gt;0,"Sim","Não"))</f>
        <v>0</v>
      </c>
      <c r="S2639" s="28">
        <f>IF($A2639="","",IF(AND($F2639="Agendado",$A2639-Hoje&gt;=0,$A2639-Hoje&lt;=DiasConf),"CONFIRMAR",IF(AND($A2639&lt;Hoje,OR($F2639="Agendado",$F2639="Confirmado")),"Atualizar status",IF(AND($F2639="Compareceu",$P2639&gt;0.005),"Cobrar",IF($F2639="Faltou","Falta: reagendar","")))))</f>
        <v>0</v>
      </c>
      <c r="T2639" s="29">
        <f>IF($A2639="","",DATE(YEAR($A2639),MONTH($A2639),1))</f>
        <v>0</v>
      </c>
      <c r="U2639" s="30">
        <f>IF($S2639="CONFIRMAR",MAX($U$4:$U2638)+1,"")</f>
        <v>0</v>
      </c>
      <c r="V2639" s="30">
        <f>IF(AND($R2639="Não",$Q2639&lt;&gt;"",$Q2639&lt;=Hoje+JanelaRet,$Q2639&gt;=Hoje-60),MAX($V$4:$V2638)+1,"")</f>
        <v>0</v>
      </c>
    </row>
    <row r="2640" spans="1:22">
      <c r="A2640" s="16"/>
      <c r="B2640" s="23"/>
      <c r="C2640" s="15"/>
      <c r="D2640" s="15"/>
      <c r="E2640" s="15"/>
      <c r="F2640" s="24"/>
      <c r="G2640" s="17"/>
      <c r="H2640" s="17"/>
      <c r="I2640" s="15"/>
      <c r="J2640" s="25">
        <f>IF($D2640="","",IFERROR(INDEX(PacNome,MATCH($D2640,PacCod,0)),"Paciente não cadastrado"))</f>
        <v>0</v>
      </c>
      <c r="K2640" s="26">
        <f>IF($D2640="","",IFERROR(INDEX(PacConv,MATCH($D2640,PacCod,0))&amp;"",""))</f>
        <v>0</v>
      </c>
      <c r="L2640" s="26">
        <f>IF($A2640="","",CHOOSE(WEEKDAY($A2640,2),"Seg","Ter","Qua","Qui","Sex","Sáb","Dom"))</f>
        <v>0</v>
      </c>
      <c r="M2640" s="27">
        <f>IF($E2640="","",IF($G2640&lt;&gt;"",$G2640,IFERROR(INDEX(ProcValor,MATCH($E2640,ProcNome,0)),0)))</f>
        <v>0</v>
      </c>
      <c r="N2640" s="27">
        <f>IF($M2640="","",IF($F2640="Compareceu",$M2640,0))</f>
        <v>0</v>
      </c>
      <c r="O2640" s="27">
        <f>IF($M2640="","",IF($F2640="Faltou",$M2640,0))</f>
        <v>0</v>
      </c>
      <c r="P2640" s="27">
        <f>IF($M2640="","",IF($F2640="Compareceu",MAX(0,$M2640-N($H2640)),0))</f>
        <v>0</v>
      </c>
      <c r="Q2640" s="19">
        <f>IF(AND($F2640="Compareceu",$E2640&lt;&gt;"",$A2640&lt;&gt;""),IF(IFERROR(INDEX(ProcRet,MATCH($E2640,ProcNome,0)),0)&gt;0,$A2640+INDEX(ProcRet,MATCH($E2640,ProcNome,0)),""),"")</f>
        <v>0</v>
      </c>
      <c r="R2640" s="26">
        <f>IF($Q2640="","",IF(COUNTIFS(AgPac,$D2640,AgData,"&gt;"&amp;$A2640,AgStatus,"&lt;&gt;Cancelado",AgStatus,"&lt;&gt;Remarcado")&gt;0,"Sim","Não"))</f>
        <v>0</v>
      </c>
      <c r="S2640" s="28">
        <f>IF($A2640="","",IF(AND($F2640="Agendado",$A2640-Hoje&gt;=0,$A2640-Hoje&lt;=DiasConf),"CONFIRMAR",IF(AND($A2640&lt;Hoje,OR($F2640="Agendado",$F2640="Confirmado")),"Atualizar status",IF(AND($F2640="Compareceu",$P2640&gt;0.005),"Cobrar",IF($F2640="Faltou","Falta: reagendar","")))))</f>
        <v>0</v>
      </c>
      <c r="T2640" s="29">
        <f>IF($A2640="","",DATE(YEAR($A2640),MONTH($A2640),1))</f>
        <v>0</v>
      </c>
      <c r="U2640" s="30">
        <f>IF($S2640="CONFIRMAR",MAX($U$4:$U2639)+1,"")</f>
        <v>0</v>
      </c>
      <c r="V2640" s="30">
        <f>IF(AND($R2640="Não",$Q2640&lt;&gt;"",$Q2640&lt;=Hoje+JanelaRet,$Q2640&gt;=Hoje-60),MAX($V$4:$V2639)+1,"")</f>
        <v>0</v>
      </c>
    </row>
    <row r="2641" spans="1:22">
      <c r="A2641" s="16"/>
      <c r="B2641" s="23"/>
      <c r="C2641" s="15"/>
      <c r="D2641" s="15"/>
      <c r="E2641" s="15"/>
      <c r="F2641" s="24"/>
      <c r="G2641" s="17"/>
      <c r="H2641" s="17"/>
      <c r="I2641" s="15"/>
      <c r="J2641" s="25">
        <f>IF($D2641="","",IFERROR(INDEX(PacNome,MATCH($D2641,PacCod,0)),"Paciente não cadastrado"))</f>
        <v>0</v>
      </c>
      <c r="K2641" s="26">
        <f>IF($D2641="","",IFERROR(INDEX(PacConv,MATCH($D2641,PacCod,0))&amp;"",""))</f>
        <v>0</v>
      </c>
      <c r="L2641" s="26">
        <f>IF($A2641="","",CHOOSE(WEEKDAY($A2641,2),"Seg","Ter","Qua","Qui","Sex","Sáb","Dom"))</f>
        <v>0</v>
      </c>
      <c r="M2641" s="27">
        <f>IF($E2641="","",IF($G2641&lt;&gt;"",$G2641,IFERROR(INDEX(ProcValor,MATCH($E2641,ProcNome,0)),0)))</f>
        <v>0</v>
      </c>
      <c r="N2641" s="27">
        <f>IF($M2641="","",IF($F2641="Compareceu",$M2641,0))</f>
        <v>0</v>
      </c>
      <c r="O2641" s="27">
        <f>IF($M2641="","",IF($F2641="Faltou",$M2641,0))</f>
        <v>0</v>
      </c>
      <c r="P2641" s="27">
        <f>IF($M2641="","",IF($F2641="Compareceu",MAX(0,$M2641-N($H2641)),0))</f>
        <v>0</v>
      </c>
      <c r="Q2641" s="19">
        <f>IF(AND($F2641="Compareceu",$E2641&lt;&gt;"",$A2641&lt;&gt;""),IF(IFERROR(INDEX(ProcRet,MATCH($E2641,ProcNome,0)),0)&gt;0,$A2641+INDEX(ProcRet,MATCH($E2641,ProcNome,0)),""),"")</f>
        <v>0</v>
      </c>
      <c r="R2641" s="26">
        <f>IF($Q2641="","",IF(COUNTIFS(AgPac,$D2641,AgData,"&gt;"&amp;$A2641,AgStatus,"&lt;&gt;Cancelado",AgStatus,"&lt;&gt;Remarcado")&gt;0,"Sim","Não"))</f>
        <v>0</v>
      </c>
      <c r="S2641" s="28">
        <f>IF($A2641="","",IF(AND($F2641="Agendado",$A2641-Hoje&gt;=0,$A2641-Hoje&lt;=DiasConf),"CONFIRMAR",IF(AND($A2641&lt;Hoje,OR($F2641="Agendado",$F2641="Confirmado")),"Atualizar status",IF(AND($F2641="Compareceu",$P2641&gt;0.005),"Cobrar",IF($F2641="Faltou","Falta: reagendar","")))))</f>
        <v>0</v>
      </c>
      <c r="T2641" s="29">
        <f>IF($A2641="","",DATE(YEAR($A2641),MONTH($A2641),1))</f>
        <v>0</v>
      </c>
      <c r="U2641" s="30">
        <f>IF($S2641="CONFIRMAR",MAX($U$4:$U2640)+1,"")</f>
        <v>0</v>
      </c>
      <c r="V2641" s="30">
        <f>IF(AND($R2641="Não",$Q2641&lt;&gt;"",$Q2641&lt;=Hoje+JanelaRet,$Q2641&gt;=Hoje-60),MAX($V$4:$V2640)+1,"")</f>
        <v>0</v>
      </c>
    </row>
    <row r="2642" spans="1:22">
      <c r="A2642" s="16"/>
      <c r="B2642" s="23"/>
      <c r="C2642" s="15"/>
      <c r="D2642" s="15"/>
      <c r="E2642" s="15"/>
      <c r="F2642" s="24"/>
      <c r="G2642" s="17"/>
      <c r="H2642" s="17"/>
      <c r="I2642" s="15"/>
      <c r="J2642" s="25">
        <f>IF($D2642="","",IFERROR(INDEX(PacNome,MATCH($D2642,PacCod,0)),"Paciente não cadastrado"))</f>
        <v>0</v>
      </c>
      <c r="K2642" s="26">
        <f>IF($D2642="","",IFERROR(INDEX(PacConv,MATCH($D2642,PacCod,0))&amp;"",""))</f>
        <v>0</v>
      </c>
      <c r="L2642" s="26">
        <f>IF($A2642="","",CHOOSE(WEEKDAY($A2642,2),"Seg","Ter","Qua","Qui","Sex","Sáb","Dom"))</f>
        <v>0</v>
      </c>
      <c r="M2642" s="27">
        <f>IF($E2642="","",IF($G2642&lt;&gt;"",$G2642,IFERROR(INDEX(ProcValor,MATCH($E2642,ProcNome,0)),0)))</f>
        <v>0</v>
      </c>
      <c r="N2642" s="27">
        <f>IF($M2642="","",IF($F2642="Compareceu",$M2642,0))</f>
        <v>0</v>
      </c>
      <c r="O2642" s="27">
        <f>IF($M2642="","",IF($F2642="Faltou",$M2642,0))</f>
        <v>0</v>
      </c>
      <c r="P2642" s="27">
        <f>IF($M2642="","",IF($F2642="Compareceu",MAX(0,$M2642-N($H2642)),0))</f>
        <v>0</v>
      </c>
      <c r="Q2642" s="19">
        <f>IF(AND($F2642="Compareceu",$E2642&lt;&gt;"",$A2642&lt;&gt;""),IF(IFERROR(INDEX(ProcRet,MATCH($E2642,ProcNome,0)),0)&gt;0,$A2642+INDEX(ProcRet,MATCH($E2642,ProcNome,0)),""),"")</f>
        <v>0</v>
      </c>
      <c r="R2642" s="26">
        <f>IF($Q2642="","",IF(COUNTIFS(AgPac,$D2642,AgData,"&gt;"&amp;$A2642,AgStatus,"&lt;&gt;Cancelado",AgStatus,"&lt;&gt;Remarcado")&gt;0,"Sim","Não"))</f>
        <v>0</v>
      </c>
      <c r="S2642" s="28">
        <f>IF($A2642="","",IF(AND($F2642="Agendado",$A2642-Hoje&gt;=0,$A2642-Hoje&lt;=DiasConf),"CONFIRMAR",IF(AND($A2642&lt;Hoje,OR($F2642="Agendado",$F2642="Confirmado")),"Atualizar status",IF(AND($F2642="Compareceu",$P2642&gt;0.005),"Cobrar",IF($F2642="Faltou","Falta: reagendar","")))))</f>
        <v>0</v>
      </c>
      <c r="T2642" s="29">
        <f>IF($A2642="","",DATE(YEAR($A2642),MONTH($A2642),1))</f>
        <v>0</v>
      </c>
      <c r="U2642" s="30">
        <f>IF($S2642="CONFIRMAR",MAX($U$4:$U2641)+1,"")</f>
        <v>0</v>
      </c>
      <c r="V2642" s="30">
        <f>IF(AND($R2642="Não",$Q2642&lt;&gt;"",$Q2642&lt;=Hoje+JanelaRet,$Q2642&gt;=Hoje-60),MAX($V$4:$V2641)+1,"")</f>
        <v>0</v>
      </c>
    </row>
    <row r="2643" spans="1:22">
      <c r="A2643" s="16"/>
      <c r="B2643" s="23"/>
      <c r="C2643" s="15"/>
      <c r="D2643" s="15"/>
      <c r="E2643" s="15"/>
      <c r="F2643" s="24"/>
      <c r="G2643" s="17"/>
      <c r="H2643" s="17"/>
      <c r="I2643" s="15"/>
      <c r="J2643" s="25">
        <f>IF($D2643="","",IFERROR(INDEX(PacNome,MATCH($D2643,PacCod,0)),"Paciente não cadastrado"))</f>
        <v>0</v>
      </c>
      <c r="K2643" s="26">
        <f>IF($D2643="","",IFERROR(INDEX(PacConv,MATCH($D2643,PacCod,0))&amp;"",""))</f>
        <v>0</v>
      </c>
      <c r="L2643" s="26">
        <f>IF($A2643="","",CHOOSE(WEEKDAY($A2643,2),"Seg","Ter","Qua","Qui","Sex","Sáb","Dom"))</f>
        <v>0</v>
      </c>
      <c r="M2643" s="27">
        <f>IF($E2643="","",IF($G2643&lt;&gt;"",$G2643,IFERROR(INDEX(ProcValor,MATCH($E2643,ProcNome,0)),0)))</f>
        <v>0</v>
      </c>
      <c r="N2643" s="27">
        <f>IF($M2643="","",IF($F2643="Compareceu",$M2643,0))</f>
        <v>0</v>
      </c>
      <c r="O2643" s="27">
        <f>IF($M2643="","",IF($F2643="Faltou",$M2643,0))</f>
        <v>0</v>
      </c>
      <c r="P2643" s="27">
        <f>IF($M2643="","",IF($F2643="Compareceu",MAX(0,$M2643-N($H2643)),0))</f>
        <v>0</v>
      </c>
      <c r="Q2643" s="19">
        <f>IF(AND($F2643="Compareceu",$E2643&lt;&gt;"",$A2643&lt;&gt;""),IF(IFERROR(INDEX(ProcRet,MATCH($E2643,ProcNome,0)),0)&gt;0,$A2643+INDEX(ProcRet,MATCH($E2643,ProcNome,0)),""),"")</f>
        <v>0</v>
      </c>
      <c r="R2643" s="26">
        <f>IF($Q2643="","",IF(COUNTIFS(AgPac,$D2643,AgData,"&gt;"&amp;$A2643,AgStatus,"&lt;&gt;Cancelado",AgStatus,"&lt;&gt;Remarcado")&gt;0,"Sim","Não"))</f>
        <v>0</v>
      </c>
      <c r="S2643" s="28">
        <f>IF($A2643="","",IF(AND($F2643="Agendado",$A2643-Hoje&gt;=0,$A2643-Hoje&lt;=DiasConf),"CONFIRMAR",IF(AND($A2643&lt;Hoje,OR($F2643="Agendado",$F2643="Confirmado")),"Atualizar status",IF(AND($F2643="Compareceu",$P2643&gt;0.005),"Cobrar",IF($F2643="Faltou","Falta: reagendar","")))))</f>
        <v>0</v>
      </c>
      <c r="T2643" s="29">
        <f>IF($A2643="","",DATE(YEAR($A2643),MONTH($A2643),1))</f>
        <v>0</v>
      </c>
      <c r="U2643" s="30">
        <f>IF($S2643="CONFIRMAR",MAX($U$4:$U2642)+1,"")</f>
        <v>0</v>
      </c>
      <c r="V2643" s="30">
        <f>IF(AND($R2643="Não",$Q2643&lt;&gt;"",$Q2643&lt;=Hoje+JanelaRet,$Q2643&gt;=Hoje-60),MAX($V$4:$V2642)+1,"")</f>
        <v>0</v>
      </c>
    </row>
    <row r="2644" spans="1:22">
      <c r="A2644" s="16"/>
      <c r="B2644" s="23"/>
      <c r="C2644" s="15"/>
      <c r="D2644" s="15"/>
      <c r="E2644" s="15"/>
      <c r="F2644" s="24"/>
      <c r="G2644" s="17"/>
      <c r="H2644" s="17"/>
      <c r="I2644" s="15"/>
      <c r="J2644" s="25">
        <f>IF($D2644="","",IFERROR(INDEX(PacNome,MATCH($D2644,PacCod,0)),"Paciente não cadastrado"))</f>
        <v>0</v>
      </c>
      <c r="K2644" s="26">
        <f>IF($D2644="","",IFERROR(INDEX(PacConv,MATCH($D2644,PacCod,0))&amp;"",""))</f>
        <v>0</v>
      </c>
      <c r="L2644" s="26">
        <f>IF($A2644="","",CHOOSE(WEEKDAY($A2644,2),"Seg","Ter","Qua","Qui","Sex","Sáb","Dom"))</f>
        <v>0</v>
      </c>
      <c r="M2644" s="27">
        <f>IF($E2644="","",IF($G2644&lt;&gt;"",$G2644,IFERROR(INDEX(ProcValor,MATCH($E2644,ProcNome,0)),0)))</f>
        <v>0</v>
      </c>
      <c r="N2644" s="27">
        <f>IF($M2644="","",IF($F2644="Compareceu",$M2644,0))</f>
        <v>0</v>
      </c>
      <c r="O2644" s="27">
        <f>IF($M2644="","",IF($F2644="Faltou",$M2644,0))</f>
        <v>0</v>
      </c>
      <c r="P2644" s="27">
        <f>IF($M2644="","",IF($F2644="Compareceu",MAX(0,$M2644-N($H2644)),0))</f>
        <v>0</v>
      </c>
      <c r="Q2644" s="19">
        <f>IF(AND($F2644="Compareceu",$E2644&lt;&gt;"",$A2644&lt;&gt;""),IF(IFERROR(INDEX(ProcRet,MATCH($E2644,ProcNome,0)),0)&gt;0,$A2644+INDEX(ProcRet,MATCH($E2644,ProcNome,0)),""),"")</f>
        <v>0</v>
      </c>
      <c r="R2644" s="26">
        <f>IF($Q2644="","",IF(COUNTIFS(AgPac,$D2644,AgData,"&gt;"&amp;$A2644,AgStatus,"&lt;&gt;Cancelado",AgStatus,"&lt;&gt;Remarcado")&gt;0,"Sim","Não"))</f>
        <v>0</v>
      </c>
      <c r="S2644" s="28">
        <f>IF($A2644="","",IF(AND($F2644="Agendado",$A2644-Hoje&gt;=0,$A2644-Hoje&lt;=DiasConf),"CONFIRMAR",IF(AND($A2644&lt;Hoje,OR($F2644="Agendado",$F2644="Confirmado")),"Atualizar status",IF(AND($F2644="Compareceu",$P2644&gt;0.005),"Cobrar",IF($F2644="Faltou","Falta: reagendar","")))))</f>
        <v>0</v>
      </c>
      <c r="T2644" s="29">
        <f>IF($A2644="","",DATE(YEAR($A2644),MONTH($A2644),1))</f>
        <v>0</v>
      </c>
      <c r="U2644" s="30">
        <f>IF($S2644="CONFIRMAR",MAX($U$4:$U2643)+1,"")</f>
        <v>0</v>
      </c>
      <c r="V2644" s="30">
        <f>IF(AND($R2644="Não",$Q2644&lt;&gt;"",$Q2644&lt;=Hoje+JanelaRet,$Q2644&gt;=Hoje-60),MAX($V$4:$V2643)+1,"")</f>
        <v>0</v>
      </c>
    </row>
    <row r="2645" spans="1:22">
      <c r="A2645" s="16"/>
      <c r="B2645" s="23"/>
      <c r="C2645" s="15"/>
      <c r="D2645" s="15"/>
      <c r="E2645" s="15"/>
      <c r="F2645" s="24"/>
      <c r="G2645" s="17"/>
      <c r="H2645" s="17"/>
      <c r="I2645" s="15"/>
      <c r="J2645" s="25">
        <f>IF($D2645="","",IFERROR(INDEX(PacNome,MATCH($D2645,PacCod,0)),"Paciente não cadastrado"))</f>
        <v>0</v>
      </c>
      <c r="K2645" s="26">
        <f>IF($D2645="","",IFERROR(INDEX(PacConv,MATCH($D2645,PacCod,0))&amp;"",""))</f>
        <v>0</v>
      </c>
      <c r="L2645" s="26">
        <f>IF($A2645="","",CHOOSE(WEEKDAY($A2645,2),"Seg","Ter","Qua","Qui","Sex","Sáb","Dom"))</f>
        <v>0</v>
      </c>
      <c r="M2645" s="27">
        <f>IF($E2645="","",IF($G2645&lt;&gt;"",$G2645,IFERROR(INDEX(ProcValor,MATCH($E2645,ProcNome,0)),0)))</f>
        <v>0</v>
      </c>
      <c r="N2645" s="27">
        <f>IF($M2645="","",IF($F2645="Compareceu",$M2645,0))</f>
        <v>0</v>
      </c>
      <c r="O2645" s="27">
        <f>IF($M2645="","",IF($F2645="Faltou",$M2645,0))</f>
        <v>0</v>
      </c>
      <c r="P2645" s="27">
        <f>IF($M2645="","",IF($F2645="Compareceu",MAX(0,$M2645-N($H2645)),0))</f>
        <v>0</v>
      </c>
      <c r="Q2645" s="19">
        <f>IF(AND($F2645="Compareceu",$E2645&lt;&gt;"",$A2645&lt;&gt;""),IF(IFERROR(INDEX(ProcRet,MATCH($E2645,ProcNome,0)),0)&gt;0,$A2645+INDEX(ProcRet,MATCH($E2645,ProcNome,0)),""),"")</f>
        <v>0</v>
      </c>
      <c r="R2645" s="26">
        <f>IF($Q2645="","",IF(COUNTIFS(AgPac,$D2645,AgData,"&gt;"&amp;$A2645,AgStatus,"&lt;&gt;Cancelado",AgStatus,"&lt;&gt;Remarcado")&gt;0,"Sim","Não"))</f>
        <v>0</v>
      </c>
      <c r="S2645" s="28">
        <f>IF($A2645="","",IF(AND($F2645="Agendado",$A2645-Hoje&gt;=0,$A2645-Hoje&lt;=DiasConf),"CONFIRMAR",IF(AND($A2645&lt;Hoje,OR($F2645="Agendado",$F2645="Confirmado")),"Atualizar status",IF(AND($F2645="Compareceu",$P2645&gt;0.005),"Cobrar",IF($F2645="Faltou","Falta: reagendar","")))))</f>
        <v>0</v>
      </c>
      <c r="T2645" s="29">
        <f>IF($A2645="","",DATE(YEAR($A2645),MONTH($A2645),1))</f>
        <v>0</v>
      </c>
      <c r="U2645" s="30">
        <f>IF($S2645="CONFIRMAR",MAX($U$4:$U2644)+1,"")</f>
        <v>0</v>
      </c>
      <c r="V2645" s="30">
        <f>IF(AND($R2645="Não",$Q2645&lt;&gt;"",$Q2645&lt;=Hoje+JanelaRet,$Q2645&gt;=Hoje-60),MAX($V$4:$V2644)+1,"")</f>
        <v>0</v>
      </c>
    </row>
    <row r="2646" spans="1:22">
      <c r="A2646" s="16"/>
      <c r="B2646" s="23"/>
      <c r="C2646" s="15"/>
      <c r="D2646" s="15"/>
      <c r="E2646" s="15"/>
      <c r="F2646" s="24"/>
      <c r="G2646" s="17"/>
      <c r="H2646" s="17"/>
      <c r="I2646" s="15"/>
      <c r="J2646" s="25">
        <f>IF($D2646="","",IFERROR(INDEX(PacNome,MATCH($D2646,PacCod,0)),"Paciente não cadastrado"))</f>
        <v>0</v>
      </c>
      <c r="K2646" s="26">
        <f>IF($D2646="","",IFERROR(INDEX(PacConv,MATCH($D2646,PacCod,0))&amp;"",""))</f>
        <v>0</v>
      </c>
      <c r="L2646" s="26">
        <f>IF($A2646="","",CHOOSE(WEEKDAY($A2646,2),"Seg","Ter","Qua","Qui","Sex","Sáb","Dom"))</f>
        <v>0</v>
      </c>
      <c r="M2646" s="27">
        <f>IF($E2646="","",IF($G2646&lt;&gt;"",$G2646,IFERROR(INDEX(ProcValor,MATCH($E2646,ProcNome,0)),0)))</f>
        <v>0</v>
      </c>
      <c r="N2646" s="27">
        <f>IF($M2646="","",IF($F2646="Compareceu",$M2646,0))</f>
        <v>0</v>
      </c>
      <c r="O2646" s="27">
        <f>IF($M2646="","",IF($F2646="Faltou",$M2646,0))</f>
        <v>0</v>
      </c>
      <c r="P2646" s="27">
        <f>IF($M2646="","",IF($F2646="Compareceu",MAX(0,$M2646-N($H2646)),0))</f>
        <v>0</v>
      </c>
      <c r="Q2646" s="19">
        <f>IF(AND($F2646="Compareceu",$E2646&lt;&gt;"",$A2646&lt;&gt;""),IF(IFERROR(INDEX(ProcRet,MATCH($E2646,ProcNome,0)),0)&gt;0,$A2646+INDEX(ProcRet,MATCH($E2646,ProcNome,0)),""),"")</f>
        <v>0</v>
      </c>
      <c r="R2646" s="26">
        <f>IF($Q2646="","",IF(COUNTIFS(AgPac,$D2646,AgData,"&gt;"&amp;$A2646,AgStatus,"&lt;&gt;Cancelado",AgStatus,"&lt;&gt;Remarcado")&gt;0,"Sim","Não"))</f>
        <v>0</v>
      </c>
      <c r="S2646" s="28">
        <f>IF($A2646="","",IF(AND($F2646="Agendado",$A2646-Hoje&gt;=0,$A2646-Hoje&lt;=DiasConf),"CONFIRMAR",IF(AND($A2646&lt;Hoje,OR($F2646="Agendado",$F2646="Confirmado")),"Atualizar status",IF(AND($F2646="Compareceu",$P2646&gt;0.005),"Cobrar",IF($F2646="Faltou","Falta: reagendar","")))))</f>
        <v>0</v>
      </c>
      <c r="T2646" s="29">
        <f>IF($A2646="","",DATE(YEAR($A2646),MONTH($A2646),1))</f>
        <v>0</v>
      </c>
      <c r="U2646" s="30">
        <f>IF($S2646="CONFIRMAR",MAX($U$4:$U2645)+1,"")</f>
        <v>0</v>
      </c>
      <c r="V2646" s="30">
        <f>IF(AND($R2646="Não",$Q2646&lt;&gt;"",$Q2646&lt;=Hoje+JanelaRet,$Q2646&gt;=Hoje-60),MAX($V$4:$V2645)+1,"")</f>
        <v>0</v>
      </c>
    </row>
    <row r="2647" spans="1:22">
      <c r="A2647" s="16"/>
      <c r="B2647" s="23"/>
      <c r="C2647" s="15"/>
      <c r="D2647" s="15"/>
      <c r="E2647" s="15"/>
      <c r="F2647" s="24"/>
      <c r="G2647" s="17"/>
      <c r="H2647" s="17"/>
      <c r="I2647" s="15"/>
      <c r="J2647" s="25">
        <f>IF($D2647="","",IFERROR(INDEX(PacNome,MATCH($D2647,PacCod,0)),"Paciente não cadastrado"))</f>
        <v>0</v>
      </c>
      <c r="K2647" s="26">
        <f>IF($D2647="","",IFERROR(INDEX(PacConv,MATCH($D2647,PacCod,0))&amp;"",""))</f>
        <v>0</v>
      </c>
      <c r="L2647" s="26">
        <f>IF($A2647="","",CHOOSE(WEEKDAY($A2647,2),"Seg","Ter","Qua","Qui","Sex","Sáb","Dom"))</f>
        <v>0</v>
      </c>
      <c r="M2647" s="27">
        <f>IF($E2647="","",IF($G2647&lt;&gt;"",$G2647,IFERROR(INDEX(ProcValor,MATCH($E2647,ProcNome,0)),0)))</f>
        <v>0</v>
      </c>
      <c r="N2647" s="27">
        <f>IF($M2647="","",IF($F2647="Compareceu",$M2647,0))</f>
        <v>0</v>
      </c>
      <c r="O2647" s="27">
        <f>IF($M2647="","",IF($F2647="Faltou",$M2647,0))</f>
        <v>0</v>
      </c>
      <c r="P2647" s="27">
        <f>IF($M2647="","",IF($F2647="Compareceu",MAX(0,$M2647-N($H2647)),0))</f>
        <v>0</v>
      </c>
      <c r="Q2647" s="19">
        <f>IF(AND($F2647="Compareceu",$E2647&lt;&gt;"",$A2647&lt;&gt;""),IF(IFERROR(INDEX(ProcRet,MATCH($E2647,ProcNome,0)),0)&gt;0,$A2647+INDEX(ProcRet,MATCH($E2647,ProcNome,0)),""),"")</f>
        <v>0</v>
      </c>
      <c r="R2647" s="26">
        <f>IF($Q2647="","",IF(COUNTIFS(AgPac,$D2647,AgData,"&gt;"&amp;$A2647,AgStatus,"&lt;&gt;Cancelado",AgStatus,"&lt;&gt;Remarcado")&gt;0,"Sim","Não"))</f>
        <v>0</v>
      </c>
      <c r="S2647" s="28">
        <f>IF($A2647="","",IF(AND($F2647="Agendado",$A2647-Hoje&gt;=0,$A2647-Hoje&lt;=DiasConf),"CONFIRMAR",IF(AND($A2647&lt;Hoje,OR($F2647="Agendado",$F2647="Confirmado")),"Atualizar status",IF(AND($F2647="Compareceu",$P2647&gt;0.005),"Cobrar",IF($F2647="Faltou","Falta: reagendar","")))))</f>
        <v>0</v>
      </c>
      <c r="T2647" s="29">
        <f>IF($A2647="","",DATE(YEAR($A2647),MONTH($A2647),1))</f>
        <v>0</v>
      </c>
      <c r="U2647" s="30">
        <f>IF($S2647="CONFIRMAR",MAX($U$4:$U2646)+1,"")</f>
        <v>0</v>
      </c>
      <c r="V2647" s="30">
        <f>IF(AND($R2647="Não",$Q2647&lt;&gt;"",$Q2647&lt;=Hoje+JanelaRet,$Q2647&gt;=Hoje-60),MAX($V$4:$V2646)+1,"")</f>
        <v>0</v>
      </c>
    </row>
    <row r="2648" spans="1:22">
      <c r="A2648" s="16"/>
      <c r="B2648" s="23"/>
      <c r="C2648" s="15"/>
      <c r="D2648" s="15"/>
      <c r="E2648" s="15"/>
      <c r="F2648" s="24"/>
      <c r="G2648" s="17"/>
      <c r="H2648" s="17"/>
      <c r="I2648" s="15"/>
      <c r="J2648" s="25">
        <f>IF($D2648="","",IFERROR(INDEX(PacNome,MATCH($D2648,PacCod,0)),"Paciente não cadastrado"))</f>
        <v>0</v>
      </c>
      <c r="K2648" s="26">
        <f>IF($D2648="","",IFERROR(INDEX(PacConv,MATCH($D2648,PacCod,0))&amp;"",""))</f>
        <v>0</v>
      </c>
      <c r="L2648" s="26">
        <f>IF($A2648="","",CHOOSE(WEEKDAY($A2648,2),"Seg","Ter","Qua","Qui","Sex","Sáb","Dom"))</f>
        <v>0</v>
      </c>
      <c r="M2648" s="27">
        <f>IF($E2648="","",IF($G2648&lt;&gt;"",$G2648,IFERROR(INDEX(ProcValor,MATCH($E2648,ProcNome,0)),0)))</f>
        <v>0</v>
      </c>
      <c r="N2648" s="27">
        <f>IF($M2648="","",IF($F2648="Compareceu",$M2648,0))</f>
        <v>0</v>
      </c>
      <c r="O2648" s="27">
        <f>IF($M2648="","",IF($F2648="Faltou",$M2648,0))</f>
        <v>0</v>
      </c>
      <c r="P2648" s="27">
        <f>IF($M2648="","",IF($F2648="Compareceu",MAX(0,$M2648-N($H2648)),0))</f>
        <v>0</v>
      </c>
      <c r="Q2648" s="19">
        <f>IF(AND($F2648="Compareceu",$E2648&lt;&gt;"",$A2648&lt;&gt;""),IF(IFERROR(INDEX(ProcRet,MATCH($E2648,ProcNome,0)),0)&gt;0,$A2648+INDEX(ProcRet,MATCH($E2648,ProcNome,0)),""),"")</f>
        <v>0</v>
      </c>
      <c r="R2648" s="26">
        <f>IF($Q2648="","",IF(COUNTIFS(AgPac,$D2648,AgData,"&gt;"&amp;$A2648,AgStatus,"&lt;&gt;Cancelado",AgStatus,"&lt;&gt;Remarcado")&gt;0,"Sim","Não"))</f>
        <v>0</v>
      </c>
      <c r="S2648" s="28">
        <f>IF($A2648="","",IF(AND($F2648="Agendado",$A2648-Hoje&gt;=0,$A2648-Hoje&lt;=DiasConf),"CONFIRMAR",IF(AND($A2648&lt;Hoje,OR($F2648="Agendado",$F2648="Confirmado")),"Atualizar status",IF(AND($F2648="Compareceu",$P2648&gt;0.005),"Cobrar",IF($F2648="Faltou","Falta: reagendar","")))))</f>
        <v>0</v>
      </c>
      <c r="T2648" s="29">
        <f>IF($A2648="","",DATE(YEAR($A2648),MONTH($A2648),1))</f>
        <v>0</v>
      </c>
      <c r="U2648" s="30">
        <f>IF($S2648="CONFIRMAR",MAX($U$4:$U2647)+1,"")</f>
        <v>0</v>
      </c>
      <c r="V2648" s="30">
        <f>IF(AND($R2648="Não",$Q2648&lt;&gt;"",$Q2648&lt;=Hoje+JanelaRet,$Q2648&gt;=Hoje-60),MAX($V$4:$V2647)+1,"")</f>
        <v>0</v>
      </c>
    </row>
    <row r="2649" spans="1:22">
      <c r="A2649" s="16"/>
      <c r="B2649" s="23"/>
      <c r="C2649" s="15"/>
      <c r="D2649" s="15"/>
      <c r="E2649" s="15"/>
      <c r="F2649" s="24"/>
      <c r="G2649" s="17"/>
      <c r="H2649" s="17"/>
      <c r="I2649" s="15"/>
      <c r="J2649" s="25">
        <f>IF($D2649="","",IFERROR(INDEX(PacNome,MATCH($D2649,PacCod,0)),"Paciente não cadastrado"))</f>
        <v>0</v>
      </c>
      <c r="K2649" s="26">
        <f>IF($D2649="","",IFERROR(INDEX(PacConv,MATCH($D2649,PacCod,0))&amp;"",""))</f>
        <v>0</v>
      </c>
      <c r="L2649" s="26">
        <f>IF($A2649="","",CHOOSE(WEEKDAY($A2649,2),"Seg","Ter","Qua","Qui","Sex","Sáb","Dom"))</f>
        <v>0</v>
      </c>
      <c r="M2649" s="27">
        <f>IF($E2649="","",IF($G2649&lt;&gt;"",$G2649,IFERROR(INDEX(ProcValor,MATCH($E2649,ProcNome,0)),0)))</f>
        <v>0</v>
      </c>
      <c r="N2649" s="27">
        <f>IF($M2649="","",IF($F2649="Compareceu",$M2649,0))</f>
        <v>0</v>
      </c>
      <c r="O2649" s="27">
        <f>IF($M2649="","",IF($F2649="Faltou",$M2649,0))</f>
        <v>0</v>
      </c>
      <c r="P2649" s="27">
        <f>IF($M2649="","",IF($F2649="Compareceu",MAX(0,$M2649-N($H2649)),0))</f>
        <v>0</v>
      </c>
      <c r="Q2649" s="19">
        <f>IF(AND($F2649="Compareceu",$E2649&lt;&gt;"",$A2649&lt;&gt;""),IF(IFERROR(INDEX(ProcRet,MATCH($E2649,ProcNome,0)),0)&gt;0,$A2649+INDEX(ProcRet,MATCH($E2649,ProcNome,0)),""),"")</f>
        <v>0</v>
      </c>
      <c r="R2649" s="26">
        <f>IF($Q2649="","",IF(COUNTIFS(AgPac,$D2649,AgData,"&gt;"&amp;$A2649,AgStatus,"&lt;&gt;Cancelado",AgStatus,"&lt;&gt;Remarcado")&gt;0,"Sim","Não"))</f>
        <v>0</v>
      </c>
      <c r="S2649" s="28">
        <f>IF($A2649="","",IF(AND($F2649="Agendado",$A2649-Hoje&gt;=0,$A2649-Hoje&lt;=DiasConf),"CONFIRMAR",IF(AND($A2649&lt;Hoje,OR($F2649="Agendado",$F2649="Confirmado")),"Atualizar status",IF(AND($F2649="Compareceu",$P2649&gt;0.005),"Cobrar",IF($F2649="Faltou","Falta: reagendar","")))))</f>
        <v>0</v>
      </c>
      <c r="T2649" s="29">
        <f>IF($A2649="","",DATE(YEAR($A2649),MONTH($A2649),1))</f>
        <v>0</v>
      </c>
      <c r="U2649" s="30">
        <f>IF($S2649="CONFIRMAR",MAX($U$4:$U2648)+1,"")</f>
        <v>0</v>
      </c>
      <c r="V2649" s="30">
        <f>IF(AND($R2649="Não",$Q2649&lt;&gt;"",$Q2649&lt;=Hoje+JanelaRet,$Q2649&gt;=Hoje-60),MAX($V$4:$V2648)+1,"")</f>
        <v>0</v>
      </c>
    </row>
    <row r="2650" spans="1:22">
      <c r="A2650" s="16"/>
      <c r="B2650" s="23"/>
      <c r="C2650" s="15"/>
      <c r="D2650" s="15"/>
      <c r="E2650" s="15"/>
      <c r="F2650" s="24"/>
      <c r="G2650" s="17"/>
      <c r="H2650" s="17"/>
      <c r="I2650" s="15"/>
      <c r="J2650" s="25">
        <f>IF($D2650="","",IFERROR(INDEX(PacNome,MATCH($D2650,PacCod,0)),"Paciente não cadastrado"))</f>
        <v>0</v>
      </c>
      <c r="K2650" s="26">
        <f>IF($D2650="","",IFERROR(INDEX(PacConv,MATCH($D2650,PacCod,0))&amp;"",""))</f>
        <v>0</v>
      </c>
      <c r="L2650" s="26">
        <f>IF($A2650="","",CHOOSE(WEEKDAY($A2650,2),"Seg","Ter","Qua","Qui","Sex","Sáb","Dom"))</f>
        <v>0</v>
      </c>
      <c r="M2650" s="27">
        <f>IF($E2650="","",IF($G2650&lt;&gt;"",$G2650,IFERROR(INDEX(ProcValor,MATCH($E2650,ProcNome,0)),0)))</f>
        <v>0</v>
      </c>
      <c r="N2650" s="27">
        <f>IF($M2650="","",IF($F2650="Compareceu",$M2650,0))</f>
        <v>0</v>
      </c>
      <c r="O2650" s="27">
        <f>IF($M2650="","",IF($F2650="Faltou",$M2650,0))</f>
        <v>0</v>
      </c>
      <c r="P2650" s="27">
        <f>IF($M2650="","",IF($F2650="Compareceu",MAX(0,$M2650-N($H2650)),0))</f>
        <v>0</v>
      </c>
      <c r="Q2650" s="19">
        <f>IF(AND($F2650="Compareceu",$E2650&lt;&gt;"",$A2650&lt;&gt;""),IF(IFERROR(INDEX(ProcRet,MATCH($E2650,ProcNome,0)),0)&gt;0,$A2650+INDEX(ProcRet,MATCH($E2650,ProcNome,0)),""),"")</f>
        <v>0</v>
      </c>
      <c r="R2650" s="26">
        <f>IF($Q2650="","",IF(COUNTIFS(AgPac,$D2650,AgData,"&gt;"&amp;$A2650,AgStatus,"&lt;&gt;Cancelado",AgStatus,"&lt;&gt;Remarcado")&gt;0,"Sim","Não"))</f>
        <v>0</v>
      </c>
      <c r="S2650" s="28">
        <f>IF($A2650="","",IF(AND($F2650="Agendado",$A2650-Hoje&gt;=0,$A2650-Hoje&lt;=DiasConf),"CONFIRMAR",IF(AND($A2650&lt;Hoje,OR($F2650="Agendado",$F2650="Confirmado")),"Atualizar status",IF(AND($F2650="Compareceu",$P2650&gt;0.005),"Cobrar",IF($F2650="Faltou","Falta: reagendar","")))))</f>
        <v>0</v>
      </c>
      <c r="T2650" s="29">
        <f>IF($A2650="","",DATE(YEAR($A2650),MONTH($A2650),1))</f>
        <v>0</v>
      </c>
      <c r="U2650" s="30">
        <f>IF($S2650="CONFIRMAR",MAX($U$4:$U2649)+1,"")</f>
        <v>0</v>
      </c>
      <c r="V2650" s="30">
        <f>IF(AND($R2650="Não",$Q2650&lt;&gt;"",$Q2650&lt;=Hoje+JanelaRet,$Q2650&gt;=Hoje-60),MAX($V$4:$V2649)+1,"")</f>
        <v>0</v>
      </c>
    </row>
    <row r="2651" spans="1:22">
      <c r="A2651" s="16"/>
      <c r="B2651" s="23"/>
      <c r="C2651" s="15"/>
      <c r="D2651" s="15"/>
      <c r="E2651" s="15"/>
      <c r="F2651" s="24"/>
      <c r="G2651" s="17"/>
      <c r="H2651" s="17"/>
      <c r="I2651" s="15"/>
      <c r="J2651" s="25">
        <f>IF($D2651="","",IFERROR(INDEX(PacNome,MATCH($D2651,PacCod,0)),"Paciente não cadastrado"))</f>
        <v>0</v>
      </c>
      <c r="K2651" s="26">
        <f>IF($D2651="","",IFERROR(INDEX(PacConv,MATCH($D2651,PacCod,0))&amp;"",""))</f>
        <v>0</v>
      </c>
      <c r="L2651" s="26">
        <f>IF($A2651="","",CHOOSE(WEEKDAY($A2651,2),"Seg","Ter","Qua","Qui","Sex","Sáb","Dom"))</f>
        <v>0</v>
      </c>
      <c r="M2651" s="27">
        <f>IF($E2651="","",IF($G2651&lt;&gt;"",$G2651,IFERROR(INDEX(ProcValor,MATCH($E2651,ProcNome,0)),0)))</f>
        <v>0</v>
      </c>
      <c r="N2651" s="27">
        <f>IF($M2651="","",IF($F2651="Compareceu",$M2651,0))</f>
        <v>0</v>
      </c>
      <c r="O2651" s="27">
        <f>IF($M2651="","",IF($F2651="Faltou",$M2651,0))</f>
        <v>0</v>
      </c>
      <c r="P2651" s="27">
        <f>IF($M2651="","",IF($F2651="Compareceu",MAX(0,$M2651-N($H2651)),0))</f>
        <v>0</v>
      </c>
      <c r="Q2651" s="19">
        <f>IF(AND($F2651="Compareceu",$E2651&lt;&gt;"",$A2651&lt;&gt;""),IF(IFERROR(INDEX(ProcRet,MATCH($E2651,ProcNome,0)),0)&gt;0,$A2651+INDEX(ProcRet,MATCH($E2651,ProcNome,0)),""),"")</f>
        <v>0</v>
      </c>
      <c r="R2651" s="26">
        <f>IF($Q2651="","",IF(COUNTIFS(AgPac,$D2651,AgData,"&gt;"&amp;$A2651,AgStatus,"&lt;&gt;Cancelado",AgStatus,"&lt;&gt;Remarcado")&gt;0,"Sim","Não"))</f>
        <v>0</v>
      </c>
      <c r="S2651" s="28">
        <f>IF($A2651="","",IF(AND($F2651="Agendado",$A2651-Hoje&gt;=0,$A2651-Hoje&lt;=DiasConf),"CONFIRMAR",IF(AND($A2651&lt;Hoje,OR($F2651="Agendado",$F2651="Confirmado")),"Atualizar status",IF(AND($F2651="Compareceu",$P2651&gt;0.005),"Cobrar",IF($F2651="Faltou","Falta: reagendar","")))))</f>
        <v>0</v>
      </c>
      <c r="T2651" s="29">
        <f>IF($A2651="","",DATE(YEAR($A2651),MONTH($A2651),1))</f>
        <v>0</v>
      </c>
      <c r="U2651" s="30">
        <f>IF($S2651="CONFIRMAR",MAX($U$4:$U2650)+1,"")</f>
        <v>0</v>
      </c>
      <c r="V2651" s="30">
        <f>IF(AND($R2651="Não",$Q2651&lt;&gt;"",$Q2651&lt;=Hoje+JanelaRet,$Q2651&gt;=Hoje-60),MAX($V$4:$V2650)+1,"")</f>
        <v>0</v>
      </c>
    </row>
    <row r="2652" spans="1:22">
      <c r="A2652" s="16"/>
      <c r="B2652" s="23"/>
      <c r="C2652" s="15"/>
      <c r="D2652" s="15"/>
      <c r="E2652" s="15"/>
      <c r="F2652" s="24"/>
      <c r="G2652" s="17"/>
      <c r="H2652" s="17"/>
      <c r="I2652" s="15"/>
      <c r="J2652" s="25">
        <f>IF($D2652="","",IFERROR(INDEX(PacNome,MATCH($D2652,PacCod,0)),"Paciente não cadastrado"))</f>
        <v>0</v>
      </c>
      <c r="K2652" s="26">
        <f>IF($D2652="","",IFERROR(INDEX(PacConv,MATCH($D2652,PacCod,0))&amp;"",""))</f>
        <v>0</v>
      </c>
      <c r="L2652" s="26">
        <f>IF($A2652="","",CHOOSE(WEEKDAY($A2652,2),"Seg","Ter","Qua","Qui","Sex","Sáb","Dom"))</f>
        <v>0</v>
      </c>
      <c r="M2652" s="27">
        <f>IF($E2652="","",IF($G2652&lt;&gt;"",$G2652,IFERROR(INDEX(ProcValor,MATCH($E2652,ProcNome,0)),0)))</f>
        <v>0</v>
      </c>
      <c r="N2652" s="27">
        <f>IF($M2652="","",IF($F2652="Compareceu",$M2652,0))</f>
        <v>0</v>
      </c>
      <c r="O2652" s="27">
        <f>IF($M2652="","",IF($F2652="Faltou",$M2652,0))</f>
        <v>0</v>
      </c>
      <c r="P2652" s="27">
        <f>IF($M2652="","",IF($F2652="Compareceu",MAX(0,$M2652-N($H2652)),0))</f>
        <v>0</v>
      </c>
      <c r="Q2652" s="19">
        <f>IF(AND($F2652="Compareceu",$E2652&lt;&gt;"",$A2652&lt;&gt;""),IF(IFERROR(INDEX(ProcRet,MATCH($E2652,ProcNome,0)),0)&gt;0,$A2652+INDEX(ProcRet,MATCH($E2652,ProcNome,0)),""),"")</f>
        <v>0</v>
      </c>
      <c r="R2652" s="26">
        <f>IF($Q2652="","",IF(COUNTIFS(AgPac,$D2652,AgData,"&gt;"&amp;$A2652,AgStatus,"&lt;&gt;Cancelado",AgStatus,"&lt;&gt;Remarcado")&gt;0,"Sim","Não"))</f>
        <v>0</v>
      </c>
      <c r="S2652" s="28">
        <f>IF($A2652="","",IF(AND($F2652="Agendado",$A2652-Hoje&gt;=0,$A2652-Hoje&lt;=DiasConf),"CONFIRMAR",IF(AND($A2652&lt;Hoje,OR($F2652="Agendado",$F2652="Confirmado")),"Atualizar status",IF(AND($F2652="Compareceu",$P2652&gt;0.005),"Cobrar",IF($F2652="Faltou","Falta: reagendar","")))))</f>
        <v>0</v>
      </c>
      <c r="T2652" s="29">
        <f>IF($A2652="","",DATE(YEAR($A2652),MONTH($A2652),1))</f>
        <v>0</v>
      </c>
      <c r="U2652" s="30">
        <f>IF($S2652="CONFIRMAR",MAX($U$4:$U2651)+1,"")</f>
        <v>0</v>
      </c>
      <c r="V2652" s="30">
        <f>IF(AND($R2652="Não",$Q2652&lt;&gt;"",$Q2652&lt;=Hoje+JanelaRet,$Q2652&gt;=Hoje-60),MAX($V$4:$V2651)+1,"")</f>
        <v>0</v>
      </c>
    </row>
    <row r="2653" spans="1:22">
      <c r="A2653" s="16"/>
      <c r="B2653" s="23"/>
      <c r="C2653" s="15"/>
      <c r="D2653" s="15"/>
      <c r="E2653" s="15"/>
      <c r="F2653" s="24"/>
      <c r="G2653" s="17"/>
      <c r="H2653" s="17"/>
      <c r="I2653" s="15"/>
      <c r="J2653" s="25">
        <f>IF($D2653="","",IFERROR(INDEX(PacNome,MATCH($D2653,PacCod,0)),"Paciente não cadastrado"))</f>
        <v>0</v>
      </c>
      <c r="K2653" s="26">
        <f>IF($D2653="","",IFERROR(INDEX(PacConv,MATCH($D2653,PacCod,0))&amp;"",""))</f>
        <v>0</v>
      </c>
      <c r="L2653" s="26">
        <f>IF($A2653="","",CHOOSE(WEEKDAY($A2653,2),"Seg","Ter","Qua","Qui","Sex","Sáb","Dom"))</f>
        <v>0</v>
      </c>
      <c r="M2653" s="27">
        <f>IF($E2653="","",IF($G2653&lt;&gt;"",$G2653,IFERROR(INDEX(ProcValor,MATCH($E2653,ProcNome,0)),0)))</f>
        <v>0</v>
      </c>
      <c r="N2653" s="27">
        <f>IF($M2653="","",IF($F2653="Compareceu",$M2653,0))</f>
        <v>0</v>
      </c>
      <c r="O2653" s="27">
        <f>IF($M2653="","",IF($F2653="Faltou",$M2653,0))</f>
        <v>0</v>
      </c>
      <c r="P2653" s="27">
        <f>IF($M2653="","",IF($F2653="Compareceu",MAX(0,$M2653-N($H2653)),0))</f>
        <v>0</v>
      </c>
      <c r="Q2653" s="19">
        <f>IF(AND($F2653="Compareceu",$E2653&lt;&gt;"",$A2653&lt;&gt;""),IF(IFERROR(INDEX(ProcRet,MATCH($E2653,ProcNome,0)),0)&gt;0,$A2653+INDEX(ProcRet,MATCH($E2653,ProcNome,0)),""),"")</f>
        <v>0</v>
      </c>
      <c r="R2653" s="26">
        <f>IF($Q2653="","",IF(COUNTIFS(AgPac,$D2653,AgData,"&gt;"&amp;$A2653,AgStatus,"&lt;&gt;Cancelado",AgStatus,"&lt;&gt;Remarcado")&gt;0,"Sim","Não"))</f>
        <v>0</v>
      </c>
      <c r="S2653" s="28">
        <f>IF($A2653="","",IF(AND($F2653="Agendado",$A2653-Hoje&gt;=0,$A2653-Hoje&lt;=DiasConf),"CONFIRMAR",IF(AND($A2653&lt;Hoje,OR($F2653="Agendado",$F2653="Confirmado")),"Atualizar status",IF(AND($F2653="Compareceu",$P2653&gt;0.005),"Cobrar",IF($F2653="Faltou","Falta: reagendar","")))))</f>
        <v>0</v>
      </c>
      <c r="T2653" s="29">
        <f>IF($A2653="","",DATE(YEAR($A2653),MONTH($A2653),1))</f>
        <v>0</v>
      </c>
      <c r="U2653" s="30">
        <f>IF($S2653="CONFIRMAR",MAX($U$4:$U2652)+1,"")</f>
        <v>0</v>
      </c>
      <c r="V2653" s="30">
        <f>IF(AND($R2653="Não",$Q2653&lt;&gt;"",$Q2653&lt;=Hoje+JanelaRet,$Q2653&gt;=Hoje-60),MAX($V$4:$V2652)+1,"")</f>
        <v>0</v>
      </c>
    </row>
    <row r="2654" spans="1:22">
      <c r="A2654" s="16"/>
      <c r="B2654" s="23"/>
      <c r="C2654" s="15"/>
      <c r="D2654" s="15"/>
      <c r="E2654" s="15"/>
      <c r="F2654" s="24"/>
      <c r="G2654" s="17"/>
      <c r="H2654" s="17"/>
      <c r="I2654" s="15"/>
      <c r="J2654" s="25">
        <f>IF($D2654="","",IFERROR(INDEX(PacNome,MATCH($D2654,PacCod,0)),"Paciente não cadastrado"))</f>
        <v>0</v>
      </c>
      <c r="K2654" s="26">
        <f>IF($D2654="","",IFERROR(INDEX(PacConv,MATCH($D2654,PacCod,0))&amp;"",""))</f>
        <v>0</v>
      </c>
      <c r="L2654" s="26">
        <f>IF($A2654="","",CHOOSE(WEEKDAY($A2654,2),"Seg","Ter","Qua","Qui","Sex","Sáb","Dom"))</f>
        <v>0</v>
      </c>
      <c r="M2654" s="27">
        <f>IF($E2654="","",IF($G2654&lt;&gt;"",$G2654,IFERROR(INDEX(ProcValor,MATCH($E2654,ProcNome,0)),0)))</f>
        <v>0</v>
      </c>
      <c r="N2654" s="27">
        <f>IF($M2654="","",IF($F2654="Compareceu",$M2654,0))</f>
        <v>0</v>
      </c>
      <c r="O2654" s="27">
        <f>IF($M2654="","",IF($F2654="Faltou",$M2654,0))</f>
        <v>0</v>
      </c>
      <c r="P2654" s="27">
        <f>IF($M2654="","",IF($F2654="Compareceu",MAX(0,$M2654-N($H2654)),0))</f>
        <v>0</v>
      </c>
      <c r="Q2654" s="19">
        <f>IF(AND($F2654="Compareceu",$E2654&lt;&gt;"",$A2654&lt;&gt;""),IF(IFERROR(INDEX(ProcRet,MATCH($E2654,ProcNome,0)),0)&gt;0,$A2654+INDEX(ProcRet,MATCH($E2654,ProcNome,0)),""),"")</f>
        <v>0</v>
      </c>
      <c r="R2654" s="26">
        <f>IF($Q2654="","",IF(COUNTIFS(AgPac,$D2654,AgData,"&gt;"&amp;$A2654,AgStatus,"&lt;&gt;Cancelado",AgStatus,"&lt;&gt;Remarcado")&gt;0,"Sim","Não"))</f>
        <v>0</v>
      </c>
      <c r="S2654" s="28">
        <f>IF($A2654="","",IF(AND($F2654="Agendado",$A2654-Hoje&gt;=0,$A2654-Hoje&lt;=DiasConf),"CONFIRMAR",IF(AND($A2654&lt;Hoje,OR($F2654="Agendado",$F2654="Confirmado")),"Atualizar status",IF(AND($F2654="Compareceu",$P2654&gt;0.005),"Cobrar",IF($F2654="Faltou","Falta: reagendar","")))))</f>
        <v>0</v>
      </c>
      <c r="T2654" s="29">
        <f>IF($A2654="","",DATE(YEAR($A2654),MONTH($A2654),1))</f>
        <v>0</v>
      </c>
      <c r="U2654" s="30">
        <f>IF($S2654="CONFIRMAR",MAX($U$4:$U2653)+1,"")</f>
        <v>0</v>
      </c>
      <c r="V2654" s="30">
        <f>IF(AND($R2654="Não",$Q2654&lt;&gt;"",$Q2654&lt;=Hoje+JanelaRet,$Q2654&gt;=Hoje-60),MAX($V$4:$V2653)+1,"")</f>
        <v>0</v>
      </c>
    </row>
    <row r="2655" spans="1:22">
      <c r="A2655" s="16"/>
      <c r="B2655" s="23"/>
      <c r="C2655" s="15"/>
      <c r="D2655" s="15"/>
      <c r="E2655" s="15"/>
      <c r="F2655" s="24"/>
      <c r="G2655" s="17"/>
      <c r="H2655" s="17"/>
      <c r="I2655" s="15"/>
      <c r="J2655" s="25">
        <f>IF($D2655="","",IFERROR(INDEX(PacNome,MATCH($D2655,PacCod,0)),"Paciente não cadastrado"))</f>
        <v>0</v>
      </c>
      <c r="K2655" s="26">
        <f>IF($D2655="","",IFERROR(INDEX(PacConv,MATCH($D2655,PacCod,0))&amp;"",""))</f>
        <v>0</v>
      </c>
      <c r="L2655" s="26">
        <f>IF($A2655="","",CHOOSE(WEEKDAY($A2655,2),"Seg","Ter","Qua","Qui","Sex","Sáb","Dom"))</f>
        <v>0</v>
      </c>
      <c r="M2655" s="27">
        <f>IF($E2655="","",IF($G2655&lt;&gt;"",$G2655,IFERROR(INDEX(ProcValor,MATCH($E2655,ProcNome,0)),0)))</f>
        <v>0</v>
      </c>
      <c r="N2655" s="27">
        <f>IF($M2655="","",IF($F2655="Compareceu",$M2655,0))</f>
        <v>0</v>
      </c>
      <c r="O2655" s="27">
        <f>IF($M2655="","",IF($F2655="Faltou",$M2655,0))</f>
        <v>0</v>
      </c>
      <c r="P2655" s="27">
        <f>IF($M2655="","",IF($F2655="Compareceu",MAX(0,$M2655-N($H2655)),0))</f>
        <v>0</v>
      </c>
      <c r="Q2655" s="19">
        <f>IF(AND($F2655="Compareceu",$E2655&lt;&gt;"",$A2655&lt;&gt;""),IF(IFERROR(INDEX(ProcRet,MATCH($E2655,ProcNome,0)),0)&gt;0,$A2655+INDEX(ProcRet,MATCH($E2655,ProcNome,0)),""),"")</f>
        <v>0</v>
      </c>
      <c r="R2655" s="26">
        <f>IF($Q2655="","",IF(COUNTIFS(AgPac,$D2655,AgData,"&gt;"&amp;$A2655,AgStatus,"&lt;&gt;Cancelado",AgStatus,"&lt;&gt;Remarcado")&gt;0,"Sim","Não"))</f>
        <v>0</v>
      </c>
      <c r="S2655" s="28">
        <f>IF($A2655="","",IF(AND($F2655="Agendado",$A2655-Hoje&gt;=0,$A2655-Hoje&lt;=DiasConf),"CONFIRMAR",IF(AND($A2655&lt;Hoje,OR($F2655="Agendado",$F2655="Confirmado")),"Atualizar status",IF(AND($F2655="Compareceu",$P2655&gt;0.005),"Cobrar",IF($F2655="Faltou","Falta: reagendar","")))))</f>
        <v>0</v>
      </c>
      <c r="T2655" s="29">
        <f>IF($A2655="","",DATE(YEAR($A2655),MONTH($A2655),1))</f>
        <v>0</v>
      </c>
      <c r="U2655" s="30">
        <f>IF($S2655="CONFIRMAR",MAX($U$4:$U2654)+1,"")</f>
        <v>0</v>
      </c>
      <c r="V2655" s="30">
        <f>IF(AND($R2655="Não",$Q2655&lt;&gt;"",$Q2655&lt;=Hoje+JanelaRet,$Q2655&gt;=Hoje-60),MAX($V$4:$V2654)+1,"")</f>
        <v>0</v>
      </c>
    </row>
    <row r="2656" spans="1:22">
      <c r="A2656" s="16"/>
      <c r="B2656" s="23"/>
      <c r="C2656" s="15"/>
      <c r="D2656" s="15"/>
      <c r="E2656" s="15"/>
      <c r="F2656" s="24"/>
      <c r="G2656" s="17"/>
      <c r="H2656" s="17"/>
      <c r="I2656" s="15"/>
      <c r="J2656" s="25">
        <f>IF($D2656="","",IFERROR(INDEX(PacNome,MATCH($D2656,PacCod,0)),"Paciente não cadastrado"))</f>
        <v>0</v>
      </c>
      <c r="K2656" s="26">
        <f>IF($D2656="","",IFERROR(INDEX(PacConv,MATCH($D2656,PacCod,0))&amp;"",""))</f>
        <v>0</v>
      </c>
      <c r="L2656" s="26">
        <f>IF($A2656="","",CHOOSE(WEEKDAY($A2656,2),"Seg","Ter","Qua","Qui","Sex","Sáb","Dom"))</f>
        <v>0</v>
      </c>
      <c r="M2656" s="27">
        <f>IF($E2656="","",IF($G2656&lt;&gt;"",$G2656,IFERROR(INDEX(ProcValor,MATCH($E2656,ProcNome,0)),0)))</f>
        <v>0</v>
      </c>
      <c r="N2656" s="27">
        <f>IF($M2656="","",IF($F2656="Compareceu",$M2656,0))</f>
        <v>0</v>
      </c>
      <c r="O2656" s="27">
        <f>IF($M2656="","",IF($F2656="Faltou",$M2656,0))</f>
        <v>0</v>
      </c>
      <c r="P2656" s="27">
        <f>IF($M2656="","",IF($F2656="Compareceu",MAX(0,$M2656-N($H2656)),0))</f>
        <v>0</v>
      </c>
      <c r="Q2656" s="19">
        <f>IF(AND($F2656="Compareceu",$E2656&lt;&gt;"",$A2656&lt;&gt;""),IF(IFERROR(INDEX(ProcRet,MATCH($E2656,ProcNome,0)),0)&gt;0,$A2656+INDEX(ProcRet,MATCH($E2656,ProcNome,0)),""),"")</f>
        <v>0</v>
      </c>
      <c r="R2656" s="26">
        <f>IF($Q2656="","",IF(COUNTIFS(AgPac,$D2656,AgData,"&gt;"&amp;$A2656,AgStatus,"&lt;&gt;Cancelado",AgStatus,"&lt;&gt;Remarcado")&gt;0,"Sim","Não"))</f>
        <v>0</v>
      </c>
      <c r="S2656" s="28">
        <f>IF($A2656="","",IF(AND($F2656="Agendado",$A2656-Hoje&gt;=0,$A2656-Hoje&lt;=DiasConf),"CONFIRMAR",IF(AND($A2656&lt;Hoje,OR($F2656="Agendado",$F2656="Confirmado")),"Atualizar status",IF(AND($F2656="Compareceu",$P2656&gt;0.005),"Cobrar",IF($F2656="Faltou","Falta: reagendar","")))))</f>
        <v>0</v>
      </c>
      <c r="T2656" s="29">
        <f>IF($A2656="","",DATE(YEAR($A2656),MONTH($A2656),1))</f>
        <v>0</v>
      </c>
      <c r="U2656" s="30">
        <f>IF($S2656="CONFIRMAR",MAX($U$4:$U2655)+1,"")</f>
        <v>0</v>
      </c>
      <c r="V2656" s="30">
        <f>IF(AND($R2656="Não",$Q2656&lt;&gt;"",$Q2656&lt;=Hoje+JanelaRet,$Q2656&gt;=Hoje-60),MAX($V$4:$V2655)+1,"")</f>
        <v>0</v>
      </c>
    </row>
    <row r="2657" spans="1:22">
      <c r="A2657" s="16"/>
      <c r="B2657" s="23"/>
      <c r="C2657" s="15"/>
      <c r="D2657" s="15"/>
      <c r="E2657" s="15"/>
      <c r="F2657" s="24"/>
      <c r="G2657" s="17"/>
      <c r="H2657" s="17"/>
      <c r="I2657" s="15"/>
      <c r="J2657" s="25">
        <f>IF($D2657="","",IFERROR(INDEX(PacNome,MATCH($D2657,PacCod,0)),"Paciente não cadastrado"))</f>
        <v>0</v>
      </c>
      <c r="K2657" s="26">
        <f>IF($D2657="","",IFERROR(INDEX(PacConv,MATCH($D2657,PacCod,0))&amp;"",""))</f>
        <v>0</v>
      </c>
      <c r="L2657" s="26">
        <f>IF($A2657="","",CHOOSE(WEEKDAY($A2657,2),"Seg","Ter","Qua","Qui","Sex","Sáb","Dom"))</f>
        <v>0</v>
      </c>
      <c r="M2657" s="27">
        <f>IF($E2657="","",IF($G2657&lt;&gt;"",$G2657,IFERROR(INDEX(ProcValor,MATCH($E2657,ProcNome,0)),0)))</f>
        <v>0</v>
      </c>
      <c r="N2657" s="27">
        <f>IF($M2657="","",IF($F2657="Compareceu",$M2657,0))</f>
        <v>0</v>
      </c>
      <c r="O2657" s="27">
        <f>IF($M2657="","",IF($F2657="Faltou",$M2657,0))</f>
        <v>0</v>
      </c>
      <c r="P2657" s="27">
        <f>IF($M2657="","",IF($F2657="Compareceu",MAX(0,$M2657-N($H2657)),0))</f>
        <v>0</v>
      </c>
      <c r="Q2657" s="19">
        <f>IF(AND($F2657="Compareceu",$E2657&lt;&gt;"",$A2657&lt;&gt;""),IF(IFERROR(INDEX(ProcRet,MATCH($E2657,ProcNome,0)),0)&gt;0,$A2657+INDEX(ProcRet,MATCH($E2657,ProcNome,0)),""),"")</f>
        <v>0</v>
      </c>
      <c r="R2657" s="26">
        <f>IF($Q2657="","",IF(COUNTIFS(AgPac,$D2657,AgData,"&gt;"&amp;$A2657,AgStatus,"&lt;&gt;Cancelado",AgStatus,"&lt;&gt;Remarcado")&gt;0,"Sim","Não"))</f>
        <v>0</v>
      </c>
      <c r="S2657" s="28">
        <f>IF($A2657="","",IF(AND($F2657="Agendado",$A2657-Hoje&gt;=0,$A2657-Hoje&lt;=DiasConf),"CONFIRMAR",IF(AND($A2657&lt;Hoje,OR($F2657="Agendado",$F2657="Confirmado")),"Atualizar status",IF(AND($F2657="Compareceu",$P2657&gt;0.005),"Cobrar",IF($F2657="Faltou","Falta: reagendar","")))))</f>
        <v>0</v>
      </c>
      <c r="T2657" s="29">
        <f>IF($A2657="","",DATE(YEAR($A2657),MONTH($A2657),1))</f>
        <v>0</v>
      </c>
      <c r="U2657" s="30">
        <f>IF($S2657="CONFIRMAR",MAX($U$4:$U2656)+1,"")</f>
        <v>0</v>
      </c>
      <c r="V2657" s="30">
        <f>IF(AND($R2657="Não",$Q2657&lt;&gt;"",$Q2657&lt;=Hoje+JanelaRet,$Q2657&gt;=Hoje-60),MAX($V$4:$V2656)+1,"")</f>
        <v>0</v>
      </c>
    </row>
    <row r="2658" spans="1:22">
      <c r="A2658" s="16"/>
      <c r="B2658" s="23"/>
      <c r="C2658" s="15"/>
      <c r="D2658" s="15"/>
      <c r="E2658" s="15"/>
      <c r="F2658" s="24"/>
      <c r="G2658" s="17"/>
      <c r="H2658" s="17"/>
      <c r="I2658" s="15"/>
      <c r="J2658" s="25">
        <f>IF($D2658="","",IFERROR(INDEX(PacNome,MATCH($D2658,PacCod,0)),"Paciente não cadastrado"))</f>
        <v>0</v>
      </c>
      <c r="K2658" s="26">
        <f>IF($D2658="","",IFERROR(INDEX(PacConv,MATCH($D2658,PacCod,0))&amp;"",""))</f>
        <v>0</v>
      </c>
      <c r="L2658" s="26">
        <f>IF($A2658="","",CHOOSE(WEEKDAY($A2658,2),"Seg","Ter","Qua","Qui","Sex","Sáb","Dom"))</f>
        <v>0</v>
      </c>
      <c r="M2658" s="27">
        <f>IF($E2658="","",IF($G2658&lt;&gt;"",$G2658,IFERROR(INDEX(ProcValor,MATCH($E2658,ProcNome,0)),0)))</f>
        <v>0</v>
      </c>
      <c r="N2658" s="27">
        <f>IF($M2658="","",IF($F2658="Compareceu",$M2658,0))</f>
        <v>0</v>
      </c>
      <c r="O2658" s="27">
        <f>IF($M2658="","",IF($F2658="Faltou",$M2658,0))</f>
        <v>0</v>
      </c>
      <c r="P2658" s="27">
        <f>IF($M2658="","",IF($F2658="Compareceu",MAX(0,$M2658-N($H2658)),0))</f>
        <v>0</v>
      </c>
      <c r="Q2658" s="19">
        <f>IF(AND($F2658="Compareceu",$E2658&lt;&gt;"",$A2658&lt;&gt;""),IF(IFERROR(INDEX(ProcRet,MATCH($E2658,ProcNome,0)),0)&gt;0,$A2658+INDEX(ProcRet,MATCH($E2658,ProcNome,0)),""),"")</f>
        <v>0</v>
      </c>
      <c r="R2658" s="26">
        <f>IF($Q2658="","",IF(COUNTIFS(AgPac,$D2658,AgData,"&gt;"&amp;$A2658,AgStatus,"&lt;&gt;Cancelado",AgStatus,"&lt;&gt;Remarcado")&gt;0,"Sim","Não"))</f>
        <v>0</v>
      </c>
      <c r="S2658" s="28">
        <f>IF($A2658="","",IF(AND($F2658="Agendado",$A2658-Hoje&gt;=0,$A2658-Hoje&lt;=DiasConf),"CONFIRMAR",IF(AND($A2658&lt;Hoje,OR($F2658="Agendado",$F2658="Confirmado")),"Atualizar status",IF(AND($F2658="Compareceu",$P2658&gt;0.005),"Cobrar",IF($F2658="Faltou","Falta: reagendar","")))))</f>
        <v>0</v>
      </c>
      <c r="T2658" s="29">
        <f>IF($A2658="","",DATE(YEAR($A2658),MONTH($A2658),1))</f>
        <v>0</v>
      </c>
      <c r="U2658" s="30">
        <f>IF($S2658="CONFIRMAR",MAX($U$4:$U2657)+1,"")</f>
        <v>0</v>
      </c>
      <c r="V2658" s="30">
        <f>IF(AND($R2658="Não",$Q2658&lt;&gt;"",$Q2658&lt;=Hoje+JanelaRet,$Q2658&gt;=Hoje-60),MAX($V$4:$V2657)+1,"")</f>
        <v>0</v>
      </c>
    </row>
    <row r="2659" spans="1:22">
      <c r="A2659" s="16"/>
      <c r="B2659" s="23"/>
      <c r="C2659" s="15"/>
      <c r="D2659" s="15"/>
      <c r="E2659" s="15"/>
      <c r="F2659" s="24"/>
      <c r="G2659" s="17"/>
      <c r="H2659" s="17"/>
      <c r="I2659" s="15"/>
      <c r="J2659" s="25">
        <f>IF($D2659="","",IFERROR(INDEX(PacNome,MATCH($D2659,PacCod,0)),"Paciente não cadastrado"))</f>
        <v>0</v>
      </c>
      <c r="K2659" s="26">
        <f>IF($D2659="","",IFERROR(INDEX(PacConv,MATCH($D2659,PacCod,0))&amp;"",""))</f>
        <v>0</v>
      </c>
      <c r="L2659" s="26">
        <f>IF($A2659="","",CHOOSE(WEEKDAY($A2659,2),"Seg","Ter","Qua","Qui","Sex","Sáb","Dom"))</f>
        <v>0</v>
      </c>
      <c r="M2659" s="27">
        <f>IF($E2659="","",IF($G2659&lt;&gt;"",$G2659,IFERROR(INDEX(ProcValor,MATCH($E2659,ProcNome,0)),0)))</f>
        <v>0</v>
      </c>
      <c r="N2659" s="27">
        <f>IF($M2659="","",IF($F2659="Compareceu",$M2659,0))</f>
        <v>0</v>
      </c>
      <c r="O2659" s="27">
        <f>IF($M2659="","",IF($F2659="Faltou",$M2659,0))</f>
        <v>0</v>
      </c>
      <c r="P2659" s="27">
        <f>IF($M2659="","",IF($F2659="Compareceu",MAX(0,$M2659-N($H2659)),0))</f>
        <v>0</v>
      </c>
      <c r="Q2659" s="19">
        <f>IF(AND($F2659="Compareceu",$E2659&lt;&gt;"",$A2659&lt;&gt;""),IF(IFERROR(INDEX(ProcRet,MATCH($E2659,ProcNome,0)),0)&gt;0,$A2659+INDEX(ProcRet,MATCH($E2659,ProcNome,0)),""),"")</f>
        <v>0</v>
      </c>
      <c r="R2659" s="26">
        <f>IF($Q2659="","",IF(COUNTIFS(AgPac,$D2659,AgData,"&gt;"&amp;$A2659,AgStatus,"&lt;&gt;Cancelado",AgStatus,"&lt;&gt;Remarcado")&gt;0,"Sim","Não"))</f>
        <v>0</v>
      </c>
      <c r="S2659" s="28">
        <f>IF($A2659="","",IF(AND($F2659="Agendado",$A2659-Hoje&gt;=0,$A2659-Hoje&lt;=DiasConf),"CONFIRMAR",IF(AND($A2659&lt;Hoje,OR($F2659="Agendado",$F2659="Confirmado")),"Atualizar status",IF(AND($F2659="Compareceu",$P2659&gt;0.005),"Cobrar",IF($F2659="Faltou","Falta: reagendar","")))))</f>
        <v>0</v>
      </c>
      <c r="T2659" s="29">
        <f>IF($A2659="","",DATE(YEAR($A2659),MONTH($A2659),1))</f>
        <v>0</v>
      </c>
      <c r="U2659" s="30">
        <f>IF($S2659="CONFIRMAR",MAX($U$4:$U2658)+1,"")</f>
        <v>0</v>
      </c>
      <c r="V2659" s="30">
        <f>IF(AND($R2659="Não",$Q2659&lt;&gt;"",$Q2659&lt;=Hoje+JanelaRet,$Q2659&gt;=Hoje-60),MAX($V$4:$V2658)+1,"")</f>
        <v>0</v>
      </c>
    </row>
    <row r="2660" spans="1:22">
      <c r="A2660" s="16"/>
      <c r="B2660" s="23"/>
      <c r="C2660" s="15"/>
      <c r="D2660" s="15"/>
      <c r="E2660" s="15"/>
      <c r="F2660" s="24"/>
      <c r="G2660" s="17"/>
      <c r="H2660" s="17"/>
      <c r="I2660" s="15"/>
      <c r="J2660" s="25">
        <f>IF($D2660="","",IFERROR(INDEX(PacNome,MATCH($D2660,PacCod,0)),"Paciente não cadastrado"))</f>
        <v>0</v>
      </c>
      <c r="K2660" s="26">
        <f>IF($D2660="","",IFERROR(INDEX(PacConv,MATCH($D2660,PacCod,0))&amp;"",""))</f>
        <v>0</v>
      </c>
      <c r="L2660" s="26">
        <f>IF($A2660="","",CHOOSE(WEEKDAY($A2660,2),"Seg","Ter","Qua","Qui","Sex","Sáb","Dom"))</f>
        <v>0</v>
      </c>
      <c r="M2660" s="27">
        <f>IF($E2660="","",IF($G2660&lt;&gt;"",$G2660,IFERROR(INDEX(ProcValor,MATCH($E2660,ProcNome,0)),0)))</f>
        <v>0</v>
      </c>
      <c r="N2660" s="27">
        <f>IF($M2660="","",IF($F2660="Compareceu",$M2660,0))</f>
        <v>0</v>
      </c>
      <c r="O2660" s="27">
        <f>IF($M2660="","",IF($F2660="Faltou",$M2660,0))</f>
        <v>0</v>
      </c>
      <c r="P2660" s="27">
        <f>IF($M2660="","",IF($F2660="Compareceu",MAX(0,$M2660-N($H2660)),0))</f>
        <v>0</v>
      </c>
      <c r="Q2660" s="19">
        <f>IF(AND($F2660="Compareceu",$E2660&lt;&gt;"",$A2660&lt;&gt;""),IF(IFERROR(INDEX(ProcRet,MATCH($E2660,ProcNome,0)),0)&gt;0,$A2660+INDEX(ProcRet,MATCH($E2660,ProcNome,0)),""),"")</f>
        <v>0</v>
      </c>
      <c r="R2660" s="26">
        <f>IF($Q2660="","",IF(COUNTIFS(AgPac,$D2660,AgData,"&gt;"&amp;$A2660,AgStatus,"&lt;&gt;Cancelado",AgStatus,"&lt;&gt;Remarcado")&gt;0,"Sim","Não"))</f>
        <v>0</v>
      </c>
      <c r="S2660" s="28">
        <f>IF($A2660="","",IF(AND($F2660="Agendado",$A2660-Hoje&gt;=0,$A2660-Hoje&lt;=DiasConf),"CONFIRMAR",IF(AND($A2660&lt;Hoje,OR($F2660="Agendado",$F2660="Confirmado")),"Atualizar status",IF(AND($F2660="Compareceu",$P2660&gt;0.005),"Cobrar",IF($F2660="Faltou","Falta: reagendar","")))))</f>
        <v>0</v>
      </c>
      <c r="T2660" s="29">
        <f>IF($A2660="","",DATE(YEAR($A2660),MONTH($A2660),1))</f>
        <v>0</v>
      </c>
      <c r="U2660" s="30">
        <f>IF($S2660="CONFIRMAR",MAX($U$4:$U2659)+1,"")</f>
        <v>0</v>
      </c>
      <c r="V2660" s="30">
        <f>IF(AND($R2660="Não",$Q2660&lt;&gt;"",$Q2660&lt;=Hoje+JanelaRet,$Q2660&gt;=Hoje-60),MAX($V$4:$V2659)+1,"")</f>
        <v>0</v>
      </c>
    </row>
    <row r="2661" spans="1:22">
      <c r="A2661" s="16"/>
      <c r="B2661" s="23"/>
      <c r="C2661" s="15"/>
      <c r="D2661" s="15"/>
      <c r="E2661" s="15"/>
      <c r="F2661" s="24"/>
      <c r="G2661" s="17"/>
      <c r="H2661" s="17"/>
      <c r="I2661" s="15"/>
      <c r="J2661" s="25">
        <f>IF($D2661="","",IFERROR(INDEX(PacNome,MATCH($D2661,PacCod,0)),"Paciente não cadastrado"))</f>
        <v>0</v>
      </c>
      <c r="K2661" s="26">
        <f>IF($D2661="","",IFERROR(INDEX(PacConv,MATCH($D2661,PacCod,0))&amp;"",""))</f>
        <v>0</v>
      </c>
      <c r="L2661" s="26">
        <f>IF($A2661="","",CHOOSE(WEEKDAY($A2661,2),"Seg","Ter","Qua","Qui","Sex","Sáb","Dom"))</f>
        <v>0</v>
      </c>
      <c r="M2661" s="27">
        <f>IF($E2661="","",IF($G2661&lt;&gt;"",$G2661,IFERROR(INDEX(ProcValor,MATCH($E2661,ProcNome,0)),0)))</f>
        <v>0</v>
      </c>
      <c r="N2661" s="27">
        <f>IF($M2661="","",IF($F2661="Compareceu",$M2661,0))</f>
        <v>0</v>
      </c>
      <c r="O2661" s="27">
        <f>IF($M2661="","",IF($F2661="Faltou",$M2661,0))</f>
        <v>0</v>
      </c>
      <c r="P2661" s="27">
        <f>IF($M2661="","",IF($F2661="Compareceu",MAX(0,$M2661-N($H2661)),0))</f>
        <v>0</v>
      </c>
      <c r="Q2661" s="19">
        <f>IF(AND($F2661="Compareceu",$E2661&lt;&gt;"",$A2661&lt;&gt;""),IF(IFERROR(INDEX(ProcRet,MATCH($E2661,ProcNome,0)),0)&gt;0,$A2661+INDEX(ProcRet,MATCH($E2661,ProcNome,0)),""),"")</f>
        <v>0</v>
      </c>
      <c r="R2661" s="26">
        <f>IF($Q2661="","",IF(COUNTIFS(AgPac,$D2661,AgData,"&gt;"&amp;$A2661,AgStatus,"&lt;&gt;Cancelado",AgStatus,"&lt;&gt;Remarcado")&gt;0,"Sim","Não"))</f>
        <v>0</v>
      </c>
      <c r="S2661" s="28">
        <f>IF($A2661="","",IF(AND($F2661="Agendado",$A2661-Hoje&gt;=0,$A2661-Hoje&lt;=DiasConf),"CONFIRMAR",IF(AND($A2661&lt;Hoje,OR($F2661="Agendado",$F2661="Confirmado")),"Atualizar status",IF(AND($F2661="Compareceu",$P2661&gt;0.005),"Cobrar",IF($F2661="Faltou","Falta: reagendar","")))))</f>
        <v>0</v>
      </c>
      <c r="T2661" s="29">
        <f>IF($A2661="","",DATE(YEAR($A2661),MONTH($A2661),1))</f>
        <v>0</v>
      </c>
      <c r="U2661" s="30">
        <f>IF($S2661="CONFIRMAR",MAX($U$4:$U2660)+1,"")</f>
        <v>0</v>
      </c>
      <c r="V2661" s="30">
        <f>IF(AND($R2661="Não",$Q2661&lt;&gt;"",$Q2661&lt;=Hoje+JanelaRet,$Q2661&gt;=Hoje-60),MAX($V$4:$V2660)+1,"")</f>
        <v>0</v>
      </c>
    </row>
    <row r="2662" spans="1:22">
      <c r="A2662" s="16"/>
      <c r="B2662" s="23"/>
      <c r="C2662" s="15"/>
      <c r="D2662" s="15"/>
      <c r="E2662" s="15"/>
      <c r="F2662" s="24"/>
      <c r="G2662" s="17"/>
      <c r="H2662" s="17"/>
      <c r="I2662" s="15"/>
      <c r="J2662" s="25">
        <f>IF($D2662="","",IFERROR(INDEX(PacNome,MATCH($D2662,PacCod,0)),"Paciente não cadastrado"))</f>
        <v>0</v>
      </c>
      <c r="K2662" s="26">
        <f>IF($D2662="","",IFERROR(INDEX(PacConv,MATCH($D2662,PacCod,0))&amp;"",""))</f>
        <v>0</v>
      </c>
      <c r="L2662" s="26">
        <f>IF($A2662="","",CHOOSE(WEEKDAY($A2662,2),"Seg","Ter","Qua","Qui","Sex","Sáb","Dom"))</f>
        <v>0</v>
      </c>
      <c r="M2662" s="27">
        <f>IF($E2662="","",IF($G2662&lt;&gt;"",$G2662,IFERROR(INDEX(ProcValor,MATCH($E2662,ProcNome,0)),0)))</f>
        <v>0</v>
      </c>
      <c r="N2662" s="27">
        <f>IF($M2662="","",IF($F2662="Compareceu",$M2662,0))</f>
        <v>0</v>
      </c>
      <c r="O2662" s="27">
        <f>IF($M2662="","",IF($F2662="Faltou",$M2662,0))</f>
        <v>0</v>
      </c>
      <c r="P2662" s="27">
        <f>IF($M2662="","",IF($F2662="Compareceu",MAX(0,$M2662-N($H2662)),0))</f>
        <v>0</v>
      </c>
      <c r="Q2662" s="19">
        <f>IF(AND($F2662="Compareceu",$E2662&lt;&gt;"",$A2662&lt;&gt;""),IF(IFERROR(INDEX(ProcRet,MATCH($E2662,ProcNome,0)),0)&gt;0,$A2662+INDEX(ProcRet,MATCH($E2662,ProcNome,0)),""),"")</f>
        <v>0</v>
      </c>
      <c r="R2662" s="26">
        <f>IF($Q2662="","",IF(COUNTIFS(AgPac,$D2662,AgData,"&gt;"&amp;$A2662,AgStatus,"&lt;&gt;Cancelado",AgStatus,"&lt;&gt;Remarcado")&gt;0,"Sim","Não"))</f>
        <v>0</v>
      </c>
      <c r="S2662" s="28">
        <f>IF($A2662="","",IF(AND($F2662="Agendado",$A2662-Hoje&gt;=0,$A2662-Hoje&lt;=DiasConf),"CONFIRMAR",IF(AND($A2662&lt;Hoje,OR($F2662="Agendado",$F2662="Confirmado")),"Atualizar status",IF(AND($F2662="Compareceu",$P2662&gt;0.005),"Cobrar",IF($F2662="Faltou","Falta: reagendar","")))))</f>
        <v>0</v>
      </c>
      <c r="T2662" s="29">
        <f>IF($A2662="","",DATE(YEAR($A2662),MONTH($A2662),1))</f>
        <v>0</v>
      </c>
      <c r="U2662" s="30">
        <f>IF($S2662="CONFIRMAR",MAX($U$4:$U2661)+1,"")</f>
        <v>0</v>
      </c>
      <c r="V2662" s="30">
        <f>IF(AND($R2662="Não",$Q2662&lt;&gt;"",$Q2662&lt;=Hoje+JanelaRet,$Q2662&gt;=Hoje-60),MAX($V$4:$V2661)+1,"")</f>
        <v>0</v>
      </c>
    </row>
    <row r="2663" spans="1:22">
      <c r="A2663" s="16"/>
      <c r="B2663" s="23"/>
      <c r="C2663" s="15"/>
      <c r="D2663" s="15"/>
      <c r="E2663" s="15"/>
      <c r="F2663" s="24"/>
      <c r="G2663" s="17"/>
      <c r="H2663" s="17"/>
      <c r="I2663" s="15"/>
      <c r="J2663" s="25">
        <f>IF($D2663="","",IFERROR(INDEX(PacNome,MATCH($D2663,PacCod,0)),"Paciente não cadastrado"))</f>
        <v>0</v>
      </c>
      <c r="K2663" s="26">
        <f>IF($D2663="","",IFERROR(INDEX(PacConv,MATCH($D2663,PacCod,0))&amp;"",""))</f>
        <v>0</v>
      </c>
      <c r="L2663" s="26">
        <f>IF($A2663="","",CHOOSE(WEEKDAY($A2663,2),"Seg","Ter","Qua","Qui","Sex","Sáb","Dom"))</f>
        <v>0</v>
      </c>
      <c r="M2663" s="27">
        <f>IF($E2663="","",IF($G2663&lt;&gt;"",$G2663,IFERROR(INDEX(ProcValor,MATCH($E2663,ProcNome,0)),0)))</f>
        <v>0</v>
      </c>
      <c r="N2663" s="27">
        <f>IF($M2663="","",IF($F2663="Compareceu",$M2663,0))</f>
        <v>0</v>
      </c>
      <c r="O2663" s="27">
        <f>IF($M2663="","",IF($F2663="Faltou",$M2663,0))</f>
        <v>0</v>
      </c>
      <c r="P2663" s="27">
        <f>IF($M2663="","",IF($F2663="Compareceu",MAX(0,$M2663-N($H2663)),0))</f>
        <v>0</v>
      </c>
      <c r="Q2663" s="19">
        <f>IF(AND($F2663="Compareceu",$E2663&lt;&gt;"",$A2663&lt;&gt;""),IF(IFERROR(INDEX(ProcRet,MATCH($E2663,ProcNome,0)),0)&gt;0,$A2663+INDEX(ProcRet,MATCH($E2663,ProcNome,0)),""),"")</f>
        <v>0</v>
      </c>
      <c r="R2663" s="26">
        <f>IF($Q2663="","",IF(COUNTIFS(AgPac,$D2663,AgData,"&gt;"&amp;$A2663,AgStatus,"&lt;&gt;Cancelado",AgStatus,"&lt;&gt;Remarcado")&gt;0,"Sim","Não"))</f>
        <v>0</v>
      </c>
      <c r="S2663" s="28">
        <f>IF($A2663="","",IF(AND($F2663="Agendado",$A2663-Hoje&gt;=0,$A2663-Hoje&lt;=DiasConf),"CONFIRMAR",IF(AND($A2663&lt;Hoje,OR($F2663="Agendado",$F2663="Confirmado")),"Atualizar status",IF(AND($F2663="Compareceu",$P2663&gt;0.005),"Cobrar",IF($F2663="Faltou","Falta: reagendar","")))))</f>
        <v>0</v>
      </c>
      <c r="T2663" s="29">
        <f>IF($A2663="","",DATE(YEAR($A2663),MONTH($A2663),1))</f>
        <v>0</v>
      </c>
      <c r="U2663" s="30">
        <f>IF($S2663="CONFIRMAR",MAX($U$4:$U2662)+1,"")</f>
        <v>0</v>
      </c>
      <c r="V2663" s="30">
        <f>IF(AND($R2663="Não",$Q2663&lt;&gt;"",$Q2663&lt;=Hoje+JanelaRet,$Q2663&gt;=Hoje-60),MAX($V$4:$V2662)+1,"")</f>
        <v>0</v>
      </c>
    </row>
    <row r="2664" spans="1:22">
      <c r="A2664" s="16"/>
      <c r="B2664" s="23"/>
      <c r="C2664" s="15"/>
      <c r="D2664" s="15"/>
      <c r="E2664" s="15"/>
      <c r="F2664" s="24"/>
      <c r="G2664" s="17"/>
      <c r="H2664" s="17"/>
      <c r="I2664" s="15"/>
      <c r="J2664" s="25">
        <f>IF($D2664="","",IFERROR(INDEX(PacNome,MATCH($D2664,PacCod,0)),"Paciente não cadastrado"))</f>
        <v>0</v>
      </c>
      <c r="K2664" s="26">
        <f>IF($D2664="","",IFERROR(INDEX(PacConv,MATCH($D2664,PacCod,0))&amp;"",""))</f>
        <v>0</v>
      </c>
      <c r="L2664" s="26">
        <f>IF($A2664="","",CHOOSE(WEEKDAY($A2664,2),"Seg","Ter","Qua","Qui","Sex","Sáb","Dom"))</f>
        <v>0</v>
      </c>
      <c r="M2664" s="27">
        <f>IF($E2664="","",IF($G2664&lt;&gt;"",$G2664,IFERROR(INDEX(ProcValor,MATCH($E2664,ProcNome,0)),0)))</f>
        <v>0</v>
      </c>
      <c r="N2664" s="27">
        <f>IF($M2664="","",IF($F2664="Compareceu",$M2664,0))</f>
        <v>0</v>
      </c>
      <c r="O2664" s="27">
        <f>IF($M2664="","",IF($F2664="Faltou",$M2664,0))</f>
        <v>0</v>
      </c>
      <c r="P2664" s="27">
        <f>IF($M2664="","",IF($F2664="Compareceu",MAX(0,$M2664-N($H2664)),0))</f>
        <v>0</v>
      </c>
      <c r="Q2664" s="19">
        <f>IF(AND($F2664="Compareceu",$E2664&lt;&gt;"",$A2664&lt;&gt;""),IF(IFERROR(INDEX(ProcRet,MATCH($E2664,ProcNome,0)),0)&gt;0,$A2664+INDEX(ProcRet,MATCH($E2664,ProcNome,0)),""),"")</f>
        <v>0</v>
      </c>
      <c r="R2664" s="26">
        <f>IF($Q2664="","",IF(COUNTIFS(AgPac,$D2664,AgData,"&gt;"&amp;$A2664,AgStatus,"&lt;&gt;Cancelado",AgStatus,"&lt;&gt;Remarcado")&gt;0,"Sim","Não"))</f>
        <v>0</v>
      </c>
      <c r="S2664" s="28">
        <f>IF($A2664="","",IF(AND($F2664="Agendado",$A2664-Hoje&gt;=0,$A2664-Hoje&lt;=DiasConf),"CONFIRMAR",IF(AND($A2664&lt;Hoje,OR($F2664="Agendado",$F2664="Confirmado")),"Atualizar status",IF(AND($F2664="Compareceu",$P2664&gt;0.005),"Cobrar",IF($F2664="Faltou","Falta: reagendar","")))))</f>
        <v>0</v>
      </c>
      <c r="T2664" s="29">
        <f>IF($A2664="","",DATE(YEAR($A2664),MONTH($A2664),1))</f>
        <v>0</v>
      </c>
      <c r="U2664" s="30">
        <f>IF($S2664="CONFIRMAR",MAX($U$4:$U2663)+1,"")</f>
        <v>0</v>
      </c>
      <c r="V2664" s="30">
        <f>IF(AND($R2664="Não",$Q2664&lt;&gt;"",$Q2664&lt;=Hoje+JanelaRet,$Q2664&gt;=Hoje-60),MAX($V$4:$V2663)+1,"")</f>
        <v>0</v>
      </c>
    </row>
    <row r="2665" spans="1:22">
      <c r="A2665" s="16"/>
      <c r="B2665" s="23"/>
      <c r="C2665" s="15"/>
      <c r="D2665" s="15"/>
      <c r="E2665" s="15"/>
      <c r="F2665" s="24"/>
      <c r="G2665" s="17"/>
      <c r="H2665" s="17"/>
      <c r="I2665" s="15"/>
      <c r="J2665" s="25">
        <f>IF($D2665="","",IFERROR(INDEX(PacNome,MATCH($D2665,PacCod,0)),"Paciente não cadastrado"))</f>
        <v>0</v>
      </c>
      <c r="K2665" s="26">
        <f>IF($D2665="","",IFERROR(INDEX(PacConv,MATCH($D2665,PacCod,0))&amp;"",""))</f>
        <v>0</v>
      </c>
      <c r="L2665" s="26">
        <f>IF($A2665="","",CHOOSE(WEEKDAY($A2665,2),"Seg","Ter","Qua","Qui","Sex","Sáb","Dom"))</f>
        <v>0</v>
      </c>
      <c r="M2665" s="27">
        <f>IF($E2665="","",IF($G2665&lt;&gt;"",$G2665,IFERROR(INDEX(ProcValor,MATCH($E2665,ProcNome,0)),0)))</f>
        <v>0</v>
      </c>
      <c r="N2665" s="27">
        <f>IF($M2665="","",IF($F2665="Compareceu",$M2665,0))</f>
        <v>0</v>
      </c>
      <c r="O2665" s="27">
        <f>IF($M2665="","",IF($F2665="Faltou",$M2665,0))</f>
        <v>0</v>
      </c>
      <c r="P2665" s="27">
        <f>IF($M2665="","",IF($F2665="Compareceu",MAX(0,$M2665-N($H2665)),0))</f>
        <v>0</v>
      </c>
      <c r="Q2665" s="19">
        <f>IF(AND($F2665="Compareceu",$E2665&lt;&gt;"",$A2665&lt;&gt;""),IF(IFERROR(INDEX(ProcRet,MATCH($E2665,ProcNome,0)),0)&gt;0,$A2665+INDEX(ProcRet,MATCH($E2665,ProcNome,0)),""),"")</f>
        <v>0</v>
      </c>
      <c r="R2665" s="26">
        <f>IF($Q2665="","",IF(COUNTIFS(AgPac,$D2665,AgData,"&gt;"&amp;$A2665,AgStatus,"&lt;&gt;Cancelado",AgStatus,"&lt;&gt;Remarcado")&gt;0,"Sim","Não"))</f>
        <v>0</v>
      </c>
      <c r="S2665" s="28">
        <f>IF($A2665="","",IF(AND($F2665="Agendado",$A2665-Hoje&gt;=0,$A2665-Hoje&lt;=DiasConf),"CONFIRMAR",IF(AND($A2665&lt;Hoje,OR($F2665="Agendado",$F2665="Confirmado")),"Atualizar status",IF(AND($F2665="Compareceu",$P2665&gt;0.005),"Cobrar",IF($F2665="Faltou","Falta: reagendar","")))))</f>
        <v>0</v>
      </c>
      <c r="T2665" s="29">
        <f>IF($A2665="","",DATE(YEAR($A2665),MONTH($A2665),1))</f>
        <v>0</v>
      </c>
      <c r="U2665" s="30">
        <f>IF($S2665="CONFIRMAR",MAX($U$4:$U2664)+1,"")</f>
        <v>0</v>
      </c>
      <c r="V2665" s="30">
        <f>IF(AND($R2665="Não",$Q2665&lt;&gt;"",$Q2665&lt;=Hoje+JanelaRet,$Q2665&gt;=Hoje-60),MAX($V$4:$V2664)+1,"")</f>
        <v>0</v>
      </c>
    </row>
    <row r="2666" spans="1:22">
      <c r="A2666" s="16"/>
      <c r="B2666" s="23"/>
      <c r="C2666" s="15"/>
      <c r="D2666" s="15"/>
      <c r="E2666" s="15"/>
      <c r="F2666" s="24"/>
      <c r="G2666" s="17"/>
      <c r="H2666" s="17"/>
      <c r="I2666" s="15"/>
      <c r="J2666" s="25">
        <f>IF($D2666="","",IFERROR(INDEX(PacNome,MATCH($D2666,PacCod,0)),"Paciente não cadastrado"))</f>
        <v>0</v>
      </c>
      <c r="K2666" s="26">
        <f>IF($D2666="","",IFERROR(INDEX(PacConv,MATCH($D2666,PacCod,0))&amp;"",""))</f>
        <v>0</v>
      </c>
      <c r="L2666" s="26">
        <f>IF($A2666="","",CHOOSE(WEEKDAY($A2666,2),"Seg","Ter","Qua","Qui","Sex","Sáb","Dom"))</f>
        <v>0</v>
      </c>
      <c r="M2666" s="27">
        <f>IF($E2666="","",IF($G2666&lt;&gt;"",$G2666,IFERROR(INDEX(ProcValor,MATCH($E2666,ProcNome,0)),0)))</f>
        <v>0</v>
      </c>
      <c r="N2666" s="27">
        <f>IF($M2666="","",IF($F2666="Compareceu",$M2666,0))</f>
        <v>0</v>
      </c>
      <c r="O2666" s="27">
        <f>IF($M2666="","",IF($F2666="Faltou",$M2666,0))</f>
        <v>0</v>
      </c>
      <c r="P2666" s="27">
        <f>IF($M2666="","",IF($F2666="Compareceu",MAX(0,$M2666-N($H2666)),0))</f>
        <v>0</v>
      </c>
      <c r="Q2666" s="19">
        <f>IF(AND($F2666="Compareceu",$E2666&lt;&gt;"",$A2666&lt;&gt;""),IF(IFERROR(INDEX(ProcRet,MATCH($E2666,ProcNome,0)),0)&gt;0,$A2666+INDEX(ProcRet,MATCH($E2666,ProcNome,0)),""),"")</f>
        <v>0</v>
      </c>
      <c r="R2666" s="26">
        <f>IF($Q2666="","",IF(COUNTIFS(AgPac,$D2666,AgData,"&gt;"&amp;$A2666,AgStatus,"&lt;&gt;Cancelado",AgStatus,"&lt;&gt;Remarcado")&gt;0,"Sim","Não"))</f>
        <v>0</v>
      </c>
      <c r="S2666" s="28">
        <f>IF($A2666="","",IF(AND($F2666="Agendado",$A2666-Hoje&gt;=0,$A2666-Hoje&lt;=DiasConf),"CONFIRMAR",IF(AND($A2666&lt;Hoje,OR($F2666="Agendado",$F2666="Confirmado")),"Atualizar status",IF(AND($F2666="Compareceu",$P2666&gt;0.005),"Cobrar",IF($F2666="Faltou","Falta: reagendar","")))))</f>
        <v>0</v>
      </c>
      <c r="T2666" s="29">
        <f>IF($A2666="","",DATE(YEAR($A2666),MONTH($A2666),1))</f>
        <v>0</v>
      </c>
      <c r="U2666" s="30">
        <f>IF($S2666="CONFIRMAR",MAX($U$4:$U2665)+1,"")</f>
        <v>0</v>
      </c>
      <c r="V2666" s="30">
        <f>IF(AND($R2666="Não",$Q2666&lt;&gt;"",$Q2666&lt;=Hoje+JanelaRet,$Q2666&gt;=Hoje-60),MAX($V$4:$V2665)+1,"")</f>
        <v>0</v>
      </c>
    </row>
    <row r="2667" spans="1:22">
      <c r="A2667" s="16"/>
      <c r="B2667" s="23"/>
      <c r="C2667" s="15"/>
      <c r="D2667" s="15"/>
      <c r="E2667" s="15"/>
      <c r="F2667" s="24"/>
      <c r="G2667" s="17"/>
      <c r="H2667" s="17"/>
      <c r="I2667" s="15"/>
      <c r="J2667" s="25">
        <f>IF($D2667="","",IFERROR(INDEX(PacNome,MATCH($D2667,PacCod,0)),"Paciente não cadastrado"))</f>
        <v>0</v>
      </c>
      <c r="K2667" s="26">
        <f>IF($D2667="","",IFERROR(INDEX(PacConv,MATCH($D2667,PacCod,0))&amp;"",""))</f>
        <v>0</v>
      </c>
      <c r="L2667" s="26">
        <f>IF($A2667="","",CHOOSE(WEEKDAY($A2667,2),"Seg","Ter","Qua","Qui","Sex","Sáb","Dom"))</f>
        <v>0</v>
      </c>
      <c r="M2667" s="27">
        <f>IF($E2667="","",IF($G2667&lt;&gt;"",$G2667,IFERROR(INDEX(ProcValor,MATCH($E2667,ProcNome,0)),0)))</f>
        <v>0</v>
      </c>
      <c r="N2667" s="27">
        <f>IF($M2667="","",IF($F2667="Compareceu",$M2667,0))</f>
        <v>0</v>
      </c>
      <c r="O2667" s="27">
        <f>IF($M2667="","",IF($F2667="Faltou",$M2667,0))</f>
        <v>0</v>
      </c>
      <c r="P2667" s="27">
        <f>IF($M2667="","",IF($F2667="Compareceu",MAX(0,$M2667-N($H2667)),0))</f>
        <v>0</v>
      </c>
      <c r="Q2667" s="19">
        <f>IF(AND($F2667="Compareceu",$E2667&lt;&gt;"",$A2667&lt;&gt;""),IF(IFERROR(INDEX(ProcRet,MATCH($E2667,ProcNome,0)),0)&gt;0,$A2667+INDEX(ProcRet,MATCH($E2667,ProcNome,0)),""),"")</f>
        <v>0</v>
      </c>
      <c r="R2667" s="26">
        <f>IF($Q2667="","",IF(COUNTIFS(AgPac,$D2667,AgData,"&gt;"&amp;$A2667,AgStatus,"&lt;&gt;Cancelado",AgStatus,"&lt;&gt;Remarcado")&gt;0,"Sim","Não"))</f>
        <v>0</v>
      </c>
      <c r="S2667" s="28">
        <f>IF($A2667="","",IF(AND($F2667="Agendado",$A2667-Hoje&gt;=0,$A2667-Hoje&lt;=DiasConf),"CONFIRMAR",IF(AND($A2667&lt;Hoje,OR($F2667="Agendado",$F2667="Confirmado")),"Atualizar status",IF(AND($F2667="Compareceu",$P2667&gt;0.005),"Cobrar",IF($F2667="Faltou","Falta: reagendar","")))))</f>
        <v>0</v>
      </c>
      <c r="T2667" s="29">
        <f>IF($A2667="","",DATE(YEAR($A2667),MONTH($A2667),1))</f>
        <v>0</v>
      </c>
      <c r="U2667" s="30">
        <f>IF($S2667="CONFIRMAR",MAX($U$4:$U2666)+1,"")</f>
        <v>0</v>
      </c>
      <c r="V2667" s="30">
        <f>IF(AND($R2667="Não",$Q2667&lt;&gt;"",$Q2667&lt;=Hoje+JanelaRet,$Q2667&gt;=Hoje-60),MAX($V$4:$V2666)+1,"")</f>
        <v>0</v>
      </c>
    </row>
    <row r="2668" spans="1:22">
      <c r="A2668" s="16"/>
      <c r="B2668" s="23"/>
      <c r="C2668" s="15"/>
      <c r="D2668" s="15"/>
      <c r="E2668" s="15"/>
      <c r="F2668" s="24"/>
      <c r="G2668" s="17"/>
      <c r="H2668" s="17"/>
      <c r="I2668" s="15"/>
      <c r="J2668" s="25">
        <f>IF($D2668="","",IFERROR(INDEX(PacNome,MATCH($D2668,PacCod,0)),"Paciente não cadastrado"))</f>
        <v>0</v>
      </c>
      <c r="K2668" s="26">
        <f>IF($D2668="","",IFERROR(INDEX(PacConv,MATCH($D2668,PacCod,0))&amp;"",""))</f>
        <v>0</v>
      </c>
      <c r="L2668" s="26">
        <f>IF($A2668="","",CHOOSE(WEEKDAY($A2668,2),"Seg","Ter","Qua","Qui","Sex","Sáb","Dom"))</f>
        <v>0</v>
      </c>
      <c r="M2668" s="27">
        <f>IF($E2668="","",IF($G2668&lt;&gt;"",$G2668,IFERROR(INDEX(ProcValor,MATCH($E2668,ProcNome,0)),0)))</f>
        <v>0</v>
      </c>
      <c r="N2668" s="27">
        <f>IF($M2668="","",IF($F2668="Compareceu",$M2668,0))</f>
        <v>0</v>
      </c>
      <c r="O2668" s="27">
        <f>IF($M2668="","",IF($F2668="Faltou",$M2668,0))</f>
        <v>0</v>
      </c>
      <c r="P2668" s="27">
        <f>IF($M2668="","",IF($F2668="Compareceu",MAX(0,$M2668-N($H2668)),0))</f>
        <v>0</v>
      </c>
      <c r="Q2668" s="19">
        <f>IF(AND($F2668="Compareceu",$E2668&lt;&gt;"",$A2668&lt;&gt;""),IF(IFERROR(INDEX(ProcRet,MATCH($E2668,ProcNome,0)),0)&gt;0,$A2668+INDEX(ProcRet,MATCH($E2668,ProcNome,0)),""),"")</f>
        <v>0</v>
      </c>
      <c r="R2668" s="26">
        <f>IF($Q2668="","",IF(COUNTIFS(AgPac,$D2668,AgData,"&gt;"&amp;$A2668,AgStatus,"&lt;&gt;Cancelado",AgStatus,"&lt;&gt;Remarcado")&gt;0,"Sim","Não"))</f>
        <v>0</v>
      </c>
      <c r="S2668" s="28">
        <f>IF($A2668="","",IF(AND($F2668="Agendado",$A2668-Hoje&gt;=0,$A2668-Hoje&lt;=DiasConf),"CONFIRMAR",IF(AND($A2668&lt;Hoje,OR($F2668="Agendado",$F2668="Confirmado")),"Atualizar status",IF(AND($F2668="Compareceu",$P2668&gt;0.005),"Cobrar",IF($F2668="Faltou","Falta: reagendar","")))))</f>
        <v>0</v>
      </c>
      <c r="T2668" s="29">
        <f>IF($A2668="","",DATE(YEAR($A2668),MONTH($A2668),1))</f>
        <v>0</v>
      </c>
      <c r="U2668" s="30">
        <f>IF($S2668="CONFIRMAR",MAX($U$4:$U2667)+1,"")</f>
        <v>0</v>
      </c>
      <c r="V2668" s="30">
        <f>IF(AND($R2668="Não",$Q2668&lt;&gt;"",$Q2668&lt;=Hoje+JanelaRet,$Q2668&gt;=Hoje-60),MAX($V$4:$V2667)+1,"")</f>
        <v>0</v>
      </c>
    </row>
    <row r="2669" spans="1:22">
      <c r="A2669" s="16"/>
      <c r="B2669" s="23"/>
      <c r="C2669" s="15"/>
      <c r="D2669" s="15"/>
      <c r="E2669" s="15"/>
      <c r="F2669" s="24"/>
      <c r="G2669" s="17"/>
      <c r="H2669" s="17"/>
      <c r="I2669" s="15"/>
      <c r="J2669" s="25">
        <f>IF($D2669="","",IFERROR(INDEX(PacNome,MATCH($D2669,PacCod,0)),"Paciente não cadastrado"))</f>
        <v>0</v>
      </c>
      <c r="K2669" s="26">
        <f>IF($D2669="","",IFERROR(INDEX(PacConv,MATCH($D2669,PacCod,0))&amp;"",""))</f>
        <v>0</v>
      </c>
      <c r="L2669" s="26">
        <f>IF($A2669="","",CHOOSE(WEEKDAY($A2669,2),"Seg","Ter","Qua","Qui","Sex","Sáb","Dom"))</f>
        <v>0</v>
      </c>
      <c r="M2669" s="27">
        <f>IF($E2669="","",IF($G2669&lt;&gt;"",$G2669,IFERROR(INDEX(ProcValor,MATCH($E2669,ProcNome,0)),0)))</f>
        <v>0</v>
      </c>
      <c r="N2669" s="27">
        <f>IF($M2669="","",IF($F2669="Compareceu",$M2669,0))</f>
        <v>0</v>
      </c>
      <c r="O2669" s="27">
        <f>IF($M2669="","",IF($F2669="Faltou",$M2669,0))</f>
        <v>0</v>
      </c>
      <c r="P2669" s="27">
        <f>IF($M2669="","",IF($F2669="Compareceu",MAX(0,$M2669-N($H2669)),0))</f>
        <v>0</v>
      </c>
      <c r="Q2669" s="19">
        <f>IF(AND($F2669="Compareceu",$E2669&lt;&gt;"",$A2669&lt;&gt;""),IF(IFERROR(INDEX(ProcRet,MATCH($E2669,ProcNome,0)),0)&gt;0,$A2669+INDEX(ProcRet,MATCH($E2669,ProcNome,0)),""),"")</f>
        <v>0</v>
      </c>
      <c r="R2669" s="26">
        <f>IF($Q2669="","",IF(COUNTIFS(AgPac,$D2669,AgData,"&gt;"&amp;$A2669,AgStatus,"&lt;&gt;Cancelado",AgStatus,"&lt;&gt;Remarcado")&gt;0,"Sim","Não"))</f>
        <v>0</v>
      </c>
      <c r="S2669" s="28">
        <f>IF($A2669="","",IF(AND($F2669="Agendado",$A2669-Hoje&gt;=0,$A2669-Hoje&lt;=DiasConf),"CONFIRMAR",IF(AND($A2669&lt;Hoje,OR($F2669="Agendado",$F2669="Confirmado")),"Atualizar status",IF(AND($F2669="Compareceu",$P2669&gt;0.005),"Cobrar",IF($F2669="Faltou","Falta: reagendar","")))))</f>
        <v>0</v>
      </c>
      <c r="T2669" s="29">
        <f>IF($A2669="","",DATE(YEAR($A2669),MONTH($A2669),1))</f>
        <v>0</v>
      </c>
      <c r="U2669" s="30">
        <f>IF($S2669="CONFIRMAR",MAX($U$4:$U2668)+1,"")</f>
        <v>0</v>
      </c>
      <c r="V2669" s="30">
        <f>IF(AND($R2669="Não",$Q2669&lt;&gt;"",$Q2669&lt;=Hoje+JanelaRet,$Q2669&gt;=Hoje-60),MAX($V$4:$V2668)+1,"")</f>
        <v>0</v>
      </c>
    </row>
    <row r="2670" spans="1:22">
      <c r="A2670" s="16"/>
      <c r="B2670" s="23"/>
      <c r="C2670" s="15"/>
      <c r="D2670" s="15"/>
      <c r="E2670" s="15"/>
      <c r="F2670" s="24"/>
      <c r="G2670" s="17"/>
      <c r="H2670" s="17"/>
      <c r="I2670" s="15"/>
      <c r="J2670" s="25">
        <f>IF($D2670="","",IFERROR(INDEX(PacNome,MATCH($D2670,PacCod,0)),"Paciente não cadastrado"))</f>
        <v>0</v>
      </c>
      <c r="K2670" s="26">
        <f>IF($D2670="","",IFERROR(INDEX(PacConv,MATCH($D2670,PacCod,0))&amp;"",""))</f>
        <v>0</v>
      </c>
      <c r="L2670" s="26">
        <f>IF($A2670="","",CHOOSE(WEEKDAY($A2670,2),"Seg","Ter","Qua","Qui","Sex","Sáb","Dom"))</f>
        <v>0</v>
      </c>
      <c r="M2670" s="27">
        <f>IF($E2670="","",IF($G2670&lt;&gt;"",$G2670,IFERROR(INDEX(ProcValor,MATCH($E2670,ProcNome,0)),0)))</f>
        <v>0</v>
      </c>
      <c r="N2670" s="27">
        <f>IF($M2670="","",IF($F2670="Compareceu",$M2670,0))</f>
        <v>0</v>
      </c>
      <c r="O2670" s="27">
        <f>IF($M2670="","",IF($F2670="Faltou",$M2670,0))</f>
        <v>0</v>
      </c>
      <c r="P2670" s="27">
        <f>IF($M2670="","",IF($F2670="Compareceu",MAX(0,$M2670-N($H2670)),0))</f>
        <v>0</v>
      </c>
      <c r="Q2670" s="19">
        <f>IF(AND($F2670="Compareceu",$E2670&lt;&gt;"",$A2670&lt;&gt;""),IF(IFERROR(INDEX(ProcRet,MATCH($E2670,ProcNome,0)),0)&gt;0,$A2670+INDEX(ProcRet,MATCH($E2670,ProcNome,0)),""),"")</f>
        <v>0</v>
      </c>
      <c r="R2670" s="26">
        <f>IF($Q2670="","",IF(COUNTIFS(AgPac,$D2670,AgData,"&gt;"&amp;$A2670,AgStatus,"&lt;&gt;Cancelado",AgStatus,"&lt;&gt;Remarcado")&gt;0,"Sim","Não"))</f>
        <v>0</v>
      </c>
      <c r="S2670" s="28">
        <f>IF($A2670="","",IF(AND($F2670="Agendado",$A2670-Hoje&gt;=0,$A2670-Hoje&lt;=DiasConf),"CONFIRMAR",IF(AND($A2670&lt;Hoje,OR($F2670="Agendado",$F2670="Confirmado")),"Atualizar status",IF(AND($F2670="Compareceu",$P2670&gt;0.005),"Cobrar",IF($F2670="Faltou","Falta: reagendar","")))))</f>
        <v>0</v>
      </c>
      <c r="T2670" s="29">
        <f>IF($A2670="","",DATE(YEAR($A2670),MONTH($A2670),1))</f>
        <v>0</v>
      </c>
      <c r="U2670" s="30">
        <f>IF($S2670="CONFIRMAR",MAX($U$4:$U2669)+1,"")</f>
        <v>0</v>
      </c>
      <c r="V2670" s="30">
        <f>IF(AND($R2670="Não",$Q2670&lt;&gt;"",$Q2670&lt;=Hoje+JanelaRet,$Q2670&gt;=Hoje-60),MAX($V$4:$V2669)+1,"")</f>
        <v>0</v>
      </c>
    </row>
    <row r="2671" spans="1:22">
      <c r="A2671" s="16"/>
      <c r="B2671" s="23"/>
      <c r="C2671" s="15"/>
      <c r="D2671" s="15"/>
      <c r="E2671" s="15"/>
      <c r="F2671" s="24"/>
      <c r="G2671" s="17"/>
      <c r="H2671" s="17"/>
      <c r="I2671" s="15"/>
      <c r="J2671" s="25">
        <f>IF($D2671="","",IFERROR(INDEX(PacNome,MATCH($D2671,PacCod,0)),"Paciente não cadastrado"))</f>
        <v>0</v>
      </c>
      <c r="K2671" s="26">
        <f>IF($D2671="","",IFERROR(INDEX(PacConv,MATCH($D2671,PacCod,0))&amp;"",""))</f>
        <v>0</v>
      </c>
      <c r="L2671" s="26">
        <f>IF($A2671="","",CHOOSE(WEEKDAY($A2671,2),"Seg","Ter","Qua","Qui","Sex","Sáb","Dom"))</f>
        <v>0</v>
      </c>
      <c r="M2671" s="27">
        <f>IF($E2671="","",IF($G2671&lt;&gt;"",$G2671,IFERROR(INDEX(ProcValor,MATCH($E2671,ProcNome,0)),0)))</f>
        <v>0</v>
      </c>
      <c r="N2671" s="27">
        <f>IF($M2671="","",IF($F2671="Compareceu",$M2671,0))</f>
        <v>0</v>
      </c>
      <c r="O2671" s="27">
        <f>IF($M2671="","",IF($F2671="Faltou",$M2671,0))</f>
        <v>0</v>
      </c>
      <c r="P2671" s="27">
        <f>IF($M2671="","",IF($F2671="Compareceu",MAX(0,$M2671-N($H2671)),0))</f>
        <v>0</v>
      </c>
      <c r="Q2671" s="19">
        <f>IF(AND($F2671="Compareceu",$E2671&lt;&gt;"",$A2671&lt;&gt;""),IF(IFERROR(INDEX(ProcRet,MATCH($E2671,ProcNome,0)),0)&gt;0,$A2671+INDEX(ProcRet,MATCH($E2671,ProcNome,0)),""),"")</f>
        <v>0</v>
      </c>
      <c r="R2671" s="26">
        <f>IF($Q2671="","",IF(COUNTIFS(AgPac,$D2671,AgData,"&gt;"&amp;$A2671,AgStatus,"&lt;&gt;Cancelado",AgStatus,"&lt;&gt;Remarcado")&gt;0,"Sim","Não"))</f>
        <v>0</v>
      </c>
      <c r="S2671" s="28">
        <f>IF($A2671="","",IF(AND($F2671="Agendado",$A2671-Hoje&gt;=0,$A2671-Hoje&lt;=DiasConf),"CONFIRMAR",IF(AND($A2671&lt;Hoje,OR($F2671="Agendado",$F2671="Confirmado")),"Atualizar status",IF(AND($F2671="Compareceu",$P2671&gt;0.005),"Cobrar",IF($F2671="Faltou","Falta: reagendar","")))))</f>
        <v>0</v>
      </c>
      <c r="T2671" s="29">
        <f>IF($A2671="","",DATE(YEAR($A2671),MONTH($A2671),1))</f>
        <v>0</v>
      </c>
      <c r="U2671" s="30">
        <f>IF($S2671="CONFIRMAR",MAX($U$4:$U2670)+1,"")</f>
        <v>0</v>
      </c>
      <c r="V2671" s="30">
        <f>IF(AND($R2671="Não",$Q2671&lt;&gt;"",$Q2671&lt;=Hoje+JanelaRet,$Q2671&gt;=Hoje-60),MAX($V$4:$V2670)+1,"")</f>
        <v>0</v>
      </c>
    </row>
    <row r="2672" spans="1:22">
      <c r="A2672" s="16"/>
      <c r="B2672" s="23"/>
      <c r="C2672" s="15"/>
      <c r="D2672" s="15"/>
      <c r="E2672" s="15"/>
      <c r="F2672" s="24"/>
      <c r="G2672" s="17"/>
      <c r="H2672" s="17"/>
      <c r="I2672" s="15"/>
      <c r="J2672" s="25">
        <f>IF($D2672="","",IFERROR(INDEX(PacNome,MATCH($D2672,PacCod,0)),"Paciente não cadastrado"))</f>
        <v>0</v>
      </c>
      <c r="K2672" s="26">
        <f>IF($D2672="","",IFERROR(INDEX(PacConv,MATCH($D2672,PacCod,0))&amp;"",""))</f>
        <v>0</v>
      </c>
      <c r="L2672" s="26">
        <f>IF($A2672="","",CHOOSE(WEEKDAY($A2672,2),"Seg","Ter","Qua","Qui","Sex","Sáb","Dom"))</f>
        <v>0</v>
      </c>
      <c r="M2672" s="27">
        <f>IF($E2672="","",IF($G2672&lt;&gt;"",$G2672,IFERROR(INDEX(ProcValor,MATCH($E2672,ProcNome,0)),0)))</f>
        <v>0</v>
      </c>
      <c r="N2672" s="27">
        <f>IF($M2672="","",IF($F2672="Compareceu",$M2672,0))</f>
        <v>0</v>
      </c>
      <c r="O2672" s="27">
        <f>IF($M2672="","",IF($F2672="Faltou",$M2672,0))</f>
        <v>0</v>
      </c>
      <c r="P2672" s="27">
        <f>IF($M2672="","",IF($F2672="Compareceu",MAX(0,$M2672-N($H2672)),0))</f>
        <v>0</v>
      </c>
      <c r="Q2672" s="19">
        <f>IF(AND($F2672="Compareceu",$E2672&lt;&gt;"",$A2672&lt;&gt;""),IF(IFERROR(INDEX(ProcRet,MATCH($E2672,ProcNome,0)),0)&gt;0,$A2672+INDEX(ProcRet,MATCH($E2672,ProcNome,0)),""),"")</f>
        <v>0</v>
      </c>
      <c r="R2672" s="26">
        <f>IF($Q2672="","",IF(COUNTIFS(AgPac,$D2672,AgData,"&gt;"&amp;$A2672,AgStatus,"&lt;&gt;Cancelado",AgStatus,"&lt;&gt;Remarcado")&gt;0,"Sim","Não"))</f>
        <v>0</v>
      </c>
      <c r="S2672" s="28">
        <f>IF($A2672="","",IF(AND($F2672="Agendado",$A2672-Hoje&gt;=0,$A2672-Hoje&lt;=DiasConf),"CONFIRMAR",IF(AND($A2672&lt;Hoje,OR($F2672="Agendado",$F2672="Confirmado")),"Atualizar status",IF(AND($F2672="Compareceu",$P2672&gt;0.005),"Cobrar",IF($F2672="Faltou","Falta: reagendar","")))))</f>
        <v>0</v>
      </c>
      <c r="T2672" s="29">
        <f>IF($A2672="","",DATE(YEAR($A2672),MONTH($A2672),1))</f>
        <v>0</v>
      </c>
      <c r="U2672" s="30">
        <f>IF($S2672="CONFIRMAR",MAX($U$4:$U2671)+1,"")</f>
        <v>0</v>
      </c>
      <c r="V2672" s="30">
        <f>IF(AND($R2672="Não",$Q2672&lt;&gt;"",$Q2672&lt;=Hoje+JanelaRet,$Q2672&gt;=Hoje-60),MAX($V$4:$V2671)+1,"")</f>
        <v>0</v>
      </c>
    </row>
    <row r="2673" spans="1:22">
      <c r="A2673" s="16"/>
      <c r="B2673" s="23"/>
      <c r="C2673" s="15"/>
      <c r="D2673" s="15"/>
      <c r="E2673" s="15"/>
      <c r="F2673" s="24"/>
      <c r="G2673" s="17"/>
      <c r="H2673" s="17"/>
      <c r="I2673" s="15"/>
      <c r="J2673" s="25">
        <f>IF($D2673="","",IFERROR(INDEX(PacNome,MATCH($D2673,PacCod,0)),"Paciente não cadastrado"))</f>
        <v>0</v>
      </c>
      <c r="K2673" s="26">
        <f>IF($D2673="","",IFERROR(INDEX(PacConv,MATCH($D2673,PacCod,0))&amp;"",""))</f>
        <v>0</v>
      </c>
      <c r="L2673" s="26">
        <f>IF($A2673="","",CHOOSE(WEEKDAY($A2673,2),"Seg","Ter","Qua","Qui","Sex","Sáb","Dom"))</f>
        <v>0</v>
      </c>
      <c r="M2673" s="27">
        <f>IF($E2673="","",IF($G2673&lt;&gt;"",$G2673,IFERROR(INDEX(ProcValor,MATCH($E2673,ProcNome,0)),0)))</f>
        <v>0</v>
      </c>
      <c r="N2673" s="27">
        <f>IF($M2673="","",IF($F2673="Compareceu",$M2673,0))</f>
        <v>0</v>
      </c>
      <c r="O2673" s="27">
        <f>IF($M2673="","",IF($F2673="Faltou",$M2673,0))</f>
        <v>0</v>
      </c>
      <c r="P2673" s="27">
        <f>IF($M2673="","",IF($F2673="Compareceu",MAX(0,$M2673-N($H2673)),0))</f>
        <v>0</v>
      </c>
      <c r="Q2673" s="19">
        <f>IF(AND($F2673="Compareceu",$E2673&lt;&gt;"",$A2673&lt;&gt;""),IF(IFERROR(INDEX(ProcRet,MATCH($E2673,ProcNome,0)),0)&gt;0,$A2673+INDEX(ProcRet,MATCH($E2673,ProcNome,0)),""),"")</f>
        <v>0</v>
      </c>
      <c r="R2673" s="26">
        <f>IF($Q2673="","",IF(COUNTIFS(AgPac,$D2673,AgData,"&gt;"&amp;$A2673,AgStatus,"&lt;&gt;Cancelado",AgStatus,"&lt;&gt;Remarcado")&gt;0,"Sim","Não"))</f>
        <v>0</v>
      </c>
      <c r="S2673" s="28">
        <f>IF($A2673="","",IF(AND($F2673="Agendado",$A2673-Hoje&gt;=0,$A2673-Hoje&lt;=DiasConf),"CONFIRMAR",IF(AND($A2673&lt;Hoje,OR($F2673="Agendado",$F2673="Confirmado")),"Atualizar status",IF(AND($F2673="Compareceu",$P2673&gt;0.005),"Cobrar",IF($F2673="Faltou","Falta: reagendar","")))))</f>
        <v>0</v>
      </c>
      <c r="T2673" s="29">
        <f>IF($A2673="","",DATE(YEAR($A2673),MONTH($A2673),1))</f>
        <v>0</v>
      </c>
      <c r="U2673" s="30">
        <f>IF($S2673="CONFIRMAR",MAX($U$4:$U2672)+1,"")</f>
        <v>0</v>
      </c>
      <c r="V2673" s="30">
        <f>IF(AND($R2673="Não",$Q2673&lt;&gt;"",$Q2673&lt;=Hoje+JanelaRet,$Q2673&gt;=Hoje-60),MAX($V$4:$V2672)+1,"")</f>
        <v>0</v>
      </c>
    </row>
    <row r="2674" spans="1:22">
      <c r="A2674" s="16"/>
      <c r="B2674" s="23"/>
      <c r="C2674" s="15"/>
      <c r="D2674" s="15"/>
      <c r="E2674" s="15"/>
      <c r="F2674" s="24"/>
      <c r="G2674" s="17"/>
      <c r="H2674" s="17"/>
      <c r="I2674" s="15"/>
      <c r="J2674" s="25">
        <f>IF($D2674="","",IFERROR(INDEX(PacNome,MATCH($D2674,PacCod,0)),"Paciente não cadastrado"))</f>
        <v>0</v>
      </c>
      <c r="K2674" s="26">
        <f>IF($D2674="","",IFERROR(INDEX(PacConv,MATCH($D2674,PacCod,0))&amp;"",""))</f>
        <v>0</v>
      </c>
      <c r="L2674" s="26">
        <f>IF($A2674="","",CHOOSE(WEEKDAY($A2674,2),"Seg","Ter","Qua","Qui","Sex","Sáb","Dom"))</f>
        <v>0</v>
      </c>
      <c r="M2674" s="27">
        <f>IF($E2674="","",IF($G2674&lt;&gt;"",$G2674,IFERROR(INDEX(ProcValor,MATCH($E2674,ProcNome,0)),0)))</f>
        <v>0</v>
      </c>
      <c r="N2674" s="27">
        <f>IF($M2674="","",IF($F2674="Compareceu",$M2674,0))</f>
        <v>0</v>
      </c>
      <c r="O2674" s="27">
        <f>IF($M2674="","",IF($F2674="Faltou",$M2674,0))</f>
        <v>0</v>
      </c>
      <c r="P2674" s="27">
        <f>IF($M2674="","",IF($F2674="Compareceu",MAX(0,$M2674-N($H2674)),0))</f>
        <v>0</v>
      </c>
      <c r="Q2674" s="19">
        <f>IF(AND($F2674="Compareceu",$E2674&lt;&gt;"",$A2674&lt;&gt;""),IF(IFERROR(INDEX(ProcRet,MATCH($E2674,ProcNome,0)),0)&gt;0,$A2674+INDEX(ProcRet,MATCH($E2674,ProcNome,0)),""),"")</f>
        <v>0</v>
      </c>
      <c r="R2674" s="26">
        <f>IF($Q2674="","",IF(COUNTIFS(AgPac,$D2674,AgData,"&gt;"&amp;$A2674,AgStatus,"&lt;&gt;Cancelado",AgStatus,"&lt;&gt;Remarcado")&gt;0,"Sim","Não"))</f>
        <v>0</v>
      </c>
      <c r="S2674" s="28">
        <f>IF($A2674="","",IF(AND($F2674="Agendado",$A2674-Hoje&gt;=0,$A2674-Hoje&lt;=DiasConf),"CONFIRMAR",IF(AND($A2674&lt;Hoje,OR($F2674="Agendado",$F2674="Confirmado")),"Atualizar status",IF(AND($F2674="Compareceu",$P2674&gt;0.005),"Cobrar",IF($F2674="Faltou","Falta: reagendar","")))))</f>
        <v>0</v>
      </c>
      <c r="T2674" s="29">
        <f>IF($A2674="","",DATE(YEAR($A2674),MONTH($A2674),1))</f>
        <v>0</v>
      </c>
      <c r="U2674" s="30">
        <f>IF($S2674="CONFIRMAR",MAX($U$4:$U2673)+1,"")</f>
        <v>0</v>
      </c>
      <c r="V2674" s="30">
        <f>IF(AND($R2674="Não",$Q2674&lt;&gt;"",$Q2674&lt;=Hoje+JanelaRet,$Q2674&gt;=Hoje-60),MAX($V$4:$V2673)+1,"")</f>
        <v>0</v>
      </c>
    </row>
    <row r="2675" spans="1:22">
      <c r="A2675" s="16"/>
      <c r="B2675" s="23"/>
      <c r="C2675" s="15"/>
      <c r="D2675" s="15"/>
      <c r="E2675" s="15"/>
      <c r="F2675" s="24"/>
      <c r="G2675" s="17"/>
      <c r="H2675" s="17"/>
      <c r="I2675" s="15"/>
      <c r="J2675" s="25">
        <f>IF($D2675="","",IFERROR(INDEX(PacNome,MATCH($D2675,PacCod,0)),"Paciente não cadastrado"))</f>
        <v>0</v>
      </c>
      <c r="K2675" s="26">
        <f>IF($D2675="","",IFERROR(INDEX(PacConv,MATCH($D2675,PacCod,0))&amp;"",""))</f>
        <v>0</v>
      </c>
      <c r="L2675" s="26">
        <f>IF($A2675="","",CHOOSE(WEEKDAY($A2675,2),"Seg","Ter","Qua","Qui","Sex","Sáb","Dom"))</f>
        <v>0</v>
      </c>
      <c r="M2675" s="27">
        <f>IF($E2675="","",IF($G2675&lt;&gt;"",$G2675,IFERROR(INDEX(ProcValor,MATCH($E2675,ProcNome,0)),0)))</f>
        <v>0</v>
      </c>
      <c r="N2675" s="27">
        <f>IF($M2675="","",IF($F2675="Compareceu",$M2675,0))</f>
        <v>0</v>
      </c>
      <c r="O2675" s="27">
        <f>IF($M2675="","",IF($F2675="Faltou",$M2675,0))</f>
        <v>0</v>
      </c>
      <c r="P2675" s="27">
        <f>IF($M2675="","",IF($F2675="Compareceu",MAX(0,$M2675-N($H2675)),0))</f>
        <v>0</v>
      </c>
      <c r="Q2675" s="19">
        <f>IF(AND($F2675="Compareceu",$E2675&lt;&gt;"",$A2675&lt;&gt;""),IF(IFERROR(INDEX(ProcRet,MATCH($E2675,ProcNome,0)),0)&gt;0,$A2675+INDEX(ProcRet,MATCH($E2675,ProcNome,0)),""),"")</f>
        <v>0</v>
      </c>
      <c r="R2675" s="26">
        <f>IF($Q2675="","",IF(COUNTIFS(AgPac,$D2675,AgData,"&gt;"&amp;$A2675,AgStatus,"&lt;&gt;Cancelado",AgStatus,"&lt;&gt;Remarcado")&gt;0,"Sim","Não"))</f>
        <v>0</v>
      </c>
      <c r="S2675" s="28">
        <f>IF($A2675="","",IF(AND($F2675="Agendado",$A2675-Hoje&gt;=0,$A2675-Hoje&lt;=DiasConf),"CONFIRMAR",IF(AND($A2675&lt;Hoje,OR($F2675="Agendado",$F2675="Confirmado")),"Atualizar status",IF(AND($F2675="Compareceu",$P2675&gt;0.005),"Cobrar",IF($F2675="Faltou","Falta: reagendar","")))))</f>
        <v>0</v>
      </c>
      <c r="T2675" s="29">
        <f>IF($A2675="","",DATE(YEAR($A2675),MONTH($A2675),1))</f>
        <v>0</v>
      </c>
      <c r="U2675" s="30">
        <f>IF($S2675="CONFIRMAR",MAX($U$4:$U2674)+1,"")</f>
        <v>0</v>
      </c>
      <c r="V2675" s="30">
        <f>IF(AND($R2675="Não",$Q2675&lt;&gt;"",$Q2675&lt;=Hoje+JanelaRet,$Q2675&gt;=Hoje-60),MAX($V$4:$V2674)+1,"")</f>
        <v>0</v>
      </c>
    </row>
    <row r="2676" spans="1:22">
      <c r="A2676" s="16"/>
      <c r="B2676" s="23"/>
      <c r="C2676" s="15"/>
      <c r="D2676" s="15"/>
      <c r="E2676" s="15"/>
      <c r="F2676" s="24"/>
      <c r="G2676" s="17"/>
      <c r="H2676" s="17"/>
      <c r="I2676" s="15"/>
      <c r="J2676" s="25">
        <f>IF($D2676="","",IFERROR(INDEX(PacNome,MATCH($D2676,PacCod,0)),"Paciente não cadastrado"))</f>
        <v>0</v>
      </c>
      <c r="K2676" s="26">
        <f>IF($D2676="","",IFERROR(INDEX(PacConv,MATCH($D2676,PacCod,0))&amp;"",""))</f>
        <v>0</v>
      </c>
      <c r="L2676" s="26">
        <f>IF($A2676="","",CHOOSE(WEEKDAY($A2676,2),"Seg","Ter","Qua","Qui","Sex","Sáb","Dom"))</f>
        <v>0</v>
      </c>
      <c r="M2676" s="27">
        <f>IF($E2676="","",IF($G2676&lt;&gt;"",$G2676,IFERROR(INDEX(ProcValor,MATCH($E2676,ProcNome,0)),0)))</f>
        <v>0</v>
      </c>
      <c r="N2676" s="27">
        <f>IF($M2676="","",IF($F2676="Compareceu",$M2676,0))</f>
        <v>0</v>
      </c>
      <c r="O2676" s="27">
        <f>IF($M2676="","",IF($F2676="Faltou",$M2676,0))</f>
        <v>0</v>
      </c>
      <c r="P2676" s="27">
        <f>IF($M2676="","",IF($F2676="Compareceu",MAX(0,$M2676-N($H2676)),0))</f>
        <v>0</v>
      </c>
      <c r="Q2676" s="19">
        <f>IF(AND($F2676="Compareceu",$E2676&lt;&gt;"",$A2676&lt;&gt;""),IF(IFERROR(INDEX(ProcRet,MATCH($E2676,ProcNome,0)),0)&gt;0,$A2676+INDEX(ProcRet,MATCH($E2676,ProcNome,0)),""),"")</f>
        <v>0</v>
      </c>
      <c r="R2676" s="26">
        <f>IF($Q2676="","",IF(COUNTIFS(AgPac,$D2676,AgData,"&gt;"&amp;$A2676,AgStatus,"&lt;&gt;Cancelado",AgStatus,"&lt;&gt;Remarcado")&gt;0,"Sim","Não"))</f>
        <v>0</v>
      </c>
      <c r="S2676" s="28">
        <f>IF($A2676="","",IF(AND($F2676="Agendado",$A2676-Hoje&gt;=0,$A2676-Hoje&lt;=DiasConf),"CONFIRMAR",IF(AND($A2676&lt;Hoje,OR($F2676="Agendado",$F2676="Confirmado")),"Atualizar status",IF(AND($F2676="Compareceu",$P2676&gt;0.005),"Cobrar",IF($F2676="Faltou","Falta: reagendar","")))))</f>
        <v>0</v>
      </c>
      <c r="T2676" s="29">
        <f>IF($A2676="","",DATE(YEAR($A2676),MONTH($A2676),1))</f>
        <v>0</v>
      </c>
      <c r="U2676" s="30">
        <f>IF($S2676="CONFIRMAR",MAX($U$4:$U2675)+1,"")</f>
        <v>0</v>
      </c>
      <c r="V2676" s="30">
        <f>IF(AND($R2676="Não",$Q2676&lt;&gt;"",$Q2676&lt;=Hoje+JanelaRet,$Q2676&gt;=Hoje-60),MAX($V$4:$V2675)+1,"")</f>
        <v>0</v>
      </c>
    </row>
    <row r="2677" spans="1:22">
      <c r="A2677" s="16"/>
      <c r="B2677" s="23"/>
      <c r="C2677" s="15"/>
      <c r="D2677" s="15"/>
      <c r="E2677" s="15"/>
      <c r="F2677" s="24"/>
      <c r="G2677" s="17"/>
      <c r="H2677" s="17"/>
      <c r="I2677" s="15"/>
      <c r="J2677" s="25">
        <f>IF($D2677="","",IFERROR(INDEX(PacNome,MATCH($D2677,PacCod,0)),"Paciente não cadastrado"))</f>
        <v>0</v>
      </c>
      <c r="K2677" s="26">
        <f>IF($D2677="","",IFERROR(INDEX(PacConv,MATCH($D2677,PacCod,0))&amp;"",""))</f>
        <v>0</v>
      </c>
      <c r="L2677" s="26">
        <f>IF($A2677="","",CHOOSE(WEEKDAY($A2677,2),"Seg","Ter","Qua","Qui","Sex","Sáb","Dom"))</f>
        <v>0</v>
      </c>
      <c r="M2677" s="27">
        <f>IF($E2677="","",IF($G2677&lt;&gt;"",$G2677,IFERROR(INDEX(ProcValor,MATCH($E2677,ProcNome,0)),0)))</f>
        <v>0</v>
      </c>
      <c r="N2677" s="27">
        <f>IF($M2677="","",IF($F2677="Compareceu",$M2677,0))</f>
        <v>0</v>
      </c>
      <c r="O2677" s="27">
        <f>IF($M2677="","",IF($F2677="Faltou",$M2677,0))</f>
        <v>0</v>
      </c>
      <c r="P2677" s="27">
        <f>IF($M2677="","",IF($F2677="Compareceu",MAX(0,$M2677-N($H2677)),0))</f>
        <v>0</v>
      </c>
      <c r="Q2677" s="19">
        <f>IF(AND($F2677="Compareceu",$E2677&lt;&gt;"",$A2677&lt;&gt;""),IF(IFERROR(INDEX(ProcRet,MATCH($E2677,ProcNome,0)),0)&gt;0,$A2677+INDEX(ProcRet,MATCH($E2677,ProcNome,0)),""),"")</f>
        <v>0</v>
      </c>
      <c r="R2677" s="26">
        <f>IF($Q2677="","",IF(COUNTIFS(AgPac,$D2677,AgData,"&gt;"&amp;$A2677,AgStatus,"&lt;&gt;Cancelado",AgStatus,"&lt;&gt;Remarcado")&gt;0,"Sim","Não"))</f>
        <v>0</v>
      </c>
      <c r="S2677" s="28">
        <f>IF($A2677="","",IF(AND($F2677="Agendado",$A2677-Hoje&gt;=0,$A2677-Hoje&lt;=DiasConf),"CONFIRMAR",IF(AND($A2677&lt;Hoje,OR($F2677="Agendado",$F2677="Confirmado")),"Atualizar status",IF(AND($F2677="Compareceu",$P2677&gt;0.005),"Cobrar",IF($F2677="Faltou","Falta: reagendar","")))))</f>
        <v>0</v>
      </c>
      <c r="T2677" s="29">
        <f>IF($A2677="","",DATE(YEAR($A2677),MONTH($A2677),1))</f>
        <v>0</v>
      </c>
      <c r="U2677" s="30">
        <f>IF($S2677="CONFIRMAR",MAX($U$4:$U2676)+1,"")</f>
        <v>0</v>
      </c>
      <c r="V2677" s="30">
        <f>IF(AND($R2677="Não",$Q2677&lt;&gt;"",$Q2677&lt;=Hoje+JanelaRet,$Q2677&gt;=Hoje-60),MAX($V$4:$V2676)+1,"")</f>
        <v>0</v>
      </c>
    </row>
    <row r="2678" spans="1:22">
      <c r="A2678" s="16"/>
      <c r="B2678" s="23"/>
      <c r="C2678" s="15"/>
      <c r="D2678" s="15"/>
      <c r="E2678" s="15"/>
      <c r="F2678" s="24"/>
      <c r="G2678" s="17"/>
      <c r="H2678" s="17"/>
      <c r="I2678" s="15"/>
      <c r="J2678" s="25">
        <f>IF($D2678="","",IFERROR(INDEX(PacNome,MATCH($D2678,PacCod,0)),"Paciente não cadastrado"))</f>
        <v>0</v>
      </c>
      <c r="K2678" s="26">
        <f>IF($D2678="","",IFERROR(INDEX(PacConv,MATCH($D2678,PacCod,0))&amp;"",""))</f>
        <v>0</v>
      </c>
      <c r="L2678" s="26">
        <f>IF($A2678="","",CHOOSE(WEEKDAY($A2678,2),"Seg","Ter","Qua","Qui","Sex","Sáb","Dom"))</f>
        <v>0</v>
      </c>
      <c r="M2678" s="27">
        <f>IF($E2678="","",IF($G2678&lt;&gt;"",$G2678,IFERROR(INDEX(ProcValor,MATCH($E2678,ProcNome,0)),0)))</f>
        <v>0</v>
      </c>
      <c r="N2678" s="27">
        <f>IF($M2678="","",IF($F2678="Compareceu",$M2678,0))</f>
        <v>0</v>
      </c>
      <c r="O2678" s="27">
        <f>IF($M2678="","",IF($F2678="Faltou",$M2678,0))</f>
        <v>0</v>
      </c>
      <c r="P2678" s="27">
        <f>IF($M2678="","",IF($F2678="Compareceu",MAX(0,$M2678-N($H2678)),0))</f>
        <v>0</v>
      </c>
      <c r="Q2678" s="19">
        <f>IF(AND($F2678="Compareceu",$E2678&lt;&gt;"",$A2678&lt;&gt;""),IF(IFERROR(INDEX(ProcRet,MATCH($E2678,ProcNome,0)),0)&gt;0,$A2678+INDEX(ProcRet,MATCH($E2678,ProcNome,0)),""),"")</f>
        <v>0</v>
      </c>
      <c r="R2678" s="26">
        <f>IF($Q2678="","",IF(COUNTIFS(AgPac,$D2678,AgData,"&gt;"&amp;$A2678,AgStatus,"&lt;&gt;Cancelado",AgStatus,"&lt;&gt;Remarcado")&gt;0,"Sim","Não"))</f>
        <v>0</v>
      </c>
      <c r="S2678" s="28">
        <f>IF($A2678="","",IF(AND($F2678="Agendado",$A2678-Hoje&gt;=0,$A2678-Hoje&lt;=DiasConf),"CONFIRMAR",IF(AND($A2678&lt;Hoje,OR($F2678="Agendado",$F2678="Confirmado")),"Atualizar status",IF(AND($F2678="Compareceu",$P2678&gt;0.005),"Cobrar",IF($F2678="Faltou","Falta: reagendar","")))))</f>
        <v>0</v>
      </c>
      <c r="T2678" s="29">
        <f>IF($A2678="","",DATE(YEAR($A2678),MONTH($A2678),1))</f>
        <v>0</v>
      </c>
      <c r="U2678" s="30">
        <f>IF($S2678="CONFIRMAR",MAX($U$4:$U2677)+1,"")</f>
        <v>0</v>
      </c>
      <c r="V2678" s="30">
        <f>IF(AND($R2678="Não",$Q2678&lt;&gt;"",$Q2678&lt;=Hoje+JanelaRet,$Q2678&gt;=Hoje-60),MAX($V$4:$V2677)+1,"")</f>
        <v>0</v>
      </c>
    </row>
    <row r="2679" spans="1:22">
      <c r="A2679" s="16"/>
      <c r="B2679" s="23"/>
      <c r="C2679" s="15"/>
      <c r="D2679" s="15"/>
      <c r="E2679" s="15"/>
      <c r="F2679" s="24"/>
      <c r="G2679" s="17"/>
      <c r="H2679" s="17"/>
      <c r="I2679" s="15"/>
      <c r="J2679" s="25">
        <f>IF($D2679="","",IFERROR(INDEX(PacNome,MATCH($D2679,PacCod,0)),"Paciente não cadastrado"))</f>
        <v>0</v>
      </c>
      <c r="K2679" s="26">
        <f>IF($D2679="","",IFERROR(INDEX(PacConv,MATCH($D2679,PacCod,0))&amp;"",""))</f>
        <v>0</v>
      </c>
      <c r="L2679" s="26">
        <f>IF($A2679="","",CHOOSE(WEEKDAY($A2679,2),"Seg","Ter","Qua","Qui","Sex","Sáb","Dom"))</f>
        <v>0</v>
      </c>
      <c r="M2679" s="27">
        <f>IF($E2679="","",IF($G2679&lt;&gt;"",$G2679,IFERROR(INDEX(ProcValor,MATCH($E2679,ProcNome,0)),0)))</f>
        <v>0</v>
      </c>
      <c r="N2679" s="27">
        <f>IF($M2679="","",IF($F2679="Compareceu",$M2679,0))</f>
        <v>0</v>
      </c>
      <c r="O2679" s="27">
        <f>IF($M2679="","",IF($F2679="Faltou",$M2679,0))</f>
        <v>0</v>
      </c>
      <c r="P2679" s="27">
        <f>IF($M2679="","",IF($F2679="Compareceu",MAX(0,$M2679-N($H2679)),0))</f>
        <v>0</v>
      </c>
      <c r="Q2679" s="19">
        <f>IF(AND($F2679="Compareceu",$E2679&lt;&gt;"",$A2679&lt;&gt;""),IF(IFERROR(INDEX(ProcRet,MATCH($E2679,ProcNome,0)),0)&gt;0,$A2679+INDEX(ProcRet,MATCH($E2679,ProcNome,0)),""),"")</f>
        <v>0</v>
      </c>
      <c r="R2679" s="26">
        <f>IF($Q2679="","",IF(COUNTIFS(AgPac,$D2679,AgData,"&gt;"&amp;$A2679,AgStatus,"&lt;&gt;Cancelado",AgStatus,"&lt;&gt;Remarcado")&gt;0,"Sim","Não"))</f>
        <v>0</v>
      </c>
      <c r="S2679" s="28">
        <f>IF($A2679="","",IF(AND($F2679="Agendado",$A2679-Hoje&gt;=0,$A2679-Hoje&lt;=DiasConf),"CONFIRMAR",IF(AND($A2679&lt;Hoje,OR($F2679="Agendado",$F2679="Confirmado")),"Atualizar status",IF(AND($F2679="Compareceu",$P2679&gt;0.005),"Cobrar",IF($F2679="Faltou","Falta: reagendar","")))))</f>
        <v>0</v>
      </c>
      <c r="T2679" s="29">
        <f>IF($A2679="","",DATE(YEAR($A2679),MONTH($A2679),1))</f>
        <v>0</v>
      </c>
      <c r="U2679" s="30">
        <f>IF($S2679="CONFIRMAR",MAX($U$4:$U2678)+1,"")</f>
        <v>0</v>
      </c>
      <c r="V2679" s="30">
        <f>IF(AND($R2679="Não",$Q2679&lt;&gt;"",$Q2679&lt;=Hoje+JanelaRet,$Q2679&gt;=Hoje-60),MAX($V$4:$V2678)+1,"")</f>
        <v>0</v>
      </c>
    </row>
    <row r="2680" spans="1:22">
      <c r="A2680" s="16"/>
      <c r="B2680" s="23"/>
      <c r="C2680" s="15"/>
      <c r="D2680" s="15"/>
      <c r="E2680" s="15"/>
      <c r="F2680" s="24"/>
      <c r="G2680" s="17"/>
      <c r="H2680" s="17"/>
      <c r="I2680" s="15"/>
      <c r="J2680" s="25">
        <f>IF($D2680="","",IFERROR(INDEX(PacNome,MATCH($D2680,PacCod,0)),"Paciente não cadastrado"))</f>
        <v>0</v>
      </c>
      <c r="K2680" s="26">
        <f>IF($D2680="","",IFERROR(INDEX(PacConv,MATCH($D2680,PacCod,0))&amp;"",""))</f>
        <v>0</v>
      </c>
      <c r="L2680" s="26">
        <f>IF($A2680="","",CHOOSE(WEEKDAY($A2680,2),"Seg","Ter","Qua","Qui","Sex","Sáb","Dom"))</f>
        <v>0</v>
      </c>
      <c r="M2680" s="27">
        <f>IF($E2680="","",IF($G2680&lt;&gt;"",$G2680,IFERROR(INDEX(ProcValor,MATCH($E2680,ProcNome,0)),0)))</f>
        <v>0</v>
      </c>
      <c r="N2680" s="27">
        <f>IF($M2680="","",IF($F2680="Compareceu",$M2680,0))</f>
        <v>0</v>
      </c>
      <c r="O2680" s="27">
        <f>IF($M2680="","",IF($F2680="Faltou",$M2680,0))</f>
        <v>0</v>
      </c>
      <c r="P2680" s="27">
        <f>IF($M2680="","",IF($F2680="Compareceu",MAX(0,$M2680-N($H2680)),0))</f>
        <v>0</v>
      </c>
      <c r="Q2680" s="19">
        <f>IF(AND($F2680="Compareceu",$E2680&lt;&gt;"",$A2680&lt;&gt;""),IF(IFERROR(INDEX(ProcRet,MATCH($E2680,ProcNome,0)),0)&gt;0,$A2680+INDEX(ProcRet,MATCH($E2680,ProcNome,0)),""),"")</f>
        <v>0</v>
      </c>
      <c r="R2680" s="26">
        <f>IF($Q2680="","",IF(COUNTIFS(AgPac,$D2680,AgData,"&gt;"&amp;$A2680,AgStatus,"&lt;&gt;Cancelado",AgStatus,"&lt;&gt;Remarcado")&gt;0,"Sim","Não"))</f>
        <v>0</v>
      </c>
      <c r="S2680" s="28">
        <f>IF($A2680="","",IF(AND($F2680="Agendado",$A2680-Hoje&gt;=0,$A2680-Hoje&lt;=DiasConf),"CONFIRMAR",IF(AND($A2680&lt;Hoje,OR($F2680="Agendado",$F2680="Confirmado")),"Atualizar status",IF(AND($F2680="Compareceu",$P2680&gt;0.005),"Cobrar",IF($F2680="Faltou","Falta: reagendar","")))))</f>
        <v>0</v>
      </c>
      <c r="T2680" s="29">
        <f>IF($A2680="","",DATE(YEAR($A2680),MONTH($A2680),1))</f>
        <v>0</v>
      </c>
      <c r="U2680" s="30">
        <f>IF($S2680="CONFIRMAR",MAX($U$4:$U2679)+1,"")</f>
        <v>0</v>
      </c>
      <c r="V2680" s="30">
        <f>IF(AND($R2680="Não",$Q2680&lt;&gt;"",$Q2680&lt;=Hoje+JanelaRet,$Q2680&gt;=Hoje-60),MAX($V$4:$V2679)+1,"")</f>
        <v>0</v>
      </c>
    </row>
    <row r="2681" spans="1:22">
      <c r="A2681" s="16"/>
      <c r="B2681" s="23"/>
      <c r="C2681" s="15"/>
      <c r="D2681" s="15"/>
      <c r="E2681" s="15"/>
      <c r="F2681" s="24"/>
      <c r="G2681" s="17"/>
      <c r="H2681" s="17"/>
      <c r="I2681" s="15"/>
      <c r="J2681" s="25">
        <f>IF($D2681="","",IFERROR(INDEX(PacNome,MATCH($D2681,PacCod,0)),"Paciente não cadastrado"))</f>
        <v>0</v>
      </c>
      <c r="K2681" s="26">
        <f>IF($D2681="","",IFERROR(INDEX(PacConv,MATCH($D2681,PacCod,0))&amp;"",""))</f>
        <v>0</v>
      </c>
      <c r="L2681" s="26">
        <f>IF($A2681="","",CHOOSE(WEEKDAY($A2681,2),"Seg","Ter","Qua","Qui","Sex","Sáb","Dom"))</f>
        <v>0</v>
      </c>
      <c r="M2681" s="27">
        <f>IF($E2681="","",IF($G2681&lt;&gt;"",$G2681,IFERROR(INDEX(ProcValor,MATCH($E2681,ProcNome,0)),0)))</f>
        <v>0</v>
      </c>
      <c r="N2681" s="27">
        <f>IF($M2681="","",IF($F2681="Compareceu",$M2681,0))</f>
        <v>0</v>
      </c>
      <c r="O2681" s="27">
        <f>IF($M2681="","",IF($F2681="Faltou",$M2681,0))</f>
        <v>0</v>
      </c>
      <c r="P2681" s="27">
        <f>IF($M2681="","",IF($F2681="Compareceu",MAX(0,$M2681-N($H2681)),0))</f>
        <v>0</v>
      </c>
      <c r="Q2681" s="19">
        <f>IF(AND($F2681="Compareceu",$E2681&lt;&gt;"",$A2681&lt;&gt;""),IF(IFERROR(INDEX(ProcRet,MATCH($E2681,ProcNome,0)),0)&gt;0,$A2681+INDEX(ProcRet,MATCH($E2681,ProcNome,0)),""),"")</f>
        <v>0</v>
      </c>
      <c r="R2681" s="26">
        <f>IF($Q2681="","",IF(COUNTIFS(AgPac,$D2681,AgData,"&gt;"&amp;$A2681,AgStatus,"&lt;&gt;Cancelado",AgStatus,"&lt;&gt;Remarcado")&gt;0,"Sim","Não"))</f>
        <v>0</v>
      </c>
      <c r="S2681" s="28">
        <f>IF($A2681="","",IF(AND($F2681="Agendado",$A2681-Hoje&gt;=0,$A2681-Hoje&lt;=DiasConf),"CONFIRMAR",IF(AND($A2681&lt;Hoje,OR($F2681="Agendado",$F2681="Confirmado")),"Atualizar status",IF(AND($F2681="Compareceu",$P2681&gt;0.005),"Cobrar",IF($F2681="Faltou","Falta: reagendar","")))))</f>
        <v>0</v>
      </c>
      <c r="T2681" s="29">
        <f>IF($A2681="","",DATE(YEAR($A2681),MONTH($A2681),1))</f>
        <v>0</v>
      </c>
      <c r="U2681" s="30">
        <f>IF($S2681="CONFIRMAR",MAX($U$4:$U2680)+1,"")</f>
        <v>0</v>
      </c>
      <c r="V2681" s="30">
        <f>IF(AND($R2681="Não",$Q2681&lt;&gt;"",$Q2681&lt;=Hoje+JanelaRet,$Q2681&gt;=Hoje-60),MAX($V$4:$V2680)+1,"")</f>
        <v>0</v>
      </c>
    </row>
    <row r="2682" spans="1:22">
      <c r="A2682" s="16"/>
      <c r="B2682" s="23"/>
      <c r="C2682" s="15"/>
      <c r="D2682" s="15"/>
      <c r="E2682" s="15"/>
      <c r="F2682" s="24"/>
      <c r="G2682" s="17"/>
      <c r="H2682" s="17"/>
      <c r="I2682" s="15"/>
      <c r="J2682" s="25">
        <f>IF($D2682="","",IFERROR(INDEX(PacNome,MATCH($D2682,PacCod,0)),"Paciente não cadastrado"))</f>
        <v>0</v>
      </c>
      <c r="K2682" s="26">
        <f>IF($D2682="","",IFERROR(INDEX(PacConv,MATCH($D2682,PacCod,0))&amp;"",""))</f>
        <v>0</v>
      </c>
      <c r="L2682" s="26">
        <f>IF($A2682="","",CHOOSE(WEEKDAY($A2682,2),"Seg","Ter","Qua","Qui","Sex","Sáb","Dom"))</f>
        <v>0</v>
      </c>
      <c r="M2682" s="27">
        <f>IF($E2682="","",IF($G2682&lt;&gt;"",$G2682,IFERROR(INDEX(ProcValor,MATCH($E2682,ProcNome,0)),0)))</f>
        <v>0</v>
      </c>
      <c r="N2682" s="27">
        <f>IF($M2682="","",IF($F2682="Compareceu",$M2682,0))</f>
        <v>0</v>
      </c>
      <c r="O2682" s="27">
        <f>IF($M2682="","",IF($F2682="Faltou",$M2682,0))</f>
        <v>0</v>
      </c>
      <c r="P2682" s="27">
        <f>IF($M2682="","",IF($F2682="Compareceu",MAX(0,$M2682-N($H2682)),0))</f>
        <v>0</v>
      </c>
      <c r="Q2682" s="19">
        <f>IF(AND($F2682="Compareceu",$E2682&lt;&gt;"",$A2682&lt;&gt;""),IF(IFERROR(INDEX(ProcRet,MATCH($E2682,ProcNome,0)),0)&gt;0,$A2682+INDEX(ProcRet,MATCH($E2682,ProcNome,0)),""),"")</f>
        <v>0</v>
      </c>
      <c r="R2682" s="26">
        <f>IF($Q2682="","",IF(COUNTIFS(AgPac,$D2682,AgData,"&gt;"&amp;$A2682,AgStatus,"&lt;&gt;Cancelado",AgStatus,"&lt;&gt;Remarcado")&gt;0,"Sim","Não"))</f>
        <v>0</v>
      </c>
      <c r="S2682" s="28">
        <f>IF($A2682="","",IF(AND($F2682="Agendado",$A2682-Hoje&gt;=0,$A2682-Hoje&lt;=DiasConf),"CONFIRMAR",IF(AND($A2682&lt;Hoje,OR($F2682="Agendado",$F2682="Confirmado")),"Atualizar status",IF(AND($F2682="Compareceu",$P2682&gt;0.005),"Cobrar",IF($F2682="Faltou","Falta: reagendar","")))))</f>
        <v>0</v>
      </c>
      <c r="T2682" s="29">
        <f>IF($A2682="","",DATE(YEAR($A2682),MONTH($A2682),1))</f>
        <v>0</v>
      </c>
      <c r="U2682" s="30">
        <f>IF($S2682="CONFIRMAR",MAX($U$4:$U2681)+1,"")</f>
        <v>0</v>
      </c>
      <c r="V2682" s="30">
        <f>IF(AND($R2682="Não",$Q2682&lt;&gt;"",$Q2682&lt;=Hoje+JanelaRet,$Q2682&gt;=Hoje-60),MAX($V$4:$V2681)+1,"")</f>
        <v>0</v>
      </c>
    </row>
    <row r="2683" spans="1:22">
      <c r="A2683" s="16"/>
      <c r="B2683" s="23"/>
      <c r="C2683" s="15"/>
      <c r="D2683" s="15"/>
      <c r="E2683" s="15"/>
      <c r="F2683" s="24"/>
      <c r="G2683" s="17"/>
      <c r="H2683" s="17"/>
      <c r="I2683" s="15"/>
      <c r="J2683" s="25">
        <f>IF($D2683="","",IFERROR(INDEX(PacNome,MATCH($D2683,PacCod,0)),"Paciente não cadastrado"))</f>
        <v>0</v>
      </c>
      <c r="K2683" s="26">
        <f>IF($D2683="","",IFERROR(INDEX(PacConv,MATCH($D2683,PacCod,0))&amp;"",""))</f>
        <v>0</v>
      </c>
      <c r="L2683" s="26">
        <f>IF($A2683="","",CHOOSE(WEEKDAY($A2683,2),"Seg","Ter","Qua","Qui","Sex","Sáb","Dom"))</f>
        <v>0</v>
      </c>
      <c r="M2683" s="27">
        <f>IF($E2683="","",IF($G2683&lt;&gt;"",$G2683,IFERROR(INDEX(ProcValor,MATCH($E2683,ProcNome,0)),0)))</f>
        <v>0</v>
      </c>
      <c r="N2683" s="27">
        <f>IF($M2683="","",IF($F2683="Compareceu",$M2683,0))</f>
        <v>0</v>
      </c>
      <c r="O2683" s="27">
        <f>IF($M2683="","",IF($F2683="Faltou",$M2683,0))</f>
        <v>0</v>
      </c>
      <c r="P2683" s="27">
        <f>IF($M2683="","",IF($F2683="Compareceu",MAX(0,$M2683-N($H2683)),0))</f>
        <v>0</v>
      </c>
      <c r="Q2683" s="19">
        <f>IF(AND($F2683="Compareceu",$E2683&lt;&gt;"",$A2683&lt;&gt;""),IF(IFERROR(INDEX(ProcRet,MATCH($E2683,ProcNome,0)),0)&gt;0,$A2683+INDEX(ProcRet,MATCH($E2683,ProcNome,0)),""),"")</f>
        <v>0</v>
      </c>
      <c r="R2683" s="26">
        <f>IF($Q2683="","",IF(COUNTIFS(AgPac,$D2683,AgData,"&gt;"&amp;$A2683,AgStatus,"&lt;&gt;Cancelado",AgStatus,"&lt;&gt;Remarcado")&gt;0,"Sim","Não"))</f>
        <v>0</v>
      </c>
      <c r="S2683" s="28">
        <f>IF($A2683="","",IF(AND($F2683="Agendado",$A2683-Hoje&gt;=0,$A2683-Hoje&lt;=DiasConf),"CONFIRMAR",IF(AND($A2683&lt;Hoje,OR($F2683="Agendado",$F2683="Confirmado")),"Atualizar status",IF(AND($F2683="Compareceu",$P2683&gt;0.005),"Cobrar",IF($F2683="Faltou","Falta: reagendar","")))))</f>
        <v>0</v>
      </c>
      <c r="T2683" s="29">
        <f>IF($A2683="","",DATE(YEAR($A2683),MONTH($A2683),1))</f>
        <v>0</v>
      </c>
      <c r="U2683" s="30">
        <f>IF($S2683="CONFIRMAR",MAX($U$4:$U2682)+1,"")</f>
        <v>0</v>
      </c>
      <c r="V2683" s="30">
        <f>IF(AND($R2683="Não",$Q2683&lt;&gt;"",$Q2683&lt;=Hoje+JanelaRet,$Q2683&gt;=Hoje-60),MAX($V$4:$V2682)+1,"")</f>
        <v>0</v>
      </c>
    </row>
    <row r="2684" spans="1:22">
      <c r="A2684" s="16"/>
      <c r="B2684" s="23"/>
      <c r="C2684" s="15"/>
      <c r="D2684" s="15"/>
      <c r="E2684" s="15"/>
      <c r="F2684" s="24"/>
      <c r="G2684" s="17"/>
      <c r="H2684" s="17"/>
      <c r="I2684" s="15"/>
      <c r="J2684" s="25">
        <f>IF($D2684="","",IFERROR(INDEX(PacNome,MATCH($D2684,PacCod,0)),"Paciente não cadastrado"))</f>
        <v>0</v>
      </c>
      <c r="K2684" s="26">
        <f>IF($D2684="","",IFERROR(INDEX(PacConv,MATCH($D2684,PacCod,0))&amp;"",""))</f>
        <v>0</v>
      </c>
      <c r="L2684" s="26">
        <f>IF($A2684="","",CHOOSE(WEEKDAY($A2684,2),"Seg","Ter","Qua","Qui","Sex","Sáb","Dom"))</f>
        <v>0</v>
      </c>
      <c r="M2684" s="27">
        <f>IF($E2684="","",IF($G2684&lt;&gt;"",$G2684,IFERROR(INDEX(ProcValor,MATCH($E2684,ProcNome,0)),0)))</f>
        <v>0</v>
      </c>
      <c r="N2684" s="27">
        <f>IF($M2684="","",IF($F2684="Compareceu",$M2684,0))</f>
        <v>0</v>
      </c>
      <c r="O2684" s="27">
        <f>IF($M2684="","",IF($F2684="Faltou",$M2684,0))</f>
        <v>0</v>
      </c>
      <c r="P2684" s="27">
        <f>IF($M2684="","",IF($F2684="Compareceu",MAX(0,$M2684-N($H2684)),0))</f>
        <v>0</v>
      </c>
      <c r="Q2684" s="19">
        <f>IF(AND($F2684="Compareceu",$E2684&lt;&gt;"",$A2684&lt;&gt;""),IF(IFERROR(INDEX(ProcRet,MATCH($E2684,ProcNome,0)),0)&gt;0,$A2684+INDEX(ProcRet,MATCH($E2684,ProcNome,0)),""),"")</f>
        <v>0</v>
      </c>
      <c r="R2684" s="26">
        <f>IF($Q2684="","",IF(COUNTIFS(AgPac,$D2684,AgData,"&gt;"&amp;$A2684,AgStatus,"&lt;&gt;Cancelado",AgStatus,"&lt;&gt;Remarcado")&gt;0,"Sim","Não"))</f>
        <v>0</v>
      </c>
      <c r="S2684" s="28">
        <f>IF($A2684="","",IF(AND($F2684="Agendado",$A2684-Hoje&gt;=0,$A2684-Hoje&lt;=DiasConf),"CONFIRMAR",IF(AND($A2684&lt;Hoje,OR($F2684="Agendado",$F2684="Confirmado")),"Atualizar status",IF(AND($F2684="Compareceu",$P2684&gt;0.005),"Cobrar",IF($F2684="Faltou","Falta: reagendar","")))))</f>
        <v>0</v>
      </c>
      <c r="T2684" s="29">
        <f>IF($A2684="","",DATE(YEAR($A2684),MONTH($A2684),1))</f>
        <v>0</v>
      </c>
      <c r="U2684" s="30">
        <f>IF($S2684="CONFIRMAR",MAX($U$4:$U2683)+1,"")</f>
        <v>0</v>
      </c>
      <c r="V2684" s="30">
        <f>IF(AND($R2684="Não",$Q2684&lt;&gt;"",$Q2684&lt;=Hoje+JanelaRet,$Q2684&gt;=Hoje-60),MAX($V$4:$V2683)+1,"")</f>
        <v>0</v>
      </c>
    </row>
    <row r="2685" spans="1:22">
      <c r="A2685" s="16"/>
      <c r="B2685" s="23"/>
      <c r="C2685" s="15"/>
      <c r="D2685" s="15"/>
      <c r="E2685" s="15"/>
      <c r="F2685" s="24"/>
      <c r="G2685" s="17"/>
      <c r="H2685" s="17"/>
      <c r="I2685" s="15"/>
      <c r="J2685" s="25">
        <f>IF($D2685="","",IFERROR(INDEX(PacNome,MATCH($D2685,PacCod,0)),"Paciente não cadastrado"))</f>
        <v>0</v>
      </c>
      <c r="K2685" s="26">
        <f>IF($D2685="","",IFERROR(INDEX(PacConv,MATCH($D2685,PacCod,0))&amp;"",""))</f>
        <v>0</v>
      </c>
      <c r="L2685" s="26">
        <f>IF($A2685="","",CHOOSE(WEEKDAY($A2685,2),"Seg","Ter","Qua","Qui","Sex","Sáb","Dom"))</f>
        <v>0</v>
      </c>
      <c r="M2685" s="27">
        <f>IF($E2685="","",IF($G2685&lt;&gt;"",$G2685,IFERROR(INDEX(ProcValor,MATCH($E2685,ProcNome,0)),0)))</f>
        <v>0</v>
      </c>
      <c r="N2685" s="27">
        <f>IF($M2685="","",IF($F2685="Compareceu",$M2685,0))</f>
        <v>0</v>
      </c>
      <c r="O2685" s="27">
        <f>IF($M2685="","",IF($F2685="Faltou",$M2685,0))</f>
        <v>0</v>
      </c>
      <c r="P2685" s="27">
        <f>IF($M2685="","",IF($F2685="Compareceu",MAX(0,$M2685-N($H2685)),0))</f>
        <v>0</v>
      </c>
      <c r="Q2685" s="19">
        <f>IF(AND($F2685="Compareceu",$E2685&lt;&gt;"",$A2685&lt;&gt;""),IF(IFERROR(INDEX(ProcRet,MATCH($E2685,ProcNome,0)),0)&gt;0,$A2685+INDEX(ProcRet,MATCH($E2685,ProcNome,0)),""),"")</f>
        <v>0</v>
      </c>
      <c r="R2685" s="26">
        <f>IF($Q2685="","",IF(COUNTIFS(AgPac,$D2685,AgData,"&gt;"&amp;$A2685,AgStatus,"&lt;&gt;Cancelado",AgStatus,"&lt;&gt;Remarcado")&gt;0,"Sim","Não"))</f>
        <v>0</v>
      </c>
      <c r="S2685" s="28">
        <f>IF($A2685="","",IF(AND($F2685="Agendado",$A2685-Hoje&gt;=0,$A2685-Hoje&lt;=DiasConf),"CONFIRMAR",IF(AND($A2685&lt;Hoje,OR($F2685="Agendado",$F2685="Confirmado")),"Atualizar status",IF(AND($F2685="Compareceu",$P2685&gt;0.005),"Cobrar",IF($F2685="Faltou","Falta: reagendar","")))))</f>
        <v>0</v>
      </c>
      <c r="T2685" s="29">
        <f>IF($A2685="","",DATE(YEAR($A2685),MONTH($A2685),1))</f>
        <v>0</v>
      </c>
      <c r="U2685" s="30">
        <f>IF($S2685="CONFIRMAR",MAX($U$4:$U2684)+1,"")</f>
        <v>0</v>
      </c>
      <c r="V2685" s="30">
        <f>IF(AND($R2685="Não",$Q2685&lt;&gt;"",$Q2685&lt;=Hoje+JanelaRet,$Q2685&gt;=Hoje-60),MAX($V$4:$V2684)+1,"")</f>
        <v>0</v>
      </c>
    </row>
    <row r="2686" spans="1:22">
      <c r="A2686" s="16"/>
      <c r="B2686" s="23"/>
      <c r="C2686" s="15"/>
      <c r="D2686" s="15"/>
      <c r="E2686" s="15"/>
      <c r="F2686" s="24"/>
      <c r="G2686" s="17"/>
      <c r="H2686" s="17"/>
      <c r="I2686" s="15"/>
      <c r="J2686" s="25">
        <f>IF($D2686="","",IFERROR(INDEX(PacNome,MATCH($D2686,PacCod,0)),"Paciente não cadastrado"))</f>
        <v>0</v>
      </c>
      <c r="K2686" s="26">
        <f>IF($D2686="","",IFERROR(INDEX(PacConv,MATCH($D2686,PacCod,0))&amp;"",""))</f>
        <v>0</v>
      </c>
      <c r="L2686" s="26">
        <f>IF($A2686="","",CHOOSE(WEEKDAY($A2686,2),"Seg","Ter","Qua","Qui","Sex","Sáb","Dom"))</f>
        <v>0</v>
      </c>
      <c r="M2686" s="27">
        <f>IF($E2686="","",IF($G2686&lt;&gt;"",$G2686,IFERROR(INDEX(ProcValor,MATCH($E2686,ProcNome,0)),0)))</f>
        <v>0</v>
      </c>
      <c r="N2686" s="27">
        <f>IF($M2686="","",IF($F2686="Compareceu",$M2686,0))</f>
        <v>0</v>
      </c>
      <c r="O2686" s="27">
        <f>IF($M2686="","",IF($F2686="Faltou",$M2686,0))</f>
        <v>0</v>
      </c>
      <c r="P2686" s="27">
        <f>IF($M2686="","",IF($F2686="Compareceu",MAX(0,$M2686-N($H2686)),0))</f>
        <v>0</v>
      </c>
      <c r="Q2686" s="19">
        <f>IF(AND($F2686="Compareceu",$E2686&lt;&gt;"",$A2686&lt;&gt;""),IF(IFERROR(INDEX(ProcRet,MATCH($E2686,ProcNome,0)),0)&gt;0,$A2686+INDEX(ProcRet,MATCH($E2686,ProcNome,0)),""),"")</f>
        <v>0</v>
      </c>
      <c r="R2686" s="26">
        <f>IF($Q2686="","",IF(COUNTIFS(AgPac,$D2686,AgData,"&gt;"&amp;$A2686,AgStatus,"&lt;&gt;Cancelado",AgStatus,"&lt;&gt;Remarcado")&gt;0,"Sim","Não"))</f>
        <v>0</v>
      </c>
      <c r="S2686" s="28">
        <f>IF($A2686="","",IF(AND($F2686="Agendado",$A2686-Hoje&gt;=0,$A2686-Hoje&lt;=DiasConf),"CONFIRMAR",IF(AND($A2686&lt;Hoje,OR($F2686="Agendado",$F2686="Confirmado")),"Atualizar status",IF(AND($F2686="Compareceu",$P2686&gt;0.005),"Cobrar",IF($F2686="Faltou","Falta: reagendar","")))))</f>
        <v>0</v>
      </c>
      <c r="T2686" s="29">
        <f>IF($A2686="","",DATE(YEAR($A2686),MONTH($A2686),1))</f>
        <v>0</v>
      </c>
      <c r="U2686" s="30">
        <f>IF($S2686="CONFIRMAR",MAX($U$4:$U2685)+1,"")</f>
        <v>0</v>
      </c>
      <c r="V2686" s="30">
        <f>IF(AND($R2686="Não",$Q2686&lt;&gt;"",$Q2686&lt;=Hoje+JanelaRet,$Q2686&gt;=Hoje-60),MAX($V$4:$V2685)+1,"")</f>
        <v>0</v>
      </c>
    </row>
    <row r="2687" spans="1:22">
      <c r="A2687" s="16"/>
      <c r="B2687" s="23"/>
      <c r="C2687" s="15"/>
      <c r="D2687" s="15"/>
      <c r="E2687" s="15"/>
      <c r="F2687" s="24"/>
      <c r="G2687" s="17"/>
      <c r="H2687" s="17"/>
      <c r="I2687" s="15"/>
      <c r="J2687" s="25">
        <f>IF($D2687="","",IFERROR(INDEX(PacNome,MATCH($D2687,PacCod,0)),"Paciente não cadastrado"))</f>
        <v>0</v>
      </c>
      <c r="K2687" s="26">
        <f>IF($D2687="","",IFERROR(INDEX(PacConv,MATCH($D2687,PacCod,0))&amp;"",""))</f>
        <v>0</v>
      </c>
      <c r="L2687" s="26">
        <f>IF($A2687="","",CHOOSE(WEEKDAY($A2687,2),"Seg","Ter","Qua","Qui","Sex","Sáb","Dom"))</f>
        <v>0</v>
      </c>
      <c r="M2687" s="27">
        <f>IF($E2687="","",IF($G2687&lt;&gt;"",$G2687,IFERROR(INDEX(ProcValor,MATCH($E2687,ProcNome,0)),0)))</f>
        <v>0</v>
      </c>
      <c r="N2687" s="27">
        <f>IF($M2687="","",IF($F2687="Compareceu",$M2687,0))</f>
        <v>0</v>
      </c>
      <c r="O2687" s="27">
        <f>IF($M2687="","",IF($F2687="Faltou",$M2687,0))</f>
        <v>0</v>
      </c>
      <c r="P2687" s="27">
        <f>IF($M2687="","",IF($F2687="Compareceu",MAX(0,$M2687-N($H2687)),0))</f>
        <v>0</v>
      </c>
      <c r="Q2687" s="19">
        <f>IF(AND($F2687="Compareceu",$E2687&lt;&gt;"",$A2687&lt;&gt;""),IF(IFERROR(INDEX(ProcRet,MATCH($E2687,ProcNome,0)),0)&gt;0,$A2687+INDEX(ProcRet,MATCH($E2687,ProcNome,0)),""),"")</f>
        <v>0</v>
      </c>
      <c r="R2687" s="26">
        <f>IF($Q2687="","",IF(COUNTIFS(AgPac,$D2687,AgData,"&gt;"&amp;$A2687,AgStatus,"&lt;&gt;Cancelado",AgStatus,"&lt;&gt;Remarcado")&gt;0,"Sim","Não"))</f>
        <v>0</v>
      </c>
      <c r="S2687" s="28">
        <f>IF($A2687="","",IF(AND($F2687="Agendado",$A2687-Hoje&gt;=0,$A2687-Hoje&lt;=DiasConf),"CONFIRMAR",IF(AND($A2687&lt;Hoje,OR($F2687="Agendado",$F2687="Confirmado")),"Atualizar status",IF(AND($F2687="Compareceu",$P2687&gt;0.005),"Cobrar",IF($F2687="Faltou","Falta: reagendar","")))))</f>
        <v>0</v>
      </c>
      <c r="T2687" s="29">
        <f>IF($A2687="","",DATE(YEAR($A2687),MONTH($A2687),1))</f>
        <v>0</v>
      </c>
      <c r="U2687" s="30">
        <f>IF($S2687="CONFIRMAR",MAX($U$4:$U2686)+1,"")</f>
        <v>0</v>
      </c>
      <c r="V2687" s="30">
        <f>IF(AND($R2687="Não",$Q2687&lt;&gt;"",$Q2687&lt;=Hoje+JanelaRet,$Q2687&gt;=Hoje-60),MAX($V$4:$V2686)+1,"")</f>
        <v>0</v>
      </c>
    </row>
    <row r="2688" spans="1:22">
      <c r="A2688" s="16"/>
      <c r="B2688" s="23"/>
      <c r="C2688" s="15"/>
      <c r="D2688" s="15"/>
      <c r="E2688" s="15"/>
      <c r="F2688" s="24"/>
      <c r="G2688" s="17"/>
      <c r="H2688" s="17"/>
      <c r="I2688" s="15"/>
      <c r="J2688" s="25">
        <f>IF($D2688="","",IFERROR(INDEX(PacNome,MATCH($D2688,PacCod,0)),"Paciente não cadastrado"))</f>
        <v>0</v>
      </c>
      <c r="K2688" s="26">
        <f>IF($D2688="","",IFERROR(INDEX(PacConv,MATCH($D2688,PacCod,0))&amp;"",""))</f>
        <v>0</v>
      </c>
      <c r="L2688" s="26">
        <f>IF($A2688="","",CHOOSE(WEEKDAY($A2688,2),"Seg","Ter","Qua","Qui","Sex","Sáb","Dom"))</f>
        <v>0</v>
      </c>
      <c r="M2688" s="27">
        <f>IF($E2688="","",IF($G2688&lt;&gt;"",$G2688,IFERROR(INDEX(ProcValor,MATCH($E2688,ProcNome,0)),0)))</f>
        <v>0</v>
      </c>
      <c r="N2688" s="27">
        <f>IF($M2688="","",IF($F2688="Compareceu",$M2688,0))</f>
        <v>0</v>
      </c>
      <c r="O2688" s="27">
        <f>IF($M2688="","",IF($F2688="Faltou",$M2688,0))</f>
        <v>0</v>
      </c>
      <c r="P2688" s="27">
        <f>IF($M2688="","",IF($F2688="Compareceu",MAX(0,$M2688-N($H2688)),0))</f>
        <v>0</v>
      </c>
      <c r="Q2688" s="19">
        <f>IF(AND($F2688="Compareceu",$E2688&lt;&gt;"",$A2688&lt;&gt;""),IF(IFERROR(INDEX(ProcRet,MATCH($E2688,ProcNome,0)),0)&gt;0,$A2688+INDEX(ProcRet,MATCH($E2688,ProcNome,0)),""),"")</f>
        <v>0</v>
      </c>
      <c r="R2688" s="26">
        <f>IF($Q2688="","",IF(COUNTIFS(AgPac,$D2688,AgData,"&gt;"&amp;$A2688,AgStatus,"&lt;&gt;Cancelado",AgStatus,"&lt;&gt;Remarcado")&gt;0,"Sim","Não"))</f>
        <v>0</v>
      </c>
      <c r="S2688" s="28">
        <f>IF($A2688="","",IF(AND($F2688="Agendado",$A2688-Hoje&gt;=0,$A2688-Hoje&lt;=DiasConf),"CONFIRMAR",IF(AND($A2688&lt;Hoje,OR($F2688="Agendado",$F2688="Confirmado")),"Atualizar status",IF(AND($F2688="Compareceu",$P2688&gt;0.005),"Cobrar",IF($F2688="Faltou","Falta: reagendar","")))))</f>
        <v>0</v>
      </c>
      <c r="T2688" s="29">
        <f>IF($A2688="","",DATE(YEAR($A2688),MONTH($A2688),1))</f>
        <v>0</v>
      </c>
      <c r="U2688" s="30">
        <f>IF($S2688="CONFIRMAR",MAX($U$4:$U2687)+1,"")</f>
        <v>0</v>
      </c>
      <c r="V2688" s="30">
        <f>IF(AND($R2688="Não",$Q2688&lt;&gt;"",$Q2688&lt;=Hoje+JanelaRet,$Q2688&gt;=Hoje-60),MAX($V$4:$V2687)+1,"")</f>
        <v>0</v>
      </c>
    </row>
    <row r="2689" spans="1:22">
      <c r="A2689" s="16"/>
      <c r="B2689" s="23"/>
      <c r="C2689" s="15"/>
      <c r="D2689" s="15"/>
      <c r="E2689" s="15"/>
      <c r="F2689" s="24"/>
      <c r="G2689" s="17"/>
      <c r="H2689" s="17"/>
      <c r="I2689" s="15"/>
      <c r="J2689" s="25">
        <f>IF($D2689="","",IFERROR(INDEX(PacNome,MATCH($D2689,PacCod,0)),"Paciente não cadastrado"))</f>
        <v>0</v>
      </c>
      <c r="K2689" s="26">
        <f>IF($D2689="","",IFERROR(INDEX(PacConv,MATCH($D2689,PacCod,0))&amp;"",""))</f>
        <v>0</v>
      </c>
      <c r="L2689" s="26">
        <f>IF($A2689="","",CHOOSE(WEEKDAY($A2689,2),"Seg","Ter","Qua","Qui","Sex","Sáb","Dom"))</f>
        <v>0</v>
      </c>
      <c r="M2689" s="27">
        <f>IF($E2689="","",IF($G2689&lt;&gt;"",$G2689,IFERROR(INDEX(ProcValor,MATCH($E2689,ProcNome,0)),0)))</f>
        <v>0</v>
      </c>
      <c r="N2689" s="27">
        <f>IF($M2689="","",IF($F2689="Compareceu",$M2689,0))</f>
        <v>0</v>
      </c>
      <c r="O2689" s="27">
        <f>IF($M2689="","",IF($F2689="Faltou",$M2689,0))</f>
        <v>0</v>
      </c>
      <c r="P2689" s="27">
        <f>IF($M2689="","",IF($F2689="Compareceu",MAX(0,$M2689-N($H2689)),0))</f>
        <v>0</v>
      </c>
      <c r="Q2689" s="19">
        <f>IF(AND($F2689="Compareceu",$E2689&lt;&gt;"",$A2689&lt;&gt;""),IF(IFERROR(INDEX(ProcRet,MATCH($E2689,ProcNome,0)),0)&gt;0,$A2689+INDEX(ProcRet,MATCH($E2689,ProcNome,0)),""),"")</f>
        <v>0</v>
      </c>
      <c r="R2689" s="26">
        <f>IF($Q2689="","",IF(COUNTIFS(AgPac,$D2689,AgData,"&gt;"&amp;$A2689,AgStatus,"&lt;&gt;Cancelado",AgStatus,"&lt;&gt;Remarcado")&gt;0,"Sim","Não"))</f>
        <v>0</v>
      </c>
      <c r="S2689" s="28">
        <f>IF($A2689="","",IF(AND($F2689="Agendado",$A2689-Hoje&gt;=0,$A2689-Hoje&lt;=DiasConf),"CONFIRMAR",IF(AND($A2689&lt;Hoje,OR($F2689="Agendado",$F2689="Confirmado")),"Atualizar status",IF(AND($F2689="Compareceu",$P2689&gt;0.005),"Cobrar",IF($F2689="Faltou","Falta: reagendar","")))))</f>
        <v>0</v>
      </c>
      <c r="T2689" s="29">
        <f>IF($A2689="","",DATE(YEAR($A2689),MONTH($A2689),1))</f>
        <v>0</v>
      </c>
      <c r="U2689" s="30">
        <f>IF($S2689="CONFIRMAR",MAX($U$4:$U2688)+1,"")</f>
        <v>0</v>
      </c>
      <c r="V2689" s="30">
        <f>IF(AND($R2689="Não",$Q2689&lt;&gt;"",$Q2689&lt;=Hoje+JanelaRet,$Q2689&gt;=Hoje-60),MAX($V$4:$V2688)+1,"")</f>
        <v>0</v>
      </c>
    </row>
    <row r="2690" spans="1:22">
      <c r="A2690" s="16"/>
      <c r="B2690" s="23"/>
      <c r="C2690" s="15"/>
      <c r="D2690" s="15"/>
      <c r="E2690" s="15"/>
      <c r="F2690" s="24"/>
      <c r="G2690" s="17"/>
      <c r="H2690" s="17"/>
      <c r="I2690" s="15"/>
      <c r="J2690" s="25">
        <f>IF($D2690="","",IFERROR(INDEX(PacNome,MATCH($D2690,PacCod,0)),"Paciente não cadastrado"))</f>
        <v>0</v>
      </c>
      <c r="K2690" s="26">
        <f>IF($D2690="","",IFERROR(INDEX(PacConv,MATCH($D2690,PacCod,0))&amp;"",""))</f>
        <v>0</v>
      </c>
      <c r="L2690" s="26">
        <f>IF($A2690="","",CHOOSE(WEEKDAY($A2690,2),"Seg","Ter","Qua","Qui","Sex","Sáb","Dom"))</f>
        <v>0</v>
      </c>
      <c r="M2690" s="27">
        <f>IF($E2690="","",IF($G2690&lt;&gt;"",$G2690,IFERROR(INDEX(ProcValor,MATCH($E2690,ProcNome,0)),0)))</f>
        <v>0</v>
      </c>
      <c r="N2690" s="27">
        <f>IF($M2690="","",IF($F2690="Compareceu",$M2690,0))</f>
        <v>0</v>
      </c>
      <c r="O2690" s="27">
        <f>IF($M2690="","",IF($F2690="Faltou",$M2690,0))</f>
        <v>0</v>
      </c>
      <c r="P2690" s="27">
        <f>IF($M2690="","",IF($F2690="Compareceu",MAX(0,$M2690-N($H2690)),0))</f>
        <v>0</v>
      </c>
      <c r="Q2690" s="19">
        <f>IF(AND($F2690="Compareceu",$E2690&lt;&gt;"",$A2690&lt;&gt;""),IF(IFERROR(INDEX(ProcRet,MATCH($E2690,ProcNome,0)),0)&gt;0,$A2690+INDEX(ProcRet,MATCH($E2690,ProcNome,0)),""),"")</f>
        <v>0</v>
      </c>
      <c r="R2690" s="26">
        <f>IF($Q2690="","",IF(COUNTIFS(AgPac,$D2690,AgData,"&gt;"&amp;$A2690,AgStatus,"&lt;&gt;Cancelado",AgStatus,"&lt;&gt;Remarcado")&gt;0,"Sim","Não"))</f>
        <v>0</v>
      </c>
      <c r="S2690" s="28">
        <f>IF($A2690="","",IF(AND($F2690="Agendado",$A2690-Hoje&gt;=0,$A2690-Hoje&lt;=DiasConf),"CONFIRMAR",IF(AND($A2690&lt;Hoje,OR($F2690="Agendado",$F2690="Confirmado")),"Atualizar status",IF(AND($F2690="Compareceu",$P2690&gt;0.005),"Cobrar",IF($F2690="Faltou","Falta: reagendar","")))))</f>
        <v>0</v>
      </c>
      <c r="T2690" s="29">
        <f>IF($A2690="","",DATE(YEAR($A2690),MONTH($A2690),1))</f>
        <v>0</v>
      </c>
      <c r="U2690" s="30">
        <f>IF($S2690="CONFIRMAR",MAX($U$4:$U2689)+1,"")</f>
        <v>0</v>
      </c>
      <c r="V2690" s="30">
        <f>IF(AND($R2690="Não",$Q2690&lt;&gt;"",$Q2690&lt;=Hoje+JanelaRet,$Q2690&gt;=Hoje-60),MAX($V$4:$V2689)+1,"")</f>
        <v>0</v>
      </c>
    </row>
    <row r="2691" spans="1:22">
      <c r="A2691" s="16"/>
      <c r="B2691" s="23"/>
      <c r="C2691" s="15"/>
      <c r="D2691" s="15"/>
      <c r="E2691" s="15"/>
      <c r="F2691" s="24"/>
      <c r="G2691" s="17"/>
      <c r="H2691" s="17"/>
      <c r="I2691" s="15"/>
      <c r="J2691" s="25">
        <f>IF($D2691="","",IFERROR(INDEX(PacNome,MATCH($D2691,PacCod,0)),"Paciente não cadastrado"))</f>
        <v>0</v>
      </c>
      <c r="K2691" s="26">
        <f>IF($D2691="","",IFERROR(INDEX(PacConv,MATCH($D2691,PacCod,0))&amp;"",""))</f>
        <v>0</v>
      </c>
      <c r="L2691" s="26">
        <f>IF($A2691="","",CHOOSE(WEEKDAY($A2691,2),"Seg","Ter","Qua","Qui","Sex","Sáb","Dom"))</f>
        <v>0</v>
      </c>
      <c r="M2691" s="27">
        <f>IF($E2691="","",IF($G2691&lt;&gt;"",$G2691,IFERROR(INDEX(ProcValor,MATCH($E2691,ProcNome,0)),0)))</f>
        <v>0</v>
      </c>
      <c r="N2691" s="27">
        <f>IF($M2691="","",IF($F2691="Compareceu",$M2691,0))</f>
        <v>0</v>
      </c>
      <c r="O2691" s="27">
        <f>IF($M2691="","",IF($F2691="Faltou",$M2691,0))</f>
        <v>0</v>
      </c>
      <c r="P2691" s="27">
        <f>IF($M2691="","",IF($F2691="Compareceu",MAX(0,$M2691-N($H2691)),0))</f>
        <v>0</v>
      </c>
      <c r="Q2691" s="19">
        <f>IF(AND($F2691="Compareceu",$E2691&lt;&gt;"",$A2691&lt;&gt;""),IF(IFERROR(INDEX(ProcRet,MATCH($E2691,ProcNome,0)),0)&gt;0,$A2691+INDEX(ProcRet,MATCH($E2691,ProcNome,0)),""),"")</f>
        <v>0</v>
      </c>
      <c r="R2691" s="26">
        <f>IF($Q2691="","",IF(COUNTIFS(AgPac,$D2691,AgData,"&gt;"&amp;$A2691,AgStatus,"&lt;&gt;Cancelado",AgStatus,"&lt;&gt;Remarcado")&gt;0,"Sim","Não"))</f>
        <v>0</v>
      </c>
      <c r="S2691" s="28">
        <f>IF($A2691="","",IF(AND($F2691="Agendado",$A2691-Hoje&gt;=0,$A2691-Hoje&lt;=DiasConf),"CONFIRMAR",IF(AND($A2691&lt;Hoje,OR($F2691="Agendado",$F2691="Confirmado")),"Atualizar status",IF(AND($F2691="Compareceu",$P2691&gt;0.005),"Cobrar",IF($F2691="Faltou","Falta: reagendar","")))))</f>
        <v>0</v>
      </c>
      <c r="T2691" s="29">
        <f>IF($A2691="","",DATE(YEAR($A2691),MONTH($A2691),1))</f>
        <v>0</v>
      </c>
      <c r="U2691" s="30">
        <f>IF($S2691="CONFIRMAR",MAX($U$4:$U2690)+1,"")</f>
        <v>0</v>
      </c>
      <c r="V2691" s="30">
        <f>IF(AND($R2691="Não",$Q2691&lt;&gt;"",$Q2691&lt;=Hoje+JanelaRet,$Q2691&gt;=Hoje-60),MAX($V$4:$V2690)+1,"")</f>
        <v>0</v>
      </c>
    </row>
    <row r="2692" spans="1:22">
      <c r="A2692" s="16"/>
      <c r="B2692" s="23"/>
      <c r="C2692" s="15"/>
      <c r="D2692" s="15"/>
      <c r="E2692" s="15"/>
      <c r="F2692" s="24"/>
      <c r="G2692" s="17"/>
      <c r="H2692" s="17"/>
      <c r="I2692" s="15"/>
      <c r="J2692" s="25">
        <f>IF($D2692="","",IFERROR(INDEX(PacNome,MATCH($D2692,PacCod,0)),"Paciente não cadastrado"))</f>
        <v>0</v>
      </c>
      <c r="K2692" s="26">
        <f>IF($D2692="","",IFERROR(INDEX(PacConv,MATCH($D2692,PacCod,0))&amp;"",""))</f>
        <v>0</v>
      </c>
      <c r="L2692" s="26">
        <f>IF($A2692="","",CHOOSE(WEEKDAY($A2692,2),"Seg","Ter","Qua","Qui","Sex","Sáb","Dom"))</f>
        <v>0</v>
      </c>
      <c r="M2692" s="27">
        <f>IF($E2692="","",IF($G2692&lt;&gt;"",$G2692,IFERROR(INDEX(ProcValor,MATCH($E2692,ProcNome,0)),0)))</f>
        <v>0</v>
      </c>
      <c r="N2692" s="27">
        <f>IF($M2692="","",IF($F2692="Compareceu",$M2692,0))</f>
        <v>0</v>
      </c>
      <c r="O2692" s="27">
        <f>IF($M2692="","",IF($F2692="Faltou",$M2692,0))</f>
        <v>0</v>
      </c>
      <c r="P2692" s="27">
        <f>IF($M2692="","",IF($F2692="Compareceu",MAX(0,$M2692-N($H2692)),0))</f>
        <v>0</v>
      </c>
      <c r="Q2692" s="19">
        <f>IF(AND($F2692="Compareceu",$E2692&lt;&gt;"",$A2692&lt;&gt;""),IF(IFERROR(INDEX(ProcRet,MATCH($E2692,ProcNome,0)),0)&gt;0,$A2692+INDEX(ProcRet,MATCH($E2692,ProcNome,0)),""),"")</f>
        <v>0</v>
      </c>
      <c r="R2692" s="26">
        <f>IF($Q2692="","",IF(COUNTIFS(AgPac,$D2692,AgData,"&gt;"&amp;$A2692,AgStatus,"&lt;&gt;Cancelado",AgStatus,"&lt;&gt;Remarcado")&gt;0,"Sim","Não"))</f>
        <v>0</v>
      </c>
      <c r="S2692" s="28">
        <f>IF($A2692="","",IF(AND($F2692="Agendado",$A2692-Hoje&gt;=0,$A2692-Hoje&lt;=DiasConf),"CONFIRMAR",IF(AND($A2692&lt;Hoje,OR($F2692="Agendado",$F2692="Confirmado")),"Atualizar status",IF(AND($F2692="Compareceu",$P2692&gt;0.005),"Cobrar",IF($F2692="Faltou","Falta: reagendar","")))))</f>
        <v>0</v>
      </c>
      <c r="T2692" s="29">
        <f>IF($A2692="","",DATE(YEAR($A2692),MONTH($A2692),1))</f>
        <v>0</v>
      </c>
      <c r="U2692" s="30">
        <f>IF($S2692="CONFIRMAR",MAX($U$4:$U2691)+1,"")</f>
        <v>0</v>
      </c>
      <c r="V2692" s="30">
        <f>IF(AND($R2692="Não",$Q2692&lt;&gt;"",$Q2692&lt;=Hoje+JanelaRet,$Q2692&gt;=Hoje-60),MAX($V$4:$V2691)+1,"")</f>
        <v>0</v>
      </c>
    </row>
    <row r="2693" spans="1:22">
      <c r="A2693" s="16"/>
      <c r="B2693" s="23"/>
      <c r="C2693" s="15"/>
      <c r="D2693" s="15"/>
      <c r="E2693" s="15"/>
      <c r="F2693" s="24"/>
      <c r="G2693" s="17"/>
      <c r="H2693" s="17"/>
      <c r="I2693" s="15"/>
      <c r="J2693" s="25">
        <f>IF($D2693="","",IFERROR(INDEX(PacNome,MATCH($D2693,PacCod,0)),"Paciente não cadastrado"))</f>
        <v>0</v>
      </c>
      <c r="K2693" s="26">
        <f>IF($D2693="","",IFERROR(INDEX(PacConv,MATCH($D2693,PacCod,0))&amp;"",""))</f>
        <v>0</v>
      </c>
      <c r="L2693" s="26">
        <f>IF($A2693="","",CHOOSE(WEEKDAY($A2693,2),"Seg","Ter","Qua","Qui","Sex","Sáb","Dom"))</f>
        <v>0</v>
      </c>
      <c r="M2693" s="27">
        <f>IF($E2693="","",IF($G2693&lt;&gt;"",$G2693,IFERROR(INDEX(ProcValor,MATCH($E2693,ProcNome,0)),0)))</f>
        <v>0</v>
      </c>
      <c r="N2693" s="27">
        <f>IF($M2693="","",IF($F2693="Compareceu",$M2693,0))</f>
        <v>0</v>
      </c>
      <c r="O2693" s="27">
        <f>IF($M2693="","",IF($F2693="Faltou",$M2693,0))</f>
        <v>0</v>
      </c>
      <c r="P2693" s="27">
        <f>IF($M2693="","",IF($F2693="Compareceu",MAX(0,$M2693-N($H2693)),0))</f>
        <v>0</v>
      </c>
      <c r="Q2693" s="19">
        <f>IF(AND($F2693="Compareceu",$E2693&lt;&gt;"",$A2693&lt;&gt;""),IF(IFERROR(INDEX(ProcRet,MATCH($E2693,ProcNome,0)),0)&gt;0,$A2693+INDEX(ProcRet,MATCH($E2693,ProcNome,0)),""),"")</f>
        <v>0</v>
      </c>
      <c r="R2693" s="26">
        <f>IF($Q2693="","",IF(COUNTIFS(AgPac,$D2693,AgData,"&gt;"&amp;$A2693,AgStatus,"&lt;&gt;Cancelado",AgStatus,"&lt;&gt;Remarcado")&gt;0,"Sim","Não"))</f>
        <v>0</v>
      </c>
      <c r="S2693" s="28">
        <f>IF($A2693="","",IF(AND($F2693="Agendado",$A2693-Hoje&gt;=0,$A2693-Hoje&lt;=DiasConf),"CONFIRMAR",IF(AND($A2693&lt;Hoje,OR($F2693="Agendado",$F2693="Confirmado")),"Atualizar status",IF(AND($F2693="Compareceu",$P2693&gt;0.005),"Cobrar",IF($F2693="Faltou","Falta: reagendar","")))))</f>
        <v>0</v>
      </c>
      <c r="T2693" s="29">
        <f>IF($A2693="","",DATE(YEAR($A2693),MONTH($A2693),1))</f>
        <v>0</v>
      </c>
      <c r="U2693" s="30">
        <f>IF($S2693="CONFIRMAR",MAX($U$4:$U2692)+1,"")</f>
        <v>0</v>
      </c>
      <c r="V2693" s="30">
        <f>IF(AND($R2693="Não",$Q2693&lt;&gt;"",$Q2693&lt;=Hoje+JanelaRet,$Q2693&gt;=Hoje-60),MAX($V$4:$V2692)+1,"")</f>
        <v>0</v>
      </c>
    </row>
    <row r="2694" spans="1:22">
      <c r="A2694" s="16"/>
      <c r="B2694" s="23"/>
      <c r="C2694" s="15"/>
      <c r="D2694" s="15"/>
      <c r="E2694" s="15"/>
      <c r="F2694" s="24"/>
      <c r="G2694" s="17"/>
      <c r="H2694" s="17"/>
      <c r="I2694" s="15"/>
      <c r="J2694" s="25">
        <f>IF($D2694="","",IFERROR(INDEX(PacNome,MATCH($D2694,PacCod,0)),"Paciente não cadastrado"))</f>
        <v>0</v>
      </c>
      <c r="K2694" s="26">
        <f>IF($D2694="","",IFERROR(INDEX(PacConv,MATCH($D2694,PacCod,0))&amp;"",""))</f>
        <v>0</v>
      </c>
      <c r="L2694" s="26">
        <f>IF($A2694="","",CHOOSE(WEEKDAY($A2694,2),"Seg","Ter","Qua","Qui","Sex","Sáb","Dom"))</f>
        <v>0</v>
      </c>
      <c r="M2694" s="27">
        <f>IF($E2694="","",IF($G2694&lt;&gt;"",$G2694,IFERROR(INDEX(ProcValor,MATCH($E2694,ProcNome,0)),0)))</f>
        <v>0</v>
      </c>
      <c r="N2694" s="27">
        <f>IF($M2694="","",IF($F2694="Compareceu",$M2694,0))</f>
        <v>0</v>
      </c>
      <c r="O2694" s="27">
        <f>IF($M2694="","",IF($F2694="Faltou",$M2694,0))</f>
        <v>0</v>
      </c>
      <c r="P2694" s="27">
        <f>IF($M2694="","",IF($F2694="Compareceu",MAX(0,$M2694-N($H2694)),0))</f>
        <v>0</v>
      </c>
      <c r="Q2694" s="19">
        <f>IF(AND($F2694="Compareceu",$E2694&lt;&gt;"",$A2694&lt;&gt;""),IF(IFERROR(INDEX(ProcRet,MATCH($E2694,ProcNome,0)),0)&gt;0,$A2694+INDEX(ProcRet,MATCH($E2694,ProcNome,0)),""),"")</f>
        <v>0</v>
      </c>
      <c r="R2694" s="26">
        <f>IF($Q2694="","",IF(COUNTIFS(AgPac,$D2694,AgData,"&gt;"&amp;$A2694,AgStatus,"&lt;&gt;Cancelado",AgStatus,"&lt;&gt;Remarcado")&gt;0,"Sim","Não"))</f>
        <v>0</v>
      </c>
      <c r="S2694" s="28">
        <f>IF($A2694="","",IF(AND($F2694="Agendado",$A2694-Hoje&gt;=0,$A2694-Hoje&lt;=DiasConf),"CONFIRMAR",IF(AND($A2694&lt;Hoje,OR($F2694="Agendado",$F2694="Confirmado")),"Atualizar status",IF(AND($F2694="Compareceu",$P2694&gt;0.005),"Cobrar",IF($F2694="Faltou","Falta: reagendar","")))))</f>
        <v>0</v>
      </c>
      <c r="T2694" s="29">
        <f>IF($A2694="","",DATE(YEAR($A2694),MONTH($A2694),1))</f>
        <v>0</v>
      </c>
      <c r="U2694" s="30">
        <f>IF($S2694="CONFIRMAR",MAX($U$4:$U2693)+1,"")</f>
        <v>0</v>
      </c>
      <c r="V2694" s="30">
        <f>IF(AND($R2694="Não",$Q2694&lt;&gt;"",$Q2694&lt;=Hoje+JanelaRet,$Q2694&gt;=Hoje-60),MAX($V$4:$V2693)+1,"")</f>
        <v>0</v>
      </c>
    </row>
    <row r="2695" spans="1:22">
      <c r="A2695" s="16"/>
      <c r="B2695" s="23"/>
      <c r="C2695" s="15"/>
      <c r="D2695" s="15"/>
      <c r="E2695" s="15"/>
      <c r="F2695" s="24"/>
      <c r="G2695" s="17"/>
      <c r="H2695" s="17"/>
      <c r="I2695" s="15"/>
      <c r="J2695" s="25">
        <f>IF($D2695="","",IFERROR(INDEX(PacNome,MATCH($D2695,PacCod,0)),"Paciente não cadastrado"))</f>
        <v>0</v>
      </c>
      <c r="K2695" s="26">
        <f>IF($D2695="","",IFERROR(INDEX(PacConv,MATCH($D2695,PacCod,0))&amp;"",""))</f>
        <v>0</v>
      </c>
      <c r="L2695" s="26">
        <f>IF($A2695="","",CHOOSE(WEEKDAY($A2695,2),"Seg","Ter","Qua","Qui","Sex","Sáb","Dom"))</f>
        <v>0</v>
      </c>
      <c r="M2695" s="27">
        <f>IF($E2695="","",IF($G2695&lt;&gt;"",$G2695,IFERROR(INDEX(ProcValor,MATCH($E2695,ProcNome,0)),0)))</f>
        <v>0</v>
      </c>
      <c r="N2695" s="27">
        <f>IF($M2695="","",IF($F2695="Compareceu",$M2695,0))</f>
        <v>0</v>
      </c>
      <c r="O2695" s="27">
        <f>IF($M2695="","",IF($F2695="Faltou",$M2695,0))</f>
        <v>0</v>
      </c>
      <c r="P2695" s="27">
        <f>IF($M2695="","",IF($F2695="Compareceu",MAX(0,$M2695-N($H2695)),0))</f>
        <v>0</v>
      </c>
      <c r="Q2695" s="19">
        <f>IF(AND($F2695="Compareceu",$E2695&lt;&gt;"",$A2695&lt;&gt;""),IF(IFERROR(INDEX(ProcRet,MATCH($E2695,ProcNome,0)),0)&gt;0,$A2695+INDEX(ProcRet,MATCH($E2695,ProcNome,0)),""),"")</f>
        <v>0</v>
      </c>
      <c r="R2695" s="26">
        <f>IF($Q2695="","",IF(COUNTIFS(AgPac,$D2695,AgData,"&gt;"&amp;$A2695,AgStatus,"&lt;&gt;Cancelado",AgStatus,"&lt;&gt;Remarcado")&gt;0,"Sim","Não"))</f>
        <v>0</v>
      </c>
      <c r="S2695" s="28">
        <f>IF($A2695="","",IF(AND($F2695="Agendado",$A2695-Hoje&gt;=0,$A2695-Hoje&lt;=DiasConf),"CONFIRMAR",IF(AND($A2695&lt;Hoje,OR($F2695="Agendado",$F2695="Confirmado")),"Atualizar status",IF(AND($F2695="Compareceu",$P2695&gt;0.005),"Cobrar",IF($F2695="Faltou","Falta: reagendar","")))))</f>
        <v>0</v>
      </c>
      <c r="T2695" s="29">
        <f>IF($A2695="","",DATE(YEAR($A2695),MONTH($A2695),1))</f>
        <v>0</v>
      </c>
      <c r="U2695" s="30">
        <f>IF($S2695="CONFIRMAR",MAX($U$4:$U2694)+1,"")</f>
        <v>0</v>
      </c>
      <c r="V2695" s="30">
        <f>IF(AND($R2695="Não",$Q2695&lt;&gt;"",$Q2695&lt;=Hoje+JanelaRet,$Q2695&gt;=Hoje-60),MAX($V$4:$V2694)+1,"")</f>
        <v>0</v>
      </c>
    </row>
    <row r="2696" spans="1:22">
      <c r="A2696" s="16"/>
      <c r="B2696" s="23"/>
      <c r="C2696" s="15"/>
      <c r="D2696" s="15"/>
      <c r="E2696" s="15"/>
      <c r="F2696" s="24"/>
      <c r="G2696" s="17"/>
      <c r="H2696" s="17"/>
      <c r="I2696" s="15"/>
      <c r="J2696" s="25">
        <f>IF($D2696="","",IFERROR(INDEX(PacNome,MATCH($D2696,PacCod,0)),"Paciente não cadastrado"))</f>
        <v>0</v>
      </c>
      <c r="K2696" s="26">
        <f>IF($D2696="","",IFERROR(INDEX(PacConv,MATCH($D2696,PacCod,0))&amp;"",""))</f>
        <v>0</v>
      </c>
      <c r="L2696" s="26">
        <f>IF($A2696="","",CHOOSE(WEEKDAY($A2696,2),"Seg","Ter","Qua","Qui","Sex","Sáb","Dom"))</f>
        <v>0</v>
      </c>
      <c r="M2696" s="27">
        <f>IF($E2696="","",IF($G2696&lt;&gt;"",$G2696,IFERROR(INDEX(ProcValor,MATCH($E2696,ProcNome,0)),0)))</f>
        <v>0</v>
      </c>
      <c r="N2696" s="27">
        <f>IF($M2696="","",IF($F2696="Compareceu",$M2696,0))</f>
        <v>0</v>
      </c>
      <c r="O2696" s="27">
        <f>IF($M2696="","",IF($F2696="Faltou",$M2696,0))</f>
        <v>0</v>
      </c>
      <c r="P2696" s="27">
        <f>IF($M2696="","",IF($F2696="Compareceu",MAX(0,$M2696-N($H2696)),0))</f>
        <v>0</v>
      </c>
      <c r="Q2696" s="19">
        <f>IF(AND($F2696="Compareceu",$E2696&lt;&gt;"",$A2696&lt;&gt;""),IF(IFERROR(INDEX(ProcRet,MATCH($E2696,ProcNome,0)),0)&gt;0,$A2696+INDEX(ProcRet,MATCH($E2696,ProcNome,0)),""),"")</f>
        <v>0</v>
      </c>
      <c r="R2696" s="26">
        <f>IF($Q2696="","",IF(COUNTIFS(AgPac,$D2696,AgData,"&gt;"&amp;$A2696,AgStatus,"&lt;&gt;Cancelado",AgStatus,"&lt;&gt;Remarcado")&gt;0,"Sim","Não"))</f>
        <v>0</v>
      </c>
      <c r="S2696" s="28">
        <f>IF($A2696="","",IF(AND($F2696="Agendado",$A2696-Hoje&gt;=0,$A2696-Hoje&lt;=DiasConf),"CONFIRMAR",IF(AND($A2696&lt;Hoje,OR($F2696="Agendado",$F2696="Confirmado")),"Atualizar status",IF(AND($F2696="Compareceu",$P2696&gt;0.005),"Cobrar",IF($F2696="Faltou","Falta: reagendar","")))))</f>
        <v>0</v>
      </c>
      <c r="T2696" s="29">
        <f>IF($A2696="","",DATE(YEAR($A2696),MONTH($A2696),1))</f>
        <v>0</v>
      </c>
      <c r="U2696" s="30">
        <f>IF($S2696="CONFIRMAR",MAX($U$4:$U2695)+1,"")</f>
        <v>0</v>
      </c>
      <c r="V2696" s="30">
        <f>IF(AND($R2696="Não",$Q2696&lt;&gt;"",$Q2696&lt;=Hoje+JanelaRet,$Q2696&gt;=Hoje-60),MAX($V$4:$V2695)+1,"")</f>
        <v>0</v>
      </c>
    </row>
    <row r="2697" spans="1:22">
      <c r="A2697" s="16"/>
      <c r="B2697" s="23"/>
      <c r="C2697" s="15"/>
      <c r="D2697" s="15"/>
      <c r="E2697" s="15"/>
      <c r="F2697" s="24"/>
      <c r="G2697" s="17"/>
      <c r="H2697" s="17"/>
      <c r="I2697" s="15"/>
      <c r="J2697" s="25">
        <f>IF($D2697="","",IFERROR(INDEX(PacNome,MATCH($D2697,PacCod,0)),"Paciente não cadastrado"))</f>
        <v>0</v>
      </c>
      <c r="K2697" s="26">
        <f>IF($D2697="","",IFERROR(INDEX(PacConv,MATCH($D2697,PacCod,0))&amp;"",""))</f>
        <v>0</v>
      </c>
      <c r="L2697" s="26">
        <f>IF($A2697="","",CHOOSE(WEEKDAY($A2697,2),"Seg","Ter","Qua","Qui","Sex","Sáb","Dom"))</f>
        <v>0</v>
      </c>
      <c r="M2697" s="27">
        <f>IF($E2697="","",IF($G2697&lt;&gt;"",$G2697,IFERROR(INDEX(ProcValor,MATCH($E2697,ProcNome,0)),0)))</f>
        <v>0</v>
      </c>
      <c r="N2697" s="27">
        <f>IF($M2697="","",IF($F2697="Compareceu",$M2697,0))</f>
        <v>0</v>
      </c>
      <c r="O2697" s="27">
        <f>IF($M2697="","",IF($F2697="Faltou",$M2697,0))</f>
        <v>0</v>
      </c>
      <c r="P2697" s="27">
        <f>IF($M2697="","",IF($F2697="Compareceu",MAX(0,$M2697-N($H2697)),0))</f>
        <v>0</v>
      </c>
      <c r="Q2697" s="19">
        <f>IF(AND($F2697="Compareceu",$E2697&lt;&gt;"",$A2697&lt;&gt;""),IF(IFERROR(INDEX(ProcRet,MATCH($E2697,ProcNome,0)),0)&gt;0,$A2697+INDEX(ProcRet,MATCH($E2697,ProcNome,0)),""),"")</f>
        <v>0</v>
      </c>
      <c r="R2697" s="26">
        <f>IF($Q2697="","",IF(COUNTIFS(AgPac,$D2697,AgData,"&gt;"&amp;$A2697,AgStatus,"&lt;&gt;Cancelado",AgStatus,"&lt;&gt;Remarcado")&gt;0,"Sim","Não"))</f>
        <v>0</v>
      </c>
      <c r="S2697" s="28">
        <f>IF($A2697="","",IF(AND($F2697="Agendado",$A2697-Hoje&gt;=0,$A2697-Hoje&lt;=DiasConf),"CONFIRMAR",IF(AND($A2697&lt;Hoje,OR($F2697="Agendado",$F2697="Confirmado")),"Atualizar status",IF(AND($F2697="Compareceu",$P2697&gt;0.005),"Cobrar",IF($F2697="Faltou","Falta: reagendar","")))))</f>
        <v>0</v>
      </c>
      <c r="T2697" s="29">
        <f>IF($A2697="","",DATE(YEAR($A2697),MONTH($A2697),1))</f>
        <v>0</v>
      </c>
      <c r="U2697" s="30">
        <f>IF($S2697="CONFIRMAR",MAX($U$4:$U2696)+1,"")</f>
        <v>0</v>
      </c>
      <c r="V2697" s="30">
        <f>IF(AND($R2697="Não",$Q2697&lt;&gt;"",$Q2697&lt;=Hoje+JanelaRet,$Q2697&gt;=Hoje-60),MAX($V$4:$V2696)+1,"")</f>
        <v>0</v>
      </c>
    </row>
    <row r="2698" spans="1:22">
      <c r="A2698" s="16"/>
      <c r="B2698" s="23"/>
      <c r="C2698" s="15"/>
      <c r="D2698" s="15"/>
      <c r="E2698" s="15"/>
      <c r="F2698" s="24"/>
      <c r="G2698" s="17"/>
      <c r="H2698" s="17"/>
      <c r="I2698" s="15"/>
      <c r="J2698" s="25">
        <f>IF($D2698="","",IFERROR(INDEX(PacNome,MATCH($D2698,PacCod,0)),"Paciente não cadastrado"))</f>
        <v>0</v>
      </c>
      <c r="K2698" s="26">
        <f>IF($D2698="","",IFERROR(INDEX(PacConv,MATCH($D2698,PacCod,0))&amp;"",""))</f>
        <v>0</v>
      </c>
      <c r="L2698" s="26">
        <f>IF($A2698="","",CHOOSE(WEEKDAY($A2698,2),"Seg","Ter","Qua","Qui","Sex","Sáb","Dom"))</f>
        <v>0</v>
      </c>
      <c r="M2698" s="27">
        <f>IF($E2698="","",IF($G2698&lt;&gt;"",$G2698,IFERROR(INDEX(ProcValor,MATCH($E2698,ProcNome,0)),0)))</f>
        <v>0</v>
      </c>
      <c r="N2698" s="27">
        <f>IF($M2698="","",IF($F2698="Compareceu",$M2698,0))</f>
        <v>0</v>
      </c>
      <c r="O2698" s="27">
        <f>IF($M2698="","",IF($F2698="Faltou",$M2698,0))</f>
        <v>0</v>
      </c>
      <c r="P2698" s="27">
        <f>IF($M2698="","",IF($F2698="Compareceu",MAX(0,$M2698-N($H2698)),0))</f>
        <v>0</v>
      </c>
      <c r="Q2698" s="19">
        <f>IF(AND($F2698="Compareceu",$E2698&lt;&gt;"",$A2698&lt;&gt;""),IF(IFERROR(INDEX(ProcRet,MATCH($E2698,ProcNome,0)),0)&gt;0,$A2698+INDEX(ProcRet,MATCH($E2698,ProcNome,0)),""),"")</f>
        <v>0</v>
      </c>
      <c r="R2698" s="26">
        <f>IF($Q2698="","",IF(COUNTIFS(AgPac,$D2698,AgData,"&gt;"&amp;$A2698,AgStatus,"&lt;&gt;Cancelado",AgStatus,"&lt;&gt;Remarcado")&gt;0,"Sim","Não"))</f>
        <v>0</v>
      </c>
      <c r="S2698" s="28">
        <f>IF($A2698="","",IF(AND($F2698="Agendado",$A2698-Hoje&gt;=0,$A2698-Hoje&lt;=DiasConf),"CONFIRMAR",IF(AND($A2698&lt;Hoje,OR($F2698="Agendado",$F2698="Confirmado")),"Atualizar status",IF(AND($F2698="Compareceu",$P2698&gt;0.005),"Cobrar",IF($F2698="Faltou","Falta: reagendar","")))))</f>
        <v>0</v>
      </c>
      <c r="T2698" s="29">
        <f>IF($A2698="","",DATE(YEAR($A2698),MONTH($A2698),1))</f>
        <v>0</v>
      </c>
      <c r="U2698" s="30">
        <f>IF($S2698="CONFIRMAR",MAX($U$4:$U2697)+1,"")</f>
        <v>0</v>
      </c>
      <c r="V2698" s="30">
        <f>IF(AND($R2698="Não",$Q2698&lt;&gt;"",$Q2698&lt;=Hoje+JanelaRet,$Q2698&gt;=Hoje-60),MAX($V$4:$V2697)+1,"")</f>
        <v>0</v>
      </c>
    </row>
    <row r="2699" spans="1:22">
      <c r="A2699" s="16"/>
      <c r="B2699" s="23"/>
      <c r="C2699" s="15"/>
      <c r="D2699" s="15"/>
      <c r="E2699" s="15"/>
      <c r="F2699" s="24"/>
      <c r="G2699" s="17"/>
      <c r="H2699" s="17"/>
      <c r="I2699" s="15"/>
      <c r="J2699" s="25">
        <f>IF($D2699="","",IFERROR(INDEX(PacNome,MATCH($D2699,PacCod,0)),"Paciente não cadastrado"))</f>
        <v>0</v>
      </c>
      <c r="K2699" s="26">
        <f>IF($D2699="","",IFERROR(INDEX(PacConv,MATCH($D2699,PacCod,0))&amp;"",""))</f>
        <v>0</v>
      </c>
      <c r="L2699" s="26">
        <f>IF($A2699="","",CHOOSE(WEEKDAY($A2699,2),"Seg","Ter","Qua","Qui","Sex","Sáb","Dom"))</f>
        <v>0</v>
      </c>
      <c r="M2699" s="27">
        <f>IF($E2699="","",IF($G2699&lt;&gt;"",$G2699,IFERROR(INDEX(ProcValor,MATCH($E2699,ProcNome,0)),0)))</f>
        <v>0</v>
      </c>
      <c r="N2699" s="27">
        <f>IF($M2699="","",IF($F2699="Compareceu",$M2699,0))</f>
        <v>0</v>
      </c>
      <c r="O2699" s="27">
        <f>IF($M2699="","",IF($F2699="Faltou",$M2699,0))</f>
        <v>0</v>
      </c>
      <c r="P2699" s="27">
        <f>IF($M2699="","",IF($F2699="Compareceu",MAX(0,$M2699-N($H2699)),0))</f>
        <v>0</v>
      </c>
      <c r="Q2699" s="19">
        <f>IF(AND($F2699="Compareceu",$E2699&lt;&gt;"",$A2699&lt;&gt;""),IF(IFERROR(INDEX(ProcRet,MATCH($E2699,ProcNome,0)),0)&gt;0,$A2699+INDEX(ProcRet,MATCH($E2699,ProcNome,0)),""),"")</f>
        <v>0</v>
      </c>
      <c r="R2699" s="26">
        <f>IF($Q2699="","",IF(COUNTIFS(AgPac,$D2699,AgData,"&gt;"&amp;$A2699,AgStatus,"&lt;&gt;Cancelado",AgStatus,"&lt;&gt;Remarcado")&gt;0,"Sim","Não"))</f>
        <v>0</v>
      </c>
      <c r="S2699" s="28">
        <f>IF($A2699="","",IF(AND($F2699="Agendado",$A2699-Hoje&gt;=0,$A2699-Hoje&lt;=DiasConf),"CONFIRMAR",IF(AND($A2699&lt;Hoje,OR($F2699="Agendado",$F2699="Confirmado")),"Atualizar status",IF(AND($F2699="Compareceu",$P2699&gt;0.005),"Cobrar",IF($F2699="Faltou","Falta: reagendar","")))))</f>
        <v>0</v>
      </c>
      <c r="T2699" s="29">
        <f>IF($A2699="","",DATE(YEAR($A2699),MONTH($A2699),1))</f>
        <v>0</v>
      </c>
      <c r="U2699" s="30">
        <f>IF($S2699="CONFIRMAR",MAX($U$4:$U2698)+1,"")</f>
        <v>0</v>
      </c>
      <c r="V2699" s="30">
        <f>IF(AND($R2699="Não",$Q2699&lt;&gt;"",$Q2699&lt;=Hoje+JanelaRet,$Q2699&gt;=Hoje-60),MAX($V$4:$V2698)+1,"")</f>
        <v>0</v>
      </c>
    </row>
    <row r="2700" spans="1:22">
      <c r="A2700" s="16"/>
      <c r="B2700" s="23"/>
      <c r="C2700" s="15"/>
      <c r="D2700" s="15"/>
      <c r="E2700" s="15"/>
      <c r="F2700" s="24"/>
      <c r="G2700" s="17"/>
      <c r="H2700" s="17"/>
      <c r="I2700" s="15"/>
      <c r="J2700" s="25">
        <f>IF($D2700="","",IFERROR(INDEX(PacNome,MATCH($D2700,PacCod,0)),"Paciente não cadastrado"))</f>
        <v>0</v>
      </c>
      <c r="K2700" s="26">
        <f>IF($D2700="","",IFERROR(INDEX(PacConv,MATCH($D2700,PacCod,0))&amp;"",""))</f>
        <v>0</v>
      </c>
      <c r="L2700" s="26">
        <f>IF($A2700="","",CHOOSE(WEEKDAY($A2700,2),"Seg","Ter","Qua","Qui","Sex","Sáb","Dom"))</f>
        <v>0</v>
      </c>
      <c r="M2700" s="27">
        <f>IF($E2700="","",IF($G2700&lt;&gt;"",$G2700,IFERROR(INDEX(ProcValor,MATCH($E2700,ProcNome,0)),0)))</f>
        <v>0</v>
      </c>
      <c r="N2700" s="27">
        <f>IF($M2700="","",IF($F2700="Compareceu",$M2700,0))</f>
        <v>0</v>
      </c>
      <c r="O2700" s="27">
        <f>IF($M2700="","",IF($F2700="Faltou",$M2700,0))</f>
        <v>0</v>
      </c>
      <c r="P2700" s="27">
        <f>IF($M2700="","",IF($F2700="Compareceu",MAX(0,$M2700-N($H2700)),0))</f>
        <v>0</v>
      </c>
      <c r="Q2700" s="19">
        <f>IF(AND($F2700="Compareceu",$E2700&lt;&gt;"",$A2700&lt;&gt;""),IF(IFERROR(INDEX(ProcRet,MATCH($E2700,ProcNome,0)),0)&gt;0,$A2700+INDEX(ProcRet,MATCH($E2700,ProcNome,0)),""),"")</f>
        <v>0</v>
      </c>
      <c r="R2700" s="26">
        <f>IF($Q2700="","",IF(COUNTIFS(AgPac,$D2700,AgData,"&gt;"&amp;$A2700,AgStatus,"&lt;&gt;Cancelado",AgStatus,"&lt;&gt;Remarcado")&gt;0,"Sim","Não"))</f>
        <v>0</v>
      </c>
      <c r="S2700" s="28">
        <f>IF($A2700="","",IF(AND($F2700="Agendado",$A2700-Hoje&gt;=0,$A2700-Hoje&lt;=DiasConf),"CONFIRMAR",IF(AND($A2700&lt;Hoje,OR($F2700="Agendado",$F2700="Confirmado")),"Atualizar status",IF(AND($F2700="Compareceu",$P2700&gt;0.005),"Cobrar",IF($F2700="Faltou","Falta: reagendar","")))))</f>
        <v>0</v>
      </c>
      <c r="T2700" s="29">
        <f>IF($A2700="","",DATE(YEAR($A2700),MONTH($A2700),1))</f>
        <v>0</v>
      </c>
      <c r="U2700" s="30">
        <f>IF($S2700="CONFIRMAR",MAX($U$4:$U2699)+1,"")</f>
        <v>0</v>
      </c>
      <c r="V2700" s="30">
        <f>IF(AND($R2700="Não",$Q2700&lt;&gt;"",$Q2700&lt;=Hoje+JanelaRet,$Q2700&gt;=Hoje-60),MAX($V$4:$V2699)+1,"")</f>
        <v>0</v>
      </c>
    </row>
    <row r="2701" spans="1:22">
      <c r="A2701" s="16"/>
      <c r="B2701" s="23"/>
      <c r="C2701" s="15"/>
      <c r="D2701" s="15"/>
      <c r="E2701" s="15"/>
      <c r="F2701" s="24"/>
      <c r="G2701" s="17"/>
      <c r="H2701" s="17"/>
      <c r="I2701" s="15"/>
      <c r="J2701" s="25">
        <f>IF($D2701="","",IFERROR(INDEX(PacNome,MATCH($D2701,PacCod,0)),"Paciente não cadastrado"))</f>
        <v>0</v>
      </c>
      <c r="K2701" s="26">
        <f>IF($D2701="","",IFERROR(INDEX(PacConv,MATCH($D2701,PacCod,0))&amp;"",""))</f>
        <v>0</v>
      </c>
      <c r="L2701" s="26">
        <f>IF($A2701="","",CHOOSE(WEEKDAY($A2701,2),"Seg","Ter","Qua","Qui","Sex","Sáb","Dom"))</f>
        <v>0</v>
      </c>
      <c r="M2701" s="27">
        <f>IF($E2701="","",IF($G2701&lt;&gt;"",$G2701,IFERROR(INDEX(ProcValor,MATCH($E2701,ProcNome,0)),0)))</f>
        <v>0</v>
      </c>
      <c r="N2701" s="27">
        <f>IF($M2701="","",IF($F2701="Compareceu",$M2701,0))</f>
        <v>0</v>
      </c>
      <c r="O2701" s="27">
        <f>IF($M2701="","",IF($F2701="Faltou",$M2701,0))</f>
        <v>0</v>
      </c>
      <c r="P2701" s="27">
        <f>IF($M2701="","",IF($F2701="Compareceu",MAX(0,$M2701-N($H2701)),0))</f>
        <v>0</v>
      </c>
      <c r="Q2701" s="19">
        <f>IF(AND($F2701="Compareceu",$E2701&lt;&gt;"",$A2701&lt;&gt;""),IF(IFERROR(INDEX(ProcRet,MATCH($E2701,ProcNome,0)),0)&gt;0,$A2701+INDEX(ProcRet,MATCH($E2701,ProcNome,0)),""),"")</f>
        <v>0</v>
      </c>
      <c r="R2701" s="26">
        <f>IF($Q2701="","",IF(COUNTIFS(AgPac,$D2701,AgData,"&gt;"&amp;$A2701,AgStatus,"&lt;&gt;Cancelado",AgStatus,"&lt;&gt;Remarcado")&gt;0,"Sim","Não"))</f>
        <v>0</v>
      </c>
      <c r="S2701" s="28">
        <f>IF($A2701="","",IF(AND($F2701="Agendado",$A2701-Hoje&gt;=0,$A2701-Hoje&lt;=DiasConf),"CONFIRMAR",IF(AND($A2701&lt;Hoje,OR($F2701="Agendado",$F2701="Confirmado")),"Atualizar status",IF(AND($F2701="Compareceu",$P2701&gt;0.005),"Cobrar",IF($F2701="Faltou","Falta: reagendar","")))))</f>
        <v>0</v>
      </c>
      <c r="T2701" s="29">
        <f>IF($A2701="","",DATE(YEAR($A2701),MONTH($A2701),1))</f>
        <v>0</v>
      </c>
      <c r="U2701" s="30">
        <f>IF($S2701="CONFIRMAR",MAX($U$4:$U2700)+1,"")</f>
        <v>0</v>
      </c>
      <c r="V2701" s="30">
        <f>IF(AND($R2701="Não",$Q2701&lt;&gt;"",$Q2701&lt;=Hoje+JanelaRet,$Q2701&gt;=Hoje-60),MAX($V$4:$V2700)+1,"")</f>
        <v>0</v>
      </c>
    </row>
    <row r="2702" spans="1:22">
      <c r="A2702" s="16"/>
      <c r="B2702" s="23"/>
      <c r="C2702" s="15"/>
      <c r="D2702" s="15"/>
      <c r="E2702" s="15"/>
      <c r="F2702" s="24"/>
      <c r="G2702" s="17"/>
      <c r="H2702" s="17"/>
      <c r="I2702" s="15"/>
      <c r="J2702" s="25">
        <f>IF($D2702="","",IFERROR(INDEX(PacNome,MATCH($D2702,PacCod,0)),"Paciente não cadastrado"))</f>
        <v>0</v>
      </c>
      <c r="K2702" s="26">
        <f>IF($D2702="","",IFERROR(INDEX(PacConv,MATCH($D2702,PacCod,0))&amp;"",""))</f>
        <v>0</v>
      </c>
      <c r="L2702" s="26">
        <f>IF($A2702="","",CHOOSE(WEEKDAY($A2702,2),"Seg","Ter","Qua","Qui","Sex","Sáb","Dom"))</f>
        <v>0</v>
      </c>
      <c r="M2702" s="27">
        <f>IF($E2702="","",IF($G2702&lt;&gt;"",$G2702,IFERROR(INDEX(ProcValor,MATCH($E2702,ProcNome,0)),0)))</f>
        <v>0</v>
      </c>
      <c r="N2702" s="27">
        <f>IF($M2702="","",IF($F2702="Compareceu",$M2702,0))</f>
        <v>0</v>
      </c>
      <c r="O2702" s="27">
        <f>IF($M2702="","",IF($F2702="Faltou",$M2702,0))</f>
        <v>0</v>
      </c>
      <c r="P2702" s="27">
        <f>IF($M2702="","",IF($F2702="Compareceu",MAX(0,$M2702-N($H2702)),0))</f>
        <v>0</v>
      </c>
      <c r="Q2702" s="19">
        <f>IF(AND($F2702="Compareceu",$E2702&lt;&gt;"",$A2702&lt;&gt;""),IF(IFERROR(INDEX(ProcRet,MATCH($E2702,ProcNome,0)),0)&gt;0,$A2702+INDEX(ProcRet,MATCH($E2702,ProcNome,0)),""),"")</f>
        <v>0</v>
      </c>
      <c r="R2702" s="26">
        <f>IF($Q2702="","",IF(COUNTIFS(AgPac,$D2702,AgData,"&gt;"&amp;$A2702,AgStatus,"&lt;&gt;Cancelado",AgStatus,"&lt;&gt;Remarcado")&gt;0,"Sim","Não"))</f>
        <v>0</v>
      </c>
      <c r="S2702" s="28">
        <f>IF($A2702="","",IF(AND($F2702="Agendado",$A2702-Hoje&gt;=0,$A2702-Hoje&lt;=DiasConf),"CONFIRMAR",IF(AND($A2702&lt;Hoje,OR($F2702="Agendado",$F2702="Confirmado")),"Atualizar status",IF(AND($F2702="Compareceu",$P2702&gt;0.005),"Cobrar",IF($F2702="Faltou","Falta: reagendar","")))))</f>
        <v>0</v>
      </c>
      <c r="T2702" s="29">
        <f>IF($A2702="","",DATE(YEAR($A2702),MONTH($A2702),1))</f>
        <v>0</v>
      </c>
      <c r="U2702" s="30">
        <f>IF($S2702="CONFIRMAR",MAX($U$4:$U2701)+1,"")</f>
        <v>0</v>
      </c>
      <c r="V2702" s="30">
        <f>IF(AND($R2702="Não",$Q2702&lt;&gt;"",$Q2702&lt;=Hoje+JanelaRet,$Q2702&gt;=Hoje-60),MAX($V$4:$V2701)+1,"")</f>
        <v>0</v>
      </c>
    </row>
    <row r="2703" spans="1:22">
      <c r="A2703" s="16"/>
      <c r="B2703" s="23"/>
      <c r="C2703" s="15"/>
      <c r="D2703" s="15"/>
      <c r="E2703" s="15"/>
      <c r="F2703" s="24"/>
      <c r="G2703" s="17"/>
      <c r="H2703" s="17"/>
      <c r="I2703" s="15"/>
      <c r="J2703" s="25">
        <f>IF($D2703="","",IFERROR(INDEX(PacNome,MATCH($D2703,PacCod,0)),"Paciente não cadastrado"))</f>
        <v>0</v>
      </c>
      <c r="K2703" s="26">
        <f>IF($D2703="","",IFERROR(INDEX(PacConv,MATCH($D2703,PacCod,0))&amp;"",""))</f>
        <v>0</v>
      </c>
      <c r="L2703" s="26">
        <f>IF($A2703="","",CHOOSE(WEEKDAY($A2703,2),"Seg","Ter","Qua","Qui","Sex","Sáb","Dom"))</f>
        <v>0</v>
      </c>
      <c r="M2703" s="27">
        <f>IF($E2703="","",IF($G2703&lt;&gt;"",$G2703,IFERROR(INDEX(ProcValor,MATCH($E2703,ProcNome,0)),0)))</f>
        <v>0</v>
      </c>
      <c r="N2703" s="27">
        <f>IF($M2703="","",IF($F2703="Compareceu",$M2703,0))</f>
        <v>0</v>
      </c>
      <c r="O2703" s="27">
        <f>IF($M2703="","",IF($F2703="Faltou",$M2703,0))</f>
        <v>0</v>
      </c>
      <c r="P2703" s="27">
        <f>IF($M2703="","",IF($F2703="Compareceu",MAX(0,$M2703-N($H2703)),0))</f>
        <v>0</v>
      </c>
      <c r="Q2703" s="19">
        <f>IF(AND($F2703="Compareceu",$E2703&lt;&gt;"",$A2703&lt;&gt;""),IF(IFERROR(INDEX(ProcRet,MATCH($E2703,ProcNome,0)),0)&gt;0,$A2703+INDEX(ProcRet,MATCH($E2703,ProcNome,0)),""),"")</f>
        <v>0</v>
      </c>
      <c r="R2703" s="26">
        <f>IF($Q2703="","",IF(COUNTIFS(AgPac,$D2703,AgData,"&gt;"&amp;$A2703,AgStatus,"&lt;&gt;Cancelado",AgStatus,"&lt;&gt;Remarcado")&gt;0,"Sim","Não"))</f>
        <v>0</v>
      </c>
      <c r="S2703" s="28">
        <f>IF($A2703="","",IF(AND($F2703="Agendado",$A2703-Hoje&gt;=0,$A2703-Hoje&lt;=DiasConf),"CONFIRMAR",IF(AND($A2703&lt;Hoje,OR($F2703="Agendado",$F2703="Confirmado")),"Atualizar status",IF(AND($F2703="Compareceu",$P2703&gt;0.005),"Cobrar",IF($F2703="Faltou","Falta: reagendar","")))))</f>
        <v>0</v>
      </c>
      <c r="T2703" s="29">
        <f>IF($A2703="","",DATE(YEAR($A2703),MONTH($A2703),1))</f>
        <v>0</v>
      </c>
      <c r="U2703" s="30">
        <f>IF($S2703="CONFIRMAR",MAX($U$4:$U2702)+1,"")</f>
        <v>0</v>
      </c>
      <c r="V2703" s="30">
        <f>IF(AND($R2703="Não",$Q2703&lt;&gt;"",$Q2703&lt;=Hoje+JanelaRet,$Q2703&gt;=Hoje-60),MAX($V$4:$V2702)+1,"")</f>
        <v>0</v>
      </c>
    </row>
    <row r="2704" spans="1:22">
      <c r="A2704" s="16"/>
      <c r="B2704" s="23"/>
      <c r="C2704" s="15"/>
      <c r="D2704" s="15"/>
      <c r="E2704" s="15"/>
      <c r="F2704" s="24"/>
      <c r="G2704" s="17"/>
      <c r="H2704" s="17"/>
      <c r="I2704" s="15"/>
      <c r="J2704" s="25">
        <f>IF($D2704="","",IFERROR(INDEX(PacNome,MATCH($D2704,PacCod,0)),"Paciente não cadastrado"))</f>
        <v>0</v>
      </c>
      <c r="K2704" s="26">
        <f>IF($D2704="","",IFERROR(INDEX(PacConv,MATCH($D2704,PacCod,0))&amp;"",""))</f>
        <v>0</v>
      </c>
      <c r="L2704" s="26">
        <f>IF($A2704="","",CHOOSE(WEEKDAY($A2704,2),"Seg","Ter","Qua","Qui","Sex","Sáb","Dom"))</f>
        <v>0</v>
      </c>
      <c r="M2704" s="27">
        <f>IF($E2704="","",IF($G2704&lt;&gt;"",$G2704,IFERROR(INDEX(ProcValor,MATCH($E2704,ProcNome,0)),0)))</f>
        <v>0</v>
      </c>
      <c r="N2704" s="27">
        <f>IF($M2704="","",IF($F2704="Compareceu",$M2704,0))</f>
        <v>0</v>
      </c>
      <c r="O2704" s="27">
        <f>IF($M2704="","",IF($F2704="Faltou",$M2704,0))</f>
        <v>0</v>
      </c>
      <c r="P2704" s="27">
        <f>IF($M2704="","",IF($F2704="Compareceu",MAX(0,$M2704-N($H2704)),0))</f>
        <v>0</v>
      </c>
      <c r="Q2704" s="19">
        <f>IF(AND($F2704="Compareceu",$E2704&lt;&gt;"",$A2704&lt;&gt;""),IF(IFERROR(INDEX(ProcRet,MATCH($E2704,ProcNome,0)),0)&gt;0,$A2704+INDEX(ProcRet,MATCH($E2704,ProcNome,0)),""),"")</f>
        <v>0</v>
      </c>
      <c r="R2704" s="26">
        <f>IF($Q2704="","",IF(COUNTIFS(AgPac,$D2704,AgData,"&gt;"&amp;$A2704,AgStatus,"&lt;&gt;Cancelado",AgStatus,"&lt;&gt;Remarcado")&gt;0,"Sim","Não"))</f>
        <v>0</v>
      </c>
      <c r="S2704" s="28">
        <f>IF($A2704="","",IF(AND($F2704="Agendado",$A2704-Hoje&gt;=0,$A2704-Hoje&lt;=DiasConf),"CONFIRMAR",IF(AND($A2704&lt;Hoje,OR($F2704="Agendado",$F2704="Confirmado")),"Atualizar status",IF(AND($F2704="Compareceu",$P2704&gt;0.005),"Cobrar",IF($F2704="Faltou","Falta: reagendar","")))))</f>
        <v>0</v>
      </c>
      <c r="T2704" s="29">
        <f>IF($A2704="","",DATE(YEAR($A2704),MONTH($A2704),1))</f>
        <v>0</v>
      </c>
      <c r="U2704" s="30">
        <f>IF($S2704="CONFIRMAR",MAX($U$4:$U2703)+1,"")</f>
        <v>0</v>
      </c>
      <c r="V2704" s="30">
        <f>IF(AND($R2704="Não",$Q2704&lt;&gt;"",$Q2704&lt;=Hoje+JanelaRet,$Q2704&gt;=Hoje-60),MAX($V$4:$V2703)+1,"")</f>
        <v>0</v>
      </c>
    </row>
    <row r="2705" spans="1:22">
      <c r="A2705" s="16"/>
      <c r="B2705" s="23"/>
      <c r="C2705" s="15"/>
      <c r="D2705" s="15"/>
      <c r="E2705" s="15"/>
      <c r="F2705" s="24"/>
      <c r="G2705" s="17"/>
      <c r="H2705" s="17"/>
      <c r="I2705" s="15"/>
      <c r="J2705" s="25">
        <f>IF($D2705="","",IFERROR(INDEX(PacNome,MATCH($D2705,PacCod,0)),"Paciente não cadastrado"))</f>
        <v>0</v>
      </c>
      <c r="K2705" s="26">
        <f>IF($D2705="","",IFERROR(INDEX(PacConv,MATCH($D2705,PacCod,0))&amp;"",""))</f>
        <v>0</v>
      </c>
      <c r="L2705" s="26">
        <f>IF($A2705="","",CHOOSE(WEEKDAY($A2705,2),"Seg","Ter","Qua","Qui","Sex","Sáb","Dom"))</f>
        <v>0</v>
      </c>
      <c r="M2705" s="27">
        <f>IF($E2705="","",IF($G2705&lt;&gt;"",$G2705,IFERROR(INDEX(ProcValor,MATCH($E2705,ProcNome,0)),0)))</f>
        <v>0</v>
      </c>
      <c r="N2705" s="27">
        <f>IF($M2705="","",IF($F2705="Compareceu",$M2705,0))</f>
        <v>0</v>
      </c>
      <c r="O2705" s="27">
        <f>IF($M2705="","",IF($F2705="Faltou",$M2705,0))</f>
        <v>0</v>
      </c>
      <c r="P2705" s="27">
        <f>IF($M2705="","",IF($F2705="Compareceu",MAX(0,$M2705-N($H2705)),0))</f>
        <v>0</v>
      </c>
      <c r="Q2705" s="19">
        <f>IF(AND($F2705="Compareceu",$E2705&lt;&gt;"",$A2705&lt;&gt;""),IF(IFERROR(INDEX(ProcRet,MATCH($E2705,ProcNome,0)),0)&gt;0,$A2705+INDEX(ProcRet,MATCH($E2705,ProcNome,0)),""),"")</f>
        <v>0</v>
      </c>
      <c r="R2705" s="26">
        <f>IF($Q2705="","",IF(COUNTIFS(AgPac,$D2705,AgData,"&gt;"&amp;$A2705,AgStatus,"&lt;&gt;Cancelado",AgStatus,"&lt;&gt;Remarcado")&gt;0,"Sim","Não"))</f>
        <v>0</v>
      </c>
      <c r="S2705" s="28">
        <f>IF($A2705="","",IF(AND($F2705="Agendado",$A2705-Hoje&gt;=0,$A2705-Hoje&lt;=DiasConf),"CONFIRMAR",IF(AND($A2705&lt;Hoje,OR($F2705="Agendado",$F2705="Confirmado")),"Atualizar status",IF(AND($F2705="Compareceu",$P2705&gt;0.005),"Cobrar",IF($F2705="Faltou","Falta: reagendar","")))))</f>
        <v>0</v>
      </c>
      <c r="T2705" s="29">
        <f>IF($A2705="","",DATE(YEAR($A2705),MONTH($A2705),1))</f>
        <v>0</v>
      </c>
      <c r="U2705" s="30">
        <f>IF($S2705="CONFIRMAR",MAX($U$4:$U2704)+1,"")</f>
        <v>0</v>
      </c>
      <c r="V2705" s="30">
        <f>IF(AND($R2705="Não",$Q2705&lt;&gt;"",$Q2705&lt;=Hoje+JanelaRet,$Q2705&gt;=Hoje-60),MAX($V$4:$V2704)+1,"")</f>
        <v>0</v>
      </c>
    </row>
    <row r="2706" spans="1:22">
      <c r="A2706" s="16"/>
      <c r="B2706" s="23"/>
      <c r="C2706" s="15"/>
      <c r="D2706" s="15"/>
      <c r="E2706" s="15"/>
      <c r="F2706" s="24"/>
      <c r="G2706" s="17"/>
      <c r="H2706" s="17"/>
      <c r="I2706" s="15"/>
      <c r="J2706" s="25">
        <f>IF($D2706="","",IFERROR(INDEX(PacNome,MATCH($D2706,PacCod,0)),"Paciente não cadastrado"))</f>
        <v>0</v>
      </c>
      <c r="K2706" s="26">
        <f>IF($D2706="","",IFERROR(INDEX(PacConv,MATCH($D2706,PacCod,0))&amp;"",""))</f>
        <v>0</v>
      </c>
      <c r="L2706" s="26">
        <f>IF($A2706="","",CHOOSE(WEEKDAY($A2706,2),"Seg","Ter","Qua","Qui","Sex","Sáb","Dom"))</f>
        <v>0</v>
      </c>
      <c r="M2706" s="27">
        <f>IF($E2706="","",IF($G2706&lt;&gt;"",$G2706,IFERROR(INDEX(ProcValor,MATCH($E2706,ProcNome,0)),0)))</f>
        <v>0</v>
      </c>
      <c r="N2706" s="27">
        <f>IF($M2706="","",IF($F2706="Compareceu",$M2706,0))</f>
        <v>0</v>
      </c>
      <c r="O2706" s="27">
        <f>IF($M2706="","",IF($F2706="Faltou",$M2706,0))</f>
        <v>0</v>
      </c>
      <c r="P2706" s="27">
        <f>IF($M2706="","",IF($F2706="Compareceu",MAX(0,$M2706-N($H2706)),0))</f>
        <v>0</v>
      </c>
      <c r="Q2706" s="19">
        <f>IF(AND($F2706="Compareceu",$E2706&lt;&gt;"",$A2706&lt;&gt;""),IF(IFERROR(INDEX(ProcRet,MATCH($E2706,ProcNome,0)),0)&gt;0,$A2706+INDEX(ProcRet,MATCH($E2706,ProcNome,0)),""),"")</f>
        <v>0</v>
      </c>
      <c r="R2706" s="26">
        <f>IF($Q2706="","",IF(COUNTIFS(AgPac,$D2706,AgData,"&gt;"&amp;$A2706,AgStatus,"&lt;&gt;Cancelado",AgStatus,"&lt;&gt;Remarcado")&gt;0,"Sim","Não"))</f>
        <v>0</v>
      </c>
      <c r="S2706" s="28">
        <f>IF($A2706="","",IF(AND($F2706="Agendado",$A2706-Hoje&gt;=0,$A2706-Hoje&lt;=DiasConf),"CONFIRMAR",IF(AND($A2706&lt;Hoje,OR($F2706="Agendado",$F2706="Confirmado")),"Atualizar status",IF(AND($F2706="Compareceu",$P2706&gt;0.005),"Cobrar",IF($F2706="Faltou","Falta: reagendar","")))))</f>
        <v>0</v>
      </c>
      <c r="T2706" s="29">
        <f>IF($A2706="","",DATE(YEAR($A2706),MONTH($A2706),1))</f>
        <v>0</v>
      </c>
      <c r="U2706" s="30">
        <f>IF($S2706="CONFIRMAR",MAX($U$4:$U2705)+1,"")</f>
        <v>0</v>
      </c>
      <c r="V2706" s="30">
        <f>IF(AND($R2706="Não",$Q2706&lt;&gt;"",$Q2706&lt;=Hoje+JanelaRet,$Q2706&gt;=Hoje-60),MAX($V$4:$V2705)+1,"")</f>
        <v>0</v>
      </c>
    </row>
    <row r="2707" spans="1:22">
      <c r="A2707" s="16"/>
      <c r="B2707" s="23"/>
      <c r="C2707" s="15"/>
      <c r="D2707" s="15"/>
      <c r="E2707" s="15"/>
      <c r="F2707" s="24"/>
      <c r="G2707" s="17"/>
      <c r="H2707" s="17"/>
      <c r="I2707" s="15"/>
      <c r="J2707" s="25">
        <f>IF($D2707="","",IFERROR(INDEX(PacNome,MATCH($D2707,PacCod,0)),"Paciente não cadastrado"))</f>
        <v>0</v>
      </c>
      <c r="K2707" s="26">
        <f>IF($D2707="","",IFERROR(INDEX(PacConv,MATCH($D2707,PacCod,0))&amp;"",""))</f>
        <v>0</v>
      </c>
      <c r="L2707" s="26">
        <f>IF($A2707="","",CHOOSE(WEEKDAY($A2707,2),"Seg","Ter","Qua","Qui","Sex","Sáb","Dom"))</f>
        <v>0</v>
      </c>
      <c r="M2707" s="27">
        <f>IF($E2707="","",IF($G2707&lt;&gt;"",$G2707,IFERROR(INDEX(ProcValor,MATCH($E2707,ProcNome,0)),0)))</f>
        <v>0</v>
      </c>
      <c r="N2707" s="27">
        <f>IF($M2707="","",IF($F2707="Compareceu",$M2707,0))</f>
        <v>0</v>
      </c>
      <c r="O2707" s="27">
        <f>IF($M2707="","",IF($F2707="Faltou",$M2707,0))</f>
        <v>0</v>
      </c>
      <c r="P2707" s="27">
        <f>IF($M2707="","",IF($F2707="Compareceu",MAX(0,$M2707-N($H2707)),0))</f>
        <v>0</v>
      </c>
      <c r="Q2707" s="19">
        <f>IF(AND($F2707="Compareceu",$E2707&lt;&gt;"",$A2707&lt;&gt;""),IF(IFERROR(INDEX(ProcRet,MATCH($E2707,ProcNome,0)),0)&gt;0,$A2707+INDEX(ProcRet,MATCH($E2707,ProcNome,0)),""),"")</f>
        <v>0</v>
      </c>
      <c r="R2707" s="26">
        <f>IF($Q2707="","",IF(COUNTIFS(AgPac,$D2707,AgData,"&gt;"&amp;$A2707,AgStatus,"&lt;&gt;Cancelado",AgStatus,"&lt;&gt;Remarcado")&gt;0,"Sim","Não"))</f>
        <v>0</v>
      </c>
      <c r="S2707" s="28">
        <f>IF($A2707="","",IF(AND($F2707="Agendado",$A2707-Hoje&gt;=0,$A2707-Hoje&lt;=DiasConf),"CONFIRMAR",IF(AND($A2707&lt;Hoje,OR($F2707="Agendado",$F2707="Confirmado")),"Atualizar status",IF(AND($F2707="Compareceu",$P2707&gt;0.005),"Cobrar",IF($F2707="Faltou","Falta: reagendar","")))))</f>
        <v>0</v>
      </c>
      <c r="T2707" s="29">
        <f>IF($A2707="","",DATE(YEAR($A2707),MONTH($A2707),1))</f>
        <v>0</v>
      </c>
      <c r="U2707" s="30">
        <f>IF($S2707="CONFIRMAR",MAX($U$4:$U2706)+1,"")</f>
        <v>0</v>
      </c>
      <c r="V2707" s="30">
        <f>IF(AND($R2707="Não",$Q2707&lt;&gt;"",$Q2707&lt;=Hoje+JanelaRet,$Q2707&gt;=Hoje-60),MAX($V$4:$V2706)+1,"")</f>
        <v>0</v>
      </c>
    </row>
    <row r="2708" spans="1:22">
      <c r="A2708" s="16"/>
      <c r="B2708" s="23"/>
      <c r="C2708" s="15"/>
      <c r="D2708" s="15"/>
      <c r="E2708" s="15"/>
      <c r="F2708" s="24"/>
      <c r="G2708" s="17"/>
      <c r="H2708" s="17"/>
      <c r="I2708" s="15"/>
      <c r="J2708" s="25">
        <f>IF($D2708="","",IFERROR(INDEX(PacNome,MATCH($D2708,PacCod,0)),"Paciente não cadastrado"))</f>
        <v>0</v>
      </c>
      <c r="K2708" s="26">
        <f>IF($D2708="","",IFERROR(INDEX(PacConv,MATCH($D2708,PacCod,0))&amp;"",""))</f>
        <v>0</v>
      </c>
      <c r="L2708" s="26">
        <f>IF($A2708="","",CHOOSE(WEEKDAY($A2708,2),"Seg","Ter","Qua","Qui","Sex","Sáb","Dom"))</f>
        <v>0</v>
      </c>
      <c r="M2708" s="27">
        <f>IF($E2708="","",IF($G2708&lt;&gt;"",$G2708,IFERROR(INDEX(ProcValor,MATCH($E2708,ProcNome,0)),0)))</f>
        <v>0</v>
      </c>
      <c r="N2708" s="27">
        <f>IF($M2708="","",IF($F2708="Compareceu",$M2708,0))</f>
        <v>0</v>
      </c>
      <c r="O2708" s="27">
        <f>IF($M2708="","",IF($F2708="Faltou",$M2708,0))</f>
        <v>0</v>
      </c>
      <c r="P2708" s="27">
        <f>IF($M2708="","",IF($F2708="Compareceu",MAX(0,$M2708-N($H2708)),0))</f>
        <v>0</v>
      </c>
      <c r="Q2708" s="19">
        <f>IF(AND($F2708="Compareceu",$E2708&lt;&gt;"",$A2708&lt;&gt;""),IF(IFERROR(INDEX(ProcRet,MATCH($E2708,ProcNome,0)),0)&gt;0,$A2708+INDEX(ProcRet,MATCH($E2708,ProcNome,0)),""),"")</f>
        <v>0</v>
      </c>
      <c r="R2708" s="26">
        <f>IF($Q2708="","",IF(COUNTIFS(AgPac,$D2708,AgData,"&gt;"&amp;$A2708,AgStatus,"&lt;&gt;Cancelado",AgStatus,"&lt;&gt;Remarcado")&gt;0,"Sim","Não"))</f>
        <v>0</v>
      </c>
      <c r="S2708" s="28">
        <f>IF($A2708="","",IF(AND($F2708="Agendado",$A2708-Hoje&gt;=0,$A2708-Hoje&lt;=DiasConf),"CONFIRMAR",IF(AND($A2708&lt;Hoje,OR($F2708="Agendado",$F2708="Confirmado")),"Atualizar status",IF(AND($F2708="Compareceu",$P2708&gt;0.005),"Cobrar",IF($F2708="Faltou","Falta: reagendar","")))))</f>
        <v>0</v>
      </c>
      <c r="T2708" s="29">
        <f>IF($A2708="","",DATE(YEAR($A2708),MONTH($A2708),1))</f>
        <v>0</v>
      </c>
      <c r="U2708" s="30">
        <f>IF($S2708="CONFIRMAR",MAX($U$4:$U2707)+1,"")</f>
        <v>0</v>
      </c>
      <c r="V2708" s="30">
        <f>IF(AND($R2708="Não",$Q2708&lt;&gt;"",$Q2708&lt;=Hoje+JanelaRet,$Q2708&gt;=Hoje-60),MAX($V$4:$V2707)+1,"")</f>
        <v>0</v>
      </c>
    </row>
    <row r="2709" spans="1:22">
      <c r="A2709" s="16"/>
      <c r="B2709" s="23"/>
      <c r="C2709" s="15"/>
      <c r="D2709" s="15"/>
      <c r="E2709" s="15"/>
      <c r="F2709" s="24"/>
      <c r="G2709" s="17"/>
      <c r="H2709" s="17"/>
      <c r="I2709" s="15"/>
      <c r="J2709" s="25">
        <f>IF($D2709="","",IFERROR(INDEX(PacNome,MATCH($D2709,PacCod,0)),"Paciente não cadastrado"))</f>
        <v>0</v>
      </c>
      <c r="K2709" s="26">
        <f>IF($D2709="","",IFERROR(INDEX(PacConv,MATCH($D2709,PacCod,0))&amp;"",""))</f>
        <v>0</v>
      </c>
      <c r="L2709" s="26">
        <f>IF($A2709="","",CHOOSE(WEEKDAY($A2709,2),"Seg","Ter","Qua","Qui","Sex","Sáb","Dom"))</f>
        <v>0</v>
      </c>
      <c r="M2709" s="27">
        <f>IF($E2709="","",IF($G2709&lt;&gt;"",$G2709,IFERROR(INDEX(ProcValor,MATCH($E2709,ProcNome,0)),0)))</f>
        <v>0</v>
      </c>
      <c r="N2709" s="27">
        <f>IF($M2709="","",IF($F2709="Compareceu",$M2709,0))</f>
        <v>0</v>
      </c>
      <c r="O2709" s="27">
        <f>IF($M2709="","",IF($F2709="Faltou",$M2709,0))</f>
        <v>0</v>
      </c>
      <c r="P2709" s="27">
        <f>IF($M2709="","",IF($F2709="Compareceu",MAX(0,$M2709-N($H2709)),0))</f>
        <v>0</v>
      </c>
      <c r="Q2709" s="19">
        <f>IF(AND($F2709="Compareceu",$E2709&lt;&gt;"",$A2709&lt;&gt;""),IF(IFERROR(INDEX(ProcRet,MATCH($E2709,ProcNome,0)),0)&gt;0,$A2709+INDEX(ProcRet,MATCH($E2709,ProcNome,0)),""),"")</f>
        <v>0</v>
      </c>
      <c r="R2709" s="26">
        <f>IF($Q2709="","",IF(COUNTIFS(AgPac,$D2709,AgData,"&gt;"&amp;$A2709,AgStatus,"&lt;&gt;Cancelado",AgStatus,"&lt;&gt;Remarcado")&gt;0,"Sim","Não"))</f>
        <v>0</v>
      </c>
      <c r="S2709" s="28">
        <f>IF($A2709="","",IF(AND($F2709="Agendado",$A2709-Hoje&gt;=0,$A2709-Hoje&lt;=DiasConf),"CONFIRMAR",IF(AND($A2709&lt;Hoje,OR($F2709="Agendado",$F2709="Confirmado")),"Atualizar status",IF(AND($F2709="Compareceu",$P2709&gt;0.005),"Cobrar",IF($F2709="Faltou","Falta: reagendar","")))))</f>
        <v>0</v>
      </c>
      <c r="T2709" s="29">
        <f>IF($A2709="","",DATE(YEAR($A2709),MONTH($A2709),1))</f>
        <v>0</v>
      </c>
      <c r="U2709" s="30">
        <f>IF($S2709="CONFIRMAR",MAX($U$4:$U2708)+1,"")</f>
        <v>0</v>
      </c>
      <c r="V2709" s="30">
        <f>IF(AND($R2709="Não",$Q2709&lt;&gt;"",$Q2709&lt;=Hoje+JanelaRet,$Q2709&gt;=Hoje-60),MAX($V$4:$V2708)+1,"")</f>
        <v>0</v>
      </c>
    </row>
    <row r="2710" spans="1:22">
      <c r="A2710" s="16"/>
      <c r="B2710" s="23"/>
      <c r="C2710" s="15"/>
      <c r="D2710" s="15"/>
      <c r="E2710" s="15"/>
      <c r="F2710" s="24"/>
      <c r="G2710" s="17"/>
      <c r="H2710" s="17"/>
      <c r="I2710" s="15"/>
      <c r="J2710" s="25">
        <f>IF($D2710="","",IFERROR(INDEX(PacNome,MATCH($D2710,PacCod,0)),"Paciente não cadastrado"))</f>
        <v>0</v>
      </c>
      <c r="K2710" s="26">
        <f>IF($D2710="","",IFERROR(INDEX(PacConv,MATCH($D2710,PacCod,0))&amp;"",""))</f>
        <v>0</v>
      </c>
      <c r="L2710" s="26">
        <f>IF($A2710="","",CHOOSE(WEEKDAY($A2710,2),"Seg","Ter","Qua","Qui","Sex","Sáb","Dom"))</f>
        <v>0</v>
      </c>
      <c r="M2710" s="27">
        <f>IF($E2710="","",IF($G2710&lt;&gt;"",$G2710,IFERROR(INDEX(ProcValor,MATCH($E2710,ProcNome,0)),0)))</f>
        <v>0</v>
      </c>
      <c r="N2710" s="27">
        <f>IF($M2710="","",IF($F2710="Compareceu",$M2710,0))</f>
        <v>0</v>
      </c>
      <c r="O2710" s="27">
        <f>IF($M2710="","",IF($F2710="Faltou",$M2710,0))</f>
        <v>0</v>
      </c>
      <c r="P2710" s="27">
        <f>IF($M2710="","",IF($F2710="Compareceu",MAX(0,$M2710-N($H2710)),0))</f>
        <v>0</v>
      </c>
      <c r="Q2710" s="19">
        <f>IF(AND($F2710="Compareceu",$E2710&lt;&gt;"",$A2710&lt;&gt;""),IF(IFERROR(INDEX(ProcRet,MATCH($E2710,ProcNome,0)),0)&gt;0,$A2710+INDEX(ProcRet,MATCH($E2710,ProcNome,0)),""),"")</f>
        <v>0</v>
      </c>
      <c r="R2710" s="26">
        <f>IF($Q2710="","",IF(COUNTIFS(AgPac,$D2710,AgData,"&gt;"&amp;$A2710,AgStatus,"&lt;&gt;Cancelado",AgStatus,"&lt;&gt;Remarcado")&gt;0,"Sim","Não"))</f>
        <v>0</v>
      </c>
      <c r="S2710" s="28">
        <f>IF($A2710="","",IF(AND($F2710="Agendado",$A2710-Hoje&gt;=0,$A2710-Hoje&lt;=DiasConf),"CONFIRMAR",IF(AND($A2710&lt;Hoje,OR($F2710="Agendado",$F2710="Confirmado")),"Atualizar status",IF(AND($F2710="Compareceu",$P2710&gt;0.005),"Cobrar",IF($F2710="Faltou","Falta: reagendar","")))))</f>
        <v>0</v>
      </c>
      <c r="T2710" s="29">
        <f>IF($A2710="","",DATE(YEAR($A2710),MONTH($A2710),1))</f>
        <v>0</v>
      </c>
      <c r="U2710" s="30">
        <f>IF($S2710="CONFIRMAR",MAX($U$4:$U2709)+1,"")</f>
        <v>0</v>
      </c>
      <c r="V2710" s="30">
        <f>IF(AND($R2710="Não",$Q2710&lt;&gt;"",$Q2710&lt;=Hoje+JanelaRet,$Q2710&gt;=Hoje-60),MAX($V$4:$V2709)+1,"")</f>
        <v>0</v>
      </c>
    </row>
    <row r="2711" spans="1:22">
      <c r="A2711" s="16"/>
      <c r="B2711" s="23"/>
      <c r="C2711" s="15"/>
      <c r="D2711" s="15"/>
      <c r="E2711" s="15"/>
      <c r="F2711" s="24"/>
      <c r="G2711" s="17"/>
      <c r="H2711" s="17"/>
      <c r="I2711" s="15"/>
      <c r="J2711" s="25">
        <f>IF($D2711="","",IFERROR(INDEX(PacNome,MATCH($D2711,PacCod,0)),"Paciente não cadastrado"))</f>
        <v>0</v>
      </c>
      <c r="K2711" s="26">
        <f>IF($D2711="","",IFERROR(INDEX(PacConv,MATCH($D2711,PacCod,0))&amp;"",""))</f>
        <v>0</v>
      </c>
      <c r="L2711" s="26">
        <f>IF($A2711="","",CHOOSE(WEEKDAY($A2711,2),"Seg","Ter","Qua","Qui","Sex","Sáb","Dom"))</f>
        <v>0</v>
      </c>
      <c r="M2711" s="27">
        <f>IF($E2711="","",IF($G2711&lt;&gt;"",$G2711,IFERROR(INDEX(ProcValor,MATCH($E2711,ProcNome,0)),0)))</f>
        <v>0</v>
      </c>
      <c r="N2711" s="27">
        <f>IF($M2711="","",IF($F2711="Compareceu",$M2711,0))</f>
        <v>0</v>
      </c>
      <c r="O2711" s="27">
        <f>IF($M2711="","",IF($F2711="Faltou",$M2711,0))</f>
        <v>0</v>
      </c>
      <c r="P2711" s="27">
        <f>IF($M2711="","",IF($F2711="Compareceu",MAX(0,$M2711-N($H2711)),0))</f>
        <v>0</v>
      </c>
      <c r="Q2711" s="19">
        <f>IF(AND($F2711="Compareceu",$E2711&lt;&gt;"",$A2711&lt;&gt;""),IF(IFERROR(INDEX(ProcRet,MATCH($E2711,ProcNome,0)),0)&gt;0,$A2711+INDEX(ProcRet,MATCH($E2711,ProcNome,0)),""),"")</f>
        <v>0</v>
      </c>
      <c r="R2711" s="26">
        <f>IF($Q2711="","",IF(COUNTIFS(AgPac,$D2711,AgData,"&gt;"&amp;$A2711,AgStatus,"&lt;&gt;Cancelado",AgStatus,"&lt;&gt;Remarcado")&gt;0,"Sim","Não"))</f>
        <v>0</v>
      </c>
      <c r="S2711" s="28">
        <f>IF($A2711="","",IF(AND($F2711="Agendado",$A2711-Hoje&gt;=0,$A2711-Hoje&lt;=DiasConf),"CONFIRMAR",IF(AND($A2711&lt;Hoje,OR($F2711="Agendado",$F2711="Confirmado")),"Atualizar status",IF(AND($F2711="Compareceu",$P2711&gt;0.005),"Cobrar",IF($F2711="Faltou","Falta: reagendar","")))))</f>
        <v>0</v>
      </c>
      <c r="T2711" s="29">
        <f>IF($A2711="","",DATE(YEAR($A2711),MONTH($A2711),1))</f>
        <v>0</v>
      </c>
      <c r="U2711" s="30">
        <f>IF($S2711="CONFIRMAR",MAX($U$4:$U2710)+1,"")</f>
        <v>0</v>
      </c>
      <c r="V2711" s="30">
        <f>IF(AND($R2711="Não",$Q2711&lt;&gt;"",$Q2711&lt;=Hoje+JanelaRet,$Q2711&gt;=Hoje-60),MAX($V$4:$V2710)+1,"")</f>
        <v>0</v>
      </c>
    </row>
    <row r="2712" spans="1:22">
      <c r="A2712" s="16"/>
      <c r="B2712" s="23"/>
      <c r="C2712" s="15"/>
      <c r="D2712" s="15"/>
      <c r="E2712" s="15"/>
      <c r="F2712" s="24"/>
      <c r="G2712" s="17"/>
      <c r="H2712" s="17"/>
      <c r="I2712" s="15"/>
      <c r="J2712" s="25">
        <f>IF($D2712="","",IFERROR(INDEX(PacNome,MATCH($D2712,PacCod,0)),"Paciente não cadastrado"))</f>
        <v>0</v>
      </c>
      <c r="K2712" s="26">
        <f>IF($D2712="","",IFERROR(INDEX(PacConv,MATCH($D2712,PacCod,0))&amp;"",""))</f>
        <v>0</v>
      </c>
      <c r="L2712" s="26">
        <f>IF($A2712="","",CHOOSE(WEEKDAY($A2712,2),"Seg","Ter","Qua","Qui","Sex","Sáb","Dom"))</f>
        <v>0</v>
      </c>
      <c r="M2712" s="27">
        <f>IF($E2712="","",IF($G2712&lt;&gt;"",$G2712,IFERROR(INDEX(ProcValor,MATCH($E2712,ProcNome,0)),0)))</f>
        <v>0</v>
      </c>
      <c r="N2712" s="27">
        <f>IF($M2712="","",IF($F2712="Compareceu",$M2712,0))</f>
        <v>0</v>
      </c>
      <c r="O2712" s="27">
        <f>IF($M2712="","",IF($F2712="Faltou",$M2712,0))</f>
        <v>0</v>
      </c>
      <c r="P2712" s="27">
        <f>IF($M2712="","",IF($F2712="Compareceu",MAX(0,$M2712-N($H2712)),0))</f>
        <v>0</v>
      </c>
      <c r="Q2712" s="19">
        <f>IF(AND($F2712="Compareceu",$E2712&lt;&gt;"",$A2712&lt;&gt;""),IF(IFERROR(INDEX(ProcRet,MATCH($E2712,ProcNome,0)),0)&gt;0,$A2712+INDEX(ProcRet,MATCH($E2712,ProcNome,0)),""),"")</f>
        <v>0</v>
      </c>
      <c r="R2712" s="26">
        <f>IF($Q2712="","",IF(COUNTIFS(AgPac,$D2712,AgData,"&gt;"&amp;$A2712,AgStatus,"&lt;&gt;Cancelado",AgStatus,"&lt;&gt;Remarcado")&gt;0,"Sim","Não"))</f>
        <v>0</v>
      </c>
      <c r="S2712" s="28">
        <f>IF($A2712="","",IF(AND($F2712="Agendado",$A2712-Hoje&gt;=0,$A2712-Hoje&lt;=DiasConf),"CONFIRMAR",IF(AND($A2712&lt;Hoje,OR($F2712="Agendado",$F2712="Confirmado")),"Atualizar status",IF(AND($F2712="Compareceu",$P2712&gt;0.005),"Cobrar",IF($F2712="Faltou","Falta: reagendar","")))))</f>
        <v>0</v>
      </c>
      <c r="T2712" s="29">
        <f>IF($A2712="","",DATE(YEAR($A2712),MONTH($A2712),1))</f>
        <v>0</v>
      </c>
      <c r="U2712" s="30">
        <f>IF($S2712="CONFIRMAR",MAX($U$4:$U2711)+1,"")</f>
        <v>0</v>
      </c>
      <c r="V2712" s="30">
        <f>IF(AND($R2712="Não",$Q2712&lt;&gt;"",$Q2712&lt;=Hoje+JanelaRet,$Q2712&gt;=Hoje-60),MAX($V$4:$V2711)+1,"")</f>
        <v>0</v>
      </c>
    </row>
    <row r="2713" spans="1:22">
      <c r="A2713" s="16"/>
      <c r="B2713" s="23"/>
      <c r="C2713" s="15"/>
      <c r="D2713" s="15"/>
      <c r="E2713" s="15"/>
      <c r="F2713" s="24"/>
      <c r="G2713" s="17"/>
      <c r="H2713" s="17"/>
      <c r="I2713" s="15"/>
      <c r="J2713" s="25">
        <f>IF($D2713="","",IFERROR(INDEX(PacNome,MATCH($D2713,PacCod,0)),"Paciente não cadastrado"))</f>
        <v>0</v>
      </c>
      <c r="K2713" s="26">
        <f>IF($D2713="","",IFERROR(INDEX(PacConv,MATCH($D2713,PacCod,0))&amp;"",""))</f>
        <v>0</v>
      </c>
      <c r="L2713" s="26">
        <f>IF($A2713="","",CHOOSE(WEEKDAY($A2713,2),"Seg","Ter","Qua","Qui","Sex","Sáb","Dom"))</f>
        <v>0</v>
      </c>
      <c r="M2713" s="27">
        <f>IF($E2713="","",IF($G2713&lt;&gt;"",$G2713,IFERROR(INDEX(ProcValor,MATCH($E2713,ProcNome,0)),0)))</f>
        <v>0</v>
      </c>
      <c r="N2713" s="27">
        <f>IF($M2713="","",IF($F2713="Compareceu",$M2713,0))</f>
        <v>0</v>
      </c>
      <c r="O2713" s="27">
        <f>IF($M2713="","",IF($F2713="Faltou",$M2713,0))</f>
        <v>0</v>
      </c>
      <c r="P2713" s="27">
        <f>IF($M2713="","",IF($F2713="Compareceu",MAX(0,$M2713-N($H2713)),0))</f>
        <v>0</v>
      </c>
      <c r="Q2713" s="19">
        <f>IF(AND($F2713="Compareceu",$E2713&lt;&gt;"",$A2713&lt;&gt;""),IF(IFERROR(INDEX(ProcRet,MATCH($E2713,ProcNome,0)),0)&gt;0,$A2713+INDEX(ProcRet,MATCH($E2713,ProcNome,0)),""),"")</f>
        <v>0</v>
      </c>
      <c r="R2713" s="26">
        <f>IF($Q2713="","",IF(COUNTIFS(AgPac,$D2713,AgData,"&gt;"&amp;$A2713,AgStatus,"&lt;&gt;Cancelado",AgStatus,"&lt;&gt;Remarcado")&gt;0,"Sim","Não"))</f>
        <v>0</v>
      </c>
      <c r="S2713" s="28">
        <f>IF($A2713="","",IF(AND($F2713="Agendado",$A2713-Hoje&gt;=0,$A2713-Hoje&lt;=DiasConf),"CONFIRMAR",IF(AND($A2713&lt;Hoje,OR($F2713="Agendado",$F2713="Confirmado")),"Atualizar status",IF(AND($F2713="Compareceu",$P2713&gt;0.005),"Cobrar",IF($F2713="Faltou","Falta: reagendar","")))))</f>
        <v>0</v>
      </c>
      <c r="T2713" s="29">
        <f>IF($A2713="","",DATE(YEAR($A2713),MONTH($A2713),1))</f>
        <v>0</v>
      </c>
      <c r="U2713" s="30">
        <f>IF($S2713="CONFIRMAR",MAX($U$4:$U2712)+1,"")</f>
        <v>0</v>
      </c>
      <c r="V2713" s="30">
        <f>IF(AND($R2713="Não",$Q2713&lt;&gt;"",$Q2713&lt;=Hoje+JanelaRet,$Q2713&gt;=Hoje-60),MAX($V$4:$V2712)+1,"")</f>
        <v>0</v>
      </c>
    </row>
    <row r="2714" spans="1:22">
      <c r="A2714" s="16"/>
      <c r="B2714" s="23"/>
      <c r="C2714" s="15"/>
      <c r="D2714" s="15"/>
      <c r="E2714" s="15"/>
      <c r="F2714" s="24"/>
      <c r="G2714" s="17"/>
      <c r="H2714" s="17"/>
      <c r="I2714" s="15"/>
      <c r="J2714" s="25">
        <f>IF($D2714="","",IFERROR(INDEX(PacNome,MATCH($D2714,PacCod,0)),"Paciente não cadastrado"))</f>
        <v>0</v>
      </c>
      <c r="K2714" s="26">
        <f>IF($D2714="","",IFERROR(INDEX(PacConv,MATCH($D2714,PacCod,0))&amp;"",""))</f>
        <v>0</v>
      </c>
      <c r="L2714" s="26">
        <f>IF($A2714="","",CHOOSE(WEEKDAY($A2714,2),"Seg","Ter","Qua","Qui","Sex","Sáb","Dom"))</f>
        <v>0</v>
      </c>
      <c r="M2714" s="27">
        <f>IF($E2714="","",IF($G2714&lt;&gt;"",$G2714,IFERROR(INDEX(ProcValor,MATCH($E2714,ProcNome,0)),0)))</f>
        <v>0</v>
      </c>
      <c r="N2714" s="27">
        <f>IF($M2714="","",IF($F2714="Compareceu",$M2714,0))</f>
        <v>0</v>
      </c>
      <c r="O2714" s="27">
        <f>IF($M2714="","",IF($F2714="Faltou",$M2714,0))</f>
        <v>0</v>
      </c>
      <c r="P2714" s="27">
        <f>IF($M2714="","",IF($F2714="Compareceu",MAX(0,$M2714-N($H2714)),0))</f>
        <v>0</v>
      </c>
      <c r="Q2714" s="19">
        <f>IF(AND($F2714="Compareceu",$E2714&lt;&gt;"",$A2714&lt;&gt;""),IF(IFERROR(INDEX(ProcRet,MATCH($E2714,ProcNome,0)),0)&gt;0,$A2714+INDEX(ProcRet,MATCH($E2714,ProcNome,0)),""),"")</f>
        <v>0</v>
      </c>
      <c r="R2714" s="26">
        <f>IF($Q2714="","",IF(COUNTIFS(AgPac,$D2714,AgData,"&gt;"&amp;$A2714,AgStatus,"&lt;&gt;Cancelado",AgStatus,"&lt;&gt;Remarcado")&gt;0,"Sim","Não"))</f>
        <v>0</v>
      </c>
      <c r="S2714" s="28">
        <f>IF($A2714="","",IF(AND($F2714="Agendado",$A2714-Hoje&gt;=0,$A2714-Hoje&lt;=DiasConf),"CONFIRMAR",IF(AND($A2714&lt;Hoje,OR($F2714="Agendado",$F2714="Confirmado")),"Atualizar status",IF(AND($F2714="Compareceu",$P2714&gt;0.005),"Cobrar",IF($F2714="Faltou","Falta: reagendar","")))))</f>
        <v>0</v>
      </c>
      <c r="T2714" s="29">
        <f>IF($A2714="","",DATE(YEAR($A2714),MONTH($A2714),1))</f>
        <v>0</v>
      </c>
      <c r="U2714" s="30">
        <f>IF($S2714="CONFIRMAR",MAX($U$4:$U2713)+1,"")</f>
        <v>0</v>
      </c>
      <c r="V2714" s="30">
        <f>IF(AND($R2714="Não",$Q2714&lt;&gt;"",$Q2714&lt;=Hoje+JanelaRet,$Q2714&gt;=Hoje-60),MAX($V$4:$V2713)+1,"")</f>
        <v>0</v>
      </c>
    </row>
    <row r="2715" spans="1:22">
      <c r="A2715" s="16"/>
      <c r="B2715" s="23"/>
      <c r="C2715" s="15"/>
      <c r="D2715" s="15"/>
      <c r="E2715" s="15"/>
      <c r="F2715" s="24"/>
      <c r="G2715" s="17"/>
      <c r="H2715" s="17"/>
      <c r="I2715" s="15"/>
      <c r="J2715" s="25">
        <f>IF($D2715="","",IFERROR(INDEX(PacNome,MATCH($D2715,PacCod,0)),"Paciente não cadastrado"))</f>
        <v>0</v>
      </c>
      <c r="K2715" s="26">
        <f>IF($D2715="","",IFERROR(INDEX(PacConv,MATCH($D2715,PacCod,0))&amp;"",""))</f>
        <v>0</v>
      </c>
      <c r="L2715" s="26">
        <f>IF($A2715="","",CHOOSE(WEEKDAY($A2715,2),"Seg","Ter","Qua","Qui","Sex","Sáb","Dom"))</f>
        <v>0</v>
      </c>
      <c r="M2715" s="27">
        <f>IF($E2715="","",IF($G2715&lt;&gt;"",$G2715,IFERROR(INDEX(ProcValor,MATCH($E2715,ProcNome,0)),0)))</f>
        <v>0</v>
      </c>
      <c r="N2715" s="27">
        <f>IF($M2715="","",IF($F2715="Compareceu",$M2715,0))</f>
        <v>0</v>
      </c>
      <c r="O2715" s="27">
        <f>IF($M2715="","",IF($F2715="Faltou",$M2715,0))</f>
        <v>0</v>
      </c>
      <c r="P2715" s="27">
        <f>IF($M2715="","",IF($F2715="Compareceu",MAX(0,$M2715-N($H2715)),0))</f>
        <v>0</v>
      </c>
      <c r="Q2715" s="19">
        <f>IF(AND($F2715="Compareceu",$E2715&lt;&gt;"",$A2715&lt;&gt;""),IF(IFERROR(INDEX(ProcRet,MATCH($E2715,ProcNome,0)),0)&gt;0,$A2715+INDEX(ProcRet,MATCH($E2715,ProcNome,0)),""),"")</f>
        <v>0</v>
      </c>
      <c r="R2715" s="26">
        <f>IF($Q2715="","",IF(COUNTIFS(AgPac,$D2715,AgData,"&gt;"&amp;$A2715,AgStatus,"&lt;&gt;Cancelado",AgStatus,"&lt;&gt;Remarcado")&gt;0,"Sim","Não"))</f>
        <v>0</v>
      </c>
      <c r="S2715" s="28">
        <f>IF($A2715="","",IF(AND($F2715="Agendado",$A2715-Hoje&gt;=0,$A2715-Hoje&lt;=DiasConf),"CONFIRMAR",IF(AND($A2715&lt;Hoje,OR($F2715="Agendado",$F2715="Confirmado")),"Atualizar status",IF(AND($F2715="Compareceu",$P2715&gt;0.005),"Cobrar",IF($F2715="Faltou","Falta: reagendar","")))))</f>
        <v>0</v>
      </c>
      <c r="T2715" s="29">
        <f>IF($A2715="","",DATE(YEAR($A2715),MONTH($A2715),1))</f>
        <v>0</v>
      </c>
      <c r="U2715" s="30">
        <f>IF($S2715="CONFIRMAR",MAX($U$4:$U2714)+1,"")</f>
        <v>0</v>
      </c>
      <c r="V2715" s="30">
        <f>IF(AND($R2715="Não",$Q2715&lt;&gt;"",$Q2715&lt;=Hoje+JanelaRet,$Q2715&gt;=Hoje-60),MAX($V$4:$V2714)+1,"")</f>
        <v>0</v>
      </c>
    </row>
    <row r="2716" spans="1:22">
      <c r="A2716" s="16"/>
      <c r="B2716" s="23"/>
      <c r="C2716" s="15"/>
      <c r="D2716" s="15"/>
      <c r="E2716" s="15"/>
      <c r="F2716" s="24"/>
      <c r="G2716" s="17"/>
      <c r="H2716" s="17"/>
      <c r="I2716" s="15"/>
      <c r="J2716" s="25">
        <f>IF($D2716="","",IFERROR(INDEX(PacNome,MATCH($D2716,PacCod,0)),"Paciente não cadastrado"))</f>
        <v>0</v>
      </c>
      <c r="K2716" s="26">
        <f>IF($D2716="","",IFERROR(INDEX(PacConv,MATCH($D2716,PacCod,0))&amp;"",""))</f>
        <v>0</v>
      </c>
      <c r="L2716" s="26">
        <f>IF($A2716="","",CHOOSE(WEEKDAY($A2716,2),"Seg","Ter","Qua","Qui","Sex","Sáb","Dom"))</f>
        <v>0</v>
      </c>
      <c r="M2716" s="27">
        <f>IF($E2716="","",IF($G2716&lt;&gt;"",$G2716,IFERROR(INDEX(ProcValor,MATCH($E2716,ProcNome,0)),0)))</f>
        <v>0</v>
      </c>
      <c r="N2716" s="27">
        <f>IF($M2716="","",IF($F2716="Compareceu",$M2716,0))</f>
        <v>0</v>
      </c>
      <c r="O2716" s="27">
        <f>IF($M2716="","",IF($F2716="Faltou",$M2716,0))</f>
        <v>0</v>
      </c>
      <c r="P2716" s="27">
        <f>IF($M2716="","",IF($F2716="Compareceu",MAX(0,$M2716-N($H2716)),0))</f>
        <v>0</v>
      </c>
      <c r="Q2716" s="19">
        <f>IF(AND($F2716="Compareceu",$E2716&lt;&gt;"",$A2716&lt;&gt;""),IF(IFERROR(INDEX(ProcRet,MATCH($E2716,ProcNome,0)),0)&gt;0,$A2716+INDEX(ProcRet,MATCH($E2716,ProcNome,0)),""),"")</f>
        <v>0</v>
      </c>
      <c r="R2716" s="26">
        <f>IF($Q2716="","",IF(COUNTIFS(AgPac,$D2716,AgData,"&gt;"&amp;$A2716,AgStatus,"&lt;&gt;Cancelado",AgStatus,"&lt;&gt;Remarcado")&gt;0,"Sim","Não"))</f>
        <v>0</v>
      </c>
      <c r="S2716" s="28">
        <f>IF($A2716="","",IF(AND($F2716="Agendado",$A2716-Hoje&gt;=0,$A2716-Hoje&lt;=DiasConf),"CONFIRMAR",IF(AND($A2716&lt;Hoje,OR($F2716="Agendado",$F2716="Confirmado")),"Atualizar status",IF(AND($F2716="Compareceu",$P2716&gt;0.005),"Cobrar",IF($F2716="Faltou","Falta: reagendar","")))))</f>
        <v>0</v>
      </c>
      <c r="T2716" s="29">
        <f>IF($A2716="","",DATE(YEAR($A2716),MONTH($A2716),1))</f>
        <v>0</v>
      </c>
      <c r="U2716" s="30">
        <f>IF($S2716="CONFIRMAR",MAX($U$4:$U2715)+1,"")</f>
        <v>0</v>
      </c>
      <c r="V2716" s="30">
        <f>IF(AND($R2716="Não",$Q2716&lt;&gt;"",$Q2716&lt;=Hoje+JanelaRet,$Q2716&gt;=Hoje-60),MAX($V$4:$V2715)+1,"")</f>
        <v>0</v>
      </c>
    </row>
    <row r="2717" spans="1:22">
      <c r="A2717" s="16"/>
      <c r="B2717" s="23"/>
      <c r="C2717" s="15"/>
      <c r="D2717" s="15"/>
      <c r="E2717" s="15"/>
      <c r="F2717" s="24"/>
      <c r="G2717" s="17"/>
      <c r="H2717" s="17"/>
      <c r="I2717" s="15"/>
      <c r="J2717" s="25">
        <f>IF($D2717="","",IFERROR(INDEX(PacNome,MATCH($D2717,PacCod,0)),"Paciente não cadastrado"))</f>
        <v>0</v>
      </c>
      <c r="K2717" s="26">
        <f>IF($D2717="","",IFERROR(INDEX(PacConv,MATCH($D2717,PacCod,0))&amp;"",""))</f>
        <v>0</v>
      </c>
      <c r="L2717" s="26">
        <f>IF($A2717="","",CHOOSE(WEEKDAY($A2717,2),"Seg","Ter","Qua","Qui","Sex","Sáb","Dom"))</f>
        <v>0</v>
      </c>
      <c r="M2717" s="27">
        <f>IF($E2717="","",IF($G2717&lt;&gt;"",$G2717,IFERROR(INDEX(ProcValor,MATCH($E2717,ProcNome,0)),0)))</f>
        <v>0</v>
      </c>
      <c r="N2717" s="27">
        <f>IF($M2717="","",IF($F2717="Compareceu",$M2717,0))</f>
        <v>0</v>
      </c>
      <c r="O2717" s="27">
        <f>IF($M2717="","",IF($F2717="Faltou",$M2717,0))</f>
        <v>0</v>
      </c>
      <c r="P2717" s="27">
        <f>IF($M2717="","",IF($F2717="Compareceu",MAX(0,$M2717-N($H2717)),0))</f>
        <v>0</v>
      </c>
      <c r="Q2717" s="19">
        <f>IF(AND($F2717="Compareceu",$E2717&lt;&gt;"",$A2717&lt;&gt;""),IF(IFERROR(INDEX(ProcRet,MATCH($E2717,ProcNome,0)),0)&gt;0,$A2717+INDEX(ProcRet,MATCH($E2717,ProcNome,0)),""),"")</f>
        <v>0</v>
      </c>
      <c r="R2717" s="26">
        <f>IF($Q2717="","",IF(COUNTIFS(AgPac,$D2717,AgData,"&gt;"&amp;$A2717,AgStatus,"&lt;&gt;Cancelado",AgStatus,"&lt;&gt;Remarcado")&gt;0,"Sim","Não"))</f>
        <v>0</v>
      </c>
      <c r="S2717" s="28">
        <f>IF($A2717="","",IF(AND($F2717="Agendado",$A2717-Hoje&gt;=0,$A2717-Hoje&lt;=DiasConf),"CONFIRMAR",IF(AND($A2717&lt;Hoje,OR($F2717="Agendado",$F2717="Confirmado")),"Atualizar status",IF(AND($F2717="Compareceu",$P2717&gt;0.005),"Cobrar",IF($F2717="Faltou","Falta: reagendar","")))))</f>
        <v>0</v>
      </c>
      <c r="T2717" s="29">
        <f>IF($A2717="","",DATE(YEAR($A2717),MONTH($A2717),1))</f>
        <v>0</v>
      </c>
      <c r="U2717" s="30">
        <f>IF($S2717="CONFIRMAR",MAX($U$4:$U2716)+1,"")</f>
        <v>0</v>
      </c>
      <c r="V2717" s="30">
        <f>IF(AND($R2717="Não",$Q2717&lt;&gt;"",$Q2717&lt;=Hoje+JanelaRet,$Q2717&gt;=Hoje-60),MAX($V$4:$V2716)+1,"")</f>
        <v>0</v>
      </c>
    </row>
    <row r="2718" spans="1:22">
      <c r="A2718" s="16"/>
      <c r="B2718" s="23"/>
      <c r="C2718" s="15"/>
      <c r="D2718" s="15"/>
      <c r="E2718" s="15"/>
      <c r="F2718" s="24"/>
      <c r="G2718" s="17"/>
      <c r="H2718" s="17"/>
      <c r="I2718" s="15"/>
      <c r="J2718" s="25">
        <f>IF($D2718="","",IFERROR(INDEX(PacNome,MATCH($D2718,PacCod,0)),"Paciente não cadastrado"))</f>
        <v>0</v>
      </c>
      <c r="K2718" s="26">
        <f>IF($D2718="","",IFERROR(INDEX(PacConv,MATCH($D2718,PacCod,0))&amp;"",""))</f>
        <v>0</v>
      </c>
      <c r="L2718" s="26">
        <f>IF($A2718="","",CHOOSE(WEEKDAY($A2718,2),"Seg","Ter","Qua","Qui","Sex","Sáb","Dom"))</f>
        <v>0</v>
      </c>
      <c r="M2718" s="27">
        <f>IF($E2718="","",IF($G2718&lt;&gt;"",$G2718,IFERROR(INDEX(ProcValor,MATCH($E2718,ProcNome,0)),0)))</f>
        <v>0</v>
      </c>
      <c r="N2718" s="27">
        <f>IF($M2718="","",IF($F2718="Compareceu",$M2718,0))</f>
        <v>0</v>
      </c>
      <c r="O2718" s="27">
        <f>IF($M2718="","",IF($F2718="Faltou",$M2718,0))</f>
        <v>0</v>
      </c>
      <c r="P2718" s="27">
        <f>IF($M2718="","",IF($F2718="Compareceu",MAX(0,$M2718-N($H2718)),0))</f>
        <v>0</v>
      </c>
      <c r="Q2718" s="19">
        <f>IF(AND($F2718="Compareceu",$E2718&lt;&gt;"",$A2718&lt;&gt;""),IF(IFERROR(INDEX(ProcRet,MATCH($E2718,ProcNome,0)),0)&gt;0,$A2718+INDEX(ProcRet,MATCH($E2718,ProcNome,0)),""),"")</f>
        <v>0</v>
      </c>
      <c r="R2718" s="26">
        <f>IF($Q2718="","",IF(COUNTIFS(AgPac,$D2718,AgData,"&gt;"&amp;$A2718,AgStatus,"&lt;&gt;Cancelado",AgStatus,"&lt;&gt;Remarcado")&gt;0,"Sim","Não"))</f>
        <v>0</v>
      </c>
      <c r="S2718" s="28">
        <f>IF($A2718="","",IF(AND($F2718="Agendado",$A2718-Hoje&gt;=0,$A2718-Hoje&lt;=DiasConf),"CONFIRMAR",IF(AND($A2718&lt;Hoje,OR($F2718="Agendado",$F2718="Confirmado")),"Atualizar status",IF(AND($F2718="Compareceu",$P2718&gt;0.005),"Cobrar",IF($F2718="Faltou","Falta: reagendar","")))))</f>
        <v>0</v>
      </c>
      <c r="T2718" s="29">
        <f>IF($A2718="","",DATE(YEAR($A2718),MONTH($A2718),1))</f>
        <v>0</v>
      </c>
      <c r="U2718" s="30">
        <f>IF($S2718="CONFIRMAR",MAX($U$4:$U2717)+1,"")</f>
        <v>0</v>
      </c>
      <c r="V2718" s="30">
        <f>IF(AND($R2718="Não",$Q2718&lt;&gt;"",$Q2718&lt;=Hoje+JanelaRet,$Q2718&gt;=Hoje-60),MAX($V$4:$V2717)+1,"")</f>
        <v>0</v>
      </c>
    </row>
    <row r="2719" spans="1:22">
      <c r="A2719" s="16"/>
      <c r="B2719" s="23"/>
      <c r="C2719" s="15"/>
      <c r="D2719" s="15"/>
      <c r="E2719" s="15"/>
      <c r="F2719" s="24"/>
      <c r="G2719" s="17"/>
      <c r="H2719" s="17"/>
      <c r="I2719" s="15"/>
      <c r="J2719" s="25">
        <f>IF($D2719="","",IFERROR(INDEX(PacNome,MATCH($D2719,PacCod,0)),"Paciente não cadastrado"))</f>
        <v>0</v>
      </c>
      <c r="K2719" s="26">
        <f>IF($D2719="","",IFERROR(INDEX(PacConv,MATCH($D2719,PacCod,0))&amp;"",""))</f>
        <v>0</v>
      </c>
      <c r="L2719" s="26">
        <f>IF($A2719="","",CHOOSE(WEEKDAY($A2719,2),"Seg","Ter","Qua","Qui","Sex","Sáb","Dom"))</f>
        <v>0</v>
      </c>
      <c r="M2719" s="27">
        <f>IF($E2719="","",IF($G2719&lt;&gt;"",$G2719,IFERROR(INDEX(ProcValor,MATCH($E2719,ProcNome,0)),0)))</f>
        <v>0</v>
      </c>
      <c r="N2719" s="27">
        <f>IF($M2719="","",IF($F2719="Compareceu",$M2719,0))</f>
        <v>0</v>
      </c>
      <c r="O2719" s="27">
        <f>IF($M2719="","",IF($F2719="Faltou",$M2719,0))</f>
        <v>0</v>
      </c>
      <c r="P2719" s="27">
        <f>IF($M2719="","",IF($F2719="Compareceu",MAX(0,$M2719-N($H2719)),0))</f>
        <v>0</v>
      </c>
      <c r="Q2719" s="19">
        <f>IF(AND($F2719="Compareceu",$E2719&lt;&gt;"",$A2719&lt;&gt;""),IF(IFERROR(INDEX(ProcRet,MATCH($E2719,ProcNome,0)),0)&gt;0,$A2719+INDEX(ProcRet,MATCH($E2719,ProcNome,0)),""),"")</f>
        <v>0</v>
      </c>
      <c r="R2719" s="26">
        <f>IF($Q2719="","",IF(COUNTIFS(AgPac,$D2719,AgData,"&gt;"&amp;$A2719,AgStatus,"&lt;&gt;Cancelado",AgStatus,"&lt;&gt;Remarcado")&gt;0,"Sim","Não"))</f>
        <v>0</v>
      </c>
      <c r="S2719" s="28">
        <f>IF($A2719="","",IF(AND($F2719="Agendado",$A2719-Hoje&gt;=0,$A2719-Hoje&lt;=DiasConf),"CONFIRMAR",IF(AND($A2719&lt;Hoje,OR($F2719="Agendado",$F2719="Confirmado")),"Atualizar status",IF(AND($F2719="Compareceu",$P2719&gt;0.005),"Cobrar",IF($F2719="Faltou","Falta: reagendar","")))))</f>
        <v>0</v>
      </c>
      <c r="T2719" s="29">
        <f>IF($A2719="","",DATE(YEAR($A2719),MONTH($A2719),1))</f>
        <v>0</v>
      </c>
      <c r="U2719" s="30">
        <f>IF($S2719="CONFIRMAR",MAX($U$4:$U2718)+1,"")</f>
        <v>0</v>
      </c>
      <c r="V2719" s="30">
        <f>IF(AND($R2719="Não",$Q2719&lt;&gt;"",$Q2719&lt;=Hoje+JanelaRet,$Q2719&gt;=Hoje-60),MAX($V$4:$V2718)+1,"")</f>
        <v>0</v>
      </c>
    </row>
    <row r="2720" spans="1:22">
      <c r="A2720" s="16"/>
      <c r="B2720" s="23"/>
      <c r="C2720" s="15"/>
      <c r="D2720" s="15"/>
      <c r="E2720" s="15"/>
      <c r="F2720" s="24"/>
      <c r="G2720" s="17"/>
      <c r="H2720" s="17"/>
      <c r="I2720" s="15"/>
      <c r="J2720" s="25">
        <f>IF($D2720="","",IFERROR(INDEX(PacNome,MATCH($D2720,PacCod,0)),"Paciente não cadastrado"))</f>
        <v>0</v>
      </c>
      <c r="K2720" s="26">
        <f>IF($D2720="","",IFERROR(INDEX(PacConv,MATCH($D2720,PacCod,0))&amp;"",""))</f>
        <v>0</v>
      </c>
      <c r="L2720" s="26">
        <f>IF($A2720="","",CHOOSE(WEEKDAY($A2720,2),"Seg","Ter","Qua","Qui","Sex","Sáb","Dom"))</f>
        <v>0</v>
      </c>
      <c r="M2720" s="27">
        <f>IF($E2720="","",IF($G2720&lt;&gt;"",$G2720,IFERROR(INDEX(ProcValor,MATCH($E2720,ProcNome,0)),0)))</f>
        <v>0</v>
      </c>
      <c r="N2720" s="27">
        <f>IF($M2720="","",IF($F2720="Compareceu",$M2720,0))</f>
        <v>0</v>
      </c>
      <c r="O2720" s="27">
        <f>IF($M2720="","",IF($F2720="Faltou",$M2720,0))</f>
        <v>0</v>
      </c>
      <c r="P2720" s="27">
        <f>IF($M2720="","",IF($F2720="Compareceu",MAX(0,$M2720-N($H2720)),0))</f>
        <v>0</v>
      </c>
      <c r="Q2720" s="19">
        <f>IF(AND($F2720="Compareceu",$E2720&lt;&gt;"",$A2720&lt;&gt;""),IF(IFERROR(INDEX(ProcRet,MATCH($E2720,ProcNome,0)),0)&gt;0,$A2720+INDEX(ProcRet,MATCH($E2720,ProcNome,0)),""),"")</f>
        <v>0</v>
      </c>
      <c r="R2720" s="26">
        <f>IF($Q2720="","",IF(COUNTIFS(AgPac,$D2720,AgData,"&gt;"&amp;$A2720,AgStatus,"&lt;&gt;Cancelado",AgStatus,"&lt;&gt;Remarcado")&gt;0,"Sim","Não"))</f>
        <v>0</v>
      </c>
      <c r="S2720" s="28">
        <f>IF($A2720="","",IF(AND($F2720="Agendado",$A2720-Hoje&gt;=0,$A2720-Hoje&lt;=DiasConf),"CONFIRMAR",IF(AND($A2720&lt;Hoje,OR($F2720="Agendado",$F2720="Confirmado")),"Atualizar status",IF(AND($F2720="Compareceu",$P2720&gt;0.005),"Cobrar",IF($F2720="Faltou","Falta: reagendar","")))))</f>
        <v>0</v>
      </c>
      <c r="T2720" s="29">
        <f>IF($A2720="","",DATE(YEAR($A2720),MONTH($A2720),1))</f>
        <v>0</v>
      </c>
      <c r="U2720" s="30">
        <f>IF($S2720="CONFIRMAR",MAX($U$4:$U2719)+1,"")</f>
        <v>0</v>
      </c>
      <c r="V2720" s="30">
        <f>IF(AND($R2720="Não",$Q2720&lt;&gt;"",$Q2720&lt;=Hoje+JanelaRet,$Q2720&gt;=Hoje-60),MAX($V$4:$V2719)+1,"")</f>
        <v>0</v>
      </c>
    </row>
    <row r="2721" spans="1:22">
      <c r="A2721" s="16"/>
      <c r="B2721" s="23"/>
      <c r="C2721" s="15"/>
      <c r="D2721" s="15"/>
      <c r="E2721" s="15"/>
      <c r="F2721" s="24"/>
      <c r="G2721" s="17"/>
      <c r="H2721" s="17"/>
      <c r="I2721" s="15"/>
      <c r="J2721" s="25">
        <f>IF($D2721="","",IFERROR(INDEX(PacNome,MATCH($D2721,PacCod,0)),"Paciente não cadastrado"))</f>
        <v>0</v>
      </c>
      <c r="K2721" s="26">
        <f>IF($D2721="","",IFERROR(INDEX(PacConv,MATCH($D2721,PacCod,0))&amp;"",""))</f>
        <v>0</v>
      </c>
      <c r="L2721" s="26">
        <f>IF($A2721="","",CHOOSE(WEEKDAY($A2721,2),"Seg","Ter","Qua","Qui","Sex","Sáb","Dom"))</f>
        <v>0</v>
      </c>
      <c r="M2721" s="27">
        <f>IF($E2721="","",IF($G2721&lt;&gt;"",$G2721,IFERROR(INDEX(ProcValor,MATCH($E2721,ProcNome,0)),0)))</f>
        <v>0</v>
      </c>
      <c r="N2721" s="27">
        <f>IF($M2721="","",IF($F2721="Compareceu",$M2721,0))</f>
        <v>0</v>
      </c>
      <c r="O2721" s="27">
        <f>IF($M2721="","",IF($F2721="Faltou",$M2721,0))</f>
        <v>0</v>
      </c>
      <c r="P2721" s="27">
        <f>IF($M2721="","",IF($F2721="Compareceu",MAX(0,$M2721-N($H2721)),0))</f>
        <v>0</v>
      </c>
      <c r="Q2721" s="19">
        <f>IF(AND($F2721="Compareceu",$E2721&lt;&gt;"",$A2721&lt;&gt;""),IF(IFERROR(INDEX(ProcRet,MATCH($E2721,ProcNome,0)),0)&gt;0,$A2721+INDEX(ProcRet,MATCH($E2721,ProcNome,0)),""),"")</f>
        <v>0</v>
      </c>
      <c r="R2721" s="26">
        <f>IF($Q2721="","",IF(COUNTIFS(AgPac,$D2721,AgData,"&gt;"&amp;$A2721,AgStatus,"&lt;&gt;Cancelado",AgStatus,"&lt;&gt;Remarcado")&gt;0,"Sim","Não"))</f>
        <v>0</v>
      </c>
      <c r="S2721" s="28">
        <f>IF($A2721="","",IF(AND($F2721="Agendado",$A2721-Hoje&gt;=0,$A2721-Hoje&lt;=DiasConf),"CONFIRMAR",IF(AND($A2721&lt;Hoje,OR($F2721="Agendado",$F2721="Confirmado")),"Atualizar status",IF(AND($F2721="Compareceu",$P2721&gt;0.005),"Cobrar",IF($F2721="Faltou","Falta: reagendar","")))))</f>
        <v>0</v>
      </c>
      <c r="T2721" s="29">
        <f>IF($A2721="","",DATE(YEAR($A2721),MONTH($A2721),1))</f>
        <v>0</v>
      </c>
      <c r="U2721" s="30">
        <f>IF($S2721="CONFIRMAR",MAX($U$4:$U2720)+1,"")</f>
        <v>0</v>
      </c>
      <c r="V2721" s="30">
        <f>IF(AND($R2721="Não",$Q2721&lt;&gt;"",$Q2721&lt;=Hoje+JanelaRet,$Q2721&gt;=Hoje-60),MAX($V$4:$V2720)+1,"")</f>
        <v>0</v>
      </c>
    </row>
    <row r="2722" spans="1:22">
      <c r="A2722" s="16"/>
      <c r="B2722" s="23"/>
      <c r="C2722" s="15"/>
      <c r="D2722" s="15"/>
      <c r="E2722" s="15"/>
      <c r="F2722" s="24"/>
      <c r="G2722" s="17"/>
      <c r="H2722" s="17"/>
      <c r="I2722" s="15"/>
      <c r="J2722" s="25">
        <f>IF($D2722="","",IFERROR(INDEX(PacNome,MATCH($D2722,PacCod,0)),"Paciente não cadastrado"))</f>
        <v>0</v>
      </c>
      <c r="K2722" s="26">
        <f>IF($D2722="","",IFERROR(INDEX(PacConv,MATCH($D2722,PacCod,0))&amp;"",""))</f>
        <v>0</v>
      </c>
      <c r="L2722" s="26">
        <f>IF($A2722="","",CHOOSE(WEEKDAY($A2722,2),"Seg","Ter","Qua","Qui","Sex","Sáb","Dom"))</f>
        <v>0</v>
      </c>
      <c r="M2722" s="27">
        <f>IF($E2722="","",IF($G2722&lt;&gt;"",$G2722,IFERROR(INDEX(ProcValor,MATCH($E2722,ProcNome,0)),0)))</f>
        <v>0</v>
      </c>
      <c r="N2722" s="27">
        <f>IF($M2722="","",IF($F2722="Compareceu",$M2722,0))</f>
        <v>0</v>
      </c>
      <c r="O2722" s="27">
        <f>IF($M2722="","",IF($F2722="Faltou",$M2722,0))</f>
        <v>0</v>
      </c>
      <c r="P2722" s="27">
        <f>IF($M2722="","",IF($F2722="Compareceu",MAX(0,$M2722-N($H2722)),0))</f>
        <v>0</v>
      </c>
      <c r="Q2722" s="19">
        <f>IF(AND($F2722="Compareceu",$E2722&lt;&gt;"",$A2722&lt;&gt;""),IF(IFERROR(INDEX(ProcRet,MATCH($E2722,ProcNome,0)),0)&gt;0,$A2722+INDEX(ProcRet,MATCH($E2722,ProcNome,0)),""),"")</f>
        <v>0</v>
      </c>
      <c r="R2722" s="26">
        <f>IF($Q2722="","",IF(COUNTIFS(AgPac,$D2722,AgData,"&gt;"&amp;$A2722,AgStatus,"&lt;&gt;Cancelado",AgStatus,"&lt;&gt;Remarcado")&gt;0,"Sim","Não"))</f>
        <v>0</v>
      </c>
      <c r="S2722" s="28">
        <f>IF($A2722="","",IF(AND($F2722="Agendado",$A2722-Hoje&gt;=0,$A2722-Hoje&lt;=DiasConf),"CONFIRMAR",IF(AND($A2722&lt;Hoje,OR($F2722="Agendado",$F2722="Confirmado")),"Atualizar status",IF(AND($F2722="Compareceu",$P2722&gt;0.005),"Cobrar",IF($F2722="Faltou","Falta: reagendar","")))))</f>
        <v>0</v>
      </c>
      <c r="T2722" s="29">
        <f>IF($A2722="","",DATE(YEAR($A2722),MONTH($A2722),1))</f>
        <v>0</v>
      </c>
      <c r="U2722" s="30">
        <f>IF($S2722="CONFIRMAR",MAX($U$4:$U2721)+1,"")</f>
        <v>0</v>
      </c>
      <c r="V2722" s="30">
        <f>IF(AND($R2722="Não",$Q2722&lt;&gt;"",$Q2722&lt;=Hoje+JanelaRet,$Q2722&gt;=Hoje-60),MAX($V$4:$V2721)+1,"")</f>
        <v>0</v>
      </c>
    </row>
    <row r="2723" spans="1:22">
      <c r="A2723" s="16"/>
      <c r="B2723" s="23"/>
      <c r="C2723" s="15"/>
      <c r="D2723" s="15"/>
      <c r="E2723" s="15"/>
      <c r="F2723" s="24"/>
      <c r="G2723" s="17"/>
      <c r="H2723" s="17"/>
      <c r="I2723" s="15"/>
      <c r="J2723" s="25">
        <f>IF($D2723="","",IFERROR(INDEX(PacNome,MATCH($D2723,PacCod,0)),"Paciente não cadastrado"))</f>
        <v>0</v>
      </c>
      <c r="K2723" s="26">
        <f>IF($D2723="","",IFERROR(INDEX(PacConv,MATCH($D2723,PacCod,0))&amp;"",""))</f>
        <v>0</v>
      </c>
      <c r="L2723" s="26">
        <f>IF($A2723="","",CHOOSE(WEEKDAY($A2723,2),"Seg","Ter","Qua","Qui","Sex","Sáb","Dom"))</f>
        <v>0</v>
      </c>
      <c r="M2723" s="27">
        <f>IF($E2723="","",IF($G2723&lt;&gt;"",$G2723,IFERROR(INDEX(ProcValor,MATCH($E2723,ProcNome,0)),0)))</f>
        <v>0</v>
      </c>
      <c r="N2723" s="27">
        <f>IF($M2723="","",IF($F2723="Compareceu",$M2723,0))</f>
        <v>0</v>
      </c>
      <c r="O2723" s="27">
        <f>IF($M2723="","",IF($F2723="Faltou",$M2723,0))</f>
        <v>0</v>
      </c>
      <c r="P2723" s="27">
        <f>IF($M2723="","",IF($F2723="Compareceu",MAX(0,$M2723-N($H2723)),0))</f>
        <v>0</v>
      </c>
      <c r="Q2723" s="19">
        <f>IF(AND($F2723="Compareceu",$E2723&lt;&gt;"",$A2723&lt;&gt;""),IF(IFERROR(INDEX(ProcRet,MATCH($E2723,ProcNome,0)),0)&gt;0,$A2723+INDEX(ProcRet,MATCH($E2723,ProcNome,0)),""),"")</f>
        <v>0</v>
      </c>
      <c r="R2723" s="26">
        <f>IF($Q2723="","",IF(COUNTIFS(AgPac,$D2723,AgData,"&gt;"&amp;$A2723,AgStatus,"&lt;&gt;Cancelado",AgStatus,"&lt;&gt;Remarcado")&gt;0,"Sim","Não"))</f>
        <v>0</v>
      </c>
      <c r="S2723" s="28">
        <f>IF($A2723="","",IF(AND($F2723="Agendado",$A2723-Hoje&gt;=0,$A2723-Hoje&lt;=DiasConf),"CONFIRMAR",IF(AND($A2723&lt;Hoje,OR($F2723="Agendado",$F2723="Confirmado")),"Atualizar status",IF(AND($F2723="Compareceu",$P2723&gt;0.005),"Cobrar",IF($F2723="Faltou","Falta: reagendar","")))))</f>
        <v>0</v>
      </c>
      <c r="T2723" s="29">
        <f>IF($A2723="","",DATE(YEAR($A2723),MONTH($A2723),1))</f>
        <v>0</v>
      </c>
      <c r="U2723" s="30">
        <f>IF($S2723="CONFIRMAR",MAX($U$4:$U2722)+1,"")</f>
        <v>0</v>
      </c>
      <c r="V2723" s="30">
        <f>IF(AND($R2723="Não",$Q2723&lt;&gt;"",$Q2723&lt;=Hoje+JanelaRet,$Q2723&gt;=Hoje-60),MAX($V$4:$V2722)+1,"")</f>
        <v>0</v>
      </c>
    </row>
    <row r="2724" spans="1:22">
      <c r="A2724" s="16"/>
      <c r="B2724" s="23"/>
      <c r="C2724" s="15"/>
      <c r="D2724" s="15"/>
      <c r="E2724" s="15"/>
      <c r="F2724" s="24"/>
      <c r="G2724" s="17"/>
      <c r="H2724" s="17"/>
      <c r="I2724" s="15"/>
      <c r="J2724" s="25">
        <f>IF($D2724="","",IFERROR(INDEX(PacNome,MATCH($D2724,PacCod,0)),"Paciente não cadastrado"))</f>
        <v>0</v>
      </c>
      <c r="K2724" s="26">
        <f>IF($D2724="","",IFERROR(INDEX(PacConv,MATCH($D2724,PacCod,0))&amp;"",""))</f>
        <v>0</v>
      </c>
      <c r="L2724" s="26">
        <f>IF($A2724="","",CHOOSE(WEEKDAY($A2724,2),"Seg","Ter","Qua","Qui","Sex","Sáb","Dom"))</f>
        <v>0</v>
      </c>
      <c r="M2724" s="27">
        <f>IF($E2724="","",IF($G2724&lt;&gt;"",$G2724,IFERROR(INDEX(ProcValor,MATCH($E2724,ProcNome,0)),0)))</f>
        <v>0</v>
      </c>
      <c r="N2724" s="27">
        <f>IF($M2724="","",IF($F2724="Compareceu",$M2724,0))</f>
        <v>0</v>
      </c>
      <c r="O2724" s="27">
        <f>IF($M2724="","",IF($F2724="Faltou",$M2724,0))</f>
        <v>0</v>
      </c>
      <c r="P2724" s="27">
        <f>IF($M2724="","",IF($F2724="Compareceu",MAX(0,$M2724-N($H2724)),0))</f>
        <v>0</v>
      </c>
      <c r="Q2724" s="19">
        <f>IF(AND($F2724="Compareceu",$E2724&lt;&gt;"",$A2724&lt;&gt;""),IF(IFERROR(INDEX(ProcRet,MATCH($E2724,ProcNome,0)),0)&gt;0,$A2724+INDEX(ProcRet,MATCH($E2724,ProcNome,0)),""),"")</f>
        <v>0</v>
      </c>
      <c r="R2724" s="26">
        <f>IF($Q2724="","",IF(COUNTIFS(AgPac,$D2724,AgData,"&gt;"&amp;$A2724,AgStatus,"&lt;&gt;Cancelado",AgStatus,"&lt;&gt;Remarcado")&gt;0,"Sim","Não"))</f>
        <v>0</v>
      </c>
      <c r="S2724" s="28">
        <f>IF($A2724="","",IF(AND($F2724="Agendado",$A2724-Hoje&gt;=0,$A2724-Hoje&lt;=DiasConf),"CONFIRMAR",IF(AND($A2724&lt;Hoje,OR($F2724="Agendado",$F2724="Confirmado")),"Atualizar status",IF(AND($F2724="Compareceu",$P2724&gt;0.005),"Cobrar",IF($F2724="Faltou","Falta: reagendar","")))))</f>
        <v>0</v>
      </c>
      <c r="T2724" s="29">
        <f>IF($A2724="","",DATE(YEAR($A2724),MONTH($A2724),1))</f>
        <v>0</v>
      </c>
      <c r="U2724" s="30">
        <f>IF($S2724="CONFIRMAR",MAX($U$4:$U2723)+1,"")</f>
        <v>0</v>
      </c>
      <c r="V2724" s="30">
        <f>IF(AND($R2724="Não",$Q2724&lt;&gt;"",$Q2724&lt;=Hoje+JanelaRet,$Q2724&gt;=Hoje-60),MAX($V$4:$V2723)+1,"")</f>
        <v>0</v>
      </c>
    </row>
    <row r="2725" spans="1:22">
      <c r="A2725" s="16"/>
      <c r="B2725" s="23"/>
      <c r="C2725" s="15"/>
      <c r="D2725" s="15"/>
      <c r="E2725" s="15"/>
      <c r="F2725" s="24"/>
      <c r="G2725" s="17"/>
      <c r="H2725" s="17"/>
      <c r="I2725" s="15"/>
      <c r="J2725" s="25">
        <f>IF($D2725="","",IFERROR(INDEX(PacNome,MATCH($D2725,PacCod,0)),"Paciente não cadastrado"))</f>
        <v>0</v>
      </c>
      <c r="K2725" s="26">
        <f>IF($D2725="","",IFERROR(INDEX(PacConv,MATCH($D2725,PacCod,0))&amp;"",""))</f>
        <v>0</v>
      </c>
      <c r="L2725" s="26">
        <f>IF($A2725="","",CHOOSE(WEEKDAY($A2725,2),"Seg","Ter","Qua","Qui","Sex","Sáb","Dom"))</f>
        <v>0</v>
      </c>
      <c r="M2725" s="27">
        <f>IF($E2725="","",IF($G2725&lt;&gt;"",$G2725,IFERROR(INDEX(ProcValor,MATCH($E2725,ProcNome,0)),0)))</f>
        <v>0</v>
      </c>
      <c r="N2725" s="27">
        <f>IF($M2725="","",IF($F2725="Compareceu",$M2725,0))</f>
        <v>0</v>
      </c>
      <c r="O2725" s="27">
        <f>IF($M2725="","",IF($F2725="Faltou",$M2725,0))</f>
        <v>0</v>
      </c>
      <c r="P2725" s="27">
        <f>IF($M2725="","",IF($F2725="Compareceu",MAX(0,$M2725-N($H2725)),0))</f>
        <v>0</v>
      </c>
      <c r="Q2725" s="19">
        <f>IF(AND($F2725="Compareceu",$E2725&lt;&gt;"",$A2725&lt;&gt;""),IF(IFERROR(INDEX(ProcRet,MATCH($E2725,ProcNome,0)),0)&gt;0,$A2725+INDEX(ProcRet,MATCH($E2725,ProcNome,0)),""),"")</f>
        <v>0</v>
      </c>
      <c r="R2725" s="26">
        <f>IF($Q2725="","",IF(COUNTIFS(AgPac,$D2725,AgData,"&gt;"&amp;$A2725,AgStatus,"&lt;&gt;Cancelado",AgStatus,"&lt;&gt;Remarcado")&gt;0,"Sim","Não"))</f>
        <v>0</v>
      </c>
      <c r="S2725" s="28">
        <f>IF($A2725="","",IF(AND($F2725="Agendado",$A2725-Hoje&gt;=0,$A2725-Hoje&lt;=DiasConf),"CONFIRMAR",IF(AND($A2725&lt;Hoje,OR($F2725="Agendado",$F2725="Confirmado")),"Atualizar status",IF(AND($F2725="Compareceu",$P2725&gt;0.005),"Cobrar",IF($F2725="Faltou","Falta: reagendar","")))))</f>
        <v>0</v>
      </c>
      <c r="T2725" s="29">
        <f>IF($A2725="","",DATE(YEAR($A2725),MONTH($A2725),1))</f>
        <v>0</v>
      </c>
      <c r="U2725" s="30">
        <f>IF($S2725="CONFIRMAR",MAX($U$4:$U2724)+1,"")</f>
        <v>0</v>
      </c>
      <c r="V2725" s="30">
        <f>IF(AND($R2725="Não",$Q2725&lt;&gt;"",$Q2725&lt;=Hoje+JanelaRet,$Q2725&gt;=Hoje-60),MAX($V$4:$V2724)+1,"")</f>
        <v>0</v>
      </c>
    </row>
    <row r="2726" spans="1:22">
      <c r="A2726" s="16"/>
      <c r="B2726" s="23"/>
      <c r="C2726" s="15"/>
      <c r="D2726" s="15"/>
      <c r="E2726" s="15"/>
      <c r="F2726" s="24"/>
      <c r="G2726" s="17"/>
      <c r="H2726" s="17"/>
      <c r="I2726" s="15"/>
      <c r="J2726" s="25">
        <f>IF($D2726="","",IFERROR(INDEX(PacNome,MATCH($D2726,PacCod,0)),"Paciente não cadastrado"))</f>
        <v>0</v>
      </c>
      <c r="K2726" s="26">
        <f>IF($D2726="","",IFERROR(INDEX(PacConv,MATCH($D2726,PacCod,0))&amp;"",""))</f>
        <v>0</v>
      </c>
      <c r="L2726" s="26">
        <f>IF($A2726="","",CHOOSE(WEEKDAY($A2726,2),"Seg","Ter","Qua","Qui","Sex","Sáb","Dom"))</f>
        <v>0</v>
      </c>
      <c r="M2726" s="27">
        <f>IF($E2726="","",IF($G2726&lt;&gt;"",$G2726,IFERROR(INDEX(ProcValor,MATCH($E2726,ProcNome,0)),0)))</f>
        <v>0</v>
      </c>
      <c r="N2726" s="27">
        <f>IF($M2726="","",IF($F2726="Compareceu",$M2726,0))</f>
        <v>0</v>
      </c>
      <c r="O2726" s="27">
        <f>IF($M2726="","",IF($F2726="Faltou",$M2726,0))</f>
        <v>0</v>
      </c>
      <c r="P2726" s="27">
        <f>IF($M2726="","",IF($F2726="Compareceu",MAX(0,$M2726-N($H2726)),0))</f>
        <v>0</v>
      </c>
      <c r="Q2726" s="19">
        <f>IF(AND($F2726="Compareceu",$E2726&lt;&gt;"",$A2726&lt;&gt;""),IF(IFERROR(INDEX(ProcRet,MATCH($E2726,ProcNome,0)),0)&gt;0,$A2726+INDEX(ProcRet,MATCH($E2726,ProcNome,0)),""),"")</f>
        <v>0</v>
      </c>
      <c r="R2726" s="26">
        <f>IF($Q2726="","",IF(COUNTIFS(AgPac,$D2726,AgData,"&gt;"&amp;$A2726,AgStatus,"&lt;&gt;Cancelado",AgStatus,"&lt;&gt;Remarcado")&gt;0,"Sim","Não"))</f>
        <v>0</v>
      </c>
      <c r="S2726" s="28">
        <f>IF($A2726="","",IF(AND($F2726="Agendado",$A2726-Hoje&gt;=0,$A2726-Hoje&lt;=DiasConf),"CONFIRMAR",IF(AND($A2726&lt;Hoje,OR($F2726="Agendado",$F2726="Confirmado")),"Atualizar status",IF(AND($F2726="Compareceu",$P2726&gt;0.005),"Cobrar",IF($F2726="Faltou","Falta: reagendar","")))))</f>
        <v>0</v>
      </c>
      <c r="T2726" s="29">
        <f>IF($A2726="","",DATE(YEAR($A2726),MONTH($A2726),1))</f>
        <v>0</v>
      </c>
      <c r="U2726" s="30">
        <f>IF($S2726="CONFIRMAR",MAX($U$4:$U2725)+1,"")</f>
        <v>0</v>
      </c>
      <c r="V2726" s="30">
        <f>IF(AND($R2726="Não",$Q2726&lt;&gt;"",$Q2726&lt;=Hoje+JanelaRet,$Q2726&gt;=Hoje-60),MAX($V$4:$V2725)+1,"")</f>
        <v>0</v>
      </c>
    </row>
    <row r="2727" spans="1:22">
      <c r="A2727" s="16"/>
      <c r="B2727" s="23"/>
      <c r="C2727" s="15"/>
      <c r="D2727" s="15"/>
      <c r="E2727" s="15"/>
      <c r="F2727" s="24"/>
      <c r="G2727" s="17"/>
      <c r="H2727" s="17"/>
      <c r="I2727" s="15"/>
      <c r="J2727" s="25">
        <f>IF($D2727="","",IFERROR(INDEX(PacNome,MATCH($D2727,PacCod,0)),"Paciente não cadastrado"))</f>
        <v>0</v>
      </c>
      <c r="K2727" s="26">
        <f>IF($D2727="","",IFERROR(INDEX(PacConv,MATCH($D2727,PacCod,0))&amp;"",""))</f>
        <v>0</v>
      </c>
      <c r="L2727" s="26">
        <f>IF($A2727="","",CHOOSE(WEEKDAY($A2727,2),"Seg","Ter","Qua","Qui","Sex","Sáb","Dom"))</f>
        <v>0</v>
      </c>
      <c r="M2727" s="27">
        <f>IF($E2727="","",IF($G2727&lt;&gt;"",$G2727,IFERROR(INDEX(ProcValor,MATCH($E2727,ProcNome,0)),0)))</f>
        <v>0</v>
      </c>
      <c r="N2727" s="27">
        <f>IF($M2727="","",IF($F2727="Compareceu",$M2727,0))</f>
        <v>0</v>
      </c>
      <c r="O2727" s="27">
        <f>IF($M2727="","",IF($F2727="Faltou",$M2727,0))</f>
        <v>0</v>
      </c>
      <c r="P2727" s="27">
        <f>IF($M2727="","",IF($F2727="Compareceu",MAX(0,$M2727-N($H2727)),0))</f>
        <v>0</v>
      </c>
      <c r="Q2727" s="19">
        <f>IF(AND($F2727="Compareceu",$E2727&lt;&gt;"",$A2727&lt;&gt;""),IF(IFERROR(INDEX(ProcRet,MATCH($E2727,ProcNome,0)),0)&gt;0,$A2727+INDEX(ProcRet,MATCH($E2727,ProcNome,0)),""),"")</f>
        <v>0</v>
      </c>
      <c r="R2727" s="26">
        <f>IF($Q2727="","",IF(COUNTIFS(AgPac,$D2727,AgData,"&gt;"&amp;$A2727,AgStatus,"&lt;&gt;Cancelado",AgStatus,"&lt;&gt;Remarcado")&gt;0,"Sim","Não"))</f>
        <v>0</v>
      </c>
      <c r="S2727" s="28">
        <f>IF($A2727="","",IF(AND($F2727="Agendado",$A2727-Hoje&gt;=0,$A2727-Hoje&lt;=DiasConf),"CONFIRMAR",IF(AND($A2727&lt;Hoje,OR($F2727="Agendado",$F2727="Confirmado")),"Atualizar status",IF(AND($F2727="Compareceu",$P2727&gt;0.005),"Cobrar",IF($F2727="Faltou","Falta: reagendar","")))))</f>
        <v>0</v>
      </c>
      <c r="T2727" s="29">
        <f>IF($A2727="","",DATE(YEAR($A2727),MONTH($A2727),1))</f>
        <v>0</v>
      </c>
      <c r="U2727" s="30">
        <f>IF($S2727="CONFIRMAR",MAX($U$4:$U2726)+1,"")</f>
        <v>0</v>
      </c>
      <c r="V2727" s="30">
        <f>IF(AND($R2727="Não",$Q2727&lt;&gt;"",$Q2727&lt;=Hoje+JanelaRet,$Q2727&gt;=Hoje-60),MAX($V$4:$V2726)+1,"")</f>
        <v>0</v>
      </c>
    </row>
    <row r="2728" spans="1:22">
      <c r="A2728" s="16"/>
      <c r="B2728" s="23"/>
      <c r="C2728" s="15"/>
      <c r="D2728" s="15"/>
      <c r="E2728" s="15"/>
      <c r="F2728" s="24"/>
      <c r="G2728" s="17"/>
      <c r="H2728" s="17"/>
      <c r="I2728" s="15"/>
      <c r="J2728" s="25">
        <f>IF($D2728="","",IFERROR(INDEX(PacNome,MATCH($D2728,PacCod,0)),"Paciente não cadastrado"))</f>
        <v>0</v>
      </c>
      <c r="K2728" s="26">
        <f>IF($D2728="","",IFERROR(INDEX(PacConv,MATCH($D2728,PacCod,0))&amp;"",""))</f>
        <v>0</v>
      </c>
      <c r="L2728" s="26">
        <f>IF($A2728="","",CHOOSE(WEEKDAY($A2728,2),"Seg","Ter","Qua","Qui","Sex","Sáb","Dom"))</f>
        <v>0</v>
      </c>
      <c r="M2728" s="27">
        <f>IF($E2728="","",IF($G2728&lt;&gt;"",$G2728,IFERROR(INDEX(ProcValor,MATCH($E2728,ProcNome,0)),0)))</f>
        <v>0</v>
      </c>
      <c r="N2728" s="27">
        <f>IF($M2728="","",IF($F2728="Compareceu",$M2728,0))</f>
        <v>0</v>
      </c>
      <c r="O2728" s="27">
        <f>IF($M2728="","",IF($F2728="Faltou",$M2728,0))</f>
        <v>0</v>
      </c>
      <c r="P2728" s="27">
        <f>IF($M2728="","",IF($F2728="Compareceu",MAX(0,$M2728-N($H2728)),0))</f>
        <v>0</v>
      </c>
      <c r="Q2728" s="19">
        <f>IF(AND($F2728="Compareceu",$E2728&lt;&gt;"",$A2728&lt;&gt;""),IF(IFERROR(INDEX(ProcRet,MATCH($E2728,ProcNome,0)),0)&gt;0,$A2728+INDEX(ProcRet,MATCH($E2728,ProcNome,0)),""),"")</f>
        <v>0</v>
      </c>
      <c r="R2728" s="26">
        <f>IF($Q2728="","",IF(COUNTIFS(AgPac,$D2728,AgData,"&gt;"&amp;$A2728,AgStatus,"&lt;&gt;Cancelado",AgStatus,"&lt;&gt;Remarcado")&gt;0,"Sim","Não"))</f>
        <v>0</v>
      </c>
      <c r="S2728" s="28">
        <f>IF($A2728="","",IF(AND($F2728="Agendado",$A2728-Hoje&gt;=0,$A2728-Hoje&lt;=DiasConf),"CONFIRMAR",IF(AND($A2728&lt;Hoje,OR($F2728="Agendado",$F2728="Confirmado")),"Atualizar status",IF(AND($F2728="Compareceu",$P2728&gt;0.005),"Cobrar",IF($F2728="Faltou","Falta: reagendar","")))))</f>
        <v>0</v>
      </c>
      <c r="T2728" s="29">
        <f>IF($A2728="","",DATE(YEAR($A2728),MONTH($A2728),1))</f>
        <v>0</v>
      </c>
      <c r="U2728" s="30">
        <f>IF($S2728="CONFIRMAR",MAX($U$4:$U2727)+1,"")</f>
        <v>0</v>
      </c>
      <c r="V2728" s="30">
        <f>IF(AND($R2728="Não",$Q2728&lt;&gt;"",$Q2728&lt;=Hoje+JanelaRet,$Q2728&gt;=Hoje-60),MAX($V$4:$V2727)+1,"")</f>
        <v>0</v>
      </c>
    </row>
    <row r="2729" spans="1:22">
      <c r="A2729" s="16"/>
      <c r="B2729" s="23"/>
      <c r="C2729" s="15"/>
      <c r="D2729" s="15"/>
      <c r="E2729" s="15"/>
      <c r="F2729" s="24"/>
      <c r="G2729" s="17"/>
      <c r="H2729" s="17"/>
      <c r="I2729" s="15"/>
      <c r="J2729" s="25">
        <f>IF($D2729="","",IFERROR(INDEX(PacNome,MATCH($D2729,PacCod,0)),"Paciente não cadastrado"))</f>
        <v>0</v>
      </c>
      <c r="K2729" s="26">
        <f>IF($D2729="","",IFERROR(INDEX(PacConv,MATCH($D2729,PacCod,0))&amp;"",""))</f>
        <v>0</v>
      </c>
      <c r="L2729" s="26">
        <f>IF($A2729="","",CHOOSE(WEEKDAY($A2729,2),"Seg","Ter","Qua","Qui","Sex","Sáb","Dom"))</f>
        <v>0</v>
      </c>
      <c r="M2729" s="27">
        <f>IF($E2729="","",IF($G2729&lt;&gt;"",$G2729,IFERROR(INDEX(ProcValor,MATCH($E2729,ProcNome,0)),0)))</f>
        <v>0</v>
      </c>
      <c r="N2729" s="27">
        <f>IF($M2729="","",IF($F2729="Compareceu",$M2729,0))</f>
        <v>0</v>
      </c>
      <c r="O2729" s="27">
        <f>IF($M2729="","",IF($F2729="Faltou",$M2729,0))</f>
        <v>0</v>
      </c>
      <c r="P2729" s="27">
        <f>IF($M2729="","",IF($F2729="Compareceu",MAX(0,$M2729-N($H2729)),0))</f>
        <v>0</v>
      </c>
      <c r="Q2729" s="19">
        <f>IF(AND($F2729="Compareceu",$E2729&lt;&gt;"",$A2729&lt;&gt;""),IF(IFERROR(INDEX(ProcRet,MATCH($E2729,ProcNome,0)),0)&gt;0,$A2729+INDEX(ProcRet,MATCH($E2729,ProcNome,0)),""),"")</f>
        <v>0</v>
      </c>
      <c r="R2729" s="26">
        <f>IF($Q2729="","",IF(COUNTIFS(AgPac,$D2729,AgData,"&gt;"&amp;$A2729,AgStatus,"&lt;&gt;Cancelado",AgStatus,"&lt;&gt;Remarcado")&gt;0,"Sim","Não"))</f>
        <v>0</v>
      </c>
      <c r="S2729" s="28">
        <f>IF($A2729="","",IF(AND($F2729="Agendado",$A2729-Hoje&gt;=0,$A2729-Hoje&lt;=DiasConf),"CONFIRMAR",IF(AND($A2729&lt;Hoje,OR($F2729="Agendado",$F2729="Confirmado")),"Atualizar status",IF(AND($F2729="Compareceu",$P2729&gt;0.005),"Cobrar",IF($F2729="Faltou","Falta: reagendar","")))))</f>
        <v>0</v>
      </c>
      <c r="T2729" s="29">
        <f>IF($A2729="","",DATE(YEAR($A2729),MONTH($A2729),1))</f>
        <v>0</v>
      </c>
      <c r="U2729" s="30">
        <f>IF($S2729="CONFIRMAR",MAX($U$4:$U2728)+1,"")</f>
        <v>0</v>
      </c>
      <c r="V2729" s="30">
        <f>IF(AND($R2729="Não",$Q2729&lt;&gt;"",$Q2729&lt;=Hoje+JanelaRet,$Q2729&gt;=Hoje-60),MAX($V$4:$V2728)+1,"")</f>
        <v>0</v>
      </c>
    </row>
    <row r="2730" spans="1:22">
      <c r="A2730" s="16"/>
      <c r="B2730" s="23"/>
      <c r="C2730" s="15"/>
      <c r="D2730" s="15"/>
      <c r="E2730" s="15"/>
      <c r="F2730" s="24"/>
      <c r="G2730" s="17"/>
      <c r="H2730" s="17"/>
      <c r="I2730" s="15"/>
      <c r="J2730" s="25">
        <f>IF($D2730="","",IFERROR(INDEX(PacNome,MATCH($D2730,PacCod,0)),"Paciente não cadastrado"))</f>
        <v>0</v>
      </c>
      <c r="K2730" s="26">
        <f>IF($D2730="","",IFERROR(INDEX(PacConv,MATCH($D2730,PacCod,0))&amp;"",""))</f>
        <v>0</v>
      </c>
      <c r="L2730" s="26">
        <f>IF($A2730="","",CHOOSE(WEEKDAY($A2730,2),"Seg","Ter","Qua","Qui","Sex","Sáb","Dom"))</f>
        <v>0</v>
      </c>
      <c r="M2730" s="27">
        <f>IF($E2730="","",IF($G2730&lt;&gt;"",$G2730,IFERROR(INDEX(ProcValor,MATCH($E2730,ProcNome,0)),0)))</f>
        <v>0</v>
      </c>
      <c r="N2730" s="27">
        <f>IF($M2730="","",IF($F2730="Compareceu",$M2730,0))</f>
        <v>0</v>
      </c>
      <c r="O2730" s="27">
        <f>IF($M2730="","",IF($F2730="Faltou",$M2730,0))</f>
        <v>0</v>
      </c>
      <c r="P2730" s="27">
        <f>IF($M2730="","",IF($F2730="Compareceu",MAX(0,$M2730-N($H2730)),0))</f>
        <v>0</v>
      </c>
      <c r="Q2730" s="19">
        <f>IF(AND($F2730="Compareceu",$E2730&lt;&gt;"",$A2730&lt;&gt;""),IF(IFERROR(INDEX(ProcRet,MATCH($E2730,ProcNome,0)),0)&gt;0,$A2730+INDEX(ProcRet,MATCH($E2730,ProcNome,0)),""),"")</f>
        <v>0</v>
      </c>
      <c r="R2730" s="26">
        <f>IF($Q2730="","",IF(COUNTIFS(AgPac,$D2730,AgData,"&gt;"&amp;$A2730,AgStatus,"&lt;&gt;Cancelado",AgStatus,"&lt;&gt;Remarcado")&gt;0,"Sim","Não"))</f>
        <v>0</v>
      </c>
      <c r="S2730" s="28">
        <f>IF($A2730="","",IF(AND($F2730="Agendado",$A2730-Hoje&gt;=0,$A2730-Hoje&lt;=DiasConf),"CONFIRMAR",IF(AND($A2730&lt;Hoje,OR($F2730="Agendado",$F2730="Confirmado")),"Atualizar status",IF(AND($F2730="Compareceu",$P2730&gt;0.005),"Cobrar",IF($F2730="Faltou","Falta: reagendar","")))))</f>
        <v>0</v>
      </c>
      <c r="T2730" s="29">
        <f>IF($A2730="","",DATE(YEAR($A2730),MONTH($A2730),1))</f>
        <v>0</v>
      </c>
      <c r="U2730" s="30">
        <f>IF($S2730="CONFIRMAR",MAX($U$4:$U2729)+1,"")</f>
        <v>0</v>
      </c>
      <c r="V2730" s="30">
        <f>IF(AND($R2730="Não",$Q2730&lt;&gt;"",$Q2730&lt;=Hoje+JanelaRet,$Q2730&gt;=Hoje-60),MAX($V$4:$V2729)+1,"")</f>
        <v>0</v>
      </c>
    </row>
    <row r="2731" spans="1:22">
      <c r="A2731" s="16"/>
      <c r="B2731" s="23"/>
      <c r="C2731" s="15"/>
      <c r="D2731" s="15"/>
      <c r="E2731" s="15"/>
      <c r="F2731" s="24"/>
      <c r="G2731" s="17"/>
      <c r="H2731" s="17"/>
      <c r="I2731" s="15"/>
      <c r="J2731" s="25">
        <f>IF($D2731="","",IFERROR(INDEX(PacNome,MATCH($D2731,PacCod,0)),"Paciente não cadastrado"))</f>
        <v>0</v>
      </c>
      <c r="K2731" s="26">
        <f>IF($D2731="","",IFERROR(INDEX(PacConv,MATCH($D2731,PacCod,0))&amp;"",""))</f>
        <v>0</v>
      </c>
      <c r="L2731" s="26">
        <f>IF($A2731="","",CHOOSE(WEEKDAY($A2731,2),"Seg","Ter","Qua","Qui","Sex","Sáb","Dom"))</f>
        <v>0</v>
      </c>
      <c r="M2731" s="27">
        <f>IF($E2731="","",IF($G2731&lt;&gt;"",$G2731,IFERROR(INDEX(ProcValor,MATCH($E2731,ProcNome,0)),0)))</f>
        <v>0</v>
      </c>
      <c r="N2731" s="27">
        <f>IF($M2731="","",IF($F2731="Compareceu",$M2731,0))</f>
        <v>0</v>
      </c>
      <c r="O2731" s="27">
        <f>IF($M2731="","",IF($F2731="Faltou",$M2731,0))</f>
        <v>0</v>
      </c>
      <c r="P2731" s="27">
        <f>IF($M2731="","",IF($F2731="Compareceu",MAX(0,$M2731-N($H2731)),0))</f>
        <v>0</v>
      </c>
      <c r="Q2731" s="19">
        <f>IF(AND($F2731="Compareceu",$E2731&lt;&gt;"",$A2731&lt;&gt;""),IF(IFERROR(INDEX(ProcRet,MATCH($E2731,ProcNome,0)),0)&gt;0,$A2731+INDEX(ProcRet,MATCH($E2731,ProcNome,0)),""),"")</f>
        <v>0</v>
      </c>
      <c r="R2731" s="26">
        <f>IF($Q2731="","",IF(COUNTIFS(AgPac,$D2731,AgData,"&gt;"&amp;$A2731,AgStatus,"&lt;&gt;Cancelado",AgStatus,"&lt;&gt;Remarcado")&gt;0,"Sim","Não"))</f>
        <v>0</v>
      </c>
      <c r="S2731" s="28">
        <f>IF($A2731="","",IF(AND($F2731="Agendado",$A2731-Hoje&gt;=0,$A2731-Hoje&lt;=DiasConf),"CONFIRMAR",IF(AND($A2731&lt;Hoje,OR($F2731="Agendado",$F2731="Confirmado")),"Atualizar status",IF(AND($F2731="Compareceu",$P2731&gt;0.005),"Cobrar",IF($F2731="Faltou","Falta: reagendar","")))))</f>
        <v>0</v>
      </c>
      <c r="T2731" s="29">
        <f>IF($A2731="","",DATE(YEAR($A2731),MONTH($A2731),1))</f>
        <v>0</v>
      </c>
      <c r="U2731" s="30">
        <f>IF($S2731="CONFIRMAR",MAX($U$4:$U2730)+1,"")</f>
        <v>0</v>
      </c>
      <c r="V2731" s="30">
        <f>IF(AND($R2731="Não",$Q2731&lt;&gt;"",$Q2731&lt;=Hoje+JanelaRet,$Q2731&gt;=Hoje-60),MAX($V$4:$V2730)+1,"")</f>
        <v>0</v>
      </c>
    </row>
    <row r="2732" spans="1:22">
      <c r="A2732" s="16"/>
      <c r="B2732" s="23"/>
      <c r="C2732" s="15"/>
      <c r="D2732" s="15"/>
      <c r="E2732" s="15"/>
      <c r="F2732" s="24"/>
      <c r="G2732" s="17"/>
      <c r="H2732" s="17"/>
      <c r="I2732" s="15"/>
      <c r="J2732" s="25">
        <f>IF($D2732="","",IFERROR(INDEX(PacNome,MATCH($D2732,PacCod,0)),"Paciente não cadastrado"))</f>
        <v>0</v>
      </c>
      <c r="K2732" s="26">
        <f>IF($D2732="","",IFERROR(INDEX(PacConv,MATCH($D2732,PacCod,0))&amp;"",""))</f>
        <v>0</v>
      </c>
      <c r="L2732" s="26">
        <f>IF($A2732="","",CHOOSE(WEEKDAY($A2732,2),"Seg","Ter","Qua","Qui","Sex","Sáb","Dom"))</f>
        <v>0</v>
      </c>
      <c r="M2732" s="27">
        <f>IF($E2732="","",IF($G2732&lt;&gt;"",$G2732,IFERROR(INDEX(ProcValor,MATCH($E2732,ProcNome,0)),0)))</f>
        <v>0</v>
      </c>
      <c r="N2732" s="27">
        <f>IF($M2732="","",IF($F2732="Compareceu",$M2732,0))</f>
        <v>0</v>
      </c>
      <c r="O2732" s="27">
        <f>IF($M2732="","",IF($F2732="Faltou",$M2732,0))</f>
        <v>0</v>
      </c>
      <c r="P2732" s="27">
        <f>IF($M2732="","",IF($F2732="Compareceu",MAX(0,$M2732-N($H2732)),0))</f>
        <v>0</v>
      </c>
      <c r="Q2732" s="19">
        <f>IF(AND($F2732="Compareceu",$E2732&lt;&gt;"",$A2732&lt;&gt;""),IF(IFERROR(INDEX(ProcRet,MATCH($E2732,ProcNome,0)),0)&gt;0,$A2732+INDEX(ProcRet,MATCH($E2732,ProcNome,0)),""),"")</f>
        <v>0</v>
      </c>
      <c r="R2732" s="26">
        <f>IF($Q2732="","",IF(COUNTIFS(AgPac,$D2732,AgData,"&gt;"&amp;$A2732,AgStatus,"&lt;&gt;Cancelado",AgStatus,"&lt;&gt;Remarcado")&gt;0,"Sim","Não"))</f>
        <v>0</v>
      </c>
      <c r="S2732" s="28">
        <f>IF($A2732="","",IF(AND($F2732="Agendado",$A2732-Hoje&gt;=0,$A2732-Hoje&lt;=DiasConf),"CONFIRMAR",IF(AND($A2732&lt;Hoje,OR($F2732="Agendado",$F2732="Confirmado")),"Atualizar status",IF(AND($F2732="Compareceu",$P2732&gt;0.005),"Cobrar",IF($F2732="Faltou","Falta: reagendar","")))))</f>
        <v>0</v>
      </c>
      <c r="T2732" s="29">
        <f>IF($A2732="","",DATE(YEAR($A2732),MONTH($A2732),1))</f>
        <v>0</v>
      </c>
      <c r="U2732" s="30">
        <f>IF($S2732="CONFIRMAR",MAX($U$4:$U2731)+1,"")</f>
        <v>0</v>
      </c>
      <c r="V2732" s="30">
        <f>IF(AND($R2732="Não",$Q2732&lt;&gt;"",$Q2732&lt;=Hoje+JanelaRet,$Q2732&gt;=Hoje-60),MAX($V$4:$V2731)+1,"")</f>
        <v>0</v>
      </c>
    </row>
    <row r="2733" spans="1:22">
      <c r="A2733" s="16"/>
      <c r="B2733" s="23"/>
      <c r="C2733" s="15"/>
      <c r="D2733" s="15"/>
      <c r="E2733" s="15"/>
      <c r="F2733" s="24"/>
      <c r="G2733" s="17"/>
      <c r="H2733" s="17"/>
      <c r="I2733" s="15"/>
      <c r="J2733" s="25">
        <f>IF($D2733="","",IFERROR(INDEX(PacNome,MATCH($D2733,PacCod,0)),"Paciente não cadastrado"))</f>
        <v>0</v>
      </c>
      <c r="K2733" s="26">
        <f>IF($D2733="","",IFERROR(INDEX(PacConv,MATCH($D2733,PacCod,0))&amp;"",""))</f>
        <v>0</v>
      </c>
      <c r="L2733" s="26">
        <f>IF($A2733="","",CHOOSE(WEEKDAY($A2733,2),"Seg","Ter","Qua","Qui","Sex","Sáb","Dom"))</f>
        <v>0</v>
      </c>
      <c r="M2733" s="27">
        <f>IF($E2733="","",IF($G2733&lt;&gt;"",$G2733,IFERROR(INDEX(ProcValor,MATCH($E2733,ProcNome,0)),0)))</f>
        <v>0</v>
      </c>
      <c r="N2733" s="27">
        <f>IF($M2733="","",IF($F2733="Compareceu",$M2733,0))</f>
        <v>0</v>
      </c>
      <c r="O2733" s="27">
        <f>IF($M2733="","",IF($F2733="Faltou",$M2733,0))</f>
        <v>0</v>
      </c>
      <c r="P2733" s="27">
        <f>IF($M2733="","",IF($F2733="Compareceu",MAX(0,$M2733-N($H2733)),0))</f>
        <v>0</v>
      </c>
      <c r="Q2733" s="19">
        <f>IF(AND($F2733="Compareceu",$E2733&lt;&gt;"",$A2733&lt;&gt;""),IF(IFERROR(INDEX(ProcRet,MATCH($E2733,ProcNome,0)),0)&gt;0,$A2733+INDEX(ProcRet,MATCH($E2733,ProcNome,0)),""),"")</f>
        <v>0</v>
      </c>
      <c r="R2733" s="26">
        <f>IF($Q2733="","",IF(COUNTIFS(AgPac,$D2733,AgData,"&gt;"&amp;$A2733,AgStatus,"&lt;&gt;Cancelado",AgStatus,"&lt;&gt;Remarcado")&gt;0,"Sim","Não"))</f>
        <v>0</v>
      </c>
      <c r="S2733" s="28">
        <f>IF($A2733="","",IF(AND($F2733="Agendado",$A2733-Hoje&gt;=0,$A2733-Hoje&lt;=DiasConf),"CONFIRMAR",IF(AND($A2733&lt;Hoje,OR($F2733="Agendado",$F2733="Confirmado")),"Atualizar status",IF(AND($F2733="Compareceu",$P2733&gt;0.005),"Cobrar",IF($F2733="Faltou","Falta: reagendar","")))))</f>
        <v>0</v>
      </c>
      <c r="T2733" s="29">
        <f>IF($A2733="","",DATE(YEAR($A2733),MONTH($A2733),1))</f>
        <v>0</v>
      </c>
      <c r="U2733" s="30">
        <f>IF($S2733="CONFIRMAR",MAX($U$4:$U2732)+1,"")</f>
        <v>0</v>
      </c>
      <c r="V2733" s="30">
        <f>IF(AND($R2733="Não",$Q2733&lt;&gt;"",$Q2733&lt;=Hoje+JanelaRet,$Q2733&gt;=Hoje-60),MAX($V$4:$V2732)+1,"")</f>
        <v>0</v>
      </c>
    </row>
    <row r="2734" spans="1:22">
      <c r="A2734" s="16"/>
      <c r="B2734" s="23"/>
      <c r="C2734" s="15"/>
      <c r="D2734" s="15"/>
      <c r="E2734" s="15"/>
      <c r="F2734" s="24"/>
      <c r="G2734" s="17"/>
      <c r="H2734" s="17"/>
      <c r="I2734" s="15"/>
      <c r="J2734" s="25">
        <f>IF($D2734="","",IFERROR(INDEX(PacNome,MATCH($D2734,PacCod,0)),"Paciente não cadastrado"))</f>
        <v>0</v>
      </c>
      <c r="K2734" s="26">
        <f>IF($D2734="","",IFERROR(INDEX(PacConv,MATCH($D2734,PacCod,0))&amp;"",""))</f>
        <v>0</v>
      </c>
      <c r="L2734" s="26">
        <f>IF($A2734="","",CHOOSE(WEEKDAY($A2734,2),"Seg","Ter","Qua","Qui","Sex","Sáb","Dom"))</f>
        <v>0</v>
      </c>
      <c r="M2734" s="27">
        <f>IF($E2734="","",IF($G2734&lt;&gt;"",$G2734,IFERROR(INDEX(ProcValor,MATCH($E2734,ProcNome,0)),0)))</f>
        <v>0</v>
      </c>
      <c r="N2734" s="27">
        <f>IF($M2734="","",IF($F2734="Compareceu",$M2734,0))</f>
        <v>0</v>
      </c>
      <c r="O2734" s="27">
        <f>IF($M2734="","",IF($F2734="Faltou",$M2734,0))</f>
        <v>0</v>
      </c>
      <c r="P2734" s="27">
        <f>IF($M2734="","",IF($F2734="Compareceu",MAX(0,$M2734-N($H2734)),0))</f>
        <v>0</v>
      </c>
      <c r="Q2734" s="19">
        <f>IF(AND($F2734="Compareceu",$E2734&lt;&gt;"",$A2734&lt;&gt;""),IF(IFERROR(INDEX(ProcRet,MATCH($E2734,ProcNome,0)),0)&gt;0,$A2734+INDEX(ProcRet,MATCH($E2734,ProcNome,0)),""),"")</f>
        <v>0</v>
      </c>
      <c r="R2734" s="26">
        <f>IF($Q2734="","",IF(COUNTIFS(AgPac,$D2734,AgData,"&gt;"&amp;$A2734,AgStatus,"&lt;&gt;Cancelado",AgStatus,"&lt;&gt;Remarcado")&gt;0,"Sim","Não"))</f>
        <v>0</v>
      </c>
      <c r="S2734" s="28">
        <f>IF($A2734="","",IF(AND($F2734="Agendado",$A2734-Hoje&gt;=0,$A2734-Hoje&lt;=DiasConf),"CONFIRMAR",IF(AND($A2734&lt;Hoje,OR($F2734="Agendado",$F2734="Confirmado")),"Atualizar status",IF(AND($F2734="Compareceu",$P2734&gt;0.005),"Cobrar",IF($F2734="Faltou","Falta: reagendar","")))))</f>
        <v>0</v>
      </c>
      <c r="T2734" s="29">
        <f>IF($A2734="","",DATE(YEAR($A2734),MONTH($A2734),1))</f>
        <v>0</v>
      </c>
      <c r="U2734" s="30">
        <f>IF($S2734="CONFIRMAR",MAX($U$4:$U2733)+1,"")</f>
        <v>0</v>
      </c>
      <c r="V2734" s="30">
        <f>IF(AND($R2734="Não",$Q2734&lt;&gt;"",$Q2734&lt;=Hoje+JanelaRet,$Q2734&gt;=Hoje-60),MAX($V$4:$V2733)+1,"")</f>
        <v>0</v>
      </c>
    </row>
    <row r="2735" spans="1:22">
      <c r="A2735" s="16"/>
      <c r="B2735" s="23"/>
      <c r="C2735" s="15"/>
      <c r="D2735" s="15"/>
      <c r="E2735" s="15"/>
      <c r="F2735" s="24"/>
      <c r="G2735" s="17"/>
      <c r="H2735" s="17"/>
      <c r="I2735" s="15"/>
      <c r="J2735" s="25">
        <f>IF($D2735="","",IFERROR(INDEX(PacNome,MATCH($D2735,PacCod,0)),"Paciente não cadastrado"))</f>
        <v>0</v>
      </c>
      <c r="K2735" s="26">
        <f>IF($D2735="","",IFERROR(INDEX(PacConv,MATCH($D2735,PacCod,0))&amp;"",""))</f>
        <v>0</v>
      </c>
      <c r="L2735" s="26">
        <f>IF($A2735="","",CHOOSE(WEEKDAY($A2735,2),"Seg","Ter","Qua","Qui","Sex","Sáb","Dom"))</f>
        <v>0</v>
      </c>
      <c r="M2735" s="27">
        <f>IF($E2735="","",IF($G2735&lt;&gt;"",$G2735,IFERROR(INDEX(ProcValor,MATCH($E2735,ProcNome,0)),0)))</f>
        <v>0</v>
      </c>
      <c r="N2735" s="27">
        <f>IF($M2735="","",IF($F2735="Compareceu",$M2735,0))</f>
        <v>0</v>
      </c>
      <c r="O2735" s="27">
        <f>IF($M2735="","",IF($F2735="Faltou",$M2735,0))</f>
        <v>0</v>
      </c>
      <c r="P2735" s="27">
        <f>IF($M2735="","",IF($F2735="Compareceu",MAX(0,$M2735-N($H2735)),0))</f>
        <v>0</v>
      </c>
      <c r="Q2735" s="19">
        <f>IF(AND($F2735="Compareceu",$E2735&lt;&gt;"",$A2735&lt;&gt;""),IF(IFERROR(INDEX(ProcRet,MATCH($E2735,ProcNome,0)),0)&gt;0,$A2735+INDEX(ProcRet,MATCH($E2735,ProcNome,0)),""),"")</f>
        <v>0</v>
      </c>
      <c r="R2735" s="26">
        <f>IF($Q2735="","",IF(COUNTIFS(AgPac,$D2735,AgData,"&gt;"&amp;$A2735,AgStatus,"&lt;&gt;Cancelado",AgStatus,"&lt;&gt;Remarcado")&gt;0,"Sim","Não"))</f>
        <v>0</v>
      </c>
      <c r="S2735" s="28">
        <f>IF($A2735="","",IF(AND($F2735="Agendado",$A2735-Hoje&gt;=0,$A2735-Hoje&lt;=DiasConf),"CONFIRMAR",IF(AND($A2735&lt;Hoje,OR($F2735="Agendado",$F2735="Confirmado")),"Atualizar status",IF(AND($F2735="Compareceu",$P2735&gt;0.005),"Cobrar",IF($F2735="Faltou","Falta: reagendar","")))))</f>
        <v>0</v>
      </c>
      <c r="T2735" s="29">
        <f>IF($A2735="","",DATE(YEAR($A2735),MONTH($A2735),1))</f>
        <v>0</v>
      </c>
      <c r="U2735" s="30">
        <f>IF($S2735="CONFIRMAR",MAX($U$4:$U2734)+1,"")</f>
        <v>0</v>
      </c>
      <c r="V2735" s="30">
        <f>IF(AND($R2735="Não",$Q2735&lt;&gt;"",$Q2735&lt;=Hoje+JanelaRet,$Q2735&gt;=Hoje-60),MAX($V$4:$V2734)+1,"")</f>
        <v>0</v>
      </c>
    </row>
    <row r="2736" spans="1:22">
      <c r="A2736" s="16"/>
      <c r="B2736" s="23"/>
      <c r="C2736" s="15"/>
      <c r="D2736" s="15"/>
      <c r="E2736" s="15"/>
      <c r="F2736" s="24"/>
      <c r="G2736" s="17"/>
      <c r="H2736" s="17"/>
      <c r="I2736" s="15"/>
      <c r="J2736" s="25">
        <f>IF($D2736="","",IFERROR(INDEX(PacNome,MATCH($D2736,PacCod,0)),"Paciente não cadastrado"))</f>
        <v>0</v>
      </c>
      <c r="K2736" s="26">
        <f>IF($D2736="","",IFERROR(INDEX(PacConv,MATCH($D2736,PacCod,0))&amp;"",""))</f>
        <v>0</v>
      </c>
      <c r="L2736" s="26">
        <f>IF($A2736="","",CHOOSE(WEEKDAY($A2736,2),"Seg","Ter","Qua","Qui","Sex","Sáb","Dom"))</f>
        <v>0</v>
      </c>
      <c r="M2736" s="27">
        <f>IF($E2736="","",IF($G2736&lt;&gt;"",$G2736,IFERROR(INDEX(ProcValor,MATCH($E2736,ProcNome,0)),0)))</f>
        <v>0</v>
      </c>
      <c r="N2736" s="27">
        <f>IF($M2736="","",IF($F2736="Compareceu",$M2736,0))</f>
        <v>0</v>
      </c>
      <c r="O2736" s="27">
        <f>IF($M2736="","",IF($F2736="Faltou",$M2736,0))</f>
        <v>0</v>
      </c>
      <c r="P2736" s="27">
        <f>IF($M2736="","",IF($F2736="Compareceu",MAX(0,$M2736-N($H2736)),0))</f>
        <v>0</v>
      </c>
      <c r="Q2736" s="19">
        <f>IF(AND($F2736="Compareceu",$E2736&lt;&gt;"",$A2736&lt;&gt;""),IF(IFERROR(INDEX(ProcRet,MATCH($E2736,ProcNome,0)),0)&gt;0,$A2736+INDEX(ProcRet,MATCH($E2736,ProcNome,0)),""),"")</f>
        <v>0</v>
      </c>
      <c r="R2736" s="26">
        <f>IF($Q2736="","",IF(COUNTIFS(AgPac,$D2736,AgData,"&gt;"&amp;$A2736,AgStatus,"&lt;&gt;Cancelado",AgStatus,"&lt;&gt;Remarcado")&gt;0,"Sim","Não"))</f>
        <v>0</v>
      </c>
      <c r="S2736" s="28">
        <f>IF($A2736="","",IF(AND($F2736="Agendado",$A2736-Hoje&gt;=0,$A2736-Hoje&lt;=DiasConf),"CONFIRMAR",IF(AND($A2736&lt;Hoje,OR($F2736="Agendado",$F2736="Confirmado")),"Atualizar status",IF(AND($F2736="Compareceu",$P2736&gt;0.005),"Cobrar",IF($F2736="Faltou","Falta: reagendar","")))))</f>
        <v>0</v>
      </c>
      <c r="T2736" s="29">
        <f>IF($A2736="","",DATE(YEAR($A2736),MONTH($A2736),1))</f>
        <v>0</v>
      </c>
      <c r="U2736" s="30">
        <f>IF($S2736="CONFIRMAR",MAX($U$4:$U2735)+1,"")</f>
        <v>0</v>
      </c>
      <c r="V2736" s="30">
        <f>IF(AND($R2736="Não",$Q2736&lt;&gt;"",$Q2736&lt;=Hoje+JanelaRet,$Q2736&gt;=Hoje-60),MAX($V$4:$V2735)+1,"")</f>
        <v>0</v>
      </c>
    </row>
    <row r="2737" spans="1:22">
      <c r="A2737" s="16"/>
      <c r="B2737" s="23"/>
      <c r="C2737" s="15"/>
      <c r="D2737" s="15"/>
      <c r="E2737" s="15"/>
      <c r="F2737" s="24"/>
      <c r="G2737" s="17"/>
      <c r="H2737" s="17"/>
      <c r="I2737" s="15"/>
      <c r="J2737" s="25">
        <f>IF($D2737="","",IFERROR(INDEX(PacNome,MATCH($D2737,PacCod,0)),"Paciente não cadastrado"))</f>
        <v>0</v>
      </c>
      <c r="K2737" s="26">
        <f>IF($D2737="","",IFERROR(INDEX(PacConv,MATCH($D2737,PacCod,0))&amp;"",""))</f>
        <v>0</v>
      </c>
      <c r="L2737" s="26">
        <f>IF($A2737="","",CHOOSE(WEEKDAY($A2737,2),"Seg","Ter","Qua","Qui","Sex","Sáb","Dom"))</f>
        <v>0</v>
      </c>
      <c r="M2737" s="27">
        <f>IF($E2737="","",IF($G2737&lt;&gt;"",$G2737,IFERROR(INDEX(ProcValor,MATCH($E2737,ProcNome,0)),0)))</f>
        <v>0</v>
      </c>
      <c r="N2737" s="27">
        <f>IF($M2737="","",IF($F2737="Compareceu",$M2737,0))</f>
        <v>0</v>
      </c>
      <c r="O2737" s="27">
        <f>IF($M2737="","",IF($F2737="Faltou",$M2737,0))</f>
        <v>0</v>
      </c>
      <c r="P2737" s="27">
        <f>IF($M2737="","",IF($F2737="Compareceu",MAX(0,$M2737-N($H2737)),0))</f>
        <v>0</v>
      </c>
      <c r="Q2737" s="19">
        <f>IF(AND($F2737="Compareceu",$E2737&lt;&gt;"",$A2737&lt;&gt;""),IF(IFERROR(INDEX(ProcRet,MATCH($E2737,ProcNome,0)),0)&gt;0,$A2737+INDEX(ProcRet,MATCH($E2737,ProcNome,0)),""),"")</f>
        <v>0</v>
      </c>
      <c r="R2737" s="26">
        <f>IF($Q2737="","",IF(COUNTIFS(AgPac,$D2737,AgData,"&gt;"&amp;$A2737,AgStatus,"&lt;&gt;Cancelado",AgStatus,"&lt;&gt;Remarcado")&gt;0,"Sim","Não"))</f>
        <v>0</v>
      </c>
      <c r="S2737" s="28">
        <f>IF($A2737="","",IF(AND($F2737="Agendado",$A2737-Hoje&gt;=0,$A2737-Hoje&lt;=DiasConf),"CONFIRMAR",IF(AND($A2737&lt;Hoje,OR($F2737="Agendado",$F2737="Confirmado")),"Atualizar status",IF(AND($F2737="Compareceu",$P2737&gt;0.005),"Cobrar",IF($F2737="Faltou","Falta: reagendar","")))))</f>
        <v>0</v>
      </c>
      <c r="T2737" s="29">
        <f>IF($A2737="","",DATE(YEAR($A2737),MONTH($A2737),1))</f>
        <v>0</v>
      </c>
      <c r="U2737" s="30">
        <f>IF($S2737="CONFIRMAR",MAX($U$4:$U2736)+1,"")</f>
        <v>0</v>
      </c>
      <c r="V2737" s="30">
        <f>IF(AND($R2737="Não",$Q2737&lt;&gt;"",$Q2737&lt;=Hoje+JanelaRet,$Q2737&gt;=Hoje-60),MAX($V$4:$V2736)+1,"")</f>
        <v>0</v>
      </c>
    </row>
    <row r="2738" spans="1:22">
      <c r="A2738" s="16"/>
      <c r="B2738" s="23"/>
      <c r="C2738" s="15"/>
      <c r="D2738" s="15"/>
      <c r="E2738" s="15"/>
      <c r="F2738" s="24"/>
      <c r="G2738" s="17"/>
      <c r="H2738" s="17"/>
      <c r="I2738" s="15"/>
      <c r="J2738" s="25">
        <f>IF($D2738="","",IFERROR(INDEX(PacNome,MATCH($D2738,PacCod,0)),"Paciente não cadastrado"))</f>
        <v>0</v>
      </c>
      <c r="K2738" s="26">
        <f>IF($D2738="","",IFERROR(INDEX(PacConv,MATCH($D2738,PacCod,0))&amp;"",""))</f>
        <v>0</v>
      </c>
      <c r="L2738" s="26">
        <f>IF($A2738="","",CHOOSE(WEEKDAY($A2738,2),"Seg","Ter","Qua","Qui","Sex","Sáb","Dom"))</f>
        <v>0</v>
      </c>
      <c r="M2738" s="27">
        <f>IF($E2738="","",IF($G2738&lt;&gt;"",$G2738,IFERROR(INDEX(ProcValor,MATCH($E2738,ProcNome,0)),0)))</f>
        <v>0</v>
      </c>
      <c r="N2738" s="27">
        <f>IF($M2738="","",IF($F2738="Compareceu",$M2738,0))</f>
        <v>0</v>
      </c>
      <c r="O2738" s="27">
        <f>IF($M2738="","",IF($F2738="Faltou",$M2738,0))</f>
        <v>0</v>
      </c>
      <c r="P2738" s="27">
        <f>IF($M2738="","",IF($F2738="Compareceu",MAX(0,$M2738-N($H2738)),0))</f>
        <v>0</v>
      </c>
      <c r="Q2738" s="19">
        <f>IF(AND($F2738="Compareceu",$E2738&lt;&gt;"",$A2738&lt;&gt;""),IF(IFERROR(INDEX(ProcRet,MATCH($E2738,ProcNome,0)),0)&gt;0,$A2738+INDEX(ProcRet,MATCH($E2738,ProcNome,0)),""),"")</f>
        <v>0</v>
      </c>
      <c r="R2738" s="26">
        <f>IF($Q2738="","",IF(COUNTIFS(AgPac,$D2738,AgData,"&gt;"&amp;$A2738,AgStatus,"&lt;&gt;Cancelado",AgStatus,"&lt;&gt;Remarcado")&gt;0,"Sim","Não"))</f>
        <v>0</v>
      </c>
      <c r="S2738" s="28">
        <f>IF($A2738="","",IF(AND($F2738="Agendado",$A2738-Hoje&gt;=0,$A2738-Hoje&lt;=DiasConf),"CONFIRMAR",IF(AND($A2738&lt;Hoje,OR($F2738="Agendado",$F2738="Confirmado")),"Atualizar status",IF(AND($F2738="Compareceu",$P2738&gt;0.005),"Cobrar",IF($F2738="Faltou","Falta: reagendar","")))))</f>
        <v>0</v>
      </c>
      <c r="T2738" s="29">
        <f>IF($A2738="","",DATE(YEAR($A2738),MONTH($A2738),1))</f>
        <v>0</v>
      </c>
      <c r="U2738" s="30">
        <f>IF($S2738="CONFIRMAR",MAX($U$4:$U2737)+1,"")</f>
        <v>0</v>
      </c>
      <c r="V2738" s="30">
        <f>IF(AND($R2738="Não",$Q2738&lt;&gt;"",$Q2738&lt;=Hoje+JanelaRet,$Q2738&gt;=Hoje-60),MAX($V$4:$V2737)+1,"")</f>
        <v>0</v>
      </c>
    </row>
    <row r="2739" spans="1:22">
      <c r="A2739" s="16"/>
      <c r="B2739" s="23"/>
      <c r="C2739" s="15"/>
      <c r="D2739" s="15"/>
      <c r="E2739" s="15"/>
      <c r="F2739" s="24"/>
      <c r="G2739" s="17"/>
      <c r="H2739" s="17"/>
      <c r="I2739" s="15"/>
      <c r="J2739" s="25">
        <f>IF($D2739="","",IFERROR(INDEX(PacNome,MATCH($D2739,PacCod,0)),"Paciente não cadastrado"))</f>
        <v>0</v>
      </c>
      <c r="K2739" s="26">
        <f>IF($D2739="","",IFERROR(INDEX(PacConv,MATCH($D2739,PacCod,0))&amp;"",""))</f>
        <v>0</v>
      </c>
      <c r="L2739" s="26">
        <f>IF($A2739="","",CHOOSE(WEEKDAY($A2739,2),"Seg","Ter","Qua","Qui","Sex","Sáb","Dom"))</f>
        <v>0</v>
      </c>
      <c r="M2739" s="27">
        <f>IF($E2739="","",IF($G2739&lt;&gt;"",$G2739,IFERROR(INDEX(ProcValor,MATCH($E2739,ProcNome,0)),0)))</f>
        <v>0</v>
      </c>
      <c r="N2739" s="27">
        <f>IF($M2739="","",IF($F2739="Compareceu",$M2739,0))</f>
        <v>0</v>
      </c>
      <c r="O2739" s="27">
        <f>IF($M2739="","",IF($F2739="Faltou",$M2739,0))</f>
        <v>0</v>
      </c>
      <c r="P2739" s="27">
        <f>IF($M2739="","",IF($F2739="Compareceu",MAX(0,$M2739-N($H2739)),0))</f>
        <v>0</v>
      </c>
      <c r="Q2739" s="19">
        <f>IF(AND($F2739="Compareceu",$E2739&lt;&gt;"",$A2739&lt;&gt;""),IF(IFERROR(INDEX(ProcRet,MATCH($E2739,ProcNome,0)),0)&gt;0,$A2739+INDEX(ProcRet,MATCH($E2739,ProcNome,0)),""),"")</f>
        <v>0</v>
      </c>
      <c r="R2739" s="26">
        <f>IF($Q2739="","",IF(COUNTIFS(AgPac,$D2739,AgData,"&gt;"&amp;$A2739,AgStatus,"&lt;&gt;Cancelado",AgStatus,"&lt;&gt;Remarcado")&gt;0,"Sim","Não"))</f>
        <v>0</v>
      </c>
      <c r="S2739" s="28">
        <f>IF($A2739="","",IF(AND($F2739="Agendado",$A2739-Hoje&gt;=0,$A2739-Hoje&lt;=DiasConf),"CONFIRMAR",IF(AND($A2739&lt;Hoje,OR($F2739="Agendado",$F2739="Confirmado")),"Atualizar status",IF(AND($F2739="Compareceu",$P2739&gt;0.005),"Cobrar",IF($F2739="Faltou","Falta: reagendar","")))))</f>
        <v>0</v>
      </c>
      <c r="T2739" s="29">
        <f>IF($A2739="","",DATE(YEAR($A2739),MONTH($A2739),1))</f>
        <v>0</v>
      </c>
      <c r="U2739" s="30">
        <f>IF($S2739="CONFIRMAR",MAX($U$4:$U2738)+1,"")</f>
        <v>0</v>
      </c>
      <c r="V2739" s="30">
        <f>IF(AND($R2739="Não",$Q2739&lt;&gt;"",$Q2739&lt;=Hoje+JanelaRet,$Q2739&gt;=Hoje-60),MAX($V$4:$V2738)+1,"")</f>
        <v>0</v>
      </c>
    </row>
    <row r="2740" spans="1:22">
      <c r="A2740" s="16"/>
      <c r="B2740" s="23"/>
      <c r="C2740" s="15"/>
      <c r="D2740" s="15"/>
      <c r="E2740" s="15"/>
      <c r="F2740" s="24"/>
      <c r="G2740" s="17"/>
      <c r="H2740" s="17"/>
      <c r="I2740" s="15"/>
      <c r="J2740" s="25">
        <f>IF($D2740="","",IFERROR(INDEX(PacNome,MATCH($D2740,PacCod,0)),"Paciente não cadastrado"))</f>
        <v>0</v>
      </c>
      <c r="K2740" s="26">
        <f>IF($D2740="","",IFERROR(INDEX(PacConv,MATCH($D2740,PacCod,0))&amp;"",""))</f>
        <v>0</v>
      </c>
      <c r="L2740" s="26">
        <f>IF($A2740="","",CHOOSE(WEEKDAY($A2740,2),"Seg","Ter","Qua","Qui","Sex","Sáb","Dom"))</f>
        <v>0</v>
      </c>
      <c r="M2740" s="27">
        <f>IF($E2740="","",IF($G2740&lt;&gt;"",$G2740,IFERROR(INDEX(ProcValor,MATCH($E2740,ProcNome,0)),0)))</f>
        <v>0</v>
      </c>
      <c r="N2740" s="27">
        <f>IF($M2740="","",IF($F2740="Compareceu",$M2740,0))</f>
        <v>0</v>
      </c>
      <c r="O2740" s="27">
        <f>IF($M2740="","",IF($F2740="Faltou",$M2740,0))</f>
        <v>0</v>
      </c>
      <c r="P2740" s="27">
        <f>IF($M2740="","",IF($F2740="Compareceu",MAX(0,$M2740-N($H2740)),0))</f>
        <v>0</v>
      </c>
      <c r="Q2740" s="19">
        <f>IF(AND($F2740="Compareceu",$E2740&lt;&gt;"",$A2740&lt;&gt;""),IF(IFERROR(INDEX(ProcRet,MATCH($E2740,ProcNome,0)),0)&gt;0,$A2740+INDEX(ProcRet,MATCH($E2740,ProcNome,0)),""),"")</f>
        <v>0</v>
      </c>
      <c r="R2740" s="26">
        <f>IF($Q2740="","",IF(COUNTIFS(AgPac,$D2740,AgData,"&gt;"&amp;$A2740,AgStatus,"&lt;&gt;Cancelado",AgStatus,"&lt;&gt;Remarcado")&gt;0,"Sim","Não"))</f>
        <v>0</v>
      </c>
      <c r="S2740" s="28">
        <f>IF($A2740="","",IF(AND($F2740="Agendado",$A2740-Hoje&gt;=0,$A2740-Hoje&lt;=DiasConf),"CONFIRMAR",IF(AND($A2740&lt;Hoje,OR($F2740="Agendado",$F2740="Confirmado")),"Atualizar status",IF(AND($F2740="Compareceu",$P2740&gt;0.005),"Cobrar",IF($F2740="Faltou","Falta: reagendar","")))))</f>
        <v>0</v>
      </c>
      <c r="T2740" s="29">
        <f>IF($A2740="","",DATE(YEAR($A2740),MONTH($A2740),1))</f>
        <v>0</v>
      </c>
      <c r="U2740" s="30">
        <f>IF($S2740="CONFIRMAR",MAX($U$4:$U2739)+1,"")</f>
        <v>0</v>
      </c>
      <c r="V2740" s="30">
        <f>IF(AND($R2740="Não",$Q2740&lt;&gt;"",$Q2740&lt;=Hoje+JanelaRet,$Q2740&gt;=Hoje-60),MAX($V$4:$V2739)+1,"")</f>
        <v>0</v>
      </c>
    </row>
    <row r="2741" spans="1:22">
      <c r="A2741" s="16"/>
      <c r="B2741" s="23"/>
      <c r="C2741" s="15"/>
      <c r="D2741" s="15"/>
      <c r="E2741" s="15"/>
      <c r="F2741" s="24"/>
      <c r="G2741" s="17"/>
      <c r="H2741" s="17"/>
      <c r="I2741" s="15"/>
      <c r="J2741" s="25">
        <f>IF($D2741="","",IFERROR(INDEX(PacNome,MATCH($D2741,PacCod,0)),"Paciente não cadastrado"))</f>
        <v>0</v>
      </c>
      <c r="K2741" s="26">
        <f>IF($D2741="","",IFERROR(INDEX(PacConv,MATCH($D2741,PacCod,0))&amp;"",""))</f>
        <v>0</v>
      </c>
      <c r="L2741" s="26">
        <f>IF($A2741="","",CHOOSE(WEEKDAY($A2741,2),"Seg","Ter","Qua","Qui","Sex","Sáb","Dom"))</f>
        <v>0</v>
      </c>
      <c r="M2741" s="27">
        <f>IF($E2741="","",IF($G2741&lt;&gt;"",$G2741,IFERROR(INDEX(ProcValor,MATCH($E2741,ProcNome,0)),0)))</f>
        <v>0</v>
      </c>
      <c r="N2741" s="27">
        <f>IF($M2741="","",IF($F2741="Compareceu",$M2741,0))</f>
        <v>0</v>
      </c>
      <c r="O2741" s="27">
        <f>IF($M2741="","",IF($F2741="Faltou",$M2741,0))</f>
        <v>0</v>
      </c>
      <c r="P2741" s="27">
        <f>IF($M2741="","",IF($F2741="Compareceu",MAX(0,$M2741-N($H2741)),0))</f>
        <v>0</v>
      </c>
      <c r="Q2741" s="19">
        <f>IF(AND($F2741="Compareceu",$E2741&lt;&gt;"",$A2741&lt;&gt;""),IF(IFERROR(INDEX(ProcRet,MATCH($E2741,ProcNome,0)),0)&gt;0,$A2741+INDEX(ProcRet,MATCH($E2741,ProcNome,0)),""),"")</f>
        <v>0</v>
      </c>
      <c r="R2741" s="26">
        <f>IF($Q2741="","",IF(COUNTIFS(AgPac,$D2741,AgData,"&gt;"&amp;$A2741,AgStatus,"&lt;&gt;Cancelado",AgStatus,"&lt;&gt;Remarcado")&gt;0,"Sim","Não"))</f>
        <v>0</v>
      </c>
      <c r="S2741" s="28">
        <f>IF($A2741="","",IF(AND($F2741="Agendado",$A2741-Hoje&gt;=0,$A2741-Hoje&lt;=DiasConf),"CONFIRMAR",IF(AND($A2741&lt;Hoje,OR($F2741="Agendado",$F2741="Confirmado")),"Atualizar status",IF(AND($F2741="Compareceu",$P2741&gt;0.005),"Cobrar",IF($F2741="Faltou","Falta: reagendar","")))))</f>
        <v>0</v>
      </c>
      <c r="T2741" s="29">
        <f>IF($A2741="","",DATE(YEAR($A2741),MONTH($A2741),1))</f>
        <v>0</v>
      </c>
      <c r="U2741" s="30">
        <f>IF($S2741="CONFIRMAR",MAX($U$4:$U2740)+1,"")</f>
        <v>0</v>
      </c>
      <c r="V2741" s="30">
        <f>IF(AND($R2741="Não",$Q2741&lt;&gt;"",$Q2741&lt;=Hoje+JanelaRet,$Q2741&gt;=Hoje-60),MAX($V$4:$V2740)+1,"")</f>
        <v>0</v>
      </c>
    </row>
    <row r="2742" spans="1:22">
      <c r="A2742" s="16"/>
      <c r="B2742" s="23"/>
      <c r="C2742" s="15"/>
      <c r="D2742" s="15"/>
      <c r="E2742" s="15"/>
      <c r="F2742" s="24"/>
      <c r="G2742" s="17"/>
      <c r="H2742" s="17"/>
      <c r="I2742" s="15"/>
      <c r="J2742" s="25">
        <f>IF($D2742="","",IFERROR(INDEX(PacNome,MATCH($D2742,PacCod,0)),"Paciente não cadastrado"))</f>
        <v>0</v>
      </c>
      <c r="K2742" s="26">
        <f>IF($D2742="","",IFERROR(INDEX(PacConv,MATCH($D2742,PacCod,0))&amp;"",""))</f>
        <v>0</v>
      </c>
      <c r="L2742" s="26">
        <f>IF($A2742="","",CHOOSE(WEEKDAY($A2742,2),"Seg","Ter","Qua","Qui","Sex","Sáb","Dom"))</f>
        <v>0</v>
      </c>
      <c r="M2742" s="27">
        <f>IF($E2742="","",IF($G2742&lt;&gt;"",$G2742,IFERROR(INDEX(ProcValor,MATCH($E2742,ProcNome,0)),0)))</f>
        <v>0</v>
      </c>
      <c r="N2742" s="27">
        <f>IF($M2742="","",IF($F2742="Compareceu",$M2742,0))</f>
        <v>0</v>
      </c>
      <c r="O2742" s="27">
        <f>IF($M2742="","",IF($F2742="Faltou",$M2742,0))</f>
        <v>0</v>
      </c>
      <c r="P2742" s="27">
        <f>IF($M2742="","",IF($F2742="Compareceu",MAX(0,$M2742-N($H2742)),0))</f>
        <v>0</v>
      </c>
      <c r="Q2742" s="19">
        <f>IF(AND($F2742="Compareceu",$E2742&lt;&gt;"",$A2742&lt;&gt;""),IF(IFERROR(INDEX(ProcRet,MATCH($E2742,ProcNome,0)),0)&gt;0,$A2742+INDEX(ProcRet,MATCH($E2742,ProcNome,0)),""),"")</f>
        <v>0</v>
      </c>
      <c r="R2742" s="26">
        <f>IF($Q2742="","",IF(COUNTIFS(AgPac,$D2742,AgData,"&gt;"&amp;$A2742,AgStatus,"&lt;&gt;Cancelado",AgStatus,"&lt;&gt;Remarcado")&gt;0,"Sim","Não"))</f>
        <v>0</v>
      </c>
      <c r="S2742" s="28">
        <f>IF($A2742="","",IF(AND($F2742="Agendado",$A2742-Hoje&gt;=0,$A2742-Hoje&lt;=DiasConf),"CONFIRMAR",IF(AND($A2742&lt;Hoje,OR($F2742="Agendado",$F2742="Confirmado")),"Atualizar status",IF(AND($F2742="Compareceu",$P2742&gt;0.005),"Cobrar",IF($F2742="Faltou","Falta: reagendar","")))))</f>
        <v>0</v>
      </c>
      <c r="T2742" s="29">
        <f>IF($A2742="","",DATE(YEAR($A2742),MONTH($A2742),1))</f>
        <v>0</v>
      </c>
      <c r="U2742" s="30">
        <f>IF($S2742="CONFIRMAR",MAX($U$4:$U2741)+1,"")</f>
        <v>0</v>
      </c>
      <c r="V2742" s="30">
        <f>IF(AND($R2742="Não",$Q2742&lt;&gt;"",$Q2742&lt;=Hoje+JanelaRet,$Q2742&gt;=Hoje-60),MAX($V$4:$V2741)+1,"")</f>
        <v>0</v>
      </c>
    </row>
    <row r="2743" spans="1:22">
      <c r="A2743" s="16"/>
      <c r="B2743" s="23"/>
      <c r="C2743" s="15"/>
      <c r="D2743" s="15"/>
      <c r="E2743" s="15"/>
      <c r="F2743" s="24"/>
      <c r="G2743" s="17"/>
      <c r="H2743" s="17"/>
      <c r="I2743" s="15"/>
      <c r="J2743" s="25">
        <f>IF($D2743="","",IFERROR(INDEX(PacNome,MATCH($D2743,PacCod,0)),"Paciente não cadastrado"))</f>
        <v>0</v>
      </c>
      <c r="K2743" s="26">
        <f>IF($D2743="","",IFERROR(INDEX(PacConv,MATCH($D2743,PacCod,0))&amp;"",""))</f>
        <v>0</v>
      </c>
      <c r="L2743" s="26">
        <f>IF($A2743="","",CHOOSE(WEEKDAY($A2743,2),"Seg","Ter","Qua","Qui","Sex","Sáb","Dom"))</f>
        <v>0</v>
      </c>
      <c r="M2743" s="27">
        <f>IF($E2743="","",IF($G2743&lt;&gt;"",$G2743,IFERROR(INDEX(ProcValor,MATCH($E2743,ProcNome,0)),0)))</f>
        <v>0</v>
      </c>
      <c r="N2743" s="27">
        <f>IF($M2743="","",IF($F2743="Compareceu",$M2743,0))</f>
        <v>0</v>
      </c>
      <c r="O2743" s="27">
        <f>IF($M2743="","",IF($F2743="Faltou",$M2743,0))</f>
        <v>0</v>
      </c>
      <c r="P2743" s="27">
        <f>IF($M2743="","",IF($F2743="Compareceu",MAX(0,$M2743-N($H2743)),0))</f>
        <v>0</v>
      </c>
      <c r="Q2743" s="19">
        <f>IF(AND($F2743="Compareceu",$E2743&lt;&gt;"",$A2743&lt;&gt;""),IF(IFERROR(INDEX(ProcRet,MATCH($E2743,ProcNome,0)),0)&gt;0,$A2743+INDEX(ProcRet,MATCH($E2743,ProcNome,0)),""),"")</f>
        <v>0</v>
      </c>
      <c r="R2743" s="26">
        <f>IF($Q2743="","",IF(COUNTIFS(AgPac,$D2743,AgData,"&gt;"&amp;$A2743,AgStatus,"&lt;&gt;Cancelado",AgStatus,"&lt;&gt;Remarcado")&gt;0,"Sim","Não"))</f>
        <v>0</v>
      </c>
      <c r="S2743" s="28">
        <f>IF($A2743="","",IF(AND($F2743="Agendado",$A2743-Hoje&gt;=0,$A2743-Hoje&lt;=DiasConf),"CONFIRMAR",IF(AND($A2743&lt;Hoje,OR($F2743="Agendado",$F2743="Confirmado")),"Atualizar status",IF(AND($F2743="Compareceu",$P2743&gt;0.005),"Cobrar",IF($F2743="Faltou","Falta: reagendar","")))))</f>
        <v>0</v>
      </c>
      <c r="T2743" s="29">
        <f>IF($A2743="","",DATE(YEAR($A2743),MONTH($A2743),1))</f>
        <v>0</v>
      </c>
      <c r="U2743" s="30">
        <f>IF($S2743="CONFIRMAR",MAX($U$4:$U2742)+1,"")</f>
        <v>0</v>
      </c>
      <c r="V2743" s="30">
        <f>IF(AND($R2743="Não",$Q2743&lt;&gt;"",$Q2743&lt;=Hoje+JanelaRet,$Q2743&gt;=Hoje-60),MAX($V$4:$V2742)+1,"")</f>
        <v>0</v>
      </c>
    </row>
    <row r="2744" spans="1:22">
      <c r="A2744" s="16"/>
      <c r="B2744" s="23"/>
      <c r="C2744" s="15"/>
      <c r="D2744" s="15"/>
      <c r="E2744" s="15"/>
      <c r="F2744" s="24"/>
      <c r="G2744" s="17"/>
      <c r="H2744" s="17"/>
      <c r="I2744" s="15"/>
      <c r="J2744" s="25">
        <f>IF($D2744="","",IFERROR(INDEX(PacNome,MATCH($D2744,PacCod,0)),"Paciente não cadastrado"))</f>
        <v>0</v>
      </c>
      <c r="K2744" s="26">
        <f>IF($D2744="","",IFERROR(INDEX(PacConv,MATCH($D2744,PacCod,0))&amp;"",""))</f>
        <v>0</v>
      </c>
      <c r="L2744" s="26">
        <f>IF($A2744="","",CHOOSE(WEEKDAY($A2744,2),"Seg","Ter","Qua","Qui","Sex","Sáb","Dom"))</f>
        <v>0</v>
      </c>
      <c r="M2744" s="27">
        <f>IF($E2744="","",IF($G2744&lt;&gt;"",$G2744,IFERROR(INDEX(ProcValor,MATCH($E2744,ProcNome,0)),0)))</f>
        <v>0</v>
      </c>
      <c r="N2744" s="27">
        <f>IF($M2744="","",IF($F2744="Compareceu",$M2744,0))</f>
        <v>0</v>
      </c>
      <c r="O2744" s="27">
        <f>IF($M2744="","",IF($F2744="Faltou",$M2744,0))</f>
        <v>0</v>
      </c>
      <c r="P2744" s="27">
        <f>IF($M2744="","",IF($F2744="Compareceu",MAX(0,$M2744-N($H2744)),0))</f>
        <v>0</v>
      </c>
      <c r="Q2744" s="19">
        <f>IF(AND($F2744="Compareceu",$E2744&lt;&gt;"",$A2744&lt;&gt;""),IF(IFERROR(INDEX(ProcRet,MATCH($E2744,ProcNome,0)),0)&gt;0,$A2744+INDEX(ProcRet,MATCH($E2744,ProcNome,0)),""),"")</f>
        <v>0</v>
      </c>
      <c r="R2744" s="26">
        <f>IF($Q2744="","",IF(COUNTIFS(AgPac,$D2744,AgData,"&gt;"&amp;$A2744,AgStatus,"&lt;&gt;Cancelado",AgStatus,"&lt;&gt;Remarcado")&gt;0,"Sim","Não"))</f>
        <v>0</v>
      </c>
      <c r="S2744" s="28">
        <f>IF($A2744="","",IF(AND($F2744="Agendado",$A2744-Hoje&gt;=0,$A2744-Hoje&lt;=DiasConf),"CONFIRMAR",IF(AND($A2744&lt;Hoje,OR($F2744="Agendado",$F2744="Confirmado")),"Atualizar status",IF(AND($F2744="Compareceu",$P2744&gt;0.005),"Cobrar",IF($F2744="Faltou","Falta: reagendar","")))))</f>
        <v>0</v>
      </c>
      <c r="T2744" s="29">
        <f>IF($A2744="","",DATE(YEAR($A2744),MONTH($A2744),1))</f>
        <v>0</v>
      </c>
      <c r="U2744" s="30">
        <f>IF($S2744="CONFIRMAR",MAX($U$4:$U2743)+1,"")</f>
        <v>0</v>
      </c>
      <c r="V2744" s="30">
        <f>IF(AND($R2744="Não",$Q2744&lt;&gt;"",$Q2744&lt;=Hoje+JanelaRet,$Q2744&gt;=Hoje-60),MAX($V$4:$V2743)+1,"")</f>
        <v>0</v>
      </c>
    </row>
    <row r="2745" spans="1:22">
      <c r="A2745" s="16"/>
      <c r="B2745" s="23"/>
      <c r="C2745" s="15"/>
      <c r="D2745" s="15"/>
      <c r="E2745" s="15"/>
      <c r="F2745" s="24"/>
      <c r="G2745" s="17"/>
      <c r="H2745" s="17"/>
      <c r="I2745" s="15"/>
      <c r="J2745" s="25">
        <f>IF($D2745="","",IFERROR(INDEX(PacNome,MATCH($D2745,PacCod,0)),"Paciente não cadastrado"))</f>
        <v>0</v>
      </c>
      <c r="K2745" s="26">
        <f>IF($D2745="","",IFERROR(INDEX(PacConv,MATCH($D2745,PacCod,0))&amp;"",""))</f>
        <v>0</v>
      </c>
      <c r="L2745" s="26">
        <f>IF($A2745="","",CHOOSE(WEEKDAY($A2745,2),"Seg","Ter","Qua","Qui","Sex","Sáb","Dom"))</f>
        <v>0</v>
      </c>
      <c r="M2745" s="27">
        <f>IF($E2745="","",IF($G2745&lt;&gt;"",$G2745,IFERROR(INDEX(ProcValor,MATCH($E2745,ProcNome,0)),0)))</f>
        <v>0</v>
      </c>
      <c r="N2745" s="27">
        <f>IF($M2745="","",IF($F2745="Compareceu",$M2745,0))</f>
        <v>0</v>
      </c>
      <c r="O2745" s="27">
        <f>IF($M2745="","",IF($F2745="Faltou",$M2745,0))</f>
        <v>0</v>
      </c>
      <c r="P2745" s="27">
        <f>IF($M2745="","",IF($F2745="Compareceu",MAX(0,$M2745-N($H2745)),0))</f>
        <v>0</v>
      </c>
      <c r="Q2745" s="19">
        <f>IF(AND($F2745="Compareceu",$E2745&lt;&gt;"",$A2745&lt;&gt;""),IF(IFERROR(INDEX(ProcRet,MATCH($E2745,ProcNome,0)),0)&gt;0,$A2745+INDEX(ProcRet,MATCH($E2745,ProcNome,0)),""),"")</f>
        <v>0</v>
      </c>
      <c r="R2745" s="26">
        <f>IF($Q2745="","",IF(COUNTIFS(AgPac,$D2745,AgData,"&gt;"&amp;$A2745,AgStatus,"&lt;&gt;Cancelado",AgStatus,"&lt;&gt;Remarcado")&gt;0,"Sim","Não"))</f>
        <v>0</v>
      </c>
      <c r="S2745" s="28">
        <f>IF($A2745="","",IF(AND($F2745="Agendado",$A2745-Hoje&gt;=0,$A2745-Hoje&lt;=DiasConf),"CONFIRMAR",IF(AND($A2745&lt;Hoje,OR($F2745="Agendado",$F2745="Confirmado")),"Atualizar status",IF(AND($F2745="Compareceu",$P2745&gt;0.005),"Cobrar",IF($F2745="Faltou","Falta: reagendar","")))))</f>
        <v>0</v>
      </c>
      <c r="T2745" s="29">
        <f>IF($A2745="","",DATE(YEAR($A2745),MONTH($A2745),1))</f>
        <v>0</v>
      </c>
      <c r="U2745" s="30">
        <f>IF($S2745="CONFIRMAR",MAX($U$4:$U2744)+1,"")</f>
        <v>0</v>
      </c>
      <c r="V2745" s="30">
        <f>IF(AND($R2745="Não",$Q2745&lt;&gt;"",$Q2745&lt;=Hoje+JanelaRet,$Q2745&gt;=Hoje-60),MAX($V$4:$V2744)+1,"")</f>
        <v>0</v>
      </c>
    </row>
    <row r="2746" spans="1:22">
      <c r="A2746" s="16"/>
      <c r="B2746" s="23"/>
      <c r="C2746" s="15"/>
      <c r="D2746" s="15"/>
      <c r="E2746" s="15"/>
      <c r="F2746" s="24"/>
      <c r="G2746" s="17"/>
      <c r="H2746" s="17"/>
      <c r="I2746" s="15"/>
      <c r="J2746" s="25">
        <f>IF($D2746="","",IFERROR(INDEX(PacNome,MATCH($D2746,PacCod,0)),"Paciente não cadastrado"))</f>
        <v>0</v>
      </c>
      <c r="K2746" s="26">
        <f>IF($D2746="","",IFERROR(INDEX(PacConv,MATCH($D2746,PacCod,0))&amp;"",""))</f>
        <v>0</v>
      </c>
      <c r="L2746" s="26">
        <f>IF($A2746="","",CHOOSE(WEEKDAY($A2746,2),"Seg","Ter","Qua","Qui","Sex","Sáb","Dom"))</f>
        <v>0</v>
      </c>
      <c r="M2746" s="27">
        <f>IF($E2746="","",IF($G2746&lt;&gt;"",$G2746,IFERROR(INDEX(ProcValor,MATCH($E2746,ProcNome,0)),0)))</f>
        <v>0</v>
      </c>
      <c r="N2746" s="27">
        <f>IF($M2746="","",IF($F2746="Compareceu",$M2746,0))</f>
        <v>0</v>
      </c>
      <c r="O2746" s="27">
        <f>IF($M2746="","",IF($F2746="Faltou",$M2746,0))</f>
        <v>0</v>
      </c>
      <c r="P2746" s="27">
        <f>IF($M2746="","",IF($F2746="Compareceu",MAX(0,$M2746-N($H2746)),0))</f>
        <v>0</v>
      </c>
      <c r="Q2746" s="19">
        <f>IF(AND($F2746="Compareceu",$E2746&lt;&gt;"",$A2746&lt;&gt;""),IF(IFERROR(INDEX(ProcRet,MATCH($E2746,ProcNome,0)),0)&gt;0,$A2746+INDEX(ProcRet,MATCH($E2746,ProcNome,0)),""),"")</f>
        <v>0</v>
      </c>
      <c r="R2746" s="26">
        <f>IF($Q2746="","",IF(COUNTIFS(AgPac,$D2746,AgData,"&gt;"&amp;$A2746,AgStatus,"&lt;&gt;Cancelado",AgStatus,"&lt;&gt;Remarcado")&gt;0,"Sim","Não"))</f>
        <v>0</v>
      </c>
      <c r="S2746" s="28">
        <f>IF($A2746="","",IF(AND($F2746="Agendado",$A2746-Hoje&gt;=0,$A2746-Hoje&lt;=DiasConf),"CONFIRMAR",IF(AND($A2746&lt;Hoje,OR($F2746="Agendado",$F2746="Confirmado")),"Atualizar status",IF(AND($F2746="Compareceu",$P2746&gt;0.005),"Cobrar",IF($F2746="Faltou","Falta: reagendar","")))))</f>
        <v>0</v>
      </c>
      <c r="T2746" s="29">
        <f>IF($A2746="","",DATE(YEAR($A2746),MONTH($A2746),1))</f>
        <v>0</v>
      </c>
      <c r="U2746" s="30">
        <f>IF($S2746="CONFIRMAR",MAX($U$4:$U2745)+1,"")</f>
        <v>0</v>
      </c>
      <c r="V2746" s="30">
        <f>IF(AND($R2746="Não",$Q2746&lt;&gt;"",$Q2746&lt;=Hoje+JanelaRet,$Q2746&gt;=Hoje-60),MAX($V$4:$V2745)+1,"")</f>
        <v>0</v>
      </c>
    </row>
    <row r="2747" spans="1:22">
      <c r="A2747" s="16"/>
      <c r="B2747" s="23"/>
      <c r="C2747" s="15"/>
      <c r="D2747" s="15"/>
      <c r="E2747" s="15"/>
      <c r="F2747" s="24"/>
      <c r="G2747" s="17"/>
      <c r="H2747" s="17"/>
      <c r="I2747" s="15"/>
      <c r="J2747" s="25">
        <f>IF($D2747="","",IFERROR(INDEX(PacNome,MATCH($D2747,PacCod,0)),"Paciente não cadastrado"))</f>
        <v>0</v>
      </c>
      <c r="K2747" s="26">
        <f>IF($D2747="","",IFERROR(INDEX(PacConv,MATCH($D2747,PacCod,0))&amp;"",""))</f>
        <v>0</v>
      </c>
      <c r="L2747" s="26">
        <f>IF($A2747="","",CHOOSE(WEEKDAY($A2747,2),"Seg","Ter","Qua","Qui","Sex","Sáb","Dom"))</f>
        <v>0</v>
      </c>
      <c r="M2747" s="27">
        <f>IF($E2747="","",IF($G2747&lt;&gt;"",$G2747,IFERROR(INDEX(ProcValor,MATCH($E2747,ProcNome,0)),0)))</f>
        <v>0</v>
      </c>
      <c r="N2747" s="27">
        <f>IF($M2747="","",IF($F2747="Compareceu",$M2747,0))</f>
        <v>0</v>
      </c>
      <c r="O2747" s="27">
        <f>IF($M2747="","",IF($F2747="Faltou",$M2747,0))</f>
        <v>0</v>
      </c>
      <c r="P2747" s="27">
        <f>IF($M2747="","",IF($F2747="Compareceu",MAX(0,$M2747-N($H2747)),0))</f>
        <v>0</v>
      </c>
      <c r="Q2747" s="19">
        <f>IF(AND($F2747="Compareceu",$E2747&lt;&gt;"",$A2747&lt;&gt;""),IF(IFERROR(INDEX(ProcRet,MATCH($E2747,ProcNome,0)),0)&gt;0,$A2747+INDEX(ProcRet,MATCH($E2747,ProcNome,0)),""),"")</f>
        <v>0</v>
      </c>
      <c r="R2747" s="26">
        <f>IF($Q2747="","",IF(COUNTIFS(AgPac,$D2747,AgData,"&gt;"&amp;$A2747,AgStatus,"&lt;&gt;Cancelado",AgStatus,"&lt;&gt;Remarcado")&gt;0,"Sim","Não"))</f>
        <v>0</v>
      </c>
      <c r="S2747" s="28">
        <f>IF($A2747="","",IF(AND($F2747="Agendado",$A2747-Hoje&gt;=0,$A2747-Hoje&lt;=DiasConf),"CONFIRMAR",IF(AND($A2747&lt;Hoje,OR($F2747="Agendado",$F2747="Confirmado")),"Atualizar status",IF(AND($F2747="Compareceu",$P2747&gt;0.005),"Cobrar",IF($F2747="Faltou","Falta: reagendar","")))))</f>
        <v>0</v>
      </c>
      <c r="T2747" s="29">
        <f>IF($A2747="","",DATE(YEAR($A2747),MONTH($A2747),1))</f>
        <v>0</v>
      </c>
      <c r="U2747" s="30">
        <f>IF($S2747="CONFIRMAR",MAX($U$4:$U2746)+1,"")</f>
        <v>0</v>
      </c>
      <c r="V2747" s="30">
        <f>IF(AND($R2747="Não",$Q2747&lt;&gt;"",$Q2747&lt;=Hoje+JanelaRet,$Q2747&gt;=Hoje-60),MAX($V$4:$V2746)+1,"")</f>
        <v>0</v>
      </c>
    </row>
    <row r="2748" spans="1:22">
      <c r="A2748" s="16"/>
      <c r="B2748" s="23"/>
      <c r="C2748" s="15"/>
      <c r="D2748" s="15"/>
      <c r="E2748" s="15"/>
      <c r="F2748" s="24"/>
      <c r="G2748" s="17"/>
      <c r="H2748" s="17"/>
      <c r="I2748" s="15"/>
      <c r="J2748" s="25">
        <f>IF($D2748="","",IFERROR(INDEX(PacNome,MATCH($D2748,PacCod,0)),"Paciente não cadastrado"))</f>
        <v>0</v>
      </c>
      <c r="K2748" s="26">
        <f>IF($D2748="","",IFERROR(INDEX(PacConv,MATCH($D2748,PacCod,0))&amp;"",""))</f>
        <v>0</v>
      </c>
      <c r="L2748" s="26">
        <f>IF($A2748="","",CHOOSE(WEEKDAY($A2748,2),"Seg","Ter","Qua","Qui","Sex","Sáb","Dom"))</f>
        <v>0</v>
      </c>
      <c r="M2748" s="27">
        <f>IF($E2748="","",IF($G2748&lt;&gt;"",$G2748,IFERROR(INDEX(ProcValor,MATCH($E2748,ProcNome,0)),0)))</f>
        <v>0</v>
      </c>
      <c r="N2748" s="27">
        <f>IF($M2748="","",IF($F2748="Compareceu",$M2748,0))</f>
        <v>0</v>
      </c>
      <c r="O2748" s="27">
        <f>IF($M2748="","",IF($F2748="Faltou",$M2748,0))</f>
        <v>0</v>
      </c>
      <c r="P2748" s="27">
        <f>IF($M2748="","",IF($F2748="Compareceu",MAX(0,$M2748-N($H2748)),0))</f>
        <v>0</v>
      </c>
      <c r="Q2748" s="19">
        <f>IF(AND($F2748="Compareceu",$E2748&lt;&gt;"",$A2748&lt;&gt;""),IF(IFERROR(INDEX(ProcRet,MATCH($E2748,ProcNome,0)),0)&gt;0,$A2748+INDEX(ProcRet,MATCH($E2748,ProcNome,0)),""),"")</f>
        <v>0</v>
      </c>
      <c r="R2748" s="26">
        <f>IF($Q2748="","",IF(COUNTIFS(AgPac,$D2748,AgData,"&gt;"&amp;$A2748,AgStatus,"&lt;&gt;Cancelado",AgStatus,"&lt;&gt;Remarcado")&gt;0,"Sim","Não"))</f>
        <v>0</v>
      </c>
      <c r="S2748" s="28">
        <f>IF($A2748="","",IF(AND($F2748="Agendado",$A2748-Hoje&gt;=0,$A2748-Hoje&lt;=DiasConf),"CONFIRMAR",IF(AND($A2748&lt;Hoje,OR($F2748="Agendado",$F2748="Confirmado")),"Atualizar status",IF(AND($F2748="Compareceu",$P2748&gt;0.005),"Cobrar",IF($F2748="Faltou","Falta: reagendar","")))))</f>
        <v>0</v>
      </c>
      <c r="T2748" s="29">
        <f>IF($A2748="","",DATE(YEAR($A2748),MONTH($A2748),1))</f>
        <v>0</v>
      </c>
      <c r="U2748" s="30">
        <f>IF($S2748="CONFIRMAR",MAX($U$4:$U2747)+1,"")</f>
        <v>0</v>
      </c>
      <c r="V2748" s="30">
        <f>IF(AND($R2748="Não",$Q2748&lt;&gt;"",$Q2748&lt;=Hoje+JanelaRet,$Q2748&gt;=Hoje-60),MAX($V$4:$V2747)+1,"")</f>
        <v>0</v>
      </c>
    </row>
    <row r="2749" spans="1:22">
      <c r="A2749" s="16"/>
      <c r="B2749" s="23"/>
      <c r="C2749" s="15"/>
      <c r="D2749" s="15"/>
      <c r="E2749" s="15"/>
      <c r="F2749" s="24"/>
      <c r="G2749" s="17"/>
      <c r="H2749" s="17"/>
      <c r="I2749" s="15"/>
      <c r="J2749" s="25">
        <f>IF($D2749="","",IFERROR(INDEX(PacNome,MATCH($D2749,PacCod,0)),"Paciente não cadastrado"))</f>
        <v>0</v>
      </c>
      <c r="K2749" s="26">
        <f>IF($D2749="","",IFERROR(INDEX(PacConv,MATCH($D2749,PacCod,0))&amp;"",""))</f>
        <v>0</v>
      </c>
      <c r="L2749" s="26">
        <f>IF($A2749="","",CHOOSE(WEEKDAY($A2749,2),"Seg","Ter","Qua","Qui","Sex","Sáb","Dom"))</f>
        <v>0</v>
      </c>
      <c r="M2749" s="27">
        <f>IF($E2749="","",IF($G2749&lt;&gt;"",$G2749,IFERROR(INDEX(ProcValor,MATCH($E2749,ProcNome,0)),0)))</f>
        <v>0</v>
      </c>
      <c r="N2749" s="27">
        <f>IF($M2749="","",IF($F2749="Compareceu",$M2749,0))</f>
        <v>0</v>
      </c>
      <c r="O2749" s="27">
        <f>IF($M2749="","",IF($F2749="Faltou",$M2749,0))</f>
        <v>0</v>
      </c>
      <c r="P2749" s="27">
        <f>IF($M2749="","",IF($F2749="Compareceu",MAX(0,$M2749-N($H2749)),0))</f>
        <v>0</v>
      </c>
      <c r="Q2749" s="19">
        <f>IF(AND($F2749="Compareceu",$E2749&lt;&gt;"",$A2749&lt;&gt;""),IF(IFERROR(INDEX(ProcRet,MATCH($E2749,ProcNome,0)),0)&gt;0,$A2749+INDEX(ProcRet,MATCH($E2749,ProcNome,0)),""),"")</f>
        <v>0</v>
      </c>
      <c r="R2749" s="26">
        <f>IF($Q2749="","",IF(COUNTIFS(AgPac,$D2749,AgData,"&gt;"&amp;$A2749,AgStatus,"&lt;&gt;Cancelado",AgStatus,"&lt;&gt;Remarcado")&gt;0,"Sim","Não"))</f>
        <v>0</v>
      </c>
      <c r="S2749" s="28">
        <f>IF($A2749="","",IF(AND($F2749="Agendado",$A2749-Hoje&gt;=0,$A2749-Hoje&lt;=DiasConf),"CONFIRMAR",IF(AND($A2749&lt;Hoje,OR($F2749="Agendado",$F2749="Confirmado")),"Atualizar status",IF(AND($F2749="Compareceu",$P2749&gt;0.005),"Cobrar",IF($F2749="Faltou","Falta: reagendar","")))))</f>
        <v>0</v>
      </c>
      <c r="T2749" s="29">
        <f>IF($A2749="","",DATE(YEAR($A2749),MONTH($A2749),1))</f>
        <v>0</v>
      </c>
      <c r="U2749" s="30">
        <f>IF($S2749="CONFIRMAR",MAX($U$4:$U2748)+1,"")</f>
        <v>0</v>
      </c>
      <c r="V2749" s="30">
        <f>IF(AND($R2749="Não",$Q2749&lt;&gt;"",$Q2749&lt;=Hoje+JanelaRet,$Q2749&gt;=Hoje-60),MAX($V$4:$V2748)+1,"")</f>
        <v>0</v>
      </c>
    </row>
    <row r="2750" spans="1:22">
      <c r="A2750" s="16"/>
      <c r="B2750" s="23"/>
      <c r="C2750" s="15"/>
      <c r="D2750" s="15"/>
      <c r="E2750" s="15"/>
      <c r="F2750" s="24"/>
      <c r="G2750" s="17"/>
      <c r="H2750" s="17"/>
      <c r="I2750" s="15"/>
      <c r="J2750" s="25">
        <f>IF($D2750="","",IFERROR(INDEX(PacNome,MATCH($D2750,PacCod,0)),"Paciente não cadastrado"))</f>
        <v>0</v>
      </c>
      <c r="K2750" s="26">
        <f>IF($D2750="","",IFERROR(INDEX(PacConv,MATCH($D2750,PacCod,0))&amp;"",""))</f>
        <v>0</v>
      </c>
      <c r="L2750" s="26">
        <f>IF($A2750="","",CHOOSE(WEEKDAY($A2750,2),"Seg","Ter","Qua","Qui","Sex","Sáb","Dom"))</f>
        <v>0</v>
      </c>
      <c r="M2750" s="27">
        <f>IF($E2750="","",IF($G2750&lt;&gt;"",$G2750,IFERROR(INDEX(ProcValor,MATCH($E2750,ProcNome,0)),0)))</f>
        <v>0</v>
      </c>
      <c r="N2750" s="27">
        <f>IF($M2750="","",IF($F2750="Compareceu",$M2750,0))</f>
        <v>0</v>
      </c>
      <c r="O2750" s="27">
        <f>IF($M2750="","",IF($F2750="Faltou",$M2750,0))</f>
        <v>0</v>
      </c>
      <c r="P2750" s="27">
        <f>IF($M2750="","",IF($F2750="Compareceu",MAX(0,$M2750-N($H2750)),0))</f>
        <v>0</v>
      </c>
      <c r="Q2750" s="19">
        <f>IF(AND($F2750="Compareceu",$E2750&lt;&gt;"",$A2750&lt;&gt;""),IF(IFERROR(INDEX(ProcRet,MATCH($E2750,ProcNome,0)),0)&gt;0,$A2750+INDEX(ProcRet,MATCH($E2750,ProcNome,0)),""),"")</f>
        <v>0</v>
      </c>
      <c r="R2750" s="26">
        <f>IF($Q2750="","",IF(COUNTIFS(AgPac,$D2750,AgData,"&gt;"&amp;$A2750,AgStatus,"&lt;&gt;Cancelado",AgStatus,"&lt;&gt;Remarcado")&gt;0,"Sim","Não"))</f>
        <v>0</v>
      </c>
      <c r="S2750" s="28">
        <f>IF($A2750="","",IF(AND($F2750="Agendado",$A2750-Hoje&gt;=0,$A2750-Hoje&lt;=DiasConf),"CONFIRMAR",IF(AND($A2750&lt;Hoje,OR($F2750="Agendado",$F2750="Confirmado")),"Atualizar status",IF(AND($F2750="Compareceu",$P2750&gt;0.005),"Cobrar",IF($F2750="Faltou","Falta: reagendar","")))))</f>
        <v>0</v>
      </c>
      <c r="T2750" s="29">
        <f>IF($A2750="","",DATE(YEAR($A2750),MONTH($A2750),1))</f>
        <v>0</v>
      </c>
      <c r="U2750" s="30">
        <f>IF($S2750="CONFIRMAR",MAX($U$4:$U2749)+1,"")</f>
        <v>0</v>
      </c>
      <c r="V2750" s="30">
        <f>IF(AND($R2750="Não",$Q2750&lt;&gt;"",$Q2750&lt;=Hoje+JanelaRet,$Q2750&gt;=Hoje-60),MAX($V$4:$V2749)+1,"")</f>
        <v>0</v>
      </c>
    </row>
    <row r="2751" spans="1:22">
      <c r="A2751" s="16"/>
      <c r="B2751" s="23"/>
      <c r="C2751" s="15"/>
      <c r="D2751" s="15"/>
      <c r="E2751" s="15"/>
      <c r="F2751" s="24"/>
      <c r="G2751" s="17"/>
      <c r="H2751" s="17"/>
      <c r="I2751" s="15"/>
      <c r="J2751" s="25">
        <f>IF($D2751="","",IFERROR(INDEX(PacNome,MATCH($D2751,PacCod,0)),"Paciente não cadastrado"))</f>
        <v>0</v>
      </c>
      <c r="K2751" s="26">
        <f>IF($D2751="","",IFERROR(INDEX(PacConv,MATCH($D2751,PacCod,0))&amp;"",""))</f>
        <v>0</v>
      </c>
      <c r="L2751" s="26">
        <f>IF($A2751="","",CHOOSE(WEEKDAY($A2751,2),"Seg","Ter","Qua","Qui","Sex","Sáb","Dom"))</f>
        <v>0</v>
      </c>
      <c r="M2751" s="27">
        <f>IF($E2751="","",IF($G2751&lt;&gt;"",$G2751,IFERROR(INDEX(ProcValor,MATCH($E2751,ProcNome,0)),0)))</f>
        <v>0</v>
      </c>
      <c r="N2751" s="27">
        <f>IF($M2751="","",IF($F2751="Compareceu",$M2751,0))</f>
        <v>0</v>
      </c>
      <c r="O2751" s="27">
        <f>IF($M2751="","",IF($F2751="Faltou",$M2751,0))</f>
        <v>0</v>
      </c>
      <c r="P2751" s="27">
        <f>IF($M2751="","",IF($F2751="Compareceu",MAX(0,$M2751-N($H2751)),0))</f>
        <v>0</v>
      </c>
      <c r="Q2751" s="19">
        <f>IF(AND($F2751="Compareceu",$E2751&lt;&gt;"",$A2751&lt;&gt;""),IF(IFERROR(INDEX(ProcRet,MATCH($E2751,ProcNome,0)),0)&gt;0,$A2751+INDEX(ProcRet,MATCH($E2751,ProcNome,0)),""),"")</f>
        <v>0</v>
      </c>
      <c r="R2751" s="26">
        <f>IF($Q2751="","",IF(COUNTIFS(AgPac,$D2751,AgData,"&gt;"&amp;$A2751,AgStatus,"&lt;&gt;Cancelado",AgStatus,"&lt;&gt;Remarcado")&gt;0,"Sim","Não"))</f>
        <v>0</v>
      </c>
      <c r="S2751" s="28">
        <f>IF($A2751="","",IF(AND($F2751="Agendado",$A2751-Hoje&gt;=0,$A2751-Hoje&lt;=DiasConf),"CONFIRMAR",IF(AND($A2751&lt;Hoje,OR($F2751="Agendado",$F2751="Confirmado")),"Atualizar status",IF(AND($F2751="Compareceu",$P2751&gt;0.005),"Cobrar",IF($F2751="Faltou","Falta: reagendar","")))))</f>
        <v>0</v>
      </c>
      <c r="T2751" s="29">
        <f>IF($A2751="","",DATE(YEAR($A2751),MONTH($A2751),1))</f>
        <v>0</v>
      </c>
      <c r="U2751" s="30">
        <f>IF($S2751="CONFIRMAR",MAX($U$4:$U2750)+1,"")</f>
        <v>0</v>
      </c>
      <c r="V2751" s="30">
        <f>IF(AND($R2751="Não",$Q2751&lt;&gt;"",$Q2751&lt;=Hoje+JanelaRet,$Q2751&gt;=Hoje-60),MAX($V$4:$V2750)+1,"")</f>
        <v>0</v>
      </c>
    </row>
    <row r="2752" spans="1:22">
      <c r="A2752" s="16"/>
      <c r="B2752" s="23"/>
      <c r="C2752" s="15"/>
      <c r="D2752" s="15"/>
      <c r="E2752" s="15"/>
      <c r="F2752" s="24"/>
      <c r="G2752" s="17"/>
      <c r="H2752" s="17"/>
      <c r="I2752" s="15"/>
      <c r="J2752" s="25">
        <f>IF($D2752="","",IFERROR(INDEX(PacNome,MATCH($D2752,PacCod,0)),"Paciente não cadastrado"))</f>
        <v>0</v>
      </c>
      <c r="K2752" s="26">
        <f>IF($D2752="","",IFERROR(INDEX(PacConv,MATCH($D2752,PacCod,0))&amp;"",""))</f>
        <v>0</v>
      </c>
      <c r="L2752" s="26">
        <f>IF($A2752="","",CHOOSE(WEEKDAY($A2752,2),"Seg","Ter","Qua","Qui","Sex","Sáb","Dom"))</f>
        <v>0</v>
      </c>
      <c r="M2752" s="27">
        <f>IF($E2752="","",IF($G2752&lt;&gt;"",$G2752,IFERROR(INDEX(ProcValor,MATCH($E2752,ProcNome,0)),0)))</f>
        <v>0</v>
      </c>
      <c r="N2752" s="27">
        <f>IF($M2752="","",IF($F2752="Compareceu",$M2752,0))</f>
        <v>0</v>
      </c>
      <c r="O2752" s="27">
        <f>IF($M2752="","",IF($F2752="Faltou",$M2752,0))</f>
        <v>0</v>
      </c>
      <c r="P2752" s="27">
        <f>IF($M2752="","",IF($F2752="Compareceu",MAX(0,$M2752-N($H2752)),0))</f>
        <v>0</v>
      </c>
      <c r="Q2752" s="19">
        <f>IF(AND($F2752="Compareceu",$E2752&lt;&gt;"",$A2752&lt;&gt;""),IF(IFERROR(INDEX(ProcRet,MATCH($E2752,ProcNome,0)),0)&gt;0,$A2752+INDEX(ProcRet,MATCH($E2752,ProcNome,0)),""),"")</f>
        <v>0</v>
      </c>
      <c r="R2752" s="26">
        <f>IF($Q2752="","",IF(COUNTIFS(AgPac,$D2752,AgData,"&gt;"&amp;$A2752,AgStatus,"&lt;&gt;Cancelado",AgStatus,"&lt;&gt;Remarcado")&gt;0,"Sim","Não"))</f>
        <v>0</v>
      </c>
      <c r="S2752" s="28">
        <f>IF($A2752="","",IF(AND($F2752="Agendado",$A2752-Hoje&gt;=0,$A2752-Hoje&lt;=DiasConf),"CONFIRMAR",IF(AND($A2752&lt;Hoje,OR($F2752="Agendado",$F2752="Confirmado")),"Atualizar status",IF(AND($F2752="Compareceu",$P2752&gt;0.005),"Cobrar",IF($F2752="Faltou","Falta: reagendar","")))))</f>
        <v>0</v>
      </c>
      <c r="T2752" s="29">
        <f>IF($A2752="","",DATE(YEAR($A2752),MONTH($A2752),1))</f>
        <v>0</v>
      </c>
      <c r="U2752" s="30">
        <f>IF($S2752="CONFIRMAR",MAX($U$4:$U2751)+1,"")</f>
        <v>0</v>
      </c>
      <c r="V2752" s="30">
        <f>IF(AND($R2752="Não",$Q2752&lt;&gt;"",$Q2752&lt;=Hoje+JanelaRet,$Q2752&gt;=Hoje-60),MAX($V$4:$V2751)+1,"")</f>
        <v>0</v>
      </c>
    </row>
    <row r="2753" spans="1:22">
      <c r="A2753" s="16"/>
      <c r="B2753" s="23"/>
      <c r="C2753" s="15"/>
      <c r="D2753" s="15"/>
      <c r="E2753" s="15"/>
      <c r="F2753" s="24"/>
      <c r="G2753" s="17"/>
      <c r="H2753" s="17"/>
      <c r="I2753" s="15"/>
      <c r="J2753" s="25">
        <f>IF($D2753="","",IFERROR(INDEX(PacNome,MATCH($D2753,PacCod,0)),"Paciente não cadastrado"))</f>
        <v>0</v>
      </c>
      <c r="K2753" s="26">
        <f>IF($D2753="","",IFERROR(INDEX(PacConv,MATCH($D2753,PacCod,0))&amp;"",""))</f>
        <v>0</v>
      </c>
      <c r="L2753" s="26">
        <f>IF($A2753="","",CHOOSE(WEEKDAY($A2753,2),"Seg","Ter","Qua","Qui","Sex","Sáb","Dom"))</f>
        <v>0</v>
      </c>
      <c r="M2753" s="27">
        <f>IF($E2753="","",IF($G2753&lt;&gt;"",$G2753,IFERROR(INDEX(ProcValor,MATCH($E2753,ProcNome,0)),0)))</f>
        <v>0</v>
      </c>
      <c r="N2753" s="27">
        <f>IF($M2753="","",IF($F2753="Compareceu",$M2753,0))</f>
        <v>0</v>
      </c>
      <c r="O2753" s="27">
        <f>IF($M2753="","",IF($F2753="Faltou",$M2753,0))</f>
        <v>0</v>
      </c>
      <c r="P2753" s="27">
        <f>IF($M2753="","",IF($F2753="Compareceu",MAX(0,$M2753-N($H2753)),0))</f>
        <v>0</v>
      </c>
      <c r="Q2753" s="19">
        <f>IF(AND($F2753="Compareceu",$E2753&lt;&gt;"",$A2753&lt;&gt;""),IF(IFERROR(INDEX(ProcRet,MATCH($E2753,ProcNome,0)),0)&gt;0,$A2753+INDEX(ProcRet,MATCH($E2753,ProcNome,0)),""),"")</f>
        <v>0</v>
      </c>
      <c r="R2753" s="26">
        <f>IF($Q2753="","",IF(COUNTIFS(AgPac,$D2753,AgData,"&gt;"&amp;$A2753,AgStatus,"&lt;&gt;Cancelado",AgStatus,"&lt;&gt;Remarcado")&gt;0,"Sim","Não"))</f>
        <v>0</v>
      </c>
      <c r="S2753" s="28">
        <f>IF($A2753="","",IF(AND($F2753="Agendado",$A2753-Hoje&gt;=0,$A2753-Hoje&lt;=DiasConf),"CONFIRMAR",IF(AND($A2753&lt;Hoje,OR($F2753="Agendado",$F2753="Confirmado")),"Atualizar status",IF(AND($F2753="Compareceu",$P2753&gt;0.005),"Cobrar",IF($F2753="Faltou","Falta: reagendar","")))))</f>
        <v>0</v>
      </c>
      <c r="T2753" s="29">
        <f>IF($A2753="","",DATE(YEAR($A2753),MONTH($A2753),1))</f>
        <v>0</v>
      </c>
      <c r="U2753" s="30">
        <f>IF($S2753="CONFIRMAR",MAX($U$4:$U2752)+1,"")</f>
        <v>0</v>
      </c>
      <c r="V2753" s="30">
        <f>IF(AND($R2753="Não",$Q2753&lt;&gt;"",$Q2753&lt;=Hoje+JanelaRet,$Q2753&gt;=Hoje-60),MAX($V$4:$V2752)+1,"")</f>
        <v>0</v>
      </c>
    </row>
    <row r="2754" spans="1:22">
      <c r="A2754" s="16"/>
      <c r="B2754" s="23"/>
      <c r="C2754" s="15"/>
      <c r="D2754" s="15"/>
      <c r="E2754" s="15"/>
      <c r="F2754" s="24"/>
      <c r="G2754" s="17"/>
      <c r="H2754" s="17"/>
      <c r="I2754" s="15"/>
      <c r="J2754" s="25">
        <f>IF($D2754="","",IFERROR(INDEX(PacNome,MATCH($D2754,PacCod,0)),"Paciente não cadastrado"))</f>
        <v>0</v>
      </c>
      <c r="K2754" s="26">
        <f>IF($D2754="","",IFERROR(INDEX(PacConv,MATCH($D2754,PacCod,0))&amp;"",""))</f>
        <v>0</v>
      </c>
      <c r="L2754" s="26">
        <f>IF($A2754="","",CHOOSE(WEEKDAY($A2754,2),"Seg","Ter","Qua","Qui","Sex","Sáb","Dom"))</f>
        <v>0</v>
      </c>
      <c r="M2754" s="27">
        <f>IF($E2754="","",IF($G2754&lt;&gt;"",$G2754,IFERROR(INDEX(ProcValor,MATCH($E2754,ProcNome,0)),0)))</f>
        <v>0</v>
      </c>
      <c r="N2754" s="27">
        <f>IF($M2754="","",IF($F2754="Compareceu",$M2754,0))</f>
        <v>0</v>
      </c>
      <c r="O2754" s="27">
        <f>IF($M2754="","",IF($F2754="Faltou",$M2754,0))</f>
        <v>0</v>
      </c>
      <c r="P2754" s="27">
        <f>IF($M2754="","",IF($F2754="Compareceu",MAX(0,$M2754-N($H2754)),0))</f>
        <v>0</v>
      </c>
      <c r="Q2754" s="19">
        <f>IF(AND($F2754="Compareceu",$E2754&lt;&gt;"",$A2754&lt;&gt;""),IF(IFERROR(INDEX(ProcRet,MATCH($E2754,ProcNome,0)),0)&gt;0,$A2754+INDEX(ProcRet,MATCH($E2754,ProcNome,0)),""),"")</f>
        <v>0</v>
      </c>
      <c r="R2754" s="26">
        <f>IF($Q2754="","",IF(COUNTIFS(AgPac,$D2754,AgData,"&gt;"&amp;$A2754,AgStatus,"&lt;&gt;Cancelado",AgStatus,"&lt;&gt;Remarcado")&gt;0,"Sim","Não"))</f>
        <v>0</v>
      </c>
      <c r="S2754" s="28">
        <f>IF($A2754="","",IF(AND($F2754="Agendado",$A2754-Hoje&gt;=0,$A2754-Hoje&lt;=DiasConf),"CONFIRMAR",IF(AND($A2754&lt;Hoje,OR($F2754="Agendado",$F2754="Confirmado")),"Atualizar status",IF(AND($F2754="Compareceu",$P2754&gt;0.005),"Cobrar",IF($F2754="Faltou","Falta: reagendar","")))))</f>
        <v>0</v>
      </c>
      <c r="T2754" s="29">
        <f>IF($A2754="","",DATE(YEAR($A2754),MONTH($A2754),1))</f>
        <v>0</v>
      </c>
      <c r="U2754" s="30">
        <f>IF($S2754="CONFIRMAR",MAX($U$4:$U2753)+1,"")</f>
        <v>0</v>
      </c>
      <c r="V2754" s="30">
        <f>IF(AND($R2754="Não",$Q2754&lt;&gt;"",$Q2754&lt;=Hoje+JanelaRet,$Q2754&gt;=Hoje-60),MAX($V$4:$V2753)+1,"")</f>
        <v>0</v>
      </c>
    </row>
    <row r="2755" spans="1:22">
      <c r="A2755" s="16"/>
      <c r="B2755" s="23"/>
      <c r="C2755" s="15"/>
      <c r="D2755" s="15"/>
      <c r="E2755" s="15"/>
      <c r="F2755" s="24"/>
      <c r="G2755" s="17"/>
      <c r="H2755" s="17"/>
      <c r="I2755" s="15"/>
      <c r="J2755" s="25">
        <f>IF($D2755="","",IFERROR(INDEX(PacNome,MATCH($D2755,PacCod,0)),"Paciente não cadastrado"))</f>
        <v>0</v>
      </c>
      <c r="K2755" s="26">
        <f>IF($D2755="","",IFERROR(INDEX(PacConv,MATCH($D2755,PacCod,0))&amp;"",""))</f>
        <v>0</v>
      </c>
      <c r="L2755" s="26">
        <f>IF($A2755="","",CHOOSE(WEEKDAY($A2755,2),"Seg","Ter","Qua","Qui","Sex","Sáb","Dom"))</f>
        <v>0</v>
      </c>
      <c r="M2755" s="27">
        <f>IF($E2755="","",IF($G2755&lt;&gt;"",$G2755,IFERROR(INDEX(ProcValor,MATCH($E2755,ProcNome,0)),0)))</f>
        <v>0</v>
      </c>
      <c r="N2755" s="27">
        <f>IF($M2755="","",IF($F2755="Compareceu",$M2755,0))</f>
        <v>0</v>
      </c>
      <c r="O2755" s="27">
        <f>IF($M2755="","",IF($F2755="Faltou",$M2755,0))</f>
        <v>0</v>
      </c>
      <c r="P2755" s="27">
        <f>IF($M2755="","",IF($F2755="Compareceu",MAX(0,$M2755-N($H2755)),0))</f>
        <v>0</v>
      </c>
      <c r="Q2755" s="19">
        <f>IF(AND($F2755="Compareceu",$E2755&lt;&gt;"",$A2755&lt;&gt;""),IF(IFERROR(INDEX(ProcRet,MATCH($E2755,ProcNome,0)),0)&gt;0,$A2755+INDEX(ProcRet,MATCH($E2755,ProcNome,0)),""),"")</f>
        <v>0</v>
      </c>
      <c r="R2755" s="26">
        <f>IF($Q2755="","",IF(COUNTIFS(AgPac,$D2755,AgData,"&gt;"&amp;$A2755,AgStatus,"&lt;&gt;Cancelado",AgStatus,"&lt;&gt;Remarcado")&gt;0,"Sim","Não"))</f>
        <v>0</v>
      </c>
      <c r="S2755" s="28">
        <f>IF($A2755="","",IF(AND($F2755="Agendado",$A2755-Hoje&gt;=0,$A2755-Hoje&lt;=DiasConf),"CONFIRMAR",IF(AND($A2755&lt;Hoje,OR($F2755="Agendado",$F2755="Confirmado")),"Atualizar status",IF(AND($F2755="Compareceu",$P2755&gt;0.005),"Cobrar",IF($F2755="Faltou","Falta: reagendar","")))))</f>
        <v>0</v>
      </c>
      <c r="T2755" s="29">
        <f>IF($A2755="","",DATE(YEAR($A2755),MONTH($A2755),1))</f>
        <v>0</v>
      </c>
      <c r="U2755" s="30">
        <f>IF($S2755="CONFIRMAR",MAX($U$4:$U2754)+1,"")</f>
        <v>0</v>
      </c>
      <c r="V2755" s="30">
        <f>IF(AND($R2755="Não",$Q2755&lt;&gt;"",$Q2755&lt;=Hoje+JanelaRet,$Q2755&gt;=Hoje-60),MAX($V$4:$V2754)+1,"")</f>
        <v>0</v>
      </c>
    </row>
    <row r="2756" spans="1:22">
      <c r="A2756" s="16"/>
      <c r="B2756" s="23"/>
      <c r="C2756" s="15"/>
      <c r="D2756" s="15"/>
      <c r="E2756" s="15"/>
      <c r="F2756" s="24"/>
      <c r="G2756" s="17"/>
      <c r="H2756" s="17"/>
      <c r="I2756" s="15"/>
      <c r="J2756" s="25">
        <f>IF($D2756="","",IFERROR(INDEX(PacNome,MATCH($D2756,PacCod,0)),"Paciente não cadastrado"))</f>
        <v>0</v>
      </c>
      <c r="K2756" s="26">
        <f>IF($D2756="","",IFERROR(INDEX(PacConv,MATCH($D2756,PacCod,0))&amp;"",""))</f>
        <v>0</v>
      </c>
      <c r="L2756" s="26">
        <f>IF($A2756="","",CHOOSE(WEEKDAY($A2756,2),"Seg","Ter","Qua","Qui","Sex","Sáb","Dom"))</f>
        <v>0</v>
      </c>
      <c r="M2756" s="27">
        <f>IF($E2756="","",IF($G2756&lt;&gt;"",$G2756,IFERROR(INDEX(ProcValor,MATCH($E2756,ProcNome,0)),0)))</f>
        <v>0</v>
      </c>
      <c r="N2756" s="27">
        <f>IF($M2756="","",IF($F2756="Compareceu",$M2756,0))</f>
        <v>0</v>
      </c>
      <c r="O2756" s="27">
        <f>IF($M2756="","",IF($F2756="Faltou",$M2756,0))</f>
        <v>0</v>
      </c>
      <c r="P2756" s="27">
        <f>IF($M2756="","",IF($F2756="Compareceu",MAX(0,$M2756-N($H2756)),0))</f>
        <v>0</v>
      </c>
      <c r="Q2756" s="19">
        <f>IF(AND($F2756="Compareceu",$E2756&lt;&gt;"",$A2756&lt;&gt;""),IF(IFERROR(INDEX(ProcRet,MATCH($E2756,ProcNome,0)),0)&gt;0,$A2756+INDEX(ProcRet,MATCH($E2756,ProcNome,0)),""),"")</f>
        <v>0</v>
      </c>
      <c r="R2756" s="26">
        <f>IF($Q2756="","",IF(COUNTIFS(AgPac,$D2756,AgData,"&gt;"&amp;$A2756,AgStatus,"&lt;&gt;Cancelado",AgStatus,"&lt;&gt;Remarcado")&gt;0,"Sim","Não"))</f>
        <v>0</v>
      </c>
      <c r="S2756" s="28">
        <f>IF($A2756="","",IF(AND($F2756="Agendado",$A2756-Hoje&gt;=0,$A2756-Hoje&lt;=DiasConf),"CONFIRMAR",IF(AND($A2756&lt;Hoje,OR($F2756="Agendado",$F2756="Confirmado")),"Atualizar status",IF(AND($F2756="Compareceu",$P2756&gt;0.005),"Cobrar",IF($F2756="Faltou","Falta: reagendar","")))))</f>
        <v>0</v>
      </c>
      <c r="T2756" s="29">
        <f>IF($A2756="","",DATE(YEAR($A2756),MONTH($A2756),1))</f>
        <v>0</v>
      </c>
      <c r="U2756" s="30">
        <f>IF($S2756="CONFIRMAR",MAX($U$4:$U2755)+1,"")</f>
        <v>0</v>
      </c>
      <c r="V2756" s="30">
        <f>IF(AND($R2756="Não",$Q2756&lt;&gt;"",$Q2756&lt;=Hoje+JanelaRet,$Q2756&gt;=Hoje-60),MAX($V$4:$V2755)+1,"")</f>
        <v>0</v>
      </c>
    </row>
    <row r="2757" spans="1:22">
      <c r="A2757" s="16"/>
      <c r="B2757" s="23"/>
      <c r="C2757" s="15"/>
      <c r="D2757" s="15"/>
      <c r="E2757" s="15"/>
      <c r="F2757" s="24"/>
      <c r="G2757" s="17"/>
      <c r="H2757" s="17"/>
      <c r="I2757" s="15"/>
      <c r="J2757" s="25">
        <f>IF($D2757="","",IFERROR(INDEX(PacNome,MATCH($D2757,PacCod,0)),"Paciente não cadastrado"))</f>
        <v>0</v>
      </c>
      <c r="K2757" s="26">
        <f>IF($D2757="","",IFERROR(INDEX(PacConv,MATCH($D2757,PacCod,0))&amp;"",""))</f>
        <v>0</v>
      </c>
      <c r="L2757" s="26">
        <f>IF($A2757="","",CHOOSE(WEEKDAY($A2757,2),"Seg","Ter","Qua","Qui","Sex","Sáb","Dom"))</f>
        <v>0</v>
      </c>
      <c r="M2757" s="27">
        <f>IF($E2757="","",IF($G2757&lt;&gt;"",$G2757,IFERROR(INDEX(ProcValor,MATCH($E2757,ProcNome,0)),0)))</f>
        <v>0</v>
      </c>
      <c r="N2757" s="27">
        <f>IF($M2757="","",IF($F2757="Compareceu",$M2757,0))</f>
        <v>0</v>
      </c>
      <c r="O2757" s="27">
        <f>IF($M2757="","",IF($F2757="Faltou",$M2757,0))</f>
        <v>0</v>
      </c>
      <c r="P2757" s="27">
        <f>IF($M2757="","",IF($F2757="Compareceu",MAX(0,$M2757-N($H2757)),0))</f>
        <v>0</v>
      </c>
      <c r="Q2757" s="19">
        <f>IF(AND($F2757="Compareceu",$E2757&lt;&gt;"",$A2757&lt;&gt;""),IF(IFERROR(INDEX(ProcRet,MATCH($E2757,ProcNome,0)),0)&gt;0,$A2757+INDEX(ProcRet,MATCH($E2757,ProcNome,0)),""),"")</f>
        <v>0</v>
      </c>
      <c r="R2757" s="26">
        <f>IF($Q2757="","",IF(COUNTIFS(AgPac,$D2757,AgData,"&gt;"&amp;$A2757,AgStatus,"&lt;&gt;Cancelado",AgStatus,"&lt;&gt;Remarcado")&gt;0,"Sim","Não"))</f>
        <v>0</v>
      </c>
      <c r="S2757" s="28">
        <f>IF($A2757="","",IF(AND($F2757="Agendado",$A2757-Hoje&gt;=0,$A2757-Hoje&lt;=DiasConf),"CONFIRMAR",IF(AND($A2757&lt;Hoje,OR($F2757="Agendado",$F2757="Confirmado")),"Atualizar status",IF(AND($F2757="Compareceu",$P2757&gt;0.005),"Cobrar",IF($F2757="Faltou","Falta: reagendar","")))))</f>
        <v>0</v>
      </c>
      <c r="T2757" s="29">
        <f>IF($A2757="","",DATE(YEAR($A2757),MONTH($A2757),1))</f>
        <v>0</v>
      </c>
      <c r="U2757" s="30">
        <f>IF($S2757="CONFIRMAR",MAX($U$4:$U2756)+1,"")</f>
        <v>0</v>
      </c>
      <c r="V2757" s="30">
        <f>IF(AND($R2757="Não",$Q2757&lt;&gt;"",$Q2757&lt;=Hoje+JanelaRet,$Q2757&gt;=Hoje-60),MAX($V$4:$V2756)+1,"")</f>
        <v>0</v>
      </c>
    </row>
    <row r="2758" spans="1:22">
      <c r="A2758" s="16"/>
      <c r="B2758" s="23"/>
      <c r="C2758" s="15"/>
      <c r="D2758" s="15"/>
      <c r="E2758" s="15"/>
      <c r="F2758" s="24"/>
      <c r="G2758" s="17"/>
      <c r="H2758" s="17"/>
      <c r="I2758" s="15"/>
      <c r="J2758" s="25">
        <f>IF($D2758="","",IFERROR(INDEX(PacNome,MATCH($D2758,PacCod,0)),"Paciente não cadastrado"))</f>
        <v>0</v>
      </c>
      <c r="K2758" s="26">
        <f>IF($D2758="","",IFERROR(INDEX(PacConv,MATCH($D2758,PacCod,0))&amp;"",""))</f>
        <v>0</v>
      </c>
      <c r="L2758" s="26">
        <f>IF($A2758="","",CHOOSE(WEEKDAY($A2758,2),"Seg","Ter","Qua","Qui","Sex","Sáb","Dom"))</f>
        <v>0</v>
      </c>
      <c r="M2758" s="27">
        <f>IF($E2758="","",IF($G2758&lt;&gt;"",$G2758,IFERROR(INDEX(ProcValor,MATCH($E2758,ProcNome,0)),0)))</f>
        <v>0</v>
      </c>
      <c r="N2758" s="27">
        <f>IF($M2758="","",IF($F2758="Compareceu",$M2758,0))</f>
        <v>0</v>
      </c>
      <c r="O2758" s="27">
        <f>IF($M2758="","",IF($F2758="Faltou",$M2758,0))</f>
        <v>0</v>
      </c>
      <c r="P2758" s="27">
        <f>IF($M2758="","",IF($F2758="Compareceu",MAX(0,$M2758-N($H2758)),0))</f>
        <v>0</v>
      </c>
      <c r="Q2758" s="19">
        <f>IF(AND($F2758="Compareceu",$E2758&lt;&gt;"",$A2758&lt;&gt;""),IF(IFERROR(INDEX(ProcRet,MATCH($E2758,ProcNome,0)),0)&gt;0,$A2758+INDEX(ProcRet,MATCH($E2758,ProcNome,0)),""),"")</f>
        <v>0</v>
      </c>
      <c r="R2758" s="26">
        <f>IF($Q2758="","",IF(COUNTIFS(AgPac,$D2758,AgData,"&gt;"&amp;$A2758,AgStatus,"&lt;&gt;Cancelado",AgStatus,"&lt;&gt;Remarcado")&gt;0,"Sim","Não"))</f>
        <v>0</v>
      </c>
      <c r="S2758" s="28">
        <f>IF($A2758="","",IF(AND($F2758="Agendado",$A2758-Hoje&gt;=0,$A2758-Hoje&lt;=DiasConf),"CONFIRMAR",IF(AND($A2758&lt;Hoje,OR($F2758="Agendado",$F2758="Confirmado")),"Atualizar status",IF(AND($F2758="Compareceu",$P2758&gt;0.005),"Cobrar",IF($F2758="Faltou","Falta: reagendar","")))))</f>
        <v>0</v>
      </c>
      <c r="T2758" s="29">
        <f>IF($A2758="","",DATE(YEAR($A2758),MONTH($A2758),1))</f>
        <v>0</v>
      </c>
      <c r="U2758" s="30">
        <f>IF($S2758="CONFIRMAR",MAX($U$4:$U2757)+1,"")</f>
        <v>0</v>
      </c>
      <c r="V2758" s="30">
        <f>IF(AND($R2758="Não",$Q2758&lt;&gt;"",$Q2758&lt;=Hoje+JanelaRet,$Q2758&gt;=Hoje-60),MAX($V$4:$V2757)+1,"")</f>
        <v>0</v>
      </c>
    </row>
    <row r="2759" spans="1:22">
      <c r="A2759" s="16"/>
      <c r="B2759" s="23"/>
      <c r="C2759" s="15"/>
      <c r="D2759" s="15"/>
      <c r="E2759" s="15"/>
      <c r="F2759" s="24"/>
      <c r="G2759" s="17"/>
      <c r="H2759" s="17"/>
      <c r="I2759" s="15"/>
      <c r="J2759" s="25">
        <f>IF($D2759="","",IFERROR(INDEX(PacNome,MATCH($D2759,PacCod,0)),"Paciente não cadastrado"))</f>
        <v>0</v>
      </c>
      <c r="K2759" s="26">
        <f>IF($D2759="","",IFERROR(INDEX(PacConv,MATCH($D2759,PacCod,0))&amp;"",""))</f>
        <v>0</v>
      </c>
      <c r="L2759" s="26">
        <f>IF($A2759="","",CHOOSE(WEEKDAY($A2759,2),"Seg","Ter","Qua","Qui","Sex","Sáb","Dom"))</f>
        <v>0</v>
      </c>
      <c r="M2759" s="27">
        <f>IF($E2759="","",IF($G2759&lt;&gt;"",$G2759,IFERROR(INDEX(ProcValor,MATCH($E2759,ProcNome,0)),0)))</f>
        <v>0</v>
      </c>
      <c r="N2759" s="27">
        <f>IF($M2759="","",IF($F2759="Compareceu",$M2759,0))</f>
        <v>0</v>
      </c>
      <c r="O2759" s="27">
        <f>IF($M2759="","",IF($F2759="Faltou",$M2759,0))</f>
        <v>0</v>
      </c>
      <c r="P2759" s="27">
        <f>IF($M2759="","",IF($F2759="Compareceu",MAX(0,$M2759-N($H2759)),0))</f>
        <v>0</v>
      </c>
      <c r="Q2759" s="19">
        <f>IF(AND($F2759="Compareceu",$E2759&lt;&gt;"",$A2759&lt;&gt;""),IF(IFERROR(INDEX(ProcRet,MATCH($E2759,ProcNome,0)),0)&gt;0,$A2759+INDEX(ProcRet,MATCH($E2759,ProcNome,0)),""),"")</f>
        <v>0</v>
      </c>
      <c r="R2759" s="26">
        <f>IF($Q2759="","",IF(COUNTIFS(AgPac,$D2759,AgData,"&gt;"&amp;$A2759,AgStatus,"&lt;&gt;Cancelado",AgStatus,"&lt;&gt;Remarcado")&gt;0,"Sim","Não"))</f>
        <v>0</v>
      </c>
      <c r="S2759" s="28">
        <f>IF($A2759="","",IF(AND($F2759="Agendado",$A2759-Hoje&gt;=0,$A2759-Hoje&lt;=DiasConf),"CONFIRMAR",IF(AND($A2759&lt;Hoje,OR($F2759="Agendado",$F2759="Confirmado")),"Atualizar status",IF(AND($F2759="Compareceu",$P2759&gt;0.005),"Cobrar",IF($F2759="Faltou","Falta: reagendar","")))))</f>
        <v>0</v>
      </c>
      <c r="T2759" s="29">
        <f>IF($A2759="","",DATE(YEAR($A2759),MONTH($A2759),1))</f>
        <v>0</v>
      </c>
      <c r="U2759" s="30">
        <f>IF($S2759="CONFIRMAR",MAX($U$4:$U2758)+1,"")</f>
        <v>0</v>
      </c>
      <c r="V2759" s="30">
        <f>IF(AND($R2759="Não",$Q2759&lt;&gt;"",$Q2759&lt;=Hoje+JanelaRet,$Q2759&gt;=Hoje-60),MAX($V$4:$V2758)+1,"")</f>
        <v>0</v>
      </c>
    </row>
    <row r="2760" spans="1:22">
      <c r="A2760" s="16"/>
      <c r="B2760" s="23"/>
      <c r="C2760" s="15"/>
      <c r="D2760" s="15"/>
      <c r="E2760" s="15"/>
      <c r="F2760" s="24"/>
      <c r="G2760" s="17"/>
      <c r="H2760" s="17"/>
      <c r="I2760" s="15"/>
      <c r="J2760" s="25">
        <f>IF($D2760="","",IFERROR(INDEX(PacNome,MATCH($D2760,PacCod,0)),"Paciente não cadastrado"))</f>
        <v>0</v>
      </c>
      <c r="K2760" s="26">
        <f>IF($D2760="","",IFERROR(INDEX(PacConv,MATCH($D2760,PacCod,0))&amp;"",""))</f>
        <v>0</v>
      </c>
      <c r="L2760" s="26">
        <f>IF($A2760="","",CHOOSE(WEEKDAY($A2760,2),"Seg","Ter","Qua","Qui","Sex","Sáb","Dom"))</f>
        <v>0</v>
      </c>
      <c r="M2760" s="27">
        <f>IF($E2760="","",IF($G2760&lt;&gt;"",$G2760,IFERROR(INDEX(ProcValor,MATCH($E2760,ProcNome,0)),0)))</f>
        <v>0</v>
      </c>
      <c r="N2760" s="27">
        <f>IF($M2760="","",IF($F2760="Compareceu",$M2760,0))</f>
        <v>0</v>
      </c>
      <c r="O2760" s="27">
        <f>IF($M2760="","",IF($F2760="Faltou",$M2760,0))</f>
        <v>0</v>
      </c>
      <c r="P2760" s="27">
        <f>IF($M2760="","",IF($F2760="Compareceu",MAX(0,$M2760-N($H2760)),0))</f>
        <v>0</v>
      </c>
      <c r="Q2760" s="19">
        <f>IF(AND($F2760="Compareceu",$E2760&lt;&gt;"",$A2760&lt;&gt;""),IF(IFERROR(INDEX(ProcRet,MATCH($E2760,ProcNome,0)),0)&gt;0,$A2760+INDEX(ProcRet,MATCH($E2760,ProcNome,0)),""),"")</f>
        <v>0</v>
      </c>
      <c r="R2760" s="26">
        <f>IF($Q2760="","",IF(COUNTIFS(AgPac,$D2760,AgData,"&gt;"&amp;$A2760,AgStatus,"&lt;&gt;Cancelado",AgStatus,"&lt;&gt;Remarcado")&gt;0,"Sim","Não"))</f>
        <v>0</v>
      </c>
      <c r="S2760" s="28">
        <f>IF($A2760="","",IF(AND($F2760="Agendado",$A2760-Hoje&gt;=0,$A2760-Hoje&lt;=DiasConf),"CONFIRMAR",IF(AND($A2760&lt;Hoje,OR($F2760="Agendado",$F2760="Confirmado")),"Atualizar status",IF(AND($F2760="Compareceu",$P2760&gt;0.005),"Cobrar",IF($F2760="Faltou","Falta: reagendar","")))))</f>
        <v>0</v>
      </c>
      <c r="T2760" s="29">
        <f>IF($A2760="","",DATE(YEAR($A2760),MONTH($A2760),1))</f>
        <v>0</v>
      </c>
      <c r="U2760" s="30">
        <f>IF($S2760="CONFIRMAR",MAX($U$4:$U2759)+1,"")</f>
        <v>0</v>
      </c>
      <c r="V2760" s="30">
        <f>IF(AND($R2760="Não",$Q2760&lt;&gt;"",$Q2760&lt;=Hoje+JanelaRet,$Q2760&gt;=Hoje-60),MAX($V$4:$V2759)+1,"")</f>
        <v>0</v>
      </c>
    </row>
    <row r="2761" spans="1:22">
      <c r="A2761" s="16"/>
      <c r="B2761" s="23"/>
      <c r="C2761" s="15"/>
      <c r="D2761" s="15"/>
      <c r="E2761" s="15"/>
      <c r="F2761" s="24"/>
      <c r="G2761" s="17"/>
      <c r="H2761" s="17"/>
      <c r="I2761" s="15"/>
      <c r="J2761" s="25">
        <f>IF($D2761="","",IFERROR(INDEX(PacNome,MATCH($D2761,PacCod,0)),"Paciente não cadastrado"))</f>
        <v>0</v>
      </c>
      <c r="K2761" s="26">
        <f>IF($D2761="","",IFERROR(INDEX(PacConv,MATCH($D2761,PacCod,0))&amp;"",""))</f>
        <v>0</v>
      </c>
      <c r="L2761" s="26">
        <f>IF($A2761="","",CHOOSE(WEEKDAY($A2761,2),"Seg","Ter","Qua","Qui","Sex","Sáb","Dom"))</f>
        <v>0</v>
      </c>
      <c r="M2761" s="27">
        <f>IF($E2761="","",IF($G2761&lt;&gt;"",$G2761,IFERROR(INDEX(ProcValor,MATCH($E2761,ProcNome,0)),0)))</f>
        <v>0</v>
      </c>
      <c r="N2761" s="27">
        <f>IF($M2761="","",IF($F2761="Compareceu",$M2761,0))</f>
        <v>0</v>
      </c>
      <c r="O2761" s="27">
        <f>IF($M2761="","",IF($F2761="Faltou",$M2761,0))</f>
        <v>0</v>
      </c>
      <c r="P2761" s="27">
        <f>IF($M2761="","",IF($F2761="Compareceu",MAX(0,$M2761-N($H2761)),0))</f>
        <v>0</v>
      </c>
      <c r="Q2761" s="19">
        <f>IF(AND($F2761="Compareceu",$E2761&lt;&gt;"",$A2761&lt;&gt;""),IF(IFERROR(INDEX(ProcRet,MATCH($E2761,ProcNome,0)),0)&gt;0,$A2761+INDEX(ProcRet,MATCH($E2761,ProcNome,0)),""),"")</f>
        <v>0</v>
      </c>
      <c r="R2761" s="26">
        <f>IF($Q2761="","",IF(COUNTIFS(AgPac,$D2761,AgData,"&gt;"&amp;$A2761,AgStatus,"&lt;&gt;Cancelado",AgStatus,"&lt;&gt;Remarcado")&gt;0,"Sim","Não"))</f>
        <v>0</v>
      </c>
      <c r="S2761" s="28">
        <f>IF($A2761="","",IF(AND($F2761="Agendado",$A2761-Hoje&gt;=0,$A2761-Hoje&lt;=DiasConf),"CONFIRMAR",IF(AND($A2761&lt;Hoje,OR($F2761="Agendado",$F2761="Confirmado")),"Atualizar status",IF(AND($F2761="Compareceu",$P2761&gt;0.005),"Cobrar",IF($F2761="Faltou","Falta: reagendar","")))))</f>
        <v>0</v>
      </c>
      <c r="T2761" s="29">
        <f>IF($A2761="","",DATE(YEAR($A2761),MONTH($A2761),1))</f>
        <v>0</v>
      </c>
      <c r="U2761" s="30">
        <f>IF($S2761="CONFIRMAR",MAX($U$4:$U2760)+1,"")</f>
        <v>0</v>
      </c>
      <c r="V2761" s="30">
        <f>IF(AND($R2761="Não",$Q2761&lt;&gt;"",$Q2761&lt;=Hoje+JanelaRet,$Q2761&gt;=Hoje-60),MAX($V$4:$V2760)+1,"")</f>
        <v>0</v>
      </c>
    </row>
    <row r="2762" spans="1:22">
      <c r="A2762" s="16"/>
      <c r="B2762" s="23"/>
      <c r="C2762" s="15"/>
      <c r="D2762" s="15"/>
      <c r="E2762" s="15"/>
      <c r="F2762" s="24"/>
      <c r="G2762" s="17"/>
      <c r="H2762" s="17"/>
      <c r="I2762" s="15"/>
      <c r="J2762" s="25">
        <f>IF($D2762="","",IFERROR(INDEX(PacNome,MATCH($D2762,PacCod,0)),"Paciente não cadastrado"))</f>
        <v>0</v>
      </c>
      <c r="K2762" s="26">
        <f>IF($D2762="","",IFERROR(INDEX(PacConv,MATCH($D2762,PacCod,0))&amp;"",""))</f>
        <v>0</v>
      </c>
      <c r="L2762" s="26">
        <f>IF($A2762="","",CHOOSE(WEEKDAY($A2762,2),"Seg","Ter","Qua","Qui","Sex","Sáb","Dom"))</f>
        <v>0</v>
      </c>
      <c r="M2762" s="27">
        <f>IF($E2762="","",IF($G2762&lt;&gt;"",$G2762,IFERROR(INDEX(ProcValor,MATCH($E2762,ProcNome,0)),0)))</f>
        <v>0</v>
      </c>
      <c r="N2762" s="27">
        <f>IF($M2762="","",IF($F2762="Compareceu",$M2762,0))</f>
        <v>0</v>
      </c>
      <c r="O2762" s="27">
        <f>IF($M2762="","",IF($F2762="Faltou",$M2762,0))</f>
        <v>0</v>
      </c>
      <c r="P2762" s="27">
        <f>IF($M2762="","",IF($F2762="Compareceu",MAX(0,$M2762-N($H2762)),0))</f>
        <v>0</v>
      </c>
      <c r="Q2762" s="19">
        <f>IF(AND($F2762="Compareceu",$E2762&lt;&gt;"",$A2762&lt;&gt;""),IF(IFERROR(INDEX(ProcRet,MATCH($E2762,ProcNome,0)),0)&gt;0,$A2762+INDEX(ProcRet,MATCH($E2762,ProcNome,0)),""),"")</f>
        <v>0</v>
      </c>
      <c r="R2762" s="26">
        <f>IF($Q2762="","",IF(COUNTIFS(AgPac,$D2762,AgData,"&gt;"&amp;$A2762,AgStatus,"&lt;&gt;Cancelado",AgStatus,"&lt;&gt;Remarcado")&gt;0,"Sim","Não"))</f>
        <v>0</v>
      </c>
      <c r="S2762" s="28">
        <f>IF($A2762="","",IF(AND($F2762="Agendado",$A2762-Hoje&gt;=0,$A2762-Hoje&lt;=DiasConf),"CONFIRMAR",IF(AND($A2762&lt;Hoje,OR($F2762="Agendado",$F2762="Confirmado")),"Atualizar status",IF(AND($F2762="Compareceu",$P2762&gt;0.005),"Cobrar",IF($F2762="Faltou","Falta: reagendar","")))))</f>
        <v>0</v>
      </c>
      <c r="T2762" s="29">
        <f>IF($A2762="","",DATE(YEAR($A2762),MONTH($A2762),1))</f>
        <v>0</v>
      </c>
      <c r="U2762" s="30">
        <f>IF($S2762="CONFIRMAR",MAX($U$4:$U2761)+1,"")</f>
        <v>0</v>
      </c>
      <c r="V2762" s="30">
        <f>IF(AND($R2762="Não",$Q2762&lt;&gt;"",$Q2762&lt;=Hoje+JanelaRet,$Q2762&gt;=Hoje-60),MAX($V$4:$V2761)+1,"")</f>
        <v>0</v>
      </c>
    </row>
    <row r="2763" spans="1:22">
      <c r="A2763" s="16"/>
      <c r="B2763" s="23"/>
      <c r="C2763" s="15"/>
      <c r="D2763" s="15"/>
      <c r="E2763" s="15"/>
      <c r="F2763" s="24"/>
      <c r="G2763" s="17"/>
      <c r="H2763" s="17"/>
      <c r="I2763" s="15"/>
      <c r="J2763" s="25">
        <f>IF($D2763="","",IFERROR(INDEX(PacNome,MATCH($D2763,PacCod,0)),"Paciente não cadastrado"))</f>
        <v>0</v>
      </c>
      <c r="K2763" s="26">
        <f>IF($D2763="","",IFERROR(INDEX(PacConv,MATCH($D2763,PacCod,0))&amp;"",""))</f>
        <v>0</v>
      </c>
      <c r="L2763" s="26">
        <f>IF($A2763="","",CHOOSE(WEEKDAY($A2763,2),"Seg","Ter","Qua","Qui","Sex","Sáb","Dom"))</f>
        <v>0</v>
      </c>
      <c r="M2763" s="27">
        <f>IF($E2763="","",IF($G2763&lt;&gt;"",$G2763,IFERROR(INDEX(ProcValor,MATCH($E2763,ProcNome,0)),0)))</f>
        <v>0</v>
      </c>
      <c r="N2763" s="27">
        <f>IF($M2763="","",IF($F2763="Compareceu",$M2763,0))</f>
        <v>0</v>
      </c>
      <c r="O2763" s="27">
        <f>IF($M2763="","",IF($F2763="Faltou",$M2763,0))</f>
        <v>0</v>
      </c>
      <c r="P2763" s="27">
        <f>IF($M2763="","",IF($F2763="Compareceu",MAX(0,$M2763-N($H2763)),0))</f>
        <v>0</v>
      </c>
      <c r="Q2763" s="19">
        <f>IF(AND($F2763="Compareceu",$E2763&lt;&gt;"",$A2763&lt;&gt;""),IF(IFERROR(INDEX(ProcRet,MATCH($E2763,ProcNome,0)),0)&gt;0,$A2763+INDEX(ProcRet,MATCH($E2763,ProcNome,0)),""),"")</f>
        <v>0</v>
      </c>
      <c r="R2763" s="26">
        <f>IF($Q2763="","",IF(COUNTIFS(AgPac,$D2763,AgData,"&gt;"&amp;$A2763,AgStatus,"&lt;&gt;Cancelado",AgStatus,"&lt;&gt;Remarcado")&gt;0,"Sim","Não"))</f>
        <v>0</v>
      </c>
      <c r="S2763" s="28">
        <f>IF($A2763="","",IF(AND($F2763="Agendado",$A2763-Hoje&gt;=0,$A2763-Hoje&lt;=DiasConf),"CONFIRMAR",IF(AND($A2763&lt;Hoje,OR($F2763="Agendado",$F2763="Confirmado")),"Atualizar status",IF(AND($F2763="Compareceu",$P2763&gt;0.005),"Cobrar",IF($F2763="Faltou","Falta: reagendar","")))))</f>
        <v>0</v>
      </c>
      <c r="T2763" s="29">
        <f>IF($A2763="","",DATE(YEAR($A2763),MONTH($A2763),1))</f>
        <v>0</v>
      </c>
      <c r="U2763" s="30">
        <f>IF($S2763="CONFIRMAR",MAX($U$4:$U2762)+1,"")</f>
        <v>0</v>
      </c>
      <c r="V2763" s="30">
        <f>IF(AND($R2763="Não",$Q2763&lt;&gt;"",$Q2763&lt;=Hoje+JanelaRet,$Q2763&gt;=Hoje-60),MAX($V$4:$V2762)+1,"")</f>
        <v>0</v>
      </c>
    </row>
    <row r="2764" spans="1:22">
      <c r="A2764" s="16"/>
      <c r="B2764" s="23"/>
      <c r="C2764" s="15"/>
      <c r="D2764" s="15"/>
      <c r="E2764" s="15"/>
      <c r="F2764" s="24"/>
      <c r="G2764" s="17"/>
      <c r="H2764" s="17"/>
      <c r="I2764" s="15"/>
      <c r="J2764" s="25">
        <f>IF($D2764="","",IFERROR(INDEX(PacNome,MATCH($D2764,PacCod,0)),"Paciente não cadastrado"))</f>
        <v>0</v>
      </c>
      <c r="K2764" s="26">
        <f>IF($D2764="","",IFERROR(INDEX(PacConv,MATCH($D2764,PacCod,0))&amp;"",""))</f>
        <v>0</v>
      </c>
      <c r="L2764" s="26">
        <f>IF($A2764="","",CHOOSE(WEEKDAY($A2764,2),"Seg","Ter","Qua","Qui","Sex","Sáb","Dom"))</f>
        <v>0</v>
      </c>
      <c r="M2764" s="27">
        <f>IF($E2764="","",IF($G2764&lt;&gt;"",$G2764,IFERROR(INDEX(ProcValor,MATCH($E2764,ProcNome,0)),0)))</f>
        <v>0</v>
      </c>
      <c r="N2764" s="27">
        <f>IF($M2764="","",IF($F2764="Compareceu",$M2764,0))</f>
        <v>0</v>
      </c>
      <c r="O2764" s="27">
        <f>IF($M2764="","",IF($F2764="Faltou",$M2764,0))</f>
        <v>0</v>
      </c>
      <c r="P2764" s="27">
        <f>IF($M2764="","",IF($F2764="Compareceu",MAX(0,$M2764-N($H2764)),0))</f>
        <v>0</v>
      </c>
      <c r="Q2764" s="19">
        <f>IF(AND($F2764="Compareceu",$E2764&lt;&gt;"",$A2764&lt;&gt;""),IF(IFERROR(INDEX(ProcRet,MATCH($E2764,ProcNome,0)),0)&gt;0,$A2764+INDEX(ProcRet,MATCH($E2764,ProcNome,0)),""),"")</f>
        <v>0</v>
      </c>
      <c r="R2764" s="26">
        <f>IF($Q2764="","",IF(COUNTIFS(AgPac,$D2764,AgData,"&gt;"&amp;$A2764,AgStatus,"&lt;&gt;Cancelado",AgStatus,"&lt;&gt;Remarcado")&gt;0,"Sim","Não"))</f>
        <v>0</v>
      </c>
      <c r="S2764" s="28">
        <f>IF($A2764="","",IF(AND($F2764="Agendado",$A2764-Hoje&gt;=0,$A2764-Hoje&lt;=DiasConf),"CONFIRMAR",IF(AND($A2764&lt;Hoje,OR($F2764="Agendado",$F2764="Confirmado")),"Atualizar status",IF(AND($F2764="Compareceu",$P2764&gt;0.005),"Cobrar",IF($F2764="Faltou","Falta: reagendar","")))))</f>
        <v>0</v>
      </c>
      <c r="T2764" s="29">
        <f>IF($A2764="","",DATE(YEAR($A2764),MONTH($A2764),1))</f>
        <v>0</v>
      </c>
      <c r="U2764" s="30">
        <f>IF($S2764="CONFIRMAR",MAX($U$4:$U2763)+1,"")</f>
        <v>0</v>
      </c>
      <c r="V2764" s="30">
        <f>IF(AND($R2764="Não",$Q2764&lt;&gt;"",$Q2764&lt;=Hoje+JanelaRet,$Q2764&gt;=Hoje-60),MAX($V$4:$V2763)+1,"")</f>
        <v>0</v>
      </c>
    </row>
    <row r="2765" spans="1:22">
      <c r="A2765" s="16"/>
      <c r="B2765" s="23"/>
      <c r="C2765" s="15"/>
      <c r="D2765" s="15"/>
      <c r="E2765" s="15"/>
      <c r="F2765" s="24"/>
      <c r="G2765" s="17"/>
      <c r="H2765" s="17"/>
      <c r="I2765" s="15"/>
      <c r="J2765" s="25">
        <f>IF($D2765="","",IFERROR(INDEX(PacNome,MATCH($D2765,PacCod,0)),"Paciente não cadastrado"))</f>
        <v>0</v>
      </c>
      <c r="K2765" s="26">
        <f>IF($D2765="","",IFERROR(INDEX(PacConv,MATCH($D2765,PacCod,0))&amp;"",""))</f>
        <v>0</v>
      </c>
      <c r="L2765" s="26">
        <f>IF($A2765="","",CHOOSE(WEEKDAY($A2765,2),"Seg","Ter","Qua","Qui","Sex","Sáb","Dom"))</f>
        <v>0</v>
      </c>
      <c r="M2765" s="27">
        <f>IF($E2765="","",IF($G2765&lt;&gt;"",$G2765,IFERROR(INDEX(ProcValor,MATCH($E2765,ProcNome,0)),0)))</f>
        <v>0</v>
      </c>
      <c r="N2765" s="27">
        <f>IF($M2765="","",IF($F2765="Compareceu",$M2765,0))</f>
        <v>0</v>
      </c>
      <c r="O2765" s="27">
        <f>IF($M2765="","",IF($F2765="Faltou",$M2765,0))</f>
        <v>0</v>
      </c>
      <c r="P2765" s="27">
        <f>IF($M2765="","",IF($F2765="Compareceu",MAX(0,$M2765-N($H2765)),0))</f>
        <v>0</v>
      </c>
      <c r="Q2765" s="19">
        <f>IF(AND($F2765="Compareceu",$E2765&lt;&gt;"",$A2765&lt;&gt;""),IF(IFERROR(INDEX(ProcRet,MATCH($E2765,ProcNome,0)),0)&gt;0,$A2765+INDEX(ProcRet,MATCH($E2765,ProcNome,0)),""),"")</f>
        <v>0</v>
      </c>
      <c r="R2765" s="26">
        <f>IF($Q2765="","",IF(COUNTIFS(AgPac,$D2765,AgData,"&gt;"&amp;$A2765,AgStatus,"&lt;&gt;Cancelado",AgStatus,"&lt;&gt;Remarcado")&gt;0,"Sim","Não"))</f>
        <v>0</v>
      </c>
      <c r="S2765" s="28">
        <f>IF($A2765="","",IF(AND($F2765="Agendado",$A2765-Hoje&gt;=0,$A2765-Hoje&lt;=DiasConf),"CONFIRMAR",IF(AND($A2765&lt;Hoje,OR($F2765="Agendado",$F2765="Confirmado")),"Atualizar status",IF(AND($F2765="Compareceu",$P2765&gt;0.005),"Cobrar",IF($F2765="Faltou","Falta: reagendar","")))))</f>
        <v>0</v>
      </c>
      <c r="T2765" s="29">
        <f>IF($A2765="","",DATE(YEAR($A2765),MONTH($A2765),1))</f>
        <v>0</v>
      </c>
      <c r="U2765" s="30">
        <f>IF($S2765="CONFIRMAR",MAX($U$4:$U2764)+1,"")</f>
        <v>0</v>
      </c>
      <c r="V2765" s="30">
        <f>IF(AND($R2765="Não",$Q2765&lt;&gt;"",$Q2765&lt;=Hoje+JanelaRet,$Q2765&gt;=Hoje-60),MAX($V$4:$V2764)+1,"")</f>
        <v>0</v>
      </c>
    </row>
    <row r="2766" spans="1:22">
      <c r="A2766" s="16"/>
      <c r="B2766" s="23"/>
      <c r="C2766" s="15"/>
      <c r="D2766" s="15"/>
      <c r="E2766" s="15"/>
      <c r="F2766" s="24"/>
      <c r="G2766" s="17"/>
      <c r="H2766" s="17"/>
      <c r="I2766" s="15"/>
      <c r="J2766" s="25">
        <f>IF($D2766="","",IFERROR(INDEX(PacNome,MATCH($D2766,PacCod,0)),"Paciente não cadastrado"))</f>
        <v>0</v>
      </c>
      <c r="K2766" s="26">
        <f>IF($D2766="","",IFERROR(INDEX(PacConv,MATCH($D2766,PacCod,0))&amp;"",""))</f>
        <v>0</v>
      </c>
      <c r="L2766" s="26">
        <f>IF($A2766="","",CHOOSE(WEEKDAY($A2766,2),"Seg","Ter","Qua","Qui","Sex","Sáb","Dom"))</f>
        <v>0</v>
      </c>
      <c r="M2766" s="27">
        <f>IF($E2766="","",IF($G2766&lt;&gt;"",$G2766,IFERROR(INDEX(ProcValor,MATCH($E2766,ProcNome,0)),0)))</f>
        <v>0</v>
      </c>
      <c r="N2766" s="27">
        <f>IF($M2766="","",IF($F2766="Compareceu",$M2766,0))</f>
        <v>0</v>
      </c>
      <c r="O2766" s="27">
        <f>IF($M2766="","",IF($F2766="Faltou",$M2766,0))</f>
        <v>0</v>
      </c>
      <c r="P2766" s="27">
        <f>IF($M2766="","",IF($F2766="Compareceu",MAX(0,$M2766-N($H2766)),0))</f>
        <v>0</v>
      </c>
      <c r="Q2766" s="19">
        <f>IF(AND($F2766="Compareceu",$E2766&lt;&gt;"",$A2766&lt;&gt;""),IF(IFERROR(INDEX(ProcRet,MATCH($E2766,ProcNome,0)),0)&gt;0,$A2766+INDEX(ProcRet,MATCH($E2766,ProcNome,0)),""),"")</f>
        <v>0</v>
      </c>
      <c r="R2766" s="26">
        <f>IF($Q2766="","",IF(COUNTIFS(AgPac,$D2766,AgData,"&gt;"&amp;$A2766,AgStatus,"&lt;&gt;Cancelado",AgStatus,"&lt;&gt;Remarcado")&gt;0,"Sim","Não"))</f>
        <v>0</v>
      </c>
      <c r="S2766" s="28">
        <f>IF($A2766="","",IF(AND($F2766="Agendado",$A2766-Hoje&gt;=0,$A2766-Hoje&lt;=DiasConf),"CONFIRMAR",IF(AND($A2766&lt;Hoje,OR($F2766="Agendado",$F2766="Confirmado")),"Atualizar status",IF(AND($F2766="Compareceu",$P2766&gt;0.005),"Cobrar",IF($F2766="Faltou","Falta: reagendar","")))))</f>
        <v>0</v>
      </c>
      <c r="T2766" s="29">
        <f>IF($A2766="","",DATE(YEAR($A2766),MONTH($A2766),1))</f>
        <v>0</v>
      </c>
      <c r="U2766" s="30">
        <f>IF($S2766="CONFIRMAR",MAX($U$4:$U2765)+1,"")</f>
        <v>0</v>
      </c>
      <c r="V2766" s="30">
        <f>IF(AND($R2766="Não",$Q2766&lt;&gt;"",$Q2766&lt;=Hoje+JanelaRet,$Q2766&gt;=Hoje-60),MAX($V$4:$V2765)+1,"")</f>
        <v>0</v>
      </c>
    </row>
    <row r="2767" spans="1:22">
      <c r="A2767" s="16"/>
      <c r="B2767" s="23"/>
      <c r="C2767" s="15"/>
      <c r="D2767" s="15"/>
      <c r="E2767" s="15"/>
      <c r="F2767" s="24"/>
      <c r="G2767" s="17"/>
      <c r="H2767" s="17"/>
      <c r="I2767" s="15"/>
      <c r="J2767" s="25">
        <f>IF($D2767="","",IFERROR(INDEX(PacNome,MATCH($D2767,PacCod,0)),"Paciente não cadastrado"))</f>
        <v>0</v>
      </c>
      <c r="K2767" s="26">
        <f>IF($D2767="","",IFERROR(INDEX(PacConv,MATCH($D2767,PacCod,0))&amp;"",""))</f>
        <v>0</v>
      </c>
      <c r="L2767" s="26">
        <f>IF($A2767="","",CHOOSE(WEEKDAY($A2767,2),"Seg","Ter","Qua","Qui","Sex","Sáb","Dom"))</f>
        <v>0</v>
      </c>
      <c r="M2767" s="27">
        <f>IF($E2767="","",IF($G2767&lt;&gt;"",$G2767,IFERROR(INDEX(ProcValor,MATCH($E2767,ProcNome,0)),0)))</f>
        <v>0</v>
      </c>
      <c r="N2767" s="27">
        <f>IF($M2767="","",IF($F2767="Compareceu",$M2767,0))</f>
        <v>0</v>
      </c>
      <c r="O2767" s="27">
        <f>IF($M2767="","",IF($F2767="Faltou",$M2767,0))</f>
        <v>0</v>
      </c>
      <c r="P2767" s="27">
        <f>IF($M2767="","",IF($F2767="Compareceu",MAX(0,$M2767-N($H2767)),0))</f>
        <v>0</v>
      </c>
      <c r="Q2767" s="19">
        <f>IF(AND($F2767="Compareceu",$E2767&lt;&gt;"",$A2767&lt;&gt;""),IF(IFERROR(INDEX(ProcRet,MATCH($E2767,ProcNome,0)),0)&gt;0,$A2767+INDEX(ProcRet,MATCH($E2767,ProcNome,0)),""),"")</f>
        <v>0</v>
      </c>
      <c r="R2767" s="26">
        <f>IF($Q2767="","",IF(COUNTIFS(AgPac,$D2767,AgData,"&gt;"&amp;$A2767,AgStatus,"&lt;&gt;Cancelado",AgStatus,"&lt;&gt;Remarcado")&gt;0,"Sim","Não"))</f>
        <v>0</v>
      </c>
      <c r="S2767" s="28">
        <f>IF($A2767="","",IF(AND($F2767="Agendado",$A2767-Hoje&gt;=0,$A2767-Hoje&lt;=DiasConf),"CONFIRMAR",IF(AND($A2767&lt;Hoje,OR($F2767="Agendado",$F2767="Confirmado")),"Atualizar status",IF(AND($F2767="Compareceu",$P2767&gt;0.005),"Cobrar",IF($F2767="Faltou","Falta: reagendar","")))))</f>
        <v>0</v>
      </c>
      <c r="T2767" s="29">
        <f>IF($A2767="","",DATE(YEAR($A2767),MONTH($A2767),1))</f>
        <v>0</v>
      </c>
      <c r="U2767" s="30">
        <f>IF($S2767="CONFIRMAR",MAX($U$4:$U2766)+1,"")</f>
        <v>0</v>
      </c>
      <c r="V2767" s="30">
        <f>IF(AND($R2767="Não",$Q2767&lt;&gt;"",$Q2767&lt;=Hoje+JanelaRet,$Q2767&gt;=Hoje-60),MAX($V$4:$V2766)+1,"")</f>
        <v>0</v>
      </c>
    </row>
    <row r="2768" spans="1:22">
      <c r="A2768" s="16"/>
      <c r="B2768" s="23"/>
      <c r="C2768" s="15"/>
      <c r="D2768" s="15"/>
      <c r="E2768" s="15"/>
      <c r="F2768" s="24"/>
      <c r="G2768" s="17"/>
      <c r="H2768" s="17"/>
      <c r="I2768" s="15"/>
      <c r="J2768" s="25">
        <f>IF($D2768="","",IFERROR(INDEX(PacNome,MATCH($D2768,PacCod,0)),"Paciente não cadastrado"))</f>
        <v>0</v>
      </c>
      <c r="K2768" s="26">
        <f>IF($D2768="","",IFERROR(INDEX(PacConv,MATCH($D2768,PacCod,0))&amp;"",""))</f>
        <v>0</v>
      </c>
      <c r="L2768" s="26">
        <f>IF($A2768="","",CHOOSE(WEEKDAY($A2768,2),"Seg","Ter","Qua","Qui","Sex","Sáb","Dom"))</f>
        <v>0</v>
      </c>
      <c r="M2768" s="27">
        <f>IF($E2768="","",IF($G2768&lt;&gt;"",$G2768,IFERROR(INDEX(ProcValor,MATCH($E2768,ProcNome,0)),0)))</f>
        <v>0</v>
      </c>
      <c r="N2768" s="27">
        <f>IF($M2768="","",IF($F2768="Compareceu",$M2768,0))</f>
        <v>0</v>
      </c>
      <c r="O2768" s="27">
        <f>IF($M2768="","",IF($F2768="Faltou",$M2768,0))</f>
        <v>0</v>
      </c>
      <c r="P2768" s="27">
        <f>IF($M2768="","",IF($F2768="Compareceu",MAX(0,$M2768-N($H2768)),0))</f>
        <v>0</v>
      </c>
      <c r="Q2768" s="19">
        <f>IF(AND($F2768="Compareceu",$E2768&lt;&gt;"",$A2768&lt;&gt;""),IF(IFERROR(INDEX(ProcRet,MATCH($E2768,ProcNome,0)),0)&gt;0,$A2768+INDEX(ProcRet,MATCH($E2768,ProcNome,0)),""),"")</f>
        <v>0</v>
      </c>
      <c r="R2768" s="26">
        <f>IF($Q2768="","",IF(COUNTIFS(AgPac,$D2768,AgData,"&gt;"&amp;$A2768,AgStatus,"&lt;&gt;Cancelado",AgStatus,"&lt;&gt;Remarcado")&gt;0,"Sim","Não"))</f>
        <v>0</v>
      </c>
      <c r="S2768" s="28">
        <f>IF($A2768="","",IF(AND($F2768="Agendado",$A2768-Hoje&gt;=0,$A2768-Hoje&lt;=DiasConf),"CONFIRMAR",IF(AND($A2768&lt;Hoje,OR($F2768="Agendado",$F2768="Confirmado")),"Atualizar status",IF(AND($F2768="Compareceu",$P2768&gt;0.005),"Cobrar",IF($F2768="Faltou","Falta: reagendar","")))))</f>
        <v>0</v>
      </c>
      <c r="T2768" s="29">
        <f>IF($A2768="","",DATE(YEAR($A2768),MONTH($A2768),1))</f>
        <v>0</v>
      </c>
      <c r="U2768" s="30">
        <f>IF($S2768="CONFIRMAR",MAX($U$4:$U2767)+1,"")</f>
        <v>0</v>
      </c>
      <c r="V2768" s="30">
        <f>IF(AND($R2768="Não",$Q2768&lt;&gt;"",$Q2768&lt;=Hoje+JanelaRet,$Q2768&gt;=Hoje-60),MAX($V$4:$V2767)+1,"")</f>
        <v>0</v>
      </c>
    </row>
    <row r="2769" spans="1:22">
      <c r="A2769" s="16"/>
      <c r="B2769" s="23"/>
      <c r="C2769" s="15"/>
      <c r="D2769" s="15"/>
      <c r="E2769" s="15"/>
      <c r="F2769" s="24"/>
      <c r="G2769" s="17"/>
      <c r="H2769" s="17"/>
      <c r="I2769" s="15"/>
      <c r="J2769" s="25">
        <f>IF($D2769="","",IFERROR(INDEX(PacNome,MATCH($D2769,PacCod,0)),"Paciente não cadastrado"))</f>
        <v>0</v>
      </c>
      <c r="K2769" s="26">
        <f>IF($D2769="","",IFERROR(INDEX(PacConv,MATCH($D2769,PacCod,0))&amp;"",""))</f>
        <v>0</v>
      </c>
      <c r="L2769" s="26">
        <f>IF($A2769="","",CHOOSE(WEEKDAY($A2769,2),"Seg","Ter","Qua","Qui","Sex","Sáb","Dom"))</f>
        <v>0</v>
      </c>
      <c r="M2769" s="27">
        <f>IF($E2769="","",IF($G2769&lt;&gt;"",$G2769,IFERROR(INDEX(ProcValor,MATCH($E2769,ProcNome,0)),0)))</f>
        <v>0</v>
      </c>
      <c r="N2769" s="27">
        <f>IF($M2769="","",IF($F2769="Compareceu",$M2769,0))</f>
        <v>0</v>
      </c>
      <c r="O2769" s="27">
        <f>IF($M2769="","",IF($F2769="Faltou",$M2769,0))</f>
        <v>0</v>
      </c>
      <c r="P2769" s="27">
        <f>IF($M2769="","",IF($F2769="Compareceu",MAX(0,$M2769-N($H2769)),0))</f>
        <v>0</v>
      </c>
      <c r="Q2769" s="19">
        <f>IF(AND($F2769="Compareceu",$E2769&lt;&gt;"",$A2769&lt;&gt;""),IF(IFERROR(INDEX(ProcRet,MATCH($E2769,ProcNome,0)),0)&gt;0,$A2769+INDEX(ProcRet,MATCH($E2769,ProcNome,0)),""),"")</f>
        <v>0</v>
      </c>
      <c r="R2769" s="26">
        <f>IF($Q2769="","",IF(COUNTIFS(AgPac,$D2769,AgData,"&gt;"&amp;$A2769,AgStatus,"&lt;&gt;Cancelado",AgStatus,"&lt;&gt;Remarcado")&gt;0,"Sim","Não"))</f>
        <v>0</v>
      </c>
      <c r="S2769" s="28">
        <f>IF($A2769="","",IF(AND($F2769="Agendado",$A2769-Hoje&gt;=0,$A2769-Hoje&lt;=DiasConf),"CONFIRMAR",IF(AND($A2769&lt;Hoje,OR($F2769="Agendado",$F2769="Confirmado")),"Atualizar status",IF(AND($F2769="Compareceu",$P2769&gt;0.005),"Cobrar",IF($F2769="Faltou","Falta: reagendar","")))))</f>
        <v>0</v>
      </c>
      <c r="T2769" s="29">
        <f>IF($A2769="","",DATE(YEAR($A2769),MONTH($A2769),1))</f>
        <v>0</v>
      </c>
      <c r="U2769" s="30">
        <f>IF($S2769="CONFIRMAR",MAX($U$4:$U2768)+1,"")</f>
        <v>0</v>
      </c>
      <c r="V2769" s="30">
        <f>IF(AND($R2769="Não",$Q2769&lt;&gt;"",$Q2769&lt;=Hoje+JanelaRet,$Q2769&gt;=Hoje-60),MAX($V$4:$V2768)+1,"")</f>
        <v>0</v>
      </c>
    </row>
    <row r="2770" spans="1:22">
      <c r="A2770" s="16"/>
      <c r="B2770" s="23"/>
      <c r="C2770" s="15"/>
      <c r="D2770" s="15"/>
      <c r="E2770" s="15"/>
      <c r="F2770" s="24"/>
      <c r="G2770" s="17"/>
      <c r="H2770" s="17"/>
      <c r="I2770" s="15"/>
      <c r="J2770" s="25">
        <f>IF($D2770="","",IFERROR(INDEX(PacNome,MATCH($D2770,PacCod,0)),"Paciente não cadastrado"))</f>
        <v>0</v>
      </c>
      <c r="K2770" s="26">
        <f>IF($D2770="","",IFERROR(INDEX(PacConv,MATCH($D2770,PacCod,0))&amp;"",""))</f>
        <v>0</v>
      </c>
      <c r="L2770" s="26">
        <f>IF($A2770="","",CHOOSE(WEEKDAY($A2770,2),"Seg","Ter","Qua","Qui","Sex","Sáb","Dom"))</f>
        <v>0</v>
      </c>
      <c r="M2770" s="27">
        <f>IF($E2770="","",IF($G2770&lt;&gt;"",$G2770,IFERROR(INDEX(ProcValor,MATCH($E2770,ProcNome,0)),0)))</f>
        <v>0</v>
      </c>
      <c r="N2770" s="27">
        <f>IF($M2770="","",IF($F2770="Compareceu",$M2770,0))</f>
        <v>0</v>
      </c>
      <c r="O2770" s="27">
        <f>IF($M2770="","",IF($F2770="Faltou",$M2770,0))</f>
        <v>0</v>
      </c>
      <c r="P2770" s="27">
        <f>IF($M2770="","",IF($F2770="Compareceu",MAX(0,$M2770-N($H2770)),0))</f>
        <v>0</v>
      </c>
      <c r="Q2770" s="19">
        <f>IF(AND($F2770="Compareceu",$E2770&lt;&gt;"",$A2770&lt;&gt;""),IF(IFERROR(INDEX(ProcRet,MATCH($E2770,ProcNome,0)),0)&gt;0,$A2770+INDEX(ProcRet,MATCH($E2770,ProcNome,0)),""),"")</f>
        <v>0</v>
      </c>
      <c r="R2770" s="26">
        <f>IF($Q2770="","",IF(COUNTIFS(AgPac,$D2770,AgData,"&gt;"&amp;$A2770,AgStatus,"&lt;&gt;Cancelado",AgStatus,"&lt;&gt;Remarcado")&gt;0,"Sim","Não"))</f>
        <v>0</v>
      </c>
      <c r="S2770" s="28">
        <f>IF($A2770="","",IF(AND($F2770="Agendado",$A2770-Hoje&gt;=0,$A2770-Hoje&lt;=DiasConf),"CONFIRMAR",IF(AND($A2770&lt;Hoje,OR($F2770="Agendado",$F2770="Confirmado")),"Atualizar status",IF(AND($F2770="Compareceu",$P2770&gt;0.005),"Cobrar",IF($F2770="Faltou","Falta: reagendar","")))))</f>
        <v>0</v>
      </c>
      <c r="T2770" s="29">
        <f>IF($A2770="","",DATE(YEAR($A2770),MONTH($A2770),1))</f>
        <v>0</v>
      </c>
      <c r="U2770" s="30">
        <f>IF($S2770="CONFIRMAR",MAX($U$4:$U2769)+1,"")</f>
        <v>0</v>
      </c>
      <c r="V2770" s="30">
        <f>IF(AND($R2770="Não",$Q2770&lt;&gt;"",$Q2770&lt;=Hoje+JanelaRet,$Q2770&gt;=Hoje-60),MAX($V$4:$V2769)+1,"")</f>
        <v>0</v>
      </c>
    </row>
    <row r="2771" spans="1:22">
      <c r="A2771" s="16"/>
      <c r="B2771" s="23"/>
      <c r="C2771" s="15"/>
      <c r="D2771" s="15"/>
      <c r="E2771" s="15"/>
      <c r="F2771" s="24"/>
      <c r="G2771" s="17"/>
      <c r="H2771" s="17"/>
      <c r="I2771" s="15"/>
      <c r="J2771" s="25">
        <f>IF($D2771="","",IFERROR(INDEX(PacNome,MATCH($D2771,PacCod,0)),"Paciente não cadastrado"))</f>
        <v>0</v>
      </c>
      <c r="K2771" s="26">
        <f>IF($D2771="","",IFERROR(INDEX(PacConv,MATCH($D2771,PacCod,0))&amp;"",""))</f>
        <v>0</v>
      </c>
      <c r="L2771" s="26">
        <f>IF($A2771="","",CHOOSE(WEEKDAY($A2771,2),"Seg","Ter","Qua","Qui","Sex","Sáb","Dom"))</f>
        <v>0</v>
      </c>
      <c r="M2771" s="27">
        <f>IF($E2771="","",IF($G2771&lt;&gt;"",$G2771,IFERROR(INDEX(ProcValor,MATCH($E2771,ProcNome,0)),0)))</f>
        <v>0</v>
      </c>
      <c r="N2771" s="27">
        <f>IF($M2771="","",IF($F2771="Compareceu",$M2771,0))</f>
        <v>0</v>
      </c>
      <c r="O2771" s="27">
        <f>IF($M2771="","",IF($F2771="Faltou",$M2771,0))</f>
        <v>0</v>
      </c>
      <c r="P2771" s="27">
        <f>IF($M2771="","",IF($F2771="Compareceu",MAX(0,$M2771-N($H2771)),0))</f>
        <v>0</v>
      </c>
      <c r="Q2771" s="19">
        <f>IF(AND($F2771="Compareceu",$E2771&lt;&gt;"",$A2771&lt;&gt;""),IF(IFERROR(INDEX(ProcRet,MATCH($E2771,ProcNome,0)),0)&gt;0,$A2771+INDEX(ProcRet,MATCH($E2771,ProcNome,0)),""),"")</f>
        <v>0</v>
      </c>
      <c r="R2771" s="26">
        <f>IF($Q2771="","",IF(COUNTIFS(AgPac,$D2771,AgData,"&gt;"&amp;$A2771,AgStatus,"&lt;&gt;Cancelado",AgStatus,"&lt;&gt;Remarcado")&gt;0,"Sim","Não"))</f>
        <v>0</v>
      </c>
      <c r="S2771" s="28">
        <f>IF($A2771="","",IF(AND($F2771="Agendado",$A2771-Hoje&gt;=0,$A2771-Hoje&lt;=DiasConf),"CONFIRMAR",IF(AND($A2771&lt;Hoje,OR($F2771="Agendado",$F2771="Confirmado")),"Atualizar status",IF(AND($F2771="Compareceu",$P2771&gt;0.005),"Cobrar",IF($F2771="Faltou","Falta: reagendar","")))))</f>
        <v>0</v>
      </c>
      <c r="T2771" s="29">
        <f>IF($A2771="","",DATE(YEAR($A2771),MONTH($A2771),1))</f>
        <v>0</v>
      </c>
      <c r="U2771" s="30">
        <f>IF($S2771="CONFIRMAR",MAX($U$4:$U2770)+1,"")</f>
        <v>0</v>
      </c>
      <c r="V2771" s="30">
        <f>IF(AND($R2771="Não",$Q2771&lt;&gt;"",$Q2771&lt;=Hoje+JanelaRet,$Q2771&gt;=Hoje-60),MAX($V$4:$V2770)+1,"")</f>
        <v>0</v>
      </c>
    </row>
    <row r="2772" spans="1:22">
      <c r="A2772" s="16"/>
      <c r="B2772" s="23"/>
      <c r="C2772" s="15"/>
      <c r="D2772" s="15"/>
      <c r="E2772" s="15"/>
      <c r="F2772" s="24"/>
      <c r="G2772" s="17"/>
      <c r="H2772" s="17"/>
      <c r="I2772" s="15"/>
      <c r="J2772" s="25">
        <f>IF($D2772="","",IFERROR(INDEX(PacNome,MATCH($D2772,PacCod,0)),"Paciente não cadastrado"))</f>
        <v>0</v>
      </c>
      <c r="K2772" s="26">
        <f>IF($D2772="","",IFERROR(INDEX(PacConv,MATCH($D2772,PacCod,0))&amp;"",""))</f>
        <v>0</v>
      </c>
      <c r="L2772" s="26">
        <f>IF($A2772="","",CHOOSE(WEEKDAY($A2772,2),"Seg","Ter","Qua","Qui","Sex","Sáb","Dom"))</f>
        <v>0</v>
      </c>
      <c r="M2772" s="27">
        <f>IF($E2772="","",IF($G2772&lt;&gt;"",$G2772,IFERROR(INDEX(ProcValor,MATCH($E2772,ProcNome,0)),0)))</f>
        <v>0</v>
      </c>
      <c r="N2772" s="27">
        <f>IF($M2772="","",IF($F2772="Compareceu",$M2772,0))</f>
        <v>0</v>
      </c>
      <c r="O2772" s="27">
        <f>IF($M2772="","",IF($F2772="Faltou",$M2772,0))</f>
        <v>0</v>
      </c>
      <c r="P2772" s="27">
        <f>IF($M2772="","",IF($F2772="Compareceu",MAX(0,$M2772-N($H2772)),0))</f>
        <v>0</v>
      </c>
      <c r="Q2772" s="19">
        <f>IF(AND($F2772="Compareceu",$E2772&lt;&gt;"",$A2772&lt;&gt;""),IF(IFERROR(INDEX(ProcRet,MATCH($E2772,ProcNome,0)),0)&gt;0,$A2772+INDEX(ProcRet,MATCH($E2772,ProcNome,0)),""),"")</f>
        <v>0</v>
      </c>
      <c r="R2772" s="26">
        <f>IF($Q2772="","",IF(COUNTIFS(AgPac,$D2772,AgData,"&gt;"&amp;$A2772,AgStatus,"&lt;&gt;Cancelado",AgStatus,"&lt;&gt;Remarcado")&gt;0,"Sim","Não"))</f>
        <v>0</v>
      </c>
      <c r="S2772" s="28">
        <f>IF($A2772="","",IF(AND($F2772="Agendado",$A2772-Hoje&gt;=0,$A2772-Hoje&lt;=DiasConf),"CONFIRMAR",IF(AND($A2772&lt;Hoje,OR($F2772="Agendado",$F2772="Confirmado")),"Atualizar status",IF(AND($F2772="Compareceu",$P2772&gt;0.005),"Cobrar",IF($F2772="Faltou","Falta: reagendar","")))))</f>
        <v>0</v>
      </c>
      <c r="T2772" s="29">
        <f>IF($A2772="","",DATE(YEAR($A2772),MONTH($A2772),1))</f>
        <v>0</v>
      </c>
      <c r="U2772" s="30">
        <f>IF($S2772="CONFIRMAR",MAX($U$4:$U2771)+1,"")</f>
        <v>0</v>
      </c>
      <c r="V2772" s="30">
        <f>IF(AND($R2772="Não",$Q2772&lt;&gt;"",$Q2772&lt;=Hoje+JanelaRet,$Q2772&gt;=Hoje-60),MAX($V$4:$V2771)+1,"")</f>
        <v>0</v>
      </c>
    </row>
    <row r="2773" spans="1:22">
      <c r="A2773" s="16"/>
      <c r="B2773" s="23"/>
      <c r="C2773" s="15"/>
      <c r="D2773" s="15"/>
      <c r="E2773" s="15"/>
      <c r="F2773" s="24"/>
      <c r="G2773" s="17"/>
      <c r="H2773" s="17"/>
      <c r="I2773" s="15"/>
      <c r="J2773" s="25">
        <f>IF($D2773="","",IFERROR(INDEX(PacNome,MATCH($D2773,PacCod,0)),"Paciente não cadastrado"))</f>
        <v>0</v>
      </c>
      <c r="K2773" s="26">
        <f>IF($D2773="","",IFERROR(INDEX(PacConv,MATCH($D2773,PacCod,0))&amp;"",""))</f>
        <v>0</v>
      </c>
      <c r="L2773" s="26">
        <f>IF($A2773="","",CHOOSE(WEEKDAY($A2773,2),"Seg","Ter","Qua","Qui","Sex","Sáb","Dom"))</f>
        <v>0</v>
      </c>
      <c r="M2773" s="27">
        <f>IF($E2773="","",IF($G2773&lt;&gt;"",$G2773,IFERROR(INDEX(ProcValor,MATCH($E2773,ProcNome,0)),0)))</f>
        <v>0</v>
      </c>
      <c r="N2773" s="27">
        <f>IF($M2773="","",IF($F2773="Compareceu",$M2773,0))</f>
        <v>0</v>
      </c>
      <c r="O2773" s="27">
        <f>IF($M2773="","",IF($F2773="Faltou",$M2773,0))</f>
        <v>0</v>
      </c>
      <c r="P2773" s="27">
        <f>IF($M2773="","",IF($F2773="Compareceu",MAX(0,$M2773-N($H2773)),0))</f>
        <v>0</v>
      </c>
      <c r="Q2773" s="19">
        <f>IF(AND($F2773="Compareceu",$E2773&lt;&gt;"",$A2773&lt;&gt;""),IF(IFERROR(INDEX(ProcRet,MATCH($E2773,ProcNome,0)),0)&gt;0,$A2773+INDEX(ProcRet,MATCH($E2773,ProcNome,0)),""),"")</f>
        <v>0</v>
      </c>
      <c r="R2773" s="26">
        <f>IF($Q2773="","",IF(COUNTIFS(AgPac,$D2773,AgData,"&gt;"&amp;$A2773,AgStatus,"&lt;&gt;Cancelado",AgStatus,"&lt;&gt;Remarcado")&gt;0,"Sim","Não"))</f>
        <v>0</v>
      </c>
      <c r="S2773" s="28">
        <f>IF($A2773="","",IF(AND($F2773="Agendado",$A2773-Hoje&gt;=0,$A2773-Hoje&lt;=DiasConf),"CONFIRMAR",IF(AND($A2773&lt;Hoje,OR($F2773="Agendado",$F2773="Confirmado")),"Atualizar status",IF(AND($F2773="Compareceu",$P2773&gt;0.005),"Cobrar",IF($F2773="Faltou","Falta: reagendar","")))))</f>
        <v>0</v>
      </c>
      <c r="T2773" s="29">
        <f>IF($A2773="","",DATE(YEAR($A2773),MONTH($A2773),1))</f>
        <v>0</v>
      </c>
      <c r="U2773" s="30">
        <f>IF($S2773="CONFIRMAR",MAX($U$4:$U2772)+1,"")</f>
        <v>0</v>
      </c>
      <c r="V2773" s="30">
        <f>IF(AND($R2773="Não",$Q2773&lt;&gt;"",$Q2773&lt;=Hoje+JanelaRet,$Q2773&gt;=Hoje-60),MAX($V$4:$V2772)+1,"")</f>
        <v>0</v>
      </c>
    </row>
    <row r="2774" spans="1:22">
      <c r="A2774" s="16"/>
      <c r="B2774" s="23"/>
      <c r="C2774" s="15"/>
      <c r="D2774" s="15"/>
      <c r="E2774" s="15"/>
      <c r="F2774" s="24"/>
      <c r="G2774" s="17"/>
      <c r="H2774" s="17"/>
      <c r="I2774" s="15"/>
      <c r="J2774" s="25">
        <f>IF($D2774="","",IFERROR(INDEX(PacNome,MATCH($D2774,PacCod,0)),"Paciente não cadastrado"))</f>
        <v>0</v>
      </c>
      <c r="K2774" s="26">
        <f>IF($D2774="","",IFERROR(INDEX(PacConv,MATCH($D2774,PacCod,0))&amp;"",""))</f>
        <v>0</v>
      </c>
      <c r="L2774" s="26">
        <f>IF($A2774="","",CHOOSE(WEEKDAY($A2774,2),"Seg","Ter","Qua","Qui","Sex","Sáb","Dom"))</f>
        <v>0</v>
      </c>
      <c r="M2774" s="27">
        <f>IF($E2774="","",IF($G2774&lt;&gt;"",$G2774,IFERROR(INDEX(ProcValor,MATCH($E2774,ProcNome,0)),0)))</f>
        <v>0</v>
      </c>
      <c r="N2774" s="27">
        <f>IF($M2774="","",IF($F2774="Compareceu",$M2774,0))</f>
        <v>0</v>
      </c>
      <c r="O2774" s="27">
        <f>IF($M2774="","",IF($F2774="Faltou",$M2774,0))</f>
        <v>0</v>
      </c>
      <c r="P2774" s="27">
        <f>IF($M2774="","",IF($F2774="Compareceu",MAX(0,$M2774-N($H2774)),0))</f>
        <v>0</v>
      </c>
      <c r="Q2774" s="19">
        <f>IF(AND($F2774="Compareceu",$E2774&lt;&gt;"",$A2774&lt;&gt;""),IF(IFERROR(INDEX(ProcRet,MATCH($E2774,ProcNome,0)),0)&gt;0,$A2774+INDEX(ProcRet,MATCH($E2774,ProcNome,0)),""),"")</f>
        <v>0</v>
      </c>
      <c r="R2774" s="26">
        <f>IF($Q2774="","",IF(COUNTIFS(AgPac,$D2774,AgData,"&gt;"&amp;$A2774,AgStatus,"&lt;&gt;Cancelado",AgStatus,"&lt;&gt;Remarcado")&gt;0,"Sim","Não"))</f>
        <v>0</v>
      </c>
      <c r="S2774" s="28">
        <f>IF($A2774="","",IF(AND($F2774="Agendado",$A2774-Hoje&gt;=0,$A2774-Hoje&lt;=DiasConf),"CONFIRMAR",IF(AND($A2774&lt;Hoje,OR($F2774="Agendado",$F2774="Confirmado")),"Atualizar status",IF(AND($F2774="Compareceu",$P2774&gt;0.005),"Cobrar",IF($F2774="Faltou","Falta: reagendar","")))))</f>
        <v>0</v>
      </c>
      <c r="T2774" s="29">
        <f>IF($A2774="","",DATE(YEAR($A2774),MONTH($A2774),1))</f>
        <v>0</v>
      </c>
      <c r="U2774" s="30">
        <f>IF($S2774="CONFIRMAR",MAX($U$4:$U2773)+1,"")</f>
        <v>0</v>
      </c>
      <c r="V2774" s="30">
        <f>IF(AND($R2774="Não",$Q2774&lt;&gt;"",$Q2774&lt;=Hoje+JanelaRet,$Q2774&gt;=Hoje-60),MAX($V$4:$V2773)+1,"")</f>
        <v>0</v>
      </c>
    </row>
    <row r="2775" spans="1:22">
      <c r="A2775" s="16"/>
      <c r="B2775" s="23"/>
      <c r="C2775" s="15"/>
      <c r="D2775" s="15"/>
      <c r="E2775" s="15"/>
      <c r="F2775" s="24"/>
      <c r="G2775" s="17"/>
      <c r="H2775" s="17"/>
      <c r="I2775" s="15"/>
      <c r="J2775" s="25">
        <f>IF($D2775="","",IFERROR(INDEX(PacNome,MATCH($D2775,PacCod,0)),"Paciente não cadastrado"))</f>
        <v>0</v>
      </c>
      <c r="K2775" s="26">
        <f>IF($D2775="","",IFERROR(INDEX(PacConv,MATCH($D2775,PacCod,0))&amp;"",""))</f>
        <v>0</v>
      </c>
      <c r="L2775" s="26">
        <f>IF($A2775="","",CHOOSE(WEEKDAY($A2775,2),"Seg","Ter","Qua","Qui","Sex","Sáb","Dom"))</f>
        <v>0</v>
      </c>
      <c r="M2775" s="27">
        <f>IF($E2775="","",IF($G2775&lt;&gt;"",$G2775,IFERROR(INDEX(ProcValor,MATCH($E2775,ProcNome,0)),0)))</f>
        <v>0</v>
      </c>
      <c r="N2775" s="27">
        <f>IF($M2775="","",IF($F2775="Compareceu",$M2775,0))</f>
        <v>0</v>
      </c>
      <c r="O2775" s="27">
        <f>IF($M2775="","",IF($F2775="Faltou",$M2775,0))</f>
        <v>0</v>
      </c>
      <c r="P2775" s="27">
        <f>IF($M2775="","",IF($F2775="Compareceu",MAX(0,$M2775-N($H2775)),0))</f>
        <v>0</v>
      </c>
      <c r="Q2775" s="19">
        <f>IF(AND($F2775="Compareceu",$E2775&lt;&gt;"",$A2775&lt;&gt;""),IF(IFERROR(INDEX(ProcRet,MATCH($E2775,ProcNome,0)),0)&gt;0,$A2775+INDEX(ProcRet,MATCH($E2775,ProcNome,0)),""),"")</f>
        <v>0</v>
      </c>
      <c r="R2775" s="26">
        <f>IF($Q2775="","",IF(COUNTIFS(AgPac,$D2775,AgData,"&gt;"&amp;$A2775,AgStatus,"&lt;&gt;Cancelado",AgStatus,"&lt;&gt;Remarcado")&gt;0,"Sim","Não"))</f>
        <v>0</v>
      </c>
      <c r="S2775" s="28">
        <f>IF($A2775="","",IF(AND($F2775="Agendado",$A2775-Hoje&gt;=0,$A2775-Hoje&lt;=DiasConf),"CONFIRMAR",IF(AND($A2775&lt;Hoje,OR($F2775="Agendado",$F2775="Confirmado")),"Atualizar status",IF(AND($F2775="Compareceu",$P2775&gt;0.005),"Cobrar",IF($F2775="Faltou","Falta: reagendar","")))))</f>
        <v>0</v>
      </c>
      <c r="T2775" s="29">
        <f>IF($A2775="","",DATE(YEAR($A2775),MONTH($A2775),1))</f>
        <v>0</v>
      </c>
      <c r="U2775" s="30">
        <f>IF($S2775="CONFIRMAR",MAX($U$4:$U2774)+1,"")</f>
        <v>0</v>
      </c>
      <c r="V2775" s="30">
        <f>IF(AND($R2775="Não",$Q2775&lt;&gt;"",$Q2775&lt;=Hoje+JanelaRet,$Q2775&gt;=Hoje-60),MAX($V$4:$V2774)+1,"")</f>
        <v>0</v>
      </c>
    </row>
    <row r="2776" spans="1:22">
      <c r="A2776" s="16"/>
      <c r="B2776" s="23"/>
      <c r="C2776" s="15"/>
      <c r="D2776" s="15"/>
      <c r="E2776" s="15"/>
      <c r="F2776" s="24"/>
      <c r="G2776" s="17"/>
      <c r="H2776" s="17"/>
      <c r="I2776" s="15"/>
      <c r="J2776" s="25">
        <f>IF($D2776="","",IFERROR(INDEX(PacNome,MATCH($D2776,PacCod,0)),"Paciente não cadastrado"))</f>
        <v>0</v>
      </c>
      <c r="K2776" s="26">
        <f>IF($D2776="","",IFERROR(INDEX(PacConv,MATCH($D2776,PacCod,0))&amp;"",""))</f>
        <v>0</v>
      </c>
      <c r="L2776" s="26">
        <f>IF($A2776="","",CHOOSE(WEEKDAY($A2776,2),"Seg","Ter","Qua","Qui","Sex","Sáb","Dom"))</f>
        <v>0</v>
      </c>
      <c r="M2776" s="27">
        <f>IF($E2776="","",IF($G2776&lt;&gt;"",$G2776,IFERROR(INDEX(ProcValor,MATCH($E2776,ProcNome,0)),0)))</f>
        <v>0</v>
      </c>
      <c r="N2776" s="27">
        <f>IF($M2776="","",IF($F2776="Compareceu",$M2776,0))</f>
        <v>0</v>
      </c>
      <c r="O2776" s="27">
        <f>IF($M2776="","",IF($F2776="Faltou",$M2776,0))</f>
        <v>0</v>
      </c>
      <c r="P2776" s="27">
        <f>IF($M2776="","",IF($F2776="Compareceu",MAX(0,$M2776-N($H2776)),0))</f>
        <v>0</v>
      </c>
      <c r="Q2776" s="19">
        <f>IF(AND($F2776="Compareceu",$E2776&lt;&gt;"",$A2776&lt;&gt;""),IF(IFERROR(INDEX(ProcRet,MATCH($E2776,ProcNome,0)),0)&gt;0,$A2776+INDEX(ProcRet,MATCH($E2776,ProcNome,0)),""),"")</f>
        <v>0</v>
      </c>
      <c r="R2776" s="26">
        <f>IF($Q2776="","",IF(COUNTIFS(AgPac,$D2776,AgData,"&gt;"&amp;$A2776,AgStatus,"&lt;&gt;Cancelado",AgStatus,"&lt;&gt;Remarcado")&gt;0,"Sim","Não"))</f>
        <v>0</v>
      </c>
      <c r="S2776" s="28">
        <f>IF($A2776="","",IF(AND($F2776="Agendado",$A2776-Hoje&gt;=0,$A2776-Hoje&lt;=DiasConf),"CONFIRMAR",IF(AND($A2776&lt;Hoje,OR($F2776="Agendado",$F2776="Confirmado")),"Atualizar status",IF(AND($F2776="Compareceu",$P2776&gt;0.005),"Cobrar",IF($F2776="Faltou","Falta: reagendar","")))))</f>
        <v>0</v>
      </c>
      <c r="T2776" s="29">
        <f>IF($A2776="","",DATE(YEAR($A2776),MONTH($A2776),1))</f>
        <v>0</v>
      </c>
      <c r="U2776" s="30">
        <f>IF($S2776="CONFIRMAR",MAX($U$4:$U2775)+1,"")</f>
        <v>0</v>
      </c>
      <c r="V2776" s="30">
        <f>IF(AND($R2776="Não",$Q2776&lt;&gt;"",$Q2776&lt;=Hoje+JanelaRet,$Q2776&gt;=Hoje-60),MAX($V$4:$V2775)+1,"")</f>
        <v>0</v>
      </c>
    </row>
    <row r="2777" spans="1:22">
      <c r="A2777" s="16"/>
      <c r="B2777" s="23"/>
      <c r="C2777" s="15"/>
      <c r="D2777" s="15"/>
      <c r="E2777" s="15"/>
      <c r="F2777" s="24"/>
      <c r="G2777" s="17"/>
      <c r="H2777" s="17"/>
      <c r="I2777" s="15"/>
      <c r="J2777" s="25">
        <f>IF($D2777="","",IFERROR(INDEX(PacNome,MATCH($D2777,PacCod,0)),"Paciente não cadastrado"))</f>
        <v>0</v>
      </c>
      <c r="K2777" s="26">
        <f>IF($D2777="","",IFERROR(INDEX(PacConv,MATCH($D2777,PacCod,0))&amp;"",""))</f>
        <v>0</v>
      </c>
      <c r="L2777" s="26">
        <f>IF($A2777="","",CHOOSE(WEEKDAY($A2777,2),"Seg","Ter","Qua","Qui","Sex","Sáb","Dom"))</f>
        <v>0</v>
      </c>
      <c r="M2777" s="27">
        <f>IF($E2777="","",IF($G2777&lt;&gt;"",$G2777,IFERROR(INDEX(ProcValor,MATCH($E2777,ProcNome,0)),0)))</f>
        <v>0</v>
      </c>
      <c r="N2777" s="27">
        <f>IF($M2777="","",IF($F2777="Compareceu",$M2777,0))</f>
        <v>0</v>
      </c>
      <c r="O2777" s="27">
        <f>IF($M2777="","",IF($F2777="Faltou",$M2777,0))</f>
        <v>0</v>
      </c>
      <c r="P2777" s="27">
        <f>IF($M2777="","",IF($F2777="Compareceu",MAX(0,$M2777-N($H2777)),0))</f>
        <v>0</v>
      </c>
      <c r="Q2777" s="19">
        <f>IF(AND($F2777="Compareceu",$E2777&lt;&gt;"",$A2777&lt;&gt;""),IF(IFERROR(INDEX(ProcRet,MATCH($E2777,ProcNome,0)),0)&gt;0,$A2777+INDEX(ProcRet,MATCH($E2777,ProcNome,0)),""),"")</f>
        <v>0</v>
      </c>
      <c r="R2777" s="26">
        <f>IF($Q2777="","",IF(COUNTIFS(AgPac,$D2777,AgData,"&gt;"&amp;$A2777,AgStatus,"&lt;&gt;Cancelado",AgStatus,"&lt;&gt;Remarcado")&gt;0,"Sim","Não"))</f>
        <v>0</v>
      </c>
      <c r="S2777" s="28">
        <f>IF($A2777="","",IF(AND($F2777="Agendado",$A2777-Hoje&gt;=0,$A2777-Hoje&lt;=DiasConf),"CONFIRMAR",IF(AND($A2777&lt;Hoje,OR($F2777="Agendado",$F2777="Confirmado")),"Atualizar status",IF(AND($F2777="Compareceu",$P2777&gt;0.005),"Cobrar",IF($F2777="Faltou","Falta: reagendar","")))))</f>
        <v>0</v>
      </c>
      <c r="T2777" s="29">
        <f>IF($A2777="","",DATE(YEAR($A2777),MONTH($A2777),1))</f>
        <v>0</v>
      </c>
      <c r="U2777" s="30">
        <f>IF($S2777="CONFIRMAR",MAX($U$4:$U2776)+1,"")</f>
        <v>0</v>
      </c>
      <c r="V2777" s="30">
        <f>IF(AND($R2777="Não",$Q2777&lt;&gt;"",$Q2777&lt;=Hoje+JanelaRet,$Q2777&gt;=Hoje-60),MAX($V$4:$V2776)+1,"")</f>
        <v>0</v>
      </c>
    </row>
    <row r="2778" spans="1:22">
      <c r="A2778" s="16"/>
      <c r="B2778" s="23"/>
      <c r="C2778" s="15"/>
      <c r="D2778" s="15"/>
      <c r="E2778" s="15"/>
      <c r="F2778" s="24"/>
      <c r="G2778" s="17"/>
      <c r="H2778" s="17"/>
      <c r="I2778" s="15"/>
      <c r="J2778" s="25">
        <f>IF($D2778="","",IFERROR(INDEX(PacNome,MATCH($D2778,PacCod,0)),"Paciente não cadastrado"))</f>
        <v>0</v>
      </c>
      <c r="K2778" s="26">
        <f>IF($D2778="","",IFERROR(INDEX(PacConv,MATCH($D2778,PacCod,0))&amp;"",""))</f>
        <v>0</v>
      </c>
      <c r="L2778" s="26">
        <f>IF($A2778="","",CHOOSE(WEEKDAY($A2778,2),"Seg","Ter","Qua","Qui","Sex","Sáb","Dom"))</f>
        <v>0</v>
      </c>
      <c r="M2778" s="27">
        <f>IF($E2778="","",IF($G2778&lt;&gt;"",$G2778,IFERROR(INDEX(ProcValor,MATCH($E2778,ProcNome,0)),0)))</f>
        <v>0</v>
      </c>
      <c r="N2778" s="27">
        <f>IF($M2778="","",IF($F2778="Compareceu",$M2778,0))</f>
        <v>0</v>
      </c>
      <c r="O2778" s="27">
        <f>IF($M2778="","",IF($F2778="Faltou",$M2778,0))</f>
        <v>0</v>
      </c>
      <c r="P2778" s="27">
        <f>IF($M2778="","",IF($F2778="Compareceu",MAX(0,$M2778-N($H2778)),0))</f>
        <v>0</v>
      </c>
      <c r="Q2778" s="19">
        <f>IF(AND($F2778="Compareceu",$E2778&lt;&gt;"",$A2778&lt;&gt;""),IF(IFERROR(INDEX(ProcRet,MATCH($E2778,ProcNome,0)),0)&gt;0,$A2778+INDEX(ProcRet,MATCH($E2778,ProcNome,0)),""),"")</f>
        <v>0</v>
      </c>
      <c r="R2778" s="26">
        <f>IF($Q2778="","",IF(COUNTIFS(AgPac,$D2778,AgData,"&gt;"&amp;$A2778,AgStatus,"&lt;&gt;Cancelado",AgStatus,"&lt;&gt;Remarcado")&gt;0,"Sim","Não"))</f>
        <v>0</v>
      </c>
      <c r="S2778" s="28">
        <f>IF($A2778="","",IF(AND($F2778="Agendado",$A2778-Hoje&gt;=0,$A2778-Hoje&lt;=DiasConf),"CONFIRMAR",IF(AND($A2778&lt;Hoje,OR($F2778="Agendado",$F2778="Confirmado")),"Atualizar status",IF(AND($F2778="Compareceu",$P2778&gt;0.005),"Cobrar",IF($F2778="Faltou","Falta: reagendar","")))))</f>
        <v>0</v>
      </c>
      <c r="T2778" s="29">
        <f>IF($A2778="","",DATE(YEAR($A2778),MONTH($A2778),1))</f>
        <v>0</v>
      </c>
      <c r="U2778" s="30">
        <f>IF($S2778="CONFIRMAR",MAX($U$4:$U2777)+1,"")</f>
        <v>0</v>
      </c>
      <c r="V2778" s="30">
        <f>IF(AND($R2778="Não",$Q2778&lt;&gt;"",$Q2778&lt;=Hoje+JanelaRet,$Q2778&gt;=Hoje-60),MAX($V$4:$V2777)+1,"")</f>
        <v>0</v>
      </c>
    </row>
    <row r="2779" spans="1:22">
      <c r="A2779" s="16"/>
      <c r="B2779" s="23"/>
      <c r="C2779" s="15"/>
      <c r="D2779" s="15"/>
      <c r="E2779" s="15"/>
      <c r="F2779" s="24"/>
      <c r="G2779" s="17"/>
      <c r="H2779" s="17"/>
      <c r="I2779" s="15"/>
      <c r="J2779" s="25">
        <f>IF($D2779="","",IFERROR(INDEX(PacNome,MATCH($D2779,PacCod,0)),"Paciente não cadastrado"))</f>
        <v>0</v>
      </c>
      <c r="K2779" s="26">
        <f>IF($D2779="","",IFERROR(INDEX(PacConv,MATCH($D2779,PacCod,0))&amp;"",""))</f>
        <v>0</v>
      </c>
      <c r="L2779" s="26">
        <f>IF($A2779="","",CHOOSE(WEEKDAY($A2779,2),"Seg","Ter","Qua","Qui","Sex","Sáb","Dom"))</f>
        <v>0</v>
      </c>
      <c r="M2779" s="27">
        <f>IF($E2779="","",IF($G2779&lt;&gt;"",$G2779,IFERROR(INDEX(ProcValor,MATCH($E2779,ProcNome,0)),0)))</f>
        <v>0</v>
      </c>
      <c r="N2779" s="27">
        <f>IF($M2779="","",IF($F2779="Compareceu",$M2779,0))</f>
        <v>0</v>
      </c>
      <c r="O2779" s="27">
        <f>IF($M2779="","",IF($F2779="Faltou",$M2779,0))</f>
        <v>0</v>
      </c>
      <c r="P2779" s="27">
        <f>IF($M2779="","",IF($F2779="Compareceu",MAX(0,$M2779-N($H2779)),0))</f>
        <v>0</v>
      </c>
      <c r="Q2779" s="19">
        <f>IF(AND($F2779="Compareceu",$E2779&lt;&gt;"",$A2779&lt;&gt;""),IF(IFERROR(INDEX(ProcRet,MATCH($E2779,ProcNome,0)),0)&gt;0,$A2779+INDEX(ProcRet,MATCH($E2779,ProcNome,0)),""),"")</f>
        <v>0</v>
      </c>
      <c r="R2779" s="26">
        <f>IF($Q2779="","",IF(COUNTIFS(AgPac,$D2779,AgData,"&gt;"&amp;$A2779,AgStatus,"&lt;&gt;Cancelado",AgStatus,"&lt;&gt;Remarcado")&gt;0,"Sim","Não"))</f>
        <v>0</v>
      </c>
      <c r="S2779" s="28">
        <f>IF($A2779="","",IF(AND($F2779="Agendado",$A2779-Hoje&gt;=0,$A2779-Hoje&lt;=DiasConf),"CONFIRMAR",IF(AND($A2779&lt;Hoje,OR($F2779="Agendado",$F2779="Confirmado")),"Atualizar status",IF(AND($F2779="Compareceu",$P2779&gt;0.005),"Cobrar",IF($F2779="Faltou","Falta: reagendar","")))))</f>
        <v>0</v>
      </c>
      <c r="T2779" s="29">
        <f>IF($A2779="","",DATE(YEAR($A2779),MONTH($A2779),1))</f>
        <v>0</v>
      </c>
      <c r="U2779" s="30">
        <f>IF($S2779="CONFIRMAR",MAX($U$4:$U2778)+1,"")</f>
        <v>0</v>
      </c>
      <c r="V2779" s="30">
        <f>IF(AND($R2779="Não",$Q2779&lt;&gt;"",$Q2779&lt;=Hoje+JanelaRet,$Q2779&gt;=Hoje-60),MAX($V$4:$V2778)+1,"")</f>
        <v>0</v>
      </c>
    </row>
    <row r="2780" spans="1:22">
      <c r="A2780" s="16"/>
      <c r="B2780" s="23"/>
      <c r="C2780" s="15"/>
      <c r="D2780" s="15"/>
      <c r="E2780" s="15"/>
      <c r="F2780" s="24"/>
      <c r="G2780" s="17"/>
      <c r="H2780" s="17"/>
      <c r="I2780" s="15"/>
      <c r="J2780" s="25">
        <f>IF($D2780="","",IFERROR(INDEX(PacNome,MATCH($D2780,PacCod,0)),"Paciente não cadastrado"))</f>
        <v>0</v>
      </c>
      <c r="K2780" s="26">
        <f>IF($D2780="","",IFERROR(INDEX(PacConv,MATCH($D2780,PacCod,0))&amp;"",""))</f>
        <v>0</v>
      </c>
      <c r="L2780" s="26">
        <f>IF($A2780="","",CHOOSE(WEEKDAY($A2780,2),"Seg","Ter","Qua","Qui","Sex","Sáb","Dom"))</f>
        <v>0</v>
      </c>
      <c r="M2780" s="27">
        <f>IF($E2780="","",IF($G2780&lt;&gt;"",$G2780,IFERROR(INDEX(ProcValor,MATCH($E2780,ProcNome,0)),0)))</f>
        <v>0</v>
      </c>
      <c r="N2780" s="27">
        <f>IF($M2780="","",IF($F2780="Compareceu",$M2780,0))</f>
        <v>0</v>
      </c>
      <c r="O2780" s="27">
        <f>IF($M2780="","",IF($F2780="Faltou",$M2780,0))</f>
        <v>0</v>
      </c>
      <c r="P2780" s="27">
        <f>IF($M2780="","",IF($F2780="Compareceu",MAX(0,$M2780-N($H2780)),0))</f>
        <v>0</v>
      </c>
      <c r="Q2780" s="19">
        <f>IF(AND($F2780="Compareceu",$E2780&lt;&gt;"",$A2780&lt;&gt;""),IF(IFERROR(INDEX(ProcRet,MATCH($E2780,ProcNome,0)),0)&gt;0,$A2780+INDEX(ProcRet,MATCH($E2780,ProcNome,0)),""),"")</f>
        <v>0</v>
      </c>
      <c r="R2780" s="26">
        <f>IF($Q2780="","",IF(COUNTIFS(AgPac,$D2780,AgData,"&gt;"&amp;$A2780,AgStatus,"&lt;&gt;Cancelado",AgStatus,"&lt;&gt;Remarcado")&gt;0,"Sim","Não"))</f>
        <v>0</v>
      </c>
      <c r="S2780" s="28">
        <f>IF($A2780="","",IF(AND($F2780="Agendado",$A2780-Hoje&gt;=0,$A2780-Hoje&lt;=DiasConf),"CONFIRMAR",IF(AND($A2780&lt;Hoje,OR($F2780="Agendado",$F2780="Confirmado")),"Atualizar status",IF(AND($F2780="Compareceu",$P2780&gt;0.005),"Cobrar",IF($F2780="Faltou","Falta: reagendar","")))))</f>
        <v>0</v>
      </c>
      <c r="T2780" s="29">
        <f>IF($A2780="","",DATE(YEAR($A2780),MONTH($A2780),1))</f>
        <v>0</v>
      </c>
      <c r="U2780" s="30">
        <f>IF($S2780="CONFIRMAR",MAX($U$4:$U2779)+1,"")</f>
        <v>0</v>
      </c>
      <c r="V2780" s="30">
        <f>IF(AND($R2780="Não",$Q2780&lt;&gt;"",$Q2780&lt;=Hoje+JanelaRet,$Q2780&gt;=Hoje-60),MAX($V$4:$V2779)+1,"")</f>
        <v>0</v>
      </c>
    </row>
    <row r="2781" spans="1:22">
      <c r="A2781" s="16"/>
      <c r="B2781" s="23"/>
      <c r="C2781" s="15"/>
      <c r="D2781" s="15"/>
      <c r="E2781" s="15"/>
      <c r="F2781" s="24"/>
      <c r="G2781" s="17"/>
      <c r="H2781" s="17"/>
      <c r="I2781" s="15"/>
      <c r="J2781" s="25">
        <f>IF($D2781="","",IFERROR(INDEX(PacNome,MATCH($D2781,PacCod,0)),"Paciente não cadastrado"))</f>
        <v>0</v>
      </c>
      <c r="K2781" s="26">
        <f>IF($D2781="","",IFERROR(INDEX(PacConv,MATCH($D2781,PacCod,0))&amp;"",""))</f>
        <v>0</v>
      </c>
      <c r="L2781" s="26">
        <f>IF($A2781="","",CHOOSE(WEEKDAY($A2781,2),"Seg","Ter","Qua","Qui","Sex","Sáb","Dom"))</f>
        <v>0</v>
      </c>
      <c r="M2781" s="27">
        <f>IF($E2781="","",IF($G2781&lt;&gt;"",$G2781,IFERROR(INDEX(ProcValor,MATCH($E2781,ProcNome,0)),0)))</f>
        <v>0</v>
      </c>
      <c r="N2781" s="27">
        <f>IF($M2781="","",IF($F2781="Compareceu",$M2781,0))</f>
        <v>0</v>
      </c>
      <c r="O2781" s="27">
        <f>IF($M2781="","",IF($F2781="Faltou",$M2781,0))</f>
        <v>0</v>
      </c>
      <c r="P2781" s="27">
        <f>IF($M2781="","",IF($F2781="Compareceu",MAX(0,$M2781-N($H2781)),0))</f>
        <v>0</v>
      </c>
      <c r="Q2781" s="19">
        <f>IF(AND($F2781="Compareceu",$E2781&lt;&gt;"",$A2781&lt;&gt;""),IF(IFERROR(INDEX(ProcRet,MATCH($E2781,ProcNome,0)),0)&gt;0,$A2781+INDEX(ProcRet,MATCH($E2781,ProcNome,0)),""),"")</f>
        <v>0</v>
      </c>
      <c r="R2781" s="26">
        <f>IF($Q2781="","",IF(COUNTIFS(AgPac,$D2781,AgData,"&gt;"&amp;$A2781,AgStatus,"&lt;&gt;Cancelado",AgStatus,"&lt;&gt;Remarcado")&gt;0,"Sim","Não"))</f>
        <v>0</v>
      </c>
      <c r="S2781" s="28">
        <f>IF($A2781="","",IF(AND($F2781="Agendado",$A2781-Hoje&gt;=0,$A2781-Hoje&lt;=DiasConf),"CONFIRMAR",IF(AND($A2781&lt;Hoje,OR($F2781="Agendado",$F2781="Confirmado")),"Atualizar status",IF(AND($F2781="Compareceu",$P2781&gt;0.005),"Cobrar",IF($F2781="Faltou","Falta: reagendar","")))))</f>
        <v>0</v>
      </c>
      <c r="T2781" s="29">
        <f>IF($A2781="","",DATE(YEAR($A2781),MONTH($A2781),1))</f>
        <v>0</v>
      </c>
      <c r="U2781" s="30">
        <f>IF($S2781="CONFIRMAR",MAX($U$4:$U2780)+1,"")</f>
        <v>0</v>
      </c>
      <c r="V2781" s="30">
        <f>IF(AND($R2781="Não",$Q2781&lt;&gt;"",$Q2781&lt;=Hoje+JanelaRet,$Q2781&gt;=Hoje-60),MAX($V$4:$V2780)+1,"")</f>
        <v>0</v>
      </c>
    </row>
    <row r="2782" spans="1:22">
      <c r="A2782" s="16"/>
      <c r="B2782" s="23"/>
      <c r="C2782" s="15"/>
      <c r="D2782" s="15"/>
      <c r="E2782" s="15"/>
      <c r="F2782" s="24"/>
      <c r="G2782" s="17"/>
      <c r="H2782" s="17"/>
      <c r="I2782" s="15"/>
      <c r="J2782" s="25">
        <f>IF($D2782="","",IFERROR(INDEX(PacNome,MATCH($D2782,PacCod,0)),"Paciente não cadastrado"))</f>
        <v>0</v>
      </c>
      <c r="K2782" s="26">
        <f>IF($D2782="","",IFERROR(INDEX(PacConv,MATCH($D2782,PacCod,0))&amp;"",""))</f>
        <v>0</v>
      </c>
      <c r="L2782" s="26">
        <f>IF($A2782="","",CHOOSE(WEEKDAY($A2782,2),"Seg","Ter","Qua","Qui","Sex","Sáb","Dom"))</f>
        <v>0</v>
      </c>
      <c r="M2782" s="27">
        <f>IF($E2782="","",IF($G2782&lt;&gt;"",$G2782,IFERROR(INDEX(ProcValor,MATCH($E2782,ProcNome,0)),0)))</f>
        <v>0</v>
      </c>
      <c r="N2782" s="27">
        <f>IF($M2782="","",IF($F2782="Compareceu",$M2782,0))</f>
        <v>0</v>
      </c>
      <c r="O2782" s="27">
        <f>IF($M2782="","",IF($F2782="Faltou",$M2782,0))</f>
        <v>0</v>
      </c>
      <c r="P2782" s="27">
        <f>IF($M2782="","",IF($F2782="Compareceu",MAX(0,$M2782-N($H2782)),0))</f>
        <v>0</v>
      </c>
      <c r="Q2782" s="19">
        <f>IF(AND($F2782="Compareceu",$E2782&lt;&gt;"",$A2782&lt;&gt;""),IF(IFERROR(INDEX(ProcRet,MATCH($E2782,ProcNome,0)),0)&gt;0,$A2782+INDEX(ProcRet,MATCH($E2782,ProcNome,0)),""),"")</f>
        <v>0</v>
      </c>
      <c r="R2782" s="26">
        <f>IF($Q2782="","",IF(COUNTIFS(AgPac,$D2782,AgData,"&gt;"&amp;$A2782,AgStatus,"&lt;&gt;Cancelado",AgStatus,"&lt;&gt;Remarcado")&gt;0,"Sim","Não"))</f>
        <v>0</v>
      </c>
      <c r="S2782" s="28">
        <f>IF($A2782="","",IF(AND($F2782="Agendado",$A2782-Hoje&gt;=0,$A2782-Hoje&lt;=DiasConf),"CONFIRMAR",IF(AND($A2782&lt;Hoje,OR($F2782="Agendado",$F2782="Confirmado")),"Atualizar status",IF(AND($F2782="Compareceu",$P2782&gt;0.005),"Cobrar",IF($F2782="Faltou","Falta: reagendar","")))))</f>
        <v>0</v>
      </c>
      <c r="T2782" s="29">
        <f>IF($A2782="","",DATE(YEAR($A2782),MONTH($A2782),1))</f>
        <v>0</v>
      </c>
      <c r="U2782" s="30">
        <f>IF($S2782="CONFIRMAR",MAX($U$4:$U2781)+1,"")</f>
        <v>0</v>
      </c>
      <c r="V2782" s="30">
        <f>IF(AND($R2782="Não",$Q2782&lt;&gt;"",$Q2782&lt;=Hoje+JanelaRet,$Q2782&gt;=Hoje-60),MAX($V$4:$V2781)+1,"")</f>
        <v>0</v>
      </c>
    </row>
    <row r="2783" spans="1:22">
      <c r="A2783" s="16"/>
      <c r="B2783" s="23"/>
      <c r="C2783" s="15"/>
      <c r="D2783" s="15"/>
      <c r="E2783" s="15"/>
      <c r="F2783" s="24"/>
      <c r="G2783" s="17"/>
      <c r="H2783" s="17"/>
      <c r="I2783" s="15"/>
      <c r="J2783" s="25">
        <f>IF($D2783="","",IFERROR(INDEX(PacNome,MATCH($D2783,PacCod,0)),"Paciente não cadastrado"))</f>
        <v>0</v>
      </c>
      <c r="K2783" s="26">
        <f>IF($D2783="","",IFERROR(INDEX(PacConv,MATCH($D2783,PacCod,0))&amp;"",""))</f>
        <v>0</v>
      </c>
      <c r="L2783" s="26">
        <f>IF($A2783="","",CHOOSE(WEEKDAY($A2783,2),"Seg","Ter","Qua","Qui","Sex","Sáb","Dom"))</f>
        <v>0</v>
      </c>
      <c r="M2783" s="27">
        <f>IF($E2783="","",IF($G2783&lt;&gt;"",$G2783,IFERROR(INDEX(ProcValor,MATCH($E2783,ProcNome,0)),0)))</f>
        <v>0</v>
      </c>
      <c r="N2783" s="27">
        <f>IF($M2783="","",IF($F2783="Compareceu",$M2783,0))</f>
        <v>0</v>
      </c>
      <c r="O2783" s="27">
        <f>IF($M2783="","",IF($F2783="Faltou",$M2783,0))</f>
        <v>0</v>
      </c>
      <c r="P2783" s="27">
        <f>IF($M2783="","",IF($F2783="Compareceu",MAX(0,$M2783-N($H2783)),0))</f>
        <v>0</v>
      </c>
      <c r="Q2783" s="19">
        <f>IF(AND($F2783="Compareceu",$E2783&lt;&gt;"",$A2783&lt;&gt;""),IF(IFERROR(INDEX(ProcRet,MATCH($E2783,ProcNome,0)),0)&gt;0,$A2783+INDEX(ProcRet,MATCH($E2783,ProcNome,0)),""),"")</f>
        <v>0</v>
      </c>
      <c r="R2783" s="26">
        <f>IF($Q2783="","",IF(COUNTIFS(AgPac,$D2783,AgData,"&gt;"&amp;$A2783,AgStatus,"&lt;&gt;Cancelado",AgStatus,"&lt;&gt;Remarcado")&gt;0,"Sim","Não"))</f>
        <v>0</v>
      </c>
      <c r="S2783" s="28">
        <f>IF($A2783="","",IF(AND($F2783="Agendado",$A2783-Hoje&gt;=0,$A2783-Hoje&lt;=DiasConf),"CONFIRMAR",IF(AND($A2783&lt;Hoje,OR($F2783="Agendado",$F2783="Confirmado")),"Atualizar status",IF(AND($F2783="Compareceu",$P2783&gt;0.005),"Cobrar",IF($F2783="Faltou","Falta: reagendar","")))))</f>
        <v>0</v>
      </c>
      <c r="T2783" s="29">
        <f>IF($A2783="","",DATE(YEAR($A2783),MONTH($A2783),1))</f>
        <v>0</v>
      </c>
      <c r="U2783" s="30">
        <f>IF($S2783="CONFIRMAR",MAX($U$4:$U2782)+1,"")</f>
        <v>0</v>
      </c>
      <c r="V2783" s="30">
        <f>IF(AND($R2783="Não",$Q2783&lt;&gt;"",$Q2783&lt;=Hoje+JanelaRet,$Q2783&gt;=Hoje-60),MAX($V$4:$V2782)+1,"")</f>
        <v>0</v>
      </c>
    </row>
    <row r="2784" spans="1:22">
      <c r="A2784" s="16"/>
      <c r="B2784" s="23"/>
      <c r="C2784" s="15"/>
      <c r="D2784" s="15"/>
      <c r="E2784" s="15"/>
      <c r="F2784" s="24"/>
      <c r="G2784" s="17"/>
      <c r="H2784" s="17"/>
      <c r="I2784" s="15"/>
      <c r="J2784" s="25">
        <f>IF($D2784="","",IFERROR(INDEX(PacNome,MATCH($D2784,PacCod,0)),"Paciente não cadastrado"))</f>
        <v>0</v>
      </c>
      <c r="K2784" s="26">
        <f>IF($D2784="","",IFERROR(INDEX(PacConv,MATCH($D2784,PacCod,0))&amp;"",""))</f>
        <v>0</v>
      </c>
      <c r="L2784" s="26">
        <f>IF($A2784="","",CHOOSE(WEEKDAY($A2784,2),"Seg","Ter","Qua","Qui","Sex","Sáb","Dom"))</f>
        <v>0</v>
      </c>
      <c r="M2784" s="27">
        <f>IF($E2784="","",IF($G2784&lt;&gt;"",$G2784,IFERROR(INDEX(ProcValor,MATCH($E2784,ProcNome,0)),0)))</f>
        <v>0</v>
      </c>
      <c r="N2784" s="27">
        <f>IF($M2784="","",IF($F2784="Compareceu",$M2784,0))</f>
        <v>0</v>
      </c>
      <c r="O2784" s="27">
        <f>IF($M2784="","",IF($F2784="Faltou",$M2784,0))</f>
        <v>0</v>
      </c>
      <c r="P2784" s="27">
        <f>IF($M2784="","",IF($F2784="Compareceu",MAX(0,$M2784-N($H2784)),0))</f>
        <v>0</v>
      </c>
      <c r="Q2784" s="19">
        <f>IF(AND($F2784="Compareceu",$E2784&lt;&gt;"",$A2784&lt;&gt;""),IF(IFERROR(INDEX(ProcRet,MATCH($E2784,ProcNome,0)),0)&gt;0,$A2784+INDEX(ProcRet,MATCH($E2784,ProcNome,0)),""),"")</f>
        <v>0</v>
      </c>
      <c r="R2784" s="26">
        <f>IF($Q2784="","",IF(COUNTIFS(AgPac,$D2784,AgData,"&gt;"&amp;$A2784,AgStatus,"&lt;&gt;Cancelado",AgStatus,"&lt;&gt;Remarcado")&gt;0,"Sim","Não"))</f>
        <v>0</v>
      </c>
      <c r="S2784" s="28">
        <f>IF($A2784="","",IF(AND($F2784="Agendado",$A2784-Hoje&gt;=0,$A2784-Hoje&lt;=DiasConf),"CONFIRMAR",IF(AND($A2784&lt;Hoje,OR($F2784="Agendado",$F2784="Confirmado")),"Atualizar status",IF(AND($F2784="Compareceu",$P2784&gt;0.005),"Cobrar",IF($F2784="Faltou","Falta: reagendar","")))))</f>
        <v>0</v>
      </c>
      <c r="T2784" s="29">
        <f>IF($A2784="","",DATE(YEAR($A2784),MONTH($A2784),1))</f>
        <v>0</v>
      </c>
      <c r="U2784" s="30">
        <f>IF($S2784="CONFIRMAR",MAX($U$4:$U2783)+1,"")</f>
        <v>0</v>
      </c>
      <c r="V2784" s="30">
        <f>IF(AND($R2784="Não",$Q2784&lt;&gt;"",$Q2784&lt;=Hoje+JanelaRet,$Q2784&gt;=Hoje-60),MAX($V$4:$V2783)+1,"")</f>
        <v>0</v>
      </c>
    </row>
    <row r="2785" spans="1:22">
      <c r="A2785" s="16"/>
      <c r="B2785" s="23"/>
      <c r="C2785" s="15"/>
      <c r="D2785" s="15"/>
      <c r="E2785" s="15"/>
      <c r="F2785" s="24"/>
      <c r="G2785" s="17"/>
      <c r="H2785" s="17"/>
      <c r="I2785" s="15"/>
      <c r="J2785" s="25">
        <f>IF($D2785="","",IFERROR(INDEX(PacNome,MATCH($D2785,PacCod,0)),"Paciente não cadastrado"))</f>
        <v>0</v>
      </c>
      <c r="K2785" s="26">
        <f>IF($D2785="","",IFERROR(INDEX(PacConv,MATCH($D2785,PacCod,0))&amp;"",""))</f>
        <v>0</v>
      </c>
      <c r="L2785" s="26">
        <f>IF($A2785="","",CHOOSE(WEEKDAY($A2785,2),"Seg","Ter","Qua","Qui","Sex","Sáb","Dom"))</f>
        <v>0</v>
      </c>
      <c r="M2785" s="27">
        <f>IF($E2785="","",IF($G2785&lt;&gt;"",$G2785,IFERROR(INDEX(ProcValor,MATCH($E2785,ProcNome,0)),0)))</f>
        <v>0</v>
      </c>
      <c r="N2785" s="27">
        <f>IF($M2785="","",IF($F2785="Compareceu",$M2785,0))</f>
        <v>0</v>
      </c>
      <c r="O2785" s="27">
        <f>IF($M2785="","",IF($F2785="Faltou",$M2785,0))</f>
        <v>0</v>
      </c>
      <c r="P2785" s="27">
        <f>IF($M2785="","",IF($F2785="Compareceu",MAX(0,$M2785-N($H2785)),0))</f>
        <v>0</v>
      </c>
      <c r="Q2785" s="19">
        <f>IF(AND($F2785="Compareceu",$E2785&lt;&gt;"",$A2785&lt;&gt;""),IF(IFERROR(INDEX(ProcRet,MATCH($E2785,ProcNome,0)),0)&gt;0,$A2785+INDEX(ProcRet,MATCH($E2785,ProcNome,0)),""),"")</f>
        <v>0</v>
      </c>
      <c r="R2785" s="26">
        <f>IF($Q2785="","",IF(COUNTIFS(AgPac,$D2785,AgData,"&gt;"&amp;$A2785,AgStatus,"&lt;&gt;Cancelado",AgStatus,"&lt;&gt;Remarcado")&gt;0,"Sim","Não"))</f>
        <v>0</v>
      </c>
      <c r="S2785" s="28">
        <f>IF($A2785="","",IF(AND($F2785="Agendado",$A2785-Hoje&gt;=0,$A2785-Hoje&lt;=DiasConf),"CONFIRMAR",IF(AND($A2785&lt;Hoje,OR($F2785="Agendado",$F2785="Confirmado")),"Atualizar status",IF(AND($F2785="Compareceu",$P2785&gt;0.005),"Cobrar",IF($F2785="Faltou","Falta: reagendar","")))))</f>
        <v>0</v>
      </c>
      <c r="T2785" s="29">
        <f>IF($A2785="","",DATE(YEAR($A2785),MONTH($A2785),1))</f>
        <v>0</v>
      </c>
      <c r="U2785" s="30">
        <f>IF($S2785="CONFIRMAR",MAX($U$4:$U2784)+1,"")</f>
        <v>0</v>
      </c>
      <c r="V2785" s="30">
        <f>IF(AND($R2785="Não",$Q2785&lt;&gt;"",$Q2785&lt;=Hoje+JanelaRet,$Q2785&gt;=Hoje-60),MAX($V$4:$V2784)+1,"")</f>
        <v>0</v>
      </c>
    </row>
    <row r="2786" spans="1:22">
      <c r="A2786" s="16"/>
      <c r="B2786" s="23"/>
      <c r="C2786" s="15"/>
      <c r="D2786" s="15"/>
      <c r="E2786" s="15"/>
      <c r="F2786" s="24"/>
      <c r="G2786" s="17"/>
      <c r="H2786" s="17"/>
      <c r="I2786" s="15"/>
      <c r="J2786" s="25">
        <f>IF($D2786="","",IFERROR(INDEX(PacNome,MATCH($D2786,PacCod,0)),"Paciente não cadastrado"))</f>
        <v>0</v>
      </c>
      <c r="K2786" s="26">
        <f>IF($D2786="","",IFERROR(INDEX(PacConv,MATCH($D2786,PacCod,0))&amp;"",""))</f>
        <v>0</v>
      </c>
      <c r="L2786" s="26">
        <f>IF($A2786="","",CHOOSE(WEEKDAY($A2786,2),"Seg","Ter","Qua","Qui","Sex","Sáb","Dom"))</f>
        <v>0</v>
      </c>
      <c r="M2786" s="27">
        <f>IF($E2786="","",IF($G2786&lt;&gt;"",$G2786,IFERROR(INDEX(ProcValor,MATCH($E2786,ProcNome,0)),0)))</f>
        <v>0</v>
      </c>
      <c r="N2786" s="27">
        <f>IF($M2786="","",IF($F2786="Compareceu",$M2786,0))</f>
        <v>0</v>
      </c>
      <c r="O2786" s="27">
        <f>IF($M2786="","",IF($F2786="Faltou",$M2786,0))</f>
        <v>0</v>
      </c>
      <c r="P2786" s="27">
        <f>IF($M2786="","",IF($F2786="Compareceu",MAX(0,$M2786-N($H2786)),0))</f>
        <v>0</v>
      </c>
      <c r="Q2786" s="19">
        <f>IF(AND($F2786="Compareceu",$E2786&lt;&gt;"",$A2786&lt;&gt;""),IF(IFERROR(INDEX(ProcRet,MATCH($E2786,ProcNome,0)),0)&gt;0,$A2786+INDEX(ProcRet,MATCH($E2786,ProcNome,0)),""),"")</f>
        <v>0</v>
      </c>
      <c r="R2786" s="26">
        <f>IF($Q2786="","",IF(COUNTIFS(AgPac,$D2786,AgData,"&gt;"&amp;$A2786,AgStatus,"&lt;&gt;Cancelado",AgStatus,"&lt;&gt;Remarcado")&gt;0,"Sim","Não"))</f>
        <v>0</v>
      </c>
      <c r="S2786" s="28">
        <f>IF($A2786="","",IF(AND($F2786="Agendado",$A2786-Hoje&gt;=0,$A2786-Hoje&lt;=DiasConf),"CONFIRMAR",IF(AND($A2786&lt;Hoje,OR($F2786="Agendado",$F2786="Confirmado")),"Atualizar status",IF(AND($F2786="Compareceu",$P2786&gt;0.005),"Cobrar",IF($F2786="Faltou","Falta: reagendar","")))))</f>
        <v>0</v>
      </c>
      <c r="T2786" s="29">
        <f>IF($A2786="","",DATE(YEAR($A2786),MONTH($A2786),1))</f>
        <v>0</v>
      </c>
      <c r="U2786" s="30">
        <f>IF($S2786="CONFIRMAR",MAX($U$4:$U2785)+1,"")</f>
        <v>0</v>
      </c>
      <c r="V2786" s="30">
        <f>IF(AND($R2786="Não",$Q2786&lt;&gt;"",$Q2786&lt;=Hoje+JanelaRet,$Q2786&gt;=Hoje-60),MAX($V$4:$V2785)+1,"")</f>
        <v>0</v>
      </c>
    </row>
    <row r="2787" spans="1:22">
      <c r="A2787" s="16"/>
      <c r="B2787" s="23"/>
      <c r="C2787" s="15"/>
      <c r="D2787" s="15"/>
      <c r="E2787" s="15"/>
      <c r="F2787" s="24"/>
      <c r="G2787" s="17"/>
      <c r="H2787" s="17"/>
      <c r="I2787" s="15"/>
      <c r="J2787" s="25">
        <f>IF($D2787="","",IFERROR(INDEX(PacNome,MATCH($D2787,PacCod,0)),"Paciente não cadastrado"))</f>
        <v>0</v>
      </c>
      <c r="K2787" s="26">
        <f>IF($D2787="","",IFERROR(INDEX(PacConv,MATCH($D2787,PacCod,0))&amp;"",""))</f>
        <v>0</v>
      </c>
      <c r="L2787" s="26">
        <f>IF($A2787="","",CHOOSE(WEEKDAY($A2787,2),"Seg","Ter","Qua","Qui","Sex","Sáb","Dom"))</f>
        <v>0</v>
      </c>
      <c r="M2787" s="27">
        <f>IF($E2787="","",IF($G2787&lt;&gt;"",$G2787,IFERROR(INDEX(ProcValor,MATCH($E2787,ProcNome,0)),0)))</f>
        <v>0</v>
      </c>
      <c r="N2787" s="27">
        <f>IF($M2787="","",IF($F2787="Compareceu",$M2787,0))</f>
        <v>0</v>
      </c>
      <c r="O2787" s="27">
        <f>IF($M2787="","",IF($F2787="Faltou",$M2787,0))</f>
        <v>0</v>
      </c>
      <c r="P2787" s="27">
        <f>IF($M2787="","",IF($F2787="Compareceu",MAX(0,$M2787-N($H2787)),0))</f>
        <v>0</v>
      </c>
      <c r="Q2787" s="19">
        <f>IF(AND($F2787="Compareceu",$E2787&lt;&gt;"",$A2787&lt;&gt;""),IF(IFERROR(INDEX(ProcRet,MATCH($E2787,ProcNome,0)),0)&gt;0,$A2787+INDEX(ProcRet,MATCH($E2787,ProcNome,0)),""),"")</f>
        <v>0</v>
      </c>
      <c r="R2787" s="26">
        <f>IF($Q2787="","",IF(COUNTIFS(AgPac,$D2787,AgData,"&gt;"&amp;$A2787,AgStatus,"&lt;&gt;Cancelado",AgStatus,"&lt;&gt;Remarcado")&gt;0,"Sim","Não"))</f>
        <v>0</v>
      </c>
      <c r="S2787" s="28">
        <f>IF($A2787="","",IF(AND($F2787="Agendado",$A2787-Hoje&gt;=0,$A2787-Hoje&lt;=DiasConf),"CONFIRMAR",IF(AND($A2787&lt;Hoje,OR($F2787="Agendado",$F2787="Confirmado")),"Atualizar status",IF(AND($F2787="Compareceu",$P2787&gt;0.005),"Cobrar",IF($F2787="Faltou","Falta: reagendar","")))))</f>
        <v>0</v>
      </c>
      <c r="T2787" s="29">
        <f>IF($A2787="","",DATE(YEAR($A2787),MONTH($A2787),1))</f>
        <v>0</v>
      </c>
      <c r="U2787" s="30">
        <f>IF($S2787="CONFIRMAR",MAX($U$4:$U2786)+1,"")</f>
        <v>0</v>
      </c>
      <c r="V2787" s="30">
        <f>IF(AND($R2787="Não",$Q2787&lt;&gt;"",$Q2787&lt;=Hoje+JanelaRet,$Q2787&gt;=Hoje-60),MAX($V$4:$V2786)+1,"")</f>
        <v>0</v>
      </c>
    </row>
    <row r="2788" spans="1:22">
      <c r="A2788" s="16"/>
      <c r="B2788" s="23"/>
      <c r="C2788" s="15"/>
      <c r="D2788" s="15"/>
      <c r="E2788" s="15"/>
      <c r="F2788" s="24"/>
      <c r="G2788" s="17"/>
      <c r="H2788" s="17"/>
      <c r="I2788" s="15"/>
      <c r="J2788" s="25">
        <f>IF($D2788="","",IFERROR(INDEX(PacNome,MATCH($D2788,PacCod,0)),"Paciente não cadastrado"))</f>
        <v>0</v>
      </c>
      <c r="K2788" s="26">
        <f>IF($D2788="","",IFERROR(INDEX(PacConv,MATCH($D2788,PacCod,0))&amp;"",""))</f>
        <v>0</v>
      </c>
      <c r="L2788" s="26">
        <f>IF($A2788="","",CHOOSE(WEEKDAY($A2788,2),"Seg","Ter","Qua","Qui","Sex","Sáb","Dom"))</f>
        <v>0</v>
      </c>
      <c r="M2788" s="27">
        <f>IF($E2788="","",IF($G2788&lt;&gt;"",$G2788,IFERROR(INDEX(ProcValor,MATCH($E2788,ProcNome,0)),0)))</f>
        <v>0</v>
      </c>
      <c r="N2788" s="27">
        <f>IF($M2788="","",IF($F2788="Compareceu",$M2788,0))</f>
        <v>0</v>
      </c>
      <c r="O2788" s="27">
        <f>IF($M2788="","",IF($F2788="Faltou",$M2788,0))</f>
        <v>0</v>
      </c>
      <c r="P2788" s="27">
        <f>IF($M2788="","",IF($F2788="Compareceu",MAX(0,$M2788-N($H2788)),0))</f>
        <v>0</v>
      </c>
      <c r="Q2788" s="19">
        <f>IF(AND($F2788="Compareceu",$E2788&lt;&gt;"",$A2788&lt;&gt;""),IF(IFERROR(INDEX(ProcRet,MATCH($E2788,ProcNome,0)),0)&gt;0,$A2788+INDEX(ProcRet,MATCH($E2788,ProcNome,0)),""),"")</f>
        <v>0</v>
      </c>
      <c r="R2788" s="26">
        <f>IF($Q2788="","",IF(COUNTIFS(AgPac,$D2788,AgData,"&gt;"&amp;$A2788,AgStatus,"&lt;&gt;Cancelado",AgStatus,"&lt;&gt;Remarcado")&gt;0,"Sim","Não"))</f>
        <v>0</v>
      </c>
      <c r="S2788" s="28">
        <f>IF($A2788="","",IF(AND($F2788="Agendado",$A2788-Hoje&gt;=0,$A2788-Hoje&lt;=DiasConf),"CONFIRMAR",IF(AND($A2788&lt;Hoje,OR($F2788="Agendado",$F2788="Confirmado")),"Atualizar status",IF(AND($F2788="Compareceu",$P2788&gt;0.005),"Cobrar",IF($F2788="Faltou","Falta: reagendar","")))))</f>
        <v>0</v>
      </c>
      <c r="T2788" s="29">
        <f>IF($A2788="","",DATE(YEAR($A2788),MONTH($A2788),1))</f>
        <v>0</v>
      </c>
      <c r="U2788" s="30">
        <f>IF($S2788="CONFIRMAR",MAX($U$4:$U2787)+1,"")</f>
        <v>0</v>
      </c>
      <c r="V2788" s="30">
        <f>IF(AND($R2788="Não",$Q2788&lt;&gt;"",$Q2788&lt;=Hoje+JanelaRet,$Q2788&gt;=Hoje-60),MAX($V$4:$V2787)+1,"")</f>
        <v>0</v>
      </c>
    </row>
    <row r="2789" spans="1:22">
      <c r="A2789" s="16"/>
      <c r="B2789" s="23"/>
      <c r="C2789" s="15"/>
      <c r="D2789" s="15"/>
      <c r="E2789" s="15"/>
      <c r="F2789" s="24"/>
      <c r="G2789" s="17"/>
      <c r="H2789" s="17"/>
      <c r="I2789" s="15"/>
      <c r="J2789" s="25">
        <f>IF($D2789="","",IFERROR(INDEX(PacNome,MATCH($D2789,PacCod,0)),"Paciente não cadastrado"))</f>
        <v>0</v>
      </c>
      <c r="K2789" s="26">
        <f>IF($D2789="","",IFERROR(INDEX(PacConv,MATCH($D2789,PacCod,0))&amp;"",""))</f>
        <v>0</v>
      </c>
      <c r="L2789" s="26">
        <f>IF($A2789="","",CHOOSE(WEEKDAY($A2789,2),"Seg","Ter","Qua","Qui","Sex","Sáb","Dom"))</f>
        <v>0</v>
      </c>
      <c r="M2789" s="27">
        <f>IF($E2789="","",IF($G2789&lt;&gt;"",$G2789,IFERROR(INDEX(ProcValor,MATCH($E2789,ProcNome,0)),0)))</f>
        <v>0</v>
      </c>
      <c r="N2789" s="27">
        <f>IF($M2789="","",IF($F2789="Compareceu",$M2789,0))</f>
        <v>0</v>
      </c>
      <c r="O2789" s="27">
        <f>IF($M2789="","",IF($F2789="Faltou",$M2789,0))</f>
        <v>0</v>
      </c>
      <c r="P2789" s="27">
        <f>IF($M2789="","",IF($F2789="Compareceu",MAX(0,$M2789-N($H2789)),0))</f>
        <v>0</v>
      </c>
      <c r="Q2789" s="19">
        <f>IF(AND($F2789="Compareceu",$E2789&lt;&gt;"",$A2789&lt;&gt;""),IF(IFERROR(INDEX(ProcRet,MATCH($E2789,ProcNome,0)),0)&gt;0,$A2789+INDEX(ProcRet,MATCH($E2789,ProcNome,0)),""),"")</f>
        <v>0</v>
      </c>
      <c r="R2789" s="26">
        <f>IF($Q2789="","",IF(COUNTIFS(AgPac,$D2789,AgData,"&gt;"&amp;$A2789,AgStatus,"&lt;&gt;Cancelado",AgStatus,"&lt;&gt;Remarcado")&gt;0,"Sim","Não"))</f>
        <v>0</v>
      </c>
      <c r="S2789" s="28">
        <f>IF($A2789="","",IF(AND($F2789="Agendado",$A2789-Hoje&gt;=0,$A2789-Hoje&lt;=DiasConf),"CONFIRMAR",IF(AND($A2789&lt;Hoje,OR($F2789="Agendado",$F2789="Confirmado")),"Atualizar status",IF(AND($F2789="Compareceu",$P2789&gt;0.005),"Cobrar",IF($F2789="Faltou","Falta: reagendar","")))))</f>
        <v>0</v>
      </c>
      <c r="T2789" s="29">
        <f>IF($A2789="","",DATE(YEAR($A2789),MONTH($A2789),1))</f>
        <v>0</v>
      </c>
      <c r="U2789" s="30">
        <f>IF($S2789="CONFIRMAR",MAX($U$4:$U2788)+1,"")</f>
        <v>0</v>
      </c>
      <c r="V2789" s="30">
        <f>IF(AND($R2789="Não",$Q2789&lt;&gt;"",$Q2789&lt;=Hoje+JanelaRet,$Q2789&gt;=Hoje-60),MAX($V$4:$V2788)+1,"")</f>
        <v>0</v>
      </c>
    </row>
    <row r="2790" spans="1:22">
      <c r="A2790" s="16"/>
      <c r="B2790" s="23"/>
      <c r="C2790" s="15"/>
      <c r="D2790" s="15"/>
      <c r="E2790" s="15"/>
      <c r="F2790" s="24"/>
      <c r="G2790" s="17"/>
      <c r="H2790" s="17"/>
      <c r="I2790" s="15"/>
      <c r="J2790" s="25">
        <f>IF($D2790="","",IFERROR(INDEX(PacNome,MATCH($D2790,PacCod,0)),"Paciente não cadastrado"))</f>
        <v>0</v>
      </c>
      <c r="K2790" s="26">
        <f>IF($D2790="","",IFERROR(INDEX(PacConv,MATCH($D2790,PacCod,0))&amp;"",""))</f>
        <v>0</v>
      </c>
      <c r="L2790" s="26">
        <f>IF($A2790="","",CHOOSE(WEEKDAY($A2790,2),"Seg","Ter","Qua","Qui","Sex","Sáb","Dom"))</f>
        <v>0</v>
      </c>
      <c r="M2790" s="27">
        <f>IF($E2790="","",IF($G2790&lt;&gt;"",$G2790,IFERROR(INDEX(ProcValor,MATCH($E2790,ProcNome,0)),0)))</f>
        <v>0</v>
      </c>
      <c r="N2790" s="27">
        <f>IF($M2790="","",IF($F2790="Compareceu",$M2790,0))</f>
        <v>0</v>
      </c>
      <c r="O2790" s="27">
        <f>IF($M2790="","",IF($F2790="Faltou",$M2790,0))</f>
        <v>0</v>
      </c>
      <c r="P2790" s="27">
        <f>IF($M2790="","",IF($F2790="Compareceu",MAX(0,$M2790-N($H2790)),0))</f>
        <v>0</v>
      </c>
      <c r="Q2790" s="19">
        <f>IF(AND($F2790="Compareceu",$E2790&lt;&gt;"",$A2790&lt;&gt;""),IF(IFERROR(INDEX(ProcRet,MATCH($E2790,ProcNome,0)),0)&gt;0,$A2790+INDEX(ProcRet,MATCH($E2790,ProcNome,0)),""),"")</f>
        <v>0</v>
      </c>
      <c r="R2790" s="26">
        <f>IF($Q2790="","",IF(COUNTIFS(AgPac,$D2790,AgData,"&gt;"&amp;$A2790,AgStatus,"&lt;&gt;Cancelado",AgStatus,"&lt;&gt;Remarcado")&gt;0,"Sim","Não"))</f>
        <v>0</v>
      </c>
      <c r="S2790" s="28">
        <f>IF($A2790="","",IF(AND($F2790="Agendado",$A2790-Hoje&gt;=0,$A2790-Hoje&lt;=DiasConf),"CONFIRMAR",IF(AND($A2790&lt;Hoje,OR($F2790="Agendado",$F2790="Confirmado")),"Atualizar status",IF(AND($F2790="Compareceu",$P2790&gt;0.005),"Cobrar",IF($F2790="Faltou","Falta: reagendar","")))))</f>
        <v>0</v>
      </c>
      <c r="T2790" s="29">
        <f>IF($A2790="","",DATE(YEAR($A2790),MONTH($A2790),1))</f>
        <v>0</v>
      </c>
      <c r="U2790" s="30">
        <f>IF($S2790="CONFIRMAR",MAX($U$4:$U2789)+1,"")</f>
        <v>0</v>
      </c>
      <c r="V2790" s="30">
        <f>IF(AND($R2790="Não",$Q2790&lt;&gt;"",$Q2790&lt;=Hoje+JanelaRet,$Q2790&gt;=Hoje-60),MAX($V$4:$V2789)+1,"")</f>
        <v>0</v>
      </c>
    </row>
    <row r="2791" spans="1:22">
      <c r="A2791" s="16"/>
      <c r="B2791" s="23"/>
      <c r="C2791" s="15"/>
      <c r="D2791" s="15"/>
      <c r="E2791" s="15"/>
      <c r="F2791" s="24"/>
      <c r="G2791" s="17"/>
      <c r="H2791" s="17"/>
      <c r="I2791" s="15"/>
      <c r="J2791" s="25">
        <f>IF($D2791="","",IFERROR(INDEX(PacNome,MATCH($D2791,PacCod,0)),"Paciente não cadastrado"))</f>
        <v>0</v>
      </c>
      <c r="K2791" s="26">
        <f>IF($D2791="","",IFERROR(INDEX(PacConv,MATCH($D2791,PacCod,0))&amp;"",""))</f>
        <v>0</v>
      </c>
      <c r="L2791" s="26">
        <f>IF($A2791="","",CHOOSE(WEEKDAY($A2791,2),"Seg","Ter","Qua","Qui","Sex","Sáb","Dom"))</f>
        <v>0</v>
      </c>
      <c r="M2791" s="27">
        <f>IF($E2791="","",IF($G2791&lt;&gt;"",$G2791,IFERROR(INDEX(ProcValor,MATCH($E2791,ProcNome,0)),0)))</f>
        <v>0</v>
      </c>
      <c r="N2791" s="27">
        <f>IF($M2791="","",IF($F2791="Compareceu",$M2791,0))</f>
        <v>0</v>
      </c>
      <c r="O2791" s="27">
        <f>IF($M2791="","",IF($F2791="Faltou",$M2791,0))</f>
        <v>0</v>
      </c>
      <c r="P2791" s="27">
        <f>IF($M2791="","",IF($F2791="Compareceu",MAX(0,$M2791-N($H2791)),0))</f>
        <v>0</v>
      </c>
      <c r="Q2791" s="19">
        <f>IF(AND($F2791="Compareceu",$E2791&lt;&gt;"",$A2791&lt;&gt;""),IF(IFERROR(INDEX(ProcRet,MATCH($E2791,ProcNome,0)),0)&gt;0,$A2791+INDEX(ProcRet,MATCH($E2791,ProcNome,0)),""),"")</f>
        <v>0</v>
      </c>
      <c r="R2791" s="26">
        <f>IF($Q2791="","",IF(COUNTIFS(AgPac,$D2791,AgData,"&gt;"&amp;$A2791,AgStatus,"&lt;&gt;Cancelado",AgStatus,"&lt;&gt;Remarcado")&gt;0,"Sim","Não"))</f>
        <v>0</v>
      </c>
      <c r="S2791" s="28">
        <f>IF($A2791="","",IF(AND($F2791="Agendado",$A2791-Hoje&gt;=0,$A2791-Hoje&lt;=DiasConf),"CONFIRMAR",IF(AND($A2791&lt;Hoje,OR($F2791="Agendado",$F2791="Confirmado")),"Atualizar status",IF(AND($F2791="Compareceu",$P2791&gt;0.005),"Cobrar",IF($F2791="Faltou","Falta: reagendar","")))))</f>
        <v>0</v>
      </c>
      <c r="T2791" s="29">
        <f>IF($A2791="","",DATE(YEAR($A2791),MONTH($A2791),1))</f>
        <v>0</v>
      </c>
      <c r="U2791" s="30">
        <f>IF($S2791="CONFIRMAR",MAX($U$4:$U2790)+1,"")</f>
        <v>0</v>
      </c>
      <c r="V2791" s="30">
        <f>IF(AND($R2791="Não",$Q2791&lt;&gt;"",$Q2791&lt;=Hoje+JanelaRet,$Q2791&gt;=Hoje-60),MAX($V$4:$V2790)+1,"")</f>
        <v>0</v>
      </c>
    </row>
    <row r="2792" spans="1:22">
      <c r="A2792" s="16"/>
      <c r="B2792" s="23"/>
      <c r="C2792" s="15"/>
      <c r="D2792" s="15"/>
      <c r="E2792" s="15"/>
      <c r="F2792" s="24"/>
      <c r="G2792" s="17"/>
      <c r="H2792" s="17"/>
      <c r="I2792" s="15"/>
      <c r="J2792" s="25">
        <f>IF($D2792="","",IFERROR(INDEX(PacNome,MATCH($D2792,PacCod,0)),"Paciente não cadastrado"))</f>
        <v>0</v>
      </c>
      <c r="K2792" s="26">
        <f>IF($D2792="","",IFERROR(INDEX(PacConv,MATCH($D2792,PacCod,0))&amp;"",""))</f>
        <v>0</v>
      </c>
      <c r="L2792" s="26">
        <f>IF($A2792="","",CHOOSE(WEEKDAY($A2792,2),"Seg","Ter","Qua","Qui","Sex","Sáb","Dom"))</f>
        <v>0</v>
      </c>
      <c r="M2792" s="27">
        <f>IF($E2792="","",IF($G2792&lt;&gt;"",$G2792,IFERROR(INDEX(ProcValor,MATCH($E2792,ProcNome,0)),0)))</f>
        <v>0</v>
      </c>
      <c r="N2792" s="27">
        <f>IF($M2792="","",IF($F2792="Compareceu",$M2792,0))</f>
        <v>0</v>
      </c>
      <c r="O2792" s="27">
        <f>IF($M2792="","",IF($F2792="Faltou",$M2792,0))</f>
        <v>0</v>
      </c>
      <c r="P2792" s="27">
        <f>IF($M2792="","",IF($F2792="Compareceu",MAX(0,$M2792-N($H2792)),0))</f>
        <v>0</v>
      </c>
      <c r="Q2792" s="19">
        <f>IF(AND($F2792="Compareceu",$E2792&lt;&gt;"",$A2792&lt;&gt;""),IF(IFERROR(INDEX(ProcRet,MATCH($E2792,ProcNome,0)),0)&gt;0,$A2792+INDEX(ProcRet,MATCH($E2792,ProcNome,0)),""),"")</f>
        <v>0</v>
      </c>
      <c r="R2792" s="26">
        <f>IF($Q2792="","",IF(COUNTIFS(AgPac,$D2792,AgData,"&gt;"&amp;$A2792,AgStatus,"&lt;&gt;Cancelado",AgStatus,"&lt;&gt;Remarcado")&gt;0,"Sim","Não"))</f>
        <v>0</v>
      </c>
      <c r="S2792" s="28">
        <f>IF($A2792="","",IF(AND($F2792="Agendado",$A2792-Hoje&gt;=0,$A2792-Hoje&lt;=DiasConf),"CONFIRMAR",IF(AND($A2792&lt;Hoje,OR($F2792="Agendado",$F2792="Confirmado")),"Atualizar status",IF(AND($F2792="Compareceu",$P2792&gt;0.005),"Cobrar",IF($F2792="Faltou","Falta: reagendar","")))))</f>
        <v>0</v>
      </c>
      <c r="T2792" s="29">
        <f>IF($A2792="","",DATE(YEAR($A2792),MONTH($A2792),1))</f>
        <v>0</v>
      </c>
      <c r="U2792" s="30">
        <f>IF($S2792="CONFIRMAR",MAX($U$4:$U2791)+1,"")</f>
        <v>0</v>
      </c>
      <c r="V2792" s="30">
        <f>IF(AND($R2792="Não",$Q2792&lt;&gt;"",$Q2792&lt;=Hoje+JanelaRet,$Q2792&gt;=Hoje-60),MAX($V$4:$V2791)+1,"")</f>
        <v>0</v>
      </c>
    </row>
    <row r="2793" spans="1:22">
      <c r="A2793" s="16"/>
      <c r="B2793" s="23"/>
      <c r="C2793" s="15"/>
      <c r="D2793" s="15"/>
      <c r="E2793" s="15"/>
      <c r="F2793" s="24"/>
      <c r="G2793" s="17"/>
      <c r="H2793" s="17"/>
      <c r="I2793" s="15"/>
      <c r="J2793" s="25">
        <f>IF($D2793="","",IFERROR(INDEX(PacNome,MATCH($D2793,PacCod,0)),"Paciente não cadastrado"))</f>
        <v>0</v>
      </c>
      <c r="K2793" s="26">
        <f>IF($D2793="","",IFERROR(INDEX(PacConv,MATCH($D2793,PacCod,0))&amp;"",""))</f>
        <v>0</v>
      </c>
      <c r="L2793" s="26">
        <f>IF($A2793="","",CHOOSE(WEEKDAY($A2793,2),"Seg","Ter","Qua","Qui","Sex","Sáb","Dom"))</f>
        <v>0</v>
      </c>
      <c r="M2793" s="27">
        <f>IF($E2793="","",IF($G2793&lt;&gt;"",$G2793,IFERROR(INDEX(ProcValor,MATCH($E2793,ProcNome,0)),0)))</f>
        <v>0</v>
      </c>
      <c r="N2793" s="27">
        <f>IF($M2793="","",IF($F2793="Compareceu",$M2793,0))</f>
        <v>0</v>
      </c>
      <c r="O2793" s="27">
        <f>IF($M2793="","",IF($F2793="Faltou",$M2793,0))</f>
        <v>0</v>
      </c>
      <c r="P2793" s="27">
        <f>IF($M2793="","",IF($F2793="Compareceu",MAX(0,$M2793-N($H2793)),0))</f>
        <v>0</v>
      </c>
      <c r="Q2793" s="19">
        <f>IF(AND($F2793="Compareceu",$E2793&lt;&gt;"",$A2793&lt;&gt;""),IF(IFERROR(INDEX(ProcRet,MATCH($E2793,ProcNome,0)),0)&gt;0,$A2793+INDEX(ProcRet,MATCH($E2793,ProcNome,0)),""),"")</f>
        <v>0</v>
      </c>
      <c r="R2793" s="26">
        <f>IF($Q2793="","",IF(COUNTIFS(AgPac,$D2793,AgData,"&gt;"&amp;$A2793,AgStatus,"&lt;&gt;Cancelado",AgStatus,"&lt;&gt;Remarcado")&gt;0,"Sim","Não"))</f>
        <v>0</v>
      </c>
      <c r="S2793" s="28">
        <f>IF($A2793="","",IF(AND($F2793="Agendado",$A2793-Hoje&gt;=0,$A2793-Hoje&lt;=DiasConf),"CONFIRMAR",IF(AND($A2793&lt;Hoje,OR($F2793="Agendado",$F2793="Confirmado")),"Atualizar status",IF(AND($F2793="Compareceu",$P2793&gt;0.005),"Cobrar",IF($F2793="Faltou","Falta: reagendar","")))))</f>
        <v>0</v>
      </c>
      <c r="T2793" s="29">
        <f>IF($A2793="","",DATE(YEAR($A2793),MONTH($A2793),1))</f>
        <v>0</v>
      </c>
      <c r="U2793" s="30">
        <f>IF($S2793="CONFIRMAR",MAX($U$4:$U2792)+1,"")</f>
        <v>0</v>
      </c>
      <c r="V2793" s="30">
        <f>IF(AND($R2793="Não",$Q2793&lt;&gt;"",$Q2793&lt;=Hoje+JanelaRet,$Q2793&gt;=Hoje-60),MAX($V$4:$V2792)+1,"")</f>
        <v>0</v>
      </c>
    </row>
    <row r="2794" spans="1:22">
      <c r="A2794" s="16"/>
      <c r="B2794" s="23"/>
      <c r="C2794" s="15"/>
      <c r="D2794" s="15"/>
      <c r="E2794" s="15"/>
      <c r="F2794" s="24"/>
      <c r="G2794" s="17"/>
      <c r="H2794" s="17"/>
      <c r="I2794" s="15"/>
      <c r="J2794" s="25">
        <f>IF($D2794="","",IFERROR(INDEX(PacNome,MATCH($D2794,PacCod,0)),"Paciente não cadastrado"))</f>
        <v>0</v>
      </c>
      <c r="K2794" s="26">
        <f>IF($D2794="","",IFERROR(INDEX(PacConv,MATCH($D2794,PacCod,0))&amp;"",""))</f>
        <v>0</v>
      </c>
      <c r="L2794" s="26">
        <f>IF($A2794="","",CHOOSE(WEEKDAY($A2794,2),"Seg","Ter","Qua","Qui","Sex","Sáb","Dom"))</f>
        <v>0</v>
      </c>
      <c r="M2794" s="27">
        <f>IF($E2794="","",IF($G2794&lt;&gt;"",$G2794,IFERROR(INDEX(ProcValor,MATCH($E2794,ProcNome,0)),0)))</f>
        <v>0</v>
      </c>
      <c r="N2794" s="27">
        <f>IF($M2794="","",IF($F2794="Compareceu",$M2794,0))</f>
        <v>0</v>
      </c>
      <c r="O2794" s="27">
        <f>IF($M2794="","",IF($F2794="Faltou",$M2794,0))</f>
        <v>0</v>
      </c>
      <c r="P2794" s="27">
        <f>IF($M2794="","",IF($F2794="Compareceu",MAX(0,$M2794-N($H2794)),0))</f>
        <v>0</v>
      </c>
      <c r="Q2794" s="19">
        <f>IF(AND($F2794="Compareceu",$E2794&lt;&gt;"",$A2794&lt;&gt;""),IF(IFERROR(INDEX(ProcRet,MATCH($E2794,ProcNome,0)),0)&gt;0,$A2794+INDEX(ProcRet,MATCH($E2794,ProcNome,0)),""),"")</f>
        <v>0</v>
      </c>
      <c r="R2794" s="26">
        <f>IF($Q2794="","",IF(COUNTIFS(AgPac,$D2794,AgData,"&gt;"&amp;$A2794,AgStatus,"&lt;&gt;Cancelado",AgStatus,"&lt;&gt;Remarcado")&gt;0,"Sim","Não"))</f>
        <v>0</v>
      </c>
      <c r="S2794" s="28">
        <f>IF($A2794="","",IF(AND($F2794="Agendado",$A2794-Hoje&gt;=0,$A2794-Hoje&lt;=DiasConf),"CONFIRMAR",IF(AND($A2794&lt;Hoje,OR($F2794="Agendado",$F2794="Confirmado")),"Atualizar status",IF(AND($F2794="Compareceu",$P2794&gt;0.005),"Cobrar",IF($F2794="Faltou","Falta: reagendar","")))))</f>
        <v>0</v>
      </c>
      <c r="T2794" s="29">
        <f>IF($A2794="","",DATE(YEAR($A2794),MONTH($A2794),1))</f>
        <v>0</v>
      </c>
      <c r="U2794" s="30">
        <f>IF($S2794="CONFIRMAR",MAX($U$4:$U2793)+1,"")</f>
        <v>0</v>
      </c>
      <c r="V2794" s="30">
        <f>IF(AND($R2794="Não",$Q2794&lt;&gt;"",$Q2794&lt;=Hoje+JanelaRet,$Q2794&gt;=Hoje-60),MAX($V$4:$V2793)+1,"")</f>
        <v>0</v>
      </c>
    </row>
    <row r="2795" spans="1:22">
      <c r="A2795" s="16"/>
      <c r="B2795" s="23"/>
      <c r="C2795" s="15"/>
      <c r="D2795" s="15"/>
      <c r="E2795" s="15"/>
      <c r="F2795" s="24"/>
      <c r="G2795" s="17"/>
      <c r="H2795" s="17"/>
      <c r="I2795" s="15"/>
      <c r="J2795" s="25">
        <f>IF($D2795="","",IFERROR(INDEX(PacNome,MATCH($D2795,PacCod,0)),"Paciente não cadastrado"))</f>
        <v>0</v>
      </c>
      <c r="K2795" s="26">
        <f>IF($D2795="","",IFERROR(INDEX(PacConv,MATCH($D2795,PacCod,0))&amp;"",""))</f>
        <v>0</v>
      </c>
      <c r="L2795" s="26">
        <f>IF($A2795="","",CHOOSE(WEEKDAY($A2795,2),"Seg","Ter","Qua","Qui","Sex","Sáb","Dom"))</f>
        <v>0</v>
      </c>
      <c r="M2795" s="27">
        <f>IF($E2795="","",IF($G2795&lt;&gt;"",$G2795,IFERROR(INDEX(ProcValor,MATCH($E2795,ProcNome,0)),0)))</f>
        <v>0</v>
      </c>
      <c r="N2795" s="27">
        <f>IF($M2795="","",IF($F2795="Compareceu",$M2795,0))</f>
        <v>0</v>
      </c>
      <c r="O2795" s="27">
        <f>IF($M2795="","",IF($F2795="Faltou",$M2795,0))</f>
        <v>0</v>
      </c>
      <c r="P2795" s="27">
        <f>IF($M2795="","",IF($F2795="Compareceu",MAX(0,$M2795-N($H2795)),0))</f>
        <v>0</v>
      </c>
      <c r="Q2795" s="19">
        <f>IF(AND($F2795="Compareceu",$E2795&lt;&gt;"",$A2795&lt;&gt;""),IF(IFERROR(INDEX(ProcRet,MATCH($E2795,ProcNome,0)),0)&gt;0,$A2795+INDEX(ProcRet,MATCH($E2795,ProcNome,0)),""),"")</f>
        <v>0</v>
      </c>
      <c r="R2795" s="26">
        <f>IF($Q2795="","",IF(COUNTIFS(AgPac,$D2795,AgData,"&gt;"&amp;$A2795,AgStatus,"&lt;&gt;Cancelado",AgStatus,"&lt;&gt;Remarcado")&gt;0,"Sim","Não"))</f>
        <v>0</v>
      </c>
      <c r="S2795" s="28">
        <f>IF($A2795="","",IF(AND($F2795="Agendado",$A2795-Hoje&gt;=0,$A2795-Hoje&lt;=DiasConf),"CONFIRMAR",IF(AND($A2795&lt;Hoje,OR($F2795="Agendado",$F2795="Confirmado")),"Atualizar status",IF(AND($F2795="Compareceu",$P2795&gt;0.005),"Cobrar",IF($F2795="Faltou","Falta: reagendar","")))))</f>
        <v>0</v>
      </c>
      <c r="T2795" s="29">
        <f>IF($A2795="","",DATE(YEAR($A2795),MONTH($A2795),1))</f>
        <v>0</v>
      </c>
      <c r="U2795" s="30">
        <f>IF($S2795="CONFIRMAR",MAX($U$4:$U2794)+1,"")</f>
        <v>0</v>
      </c>
      <c r="V2795" s="30">
        <f>IF(AND($R2795="Não",$Q2795&lt;&gt;"",$Q2795&lt;=Hoje+JanelaRet,$Q2795&gt;=Hoje-60),MAX($V$4:$V2794)+1,"")</f>
        <v>0</v>
      </c>
    </row>
    <row r="2796" spans="1:22">
      <c r="A2796" s="16"/>
      <c r="B2796" s="23"/>
      <c r="C2796" s="15"/>
      <c r="D2796" s="15"/>
      <c r="E2796" s="15"/>
      <c r="F2796" s="24"/>
      <c r="G2796" s="17"/>
      <c r="H2796" s="17"/>
      <c r="I2796" s="15"/>
      <c r="J2796" s="25">
        <f>IF($D2796="","",IFERROR(INDEX(PacNome,MATCH($D2796,PacCod,0)),"Paciente não cadastrado"))</f>
        <v>0</v>
      </c>
      <c r="K2796" s="26">
        <f>IF($D2796="","",IFERROR(INDEX(PacConv,MATCH($D2796,PacCod,0))&amp;"",""))</f>
        <v>0</v>
      </c>
      <c r="L2796" s="26">
        <f>IF($A2796="","",CHOOSE(WEEKDAY($A2796,2),"Seg","Ter","Qua","Qui","Sex","Sáb","Dom"))</f>
        <v>0</v>
      </c>
      <c r="M2796" s="27">
        <f>IF($E2796="","",IF($G2796&lt;&gt;"",$G2796,IFERROR(INDEX(ProcValor,MATCH($E2796,ProcNome,0)),0)))</f>
        <v>0</v>
      </c>
      <c r="N2796" s="27">
        <f>IF($M2796="","",IF($F2796="Compareceu",$M2796,0))</f>
        <v>0</v>
      </c>
      <c r="O2796" s="27">
        <f>IF($M2796="","",IF($F2796="Faltou",$M2796,0))</f>
        <v>0</v>
      </c>
      <c r="P2796" s="27">
        <f>IF($M2796="","",IF($F2796="Compareceu",MAX(0,$M2796-N($H2796)),0))</f>
        <v>0</v>
      </c>
      <c r="Q2796" s="19">
        <f>IF(AND($F2796="Compareceu",$E2796&lt;&gt;"",$A2796&lt;&gt;""),IF(IFERROR(INDEX(ProcRet,MATCH($E2796,ProcNome,0)),0)&gt;0,$A2796+INDEX(ProcRet,MATCH($E2796,ProcNome,0)),""),"")</f>
        <v>0</v>
      </c>
      <c r="R2796" s="26">
        <f>IF($Q2796="","",IF(COUNTIFS(AgPac,$D2796,AgData,"&gt;"&amp;$A2796,AgStatus,"&lt;&gt;Cancelado",AgStatus,"&lt;&gt;Remarcado")&gt;0,"Sim","Não"))</f>
        <v>0</v>
      </c>
      <c r="S2796" s="28">
        <f>IF($A2796="","",IF(AND($F2796="Agendado",$A2796-Hoje&gt;=0,$A2796-Hoje&lt;=DiasConf),"CONFIRMAR",IF(AND($A2796&lt;Hoje,OR($F2796="Agendado",$F2796="Confirmado")),"Atualizar status",IF(AND($F2796="Compareceu",$P2796&gt;0.005),"Cobrar",IF($F2796="Faltou","Falta: reagendar","")))))</f>
        <v>0</v>
      </c>
      <c r="T2796" s="29">
        <f>IF($A2796="","",DATE(YEAR($A2796),MONTH($A2796),1))</f>
        <v>0</v>
      </c>
      <c r="U2796" s="30">
        <f>IF($S2796="CONFIRMAR",MAX($U$4:$U2795)+1,"")</f>
        <v>0</v>
      </c>
      <c r="V2796" s="30">
        <f>IF(AND($R2796="Não",$Q2796&lt;&gt;"",$Q2796&lt;=Hoje+JanelaRet,$Q2796&gt;=Hoje-60),MAX($V$4:$V2795)+1,"")</f>
        <v>0</v>
      </c>
    </row>
    <row r="2797" spans="1:22">
      <c r="A2797" s="16"/>
      <c r="B2797" s="23"/>
      <c r="C2797" s="15"/>
      <c r="D2797" s="15"/>
      <c r="E2797" s="15"/>
      <c r="F2797" s="24"/>
      <c r="G2797" s="17"/>
      <c r="H2797" s="17"/>
      <c r="I2797" s="15"/>
      <c r="J2797" s="25">
        <f>IF($D2797="","",IFERROR(INDEX(PacNome,MATCH($D2797,PacCod,0)),"Paciente não cadastrado"))</f>
        <v>0</v>
      </c>
      <c r="K2797" s="26">
        <f>IF($D2797="","",IFERROR(INDEX(PacConv,MATCH($D2797,PacCod,0))&amp;"",""))</f>
        <v>0</v>
      </c>
      <c r="L2797" s="26">
        <f>IF($A2797="","",CHOOSE(WEEKDAY($A2797,2),"Seg","Ter","Qua","Qui","Sex","Sáb","Dom"))</f>
        <v>0</v>
      </c>
      <c r="M2797" s="27">
        <f>IF($E2797="","",IF($G2797&lt;&gt;"",$G2797,IFERROR(INDEX(ProcValor,MATCH($E2797,ProcNome,0)),0)))</f>
        <v>0</v>
      </c>
      <c r="N2797" s="27">
        <f>IF($M2797="","",IF($F2797="Compareceu",$M2797,0))</f>
        <v>0</v>
      </c>
      <c r="O2797" s="27">
        <f>IF($M2797="","",IF($F2797="Faltou",$M2797,0))</f>
        <v>0</v>
      </c>
      <c r="P2797" s="27">
        <f>IF($M2797="","",IF($F2797="Compareceu",MAX(0,$M2797-N($H2797)),0))</f>
        <v>0</v>
      </c>
      <c r="Q2797" s="19">
        <f>IF(AND($F2797="Compareceu",$E2797&lt;&gt;"",$A2797&lt;&gt;""),IF(IFERROR(INDEX(ProcRet,MATCH($E2797,ProcNome,0)),0)&gt;0,$A2797+INDEX(ProcRet,MATCH($E2797,ProcNome,0)),""),"")</f>
        <v>0</v>
      </c>
      <c r="R2797" s="26">
        <f>IF($Q2797="","",IF(COUNTIFS(AgPac,$D2797,AgData,"&gt;"&amp;$A2797,AgStatus,"&lt;&gt;Cancelado",AgStatus,"&lt;&gt;Remarcado")&gt;0,"Sim","Não"))</f>
        <v>0</v>
      </c>
      <c r="S2797" s="28">
        <f>IF($A2797="","",IF(AND($F2797="Agendado",$A2797-Hoje&gt;=0,$A2797-Hoje&lt;=DiasConf),"CONFIRMAR",IF(AND($A2797&lt;Hoje,OR($F2797="Agendado",$F2797="Confirmado")),"Atualizar status",IF(AND($F2797="Compareceu",$P2797&gt;0.005),"Cobrar",IF($F2797="Faltou","Falta: reagendar","")))))</f>
        <v>0</v>
      </c>
      <c r="T2797" s="29">
        <f>IF($A2797="","",DATE(YEAR($A2797),MONTH($A2797),1))</f>
        <v>0</v>
      </c>
      <c r="U2797" s="30">
        <f>IF($S2797="CONFIRMAR",MAX($U$4:$U2796)+1,"")</f>
        <v>0</v>
      </c>
      <c r="V2797" s="30">
        <f>IF(AND($R2797="Não",$Q2797&lt;&gt;"",$Q2797&lt;=Hoje+JanelaRet,$Q2797&gt;=Hoje-60),MAX($V$4:$V2796)+1,"")</f>
        <v>0</v>
      </c>
    </row>
    <row r="2798" spans="1:22">
      <c r="A2798" s="16"/>
      <c r="B2798" s="23"/>
      <c r="C2798" s="15"/>
      <c r="D2798" s="15"/>
      <c r="E2798" s="15"/>
      <c r="F2798" s="24"/>
      <c r="G2798" s="17"/>
      <c r="H2798" s="17"/>
      <c r="I2798" s="15"/>
      <c r="J2798" s="25">
        <f>IF($D2798="","",IFERROR(INDEX(PacNome,MATCH($D2798,PacCod,0)),"Paciente não cadastrado"))</f>
        <v>0</v>
      </c>
      <c r="K2798" s="26">
        <f>IF($D2798="","",IFERROR(INDEX(PacConv,MATCH($D2798,PacCod,0))&amp;"",""))</f>
        <v>0</v>
      </c>
      <c r="L2798" s="26">
        <f>IF($A2798="","",CHOOSE(WEEKDAY($A2798,2),"Seg","Ter","Qua","Qui","Sex","Sáb","Dom"))</f>
        <v>0</v>
      </c>
      <c r="M2798" s="27">
        <f>IF($E2798="","",IF($G2798&lt;&gt;"",$G2798,IFERROR(INDEX(ProcValor,MATCH($E2798,ProcNome,0)),0)))</f>
        <v>0</v>
      </c>
      <c r="N2798" s="27">
        <f>IF($M2798="","",IF($F2798="Compareceu",$M2798,0))</f>
        <v>0</v>
      </c>
      <c r="O2798" s="27">
        <f>IF($M2798="","",IF($F2798="Faltou",$M2798,0))</f>
        <v>0</v>
      </c>
      <c r="P2798" s="27">
        <f>IF($M2798="","",IF($F2798="Compareceu",MAX(0,$M2798-N($H2798)),0))</f>
        <v>0</v>
      </c>
      <c r="Q2798" s="19">
        <f>IF(AND($F2798="Compareceu",$E2798&lt;&gt;"",$A2798&lt;&gt;""),IF(IFERROR(INDEX(ProcRet,MATCH($E2798,ProcNome,0)),0)&gt;0,$A2798+INDEX(ProcRet,MATCH($E2798,ProcNome,0)),""),"")</f>
        <v>0</v>
      </c>
      <c r="R2798" s="26">
        <f>IF($Q2798="","",IF(COUNTIFS(AgPac,$D2798,AgData,"&gt;"&amp;$A2798,AgStatus,"&lt;&gt;Cancelado",AgStatus,"&lt;&gt;Remarcado")&gt;0,"Sim","Não"))</f>
        <v>0</v>
      </c>
      <c r="S2798" s="28">
        <f>IF($A2798="","",IF(AND($F2798="Agendado",$A2798-Hoje&gt;=0,$A2798-Hoje&lt;=DiasConf),"CONFIRMAR",IF(AND($A2798&lt;Hoje,OR($F2798="Agendado",$F2798="Confirmado")),"Atualizar status",IF(AND($F2798="Compareceu",$P2798&gt;0.005),"Cobrar",IF($F2798="Faltou","Falta: reagendar","")))))</f>
        <v>0</v>
      </c>
      <c r="T2798" s="29">
        <f>IF($A2798="","",DATE(YEAR($A2798),MONTH($A2798),1))</f>
        <v>0</v>
      </c>
      <c r="U2798" s="30">
        <f>IF($S2798="CONFIRMAR",MAX($U$4:$U2797)+1,"")</f>
        <v>0</v>
      </c>
      <c r="V2798" s="30">
        <f>IF(AND($R2798="Não",$Q2798&lt;&gt;"",$Q2798&lt;=Hoje+JanelaRet,$Q2798&gt;=Hoje-60),MAX($V$4:$V2797)+1,"")</f>
        <v>0</v>
      </c>
    </row>
    <row r="2799" spans="1:22">
      <c r="A2799" s="16"/>
      <c r="B2799" s="23"/>
      <c r="C2799" s="15"/>
      <c r="D2799" s="15"/>
      <c r="E2799" s="15"/>
      <c r="F2799" s="24"/>
      <c r="G2799" s="17"/>
      <c r="H2799" s="17"/>
      <c r="I2799" s="15"/>
      <c r="J2799" s="25">
        <f>IF($D2799="","",IFERROR(INDEX(PacNome,MATCH($D2799,PacCod,0)),"Paciente não cadastrado"))</f>
        <v>0</v>
      </c>
      <c r="K2799" s="26">
        <f>IF($D2799="","",IFERROR(INDEX(PacConv,MATCH($D2799,PacCod,0))&amp;"",""))</f>
        <v>0</v>
      </c>
      <c r="L2799" s="26">
        <f>IF($A2799="","",CHOOSE(WEEKDAY($A2799,2),"Seg","Ter","Qua","Qui","Sex","Sáb","Dom"))</f>
        <v>0</v>
      </c>
      <c r="M2799" s="27">
        <f>IF($E2799="","",IF($G2799&lt;&gt;"",$G2799,IFERROR(INDEX(ProcValor,MATCH($E2799,ProcNome,0)),0)))</f>
        <v>0</v>
      </c>
      <c r="N2799" s="27">
        <f>IF($M2799="","",IF($F2799="Compareceu",$M2799,0))</f>
        <v>0</v>
      </c>
      <c r="O2799" s="27">
        <f>IF($M2799="","",IF($F2799="Faltou",$M2799,0))</f>
        <v>0</v>
      </c>
      <c r="P2799" s="27">
        <f>IF($M2799="","",IF($F2799="Compareceu",MAX(0,$M2799-N($H2799)),0))</f>
        <v>0</v>
      </c>
      <c r="Q2799" s="19">
        <f>IF(AND($F2799="Compareceu",$E2799&lt;&gt;"",$A2799&lt;&gt;""),IF(IFERROR(INDEX(ProcRet,MATCH($E2799,ProcNome,0)),0)&gt;0,$A2799+INDEX(ProcRet,MATCH($E2799,ProcNome,0)),""),"")</f>
        <v>0</v>
      </c>
      <c r="R2799" s="26">
        <f>IF($Q2799="","",IF(COUNTIFS(AgPac,$D2799,AgData,"&gt;"&amp;$A2799,AgStatus,"&lt;&gt;Cancelado",AgStatus,"&lt;&gt;Remarcado")&gt;0,"Sim","Não"))</f>
        <v>0</v>
      </c>
      <c r="S2799" s="28">
        <f>IF($A2799="","",IF(AND($F2799="Agendado",$A2799-Hoje&gt;=0,$A2799-Hoje&lt;=DiasConf),"CONFIRMAR",IF(AND($A2799&lt;Hoje,OR($F2799="Agendado",$F2799="Confirmado")),"Atualizar status",IF(AND($F2799="Compareceu",$P2799&gt;0.005),"Cobrar",IF($F2799="Faltou","Falta: reagendar","")))))</f>
        <v>0</v>
      </c>
      <c r="T2799" s="29">
        <f>IF($A2799="","",DATE(YEAR($A2799),MONTH($A2799),1))</f>
        <v>0</v>
      </c>
      <c r="U2799" s="30">
        <f>IF($S2799="CONFIRMAR",MAX($U$4:$U2798)+1,"")</f>
        <v>0</v>
      </c>
      <c r="V2799" s="30">
        <f>IF(AND($R2799="Não",$Q2799&lt;&gt;"",$Q2799&lt;=Hoje+JanelaRet,$Q2799&gt;=Hoje-60),MAX($V$4:$V2798)+1,"")</f>
        <v>0</v>
      </c>
    </row>
    <row r="2800" spans="1:22">
      <c r="A2800" s="16"/>
      <c r="B2800" s="23"/>
      <c r="C2800" s="15"/>
      <c r="D2800" s="15"/>
      <c r="E2800" s="15"/>
      <c r="F2800" s="24"/>
      <c r="G2800" s="17"/>
      <c r="H2800" s="17"/>
      <c r="I2800" s="15"/>
      <c r="J2800" s="25">
        <f>IF($D2800="","",IFERROR(INDEX(PacNome,MATCH($D2800,PacCod,0)),"Paciente não cadastrado"))</f>
        <v>0</v>
      </c>
      <c r="K2800" s="26">
        <f>IF($D2800="","",IFERROR(INDEX(PacConv,MATCH($D2800,PacCod,0))&amp;"",""))</f>
        <v>0</v>
      </c>
      <c r="L2800" s="26">
        <f>IF($A2800="","",CHOOSE(WEEKDAY($A2800,2),"Seg","Ter","Qua","Qui","Sex","Sáb","Dom"))</f>
        <v>0</v>
      </c>
      <c r="M2800" s="27">
        <f>IF($E2800="","",IF($G2800&lt;&gt;"",$G2800,IFERROR(INDEX(ProcValor,MATCH($E2800,ProcNome,0)),0)))</f>
        <v>0</v>
      </c>
      <c r="N2800" s="27">
        <f>IF($M2800="","",IF($F2800="Compareceu",$M2800,0))</f>
        <v>0</v>
      </c>
      <c r="O2800" s="27">
        <f>IF($M2800="","",IF($F2800="Faltou",$M2800,0))</f>
        <v>0</v>
      </c>
      <c r="P2800" s="27">
        <f>IF($M2800="","",IF($F2800="Compareceu",MAX(0,$M2800-N($H2800)),0))</f>
        <v>0</v>
      </c>
      <c r="Q2800" s="19">
        <f>IF(AND($F2800="Compareceu",$E2800&lt;&gt;"",$A2800&lt;&gt;""),IF(IFERROR(INDEX(ProcRet,MATCH($E2800,ProcNome,0)),0)&gt;0,$A2800+INDEX(ProcRet,MATCH($E2800,ProcNome,0)),""),"")</f>
        <v>0</v>
      </c>
      <c r="R2800" s="26">
        <f>IF($Q2800="","",IF(COUNTIFS(AgPac,$D2800,AgData,"&gt;"&amp;$A2800,AgStatus,"&lt;&gt;Cancelado",AgStatus,"&lt;&gt;Remarcado")&gt;0,"Sim","Não"))</f>
        <v>0</v>
      </c>
      <c r="S2800" s="28">
        <f>IF($A2800="","",IF(AND($F2800="Agendado",$A2800-Hoje&gt;=0,$A2800-Hoje&lt;=DiasConf),"CONFIRMAR",IF(AND($A2800&lt;Hoje,OR($F2800="Agendado",$F2800="Confirmado")),"Atualizar status",IF(AND($F2800="Compareceu",$P2800&gt;0.005),"Cobrar",IF($F2800="Faltou","Falta: reagendar","")))))</f>
        <v>0</v>
      </c>
      <c r="T2800" s="29">
        <f>IF($A2800="","",DATE(YEAR($A2800),MONTH($A2800),1))</f>
        <v>0</v>
      </c>
      <c r="U2800" s="30">
        <f>IF($S2800="CONFIRMAR",MAX($U$4:$U2799)+1,"")</f>
        <v>0</v>
      </c>
      <c r="V2800" s="30">
        <f>IF(AND($R2800="Não",$Q2800&lt;&gt;"",$Q2800&lt;=Hoje+JanelaRet,$Q2800&gt;=Hoje-60),MAX($V$4:$V2799)+1,"")</f>
        <v>0</v>
      </c>
    </row>
    <row r="2801" spans="1:22">
      <c r="A2801" s="16"/>
      <c r="B2801" s="23"/>
      <c r="C2801" s="15"/>
      <c r="D2801" s="15"/>
      <c r="E2801" s="15"/>
      <c r="F2801" s="24"/>
      <c r="G2801" s="17"/>
      <c r="H2801" s="17"/>
      <c r="I2801" s="15"/>
      <c r="J2801" s="25">
        <f>IF($D2801="","",IFERROR(INDEX(PacNome,MATCH($D2801,PacCod,0)),"Paciente não cadastrado"))</f>
        <v>0</v>
      </c>
      <c r="K2801" s="26">
        <f>IF($D2801="","",IFERROR(INDEX(PacConv,MATCH($D2801,PacCod,0))&amp;"",""))</f>
        <v>0</v>
      </c>
      <c r="L2801" s="26">
        <f>IF($A2801="","",CHOOSE(WEEKDAY($A2801,2),"Seg","Ter","Qua","Qui","Sex","Sáb","Dom"))</f>
        <v>0</v>
      </c>
      <c r="M2801" s="27">
        <f>IF($E2801="","",IF($G2801&lt;&gt;"",$G2801,IFERROR(INDEX(ProcValor,MATCH($E2801,ProcNome,0)),0)))</f>
        <v>0</v>
      </c>
      <c r="N2801" s="27">
        <f>IF($M2801="","",IF($F2801="Compareceu",$M2801,0))</f>
        <v>0</v>
      </c>
      <c r="O2801" s="27">
        <f>IF($M2801="","",IF($F2801="Faltou",$M2801,0))</f>
        <v>0</v>
      </c>
      <c r="P2801" s="27">
        <f>IF($M2801="","",IF($F2801="Compareceu",MAX(0,$M2801-N($H2801)),0))</f>
        <v>0</v>
      </c>
      <c r="Q2801" s="19">
        <f>IF(AND($F2801="Compareceu",$E2801&lt;&gt;"",$A2801&lt;&gt;""),IF(IFERROR(INDEX(ProcRet,MATCH($E2801,ProcNome,0)),0)&gt;0,$A2801+INDEX(ProcRet,MATCH($E2801,ProcNome,0)),""),"")</f>
        <v>0</v>
      </c>
      <c r="R2801" s="26">
        <f>IF($Q2801="","",IF(COUNTIFS(AgPac,$D2801,AgData,"&gt;"&amp;$A2801,AgStatus,"&lt;&gt;Cancelado",AgStatus,"&lt;&gt;Remarcado")&gt;0,"Sim","Não"))</f>
        <v>0</v>
      </c>
      <c r="S2801" s="28">
        <f>IF($A2801="","",IF(AND($F2801="Agendado",$A2801-Hoje&gt;=0,$A2801-Hoje&lt;=DiasConf),"CONFIRMAR",IF(AND($A2801&lt;Hoje,OR($F2801="Agendado",$F2801="Confirmado")),"Atualizar status",IF(AND($F2801="Compareceu",$P2801&gt;0.005),"Cobrar",IF($F2801="Faltou","Falta: reagendar","")))))</f>
        <v>0</v>
      </c>
      <c r="T2801" s="29">
        <f>IF($A2801="","",DATE(YEAR($A2801),MONTH($A2801),1))</f>
        <v>0</v>
      </c>
      <c r="U2801" s="30">
        <f>IF($S2801="CONFIRMAR",MAX($U$4:$U2800)+1,"")</f>
        <v>0</v>
      </c>
      <c r="V2801" s="30">
        <f>IF(AND($R2801="Não",$Q2801&lt;&gt;"",$Q2801&lt;=Hoje+JanelaRet,$Q2801&gt;=Hoje-60),MAX($V$4:$V2800)+1,"")</f>
        <v>0</v>
      </c>
    </row>
    <row r="2802" spans="1:22">
      <c r="A2802" s="16"/>
      <c r="B2802" s="23"/>
      <c r="C2802" s="15"/>
      <c r="D2802" s="15"/>
      <c r="E2802" s="15"/>
      <c r="F2802" s="24"/>
      <c r="G2802" s="17"/>
      <c r="H2802" s="17"/>
      <c r="I2802" s="15"/>
      <c r="J2802" s="25">
        <f>IF($D2802="","",IFERROR(INDEX(PacNome,MATCH($D2802,PacCod,0)),"Paciente não cadastrado"))</f>
        <v>0</v>
      </c>
      <c r="K2802" s="26">
        <f>IF($D2802="","",IFERROR(INDEX(PacConv,MATCH($D2802,PacCod,0))&amp;"",""))</f>
        <v>0</v>
      </c>
      <c r="L2802" s="26">
        <f>IF($A2802="","",CHOOSE(WEEKDAY($A2802,2),"Seg","Ter","Qua","Qui","Sex","Sáb","Dom"))</f>
        <v>0</v>
      </c>
      <c r="M2802" s="27">
        <f>IF($E2802="","",IF($G2802&lt;&gt;"",$G2802,IFERROR(INDEX(ProcValor,MATCH($E2802,ProcNome,0)),0)))</f>
        <v>0</v>
      </c>
      <c r="N2802" s="27">
        <f>IF($M2802="","",IF($F2802="Compareceu",$M2802,0))</f>
        <v>0</v>
      </c>
      <c r="O2802" s="27">
        <f>IF($M2802="","",IF($F2802="Faltou",$M2802,0))</f>
        <v>0</v>
      </c>
      <c r="P2802" s="27">
        <f>IF($M2802="","",IF($F2802="Compareceu",MAX(0,$M2802-N($H2802)),0))</f>
        <v>0</v>
      </c>
      <c r="Q2802" s="19">
        <f>IF(AND($F2802="Compareceu",$E2802&lt;&gt;"",$A2802&lt;&gt;""),IF(IFERROR(INDEX(ProcRet,MATCH($E2802,ProcNome,0)),0)&gt;0,$A2802+INDEX(ProcRet,MATCH($E2802,ProcNome,0)),""),"")</f>
        <v>0</v>
      </c>
      <c r="R2802" s="26">
        <f>IF($Q2802="","",IF(COUNTIFS(AgPac,$D2802,AgData,"&gt;"&amp;$A2802,AgStatus,"&lt;&gt;Cancelado",AgStatus,"&lt;&gt;Remarcado")&gt;0,"Sim","Não"))</f>
        <v>0</v>
      </c>
      <c r="S2802" s="28">
        <f>IF($A2802="","",IF(AND($F2802="Agendado",$A2802-Hoje&gt;=0,$A2802-Hoje&lt;=DiasConf),"CONFIRMAR",IF(AND($A2802&lt;Hoje,OR($F2802="Agendado",$F2802="Confirmado")),"Atualizar status",IF(AND($F2802="Compareceu",$P2802&gt;0.005),"Cobrar",IF($F2802="Faltou","Falta: reagendar","")))))</f>
        <v>0</v>
      </c>
      <c r="T2802" s="29">
        <f>IF($A2802="","",DATE(YEAR($A2802),MONTH($A2802),1))</f>
        <v>0</v>
      </c>
      <c r="U2802" s="30">
        <f>IF($S2802="CONFIRMAR",MAX($U$4:$U2801)+1,"")</f>
        <v>0</v>
      </c>
      <c r="V2802" s="30">
        <f>IF(AND($R2802="Não",$Q2802&lt;&gt;"",$Q2802&lt;=Hoje+JanelaRet,$Q2802&gt;=Hoje-60),MAX($V$4:$V2801)+1,"")</f>
        <v>0</v>
      </c>
    </row>
    <row r="2803" spans="1:22">
      <c r="A2803" s="16"/>
      <c r="B2803" s="23"/>
      <c r="C2803" s="15"/>
      <c r="D2803" s="15"/>
      <c r="E2803" s="15"/>
      <c r="F2803" s="24"/>
      <c r="G2803" s="17"/>
      <c r="H2803" s="17"/>
      <c r="I2803" s="15"/>
      <c r="J2803" s="25">
        <f>IF($D2803="","",IFERROR(INDEX(PacNome,MATCH($D2803,PacCod,0)),"Paciente não cadastrado"))</f>
        <v>0</v>
      </c>
      <c r="K2803" s="26">
        <f>IF($D2803="","",IFERROR(INDEX(PacConv,MATCH($D2803,PacCod,0))&amp;"",""))</f>
        <v>0</v>
      </c>
      <c r="L2803" s="26">
        <f>IF($A2803="","",CHOOSE(WEEKDAY($A2803,2),"Seg","Ter","Qua","Qui","Sex","Sáb","Dom"))</f>
        <v>0</v>
      </c>
      <c r="M2803" s="27">
        <f>IF($E2803="","",IF($G2803&lt;&gt;"",$G2803,IFERROR(INDEX(ProcValor,MATCH($E2803,ProcNome,0)),0)))</f>
        <v>0</v>
      </c>
      <c r="N2803" s="27">
        <f>IF($M2803="","",IF($F2803="Compareceu",$M2803,0))</f>
        <v>0</v>
      </c>
      <c r="O2803" s="27">
        <f>IF($M2803="","",IF($F2803="Faltou",$M2803,0))</f>
        <v>0</v>
      </c>
      <c r="P2803" s="27">
        <f>IF($M2803="","",IF($F2803="Compareceu",MAX(0,$M2803-N($H2803)),0))</f>
        <v>0</v>
      </c>
      <c r="Q2803" s="19">
        <f>IF(AND($F2803="Compareceu",$E2803&lt;&gt;"",$A2803&lt;&gt;""),IF(IFERROR(INDEX(ProcRet,MATCH($E2803,ProcNome,0)),0)&gt;0,$A2803+INDEX(ProcRet,MATCH($E2803,ProcNome,0)),""),"")</f>
        <v>0</v>
      </c>
      <c r="R2803" s="26">
        <f>IF($Q2803="","",IF(COUNTIFS(AgPac,$D2803,AgData,"&gt;"&amp;$A2803,AgStatus,"&lt;&gt;Cancelado",AgStatus,"&lt;&gt;Remarcado")&gt;0,"Sim","Não"))</f>
        <v>0</v>
      </c>
      <c r="S2803" s="28">
        <f>IF($A2803="","",IF(AND($F2803="Agendado",$A2803-Hoje&gt;=0,$A2803-Hoje&lt;=DiasConf),"CONFIRMAR",IF(AND($A2803&lt;Hoje,OR($F2803="Agendado",$F2803="Confirmado")),"Atualizar status",IF(AND($F2803="Compareceu",$P2803&gt;0.005),"Cobrar",IF($F2803="Faltou","Falta: reagendar","")))))</f>
        <v>0</v>
      </c>
      <c r="T2803" s="29">
        <f>IF($A2803="","",DATE(YEAR($A2803),MONTH($A2803),1))</f>
        <v>0</v>
      </c>
      <c r="U2803" s="30">
        <f>IF($S2803="CONFIRMAR",MAX($U$4:$U2802)+1,"")</f>
        <v>0</v>
      </c>
      <c r="V2803" s="30">
        <f>IF(AND($R2803="Não",$Q2803&lt;&gt;"",$Q2803&lt;=Hoje+JanelaRet,$Q2803&gt;=Hoje-60),MAX($V$4:$V2802)+1,"")</f>
        <v>0</v>
      </c>
    </row>
    <row r="2804" spans="1:22">
      <c r="A2804" s="16"/>
      <c r="B2804" s="23"/>
      <c r="C2804" s="15"/>
      <c r="D2804" s="15"/>
      <c r="E2804" s="15"/>
      <c r="F2804" s="24"/>
      <c r="G2804" s="17"/>
      <c r="H2804" s="17"/>
      <c r="I2804" s="15"/>
      <c r="J2804" s="25">
        <f>IF($D2804="","",IFERROR(INDEX(PacNome,MATCH($D2804,PacCod,0)),"Paciente não cadastrado"))</f>
        <v>0</v>
      </c>
      <c r="K2804" s="26">
        <f>IF($D2804="","",IFERROR(INDEX(PacConv,MATCH($D2804,PacCod,0))&amp;"",""))</f>
        <v>0</v>
      </c>
      <c r="L2804" s="26">
        <f>IF($A2804="","",CHOOSE(WEEKDAY($A2804,2),"Seg","Ter","Qua","Qui","Sex","Sáb","Dom"))</f>
        <v>0</v>
      </c>
      <c r="M2804" s="27">
        <f>IF($E2804="","",IF($G2804&lt;&gt;"",$G2804,IFERROR(INDEX(ProcValor,MATCH($E2804,ProcNome,0)),0)))</f>
        <v>0</v>
      </c>
      <c r="N2804" s="27">
        <f>IF($M2804="","",IF($F2804="Compareceu",$M2804,0))</f>
        <v>0</v>
      </c>
      <c r="O2804" s="27">
        <f>IF($M2804="","",IF($F2804="Faltou",$M2804,0))</f>
        <v>0</v>
      </c>
      <c r="P2804" s="27">
        <f>IF($M2804="","",IF($F2804="Compareceu",MAX(0,$M2804-N($H2804)),0))</f>
        <v>0</v>
      </c>
      <c r="Q2804" s="19">
        <f>IF(AND($F2804="Compareceu",$E2804&lt;&gt;"",$A2804&lt;&gt;""),IF(IFERROR(INDEX(ProcRet,MATCH($E2804,ProcNome,0)),0)&gt;0,$A2804+INDEX(ProcRet,MATCH($E2804,ProcNome,0)),""),"")</f>
        <v>0</v>
      </c>
      <c r="R2804" s="26">
        <f>IF($Q2804="","",IF(COUNTIFS(AgPac,$D2804,AgData,"&gt;"&amp;$A2804,AgStatus,"&lt;&gt;Cancelado",AgStatus,"&lt;&gt;Remarcado")&gt;0,"Sim","Não"))</f>
        <v>0</v>
      </c>
      <c r="S2804" s="28">
        <f>IF($A2804="","",IF(AND($F2804="Agendado",$A2804-Hoje&gt;=0,$A2804-Hoje&lt;=DiasConf),"CONFIRMAR",IF(AND($A2804&lt;Hoje,OR($F2804="Agendado",$F2804="Confirmado")),"Atualizar status",IF(AND($F2804="Compareceu",$P2804&gt;0.005),"Cobrar",IF($F2804="Faltou","Falta: reagendar","")))))</f>
        <v>0</v>
      </c>
      <c r="T2804" s="29">
        <f>IF($A2804="","",DATE(YEAR($A2804),MONTH($A2804),1))</f>
        <v>0</v>
      </c>
      <c r="U2804" s="30">
        <f>IF($S2804="CONFIRMAR",MAX($U$4:$U2803)+1,"")</f>
        <v>0</v>
      </c>
      <c r="V2804" s="30">
        <f>IF(AND($R2804="Não",$Q2804&lt;&gt;"",$Q2804&lt;=Hoje+JanelaRet,$Q2804&gt;=Hoje-60),MAX($V$4:$V2803)+1,"")</f>
        <v>0</v>
      </c>
    </row>
    <row r="2805" spans="1:22">
      <c r="A2805" s="16"/>
      <c r="B2805" s="23"/>
      <c r="C2805" s="15"/>
      <c r="D2805" s="15"/>
      <c r="E2805" s="15"/>
      <c r="F2805" s="24"/>
      <c r="G2805" s="17"/>
      <c r="H2805" s="17"/>
      <c r="I2805" s="15"/>
      <c r="J2805" s="25">
        <f>IF($D2805="","",IFERROR(INDEX(PacNome,MATCH($D2805,PacCod,0)),"Paciente não cadastrado"))</f>
        <v>0</v>
      </c>
      <c r="K2805" s="26">
        <f>IF($D2805="","",IFERROR(INDEX(PacConv,MATCH($D2805,PacCod,0))&amp;"",""))</f>
        <v>0</v>
      </c>
      <c r="L2805" s="26">
        <f>IF($A2805="","",CHOOSE(WEEKDAY($A2805,2),"Seg","Ter","Qua","Qui","Sex","Sáb","Dom"))</f>
        <v>0</v>
      </c>
      <c r="M2805" s="27">
        <f>IF($E2805="","",IF($G2805&lt;&gt;"",$G2805,IFERROR(INDEX(ProcValor,MATCH($E2805,ProcNome,0)),0)))</f>
        <v>0</v>
      </c>
      <c r="N2805" s="27">
        <f>IF($M2805="","",IF($F2805="Compareceu",$M2805,0))</f>
        <v>0</v>
      </c>
      <c r="O2805" s="27">
        <f>IF($M2805="","",IF($F2805="Faltou",$M2805,0))</f>
        <v>0</v>
      </c>
      <c r="P2805" s="27">
        <f>IF($M2805="","",IF($F2805="Compareceu",MAX(0,$M2805-N($H2805)),0))</f>
        <v>0</v>
      </c>
      <c r="Q2805" s="19">
        <f>IF(AND($F2805="Compareceu",$E2805&lt;&gt;"",$A2805&lt;&gt;""),IF(IFERROR(INDEX(ProcRet,MATCH($E2805,ProcNome,0)),0)&gt;0,$A2805+INDEX(ProcRet,MATCH($E2805,ProcNome,0)),""),"")</f>
        <v>0</v>
      </c>
      <c r="R2805" s="26">
        <f>IF($Q2805="","",IF(COUNTIFS(AgPac,$D2805,AgData,"&gt;"&amp;$A2805,AgStatus,"&lt;&gt;Cancelado",AgStatus,"&lt;&gt;Remarcado")&gt;0,"Sim","Não"))</f>
        <v>0</v>
      </c>
      <c r="S2805" s="28">
        <f>IF($A2805="","",IF(AND($F2805="Agendado",$A2805-Hoje&gt;=0,$A2805-Hoje&lt;=DiasConf),"CONFIRMAR",IF(AND($A2805&lt;Hoje,OR($F2805="Agendado",$F2805="Confirmado")),"Atualizar status",IF(AND($F2805="Compareceu",$P2805&gt;0.005),"Cobrar",IF($F2805="Faltou","Falta: reagendar","")))))</f>
        <v>0</v>
      </c>
      <c r="T2805" s="29">
        <f>IF($A2805="","",DATE(YEAR($A2805),MONTH($A2805),1))</f>
        <v>0</v>
      </c>
      <c r="U2805" s="30">
        <f>IF($S2805="CONFIRMAR",MAX($U$4:$U2804)+1,"")</f>
        <v>0</v>
      </c>
      <c r="V2805" s="30">
        <f>IF(AND($R2805="Não",$Q2805&lt;&gt;"",$Q2805&lt;=Hoje+JanelaRet,$Q2805&gt;=Hoje-60),MAX($V$4:$V2804)+1,"")</f>
        <v>0</v>
      </c>
    </row>
    <row r="2806" spans="1:22">
      <c r="A2806" s="16"/>
      <c r="B2806" s="23"/>
      <c r="C2806" s="15"/>
      <c r="D2806" s="15"/>
      <c r="E2806" s="15"/>
      <c r="F2806" s="24"/>
      <c r="G2806" s="17"/>
      <c r="H2806" s="17"/>
      <c r="I2806" s="15"/>
      <c r="J2806" s="25">
        <f>IF($D2806="","",IFERROR(INDEX(PacNome,MATCH($D2806,PacCod,0)),"Paciente não cadastrado"))</f>
        <v>0</v>
      </c>
      <c r="K2806" s="26">
        <f>IF($D2806="","",IFERROR(INDEX(PacConv,MATCH($D2806,PacCod,0))&amp;"",""))</f>
        <v>0</v>
      </c>
      <c r="L2806" s="26">
        <f>IF($A2806="","",CHOOSE(WEEKDAY($A2806,2),"Seg","Ter","Qua","Qui","Sex","Sáb","Dom"))</f>
        <v>0</v>
      </c>
      <c r="M2806" s="27">
        <f>IF($E2806="","",IF($G2806&lt;&gt;"",$G2806,IFERROR(INDEX(ProcValor,MATCH($E2806,ProcNome,0)),0)))</f>
        <v>0</v>
      </c>
      <c r="N2806" s="27">
        <f>IF($M2806="","",IF($F2806="Compareceu",$M2806,0))</f>
        <v>0</v>
      </c>
      <c r="O2806" s="27">
        <f>IF($M2806="","",IF($F2806="Faltou",$M2806,0))</f>
        <v>0</v>
      </c>
      <c r="P2806" s="27">
        <f>IF($M2806="","",IF($F2806="Compareceu",MAX(0,$M2806-N($H2806)),0))</f>
        <v>0</v>
      </c>
      <c r="Q2806" s="19">
        <f>IF(AND($F2806="Compareceu",$E2806&lt;&gt;"",$A2806&lt;&gt;""),IF(IFERROR(INDEX(ProcRet,MATCH($E2806,ProcNome,0)),0)&gt;0,$A2806+INDEX(ProcRet,MATCH($E2806,ProcNome,0)),""),"")</f>
        <v>0</v>
      </c>
      <c r="R2806" s="26">
        <f>IF($Q2806="","",IF(COUNTIFS(AgPac,$D2806,AgData,"&gt;"&amp;$A2806,AgStatus,"&lt;&gt;Cancelado",AgStatus,"&lt;&gt;Remarcado")&gt;0,"Sim","Não"))</f>
        <v>0</v>
      </c>
      <c r="S2806" s="28">
        <f>IF($A2806="","",IF(AND($F2806="Agendado",$A2806-Hoje&gt;=0,$A2806-Hoje&lt;=DiasConf),"CONFIRMAR",IF(AND($A2806&lt;Hoje,OR($F2806="Agendado",$F2806="Confirmado")),"Atualizar status",IF(AND($F2806="Compareceu",$P2806&gt;0.005),"Cobrar",IF($F2806="Faltou","Falta: reagendar","")))))</f>
        <v>0</v>
      </c>
      <c r="T2806" s="29">
        <f>IF($A2806="","",DATE(YEAR($A2806),MONTH($A2806),1))</f>
        <v>0</v>
      </c>
      <c r="U2806" s="30">
        <f>IF($S2806="CONFIRMAR",MAX($U$4:$U2805)+1,"")</f>
        <v>0</v>
      </c>
      <c r="V2806" s="30">
        <f>IF(AND($R2806="Não",$Q2806&lt;&gt;"",$Q2806&lt;=Hoje+JanelaRet,$Q2806&gt;=Hoje-60),MAX($V$4:$V2805)+1,"")</f>
        <v>0</v>
      </c>
    </row>
    <row r="2807" spans="1:22">
      <c r="A2807" s="16"/>
      <c r="B2807" s="23"/>
      <c r="C2807" s="15"/>
      <c r="D2807" s="15"/>
      <c r="E2807" s="15"/>
      <c r="F2807" s="24"/>
      <c r="G2807" s="17"/>
      <c r="H2807" s="17"/>
      <c r="I2807" s="15"/>
      <c r="J2807" s="25">
        <f>IF($D2807="","",IFERROR(INDEX(PacNome,MATCH($D2807,PacCod,0)),"Paciente não cadastrado"))</f>
        <v>0</v>
      </c>
      <c r="K2807" s="26">
        <f>IF($D2807="","",IFERROR(INDEX(PacConv,MATCH($D2807,PacCod,0))&amp;"",""))</f>
        <v>0</v>
      </c>
      <c r="L2807" s="26">
        <f>IF($A2807="","",CHOOSE(WEEKDAY($A2807,2),"Seg","Ter","Qua","Qui","Sex","Sáb","Dom"))</f>
        <v>0</v>
      </c>
      <c r="M2807" s="27">
        <f>IF($E2807="","",IF($G2807&lt;&gt;"",$G2807,IFERROR(INDEX(ProcValor,MATCH($E2807,ProcNome,0)),0)))</f>
        <v>0</v>
      </c>
      <c r="N2807" s="27">
        <f>IF($M2807="","",IF($F2807="Compareceu",$M2807,0))</f>
        <v>0</v>
      </c>
      <c r="O2807" s="27">
        <f>IF($M2807="","",IF($F2807="Faltou",$M2807,0))</f>
        <v>0</v>
      </c>
      <c r="P2807" s="27">
        <f>IF($M2807="","",IF($F2807="Compareceu",MAX(0,$M2807-N($H2807)),0))</f>
        <v>0</v>
      </c>
      <c r="Q2807" s="19">
        <f>IF(AND($F2807="Compareceu",$E2807&lt;&gt;"",$A2807&lt;&gt;""),IF(IFERROR(INDEX(ProcRet,MATCH($E2807,ProcNome,0)),0)&gt;0,$A2807+INDEX(ProcRet,MATCH($E2807,ProcNome,0)),""),"")</f>
        <v>0</v>
      </c>
      <c r="R2807" s="26">
        <f>IF($Q2807="","",IF(COUNTIFS(AgPac,$D2807,AgData,"&gt;"&amp;$A2807,AgStatus,"&lt;&gt;Cancelado",AgStatus,"&lt;&gt;Remarcado")&gt;0,"Sim","Não"))</f>
        <v>0</v>
      </c>
      <c r="S2807" s="28">
        <f>IF($A2807="","",IF(AND($F2807="Agendado",$A2807-Hoje&gt;=0,$A2807-Hoje&lt;=DiasConf),"CONFIRMAR",IF(AND($A2807&lt;Hoje,OR($F2807="Agendado",$F2807="Confirmado")),"Atualizar status",IF(AND($F2807="Compareceu",$P2807&gt;0.005),"Cobrar",IF($F2807="Faltou","Falta: reagendar","")))))</f>
        <v>0</v>
      </c>
      <c r="T2807" s="29">
        <f>IF($A2807="","",DATE(YEAR($A2807),MONTH($A2807),1))</f>
        <v>0</v>
      </c>
      <c r="U2807" s="30">
        <f>IF($S2807="CONFIRMAR",MAX($U$4:$U2806)+1,"")</f>
        <v>0</v>
      </c>
      <c r="V2807" s="30">
        <f>IF(AND($R2807="Não",$Q2807&lt;&gt;"",$Q2807&lt;=Hoje+JanelaRet,$Q2807&gt;=Hoje-60),MAX($V$4:$V2806)+1,"")</f>
        <v>0</v>
      </c>
    </row>
    <row r="2808" spans="1:22">
      <c r="A2808" s="16"/>
      <c r="B2808" s="23"/>
      <c r="C2808" s="15"/>
      <c r="D2808" s="15"/>
      <c r="E2808" s="15"/>
      <c r="F2808" s="24"/>
      <c r="G2808" s="17"/>
      <c r="H2808" s="17"/>
      <c r="I2808" s="15"/>
      <c r="J2808" s="25">
        <f>IF($D2808="","",IFERROR(INDEX(PacNome,MATCH($D2808,PacCod,0)),"Paciente não cadastrado"))</f>
        <v>0</v>
      </c>
      <c r="K2808" s="26">
        <f>IF($D2808="","",IFERROR(INDEX(PacConv,MATCH($D2808,PacCod,0))&amp;"",""))</f>
        <v>0</v>
      </c>
      <c r="L2808" s="26">
        <f>IF($A2808="","",CHOOSE(WEEKDAY($A2808,2),"Seg","Ter","Qua","Qui","Sex","Sáb","Dom"))</f>
        <v>0</v>
      </c>
      <c r="M2808" s="27">
        <f>IF($E2808="","",IF($G2808&lt;&gt;"",$G2808,IFERROR(INDEX(ProcValor,MATCH($E2808,ProcNome,0)),0)))</f>
        <v>0</v>
      </c>
      <c r="N2808" s="27">
        <f>IF($M2808="","",IF($F2808="Compareceu",$M2808,0))</f>
        <v>0</v>
      </c>
      <c r="O2808" s="27">
        <f>IF($M2808="","",IF($F2808="Faltou",$M2808,0))</f>
        <v>0</v>
      </c>
      <c r="P2808" s="27">
        <f>IF($M2808="","",IF($F2808="Compareceu",MAX(0,$M2808-N($H2808)),0))</f>
        <v>0</v>
      </c>
      <c r="Q2808" s="19">
        <f>IF(AND($F2808="Compareceu",$E2808&lt;&gt;"",$A2808&lt;&gt;""),IF(IFERROR(INDEX(ProcRet,MATCH($E2808,ProcNome,0)),0)&gt;0,$A2808+INDEX(ProcRet,MATCH($E2808,ProcNome,0)),""),"")</f>
        <v>0</v>
      </c>
      <c r="R2808" s="26">
        <f>IF($Q2808="","",IF(COUNTIFS(AgPac,$D2808,AgData,"&gt;"&amp;$A2808,AgStatus,"&lt;&gt;Cancelado",AgStatus,"&lt;&gt;Remarcado")&gt;0,"Sim","Não"))</f>
        <v>0</v>
      </c>
      <c r="S2808" s="28">
        <f>IF($A2808="","",IF(AND($F2808="Agendado",$A2808-Hoje&gt;=0,$A2808-Hoje&lt;=DiasConf),"CONFIRMAR",IF(AND($A2808&lt;Hoje,OR($F2808="Agendado",$F2808="Confirmado")),"Atualizar status",IF(AND($F2808="Compareceu",$P2808&gt;0.005),"Cobrar",IF($F2808="Faltou","Falta: reagendar","")))))</f>
        <v>0</v>
      </c>
      <c r="T2808" s="29">
        <f>IF($A2808="","",DATE(YEAR($A2808),MONTH($A2808),1))</f>
        <v>0</v>
      </c>
      <c r="U2808" s="30">
        <f>IF($S2808="CONFIRMAR",MAX($U$4:$U2807)+1,"")</f>
        <v>0</v>
      </c>
      <c r="V2808" s="30">
        <f>IF(AND($R2808="Não",$Q2808&lt;&gt;"",$Q2808&lt;=Hoje+JanelaRet,$Q2808&gt;=Hoje-60),MAX($V$4:$V2807)+1,"")</f>
        <v>0</v>
      </c>
    </row>
    <row r="2809" spans="1:22">
      <c r="A2809" s="16"/>
      <c r="B2809" s="23"/>
      <c r="C2809" s="15"/>
      <c r="D2809" s="15"/>
      <c r="E2809" s="15"/>
      <c r="F2809" s="24"/>
      <c r="G2809" s="17"/>
      <c r="H2809" s="17"/>
      <c r="I2809" s="15"/>
      <c r="J2809" s="25">
        <f>IF($D2809="","",IFERROR(INDEX(PacNome,MATCH($D2809,PacCod,0)),"Paciente não cadastrado"))</f>
        <v>0</v>
      </c>
      <c r="K2809" s="26">
        <f>IF($D2809="","",IFERROR(INDEX(PacConv,MATCH($D2809,PacCod,0))&amp;"",""))</f>
        <v>0</v>
      </c>
      <c r="L2809" s="26">
        <f>IF($A2809="","",CHOOSE(WEEKDAY($A2809,2),"Seg","Ter","Qua","Qui","Sex","Sáb","Dom"))</f>
        <v>0</v>
      </c>
      <c r="M2809" s="27">
        <f>IF($E2809="","",IF($G2809&lt;&gt;"",$G2809,IFERROR(INDEX(ProcValor,MATCH($E2809,ProcNome,0)),0)))</f>
        <v>0</v>
      </c>
      <c r="N2809" s="27">
        <f>IF($M2809="","",IF($F2809="Compareceu",$M2809,0))</f>
        <v>0</v>
      </c>
      <c r="O2809" s="27">
        <f>IF($M2809="","",IF($F2809="Faltou",$M2809,0))</f>
        <v>0</v>
      </c>
      <c r="P2809" s="27">
        <f>IF($M2809="","",IF($F2809="Compareceu",MAX(0,$M2809-N($H2809)),0))</f>
        <v>0</v>
      </c>
      <c r="Q2809" s="19">
        <f>IF(AND($F2809="Compareceu",$E2809&lt;&gt;"",$A2809&lt;&gt;""),IF(IFERROR(INDEX(ProcRet,MATCH($E2809,ProcNome,0)),0)&gt;0,$A2809+INDEX(ProcRet,MATCH($E2809,ProcNome,0)),""),"")</f>
        <v>0</v>
      </c>
      <c r="R2809" s="26">
        <f>IF($Q2809="","",IF(COUNTIFS(AgPac,$D2809,AgData,"&gt;"&amp;$A2809,AgStatus,"&lt;&gt;Cancelado",AgStatus,"&lt;&gt;Remarcado")&gt;0,"Sim","Não"))</f>
        <v>0</v>
      </c>
      <c r="S2809" s="28">
        <f>IF($A2809="","",IF(AND($F2809="Agendado",$A2809-Hoje&gt;=0,$A2809-Hoje&lt;=DiasConf),"CONFIRMAR",IF(AND($A2809&lt;Hoje,OR($F2809="Agendado",$F2809="Confirmado")),"Atualizar status",IF(AND($F2809="Compareceu",$P2809&gt;0.005),"Cobrar",IF($F2809="Faltou","Falta: reagendar","")))))</f>
        <v>0</v>
      </c>
      <c r="T2809" s="29">
        <f>IF($A2809="","",DATE(YEAR($A2809),MONTH($A2809),1))</f>
        <v>0</v>
      </c>
      <c r="U2809" s="30">
        <f>IF($S2809="CONFIRMAR",MAX($U$4:$U2808)+1,"")</f>
        <v>0</v>
      </c>
      <c r="V2809" s="30">
        <f>IF(AND($R2809="Não",$Q2809&lt;&gt;"",$Q2809&lt;=Hoje+JanelaRet,$Q2809&gt;=Hoje-60),MAX($V$4:$V2808)+1,"")</f>
        <v>0</v>
      </c>
    </row>
    <row r="2810" spans="1:22">
      <c r="A2810" s="16"/>
      <c r="B2810" s="23"/>
      <c r="C2810" s="15"/>
      <c r="D2810" s="15"/>
      <c r="E2810" s="15"/>
      <c r="F2810" s="24"/>
      <c r="G2810" s="17"/>
      <c r="H2810" s="17"/>
      <c r="I2810" s="15"/>
      <c r="J2810" s="25">
        <f>IF($D2810="","",IFERROR(INDEX(PacNome,MATCH($D2810,PacCod,0)),"Paciente não cadastrado"))</f>
        <v>0</v>
      </c>
      <c r="K2810" s="26">
        <f>IF($D2810="","",IFERROR(INDEX(PacConv,MATCH($D2810,PacCod,0))&amp;"",""))</f>
        <v>0</v>
      </c>
      <c r="L2810" s="26">
        <f>IF($A2810="","",CHOOSE(WEEKDAY($A2810,2),"Seg","Ter","Qua","Qui","Sex","Sáb","Dom"))</f>
        <v>0</v>
      </c>
      <c r="M2810" s="27">
        <f>IF($E2810="","",IF($G2810&lt;&gt;"",$G2810,IFERROR(INDEX(ProcValor,MATCH($E2810,ProcNome,0)),0)))</f>
        <v>0</v>
      </c>
      <c r="N2810" s="27">
        <f>IF($M2810="","",IF($F2810="Compareceu",$M2810,0))</f>
        <v>0</v>
      </c>
      <c r="O2810" s="27">
        <f>IF($M2810="","",IF($F2810="Faltou",$M2810,0))</f>
        <v>0</v>
      </c>
      <c r="P2810" s="27">
        <f>IF($M2810="","",IF($F2810="Compareceu",MAX(0,$M2810-N($H2810)),0))</f>
        <v>0</v>
      </c>
      <c r="Q2810" s="19">
        <f>IF(AND($F2810="Compareceu",$E2810&lt;&gt;"",$A2810&lt;&gt;""),IF(IFERROR(INDEX(ProcRet,MATCH($E2810,ProcNome,0)),0)&gt;0,$A2810+INDEX(ProcRet,MATCH($E2810,ProcNome,0)),""),"")</f>
        <v>0</v>
      </c>
      <c r="R2810" s="26">
        <f>IF($Q2810="","",IF(COUNTIFS(AgPac,$D2810,AgData,"&gt;"&amp;$A2810,AgStatus,"&lt;&gt;Cancelado",AgStatus,"&lt;&gt;Remarcado")&gt;0,"Sim","Não"))</f>
        <v>0</v>
      </c>
      <c r="S2810" s="28">
        <f>IF($A2810="","",IF(AND($F2810="Agendado",$A2810-Hoje&gt;=0,$A2810-Hoje&lt;=DiasConf),"CONFIRMAR",IF(AND($A2810&lt;Hoje,OR($F2810="Agendado",$F2810="Confirmado")),"Atualizar status",IF(AND($F2810="Compareceu",$P2810&gt;0.005),"Cobrar",IF($F2810="Faltou","Falta: reagendar","")))))</f>
        <v>0</v>
      </c>
      <c r="T2810" s="29">
        <f>IF($A2810="","",DATE(YEAR($A2810),MONTH($A2810),1))</f>
        <v>0</v>
      </c>
      <c r="U2810" s="30">
        <f>IF($S2810="CONFIRMAR",MAX($U$4:$U2809)+1,"")</f>
        <v>0</v>
      </c>
      <c r="V2810" s="30">
        <f>IF(AND($R2810="Não",$Q2810&lt;&gt;"",$Q2810&lt;=Hoje+JanelaRet,$Q2810&gt;=Hoje-60),MAX($V$4:$V2809)+1,"")</f>
        <v>0</v>
      </c>
    </row>
    <row r="2811" spans="1:22">
      <c r="A2811" s="16"/>
      <c r="B2811" s="23"/>
      <c r="C2811" s="15"/>
      <c r="D2811" s="15"/>
      <c r="E2811" s="15"/>
      <c r="F2811" s="24"/>
      <c r="G2811" s="17"/>
      <c r="H2811" s="17"/>
      <c r="I2811" s="15"/>
      <c r="J2811" s="25">
        <f>IF($D2811="","",IFERROR(INDEX(PacNome,MATCH($D2811,PacCod,0)),"Paciente não cadastrado"))</f>
        <v>0</v>
      </c>
      <c r="K2811" s="26">
        <f>IF($D2811="","",IFERROR(INDEX(PacConv,MATCH($D2811,PacCod,0))&amp;"",""))</f>
        <v>0</v>
      </c>
      <c r="L2811" s="26">
        <f>IF($A2811="","",CHOOSE(WEEKDAY($A2811,2),"Seg","Ter","Qua","Qui","Sex","Sáb","Dom"))</f>
        <v>0</v>
      </c>
      <c r="M2811" s="27">
        <f>IF($E2811="","",IF($G2811&lt;&gt;"",$G2811,IFERROR(INDEX(ProcValor,MATCH($E2811,ProcNome,0)),0)))</f>
        <v>0</v>
      </c>
      <c r="N2811" s="27">
        <f>IF($M2811="","",IF($F2811="Compareceu",$M2811,0))</f>
        <v>0</v>
      </c>
      <c r="O2811" s="27">
        <f>IF($M2811="","",IF($F2811="Faltou",$M2811,0))</f>
        <v>0</v>
      </c>
      <c r="P2811" s="27">
        <f>IF($M2811="","",IF($F2811="Compareceu",MAX(0,$M2811-N($H2811)),0))</f>
        <v>0</v>
      </c>
      <c r="Q2811" s="19">
        <f>IF(AND($F2811="Compareceu",$E2811&lt;&gt;"",$A2811&lt;&gt;""),IF(IFERROR(INDEX(ProcRet,MATCH($E2811,ProcNome,0)),0)&gt;0,$A2811+INDEX(ProcRet,MATCH($E2811,ProcNome,0)),""),"")</f>
        <v>0</v>
      </c>
      <c r="R2811" s="26">
        <f>IF($Q2811="","",IF(COUNTIFS(AgPac,$D2811,AgData,"&gt;"&amp;$A2811,AgStatus,"&lt;&gt;Cancelado",AgStatus,"&lt;&gt;Remarcado")&gt;0,"Sim","Não"))</f>
        <v>0</v>
      </c>
      <c r="S2811" s="28">
        <f>IF($A2811="","",IF(AND($F2811="Agendado",$A2811-Hoje&gt;=0,$A2811-Hoje&lt;=DiasConf),"CONFIRMAR",IF(AND($A2811&lt;Hoje,OR($F2811="Agendado",$F2811="Confirmado")),"Atualizar status",IF(AND($F2811="Compareceu",$P2811&gt;0.005),"Cobrar",IF($F2811="Faltou","Falta: reagendar","")))))</f>
        <v>0</v>
      </c>
      <c r="T2811" s="29">
        <f>IF($A2811="","",DATE(YEAR($A2811),MONTH($A2811),1))</f>
        <v>0</v>
      </c>
      <c r="U2811" s="30">
        <f>IF($S2811="CONFIRMAR",MAX($U$4:$U2810)+1,"")</f>
        <v>0</v>
      </c>
      <c r="V2811" s="30">
        <f>IF(AND($R2811="Não",$Q2811&lt;&gt;"",$Q2811&lt;=Hoje+JanelaRet,$Q2811&gt;=Hoje-60),MAX($V$4:$V2810)+1,"")</f>
        <v>0</v>
      </c>
    </row>
    <row r="2812" spans="1:22">
      <c r="A2812" s="16"/>
      <c r="B2812" s="23"/>
      <c r="C2812" s="15"/>
      <c r="D2812" s="15"/>
      <c r="E2812" s="15"/>
      <c r="F2812" s="24"/>
      <c r="G2812" s="17"/>
      <c r="H2812" s="17"/>
      <c r="I2812" s="15"/>
      <c r="J2812" s="25">
        <f>IF($D2812="","",IFERROR(INDEX(PacNome,MATCH($D2812,PacCod,0)),"Paciente não cadastrado"))</f>
        <v>0</v>
      </c>
      <c r="K2812" s="26">
        <f>IF($D2812="","",IFERROR(INDEX(PacConv,MATCH($D2812,PacCod,0))&amp;"",""))</f>
        <v>0</v>
      </c>
      <c r="L2812" s="26">
        <f>IF($A2812="","",CHOOSE(WEEKDAY($A2812,2),"Seg","Ter","Qua","Qui","Sex","Sáb","Dom"))</f>
        <v>0</v>
      </c>
      <c r="M2812" s="27">
        <f>IF($E2812="","",IF($G2812&lt;&gt;"",$G2812,IFERROR(INDEX(ProcValor,MATCH($E2812,ProcNome,0)),0)))</f>
        <v>0</v>
      </c>
      <c r="N2812" s="27">
        <f>IF($M2812="","",IF($F2812="Compareceu",$M2812,0))</f>
        <v>0</v>
      </c>
      <c r="O2812" s="27">
        <f>IF($M2812="","",IF($F2812="Faltou",$M2812,0))</f>
        <v>0</v>
      </c>
      <c r="P2812" s="27">
        <f>IF($M2812="","",IF($F2812="Compareceu",MAX(0,$M2812-N($H2812)),0))</f>
        <v>0</v>
      </c>
      <c r="Q2812" s="19">
        <f>IF(AND($F2812="Compareceu",$E2812&lt;&gt;"",$A2812&lt;&gt;""),IF(IFERROR(INDEX(ProcRet,MATCH($E2812,ProcNome,0)),0)&gt;0,$A2812+INDEX(ProcRet,MATCH($E2812,ProcNome,0)),""),"")</f>
        <v>0</v>
      </c>
      <c r="R2812" s="26">
        <f>IF($Q2812="","",IF(COUNTIFS(AgPac,$D2812,AgData,"&gt;"&amp;$A2812,AgStatus,"&lt;&gt;Cancelado",AgStatus,"&lt;&gt;Remarcado")&gt;0,"Sim","Não"))</f>
        <v>0</v>
      </c>
      <c r="S2812" s="28">
        <f>IF($A2812="","",IF(AND($F2812="Agendado",$A2812-Hoje&gt;=0,$A2812-Hoje&lt;=DiasConf),"CONFIRMAR",IF(AND($A2812&lt;Hoje,OR($F2812="Agendado",$F2812="Confirmado")),"Atualizar status",IF(AND($F2812="Compareceu",$P2812&gt;0.005),"Cobrar",IF($F2812="Faltou","Falta: reagendar","")))))</f>
        <v>0</v>
      </c>
      <c r="T2812" s="29">
        <f>IF($A2812="","",DATE(YEAR($A2812),MONTH($A2812),1))</f>
        <v>0</v>
      </c>
      <c r="U2812" s="30">
        <f>IF($S2812="CONFIRMAR",MAX($U$4:$U2811)+1,"")</f>
        <v>0</v>
      </c>
      <c r="V2812" s="30">
        <f>IF(AND($R2812="Não",$Q2812&lt;&gt;"",$Q2812&lt;=Hoje+JanelaRet,$Q2812&gt;=Hoje-60),MAX($V$4:$V2811)+1,"")</f>
        <v>0</v>
      </c>
    </row>
    <row r="2813" spans="1:22">
      <c r="A2813" s="16"/>
      <c r="B2813" s="23"/>
      <c r="C2813" s="15"/>
      <c r="D2813" s="15"/>
      <c r="E2813" s="15"/>
      <c r="F2813" s="24"/>
      <c r="G2813" s="17"/>
      <c r="H2813" s="17"/>
      <c r="I2813" s="15"/>
      <c r="J2813" s="25">
        <f>IF($D2813="","",IFERROR(INDEX(PacNome,MATCH($D2813,PacCod,0)),"Paciente não cadastrado"))</f>
        <v>0</v>
      </c>
      <c r="K2813" s="26">
        <f>IF($D2813="","",IFERROR(INDEX(PacConv,MATCH($D2813,PacCod,0))&amp;"",""))</f>
        <v>0</v>
      </c>
      <c r="L2813" s="26">
        <f>IF($A2813="","",CHOOSE(WEEKDAY($A2813,2),"Seg","Ter","Qua","Qui","Sex","Sáb","Dom"))</f>
        <v>0</v>
      </c>
      <c r="M2813" s="27">
        <f>IF($E2813="","",IF($G2813&lt;&gt;"",$G2813,IFERROR(INDEX(ProcValor,MATCH($E2813,ProcNome,0)),0)))</f>
        <v>0</v>
      </c>
      <c r="N2813" s="27">
        <f>IF($M2813="","",IF($F2813="Compareceu",$M2813,0))</f>
        <v>0</v>
      </c>
      <c r="O2813" s="27">
        <f>IF($M2813="","",IF($F2813="Faltou",$M2813,0))</f>
        <v>0</v>
      </c>
      <c r="P2813" s="27">
        <f>IF($M2813="","",IF($F2813="Compareceu",MAX(0,$M2813-N($H2813)),0))</f>
        <v>0</v>
      </c>
      <c r="Q2813" s="19">
        <f>IF(AND($F2813="Compareceu",$E2813&lt;&gt;"",$A2813&lt;&gt;""),IF(IFERROR(INDEX(ProcRet,MATCH($E2813,ProcNome,0)),0)&gt;0,$A2813+INDEX(ProcRet,MATCH($E2813,ProcNome,0)),""),"")</f>
        <v>0</v>
      </c>
      <c r="R2813" s="26">
        <f>IF($Q2813="","",IF(COUNTIFS(AgPac,$D2813,AgData,"&gt;"&amp;$A2813,AgStatus,"&lt;&gt;Cancelado",AgStatus,"&lt;&gt;Remarcado")&gt;0,"Sim","Não"))</f>
        <v>0</v>
      </c>
      <c r="S2813" s="28">
        <f>IF($A2813="","",IF(AND($F2813="Agendado",$A2813-Hoje&gt;=0,$A2813-Hoje&lt;=DiasConf),"CONFIRMAR",IF(AND($A2813&lt;Hoje,OR($F2813="Agendado",$F2813="Confirmado")),"Atualizar status",IF(AND($F2813="Compareceu",$P2813&gt;0.005),"Cobrar",IF($F2813="Faltou","Falta: reagendar","")))))</f>
        <v>0</v>
      </c>
      <c r="T2813" s="29">
        <f>IF($A2813="","",DATE(YEAR($A2813),MONTH($A2813),1))</f>
        <v>0</v>
      </c>
      <c r="U2813" s="30">
        <f>IF($S2813="CONFIRMAR",MAX($U$4:$U2812)+1,"")</f>
        <v>0</v>
      </c>
      <c r="V2813" s="30">
        <f>IF(AND($R2813="Não",$Q2813&lt;&gt;"",$Q2813&lt;=Hoje+JanelaRet,$Q2813&gt;=Hoje-60),MAX($V$4:$V2812)+1,"")</f>
        <v>0</v>
      </c>
    </row>
    <row r="2814" spans="1:22">
      <c r="A2814" s="16"/>
      <c r="B2814" s="23"/>
      <c r="C2814" s="15"/>
      <c r="D2814" s="15"/>
      <c r="E2814" s="15"/>
      <c r="F2814" s="24"/>
      <c r="G2814" s="17"/>
      <c r="H2814" s="17"/>
      <c r="I2814" s="15"/>
      <c r="J2814" s="25">
        <f>IF($D2814="","",IFERROR(INDEX(PacNome,MATCH($D2814,PacCod,0)),"Paciente não cadastrado"))</f>
        <v>0</v>
      </c>
      <c r="K2814" s="26">
        <f>IF($D2814="","",IFERROR(INDEX(PacConv,MATCH($D2814,PacCod,0))&amp;"",""))</f>
        <v>0</v>
      </c>
      <c r="L2814" s="26">
        <f>IF($A2814="","",CHOOSE(WEEKDAY($A2814,2),"Seg","Ter","Qua","Qui","Sex","Sáb","Dom"))</f>
        <v>0</v>
      </c>
      <c r="M2814" s="27">
        <f>IF($E2814="","",IF($G2814&lt;&gt;"",$G2814,IFERROR(INDEX(ProcValor,MATCH($E2814,ProcNome,0)),0)))</f>
        <v>0</v>
      </c>
      <c r="N2814" s="27">
        <f>IF($M2814="","",IF($F2814="Compareceu",$M2814,0))</f>
        <v>0</v>
      </c>
      <c r="O2814" s="27">
        <f>IF($M2814="","",IF($F2814="Faltou",$M2814,0))</f>
        <v>0</v>
      </c>
      <c r="P2814" s="27">
        <f>IF($M2814="","",IF($F2814="Compareceu",MAX(0,$M2814-N($H2814)),0))</f>
        <v>0</v>
      </c>
      <c r="Q2814" s="19">
        <f>IF(AND($F2814="Compareceu",$E2814&lt;&gt;"",$A2814&lt;&gt;""),IF(IFERROR(INDEX(ProcRet,MATCH($E2814,ProcNome,0)),0)&gt;0,$A2814+INDEX(ProcRet,MATCH($E2814,ProcNome,0)),""),"")</f>
        <v>0</v>
      </c>
      <c r="R2814" s="26">
        <f>IF($Q2814="","",IF(COUNTIFS(AgPac,$D2814,AgData,"&gt;"&amp;$A2814,AgStatus,"&lt;&gt;Cancelado",AgStatus,"&lt;&gt;Remarcado")&gt;0,"Sim","Não"))</f>
        <v>0</v>
      </c>
      <c r="S2814" s="28">
        <f>IF($A2814="","",IF(AND($F2814="Agendado",$A2814-Hoje&gt;=0,$A2814-Hoje&lt;=DiasConf),"CONFIRMAR",IF(AND($A2814&lt;Hoje,OR($F2814="Agendado",$F2814="Confirmado")),"Atualizar status",IF(AND($F2814="Compareceu",$P2814&gt;0.005),"Cobrar",IF($F2814="Faltou","Falta: reagendar","")))))</f>
        <v>0</v>
      </c>
      <c r="T2814" s="29">
        <f>IF($A2814="","",DATE(YEAR($A2814),MONTH($A2814),1))</f>
        <v>0</v>
      </c>
      <c r="U2814" s="30">
        <f>IF($S2814="CONFIRMAR",MAX($U$4:$U2813)+1,"")</f>
        <v>0</v>
      </c>
      <c r="V2814" s="30">
        <f>IF(AND($R2814="Não",$Q2814&lt;&gt;"",$Q2814&lt;=Hoje+JanelaRet,$Q2814&gt;=Hoje-60),MAX($V$4:$V2813)+1,"")</f>
        <v>0</v>
      </c>
    </row>
    <row r="2815" spans="1:22">
      <c r="A2815" s="16"/>
      <c r="B2815" s="23"/>
      <c r="C2815" s="15"/>
      <c r="D2815" s="15"/>
      <c r="E2815" s="15"/>
      <c r="F2815" s="24"/>
      <c r="G2815" s="17"/>
      <c r="H2815" s="17"/>
      <c r="I2815" s="15"/>
      <c r="J2815" s="25">
        <f>IF($D2815="","",IFERROR(INDEX(PacNome,MATCH($D2815,PacCod,0)),"Paciente não cadastrado"))</f>
        <v>0</v>
      </c>
      <c r="K2815" s="26">
        <f>IF($D2815="","",IFERROR(INDEX(PacConv,MATCH($D2815,PacCod,0))&amp;"",""))</f>
        <v>0</v>
      </c>
      <c r="L2815" s="26">
        <f>IF($A2815="","",CHOOSE(WEEKDAY($A2815,2),"Seg","Ter","Qua","Qui","Sex","Sáb","Dom"))</f>
        <v>0</v>
      </c>
      <c r="M2815" s="27">
        <f>IF($E2815="","",IF($G2815&lt;&gt;"",$G2815,IFERROR(INDEX(ProcValor,MATCH($E2815,ProcNome,0)),0)))</f>
        <v>0</v>
      </c>
      <c r="N2815" s="27">
        <f>IF($M2815="","",IF($F2815="Compareceu",$M2815,0))</f>
        <v>0</v>
      </c>
      <c r="O2815" s="27">
        <f>IF($M2815="","",IF($F2815="Faltou",$M2815,0))</f>
        <v>0</v>
      </c>
      <c r="P2815" s="27">
        <f>IF($M2815="","",IF($F2815="Compareceu",MAX(0,$M2815-N($H2815)),0))</f>
        <v>0</v>
      </c>
      <c r="Q2815" s="19">
        <f>IF(AND($F2815="Compareceu",$E2815&lt;&gt;"",$A2815&lt;&gt;""),IF(IFERROR(INDEX(ProcRet,MATCH($E2815,ProcNome,0)),0)&gt;0,$A2815+INDEX(ProcRet,MATCH($E2815,ProcNome,0)),""),"")</f>
        <v>0</v>
      </c>
      <c r="R2815" s="26">
        <f>IF($Q2815="","",IF(COUNTIFS(AgPac,$D2815,AgData,"&gt;"&amp;$A2815,AgStatus,"&lt;&gt;Cancelado",AgStatus,"&lt;&gt;Remarcado")&gt;0,"Sim","Não"))</f>
        <v>0</v>
      </c>
      <c r="S2815" s="28">
        <f>IF($A2815="","",IF(AND($F2815="Agendado",$A2815-Hoje&gt;=0,$A2815-Hoje&lt;=DiasConf),"CONFIRMAR",IF(AND($A2815&lt;Hoje,OR($F2815="Agendado",$F2815="Confirmado")),"Atualizar status",IF(AND($F2815="Compareceu",$P2815&gt;0.005),"Cobrar",IF($F2815="Faltou","Falta: reagendar","")))))</f>
        <v>0</v>
      </c>
      <c r="T2815" s="29">
        <f>IF($A2815="","",DATE(YEAR($A2815),MONTH($A2815),1))</f>
        <v>0</v>
      </c>
      <c r="U2815" s="30">
        <f>IF($S2815="CONFIRMAR",MAX($U$4:$U2814)+1,"")</f>
        <v>0</v>
      </c>
      <c r="V2815" s="30">
        <f>IF(AND($R2815="Não",$Q2815&lt;&gt;"",$Q2815&lt;=Hoje+JanelaRet,$Q2815&gt;=Hoje-60),MAX($V$4:$V2814)+1,"")</f>
        <v>0</v>
      </c>
    </row>
    <row r="2816" spans="1:22">
      <c r="A2816" s="16"/>
      <c r="B2816" s="23"/>
      <c r="C2816" s="15"/>
      <c r="D2816" s="15"/>
      <c r="E2816" s="15"/>
      <c r="F2816" s="24"/>
      <c r="G2816" s="17"/>
      <c r="H2816" s="17"/>
      <c r="I2816" s="15"/>
      <c r="J2816" s="25">
        <f>IF($D2816="","",IFERROR(INDEX(PacNome,MATCH($D2816,PacCod,0)),"Paciente não cadastrado"))</f>
        <v>0</v>
      </c>
      <c r="K2816" s="26">
        <f>IF($D2816="","",IFERROR(INDEX(PacConv,MATCH($D2816,PacCod,0))&amp;"",""))</f>
        <v>0</v>
      </c>
      <c r="L2816" s="26">
        <f>IF($A2816="","",CHOOSE(WEEKDAY($A2816,2),"Seg","Ter","Qua","Qui","Sex","Sáb","Dom"))</f>
        <v>0</v>
      </c>
      <c r="M2816" s="27">
        <f>IF($E2816="","",IF($G2816&lt;&gt;"",$G2816,IFERROR(INDEX(ProcValor,MATCH($E2816,ProcNome,0)),0)))</f>
        <v>0</v>
      </c>
      <c r="N2816" s="27">
        <f>IF($M2816="","",IF($F2816="Compareceu",$M2816,0))</f>
        <v>0</v>
      </c>
      <c r="O2816" s="27">
        <f>IF($M2816="","",IF($F2816="Faltou",$M2816,0))</f>
        <v>0</v>
      </c>
      <c r="P2816" s="27">
        <f>IF($M2816="","",IF($F2816="Compareceu",MAX(0,$M2816-N($H2816)),0))</f>
        <v>0</v>
      </c>
      <c r="Q2816" s="19">
        <f>IF(AND($F2816="Compareceu",$E2816&lt;&gt;"",$A2816&lt;&gt;""),IF(IFERROR(INDEX(ProcRet,MATCH($E2816,ProcNome,0)),0)&gt;0,$A2816+INDEX(ProcRet,MATCH($E2816,ProcNome,0)),""),"")</f>
        <v>0</v>
      </c>
      <c r="R2816" s="26">
        <f>IF($Q2816="","",IF(COUNTIFS(AgPac,$D2816,AgData,"&gt;"&amp;$A2816,AgStatus,"&lt;&gt;Cancelado",AgStatus,"&lt;&gt;Remarcado")&gt;0,"Sim","Não"))</f>
        <v>0</v>
      </c>
      <c r="S2816" s="28">
        <f>IF($A2816="","",IF(AND($F2816="Agendado",$A2816-Hoje&gt;=0,$A2816-Hoje&lt;=DiasConf),"CONFIRMAR",IF(AND($A2816&lt;Hoje,OR($F2816="Agendado",$F2816="Confirmado")),"Atualizar status",IF(AND($F2816="Compareceu",$P2816&gt;0.005),"Cobrar",IF($F2816="Faltou","Falta: reagendar","")))))</f>
        <v>0</v>
      </c>
      <c r="T2816" s="29">
        <f>IF($A2816="","",DATE(YEAR($A2816),MONTH($A2816),1))</f>
        <v>0</v>
      </c>
      <c r="U2816" s="30">
        <f>IF($S2816="CONFIRMAR",MAX($U$4:$U2815)+1,"")</f>
        <v>0</v>
      </c>
      <c r="V2816" s="30">
        <f>IF(AND($R2816="Não",$Q2816&lt;&gt;"",$Q2816&lt;=Hoje+JanelaRet,$Q2816&gt;=Hoje-60),MAX($V$4:$V2815)+1,"")</f>
        <v>0</v>
      </c>
    </row>
    <row r="2817" spans="1:22">
      <c r="A2817" s="16"/>
      <c r="B2817" s="23"/>
      <c r="C2817" s="15"/>
      <c r="D2817" s="15"/>
      <c r="E2817" s="15"/>
      <c r="F2817" s="24"/>
      <c r="G2817" s="17"/>
      <c r="H2817" s="17"/>
      <c r="I2817" s="15"/>
      <c r="J2817" s="25">
        <f>IF($D2817="","",IFERROR(INDEX(PacNome,MATCH($D2817,PacCod,0)),"Paciente não cadastrado"))</f>
        <v>0</v>
      </c>
      <c r="K2817" s="26">
        <f>IF($D2817="","",IFERROR(INDEX(PacConv,MATCH($D2817,PacCod,0))&amp;"",""))</f>
        <v>0</v>
      </c>
      <c r="L2817" s="26">
        <f>IF($A2817="","",CHOOSE(WEEKDAY($A2817,2),"Seg","Ter","Qua","Qui","Sex","Sáb","Dom"))</f>
        <v>0</v>
      </c>
      <c r="M2817" s="27">
        <f>IF($E2817="","",IF($G2817&lt;&gt;"",$G2817,IFERROR(INDEX(ProcValor,MATCH($E2817,ProcNome,0)),0)))</f>
        <v>0</v>
      </c>
      <c r="N2817" s="27">
        <f>IF($M2817="","",IF($F2817="Compareceu",$M2817,0))</f>
        <v>0</v>
      </c>
      <c r="O2817" s="27">
        <f>IF($M2817="","",IF($F2817="Faltou",$M2817,0))</f>
        <v>0</v>
      </c>
      <c r="P2817" s="27">
        <f>IF($M2817="","",IF($F2817="Compareceu",MAX(0,$M2817-N($H2817)),0))</f>
        <v>0</v>
      </c>
      <c r="Q2817" s="19">
        <f>IF(AND($F2817="Compareceu",$E2817&lt;&gt;"",$A2817&lt;&gt;""),IF(IFERROR(INDEX(ProcRet,MATCH($E2817,ProcNome,0)),0)&gt;0,$A2817+INDEX(ProcRet,MATCH($E2817,ProcNome,0)),""),"")</f>
        <v>0</v>
      </c>
      <c r="R2817" s="26">
        <f>IF($Q2817="","",IF(COUNTIFS(AgPac,$D2817,AgData,"&gt;"&amp;$A2817,AgStatus,"&lt;&gt;Cancelado",AgStatus,"&lt;&gt;Remarcado")&gt;0,"Sim","Não"))</f>
        <v>0</v>
      </c>
      <c r="S2817" s="28">
        <f>IF($A2817="","",IF(AND($F2817="Agendado",$A2817-Hoje&gt;=0,$A2817-Hoje&lt;=DiasConf),"CONFIRMAR",IF(AND($A2817&lt;Hoje,OR($F2817="Agendado",$F2817="Confirmado")),"Atualizar status",IF(AND($F2817="Compareceu",$P2817&gt;0.005),"Cobrar",IF($F2817="Faltou","Falta: reagendar","")))))</f>
        <v>0</v>
      </c>
      <c r="T2817" s="29">
        <f>IF($A2817="","",DATE(YEAR($A2817),MONTH($A2817),1))</f>
        <v>0</v>
      </c>
      <c r="U2817" s="30">
        <f>IF($S2817="CONFIRMAR",MAX($U$4:$U2816)+1,"")</f>
        <v>0</v>
      </c>
      <c r="V2817" s="30">
        <f>IF(AND($R2817="Não",$Q2817&lt;&gt;"",$Q2817&lt;=Hoje+JanelaRet,$Q2817&gt;=Hoje-60),MAX($V$4:$V2816)+1,"")</f>
        <v>0</v>
      </c>
    </row>
    <row r="2818" spans="1:22">
      <c r="A2818" s="16"/>
      <c r="B2818" s="23"/>
      <c r="C2818" s="15"/>
      <c r="D2818" s="15"/>
      <c r="E2818" s="15"/>
      <c r="F2818" s="24"/>
      <c r="G2818" s="17"/>
      <c r="H2818" s="17"/>
      <c r="I2818" s="15"/>
      <c r="J2818" s="25">
        <f>IF($D2818="","",IFERROR(INDEX(PacNome,MATCH($D2818,PacCod,0)),"Paciente não cadastrado"))</f>
        <v>0</v>
      </c>
      <c r="K2818" s="26">
        <f>IF($D2818="","",IFERROR(INDEX(PacConv,MATCH($D2818,PacCod,0))&amp;"",""))</f>
        <v>0</v>
      </c>
      <c r="L2818" s="26">
        <f>IF($A2818="","",CHOOSE(WEEKDAY($A2818,2),"Seg","Ter","Qua","Qui","Sex","Sáb","Dom"))</f>
        <v>0</v>
      </c>
      <c r="M2818" s="27">
        <f>IF($E2818="","",IF($G2818&lt;&gt;"",$G2818,IFERROR(INDEX(ProcValor,MATCH($E2818,ProcNome,0)),0)))</f>
        <v>0</v>
      </c>
      <c r="N2818" s="27">
        <f>IF($M2818="","",IF($F2818="Compareceu",$M2818,0))</f>
        <v>0</v>
      </c>
      <c r="O2818" s="27">
        <f>IF($M2818="","",IF($F2818="Faltou",$M2818,0))</f>
        <v>0</v>
      </c>
      <c r="P2818" s="27">
        <f>IF($M2818="","",IF($F2818="Compareceu",MAX(0,$M2818-N($H2818)),0))</f>
        <v>0</v>
      </c>
      <c r="Q2818" s="19">
        <f>IF(AND($F2818="Compareceu",$E2818&lt;&gt;"",$A2818&lt;&gt;""),IF(IFERROR(INDEX(ProcRet,MATCH($E2818,ProcNome,0)),0)&gt;0,$A2818+INDEX(ProcRet,MATCH($E2818,ProcNome,0)),""),"")</f>
        <v>0</v>
      </c>
      <c r="R2818" s="26">
        <f>IF($Q2818="","",IF(COUNTIFS(AgPac,$D2818,AgData,"&gt;"&amp;$A2818,AgStatus,"&lt;&gt;Cancelado",AgStatus,"&lt;&gt;Remarcado")&gt;0,"Sim","Não"))</f>
        <v>0</v>
      </c>
      <c r="S2818" s="28">
        <f>IF($A2818="","",IF(AND($F2818="Agendado",$A2818-Hoje&gt;=0,$A2818-Hoje&lt;=DiasConf),"CONFIRMAR",IF(AND($A2818&lt;Hoje,OR($F2818="Agendado",$F2818="Confirmado")),"Atualizar status",IF(AND($F2818="Compareceu",$P2818&gt;0.005),"Cobrar",IF($F2818="Faltou","Falta: reagendar","")))))</f>
        <v>0</v>
      </c>
      <c r="T2818" s="29">
        <f>IF($A2818="","",DATE(YEAR($A2818),MONTH($A2818),1))</f>
        <v>0</v>
      </c>
      <c r="U2818" s="30">
        <f>IF($S2818="CONFIRMAR",MAX($U$4:$U2817)+1,"")</f>
        <v>0</v>
      </c>
      <c r="V2818" s="30">
        <f>IF(AND($R2818="Não",$Q2818&lt;&gt;"",$Q2818&lt;=Hoje+JanelaRet,$Q2818&gt;=Hoje-60),MAX($V$4:$V2817)+1,"")</f>
        <v>0</v>
      </c>
    </row>
    <row r="2819" spans="1:22">
      <c r="A2819" s="16"/>
      <c r="B2819" s="23"/>
      <c r="C2819" s="15"/>
      <c r="D2819" s="15"/>
      <c r="E2819" s="15"/>
      <c r="F2819" s="24"/>
      <c r="G2819" s="17"/>
      <c r="H2819" s="17"/>
      <c r="I2819" s="15"/>
      <c r="J2819" s="25">
        <f>IF($D2819="","",IFERROR(INDEX(PacNome,MATCH($D2819,PacCod,0)),"Paciente não cadastrado"))</f>
        <v>0</v>
      </c>
      <c r="K2819" s="26">
        <f>IF($D2819="","",IFERROR(INDEX(PacConv,MATCH($D2819,PacCod,0))&amp;"",""))</f>
        <v>0</v>
      </c>
      <c r="L2819" s="26">
        <f>IF($A2819="","",CHOOSE(WEEKDAY($A2819,2),"Seg","Ter","Qua","Qui","Sex","Sáb","Dom"))</f>
        <v>0</v>
      </c>
      <c r="M2819" s="27">
        <f>IF($E2819="","",IF($G2819&lt;&gt;"",$G2819,IFERROR(INDEX(ProcValor,MATCH($E2819,ProcNome,0)),0)))</f>
        <v>0</v>
      </c>
      <c r="N2819" s="27">
        <f>IF($M2819="","",IF($F2819="Compareceu",$M2819,0))</f>
        <v>0</v>
      </c>
      <c r="O2819" s="27">
        <f>IF($M2819="","",IF($F2819="Faltou",$M2819,0))</f>
        <v>0</v>
      </c>
      <c r="P2819" s="27">
        <f>IF($M2819="","",IF($F2819="Compareceu",MAX(0,$M2819-N($H2819)),0))</f>
        <v>0</v>
      </c>
      <c r="Q2819" s="19">
        <f>IF(AND($F2819="Compareceu",$E2819&lt;&gt;"",$A2819&lt;&gt;""),IF(IFERROR(INDEX(ProcRet,MATCH($E2819,ProcNome,0)),0)&gt;0,$A2819+INDEX(ProcRet,MATCH($E2819,ProcNome,0)),""),"")</f>
        <v>0</v>
      </c>
      <c r="R2819" s="26">
        <f>IF($Q2819="","",IF(COUNTIFS(AgPac,$D2819,AgData,"&gt;"&amp;$A2819,AgStatus,"&lt;&gt;Cancelado",AgStatus,"&lt;&gt;Remarcado")&gt;0,"Sim","Não"))</f>
        <v>0</v>
      </c>
      <c r="S2819" s="28">
        <f>IF($A2819="","",IF(AND($F2819="Agendado",$A2819-Hoje&gt;=0,$A2819-Hoje&lt;=DiasConf),"CONFIRMAR",IF(AND($A2819&lt;Hoje,OR($F2819="Agendado",$F2819="Confirmado")),"Atualizar status",IF(AND($F2819="Compareceu",$P2819&gt;0.005),"Cobrar",IF($F2819="Faltou","Falta: reagendar","")))))</f>
        <v>0</v>
      </c>
      <c r="T2819" s="29">
        <f>IF($A2819="","",DATE(YEAR($A2819),MONTH($A2819),1))</f>
        <v>0</v>
      </c>
      <c r="U2819" s="30">
        <f>IF($S2819="CONFIRMAR",MAX($U$4:$U2818)+1,"")</f>
        <v>0</v>
      </c>
      <c r="V2819" s="30">
        <f>IF(AND($R2819="Não",$Q2819&lt;&gt;"",$Q2819&lt;=Hoje+JanelaRet,$Q2819&gt;=Hoje-60),MAX($V$4:$V2818)+1,"")</f>
        <v>0</v>
      </c>
    </row>
    <row r="2820" spans="1:22">
      <c r="A2820" s="16"/>
      <c r="B2820" s="23"/>
      <c r="C2820" s="15"/>
      <c r="D2820" s="15"/>
      <c r="E2820" s="15"/>
      <c r="F2820" s="24"/>
      <c r="G2820" s="17"/>
      <c r="H2820" s="17"/>
      <c r="I2820" s="15"/>
      <c r="J2820" s="25">
        <f>IF($D2820="","",IFERROR(INDEX(PacNome,MATCH($D2820,PacCod,0)),"Paciente não cadastrado"))</f>
        <v>0</v>
      </c>
      <c r="K2820" s="26">
        <f>IF($D2820="","",IFERROR(INDEX(PacConv,MATCH($D2820,PacCod,0))&amp;"",""))</f>
        <v>0</v>
      </c>
      <c r="L2820" s="26">
        <f>IF($A2820="","",CHOOSE(WEEKDAY($A2820,2),"Seg","Ter","Qua","Qui","Sex","Sáb","Dom"))</f>
        <v>0</v>
      </c>
      <c r="M2820" s="27">
        <f>IF($E2820="","",IF($G2820&lt;&gt;"",$G2820,IFERROR(INDEX(ProcValor,MATCH($E2820,ProcNome,0)),0)))</f>
        <v>0</v>
      </c>
      <c r="N2820" s="27">
        <f>IF($M2820="","",IF($F2820="Compareceu",$M2820,0))</f>
        <v>0</v>
      </c>
      <c r="O2820" s="27">
        <f>IF($M2820="","",IF($F2820="Faltou",$M2820,0))</f>
        <v>0</v>
      </c>
      <c r="P2820" s="27">
        <f>IF($M2820="","",IF($F2820="Compareceu",MAX(0,$M2820-N($H2820)),0))</f>
        <v>0</v>
      </c>
      <c r="Q2820" s="19">
        <f>IF(AND($F2820="Compareceu",$E2820&lt;&gt;"",$A2820&lt;&gt;""),IF(IFERROR(INDEX(ProcRet,MATCH($E2820,ProcNome,0)),0)&gt;0,$A2820+INDEX(ProcRet,MATCH($E2820,ProcNome,0)),""),"")</f>
        <v>0</v>
      </c>
      <c r="R2820" s="26">
        <f>IF($Q2820="","",IF(COUNTIFS(AgPac,$D2820,AgData,"&gt;"&amp;$A2820,AgStatus,"&lt;&gt;Cancelado",AgStatus,"&lt;&gt;Remarcado")&gt;0,"Sim","Não"))</f>
        <v>0</v>
      </c>
      <c r="S2820" s="28">
        <f>IF($A2820="","",IF(AND($F2820="Agendado",$A2820-Hoje&gt;=0,$A2820-Hoje&lt;=DiasConf),"CONFIRMAR",IF(AND($A2820&lt;Hoje,OR($F2820="Agendado",$F2820="Confirmado")),"Atualizar status",IF(AND($F2820="Compareceu",$P2820&gt;0.005),"Cobrar",IF($F2820="Faltou","Falta: reagendar","")))))</f>
        <v>0</v>
      </c>
      <c r="T2820" s="29">
        <f>IF($A2820="","",DATE(YEAR($A2820),MONTH($A2820),1))</f>
        <v>0</v>
      </c>
      <c r="U2820" s="30">
        <f>IF($S2820="CONFIRMAR",MAX($U$4:$U2819)+1,"")</f>
        <v>0</v>
      </c>
      <c r="V2820" s="30">
        <f>IF(AND($R2820="Não",$Q2820&lt;&gt;"",$Q2820&lt;=Hoje+JanelaRet,$Q2820&gt;=Hoje-60),MAX($V$4:$V2819)+1,"")</f>
        <v>0</v>
      </c>
    </row>
    <row r="2821" spans="1:22">
      <c r="A2821" s="16"/>
      <c r="B2821" s="23"/>
      <c r="C2821" s="15"/>
      <c r="D2821" s="15"/>
      <c r="E2821" s="15"/>
      <c r="F2821" s="24"/>
      <c r="G2821" s="17"/>
      <c r="H2821" s="17"/>
      <c r="I2821" s="15"/>
      <c r="J2821" s="25">
        <f>IF($D2821="","",IFERROR(INDEX(PacNome,MATCH($D2821,PacCod,0)),"Paciente não cadastrado"))</f>
        <v>0</v>
      </c>
      <c r="K2821" s="26">
        <f>IF($D2821="","",IFERROR(INDEX(PacConv,MATCH($D2821,PacCod,0))&amp;"",""))</f>
        <v>0</v>
      </c>
      <c r="L2821" s="26">
        <f>IF($A2821="","",CHOOSE(WEEKDAY($A2821,2),"Seg","Ter","Qua","Qui","Sex","Sáb","Dom"))</f>
        <v>0</v>
      </c>
      <c r="M2821" s="27">
        <f>IF($E2821="","",IF($G2821&lt;&gt;"",$G2821,IFERROR(INDEX(ProcValor,MATCH($E2821,ProcNome,0)),0)))</f>
        <v>0</v>
      </c>
      <c r="N2821" s="27">
        <f>IF($M2821="","",IF($F2821="Compareceu",$M2821,0))</f>
        <v>0</v>
      </c>
      <c r="O2821" s="27">
        <f>IF($M2821="","",IF($F2821="Faltou",$M2821,0))</f>
        <v>0</v>
      </c>
      <c r="P2821" s="27">
        <f>IF($M2821="","",IF($F2821="Compareceu",MAX(0,$M2821-N($H2821)),0))</f>
        <v>0</v>
      </c>
      <c r="Q2821" s="19">
        <f>IF(AND($F2821="Compareceu",$E2821&lt;&gt;"",$A2821&lt;&gt;""),IF(IFERROR(INDEX(ProcRet,MATCH($E2821,ProcNome,0)),0)&gt;0,$A2821+INDEX(ProcRet,MATCH($E2821,ProcNome,0)),""),"")</f>
        <v>0</v>
      </c>
      <c r="R2821" s="26">
        <f>IF($Q2821="","",IF(COUNTIFS(AgPac,$D2821,AgData,"&gt;"&amp;$A2821,AgStatus,"&lt;&gt;Cancelado",AgStatus,"&lt;&gt;Remarcado")&gt;0,"Sim","Não"))</f>
        <v>0</v>
      </c>
      <c r="S2821" s="28">
        <f>IF($A2821="","",IF(AND($F2821="Agendado",$A2821-Hoje&gt;=0,$A2821-Hoje&lt;=DiasConf),"CONFIRMAR",IF(AND($A2821&lt;Hoje,OR($F2821="Agendado",$F2821="Confirmado")),"Atualizar status",IF(AND($F2821="Compareceu",$P2821&gt;0.005),"Cobrar",IF($F2821="Faltou","Falta: reagendar","")))))</f>
        <v>0</v>
      </c>
      <c r="T2821" s="29">
        <f>IF($A2821="","",DATE(YEAR($A2821),MONTH($A2821),1))</f>
        <v>0</v>
      </c>
      <c r="U2821" s="30">
        <f>IF($S2821="CONFIRMAR",MAX($U$4:$U2820)+1,"")</f>
        <v>0</v>
      </c>
      <c r="V2821" s="30">
        <f>IF(AND($R2821="Não",$Q2821&lt;&gt;"",$Q2821&lt;=Hoje+JanelaRet,$Q2821&gt;=Hoje-60),MAX($V$4:$V2820)+1,"")</f>
        <v>0</v>
      </c>
    </row>
    <row r="2822" spans="1:22">
      <c r="A2822" s="16"/>
      <c r="B2822" s="23"/>
      <c r="C2822" s="15"/>
      <c r="D2822" s="15"/>
      <c r="E2822" s="15"/>
      <c r="F2822" s="24"/>
      <c r="G2822" s="17"/>
      <c r="H2822" s="17"/>
      <c r="I2822" s="15"/>
      <c r="J2822" s="25">
        <f>IF($D2822="","",IFERROR(INDEX(PacNome,MATCH($D2822,PacCod,0)),"Paciente não cadastrado"))</f>
        <v>0</v>
      </c>
      <c r="K2822" s="26">
        <f>IF($D2822="","",IFERROR(INDEX(PacConv,MATCH($D2822,PacCod,0))&amp;"",""))</f>
        <v>0</v>
      </c>
      <c r="L2822" s="26">
        <f>IF($A2822="","",CHOOSE(WEEKDAY($A2822,2),"Seg","Ter","Qua","Qui","Sex","Sáb","Dom"))</f>
        <v>0</v>
      </c>
      <c r="M2822" s="27">
        <f>IF($E2822="","",IF($G2822&lt;&gt;"",$G2822,IFERROR(INDEX(ProcValor,MATCH($E2822,ProcNome,0)),0)))</f>
        <v>0</v>
      </c>
      <c r="N2822" s="27">
        <f>IF($M2822="","",IF($F2822="Compareceu",$M2822,0))</f>
        <v>0</v>
      </c>
      <c r="O2822" s="27">
        <f>IF($M2822="","",IF($F2822="Faltou",$M2822,0))</f>
        <v>0</v>
      </c>
      <c r="P2822" s="27">
        <f>IF($M2822="","",IF($F2822="Compareceu",MAX(0,$M2822-N($H2822)),0))</f>
        <v>0</v>
      </c>
      <c r="Q2822" s="19">
        <f>IF(AND($F2822="Compareceu",$E2822&lt;&gt;"",$A2822&lt;&gt;""),IF(IFERROR(INDEX(ProcRet,MATCH($E2822,ProcNome,0)),0)&gt;0,$A2822+INDEX(ProcRet,MATCH($E2822,ProcNome,0)),""),"")</f>
        <v>0</v>
      </c>
      <c r="R2822" s="26">
        <f>IF($Q2822="","",IF(COUNTIFS(AgPac,$D2822,AgData,"&gt;"&amp;$A2822,AgStatus,"&lt;&gt;Cancelado",AgStatus,"&lt;&gt;Remarcado")&gt;0,"Sim","Não"))</f>
        <v>0</v>
      </c>
      <c r="S2822" s="28">
        <f>IF($A2822="","",IF(AND($F2822="Agendado",$A2822-Hoje&gt;=0,$A2822-Hoje&lt;=DiasConf),"CONFIRMAR",IF(AND($A2822&lt;Hoje,OR($F2822="Agendado",$F2822="Confirmado")),"Atualizar status",IF(AND($F2822="Compareceu",$P2822&gt;0.005),"Cobrar",IF($F2822="Faltou","Falta: reagendar","")))))</f>
        <v>0</v>
      </c>
      <c r="T2822" s="29">
        <f>IF($A2822="","",DATE(YEAR($A2822),MONTH($A2822),1))</f>
        <v>0</v>
      </c>
      <c r="U2822" s="30">
        <f>IF($S2822="CONFIRMAR",MAX($U$4:$U2821)+1,"")</f>
        <v>0</v>
      </c>
      <c r="V2822" s="30">
        <f>IF(AND($R2822="Não",$Q2822&lt;&gt;"",$Q2822&lt;=Hoje+JanelaRet,$Q2822&gt;=Hoje-60),MAX($V$4:$V2821)+1,"")</f>
        <v>0</v>
      </c>
    </row>
    <row r="2823" spans="1:22">
      <c r="A2823" s="16"/>
      <c r="B2823" s="23"/>
      <c r="C2823" s="15"/>
      <c r="D2823" s="15"/>
      <c r="E2823" s="15"/>
      <c r="F2823" s="24"/>
      <c r="G2823" s="17"/>
      <c r="H2823" s="17"/>
      <c r="I2823" s="15"/>
      <c r="J2823" s="25">
        <f>IF($D2823="","",IFERROR(INDEX(PacNome,MATCH($D2823,PacCod,0)),"Paciente não cadastrado"))</f>
        <v>0</v>
      </c>
      <c r="K2823" s="26">
        <f>IF($D2823="","",IFERROR(INDEX(PacConv,MATCH($D2823,PacCod,0))&amp;"",""))</f>
        <v>0</v>
      </c>
      <c r="L2823" s="26">
        <f>IF($A2823="","",CHOOSE(WEEKDAY($A2823,2),"Seg","Ter","Qua","Qui","Sex","Sáb","Dom"))</f>
        <v>0</v>
      </c>
      <c r="M2823" s="27">
        <f>IF($E2823="","",IF($G2823&lt;&gt;"",$G2823,IFERROR(INDEX(ProcValor,MATCH($E2823,ProcNome,0)),0)))</f>
        <v>0</v>
      </c>
      <c r="N2823" s="27">
        <f>IF($M2823="","",IF($F2823="Compareceu",$M2823,0))</f>
        <v>0</v>
      </c>
      <c r="O2823" s="27">
        <f>IF($M2823="","",IF($F2823="Faltou",$M2823,0))</f>
        <v>0</v>
      </c>
      <c r="P2823" s="27">
        <f>IF($M2823="","",IF($F2823="Compareceu",MAX(0,$M2823-N($H2823)),0))</f>
        <v>0</v>
      </c>
      <c r="Q2823" s="19">
        <f>IF(AND($F2823="Compareceu",$E2823&lt;&gt;"",$A2823&lt;&gt;""),IF(IFERROR(INDEX(ProcRet,MATCH($E2823,ProcNome,0)),0)&gt;0,$A2823+INDEX(ProcRet,MATCH($E2823,ProcNome,0)),""),"")</f>
        <v>0</v>
      </c>
      <c r="R2823" s="26">
        <f>IF($Q2823="","",IF(COUNTIFS(AgPac,$D2823,AgData,"&gt;"&amp;$A2823,AgStatus,"&lt;&gt;Cancelado",AgStatus,"&lt;&gt;Remarcado")&gt;0,"Sim","Não"))</f>
        <v>0</v>
      </c>
      <c r="S2823" s="28">
        <f>IF($A2823="","",IF(AND($F2823="Agendado",$A2823-Hoje&gt;=0,$A2823-Hoje&lt;=DiasConf),"CONFIRMAR",IF(AND($A2823&lt;Hoje,OR($F2823="Agendado",$F2823="Confirmado")),"Atualizar status",IF(AND($F2823="Compareceu",$P2823&gt;0.005),"Cobrar",IF($F2823="Faltou","Falta: reagendar","")))))</f>
        <v>0</v>
      </c>
      <c r="T2823" s="29">
        <f>IF($A2823="","",DATE(YEAR($A2823),MONTH($A2823),1))</f>
        <v>0</v>
      </c>
      <c r="U2823" s="30">
        <f>IF($S2823="CONFIRMAR",MAX($U$4:$U2822)+1,"")</f>
        <v>0</v>
      </c>
      <c r="V2823" s="30">
        <f>IF(AND($R2823="Não",$Q2823&lt;&gt;"",$Q2823&lt;=Hoje+JanelaRet,$Q2823&gt;=Hoje-60),MAX($V$4:$V2822)+1,"")</f>
        <v>0</v>
      </c>
    </row>
    <row r="2824" spans="1:22">
      <c r="A2824" s="16"/>
      <c r="B2824" s="23"/>
      <c r="C2824" s="15"/>
      <c r="D2824" s="15"/>
      <c r="E2824" s="15"/>
      <c r="F2824" s="24"/>
      <c r="G2824" s="17"/>
      <c r="H2824" s="17"/>
      <c r="I2824" s="15"/>
      <c r="J2824" s="25">
        <f>IF($D2824="","",IFERROR(INDEX(PacNome,MATCH($D2824,PacCod,0)),"Paciente não cadastrado"))</f>
        <v>0</v>
      </c>
      <c r="K2824" s="26">
        <f>IF($D2824="","",IFERROR(INDEX(PacConv,MATCH($D2824,PacCod,0))&amp;"",""))</f>
        <v>0</v>
      </c>
      <c r="L2824" s="26">
        <f>IF($A2824="","",CHOOSE(WEEKDAY($A2824,2),"Seg","Ter","Qua","Qui","Sex","Sáb","Dom"))</f>
        <v>0</v>
      </c>
      <c r="M2824" s="27">
        <f>IF($E2824="","",IF($G2824&lt;&gt;"",$G2824,IFERROR(INDEX(ProcValor,MATCH($E2824,ProcNome,0)),0)))</f>
        <v>0</v>
      </c>
      <c r="N2824" s="27">
        <f>IF($M2824="","",IF($F2824="Compareceu",$M2824,0))</f>
        <v>0</v>
      </c>
      <c r="O2824" s="27">
        <f>IF($M2824="","",IF($F2824="Faltou",$M2824,0))</f>
        <v>0</v>
      </c>
      <c r="P2824" s="27">
        <f>IF($M2824="","",IF($F2824="Compareceu",MAX(0,$M2824-N($H2824)),0))</f>
        <v>0</v>
      </c>
      <c r="Q2824" s="19">
        <f>IF(AND($F2824="Compareceu",$E2824&lt;&gt;"",$A2824&lt;&gt;""),IF(IFERROR(INDEX(ProcRet,MATCH($E2824,ProcNome,0)),0)&gt;0,$A2824+INDEX(ProcRet,MATCH($E2824,ProcNome,0)),""),"")</f>
        <v>0</v>
      </c>
      <c r="R2824" s="26">
        <f>IF($Q2824="","",IF(COUNTIFS(AgPac,$D2824,AgData,"&gt;"&amp;$A2824,AgStatus,"&lt;&gt;Cancelado",AgStatus,"&lt;&gt;Remarcado")&gt;0,"Sim","Não"))</f>
        <v>0</v>
      </c>
      <c r="S2824" s="28">
        <f>IF($A2824="","",IF(AND($F2824="Agendado",$A2824-Hoje&gt;=0,$A2824-Hoje&lt;=DiasConf),"CONFIRMAR",IF(AND($A2824&lt;Hoje,OR($F2824="Agendado",$F2824="Confirmado")),"Atualizar status",IF(AND($F2824="Compareceu",$P2824&gt;0.005),"Cobrar",IF($F2824="Faltou","Falta: reagendar","")))))</f>
        <v>0</v>
      </c>
      <c r="T2824" s="29">
        <f>IF($A2824="","",DATE(YEAR($A2824),MONTH($A2824),1))</f>
        <v>0</v>
      </c>
      <c r="U2824" s="30">
        <f>IF($S2824="CONFIRMAR",MAX($U$4:$U2823)+1,"")</f>
        <v>0</v>
      </c>
      <c r="V2824" s="30">
        <f>IF(AND($R2824="Não",$Q2824&lt;&gt;"",$Q2824&lt;=Hoje+JanelaRet,$Q2824&gt;=Hoje-60),MAX($V$4:$V2823)+1,"")</f>
        <v>0</v>
      </c>
    </row>
    <row r="2825" spans="1:22">
      <c r="A2825" s="16"/>
      <c r="B2825" s="23"/>
      <c r="C2825" s="15"/>
      <c r="D2825" s="15"/>
      <c r="E2825" s="15"/>
      <c r="F2825" s="24"/>
      <c r="G2825" s="17"/>
      <c r="H2825" s="17"/>
      <c r="I2825" s="15"/>
      <c r="J2825" s="25">
        <f>IF($D2825="","",IFERROR(INDEX(PacNome,MATCH($D2825,PacCod,0)),"Paciente não cadastrado"))</f>
        <v>0</v>
      </c>
      <c r="K2825" s="26">
        <f>IF($D2825="","",IFERROR(INDEX(PacConv,MATCH($D2825,PacCod,0))&amp;"",""))</f>
        <v>0</v>
      </c>
      <c r="L2825" s="26">
        <f>IF($A2825="","",CHOOSE(WEEKDAY($A2825,2),"Seg","Ter","Qua","Qui","Sex","Sáb","Dom"))</f>
        <v>0</v>
      </c>
      <c r="M2825" s="27">
        <f>IF($E2825="","",IF($G2825&lt;&gt;"",$G2825,IFERROR(INDEX(ProcValor,MATCH($E2825,ProcNome,0)),0)))</f>
        <v>0</v>
      </c>
      <c r="N2825" s="27">
        <f>IF($M2825="","",IF($F2825="Compareceu",$M2825,0))</f>
        <v>0</v>
      </c>
      <c r="O2825" s="27">
        <f>IF($M2825="","",IF($F2825="Faltou",$M2825,0))</f>
        <v>0</v>
      </c>
      <c r="P2825" s="27">
        <f>IF($M2825="","",IF($F2825="Compareceu",MAX(0,$M2825-N($H2825)),0))</f>
        <v>0</v>
      </c>
      <c r="Q2825" s="19">
        <f>IF(AND($F2825="Compareceu",$E2825&lt;&gt;"",$A2825&lt;&gt;""),IF(IFERROR(INDEX(ProcRet,MATCH($E2825,ProcNome,0)),0)&gt;0,$A2825+INDEX(ProcRet,MATCH($E2825,ProcNome,0)),""),"")</f>
        <v>0</v>
      </c>
      <c r="R2825" s="26">
        <f>IF($Q2825="","",IF(COUNTIFS(AgPac,$D2825,AgData,"&gt;"&amp;$A2825,AgStatus,"&lt;&gt;Cancelado",AgStatus,"&lt;&gt;Remarcado")&gt;0,"Sim","Não"))</f>
        <v>0</v>
      </c>
      <c r="S2825" s="28">
        <f>IF($A2825="","",IF(AND($F2825="Agendado",$A2825-Hoje&gt;=0,$A2825-Hoje&lt;=DiasConf),"CONFIRMAR",IF(AND($A2825&lt;Hoje,OR($F2825="Agendado",$F2825="Confirmado")),"Atualizar status",IF(AND($F2825="Compareceu",$P2825&gt;0.005),"Cobrar",IF($F2825="Faltou","Falta: reagendar","")))))</f>
        <v>0</v>
      </c>
      <c r="T2825" s="29">
        <f>IF($A2825="","",DATE(YEAR($A2825),MONTH($A2825),1))</f>
        <v>0</v>
      </c>
      <c r="U2825" s="30">
        <f>IF($S2825="CONFIRMAR",MAX($U$4:$U2824)+1,"")</f>
        <v>0</v>
      </c>
      <c r="V2825" s="30">
        <f>IF(AND($R2825="Não",$Q2825&lt;&gt;"",$Q2825&lt;=Hoje+JanelaRet,$Q2825&gt;=Hoje-60),MAX($V$4:$V2824)+1,"")</f>
        <v>0</v>
      </c>
    </row>
    <row r="2826" spans="1:22">
      <c r="A2826" s="16"/>
      <c r="B2826" s="23"/>
      <c r="C2826" s="15"/>
      <c r="D2826" s="15"/>
      <c r="E2826" s="15"/>
      <c r="F2826" s="24"/>
      <c r="G2826" s="17"/>
      <c r="H2826" s="17"/>
      <c r="I2826" s="15"/>
      <c r="J2826" s="25">
        <f>IF($D2826="","",IFERROR(INDEX(PacNome,MATCH($D2826,PacCod,0)),"Paciente não cadastrado"))</f>
        <v>0</v>
      </c>
      <c r="K2826" s="26">
        <f>IF($D2826="","",IFERROR(INDEX(PacConv,MATCH($D2826,PacCod,0))&amp;"",""))</f>
        <v>0</v>
      </c>
      <c r="L2826" s="26">
        <f>IF($A2826="","",CHOOSE(WEEKDAY($A2826,2),"Seg","Ter","Qua","Qui","Sex","Sáb","Dom"))</f>
        <v>0</v>
      </c>
      <c r="M2826" s="27">
        <f>IF($E2826="","",IF($G2826&lt;&gt;"",$G2826,IFERROR(INDEX(ProcValor,MATCH($E2826,ProcNome,0)),0)))</f>
        <v>0</v>
      </c>
      <c r="N2826" s="27">
        <f>IF($M2826="","",IF($F2826="Compareceu",$M2826,0))</f>
        <v>0</v>
      </c>
      <c r="O2826" s="27">
        <f>IF($M2826="","",IF($F2826="Faltou",$M2826,0))</f>
        <v>0</v>
      </c>
      <c r="P2826" s="27">
        <f>IF($M2826="","",IF($F2826="Compareceu",MAX(0,$M2826-N($H2826)),0))</f>
        <v>0</v>
      </c>
      <c r="Q2826" s="19">
        <f>IF(AND($F2826="Compareceu",$E2826&lt;&gt;"",$A2826&lt;&gt;""),IF(IFERROR(INDEX(ProcRet,MATCH($E2826,ProcNome,0)),0)&gt;0,$A2826+INDEX(ProcRet,MATCH($E2826,ProcNome,0)),""),"")</f>
        <v>0</v>
      </c>
      <c r="R2826" s="26">
        <f>IF($Q2826="","",IF(COUNTIFS(AgPac,$D2826,AgData,"&gt;"&amp;$A2826,AgStatus,"&lt;&gt;Cancelado",AgStatus,"&lt;&gt;Remarcado")&gt;0,"Sim","Não"))</f>
        <v>0</v>
      </c>
      <c r="S2826" s="28">
        <f>IF($A2826="","",IF(AND($F2826="Agendado",$A2826-Hoje&gt;=0,$A2826-Hoje&lt;=DiasConf),"CONFIRMAR",IF(AND($A2826&lt;Hoje,OR($F2826="Agendado",$F2826="Confirmado")),"Atualizar status",IF(AND($F2826="Compareceu",$P2826&gt;0.005),"Cobrar",IF($F2826="Faltou","Falta: reagendar","")))))</f>
        <v>0</v>
      </c>
      <c r="T2826" s="29">
        <f>IF($A2826="","",DATE(YEAR($A2826),MONTH($A2826),1))</f>
        <v>0</v>
      </c>
      <c r="U2826" s="30">
        <f>IF($S2826="CONFIRMAR",MAX($U$4:$U2825)+1,"")</f>
        <v>0</v>
      </c>
      <c r="V2826" s="30">
        <f>IF(AND($R2826="Não",$Q2826&lt;&gt;"",$Q2826&lt;=Hoje+JanelaRet,$Q2826&gt;=Hoje-60),MAX($V$4:$V2825)+1,"")</f>
        <v>0</v>
      </c>
    </row>
    <row r="2827" spans="1:22">
      <c r="A2827" s="16"/>
      <c r="B2827" s="23"/>
      <c r="C2827" s="15"/>
      <c r="D2827" s="15"/>
      <c r="E2827" s="15"/>
      <c r="F2827" s="24"/>
      <c r="G2827" s="17"/>
      <c r="H2827" s="17"/>
      <c r="I2827" s="15"/>
      <c r="J2827" s="25">
        <f>IF($D2827="","",IFERROR(INDEX(PacNome,MATCH($D2827,PacCod,0)),"Paciente não cadastrado"))</f>
        <v>0</v>
      </c>
      <c r="K2827" s="26">
        <f>IF($D2827="","",IFERROR(INDEX(PacConv,MATCH($D2827,PacCod,0))&amp;"",""))</f>
        <v>0</v>
      </c>
      <c r="L2827" s="26">
        <f>IF($A2827="","",CHOOSE(WEEKDAY($A2827,2),"Seg","Ter","Qua","Qui","Sex","Sáb","Dom"))</f>
        <v>0</v>
      </c>
      <c r="M2827" s="27">
        <f>IF($E2827="","",IF($G2827&lt;&gt;"",$G2827,IFERROR(INDEX(ProcValor,MATCH($E2827,ProcNome,0)),0)))</f>
        <v>0</v>
      </c>
      <c r="N2827" s="27">
        <f>IF($M2827="","",IF($F2827="Compareceu",$M2827,0))</f>
        <v>0</v>
      </c>
      <c r="O2827" s="27">
        <f>IF($M2827="","",IF($F2827="Faltou",$M2827,0))</f>
        <v>0</v>
      </c>
      <c r="P2827" s="27">
        <f>IF($M2827="","",IF($F2827="Compareceu",MAX(0,$M2827-N($H2827)),0))</f>
        <v>0</v>
      </c>
      <c r="Q2827" s="19">
        <f>IF(AND($F2827="Compareceu",$E2827&lt;&gt;"",$A2827&lt;&gt;""),IF(IFERROR(INDEX(ProcRet,MATCH($E2827,ProcNome,0)),0)&gt;0,$A2827+INDEX(ProcRet,MATCH($E2827,ProcNome,0)),""),"")</f>
        <v>0</v>
      </c>
      <c r="R2827" s="26">
        <f>IF($Q2827="","",IF(COUNTIFS(AgPac,$D2827,AgData,"&gt;"&amp;$A2827,AgStatus,"&lt;&gt;Cancelado",AgStatus,"&lt;&gt;Remarcado")&gt;0,"Sim","Não"))</f>
        <v>0</v>
      </c>
      <c r="S2827" s="28">
        <f>IF($A2827="","",IF(AND($F2827="Agendado",$A2827-Hoje&gt;=0,$A2827-Hoje&lt;=DiasConf),"CONFIRMAR",IF(AND($A2827&lt;Hoje,OR($F2827="Agendado",$F2827="Confirmado")),"Atualizar status",IF(AND($F2827="Compareceu",$P2827&gt;0.005),"Cobrar",IF($F2827="Faltou","Falta: reagendar","")))))</f>
        <v>0</v>
      </c>
      <c r="T2827" s="29">
        <f>IF($A2827="","",DATE(YEAR($A2827),MONTH($A2827),1))</f>
        <v>0</v>
      </c>
      <c r="U2827" s="30">
        <f>IF($S2827="CONFIRMAR",MAX($U$4:$U2826)+1,"")</f>
        <v>0</v>
      </c>
      <c r="V2827" s="30">
        <f>IF(AND($R2827="Não",$Q2827&lt;&gt;"",$Q2827&lt;=Hoje+JanelaRet,$Q2827&gt;=Hoje-60),MAX($V$4:$V2826)+1,"")</f>
        <v>0</v>
      </c>
    </row>
    <row r="2828" spans="1:22">
      <c r="A2828" s="16"/>
      <c r="B2828" s="23"/>
      <c r="C2828" s="15"/>
      <c r="D2828" s="15"/>
      <c r="E2828" s="15"/>
      <c r="F2828" s="24"/>
      <c r="G2828" s="17"/>
      <c r="H2828" s="17"/>
      <c r="I2828" s="15"/>
      <c r="J2828" s="25">
        <f>IF($D2828="","",IFERROR(INDEX(PacNome,MATCH($D2828,PacCod,0)),"Paciente não cadastrado"))</f>
        <v>0</v>
      </c>
      <c r="K2828" s="26">
        <f>IF($D2828="","",IFERROR(INDEX(PacConv,MATCH($D2828,PacCod,0))&amp;"",""))</f>
        <v>0</v>
      </c>
      <c r="L2828" s="26">
        <f>IF($A2828="","",CHOOSE(WEEKDAY($A2828,2),"Seg","Ter","Qua","Qui","Sex","Sáb","Dom"))</f>
        <v>0</v>
      </c>
      <c r="M2828" s="27">
        <f>IF($E2828="","",IF($G2828&lt;&gt;"",$G2828,IFERROR(INDEX(ProcValor,MATCH($E2828,ProcNome,0)),0)))</f>
        <v>0</v>
      </c>
      <c r="N2828" s="27">
        <f>IF($M2828="","",IF($F2828="Compareceu",$M2828,0))</f>
        <v>0</v>
      </c>
      <c r="O2828" s="27">
        <f>IF($M2828="","",IF($F2828="Faltou",$M2828,0))</f>
        <v>0</v>
      </c>
      <c r="P2828" s="27">
        <f>IF($M2828="","",IF($F2828="Compareceu",MAX(0,$M2828-N($H2828)),0))</f>
        <v>0</v>
      </c>
      <c r="Q2828" s="19">
        <f>IF(AND($F2828="Compareceu",$E2828&lt;&gt;"",$A2828&lt;&gt;""),IF(IFERROR(INDEX(ProcRet,MATCH($E2828,ProcNome,0)),0)&gt;0,$A2828+INDEX(ProcRet,MATCH($E2828,ProcNome,0)),""),"")</f>
        <v>0</v>
      </c>
      <c r="R2828" s="26">
        <f>IF($Q2828="","",IF(COUNTIFS(AgPac,$D2828,AgData,"&gt;"&amp;$A2828,AgStatus,"&lt;&gt;Cancelado",AgStatus,"&lt;&gt;Remarcado")&gt;0,"Sim","Não"))</f>
        <v>0</v>
      </c>
      <c r="S2828" s="28">
        <f>IF($A2828="","",IF(AND($F2828="Agendado",$A2828-Hoje&gt;=0,$A2828-Hoje&lt;=DiasConf),"CONFIRMAR",IF(AND($A2828&lt;Hoje,OR($F2828="Agendado",$F2828="Confirmado")),"Atualizar status",IF(AND($F2828="Compareceu",$P2828&gt;0.005),"Cobrar",IF($F2828="Faltou","Falta: reagendar","")))))</f>
        <v>0</v>
      </c>
      <c r="T2828" s="29">
        <f>IF($A2828="","",DATE(YEAR($A2828),MONTH($A2828),1))</f>
        <v>0</v>
      </c>
      <c r="U2828" s="30">
        <f>IF($S2828="CONFIRMAR",MAX($U$4:$U2827)+1,"")</f>
        <v>0</v>
      </c>
      <c r="V2828" s="30">
        <f>IF(AND($R2828="Não",$Q2828&lt;&gt;"",$Q2828&lt;=Hoje+JanelaRet,$Q2828&gt;=Hoje-60),MAX($V$4:$V2827)+1,"")</f>
        <v>0</v>
      </c>
    </row>
    <row r="2829" spans="1:22">
      <c r="A2829" s="16"/>
      <c r="B2829" s="23"/>
      <c r="C2829" s="15"/>
      <c r="D2829" s="15"/>
      <c r="E2829" s="15"/>
      <c r="F2829" s="24"/>
      <c r="G2829" s="17"/>
      <c r="H2829" s="17"/>
      <c r="I2829" s="15"/>
      <c r="J2829" s="25">
        <f>IF($D2829="","",IFERROR(INDEX(PacNome,MATCH($D2829,PacCod,0)),"Paciente não cadastrado"))</f>
        <v>0</v>
      </c>
      <c r="K2829" s="26">
        <f>IF($D2829="","",IFERROR(INDEX(PacConv,MATCH($D2829,PacCod,0))&amp;"",""))</f>
        <v>0</v>
      </c>
      <c r="L2829" s="26">
        <f>IF($A2829="","",CHOOSE(WEEKDAY($A2829,2),"Seg","Ter","Qua","Qui","Sex","Sáb","Dom"))</f>
        <v>0</v>
      </c>
      <c r="M2829" s="27">
        <f>IF($E2829="","",IF($G2829&lt;&gt;"",$G2829,IFERROR(INDEX(ProcValor,MATCH($E2829,ProcNome,0)),0)))</f>
        <v>0</v>
      </c>
      <c r="N2829" s="27">
        <f>IF($M2829="","",IF($F2829="Compareceu",$M2829,0))</f>
        <v>0</v>
      </c>
      <c r="O2829" s="27">
        <f>IF($M2829="","",IF($F2829="Faltou",$M2829,0))</f>
        <v>0</v>
      </c>
      <c r="P2829" s="27">
        <f>IF($M2829="","",IF($F2829="Compareceu",MAX(0,$M2829-N($H2829)),0))</f>
        <v>0</v>
      </c>
      <c r="Q2829" s="19">
        <f>IF(AND($F2829="Compareceu",$E2829&lt;&gt;"",$A2829&lt;&gt;""),IF(IFERROR(INDEX(ProcRet,MATCH($E2829,ProcNome,0)),0)&gt;0,$A2829+INDEX(ProcRet,MATCH($E2829,ProcNome,0)),""),"")</f>
        <v>0</v>
      </c>
      <c r="R2829" s="26">
        <f>IF($Q2829="","",IF(COUNTIFS(AgPac,$D2829,AgData,"&gt;"&amp;$A2829,AgStatus,"&lt;&gt;Cancelado",AgStatus,"&lt;&gt;Remarcado")&gt;0,"Sim","Não"))</f>
        <v>0</v>
      </c>
      <c r="S2829" s="28">
        <f>IF($A2829="","",IF(AND($F2829="Agendado",$A2829-Hoje&gt;=0,$A2829-Hoje&lt;=DiasConf),"CONFIRMAR",IF(AND($A2829&lt;Hoje,OR($F2829="Agendado",$F2829="Confirmado")),"Atualizar status",IF(AND($F2829="Compareceu",$P2829&gt;0.005),"Cobrar",IF($F2829="Faltou","Falta: reagendar","")))))</f>
        <v>0</v>
      </c>
      <c r="T2829" s="29">
        <f>IF($A2829="","",DATE(YEAR($A2829),MONTH($A2829),1))</f>
        <v>0</v>
      </c>
      <c r="U2829" s="30">
        <f>IF($S2829="CONFIRMAR",MAX($U$4:$U2828)+1,"")</f>
        <v>0</v>
      </c>
      <c r="V2829" s="30">
        <f>IF(AND($R2829="Não",$Q2829&lt;&gt;"",$Q2829&lt;=Hoje+JanelaRet,$Q2829&gt;=Hoje-60),MAX($V$4:$V2828)+1,"")</f>
        <v>0</v>
      </c>
    </row>
    <row r="2830" spans="1:22">
      <c r="A2830" s="16"/>
      <c r="B2830" s="23"/>
      <c r="C2830" s="15"/>
      <c r="D2830" s="15"/>
      <c r="E2830" s="15"/>
      <c r="F2830" s="24"/>
      <c r="G2830" s="17"/>
      <c r="H2830" s="17"/>
      <c r="I2830" s="15"/>
      <c r="J2830" s="25">
        <f>IF($D2830="","",IFERROR(INDEX(PacNome,MATCH($D2830,PacCod,0)),"Paciente não cadastrado"))</f>
        <v>0</v>
      </c>
      <c r="K2830" s="26">
        <f>IF($D2830="","",IFERROR(INDEX(PacConv,MATCH($D2830,PacCod,0))&amp;"",""))</f>
        <v>0</v>
      </c>
      <c r="L2830" s="26">
        <f>IF($A2830="","",CHOOSE(WEEKDAY($A2830,2),"Seg","Ter","Qua","Qui","Sex","Sáb","Dom"))</f>
        <v>0</v>
      </c>
      <c r="M2830" s="27">
        <f>IF($E2830="","",IF($G2830&lt;&gt;"",$G2830,IFERROR(INDEX(ProcValor,MATCH($E2830,ProcNome,0)),0)))</f>
        <v>0</v>
      </c>
      <c r="N2830" s="27">
        <f>IF($M2830="","",IF($F2830="Compareceu",$M2830,0))</f>
        <v>0</v>
      </c>
      <c r="O2830" s="27">
        <f>IF($M2830="","",IF($F2830="Faltou",$M2830,0))</f>
        <v>0</v>
      </c>
      <c r="P2830" s="27">
        <f>IF($M2830="","",IF($F2830="Compareceu",MAX(0,$M2830-N($H2830)),0))</f>
        <v>0</v>
      </c>
      <c r="Q2830" s="19">
        <f>IF(AND($F2830="Compareceu",$E2830&lt;&gt;"",$A2830&lt;&gt;""),IF(IFERROR(INDEX(ProcRet,MATCH($E2830,ProcNome,0)),0)&gt;0,$A2830+INDEX(ProcRet,MATCH($E2830,ProcNome,0)),""),"")</f>
        <v>0</v>
      </c>
      <c r="R2830" s="26">
        <f>IF($Q2830="","",IF(COUNTIFS(AgPac,$D2830,AgData,"&gt;"&amp;$A2830,AgStatus,"&lt;&gt;Cancelado",AgStatus,"&lt;&gt;Remarcado")&gt;0,"Sim","Não"))</f>
        <v>0</v>
      </c>
      <c r="S2830" s="28">
        <f>IF($A2830="","",IF(AND($F2830="Agendado",$A2830-Hoje&gt;=0,$A2830-Hoje&lt;=DiasConf),"CONFIRMAR",IF(AND($A2830&lt;Hoje,OR($F2830="Agendado",$F2830="Confirmado")),"Atualizar status",IF(AND($F2830="Compareceu",$P2830&gt;0.005),"Cobrar",IF($F2830="Faltou","Falta: reagendar","")))))</f>
        <v>0</v>
      </c>
      <c r="T2830" s="29">
        <f>IF($A2830="","",DATE(YEAR($A2830),MONTH($A2830),1))</f>
        <v>0</v>
      </c>
      <c r="U2830" s="30">
        <f>IF($S2830="CONFIRMAR",MAX($U$4:$U2829)+1,"")</f>
        <v>0</v>
      </c>
      <c r="V2830" s="30">
        <f>IF(AND($R2830="Não",$Q2830&lt;&gt;"",$Q2830&lt;=Hoje+JanelaRet,$Q2830&gt;=Hoje-60),MAX($V$4:$V2829)+1,"")</f>
        <v>0</v>
      </c>
    </row>
    <row r="2831" spans="1:22">
      <c r="A2831" s="16"/>
      <c r="B2831" s="23"/>
      <c r="C2831" s="15"/>
      <c r="D2831" s="15"/>
      <c r="E2831" s="15"/>
      <c r="F2831" s="24"/>
      <c r="G2831" s="17"/>
      <c r="H2831" s="17"/>
      <c r="I2831" s="15"/>
      <c r="J2831" s="25">
        <f>IF($D2831="","",IFERROR(INDEX(PacNome,MATCH($D2831,PacCod,0)),"Paciente não cadastrado"))</f>
        <v>0</v>
      </c>
      <c r="K2831" s="26">
        <f>IF($D2831="","",IFERROR(INDEX(PacConv,MATCH($D2831,PacCod,0))&amp;"",""))</f>
        <v>0</v>
      </c>
      <c r="L2831" s="26">
        <f>IF($A2831="","",CHOOSE(WEEKDAY($A2831,2),"Seg","Ter","Qua","Qui","Sex","Sáb","Dom"))</f>
        <v>0</v>
      </c>
      <c r="M2831" s="27">
        <f>IF($E2831="","",IF($G2831&lt;&gt;"",$G2831,IFERROR(INDEX(ProcValor,MATCH($E2831,ProcNome,0)),0)))</f>
        <v>0</v>
      </c>
      <c r="N2831" s="27">
        <f>IF($M2831="","",IF($F2831="Compareceu",$M2831,0))</f>
        <v>0</v>
      </c>
      <c r="O2831" s="27">
        <f>IF($M2831="","",IF($F2831="Faltou",$M2831,0))</f>
        <v>0</v>
      </c>
      <c r="P2831" s="27">
        <f>IF($M2831="","",IF($F2831="Compareceu",MAX(0,$M2831-N($H2831)),0))</f>
        <v>0</v>
      </c>
      <c r="Q2831" s="19">
        <f>IF(AND($F2831="Compareceu",$E2831&lt;&gt;"",$A2831&lt;&gt;""),IF(IFERROR(INDEX(ProcRet,MATCH($E2831,ProcNome,0)),0)&gt;0,$A2831+INDEX(ProcRet,MATCH($E2831,ProcNome,0)),""),"")</f>
        <v>0</v>
      </c>
      <c r="R2831" s="26">
        <f>IF($Q2831="","",IF(COUNTIFS(AgPac,$D2831,AgData,"&gt;"&amp;$A2831,AgStatus,"&lt;&gt;Cancelado",AgStatus,"&lt;&gt;Remarcado")&gt;0,"Sim","Não"))</f>
        <v>0</v>
      </c>
      <c r="S2831" s="28">
        <f>IF($A2831="","",IF(AND($F2831="Agendado",$A2831-Hoje&gt;=0,$A2831-Hoje&lt;=DiasConf),"CONFIRMAR",IF(AND($A2831&lt;Hoje,OR($F2831="Agendado",$F2831="Confirmado")),"Atualizar status",IF(AND($F2831="Compareceu",$P2831&gt;0.005),"Cobrar",IF($F2831="Faltou","Falta: reagendar","")))))</f>
        <v>0</v>
      </c>
      <c r="T2831" s="29">
        <f>IF($A2831="","",DATE(YEAR($A2831),MONTH($A2831),1))</f>
        <v>0</v>
      </c>
      <c r="U2831" s="30">
        <f>IF($S2831="CONFIRMAR",MAX($U$4:$U2830)+1,"")</f>
        <v>0</v>
      </c>
      <c r="V2831" s="30">
        <f>IF(AND($R2831="Não",$Q2831&lt;&gt;"",$Q2831&lt;=Hoje+JanelaRet,$Q2831&gt;=Hoje-60),MAX($V$4:$V2830)+1,"")</f>
        <v>0</v>
      </c>
    </row>
    <row r="2832" spans="1:22">
      <c r="A2832" s="16"/>
      <c r="B2832" s="23"/>
      <c r="C2832" s="15"/>
      <c r="D2832" s="15"/>
      <c r="E2832" s="15"/>
      <c r="F2832" s="24"/>
      <c r="G2832" s="17"/>
      <c r="H2832" s="17"/>
      <c r="I2832" s="15"/>
      <c r="J2832" s="25">
        <f>IF($D2832="","",IFERROR(INDEX(PacNome,MATCH($D2832,PacCod,0)),"Paciente não cadastrado"))</f>
        <v>0</v>
      </c>
      <c r="K2832" s="26">
        <f>IF($D2832="","",IFERROR(INDEX(PacConv,MATCH($D2832,PacCod,0))&amp;"",""))</f>
        <v>0</v>
      </c>
      <c r="L2832" s="26">
        <f>IF($A2832="","",CHOOSE(WEEKDAY($A2832,2),"Seg","Ter","Qua","Qui","Sex","Sáb","Dom"))</f>
        <v>0</v>
      </c>
      <c r="M2832" s="27">
        <f>IF($E2832="","",IF($G2832&lt;&gt;"",$G2832,IFERROR(INDEX(ProcValor,MATCH($E2832,ProcNome,0)),0)))</f>
        <v>0</v>
      </c>
      <c r="N2832" s="27">
        <f>IF($M2832="","",IF($F2832="Compareceu",$M2832,0))</f>
        <v>0</v>
      </c>
      <c r="O2832" s="27">
        <f>IF($M2832="","",IF($F2832="Faltou",$M2832,0))</f>
        <v>0</v>
      </c>
      <c r="P2832" s="27">
        <f>IF($M2832="","",IF($F2832="Compareceu",MAX(0,$M2832-N($H2832)),0))</f>
        <v>0</v>
      </c>
      <c r="Q2832" s="19">
        <f>IF(AND($F2832="Compareceu",$E2832&lt;&gt;"",$A2832&lt;&gt;""),IF(IFERROR(INDEX(ProcRet,MATCH($E2832,ProcNome,0)),0)&gt;0,$A2832+INDEX(ProcRet,MATCH($E2832,ProcNome,0)),""),"")</f>
        <v>0</v>
      </c>
      <c r="R2832" s="26">
        <f>IF($Q2832="","",IF(COUNTIFS(AgPac,$D2832,AgData,"&gt;"&amp;$A2832,AgStatus,"&lt;&gt;Cancelado",AgStatus,"&lt;&gt;Remarcado")&gt;0,"Sim","Não"))</f>
        <v>0</v>
      </c>
      <c r="S2832" s="28">
        <f>IF($A2832="","",IF(AND($F2832="Agendado",$A2832-Hoje&gt;=0,$A2832-Hoje&lt;=DiasConf),"CONFIRMAR",IF(AND($A2832&lt;Hoje,OR($F2832="Agendado",$F2832="Confirmado")),"Atualizar status",IF(AND($F2832="Compareceu",$P2832&gt;0.005),"Cobrar",IF($F2832="Faltou","Falta: reagendar","")))))</f>
        <v>0</v>
      </c>
      <c r="T2832" s="29">
        <f>IF($A2832="","",DATE(YEAR($A2832),MONTH($A2832),1))</f>
        <v>0</v>
      </c>
      <c r="U2832" s="30">
        <f>IF($S2832="CONFIRMAR",MAX($U$4:$U2831)+1,"")</f>
        <v>0</v>
      </c>
      <c r="V2832" s="30">
        <f>IF(AND($R2832="Não",$Q2832&lt;&gt;"",$Q2832&lt;=Hoje+JanelaRet,$Q2832&gt;=Hoje-60),MAX($V$4:$V2831)+1,"")</f>
        <v>0</v>
      </c>
    </row>
    <row r="2833" spans="1:22">
      <c r="A2833" s="16"/>
      <c r="B2833" s="23"/>
      <c r="C2833" s="15"/>
      <c r="D2833" s="15"/>
      <c r="E2833" s="15"/>
      <c r="F2833" s="24"/>
      <c r="G2833" s="17"/>
      <c r="H2833" s="17"/>
      <c r="I2833" s="15"/>
      <c r="J2833" s="25">
        <f>IF($D2833="","",IFERROR(INDEX(PacNome,MATCH($D2833,PacCod,0)),"Paciente não cadastrado"))</f>
        <v>0</v>
      </c>
      <c r="K2833" s="26">
        <f>IF($D2833="","",IFERROR(INDEX(PacConv,MATCH($D2833,PacCod,0))&amp;"",""))</f>
        <v>0</v>
      </c>
      <c r="L2833" s="26">
        <f>IF($A2833="","",CHOOSE(WEEKDAY($A2833,2),"Seg","Ter","Qua","Qui","Sex","Sáb","Dom"))</f>
        <v>0</v>
      </c>
      <c r="M2833" s="27">
        <f>IF($E2833="","",IF($G2833&lt;&gt;"",$G2833,IFERROR(INDEX(ProcValor,MATCH($E2833,ProcNome,0)),0)))</f>
        <v>0</v>
      </c>
      <c r="N2833" s="27">
        <f>IF($M2833="","",IF($F2833="Compareceu",$M2833,0))</f>
        <v>0</v>
      </c>
      <c r="O2833" s="27">
        <f>IF($M2833="","",IF($F2833="Faltou",$M2833,0))</f>
        <v>0</v>
      </c>
      <c r="P2833" s="27">
        <f>IF($M2833="","",IF($F2833="Compareceu",MAX(0,$M2833-N($H2833)),0))</f>
        <v>0</v>
      </c>
      <c r="Q2833" s="19">
        <f>IF(AND($F2833="Compareceu",$E2833&lt;&gt;"",$A2833&lt;&gt;""),IF(IFERROR(INDEX(ProcRet,MATCH($E2833,ProcNome,0)),0)&gt;0,$A2833+INDEX(ProcRet,MATCH($E2833,ProcNome,0)),""),"")</f>
        <v>0</v>
      </c>
      <c r="R2833" s="26">
        <f>IF($Q2833="","",IF(COUNTIFS(AgPac,$D2833,AgData,"&gt;"&amp;$A2833,AgStatus,"&lt;&gt;Cancelado",AgStatus,"&lt;&gt;Remarcado")&gt;0,"Sim","Não"))</f>
        <v>0</v>
      </c>
      <c r="S2833" s="28">
        <f>IF($A2833="","",IF(AND($F2833="Agendado",$A2833-Hoje&gt;=0,$A2833-Hoje&lt;=DiasConf),"CONFIRMAR",IF(AND($A2833&lt;Hoje,OR($F2833="Agendado",$F2833="Confirmado")),"Atualizar status",IF(AND($F2833="Compareceu",$P2833&gt;0.005),"Cobrar",IF($F2833="Faltou","Falta: reagendar","")))))</f>
        <v>0</v>
      </c>
      <c r="T2833" s="29">
        <f>IF($A2833="","",DATE(YEAR($A2833),MONTH($A2833),1))</f>
        <v>0</v>
      </c>
      <c r="U2833" s="30">
        <f>IF($S2833="CONFIRMAR",MAX($U$4:$U2832)+1,"")</f>
        <v>0</v>
      </c>
      <c r="V2833" s="30">
        <f>IF(AND($R2833="Não",$Q2833&lt;&gt;"",$Q2833&lt;=Hoje+JanelaRet,$Q2833&gt;=Hoje-60),MAX($V$4:$V2832)+1,"")</f>
        <v>0</v>
      </c>
    </row>
    <row r="2834" spans="1:22">
      <c r="A2834" s="16"/>
      <c r="B2834" s="23"/>
      <c r="C2834" s="15"/>
      <c r="D2834" s="15"/>
      <c r="E2834" s="15"/>
      <c r="F2834" s="24"/>
      <c r="G2834" s="17"/>
      <c r="H2834" s="17"/>
      <c r="I2834" s="15"/>
      <c r="J2834" s="25">
        <f>IF($D2834="","",IFERROR(INDEX(PacNome,MATCH($D2834,PacCod,0)),"Paciente não cadastrado"))</f>
        <v>0</v>
      </c>
      <c r="K2834" s="26">
        <f>IF($D2834="","",IFERROR(INDEX(PacConv,MATCH($D2834,PacCod,0))&amp;"",""))</f>
        <v>0</v>
      </c>
      <c r="L2834" s="26">
        <f>IF($A2834="","",CHOOSE(WEEKDAY($A2834,2),"Seg","Ter","Qua","Qui","Sex","Sáb","Dom"))</f>
        <v>0</v>
      </c>
      <c r="M2834" s="27">
        <f>IF($E2834="","",IF($G2834&lt;&gt;"",$G2834,IFERROR(INDEX(ProcValor,MATCH($E2834,ProcNome,0)),0)))</f>
        <v>0</v>
      </c>
      <c r="N2834" s="27">
        <f>IF($M2834="","",IF($F2834="Compareceu",$M2834,0))</f>
        <v>0</v>
      </c>
      <c r="O2834" s="27">
        <f>IF($M2834="","",IF($F2834="Faltou",$M2834,0))</f>
        <v>0</v>
      </c>
      <c r="P2834" s="27">
        <f>IF($M2834="","",IF($F2834="Compareceu",MAX(0,$M2834-N($H2834)),0))</f>
        <v>0</v>
      </c>
      <c r="Q2834" s="19">
        <f>IF(AND($F2834="Compareceu",$E2834&lt;&gt;"",$A2834&lt;&gt;""),IF(IFERROR(INDEX(ProcRet,MATCH($E2834,ProcNome,0)),0)&gt;0,$A2834+INDEX(ProcRet,MATCH($E2834,ProcNome,0)),""),"")</f>
        <v>0</v>
      </c>
      <c r="R2834" s="26">
        <f>IF($Q2834="","",IF(COUNTIFS(AgPac,$D2834,AgData,"&gt;"&amp;$A2834,AgStatus,"&lt;&gt;Cancelado",AgStatus,"&lt;&gt;Remarcado")&gt;0,"Sim","Não"))</f>
        <v>0</v>
      </c>
      <c r="S2834" s="28">
        <f>IF($A2834="","",IF(AND($F2834="Agendado",$A2834-Hoje&gt;=0,$A2834-Hoje&lt;=DiasConf),"CONFIRMAR",IF(AND($A2834&lt;Hoje,OR($F2834="Agendado",$F2834="Confirmado")),"Atualizar status",IF(AND($F2834="Compareceu",$P2834&gt;0.005),"Cobrar",IF($F2834="Faltou","Falta: reagendar","")))))</f>
        <v>0</v>
      </c>
      <c r="T2834" s="29">
        <f>IF($A2834="","",DATE(YEAR($A2834),MONTH($A2834),1))</f>
        <v>0</v>
      </c>
      <c r="U2834" s="30">
        <f>IF($S2834="CONFIRMAR",MAX($U$4:$U2833)+1,"")</f>
        <v>0</v>
      </c>
      <c r="V2834" s="30">
        <f>IF(AND($R2834="Não",$Q2834&lt;&gt;"",$Q2834&lt;=Hoje+JanelaRet,$Q2834&gt;=Hoje-60),MAX($V$4:$V2833)+1,"")</f>
        <v>0</v>
      </c>
    </row>
    <row r="2835" spans="1:22">
      <c r="A2835" s="16"/>
      <c r="B2835" s="23"/>
      <c r="C2835" s="15"/>
      <c r="D2835" s="15"/>
      <c r="E2835" s="15"/>
      <c r="F2835" s="24"/>
      <c r="G2835" s="17"/>
      <c r="H2835" s="17"/>
      <c r="I2835" s="15"/>
      <c r="J2835" s="25">
        <f>IF($D2835="","",IFERROR(INDEX(PacNome,MATCH($D2835,PacCod,0)),"Paciente não cadastrado"))</f>
        <v>0</v>
      </c>
      <c r="K2835" s="26">
        <f>IF($D2835="","",IFERROR(INDEX(PacConv,MATCH($D2835,PacCod,0))&amp;"",""))</f>
        <v>0</v>
      </c>
      <c r="L2835" s="26">
        <f>IF($A2835="","",CHOOSE(WEEKDAY($A2835,2),"Seg","Ter","Qua","Qui","Sex","Sáb","Dom"))</f>
        <v>0</v>
      </c>
      <c r="M2835" s="27">
        <f>IF($E2835="","",IF($G2835&lt;&gt;"",$G2835,IFERROR(INDEX(ProcValor,MATCH($E2835,ProcNome,0)),0)))</f>
        <v>0</v>
      </c>
      <c r="N2835" s="27">
        <f>IF($M2835="","",IF($F2835="Compareceu",$M2835,0))</f>
        <v>0</v>
      </c>
      <c r="O2835" s="27">
        <f>IF($M2835="","",IF($F2835="Faltou",$M2835,0))</f>
        <v>0</v>
      </c>
      <c r="P2835" s="27">
        <f>IF($M2835="","",IF($F2835="Compareceu",MAX(0,$M2835-N($H2835)),0))</f>
        <v>0</v>
      </c>
      <c r="Q2835" s="19">
        <f>IF(AND($F2835="Compareceu",$E2835&lt;&gt;"",$A2835&lt;&gt;""),IF(IFERROR(INDEX(ProcRet,MATCH($E2835,ProcNome,0)),0)&gt;0,$A2835+INDEX(ProcRet,MATCH($E2835,ProcNome,0)),""),"")</f>
        <v>0</v>
      </c>
      <c r="R2835" s="26">
        <f>IF($Q2835="","",IF(COUNTIFS(AgPac,$D2835,AgData,"&gt;"&amp;$A2835,AgStatus,"&lt;&gt;Cancelado",AgStatus,"&lt;&gt;Remarcado")&gt;0,"Sim","Não"))</f>
        <v>0</v>
      </c>
      <c r="S2835" s="28">
        <f>IF($A2835="","",IF(AND($F2835="Agendado",$A2835-Hoje&gt;=0,$A2835-Hoje&lt;=DiasConf),"CONFIRMAR",IF(AND($A2835&lt;Hoje,OR($F2835="Agendado",$F2835="Confirmado")),"Atualizar status",IF(AND($F2835="Compareceu",$P2835&gt;0.005),"Cobrar",IF($F2835="Faltou","Falta: reagendar","")))))</f>
        <v>0</v>
      </c>
      <c r="T2835" s="29">
        <f>IF($A2835="","",DATE(YEAR($A2835),MONTH($A2835),1))</f>
        <v>0</v>
      </c>
      <c r="U2835" s="30">
        <f>IF($S2835="CONFIRMAR",MAX($U$4:$U2834)+1,"")</f>
        <v>0</v>
      </c>
      <c r="V2835" s="30">
        <f>IF(AND($R2835="Não",$Q2835&lt;&gt;"",$Q2835&lt;=Hoje+JanelaRet,$Q2835&gt;=Hoje-60),MAX($V$4:$V2834)+1,"")</f>
        <v>0</v>
      </c>
    </row>
    <row r="2836" spans="1:22">
      <c r="A2836" s="16"/>
      <c r="B2836" s="23"/>
      <c r="C2836" s="15"/>
      <c r="D2836" s="15"/>
      <c r="E2836" s="15"/>
      <c r="F2836" s="24"/>
      <c r="G2836" s="17"/>
      <c r="H2836" s="17"/>
      <c r="I2836" s="15"/>
      <c r="J2836" s="25">
        <f>IF($D2836="","",IFERROR(INDEX(PacNome,MATCH($D2836,PacCod,0)),"Paciente não cadastrado"))</f>
        <v>0</v>
      </c>
      <c r="K2836" s="26">
        <f>IF($D2836="","",IFERROR(INDEX(PacConv,MATCH($D2836,PacCod,0))&amp;"",""))</f>
        <v>0</v>
      </c>
      <c r="L2836" s="26">
        <f>IF($A2836="","",CHOOSE(WEEKDAY($A2836,2),"Seg","Ter","Qua","Qui","Sex","Sáb","Dom"))</f>
        <v>0</v>
      </c>
      <c r="M2836" s="27">
        <f>IF($E2836="","",IF($G2836&lt;&gt;"",$G2836,IFERROR(INDEX(ProcValor,MATCH($E2836,ProcNome,0)),0)))</f>
        <v>0</v>
      </c>
      <c r="N2836" s="27">
        <f>IF($M2836="","",IF($F2836="Compareceu",$M2836,0))</f>
        <v>0</v>
      </c>
      <c r="O2836" s="27">
        <f>IF($M2836="","",IF($F2836="Faltou",$M2836,0))</f>
        <v>0</v>
      </c>
      <c r="P2836" s="27">
        <f>IF($M2836="","",IF($F2836="Compareceu",MAX(0,$M2836-N($H2836)),0))</f>
        <v>0</v>
      </c>
      <c r="Q2836" s="19">
        <f>IF(AND($F2836="Compareceu",$E2836&lt;&gt;"",$A2836&lt;&gt;""),IF(IFERROR(INDEX(ProcRet,MATCH($E2836,ProcNome,0)),0)&gt;0,$A2836+INDEX(ProcRet,MATCH($E2836,ProcNome,0)),""),"")</f>
        <v>0</v>
      </c>
      <c r="R2836" s="26">
        <f>IF($Q2836="","",IF(COUNTIFS(AgPac,$D2836,AgData,"&gt;"&amp;$A2836,AgStatus,"&lt;&gt;Cancelado",AgStatus,"&lt;&gt;Remarcado")&gt;0,"Sim","Não"))</f>
        <v>0</v>
      </c>
      <c r="S2836" s="28">
        <f>IF($A2836="","",IF(AND($F2836="Agendado",$A2836-Hoje&gt;=0,$A2836-Hoje&lt;=DiasConf),"CONFIRMAR",IF(AND($A2836&lt;Hoje,OR($F2836="Agendado",$F2836="Confirmado")),"Atualizar status",IF(AND($F2836="Compareceu",$P2836&gt;0.005),"Cobrar",IF($F2836="Faltou","Falta: reagendar","")))))</f>
        <v>0</v>
      </c>
      <c r="T2836" s="29">
        <f>IF($A2836="","",DATE(YEAR($A2836),MONTH($A2836),1))</f>
        <v>0</v>
      </c>
      <c r="U2836" s="30">
        <f>IF($S2836="CONFIRMAR",MAX($U$4:$U2835)+1,"")</f>
        <v>0</v>
      </c>
      <c r="V2836" s="30">
        <f>IF(AND($R2836="Não",$Q2836&lt;&gt;"",$Q2836&lt;=Hoje+JanelaRet,$Q2836&gt;=Hoje-60),MAX($V$4:$V2835)+1,"")</f>
        <v>0</v>
      </c>
    </row>
    <row r="2837" spans="1:22">
      <c r="A2837" s="16"/>
      <c r="B2837" s="23"/>
      <c r="C2837" s="15"/>
      <c r="D2837" s="15"/>
      <c r="E2837" s="15"/>
      <c r="F2837" s="24"/>
      <c r="G2837" s="17"/>
      <c r="H2837" s="17"/>
      <c r="I2837" s="15"/>
      <c r="J2837" s="25">
        <f>IF($D2837="","",IFERROR(INDEX(PacNome,MATCH($D2837,PacCod,0)),"Paciente não cadastrado"))</f>
        <v>0</v>
      </c>
      <c r="K2837" s="26">
        <f>IF($D2837="","",IFERROR(INDEX(PacConv,MATCH($D2837,PacCod,0))&amp;"",""))</f>
        <v>0</v>
      </c>
      <c r="L2837" s="26">
        <f>IF($A2837="","",CHOOSE(WEEKDAY($A2837,2),"Seg","Ter","Qua","Qui","Sex","Sáb","Dom"))</f>
        <v>0</v>
      </c>
      <c r="M2837" s="27">
        <f>IF($E2837="","",IF($G2837&lt;&gt;"",$G2837,IFERROR(INDEX(ProcValor,MATCH($E2837,ProcNome,0)),0)))</f>
        <v>0</v>
      </c>
      <c r="N2837" s="27">
        <f>IF($M2837="","",IF($F2837="Compareceu",$M2837,0))</f>
        <v>0</v>
      </c>
      <c r="O2837" s="27">
        <f>IF($M2837="","",IF($F2837="Faltou",$M2837,0))</f>
        <v>0</v>
      </c>
      <c r="P2837" s="27">
        <f>IF($M2837="","",IF($F2837="Compareceu",MAX(0,$M2837-N($H2837)),0))</f>
        <v>0</v>
      </c>
      <c r="Q2837" s="19">
        <f>IF(AND($F2837="Compareceu",$E2837&lt;&gt;"",$A2837&lt;&gt;""),IF(IFERROR(INDEX(ProcRet,MATCH($E2837,ProcNome,0)),0)&gt;0,$A2837+INDEX(ProcRet,MATCH($E2837,ProcNome,0)),""),"")</f>
        <v>0</v>
      </c>
      <c r="R2837" s="26">
        <f>IF($Q2837="","",IF(COUNTIFS(AgPac,$D2837,AgData,"&gt;"&amp;$A2837,AgStatus,"&lt;&gt;Cancelado",AgStatus,"&lt;&gt;Remarcado")&gt;0,"Sim","Não"))</f>
        <v>0</v>
      </c>
      <c r="S2837" s="28">
        <f>IF($A2837="","",IF(AND($F2837="Agendado",$A2837-Hoje&gt;=0,$A2837-Hoje&lt;=DiasConf),"CONFIRMAR",IF(AND($A2837&lt;Hoje,OR($F2837="Agendado",$F2837="Confirmado")),"Atualizar status",IF(AND($F2837="Compareceu",$P2837&gt;0.005),"Cobrar",IF($F2837="Faltou","Falta: reagendar","")))))</f>
        <v>0</v>
      </c>
      <c r="T2837" s="29">
        <f>IF($A2837="","",DATE(YEAR($A2837),MONTH($A2837),1))</f>
        <v>0</v>
      </c>
      <c r="U2837" s="30">
        <f>IF($S2837="CONFIRMAR",MAX($U$4:$U2836)+1,"")</f>
        <v>0</v>
      </c>
      <c r="V2837" s="30">
        <f>IF(AND($R2837="Não",$Q2837&lt;&gt;"",$Q2837&lt;=Hoje+JanelaRet,$Q2837&gt;=Hoje-60),MAX($V$4:$V2836)+1,"")</f>
        <v>0</v>
      </c>
    </row>
    <row r="2838" spans="1:22">
      <c r="A2838" s="16"/>
      <c r="B2838" s="23"/>
      <c r="C2838" s="15"/>
      <c r="D2838" s="15"/>
      <c r="E2838" s="15"/>
      <c r="F2838" s="24"/>
      <c r="G2838" s="17"/>
      <c r="H2838" s="17"/>
      <c r="I2838" s="15"/>
      <c r="J2838" s="25">
        <f>IF($D2838="","",IFERROR(INDEX(PacNome,MATCH($D2838,PacCod,0)),"Paciente não cadastrado"))</f>
        <v>0</v>
      </c>
      <c r="K2838" s="26">
        <f>IF($D2838="","",IFERROR(INDEX(PacConv,MATCH($D2838,PacCod,0))&amp;"",""))</f>
        <v>0</v>
      </c>
      <c r="L2838" s="26">
        <f>IF($A2838="","",CHOOSE(WEEKDAY($A2838,2),"Seg","Ter","Qua","Qui","Sex","Sáb","Dom"))</f>
        <v>0</v>
      </c>
      <c r="M2838" s="27">
        <f>IF($E2838="","",IF($G2838&lt;&gt;"",$G2838,IFERROR(INDEX(ProcValor,MATCH($E2838,ProcNome,0)),0)))</f>
        <v>0</v>
      </c>
      <c r="N2838" s="27">
        <f>IF($M2838="","",IF($F2838="Compareceu",$M2838,0))</f>
        <v>0</v>
      </c>
      <c r="O2838" s="27">
        <f>IF($M2838="","",IF($F2838="Faltou",$M2838,0))</f>
        <v>0</v>
      </c>
      <c r="P2838" s="27">
        <f>IF($M2838="","",IF($F2838="Compareceu",MAX(0,$M2838-N($H2838)),0))</f>
        <v>0</v>
      </c>
      <c r="Q2838" s="19">
        <f>IF(AND($F2838="Compareceu",$E2838&lt;&gt;"",$A2838&lt;&gt;""),IF(IFERROR(INDEX(ProcRet,MATCH($E2838,ProcNome,0)),0)&gt;0,$A2838+INDEX(ProcRet,MATCH($E2838,ProcNome,0)),""),"")</f>
        <v>0</v>
      </c>
      <c r="R2838" s="26">
        <f>IF($Q2838="","",IF(COUNTIFS(AgPac,$D2838,AgData,"&gt;"&amp;$A2838,AgStatus,"&lt;&gt;Cancelado",AgStatus,"&lt;&gt;Remarcado")&gt;0,"Sim","Não"))</f>
        <v>0</v>
      </c>
      <c r="S2838" s="28">
        <f>IF($A2838="","",IF(AND($F2838="Agendado",$A2838-Hoje&gt;=0,$A2838-Hoje&lt;=DiasConf),"CONFIRMAR",IF(AND($A2838&lt;Hoje,OR($F2838="Agendado",$F2838="Confirmado")),"Atualizar status",IF(AND($F2838="Compareceu",$P2838&gt;0.005),"Cobrar",IF($F2838="Faltou","Falta: reagendar","")))))</f>
        <v>0</v>
      </c>
      <c r="T2838" s="29">
        <f>IF($A2838="","",DATE(YEAR($A2838),MONTH($A2838),1))</f>
        <v>0</v>
      </c>
      <c r="U2838" s="30">
        <f>IF($S2838="CONFIRMAR",MAX($U$4:$U2837)+1,"")</f>
        <v>0</v>
      </c>
      <c r="V2838" s="30">
        <f>IF(AND($R2838="Não",$Q2838&lt;&gt;"",$Q2838&lt;=Hoje+JanelaRet,$Q2838&gt;=Hoje-60),MAX($V$4:$V2837)+1,"")</f>
        <v>0</v>
      </c>
    </row>
    <row r="2839" spans="1:22">
      <c r="A2839" s="16"/>
      <c r="B2839" s="23"/>
      <c r="C2839" s="15"/>
      <c r="D2839" s="15"/>
      <c r="E2839" s="15"/>
      <c r="F2839" s="24"/>
      <c r="G2839" s="17"/>
      <c r="H2839" s="17"/>
      <c r="I2839" s="15"/>
      <c r="J2839" s="25">
        <f>IF($D2839="","",IFERROR(INDEX(PacNome,MATCH($D2839,PacCod,0)),"Paciente não cadastrado"))</f>
        <v>0</v>
      </c>
      <c r="K2839" s="26">
        <f>IF($D2839="","",IFERROR(INDEX(PacConv,MATCH($D2839,PacCod,0))&amp;"",""))</f>
        <v>0</v>
      </c>
      <c r="L2839" s="26">
        <f>IF($A2839="","",CHOOSE(WEEKDAY($A2839,2),"Seg","Ter","Qua","Qui","Sex","Sáb","Dom"))</f>
        <v>0</v>
      </c>
      <c r="M2839" s="27">
        <f>IF($E2839="","",IF($G2839&lt;&gt;"",$G2839,IFERROR(INDEX(ProcValor,MATCH($E2839,ProcNome,0)),0)))</f>
        <v>0</v>
      </c>
      <c r="N2839" s="27">
        <f>IF($M2839="","",IF($F2839="Compareceu",$M2839,0))</f>
        <v>0</v>
      </c>
      <c r="O2839" s="27">
        <f>IF($M2839="","",IF($F2839="Faltou",$M2839,0))</f>
        <v>0</v>
      </c>
      <c r="P2839" s="27">
        <f>IF($M2839="","",IF($F2839="Compareceu",MAX(0,$M2839-N($H2839)),0))</f>
        <v>0</v>
      </c>
      <c r="Q2839" s="19">
        <f>IF(AND($F2839="Compareceu",$E2839&lt;&gt;"",$A2839&lt;&gt;""),IF(IFERROR(INDEX(ProcRet,MATCH($E2839,ProcNome,0)),0)&gt;0,$A2839+INDEX(ProcRet,MATCH($E2839,ProcNome,0)),""),"")</f>
        <v>0</v>
      </c>
      <c r="R2839" s="26">
        <f>IF($Q2839="","",IF(COUNTIFS(AgPac,$D2839,AgData,"&gt;"&amp;$A2839,AgStatus,"&lt;&gt;Cancelado",AgStatus,"&lt;&gt;Remarcado")&gt;0,"Sim","Não"))</f>
        <v>0</v>
      </c>
      <c r="S2839" s="28">
        <f>IF($A2839="","",IF(AND($F2839="Agendado",$A2839-Hoje&gt;=0,$A2839-Hoje&lt;=DiasConf),"CONFIRMAR",IF(AND($A2839&lt;Hoje,OR($F2839="Agendado",$F2839="Confirmado")),"Atualizar status",IF(AND($F2839="Compareceu",$P2839&gt;0.005),"Cobrar",IF($F2839="Faltou","Falta: reagendar","")))))</f>
        <v>0</v>
      </c>
      <c r="T2839" s="29">
        <f>IF($A2839="","",DATE(YEAR($A2839),MONTH($A2839),1))</f>
        <v>0</v>
      </c>
      <c r="U2839" s="30">
        <f>IF($S2839="CONFIRMAR",MAX($U$4:$U2838)+1,"")</f>
        <v>0</v>
      </c>
      <c r="V2839" s="30">
        <f>IF(AND($R2839="Não",$Q2839&lt;&gt;"",$Q2839&lt;=Hoje+JanelaRet,$Q2839&gt;=Hoje-60),MAX($V$4:$V2838)+1,"")</f>
        <v>0</v>
      </c>
    </row>
    <row r="2840" spans="1:22">
      <c r="A2840" s="16"/>
      <c r="B2840" s="23"/>
      <c r="C2840" s="15"/>
      <c r="D2840" s="15"/>
      <c r="E2840" s="15"/>
      <c r="F2840" s="24"/>
      <c r="G2840" s="17"/>
      <c r="H2840" s="17"/>
      <c r="I2840" s="15"/>
      <c r="J2840" s="25">
        <f>IF($D2840="","",IFERROR(INDEX(PacNome,MATCH($D2840,PacCod,0)),"Paciente não cadastrado"))</f>
        <v>0</v>
      </c>
      <c r="K2840" s="26">
        <f>IF($D2840="","",IFERROR(INDEX(PacConv,MATCH($D2840,PacCod,0))&amp;"",""))</f>
        <v>0</v>
      </c>
      <c r="L2840" s="26">
        <f>IF($A2840="","",CHOOSE(WEEKDAY($A2840,2),"Seg","Ter","Qua","Qui","Sex","Sáb","Dom"))</f>
        <v>0</v>
      </c>
      <c r="M2840" s="27">
        <f>IF($E2840="","",IF($G2840&lt;&gt;"",$G2840,IFERROR(INDEX(ProcValor,MATCH($E2840,ProcNome,0)),0)))</f>
        <v>0</v>
      </c>
      <c r="N2840" s="27">
        <f>IF($M2840="","",IF($F2840="Compareceu",$M2840,0))</f>
        <v>0</v>
      </c>
      <c r="O2840" s="27">
        <f>IF($M2840="","",IF($F2840="Faltou",$M2840,0))</f>
        <v>0</v>
      </c>
      <c r="P2840" s="27">
        <f>IF($M2840="","",IF($F2840="Compareceu",MAX(0,$M2840-N($H2840)),0))</f>
        <v>0</v>
      </c>
      <c r="Q2840" s="19">
        <f>IF(AND($F2840="Compareceu",$E2840&lt;&gt;"",$A2840&lt;&gt;""),IF(IFERROR(INDEX(ProcRet,MATCH($E2840,ProcNome,0)),0)&gt;0,$A2840+INDEX(ProcRet,MATCH($E2840,ProcNome,0)),""),"")</f>
        <v>0</v>
      </c>
      <c r="R2840" s="26">
        <f>IF($Q2840="","",IF(COUNTIFS(AgPac,$D2840,AgData,"&gt;"&amp;$A2840,AgStatus,"&lt;&gt;Cancelado",AgStatus,"&lt;&gt;Remarcado")&gt;0,"Sim","Não"))</f>
        <v>0</v>
      </c>
      <c r="S2840" s="28">
        <f>IF($A2840="","",IF(AND($F2840="Agendado",$A2840-Hoje&gt;=0,$A2840-Hoje&lt;=DiasConf),"CONFIRMAR",IF(AND($A2840&lt;Hoje,OR($F2840="Agendado",$F2840="Confirmado")),"Atualizar status",IF(AND($F2840="Compareceu",$P2840&gt;0.005),"Cobrar",IF($F2840="Faltou","Falta: reagendar","")))))</f>
        <v>0</v>
      </c>
      <c r="T2840" s="29">
        <f>IF($A2840="","",DATE(YEAR($A2840),MONTH($A2840),1))</f>
        <v>0</v>
      </c>
      <c r="U2840" s="30">
        <f>IF($S2840="CONFIRMAR",MAX($U$4:$U2839)+1,"")</f>
        <v>0</v>
      </c>
      <c r="V2840" s="30">
        <f>IF(AND($R2840="Não",$Q2840&lt;&gt;"",$Q2840&lt;=Hoje+JanelaRet,$Q2840&gt;=Hoje-60),MAX($V$4:$V2839)+1,"")</f>
        <v>0</v>
      </c>
    </row>
    <row r="2841" spans="1:22">
      <c r="A2841" s="16"/>
      <c r="B2841" s="23"/>
      <c r="C2841" s="15"/>
      <c r="D2841" s="15"/>
      <c r="E2841" s="15"/>
      <c r="F2841" s="24"/>
      <c r="G2841" s="17"/>
      <c r="H2841" s="17"/>
      <c r="I2841" s="15"/>
      <c r="J2841" s="25">
        <f>IF($D2841="","",IFERROR(INDEX(PacNome,MATCH($D2841,PacCod,0)),"Paciente não cadastrado"))</f>
        <v>0</v>
      </c>
      <c r="K2841" s="26">
        <f>IF($D2841="","",IFERROR(INDEX(PacConv,MATCH($D2841,PacCod,0))&amp;"",""))</f>
        <v>0</v>
      </c>
      <c r="L2841" s="26">
        <f>IF($A2841="","",CHOOSE(WEEKDAY($A2841,2),"Seg","Ter","Qua","Qui","Sex","Sáb","Dom"))</f>
        <v>0</v>
      </c>
      <c r="M2841" s="27">
        <f>IF($E2841="","",IF($G2841&lt;&gt;"",$G2841,IFERROR(INDEX(ProcValor,MATCH($E2841,ProcNome,0)),0)))</f>
        <v>0</v>
      </c>
      <c r="N2841" s="27">
        <f>IF($M2841="","",IF($F2841="Compareceu",$M2841,0))</f>
        <v>0</v>
      </c>
      <c r="O2841" s="27">
        <f>IF($M2841="","",IF($F2841="Faltou",$M2841,0))</f>
        <v>0</v>
      </c>
      <c r="P2841" s="27">
        <f>IF($M2841="","",IF($F2841="Compareceu",MAX(0,$M2841-N($H2841)),0))</f>
        <v>0</v>
      </c>
      <c r="Q2841" s="19">
        <f>IF(AND($F2841="Compareceu",$E2841&lt;&gt;"",$A2841&lt;&gt;""),IF(IFERROR(INDEX(ProcRet,MATCH($E2841,ProcNome,0)),0)&gt;0,$A2841+INDEX(ProcRet,MATCH($E2841,ProcNome,0)),""),"")</f>
        <v>0</v>
      </c>
      <c r="R2841" s="26">
        <f>IF($Q2841="","",IF(COUNTIFS(AgPac,$D2841,AgData,"&gt;"&amp;$A2841,AgStatus,"&lt;&gt;Cancelado",AgStatus,"&lt;&gt;Remarcado")&gt;0,"Sim","Não"))</f>
        <v>0</v>
      </c>
      <c r="S2841" s="28">
        <f>IF($A2841="","",IF(AND($F2841="Agendado",$A2841-Hoje&gt;=0,$A2841-Hoje&lt;=DiasConf),"CONFIRMAR",IF(AND($A2841&lt;Hoje,OR($F2841="Agendado",$F2841="Confirmado")),"Atualizar status",IF(AND($F2841="Compareceu",$P2841&gt;0.005),"Cobrar",IF($F2841="Faltou","Falta: reagendar","")))))</f>
        <v>0</v>
      </c>
      <c r="T2841" s="29">
        <f>IF($A2841="","",DATE(YEAR($A2841),MONTH($A2841),1))</f>
        <v>0</v>
      </c>
      <c r="U2841" s="30">
        <f>IF($S2841="CONFIRMAR",MAX($U$4:$U2840)+1,"")</f>
        <v>0</v>
      </c>
      <c r="V2841" s="30">
        <f>IF(AND($R2841="Não",$Q2841&lt;&gt;"",$Q2841&lt;=Hoje+JanelaRet,$Q2841&gt;=Hoje-60),MAX($V$4:$V2840)+1,"")</f>
        <v>0</v>
      </c>
    </row>
    <row r="2842" spans="1:22">
      <c r="A2842" s="16"/>
      <c r="B2842" s="23"/>
      <c r="C2842" s="15"/>
      <c r="D2842" s="15"/>
      <c r="E2842" s="15"/>
      <c r="F2842" s="24"/>
      <c r="G2842" s="17"/>
      <c r="H2842" s="17"/>
      <c r="I2842" s="15"/>
      <c r="J2842" s="25">
        <f>IF($D2842="","",IFERROR(INDEX(PacNome,MATCH($D2842,PacCod,0)),"Paciente não cadastrado"))</f>
        <v>0</v>
      </c>
      <c r="K2842" s="26">
        <f>IF($D2842="","",IFERROR(INDEX(PacConv,MATCH($D2842,PacCod,0))&amp;"",""))</f>
        <v>0</v>
      </c>
      <c r="L2842" s="26">
        <f>IF($A2842="","",CHOOSE(WEEKDAY($A2842,2),"Seg","Ter","Qua","Qui","Sex","Sáb","Dom"))</f>
        <v>0</v>
      </c>
      <c r="M2842" s="27">
        <f>IF($E2842="","",IF($G2842&lt;&gt;"",$G2842,IFERROR(INDEX(ProcValor,MATCH($E2842,ProcNome,0)),0)))</f>
        <v>0</v>
      </c>
      <c r="N2842" s="27">
        <f>IF($M2842="","",IF($F2842="Compareceu",$M2842,0))</f>
        <v>0</v>
      </c>
      <c r="O2842" s="27">
        <f>IF($M2842="","",IF($F2842="Faltou",$M2842,0))</f>
        <v>0</v>
      </c>
      <c r="P2842" s="27">
        <f>IF($M2842="","",IF($F2842="Compareceu",MAX(0,$M2842-N($H2842)),0))</f>
        <v>0</v>
      </c>
      <c r="Q2842" s="19">
        <f>IF(AND($F2842="Compareceu",$E2842&lt;&gt;"",$A2842&lt;&gt;""),IF(IFERROR(INDEX(ProcRet,MATCH($E2842,ProcNome,0)),0)&gt;0,$A2842+INDEX(ProcRet,MATCH($E2842,ProcNome,0)),""),"")</f>
        <v>0</v>
      </c>
      <c r="R2842" s="26">
        <f>IF($Q2842="","",IF(COUNTIFS(AgPac,$D2842,AgData,"&gt;"&amp;$A2842,AgStatus,"&lt;&gt;Cancelado",AgStatus,"&lt;&gt;Remarcado")&gt;0,"Sim","Não"))</f>
        <v>0</v>
      </c>
      <c r="S2842" s="28">
        <f>IF($A2842="","",IF(AND($F2842="Agendado",$A2842-Hoje&gt;=0,$A2842-Hoje&lt;=DiasConf),"CONFIRMAR",IF(AND($A2842&lt;Hoje,OR($F2842="Agendado",$F2842="Confirmado")),"Atualizar status",IF(AND($F2842="Compareceu",$P2842&gt;0.005),"Cobrar",IF($F2842="Faltou","Falta: reagendar","")))))</f>
        <v>0</v>
      </c>
      <c r="T2842" s="29">
        <f>IF($A2842="","",DATE(YEAR($A2842),MONTH($A2842),1))</f>
        <v>0</v>
      </c>
      <c r="U2842" s="30">
        <f>IF($S2842="CONFIRMAR",MAX($U$4:$U2841)+1,"")</f>
        <v>0</v>
      </c>
      <c r="V2842" s="30">
        <f>IF(AND($R2842="Não",$Q2842&lt;&gt;"",$Q2842&lt;=Hoje+JanelaRet,$Q2842&gt;=Hoje-60),MAX($V$4:$V2841)+1,"")</f>
        <v>0</v>
      </c>
    </row>
    <row r="2843" spans="1:22">
      <c r="A2843" s="16"/>
      <c r="B2843" s="23"/>
      <c r="C2843" s="15"/>
      <c r="D2843" s="15"/>
      <c r="E2843" s="15"/>
      <c r="F2843" s="24"/>
      <c r="G2843" s="17"/>
      <c r="H2843" s="17"/>
      <c r="I2843" s="15"/>
      <c r="J2843" s="25">
        <f>IF($D2843="","",IFERROR(INDEX(PacNome,MATCH($D2843,PacCod,0)),"Paciente não cadastrado"))</f>
        <v>0</v>
      </c>
      <c r="K2843" s="26">
        <f>IF($D2843="","",IFERROR(INDEX(PacConv,MATCH($D2843,PacCod,0))&amp;"",""))</f>
        <v>0</v>
      </c>
      <c r="L2843" s="26">
        <f>IF($A2843="","",CHOOSE(WEEKDAY($A2843,2),"Seg","Ter","Qua","Qui","Sex","Sáb","Dom"))</f>
        <v>0</v>
      </c>
      <c r="M2843" s="27">
        <f>IF($E2843="","",IF($G2843&lt;&gt;"",$G2843,IFERROR(INDEX(ProcValor,MATCH($E2843,ProcNome,0)),0)))</f>
        <v>0</v>
      </c>
      <c r="N2843" s="27">
        <f>IF($M2843="","",IF($F2843="Compareceu",$M2843,0))</f>
        <v>0</v>
      </c>
      <c r="O2843" s="27">
        <f>IF($M2843="","",IF($F2843="Faltou",$M2843,0))</f>
        <v>0</v>
      </c>
      <c r="P2843" s="27">
        <f>IF($M2843="","",IF($F2843="Compareceu",MAX(0,$M2843-N($H2843)),0))</f>
        <v>0</v>
      </c>
      <c r="Q2843" s="19">
        <f>IF(AND($F2843="Compareceu",$E2843&lt;&gt;"",$A2843&lt;&gt;""),IF(IFERROR(INDEX(ProcRet,MATCH($E2843,ProcNome,0)),0)&gt;0,$A2843+INDEX(ProcRet,MATCH($E2843,ProcNome,0)),""),"")</f>
        <v>0</v>
      </c>
      <c r="R2843" s="26">
        <f>IF($Q2843="","",IF(COUNTIFS(AgPac,$D2843,AgData,"&gt;"&amp;$A2843,AgStatus,"&lt;&gt;Cancelado",AgStatus,"&lt;&gt;Remarcado")&gt;0,"Sim","Não"))</f>
        <v>0</v>
      </c>
      <c r="S2843" s="28">
        <f>IF($A2843="","",IF(AND($F2843="Agendado",$A2843-Hoje&gt;=0,$A2843-Hoje&lt;=DiasConf),"CONFIRMAR",IF(AND($A2843&lt;Hoje,OR($F2843="Agendado",$F2843="Confirmado")),"Atualizar status",IF(AND($F2843="Compareceu",$P2843&gt;0.005),"Cobrar",IF($F2843="Faltou","Falta: reagendar","")))))</f>
        <v>0</v>
      </c>
      <c r="T2843" s="29">
        <f>IF($A2843="","",DATE(YEAR($A2843),MONTH($A2843),1))</f>
        <v>0</v>
      </c>
      <c r="U2843" s="30">
        <f>IF($S2843="CONFIRMAR",MAX($U$4:$U2842)+1,"")</f>
        <v>0</v>
      </c>
      <c r="V2843" s="30">
        <f>IF(AND($R2843="Não",$Q2843&lt;&gt;"",$Q2843&lt;=Hoje+JanelaRet,$Q2843&gt;=Hoje-60),MAX($V$4:$V2842)+1,"")</f>
        <v>0</v>
      </c>
    </row>
    <row r="2844" spans="1:22">
      <c r="A2844" s="16"/>
      <c r="B2844" s="23"/>
      <c r="C2844" s="15"/>
      <c r="D2844" s="15"/>
      <c r="E2844" s="15"/>
      <c r="F2844" s="24"/>
      <c r="G2844" s="17"/>
      <c r="H2844" s="17"/>
      <c r="I2844" s="15"/>
      <c r="J2844" s="25">
        <f>IF($D2844="","",IFERROR(INDEX(PacNome,MATCH($D2844,PacCod,0)),"Paciente não cadastrado"))</f>
        <v>0</v>
      </c>
      <c r="K2844" s="26">
        <f>IF($D2844="","",IFERROR(INDEX(PacConv,MATCH($D2844,PacCod,0))&amp;"",""))</f>
        <v>0</v>
      </c>
      <c r="L2844" s="26">
        <f>IF($A2844="","",CHOOSE(WEEKDAY($A2844,2),"Seg","Ter","Qua","Qui","Sex","Sáb","Dom"))</f>
        <v>0</v>
      </c>
      <c r="M2844" s="27">
        <f>IF($E2844="","",IF($G2844&lt;&gt;"",$G2844,IFERROR(INDEX(ProcValor,MATCH($E2844,ProcNome,0)),0)))</f>
        <v>0</v>
      </c>
      <c r="N2844" s="27">
        <f>IF($M2844="","",IF($F2844="Compareceu",$M2844,0))</f>
        <v>0</v>
      </c>
      <c r="O2844" s="27">
        <f>IF($M2844="","",IF($F2844="Faltou",$M2844,0))</f>
        <v>0</v>
      </c>
      <c r="P2844" s="27">
        <f>IF($M2844="","",IF($F2844="Compareceu",MAX(0,$M2844-N($H2844)),0))</f>
        <v>0</v>
      </c>
      <c r="Q2844" s="19">
        <f>IF(AND($F2844="Compareceu",$E2844&lt;&gt;"",$A2844&lt;&gt;""),IF(IFERROR(INDEX(ProcRet,MATCH($E2844,ProcNome,0)),0)&gt;0,$A2844+INDEX(ProcRet,MATCH($E2844,ProcNome,0)),""),"")</f>
        <v>0</v>
      </c>
      <c r="R2844" s="26">
        <f>IF($Q2844="","",IF(COUNTIFS(AgPac,$D2844,AgData,"&gt;"&amp;$A2844,AgStatus,"&lt;&gt;Cancelado",AgStatus,"&lt;&gt;Remarcado")&gt;0,"Sim","Não"))</f>
        <v>0</v>
      </c>
      <c r="S2844" s="28">
        <f>IF($A2844="","",IF(AND($F2844="Agendado",$A2844-Hoje&gt;=0,$A2844-Hoje&lt;=DiasConf),"CONFIRMAR",IF(AND($A2844&lt;Hoje,OR($F2844="Agendado",$F2844="Confirmado")),"Atualizar status",IF(AND($F2844="Compareceu",$P2844&gt;0.005),"Cobrar",IF($F2844="Faltou","Falta: reagendar","")))))</f>
        <v>0</v>
      </c>
      <c r="T2844" s="29">
        <f>IF($A2844="","",DATE(YEAR($A2844),MONTH($A2844),1))</f>
        <v>0</v>
      </c>
      <c r="U2844" s="30">
        <f>IF($S2844="CONFIRMAR",MAX($U$4:$U2843)+1,"")</f>
        <v>0</v>
      </c>
      <c r="V2844" s="30">
        <f>IF(AND($R2844="Não",$Q2844&lt;&gt;"",$Q2844&lt;=Hoje+JanelaRet,$Q2844&gt;=Hoje-60),MAX($V$4:$V2843)+1,"")</f>
        <v>0</v>
      </c>
    </row>
    <row r="2845" spans="1:22">
      <c r="A2845" s="16"/>
      <c r="B2845" s="23"/>
      <c r="C2845" s="15"/>
      <c r="D2845" s="15"/>
      <c r="E2845" s="15"/>
      <c r="F2845" s="24"/>
      <c r="G2845" s="17"/>
      <c r="H2845" s="17"/>
      <c r="I2845" s="15"/>
      <c r="J2845" s="25">
        <f>IF($D2845="","",IFERROR(INDEX(PacNome,MATCH($D2845,PacCod,0)),"Paciente não cadastrado"))</f>
        <v>0</v>
      </c>
      <c r="K2845" s="26">
        <f>IF($D2845="","",IFERROR(INDEX(PacConv,MATCH($D2845,PacCod,0))&amp;"",""))</f>
        <v>0</v>
      </c>
      <c r="L2845" s="26">
        <f>IF($A2845="","",CHOOSE(WEEKDAY($A2845,2),"Seg","Ter","Qua","Qui","Sex","Sáb","Dom"))</f>
        <v>0</v>
      </c>
      <c r="M2845" s="27">
        <f>IF($E2845="","",IF($G2845&lt;&gt;"",$G2845,IFERROR(INDEX(ProcValor,MATCH($E2845,ProcNome,0)),0)))</f>
        <v>0</v>
      </c>
      <c r="N2845" s="27">
        <f>IF($M2845="","",IF($F2845="Compareceu",$M2845,0))</f>
        <v>0</v>
      </c>
      <c r="O2845" s="27">
        <f>IF($M2845="","",IF($F2845="Faltou",$M2845,0))</f>
        <v>0</v>
      </c>
      <c r="P2845" s="27">
        <f>IF($M2845="","",IF($F2845="Compareceu",MAX(0,$M2845-N($H2845)),0))</f>
        <v>0</v>
      </c>
      <c r="Q2845" s="19">
        <f>IF(AND($F2845="Compareceu",$E2845&lt;&gt;"",$A2845&lt;&gt;""),IF(IFERROR(INDEX(ProcRet,MATCH($E2845,ProcNome,0)),0)&gt;0,$A2845+INDEX(ProcRet,MATCH($E2845,ProcNome,0)),""),"")</f>
        <v>0</v>
      </c>
      <c r="R2845" s="26">
        <f>IF($Q2845="","",IF(COUNTIFS(AgPac,$D2845,AgData,"&gt;"&amp;$A2845,AgStatus,"&lt;&gt;Cancelado",AgStatus,"&lt;&gt;Remarcado")&gt;0,"Sim","Não"))</f>
        <v>0</v>
      </c>
      <c r="S2845" s="28">
        <f>IF($A2845="","",IF(AND($F2845="Agendado",$A2845-Hoje&gt;=0,$A2845-Hoje&lt;=DiasConf),"CONFIRMAR",IF(AND($A2845&lt;Hoje,OR($F2845="Agendado",$F2845="Confirmado")),"Atualizar status",IF(AND($F2845="Compareceu",$P2845&gt;0.005),"Cobrar",IF($F2845="Faltou","Falta: reagendar","")))))</f>
        <v>0</v>
      </c>
      <c r="T2845" s="29">
        <f>IF($A2845="","",DATE(YEAR($A2845),MONTH($A2845),1))</f>
        <v>0</v>
      </c>
      <c r="U2845" s="30">
        <f>IF($S2845="CONFIRMAR",MAX($U$4:$U2844)+1,"")</f>
        <v>0</v>
      </c>
      <c r="V2845" s="30">
        <f>IF(AND($R2845="Não",$Q2845&lt;&gt;"",$Q2845&lt;=Hoje+JanelaRet,$Q2845&gt;=Hoje-60),MAX($V$4:$V2844)+1,"")</f>
        <v>0</v>
      </c>
    </row>
    <row r="2846" spans="1:22">
      <c r="A2846" s="16"/>
      <c r="B2846" s="23"/>
      <c r="C2846" s="15"/>
      <c r="D2846" s="15"/>
      <c r="E2846" s="15"/>
      <c r="F2846" s="24"/>
      <c r="G2846" s="17"/>
      <c r="H2846" s="17"/>
      <c r="I2846" s="15"/>
      <c r="J2846" s="25">
        <f>IF($D2846="","",IFERROR(INDEX(PacNome,MATCH($D2846,PacCod,0)),"Paciente não cadastrado"))</f>
        <v>0</v>
      </c>
      <c r="K2846" s="26">
        <f>IF($D2846="","",IFERROR(INDEX(PacConv,MATCH($D2846,PacCod,0))&amp;"",""))</f>
        <v>0</v>
      </c>
      <c r="L2846" s="26">
        <f>IF($A2846="","",CHOOSE(WEEKDAY($A2846,2),"Seg","Ter","Qua","Qui","Sex","Sáb","Dom"))</f>
        <v>0</v>
      </c>
      <c r="M2846" s="27">
        <f>IF($E2846="","",IF($G2846&lt;&gt;"",$G2846,IFERROR(INDEX(ProcValor,MATCH($E2846,ProcNome,0)),0)))</f>
        <v>0</v>
      </c>
      <c r="N2846" s="27">
        <f>IF($M2846="","",IF($F2846="Compareceu",$M2846,0))</f>
        <v>0</v>
      </c>
      <c r="O2846" s="27">
        <f>IF($M2846="","",IF($F2846="Faltou",$M2846,0))</f>
        <v>0</v>
      </c>
      <c r="P2846" s="27">
        <f>IF($M2846="","",IF($F2846="Compareceu",MAX(0,$M2846-N($H2846)),0))</f>
        <v>0</v>
      </c>
      <c r="Q2846" s="19">
        <f>IF(AND($F2846="Compareceu",$E2846&lt;&gt;"",$A2846&lt;&gt;""),IF(IFERROR(INDEX(ProcRet,MATCH($E2846,ProcNome,0)),0)&gt;0,$A2846+INDEX(ProcRet,MATCH($E2846,ProcNome,0)),""),"")</f>
        <v>0</v>
      </c>
      <c r="R2846" s="26">
        <f>IF($Q2846="","",IF(COUNTIFS(AgPac,$D2846,AgData,"&gt;"&amp;$A2846,AgStatus,"&lt;&gt;Cancelado",AgStatus,"&lt;&gt;Remarcado")&gt;0,"Sim","Não"))</f>
        <v>0</v>
      </c>
      <c r="S2846" s="28">
        <f>IF($A2846="","",IF(AND($F2846="Agendado",$A2846-Hoje&gt;=0,$A2846-Hoje&lt;=DiasConf),"CONFIRMAR",IF(AND($A2846&lt;Hoje,OR($F2846="Agendado",$F2846="Confirmado")),"Atualizar status",IF(AND($F2846="Compareceu",$P2846&gt;0.005),"Cobrar",IF($F2846="Faltou","Falta: reagendar","")))))</f>
        <v>0</v>
      </c>
      <c r="T2846" s="29">
        <f>IF($A2846="","",DATE(YEAR($A2846),MONTH($A2846),1))</f>
        <v>0</v>
      </c>
      <c r="U2846" s="30">
        <f>IF($S2846="CONFIRMAR",MAX($U$4:$U2845)+1,"")</f>
        <v>0</v>
      </c>
      <c r="V2846" s="30">
        <f>IF(AND($R2846="Não",$Q2846&lt;&gt;"",$Q2846&lt;=Hoje+JanelaRet,$Q2846&gt;=Hoje-60),MAX($V$4:$V2845)+1,"")</f>
        <v>0</v>
      </c>
    </row>
    <row r="2847" spans="1:22">
      <c r="A2847" s="16"/>
      <c r="B2847" s="23"/>
      <c r="C2847" s="15"/>
      <c r="D2847" s="15"/>
      <c r="E2847" s="15"/>
      <c r="F2847" s="24"/>
      <c r="G2847" s="17"/>
      <c r="H2847" s="17"/>
      <c r="I2847" s="15"/>
      <c r="J2847" s="25">
        <f>IF($D2847="","",IFERROR(INDEX(PacNome,MATCH($D2847,PacCod,0)),"Paciente não cadastrado"))</f>
        <v>0</v>
      </c>
      <c r="K2847" s="26">
        <f>IF($D2847="","",IFERROR(INDEX(PacConv,MATCH($D2847,PacCod,0))&amp;"",""))</f>
        <v>0</v>
      </c>
      <c r="L2847" s="26">
        <f>IF($A2847="","",CHOOSE(WEEKDAY($A2847,2),"Seg","Ter","Qua","Qui","Sex","Sáb","Dom"))</f>
        <v>0</v>
      </c>
      <c r="M2847" s="27">
        <f>IF($E2847="","",IF($G2847&lt;&gt;"",$G2847,IFERROR(INDEX(ProcValor,MATCH($E2847,ProcNome,0)),0)))</f>
        <v>0</v>
      </c>
      <c r="N2847" s="27">
        <f>IF($M2847="","",IF($F2847="Compareceu",$M2847,0))</f>
        <v>0</v>
      </c>
      <c r="O2847" s="27">
        <f>IF($M2847="","",IF($F2847="Faltou",$M2847,0))</f>
        <v>0</v>
      </c>
      <c r="P2847" s="27">
        <f>IF($M2847="","",IF($F2847="Compareceu",MAX(0,$M2847-N($H2847)),0))</f>
        <v>0</v>
      </c>
      <c r="Q2847" s="19">
        <f>IF(AND($F2847="Compareceu",$E2847&lt;&gt;"",$A2847&lt;&gt;""),IF(IFERROR(INDEX(ProcRet,MATCH($E2847,ProcNome,0)),0)&gt;0,$A2847+INDEX(ProcRet,MATCH($E2847,ProcNome,0)),""),"")</f>
        <v>0</v>
      </c>
      <c r="R2847" s="26">
        <f>IF($Q2847="","",IF(COUNTIFS(AgPac,$D2847,AgData,"&gt;"&amp;$A2847,AgStatus,"&lt;&gt;Cancelado",AgStatus,"&lt;&gt;Remarcado")&gt;0,"Sim","Não"))</f>
        <v>0</v>
      </c>
      <c r="S2847" s="28">
        <f>IF($A2847="","",IF(AND($F2847="Agendado",$A2847-Hoje&gt;=0,$A2847-Hoje&lt;=DiasConf),"CONFIRMAR",IF(AND($A2847&lt;Hoje,OR($F2847="Agendado",$F2847="Confirmado")),"Atualizar status",IF(AND($F2847="Compareceu",$P2847&gt;0.005),"Cobrar",IF($F2847="Faltou","Falta: reagendar","")))))</f>
        <v>0</v>
      </c>
      <c r="T2847" s="29">
        <f>IF($A2847="","",DATE(YEAR($A2847),MONTH($A2847),1))</f>
        <v>0</v>
      </c>
      <c r="U2847" s="30">
        <f>IF($S2847="CONFIRMAR",MAX($U$4:$U2846)+1,"")</f>
        <v>0</v>
      </c>
      <c r="V2847" s="30">
        <f>IF(AND($R2847="Não",$Q2847&lt;&gt;"",$Q2847&lt;=Hoje+JanelaRet,$Q2847&gt;=Hoje-60),MAX($V$4:$V2846)+1,"")</f>
        <v>0</v>
      </c>
    </row>
    <row r="2848" spans="1:22">
      <c r="A2848" s="16"/>
      <c r="B2848" s="23"/>
      <c r="C2848" s="15"/>
      <c r="D2848" s="15"/>
      <c r="E2848" s="15"/>
      <c r="F2848" s="24"/>
      <c r="G2848" s="17"/>
      <c r="H2848" s="17"/>
      <c r="I2848" s="15"/>
      <c r="J2848" s="25">
        <f>IF($D2848="","",IFERROR(INDEX(PacNome,MATCH($D2848,PacCod,0)),"Paciente não cadastrado"))</f>
        <v>0</v>
      </c>
      <c r="K2848" s="26">
        <f>IF($D2848="","",IFERROR(INDEX(PacConv,MATCH($D2848,PacCod,0))&amp;"",""))</f>
        <v>0</v>
      </c>
      <c r="L2848" s="26">
        <f>IF($A2848="","",CHOOSE(WEEKDAY($A2848,2),"Seg","Ter","Qua","Qui","Sex","Sáb","Dom"))</f>
        <v>0</v>
      </c>
      <c r="M2848" s="27">
        <f>IF($E2848="","",IF($G2848&lt;&gt;"",$G2848,IFERROR(INDEX(ProcValor,MATCH($E2848,ProcNome,0)),0)))</f>
        <v>0</v>
      </c>
      <c r="N2848" s="27">
        <f>IF($M2848="","",IF($F2848="Compareceu",$M2848,0))</f>
        <v>0</v>
      </c>
      <c r="O2848" s="27">
        <f>IF($M2848="","",IF($F2848="Faltou",$M2848,0))</f>
        <v>0</v>
      </c>
      <c r="P2848" s="27">
        <f>IF($M2848="","",IF($F2848="Compareceu",MAX(0,$M2848-N($H2848)),0))</f>
        <v>0</v>
      </c>
      <c r="Q2848" s="19">
        <f>IF(AND($F2848="Compareceu",$E2848&lt;&gt;"",$A2848&lt;&gt;""),IF(IFERROR(INDEX(ProcRet,MATCH($E2848,ProcNome,0)),0)&gt;0,$A2848+INDEX(ProcRet,MATCH($E2848,ProcNome,0)),""),"")</f>
        <v>0</v>
      </c>
      <c r="R2848" s="26">
        <f>IF($Q2848="","",IF(COUNTIFS(AgPac,$D2848,AgData,"&gt;"&amp;$A2848,AgStatus,"&lt;&gt;Cancelado",AgStatus,"&lt;&gt;Remarcado")&gt;0,"Sim","Não"))</f>
        <v>0</v>
      </c>
      <c r="S2848" s="28">
        <f>IF($A2848="","",IF(AND($F2848="Agendado",$A2848-Hoje&gt;=0,$A2848-Hoje&lt;=DiasConf),"CONFIRMAR",IF(AND($A2848&lt;Hoje,OR($F2848="Agendado",$F2848="Confirmado")),"Atualizar status",IF(AND($F2848="Compareceu",$P2848&gt;0.005),"Cobrar",IF($F2848="Faltou","Falta: reagendar","")))))</f>
        <v>0</v>
      </c>
      <c r="T2848" s="29">
        <f>IF($A2848="","",DATE(YEAR($A2848),MONTH($A2848),1))</f>
        <v>0</v>
      </c>
      <c r="U2848" s="30">
        <f>IF($S2848="CONFIRMAR",MAX($U$4:$U2847)+1,"")</f>
        <v>0</v>
      </c>
      <c r="V2848" s="30">
        <f>IF(AND($R2848="Não",$Q2848&lt;&gt;"",$Q2848&lt;=Hoje+JanelaRet,$Q2848&gt;=Hoje-60),MAX($V$4:$V2847)+1,"")</f>
        <v>0</v>
      </c>
    </row>
    <row r="2849" spans="1:22">
      <c r="A2849" s="16"/>
      <c r="B2849" s="23"/>
      <c r="C2849" s="15"/>
      <c r="D2849" s="15"/>
      <c r="E2849" s="15"/>
      <c r="F2849" s="24"/>
      <c r="G2849" s="17"/>
      <c r="H2849" s="17"/>
      <c r="I2849" s="15"/>
      <c r="J2849" s="25">
        <f>IF($D2849="","",IFERROR(INDEX(PacNome,MATCH($D2849,PacCod,0)),"Paciente não cadastrado"))</f>
        <v>0</v>
      </c>
      <c r="K2849" s="26">
        <f>IF($D2849="","",IFERROR(INDEX(PacConv,MATCH($D2849,PacCod,0))&amp;"",""))</f>
        <v>0</v>
      </c>
      <c r="L2849" s="26">
        <f>IF($A2849="","",CHOOSE(WEEKDAY($A2849,2),"Seg","Ter","Qua","Qui","Sex","Sáb","Dom"))</f>
        <v>0</v>
      </c>
      <c r="M2849" s="27">
        <f>IF($E2849="","",IF($G2849&lt;&gt;"",$G2849,IFERROR(INDEX(ProcValor,MATCH($E2849,ProcNome,0)),0)))</f>
        <v>0</v>
      </c>
      <c r="N2849" s="27">
        <f>IF($M2849="","",IF($F2849="Compareceu",$M2849,0))</f>
        <v>0</v>
      </c>
      <c r="O2849" s="27">
        <f>IF($M2849="","",IF($F2849="Faltou",$M2849,0))</f>
        <v>0</v>
      </c>
      <c r="P2849" s="27">
        <f>IF($M2849="","",IF($F2849="Compareceu",MAX(0,$M2849-N($H2849)),0))</f>
        <v>0</v>
      </c>
      <c r="Q2849" s="19">
        <f>IF(AND($F2849="Compareceu",$E2849&lt;&gt;"",$A2849&lt;&gt;""),IF(IFERROR(INDEX(ProcRet,MATCH($E2849,ProcNome,0)),0)&gt;0,$A2849+INDEX(ProcRet,MATCH($E2849,ProcNome,0)),""),"")</f>
        <v>0</v>
      </c>
      <c r="R2849" s="26">
        <f>IF($Q2849="","",IF(COUNTIFS(AgPac,$D2849,AgData,"&gt;"&amp;$A2849,AgStatus,"&lt;&gt;Cancelado",AgStatus,"&lt;&gt;Remarcado")&gt;0,"Sim","Não"))</f>
        <v>0</v>
      </c>
      <c r="S2849" s="28">
        <f>IF($A2849="","",IF(AND($F2849="Agendado",$A2849-Hoje&gt;=0,$A2849-Hoje&lt;=DiasConf),"CONFIRMAR",IF(AND($A2849&lt;Hoje,OR($F2849="Agendado",$F2849="Confirmado")),"Atualizar status",IF(AND($F2849="Compareceu",$P2849&gt;0.005),"Cobrar",IF($F2849="Faltou","Falta: reagendar","")))))</f>
        <v>0</v>
      </c>
      <c r="T2849" s="29">
        <f>IF($A2849="","",DATE(YEAR($A2849),MONTH($A2849),1))</f>
        <v>0</v>
      </c>
      <c r="U2849" s="30">
        <f>IF($S2849="CONFIRMAR",MAX($U$4:$U2848)+1,"")</f>
        <v>0</v>
      </c>
      <c r="V2849" s="30">
        <f>IF(AND($R2849="Não",$Q2849&lt;&gt;"",$Q2849&lt;=Hoje+JanelaRet,$Q2849&gt;=Hoje-60),MAX($V$4:$V2848)+1,"")</f>
        <v>0</v>
      </c>
    </row>
    <row r="2850" spans="1:22">
      <c r="A2850" s="16"/>
      <c r="B2850" s="23"/>
      <c r="C2850" s="15"/>
      <c r="D2850" s="15"/>
      <c r="E2850" s="15"/>
      <c r="F2850" s="24"/>
      <c r="G2850" s="17"/>
      <c r="H2850" s="17"/>
      <c r="I2850" s="15"/>
      <c r="J2850" s="25">
        <f>IF($D2850="","",IFERROR(INDEX(PacNome,MATCH($D2850,PacCod,0)),"Paciente não cadastrado"))</f>
        <v>0</v>
      </c>
      <c r="K2850" s="26">
        <f>IF($D2850="","",IFERROR(INDEX(PacConv,MATCH($D2850,PacCod,0))&amp;"",""))</f>
        <v>0</v>
      </c>
      <c r="L2850" s="26">
        <f>IF($A2850="","",CHOOSE(WEEKDAY($A2850,2),"Seg","Ter","Qua","Qui","Sex","Sáb","Dom"))</f>
        <v>0</v>
      </c>
      <c r="M2850" s="27">
        <f>IF($E2850="","",IF($G2850&lt;&gt;"",$G2850,IFERROR(INDEX(ProcValor,MATCH($E2850,ProcNome,0)),0)))</f>
        <v>0</v>
      </c>
      <c r="N2850" s="27">
        <f>IF($M2850="","",IF($F2850="Compareceu",$M2850,0))</f>
        <v>0</v>
      </c>
      <c r="O2850" s="27">
        <f>IF($M2850="","",IF($F2850="Faltou",$M2850,0))</f>
        <v>0</v>
      </c>
      <c r="P2850" s="27">
        <f>IF($M2850="","",IF($F2850="Compareceu",MAX(0,$M2850-N($H2850)),0))</f>
        <v>0</v>
      </c>
      <c r="Q2850" s="19">
        <f>IF(AND($F2850="Compareceu",$E2850&lt;&gt;"",$A2850&lt;&gt;""),IF(IFERROR(INDEX(ProcRet,MATCH($E2850,ProcNome,0)),0)&gt;0,$A2850+INDEX(ProcRet,MATCH($E2850,ProcNome,0)),""),"")</f>
        <v>0</v>
      </c>
      <c r="R2850" s="26">
        <f>IF($Q2850="","",IF(COUNTIFS(AgPac,$D2850,AgData,"&gt;"&amp;$A2850,AgStatus,"&lt;&gt;Cancelado",AgStatus,"&lt;&gt;Remarcado")&gt;0,"Sim","Não"))</f>
        <v>0</v>
      </c>
      <c r="S2850" s="28">
        <f>IF($A2850="","",IF(AND($F2850="Agendado",$A2850-Hoje&gt;=0,$A2850-Hoje&lt;=DiasConf),"CONFIRMAR",IF(AND($A2850&lt;Hoje,OR($F2850="Agendado",$F2850="Confirmado")),"Atualizar status",IF(AND($F2850="Compareceu",$P2850&gt;0.005),"Cobrar",IF($F2850="Faltou","Falta: reagendar","")))))</f>
        <v>0</v>
      </c>
      <c r="T2850" s="29">
        <f>IF($A2850="","",DATE(YEAR($A2850),MONTH($A2850),1))</f>
        <v>0</v>
      </c>
      <c r="U2850" s="30">
        <f>IF($S2850="CONFIRMAR",MAX($U$4:$U2849)+1,"")</f>
        <v>0</v>
      </c>
      <c r="V2850" s="30">
        <f>IF(AND($R2850="Não",$Q2850&lt;&gt;"",$Q2850&lt;=Hoje+JanelaRet,$Q2850&gt;=Hoje-60),MAX($V$4:$V2849)+1,"")</f>
        <v>0</v>
      </c>
    </row>
    <row r="2851" spans="1:22">
      <c r="A2851" s="16"/>
      <c r="B2851" s="23"/>
      <c r="C2851" s="15"/>
      <c r="D2851" s="15"/>
      <c r="E2851" s="15"/>
      <c r="F2851" s="24"/>
      <c r="G2851" s="17"/>
      <c r="H2851" s="17"/>
      <c r="I2851" s="15"/>
      <c r="J2851" s="25">
        <f>IF($D2851="","",IFERROR(INDEX(PacNome,MATCH($D2851,PacCod,0)),"Paciente não cadastrado"))</f>
        <v>0</v>
      </c>
      <c r="K2851" s="26">
        <f>IF($D2851="","",IFERROR(INDEX(PacConv,MATCH($D2851,PacCod,0))&amp;"",""))</f>
        <v>0</v>
      </c>
      <c r="L2851" s="26">
        <f>IF($A2851="","",CHOOSE(WEEKDAY($A2851,2),"Seg","Ter","Qua","Qui","Sex","Sáb","Dom"))</f>
        <v>0</v>
      </c>
      <c r="M2851" s="27">
        <f>IF($E2851="","",IF($G2851&lt;&gt;"",$G2851,IFERROR(INDEX(ProcValor,MATCH($E2851,ProcNome,0)),0)))</f>
        <v>0</v>
      </c>
      <c r="N2851" s="27">
        <f>IF($M2851="","",IF($F2851="Compareceu",$M2851,0))</f>
        <v>0</v>
      </c>
      <c r="O2851" s="27">
        <f>IF($M2851="","",IF($F2851="Faltou",$M2851,0))</f>
        <v>0</v>
      </c>
      <c r="P2851" s="27">
        <f>IF($M2851="","",IF($F2851="Compareceu",MAX(0,$M2851-N($H2851)),0))</f>
        <v>0</v>
      </c>
      <c r="Q2851" s="19">
        <f>IF(AND($F2851="Compareceu",$E2851&lt;&gt;"",$A2851&lt;&gt;""),IF(IFERROR(INDEX(ProcRet,MATCH($E2851,ProcNome,0)),0)&gt;0,$A2851+INDEX(ProcRet,MATCH($E2851,ProcNome,0)),""),"")</f>
        <v>0</v>
      </c>
      <c r="R2851" s="26">
        <f>IF($Q2851="","",IF(COUNTIFS(AgPac,$D2851,AgData,"&gt;"&amp;$A2851,AgStatus,"&lt;&gt;Cancelado",AgStatus,"&lt;&gt;Remarcado")&gt;0,"Sim","Não"))</f>
        <v>0</v>
      </c>
      <c r="S2851" s="28">
        <f>IF($A2851="","",IF(AND($F2851="Agendado",$A2851-Hoje&gt;=0,$A2851-Hoje&lt;=DiasConf),"CONFIRMAR",IF(AND($A2851&lt;Hoje,OR($F2851="Agendado",$F2851="Confirmado")),"Atualizar status",IF(AND($F2851="Compareceu",$P2851&gt;0.005),"Cobrar",IF($F2851="Faltou","Falta: reagendar","")))))</f>
        <v>0</v>
      </c>
      <c r="T2851" s="29">
        <f>IF($A2851="","",DATE(YEAR($A2851),MONTH($A2851),1))</f>
        <v>0</v>
      </c>
      <c r="U2851" s="30">
        <f>IF($S2851="CONFIRMAR",MAX($U$4:$U2850)+1,"")</f>
        <v>0</v>
      </c>
      <c r="V2851" s="30">
        <f>IF(AND($R2851="Não",$Q2851&lt;&gt;"",$Q2851&lt;=Hoje+JanelaRet,$Q2851&gt;=Hoje-60),MAX($V$4:$V2850)+1,"")</f>
        <v>0</v>
      </c>
    </row>
    <row r="2852" spans="1:22">
      <c r="A2852" s="16"/>
      <c r="B2852" s="23"/>
      <c r="C2852" s="15"/>
      <c r="D2852" s="15"/>
      <c r="E2852" s="15"/>
      <c r="F2852" s="24"/>
      <c r="G2852" s="17"/>
      <c r="H2852" s="17"/>
      <c r="I2852" s="15"/>
      <c r="J2852" s="25">
        <f>IF($D2852="","",IFERROR(INDEX(PacNome,MATCH($D2852,PacCod,0)),"Paciente não cadastrado"))</f>
        <v>0</v>
      </c>
      <c r="K2852" s="26">
        <f>IF($D2852="","",IFERROR(INDEX(PacConv,MATCH($D2852,PacCod,0))&amp;"",""))</f>
        <v>0</v>
      </c>
      <c r="L2852" s="26">
        <f>IF($A2852="","",CHOOSE(WEEKDAY($A2852,2),"Seg","Ter","Qua","Qui","Sex","Sáb","Dom"))</f>
        <v>0</v>
      </c>
      <c r="M2852" s="27">
        <f>IF($E2852="","",IF($G2852&lt;&gt;"",$G2852,IFERROR(INDEX(ProcValor,MATCH($E2852,ProcNome,0)),0)))</f>
        <v>0</v>
      </c>
      <c r="N2852" s="27">
        <f>IF($M2852="","",IF($F2852="Compareceu",$M2852,0))</f>
        <v>0</v>
      </c>
      <c r="O2852" s="27">
        <f>IF($M2852="","",IF($F2852="Faltou",$M2852,0))</f>
        <v>0</v>
      </c>
      <c r="P2852" s="27">
        <f>IF($M2852="","",IF($F2852="Compareceu",MAX(0,$M2852-N($H2852)),0))</f>
        <v>0</v>
      </c>
      <c r="Q2852" s="19">
        <f>IF(AND($F2852="Compareceu",$E2852&lt;&gt;"",$A2852&lt;&gt;""),IF(IFERROR(INDEX(ProcRet,MATCH($E2852,ProcNome,0)),0)&gt;0,$A2852+INDEX(ProcRet,MATCH($E2852,ProcNome,0)),""),"")</f>
        <v>0</v>
      </c>
      <c r="R2852" s="26">
        <f>IF($Q2852="","",IF(COUNTIFS(AgPac,$D2852,AgData,"&gt;"&amp;$A2852,AgStatus,"&lt;&gt;Cancelado",AgStatus,"&lt;&gt;Remarcado")&gt;0,"Sim","Não"))</f>
        <v>0</v>
      </c>
      <c r="S2852" s="28">
        <f>IF($A2852="","",IF(AND($F2852="Agendado",$A2852-Hoje&gt;=0,$A2852-Hoje&lt;=DiasConf),"CONFIRMAR",IF(AND($A2852&lt;Hoje,OR($F2852="Agendado",$F2852="Confirmado")),"Atualizar status",IF(AND($F2852="Compareceu",$P2852&gt;0.005),"Cobrar",IF($F2852="Faltou","Falta: reagendar","")))))</f>
        <v>0</v>
      </c>
      <c r="T2852" s="29">
        <f>IF($A2852="","",DATE(YEAR($A2852),MONTH($A2852),1))</f>
        <v>0</v>
      </c>
      <c r="U2852" s="30">
        <f>IF($S2852="CONFIRMAR",MAX($U$4:$U2851)+1,"")</f>
        <v>0</v>
      </c>
      <c r="V2852" s="30">
        <f>IF(AND($R2852="Não",$Q2852&lt;&gt;"",$Q2852&lt;=Hoje+JanelaRet,$Q2852&gt;=Hoje-60),MAX($V$4:$V2851)+1,"")</f>
        <v>0</v>
      </c>
    </row>
    <row r="2853" spans="1:22">
      <c r="A2853" s="16"/>
      <c r="B2853" s="23"/>
      <c r="C2853" s="15"/>
      <c r="D2853" s="15"/>
      <c r="E2853" s="15"/>
      <c r="F2853" s="24"/>
      <c r="G2853" s="17"/>
      <c r="H2853" s="17"/>
      <c r="I2853" s="15"/>
      <c r="J2853" s="25">
        <f>IF($D2853="","",IFERROR(INDEX(PacNome,MATCH($D2853,PacCod,0)),"Paciente não cadastrado"))</f>
        <v>0</v>
      </c>
      <c r="K2853" s="26">
        <f>IF($D2853="","",IFERROR(INDEX(PacConv,MATCH($D2853,PacCod,0))&amp;"",""))</f>
        <v>0</v>
      </c>
      <c r="L2853" s="26">
        <f>IF($A2853="","",CHOOSE(WEEKDAY($A2853,2),"Seg","Ter","Qua","Qui","Sex","Sáb","Dom"))</f>
        <v>0</v>
      </c>
      <c r="M2853" s="27">
        <f>IF($E2853="","",IF($G2853&lt;&gt;"",$G2853,IFERROR(INDEX(ProcValor,MATCH($E2853,ProcNome,0)),0)))</f>
        <v>0</v>
      </c>
      <c r="N2853" s="27">
        <f>IF($M2853="","",IF($F2853="Compareceu",$M2853,0))</f>
        <v>0</v>
      </c>
      <c r="O2853" s="27">
        <f>IF($M2853="","",IF($F2853="Faltou",$M2853,0))</f>
        <v>0</v>
      </c>
      <c r="P2853" s="27">
        <f>IF($M2853="","",IF($F2853="Compareceu",MAX(0,$M2853-N($H2853)),0))</f>
        <v>0</v>
      </c>
      <c r="Q2853" s="19">
        <f>IF(AND($F2853="Compareceu",$E2853&lt;&gt;"",$A2853&lt;&gt;""),IF(IFERROR(INDEX(ProcRet,MATCH($E2853,ProcNome,0)),0)&gt;0,$A2853+INDEX(ProcRet,MATCH($E2853,ProcNome,0)),""),"")</f>
        <v>0</v>
      </c>
      <c r="R2853" s="26">
        <f>IF($Q2853="","",IF(COUNTIFS(AgPac,$D2853,AgData,"&gt;"&amp;$A2853,AgStatus,"&lt;&gt;Cancelado",AgStatus,"&lt;&gt;Remarcado")&gt;0,"Sim","Não"))</f>
        <v>0</v>
      </c>
      <c r="S2853" s="28">
        <f>IF($A2853="","",IF(AND($F2853="Agendado",$A2853-Hoje&gt;=0,$A2853-Hoje&lt;=DiasConf),"CONFIRMAR",IF(AND($A2853&lt;Hoje,OR($F2853="Agendado",$F2853="Confirmado")),"Atualizar status",IF(AND($F2853="Compareceu",$P2853&gt;0.005),"Cobrar",IF($F2853="Faltou","Falta: reagendar","")))))</f>
        <v>0</v>
      </c>
      <c r="T2853" s="29">
        <f>IF($A2853="","",DATE(YEAR($A2853),MONTH($A2853),1))</f>
        <v>0</v>
      </c>
      <c r="U2853" s="30">
        <f>IF($S2853="CONFIRMAR",MAX($U$4:$U2852)+1,"")</f>
        <v>0</v>
      </c>
      <c r="V2853" s="30">
        <f>IF(AND($R2853="Não",$Q2853&lt;&gt;"",$Q2853&lt;=Hoje+JanelaRet,$Q2853&gt;=Hoje-60),MAX($V$4:$V2852)+1,"")</f>
        <v>0</v>
      </c>
    </row>
    <row r="2854" spans="1:22">
      <c r="A2854" s="16"/>
      <c r="B2854" s="23"/>
      <c r="C2854" s="15"/>
      <c r="D2854" s="15"/>
      <c r="E2854" s="15"/>
      <c r="F2854" s="24"/>
      <c r="G2854" s="17"/>
      <c r="H2854" s="17"/>
      <c r="I2854" s="15"/>
      <c r="J2854" s="25">
        <f>IF($D2854="","",IFERROR(INDEX(PacNome,MATCH($D2854,PacCod,0)),"Paciente não cadastrado"))</f>
        <v>0</v>
      </c>
      <c r="K2854" s="26">
        <f>IF($D2854="","",IFERROR(INDEX(PacConv,MATCH($D2854,PacCod,0))&amp;"",""))</f>
        <v>0</v>
      </c>
      <c r="L2854" s="26">
        <f>IF($A2854="","",CHOOSE(WEEKDAY($A2854,2),"Seg","Ter","Qua","Qui","Sex","Sáb","Dom"))</f>
        <v>0</v>
      </c>
      <c r="M2854" s="27">
        <f>IF($E2854="","",IF($G2854&lt;&gt;"",$G2854,IFERROR(INDEX(ProcValor,MATCH($E2854,ProcNome,0)),0)))</f>
        <v>0</v>
      </c>
      <c r="N2854" s="27">
        <f>IF($M2854="","",IF($F2854="Compareceu",$M2854,0))</f>
        <v>0</v>
      </c>
      <c r="O2854" s="27">
        <f>IF($M2854="","",IF($F2854="Faltou",$M2854,0))</f>
        <v>0</v>
      </c>
      <c r="P2854" s="27">
        <f>IF($M2854="","",IF($F2854="Compareceu",MAX(0,$M2854-N($H2854)),0))</f>
        <v>0</v>
      </c>
      <c r="Q2854" s="19">
        <f>IF(AND($F2854="Compareceu",$E2854&lt;&gt;"",$A2854&lt;&gt;""),IF(IFERROR(INDEX(ProcRet,MATCH($E2854,ProcNome,0)),0)&gt;0,$A2854+INDEX(ProcRet,MATCH($E2854,ProcNome,0)),""),"")</f>
        <v>0</v>
      </c>
      <c r="R2854" s="26">
        <f>IF($Q2854="","",IF(COUNTIFS(AgPac,$D2854,AgData,"&gt;"&amp;$A2854,AgStatus,"&lt;&gt;Cancelado",AgStatus,"&lt;&gt;Remarcado")&gt;0,"Sim","Não"))</f>
        <v>0</v>
      </c>
      <c r="S2854" s="28">
        <f>IF($A2854="","",IF(AND($F2854="Agendado",$A2854-Hoje&gt;=0,$A2854-Hoje&lt;=DiasConf),"CONFIRMAR",IF(AND($A2854&lt;Hoje,OR($F2854="Agendado",$F2854="Confirmado")),"Atualizar status",IF(AND($F2854="Compareceu",$P2854&gt;0.005),"Cobrar",IF($F2854="Faltou","Falta: reagendar","")))))</f>
        <v>0</v>
      </c>
      <c r="T2854" s="29">
        <f>IF($A2854="","",DATE(YEAR($A2854),MONTH($A2854),1))</f>
        <v>0</v>
      </c>
      <c r="U2854" s="30">
        <f>IF($S2854="CONFIRMAR",MAX($U$4:$U2853)+1,"")</f>
        <v>0</v>
      </c>
      <c r="V2854" s="30">
        <f>IF(AND($R2854="Não",$Q2854&lt;&gt;"",$Q2854&lt;=Hoje+JanelaRet,$Q2854&gt;=Hoje-60),MAX($V$4:$V2853)+1,"")</f>
        <v>0</v>
      </c>
    </row>
    <row r="2855" spans="1:22">
      <c r="A2855" s="16"/>
      <c r="B2855" s="23"/>
      <c r="C2855" s="15"/>
      <c r="D2855" s="15"/>
      <c r="E2855" s="15"/>
      <c r="F2855" s="24"/>
      <c r="G2855" s="17"/>
      <c r="H2855" s="17"/>
      <c r="I2855" s="15"/>
      <c r="J2855" s="25">
        <f>IF($D2855="","",IFERROR(INDEX(PacNome,MATCH($D2855,PacCod,0)),"Paciente não cadastrado"))</f>
        <v>0</v>
      </c>
      <c r="K2855" s="26">
        <f>IF($D2855="","",IFERROR(INDEX(PacConv,MATCH($D2855,PacCod,0))&amp;"",""))</f>
        <v>0</v>
      </c>
      <c r="L2855" s="26">
        <f>IF($A2855="","",CHOOSE(WEEKDAY($A2855,2),"Seg","Ter","Qua","Qui","Sex","Sáb","Dom"))</f>
        <v>0</v>
      </c>
      <c r="M2855" s="27">
        <f>IF($E2855="","",IF($G2855&lt;&gt;"",$G2855,IFERROR(INDEX(ProcValor,MATCH($E2855,ProcNome,0)),0)))</f>
        <v>0</v>
      </c>
      <c r="N2855" s="27">
        <f>IF($M2855="","",IF($F2855="Compareceu",$M2855,0))</f>
        <v>0</v>
      </c>
      <c r="O2855" s="27">
        <f>IF($M2855="","",IF($F2855="Faltou",$M2855,0))</f>
        <v>0</v>
      </c>
      <c r="P2855" s="27">
        <f>IF($M2855="","",IF($F2855="Compareceu",MAX(0,$M2855-N($H2855)),0))</f>
        <v>0</v>
      </c>
      <c r="Q2855" s="19">
        <f>IF(AND($F2855="Compareceu",$E2855&lt;&gt;"",$A2855&lt;&gt;""),IF(IFERROR(INDEX(ProcRet,MATCH($E2855,ProcNome,0)),0)&gt;0,$A2855+INDEX(ProcRet,MATCH($E2855,ProcNome,0)),""),"")</f>
        <v>0</v>
      </c>
      <c r="R2855" s="26">
        <f>IF($Q2855="","",IF(COUNTIFS(AgPac,$D2855,AgData,"&gt;"&amp;$A2855,AgStatus,"&lt;&gt;Cancelado",AgStatus,"&lt;&gt;Remarcado")&gt;0,"Sim","Não"))</f>
        <v>0</v>
      </c>
      <c r="S2855" s="28">
        <f>IF($A2855="","",IF(AND($F2855="Agendado",$A2855-Hoje&gt;=0,$A2855-Hoje&lt;=DiasConf),"CONFIRMAR",IF(AND($A2855&lt;Hoje,OR($F2855="Agendado",$F2855="Confirmado")),"Atualizar status",IF(AND($F2855="Compareceu",$P2855&gt;0.005),"Cobrar",IF($F2855="Faltou","Falta: reagendar","")))))</f>
        <v>0</v>
      </c>
      <c r="T2855" s="29">
        <f>IF($A2855="","",DATE(YEAR($A2855),MONTH($A2855),1))</f>
        <v>0</v>
      </c>
      <c r="U2855" s="30">
        <f>IF($S2855="CONFIRMAR",MAX($U$4:$U2854)+1,"")</f>
        <v>0</v>
      </c>
      <c r="V2855" s="30">
        <f>IF(AND($R2855="Não",$Q2855&lt;&gt;"",$Q2855&lt;=Hoje+JanelaRet,$Q2855&gt;=Hoje-60),MAX($V$4:$V2854)+1,"")</f>
        <v>0</v>
      </c>
    </row>
    <row r="2856" spans="1:22">
      <c r="A2856" s="16"/>
      <c r="B2856" s="23"/>
      <c r="C2856" s="15"/>
      <c r="D2856" s="15"/>
      <c r="E2856" s="15"/>
      <c r="F2856" s="24"/>
      <c r="G2856" s="17"/>
      <c r="H2856" s="17"/>
      <c r="I2856" s="15"/>
      <c r="J2856" s="25">
        <f>IF($D2856="","",IFERROR(INDEX(PacNome,MATCH($D2856,PacCod,0)),"Paciente não cadastrado"))</f>
        <v>0</v>
      </c>
      <c r="K2856" s="26">
        <f>IF($D2856="","",IFERROR(INDEX(PacConv,MATCH($D2856,PacCod,0))&amp;"",""))</f>
        <v>0</v>
      </c>
      <c r="L2856" s="26">
        <f>IF($A2856="","",CHOOSE(WEEKDAY($A2856,2),"Seg","Ter","Qua","Qui","Sex","Sáb","Dom"))</f>
        <v>0</v>
      </c>
      <c r="M2856" s="27">
        <f>IF($E2856="","",IF($G2856&lt;&gt;"",$G2856,IFERROR(INDEX(ProcValor,MATCH($E2856,ProcNome,0)),0)))</f>
        <v>0</v>
      </c>
      <c r="N2856" s="27">
        <f>IF($M2856="","",IF($F2856="Compareceu",$M2856,0))</f>
        <v>0</v>
      </c>
      <c r="O2856" s="27">
        <f>IF($M2856="","",IF($F2856="Faltou",$M2856,0))</f>
        <v>0</v>
      </c>
      <c r="P2856" s="27">
        <f>IF($M2856="","",IF($F2856="Compareceu",MAX(0,$M2856-N($H2856)),0))</f>
        <v>0</v>
      </c>
      <c r="Q2856" s="19">
        <f>IF(AND($F2856="Compareceu",$E2856&lt;&gt;"",$A2856&lt;&gt;""),IF(IFERROR(INDEX(ProcRet,MATCH($E2856,ProcNome,0)),0)&gt;0,$A2856+INDEX(ProcRet,MATCH($E2856,ProcNome,0)),""),"")</f>
        <v>0</v>
      </c>
      <c r="R2856" s="26">
        <f>IF($Q2856="","",IF(COUNTIFS(AgPac,$D2856,AgData,"&gt;"&amp;$A2856,AgStatus,"&lt;&gt;Cancelado",AgStatus,"&lt;&gt;Remarcado")&gt;0,"Sim","Não"))</f>
        <v>0</v>
      </c>
      <c r="S2856" s="28">
        <f>IF($A2856="","",IF(AND($F2856="Agendado",$A2856-Hoje&gt;=0,$A2856-Hoje&lt;=DiasConf),"CONFIRMAR",IF(AND($A2856&lt;Hoje,OR($F2856="Agendado",$F2856="Confirmado")),"Atualizar status",IF(AND($F2856="Compareceu",$P2856&gt;0.005),"Cobrar",IF($F2856="Faltou","Falta: reagendar","")))))</f>
        <v>0</v>
      </c>
      <c r="T2856" s="29">
        <f>IF($A2856="","",DATE(YEAR($A2856),MONTH($A2856),1))</f>
        <v>0</v>
      </c>
      <c r="U2856" s="30">
        <f>IF($S2856="CONFIRMAR",MAX($U$4:$U2855)+1,"")</f>
        <v>0</v>
      </c>
      <c r="V2856" s="30">
        <f>IF(AND($R2856="Não",$Q2856&lt;&gt;"",$Q2856&lt;=Hoje+JanelaRet,$Q2856&gt;=Hoje-60),MAX($V$4:$V2855)+1,"")</f>
        <v>0</v>
      </c>
    </row>
    <row r="2857" spans="1:22">
      <c r="A2857" s="16"/>
      <c r="B2857" s="23"/>
      <c r="C2857" s="15"/>
      <c r="D2857" s="15"/>
      <c r="E2857" s="15"/>
      <c r="F2857" s="24"/>
      <c r="G2857" s="17"/>
      <c r="H2857" s="17"/>
      <c r="I2857" s="15"/>
      <c r="J2857" s="25">
        <f>IF($D2857="","",IFERROR(INDEX(PacNome,MATCH($D2857,PacCod,0)),"Paciente não cadastrado"))</f>
        <v>0</v>
      </c>
      <c r="K2857" s="26">
        <f>IF($D2857="","",IFERROR(INDEX(PacConv,MATCH($D2857,PacCod,0))&amp;"",""))</f>
        <v>0</v>
      </c>
      <c r="L2857" s="26">
        <f>IF($A2857="","",CHOOSE(WEEKDAY($A2857,2),"Seg","Ter","Qua","Qui","Sex","Sáb","Dom"))</f>
        <v>0</v>
      </c>
      <c r="M2857" s="27">
        <f>IF($E2857="","",IF($G2857&lt;&gt;"",$G2857,IFERROR(INDEX(ProcValor,MATCH($E2857,ProcNome,0)),0)))</f>
        <v>0</v>
      </c>
      <c r="N2857" s="27">
        <f>IF($M2857="","",IF($F2857="Compareceu",$M2857,0))</f>
        <v>0</v>
      </c>
      <c r="O2857" s="27">
        <f>IF($M2857="","",IF($F2857="Faltou",$M2857,0))</f>
        <v>0</v>
      </c>
      <c r="P2857" s="27">
        <f>IF($M2857="","",IF($F2857="Compareceu",MAX(0,$M2857-N($H2857)),0))</f>
        <v>0</v>
      </c>
      <c r="Q2857" s="19">
        <f>IF(AND($F2857="Compareceu",$E2857&lt;&gt;"",$A2857&lt;&gt;""),IF(IFERROR(INDEX(ProcRet,MATCH($E2857,ProcNome,0)),0)&gt;0,$A2857+INDEX(ProcRet,MATCH($E2857,ProcNome,0)),""),"")</f>
        <v>0</v>
      </c>
      <c r="R2857" s="26">
        <f>IF($Q2857="","",IF(COUNTIFS(AgPac,$D2857,AgData,"&gt;"&amp;$A2857,AgStatus,"&lt;&gt;Cancelado",AgStatus,"&lt;&gt;Remarcado")&gt;0,"Sim","Não"))</f>
        <v>0</v>
      </c>
      <c r="S2857" s="28">
        <f>IF($A2857="","",IF(AND($F2857="Agendado",$A2857-Hoje&gt;=0,$A2857-Hoje&lt;=DiasConf),"CONFIRMAR",IF(AND($A2857&lt;Hoje,OR($F2857="Agendado",$F2857="Confirmado")),"Atualizar status",IF(AND($F2857="Compareceu",$P2857&gt;0.005),"Cobrar",IF($F2857="Faltou","Falta: reagendar","")))))</f>
        <v>0</v>
      </c>
      <c r="T2857" s="29">
        <f>IF($A2857="","",DATE(YEAR($A2857),MONTH($A2857),1))</f>
        <v>0</v>
      </c>
      <c r="U2857" s="30">
        <f>IF($S2857="CONFIRMAR",MAX($U$4:$U2856)+1,"")</f>
        <v>0</v>
      </c>
      <c r="V2857" s="30">
        <f>IF(AND($R2857="Não",$Q2857&lt;&gt;"",$Q2857&lt;=Hoje+JanelaRet,$Q2857&gt;=Hoje-60),MAX($V$4:$V2856)+1,"")</f>
        <v>0</v>
      </c>
    </row>
    <row r="2858" spans="1:22">
      <c r="A2858" s="16"/>
      <c r="B2858" s="23"/>
      <c r="C2858" s="15"/>
      <c r="D2858" s="15"/>
      <c r="E2858" s="15"/>
      <c r="F2858" s="24"/>
      <c r="G2858" s="17"/>
      <c r="H2858" s="17"/>
      <c r="I2858" s="15"/>
      <c r="J2858" s="25">
        <f>IF($D2858="","",IFERROR(INDEX(PacNome,MATCH($D2858,PacCod,0)),"Paciente não cadastrado"))</f>
        <v>0</v>
      </c>
      <c r="K2858" s="26">
        <f>IF($D2858="","",IFERROR(INDEX(PacConv,MATCH($D2858,PacCod,0))&amp;"",""))</f>
        <v>0</v>
      </c>
      <c r="L2858" s="26">
        <f>IF($A2858="","",CHOOSE(WEEKDAY($A2858,2),"Seg","Ter","Qua","Qui","Sex","Sáb","Dom"))</f>
        <v>0</v>
      </c>
      <c r="M2858" s="27">
        <f>IF($E2858="","",IF($G2858&lt;&gt;"",$G2858,IFERROR(INDEX(ProcValor,MATCH($E2858,ProcNome,0)),0)))</f>
        <v>0</v>
      </c>
      <c r="N2858" s="27">
        <f>IF($M2858="","",IF($F2858="Compareceu",$M2858,0))</f>
        <v>0</v>
      </c>
      <c r="O2858" s="27">
        <f>IF($M2858="","",IF($F2858="Faltou",$M2858,0))</f>
        <v>0</v>
      </c>
      <c r="P2858" s="27">
        <f>IF($M2858="","",IF($F2858="Compareceu",MAX(0,$M2858-N($H2858)),0))</f>
        <v>0</v>
      </c>
      <c r="Q2858" s="19">
        <f>IF(AND($F2858="Compareceu",$E2858&lt;&gt;"",$A2858&lt;&gt;""),IF(IFERROR(INDEX(ProcRet,MATCH($E2858,ProcNome,0)),0)&gt;0,$A2858+INDEX(ProcRet,MATCH($E2858,ProcNome,0)),""),"")</f>
        <v>0</v>
      </c>
      <c r="R2858" s="26">
        <f>IF($Q2858="","",IF(COUNTIFS(AgPac,$D2858,AgData,"&gt;"&amp;$A2858,AgStatus,"&lt;&gt;Cancelado",AgStatus,"&lt;&gt;Remarcado")&gt;0,"Sim","Não"))</f>
        <v>0</v>
      </c>
      <c r="S2858" s="28">
        <f>IF($A2858="","",IF(AND($F2858="Agendado",$A2858-Hoje&gt;=0,$A2858-Hoje&lt;=DiasConf),"CONFIRMAR",IF(AND($A2858&lt;Hoje,OR($F2858="Agendado",$F2858="Confirmado")),"Atualizar status",IF(AND($F2858="Compareceu",$P2858&gt;0.005),"Cobrar",IF($F2858="Faltou","Falta: reagendar","")))))</f>
        <v>0</v>
      </c>
      <c r="T2858" s="29">
        <f>IF($A2858="","",DATE(YEAR($A2858),MONTH($A2858),1))</f>
        <v>0</v>
      </c>
      <c r="U2858" s="30">
        <f>IF($S2858="CONFIRMAR",MAX($U$4:$U2857)+1,"")</f>
        <v>0</v>
      </c>
      <c r="V2858" s="30">
        <f>IF(AND($R2858="Não",$Q2858&lt;&gt;"",$Q2858&lt;=Hoje+JanelaRet,$Q2858&gt;=Hoje-60),MAX($V$4:$V2857)+1,"")</f>
        <v>0</v>
      </c>
    </row>
    <row r="2859" spans="1:22">
      <c r="A2859" s="16"/>
      <c r="B2859" s="23"/>
      <c r="C2859" s="15"/>
      <c r="D2859" s="15"/>
      <c r="E2859" s="15"/>
      <c r="F2859" s="24"/>
      <c r="G2859" s="17"/>
      <c r="H2859" s="17"/>
      <c r="I2859" s="15"/>
      <c r="J2859" s="25">
        <f>IF($D2859="","",IFERROR(INDEX(PacNome,MATCH($D2859,PacCod,0)),"Paciente não cadastrado"))</f>
        <v>0</v>
      </c>
      <c r="K2859" s="26">
        <f>IF($D2859="","",IFERROR(INDEX(PacConv,MATCH($D2859,PacCod,0))&amp;"",""))</f>
        <v>0</v>
      </c>
      <c r="L2859" s="26">
        <f>IF($A2859="","",CHOOSE(WEEKDAY($A2859,2),"Seg","Ter","Qua","Qui","Sex","Sáb","Dom"))</f>
        <v>0</v>
      </c>
      <c r="M2859" s="27">
        <f>IF($E2859="","",IF($G2859&lt;&gt;"",$G2859,IFERROR(INDEX(ProcValor,MATCH($E2859,ProcNome,0)),0)))</f>
        <v>0</v>
      </c>
      <c r="N2859" s="27">
        <f>IF($M2859="","",IF($F2859="Compareceu",$M2859,0))</f>
        <v>0</v>
      </c>
      <c r="O2859" s="27">
        <f>IF($M2859="","",IF($F2859="Faltou",$M2859,0))</f>
        <v>0</v>
      </c>
      <c r="P2859" s="27">
        <f>IF($M2859="","",IF($F2859="Compareceu",MAX(0,$M2859-N($H2859)),0))</f>
        <v>0</v>
      </c>
      <c r="Q2859" s="19">
        <f>IF(AND($F2859="Compareceu",$E2859&lt;&gt;"",$A2859&lt;&gt;""),IF(IFERROR(INDEX(ProcRet,MATCH($E2859,ProcNome,0)),0)&gt;0,$A2859+INDEX(ProcRet,MATCH($E2859,ProcNome,0)),""),"")</f>
        <v>0</v>
      </c>
      <c r="R2859" s="26">
        <f>IF($Q2859="","",IF(COUNTIFS(AgPac,$D2859,AgData,"&gt;"&amp;$A2859,AgStatus,"&lt;&gt;Cancelado",AgStatus,"&lt;&gt;Remarcado")&gt;0,"Sim","Não"))</f>
        <v>0</v>
      </c>
      <c r="S2859" s="28">
        <f>IF($A2859="","",IF(AND($F2859="Agendado",$A2859-Hoje&gt;=0,$A2859-Hoje&lt;=DiasConf),"CONFIRMAR",IF(AND($A2859&lt;Hoje,OR($F2859="Agendado",$F2859="Confirmado")),"Atualizar status",IF(AND($F2859="Compareceu",$P2859&gt;0.005),"Cobrar",IF($F2859="Faltou","Falta: reagendar","")))))</f>
        <v>0</v>
      </c>
      <c r="T2859" s="29">
        <f>IF($A2859="","",DATE(YEAR($A2859),MONTH($A2859),1))</f>
        <v>0</v>
      </c>
      <c r="U2859" s="30">
        <f>IF($S2859="CONFIRMAR",MAX($U$4:$U2858)+1,"")</f>
        <v>0</v>
      </c>
      <c r="V2859" s="30">
        <f>IF(AND($R2859="Não",$Q2859&lt;&gt;"",$Q2859&lt;=Hoje+JanelaRet,$Q2859&gt;=Hoje-60),MAX($V$4:$V2858)+1,"")</f>
        <v>0</v>
      </c>
    </row>
    <row r="2860" spans="1:22">
      <c r="A2860" s="16"/>
      <c r="B2860" s="23"/>
      <c r="C2860" s="15"/>
      <c r="D2860" s="15"/>
      <c r="E2860" s="15"/>
      <c r="F2860" s="24"/>
      <c r="G2860" s="17"/>
      <c r="H2860" s="17"/>
      <c r="I2860" s="15"/>
      <c r="J2860" s="25">
        <f>IF($D2860="","",IFERROR(INDEX(PacNome,MATCH($D2860,PacCod,0)),"Paciente não cadastrado"))</f>
        <v>0</v>
      </c>
      <c r="K2860" s="26">
        <f>IF($D2860="","",IFERROR(INDEX(PacConv,MATCH($D2860,PacCod,0))&amp;"",""))</f>
        <v>0</v>
      </c>
      <c r="L2860" s="26">
        <f>IF($A2860="","",CHOOSE(WEEKDAY($A2860,2),"Seg","Ter","Qua","Qui","Sex","Sáb","Dom"))</f>
        <v>0</v>
      </c>
      <c r="M2860" s="27">
        <f>IF($E2860="","",IF($G2860&lt;&gt;"",$G2860,IFERROR(INDEX(ProcValor,MATCH($E2860,ProcNome,0)),0)))</f>
        <v>0</v>
      </c>
      <c r="N2860" s="27">
        <f>IF($M2860="","",IF($F2860="Compareceu",$M2860,0))</f>
        <v>0</v>
      </c>
      <c r="O2860" s="27">
        <f>IF($M2860="","",IF($F2860="Faltou",$M2860,0))</f>
        <v>0</v>
      </c>
      <c r="P2860" s="27">
        <f>IF($M2860="","",IF($F2860="Compareceu",MAX(0,$M2860-N($H2860)),0))</f>
        <v>0</v>
      </c>
      <c r="Q2860" s="19">
        <f>IF(AND($F2860="Compareceu",$E2860&lt;&gt;"",$A2860&lt;&gt;""),IF(IFERROR(INDEX(ProcRet,MATCH($E2860,ProcNome,0)),0)&gt;0,$A2860+INDEX(ProcRet,MATCH($E2860,ProcNome,0)),""),"")</f>
        <v>0</v>
      </c>
      <c r="R2860" s="26">
        <f>IF($Q2860="","",IF(COUNTIFS(AgPac,$D2860,AgData,"&gt;"&amp;$A2860,AgStatus,"&lt;&gt;Cancelado",AgStatus,"&lt;&gt;Remarcado")&gt;0,"Sim","Não"))</f>
        <v>0</v>
      </c>
      <c r="S2860" s="28">
        <f>IF($A2860="","",IF(AND($F2860="Agendado",$A2860-Hoje&gt;=0,$A2860-Hoje&lt;=DiasConf),"CONFIRMAR",IF(AND($A2860&lt;Hoje,OR($F2860="Agendado",$F2860="Confirmado")),"Atualizar status",IF(AND($F2860="Compareceu",$P2860&gt;0.005),"Cobrar",IF($F2860="Faltou","Falta: reagendar","")))))</f>
        <v>0</v>
      </c>
      <c r="T2860" s="29">
        <f>IF($A2860="","",DATE(YEAR($A2860),MONTH($A2860),1))</f>
        <v>0</v>
      </c>
      <c r="U2860" s="30">
        <f>IF($S2860="CONFIRMAR",MAX($U$4:$U2859)+1,"")</f>
        <v>0</v>
      </c>
      <c r="V2860" s="30">
        <f>IF(AND($R2860="Não",$Q2860&lt;&gt;"",$Q2860&lt;=Hoje+JanelaRet,$Q2860&gt;=Hoje-60),MAX($V$4:$V2859)+1,"")</f>
        <v>0</v>
      </c>
    </row>
    <row r="2861" spans="1:22">
      <c r="A2861" s="16"/>
      <c r="B2861" s="23"/>
      <c r="C2861" s="15"/>
      <c r="D2861" s="15"/>
      <c r="E2861" s="15"/>
      <c r="F2861" s="24"/>
      <c r="G2861" s="17"/>
      <c r="H2861" s="17"/>
      <c r="I2861" s="15"/>
      <c r="J2861" s="25">
        <f>IF($D2861="","",IFERROR(INDEX(PacNome,MATCH($D2861,PacCod,0)),"Paciente não cadastrado"))</f>
        <v>0</v>
      </c>
      <c r="K2861" s="26">
        <f>IF($D2861="","",IFERROR(INDEX(PacConv,MATCH($D2861,PacCod,0))&amp;"",""))</f>
        <v>0</v>
      </c>
      <c r="L2861" s="26">
        <f>IF($A2861="","",CHOOSE(WEEKDAY($A2861,2),"Seg","Ter","Qua","Qui","Sex","Sáb","Dom"))</f>
        <v>0</v>
      </c>
      <c r="M2861" s="27">
        <f>IF($E2861="","",IF($G2861&lt;&gt;"",$G2861,IFERROR(INDEX(ProcValor,MATCH($E2861,ProcNome,0)),0)))</f>
        <v>0</v>
      </c>
      <c r="N2861" s="27">
        <f>IF($M2861="","",IF($F2861="Compareceu",$M2861,0))</f>
        <v>0</v>
      </c>
      <c r="O2861" s="27">
        <f>IF($M2861="","",IF($F2861="Faltou",$M2861,0))</f>
        <v>0</v>
      </c>
      <c r="P2861" s="27">
        <f>IF($M2861="","",IF($F2861="Compareceu",MAX(0,$M2861-N($H2861)),0))</f>
        <v>0</v>
      </c>
      <c r="Q2861" s="19">
        <f>IF(AND($F2861="Compareceu",$E2861&lt;&gt;"",$A2861&lt;&gt;""),IF(IFERROR(INDEX(ProcRet,MATCH($E2861,ProcNome,0)),0)&gt;0,$A2861+INDEX(ProcRet,MATCH($E2861,ProcNome,0)),""),"")</f>
        <v>0</v>
      </c>
      <c r="R2861" s="26">
        <f>IF($Q2861="","",IF(COUNTIFS(AgPac,$D2861,AgData,"&gt;"&amp;$A2861,AgStatus,"&lt;&gt;Cancelado",AgStatus,"&lt;&gt;Remarcado")&gt;0,"Sim","Não"))</f>
        <v>0</v>
      </c>
      <c r="S2861" s="28">
        <f>IF($A2861="","",IF(AND($F2861="Agendado",$A2861-Hoje&gt;=0,$A2861-Hoje&lt;=DiasConf),"CONFIRMAR",IF(AND($A2861&lt;Hoje,OR($F2861="Agendado",$F2861="Confirmado")),"Atualizar status",IF(AND($F2861="Compareceu",$P2861&gt;0.005),"Cobrar",IF($F2861="Faltou","Falta: reagendar","")))))</f>
        <v>0</v>
      </c>
      <c r="T2861" s="29">
        <f>IF($A2861="","",DATE(YEAR($A2861),MONTH($A2861),1))</f>
        <v>0</v>
      </c>
      <c r="U2861" s="30">
        <f>IF($S2861="CONFIRMAR",MAX($U$4:$U2860)+1,"")</f>
        <v>0</v>
      </c>
      <c r="V2861" s="30">
        <f>IF(AND($R2861="Não",$Q2861&lt;&gt;"",$Q2861&lt;=Hoje+JanelaRet,$Q2861&gt;=Hoje-60),MAX($V$4:$V2860)+1,"")</f>
        <v>0</v>
      </c>
    </row>
    <row r="2862" spans="1:22">
      <c r="A2862" s="16"/>
      <c r="B2862" s="23"/>
      <c r="C2862" s="15"/>
      <c r="D2862" s="15"/>
      <c r="E2862" s="15"/>
      <c r="F2862" s="24"/>
      <c r="G2862" s="17"/>
      <c r="H2862" s="17"/>
      <c r="I2862" s="15"/>
      <c r="J2862" s="25">
        <f>IF($D2862="","",IFERROR(INDEX(PacNome,MATCH($D2862,PacCod,0)),"Paciente não cadastrado"))</f>
        <v>0</v>
      </c>
      <c r="K2862" s="26">
        <f>IF($D2862="","",IFERROR(INDEX(PacConv,MATCH($D2862,PacCod,0))&amp;"",""))</f>
        <v>0</v>
      </c>
      <c r="L2862" s="26">
        <f>IF($A2862="","",CHOOSE(WEEKDAY($A2862,2),"Seg","Ter","Qua","Qui","Sex","Sáb","Dom"))</f>
        <v>0</v>
      </c>
      <c r="M2862" s="27">
        <f>IF($E2862="","",IF($G2862&lt;&gt;"",$G2862,IFERROR(INDEX(ProcValor,MATCH($E2862,ProcNome,0)),0)))</f>
        <v>0</v>
      </c>
      <c r="N2862" s="27">
        <f>IF($M2862="","",IF($F2862="Compareceu",$M2862,0))</f>
        <v>0</v>
      </c>
      <c r="O2862" s="27">
        <f>IF($M2862="","",IF($F2862="Faltou",$M2862,0))</f>
        <v>0</v>
      </c>
      <c r="P2862" s="27">
        <f>IF($M2862="","",IF($F2862="Compareceu",MAX(0,$M2862-N($H2862)),0))</f>
        <v>0</v>
      </c>
      <c r="Q2862" s="19">
        <f>IF(AND($F2862="Compareceu",$E2862&lt;&gt;"",$A2862&lt;&gt;""),IF(IFERROR(INDEX(ProcRet,MATCH($E2862,ProcNome,0)),0)&gt;0,$A2862+INDEX(ProcRet,MATCH($E2862,ProcNome,0)),""),"")</f>
        <v>0</v>
      </c>
      <c r="R2862" s="26">
        <f>IF($Q2862="","",IF(COUNTIFS(AgPac,$D2862,AgData,"&gt;"&amp;$A2862,AgStatus,"&lt;&gt;Cancelado",AgStatus,"&lt;&gt;Remarcado")&gt;0,"Sim","Não"))</f>
        <v>0</v>
      </c>
      <c r="S2862" s="28">
        <f>IF($A2862="","",IF(AND($F2862="Agendado",$A2862-Hoje&gt;=0,$A2862-Hoje&lt;=DiasConf),"CONFIRMAR",IF(AND($A2862&lt;Hoje,OR($F2862="Agendado",$F2862="Confirmado")),"Atualizar status",IF(AND($F2862="Compareceu",$P2862&gt;0.005),"Cobrar",IF($F2862="Faltou","Falta: reagendar","")))))</f>
        <v>0</v>
      </c>
      <c r="T2862" s="29">
        <f>IF($A2862="","",DATE(YEAR($A2862),MONTH($A2862),1))</f>
        <v>0</v>
      </c>
      <c r="U2862" s="30">
        <f>IF($S2862="CONFIRMAR",MAX($U$4:$U2861)+1,"")</f>
        <v>0</v>
      </c>
      <c r="V2862" s="30">
        <f>IF(AND($R2862="Não",$Q2862&lt;&gt;"",$Q2862&lt;=Hoje+JanelaRet,$Q2862&gt;=Hoje-60),MAX($V$4:$V2861)+1,"")</f>
        <v>0</v>
      </c>
    </row>
    <row r="2863" spans="1:22">
      <c r="A2863" s="16"/>
      <c r="B2863" s="23"/>
      <c r="C2863" s="15"/>
      <c r="D2863" s="15"/>
      <c r="E2863" s="15"/>
      <c r="F2863" s="24"/>
      <c r="G2863" s="17"/>
      <c r="H2863" s="17"/>
      <c r="I2863" s="15"/>
      <c r="J2863" s="25">
        <f>IF($D2863="","",IFERROR(INDEX(PacNome,MATCH($D2863,PacCod,0)),"Paciente não cadastrado"))</f>
        <v>0</v>
      </c>
      <c r="K2863" s="26">
        <f>IF($D2863="","",IFERROR(INDEX(PacConv,MATCH($D2863,PacCod,0))&amp;"",""))</f>
        <v>0</v>
      </c>
      <c r="L2863" s="26">
        <f>IF($A2863="","",CHOOSE(WEEKDAY($A2863,2),"Seg","Ter","Qua","Qui","Sex","Sáb","Dom"))</f>
        <v>0</v>
      </c>
      <c r="M2863" s="27">
        <f>IF($E2863="","",IF($G2863&lt;&gt;"",$G2863,IFERROR(INDEX(ProcValor,MATCH($E2863,ProcNome,0)),0)))</f>
        <v>0</v>
      </c>
      <c r="N2863" s="27">
        <f>IF($M2863="","",IF($F2863="Compareceu",$M2863,0))</f>
        <v>0</v>
      </c>
      <c r="O2863" s="27">
        <f>IF($M2863="","",IF($F2863="Faltou",$M2863,0))</f>
        <v>0</v>
      </c>
      <c r="P2863" s="27">
        <f>IF($M2863="","",IF($F2863="Compareceu",MAX(0,$M2863-N($H2863)),0))</f>
        <v>0</v>
      </c>
      <c r="Q2863" s="19">
        <f>IF(AND($F2863="Compareceu",$E2863&lt;&gt;"",$A2863&lt;&gt;""),IF(IFERROR(INDEX(ProcRet,MATCH($E2863,ProcNome,0)),0)&gt;0,$A2863+INDEX(ProcRet,MATCH($E2863,ProcNome,0)),""),"")</f>
        <v>0</v>
      </c>
      <c r="R2863" s="26">
        <f>IF($Q2863="","",IF(COUNTIFS(AgPac,$D2863,AgData,"&gt;"&amp;$A2863,AgStatus,"&lt;&gt;Cancelado",AgStatus,"&lt;&gt;Remarcado")&gt;0,"Sim","Não"))</f>
        <v>0</v>
      </c>
      <c r="S2863" s="28">
        <f>IF($A2863="","",IF(AND($F2863="Agendado",$A2863-Hoje&gt;=0,$A2863-Hoje&lt;=DiasConf),"CONFIRMAR",IF(AND($A2863&lt;Hoje,OR($F2863="Agendado",$F2863="Confirmado")),"Atualizar status",IF(AND($F2863="Compareceu",$P2863&gt;0.005),"Cobrar",IF($F2863="Faltou","Falta: reagendar","")))))</f>
        <v>0</v>
      </c>
      <c r="T2863" s="29">
        <f>IF($A2863="","",DATE(YEAR($A2863),MONTH($A2863),1))</f>
        <v>0</v>
      </c>
      <c r="U2863" s="30">
        <f>IF($S2863="CONFIRMAR",MAX($U$4:$U2862)+1,"")</f>
        <v>0</v>
      </c>
      <c r="V2863" s="30">
        <f>IF(AND($R2863="Não",$Q2863&lt;&gt;"",$Q2863&lt;=Hoje+JanelaRet,$Q2863&gt;=Hoje-60),MAX($V$4:$V2862)+1,"")</f>
        <v>0</v>
      </c>
    </row>
    <row r="2864" spans="1:22">
      <c r="A2864" s="16"/>
      <c r="B2864" s="23"/>
      <c r="C2864" s="15"/>
      <c r="D2864" s="15"/>
      <c r="E2864" s="15"/>
      <c r="F2864" s="24"/>
      <c r="G2864" s="17"/>
      <c r="H2864" s="17"/>
      <c r="I2864" s="15"/>
      <c r="J2864" s="25">
        <f>IF($D2864="","",IFERROR(INDEX(PacNome,MATCH($D2864,PacCod,0)),"Paciente não cadastrado"))</f>
        <v>0</v>
      </c>
      <c r="K2864" s="26">
        <f>IF($D2864="","",IFERROR(INDEX(PacConv,MATCH($D2864,PacCod,0))&amp;"",""))</f>
        <v>0</v>
      </c>
      <c r="L2864" s="26">
        <f>IF($A2864="","",CHOOSE(WEEKDAY($A2864,2),"Seg","Ter","Qua","Qui","Sex","Sáb","Dom"))</f>
        <v>0</v>
      </c>
      <c r="M2864" s="27">
        <f>IF($E2864="","",IF($G2864&lt;&gt;"",$G2864,IFERROR(INDEX(ProcValor,MATCH($E2864,ProcNome,0)),0)))</f>
        <v>0</v>
      </c>
      <c r="N2864" s="27">
        <f>IF($M2864="","",IF($F2864="Compareceu",$M2864,0))</f>
        <v>0</v>
      </c>
      <c r="O2864" s="27">
        <f>IF($M2864="","",IF($F2864="Faltou",$M2864,0))</f>
        <v>0</v>
      </c>
      <c r="P2864" s="27">
        <f>IF($M2864="","",IF($F2864="Compareceu",MAX(0,$M2864-N($H2864)),0))</f>
        <v>0</v>
      </c>
      <c r="Q2864" s="19">
        <f>IF(AND($F2864="Compareceu",$E2864&lt;&gt;"",$A2864&lt;&gt;""),IF(IFERROR(INDEX(ProcRet,MATCH($E2864,ProcNome,0)),0)&gt;0,$A2864+INDEX(ProcRet,MATCH($E2864,ProcNome,0)),""),"")</f>
        <v>0</v>
      </c>
      <c r="R2864" s="26">
        <f>IF($Q2864="","",IF(COUNTIFS(AgPac,$D2864,AgData,"&gt;"&amp;$A2864,AgStatus,"&lt;&gt;Cancelado",AgStatus,"&lt;&gt;Remarcado")&gt;0,"Sim","Não"))</f>
        <v>0</v>
      </c>
      <c r="S2864" s="28">
        <f>IF($A2864="","",IF(AND($F2864="Agendado",$A2864-Hoje&gt;=0,$A2864-Hoje&lt;=DiasConf),"CONFIRMAR",IF(AND($A2864&lt;Hoje,OR($F2864="Agendado",$F2864="Confirmado")),"Atualizar status",IF(AND($F2864="Compareceu",$P2864&gt;0.005),"Cobrar",IF($F2864="Faltou","Falta: reagendar","")))))</f>
        <v>0</v>
      </c>
      <c r="T2864" s="29">
        <f>IF($A2864="","",DATE(YEAR($A2864),MONTH($A2864),1))</f>
        <v>0</v>
      </c>
      <c r="U2864" s="30">
        <f>IF($S2864="CONFIRMAR",MAX($U$4:$U2863)+1,"")</f>
        <v>0</v>
      </c>
      <c r="V2864" s="30">
        <f>IF(AND($R2864="Não",$Q2864&lt;&gt;"",$Q2864&lt;=Hoje+JanelaRet,$Q2864&gt;=Hoje-60),MAX($V$4:$V2863)+1,"")</f>
        <v>0</v>
      </c>
    </row>
    <row r="2865" spans="1:22">
      <c r="A2865" s="16"/>
      <c r="B2865" s="23"/>
      <c r="C2865" s="15"/>
      <c r="D2865" s="15"/>
      <c r="E2865" s="15"/>
      <c r="F2865" s="24"/>
      <c r="G2865" s="17"/>
      <c r="H2865" s="17"/>
      <c r="I2865" s="15"/>
      <c r="J2865" s="25">
        <f>IF($D2865="","",IFERROR(INDEX(PacNome,MATCH($D2865,PacCod,0)),"Paciente não cadastrado"))</f>
        <v>0</v>
      </c>
      <c r="K2865" s="26">
        <f>IF($D2865="","",IFERROR(INDEX(PacConv,MATCH($D2865,PacCod,0))&amp;"",""))</f>
        <v>0</v>
      </c>
      <c r="L2865" s="26">
        <f>IF($A2865="","",CHOOSE(WEEKDAY($A2865,2),"Seg","Ter","Qua","Qui","Sex","Sáb","Dom"))</f>
        <v>0</v>
      </c>
      <c r="M2865" s="27">
        <f>IF($E2865="","",IF($G2865&lt;&gt;"",$G2865,IFERROR(INDEX(ProcValor,MATCH($E2865,ProcNome,0)),0)))</f>
        <v>0</v>
      </c>
      <c r="N2865" s="27">
        <f>IF($M2865="","",IF($F2865="Compareceu",$M2865,0))</f>
        <v>0</v>
      </c>
      <c r="O2865" s="27">
        <f>IF($M2865="","",IF($F2865="Faltou",$M2865,0))</f>
        <v>0</v>
      </c>
      <c r="P2865" s="27">
        <f>IF($M2865="","",IF($F2865="Compareceu",MAX(0,$M2865-N($H2865)),0))</f>
        <v>0</v>
      </c>
      <c r="Q2865" s="19">
        <f>IF(AND($F2865="Compareceu",$E2865&lt;&gt;"",$A2865&lt;&gt;""),IF(IFERROR(INDEX(ProcRet,MATCH($E2865,ProcNome,0)),0)&gt;0,$A2865+INDEX(ProcRet,MATCH($E2865,ProcNome,0)),""),"")</f>
        <v>0</v>
      </c>
      <c r="R2865" s="26">
        <f>IF($Q2865="","",IF(COUNTIFS(AgPac,$D2865,AgData,"&gt;"&amp;$A2865,AgStatus,"&lt;&gt;Cancelado",AgStatus,"&lt;&gt;Remarcado")&gt;0,"Sim","Não"))</f>
        <v>0</v>
      </c>
      <c r="S2865" s="28">
        <f>IF($A2865="","",IF(AND($F2865="Agendado",$A2865-Hoje&gt;=0,$A2865-Hoje&lt;=DiasConf),"CONFIRMAR",IF(AND($A2865&lt;Hoje,OR($F2865="Agendado",$F2865="Confirmado")),"Atualizar status",IF(AND($F2865="Compareceu",$P2865&gt;0.005),"Cobrar",IF($F2865="Faltou","Falta: reagendar","")))))</f>
        <v>0</v>
      </c>
      <c r="T2865" s="29">
        <f>IF($A2865="","",DATE(YEAR($A2865),MONTH($A2865),1))</f>
        <v>0</v>
      </c>
      <c r="U2865" s="30">
        <f>IF($S2865="CONFIRMAR",MAX($U$4:$U2864)+1,"")</f>
        <v>0</v>
      </c>
      <c r="V2865" s="30">
        <f>IF(AND($R2865="Não",$Q2865&lt;&gt;"",$Q2865&lt;=Hoje+JanelaRet,$Q2865&gt;=Hoje-60),MAX($V$4:$V2864)+1,"")</f>
        <v>0</v>
      </c>
    </row>
    <row r="2866" spans="1:22">
      <c r="A2866" s="16"/>
      <c r="B2866" s="23"/>
      <c r="C2866" s="15"/>
      <c r="D2866" s="15"/>
      <c r="E2866" s="15"/>
      <c r="F2866" s="24"/>
      <c r="G2866" s="17"/>
      <c r="H2866" s="17"/>
      <c r="I2866" s="15"/>
      <c r="J2866" s="25">
        <f>IF($D2866="","",IFERROR(INDEX(PacNome,MATCH($D2866,PacCod,0)),"Paciente não cadastrado"))</f>
        <v>0</v>
      </c>
      <c r="K2866" s="26">
        <f>IF($D2866="","",IFERROR(INDEX(PacConv,MATCH($D2866,PacCod,0))&amp;"",""))</f>
        <v>0</v>
      </c>
      <c r="L2866" s="26">
        <f>IF($A2866="","",CHOOSE(WEEKDAY($A2866,2),"Seg","Ter","Qua","Qui","Sex","Sáb","Dom"))</f>
        <v>0</v>
      </c>
      <c r="M2866" s="27">
        <f>IF($E2866="","",IF($G2866&lt;&gt;"",$G2866,IFERROR(INDEX(ProcValor,MATCH($E2866,ProcNome,0)),0)))</f>
        <v>0</v>
      </c>
      <c r="N2866" s="27">
        <f>IF($M2866="","",IF($F2866="Compareceu",$M2866,0))</f>
        <v>0</v>
      </c>
      <c r="O2866" s="27">
        <f>IF($M2866="","",IF($F2866="Faltou",$M2866,0))</f>
        <v>0</v>
      </c>
      <c r="P2866" s="27">
        <f>IF($M2866="","",IF($F2866="Compareceu",MAX(0,$M2866-N($H2866)),0))</f>
        <v>0</v>
      </c>
      <c r="Q2866" s="19">
        <f>IF(AND($F2866="Compareceu",$E2866&lt;&gt;"",$A2866&lt;&gt;""),IF(IFERROR(INDEX(ProcRet,MATCH($E2866,ProcNome,0)),0)&gt;0,$A2866+INDEX(ProcRet,MATCH($E2866,ProcNome,0)),""),"")</f>
        <v>0</v>
      </c>
      <c r="R2866" s="26">
        <f>IF($Q2866="","",IF(COUNTIFS(AgPac,$D2866,AgData,"&gt;"&amp;$A2866,AgStatus,"&lt;&gt;Cancelado",AgStatus,"&lt;&gt;Remarcado")&gt;0,"Sim","Não"))</f>
        <v>0</v>
      </c>
      <c r="S2866" s="28">
        <f>IF($A2866="","",IF(AND($F2866="Agendado",$A2866-Hoje&gt;=0,$A2866-Hoje&lt;=DiasConf),"CONFIRMAR",IF(AND($A2866&lt;Hoje,OR($F2866="Agendado",$F2866="Confirmado")),"Atualizar status",IF(AND($F2866="Compareceu",$P2866&gt;0.005),"Cobrar",IF($F2866="Faltou","Falta: reagendar","")))))</f>
        <v>0</v>
      </c>
      <c r="T2866" s="29">
        <f>IF($A2866="","",DATE(YEAR($A2866),MONTH($A2866),1))</f>
        <v>0</v>
      </c>
      <c r="U2866" s="30">
        <f>IF($S2866="CONFIRMAR",MAX($U$4:$U2865)+1,"")</f>
        <v>0</v>
      </c>
      <c r="V2866" s="30">
        <f>IF(AND($R2866="Não",$Q2866&lt;&gt;"",$Q2866&lt;=Hoje+JanelaRet,$Q2866&gt;=Hoje-60),MAX($V$4:$V2865)+1,"")</f>
        <v>0</v>
      </c>
    </row>
    <row r="2867" spans="1:22">
      <c r="A2867" s="16"/>
      <c r="B2867" s="23"/>
      <c r="C2867" s="15"/>
      <c r="D2867" s="15"/>
      <c r="E2867" s="15"/>
      <c r="F2867" s="24"/>
      <c r="G2867" s="17"/>
      <c r="H2867" s="17"/>
      <c r="I2867" s="15"/>
      <c r="J2867" s="25">
        <f>IF($D2867="","",IFERROR(INDEX(PacNome,MATCH($D2867,PacCod,0)),"Paciente não cadastrado"))</f>
        <v>0</v>
      </c>
      <c r="K2867" s="26">
        <f>IF($D2867="","",IFERROR(INDEX(PacConv,MATCH($D2867,PacCod,0))&amp;"",""))</f>
        <v>0</v>
      </c>
      <c r="L2867" s="26">
        <f>IF($A2867="","",CHOOSE(WEEKDAY($A2867,2),"Seg","Ter","Qua","Qui","Sex","Sáb","Dom"))</f>
        <v>0</v>
      </c>
      <c r="M2867" s="27">
        <f>IF($E2867="","",IF($G2867&lt;&gt;"",$G2867,IFERROR(INDEX(ProcValor,MATCH($E2867,ProcNome,0)),0)))</f>
        <v>0</v>
      </c>
      <c r="N2867" s="27">
        <f>IF($M2867="","",IF($F2867="Compareceu",$M2867,0))</f>
        <v>0</v>
      </c>
      <c r="O2867" s="27">
        <f>IF($M2867="","",IF($F2867="Faltou",$M2867,0))</f>
        <v>0</v>
      </c>
      <c r="P2867" s="27">
        <f>IF($M2867="","",IF($F2867="Compareceu",MAX(0,$M2867-N($H2867)),0))</f>
        <v>0</v>
      </c>
      <c r="Q2867" s="19">
        <f>IF(AND($F2867="Compareceu",$E2867&lt;&gt;"",$A2867&lt;&gt;""),IF(IFERROR(INDEX(ProcRet,MATCH($E2867,ProcNome,0)),0)&gt;0,$A2867+INDEX(ProcRet,MATCH($E2867,ProcNome,0)),""),"")</f>
        <v>0</v>
      </c>
      <c r="R2867" s="26">
        <f>IF($Q2867="","",IF(COUNTIFS(AgPac,$D2867,AgData,"&gt;"&amp;$A2867,AgStatus,"&lt;&gt;Cancelado",AgStatus,"&lt;&gt;Remarcado")&gt;0,"Sim","Não"))</f>
        <v>0</v>
      </c>
      <c r="S2867" s="28">
        <f>IF($A2867="","",IF(AND($F2867="Agendado",$A2867-Hoje&gt;=0,$A2867-Hoje&lt;=DiasConf),"CONFIRMAR",IF(AND($A2867&lt;Hoje,OR($F2867="Agendado",$F2867="Confirmado")),"Atualizar status",IF(AND($F2867="Compareceu",$P2867&gt;0.005),"Cobrar",IF($F2867="Faltou","Falta: reagendar","")))))</f>
        <v>0</v>
      </c>
      <c r="T2867" s="29">
        <f>IF($A2867="","",DATE(YEAR($A2867),MONTH($A2867),1))</f>
        <v>0</v>
      </c>
      <c r="U2867" s="30">
        <f>IF($S2867="CONFIRMAR",MAX($U$4:$U2866)+1,"")</f>
        <v>0</v>
      </c>
      <c r="V2867" s="30">
        <f>IF(AND($R2867="Não",$Q2867&lt;&gt;"",$Q2867&lt;=Hoje+JanelaRet,$Q2867&gt;=Hoje-60),MAX($V$4:$V2866)+1,"")</f>
        <v>0</v>
      </c>
    </row>
    <row r="2868" spans="1:22">
      <c r="A2868" s="16"/>
      <c r="B2868" s="23"/>
      <c r="C2868" s="15"/>
      <c r="D2868" s="15"/>
      <c r="E2868" s="15"/>
      <c r="F2868" s="24"/>
      <c r="G2868" s="17"/>
      <c r="H2868" s="17"/>
      <c r="I2868" s="15"/>
      <c r="J2868" s="25">
        <f>IF($D2868="","",IFERROR(INDEX(PacNome,MATCH($D2868,PacCod,0)),"Paciente não cadastrado"))</f>
        <v>0</v>
      </c>
      <c r="K2868" s="26">
        <f>IF($D2868="","",IFERROR(INDEX(PacConv,MATCH($D2868,PacCod,0))&amp;"",""))</f>
        <v>0</v>
      </c>
      <c r="L2868" s="26">
        <f>IF($A2868="","",CHOOSE(WEEKDAY($A2868,2),"Seg","Ter","Qua","Qui","Sex","Sáb","Dom"))</f>
        <v>0</v>
      </c>
      <c r="M2868" s="27">
        <f>IF($E2868="","",IF($G2868&lt;&gt;"",$G2868,IFERROR(INDEX(ProcValor,MATCH($E2868,ProcNome,0)),0)))</f>
        <v>0</v>
      </c>
      <c r="N2868" s="27">
        <f>IF($M2868="","",IF($F2868="Compareceu",$M2868,0))</f>
        <v>0</v>
      </c>
      <c r="O2868" s="27">
        <f>IF($M2868="","",IF($F2868="Faltou",$M2868,0))</f>
        <v>0</v>
      </c>
      <c r="P2868" s="27">
        <f>IF($M2868="","",IF($F2868="Compareceu",MAX(0,$M2868-N($H2868)),0))</f>
        <v>0</v>
      </c>
      <c r="Q2868" s="19">
        <f>IF(AND($F2868="Compareceu",$E2868&lt;&gt;"",$A2868&lt;&gt;""),IF(IFERROR(INDEX(ProcRet,MATCH($E2868,ProcNome,0)),0)&gt;0,$A2868+INDEX(ProcRet,MATCH($E2868,ProcNome,0)),""),"")</f>
        <v>0</v>
      </c>
      <c r="R2868" s="26">
        <f>IF($Q2868="","",IF(COUNTIFS(AgPac,$D2868,AgData,"&gt;"&amp;$A2868,AgStatus,"&lt;&gt;Cancelado",AgStatus,"&lt;&gt;Remarcado")&gt;0,"Sim","Não"))</f>
        <v>0</v>
      </c>
      <c r="S2868" s="28">
        <f>IF($A2868="","",IF(AND($F2868="Agendado",$A2868-Hoje&gt;=0,$A2868-Hoje&lt;=DiasConf),"CONFIRMAR",IF(AND($A2868&lt;Hoje,OR($F2868="Agendado",$F2868="Confirmado")),"Atualizar status",IF(AND($F2868="Compareceu",$P2868&gt;0.005),"Cobrar",IF($F2868="Faltou","Falta: reagendar","")))))</f>
        <v>0</v>
      </c>
      <c r="T2868" s="29">
        <f>IF($A2868="","",DATE(YEAR($A2868),MONTH($A2868),1))</f>
        <v>0</v>
      </c>
      <c r="U2868" s="30">
        <f>IF($S2868="CONFIRMAR",MAX($U$4:$U2867)+1,"")</f>
        <v>0</v>
      </c>
      <c r="V2868" s="30">
        <f>IF(AND($R2868="Não",$Q2868&lt;&gt;"",$Q2868&lt;=Hoje+JanelaRet,$Q2868&gt;=Hoje-60),MAX($V$4:$V2867)+1,"")</f>
        <v>0</v>
      </c>
    </row>
    <row r="2869" spans="1:22">
      <c r="A2869" s="16"/>
      <c r="B2869" s="23"/>
      <c r="C2869" s="15"/>
      <c r="D2869" s="15"/>
      <c r="E2869" s="15"/>
      <c r="F2869" s="24"/>
      <c r="G2869" s="17"/>
      <c r="H2869" s="17"/>
      <c r="I2869" s="15"/>
      <c r="J2869" s="25">
        <f>IF($D2869="","",IFERROR(INDEX(PacNome,MATCH($D2869,PacCod,0)),"Paciente não cadastrado"))</f>
        <v>0</v>
      </c>
      <c r="K2869" s="26">
        <f>IF($D2869="","",IFERROR(INDEX(PacConv,MATCH($D2869,PacCod,0))&amp;"",""))</f>
        <v>0</v>
      </c>
      <c r="L2869" s="26">
        <f>IF($A2869="","",CHOOSE(WEEKDAY($A2869,2),"Seg","Ter","Qua","Qui","Sex","Sáb","Dom"))</f>
        <v>0</v>
      </c>
      <c r="M2869" s="27">
        <f>IF($E2869="","",IF($G2869&lt;&gt;"",$G2869,IFERROR(INDEX(ProcValor,MATCH($E2869,ProcNome,0)),0)))</f>
        <v>0</v>
      </c>
      <c r="N2869" s="27">
        <f>IF($M2869="","",IF($F2869="Compareceu",$M2869,0))</f>
        <v>0</v>
      </c>
      <c r="O2869" s="27">
        <f>IF($M2869="","",IF($F2869="Faltou",$M2869,0))</f>
        <v>0</v>
      </c>
      <c r="P2869" s="27">
        <f>IF($M2869="","",IF($F2869="Compareceu",MAX(0,$M2869-N($H2869)),0))</f>
        <v>0</v>
      </c>
      <c r="Q2869" s="19">
        <f>IF(AND($F2869="Compareceu",$E2869&lt;&gt;"",$A2869&lt;&gt;""),IF(IFERROR(INDEX(ProcRet,MATCH($E2869,ProcNome,0)),0)&gt;0,$A2869+INDEX(ProcRet,MATCH($E2869,ProcNome,0)),""),"")</f>
        <v>0</v>
      </c>
      <c r="R2869" s="26">
        <f>IF($Q2869="","",IF(COUNTIFS(AgPac,$D2869,AgData,"&gt;"&amp;$A2869,AgStatus,"&lt;&gt;Cancelado",AgStatus,"&lt;&gt;Remarcado")&gt;0,"Sim","Não"))</f>
        <v>0</v>
      </c>
      <c r="S2869" s="28">
        <f>IF($A2869="","",IF(AND($F2869="Agendado",$A2869-Hoje&gt;=0,$A2869-Hoje&lt;=DiasConf),"CONFIRMAR",IF(AND($A2869&lt;Hoje,OR($F2869="Agendado",$F2869="Confirmado")),"Atualizar status",IF(AND($F2869="Compareceu",$P2869&gt;0.005),"Cobrar",IF($F2869="Faltou","Falta: reagendar","")))))</f>
        <v>0</v>
      </c>
      <c r="T2869" s="29">
        <f>IF($A2869="","",DATE(YEAR($A2869),MONTH($A2869),1))</f>
        <v>0</v>
      </c>
      <c r="U2869" s="30">
        <f>IF($S2869="CONFIRMAR",MAX($U$4:$U2868)+1,"")</f>
        <v>0</v>
      </c>
      <c r="V2869" s="30">
        <f>IF(AND($R2869="Não",$Q2869&lt;&gt;"",$Q2869&lt;=Hoje+JanelaRet,$Q2869&gt;=Hoje-60),MAX($V$4:$V2868)+1,"")</f>
        <v>0</v>
      </c>
    </row>
    <row r="2870" spans="1:22">
      <c r="A2870" s="16"/>
      <c r="B2870" s="23"/>
      <c r="C2870" s="15"/>
      <c r="D2870" s="15"/>
      <c r="E2870" s="15"/>
      <c r="F2870" s="24"/>
      <c r="G2870" s="17"/>
      <c r="H2870" s="17"/>
      <c r="I2870" s="15"/>
      <c r="J2870" s="25">
        <f>IF($D2870="","",IFERROR(INDEX(PacNome,MATCH($D2870,PacCod,0)),"Paciente não cadastrado"))</f>
        <v>0</v>
      </c>
      <c r="K2870" s="26">
        <f>IF($D2870="","",IFERROR(INDEX(PacConv,MATCH($D2870,PacCod,0))&amp;"",""))</f>
        <v>0</v>
      </c>
      <c r="L2870" s="26">
        <f>IF($A2870="","",CHOOSE(WEEKDAY($A2870,2),"Seg","Ter","Qua","Qui","Sex","Sáb","Dom"))</f>
        <v>0</v>
      </c>
      <c r="M2870" s="27">
        <f>IF($E2870="","",IF($G2870&lt;&gt;"",$G2870,IFERROR(INDEX(ProcValor,MATCH($E2870,ProcNome,0)),0)))</f>
        <v>0</v>
      </c>
      <c r="N2870" s="27">
        <f>IF($M2870="","",IF($F2870="Compareceu",$M2870,0))</f>
        <v>0</v>
      </c>
      <c r="O2870" s="27">
        <f>IF($M2870="","",IF($F2870="Faltou",$M2870,0))</f>
        <v>0</v>
      </c>
      <c r="P2870" s="27">
        <f>IF($M2870="","",IF($F2870="Compareceu",MAX(0,$M2870-N($H2870)),0))</f>
        <v>0</v>
      </c>
      <c r="Q2870" s="19">
        <f>IF(AND($F2870="Compareceu",$E2870&lt;&gt;"",$A2870&lt;&gt;""),IF(IFERROR(INDEX(ProcRet,MATCH($E2870,ProcNome,0)),0)&gt;0,$A2870+INDEX(ProcRet,MATCH($E2870,ProcNome,0)),""),"")</f>
        <v>0</v>
      </c>
      <c r="R2870" s="26">
        <f>IF($Q2870="","",IF(COUNTIFS(AgPac,$D2870,AgData,"&gt;"&amp;$A2870,AgStatus,"&lt;&gt;Cancelado",AgStatus,"&lt;&gt;Remarcado")&gt;0,"Sim","Não"))</f>
        <v>0</v>
      </c>
      <c r="S2870" s="28">
        <f>IF($A2870="","",IF(AND($F2870="Agendado",$A2870-Hoje&gt;=0,$A2870-Hoje&lt;=DiasConf),"CONFIRMAR",IF(AND($A2870&lt;Hoje,OR($F2870="Agendado",$F2870="Confirmado")),"Atualizar status",IF(AND($F2870="Compareceu",$P2870&gt;0.005),"Cobrar",IF($F2870="Faltou","Falta: reagendar","")))))</f>
        <v>0</v>
      </c>
      <c r="T2870" s="29">
        <f>IF($A2870="","",DATE(YEAR($A2870),MONTH($A2870),1))</f>
        <v>0</v>
      </c>
      <c r="U2870" s="30">
        <f>IF($S2870="CONFIRMAR",MAX($U$4:$U2869)+1,"")</f>
        <v>0</v>
      </c>
      <c r="V2870" s="30">
        <f>IF(AND($R2870="Não",$Q2870&lt;&gt;"",$Q2870&lt;=Hoje+JanelaRet,$Q2870&gt;=Hoje-60),MAX($V$4:$V2869)+1,"")</f>
        <v>0</v>
      </c>
    </row>
    <row r="2871" spans="1:22">
      <c r="A2871" s="16"/>
      <c r="B2871" s="23"/>
      <c r="C2871" s="15"/>
      <c r="D2871" s="15"/>
      <c r="E2871" s="15"/>
      <c r="F2871" s="24"/>
      <c r="G2871" s="17"/>
      <c r="H2871" s="17"/>
      <c r="I2871" s="15"/>
      <c r="J2871" s="25">
        <f>IF($D2871="","",IFERROR(INDEX(PacNome,MATCH($D2871,PacCod,0)),"Paciente não cadastrado"))</f>
        <v>0</v>
      </c>
      <c r="K2871" s="26">
        <f>IF($D2871="","",IFERROR(INDEX(PacConv,MATCH($D2871,PacCod,0))&amp;"",""))</f>
        <v>0</v>
      </c>
      <c r="L2871" s="26">
        <f>IF($A2871="","",CHOOSE(WEEKDAY($A2871,2),"Seg","Ter","Qua","Qui","Sex","Sáb","Dom"))</f>
        <v>0</v>
      </c>
      <c r="M2871" s="27">
        <f>IF($E2871="","",IF($G2871&lt;&gt;"",$G2871,IFERROR(INDEX(ProcValor,MATCH($E2871,ProcNome,0)),0)))</f>
        <v>0</v>
      </c>
      <c r="N2871" s="27">
        <f>IF($M2871="","",IF($F2871="Compareceu",$M2871,0))</f>
        <v>0</v>
      </c>
      <c r="O2871" s="27">
        <f>IF($M2871="","",IF($F2871="Faltou",$M2871,0))</f>
        <v>0</v>
      </c>
      <c r="P2871" s="27">
        <f>IF($M2871="","",IF($F2871="Compareceu",MAX(0,$M2871-N($H2871)),0))</f>
        <v>0</v>
      </c>
      <c r="Q2871" s="19">
        <f>IF(AND($F2871="Compareceu",$E2871&lt;&gt;"",$A2871&lt;&gt;""),IF(IFERROR(INDEX(ProcRet,MATCH($E2871,ProcNome,0)),0)&gt;0,$A2871+INDEX(ProcRet,MATCH($E2871,ProcNome,0)),""),"")</f>
        <v>0</v>
      </c>
      <c r="R2871" s="26">
        <f>IF($Q2871="","",IF(COUNTIFS(AgPac,$D2871,AgData,"&gt;"&amp;$A2871,AgStatus,"&lt;&gt;Cancelado",AgStatus,"&lt;&gt;Remarcado")&gt;0,"Sim","Não"))</f>
        <v>0</v>
      </c>
      <c r="S2871" s="28">
        <f>IF($A2871="","",IF(AND($F2871="Agendado",$A2871-Hoje&gt;=0,$A2871-Hoje&lt;=DiasConf),"CONFIRMAR",IF(AND($A2871&lt;Hoje,OR($F2871="Agendado",$F2871="Confirmado")),"Atualizar status",IF(AND($F2871="Compareceu",$P2871&gt;0.005),"Cobrar",IF($F2871="Faltou","Falta: reagendar","")))))</f>
        <v>0</v>
      </c>
      <c r="T2871" s="29">
        <f>IF($A2871="","",DATE(YEAR($A2871),MONTH($A2871),1))</f>
        <v>0</v>
      </c>
      <c r="U2871" s="30">
        <f>IF($S2871="CONFIRMAR",MAX($U$4:$U2870)+1,"")</f>
        <v>0</v>
      </c>
      <c r="V2871" s="30">
        <f>IF(AND($R2871="Não",$Q2871&lt;&gt;"",$Q2871&lt;=Hoje+JanelaRet,$Q2871&gt;=Hoje-60),MAX($V$4:$V2870)+1,"")</f>
        <v>0</v>
      </c>
    </row>
    <row r="2872" spans="1:22">
      <c r="A2872" s="16"/>
      <c r="B2872" s="23"/>
      <c r="C2872" s="15"/>
      <c r="D2872" s="15"/>
      <c r="E2872" s="15"/>
      <c r="F2872" s="24"/>
      <c r="G2872" s="17"/>
      <c r="H2872" s="17"/>
      <c r="I2872" s="15"/>
      <c r="J2872" s="25">
        <f>IF($D2872="","",IFERROR(INDEX(PacNome,MATCH($D2872,PacCod,0)),"Paciente não cadastrado"))</f>
        <v>0</v>
      </c>
      <c r="K2872" s="26">
        <f>IF($D2872="","",IFERROR(INDEX(PacConv,MATCH($D2872,PacCod,0))&amp;"",""))</f>
        <v>0</v>
      </c>
      <c r="L2872" s="26">
        <f>IF($A2872="","",CHOOSE(WEEKDAY($A2872,2),"Seg","Ter","Qua","Qui","Sex","Sáb","Dom"))</f>
        <v>0</v>
      </c>
      <c r="M2872" s="27">
        <f>IF($E2872="","",IF($G2872&lt;&gt;"",$G2872,IFERROR(INDEX(ProcValor,MATCH($E2872,ProcNome,0)),0)))</f>
        <v>0</v>
      </c>
      <c r="N2872" s="27">
        <f>IF($M2872="","",IF($F2872="Compareceu",$M2872,0))</f>
        <v>0</v>
      </c>
      <c r="O2872" s="27">
        <f>IF($M2872="","",IF($F2872="Faltou",$M2872,0))</f>
        <v>0</v>
      </c>
      <c r="P2872" s="27">
        <f>IF($M2872="","",IF($F2872="Compareceu",MAX(0,$M2872-N($H2872)),0))</f>
        <v>0</v>
      </c>
      <c r="Q2872" s="19">
        <f>IF(AND($F2872="Compareceu",$E2872&lt;&gt;"",$A2872&lt;&gt;""),IF(IFERROR(INDEX(ProcRet,MATCH($E2872,ProcNome,0)),0)&gt;0,$A2872+INDEX(ProcRet,MATCH($E2872,ProcNome,0)),""),"")</f>
        <v>0</v>
      </c>
      <c r="R2872" s="26">
        <f>IF($Q2872="","",IF(COUNTIFS(AgPac,$D2872,AgData,"&gt;"&amp;$A2872,AgStatus,"&lt;&gt;Cancelado",AgStatus,"&lt;&gt;Remarcado")&gt;0,"Sim","Não"))</f>
        <v>0</v>
      </c>
      <c r="S2872" s="28">
        <f>IF($A2872="","",IF(AND($F2872="Agendado",$A2872-Hoje&gt;=0,$A2872-Hoje&lt;=DiasConf),"CONFIRMAR",IF(AND($A2872&lt;Hoje,OR($F2872="Agendado",$F2872="Confirmado")),"Atualizar status",IF(AND($F2872="Compareceu",$P2872&gt;0.005),"Cobrar",IF($F2872="Faltou","Falta: reagendar","")))))</f>
        <v>0</v>
      </c>
      <c r="T2872" s="29">
        <f>IF($A2872="","",DATE(YEAR($A2872),MONTH($A2872),1))</f>
        <v>0</v>
      </c>
      <c r="U2872" s="30">
        <f>IF($S2872="CONFIRMAR",MAX($U$4:$U2871)+1,"")</f>
        <v>0</v>
      </c>
      <c r="V2872" s="30">
        <f>IF(AND($R2872="Não",$Q2872&lt;&gt;"",$Q2872&lt;=Hoje+JanelaRet,$Q2872&gt;=Hoje-60),MAX($V$4:$V2871)+1,"")</f>
        <v>0</v>
      </c>
    </row>
    <row r="2873" spans="1:22">
      <c r="A2873" s="16"/>
      <c r="B2873" s="23"/>
      <c r="C2873" s="15"/>
      <c r="D2873" s="15"/>
      <c r="E2873" s="15"/>
      <c r="F2873" s="24"/>
      <c r="G2873" s="17"/>
      <c r="H2873" s="17"/>
      <c r="I2873" s="15"/>
      <c r="J2873" s="25">
        <f>IF($D2873="","",IFERROR(INDEX(PacNome,MATCH($D2873,PacCod,0)),"Paciente não cadastrado"))</f>
        <v>0</v>
      </c>
      <c r="K2873" s="26">
        <f>IF($D2873="","",IFERROR(INDEX(PacConv,MATCH($D2873,PacCod,0))&amp;"",""))</f>
        <v>0</v>
      </c>
      <c r="L2873" s="26">
        <f>IF($A2873="","",CHOOSE(WEEKDAY($A2873,2),"Seg","Ter","Qua","Qui","Sex","Sáb","Dom"))</f>
        <v>0</v>
      </c>
      <c r="M2873" s="27">
        <f>IF($E2873="","",IF($G2873&lt;&gt;"",$G2873,IFERROR(INDEX(ProcValor,MATCH($E2873,ProcNome,0)),0)))</f>
        <v>0</v>
      </c>
      <c r="N2873" s="27">
        <f>IF($M2873="","",IF($F2873="Compareceu",$M2873,0))</f>
        <v>0</v>
      </c>
      <c r="O2873" s="27">
        <f>IF($M2873="","",IF($F2873="Faltou",$M2873,0))</f>
        <v>0</v>
      </c>
      <c r="P2873" s="27">
        <f>IF($M2873="","",IF($F2873="Compareceu",MAX(0,$M2873-N($H2873)),0))</f>
        <v>0</v>
      </c>
      <c r="Q2873" s="19">
        <f>IF(AND($F2873="Compareceu",$E2873&lt;&gt;"",$A2873&lt;&gt;""),IF(IFERROR(INDEX(ProcRet,MATCH($E2873,ProcNome,0)),0)&gt;0,$A2873+INDEX(ProcRet,MATCH($E2873,ProcNome,0)),""),"")</f>
        <v>0</v>
      </c>
      <c r="R2873" s="26">
        <f>IF($Q2873="","",IF(COUNTIFS(AgPac,$D2873,AgData,"&gt;"&amp;$A2873,AgStatus,"&lt;&gt;Cancelado",AgStatus,"&lt;&gt;Remarcado")&gt;0,"Sim","Não"))</f>
        <v>0</v>
      </c>
      <c r="S2873" s="28">
        <f>IF($A2873="","",IF(AND($F2873="Agendado",$A2873-Hoje&gt;=0,$A2873-Hoje&lt;=DiasConf),"CONFIRMAR",IF(AND($A2873&lt;Hoje,OR($F2873="Agendado",$F2873="Confirmado")),"Atualizar status",IF(AND($F2873="Compareceu",$P2873&gt;0.005),"Cobrar",IF($F2873="Faltou","Falta: reagendar","")))))</f>
        <v>0</v>
      </c>
      <c r="T2873" s="29">
        <f>IF($A2873="","",DATE(YEAR($A2873),MONTH($A2873),1))</f>
        <v>0</v>
      </c>
      <c r="U2873" s="30">
        <f>IF($S2873="CONFIRMAR",MAX($U$4:$U2872)+1,"")</f>
        <v>0</v>
      </c>
      <c r="V2873" s="30">
        <f>IF(AND($R2873="Não",$Q2873&lt;&gt;"",$Q2873&lt;=Hoje+JanelaRet,$Q2873&gt;=Hoje-60),MAX($V$4:$V2872)+1,"")</f>
        <v>0</v>
      </c>
    </row>
    <row r="2874" spans="1:22">
      <c r="A2874" s="16"/>
      <c r="B2874" s="23"/>
      <c r="C2874" s="15"/>
      <c r="D2874" s="15"/>
      <c r="E2874" s="15"/>
      <c r="F2874" s="24"/>
      <c r="G2874" s="17"/>
      <c r="H2874" s="17"/>
      <c r="I2874" s="15"/>
      <c r="J2874" s="25">
        <f>IF($D2874="","",IFERROR(INDEX(PacNome,MATCH($D2874,PacCod,0)),"Paciente não cadastrado"))</f>
        <v>0</v>
      </c>
      <c r="K2874" s="26">
        <f>IF($D2874="","",IFERROR(INDEX(PacConv,MATCH($D2874,PacCod,0))&amp;"",""))</f>
        <v>0</v>
      </c>
      <c r="L2874" s="26">
        <f>IF($A2874="","",CHOOSE(WEEKDAY($A2874,2),"Seg","Ter","Qua","Qui","Sex","Sáb","Dom"))</f>
        <v>0</v>
      </c>
      <c r="M2874" s="27">
        <f>IF($E2874="","",IF($G2874&lt;&gt;"",$G2874,IFERROR(INDEX(ProcValor,MATCH($E2874,ProcNome,0)),0)))</f>
        <v>0</v>
      </c>
      <c r="N2874" s="27">
        <f>IF($M2874="","",IF($F2874="Compareceu",$M2874,0))</f>
        <v>0</v>
      </c>
      <c r="O2874" s="27">
        <f>IF($M2874="","",IF($F2874="Faltou",$M2874,0))</f>
        <v>0</v>
      </c>
      <c r="P2874" s="27">
        <f>IF($M2874="","",IF($F2874="Compareceu",MAX(0,$M2874-N($H2874)),0))</f>
        <v>0</v>
      </c>
      <c r="Q2874" s="19">
        <f>IF(AND($F2874="Compareceu",$E2874&lt;&gt;"",$A2874&lt;&gt;""),IF(IFERROR(INDEX(ProcRet,MATCH($E2874,ProcNome,0)),0)&gt;0,$A2874+INDEX(ProcRet,MATCH($E2874,ProcNome,0)),""),"")</f>
        <v>0</v>
      </c>
      <c r="R2874" s="26">
        <f>IF($Q2874="","",IF(COUNTIFS(AgPac,$D2874,AgData,"&gt;"&amp;$A2874,AgStatus,"&lt;&gt;Cancelado",AgStatus,"&lt;&gt;Remarcado")&gt;0,"Sim","Não"))</f>
        <v>0</v>
      </c>
      <c r="S2874" s="28">
        <f>IF($A2874="","",IF(AND($F2874="Agendado",$A2874-Hoje&gt;=0,$A2874-Hoje&lt;=DiasConf),"CONFIRMAR",IF(AND($A2874&lt;Hoje,OR($F2874="Agendado",$F2874="Confirmado")),"Atualizar status",IF(AND($F2874="Compareceu",$P2874&gt;0.005),"Cobrar",IF($F2874="Faltou","Falta: reagendar","")))))</f>
        <v>0</v>
      </c>
      <c r="T2874" s="29">
        <f>IF($A2874="","",DATE(YEAR($A2874),MONTH($A2874),1))</f>
        <v>0</v>
      </c>
      <c r="U2874" s="30">
        <f>IF($S2874="CONFIRMAR",MAX($U$4:$U2873)+1,"")</f>
        <v>0</v>
      </c>
      <c r="V2874" s="30">
        <f>IF(AND($R2874="Não",$Q2874&lt;&gt;"",$Q2874&lt;=Hoje+JanelaRet,$Q2874&gt;=Hoje-60),MAX($V$4:$V2873)+1,"")</f>
        <v>0</v>
      </c>
    </row>
    <row r="2875" spans="1:22">
      <c r="A2875" s="16"/>
      <c r="B2875" s="23"/>
      <c r="C2875" s="15"/>
      <c r="D2875" s="15"/>
      <c r="E2875" s="15"/>
      <c r="F2875" s="24"/>
      <c r="G2875" s="17"/>
      <c r="H2875" s="17"/>
      <c r="I2875" s="15"/>
      <c r="J2875" s="25">
        <f>IF($D2875="","",IFERROR(INDEX(PacNome,MATCH($D2875,PacCod,0)),"Paciente não cadastrado"))</f>
        <v>0</v>
      </c>
      <c r="K2875" s="26">
        <f>IF($D2875="","",IFERROR(INDEX(PacConv,MATCH($D2875,PacCod,0))&amp;"",""))</f>
        <v>0</v>
      </c>
      <c r="L2875" s="26">
        <f>IF($A2875="","",CHOOSE(WEEKDAY($A2875,2),"Seg","Ter","Qua","Qui","Sex","Sáb","Dom"))</f>
        <v>0</v>
      </c>
      <c r="M2875" s="27">
        <f>IF($E2875="","",IF($G2875&lt;&gt;"",$G2875,IFERROR(INDEX(ProcValor,MATCH($E2875,ProcNome,0)),0)))</f>
        <v>0</v>
      </c>
      <c r="N2875" s="27">
        <f>IF($M2875="","",IF($F2875="Compareceu",$M2875,0))</f>
        <v>0</v>
      </c>
      <c r="O2875" s="27">
        <f>IF($M2875="","",IF($F2875="Faltou",$M2875,0))</f>
        <v>0</v>
      </c>
      <c r="P2875" s="27">
        <f>IF($M2875="","",IF($F2875="Compareceu",MAX(0,$M2875-N($H2875)),0))</f>
        <v>0</v>
      </c>
      <c r="Q2875" s="19">
        <f>IF(AND($F2875="Compareceu",$E2875&lt;&gt;"",$A2875&lt;&gt;""),IF(IFERROR(INDEX(ProcRet,MATCH($E2875,ProcNome,0)),0)&gt;0,$A2875+INDEX(ProcRet,MATCH($E2875,ProcNome,0)),""),"")</f>
        <v>0</v>
      </c>
      <c r="R2875" s="26">
        <f>IF($Q2875="","",IF(COUNTIFS(AgPac,$D2875,AgData,"&gt;"&amp;$A2875,AgStatus,"&lt;&gt;Cancelado",AgStatus,"&lt;&gt;Remarcado")&gt;0,"Sim","Não"))</f>
        <v>0</v>
      </c>
      <c r="S2875" s="28">
        <f>IF($A2875="","",IF(AND($F2875="Agendado",$A2875-Hoje&gt;=0,$A2875-Hoje&lt;=DiasConf),"CONFIRMAR",IF(AND($A2875&lt;Hoje,OR($F2875="Agendado",$F2875="Confirmado")),"Atualizar status",IF(AND($F2875="Compareceu",$P2875&gt;0.005),"Cobrar",IF($F2875="Faltou","Falta: reagendar","")))))</f>
        <v>0</v>
      </c>
      <c r="T2875" s="29">
        <f>IF($A2875="","",DATE(YEAR($A2875),MONTH($A2875),1))</f>
        <v>0</v>
      </c>
      <c r="U2875" s="30">
        <f>IF($S2875="CONFIRMAR",MAX($U$4:$U2874)+1,"")</f>
        <v>0</v>
      </c>
      <c r="V2875" s="30">
        <f>IF(AND($R2875="Não",$Q2875&lt;&gt;"",$Q2875&lt;=Hoje+JanelaRet,$Q2875&gt;=Hoje-60),MAX($V$4:$V2874)+1,"")</f>
        <v>0</v>
      </c>
    </row>
    <row r="2876" spans="1:22">
      <c r="A2876" s="16"/>
      <c r="B2876" s="23"/>
      <c r="C2876" s="15"/>
      <c r="D2876" s="15"/>
      <c r="E2876" s="15"/>
      <c r="F2876" s="24"/>
      <c r="G2876" s="17"/>
      <c r="H2876" s="17"/>
      <c r="I2876" s="15"/>
      <c r="J2876" s="25">
        <f>IF($D2876="","",IFERROR(INDEX(PacNome,MATCH($D2876,PacCod,0)),"Paciente não cadastrado"))</f>
        <v>0</v>
      </c>
      <c r="K2876" s="26">
        <f>IF($D2876="","",IFERROR(INDEX(PacConv,MATCH($D2876,PacCod,0))&amp;"",""))</f>
        <v>0</v>
      </c>
      <c r="L2876" s="26">
        <f>IF($A2876="","",CHOOSE(WEEKDAY($A2876,2),"Seg","Ter","Qua","Qui","Sex","Sáb","Dom"))</f>
        <v>0</v>
      </c>
      <c r="M2876" s="27">
        <f>IF($E2876="","",IF($G2876&lt;&gt;"",$G2876,IFERROR(INDEX(ProcValor,MATCH($E2876,ProcNome,0)),0)))</f>
        <v>0</v>
      </c>
      <c r="N2876" s="27">
        <f>IF($M2876="","",IF($F2876="Compareceu",$M2876,0))</f>
        <v>0</v>
      </c>
      <c r="O2876" s="27">
        <f>IF($M2876="","",IF($F2876="Faltou",$M2876,0))</f>
        <v>0</v>
      </c>
      <c r="P2876" s="27">
        <f>IF($M2876="","",IF($F2876="Compareceu",MAX(0,$M2876-N($H2876)),0))</f>
        <v>0</v>
      </c>
      <c r="Q2876" s="19">
        <f>IF(AND($F2876="Compareceu",$E2876&lt;&gt;"",$A2876&lt;&gt;""),IF(IFERROR(INDEX(ProcRet,MATCH($E2876,ProcNome,0)),0)&gt;0,$A2876+INDEX(ProcRet,MATCH($E2876,ProcNome,0)),""),"")</f>
        <v>0</v>
      </c>
      <c r="R2876" s="26">
        <f>IF($Q2876="","",IF(COUNTIFS(AgPac,$D2876,AgData,"&gt;"&amp;$A2876,AgStatus,"&lt;&gt;Cancelado",AgStatus,"&lt;&gt;Remarcado")&gt;0,"Sim","Não"))</f>
        <v>0</v>
      </c>
      <c r="S2876" s="28">
        <f>IF($A2876="","",IF(AND($F2876="Agendado",$A2876-Hoje&gt;=0,$A2876-Hoje&lt;=DiasConf),"CONFIRMAR",IF(AND($A2876&lt;Hoje,OR($F2876="Agendado",$F2876="Confirmado")),"Atualizar status",IF(AND($F2876="Compareceu",$P2876&gt;0.005),"Cobrar",IF($F2876="Faltou","Falta: reagendar","")))))</f>
        <v>0</v>
      </c>
      <c r="T2876" s="29">
        <f>IF($A2876="","",DATE(YEAR($A2876),MONTH($A2876),1))</f>
        <v>0</v>
      </c>
      <c r="U2876" s="30">
        <f>IF($S2876="CONFIRMAR",MAX($U$4:$U2875)+1,"")</f>
        <v>0</v>
      </c>
      <c r="V2876" s="30">
        <f>IF(AND($R2876="Não",$Q2876&lt;&gt;"",$Q2876&lt;=Hoje+JanelaRet,$Q2876&gt;=Hoje-60),MAX($V$4:$V2875)+1,"")</f>
        <v>0</v>
      </c>
    </row>
    <row r="2877" spans="1:22">
      <c r="A2877" s="16"/>
      <c r="B2877" s="23"/>
      <c r="C2877" s="15"/>
      <c r="D2877" s="15"/>
      <c r="E2877" s="15"/>
      <c r="F2877" s="24"/>
      <c r="G2877" s="17"/>
      <c r="H2877" s="17"/>
      <c r="I2877" s="15"/>
      <c r="J2877" s="25">
        <f>IF($D2877="","",IFERROR(INDEX(PacNome,MATCH($D2877,PacCod,0)),"Paciente não cadastrado"))</f>
        <v>0</v>
      </c>
      <c r="K2877" s="26">
        <f>IF($D2877="","",IFERROR(INDEX(PacConv,MATCH($D2877,PacCod,0))&amp;"",""))</f>
        <v>0</v>
      </c>
      <c r="L2877" s="26">
        <f>IF($A2877="","",CHOOSE(WEEKDAY($A2877,2),"Seg","Ter","Qua","Qui","Sex","Sáb","Dom"))</f>
        <v>0</v>
      </c>
      <c r="M2877" s="27">
        <f>IF($E2877="","",IF($G2877&lt;&gt;"",$G2877,IFERROR(INDEX(ProcValor,MATCH($E2877,ProcNome,0)),0)))</f>
        <v>0</v>
      </c>
      <c r="N2877" s="27">
        <f>IF($M2877="","",IF($F2877="Compareceu",$M2877,0))</f>
        <v>0</v>
      </c>
      <c r="O2877" s="27">
        <f>IF($M2877="","",IF($F2877="Faltou",$M2877,0))</f>
        <v>0</v>
      </c>
      <c r="P2877" s="27">
        <f>IF($M2877="","",IF($F2877="Compareceu",MAX(0,$M2877-N($H2877)),0))</f>
        <v>0</v>
      </c>
      <c r="Q2877" s="19">
        <f>IF(AND($F2877="Compareceu",$E2877&lt;&gt;"",$A2877&lt;&gt;""),IF(IFERROR(INDEX(ProcRet,MATCH($E2877,ProcNome,0)),0)&gt;0,$A2877+INDEX(ProcRet,MATCH($E2877,ProcNome,0)),""),"")</f>
        <v>0</v>
      </c>
      <c r="R2877" s="26">
        <f>IF($Q2877="","",IF(COUNTIFS(AgPac,$D2877,AgData,"&gt;"&amp;$A2877,AgStatus,"&lt;&gt;Cancelado",AgStatus,"&lt;&gt;Remarcado")&gt;0,"Sim","Não"))</f>
        <v>0</v>
      </c>
      <c r="S2877" s="28">
        <f>IF($A2877="","",IF(AND($F2877="Agendado",$A2877-Hoje&gt;=0,$A2877-Hoje&lt;=DiasConf),"CONFIRMAR",IF(AND($A2877&lt;Hoje,OR($F2877="Agendado",$F2877="Confirmado")),"Atualizar status",IF(AND($F2877="Compareceu",$P2877&gt;0.005),"Cobrar",IF($F2877="Faltou","Falta: reagendar","")))))</f>
        <v>0</v>
      </c>
      <c r="T2877" s="29">
        <f>IF($A2877="","",DATE(YEAR($A2877),MONTH($A2877),1))</f>
        <v>0</v>
      </c>
      <c r="U2877" s="30">
        <f>IF($S2877="CONFIRMAR",MAX($U$4:$U2876)+1,"")</f>
        <v>0</v>
      </c>
      <c r="V2877" s="30">
        <f>IF(AND($R2877="Não",$Q2877&lt;&gt;"",$Q2877&lt;=Hoje+JanelaRet,$Q2877&gt;=Hoje-60),MAX($V$4:$V2876)+1,"")</f>
        <v>0</v>
      </c>
    </row>
    <row r="2878" spans="1:22">
      <c r="A2878" s="16"/>
      <c r="B2878" s="23"/>
      <c r="C2878" s="15"/>
      <c r="D2878" s="15"/>
      <c r="E2878" s="15"/>
      <c r="F2878" s="24"/>
      <c r="G2878" s="17"/>
      <c r="H2878" s="17"/>
      <c r="I2878" s="15"/>
      <c r="J2878" s="25">
        <f>IF($D2878="","",IFERROR(INDEX(PacNome,MATCH($D2878,PacCod,0)),"Paciente não cadastrado"))</f>
        <v>0</v>
      </c>
      <c r="K2878" s="26">
        <f>IF($D2878="","",IFERROR(INDEX(PacConv,MATCH($D2878,PacCod,0))&amp;"",""))</f>
        <v>0</v>
      </c>
      <c r="L2878" s="26">
        <f>IF($A2878="","",CHOOSE(WEEKDAY($A2878,2),"Seg","Ter","Qua","Qui","Sex","Sáb","Dom"))</f>
        <v>0</v>
      </c>
      <c r="M2878" s="27">
        <f>IF($E2878="","",IF($G2878&lt;&gt;"",$G2878,IFERROR(INDEX(ProcValor,MATCH($E2878,ProcNome,0)),0)))</f>
        <v>0</v>
      </c>
      <c r="N2878" s="27">
        <f>IF($M2878="","",IF($F2878="Compareceu",$M2878,0))</f>
        <v>0</v>
      </c>
      <c r="O2878" s="27">
        <f>IF($M2878="","",IF($F2878="Faltou",$M2878,0))</f>
        <v>0</v>
      </c>
      <c r="P2878" s="27">
        <f>IF($M2878="","",IF($F2878="Compareceu",MAX(0,$M2878-N($H2878)),0))</f>
        <v>0</v>
      </c>
      <c r="Q2878" s="19">
        <f>IF(AND($F2878="Compareceu",$E2878&lt;&gt;"",$A2878&lt;&gt;""),IF(IFERROR(INDEX(ProcRet,MATCH($E2878,ProcNome,0)),0)&gt;0,$A2878+INDEX(ProcRet,MATCH($E2878,ProcNome,0)),""),"")</f>
        <v>0</v>
      </c>
      <c r="R2878" s="26">
        <f>IF($Q2878="","",IF(COUNTIFS(AgPac,$D2878,AgData,"&gt;"&amp;$A2878,AgStatus,"&lt;&gt;Cancelado",AgStatus,"&lt;&gt;Remarcado")&gt;0,"Sim","Não"))</f>
        <v>0</v>
      </c>
      <c r="S2878" s="28">
        <f>IF($A2878="","",IF(AND($F2878="Agendado",$A2878-Hoje&gt;=0,$A2878-Hoje&lt;=DiasConf),"CONFIRMAR",IF(AND($A2878&lt;Hoje,OR($F2878="Agendado",$F2878="Confirmado")),"Atualizar status",IF(AND($F2878="Compareceu",$P2878&gt;0.005),"Cobrar",IF($F2878="Faltou","Falta: reagendar","")))))</f>
        <v>0</v>
      </c>
      <c r="T2878" s="29">
        <f>IF($A2878="","",DATE(YEAR($A2878),MONTH($A2878),1))</f>
        <v>0</v>
      </c>
      <c r="U2878" s="30">
        <f>IF($S2878="CONFIRMAR",MAX($U$4:$U2877)+1,"")</f>
        <v>0</v>
      </c>
      <c r="V2878" s="30">
        <f>IF(AND($R2878="Não",$Q2878&lt;&gt;"",$Q2878&lt;=Hoje+JanelaRet,$Q2878&gt;=Hoje-60),MAX($V$4:$V2877)+1,"")</f>
        <v>0</v>
      </c>
    </row>
    <row r="2879" spans="1:22">
      <c r="A2879" s="16"/>
      <c r="B2879" s="23"/>
      <c r="C2879" s="15"/>
      <c r="D2879" s="15"/>
      <c r="E2879" s="15"/>
      <c r="F2879" s="24"/>
      <c r="G2879" s="17"/>
      <c r="H2879" s="17"/>
      <c r="I2879" s="15"/>
      <c r="J2879" s="25">
        <f>IF($D2879="","",IFERROR(INDEX(PacNome,MATCH($D2879,PacCod,0)),"Paciente não cadastrado"))</f>
        <v>0</v>
      </c>
      <c r="K2879" s="26">
        <f>IF($D2879="","",IFERROR(INDEX(PacConv,MATCH($D2879,PacCod,0))&amp;"",""))</f>
        <v>0</v>
      </c>
      <c r="L2879" s="26">
        <f>IF($A2879="","",CHOOSE(WEEKDAY($A2879,2),"Seg","Ter","Qua","Qui","Sex","Sáb","Dom"))</f>
        <v>0</v>
      </c>
      <c r="M2879" s="27">
        <f>IF($E2879="","",IF($G2879&lt;&gt;"",$G2879,IFERROR(INDEX(ProcValor,MATCH($E2879,ProcNome,0)),0)))</f>
        <v>0</v>
      </c>
      <c r="N2879" s="27">
        <f>IF($M2879="","",IF($F2879="Compareceu",$M2879,0))</f>
        <v>0</v>
      </c>
      <c r="O2879" s="27">
        <f>IF($M2879="","",IF($F2879="Faltou",$M2879,0))</f>
        <v>0</v>
      </c>
      <c r="P2879" s="27">
        <f>IF($M2879="","",IF($F2879="Compareceu",MAX(0,$M2879-N($H2879)),0))</f>
        <v>0</v>
      </c>
      <c r="Q2879" s="19">
        <f>IF(AND($F2879="Compareceu",$E2879&lt;&gt;"",$A2879&lt;&gt;""),IF(IFERROR(INDEX(ProcRet,MATCH($E2879,ProcNome,0)),0)&gt;0,$A2879+INDEX(ProcRet,MATCH($E2879,ProcNome,0)),""),"")</f>
        <v>0</v>
      </c>
      <c r="R2879" s="26">
        <f>IF($Q2879="","",IF(COUNTIFS(AgPac,$D2879,AgData,"&gt;"&amp;$A2879,AgStatus,"&lt;&gt;Cancelado",AgStatus,"&lt;&gt;Remarcado")&gt;0,"Sim","Não"))</f>
        <v>0</v>
      </c>
      <c r="S2879" s="28">
        <f>IF($A2879="","",IF(AND($F2879="Agendado",$A2879-Hoje&gt;=0,$A2879-Hoje&lt;=DiasConf),"CONFIRMAR",IF(AND($A2879&lt;Hoje,OR($F2879="Agendado",$F2879="Confirmado")),"Atualizar status",IF(AND($F2879="Compareceu",$P2879&gt;0.005),"Cobrar",IF($F2879="Faltou","Falta: reagendar","")))))</f>
        <v>0</v>
      </c>
      <c r="T2879" s="29">
        <f>IF($A2879="","",DATE(YEAR($A2879),MONTH($A2879),1))</f>
        <v>0</v>
      </c>
      <c r="U2879" s="30">
        <f>IF($S2879="CONFIRMAR",MAX($U$4:$U2878)+1,"")</f>
        <v>0</v>
      </c>
      <c r="V2879" s="30">
        <f>IF(AND($R2879="Não",$Q2879&lt;&gt;"",$Q2879&lt;=Hoje+JanelaRet,$Q2879&gt;=Hoje-60),MAX($V$4:$V2878)+1,"")</f>
        <v>0</v>
      </c>
    </row>
    <row r="2880" spans="1:22">
      <c r="A2880" s="16"/>
      <c r="B2880" s="23"/>
      <c r="C2880" s="15"/>
      <c r="D2880" s="15"/>
      <c r="E2880" s="15"/>
      <c r="F2880" s="24"/>
      <c r="G2880" s="17"/>
      <c r="H2880" s="17"/>
      <c r="I2880" s="15"/>
      <c r="J2880" s="25">
        <f>IF($D2880="","",IFERROR(INDEX(PacNome,MATCH($D2880,PacCod,0)),"Paciente não cadastrado"))</f>
        <v>0</v>
      </c>
      <c r="K2880" s="26">
        <f>IF($D2880="","",IFERROR(INDEX(PacConv,MATCH($D2880,PacCod,0))&amp;"",""))</f>
        <v>0</v>
      </c>
      <c r="L2880" s="26">
        <f>IF($A2880="","",CHOOSE(WEEKDAY($A2880,2),"Seg","Ter","Qua","Qui","Sex","Sáb","Dom"))</f>
        <v>0</v>
      </c>
      <c r="M2880" s="27">
        <f>IF($E2880="","",IF($G2880&lt;&gt;"",$G2880,IFERROR(INDEX(ProcValor,MATCH($E2880,ProcNome,0)),0)))</f>
        <v>0</v>
      </c>
      <c r="N2880" s="27">
        <f>IF($M2880="","",IF($F2880="Compareceu",$M2880,0))</f>
        <v>0</v>
      </c>
      <c r="O2880" s="27">
        <f>IF($M2880="","",IF($F2880="Faltou",$M2880,0))</f>
        <v>0</v>
      </c>
      <c r="P2880" s="27">
        <f>IF($M2880="","",IF($F2880="Compareceu",MAX(0,$M2880-N($H2880)),0))</f>
        <v>0</v>
      </c>
      <c r="Q2880" s="19">
        <f>IF(AND($F2880="Compareceu",$E2880&lt;&gt;"",$A2880&lt;&gt;""),IF(IFERROR(INDEX(ProcRet,MATCH($E2880,ProcNome,0)),0)&gt;0,$A2880+INDEX(ProcRet,MATCH($E2880,ProcNome,0)),""),"")</f>
        <v>0</v>
      </c>
      <c r="R2880" s="26">
        <f>IF($Q2880="","",IF(COUNTIFS(AgPac,$D2880,AgData,"&gt;"&amp;$A2880,AgStatus,"&lt;&gt;Cancelado",AgStatus,"&lt;&gt;Remarcado")&gt;0,"Sim","Não"))</f>
        <v>0</v>
      </c>
      <c r="S2880" s="28">
        <f>IF($A2880="","",IF(AND($F2880="Agendado",$A2880-Hoje&gt;=0,$A2880-Hoje&lt;=DiasConf),"CONFIRMAR",IF(AND($A2880&lt;Hoje,OR($F2880="Agendado",$F2880="Confirmado")),"Atualizar status",IF(AND($F2880="Compareceu",$P2880&gt;0.005),"Cobrar",IF($F2880="Faltou","Falta: reagendar","")))))</f>
        <v>0</v>
      </c>
      <c r="T2880" s="29">
        <f>IF($A2880="","",DATE(YEAR($A2880),MONTH($A2880),1))</f>
        <v>0</v>
      </c>
      <c r="U2880" s="30">
        <f>IF($S2880="CONFIRMAR",MAX($U$4:$U2879)+1,"")</f>
        <v>0</v>
      </c>
      <c r="V2880" s="30">
        <f>IF(AND($R2880="Não",$Q2880&lt;&gt;"",$Q2880&lt;=Hoje+JanelaRet,$Q2880&gt;=Hoje-60),MAX($V$4:$V2879)+1,"")</f>
        <v>0</v>
      </c>
    </row>
    <row r="2881" spans="1:22">
      <c r="A2881" s="16"/>
      <c r="B2881" s="23"/>
      <c r="C2881" s="15"/>
      <c r="D2881" s="15"/>
      <c r="E2881" s="15"/>
      <c r="F2881" s="24"/>
      <c r="G2881" s="17"/>
      <c r="H2881" s="17"/>
      <c r="I2881" s="15"/>
      <c r="J2881" s="25">
        <f>IF($D2881="","",IFERROR(INDEX(PacNome,MATCH($D2881,PacCod,0)),"Paciente não cadastrado"))</f>
        <v>0</v>
      </c>
      <c r="K2881" s="26">
        <f>IF($D2881="","",IFERROR(INDEX(PacConv,MATCH($D2881,PacCod,0))&amp;"",""))</f>
        <v>0</v>
      </c>
      <c r="L2881" s="26">
        <f>IF($A2881="","",CHOOSE(WEEKDAY($A2881,2),"Seg","Ter","Qua","Qui","Sex","Sáb","Dom"))</f>
        <v>0</v>
      </c>
      <c r="M2881" s="27">
        <f>IF($E2881="","",IF($G2881&lt;&gt;"",$G2881,IFERROR(INDEX(ProcValor,MATCH($E2881,ProcNome,0)),0)))</f>
        <v>0</v>
      </c>
      <c r="N2881" s="27">
        <f>IF($M2881="","",IF($F2881="Compareceu",$M2881,0))</f>
        <v>0</v>
      </c>
      <c r="O2881" s="27">
        <f>IF($M2881="","",IF($F2881="Faltou",$M2881,0))</f>
        <v>0</v>
      </c>
      <c r="P2881" s="27">
        <f>IF($M2881="","",IF($F2881="Compareceu",MAX(0,$M2881-N($H2881)),0))</f>
        <v>0</v>
      </c>
      <c r="Q2881" s="19">
        <f>IF(AND($F2881="Compareceu",$E2881&lt;&gt;"",$A2881&lt;&gt;""),IF(IFERROR(INDEX(ProcRet,MATCH($E2881,ProcNome,0)),0)&gt;0,$A2881+INDEX(ProcRet,MATCH($E2881,ProcNome,0)),""),"")</f>
        <v>0</v>
      </c>
      <c r="R2881" s="26">
        <f>IF($Q2881="","",IF(COUNTIFS(AgPac,$D2881,AgData,"&gt;"&amp;$A2881,AgStatus,"&lt;&gt;Cancelado",AgStatus,"&lt;&gt;Remarcado")&gt;0,"Sim","Não"))</f>
        <v>0</v>
      </c>
      <c r="S2881" s="28">
        <f>IF($A2881="","",IF(AND($F2881="Agendado",$A2881-Hoje&gt;=0,$A2881-Hoje&lt;=DiasConf),"CONFIRMAR",IF(AND($A2881&lt;Hoje,OR($F2881="Agendado",$F2881="Confirmado")),"Atualizar status",IF(AND($F2881="Compareceu",$P2881&gt;0.005),"Cobrar",IF($F2881="Faltou","Falta: reagendar","")))))</f>
        <v>0</v>
      </c>
      <c r="T2881" s="29">
        <f>IF($A2881="","",DATE(YEAR($A2881),MONTH($A2881),1))</f>
        <v>0</v>
      </c>
      <c r="U2881" s="30">
        <f>IF($S2881="CONFIRMAR",MAX($U$4:$U2880)+1,"")</f>
        <v>0</v>
      </c>
      <c r="V2881" s="30">
        <f>IF(AND($R2881="Não",$Q2881&lt;&gt;"",$Q2881&lt;=Hoje+JanelaRet,$Q2881&gt;=Hoje-60),MAX($V$4:$V2880)+1,"")</f>
        <v>0</v>
      </c>
    </row>
    <row r="2882" spans="1:22">
      <c r="A2882" s="16"/>
      <c r="B2882" s="23"/>
      <c r="C2882" s="15"/>
      <c r="D2882" s="15"/>
      <c r="E2882" s="15"/>
      <c r="F2882" s="24"/>
      <c r="G2882" s="17"/>
      <c r="H2882" s="17"/>
      <c r="I2882" s="15"/>
      <c r="J2882" s="25">
        <f>IF($D2882="","",IFERROR(INDEX(PacNome,MATCH($D2882,PacCod,0)),"Paciente não cadastrado"))</f>
        <v>0</v>
      </c>
      <c r="K2882" s="26">
        <f>IF($D2882="","",IFERROR(INDEX(PacConv,MATCH($D2882,PacCod,0))&amp;"",""))</f>
        <v>0</v>
      </c>
      <c r="L2882" s="26">
        <f>IF($A2882="","",CHOOSE(WEEKDAY($A2882,2),"Seg","Ter","Qua","Qui","Sex","Sáb","Dom"))</f>
        <v>0</v>
      </c>
      <c r="M2882" s="27">
        <f>IF($E2882="","",IF($G2882&lt;&gt;"",$G2882,IFERROR(INDEX(ProcValor,MATCH($E2882,ProcNome,0)),0)))</f>
        <v>0</v>
      </c>
      <c r="N2882" s="27">
        <f>IF($M2882="","",IF($F2882="Compareceu",$M2882,0))</f>
        <v>0</v>
      </c>
      <c r="O2882" s="27">
        <f>IF($M2882="","",IF($F2882="Faltou",$M2882,0))</f>
        <v>0</v>
      </c>
      <c r="P2882" s="27">
        <f>IF($M2882="","",IF($F2882="Compareceu",MAX(0,$M2882-N($H2882)),0))</f>
        <v>0</v>
      </c>
      <c r="Q2882" s="19">
        <f>IF(AND($F2882="Compareceu",$E2882&lt;&gt;"",$A2882&lt;&gt;""),IF(IFERROR(INDEX(ProcRet,MATCH($E2882,ProcNome,0)),0)&gt;0,$A2882+INDEX(ProcRet,MATCH($E2882,ProcNome,0)),""),"")</f>
        <v>0</v>
      </c>
      <c r="R2882" s="26">
        <f>IF($Q2882="","",IF(COUNTIFS(AgPac,$D2882,AgData,"&gt;"&amp;$A2882,AgStatus,"&lt;&gt;Cancelado",AgStatus,"&lt;&gt;Remarcado")&gt;0,"Sim","Não"))</f>
        <v>0</v>
      </c>
      <c r="S2882" s="28">
        <f>IF($A2882="","",IF(AND($F2882="Agendado",$A2882-Hoje&gt;=0,$A2882-Hoje&lt;=DiasConf),"CONFIRMAR",IF(AND($A2882&lt;Hoje,OR($F2882="Agendado",$F2882="Confirmado")),"Atualizar status",IF(AND($F2882="Compareceu",$P2882&gt;0.005),"Cobrar",IF($F2882="Faltou","Falta: reagendar","")))))</f>
        <v>0</v>
      </c>
      <c r="T2882" s="29">
        <f>IF($A2882="","",DATE(YEAR($A2882),MONTH($A2882),1))</f>
        <v>0</v>
      </c>
      <c r="U2882" s="30">
        <f>IF($S2882="CONFIRMAR",MAX($U$4:$U2881)+1,"")</f>
        <v>0</v>
      </c>
      <c r="V2882" s="30">
        <f>IF(AND($R2882="Não",$Q2882&lt;&gt;"",$Q2882&lt;=Hoje+JanelaRet,$Q2882&gt;=Hoje-60),MAX($V$4:$V2881)+1,"")</f>
        <v>0</v>
      </c>
    </row>
    <row r="2883" spans="1:22">
      <c r="A2883" s="16"/>
      <c r="B2883" s="23"/>
      <c r="C2883" s="15"/>
      <c r="D2883" s="15"/>
      <c r="E2883" s="15"/>
      <c r="F2883" s="24"/>
      <c r="G2883" s="17"/>
      <c r="H2883" s="17"/>
      <c r="I2883" s="15"/>
      <c r="J2883" s="25">
        <f>IF($D2883="","",IFERROR(INDEX(PacNome,MATCH($D2883,PacCod,0)),"Paciente não cadastrado"))</f>
        <v>0</v>
      </c>
      <c r="K2883" s="26">
        <f>IF($D2883="","",IFERROR(INDEX(PacConv,MATCH($D2883,PacCod,0))&amp;"",""))</f>
        <v>0</v>
      </c>
      <c r="L2883" s="26">
        <f>IF($A2883="","",CHOOSE(WEEKDAY($A2883,2),"Seg","Ter","Qua","Qui","Sex","Sáb","Dom"))</f>
        <v>0</v>
      </c>
      <c r="M2883" s="27">
        <f>IF($E2883="","",IF($G2883&lt;&gt;"",$G2883,IFERROR(INDEX(ProcValor,MATCH($E2883,ProcNome,0)),0)))</f>
        <v>0</v>
      </c>
      <c r="N2883" s="27">
        <f>IF($M2883="","",IF($F2883="Compareceu",$M2883,0))</f>
        <v>0</v>
      </c>
      <c r="O2883" s="27">
        <f>IF($M2883="","",IF($F2883="Faltou",$M2883,0))</f>
        <v>0</v>
      </c>
      <c r="P2883" s="27">
        <f>IF($M2883="","",IF($F2883="Compareceu",MAX(0,$M2883-N($H2883)),0))</f>
        <v>0</v>
      </c>
      <c r="Q2883" s="19">
        <f>IF(AND($F2883="Compareceu",$E2883&lt;&gt;"",$A2883&lt;&gt;""),IF(IFERROR(INDEX(ProcRet,MATCH($E2883,ProcNome,0)),0)&gt;0,$A2883+INDEX(ProcRet,MATCH($E2883,ProcNome,0)),""),"")</f>
        <v>0</v>
      </c>
      <c r="R2883" s="26">
        <f>IF($Q2883="","",IF(COUNTIFS(AgPac,$D2883,AgData,"&gt;"&amp;$A2883,AgStatus,"&lt;&gt;Cancelado",AgStatus,"&lt;&gt;Remarcado")&gt;0,"Sim","Não"))</f>
        <v>0</v>
      </c>
      <c r="S2883" s="28">
        <f>IF($A2883="","",IF(AND($F2883="Agendado",$A2883-Hoje&gt;=0,$A2883-Hoje&lt;=DiasConf),"CONFIRMAR",IF(AND($A2883&lt;Hoje,OR($F2883="Agendado",$F2883="Confirmado")),"Atualizar status",IF(AND($F2883="Compareceu",$P2883&gt;0.005),"Cobrar",IF($F2883="Faltou","Falta: reagendar","")))))</f>
        <v>0</v>
      </c>
      <c r="T2883" s="29">
        <f>IF($A2883="","",DATE(YEAR($A2883),MONTH($A2883),1))</f>
        <v>0</v>
      </c>
      <c r="U2883" s="30">
        <f>IF($S2883="CONFIRMAR",MAX($U$4:$U2882)+1,"")</f>
        <v>0</v>
      </c>
      <c r="V2883" s="30">
        <f>IF(AND($R2883="Não",$Q2883&lt;&gt;"",$Q2883&lt;=Hoje+JanelaRet,$Q2883&gt;=Hoje-60),MAX($V$4:$V2882)+1,"")</f>
        <v>0</v>
      </c>
    </row>
    <row r="2884" spans="1:22">
      <c r="A2884" s="16"/>
      <c r="B2884" s="23"/>
      <c r="C2884" s="15"/>
      <c r="D2884" s="15"/>
      <c r="E2884" s="15"/>
      <c r="F2884" s="24"/>
      <c r="G2884" s="17"/>
      <c r="H2884" s="17"/>
      <c r="I2884" s="15"/>
      <c r="J2884" s="25">
        <f>IF($D2884="","",IFERROR(INDEX(PacNome,MATCH($D2884,PacCod,0)),"Paciente não cadastrado"))</f>
        <v>0</v>
      </c>
      <c r="K2884" s="26">
        <f>IF($D2884="","",IFERROR(INDEX(PacConv,MATCH($D2884,PacCod,0))&amp;"",""))</f>
        <v>0</v>
      </c>
      <c r="L2884" s="26">
        <f>IF($A2884="","",CHOOSE(WEEKDAY($A2884,2),"Seg","Ter","Qua","Qui","Sex","Sáb","Dom"))</f>
        <v>0</v>
      </c>
      <c r="M2884" s="27">
        <f>IF($E2884="","",IF($G2884&lt;&gt;"",$G2884,IFERROR(INDEX(ProcValor,MATCH($E2884,ProcNome,0)),0)))</f>
        <v>0</v>
      </c>
      <c r="N2884" s="27">
        <f>IF($M2884="","",IF($F2884="Compareceu",$M2884,0))</f>
        <v>0</v>
      </c>
      <c r="O2884" s="27">
        <f>IF($M2884="","",IF($F2884="Faltou",$M2884,0))</f>
        <v>0</v>
      </c>
      <c r="P2884" s="27">
        <f>IF($M2884="","",IF($F2884="Compareceu",MAX(0,$M2884-N($H2884)),0))</f>
        <v>0</v>
      </c>
      <c r="Q2884" s="19">
        <f>IF(AND($F2884="Compareceu",$E2884&lt;&gt;"",$A2884&lt;&gt;""),IF(IFERROR(INDEX(ProcRet,MATCH($E2884,ProcNome,0)),0)&gt;0,$A2884+INDEX(ProcRet,MATCH($E2884,ProcNome,0)),""),"")</f>
        <v>0</v>
      </c>
      <c r="R2884" s="26">
        <f>IF($Q2884="","",IF(COUNTIFS(AgPac,$D2884,AgData,"&gt;"&amp;$A2884,AgStatus,"&lt;&gt;Cancelado",AgStatus,"&lt;&gt;Remarcado")&gt;0,"Sim","Não"))</f>
        <v>0</v>
      </c>
      <c r="S2884" s="28">
        <f>IF($A2884="","",IF(AND($F2884="Agendado",$A2884-Hoje&gt;=0,$A2884-Hoje&lt;=DiasConf),"CONFIRMAR",IF(AND($A2884&lt;Hoje,OR($F2884="Agendado",$F2884="Confirmado")),"Atualizar status",IF(AND($F2884="Compareceu",$P2884&gt;0.005),"Cobrar",IF($F2884="Faltou","Falta: reagendar","")))))</f>
        <v>0</v>
      </c>
      <c r="T2884" s="29">
        <f>IF($A2884="","",DATE(YEAR($A2884),MONTH($A2884),1))</f>
        <v>0</v>
      </c>
      <c r="U2884" s="30">
        <f>IF($S2884="CONFIRMAR",MAX($U$4:$U2883)+1,"")</f>
        <v>0</v>
      </c>
      <c r="V2884" s="30">
        <f>IF(AND($R2884="Não",$Q2884&lt;&gt;"",$Q2884&lt;=Hoje+JanelaRet,$Q2884&gt;=Hoje-60),MAX($V$4:$V2883)+1,"")</f>
        <v>0</v>
      </c>
    </row>
    <row r="2885" spans="1:22">
      <c r="A2885" s="16"/>
      <c r="B2885" s="23"/>
      <c r="C2885" s="15"/>
      <c r="D2885" s="15"/>
      <c r="E2885" s="15"/>
      <c r="F2885" s="24"/>
      <c r="G2885" s="17"/>
      <c r="H2885" s="17"/>
      <c r="I2885" s="15"/>
      <c r="J2885" s="25">
        <f>IF($D2885="","",IFERROR(INDEX(PacNome,MATCH($D2885,PacCod,0)),"Paciente não cadastrado"))</f>
        <v>0</v>
      </c>
      <c r="K2885" s="26">
        <f>IF($D2885="","",IFERROR(INDEX(PacConv,MATCH($D2885,PacCod,0))&amp;"",""))</f>
        <v>0</v>
      </c>
      <c r="L2885" s="26">
        <f>IF($A2885="","",CHOOSE(WEEKDAY($A2885,2),"Seg","Ter","Qua","Qui","Sex","Sáb","Dom"))</f>
        <v>0</v>
      </c>
      <c r="M2885" s="27">
        <f>IF($E2885="","",IF($G2885&lt;&gt;"",$G2885,IFERROR(INDEX(ProcValor,MATCH($E2885,ProcNome,0)),0)))</f>
        <v>0</v>
      </c>
      <c r="N2885" s="27">
        <f>IF($M2885="","",IF($F2885="Compareceu",$M2885,0))</f>
        <v>0</v>
      </c>
      <c r="O2885" s="27">
        <f>IF($M2885="","",IF($F2885="Faltou",$M2885,0))</f>
        <v>0</v>
      </c>
      <c r="P2885" s="27">
        <f>IF($M2885="","",IF($F2885="Compareceu",MAX(0,$M2885-N($H2885)),0))</f>
        <v>0</v>
      </c>
      <c r="Q2885" s="19">
        <f>IF(AND($F2885="Compareceu",$E2885&lt;&gt;"",$A2885&lt;&gt;""),IF(IFERROR(INDEX(ProcRet,MATCH($E2885,ProcNome,0)),0)&gt;0,$A2885+INDEX(ProcRet,MATCH($E2885,ProcNome,0)),""),"")</f>
        <v>0</v>
      </c>
      <c r="R2885" s="26">
        <f>IF($Q2885="","",IF(COUNTIFS(AgPac,$D2885,AgData,"&gt;"&amp;$A2885,AgStatus,"&lt;&gt;Cancelado",AgStatus,"&lt;&gt;Remarcado")&gt;0,"Sim","Não"))</f>
        <v>0</v>
      </c>
      <c r="S2885" s="28">
        <f>IF($A2885="","",IF(AND($F2885="Agendado",$A2885-Hoje&gt;=0,$A2885-Hoje&lt;=DiasConf),"CONFIRMAR",IF(AND($A2885&lt;Hoje,OR($F2885="Agendado",$F2885="Confirmado")),"Atualizar status",IF(AND($F2885="Compareceu",$P2885&gt;0.005),"Cobrar",IF($F2885="Faltou","Falta: reagendar","")))))</f>
        <v>0</v>
      </c>
      <c r="T2885" s="29">
        <f>IF($A2885="","",DATE(YEAR($A2885),MONTH($A2885),1))</f>
        <v>0</v>
      </c>
      <c r="U2885" s="30">
        <f>IF($S2885="CONFIRMAR",MAX($U$4:$U2884)+1,"")</f>
        <v>0</v>
      </c>
      <c r="V2885" s="30">
        <f>IF(AND($R2885="Não",$Q2885&lt;&gt;"",$Q2885&lt;=Hoje+JanelaRet,$Q2885&gt;=Hoje-60),MAX($V$4:$V2884)+1,"")</f>
        <v>0</v>
      </c>
    </row>
    <row r="2886" spans="1:22">
      <c r="A2886" s="16"/>
      <c r="B2886" s="23"/>
      <c r="C2886" s="15"/>
      <c r="D2886" s="15"/>
      <c r="E2886" s="15"/>
      <c r="F2886" s="24"/>
      <c r="G2886" s="17"/>
      <c r="H2886" s="17"/>
      <c r="I2886" s="15"/>
      <c r="J2886" s="25">
        <f>IF($D2886="","",IFERROR(INDEX(PacNome,MATCH($D2886,PacCod,0)),"Paciente não cadastrado"))</f>
        <v>0</v>
      </c>
      <c r="K2886" s="26">
        <f>IF($D2886="","",IFERROR(INDEX(PacConv,MATCH($D2886,PacCod,0))&amp;"",""))</f>
        <v>0</v>
      </c>
      <c r="L2886" s="26">
        <f>IF($A2886="","",CHOOSE(WEEKDAY($A2886,2),"Seg","Ter","Qua","Qui","Sex","Sáb","Dom"))</f>
        <v>0</v>
      </c>
      <c r="M2886" s="27">
        <f>IF($E2886="","",IF($G2886&lt;&gt;"",$G2886,IFERROR(INDEX(ProcValor,MATCH($E2886,ProcNome,0)),0)))</f>
        <v>0</v>
      </c>
      <c r="N2886" s="27">
        <f>IF($M2886="","",IF($F2886="Compareceu",$M2886,0))</f>
        <v>0</v>
      </c>
      <c r="O2886" s="27">
        <f>IF($M2886="","",IF($F2886="Faltou",$M2886,0))</f>
        <v>0</v>
      </c>
      <c r="P2886" s="27">
        <f>IF($M2886="","",IF($F2886="Compareceu",MAX(0,$M2886-N($H2886)),0))</f>
        <v>0</v>
      </c>
      <c r="Q2886" s="19">
        <f>IF(AND($F2886="Compareceu",$E2886&lt;&gt;"",$A2886&lt;&gt;""),IF(IFERROR(INDEX(ProcRet,MATCH($E2886,ProcNome,0)),0)&gt;0,$A2886+INDEX(ProcRet,MATCH($E2886,ProcNome,0)),""),"")</f>
        <v>0</v>
      </c>
      <c r="R2886" s="26">
        <f>IF($Q2886="","",IF(COUNTIFS(AgPac,$D2886,AgData,"&gt;"&amp;$A2886,AgStatus,"&lt;&gt;Cancelado",AgStatus,"&lt;&gt;Remarcado")&gt;0,"Sim","Não"))</f>
        <v>0</v>
      </c>
      <c r="S2886" s="28">
        <f>IF($A2886="","",IF(AND($F2886="Agendado",$A2886-Hoje&gt;=0,$A2886-Hoje&lt;=DiasConf),"CONFIRMAR",IF(AND($A2886&lt;Hoje,OR($F2886="Agendado",$F2886="Confirmado")),"Atualizar status",IF(AND($F2886="Compareceu",$P2886&gt;0.005),"Cobrar",IF($F2886="Faltou","Falta: reagendar","")))))</f>
        <v>0</v>
      </c>
      <c r="T2886" s="29">
        <f>IF($A2886="","",DATE(YEAR($A2886),MONTH($A2886),1))</f>
        <v>0</v>
      </c>
      <c r="U2886" s="30">
        <f>IF($S2886="CONFIRMAR",MAX($U$4:$U2885)+1,"")</f>
        <v>0</v>
      </c>
      <c r="V2886" s="30">
        <f>IF(AND($R2886="Não",$Q2886&lt;&gt;"",$Q2886&lt;=Hoje+JanelaRet,$Q2886&gt;=Hoje-60),MAX($V$4:$V2885)+1,"")</f>
        <v>0</v>
      </c>
    </row>
    <row r="2887" spans="1:22">
      <c r="A2887" s="16"/>
      <c r="B2887" s="23"/>
      <c r="C2887" s="15"/>
      <c r="D2887" s="15"/>
      <c r="E2887" s="15"/>
      <c r="F2887" s="24"/>
      <c r="G2887" s="17"/>
      <c r="H2887" s="17"/>
      <c r="I2887" s="15"/>
      <c r="J2887" s="25">
        <f>IF($D2887="","",IFERROR(INDEX(PacNome,MATCH($D2887,PacCod,0)),"Paciente não cadastrado"))</f>
        <v>0</v>
      </c>
      <c r="K2887" s="26">
        <f>IF($D2887="","",IFERROR(INDEX(PacConv,MATCH($D2887,PacCod,0))&amp;"",""))</f>
        <v>0</v>
      </c>
      <c r="L2887" s="26">
        <f>IF($A2887="","",CHOOSE(WEEKDAY($A2887,2),"Seg","Ter","Qua","Qui","Sex","Sáb","Dom"))</f>
        <v>0</v>
      </c>
      <c r="M2887" s="27">
        <f>IF($E2887="","",IF($G2887&lt;&gt;"",$G2887,IFERROR(INDEX(ProcValor,MATCH($E2887,ProcNome,0)),0)))</f>
        <v>0</v>
      </c>
      <c r="N2887" s="27">
        <f>IF($M2887="","",IF($F2887="Compareceu",$M2887,0))</f>
        <v>0</v>
      </c>
      <c r="O2887" s="27">
        <f>IF($M2887="","",IF($F2887="Faltou",$M2887,0))</f>
        <v>0</v>
      </c>
      <c r="P2887" s="27">
        <f>IF($M2887="","",IF($F2887="Compareceu",MAX(0,$M2887-N($H2887)),0))</f>
        <v>0</v>
      </c>
      <c r="Q2887" s="19">
        <f>IF(AND($F2887="Compareceu",$E2887&lt;&gt;"",$A2887&lt;&gt;""),IF(IFERROR(INDEX(ProcRet,MATCH($E2887,ProcNome,0)),0)&gt;0,$A2887+INDEX(ProcRet,MATCH($E2887,ProcNome,0)),""),"")</f>
        <v>0</v>
      </c>
      <c r="R2887" s="26">
        <f>IF($Q2887="","",IF(COUNTIFS(AgPac,$D2887,AgData,"&gt;"&amp;$A2887,AgStatus,"&lt;&gt;Cancelado",AgStatus,"&lt;&gt;Remarcado")&gt;0,"Sim","Não"))</f>
        <v>0</v>
      </c>
      <c r="S2887" s="28">
        <f>IF($A2887="","",IF(AND($F2887="Agendado",$A2887-Hoje&gt;=0,$A2887-Hoje&lt;=DiasConf),"CONFIRMAR",IF(AND($A2887&lt;Hoje,OR($F2887="Agendado",$F2887="Confirmado")),"Atualizar status",IF(AND($F2887="Compareceu",$P2887&gt;0.005),"Cobrar",IF($F2887="Faltou","Falta: reagendar","")))))</f>
        <v>0</v>
      </c>
      <c r="T2887" s="29">
        <f>IF($A2887="","",DATE(YEAR($A2887),MONTH($A2887),1))</f>
        <v>0</v>
      </c>
      <c r="U2887" s="30">
        <f>IF($S2887="CONFIRMAR",MAX($U$4:$U2886)+1,"")</f>
        <v>0</v>
      </c>
      <c r="V2887" s="30">
        <f>IF(AND($R2887="Não",$Q2887&lt;&gt;"",$Q2887&lt;=Hoje+JanelaRet,$Q2887&gt;=Hoje-60),MAX($V$4:$V2886)+1,"")</f>
        <v>0</v>
      </c>
    </row>
    <row r="2888" spans="1:22">
      <c r="A2888" s="16"/>
      <c r="B2888" s="23"/>
      <c r="C2888" s="15"/>
      <c r="D2888" s="15"/>
      <c r="E2888" s="15"/>
      <c r="F2888" s="24"/>
      <c r="G2888" s="17"/>
      <c r="H2888" s="17"/>
      <c r="I2888" s="15"/>
      <c r="J2888" s="25">
        <f>IF($D2888="","",IFERROR(INDEX(PacNome,MATCH($D2888,PacCod,0)),"Paciente não cadastrado"))</f>
        <v>0</v>
      </c>
      <c r="K2888" s="26">
        <f>IF($D2888="","",IFERROR(INDEX(PacConv,MATCH($D2888,PacCod,0))&amp;"",""))</f>
        <v>0</v>
      </c>
      <c r="L2888" s="26">
        <f>IF($A2888="","",CHOOSE(WEEKDAY($A2888,2),"Seg","Ter","Qua","Qui","Sex","Sáb","Dom"))</f>
        <v>0</v>
      </c>
      <c r="M2888" s="27">
        <f>IF($E2888="","",IF($G2888&lt;&gt;"",$G2888,IFERROR(INDEX(ProcValor,MATCH($E2888,ProcNome,0)),0)))</f>
        <v>0</v>
      </c>
      <c r="N2888" s="27">
        <f>IF($M2888="","",IF($F2888="Compareceu",$M2888,0))</f>
        <v>0</v>
      </c>
      <c r="O2888" s="27">
        <f>IF($M2888="","",IF($F2888="Faltou",$M2888,0))</f>
        <v>0</v>
      </c>
      <c r="P2888" s="27">
        <f>IF($M2888="","",IF($F2888="Compareceu",MAX(0,$M2888-N($H2888)),0))</f>
        <v>0</v>
      </c>
      <c r="Q2888" s="19">
        <f>IF(AND($F2888="Compareceu",$E2888&lt;&gt;"",$A2888&lt;&gt;""),IF(IFERROR(INDEX(ProcRet,MATCH($E2888,ProcNome,0)),0)&gt;0,$A2888+INDEX(ProcRet,MATCH($E2888,ProcNome,0)),""),"")</f>
        <v>0</v>
      </c>
      <c r="R2888" s="26">
        <f>IF($Q2888="","",IF(COUNTIFS(AgPac,$D2888,AgData,"&gt;"&amp;$A2888,AgStatus,"&lt;&gt;Cancelado",AgStatus,"&lt;&gt;Remarcado")&gt;0,"Sim","Não"))</f>
        <v>0</v>
      </c>
      <c r="S2888" s="28">
        <f>IF($A2888="","",IF(AND($F2888="Agendado",$A2888-Hoje&gt;=0,$A2888-Hoje&lt;=DiasConf),"CONFIRMAR",IF(AND($A2888&lt;Hoje,OR($F2888="Agendado",$F2888="Confirmado")),"Atualizar status",IF(AND($F2888="Compareceu",$P2888&gt;0.005),"Cobrar",IF($F2888="Faltou","Falta: reagendar","")))))</f>
        <v>0</v>
      </c>
      <c r="T2888" s="29">
        <f>IF($A2888="","",DATE(YEAR($A2888),MONTH($A2888),1))</f>
        <v>0</v>
      </c>
      <c r="U2888" s="30">
        <f>IF($S2888="CONFIRMAR",MAX($U$4:$U2887)+1,"")</f>
        <v>0</v>
      </c>
      <c r="V2888" s="30">
        <f>IF(AND($R2888="Não",$Q2888&lt;&gt;"",$Q2888&lt;=Hoje+JanelaRet,$Q2888&gt;=Hoje-60),MAX($V$4:$V2887)+1,"")</f>
        <v>0</v>
      </c>
    </row>
    <row r="2889" spans="1:22">
      <c r="A2889" s="16"/>
      <c r="B2889" s="23"/>
      <c r="C2889" s="15"/>
      <c r="D2889" s="15"/>
      <c r="E2889" s="15"/>
      <c r="F2889" s="24"/>
      <c r="G2889" s="17"/>
      <c r="H2889" s="17"/>
      <c r="I2889" s="15"/>
      <c r="J2889" s="25">
        <f>IF($D2889="","",IFERROR(INDEX(PacNome,MATCH($D2889,PacCod,0)),"Paciente não cadastrado"))</f>
        <v>0</v>
      </c>
      <c r="K2889" s="26">
        <f>IF($D2889="","",IFERROR(INDEX(PacConv,MATCH($D2889,PacCod,0))&amp;"",""))</f>
        <v>0</v>
      </c>
      <c r="L2889" s="26">
        <f>IF($A2889="","",CHOOSE(WEEKDAY($A2889,2),"Seg","Ter","Qua","Qui","Sex","Sáb","Dom"))</f>
        <v>0</v>
      </c>
      <c r="M2889" s="27">
        <f>IF($E2889="","",IF($G2889&lt;&gt;"",$G2889,IFERROR(INDEX(ProcValor,MATCH($E2889,ProcNome,0)),0)))</f>
        <v>0</v>
      </c>
      <c r="N2889" s="27">
        <f>IF($M2889="","",IF($F2889="Compareceu",$M2889,0))</f>
        <v>0</v>
      </c>
      <c r="O2889" s="27">
        <f>IF($M2889="","",IF($F2889="Faltou",$M2889,0))</f>
        <v>0</v>
      </c>
      <c r="P2889" s="27">
        <f>IF($M2889="","",IF($F2889="Compareceu",MAX(0,$M2889-N($H2889)),0))</f>
        <v>0</v>
      </c>
      <c r="Q2889" s="19">
        <f>IF(AND($F2889="Compareceu",$E2889&lt;&gt;"",$A2889&lt;&gt;""),IF(IFERROR(INDEX(ProcRet,MATCH($E2889,ProcNome,0)),0)&gt;0,$A2889+INDEX(ProcRet,MATCH($E2889,ProcNome,0)),""),"")</f>
        <v>0</v>
      </c>
      <c r="R2889" s="26">
        <f>IF($Q2889="","",IF(COUNTIFS(AgPac,$D2889,AgData,"&gt;"&amp;$A2889,AgStatus,"&lt;&gt;Cancelado",AgStatus,"&lt;&gt;Remarcado")&gt;0,"Sim","Não"))</f>
        <v>0</v>
      </c>
      <c r="S2889" s="28">
        <f>IF($A2889="","",IF(AND($F2889="Agendado",$A2889-Hoje&gt;=0,$A2889-Hoje&lt;=DiasConf),"CONFIRMAR",IF(AND($A2889&lt;Hoje,OR($F2889="Agendado",$F2889="Confirmado")),"Atualizar status",IF(AND($F2889="Compareceu",$P2889&gt;0.005),"Cobrar",IF($F2889="Faltou","Falta: reagendar","")))))</f>
        <v>0</v>
      </c>
      <c r="T2889" s="29">
        <f>IF($A2889="","",DATE(YEAR($A2889),MONTH($A2889),1))</f>
        <v>0</v>
      </c>
      <c r="U2889" s="30">
        <f>IF($S2889="CONFIRMAR",MAX($U$4:$U2888)+1,"")</f>
        <v>0</v>
      </c>
      <c r="V2889" s="30">
        <f>IF(AND($R2889="Não",$Q2889&lt;&gt;"",$Q2889&lt;=Hoje+JanelaRet,$Q2889&gt;=Hoje-60),MAX($V$4:$V2888)+1,"")</f>
        <v>0</v>
      </c>
    </row>
    <row r="2890" spans="1:22">
      <c r="A2890" s="16"/>
      <c r="B2890" s="23"/>
      <c r="C2890" s="15"/>
      <c r="D2890" s="15"/>
      <c r="E2890" s="15"/>
      <c r="F2890" s="24"/>
      <c r="G2890" s="17"/>
      <c r="H2890" s="17"/>
      <c r="I2890" s="15"/>
      <c r="J2890" s="25">
        <f>IF($D2890="","",IFERROR(INDEX(PacNome,MATCH($D2890,PacCod,0)),"Paciente não cadastrado"))</f>
        <v>0</v>
      </c>
      <c r="K2890" s="26">
        <f>IF($D2890="","",IFERROR(INDEX(PacConv,MATCH($D2890,PacCod,0))&amp;"",""))</f>
        <v>0</v>
      </c>
      <c r="L2890" s="26">
        <f>IF($A2890="","",CHOOSE(WEEKDAY($A2890,2),"Seg","Ter","Qua","Qui","Sex","Sáb","Dom"))</f>
        <v>0</v>
      </c>
      <c r="M2890" s="27">
        <f>IF($E2890="","",IF($G2890&lt;&gt;"",$G2890,IFERROR(INDEX(ProcValor,MATCH($E2890,ProcNome,0)),0)))</f>
        <v>0</v>
      </c>
      <c r="N2890" s="27">
        <f>IF($M2890="","",IF($F2890="Compareceu",$M2890,0))</f>
        <v>0</v>
      </c>
      <c r="O2890" s="27">
        <f>IF($M2890="","",IF($F2890="Faltou",$M2890,0))</f>
        <v>0</v>
      </c>
      <c r="P2890" s="27">
        <f>IF($M2890="","",IF($F2890="Compareceu",MAX(0,$M2890-N($H2890)),0))</f>
        <v>0</v>
      </c>
      <c r="Q2890" s="19">
        <f>IF(AND($F2890="Compareceu",$E2890&lt;&gt;"",$A2890&lt;&gt;""),IF(IFERROR(INDEX(ProcRet,MATCH($E2890,ProcNome,0)),0)&gt;0,$A2890+INDEX(ProcRet,MATCH($E2890,ProcNome,0)),""),"")</f>
        <v>0</v>
      </c>
      <c r="R2890" s="26">
        <f>IF($Q2890="","",IF(COUNTIFS(AgPac,$D2890,AgData,"&gt;"&amp;$A2890,AgStatus,"&lt;&gt;Cancelado",AgStatus,"&lt;&gt;Remarcado")&gt;0,"Sim","Não"))</f>
        <v>0</v>
      </c>
      <c r="S2890" s="28">
        <f>IF($A2890="","",IF(AND($F2890="Agendado",$A2890-Hoje&gt;=0,$A2890-Hoje&lt;=DiasConf),"CONFIRMAR",IF(AND($A2890&lt;Hoje,OR($F2890="Agendado",$F2890="Confirmado")),"Atualizar status",IF(AND($F2890="Compareceu",$P2890&gt;0.005),"Cobrar",IF($F2890="Faltou","Falta: reagendar","")))))</f>
        <v>0</v>
      </c>
      <c r="T2890" s="29">
        <f>IF($A2890="","",DATE(YEAR($A2890),MONTH($A2890),1))</f>
        <v>0</v>
      </c>
      <c r="U2890" s="30">
        <f>IF($S2890="CONFIRMAR",MAX($U$4:$U2889)+1,"")</f>
        <v>0</v>
      </c>
      <c r="V2890" s="30">
        <f>IF(AND($R2890="Não",$Q2890&lt;&gt;"",$Q2890&lt;=Hoje+JanelaRet,$Q2890&gt;=Hoje-60),MAX($V$4:$V2889)+1,"")</f>
        <v>0</v>
      </c>
    </row>
    <row r="2891" spans="1:22">
      <c r="A2891" s="16"/>
      <c r="B2891" s="23"/>
      <c r="C2891" s="15"/>
      <c r="D2891" s="15"/>
      <c r="E2891" s="15"/>
      <c r="F2891" s="24"/>
      <c r="G2891" s="17"/>
      <c r="H2891" s="17"/>
      <c r="I2891" s="15"/>
      <c r="J2891" s="25">
        <f>IF($D2891="","",IFERROR(INDEX(PacNome,MATCH($D2891,PacCod,0)),"Paciente não cadastrado"))</f>
        <v>0</v>
      </c>
      <c r="K2891" s="26">
        <f>IF($D2891="","",IFERROR(INDEX(PacConv,MATCH($D2891,PacCod,0))&amp;"",""))</f>
        <v>0</v>
      </c>
      <c r="L2891" s="26">
        <f>IF($A2891="","",CHOOSE(WEEKDAY($A2891,2),"Seg","Ter","Qua","Qui","Sex","Sáb","Dom"))</f>
        <v>0</v>
      </c>
      <c r="M2891" s="27">
        <f>IF($E2891="","",IF($G2891&lt;&gt;"",$G2891,IFERROR(INDEX(ProcValor,MATCH($E2891,ProcNome,0)),0)))</f>
        <v>0</v>
      </c>
      <c r="N2891" s="27">
        <f>IF($M2891="","",IF($F2891="Compareceu",$M2891,0))</f>
        <v>0</v>
      </c>
      <c r="O2891" s="27">
        <f>IF($M2891="","",IF($F2891="Faltou",$M2891,0))</f>
        <v>0</v>
      </c>
      <c r="P2891" s="27">
        <f>IF($M2891="","",IF($F2891="Compareceu",MAX(0,$M2891-N($H2891)),0))</f>
        <v>0</v>
      </c>
      <c r="Q2891" s="19">
        <f>IF(AND($F2891="Compareceu",$E2891&lt;&gt;"",$A2891&lt;&gt;""),IF(IFERROR(INDEX(ProcRet,MATCH($E2891,ProcNome,0)),0)&gt;0,$A2891+INDEX(ProcRet,MATCH($E2891,ProcNome,0)),""),"")</f>
        <v>0</v>
      </c>
      <c r="R2891" s="26">
        <f>IF($Q2891="","",IF(COUNTIFS(AgPac,$D2891,AgData,"&gt;"&amp;$A2891,AgStatus,"&lt;&gt;Cancelado",AgStatus,"&lt;&gt;Remarcado")&gt;0,"Sim","Não"))</f>
        <v>0</v>
      </c>
      <c r="S2891" s="28">
        <f>IF($A2891="","",IF(AND($F2891="Agendado",$A2891-Hoje&gt;=0,$A2891-Hoje&lt;=DiasConf),"CONFIRMAR",IF(AND($A2891&lt;Hoje,OR($F2891="Agendado",$F2891="Confirmado")),"Atualizar status",IF(AND($F2891="Compareceu",$P2891&gt;0.005),"Cobrar",IF($F2891="Faltou","Falta: reagendar","")))))</f>
        <v>0</v>
      </c>
      <c r="T2891" s="29">
        <f>IF($A2891="","",DATE(YEAR($A2891),MONTH($A2891),1))</f>
        <v>0</v>
      </c>
      <c r="U2891" s="30">
        <f>IF($S2891="CONFIRMAR",MAX($U$4:$U2890)+1,"")</f>
        <v>0</v>
      </c>
      <c r="V2891" s="30">
        <f>IF(AND($R2891="Não",$Q2891&lt;&gt;"",$Q2891&lt;=Hoje+JanelaRet,$Q2891&gt;=Hoje-60),MAX($V$4:$V2890)+1,"")</f>
        <v>0</v>
      </c>
    </row>
    <row r="2892" spans="1:22">
      <c r="A2892" s="16"/>
      <c r="B2892" s="23"/>
      <c r="C2892" s="15"/>
      <c r="D2892" s="15"/>
      <c r="E2892" s="15"/>
      <c r="F2892" s="24"/>
      <c r="G2892" s="17"/>
      <c r="H2892" s="17"/>
      <c r="I2892" s="15"/>
      <c r="J2892" s="25">
        <f>IF($D2892="","",IFERROR(INDEX(PacNome,MATCH($D2892,PacCod,0)),"Paciente não cadastrado"))</f>
        <v>0</v>
      </c>
      <c r="K2892" s="26">
        <f>IF($D2892="","",IFERROR(INDEX(PacConv,MATCH($D2892,PacCod,0))&amp;"",""))</f>
        <v>0</v>
      </c>
      <c r="L2892" s="26">
        <f>IF($A2892="","",CHOOSE(WEEKDAY($A2892,2),"Seg","Ter","Qua","Qui","Sex","Sáb","Dom"))</f>
        <v>0</v>
      </c>
      <c r="M2892" s="27">
        <f>IF($E2892="","",IF($G2892&lt;&gt;"",$G2892,IFERROR(INDEX(ProcValor,MATCH($E2892,ProcNome,0)),0)))</f>
        <v>0</v>
      </c>
      <c r="N2892" s="27">
        <f>IF($M2892="","",IF($F2892="Compareceu",$M2892,0))</f>
        <v>0</v>
      </c>
      <c r="O2892" s="27">
        <f>IF($M2892="","",IF($F2892="Faltou",$M2892,0))</f>
        <v>0</v>
      </c>
      <c r="P2892" s="27">
        <f>IF($M2892="","",IF($F2892="Compareceu",MAX(0,$M2892-N($H2892)),0))</f>
        <v>0</v>
      </c>
      <c r="Q2892" s="19">
        <f>IF(AND($F2892="Compareceu",$E2892&lt;&gt;"",$A2892&lt;&gt;""),IF(IFERROR(INDEX(ProcRet,MATCH($E2892,ProcNome,0)),0)&gt;0,$A2892+INDEX(ProcRet,MATCH($E2892,ProcNome,0)),""),"")</f>
        <v>0</v>
      </c>
      <c r="R2892" s="26">
        <f>IF($Q2892="","",IF(COUNTIFS(AgPac,$D2892,AgData,"&gt;"&amp;$A2892,AgStatus,"&lt;&gt;Cancelado",AgStatus,"&lt;&gt;Remarcado")&gt;0,"Sim","Não"))</f>
        <v>0</v>
      </c>
      <c r="S2892" s="28">
        <f>IF($A2892="","",IF(AND($F2892="Agendado",$A2892-Hoje&gt;=0,$A2892-Hoje&lt;=DiasConf),"CONFIRMAR",IF(AND($A2892&lt;Hoje,OR($F2892="Agendado",$F2892="Confirmado")),"Atualizar status",IF(AND($F2892="Compareceu",$P2892&gt;0.005),"Cobrar",IF($F2892="Faltou","Falta: reagendar","")))))</f>
        <v>0</v>
      </c>
      <c r="T2892" s="29">
        <f>IF($A2892="","",DATE(YEAR($A2892),MONTH($A2892),1))</f>
        <v>0</v>
      </c>
      <c r="U2892" s="30">
        <f>IF($S2892="CONFIRMAR",MAX($U$4:$U2891)+1,"")</f>
        <v>0</v>
      </c>
      <c r="V2892" s="30">
        <f>IF(AND($R2892="Não",$Q2892&lt;&gt;"",$Q2892&lt;=Hoje+JanelaRet,$Q2892&gt;=Hoje-60),MAX($V$4:$V2891)+1,"")</f>
        <v>0</v>
      </c>
    </row>
    <row r="2893" spans="1:22">
      <c r="A2893" s="16"/>
      <c r="B2893" s="23"/>
      <c r="C2893" s="15"/>
      <c r="D2893" s="15"/>
      <c r="E2893" s="15"/>
      <c r="F2893" s="24"/>
      <c r="G2893" s="17"/>
      <c r="H2893" s="17"/>
      <c r="I2893" s="15"/>
      <c r="J2893" s="25">
        <f>IF($D2893="","",IFERROR(INDEX(PacNome,MATCH($D2893,PacCod,0)),"Paciente não cadastrado"))</f>
        <v>0</v>
      </c>
      <c r="K2893" s="26">
        <f>IF($D2893="","",IFERROR(INDEX(PacConv,MATCH($D2893,PacCod,0))&amp;"",""))</f>
        <v>0</v>
      </c>
      <c r="L2893" s="26">
        <f>IF($A2893="","",CHOOSE(WEEKDAY($A2893,2),"Seg","Ter","Qua","Qui","Sex","Sáb","Dom"))</f>
        <v>0</v>
      </c>
      <c r="M2893" s="27">
        <f>IF($E2893="","",IF($G2893&lt;&gt;"",$G2893,IFERROR(INDEX(ProcValor,MATCH($E2893,ProcNome,0)),0)))</f>
        <v>0</v>
      </c>
      <c r="N2893" s="27">
        <f>IF($M2893="","",IF($F2893="Compareceu",$M2893,0))</f>
        <v>0</v>
      </c>
      <c r="O2893" s="27">
        <f>IF($M2893="","",IF($F2893="Faltou",$M2893,0))</f>
        <v>0</v>
      </c>
      <c r="P2893" s="27">
        <f>IF($M2893="","",IF($F2893="Compareceu",MAX(0,$M2893-N($H2893)),0))</f>
        <v>0</v>
      </c>
      <c r="Q2893" s="19">
        <f>IF(AND($F2893="Compareceu",$E2893&lt;&gt;"",$A2893&lt;&gt;""),IF(IFERROR(INDEX(ProcRet,MATCH($E2893,ProcNome,0)),0)&gt;0,$A2893+INDEX(ProcRet,MATCH($E2893,ProcNome,0)),""),"")</f>
        <v>0</v>
      </c>
      <c r="R2893" s="26">
        <f>IF($Q2893="","",IF(COUNTIFS(AgPac,$D2893,AgData,"&gt;"&amp;$A2893,AgStatus,"&lt;&gt;Cancelado",AgStatus,"&lt;&gt;Remarcado")&gt;0,"Sim","Não"))</f>
        <v>0</v>
      </c>
      <c r="S2893" s="28">
        <f>IF($A2893="","",IF(AND($F2893="Agendado",$A2893-Hoje&gt;=0,$A2893-Hoje&lt;=DiasConf),"CONFIRMAR",IF(AND($A2893&lt;Hoje,OR($F2893="Agendado",$F2893="Confirmado")),"Atualizar status",IF(AND($F2893="Compareceu",$P2893&gt;0.005),"Cobrar",IF($F2893="Faltou","Falta: reagendar","")))))</f>
        <v>0</v>
      </c>
      <c r="T2893" s="29">
        <f>IF($A2893="","",DATE(YEAR($A2893),MONTH($A2893),1))</f>
        <v>0</v>
      </c>
      <c r="U2893" s="30">
        <f>IF($S2893="CONFIRMAR",MAX($U$4:$U2892)+1,"")</f>
        <v>0</v>
      </c>
      <c r="V2893" s="30">
        <f>IF(AND($R2893="Não",$Q2893&lt;&gt;"",$Q2893&lt;=Hoje+JanelaRet,$Q2893&gt;=Hoje-60),MAX($V$4:$V2892)+1,"")</f>
        <v>0</v>
      </c>
    </row>
    <row r="2894" spans="1:22">
      <c r="A2894" s="16"/>
      <c r="B2894" s="23"/>
      <c r="C2894" s="15"/>
      <c r="D2894" s="15"/>
      <c r="E2894" s="15"/>
      <c r="F2894" s="24"/>
      <c r="G2894" s="17"/>
      <c r="H2894" s="17"/>
      <c r="I2894" s="15"/>
      <c r="J2894" s="25">
        <f>IF($D2894="","",IFERROR(INDEX(PacNome,MATCH($D2894,PacCod,0)),"Paciente não cadastrado"))</f>
        <v>0</v>
      </c>
      <c r="K2894" s="26">
        <f>IF($D2894="","",IFERROR(INDEX(PacConv,MATCH($D2894,PacCod,0))&amp;"",""))</f>
        <v>0</v>
      </c>
      <c r="L2894" s="26">
        <f>IF($A2894="","",CHOOSE(WEEKDAY($A2894,2),"Seg","Ter","Qua","Qui","Sex","Sáb","Dom"))</f>
        <v>0</v>
      </c>
      <c r="M2894" s="27">
        <f>IF($E2894="","",IF($G2894&lt;&gt;"",$G2894,IFERROR(INDEX(ProcValor,MATCH($E2894,ProcNome,0)),0)))</f>
        <v>0</v>
      </c>
      <c r="N2894" s="27">
        <f>IF($M2894="","",IF($F2894="Compareceu",$M2894,0))</f>
        <v>0</v>
      </c>
      <c r="O2894" s="27">
        <f>IF($M2894="","",IF($F2894="Faltou",$M2894,0))</f>
        <v>0</v>
      </c>
      <c r="P2894" s="27">
        <f>IF($M2894="","",IF($F2894="Compareceu",MAX(0,$M2894-N($H2894)),0))</f>
        <v>0</v>
      </c>
      <c r="Q2894" s="19">
        <f>IF(AND($F2894="Compareceu",$E2894&lt;&gt;"",$A2894&lt;&gt;""),IF(IFERROR(INDEX(ProcRet,MATCH($E2894,ProcNome,0)),0)&gt;0,$A2894+INDEX(ProcRet,MATCH($E2894,ProcNome,0)),""),"")</f>
        <v>0</v>
      </c>
      <c r="R2894" s="26">
        <f>IF($Q2894="","",IF(COUNTIFS(AgPac,$D2894,AgData,"&gt;"&amp;$A2894,AgStatus,"&lt;&gt;Cancelado",AgStatus,"&lt;&gt;Remarcado")&gt;0,"Sim","Não"))</f>
        <v>0</v>
      </c>
      <c r="S2894" s="28">
        <f>IF($A2894="","",IF(AND($F2894="Agendado",$A2894-Hoje&gt;=0,$A2894-Hoje&lt;=DiasConf),"CONFIRMAR",IF(AND($A2894&lt;Hoje,OR($F2894="Agendado",$F2894="Confirmado")),"Atualizar status",IF(AND($F2894="Compareceu",$P2894&gt;0.005),"Cobrar",IF($F2894="Faltou","Falta: reagendar","")))))</f>
        <v>0</v>
      </c>
      <c r="T2894" s="29">
        <f>IF($A2894="","",DATE(YEAR($A2894),MONTH($A2894),1))</f>
        <v>0</v>
      </c>
      <c r="U2894" s="30">
        <f>IF($S2894="CONFIRMAR",MAX($U$4:$U2893)+1,"")</f>
        <v>0</v>
      </c>
      <c r="V2894" s="30">
        <f>IF(AND($R2894="Não",$Q2894&lt;&gt;"",$Q2894&lt;=Hoje+JanelaRet,$Q2894&gt;=Hoje-60),MAX($V$4:$V2893)+1,"")</f>
        <v>0</v>
      </c>
    </row>
    <row r="2895" spans="1:22">
      <c r="A2895" s="16"/>
      <c r="B2895" s="23"/>
      <c r="C2895" s="15"/>
      <c r="D2895" s="15"/>
      <c r="E2895" s="15"/>
      <c r="F2895" s="24"/>
      <c r="G2895" s="17"/>
      <c r="H2895" s="17"/>
      <c r="I2895" s="15"/>
      <c r="J2895" s="25">
        <f>IF($D2895="","",IFERROR(INDEX(PacNome,MATCH($D2895,PacCod,0)),"Paciente não cadastrado"))</f>
        <v>0</v>
      </c>
      <c r="K2895" s="26">
        <f>IF($D2895="","",IFERROR(INDEX(PacConv,MATCH($D2895,PacCod,0))&amp;"",""))</f>
        <v>0</v>
      </c>
      <c r="L2895" s="26">
        <f>IF($A2895="","",CHOOSE(WEEKDAY($A2895,2),"Seg","Ter","Qua","Qui","Sex","Sáb","Dom"))</f>
        <v>0</v>
      </c>
      <c r="M2895" s="27">
        <f>IF($E2895="","",IF($G2895&lt;&gt;"",$G2895,IFERROR(INDEX(ProcValor,MATCH($E2895,ProcNome,0)),0)))</f>
        <v>0</v>
      </c>
      <c r="N2895" s="27">
        <f>IF($M2895="","",IF($F2895="Compareceu",$M2895,0))</f>
        <v>0</v>
      </c>
      <c r="O2895" s="27">
        <f>IF($M2895="","",IF($F2895="Faltou",$M2895,0))</f>
        <v>0</v>
      </c>
      <c r="P2895" s="27">
        <f>IF($M2895="","",IF($F2895="Compareceu",MAX(0,$M2895-N($H2895)),0))</f>
        <v>0</v>
      </c>
      <c r="Q2895" s="19">
        <f>IF(AND($F2895="Compareceu",$E2895&lt;&gt;"",$A2895&lt;&gt;""),IF(IFERROR(INDEX(ProcRet,MATCH($E2895,ProcNome,0)),0)&gt;0,$A2895+INDEX(ProcRet,MATCH($E2895,ProcNome,0)),""),"")</f>
        <v>0</v>
      </c>
      <c r="R2895" s="26">
        <f>IF($Q2895="","",IF(COUNTIFS(AgPac,$D2895,AgData,"&gt;"&amp;$A2895,AgStatus,"&lt;&gt;Cancelado",AgStatus,"&lt;&gt;Remarcado")&gt;0,"Sim","Não"))</f>
        <v>0</v>
      </c>
      <c r="S2895" s="28">
        <f>IF($A2895="","",IF(AND($F2895="Agendado",$A2895-Hoje&gt;=0,$A2895-Hoje&lt;=DiasConf),"CONFIRMAR",IF(AND($A2895&lt;Hoje,OR($F2895="Agendado",$F2895="Confirmado")),"Atualizar status",IF(AND($F2895="Compareceu",$P2895&gt;0.005),"Cobrar",IF($F2895="Faltou","Falta: reagendar","")))))</f>
        <v>0</v>
      </c>
      <c r="T2895" s="29">
        <f>IF($A2895="","",DATE(YEAR($A2895),MONTH($A2895),1))</f>
        <v>0</v>
      </c>
      <c r="U2895" s="30">
        <f>IF($S2895="CONFIRMAR",MAX($U$4:$U2894)+1,"")</f>
        <v>0</v>
      </c>
      <c r="V2895" s="30">
        <f>IF(AND($R2895="Não",$Q2895&lt;&gt;"",$Q2895&lt;=Hoje+JanelaRet,$Q2895&gt;=Hoje-60),MAX($V$4:$V2894)+1,"")</f>
        <v>0</v>
      </c>
    </row>
    <row r="2896" spans="1:22">
      <c r="A2896" s="16"/>
      <c r="B2896" s="23"/>
      <c r="C2896" s="15"/>
      <c r="D2896" s="15"/>
      <c r="E2896" s="15"/>
      <c r="F2896" s="24"/>
      <c r="G2896" s="17"/>
      <c r="H2896" s="17"/>
      <c r="I2896" s="15"/>
      <c r="J2896" s="25">
        <f>IF($D2896="","",IFERROR(INDEX(PacNome,MATCH($D2896,PacCod,0)),"Paciente não cadastrado"))</f>
        <v>0</v>
      </c>
      <c r="K2896" s="26">
        <f>IF($D2896="","",IFERROR(INDEX(PacConv,MATCH($D2896,PacCod,0))&amp;"",""))</f>
        <v>0</v>
      </c>
      <c r="L2896" s="26">
        <f>IF($A2896="","",CHOOSE(WEEKDAY($A2896,2),"Seg","Ter","Qua","Qui","Sex","Sáb","Dom"))</f>
        <v>0</v>
      </c>
      <c r="M2896" s="27">
        <f>IF($E2896="","",IF($G2896&lt;&gt;"",$G2896,IFERROR(INDEX(ProcValor,MATCH($E2896,ProcNome,0)),0)))</f>
        <v>0</v>
      </c>
      <c r="N2896" s="27">
        <f>IF($M2896="","",IF($F2896="Compareceu",$M2896,0))</f>
        <v>0</v>
      </c>
      <c r="O2896" s="27">
        <f>IF($M2896="","",IF($F2896="Faltou",$M2896,0))</f>
        <v>0</v>
      </c>
      <c r="P2896" s="27">
        <f>IF($M2896="","",IF($F2896="Compareceu",MAX(0,$M2896-N($H2896)),0))</f>
        <v>0</v>
      </c>
      <c r="Q2896" s="19">
        <f>IF(AND($F2896="Compareceu",$E2896&lt;&gt;"",$A2896&lt;&gt;""),IF(IFERROR(INDEX(ProcRet,MATCH($E2896,ProcNome,0)),0)&gt;0,$A2896+INDEX(ProcRet,MATCH($E2896,ProcNome,0)),""),"")</f>
        <v>0</v>
      </c>
      <c r="R2896" s="26">
        <f>IF($Q2896="","",IF(COUNTIFS(AgPac,$D2896,AgData,"&gt;"&amp;$A2896,AgStatus,"&lt;&gt;Cancelado",AgStatus,"&lt;&gt;Remarcado")&gt;0,"Sim","Não"))</f>
        <v>0</v>
      </c>
      <c r="S2896" s="28">
        <f>IF($A2896="","",IF(AND($F2896="Agendado",$A2896-Hoje&gt;=0,$A2896-Hoje&lt;=DiasConf),"CONFIRMAR",IF(AND($A2896&lt;Hoje,OR($F2896="Agendado",$F2896="Confirmado")),"Atualizar status",IF(AND($F2896="Compareceu",$P2896&gt;0.005),"Cobrar",IF($F2896="Faltou","Falta: reagendar","")))))</f>
        <v>0</v>
      </c>
      <c r="T2896" s="29">
        <f>IF($A2896="","",DATE(YEAR($A2896),MONTH($A2896),1))</f>
        <v>0</v>
      </c>
      <c r="U2896" s="30">
        <f>IF($S2896="CONFIRMAR",MAX($U$4:$U2895)+1,"")</f>
        <v>0</v>
      </c>
      <c r="V2896" s="30">
        <f>IF(AND($R2896="Não",$Q2896&lt;&gt;"",$Q2896&lt;=Hoje+JanelaRet,$Q2896&gt;=Hoje-60),MAX($V$4:$V2895)+1,"")</f>
        <v>0</v>
      </c>
    </row>
    <row r="2897" spans="1:22">
      <c r="A2897" s="16"/>
      <c r="B2897" s="23"/>
      <c r="C2897" s="15"/>
      <c r="D2897" s="15"/>
      <c r="E2897" s="15"/>
      <c r="F2897" s="24"/>
      <c r="G2897" s="17"/>
      <c r="H2897" s="17"/>
      <c r="I2897" s="15"/>
      <c r="J2897" s="25">
        <f>IF($D2897="","",IFERROR(INDEX(PacNome,MATCH($D2897,PacCod,0)),"Paciente não cadastrado"))</f>
        <v>0</v>
      </c>
      <c r="K2897" s="26">
        <f>IF($D2897="","",IFERROR(INDEX(PacConv,MATCH($D2897,PacCod,0))&amp;"",""))</f>
        <v>0</v>
      </c>
      <c r="L2897" s="26">
        <f>IF($A2897="","",CHOOSE(WEEKDAY($A2897,2),"Seg","Ter","Qua","Qui","Sex","Sáb","Dom"))</f>
        <v>0</v>
      </c>
      <c r="M2897" s="27">
        <f>IF($E2897="","",IF($G2897&lt;&gt;"",$G2897,IFERROR(INDEX(ProcValor,MATCH($E2897,ProcNome,0)),0)))</f>
        <v>0</v>
      </c>
      <c r="N2897" s="27">
        <f>IF($M2897="","",IF($F2897="Compareceu",$M2897,0))</f>
        <v>0</v>
      </c>
      <c r="O2897" s="27">
        <f>IF($M2897="","",IF($F2897="Faltou",$M2897,0))</f>
        <v>0</v>
      </c>
      <c r="P2897" s="27">
        <f>IF($M2897="","",IF($F2897="Compareceu",MAX(0,$M2897-N($H2897)),0))</f>
        <v>0</v>
      </c>
      <c r="Q2897" s="19">
        <f>IF(AND($F2897="Compareceu",$E2897&lt;&gt;"",$A2897&lt;&gt;""),IF(IFERROR(INDEX(ProcRet,MATCH($E2897,ProcNome,0)),0)&gt;0,$A2897+INDEX(ProcRet,MATCH($E2897,ProcNome,0)),""),"")</f>
        <v>0</v>
      </c>
      <c r="R2897" s="26">
        <f>IF($Q2897="","",IF(COUNTIFS(AgPac,$D2897,AgData,"&gt;"&amp;$A2897,AgStatus,"&lt;&gt;Cancelado",AgStatus,"&lt;&gt;Remarcado")&gt;0,"Sim","Não"))</f>
        <v>0</v>
      </c>
      <c r="S2897" s="28">
        <f>IF($A2897="","",IF(AND($F2897="Agendado",$A2897-Hoje&gt;=0,$A2897-Hoje&lt;=DiasConf),"CONFIRMAR",IF(AND($A2897&lt;Hoje,OR($F2897="Agendado",$F2897="Confirmado")),"Atualizar status",IF(AND($F2897="Compareceu",$P2897&gt;0.005),"Cobrar",IF($F2897="Faltou","Falta: reagendar","")))))</f>
        <v>0</v>
      </c>
      <c r="T2897" s="29">
        <f>IF($A2897="","",DATE(YEAR($A2897),MONTH($A2897),1))</f>
        <v>0</v>
      </c>
      <c r="U2897" s="30">
        <f>IF($S2897="CONFIRMAR",MAX($U$4:$U2896)+1,"")</f>
        <v>0</v>
      </c>
      <c r="V2897" s="30">
        <f>IF(AND($R2897="Não",$Q2897&lt;&gt;"",$Q2897&lt;=Hoje+JanelaRet,$Q2897&gt;=Hoje-60),MAX($V$4:$V2896)+1,"")</f>
        <v>0</v>
      </c>
    </row>
    <row r="2898" spans="1:22">
      <c r="A2898" s="16"/>
      <c r="B2898" s="23"/>
      <c r="C2898" s="15"/>
      <c r="D2898" s="15"/>
      <c r="E2898" s="15"/>
      <c r="F2898" s="24"/>
      <c r="G2898" s="17"/>
      <c r="H2898" s="17"/>
      <c r="I2898" s="15"/>
      <c r="J2898" s="25">
        <f>IF($D2898="","",IFERROR(INDEX(PacNome,MATCH($D2898,PacCod,0)),"Paciente não cadastrado"))</f>
        <v>0</v>
      </c>
      <c r="K2898" s="26">
        <f>IF($D2898="","",IFERROR(INDEX(PacConv,MATCH($D2898,PacCod,0))&amp;"",""))</f>
        <v>0</v>
      </c>
      <c r="L2898" s="26">
        <f>IF($A2898="","",CHOOSE(WEEKDAY($A2898,2),"Seg","Ter","Qua","Qui","Sex","Sáb","Dom"))</f>
        <v>0</v>
      </c>
      <c r="M2898" s="27">
        <f>IF($E2898="","",IF($G2898&lt;&gt;"",$G2898,IFERROR(INDEX(ProcValor,MATCH($E2898,ProcNome,0)),0)))</f>
        <v>0</v>
      </c>
      <c r="N2898" s="27">
        <f>IF($M2898="","",IF($F2898="Compareceu",$M2898,0))</f>
        <v>0</v>
      </c>
      <c r="O2898" s="27">
        <f>IF($M2898="","",IF($F2898="Faltou",$M2898,0))</f>
        <v>0</v>
      </c>
      <c r="P2898" s="27">
        <f>IF($M2898="","",IF($F2898="Compareceu",MAX(0,$M2898-N($H2898)),0))</f>
        <v>0</v>
      </c>
      <c r="Q2898" s="19">
        <f>IF(AND($F2898="Compareceu",$E2898&lt;&gt;"",$A2898&lt;&gt;""),IF(IFERROR(INDEX(ProcRet,MATCH($E2898,ProcNome,0)),0)&gt;0,$A2898+INDEX(ProcRet,MATCH($E2898,ProcNome,0)),""),"")</f>
        <v>0</v>
      </c>
      <c r="R2898" s="26">
        <f>IF($Q2898="","",IF(COUNTIFS(AgPac,$D2898,AgData,"&gt;"&amp;$A2898,AgStatus,"&lt;&gt;Cancelado",AgStatus,"&lt;&gt;Remarcado")&gt;0,"Sim","Não"))</f>
        <v>0</v>
      </c>
      <c r="S2898" s="28">
        <f>IF($A2898="","",IF(AND($F2898="Agendado",$A2898-Hoje&gt;=0,$A2898-Hoje&lt;=DiasConf),"CONFIRMAR",IF(AND($A2898&lt;Hoje,OR($F2898="Agendado",$F2898="Confirmado")),"Atualizar status",IF(AND($F2898="Compareceu",$P2898&gt;0.005),"Cobrar",IF($F2898="Faltou","Falta: reagendar","")))))</f>
        <v>0</v>
      </c>
      <c r="T2898" s="29">
        <f>IF($A2898="","",DATE(YEAR($A2898),MONTH($A2898),1))</f>
        <v>0</v>
      </c>
      <c r="U2898" s="30">
        <f>IF($S2898="CONFIRMAR",MAX($U$4:$U2897)+1,"")</f>
        <v>0</v>
      </c>
      <c r="V2898" s="30">
        <f>IF(AND($R2898="Não",$Q2898&lt;&gt;"",$Q2898&lt;=Hoje+JanelaRet,$Q2898&gt;=Hoje-60),MAX($V$4:$V2897)+1,"")</f>
        <v>0</v>
      </c>
    </row>
    <row r="2899" spans="1:22">
      <c r="A2899" s="16"/>
      <c r="B2899" s="23"/>
      <c r="C2899" s="15"/>
      <c r="D2899" s="15"/>
      <c r="E2899" s="15"/>
      <c r="F2899" s="24"/>
      <c r="G2899" s="17"/>
      <c r="H2899" s="17"/>
      <c r="I2899" s="15"/>
      <c r="J2899" s="25">
        <f>IF($D2899="","",IFERROR(INDEX(PacNome,MATCH($D2899,PacCod,0)),"Paciente não cadastrado"))</f>
        <v>0</v>
      </c>
      <c r="K2899" s="26">
        <f>IF($D2899="","",IFERROR(INDEX(PacConv,MATCH($D2899,PacCod,0))&amp;"",""))</f>
        <v>0</v>
      </c>
      <c r="L2899" s="26">
        <f>IF($A2899="","",CHOOSE(WEEKDAY($A2899,2),"Seg","Ter","Qua","Qui","Sex","Sáb","Dom"))</f>
        <v>0</v>
      </c>
      <c r="M2899" s="27">
        <f>IF($E2899="","",IF($G2899&lt;&gt;"",$G2899,IFERROR(INDEX(ProcValor,MATCH($E2899,ProcNome,0)),0)))</f>
        <v>0</v>
      </c>
      <c r="N2899" s="27">
        <f>IF($M2899="","",IF($F2899="Compareceu",$M2899,0))</f>
        <v>0</v>
      </c>
      <c r="O2899" s="27">
        <f>IF($M2899="","",IF($F2899="Faltou",$M2899,0))</f>
        <v>0</v>
      </c>
      <c r="P2899" s="27">
        <f>IF($M2899="","",IF($F2899="Compareceu",MAX(0,$M2899-N($H2899)),0))</f>
        <v>0</v>
      </c>
      <c r="Q2899" s="19">
        <f>IF(AND($F2899="Compareceu",$E2899&lt;&gt;"",$A2899&lt;&gt;""),IF(IFERROR(INDEX(ProcRet,MATCH($E2899,ProcNome,0)),0)&gt;0,$A2899+INDEX(ProcRet,MATCH($E2899,ProcNome,0)),""),"")</f>
        <v>0</v>
      </c>
      <c r="R2899" s="26">
        <f>IF($Q2899="","",IF(COUNTIFS(AgPac,$D2899,AgData,"&gt;"&amp;$A2899,AgStatus,"&lt;&gt;Cancelado",AgStatus,"&lt;&gt;Remarcado")&gt;0,"Sim","Não"))</f>
        <v>0</v>
      </c>
      <c r="S2899" s="28">
        <f>IF($A2899="","",IF(AND($F2899="Agendado",$A2899-Hoje&gt;=0,$A2899-Hoje&lt;=DiasConf),"CONFIRMAR",IF(AND($A2899&lt;Hoje,OR($F2899="Agendado",$F2899="Confirmado")),"Atualizar status",IF(AND($F2899="Compareceu",$P2899&gt;0.005),"Cobrar",IF($F2899="Faltou","Falta: reagendar","")))))</f>
        <v>0</v>
      </c>
      <c r="T2899" s="29">
        <f>IF($A2899="","",DATE(YEAR($A2899),MONTH($A2899),1))</f>
        <v>0</v>
      </c>
      <c r="U2899" s="30">
        <f>IF($S2899="CONFIRMAR",MAX($U$4:$U2898)+1,"")</f>
        <v>0</v>
      </c>
      <c r="V2899" s="30">
        <f>IF(AND($R2899="Não",$Q2899&lt;&gt;"",$Q2899&lt;=Hoje+JanelaRet,$Q2899&gt;=Hoje-60),MAX($V$4:$V2898)+1,"")</f>
        <v>0</v>
      </c>
    </row>
    <row r="2900" spans="1:22">
      <c r="A2900" s="16"/>
      <c r="B2900" s="23"/>
      <c r="C2900" s="15"/>
      <c r="D2900" s="15"/>
      <c r="E2900" s="15"/>
      <c r="F2900" s="24"/>
      <c r="G2900" s="17"/>
      <c r="H2900" s="17"/>
      <c r="I2900" s="15"/>
      <c r="J2900" s="25">
        <f>IF($D2900="","",IFERROR(INDEX(PacNome,MATCH($D2900,PacCod,0)),"Paciente não cadastrado"))</f>
        <v>0</v>
      </c>
      <c r="K2900" s="26">
        <f>IF($D2900="","",IFERROR(INDEX(PacConv,MATCH($D2900,PacCod,0))&amp;"",""))</f>
        <v>0</v>
      </c>
      <c r="L2900" s="26">
        <f>IF($A2900="","",CHOOSE(WEEKDAY($A2900,2),"Seg","Ter","Qua","Qui","Sex","Sáb","Dom"))</f>
        <v>0</v>
      </c>
      <c r="M2900" s="27">
        <f>IF($E2900="","",IF($G2900&lt;&gt;"",$G2900,IFERROR(INDEX(ProcValor,MATCH($E2900,ProcNome,0)),0)))</f>
        <v>0</v>
      </c>
      <c r="N2900" s="27">
        <f>IF($M2900="","",IF($F2900="Compareceu",$M2900,0))</f>
        <v>0</v>
      </c>
      <c r="O2900" s="27">
        <f>IF($M2900="","",IF($F2900="Faltou",$M2900,0))</f>
        <v>0</v>
      </c>
      <c r="P2900" s="27">
        <f>IF($M2900="","",IF($F2900="Compareceu",MAX(0,$M2900-N($H2900)),0))</f>
        <v>0</v>
      </c>
      <c r="Q2900" s="19">
        <f>IF(AND($F2900="Compareceu",$E2900&lt;&gt;"",$A2900&lt;&gt;""),IF(IFERROR(INDEX(ProcRet,MATCH($E2900,ProcNome,0)),0)&gt;0,$A2900+INDEX(ProcRet,MATCH($E2900,ProcNome,0)),""),"")</f>
        <v>0</v>
      </c>
      <c r="R2900" s="26">
        <f>IF($Q2900="","",IF(COUNTIFS(AgPac,$D2900,AgData,"&gt;"&amp;$A2900,AgStatus,"&lt;&gt;Cancelado",AgStatus,"&lt;&gt;Remarcado")&gt;0,"Sim","Não"))</f>
        <v>0</v>
      </c>
      <c r="S2900" s="28">
        <f>IF($A2900="","",IF(AND($F2900="Agendado",$A2900-Hoje&gt;=0,$A2900-Hoje&lt;=DiasConf),"CONFIRMAR",IF(AND($A2900&lt;Hoje,OR($F2900="Agendado",$F2900="Confirmado")),"Atualizar status",IF(AND($F2900="Compareceu",$P2900&gt;0.005),"Cobrar",IF($F2900="Faltou","Falta: reagendar","")))))</f>
        <v>0</v>
      </c>
      <c r="T2900" s="29">
        <f>IF($A2900="","",DATE(YEAR($A2900),MONTH($A2900),1))</f>
        <v>0</v>
      </c>
      <c r="U2900" s="30">
        <f>IF($S2900="CONFIRMAR",MAX($U$4:$U2899)+1,"")</f>
        <v>0</v>
      </c>
      <c r="V2900" s="30">
        <f>IF(AND($R2900="Não",$Q2900&lt;&gt;"",$Q2900&lt;=Hoje+JanelaRet,$Q2900&gt;=Hoje-60),MAX($V$4:$V2899)+1,"")</f>
        <v>0</v>
      </c>
    </row>
    <row r="2901" spans="1:22">
      <c r="A2901" s="16"/>
      <c r="B2901" s="23"/>
      <c r="C2901" s="15"/>
      <c r="D2901" s="15"/>
      <c r="E2901" s="15"/>
      <c r="F2901" s="24"/>
      <c r="G2901" s="17"/>
      <c r="H2901" s="17"/>
      <c r="I2901" s="15"/>
      <c r="J2901" s="25">
        <f>IF($D2901="","",IFERROR(INDEX(PacNome,MATCH($D2901,PacCod,0)),"Paciente não cadastrado"))</f>
        <v>0</v>
      </c>
      <c r="K2901" s="26">
        <f>IF($D2901="","",IFERROR(INDEX(PacConv,MATCH($D2901,PacCod,0))&amp;"",""))</f>
        <v>0</v>
      </c>
      <c r="L2901" s="26">
        <f>IF($A2901="","",CHOOSE(WEEKDAY($A2901,2),"Seg","Ter","Qua","Qui","Sex","Sáb","Dom"))</f>
        <v>0</v>
      </c>
      <c r="M2901" s="27">
        <f>IF($E2901="","",IF($G2901&lt;&gt;"",$G2901,IFERROR(INDEX(ProcValor,MATCH($E2901,ProcNome,0)),0)))</f>
        <v>0</v>
      </c>
      <c r="N2901" s="27">
        <f>IF($M2901="","",IF($F2901="Compareceu",$M2901,0))</f>
        <v>0</v>
      </c>
      <c r="O2901" s="27">
        <f>IF($M2901="","",IF($F2901="Faltou",$M2901,0))</f>
        <v>0</v>
      </c>
      <c r="P2901" s="27">
        <f>IF($M2901="","",IF($F2901="Compareceu",MAX(0,$M2901-N($H2901)),0))</f>
        <v>0</v>
      </c>
      <c r="Q2901" s="19">
        <f>IF(AND($F2901="Compareceu",$E2901&lt;&gt;"",$A2901&lt;&gt;""),IF(IFERROR(INDEX(ProcRet,MATCH($E2901,ProcNome,0)),0)&gt;0,$A2901+INDEX(ProcRet,MATCH($E2901,ProcNome,0)),""),"")</f>
        <v>0</v>
      </c>
      <c r="R2901" s="26">
        <f>IF($Q2901="","",IF(COUNTIFS(AgPac,$D2901,AgData,"&gt;"&amp;$A2901,AgStatus,"&lt;&gt;Cancelado",AgStatus,"&lt;&gt;Remarcado")&gt;0,"Sim","Não"))</f>
        <v>0</v>
      </c>
      <c r="S2901" s="28">
        <f>IF($A2901="","",IF(AND($F2901="Agendado",$A2901-Hoje&gt;=0,$A2901-Hoje&lt;=DiasConf),"CONFIRMAR",IF(AND($A2901&lt;Hoje,OR($F2901="Agendado",$F2901="Confirmado")),"Atualizar status",IF(AND($F2901="Compareceu",$P2901&gt;0.005),"Cobrar",IF($F2901="Faltou","Falta: reagendar","")))))</f>
        <v>0</v>
      </c>
      <c r="T2901" s="29">
        <f>IF($A2901="","",DATE(YEAR($A2901),MONTH($A2901),1))</f>
        <v>0</v>
      </c>
      <c r="U2901" s="30">
        <f>IF($S2901="CONFIRMAR",MAX($U$4:$U2900)+1,"")</f>
        <v>0</v>
      </c>
      <c r="V2901" s="30">
        <f>IF(AND($R2901="Não",$Q2901&lt;&gt;"",$Q2901&lt;=Hoje+JanelaRet,$Q2901&gt;=Hoje-60),MAX($V$4:$V2900)+1,"")</f>
        <v>0</v>
      </c>
    </row>
    <row r="2902" spans="1:22">
      <c r="A2902" s="16"/>
      <c r="B2902" s="23"/>
      <c r="C2902" s="15"/>
      <c r="D2902" s="15"/>
      <c r="E2902" s="15"/>
      <c r="F2902" s="24"/>
      <c r="G2902" s="17"/>
      <c r="H2902" s="17"/>
      <c r="I2902" s="15"/>
      <c r="J2902" s="25">
        <f>IF($D2902="","",IFERROR(INDEX(PacNome,MATCH($D2902,PacCod,0)),"Paciente não cadastrado"))</f>
        <v>0</v>
      </c>
      <c r="K2902" s="26">
        <f>IF($D2902="","",IFERROR(INDEX(PacConv,MATCH($D2902,PacCod,0))&amp;"",""))</f>
        <v>0</v>
      </c>
      <c r="L2902" s="26">
        <f>IF($A2902="","",CHOOSE(WEEKDAY($A2902,2),"Seg","Ter","Qua","Qui","Sex","Sáb","Dom"))</f>
        <v>0</v>
      </c>
      <c r="M2902" s="27">
        <f>IF($E2902="","",IF($G2902&lt;&gt;"",$G2902,IFERROR(INDEX(ProcValor,MATCH($E2902,ProcNome,0)),0)))</f>
        <v>0</v>
      </c>
      <c r="N2902" s="27">
        <f>IF($M2902="","",IF($F2902="Compareceu",$M2902,0))</f>
        <v>0</v>
      </c>
      <c r="O2902" s="27">
        <f>IF($M2902="","",IF($F2902="Faltou",$M2902,0))</f>
        <v>0</v>
      </c>
      <c r="P2902" s="27">
        <f>IF($M2902="","",IF($F2902="Compareceu",MAX(0,$M2902-N($H2902)),0))</f>
        <v>0</v>
      </c>
      <c r="Q2902" s="19">
        <f>IF(AND($F2902="Compareceu",$E2902&lt;&gt;"",$A2902&lt;&gt;""),IF(IFERROR(INDEX(ProcRet,MATCH($E2902,ProcNome,0)),0)&gt;0,$A2902+INDEX(ProcRet,MATCH($E2902,ProcNome,0)),""),"")</f>
        <v>0</v>
      </c>
      <c r="R2902" s="26">
        <f>IF($Q2902="","",IF(COUNTIFS(AgPac,$D2902,AgData,"&gt;"&amp;$A2902,AgStatus,"&lt;&gt;Cancelado",AgStatus,"&lt;&gt;Remarcado")&gt;0,"Sim","Não"))</f>
        <v>0</v>
      </c>
      <c r="S2902" s="28">
        <f>IF($A2902="","",IF(AND($F2902="Agendado",$A2902-Hoje&gt;=0,$A2902-Hoje&lt;=DiasConf),"CONFIRMAR",IF(AND($A2902&lt;Hoje,OR($F2902="Agendado",$F2902="Confirmado")),"Atualizar status",IF(AND($F2902="Compareceu",$P2902&gt;0.005),"Cobrar",IF($F2902="Faltou","Falta: reagendar","")))))</f>
        <v>0</v>
      </c>
      <c r="T2902" s="29">
        <f>IF($A2902="","",DATE(YEAR($A2902),MONTH($A2902),1))</f>
        <v>0</v>
      </c>
      <c r="U2902" s="30">
        <f>IF($S2902="CONFIRMAR",MAX($U$4:$U2901)+1,"")</f>
        <v>0</v>
      </c>
      <c r="V2902" s="30">
        <f>IF(AND($R2902="Não",$Q2902&lt;&gt;"",$Q2902&lt;=Hoje+JanelaRet,$Q2902&gt;=Hoje-60),MAX($V$4:$V2901)+1,"")</f>
        <v>0</v>
      </c>
    </row>
    <row r="2903" spans="1:22">
      <c r="A2903" s="16"/>
      <c r="B2903" s="23"/>
      <c r="C2903" s="15"/>
      <c r="D2903" s="15"/>
      <c r="E2903" s="15"/>
      <c r="F2903" s="24"/>
      <c r="G2903" s="17"/>
      <c r="H2903" s="17"/>
      <c r="I2903" s="15"/>
      <c r="J2903" s="25">
        <f>IF($D2903="","",IFERROR(INDEX(PacNome,MATCH($D2903,PacCod,0)),"Paciente não cadastrado"))</f>
        <v>0</v>
      </c>
      <c r="K2903" s="26">
        <f>IF($D2903="","",IFERROR(INDEX(PacConv,MATCH($D2903,PacCod,0))&amp;"",""))</f>
        <v>0</v>
      </c>
      <c r="L2903" s="26">
        <f>IF($A2903="","",CHOOSE(WEEKDAY($A2903,2),"Seg","Ter","Qua","Qui","Sex","Sáb","Dom"))</f>
        <v>0</v>
      </c>
      <c r="M2903" s="27">
        <f>IF($E2903="","",IF($G2903&lt;&gt;"",$G2903,IFERROR(INDEX(ProcValor,MATCH($E2903,ProcNome,0)),0)))</f>
        <v>0</v>
      </c>
      <c r="N2903" s="27">
        <f>IF($M2903="","",IF($F2903="Compareceu",$M2903,0))</f>
        <v>0</v>
      </c>
      <c r="O2903" s="27">
        <f>IF($M2903="","",IF($F2903="Faltou",$M2903,0))</f>
        <v>0</v>
      </c>
      <c r="P2903" s="27">
        <f>IF($M2903="","",IF($F2903="Compareceu",MAX(0,$M2903-N($H2903)),0))</f>
        <v>0</v>
      </c>
      <c r="Q2903" s="19">
        <f>IF(AND($F2903="Compareceu",$E2903&lt;&gt;"",$A2903&lt;&gt;""),IF(IFERROR(INDEX(ProcRet,MATCH($E2903,ProcNome,0)),0)&gt;0,$A2903+INDEX(ProcRet,MATCH($E2903,ProcNome,0)),""),"")</f>
        <v>0</v>
      </c>
      <c r="R2903" s="26">
        <f>IF($Q2903="","",IF(COUNTIFS(AgPac,$D2903,AgData,"&gt;"&amp;$A2903,AgStatus,"&lt;&gt;Cancelado",AgStatus,"&lt;&gt;Remarcado")&gt;0,"Sim","Não"))</f>
        <v>0</v>
      </c>
      <c r="S2903" s="28">
        <f>IF($A2903="","",IF(AND($F2903="Agendado",$A2903-Hoje&gt;=0,$A2903-Hoje&lt;=DiasConf),"CONFIRMAR",IF(AND($A2903&lt;Hoje,OR($F2903="Agendado",$F2903="Confirmado")),"Atualizar status",IF(AND($F2903="Compareceu",$P2903&gt;0.005),"Cobrar",IF($F2903="Faltou","Falta: reagendar","")))))</f>
        <v>0</v>
      </c>
      <c r="T2903" s="29">
        <f>IF($A2903="","",DATE(YEAR($A2903),MONTH($A2903),1))</f>
        <v>0</v>
      </c>
      <c r="U2903" s="30">
        <f>IF($S2903="CONFIRMAR",MAX($U$4:$U2902)+1,"")</f>
        <v>0</v>
      </c>
      <c r="V2903" s="30">
        <f>IF(AND($R2903="Não",$Q2903&lt;&gt;"",$Q2903&lt;=Hoje+JanelaRet,$Q2903&gt;=Hoje-60),MAX($V$4:$V2902)+1,"")</f>
        <v>0</v>
      </c>
    </row>
    <row r="2904" spans="1:22">
      <c r="A2904" s="16"/>
      <c r="B2904" s="23"/>
      <c r="C2904" s="15"/>
      <c r="D2904" s="15"/>
      <c r="E2904" s="15"/>
      <c r="F2904" s="24"/>
      <c r="G2904" s="17"/>
      <c r="H2904" s="17"/>
      <c r="I2904" s="15"/>
      <c r="J2904" s="25">
        <f>IF($D2904="","",IFERROR(INDEX(PacNome,MATCH($D2904,PacCod,0)),"Paciente não cadastrado"))</f>
        <v>0</v>
      </c>
      <c r="K2904" s="26">
        <f>IF($D2904="","",IFERROR(INDEX(PacConv,MATCH($D2904,PacCod,0))&amp;"",""))</f>
        <v>0</v>
      </c>
      <c r="L2904" s="26">
        <f>IF($A2904="","",CHOOSE(WEEKDAY($A2904,2),"Seg","Ter","Qua","Qui","Sex","Sáb","Dom"))</f>
        <v>0</v>
      </c>
      <c r="M2904" s="27">
        <f>IF($E2904="","",IF($G2904&lt;&gt;"",$G2904,IFERROR(INDEX(ProcValor,MATCH($E2904,ProcNome,0)),0)))</f>
        <v>0</v>
      </c>
      <c r="N2904" s="27">
        <f>IF($M2904="","",IF($F2904="Compareceu",$M2904,0))</f>
        <v>0</v>
      </c>
      <c r="O2904" s="27">
        <f>IF($M2904="","",IF($F2904="Faltou",$M2904,0))</f>
        <v>0</v>
      </c>
      <c r="P2904" s="27">
        <f>IF($M2904="","",IF($F2904="Compareceu",MAX(0,$M2904-N($H2904)),0))</f>
        <v>0</v>
      </c>
      <c r="Q2904" s="19">
        <f>IF(AND($F2904="Compareceu",$E2904&lt;&gt;"",$A2904&lt;&gt;""),IF(IFERROR(INDEX(ProcRet,MATCH($E2904,ProcNome,0)),0)&gt;0,$A2904+INDEX(ProcRet,MATCH($E2904,ProcNome,0)),""),"")</f>
        <v>0</v>
      </c>
      <c r="R2904" s="26">
        <f>IF($Q2904="","",IF(COUNTIFS(AgPac,$D2904,AgData,"&gt;"&amp;$A2904,AgStatus,"&lt;&gt;Cancelado",AgStatus,"&lt;&gt;Remarcado")&gt;0,"Sim","Não"))</f>
        <v>0</v>
      </c>
      <c r="S2904" s="28">
        <f>IF($A2904="","",IF(AND($F2904="Agendado",$A2904-Hoje&gt;=0,$A2904-Hoje&lt;=DiasConf),"CONFIRMAR",IF(AND($A2904&lt;Hoje,OR($F2904="Agendado",$F2904="Confirmado")),"Atualizar status",IF(AND($F2904="Compareceu",$P2904&gt;0.005),"Cobrar",IF($F2904="Faltou","Falta: reagendar","")))))</f>
        <v>0</v>
      </c>
      <c r="T2904" s="29">
        <f>IF($A2904="","",DATE(YEAR($A2904),MONTH($A2904),1))</f>
        <v>0</v>
      </c>
      <c r="U2904" s="30">
        <f>IF($S2904="CONFIRMAR",MAX($U$4:$U2903)+1,"")</f>
        <v>0</v>
      </c>
      <c r="V2904" s="30">
        <f>IF(AND($R2904="Não",$Q2904&lt;&gt;"",$Q2904&lt;=Hoje+JanelaRet,$Q2904&gt;=Hoje-60),MAX($V$4:$V2903)+1,"")</f>
        <v>0</v>
      </c>
    </row>
    <row r="2905" spans="1:22">
      <c r="A2905" s="16"/>
      <c r="B2905" s="23"/>
      <c r="C2905" s="15"/>
      <c r="D2905" s="15"/>
      <c r="E2905" s="15"/>
      <c r="F2905" s="24"/>
      <c r="G2905" s="17"/>
      <c r="H2905" s="17"/>
      <c r="I2905" s="15"/>
      <c r="J2905" s="25">
        <f>IF($D2905="","",IFERROR(INDEX(PacNome,MATCH($D2905,PacCod,0)),"Paciente não cadastrado"))</f>
        <v>0</v>
      </c>
      <c r="K2905" s="26">
        <f>IF($D2905="","",IFERROR(INDEX(PacConv,MATCH($D2905,PacCod,0))&amp;"",""))</f>
        <v>0</v>
      </c>
      <c r="L2905" s="26">
        <f>IF($A2905="","",CHOOSE(WEEKDAY($A2905,2),"Seg","Ter","Qua","Qui","Sex","Sáb","Dom"))</f>
        <v>0</v>
      </c>
      <c r="M2905" s="27">
        <f>IF($E2905="","",IF($G2905&lt;&gt;"",$G2905,IFERROR(INDEX(ProcValor,MATCH($E2905,ProcNome,0)),0)))</f>
        <v>0</v>
      </c>
      <c r="N2905" s="27">
        <f>IF($M2905="","",IF($F2905="Compareceu",$M2905,0))</f>
        <v>0</v>
      </c>
      <c r="O2905" s="27">
        <f>IF($M2905="","",IF($F2905="Faltou",$M2905,0))</f>
        <v>0</v>
      </c>
      <c r="P2905" s="27">
        <f>IF($M2905="","",IF($F2905="Compareceu",MAX(0,$M2905-N($H2905)),0))</f>
        <v>0</v>
      </c>
      <c r="Q2905" s="19">
        <f>IF(AND($F2905="Compareceu",$E2905&lt;&gt;"",$A2905&lt;&gt;""),IF(IFERROR(INDEX(ProcRet,MATCH($E2905,ProcNome,0)),0)&gt;0,$A2905+INDEX(ProcRet,MATCH($E2905,ProcNome,0)),""),"")</f>
        <v>0</v>
      </c>
      <c r="R2905" s="26">
        <f>IF($Q2905="","",IF(COUNTIFS(AgPac,$D2905,AgData,"&gt;"&amp;$A2905,AgStatus,"&lt;&gt;Cancelado",AgStatus,"&lt;&gt;Remarcado")&gt;0,"Sim","Não"))</f>
        <v>0</v>
      </c>
      <c r="S2905" s="28">
        <f>IF($A2905="","",IF(AND($F2905="Agendado",$A2905-Hoje&gt;=0,$A2905-Hoje&lt;=DiasConf),"CONFIRMAR",IF(AND($A2905&lt;Hoje,OR($F2905="Agendado",$F2905="Confirmado")),"Atualizar status",IF(AND($F2905="Compareceu",$P2905&gt;0.005),"Cobrar",IF($F2905="Faltou","Falta: reagendar","")))))</f>
        <v>0</v>
      </c>
      <c r="T2905" s="29">
        <f>IF($A2905="","",DATE(YEAR($A2905),MONTH($A2905),1))</f>
        <v>0</v>
      </c>
      <c r="U2905" s="30">
        <f>IF($S2905="CONFIRMAR",MAX($U$4:$U2904)+1,"")</f>
        <v>0</v>
      </c>
      <c r="V2905" s="30">
        <f>IF(AND($R2905="Não",$Q2905&lt;&gt;"",$Q2905&lt;=Hoje+JanelaRet,$Q2905&gt;=Hoje-60),MAX($V$4:$V2904)+1,"")</f>
        <v>0</v>
      </c>
    </row>
    <row r="2906" spans="1:22">
      <c r="A2906" s="16"/>
      <c r="B2906" s="23"/>
      <c r="C2906" s="15"/>
      <c r="D2906" s="15"/>
      <c r="E2906" s="15"/>
      <c r="F2906" s="24"/>
      <c r="G2906" s="17"/>
      <c r="H2906" s="17"/>
      <c r="I2906" s="15"/>
      <c r="J2906" s="25">
        <f>IF($D2906="","",IFERROR(INDEX(PacNome,MATCH($D2906,PacCod,0)),"Paciente não cadastrado"))</f>
        <v>0</v>
      </c>
      <c r="K2906" s="26">
        <f>IF($D2906="","",IFERROR(INDEX(PacConv,MATCH($D2906,PacCod,0))&amp;"",""))</f>
        <v>0</v>
      </c>
      <c r="L2906" s="26">
        <f>IF($A2906="","",CHOOSE(WEEKDAY($A2906,2),"Seg","Ter","Qua","Qui","Sex","Sáb","Dom"))</f>
        <v>0</v>
      </c>
      <c r="M2906" s="27">
        <f>IF($E2906="","",IF($G2906&lt;&gt;"",$G2906,IFERROR(INDEX(ProcValor,MATCH($E2906,ProcNome,0)),0)))</f>
        <v>0</v>
      </c>
      <c r="N2906" s="27">
        <f>IF($M2906="","",IF($F2906="Compareceu",$M2906,0))</f>
        <v>0</v>
      </c>
      <c r="O2906" s="27">
        <f>IF($M2906="","",IF($F2906="Faltou",$M2906,0))</f>
        <v>0</v>
      </c>
      <c r="P2906" s="27">
        <f>IF($M2906="","",IF($F2906="Compareceu",MAX(0,$M2906-N($H2906)),0))</f>
        <v>0</v>
      </c>
      <c r="Q2906" s="19">
        <f>IF(AND($F2906="Compareceu",$E2906&lt;&gt;"",$A2906&lt;&gt;""),IF(IFERROR(INDEX(ProcRet,MATCH($E2906,ProcNome,0)),0)&gt;0,$A2906+INDEX(ProcRet,MATCH($E2906,ProcNome,0)),""),"")</f>
        <v>0</v>
      </c>
      <c r="R2906" s="26">
        <f>IF($Q2906="","",IF(COUNTIFS(AgPac,$D2906,AgData,"&gt;"&amp;$A2906,AgStatus,"&lt;&gt;Cancelado",AgStatus,"&lt;&gt;Remarcado")&gt;0,"Sim","Não"))</f>
        <v>0</v>
      </c>
      <c r="S2906" s="28">
        <f>IF($A2906="","",IF(AND($F2906="Agendado",$A2906-Hoje&gt;=0,$A2906-Hoje&lt;=DiasConf),"CONFIRMAR",IF(AND($A2906&lt;Hoje,OR($F2906="Agendado",$F2906="Confirmado")),"Atualizar status",IF(AND($F2906="Compareceu",$P2906&gt;0.005),"Cobrar",IF($F2906="Faltou","Falta: reagendar","")))))</f>
        <v>0</v>
      </c>
      <c r="T2906" s="29">
        <f>IF($A2906="","",DATE(YEAR($A2906),MONTH($A2906),1))</f>
        <v>0</v>
      </c>
      <c r="U2906" s="30">
        <f>IF($S2906="CONFIRMAR",MAX($U$4:$U2905)+1,"")</f>
        <v>0</v>
      </c>
      <c r="V2906" s="30">
        <f>IF(AND($R2906="Não",$Q2906&lt;&gt;"",$Q2906&lt;=Hoje+JanelaRet,$Q2906&gt;=Hoje-60),MAX($V$4:$V2905)+1,"")</f>
        <v>0</v>
      </c>
    </row>
    <row r="2907" spans="1:22">
      <c r="A2907" s="16"/>
      <c r="B2907" s="23"/>
      <c r="C2907" s="15"/>
      <c r="D2907" s="15"/>
      <c r="E2907" s="15"/>
      <c r="F2907" s="24"/>
      <c r="G2907" s="17"/>
      <c r="H2907" s="17"/>
      <c r="I2907" s="15"/>
      <c r="J2907" s="25">
        <f>IF($D2907="","",IFERROR(INDEX(PacNome,MATCH($D2907,PacCod,0)),"Paciente não cadastrado"))</f>
        <v>0</v>
      </c>
      <c r="K2907" s="26">
        <f>IF($D2907="","",IFERROR(INDEX(PacConv,MATCH($D2907,PacCod,0))&amp;"",""))</f>
        <v>0</v>
      </c>
      <c r="L2907" s="26">
        <f>IF($A2907="","",CHOOSE(WEEKDAY($A2907,2),"Seg","Ter","Qua","Qui","Sex","Sáb","Dom"))</f>
        <v>0</v>
      </c>
      <c r="M2907" s="27">
        <f>IF($E2907="","",IF($G2907&lt;&gt;"",$G2907,IFERROR(INDEX(ProcValor,MATCH($E2907,ProcNome,0)),0)))</f>
        <v>0</v>
      </c>
      <c r="N2907" s="27">
        <f>IF($M2907="","",IF($F2907="Compareceu",$M2907,0))</f>
        <v>0</v>
      </c>
      <c r="O2907" s="27">
        <f>IF($M2907="","",IF($F2907="Faltou",$M2907,0))</f>
        <v>0</v>
      </c>
      <c r="P2907" s="27">
        <f>IF($M2907="","",IF($F2907="Compareceu",MAX(0,$M2907-N($H2907)),0))</f>
        <v>0</v>
      </c>
      <c r="Q2907" s="19">
        <f>IF(AND($F2907="Compareceu",$E2907&lt;&gt;"",$A2907&lt;&gt;""),IF(IFERROR(INDEX(ProcRet,MATCH($E2907,ProcNome,0)),0)&gt;0,$A2907+INDEX(ProcRet,MATCH($E2907,ProcNome,0)),""),"")</f>
        <v>0</v>
      </c>
      <c r="R2907" s="26">
        <f>IF($Q2907="","",IF(COUNTIFS(AgPac,$D2907,AgData,"&gt;"&amp;$A2907,AgStatus,"&lt;&gt;Cancelado",AgStatus,"&lt;&gt;Remarcado")&gt;0,"Sim","Não"))</f>
        <v>0</v>
      </c>
      <c r="S2907" s="28">
        <f>IF($A2907="","",IF(AND($F2907="Agendado",$A2907-Hoje&gt;=0,$A2907-Hoje&lt;=DiasConf),"CONFIRMAR",IF(AND($A2907&lt;Hoje,OR($F2907="Agendado",$F2907="Confirmado")),"Atualizar status",IF(AND($F2907="Compareceu",$P2907&gt;0.005),"Cobrar",IF($F2907="Faltou","Falta: reagendar","")))))</f>
        <v>0</v>
      </c>
      <c r="T2907" s="29">
        <f>IF($A2907="","",DATE(YEAR($A2907),MONTH($A2907),1))</f>
        <v>0</v>
      </c>
      <c r="U2907" s="30">
        <f>IF($S2907="CONFIRMAR",MAX($U$4:$U2906)+1,"")</f>
        <v>0</v>
      </c>
      <c r="V2907" s="30">
        <f>IF(AND($R2907="Não",$Q2907&lt;&gt;"",$Q2907&lt;=Hoje+JanelaRet,$Q2907&gt;=Hoje-60),MAX($V$4:$V2906)+1,"")</f>
        <v>0</v>
      </c>
    </row>
    <row r="2908" spans="1:22">
      <c r="A2908" s="16"/>
      <c r="B2908" s="23"/>
      <c r="C2908" s="15"/>
      <c r="D2908" s="15"/>
      <c r="E2908" s="15"/>
      <c r="F2908" s="24"/>
      <c r="G2908" s="17"/>
      <c r="H2908" s="17"/>
      <c r="I2908" s="15"/>
      <c r="J2908" s="25">
        <f>IF($D2908="","",IFERROR(INDEX(PacNome,MATCH($D2908,PacCod,0)),"Paciente não cadastrado"))</f>
        <v>0</v>
      </c>
      <c r="K2908" s="26">
        <f>IF($D2908="","",IFERROR(INDEX(PacConv,MATCH($D2908,PacCod,0))&amp;"",""))</f>
        <v>0</v>
      </c>
      <c r="L2908" s="26">
        <f>IF($A2908="","",CHOOSE(WEEKDAY($A2908,2),"Seg","Ter","Qua","Qui","Sex","Sáb","Dom"))</f>
        <v>0</v>
      </c>
      <c r="M2908" s="27">
        <f>IF($E2908="","",IF($G2908&lt;&gt;"",$G2908,IFERROR(INDEX(ProcValor,MATCH($E2908,ProcNome,0)),0)))</f>
        <v>0</v>
      </c>
      <c r="N2908" s="27">
        <f>IF($M2908="","",IF($F2908="Compareceu",$M2908,0))</f>
        <v>0</v>
      </c>
      <c r="O2908" s="27">
        <f>IF($M2908="","",IF($F2908="Faltou",$M2908,0))</f>
        <v>0</v>
      </c>
      <c r="P2908" s="27">
        <f>IF($M2908="","",IF($F2908="Compareceu",MAX(0,$M2908-N($H2908)),0))</f>
        <v>0</v>
      </c>
      <c r="Q2908" s="19">
        <f>IF(AND($F2908="Compareceu",$E2908&lt;&gt;"",$A2908&lt;&gt;""),IF(IFERROR(INDEX(ProcRet,MATCH($E2908,ProcNome,0)),0)&gt;0,$A2908+INDEX(ProcRet,MATCH($E2908,ProcNome,0)),""),"")</f>
        <v>0</v>
      </c>
      <c r="R2908" s="26">
        <f>IF($Q2908="","",IF(COUNTIFS(AgPac,$D2908,AgData,"&gt;"&amp;$A2908,AgStatus,"&lt;&gt;Cancelado",AgStatus,"&lt;&gt;Remarcado")&gt;0,"Sim","Não"))</f>
        <v>0</v>
      </c>
      <c r="S2908" s="28">
        <f>IF($A2908="","",IF(AND($F2908="Agendado",$A2908-Hoje&gt;=0,$A2908-Hoje&lt;=DiasConf),"CONFIRMAR",IF(AND($A2908&lt;Hoje,OR($F2908="Agendado",$F2908="Confirmado")),"Atualizar status",IF(AND($F2908="Compareceu",$P2908&gt;0.005),"Cobrar",IF($F2908="Faltou","Falta: reagendar","")))))</f>
        <v>0</v>
      </c>
      <c r="T2908" s="29">
        <f>IF($A2908="","",DATE(YEAR($A2908),MONTH($A2908),1))</f>
        <v>0</v>
      </c>
      <c r="U2908" s="30">
        <f>IF($S2908="CONFIRMAR",MAX($U$4:$U2907)+1,"")</f>
        <v>0</v>
      </c>
      <c r="V2908" s="30">
        <f>IF(AND($R2908="Não",$Q2908&lt;&gt;"",$Q2908&lt;=Hoje+JanelaRet,$Q2908&gt;=Hoje-60),MAX($V$4:$V2907)+1,"")</f>
        <v>0</v>
      </c>
    </row>
    <row r="2909" spans="1:22">
      <c r="A2909" s="16"/>
      <c r="B2909" s="23"/>
      <c r="C2909" s="15"/>
      <c r="D2909" s="15"/>
      <c r="E2909" s="15"/>
      <c r="F2909" s="24"/>
      <c r="G2909" s="17"/>
      <c r="H2909" s="17"/>
      <c r="I2909" s="15"/>
      <c r="J2909" s="25">
        <f>IF($D2909="","",IFERROR(INDEX(PacNome,MATCH($D2909,PacCod,0)),"Paciente não cadastrado"))</f>
        <v>0</v>
      </c>
      <c r="K2909" s="26">
        <f>IF($D2909="","",IFERROR(INDEX(PacConv,MATCH($D2909,PacCod,0))&amp;"",""))</f>
        <v>0</v>
      </c>
      <c r="L2909" s="26">
        <f>IF($A2909="","",CHOOSE(WEEKDAY($A2909,2),"Seg","Ter","Qua","Qui","Sex","Sáb","Dom"))</f>
        <v>0</v>
      </c>
      <c r="M2909" s="27">
        <f>IF($E2909="","",IF($G2909&lt;&gt;"",$G2909,IFERROR(INDEX(ProcValor,MATCH($E2909,ProcNome,0)),0)))</f>
        <v>0</v>
      </c>
      <c r="N2909" s="27">
        <f>IF($M2909="","",IF($F2909="Compareceu",$M2909,0))</f>
        <v>0</v>
      </c>
      <c r="O2909" s="27">
        <f>IF($M2909="","",IF($F2909="Faltou",$M2909,0))</f>
        <v>0</v>
      </c>
      <c r="P2909" s="27">
        <f>IF($M2909="","",IF($F2909="Compareceu",MAX(0,$M2909-N($H2909)),0))</f>
        <v>0</v>
      </c>
      <c r="Q2909" s="19">
        <f>IF(AND($F2909="Compareceu",$E2909&lt;&gt;"",$A2909&lt;&gt;""),IF(IFERROR(INDEX(ProcRet,MATCH($E2909,ProcNome,0)),0)&gt;0,$A2909+INDEX(ProcRet,MATCH($E2909,ProcNome,0)),""),"")</f>
        <v>0</v>
      </c>
      <c r="R2909" s="26">
        <f>IF($Q2909="","",IF(COUNTIFS(AgPac,$D2909,AgData,"&gt;"&amp;$A2909,AgStatus,"&lt;&gt;Cancelado",AgStatus,"&lt;&gt;Remarcado")&gt;0,"Sim","Não"))</f>
        <v>0</v>
      </c>
      <c r="S2909" s="28">
        <f>IF($A2909="","",IF(AND($F2909="Agendado",$A2909-Hoje&gt;=0,$A2909-Hoje&lt;=DiasConf),"CONFIRMAR",IF(AND($A2909&lt;Hoje,OR($F2909="Agendado",$F2909="Confirmado")),"Atualizar status",IF(AND($F2909="Compareceu",$P2909&gt;0.005),"Cobrar",IF($F2909="Faltou","Falta: reagendar","")))))</f>
        <v>0</v>
      </c>
      <c r="T2909" s="29">
        <f>IF($A2909="","",DATE(YEAR($A2909),MONTH($A2909),1))</f>
        <v>0</v>
      </c>
      <c r="U2909" s="30">
        <f>IF($S2909="CONFIRMAR",MAX($U$4:$U2908)+1,"")</f>
        <v>0</v>
      </c>
      <c r="V2909" s="30">
        <f>IF(AND($R2909="Não",$Q2909&lt;&gt;"",$Q2909&lt;=Hoje+JanelaRet,$Q2909&gt;=Hoje-60),MAX($V$4:$V2908)+1,"")</f>
        <v>0</v>
      </c>
    </row>
    <row r="2910" spans="1:22">
      <c r="A2910" s="16"/>
      <c r="B2910" s="23"/>
      <c r="C2910" s="15"/>
      <c r="D2910" s="15"/>
      <c r="E2910" s="15"/>
      <c r="F2910" s="24"/>
      <c r="G2910" s="17"/>
      <c r="H2910" s="17"/>
      <c r="I2910" s="15"/>
      <c r="J2910" s="25">
        <f>IF($D2910="","",IFERROR(INDEX(PacNome,MATCH($D2910,PacCod,0)),"Paciente não cadastrado"))</f>
        <v>0</v>
      </c>
      <c r="K2910" s="26">
        <f>IF($D2910="","",IFERROR(INDEX(PacConv,MATCH($D2910,PacCod,0))&amp;"",""))</f>
        <v>0</v>
      </c>
      <c r="L2910" s="26">
        <f>IF($A2910="","",CHOOSE(WEEKDAY($A2910,2),"Seg","Ter","Qua","Qui","Sex","Sáb","Dom"))</f>
        <v>0</v>
      </c>
      <c r="M2910" s="27">
        <f>IF($E2910="","",IF($G2910&lt;&gt;"",$G2910,IFERROR(INDEX(ProcValor,MATCH($E2910,ProcNome,0)),0)))</f>
        <v>0</v>
      </c>
      <c r="N2910" s="27">
        <f>IF($M2910="","",IF($F2910="Compareceu",$M2910,0))</f>
        <v>0</v>
      </c>
      <c r="O2910" s="27">
        <f>IF($M2910="","",IF($F2910="Faltou",$M2910,0))</f>
        <v>0</v>
      </c>
      <c r="P2910" s="27">
        <f>IF($M2910="","",IF($F2910="Compareceu",MAX(0,$M2910-N($H2910)),0))</f>
        <v>0</v>
      </c>
      <c r="Q2910" s="19">
        <f>IF(AND($F2910="Compareceu",$E2910&lt;&gt;"",$A2910&lt;&gt;""),IF(IFERROR(INDEX(ProcRet,MATCH($E2910,ProcNome,0)),0)&gt;0,$A2910+INDEX(ProcRet,MATCH($E2910,ProcNome,0)),""),"")</f>
        <v>0</v>
      </c>
      <c r="R2910" s="26">
        <f>IF($Q2910="","",IF(COUNTIFS(AgPac,$D2910,AgData,"&gt;"&amp;$A2910,AgStatus,"&lt;&gt;Cancelado",AgStatus,"&lt;&gt;Remarcado")&gt;0,"Sim","Não"))</f>
        <v>0</v>
      </c>
      <c r="S2910" s="28">
        <f>IF($A2910="","",IF(AND($F2910="Agendado",$A2910-Hoje&gt;=0,$A2910-Hoje&lt;=DiasConf),"CONFIRMAR",IF(AND($A2910&lt;Hoje,OR($F2910="Agendado",$F2910="Confirmado")),"Atualizar status",IF(AND($F2910="Compareceu",$P2910&gt;0.005),"Cobrar",IF($F2910="Faltou","Falta: reagendar","")))))</f>
        <v>0</v>
      </c>
      <c r="T2910" s="29">
        <f>IF($A2910="","",DATE(YEAR($A2910),MONTH($A2910),1))</f>
        <v>0</v>
      </c>
      <c r="U2910" s="30">
        <f>IF($S2910="CONFIRMAR",MAX($U$4:$U2909)+1,"")</f>
        <v>0</v>
      </c>
      <c r="V2910" s="30">
        <f>IF(AND($R2910="Não",$Q2910&lt;&gt;"",$Q2910&lt;=Hoje+JanelaRet,$Q2910&gt;=Hoje-60),MAX($V$4:$V2909)+1,"")</f>
        <v>0</v>
      </c>
    </row>
    <row r="2911" spans="1:22">
      <c r="A2911" s="16"/>
      <c r="B2911" s="23"/>
      <c r="C2911" s="15"/>
      <c r="D2911" s="15"/>
      <c r="E2911" s="15"/>
      <c r="F2911" s="24"/>
      <c r="G2911" s="17"/>
      <c r="H2911" s="17"/>
      <c r="I2911" s="15"/>
      <c r="J2911" s="25">
        <f>IF($D2911="","",IFERROR(INDEX(PacNome,MATCH($D2911,PacCod,0)),"Paciente não cadastrado"))</f>
        <v>0</v>
      </c>
      <c r="K2911" s="26">
        <f>IF($D2911="","",IFERROR(INDEX(PacConv,MATCH($D2911,PacCod,0))&amp;"",""))</f>
        <v>0</v>
      </c>
      <c r="L2911" s="26">
        <f>IF($A2911="","",CHOOSE(WEEKDAY($A2911,2),"Seg","Ter","Qua","Qui","Sex","Sáb","Dom"))</f>
        <v>0</v>
      </c>
      <c r="M2911" s="27">
        <f>IF($E2911="","",IF($G2911&lt;&gt;"",$G2911,IFERROR(INDEX(ProcValor,MATCH($E2911,ProcNome,0)),0)))</f>
        <v>0</v>
      </c>
      <c r="N2911" s="27">
        <f>IF($M2911="","",IF($F2911="Compareceu",$M2911,0))</f>
        <v>0</v>
      </c>
      <c r="O2911" s="27">
        <f>IF($M2911="","",IF($F2911="Faltou",$M2911,0))</f>
        <v>0</v>
      </c>
      <c r="P2911" s="27">
        <f>IF($M2911="","",IF($F2911="Compareceu",MAX(0,$M2911-N($H2911)),0))</f>
        <v>0</v>
      </c>
      <c r="Q2911" s="19">
        <f>IF(AND($F2911="Compareceu",$E2911&lt;&gt;"",$A2911&lt;&gt;""),IF(IFERROR(INDEX(ProcRet,MATCH($E2911,ProcNome,0)),0)&gt;0,$A2911+INDEX(ProcRet,MATCH($E2911,ProcNome,0)),""),"")</f>
        <v>0</v>
      </c>
      <c r="R2911" s="26">
        <f>IF($Q2911="","",IF(COUNTIFS(AgPac,$D2911,AgData,"&gt;"&amp;$A2911,AgStatus,"&lt;&gt;Cancelado",AgStatus,"&lt;&gt;Remarcado")&gt;0,"Sim","Não"))</f>
        <v>0</v>
      </c>
      <c r="S2911" s="28">
        <f>IF($A2911="","",IF(AND($F2911="Agendado",$A2911-Hoje&gt;=0,$A2911-Hoje&lt;=DiasConf),"CONFIRMAR",IF(AND($A2911&lt;Hoje,OR($F2911="Agendado",$F2911="Confirmado")),"Atualizar status",IF(AND($F2911="Compareceu",$P2911&gt;0.005),"Cobrar",IF($F2911="Faltou","Falta: reagendar","")))))</f>
        <v>0</v>
      </c>
      <c r="T2911" s="29">
        <f>IF($A2911="","",DATE(YEAR($A2911),MONTH($A2911),1))</f>
        <v>0</v>
      </c>
      <c r="U2911" s="30">
        <f>IF($S2911="CONFIRMAR",MAX($U$4:$U2910)+1,"")</f>
        <v>0</v>
      </c>
      <c r="V2911" s="30">
        <f>IF(AND($R2911="Não",$Q2911&lt;&gt;"",$Q2911&lt;=Hoje+JanelaRet,$Q2911&gt;=Hoje-60),MAX($V$4:$V2910)+1,"")</f>
        <v>0</v>
      </c>
    </row>
    <row r="2912" spans="1:22">
      <c r="A2912" s="16"/>
      <c r="B2912" s="23"/>
      <c r="C2912" s="15"/>
      <c r="D2912" s="15"/>
      <c r="E2912" s="15"/>
      <c r="F2912" s="24"/>
      <c r="G2912" s="17"/>
      <c r="H2912" s="17"/>
      <c r="I2912" s="15"/>
      <c r="J2912" s="25">
        <f>IF($D2912="","",IFERROR(INDEX(PacNome,MATCH($D2912,PacCod,0)),"Paciente não cadastrado"))</f>
        <v>0</v>
      </c>
      <c r="K2912" s="26">
        <f>IF($D2912="","",IFERROR(INDEX(PacConv,MATCH($D2912,PacCod,0))&amp;"",""))</f>
        <v>0</v>
      </c>
      <c r="L2912" s="26">
        <f>IF($A2912="","",CHOOSE(WEEKDAY($A2912,2),"Seg","Ter","Qua","Qui","Sex","Sáb","Dom"))</f>
        <v>0</v>
      </c>
      <c r="M2912" s="27">
        <f>IF($E2912="","",IF($G2912&lt;&gt;"",$G2912,IFERROR(INDEX(ProcValor,MATCH($E2912,ProcNome,0)),0)))</f>
        <v>0</v>
      </c>
      <c r="N2912" s="27">
        <f>IF($M2912="","",IF($F2912="Compareceu",$M2912,0))</f>
        <v>0</v>
      </c>
      <c r="O2912" s="27">
        <f>IF($M2912="","",IF($F2912="Faltou",$M2912,0))</f>
        <v>0</v>
      </c>
      <c r="P2912" s="27">
        <f>IF($M2912="","",IF($F2912="Compareceu",MAX(0,$M2912-N($H2912)),0))</f>
        <v>0</v>
      </c>
      <c r="Q2912" s="19">
        <f>IF(AND($F2912="Compareceu",$E2912&lt;&gt;"",$A2912&lt;&gt;""),IF(IFERROR(INDEX(ProcRet,MATCH($E2912,ProcNome,0)),0)&gt;0,$A2912+INDEX(ProcRet,MATCH($E2912,ProcNome,0)),""),"")</f>
        <v>0</v>
      </c>
      <c r="R2912" s="26">
        <f>IF($Q2912="","",IF(COUNTIFS(AgPac,$D2912,AgData,"&gt;"&amp;$A2912,AgStatus,"&lt;&gt;Cancelado",AgStatus,"&lt;&gt;Remarcado")&gt;0,"Sim","Não"))</f>
        <v>0</v>
      </c>
      <c r="S2912" s="28">
        <f>IF($A2912="","",IF(AND($F2912="Agendado",$A2912-Hoje&gt;=0,$A2912-Hoje&lt;=DiasConf),"CONFIRMAR",IF(AND($A2912&lt;Hoje,OR($F2912="Agendado",$F2912="Confirmado")),"Atualizar status",IF(AND($F2912="Compareceu",$P2912&gt;0.005),"Cobrar",IF($F2912="Faltou","Falta: reagendar","")))))</f>
        <v>0</v>
      </c>
      <c r="T2912" s="29">
        <f>IF($A2912="","",DATE(YEAR($A2912),MONTH($A2912),1))</f>
        <v>0</v>
      </c>
      <c r="U2912" s="30">
        <f>IF($S2912="CONFIRMAR",MAX($U$4:$U2911)+1,"")</f>
        <v>0</v>
      </c>
      <c r="V2912" s="30">
        <f>IF(AND($R2912="Não",$Q2912&lt;&gt;"",$Q2912&lt;=Hoje+JanelaRet,$Q2912&gt;=Hoje-60),MAX($V$4:$V2911)+1,"")</f>
        <v>0</v>
      </c>
    </row>
    <row r="2913" spans="1:22">
      <c r="A2913" s="16"/>
      <c r="B2913" s="23"/>
      <c r="C2913" s="15"/>
      <c r="D2913" s="15"/>
      <c r="E2913" s="15"/>
      <c r="F2913" s="24"/>
      <c r="G2913" s="17"/>
      <c r="H2913" s="17"/>
      <c r="I2913" s="15"/>
      <c r="J2913" s="25">
        <f>IF($D2913="","",IFERROR(INDEX(PacNome,MATCH($D2913,PacCod,0)),"Paciente não cadastrado"))</f>
        <v>0</v>
      </c>
      <c r="K2913" s="26">
        <f>IF($D2913="","",IFERROR(INDEX(PacConv,MATCH($D2913,PacCod,0))&amp;"",""))</f>
        <v>0</v>
      </c>
      <c r="L2913" s="26">
        <f>IF($A2913="","",CHOOSE(WEEKDAY($A2913,2),"Seg","Ter","Qua","Qui","Sex","Sáb","Dom"))</f>
        <v>0</v>
      </c>
      <c r="M2913" s="27">
        <f>IF($E2913="","",IF($G2913&lt;&gt;"",$G2913,IFERROR(INDEX(ProcValor,MATCH($E2913,ProcNome,0)),0)))</f>
        <v>0</v>
      </c>
      <c r="N2913" s="27">
        <f>IF($M2913="","",IF($F2913="Compareceu",$M2913,0))</f>
        <v>0</v>
      </c>
      <c r="O2913" s="27">
        <f>IF($M2913="","",IF($F2913="Faltou",$M2913,0))</f>
        <v>0</v>
      </c>
      <c r="P2913" s="27">
        <f>IF($M2913="","",IF($F2913="Compareceu",MAX(0,$M2913-N($H2913)),0))</f>
        <v>0</v>
      </c>
      <c r="Q2913" s="19">
        <f>IF(AND($F2913="Compareceu",$E2913&lt;&gt;"",$A2913&lt;&gt;""),IF(IFERROR(INDEX(ProcRet,MATCH($E2913,ProcNome,0)),0)&gt;0,$A2913+INDEX(ProcRet,MATCH($E2913,ProcNome,0)),""),"")</f>
        <v>0</v>
      </c>
      <c r="R2913" s="26">
        <f>IF($Q2913="","",IF(COUNTIFS(AgPac,$D2913,AgData,"&gt;"&amp;$A2913,AgStatus,"&lt;&gt;Cancelado",AgStatus,"&lt;&gt;Remarcado")&gt;0,"Sim","Não"))</f>
        <v>0</v>
      </c>
      <c r="S2913" s="28">
        <f>IF($A2913="","",IF(AND($F2913="Agendado",$A2913-Hoje&gt;=0,$A2913-Hoje&lt;=DiasConf),"CONFIRMAR",IF(AND($A2913&lt;Hoje,OR($F2913="Agendado",$F2913="Confirmado")),"Atualizar status",IF(AND($F2913="Compareceu",$P2913&gt;0.005),"Cobrar",IF($F2913="Faltou","Falta: reagendar","")))))</f>
        <v>0</v>
      </c>
      <c r="T2913" s="29">
        <f>IF($A2913="","",DATE(YEAR($A2913),MONTH($A2913),1))</f>
        <v>0</v>
      </c>
      <c r="U2913" s="30">
        <f>IF($S2913="CONFIRMAR",MAX($U$4:$U2912)+1,"")</f>
        <v>0</v>
      </c>
      <c r="V2913" s="30">
        <f>IF(AND($R2913="Não",$Q2913&lt;&gt;"",$Q2913&lt;=Hoje+JanelaRet,$Q2913&gt;=Hoje-60),MAX($V$4:$V2912)+1,"")</f>
        <v>0</v>
      </c>
    </row>
    <row r="2914" spans="1:22">
      <c r="A2914" s="16"/>
      <c r="B2914" s="23"/>
      <c r="C2914" s="15"/>
      <c r="D2914" s="15"/>
      <c r="E2914" s="15"/>
      <c r="F2914" s="24"/>
      <c r="G2914" s="17"/>
      <c r="H2914" s="17"/>
      <c r="I2914" s="15"/>
      <c r="J2914" s="25">
        <f>IF($D2914="","",IFERROR(INDEX(PacNome,MATCH($D2914,PacCod,0)),"Paciente não cadastrado"))</f>
        <v>0</v>
      </c>
      <c r="K2914" s="26">
        <f>IF($D2914="","",IFERROR(INDEX(PacConv,MATCH($D2914,PacCod,0))&amp;"",""))</f>
        <v>0</v>
      </c>
      <c r="L2914" s="26">
        <f>IF($A2914="","",CHOOSE(WEEKDAY($A2914,2),"Seg","Ter","Qua","Qui","Sex","Sáb","Dom"))</f>
        <v>0</v>
      </c>
      <c r="M2914" s="27">
        <f>IF($E2914="","",IF($G2914&lt;&gt;"",$G2914,IFERROR(INDEX(ProcValor,MATCH($E2914,ProcNome,0)),0)))</f>
        <v>0</v>
      </c>
      <c r="N2914" s="27">
        <f>IF($M2914="","",IF($F2914="Compareceu",$M2914,0))</f>
        <v>0</v>
      </c>
      <c r="O2914" s="27">
        <f>IF($M2914="","",IF($F2914="Faltou",$M2914,0))</f>
        <v>0</v>
      </c>
      <c r="P2914" s="27">
        <f>IF($M2914="","",IF($F2914="Compareceu",MAX(0,$M2914-N($H2914)),0))</f>
        <v>0</v>
      </c>
      <c r="Q2914" s="19">
        <f>IF(AND($F2914="Compareceu",$E2914&lt;&gt;"",$A2914&lt;&gt;""),IF(IFERROR(INDEX(ProcRet,MATCH($E2914,ProcNome,0)),0)&gt;0,$A2914+INDEX(ProcRet,MATCH($E2914,ProcNome,0)),""),"")</f>
        <v>0</v>
      </c>
      <c r="R2914" s="26">
        <f>IF($Q2914="","",IF(COUNTIFS(AgPac,$D2914,AgData,"&gt;"&amp;$A2914,AgStatus,"&lt;&gt;Cancelado",AgStatus,"&lt;&gt;Remarcado")&gt;0,"Sim","Não"))</f>
        <v>0</v>
      </c>
      <c r="S2914" s="28">
        <f>IF($A2914="","",IF(AND($F2914="Agendado",$A2914-Hoje&gt;=0,$A2914-Hoje&lt;=DiasConf),"CONFIRMAR",IF(AND($A2914&lt;Hoje,OR($F2914="Agendado",$F2914="Confirmado")),"Atualizar status",IF(AND($F2914="Compareceu",$P2914&gt;0.005),"Cobrar",IF($F2914="Faltou","Falta: reagendar","")))))</f>
        <v>0</v>
      </c>
      <c r="T2914" s="29">
        <f>IF($A2914="","",DATE(YEAR($A2914),MONTH($A2914),1))</f>
        <v>0</v>
      </c>
      <c r="U2914" s="30">
        <f>IF($S2914="CONFIRMAR",MAX($U$4:$U2913)+1,"")</f>
        <v>0</v>
      </c>
      <c r="V2914" s="30">
        <f>IF(AND($R2914="Não",$Q2914&lt;&gt;"",$Q2914&lt;=Hoje+JanelaRet,$Q2914&gt;=Hoje-60),MAX($V$4:$V2913)+1,"")</f>
        <v>0</v>
      </c>
    </row>
    <row r="2915" spans="1:22">
      <c r="A2915" s="16"/>
      <c r="B2915" s="23"/>
      <c r="C2915" s="15"/>
      <c r="D2915" s="15"/>
      <c r="E2915" s="15"/>
      <c r="F2915" s="24"/>
      <c r="G2915" s="17"/>
      <c r="H2915" s="17"/>
      <c r="I2915" s="15"/>
      <c r="J2915" s="25">
        <f>IF($D2915="","",IFERROR(INDEX(PacNome,MATCH($D2915,PacCod,0)),"Paciente não cadastrado"))</f>
        <v>0</v>
      </c>
      <c r="K2915" s="26">
        <f>IF($D2915="","",IFERROR(INDEX(PacConv,MATCH($D2915,PacCod,0))&amp;"",""))</f>
        <v>0</v>
      </c>
      <c r="L2915" s="26">
        <f>IF($A2915="","",CHOOSE(WEEKDAY($A2915,2),"Seg","Ter","Qua","Qui","Sex","Sáb","Dom"))</f>
        <v>0</v>
      </c>
      <c r="M2915" s="27">
        <f>IF($E2915="","",IF($G2915&lt;&gt;"",$G2915,IFERROR(INDEX(ProcValor,MATCH($E2915,ProcNome,0)),0)))</f>
        <v>0</v>
      </c>
      <c r="N2915" s="27">
        <f>IF($M2915="","",IF($F2915="Compareceu",$M2915,0))</f>
        <v>0</v>
      </c>
      <c r="O2915" s="27">
        <f>IF($M2915="","",IF($F2915="Faltou",$M2915,0))</f>
        <v>0</v>
      </c>
      <c r="P2915" s="27">
        <f>IF($M2915="","",IF($F2915="Compareceu",MAX(0,$M2915-N($H2915)),0))</f>
        <v>0</v>
      </c>
      <c r="Q2915" s="19">
        <f>IF(AND($F2915="Compareceu",$E2915&lt;&gt;"",$A2915&lt;&gt;""),IF(IFERROR(INDEX(ProcRet,MATCH($E2915,ProcNome,0)),0)&gt;0,$A2915+INDEX(ProcRet,MATCH($E2915,ProcNome,0)),""),"")</f>
        <v>0</v>
      </c>
      <c r="R2915" s="26">
        <f>IF($Q2915="","",IF(COUNTIFS(AgPac,$D2915,AgData,"&gt;"&amp;$A2915,AgStatus,"&lt;&gt;Cancelado",AgStatus,"&lt;&gt;Remarcado")&gt;0,"Sim","Não"))</f>
        <v>0</v>
      </c>
      <c r="S2915" s="28">
        <f>IF($A2915="","",IF(AND($F2915="Agendado",$A2915-Hoje&gt;=0,$A2915-Hoje&lt;=DiasConf),"CONFIRMAR",IF(AND($A2915&lt;Hoje,OR($F2915="Agendado",$F2915="Confirmado")),"Atualizar status",IF(AND($F2915="Compareceu",$P2915&gt;0.005),"Cobrar",IF($F2915="Faltou","Falta: reagendar","")))))</f>
        <v>0</v>
      </c>
      <c r="T2915" s="29">
        <f>IF($A2915="","",DATE(YEAR($A2915),MONTH($A2915),1))</f>
        <v>0</v>
      </c>
      <c r="U2915" s="30">
        <f>IF($S2915="CONFIRMAR",MAX($U$4:$U2914)+1,"")</f>
        <v>0</v>
      </c>
      <c r="V2915" s="30">
        <f>IF(AND($R2915="Não",$Q2915&lt;&gt;"",$Q2915&lt;=Hoje+JanelaRet,$Q2915&gt;=Hoje-60),MAX($V$4:$V2914)+1,"")</f>
        <v>0</v>
      </c>
    </row>
    <row r="2916" spans="1:22">
      <c r="A2916" s="16"/>
      <c r="B2916" s="23"/>
      <c r="C2916" s="15"/>
      <c r="D2916" s="15"/>
      <c r="E2916" s="15"/>
      <c r="F2916" s="24"/>
      <c r="G2916" s="17"/>
      <c r="H2916" s="17"/>
      <c r="I2916" s="15"/>
      <c r="J2916" s="25">
        <f>IF($D2916="","",IFERROR(INDEX(PacNome,MATCH($D2916,PacCod,0)),"Paciente não cadastrado"))</f>
        <v>0</v>
      </c>
      <c r="K2916" s="26">
        <f>IF($D2916="","",IFERROR(INDEX(PacConv,MATCH($D2916,PacCod,0))&amp;"",""))</f>
        <v>0</v>
      </c>
      <c r="L2916" s="26">
        <f>IF($A2916="","",CHOOSE(WEEKDAY($A2916,2),"Seg","Ter","Qua","Qui","Sex","Sáb","Dom"))</f>
        <v>0</v>
      </c>
      <c r="M2916" s="27">
        <f>IF($E2916="","",IF($G2916&lt;&gt;"",$G2916,IFERROR(INDEX(ProcValor,MATCH($E2916,ProcNome,0)),0)))</f>
        <v>0</v>
      </c>
      <c r="N2916" s="27">
        <f>IF($M2916="","",IF($F2916="Compareceu",$M2916,0))</f>
        <v>0</v>
      </c>
      <c r="O2916" s="27">
        <f>IF($M2916="","",IF($F2916="Faltou",$M2916,0))</f>
        <v>0</v>
      </c>
      <c r="P2916" s="27">
        <f>IF($M2916="","",IF($F2916="Compareceu",MAX(0,$M2916-N($H2916)),0))</f>
        <v>0</v>
      </c>
      <c r="Q2916" s="19">
        <f>IF(AND($F2916="Compareceu",$E2916&lt;&gt;"",$A2916&lt;&gt;""),IF(IFERROR(INDEX(ProcRet,MATCH($E2916,ProcNome,0)),0)&gt;0,$A2916+INDEX(ProcRet,MATCH($E2916,ProcNome,0)),""),"")</f>
        <v>0</v>
      </c>
      <c r="R2916" s="26">
        <f>IF($Q2916="","",IF(COUNTIFS(AgPac,$D2916,AgData,"&gt;"&amp;$A2916,AgStatus,"&lt;&gt;Cancelado",AgStatus,"&lt;&gt;Remarcado")&gt;0,"Sim","Não"))</f>
        <v>0</v>
      </c>
      <c r="S2916" s="28">
        <f>IF($A2916="","",IF(AND($F2916="Agendado",$A2916-Hoje&gt;=0,$A2916-Hoje&lt;=DiasConf),"CONFIRMAR",IF(AND($A2916&lt;Hoje,OR($F2916="Agendado",$F2916="Confirmado")),"Atualizar status",IF(AND($F2916="Compareceu",$P2916&gt;0.005),"Cobrar",IF($F2916="Faltou","Falta: reagendar","")))))</f>
        <v>0</v>
      </c>
      <c r="T2916" s="29">
        <f>IF($A2916="","",DATE(YEAR($A2916),MONTH($A2916),1))</f>
        <v>0</v>
      </c>
      <c r="U2916" s="30">
        <f>IF($S2916="CONFIRMAR",MAX($U$4:$U2915)+1,"")</f>
        <v>0</v>
      </c>
      <c r="V2916" s="30">
        <f>IF(AND($R2916="Não",$Q2916&lt;&gt;"",$Q2916&lt;=Hoje+JanelaRet,$Q2916&gt;=Hoje-60),MAX($V$4:$V2915)+1,"")</f>
        <v>0</v>
      </c>
    </row>
    <row r="2917" spans="1:22">
      <c r="A2917" s="16"/>
      <c r="B2917" s="23"/>
      <c r="C2917" s="15"/>
      <c r="D2917" s="15"/>
      <c r="E2917" s="15"/>
      <c r="F2917" s="24"/>
      <c r="G2917" s="17"/>
      <c r="H2917" s="17"/>
      <c r="I2917" s="15"/>
      <c r="J2917" s="25">
        <f>IF($D2917="","",IFERROR(INDEX(PacNome,MATCH($D2917,PacCod,0)),"Paciente não cadastrado"))</f>
        <v>0</v>
      </c>
      <c r="K2917" s="26">
        <f>IF($D2917="","",IFERROR(INDEX(PacConv,MATCH($D2917,PacCod,0))&amp;"",""))</f>
        <v>0</v>
      </c>
      <c r="L2917" s="26">
        <f>IF($A2917="","",CHOOSE(WEEKDAY($A2917,2),"Seg","Ter","Qua","Qui","Sex","Sáb","Dom"))</f>
        <v>0</v>
      </c>
      <c r="M2917" s="27">
        <f>IF($E2917="","",IF($G2917&lt;&gt;"",$G2917,IFERROR(INDEX(ProcValor,MATCH($E2917,ProcNome,0)),0)))</f>
        <v>0</v>
      </c>
      <c r="N2917" s="27">
        <f>IF($M2917="","",IF($F2917="Compareceu",$M2917,0))</f>
        <v>0</v>
      </c>
      <c r="O2917" s="27">
        <f>IF($M2917="","",IF($F2917="Faltou",$M2917,0))</f>
        <v>0</v>
      </c>
      <c r="P2917" s="27">
        <f>IF($M2917="","",IF($F2917="Compareceu",MAX(0,$M2917-N($H2917)),0))</f>
        <v>0</v>
      </c>
      <c r="Q2917" s="19">
        <f>IF(AND($F2917="Compareceu",$E2917&lt;&gt;"",$A2917&lt;&gt;""),IF(IFERROR(INDEX(ProcRet,MATCH($E2917,ProcNome,0)),0)&gt;0,$A2917+INDEX(ProcRet,MATCH($E2917,ProcNome,0)),""),"")</f>
        <v>0</v>
      </c>
      <c r="R2917" s="26">
        <f>IF($Q2917="","",IF(COUNTIFS(AgPac,$D2917,AgData,"&gt;"&amp;$A2917,AgStatus,"&lt;&gt;Cancelado",AgStatus,"&lt;&gt;Remarcado")&gt;0,"Sim","Não"))</f>
        <v>0</v>
      </c>
      <c r="S2917" s="28">
        <f>IF($A2917="","",IF(AND($F2917="Agendado",$A2917-Hoje&gt;=0,$A2917-Hoje&lt;=DiasConf),"CONFIRMAR",IF(AND($A2917&lt;Hoje,OR($F2917="Agendado",$F2917="Confirmado")),"Atualizar status",IF(AND($F2917="Compareceu",$P2917&gt;0.005),"Cobrar",IF($F2917="Faltou","Falta: reagendar","")))))</f>
        <v>0</v>
      </c>
      <c r="T2917" s="29">
        <f>IF($A2917="","",DATE(YEAR($A2917),MONTH($A2917),1))</f>
        <v>0</v>
      </c>
      <c r="U2917" s="30">
        <f>IF($S2917="CONFIRMAR",MAX($U$4:$U2916)+1,"")</f>
        <v>0</v>
      </c>
      <c r="V2917" s="30">
        <f>IF(AND($R2917="Não",$Q2917&lt;&gt;"",$Q2917&lt;=Hoje+JanelaRet,$Q2917&gt;=Hoje-60),MAX($V$4:$V2916)+1,"")</f>
        <v>0</v>
      </c>
    </row>
    <row r="2918" spans="1:22">
      <c r="A2918" s="16"/>
      <c r="B2918" s="23"/>
      <c r="C2918" s="15"/>
      <c r="D2918" s="15"/>
      <c r="E2918" s="15"/>
      <c r="F2918" s="24"/>
      <c r="G2918" s="17"/>
      <c r="H2918" s="17"/>
      <c r="I2918" s="15"/>
      <c r="J2918" s="25">
        <f>IF($D2918="","",IFERROR(INDEX(PacNome,MATCH($D2918,PacCod,0)),"Paciente não cadastrado"))</f>
        <v>0</v>
      </c>
      <c r="K2918" s="26">
        <f>IF($D2918="","",IFERROR(INDEX(PacConv,MATCH($D2918,PacCod,0))&amp;"",""))</f>
        <v>0</v>
      </c>
      <c r="L2918" s="26">
        <f>IF($A2918="","",CHOOSE(WEEKDAY($A2918,2),"Seg","Ter","Qua","Qui","Sex","Sáb","Dom"))</f>
        <v>0</v>
      </c>
      <c r="M2918" s="27">
        <f>IF($E2918="","",IF($G2918&lt;&gt;"",$G2918,IFERROR(INDEX(ProcValor,MATCH($E2918,ProcNome,0)),0)))</f>
        <v>0</v>
      </c>
      <c r="N2918" s="27">
        <f>IF($M2918="","",IF($F2918="Compareceu",$M2918,0))</f>
        <v>0</v>
      </c>
      <c r="O2918" s="27">
        <f>IF($M2918="","",IF($F2918="Faltou",$M2918,0))</f>
        <v>0</v>
      </c>
      <c r="P2918" s="27">
        <f>IF($M2918="","",IF($F2918="Compareceu",MAX(0,$M2918-N($H2918)),0))</f>
        <v>0</v>
      </c>
      <c r="Q2918" s="19">
        <f>IF(AND($F2918="Compareceu",$E2918&lt;&gt;"",$A2918&lt;&gt;""),IF(IFERROR(INDEX(ProcRet,MATCH($E2918,ProcNome,0)),0)&gt;0,$A2918+INDEX(ProcRet,MATCH($E2918,ProcNome,0)),""),"")</f>
        <v>0</v>
      </c>
      <c r="R2918" s="26">
        <f>IF($Q2918="","",IF(COUNTIFS(AgPac,$D2918,AgData,"&gt;"&amp;$A2918,AgStatus,"&lt;&gt;Cancelado",AgStatus,"&lt;&gt;Remarcado")&gt;0,"Sim","Não"))</f>
        <v>0</v>
      </c>
      <c r="S2918" s="28">
        <f>IF($A2918="","",IF(AND($F2918="Agendado",$A2918-Hoje&gt;=0,$A2918-Hoje&lt;=DiasConf),"CONFIRMAR",IF(AND($A2918&lt;Hoje,OR($F2918="Agendado",$F2918="Confirmado")),"Atualizar status",IF(AND($F2918="Compareceu",$P2918&gt;0.005),"Cobrar",IF($F2918="Faltou","Falta: reagendar","")))))</f>
        <v>0</v>
      </c>
      <c r="T2918" s="29">
        <f>IF($A2918="","",DATE(YEAR($A2918),MONTH($A2918),1))</f>
        <v>0</v>
      </c>
      <c r="U2918" s="30">
        <f>IF($S2918="CONFIRMAR",MAX($U$4:$U2917)+1,"")</f>
        <v>0</v>
      </c>
      <c r="V2918" s="30">
        <f>IF(AND($R2918="Não",$Q2918&lt;&gt;"",$Q2918&lt;=Hoje+JanelaRet,$Q2918&gt;=Hoje-60),MAX($V$4:$V2917)+1,"")</f>
        <v>0</v>
      </c>
    </row>
    <row r="2919" spans="1:22">
      <c r="A2919" s="16"/>
      <c r="B2919" s="23"/>
      <c r="C2919" s="15"/>
      <c r="D2919" s="15"/>
      <c r="E2919" s="15"/>
      <c r="F2919" s="24"/>
      <c r="G2919" s="17"/>
      <c r="H2919" s="17"/>
      <c r="I2919" s="15"/>
      <c r="J2919" s="25">
        <f>IF($D2919="","",IFERROR(INDEX(PacNome,MATCH($D2919,PacCod,0)),"Paciente não cadastrado"))</f>
        <v>0</v>
      </c>
      <c r="K2919" s="26">
        <f>IF($D2919="","",IFERROR(INDEX(PacConv,MATCH($D2919,PacCod,0))&amp;"",""))</f>
        <v>0</v>
      </c>
      <c r="L2919" s="26">
        <f>IF($A2919="","",CHOOSE(WEEKDAY($A2919,2),"Seg","Ter","Qua","Qui","Sex","Sáb","Dom"))</f>
        <v>0</v>
      </c>
      <c r="M2919" s="27">
        <f>IF($E2919="","",IF($G2919&lt;&gt;"",$G2919,IFERROR(INDEX(ProcValor,MATCH($E2919,ProcNome,0)),0)))</f>
        <v>0</v>
      </c>
      <c r="N2919" s="27">
        <f>IF($M2919="","",IF($F2919="Compareceu",$M2919,0))</f>
        <v>0</v>
      </c>
      <c r="O2919" s="27">
        <f>IF($M2919="","",IF($F2919="Faltou",$M2919,0))</f>
        <v>0</v>
      </c>
      <c r="P2919" s="27">
        <f>IF($M2919="","",IF($F2919="Compareceu",MAX(0,$M2919-N($H2919)),0))</f>
        <v>0</v>
      </c>
      <c r="Q2919" s="19">
        <f>IF(AND($F2919="Compareceu",$E2919&lt;&gt;"",$A2919&lt;&gt;""),IF(IFERROR(INDEX(ProcRet,MATCH($E2919,ProcNome,0)),0)&gt;0,$A2919+INDEX(ProcRet,MATCH($E2919,ProcNome,0)),""),"")</f>
        <v>0</v>
      </c>
      <c r="R2919" s="26">
        <f>IF($Q2919="","",IF(COUNTIFS(AgPac,$D2919,AgData,"&gt;"&amp;$A2919,AgStatus,"&lt;&gt;Cancelado",AgStatus,"&lt;&gt;Remarcado")&gt;0,"Sim","Não"))</f>
        <v>0</v>
      </c>
      <c r="S2919" s="28">
        <f>IF($A2919="","",IF(AND($F2919="Agendado",$A2919-Hoje&gt;=0,$A2919-Hoje&lt;=DiasConf),"CONFIRMAR",IF(AND($A2919&lt;Hoje,OR($F2919="Agendado",$F2919="Confirmado")),"Atualizar status",IF(AND($F2919="Compareceu",$P2919&gt;0.005),"Cobrar",IF($F2919="Faltou","Falta: reagendar","")))))</f>
        <v>0</v>
      </c>
      <c r="T2919" s="29">
        <f>IF($A2919="","",DATE(YEAR($A2919),MONTH($A2919),1))</f>
        <v>0</v>
      </c>
      <c r="U2919" s="30">
        <f>IF($S2919="CONFIRMAR",MAX($U$4:$U2918)+1,"")</f>
        <v>0</v>
      </c>
      <c r="V2919" s="30">
        <f>IF(AND($R2919="Não",$Q2919&lt;&gt;"",$Q2919&lt;=Hoje+JanelaRet,$Q2919&gt;=Hoje-60),MAX($V$4:$V2918)+1,"")</f>
        <v>0</v>
      </c>
    </row>
    <row r="2920" spans="1:22">
      <c r="A2920" s="16"/>
      <c r="B2920" s="23"/>
      <c r="C2920" s="15"/>
      <c r="D2920" s="15"/>
      <c r="E2920" s="15"/>
      <c r="F2920" s="24"/>
      <c r="G2920" s="17"/>
      <c r="H2920" s="17"/>
      <c r="I2920" s="15"/>
      <c r="J2920" s="25">
        <f>IF($D2920="","",IFERROR(INDEX(PacNome,MATCH($D2920,PacCod,0)),"Paciente não cadastrado"))</f>
        <v>0</v>
      </c>
      <c r="K2920" s="26">
        <f>IF($D2920="","",IFERROR(INDEX(PacConv,MATCH($D2920,PacCod,0))&amp;"",""))</f>
        <v>0</v>
      </c>
      <c r="L2920" s="26">
        <f>IF($A2920="","",CHOOSE(WEEKDAY($A2920,2),"Seg","Ter","Qua","Qui","Sex","Sáb","Dom"))</f>
        <v>0</v>
      </c>
      <c r="M2920" s="27">
        <f>IF($E2920="","",IF($G2920&lt;&gt;"",$G2920,IFERROR(INDEX(ProcValor,MATCH($E2920,ProcNome,0)),0)))</f>
        <v>0</v>
      </c>
      <c r="N2920" s="27">
        <f>IF($M2920="","",IF($F2920="Compareceu",$M2920,0))</f>
        <v>0</v>
      </c>
      <c r="O2920" s="27">
        <f>IF($M2920="","",IF($F2920="Faltou",$M2920,0))</f>
        <v>0</v>
      </c>
      <c r="P2920" s="27">
        <f>IF($M2920="","",IF($F2920="Compareceu",MAX(0,$M2920-N($H2920)),0))</f>
        <v>0</v>
      </c>
      <c r="Q2920" s="19">
        <f>IF(AND($F2920="Compareceu",$E2920&lt;&gt;"",$A2920&lt;&gt;""),IF(IFERROR(INDEX(ProcRet,MATCH($E2920,ProcNome,0)),0)&gt;0,$A2920+INDEX(ProcRet,MATCH($E2920,ProcNome,0)),""),"")</f>
        <v>0</v>
      </c>
      <c r="R2920" s="26">
        <f>IF($Q2920="","",IF(COUNTIFS(AgPac,$D2920,AgData,"&gt;"&amp;$A2920,AgStatus,"&lt;&gt;Cancelado",AgStatus,"&lt;&gt;Remarcado")&gt;0,"Sim","Não"))</f>
        <v>0</v>
      </c>
      <c r="S2920" s="28">
        <f>IF($A2920="","",IF(AND($F2920="Agendado",$A2920-Hoje&gt;=0,$A2920-Hoje&lt;=DiasConf),"CONFIRMAR",IF(AND($A2920&lt;Hoje,OR($F2920="Agendado",$F2920="Confirmado")),"Atualizar status",IF(AND($F2920="Compareceu",$P2920&gt;0.005),"Cobrar",IF($F2920="Faltou","Falta: reagendar","")))))</f>
        <v>0</v>
      </c>
      <c r="T2920" s="29">
        <f>IF($A2920="","",DATE(YEAR($A2920),MONTH($A2920),1))</f>
        <v>0</v>
      </c>
      <c r="U2920" s="30">
        <f>IF($S2920="CONFIRMAR",MAX($U$4:$U2919)+1,"")</f>
        <v>0</v>
      </c>
      <c r="V2920" s="30">
        <f>IF(AND($R2920="Não",$Q2920&lt;&gt;"",$Q2920&lt;=Hoje+JanelaRet,$Q2920&gt;=Hoje-60),MAX($V$4:$V2919)+1,"")</f>
        <v>0</v>
      </c>
    </row>
    <row r="2921" spans="1:22">
      <c r="A2921" s="16"/>
      <c r="B2921" s="23"/>
      <c r="C2921" s="15"/>
      <c r="D2921" s="15"/>
      <c r="E2921" s="15"/>
      <c r="F2921" s="24"/>
      <c r="G2921" s="17"/>
      <c r="H2921" s="17"/>
      <c r="I2921" s="15"/>
      <c r="J2921" s="25">
        <f>IF($D2921="","",IFERROR(INDEX(PacNome,MATCH($D2921,PacCod,0)),"Paciente não cadastrado"))</f>
        <v>0</v>
      </c>
      <c r="K2921" s="26">
        <f>IF($D2921="","",IFERROR(INDEX(PacConv,MATCH($D2921,PacCod,0))&amp;"",""))</f>
        <v>0</v>
      </c>
      <c r="L2921" s="26">
        <f>IF($A2921="","",CHOOSE(WEEKDAY($A2921,2),"Seg","Ter","Qua","Qui","Sex","Sáb","Dom"))</f>
        <v>0</v>
      </c>
      <c r="M2921" s="27">
        <f>IF($E2921="","",IF($G2921&lt;&gt;"",$G2921,IFERROR(INDEX(ProcValor,MATCH($E2921,ProcNome,0)),0)))</f>
        <v>0</v>
      </c>
      <c r="N2921" s="27">
        <f>IF($M2921="","",IF($F2921="Compareceu",$M2921,0))</f>
        <v>0</v>
      </c>
      <c r="O2921" s="27">
        <f>IF($M2921="","",IF($F2921="Faltou",$M2921,0))</f>
        <v>0</v>
      </c>
      <c r="P2921" s="27">
        <f>IF($M2921="","",IF($F2921="Compareceu",MAX(0,$M2921-N($H2921)),0))</f>
        <v>0</v>
      </c>
      <c r="Q2921" s="19">
        <f>IF(AND($F2921="Compareceu",$E2921&lt;&gt;"",$A2921&lt;&gt;""),IF(IFERROR(INDEX(ProcRet,MATCH($E2921,ProcNome,0)),0)&gt;0,$A2921+INDEX(ProcRet,MATCH($E2921,ProcNome,0)),""),"")</f>
        <v>0</v>
      </c>
      <c r="R2921" s="26">
        <f>IF($Q2921="","",IF(COUNTIFS(AgPac,$D2921,AgData,"&gt;"&amp;$A2921,AgStatus,"&lt;&gt;Cancelado",AgStatus,"&lt;&gt;Remarcado")&gt;0,"Sim","Não"))</f>
        <v>0</v>
      </c>
      <c r="S2921" s="28">
        <f>IF($A2921="","",IF(AND($F2921="Agendado",$A2921-Hoje&gt;=0,$A2921-Hoje&lt;=DiasConf),"CONFIRMAR",IF(AND($A2921&lt;Hoje,OR($F2921="Agendado",$F2921="Confirmado")),"Atualizar status",IF(AND($F2921="Compareceu",$P2921&gt;0.005),"Cobrar",IF($F2921="Faltou","Falta: reagendar","")))))</f>
        <v>0</v>
      </c>
      <c r="T2921" s="29">
        <f>IF($A2921="","",DATE(YEAR($A2921),MONTH($A2921),1))</f>
        <v>0</v>
      </c>
      <c r="U2921" s="30">
        <f>IF($S2921="CONFIRMAR",MAX($U$4:$U2920)+1,"")</f>
        <v>0</v>
      </c>
      <c r="V2921" s="30">
        <f>IF(AND($R2921="Não",$Q2921&lt;&gt;"",$Q2921&lt;=Hoje+JanelaRet,$Q2921&gt;=Hoje-60),MAX($V$4:$V2920)+1,"")</f>
        <v>0</v>
      </c>
    </row>
    <row r="2922" spans="1:22">
      <c r="A2922" s="16"/>
      <c r="B2922" s="23"/>
      <c r="C2922" s="15"/>
      <c r="D2922" s="15"/>
      <c r="E2922" s="15"/>
      <c r="F2922" s="24"/>
      <c r="G2922" s="17"/>
      <c r="H2922" s="17"/>
      <c r="I2922" s="15"/>
      <c r="J2922" s="25">
        <f>IF($D2922="","",IFERROR(INDEX(PacNome,MATCH($D2922,PacCod,0)),"Paciente não cadastrado"))</f>
        <v>0</v>
      </c>
      <c r="K2922" s="26">
        <f>IF($D2922="","",IFERROR(INDEX(PacConv,MATCH($D2922,PacCod,0))&amp;"",""))</f>
        <v>0</v>
      </c>
      <c r="L2922" s="26">
        <f>IF($A2922="","",CHOOSE(WEEKDAY($A2922,2),"Seg","Ter","Qua","Qui","Sex","Sáb","Dom"))</f>
        <v>0</v>
      </c>
      <c r="M2922" s="27">
        <f>IF($E2922="","",IF($G2922&lt;&gt;"",$G2922,IFERROR(INDEX(ProcValor,MATCH($E2922,ProcNome,0)),0)))</f>
        <v>0</v>
      </c>
      <c r="N2922" s="27">
        <f>IF($M2922="","",IF($F2922="Compareceu",$M2922,0))</f>
        <v>0</v>
      </c>
      <c r="O2922" s="27">
        <f>IF($M2922="","",IF($F2922="Faltou",$M2922,0))</f>
        <v>0</v>
      </c>
      <c r="P2922" s="27">
        <f>IF($M2922="","",IF($F2922="Compareceu",MAX(0,$M2922-N($H2922)),0))</f>
        <v>0</v>
      </c>
      <c r="Q2922" s="19">
        <f>IF(AND($F2922="Compareceu",$E2922&lt;&gt;"",$A2922&lt;&gt;""),IF(IFERROR(INDEX(ProcRet,MATCH($E2922,ProcNome,0)),0)&gt;0,$A2922+INDEX(ProcRet,MATCH($E2922,ProcNome,0)),""),"")</f>
        <v>0</v>
      </c>
      <c r="R2922" s="26">
        <f>IF($Q2922="","",IF(COUNTIFS(AgPac,$D2922,AgData,"&gt;"&amp;$A2922,AgStatus,"&lt;&gt;Cancelado",AgStatus,"&lt;&gt;Remarcado")&gt;0,"Sim","Não"))</f>
        <v>0</v>
      </c>
      <c r="S2922" s="28">
        <f>IF($A2922="","",IF(AND($F2922="Agendado",$A2922-Hoje&gt;=0,$A2922-Hoje&lt;=DiasConf),"CONFIRMAR",IF(AND($A2922&lt;Hoje,OR($F2922="Agendado",$F2922="Confirmado")),"Atualizar status",IF(AND($F2922="Compareceu",$P2922&gt;0.005),"Cobrar",IF($F2922="Faltou","Falta: reagendar","")))))</f>
        <v>0</v>
      </c>
      <c r="T2922" s="29">
        <f>IF($A2922="","",DATE(YEAR($A2922),MONTH($A2922),1))</f>
        <v>0</v>
      </c>
      <c r="U2922" s="30">
        <f>IF($S2922="CONFIRMAR",MAX($U$4:$U2921)+1,"")</f>
        <v>0</v>
      </c>
      <c r="V2922" s="30">
        <f>IF(AND($R2922="Não",$Q2922&lt;&gt;"",$Q2922&lt;=Hoje+JanelaRet,$Q2922&gt;=Hoje-60),MAX($V$4:$V2921)+1,"")</f>
        <v>0</v>
      </c>
    </row>
    <row r="2923" spans="1:22">
      <c r="A2923" s="16"/>
      <c r="B2923" s="23"/>
      <c r="C2923" s="15"/>
      <c r="D2923" s="15"/>
      <c r="E2923" s="15"/>
      <c r="F2923" s="24"/>
      <c r="G2923" s="17"/>
      <c r="H2923" s="17"/>
      <c r="I2923" s="15"/>
      <c r="J2923" s="25">
        <f>IF($D2923="","",IFERROR(INDEX(PacNome,MATCH($D2923,PacCod,0)),"Paciente não cadastrado"))</f>
        <v>0</v>
      </c>
      <c r="K2923" s="26">
        <f>IF($D2923="","",IFERROR(INDEX(PacConv,MATCH($D2923,PacCod,0))&amp;"",""))</f>
        <v>0</v>
      </c>
      <c r="L2923" s="26">
        <f>IF($A2923="","",CHOOSE(WEEKDAY($A2923,2),"Seg","Ter","Qua","Qui","Sex","Sáb","Dom"))</f>
        <v>0</v>
      </c>
      <c r="M2923" s="27">
        <f>IF($E2923="","",IF($G2923&lt;&gt;"",$G2923,IFERROR(INDEX(ProcValor,MATCH($E2923,ProcNome,0)),0)))</f>
        <v>0</v>
      </c>
      <c r="N2923" s="27">
        <f>IF($M2923="","",IF($F2923="Compareceu",$M2923,0))</f>
        <v>0</v>
      </c>
      <c r="O2923" s="27">
        <f>IF($M2923="","",IF($F2923="Faltou",$M2923,0))</f>
        <v>0</v>
      </c>
      <c r="P2923" s="27">
        <f>IF($M2923="","",IF($F2923="Compareceu",MAX(0,$M2923-N($H2923)),0))</f>
        <v>0</v>
      </c>
      <c r="Q2923" s="19">
        <f>IF(AND($F2923="Compareceu",$E2923&lt;&gt;"",$A2923&lt;&gt;""),IF(IFERROR(INDEX(ProcRet,MATCH($E2923,ProcNome,0)),0)&gt;0,$A2923+INDEX(ProcRet,MATCH($E2923,ProcNome,0)),""),"")</f>
        <v>0</v>
      </c>
      <c r="R2923" s="26">
        <f>IF($Q2923="","",IF(COUNTIFS(AgPac,$D2923,AgData,"&gt;"&amp;$A2923,AgStatus,"&lt;&gt;Cancelado",AgStatus,"&lt;&gt;Remarcado")&gt;0,"Sim","Não"))</f>
        <v>0</v>
      </c>
      <c r="S2923" s="28">
        <f>IF($A2923="","",IF(AND($F2923="Agendado",$A2923-Hoje&gt;=0,$A2923-Hoje&lt;=DiasConf),"CONFIRMAR",IF(AND($A2923&lt;Hoje,OR($F2923="Agendado",$F2923="Confirmado")),"Atualizar status",IF(AND($F2923="Compareceu",$P2923&gt;0.005),"Cobrar",IF($F2923="Faltou","Falta: reagendar","")))))</f>
        <v>0</v>
      </c>
      <c r="T2923" s="29">
        <f>IF($A2923="","",DATE(YEAR($A2923),MONTH($A2923),1))</f>
        <v>0</v>
      </c>
      <c r="U2923" s="30">
        <f>IF($S2923="CONFIRMAR",MAX($U$4:$U2922)+1,"")</f>
        <v>0</v>
      </c>
      <c r="V2923" s="30">
        <f>IF(AND($R2923="Não",$Q2923&lt;&gt;"",$Q2923&lt;=Hoje+JanelaRet,$Q2923&gt;=Hoje-60),MAX($V$4:$V2922)+1,"")</f>
        <v>0</v>
      </c>
    </row>
    <row r="2924" spans="1:22">
      <c r="A2924" s="16"/>
      <c r="B2924" s="23"/>
      <c r="C2924" s="15"/>
      <c r="D2924" s="15"/>
      <c r="E2924" s="15"/>
      <c r="F2924" s="24"/>
      <c r="G2924" s="17"/>
      <c r="H2924" s="17"/>
      <c r="I2924" s="15"/>
      <c r="J2924" s="25">
        <f>IF($D2924="","",IFERROR(INDEX(PacNome,MATCH($D2924,PacCod,0)),"Paciente não cadastrado"))</f>
        <v>0</v>
      </c>
      <c r="K2924" s="26">
        <f>IF($D2924="","",IFERROR(INDEX(PacConv,MATCH($D2924,PacCod,0))&amp;"",""))</f>
        <v>0</v>
      </c>
      <c r="L2924" s="26">
        <f>IF($A2924="","",CHOOSE(WEEKDAY($A2924,2),"Seg","Ter","Qua","Qui","Sex","Sáb","Dom"))</f>
        <v>0</v>
      </c>
      <c r="M2924" s="27">
        <f>IF($E2924="","",IF($G2924&lt;&gt;"",$G2924,IFERROR(INDEX(ProcValor,MATCH($E2924,ProcNome,0)),0)))</f>
        <v>0</v>
      </c>
      <c r="N2924" s="27">
        <f>IF($M2924="","",IF($F2924="Compareceu",$M2924,0))</f>
        <v>0</v>
      </c>
      <c r="O2924" s="27">
        <f>IF($M2924="","",IF($F2924="Faltou",$M2924,0))</f>
        <v>0</v>
      </c>
      <c r="P2924" s="27">
        <f>IF($M2924="","",IF($F2924="Compareceu",MAX(0,$M2924-N($H2924)),0))</f>
        <v>0</v>
      </c>
      <c r="Q2924" s="19">
        <f>IF(AND($F2924="Compareceu",$E2924&lt;&gt;"",$A2924&lt;&gt;""),IF(IFERROR(INDEX(ProcRet,MATCH($E2924,ProcNome,0)),0)&gt;0,$A2924+INDEX(ProcRet,MATCH($E2924,ProcNome,0)),""),"")</f>
        <v>0</v>
      </c>
      <c r="R2924" s="26">
        <f>IF($Q2924="","",IF(COUNTIFS(AgPac,$D2924,AgData,"&gt;"&amp;$A2924,AgStatus,"&lt;&gt;Cancelado",AgStatus,"&lt;&gt;Remarcado")&gt;0,"Sim","Não"))</f>
        <v>0</v>
      </c>
      <c r="S2924" s="28">
        <f>IF($A2924="","",IF(AND($F2924="Agendado",$A2924-Hoje&gt;=0,$A2924-Hoje&lt;=DiasConf),"CONFIRMAR",IF(AND($A2924&lt;Hoje,OR($F2924="Agendado",$F2924="Confirmado")),"Atualizar status",IF(AND($F2924="Compareceu",$P2924&gt;0.005),"Cobrar",IF($F2924="Faltou","Falta: reagendar","")))))</f>
        <v>0</v>
      </c>
      <c r="T2924" s="29">
        <f>IF($A2924="","",DATE(YEAR($A2924),MONTH($A2924),1))</f>
        <v>0</v>
      </c>
      <c r="U2924" s="30">
        <f>IF($S2924="CONFIRMAR",MAX($U$4:$U2923)+1,"")</f>
        <v>0</v>
      </c>
      <c r="V2924" s="30">
        <f>IF(AND($R2924="Não",$Q2924&lt;&gt;"",$Q2924&lt;=Hoje+JanelaRet,$Q2924&gt;=Hoje-60),MAX($V$4:$V2923)+1,"")</f>
        <v>0</v>
      </c>
    </row>
    <row r="2925" spans="1:22">
      <c r="A2925" s="16"/>
      <c r="B2925" s="23"/>
      <c r="C2925" s="15"/>
      <c r="D2925" s="15"/>
      <c r="E2925" s="15"/>
      <c r="F2925" s="24"/>
      <c r="G2925" s="17"/>
      <c r="H2925" s="17"/>
      <c r="I2925" s="15"/>
      <c r="J2925" s="25">
        <f>IF($D2925="","",IFERROR(INDEX(PacNome,MATCH($D2925,PacCod,0)),"Paciente não cadastrado"))</f>
        <v>0</v>
      </c>
      <c r="K2925" s="26">
        <f>IF($D2925="","",IFERROR(INDEX(PacConv,MATCH($D2925,PacCod,0))&amp;"",""))</f>
        <v>0</v>
      </c>
      <c r="L2925" s="26">
        <f>IF($A2925="","",CHOOSE(WEEKDAY($A2925,2),"Seg","Ter","Qua","Qui","Sex","Sáb","Dom"))</f>
        <v>0</v>
      </c>
      <c r="M2925" s="27">
        <f>IF($E2925="","",IF($G2925&lt;&gt;"",$G2925,IFERROR(INDEX(ProcValor,MATCH($E2925,ProcNome,0)),0)))</f>
        <v>0</v>
      </c>
      <c r="N2925" s="27">
        <f>IF($M2925="","",IF($F2925="Compareceu",$M2925,0))</f>
        <v>0</v>
      </c>
      <c r="O2925" s="27">
        <f>IF($M2925="","",IF($F2925="Faltou",$M2925,0))</f>
        <v>0</v>
      </c>
      <c r="P2925" s="27">
        <f>IF($M2925="","",IF($F2925="Compareceu",MAX(0,$M2925-N($H2925)),0))</f>
        <v>0</v>
      </c>
      <c r="Q2925" s="19">
        <f>IF(AND($F2925="Compareceu",$E2925&lt;&gt;"",$A2925&lt;&gt;""),IF(IFERROR(INDEX(ProcRet,MATCH($E2925,ProcNome,0)),0)&gt;0,$A2925+INDEX(ProcRet,MATCH($E2925,ProcNome,0)),""),"")</f>
        <v>0</v>
      </c>
      <c r="R2925" s="26">
        <f>IF($Q2925="","",IF(COUNTIFS(AgPac,$D2925,AgData,"&gt;"&amp;$A2925,AgStatus,"&lt;&gt;Cancelado",AgStatus,"&lt;&gt;Remarcado")&gt;0,"Sim","Não"))</f>
        <v>0</v>
      </c>
      <c r="S2925" s="28">
        <f>IF($A2925="","",IF(AND($F2925="Agendado",$A2925-Hoje&gt;=0,$A2925-Hoje&lt;=DiasConf),"CONFIRMAR",IF(AND($A2925&lt;Hoje,OR($F2925="Agendado",$F2925="Confirmado")),"Atualizar status",IF(AND($F2925="Compareceu",$P2925&gt;0.005),"Cobrar",IF($F2925="Faltou","Falta: reagendar","")))))</f>
        <v>0</v>
      </c>
      <c r="T2925" s="29">
        <f>IF($A2925="","",DATE(YEAR($A2925),MONTH($A2925),1))</f>
        <v>0</v>
      </c>
      <c r="U2925" s="30">
        <f>IF($S2925="CONFIRMAR",MAX($U$4:$U2924)+1,"")</f>
        <v>0</v>
      </c>
      <c r="V2925" s="30">
        <f>IF(AND($R2925="Não",$Q2925&lt;&gt;"",$Q2925&lt;=Hoje+JanelaRet,$Q2925&gt;=Hoje-60),MAX($V$4:$V2924)+1,"")</f>
        <v>0</v>
      </c>
    </row>
    <row r="2926" spans="1:22">
      <c r="A2926" s="16"/>
      <c r="B2926" s="23"/>
      <c r="C2926" s="15"/>
      <c r="D2926" s="15"/>
      <c r="E2926" s="15"/>
      <c r="F2926" s="24"/>
      <c r="G2926" s="17"/>
      <c r="H2926" s="17"/>
      <c r="I2926" s="15"/>
      <c r="J2926" s="25">
        <f>IF($D2926="","",IFERROR(INDEX(PacNome,MATCH($D2926,PacCod,0)),"Paciente não cadastrado"))</f>
        <v>0</v>
      </c>
      <c r="K2926" s="26">
        <f>IF($D2926="","",IFERROR(INDEX(PacConv,MATCH($D2926,PacCod,0))&amp;"",""))</f>
        <v>0</v>
      </c>
      <c r="L2926" s="26">
        <f>IF($A2926="","",CHOOSE(WEEKDAY($A2926,2),"Seg","Ter","Qua","Qui","Sex","Sáb","Dom"))</f>
        <v>0</v>
      </c>
      <c r="M2926" s="27">
        <f>IF($E2926="","",IF($G2926&lt;&gt;"",$G2926,IFERROR(INDEX(ProcValor,MATCH($E2926,ProcNome,0)),0)))</f>
        <v>0</v>
      </c>
      <c r="N2926" s="27">
        <f>IF($M2926="","",IF($F2926="Compareceu",$M2926,0))</f>
        <v>0</v>
      </c>
      <c r="O2926" s="27">
        <f>IF($M2926="","",IF($F2926="Faltou",$M2926,0))</f>
        <v>0</v>
      </c>
      <c r="P2926" s="27">
        <f>IF($M2926="","",IF($F2926="Compareceu",MAX(0,$M2926-N($H2926)),0))</f>
        <v>0</v>
      </c>
      <c r="Q2926" s="19">
        <f>IF(AND($F2926="Compareceu",$E2926&lt;&gt;"",$A2926&lt;&gt;""),IF(IFERROR(INDEX(ProcRet,MATCH($E2926,ProcNome,0)),0)&gt;0,$A2926+INDEX(ProcRet,MATCH($E2926,ProcNome,0)),""),"")</f>
        <v>0</v>
      </c>
      <c r="R2926" s="26">
        <f>IF($Q2926="","",IF(COUNTIFS(AgPac,$D2926,AgData,"&gt;"&amp;$A2926,AgStatus,"&lt;&gt;Cancelado",AgStatus,"&lt;&gt;Remarcado")&gt;0,"Sim","Não"))</f>
        <v>0</v>
      </c>
      <c r="S2926" s="28">
        <f>IF($A2926="","",IF(AND($F2926="Agendado",$A2926-Hoje&gt;=0,$A2926-Hoje&lt;=DiasConf),"CONFIRMAR",IF(AND($A2926&lt;Hoje,OR($F2926="Agendado",$F2926="Confirmado")),"Atualizar status",IF(AND($F2926="Compareceu",$P2926&gt;0.005),"Cobrar",IF($F2926="Faltou","Falta: reagendar","")))))</f>
        <v>0</v>
      </c>
      <c r="T2926" s="29">
        <f>IF($A2926="","",DATE(YEAR($A2926),MONTH($A2926),1))</f>
        <v>0</v>
      </c>
      <c r="U2926" s="30">
        <f>IF($S2926="CONFIRMAR",MAX($U$4:$U2925)+1,"")</f>
        <v>0</v>
      </c>
      <c r="V2926" s="30">
        <f>IF(AND($R2926="Não",$Q2926&lt;&gt;"",$Q2926&lt;=Hoje+JanelaRet,$Q2926&gt;=Hoje-60),MAX($V$4:$V2925)+1,"")</f>
        <v>0</v>
      </c>
    </row>
    <row r="2927" spans="1:22">
      <c r="A2927" s="16"/>
      <c r="B2927" s="23"/>
      <c r="C2927" s="15"/>
      <c r="D2927" s="15"/>
      <c r="E2927" s="15"/>
      <c r="F2927" s="24"/>
      <c r="G2927" s="17"/>
      <c r="H2927" s="17"/>
      <c r="I2927" s="15"/>
      <c r="J2927" s="25">
        <f>IF($D2927="","",IFERROR(INDEX(PacNome,MATCH($D2927,PacCod,0)),"Paciente não cadastrado"))</f>
        <v>0</v>
      </c>
      <c r="K2927" s="26">
        <f>IF($D2927="","",IFERROR(INDEX(PacConv,MATCH($D2927,PacCod,0))&amp;"",""))</f>
        <v>0</v>
      </c>
      <c r="L2927" s="26">
        <f>IF($A2927="","",CHOOSE(WEEKDAY($A2927,2),"Seg","Ter","Qua","Qui","Sex","Sáb","Dom"))</f>
        <v>0</v>
      </c>
      <c r="M2927" s="27">
        <f>IF($E2927="","",IF($G2927&lt;&gt;"",$G2927,IFERROR(INDEX(ProcValor,MATCH($E2927,ProcNome,0)),0)))</f>
        <v>0</v>
      </c>
      <c r="N2927" s="27">
        <f>IF($M2927="","",IF($F2927="Compareceu",$M2927,0))</f>
        <v>0</v>
      </c>
      <c r="O2927" s="27">
        <f>IF($M2927="","",IF($F2927="Faltou",$M2927,0))</f>
        <v>0</v>
      </c>
      <c r="P2927" s="27">
        <f>IF($M2927="","",IF($F2927="Compareceu",MAX(0,$M2927-N($H2927)),0))</f>
        <v>0</v>
      </c>
      <c r="Q2927" s="19">
        <f>IF(AND($F2927="Compareceu",$E2927&lt;&gt;"",$A2927&lt;&gt;""),IF(IFERROR(INDEX(ProcRet,MATCH($E2927,ProcNome,0)),0)&gt;0,$A2927+INDEX(ProcRet,MATCH($E2927,ProcNome,0)),""),"")</f>
        <v>0</v>
      </c>
      <c r="R2927" s="26">
        <f>IF($Q2927="","",IF(COUNTIFS(AgPac,$D2927,AgData,"&gt;"&amp;$A2927,AgStatus,"&lt;&gt;Cancelado",AgStatus,"&lt;&gt;Remarcado")&gt;0,"Sim","Não"))</f>
        <v>0</v>
      </c>
      <c r="S2927" s="28">
        <f>IF($A2927="","",IF(AND($F2927="Agendado",$A2927-Hoje&gt;=0,$A2927-Hoje&lt;=DiasConf),"CONFIRMAR",IF(AND($A2927&lt;Hoje,OR($F2927="Agendado",$F2927="Confirmado")),"Atualizar status",IF(AND($F2927="Compareceu",$P2927&gt;0.005),"Cobrar",IF($F2927="Faltou","Falta: reagendar","")))))</f>
        <v>0</v>
      </c>
      <c r="T2927" s="29">
        <f>IF($A2927="","",DATE(YEAR($A2927),MONTH($A2927),1))</f>
        <v>0</v>
      </c>
      <c r="U2927" s="30">
        <f>IF($S2927="CONFIRMAR",MAX($U$4:$U2926)+1,"")</f>
        <v>0</v>
      </c>
      <c r="V2927" s="30">
        <f>IF(AND($R2927="Não",$Q2927&lt;&gt;"",$Q2927&lt;=Hoje+JanelaRet,$Q2927&gt;=Hoje-60),MAX($V$4:$V2926)+1,"")</f>
        <v>0</v>
      </c>
    </row>
    <row r="2928" spans="1:22">
      <c r="A2928" s="16"/>
      <c r="B2928" s="23"/>
      <c r="C2928" s="15"/>
      <c r="D2928" s="15"/>
      <c r="E2928" s="15"/>
      <c r="F2928" s="24"/>
      <c r="G2928" s="17"/>
      <c r="H2928" s="17"/>
      <c r="I2928" s="15"/>
      <c r="J2928" s="25">
        <f>IF($D2928="","",IFERROR(INDEX(PacNome,MATCH($D2928,PacCod,0)),"Paciente não cadastrado"))</f>
        <v>0</v>
      </c>
      <c r="K2928" s="26">
        <f>IF($D2928="","",IFERROR(INDEX(PacConv,MATCH($D2928,PacCod,0))&amp;"",""))</f>
        <v>0</v>
      </c>
      <c r="L2928" s="26">
        <f>IF($A2928="","",CHOOSE(WEEKDAY($A2928,2),"Seg","Ter","Qua","Qui","Sex","Sáb","Dom"))</f>
        <v>0</v>
      </c>
      <c r="M2928" s="27">
        <f>IF($E2928="","",IF($G2928&lt;&gt;"",$G2928,IFERROR(INDEX(ProcValor,MATCH($E2928,ProcNome,0)),0)))</f>
        <v>0</v>
      </c>
      <c r="N2928" s="27">
        <f>IF($M2928="","",IF($F2928="Compareceu",$M2928,0))</f>
        <v>0</v>
      </c>
      <c r="O2928" s="27">
        <f>IF($M2928="","",IF($F2928="Faltou",$M2928,0))</f>
        <v>0</v>
      </c>
      <c r="P2928" s="27">
        <f>IF($M2928="","",IF($F2928="Compareceu",MAX(0,$M2928-N($H2928)),0))</f>
        <v>0</v>
      </c>
      <c r="Q2928" s="19">
        <f>IF(AND($F2928="Compareceu",$E2928&lt;&gt;"",$A2928&lt;&gt;""),IF(IFERROR(INDEX(ProcRet,MATCH($E2928,ProcNome,0)),0)&gt;0,$A2928+INDEX(ProcRet,MATCH($E2928,ProcNome,0)),""),"")</f>
        <v>0</v>
      </c>
      <c r="R2928" s="26">
        <f>IF($Q2928="","",IF(COUNTIFS(AgPac,$D2928,AgData,"&gt;"&amp;$A2928,AgStatus,"&lt;&gt;Cancelado",AgStatus,"&lt;&gt;Remarcado")&gt;0,"Sim","Não"))</f>
        <v>0</v>
      </c>
      <c r="S2928" s="28">
        <f>IF($A2928="","",IF(AND($F2928="Agendado",$A2928-Hoje&gt;=0,$A2928-Hoje&lt;=DiasConf),"CONFIRMAR",IF(AND($A2928&lt;Hoje,OR($F2928="Agendado",$F2928="Confirmado")),"Atualizar status",IF(AND($F2928="Compareceu",$P2928&gt;0.005),"Cobrar",IF($F2928="Faltou","Falta: reagendar","")))))</f>
        <v>0</v>
      </c>
      <c r="T2928" s="29">
        <f>IF($A2928="","",DATE(YEAR($A2928),MONTH($A2928),1))</f>
        <v>0</v>
      </c>
      <c r="U2928" s="30">
        <f>IF($S2928="CONFIRMAR",MAX($U$4:$U2927)+1,"")</f>
        <v>0</v>
      </c>
      <c r="V2928" s="30">
        <f>IF(AND($R2928="Não",$Q2928&lt;&gt;"",$Q2928&lt;=Hoje+JanelaRet,$Q2928&gt;=Hoje-60),MAX($V$4:$V2927)+1,"")</f>
        <v>0</v>
      </c>
    </row>
    <row r="2929" spans="1:22">
      <c r="A2929" s="16"/>
      <c r="B2929" s="23"/>
      <c r="C2929" s="15"/>
      <c r="D2929" s="15"/>
      <c r="E2929" s="15"/>
      <c r="F2929" s="24"/>
      <c r="G2929" s="17"/>
      <c r="H2929" s="17"/>
      <c r="I2929" s="15"/>
      <c r="J2929" s="25">
        <f>IF($D2929="","",IFERROR(INDEX(PacNome,MATCH($D2929,PacCod,0)),"Paciente não cadastrado"))</f>
        <v>0</v>
      </c>
      <c r="K2929" s="26">
        <f>IF($D2929="","",IFERROR(INDEX(PacConv,MATCH($D2929,PacCod,0))&amp;"",""))</f>
        <v>0</v>
      </c>
      <c r="L2929" s="26">
        <f>IF($A2929="","",CHOOSE(WEEKDAY($A2929,2),"Seg","Ter","Qua","Qui","Sex","Sáb","Dom"))</f>
        <v>0</v>
      </c>
      <c r="M2929" s="27">
        <f>IF($E2929="","",IF($G2929&lt;&gt;"",$G2929,IFERROR(INDEX(ProcValor,MATCH($E2929,ProcNome,0)),0)))</f>
        <v>0</v>
      </c>
      <c r="N2929" s="27">
        <f>IF($M2929="","",IF($F2929="Compareceu",$M2929,0))</f>
        <v>0</v>
      </c>
      <c r="O2929" s="27">
        <f>IF($M2929="","",IF($F2929="Faltou",$M2929,0))</f>
        <v>0</v>
      </c>
      <c r="P2929" s="27">
        <f>IF($M2929="","",IF($F2929="Compareceu",MAX(0,$M2929-N($H2929)),0))</f>
        <v>0</v>
      </c>
      <c r="Q2929" s="19">
        <f>IF(AND($F2929="Compareceu",$E2929&lt;&gt;"",$A2929&lt;&gt;""),IF(IFERROR(INDEX(ProcRet,MATCH($E2929,ProcNome,0)),0)&gt;0,$A2929+INDEX(ProcRet,MATCH($E2929,ProcNome,0)),""),"")</f>
        <v>0</v>
      </c>
      <c r="R2929" s="26">
        <f>IF($Q2929="","",IF(COUNTIFS(AgPac,$D2929,AgData,"&gt;"&amp;$A2929,AgStatus,"&lt;&gt;Cancelado",AgStatus,"&lt;&gt;Remarcado")&gt;0,"Sim","Não"))</f>
        <v>0</v>
      </c>
      <c r="S2929" s="28">
        <f>IF($A2929="","",IF(AND($F2929="Agendado",$A2929-Hoje&gt;=0,$A2929-Hoje&lt;=DiasConf),"CONFIRMAR",IF(AND($A2929&lt;Hoje,OR($F2929="Agendado",$F2929="Confirmado")),"Atualizar status",IF(AND($F2929="Compareceu",$P2929&gt;0.005),"Cobrar",IF($F2929="Faltou","Falta: reagendar","")))))</f>
        <v>0</v>
      </c>
      <c r="T2929" s="29">
        <f>IF($A2929="","",DATE(YEAR($A2929),MONTH($A2929),1))</f>
        <v>0</v>
      </c>
      <c r="U2929" s="30">
        <f>IF($S2929="CONFIRMAR",MAX($U$4:$U2928)+1,"")</f>
        <v>0</v>
      </c>
      <c r="V2929" s="30">
        <f>IF(AND($R2929="Não",$Q2929&lt;&gt;"",$Q2929&lt;=Hoje+JanelaRet,$Q2929&gt;=Hoje-60),MAX($V$4:$V2928)+1,"")</f>
        <v>0</v>
      </c>
    </row>
    <row r="2930" spans="1:22">
      <c r="A2930" s="16"/>
      <c r="B2930" s="23"/>
      <c r="C2930" s="15"/>
      <c r="D2930" s="15"/>
      <c r="E2930" s="15"/>
      <c r="F2930" s="24"/>
      <c r="G2930" s="17"/>
      <c r="H2930" s="17"/>
      <c r="I2930" s="15"/>
      <c r="J2930" s="25">
        <f>IF($D2930="","",IFERROR(INDEX(PacNome,MATCH($D2930,PacCod,0)),"Paciente não cadastrado"))</f>
        <v>0</v>
      </c>
      <c r="K2930" s="26">
        <f>IF($D2930="","",IFERROR(INDEX(PacConv,MATCH($D2930,PacCod,0))&amp;"",""))</f>
        <v>0</v>
      </c>
      <c r="L2930" s="26">
        <f>IF($A2930="","",CHOOSE(WEEKDAY($A2930,2),"Seg","Ter","Qua","Qui","Sex","Sáb","Dom"))</f>
        <v>0</v>
      </c>
      <c r="M2930" s="27">
        <f>IF($E2930="","",IF($G2930&lt;&gt;"",$G2930,IFERROR(INDEX(ProcValor,MATCH($E2930,ProcNome,0)),0)))</f>
        <v>0</v>
      </c>
      <c r="N2930" s="27">
        <f>IF($M2930="","",IF($F2930="Compareceu",$M2930,0))</f>
        <v>0</v>
      </c>
      <c r="O2930" s="27">
        <f>IF($M2930="","",IF($F2930="Faltou",$M2930,0))</f>
        <v>0</v>
      </c>
      <c r="P2930" s="27">
        <f>IF($M2930="","",IF($F2930="Compareceu",MAX(0,$M2930-N($H2930)),0))</f>
        <v>0</v>
      </c>
      <c r="Q2930" s="19">
        <f>IF(AND($F2930="Compareceu",$E2930&lt;&gt;"",$A2930&lt;&gt;""),IF(IFERROR(INDEX(ProcRet,MATCH($E2930,ProcNome,0)),0)&gt;0,$A2930+INDEX(ProcRet,MATCH($E2930,ProcNome,0)),""),"")</f>
        <v>0</v>
      </c>
      <c r="R2930" s="26">
        <f>IF($Q2930="","",IF(COUNTIFS(AgPac,$D2930,AgData,"&gt;"&amp;$A2930,AgStatus,"&lt;&gt;Cancelado",AgStatus,"&lt;&gt;Remarcado")&gt;0,"Sim","Não"))</f>
        <v>0</v>
      </c>
      <c r="S2930" s="28">
        <f>IF($A2930="","",IF(AND($F2930="Agendado",$A2930-Hoje&gt;=0,$A2930-Hoje&lt;=DiasConf),"CONFIRMAR",IF(AND($A2930&lt;Hoje,OR($F2930="Agendado",$F2930="Confirmado")),"Atualizar status",IF(AND($F2930="Compareceu",$P2930&gt;0.005),"Cobrar",IF($F2930="Faltou","Falta: reagendar","")))))</f>
        <v>0</v>
      </c>
      <c r="T2930" s="29">
        <f>IF($A2930="","",DATE(YEAR($A2930),MONTH($A2930),1))</f>
        <v>0</v>
      </c>
      <c r="U2930" s="30">
        <f>IF($S2930="CONFIRMAR",MAX($U$4:$U2929)+1,"")</f>
        <v>0</v>
      </c>
      <c r="V2930" s="30">
        <f>IF(AND($R2930="Não",$Q2930&lt;&gt;"",$Q2930&lt;=Hoje+JanelaRet,$Q2930&gt;=Hoje-60),MAX($V$4:$V2929)+1,"")</f>
        <v>0</v>
      </c>
    </row>
    <row r="2931" spans="1:22">
      <c r="A2931" s="16"/>
      <c r="B2931" s="23"/>
      <c r="C2931" s="15"/>
      <c r="D2931" s="15"/>
      <c r="E2931" s="15"/>
      <c r="F2931" s="24"/>
      <c r="G2931" s="17"/>
      <c r="H2931" s="17"/>
      <c r="I2931" s="15"/>
      <c r="J2931" s="25">
        <f>IF($D2931="","",IFERROR(INDEX(PacNome,MATCH($D2931,PacCod,0)),"Paciente não cadastrado"))</f>
        <v>0</v>
      </c>
      <c r="K2931" s="26">
        <f>IF($D2931="","",IFERROR(INDEX(PacConv,MATCH($D2931,PacCod,0))&amp;"",""))</f>
        <v>0</v>
      </c>
      <c r="L2931" s="26">
        <f>IF($A2931="","",CHOOSE(WEEKDAY($A2931,2),"Seg","Ter","Qua","Qui","Sex","Sáb","Dom"))</f>
        <v>0</v>
      </c>
      <c r="M2931" s="27">
        <f>IF($E2931="","",IF($G2931&lt;&gt;"",$G2931,IFERROR(INDEX(ProcValor,MATCH($E2931,ProcNome,0)),0)))</f>
        <v>0</v>
      </c>
      <c r="N2931" s="27">
        <f>IF($M2931="","",IF($F2931="Compareceu",$M2931,0))</f>
        <v>0</v>
      </c>
      <c r="O2931" s="27">
        <f>IF($M2931="","",IF($F2931="Faltou",$M2931,0))</f>
        <v>0</v>
      </c>
      <c r="P2931" s="27">
        <f>IF($M2931="","",IF($F2931="Compareceu",MAX(0,$M2931-N($H2931)),0))</f>
        <v>0</v>
      </c>
      <c r="Q2931" s="19">
        <f>IF(AND($F2931="Compareceu",$E2931&lt;&gt;"",$A2931&lt;&gt;""),IF(IFERROR(INDEX(ProcRet,MATCH($E2931,ProcNome,0)),0)&gt;0,$A2931+INDEX(ProcRet,MATCH($E2931,ProcNome,0)),""),"")</f>
        <v>0</v>
      </c>
      <c r="R2931" s="26">
        <f>IF($Q2931="","",IF(COUNTIFS(AgPac,$D2931,AgData,"&gt;"&amp;$A2931,AgStatus,"&lt;&gt;Cancelado",AgStatus,"&lt;&gt;Remarcado")&gt;0,"Sim","Não"))</f>
        <v>0</v>
      </c>
      <c r="S2931" s="28">
        <f>IF($A2931="","",IF(AND($F2931="Agendado",$A2931-Hoje&gt;=0,$A2931-Hoje&lt;=DiasConf),"CONFIRMAR",IF(AND($A2931&lt;Hoje,OR($F2931="Agendado",$F2931="Confirmado")),"Atualizar status",IF(AND($F2931="Compareceu",$P2931&gt;0.005),"Cobrar",IF($F2931="Faltou","Falta: reagendar","")))))</f>
        <v>0</v>
      </c>
      <c r="T2931" s="29">
        <f>IF($A2931="","",DATE(YEAR($A2931),MONTH($A2931),1))</f>
        <v>0</v>
      </c>
      <c r="U2931" s="30">
        <f>IF($S2931="CONFIRMAR",MAX($U$4:$U2930)+1,"")</f>
        <v>0</v>
      </c>
      <c r="V2931" s="30">
        <f>IF(AND($R2931="Não",$Q2931&lt;&gt;"",$Q2931&lt;=Hoje+JanelaRet,$Q2931&gt;=Hoje-60),MAX($V$4:$V2930)+1,"")</f>
        <v>0</v>
      </c>
    </row>
    <row r="2932" spans="1:22">
      <c r="A2932" s="16"/>
      <c r="B2932" s="23"/>
      <c r="C2932" s="15"/>
      <c r="D2932" s="15"/>
      <c r="E2932" s="15"/>
      <c r="F2932" s="24"/>
      <c r="G2932" s="17"/>
      <c r="H2932" s="17"/>
      <c r="I2932" s="15"/>
      <c r="J2932" s="25">
        <f>IF($D2932="","",IFERROR(INDEX(PacNome,MATCH($D2932,PacCod,0)),"Paciente não cadastrado"))</f>
        <v>0</v>
      </c>
      <c r="K2932" s="26">
        <f>IF($D2932="","",IFERROR(INDEX(PacConv,MATCH($D2932,PacCod,0))&amp;"",""))</f>
        <v>0</v>
      </c>
      <c r="L2932" s="26">
        <f>IF($A2932="","",CHOOSE(WEEKDAY($A2932,2),"Seg","Ter","Qua","Qui","Sex","Sáb","Dom"))</f>
        <v>0</v>
      </c>
      <c r="M2932" s="27">
        <f>IF($E2932="","",IF($G2932&lt;&gt;"",$G2932,IFERROR(INDEX(ProcValor,MATCH($E2932,ProcNome,0)),0)))</f>
        <v>0</v>
      </c>
      <c r="N2932" s="27">
        <f>IF($M2932="","",IF($F2932="Compareceu",$M2932,0))</f>
        <v>0</v>
      </c>
      <c r="O2932" s="27">
        <f>IF($M2932="","",IF($F2932="Faltou",$M2932,0))</f>
        <v>0</v>
      </c>
      <c r="P2932" s="27">
        <f>IF($M2932="","",IF($F2932="Compareceu",MAX(0,$M2932-N($H2932)),0))</f>
        <v>0</v>
      </c>
      <c r="Q2932" s="19">
        <f>IF(AND($F2932="Compareceu",$E2932&lt;&gt;"",$A2932&lt;&gt;""),IF(IFERROR(INDEX(ProcRet,MATCH($E2932,ProcNome,0)),0)&gt;0,$A2932+INDEX(ProcRet,MATCH($E2932,ProcNome,0)),""),"")</f>
        <v>0</v>
      </c>
      <c r="R2932" s="26">
        <f>IF($Q2932="","",IF(COUNTIFS(AgPac,$D2932,AgData,"&gt;"&amp;$A2932,AgStatus,"&lt;&gt;Cancelado",AgStatus,"&lt;&gt;Remarcado")&gt;0,"Sim","Não"))</f>
        <v>0</v>
      </c>
      <c r="S2932" s="28">
        <f>IF($A2932="","",IF(AND($F2932="Agendado",$A2932-Hoje&gt;=0,$A2932-Hoje&lt;=DiasConf),"CONFIRMAR",IF(AND($A2932&lt;Hoje,OR($F2932="Agendado",$F2932="Confirmado")),"Atualizar status",IF(AND($F2932="Compareceu",$P2932&gt;0.005),"Cobrar",IF($F2932="Faltou","Falta: reagendar","")))))</f>
        <v>0</v>
      </c>
      <c r="T2932" s="29">
        <f>IF($A2932="","",DATE(YEAR($A2932),MONTH($A2932),1))</f>
        <v>0</v>
      </c>
      <c r="U2932" s="30">
        <f>IF($S2932="CONFIRMAR",MAX($U$4:$U2931)+1,"")</f>
        <v>0</v>
      </c>
      <c r="V2932" s="30">
        <f>IF(AND($R2932="Não",$Q2932&lt;&gt;"",$Q2932&lt;=Hoje+JanelaRet,$Q2932&gt;=Hoje-60),MAX($V$4:$V2931)+1,"")</f>
        <v>0</v>
      </c>
    </row>
    <row r="2933" spans="1:22">
      <c r="A2933" s="16"/>
      <c r="B2933" s="23"/>
      <c r="C2933" s="15"/>
      <c r="D2933" s="15"/>
      <c r="E2933" s="15"/>
      <c r="F2933" s="24"/>
      <c r="G2933" s="17"/>
      <c r="H2933" s="17"/>
      <c r="I2933" s="15"/>
      <c r="J2933" s="25">
        <f>IF($D2933="","",IFERROR(INDEX(PacNome,MATCH($D2933,PacCod,0)),"Paciente não cadastrado"))</f>
        <v>0</v>
      </c>
      <c r="K2933" s="26">
        <f>IF($D2933="","",IFERROR(INDEX(PacConv,MATCH($D2933,PacCod,0))&amp;"",""))</f>
        <v>0</v>
      </c>
      <c r="L2933" s="26">
        <f>IF($A2933="","",CHOOSE(WEEKDAY($A2933,2),"Seg","Ter","Qua","Qui","Sex","Sáb","Dom"))</f>
        <v>0</v>
      </c>
      <c r="M2933" s="27">
        <f>IF($E2933="","",IF($G2933&lt;&gt;"",$G2933,IFERROR(INDEX(ProcValor,MATCH($E2933,ProcNome,0)),0)))</f>
        <v>0</v>
      </c>
      <c r="N2933" s="27">
        <f>IF($M2933="","",IF($F2933="Compareceu",$M2933,0))</f>
        <v>0</v>
      </c>
      <c r="O2933" s="27">
        <f>IF($M2933="","",IF($F2933="Faltou",$M2933,0))</f>
        <v>0</v>
      </c>
      <c r="P2933" s="27">
        <f>IF($M2933="","",IF($F2933="Compareceu",MAX(0,$M2933-N($H2933)),0))</f>
        <v>0</v>
      </c>
      <c r="Q2933" s="19">
        <f>IF(AND($F2933="Compareceu",$E2933&lt;&gt;"",$A2933&lt;&gt;""),IF(IFERROR(INDEX(ProcRet,MATCH($E2933,ProcNome,0)),0)&gt;0,$A2933+INDEX(ProcRet,MATCH($E2933,ProcNome,0)),""),"")</f>
        <v>0</v>
      </c>
      <c r="R2933" s="26">
        <f>IF($Q2933="","",IF(COUNTIFS(AgPac,$D2933,AgData,"&gt;"&amp;$A2933,AgStatus,"&lt;&gt;Cancelado",AgStatus,"&lt;&gt;Remarcado")&gt;0,"Sim","Não"))</f>
        <v>0</v>
      </c>
      <c r="S2933" s="28">
        <f>IF($A2933="","",IF(AND($F2933="Agendado",$A2933-Hoje&gt;=0,$A2933-Hoje&lt;=DiasConf),"CONFIRMAR",IF(AND($A2933&lt;Hoje,OR($F2933="Agendado",$F2933="Confirmado")),"Atualizar status",IF(AND($F2933="Compareceu",$P2933&gt;0.005),"Cobrar",IF($F2933="Faltou","Falta: reagendar","")))))</f>
        <v>0</v>
      </c>
      <c r="T2933" s="29">
        <f>IF($A2933="","",DATE(YEAR($A2933),MONTH($A2933),1))</f>
        <v>0</v>
      </c>
      <c r="U2933" s="30">
        <f>IF($S2933="CONFIRMAR",MAX($U$4:$U2932)+1,"")</f>
        <v>0</v>
      </c>
      <c r="V2933" s="30">
        <f>IF(AND($R2933="Não",$Q2933&lt;&gt;"",$Q2933&lt;=Hoje+JanelaRet,$Q2933&gt;=Hoje-60),MAX($V$4:$V2932)+1,"")</f>
        <v>0</v>
      </c>
    </row>
    <row r="2934" spans="1:22">
      <c r="A2934" s="16"/>
      <c r="B2934" s="23"/>
      <c r="C2934" s="15"/>
      <c r="D2934" s="15"/>
      <c r="E2934" s="15"/>
      <c r="F2934" s="24"/>
      <c r="G2934" s="17"/>
      <c r="H2934" s="17"/>
      <c r="I2934" s="15"/>
      <c r="J2934" s="25">
        <f>IF($D2934="","",IFERROR(INDEX(PacNome,MATCH($D2934,PacCod,0)),"Paciente não cadastrado"))</f>
        <v>0</v>
      </c>
      <c r="K2934" s="26">
        <f>IF($D2934="","",IFERROR(INDEX(PacConv,MATCH($D2934,PacCod,0))&amp;"",""))</f>
        <v>0</v>
      </c>
      <c r="L2934" s="26">
        <f>IF($A2934="","",CHOOSE(WEEKDAY($A2934,2),"Seg","Ter","Qua","Qui","Sex","Sáb","Dom"))</f>
        <v>0</v>
      </c>
      <c r="M2934" s="27">
        <f>IF($E2934="","",IF($G2934&lt;&gt;"",$G2934,IFERROR(INDEX(ProcValor,MATCH($E2934,ProcNome,0)),0)))</f>
        <v>0</v>
      </c>
      <c r="N2934" s="27">
        <f>IF($M2934="","",IF($F2934="Compareceu",$M2934,0))</f>
        <v>0</v>
      </c>
      <c r="O2934" s="27">
        <f>IF($M2934="","",IF($F2934="Faltou",$M2934,0))</f>
        <v>0</v>
      </c>
      <c r="P2934" s="27">
        <f>IF($M2934="","",IF($F2934="Compareceu",MAX(0,$M2934-N($H2934)),0))</f>
        <v>0</v>
      </c>
      <c r="Q2934" s="19">
        <f>IF(AND($F2934="Compareceu",$E2934&lt;&gt;"",$A2934&lt;&gt;""),IF(IFERROR(INDEX(ProcRet,MATCH($E2934,ProcNome,0)),0)&gt;0,$A2934+INDEX(ProcRet,MATCH($E2934,ProcNome,0)),""),"")</f>
        <v>0</v>
      </c>
      <c r="R2934" s="26">
        <f>IF($Q2934="","",IF(COUNTIFS(AgPac,$D2934,AgData,"&gt;"&amp;$A2934,AgStatus,"&lt;&gt;Cancelado",AgStatus,"&lt;&gt;Remarcado")&gt;0,"Sim","Não"))</f>
        <v>0</v>
      </c>
      <c r="S2934" s="28">
        <f>IF($A2934="","",IF(AND($F2934="Agendado",$A2934-Hoje&gt;=0,$A2934-Hoje&lt;=DiasConf),"CONFIRMAR",IF(AND($A2934&lt;Hoje,OR($F2934="Agendado",$F2934="Confirmado")),"Atualizar status",IF(AND($F2934="Compareceu",$P2934&gt;0.005),"Cobrar",IF($F2934="Faltou","Falta: reagendar","")))))</f>
        <v>0</v>
      </c>
      <c r="T2934" s="29">
        <f>IF($A2934="","",DATE(YEAR($A2934),MONTH($A2934),1))</f>
        <v>0</v>
      </c>
      <c r="U2934" s="30">
        <f>IF($S2934="CONFIRMAR",MAX($U$4:$U2933)+1,"")</f>
        <v>0</v>
      </c>
      <c r="V2934" s="30">
        <f>IF(AND($R2934="Não",$Q2934&lt;&gt;"",$Q2934&lt;=Hoje+JanelaRet,$Q2934&gt;=Hoje-60),MAX($V$4:$V2933)+1,"")</f>
        <v>0</v>
      </c>
    </row>
    <row r="2935" spans="1:22">
      <c r="A2935" s="16"/>
      <c r="B2935" s="23"/>
      <c r="C2935" s="15"/>
      <c r="D2935" s="15"/>
      <c r="E2935" s="15"/>
      <c r="F2935" s="24"/>
      <c r="G2935" s="17"/>
      <c r="H2935" s="17"/>
      <c r="I2935" s="15"/>
      <c r="J2935" s="25">
        <f>IF($D2935="","",IFERROR(INDEX(PacNome,MATCH($D2935,PacCod,0)),"Paciente não cadastrado"))</f>
        <v>0</v>
      </c>
      <c r="K2935" s="26">
        <f>IF($D2935="","",IFERROR(INDEX(PacConv,MATCH($D2935,PacCod,0))&amp;"",""))</f>
        <v>0</v>
      </c>
      <c r="L2935" s="26">
        <f>IF($A2935="","",CHOOSE(WEEKDAY($A2935,2),"Seg","Ter","Qua","Qui","Sex","Sáb","Dom"))</f>
        <v>0</v>
      </c>
      <c r="M2935" s="27">
        <f>IF($E2935="","",IF($G2935&lt;&gt;"",$G2935,IFERROR(INDEX(ProcValor,MATCH($E2935,ProcNome,0)),0)))</f>
        <v>0</v>
      </c>
      <c r="N2935" s="27">
        <f>IF($M2935="","",IF($F2935="Compareceu",$M2935,0))</f>
        <v>0</v>
      </c>
      <c r="O2935" s="27">
        <f>IF($M2935="","",IF($F2935="Faltou",$M2935,0))</f>
        <v>0</v>
      </c>
      <c r="P2935" s="27">
        <f>IF($M2935="","",IF($F2935="Compareceu",MAX(0,$M2935-N($H2935)),0))</f>
        <v>0</v>
      </c>
      <c r="Q2935" s="19">
        <f>IF(AND($F2935="Compareceu",$E2935&lt;&gt;"",$A2935&lt;&gt;""),IF(IFERROR(INDEX(ProcRet,MATCH($E2935,ProcNome,0)),0)&gt;0,$A2935+INDEX(ProcRet,MATCH($E2935,ProcNome,0)),""),"")</f>
        <v>0</v>
      </c>
      <c r="R2935" s="26">
        <f>IF($Q2935="","",IF(COUNTIFS(AgPac,$D2935,AgData,"&gt;"&amp;$A2935,AgStatus,"&lt;&gt;Cancelado",AgStatus,"&lt;&gt;Remarcado")&gt;0,"Sim","Não"))</f>
        <v>0</v>
      </c>
      <c r="S2935" s="28">
        <f>IF($A2935="","",IF(AND($F2935="Agendado",$A2935-Hoje&gt;=0,$A2935-Hoje&lt;=DiasConf),"CONFIRMAR",IF(AND($A2935&lt;Hoje,OR($F2935="Agendado",$F2935="Confirmado")),"Atualizar status",IF(AND($F2935="Compareceu",$P2935&gt;0.005),"Cobrar",IF($F2935="Faltou","Falta: reagendar","")))))</f>
        <v>0</v>
      </c>
      <c r="T2935" s="29">
        <f>IF($A2935="","",DATE(YEAR($A2935),MONTH($A2935),1))</f>
        <v>0</v>
      </c>
      <c r="U2935" s="30">
        <f>IF($S2935="CONFIRMAR",MAX($U$4:$U2934)+1,"")</f>
        <v>0</v>
      </c>
      <c r="V2935" s="30">
        <f>IF(AND($R2935="Não",$Q2935&lt;&gt;"",$Q2935&lt;=Hoje+JanelaRet,$Q2935&gt;=Hoje-60),MAX($V$4:$V2934)+1,"")</f>
        <v>0</v>
      </c>
    </row>
    <row r="2936" spans="1:22">
      <c r="A2936" s="16"/>
      <c r="B2936" s="23"/>
      <c r="C2936" s="15"/>
      <c r="D2936" s="15"/>
      <c r="E2936" s="15"/>
      <c r="F2936" s="24"/>
      <c r="G2936" s="17"/>
      <c r="H2936" s="17"/>
      <c r="I2936" s="15"/>
      <c r="J2936" s="25">
        <f>IF($D2936="","",IFERROR(INDEX(PacNome,MATCH($D2936,PacCod,0)),"Paciente não cadastrado"))</f>
        <v>0</v>
      </c>
      <c r="K2936" s="26">
        <f>IF($D2936="","",IFERROR(INDEX(PacConv,MATCH($D2936,PacCod,0))&amp;"",""))</f>
        <v>0</v>
      </c>
      <c r="L2936" s="26">
        <f>IF($A2936="","",CHOOSE(WEEKDAY($A2936,2),"Seg","Ter","Qua","Qui","Sex","Sáb","Dom"))</f>
        <v>0</v>
      </c>
      <c r="M2936" s="27">
        <f>IF($E2936="","",IF($G2936&lt;&gt;"",$G2936,IFERROR(INDEX(ProcValor,MATCH($E2936,ProcNome,0)),0)))</f>
        <v>0</v>
      </c>
      <c r="N2936" s="27">
        <f>IF($M2936="","",IF($F2936="Compareceu",$M2936,0))</f>
        <v>0</v>
      </c>
      <c r="O2936" s="27">
        <f>IF($M2936="","",IF($F2936="Faltou",$M2936,0))</f>
        <v>0</v>
      </c>
      <c r="P2936" s="27">
        <f>IF($M2936="","",IF($F2936="Compareceu",MAX(0,$M2936-N($H2936)),0))</f>
        <v>0</v>
      </c>
      <c r="Q2936" s="19">
        <f>IF(AND($F2936="Compareceu",$E2936&lt;&gt;"",$A2936&lt;&gt;""),IF(IFERROR(INDEX(ProcRet,MATCH($E2936,ProcNome,0)),0)&gt;0,$A2936+INDEX(ProcRet,MATCH($E2936,ProcNome,0)),""),"")</f>
        <v>0</v>
      </c>
      <c r="R2936" s="26">
        <f>IF($Q2936="","",IF(COUNTIFS(AgPac,$D2936,AgData,"&gt;"&amp;$A2936,AgStatus,"&lt;&gt;Cancelado",AgStatus,"&lt;&gt;Remarcado")&gt;0,"Sim","Não"))</f>
        <v>0</v>
      </c>
      <c r="S2936" s="28">
        <f>IF($A2936="","",IF(AND($F2936="Agendado",$A2936-Hoje&gt;=0,$A2936-Hoje&lt;=DiasConf),"CONFIRMAR",IF(AND($A2936&lt;Hoje,OR($F2936="Agendado",$F2936="Confirmado")),"Atualizar status",IF(AND($F2936="Compareceu",$P2936&gt;0.005),"Cobrar",IF($F2936="Faltou","Falta: reagendar","")))))</f>
        <v>0</v>
      </c>
      <c r="T2936" s="29">
        <f>IF($A2936="","",DATE(YEAR($A2936),MONTH($A2936),1))</f>
        <v>0</v>
      </c>
      <c r="U2936" s="30">
        <f>IF($S2936="CONFIRMAR",MAX($U$4:$U2935)+1,"")</f>
        <v>0</v>
      </c>
      <c r="V2936" s="30">
        <f>IF(AND($R2936="Não",$Q2936&lt;&gt;"",$Q2936&lt;=Hoje+JanelaRet,$Q2936&gt;=Hoje-60),MAX($V$4:$V2935)+1,"")</f>
        <v>0</v>
      </c>
    </row>
    <row r="2937" spans="1:22">
      <c r="A2937" s="16"/>
      <c r="B2937" s="23"/>
      <c r="C2937" s="15"/>
      <c r="D2937" s="15"/>
      <c r="E2937" s="15"/>
      <c r="F2937" s="24"/>
      <c r="G2937" s="17"/>
      <c r="H2937" s="17"/>
      <c r="I2937" s="15"/>
      <c r="J2937" s="25">
        <f>IF($D2937="","",IFERROR(INDEX(PacNome,MATCH($D2937,PacCod,0)),"Paciente não cadastrado"))</f>
        <v>0</v>
      </c>
      <c r="K2937" s="26">
        <f>IF($D2937="","",IFERROR(INDEX(PacConv,MATCH($D2937,PacCod,0))&amp;"",""))</f>
        <v>0</v>
      </c>
      <c r="L2937" s="26">
        <f>IF($A2937="","",CHOOSE(WEEKDAY($A2937,2),"Seg","Ter","Qua","Qui","Sex","Sáb","Dom"))</f>
        <v>0</v>
      </c>
      <c r="M2937" s="27">
        <f>IF($E2937="","",IF($G2937&lt;&gt;"",$G2937,IFERROR(INDEX(ProcValor,MATCH($E2937,ProcNome,0)),0)))</f>
        <v>0</v>
      </c>
      <c r="N2937" s="27">
        <f>IF($M2937="","",IF($F2937="Compareceu",$M2937,0))</f>
        <v>0</v>
      </c>
      <c r="O2937" s="27">
        <f>IF($M2937="","",IF($F2937="Faltou",$M2937,0))</f>
        <v>0</v>
      </c>
      <c r="P2937" s="27">
        <f>IF($M2937="","",IF($F2937="Compareceu",MAX(0,$M2937-N($H2937)),0))</f>
        <v>0</v>
      </c>
      <c r="Q2937" s="19">
        <f>IF(AND($F2937="Compareceu",$E2937&lt;&gt;"",$A2937&lt;&gt;""),IF(IFERROR(INDEX(ProcRet,MATCH($E2937,ProcNome,0)),0)&gt;0,$A2937+INDEX(ProcRet,MATCH($E2937,ProcNome,0)),""),"")</f>
        <v>0</v>
      </c>
      <c r="R2937" s="26">
        <f>IF($Q2937="","",IF(COUNTIFS(AgPac,$D2937,AgData,"&gt;"&amp;$A2937,AgStatus,"&lt;&gt;Cancelado",AgStatus,"&lt;&gt;Remarcado")&gt;0,"Sim","Não"))</f>
        <v>0</v>
      </c>
      <c r="S2937" s="28">
        <f>IF($A2937="","",IF(AND($F2937="Agendado",$A2937-Hoje&gt;=0,$A2937-Hoje&lt;=DiasConf),"CONFIRMAR",IF(AND($A2937&lt;Hoje,OR($F2937="Agendado",$F2937="Confirmado")),"Atualizar status",IF(AND($F2937="Compareceu",$P2937&gt;0.005),"Cobrar",IF($F2937="Faltou","Falta: reagendar","")))))</f>
        <v>0</v>
      </c>
      <c r="T2937" s="29">
        <f>IF($A2937="","",DATE(YEAR($A2937),MONTH($A2937),1))</f>
        <v>0</v>
      </c>
      <c r="U2937" s="30">
        <f>IF($S2937="CONFIRMAR",MAX($U$4:$U2936)+1,"")</f>
        <v>0</v>
      </c>
      <c r="V2937" s="30">
        <f>IF(AND($R2937="Não",$Q2937&lt;&gt;"",$Q2937&lt;=Hoje+JanelaRet,$Q2937&gt;=Hoje-60),MAX($V$4:$V2936)+1,"")</f>
        <v>0</v>
      </c>
    </row>
    <row r="2938" spans="1:22">
      <c r="A2938" s="16"/>
      <c r="B2938" s="23"/>
      <c r="C2938" s="15"/>
      <c r="D2938" s="15"/>
      <c r="E2938" s="15"/>
      <c r="F2938" s="24"/>
      <c r="G2938" s="17"/>
      <c r="H2938" s="17"/>
      <c r="I2938" s="15"/>
      <c r="J2938" s="25">
        <f>IF($D2938="","",IFERROR(INDEX(PacNome,MATCH($D2938,PacCod,0)),"Paciente não cadastrado"))</f>
        <v>0</v>
      </c>
      <c r="K2938" s="26">
        <f>IF($D2938="","",IFERROR(INDEX(PacConv,MATCH($D2938,PacCod,0))&amp;"",""))</f>
        <v>0</v>
      </c>
      <c r="L2938" s="26">
        <f>IF($A2938="","",CHOOSE(WEEKDAY($A2938,2),"Seg","Ter","Qua","Qui","Sex","Sáb","Dom"))</f>
        <v>0</v>
      </c>
      <c r="M2938" s="27">
        <f>IF($E2938="","",IF($G2938&lt;&gt;"",$G2938,IFERROR(INDEX(ProcValor,MATCH($E2938,ProcNome,0)),0)))</f>
        <v>0</v>
      </c>
      <c r="N2938" s="27">
        <f>IF($M2938="","",IF($F2938="Compareceu",$M2938,0))</f>
        <v>0</v>
      </c>
      <c r="O2938" s="27">
        <f>IF($M2938="","",IF($F2938="Faltou",$M2938,0))</f>
        <v>0</v>
      </c>
      <c r="P2938" s="27">
        <f>IF($M2938="","",IF($F2938="Compareceu",MAX(0,$M2938-N($H2938)),0))</f>
        <v>0</v>
      </c>
      <c r="Q2938" s="19">
        <f>IF(AND($F2938="Compareceu",$E2938&lt;&gt;"",$A2938&lt;&gt;""),IF(IFERROR(INDEX(ProcRet,MATCH($E2938,ProcNome,0)),0)&gt;0,$A2938+INDEX(ProcRet,MATCH($E2938,ProcNome,0)),""),"")</f>
        <v>0</v>
      </c>
      <c r="R2938" s="26">
        <f>IF($Q2938="","",IF(COUNTIFS(AgPac,$D2938,AgData,"&gt;"&amp;$A2938,AgStatus,"&lt;&gt;Cancelado",AgStatus,"&lt;&gt;Remarcado")&gt;0,"Sim","Não"))</f>
        <v>0</v>
      </c>
      <c r="S2938" s="28">
        <f>IF($A2938="","",IF(AND($F2938="Agendado",$A2938-Hoje&gt;=0,$A2938-Hoje&lt;=DiasConf),"CONFIRMAR",IF(AND($A2938&lt;Hoje,OR($F2938="Agendado",$F2938="Confirmado")),"Atualizar status",IF(AND($F2938="Compareceu",$P2938&gt;0.005),"Cobrar",IF($F2938="Faltou","Falta: reagendar","")))))</f>
        <v>0</v>
      </c>
      <c r="T2938" s="29">
        <f>IF($A2938="","",DATE(YEAR($A2938),MONTH($A2938),1))</f>
        <v>0</v>
      </c>
      <c r="U2938" s="30">
        <f>IF($S2938="CONFIRMAR",MAX($U$4:$U2937)+1,"")</f>
        <v>0</v>
      </c>
      <c r="V2938" s="30">
        <f>IF(AND($R2938="Não",$Q2938&lt;&gt;"",$Q2938&lt;=Hoje+JanelaRet,$Q2938&gt;=Hoje-60),MAX($V$4:$V2937)+1,"")</f>
        <v>0</v>
      </c>
    </row>
    <row r="2939" spans="1:22">
      <c r="A2939" s="16"/>
      <c r="B2939" s="23"/>
      <c r="C2939" s="15"/>
      <c r="D2939" s="15"/>
      <c r="E2939" s="15"/>
      <c r="F2939" s="24"/>
      <c r="G2939" s="17"/>
      <c r="H2939" s="17"/>
      <c r="I2939" s="15"/>
      <c r="J2939" s="25">
        <f>IF($D2939="","",IFERROR(INDEX(PacNome,MATCH($D2939,PacCod,0)),"Paciente não cadastrado"))</f>
        <v>0</v>
      </c>
      <c r="K2939" s="26">
        <f>IF($D2939="","",IFERROR(INDEX(PacConv,MATCH($D2939,PacCod,0))&amp;"",""))</f>
        <v>0</v>
      </c>
      <c r="L2939" s="26">
        <f>IF($A2939="","",CHOOSE(WEEKDAY($A2939,2),"Seg","Ter","Qua","Qui","Sex","Sáb","Dom"))</f>
        <v>0</v>
      </c>
      <c r="M2939" s="27">
        <f>IF($E2939="","",IF($G2939&lt;&gt;"",$G2939,IFERROR(INDEX(ProcValor,MATCH($E2939,ProcNome,0)),0)))</f>
        <v>0</v>
      </c>
      <c r="N2939" s="27">
        <f>IF($M2939="","",IF($F2939="Compareceu",$M2939,0))</f>
        <v>0</v>
      </c>
      <c r="O2939" s="27">
        <f>IF($M2939="","",IF($F2939="Faltou",$M2939,0))</f>
        <v>0</v>
      </c>
      <c r="P2939" s="27">
        <f>IF($M2939="","",IF($F2939="Compareceu",MAX(0,$M2939-N($H2939)),0))</f>
        <v>0</v>
      </c>
      <c r="Q2939" s="19">
        <f>IF(AND($F2939="Compareceu",$E2939&lt;&gt;"",$A2939&lt;&gt;""),IF(IFERROR(INDEX(ProcRet,MATCH($E2939,ProcNome,0)),0)&gt;0,$A2939+INDEX(ProcRet,MATCH($E2939,ProcNome,0)),""),"")</f>
        <v>0</v>
      </c>
      <c r="R2939" s="26">
        <f>IF($Q2939="","",IF(COUNTIFS(AgPac,$D2939,AgData,"&gt;"&amp;$A2939,AgStatus,"&lt;&gt;Cancelado",AgStatus,"&lt;&gt;Remarcado")&gt;0,"Sim","Não"))</f>
        <v>0</v>
      </c>
      <c r="S2939" s="28">
        <f>IF($A2939="","",IF(AND($F2939="Agendado",$A2939-Hoje&gt;=0,$A2939-Hoje&lt;=DiasConf),"CONFIRMAR",IF(AND($A2939&lt;Hoje,OR($F2939="Agendado",$F2939="Confirmado")),"Atualizar status",IF(AND($F2939="Compareceu",$P2939&gt;0.005),"Cobrar",IF($F2939="Faltou","Falta: reagendar","")))))</f>
        <v>0</v>
      </c>
      <c r="T2939" s="29">
        <f>IF($A2939="","",DATE(YEAR($A2939),MONTH($A2939),1))</f>
        <v>0</v>
      </c>
      <c r="U2939" s="30">
        <f>IF($S2939="CONFIRMAR",MAX($U$4:$U2938)+1,"")</f>
        <v>0</v>
      </c>
      <c r="V2939" s="30">
        <f>IF(AND($R2939="Não",$Q2939&lt;&gt;"",$Q2939&lt;=Hoje+JanelaRet,$Q2939&gt;=Hoje-60),MAX($V$4:$V2938)+1,"")</f>
        <v>0</v>
      </c>
    </row>
    <row r="2940" spans="1:22">
      <c r="A2940" s="16"/>
      <c r="B2940" s="23"/>
      <c r="C2940" s="15"/>
      <c r="D2940" s="15"/>
      <c r="E2940" s="15"/>
      <c r="F2940" s="24"/>
      <c r="G2940" s="17"/>
      <c r="H2940" s="17"/>
      <c r="I2940" s="15"/>
      <c r="J2940" s="25">
        <f>IF($D2940="","",IFERROR(INDEX(PacNome,MATCH($D2940,PacCod,0)),"Paciente não cadastrado"))</f>
        <v>0</v>
      </c>
      <c r="K2940" s="26">
        <f>IF($D2940="","",IFERROR(INDEX(PacConv,MATCH($D2940,PacCod,0))&amp;"",""))</f>
        <v>0</v>
      </c>
      <c r="L2940" s="26">
        <f>IF($A2940="","",CHOOSE(WEEKDAY($A2940,2),"Seg","Ter","Qua","Qui","Sex","Sáb","Dom"))</f>
        <v>0</v>
      </c>
      <c r="M2940" s="27">
        <f>IF($E2940="","",IF($G2940&lt;&gt;"",$G2940,IFERROR(INDEX(ProcValor,MATCH($E2940,ProcNome,0)),0)))</f>
        <v>0</v>
      </c>
      <c r="N2940" s="27">
        <f>IF($M2940="","",IF($F2940="Compareceu",$M2940,0))</f>
        <v>0</v>
      </c>
      <c r="O2940" s="27">
        <f>IF($M2940="","",IF($F2940="Faltou",$M2940,0))</f>
        <v>0</v>
      </c>
      <c r="P2940" s="27">
        <f>IF($M2940="","",IF($F2940="Compareceu",MAX(0,$M2940-N($H2940)),0))</f>
        <v>0</v>
      </c>
      <c r="Q2940" s="19">
        <f>IF(AND($F2940="Compareceu",$E2940&lt;&gt;"",$A2940&lt;&gt;""),IF(IFERROR(INDEX(ProcRet,MATCH($E2940,ProcNome,0)),0)&gt;0,$A2940+INDEX(ProcRet,MATCH($E2940,ProcNome,0)),""),"")</f>
        <v>0</v>
      </c>
      <c r="R2940" s="26">
        <f>IF($Q2940="","",IF(COUNTIFS(AgPac,$D2940,AgData,"&gt;"&amp;$A2940,AgStatus,"&lt;&gt;Cancelado",AgStatus,"&lt;&gt;Remarcado")&gt;0,"Sim","Não"))</f>
        <v>0</v>
      </c>
      <c r="S2940" s="28">
        <f>IF($A2940="","",IF(AND($F2940="Agendado",$A2940-Hoje&gt;=0,$A2940-Hoje&lt;=DiasConf),"CONFIRMAR",IF(AND($A2940&lt;Hoje,OR($F2940="Agendado",$F2940="Confirmado")),"Atualizar status",IF(AND($F2940="Compareceu",$P2940&gt;0.005),"Cobrar",IF($F2940="Faltou","Falta: reagendar","")))))</f>
        <v>0</v>
      </c>
      <c r="T2940" s="29">
        <f>IF($A2940="","",DATE(YEAR($A2940),MONTH($A2940),1))</f>
        <v>0</v>
      </c>
      <c r="U2940" s="30">
        <f>IF($S2940="CONFIRMAR",MAX($U$4:$U2939)+1,"")</f>
        <v>0</v>
      </c>
      <c r="V2940" s="30">
        <f>IF(AND($R2940="Não",$Q2940&lt;&gt;"",$Q2940&lt;=Hoje+JanelaRet,$Q2940&gt;=Hoje-60),MAX($V$4:$V2939)+1,"")</f>
        <v>0</v>
      </c>
    </row>
    <row r="2941" spans="1:22">
      <c r="A2941" s="16"/>
      <c r="B2941" s="23"/>
      <c r="C2941" s="15"/>
      <c r="D2941" s="15"/>
      <c r="E2941" s="15"/>
      <c r="F2941" s="24"/>
      <c r="G2941" s="17"/>
      <c r="H2941" s="17"/>
      <c r="I2941" s="15"/>
      <c r="J2941" s="25">
        <f>IF($D2941="","",IFERROR(INDEX(PacNome,MATCH($D2941,PacCod,0)),"Paciente não cadastrado"))</f>
        <v>0</v>
      </c>
      <c r="K2941" s="26">
        <f>IF($D2941="","",IFERROR(INDEX(PacConv,MATCH($D2941,PacCod,0))&amp;"",""))</f>
        <v>0</v>
      </c>
      <c r="L2941" s="26">
        <f>IF($A2941="","",CHOOSE(WEEKDAY($A2941,2),"Seg","Ter","Qua","Qui","Sex","Sáb","Dom"))</f>
        <v>0</v>
      </c>
      <c r="M2941" s="27">
        <f>IF($E2941="","",IF($G2941&lt;&gt;"",$G2941,IFERROR(INDEX(ProcValor,MATCH($E2941,ProcNome,0)),0)))</f>
        <v>0</v>
      </c>
      <c r="N2941" s="27">
        <f>IF($M2941="","",IF($F2941="Compareceu",$M2941,0))</f>
        <v>0</v>
      </c>
      <c r="O2941" s="27">
        <f>IF($M2941="","",IF($F2941="Faltou",$M2941,0))</f>
        <v>0</v>
      </c>
      <c r="P2941" s="27">
        <f>IF($M2941="","",IF($F2941="Compareceu",MAX(0,$M2941-N($H2941)),0))</f>
        <v>0</v>
      </c>
      <c r="Q2941" s="19">
        <f>IF(AND($F2941="Compareceu",$E2941&lt;&gt;"",$A2941&lt;&gt;""),IF(IFERROR(INDEX(ProcRet,MATCH($E2941,ProcNome,0)),0)&gt;0,$A2941+INDEX(ProcRet,MATCH($E2941,ProcNome,0)),""),"")</f>
        <v>0</v>
      </c>
      <c r="R2941" s="26">
        <f>IF($Q2941="","",IF(COUNTIFS(AgPac,$D2941,AgData,"&gt;"&amp;$A2941,AgStatus,"&lt;&gt;Cancelado",AgStatus,"&lt;&gt;Remarcado")&gt;0,"Sim","Não"))</f>
        <v>0</v>
      </c>
      <c r="S2941" s="28">
        <f>IF($A2941="","",IF(AND($F2941="Agendado",$A2941-Hoje&gt;=0,$A2941-Hoje&lt;=DiasConf),"CONFIRMAR",IF(AND($A2941&lt;Hoje,OR($F2941="Agendado",$F2941="Confirmado")),"Atualizar status",IF(AND($F2941="Compareceu",$P2941&gt;0.005),"Cobrar",IF($F2941="Faltou","Falta: reagendar","")))))</f>
        <v>0</v>
      </c>
      <c r="T2941" s="29">
        <f>IF($A2941="","",DATE(YEAR($A2941),MONTH($A2941),1))</f>
        <v>0</v>
      </c>
      <c r="U2941" s="30">
        <f>IF($S2941="CONFIRMAR",MAX($U$4:$U2940)+1,"")</f>
        <v>0</v>
      </c>
      <c r="V2941" s="30">
        <f>IF(AND($R2941="Não",$Q2941&lt;&gt;"",$Q2941&lt;=Hoje+JanelaRet,$Q2941&gt;=Hoje-60),MAX($V$4:$V2940)+1,"")</f>
        <v>0</v>
      </c>
    </row>
    <row r="2942" spans="1:22">
      <c r="A2942" s="16"/>
      <c r="B2942" s="23"/>
      <c r="C2942" s="15"/>
      <c r="D2942" s="15"/>
      <c r="E2942" s="15"/>
      <c r="F2942" s="24"/>
      <c r="G2942" s="17"/>
      <c r="H2942" s="17"/>
      <c r="I2942" s="15"/>
      <c r="J2942" s="25">
        <f>IF($D2942="","",IFERROR(INDEX(PacNome,MATCH($D2942,PacCod,0)),"Paciente não cadastrado"))</f>
        <v>0</v>
      </c>
      <c r="K2942" s="26">
        <f>IF($D2942="","",IFERROR(INDEX(PacConv,MATCH($D2942,PacCod,0))&amp;"",""))</f>
        <v>0</v>
      </c>
      <c r="L2942" s="26">
        <f>IF($A2942="","",CHOOSE(WEEKDAY($A2942,2),"Seg","Ter","Qua","Qui","Sex","Sáb","Dom"))</f>
        <v>0</v>
      </c>
      <c r="M2942" s="27">
        <f>IF($E2942="","",IF($G2942&lt;&gt;"",$G2942,IFERROR(INDEX(ProcValor,MATCH($E2942,ProcNome,0)),0)))</f>
        <v>0</v>
      </c>
      <c r="N2942" s="27">
        <f>IF($M2942="","",IF($F2942="Compareceu",$M2942,0))</f>
        <v>0</v>
      </c>
      <c r="O2942" s="27">
        <f>IF($M2942="","",IF($F2942="Faltou",$M2942,0))</f>
        <v>0</v>
      </c>
      <c r="P2942" s="27">
        <f>IF($M2942="","",IF($F2942="Compareceu",MAX(0,$M2942-N($H2942)),0))</f>
        <v>0</v>
      </c>
      <c r="Q2942" s="19">
        <f>IF(AND($F2942="Compareceu",$E2942&lt;&gt;"",$A2942&lt;&gt;""),IF(IFERROR(INDEX(ProcRet,MATCH($E2942,ProcNome,0)),0)&gt;0,$A2942+INDEX(ProcRet,MATCH($E2942,ProcNome,0)),""),"")</f>
        <v>0</v>
      </c>
      <c r="R2942" s="26">
        <f>IF($Q2942="","",IF(COUNTIFS(AgPac,$D2942,AgData,"&gt;"&amp;$A2942,AgStatus,"&lt;&gt;Cancelado",AgStatus,"&lt;&gt;Remarcado")&gt;0,"Sim","Não"))</f>
        <v>0</v>
      </c>
      <c r="S2942" s="28">
        <f>IF($A2942="","",IF(AND($F2942="Agendado",$A2942-Hoje&gt;=0,$A2942-Hoje&lt;=DiasConf),"CONFIRMAR",IF(AND($A2942&lt;Hoje,OR($F2942="Agendado",$F2942="Confirmado")),"Atualizar status",IF(AND($F2942="Compareceu",$P2942&gt;0.005),"Cobrar",IF($F2942="Faltou","Falta: reagendar","")))))</f>
        <v>0</v>
      </c>
      <c r="T2942" s="29">
        <f>IF($A2942="","",DATE(YEAR($A2942),MONTH($A2942),1))</f>
        <v>0</v>
      </c>
      <c r="U2942" s="30">
        <f>IF($S2942="CONFIRMAR",MAX($U$4:$U2941)+1,"")</f>
        <v>0</v>
      </c>
      <c r="V2942" s="30">
        <f>IF(AND($R2942="Não",$Q2942&lt;&gt;"",$Q2942&lt;=Hoje+JanelaRet,$Q2942&gt;=Hoje-60),MAX($V$4:$V2941)+1,"")</f>
        <v>0</v>
      </c>
    </row>
    <row r="2943" spans="1:22">
      <c r="A2943" s="16"/>
      <c r="B2943" s="23"/>
      <c r="C2943" s="15"/>
      <c r="D2943" s="15"/>
      <c r="E2943" s="15"/>
      <c r="F2943" s="24"/>
      <c r="G2943" s="17"/>
      <c r="H2943" s="17"/>
      <c r="I2943" s="15"/>
      <c r="J2943" s="25">
        <f>IF($D2943="","",IFERROR(INDEX(PacNome,MATCH($D2943,PacCod,0)),"Paciente não cadastrado"))</f>
        <v>0</v>
      </c>
      <c r="K2943" s="26">
        <f>IF($D2943="","",IFERROR(INDEX(PacConv,MATCH($D2943,PacCod,0))&amp;"",""))</f>
        <v>0</v>
      </c>
      <c r="L2943" s="26">
        <f>IF($A2943="","",CHOOSE(WEEKDAY($A2943,2),"Seg","Ter","Qua","Qui","Sex","Sáb","Dom"))</f>
        <v>0</v>
      </c>
      <c r="M2943" s="27">
        <f>IF($E2943="","",IF($G2943&lt;&gt;"",$G2943,IFERROR(INDEX(ProcValor,MATCH($E2943,ProcNome,0)),0)))</f>
        <v>0</v>
      </c>
      <c r="N2943" s="27">
        <f>IF($M2943="","",IF($F2943="Compareceu",$M2943,0))</f>
        <v>0</v>
      </c>
      <c r="O2943" s="27">
        <f>IF($M2943="","",IF($F2943="Faltou",$M2943,0))</f>
        <v>0</v>
      </c>
      <c r="P2943" s="27">
        <f>IF($M2943="","",IF($F2943="Compareceu",MAX(0,$M2943-N($H2943)),0))</f>
        <v>0</v>
      </c>
      <c r="Q2943" s="19">
        <f>IF(AND($F2943="Compareceu",$E2943&lt;&gt;"",$A2943&lt;&gt;""),IF(IFERROR(INDEX(ProcRet,MATCH($E2943,ProcNome,0)),0)&gt;0,$A2943+INDEX(ProcRet,MATCH($E2943,ProcNome,0)),""),"")</f>
        <v>0</v>
      </c>
      <c r="R2943" s="26">
        <f>IF($Q2943="","",IF(COUNTIFS(AgPac,$D2943,AgData,"&gt;"&amp;$A2943,AgStatus,"&lt;&gt;Cancelado",AgStatus,"&lt;&gt;Remarcado")&gt;0,"Sim","Não"))</f>
        <v>0</v>
      </c>
      <c r="S2943" s="28">
        <f>IF($A2943="","",IF(AND($F2943="Agendado",$A2943-Hoje&gt;=0,$A2943-Hoje&lt;=DiasConf),"CONFIRMAR",IF(AND($A2943&lt;Hoje,OR($F2943="Agendado",$F2943="Confirmado")),"Atualizar status",IF(AND($F2943="Compareceu",$P2943&gt;0.005),"Cobrar",IF($F2943="Faltou","Falta: reagendar","")))))</f>
        <v>0</v>
      </c>
      <c r="T2943" s="29">
        <f>IF($A2943="","",DATE(YEAR($A2943),MONTH($A2943),1))</f>
        <v>0</v>
      </c>
      <c r="U2943" s="30">
        <f>IF($S2943="CONFIRMAR",MAX($U$4:$U2942)+1,"")</f>
        <v>0</v>
      </c>
      <c r="V2943" s="30">
        <f>IF(AND($R2943="Não",$Q2943&lt;&gt;"",$Q2943&lt;=Hoje+JanelaRet,$Q2943&gt;=Hoje-60),MAX($V$4:$V2942)+1,"")</f>
        <v>0</v>
      </c>
    </row>
    <row r="2944" spans="1:22">
      <c r="A2944" s="16"/>
      <c r="B2944" s="23"/>
      <c r="C2944" s="15"/>
      <c r="D2944" s="15"/>
      <c r="E2944" s="15"/>
      <c r="F2944" s="24"/>
      <c r="G2944" s="17"/>
      <c r="H2944" s="17"/>
      <c r="I2944" s="15"/>
      <c r="J2944" s="25">
        <f>IF($D2944="","",IFERROR(INDEX(PacNome,MATCH($D2944,PacCod,0)),"Paciente não cadastrado"))</f>
        <v>0</v>
      </c>
      <c r="K2944" s="26">
        <f>IF($D2944="","",IFERROR(INDEX(PacConv,MATCH($D2944,PacCod,0))&amp;"",""))</f>
        <v>0</v>
      </c>
      <c r="L2944" s="26">
        <f>IF($A2944="","",CHOOSE(WEEKDAY($A2944,2),"Seg","Ter","Qua","Qui","Sex","Sáb","Dom"))</f>
        <v>0</v>
      </c>
      <c r="M2944" s="27">
        <f>IF($E2944="","",IF($G2944&lt;&gt;"",$G2944,IFERROR(INDEX(ProcValor,MATCH($E2944,ProcNome,0)),0)))</f>
        <v>0</v>
      </c>
      <c r="N2944" s="27">
        <f>IF($M2944="","",IF($F2944="Compareceu",$M2944,0))</f>
        <v>0</v>
      </c>
      <c r="O2944" s="27">
        <f>IF($M2944="","",IF($F2944="Faltou",$M2944,0))</f>
        <v>0</v>
      </c>
      <c r="P2944" s="27">
        <f>IF($M2944="","",IF($F2944="Compareceu",MAX(0,$M2944-N($H2944)),0))</f>
        <v>0</v>
      </c>
      <c r="Q2944" s="19">
        <f>IF(AND($F2944="Compareceu",$E2944&lt;&gt;"",$A2944&lt;&gt;""),IF(IFERROR(INDEX(ProcRet,MATCH($E2944,ProcNome,0)),0)&gt;0,$A2944+INDEX(ProcRet,MATCH($E2944,ProcNome,0)),""),"")</f>
        <v>0</v>
      </c>
      <c r="R2944" s="26">
        <f>IF($Q2944="","",IF(COUNTIFS(AgPac,$D2944,AgData,"&gt;"&amp;$A2944,AgStatus,"&lt;&gt;Cancelado",AgStatus,"&lt;&gt;Remarcado")&gt;0,"Sim","Não"))</f>
        <v>0</v>
      </c>
      <c r="S2944" s="28">
        <f>IF($A2944="","",IF(AND($F2944="Agendado",$A2944-Hoje&gt;=0,$A2944-Hoje&lt;=DiasConf),"CONFIRMAR",IF(AND($A2944&lt;Hoje,OR($F2944="Agendado",$F2944="Confirmado")),"Atualizar status",IF(AND($F2944="Compareceu",$P2944&gt;0.005),"Cobrar",IF($F2944="Faltou","Falta: reagendar","")))))</f>
        <v>0</v>
      </c>
      <c r="T2944" s="29">
        <f>IF($A2944="","",DATE(YEAR($A2944),MONTH($A2944),1))</f>
        <v>0</v>
      </c>
      <c r="U2944" s="30">
        <f>IF($S2944="CONFIRMAR",MAX($U$4:$U2943)+1,"")</f>
        <v>0</v>
      </c>
      <c r="V2944" s="30">
        <f>IF(AND($R2944="Não",$Q2944&lt;&gt;"",$Q2944&lt;=Hoje+JanelaRet,$Q2944&gt;=Hoje-60),MAX($V$4:$V2943)+1,"")</f>
        <v>0</v>
      </c>
    </row>
    <row r="2945" spans="1:22">
      <c r="A2945" s="16"/>
      <c r="B2945" s="23"/>
      <c r="C2945" s="15"/>
      <c r="D2945" s="15"/>
      <c r="E2945" s="15"/>
      <c r="F2945" s="24"/>
      <c r="G2945" s="17"/>
      <c r="H2945" s="17"/>
      <c r="I2945" s="15"/>
      <c r="J2945" s="25">
        <f>IF($D2945="","",IFERROR(INDEX(PacNome,MATCH($D2945,PacCod,0)),"Paciente não cadastrado"))</f>
        <v>0</v>
      </c>
      <c r="K2945" s="26">
        <f>IF($D2945="","",IFERROR(INDEX(PacConv,MATCH($D2945,PacCod,0))&amp;"",""))</f>
        <v>0</v>
      </c>
      <c r="L2945" s="26">
        <f>IF($A2945="","",CHOOSE(WEEKDAY($A2945,2),"Seg","Ter","Qua","Qui","Sex","Sáb","Dom"))</f>
        <v>0</v>
      </c>
      <c r="M2945" s="27">
        <f>IF($E2945="","",IF($G2945&lt;&gt;"",$G2945,IFERROR(INDEX(ProcValor,MATCH($E2945,ProcNome,0)),0)))</f>
        <v>0</v>
      </c>
      <c r="N2945" s="27">
        <f>IF($M2945="","",IF($F2945="Compareceu",$M2945,0))</f>
        <v>0</v>
      </c>
      <c r="O2945" s="27">
        <f>IF($M2945="","",IF($F2945="Faltou",$M2945,0))</f>
        <v>0</v>
      </c>
      <c r="P2945" s="27">
        <f>IF($M2945="","",IF($F2945="Compareceu",MAX(0,$M2945-N($H2945)),0))</f>
        <v>0</v>
      </c>
      <c r="Q2945" s="19">
        <f>IF(AND($F2945="Compareceu",$E2945&lt;&gt;"",$A2945&lt;&gt;""),IF(IFERROR(INDEX(ProcRet,MATCH($E2945,ProcNome,0)),0)&gt;0,$A2945+INDEX(ProcRet,MATCH($E2945,ProcNome,0)),""),"")</f>
        <v>0</v>
      </c>
      <c r="R2945" s="26">
        <f>IF($Q2945="","",IF(COUNTIFS(AgPac,$D2945,AgData,"&gt;"&amp;$A2945,AgStatus,"&lt;&gt;Cancelado",AgStatus,"&lt;&gt;Remarcado")&gt;0,"Sim","Não"))</f>
        <v>0</v>
      </c>
      <c r="S2945" s="28">
        <f>IF($A2945="","",IF(AND($F2945="Agendado",$A2945-Hoje&gt;=0,$A2945-Hoje&lt;=DiasConf),"CONFIRMAR",IF(AND($A2945&lt;Hoje,OR($F2945="Agendado",$F2945="Confirmado")),"Atualizar status",IF(AND($F2945="Compareceu",$P2945&gt;0.005),"Cobrar",IF($F2945="Faltou","Falta: reagendar","")))))</f>
        <v>0</v>
      </c>
      <c r="T2945" s="29">
        <f>IF($A2945="","",DATE(YEAR($A2945),MONTH($A2945),1))</f>
        <v>0</v>
      </c>
      <c r="U2945" s="30">
        <f>IF($S2945="CONFIRMAR",MAX($U$4:$U2944)+1,"")</f>
        <v>0</v>
      </c>
      <c r="V2945" s="30">
        <f>IF(AND($R2945="Não",$Q2945&lt;&gt;"",$Q2945&lt;=Hoje+JanelaRet,$Q2945&gt;=Hoje-60),MAX($V$4:$V2944)+1,"")</f>
        <v>0</v>
      </c>
    </row>
    <row r="2946" spans="1:22">
      <c r="A2946" s="16"/>
      <c r="B2946" s="23"/>
      <c r="C2946" s="15"/>
      <c r="D2946" s="15"/>
      <c r="E2946" s="15"/>
      <c r="F2946" s="24"/>
      <c r="G2946" s="17"/>
      <c r="H2946" s="17"/>
      <c r="I2946" s="15"/>
      <c r="J2946" s="25">
        <f>IF($D2946="","",IFERROR(INDEX(PacNome,MATCH($D2946,PacCod,0)),"Paciente não cadastrado"))</f>
        <v>0</v>
      </c>
      <c r="K2946" s="26">
        <f>IF($D2946="","",IFERROR(INDEX(PacConv,MATCH($D2946,PacCod,0))&amp;"",""))</f>
        <v>0</v>
      </c>
      <c r="L2946" s="26">
        <f>IF($A2946="","",CHOOSE(WEEKDAY($A2946,2),"Seg","Ter","Qua","Qui","Sex","Sáb","Dom"))</f>
        <v>0</v>
      </c>
      <c r="M2946" s="27">
        <f>IF($E2946="","",IF($G2946&lt;&gt;"",$G2946,IFERROR(INDEX(ProcValor,MATCH($E2946,ProcNome,0)),0)))</f>
        <v>0</v>
      </c>
      <c r="N2946" s="27">
        <f>IF($M2946="","",IF($F2946="Compareceu",$M2946,0))</f>
        <v>0</v>
      </c>
      <c r="O2946" s="27">
        <f>IF($M2946="","",IF($F2946="Faltou",$M2946,0))</f>
        <v>0</v>
      </c>
      <c r="P2946" s="27">
        <f>IF($M2946="","",IF($F2946="Compareceu",MAX(0,$M2946-N($H2946)),0))</f>
        <v>0</v>
      </c>
      <c r="Q2946" s="19">
        <f>IF(AND($F2946="Compareceu",$E2946&lt;&gt;"",$A2946&lt;&gt;""),IF(IFERROR(INDEX(ProcRet,MATCH($E2946,ProcNome,0)),0)&gt;0,$A2946+INDEX(ProcRet,MATCH($E2946,ProcNome,0)),""),"")</f>
        <v>0</v>
      </c>
      <c r="R2946" s="26">
        <f>IF($Q2946="","",IF(COUNTIFS(AgPac,$D2946,AgData,"&gt;"&amp;$A2946,AgStatus,"&lt;&gt;Cancelado",AgStatus,"&lt;&gt;Remarcado")&gt;0,"Sim","Não"))</f>
        <v>0</v>
      </c>
      <c r="S2946" s="28">
        <f>IF($A2946="","",IF(AND($F2946="Agendado",$A2946-Hoje&gt;=0,$A2946-Hoje&lt;=DiasConf),"CONFIRMAR",IF(AND($A2946&lt;Hoje,OR($F2946="Agendado",$F2946="Confirmado")),"Atualizar status",IF(AND($F2946="Compareceu",$P2946&gt;0.005),"Cobrar",IF($F2946="Faltou","Falta: reagendar","")))))</f>
        <v>0</v>
      </c>
      <c r="T2946" s="29">
        <f>IF($A2946="","",DATE(YEAR($A2946),MONTH($A2946),1))</f>
        <v>0</v>
      </c>
      <c r="U2946" s="30">
        <f>IF($S2946="CONFIRMAR",MAX($U$4:$U2945)+1,"")</f>
        <v>0</v>
      </c>
      <c r="V2946" s="30">
        <f>IF(AND($R2946="Não",$Q2946&lt;&gt;"",$Q2946&lt;=Hoje+JanelaRet,$Q2946&gt;=Hoje-60),MAX($V$4:$V2945)+1,"")</f>
        <v>0</v>
      </c>
    </row>
    <row r="2947" spans="1:22">
      <c r="A2947" s="16"/>
      <c r="B2947" s="23"/>
      <c r="C2947" s="15"/>
      <c r="D2947" s="15"/>
      <c r="E2947" s="15"/>
      <c r="F2947" s="24"/>
      <c r="G2947" s="17"/>
      <c r="H2947" s="17"/>
      <c r="I2947" s="15"/>
      <c r="J2947" s="25">
        <f>IF($D2947="","",IFERROR(INDEX(PacNome,MATCH($D2947,PacCod,0)),"Paciente não cadastrado"))</f>
        <v>0</v>
      </c>
      <c r="K2947" s="26">
        <f>IF($D2947="","",IFERROR(INDEX(PacConv,MATCH($D2947,PacCod,0))&amp;"",""))</f>
        <v>0</v>
      </c>
      <c r="L2947" s="26">
        <f>IF($A2947="","",CHOOSE(WEEKDAY($A2947,2),"Seg","Ter","Qua","Qui","Sex","Sáb","Dom"))</f>
        <v>0</v>
      </c>
      <c r="M2947" s="27">
        <f>IF($E2947="","",IF($G2947&lt;&gt;"",$G2947,IFERROR(INDEX(ProcValor,MATCH($E2947,ProcNome,0)),0)))</f>
        <v>0</v>
      </c>
      <c r="N2947" s="27">
        <f>IF($M2947="","",IF($F2947="Compareceu",$M2947,0))</f>
        <v>0</v>
      </c>
      <c r="O2947" s="27">
        <f>IF($M2947="","",IF($F2947="Faltou",$M2947,0))</f>
        <v>0</v>
      </c>
      <c r="P2947" s="27">
        <f>IF($M2947="","",IF($F2947="Compareceu",MAX(0,$M2947-N($H2947)),0))</f>
        <v>0</v>
      </c>
      <c r="Q2947" s="19">
        <f>IF(AND($F2947="Compareceu",$E2947&lt;&gt;"",$A2947&lt;&gt;""),IF(IFERROR(INDEX(ProcRet,MATCH($E2947,ProcNome,0)),0)&gt;0,$A2947+INDEX(ProcRet,MATCH($E2947,ProcNome,0)),""),"")</f>
        <v>0</v>
      </c>
      <c r="R2947" s="26">
        <f>IF($Q2947="","",IF(COUNTIFS(AgPac,$D2947,AgData,"&gt;"&amp;$A2947,AgStatus,"&lt;&gt;Cancelado",AgStatus,"&lt;&gt;Remarcado")&gt;0,"Sim","Não"))</f>
        <v>0</v>
      </c>
      <c r="S2947" s="28">
        <f>IF($A2947="","",IF(AND($F2947="Agendado",$A2947-Hoje&gt;=0,$A2947-Hoje&lt;=DiasConf),"CONFIRMAR",IF(AND($A2947&lt;Hoje,OR($F2947="Agendado",$F2947="Confirmado")),"Atualizar status",IF(AND($F2947="Compareceu",$P2947&gt;0.005),"Cobrar",IF($F2947="Faltou","Falta: reagendar","")))))</f>
        <v>0</v>
      </c>
      <c r="T2947" s="29">
        <f>IF($A2947="","",DATE(YEAR($A2947),MONTH($A2947),1))</f>
        <v>0</v>
      </c>
      <c r="U2947" s="30">
        <f>IF($S2947="CONFIRMAR",MAX($U$4:$U2946)+1,"")</f>
        <v>0</v>
      </c>
      <c r="V2947" s="30">
        <f>IF(AND($R2947="Não",$Q2947&lt;&gt;"",$Q2947&lt;=Hoje+JanelaRet,$Q2947&gt;=Hoje-60),MAX($V$4:$V2946)+1,"")</f>
        <v>0</v>
      </c>
    </row>
    <row r="2948" spans="1:22">
      <c r="A2948" s="16"/>
      <c r="B2948" s="23"/>
      <c r="C2948" s="15"/>
      <c r="D2948" s="15"/>
      <c r="E2948" s="15"/>
      <c r="F2948" s="24"/>
      <c r="G2948" s="17"/>
      <c r="H2948" s="17"/>
      <c r="I2948" s="15"/>
      <c r="J2948" s="25">
        <f>IF($D2948="","",IFERROR(INDEX(PacNome,MATCH($D2948,PacCod,0)),"Paciente não cadastrado"))</f>
        <v>0</v>
      </c>
      <c r="K2948" s="26">
        <f>IF($D2948="","",IFERROR(INDEX(PacConv,MATCH($D2948,PacCod,0))&amp;"",""))</f>
        <v>0</v>
      </c>
      <c r="L2948" s="26">
        <f>IF($A2948="","",CHOOSE(WEEKDAY($A2948,2),"Seg","Ter","Qua","Qui","Sex","Sáb","Dom"))</f>
        <v>0</v>
      </c>
      <c r="M2948" s="27">
        <f>IF($E2948="","",IF($G2948&lt;&gt;"",$G2948,IFERROR(INDEX(ProcValor,MATCH($E2948,ProcNome,0)),0)))</f>
        <v>0</v>
      </c>
      <c r="N2948" s="27">
        <f>IF($M2948="","",IF($F2948="Compareceu",$M2948,0))</f>
        <v>0</v>
      </c>
      <c r="O2948" s="27">
        <f>IF($M2948="","",IF($F2948="Faltou",$M2948,0))</f>
        <v>0</v>
      </c>
      <c r="P2948" s="27">
        <f>IF($M2948="","",IF($F2948="Compareceu",MAX(0,$M2948-N($H2948)),0))</f>
        <v>0</v>
      </c>
      <c r="Q2948" s="19">
        <f>IF(AND($F2948="Compareceu",$E2948&lt;&gt;"",$A2948&lt;&gt;""),IF(IFERROR(INDEX(ProcRet,MATCH($E2948,ProcNome,0)),0)&gt;0,$A2948+INDEX(ProcRet,MATCH($E2948,ProcNome,0)),""),"")</f>
        <v>0</v>
      </c>
      <c r="R2948" s="26">
        <f>IF($Q2948="","",IF(COUNTIFS(AgPac,$D2948,AgData,"&gt;"&amp;$A2948,AgStatus,"&lt;&gt;Cancelado",AgStatus,"&lt;&gt;Remarcado")&gt;0,"Sim","Não"))</f>
        <v>0</v>
      </c>
      <c r="S2948" s="28">
        <f>IF($A2948="","",IF(AND($F2948="Agendado",$A2948-Hoje&gt;=0,$A2948-Hoje&lt;=DiasConf),"CONFIRMAR",IF(AND($A2948&lt;Hoje,OR($F2948="Agendado",$F2948="Confirmado")),"Atualizar status",IF(AND($F2948="Compareceu",$P2948&gt;0.005),"Cobrar",IF($F2948="Faltou","Falta: reagendar","")))))</f>
        <v>0</v>
      </c>
      <c r="T2948" s="29">
        <f>IF($A2948="","",DATE(YEAR($A2948),MONTH($A2948),1))</f>
        <v>0</v>
      </c>
      <c r="U2948" s="30">
        <f>IF($S2948="CONFIRMAR",MAX($U$4:$U2947)+1,"")</f>
        <v>0</v>
      </c>
      <c r="V2948" s="30">
        <f>IF(AND($R2948="Não",$Q2948&lt;&gt;"",$Q2948&lt;=Hoje+JanelaRet,$Q2948&gt;=Hoje-60),MAX($V$4:$V2947)+1,"")</f>
        <v>0</v>
      </c>
    </row>
    <row r="2949" spans="1:22">
      <c r="A2949" s="16"/>
      <c r="B2949" s="23"/>
      <c r="C2949" s="15"/>
      <c r="D2949" s="15"/>
      <c r="E2949" s="15"/>
      <c r="F2949" s="24"/>
      <c r="G2949" s="17"/>
      <c r="H2949" s="17"/>
      <c r="I2949" s="15"/>
      <c r="J2949" s="25">
        <f>IF($D2949="","",IFERROR(INDEX(PacNome,MATCH($D2949,PacCod,0)),"Paciente não cadastrado"))</f>
        <v>0</v>
      </c>
      <c r="K2949" s="26">
        <f>IF($D2949="","",IFERROR(INDEX(PacConv,MATCH($D2949,PacCod,0))&amp;"",""))</f>
        <v>0</v>
      </c>
      <c r="L2949" s="26">
        <f>IF($A2949="","",CHOOSE(WEEKDAY($A2949,2),"Seg","Ter","Qua","Qui","Sex","Sáb","Dom"))</f>
        <v>0</v>
      </c>
      <c r="M2949" s="27">
        <f>IF($E2949="","",IF($G2949&lt;&gt;"",$G2949,IFERROR(INDEX(ProcValor,MATCH($E2949,ProcNome,0)),0)))</f>
        <v>0</v>
      </c>
      <c r="N2949" s="27">
        <f>IF($M2949="","",IF($F2949="Compareceu",$M2949,0))</f>
        <v>0</v>
      </c>
      <c r="O2949" s="27">
        <f>IF($M2949="","",IF($F2949="Faltou",$M2949,0))</f>
        <v>0</v>
      </c>
      <c r="P2949" s="27">
        <f>IF($M2949="","",IF($F2949="Compareceu",MAX(0,$M2949-N($H2949)),0))</f>
        <v>0</v>
      </c>
      <c r="Q2949" s="19">
        <f>IF(AND($F2949="Compareceu",$E2949&lt;&gt;"",$A2949&lt;&gt;""),IF(IFERROR(INDEX(ProcRet,MATCH($E2949,ProcNome,0)),0)&gt;0,$A2949+INDEX(ProcRet,MATCH($E2949,ProcNome,0)),""),"")</f>
        <v>0</v>
      </c>
      <c r="R2949" s="26">
        <f>IF($Q2949="","",IF(COUNTIFS(AgPac,$D2949,AgData,"&gt;"&amp;$A2949,AgStatus,"&lt;&gt;Cancelado",AgStatus,"&lt;&gt;Remarcado")&gt;0,"Sim","Não"))</f>
        <v>0</v>
      </c>
      <c r="S2949" s="28">
        <f>IF($A2949="","",IF(AND($F2949="Agendado",$A2949-Hoje&gt;=0,$A2949-Hoje&lt;=DiasConf),"CONFIRMAR",IF(AND($A2949&lt;Hoje,OR($F2949="Agendado",$F2949="Confirmado")),"Atualizar status",IF(AND($F2949="Compareceu",$P2949&gt;0.005),"Cobrar",IF($F2949="Faltou","Falta: reagendar","")))))</f>
        <v>0</v>
      </c>
      <c r="T2949" s="29">
        <f>IF($A2949="","",DATE(YEAR($A2949),MONTH($A2949),1))</f>
        <v>0</v>
      </c>
      <c r="U2949" s="30">
        <f>IF($S2949="CONFIRMAR",MAX($U$4:$U2948)+1,"")</f>
        <v>0</v>
      </c>
      <c r="V2949" s="30">
        <f>IF(AND($R2949="Não",$Q2949&lt;&gt;"",$Q2949&lt;=Hoje+JanelaRet,$Q2949&gt;=Hoje-60),MAX($V$4:$V2948)+1,"")</f>
        <v>0</v>
      </c>
    </row>
    <row r="2950" spans="1:22">
      <c r="A2950" s="16"/>
      <c r="B2950" s="23"/>
      <c r="C2950" s="15"/>
      <c r="D2950" s="15"/>
      <c r="E2950" s="15"/>
      <c r="F2950" s="24"/>
      <c r="G2950" s="17"/>
      <c r="H2950" s="17"/>
      <c r="I2950" s="15"/>
      <c r="J2950" s="25">
        <f>IF($D2950="","",IFERROR(INDEX(PacNome,MATCH($D2950,PacCod,0)),"Paciente não cadastrado"))</f>
        <v>0</v>
      </c>
      <c r="K2950" s="26">
        <f>IF($D2950="","",IFERROR(INDEX(PacConv,MATCH($D2950,PacCod,0))&amp;"",""))</f>
        <v>0</v>
      </c>
      <c r="L2950" s="26">
        <f>IF($A2950="","",CHOOSE(WEEKDAY($A2950,2),"Seg","Ter","Qua","Qui","Sex","Sáb","Dom"))</f>
        <v>0</v>
      </c>
      <c r="M2950" s="27">
        <f>IF($E2950="","",IF($G2950&lt;&gt;"",$G2950,IFERROR(INDEX(ProcValor,MATCH($E2950,ProcNome,0)),0)))</f>
        <v>0</v>
      </c>
      <c r="N2950" s="27">
        <f>IF($M2950="","",IF($F2950="Compareceu",$M2950,0))</f>
        <v>0</v>
      </c>
      <c r="O2950" s="27">
        <f>IF($M2950="","",IF($F2950="Faltou",$M2950,0))</f>
        <v>0</v>
      </c>
      <c r="P2950" s="27">
        <f>IF($M2950="","",IF($F2950="Compareceu",MAX(0,$M2950-N($H2950)),0))</f>
        <v>0</v>
      </c>
      <c r="Q2950" s="19">
        <f>IF(AND($F2950="Compareceu",$E2950&lt;&gt;"",$A2950&lt;&gt;""),IF(IFERROR(INDEX(ProcRet,MATCH($E2950,ProcNome,0)),0)&gt;0,$A2950+INDEX(ProcRet,MATCH($E2950,ProcNome,0)),""),"")</f>
        <v>0</v>
      </c>
      <c r="R2950" s="26">
        <f>IF($Q2950="","",IF(COUNTIFS(AgPac,$D2950,AgData,"&gt;"&amp;$A2950,AgStatus,"&lt;&gt;Cancelado",AgStatus,"&lt;&gt;Remarcado")&gt;0,"Sim","Não"))</f>
        <v>0</v>
      </c>
      <c r="S2950" s="28">
        <f>IF($A2950="","",IF(AND($F2950="Agendado",$A2950-Hoje&gt;=0,$A2950-Hoje&lt;=DiasConf),"CONFIRMAR",IF(AND($A2950&lt;Hoje,OR($F2950="Agendado",$F2950="Confirmado")),"Atualizar status",IF(AND($F2950="Compareceu",$P2950&gt;0.005),"Cobrar",IF($F2950="Faltou","Falta: reagendar","")))))</f>
        <v>0</v>
      </c>
      <c r="T2950" s="29">
        <f>IF($A2950="","",DATE(YEAR($A2950),MONTH($A2950),1))</f>
        <v>0</v>
      </c>
      <c r="U2950" s="30">
        <f>IF($S2950="CONFIRMAR",MAX($U$4:$U2949)+1,"")</f>
        <v>0</v>
      </c>
      <c r="V2950" s="30">
        <f>IF(AND($R2950="Não",$Q2950&lt;&gt;"",$Q2950&lt;=Hoje+JanelaRet,$Q2950&gt;=Hoje-60),MAX($V$4:$V2949)+1,"")</f>
        <v>0</v>
      </c>
    </row>
    <row r="2951" spans="1:22">
      <c r="A2951" s="16"/>
      <c r="B2951" s="23"/>
      <c r="C2951" s="15"/>
      <c r="D2951" s="15"/>
      <c r="E2951" s="15"/>
      <c r="F2951" s="24"/>
      <c r="G2951" s="17"/>
      <c r="H2951" s="17"/>
      <c r="I2951" s="15"/>
      <c r="J2951" s="25">
        <f>IF($D2951="","",IFERROR(INDEX(PacNome,MATCH($D2951,PacCod,0)),"Paciente não cadastrado"))</f>
        <v>0</v>
      </c>
      <c r="K2951" s="26">
        <f>IF($D2951="","",IFERROR(INDEX(PacConv,MATCH($D2951,PacCod,0))&amp;"",""))</f>
        <v>0</v>
      </c>
      <c r="L2951" s="26">
        <f>IF($A2951="","",CHOOSE(WEEKDAY($A2951,2),"Seg","Ter","Qua","Qui","Sex","Sáb","Dom"))</f>
        <v>0</v>
      </c>
      <c r="M2951" s="27">
        <f>IF($E2951="","",IF($G2951&lt;&gt;"",$G2951,IFERROR(INDEX(ProcValor,MATCH($E2951,ProcNome,0)),0)))</f>
        <v>0</v>
      </c>
      <c r="N2951" s="27">
        <f>IF($M2951="","",IF($F2951="Compareceu",$M2951,0))</f>
        <v>0</v>
      </c>
      <c r="O2951" s="27">
        <f>IF($M2951="","",IF($F2951="Faltou",$M2951,0))</f>
        <v>0</v>
      </c>
      <c r="P2951" s="27">
        <f>IF($M2951="","",IF($F2951="Compareceu",MAX(0,$M2951-N($H2951)),0))</f>
        <v>0</v>
      </c>
      <c r="Q2951" s="19">
        <f>IF(AND($F2951="Compareceu",$E2951&lt;&gt;"",$A2951&lt;&gt;""),IF(IFERROR(INDEX(ProcRet,MATCH($E2951,ProcNome,0)),0)&gt;0,$A2951+INDEX(ProcRet,MATCH($E2951,ProcNome,0)),""),"")</f>
        <v>0</v>
      </c>
      <c r="R2951" s="26">
        <f>IF($Q2951="","",IF(COUNTIFS(AgPac,$D2951,AgData,"&gt;"&amp;$A2951,AgStatus,"&lt;&gt;Cancelado",AgStatus,"&lt;&gt;Remarcado")&gt;0,"Sim","Não"))</f>
        <v>0</v>
      </c>
      <c r="S2951" s="28">
        <f>IF($A2951="","",IF(AND($F2951="Agendado",$A2951-Hoje&gt;=0,$A2951-Hoje&lt;=DiasConf),"CONFIRMAR",IF(AND($A2951&lt;Hoje,OR($F2951="Agendado",$F2951="Confirmado")),"Atualizar status",IF(AND($F2951="Compareceu",$P2951&gt;0.005),"Cobrar",IF($F2951="Faltou","Falta: reagendar","")))))</f>
        <v>0</v>
      </c>
      <c r="T2951" s="29">
        <f>IF($A2951="","",DATE(YEAR($A2951),MONTH($A2951),1))</f>
        <v>0</v>
      </c>
      <c r="U2951" s="30">
        <f>IF($S2951="CONFIRMAR",MAX($U$4:$U2950)+1,"")</f>
        <v>0</v>
      </c>
      <c r="V2951" s="30">
        <f>IF(AND($R2951="Não",$Q2951&lt;&gt;"",$Q2951&lt;=Hoje+JanelaRet,$Q2951&gt;=Hoje-60),MAX($V$4:$V2950)+1,"")</f>
        <v>0</v>
      </c>
    </row>
    <row r="2952" spans="1:22">
      <c r="A2952" s="16"/>
      <c r="B2952" s="23"/>
      <c r="C2952" s="15"/>
      <c r="D2952" s="15"/>
      <c r="E2952" s="15"/>
      <c r="F2952" s="24"/>
      <c r="G2952" s="17"/>
      <c r="H2952" s="17"/>
      <c r="I2952" s="15"/>
      <c r="J2952" s="25">
        <f>IF($D2952="","",IFERROR(INDEX(PacNome,MATCH($D2952,PacCod,0)),"Paciente não cadastrado"))</f>
        <v>0</v>
      </c>
      <c r="K2952" s="26">
        <f>IF($D2952="","",IFERROR(INDEX(PacConv,MATCH($D2952,PacCod,0))&amp;"",""))</f>
        <v>0</v>
      </c>
      <c r="L2952" s="26">
        <f>IF($A2952="","",CHOOSE(WEEKDAY($A2952,2),"Seg","Ter","Qua","Qui","Sex","Sáb","Dom"))</f>
        <v>0</v>
      </c>
      <c r="M2952" s="27">
        <f>IF($E2952="","",IF($G2952&lt;&gt;"",$G2952,IFERROR(INDEX(ProcValor,MATCH($E2952,ProcNome,0)),0)))</f>
        <v>0</v>
      </c>
      <c r="N2952" s="27">
        <f>IF($M2952="","",IF($F2952="Compareceu",$M2952,0))</f>
        <v>0</v>
      </c>
      <c r="O2952" s="27">
        <f>IF($M2952="","",IF($F2952="Faltou",$M2952,0))</f>
        <v>0</v>
      </c>
      <c r="P2952" s="27">
        <f>IF($M2952="","",IF($F2952="Compareceu",MAX(0,$M2952-N($H2952)),0))</f>
        <v>0</v>
      </c>
      <c r="Q2952" s="19">
        <f>IF(AND($F2952="Compareceu",$E2952&lt;&gt;"",$A2952&lt;&gt;""),IF(IFERROR(INDEX(ProcRet,MATCH($E2952,ProcNome,0)),0)&gt;0,$A2952+INDEX(ProcRet,MATCH($E2952,ProcNome,0)),""),"")</f>
        <v>0</v>
      </c>
      <c r="R2952" s="26">
        <f>IF($Q2952="","",IF(COUNTIFS(AgPac,$D2952,AgData,"&gt;"&amp;$A2952,AgStatus,"&lt;&gt;Cancelado",AgStatus,"&lt;&gt;Remarcado")&gt;0,"Sim","Não"))</f>
        <v>0</v>
      </c>
      <c r="S2952" s="28">
        <f>IF($A2952="","",IF(AND($F2952="Agendado",$A2952-Hoje&gt;=0,$A2952-Hoje&lt;=DiasConf),"CONFIRMAR",IF(AND($A2952&lt;Hoje,OR($F2952="Agendado",$F2952="Confirmado")),"Atualizar status",IF(AND($F2952="Compareceu",$P2952&gt;0.005),"Cobrar",IF($F2952="Faltou","Falta: reagendar","")))))</f>
        <v>0</v>
      </c>
      <c r="T2952" s="29">
        <f>IF($A2952="","",DATE(YEAR($A2952),MONTH($A2952),1))</f>
        <v>0</v>
      </c>
      <c r="U2952" s="30">
        <f>IF($S2952="CONFIRMAR",MAX($U$4:$U2951)+1,"")</f>
        <v>0</v>
      </c>
      <c r="V2952" s="30">
        <f>IF(AND($R2952="Não",$Q2952&lt;&gt;"",$Q2952&lt;=Hoje+JanelaRet,$Q2952&gt;=Hoje-60),MAX($V$4:$V2951)+1,"")</f>
        <v>0</v>
      </c>
    </row>
    <row r="2953" spans="1:22">
      <c r="A2953" s="16"/>
      <c r="B2953" s="23"/>
      <c r="C2953" s="15"/>
      <c r="D2953" s="15"/>
      <c r="E2953" s="15"/>
      <c r="F2953" s="24"/>
      <c r="G2953" s="17"/>
      <c r="H2953" s="17"/>
      <c r="I2953" s="15"/>
      <c r="J2953" s="25">
        <f>IF($D2953="","",IFERROR(INDEX(PacNome,MATCH($D2953,PacCod,0)),"Paciente não cadastrado"))</f>
        <v>0</v>
      </c>
      <c r="K2953" s="26">
        <f>IF($D2953="","",IFERROR(INDEX(PacConv,MATCH($D2953,PacCod,0))&amp;"",""))</f>
        <v>0</v>
      </c>
      <c r="L2953" s="26">
        <f>IF($A2953="","",CHOOSE(WEEKDAY($A2953,2),"Seg","Ter","Qua","Qui","Sex","Sáb","Dom"))</f>
        <v>0</v>
      </c>
      <c r="M2953" s="27">
        <f>IF($E2953="","",IF($G2953&lt;&gt;"",$G2953,IFERROR(INDEX(ProcValor,MATCH($E2953,ProcNome,0)),0)))</f>
        <v>0</v>
      </c>
      <c r="N2953" s="27">
        <f>IF($M2953="","",IF($F2953="Compareceu",$M2953,0))</f>
        <v>0</v>
      </c>
      <c r="O2953" s="27">
        <f>IF($M2953="","",IF($F2953="Faltou",$M2953,0))</f>
        <v>0</v>
      </c>
      <c r="P2953" s="27">
        <f>IF($M2953="","",IF($F2953="Compareceu",MAX(0,$M2953-N($H2953)),0))</f>
        <v>0</v>
      </c>
      <c r="Q2953" s="19">
        <f>IF(AND($F2953="Compareceu",$E2953&lt;&gt;"",$A2953&lt;&gt;""),IF(IFERROR(INDEX(ProcRet,MATCH($E2953,ProcNome,0)),0)&gt;0,$A2953+INDEX(ProcRet,MATCH($E2953,ProcNome,0)),""),"")</f>
        <v>0</v>
      </c>
      <c r="R2953" s="26">
        <f>IF($Q2953="","",IF(COUNTIFS(AgPac,$D2953,AgData,"&gt;"&amp;$A2953,AgStatus,"&lt;&gt;Cancelado",AgStatus,"&lt;&gt;Remarcado")&gt;0,"Sim","Não"))</f>
        <v>0</v>
      </c>
      <c r="S2953" s="28">
        <f>IF($A2953="","",IF(AND($F2953="Agendado",$A2953-Hoje&gt;=0,$A2953-Hoje&lt;=DiasConf),"CONFIRMAR",IF(AND($A2953&lt;Hoje,OR($F2953="Agendado",$F2953="Confirmado")),"Atualizar status",IF(AND($F2953="Compareceu",$P2953&gt;0.005),"Cobrar",IF($F2953="Faltou","Falta: reagendar","")))))</f>
        <v>0</v>
      </c>
      <c r="T2953" s="29">
        <f>IF($A2953="","",DATE(YEAR($A2953),MONTH($A2953),1))</f>
        <v>0</v>
      </c>
      <c r="U2953" s="30">
        <f>IF($S2953="CONFIRMAR",MAX($U$4:$U2952)+1,"")</f>
        <v>0</v>
      </c>
      <c r="V2953" s="30">
        <f>IF(AND($R2953="Não",$Q2953&lt;&gt;"",$Q2953&lt;=Hoje+JanelaRet,$Q2953&gt;=Hoje-60),MAX($V$4:$V2952)+1,"")</f>
        <v>0</v>
      </c>
    </row>
    <row r="2954" spans="1:22">
      <c r="A2954" s="16"/>
      <c r="B2954" s="23"/>
      <c r="C2954" s="15"/>
      <c r="D2954" s="15"/>
      <c r="E2954" s="15"/>
      <c r="F2954" s="24"/>
      <c r="G2954" s="17"/>
      <c r="H2954" s="17"/>
      <c r="I2954" s="15"/>
      <c r="J2954" s="25">
        <f>IF($D2954="","",IFERROR(INDEX(PacNome,MATCH($D2954,PacCod,0)),"Paciente não cadastrado"))</f>
        <v>0</v>
      </c>
      <c r="K2954" s="26">
        <f>IF($D2954="","",IFERROR(INDEX(PacConv,MATCH($D2954,PacCod,0))&amp;"",""))</f>
        <v>0</v>
      </c>
      <c r="L2954" s="26">
        <f>IF($A2954="","",CHOOSE(WEEKDAY($A2954,2),"Seg","Ter","Qua","Qui","Sex","Sáb","Dom"))</f>
        <v>0</v>
      </c>
      <c r="M2954" s="27">
        <f>IF($E2954="","",IF($G2954&lt;&gt;"",$G2954,IFERROR(INDEX(ProcValor,MATCH($E2954,ProcNome,0)),0)))</f>
        <v>0</v>
      </c>
      <c r="N2954" s="27">
        <f>IF($M2954="","",IF($F2954="Compareceu",$M2954,0))</f>
        <v>0</v>
      </c>
      <c r="O2954" s="27">
        <f>IF($M2954="","",IF($F2954="Faltou",$M2954,0))</f>
        <v>0</v>
      </c>
      <c r="P2954" s="27">
        <f>IF($M2954="","",IF($F2954="Compareceu",MAX(0,$M2954-N($H2954)),0))</f>
        <v>0</v>
      </c>
      <c r="Q2954" s="19">
        <f>IF(AND($F2954="Compareceu",$E2954&lt;&gt;"",$A2954&lt;&gt;""),IF(IFERROR(INDEX(ProcRet,MATCH($E2954,ProcNome,0)),0)&gt;0,$A2954+INDEX(ProcRet,MATCH($E2954,ProcNome,0)),""),"")</f>
        <v>0</v>
      </c>
      <c r="R2954" s="26">
        <f>IF($Q2954="","",IF(COUNTIFS(AgPac,$D2954,AgData,"&gt;"&amp;$A2954,AgStatus,"&lt;&gt;Cancelado",AgStatus,"&lt;&gt;Remarcado")&gt;0,"Sim","Não"))</f>
        <v>0</v>
      </c>
      <c r="S2954" s="28">
        <f>IF($A2954="","",IF(AND($F2954="Agendado",$A2954-Hoje&gt;=0,$A2954-Hoje&lt;=DiasConf),"CONFIRMAR",IF(AND($A2954&lt;Hoje,OR($F2954="Agendado",$F2954="Confirmado")),"Atualizar status",IF(AND($F2954="Compareceu",$P2954&gt;0.005),"Cobrar",IF($F2954="Faltou","Falta: reagendar","")))))</f>
        <v>0</v>
      </c>
      <c r="T2954" s="29">
        <f>IF($A2954="","",DATE(YEAR($A2954),MONTH($A2954),1))</f>
        <v>0</v>
      </c>
      <c r="U2954" s="30">
        <f>IF($S2954="CONFIRMAR",MAX($U$4:$U2953)+1,"")</f>
        <v>0</v>
      </c>
      <c r="V2954" s="30">
        <f>IF(AND($R2954="Não",$Q2954&lt;&gt;"",$Q2954&lt;=Hoje+JanelaRet,$Q2954&gt;=Hoje-60),MAX($V$4:$V2953)+1,"")</f>
        <v>0</v>
      </c>
    </row>
    <row r="2955" spans="1:22">
      <c r="A2955" s="16"/>
      <c r="B2955" s="23"/>
      <c r="C2955" s="15"/>
      <c r="D2955" s="15"/>
      <c r="E2955" s="15"/>
      <c r="F2955" s="24"/>
      <c r="G2955" s="17"/>
      <c r="H2955" s="17"/>
      <c r="I2955" s="15"/>
      <c r="J2955" s="25">
        <f>IF($D2955="","",IFERROR(INDEX(PacNome,MATCH($D2955,PacCod,0)),"Paciente não cadastrado"))</f>
        <v>0</v>
      </c>
      <c r="K2955" s="26">
        <f>IF($D2955="","",IFERROR(INDEX(PacConv,MATCH($D2955,PacCod,0))&amp;"",""))</f>
        <v>0</v>
      </c>
      <c r="L2955" s="26">
        <f>IF($A2955="","",CHOOSE(WEEKDAY($A2955,2),"Seg","Ter","Qua","Qui","Sex","Sáb","Dom"))</f>
        <v>0</v>
      </c>
      <c r="M2955" s="27">
        <f>IF($E2955="","",IF($G2955&lt;&gt;"",$G2955,IFERROR(INDEX(ProcValor,MATCH($E2955,ProcNome,0)),0)))</f>
        <v>0</v>
      </c>
      <c r="N2955" s="27">
        <f>IF($M2955="","",IF($F2955="Compareceu",$M2955,0))</f>
        <v>0</v>
      </c>
      <c r="O2955" s="27">
        <f>IF($M2955="","",IF($F2955="Faltou",$M2955,0))</f>
        <v>0</v>
      </c>
      <c r="P2955" s="27">
        <f>IF($M2955="","",IF($F2955="Compareceu",MAX(0,$M2955-N($H2955)),0))</f>
        <v>0</v>
      </c>
      <c r="Q2955" s="19">
        <f>IF(AND($F2955="Compareceu",$E2955&lt;&gt;"",$A2955&lt;&gt;""),IF(IFERROR(INDEX(ProcRet,MATCH($E2955,ProcNome,0)),0)&gt;0,$A2955+INDEX(ProcRet,MATCH($E2955,ProcNome,0)),""),"")</f>
        <v>0</v>
      </c>
      <c r="R2955" s="26">
        <f>IF($Q2955="","",IF(COUNTIFS(AgPac,$D2955,AgData,"&gt;"&amp;$A2955,AgStatus,"&lt;&gt;Cancelado",AgStatus,"&lt;&gt;Remarcado")&gt;0,"Sim","Não"))</f>
        <v>0</v>
      </c>
      <c r="S2955" s="28">
        <f>IF($A2955="","",IF(AND($F2955="Agendado",$A2955-Hoje&gt;=0,$A2955-Hoje&lt;=DiasConf),"CONFIRMAR",IF(AND($A2955&lt;Hoje,OR($F2955="Agendado",$F2955="Confirmado")),"Atualizar status",IF(AND($F2955="Compareceu",$P2955&gt;0.005),"Cobrar",IF($F2955="Faltou","Falta: reagendar","")))))</f>
        <v>0</v>
      </c>
      <c r="T2955" s="29">
        <f>IF($A2955="","",DATE(YEAR($A2955),MONTH($A2955),1))</f>
        <v>0</v>
      </c>
      <c r="U2955" s="30">
        <f>IF($S2955="CONFIRMAR",MAX($U$4:$U2954)+1,"")</f>
        <v>0</v>
      </c>
      <c r="V2955" s="30">
        <f>IF(AND($R2955="Não",$Q2955&lt;&gt;"",$Q2955&lt;=Hoje+JanelaRet,$Q2955&gt;=Hoje-60),MAX($V$4:$V2954)+1,"")</f>
        <v>0</v>
      </c>
    </row>
    <row r="2956" spans="1:22">
      <c r="A2956" s="16"/>
      <c r="B2956" s="23"/>
      <c r="C2956" s="15"/>
      <c r="D2956" s="15"/>
      <c r="E2956" s="15"/>
      <c r="F2956" s="24"/>
      <c r="G2956" s="17"/>
      <c r="H2956" s="17"/>
      <c r="I2956" s="15"/>
      <c r="J2956" s="25">
        <f>IF($D2956="","",IFERROR(INDEX(PacNome,MATCH($D2956,PacCod,0)),"Paciente não cadastrado"))</f>
        <v>0</v>
      </c>
      <c r="K2956" s="26">
        <f>IF($D2956="","",IFERROR(INDEX(PacConv,MATCH($D2956,PacCod,0))&amp;"",""))</f>
        <v>0</v>
      </c>
      <c r="L2956" s="26">
        <f>IF($A2956="","",CHOOSE(WEEKDAY($A2956,2),"Seg","Ter","Qua","Qui","Sex","Sáb","Dom"))</f>
        <v>0</v>
      </c>
      <c r="M2956" s="27">
        <f>IF($E2956="","",IF($G2956&lt;&gt;"",$G2956,IFERROR(INDEX(ProcValor,MATCH($E2956,ProcNome,0)),0)))</f>
        <v>0</v>
      </c>
      <c r="N2956" s="27">
        <f>IF($M2956="","",IF($F2956="Compareceu",$M2956,0))</f>
        <v>0</v>
      </c>
      <c r="O2956" s="27">
        <f>IF($M2956="","",IF($F2956="Faltou",$M2956,0))</f>
        <v>0</v>
      </c>
      <c r="P2956" s="27">
        <f>IF($M2956="","",IF($F2956="Compareceu",MAX(0,$M2956-N($H2956)),0))</f>
        <v>0</v>
      </c>
      <c r="Q2956" s="19">
        <f>IF(AND($F2956="Compareceu",$E2956&lt;&gt;"",$A2956&lt;&gt;""),IF(IFERROR(INDEX(ProcRet,MATCH($E2956,ProcNome,0)),0)&gt;0,$A2956+INDEX(ProcRet,MATCH($E2956,ProcNome,0)),""),"")</f>
        <v>0</v>
      </c>
      <c r="R2956" s="26">
        <f>IF($Q2956="","",IF(COUNTIFS(AgPac,$D2956,AgData,"&gt;"&amp;$A2956,AgStatus,"&lt;&gt;Cancelado",AgStatus,"&lt;&gt;Remarcado")&gt;0,"Sim","Não"))</f>
        <v>0</v>
      </c>
      <c r="S2956" s="28">
        <f>IF($A2956="","",IF(AND($F2956="Agendado",$A2956-Hoje&gt;=0,$A2956-Hoje&lt;=DiasConf),"CONFIRMAR",IF(AND($A2956&lt;Hoje,OR($F2956="Agendado",$F2956="Confirmado")),"Atualizar status",IF(AND($F2956="Compareceu",$P2956&gt;0.005),"Cobrar",IF($F2956="Faltou","Falta: reagendar","")))))</f>
        <v>0</v>
      </c>
      <c r="T2956" s="29">
        <f>IF($A2956="","",DATE(YEAR($A2956),MONTH($A2956),1))</f>
        <v>0</v>
      </c>
      <c r="U2956" s="30">
        <f>IF($S2956="CONFIRMAR",MAX($U$4:$U2955)+1,"")</f>
        <v>0</v>
      </c>
      <c r="V2956" s="30">
        <f>IF(AND($R2956="Não",$Q2956&lt;&gt;"",$Q2956&lt;=Hoje+JanelaRet,$Q2956&gt;=Hoje-60),MAX($V$4:$V2955)+1,"")</f>
        <v>0</v>
      </c>
    </row>
    <row r="2957" spans="1:22">
      <c r="A2957" s="16"/>
      <c r="B2957" s="23"/>
      <c r="C2957" s="15"/>
      <c r="D2957" s="15"/>
      <c r="E2957" s="15"/>
      <c r="F2957" s="24"/>
      <c r="G2957" s="17"/>
      <c r="H2957" s="17"/>
      <c r="I2957" s="15"/>
      <c r="J2957" s="25">
        <f>IF($D2957="","",IFERROR(INDEX(PacNome,MATCH($D2957,PacCod,0)),"Paciente não cadastrado"))</f>
        <v>0</v>
      </c>
      <c r="K2957" s="26">
        <f>IF($D2957="","",IFERROR(INDEX(PacConv,MATCH($D2957,PacCod,0))&amp;"",""))</f>
        <v>0</v>
      </c>
      <c r="L2957" s="26">
        <f>IF($A2957="","",CHOOSE(WEEKDAY($A2957,2),"Seg","Ter","Qua","Qui","Sex","Sáb","Dom"))</f>
        <v>0</v>
      </c>
      <c r="M2957" s="27">
        <f>IF($E2957="","",IF($G2957&lt;&gt;"",$G2957,IFERROR(INDEX(ProcValor,MATCH($E2957,ProcNome,0)),0)))</f>
        <v>0</v>
      </c>
      <c r="N2957" s="27">
        <f>IF($M2957="","",IF($F2957="Compareceu",$M2957,0))</f>
        <v>0</v>
      </c>
      <c r="O2957" s="27">
        <f>IF($M2957="","",IF($F2957="Faltou",$M2957,0))</f>
        <v>0</v>
      </c>
      <c r="P2957" s="27">
        <f>IF($M2957="","",IF($F2957="Compareceu",MAX(0,$M2957-N($H2957)),0))</f>
        <v>0</v>
      </c>
      <c r="Q2957" s="19">
        <f>IF(AND($F2957="Compareceu",$E2957&lt;&gt;"",$A2957&lt;&gt;""),IF(IFERROR(INDEX(ProcRet,MATCH($E2957,ProcNome,0)),0)&gt;0,$A2957+INDEX(ProcRet,MATCH($E2957,ProcNome,0)),""),"")</f>
        <v>0</v>
      </c>
      <c r="R2957" s="26">
        <f>IF($Q2957="","",IF(COUNTIFS(AgPac,$D2957,AgData,"&gt;"&amp;$A2957,AgStatus,"&lt;&gt;Cancelado",AgStatus,"&lt;&gt;Remarcado")&gt;0,"Sim","Não"))</f>
        <v>0</v>
      </c>
      <c r="S2957" s="28">
        <f>IF($A2957="","",IF(AND($F2957="Agendado",$A2957-Hoje&gt;=0,$A2957-Hoje&lt;=DiasConf),"CONFIRMAR",IF(AND($A2957&lt;Hoje,OR($F2957="Agendado",$F2957="Confirmado")),"Atualizar status",IF(AND($F2957="Compareceu",$P2957&gt;0.005),"Cobrar",IF($F2957="Faltou","Falta: reagendar","")))))</f>
        <v>0</v>
      </c>
      <c r="T2957" s="29">
        <f>IF($A2957="","",DATE(YEAR($A2957),MONTH($A2957),1))</f>
        <v>0</v>
      </c>
      <c r="U2957" s="30">
        <f>IF($S2957="CONFIRMAR",MAX($U$4:$U2956)+1,"")</f>
        <v>0</v>
      </c>
      <c r="V2957" s="30">
        <f>IF(AND($R2957="Não",$Q2957&lt;&gt;"",$Q2957&lt;=Hoje+JanelaRet,$Q2957&gt;=Hoje-60),MAX($V$4:$V2956)+1,"")</f>
        <v>0</v>
      </c>
    </row>
    <row r="2958" spans="1:22">
      <c r="A2958" s="16"/>
      <c r="B2958" s="23"/>
      <c r="C2958" s="15"/>
      <c r="D2958" s="15"/>
      <c r="E2958" s="15"/>
      <c r="F2958" s="24"/>
      <c r="G2958" s="17"/>
      <c r="H2958" s="17"/>
      <c r="I2958" s="15"/>
      <c r="J2958" s="25">
        <f>IF($D2958="","",IFERROR(INDEX(PacNome,MATCH($D2958,PacCod,0)),"Paciente não cadastrado"))</f>
        <v>0</v>
      </c>
      <c r="K2958" s="26">
        <f>IF($D2958="","",IFERROR(INDEX(PacConv,MATCH($D2958,PacCod,0))&amp;"",""))</f>
        <v>0</v>
      </c>
      <c r="L2958" s="26">
        <f>IF($A2958="","",CHOOSE(WEEKDAY($A2958,2),"Seg","Ter","Qua","Qui","Sex","Sáb","Dom"))</f>
        <v>0</v>
      </c>
      <c r="M2958" s="27">
        <f>IF($E2958="","",IF($G2958&lt;&gt;"",$G2958,IFERROR(INDEX(ProcValor,MATCH($E2958,ProcNome,0)),0)))</f>
        <v>0</v>
      </c>
      <c r="N2958" s="27">
        <f>IF($M2958="","",IF($F2958="Compareceu",$M2958,0))</f>
        <v>0</v>
      </c>
      <c r="O2958" s="27">
        <f>IF($M2958="","",IF($F2958="Faltou",$M2958,0))</f>
        <v>0</v>
      </c>
      <c r="P2958" s="27">
        <f>IF($M2958="","",IF($F2958="Compareceu",MAX(0,$M2958-N($H2958)),0))</f>
        <v>0</v>
      </c>
      <c r="Q2958" s="19">
        <f>IF(AND($F2958="Compareceu",$E2958&lt;&gt;"",$A2958&lt;&gt;""),IF(IFERROR(INDEX(ProcRet,MATCH($E2958,ProcNome,0)),0)&gt;0,$A2958+INDEX(ProcRet,MATCH($E2958,ProcNome,0)),""),"")</f>
        <v>0</v>
      </c>
      <c r="R2958" s="26">
        <f>IF($Q2958="","",IF(COUNTIFS(AgPac,$D2958,AgData,"&gt;"&amp;$A2958,AgStatus,"&lt;&gt;Cancelado",AgStatus,"&lt;&gt;Remarcado")&gt;0,"Sim","Não"))</f>
        <v>0</v>
      </c>
      <c r="S2958" s="28">
        <f>IF($A2958="","",IF(AND($F2958="Agendado",$A2958-Hoje&gt;=0,$A2958-Hoje&lt;=DiasConf),"CONFIRMAR",IF(AND($A2958&lt;Hoje,OR($F2958="Agendado",$F2958="Confirmado")),"Atualizar status",IF(AND($F2958="Compareceu",$P2958&gt;0.005),"Cobrar",IF($F2958="Faltou","Falta: reagendar","")))))</f>
        <v>0</v>
      </c>
      <c r="T2958" s="29">
        <f>IF($A2958="","",DATE(YEAR($A2958),MONTH($A2958),1))</f>
        <v>0</v>
      </c>
      <c r="U2958" s="30">
        <f>IF($S2958="CONFIRMAR",MAX($U$4:$U2957)+1,"")</f>
        <v>0</v>
      </c>
      <c r="V2958" s="30">
        <f>IF(AND($R2958="Não",$Q2958&lt;&gt;"",$Q2958&lt;=Hoje+JanelaRet,$Q2958&gt;=Hoje-60),MAX($V$4:$V2957)+1,"")</f>
        <v>0</v>
      </c>
    </row>
    <row r="2959" spans="1:22">
      <c r="A2959" s="16"/>
      <c r="B2959" s="23"/>
      <c r="C2959" s="15"/>
      <c r="D2959" s="15"/>
      <c r="E2959" s="15"/>
      <c r="F2959" s="24"/>
      <c r="G2959" s="17"/>
      <c r="H2959" s="17"/>
      <c r="I2959" s="15"/>
      <c r="J2959" s="25">
        <f>IF($D2959="","",IFERROR(INDEX(PacNome,MATCH($D2959,PacCod,0)),"Paciente não cadastrado"))</f>
        <v>0</v>
      </c>
      <c r="K2959" s="26">
        <f>IF($D2959="","",IFERROR(INDEX(PacConv,MATCH($D2959,PacCod,0))&amp;"",""))</f>
        <v>0</v>
      </c>
      <c r="L2959" s="26">
        <f>IF($A2959="","",CHOOSE(WEEKDAY($A2959,2),"Seg","Ter","Qua","Qui","Sex","Sáb","Dom"))</f>
        <v>0</v>
      </c>
      <c r="M2959" s="27">
        <f>IF($E2959="","",IF($G2959&lt;&gt;"",$G2959,IFERROR(INDEX(ProcValor,MATCH($E2959,ProcNome,0)),0)))</f>
        <v>0</v>
      </c>
      <c r="N2959" s="27">
        <f>IF($M2959="","",IF($F2959="Compareceu",$M2959,0))</f>
        <v>0</v>
      </c>
      <c r="O2959" s="27">
        <f>IF($M2959="","",IF($F2959="Faltou",$M2959,0))</f>
        <v>0</v>
      </c>
      <c r="P2959" s="27">
        <f>IF($M2959="","",IF($F2959="Compareceu",MAX(0,$M2959-N($H2959)),0))</f>
        <v>0</v>
      </c>
      <c r="Q2959" s="19">
        <f>IF(AND($F2959="Compareceu",$E2959&lt;&gt;"",$A2959&lt;&gt;""),IF(IFERROR(INDEX(ProcRet,MATCH($E2959,ProcNome,0)),0)&gt;0,$A2959+INDEX(ProcRet,MATCH($E2959,ProcNome,0)),""),"")</f>
        <v>0</v>
      </c>
      <c r="R2959" s="26">
        <f>IF($Q2959="","",IF(COUNTIFS(AgPac,$D2959,AgData,"&gt;"&amp;$A2959,AgStatus,"&lt;&gt;Cancelado",AgStatus,"&lt;&gt;Remarcado")&gt;0,"Sim","Não"))</f>
        <v>0</v>
      </c>
      <c r="S2959" s="28">
        <f>IF($A2959="","",IF(AND($F2959="Agendado",$A2959-Hoje&gt;=0,$A2959-Hoje&lt;=DiasConf),"CONFIRMAR",IF(AND($A2959&lt;Hoje,OR($F2959="Agendado",$F2959="Confirmado")),"Atualizar status",IF(AND($F2959="Compareceu",$P2959&gt;0.005),"Cobrar",IF($F2959="Faltou","Falta: reagendar","")))))</f>
        <v>0</v>
      </c>
      <c r="T2959" s="29">
        <f>IF($A2959="","",DATE(YEAR($A2959),MONTH($A2959),1))</f>
        <v>0</v>
      </c>
      <c r="U2959" s="30">
        <f>IF($S2959="CONFIRMAR",MAX($U$4:$U2958)+1,"")</f>
        <v>0</v>
      </c>
      <c r="V2959" s="30">
        <f>IF(AND($R2959="Não",$Q2959&lt;&gt;"",$Q2959&lt;=Hoje+JanelaRet,$Q2959&gt;=Hoje-60),MAX($V$4:$V2958)+1,"")</f>
        <v>0</v>
      </c>
    </row>
    <row r="2960" spans="1:22">
      <c r="A2960" s="16"/>
      <c r="B2960" s="23"/>
      <c r="C2960" s="15"/>
      <c r="D2960" s="15"/>
      <c r="E2960" s="15"/>
      <c r="F2960" s="24"/>
      <c r="G2960" s="17"/>
      <c r="H2960" s="17"/>
      <c r="I2960" s="15"/>
      <c r="J2960" s="25">
        <f>IF($D2960="","",IFERROR(INDEX(PacNome,MATCH($D2960,PacCod,0)),"Paciente não cadastrado"))</f>
        <v>0</v>
      </c>
      <c r="K2960" s="26">
        <f>IF($D2960="","",IFERROR(INDEX(PacConv,MATCH($D2960,PacCod,0))&amp;"",""))</f>
        <v>0</v>
      </c>
      <c r="L2960" s="26">
        <f>IF($A2960="","",CHOOSE(WEEKDAY($A2960,2),"Seg","Ter","Qua","Qui","Sex","Sáb","Dom"))</f>
        <v>0</v>
      </c>
      <c r="M2960" s="27">
        <f>IF($E2960="","",IF($G2960&lt;&gt;"",$G2960,IFERROR(INDEX(ProcValor,MATCH($E2960,ProcNome,0)),0)))</f>
        <v>0</v>
      </c>
      <c r="N2960" s="27">
        <f>IF($M2960="","",IF($F2960="Compareceu",$M2960,0))</f>
        <v>0</v>
      </c>
      <c r="O2960" s="27">
        <f>IF($M2960="","",IF($F2960="Faltou",$M2960,0))</f>
        <v>0</v>
      </c>
      <c r="P2960" s="27">
        <f>IF($M2960="","",IF($F2960="Compareceu",MAX(0,$M2960-N($H2960)),0))</f>
        <v>0</v>
      </c>
      <c r="Q2960" s="19">
        <f>IF(AND($F2960="Compareceu",$E2960&lt;&gt;"",$A2960&lt;&gt;""),IF(IFERROR(INDEX(ProcRet,MATCH($E2960,ProcNome,0)),0)&gt;0,$A2960+INDEX(ProcRet,MATCH($E2960,ProcNome,0)),""),"")</f>
        <v>0</v>
      </c>
      <c r="R2960" s="26">
        <f>IF($Q2960="","",IF(COUNTIFS(AgPac,$D2960,AgData,"&gt;"&amp;$A2960,AgStatus,"&lt;&gt;Cancelado",AgStatus,"&lt;&gt;Remarcado")&gt;0,"Sim","Não"))</f>
        <v>0</v>
      </c>
      <c r="S2960" s="28">
        <f>IF($A2960="","",IF(AND($F2960="Agendado",$A2960-Hoje&gt;=0,$A2960-Hoje&lt;=DiasConf),"CONFIRMAR",IF(AND($A2960&lt;Hoje,OR($F2960="Agendado",$F2960="Confirmado")),"Atualizar status",IF(AND($F2960="Compareceu",$P2960&gt;0.005),"Cobrar",IF($F2960="Faltou","Falta: reagendar","")))))</f>
        <v>0</v>
      </c>
      <c r="T2960" s="29">
        <f>IF($A2960="","",DATE(YEAR($A2960),MONTH($A2960),1))</f>
        <v>0</v>
      </c>
      <c r="U2960" s="30">
        <f>IF($S2960="CONFIRMAR",MAX($U$4:$U2959)+1,"")</f>
        <v>0</v>
      </c>
      <c r="V2960" s="30">
        <f>IF(AND($R2960="Não",$Q2960&lt;&gt;"",$Q2960&lt;=Hoje+JanelaRet,$Q2960&gt;=Hoje-60),MAX($V$4:$V2959)+1,"")</f>
        <v>0</v>
      </c>
    </row>
    <row r="2961" spans="1:22">
      <c r="A2961" s="16"/>
      <c r="B2961" s="23"/>
      <c r="C2961" s="15"/>
      <c r="D2961" s="15"/>
      <c r="E2961" s="15"/>
      <c r="F2961" s="24"/>
      <c r="G2961" s="17"/>
      <c r="H2961" s="17"/>
      <c r="I2961" s="15"/>
      <c r="J2961" s="25">
        <f>IF($D2961="","",IFERROR(INDEX(PacNome,MATCH($D2961,PacCod,0)),"Paciente não cadastrado"))</f>
        <v>0</v>
      </c>
      <c r="K2961" s="26">
        <f>IF($D2961="","",IFERROR(INDEX(PacConv,MATCH($D2961,PacCod,0))&amp;"",""))</f>
        <v>0</v>
      </c>
      <c r="L2961" s="26">
        <f>IF($A2961="","",CHOOSE(WEEKDAY($A2961,2),"Seg","Ter","Qua","Qui","Sex","Sáb","Dom"))</f>
        <v>0</v>
      </c>
      <c r="M2961" s="27">
        <f>IF($E2961="","",IF($G2961&lt;&gt;"",$G2961,IFERROR(INDEX(ProcValor,MATCH($E2961,ProcNome,0)),0)))</f>
        <v>0</v>
      </c>
      <c r="N2961" s="27">
        <f>IF($M2961="","",IF($F2961="Compareceu",$M2961,0))</f>
        <v>0</v>
      </c>
      <c r="O2961" s="27">
        <f>IF($M2961="","",IF($F2961="Faltou",$M2961,0))</f>
        <v>0</v>
      </c>
      <c r="P2961" s="27">
        <f>IF($M2961="","",IF($F2961="Compareceu",MAX(0,$M2961-N($H2961)),0))</f>
        <v>0</v>
      </c>
      <c r="Q2961" s="19">
        <f>IF(AND($F2961="Compareceu",$E2961&lt;&gt;"",$A2961&lt;&gt;""),IF(IFERROR(INDEX(ProcRet,MATCH($E2961,ProcNome,0)),0)&gt;0,$A2961+INDEX(ProcRet,MATCH($E2961,ProcNome,0)),""),"")</f>
        <v>0</v>
      </c>
      <c r="R2961" s="26">
        <f>IF($Q2961="","",IF(COUNTIFS(AgPac,$D2961,AgData,"&gt;"&amp;$A2961,AgStatus,"&lt;&gt;Cancelado",AgStatus,"&lt;&gt;Remarcado")&gt;0,"Sim","Não"))</f>
        <v>0</v>
      </c>
      <c r="S2961" s="28">
        <f>IF($A2961="","",IF(AND($F2961="Agendado",$A2961-Hoje&gt;=0,$A2961-Hoje&lt;=DiasConf),"CONFIRMAR",IF(AND($A2961&lt;Hoje,OR($F2961="Agendado",$F2961="Confirmado")),"Atualizar status",IF(AND($F2961="Compareceu",$P2961&gt;0.005),"Cobrar",IF($F2961="Faltou","Falta: reagendar","")))))</f>
        <v>0</v>
      </c>
      <c r="T2961" s="29">
        <f>IF($A2961="","",DATE(YEAR($A2961),MONTH($A2961),1))</f>
        <v>0</v>
      </c>
      <c r="U2961" s="30">
        <f>IF($S2961="CONFIRMAR",MAX($U$4:$U2960)+1,"")</f>
        <v>0</v>
      </c>
      <c r="V2961" s="30">
        <f>IF(AND($R2961="Não",$Q2961&lt;&gt;"",$Q2961&lt;=Hoje+JanelaRet,$Q2961&gt;=Hoje-60),MAX($V$4:$V2960)+1,"")</f>
        <v>0</v>
      </c>
    </row>
    <row r="2962" spans="1:22">
      <c r="A2962" s="16"/>
      <c r="B2962" s="23"/>
      <c r="C2962" s="15"/>
      <c r="D2962" s="15"/>
      <c r="E2962" s="15"/>
      <c r="F2962" s="24"/>
      <c r="G2962" s="17"/>
      <c r="H2962" s="17"/>
      <c r="I2962" s="15"/>
      <c r="J2962" s="25">
        <f>IF($D2962="","",IFERROR(INDEX(PacNome,MATCH($D2962,PacCod,0)),"Paciente não cadastrado"))</f>
        <v>0</v>
      </c>
      <c r="K2962" s="26">
        <f>IF($D2962="","",IFERROR(INDEX(PacConv,MATCH($D2962,PacCod,0))&amp;"",""))</f>
        <v>0</v>
      </c>
      <c r="L2962" s="26">
        <f>IF($A2962="","",CHOOSE(WEEKDAY($A2962,2),"Seg","Ter","Qua","Qui","Sex","Sáb","Dom"))</f>
        <v>0</v>
      </c>
      <c r="M2962" s="27">
        <f>IF($E2962="","",IF($G2962&lt;&gt;"",$G2962,IFERROR(INDEX(ProcValor,MATCH($E2962,ProcNome,0)),0)))</f>
        <v>0</v>
      </c>
      <c r="N2962" s="27">
        <f>IF($M2962="","",IF($F2962="Compareceu",$M2962,0))</f>
        <v>0</v>
      </c>
      <c r="O2962" s="27">
        <f>IF($M2962="","",IF($F2962="Faltou",$M2962,0))</f>
        <v>0</v>
      </c>
      <c r="P2962" s="27">
        <f>IF($M2962="","",IF($F2962="Compareceu",MAX(0,$M2962-N($H2962)),0))</f>
        <v>0</v>
      </c>
      <c r="Q2962" s="19">
        <f>IF(AND($F2962="Compareceu",$E2962&lt;&gt;"",$A2962&lt;&gt;""),IF(IFERROR(INDEX(ProcRet,MATCH($E2962,ProcNome,0)),0)&gt;0,$A2962+INDEX(ProcRet,MATCH($E2962,ProcNome,0)),""),"")</f>
        <v>0</v>
      </c>
      <c r="R2962" s="26">
        <f>IF($Q2962="","",IF(COUNTIFS(AgPac,$D2962,AgData,"&gt;"&amp;$A2962,AgStatus,"&lt;&gt;Cancelado",AgStatus,"&lt;&gt;Remarcado")&gt;0,"Sim","Não"))</f>
        <v>0</v>
      </c>
      <c r="S2962" s="28">
        <f>IF($A2962="","",IF(AND($F2962="Agendado",$A2962-Hoje&gt;=0,$A2962-Hoje&lt;=DiasConf),"CONFIRMAR",IF(AND($A2962&lt;Hoje,OR($F2962="Agendado",$F2962="Confirmado")),"Atualizar status",IF(AND($F2962="Compareceu",$P2962&gt;0.005),"Cobrar",IF($F2962="Faltou","Falta: reagendar","")))))</f>
        <v>0</v>
      </c>
      <c r="T2962" s="29">
        <f>IF($A2962="","",DATE(YEAR($A2962),MONTH($A2962),1))</f>
        <v>0</v>
      </c>
      <c r="U2962" s="30">
        <f>IF($S2962="CONFIRMAR",MAX($U$4:$U2961)+1,"")</f>
        <v>0</v>
      </c>
      <c r="V2962" s="30">
        <f>IF(AND($R2962="Não",$Q2962&lt;&gt;"",$Q2962&lt;=Hoje+JanelaRet,$Q2962&gt;=Hoje-60),MAX($V$4:$V2961)+1,"")</f>
        <v>0</v>
      </c>
    </row>
    <row r="2963" spans="1:22">
      <c r="A2963" s="16"/>
      <c r="B2963" s="23"/>
      <c r="C2963" s="15"/>
      <c r="D2963" s="15"/>
      <c r="E2963" s="15"/>
      <c r="F2963" s="24"/>
      <c r="G2963" s="17"/>
      <c r="H2963" s="17"/>
      <c r="I2963" s="15"/>
      <c r="J2963" s="25">
        <f>IF($D2963="","",IFERROR(INDEX(PacNome,MATCH($D2963,PacCod,0)),"Paciente não cadastrado"))</f>
        <v>0</v>
      </c>
      <c r="K2963" s="26">
        <f>IF($D2963="","",IFERROR(INDEX(PacConv,MATCH($D2963,PacCod,0))&amp;"",""))</f>
        <v>0</v>
      </c>
      <c r="L2963" s="26">
        <f>IF($A2963="","",CHOOSE(WEEKDAY($A2963,2),"Seg","Ter","Qua","Qui","Sex","Sáb","Dom"))</f>
        <v>0</v>
      </c>
      <c r="M2963" s="27">
        <f>IF($E2963="","",IF($G2963&lt;&gt;"",$G2963,IFERROR(INDEX(ProcValor,MATCH($E2963,ProcNome,0)),0)))</f>
        <v>0</v>
      </c>
      <c r="N2963" s="27">
        <f>IF($M2963="","",IF($F2963="Compareceu",$M2963,0))</f>
        <v>0</v>
      </c>
      <c r="O2963" s="27">
        <f>IF($M2963="","",IF($F2963="Faltou",$M2963,0))</f>
        <v>0</v>
      </c>
      <c r="P2963" s="27">
        <f>IF($M2963="","",IF($F2963="Compareceu",MAX(0,$M2963-N($H2963)),0))</f>
        <v>0</v>
      </c>
      <c r="Q2963" s="19">
        <f>IF(AND($F2963="Compareceu",$E2963&lt;&gt;"",$A2963&lt;&gt;""),IF(IFERROR(INDEX(ProcRet,MATCH($E2963,ProcNome,0)),0)&gt;0,$A2963+INDEX(ProcRet,MATCH($E2963,ProcNome,0)),""),"")</f>
        <v>0</v>
      </c>
      <c r="R2963" s="26">
        <f>IF($Q2963="","",IF(COUNTIFS(AgPac,$D2963,AgData,"&gt;"&amp;$A2963,AgStatus,"&lt;&gt;Cancelado",AgStatus,"&lt;&gt;Remarcado")&gt;0,"Sim","Não"))</f>
        <v>0</v>
      </c>
      <c r="S2963" s="28">
        <f>IF($A2963="","",IF(AND($F2963="Agendado",$A2963-Hoje&gt;=0,$A2963-Hoje&lt;=DiasConf),"CONFIRMAR",IF(AND($A2963&lt;Hoje,OR($F2963="Agendado",$F2963="Confirmado")),"Atualizar status",IF(AND($F2963="Compareceu",$P2963&gt;0.005),"Cobrar",IF($F2963="Faltou","Falta: reagendar","")))))</f>
        <v>0</v>
      </c>
      <c r="T2963" s="29">
        <f>IF($A2963="","",DATE(YEAR($A2963),MONTH($A2963),1))</f>
        <v>0</v>
      </c>
      <c r="U2963" s="30">
        <f>IF($S2963="CONFIRMAR",MAX($U$4:$U2962)+1,"")</f>
        <v>0</v>
      </c>
      <c r="V2963" s="30">
        <f>IF(AND($R2963="Não",$Q2963&lt;&gt;"",$Q2963&lt;=Hoje+JanelaRet,$Q2963&gt;=Hoje-60),MAX($V$4:$V2962)+1,"")</f>
        <v>0</v>
      </c>
    </row>
    <row r="2964" spans="1:22">
      <c r="A2964" s="16"/>
      <c r="B2964" s="23"/>
      <c r="C2964" s="15"/>
      <c r="D2964" s="15"/>
      <c r="E2964" s="15"/>
      <c r="F2964" s="24"/>
      <c r="G2964" s="17"/>
      <c r="H2964" s="17"/>
      <c r="I2964" s="15"/>
      <c r="J2964" s="25">
        <f>IF($D2964="","",IFERROR(INDEX(PacNome,MATCH($D2964,PacCod,0)),"Paciente não cadastrado"))</f>
        <v>0</v>
      </c>
      <c r="K2964" s="26">
        <f>IF($D2964="","",IFERROR(INDEX(PacConv,MATCH($D2964,PacCod,0))&amp;"",""))</f>
        <v>0</v>
      </c>
      <c r="L2964" s="26">
        <f>IF($A2964="","",CHOOSE(WEEKDAY($A2964,2),"Seg","Ter","Qua","Qui","Sex","Sáb","Dom"))</f>
        <v>0</v>
      </c>
      <c r="M2964" s="27">
        <f>IF($E2964="","",IF($G2964&lt;&gt;"",$G2964,IFERROR(INDEX(ProcValor,MATCH($E2964,ProcNome,0)),0)))</f>
        <v>0</v>
      </c>
      <c r="N2964" s="27">
        <f>IF($M2964="","",IF($F2964="Compareceu",$M2964,0))</f>
        <v>0</v>
      </c>
      <c r="O2964" s="27">
        <f>IF($M2964="","",IF($F2964="Faltou",$M2964,0))</f>
        <v>0</v>
      </c>
      <c r="P2964" s="27">
        <f>IF($M2964="","",IF($F2964="Compareceu",MAX(0,$M2964-N($H2964)),0))</f>
        <v>0</v>
      </c>
      <c r="Q2964" s="19">
        <f>IF(AND($F2964="Compareceu",$E2964&lt;&gt;"",$A2964&lt;&gt;""),IF(IFERROR(INDEX(ProcRet,MATCH($E2964,ProcNome,0)),0)&gt;0,$A2964+INDEX(ProcRet,MATCH($E2964,ProcNome,0)),""),"")</f>
        <v>0</v>
      </c>
      <c r="R2964" s="26">
        <f>IF($Q2964="","",IF(COUNTIFS(AgPac,$D2964,AgData,"&gt;"&amp;$A2964,AgStatus,"&lt;&gt;Cancelado",AgStatus,"&lt;&gt;Remarcado")&gt;0,"Sim","Não"))</f>
        <v>0</v>
      </c>
      <c r="S2964" s="28">
        <f>IF($A2964="","",IF(AND($F2964="Agendado",$A2964-Hoje&gt;=0,$A2964-Hoje&lt;=DiasConf),"CONFIRMAR",IF(AND($A2964&lt;Hoje,OR($F2964="Agendado",$F2964="Confirmado")),"Atualizar status",IF(AND($F2964="Compareceu",$P2964&gt;0.005),"Cobrar",IF($F2964="Faltou","Falta: reagendar","")))))</f>
        <v>0</v>
      </c>
      <c r="T2964" s="29">
        <f>IF($A2964="","",DATE(YEAR($A2964),MONTH($A2964),1))</f>
        <v>0</v>
      </c>
      <c r="U2964" s="30">
        <f>IF($S2964="CONFIRMAR",MAX($U$4:$U2963)+1,"")</f>
        <v>0</v>
      </c>
      <c r="V2964" s="30">
        <f>IF(AND($R2964="Não",$Q2964&lt;&gt;"",$Q2964&lt;=Hoje+JanelaRet,$Q2964&gt;=Hoje-60),MAX($V$4:$V2963)+1,"")</f>
        <v>0</v>
      </c>
    </row>
    <row r="2965" spans="1:22">
      <c r="A2965" s="16"/>
      <c r="B2965" s="23"/>
      <c r="C2965" s="15"/>
      <c r="D2965" s="15"/>
      <c r="E2965" s="15"/>
      <c r="F2965" s="24"/>
      <c r="G2965" s="17"/>
      <c r="H2965" s="17"/>
      <c r="I2965" s="15"/>
      <c r="J2965" s="25">
        <f>IF($D2965="","",IFERROR(INDEX(PacNome,MATCH($D2965,PacCod,0)),"Paciente não cadastrado"))</f>
        <v>0</v>
      </c>
      <c r="K2965" s="26">
        <f>IF($D2965="","",IFERROR(INDEX(PacConv,MATCH($D2965,PacCod,0))&amp;"",""))</f>
        <v>0</v>
      </c>
      <c r="L2965" s="26">
        <f>IF($A2965="","",CHOOSE(WEEKDAY($A2965,2),"Seg","Ter","Qua","Qui","Sex","Sáb","Dom"))</f>
        <v>0</v>
      </c>
      <c r="M2965" s="27">
        <f>IF($E2965="","",IF($G2965&lt;&gt;"",$G2965,IFERROR(INDEX(ProcValor,MATCH($E2965,ProcNome,0)),0)))</f>
        <v>0</v>
      </c>
      <c r="N2965" s="27">
        <f>IF($M2965="","",IF($F2965="Compareceu",$M2965,0))</f>
        <v>0</v>
      </c>
      <c r="O2965" s="27">
        <f>IF($M2965="","",IF($F2965="Faltou",$M2965,0))</f>
        <v>0</v>
      </c>
      <c r="P2965" s="27">
        <f>IF($M2965="","",IF($F2965="Compareceu",MAX(0,$M2965-N($H2965)),0))</f>
        <v>0</v>
      </c>
      <c r="Q2965" s="19">
        <f>IF(AND($F2965="Compareceu",$E2965&lt;&gt;"",$A2965&lt;&gt;""),IF(IFERROR(INDEX(ProcRet,MATCH($E2965,ProcNome,0)),0)&gt;0,$A2965+INDEX(ProcRet,MATCH($E2965,ProcNome,0)),""),"")</f>
        <v>0</v>
      </c>
      <c r="R2965" s="26">
        <f>IF($Q2965="","",IF(COUNTIFS(AgPac,$D2965,AgData,"&gt;"&amp;$A2965,AgStatus,"&lt;&gt;Cancelado",AgStatus,"&lt;&gt;Remarcado")&gt;0,"Sim","Não"))</f>
        <v>0</v>
      </c>
      <c r="S2965" s="28">
        <f>IF($A2965="","",IF(AND($F2965="Agendado",$A2965-Hoje&gt;=0,$A2965-Hoje&lt;=DiasConf),"CONFIRMAR",IF(AND($A2965&lt;Hoje,OR($F2965="Agendado",$F2965="Confirmado")),"Atualizar status",IF(AND($F2965="Compareceu",$P2965&gt;0.005),"Cobrar",IF($F2965="Faltou","Falta: reagendar","")))))</f>
        <v>0</v>
      </c>
      <c r="T2965" s="29">
        <f>IF($A2965="","",DATE(YEAR($A2965),MONTH($A2965),1))</f>
        <v>0</v>
      </c>
      <c r="U2965" s="30">
        <f>IF($S2965="CONFIRMAR",MAX($U$4:$U2964)+1,"")</f>
        <v>0</v>
      </c>
      <c r="V2965" s="30">
        <f>IF(AND($R2965="Não",$Q2965&lt;&gt;"",$Q2965&lt;=Hoje+JanelaRet,$Q2965&gt;=Hoje-60),MAX($V$4:$V2964)+1,"")</f>
        <v>0</v>
      </c>
    </row>
    <row r="2966" spans="1:22">
      <c r="A2966" s="16"/>
      <c r="B2966" s="23"/>
      <c r="C2966" s="15"/>
      <c r="D2966" s="15"/>
      <c r="E2966" s="15"/>
      <c r="F2966" s="24"/>
      <c r="G2966" s="17"/>
      <c r="H2966" s="17"/>
      <c r="I2966" s="15"/>
      <c r="J2966" s="25">
        <f>IF($D2966="","",IFERROR(INDEX(PacNome,MATCH($D2966,PacCod,0)),"Paciente não cadastrado"))</f>
        <v>0</v>
      </c>
      <c r="K2966" s="26">
        <f>IF($D2966="","",IFERROR(INDEX(PacConv,MATCH($D2966,PacCod,0))&amp;"",""))</f>
        <v>0</v>
      </c>
      <c r="L2966" s="26">
        <f>IF($A2966="","",CHOOSE(WEEKDAY($A2966,2),"Seg","Ter","Qua","Qui","Sex","Sáb","Dom"))</f>
        <v>0</v>
      </c>
      <c r="M2966" s="27">
        <f>IF($E2966="","",IF($G2966&lt;&gt;"",$G2966,IFERROR(INDEX(ProcValor,MATCH($E2966,ProcNome,0)),0)))</f>
        <v>0</v>
      </c>
      <c r="N2966" s="27">
        <f>IF($M2966="","",IF($F2966="Compareceu",$M2966,0))</f>
        <v>0</v>
      </c>
      <c r="O2966" s="27">
        <f>IF($M2966="","",IF($F2966="Faltou",$M2966,0))</f>
        <v>0</v>
      </c>
      <c r="P2966" s="27">
        <f>IF($M2966="","",IF($F2966="Compareceu",MAX(0,$M2966-N($H2966)),0))</f>
        <v>0</v>
      </c>
      <c r="Q2966" s="19">
        <f>IF(AND($F2966="Compareceu",$E2966&lt;&gt;"",$A2966&lt;&gt;""),IF(IFERROR(INDEX(ProcRet,MATCH($E2966,ProcNome,0)),0)&gt;0,$A2966+INDEX(ProcRet,MATCH($E2966,ProcNome,0)),""),"")</f>
        <v>0</v>
      </c>
      <c r="R2966" s="26">
        <f>IF($Q2966="","",IF(COUNTIFS(AgPac,$D2966,AgData,"&gt;"&amp;$A2966,AgStatus,"&lt;&gt;Cancelado",AgStatus,"&lt;&gt;Remarcado")&gt;0,"Sim","Não"))</f>
        <v>0</v>
      </c>
      <c r="S2966" s="28">
        <f>IF($A2966="","",IF(AND($F2966="Agendado",$A2966-Hoje&gt;=0,$A2966-Hoje&lt;=DiasConf),"CONFIRMAR",IF(AND($A2966&lt;Hoje,OR($F2966="Agendado",$F2966="Confirmado")),"Atualizar status",IF(AND($F2966="Compareceu",$P2966&gt;0.005),"Cobrar",IF($F2966="Faltou","Falta: reagendar","")))))</f>
        <v>0</v>
      </c>
      <c r="T2966" s="29">
        <f>IF($A2966="","",DATE(YEAR($A2966),MONTH($A2966),1))</f>
        <v>0</v>
      </c>
      <c r="U2966" s="30">
        <f>IF($S2966="CONFIRMAR",MAX($U$4:$U2965)+1,"")</f>
        <v>0</v>
      </c>
      <c r="V2966" s="30">
        <f>IF(AND($R2966="Não",$Q2966&lt;&gt;"",$Q2966&lt;=Hoje+JanelaRet,$Q2966&gt;=Hoje-60),MAX($V$4:$V2965)+1,"")</f>
        <v>0</v>
      </c>
    </row>
    <row r="2967" spans="1:22">
      <c r="A2967" s="16"/>
      <c r="B2967" s="23"/>
      <c r="C2967" s="15"/>
      <c r="D2967" s="15"/>
      <c r="E2967" s="15"/>
      <c r="F2967" s="24"/>
      <c r="G2967" s="17"/>
      <c r="H2967" s="17"/>
      <c r="I2967" s="15"/>
      <c r="J2967" s="25">
        <f>IF($D2967="","",IFERROR(INDEX(PacNome,MATCH($D2967,PacCod,0)),"Paciente não cadastrado"))</f>
        <v>0</v>
      </c>
      <c r="K2967" s="26">
        <f>IF($D2967="","",IFERROR(INDEX(PacConv,MATCH($D2967,PacCod,0))&amp;"",""))</f>
        <v>0</v>
      </c>
      <c r="L2967" s="26">
        <f>IF($A2967="","",CHOOSE(WEEKDAY($A2967,2),"Seg","Ter","Qua","Qui","Sex","Sáb","Dom"))</f>
        <v>0</v>
      </c>
      <c r="M2967" s="27">
        <f>IF($E2967="","",IF($G2967&lt;&gt;"",$G2967,IFERROR(INDEX(ProcValor,MATCH($E2967,ProcNome,0)),0)))</f>
        <v>0</v>
      </c>
      <c r="N2967" s="27">
        <f>IF($M2967="","",IF($F2967="Compareceu",$M2967,0))</f>
        <v>0</v>
      </c>
      <c r="O2967" s="27">
        <f>IF($M2967="","",IF($F2967="Faltou",$M2967,0))</f>
        <v>0</v>
      </c>
      <c r="P2967" s="27">
        <f>IF($M2967="","",IF($F2967="Compareceu",MAX(0,$M2967-N($H2967)),0))</f>
        <v>0</v>
      </c>
      <c r="Q2967" s="19">
        <f>IF(AND($F2967="Compareceu",$E2967&lt;&gt;"",$A2967&lt;&gt;""),IF(IFERROR(INDEX(ProcRet,MATCH($E2967,ProcNome,0)),0)&gt;0,$A2967+INDEX(ProcRet,MATCH($E2967,ProcNome,0)),""),"")</f>
        <v>0</v>
      </c>
      <c r="R2967" s="26">
        <f>IF($Q2967="","",IF(COUNTIFS(AgPac,$D2967,AgData,"&gt;"&amp;$A2967,AgStatus,"&lt;&gt;Cancelado",AgStatus,"&lt;&gt;Remarcado")&gt;0,"Sim","Não"))</f>
        <v>0</v>
      </c>
      <c r="S2967" s="28">
        <f>IF($A2967="","",IF(AND($F2967="Agendado",$A2967-Hoje&gt;=0,$A2967-Hoje&lt;=DiasConf),"CONFIRMAR",IF(AND($A2967&lt;Hoje,OR($F2967="Agendado",$F2967="Confirmado")),"Atualizar status",IF(AND($F2967="Compareceu",$P2967&gt;0.005),"Cobrar",IF($F2967="Faltou","Falta: reagendar","")))))</f>
        <v>0</v>
      </c>
      <c r="T2967" s="29">
        <f>IF($A2967="","",DATE(YEAR($A2967),MONTH($A2967),1))</f>
        <v>0</v>
      </c>
      <c r="U2967" s="30">
        <f>IF($S2967="CONFIRMAR",MAX($U$4:$U2966)+1,"")</f>
        <v>0</v>
      </c>
      <c r="V2967" s="30">
        <f>IF(AND($R2967="Não",$Q2967&lt;&gt;"",$Q2967&lt;=Hoje+JanelaRet,$Q2967&gt;=Hoje-60),MAX($V$4:$V2966)+1,"")</f>
        <v>0</v>
      </c>
    </row>
    <row r="2968" spans="1:22">
      <c r="A2968" s="16"/>
      <c r="B2968" s="23"/>
      <c r="C2968" s="15"/>
      <c r="D2968" s="15"/>
      <c r="E2968" s="15"/>
      <c r="F2968" s="24"/>
      <c r="G2968" s="17"/>
      <c r="H2968" s="17"/>
      <c r="I2968" s="15"/>
      <c r="J2968" s="25">
        <f>IF($D2968="","",IFERROR(INDEX(PacNome,MATCH($D2968,PacCod,0)),"Paciente não cadastrado"))</f>
        <v>0</v>
      </c>
      <c r="K2968" s="26">
        <f>IF($D2968="","",IFERROR(INDEX(PacConv,MATCH($D2968,PacCod,0))&amp;"",""))</f>
        <v>0</v>
      </c>
      <c r="L2968" s="26">
        <f>IF($A2968="","",CHOOSE(WEEKDAY($A2968,2),"Seg","Ter","Qua","Qui","Sex","Sáb","Dom"))</f>
        <v>0</v>
      </c>
      <c r="M2968" s="27">
        <f>IF($E2968="","",IF($G2968&lt;&gt;"",$G2968,IFERROR(INDEX(ProcValor,MATCH($E2968,ProcNome,0)),0)))</f>
        <v>0</v>
      </c>
      <c r="N2968" s="27">
        <f>IF($M2968="","",IF($F2968="Compareceu",$M2968,0))</f>
        <v>0</v>
      </c>
      <c r="O2968" s="27">
        <f>IF($M2968="","",IF($F2968="Faltou",$M2968,0))</f>
        <v>0</v>
      </c>
      <c r="P2968" s="27">
        <f>IF($M2968="","",IF($F2968="Compareceu",MAX(0,$M2968-N($H2968)),0))</f>
        <v>0</v>
      </c>
      <c r="Q2968" s="19">
        <f>IF(AND($F2968="Compareceu",$E2968&lt;&gt;"",$A2968&lt;&gt;""),IF(IFERROR(INDEX(ProcRet,MATCH($E2968,ProcNome,0)),0)&gt;0,$A2968+INDEX(ProcRet,MATCH($E2968,ProcNome,0)),""),"")</f>
        <v>0</v>
      </c>
      <c r="R2968" s="26">
        <f>IF($Q2968="","",IF(COUNTIFS(AgPac,$D2968,AgData,"&gt;"&amp;$A2968,AgStatus,"&lt;&gt;Cancelado",AgStatus,"&lt;&gt;Remarcado")&gt;0,"Sim","Não"))</f>
        <v>0</v>
      </c>
      <c r="S2968" s="28">
        <f>IF($A2968="","",IF(AND($F2968="Agendado",$A2968-Hoje&gt;=0,$A2968-Hoje&lt;=DiasConf),"CONFIRMAR",IF(AND($A2968&lt;Hoje,OR($F2968="Agendado",$F2968="Confirmado")),"Atualizar status",IF(AND($F2968="Compareceu",$P2968&gt;0.005),"Cobrar",IF($F2968="Faltou","Falta: reagendar","")))))</f>
        <v>0</v>
      </c>
      <c r="T2968" s="29">
        <f>IF($A2968="","",DATE(YEAR($A2968),MONTH($A2968),1))</f>
        <v>0</v>
      </c>
      <c r="U2968" s="30">
        <f>IF($S2968="CONFIRMAR",MAX($U$4:$U2967)+1,"")</f>
        <v>0</v>
      </c>
      <c r="V2968" s="30">
        <f>IF(AND($R2968="Não",$Q2968&lt;&gt;"",$Q2968&lt;=Hoje+JanelaRet,$Q2968&gt;=Hoje-60),MAX($V$4:$V2967)+1,"")</f>
        <v>0</v>
      </c>
    </row>
    <row r="2969" spans="1:22">
      <c r="A2969" s="16"/>
      <c r="B2969" s="23"/>
      <c r="C2969" s="15"/>
      <c r="D2969" s="15"/>
      <c r="E2969" s="15"/>
      <c r="F2969" s="24"/>
      <c r="G2969" s="17"/>
      <c r="H2969" s="17"/>
      <c r="I2969" s="15"/>
      <c r="J2969" s="25">
        <f>IF($D2969="","",IFERROR(INDEX(PacNome,MATCH($D2969,PacCod,0)),"Paciente não cadastrado"))</f>
        <v>0</v>
      </c>
      <c r="K2969" s="26">
        <f>IF($D2969="","",IFERROR(INDEX(PacConv,MATCH($D2969,PacCod,0))&amp;"",""))</f>
        <v>0</v>
      </c>
      <c r="L2969" s="26">
        <f>IF($A2969="","",CHOOSE(WEEKDAY($A2969,2),"Seg","Ter","Qua","Qui","Sex","Sáb","Dom"))</f>
        <v>0</v>
      </c>
      <c r="M2969" s="27">
        <f>IF($E2969="","",IF($G2969&lt;&gt;"",$G2969,IFERROR(INDEX(ProcValor,MATCH($E2969,ProcNome,0)),0)))</f>
        <v>0</v>
      </c>
      <c r="N2969" s="27">
        <f>IF($M2969="","",IF($F2969="Compareceu",$M2969,0))</f>
        <v>0</v>
      </c>
      <c r="O2969" s="27">
        <f>IF($M2969="","",IF($F2969="Faltou",$M2969,0))</f>
        <v>0</v>
      </c>
      <c r="P2969" s="27">
        <f>IF($M2969="","",IF($F2969="Compareceu",MAX(0,$M2969-N($H2969)),0))</f>
        <v>0</v>
      </c>
      <c r="Q2969" s="19">
        <f>IF(AND($F2969="Compareceu",$E2969&lt;&gt;"",$A2969&lt;&gt;""),IF(IFERROR(INDEX(ProcRet,MATCH($E2969,ProcNome,0)),0)&gt;0,$A2969+INDEX(ProcRet,MATCH($E2969,ProcNome,0)),""),"")</f>
        <v>0</v>
      </c>
      <c r="R2969" s="26">
        <f>IF($Q2969="","",IF(COUNTIFS(AgPac,$D2969,AgData,"&gt;"&amp;$A2969,AgStatus,"&lt;&gt;Cancelado",AgStatus,"&lt;&gt;Remarcado")&gt;0,"Sim","Não"))</f>
        <v>0</v>
      </c>
      <c r="S2969" s="28">
        <f>IF($A2969="","",IF(AND($F2969="Agendado",$A2969-Hoje&gt;=0,$A2969-Hoje&lt;=DiasConf),"CONFIRMAR",IF(AND($A2969&lt;Hoje,OR($F2969="Agendado",$F2969="Confirmado")),"Atualizar status",IF(AND($F2969="Compareceu",$P2969&gt;0.005),"Cobrar",IF($F2969="Faltou","Falta: reagendar","")))))</f>
        <v>0</v>
      </c>
      <c r="T2969" s="29">
        <f>IF($A2969="","",DATE(YEAR($A2969),MONTH($A2969),1))</f>
        <v>0</v>
      </c>
      <c r="U2969" s="30">
        <f>IF($S2969="CONFIRMAR",MAX($U$4:$U2968)+1,"")</f>
        <v>0</v>
      </c>
      <c r="V2969" s="30">
        <f>IF(AND($R2969="Não",$Q2969&lt;&gt;"",$Q2969&lt;=Hoje+JanelaRet,$Q2969&gt;=Hoje-60),MAX($V$4:$V2968)+1,"")</f>
        <v>0</v>
      </c>
    </row>
    <row r="2970" spans="1:22">
      <c r="A2970" s="16"/>
      <c r="B2970" s="23"/>
      <c r="C2970" s="15"/>
      <c r="D2970" s="15"/>
      <c r="E2970" s="15"/>
      <c r="F2970" s="24"/>
      <c r="G2970" s="17"/>
      <c r="H2970" s="17"/>
      <c r="I2970" s="15"/>
      <c r="J2970" s="25">
        <f>IF($D2970="","",IFERROR(INDEX(PacNome,MATCH($D2970,PacCod,0)),"Paciente não cadastrado"))</f>
        <v>0</v>
      </c>
      <c r="K2970" s="26">
        <f>IF($D2970="","",IFERROR(INDEX(PacConv,MATCH($D2970,PacCod,0))&amp;"",""))</f>
        <v>0</v>
      </c>
      <c r="L2970" s="26">
        <f>IF($A2970="","",CHOOSE(WEEKDAY($A2970,2),"Seg","Ter","Qua","Qui","Sex","Sáb","Dom"))</f>
        <v>0</v>
      </c>
      <c r="M2970" s="27">
        <f>IF($E2970="","",IF($G2970&lt;&gt;"",$G2970,IFERROR(INDEX(ProcValor,MATCH($E2970,ProcNome,0)),0)))</f>
        <v>0</v>
      </c>
      <c r="N2970" s="27">
        <f>IF($M2970="","",IF($F2970="Compareceu",$M2970,0))</f>
        <v>0</v>
      </c>
      <c r="O2970" s="27">
        <f>IF($M2970="","",IF($F2970="Faltou",$M2970,0))</f>
        <v>0</v>
      </c>
      <c r="P2970" s="27">
        <f>IF($M2970="","",IF($F2970="Compareceu",MAX(0,$M2970-N($H2970)),0))</f>
        <v>0</v>
      </c>
      <c r="Q2970" s="19">
        <f>IF(AND($F2970="Compareceu",$E2970&lt;&gt;"",$A2970&lt;&gt;""),IF(IFERROR(INDEX(ProcRet,MATCH($E2970,ProcNome,0)),0)&gt;0,$A2970+INDEX(ProcRet,MATCH($E2970,ProcNome,0)),""),"")</f>
        <v>0</v>
      </c>
      <c r="R2970" s="26">
        <f>IF($Q2970="","",IF(COUNTIFS(AgPac,$D2970,AgData,"&gt;"&amp;$A2970,AgStatus,"&lt;&gt;Cancelado",AgStatus,"&lt;&gt;Remarcado")&gt;0,"Sim","Não"))</f>
        <v>0</v>
      </c>
      <c r="S2970" s="28">
        <f>IF($A2970="","",IF(AND($F2970="Agendado",$A2970-Hoje&gt;=0,$A2970-Hoje&lt;=DiasConf),"CONFIRMAR",IF(AND($A2970&lt;Hoje,OR($F2970="Agendado",$F2970="Confirmado")),"Atualizar status",IF(AND($F2970="Compareceu",$P2970&gt;0.005),"Cobrar",IF($F2970="Faltou","Falta: reagendar","")))))</f>
        <v>0</v>
      </c>
      <c r="T2970" s="29">
        <f>IF($A2970="","",DATE(YEAR($A2970),MONTH($A2970),1))</f>
        <v>0</v>
      </c>
      <c r="U2970" s="30">
        <f>IF($S2970="CONFIRMAR",MAX($U$4:$U2969)+1,"")</f>
        <v>0</v>
      </c>
      <c r="V2970" s="30">
        <f>IF(AND($R2970="Não",$Q2970&lt;&gt;"",$Q2970&lt;=Hoje+JanelaRet,$Q2970&gt;=Hoje-60),MAX($V$4:$V2969)+1,"")</f>
        <v>0</v>
      </c>
    </row>
    <row r="2971" spans="1:22">
      <c r="A2971" s="16"/>
      <c r="B2971" s="23"/>
      <c r="C2971" s="15"/>
      <c r="D2971" s="15"/>
      <c r="E2971" s="15"/>
      <c r="F2971" s="24"/>
      <c r="G2971" s="17"/>
      <c r="H2971" s="17"/>
      <c r="I2971" s="15"/>
      <c r="J2971" s="25">
        <f>IF($D2971="","",IFERROR(INDEX(PacNome,MATCH($D2971,PacCod,0)),"Paciente não cadastrado"))</f>
        <v>0</v>
      </c>
      <c r="K2971" s="26">
        <f>IF($D2971="","",IFERROR(INDEX(PacConv,MATCH($D2971,PacCod,0))&amp;"",""))</f>
        <v>0</v>
      </c>
      <c r="L2971" s="26">
        <f>IF($A2971="","",CHOOSE(WEEKDAY($A2971,2),"Seg","Ter","Qua","Qui","Sex","Sáb","Dom"))</f>
        <v>0</v>
      </c>
      <c r="M2971" s="27">
        <f>IF($E2971="","",IF($G2971&lt;&gt;"",$G2971,IFERROR(INDEX(ProcValor,MATCH($E2971,ProcNome,0)),0)))</f>
        <v>0</v>
      </c>
      <c r="N2971" s="27">
        <f>IF($M2971="","",IF($F2971="Compareceu",$M2971,0))</f>
        <v>0</v>
      </c>
      <c r="O2971" s="27">
        <f>IF($M2971="","",IF($F2971="Faltou",$M2971,0))</f>
        <v>0</v>
      </c>
      <c r="P2971" s="27">
        <f>IF($M2971="","",IF($F2971="Compareceu",MAX(0,$M2971-N($H2971)),0))</f>
        <v>0</v>
      </c>
      <c r="Q2971" s="19">
        <f>IF(AND($F2971="Compareceu",$E2971&lt;&gt;"",$A2971&lt;&gt;""),IF(IFERROR(INDEX(ProcRet,MATCH($E2971,ProcNome,0)),0)&gt;0,$A2971+INDEX(ProcRet,MATCH($E2971,ProcNome,0)),""),"")</f>
        <v>0</v>
      </c>
      <c r="R2971" s="26">
        <f>IF($Q2971="","",IF(COUNTIFS(AgPac,$D2971,AgData,"&gt;"&amp;$A2971,AgStatus,"&lt;&gt;Cancelado",AgStatus,"&lt;&gt;Remarcado")&gt;0,"Sim","Não"))</f>
        <v>0</v>
      </c>
      <c r="S2971" s="28">
        <f>IF($A2971="","",IF(AND($F2971="Agendado",$A2971-Hoje&gt;=0,$A2971-Hoje&lt;=DiasConf),"CONFIRMAR",IF(AND($A2971&lt;Hoje,OR($F2971="Agendado",$F2971="Confirmado")),"Atualizar status",IF(AND($F2971="Compareceu",$P2971&gt;0.005),"Cobrar",IF($F2971="Faltou","Falta: reagendar","")))))</f>
        <v>0</v>
      </c>
      <c r="T2971" s="29">
        <f>IF($A2971="","",DATE(YEAR($A2971),MONTH($A2971),1))</f>
        <v>0</v>
      </c>
      <c r="U2971" s="30">
        <f>IF($S2971="CONFIRMAR",MAX($U$4:$U2970)+1,"")</f>
        <v>0</v>
      </c>
      <c r="V2971" s="30">
        <f>IF(AND($R2971="Não",$Q2971&lt;&gt;"",$Q2971&lt;=Hoje+JanelaRet,$Q2971&gt;=Hoje-60),MAX($V$4:$V2970)+1,"")</f>
        <v>0</v>
      </c>
    </row>
    <row r="2972" spans="1:22">
      <c r="A2972" s="16"/>
      <c r="B2972" s="23"/>
      <c r="C2972" s="15"/>
      <c r="D2972" s="15"/>
      <c r="E2972" s="15"/>
      <c r="F2972" s="24"/>
      <c r="G2972" s="17"/>
      <c r="H2972" s="17"/>
      <c r="I2972" s="15"/>
      <c r="J2972" s="25">
        <f>IF($D2972="","",IFERROR(INDEX(PacNome,MATCH($D2972,PacCod,0)),"Paciente não cadastrado"))</f>
        <v>0</v>
      </c>
      <c r="K2972" s="26">
        <f>IF($D2972="","",IFERROR(INDEX(PacConv,MATCH($D2972,PacCod,0))&amp;"",""))</f>
        <v>0</v>
      </c>
      <c r="L2972" s="26">
        <f>IF($A2972="","",CHOOSE(WEEKDAY($A2972,2),"Seg","Ter","Qua","Qui","Sex","Sáb","Dom"))</f>
        <v>0</v>
      </c>
      <c r="M2972" s="27">
        <f>IF($E2972="","",IF($G2972&lt;&gt;"",$G2972,IFERROR(INDEX(ProcValor,MATCH($E2972,ProcNome,0)),0)))</f>
        <v>0</v>
      </c>
      <c r="N2972" s="27">
        <f>IF($M2972="","",IF($F2972="Compareceu",$M2972,0))</f>
        <v>0</v>
      </c>
      <c r="O2972" s="27">
        <f>IF($M2972="","",IF($F2972="Faltou",$M2972,0))</f>
        <v>0</v>
      </c>
      <c r="P2972" s="27">
        <f>IF($M2972="","",IF($F2972="Compareceu",MAX(0,$M2972-N($H2972)),0))</f>
        <v>0</v>
      </c>
      <c r="Q2972" s="19">
        <f>IF(AND($F2972="Compareceu",$E2972&lt;&gt;"",$A2972&lt;&gt;""),IF(IFERROR(INDEX(ProcRet,MATCH($E2972,ProcNome,0)),0)&gt;0,$A2972+INDEX(ProcRet,MATCH($E2972,ProcNome,0)),""),"")</f>
        <v>0</v>
      </c>
      <c r="R2972" s="26">
        <f>IF($Q2972="","",IF(COUNTIFS(AgPac,$D2972,AgData,"&gt;"&amp;$A2972,AgStatus,"&lt;&gt;Cancelado",AgStatus,"&lt;&gt;Remarcado")&gt;0,"Sim","Não"))</f>
        <v>0</v>
      </c>
      <c r="S2972" s="28">
        <f>IF($A2972="","",IF(AND($F2972="Agendado",$A2972-Hoje&gt;=0,$A2972-Hoje&lt;=DiasConf),"CONFIRMAR",IF(AND($A2972&lt;Hoje,OR($F2972="Agendado",$F2972="Confirmado")),"Atualizar status",IF(AND($F2972="Compareceu",$P2972&gt;0.005),"Cobrar",IF($F2972="Faltou","Falta: reagendar","")))))</f>
        <v>0</v>
      </c>
      <c r="T2972" s="29">
        <f>IF($A2972="","",DATE(YEAR($A2972),MONTH($A2972),1))</f>
        <v>0</v>
      </c>
      <c r="U2972" s="30">
        <f>IF($S2972="CONFIRMAR",MAX($U$4:$U2971)+1,"")</f>
        <v>0</v>
      </c>
      <c r="V2972" s="30">
        <f>IF(AND($R2972="Não",$Q2972&lt;&gt;"",$Q2972&lt;=Hoje+JanelaRet,$Q2972&gt;=Hoje-60),MAX($V$4:$V2971)+1,"")</f>
        <v>0</v>
      </c>
    </row>
    <row r="2973" spans="1:22">
      <c r="A2973" s="16"/>
      <c r="B2973" s="23"/>
      <c r="C2973" s="15"/>
      <c r="D2973" s="15"/>
      <c r="E2973" s="15"/>
      <c r="F2973" s="24"/>
      <c r="G2973" s="17"/>
      <c r="H2973" s="17"/>
      <c r="I2973" s="15"/>
      <c r="J2973" s="25">
        <f>IF($D2973="","",IFERROR(INDEX(PacNome,MATCH($D2973,PacCod,0)),"Paciente não cadastrado"))</f>
        <v>0</v>
      </c>
      <c r="K2973" s="26">
        <f>IF($D2973="","",IFERROR(INDEX(PacConv,MATCH($D2973,PacCod,0))&amp;"",""))</f>
        <v>0</v>
      </c>
      <c r="L2973" s="26">
        <f>IF($A2973="","",CHOOSE(WEEKDAY($A2973,2),"Seg","Ter","Qua","Qui","Sex","Sáb","Dom"))</f>
        <v>0</v>
      </c>
      <c r="M2973" s="27">
        <f>IF($E2973="","",IF($G2973&lt;&gt;"",$G2973,IFERROR(INDEX(ProcValor,MATCH($E2973,ProcNome,0)),0)))</f>
        <v>0</v>
      </c>
      <c r="N2973" s="27">
        <f>IF($M2973="","",IF($F2973="Compareceu",$M2973,0))</f>
        <v>0</v>
      </c>
      <c r="O2973" s="27">
        <f>IF($M2973="","",IF($F2973="Faltou",$M2973,0))</f>
        <v>0</v>
      </c>
      <c r="P2973" s="27">
        <f>IF($M2973="","",IF($F2973="Compareceu",MAX(0,$M2973-N($H2973)),0))</f>
        <v>0</v>
      </c>
      <c r="Q2973" s="19">
        <f>IF(AND($F2973="Compareceu",$E2973&lt;&gt;"",$A2973&lt;&gt;""),IF(IFERROR(INDEX(ProcRet,MATCH($E2973,ProcNome,0)),0)&gt;0,$A2973+INDEX(ProcRet,MATCH($E2973,ProcNome,0)),""),"")</f>
        <v>0</v>
      </c>
      <c r="R2973" s="26">
        <f>IF($Q2973="","",IF(COUNTIFS(AgPac,$D2973,AgData,"&gt;"&amp;$A2973,AgStatus,"&lt;&gt;Cancelado",AgStatus,"&lt;&gt;Remarcado")&gt;0,"Sim","Não"))</f>
        <v>0</v>
      </c>
      <c r="S2973" s="28">
        <f>IF($A2973="","",IF(AND($F2973="Agendado",$A2973-Hoje&gt;=0,$A2973-Hoje&lt;=DiasConf),"CONFIRMAR",IF(AND($A2973&lt;Hoje,OR($F2973="Agendado",$F2973="Confirmado")),"Atualizar status",IF(AND($F2973="Compareceu",$P2973&gt;0.005),"Cobrar",IF($F2973="Faltou","Falta: reagendar","")))))</f>
        <v>0</v>
      </c>
      <c r="T2973" s="29">
        <f>IF($A2973="","",DATE(YEAR($A2973),MONTH($A2973),1))</f>
        <v>0</v>
      </c>
      <c r="U2973" s="30">
        <f>IF($S2973="CONFIRMAR",MAX($U$4:$U2972)+1,"")</f>
        <v>0</v>
      </c>
      <c r="V2973" s="30">
        <f>IF(AND($R2973="Não",$Q2973&lt;&gt;"",$Q2973&lt;=Hoje+JanelaRet,$Q2973&gt;=Hoje-60),MAX($V$4:$V2972)+1,"")</f>
        <v>0</v>
      </c>
    </row>
    <row r="2974" spans="1:22">
      <c r="A2974" s="16"/>
      <c r="B2974" s="23"/>
      <c r="C2974" s="15"/>
      <c r="D2974" s="15"/>
      <c r="E2974" s="15"/>
      <c r="F2974" s="24"/>
      <c r="G2974" s="17"/>
      <c r="H2974" s="17"/>
      <c r="I2974" s="15"/>
      <c r="J2974" s="25">
        <f>IF($D2974="","",IFERROR(INDEX(PacNome,MATCH($D2974,PacCod,0)),"Paciente não cadastrado"))</f>
        <v>0</v>
      </c>
      <c r="K2974" s="26">
        <f>IF($D2974="","",IFERROR(INDEX(PacConv,MATCH($D2974,PacCod,0))&amp;"",""))</f>
        <v>0</v>
      </c>
      <c r="L2974" s="26">
        <f>IF($A2974="","",CHOOSE(WEEKDAY($A2974,2),"Seg","Ter","Qua","Qui","Sex","Sáb","Dom"))</f>
        <v>0</v>
      </c>
      <c r="M2974" s="27">
        <f>IF($E2974="","",IF($G2974&lt;&gt;"",$G2974,IFERROR(INDEX(ProcValor,MATCH($E2974,ProcNome,0)),0)))</f>
        <v>0</v>
      </c>
      <c r="N2974" s="27">
        <f>IF($M2974="","",IF($F2974="Compareceu",$M2974,0))</f>
        <v>0</v>
      </c>
      <c r="O2974" s="27">
        <f>IF($M2974="","",IF($F2974="Faltou",$M2974,0))</f>
        <v>0</v>
      </c>
      <c r="P2974" s="27">
        <f>IF($M2974="","",IF($F2974="Compareceu",MAX(0,$M2974-N($H2974)),0))</f>
        <v>0</v>
      </c>
      <c r="Q2974" s="19">
        <f>IF(AND($F2974="Compareceu",$E2974&lt;&gt;"",$A2974&lt;&gt;""),IF(IFERROR(INDEX(ProcRet,MATCH($E2974,ProcNome,0)),0)&gt;0,$A2974+INDEX(ProcRet,MATCH($E2974,ProcNome,0)),""),"")</f>
        <v>0</v>
      </c>
      <c r="R2974" s="26">
        <f>IF($Q2974="","",IF(COUNTIFS(AgPac,$D2974,AgData,"&gt;"&amp;$A2974,AgStatus,"&lt;&gt;Cancelado",AgStatus,"&lt;&gt;Remarcado")&gt;0,"Sim","Não"))</f>
        <v>0</v>
      </c>
      <c r="S2974" s="28">
        <f>IF($A2974="","",IF(AND($F2974="Agendado",$A2974-Hoje&gt;=0,$A2974-Hoje&lt;=DiasConf),"CONFIRMAR",IF(AND($A2974&lt;Hoje,OR($F2974="Agendado",$F2974="Confirmado")),"Atualizar status",IF(AND($F2974="Compareceu",$P2974&gt;0.005),"Cobrar",IF($F2974="Faltou","Falta: reagendar","")))))</f>
        <v>0</v>
      </c>
      <c r="T2974" s="29">
        <f>IF($A2974="","",DATE(YEAR($A2974),MONTH($A2974),1))</f>
        <v>0</v>
      </c>
      <c r="U2974" s="30">
        <f>IF($S2974="CONFIRMAR",MAX($U$4:$U2973)+1,"")</f>
        <v>0</v>
      </c>
      <c r="V2974" s="30">
        <f>IF(AND($R2974="Não",$Q2974&lt;&gt;"",$Q2974&lt;=Hoje+JanelaRet,$Q2974&gt;=Hoje-60),MAX($V$4:$V2973)+1,"")</f>
        <v>0</v>
      </c>
    </row>
    <row r="2975" spans="1:22">
      <c r="A2975" s="16"/>
      <c r="B2975" s="23"/>
      <c r="C2975" s="15"/>
      <c r="D2975" s="15"/>
      <c r="E2975" s="15"/>
      <c r="F2975" s="24"/>
      <c r="G2975" s="17"/>
      <c r="H2975" s="17"/>
      <c r="I2975" s="15"/>
      <c r="J2975" s="25">
        <f>IF($D2975="","",IFERROR(INDEX(PacNome,MATCH($D2975,PacCod,0)),"Paciente não cadastrado"))</f>
        <v>0</v>
      </c>
      <c r="K2975" s="26">
        <f>IF($D2975="","",IFERROR(INDEX(PacConv,MATCH($D2975,PacCod,0))&amp;"",""))</f>
        <v>0</v>
      </c>
      <c r="L2975" s="26">
        <f>IF($A2975="","",CHOOSE(WEEKDAY($A2975,2),"Seg","Ter","Qua","Qui","Sex","Sáb","Dom"))</f>
        <v>0</v>
      </c>
      <c r="M2975" s="27">
        <f>IF($E2975="","",IF($G2975&lt;&gt;"",$G2975,IFERROR(INDEX(ProcValor,MATCH($E2975,ProcNome,0)),0)))</f>
        <v>0</v>
      </c>
      <c r="N2975" s="27">
        <f>IF($M2975="","",IF($F2975="Compareceu",$M2975,0))</f>
        <v>0</v>
      </c>
      <c r="O2975" s="27">
        <f>IF($M2975="","",IF($F2975="Faltou",$M2975,0))</f>
        <v>0</v>
      </c>
      <c r="P2975" s="27">
        <f>IF($M2975="","",IF($F2975="Compareceu",MAX(0,$M2975-N($H2975)),0))</f>
        <v>0</v>
      </c>
      <c r="Q2975" s="19">
        <f>IF(AND($F2975="Compareceu",$E2975&lt;&gt;"",$A2975&lt;&gt;""),IF(IFERROR(INDEX(ProcRet,MATCH($E2975,ProcNome,0)),0)&gt;0,$A2975+INDEX(ProcRet,MATCH($E2975,ProcNome,0)),""),"")</f>
        <v>0</v>
      </c>
      <c r="R2975" s="26">
        <f>IF($Q2975="","",IF(COUNTIFS(AgPac,$D2975,AgData,"&gt;"&amp;$A2975,AgStatus,"&lt;&gt;Cancelado",AgStatus,"&lt;&gt;Remarcado")&gt;0,"Sim","Não"))</f>
        <v>0</v>
      </c>
      <c r="S2975" s="28">
        <f>IF($A2975="","",IF(AND($F2975="Agendado",$A2975-Hoje&gt;=0,$A2975-Hoje&lt;=DiasConf),"CONFIRMAR",IF(AND($A2975&lt;Hoje,OR($F2975="Agendado",$F2975="Confirmado")),"Atualizar status",IF(AND($F2975="Compareceu",$P2975&gt;0.005),"Cobrar",IF($F2975="Faltou","Falta: reagendar","")))))</f>
        <v>0</v>
      </c>
      <c r="T2975" s="29">
        <f>IF($A2975="","",DATE(YEAR($A2975),MONTH($A2975),1))</f>
        <v>0</v>
      </c>
      <c r="U2975" s="30">
        <f>IF($S2975="CONFIRMAR",MAX($U$4:$U2974)+1,"")</f>
        <v>0</v>
      </c>
      <c r="V2975" s="30">
        <f>IF(AND($R2975="Não",$Q2975&lt;&gt;"",$Q2975&lt;=Hoje+JanelaRet,$Q2975&gt;=Hoje-60),MAX($V$4:$V2974)+1,"")</f>
        <v>0</v>
      </c>
    </row>
    <row r="2976" spans="1:22">
      <c r="A2976" s="16"/>
      <c r="B2976" s="23"/>
      <c r="C2976" s="15"/>
      <c r="D2976" s="15"/>
      <c r="E2976" s="15"/>
      <c r="F2976" s="24"/>
      <c r="G2976" s="17"/>
      <c r="H2976" s="17"/>
      <c r="I2976" s="15"/>
      <c r="J2976" s="25">
        <f>IF($D2976="","",IFERROR(INDEX(PacNome,MATCH($D2976,PacCod,0)),"Paciente não cadastrado"))</f>
        <v>0</v>
      </c>
      <c r="K2976" s="26">
        <f>IF($D2976="","",IFERROR(INDEX(PacConv,MATCH($D2976,PacCod,0))&amp;"",""))</f>
        <v>0</v>
      </c>
      <c r="L2976" s="26">
        <f>IF($A2976="","",CHOOSE(WEEKDAY($A2976,2),"Seg","Ter","Qua","Qui","Sex","Sáb","Dom"))</f>
        <v>0</v>
      </c>
      <c r="M2976" s="27">
        <f>IF($E2976="","",IF($G2976&lt;&gt;"",$G2976,IFERROR(INDEX(ProcValor,MATCH($E2976,ProcNome,0)),0)))</f>
        <v>0</v>
      </c>
      <c r="N2976" s="27">
        <f>IF($M2976="","",IF($F2976="Compareceu",$M2976,0))</f>
        <v>0</v>
      </c>
      <c r="O2976" s="27">
        <f>IF($M2976="","",IF($F2976="Faltou",$M2976,0))</f>
        <v>0</v>
      </c>
      <c r="P2976" s="27">
        <f>IF($M2976="","",IF($F2976="Compareceu",MAX(0,$M2976-N($H2976)),0))</f>
        <v>0</v>
      </c>
      <c r="Q2976" s="19">
        <f>IF(AND($F2976="Compareceu",$E2976&lt;&gt;"",$A2976&lt;&gt;""),IF(IFERROR(INDEX(ProcRet,MATCH($E2976,ProcNome,0)),0)&gt;0,$A2976+INDEX(ProcRet,MATCH($E2976,ProcNome,0)),""),"")</f>
        <v>0</v>
      </c>
      <c r="R2976" s="26">
        <f>IF($Q2976="","",IF(COUNTIFS(AgPac,$D2976,AgData,"&gt;"&amp;$A2976,AgStatus,"&lt;&gt;Cancelado",AgStatus,"&lt;&gt;Remarcado")&gt;0,"Sim","Não"))</f>
        <v>0</v>
      </c>
      <c r="S2976" s="28">
        <f>IF($A2976="","",IF(AND($F2976="Agendado",$A2976-Hoje&gt;=0,$A2976-Hoje&lt;=DiasConf),"CONFIRMAR",IF(AND($A2976&lt;Hoje,OR($F2976="Agendado",$F2976="Confirmado")),"Atualizar status",IF(AND($F2976="Compareceu",$P2976&gt;0.005),"Cobrar",IF($F2976="Faltou","Falta: reagendar","")))))</f>
        <v>0</v>
      </c>
      <c r="T2976" s="29">
        <f>IF($A2976="","",DATE(YEAR($A2976),MONTH($A2976),1))</f>
        <v>0</v>
      </c>
      <c r="U2976" s="30">
        <f>IF($S2976="CONFIRMAR",MAX($U$4:$U2975)+1,"")</f>
        <v>0</v>
      </c>
      <c r="V2976" s="30">
        <f>IF(AND($R2976="Não",$Q2976&lt;&gt;"",$Q2976&lt;=Hoje+JanelaRet,$Q2976&gt;=Hoje-60),MAX($V$4:$V2975)+1,"")</f>
        <v>0</v>
      </c>
    </row>
    <row r="2977" spans="1:22">
      <c r="A2977" s="16"/>
      <c r="B2977" s="23"/>
      <c r="C2977" s="15"/>
      <c r="D2977" s="15"/>
      <c r="E2977" s="15"/>
      <c r="F2977" s="24"/>
      <c r="G2977" s="17"/>
      <c r="H2977" s="17"/>
      <c r="I2977" s="15"/>
      <c r="J2977" s="25">
        <f>IF($D2977="","",IFERROR(INDEX(PacNome,MATCH($D2977,PacCod,0)),"Paciente não cadastrado"))</f>
        <v>0</v>
      </c>
      <c r="K2977" s="26">
        <f>IF($D2977="","",IFERROR(INDEX(PacConv,MATCH($D2977,PacCod,0))&amp;"",""))</f>
        <v>0</v>
      </c>
      <c r="L2977" s="26">
        <f>IF($A2977="","",CHOOSE(WEEKDAY($A2977,2),"Seg","Ter","Qua","Qui","Sex","Sáb","Dom"))</f>
        <v>0</v>
      </c>
      <c r="M2977" s="27">
        <f>IF($E2977="","",IF($G2977&lt;&gt;"",$G2977,IFERROR(INDEX(ProcValor,MATCH($E2977,ProcNome,0)),0)))</f>
        <v>0</v>
      </c>
      <c r="N2977" s="27">
        <f>IF($M2977="","",IF($F2977="Compareceu",$M2977,0))</f>
        <v>0</v>
      </c>
      <c r="O2977" s="27">
        <f>IF($M2977="","",IF($F2977="Faltou",$M2977,0))</f>
        <v>0</v>
      </c>
      <c r="P2977" s="27">
        <f>IF($M2977="","",IF($F2977="Compareceu",MAX(0,$M2977-N($H2977)),0))</f>
        <v>0</v>
      </c>
      <c r="Q2977" s="19">
        <f>IF(AND($F2977="Compareceu",$E2977&lt;&gt;"",$A2977&lt;&gt;""),IF(IFERROR(INDEX(ProcRet,MATCH($E2977,ProcNome,0)),0)&gt;0,$A2977+INDEX(ProcRet,MATCH($E2977,ProcNome,0)),""),"")</f>
        <v>0</v>
      </c>
      <c r="R2977" s="26">
        <f>IF($Q2977="","",IF(COUNTIFS(AgPac,$D2977,AgData,"&gt;"&amp;$A2977,AgStatus,"&lt;&gt;Cancelado",AgStatus,"&lt;&gt;Remarcado")&gt;0,"Sim","Não"))</f>
        <v>0</v>
      </c>
      <c r="S2977" s="28">
        <f>IF($A2977="","",IF(AND($F2977="Agendado",$A2977-Hoje&gt;=0,$A2977-Hoje&lt;=DiasConf),"CONFIRMAR",IF(AND($A2977&lt;Hoje,OR($F2977="Agendado",$F2977="Confirmado")),"Atualizar status",IF(AND($F2977="Compareceu",$P2977&gt;0.005),"Cobrar",IF($F2977="Faltou","Falta: reagendar","")))))</f>
        <v>0</v>
      </c>
      <c r="T2977" s="29">
        <f>IF($A2977="","",DATE(YEAR($A2977),MONTH($A2977),1))</f>
        <v>0</v>
      </c>
      <c r="U2977" s="30">
        <f>IF($S2977="CONFIRMAR",MAX($U$4:$U2976)+1,"")</f>
        <v>0</v>
      </c>
      <c r="V2977" s="30">
        <f>IF(AND($R2977="Não",$Q2977&lt;&gt;"",$Q2977&lt;=Hoje+JanelaRet,$Q2977&gt;=Hoje-60),MAX($V$4:$V2976)+1,"")</f>
        <v>0</v>
      </c>
    </row>
    <row r="2978" spans="1:22">
      <c r="A2978" s="16"/>
      <c r="B2978" s="23"/>
      <c r="C2978" s="15"/>
      <c r="D2978" s="15"/>
      <c r="E2978" s="15"/>
      <c r="F2978" s="24"/>
      <c r="G2978" s="17"/>
      <c r="H2978" s="17"/>
      <c r="I2978" s="15"/>
      <c r="J2978" s="25">
        <f>IF($D2978="","",IFERROR(INDEX(PacNome,MATCH($D2978,PacCod,0)),"Paciente não cadastrado"))</f>
        <v>0</v>
      </c>
      <c r="K2978" s="26">
        <f>IF($D2978="","",IFERROR(INDEX(PacConv,MATCH($D2978,PacCod,0))&amp;"",""))</f>
        <v>0</v>
      </c>
      <c r="L2978" s="26">
        <f>IF($A2978="","",CHOOSE(WEEKDAY($A2978,2),"Seg","Ter","Qua","Qui","Sex","Sáb","Dom"))</f>
        <v>0</v>
      </c>
      <c r="M2978" s="27">
        <f>IF($E2978="","",IF($G2978&lt;&gt;"",$G2978,IFERROR(INDEX(ProcValor,MATCH($E2978,ProcNome,0)),0)))</f>
        <v>0</v>
      </c>
      <c r="N2978" s="27">
        <f>IF($M2978="","",IF($F2978="Compareceu",$M2978,0))</f>
        <v>0</v>
      </c>
      <c r="O2978" s="27">
        <f>IF($M2978="","",IF($F2978="Faltou",$M2978,0))</f>
        <v>0</v>
      </c>
      <c r="P2978" s="27">
        <f>IF($M2978="","",IF($F2978="Compareceu",MAX(0,$M2978-N($H2978)),0))</f>
        <v>0</v>
      </c>
      <c r="Q2978" s="19">
        <f>IF(AND($F2978="Compareceu",$E2978&lt;&gt;"",$A2978&lt;&gt;""),IF(IFERROR(INDEX(ProcRet,MATCH($E2978,ProcNome,0)),0)&gt;0,$A2978+INDEX(ProcRet,MATCH($E2978,ProcNome,0)),""),"")</f>
        <v>0</v>
      </c>
      <c r="R2978" s="26">
        <f>IF($Q2978="","",IF(COUNTIFS(AgPac,$D2978,AgData,"&gt;"&amp;$A2978,AgStatus,"&lt;&gt;Cancelado",AgStatus,"&lt;&gt;Remarcado")&gt;0,"Sim","Não"))</f>
        <v>0</v>
      </c>
      <c r="S2978" s="28">
        <f>IF($A2978="","",IF(AND($F2978="Agendado",$A2978-Hoje&gt;=0,$A2978-Hoje&lt;=DiasConf),"CONFIRMAR",IF(AND($A2978&lt;Hoje,OR($F2978="Agendado",$F2978="Confirmado")),"Atualizar status",IF(AND($F2978="Compareceu",$P2978&gt;0.005),"Cobrar",IF($F2978="Faltou","Falta: reagendar","")))))</f>
        <v>0</v>
      </c>
      <c r="T2978" s="29">
        <f>IF($A2978="","",DATE(YEAR($A2978),MONTH($A2978),1))</f>
        <v>0</v>
      </c>
      <c r="U2978" s="30">
        <f>IF($S2978="CONFIRMAR",MAX($U$4:$U2977)+1,"")</f>
        <v>0</v>
      </c>
      <c r="V2978" s="30">
        <f>IF(AND($R2978="Não",$Q2978&lt;&gt;"",$Q2978&lt;=Hoje+JanelaRet,$Q2978&gt;=Hoje-60),MAX($V$4:$V2977)+1,"")</f>
        <v>0</v>
      </c>
    </row>
    <row r="2979" spans="1:22">
      <c r="A2979" s="16"/>
      <c r="B2979" s="23"/>
      <c r="C2979" s="15"/>
      <c r="D2979" s="15"/>
      <c r="E2979" s="15"/>
      <c r="F2979" s="24"/>
      <c r="G2979" s="17"/>
      <c r="H2979" s="17"/>
      <c r="I2979" s="15"/>
      <c r="J2979" s="25">
        <f>IF($D2979="","",IFERROR(INDEX(PacNome,MATCH($D2979,PacCod,0)),"Paciente não cadastrado"))</f>
        <v>0</v>
      </c>
      <c r="K2979" s="26">
        <f>IF($D2979="","",IFERROR(INDEX(PacConv,MATCH($D2979,PacCod,0))&amp;"",""))</f>
        <v>0</v>
      </c>
      <c r="L2979" s="26">
        <f>IF($A2979="","",CHOOSE(WEEKDAY($A2979,2),"Seg","Ter","Qua","Qui","Sex","Sáb","Dom"))</f>
        <v>0</v>
      </c>
      <c r="M2979" s="27">
        <f>IF($E2979="","",IF($G2979&lt;&gt;"",$G2979,IFERROR(INDEX(ProcValor,MATCH($E2979,ProcNome,0)),0)))</f>
        <v>0</v>
      </c>
      <c r="N2979" s="27">
        <f>IF($M2979="","",IF($F2979="Compareceu",$M2979,0))</f>
        <v>0</v>
      </c>
      <c r="O2979" s="27">
        <f>IF($M2979="","",IF($F2979="Faltou",$M2979,0))</f>
        <v>0</v>
      </c>
      <c r="P2979" s="27">
        <f>IF($M2979="","",IF($F2979="Compareceu",MAX(0,$M2979-N($H2979)),0))</f>
        <v>0</v>
      </c>
      <c r="Q2979" s="19">
        <f>IF(AND($F2979="Compareceu",$E2979&lt;&gt;"",$A2979&lt;&gt;""),IF(IFERROR(INDEX(ProcRet,MATCH($E2979,ProcNome,0)),0)&gt;0,$A2979+INDEX(ProcRet,MATCH($E2979,ProcNome,0)),""),"")</f>
        <v>0</v>
      </c>
      <c r="R2979" s="26">
        <f>IF($Q2979="","",IF(COUNTIFS(AgPac,$D2979,AgData,"&gt;"&amp;$A2979,AgStatus,"&lt;&gt;Cancelado",AgStatus,"&lt;&gt;Remarcado")&gt;0,"Sim","Não"))</f>
        <v>0</v>
      </c>
      <c r="S2979" s="28">
        <f>IF($A2979="","",IF(AND($F2979="Agendado",$A2979-Hoje&gt;=0,$A2979-Hoje&lt;=DiasConf),"CONFIRMAR",IF(AND($A2979&lt;Hoje,OR($F2979="Agendado",$F2979="Confirmado")),"Atualizar status",IF(AND($F2979="Compareceu",$P2979&gt;0.005),"Cobrar",IF($F2979="Faltou","Falta: reagendar","")))))</f>
        <v>0</v>
      </c>
      <c r="T2979" s="29">
        <f>IF($A2979="","",DATE(YEAR($A2979),MONTH($A2979),1))</f>
        <v>0</v>
      </c>
      <c r="U2979" s="30">
        <f>IF($S2979="CONFIRMAR",MAX($U$4:$U2978)+1,"")</f>
        <v>0</v>
      </c>
      <c r="V2979" s="30">
        <f>IF(AND($R2979="Não",$Q2979&lt;&gt;"",$Q2979&lt;=Hoje+JanelaRet,$Q2979&gt;=Hoje-60),MAX($V$4:$V2978)+1,"")</f>
        <v>0</v>
      </c>
    </row>
    <row r="2980" spans="1:22">
      <c r="A2980" s="16"/>
      <c r="B2980" s="23"/>
      <c r="C2980" s="15"/>
      <c r="D2980" s="15"/>
      <c r="E2980" s="15"/>
      <c r="F2980" s="24"/>
      <c r="G2980" s="17"/>
      <c r="H2980" s="17"/>
      <c r="I2980" s="15"/>
      <c r="J2980" s="25">
        <f>IF($D2980="","",IFERROR(INDEX(PacNome,MATCH($D2980,PacCod,0)),"Paciente não cadastrado"))</f>
        <v>0</v>
      </c>
      <c r="K2980" s="26">
        <f>IF($D2980="","",IFERROR(INDEX(PacConv,MATCH($D2980,PacCod,0))&amp;"",""))</f>
        <v>0</v>
      </c>
      <c r="L2980" s="26">
        <f>IF($A2980="","",CHOOSE(WEEKDAY($A2980,2),"Seg","Ter","Qua","Qui","Sex","Sáb","Dom"))</f>
        <v>0</v>
      </c>
      <c r="M2980" s="27">
        <f>IF($E2980="","",IF($G2980&lt;&gt;"",$G2980,IFERROR(INDEX(ProcValor,MATCH($E2980,ProcNome,0)),0)))</f>
        <v>0</v>
      </c>
      <c r="N2980" s="27">
        <f>IF($M2980="","",IF($F2980="Compareceu",$M2980,0))</f>
        <v>0</v>
      </c>
      <c r="O2980" s="27">
        <f>IF($M2980="","",IF($F2980="Faltou",$M2980,0))</f>
        <v>0</v>
      </c>
      <c r="P2980" s="27">
        <f>IF($M2980="","",IF($F2980="Compareceu",MAX(0,$M2980-N($H2980)),0))</f>
        <v>0</v>
      </c>
      <c r="Q2980" s="19">
        <f>IF(AND($F2980="Compareceu",$E2980&lt;&gt;"",$A2980&lt;&gt;""),IF(IFERROR(INDEX(ProcRet,MATCH($E2980,ProcNome,0)),0)&gt;0,$A2980+INDEX(ProcRet,MATCH($E2980,ProcNome,0)),""),"")</f>
        <v>0</v>
      </c>
      <c r="R2980" s="26">
        <f>IF($Q2980="","",IF(COUNTIFS(AgPac,$D2980,AgData,"&gt;"&amp;$A2980,AgStatus,"&lt;&gt;Cancelado",AgStatus,"&lt;&gt;Remarcado")&gt;0,"Sim","Não"))</f>
        <v>0</v>
      </c>
      <c r="S2980" s="28">
        <f>IF($A2980="","",IF(AND($F2980="Agendado",$A2980-Hoje&gt;=0,$A2980-Hoje&lt;=DiasConf),"CONFIRMAR",IF(AND($A2980&lt;Hoje,OR($F2980="Agendado",$F2980="Confirmado")),"Atualizar status",IF(AND($F2980="Compareceu",$P2980&gt;0.005),"Cobrar",IF($F2980="Faltou","Falta: reagendar","")))))</f>
        <v>0</v>
      </c>
      <c r="T2980" s="29">
        <f>IF($A2980="","",DATE(YEAR($A2980),MONTH($A2980),1))</f>
        <v>0</v>
      </c>
      <c r="U2980" s="30">
        <f>IF($S2980="CONFIRMAR",MAX($U$4:$U2979)+1,"")</f>
        <v>0</v>
      </c>
      <c r="V2980" s="30">
        <f>IF(AND($R2980="Não",$Q2980&lt;&gt;"",$Q2980&lt;=Hoje+JanelaRet,$Q2980&gt;=Hoje-60),MAX($V$4:$V2979)+1,"")</f>
        <v>0</v>
      </c>
    </row>
    <row r="2981" spans="1:22">
      <c r="A2981" s="16"/>
      <c r="B2981" s="23"/>
      <c r="C2981" s="15"/>
      <c r="D2981" s="15"/>
      <c r="E2981" s="15"/>
      <c r="F2981" s="24"/>
      <c r="G2981" s="17"/>
      <c r="H2981" s="17"/>
      <c r="I2981" s="15"/>
      <c r="J2981" s="25">
        <f>IF($D2981="","",IFERROR(INDEX(PacNome,MATCH($D2981,PacCod,0)),"Paciente não cadastrado"))</f>
        <v>0</v>
      </c>
      <c r="K2981" s="26">
        <f>IF($D2981="","",IFERROR(INDEX(PacConv,MATCH($D2981,PacCod,0))&amp;"",""))</f>
        <v>0</v>
      </c>
      <c r="L2981" s="26">
        <f>IF($A2981="","",CHOOSE(WEEKDAY($A2981,2),"Seg","Ter","Qua","Qui","Sex","Sáb","Dom"))</f>
        <v>0</v>
      </c>
      <c r="M2981" s="27">
        <f>IF($E2981="","",IF($G2981&lt;&gt;"",$G2981,IFERROR(INDEX(ProcValor,MATCH($E2981,ProcNome,0)),0)))</f>
        <v>0</v>
      </c>
      <c r="N2981" s="27">
        <f>IF($M2981="","",IF($F2981="Compareceu",$M2981,0))</f>
        <v>0</v>
      </c>
      <c r="O2981" s="27">
        <f>IF($M2981="","",IF($F2981="Faltou",$M2981,0))</f>
        <v>0</v>
      </c>
      <c r="P2981" s="27">
        <f>IF($M2981="","",IF($F2981="Compareceu",MAX(0,$M2981-N($H2981)),0))</f>
        <v>0</v>
      </c>
      <c r="Q2981" s="19">
        <f>IF(AND($F2981="Compareceu",$E2981&lt;&gt;"",$A2981&lt;&gt;""),IF(IFERROR(INDEX(ProcRet,MATCH($E2981,ProcNome,0)),0)&gt;0,$A2981+INDEX(ProcRet,MATCH($E2981,ProcNome,0)),""),"")</f>
        <v>0</v>
      </c>
      <c r="R2981" s="26">
        <f>IF($Q2981="","",IF(COUNTIFS(AgPac,$D2981,AgData,"&gt;"&amp;$A2981,AgStatus,"&lt;&gt;Cancelado",AgStatus,"&lt;&gt;Remarcado")&gt;0,"Sim","Não"))</f>
        <v>0</v>
      </c>
      <c r="S2981" s="28">
        <f>IF($A2981="","",IF(AND($F2981="Agendado",$A2981-Hoje&gt;=0,$A2981-Hoje&lt;=DiasConf),"CONFIRMAR",IF(AND($A2981&lt;Hoje,OR($F2981="Agendado",$F2981="Confirmado")),"Atualizar status",IF(AND($F2981="Compareceu",$P2981&gt;0.005),"Cobrar",IF($F2981="Faltou","Falta: reagendar","")))))</f>
        <v>0</v>
      </c>
      <c r="T2981" s="29">
        <f>IF($A2981="","",DATE(YEAR($A2981),MONTH($A2981),1))</f>
        <v>0</v>
      </c>
      <c r="U2981" s="30">
        <f>IF($S2981="CONFIRMAR",MAX($U$4:$U2980)+1,"")</f>
        <v>0</v>
      </c>
      <c r="V2981" s="30">
        <f>IF(AND($R2981="Não",$Q2981&lt;&gt;"",$Q2981&lt;=Hoje+JanelaRet,$Q2981&gt;=Hoje-60),MAX($V$4:$V2980)+1,"")</f>
        <v>0</v>
      </c>
    </row>
    <row r="2982" spans="1:22">
      <c r="A2982" s="16"/>
      <c r="B2982" s="23"/>
      <c r="C2982" s="15"/>
      <c r="D2982" s="15"/>
      <c r="E2982" s="15"/>
      <c r="F2982" s="24"/>
      <c r="G2982" s="17"/>
      <c r="H2982" s="17"/>
      <c r="I2982" s="15"/>
      <c r="J2982" s="25">
        <f>IF($D2982="","",IFERROR(INDEX(PacNome,MATCH($D2982,PacCod,0)),"Paciente não cadastrado"))</f>
        <v>0</v>
      </c>
      <c r="K2982" s="26">
        <f>IF($D2982="","",IFERROR(INDEX(PacConv,MATCH($D2982,PacCod,0))&amp;"",""))</f>
        <v>0</v>
      </c>
      <c r="L2982" s="26">
        <f>IF($A2982="","",CHOOSE(WEEKDAY($A2982,2),"Seg","Ter","Qua","Qui","Sex","Sáb","Dom"))</f>
        <v>0</v>
      </c>
      <c r="M2982" s="27">
        <f>IF($E2982="","",IF($G2982&lt;&gt;"",$G2982,IFERROR(INDEX(ProcValor,MATCH($E2982,ProcNome,0)),0)))</f>
        <v>0</v>
      </c>
      <c r="N2982" s="27">
        <f>IF($M2982="","",IF($F2982="Compareceu",$M2982,0))</f>
        <v>0</v>
      </c>
      <c r="O2982" s="27">
        <f>IF($M2982="","",IF($F2982="Faltou",$M2982,0))</f>
        <v>0</v>
      </c>
      <c r="P2982" s="27">
        <f>IF($M2982="","",IF($F2982="Compareceu",MAX(0,$M2982-N($H2982)),0))</f>
        <v>0</v>
      </c>
      <c r="Q2982" s="19">
        <f>IF(AND($F2982="Compareceu",$E2982&lt;&gt;"",$A2982&lt;&gt;""),IF(IFERROR(INDEX(ProcRet,MATCH($E2982,ProcNome,0)),0)&gt;0,$A2982+INDEX(ProcRet,MATCH($E2982,ProcNome,0)),""),"")</f>
        <v>0</v>
      </c>
      <c r="R2982" s="26">
        <f>IF($Q2982="","",IF(COUNTIFS(AgPac,$D2982,AgData,"&gt;"&amp;$A2982,AgStatus,"&lt;&gt;Cancelado",AgStatus,"&lt;&gt;Remarcado")&gt;0,"Sim","Não"))</f>
        <v>0</v>
      </c>
      <c r="S2982" s="28">
        <f>IF($A2982="","",IF(AND($F2982="Agendado",$A2982-Hoje&gt;=0,$A2982-Hoje&lt;=DiasConf),"CONFIRMAR",IF(AND($A2982&lt;Hoje,OR($F2982="Agendado",$F2982="Confirmado")),"Atualizar status",IF(AND($F2982="Compareceu",$P2982&gt;0.005),"Cobrar",IF($F2982="Faltou","Falta: reagendar","")))))</f>
        <v>0</v>
      </c>
      <c r="T2982" s="29">
        <f>IF($A2982="","",DATE(YEAR($A2982),MONTH($A2982),1))</f>
        <v>0</v>
      </c>
      <c r="U2982" s="30">
        <f>IF($S2982="CONFIRMAR",MAX($U$4:$U2981)+1,"")</f>
        <v>0</v>
      </c>
      <c r="V2982" s="30">
        <f>IF(AND($R2982="Não",$Q2982&lt;&gt;"",$Q2982&lt;=Hoje+JanelaRet,$Q2982&gt;=Hoje-60),MAX($V$4:$V2981)+1,"")</f>
        <v>0</v>
      </c>
    </row>
    <row r="2983" spans="1:22">
      <c r="A2983" s="16"/>
      <c r="B2983" s="23"/>
      <c r="C2983" s="15"/>
      <c r="D2983" s="15"/>
      <c r="E2983" s="15"/>
      <c r="F2983" s="24"/>
      <c r="G2983" s="17"/>
      <c r="H2983" s="17"/>
      <c r="I2983" s="15"/>
      <c r="J2983" s="25">
        <f>IF($D2983="","",IFERROR(INDEX(PacNome,MATCH($D2983,PacCod,0)),"Paciente não cadastrado"))</f>
        <v>0</v>
      </c>
      <c r="K2983" s="26">
        <f>IF($D2983="","",IFERROR(INDEX(PacConv,MATCH($D2983,PacCod,0))&amp;"",""))</f>
        <v>0</v>
      </c>
      <c r="L2983" s="26">
        <f>IF($A2983="","",CHOOSE(WEEKDAY($A2983,2),"Seg","Ter","Qua","Qui","Sex","Sáb","Dom"))</f>
        <v>0</v>
      </c>
      <c r="M2983" s="27">
        <f>IF($E2983="","",IF($G2983&lt;&gt;"",$G2983,IFERROR(INDEX(ProcValor,MATCH($E2983,ProcNome,0)),0)))</f>
        <v>0</v>
      </c>
      <c r="N2983" s="27">
        <f>IF($M2983="","",IF($F2983="Compareceu",$M2983,0))</f>
        <v>0</v>
      </c>
      <c r="O2983" s="27">
        <f>IF($M2983="","",IF($F2983="Faltou",$M2983,0))</f>
        <v>0</v>
      </c>
      <c r="P2983" s="27">
        <f>IF($M2983="","",IF($F2983="Compareceu",MAX(0,$M2983-N($H2983)),0))</f>
        <v>0</v>
      </c>
      <c r="Q2983" s="19">
        <f>IF(AND($F2983="Compareceu",$E2983&lt;&gt;"",$A2983&lt;&gt;""),IF(IFERROR(INDEX(ProcRet,MATCH($E2983,ProcNome,0)),0)&gt;0,$A2983+INDEX(ProcRet,MATCH($E2983,ProcNome,0)),""),"")</f>
        <v>0</v>
      </c>
      <c r="R2983" s="26">
        <f>IF($Q2983="","",IF(COUNTIFS(AgPac,$D2983,AgData,"&gt;"&amp;$A2983,AgStatus,"&lt;&gt;Cancelado",AgStatus,"&lt;&gt;Remarcado")&gt;0,"Sim","Não"))</f>
        <v>0</v>
      </c>
      <c r="S2983" s="28">
        <f>IF($A2983="","",IF(AND($F2983="Agendado",$A2983-Hoje&gt;=0,$A2983-Hoje&lt;=DiasConf),"CONFIRMAR",IF(AND($A2983&lt;Hoje,OR($F2983="Agendado",$F2983="Confirmado")),"Atualizar status",IF(AND($F2983="Compareceu",$P2983&gt;0.005),"Cobrar",IF($F2983="Faltou","Falta: reagendar","")))))</f>
        <v>0</v>
      </c>
      <c r="T2983" s="29">
        <f>IF($A2983="","",DATE(YEAR($A2983),MONTH($A2983),1))</f>
        <v>0</v>
      </c>
      <c r="U2983" s="30">
        <f>IF($S2983="CONFIRMAR",MAX($U$4:$U2982)+1,"")</f>
        <v>0</v>
      </c>
      <c r="V2983" s="30">
        <f>IF(AND($R2983="Não",$Q2983&lt;&gt;"",$Q2983&lt;=Hoje+JanelaRet,$Q2983&gt;=Hoje-60),MAX($V$4:$V2982)+1,"")</f>
        <v>0</v>
      </c>
    </row>
    <row r="2984" spans="1:22">
      <c r="A2984" s="16"/>
      <c r="B2984" s="23"/>
      <c r="C2984" s="15"/>
      <c r="D2984" s="15"/>
      <c r="E2984" s="15"/>
      <c r="F2984" s="24"/>
      <c r="G2984" s="17"/>
      <c r="H2984" s="17"/>
      <c r="I2984" s="15"/>
      <c r="J2984" s="25">
        <f>IF($D2984="","",IFERROR(INDEX(PacNome,MATCH($D2984,PacCod,0)),"Paciente não cadastrado"))</f>
        <v>0</v>
      </c>
      <c r="K2984" s="26">
        <f>IF($D2984="","",IFERROR(INDEX(PacConv,MATCH($D2984,PacCod,0))&amp;"",""))</f>
        <v>0</v>
      </c>
      <c r="L2984" s="26">
        <f>IF($A2984="","",CHOOSE(WEEKDAY($A2984,2),"Seg","Ter","Qua","Qui","Sex","Sáb","Dom"))</f>
        <v>0</v>
      </c>
      <c r="M2984" s="27">
        <f>IF($E2984="","",IF($G2984&lt;&gt;"",$G2984,IFERROR(INDEX(ProcValor,MATCH($E2984,ProcNome,0)),0)))</f>
        <v>0</v>
      </c>
      <c r="N2984" s="27">
        <f>IF($M2984="","",IF($F2984="Compareceu",$M2984,0))</f>
        <v>0</v>
      </c>
      <c r="O2984" s="27">
        <f>IF($M2984="","",IF($F2984="Faltou",$M2984,0))</f>
        <v>0</v>
      </c>
      <c r="P2984" s="27">
        <f>IF($M2984="","",IF($F2984="Compareceu",MAX(0,$M2984-N($H2984)),0))</f>
        <v>0</v>
      </c>
      <c r="Q2984" s="19">
        <f>IF(AND($F2984="Compareceu",$E2984&lt;&gt;"",$A2984&lt;&gt;""),IF(IFERROR(INDEX(ProcRet,MATCH($E2984,ProcNome,0)),0)&gt;0,$A2984+INDEX(ProcRet,MATCH($E2984,ProcNome,0)),""),"")</f>
        <v>0</v>
      </c>
      <c r="R2984" s="26">
        <f>IF($Q2984="","",IF(COUNTIFS(AgPac,$D2984,AgData,"&gt;"&amp;$A2984,AgStatus,"&lt;&gt;Cancelado",AgStatus,"&lt;&gt;Remarcado")&gt;0,"Sim","Não"))</f>
        <v>0</v>
      </c>
      <c r="S2984" s="28">
        <f>IF($A2984="","",IF(AND($F2984="Agendado",$A2984-Hoje&gt;=0,$A2984-Hoje&lt;=DiasConf),"CONFIRMAR",IF(AND($A2984&lt;Hoje,OR($F2984="Agendado",$F2984="Confirmado")),"Atualizar status",IF(AND($F2984="Compareceu",$P2984&gt;0.005),"Cobrar",IF($F2984="Faltou","Falta: reagendar","")))))</f>
        <v>0</v>
      </c>
      <c r="T2984" s="29">
        <f>IF($A2984="","",DATE(YEAR($A2984),MONTH($A2984),1))</f>
        <v>0</v>
      </c>
      <c r="U2984" s="30">
        <f>IF($S2984="CONFIRMAR",MAX($U$4:$U2983)+1,"")</f>
        <v>0</v>
      </c>
      <c r="V2984" s="30">
        <f>IF(AND($R2984="Não",$Q2984&lt;&gt;"",$Q2984&lt;=Hoje+JanelaRet,$Q2984&gt;=Hoje-60),MAX($V$4:$V2983)+1,"")</f>
        <v>0</v>
      </c>
    </row>
    <row r="2985" spans="1:22">
      <c r="A2985" s="16"/>
      <c r="B2985" s="23"/>
      <c r="C2985" s="15"/>
      <c r="D2985" s="15"/>
      <c r="E2985" s="15"/>
      <c r="F2985" s="24"/>
      <c r="G2985" s="17"/>
      <c r="H2985" s="17"/>
      <c r="I2985" s="15"/>
      <c r="J2985" s="25">
        <f>IF($D2985="","",IFERROR(INDEX(PacNome,MATCH($D2985,PacCod,0)),"Paciente não cadastrado"))</f>
        <v>0</v>
      </c>
      <c r="K2985" s="26">
        <f>IF($D2985="","",IFERROR(INDEX(PacConv,MATCH($D2985,PacCod,0))&amp;"",""))</f>
        <v>0</v>
      </c>
      <c r="L2985" s="26">
        <f>IF($A2985="","",CHOOSE(WEEKDAY($A2985,2),"Seg","Ter","Qua","Qui","Sex","Sáb","Dom"))</f>
        <v>0</v>
      </c>
      <c r="M2985" s="27">
        <f>IF($E2985="","",IF($G2985&lt;&gt;"",$G2985,IFERROR(INDEX(ProcValor,MATCH($E2985,ProcNome,0)),0)))</f>
        <v>0</v>
      </c>
      <c r="N2985" s="27">
        <f>IF($M2985="","",IF($F2985="Compareceu",$M2985,0))</f>
        <v>0</v>
      </c>
      <c r="O2985" s="27">
        <f>IF($M2985="","",IF($F2985="Faltou",$M2985,0))</f>
        <v>0</v>
      </c>
      <c r="P2985" s="27">
        <f>IF($M2985="","",IF($F2985="Compareceu",MAX(0,$M2985-N($H2985)),0))</f>
        <v>0</v>
      </c>
      <c r="Q2985" s="19">
        <f>IF(AND($F2985="Compareceu",$E2985&lt;&gt;"",$A2985&lt;&gt;""),IF(IFERROR(INDEX(ProcRet,MATCH($E2985,ProcNome,0)),0)&gt;0,$A2985+INDEX(ProcRet,MATCH($E2985,ProcNome,0)),""),"")</f>
        <v>0</v>
      </c>
      <c r="R2985" s="26">
        <f>IF($Q2985="","",IF(COUNTIFS(AgPac,$D2985,AgData,"&gt;"&amp;$A2985,AgStatus,"&lt;&gt;Cancelado",AgStatus,"&lt;&gt;Remarcado")&gt;0,"Sim","Não"))</f>
        <v>0</v>
      </c>
      <c r="S2985" s="28">
        <f>IF($A2985="","",IF(AND($F2985="Agendado",$A2985-Hoje&gt;=0,$A2985-Hoje&lt;=DiasConf),"CONFIRMAR",IF(AND($A2985&lt;Hoje,OR($F2985="Agendado",$F2985="Confirmado")),"Atualizar status",IF(AND($F2985="Compareceu",$P2985&gt;0.005),"Cobrar",IF($F2985="Faltou","Falta: reagendar","")))))</f>
        <v>0</v>
      </c>
      <c r="T2985" s="29">
        <f>IF($A2985="","",DATE(YEAR($A2985),MONTH($A2985),1))</f>
        <v>0</v>
      </c>
      <c r="U2985" s="30">
        <f>IF($S2985="CONFIRMAR",MAX($U$4:$U2984)+1,"")</f>
        <v>0</v>
      </c>
      <c r="V2985" s="30">
        <f>IF(AND($R2985="Não",$Q2985&lt;&gt;"",$Q2985&lt;=Hoje+JanelaRet,$Q2985&gt;=Hoje-60),MAX($V$4:$V2984)+1,"")</f>
        <v>0</v>
      </c>
    </row>
    <row r="2986" spans="1:22">
      <c r="A2986" s="16"/>
      <c r="B2986" s="23"/>
      <c r="C2986" s="15"/>
      <c r="D2986" s="15"/>
      <c r="E2986" s="15"/>
      <c r="F2986" s="24"/>
      <c r="G2986" s="17"/>
      <c r="H2986" s="17"/>
      <c r="I2986" s="15"/>
      <c r="J2986" s="25">
        <f>IF($D2986="","",IFERROR(INDEX(PacNome,MATCH($D2986,PacCod,0)),"Paciente não cadastrado"))</f>
        <v>0</v>
      </c>
      <c r="K2986" s="26">
        <f>IF($D2986="","",IFERROR(INDEX(PacConv,MATCH($D2986,PacCod,0))&amp;"",""))</f>
        <v>0</v>
      </c>
      <c r="L2986" s="26">
        <f>IF($A2986="","",CHOOSE(WEEKDAY($A2986,2),"Seg","Ter","Qua","Qui","Sex","Sáb","Dom"))</f>
        <v>0</v>
      </c>
      <c r="M2986" s="27">
        <f>IF($E2986="","",IF($G2986&lt;&gt;"",$G2986,IFERROR(INDEX(ProcValor,MATCH($E2986,ProcNome,0)),0)))</f>
        <v>0</v>
      </c>
      <c r="N2986" s="27">
        <f>IF($M2986="","",IF($F2986="Compareceu",$M2986,0))</f>
        <v>0</v>
      </c>
      <c r="O2986" s="27">
        <f>IF($M2986="","",IF($F2986="Faltou",$M2986,0))</f>
        <v>0</v>
      </c>
      <c r="P2986" s="27">
        <f>IF($M2986="","",IF($F2986="Compareceu",MAX(0,$M2986-N($H2986)),0))</f>
        <v>0</v>
      </c>
      <c r="Q2986" s="19">
        <f>IF(AND($F2986="Compareceu",$E2986&lt;&gt;"",$A2986&lt;&gt;""),IF(IFERROR(INDEX(ProcRet,MATCH($E2986,ProcNome,0)),0)&gt;0,$A2986+INDEX(ProcRet,MATCH($E2986,ProcNome,0)),""),"")</f>
        <v>0</v>
      </c>
      <c r="R2986" s="26">
        <f>IF($Q2986="","",IF(COUNTIFS(AgPac,$D2986,AgData,"&gt;"&amp;$A2986,AgStatus,"&lt;&gt;Cancelado",AgStatus,"&lt;&gt;Remarcado")&gt;0,"Sim","Não"))</f>
        <v>0</v>
      </c>
      <c r="S2986" s="28">
        <f>IF($A2986="","",IF(AND($F2986="Agendado",$A2986-Hoje&gt;=0,$A2986-Hoje&lt;=DiasConf),"CONFIRMAR",IF(AND($A2986&lt;Hoje,OR($F2986="Agendado",$F2986="Confirmado")),"Atualizar status",IF(AND($F2986="Compareceu",$P2986&gt;0.005),"Cobrar",IF($F2986="Faltou","Falta: reagendar","")))))</f>
        <v>0</v>
      </c>
      <c r="T2986" s="29">
        <f>IF($A2986="","",DATE(YEAR($A2986),MONTH($A2986),1))</f>
        <v>0</v>
      </c>
      <c r="U2986" s="30">
        <f>IF($S2986="CONFIRMAR",MAX($U$4:$U2985)+1,"")</f>
        <v>0</v>
      </c>
      <c r="V2986" s="30">
        <f>IF(AND($R2986="Não",$Q2986&lt;&gt;"",$Q2986&lt;=Hoje+JanelaRet,$Q2986&gt;=Hoje-60),MAX($V$4:$V2985)+1,"")</f>
        <v>0</v>
      </c>
    </row>
    <row r="2987" spans="1:22">
      <c r="A2987" s="16"/>
      <c r="B2987" s="23"/>
      <c r="C2987" s="15"/>
      <c r="D2987" s="15"/>
      <c r="E2987" s="15"/>
      <c r="F2987" s="24"/>
      <c r="G2987" s="17"/>
      <c r="H2987" s="17"/>
      <c r="I2987" s="15"/>
      <c r="J2987" s="25">
        <f>IF($D2987="","",IFERROR(INDEX(PacNome,MATCH($D2987,PacCod,0)),"Paciente não cadastrado"))</f>
        <v>0</v>
      </c>
      <c r="K2987" s="26">
        <f>IF($D2987="","",IFERROR(INDEX(PacConv,MATCH($D2987,PacCod,0))&amp;"",""))</f>
        <v>0</v>
      </c>
      <c r="L2987" s="26">
        <f>IF($A2987="","",CHOOSE(WEEKDAY($A2987,2),"Seg","Ter","Qua","Qui","Sex","Sáb","Dom"))</f>
        <v>0</v>
      </c>
      <c r="M2987" s="27">
        <f>IF($E2987="","",IF($G2987&lt;&gt;"",$G2987,IFERROR(INDEX(ProcValor,MATCH($E2987,ProcNome,0)),0)))</f>
        <v>0</v>
      </c>
      <c r="N2987" s="27">
        <f>IF($M2987="","",IF($F2987="Compareceu",$M2987,0))</f>
        <v>0</v>
      </c>
      <c r="O2987" s="27">
        <f>IF($M2987="","",IF($F2987="Faltou",$M2987,0))</f>
        <v>0</v>
      </c>
      <c r="P2987" s="27">
        <f>IF($M2987="","",IF($F2987="Compareceu",MAX(0,$M2987-N($H2987)),0))</f>
        <v>0</v>
      </c>
      <c r="Q2987" s="19">
        <f>IF(AND($F2987="Compareceu",$E2987&lt;&gt;"",$A2987&lt;&gt;""),IF(IFERROR(INDEX(ProcRet,MATCH($E2987,ProcNome,0)),0)&gt;0,$A2987+INDEX(ProcRet,MATCH($E2987,ProcNome,0)),""),"")</f>
        <v>0</v>
      </c>
      <c r="R2987" s="26">
        <f>IF($Q2987="","",IF(COUNTIFS(AgPac,$D2987,AgData,"&gt;"&amp;$A2987,AgStatus,"&lt;&gt;Cancelado",AgStatus,"&lt;&gt;Remarcado")&gt;0,"Sim","Não"))</f>
        <v>0</v>
      </c>
      <c r="S2987" s="28">
        <f>IF($A2987="","",IF(AND($F2987="Agendado",$A2987-Hoje&gt;=0,$A2987-Hoje&lt;=DiasConf),"CONFIRMAR",IF(AND($A2987&lt;Hoje,OR($F2987="Agendado",$F2987="Confirmado")),"Atualizar status",IF(AND($F2987="Compareceu",$P2987&gt;0.005),"Cobrar",IF($F2987="Faltou","Falta: reagendar","")))))</f>
        <v>0</v>
      </c>
      <c r="T2987" s="29">
        <f>IF($A2987="","",DATE(YEAR($A2987),MONTH($A2987),1))</f>
        <v>0</v>
      </c>
      <c r="U2987" s="30">
        <f>IF($S2987="CONFIRMAR",MAX($U$4:$U2986)+1,"")</f>
        <v>0</v>
      </c>
      <c r="V2987" s="30">
        <f>IF(AND($R2987="Não",$Q2987&lt;&gt;"",$Q2987&lt;=Hoje+JanelaRet,$Q2987&gt;=Hoje-60),MAX($V$4:$V2986)+1,"")</f>
        <v>0</v>
      </c>
    </row>
    <row r="2988" spans="1:22">
      <c r="A2988" s="16"/>
      <c r="B2988" s="23"/>
      <c r="C2988" s="15"/>
      <c r="D2988" s="15"/>
      <c r="E2988" s="15"/>
      <c r="F2988" s="24"/>
      <c r="G2988" s="17"/>
      <c r="H2988" s="17"/>
      <c r="I2988" s="15"/>
      <c r="J2988" s="25">
        <f>IF($D2988="","",IFERROR(INDEX(PacNome,MATCH($D2988,PacCod,0)),"Paciente não cadastrado"))</f>
        <v>0</v>
      </c>
      <c r="K2988" s="26">
        <f>IF($D2988="","",IFERROR(INDEX(PacConv,MATCH($D2988,PacCod,0))&amp;"",""))</f>
        <v>0</v>
      </c>
      <c r="L2988" s="26">
        <f>IF($A2988="","",CHOOSE(WEEKDAY($A2988,2),"Seg","Ter","Qua","Qui","Sex","Sáb","Dom"))</f>
        <v>0</v>
      </c>
      <c r="M2988" s="27">
        <f>IF($E2988="","",IF($G2988&lt;&gt;"",$G2988,IFERROR(INDEX(ProcValor,MATCH($E2988,ProcNome,0)),0)))</f>
        <v>0</v>
      </c>
      <c r="N2988" s="27">
        <f>IF($M2988="","",IF($F2988="Compareceu",$M2988,0))</f>
        <v>0</v>
      </c>
      <c r="O2988" s="27">
        <f>IF($M2988="","",IF($F2988="Faltou",$M2988,0))</f>
        <v>0</v>
      </c>
      <c r="P2988" s="27">
        <f>IF($M2988="","",IF($F2988="Compareceu",MAX(0,$M2988-N($H2988)),0))</f>
        <v>0</v>
      </c>
      <c r="Q2988" s="19">
        <f>IF(AND($F2988="Compareceu",$E2988&lt;&gt;"",$A2988&lt;&gt;""),IF(IFERROR(INDEX(ProcRet,MATCH($E2988,ProcNome,0)),0)&gt;0,$A2988+INDEX(ProcRet,MATCH($E2988,ProcNome,0)),""),"")</f>
        <v>0</v>
      </c>
      <c r="R2988" s="26">
        <f>IF($Q2988="","",IF(COUNTIFS(AgPac,$D2988,AgData,"&gt;"&amp;$A2988,AgStatus,"&lt;&gt;Cancelado",AgStatus,"&lt;&gt;Remarcado")&gt;0,"Sim","Não"))</f>
        <v>0</v>
      </c>
      <c r="S2988" s="28">
        <f>IF($A2988="","",IF(AND($F2988="Agendado",$A2988-Hoje&gt;=0,$A2988-Hoje&lt;=DiasConf),"CONFIRMAR",IF(AND($A2988&lt;Hoje,OR($F2988="Agendado",$F2988="Confirmado")),"Atualizar status",IF(AND($F2988="Compareceu",$P2988&gt;0.005),"Cobrar",IF($F2988="Faltou","Falta: reagendar","")))))</f>
        <v>0</v>
      </c>
      <c r="T2988" s="29">
        <f>IF($A2988="","",DATE(YEAR($A2988),MONTH($A2988),1))</f>
        <v>0</v>
      </c>
      <c r="U2988" s="30">
        <f>IF($S2988="CONFIRMAR",MAX($U$4:$U2987)+1,"")</f>
        <v>0</v>
      </c>
      <c r="V2988" s="30">
        <f>IF(AND($R2988="Não",$Q2988&lt;&gt;"",$Q2988&lt;=Hoje+JanelaRet,$Q2988&gt;=Hoje-60),MAX($V$4:$V2987)+1,"")</f>
        <v>0</v>
      </c>
    </row>
    <row r="2989" spans="1:22">
      <c r="A2989" s="16"/>
      <c r="B2989" s="23"/>
      <c r="C2989" s="15"/>
      <c r="D2989" s="15"/>
      <c r="E2989" s="15"/>
      <c r="F2989" s="24"/>
      <c r="G2989" s="17"/>
      <c r="H2989" s="17"/>
      <c r="I2989" s="15"/>
      <c r="J2989" s="25">
        <f>IF($D2989="","",IFERROR(INDEX(PacNome,MATCH($D2989,PacCod,0)),"Paciente não cadastrado"))</f>
        <v>0</v>
      </c>
      <c r="K2989" s="26">
        <f>IF($D2989="","",IFERROR(INDEX(PacConv,MATCH($D2989,PacCod,0))&amp;"",""))</f>
        <v>0</v>
      </c>
      <c r="L2989" s="26">
        <f>IF($A2989="","",CHOOSE(WEEKDAY($A2989,2),"Seg","Ter","Qua","Qui","Sex","Sáb","Dom"))</f>
        <v>0</v>
      </c>
      <c r="M2989" s="27">
        <f>IF($E2989="","",IF($G2989&lt;&gt;"",$G2989,IFERROR(INDEX(ProcValor,MATCH($E2989,ProcNome,0)),0)))</f>
        <v>0</v>
      </c>
      <c r="N2989" s="27">
        <f>IF($M2989="","",IF($F2989="Compareceu",$M2989,0))</f>
        <v>0</v>
      </c>
      <c r="O2989" s="27">
        <f>IF($M2989="","",IF($F2989="Faltou",$M2989,0))</f>
        <v>0</v>
      </c>
      <c r="P2989" s="27">
        <f>IF($M2989="","",IF($F2989="Compareceu",MAX(0,$M2989-N($H2989)),0))</f>
        <v>0</v>
      </c>
      <c r="Q2989" s="19">
        <f>IF(AND($F2989="Compareceu",$E2989&lt;&gt;"",$A2989&lt;&gt;""),IF(IFERROR(INDEX(ProcRet,MATCH($E2989,ProcNome,0)),0)&gt;0,$A2989+INDEX(ProcRet,MATCH($E2989,ProcNome,0)),""),"")</f>
        <v>0</v>
      </c>
      <c r="R2989" s="26">
        <f>IF($Q2989="","",IF(COUNTIFS(AgPac,$D2989,AgData,"&gt;"&amp;$A2989,AgStatus,"&lt;&gt;Cancelado",AgStatus,"&lt;&gt;Remarcado")&gt;0,"Sim","Não"))</f>
        <v>0</v>
      </c>
      <c r="S2989" s="28">
        <f>IF($A2989="","",IF(AND($F2989="Agendado",$A2989-Hoje&gt;=0,$A2989-Hoje&lt;=DiasConf),"CONFIRMAR",IF(AND($A2989&lt;Hoje,OR($F2989="Agendado",$F2989="Confirmado")),"Atualizar status",IF(AND($F2989="Compareceu",$P2989&gt;0.005),"Cobrar",IF($F2989="Faltou","Falta: reagendar","")))))</f>
        <v>0</v>
      </c>
      <c r="T2989" s="29">
        <f>IF($A2989="","",DATE(YEAR($A2989),MONTH($A2989),1))</f>
        <v>0</v>
      </c>
      <c r="U2989" s="30">
        <f>IF($S2989="CONFIRMAR",MAX($U$4:$U2988)+1,"")</f>
        <v>0</v>
      </c>
      <c r="V2989" s="30">
        <f>IF(AND($R2989="Não",$Q2989&lt;&gt;"",$Q2989&lt;=Hoje+JanelaRet,$Q2989&gt;=Hoje-60),MAX($V$4:$V2988)+1,"")</f>
        <v>0</v>
      </c>
    </row>
    <row r="2990" spans="1:22">
      <c r="A2990" s="16"/>
      <c r="B2990" s="23"/>
      <c r="C2990" s="15"/>
      <c r="D2990" s="15"/>
      <c r="E2990" s="15"/>
      <c r="F2990" s="24"/>
      <c r="G2990" s="17"/>
      <c r="H2990" s="17"/>
      <c r="I2990" s="15"/>
      <c r="J2990" s="25">
        <f>IF($D2990="","",IFERROR(INDEX(PacNome,MATCH($D2990,PacCod,0)),"Paciente não cadastrado"))</f>
        <v>0</v>
      </c>
      <c r="K2990" s="26">
        <f>IF($D2990="","",IFERROR(INDEX(PacConv,MATCH($D2990,PacCod,0))&amp;"",""))</f>
        <v>0</v>
      </c>
      <c r="L2990" s="26">
        <f>IF($A2990="","",CHOOSE(WEEKDAY($A2990,2),"Seg","Ter","Qua","Qui","Sex","Sáb","Dom"))</f>
        <v>0</v>
      </c>
      <c r="M2990" s="27">
        <f>IF($E2990="","",IF($G2990&lt;&gt;"",$G2990,IFERROR(INDEX(ProcValor,MATCH($E2990,ProcNome,0)),0)))</f>
        <v>0</v>
      </c>
      <c r="N2990" s="27">
        <f>IF($M2990="","",IF($F2990="Compareceu",$M2990,0))</f>
        <v>0</v>
      </c>
      <c r="O2990" s="27">
        <f>IF($M2990="","",IF($F2990="Faltou",$M2990,0))</f>
        <v>0</v>
      </c>
      <c r="P2990" s="27">
        <f>IF($M2990="","",IF($F2990="Compareceu",MAX(0,$M2990-N($H2990)),0))</f>
        <v>0</v>
      </c>
      <c r="Q2990" s="19">
        <f>IF(AND($F2990="Compareceu",$E2990&lt;&gt;"",$A2990&lt;&gt;""),IF(IFERROR(INDEX(ProcRet,MATCH($E2990,ProcNome,0)),0)&gt;0,$A2990+INDEX(ProcRet,MATCH($E2990,ProcNome,0)),""),"")</f>
        <v>0</v>
      </c>
      <c r="R2990" s="26">
        <f>IF($Q2990="","",IF(COUNTIFS(AgPac,$D2990,AgData,"&gt;"&amp;$A2990,AgStatus,"&lt;&gt;Cancelado",AgStatus,"&lt;&gt;Remarcado")&gt;0,"Sim","Não"))</f>
        <v>0</v>
      </c>
      <c r="S2990" s="28">
        <f>IF($A2990="","",IF(AND($F2990="Agendado",$A2990-Hoje&gt;=0,$A2990-Hoje&lt;=DiasConf),"CONFIRMAR",IF(AND($A2990&lt;Hoje,OR($F2990="Agendado",$F2990="Confirmado")),"Atualizar status",IF(AND($F2990="Compareceu",$P2990&gt;0.005),"Cobrar",IF($F2990="Faltou","Falta: reagendar","")))))</f>
        <v>0</v>
      </c>
      <c r="T2990" s="29">
        <f>IF($A2990="","",DATE(YEAR($A2990),MONTH($A2990),1))</f>
        <v>0</v>
      </c>
      <c r="U2990" s="30">
        <f>IF($S2990="CONFIRMAR",MAX($U$4:$U2989)+1,"")</f>
        <v>0</v>
      </c>
      <c r="V2990" s="30">
        <f>IF(AND($R2990="Não",$Q2990&lt;&gt;"",$Q2990&lt;=Hoje+JanelaRet,$Q2990&gt;=Hoje-60),MAX($V$4:$V2989)+1,"")</f>
        <v>0</v>
      </c>
    </row>
    <row r="2991" spans="1:22">
      <c r="A2991" s="16"/>
      <c r="B2991" s="23"/>
      <c r="C2991" s="15"/>
      <c r="D2991" s="15"/>
      <c r="E2991" s="15"/>
      <c r="F2991" s="24"/>
      <c r="G2991" s="17"/>
      <c r="H2991" s="17"/>
      <c r="I2991" s="15"/>
      <c r="J2991" s="25">
        <f>IF($D2991="","",IFERROR(INDEX(PacNome,MATCH($D2991,PacCod,0)),"Paciente não cadastrado"))</f>
        <v>0</v>
      </c>
      <c r="K2991" s="26">
        <f>IF($D2991="","",IFERROR(INDEX(PacConv,MATCH($D2991,PacCod,0))&amp;"",""))</f>
        <v>0</v>
      </c>
      <c r="L2991" s="26">
        <f>IF($A2991="","",CHOOSE(WEEKDAY($A2991,2),"Seg","Ter","Qua","Qui","Sex","Sáb","Dom"))</f>
        <v>0</v>
      </c>
      <c r="M2991" s="27">
        <f>IF($E2991="","",IF($G2991&lt;&gt;"",$G2991,IFERROR(INDEX(ProcValor,MATCH($E2991,ProcNome,0)),0)))</f>
        <v>0</v>
      </c>
      <c r="N2991" s="27">
        <f>IF($M2991="","",IF($F2991="Compareceu",$M2991,0))</f>
        <v>0</v>
      </c>
      <c r="O2991" s="27">
        <f>IF($M2991="","",IF($F2991="Faltou",$M2991,0))</f>
        <v>0</v>
      </c>
      <c r="P2991" s="27">
        <f>IF($M2991="","",IF($F2991="Compareceu",MAX(0,$M2991-N($H2991)),0))</f>
        <v>0</v>
      </c>
      <c r="Q2991" s="19">
        <f>IF(AND($F2991="Compareceu",$E2991&lt;&gt;"",$A2991&lt;&gt;""),IF(IFERROR(INDEX(ProcRet,MATCH($E2991,ProcNome,0)),0)&gt;0,$A2991+INDEX(ProcRet,MATCH($E2991,ProcNome,0)),""),"")</f>
        <v>0</v>
      </c>
      <c r="R2991" s="26">
        <f>IF($Q2991="","",IF(COUNTIFS(AgPac,$D2991,AgData,"&gt;"&amp;$A2991,AgStatus,"&lt;&gt;Cancelado",AgStatus,"&lt;&gt;Remarcado")&gt;0,"Sim","Não"))</f>
        <v>0</v>
      </c>
      <c r="S2991" s="28">
        <f>IF($A2991="","",IF(AND($F2991="Agendado",$A2991-Hoje&gt;=0,$A2991-Hoje&lt;=DiasConf),"CONFIRMAR",IF(AND($A2991&lt;Hoje,OR($F2991="Agendado",$F2991="Confirmado")),"Atualizar status",IF(AND($F2991="Compareceu",$P2991&gt;0.005),"Cobrar",IF($F2991="Faltou","Falta: reagendar","")))))</f>
        <v>0</v>
      </c>
      <c r="T2991" s="29">
        <f>IF($A2991="","",DATE(YEAR($A2991),MONTH($A2991),1))</f>
        <v>0</v>
      </c>
      <c r="U2991" s="30">
        <f>IF($S2991="CONFIRMAR",MAX($U$4:$U2990)+1,"")</f>
        <v>0</v>
      </c>
      <c r="V2991" s="30">
        <f>IF(AND($R2991="Não",$Q2991&lt;&gt;"",$Q2991&lt;=Hoje+JanelaRet,$Q2991&gt;=Hoje-60),MAX($V$4:$V2990)+1,"")</f>
        <v>0</v>
      </c>
    </row>
    <row r="2992" spans="1:22">
      <c r="A2992" s="16"/>
      <c r="B2992" s="23"/>
      <c r="C2992" s="15"/>
      <c r="D2992" s="15"/>
      <c r="E2992" s="15"/>
      <c r="F2992" s="24"/>
      <c r="G2992" s="17"/>
      <c r="H2992" s="17"/>
      <c r="I2992" s="15"/>
      <c r="J2992" s="25">
        <f>IF($D2992="","",IFERROR(INDEX(PacNome,MATCH($D2992,PacCod,0)),"Paciente não cadastrado"))</f>
        <v>0</v>
      </c>
      <c r="K2992" s="26">
        <f>IF($D2992="","",IFERROR(INDEX(PacConv,MATCH($D2992,PacCod,0))&amp;"",""))</f>
        <v>0</v>
      </c>
      <c r="L2992" s="26">
        <f>IF($A2992="","",CHOOSE(WEEKDAY($A2992,2),"Seg","Ter","Qua","Qui","Sex","Sáb","Dom"))</f>
        <v>0</v>
      </c>
      <c r="M2992" s="27">
        <f>IF($E2992="","",IF($G2992&lt;&gt;"",$G2992,IFERROR(INDEX(ProcValor,MATCH($E2992,ProcNome,0)),0)))</f>
        <v>0</v>
      </c>
      <c r="N2992" s="27">
        <f>IF($M2992="","",IF($F2992="Compareceu",$M2992,0))</f>
        <v>0</v>
      </c>
      <c r="O2992" s="27">
        <f>IF($M2992="","",IF($F2992="Faltou",$M2992,0))</f>
        <v>0</v>
      </c>
      <c r="P2992" s="27">
        <f>IF($M2992="","",IF($F2992="Compareceu",MAX(0,$M2992-N($H2992)),0))</f>
        <v>0</v>
      </c>
      <c r="Q2992" s="19">
        <f>IF(AND($F2992="Compareceu",$E2992&lt;&gt;"",$A2992&lt;&gt;""),IF(IFERROR(INDEX(ProcRet,MATCH($E2992,ProcNome,0)),0)&gt;0,$A2992+INDEX(ProcRet,MATCH($E2992,ProcNome,0)),""),"")</f>
        <v>0</v>
      </c>
      <c r="R2992" s="26">
        <f>IF($Q2992="","",IF(COUNTIFS(AgPac,$D2992,AgData,"&gt;"&amp;$A2992,AgStatus,"&lt;&gt;Cancelado",AgStatus,"&lt;&gt;Remarcado")&gt;0,"Sim","Não"))</f>
        <v>0</v>
      </c>
      <c r="S2992" s="28">
        <f>IF($A2992="","",IF(AND($F2992="Agendado",$A2992-Hoje&gt;=0,$A2992-Hoje&lt;=DiasConf),"CONFIRMAR",IF(AND($A2992&lt;Hoje,OR($F2992="Agendado",$F2992="Confirmado")),"Atualizar status",IF(AND($F2992="Compareceu",$P2992&gt;0.005),"Cobrar",IF($F2992="Faltou","Falta: reagendar","")))))</f>
        <v>0</v>
      </c>
      <c r="T2992" s="29">
        <f>IF($A2992="","",DATE(YEAR($A2992),MONTH($A2992),1))</f>
        <v>0</v>
      </c>
      <c r="U2992" s="30">
        <f>IF($S2992="CONFIRMAR",MAX($U$4:$U2991)+1,"")</f>
        <v>0</v>
      </c>
      <c r="V2992" s="30">
        <f>IF(AND($R2992="Não",$Q2992&lt;&gt;"",$Q2992&lt;=Hoje+JanelaRet,$Q2992&gt;=Hoje-60),MAX($V$4:$V2991)+1,"")</f>
        <v>0</v>
      </c>
    </row>
    <row r="2993" spans="1:22">
      <c r="A2993" s="16"/>
      <c r="B2993" s="23"/>
      <c r="C2993" s="15"/>
      <c r="D2993" s="15"/>
      <c r="E2993" s="15"/>
      <c r="F2993" s="24"/>
      <c r="G2993" s="17"/>
      <c r="H2993" s="17"/>
      <c r="I2993" s="15"/>
      <c r="J2993" s="25">
        <f>IF($D2993="","",IFERROR(INDEX(PacNome,MATCH($D2993,PacCod,0)),"Paciente não cadastrado"))</f>
        <v>0</v>
      </c>
      <c r="K2993" s="26">
        <f>IF($D2993="","",IFERROR(INDEX(PacConv,MATCH($D2993,PacCod,0))&amp;"",""))</f>
        <v>0</v>
      </c>
      <c r="L2993" s="26">
        <f>IF($A2993="","",CHOOSE(WEEKDAY($A2993,2),"Seg","Ter","Qua","Qui","Sex","Sáb","Dom"))</f>
        <v>0</v>
      </c>
      <c r="M2993" s="27">
        <f>IF($E2993="","",IF($G2993&lt;&gt;"",$G2993,IFERROR(INDEX(ProcValor,MATCH($E2993,ProcNome,0)),0)))</f>
        <v>0</v>
      </c>
      <c r="N2993" s="27">
        <f>IF($M2993="","",IF($F2993="Compareceu",$M2993,0))</f>
        <v>0</v>
      </c>
      <c r="O2993" s="27">
        <f>IF($M2993="","",IF($F2993="Faltou",$M2993,0))</f>
        <v>0</v>
      </c>
      <c r="P2993" s="27">
        <f>IF($M2993="","",IF($F2993="Compareceu",MAX(0,$M2993-N($H2993)),0))</f>
        <v>0</v>
      </c>
      <c r="Q2993" s="19">
        <f>IF(AND($F2993="Compareceu",$E2993&lt;&gt;"",$A2993&lt;&gt;""),IF(IFERROR(INDEX(ProcRet,MATCH($E2993,ProcNome,0)),0)&gt;0,$A2993+INDEX(ProcRet,MATCH($E2993,ProcNome,0)),""),"")</f>
        <v>0</v>
      </c>
      <c r="R2993" s="26">
        <f>IF($Q2993="","",IF(COUNTIFS(AgPac,$D2993,AgData,"&gt;"&amp;$A2993,AgStatus,"&lt;&gt;Cancelado",AgStatus,"&lt;&gt;Remarcado")&gt;0,"Sim","Não"))</f>
        <v>0</v>
      </c>
      <c r="S2993" s="28">
        <f>IF($A2993="","",IF(AND($F2993="Agendado",$A2993-Hoje&gt;=0,$A2993-Hoje&lt;=DiasConf),"CONFIRMAR",IF(AND($A2993&lt;Hoje,OR($F2993="Agendado",$F2993="Confirmado")),"Atualizar status",IF(AND($F2993="Compareceu",$P2993&gt;0.005),"Cobrar",IF($F2993="Faltou","Falta: reagendar","")))))</f>
        <v>0</v>
      </c>
      <c r="T2993" s="29">
        <f>IF($A2993="","",DATE(YEAR($A2993),MONTH($A2993),1))</f>
        <v>0</v>
      </c>
      <c r="U2993" s="30">
        <f>IF($S2993="CONFIRMAR",MAX($U$4:$U2992)+1,"")</f>
        <v>0</v>
      </c>
      <c r="V2993" s="30">
        <f>IF(AND($R2993="Não",$Q2993&lt;&gt;"",$Q2993&lt;=Hoje+JanelaRet,$Q2993&gt;=Hoje-60),MAX($V$4:$V2992)+1,"")</f>
        <v>0</v>
      </c>
    </row>
    <row r="2994" spans="1:22">
      <c r="A2994" s="16"/>
      <c r="B2994" s="23"/>
      <c r="C2994" s="15"/>
      <c r="D2994" s="15"/>
      <c r="E2994" s="15"/>
      <c r="F2994" s="24"/>
      <c r="G2994" s="17"/>
      <c r="H2994" s="17"/>
      <c r="I2994" s="15"/>
      <c r="J2994" s="25">
        <f>IF($D2994="","",IFERROR(INDEX(PacNome,MATCH($D2994,PacCod,0)),"Paciente não cadastrado"))</f>
        <v>0</v>
      </c>
      <c r="K2994" s="26">
        <f>IF($D2994="","",IFERROR(INDEX(PacConv,MATCH($D2994,PacCod,0))&amp;"",""))</f>
        <v>0</v>
      </c>
      <c r="L2994" s="26">
        <f>IF($A2994="","",CHOOSE(WEEKDAY($A2994,2),"Seg","Ter","Qua","Qui","Sex","Sáb","Dom"))</f>
        <v>0</v>
      </c>
      <c r="M2994" s="27">
        <f>IF($E2994="","",IF($G2994&lt;&gt;"",$G2994,IFERROR(INDEX(ProcValor,MATCH($E2994,ProcNome,0)),0)))</f>
        <v>0</v>
      </c>
      <c r="N2994" s="27">
        <f>IF($M2994="","",IF($F2994="Compareceu",$M2994,0))</f>
        <v>0</v>
      </c>
      <c r="O2994" s="27">
        <f>IF($M2994="","",IF($F2994="Faltou",$M2994,0))</f>
        <v>0</v>
      </c>
      <c r="P2994" s="27">
        <f>IF($M2994="","",IF($F2994="Compareceu",MAX(0,$M2994-N($H2994)),0))</f>
        <v>0</v>
      </c>
      <c r="Q2994" s="19">
        <f>IF(AND($F2994="Compareceu",$E2994&lt;&gt;"",$A2994&lt;&gt;""),IF(IFERROR(INDEX(ProcRet,MATCH($E2994,ProcNome,0)),0)&gt;0,$A2994+INDEX(ProcRet,MATCH($E2994,ProcNome,0)),""),"")</f>
        <v>0</v>
      </c>
      <c r="R2994" s="26">
        <f>IF($Q2994="","",IF(COUNTIFS(AgPac,$D2994,AgData,"&gt;"&amp;$A2994,AgStatus,"&lt;&gt;Cancelado",AgStatus,"&lt;&gt;Remarcado")&gt;0,"Sim","Não"))</f>
        <v>0</v>
      </c>
      <c r="S2994" s="28">
        <f>IF($A2994="","",IF(AND($F2994="Agendado",$A2994-Hoje&gt;=0,$A2994-Hoje&lt;=DiasConf),"CONFIRMAR",IF(AND($A2994&lt;Hoje,OR($F2994="Agendado",$F2994="Confirmado")),"Atualizar status",IF(AND($F2994="Compareceu",$P2994&gt;0.005),"Cobrar",IF($F2994="Faltou","Falta: reagendar","")))))</f>
        <v>0</v>
      </c>
      <c r="T2994" s="29">
        <f>IF($A2994="","",DATE(YEAR($A2994),MONTH($A2994),1))</f>
        <v>0</v>
      </c>
      <c r="U2994" s="30">
        <f>IF($S2994="CONFIRMAR",MAX($U$4:$U2993)+1,"")</f>
        <v>0</v>
      </c>
      <c r="V2994" s="30">
        <f>IF(AND($R2994="Não",$Q2994&lt;&gt;"",$Q2994&lt;=Hoje+JanelaRet,$Q2994&gt;=Hoje-60),MAX($V$4:$V2993)+1,"")</f>
        <v>0</v>
      </c>
    </row>
    <row r="2995" spans="1:22">
      <c r="A2995" s="16"/>
      <c r="B2995" s="23"/>
      <c r="C2995" s="15"/>
      <c r="D2995" s="15"/>
      <c r="E2995" s="15"/>
      <c r="F2995" s="24"/>
      <c r="G2995" s="17"/>
      <c r="H2995" s="17"/>
      <c r="I2995" s="15"/>
      <c r="J2995" s="25">
        <f>IF($D2995="","",IFERROR(INDEX(PacNome,MATCH($D2995,PacCod,0)),"Paciente não cadastrado"))</f>
        <v>0</v>
      </c>
      <c r="K2995" s="26">
        <f>IF($D2995="","",IFERROR(INDEX(PacConv,MATCH($D2995,PacCod,0))&amp;"",""))</f>
        <v>0</v>
      </c>
      <c r="L2995" s="26">
        <f>IF($A2995="","",CHOOSE(WEEKDAY($A2995,2),"Seg","Ter","Qua","Qui","Sex","Sáb","Dom"))</f>
        <v>0</v>
      </c>
      <c r="M2995" s="27">
        <f>IF($E2995="","",IF($G2995&lt;&gt;"",$G2995,IFERROR(INDEX(ProcValor,MATCH($E2995,ProcNome,0)),0)))</f>
        <v>0</v>
      </c>
      <c r="N2995" s="27">
        <f>IF($M2995="","",IF($F2995="Compareceu",$M2995,0))</f>
        <v>0</v>
      </c>
      <c r="O2995" s="27">
        <f>IF($M2995="","",IF($F2995="Faltou",$M2995,0))</f>
        <v>0</v>
      </c>
      <c r="P2995" s="27">
        <f>IF($M2995="","",IF($F2995="Compareceu",MAX(0,$M2995-N($H2995)),0))</f>
        <v>0</v>
      </c>
      <c r="Q2995" s="19">
        <f>IF(AND($F2995="Compareceu",$E2995&lt;&gt;"",$A2995&lt;&gt;""),IF(IFERROR(INDEX(ProcRet,MATCH($E2995,ProcNome,0)),0)&gt;0,$A2995+INDEX(ProcRet,MATCH($E2995,ProcNome,0)),""),"")</f>
        <v>0</v>
      </c>
      <c r="R2995" s="26">
        <f>IF($Q2995="","",IF(COUNTIFS(AgPac,$D2995,AgData,"&gt;"&amp;$A2995,AgStatus,"&lt;&gt;Cancelado",AgStatus,"&lt;&gt;Remarcado")&gt;0,"Sim","Não"))</f>
        <v>0</v>
      </c>
      <c r="S2995" s="28">
        <f>IF($A2995="","",IF(AND($F2995="Agendado",$A2995-Hoje&gt;=0,$A2995-Hoje&lt;=DiasConf),"CONFIRMAR",IF(AND($A2995&lt;Hoje,OR($F2995="Agendado",$F2995="Confirmado")),"Atualizar status",IF(AND($F2995="Compareceu",$P2995&gt;0.005),"Cobrar",IF($F2995="Faltou","Falta: reagendar","")))))</f>
        <v>0</v>
      </c>
      <c r="T2995" s="29">
        <f>IF($A2995="","",DATE(YEAR($A2995),MONTH($A2995),1))</f>
        <v>0</v>
      </c>
      <c r="U2995" s="30">
        <f>IF($S2995="CONFIRMAR",MAX($U$4:$U2994)+1,"")</f>
        <v>0</v>
      </c>
      <c r="V2995" s="30">
        <f>IF(AND($R2995="Não",$Q2995&lt;&gt;"",$Q2995&lt;=Hoje+JanelaRet,$Q2995&gt;=Hoje-60),MAX($V$4:$V2994)+1,"")</f>
        <v>0</v>
      </c>
    </row>
    <row r="2996" spans="1:22">
      <c r="A2996" s="16"/>
      <c r="B2996" s="23"/>
      <c r="C2996" s="15"/>
      <c r="D2996" s="15"/>
      <c r="E2996" s="15"/>
      <c r="F2996" s="24"/>
      <c r="G2996" s="17"/>
      <c r="H2996" s="17"/>
      <c r="I2996" s="15"/>
      <c r="J2996" s="25">
        <f>IF($D2996="","",IFERROR(INDEX(PacNome,MATCH($D2996,PacCod,0)),"Paciente não cadastrado"))</f>
        <v>0</v>
      </c>
      <c r="K2996" s="26">
        <f>IF($D2996="","",IFERROR(INDEX(PacConv,MATCH($D2996,PacCod,0))&amp;"",""))</f>
        <v>0</v>
      </c>
      <c r="L2996" s="26">
        <f>IF($A2996="","",CHOOSE(WEEKDAY($A2996,2),"Seg","Ter","Qua","Qui","Sex","Sáb","Dom"))</f>
        <v>0</v>
      </c>
      <c r="M2996" s="27">
        <f>IF($E2996="","",IF($G2996&lt;&gt;"",$G2996,IFERROR(INDEX(ProcValor,MATCH($E2996,ProcNome,0)),0)))</f>
        <v>0</v>
      </c>
      <c r="N2996" s="27">
        <f>IF($M2996="","",IF($F2996="Compareceu",$M2996,0))</f>
        <v>0</v>
      </c>
      <c r="O2996" s="27">
        <f>IF($M2996="","",IF($F2996="Faltou",$M2996,0))</f>
        <v>0</v>
      </c>
      <c r="P2996" s="27">
        <f>IF($M2996="","",IF($F2996="Compareceu",MAX(0,$M2996-N($H2996)),0))</f>
        <v>0</v>
      </c>
      <c r="Q2996" s="19">
        <f>IF(AND($F2996="Compareceu",$E2996&lt;&gt;"",$A2996&lt;&gt;""),IF(IFERROR(INDEX(ProcRet,MATCH($E2996,ProcNome,0)),0)&gt;0,$A2996+INDEX(ProcRet,MATCH($E2996,ProcNome,0)),""),"")</f>
        <v>0</v>
      </c>
      <c r="R2996" s="26">
        <f>IF($Q2996="","",IF(COUNTIFS(AgPac,$D2996,AgData,"&gt;"&amp;$A2996,AgStatus,"&lt;&gt;Cancelado",AgStatus,"&lt;&gt;Remarcado")&gt;0,"Sim","Não"))</f>
        <v>0</v>
      </c>
      <c r="S2996" s="28">
        <f>IF($A2996="","",IF(AND($F2996="Agendado",$A2996-Hoje&gt;=0,$A2996-Hoje&lt;=DiasConf),"CONFIRMAR",IF(AND($A2996&lt;Hoje,OR($F2996="Agendado",$F2996="Confirmado")),"Atualizar status",IF(AND($F2996="Compareceu",$P2996&gt;0.005),"Cobrar",IF($F2996="Faltou","Falta: reagendar","")))))</f>
        <v>0</v>
      </c>
      <c r="T2996" s="29">
        <f>IF($A2996="","",DATE(YEAR($A2996),MONTH($A2996),1))</f>
        <v>0</v>
      </c>
      <c r="U2996" s="30">
        <f>IF($S2996="CONFIRMAR",MAX($U$4:$U2995)+1,"")</f>
        <v>0</v>
      </c>
      <c r="V2996" s="30">
        <f>IF(AND($R2996="Não",$Q2996&lt;&gt;"",$Q2996&lt;=Hoje+JanelaRet,$Q2996&gt;=Hoje-60),MAX($V$4:$V2995)+1,"")</f>
        <v>0</v>
      </c>
    </row>
    <row r="2997" spans="1:22">
      <c r="A2997" s="16"/>
      <c r="B2997" s="23"/>
      <c r="C2997" s="15"/>
      <c r="D2997" s="15"/>
      <c r="E2997" s="15"/>
      <c r="F2997" s="24"/>
      <c r="G2997" s="17"/>
      <c r="H2997" s="17"/>
      <c r="I2997" s="15"/>
      <c r="J2997" s="25">
        <f>IF($D2997="","",IFERROR(INDEX(PacNome,MATCH($D2997,PacCod,0)),"Paciente não cadastrado"))</f>
        <v>0</v>
      </c>
      <c r="K2997" s="26">
        <f>IF($D2997="","",IFERROR(INDEX(PacConv,MATCH($D2997,PacCod,0))&amp;"",""))</f>
        <v>0</v>
      </c>
      <c r="L2997" s="26">
        <f>IF($A2997="","",CHOOSE(WEEKDAY($A2997,2),"Seg","Ter","Qua","Qui","Sex","Sáb","Dom"))</f>
        <v>0</v>
      </c>
      <c r="M2997" s="27">
        <f>IF($E2997="","",IF($G2997&lt;&gt;"",$G2997,IFERROR(INDEX(ProcValor,MATCH($E2997,ProcNome,0)),0)))</f>
        <v>0</v>
      </c>
      <c r="N2997" s="27">
        <f>IF($M2997="","",IF($F2997="Compareceu",$M2997,0))</f>
        <v>0</v>
      </c>
      <c r="O2997" s="27">
        <f>IF($M2997="","",IF($F2997="Faltou",$M2997,0))</f>
        <v>0</v>
      </c>
      <c r="P2997" s="27">
        <f>IF($M2997="","",IF($F2997="Compareceu",MAX(0,$M2997-N($H2997)),0))</f>
        <v>0</v>
      </c>
      <c r="Q2997" s="19">
        <f>IF(AND($F2997="Compareceu",$E2997&lt;&gt;"",$A2997&lt;&gt;""),IF(IFERROR(INDEX(ProcRet,MATCH($E2997,ProcNome,0)),0)&gt;0,$A2997+INDEX(ProcRet,MATCH($E2997,ProcNome,0)),""),"")</f>
        <v>0</v>
      </c>
      <c r="R2997" s="26">
        <f>IF($Q2997="","",IF(COUNTIFS(AgPac,$D2997,AgData,"&gt;"&amp;$A2997,AgStatus,"&lt;&gt;Cancelado",AgStatus,"&lt;&gt;Remarcado")&gt;0,"Sim","Não"))</f>
        <v>0</v>
      </c>
      <c r="S2997" s="28">
        <f>IF($A2997="","",IF(AND($F2997="Agendado",$A2997-Hoje&gt;=0,$A2997-Hoje&lt;=DiasConf),"CONFIRMAR",IF(AND($A2997&lt;Hoje,OR($F2997="Agendado",$F2997="Confirmado")),"Atualizar status",IF(AND($F2997="Compareceu",$P2997&gt;0.005),"Cobrar",IF($F2997="Faltou","Falta: reagendar","")))))</f>
        <v>0</v>
      </c>
      <c r="T2997" s="29">
        <f>IF($A2997="","",DATE(YEAR($A2997),MONTH($A2997),1))</f>
        <v>0</v>
      </c>
      <c r="U2997" s="30">
        <f>IF($S2997="CONFIRMAR",MAX($U$4:$U2996)+1,"")</f>
        <v>0</v>
      </c>
      <c r="V2997" s="30">
        <f>IF(AND($R2997="Não",$Q2997&lt;&gt;"",$Q2997&lt;=Hoje+JanelaRet,$Q2997&gt;=Hoje-60),MAX($V$4:$V2996)+1,"")</f>
        <v>0</v>
      </c>
    </row>
    <row r="2998" spans="1:22">
      <c r="A2998" s="16"/>
      <c r="B2998" s="23"/>
      <c r="C2998" s="15"/>
      <c r="D2998" s="15"/>
      <c r="E2998" s="15"/>
      <c r="F2998" s="24"/>
      <c r="G2998" s="17"/>
      <c r="H2998" s="17"/>
      <c r="I2998" s="15"/>
      <c r="J2998" s="25">
        <f>IF($D2998="","",IFERROR(INDEX(PacNome,MATCH($D2998,PacCod,0)),"Paciente não cadastrado"))</f>
        <v>0</v>
      </c>
      <c r="K2998" s="26">
        <f>IF($D2998="","",IFERROR(INDEX(PacConv,MATCH($D2998,PacCod,0))&amp;"",""))</f>
        <v>0</v>
      </c>
      <c r="L2998" s="26">
        <f>IF($A2998="","",CHOOSE(WEEKDAY($A2998,2),"Seg","Ter","Qua","Qui","Sex","Sáb","Dom"))</f>
        <v>0</v>
      </c>
      <c r="M2998" s="27">
        <f>IF($E2998="","",IF($G2998&lt;&gt;"",$G2998,IFERROR(INDEX(ProcValor,MATCH($E2998,ProcNome,0)),0)))</f>
        <v>0</v>
      </c>
      <c r="N2998" s="27">
        <f>IF($M2998="","",IF($F2998="Compareceu",$M2998,0))</f>
        <v>0</v>
      </c>
      <c r="O2998" s="27">
        <f>IF($M2998="","",IF($F2998="Faltou",$M2998,0))</f>
        <v>0</v>
      </c>
      <c r="P2998" s="27">
        <f>IF($M2998="","",IF($F2998="Compareceu",MAX(0,$M2998-N($H2998)),0))</f>
        <v>0</v>
      </c>
      <c r="Q2998" s="19">
        <f>IF(AND($F2998="Compareceu",$E2998&lt;&gt;"",$A2998&lt;&gt;""),IF(IFERROR(INDEX(ProcRet,MATCH($E2998,ProcNome,0)),0)&gt;0,$A2998+INDEX(ProcRet,MATCH($E2998,ProcNome,0)),""),"")</f>
        <v>0</v>
      </c>
      <c r="R2998" s="26">
        <f>IF($Q2998="","",IF(COUNTIFS(AgPac,$D2998,AgData,"&gt;"&amp;$A2998,AgStatus,"&lt;&gt;Cancelado",AgStatus,"&lt;&gt;Remarcado")&gt;0,"Sim","Não"))</f>
        <v>0</v>
      </c>
      <c r="S2998" s="28">
        <f>IF($A2998="","",IF(AND($F2998="Agendado",$A2998-Hoje&gt;=0,$A2998-Hoje&lt;=DiasConf),"CONFIRMAR",IF(AND($A2998&lt;Hoje,OR($F2998="Agendado",$F2998="Confirmado")),"Atualizar status",IF(AND($F2998="Compareceu",$P2998&gt;0.005),"Cobrar",IF($F2998="Faltou","Falta: reagendar","")))))</f>
        <v>0</v>
      </c>
      <c r="T2998" s="29">
        <f>IF($A2998="","",DATE(YEAR($A2998),MONTH($A2998),1))</f>
        <v>0</v>
      </c>
      <c r="U2998" s="30">
        <f>IF($S2998="CONFIRMAR",MAX($U$4:$U2997)+1,"")</f>
        <v>0</v>
      </c>
      <c r="V2998" s="30">
        <f>IF(AND($R2998="Não",$Q2998&lt;&gt;"",$Q2998&lt;=Hoje+JanelaRet,$Q2998&gt;=Hoje-60),MAX($V$4:$V2997)+1,"")</f>
        <v>0</v>
      </c>
    </row>
    <row r="2999" spans="1:22">
      <c r="A2999" s="16"/>
      <c r="B2999" s="23"/>
      <c r="C2999" s="15"/>
      <c r="D2999" s="15"/>
      <c r="E2999" s="15"/>
      <c r="F2999" s="24"/>
      <c r="G2999" s="17"/>
      <c r="H2999" s="17"/>
      <c r="I2999" s="15"/>
      <c r="J2999" s="25">
        <f>IF($D2999="","",IFERROR(INDEX(PacNome,MATCH($D2999,PacCod,0)),"Paciente não cadastrado"))</f>
        <v>0</v>
      </c>
      <c r="K2999" s="26">
        <f>IF($D2999="","",IFERROR(INDEX(PacConv,MATCH($D2999,PacCod,0))&amp;"",""))</f>
        <v>0</v>
      </c>
      <c r="L2999" s="26">
        <f>IF($A2999="","",CHOOSE(WEEKDAY($A2999,2),"Seg","Ter","Qua","Qui","Sex","Sáb","Dom"))</f>
        <v>0</v>
      </c>
      <c r="M2999" s="27">
        <f>IF($E2999="","",IF($G2999&lt;&gt;"",$G2999,IFERROR(INDEX(ProcValor,MATCH($E2999,ProcNome,0)),0)))</f>
        <v>0</v>
      </c>
      <c r="N2999" s="27">
        <f>IF($M2999="","",IF($F2999="Compareceu",$M2999,0))</f>
        <v>0</v>
      </c>
      <c r="O2999" s="27">
        <f>IF($M2999="","",IF($F2999="Faltou",$M2999,0))</f>
        <v>0</v>
      </c>
      <c r="P2999" s="27">
        <f>IF($M2999="","",IF($F2999="Compareceu",MAX(0,$M2999-N($H2999)),0))</f>
        <v>0</v>
      </c>
      <c r="Q2999" s="19">
        <f>IF(AND($F2999="Compareceu",$E2999&lt;&gt;"",$A2999&lt;&gt;""),IF(IFERROR(INDEX(ProcRet,MATCH($E2999,ProcNome,0)),0)&gt;0,$A2999+INDEX(ProcRet,MATCH($E2999,ProcNome,0)),""),"")</f>
        <v>0</v>
      </c>
      <c r="R2999" s="26">
        <f>IF($Q2999="","",IF(COUNTIFS(AgPac,$D2999,AgData,"&gt;"&amp;$A2999,AgStatus,"&lt;&gt;Cancelado",AgStatus,"&lt;&gt;Remarcado")&gt;0,"Sim","Não"))</f>
        <v>0</v>
      </c>
      <c r="S2999" s="28">
        <f>IF($A2999="","",IF(AND($F2999="Agendado",$A2999-Hoje&gt;=0,$A2999-Hoje&lt;=DiasConf),"CONFIRMAR",IF(AND($A2999&lt;Hoje,OR($F2999="Agendado",$F2999="Confirmado")),"Atualizar status",IF(AND($F2999="Compareceu",$P2999&gt;0.005),"Cobrar",IF($F2999="Faltou","Falta: reagendar","")))))</f>
        <v>0</v>
      </c>
      <c r="T2999" s="29">
        <f>IF($A2999="","",DATE(YEAR($A2999),MONTH($A2999),1))</f>
        <v>0</v>
      </c>
      <c r="U2999" s="30">
        <f>IF($S2999="CONFIRMAR",MAX($U$4:$U2998)+1,"")</f>
        <v>0</v>
      </c>
      <c r="V2999" s="30">
        <f>IF(AND($R2999="Não",$Q2999&lt;&gt;"",$Q2999&lt;=Hoje+JanelaRet,$Q2999&gt;=Hoje-60),MAX($V$4:$V2998)+1,"")</f>
        <v>0</v>
      </c>
    </row>
    <row r="3000" spans="1:22">
      <c r="A3000" s="16"/>
      <c r="B3000" s="23"/>
      <c r="C3000" s="15"/>
      <c r="D3000" s="15"/>
      <c r="E3000" s="15"/>
      <c r="F3000" s="24"/>
      <c r="G3000" s="17"/>
      <c r="H3000" s="17"/>
      <c r="I3000" s="15"/>
      <c r="J3000" s="25">
        <f>IF($D3000="","",IFERROR(INDEX(PacNome,MATCH($D3000,PacCod,0)),"Paciente não cadastrado"))</f>
        <v>0</v>
      </c>
      <c r="K3000" s="26">
        <f>IF($D3000="","",IFERROR(INDEX(PacConv,MATCH($D3000,PacCod,0))&amp;"",""))</f>
        <v>0</v>
      </c>
      <c r="L3000" s="26">
        <f>IF($A3000="","",CHOOSE(WEEKDAY($A3000,2),"Seg","Ter","Qua","Qui","Sex","Sáb","Dom"))</f>
        <v>0</v>
      </c>
      <c r="M3000" s="27">
        <f>IF($E3000="","",IF($G3000&lt;&gt;"",$G3000,IFERROR(INDEX(ProcValor,MATCH($E3000,ProcNome,0)),0)))</f>
        <v>0</v>
      </c>
      <c r="N3000" s="27">
        <f>IF($M3000="","",IF($F3000="Compareceu",$M3000,0))</f>
        <v>0</v>
      </c>
      <c r="O3000" s="27">
        <f>IF($M3000="","",IF($F3000="Faltou",$M3000,0))</f>
        <v>0</v>
      </c>
      <c r="P3000" s="27">
        <f>IF($M3000="","",IF($F3000="Compareceu",MAX(0,$M3000-N($H3000)),0))</f>
        <v>0</v>
      </c>
      <c r="Q3000" s="19">
        <f>IF(AND($F3000="Compareceu",$E3000&lt;&gt;"",$A3000&lt;&gt;""),IF(IFERROR(INDEX(ProcRet,MATCH($E3000,ProcNome,0)),0)&gt;0,$A3000+INDEX(ProcRet,MATCH($E3000,ProcNome,0)),""),"")</f>
        <v>0</v>
      </c>
      <c r="R3000" s="26">
        <f>IF($Q3000="","",IF(COUNTIFS(AgPac,$D3000,AgData,"&gt;"&amp;$A3000,AgStatus,"&lt;&gt;Cancelado",AgStatus,"&lt;&gt;Remarcado")&gt;0,"Sim","Não"))</f>
        <v>0</v>
      </c>
      <c r="S3000" s="28">
        <f>IF($A3000="","",IF(AND($F3000="Agendado",$A3000-Hoje&gt;=0,$A3000-Hoje&lt;=DiasConf),"CONFIRMAR",IF(AND($A3000&lt;Hoje,OR($F3000="Agendado",$F3000="Confirmado")),"Atualizar status",IF(AND($F3000="Compareceu",$P3000&gt;0.005),"Cobrar",IF($F3000="Faltou","Falta: reagendar","")))))</f>
        <v>0</v>
      </c>
      <c r="T3000" s="29">
        <f>IF($A3000="","",DATE(YEAR($A3000),MONTH($A3000),1))</f>
        <v>0</v>
      </c>
      <c r="U3000" s="30">
        <f>IF($S3000="CONFIRMAR",MAX($U$4:$U2999)+1,"")</f>
        <v>0</v>
      </c>
      <c r="V3000" s="30">
        <f>IF(AND($R3000="Não",$Q3000&lt;&gt;"",$Q3000&lt;=Hoje+JanelaRet,$Q3000&gt;=Hoje-60),MAX($V$4:$V2999)+1,"")</f>
        <v>0</v>
      </c>
    </row>
    <row r="3001" spans="1:22">
      <c r="A3001" s="16"/>
      <c r="B3001" s="23"/>
      <c r="C3001" s="15"/>
      <c r="D3001" s="15"/>
      <c r="E3001" s="15"/>
      <c r="F3001" s="24"/>
      <c r="G3001" s="17"/>
      <c r="H3001" s="17"/>
      <c r="I3001" s="15"/>
      <c r="J3001" s="25">
        <f>IF($D3001="","",IFERROR(INDEX(PacNome,MATCH($D3001,PacCod,0)),"Paciente não cadastrado"))</f>
        <v>0</v>
      </c>
      <c r="K3001" s="26">
        <f>IF($D3001="","",IFERROR(INDEX(PacConv,MATCH($D3001,PacCod,0))&amp;"",""))</f>
        <v>0</v>
      </c>
      <c r="L3001" s="26">
        <f>IF($A3001="","",CHOOSE(WEEKDAY($A3001,2),"Seg","Ter","Qua","Qui","Sex","Sáb","Dom"))</f>
        <v>0</v>
      </c>
      <c r="M3001" s="27">
        <f>IF($E3001="","",IF($G3001&lt;&gt;"",$G3001,IFERROR(INDEX(ProcValor,MATCH($E3001,ProcNome,0)),0)))</f>
        <v>0</v>
      </c>
      <c r="N3001" s="27">
        <f>IF($M3001="","",IF($F3001="Compareceu",$M3001,0))</f>
        <v>0</v>
      </c>
      <c r="O3001" s="27">
        <f>IF($M3001="","",IF($F3001="Faltou",$M3001,0))</f>
        <v>0</v>
      </c>
      <c r="P3001" s="27">
        <f>IF($M3001="","",IF($F3001="Compareceu",MAX(0,$M3001-N($H3001)),0))</f>
        <v>0</v>
      </c>
      <c r="Q3001" s="19">
        <f>IF(AND($F3001="Compareceu",$E3001&lt;&gt;"",$A3001&lt;&gt;""),IF(IFERROR(INDEX(ProcRet,MATCH($E3001,ProcNome,0)),0)&gt;0,$A3001+INDEX(ProcRet,MATCH($E3001,ProcNome,0)),""),"")</f>
        <v>0</v>
      </c>
      <c r="R3001" s="26">
        <f>IF($Q3001="","",IF(COUNTIFS(AgPac,$D3001,AgData,"&gt;"&amp;$A3001,AgStatus,"&lt;&gt;Cancelado",AgStatus,"&lt;&gt;Remarcado")&gt;0,"Sim","Não"))</f>
        <v>0</v>
      </c>
      <c r="S3001" s="28">
        <f>IF($A3001="","",IF(AND($F3001="Agendado",$A3001-Hoje&gt;=0,$A3001-Hoje&lt;=DiasConf),"CONFIRMAR",IF(AND($A3001&lt;Hoje,OR($F3001="Agendado",$F3001="Confirmado")),"Atualizar status",IF(AND($F3001="Compareceu",$P3001&gt;0.005),"Cobrar",IF($F3001="Faltou","Falta: reagendar","")))))</f>
        <v>0</v>
      </c>
      <c r="T3001" s="29">
        <f>IF($A3001="","",DATE(YEAR($A3001),MONTH($A3001),1))</f>
        <v>0</v>
      </c>
      <c r="U3001" s="30">
        <f>IF($S3001="CONFIRMAR",MAX($U$4:$U3000)+1,"")</f>
        <v>0</v>
      </c>
      <c r="V3001" s="30">
        <f>IF(AND($R3001="Não",$Q3001&lt;&gt;"",$Q3001&lt;=Hoje+JanelaRet,$Q3001&gt;=Hoje-60),MAX($V$4:$V3000)+1,"")</f>
        <v>0</v>
      </c>
    </row>
    <row r="3002" spans="1:22">
      <c r="A3002" s="16"/>
      <c r="B3002" s="23"/>
      <c r="C3002" s="15"/>
      <c r="D3002" s="15"/>
      <c r="E3002" s="15"/>
      <c r="F3002" s="24"/>
      <c r="G3002" s="17"/>
      <c r="H3002" s="17"/>
      <c r="I3002" s="15"/>
      <c r="J3002" s="25">
        <f>IF($D3002="","",IFERROR(INDEX(PacNome,MATCH($D3002,PacCod,0)),"Paciente não cadastrado"))</f>
        <v>0</v>
      </c>
      <c r="K3002" s="26">
        <f>IF($D3002="","",IFERROR(INDEX(PacConv,MATCH($D3002,PacCod,0))&amp;"",""))</f>
        <v>0</v>
      </c>
      <c r="L3002" s="26">
        <f>IF($A3002="","",CHOOSE(WEEKDAY($A3002,2),"Seg","Ter","Qua","Qui","Sex","Sáb","Dom"))</f>
        <v>0</v>
      </c>
      <c r="M3002" s="27">
        <f>IF($E3002="","",IF($G3002&lt;&gt;"",$G3002,IFERROR(INDEX(ProcValor,MATCH($E3002,ProcNome,0)),0)))</f>
        <v>0</v>
      </c>
      <c r="N3002" s="27">
        <f>IF($M3002="","",IF($F3002="Compareceu",$M3002,0))</f>
        <v>0</v>
      </c>
      <c r="O3002" s="27">
        <f>IF($M3002="","",IF($F3002="Faltou",$M3002,0))</f>
        <v>0</v>
      </c>
      <c r="P3002" s="27">
        <f>IF($M3002="","",IF($F3002="Compareceu",MAX(0,$M3002-N($H3002)),0))</f>
        <v>0</v>
      </c>
      <c r="Q3002" s="19">
        <f>IF(AND($F3002="Compareceu",$E3002&lt;&gt;"",$A3002&lt;&gt;""),IF(IFERROR(INDEX(ProcRet,MATCH($E3002,ProcNome,0)),0)&gt;0,$A3002+INDEX(ProcRet,MATCH($E3002,ProcNome,0)),""),"")</f>
        <v>0</v>
      </c>
      <c r="R3002" s="26">
        <f>IF($Q3002="","",IF(COUNTIFS(AgPac,$D3002,AgData,"&gt;"&amp;$A3002,AgStatus,"&lt;&gt;Cancelado",AgStatus,"&lt;&gt;Remarcado")&gt;0,"Sim","Não"))</f>
        <v>0</v>
      </c>
      <c r="S3002" s="28">
        <f>IF($A3002="","",IF(AND($F3002="Agendado",$A3002-Hoje&gt;=0,$A3002-Hoje&lt;=DiasConf),"CONFIRMAR",IF(AND($A3002&lt;Hoje,OR($F3002="Agendado",$F3002="Confirmado")),"Atualizar status",IF(AND($F3002="Compareceu",$P3002&gt;0.005),"Cobrar",IF($F3002="Faltou","Falta: reagendar","")))))</f>
        <v>0</v>
      </c>
      <c r="T3002" s="29">
        <f>IF($A3002="","",DATE(YEAR($A3002),MONTH($A3002),1))</f>
        <v>0</v>
      </c>
      <c r="U3002" s="30">
        <f>IF($S3002="CONFIRMAR",MAX($U$4:$U3001)+1,"")</f>
        <v>0</v>
      </c>
      <c r="V3002" s="30">
        <f>IF(AND($R3002="Não",$Q3002&lt;&gt;"",$Q3002&lt;=Hoje+JanelaRet,$Q3002&gt;=Hoje-60),MAX($V$4:$V3001)+1,"")</f>
        <v>0</v>
      </c>
    </row>
    <row r="3003" spans="1:22">
      <c r="A3003" s="16"/>
      <c r="B3003" s="23"/>
      <c r="C3003" s="15"/>
      <c r="D3003" s="15"/>
      <c r="E3003" s="15"/>
      <c r="F3003" s="24"/>
      <c r="G3003" s="17"/>
      <c r="H3003" s="17"/>
      <c r="I3003" s="15"/>
      <c r="J3003" s="25">
        <f>IF($D3003="","",IFERROR(INDEX(PacNome,MATCH($D3003,PacCod,0)),"Paciente não cadastrado"))</f>
        <v>0</v>
      </c>
      <c r="K3003" s="26">
        <f>IF($D3003="","",IFERROR(INDEX(PacConv,MATCH($D3003,PacCod,0))&amp;"",""))</f>
        <v>0</v>
      </c>
      <c r="L3003" s="26">
        <f>IF($A3003="","",CHOOSE(WEEKDAY($A3003,2),"Seg","Ter","Qua","Qui","Sex","Sáb","Dom"))</f>
        <v>0</v>
      </c>
      <c r="M3003" s="27">
        <f>IF($E3003="","",IF($G3003&lt;&gt;"",$G3003,IFERROR(INDEX(ProcValor,MATCH($E3003,ProcNome,0)),0)))</f>
        <v>0</v>
      </c>
      <c r="N3003" s="27">
        <f>IF($M3003="","",IF($F3003="Compareceu",$M3003,0))</f>
        <v>0</v>
      </c>
      <c r="O3003" s="27">
        <f>IF($M3003="","",IF($F3003="Faltou",$M3003,0))</f>
        <v>0</v>
      </c>
      <c r="P3003" s="27">
        <f>IF($M3003="","",IF($F3003="Compareceu",MAX(0,$M3003-N($H3003)),0))</f>
        <v>0</v>
      </c>
      <c r="Q3003" s="19">
        <f>IF(AND($F3003="Compareceu",$E3003&lt;&gt;"",$A3003&lt;&gt;""),IF(IFERROR(INDEX(ProcRet,MATCH($E3003,ProcNome,0)),0)&gt;0,$A3003+INDEX(ProcRet,MATCH($E3003,ProcNome,0)),""),"")</f>
        <v>0</v>
      </c>
      <c r="R3003" s="26">
        <f>IF($Q3003="","",IF(COUNTIFS(AgPac,$D3003,AgData,"&gt;"&amp;$A3003,AgStatus,"&lt;&gt;Cancelado",AgStatus,"&lt;&gt;Remarcado")&gt;0,"Sim","Não"))</f>
        <v>0</v>
      </c>
      <c r="S3003" s="28">
        <f>IF($A3003="","",IF(AND($F3003="Agendado",$A3003-Hoje&gt;=0,$A3003-Hoje&lt;=DiasConf),"CONFIRMAR",IF(AND($A3003&lt;Hoje,OR($F3003="Agendado",$F3003="Confirmado")),"Atualizar status",IF(AND($F3003="Compareceu",$P3003&gt;0.005),"Cobrar",IF($F3003="Faltou","Falta: reagendar","")))))</f>
        <v>0</v>
      </c>
      <c r="T3003" s="29">
        <f>IF($A3003="","",DATE(YEAR($A3003),MONTH($A3003),1))</f>
        <v>0</v>
      </c>
      <c r="U3003" s="30">
        <f>IF($S3003="CONFIRMAR",MAX($U$4:$U3002)+1,"")</f>
        <v>0</v>
      </c>
      <c r="V3003" s="30">
        <f>IF(AND($R3003="Não",$Q3003&lt;&gt;"",$Q3003&lt;=Hoje+JanelaRet,$Q3003&gt;=Hoje-60),MAX($V$4:$V3002)+1,"")</f>
        <v>0</v>
      </c>
    </row>
    <row r="3004" spans="1:22">
      <c r="A3004" s="16"/>
      <c r="B3004" s="23"/>
      <c r="C3004" s="15"/>
      <c r="D3004" s="15"/>
      <c r="E3004" s="15"/>
      <c r="F3004" s="24"/>
      <c r="G3004" s="17"/>
      <c r="H3004" s="17"/>
      <c r="I3004" s="15"/>
      <c r="J3004" s="25">
        <f>IF($D3004="","",IFERROR(INDEX(PacNome,MATCH($D3004,PacCod,0)),"Paciente não cadastrado"))</f>
        <v>0</v>
      </c>
      <c r="K3004" s="26">
        <f>IF($D3004="","",IFERROR(INDEX(PacConv,MATCH($D3004,PacCod,0))&amp;"",""))</f>
        <v>0</v>
      </c>
      <c r="L3004" s="26">
        <f>IF($A3004="","",CHOOSE(WEEKDAY($A3004,2),"Seg","Ter","Qua","Qui","Sex","Sáb","Dom"))</f>
        <v>0</v>
      </c>
      <c r="M3004" s="27">
        <f>IF($E3004="","",IF($G3004&lt;&gt;"",$G3004,IFERROR(INDEX(ProcValor,MATCH($E3004,ProcNome,0)),0)))</f>
        <v>0</v>
      </c>
      <c r="N3004" s="27">
        <f>IF($M3004="","",IF($F3004="Compareceu",$M3004,0))</f>
        <v>0</v>
      </c>
      <c r="O3004" s="27">
        <f>IF($M3004="","",IF($F3004="Faltou",$M3004,0))</f>
        <v>0</v>
      </c>
      <c r="P3004" s="27">
        <f>IF($M3004="","",IF($F3004="Compareceu",MAX(0,$M3004-N($H3004)),0))</f>
        <v>0</v>
      </c>
      <c r="Q3004" s="19">
        <f>IF(AND($F3004="Compareceu",$E3004&lt;&gt;"",$A3004&lt;&gt;""),IF(IFERROR(INDEX(ProcRet,MATCH($E3004,ProcNome,0)),0)&gt;0,$A3004+INDEX(ProcRet,MATCH($E3004,ProcNome,0)),""),"")</f>
        <v>0</v>
      </c>
      <c r="R3004" s="26">
        <f>IF($Q3004="","",IF(COUNTIFS(AgPac,$D3004,AgData,"&gt;"&amp;$A3004,AgStatus,"&lt;&gt;Cancelado",AgStatus,"&lt;&gt;Remarcado")&gt;0,"Sim","Não"))</f>
        <v>0</v>
      </c>
      <c r="S3004" s="28">
        <f>IF($A3004="","",IF(AND($F3004="Agendado",$A3004-Hoje&gt;=0,$A3004-Hoje&lt;=DiasConf),"CONFIRMAR",IF(AND($A3004&lt;Hoje,OR($F3004="Agendado",$F3004="Confirmado")),"Atualizar status",IF(AND($F3004="Compareceu",$P3004&gt;0.005),"Cobrar",IF($F3004="Faltou","Falta: reagendar","")))))</f>
        <v>0</v>
      </c>
      <c r="T3004" s="29">
        <f>IF($A3004="","",DATE(YEAR($A3004),MONTH($A3004),1))</f>
        <v>0</v>
      </c>
      <c r="U3004" s="30">
        <f>IF($S3004="CONFIRMAR",MAX($U$4:$U3003)+1,"")</f>
        <v>0</v>
      </c>
      <c r="V3004" s="30">
        <f>IF(AND($R3004="Não",$Q3004&lt;&gt;"",$Q3004&lt;=Hoje+JanelaRet,$Q3004&gt;=Hoje-60),MAX($V$4:$V3003)+1,"")</f>
        <v>0</v>
      </c>
    </row>
  </sheetData>
  <autoFilter ref="A4:V3004"/>
  <mergeCells count="2">
    <mergeCell ref="A1:V1"/>
    <mergeCell ref="A2:V2"/>
  </mergeCells>
  <conditionalFormatting sqref="F5:F3004">
    <cfRule type="cellIs" dxfId="1" priority="1" operator="equal">
      <formula>"Compareceu"</formula>
    </cfRule>
    <cfRule type="cellIs" dxfId="2" priority="2" operator="equal">
      <formula>"Faltou"</formula>
    </cfRule>
    <cfRule type="cellIs" dxfId="3" priority="3" operator="equal">
      <formula>"Confirmado"</formula>
    </cfRule>
    <cfRule type="cellIs" dxfId="4" priority="4" operator="equal">
      <formula>"Agendado"</formula>
    </cfRule>
    <cfRule type="cellIs" dxfId="5" priority="5" operator="equal">
      <formula>"Cancelado"</formula>
    </cfRule>
    <cfRule type="cellIs" dxfId="5" priority="6" operator="equal">
      <formula>"Remarcado"</formula>
    </cfRule>
  </conditionalFormatting>
  <conditionalFormatting sqref="S5:S3004">
    <cfRule type="cellIs" dxfId="6" priority="7" operator="equal">
      <formula>"CONFIRMAR"</formula>
    </cfRule>
    <cfRule type="cellIs" dxfId="7" priority="8" operator="equal">
      <formula>"Atualizar status"</formula>
    </cfRule>
    <cfRule type="cellIs" dxfId="3" priority="9" operator="equal">
      <formula>"Cobrar"</formula>
    </cfRule>
    <cfRule type="cellIs" dxfId="0" priority="10" operator="equal">
      <formula>"Falta: reagendar"</formula>
    </cfRule>
  </conditionalFormatting>
  <dataValidations count="8">
    <dataValidation type="date" operator="greaterThanOrEqual" allowBlank="1" showInputMessage="1" showErrorMessage="1" errorTitle="Data inválida" error="Digite uma data válida (dd/mm/aaaa)." promptTitle="Data" prompt="Digite a data no formato dd/mm/aaaa" sqref="A5:A3004">
      <formula1>36526</formula1>
    </dataValidation>
    <dataValidation type="list" allowBlank="1" showInputMessage="1" showErrorMessage="1" errorTitle="Valor inválido" error="Escolha um item da lista." sqref="C5:C3004">
      <formula1>ProfLista</formula1>
    </dataValidation>
    <dataValidation type="list" allowBlank="1" showInputMessage="1" showErrorMessage="1" errorTitle="Valor inválido" error="Escolha um item da lista." sqref="D5:D3004">
      <formula1>PacCod</formula1>
    </dataValidation>
    <dataValidation type="list" allowBlank="1" showInputMessage="1" showErrorMessage="1" errorTitle="Valor inválido" error="Escolha um item da lista." sqref="E5:E3004">
      <formula1>ProcNome</formula1>
    </dataValidation>
    <dataValidation type="list" allowBlank="1" showInputMessage="1" showErrorMessage="1" errorTitle="Valor inválido" error="Escolha um item da lista." sqref="F5:F3004">
      <formula1>StatusAg</formula1>
    </dataValidation>
    <dataValidation type="decimal" operator="greaterThanOrEqual" allowBlank="1" showInputMessage="1" showErrorMessage="1" errorTitle="Valor inválido" error="Digite um número maior ou igual a 0." sqref="G5:H3004">
      <formula1>0</formula1>
    </dataValidation>
    <dataValidation type="list" allowBlank="1" showInputMessage="1" showErrorMessage="1" errorTitle="Valor inválido" error="Escolha um item da lista." sqref="I5:I3004">
      <formula1>Formas</formula1>
    </dataValidation>
    <dataValidation type="time" allowBlank="1" showInputMessage="1" showErrorMessage="1" errorTitle="Hora inválida" error="Digite no formato hh:mm." sqref="B5:B3004">
      <formula1>0</formula1>
      <formula2>0.9993055555555556</formula2>
    </dataValidation>
  </dataValidation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O6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.7109375" customWidth="1"/>
    <col min="2" max="2" width="11.7109375" customWidth="1"/>
    <col min="3" max="3" width="7.7109375" customWidth="1"/>
    <col min="4" max="4" width="24.7109375" customWidth="1"/>
    <col min="5" max="5" width="16.7109375" customWidth="1"/>
    <col min="6" max="6" width="15.7109375" customWidth="1"/>
    <col min="7" max="7" width="20.7109375" customWidth="1"/>
    <col min="8" max="8" width="3.7109375" customWidth="1"/>
    <col min="9" max="9" width="4.7109375" customWidth="1"/>
    <col min="10" max="11" width="12.7109375" customWidth="1"/>
    <col min="12" max="12" width="24.7109375" customWidth="1"/>
    <col min="13" max="13" width="16.7109375" customWidth="1"/>
    <col min="14" max="14" width="15.7109375" customWidth="1"/>
    <col min="15" max="15" width="20.7109375" customWidth="1"/>
  </cols>
  <sheetData>
    <row r="1" spans="1:15" ht="36" customHeight="1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260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3" t="s">
        <v>41</v>
      </c>
    </row>
    <row r="4" spans="1:15">
      <c r="A4" s="4" t="s">
        <v>261</v>
      </c>
      <c r="B4" s="4"/>
      <c r="C4" s="4"/>
      <c r="D4" s="4"/>
      <c r="E4" s="4"/>
      <c r="F4" s="4"/>
      <c r="G4" s="4"/>
      <c r="I4" s="4" t="s">
        <v>262</v>
      </c>
      <c r="J4" s="4"/>
      <c r="K4" s="4"/>
      <c r="L4" s="4"/>
      <c r="M4" s="4"/>
      <c r="N4" s="4"/>
      <c r="O4" s="4"/>
    </row>
    <row r="5" spans="1:15" ht="24" customHeight="1">
      <c r="A5" s="11" t="s">
        <v>263</v>
      </c>
      <c r="B5" s="11" t="s">
        <v>239</v>
      </c>
      <c r="C5" s="11" t="s">
        <v>240</v>
      </c>
      <c r="D5" s="11" t="s">
        <v>247</v>
      </c>
      <c r="E5" s="11" t="s">
        <v>93</v>
      </c>
      <c r="F5" s="11" t="s">
        <v>241</v>
      </c>
      <c r="G5" s="11" t="s">
        <v>55</v>
      </c>
      <c r="I5" s="11" t="s">
        <v>263</v>
      </c>
      <c r="J5" s="11" t="s">
        <v>253</v>
      </c>
      <c r="K5" s="11" t="s">
        <v>99</v>
      </c>
      <c r="L5" s="11" t="s">
        <v>247</v>
      </c>
      <c r="M5" s="11" t="s">
        <v>93</v>
      </c>
      <c r="N5" s="11" t="s">
        <v>241</v>
      </c>
      <c r="O5" s="11" t="s">
        <v>55</v>
      </c>
    </row>
    <row r="6" spans="1:15">
      <c r="A6" s="31">
        <v>1</v>
      </c>
      <c r="B6" s="19">
        <f>IFERROR(INDEX(Agenda!$A$5:$A$3004,MATCH($A6,Agenda!$U$5:$U$3004,0)),"")</f>
        <v>46303.0</v>
      </c>
      <c r="C6" s="32">
        <f>IFERROR(INDEX(Agenda!$B$5:$B$3004,MATCH($A6,Agenda!$U$5:$U$3004,0)),"")</f>
        <v>0.5416666666666666</v>
      </c>
      <c r="D6" s="25" t="str">
        <f>IFERROR(INDEX(Agenda!$J$5:$J$3004,MATCH($A6,Agenda!$U$5:$U$3004,0))&amp;"","")</f>
        <v>Paciente 044</v>
      </c>
      <c r="E6" s="25" t="str">
        <f>IFERROR(INDEX(PacTel,MATCH(INDEX(Agenda!$D$5:$D$3004,MATCH($A6,Agenda!$U$5:$U$3004,0)),PacCod,0))&amp;"","")</f>
        <v>(00) 93672-9645</v>
      </c>
      <c r="F6" s="25" t="str">
        <f>IFERROR(INDEX(Agenda!$C$5:$C$3004,MATCH($A6,Agenda!$U$5:$U$3004,0))&amp;"","")</f>
        <v>Profissional A</v>
      </c>
      <c r="G6" s="25" t="str">
        <f>IFERROR(INDEX(Agenda!$E$5:$E$3004,MATCH($A6,Agenda!$U$5:$U$3004,0))&amp;"","")</f>
        <v>Avaliação</v>
      </c>
      <c r="I6" s="31">
        <v>1</v>
      </c>
      <c r="J6" s="19">
        <f>IFERROR(INDEX(Agenda!$Q$5:$Q$3004,MATCH($I6,Agenda!$V$5:$V$3004,0)),"")</f>
        <v>46274.0</v>
      </c>
      <c r="K6" s="19">
        <f>IFERROR(INDEX(Agenda!$A$5:$A$3004,MATCH($I6,Agenda!$V$5:$V$3004,0)),"")</f>
        <v>46267.0</v>
      </c>
      <c r="L6" s="25" t="str">
        <f>IFERROR(INDEX(Agenda!$J$5:$J$3004,MATCH($I6,Agenda!$V$5:$V$3004,0))&amp;"","")</f>
        <v>Paciente 011</v>
      </c>
      <c r="M6" s="25" t="str">
        <f>IFERROR(INDEX(PacTel,MATCH(INDEX(Agenda!$D$5:$D$3004,MATCH($I6,Agenda!$V$5:$V$3004,0)),PacCod,0))&amp;"","")</f>
        <v>(00) 99378-4760</v>
      </c>
      <c r="N6" s="25" t="str">
        <f>IFERROR(INDEX(Agenda!$C$5:$C$3004,MATCH($I6,Agenda!$V$5:$V$3004,0))&amp;"","")</f>
        <v>Profissional A</v>
      </c>
      <c r="O6" s="25" t="str">
        <f>IFERROR(INDEX(Agenda!$E$5:$E$3004,MATCH($I6,Agenda!$V$5:$V$3004,0))&amp;"","")</f>
        <v>Sessão</v>
      </c>
    </row>
    <row r="7" spans="1:15">
      <c r="A7" s="31">
        <v>2</v>
      </c>
      <c r="B7" s="19">
        <f>IFERROR(INDEX(Agenda!$A$5:$A$3004,MATCH($A7,Agenda!$U$5:$U$3004,0)),"")</f>
        <v>46304.0</v>
      </c>
      <c r="C7" s="32">
        <f>IFERROR(INDEX(Agenda!$B$5:$B$3004,MATCH($A7,Agenda!$U$5:$U$3004,0)),"")</f>
        <v>0.5</v>
      </c>
      <c r="D7" s="25" t="str">
        <f>IFERROR(INDEX(Agenda!$J$5:$J$3004,MATCH($A7,Agenda!$U$5:$U$3004,0))&amp;"","")</f>
        <v>Paciente 046</v>
      </c>
      <c r="E7" s="25" t="str">
        <f>IFERROR(INDEX(PacTel,MATCH(INDEX(Agenda!$D$5:$D$3004,MATCH($A7,Agenda!$U$5:$U$3004,0)),PacCod,0))&amp;"","")</f>
        <v>(00) 97564-5133</v>
      </c>
      <c r="F7" s="25" t="str">
        <f>IFERROR(INDEX(Agenda!$C$5:$C$3004,MATCH($A7,Agenda!$U$5:$U$3004,0))&amp;"","")</f>
        <v>Profissional C</v>
      </c>
      <c r="G7" s="25" t="str">
        <f>IFERROR(INDEX(Agenda!$E$5:$E$3004,MATCH($A7,Agenda!$U$5:$U$3004,0))&amp;"","")</f>
        <v>Retorno</v>
      </c>
      <c r="I7" s="31">
        <v>2</v>
      </c>
      <c r="J7" s="19">
        <f>IFERROR(INDEX(Agenda!$Q$5:$Q$3004,MATCH($I7,Agenda!$V$5:$V$3004,0)),"")</f>
        <v>46295.0</v>
      </c>
      <c r="K7" s="19">
        <f>IFERROR(INDEX(Agenda!$A$5:$A$3004,MATCH($I7,Agenda!$V$5:$V$3004,0)),"")</f>
        <v>46280.0</v>
      </c>
      <c r="L7" s="25" t="str">
        <f>IFERROR(INDEX(Agenda!$J$5:$J$3004,MATCH($I7,Agenda!$V$5:$V$3004,0))&amp;"","")</f>
        <v>Paciente 019</v>
      </c>
      <c r="M7" s="25" t="str">
        <f>IFERROR(INDEX(PacTel,MATCH(INDEX(Agenda!$D$5:$D$3004,MATCH($I7,Agenda!$V$5:$V$3004,0)),PacCod,0))&amp;"","")</f>
        <v>(00) 92583-1703</v>
      </c>
      <c r="N7" s="25" t="str">
        <f>IFERROR(INDEX(Agenda!$C$5:$C$3004,MATCH($I7,Agenda!$V$5:$V$3004,0))&amp;"","")</f>
        <v>Profissional C</v>
      </c>
      <c r="O7" s="25" t="str">
        <f>IFERROR(INDEX(Agenda!$E$5:$E$3004,MATCH($I7,Agenda!$V$5:$V$3004,0))&amp;"","")</f>
        <v>Procedimento A</v>
      </c>
    </row>
    <row r="8" spans="1:15">
      <c r="A8" s="31">
        <v>3</v>
      </c>
      <c r="B8" s="19">
        <f>IFERROR(INDEX(Agenda!$A$5:$A$3004,MATCH($A8,Agenda!$U$5:$U$3004,0)),"")</f>
        <v>46304.0</v>
      </c>
      <c r="C8" s="32">
        <f>IFERROR(INDEX(Agenda!$B$5:$B$3004,MATCH($A8,Agenda!$U$5:$U$3004,0)),"")</f>
        <v>0.5416666666666666</v>
      </c>
      <c r="D8" s="25" t="str">
        <f>IFERROR(INDEX(Agenda!$J$5:$J$3004,MATCH($A8,Agenda!$U$5:$U$3004,0))&amp;"","")</f>
        <v>Paciente 026</v>
      </c>
      <c r="E8" s="25" t="str">
        <f>IFERROR(INDEX(PacTel,MATCH(INDEX(Agenda!$D$5:$D$3004,MATCH($A8,Agenda!$U$5:$U$3004,0)),PacCod,0))&amp;"","")</f>
        <v>(00) 92076-9796</v>
      </c>
      <c r="F8" s="25" t="str">
        <f>IFERROR(INDEX(Agenda!$C$5:$C$3004,MATCH($A8,Agenda!$U$5:$U$3004,0))&amp;"","")</f>
        <v>Profissional C</v>
      </c>
      <c r="G8" s="25" t="str">
        <f>IFERROR(INDEX(Agenda!$E$5:$E$3004,MATCH($A8,Agenda!$U$5:$U$3004,0))&amp;"","")</f>
        <v>Exame complementar</v>
      </c>
      <c r="I8" s="31">
        <v>3</v>
      </c>
      <c r="J8" s="19">
        <f>IFERROR(INDEX(Agenda!$Q$5:$Q$3004,MATCH($I8,Agenda!$V$5:$V$3004,0)),"")</f>
        <v>46288.0</v>
      </c>
      <c r="K8" s="19">
        <f>IFERROR(INDEX(Agenda!$A$5:$A$3004,MATCH($I8,Agenda!$V$5:$V$3004,0)),"")</f>
        <v>46281.0</v>
      </c>
      <c r="L8" s="25" t="str">
        <f>IFERROR(INDEX(Agenda!$J$5:$J$3004,MATCH($I8,Agenda!$V$5:$V$3004,0))&amp;"","")</f>
        <v>Paciente 004</v>
      </c>
      <c r="M8" s="25" t="str">
        <f>IFERROR(INDEX(PacTel,MATCH(INDEX(Agenda!$D$5:$D$3004,MATCH($I8,Agenda!$V$5:$V$3004,0)),PacCod,0))&amp;"","")</f>
        <v>(00) 95473-1684</v>
      </c>
      <c r="N8" s="25" t="str">
        <f>IFERROR(INDEX(Agenda!$C$5:$C$3004,MATCH($I8,Agenda!$V$5:$V$3004,0))&amp;"","")</f>
        <v>Profissional B</v>
      </c>
      <c r="O8" s="25" t="str">
        <f>IFERROR(INDEX(Agenda!$E$5:$E$3004,MATCH($I8,Agenda!$V$5:$V$3004,0))&amp;"","")</f>
        <v>Sessão</v>
      </c>
    </row>
    <row r="9" spans="1:15">
      <c r="A9" s="31">
        <v>4</v>
      </c>
      <c r="B9" s="19">
        <f>IFERROR(INDEX(Agenda!$A$5:$A$3004,MATCH($A9,Agenda!$U$5:$U$3004,0)),"")</f>
        <v>46305.0</v>
      </c>
      <c r="C9" s="32">
        <f>IFERROR(INDEX(Agenda!$B$5:$B$3004,MATCH($A9,Agenda!$U$5:$U$3004,0)),"")</f>
        <v>0.4166666666666667</v>
      </c>
      <c r="D9" s="25" t="str">
        <f>IFERROR(INDEX(Agenda!$J$5:$J$3004,MATCH($A9,Agenda!$U$5:$U$3004,0))&amp;"","")</f>
        <v>Paciente 008</v>
      </c>
      <c r="E9" s="25" t="str">
        <f>IFERROR(INDEX(PacTel,MATCH(INDEX(Agenda!$D$5:$D$3004,MATCH($A9,Agenda!$U$5:$U$3004,0)),PacCod,0))&amp;"","")</f>
        <v>(00) 93219-8421</v>
      </c>
      <c r="F9" s="25" t="str">
        <f>IFERROR(INDEX(Agenda!$C$5:$C$3004,MATCH($A9,Agenda!$U$5:$U$3004,0))&amp;"","")</f>
        <v>Profissional D</v>
      </c>
      <c r="G9" s="25" t="str">
        <f>IFERROR(INDEX(Agenda!$E$5:$E$3004,MATCH($A9,Agenda!$U$5:$U$3004,0))&amp;"","")</f>
        <v>Retorno</v>
      </c>
      <c r="I9" s="31">
        <v>4</v>
      </c>
      <c r="J9" s="19">
        <f>IFERROR(INDEX(Agenda!$Q$5:$Q$3004,MATCH($I9,Agenda!$V$5:$V$3004,0)),"")</f>
        <v>46290.0</v>
      </c>
      <c r="K9" s="19">
        <f>IFERROR(INDEX(Agenda!$A$5:$A$3004,MATCH($I9,Agenda!$V$5:$V$3004,0)),"")</f>
        <v>46283.0</v>
      </c>
      <c r="L9" s="25" t="str">
        <f>IFERROR(INDEX(Agenda!$J$5:$J$3004,MATCH($I9,Agenda!$V$5:$V$3004,0))&amp;"","")</f>
        <v>Paciente 017</v>
      </c>
      <c r="M9" s="25" t="str">
        <f>IFERROR(INDEX(PacTel,MATCH(INDEX(Agenda!$D$5:$D$3004,MATCH($I9,Agenda!$V$5:$V$3004,0)),PacCod,0))&amp;"","")</f>
        <v>(00) 95616-9550</v>
      </c>
      <c r="N9" s="25" t="str">
        <f>IFERROR(INDEX(Agenda!$C$5:$C$3004,MATCH($I9,Agenda!$V$5:$V$3004,0))&amp;"","")</f>
        <v>Profissional C</v>
      </c>
      <c r="O9" s="25" t="str">
        <f>IFERROR(INDEX(Agenda!$E$5:$E$3004,MATCH($I9,Agenda!$V$5:$V$3004,0))&amp;"","")</f>
        <v>Sessão</v>
      </c>
    </row>
    <row r="10" spans="1:15">
      <c r="A10" s="31">
        <v>5</v>
      </c>
      <c r="B10" s="19">
        <f>IFERROR(INDEX(Agenda!$A$5:$A$3004,MATCH($A10,Agenda!$U$5:$U$3004,0)),"")</f>
        <v>46305.0</v>
      </c>
      <c r="C10" s="32">
        <f>IFERROR(INDEX(Agenda!$B$5:$B$3004,MATCH($A10,Agenda!$U$5:$U$3004,0)),"")</f>
        <v>0.625</v>
      </c>
      <c r="D10" s="25" t="str">
        <f>IFERROR(INDEX(Agenda!$J$5:$J$3004,MATCH($A10,Agenda!$U$5:$U$3004,0))&amp;"","")</f>
        <v>Paciente 021</v>
      </c>
      <c r="E10" s="25" t="str">
        <f>IFERROR(INDEX(PacTel,MATCH(INDEX(Agenda!$D$5:$D$3004,MATCH($A10,Agenda!$U$5:$U$3004,0)),PacCod,0))&amp;"","")</f>
        <v>(00) 94287-5719</v>
      </c>
      <c r="F10" s="25" t="str">
        <f>IFERROR(INDEX(Agenda!$C$5:$C$3004,MATCH($A10,Agenda!$U$5:$U$3004,0))&amp;"","")</f>
        <v>Profissional A</v>
      </c>
      <c r="G10" s="25" t="str">
        <f>IFERROR(INDEX(Agenda!$E$5:$E$3004,MATCH($A10,Agenda!$U$5:$U$3004,0))&amp;"","")</f>
        <v>Retorno</v>
      </c>
      <c r="I10" s="31">
        <v>5</v>
      </c>
      <c r="J10" s="19">
        <f>IFERROR(INDEX(Agenda!$Q$5:$Q$3004,MATCH($I10,Agenda!$V$5:$V$3004,0)),"")</f>
        <v>46308.0</v>
      </c>
      <c r="K10" s="19">
        <f>IFERROR(INDEX(Agenda!$A$5:$A$3004,MATCH($I10,Agenda!$V$5:$V$3004,0)),"")</f>
        <v>46293.0</v>
      </c>
      <c r="L10" s="25" t="str">
        <f>IFERROR(INDEX(Agenda!$J$5:$J$3004,MATCH($I10,Agenda!$V$5:$V$3004,0))&amp;"","")</f>
        <v>Paciente 013</v>
      </c>
      <c r="M10" s="25" t="str">
        <f>IFERROR(INDEX(PacTel,MATCH(INDEX(Agenda!$D$5:$D$3004,MATCH($I10,Agenda!$V$5:$V$3004,0)),PacCod,0))&amp;"","")</f>
        <v>(00) 98509-5064</v>
      </c>
      <c r="N10" s="25" t="str">
        <f>IFERROR(INDEX(Agenda!$C$5:$C$3004,MATCH($I10,Agenda!$V$5:$V$3004,0))&amp;"","")</f>
        <v>Profissional A</v>
      </c>
      <c r="O10" s="25" t="str">
        <f>IFERROR(INDEX(Agenda!$E$5:$E$3004,MATCH($I10,Agenda!$V$5:$V$3004,0))&amp;"","")</f>
        <v>Procedimento A</v>
      </c>
    </row>
    <row r="11" spans="1:15">
      <c r="A11" s="31">
        <v>6</v>
      </c>
      <c r="B11" s="19">
        <f>IFERROR(INDEX(Agenda!$A$5:$A$3004,MATCH($A11,Agenda!$U$5:$U$3004,0)),"")</f>
        <v>0</v>
      </c>
      <c r="C11" s="32">
        <f>IFERROR(INDEX(Agenda!$B$5:$B$3004,MATCH($A11,Agenda!$U$5:$U$3004,0)),"")</f>
        <v>0</v>
      </c>
      <c r="D11" s="25">
        <f>IFERROR(INDEX(Agenda!$J$5:$J$3004,MATCH($A11,Agenda!$U$5:$U$3004,0))&amp;"","")</f>
        <v>0</v>
      </c>
      <c r="E11" s="25">
        <f>IFERROR(INDEX(PacTel,MATCH(INDEX(Agenda!$D$5:$D$3004,MATCH($A11,Agenda!$U$5:$U$3004,0)),PacCod,0))&amp;"","")</f>
        <v>0</v>
      </c>
      <c r="F11" s="25">
        <f>IFERROR(INDEX(Agenda!$C$5:$C$3004,MATCH($A11,Agenda!$U$5:$U$3004,0))&amp;"","")</f>
        <v>0</v>
      </c>
      <c r="G11" s="25">
        <f>IFERROR(INDEX(Agenda!$E$5:$E$3004,MATCH($A11,Agenda!$U$5:$U$3004,0))&amp;"","")</f>
        <v>0</v>
      </c>
      <c r="I11" s="31">
        <v>6</v>
      </c>
      <c r="J11" s="19">
        <f>IFERROR(INDEX(Agenda!$Q$5:$Q$3004,MATCH($I11,Agenda!$V$5:$V$3004,0)),"")</f>
        <v>46305.0</v>
      </c>
      <c r="K11" s="19">
        <f>IFERROR(INDEX(Agenda!$A$5:$A$3004,MATCH($I11,Agenda!$V$5:$V$3004,0)),"")</f>
        <v>46298.0</v>
      </c>
      <c r="L11" s="25" t="str">
        <f>IFERROR(INDEX(Agenda!$J$5:$J$3004,MATCH($I11,Agenda!$V$5:$V$3004,0))&amp;"","")</f>
        <v>Paciente 009</v>
      </c>
      <c r="M11" s="25" t="str">
        <f>IFERROR(INDEX(PacTel,MATCH(INDEX(Agenda!$D$5:$D$3004,MATCH($I11,Agenda!$V$5:$V$3004,0)),PacCod,0))&amp;"","")</f>
        <v>(00) 91510-3710</v>
      </c>
      <c r="N11" s="25" t="str">
        <f>IFERROR(INDEX(Agenda!$C$5:$C$3004,MATCH($I11,Agenda!$V$5:$V$3004,0))&amp;"","")</f>
        <v>Profissional C</v>
      </c>
      <c r="O11" s="25" t="str">
        <f>IFERROR(INDEX(Agenda!$E$5:$E$3004,MATCH($I11,Agenda!$V$5:$V$3004,0))&amp;"","")</f>
        <v>Sessão</v>
      </c>
    </row>
    <row r="12" spans="1:15">
      <c r="A12" s="31">
        <v>7</v>
      </c>
      <c r="B12" s="19">
        <f>IFERROR(INDEX(Agenda!$A$5:$A$3004,MATCH($A12,Agenda!$U$5:$U$3004,0)),"")</f>
        <v>0</v>
      </c>
      <c r="C12" s="32">
        <f>IFERROR(INDEX(Agenda!$B$5:$B$3004,MATCH($A12,Agenda!$U$5:$U$3004,0)),"")</f>
        <v>0</v>
      </c>
      <c r="D12" s="25">
        <f>IFERROR(INDEX(Agenda!$J$5:$J$3004,MATCH($A12,Agenda!$U$5:$U$3004,0))&amp;"","")</f>
        <v>0</v>
      </c>
      <c r="E12" s="25">
        <f>IFERROR(INDEX(PacTel,MATCH(INDEX(Agenda!$D$5:$D$3004,MATCH($A12,Agenda!$U$5:$U$3004,0)),PacCod,0))&amp;"","")</f>
        <v>0</v>
      </c>
      <c r="F12" s="25">
        <f>IFERROR(INDEX(Agenda!$C$5:$C$3004,MATCH($A12,Agenda!$U$5:$U$3004,0))&amp;"","")</f>
        <v>0</v>
      </c>
      <c r="G12" s="25">
        <f>IFERROR(INDEX(Agenda!$E$5:$E$3004,MATCH($A12,Agenda!$U$5:$U$3004,0))&amp;"","")</f>
        <v>0</v>
      </c>
      <c r="I12" s="31">
        <v>7</v>
      </c>
      <c r="J12" s="19">
        <f>IFERROR(INDEX(Agenda!$Q$5:$Q$3004,MATCH($I12,Agenda!$V$5:$V$3004,0)),"")</f>
        <v>46315.0</v>
      </c>
      <c r="K12" s="19">
        <f>IFERROR(INDEX(Agenda!$A$5:$A$3004,MATCH($I12,Agenda!$V$5:$V$3004,0)),"")</f>
        <v>46300.0</v>
      </c>
      <c r="L12" s="25" t="str">
        <f>IFERROR(INDEX(Agenda!$J$5:$J$3004,MATCH($I12,Agenda!$V$5:$V$3004,0))&amp;"","")</f>
        <v>Paciente 015</v>
      </c>
      <c r="M12" s="25" t="str">
        <f>IFERROR(INDEX(PacTel,MATCH(INDEX(Agenda!$D$5:$D$3004,MATCH($I12,Agenda!$V$5:$V$3004,0)),PacCod,0))&amp;"","")</f>
        <v>(00) 93484-4979</v>
      </c>
      <c r="N12" s="25" t="str">
        <f>IFERROR(INDEX(Agenda!$C$5:$C$3004,MATCH($I12,Agenda!$V$5:$V$3004,0))&amp;"","")</f>
        <v>Profissional B</v>
      </c>
      <c r="O12" s="25" t="str">
        <f>IFERROR(INDEX(Agenda!$E$5:$E$3004,MATCH($I12,Agenda!$V$5:$V$3004,0))&amp;"","")</f>
        <v>Procedimento A</v>
      </c>
    </row>
    <row r="13" spans="1:15">
      <c r="A13" s="31">
        <v>8</v>
      </c>
      <c r="B13" s="19">
        <f>IFERROR(INDEX(Agenda!$A$5:$A$3004,MATCH($A13,Agenda!$U$5:$U$3004,0)),"")</f>
        <v>0</v>
      </c>
      <c r="C13" s="32">
        <f>IFERROR(INDEX(Agenda!$B$5:$B$3004,MATCH($A13,Agenda!$U$5:$U$3004,0)),"")</f>
        <v>0</v>
      </c>
      <c r="D13" s="25">
        <f>IFERROR(INDEX(Agenda!$J$5:$J$3004,MATCH($A13,Agenda!$U$5:$U$3004,0))&amp;"","")</f>
        <v>0</v>
      </c>
      <c r="E13" s="25">
        <f>IFERROR(INDEX(PacTel,MATCH(INDEX(Agenda!$D$5:$D$3004,MATCH($A13,Agenda!$U$5:$U$3004,0)),PacCod,0))&amp;"","")</f>
        <v>0</v>
      </c>
      <c r="F13" s="25">
        <f>IFERROR(INDEX(Agenda!$C$5:$C$3004,MATCH($A13,Agenda!$U$5:$U$3004,0))&amp;"","")</f>
        <v>0</v>
      </c>
      <c r="G13" s="25">
        <f>IFERROR(INDEX(Agenda!$E$5:$E$3004,MATCH($A13,Agenda!$U$5:$U$3004,0))&amp;"","")</f>
        <v>0</v>
      </c>
      <c r="I13" s="31">
        <v>8</v>
      </c>
      <c r="J13" s="19">
        <f>IFERROR(INDEX(Agenda!$Q$5:$Q$3004,MATCH($I13,Agenda!$V$5:$V$3004,0)),"")</f>
        <v>46308.0</v>
      </c>
      <c r="K13" s="19">
        <f>IFERROR(INDEX(Agenda!$A$5:$A$3004,MATCH($I13,Agenda!$V$5:$V$3004,0)),"")</f>
        <v>46301.0</v>
      </c>
      <c r="L13" s="25" t="str">
        <f>IFERROR(INDEX(Agenda!$J$5:$J$3004,MATCH($I13,Agenda!$V$5:$V$3004,0))&amp;"","")</f>
        <v>Paciente 025</v>
      </c>
      <c r="M13" s="25" t="str">
        <f>IFERROR(INDEX(PacTel,MATCH(INDEX(Agenda!$D$5:$D$3004,MATCH($I13,Agenda!$V$5:$V$3004,0)),PacCod,0))&amp;"","")</f>
        <v>(00) 94231-6188</v>
      </c>
      <c r="N13" s="25" t="str">
        <f>IFERROR(INDEX(Agenda!$C$5:$C$3004,MATCH($I13,Agenda!$V$5:$V$3004,0))&amp;"","")</f>
        <v>Profissional B</v>
      </c>
      <c r="O13" s="25" t="str">
        <f>IFERROR(INDEX(Agenda!$E$5:$E$3004,MATCH($I13,Agenda!$V$5:$V$3004,0))&amp;"","")</f>
        <v>Sessão</v>
      </c>
    </row>
    <row r="14" spans="1:15">
      <c r="A14" s="31">
        <v>9</v>
      </c>
      <c r="B14" s="19">
        <f>IFERROR(INDEX(Agenda!$A$5:$A$3004,MATCH($A14,Agenda!$U$5:$U$3004,0)),"")</f>
        <v>0</v>
      </c>
      <c r="C14" s="32">
        <f>IFERROR(INDEX(Agenda!$B$5:$B$3004,MATCH($A14,Agenda!$U$5:$U$3004,0)),"")</f>
        <v>0</v>
      </c>
      <c r="D14" s="25">
        <f>IFERROR(INDEX(Agenda!$J$5:$J$3004,MATCH($A14,Agenda!$U$5:$U$3004,0))&amp;"","")</f>
        <v>0</v>
      </c>
      <c r="E14" s="25">
        <f>IFERROR(INDEX(PacTel,MATCH(INDEX(Agenda!$D$5:$D$3004,MATCH($A14,Agenda!$U$5:$U$3004,0)),PacCod,0))&amp;"","")</f>
        <v>0</v>
      </c>
      <c r="F14" s="25">
        <f>IFERROR(INDEX(Agenda!$C$5:$C$3004,MATCH($A14,Agenda!$U$5:$U$3004,0))&amp;"","")</f>
        <v>0</v>
      </c>
      <c r="G14" s="25">
        <f>IFERROR(INDEX(Agenda!$E$5:$E$3004,MATCH($A14,Agenda!$U$5:$U$3004,0))&amp;"","")</f>
        <v>0</v>
      </c>
      <c r="I14" s="31">
        <v>9</v>
      </c>
      <c r="J14" s="19">
        <f>IFERROR(INDEX(Agenda!$Q$5:$Q$3004,MATCH($I14,Agenda!$V$5:$V$3004,0)),"")</f>
        <v>0</v>
      </c>
      <c r="K14" s="19">
        <f>IFERROR(INDEX(Agenda!$A$5:$A$3004,MATCH($I14,Agenda!$V$5:$V$3004,0)),"")</f>
        <v>0</v>
      </c>
      <c r="L14" s="25">
        <f>IFERROR(INDEX(Agenda!$J$5:$J$3004,MATCH($I14,Agenda!$V$5:$V$3004,0))&amp;"","")</f>
        <v>0</v>
      </c>
      <c r="M14" s="25">
        <f>IFERROR(INDEX(PacTel,MATCH(INDEX(Agenda!$D$5:$D$3004,MATCH($I14,Agenda!$V$5:$V$3004,0)),PacCod,0))&amp;"","")</f>
        <v>0</v>
      </c>
      <c r="N14" s="25">
        <f>IFERROR(INDEX(Agenda!$C$5:$C$3004,MATCH($I14,Agenda!$V$5:$V$3004,0))&amp;"","")</f>
        <v>0</v>
      </c>
      <c r="O14" s="25">
        <f>IFERROR(INDEX(Agenda!$E$5:$E$3004,MATCH($I14,Agenda!$V$5:$V$3004,0))&amp;"","")</f>
        <v>0</v>
      </c>
    </row>
    <row r="15" spans="1:15">
      <c r="A15" s="31">
        <v>10</v>
      </c>
      <c r="B15" s="19">
        <f>IFERROR(INDEX(Agenda!$A$5:$A$3004,MATCH($A15,Agenda!$U$5:$U$3004,0)),"")</f>
        <v>0</v>
      </c>
      <c r="C15" s="32">
        <f>IFERROR(INDEX(Agenda!$B$5:$B$3004,MATCH($A15,Agenda!$U$5:$U$3004,0)),"")</f>
        <v>0</v>
      </c>
      <c r="D15" s="25">
        <f>IFERROR(INDEX(Agenda!$J$5:$J$3004,MATCH($A15,Agenda!$U$5:$U$3004,0))&amp;"","")</f>
        <v>0</v>
      </c>
      <c r="E15" s="25">
        <f>IFERROR(INDEX(PacTel,MATCH(INDEX(Agenda!$D$5:$D$3004,MATCH($A15,Agenda!$U$5:$U$3004,0)),PacCod,0))&amp;"","")</f>
        <v>0</v>
      </c>
      <c r="F15" s="25">
        <f>IFERROR(INDEX(Agenda!$C$5:$C$3004,MATCH($A15,Agenda!$U$5:$U$3004,0))&amp;"","")</f>
        <v>0</v>
      </c>
      <c r="G15" s="25">
        <f>IFERROR(INDEX(Agenda!$E$5:$E$3004,MATCH($A15,Agenda!$U$5:$U$3004,0))&amp;"","")</f>
        <v>0</v>
      </c>
      <c r="I15" s="31">
        <v>10</v>
      </c>
      <c r="J15" s="19">
        <f>IFERROR(INDEX(Agenda!$Q$5:$Q$3004,MATCH($I15,Agenda!$V$5:$V$3004,0)),"")</f>
        <v>0</v>
      </c>
      <c r="K15" s="19">
        <f>IFERROR(INDEX(Agenda!$A$5:$A$3004,MATCH($I15,Agenda!$V$5:$V$3004,0)),"")</f>
        <v>0</v>
      </c>
      <c r="L15" s="25">
        <f>IFERROR(INDEX(Agenda!$J$5:$J$3004,MATCH($I15,Agenda!$V$5:$V$3004,0))&amp;"","")</f>
        <v>0</v>
      </c>
      <c r="M15" s="25">
        <f>IFERROR(INDEX(PacTel,MATCH(INDEX(Agenda!$D$5:$D$3004,MATCH($I15,Agenda!$V$5:$V$3004,0)),PacCod,0))&amp;"","")</f>
        <v>0</v>
      </c>
      <c r="N15" s="25">
        <f>IFERROR(INDEX(Agenda!$C$5:$C$3004,MATCH($I15,Agenda!$V$5:$V$3004,0))&amp;"","")</f>
        <v>0</v>
      </c>
      <c r="O15" s="25">
        <f>IFERROR(INDEX(Agenda!$E$5:$E$3004,MATCH($I15,Agenda!$V$5:$V$3004,0))&amp;"","")</f>
        <v>0</v>
      </c>
    </row>
    <row r="16" spans="1:15">
      <c r="A16" s="31">
        <v>11</v>
      </c>
      <c r="B16" s="19">
        <f>IFERROR(INDEX(Agenda!$A$5:$A$3004,MATCH($A16,Agenda!$U$5:$U$3004,0)),"")</f>
        <v>0</v>
      </c>
      <c r="C16" s="32">
        <f>IFERROR(INDEX(Agenda!$B$5:$B$3004,MATCH($A16,Agenda!$U$5:$U$3004,0)),"")</f>
        <v>0</v>
      </c>
      <c r="D16" s="25">
        <f>IFERROR(INDEX(Agenda!$J$5:$J$3004,MATCH($A16,Agenda!$U$5:$U$3004,0))&amp;"","")</f>
        <v>0</v>
      </c>
      <c r="E16" s="25">
        <f>IFERROR(INDEX(PacTel,MATCH(INDEX(Agenda!$D$5:$D$3004,MATCH($A16,Agenda!$U$5:$U$3004,0)),PacCod,0))&amp;"","")</f>
        <v>0</v>
      </c>
      <c r="F16" s="25">
        <f>IFERROR(INDEX(Agenda!$C$5:$C$3004,MATCH($A16,Agenda!$U$5:$U$3004,0))&amp;"","")</f>
        <v>0</v>
      </c>
      <c r="G16" s="25">
        <f>IFERROR(INDEX(Agenda!$E$5:$E$3004,MATCH($A16,Agenda!$U$5:$U$3004,0))&amp;"","")</f>
        <v>0</v>
      </c>
      <c r="I16" s="31">
        <v>11</v>
      </c>
      <c r="J16" s="19">
        <f>IFERROR(INDEX(Agenda!$Q$5:$Q$3004,MATCH($I16,Agenda!$V$5:$V$3004,0)),"")</f>
        <v>0</v>
      </c>
      <c r="K16" s="19">
        <f>IFERROR(INDEX(Agenda!$A$5:$A$3004,MATCH($I16,Agenda!$V$5:$V$3004,0)),"")</f>
        <v>0</v>
      </c>
      <c r="L16" s="25">
        <f>IFERROR(INDEX(Agenda!$J$5:$J$3004,MATCH($I16,Agenda!$V$5:$V$3004,0))&amp;"","")</f>
        <v>0</v>
      </c>
      <c r="M16" s="25">
        <f>IFERROR(INDEX(PacTel,MATCH(INDEX(Agenda!$D$5:$D$3004,MATCH($I16,Agenda!$V$5:$V$3004,0)),PacCod,0))&amp;"","")</f>
        <v>0</v>
      </c>
      <c r="N16" s="25">
        <f>IFERROR(INDEX(Agenda!$C$5:$C$3004,MATCH($I16,Agenda!$V$5:$V$3004,0))&amp;"","")</f>
        <v>0</v>
      </c>
      <c r="O16" s="25">
        <f>IFERROR(INDEX(Agenda!$E$5:$E$3004,MATCH($I16,Agenda!$V$5:$V$3004,0))&amp;"","")</f>
        <v>0</v>
      </c>
    </row>
    <row r="17" spans="1:15">
      <c r="A17" s="31">
        <v>12</v>
      </c>
      <c r="B17" s="19">
        <f>IFERROR(INDEX(Agenda!$A$5:$A$3004,MATCH($A17,Agenda!$U$5:$U$3004,0)),"")</f>
        <v>0</v>
      </c>
      <c r="C17" s="32">
        <f>IFERROR(INDEX(Agenda!$B$5:$B$3004,MATCH($A17,Agenda!$U$5:$U$3004,0)),"")</f>
        <v>0</v>
      </c>
      <c r="D17" s="25">
        <f>IFERROR(INDEX(Agenda!$J$5:$J$3004,MATCH($A17,Agenda!$U$5:$U$3004,0))&amp;"","")</f>
        <v>0</v>
      </c>
      <c r="E17" s="25">
        <f>IFERROR(INDEX(PacTel,MATCH(INDEX(Agenda!$D$5:$D$3004,MATCH($A17,Agenda!$U$5:$U$3004,0)),PacCod,0))&amp;"","")</f>
        <v>0</v>
      </c>
      <c r="F17" s="25">
        <f>IFERROR(INDEX(Agenda!$C$5:$C$3004,MATCH($A17,Agenda!$U$5:$U$3004,0))&amp;"","")</f>
        <v>0</v>
      </c>
      <c r="G17" s="25">
        <f>IFERROR(INDEX(Agenda!$E$5:$E$3004,MATCH($A17,Agenda!$U$5:$U$3004,0))&amp;"","")</f>
        <v>0</v>
      </c>
      <c r="I17" s="31">
        <v>12</v>
      </c>
      <c r="J17" s="19">
        <f>IFERROR(INDEX(Agenda!$Q$5:$Q$3004,MATCH($I17,Agenda!$V$5:$V$3004,0)),"")</f>
        <v>0</v>
      </c>
      <c r="K17" s="19">
        <f>IFERROR(INDEX(Agenda!$A$5:$A$3004,MATCH($I17,Agenda!$V$5:$V$3004,0)),"")</f>
        <v>0</v>
      </c>
      <c r="L17" s="25">
        <f>IFERROR(INDEX(Agenda!$J$5:$J$3004,MATCH($I17,Agenda!$V$5:$V$3004,0))&amp;"","")</f>
        <v>0</v>
      </c>
      <c r="M17" s="25">
        <f>IFERROR(INDEX(PacTel,MATCH(INDEX(Agenda!$D$5:$D$3004,MATCH($I17,Agenda!$V$5:$V$3004,0)),PacCod,0))&amp;"","")</f>
        <v>0</v>
      </c>
      <c r="N17" s="25">
        <f>IFERROR(INDEX(Agenda!$C$5:$C$3004,MATCH($I17,Agenda!$V$5:$V$3004,0))&amp;"","")</f>
        <v>0</v>
      </c>
      <c r="O17" s="25">
        <f>IFERROR(INDEX(Agenda!$E$5:$E$3004,MATCH($I17,Agenda!$V$5:$V$3004,0))&amp;"","")</f>
        <v>0</v>
      </c>
    </row>
    <row r="18" spans="1:15">
      <c r="A18" s="31">
        <v>13</v>
      </c>
      <c r="B18" s="19">
        <f>IFERROR(INDEX(Agenda!$A$5:$A$3004,MATCH($A18,Agenda!$U$5:$U$3004,0)),"")</f>
        <v>0</v>
      </c>
      <c r="C18" s="32">
        <f>IFERROR(INDEX(Agenda!$B$5:$B$3004,MATCH($A18,Agenda!$U$5:$U$3004,0)),"")</f>
        <v>0</v>
      </c>
      <c r="D18" s="25">
        <f>IFERROR(INDEX(Agenda!$J$5:$J$3004,MATCH($A18,Agenda!$U$5:$U$3004,0))&amp;"","")</f>
        <v>0</v>
      </c>
      <c r="E18" s="25">
        <f>IFERROR(INDEX(PacTel,MATCH(INDEX(Agenda!$D$5:$D$3004,MATCH($A18,Agenda!$U$5:$U$3004,0)),PacCod,0))&amp;"","")</f>
        <v>0</v>
      </c>
      <c r="F18" s="25">
        <f>IFERROR(INDEX(Agenda!$C$5:$C$3004,MATCH($A18,Agenda!$U$5:$U$3004,0))&amp;"","")</f>
        <v>0</v>
      </c>
      <c r="G18" s="25">
        <f>IFERROR(INDEX(Agenda!$E$5:$E$3004,MATCH($A18,Agenda!$U$5:$U$3004,0))&amp;"","")</f>
        <v>0</v>
      </c>
      <c r="I18" s="31">
        <v>13</v>
      </c>
      <c r="J18" s="19">
        <f>IFERROR(INDEX(Agenda!$Q$5:$Q$3004,MATCH($I18,Agenda!$V$5:$V$3004,0)),"")</f>
        <v>0</v>
      </c>
      <c r="K18" s="19">
        <f>IFERROR(INDEX(Agenda!$A$5:$A$3004,MATCH($I18,Agenda!$V$5:$V$3004,0)),"")</f>
        <v>0</v>
      </c>
      <c r="L18" s="25">
        <f>IFERROR(INDEX(Agenda!$J$5:$J$3004,MATCH($I18,Agenda!$V$5:$V$3004,0))&amp;"","")</f>
        <v>0</v>
      </c>
      <c r="M18" s="25">
        <f>IFERROR(INDEX(PacTel,MATCH(INDEX(Agenda!$D$5:$D$3004,MATCH($I18,Agenda!$V$5:$V$3004,0)),PacCod,0))&amp;"","")</f>
        <v>0</v>
      </c>
      <c r="N18" s="25">
        <f>IFERROR(INDEX(Agenda!$C$5:$C$3004,MATCH($I18,Agenda!$V$5:$V$3004,0))&amp;"","")</f>
        <v>0</v>
      </c>
      <c r="O18" s="25">
        <f>IFERROR(INDEX(Agenda!$E$5:$E$3004,MATCH($I18,Agenda!$V$5:$V$3004,0))&amp;"","")</f>
        <v>0</v>
      </c>
    </row>
    <row r="19" spans="1:15">
      <c r="A19" s="31">
        <v>14</v>
      </c>
      <c r="B19" s="19">
        <f>IFERROR(INDEX(Agenda!$A$5:$A$3004,MATCH($A19,Agenda!$U$5:$U$3004,0)),"")</f>
        <v>0</v>
      </c>
      <c r="C19" s="32">
        <f>IFERROR(INDEX(Agenda!$B$5:$B$3004,MATCH($A19,Agenda!$U$5:$U$3004,0)),"")</f>
        <v>0</v>
      </c>
      <c r="D19" s="25">
        <f>IFERROR(INDEX(Agenda!$J$5:$J$3004,MATCH($A19,Agenda!$U$5:$U$3004,0))&amp;"","")</f>
        <v>0</v>
      </c>
      <c r="E19" s="25">
        <f>IFERROR(INDEX(PacTel,MATCH(INDEX(Agenda!$D$5:$D$3004,MATCH($A19,Agenda!$U$5:$U$3004,0)),PacCod,0))&amp;"","")</f>
        <v>0</v>
      </c>
      <c r="F19" s="25">
        <f>IFERROR(INDEX(Agenda!$C$5:$C$3004,MATCH($A19,Agenda!$U$5:$U$3004,0))&amp;"","")</f>
        <v>0</v>
      </c>
      <c r="G19" s="25">
        <f>IFERROR(INDEX(Agenda!$E$5:$E$3004,MATCH($A19,Agenda!$U$5:$U$3004,0))&amp;"","")</f>
        <v>0</v>
      </c>
      <c r="I19" s="31">
        <v>14</v>
      </c>
      <c r="J19" s="19">
        <f>IFERROR(INDEX(Agenda!$Q$5:$Q$3004,MATCH($I19,Agenda!$V$5:$V$3004,0)),"")</f>
        <v>0</v>
      </c>
      <c r="K19" s="19">
        <f>IFERROR(INDEX(Agenda!$A$5:$A$3004,MATCH($I19,Agenda!$V$5:$V$3004,0)),"")</f>
        <v>0</v>
      </c>
      <c r="L19" s="25">
        <f>IFERROR(INDEX(Agenda!$J$5:$J$3004,MATCH($I19,Agenda!$V$5:$V$3004,0))&amp;"","")</f>
        <v>0</v>
      </c>
      <c r="M19" s="25">
        <f>IFERROR(INDEX(PacTel,MATCH(INDEX(Agenda!$D$5:$D$3004,MATCH($I19,Agenda!$V$5:$V$3004,0)),PacCod,0))&amp;"","")</f>
        <v>0</v>
      </c>
      <c r="N19" s="25">
        <f>IFERROR(INDEX(Agenda!$C$5:$C$3004,MATCH($I19,Agenda!$V$5:$V$3004,0))&amp;"","")</f>
        <v>0</v>
      </c>
      <c r="O19" s="25">
        <f>IFERROR(INDEX(Agenda!$E$5:$E$3004,MATCH($I19,Agenda!$V$5:$V$3004,0))&amp;"","")</f>
        <v>0</v>
      </c>
    </row>
    <row r="20" spans="1:15">
      <c r="A20" s="31">
        <v>15</v>
      </c>
      <c r="B20" s="19">
        <f>IFERROR(INDEX(Agenda!$A$5:$A$3004,MATCH($A20,Agenda!$U$5:$U$3004,0)),"")</f>
        <v>0</v>
      </c>
      <c r="C20" s="32">
        <f>IFERROR(INDEX(Agenda!$B$5:$B$3004,MATCH($A20,Agenda!$U$5:$U$3004,0)),"")</f>
        <v>0</v>
      </c>
      <c r="D20" s="25">
        <f>IFERROR(INDEX(Agenda!$J$5:$J$3004,MATCH($A20,Agenda!$U$5:$U$3004,0))&amp;"","")</f>
        <v>0</v>
      </c>
      <c r="E20" s="25">
        <f>IFERROR(INDEX(PacTel,MATCH(INDEX(Agenda!$D$5:$D$3004,MATCH($A20,Agenda!$U$5:$U$3004,0)),PacCod,0))&amp;"","")</f>
        <v>0</v>
      </c>
      <c r="F20" s="25">
        <f>IFERROR(INDEX(Agenda!$C$5:$C$3004,MATCH($A20,Agenda!$U$5:$U$3004,0))&amp;"","")</f>
        <v>0</v>
      </c>
      <c r="G20" s="25">
        <f>IFERROR(INDEX(Agenda!$E$5:$E$3004,MATCH($A20,Agenda!$U$5:$U$3004,0))&amp;"","")</f>
        <v>0</v>
      </c>
      <c r="I20" s="31">
        <v>15</v>
      </c>
      <c r="J20" s="19">
        <f>IFERROR(INDEX(Agenda!$Q$5:$Q$3004,MATCH($I20,Agenda!$V$5:$V$3004,0)),"")</f>
        <v>0</v>
      </c>
      <c r="K20" s="19">
        <f>IFERROR(INDEX(Agenda!$A$5:$A$3004,MATCH($I20,Agenda!$V$5:$V$3004,0)),"")</f>
        <v>0</v>
      </c>
      <c r="L20" s="25">
        <f>IFERROR(INDEX(Agenda!$J$5:$J$3004,MATCH($I20,Agenda!$V$5:$V$3004,0))&amp;"","")</f>
        <v>0</v>
      </c>
      <c r="M20" s="25">
        <f>IFERROR(INDEX(PacTel,MATCH(INDEX(Agenda!$D$5:$D$3004,MATCH($I20,Agenda!$V$5:$V$3004,0)),PacCod,0))&amp;"","")</f>
        <v>0</v>
      </c>
      <c r="N20" s="25">
        <f>IFERROR(INDEX(Agenda!$C$5:$C$3004,MATCH($I20,Agenda!$V$5:$V$3004,0))&amp;"","")</f>
        <v>0</v>
      </c>
      <c r="O20" s="25">
        <f>IFERROR(INDEX(Agenda!$E$5:$E$3004,MATCH($I20,Agenda!$V$5:$V$3004,0))&amp;"","")</f>
        <v>0</v>
      </c>
    </row>
    <row r="21" spans="1:15">
      <c r="A21" s="31">
        <v>16</v>
      </c>
      <c r="B21" s="19">
        <f>IFERROR(INDEX(Agenda!$A$5:$A$3004,MATCH($A21,Agenda!$U$5:$U$3004,0)),"")</f>
        <v>0</v>
      </c>
      <c r="C21" s="32">
        <f>IFERROR(INDEX(Agenda!$B$5:$B$3004,MATCH($A21,Agenda!$U$5:$U$3004,0)),"")</f>
        <v>0</v>
      </c>
      <c r="D21" s="25">
        <f>IFERROR(INDEX(Agenda!$J$5:$J$3004,MATCH($A21,Agenda!$U$5:$U$3004,0))&amp;"","")</f>
        <v>0</v>
      </c>
      <c r="E21" s="25">
        <f>IFERROR(INDEX(PacTel,MATCH(INDEX(Agenda!$D$5:$D$3004,MATCH($A21,Agenda!$U$5:$U$3004,0)),PacCod,0))&amp;"","")</f>
        <v>0</v>
      </c>
      <c r="F21" s="25">
        <f>IFERROR(INDEX(Agenda!$C$5:$C$3004,MATCH($A21,Agenda!$U$5:$U$3004,0))&amp;"","")</f>
        <v>0</v>
      </c>
      <c r="G21" s="25">
        <f>IFERROR(INDEX(Agenda!$E$5:$E$3004,MATCH($A21,Agenda!$U$5:$U$3004,0))&amp;"","")</f>
        <v>0</v>
      </c>
      <c r="I21" s="31">
        <v>16</v>
      </c>
      <c r="J21" s="19">
        <f>IFERROR(INDEX(Agenda!$Q$5:$Q$3004,MATCH($I21,Agenda!$V$5:$V$3004,0)),"")</f>
        <v>0</v>
      </c>
      <c r="K21" s="19">
        <f>IFERROR(INDEX(Agenda!$A$5:$A$3004,MATCH($I21,Agenda!$V$5:$V$3004,0)),"")</f>
        <v>0</v>
      </c>
      <c r="L21" s="25">
        <f>IFERROR(INDEX(Agenda!$J$5:$J$3004,MATCH($I21,Agenda!$V$5:$V$3004,0))&amp;"","")</f>
        <v>0</v>
      </c>
      <c r="M21" s="25">
        <f>IFERROR(INDEX(PacTel,MATCH(INDEX(Agenda!$D$5:$D$3004,MATCH($I21,Agenda!$V$5:$V$3004,0)),PacCod,0))&amp;"","")</f>
        <v>0</v>
      </c>
      <c r="N21" s="25">
        <f>IFERROR(INDEX(Agenda!$C$5:$C$3004,MATCH($I21,Agenda!$V$5:$V$3004,0))&amp;"","")</f>
        <v>0</v>
      </c>
      <c r="O21" s="25">
        <f>IFERROR(INDEX(Agenda!$E$5:$E$3004,MATCH($I21,Agenda!$V$5:$V$3004,0))&amp;"","")</f>
        <v>0</v>
      </c>
    </row>
    <row r="22" spans="1:15">
      <c r="A22" s="31">
        <v>17</v>
      </c>
      <c r="B22" s="19">
        <f>IFERROR(INDEX(Agenda!$A$5:$A$3004,MATCH($A22,Agenda!$U$5:$U$3004,0)),"")</f>
        <v>0</v>
      </c>
      <c r="C22" s="32">
        <f>IFERROR(INDEX(Agenda!$B$5:$B$3004,MATCH($A22,Agenda!$U$5:$U$3004,0)),"")</f>
        <v>0</v>
      </c>
      <c r="D22" s="25">
        <f>IFERROR(INDEX(Agenda!$J$5:$J$3004,MATCH($A22,Agenda!$U$5:$U$3004,0))&amp;"","")</f>
        <v>0</v>
      </c>
      <c r="E22" s="25">
        <f>IFERROR(INDEX(PacTel,MATCH(INDEX(Agenda!$D$5:$D$3004,MATCH($A22,Agenda!$U$5:$U$3004,0)),PacCod,0))&amp;"","")</f>
        <v>0</v>
      </c>
      <c r="F22" s="25">
        <f>IFERROR(INDEX(Agenda!$C$5:$C$3004,MATCH($A22,Agenda!$U$5:$U$3004,0))&amp;"","")</f>
        <v>0</v>
      </c>
      <c r="G22" s="25">
        <f>IFERROR(INDEX(Agenda!$E$5:$E$3004,MATCH($A22,Agenda!$U$5:$U$3004,0))&amp;"","")</f>
        <v>0</v>
      </c>
      <c r="I22" s="31">
        <v>17</v>
      </c>
      <c r="J22" s="19">
        <f>IFERROR(INDEX(Agenda!$Q$5:$Q$3004,MATCH($I22,Agenda!$V$5:$V$3004,0)),"")</f>
        <v>0</v>
      </c>
      <c r="K22" s="19">
        <f>IFERROR(INDEX(Agenda!$A$5:$A$3004,MATCH($I22,Agenda!$V$5:$V$3004,0)),"")</f>
        <v>0</v>
      </c>
      <c r="L22" s="25">
        <f>IFERROR(INDEX(Agenda!$J$5:$J$3004,MATCH($I22,Agenda!$V$5:$V$3004,0))&amp;"","")</f>
        <v>0</v>
      </c>
      <c r="M22" s="25">
        <f>IFERROR(INDEX(PacTel,MATCH(INDEX(Agenda!$D$5:$D$3004,MATCH($I22,Agenda!$V$5:$V$3004,0)),PacCod,0))&amp;"","")</f>
        <v>0</v>
      </c>
      <c r="N22" s="25">
        <f>IFERROR(INDEX(Agenda!$C$5:$C$3004,MATCH($I22,Agenda!$V$5:$V$3004,0))&amp;"","")</f>
        <v>0</v>
      </c>
      <c r="O22" s="25">
        <f>IFERROR(INDEX(Agenda!$E$5:$E$3004,MATCH($I22,Agenda!$V$5:$V$3004,0))&amp;"","")</f>
        <v>0</v>
      </c>
    </row>
    <row r="23" spans="1:15">
      <c r="A23" s="31">
        <v>18</v>
      </c>
      <c r="B23" s="19">
        <f>IFERROR(INDEX(Agenda!$A$5:$A$3004,MATCH($A23,Agenda!$U$5:$U$3004,0)),"")</f>
        <v>0</v>
      </c>
      <c r="C23" s="32">
        <f>IFERROR(INDEX(Agenda!$B$5:$B$3004,MATCH($A23,Agenda!$U$5:$U$3004,0)),"")</f>
        <v>0</v>
      </c>
      <c r="D23" s="25">
        <f>IFERROR(INDEX(Agenda!$J$5:$J$3004,MATCH($A23,Agenda!$U$5:$U$3004,0))&amp;"","")</f>
        <v>0</v>
      </c>
      <c r="E23" s="25">
        <f>IFERROR(INDEX(PacTel,MATCH(INDEX(Agenda!$D$5:$D$3004,MATCH($A23,Agenda!$U$5:$U$3004,0)),PacCod,0))&amp;"","")</f>
        <v>0</v>
      </c>
      <c r="F23" s="25">
        <f>IFERROR(INDEX(Agenda!$C$5:$C$3004,MATCH($A23,Agenda!$U$5:$U$3004,0))&amp;"","")</f>
        <v>0</v>
      </c>
      <c r="G23" s="25">
        <f>IFERROR(INDEX(Agenda!$E$5:$E$3004,MATCH($A23,Agenda!$U$5:$U$3004,0))&amp;"","")</f>
        <v>0</v>
      </c>
      <c r="I23" s="31">
        <v>18</v>
      </c>
      <c r="J23" s="19">
        <f>IFERROR(INDEX(Agenda!$Q$5:$Q$3004,MATCH($I23,Agenda!$V$5:$V$3004,0)),"")</f>
        <v>0</v>
      </c>
      <c r="K23" s="19">
        <f>IFERROR(INDEX(Agenda!$A$5:$A$3004,MATCH($I23,Agenda!$V$5:$V$3004,0)),"")</f>
        <v>0</v>
      </c>
      <c r="L23" s="25">
        <f>IFERROR(INDEX(Agenda!$J$5:$J$3004,MATCH($I23,Agenda!$V$5:$V$3004,0))&amp;"","")</f>
        <v>0</v>
      </c>
      <c r="M23" s="25">
        <f>IFERROR(INDEX(PacTel,MATCH(INDEX(Agenda!$D$5:$D$3004,MATCH($I23,Agenda!$V$5:$V$3004,0)),PacCod,0))&amp;"","")</f>
        <v>0</v>
      </c>
      <c r="N23" s="25">
        <f>IFERROR(INDEX(Agenda!$C$5:$C$3004,MATCH($I23,Agenda!$V$5:$V$3004,0))&amp;"","")</f>
        <v>0</v>
      </c>
      <c r="O23" s="25">
        <f>IFERROR(INDEX(Agenda!$E$5:$E$3004,MATCH($I23,Agenda!$V$5:$V$3004,0))&amp;"","")</f>
        <v>0</v>
      </c>
    </row>
    <row r="24" spans="1:15">
      <c r="A24" s="31">
        <v>19</v>
      </c>
      <c r="B24" s="19">
        <f>IFERROR(INDEX(Agenda!$A$5:$A$3004,MATCH($A24,Agenda!$U$5:$U$3004,0)),"")</f>
        <v>0</v>
      </c>
      <c r="C24" s="32">
        <f>IFERROR(INDEX(Agenda!$B$5:$B$3004,MATCH($A24,Agenda!$U$5:$U$3004,0)),"")</f>
        <v>0</v>
      </c>
      <c r="D24" s="25">
        <f>IFERROR(INDEX(Agenda!$J$5:$J$3004,MATCH($A24,Agenda!$U$5:$U$3004,0))&amp;"","")</f>
        <v>0</v>
      </c>
      <c r="E24" s="25">
        <f>IFERROR(INDEX(PacTel,MATCH(INDEX(Agenda!$D$5:$D$3004,MATCH($A24,Agenda!$U$5:$U$3004,0)),PacCod,0))&amp;"","")</f>
        <v>0</v>
      </c>
      <c r="F24" s="25">
        <f>IFERROR(INDEX(Agenda!$C$5:$C$3004,MATCH($A24,Agenda!$U$5:$U$3004,0))&amp;"","")</f>
        <v>0</v>
      </c>
      <c r="G24" s="25">
        <f>IFERROR(INDEX(Agenda!$E$5:$E$3004,MATCH($A24,Agenda!$U$5:$U$3004,0))&amp;"","")</f>
        <v>0</v>
      </c>
      <c r="I24" s="31">
        <v>19</v>
      </c>
      <c r="J24" s="19">
        <f>IFERROR(INDEX(Agenda!$Q$5:$Q$3004,MATCH($I24,Agenda!$V$5:$V$3004,0)),"")</f>
        <v>0</v>
      </c>
      <c r="K24" s="19">
        <f>IFERROR(INDEX(Agenda!$A$5:$A$3004,MATCH($I24,Agenda!$V$5:$V$3004,0)),"")</f>
        <v>0</v>
      </c>
      <c r="L24" s="25">
        <f>IFERROR(INDEX(Agenda!$J$5:$J$3004,MATCH($I24,Agenda!$V$5:$V$3004,0))&amp;"","")</f>
        <v>0</v>
      </c>
      <c r="M24" s="25">
        <f>IFERROR(INDEX(PacTel,MATCH(INDEX(Agenda!$D$5:$D$3004,MATCH($I24,Agenda!$V$5:$V$3004,0)),PacCod,0))&amp;"","")</f>
        <v>0</v>
      </c>
      <c r="N24" s="25">
        <f>IFERROR(INDEX(Agenda!$C$5:$C$3004,MATCH($I24,Agenda!$V$5:$V$3004,0))&amp;"","")</f>
        <v>0</v>
      </c>
      <c r="O24" s="25">
        <f>IFERROR(INDEX(Agenda!$E$5:$E$3004,MATCH($I24,Agenda!$V$5:$V$3004,0))&amp;"","")</f>
        <v>0</v>
      </c>
    </row>
    <row r="25" spans="1:15">
      <c r="A25" s="31">
        <v>20</v>
      </c>
      <c r="B25" s="19">
        <f>IFERROR(INDEX(Agenda!$A$5:$A$3004,MATCH($A25,Agenda!$U$5:$U$3004,0)),"")</f>
        <v>0</v>
      </c>
      <c r="C25" s="32">
        <f>IFERROR(INDEX(Agenda!$B$5:$B$3004,MATCH($A25,Agenda!$U$5:$U$3004,0)),"")</f>
        <v>0</v>
      </c>
      <c r="D25" s="25">
        <f>IFERROR(INDEX(Agenda!$J$5:$J$3004,MATCH($A25,Agenda!$U$5:$U$3004,0))&amp;"","")</f>
        <v>0</v>
      </c>
      <c r="E25" s="25">
        <f>IFERROR(INDEX(PacTel,MATCH(INDEX(Agenda!$D$5:$D$3004,MATCH($A25,Agenda!$U$5:$U$3004,0)),PacCod,0))&amp;"","")</f>
        <v>0</v>
      </c>
      <c r="F25" s="25">
        <f>IFERROR(INDEX(Agenda!$C$5:$C$3004,MATCH($A25,Agenda!$U$5:$U$3004,0))&amp;"","")</f>
        <v>0</v>
      </c>
      <c r="G25" s="25">
        <f>IFERROR(INDEX(Agenda!$E$5:$E$3004,MATCH($A25,Agenda!$U$5:$U$3004,0))&amp;"","")</f>
        <v>0</v>
      </c>
      <c r="I25" s="31">
        <v>20</v>
      </c>
      <c r="J25" s="19">
        <f>IFERROR(INDEX(Agenda!$Q$5:$Q$3004,MATCH($I25,Agenda!$V$5:$V$3004,0)),"")</f>
        <v>0</v>
      </c>
      <c r="K25" s="19">
        <f>IFERROR(INDEX(Agenda!$A$5:$A$3004,MATCH($I25,Agenda!$V$5:$V$3004,0)),"")</f>
        <v>0</v>
      </c>
      <c r="L25" s="25">
        <f>IFERROR(INDEX(Agenda!$J$5:$J$3004,MATCH($I25,Agenda!$V$5:$V$3004,0))&amp;"","")</f>
        <v>0</v>
      </c>
      <c r="M25" s="25">
        <f>IFERROR(INDEX(PacTel,MATCH(INDEX(Agenda!$D$5:$D$3004,MATCH($I25,Agenda!$V$5:$V$3004,0)),PacCod,0))&amp;"","")</f>
        <v>0</v>
      </c>
      <c r="N25" s="25">
        <f>IFERROR(INDEX(Agenda!$C$5:$C$3004,MATCH($I25,Agenda!$V$5:$V$3004,0))&amp;"","")</f>
        <v>0</v>
      </c>
      <c r="O25" s="25">
        <f>IFERROR(INDEX(Agenda!$E$5:$E$3004,MATCH($I25,Agenda!$V$5:$V$3004,0))&amp;"","")</f>
        <v>0</v>
      </c>
    </row>
    <row r="26" spans="1:15">
      <c r="A26" s="31">
        <v>21</v>
      </c>
      <c r="B26" s="19">
        <f>IFERROR(INDEX(Agenda!$A$5:$A$3004,MATCH($A26,Agenda!$U$5:$U$3004,0)),"")</f>
        <v>0</v>
      </c>
      <c r="C26" s="32">
        <f>IFERROR(INDEX(Agenda!$B$5:$B$3004,MATCH($A26,Agenda!$U$5:$U$3004,0)),"")</f>
        <v>0</v>
      </c>
      <c r="D26" s="25">
        <f>IFERROR(INDEX(Agenda!$J$5:$J$3004,MATCH($A26,Agenda!$U$5:$U$3004,0))&amp;"","")</f>
        <v>0</v>
      </c>
      <c r="E26" s="25">
        <f>IFERROR(INDEX(PacTel,MATCH(INDEX(Agenda!$D$5:$D$3004,MATCH($A26,Agenda!$U$5:$U$3004,0)),PacCod,0))&amp;"","")</f>
        <v>0</v>
      </c>
      <c r="F26" s="25">
        <f>IFERROR(INDEX(Agenda!$C$5:$C$3004,MATCH($A26,Agenda!$U$5:$U$3004,0))&amp;"","")</f>
        <v>0</v>
      </c>
      <c r="G26" s="25">
        <f>IFERROR(INDEX(Agenda!$E$5:$E$3004,MATCH($A26,Agenda!$U$5:$U$3004,0))&amp;"","")</f>
        <v>0</v>
      </c>
      <c r="I26" s="31">
        <v>21</v>
      </c>
      <c r="J26" s="19">
        <f>IFERROR(INDEX(Agenda!$Q$5:$Q$3004,MATCH($I26,Agenda!$V$5:$V$3004,0)),"")</f>
        <v>0</v>
      </c>
      <c r="K26" s="19">
        <f>IFERROR(INDEX(Agenda!$A$5:$A$3004,MATCH($I26,Agenda!$V$5:$V$3004,0)),"")</f>
        <v>0</v>
      </c>
      <c r="L26" s="25">
        <f>IFERROR(INDEX(Agenda!$J$5:$J$3004,MATCH($I26,Agenda!$V$5:$V$3004,0))&amp;"","")</f>
        <v>0</v>
      </c>
      <c r="M26" s="25">
        <f>IFERROR(INDEX(PacTel,MATCH(INDEX(Agenda!$D$5:$D$3004,MATCH($I26,Agenda!$V$5:$V$3004,0)),PacCod,0))&amp;"","")</f>
        <v>0</v>
      </c>
      <c r="N26" s="25">
        <f>IFERROR(INDEX(Agenda!$C$5:$C$3004,MATCH($I26,Agenda!$V$5:$V$3004,0))&amp;"","")</f>
        <v>0</v>
      </c>
      <c r="O26" s="25">
        <f>IFERROR(INDEX(Agenda!$E$5:$E$3004,MATCH($I26,Agenda!$V$5:$V$3004,0))&amp;"","")</f>
        <v>0</v>
      </c>
    </row>
    <row r="27" spans="1:15">
      <c r="A27" s="31">
        <v>22</v>
      </c>
      <c r="B27" s="19">
        <f>IFERROR(INDEX(Agenda!$A$5:$A$3004,MATCH($A27,Agenda!$U$5:$U$3004,0)),"")</f>
        <v>0</v>
      </c>
      <c r="C27" s="32">
        <f>IFERROR(INDEX(Agenda!$B$5:$B$3004,MATCH($A27,Agenda!$U$5:$U$3004,0)),"")</f>
        <v>0</v>
      </c>
      <c r="D27" s="25">
        <f>IFERROR(INDEX(Agenda!$J$5:$J$3004,MATCH($A27,Agenda!$U$5:$U$3004,0))&amp;"","")</f>
        <v>0</v>
      </c>
      <c r="E27" s="25">
        <f>IFERROR(INDEX(PacTel,MATCH(INDEX(Agenda!$D$5:$D$3004,MATCH($A27,Agenda!$U$5:$U$3004,0)),PacCod,0))&amp;"","")</f>
        <v>0</v>
      </c>
      <c r="F27" s="25">
        <f>IFERROR(INDEX(Agenda!$C$5:$C$3004,MATCH($A27,Agenda!$U$5:$U$3004,0))&amp;"","")</f>
        <v>0</v>
      </c>
      <c r="G27" s="25">
        <f>IFERROR(INDEX(Agenda!$E$5:$E$3004,MATCH($A27,Agenda!$U$5:$U$3004,0))&amp;"","")</f>
        <v>0</v>
      </c>
      <c r="I27" s="31">
        <v>22</v>
      </c>
      <c r="J27" s="19">
        <f>IFERROR(INDEX(Agenda!$Q$5:$Q$3004,MATCH($I27,Agenda!$V$5:$V$3004,0)),"")</f>
        <v>0</v>
      </c>
      <c r="K27" s="19">
        <f>IFERROR(INDEX(Agenda!$A$5:$A$3004,MATCH($I27,Agenda!$V$5:$V$3004,0)),"")</f>
        <v>0</v>
      </c>
      <c r="L27" s="25">
        <f>IFERROR(INDEX(Agenda!$J$5:$J$3004,MATCH($I27,Agenda!$V$5:$V$3004,0))&amp;"","")</f>
        <v>0</v>
      </c>
      <c r="M27" s="25">
        <f>IFERROR(INDEX(PacTel,MATCH(INDEX(Agenda!$D$5:$D$3004,MATCH($I27,Agenda!$V$5:$V$3004,0)),PacCod,0))&amp;"","")</f>
        <v>0</v>
      </c>
      <c r="N27" s="25">
        <f>IFERROR(INDEX(Agenda!$C$5:$C$3004,MATCH($I27,Agenda!$V$5:$V$3004,0))&amp;"","")</f>
        <v>0</v>
      </c>
      <c r="O27" s="25">
        <f>IFERROR(INDEX(Agenda!$E$5:$E$3004,MATCH($I27,Agenda!$V$5:$V$3004,0))&amp;"","")</f>
        <v>0</v>
      </c>
    </row>
    <row r="28" spans="1:15">
      <c r="A28" s="31">
        <v>23</v>
      </c>
      <c r="B28" s="19">
        <f>IFERROR(INDEX(Agenda!$A$5:$A$3004,MATCH($A28,Agenda!$U$5:$U$3004,0)),"")</f>
        <v>0</v>
      </c>
      <c r="C28" s="32">
        <f>IFERROR(INDEX(Agenda!$B$5:$B$3004,MATCH($A28,Agenda!$U$5:$U$3004,0)),"")</f>
        <v>0</v>
      </c>
      <c r="D28" s="25">
        <f>IFERROR(INDEX(Agenda!$J$5:$J$3004,MATCH($A28,Agenda!$U$5:$U$3004,0))&amp;"","")</f>
        <v>0</v>
      </c>
      <c r="E28" s="25">
        <f>IFERROR(INDEX(PacTel,MATCH(INDEX(Agenda!$D$5:$D$3004,MATCH($A28,Agenda!$U$5:$U$3004,0)),PacCod,0))&amp;"","")</f>
        <v>0</v>
      </c>
      <c r="F28" s="25">
        <f>IFERROR(INDEX(Agenda!$C$5:$C$3004,MATCH($A28,Agenda!$U$5:$U$3004,0))&amp;"","")</f>
        <v>0</v>
      </c>
      <c r="G28" s="25">
        <f>IFERROR(INDEX(Agenda!$E$5:$E$3004,MATCH($A28,Agenda!$U$5:$U$3004,0))&amp;"","")</f>
        <v>0</v>
      </c>
      <c r="I28" s="31">
        <v>23</v>
      </c>
      <c r="J28" s="19">
        <f>IFERROR(INDEX(Agenda!$Q$5:$Q$3004,MATCH($I28,Agenda!$V$5:$V$3004,0)),"")</f>
        <v>0</v>
      </c>
      <c r="K28" s="19">
        <f>IFERROR(INDEX(Agenda!$A$5:$A$3004,MATCH($I28,Agenda!$V$5:$V$3004,0)),"")</f>
        <v>0</v>
      </c>
      <c r="L28" s="25">
        <f>IFERROR(INDEX(Agenda!$J$5:$J$3004,MATCH($I28,Agenda!$V$5:$V$3004,0))&amp;"","")</f>
        <v>0</v>
      </c>
      <c r="M28" s="25">
        <f>IFERROR(INDEX(PacTel,MATCH(INDEX(Agenda!$D$5:$D$3004,MATCH($I28,Agenda!$V$5:$V$3004,0)),PacCod,0))&amp;"","")</f>
        <v>0</v>
      </c>
      <c r="N28" s="25">
        <f>IFERROR(INDEX(Agenda!$C$5:$C$3004,MATCH($I28,Agenda!$V$5:$V$3004,0))&amp;"","")</f>
        <v>0</v>
      </c>
      <c r="O28" s="25">
        <f>IFERROR(INDEX(Agenda!$E$5:$E$3004,MATCH($I28,Agenda!$V$5:$V$3004,0))&amp;"","")</f>
        <v>0</v>
      </c>
    </row>
    <row r="29" spans="1:15">
      <c r="A29" s="31">
        <v>24</v>
      </c>
      <c r="B29" s="19">
        <f>IFERROR(INDEX(Agenda!$A$5:$A$3004,MATCH($A29,Agenda!$U$5:$U$3004,0)),"")</f>
        <v>0</v>
      </c>
      <c r="C29" s="32">
        <f>IFERROR(INDEX(Agenda!$B$5:$B$3004,MATCH($A29,Agenda!$U$5:$U$3004,0)),"")</f>
        <v>0</v>
      </c>
      <c r="D29" s="25">
        <f>IFERROR(INDEX(Agenda!$J$5:$J$3004,MATCH($A29,Agenda!$U$5:$U$3004,0))&amp;"","")</f>
        <v>0</v>
      </c>
      <c r="E29" s="25">
        <f>IFERROR(INDEX(PacTel,MATCH(INDEX(Agenda!$D$5:$D$3004,MATCH($A29,Agenda!$U$5:$U$3004,0)),PacCod,0))&amp;"","")</f>
        <v>0</v>
      </c>
      <c r="F29" s="25">
        <f>IFERROR(INDEX(Agenda!$C$5:$C$3004,MATCH($A29,Agenda!$U$5:$U$3004,0))&amp;"","")</f>
        <v>0</v>
      </c>
      <c r="G29" s="25">
        <f>IFERROR(INDEX(Agenda!$E$5:$E$3004,MATCH($A29,Agenda!$U$5:$U$3004,0))&amp;"","")</f>
        <v>0</v>
      </c>
      <c r="I29" s="31">
        <v>24</v>
      </c>
      <c r="J29" s="19">
        <f>IFERROR(INDEX(Agenda!$Q$5:$Q$3004,MATCH($I29,Agenda!$V$5:$V$3004,0)),"")</f>
        <v>0</v>
      </c>
      <c r="K29" s="19">
        <f>IFERROR(INDEX(Agenda!$A$5:$A$3004,MATCH($I29,Agenda!$V$5:$V$3004,0)),"")</f>
        <v>0</v>
      </c>
      <c r="L29" s="25">
        <f>IFERROR(INDEX(Agenda!$J$5:$J$3004,MATCH($I29,Agenda!$V$5:$V$3004,0))&amp;"","")</f>
        <v>0</v>
      </c>
      <c r="M29" s="25">
        <f>IFERROR(INDEX(PacTel,MATCH(INDEX(Agenda!$D$5:$D$3004,MATCH($I29,Agenda!$V$5:$V$3004,0)),PacCod,0))&amp;"","")</f>
        <v>0</v>
      </c>
      <c r="N29" s="25">
        <f>IFERROR(INDEX(Agenda!$C$5:$C$3004,MATCH($I29,Agenda!$V$5:$V$3004,0))&amp;"","")</f>
        <v>0</v>
      </c>
      <c r="O29" s="25">
        <f>IFERROR(INDEX(Agenda!$E$5:$E$3004,MATCH($I29,Agenda!$V$5:$V$3004,0))&amp;"","")</f>
        <v>0</v>
      </c>
    </row>
    <row r="30" spans="1:15">
      <c r="A30" s="31">
        <v>25</v>
      </c>
      <c r="B30" s="19">
        <f>IFERROR(INDEX(Agenda!$A$5:$A$3004,MATCH($A30,Agenda!$U$5:$U$3004,0)),"")</f>
        <v>0</v>
      </c>
      <c r="C30" s="32">
        <f>IFERROR(INDEX(Agenda!$B$5:$B$3004,MATCH($A30,Agenda!$U$5:$U$3004,0)),"")</f>
        <v>0</v>
      </c>
      <c r="D30" s="25">
        <f>IFERROR(INDEX(Agenda!$J$5:$J$3004,MATCH($A30,Agenda!$U$5:$U$3004,0))&amp;"","")</f>
        <v>0</v>
      </c>
      <c r="E30" s="25">
        <f>IFERROR(INDEX(PacTel,MATCH(INDEX(Agenda!$D$5:$D$3004,MATCH($A30,Agenda!$U$5:$U$3004,0)),PacCod,0))&amp;"","")</f>
        <v>0</v>
      </c>
      <c r="F30" s="25">
        <f>IFERROR(INDEX(Agenda!$C$5:$C$3004,MATCH($A30,Agenda!$U$5:$U$3004,0))&amp;"","")</f>
        <v>0</v>
      </c>
      <c r="G30" s="25">
        <f>IFERROR(INDEX(Agenda!$E$5:$E$3004,MATCH($A30,Agenda!$U$5:$U$3004,0))&amp;"","")</f>
        <v>0</v>
      </c>
      <c r="I30" s="31">
        <v>25</v>
      </c>
      <c r="J30" s="19">
        <f>IFERROR(INDEX(Agenda!$Q$5:$Q$3004,MATCH($I30,Agenda!$V$5:$V$3004,0)),"")</f>
        <v>0</v>
      </c>
      <c r="K30" s="19">
        <f>IFERROR(INDEX(Agenda!$A$5:$A$3004,MATCH($I30,Agenda!$V$5:$V$3004,0)),"")</f>
        <v>0</v>
      </c>
      <c r="L30" s="25">
        <f>IFERROR(INDEX(Agenda!$J$5:$J$3004,MATCH($I30,Agenda!$V$5:$V$3004,0))&amp;"","")</f>
        <v>0</v>
      </c>
      <c r="M30" s="25">
        <f>IFERROR(INDEX(PacTel,MATCH(INDEX(Agenda!$D$5:$D$3004,MATCH($I30,Agenda!$V$5:$V$3004,0)),PacCod,0))&amp;"","")</f>
        <v>0</v>
      </c>
      <c r="N30" s="25">
        <f>IFERROR(INDEX(Agenda!$C$5:$C$3004,MATCH($I30,Agenda!$V$5:$V$3004,0))&amp;"","")</f>
        <v>0</v>
      </c>
      <c r="O30" s="25">
        <f>IFERROR(INDEX(Agenda!$E$5:$E$3004,MATCH($I30,Agenda!$V$5:$V$3004,0))&amp;"","")</f>
        <v>0</v>
      </c>
    </row>
    <row r="31" spans="1:15">
      <c r="A31" s="31">
        <v>26</v>
      </c>
      <c r="B31" s="19">
        <f>IFERROR(INDEX(Agenda!$A$5:$A$3004,MATCH($A31,Agenda!$U$5:$U$3004,0)),"")</f>
        <v>0</v>
      </c>
      <c r="C31" s="32">
        <f>IFERROR(INDEX(Agenda!$B$5:$B$3004,MATCH($A31,Agenda!$U$5:$U$3004,0)),"")</f>
        <v>0</v>
      </c>
      <c r="D31" s="25">
        <f>IFERROR(INDEX(Agenda!$J$5:$J$3004,MATCH($A31,Agenda!$U$5:$U$3004,0))&amp;"","")</f>
        <v>0</v>
      </c>
      <c r="E31" s="25">
        <f>IFERROR(INDEX(PacTel,MATCH(INDEX(Agenda!$D$5:$D$3004,MATCH($A31,Agenda!$U$5:$U$3004,0)),PacCod,0))&amp;"","")</f>
        <v>0</v>
      </c>
      <c r="F31" s="25">
        <f>IFERROR(INDEX(Agenda!$C$5:$C$3004,MATCH($A31,Agenda!$U$5:$U$3004,0))&amp;"","")</f>
        <v>0</v>
      </c>
      <c r="G31" s="25">
        <f>IFERROR(INDEX(Agenda!$E$5:$E$3004,MATCH($A31,Agenda!$U$5:$U$3004,0))&amp;"","")</f>
        <v>0</v>
      </c>
      <c r="I31" s="31">
        <v>26</v>
      </c>
      <c r="J31" s="19">
        <f>IFERROR(INDEX(Agenda!$Q$5:$Q$3004,MATCH($I31,Agenda!$V$5:$V$3004,0)),"")</f>
        <v>0</v>
      </c>
      <c r="K31" s="19">
        <f>IFERROR(INDEX(Agenda!$A$5:$A$3004,MATCH($I31,Agenda!$V$5:$V$3004,0)),"")</f>
        <v>0</v>
      </c>
      <c r="L31" s="25">
        <f>IFERROR(INDEX(Agenda!$J$5:$J$3004,MATCH($I31,Agenda!$V$5:$V$3004,0))&amp;"","")</f>
        <v>0</v>
      </c>
      <c r="M31" s="25">
        <f>IFERROR(INDEX(PacTel,MATCH(INDEX(Agenda!$D$5:$D$3004,MATCH($I31,Agenda!$V$5:$V$3004,0)),PacCod,0))&amp;"","")</f>
        <v>0</v>
      </c>
      <c r="N31" s="25">
        <f>IFERROR(INDEX(Agenda!$C$5:$C$3004,MATCH($I31,Agenda!$V$5:$V$3004,0))&amp;"","")</f>
        <v>0</v>
      </c>
      <c r="O31" s="25">
        <f>IFERROR(INDEX(Agenda!$E$5:$E$3004,MATCH($I31,Agenda!$V$5:$V$3004,0))&amp;"","")</f>
        <v>0</v>
      </c>
    </row>
    <row r="32" spans="1:15">
      <c r="A32" s="31">
        <v>27</v>
      </c>
      <c r="B32" s="19">
        <f>IFERROR(INDEX(Agenda!$A$5:$A$3004,MATCH($A32,Agenda!$U$5:$U$3004,0)),"")</f>
        <v>0</v>
      </c>
      <c r="C32" s="32">
        <f>IFERROR(INDEX(Agenda!$B$5:$B$3004,MATCH($A32,Agenda!$U$5:$U$3004,0)),"")</f>
        <v>0</v>
      </c>
      <c r="D32" s="25">
        <f>IFERROR(INDEX(Agenda!$J$5:$J$3004,MATCH($A32,Agenda!$U$5:$U$3004,0))&amp;"","")</f>
        <v>0</v>
      </c>
      <c r="E32" s="25">
        <f>IFERROR(INDEX(PacTel,MATCH(INDEX(Agenda!$D$5:$D$3004,MATCH($A32,Agenda!$U$5:$U$3004,0)),PacCod,0))&amp;"","")</f>
        <v>0</v>
      </c>
      <c r="F32" s="25">
        <f>IFERROR(INDEX(Agenda!$C$5:$C$3004,MATCH($A32,Agenda!$U$5:$U$3004,0))&amp;"","")</f>
        <v>0</v>
      </c>
      <c r="G32" s="25">
        <f>IFERROR(INDEX(Agenda!$E$5:$E$3004,MATCH($A32,Agenda!$U$5:$U$3004,0))&amp;"","")</f>
        <v>0</v>
      </c>
      <c r="I32" s="31">
        <v>27</v>
      </c>
      <c r="J32" s="19">
        <f>IFERROR(INDEX(Agenda!$Q$5:$Q$3004,MATCH($I32,Agenda!$V$5:$V$3004,0)),"")</f>
        <v>0</v>
      </c>
      <c r="K32" s="19">
        <f>IFERROR(INDEX(Agenda!$A$5:$A$3004,MATCH($I32,Agenda!$V$5:$V$3004,0)),"")</f>
        <v>0</v>
      </c>
      <c r="L32" s="25">
        <f>IFERROR(INDEX(Agenda!$J$5:$J$3004,MATCH($I32,Agenda!$V$5:$V$3004,0))&amp;"","")</f>
        <v>0</v>
      </c>
      <c r="M32" s="25">
        <f>IFERROR(INDEX(PacTel,MATCH(INDEX(Agenda!$D$5:$D$3004,MATCH($I32,Agenda!$V$5:$V$3004,0)),PacCod,0))&amp;"","")</f>
        <v>0</v>
      </c>
      <c r="N32" s="25">
        <f>IFERROR(INDEX(Agenda!$C$5:$C$3004,MATCH($I32,Agenda!$V$5:$V$3004,0))&amp;"","")</f>
        <v>0</v>
      </c>
      <c r="O32" s="25">
        <f>IFERROR(INDEX(Agenda!$E$5:$E$3004,MATCH($I32,Agenda!$V$5:$V$3004,0))&amp;"","")</f>
        <v>0</v>
      </c>
    </row>
    <row r="33" spans="1:15">
      <c r="A33" s="31">
        <v>28</v>
      </c>
      <c r="B33" s="19">
        <f>IFERROR(INDEX(Agenda!$A$5:$A$3004,MATCH($A33,Agenda!$U$5:$U$3004,0)),"")</f>
        <v>0</v>
      </c>
      <c r="C33" s="32">
        <f>IFERROR(INDEX(Agenda!$B$5:$B$3004,MATCH($A33,Agenda!$U$5:$U$3004,0)),"")</f>
        <v>0</v>
      </c>
      <c r="D33" s="25">
        <f>IFERROR(INDEX(Agenda!$J$5:$J$3004,MATCH($A33,Agenda!$U$5:$U$3004,0))&amp;"","")</f>
        <v>0</v>
      </c>
      <c r="E33" s="25">
        <f>IFERROR(INDEX(PacTel,MATCH(INDEX(Agenda!$D$5:$D$3004,MATCH($A33,Agenda!$U$5:$U$3004,0)),PacCod,0))&amp;"","")</f>
        <v>0</v>
      </c>
      <c r="F33" s="25">
        <f>IFERROR(INDEX(Agenda!$C$5:$C$3004,MATCH($A33,Agenda!$U$5:$U$3004,0))&amp;"","")</f>
        <v>0</v>
      </c>
      <c r="G33" s="25">
        <f>IFERROR(INDEX(Agenda!$E$5:$E$3004,MATCH($A33,Agenda!$U$5:$U$3004,0))&amp;"","")</f>
        <v>0</v>
      </c>
      <c r="I33" s="31">
        <v>28</v>
      </c>
      <c r="J33" s="19">
        <f>IFERROR(INDEX(Agenda!$Q$5:$Q$3004,MATCH($I33,Agenda!$V$5:$V$3004,0)),"")</f>
        <v>0</v>
      </c>
      <c r="K33" s="19">
        <f>IFERROR(INDEX(Agenda!$A$5:$A$3004,MATCH($I33,Agenda!$V$5:$V$3004,0)),"")</f>
        <v>0</v>
      </c>
      <c r="L33" s="25">
        <f>IFERROR(INDEX(Agenda!$J$5:$J$3004,MATCH($I33,Agenda!$V$5:$V$3004,0))&amp;"","")</f>
        <v>0</v>
      </c>
      <c r="M33" s="25">
        <f>IFERROR(INDEX(PacTel,MATCH(INDEX(Agenda!$D$5:$D$3004,MATCH($I33,Agenda!$V$5:$V$3004,0)),PacCod,0))&amp;"","")</f>
        <v>0</v>
      </c>
      <c r="N33" s="25">
        <f>IFERROR(INDEX(Agenda!$C$5:$C$3004,MATCH($I33,Agenda!$V$5:$V$3004,0))&amp;"","")</f>
        <v>0</v>
      </c>
      <c r="O33" s="25">
        <f>IFERROR(INDEX(Agenda!$E$5:$E$3004,MATCH($I33,Agenda!$V$5:$V$3004,0))&amp;"","")</f>
        <v>0</v>
      </c>
    </row>
    <row r="34" spans="1:15">
      <c r="A34" s="31">
        <v>29</v>
      </c>
      <c r="B34" s="19">
        <f>IFERROR(INDEX(Agenda!$A$5:$A$3004,MATCH($A34,Agenda!$U$5:$U$3004,0)),"")</f>
        <v>0</v>
      </c>
      <c r="C34" s="32">
        <f>IFERROR(INDEX(Agenda!$B$5:$B$3004,MATCH($A34,Agenda!$U$5:$U$3004,0)),"")</f>
        <v>0</v>
      </c>
      <c r="D34" s="25">
        <f>IFERROR(INDEX(Agenda!$J$5:$J$3004,MATCH($A34,Agenda!$U$5:$U$3004,0))&amp;"","")</f>
        <v>0</v>
      </c>
      <c r="E34" s="25">
        <f>IFERROR(INDEX(PacTel,MATCH(INDEX(Agenda!$D$5:$D$3004,MATCH($A34,Agenda!$U$5:$U$3004,0)),PacCod,0))&amp;"","")</f>
        <v>0</v>
      </c>
      <c r="F34" s="25">
        <f>IFERROR(INDEX(Agenda!$C$5:$C$3004,MATCH($A34,Agenda!$U$5:$U$3004,0))&amp;"","")</f>
        <v>0</v>
      </c>
      <c r="G34" s="25">
        <f>IFERROR(INDEX(Agenda!$E$5:$E$3004,MATCH($A34,Agenda!$U$5:$U$3004,0))&amp;"","")</f>
        <v>0</v>
      </c>
      <c r="I34" s="31">
        <v>29</v>
      </c>
      <c r="J34" s="19">
        <f>IFERROR(INDEX(Agenda!$Q$5:$Q$3004,MATCH($I34,Agenda!$V$5:$V$3004,0)),"")</f>
        <v>0</v>
      </c>
      <c r="K34" s="19">
        <f>IFERROR(INDEX(Agenda!$A$5:$A$3004,MATCH($I34,Agenda!$V$5:$V$3004,0)),"")</f>
        <v>0</v>
      </c>
      <c r="L34" s="25">
        <f>IFERROR(INDEX(Agenda!$J$5:$J$3004,MATCH($I34,Agenda!$V$5:$V$3004,0))&amp;"","")</f>
        <v>0</v>
      </c>
      <c r="M34" s="25">
        <f>IFERROR(INDEX(PacTel,MATCH(INDEX(Agenda!$D$5:$D$3004,MATCH($I34,Agenda!$V$5:$V$3004,0)),PacCod,0))&amp;"","")</f>
        <v>0</v>
      </c>
      <c r="N34" s="25">
        <f>IFERROR(INDEX(Agenda!$C$5:$C$3004,MATCH($I34,Agenda!$V$5:$V$3004,0))&amp;"","")</f>
        <v>0</v>
      </c>
      <c r="O34" s="25">
        <f>IFERROR(INDEX(Agenda!$E$5:$E$3004,MATCH($I34,Agenda!$V$5:$V$3004,0))&amp;"","")</f>
        <v>0</v>
      </c>
    </row>
    <row r="35" spans="1:15">
      <c r="A35" s="31">
        <v>30</v>
      </c>
      <c r="B35" s="19">
        <f>IFERROR(INDEX(Agenda!$A$5:$A$3004,MATCH($A35,Agenda!$U$5:$U$3004,0)),"")</f>
        <v>0</v>
      </c>
      <c r="C35" s="32">
        <f>IFERROR(INDEX(Agenda!$B$5:$B$3004,MATCH($A35,Agenda!$U$5:$U$3004,0)),"")</f>
        <v>0</v>
      </c>
      <c r="D35" s="25">
        <f>IFERROR(INDEX(Agenda!$J$5:$J$3004,MATCH($A35,Agenda!$U$5:$U$3004,0))&amp;"","")</f>
        <v>0</v>
      </c>
      <c r="E35" s="25">
        <f>IFERROR(INDEX(PacTel,MATCH(INDEX(Agenda!$D$5:$D$3004,MATCH($A35,Agenda!$U$5:$U$3004,0)),PacCod,0))&amp;"","")</f>
        <v>0</v>
      </c>
      <c r="F35" s="25">
        <f>IFERROR(INDEX(Agenda!$C$5:$C$3004,MATCH($A35,Agenda!$U$5:$U$3004,0))&amp;"","")</f>
        <v>0</v>
      </c>
      <c r="G35" s="25">
        <f>IFERROR(INDEX(Agenda!$E$5:$E$3004,MATCH($A35,Agenda!$U$5:$U$3004,0))&amp;"","")</f>
        <v>0</v>
      </c>
      <c r="I35" s="31">
        <v>30</v>
      </c>
      <c r="J35" s="19">
        <f>IFERROR(INDEX(Agenda!$Q$5:$Q$3004,MATCH($I35,Agenda!$V$5:$V$3004,0)),"")</f>
        <v>0</v>
      </c>
      <c r="K35" s="19">
        <f>IFERROR(INDEX(Agenda!$A$5:$A$3004,MATCH($I35,Agenda!$V$5:$V$3004,0)),"")</f>
        <v>0</v>
      </c>
      <c r="L35" s="25">
        <f>IFERROR(INDEX(Agenda!$J$5:$J$3004,MATCH($I35,Agenda!$V$5:$V$3004,0))&amp;"","")</f>
        <v>0</v>
      </c>
      <c r="M35" s="25">
        <f>IFERROR(INDEX(PacTel,MATCH(INDEX(Agenda!$D$5:$D$3004,MATCH($I35,Agenda!$V$5:$V$3004,0)),PacCod,0))&amp;"","")</f>
        <v>0</v>
      </c>
      <c r="N35" s="25">
        <f>IFERROR(INDEX(Agenda!$C$5:$C$3004,MATCH($I35,Agenda!$V$5:$V$3004,0))&amp;"","")</f>
        <v>0</v>
      </c>
      <c r="O35" s="25">
        <f>IFERROR(INDEX(Agenda!$E$5:$E$3004,MATCH($I35,Agenda!$V$5:$V$3004,0))&amp;"","")</f>
        <v>0</v>
      </c>
    </row>
    <row r="36" spans="1:15">
      <c r="A36" s="31">
        <v>31</v>
      </c>
      <c r="B36" s="19">
        <f>IFERROR(INDEX(Agenda!$A$5:$A$3004,MATCH($A36,Agenda!$U$5:$U$3004,0)),"")</f>
        <v>0</v>
      </c>
      <c r="C36" s="32">
        <f>IFERROR(INDEX(Agenda!$B$5:$B$3004,MATCH($A36,Agenda!$U$5:$U$3004,0)),"")</f>
        <v>0</v>
      </c>
      <c r="D36" s="25">
        <f>IFERROR(INDEX(Agenda!$J$5:$J$3004,MATCH($A36,Agenda!$U$5:$U$3004,0))&amp;"","")</f>
        <v>0</v>
      </c>
      <c r="E36" s="25">
        <f>IFERROR(INDEX(PacTel,MATCH(INDEX(Agenda!$D$5:$D$3004,MATCH($A36,Agenda!$U$5:$U$3004,0)),PacCod,0))&amp;"","")</f>
        <v>0</v>
      </c>
      <c r="F36" s="25">
        <f>IFERROR(INDEX(Agenda!$C$5:$C$3004,MATCH($A36,Agenda!$U$5:$U$3004,0))&amp;"","")</f>
        <v>0</v>
      </c>
      <c r="G36" s="25">
        <f>IFERROR(INDEX(Agenda!$E$5:$E$3004,MATCH($A36,Agenda!$U$5:$U$3004,0))&amp;"","")</f>
        <v>0</v>
      </c>
      <c r="I36" s="31">
        <v>31</v>
      </c>
      <c r="J36" s="19">
        <f>IFERROR(INDEX(Agenda!$Q$5:$Q$3004,MATCH($I36,Agenda!$V$5:$V$3004,0)),"")</f>
        <v>0</v>
      </c>
      <c r="K36" s="19">
        <f>IFERROR(INDEX(Agenda!$A$5:$A$3004,MATCH($I36,Agenda!$V$5:$V$3004,0)),"")</f>
        <v>0</v>
      </c>
      <c r="L36" s="25">
        <f>IFERROR(INDEX(Agenda!$J$5:$J$3004,MATCH($I36,Agenda!$V$5:$V$3004,0))&amp;"","")</f>
        <v>0</v>
      </c>
      <c r="M36" s="25">
        <f>IFERROR(INDEX(PacTel,MATCH(INDEX(Agenda!$D$5:$D$3004,MATCH($I36,Agenda!$V$5:$V$3004,0)),PacCod,0))&amp;"","")</f>
        <v>0</v>
      </c>
      <c r="N36" s="25">
        <f>IFERROR(INDEX(Agenda!$C$5:$C$3004,MATCH($I36,Agenda!$V$5:$V$3004,0))&amp;"","")</f>
        <v>0</v>
      </c>
      <c r="O36" s="25">
        <f>IFERROR(INDEX(Agenda!$E$5:$E$3004,MATCH($I36,Agenda!$V$5:$V$3004,0))&amp;"","")</f>
        <v>0</v>
      </c>
    </row>
    <row r="37" spans="1:15">
      <c r="A37" s="31">
        <v>32</v>
      </c>
      <c r="B37" s="19">
        <f>IFERROR(INDEX(Agenda!$A$5:$A$3004,MATCH($A37,Agenda!$U$5:$U$3004,0)),"")</f>
        <v>0</v>
      </c>
      <c r="C37" s="32">
        <f>IFERROR(INDEX(Agenda!$B$5:$B$3004,MATCH($A37,Agenda!$U$5:$U$3004,0)),"")</f>
        <v>0</v>
      </c>
      <c r="D37" s="25">
        <f>IFERROR(INDEX(Agenda!$J$5:$J$3004,MATCH($A37,Agenda!$U$5:$U$3004,0))&amp;"","")</f>
        <v>0</v>
      </c>
      <c r="E37" s="25">
        <f>IFERROR(INDEX(PacTel,MATCH(INDEX(Agenda!$D$5:$D$3004,MATCH($A37,Agenda!$U$5:$U$3004,0)),PacCod,0))&amp;"","")</f>
        <v>0</v>
      </c>
      <c r="F37" s="25">
        <f>IFERROR(INDEX(Agenda!$C$5:$C$3004,MATCH($A37,Agenda!$U$5:$U$3004,0))&amp;"","")</f>
        <v>0</v>
      </c>
      <c r="G37" s="25">
        <f>IFERROR(INDEX(Agenda!$E$5:$E$3004,MATCH($A37,Agenda!$U$5:$U$3004,0))&amp;"","")</f>
        <v>0</v>
      </c>
      <c r="I37" s="31">
        <v>32</v>
      </c>
      <c r="J37" s="19">
        <f>IFERROR(INDEX(Agenda!$Q$5:$Q$3004,MATCH($I37,Agenda!$V$5:$V$3004,0)),"")</f>
        <v>0</v>
      </c>
      <c r="K37" s="19">
        <f>IFERROR(INDEX(Agenda!$A$5:$A$3004,MATCH($I37,Agenda!$V$5:$V$3004,0)),"")</f>
        <v>0</v>
      </c>
      <c r="L37" s="25">
        <f>IFERROR(INDEX(Agenda!$J$5:$J$3004,MATCH($I37,Agenda!$V$5:$V$3004,0))&amp;"","")</f>
        <v>0</v>
      </c>
      <c r="M37" s="25">
        <f>IFERROR(INDEX(PacTel,MATCH(INDEX(Agenda!$D$5:$D$3004,MATCH($I37,Agenda!$V$5:$V$3004,0)),PacCod,0))&amp;"","")</f>
        <v>0</v>
      </c>
      <c r="N37" s="25">
        <f>IFERROR(INDEX(Agenda!$C$5:$C$3004,MATCH($I37,Agenda!$V$5:$V$3004,0))&amp;"","")</f>
        <v>0</v>
      </c>
      <c r="O37" s="25">
        <f>IFERROR(INDEX(Agenda!$E$5:$E$3004,MATCH($I37,Agenda!$V$5:$V$3004,0))&amp;"","")</f>
        <v>0</v>
      </c>
    </row>
    <row r="38" spans="1:15">
      <c r="A38" s="31">
        <v>33</v>
      </c>
      <c r="B38" s="19">
        <f>IFERROR(INDEX(Agenda!$A$5:$A$3004,MATCH($A38,Agenda!$U$5:$U$3004,0)),"")</f>
        <v>0</v>
      </c>
      <c r="C38" s="32">
        <f>IFERROR(INDEX(Agenda!$B$5:$B$3004,MATCH($A38,Agenda!$U$5:$U$3004,0)),"")</f>
        <v>0</v>
      </c>
      <c r="D38" s="25">
        <f>IFERROR(INDEX(Agenda!$J$5:$J$3004,MATCH($A38,Agenda!$U$5:$U$3004,0))&amp;"","")</f>
        <v>0</v>
      </c>
      <c r="E38" s="25">
        <f>IFERROR(INDEX(PacTel,MATCH(INDEX(Agenda!$D$5:$D$3004,MATCH($A38,Agenda!$U$5:$U$3004,0)),PacCod,0))&amp;"","")</f>
        <v>0</v>
      </c>
      <c r="F38" s="25">
        <f>IFERROR(INDEX(Agenda!$C$5:$C$3004,MATCH($A38,Agenda!$U$5:$U$3004,0))&amp;"","")</f>
        <v>0</v>
      </c>
      <c r="G38" s="25">
        <f>IFERROR(INDEX(Agenda!$E$5:$E$3004,MATCH($A38,Agenda!$U$5:$U$3004,0))&amp;"","")</f>
        <v>0</v>
      </c>
      <c r="I38" s="31">
        <v>33</v>
      </c>
      <c r="J38" s="19">
        <f>IFERROR(INDEX(Agenda!$Q$5:$Q$3004,MATCH($I38,Agenda!$V$5:$V$3004,0)),"")</f>
        <v>0</v>
      </c>
      <c r="K38" s="19">
        <f>IFERROR(INDEX(Agenda!$A$5:$A$3004,MATCH($I38,Agenda!$V$5:$V$3004,0)),"")</f>
        <v>0</v>
      </c>
      <c r="L38" s="25">
        <f>IFERROR(INDEX(Agenda!$J$5:$J$3004,MATCH($I38,Agenda!$V$5:$V$3004,0))&amp;"","")</f>
        <v>0</v>
      </c>
      <c r="M38" s="25">
        <f>IFERROR(INDEX(PacTel,MATCH(INDEX(Agenda!$D$5:$D$3004,MATCH($I38,Agenda!$V$5:$V$3004,0)),PacCod,0))&amp;"","")</f>
        <v>0</v>
      </c>
      <c r="N38" s="25">
        <f>IFERROR(INDEX(Agenda!$C$5:$C$3004,MATCH($I38,Agenda!$V$5:$V$3004,0))&amp;"","")</f>
        <v>0</v>
      </c>
      <c r="O38" s="25">
        <f>IFERROR(INDEX(Agenda!$E$5:$E$3004,MATCH($I38,Agenda!$V$5:$V$3004,0))&amp;"","")</f>
        <v>0</v>
      </c>
    </row>
    <row r="39" spans="1:15">
      <c r="A39" s="31">
        <v>34</v>
      </c>
      <c r="B39" s="19">
        <f>IFERROR(INDEX(Agenda!$A$5:$A$3004,MATCH($A39,Agenda!$U$5:$U$3004,0)),"")</f>
        <v>0</v>
      </c>
      <c r="C39" s="32">
        <f>IFERROR(INDEX(Agenda!$B$5:$B$3004,MATCH($A39,Agenda!$U$5:$U$3004,0)),"")</f>
        <v>0</v>
      </c>
      <c r="D39" s="25">
        <f>IFERROR(INDEX(Agenda!$J$5:$J$3004,MATCH($A39,Agenda!$U$5:$U$3004,0))&amp;"","")</f>
        <v>0</v>
      </c>
      <c r="E39" s="25">
        <f>IFERROR(INDEX(PacTel,MATCH(INDEX(Agenda!$D$5:$D$3004,MATCH($A39,Agenda!$U$5:$U$3004,0)),PacCod,0))&amp;"","")</f>
        <v>0</v>
      </c>
      <c r="F39" s="25">
        <f>IFERROR(INDEX(Agenda!$C$5:$C$3004,MATCH($A39,Agenda!$U$5:$U$3004,0))&amp;"","")</f>
        <v>0</v>
      </c>
      <c r="G39" s="25">
        <f>IFERROR(INDEX(Agenda!$E$5:$E$3004,MATCH($A39,Agenda!$U$5:$U$3004,0))&amp;"","")</f>
        <v>0</v>
      </c>
      <c r="I39" s="31">
        <v>34</v>
      </c>
      <c r="J39" s="19">
        <f>IFERROR(INDEX(Agenda!$Q$5:$Q$3004,MATCH($I39,Agenda!$V$5:$V$3004,0)),"")</f>
        <v>0</v>
      </c>
      <c r="K39" s="19">
        <f>IFERROR(INDEX(Agenda!$A$5:$A$3004,MATCH($I39,Agenda!$V$5:$V$3004,0)),"")</f>
        <v>0</v>
      </c>
      <c r="L39" s="25">
        <f>IFERROR(INDEX(Agenda!$J$5:$J$3004,MATCH($I39,Agenda!$V$5:$V$3004,0))&amp;"","")</f>
        <v>0</v>
      </c>
      <c r="M39" s="25">
        <f>IFERROR(INDEX(PacTel,MATCH(INDEX(Agenda!$D$5:$D$3004,MATCH($I39,Agenda!$V$5:$V$3004,0)),PacCod,0))&amp;"","")</f>
        <v>0</v>
      </c>
      <c r="N39" s="25">
        <f>IFERROR(INDEX(Agenda!$C$5:$C$3004,MATCH($I39,Agenda!$V$5:$V$3004,0))&amp;"","")</f>
        <v>0</v>
      </c>
      <c r="O39" s="25">
        <f>IFERROR(INDEX(Agenda!$E$5:$E$3004,MATCH($I39,Agenda!$V$5:$V$3004,0))&amp;"","")</f>
        <v>0</v>
      </c>
    </row>
    <row r="40" spans="1:15">
      <c r="A40" s="31">
        <v>35</v>
      </c>
      <c r="B40" s="19">
        <f>IFERROR(INDEX(Agenda!$A$5:$A$3004,MATCH($A40,Agenda!$U$5:$U$3004,0)),"")</f>
        <v>0</v>
      </c>
      <c r="C40" s="32">
        <f>IFERROR(INDEX(Agenda!$B$5:$B$3004,MATCH($A40,Agenda!$U$5:$U$3004,0)),"")</f>
        <v>0</v>
      </c>
      <c r="D40" s="25">
        <f>IFERROR(INDEX(Agenda!$J$5:$J$3004,MATCH($A40,Agenda!$U$5:$U$3004,0))&amp;"","")</f>
        <v>0</v>
      </c>
      <c r="E40" s="25">
        <f>IFERROR(INDEX(PacTel,MATCH(INDEX(Agenda!$D$5:$D$3004,MATCH($A40,Agenda!$U$5:$U$3004,0)),PacCod,0))&amp;"","")</f>
        <v>0</v>
      </c>
      <c r="F40" s="25">
        <f>IFERROR(INDEX(Agenda!$C$5:$C$3004,MATCH($A40,Agenda!$U$5:$U$3004,0))&amp;"","")</f>
        <v>0</v>
      </c>
      <c r="G40" s="25">
        <f>IFERROR(INDEX(Agenda!$E$5:$E$3004,MATCH($A40,Agenda!$U$5:$U$3004,0))&amp;"","")</f>
        <v>0</v>
      </c>
      <c r="I40" s="31">
        <v>35</v>
      </c>
      <c r="J40" s="19">
        <f>IFERROR(INDEX(Agenda!$Q$5:$Q$3004,MATCH($I40,Agenda!$V$5:$V$3004,0)),"")</f>
        <v>0</v>
      </c>
      <c r="K40" s="19">
        <f>IFERROR(INDEX(Agenda!$A$5:$A$3004,MATCH($I40,Agenda!$V$5:$V$3004,0)),"")</f>
        <v>0</v>
      </c>
      <c r="L40" s="25">
        <f>IFERROR(INDEX(Agenda!$J$5:$J$3004,MATCH($I40,Agenda!$V$5:$V$3004,0))&amp;"","")</f>
        <v>0</v>
      </c>
      <c r="M40" s="25">
        <f>IFERROR(INDEX(PacTel,MATCH(INDEX(Agenda!$D$5:$D$3004,MATCH($I40,Agenda!$V$5:$V$3004,0)),PacCod,0))&amp;"","")</f>
        <v>0</v>
      </c>
      <c r="N40" s="25">
        <f>IFERROR(INDEX(Agenda!$C$5:$C$3004,MATCH($I40,Agenda!$V$5:$V$3004,0))&amp;"","")</f>
        <v>0</v>
      </c>
      <c r="O40" s="25">
        <f>IFERROR(INDEX(Agenda!$E$5:$E$3004,MATCH($I40,Agenda!$V$5:$V$3004,0))&amp;"","")</f>
        <v>0</v>
      </c>
    </row>
    <row r="41" spans="1:15">
      <c r="A41" s="31">
        <v>36</v>
      </c>
      <c r="B41" s="19">
        <f>IFERROR(INDEX(Agenda!$A$5:$A$3004,MATCH($A41,Agenda!$U$5:$U$3004,0)),"")</f>
        <v>0</v>
      </c>
      <c r="C41" s="32">
        <f>IFERROR(INDEX(Agenda!$B$5:$B$3004,MATCH($A41,Agenda!$U$5:$U$3004,0)),"")</f>
        <v>0</v>
      </c>
      <c r="D41" s="25">
        <f>IFERROR(INDEX(Agenda!$J$5:$J$3004,MATCH($A41,Agenda!$U$5:$U$3004,0))&amp;"","")</f>
        <v>0</v>
      </c>
      <c r="E41" s="25">
        <f>IFERROR(INDEX(PacTel,MATCH(INDEX(Agenda!$D$5:$D$3004,MATCH($A41,Agenda!$U$5:$U$3004,0)),PacCod,0))&amp;"","")</f>
        <v>0</v>
      </c>
      <c r="F41" s="25">
        <f>IFERROR(INDEX(Agenda!$C$5:$C$3004,MATCH($A41,Agenda!$U$5:$U$3004,0))&amp;"","")</f>
        <v>0</v>
      </c>
      <c r="G41" s="25">
        <f>IFERROR(INDEX(Agenda!$E$5:$E$3004,MATCH($A41,Agenda!$U$5:$U$3004,0))&amp;"","")</f>
        <v>0</v>
      </c>
      <c r="I41" s="31">
        <v>36</v>
      </c>
      <c r="J41" s="19">
        <f>IFERROR(INDEX(Agenda!$Q$5:$Q$3004,MATCH($I41,Agenda!$V$5:$V$3004,0)),"")</f>
        <v>0</v>
      </c>
      <c r="K41" s="19">
        <f>IFERROR(INDEX(Agenda!$A$5:$A$3004,MATCH($I41,Agenda!$V$5:$V$3004,0)),"")</f>
        <v>0</v>
      </c>
      <c r="L41" s="25">
        <f>IFERROR(INDEX(Agenda!$J$5:$J$3004,MATCH($I41,Agenda!$V$5:$V$3004,0))&amp;"","")</f>
        <v>0</v>
      </c>
      <c r="M41" s="25">
        <f>IFERROR(INDEX(PacTel,MATCH(INDEX(Agenda!$D$5:$D$3004,MATCH($I41,Agenda!$V$5:$V$3004,0)),PacCod,0))&amp;"","")</f>
        <v>0</v>
      </c>
      <c r="N41" s="25">
        <f>IFERROR(INDEX(Agenda!$C$5:$C$3004,MATCH($I41,Agenda!$V$5:$V$3004,0))&amp;"","")</f>
        <v>0</v>
      </c>
      <c r="O41" s="25">
        <f>IFERROR(INDEX(Agenda!$E$5:$E$3004,MATCH($I41,Agenda!$V$5:$V$3004,0))&amp;"","")</f>
        <v>0</v>
      </c>
    </row>
    <row r="42" spans="1:15">
      <c r="A42" s="31">
        <v>37</v>
      </c>
      <c r="B42" s="19">
        <f>IFERROR(INDEX(Agenda!$A$5:$A$3004,MATCH($A42,Agenda!$U$5:$U$3004,0)),"")</f>
        <v>0</v>
      </c>
      <c r="C42" s="32">
        <f>IFERROR(INDEX(Agenda!$B$5:$B$3004,MATCH($A42,Agenda!$U$5:$U$3004,0)),"")</f>
        <v>0</v>
      </c>
      <c r="D42" s="25">
        <f>IFERROR(INDEX(Agenda!$J$5:$J$3004,MATCH($A42,Agenda!$U$5:$U$3004,0))&amp;"","")</f>
        <v>0</v>
      </c>
      <c r="E42" s="25">
        <f>IFERROR(INDEX(PacTel,MATCH(INDEX(Agenda!$D$5:$D$3004,MATCH($A42,Agenda!$U$5:$U$3004,0)),PacCod,0))&amp;"","")</f>
        <v>0</v>
      </c>
      <c r="F42" s="25">
        <f>IFERROR(INDEX(Agenda!$C$5:$C$3004,MATCH($A42,Agenda!$U$5:$U$3004,0))&amp;"","")</f>
        <v>0</v>
      </c>
      <c r="G42" s="25">
        <f>IFERROR(INDEX(Agenda!$E$5:$E$3004,MATCH($A42,Agenda!$U$5:$U$3004,0))&amp;"","")</f>
        <v>0</v>
      </c>
      <c r="I42" s="31">
        <v>37</v>
      </c>
      <c r="J42" s="19">
        <f>IFERROR(INDEX(Agenda!$Q$5:$Q$3004,MATCH($I42,Agenda!$V$5:$V$3004,0)),"")</f>
        <v>0</v>
      </c>
      <c r="K42" s="19">
        <f>IFERROR(INDEX(Agenda!$A$5:$A$3004,MATCH($I42,Agenda!$V$5:$V$3004,0)),"")</f>
        <v>0</v>
      </c>
      <c r="L42" s="25">
        <f>IFERROR(INDEX(Agenda!$J$5:$J$3004,MATCH($I42,Agenda!$V$5:$V$3004,0))&amp;"","")</f>
        <v>0</v>
      </c>
      <c r="M42" s="25">
        <f>IFERROR(INDEX(PacTel,MATCH(INDEX(Agenda!$D$5:$D$3004,MATCH($I42,Agenda!$V$5:$V$3004,0)),PacCod,0))&amp;"","")</f>
        <v>0</v>
      </c>
      <c r="N42" s="25">
        <f>IFERROR(INDEX(Agenda!$C$5:$C$3004,MATCH($I42,Agenda!$V$5:$V$3004,0))&amp;"","")</f>
        <v>0</v>
      </c>
      <c r="O42" s="25">
        <f>IFERROR(INDEX(Agenda!$E$5:$E$3004,MATCH($I42,Agenda!$V$5:$V$3004,0))&amp;"","")</f>
        <v>0</v>
      </c>
    </row>
    <row r="43" spans="1:15">
      <c r="A43" s="31">
        <v>38</v>
      </c>
      <c r="B43" s="19">
        <f>IFERROR(INDEX(Agenda!$A$5:$A$3004,MATCH($A43,Agenda!$U$5:$U$3004,0)),"")</f>
        <v>0</v>
      </c>
      <c r="C43" s="32">
        <f>IFERROR(INDEX(Agenda!$B$5:$B$3004,MATCH($A43,Agenda!$U$5:$U$3004,0)),"")</f>
        <v>0</v>
      </c>
      <c r="D43" s="25">
        <f>IFERROR(INDEX(Agenda!$J$5:$J$3004,MATCH($A43,Agenda!$U$5:$U$3004,0))&amp;"","")</f>
        <v>0</v>
      </c>
      <c r="E43" s="25">
        <f>IFERROR(INDEX(PacTel,MATCH(INDEX(Agenda!$D$5:$D$3004,MATCH($A43,Agenda!$U$5:$U$3004,0)),PacCod,0))&amp;"","")</f>
        <v>0</v>
      </c>
      <c r="F43" s="25">
        <f>IFERROR(INDEX(Agenda!$C$5:$C$3004,MATCH($A43,Agenda!$U$5:$U$3004,0))&amp;"","")</f>
        <v>0</v>
      </c>
      <c r="G43" s="25">
        <f>IFERROR(INDEX(Agenda!$E$5:$E$3004,MATCH($A43,Agenda!$U$5:$U$3004,0))&amp;"","")</f>
        <v>0</v>
      </c>
      <c r="I43" s="31">
        <v>38</v>
      </c>
      <c r="J43" s="19">
        <f>IFERROR(INDEX(Agenda!$Q$5:$Q$3004,MATCH($I43,Agenda!$V$5:$V$3004,0)),"")</f>
        <v>0</v>
      </c>
      <c r="K43" s="19">
        <f>IFERROR(INDEX(Agenda!$A$5:$A$3004,MATCH($I43,Agenda!$V$5:$V$3004,0)),"")</f>
        <v>0</v>
      </c>
      <c r="L43" s="25">
        <f>IFERROR(INDEX(Agenda!$J$5:$J$3004,MATCH($I43,Agenda!$V$5:$V$3004,0))&amp;"","")</f>
        <v>0</v>
      </c>
      <c r="M43" s="25">
        <f>IFERROR(INDEX(PacTel,MATCH(INDEX(Agenda!$D$5:$D$3004,MATCH($I43,Agenda!$V$5:$V$3004,0)),PacCod,0))&amp;"","")</f>
        <v>0</v>
      </c>
      <c r="N43" s="25">
        <f>IFERROR(INDEX(Agenda!$C$5:$C$3004,MATCH($I43,Agenda!$V$5:$V$3004,0))&amp;"","")</f>
        <v>0</v>
      </c>
      <c r="O43" s="25">
        <f>IFERROR(INDEX(Agenda!$E$5:$E$3004,MATCH($I43,Agenda!$V$5:$V$3004,0))&amp;"","")</f>
        <v>0</v>
      </c>
    </row>
    <row r="44" spans="1:15">
      <c r="A44" s="31">
        <v>39</v>
      </c>
      <c r="B44" s="19">
        <f>IFERROR(INDEX(Agenda!$A$5:$A$3004,MATCH($A44,Agenda!$U$5:$U$3004,0)),"")</f>
        <v>0</v>
      </c>
      <c r="C44" s="32">
        <f>IFERROR(INDEX(Agenda!$B$5:$B$3004,MATCH($A44,Agenda!$U$5:$U$3004,0)),"")</f>
        <v>0</v>
      </c>
      <c r="D44" s="25">
        <f>IFERROR(INDEX(Agenda!$J$5:$J$3004,MATCH($A44,Agenda!$U$5:$U$3004,0))&amp;"","")</f>
        <v>0</v>
      </c>
      <c r="E44" s="25">
        <f>IFERROR(INDEX(PacTel,MATCH(INDEX(Agenda!$D$5:$D$3004,MATCH($A44,Agenda!$U$5:$U$3004,0)),PacCod,0))&amp;"","")</f>
        <v>0</v>
      </c>
      <c r="F44" s="25">
        <f>IFERROR(INDEX(Agenda!$C$5:$C$3004,MATCH($A44,Agenda!$U$5:$U$3004,0))&amp;"","")</f>
        <v>0</v>
      </c>
      <c r="G44" s="25">
        <f>IFERROR(INDEX(Agenda!$E$5:$E$3004,MATCH($A44,Agenda!$U$5:$U$3004,0))&amp;"","")</f>
        <v>0</v>
      </c>
      <c r="I44" s="31">
        <v>39</v>
      </c>
      <c r="J44" s="19">
        <f>IFERROR(INDEX(Agenda!$Q$5:$Q$3004,MATCH($I44,Agenda!$V$5:$V$3004,0)),"")</f>
        <v>0</v>
      </c>
      <c r="K44" s="19">
        <f>IFERROR(INDEX(Agenda!$A$5:$A$3004,MATCH($I44,Agenda!$V$5:$V$3004,0)),"")</f>
        <v>0</v>
      </c>
      <c r="L44" s="25">
        <f>IFERROR(INDEX(Agenda!$J$5:$J$3004,MATCH($I44,Agenda!$V$5:$V$3004,0))&amp;"","")</f>
        <v>0</v>
      </c>
      <c r="M44" s="25">
        <f>IFERROR(INDEX(PacTel,MATCH(INDEX(Agenda!$D$5:$D$3004,MATCH($I44,Agenda!$V$5:$V$3004,0)),PacCod,0))&amp;"","")</f>
        <v>0</v>
      </c>
      <c r="N44" s="25">
        <f>IFERROR(INDEX(Agenda!$C$5:$C$3004,MATCH($I44,Agenda!$V$5:$V$3004,0))&amp;"","")</f>
        <v>0</v>
      </c>
      <c r="O44" s="25">
        <f>IFERROR(INDEX(Agenda!$E$5:$E$3004,MATCH($I44,Agenda!$V$5:$V$3004,0))&amp;"","")</f>
        <v>0</v>
      </c>
    </row>
    <row r="45" spans="1:15">
      <c r="A45" s="31">
        <v>40</v>
      </c>
      <c r="B45" s="19">
        <f>IFERROR(INDEX(Agenda!$A$5:$A$3004,MATCH($A45,Agenda!$U$5:$U$3004,0)),"")</f>
        <v>0</v>
      </c>
      <c r="C45" s="32">
        <f>IFERROR(INDEX(Agenda!$B$5:$B$3004,MATCH($A45,Agenda!$U$5:$U$3004,0)),"")</f>
        <v>0</v>
      </c>
      <c r="D45" s="25">
        <f>IFERROR(INDEX(Agenda!$J$5:$J$3004,MATCH($A45,Agenda!$U$5:$U$3004,0))&amp;"","")</f>
        <v>0</v>
      </c>
      <c r="E45" s="25">
        <f>IFERROR(INDEX(PacTel,MATCH(INDEX(Agenda!$D$5:$D$3004,MATCH($A45,Agenda!$U$5:$U$3004,0)),PacCod,0))&amp;"","")</f>
        <v>0</v>
      </c>
      <c r="F45" s="25">
        <f>IFERROR(INDEX(Agenda!$C$5:$C$3004,MATCH($A45,Agenda!$U$5:$U$3004,0))&amp;"","")</f>
        <v>0</v>
      </c>
      <c r="G45" s="25">
        <f>IFERROR(INDEX(Agenda!$E$5:$E$3004,MATCH($A45,Agenda!$U$5:$U$3004,0))&amp;"","")</f>
        <v>0</v>
      </c>
      <c r="I45" s="31">
        <v>40</v>
      </c>
      <c r="J45" s="19">
        <f>IFERROR(INDEX(Agenda!$Q$5:$Q$3004,MATCH($I45,Agenda!$V$5:$V$3004,0)),"")</f>
        <v>0</v>
      </c>
      <c r="K45" s="19">
        <f>IFERROR(INDEX(Agenda!$A$5:$A$3004,MATCH($I45,Agenda!$V$5:$V$3004,0)),"")</f>
        <v>0</v>
      </c>
      <c r="L45" s="25">
        <f>IFERROR(INDEX(Agenda!$J$5:$J$3004,MATCH($I45,Agenda!$V$5:$V$3004,0))&amp;"","")</f>
        <v>0</v>
      </c>
      <c r="M45" s="25">
        <f>IFERROR(INDEX(PacTel,MATCH(INDEX(Agenda!$D$5:$D$3004,MATCH($I45,Agenda!$V$5:$V$3004,0)),PacCod,0))&amp;"","")</f>
        <v>0</v>
      </c>
      <c r="N45" s="25">
        <f>IFERROR(INDEX(Agenda!$C$5:$C$3004,MATCH($I45,Agenda!$V$5:$V$3004,0))&amp;"","")</f>
        <v>0</v>
      </c>
      <c r="O45" s="25">
        <f>IFERROR(INDEX(Agenda!$E$5:$E$3004,MATCH($I45,Agenda!$V$5:$V$3004,0))&amp;"","")</f>
        <v>0</v>
      </c>
    </row>
    <row r="46" spans="1:15">
      <c r="A46" s="31">
        <v>41</v>
      </c>
      <c r="B46" s="19">
        <f>IFERROR(INDEX(Agenda!$A$5:$A$3004,MATCH($A46,Agenda!$U$5:$U$3004,0)),"")</f>
        <v>0</v>
      </c>
      <c r="C46" s="32">
        <f>IFERROR(INDEX(Agenda!$B$5:$B$3004,MATCH($A46,Agenda!$U$5:$U$3004,0)),"")</f>
        <v>0</v>
      </c>
      <c r="D46" s="25">
        <f>IFERROR(INDEX(Agenda!$J$5:$J$3004,MATCH($A46,Agenda!$U$5:$U$3004,0))&amp;"","")</f>
        <v>0</v>
      </c>
      <c r="E46" s="25">
        <f>IFERROR(INDEX(PacTel,MATCH(INDEX(Agenda!$D$5:$D$3004,MATCH($A46,Agenda!$U$5:$U$3004,0)),PacCod,0))&amp;"","")</f>
        <v>0</v>
      </c>
      <c r="F46" s="25">
        <f>IFERROR(INDEX(Agenda!$C$5:$C$3004,MATCH($A46,Agenda!$U$5:$U$3004,0))&amp;"","")</f>
        <v>0</v>
      </c>
      <c r="G46" s="25">
        <f>IFERROR(INDEX(Agenda!$E$5:$E$3004,MATCH($A46,Agenda!$U$5:$U$3004,0))&amp;"","")</f>
        <v>0</v>
      </c>
      <c r="I46" s="31">
        <v>41</v>
      </c>
      <c r="J46" s="19">
        <f>IFERROR(INDEX(Agenda!$Q$5:$Q$3004,MATCH($I46,Agenda!$V$5:$V$3004,0)),"")</f>
        <v>0</v>
      </c>
      <c r="K46" s="19">
        <f>IFERROR(INDEX(Agenda!$A$5:$A$3004,MATCH($I46,Agenda!$V$5:$V$3004,0)),"")</f>
        <v>0</v>
      </c>
      <c r="L46" s="25">
        <f>IFERROR(INDEX(Agenda!$J$5:$J$3004,MATCH($I46,Agenda!$V$5:$V$3004,0))&amp;"","")</f>
        <v>0</v>
      </c>
      <c r="M46" s="25">
        <f>IFERROR(INDEX(PacTel,MATCH(INDEX(Agenda!$D$5:$D$3004,MATCH($I46,Agenda!$V$5:$V$3004,0)),PacCod,0))&amp;"","")</f>
        <v>0</v>
      </c>
      <c r="N46" s="25">
        <f>IFERROR(INDEX(Agenda!$C$5:$C$3004,MATCH($I46,Agenda!$V$5:$V$3004,0))&amp;"","")</f>
        <v>0</v>
      </c>
      <c r="O46" s="25">
        <f>IFERROR(INDEX(Agenda!$E$5:$E$3004,MATCH($I46,Agenda!$V$5:$V$3004,0))&amp;"","")</f>
        <v>0</v>
      </c>
    </row>
    <row r="47" spans="1:15">
      <c r="A47" s="31">
        <v>42</v>
      </c>
      <c r="B47" s="19">
        <f>IFERROR(INDEX(Agenda!$A$5:$A$3004,MATCH($A47,Agenda!$U$5:$U$3004,0)),"")</f>
        <v>0</v>
      </c>
      <c r="C47" s="32">
        <f>IFERROR(INDEX(Agenda!$B$5:$B$3004,MATCH($A47,Agenda!$U$5:$U$3004,0)),"")</f>
        <v>0</v>
      </c>
      <c r="D47" s="25">
        <f>IFERROR(INDEX(Agenda!$J$5:$J$3004,MATCH($A47,Agenda!$U$5:$U$3004,0))&amp;"","")</f>
        <v>0</v>
      </c>
      <c r="E47" s="25">
        <f>IFERROR(INDEX(PacTel,MATCH(INDEX(Agenda!$D$5:$D$3004,MATCH($A47,Agenda!$U$5:$U$3004,0)),PacCod,0))&amp;"","")</f>
        <v>0</v>
      </c>
      <c r="F47" s="25">
        <f>IFERROR(INDEX(Agenda!$C$5:$C$3004,MATCH($A47,Agenda!$U$5:$U$3004,0))&amp;"","")</f>
        <v>0</v>
      </c>
      <c r="G47" s="25">
        <f>IFERROR(INDEX(Agenda!$E$5:$E$3004,MATCH($A47,Agenda!$U$5:$U$3004,0))&amp;"","")</f>
        <v>0</v>
      </c>
      <c r="I47" s="31">
        <v>42</v>
      </c>
      <c r="J47" s="19">
        <f>IFERROR(INDEX(Agenda!$Q$5:$Q$3004,MATCH($I47,Agenda!$V$5:$V$3004,0)),"")</f>
        <v>0</v>
      </c>
      <c r="K47" s="19">
        <f>IFERROR(INDEX(Agenda!$A$5:$A$3004,MATCH($I47,Agenda!$V$5:$V$3004,0)),"")</f>
        <v>0</v>
      </c>
      <c r="L47" s="25">
        <f>IFERROR(INDEX(Agenda!$J$5:$J$3004,MATCH($I47,Agenda!$V$5:$V$3004,0))&amp;"","")</f>
        <v>0</v>
      </c>
      <c r="M47" s="25">
        <f>IFERROR(INDEX(PacTel,MATCH(INDEX(Agenda!$D$5:$D$3004,MATCH($I47,Agenda!$V$5:$V$3004,0)),PacCod,0))&amp;"","")</f>
        <v>0</v>
      </c>
      <c r="N47" s="25">
        <f>IFERROR(INDEX(Agenda!$C$5:$C$3004,MATCH($I47,Agenda!$V$5:$V$3004,0))&amp;"","")</f>
        <v>0</v>
      </c>
      <c r="O47" s="25">
        <f>IFERROR(INDEX(Agenda!$E$5:$E$3004,MATCH($I47,Agenda!$V$5:$V$3004,0))&amp;"","")</f>
        <v>0</v>
      </c>
    </row>
    <row r="48" spans="1:15">
      <c r="A48" s="31">
        <v>43</v>
      </c>
      <c r="B48" s="19">
        <f>IFERROR(INDEX(Agenda!$A$5:$A$3004,MATCH($A48,Agenda!$U$5:$U$3004,0)),"")</f>
        <v>0</v>
      </c>
      <c r="C48" s="32">
        <f>IFERROR(INDEX(Agenda!$B$5:$B$3004,MATCH($A48,Agenda!$U$5:$U$3004,0)),"")</f>
        <v>0</v>
      </c>
      <c r="D48" s="25">
        <f>IFERROR(INDEX(Agenda!$J$5:$J$3004,MATCH($A48,Agenda!$U$5:$U$3004,0))&amp;"","")</f>
        <v>0</v>
      </c>
      <c r="E48" s="25">
        <f>IFERROR(INDEX(PacTel,MATCH(INDEX(Agenda!$D$5:$D$3004,MATCH($A48,Agenda!$U$5:$U$3004,0)),PacCod,0))&amp;"","")</f>
        <v>0</v>
      </c>
      <c r="F48" s="25">
        <f>IFERROR(INDEX(Agenda!$C$5:$C$3004,MATCH($A48,Agenda!$U$5:$U$3004,0))&amp;"","")</f>
        <v>0</v>
      </c>
      <c r="G48" s="25">
        <f>IFERROR(INDEX(Agenda!$E$5:$E$3004,MATCH($A48,Agenda!$U$5:$U$3004,0))&amp;"","")</f>
        <v>0</v>
      </c>
      <c r="I48" s="31">
        <v>43</v>
      </c>
      <c r="J48" s="19">
        <f>IFERROR(INDEX(Agenda!$Q$5:$Q$3004,MATCH($I48,Agenda!$V$5:$V$3004,0)),"")</f>
        <v>0</v>
      </c>
      <c r="K48" s="19">
        <f>IFERROR(INDEX(Agenda!$A$5:$A$3004,MATCH($I48,Agenda!$V$5:$V$3004,0)),"")</f>
        <v>0</v>
      </c>
      <c r="L48" s="25">
        <f>IFERROR(INDEX(Agenda!$J$5:$J$3004,MATCH($I48,Agenda!$V$5:$V$3004,0))&amp;"","")</f>
        <v>0</v>
      </c>
      <c r="M48" s="25">
        <f>IFERROR(INDEX(PacTel,MATCH(INDEX(Agenda!$D$5:$D$3004,MATCH($I48,Agenda!$V$5:$V$3004,0)),PacCod,0))&amp;"","")</f>
        <v>0</v>
      </c>
      <c r="N48" s="25">
        <f>IFERROR(INDEX(Agenda!$C$5:$C$3004,MATCH($I48,Agenda!$V$5:$V$3004,0))&amp;"","")</f>
        <v>0</v>
      </c>
      <c r="O48" s="25">
        <f>IFERROR(INDEX(Agenda!$E$5:$E$3004,MATCH($I48,Agenda!$V$5:$V$3004,0))&amp;"","")</f>
        <v>0</v>
      </c>
    </row>
    <row r="49" spans="1:15">
      <c r="A49" s="31">
        <v>44</v>
      </c>
      <c r="B49" s="19">
        <f>IFERROR(INDEX(Agenda!$A$5:$A$3004,MATCH($A49,Agenda!$U$5:$U$3004,0)),"")</f>
        <v>0</v>
      </c>
      <c r="C49" s="32">
        <f>IFERROR(INDEX(Agenda!$B$5:$B$3004,MATCH($A49,Agenda!$U$5:$U$3004,0)),"")</f>
        <v>0</v>
      </c>
      <c r="D49" s="25">
        <f>IFERROR(INDEX(Agenda!$J$5:$J$3004,MATCH($A49,Agenda!$U$5:$U$3004,0))&amp;"","")</f>
        <v>0</v>
      </c>
      <c r="E49" s="25">
        <f>IFERROR(INDEX(PacTel,MATCH(INDEX(Agenda!$D$5:$D$3004,MATCH($A49,Agenda!$U$5:$U$3004,0)),PacCod,0))&amp;"","")</f>
        <v>0</v>
      </c>
      <c r="F49" s="25">
        <f>IFERROR(INDEX(Agenda!$C$5:$C$3004,MATCH($A49,Agenda!$U$5:$U$3004,0))&amp;"","")</f>
        <v>0</v>
      </c>
      <c r="G49" s="25">
        <f>IFERROR(INDEX(Agenda!$E$5:$E$3004,MATCH($A49,Agenda!$U$5:$U$3004,0))&amp;"","")</f>
        <v>0</v>
      </c>
      <c r="I49" s="31">
        <v>44</v>
      </c>
      <c r="J49" s="19">
        <f>IFERROR(INDEX(Agenda!$Q$5:$Q$3004,MATCH($I49,Agenda!$V$5:$V$3004,0)),"")</f>
        <v>0</v>
      </c>
      <c r="K49" s="19">
        <f>IFERROR(INDEX(Agenda!$A$5:$A$3004,MATCH($I49,Agenda!$V$5:$V$3004,0)),"")</f>
        <v>0</v>
      </c>
      <c r="L49" s="25">
        <f>IFERROR(INDEX(Agenda!$J$5:$J$3004,MATCH($I49,Agenda!$V$5:$V$3004,0))&amp;"","")</f>
        <v>0</v>
      </c>
      <c r="M49" s="25">
        <f>IFERROR(INDEX(PacTel,MATCH(INDEX(Agenda!$D$5:$D$3004,MATCH($I49,Agenda!$V$5:$V$3004,0)),PacCod,0))&amp;"","")</f>
        <v>0</v>
      </c>
      <c r="N49" s="25">
        <f>IFERROR(INDEX(Agenda!$C$5:$C$3004,MATCH($I49,Agenda!$V$5:$V$3004,0))&amp;"","")</f>
        <v>0</v>
      </c>
      <c r="O49" s="25">
        <f>IFERROR(INDEX(Agenda!$E$5:$E$3004,MATCH($I49,Agenda!$V$5:$V$3004,0))&amp;"","")</f>
        <v>0</v>
      </c>
    </row>
    <row r="50" spans="1:15">
      <c r="A50" s="31">
        <v>45</v>
      </c>
      <c r="B50" s="19">
        <f>IFERROR(INDEX(Agenda!$A$5:$A$3004,MATCH($A50,Agenda!$U$5:$U$3004,0)),"")</f>
        <v>0</v>
      </c>
      <c r="C50" s="32">
        <f>IFERROR(INDEX(Agenda!$B$5:$B$3004,MATCH($A50,Agenda!$U$5:$U$3004,0)),"")</f>
        <v>0</v>
      </c>
      <c r="D50" s="25">
        <f>IFERROR(INDEX(Agenda!$J$5:$J$3004,MATCH($A50,Agenda!$U$5:$U$3004,0))&amp;"","")</f>
        <v>0</v>
      </c>
      <c r="E50" s="25">
        <f>IFERROR(INDEX(PacTel,MATCH(INDEX(Agenda!$D$5:$D$3004,MATCH($A50,Agenda!$U$5:$U$3004,0)),PacCod,0))&amp;"","")</f>
        <v>0</v>
      </c>
      <c r="F50" s="25">
        <f>IFERROR(INDEX(Agenda!$C$5:$C$3004,MATCH($A50,Agenda!$U$5:$U$3004,0))&amp;"","")</f>
        <v>0</v>
      </c>
      <c r="G50" s="25">
        <f>IFERROR(INDEX(Agenda!$E$5:$E$3004,MATCH($A50,Agenda!$U$5:$U$3004,0))&amp;"","")</f>
        <v>0</v>
      </c>
      <c r="I50" s="31">
        <v>45</v>
      </c>
      <c r="J50" s="19">
        <f>IFERROR(INDEX(Agenda!$Q$5:$Q$3004,MATCH($I50,Agenda!$V$5:$V$3004,0)),"")</f>
        <v>0</v>
      </c>
      <c r="K50" s="19">
        <f>IFERROR(INDEX(Agenda!$A$5:$A$3004,MATCH($I50,Agenda!$V$5:$V$3004,0)),"")</f>
        <v>0</v>
      </c>
      <c r="L50" s="25">
        <f>IFERROR(INDEX(Agenda!$J$5:$J$3004,MATCH($I50,Agenda!$V$5:$V$3004,0))&amp;"","")</f>
        <v>0</v>
      </c>
      <c r="M50" s="25">
        <f>IFERROR(INDEX(PacTel,MATCH(INDEX(Agenda!$D$5:$D$3004,MATCH($I50,Agenda!$V$5:$V$3004,0)),PacCod,0))&amp;"","")</f>
        <v>0</v>
      </c>
      <c r="N50" s="25">
        <f>IFERROR(INDEX(Agenda!$C$5:$C$3004,MATCH($I50,Agenda!$V$5:$V$3004,0))&amp;"","")</f>
        <v>0</v>
      </c>
      <c r="O50" s="25">
        <f>IFERROR(INDEX(Agenda!$E$5:$E$3004,MATCH($I50,Agenda!$V$5:$V$3004,0))&amp;"","")</f>
        <v>0</v>
      </c>
    </row>
    <row r="51" spans="1:15">
      <c r="A51" s="31">
        <v>46</v>
      </c>
      <c r="B51" s="19">
        <f>IFERROR(INDEX(Agenda!$A$5:$A$3004,MATCH($A51,Agenda!$U$5:$U$3004,0)),"")</f>
        <v>0</v>
      </c>
      <c r="C51" s="32">
        <f>IFERROR(INDEX(Agenda!$B$5:$B$3004,MATCH($A51,Agenda!$U$5:$U$3004,0)),"")</f>
        <v>0</v>
      </c>
      <c r="D51" s="25">
        <f>IFERROR(INDEX(Agenda!$J$5:$J$3004,MATCH($A51,Agenda!$U$5:$U$3004,0))&amp;"","")</f>
        <v>0</v>
      </c>
      <c r="E51" s="25">
        <f>IFERROR(INDEX(PacTel,MATCH(INDEX(Agenda!$D$5:$D$3004,MATCH($A51,Agenda!$U$5:$U$3004,0)),PacCod,0))&amp;"","")</f>
        <v>0</v>
      </c>
      <c r="F51" s="25">
        <f>IFERROR(INDEX(Agenda!$C$5:$C$3004,MATCH($A51,Agenda!$U$5:$U$3004,0))&amp;"","")</f>
        <v>0</v>
      </c>
      <c r="G51" s="25">
        <f>IFERROR(INDEX(Agenda!$E$5:$E$3004,MATCH($A51,Agenda!$U$5:$U$3004,0))&amp;"","")</f>
        <v>0</v>
      </c>
      <c r="I51" s="31">
        <v>46</v>
      </c>
      <c r="J51" s="19">
        <f>IFERROR(INDEX(Agenda!$Q$5:$Q$3004,MATCH($I51,Agenda!$V$5:$V$3004,0)),"")</f>
        <v>0</v>
      </c>
      <c r="K51" s="19">
        <f>IFERROR(INDEX(Agenda!$A$5:$A$3004,MATCH($I51,Agenda!$V$5:$V$3004,0)),"")</f>
        <v>0</v>
      </c>
      <c r="L51" s="25">
        <f>IFERROR(INDEX(Agenda!$J$5:$J$3004,MATCH($I51,Agenda!$V$5:$V$3004,0))&amp;"","")</f>
        <v>0</v>
      </c>
      <c r="M51" s="25">
        <f>IFERROR(INDEX(PacTel,MATCH(INDEX(Agenda!$D$5:$D$3004,MATCH($I51,Agenda!$V$5:$V$3004,0)),PacCod,0))&amp;"","")</f>
        <v>0</v>
      </c>
      <c r="N51" s="25">
        <f>IFERROR(INDEX(Agenda!$C$5:$C$3004,MATCH($I51,Agenda!$V$5:$V$3004,0))&amp;"","")</f>
        <v>0</v>
      </c>
      <c r="O51" s="25">
        <f>IFERROR(INDEX(Agenda!$E$5:$E$3004,MATCH($I51,Agenda!$V$5:$V$3004,0))&amp;"","")</f>
        <v>0</v>
      </c>
    </row>
    <row r="52" spans="1:15">
      <c r="A52" s="31">
        <v>47</v>
      </c>
      <c r="B52" s="19">
        <f>IFERROR(INDEX(Agenda!$A$5:$A$3004,MATCH($A52,Agenda!$U$5:$U$3004,0)),"")</f>
        <v>0</v>
      </c>
      <c r="C52" s="32">
        <f>IFERROR(INDEX(Agenda!$B$5:$B$3004,MATCH($A52,Agenda!$U$5:$U$3004,0)),"")</f>
        <v>0</v>
      </c>
      <c r="D52" s="25">
        <f>IFERROR(INDEX(Agenda!$J$5:$J$3004,MATCH($A52,Agenda!$U$5:$U$3004,0))&amp;"","")</f>
        <v>0</v>
      </c>
      <c r="E52" s="25">
        <f>IFERROR(INDEX(PacTel,MATCH(INDEX(Agenda!$D$5:$D$3004,MATCH($A52,Agenda!$U$5:$U$3004,0)),PacCod,0))&amp;"","")</f>
        <v>0</v>
      </c>
      <c r="F52" s="25">
        <f>IFERROR(INDEX(Agenda!$C$5:$C$3004,MATCH($A52,Agenda!$U$5:$U$3004,0))&amp;"","")</f>
        <v>0</v>
      </c>
      <c r="G52" s="25">
        <f>IFERROR(INDEX(Agenda!$E$5:$E$3004,MATCH($A52,Agenda!$U$5:$U$3004,0))&amp;"","")</f>
        <v>0</v>
      </c>
      <c r="I52" s="31">
        <v>47</v>
      </c>
      <c r="J52" s="19">
        <f>IFERROR(INDEX(Agenda!$Q$5:$Q$3004,MATCH($I52,Agenda!$V$5:$V$3004,0)),"")</f>
        <v>0</v>
      </c>
      <c r="K52" s="19">
        <f>IFERROR(INDEX(Agenda!$A$5:$A$3004,MATCH($I52,Agenda!$V$5:$V$3004,0)),"")</f>
        <v>0</v>
      </c>
      <c r="L52" s="25">
        <f>IFERROR(INDEX(Agenda!$J$5:$J$3004,MATCH($I52,Agenda!$V$5:$V$3004,0))&amp;"","")</f>
        <v>0</v>
      </c>
      <c r="M52" s="25">
        <f>IFERROR(INDEX(PacTel,MATCH(INDEX(Agenda!$D$5:$D$3004,MATCH($I52,Agenda!$V$5:$V$3004,0)),PacCod,0))&amp;"","")</f>
        <v>0</v>
      </c>
      <c r="N52" s="25">
        <f>IFERROR(INDEX(Agenda!$C$5:$C$3004,MATCH($I52,Agenda!$V$5:$V$3004,0))&amp;"","")</f>
        <v>0</v>
      </c>
      <c r="O52" s="25">
        <f>IFERROR(INDEX(Agenda!$E$5:$E$3004,MATCH($I52,Agenda!$V$5:$V$3004,0))&amp;"","")</f>
        <v>0</v>
      </c>
    </row>
    <row r="53" spans="1:15">
      <c r="A53" s="31">
        <v>48</v>
      </c>
      <c r="B53" s="19">
        <f>IFERROR(INDEX(Agenda!$A$5:$A$3004,MATCH($A53,Agenda!$U$5:$U$3004,0)),"")</f>
        <v>0</v>
      </c>
      <c r="C53" s="32">
        <f>IFERROR(INDEX(Agenda!$B$5:$B$3004,MATCH($A53,Agenda!$U$5:$U$3004,0)),"")</f>
        <v>0</v>
      </c>
      <c r="D53" s="25">
        <f>IFERROR(INDEX(Agenda!$J$5:$J$3004,MATCH($A53,Agenda!$U$5:$U$3004,0))&amp;"","")</f>
        <v>0</v>
      </c>
      <c r="E53" s="25">
        <f>IFERROR(INDEX(PacTel,MATCH(INDEX(Agenda!$D$5:$D$3004,MATCH($A53,Agenda!$U$5:$U$3004,0)),PacCod,0))&amp;"","")</f>
        <v>0</v>
      </c>
      <c r="F53" s="25">
        <f>IFERROR(INDEX(Agenda!$C$5:$C$3004,MATCH($A53,Agenda!$U$5:$U$3004,0))&amp;"","")</f>
        <v>0</v>
      </c>
      <c r="G53" s="25">
        <f>IFERROR(INDEX(Agenda!$E$5:$E$3004,MATCH($A53,Agenda!$U$5:$U$3004,0))&amp;"","")</f>
        <v>0</v>
      </c>
      <c r="I53" s="31">
        <v>48</v>
      </c>
      <c r="J53" s="19">
        <f>IFERROR(INDEX(Agenda!$Q$5:$Q$3004,MATCH($I53,Agenda!$V$5:$V$3004,0)),"")</f>
        <v>0</v>
      </c>
      <c r="K53" s="19">
        <f>IFERROR(INDEX(Agenda!$A$5:$A$3004,MATCH($I53,Agenda!$V$5:$V$3004,0)),"")</f>
        <v>0</v>
      </c>
      <c r="L53" s="25">
        <f>IFERROR(INDEX(Agenda!$J$5:$J$3004,MATCH($I53,Agenda!$V$5:$V$3004,0))&amp;"","")</f>
        <v>0</v>
      </c>
      <c r="M53" s="25">
        <f>IFERROR(INDEX(PacTel,MATCH(INDEX(Agenda!$D$5:$D$3004,MATCH($I53,Agenda!$V$5:$V$3004,0)),PacCod,0))&amp;"","")</f>
        <v>0</v>
      </c>
      <c r="N53" s="25">
        <f>IFERROR(INDEX(Agenda!$C$5:$C$3004,MATCH($I53,Agenda!$V$5:$V$3004,0))&amp;"","")</f>
        <v>0</v>
      </c>
      <c r="O53" s="25">
        <f>IFERROR(INDEX(Agenda!$E$5:$E$3004,MATCH($I53,Agenda!$V$5:$V$3004,0))&amp;"","")</f>
        <v>0</v>
      </c>
    </row>
    <row r="54" spans="1:15">
      <c r="A54" s="31">
        <v>49</v>
      </c>
      <c r="B54" s="19">
        <f>IFERROR(INDEX(Agenda!$A$5:$A$3004,MATCH($A54,Agenda!$U$5:$U$3004,0)),"")</f>
        <v>0</v>
      </c>
      <c r="C54" s="32">
        <f>IFERROR(INDEX(Agenda!$B$5:$B$3004,MATCH($A54,Agenda!$U$5:$U$3004,0)),"")</f>
        <v>0</v>
      </c>
      <c r="D54" s="25">
        <f>IFERROR(INDEX(Agenda!$J$5:$J$3004,MATCH($A54,Agenda!$U$5:$U$3004,0))&amp;"","")</f>
        <v>0</v>
      </c>
      <c r="E54" s="25">
        <f>IFERROR(INDEX(PacTel,MATCH(INDEX(Agenda!$D$5:$D$3004,MATCH($A54,Agenda!$U$5:$U$3004,0)),PacCod,0))&amp;"","")</f>
        <v>0</v>
      </c>
      <c r="F54" s="25">
        <f>IFERROR(INDEX(Agenda!$C$5:$C$3004,MATCH($A54,Agenda!$U$5:$U$3004,0))&amp;"","")</f>
        <v>0</v>
      </c>
      <c r="G54" s="25">
        <f>IFERROR(INDEX(Agenda!$E$5:$E$3004,MATCH($A54,Agenda!$U$5:$U$3004,0))&amp;"","")</f>
        <v>0</v>
      </c>
      <c r="I54" s="31">
        <v>49</v>
      </c>
      <c r="J54" s="19">
        <f>IFERROR(INDEX(Agenda!$Q$5:$Q$3004,MATCH($I54,Agenda!$V$5:$V$3004,0)),"")</f>
        <v>0</v>
      </c>
      <c r="K54" s="19">
        <f>IFERROR(INDEX(Agenda!$A$5:$A$3004,MATCH($I54,Agenda!$V$5:$V$3004,0)),"")</f>
        <v>0</v>
      </c>
      <c r="L54" s="25">
        <f>IFERROR(INDEX(Agenda!$J$5:$J$3004,MATCH($I54,Agenda!$V$5:$V$3004,0))&amp;"","")</f>
        <v>0</v>
      </c>
      <c r="M54" s="25">
        <f>IFERROR(INDEX(PacTel,MATCH(INDEX(Agenda!$D$5:$D$3004,MATCH($I54,Agenda!$V$5:$V$3004,0)),PacCod,0))&amp;"","")</f>
        <v>0</v>
      </c>
      <c r="N54" s="25">
        <f>IFERROR(INDEX(Agenda!$C$5:$C$3004,MATCH($I54,Agenda!$V$5:$V$3004,0))&amp;"","")</f>
        <v>0</v>
      </c>
      <c r="O54" s="25">
        <f>IFERROR(INDEX(Agenda!$E$5:$E$3004,MATCH($I54,Agenda!$V$5:$V$3004,0))&amp;"","")</f>
        <v>0</v>
      </c>
    </row>
    <row r="55" spans="1:15">
      <c r="A55" s="31">
        <v>50</v>
      </c>
      <c r="B55" s="19">
        <f>IFERROR(INDEX(Agenda!$A$5:$A$3004,MATCH($A55,Agenda!$U$5:$U$3004,0)),"")</f>
        <v>0</v>
      </c>
      <c r="C55" s="32">
        <f>IFERROR(INDEX(Agenda!$B$5:$B$3004,MATCH($A55,Agenda!$U$5:$U$3004,0)),"")</f>
        <v>0</v>
      </c>
      <c r="D55" s="25">
        <f>IFERROR(INDEX(Agenda!$J$5:$J$3004,MATCH($A55,Agenda!$U$5:$U$3004,0))&amp;"","")</f>
        <v>0</v>
      </c>
      <c r="E55" s="25">
        <f>IFERROR(INDEX(PacTel,MATCH(INDEX(Agenda!$D$5:$D$3004,MATCH($A55,Agenda!$U$5:$U$3004,0)),PacCod,0))&amp;"","")</f>
        <v>0</v>
      </c>
      <c r="F55" s="25">
        <f>IFERROR(INDEX(Agenda!$C$5:$C$3004,MATCH($A55,Agenda!$U$5:$U$3004,0))&amp;"","")</f>
        <v>0</v>
      </c>
      <c r="G55" s="25">
        <f>IFERROR(INDEX(Agenda!$E$5:$E$3004,MATCH($A55,Agenda!$U$5:$U$3004,0))&amp;"","")</f>
        <v>0</v>
      </c>
      <c r="I55" s="31">
        <v>50</v>
      </c>
      <c r="J55" s="19">
        <f>IFERROR(INDEX(Agenda!$Q$5:$Q$3004,MATCH($I55,Agenda!$V$5:$V$3004,0)),"")</f>
        <v>0</v>
      </c>
      <c r="K55" s="19">
        <f>IFERROR(INDEX(Agenda!$A$5:$A$3004,MATCH($I55,Agenda!$V$5:$V$3004,0)),"")</f>
        <v>0</v>
      </c>
      <c r="L55" s="25">
        <f>IFERROR(INDEX(Agenda!$J$5:$J$3004,MATCH($I55,Agenda!$V$5:$V$3004,0))&amp;"","")</f>
        <v>0</v>
      </c>
      <c r="M55" s="25">
        <f>IFERROR(INDEX(PacTel,MATCH(INDEX(Agenda!$D$5:$D$3004,MATCH($I55,Agenda!$V$5:$V$3004,0)),PacCod,0))&amp;"","")</f>
        <v>0</v>
      </c>
      <c r="N55" s="25">
        <f>IFERROR(INDEX(Agenda!$C$5:$C$3004,MATCH($I55,Agenda!$V$5:$V$3004,0))&amp;"","")</f>
        <v>0</v>
      </c>
      <c r="O55" s="25">
        <f>IFERROR(INDEX(Agenda!$E$5:$E$3004,MATCH($I55,Agenda!$V$5:$V$3004,0))&amp;"","")</f>
        <v>0</v>
      </c>
    </row>
    <row r="56" spans="1:15">
      <c r="A56" s="31">
        <v>51</v>
      </c>
      <c r="B56" s="19">
        <f>IFERROR(INDEX(Agenda!$A$5:$A$3004,MATCH($A56,Agenda!$U$5:$U$3004,0)),"")</f>
        <v>0</v>
      </c>
      <c r="C56" s="32">
        <f>IFERROR(INDEX(Agenda!$B$5:$B$3004,MATCH($A56,Agenda!$U$5:$U$3004,0)),"")</f>
        <v>0</v>
      </c>
      <c r="D56" s="25">
        <f>IFERROR(INDEX(Agenda!$J$5:$J$3004,MATCH($A56,Agenda!$U$5:$U$3004,0))&amp;"","")</f>
        <v>0</v>
      </c>
      <c r="E56" s="25">
        <f>IFERROR(INDEX(PacTel,MATCH(INDEX(Agenda!$D$5:$D$3004,MATCH($A56,Agenda!$U$5:$U$3004,0)),PacCod,0))&amp;"","")</f>
        <v>0</v>
      </c>
      <c r="F56" s="25">
        <f>IFERROR(INDEX(Agenda!$C$5:$C$3004,MATCH($A56,Agenda!$U$5:$U$3004,0))&amp;"","")</f>
        <v>0</v>
      </c>
      <c r="G56" s="25">
        <f>IFERROR(INDEX(Agenda!$E$5:$E$3004,MATCH($A56,Agenda!$U$5:$U$3004,0))&amp;"","")</f>
        <v>0</v>
      </c>
      <c r="I56" s="31">
        <v>51</v>
      </c>
      <c r="J56" s="19">
        <f>IFERROR(INDEX(Agenda!$Q$5:$Q$3004,MATCH($I56,Agenda!$V$5:$V$3004,0)),"")</f>
        <v>0</v>
      </c>
      <c r="K56" s="19">
        <f>IFERROR(INDEX(Agenda!$A$5:$A$3004,MATCH($I56,Agenda!$V$5:$V$3004,0)),"")</f>
        <v>0</v>
      </c>
      <c r="L56" s="25">
        <f>IFERROR(INDEX(Agenda!$J$5:$J$3004,MATCH($I56,Agenda!$V$5:$V$3004,0))&amp;"","")</f>
        <v>0</v>
      </c>
      <c r="M56" s="25">
        <f>IFERROR(INDEX(PacTel,MATCH(INDEX(Agenda!$D$5:$D$3004,MATCH($I56,Agenda!$V$5:$V$3004,0)),PacCod,0))&amp;"","")</f>
        <v>0</v>
      </c>
      <c r="N56" s="25">
        <f>IFERROR(INDEX(Agenda!$C$5:$C$3004,MATCH($I56,Agenda!$V$5:$V$3004,0))&amp;"","")</f>
        <v>0</v>
      </c>
      <c r="O56" s="25">
        <f>IFERROR(INDEX(Agenda!$E$5:$E$3004,MATCH($I56,Agenda!$V$5:$V$3004,0))&amp;"","")</f>
        <v>0</v>
      </c>
    </row>
    <row r="57" spans="1:15">
      <c r="A57" s="31">
        <v>52</v>
      </c>
      <c r="B57" s="19">
        <f>IFERROR(INDEX(Agenda!$A$5:$A$3004,MATCH($A57,Agenda!$U$5:$U$3004,0)),"")</f>
        <v>0</v>
      </c>
      <c r="C57" s="32">
        <f>IFERROR(INDEX(Agenda!$B$5:$B$3004,MATCH($A57,Agenda!$U$5:$U$3004,0)),"")</f>
        <v>0</v>
      </c>
      <c r="D57" s="25">
        <f>IFERROR(INDEX(Agenda!$J$5:$J$3004,MATCH($A57,Agenda!$U$5:$U$3004,0))&amp;"","")</f>
        <v>0</v>
      </c>
      <c r="E57" s="25">
        <f>IFERROR(INDEX(PacTel,MATCH(INDEX(Agenda!$D$5:$D$3004,MATCH($A57,Agenda!$U$5:$U$3004,0)),PacCod,0))&amp;"","")</f>
        <v>0</v>
      </c>
      <c r="F57" s="25">
        <f>IFERROR(INDEX(Agenda!$C$5:$C$3004,MATCH($A57,Agenda!$U$5:$U$3004,0))&amp;"","")</f>
        <v>0</v>
      </c>
      <c r="G57" s="25">
        <f>IFERROR(INDEX(Agenda!$E$5:$E$3004,MATCH($A57,Agenda!$U$5:$U$3004,0))&amp;"","")</f>
        <v>0</v>
      </c>
      <c r="I57" s="31">
        <v>52</v>
      </c>
      <c r="J57" s="19">
        <f>IFERROR(INDEX(Agenda!$Q$5:$Q$3004,MATCH($I57,Agenda!$V$5:$V$3004,0)),"")</f>
        <v>0</v>
      </c>
      <c r="K57" s="19">
        <f>IFERROR(INDEX(Agenda!$A$5:$A$3004,MATCH($I57,Agenda!$V$5:$V$3004,0)),"")</f>
        <v>0</v>
      </c>
      <c r="L57" s="25">
        <f>IFERROR(INDEX(Agenda!$J$5:$J$3004,MATCH($I57,Agenda!$V$5:$V$3004,0))&amp;"","")</f>
        <v>0</v>
      </c>
      <c r="M57" s="25">
        <f>IFERROR(INDEX(PacTel,MATCH(INDEX(Agenda!$D$5:$D$3004,MATCH($I57,Agenda!$V$5:$V$3004,0)),PacCod,0))&amp;"","")</f>
        <v>0</v>
      </c>
      <c r="N57" s="25">
        <f>IFERROR(INDEX(Agenda!$C$5:$C$3004,MATCH($I57,Agenda!$V$5:$V$3004,0))&amp;"","")</f>
        <v>0</v>
      </c>
      <c r="O57" s="25">
        <f>IFERROR(INDEX(Agenda!$E$5:$E$3004,MATCH($I57,Agenda!$V$5:$V$3004,0))&amp;"","")</f>
        <v>0</v>
      </c>
    </row>
    <row r="58" spans="1:15">
      <c r="A58" s="31">
        <v>53</v>
      </c>
      <c r="B58" s="19">
        <f>IFERROR(INDEX(Agenda!$A$5:$A$3004,MATCH($A58,Agenda!$U$5:$U$3004,0)),"")</f>
        <v>0</v>
      </c>
      <c r="C58" s="32">
        <f>IFERROR(INDEX(Agenda!$B$5:$B$3004,MATCH($A58,Agenda!$U$5:$U$3004,0)),"")</f>
        <v>0</v>
      </c>
      <c r="D58" s="25">
        <f>IFERROR(INDEX(Agenda!$J$5:$J$3004,MATCH($A58,Agenda!$U$5:$U$3004,0))&amp;"","")</f>
        <v>0</v>
      </c>
      <c r="E58" s="25">
        <f>IFERROR(INDEX(PacTel,MATCH(INDEX(Agenda!$D$5:$D$3004,MATCH($A58,Agenda!$U$5:$U$3004,0)),PacCod,0))&amp;"","")</f>
        <v>0</v>
      </c>
      <c r="F58" s="25">
        <f>IFERROR(INDEX(Agenda!$C$5:$C$3004,MATCH($A58,Agenda!$U$5:$U$3004,0))&amp;"","")</f>
        <v>0</v>
      </c>
      <c r="G58" s="25">
        <f>IFERROR(INDEX(Agenda!$E$5:$E$3004,MATCH($A58,Agenda!$U$5:$U$3004,0))&amp;"","")</f>
        <v>0</v>
      </c>
      <c r="I58" s="31">
        <v>53</v>
      </c>
      <c r="J58" s="19">
        <f>IFERROR(INDEX(Agenda!$Q$5:$Q$3004,MATCH($I58,Agenda!$V$5:$V$3004,0)),"")</f>
        <v>0</v>
      </c>
      <c r="K58" s="19">
        <f>IFERROR(INDEX(Agenda!$A$5:$A$3004,MATCH($I58,Agenda!$V$5:$V$3004,0)),"")</f>
        <v>0</v>
      </c>
      <c r="L58" s="25">
        <f>IFERROR(INDEX(Agenda!$J$5:$J$3004,MATCH($I58,Agenda!$V$5:$V$3004,0))&amp;"","")</f>
        <v>0</v>
      </c>
      <c r="M58" s="25">
        <f>IFERROR(INDEX(PacTel,MATCH(INDEX(Agenda!$D$5:$D$3004,MATCH($I58,Agenda!$V$5:$V$3004,0)),PacCod,0))&amp;"","")</f>
        <v>0</v>
      </c>
      <c r="N58" s="25">
        <f>IFERROR(INDEX(Agenda!$C$5:$C$3004,MATCH($I58,Agenda!$V$5:$V$3004,0))&amp;"","")</f>
        <v>0</v>
      </c>
      <c r="O58" s="25">
        <f>IFERROR(INDEX(Agenda!$E$5:$E$3004,MATCH($I58,Agenda!$V$5:$V$3004,0))&amp;"","")</f>
        <v>0</v>
      </c>
    </row>
    <row r="59" spans="1:15">
      <c r="A59" s="31">
        <v>54</v>
      </c>
      <c r="B59" s="19">
        <f>IFERROR(INDEX(Agenda!$A$5:$A$3004,MATCH($A59,Agenda!$U$5:$U$3004,0)),"")</f>
        <v>0</v>
      </c>
      <c r="C59" s="32">
        <f>IFERROR(INDEX(Agenda!$B$5:$B$3004,MATCH($A59,Agenda!$U$5:$U$3004,0)),"")</f>
        <v>0</v>
      </c>
      <c r="D59" s="25">
        <f>IFERROR(INDEX(Agenda!$J$5:$J$3004,MATCH($A59,Agenda!$U$5:$U$3004,0))&amp;"","")</f>
        <v>0</v>
      </c>
      <c r="E59" s="25">
        <f>IFERROR(INDEX(PacTel,MATCH(INDEX(Agenda!$D$5:$D$3004,MATCH($A59,Agenda!$U$5:$U$3004,0)),PacCod,0))&amp;"","")</f>
        <v>0</v>
      </c>
      <c r="F59" s="25">
        <f>IFERROR(INDEX(Agenda!$C$5:$C$3004,MATCH($A59,Agenda!$U$5:$U$3004,0))&amp;"","")</f>
        <v>0</v>
      </c>
      <c r="G59" s="25">
        <f>IFERROR(INDEX(Agenda!$E$5:$E$3004,MATCH($A59,Agenda!$U$5:$U$3004,0))&amp;"","")</f>
        <v>0</v>
      </c>
      <c r="I59" s="31">
        <v>54</v>
      </c>
      <c r="J59" s="19">
        <f>IFERROR(INDEX(Agenda!$Q$5:$Q$3004,MATCH($I59,Agenda!$V$5:$V$3004,0)),"")</f>
        <v>0</v>
      </c>
      <c r="K59" s="19">
        <f>IFERROR(INDEX(Agenda!$A$5:$A$3004,MATCH($I59,Agenda!$V$5:$V$3004,0)),"")</f>
        <v>0</v>
      </c>
      <c r="L59" s="25">
        <f>IFERROR(INDEX(Agenda!$J$5:$J$3004,MATCH($I59,Agenda!$V$5:$V$3004,0))&amp;"","")</f>
        <v>0</v>
      </c>
      <c r="M59" s="25">
        <f>IFERROR(INDEX(PacTel,MATCH(INDEX(Agenda!$D$5:$D$3004,MATCH($I59,Agenda!$V$5:$V$3004,0)),PacCod,0))&amp;"","")</f>
        <v>0</v>
      </c>
      <c r="N59" s="25">
        <f>IFERROR(INDEX(Agenda!$C$5:$C$3004,MATCH($I59,Agenda!$V$5:$V$3004,0))&amp;"","")</f>
        <v>0</v>
      </c>
      <c r="O59" s="25">
        <f>IFERROR(INDEX(Agenda!$E$5:$E$3004,MATCH($I59,Agenda!$V$5:$V$3004,0))&amp;"","")</f>
        <v>0</v>
      </c>
    </row>
    <row r="60" spans="1:15">
      <c r="A60" s="31">
        <v>55</v>
      </c>
      <c r="B60" s="19">
        <f>IFERROR(INDEX(Agenda!$A$5:$A$3004,MATCH($A60,Agenda!$U$5:$U$3004,0)),"")</f>
        <v>0</v>
      </c>
      <c r="C60" s="32">
        <f>IFERROR(INDEX(Agenda!$B$5:$B$3004,MATCH($A60,Agenda!$U$5:$U$3004,0)),"")</f>
        <v>0</v>
      </c>
      <c r="D60" s="25">
        <f>IFERROR(INDEX(Agenda!$J$5:$J$3004,MATCH($A60,Agenda!$U$5:$U$3004,0))&amp;"","")</f>
        <v>0</v>
      </c>
      <c r="E60" s="25">
        <f>IFERROR(INDEX(PacTel,MATCH(INDEX(Agenda!$D$5:$D$3004,MATCH($A60,Agenda!$U$5:$U$3004,0)),PacCod,0))&amp;"","")</f>
        <v>0</v>
      </c>
      <c r="F60" s="25">
        <f>IFERROR(INDEX(Agenda!$C$5:$C$3004,MATCH($A60,Agenda!$U$5:$U$3004,0))&amp;"","")</f>
        <v>0</v>
      </c>
      <c r="G60" s="25">
        <f>IFERROR(INDEX(Agenda!$E$5:$E$3004,MATCH($A60,Agenda!$U$5:$U$3004,0))&amp;"","")</f>
        <v>0</v>
      </c>
      <c r="I60" s="31">
        <v>55</v>
      </c>
      <c r="J60" s="19">
        <f>IFERROR(INDEX(Agenda!$Q$5:$Q$3004,MATCH($I60,Agenda!$V$5:$V$3004,0)),"")</f>
        <v>0</v>
      </c>
      <c r="K60" s="19">
        <f>IFERROR(INDEX(Agenda!$A$5:$A$3004,MATCH($I60,Agenda!$V$5:$V$3004,0)),"")</f>
        <v>0</v>
      </c>
      <c r="L60" s="25">
        <f>IFERROR(INDEX(Agenda!$J$5:$J$3004,MATCH($I60,Agenda!$V$5:$V$3004,0))&amp;"","")</f>
        <v>0</v>
      </c>
      <c r="M60" s="25">
        <f>IFERROR(INDEX(PacTel,MATCH(INDEX(Agenda!$D$5:$D$3004,MATCH($I60,Agenda!$V$5:$V$3004,0)),PacCod,0))&amp;"","")</f>
        <v>0</v>
      </c>
      <c r="N60" s="25">
        <f>IFERROR(INDEX(Agenda!$C$5:$C$3004,MATCH($I60,Agenda!$V$5:$V$3004,0))&amp;"","")</f>
        <v>0</v>
      </c>
      <c r="O60" s="25">
        <f>IFERROR(INDEX(Agenda!$E$5:$E$3004,MATCH($I60,Agenda!$V$5:$V$3004,0))&amp;"","")</f>
        <v>0</v>
      </c>
    </row>
    <row r="61" spans="1:15">
      <c r="A61" s="31">
        <v>56</v>
      </c>
      <c r="B61" s="19">
        <f>IFERROR(INDEX(Agenda!$A$5:$A$3004,MATCH($A61,Agenda!$U$5:$U$3004,0)),"")</f>
        <v>0</v>
      </c>
      <c r="C61" s="32">
        <f>IFERROR(INDEX(Agenda!$B$5:$B$3004,MATCH($A61,Agenda!$U$5:$U$3004,0)),"")</f>
        <v>0</v>
      </c>
      <c r="D61" s="25">
        <f>IFERROR(INDEX(Agenda!$J$5:$J$3004,MATCH($A61,Agenda!$U$5:$U$3004,0))&amp;"","")</f>
        <v>0</v>
      </c>
      <c r="E61" s="25">
        <f>IFERROR(INDEX(PacTel,MATCH(INDEX(Agenda!$D$5:$D$3004,MATCH($A61,Agenda!$U$5:$U$3004,0)),PacCod,0))&amp;"","")</f>
        <v>0</v>
      </c>
      <c r="F61" s="25">
        <f>IFERROR(INDEX(Agenda!$C$5:$C$3004,MATCH($A61,Agenda!$U$5:$U$3004,0))&amp;"","")</f>
        <v>0</v>
      </c>
      <c r="G61" s="25">
        <f>IFERROR(INDEX(Agenda!$E$5:$E$3004,MATCH($A61,Agenda!$U$5:$U$3004,0))&amp;"","")</f>
        <v>0</v>
      </c>
      <c r="I61" s="31">
        <v>56</v>
      </c>
      <c r="J61" s="19">
        <f>IFERROR(INDEX(Agenda!$Q$5:$Q$3004,MATCH($I61,Agenda!$V$5:$V$3004,0)),"")</f>
        <v>0</v>
      </c>
      <c r="K61" s="19">
        <f>IFERROR(INDEX(Agenda!$A$5:$A$3004,MATCH($I61,Agenda!$V$5:$V$3004,0)),"")</f>
        <v>0</v>
      </c>
      <c r="L61" s="25">
        <f>IFERROR(INDEX(Agenda!$J$5:$J$3004,MATCH($I61,Agenda!$V$5:$V$3004,0))&amp;"","")</f>
        <v>0</v>
      </c>
      <c r="M61" s="25">
        <f>IFERROR(INDEX(PacTel,MATCH(INDEX(Agenda!$D$5:$D$3004,MATCH($I61,Agenda!$V$5:$V$3004,0)),PacCod,0))&amp;"","")</f>
        <v>0</v>
      </c>
      <c r="N61" s="25">
        <f>IFERROR(INDEX(Agenda!$C$5:$C$3004,MATCH($I61,Agenda!$V$5:$V$3004,0))&amp;"","")</f>
        <v>0</v>
      </c>
      <c r="O61" s="25">
        <f>IFERROR(INDEX(Agenda!$E$5:$E$3004,MATCH($I61,Agenda!$V$5:$V$3004,0))&amp;"","")</f>
        <v>0</v>
      </c>
    </row>
    <row r="62" spans="1:15">
      <c r="A62" s="31">
        <v>57</v>
      </c>
      <c r="B62" s="19">
        <f>IFERROR(INDEX(Agenda!$A$5:$A$3004,MATCH($A62,Agenda!$U$5:$U$3004,0)),"")</f>
        <v>0</v>
      </c>
      <c r="C62" s="32">
        <f>IFERROR(INDEX(Agenda!$B$5:$B$3004,MATCH($A62,Agenda!$U$5:$U$3004,0)),"")</f>
        <v>0</v>
      </c>
      <c r="D62" s="25">
        <f>IFERROR(INDEX(Agenda!$J$5:$J$3004,MATCH($A62,Agenda!$U$5:$U$3004,0))&amp;"","")</f>
        <v>0</v>
      </c>
      <c r="E62" s="25">
        <f>IFERROR(INDEX(PacTel,MATCH(INDEX(Agenda!$D$5:$D$3004,MATCH($A62,Agenda!$U$5:$U$3004,0)),PacCod,0))&amp;"","")</f>
        <v>0</v>
      </c>
      <c r="F62" s="25">
        <f>IFERROR(INDEX(Agenda!$C$5:$C$3004,MATCH($A62,Agenda!$U$5:$U$3004,0))&amp;"","")</f>
        <v>0</v>
      </c>
      <c r="G62" s="25">
        <f>IFERROR(INDEX(Agenda!$E$5:$E$3004,MATCH($A62,Agenda!$U$5:$U$3004,0))&amp;"","")</f>
        <v>0</v>
      </c>
      <c r="I62" s="31">
        <v>57</v>
      </c>
      <c r="J62" s="19">
        <f>IFERROR(INDEX(Agenda!$Q$5:$Q$3004,MATCH($I62,Agenda!$V$5:$V$3004,0)),"")</f>
        <v>0</v>
      </c>
      <c r="K62" s="19">
        <f>IFERROR(INDEX(Agenda!$A$5:$A$3004,MATCH($I62,Agenda!$V$5:$V$3004,0)),"")</f>
        <v>0</v>
      </c>
      <c r="L62" s="25">
        <f>IFERROR(INDEX(Agenda!$J$5:$J$3004,MATCH($I62,Agenda!$V$5:$V$3004,0))&amp;"","")</f>
        <v>0</v>
      </c>
      <c r="M62" s="25">
        <f>IFERROR(INDEX(PacTel,MATCH(INDEX(Agenda!$D$5:$D$3004,MATCH($I62,Agenda!$V$5:$V$3004,0)),PacCod,0))&amp;"","")</f>
        <v>0</v>
      </c>
      <c r="N62" s="25">
        <f>IFERROR(INDEX(Agenda!$C$5:$C$3004,MATCH($I62,Agenda!$V$5:$V$3004,0))&amp;"","")</f>
        <v>0</v>
      </c>
      <c r="O62" s="25">
        <f>IFERROR(INDEX(Agenda!$E$5:$E$3004,MATCH($I62,Agenda!$V$5:$V$3004,0))&amp;"","")</f>
        <v>0</v>
      </c>
    </row>
    <row r="63" spans="1:15">
      <c r="A63" s="31">
        <v>58</v>
      </c>
      <c r="B63" s="19">
        <f>IFERROR(INDEX(Agenda!$A$5:$A$3004,MATCH($A63,Agenda!$U$5:$U$3004,0)),"")</f>
        <v>0</v>
      </c>
      <c r="C63" s="32">
        <f>IFERROR(INDEX(Agenda!$B$5:$B$3004,MATCH($A63,Agenda!$U$5:$U$3004,0)),"")</f>
        <v>0</v>
      </c>
      <c r="D63" s="25">
        <f>IFERROR(INDEX(Agenda!$J$5:$J$3004,MATCH($A63,Agenda!$U$5:$U$3004,0))&amp;"","")</f>
        <v>0</v>
      </c>
      <c r="E63" s="25">
        <f>IFERROR(INDEX(PacTel,MATCH(INDEX(Agenda!$D$5:$D$3004,MATCH($A63,Agenda!$U$5:$U$3004,0)),PacCod,0))&amp;"","")</f>
        <v>0</v>
      </c>
      <c r="F63" s="25">
        <f>IFERROR(INDEX(Agenda!$C$5:$C$3004,MATCH($A63,Agenda!$U$5:$U$3004,0))&amp;"","")</f>
        <v>0</v>
      </c>
      <c r="G63" s="25">
        <f>IFERROR(INDEX(Agenda!$E$5:$E$3004,MATCH($A63,Agenda!$U$5:$U$3004,0))&amp;"","")</f>
        <v>0</v>
      </c>
      <c r="I63" s="31">
        <v>58</v>
      </c>
      <c r="J63" s="19">
        <f>IFERROR(INDEX(Agenda!$Q$5:$Q$3004,MATCH($I63,Agenda!$V$5:$V$3004,0)),"")</f>
        <v>0</v>
      </c>
      <c r="K63" s="19">
        <f>IFERROR(INDEX(Agenda!$A$5:$A$3004,MATCH($I63,Agenda!$V$5:$V$3004,0)),"")</f>
        <v>0</v>
      </c>
      <c r="L63" s="25">
        <f>IFERROR(INDEX(Agenda!$J$5:$J$3004,MATCH($I63,Agenda!$V$5:$V$3004,0))&amp;"","")</f>
        <v>0</v>
      </c>
      <c r="M63" s="25">
        <f>IFERROR(INDEX(PacTel,MATCH(INDEX(Agenda!$D$5:$D$3004,MATCH($I63,Agenda!$V$5:$V$3004,0)),PacCod,0))&amp;"","")</f>
        <v>0</v>
      </c>
      <c r="N63" s="25">
        <f>IFERROR(INDEX(Agenda!$C$5:$C$3004,MATCH($I63,Agenda!$V$5:$V$3004,0))&amp;"","")</f>
        <v>0</v>
      </c>
      <c r="O63" s="25">
        <f>IFERROR(INDEX(Agenda!$E$5:$E$3004,MATCH($I63,Agenda!$V$5:$V$3004,0))&amp;"","")</f>
        <v>0</v>
      </c>
    </row>
    <row r="64" spans="1:15">
      <c r="A64" s="31">
        <v>59</v>
      </c>
      <c r="B64" s="19">
        <f>IFERROR(INDEX(Agenda!$A$5:$A$3004,MATCH($A64,Agenda!$U$5:$U$3004,0)),"")</f>
        <v>0</v>
      </c>
      <c r="C64" s="32">
        <f>IFERROR(INDEX(Agenda!$B$5:$B$3004,MATCH($A64,Agenda!$U$5:$U$3004,0)),"")</f>
        <v>0</v>
      </c>
      <c r="D64" s="25">
        <f>IFERROR(INDEX(Agenda!$J$5:$J$3004,MATCH($A64,Agenda!$U$5:$U$3004,0))&amp;"","")</f>
        <v>0</v>
      </c>
      <c r="E64" s="25">
        <f>IFERROR(INDEX(PacTel,MATCH(INDEX(Agenda!$D$5:$D$3004,MATCH($A64,Agenda!$U$5:$U$3004,0)),PacCod,0))&amp;"","")</f>
        <v>0</v>
      </c>
      <c r="F64" s="25">
        <f>IFERROR(INDEX(Agenda!$C$5:$C$3004,MATCH($A64,Agenda!$U$5:$U$3004,0))&amp;"","")</f>
        <v>0</v>
      </c>
      <c r="G64" s="25">
        <f>IFERROR(INDEX(Agenda!$E$5:$E$3004,MATCH($A64,Agenda!$U$5:$U$3004,0))&amp;"","")</f>
        <v>0</v>
      </c>
      <c r="I64" s="31">
        <v>59</v>
      </c>
      <c r="J64" s="19">
        <f>IFERROR(INDEX(Agenda!$Q$5:$Q$3004,MATCH($I64,Agenda!$V$5:$V$3004,0)),"")</f>
        <v>0</v>
      </c>
      <c r="K64" s="19">
        <f>IFERROR(INDEX(Agenda!$A$5:$A$3004,MATCH($I64,Agenda!$V$5:$V$3004,0)),"")</f>
        <v>0</v>
      </c>
      <c r="L64" s="25">
        <f>IFERROR(INDEX(Agenda!$J$5:$J$3004,MATCH($I64,Agenda!$V$5:$V$3004,0))&amp;"","")</f>
        <v>0</v>
      </c>
      <c r="M64" s="25">
        <f>IFERROR(INDEX(PacTel,MATCH(INDEX(Agenda!$D$5:$D$3004,MATCH($I64,Agenda!$V$5:$V$3004,0)),PacCod,0))&amp;"","")</f>
        <v>0</v>
      </c>
      <c r="N64" s="25">
        <f>IFERROR(INDEX(Agenda!$C$5:$C$3004,MATCH($I64,Agenda!$V$5:$V$3004,0))&amp;"","")</f>
        <v>0</v>
      </c>
      <c r="O64" s="25">
        <f>IFERROR(INDEX(Agenda!$E$5:$E$3004,MATCH($I64,Agenda!$V$5:$V$3004,0))&amp;"","")</f>
        <v>0</v>
      </c>
    </row>
    <row r="65" spans="1:15">
      <c r="A65" s="31">
        <v>60</v>
      </c>
      <c r="B65" s="19">
        <f>IFERROR(INDEX(Agenda!$A$5:$A$3004,MATCH($A65,Agenda!$U$5:$U$3004,0)),"")</f>
        <v>0</v>
      </c>
      <c r="C65" s="32">
        <f>IFERROR(INDEX(Agenda!$B$5:$B$3004,MATCH($A65,Agenda!$U$5:$U$3004,0)),"")</f>
        <v>0</v>
      </c>
      <c r="D65" s="25">
        <f>IFERROR(INDEX(Agenda!$J$5:$J$3004,MATCH($A65,Agenda!$U$5:$U$3004,0))&amp;"","")</f>
        <v>0</v>
      </c>
      <c r="E65" s="25">
        <f>IFERROR(INDEX(PacTel,MATCH(INDEX(Agenda!$D$5:$D$3004,MATCH($A65,Agenda!$U$5:$U$3004,0)),PacCod,0))&amp;"","")</f>
        <v>0</v>
      </c>
      <c r="F65" s="25">
        <f>IFERROR(INDEX(Agenda!$C$5:$C$3004,MATCH($A65,Agenda!$U$5:$U$3004,0))&amp;"","")</f>
        <v>0</v>
      </c>
      <c r="G65" s="25">
        <f>IFERROR(INDEX(Agenda!$E$5:$E$3004,MATCH($A65,Agenda!$U$5:$U$3004,0))&amp;"","")</f>
        <v>0</v>
      </c>
      <c r="I65" s="31">
        <v>60</v>
      </c>
      <c r="J65" s="19">
        <f>IFERROR(INDEX(Agenda!$Q$5:$Q$3004,MATCH($I65,Agenda!$V$5:$V$3004,0)),"")</f>
        <v>0</v>
      </c>
      <c r="K65" s="19">
        <f>IFERROR(INDEX(Agenda!$A$5:$A$3004,MATCH($I65,Agenda!$V$5:$V$3004,0)),"")</f>
        <v>0</v>
      </c>
      <c r="L65" s="25">
        <f>IFERROR(INDEX(Agenda!$J$5:$J$3004,MATCH($I65,Agenda!$V$5:$V$3004,0))&amp;"","")</f>
        <v>0</v>
      </c>
      <c r="M65" s="25">
        <f>IFERROR(INDEX(PacTel,MATCH(INDEX(Agenda!$D$5:$D$3004,MATCH($I65,Agenda!$V$5:$V$3004,0)),PacCod,0))&amp;"","")</f>
        <v>0</v>
      </c>
      <c r="N65" s="25">
        <f>IFERROR(INDEX(Agenda!$C$5:$C$3004,MATCH($I65,Agenda!$V$5:$V$3004,0))&amp;"","")</f>
        <v>0</v>
      </c>
      <c r="O65" s="25">
        <f>IFERROR(INDEX(Agenda!$E$5:$E$3004,MATCH($I65,Agenda!$V$5:$V$3004,0))&amp;"","")</f>
        <v>0</v>
      </c>
    </row>
  </sheetData>
  <mergeCells count="4">
    <mergeCell ref="A1:O1"/>
    <mergeCell ref="A2:O2"/>
    <mergeCell ref="A4:G4"/>
    <mergeCell ref="I4:O4"/>
  </mergeCells>
  <pageMargins left="0.7" right="0.7" top="0.75" bottom="0.75" header="0.3" footer="0.3"/>
  <pageSetup paperSize="9" fitToHeight="0" orientation="landscape"/>
  <headerFooter>
    <oddFooter>&amp;L&amp;8Carvex XLS - Agenda, Faltas e Retornos para Clínicas&amp;R&amp;8Página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  <pageSetUpPr fitToPage="1"/>
  </sheetPr>
  <dimension ref="A1:J36"/>
  <sheetViews>
    <sheetView showGridLines="0" workbookViewId="0"/>
  </sheetViews>
  <sheetFormatPr defaultRowHeight="15" x14ac:dyDescent="0.25"/>
  <cols>
    <col min="1" max="1" width="16.7109375" customWidth="1"/>
    <col min="2" max="10" width="13.7109375" customWidth="1"/>
  </cols>
  <sheetData>
    <row r="1" spans="1:10" ht="36" customHeight="1" x14ac:dyDescent="0.25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 x14ac:dyDescent="0.25">
      <c r="A2" s="2" t="s">
        <v>265</v>
      </c>
      <c r="B2" s="2"/>
      <c r="C2" s="2"/>
      <c r="D2" s="2"/>
      <c r="E2" s="2"/>
      <c r="F2" s="2"/>
      <c r="G2" s="2"/>
      <c r="H2" s="2"/>
      <c r="I2" s="2"/>
      <c r="J2" s="13" t="s">
        <v>41</v>
      </c>
    </row>
    <row r="4" spans="1:10" ht="24" customHeight="1" x14ac:dyDescent="0.25">
      <c r="A4" s="33" t="s">
        <v>266</v>
      </c>
      <c r="B4" s="33"/>
      <c r="C4" s="33" t="s">
        <v>267</v>
      </c>
      <c r="D4" s="33"/>
      <c r="E4" s="33" t="s">
        <v>268</v>
      </c>
      <c r="F4" s="33"/>
      <c r="G4" s="33" t="s">
        <v>269</v>
      </c>
      <c r="H4" s="33"/>
      <c r="I4" s="33" t="s">
        <v>270</v>
      </c>
      <c r="J4" s="33"/>
    </row>
    <row r="5" spans="1:10" ht="32" customHeight="1" x14ac:dyDescent="0.25">
      <c r="A5" s="34">
        <f>COUNTIFS(Agenda!$T$5:$T$3004,MesAn,Agenda!$F$5:$F$3004,"&lt;&gt;Cancelado",Agenda!$F$5:$F$3004,"&lt;&gt;Remarcado")</f>
        <v>85</v>
      </c>
      <c r="B5" s="34"/>
      <c r="C5" s="34">
        <f>COUNTIFS(Agenda!$T$5:$T$3004,MesAn,Agenda!$F$5:$F$3004,"Compareceu")</f>
        <v>72</v>
      </c>
      <c r="D5" s="34"/>
      <c r="E5" s="35">
        <f>COUNTIFS(Agenda!$T$5:$T$3004,MesAn,Agenda!$F$5:$F$3004,"Faltou")</f>
        <v>13</v>
      </c>
      <c r="F5" s="35"/>
      <c r="G5" s="36">
        <f>IFERROR(E5/(C5+E5),0)</f>
        <v>0.152941176470588</v>
      </c>
      <c r="H5" s="36"/>
      <c r="I5" s="37">
        <f>SUMIFS(Agenda!$N$5:$N$3004,Agenda!$T$5:$T$3004,MesAn)</f>
        <v>11894</v>
      </c>
      <c r="J5" s="37"/>
    </row>
    <row r="7" spans="1:10" ht="24" customHeight="1" x14ac:dyDescent="0.25">
      <c r="A7" s="33" t="s">
        <v>271</v>
      </c>
      <c r="B7" s="33"/>
      <c r="C7" s="33" t="s">
        <v>272</v>
      </c>
      <c r="D7" s="33"/>
      <c r="E7" s="33" t="s">
        <v>273</v>
      </c>
      <c r="F7" s="33"/>
      <c r="G7" s="33" t="s">
        <v>274</v>
      </c>
      <c r="H7" s="33"/>
      <c r="I7" s="33" t="s">
        <v>275</v>
      </c>
      <c r="J7" s="33"/>
    </row>
    <row r="8" spans="1:10" ht="32" customHeight="1" x14ac:dyDescent="0.25">
      <c r="A8" s="38">
        <f>SUMIFS(Agenda!$O$5:$O$3004,Agenda!$T$5:$T$3004,MesAn)</f>
        <v>2500</v>
      </c>
      <c r="B8" s="38"/>
      <c r="C8" s="37">
        <f>IFERROR(I5/C5,0)</f>
        <v>165.194444444444</v>
      </c>
      <c r="D8" s="37"/>
      <c r="E8" s="39">
        <f>SUM(Agenda!$P$5:$P$3004)</f>
        <v>2877</v>
      </c>
      <c r="F8" s="39"/>
      <c r="G8" s="34">
        <f>COUNT(Agenda!$U$5:$U$3004)</f>
        <v>5</v>
      </c>
      <c r="H8" s="34"/>
      <c r="I8" s="34">
        <f>COUNT(Agenda!$V$5:$V$3004)</f>
        <v>8</v>
      </c>
      <c r="J8" s="34"/>
    </row>
    <row r="10" spans="1:10" x14ac:dyDescent="0.25">
      <c r="A10" s="4" t="s">
        <v>276</v>
      </c>
      <c r="B10" s="4"/>
      <c r="C10" s="4"/>
      <c r="D10" s="4"/>
      <c r="E10" s="4"/>
      <c r="F10" s="4"/>
      <c r="G10" s="4"/>
    </row>
    <row r="11" spans="1:10" ht="30" customHeight="1" x14ac:dyDescent="0.25">
      <c r="A11" s="11" t="s">
        <v>241</v>
      </c>
      <c r="B11" s="11" t="s">
        <v>277</v>
      </c>
      <c r="C11" s="11" t="s">
        <v>79</v>
      </c>
      <c r="D11" s="11" t="s">
        <v>80</v>
      </c>
      <c r="E11" s="11" t="s">
        <v>278</v>
      </c>
      <c r="F11" s="11" t="s">
        <v>279</v>
      </c>
      <c r="G11" s="11" t="s">
        <v>280</v>
      </c>
    </row>
    <row r="12" spans="1:10" x14ac:dyDescent="0.25">
      <c r="A12" s="40" t="str">
        <f>IF(INDEX(ProfLista,1)="","",INDEX(ProfLista,1))</f>
        <v>Profissional A</v>
      </c>
      <c r="B12" s="21">
        <f>IF($A12="","",COUNTIFS(Agenda!$C$5:$C$3004,$A12,Agenda!$T$5:$T$3004,MesAn,Agenda!$F$5:$F$3004,"&lt;&gt;Cancelado",Agenda!$F$5:$F$3004,"&lt;&gt;Remarcado"))</f>
        <v>17</v>
      </c>
      <c r="C12" s="21">
        <f>IF($A12="","",COUNTIFS(Agenda!$C$5:$C$3004,$A12,Agenda!$T$5:$T$3004,MesAn,Agenda!$F$5:$F$3004,"Compareceu"))</f>
        <v>15</v>
      </c>
      <c r="D12" s="21">
        <f>IF($A12="","",COUNTIFS(Agenda!$C$5:$C$3004,$A12,Agenda!$T$5:$T$3004,MesAn,Agenda!$F$5:$F$3004,"Faltou"))</f>
        <v>2</v>
      </c>
      <c r="E12" s="41">
        <f>IF($A12="","",IFERROR(D12/(C12+D12),0))</f>
        <v>0.117647058823529</v>
      </c>
      <c r="F12" s="27">
        <f>IF($A12="","",SUMIFS(Agenda!$N$5:$N$3004,Agenda!$C$5:$C$3004,$A12,Agenda!$T$5:$T$3004,MesAn))</f>
        <v>2568</v>
      </c>
      <c r="G12" s="27">
        <f>IF($A12="","",SUMIFS(Agenda!$O$5:$O$3004,Agenda!$C$5:$C$3004,$A12,Agenda!$T$5:$T$3004,MesAn))</f>
        <v>490</v>
      </c>
    </row>
    <row r="13" spans="1:10" x14ac:dyDescent="0.25">
      <c r="A13" s="40" t="str">
        <f>IF(INDEX(ProfLista,2)="","",INDEX(ProfLista,2))</f>
        <v>Profissional B</v>
      </c>
      <c r="B13" s="21">
        <f>IF($A13="","",COUNTIFS(Agenda!$C$5:$C$3004,$A13,Agenda!$T$5:$T$3004,MesAn,Agenda!$F$5:$F$3004,"&lt;&gt;Cancelado",Agenda!$F$5:$F$3004,"&lt;&gt;Remarcado"))</f>
        <v>28</v>
      </c>
      <c r="C13" s="21">
        <f>IF($A13="","",COUNTIFS(Agenda!$C$5:$C$3004,$A13,Agenda!$T$5:$T$3004,MesAn,Agenda!$F$5:$F$3004,"Compareceu"))</f>
        <v>24</v>
      </c>
      <c r="D13" s="21">
        <f>IF($A13="","",COUNTIFS(Agenda!$C$5:$C$3004,$A13,Agenda!$T$5:$T$3004,MesAn,Agenda!$F$5:$F$3004,"Faltou"))</f>
        <v>4</v>
      </c>
      <c r="E13" s="41">
        <f>IF($A13="","",IFERROR(D13/(C13+D13),0))</f>
        <v>0.142857142857143</v>
      </c>
      <c r="F13" s="27">
        <f>IF($A13="","",SUMIFS(Agenda!$N$5:$N$3004,Agenda!$C$5:$C$3004,$A13,Agenda!$T$5:$T$3004,MesAn))</f>
        <v>3632</v>
      </c>
      <c r="G13" s="27">
        <f>IF($A13="","",SUMIFS(Agenda!$O$5:$O$3004,Agenda!$C$5:$C$3004,$A13,Agenda!$T$5:$T$3004,MesAn))</f>
        <v>780</v>
      </c>
    </row>
    <row r="14" spans="1:10" x14ac:dyDescent="0.25">
      <c r="A14" s="40" t="str">
        <f>IF(INDEX(ProfLista,3)="","",INDEX(ProfLista,3))</f>
        <v>Profissional C</v>
      </c>
      <c r="B14" s="21">
        <f>IF($A14="","",COUNTIFS(Agenda!$C$5:$C$3004,$A14,Agenda!$T$5:$T$3004,MesAn,Agenda!$F$5:$F$3004,"&lt;&gt;Cancelado",Agenda!$F$5:$F$3004,"&lt;&gt;Remarcado"))</f>
        <v>21</v>
      </c>
      <c r="C14" s="21">
        <f>IF($A14="","",COUNTIFS(Agenda!$C$5:$C$3004,$A14,Agenda!$T$5:$T$3004,MesAn,Agenda!$F$5:$F$3004,"Compareceu"))</f>
        <v>18</v>
      </c>
      <c r="D14" s="21">
        <f>IF($A14="","",COUNTIFS(Agenda!$C$5:$C$3004,$A14,Agenda!$T$5:$T$3004,MesAn,Agenda!$F$5:$F$3004,"Faltou"))</f>
        <v>3</v>
      </c>
      <c r="E14" s="41">
        <f>IF($A14="","",IFERROR(D14/(C14+D14),0))</f>
        <v>0.142857142857143</v>
      </c>
      <c r="F14" s="27">
        <f>IF($A14="","",SUMIFS(Agenda!$N$5:$N$3004,Agenda!$C$5:$C$3004,$A14,Agenda!$T$5:$T$3004,MesAn))</f>
        <v>3320</v>
      </c>
      <c r="G14" s="27">
        <f>IF($A14="","",SUMIFS(Agenda!$O$5:$O$3004,Agenda!$C$5:$C$3004,$A14,Agenda!$T$5:$T$3004,MesAn))</f>
        <v>580</v>
      </c>
    </row>
    <row r="15" spans="1:10" x14ac:dyDescent="0.25">
      <c r="A15" s="40" t="str">
        <f>IF(INDEX(ProfLista,4)="","",INDEX(ProfLista,4))</f>
        <v>Profissional D</v>
      </c>
      <c r="B15" s="21">
        <f>IF($A15="","",COUNTIFS(Agenda!$C$5:$C$3004,$A15,Agenda!$T$5:$T$3004,MesAn,Agenda!$F$5:$F$3004,"&lt;&gt;Cancelado",Agenda!$F$5:$F$3004,"&lt;&gt;Remarcado"))</f>
        <v>19</v>
      </c>
      <c r="C15" s="21">
        <f>IF($A15="","",COUNTIFS(Agenda!$C$5:$C$3004,$A15,Agenda!$T$5:$T$3004,MesAn,Agenda!$F$5:$F$3004,"Compareceu"))</f>
        <v>15</v>
      </c>
      <c r="D15" s="21">
        <f>IF($A15="","",COUNTIFS(Agenda!$C$5:$C$3004,$A15,Agenda!$T$5:$T$3004,MesAn,Agenda!$F$5:$F$3004,"Faltou"))</f>
        <v>4</v>
      </c>
      <c r="E15" s="41">
        <f>IF($A15="","",IFERROR(D15/(C15+D15),0))</f>
        <v>0.210526315789474</v>
      </c>
      <c r="F15" s="27">
        <f>IF($A15="","",SUMIFS(Agenda!$N$5:$N$3004,Agenda!$C$5:$C$3004,$A15,Agenda!$T$5:$T$3004,MesAn))</f>
        <v>2374</v>
      </c>
      <c r="G15" s="27">
        <f>IF($A15="","",SUMIFS(Agenda!$O$5:$O$3004,Agenda!$C$5:$C$3004,$A15,Agenda!$T$5:$T$3004,MesAn))</f>
        <v>650</v>
      </c>
    </row>
    <row r="16" spans="1:10" x14ac:dyDescent="0.25">
      <c r="A16" s="40">
        <f>IF(INDEX(ProfLista,5)="","",INDEX(ProfLista,5))</f>
        <v>0</v>
      </c>
      <c r="B16" s="21">
        <f>IF($A16="","",COUNTIFS(Agenda!$C$5:$C$3004,$A16,Agenda!$T$5:$T$3004,MesAn,Agenda!$F$5:$F$3004,"&lt;&gt;Cancelado",Agenda!$F$5:$F$3004,"&lt;&gt;Remarcado"))</f>
        <v>0</v>
      </c>
      <c r="C16" s="21">
        <f>IF($A16="","",COUNTIFS(Agenda!$C$5:$C$3004,$A16,Agenda!$T$5:$T$3004,MesAn,Agenda!$F$5:$F$3004,"Compareceu"))</f>
        <v>0</v>
      </c>
      <c r="D16" s="21">
        <f>IF($A16="","",COUNTIFS(Agenda!$C$5:$C$3004,$A16,Agenda!$T$5:$T$3004,MesAn,Agenda!$F$5:$F$3004,"Faltou"))</f>
        <v>0</v>
      </c>
      <c r="E16" s="41">
        <f>IF($A16="","",IFERROR(D16/(C16+D16),0))</f>
        <v>0</v>
      </c>
      <c r="F16" s="27">
        <f>IF($A16="","",SUMIFS(Agenda!$N$5:$N$3004,Agenda!$C$5:$C$3004,$A16,Agenda!$T$5:$T$3004,MesAn))</f>
        <v>0</v>
      </c>
      <c r="G16" s="27">
        <f>IF($A16="","",SUMIFS(Agenda!$O$5:$O$3004,Agenda!$C$5:$C$3004,$A16,Agenda!$T$5:$T$3004,MesAn))</f>
        <v>0</v>
      </c>
    </row>
    <row r="17" spans="1:10" x14ac:dyDescent="0.25">
      <c r="A17" s="40">
        <f>IF(INDEX(ProfLista,6)="","",INDEX(ProfLista,6))</f>
        <v>0</v>
      </c>
      <c r="B17" s="21">
        <f>IF($A17="","",COUNTIFS(Agenda!$C$5:$C$3004,$A17,Agenda!$T$5:$T$3004,MesAn,Agenda!$F$5:$F$3004,"&lt;&gt;Cancelado",Agenda!$F$5:$F$3004,"&lt;&gt;Remarcado"))</f>
        <v>0</v>
      </c>
      <c r="C17" s="21">
        <f>IF($A17="","",COUNTIFS(Agenda!$C$5:$C$3004,$A17,Agenda!$T$5:$T$3004,MesAn,Agenda!$F$5:$F$3004,"Compareceu"))</f>
        <v>0</v>
      </c>
      <c r="D17" s="21">
        <f>IF($A17="","",COUNTIFS(Agenda!$C$5:$C$3004,$A17,Agenda!$T$5:$T$3004,MesAn,Agenda!$F$5:$F$3004,"Faltou"))</f>
        <v>0</v>
      </c>
      <c r="E17" s="41">
        <f>IF($A17="","",IFERROR(D17/(C17+D17),0))</f>
        <v>0</v>
      </c>
      <c r="F17" s="27">
        <f>IF($A17="","",SUMIFS(Agenda!$N$5:$N$3004,Agenda!$C$5:$C$3004,$A17,Agenda!$T$5:$T$3004,MesAn))</f>
        <v>0</v>
      </c>
      <c r="G17" s="27">
        <f>IF($A17="","",SUMIFS(Agenda!$O$5:$O$3004,Agenda!$C$5:$C$3004,$A17,Agenda!$T$5:$T$3004,MesAn))</f>
        <v>0</v>
      </c>
    </row>
    <row r="18" spans="1:10" x14ac:dyDescent="0.25">
      <c r="A18" s="40">
        <f>IF(INDEX(ProfLista,7)="","",INDEX(ProfLista,7))</f>
        <v>0</v>
      </c>
      <c r="B18" s="21">
        <f>IF($A18="","",COUNTIFS(Agenda!$C$5:$C$3004,$A18,Agenda!$T$5:$T$3004,MesAn,Agenda!$F$5:$F$3004,"&lt;&gt;Cancelado",Agenda!$F$5:$F$3004,"&lt;&gt;Remarcado"))</f>
        <v>0</v>
      </c>
      <c r="C18" s="21">
        <f>IF($A18="","",COUNTIFS(Agenda!$C$5:$C$3004,$A18,Agenda!$T$5:$T$3004,MesAn,Agenda!$F$5:$F$3004,"Compareceu"))</f>
        <v>0</v>
      </c>
      <c r="D18" s="21">
        <f>IF($A18="","",COUNTIFS(Agenda!$C$5:$C$3004,$A18,Agenda!$T$5:$T$3004,MesAn,Agenda!$F$5:$F$3004,"Faltou"))</f>
        <v>0</v>
      </c>
      <c r="E18" s="41">
        <f>IF($A18="","",IFERROR(D18/(C18+D18),0))</f>
        <v>0</v>
      </c>
      <c r="F18" s="27">
        <f>IF($A18="","",SUMIFS(Agenda!$N$5:$N$3004,Agenda!$C$5:$C$3004,$A18,Agenda!$T$5:$T$3004,MesAn))</f>
        <v>0</v>
      </c>
      <c r="G18" s="27">
        <f>IF($A18="","",SUMIFS(Agenda!$O$5:$O$3004,Agenda!$C$5:$C$3004,$A18,Agenda!$T$5:$T$3004,MesAn))</f>
        <v>0</v>
      </c>
    </row>
    <row r="19" spans="1:10" x14ac:dyDescent="0.25">
      <c r="A19" s="40">
        <f>IF(INDEX(ProfLista,8)="","",INDEX(ProfLista,8))</f>
        <v>0</v>
      </c>
      <c r="B19" s="21">
        <f>IF($A19="","",COUNTIFS(Agenda!$C$5:$C$3004,$A19,Agenda!$T$5:$T$3004,MesAn,Agenda!$F$5:$F$3004,"&lt;&gt;Cancelado",Agenda!$F$5:$F$3004,"&lt;&gt;Remarcado"))</f>
        <v>0</v>
      </c>
      <c r="C19" s="21">
        <f>IF($A19="","",COUNTIFS(Agenda!$C$5:$C$3004,$A19,Agenda!$T$5:$T$3004,MesAn,Agenda!$F$5:$F$3004,"Compareceu"))</f>
        <v>0</v>
      </c>
      <c r="D19" s="21">
        <f>IF($A19="","",COUNTIFS(Agenda!$C$5:$C$3004,$A19,Agenda!$T$5:$T$3004,MesAn,Agenda!$F$5:$F$3004,"Faltou"))</f>
        <v>0</v>
      </c>
      <c r="E19" s="41">
        <f>IF($A19="","",IFERROR(D19/(C19+D19),0))</f>
        <v>0</v>
      </c>
      <c r="F19" s="27">
        <f>IF($A19="","",SUMIFS(Agenda!$N$5:$N$3004,Agenda!$C$5:$C$3004,$A19,Agenda!$T$5:$T$3004,MesAn))</f>
        <v>0</v>
      </c>
      <c r="G19" s="27">
        <f>IF($A19="","",SUMIFS(Agenda!$O$5:$O$3004,Agenda!$C$5:$C$3004,$A19,Agenda!$T$5:$T$3004,MesAn))</f>
        <v>0</v>
      </c>
    </row>
    <row r="20" spans="1:10" x14ac:dyDescent="0.25">
      <c r="A20" s="40">
        <f>IF(INDEX(ProfLista,9)="","",INDEX(ProfLista,9))</f>
        <v>0</v>
      </c>
      <c r="B20" s="21">
        <f>IF($A20="","",COUNTIFS(Agenda!$C$5:$C$3004,$A20,Agenda!$T$5:$T$3004,MesAn,Agenda!$F$5:$F$3004,"&lt;&gt;Cancelado",Agenda!$F$5:$F$3004,"&lt;&gt;Remarcado"))</f>
        <v>0</v>
      </c>
      <c r="C20" s="21">
        <f>IF($A20="","",COUNTIFS(Agenda!$C$5:$C$3004,$A20,Agenda!$T$5:$T$3004,MesAn,Agenda!$F$5:$F$3004,"Compareceu"))</f>
        <v>0</v>
      </c>
      <c r="D20" s="21">
        <f>IF($A20="","",COUNTIFS(Agenda!$C$5:$C$3004,$A20,Agenda!$T$5:$T$3004,MesAn,Agenda!$F$5:$F$3004,"Faltou"))</f>
        <v>0</v>
      </c>
      <c r="E20" s="41">
        <f>IF($A20="","",IFERROR(D20/(C20+D20),0))</f>
        <v>0</v>
      </c>
      <c r="F20" s="27">
        <f>IF($A20="","",SUMIFS(Agenda!$N$5:$N$3004,Agenda!$C$5:$C$3004,$A20,Agenda!$T$5:$T$3004,MesAn))</f>
        <v>0</v>
      </c>
      <c r="G20" s="27">
        <f>IF($A20="","",SUMIFS(Agenda!$O$5:$O$3004,Agenda!$C$5:$C$3004,$A20,Agenda!$T$5:$T$3004,MesAn))</f>
        <v>0</v>
      </c>
    </row>
    <row r="21" spans="1:10" x14ac:dyDescent="0.25">
      <c r="A21" s="40">
        <f>IF(INDEX(ProfLista,10)="","",INDEX(ProfLista,10))</f>
        <v>0</v>
      </c>
      <c r="B21" s="21">
        <f>IF($A21="","",COUNTIFS(Agenda!$C$5:$C$3004,$A21,Agenda!$T$5:$T$3004,MesAn,Agenda!$F$5:$F$3004,"&lt;&gt;Cancelado",Agenda!$F$5:$F$3004,"&lt;&gt;Remarcado"))</f>
        <v>0</v>
      </c>
      <c r="C21" s="21">
        <f>IF($A21="","",COUNTIFS(Agenda!$C$5:$C$3004,$A21,Agenda!$T$5:$T$3004,MesAn,Agenda!$F$5:$F$3004,"Compareceu"))</f>
        <v>0</v>
      </c>
      <c r="D21" s="21">
        <f>IF($A21="","",COUNTIFS(Agenda!$C$5:$C$3004,$A21,Agenda!$T$5:$T$3004,MesAn,Agenda!$F$5:$F$3004,"Faltou"))</f>
        <v>0</v>
      </c>
      <c r="E21" s="41">
        <f>IF($A21="","",IFERROR(D21/(C21+D21),0))</f>
        <v>0</v>
      </c>
      <c r="F21" s="27">
        <f>IF($A21="","",SUMIFS(Agenda!$N$5:$N$3004,Agenda!$C$5:$C$3004,$A21,Agenda!$T$5:$T$3004,MesAn))</f>
        <v>0</v>
      </c>
      <c r="G21" s="27">
        <f>IF($A21="","",SUMIFS(Agenda!$O$5:$O$3004,Agenda!$C$5:$C$3004,$A21,Agenda!$T$5:$T$3004,MesAn))</f>
        <v>0</v>
      </c>
    </row>
    <row r="23" spans="1:10" x14ac:dyDescent="0.25">
      <c r="A23" s="4" t="s">
        <v>281</v>
      </c>
      <c r="B23" s="4"/>
      <c r="C23" s="4"/>
      <c r="D23" s="4"/>
      <c r="F23" s="4" t="s">
        <v>288</v>
      </c>
      <c r="G23" s="4"/>
      <c r="H23" s="4"/>
      <c r="I23" s="4"/>
      <c r="J23" s="4"/>
    </row>
    <row r="24" spans="1:10" ht="26" customHeight="1" x14ac:dyDescent="0.25">
      <c r="A24" s="11" t="s">
        <v>248</v>
      </c>
      <c r="B24" s="11" t="s">
        <v>277</v>
      </c>
      <c r="C24" s="11" t="s">
        <v>80</v>
      </c>
      <c r="D24" s="11" t="s">
        <v>278</v>
      </c>
      <c r="F24" s="11" t="s">
        <v>256</v>
      </c>
      <c r="G24" s="11" t="s">
        <v>79</v>
      </c>
      <c r="H24" s="11" t="s">
        <v>80</v>
      </c>
      <c r="I24" s="11" t="s">
        <v>278</v>
      </c>
      <c r="J24" s="11" t="s">
        <v>279</v>
      </c>
    </row>
    <row r="25" spans="1:10" x14ac:dyDescent="0.25">
      <c r="A25" s="42" t="s">
        <v>282</v>
      </c>
      <c r="B25" s="21">
        <f>COUNTIFS(Agenda!$L$5:$L$3004,$A25,Agenda!$T$5:$T$3004,MesAn,Agenda!$F$5:$F$3004,"&lt;&gt;Cancelado",Agenda!$F$5:$F$3004,"&lt;&gt;Remarcado")</f>
        <v>17</v>
      </c>
      <c r="C25" s="21">
        <f>COUNTIFS(Agenda!$L$5:$L$3004,$A25,Agenda!$T$5:$T$3004,MesAn,Agenda!$F$5:$F$3004,"Faltou")</f>
        <v>2</v>
      </c>
      <c r="D25" s="41">
        <f>IF(B25=0,0,C25/B25)</f>
        <v>0.117647058823529</v>
      </c>
      <c r="F25" s="43">
        <f>DATE(YEAR(Hoje),1,1)</f>
        <v>46023.0</v>
      </c>
      <c r="G25" s="21">
        <f>COUNTIFS(Agenda!$T$5:$T$3004,$F25,Agenda!$F$5:$F$3004,"Compareceu")</f>
        <v>0</v>
      </c>
      <c r="H25" s="21">
        <f>COUNTIFS(Agenda!$T$5:$T$3004,$F25,Agenda!$F$5:$F$3004,"Faltou")</f>
        <v>0</v>
      </c>
      <c r="I25" s="44">
        <f>IF(G25+H25=0,"",H25/(G25+H25))</f>
        <v>0</v>
      </c>
      <c r="J25" s="27">
        <f>SUMIFS(Agenda!$N$5:$N$3004,Agenda!$T$5:$T$3004,$F25)</f>
        <v>0</v>
      </c>
    </row>
    <row r="26" spans="1:10" x14ac:dyDescent="0.25">
      <c r="A26" s="42" t="s">
        <v>283</v>
      </c>
      <c r="B26" s="21">
        <f>COUNTIFS(Agenda!$L$5:$L$3004,$A26,Agenda!$T$5:$T$3004,MesAn,Agenda!$F$5:$F$3004,"&lt;&gt;Cancelado",Agenda!$F$5:$F$3004,"&lt;&gt;Remarcado")</f>
        <v>17</v>
      </c>
      <c r="C26" s="21">
        <f>COUNTIFS(Agenda!$L$5:$L$3004,$A26,Agenda!$T$5:$T$3004,MesAn,Agenda!$F$5:$F$3004,"Faltou")</f>
        <v>0</v>
      </c>
      <c r="D26" s="41">
        <f>IF(B26=0,0,C26/B26)</f>
        <v>0</v>
      </c>
      <c r="F26" s="43">
        <f>DATE(YEAR(Hoje),2,1)</f>
        <v>46054.0</v>
      </c>
      <c r="G26" s="21">
        <f>COUNTIFS(Agenda!$T$5:$T$3004,$F26,Agenda!$F$5:$F$3004,"Compareceu")</f>
        <v>0</v>
      </c>
      <c r="H26" s="21">
        <f>COUNTIFS(Agenda!$T$5:$T$3004,$F26,Agenda!$F$5:$F$3004,"Faltou")</f>
        <v>0</v>
      </c>
      <c r="I26" s="44">
        <f>IF(G26+H26=0,"",H26/(G26+H26))</f>
        <v>0</v>
      </c>
      <c r="J26" s="27">
        <f>SUMIFS(Agenda!$N$5:$N$3004,Agenda!$T$5:$T$3004,$F26)</f>
        <v>0</v>
      </c>
    </row>
    <row r="27" spans="1:10" x14ac:dyDescent="0.25">
      <c r="A27" s="42" t="s">
        <v>284</v>
      </c>
      <c r="B27" s="21">
        <f>COUNTIFS(Agenda!$L$5:$L$3004,$A27,Agenda!$T$5:$T$3004,MesAn,Agenda!$F$5:$F$3004,"&lt;&gt;Cancelado",Agenda!$F$5:$F$3004,"&lt;&gt;Remarcado")</f>
        <v>16</v>
      </c>
      <c r="C27" s="21">
        <f>COUNTIFS(Agenda!$L$5:$L$3004,$A27,Agenda!$T$5:$T$3004,MesAn,Agenda!$F$5:$F$3004,"Faltou")</f>
        <v>3</v>
      </c>
      <c r="D27" s="41">
        <f>IF(B27=0,0,C27/B27)</f>
        <v>0.1875</v>
      </c>
      <c r="F27" s="43">
        <f>DATE(YEAR(Hoje),3,1)</f>
        <v>46082.0</v>
      </c>
      <c r="G27" s="21">
        <f>COUNTIFS(Agenda!$T$5:$T$3004,$F27,Agenda!$F$5:$F$3004,"Compareceu")</f>
        <v>0</v>
      </c>
      <c r="H27" s="21">
        <f>COUNTIFS(Agenda!$T$5:$T$3004,$F27,Agenda!$F$5:$F$3004,"Faltou")</f>
        <v>0</v>
      </c>
      <c r="I27" s="44">
        <f>IF(G27+H27=0,"",H27/(G27+H27))</f>
        <v>0</v>
      </c>
      <c r="J27" s="27">
        <f>SUMIFS(Agenda!$N$5:$N$3004,Agenda!$T$5:$T$3004,$F27)</f>
        <v>0</v>
      </c>
    </row>
    <row r="28" spans="1:10" x14ac:dyDescent="0.25">
      <c r="A28" s="42" t="s">
        <v>285</v>
      </c>
      <c r="B28" s="21">
        <f>COUNTIFS(Agenda!$L$5:$L$3004,$A28,Agenda!$T$5:$T$3004,MesAn,Agenda!$F$5:$F$3004,"&lt;&gt;Cancelado",Agenda!$F$5:$F$3004,"&lt;&gt;Remarcado")</f>
        <v>11</v>
      </c>
      <c r="C28" s="21">
        <f>COUNTIFS(Agenda!$L$5:$L$3004,$A28,Agenda!$T$5:$T$3004,MesAn,Agenda!$F$5:$F$3004,"Faltou")</f>
        <v>2</v>
      </c>
      <c r="D28" s="41">
        <f>IF(B28=0,0,C28/B28)</f>
        <v>0.181818181818182</v>
      </c>
      <c r="F28" s="43">
        <f>DATE(YEAR(Hoje),4,1)</f>
        <v>46113.0</v>
      </c>
      <c r="G28" s="21">
        <f>COUNTIFS(Agenda!$T$5:$T$3004,$F28,Agenda!$F$5:$F$3004,"Compareceu")</f>
        <v>0</v>
      </c>
      <c r="H28" s="21">
        <f>COUNTIFS(Agenda!$T$5:$T$3004,$F28,Agenda!$F$5:$F$3004,"Faltou")</f>
        <v>0</v>
      </c>
      <c r="I28" s="44">
        <f>IF(G28+H28=0,"",H28/(G28+H28))</f>
        <v>0</v>
      </c>
      <c r="J28" s="27">
        <f>SUMIFS(Agenda!$N$5:$N$3004,Agenda!$T$5:$T$3004,$F28)</f>
        <v>0</v>
      </c>
    </row>
    <row r="29" spans="1:10" x14ac:dyDescent="0.25">
      <c r="A29" s="42" t="s">
        <v>286</v>
      </c>
      <c r="B29" s="21">
        <f>COUNTIFS(Agenda!$L$5:$L$3004,$A29,Agenda!$T$5:$T$3004,MesAn,Agenda!$F$5:$F$3004,"&lt;&gt;Cancelado",Agenda!$F$5:$F$3004,"&lt;&gt;Remarcado")</f>
        <v>16</v>
      </c>
      <c r="C29" s="21">
        <f>COUNTIFS(Agenda!$L$5:$L$3004,$A29,Agenda!$T$5:$T$3004,MesAn,Agenda!$F$5:$F$3004,"Faltou")</f>
        <v>5</v>
      </c>
      <c r="D29" s="41">
        <f>IF(B29=0,0,C29/B29)</f>
        <v>0.3125</v>
      </c>
      <c r="F29" s="43">
        <f>DATE(YEAR(Hoje),5,1)</f>
        <v>46143.0</v>
      </c>
      <c r="G29" s="21">
        <f>COUNTIFS(Agenda!$T$5:$T$3004,$F29,Agenda!$F$5:$F$3004,"Compareceu")</f>
        <v>0</v>
      </c>
      <c r="H29" s="21">
        <f>COUNTIFS(Agenda!$T$5:$T$3004,$F29,Agenda!$F$5:$F$3004,"Faltou")</f>
        <v>0</v>
      </c>
      <c r="I29" s="44">
        <f>IF(G29+H29=0,"",H29/(G29+H29))</f>
        <v>0</v>
      </c>
      <c r="J29" s="27">
        <f>SUMIFS(Agenda!$N$5:$N$3004,Agenda!$T$5:$T$3004,$F29)</f>
        <v>0</v>
      </c>
    </row>
    <row r="30" spans="1:10" x14ac:dyDescent="0.25">
      <c r="A30" s="42" t="s">
        <v>287</v>
      </c>
      <c r="B30" s="21">
        <f>COUNTIFS(Agenda!$L$5:$L$3004,$A30,Agenda!$T$5:$T$3004,MesAn,Agenda!$F$5:$F$3004,"&lt;&gt;Cancelado",Agenda!$F$5:$F$3004,"&lt;&gt;Remarcado")</f>
        <v>8</v>
      </c>
      <c r="C30" s="21">
        <f>COUNTIFS(Agenda!$L$5:$L$3004,$A30,Agenda!$T$5:$T$3004,MesAn,Agenda!$F$5:$F$3004,"Faltou")</f>
        <v>1</v>
      </c>
      <c r="D30" s="41">
        <f>IF(B30=0,0,C30/B30)</f>
        <v>0.125</v>
      </c>
      <c r="F30" s="43">
        <f>DATE(YEAR(Hoje),6,1)</f>
        <v>46174.0</v>
      </c>
      <c r="G30" s="21">
        <f>COUNTIFS(Agenda!$T$5:$T$3004,$F30,Agenda!$F$5:$F$3004,"Compareceu")</f>
        <v>0</v>
      </c>
      <c r="H30" s="21">
        <f>COUNTIFS(Agenda!$T$5:$T$3004,$F30,Agenda!$F$5:$F$3004,"Faltou")</f>
        <v>0</v>
      </c>
      <c r="I30" s="44">
        <f>IF(G30+H30=0,"",H30/(G30+H30))</f>
        <v>0</v>
      </c>
      <c r="J30" s="27">
        <f>SUMIFS(Agenda!$N$5:$N$3004,Agenda!$T$5:$T$3004,$F30)</f>
        <v>0</v>
      </c>
    </row>
    <row r="31" spans="1:10" x14ac:dyDescent="0.25">
      <c r="F31" s="43">
        <f>DATE(YEAR(Hoje),7,1)</f>
        <v>46204.0</v>
      </c>
      <c r="G31" s="21">
        <f>COUNTIFS(Agenda!$T$5:$T$3004,$F31,Agenda!$F$5:$F$3004,"Compareceu")</f>
        <v>75</v>
      </c>
      <c r="H31" s="21">
        <f>COUNTIFS(Agenda!$T$5:$T$3004,$F31,Agenda!$F$5:$F$3004,"Faltou")</f>
        <v>9</v>
      </c>
      <c r="I31" s="44">
        <f>IF(G31+H31=0,"",H31/(G31+H31))</f>
        <v>0.107142857142857</v>
      </c>
      <c r="J31" s="27">
        <f>SUMIFS(Agenda!$N$5:$N$3004,Agenda!$T$5:$T$3004,$F31)</f>
        <v>9174</v>
      </c>
    </row>
    <row r="32" spans="1:10" x14ac:dyDescent="0.25">
      <c r="F32" s="43">
        <f>DATE(YEAR(Hoje),8,1)</f>
        <v>46235.0</v>
      </c>
      <c r="G32" s="21">
        <f>COUNTIFS(Agenda!$T$5:$T$3004,$F32,Agenda!$F$5:$F$3004,"Compareceu")</f>
        <v>74</v>
      </c>
      <c r="H32" s="21">
        <f>COUNTIFS(Agenda!$T$5:$T$3004,$F32,Agenda!$F$5:$F$3004,"Faltou")</f>
        <v>20</v>
      </c>
      <c r="I32" s="44">
        <f>IF(G32+H32=0,"",H32/(G32+H32))</f>
        <v>0.212765957446809</v>
      </c>
      <c r="J32" s="27">
        <f>SUMIFS(Agenda!$N$5:$N$3004,Agenda!$T$5:$T$3004,$F32)</f>
        <v>9732</v>
      </c>
    </row>
    <row r="33" spans="6:10" x14ac:dyDescent="0.25">
      <c r="F33" s="43">
        <f>DATE(YEAR(Hoje),9,1)</f>
        <v>46266.0</v>
      </c>
      <c r="G33" s="21">
        <f>COUNTIFS(Agenda!$T$5:$T$3004,$F33,Agenda!$F$5:$F$3004,"Compareceu")</f>
        <v>72</v>
      </c>
      <c r="H33" s="21">
        <f>COUNTIFS(Agenda!$T$5:$T$3004,$F33,Agenda!$F$5:$F$3004,"Faltou")</f>
        <v>13</v>
      </c>
      <c r="I33" s="44">
        <f>IF(G33+H33=0,"",H33/(G33+H33))</f>
        <v>0.152941176470588</v>
      </c>
      <c r="J33" s="27">
        <f>SUMIFS(Agenda!$N$5:$N$3004,Agenda!$T$5:$T$3004,$F33)</f>
        <v>11894</v>
      </c>
    </row>
    <row r="34" spans="6:10" x14ac:dyDescent="0.25">
      <c r="F34" s="43">
        <f>DATE(YEAR(Hoje),10,1)</f>
        <v>46296.0</v>
      </c>
      <c r="G34" s="21">
        <f>COUNTIFS(Agenda!$T$5:$T$3004,$F34,Agenda!$F$5:$F$3004,"Compareceu")</f>
        <v>21</v>
      </c>
      <c r="H34" s="21">
        <f>COUNTIFS(Agenda!$T$5:$T$3004,$F34,Agenda!$F$5:$F$3004,"Faltou")</f>
        <v>2</v>
      </c>
      <c r="I34" s="44">
        <f>IF(G34+H34=0,"",H34/(G34+H34))</f>
        <v>0.0869565217391304</v>
      </c>
      <c r="J34" s="27">
        <f>SUMIFS(Agenda!$N$5:$N$3004,Agenda!$T$5:$T$3004,$F34)</f>
        <v>2796</v>
      </c>
    </row>
    <row r="35" spans="6:10" x14ac:dyDescent="0.25">
      <c r="F35" s="43">
        <f>DATE(YEAR(Hoje),11,1)</f>
        <v>46327.0</v>
      </c>
      <c r="G35" s="21">
        <f>COUNTIFS(Agenda!$T$5:$T$3004,$F35,Agenda!$F$5:$F$3004,"Compareceu")</f>
        <v>0</v>
      </c>
      <c r="H35" s="21">
        <f>COUNTIFS(Agenda!$T$5:$T$3004,$F35,Agenda!$F$5:$F$3004,"Faltou")</f>
        <v>0</v>
      </c>
      <c r="I35" s="44">
        <f>IF(G35+H35=0,"",H35/(G35+H35))</f>
        <v>0</v>
      </c>
      <c r="J35" s="27">
        <f>SUMIFS(Agenda!$N$5:$N$3004,Agenda!$T$5:$T$3004,$F35)</f>
        <v>0</v>
      </c>
    </row>
    <row r="36" spans="6:10" x14ac:dyDescent="0.25">
      <c r="F36" s="43">
        <f>DATE(YEAR(Hoje),12,1)</f>
        <v>46357.0</v>
      </c>
      <c r="G36" s="21">
        <f>COUNTIFS(Agenda!$T$5:$T$3004,$F36,Agenda!$F$5:$F$3004,"Compareceu")</f>
        <v>0</v>
      </c>
      <c r="H36" s="21">
        <f>COUNTIFS(Agenda!$T$5:$T$3004,$F36,Agenda!$F$5:$F$3004,"Faltou")</f>
        <v>0</v>
      </c>
      <c r="I36" s="44">
        <f>IF(G36+H36=0,"",H36/(G36+H36))</f>
        <v>0</v>
      </c>
      <c r="J36" s="27">
        <f>SUMIFS(Agenda!$N$5:$N$3004,Agenda!$T$5:$T$3004,$F36)</f>
        <v>0</v>
      </c>
    </row>
  </sheetData>
  <sheetProtection sheet="1" objects="1" scenarios="1"/>
  <mergeCells count="25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G10"/>
    <mergeCell ref="A23:D23"/>
    <mergeCell ref="F23:J23"/>
  </mergeCells>
  <conditionalFormatting sqref="E12:E21">
    <cfRule type="dataBar" priority="1">
      <dataBar>
        <cfvo type="num" val="0"/>
        <cfvo type="num" val="0.5"/>
        <color rgb="FFFCA5A5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pageSetup paperSize="9" orientation="landscape"/>
  <headerFooter>
    <oddFooter>&amp;L&amp;8Carvex XLS - Agenda, Faltas e Retornos para Clínicas&amp;R&amp;8Página &amp;P de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0.5</xm:f>
              </x14:cfvo>
              <x14:borderColor rgb="FFFCA5A5"/>
              <x14:negativeFillColor rgb="FFFF0000"/>
              <x14:negativeBorderColor rgb="FFFF0000"/>
              <x14:axisColor rgb="FF000000"/>
            </x14:dataBar>
          </x14:cfRule>
          <xm:sqref>E12:E21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Início</vt:lpstr>
      <vt:lpstr>Config</vt:lpstr>
      <vt:lpstr>Pacientes</vt:lpstr>
      <vt:lpstr>Agenda</vt:lpstr>
      <vt:lpstr>Pendências</vt:lpstr>
      <vt:lpstr>Relatórios</vt:lpstr>
      <vt:lpstr>AgData</vt:lpstr>
      <vt:lpstr>AgPac</vt:lpstr>
      <vt:lpstr>AgStatus</vt:lpstr>
      <vt:lpstr>Convenios</vt:lpstr>
      <vt:lpstr>DiasConf</vt:lpstr>
      <vt:lpstr>Formas</vt:lpstr>
      <vt:lpstr>Hoje</vt:lpstr>
      <vt:lpstr>JanelaRet</vt:lpstr>
      <vt:lpstr>MesAn</vt:lpstr>
      <vt:lpstr>Origens</vt:lpstr>
      <vt:lpstr>PacCod</vt:lpstr>
      <vt:lpstr>PacConv</vt:lpstr>
      <vt:lpstr>PacNome</vt:lpstr>
      <vt:lpstr>PacTel</vt:lpstr>
      <vt:lpstr>ProcNome</vt:lpstr>
      <vt:lpstr>ProcRet</vt:lpstr>
      <vt:lpstr>ProcValor</vt:lpstr>
      <vt:lpstr>ProfLista</vt:lpstr>
      <vt:lpstr>StatusAg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Agenda, Faltas e Retornos para Clínicas</dc:title>
  <dc:creator>Carvex XLS</dc:creator>
  <dc:description>Planilha empresarial Carvex XLS (EXEMPLO com dados fictícios)</dc:description>
  <cp:lastModifiedBy>Carvex XLS</cp:lastModifiedBy>
  <dcterms:created xsi:type="dcterms:W3CDTF">2026-10-08T12:41:15Z</dcterms:created>
  <dcterms:modified xsi:type="dcterms:W3CDTF">2026-10-08T12:41:15Z</dcterms:modified>
</cp:coreProperties>
</file>