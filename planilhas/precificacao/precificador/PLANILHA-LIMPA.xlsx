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Produtos" sheetId="3" r:id="rId3"/>
    <sheet name="Serviços" sheetId="4" r:id="rId4"/>
    <sheet name="Simulador" sheetId="5" r:id="rId5"/>
    <sheet name="Resumo" sheetId="6" r:id="rId6"/>
  </sheets>
  <definedNames>
    <definedName name="_xlnm._FilterDatabase" localSheetId="2" hidden="1">Produtos!$A$4:$U$304</definedName>
    <definedName name="cHora">Config!$C$19</definedName>
    <definedName name="pCom">Config!$C$7</definedName>
    <definedName name="pFixo">Config!$C$14</definedName>
    <definedName name="pImp">Config!$C$6</definedName>
    <definedName name="pLucro">Config!$C$9</definedName>
    <definedName name="ProdNome">Produtos!$B$5:$B$304</definedName>
    <definedName name="pTax">Config!$C$8</definedName>
  </definedNames>
  <calcPr calcId="124519" fullCalcOnLoad="1"/>
</workbook>
</file>

<file path=xl/sharedStrings.xml><?xml version="1.0" encoding="utf-8"?>
<sst xmlns="http://schemas.openxmlformats.org/spreadsheetml/2006/main" count="141" uniqueCount="125">
  <si>
    <t>Precificador de Produtos e Serviços</t>
  </si>
  <si>
    <t>Carvex XLS · Preço certo = lucro garantido</t>
  </si>
  <si>
    <t>O que esta planilha faz</t>
  </si>
  <si>
    <t>Calcule o preço de venda de cada produto e serviço considerando custo, impostos, comissão, taxa de cartão/marketplace, despesas fixas e o lucro que você quer. Descubra quais itens dão prejuízo e quanto custa dar desconto.</t>
  </si>
  <si>
    <t>Como começar (5 minutos)</t>
  </si>
  <si>
    <t>1. Config</t>
  </si>
  <si>
    <t>Informe impostos, comissão, taxa de pagamento, lucro desejado, custos fixos mensais e faturamento médio. A planilha calcula o rateio de despesa fixa e o custo da sua hora.</t>
  </si>
  <si>
    <t>2. Cadastre os produtos</t>
  </si>
  <si>
    <t>Em Produtos, informe o custo de cada item (compra ou produção) e, se quiser, o preço que pratica hoje.</t>
  </si>
  <si>
    <t>3. Cadastre os serviços</t>
  </si>
  <si>
    <t>Em Serviços, informe horas gastas e materiais. O custo da hora vem da Config.</t>
  </si>
  <si>
    <t>4. Leia o preço sugerido</t>
  </si>
  <si>
    <t>A coluna Preço sugerido já considera todos os custos e o lucro. A coluna Status avisa se seu preço atual dá PREJUÍZO.</t>
  </si>
  <si>
    <t>5. Simule descontos</t>
  </si>
  <si>
    <t>Na aba Simulador, escolha o produto e o desconto e veja quanto precisa vender a mais para manter o lucro.</t>
  </si>
  <si>
    <t>Mapa das abas (clique para ir)</t>
  </si>
  <si>
    <t>Config</t>
  </si>
  <si>
    <t>Parâmetros gerais: impostos, comissão, taxa, lucro, custos fixos, custo da hora.</t>
  </si>
  <si>
    <t>Produtos</t>
  </si>
  <si>
    <t>Cadastro e preço de venda de produtos (até 300).</t>
  </si>
  <si>
    <t>Serviços</t>
  </si>
  <si>
    <t>Cadastro e preço de serviços (até 100).</t>
  </si>
  <si>
    <t>Simulador</t>
  </si>
  <si>
    <t>Quanto custa dar desconto: lucro por unidade e vendas extras necessárias.</t>
  </si>
  <si>
    <t>Resumo</t>
  </si>
  <si>
    <t>Quantos itens estão em prejuízo, margem média e gráfico de margem.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</si>
  <si>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</si>
  <si>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</si>
  <si>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</si>
  <si>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</si>
  <si>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</si>
  <si>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</si>
  <si>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</si>
  <si>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</si>
  <si>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Todos os percentuais são sobre o PREÇO DE VENDA (não sobre o custo).</t>
  </si>
  <si>
    <t>• Se a soma dos percentuais chegar a 100%, o preço não pode ser calculado e a planilha mostra 'Revisar %'.</t>
  </si>
  <si>
    <t>• Nas colunas de % por item (amarelas), deixe em branco para usar o padrão da Config; digite 0% se o item não tem aquele custo.</t>
  </si>
  <si>
    <t>Carvex XLS · Precificador de Produtos e Serviços · versão 1.0 · Dúvidas: consulte o TUTORIAL.md e o MANUAL.md que acompanham o produto.</t>
  </si>
  <si>
    <t>Configurações gerais</t>
  </si>
  <si>
    <t>Percentuais sobre o preço de venda. Valem para todos os itens, exceto quando você digita um percentual específico.</t>
  </si>
  <si>
    <t>Empresa</t>
  </si>
  <si>
    <t>Percentuais padrão (sobre o preço de venda)</t>
  </si>
  <si>
    <t>Impostos sobre a venda (%)</t>
  </si>
  <si>
    <t>Simples/Presumido: percentual efetivo do seu faturamento (confirme com seu contador).</t>
  </si>
  <si>
    <t>Comissão de vendedores (%)</t>
  </si>
  <si>
    <t>Média paga a vendedores/representantes.</t>
  </si>
  <si>
    <t>Taxa de pagamento / plataforma (%)</t>
  </si>
  <si>
    <t>Cartão, Pix, marketplace. Use a média ponderada dos seus canais.</t>
  </si>
  <si>
    <t>Lucro líquido desejado (%)</t>
  </si>
  <si>
    <t>Quanto deve sobrar de cada venda depois de pagar tudo.</t>
  </si>
  <si>
    <t>Despesas fixas</t>
  </si>
  <si>
    <t>Custos fixos mensais (R$)</t>
  </si>
  <si>
    <t>Aluguel, salários, energia, contador, sistemas... (sem pró-labore).</t>
  </si>
  <si>
    <t>Faturamento médio mensal (R$)</t>
  </si>
  <si>
    <t>Média dos últimos 6 meses. Se não souber, use uma estimativa realista.</t>
  </si>
  <si>
    <t>Despesa fixa rateada (%)</t>
  </si>
  <si>
    <t>Calculado: custos fixos / faturamento. É somado ao preço dos produtos.</t>
  </si>
  <si>
    <t>Serviços: custo da hora</t>
  </si>
  <si>
    <t>Pró-labore desejado por mês (R$)</t>
  </si>
  <si>
    <t>Quanto o dono precisa tirar por mês.</t>
  </si>
  <si>
    <t>Horas produtivas por mês</t>
  </si>
  <si>
    <t>Horas realmente vendáveis (ex.: 6h x 20 dias = 120). Não use 220h.</t>
  </si>
  <si>
    <t>Custo da hora (R$)</t>
  </si>
  <si>
    <t>Calculado: (custos fixos + pró-labore) / horas produtivas.</t>
  </si>
  <si>
    <t>Dica: sem esses números, o preço calculado fica errado. Se ainda não sabe, comece com estimativas e refine depois.</t>
  </si>
  <si>
    <t>Preencha as colunas amarelas. Percentuais em branco usam o padrão da Config.</t>
  </si>
  <si>
    <t>Código</t>
  </si>
  <si>
    <t>Produto</t>
  </si>
  <si>
    <t>Categoria</t>
  </si>
  <si>
    <t>Custo de compra / produção (R$)</t>
  </si>
  <si>
    <t>Frete / embalagem por un. (R$)</t>
  </si>
  <si>
    <t>Imposto % (opcional)</t>
  </si>
  <si>
    <t>Comissão % (opcional)</t>
  </si>
  <si>
    <t>Taxa pagto % (opcional)</t>
  </si>
  <si>
    <t>Lucro % (opcional)</t>
  </si>
  <si>
    <t>Preço do concorrente (R$)</t>
  </si>
  <si>
    <t>Preço que pratico hoje (R$)</t>
  </si>
  <si>
    <t>Custo total (R$)</t>
  </si>
  <si>
    <t>% sobre o preço (soma)</t>
  </si>
  <si>
    <t>Preço calculado (exato)</t>
  </si>
  <si>
    <t>PREÇO SUGERIDO</t>
  </si>
  <si>
    <t>Markup sobre o custo</t>
  </si>
  <si>
    <t>Preço mínimo (lucro zero)</t>
  </si>
  <si>
    <t>Lucro por un. no preço atual</t>
  </si>
  <si>
    <t>Margem líquida no preço atual</t>
  </si>
  <si>
    <t>Status</t>
  </si>
  <si>
    <t>Vs. concorrente</t>
  </si>
  <si>
    <t>O custo da hora vem da Config (custos fixos + pró-labore / horas produtivas).</t>
  </si>
  <si>
    <t>Serviço</t>
  </si>
  <si>
    <t>Horas gastas</t>
  </si>
  <si>
    <t>Materiais (R$)</t>
  </si>
  <si>
    <t>Deslocamento / outros (R$)</t>
  </si>
  <si>
    <t>Custo da mão de obra (R$)</t>
  </si>
  <si>
    <t>Valor da hora no preço sugerido</t>
  </si>
  <si>
    <t>Lucro no preço atual (R$)</t>
  </si>
  <si>
    <t>Margem no preço atual</t>
  </si>
  <si>
    <t>Simulador de desconto</t>
  </si>
  <si>
    <t>Descubra quanto precisa vender a mais para não perder lucro ao dar desconto.</t>
  </si>
  <si>
    <t>Escolha o produto</t>
  </si>
  <si>
    <t>Desconto que pretendo dar (%)</t>
  </si>
  <si>
    <t>Linha do produto na lista (apoio)</t>
  </si>
  <si>
    <t>Preço atual de venda (usa o praticado; se vazio, o sugerido)</t>
  </si>
  <si>
    <t>Custo total por unidade</t>
  </si>
  <si>
    <t>% de impostos, taxas e rateio fixo sobre o preço</t>
  </si>
  <si>
    <t>Lucro por unidade hoje</t>
  </si>
  <si>
    <t>Preço com desconto</t>
  </si>
  <si>
    <t>Lucro por unidade com desconto</t>
  </si>
  <si>
    <t>Queda do lucro por unidade</t>
  </si>
  <si>
    <t>Vendas a mais para manter o MESMO lucro total</t>
  </si>
  <si>
    <t>Tabela de descontos para o produto escolhido</t>
  </si>
  <si>
    <t>Desconto</t>
  </si>
  <si>
    <t>Lucro por unidade</t>
  </si>
  <si>
    <t>Queda do lucro</t>
  </si>
  <si>
    <t>Vendas a mais necessárias</t>
  </si>
  <si>
    <t>Leitura: se o desconto exigir +50% de vendas e você não consegue vender 50% a mais, dar o desconto reduz o seu lucro total. Prefira benefícios que não reduzem o preço (frete, brinde, parcelamento).</t>
  </si>
  <si>
    <t>Saúde geral da sua precificação.</t>
  </si>
  <si>
    <t>PRODUTOS CADASTRADOS</t>
  </si>
  <si>
    <t>EM PREJUÍZO</t>
  </si>
  <si>
    <t>ABAIXO DO IDEAL</t>
  </si>
  <si>
    <t>COM PREÇO OK</t>
  </si>
  <si>
    <t>MARGEM MÉDIA ATUAL</t>
  </si>
  <si>
    <t>LUCRO DESEJADO</t>
  </si>
  <si>
    <t>SERVIÇOS EM PREJUÍZO</t>
  </si>
  <si>
    <t>CUSTO DA HORA</t>
  </si>
  <si>
    <t>Margem líquida no preço atual (primeiros 20 produtos)</t>
  </si>
</sst>
</file>

<file path=xl/styles.xml><?xml version="1.0" encoding="utf-8"?>
<styleSheet xmlns="http://schemas.openxmlformats.org/spreadsheetml/2006/main">
  <numFmts count="6">
    <numFmt numFmtId="164" formatCode="0.0%"/>
    <numFmt numFmtId="165" formatCode="&quot;R$&quot; #,##0.00;[Red]-&quot;R$&quot; #,##0.00"/>
    <numFmt numFmtId="166" formatCode="#,##0"/>
    <numFmt numFmtId="167" formatCode="0.00&quot;x&quot;"/>
    <numFmt numFmtId="168" formatCode="0.0"/>
    <numFmt numFmtId="169" formatCode="0%"/>
  </numFmts>
  <fonts count="1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2F4A3A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6" fillId="3" borderId="2" xfId="0" applyNumberFormat="1" applyFont="1" applyFill="1" applyBorder="1" applyAlignment="1" applyProtection="1">
      <alignment horizontal="right" vertical="center"/>
      <protection locked="0"/>
    </xf>
    <xf numFmtId="165" fontId="6" fillId="3" borderId="2" xfId="0" applyNumberFormat="1" applyFont="1" applyFill="1" applyBorder="1" applyAlignment="1" applyProtection="1">
      <alignment horizontal="right" vertical="center"/>
      <protection locked="0"/>
    </xf>
    <xf numFmtId="164" fontId="12" fillId="4" borderId="2" xfId="0" applyNumberFormat="1" applyFont="1" applyFill="1" applyBorder="1" applyAlignment="1">
      <alignment horizontal="right" vertical="center"/>
    </xf>
    <xf numFmtId="166" fontId="6" fillId="3" borderId="2" xfId="0" applyNumberFormat="1" applyFont="1" applyFill="1" applyBorder="1" applyAlignment="1" applyProtection="1">
      <alignment horizontal="right" vertical="center"/>
      <protection locked="0"/>
    </xf>
    <xf numFmtId="165" fontId="12" fillId="4" borderId="2" xfId="0" applyNumberFormat="1" applyFont="1" applyFill="1" applyBorder="1" applyAlignment="1">
      <alignment horizontal="right" vertical="center"/>
    </xf>
    <xf numFmtId="165" fontId="6" fillId="3" borderId="2" xfId="0" applyNumberFormat="1" applyFont="1" applyFill="1" applyBorder="1" applyAlignment="1" applyProtection="1">
      <alignment vertical="center"/>
      <protection locked="0"/>
    </xf>
    <xf numFmtId="164" fontId="6" fillId="3" borderId="2" xfId="0" applyNumberFormat="1" applyFont="1" applyFill="1" applyBorder="1" applyAlignment="1" applyProtection="1">
      <alignment vertical="center"/>
      <protection locked="0"/>
    </xf>
    <xf numFmtId="165" fontId="12" fillId="4" borderId="2" xfId="0" applyNumberFormat="1" applyFont="1" applyFill="1" applyBorder="1" applyAlignment="1">
      <alignment vertical="center"/>
    </xf>
    <xf numFmtId="164" fontId="12" fillId="4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vertical="center"/>
    </xf>
    <xf numFmtId="167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68" fontId="6" fillId="3" borderId="2" xfId="0" applyNumberFormat="1" applyFont="1" applyFill="1" applyBorder="1" applyAlignment="1" applyProtection="1">
      <alignment vertical="center"/>
      <protection locked="0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165" fontId="13" fillId="4" borderId="2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9" fontId="5" fillId="5" borderId="2" xfId="0" applyNumberFormat="1" applyFont="1" applyFill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169" fontId="12" fillId="4" borderId="2" xfId="0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166" fontId="15" fillId="6" borderId="5" xfId="0" applyNumberFormat="1" applyFont="1" applyFill="1" applyBorder="1" applyAlignment="1">
      <alignment horizontal="center" vertical="center"/>
    </xf>
    <xf numFmtId="166" fontId="16" fillId="6" borderId="5" xfId="0" applyNumberFormat="1" applyFont="1" applyFill="1" applyBorder="1" applyAlignment="1">
      <alignment horizontal="center" vertical="center"/>
    </xf>
    <xf numFmtId="166" fontId="17" fillId="6" borderId="5" xfId="0" applyNumberFormat="1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165" fontId="15" fillId="6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DC2626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DC2626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Margem por produto (quanto sobra de cada venda)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Margem no preço atual</c:v>
          </c:tx>
          <c:spPr>
            <a:solidFill>
              <a:srgbClr val="16A34A"/>
            </a:solidFill>
          </c:spPr>
          <c:invertIfNegative val="1"/>
          <c:cat>
            <c:strRef>
              <c:f>Produtos!$B$5:$B$24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Produtos!$S$5:$S$24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DC2626"/>
                  </a:solidFill>
                </c14:spPr>
              </c14:invertSolidFillFmt>
            </c:ext>
          </c:extLst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114300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1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3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20" customHeight="1">
      <c r="B10" s="5" t="s">
        <v>9</v>
      </c>
      <c r="C10" s="6" t="s">
        <v>10</v>
      </c>
    </row>
    <row r="11" spans="1:3" ht="30" customHeight="1">
      <c r="B11" s="5" t="s">
        <v>11</v>
      </c>
      <c r="C11" s="6" t="s">
        <v>12</v>
      </c>
    </row>
    <row r="12" spans="1:3" ht="3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19" spans="2:3" ht="18" customHeight="1">
      <c r="B19" s="7" t="s">
        <v>24</v>
      </c>
      <c r="C19" s="6" t="s">
        <v>25</v>
      </c>
    </row>
    <row r="21" spans="2:3">
      <c r="B21" s="3" t="s">
        <v>26</v>
      </c>
      <c r="C21" s="3"/>
    </row>
    <row r="22" spans="2:3">
      <c r="B22" s="8" t="s">
        <v>27</v>
      </c>
      <c r="C22" s="6" t="s">
        <v>28</v>
      </c>
    </row>
    <row r="23" spans="2:3">
      <c r="B23" s="9" t="s">
        <v>29</v>
      </c>
      <c r="C23" s="6" t="s">
        <v>30</v>
      </c>
    </row>
    <row r="24" spans="2:3">
      <c r="B24" s="10" t="s">
        <v>31</v>
      </c>
      <c r="C24" s="6" t="s">
        <v>32</v>
      </c>
    </row>
    <row r="26" spans="2:3">
      <c r="B26" s="3" t="s">
        <v>33</v>
      </c>
      <c r="C26" s="3"/>
    </row>
    <row r="27" spans="2:3" ht="18" customHeight="1">
      <c r="B27" s="6" t="s">
        <v>34</v>
      </c>
      <c r="C27" s="6"/>
    </row>
    <row r="28" spans="2:3" ht="30" customHeight="1">
      <c r="B28" s="6" t="s">
        <v>35</v>
      </c>
      <c r="C28" s="6"/>
    </row>
    <row r="29" spans="2:3" ht="30" customHeight="1">
      <c r="B29" s="6" t="s">
        <v>36</v>
      </c>
      <c r="C29" s="6"/>
    </row>
    <row r="31" spans="2:3">
      <c r="B31" s="11" t="s">
        <v>37</v>
      </c>
      <c r="C31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1:C21"/>
    <mergeCell ref="B26:C26"/>
    <mergeCell ref="B27:C27"/>
    <mergeCell ref="B28:C28"/>
    <mergeCell ref="B29:C29"/>
    <mergeCell ref="B31:C31"/>
  </mergeCells>
  <hyperlinks>
    <hyperlink ref="B15" location="'Config'!A1" display="Config"/>
    <hyperlink ref="B16" location="'Produtos'!A1" display="Produtos"/>
    <hyperlink ref="B17" location="'Serviços'!A1" display="Serviços"/>
    <hyperlink ref="B18" location="'Simulador'!A1" display="Simulador"/>
    <hyperlink ref="B19" location="'Resumo'!A1" display="Resumo"/>
  </hyperlink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E21"/>
  <sheetViews>
    <sheetView showGridLines="0" workbookViewId="0"/>
  </sheetViews>
  <sheetFormatPr defaultRowHeight="15"/>
  <cols>
    <col min="1" max="1" width="3.7109375" customWidth="1"/>
    <col min="2" max="2" width="46.7109375" customWidth="1"/>
    <col min="3" max="3" width="18.7109375" customWidth="1"/>
    <col min="4" max="4" width="60.7109375" customWidth="1"/>
  </cols>
  <sheetData>
    <row r="1" spans="1:5" ht="36" customHeight="1">
      <c r="A1" s="1" t="s">
        <v>38</v>
      </c>
      <c r="B1" s="1"/>
      <c r="C1" s="1"/>
      <c r="D1" s="1"/>
      <c r="E1" s="1"/>
    </row>
    <row r="2" spans="1:5" ht="20" customHeight="1">
      <c r="A2" s="2" t="s">
        <v>39</v>
      </c>
      <c r="B2" s="2"/>
      <c r="C2" s="2"/>
      <c r="D2" s="2"/>
      <c r="E2" s="2"/>
    </row>
    <row r="4" spans="1:5">
      <c r="B4" s="12" t="s">
        <v>40</v>
      </c>
      <c r="C4" s="13"/>
      <c r="D4" s="13"/>
    </row>
    <row r="5" spans="1:5">
      <c r="B5" s="3" t="s">
        <v>41</v>
      </c>
      <c r="C5" s="3"/>
      <c r="D5" s="3"/>
    </row>
    <row r="6" spans="1:5">
      <c r="B6" s="12" t="s">
        <v>42</v>
      </c>
      <c r="C6" s="14"/>
      <c r="D6" s="11" t="s">
        <v>43</v>
      </c>
    </row>
    <row r="7" spans="1:5">
      <c r="B7" s="12" t="s">
        <v>44</v>
      </c>
      <c r="C7" s="14"/>
      <c r="D7" s="11" t="s">
        <v>45</v>
      </c>
    </row>
    <row r="8" spans="1:5">
      <c r="B8" s="12" t="s">
        <v>46</v>
      </c>
      <c r="C8" s="14"/>
      <c r="D8" s="11" t="s">
        <v>47</v>
      </c>
    </row>
    <row r="9" spans="1:5">
      <c r="B9" s="12" t="s">
        <v>48</v>
      </c>
      <c r="C9" s="14"/>
      <c r="D9" s="11" t="s">
        <v>49</v>
      </c>
    </row>
    <row r="11" spans="1:5">
      <c r="B11" s="3" t="s">
        <v>50</v>
      </c>
      <c r="C11" s="3"/>
      <c r="D11" s="3"/>
    </row>
    <row r="12" spans="1:5">
      <c r="B12" s="12" t="s">
        <v>51</v>
      </c>
      <c r="C12" s="15"/>
      <c r="D12" s="11" t="s">
        <v>52</v>
      </c>
    </row>
    <row r="13" spans="1:5">
      <c r="B13" s="12" t="s">
        <v>53</v>
      </c>
      <c r="C13" s="15"/>
      <c r="D13" s="11" t="s">
        <v>54</v>
      </c>
    </row>
    <row r="14" spans="1:5">
      <c r="B14" s="12" t="s">
        <v>55</v>
      </c>
      <c r="C14" s="16">
        <f>IFERROR(C12/C13,0)</f>
        <v>0</v>
      </c>
      <c r="D14" s="11" t="s">
        <v>56</v>
      </c>
    </row>
    <row r="16" spans="1:5">
      <c r="B16" s="3" t="s">
        <v>57</v>
      </c>
      <c r="C16" s="3"/>
      <c r="D16" s="3"/>
    </row>
    <row r="17" spans="2:4">
      <c r="B17" s="12" t="s">
        <v>58</v>
      </c>
      <c r="C17" s="15"/>
      <c r="D17" s="11" t="s">
        <v>59</v>
      </c>
    </row>
    <row r="18" spans="2:4">
      <c r="B18" s="12" t="s">
        <v>60</v>
      </c>
      <c r="C18" s="17"/>
      <c r="D18" s="11" t="s">
        <v>61</v>
      </c>
    </row>
    <row r="19" spans="2:4">
      <c r="B19" s="12" t="s">
        <v>62</v>
      </c>
      <c r="C19" s="18">
        <f>IFERROR((C12+C17)/C18,0)</f>
        <v>0</v>
      </c>
      <c r="D19" s="11" t="s">
        <v>63</v>
      </c>
    </row>
    <row r="21" spans="2:4">
      <c r="B21" s="11" t="s">
        <v>64</v>
      </c>
    </row>
  </sheetData>
  <mergeCells count="6">
    <mergeCell ref="A1:E1"/>
    <mergeCell ref="A2:E2"/>
    <mergeCell ref="C4:D4"/>
    <mergeCell ref="B5:D5"/>
    <mergeCell ref="B11:D11"/>
    <mergeCell ref="B16:D16"/>
  </mergeCells>
  <dataValidations count="4">
    <dataValidation type="decimal" allowBlank="1" showInputMessage="1" showErrorMessage="1" errorTitle="Valor inválido" error="Digite um número entre 0 e 0.95." promptTitle="Dica" prompt="Digite em %, ex.: 6%" sqref="C6">
      <formula1>0</formula1>
      <formula2>0.95</formula2>
    </dataValidation>
    <dataValidation type="decimal" allowBlank="1" showInputMessage="1" showErrorMessage="1" errorTitle="Valor inválido" error="Digite um número entre 0 e 0.95." promptTitle="Dica" prompt="Digite em %, ex.: 6%" sqref="C7">
      <formula1>0</formula1>
      <formula2>0.95</formula2>
    </dataValidation>
    <dataValidation type="decimal" allowBlank="1" showInputMessage="1" showErrorMessage="1" errorTitle="Valor inválido" error="Digite um número entre 0 e 0.95." promptTitle="Dica" prompt="Digite em %, ex.: 6%" sqref="C8">
      <formula1>0</formula1>
      <formula2>0.95</formula2>
    </dataValidation>
    <dataValidation type="decimal" allowBlank="1" showInputMessage="1" showErrorMessage="1" errorTitle="Valor inválido" error="Digite um número entre 0 e 0.95." promptTitle="Dica" prompt="Digite em %, ex.: 6%" sqref="C9">
      <formula1>0</formula1>
      <formula2>0.95</formula2>
    </dataValidation>
  </dataValidation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U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28.7109375" customWidth="1"/>
    <col min="3" max="3" width="13.7109375" customWidth="1"/>
    <col min="4" max="5" width="14.7109375" customWidth="1"/>
    <col min="6" max="9" width="10.7109375" customWidth="1"/>
    <col min="10" max="11" width="13.7109375" customWidth="1"/>
    <col min="12" max="12" width="12.7109375" customWidth="1"/>
    <col min="13" max="13" width="11.7109375" customWidth="1"/>
    <col min="14" max="14" width="13.7109375" customWidth="1"/>
    <col min="15" max="15" width="14.7109375" customWidth="1"/>
    <col min="16" max="16" width="11.7109375" customWidth="1"/>
    <col min="17" max="18" width="13.7109375" customWidth="1"/>
    <col min="19" max="19" width="12.7109375" customWidth="1"/>
    <col min="20" max="20" width="17.7109375" customWidth="1"/>
    <col min="21" max="21" width="18.7109375" customWidth="1"/>
  </cols>
  <sheetData>
    <row r="1" spans="1:21" ht="36" customHeight="1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" customHeight="1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58" customHeight="1">
      <c r="A4" s="10" t="s">
        <v>66</v>
      </c>
      <c r="B4" s="10" t="s">
        <v>67</v>
      </c>
      <c r="C4" s="10" t="s">
        <v>68</v>
      </c>
      <c r="D4" s="10" t="s">
        <v>69</v>
      </c>
      <c r="E4" s="10" t="s">
        <v>70</v>
      </c>
      <c r="F4" s="10" t="s">
        <v>71</v>
      </c>
      <c r="G4" s="10" t="s">
        <v>72</v>
      </c>
      <c r="H4" s="10" t="s">
        <v>73</v>
      </c>
      <c r="I4" s="10" t="s">
        <v>74</v>
      </c>
      <c r="J4" s="10" t="s">
        <v>75</v>
      </c>
      <c r="K4" s="10" t="s">
        <v>76</v>
      </c>
      <c r="L4" s="10" t="s">
        <v>77</v>
      </c>
      <c r="M4" s="10" t="s">
        <v>78</v>
      </c>
      <c r="N4" s="10" t="s">
        <v>79</v>
      </c>
      <c r="O4" s="10" t="s">
        <v>80</v>
      </c>
      <c r="P4" s="10" t="s">
        <v>81</v>
      </c>
      <c r="Q4" s="10" t="s">
        <v>82</v>
      </c>
      <c r="R4" s="10" t="s">
        <v>83</v>
      </c>
      <c r="S4" s="10" t="s">
        <v>84</v>
      </c>
      <c r="T4" s="10" t="s">
        <v>85</v>
      </c>
      <c r="U4" s="10" t="s">
        <v>86</v>
      </c>
    </row>
    <row r="5" spans="1:21">
      <c r="A5" s="13"/>
      <c r="B5" s="13"/>
      <c r="C5" s="13"/>
      <c r="D5" s="19"/>
      <c r="E5" s="19"/>
      <c r="F5" s="20"/>
      <c r="G5" s="20"/>
      <c r="H5" s="20"/>
      <c r="I5" s="20"/>
      <c r="J5" s="19"/>
      <c r="K5" s="19"/>
      <c r="L5" s="21">
        <f>IF(OR($B5="",$D5=""),"",$D5+N($E5))</f>
        <v/>
      </c>
      <c r="M5" s="22">
        <f>IF($L5="","",IF($F5="",pImp,$F5)+IF($G5="",pCom,$G5)+IF($H5="",pTax,$H5)+pFixo+IF($I5="",pLucro,$I5))</f>
        <v/>
      </c>
      <c r="N5" s="21">
        <f>IF($L5="","",IF($M5&gt;=1,"Revisar %",$L5/(1-$M5)))</f>
        <v/>
      </c>
      <c r="O5" s="23">
        <f>IF(ISNUMBER($N5),ROUNDUP($N5,0)+IF(ROUNDUP($N5,0)-0.1&gt;=$N5,-0.1,0.9),$N5)</f>
        <v/>
      </c>
      <c r="P5" s="24">
        <f>IF(AND(ISNUMBER($O5),N($L5)&gt;0),$O5/$L5,"")</f>
        <v/>
      </c>
      <c r="Q5" s="21">
        <f>IF(ISNUMBER($N5),$L5/(1-($M5-IF($I5="",pLucro,$I5))),"")</f>
        <v/>
      </c>
      <c r="R5" s="21">
        <f>IF(OR($K5="",NOT(ISNUMBER($N5))),"",$K5*(1-($M5-IF($I5="",pLucro,$I5)))-$L5)</f>
        <v/>
      </c>
      <c r="S5" s="22">
        <f>IF($R5="","",$R5/$K5)</f>
        <v/>
      </c>
      <c r="T5" s="25">
        <f>IF($L5="","",IF(NOT(ISNUMBER($N5)),"Revisar %",IF($K5="","Sem preço atual",IF($R5&lt;0,"PREJUÍZO",IF($K5&lt;$N5,"Abaixo do ideal","OK")))))</f>
        <v/>
      </c>
      <c r="U5" s="25">
        <f>IF(OR($J5="",NOT(ISNUMBER($O5))),"",IF($O5&lt;=$J5,"Competitivo ("&amp;ROUND(($O5/$J5-1)*100,1)&amp;"%)","Acima do concorrente (+"&amp;ROUND(($O5/$J5-1)*100,1)&amp;"%)"))</f>
        <v/>
      </c>
    </row>
    <row r="6" spans="1:21">
      <c r="A6" s="13"/>
      <c r="B6" s="13"/>
      <c r="C6" s="13"/>
      <c r="D6" s="19"/>
      <c r="E6" s="19"/>
      <c r="F6" s="20"/>
      <c r="G6" s="20"/>
      <c r="H6" s="20"/>
      <c r="I6" s="20"/>
      <c r="J6" s="19"/>
      <c r="K6" s="19"/>
      <c r="L6" s="21">
        <f>IF(OR($B6="",$D6=""),"",$D6+N($E6))</f>
        <v/>
      </c>
      <c r="M6" s="22">
        <f>IF($L6="","",IF($F6="",pImp,$F6)+IF($G6="",pCom,$G6)+IF($H6="",pTax,$H6)+pFixo+IF($I6="",pLucro,$I6))</f>
        <v/>
      </c>
      <c r="N6" s="21">
        <f>IF($L6="","",IF($M6&gt;=1,"Revisar %",$L6/(1-$M6)))</f>
        <v/>
      </c>
      <c r="O6" s="23">
        <f>IF(ISNUMBER($N6),ROUNDUP($N6,0)+IF(ROUNDUP($N6,0)-0.1&gt;=$N6,-0.1,0.9),$N6)</f>
        <v/>
      </c>
      <c r="P6" s="24">
        <f>IF(AND(ISNUMBER($O6),N($L6)&gt;0),$O6/$L6,"")</f>
        <v/>
      </c>
      <c r="Q6" s="21">
        <f>IF(ISNUMBER($N6),$L6/(1-($M6-IF($I6="",pLucro,$I6))),"")</f>
        <v/>
      </c>
      <c r="R6" s="21">
        <f>IF(OR($K6="",NOT(ISNUMBER($N6))),"",$K6*(1-($M6-IF($I6="",pLucro,$I6)))-$L6)</f>
        <v/>
      </c>
      <c r="S6" s="22">
        <f>IF($R6="","",$R6/$K6)</f>
        <v/>
      </c>
      <c r="T6" s="25">
        <f>IF($L6="","",IF(NOT(ISNUMBER($N6)),"Revisar %",IF($K6="","Sem preço atual",IF($R6&lt;0,"PREJUÍZO",IF($K6&lt;$N6,"Abaixo do ideal","OK")))))</f>
        <v/>
      </c>
      <c r="U6" s="25">
        <f>IF(OR($J6="",NOT(ISNUMBER($O6))),"",IF($O6&lt;=$J6,"Competitivo ("&amp;ROUND(($O6/$J6-1)*100,1)&amp;"%)","Acima do concorrente (+"&amp;ROUND(($O6/$J6-1)*100,1)&amp;"%)"))</f>
        <v/>
      </c>
    </row>
    <row r="7" spans="1:21">
      <c r="A7" s="13"/>
      <c r="B7" s="13"/>
      <c r="C7" s="13"/>
      <c r="D7" s="19"/>
      <c r="E7" s="19"/>
      <c r="F7" s="20"/>
      <c r="G7" s="20"/>
      <c r="H7" s="20"/>
      <c r="I7" s="20"/>
      <c r="J7" s="19"/>
      <c r="K7" s="19"/>
      <c r="L7" s="21">
        <f>IF(OR($B7="",$D7=""),"",$D7+N($E7))</f>
        <v/>
      </c>
      <c r="M7" s="22">
        <f>IF($L7="","",IF($F7="",pImp,$F7)+IF($G7="",pCom,$G7)+IF($H7="",pTax,$H7)+pFixo+IF($I7="",pLucro,$I7))</f>
        <v/>
      </c>
      <c r="N7" s="21">
        <f>IF($L7="","",IF($M7&gt;=1,"Revisar %",$L7/(1-$M7)))</f>
        <v/>
      </c>
      <c r="O7" s="23">
        <f>IF(ISNUMBER($N7),ROUNDUP($N7,0)+IF(ROUNDUP($N7,0)-0.1&gt;=$N7,-0.1,0.9),$N7)</f>
        <v/>
      </c>
      <c r="P7" s="24">
        <f>IF(AND(ISNUMBER($O7),N($L7)&gt;0),$O7/$L7,"")</f>
        <v/>
      </c>
      <c r="Q7" s="21">
        <f>IF(ISNUMBER($N7),$L7/(1-($M7-IF($I7="",pLucro,$I7))),"")</f>
        <v/>
      </c>
      <c r="R7" s="21">
        <f>IF(OR($K7="",NOT(ISNUMBER($N7))),"",$K7*(1-($M7-IF($I7="",pLucro,$I7)))-$L7)</f>
        <v/>
      </c>
      <c r="S7" s="22">
        <f>IF($R7="","",$R7/$K7)</f>
        <v/>
      </c>
      <c r="T7" s="25">
        <f>IF($L7="","",IF(NOT(ISNUMBER($N7)),"Revisar %",IF($K7="","Sem preço atual",IF($R7&lt;0,"PREJUÍZO",IF($K7&lt;$N7,"Abaixo do ideal","OK")))))</f>
        <v/>
      </c>
      <c r="U7" s="25">
        <f>IF(OR($J7="",NOT(ISNUMBER($O7))),"",IF($O7&lt;=$J7,"Competitivo ("&amp;ROUND(($O7/$J7-1)*100,1)&amp;"%)","Acima do concorrente (+"&amp;ROUND(($O7/$J7-1)*100,1)&amp;"%)"))</f>
        <v/>
      </c>
    </row>
    <row r="8" spans="1:21">
      <c r="A8" s="13"/>
      <c r="B8" s="13"/>
      <c r="C8" s="13"/>
      <c r="D8" s="19"/>
      <c r="E8" s="19"/>
      <c r="F8" s="20"/>
      <c r="G8" s="20"/>
      <c r="H8" s="20"/>
      <c r="I8" s="20"/>
      <c r="J8" s="19"/>
      <c r="K8" s="19"/>
      <c r="L8" s="21">
        <f>IF(OR($B8="",$D8=""),"",$D8+N($E8))</f>
        <v/>
      </c>
      <c r="M8" s="22">
        <f>IF($L8="","",IF($F8="",pImp,$F8)+IF($G8="",pCom,$G8)+IF($H8="",pTax,$H8)+pFixo+IF($I8="",pLucro,$I8))</f>
        <v/>
      </c>
      <c r="N8" s="21">
        <f>IF($L8="","",IF($M8&gt;=1,"Revisar %",$L8/(1-$M8)))</f>
        <v/>
      </c>
      <c r="O8" s="23">
        <f>IF(ISNUMBER($N8),ROUNDUP($N8,0)+IF(ROUNDUP($N8,0)-0.1&gt;=$N8,-0.1,0.9),$N8)</f>
        <v/>
      </c>
      <c r="P8" s="24">
        <f>IF(AND(ISNUMBER($O8),N($L8)&gt;0),$O8/$L8,"")</f>
        <v/>
      </c>
      <c r="Q8" s="21">
        <f>IF(ISNUMBER($N8),$L8/(1-($M8-IF($I8="",pLucro,$I8))),"")</f>
        <v/>
      </c>
      <c r="R8" s="21">
        <f>IF(OR($K8="",NOT(ISNUMBER($N8))),"",$K8*(1-($M8-IF($I8="",pLucro,$I8)))-$L8)</f>
        <v/>
      </c>
      <c r="S8" s="22">
        <f>IF($R8="","",$R8/$K8)</f>
        <v/>
      </c>
      <c r="T8" s="25">
        <f>IF($L8="","",IF(NOT(ISNUMBER($N8)),"Revisar %",IF($K8="","Sem preço atual",IF($R8&lt;0,"PREJUÍZO",IF($K8&lt;$N8,"Abaixo do ideal","OK")))))</f>
        <v/>
      </c>
      <c r="U8" s="25">
        <f>IF(OR($J8="",NOT(ISNUMBER($O8))),"",IF($O8&lt;=$J8,"Competitivo ("&amp;ROUND(($O8/$J8-1)*100,1)&amp;"%)","Acima do concorrente (+"&amp;ROUND(($O8/$J8-1)*100,1)&amp;"%)"))</f>
        <v/>
      </c>
    </row>
    <row r="9" spans="1:21">
      <c r="A9" s="13"/>
      <c r="B9" s="13"/>
      <c r="C9" s="13"/>
      <c r="D9" s="19"/>
      <c r="E9" s="19"/>
      <c r="F9" s="20"/>
      <c r="G9" s="20"/>
      <c r="H9" s="20"/>
      <c r="I9" s="20"/>
      <c r="J9" s="19"/>
      <c r="K9" s="19"/>
      <c r="L9" s="21">
        <f>IF(OR($B9="",$D9=""),"",$D9+N($E9))</f>
        <v/>
      </c>
      <c r="M9" s="22">
        <f>IF($L9="","",IF($F9="",pImp,$F9)+IF($G9="",pCom,$G9)+IF($H9="",pTax,$H9)+pFixo+IF($I9="",pLucro,$I9))</f>
        <v/>
      </c>
      <c r="N9" s="21">
        <f>IF($L9="","",IF($M9&gt;=1,"Revisar %",$L9/(1-$M9)))</f>
        <v/>
      </c>
      <c r="O9" s="23">
        <f>IF(ISNUMBER($N9),ROUNDUP($N9,0)+IF(ROUNDUP($N9,0)-0.1&gt;=$N9,-0.1,0.9),$N9)</f>
        <v/>
      </c>
      <c r="P9" s="24">
        <f>IF(AND(ISNUMBER($O9),N($L9)&gt;0),$O9/$L9,"")</f>
        <v/>
      </c>
      <c r="Q9" s="21">
        <f>IF(ISNUMBER($N9),$L9/(1-($M9-IF($I9="",pLucro,$I9))),"")</f>
        <v/>
      </c>
      <c r="R9" s="21">
        <f>IF(OR($K9="",NOT(ISNUMBER($N9))),"",$K9*(1-($M9-IF($I9="",pLucro,$I9)))-$L9)</f>
        <v/>
      </c>
      <c r="S9" s="22">
        <f>IF($R9="","",$R9/$K9)</f>
        <v/>
      </c>
      <c r="T9" s="25">
        <f>IF($L9="","",IF(NOT(ISNUMBER($N9)),"Revisar %",IF($K9="","Sem preço atual",IF($R9&lt;0,"PREJUÍZO",IF($K9&lt;$N9,"Abaixo do ideal","OK")))))</f>
        <v/>
      </c>
      <c r="U9" s="25">
        <f>IF(OR($J9="",NOT(ISNUMBER($O9))),"",IF($O9&lt;=$J9,"Competitivo ("&amp;ROUND(($O9/$J9-1)*100,1)&amp;"%)","Acima do concorrente (+"&amp;ROUND(($O9/$J9-1)*100,1)&amp;"%)"))</f>
        <v/>
      </c>
    </row>
    <row r="10" spans="1:21">
      <c r="A10" s="13"/>
      <c r="B10" s="13"/>
      <c r="C10" s="13"/>
      <c r="D10" s="19"/>
      <c r="E10" s="19"/>
      <c r="F10" s="20"/>
      <c r="G10" s="20"/>
      <c r="H10" s="20"/>
      <c r="I10" s="20"/>
      <c r="J10" s="19"/>
      <c r="K10" s="19"/>
      <c r="L10" s="21">
        <f>IF(OR($B10="",$D10=""),"",$D10+N($E10))</f>
        <v/>
      </c>
      <c r="M10" s="22">
        <f>IF($L10="","",IF($F10="",pImp,$F10)+IF($G10="",pCom,$G10)+IF($H10="",pTax,$H10)+pFixo+IF($I10="",pLucro,$I10))</f>
        <v/>
      </c>
      <c r="N10" s="21">
        <f>IF($L10="","",IF($M10&gt;=1,"Revisar %",$L10/(1-$M10)))</f>
        <v/>
      </c>
      <c r="O10" s="23">
        <f>IF(ISNUMBER($N10),ROUNDUP($N10,0)+IF(ROUNDUP($N10,0)-0.1&gt;=$N10,-0.1,0.9),$N10)</f>
        <v/>
      </c>
      <c r="P10" s="24">
        <f>IF(AND(ISNUMBER($O10),N($L10)&gt;0),$O10/$L10,"")</f>
        <v/>
      </c>
      <c r="Q10" s="21">
        <f>IF(ISNUMBER($N10),$L10/(1-($M10-IF($I10="",pLucro,$I10))),"")</f>
        <v/>
      </c>
      <c r="R10" s="21">
        <f>IF(OR($K10="",NOT(ISNUMBER($N10))),"",$K10*(1-($M10-IF($I10="",pLucro,$I10)))-$L10)</f>
        <v/>
      </c>
      <c r="S10" s="22">
        <f>IF($R10="","",$R10/$K10)</f>
        <v/>
      </c>
      <c r="T10" s="25">
        <f>IF($L10="","",IF(NOT(ISNUMBER($N10)),"Revisar %",IF($K10="","Sem preço atual",IF($R10&lt;0,"PREJUÍZO",IF($K10&lt;$N10,"Abaixo do ideal","OK")))))</f>
        <v/>
      </c>
      <c r="U10" s="25">
        <f>IF(OR($J10="",NOT(ISNUMBER($O10))),"",IF($O10&lt;=$J10,"Competitivo ("&amp;ROUND(($O10/$J10-1)*100,1)&amp;"%)","Acima do concorrente (+"&amp;ROUND(($O10/$J10-1)*100,1)&amp;"%)"))</f>
        <v/>
      </c>
    </row>
    <row r="11" spans="1:21">
      <c r="A11" s="13"/>
      <c r="B11" s="13"/>
      <c r="C11" s="13"/>
      <c r="D11" s="19"/>
      <c r="E11" s="19"/>
      <c r="F11" s="20"/>
      <c r="G11" s="20"/>
      <c r="H11" s="20"/>
      <c r="I11" s="20"/>
      <c r="J11" s="19"/>
      <c r="K11" s="19"/>
      <c r="L11" s="21">
        <f>IF(OR($B11="",$D11=""),"",$D11+N($E11))</f>
        <v/>
      </c>
      <c r="M11" s="22">
        <f>IF($L11="","",IF($F11="",pImp,$F11)+IF($G11="",pCom,$G11)+IF($H11="",pTax,$H11)+pFixo+IF($I11="",pLucro,$I11))</f>
        <v/>
      </c>
      <c r="N11" s="21">
        <f>IF($L11="","",IF($M11&gt;=1,"Revisar %",$L11/(1-$M11)))</f>
        <v/>
      </c>
      <c r="O11" s="23">
        <f>IF(ISNUMBER($N11),ROUNDUP($N11,0)+IF(ROUNDUP($N11,0)-0.1&gt;=$N11,-0.1,0.9),$N11)</f>
        <v/>
      </c>
      <c r="P11" s="24">
        <f>IF(AND(ISNUMBER($O11),N($L11)&gt;0),$O11/$L11,"")</f>
        <v/>
      </c>
      <c r="Q11" s="21">
        <f>IF(ISNUMBER($N11),$L11/(1-($M11-IF($I11="",pLucro,$I11))),"")</f>
        <v/>
      </c>
      <c r="R11" s="21">
        <f>IF(OR($K11="",NOT(ISNUMBER($N11))),"",$K11*(1-($M11-IF($I11="",pLucro,$I11)))-$L11)</f>
        <v/>
      </c>
      <c r="S11" s="22">
        <f>IF($R11="","",$R11/$K11)</f>
        <v/>
      </c>
      <c r="T11" s="25">
        <f>IF($L11="","",IF(NOT(ISNUMBER($N11)),"Revisar %",IF($K11="","Sem preço atual",IF($R11&lt;0,"PREJUÍZO",IF($K11&lt;$N11,"Abaixo do ideal","OK")))))</f>
        <v/>
      </c>
      <c r="U11" s="25">
        <f>IF(OR($J11="",NOT(ISNUMBER($O11))),"",IF($O11&lt;=$J11,"Competitivo ("&amp;ROUND(($O11/$J11-1)*100,1)&amp;"%)","Acima do concorrente (+"&amp;ROUND(($O11/$J11-1)*100,1)&amp;"%)"))</f>
        <v/>
      </c>
    </row>
    <row r="12" spans="1:21">
      <c r="A12" s="13"/>
      <c r="B12" s="13"/>
      <c r="C12" s="13"/>
      <c r="D12" s="19"/>
      <c r="E12" s="19"/>
      <c r="F12" s="20"/>
      <c r="G12" s="20"/>
      <c r="H12" s="20"/>
      <c r="I12" s="20"/>
      <c r="J12" s="19"/>
      <c r="K12" s="19"/>
      <c r="L12" s="21">
        <f>IF(OR($B12="",$D12=""),"",$D12+N($E12))</f>
        <v/>
      </c>
      <c r="M12" s="22">
        <f>IF($L12="","",IF($F12="",pImp,$F12)+IF($G12="",pCom,$G12)+IF($H12="",pTax,$H12)+pFixo+IF($I12="",pLucro,$I12))</f>
        <v/>
      </c>
      <c r="N12" s="21">
        <f>IF($L12="","",IF($M12&gt;=1,"Revisar %",$L12/(1-$M12)))</f>
        <v/>
      </c>
      <c r="O12" s="23">
        <f>IF(ISNUMBER($N12),ROUNDUP($N12,0)+IF(ROUNDUP($N12,0)-0.1&gt;=$N12,-0.1,0.9),$N12)</f>
        <v/>
      </c>
      <c r="P12" s="24">
        <f>IF(AND(ISNUMBER($O12),N($L12)&gt;0),$O12/$L12,"")</f>
        <v/>
      </c>
      <c r="Q12" s="21">
        <f>IF(ISNUMBER($N12),$L12/(1-($M12-IF($I12="",pLucro,$I12))),"")</f>
        <v/>
      </c>
      <c r="R12" s="21">
        <f>IF(OR($K12="",NOT(ISNUMBER($N12))),"",$K12*(1-($M12-IF($I12="",pLucro,$I12)))-$L12)</f>
        <v/>
      </c>
      <c r="S12" s="22">
        <f>IF($R12="","",$R12/$K12)</f>
        <v/>
      </c>
      <c r="T12" s="25">
        <f>IF($L12="","",IF(NOT(ISNUMBER($N12)),"Revisar %",IF($K12="","Sem preço atual",IF($R12&lt;0,"PREJUÍZO",IF($K12&lt;$N12,"Abaixo do ideal","OK")))))</f>
        <v/>
      </c>
      <c r="U12" s="25">
        <f>IF(OR($J12="",NOT(ISNUMBER($O12))),"",IF($O12&lt;=$J12,"Competitivo ("&amp;ROUND(($O12/$J12-1)*100,1)&amp;"%)","Acima do concorrente (+"&amp;ROUND(($O12/$J12-1)*100,1)&amp;"%)"))</f>
        <v/>
      </c>
    </row>
    <row r="13" spans="1:21">
      <c r="A13" s="13"/>
      <c r="B13" s="13"/>
      <c r="C13" s="13"/>
      <c r="D13" s="19"/>
      <c r="E13" s="19"/>
      <c r="F13" s="20"/>
      <c r="G13" s="20"/>
      <c r="H13" s="20"/>
      <c r="I13" s="20"/>
      <c r="J13" s="19"/>
      <c r="K13" s="19"/>
      <c r="L13" s="21">
        <f>IF(OR($B13="",$D13=""),"",$D13+N($E13))</f>
        <v/>
      </c>
      <c r="M13" s="22">
        <f>IF($L13="","",IF($F13="",pImp,$F13)+IF($G13="",pCom,$G13)+IF($H13="",pTax,$H13)+pFixo+IF($I13="",pLucro,$I13))</f>
        <v/>
      </c>
      <c r="N13" s="21">
        <f>IF($L13="","",IF($M13&gt;=1,"Revisar %",$L13/(1-$M13)))</f>
        <v/>
      </c>
      <c r="O13" s="23">
        <f>IF(ISNUMBER($N13),ROUNDUP($N13,0)+IF(ROUNDUP($N13,0)-0.1&gt;=$N13,-0.1,0.9),$N13)</f>
        <v/>
      </c>
      <c r="P13" s="24">
        <f>IF(AND(ISNUMBER($O13),N($L13)&gt;0),$O13/$L13,"")</f>
        <v/>
      </c>
      <c r="Q13" s="21">
        <f>IF(ISNUMBER($N13),$L13/(1-($M13-IF($I13="",pLucro,$I13))),"")</f>
        <v/>
      </c>
      <c r="R13" s="21">
        <f>IF(OR($K13="",NOT(ISNUMBER($N13))),"",$K13*(1-($M13-IF($I13="",pLucro,$I13)))-$L13)</f>
        <v/>
      </c>
      <c r="S13" s="22">
        <f>IF($R13="","",$R13/$K13)</f>
        <v/>
      </c>
      <c r="T13" s="25">
        <f>IF($L13="","",IF(NOT(ISNUMBER($N13)),"Revisar %",IF($K13="","Sem preço atual",IF($R13&lt;0,"PREJUÍZO",IF($K13&lt;$N13,"Abaixo do ideal","OK")))))</f>
        <v/>
      </c>
      <c r="U13" s="25">
        <f>IF(OR($J13="",NOT(ISNUMBER($O13))),"",IF($O13&lt;=$J13,"Competitivo ("&amp;ROUND(($O13/$J13-1)*100,1)&amp;"%)","Acima do concorrente (+"&amp;ROUND(($O13/$J13-1)*100,1)&amp;"%)"))</f>
        <v/>
      </c>
    </row>
    <row r="14" spans="1:21">
      <c r="A14" s="13"/>
      <c r="B14" s="13"/>
      <c r="C14" s="13"/>
      <c r="D14" s="19"/>
      <c r="E14" s="19"/>
      <c r="F14" s="20"/>
      <c r="G14" s="20"/>
      <c r="H14" s="20"/>
      <c r="I14" s="20"/>
      <c r="J14" s="19"/>
      <c r="K14" s="19"/>
      <c r="L14" s="21">
        <f>IF(OR($B14="",$D14=""),"",$D14+N($E14))</f>
        <v/>
      </c>
      <c r="M14" s="22">
        <f>IF($L14="","",IF($F14="",pImp,$F14)+IF($G14="",pCom,$G14)+IF($H14="",pTax,$H14)+pFixo+IF($I14="",pLucro,$I14))</f>
        <v/>
      </c>
      <c r="N14" s="21">
        <f>IF($L14="","",IF($M14&gt;=1,"Revisar %",$L14/(1-$M14)))</f>
        <v/>
      </c>
      <c r="O14" s="23">
        <f>IF(ISNUMBER($N14),ROUNDUP($N14,0)+IF(ROUNDUP($N14,0)-0.1&gt;=$N14,-0.1,0.9),$N14)</f>
        <v/>
      </c>
      <c r="P14" s="24">
        <f>IF(AND(ISNUMBER($O14),N($L14)&gt;0),$O14/$L14,"")</f>
        <v/>
      </c>
      <c r="Q14" s="21">
        <f>IF(ISNUMBER($N14),$L14/(1-($M14-IF($I14="",pLucro,$I14))),"")</f>
        <v/>
      </c>
      <c r="R14" s="21">
        <f>IF(OR($K14="",NOT(ISNUMBER($N14))),"",$K14*(1-($M14-IF($I14="",pLucro,$I14)))-$L14)</f>
        <v/>
      </c>
      <c r="S14" s="22">
        <f>IF($R14="","",$R14/$K14)</f>
        <v/>
      </c>
      <c r="T14" s="25">
        <f>IF($L14="","",IF(NOT(ISNUMBER($N14)),"Revisar %",IF($K14="","Sem preço atual",IF($R14&lt;0,"PREJUÍZO",IF($K14&lt;$N14,"Abaixo do ideal","OK")))))</f>
        <v/>
      </c>
      <c r="U14" s="25">
        <f>IF(OR($J14="",NOT(ISNUMBER($O14))),"",IF($O14&lt;=$J14,"Competitivo ("&amp;ROUND(($O14/$J14-1)*100,1)&amp;"%)","Acima do concorrente (+"&amp;ROUND(($O14/$J14-1)*100,1)&amp;"%)"))</f>
        <v/>
      </c>
    </row>
    <row r="15" spans="1:21">
      <c r="A15" s="13"/>
      <c r="B15" s="13"/>
      <c r="C15" s="13"/>
      <c r="D15" s="19"/>
      <c r="E15" s="19"/>
      <c r="F15" s="20"/>
      <c r="G15" s="20"/>
      <c r="H15" s="20"/>
      <c r="I15" s="20"/>
      <c r="J15" s="19"/>
      <c r="K15" s="19"/>
      <c r="L15" s="21">
        <f>IF(OR($B15="",$D15=""),"",$D15+N($E15))</f>
        <v/>
      </c>
      <c r="M15" s="22">
        <f>IF($L15="","",IF($F15="",pImp,$F15)+IF($G15="",pCom,$G15)+IF($H15="",pTax,$H15)+pFixo+IF($I15="",pLucro,$I15))</f>
        <v/>
      </c>
      <c r="N15" s="21">
        <f>IF($L15="","",IF($M15&gt;=1,"Revisar %",$L15/(1-$M15)))</f>
        <v/>
      </c>
      <c r="O15" s="23">
        <f>IF(ISNUMBER($N15),ROUNDUP($N15,0)+IF(ROUNDUP($N15,0)-0.1&gt;=$N15,-0.1,0.9),$N15)</f>
        <v/>
      </c>
      <c r="P15" s="24">
        <f>IF(AND(ISNUMBER($O15),N($L15)&gt;0),$O15/$L15,"")</f>
        <v/>
      </c>
      <c r="Q15" s="21">
        <f>IF(ISNUMBER($N15),$L15/(1-($M15-IF($I15="",pLucro,$I15))),"")</f>
        <v/>
      </c>
      <c r="R15" s="21">
        <f>IF(OR($K15="",NOT(ISNUMBER($N15))),"",$K15*(1-($M15-IF($I15="",pLucro,$I15)))-$L15)</f>
        <v/>
      </c>
      <c r="S15" s="22">
        <f>IF($R15="","",$R15/$K15)</f>
        <v/>
      </c>
      <c r="T15" s="25">
        <f>IF($L15="","",IF(NOT(ISNUMBER($N15)),"Revisar %",IF($K15="","Sem preço atual",IF($R15&lt;0,"PREJUÍZO",IF($K15&lt;$N15,"Abaixo do ideal","OK")))))</f>
        <v/>
      </c>
      <c r="U15" s="25">
        <f>IF(OR($J15="",NOT(ISNUMBER($O15))),"",IF($O15&lt;=$J15,"Competitivo ("&amp;ROUND(($O15/$J15-1)*100,1)&amp;"%)","Acima do concorrente (+"&amp;ROUND(($O15/$J15-1)*100,1)&amp;"%)"))</f>
        <v/>
      </c>
    </row>
    <row r="16" spans="1:21">
      <c r="A16" s="13"/>
      <c r="B16" s="13"/>
      <c r="C16" s="13"/>
      <c r="D16" s="19"/>
      <c r="E16" s="19"/>
      <c r="F16" s="20"/>
      <c r="G16" s="20"/>
      <c r="H16" s="20"/>
      <c r="I16" s="20"/>
      <c r="J16" s="19"/>
      <c r="K16" s="19"/>
      <c r="L16" s="21">
        <f>IF(OR($B16="",$D16=""),"",$D16+N($E16))</f>
        <v/>
      </c>
      <c r="M16" s="22">
        <f>IF($L16="","",IF($F16="",pImp,$F16)+IF($G16="",pCom,$G16)+IF($H16="",pTax,$H16)+pFixo+IF($I16="",pLucro,$I16))</f>
        <v/>
      </c>
      <c r="N16" s="21">
        <f>IF($L16="","",IF($M16&gt;=1,"Revisar %",$L16/(1-$M16)))</f>
        <v/>
      </c>
      <c r="O16" s="23">
        <f>IF(ISNUMBER($N16),ROUNDUP($N16,0)+IF(ROUNDUP($N16,0)-0.1&gt;=$N16,-0.1,0.9),$N16)</f>
        <v/>
      </c>
      <c r="P16" s="24">
        <f>IF(AND(ISNUMBER($O16),N($L16)&gt;0),$O16/$L16,"")</f>
        <v/>
      </c>
      <c r="Q16" s="21">
        <f>IF(ISNUMBER($N16),$L16/(1-($M16-IF($I16="",pLucro,$I16))),"")</f>
        <v/>
      </c>
      <c r="R16" s="21">
        <f>IF(OR($K16="",NOT(ISNUMBER($N16))),"",$K16*(1-($M16-IF($I16="",pLucro,$I16)))-$L16)</f>
        <v/>
      </c>
      <c r="S16" s="22">
        <f>IF($R16="","",$R16/$K16)</f>
        <v/>
      </c>
      <c r="T16" s="25">
        <f>IF($L16="","",IF(NOT(ISNUMBER($N16)),"Revisar %",IF($K16="","Sem preço atual",IF($R16&lt;0,"PREJUÍZO",IF($K16&lt;$N16,"Abaixo do ideal","OK")))))</f>
        <v/>
      </c>
      <c r="U16" s="25">
        <f>IF(OR($J16="",NOT(ISNUMBER($O16))),"",IF($O16&lt;=$J16,"Competitivo ("&amp;ROUND(($O16/$J16-1)*100,1)&amp;"%)","Acima do concorrente (+"&amp;ROUND(($O16/$J16-1)*100,1)&amp;"%)"))</f>
        <v/>
      </c>
    </row>
    <row r="17" spans="1:21">
      <c r="A17" s="13"/>
      <c r="B17" s="13"/>
      <c r="C17" s="13"/>
      <c r="D17" s="19"/>
      <c r="E17" s="19"/>
      <c r="F17" s="20"/>
      <c r="G17" s="20"/>
      <c r="H17" s="20"/>
      <c r="I17" s="20"/>
      <c r="J17" s="19"/>
      <c r="K17" s="19"/>
      <c r="L17" s="21">
        <f>IF(OR($B17="",$D17=""),"",$D17+N($E17))</f>
        <v/>
      </c>
      <c r="M17" s="22">
        <f>IF($L17="","",IF($F17="",pImp,$F17)+IF($G17="",pCom,$G17)+IF($H17="",pTax,$H17)+pFixo+IF($I17="",pLucro,$I17))</f>
        <v/>
      </c>
      <c r="N17" s="21">
        <f>IF($L17="","",IF($M17&gt;=1,"Revisar %",$L17/(1-$M17)))</f>
        <v/>
      </c>
      <c r="O17" s="23">
        <f>IF(ISNUMBER($N17),ROUNDUP($N17,0)+IF(ROUNDUP($N17,0)-0.1&gt;=$N17,-0.1,0.9),$N17)</f>
        <v/>
      </c>
      <c r="P17" s="24">
        <f>IF(AND(ISNUMBER($O17),N($L17)&gt;0),$O17/$L17,"")</f>
        <v/>
      </c>
      <c r="Q17" s="21">
        <f>IF(ISNUMBER($N17),$L17/(1-($M17-IF($I17="",pLucro,$I17))),"")</f>
        <v/>
      </c>
      <c r="R17" s="21">
        <f>IF(OR($K17="",NOT(ISNUMBER($N17))),"",$K17*(1-($M17-IF($I17="",pLucro,$I17)))-$L17)</f>
        <v/>
      </c>
      <c r="S17" s="22">
        <f>IF($R17="","",$R17/$K17)</f>
        <v/>
      </c>
      <c r="T17" s="25">
        <f>IF($L17="","",IF(NOT(ISNUMBER($N17)),"Revisar %",IF($K17="","Sem preço atual",IF($R17&lt;0,"PREJUÍZO",IF($K17&lt;$N17,"Abaixo do ideal","OK")))))</f>
        <v/>
      </c>
      <c r="U17" s="25">
        <f>IF(OR($J17="",NOT(ISNUMBER($O17))),"",IF($O17&lt;=$J17,"Competitivo ("&amp;ROUND(($O17/$J17-1)*100,1)&amp;"%)","Acima do concorrente (+"&amp;ROUND(($O17/$J17-1)*100,1)&amp;"%)"))</f>
        <v/>
      </c>
    </row>
    <row r="18" spans="1:21">
      <c r="A18" s="13"/>
      <c r="B18" s="13"/>
      <c r="C18" s="13"/>
      <c r="D18" s="19"/>
      <c r="E18" s="19"/>
      <c r="F18" s="20"/>
      <c r="G18" s="20"/>
      <c r="H18" s="20"/>
      <c r="I18" s="20"/>
      <c r="J18" s="19"/>
      <c r="K18" s="19"/>
      <c r="L18" s="21">
        <f>IF(OR($B18="",$D18=""),"",$D18+N($E18))</f>
        <v/>
      </c>
      <c r="M18" s="22">
        <f>IF($L18="","",IF($F18="",pImp,$F18)+IF($G18="",pCom,$G18)+IF($H18="",pTax,$H18)+pFixo+IF($I18="",pLucro,$I18))</f>
        <v/>
      </c>
      <c r="N18" s="21">
        <f>IF($L18="","",IF($M18&gt;=1,"Revisar %",$L18/(1-$M18)))</f>
        <v/>
      </c>
      <c r="O18" s="23">
        <f>IF(ISNUMBER($N18),ROUNDUP($N18,0)+IF(ROUNDUP($N18,0)-0.1&gt;=$N18,-0.1,0.9),$N18)</f>
        <v/>
      </c>
      <c r="P18" s="24">
        <f>IF(AND(ISNUMBER($O18),N($L18)&gt;0),$O18/$L18,"")</f>
        <v/>
      </c>
      <c r="Q18" s="21">
        <f>IF(ISNUMBER($N18),$L18/(1-($M18-IF($I18="",pLucro,$I18))),"")</f>
        <v/>
      </c>
      <c r="R18" s="21">
        <f>IF(OR($K18="",NOT(ISNUMBER($N18))),"",$K18*(1-($M18-IF($I18="",pLucro,$I18)))-$L18)</f>
        <v/>
      </c>
      <c r="S18" s="22">
        <f>IF($R18="","",$R18/$K18)</f>
        <v/>
      </c>
      <c r="T18" s="25">
        <f>IF($L18="","",IF(NOT(ISNUMBER($N18)),"Revisar %",IF($K18="","Sem preço atual",IF($R18&lt;0,"PREJUÍZO",IF($K18&lt;$N18,"Abaixo do ideal","OK")))))</f>
        <v/>
      </c>
      <c r="U18" s="25">
        <f>IF(OR($J18="",NOT(ISNUMBER($O18))),"",IF($O18&lt;=$J18,"Competitivo ("&amp;ROUND(($O18/$J18-1)*100,1)&amp;"%)","Acima do concorrente (+"&amp;ROUND(($O18/$J18-1)*100,1)&amp;"%)"))</f>
        <v/>
      </c>
    </row>
    <row r="19" spans="1:21">
      <c r="A19" s="13"/>
      <c r="B19" s="13"/>
      <c r="C19" s="13"/>
      <c r="D19" s="19"/>
      <c r="E19" s="19"/>
      <c r="F19" s="20"/>
      <c r="G19" s="20"/>
      <c r="H19" s="20"/>
      <c r="I19" s="20"/>
      <c r="J19" s="19"/>
      <c r="K19" s="19"/>
      <c r="L19" s="21">
        <f>IF(OR($B19="",$D19=""),"",$D19+N($E19))</f>
        <v/>
      </c>
      <c r="M19" s="22">
        <f>IF($L19="","",IF($F19="",pImp,$F19)+IF($G19="",pCom,$G19)+IF($H19="",pTax,$H19)+pFixo+IF($I19="",pLucro,$I19))</f>
        <v/>
      </c>
      <c r="N19" s="21">
        <f>IF($L19="","",IF($M19&gt;=1,"Revisar %",$L19/(1-$M19)))</f>
        <v/>
      </c>
      <c r="O19" s="23">
        <f>IF(ISNUMBER($N19),ROUNDUP($N19,0)+IF(ROUNDUP($N19,0)-0.1&gt;=$N19,-0.1,0.9),$N19)</f>
        <v/>
      </c>
      <c r="P19" s="24">
        <f>IF(AND(ISNUMBER($O19),N($L19)&gt;0),$O19/$L19,"")</f>
        <v/>
      </c>
      <c r="Q19" s="21">
        <f>IF(ISNUMBER($N19),$L19/(1-($M19-IF($I19="",pLucro,$I19))),"")</f>
        <v/>
      </c>
      <c r="R19" s="21">
        <f>IF(OR($K19="",NOT(ISNUMBER($N19))),"",$K19*(1-($M19-IF($I19="",pLucro,$I19)))-$L19)</f>
        <v/>
      </c>
      <c r="S19" s="22">
        <f>IF($R19="","",$R19/$K19)</f>
        <v/>
      </c>
      <c r="T19" s="25">
        <f>IF($L19="","",IF(NOT(ISNUMBER($N19)),"Revisar %",IF($K19="","Sem preço atual",IF($R19&lt;0,"PREJUÍZO",IF($K19&lt;$N19,"Abaixo do ideal","OK")))))</f>
        <v/>
      </c>
      <c r="U19" s="25">
        <f>IF(OR($J19="",NOT(ISNUMBER($O19))),"",IF($O19&lt;=$J19,"Competitivo ("&amp;ROUND(($O19/$J19-1)*100,1)&amp;"%)","Acima do concorrente (+"&amp;ROUND(($O19/$J19-1)*100,1)&amp;"%)"))</f>
        <v/>
      </c>
    </row>
    <row r="20" spans="1:21">
      <c r="A20" s="13"/>
      <c r="B20" s="13"/>
      <c r="C20" s="13"/>
      <c r="D20" s="19"/>
      <c r="E20" s="19"/>
      <c r="F20" s="20"/>
      <c r="G20" s="20"/>
      <c r="H20" s="20"/>
      <c r="I20" s="20"/>
      <c r="J20" s="19"/>
      <c r="K20" s="19"/>
      <c r="L20" s="21">
        <f>IF(OR($B20="",$D20=""),"",$D20+N($E20))</f>
        <v/>
      </c>
      <c r="M20" s="22">
        <f>IF($L20="","",IF($F20="",pImp,$F20)+IF($G20="",pCom,$G20)+IF($H20="",pTax,$H20)+pFixo+IF($I20="",pLucro,$I20))</f>
        <v/>
      </c>
      <c r="N20" s="21">
        <f>IF($L20="","",IF($M20&gt;=1,"Revisar %",$L20/(1-$M20)))</f>
        <v/>
      </c>
      <c r="O20" s="23">
        <f>IF(ISNUMBER($N20),ROUNDUP($N20,0)+IF(ROUNDUP($N20,0)-0.1&gt;=$N20,-0.1,0.9),$N20)</f>
        <v/>
      </c>
      <c r="P20" s="24">
        <f>IF(AND(ISNUMBER($O20),N($L20)&gt;0),$O20/$L20,"")</f>
        <v/>
      </c>
      <c r="Q20" s="21">
        <f>IF(ISNUMBER($N20),$L20/(1-($M20-IF($I20="",pLucro,$I20))),"")</f>
        <v/>
      </c>
      <c r="R20" s="21">
        <f>IF(OR($K20="",NOT(ISNUMBER($N20))),"",$K20*(1-($M20-IF($I20="",pLucro,$I20)))-$L20)</f>
        <v/>
      </c>
      <c r="S20" s="22">
        <f>IF($R20="","",$R20/$K20)</f>
        <v/>
      </c>
      <c r="T20" s="25">
        <f>IF($L20="","",IF(NOT(ISNUMBER($N20)),"Revisar %",IF($K20="","Sem preço atual",IF($R20&lt;0,"PREJUÍZO",IF($K20&lt;$N20,"Abaixo do ideal","OK")))))</f>
        <v/>
      </c>
      <c r="U20" s="25">
        <f>IF(OR($J20="",NOT(ISNUMBER($O20))),"",IF($O20&lt;=$J20,"Competitivo ("&amp;ROUND(($O20/$J20-1)*100,1)&amp;"%)","Acima do concorrente (+"&amp;ROUND(($O20/$J20-1)*100,1)&amp;"%)"))</f>
        <v/>
      </c>
    </row>
    <row r="21" spans="1:21">
      <c r="A21" s="13"/>
      <c r="B21" s="13"/>
      <c r="C21" s="13"/>
      <c r="D21" s="19"/>
      <c r="E21" s="19"/>
      <c r="F21" s="20"/>
      <c r="G21" s="20"/>
      <c r="H21" s="20"/>
      <c r="I21" s="20"/>
      <c r="J21" s="19"/>
      <c r="K21" s="19"/>
      <c r="L21" s="21">
        <f>IF(OR($B21="",$D21=""),"",$D21+N($E21))</f>
        <v/>
      </c>
      <c r="M21" s="22">
        <f>IF($L21="","",IF($F21="",pImp,$F21)+IF($G21="",pCom,$G21)+IF($H21="",pTax,$H21)+pFixo+IF($I21="",pLucro,$I21))</f>
        <v/>
      </c>
      <c r="N21" s="21">
        <f>IF($L21="","",IF($M21&gt;=1,"Revisar %",$L21/(1-$M21)))</f>
        <v/>
      </c>
      <c r="O21" s="23">
        <f>IF(ISNUMBER($N21),ROUNDUP($N21,0)+IF(ROUNDUP($N21,0)-0.1&gt;=$N21,-0.1,0.9),$N21)</f>
        <v/>
      </c>
      <c r="P21" s="24">
        <f>IF(AND(ISNUMBER($O21),N($L21)&gt;0),$O21/$L21,"")</f>
        <v/>
      </c>
      <c r="Q21" s="21">
        <f>IF(ISNUMBER($N21),$L21/(1-($M21-IF($I21="",pLucro,$I21))),"")</f>
        <v/>
      </c>
      <c r="R21" s="21">
        <f>IF(OR($K21="",NOT(ISNUMBER($N21))),"",$K21*(1-($M21-IF($I21="",pLucro,$I21)))-$L21)</f>
        <v/>
      </c>
      <c r="S21" s="22">
        <f>IF($R21="","",$R21/$K21)</f>
        <v/>
      </c>
      <c r="T21" s="25">
        <f>IF($L21="","",IF(NOT(ISNUMBER($N21)),"Revisar %",IF($K21="","Sem preço atual",IF($R21&lt;0,"PREJUÍZO",IF($K21&lt;$N21,"Abaixo do ideal","OK")))))</f>
        <v/>
      </c>
      <c r="U21" s="25">
        <f>IF(OR($J21="",NOT(ISNUMBER($O21))),"",IF($O21&lt;=$J21,"Competitivo ("&amp;ROUND(($O21/$J21-1)*100,1)&amp;"%)","Acima do concorrente (+"&amp;ROUND(($O21/$J21-1)*100,1)&amp;"%)"))</f>
        <v/>
      </c>
    </row>
    <row r="22" spans="1:21">
      <c r="A22" s="13"/>
      <c r="B22" s="13"/>
      <c r="C22" s="13"/>
      <c r="D22" s="19"/>
      <c r="E22" s="19"/>
      <c r="F22" s="20"/>
      <c r="G22" s="20"/>
      <c r="H22" s="20"/>
      <c r="I22" s="20"/>
      <c r="J22" s="19"/>
      <c r="K22" s="19"/>
      <c r="L22" s="21">
        <f>IF(OR($B22="",$D22=""),"",$D22+N($E22))</f>
        <v/>
      </c>
      <c r="M22" s="22">
        <f>IF($L22="","",IF($F22="",pImp,$F22)+IF($G22="",pCom,$G22)+IF($H22="",pTax,$H22)+pFixo+IF($I22="",pLucro,$I22))</f>
        <v/>
      </c>
      <c r="N22" s="21">
        <f>IF($L22="","",IF($M22&gt;=1,"Revisar %",$L22/(1-$M22)))</f>
        <v/>
      </c>
      <c r="O22" s="23">
        <f>IF(ISNUMBER($N22),ROUNDUP($N22,0)+IF(ROUNDUP($N22,0)-0.1&gt;=$N22,-0.1,0.9),$N22)</f>
        <v/>
      </c>
      <c r="P22" s="24">
        <f>IF(AND(ISNUMBER($O22),N($L22)&gt;0),$O22/$L22,"")</f>
        <v/>
      </c>
      <c r="Q22" s="21">
        <f>IF(ISNUMBER($N22),$L22/(1-($M22-IF($I22="",pLucro,$I22))),"")</f>
        <v/>
      </c>
      <c r="R22" s="21">
        <f>IF(OR($K22="",NOT(ISNUMBER($N22))),"",$K22*(1-($M22-IF($I22="",pLucro,$I22)))-$L22)</f>
        <v/>
      </c>
      <c r="S22" s="22">
        <f>IF($R22="","",$R22/$K22)</f>
        <v/>
      </c>
      <c r="T22" s="25">
        <f>IF($L22="","",IF(NOT(ISNUMBER($N22)),"Revisar %",IF($K22="","Sem preço atual",IF($R22&lt;0,"PREJUÍZO",IF($K22&lt;$N22,"Abaixo do ideal","OK")))))</f>
        <v/>
      </c>
      <c r="U22" s="25">
        <f>IF(OR($J22="",NOT(ISNUMBER($O22))),"",IF($O22&lt;=$J22,"Competitivo ("&amp;ROUND(($O22/$J22-1)*100,1)&amp;"%)","Acima do concorrente (+"&amp;ROUND(($O22/$J22-1)*100,1)&amp;"%)"))</f>
        <v/>
      </c>
    </row>
    <row r="23" spans="1:21">
      <c r="A23" s="13"/>
      <c r="B23" s="13"/>
      <c r="C23" s="13"/>
      <c r="D23" s="19"/>
      <c r="E23" s="19"/>
      <c r="F23" s="20"/>
      <c r="G23" s="20"/>
      <c r="H23" s="20"/>
      <c r="I23" s="20"/>
      <c r="J23" s="19"/>
      <c r="K23" s="19"/>
      <c r="L23" s="21">
        <f>IF(OR($B23="",$D23=""),"",$D23+N($E23))</f>
        <v/>
      </c>
      <c r="M23" s="22">
        <f>IF($L23="","",IF($F23="",pImp,$F23)+IF($G23="",pCom,$G23)+IF($H23="",pTax,$H23)+pFixo+IF($I23="",pLucro,$I23))</f>
        <v/>
      </c>
      <c r="N23" s="21">
        <f>IF($L23="","",IF($M23&gt;=1,"Revisar %",$L23/(1-$M23)))</f>
        <v/>
      </c>
      <c r="O23" s="23">
        <f>IF(ISNUMBER($N23),ROUNDUP($N23,0)+IF(ROUNDUP($N23,0)-0.1&gt;=$N23,-0.1,0.9),$N23)</f>
        <v/>
      </c>
      <c r="P23" s="24">
        <f>IF(AND(ISNUMBER($O23),N($L23)&gt;0),$O23/$L23,"")</f>
        <v/>
      </c>
      <c r="Q23" s="21">
        <f>IF(ISNUMBER($N23),$L23/(1-($M23-IF($I23="",pLucro,$I23))),"")</f>
        <v/>
      </c>
      <c r="R23" s="21">
        <f>IF(OR($K23="",NOT(ISNUMBER($N23))),"",$K23*(1-($M23-IF($I23="",pLucro,$I23)))-$L23)</f>
        <v/>
      </c>
      <c r="S23" s="22">
        <f>IF($R23="","",$R23/$K23)</f>
        <v/>
      </c>
      <c r="T23" s="25">
        <f>IF($L23="","",IF(NOT(ISNUMBER($N23)),"Revisar %",IF($K23="","Sem preço atual",IF($R23&lt;0,"PREJUÍZO",IF($K23&lt;$N23,"Abaixo do ideal","OK")))))</f>
        <v/>
      </c>
      <c r="U23" s="25">
        <f>IF(OR($J23="",NOT(ISNUMBER($O23))),"",IF($O23&lt;=$J23,"Competitivo ("&amp;ROUND(($O23/$J23-1)*100,1)&amp;"%)","Acima do concorrente (+"&amp;ROUND(($O23/$J23-1)*100,1)&amp;"%)"))</f>
        <v/>
      </c>
    </row>
    <row r="24" spans="1:21">
      <c r="A24" s="13"/>
      <c r="B24" s="13"/>
      <c r="C24" s="13"/>
      <c r="D24" s="19"/>
      <c r="E24" s="19"/>
      <c r="F24" s="20"/>
      <c r="G24" s="20"/>
      <c r="H24" s="20"/>
      <c r="I24" s="20"/>
      <c r="J24" s="19"/>
      <c r="K24" s="19"/>
      <c r="L24" s="21">
        <f>IF(OR($B24="",$D24=""),"",$D24+N($E24))</f>
        <v/>
      </c>
      <c r="M24" s="22">
        <f>IF($L24="","",IF($F24="",pImp,$F24)+IF($G24="",pCom,$G24)+IF($H24="",pTax,$H24)+pFixo+IF($I24="",pLucro,$I24))</f>
        <v/>
      </c>
      <c r="N24" s="21">
        <f>IF($L24="","",IF($M24&gt;=1,"Revisar %",$L24/(1-$M24)))</f>
        <v/>
      </c>
      <c r="O24" s="23">
        <f>IF(ISNUMBER($N24),ROUNDUP($N24,0)+IF(ROUNDUP($N24,0)-0.1&gt;=$N24,-0.1,0.9),$N24)</f>
        <v/>
      </c>
      <c r="P24" s="24">
        <f>IF(AND(ISNUMBER($O24),N($L24)&gt;0),$O24/$L24,"")</f>
        <v/>
      </c>
      <c r="Q24" s="21">
        <f>IF(ISNUMBER($N24),$L24/(1-($M24-IF($I24="",pLucro,$I24))),"")</f>
        <v/>
      </c>
      <c r="R24" s="21">
        <f>IF(OR($K24="",NOT(ISNUMBER($N24))),"",$K24*(1-($M24-IF($I24="",pLucro,$I24)))-$L24)</f>
        <v/>
      </c>
      <c r="S24" s="22">
        <f>IF($R24="","",$R24/$K24)</f>
        <v/>
      </c>
      <c r="T24" s="25">
        <f>IF($L24="","",IF(NOT(ISNUMBER($N24)),"Revisar %",IF($K24="","Sem preço atual",IF($R24&lt;0,"PREJUÍZO",IF($K24&lt;$N24,"Abaixo do ideal","OK")))))</f>
        <v/>
      </c>
      <c r="U24" s="25">
        <f>IF(OR($J24="",NOT(ISNUMBER($O24))),"",IF($O24&lt;=$J24,"Competitivo ("&amp;ROUND(($O24/$J24-1)*100,1)&amp;"%)","Acima do concorrente (+"&amp;ROUND(($O24/$J24-1)*100,1)&amp;"%)"))</f>
        <v/>
      </c>
    </row>
    <row r="25" spans="1:21">
      <c r="A25" s="13"/>
      <c r="B25" s="13"/>
      <c r="C25" s="13"/>
      <c r="D25" s="19"/>
      <c r="E25" s="19"/>
      <c r="F25" s="20"/>
      <c r="G25" s="20"/>
      <c r="H25" s="20"/>
      <c r="I25" s="20"/>
      <c r="J25" s="19"/>
      <c r="K25" s="19"/>
      <c r="L25" s="21">
        <f>IF(OR($B25="",$D25=""),"",$D25+N($E25))</f>
        <v/>
      </c>
      <c r="M25" s="22">
        <f>IF($L25="","",IF($F25="",pImp,$F25)+IF($G25="",pCom,$G25)+IF($H25="",pTax,$H25)+pFixo+IF($I25="",pLucro,$I25))</f>
        <v/>
      </c>
      <c r="N25" s="21">
        <f>IF($L25="","",IF($M25&gt;=1,"Revisar %",$L25/(1-$M25)))</f>
        <v/>
      </c>
      <c r="O25" s="23">
        <f>IF(ISNUMBER($N25),ROUNDUP($N25,0)+IF(ROUNDUP($N25,0)-0.1&gt;=$N25,-0.1,0.9),$N25)</f>
        <v/>
      </c>
      <c r="P25" s="24">
        <f>IF(AND(ISNUMBER($O25),N($L25)&gt;0),$O25/$L25,"")</f>
        <v/>
      </c>
      <c r="Q25" s="21">
        <f>IF(ISNUMBER($N25),$L25/(1-($M25-IF($I25="",pLucro,$I25))),"")</f>
        <v/>
      </c>
      <c r="R25" s="21">
        <f>IF(OR($K25="",NOT(ISNUMBER($N25))),"",$K25*(1-($M25-IF($I25="",pLucro,$I25)))-$L25)</f>
        <v/>
      </c>
      <c r="S25" s="22">
        <f>IF($R25="","",$R25/$K25)</f>
        <v/>
      </c>
      <c r="T25" s="25">
        <f>IF($L25="","",IF(NOT(ISNUMBER($N25)),"Revisar %",IF($K25="","Sem preço atual",IF($R25&lt;0,"PREJUÍZO",IF($K25&lt;$N25,"Abaixo do ideal","OK")))))</f>
        <v/>
      </c>
      <c r="U25" s="25">
        <f>IF(OR($J25="",NOT(ISNUMBER($O25))),"",IF($O25&lt;=$J25,"Competitivo ("&amp;ROUND(($O25/$J25-1)*100,1)&amp;"%)","Acima do concorrente (+"&amp;ROUND(($O25/$J25-1)*100,1)&amp;"%)"))</f>
        <v/>
      </c>
    </row>
    <row r="26" spans="1:21">
      <c r="A26" s="13"/>
      <c r="B26" s="13"/>
      <c r="C26" s="13"/>
      <c r="D26" s="19"/>
      <c r="E26" s="19"/>
      <c r="F26" s="20"/>
      <c r="G26" s="20"/>
      <c r="H26" s="20"/>
      <c r="I26" s="20"/>
      <c r="J26" s="19"/>
      <c r="K26" s="19"/>
      <c r="L26" s="21">
        <f>IF(OR($B26="",$D26=""),"",$D26+N($E26))</f>
        <v/>
      </c>
      <c r="M26" s="22">
        <f>IF($L26="","",IF($F26="",pImp,$F26)+IF($G26="",pCom,$G26)+IF($H26="",pTax,$H26)+pFixo+IF($I26="",pLucro,$I26))</f>
        <v/>
      </c>
      <c r="N26" s="21">
        <f>IF($L26="","",IF($M26&gt;=1,"Revisar %",$L26/(1-$M26)))</f>
        <v/>
      </c>
      <c r="O26" s="23">
        <f>IF(ISNUMBER($N26),ROUNDUP($N26,0)+IF(ROUNDUP($N26,0)-0.1&gt;=$N26,-0.1,0.9),$N26)</f>
        <v/>
      </c>
      <c r="P26" s="24">
        <f>IF(AND(ISNUMBER($O26),N($L26)&gt;0),$O26/$L26,"")</f>
        <v/>
      </c>
      <c r="Q26" s="21">
        <f>IF(ISNUMBER($N26),$L26/(1-($M26-IF($I26="",pLucro,$I26))),"")</f>
        <v/>
      </c>
      <c r="R26" s="21">
        <f>IF(OR($K26="",NOT(ISNUMBER($N26))),"",$K26*(1-($M26-IF($I26="",pLucro,$I26)))-$L26)</f>
        <v/>
      </c>
      <c r="S26" s="22">
        <f>IF($R26="","",$R26/$K26)</f>
        <v/>
      </c>
      <c r="T26" s="25">
        <f>IF($L26="","",IF(NOT(ISNUMBER($N26)),"Revisar %",IF($K26="","Sem preço atual",IF($R26&lt;0,"PREJUÍZO",IF($K26&lt;$N26,"Abaixo do ideal","OK")))))</f>
        <v/>
      </c>
      <c r="U26" s="25">
        <f>IF(OR($J26="",NOT(ISNUMBER($O26))),"",IF($O26&lt;=$J26,"Competitivo ("&amp;ROUND(($O26/$J26-1)*100,1)&amp;"%)","Acima do concorrente (+"&amp;ROUND(($O26/$J26-1)*100,1)&amp;"%)"))</f>
        <v/>
      </c>
    </row>
    <row r="27" spans="1:21">
      <c r="A27" s="13"/>
      <c r="B27" s="13"/>
      <c r="C27" s="13"/>
      <c r="D27" s="19"/>
      <c r="E27" s="19"/>
      <c r="F27" s="20"/>
      <c r="G27" s="20"/>
      <c r="H27" s="20"/>
      <c r="I27" s="20"/>
      <c r="J27" s="19"/>
      <c r="K27" s="19"/>
      <c r="L27" s="21">
        <f>IF(OR($B27="",$D27=""),"",$D27+N($E27))</f>
        <v/>
      </c>
      <c r="M27" s="22">
        <f>IF($L27="","",IF($F27="",pImp,$F27)+IF($G27="",pCom,$G27)+IF($H27="",pTax,$H27)+pFixo+IF($I27="",pLucro,$I27))</f>
        <v/>
      </c>
      <c r="N27" s="21">
        <f>IF($L27="","",IF($M27&gt;=1,"Revisar %",$L27/(1-$M27)))</f>
        <v/>
      </c>
      <c r="O27" s="23">
        <f>IF(ISNUMBER($N27),ROUNDUP($N27,0)+IF(ROUNDUP($N27,0)-0.1&gt;=$N27,-0.1,0.9),$N27)</f>
        <v/>
      </c>
      <c r="P27" s="24">
        <f>IF(AND(ISNUMBER($O27),N($L27)&gt;0),$O27/$L27,"")</f>
        <v/>
      </c>
      <c r="Q27" s="21">
        <f>IF(ISNUMBER($N27),$L27/(1-($M27-IF($I27="",pLucro,$I27))),"")</f>
        <v/>
      </c>
      <c r="R27" s="21">
        <f>IF(OR($K27="",NOT(ISNUMBER($N27))),"",$K27*(1-($M27-IF($I27="",pLucro,$I27)))-$L27)</f>
        <v/>
      </c>
      <c r="S27" s="22">
        <f>IF($R27="","",$R27/$K27)</f>
        <v/>
      </c>
      <c r="T27" s="25">
        <f>IF($L27="","",IF(NOT(ISNUMBER($N27)),"Revisar %",IF($K27="","Sem preço atual",IF($R27&lt;0,"PREJUÍZO",IF($K27&lt;$N27,"Abaixo do ideal","OK")))))</f>
        <v/>
      </c>
      <c r="U27" s="25">
        <f>IF(OR($J27="",NOT(ISNUMBER($O27))),"",IF($O27&lt;=$J27,"Competitivo ("&amp;ROUND(($O27/$J27-1)*100,1)&amp;"%)","Acima do concorrente (+"&amp;ROUND(($O27/$J27-1)*100,1)&amp;"%)"))</f>
        <v/>
      </c>
    </row>
    <row r="28" spans="1:21">
      <c r="A28" s="13"/>
      <c r="B28" s="13"/>
      <c r="C28" s="13"/>
      <c r="D28" s="19"/>
      <c r="E28" s="19"/>
      <c r="F28" s="20"/>
      <c r="G28" s="20"/>
      <c r="H28" s="20"/>
      <c r="I28" s="20"/>
      <c r="J28" s="19"/>
      <c r="K28" s="19"/>
      <c r="L28" s="21">
        <f>IF(OR($B28="",$D28=""),"",$D28+N($E28))</f>
        <v/>
      </c>
      <c r="M28" s="22">
        <f>IF($L28="","",IF($F28="",pImp,$F28)+IF($G28="",pCom,$G28)+IF($H28="",pTax,$H28)+pFixo+IF($I28="",pLucro,$I28))</f>
        <v/>
      </c>
      <c r="N28" s="21">
        <f>IF($L28="","",IF($M28&gt;=1,"Revisar %",$L28/(1-$M28)))</f>
        <v/>
      </c>
      <c r="O28" s="23">
        <f>IF(ISNUMBER($N28),ROUNDUP($N28,0)+IF(ROUNDUP($N28,0)-0.1&gt;=$N28,-0.1,0.9),$N28)</f>
        <v/>
      </c>
      <c r="P28" s="24">
        <f>IF(AND(ISNUMBER($O28),N($L28)&gt;0),$O28/$L28,"")</f>
        <v/>
      </c>
      <c r="Q28" s="21">
        <f>IF(ISNUMBER($N28),$L28/(1-($M28-IF($I28="",pLucro,$I28))),"")</f>
        <v/>
      </c>
      <c r="R28" s="21">
        <f>IF(OR($K28="",NOT(ISNUMBER($N28))),"",$K28*(1-($M28-IF($I28="",pLucro,$I28)))-$L28)</f>
        <v/>
      </c>
      <c r="S28" s="22">
        <f>IF($R28="","",$R28/$K28)</f>
        <v/>
      </c>
      <c r="T28" s="25">
        <f>IF($L28="","",IF(NOT(ISNUMBER($N28)),"Revisar %",IF($K28="","Sem preço atual",IF($R28&lt;0,"PREJUÍZO",IF($K28&lt;$N28,"Abaixo do ideal","OK")))))</f>
        <v/>
      </c>
      <c r="U28" s="25">
        <f>IF(OR($J28="",NOT(ISNUMBER($O28))),"",IF($O28&lt;=$J28,"Competitivo ("&amp;ROUND(($O28/$J28-1)*100,1)&amp;"%)","Acima do concorrente (+"&amp;ROUND(($O28/$J28-1)*100,1)&amp;"%)"))</f>
        <v/>
      </c>
    </row>
    <row r="29" spans="1:21">
      <c r="A29" s="13"/>
      <c r="B29" s="13"/>
      <c r="C29" s="13"/>
      <c r="D29" s="19"/>
      <c r="E29" s="19"/>
      <c r="F29" s="20"/>
      <c r="G29" s="20"/>
      <c r="H29" s="20"/>
      <c r="I29" s="20"/>
      <c r="J29" s="19"/>
      <c r="K29" s="19"/>
      <c r="L29" s="21">
        <f>IF(OR($B29="",$D29=""),"",$D29+N($E29))</f>
        <v/>
      </c>
      <c r="M29" s="22">
        <f>IF($L29="","",IF($F29="",pImp,$F29)+IF($G29="",pCom,$G29)+IF($H29="",pTax,$H29)+pFixo+IF($I29="",pLucro,$I29))</f>
        <v/>
      </c>
      <c r="N29" s="21">
        <f>IF($L29="","",IF($M29&gt;=1,"Revisar %",$L29/(1-$M29)))</f>
        <v/>
      </c>
      <c r="O29" s="23">
        <f>IF(ISNUMBER($N29),ROUNDUP($N29,0)+IF(ROUNDUP($N29,0)-0.1&gt;=$N29,-0.1,0.9),$N29)</f>
        <v/>
      </c>
      <c r="P29" s="24">
        <f>IF(AND(ISNUMBER($O29),N($L29)&gt;0),$O29/$L29,"")</f>
        <v/>
      </c>
      <c r="Q29" s="21">
        <f>IF(ISNUMBER($N29),$L29/(1-($M29-IF($I29="",pLucro,$I29))),"")</f>
        <v/>
      </c>
      <c r="R29" s="21">
        <f>IF(OR($K29="",NOT(ISNUMBER($N29))),"",$K29*(1-($M29-IF($I29="",pLucro,$I29)))-$L29)</f>
        <v/>
      </c>
      <c r="S29" s="22">
        <f>IF($R29="","",$R29/$K29)</f>
        <v/>
      </c>
      <c r="T29" s="25">
        <f>IF($L29="","",IF(NOT(ISNUMBER($N29)),"Revisar %",IF($K29="","Sem preço atual",IF($R29&lt;0,"PREJUÍZO",IF($K29&lt;$N29,"Abaixo do ideal","OK")))))</f>
        <v/>
      </c>
      <c r="U29" s="25">
        <f>IF(OR($J29="",NOT(ISNUMBER($O29))),"",IF($O29&lt;=$J29,"Competitivo ("&amp;ROUND(($O29/$J29-1)*100,1)&amp;"%)","Acima do concorrente (+"&amp;ROUND(($O29/$J29-1)*100,1)&amp;"%)"))</f>
        <v/>
      </c>
    </row>
    <row r="30" spans="1:21">
      <c r="A30" s="13"/>
      <c r="B30" s="13"/>
      <c r="C30" s="13"/>
      <c r="D30" s="19"/>
      <c r="E30" s="19"/>
      <c r="F30" s="20"/>
      <c r="G30" s="20"/>
      <c r="H30" s="20"/>
      <c r="I30" s="20"/>
      <c r="J30" s="19"/>
      <c r="K30" s="19"/>
      <c r="L30" s="21">
        <f>IF(OR($B30="",$D30=""),"",$D30+N($E30))</f>
        <v/>
      </c>
      <c r="M30" s="22">
        <f>IF($L30="","",IF($F30="",pImp,$F30)+IF($G30="",pCom,$G30)+IF($H30="",pTax,$H30)+pFixo+IF($I30="",pLucro,$I30))</f>
        <v/>
      </c>
      <c r="N30" s="21">
        <f>IF($L30="","",IF($M30&gt;=1,"Revisar %",$L30/(1-$M30)))</f>
        <v/>
      </c>
      <c r="O30" s="23">
        <f>IF(ISNUMBER($N30),ROUNDUP($N30,0)+IF(ROUNDUP($N30,0)-0.1&gt;=$N30,-0.1,0.9),$N30)</f>
        <v/>
      </c>
      <c r="P30" s="24">
        <f>IF(AND(ISNUMBER($O30),N($L30)&gt;0),$O30/$L30,"")</f>
        <v/>
      </c>
      <c r="Q30" s="21">
        <f>IF(ISNUMBER($N30),$L30/(1-($M30-IF($I30="",pLucro,$I30))),"")</f>
        <v/>
      </c>
      <c r="R30" s="21">
        <f>IF(OR($K30="",NOT(ISNUMBER($N30))),"",$K30*(1-($M30-IF($I30="",pLucro,$I30)))-$L30)</f>
        <v/>
      </c>
      <c r="S30" s="22">
        <f>IF($R30="","",$R30/$K30)</f>
        <v/>
      </c>
      <c r="T30" s="25">
        <f>IF($L30="","",IF(NOT(ISNUMBER($N30)),"Revisar %",IF($K30="","Sem preço atual",IF($R30&lt;0,"PREJUÍZO",IF($K30&lt;$N30,"Abaixo do ideal","OK")))))</f>
        <v/>
      </c>
      <c r="U30" s="25">
        <f>IF(OR($J30="",NOT(ISNUMBER($O30))),"",IF($O30&lt;=$J30,"Competitivo ("&amp;ROUND(($O30/$J30-1)*100,1)&amp;"%)","Acima do concorrente (+"&amp;ROUND(($O30/$J30-1)*100,1)&amp;"%)"))</f>
        <v/>
      </c>
    </row>
    <row r="31" spans="1:21">
      <c r="A31" s="13"/>
      <c r="B31" s="13"/>
      <c r="C31" s="13"/>
      <c r="D31" s="19"/>
      <c r="E31" s="19"/>
      <c r="F31" s="20"/>
      <c r="G31" s="20"/>
      <c r="H31" s="20"/>
      <c r="I31" s="20"/>
      <c r="J31" s="19"/>
      <c r="K31" s="19"/>
      <c r="L31" s="21">
        <f>IF(OR($B31="",$D31=""),"",$D31+N($E31))</f>
        <v/>
      </c>
      <c r="M31" s="22">
        <f>IF($L31="","",IF($F31="",pImp,$F31)+IF($G31="",pCom,$G31)+IF($H31="",pTax,$H31)+pFixo+IF($I31="",pLucro,$I31))</f>
        <v/>
      </c>
      <c r="N31" s="21">
        <f>IF($L31="","",IF($M31&gt;=1,"Revisar %",$L31/(1-$M31)))</f>
        <v/>
      </c>
      <c r="O31" s="23">
        <f>IF(ISNUMBER($N31),ROUNDUP($N31,0)+IF(ROUNDUP($N31,0)-0.1&gt;=$N31,-0.1,0.9),$N31)</f>
        <v/>
      </c>
      <c r="P31" s="24">
        <f>IF(AND(ISNUMBER($O31),N($L31)&gt;0),$O31/$L31,"")</f>
        <v/>
      </c>
      <c r="Q31" s="21">
        <f>IF(ISNUMBER($N31),$L31/(1-($M31-IF($I31="",pLucro,$I31))),"")</f>
        <v/>
      </c>
      <c r="R31" s="21">
        <f>IF(OR($K31="",NOT(ISNUMBER($N31))),"",$K31*(1-($M31-IF($I31="",pLucro,$I31)))-$L31)</f>
        <v/>
      </c>
      <c r="S31" s="22">
        <f>IF($R31="","",$R31/$K31)</f>
        <v/>
      </c>
      <c r="T31" s="25">
        <f>IF($L31="","",IF(NOT(ISNUMBER($N31)),"Revisar %",IF($K31="","Sem preço atual",IF($R31&lt;0,"PREJUÍZO",IF($K31&lt;$N31,"Abaixo do ideal","OK")))))</f>
        <v/>
      </c>
      <c r="U31" s="25">
        <f>IF(OR($J31="",NOT(ISNUMBER($O31))),"",IF($O31&lt;=$J31,"Competitivo ("&amp;ROUND(($O31/$J31-1)*100,1)&amp;"%)","Acima do concorrente (+"&amp;ROUND(($O31/$J31-1)*100,1)&amp;"%)"))</f>
        <v/>
      </c>
    </row>
    <row r="32" spans="1:21">
      <c r="A32" s="13"/>
      <c r="B32" s="13"/>
      <c r="C32" s="13"/>
      <c r="D32" s="19"/>
      <c r="E32" s="19"/>
      <c r="F32" s="20"/>
      <c r="G32" s="20"/>
      <c r="H32" s="20"/>
      <c r="I32" s="20"/>
      <c r="J32" s="19"/>
      <c r="K32" s="19"/>
      <c r="L32" s="21">
        <f>IF(OR($B32="",$D32=""),"",$D32+N($E32))</f>
        <v/>
      </c>
      <c r="M32" s="22">
        <f>IF($L32="","",IF($F32="",pImp,$F32)+IF($G32="",pCom,$G32)+IF($H32="",pTax,$H32)+pFixo+IF($I32="",pLucro,$I32))</f>
        <v/>
      </c>
      <c r="N32" s="21">
        <f>IF($L32="","",IF($M32&gt;=1,"Revisar %",$L32/(1-$M32)))</f>
        <v/>
      </c>
      <c r="O32" s="23">
        <f>IF(ISNUMBER($N32),ROUNDUP($N32,0)+IF(ROUNDUP($N32,0)-0.1&gt;=$N32,-0.1,0.9),$N32)</f>
        <v/>
      </c>
      <c r="P32" s="24">
        <f>IF(AND(ISNUMBER($O32),N($L32)&gt;0),$O32/$L32,"")</f>
        <v/>
      </c>
      <c r="Q32" s="21">
        <f>IF(ISNUMBER($N32),$L32/(1-($M32-IF($I32="",pLucro,$I32))),"")</f>
        <v/>
      </c>
      <c r="R32" s="21">
        <f>IF(OR($K32="",NOT(ISNUMBER($N32))),"",$K32*(1-($M32-IF($I32="",pLucro,$I32)))-$L32)</f>
        <v/>
      </c>
      <c r="S32" s="22">
        <f>IF($R32="","",$R32/$K32)</f>
        <v/>
      </c>
      <c r="T32" s="25">
        <f>IF($L32="","",IF(NOT(ISNUMBER($N32)),"Revisar %",IF($K32="","Sem preço atual",IF($R32&lt;0,"PREJUÍZO",IF($K32&lt;$N32,"Abaixo do ideal","OK")))))</f>
        <v/>
      </c>
      <c r="U32" s="25">
        <f>IF(OR($J32="",NOT(ISNUMBER($O32))),"",IF($O32&lt;=$J32,"Competitivo ("&amp;ROUND(($O32/$J32-1)*100,1)&amp;"%)","Acima do concorrente (+"&amp;ROUND(($O32/$J32-1)*100,1)&amp;"%)"))</f>
        <v/>
      </c>
    </row>
    <row r="33" spans="1:21">
      <c r="A33" s="13"/>
      <c r="B33" s="13"/>
      <c r="C33" s="13"/>
      <c r="D33" s="19"/>
      <c r="E33" s="19"/>
      <c r="F33" s="20"/>
      <c r="G33" s="20"/>
      <c r="H33" s="20"/>
      <c r="I33" s="20"/>
      <c r="J33" s="19"/>
      <c r="K33" s="19"/>
      <c r="L33" s="21">
        <f>IF(OR($B33="",$D33=""),"",$D33+N($E33))</f>
        <v/>
      </c>
      <c r="M33" s="22">
        <f>IF($L33="","",IF($F33="",pImp,$F33)+IF($G33="",pCom,$G33)+IF($H33="",pTax,$H33)+pFixo+IF($I33="",pLucro,$I33))</f>
        <v/>
      </c>
      <c r="N33" s="21">
        <f>IF($L33="","",IF($M33&gt;=1,"Revisar %",$L33/(1-$M33)))</f>
        <v/>
      </c>
      <c r="O33" s="23">
        <f>IF(ISNUMBER($N33),ROUNDUP($N33,0)+IF(ROUNDUP($N33,0)-0.1&gt;=$N33,-0.1,0.9),$N33)</f>
        <v/>
      </c>
      <c r="P33" s="24">
        <f>IF(AND(ISNUMBER($O33),N($L33)&gt;0),$O33/$L33,"")</f>
        <v/>
      </c>
      <c r="Q33" s="21">
        <f>IF(ISNUMBER($N33),$L33/(1-($M33-IF($I33="",pLucro,$I33))),"")</f>
        <v/>
      </c>
      <c r="R33" s="21">
        <f>IF(OR($K33="",NOT(ISNUMBER($N33))),"",$K33*(1-($M33-IF($I33="",pLucro,$I33)))-$L33)</f>
        <v/>
      </c>
      <c r="S33" s="22">
        <f>IF($R33="","",$R33/$K33)</f>
        <v/>
      </c>
      <c r="T33" s="25">
        <f>IF($L33="","",IF(NOT(ISNUMBER($N33)),"Revisar %",IF($K33="","Sem preço atual",IF($R33&lt;0,"PREJUÍZO",IF($K33&lt;$N33,"Abaixo do ideal","OK")))))</f>
        <v/>
      </c>
      <c r="U33" s="25">
        <f>IF(OR($J33="",NOT(ISNUMBER($O33))),"",IF($O33&lt;=$J33,"Competitivo ("&amp;ROUND(($O33/$J33-1)*100,1)&amp;"%)","Acima do concorrente (+"&amp;ROUND(($O33/$J33-1)*100,1)&amp;"%)"))</f>
        <v/>
      </c>
    </row>
    <row r="34" spans="1:21">
      <c r="A34" s="13"/>
      <c r="B34" s="13"/>
      <c r="C34" s="13"/>
      <c r="D34" s="19"/>
      <c r="E34" s="19"/>
      <c r="F34" s="20"/>
      <c r="G34" s="20"/>
      <c r="H34" s="20"/>
      <c r="I34" s="20"/>
      <c r="J34" s="19"/>
      <c r="K34" s="19"/>
      <c r="L34" s="21">
        <f>IF(OR($B34="",$D34=""),"",$D34+N($E34))</f>
        <v/>
      </c>
      <c r="M34" s="22">
        <f>IF($L34="","",IF($F34="",pImp,$F34)+IF($G34="",pCom,$G34)+IF($H34="",pTax,$H34)+pFixo+IF($I34="",pLucro,$I34))</f>
        <v/>
      </c>
      <c r="N34" s="21">
        <f>IF($L34="","",IF($M34&gt;=1,"Revisar %",$L34/(1-$M34)))</f>
        <v/>
      </c>
      <c r="O34" s="23">
        <f>IF(ISNUMBER($N34),ROUNDUP($N34,0)+IF(ROUNDUP($N34,0)-0.1&gt;=$N34,-0.1,0.9),$N34)</f>
        <v/>
      </c>
      <c r="P34" s="24">
        <f>IF(AND(ISNUMBER($O34),N($L34)&gt;0),$O34/$L34,"")</f>
        <v/>
      </c>
      <c r="Q34" s="21">
        <f>IF(ISNUMBER($N34),$L34/(1-($M34-IF($I34="",pLucro,$I34))),"")</f>
        <v/>
      </c>
      <c r="R34" s="21">
        <f>IF(OR($K34="",NOT(ISNUMBER($N34))),"",$K34*(1-($M34-IF($I34="",pLucro,$I34)))-$L34)</f>
        <v/>
      </c>
      <c r="S34" s="22">
        <f>IF($R34="","",$R34/$K34)</f>
        <v/>
      </c>
      <c r="T34" s="25">
        <f>IF($L34="","",IF(NOT(ISNUMBER($N34)),"Revisar %",IF($K34="","Sem preço atual",IF($R34&lt;0,"PREJUÍZO",IF($K34&lt;$N34,"Abaixo do ideal","OK")))))</f>
        <v/>
      </c>
      <c r="U34" s="25">
        <f>IF(OR($J34="",NOT(ISNUMBER($O34))),"",IF($O34&lt;=$J34,"Competitivo ("&amp;ROUND(($O34/$J34-1)*100,1)&amp;"%)","Acima do concorrente (+"&amp;ROUND(($O34/$J34-1)*100,1)&amp;"%)"))</f>
        <v/>
      </c>
    </row>
    <row r="35" spans="1:21">
      <c r="A35" s="13"/>
      <c r="B35" s="13"/>
      <c r="C35" s="13"/>
      <c r="D35" s="19"/>
      <c r="E35" s="19"/>
      <c r="F35" s="20"/>
      <c r="G35" s="20"/>
      <c r="H35" s="20"/>
      <c r="I35" s="20"/>
      <c r="J35" s="19"/>
      <c r="K35" s="19"/>
      <c r="L35" s="21">
        <f>IF(OR($B35="",$D35=""),"",$D35+N($E35))</f>
        <v/>
      </c>
      <c r="M35" s="22">
        <f>IF($L35="","",IF($F35="",pImp,$F35)+IF($G35="",pCom,$G35)+IF($H35="",pTax,$H35)+pFixo+IF($I35="",pLucro,$I35))</f>
        <v/>
      </c>
      <c r="N35" s="21">
        <f>IF($L35="","",IF($M35&gt;=1,"Revisar %",$L35/(1-$M35)))</f>
        <v/>
      </c>
      <c r="O35" s="23">
        <f>IF(ISNUMBER($N35),ROUNDUP($N35,0)+IF(ROUNDUP($N35,0)-0.1&gt;=$N35,-0.1,0.9),$N35)</f>
        <v/>
      </c>
      <c r="P35" s="24">
        <f>IF(AND(ISNUMBER($O35),N($L35)&gt;0),$O35/$L35,"")</f>
        <v/>
      </c>
      <c r="Q35" s="21">
        <f>IF(ISNUMBER($N35),$L35/(1-($M35-IF($I35="",pLucro,$I35))),"")</f>
        <v/>
      </c>
      <c r="R35" s="21">
        <f>IF(OR($K35="",NOT(ISNUMBER($N35))),"",$K35*(1-($M35-IF($I35="",pLucro,$I35)))-$L35)</f>
        <v/>
      </c>
      <c r="S35" s="22">
        <f>IF($R35="","",$R35/$K35)</f>
        <v/>
      </c>
      <c r="T35" s="25">
        <f>IF($L35="","",IF(NOT(ISNUMBER($N35)),"Revisar %",IF($K35="","Sem preço atual",IF($R35&lt;0,"PREJUÍZO",IF($K35&lt;$N35,"Abaixo do ideal","OK")))))</f>
        <v/>
      </c>
      <c r="U35" s="25">
        <f>IF(OR($J35="",NOT(ISNUMBER($O35))),"",IF($O35&lt;=$J35,"Competitivo ("&amp;ROUND(($O35/$J35-1)*100,1)&amp;"%)","Acima do concorrente (+"&amp;ROUND(($O35/$J35-1)*100,1)&amp;"%)"))</f>
        <v/>
      </c>
    </row>
    <row r="36" spans="1:21">
      <c r="A36" s="13"/>
      <c r="B36" s="13"/>
      <c r="C36" s="13"/>
      <c r="D36" s="19"/>
      <c r="E36" s="19"/>
      <c r="F36" s="20"/>
      <c r="G36" s="20"/>
      <c r="H36" s="20"/>
      <c r="I36" s="20"/>
      <c r="J36" s="19"/>
      <c r="K36" s="19"/>
      <c r="L36" s="21">
        <f>IF(OR($B36="",$D36=""),"",$D36+N($E36))</f>
        <v/>
      </c>
      <c r="M36" s="22">
        <f>IF($L36="","",IF($F36="",pImp,$F36)+IF($G36="",pCom,$G36)+IF($H36="",pTax,$H36)+pFixo+IF($I36="",pLucro,$I36))</f>
        <v/>
      </c>
      <c r="N36" s="21">
        <f>IF($L36="","",IF($M36&gt;=1,"Revisar %",$L36/(1-$M36)))</f>
        <v/>
      </c>
      <c r="O36" s="23">
        <f>IF(ISNUMBER($N36),ROUNDUP($N36,0)+IF(ROUNDUP($N36,0)-0.1&gt;=$N36,-0.1,0.9),$N36)</f>
        <v/>
      </c>
      <c r="P36" s="24">
        <f>IF(AND(ISNUMBER($O36),N($L36)&gt;0),$O36/$L36,"")</f>
        <v/>
      </c>
      <c r="Q36" s="21">
        <f>IF(ISNUMBER($N36),$L36/(1-($M36-IF($I36="",pLucro,$I36))),"")</f>
        <v/>
      </c>
      <c r="R36" s="21">
        <f>IF(OR($K36="",NOT(ISNUMBER($N36))),"",$K36*(1-($M36-IF($I36="",pLucro,$I36)))-$L36)</f>
        <v/>
      </c>
      <c r="S36" s="22">
        <f>IF($R36="","",$R36/$K36)</f>
        <v/>
      </c>
      <c r="T36" s="25">
        <f>IF($L36="","",IF(NOT(ISNUMBER($N36)),"Revisar %",IF($K36="","Sem preço atual",IF($R36&lt;0,"PREJUÍZO",IF($K36&lt;$N36,"Abaixo do ideal","OK")))))</f>
        <v/>
      </c>
      <c r="U36" s="25">
        <f>IF(OR($J36="",NOT(ISNUMBER($O36))),"",IF($O36&lt;=$J36,"Competitivo ("&amp;ROUND(($O36/$J36-1)*100,1)&amp;"%)","Acima do concorrente (+"&amp;ROUND(($O36/$J36-1)*100,1)&amp;"%)"))</f>
        <v/>
      </c>
    </row>
    <row r="37" spans="1:21">
      <c r="A37" s="13"/>
      <c r="B37" s="13"/>
      <c r="C37" s="13"/>
      <c r="D37" s="19"/>
      <c r="E37" s="19"/>
      <c r="F37" s="20"/>
      <c r="G37" s="20"/>
      <c r="H37" s="20"/>
      <c r="I37" s="20"/>
      <c r="J37" s="19"/>
      <c r="K37" s="19"/>
      <c r="L37" s="21">
        <f>IF(OR($B37="",$D37=""),"",$D37+N($E37))</f>
        <v/>
      </c>
      <c r="M37" s="22">
        <f>IF($L37="","",IF($F37="",pImp,$F37)+IF($G37="",pCom,$G37)+IF($H37="",pTax,$H37)+pFixo+IF($I37="",pLucro,$I37))</f>
        <v/>
      </c>
      <c r="N37" s="21">
        <f>IF($L37="","",IF($M37&gt;=1,"Revisar %",$L37/(1-$M37)))</f>
        <v/>
      </c>
      <c r="O37" s="23">
        <f>IF(ISNUMBER($N37),ROUNDUP($N37,0)+IF(ROUNDUP($N37,0)-0.1&gt;=$N37,-0.1,0.9),$N37)</f>
        <v/>
      </c>
      <c r="P37" s="24">
        <f>IF(AND(ISNUMBER($O37),N($L37)&gt;0),$O37/$L37,"")</f>
        <v/>
      </c>
      <c r="Q37" s="21">
        <f>IF(ISNUMBER($N37),$L37/(1-($M37-IF($I37="",pLucro,$I37))),"")</f>
        <v/>
      </c>
      <c r="R37" s="21">
        <f>IF(OR($K37="",NOT(ISNUMBER($N37))),"",$K37*(1-($M37-IF($I37="",pLucro,$I37)))-$L37)</f>
        <v/>
      </c>
      <c r="S37" s="22">
        <f>IF($R37="","",$R37/$K37)</f>
        <v/>
      </c>
      <c r="T37" s="25">
        <f>IF($L37="","",IF(NOT(ISNUMBER($N37)),"Revisar %",IF($K37="","Sem preço atual",IF($R37&lt;0,"PREJUÍZO",IF($K37&lt;$N37,"Abaixo do ideal","OK")))))</f>
        <v/>
      </c>
      <c r="U37" s="25">
        <f>IF(OR($J37="",NOT(ISNUMBER($O37))),"",IF($O37&lt;=$J37,"Competitivo ("&amp;ROUND(($O37/$J37-1)*100,1)&amp;"%)","Acima do concorrente (+"&amp;ROUND(($O37/$J37-1)*100,1)&amp;"%)"))</f>
        <v/>
      </c>
    </row>
    <row r="38" spans="1:21">
      <c r="A38" s="13"/>
      <c r="B38" s="13"/>
      <c r="C38" s="13"/>
      <c r="D38" s="19"/>
      <c r="E38" s="19"/>
      <c r="F38" s="20"/>
      <c r="G38" s="20"/>
      <c r="H38" s="20"/>
      <c r="I38" s="20"/>
      <c r="J38" s="19"/>
      <c r="K38" s="19"/>
      <c r="L38" s="21">
        <f>IF(OR($B38="",$D38=""),"",$D38+N($E38))</f>
        <v/>
      </c>
      <c r="M38" s="22">
        <f>IF($L38="","",IF($F38="",pImp,$F38)+IF($G38="",pCom,$G38)+IF($H38="",pTax,$H38)+pFixo+IF($I38="",pLucro,$I38))</f>
        <v/>
      </c>
      <c r="N38" s="21">
        <f>IF($L38="","",IF($M38&gt;=1,"Revisar %",$L38/(1-$M38)))</f>
        <v/>
      </c>
      <c r="O38" s="23">
        <f>IF(ISNUMBER($N38),ROUNDUP($N38,0)+IF(ROUNDUP($N38,0)-0.1&gt;=$N38,-0.1,0.9),$N38)</f>
        <v/>
      </c>
      <c r="P38" s="24">
        <f>IF(AND(ISNUMBER($O38),N($L38)&gt;0),$O38/$L38,"")</f>
        <v/>
      </c>
      <c r="Q38" s="21">
        <f>IF(ISNUMBER($N38),$L38/(1-($M38-IF($I38="",pLucro,$I38))),"")</f>
        <v/>
      </c>
      <c r="R38" s="21">
        <f>IF(OR($K38="",NOT(ISNUMBER($N38))),"",$K38*(1-($M38-IF($I38="",pLucro,$I38)))-$L38)</f>
        <v/>
      </c>
      <c r="S38" s="22">
        <f>IF($R38="","",$R38/$K38)</f>
        <v/>
      </c>
      <c r="T38" s="25">
        <f>IF($L38="","",IF(NOT(ISNUMBER($N38)),"Revisar %",IF($K38="","Sem preço atual",IF($R38&lt;0,"PREJUÍZO",IF($K38&lt;$N38,"Abaixo do ideal","OK")))))</f>
        <v/>
      </c>
      <c r="U38" s="25">
        <f>IF(OR($J38="",NOT(ISNUMBER($O38))),"",IF($O38&lt;=$J38,"Competitivo ("&amp;ROUND(($O38/$J38-1)*100,1)&amp;"%)","Acima do concorrente (+"&amp;ROUND(($O38/$J38-1)*100,1)&amp;"%)"))</f>
        <v/>
      </c>
    </row>
    <row r="39" spans="1:21">
      <c r="A39" s="13"/>
      <c r="B39" s="13"/>
      <c r="C39" s="13"/>
      <c r="D39" s="19"/>
      <c r="E39" s="19"/>
      <c r="F39" s="20"/>
      <c r="G39" s="20"/>
      <c r="H39" s="20"/>
      <c r="I39" s="20"/>
      <c r="J39" s="19"/>
      <c r="K39" s="19"/>
      <c r="L39" s="21">
        <f>IF(OR($B39="",$D39=""),"",$D39+N($E39))</f>
        <v/>
      </c>
      <c r="M39" s="22">
        <f>IF($L39="","",IF($F39="",pImp,$F39)+IF($G39="",pCom,$G39)+IF($H39="",pTax,$H39)+pFixo+IF($I39="",pLucro,$I39))</f>
        <v/>
      </c>
      <c r="N39" s="21">
        <f>IF($L39="","",IF($M39&gt;=1,"Revisar %",$L39/(1-$M39)))</f>
        <v/>
      </c>
      <c r="O39" s="23">
        <f>IF(ISNUMBER($N39),ROUNDUP($N39,0)+IF(ROUNDUP($N39,0)-0.1&gt;=$N39,-0.1,0.9),$N39)</f>
        <v/>
      </c>
      <c r="P39" s="24">
        <f>IF(AND(ISNUMBER($O39),N($L39)&gt;0),$O39/$L39,"")</f>
        <v/>
      </c>
      <c r="Q39" s="21">
        <f>IF(ISNUMBER($N39),$L39/(1-($M39-IF($I39="",pLucro,$I39))),"")</f>
        <v/>
      </c>
      <c r="R39" s="21">
        <f>IF(OR($K39="",NOT(ISNUMBER($N39))),"",$K39*(1-($M39-IF($I39="",pLucro,$I39)))-$L39)</f>
        <v/>
      </c>
      <c r="S39" s="22">
        <f>IF($R39="","",$R39/$K39)</f>
        <v/>
      </c>
      <c r="T39" s="25">
        <f>IF($L39="","",IF(NOT(ISNUMBER($N39)),"Revisar %",IF($K39="","Sem preço atual",IF($R39&lt;0,"PREJUÍZO",IF($K39&lt;$N39,"Abaixo do ideal","OK")))))</f>
        <v/>
      </c>
      <c r="U39" s="25">
        <f>IF(OR($J39="",NOT(ISNUMBER($O39))),"",IF($O39&lt;=$J39,"Competitivo ("&amp;ROUND(($O39/$J39-1)*100,1)&amp;"%)","Acima do concorrente (+"&amp;ROUND(($O39/$J39-1)*100,1)&amp;"%)"))</f>
        <v/>
      </c>
    </row>
    <row r="40" spans="1:21">
      <c r="A40" s="13"/>
      <c r="B40" s="13"/>
      <c r="C40" s="13"/>
      <c r="D40" s="19"/>
      <c r="E40" s="19"/>
      <c r="F40" s="20"/>
      <c r="G40" s="20"/>
      <c r="H40" s="20"/>
      <c r="I40" s="20"/>
      <c r="J40" s="19"/>
      <c r="K40" s="19"/>
      <c r="L40" s="21">
        <f>IF(OR($B40="",$D40=""),"",$D40+N($E40))</f>
        <v/>
      </c>
      <c r="M40" s="22">
        <f>IF($L40="","",IF($F40="",pImp,$F40)+IF($G40="",pCom,$G40)+IF($H40="",pTax,$H40)+pFixo+IF($I40="",pLucro,$I40))</f>
        <v/>
      </c>
      <c r="N40" s="21">
        <f>IF($L40="","",IF($M40&gt;=1,"Revisar %",$L40/(1-$M40)))</f>
        <v/>
      </c>
      <c r="O40" s="23">
        <f>IF(ISNUMBER($N40),ROUNDUP($N40,0)+IF(ROUNDUP($N40,0)-0.1&gt;=$N40,-0.1,0.9),$N40)</f>
        <v/>
      </c>
      <c r="P40" s="24">
        <f>IF(AND(ISNUMBER($O40),N($L40)&gt;0),$O40/$L40,"")</f>
        <v/>
      </c>
      <c r="Q40" s="21">
        <f>IF(ISNUMBER($N40),$L40/(1-($M40-IF($I40="",pLucro,$I40))),"")</f>
        <v/>
      </c>
      <c r="R40" s="21">
        <f>IF(OR($K40="",NOT(ISNUMBER($N40))),"",$K40*(1-($M40-IF($I40="",pLucro,$I40)))-$L40)</f>
        <v/>
      </c>
      <c r="S40" s="22">
        <f>IF($R40="","",$R40/$K40)</f>
        <v/>
      </c>
      <c r="T40" s="25">
        <f>IF($L40="","",IF(NOT(ISNUMBER($N40)),"Revisar %",IF($K40="","Sem preço atual",IF($R40&lt;0,"PREJUÍZO",IF($K40&lt;$N40,"Abaixo do ideal","OK")))))</f>
        <v/>
      </c>
      <c r="U40" s="25">
        <f>IF(OR($J40="",NOT(ISNUMBER($O40))),"",IF($O40&lt;=$J40,"Competitivo ("&amp;ROUND(($O40/$J40-1)*100,1)&amp;"%)","Acima do concorrente (+"&amp;ROUND(($O40/$J40-1)*100,1)&amp;"%)"))</f>
        <v/>
      </c>
    </row>
    <row r="41" spans="1:21">
      <c r="A41" s="13"/>
      <c r="B41" s="13"/>
      <c r="C41" s="13"/>
      <c r="D41" s="19"/>
      <c r="E41" s="19"/>
      <c r="F41" s="20"/>
      <c r="G41" s="20"/>
      <c r="H41" s="20"/>
      <c r="I41" s="20"/>
      <c r="J41" s="19"/>
      <c r="K41" s="19"/>
      <c r="L41" s="21">
        <f>IF(OR($B41="",$D41=""),"",$D41+N($E41))</f>
        <v/>
      </c>
      <c r="M41" s="22">
        <f>IF($L41="","",IF($F41="",pImp,$F41)+IF($G41="",pCom,$G41)+IF($H41="",pTax,$H41)+pFixo+IF($I41="",pLucro,$I41))</f>
        <v/>
      </c>
      <c r="N41" s="21">
        <f>IF($L41="","",IF($M41&gt;=1,"Revisar %",$L41/(1-$M41)))</f>
        <v/>
      </c>
      <c r="O41" s="23">
        <f>IF(ISNUMBER($N41),ROUNDUP($N41,0)+IF(ROUNDUP($N41,0)-0.1&gt;=$N41,-0.1,0.9),$N41)</f>
        <v/>
      </c>
      <c r="P41" s="24">
        <f>IF(AND(ISNUMBER($O41),N($L41)&gt;0),$O41/$L41,"")</f>
        <v/>
      </c>
      <c r="Q41" s="21">
        <f>IF(ISNUMBER($N41),$L41/(1-($M41-IF($I41="",pLucro,$I41))),"")</f>
        <v/>
      </c>
      <c r="R41" s="21">
        <f>IF(OR($K41="",NOT(ISNUMBER($N41))),"",$K41*(1-($M41-IF($I41="",pLucro,$I41)))-$L41)</f>
        <v/>
      </c>
      <c r="S41" s="22">
        <f>IF($R41="","",$R41/$K41)</f>
        <v/>
      </c>
      <c r="T41" s="25">
        <f>IF($L41="","",IF(NOT(ISNUMBER($N41)),"Revisar %",IF($K41="","Sem preço atual",IF($R41&lt;0,"PREJUÍZO",IF($K41&lt;$N41,"Abaixo do ideal","OK")))))</f>
        <v/>
      </c>
      <c r="U41" s="25">
        <f>IF(OR($J41="",NOT(ISNUMBER($O41))),"",IF($O41&lt;=$J41,"Competitivo ("&amp;ROUND(($O41/$J41-1)*100,1)&amp;"%)","Acima do concorrente (+"&amp;ROUND(($O41/$J41-1)*100,1)&amp;"%)"))</f>
        <v/>
      </c>
    </row>
    <row r="42" spans="1:21">
      <c r="A42" s="13"/>
      <c r="B42" s="13"/>
      <c r="C42" s="13"/>
      <c r="D42" s="19"/>
      <c r="E42" s="19"/>
      <c r="F42" s="20"/>
      <c r="G42" s="20"/>
      <c r="H42" s="20"/>
      <c r="I42" s="20"/>
      <c r="J42" s="19"/>
      <c r="K42" s="19"/>
      <c r="L42" s="21">
        <f>IF(OR($B42="",$D42=""),"",$D42+N($E42))</f>
        <v/>
      </c>
      <c r="M42" s="22">
        <f>IF($L42="","",IF($F42="",pImp,$F42)+IF($G42="",pCom,$G42)+IF($H42="",pTax,$H42)+pFixo+IF($I42="",pLucro,$I42))</f>
        <v/>
      </c>
      <c r="N42" s="21">
        <f>IF($L42="","",IF($M42&gt;=1,"Revisar %",$L42/(1-$M42)))</f>
        <v/>
      </c>
      <c r="O42" s="23">
        <f>IF(ISNUMBER($N42),ROUNDUP($N42,0)+IF(ROUNDUP($N42,0)-0.1&gt;=$N42,-0.1,0.9),$N42)</f>
        <v/>
      </c>
      <c r="P42" s="24">
        <f>IF(AND(ISNUMBER($O42),N($L42)&gt;0),$O42/$L42,"")</f>
        <v/>
      </c>
      <c r="Q42" s="21">
        <f>IF(ISNUMBER($N42),$L42/(1-($M42-IF($I42="",pLucro,$I42))),"")</f>
        <v/>
      </c>
      <c r="R42" s="21">
        <f>IF(OR($K42="",NOT(ISNUMBER($N42))),"",$K42*(1-($M42-IF($I42="",pLucro,$I42)))-$L42)</f>
        <v/>
      </c>
      <c r="S42" s="22">
        <f>IF($R42="","",$R42/$K42)</f>
        <v/>
      </c>
      <c r="T42" s="25">
        <f>IF($L42="","",IF(NOT(ISNUMBER($N42)),"Revisar %",IF($K42="","Sem preço atual",IF($R42&lt;0,"PREJUÍZO",IF($K42&lt;$N42,"Abaixo do ideal","OK")))))</f>
        <v/>
      </c>
      <c r="U42" s="25">
        <f>IF(OR($J42="",NOT(ISNUMBER($O42))),"",IF($O42&lt;=$J42,"Competitivo ("&amp;ROUND(($O42/$J42-1)*100,1)&amp;"%)","Acima do concorrente (+"&amp;ROUND(($O42/$J42-1)*100,1)&amp;"%)"))</f>
        <v/>
      </c>
    </row>
    <row r="43" spans="1:21">
      <c r="A43" s="13"/>
      <c r="B43" s="13"/>
      <c r="C43" s="13"/>
      <c r="D43" s="19"/>
      <c r="E43" s="19"/>
      <c r="F43" s="20"/>
      <c r="G43" s="20"/>
      <c r="H43" s="20"/>
      <c r="I43" s="20"/>
      <c r="J43" s="19"/>
      <c r="K43" s="19"/>
      <c r="L43" s="21">
        <f>IF(OR($B43="",$D43=""),"",$D43+N($E43))</f>
        <v/>
      </c>
      <c r="M43" s="22">
        <f>IF($L43="","",IF($F43="",pImp,$F43)+IF($G43="",pCom,$G43)+IF($H43="",pTax,$H43)+pFixo+IF($I43="",pLucro,$I43))</f>
        <v/>
      </c>
      <c r="N43" s="21">
        <f>IF($L43="","",IF($M43&gt;=1,"Revisar %",$L43/(1-$M43)))</f>
        <v/>
      </c>
      <c r="O43" s="23">
        <f>IF(ISNUMBER($N43),ROUNDUP($N43,0)+IF(ROUNDUP($N43,0)-0.1&gt;=$N43,-0.1,0.9),$N43)</f>
        <v/>
      </c>
      <c r="P43" s="24">
        <f>IF(AND(ISNUMBER($O43),N($L43)&gt;0),$O43/$L43,"")</f>
        <v/>
      </c>
      <c r="Q43" s="21">
        <f>IF(ISNUMBER($N43),$L43/(1-($M43-IF($I43="",pLucro,$I43))),"")</f>
        <v/>
      </c>
      <c r="R43" s="21">
        <f>IF(OR($K43="",NOT(ISNUMBER($N43))),"",$K43*(1-($M43-IF($I43="",pLucro,$I43)))-$L43)</f>
        <v/>
      </c>
      <c r="S43" s="22">
        <f>IF($R43="","",$R43/$K43)</f>
        <v/>
      </c>
      <c r="T43" s="25">
        <f>IF($L43="","",IF(NOT(ISNUMBER($N43)),"Revisar %",IF($K43="","Sem preço atual",IF($R43&lt;0,"PREJUÍZO",IF($K43&lt;$N43,"Abaixo do ideal","OK")))))</f>
        <v/>
      </c>
      <c r="U43" s="25">
        <f>IF(OR($J43="",NOT(ISNUMBER($O43))),"",IF($O43&lt;=$J43,"Competitivo ("&amp;ROUND(($O43/$J43-1)*100,1)&amp;"%)","Acima do concorrente (+"&amp;ROUND(($O43/$J43-1)*100,1)&amp;"%)"))</f>
        <v/>
      </c>
    </row>
    <row r="44" spans="1:21">
      <c r="A44" s="13"/>
      <c r="B44" s="13"/>
      <c r="C44" s="13"/>
      <c r="D44" s="19"/>
      <c r="E44" s="19"/>
      <c r="F44" s="20"/>
      <c r="G44" s="20"/>
      <c r="H44" s="20"/>
      <c r="I44" s="20"/>
      <c r="J44" s="19"/>
      <c r="K44" s="19"/>
      <c r="L44" s="21">
        <f>IF(OR($B44="",$D44=""),"",$D44+N($E44))</f>
        <v/>
      </c>
      <c r="M44" s="22">
        <f>IF($L44="","",IF($F44="",pImp,$F44)+IF($G44="",pCom,$G44)+IF($H44="",pTax,$H44)+pFixo+IF($I44="",pLucro,$I44))</f>
        <v/>
      </c>
      <c r="N44" s="21">
        <f>IF($L44="","",IF($M44&gt;=1,"Revisar %",$L44/(1-$M44)))</f>
        <v/>
      </c>
      <c r="O44" s="23">
        <f>IF(ISNUMBER($N44),ROUNDUP($N44,0)+IF(ROUNDUP($N44,0)-0.1&gt;=$N44,-0.1,0.9),$N44)</f>
        <v/>
      </c>
      <c r="P44" s="24">
        <f>IF(AND(ISNUMBER($O44),N($L44)&gt;0),$O44/$L44,"")</f>
        <v/>
      </c>
      <c r="Q44" s="21">
        <f>IF(ISNUMBER($N44),$L44/(1-($M44-IF($I44="",pLucro,$I44))),"")</f>
        <v/>
      </c>
      <c r="R44" s="21">
        <f>IF(OR($K44="",NOT(ISNUMBER($N44))),"",$K44*(1-($M44-IF($I44="",pLucro,$I44)))-$L44)</f>
        <v/>
      </c>
      <c r="S44" s="22">
        <f>IF($R44="","",$R44/$K44)</f>
        <v/>
      </c>
      <c r="T44" s="25">
        <f>IF($L44="","",IF(NOT(ISNUMBER($N44)),"Revisar %",IF($K44="","Sem preço atual",IF($R44&lt;0,"PREJUÍZO",IF($K44&lt;$N44,"Abaixo do ideal","OK")))))</f>
        <v/>
      </c>
      <c r="U44" s="25">
        <f>IF(OR($J44="",NOT(ISNUMBER($O44))),"",IF($O44&lt;=$J44,"Competitivo ("&amp;ROUND(($O44/$J44-1)*100,1)&amp;"%)","Acima do concorrente (+"&amp;ROUND(($O44/$J44-1)*100,1)&amp;"%)"))</f>
        <v/>
      </c>
    </row>
    <row r="45" spans="1:21">
      <c r="A45" s="13"/>
      <c r="B45" s="13"/>
      <c r="C45" s="13"/>
      <c r="D45" s="19"/>
      <c r="E45" s="19"/>
      <c r="F45" s="20"/>
      <c r="G45" s="20"/>
      <c r="H45" s="20"/>
      <c r="I45" s="20"/>
      <c r="J45" s="19"/>
      <c r="K45" s="19"/>
      <c r="L45" s="21">
        <f>IF(OR($B45="",$D45=""),"",$D45+N($E45))</f>
        <v/>
      </c>
      <c r="M45" s="22">
        <f>IF($L45="","",IF($F45="",pImp,$F45)+IF($G45="",pCom,$G45)+IF($H45="",pTax,$H45)+pFixo+IF($I45="",pLucro,$I45))</f>
        <v/>
      </c>
      <c r="N45" s="21">
        <f>IF($L45="","",IF($M45&gt;=1,"Revisar %",$L45/(1-$M45)))</f>
        <v/>
      </c>
      <c r="O45" s="23">
        <f>IF(ISNUMBER($N45),ROUNDUP($N45,0)+IF(ROUNDUP($N45,0)-0.1&gt;=$N45,-0.1,0.9),$N45)</f>
        <v/>
      </c>
      <c r="P45" s="24">
        <f>IF(AND(ISNUMBER($O45),N($L45)&gt;0),$O45/$L45,"")</f>
        <v/>
      </c>
      <c r="Q45" s="21">
        <f>IF(ISNUMBER($N45),$L45/(1-($M45-IF($I45="",pLucro,$I45))),"")</f>
        <v/>
      </c>
      <c r="R45" s="21">
        <f>IF(OR($K45="",NOT(ISNUMBER($N45))),"",$K45*(1-($M45-IF($I45="",pLucro,$I45)))-$L45)</f>
        <v/>
      </c>
      <c r="S45" s="22">
        <f>IF($R45="","",$R45/$K45)</f>
        <v/>
      </c>
      <c r="T45" s="25">
        <f>IF($L45="","",IF(NOT(ISNUMBER($N45)),"Revisar %",IF($K45="","Sem preço atual",IF($R45&lt;0,"PREJUÍZO",IF($K45&lt;$N45,"Abaixo do ideal","OK")))))</f>
        <v/>
      </c>
      <c r="U45" s="25">
        <f>IF(OR($J45="",NOT(ISNUMBER($O45))),"",IF($O45&lt;=$J45,"Competitivo ("&amp;ROUND(($O45/$J45-1)*100,1)&amp;"%)","Acima do concorrente (+"&amp;ROUND(($O45/$J45-1)*100,1)&amp;"%)"))</f>
        <v/>
      </c>
    </row>
    <row r="46" spans="1:21">
      <c r="A46" s="13"/>
      <c r="B46" s="13"/>
      <c r="C46" s="13"/>
      <c r="D46" s="19"/>
      <c r="E46" s="19"/>
      <c r="F46" s="20"/>
      <c r="G46" s="20"/>
      <c r="H46" s="20"/>
      <c r="I46" s="20"/>
      <c r="J46" s="19"/>
      <c r="K46" s="19"/>
      <c r="L46" s="21">
        <f>IF(OR($B46="",$D46=""),"",$D46+N($E46))</f>
        <v/>
      </c>
      <c r="M46" s="22">
        <f>IF($L46="","",IF($F46="",pImp,$F46)+IF($G46="",pCom,$G46)+IF($H46="",pTax,$H46)+pFixo+IF($I46="",pLucro,$I46))</f>
        <v/>
      </c>
      <c r="N46" s="21">
        <f>IF($L46="","",IF($M46&gt;=1,"Revisar %",$L46/(1-$M46)))</f>
        <v/>
      </c>
      <c r="O46" s="23">
        <f>IF(ISNUMBER($N46),ROUNDUP($N46,0)+IF(ROUNDUP($N46,0)-0.1&gt;=$N46,-0.1,0.9),$N46)</f>
        <v/>
      </c>
      <c r="P46" s="24">
        <f>IF(AND(ISNUMBER($O46),N($L46)&gt;0),$O46/$L46,"")</f>
        <v/>
      </c>
      <c r="Q46" s="21">
        <f>IF(ISNUMBER($N46),$L46/(1-($M46-IF($I46="",pLucro,$I46))),"")</f>
        <v/>
      </c>
      <c r="R46" s="21">
        <f>IF(OR($K46="",NOT(ISNUMBER($N46))),"",$K46*(1-($M46-IF($I46="",pLucro,$I46)))-$L46)</f>
        <v/>
      </c>
      <c r="S46" s="22">
        <f>IF($R46="","",$R46/$K46)</f>
        <v/>
      </c>
      <c r="T46" s="25">
        <f>IF($L46="","",IF(NOT(ISNUMBER($N46)),"Revisar %",IF($K46="","Sem preço atual",IF($R46&lt;0,"PREJUÍZO",IF($K46&lt;$N46,"Abaixo do ideal","OK")))))</f>
        <v/>
      </c>
      <c r="U46" s="25">
        <f>IF(OR($J46="",NOT(ISNUMBER($O46))),"",IF($O46&lt;=$J46,"Competitivo ("&amp;ROUND(($O46/$J46-1)*100,1)&amp;"%)","Acima do concorrente (+"&amp;ROUND(($O46/$J46-1)*100,1)&amp;"%)"))</f>
        <v/>
      </c>
    </row>
    <row r="47" spans="1:21">
      <c r="A47" s="13"/>
      <c r="B47" s="13"/>
      <c r="C47" s="13"/>
      <c r="D47" s="19"/>
      <c r="E47" s="19"/>
      <c r="F47" s="20"/>
      <c r="G47" s="20"/>
      <c r="H47" s="20"/>
      <c r="I47" s="20"/>
      <c r="J47" s="19"/>
      <c r="K47" s="19"/>
      <c r="L47" s="21">
        <f>IF(OR($B47="",$D47=""),"",$D47+N($E47))</f>
        <v/>
      </c>
      <c r="M47" s="22">
        <f>IF($L47="","",IF($F47="",pImp,$F47)+IF($G47="",pCom,$G47)+IF($H47="",pTax,$H47)+pFixo+IF($I47="",pLucro,$I47))</f>
        <v/>
      </c>
      <c r="N47" s="21">
        <f>IF($L47="","",IF($M47&gt;=1,"Revisar %",$L47/(1-$M47)))</f>
        <v/>
      </c>
      <c r="O47" s="23">
        <f>IF(ISNUMBER($N47),ROUNDUP($N47,0)+IF(ROUNDUP($N47,0)-0.1&gt;=$N47,-0.1,0.9),$N47)</f>
        <v/>
      </c>
      <c r="P47" s="24">
        <f>IF(AND(ISNUMBER($O47),N($L47)&gt;0),$O47/$L47,"")</f>
        <v/>
      </c>
      <c r="Q47" s="21">
        <f>IF(ISNUMBER($N47),$L47/(1-($M47-IF($I47="",pLucro,$I47))),"")</f>
        <v/>
      </c>
      <c r="R47" s="21">
        <f>IF(OR($K47="",NOT(ISNUMBER($N47))),"",$K47*(1-($M47-IF($I47="",pLucro,$I47)))-$L47)</f>
        <v/>
      </c>
      <c r="S47" s="22">
        <f>IF($R47="","",$R47/$K47)</f>
        <v/>
      </c>
      <c r="T47" s="25">
        <f>IF($L47="","",IF(NOT(ISNUMBER($N47)),"Revisar %",IF($K47="","Sem preço atual",IF($R47&lt;0,"PREJUÍZO",IF($K47&lt;$N47,"Abaixo do ideal","OK")))))</f>
        <v/>
      </c>
      <c r="U47" s="25">
        <f>IF(OR($J47="",NOT(ISNUMBER($O47))),"",IF($O47&lt;=$J47,"Competitivo ("&amp;ROUND(($O47/$J47-1)*100,1)&amp;"%)","Acima do concorrente (+"&amp;ROUND(($O47/$J47-1)*100,1)&amp;"%)"))</f>
        <v/>
      </c>
    </row>
    <row r="48" spans="1:21">
      <c r="A48" s="13"/>
      <c r="B48" s="13"/>
      <c r="C48" s="13"/>
      <c r="D48" s="19"/>
      <c r="E48" s="19"/>
      <c r="F48" s="20"/>
      <c r="G48" s="20"/>
      <c r="H48" s="20"/>
      <c r="I48" s="20"/>
      <c r="J48" s="19"/>
      <c r="K48" s="19"/>
      <c r="L48" s="21">
        <f>IF(OR($B48="",$D48=""),"",$D48+N($E48))</f>
        <v/>
      </c>
      <c r="M48" s="22">
        <f>IF($L48="","",IF($F48="",pImp,$F48)+IF($G48="",pCom,$G48)+IF($H48="",pTax,$H48)+pFixo+IF($I48="",pLucro,$I48))</f>
        <v/>
      </c>
      <c r="N48" s="21">
        <f>IF($L48="","",IF($M48&gt;=1,"Revisar %",$L48/(1-$M48)))</f>
        <v/>
      </c>
      <c r="O48" s="23">
        <f>IF(ISNUMBER($N48),ROUNDUP($N48,0)+IF(ROUNDUP($N48,0)-0.1&gt;=$N48,-0.1,0.9),$N48)</f>
        <v/>
      </c>
      <c r="P48" s="24">
        <f>IF(AND(ISNUMBER($O48),N($L48)&gt;0),$O48/$L48,"")</f>
        <v/>
      </c>
      <c r="Q48" s="21">
        <f>IF(ISNUMBER($N48),$L48/(1-($M48-IF($I48="",pLucro,$I48))),"")</f>
        <v/>
      </c>
      <c r="R48" s="21">
        <f>IF(OR($K48="",NOT(ISNUMBER($N48))),"",$K48*(1-($M48-IF($I48="",pLucro,$I48)))-$L48)</f>
        <v/>
      </c>
      <c r="S48" s="22">
        <f>IF($R48="","",$R48/$K48)</f>
        <v/>
      </c>
      <c r="T48" s="25">
        <f>IF($L48="","",IF(NOT(ISNUMBER($N48)),"Revisar %",IF($K48="","Sem preço atual",IF($R48&lt;0,"PREJUÍZO",IF($K48&lt;$N48,"Abaixo do ideal","OK")))))</f>
        <v/>
      </c>
      <c r="U48" s="25">
        <f>IF(OR($J48="",NOT(ISNUMBER($O48))),"",IF($O48&lt;=$J48,"Competitivo ("&amp;ROUND(($O48/$J48-1)*100,1)&amp;"%)","Acima do concorrente (+"&amp;ROUND(($O48/$J48-1)*100,1)&amp;"%)"))</f>
        <v/>
      </c>
    </row>
    <row r="49" spans="1:21">
      <c r="A49" s="13"/>
      <c r="B49" s="13"/>
      <c r="C49" s="13"/>
      <c r="D49" s="19"/>
      <c r="E49" s="19"/>
      <c r="F49" s="20"/>
      <c r="G49" s="20"/>
      <c r="H49" s="20"/>
      <c r="I49" s="20"/>
      <c r="J49" s="19"/>
      <c r="K49" s="19"/>
      <c r="L49" s="21">
        <f>IF(OR($B49="",$D49=""),"",$D49+N($E49))</f>
        <v/>
      </c>
      <c r="M49" s="22">
        <f>IF($L49="","",IF($F49="",pImp,$F49)+IF($G49="",pCom,$G49)+IF($H49="",pTax,$H49)+pFixo+IF($I49="",pLucro,$I49))</f>
        <v/>
      </c>
      <c r="N49" s="21">
        <f>IF($L49="","",IF($M49&gt;=1,"Revisar %",$L49/(1-$M49)))</f>
        <v/>
      </c>
      <c r="O49" s="23">
        <f>IF(ISNUMBER($N49),ROUNDUP($N49,0)+IF(ROUNDUP($N49,0)-0.1&gt;=$N49,-0.1,0.9),$N49)</f>
        <v/>
      </c>
      <c r="P49" s="24">
        <f>IF(AND(ISNUMBER($O49),N($L49)&gt;0),$O49/$L49,"")</f>
        <v/>
      </c>
      <c r="Q49" s="21">
        <f>IF(ISNUMBER($N49),$L49/(1-($M49-IF($I49="",pLucro,$I49))),"")</f>
        <v/>
      </c>
      <c r="R49" s="21">
        <f>IF(OR($K49="",NOT(ISNUMBER($N49))),"",$K49*(1-($M49-IF($I49="",pLucro,$I49)))-$L49)</f>
        <v/>
      </c>
      <c r="S49" s="22">
        <f>IF($R49="","",$R49/$K49)</f>
        <v/>
      </c>
      <c r="T49" s="25">
        <f>IF($L49="","",IF(NOT(ISNUMBER($N49)),"Revisar %",IF($K49="","Sem preço atual",IF($R49&lt;0,"PREJUÍZO",IF($K49&lt;$N49,"Abaixo do ideal","OK")))))</f>
        <v/>
      </c>
      <c r="U49" s="25">
        <f>IF(OR($J49="",NOT(ISNUMBER($O49))),"",IF($O49&lt;=$J49,"Competitivo ("&amp;ROUND(($O49/$J49-1)*100,1)&amp;"%)","Acima do concorrente (+"&amp;ROUND(($O49/$J49-1)*100,1)&amp;"%)"))</f>
        <v/>
      </c>
    </row>
    <row r="50" spans="1:21">
      <c r="A50" s="13"/>
      <c r="B50" s="13"/>
      <c r="C50" s="13"/>
      <c r="D50" s="19"/>
      <c r="E50" s="19"/>
      <c r="F50" s="20"/>
      <c r="G50" s="20"/>
      <c r="H50" s="20"/>
      <c r="I50" s="20"/>
      <c r="J50" s="19"/>
      <c r="K50" s="19"/>
      <c r="L50" s="21">
        <f>IF(OR($B50="",$D50=""),"",$D50+N($E50))</f>
        <v/>
      </c>
      <c r="M50" s="22">
        <f>IF($L50="","",IF($F50="",pImp,$F50)+IF($G50="",pCom,$G50)+IF($H50="",pTax,$H50)+pFixo+IF($I50="",pLucro,$I50))</f>
        <v/>
      </c>
      <c r="N50" s="21">
        <f>IF($L50="","",IF($M50&gt;=1,"Revisar %",$L50/(1-$M50)))</f>
        <v/>
      </c>
      <c r="O50" s="23">
        <f>IF(ISNUMBER($N50),ROUNDUP($N50,0)+IF(ROUNDUP($N50,0)-0.1&gt;=$N50,-0.1,0.9),$N50)</f>
        <v/>
      </c>
      <c r="P50" s="24">
        <f>IF(AND(ISNUMBER($O50),N($L50)&gt;0),$O50/$L50,"")</f>
        <v/>
      </c>
      <c r="Q50" s="21">
        <f>IF(ISNUMBER($N50),$L50/(1-($M50-IF($I50="",pLucro,$I50))),"")</f>
        <v/>
      </c>
      <c r="R50" s="21">
        <f>IF(OR($K50="",NOT(ISNUMBER($N50))),"",$K50*(1-($M50-IF($I50="",pLucro,$I50)))-$L50)</f>
        <v/>
      </c>
      <c r="S50" s="22">
        <f>IF($R50="","",$R50/$K50)</f>
        <v/>
      </c>
      <c r="T50" s="25">
        <f>IF($L50="","",IF(NOT(ISNUMBER($N50)),"Revisar %",IF($K50="","Sem preço atual",IF($R50&lt;0,"PREJUÍZO",IF($K50&lt;$N50,"Abaixo do ideal","OK")))))</f>
        <v/>
      </c>
      <c r="U50" s="25">
        <f>IF(OR($J50="",NOT(ISNUMBER($O50))),"",IF($O50&lt;=$J50,"Competitivo ("&amp;ROUND(($O50/$J50-1)*100,1)&amp;"%)","Acima do concorrente (+"&amp;ROUND(($O50/$J50-1)*100,1)&amp;"%)"))</f>
        <v/>
      </c>
    </row>
    <row r="51" spans="1:21">
      <c r="A51" s="13"/>
      <c r="B51" s="13"/>
      <c r="C51" s="13"/>
      <c r="D51" s="19"/>
      <c r="E51" s="19"/>
      <c r="F51" s="20"/>
      <c r="G51" s="20"/>
      <c r="H51" s="20"/>
      <c r="I51" s="20"/>
      <c r="J51" s="19"/>
      <c r="K51" s="19"/>
      <c r="L51" s="21">
        <f>IF(OR($B51="",$D51=""),"",$D51+N($E51))</f>
        <v/>
      </c>
      <c r="M51" s="22">
        <f>IF($L51="","",IF($F51="",pImp,$F51)+IF($G51="",pCom,$G51)+IF($H51="",pTax,$H51)+pFixo+IF($I51="",pLucro,$I51))</f>
        <v/>
      </c>
      <c r="N51" s="21">
        <f>IF($L51="","",IF($M51&gt;=1,"Revisar %",$L51/(1-$M51)))</f>
        <v/>
      </c>
      <c r="O51" s="23">
        <f>IF(ISNUMBER($N51),ROUNDUP($N51,0)+IF(ROUNDUP($N51,0)-0.1&gt;=$N51,-0.1,0.9),$N51)</f>
        <v/>
      </c>
      <c r="P51" s="24">
        <f>IF(AND(ISNUMBER($O51),N($L51)&gt;0),$O51/$L51,"")</f>
        <v/>
      </c>
      <c r="Q51" s="21">
        <f>IF(ISNUMBER($N51),$L51/(1-($M51-IF($I51="",pLucro,$I51))),"")</f>
        <v/>
      </c>
      <c r="R51" s="21">
        <f>IF(OR($K51="",NOT(ISNUMBER($N51))),"",$K51*(1-($M51-IF($I51="",pLucro,$I51)))-$L51)</f>
        <v/>
      </c>
      <c r="S51" s="22">
        <f>IF($R51="","",$R51/$K51)</f>
        <v/>
      </c>
      <c r="T51" s="25">
        <f>IF($L51="","",IF(NOT(ISNUMBER($N51)),"Revisar %",IF($K51="","Sem preço atual",IF($R51&lt;0,"PREJUÍZO",IF($K51&lt;$N51,"Abaixo do ideal","OK")))))</f>
        <v/>
      </c>
      <c r="U51" s="25">
        <f>IF(OR($J51="",NOT(ISNUMBER($O51))),"",IF($O51&lt;=$J51,"Competitivo ("&amp;ROUND(($O51/$J51-1)*100,1)&amp;"%)","Acima do concorrente (+"&amp;ROUND(($O51/$J51-1)*100,1)&amp;"%)"))</f>
        <v/>
      </c>
    </row>
    <row r="52" spans="1:21">
      <c r="A52" s="13"/>
      <c r="B52" s="13"/>
      <c r="C52" s="13"/>
      <c r="D52" s="19"/>
      <c r="E52" s="19"/>
      <c r="F52" s="20"/>
      <c r="G52" s="20"/>
      <c r="H52" s="20"/>
      <c r="I52" s="20"/>
      <c r="J52" s="19"/>
      <c r="K52" s="19"/>
      <c r="L52" s="21">
        <f>IF(OR($B52="",$D52=""),"",$D52+N($E52))</f>
        <v/>
      </c>
      <c r="M52" s="22">
        <f>IF($L52="","",IF($F52="",pImp,$F52)+IF($G52="",pCom,$G52)+IF($H52="",pTax,$H52)+pFixo+IF($I52="",pLucro,$I52))</f>
        <v/>
      </c>
      <c r="N52" s="21">
        <f>IF($L52="","",IF($M52&gt;=1,"Revisar %",$L52/(1-$M52)))</f>
        <v/>
      </c>
      <c r="O52" s="23">
        <f>IF(ISNUMBER($N52),ROUNDUP($N52,0)+IF(ROUNDUP($N52,0)-0.1&gt;=$N52,-0.1,0.9),$N52)</f>
        <v/>
      </c>
      <c r="P52" s="24">
        <f>IF(AND(ISNUMBER($O52),N($L52)&gt;0),$O52/$L52,"")</f>
        <v/>
      </c>
      <c r="Q52" s="21">
        <f>IF(ISNUMBER($N52),$L52/(1-($M52-IF($I52="",pLucro,$I52))),"")</f>
        <v/>
      </c>
      <c r="R52" s="21">
        <f>IF(OR($K52="",NOT(ISNUMBER($N52))),"",$K52*(1-($M52-IF($I52="",pLucro,$I52)))-$L52)</f>
        <v/>
      </c>
      <c r="S52" s="22">
        <f>IF($R52="","",$R52/$K52)</f>
        <v/>
      </c>
      <c r="T52" s="25">
        <f>IF($L52="","",IF(NOT(ISNUMBER($N52)),"Revisar %",IF($K52="","Sem preço atual",IF($R52&lt;0,"PREJUÍZO",IF($K52&lt;$N52,"Abaixo do ideal","OK")))))</f>
        <v/>
      </c>
      <c r="U52" s="25">
        <f>IF(OR($J52="",NOT(ISNUMBER($O52))),"",IF($O52&lt;=$J52,"Competitivo ("&amp;ROUND(($O52/$J52-1)*100,1)&amp;"%)","Acima do concorrente (+"&amp;ROUND(($O52/$J52-1)*100,1)&amp;"%)"))</f>
        <v/>
      </c>
    </row>
    <row r="53" spans="1:21">
      <c r="A53" s="13"/>
      <c r="B53" s="13"/>
      <c r="C53" s="13"/>
      <c r="D53" s="19"/>
      <c r="E53" s="19"/>
      <c r="F53" s="20"/>
      <c r="G53" s="20"/>
      <c r="H53" s="20"/>
      <c r="I53" s="20"/>
      <c r="J53" s="19"/>
      <c r="K53" s="19"/>
      <c r="L53" s="21">
        <f>IF(OR($B53="",$D53=""),"",$D53+N($E53))</f>
        <v/>
      </c>
      <c r="M53" s="22">
        <f>IF($L53="","",IF($F53="",pImp,$F53)+IF($G53="",pCom,$G53)+IF($H53="",pTax,$H53)+pFixo+IF($I53="",pLucro,$I53))</f>
        <v/>
      </c>
      <c r="N53" s="21">
        <f>IF($L53="","",IF($M53&gt;=1,"Revisar %",$L53/(1-$M53)))</f>
        <v/>
      </c>
      <c r="O53" s="23">
        <f>IF(ISNUMBER($N53),ROUNDUP($N53,0)+IF(ROUNDUP($N53,0)-0.1&gt;=$N53,-0.1,0.9),$N53)</f>
        <v/>
      </c>
      <c r="P53" s="24">
        <f>IF(AND(ISNUMBER($O53),N($L53)&gt;0),$O53/$L53,"")</f>
        <v/>
      </c>
      <c r="Q53" s="21">
        <f>IF(ISNUMBER($N53),$L53/(1-($M53-IF($I53="",pLucro,$I53))),"")</f>
        <v/>
      </c>
      <c r="R53" s="21">
        <f>IF(OR($K53="",NOT(ISNUMBER($N53))),"",$K53*(1-($M53-IF($I53="",pLucro,$I53)))-$L53)</f>
        <v/>
      </c>
      <c r="S53" s="22">
        <f>IF($R53="","",$R53/$K53)</f>
        <v/>
      </c>
      <c r="T53" s="25">
        <f>IF($L53="","",IF(NOT(ISNUMBER($N53)),"Revisar %",IF($K53="","Sem preço atual",IF($R53&lt;0,"PREJUÍZO",IF($K53&lt;$N53,"Abaixo do ideal","OK")))))</f>
        <v/>
      </c>
      <c r="U53" s="25">
        <f>IF(OR($J53="",NOT(ISNUMBER($O53))),"",IF($O53&lt;=$J53,"Competitivo ("&amp;ROUND(($O53/$J53-1)*100,1)&amp;"%)","Acima do concorrente (+"&amp;ROUND(($O53/$J53-1)*100,1)&amp;"%)"))</f>
        <v/>
      </c>
    </row>
    <row r="54" spans="1:21">
      <c r="A54" s="13"/>
      <c r="B54" s="13"/>
      <c r="C54" s="13"/>
      <c r="D54" s="19"/>
      <c r="E54" s="19"/>
      <c r="F54" s="20"/>
      <c r="G54" s="20"/>
      <c r="H54" s="20"/>
      <c r="I54" s="20"/>
      <c r="J54" s="19"/>
      <c r="K54" s="19"/>
      <c r="L54" s="21">
        <f>IF(OR($B54="",$D54=""),"",$D54+N($E54))</f>
        <v/>
      </c>
      <c r="M54" s="22">
        <f>IF($L54="","",IF($F54="",pImp,$F54)+IF($G54="",pCom,$G54)+IF($H54="",pTax,$H54)+pFixo+IF($I54="",pLucro,$I54))</f>
        <v/>
      </c>
      <c r="N54" s="21">
        <f>IF($L54="","",IF($M54&gt;=1,"Revisar %",$L54/(1-$M54)))</f>
        <v/>
      </c>
      <c r="O54" s="23">
        <f>IF(ISNUMBER($N54),ROUNDUP($N54,0)+IF(ROUNDUP($N54,0)-0.1&gt;=$N54,-0.1,0.9),$N54)</f>
        <v/>
      </c>
      <c r="P54" s="24">
        <f>IF(AND(ISNUMBER($O54),N($L54)&gt;0),$O54/$L54,"")</f>
        <v/>
      </c>
      <c r="Q54" s="21">
        <f>IF(ISNUMBER($N54),$L54/(1-($M54-IF($I54="",pLucro,$I54))),"")</f>
        <v/>
      </c>
      <c r="R54" s="21">
        <f>IF(OR($K54="",NOT(ISNUMBER($N54))),"",$K54*(1-($M54-IF($I54="",pLucro,$I54)))-$L54)</f>
        <v/>
      </c>
      <c r="S54" s="22">
        <f>IF($R54="","",$R54/$K54)</f>
        <v/>
      </c>
      <c r="T54" s="25">
        <f>IF($L54="","",IF(NOT(ISNUMBER($N54)),"Revisar %",IF($K54="","Sem preço atual",IF($R54&lt;0,"PREJUÍZO",IF($K54&lt;$N54,"Abaixo do ideal","OK")))))</f>
        <v/>
      </c>
      <c r="U54" s="25">
        <f>IF(OR($J54="",NOT(ISNUMBER($O54))),"",IF($O54&lt;=$J54,"Competitivo ("&amp;ROUND(($O54/$J54-1)*100,1)&amp;"%)","Acima do concorrente (+"&amp;ROUND(($O54/$J54-1)*100,1)&amp;"%)"))</f>
        <v/>
      </c>
    </row>
    <row r="55" spans="1:21">
      <c r="A55" s="13"/>
      <c r="B55" s="13"/>
      <c r="C55" s="13"/>
      <c r="D55" s="19"/>
      <c r="E55" s="19"/>
      <c r="F55" s="20"/>
      <c r="G55" s="20"/>
      <c r="H55" s="20"/>
      <c r="I55" s="20"/>
      <c r="J55" s="19"/>
      <c r="K55" s="19"/>
      <c r="L55" s="21">
        <f>IF(OR($B55="",$D55=""),"",$D55+N($E55))</f>
        <v/>
      </c>
      <c r="M55" s="22">
        <f>IF($L55="","",IF($F55="",pImp,$F55)+IF($G55="",pCom,$G55)+IF($H55="",pTax,$H55)+pFixo+IF($I55="",pLucro,$I55))</f>
        <v/>
      </c>
      <c r="N55" s="21">
        <f>IF($L55="","",IF($M55&gt;=1,"Revisar %",$L55/(1-$M55)))</f>
        <v/>
      </c>
      <c r="O55" s="23">
        <f>IF(ISNUMBER($N55),ROUNDUP($N55,0)+IF(ROUNDUP($N55,0)-0.1&gt;=$N55,-0.1,0.9),$N55)</f>
        <v/>
      </c>
      <c r="P55" s="24">
        <f>IF(AND(ISNUMBER($O55),N($L55)&gt;0),$O55/$L55,"")</f>
        <v/>
      </c>
      <c r="Q55" s="21">
        <f>IF(ISNUMBER($N55),$L55/(1-($M55-IF($I55="",pLucro,$I55))),"")</f>
        <v/>
      </c>
      <c r="R55" s="21">
        <f>IF(OR($K55="",NOT(ISNUMBER($N55))),"",$K55*(1-($M55-IF($I55="",pLucro,$I55)))-$L55)</f>
        <v/>
      </c>
      <c r="S55" s="22">
        <f>IF($R55="","",$R55/$K55)</f>
        <v/>
      </c>
      <c r="T55" s="25">
        <f>IF($L55="","",IF(NOT(ISNUMBER($N55)),"Revisar %",IF($K55="","Sem preço atual",IF($R55&lt;0,"PREJUÍZO",IF($K55&lt;$N55,"Abaixo do ideal","OK")))))</f>
        <v/>
      </c>
      <c r="U55" s="25">
        <f>IF(OR($J55="",NOT(ISNUMBER($O55))),"",IF($O55&lt;=$J55,"Competitivo ("&amp;ROUND(($O55/$J55-1)*100,1)&amp;"%)","Acima do concorrente (+"&amp;ROUND(($O55/$J55-1)*100,1)&amp;"%)"))</f>
        <v/>
      </c>
    </row>
    <row r="56" spans="1:21">
      <c r="A56" s="13"/>
      <c r="B56" s="13"/>
      <c r="C56" s="13"/>
      <c r="D56" s="19"/>
      <c r="E56" s="19"/>
      <c r="F56" s="20"/>
      <c r="G56" s="20"/>
      <c r="H56" s="20"/>
      <c r="I56" s="20"/>
      <c r="J56" s="19"/>
      <c r="K56" s="19"/>
      <c r="L56" s="21">
        <f>IF(OR($B56="",$D56=""),"",$D56+N($E56))</f>
        <v/>
      </c>
      <c r="M56" s="22">
        <f>IF($L56="","",IF($F56="",pImp,$F56)+IF($G56="",pCom,$G56)+IF($H56="",pTax,$H56)+pFixo+IF($I56="",pLucro,$I56))</f>
        <v/>
      </c>
      <c r="N56" s="21">
        <f>IF($L56="","",IF($M56&gt;=1,"Revisar %",$L56/(1-$M56)))</f>
        <v/>
      </c>
      <c r="O56" s="23">
        <f>IF(ISNUMBER($N56),ROUNDUP($N56,0)+IF(ROUNDUP($N56,0)-0.1&gt;=$N56,-0.1,0.9),$N56)</f>
        <v/>
      </c>
      <c r="P56" s="24">
        <f>IF(AND(ISNUMBER($O56),N($L56)&gt;0),$O56/$L56,"")</f>
        <v/>
      </c>
      <c r="Q56" s="21">
        <f>IF(ISNUMBER($N56),$L56/(1-($M56-IF($I56="",pLucro,$I56))),"")</f>
        <v/>
      </c>
      <c r="R56" s="21">
        <f>IF(OR($K56="",NOT(ISNUMBER($N56))),"",$K56*(1-($M56-IF($I56="",pLucro,$I56)))-$L56)</f>
        <v/>
      </c>
      <c r="S56" s="22">
        <f>IF($R56="","",$R56/$K56)</f>
        <v/>
      </c>
      <c r="T56" s="25">
        <f>IF($L56="","",IF(NOT(ISNUMBER($N56)),"Revisar %",IF($K56="","Sem preço atual",IF($R56&lt;0,"PREJUÍZO",IF($K56&lt;$N56,"Abaixo do ideal","OK")))))</f>
        <v/>
      </c>
      <c r="U56" s="25">
        <f>IF(OR($J56="",NOT(ISNUMBER($O56))),"",IF($O56&lt;=$J56,"Competitivo ("&amp;ROUND(($O56/$J56-1)*100,1)&amp;"%)","Acima do concorrente (+"&amp;ROUND(($O56/$J56-1)*100,1)&amp;"%)"))</f>
        <v/>
      </c>
    </row>
    <row r="57" spans="1:21">
      <c r="A57" s="13"/>
      <c r="B57" s="13"/>
      <c r="C57" s="13"/>
      <c r="D57" s="19"/>
      <c r="E57" s="19"/>
      <c r="F57" s="20"/>
      <c r="G57" s="20"/>
      <c r="H57" s="20"/>
      <c r="I57" s="20"/>
      <c r="J57" s="19"/>
      <c r="K57" s="19"/>
      <c r="L57" s="21">
        <f>IF(OR($B57="",$D57=""),"",$D57+N($E57))</f>
        <v/>
      </c>
      <c r="M57" s="22">
        <f>IF($L57="","",IF($F57="",pImp,$F57)+IF($G57="",pCom,$G57)+IF($H57="",pTax,$H57)+pFixo+IF($I57="",pLucro,$I57))</f>
        <v/>
      </c>
      <c r="N57" s="21">
        <f>IF($L57="","",IF($M57&gt;=1,"Revisar %",$L57/(1-$M57)))</f>
        <v/>
      </c>
      <c r="O57" s="23">
        <f>IF(ISNUMBER($N57),ROUNDUP($N57,0)+IF(ROUNDUP($N57,0)-0.1&gt;=$N57,-0.1,0.9),$N57)</f>
        <v/>
      </c>
      <c r="P57" s="24">
        <f>IF(AND(ISNUMBER($O57),N($L57)&gt;0),$O57/$L57,"")</f>
        <v/>
      </c>
      <c r="Q57" s="21">
        <f>IF(ISNUMBER($N57),$L57/(1-($M57-IF($I57="",pLucro,$I57))),"")</f>
        <v/>
      </c>
      <c r="R57" s="21">
        <f>IF(OR($K57="",NOT(ISNUMBER($N57))),"",$K57*(1-($M57-IF($I57="",pLucro,$I57)))-$L57)</f>
        <v/>
      </c>
      <c r="S57" s="22">
        <f>IF($R57="","",$R57/$K57)</f>
        <v/>
      </c>
      <c r="T57" s="25">
        <f>IF($L57="","",IF(NOT(ISNUMBER($N57)),"Revisar %",IF($K57="","Sem preço atual",IF($R57&lt;0,"PREJUÍZO",IF($K57&lt;$N57,"Abaixo do ideal","OK")))))</f>
        <v/>
      </c>
      <c r="U57" s="25">
        <f>IF(OR($J57="",NOT(ISNUMBER($O57))),"",IF($O57&lt;=$J57,"Competitivo ("&amp;ROUND(($O57/$J57-1)*100,1)&amp;"%)","Acima do concorrente (+"&amp;ROUND(($O57/$J57-1)*100,1)&amp;"%)"))</f>
        <v/>
      </c>
    </row>
    <row r="58" spans="1:21">
      <c r="A58" s="13"/>
      <c r="B58" s="13"/>
      <c r="C58" s="13"/>
      <c r="D58" s="19"/>
      <c r="E58" s="19"/>
      <c r="F58" s="20"/>
      <c r="G58" s="20"/>
      <c r="H58" s="20"/>
      <c r="I58" s="20"/>
      <c r="J58" s="19"/>
      <c r="K58" s="19"/>
      <c r="L58" s="21">
        <f>IF(OR($B58="",$D58=""),"",$D58+N($E58))</f>
        <v/>
      </c>
      <c r="M58" s="22">
        <f>IF($L58="","",IF($F58="",pImp,$F58)+IF($G58="",pCom,$G58)+IF($H58="",pTax,$H58)+pFixo+IF($I58="",pLucro,$I58))</f>
        <v/>
      </c>
      <c r="N58" s="21">
        <f>IF($L58="","",IF($M58&gt;=1,"Revisar %",$L58/(1-$M58)))</f>
        <v/>
      </c>
      <c r="O58" s="23">
        <f>IF(ISNUMBER($N58),ROUNDUP($N58,0)+IF(ROUNDUP($N58,0)-0.1&gt;=$N58,-0.1,0.9),$N58)</f>
        <v/>
      </c>
      <c r="P58" s="24">
        <f>IF(AND(ISNUMBER($O58),N($L58)&gt;0),$O58/$L58,"")</f>
        <v/>
      </c>
      <c r="Q58" s="21">
        <f>IF(ISNUMBER($N58),$L58/(1-($M58-IF($I58="",pLucro,$I58))),"")</f>
        <v/>
      </c>
      <c r="R58" s="21">
        <f>IF(OR($K58="",NOT(ISNUMBER($N58))),"",$K58*(1-($M58-IF($I58="",pLucro,$I58)))-$L58)</f>
        <v/>
      </c>
      <c r="S58" s="22">
        <f>IF($R58="","",$R58/$K58)</f>
        <v/>
      </c>
      <c r="T58" s="25">
        <f>IF($L58="","",IF(NOT(ISNUMBER($N58)),"Revisar %",IF($K58="","Sem preço atual",IF($R58&lt;0,"PREJUÍZO",IF($K58&lt;$N58,"Abaixo do ideal","OK")))))</f>
        <v/>
      </c>
      <c r="U58" s="25">
        <f>IF(OR($J58="",NOT(ISNUMBER($O58))),"",IF($O58&lt;=$J58,"Competitivo ("&amp;ROUND(($O58/$J58-1)*100,1)&amp;"%)","Acima do concorrente (+"&amp;ROUND(($O58/$J58-1)*100,1)&amp;"%)"))</f>
        <v/>
      </c>
    </row>
    <row r="59" spans="1:21">
      <c r="A59" s="13"/>
      <c r="B59" s="13"/>
      <c r="C59" s="13"/>
      <c r="D59" s="19"/>
      <c r="E59" s="19"/>
      <c r="F59" s="20"/>
      <c r="G59" s="20"/>
      <c r="H59" s="20"/>
      <c r="I59" s="20"/>
      <c r="J59" s="19"/>
      <c r="K59" s="19"/>
      <c r="L59" s="21">
        <f>IF(OR($B59="",$D59=""),"",$D59+N($E59))</f>
        <v/>
      </c>
      <c r="M59" s="22">
        <f>IF($L59="","",IF($F59="",pImp,$F59)+IF($G59="",pCom,$G59)+IF($H59="",pTax,$H59)+pFixo+IF($I59="",pLucro,$I59))</f>
        <v/>
      </c>
      <c r="N59" s="21">
        <f>IF($L59="","",IF($M59&gt;=1,"Revisar %",$L59/(1-$M59)))</f>
        <v/>
      </c>
      <c r="O59" s="23">
        <f>IF(ISNUMBER($N59),ROUNDUP($N59,0)+IF(ROUNDUP($N59,0)-0.1&gt;=$N59,-0.1,0.9),$N59)</f>
        <v/>
      </c>
      <c r="P59" s="24">
        <f>IF(AND(ISNUMBER($O59),N($L59)&gt;0),$O59/$L59,"")</f>
        <v/>
      </c>
      <c r="Q59" s="21">
        <f>IF(ISNUMBER($N59),$L59/(1-($M59-IF($I59="",pLucro,$I59))),"")</f>
        <v/>
      </c>
      <c r="R59" s="21">
        <f>IF(OR($K59="",NOT(ISNUMBER($N59))),"",$K59*(1-($M59-IF($I59="",pLucro,$I59)))-$L59)</f>
        <v/>
      </c>
      <c r="S59" s="22">
        <f>IF($R59="","",$R59/$K59)</f>
        <v/>
      </c>
      <c r="T59" s="25">
        <f>IF($L59="","",IF(NOT(ISNUMBER($N59)),"Revisar %",IF($K59="","Sem preço atual",IF($R59&lt;0,"PREJUÍZO",IF($K59&lt;$N59,"Abaixo do ideal","OK")))))</f>
        <v/>
      </c>
      <c r="U59" s="25">
        <f>IF(OR($J59="",NOT(ISNUMBER($O59))),"",IF($O59&lt;=$J59,"Competitivo ("&amp;ROUND(($O59/$J59-1)*100,1)&amp;"%)","Acima do concorrente (+"&amp;ROUND(($O59/$J59-1)*100,1)&amp;"%)"))</f>
        <v/>
      </c>
    </row>
    <row r="60" spans="1:21">
      <c r="A60" s="13"/>
      <c r="B60" s="13"/>
      <c r="C60" s="13"/>
      <c r="D60" s="19"/>
      <c r="E60" s="19"/>
      <c r="F60" s="20"/>
      <c r="G60" s="20"/>
      <c r="H60" s="20"/>
      <c r="I60" s="20"/>
      <c r="J60" s="19"/>
      <c r="K60" s="19"/>
      <c r="L60" s="21">
        <f>IF(OR($B60="",$D60=""),"",$D60+N($E60))</f>
        <v/>
      </c>
      <c r="M60" s="22">
        <f>IF($L60="","",IF($F60="",pImp,$F60)+IF($G60="",pCom,$G60)+IF($H60="",pTax,$H60)+pFixo+IF($I60="",pLucro,$I60))</f>
        <v/>
      </c>
      <c r="N60" s="21">
        <f>IF($L60="","",IF($M60&gt;=1,"Revisar %",$L60/(1-$M60)))</f>
        <v/>
      </c>
      <c r="O60" s="23">
        <f>IF(ISNUMBER($N60),ROUNDUP($N60,0)+IF(ROUNDUP($N60,0)-0.1&gt;=$N60,-0.1,0.9),$N60)</f>
        <v/>
      </c>
      <c r="P60" s="24">
        <f>IF(AND(ISNUMBER($O60),N($L60)&gt;0),$O60/$L60,"")</f>
        <v/>
      </c>
      <c r="Q60" s="21">
        <f>IF(ISNUMBER($N60),$L60/(1-($M60-IF($I60="",pLucro,$I60))),"")</f>
        <v/>
      </c>
      <c r="R60" s="21">
        <f>IF(OR($K60="",NOT(ISNUMBER($N60))),"",$K60*(1-($M60-IF($I60="",pLucro,$I60)))-$L60)</f>
        <v/>
      </c>
      <c r="S60" s="22">
        <f>IF($R60="","",$R60/$K60)</f>
        <v/>
      </c>
      <c r="T60" s="25">
        <f>IF($L60="","",IF(NOT(ISNUMBER($N60)),"Revisar %",IF($K60="","Sem preço atual",IF($R60&lt;0,"PREJUÍZO",IF($K60&lt;$N60,"Abaixo do ideal","OK")))))</f>
        <v/>
      </c>
      <c r="U60" s="25">
        <f>IF(OR($J60="",NOT(ISNUMBER($O60))),"",IF($O60&lt;=$J60,"Competitivo ("&amp;ROUND(($O60/$J60-1)*100,1)&amp;"%)","Acima do concorrente (+"&amp;ROUND(($O60/$J60-1)*100,1)&amp;"%)"))</f>
        <v/>
      </c>
    </row>
    <row r="61" spans="1:21">
      <c r="A61" s="13"/>
      <c r="B61" s="13"/>
      <c r="C61" s="13"/>
      <c r="D61" s="19"/>
      <c r="E61" s="19"/>
      <c r="F61" s="20"/>
      <c r="G61" s="20"/>
      <c r="H61" s="20"/>
      <c r="I61" s="20"/>
      <c r="J61" s="19"/>
      <c r="K61" s="19"/>
      <c r="L61" s="21">
        <f>IF(OR($B61="",$D61=""),"",$D61+N($E61))</f>
        <v/>
      </c>
      <c r="M61" s="22">
        <f>IF($L61="","",IF($F61="",pImp,$F61)+IF($G61="",pCom,$G61)+IF($H61="",pTax,$H61)+pFixo+IF($I61="",pLucro,$I61))</f>
        <v/>
      </c>
      <c r="N61" s="21">
        <f>IF($L61="","",IF($M61&gt;=1,"Revisar %",$L61/(1-$M61)))</f>
        <v/>
      </c>
      <c r="O61" s="23">
        <f>IF(ISNUMBER($N61),ROUNDUP($N61,0)+IF(ROUNDUP($N61,0)-0.1&gt;=$N61,-0.1,0.9),$N61)</f>
        <v/>
      </c>
      <c r="P61" s="24">
        <f>IF(AND(ISNUMBER($O61),N($L61)&gt;0),$O61/$L61,"")</f>
        <v/>
      </c>
      <c r="Q61" s="21">
        <f>IF(ISNUMBER($N61),$L61/(1-($M61-IF($I61="",pLucro,$I61))),"")</f>
        <v/>
      </c>
      <c r="R61" s="21">
        <f>IF(OR($K61="",NOT(ISNUMBER($N61))),"",$K61*(1-($M61-IF($I61="",pLucro,$I61)))-$L61)</f>
        <v/>
      </c>
      <c r="S61" s="22">
        <f>IF($R61="","",$R61/$K61)</f>
        <v/>
      </c>
      <c r="T61" s="25">
        <f>IF($L61="","",IF(NOT(ISNUMBER($N61)),"Revisar %",IF($K61="","Sem preço atual",IF($R61&lt;0,"PREJUÍZO",IF($K61&lt;$N61,"Abaixo do ideal","OK")))))</f>
        <v/>
      </c>
      <c r="U61" s="25">
        <f>IF(OR($J61="",NOT(ISNUMBER($O61))),"",IF($O61&lt;=$J61,"Competitivo ("&amp;ROUND(($O61/$J61-1)*100,1)&amp;"%)","Acima do concorrente (+"&amp;ROUND(($O61/$J61-1)*100,1)&amp;"%)"))</f>
        <v/>
      </c>
    </row>
    <row r="62" spans="1:21">
      <c r="A62" s="13"/>
      <c r="B62" s="13"/>
      <c r="C62" s="13"/>
      <c r="D62" s="19"/>
      <c r="E62" s="19"/>
      <c r="F62" s="20"/>
      <c r="G62" s="20"/>
      <c r="H62" s="20"/>
      <c r="I62" s="20"/>
      <c r="J62" s="19"/>
      <c r="K62" s="19"/>
      <c r="L62" s="21">
        <f>IF(OR($B62="",$D62=""),"",$D62+N($E62))</f>
        <v/>
      </c>
      <c r="M62" s="22">
        <f>IF($L62="","",IF($F62="",pImp,$F62)+IF($G62="",pCom,$G62)+IF($H62="",pTax,$H62)+pFixo+IF($I62="",pLucro,$I62))</f>
        <v/>
      </c>
      <c r="N62" s="21">
        <f>IF($L62="","",IF($M62&gt;=1,"Revisar %",$L62/(1-$M62)))</f>
        <v/>
      </c>
      <c r="O62" s="23">
        <f>IF(ISNUMBER($N62),ROUNDUP($N62,0)+IF(ROUNDUP($N62,0)-0.1&gt;=$N62,-0.1,0.9),$N62)</f>
        <v/>
      </c>
      <c r="P62" s="24">
        <f>IF(AND(ISNUMBER($O62),N($L62)&gt;0),$O62/$L62,"")</f>
        <v/>
      </c>
      <c r="Q62" s="21">
        <f>IF(ISNUMBER($N62),$L62/(1-($M62-IF($I62="",pLucro,$I62))),"")</f>
        <v/>
      </c>
      <c r="R62" s="21">
        <f>IF(OR($K62="",NOT(ISNUMBER($N62))),"",$K62*(1-($M62-IF($I62="",pLucro,$I62)))-$L62)</f>
        <v/>
      </c>
      <c r="S62" s="22">
        <f>IF($R62="","",$R62/$K62)</f>
        <v/>
      </c>
      <c r="T62" s="25">
        <f>IF($L62="","",IF(NOT(ISNUMBER($N62)),"Revisar %",IF($K62="","Sem preço atual",IF($R62&lt;0,"PREJUÍZO",IF($K62&lt;$N62,"Abaixo do ideal","OK")))))</f>
        <v/>
      </c>
      <c r="U62" s="25">
        <f>IF(OR($J62="",NOT(ISNUMBER($O62))),"",IF($O62&lt;=$J62,"Competitivo ("&amp;ROUND(($O62/$J62-1)*100,1)&amp;"%)","Acima do concorrente (+"&amp;ROUND(($O62/$J62-1)*100,1)&amp;"%)"))</f>
        <v/>
      </c>
    </row>
    <row r="63" spans="1:21">
      <c r="A63" s="13"/>
      <c r="B63" s="13"/>
      <c r="C63" s="13"/>
      <c r="D63" s="19"/>
      <c r="E63" s="19"/>
      <c r="F63" s="20"/>
      <c r="G63" s="20"/>
      <c r="H63" s="20"/>
      <c r="I63" s="20"/>
      <c r="J63" s="19"/>
      <c r="K63" s="19"/>
      <c r="L63" s="21">
        <f>IF(OR($B63="",$D63=""),"",$D63+N($E63))</f>
        <v/>
      </c>
      <c r="M63" s="22">
        <f>IF($L63="","",IF($F63="",pImp,$F63)+IF($G63="",pCom,$G63)+IF($H63="",pTax,$H63)+pFixo+IF($I63="",pLucro,$I63))</f>
        <v/>
      </c>
      <c r="N63" s="21">
        <f>IF($L63="","",IF($M63&gt;=1,"Revisar %",$L63/(1-$M63)))</f>
        <v/>
      </c>
      <c r="O63" s="23">
        <f>IF(ISNUMBER($N63),ROUNDUP($N63,0)+IF(ROUNDUP($N63,0)-0.1&gt;=$N63,-0.1,0.9),$N63)</f>
        <v/>
      </c>
      <c r="P63" s="24">
        <f>IF(AND(ISNUMBER($O63),N($L63)&gt;0),$O63/$L63,"")</f>
        <v/>
      </c>
      <c r="Q63" s="21">
        <f>IF(ISNUMBER($N63),$L63/(1-($M63-IF($I63="",pLucro,$I63))),"")</f>
        <v/>
      </c>
      <c r="R63" s="21">
        <f>IF(OR($K63="",NOT(ISNUMBER($N63))),"",$K63*(1-($M63-IF($I63="",pLucro,$I63)))-$L63)</f>
        <v/>
      </c>
      <c r="S63" s="22">
        <f>IF($R63="","",$R63/$K63)</f>
        <v/>
      </c>
      <c r="T63" s="25">
        <f>IF($L63="","",IF(NOT(ISNUMBER($N63)),"Revisar %",IF($K63="","Sem preço atual",IF($R63&lt;0,"PREJUÍZO",IF($K63&lt;$N63,"Abaixo do ideal","OK")))))</f>
        <v/>
      </c>
      <c r="U63" s="25">
        <f>IF(OR($J63="",NOT(ISNUMBER($O63))),"",IF($O63&lt;=$J63,"Competitivo ("&amp;ROUND(($O63/$J63-1)*100,1)&amp;"%)","Acima do concorrente (+"&amp;ROUND(($O63/$J63-1)*100,1)&amp;"%)"))</f>
        <v/>
      </c>
    </row>
    <row r="64" spans="1:21">
      <c r="A64" s="13"/>
      <c r="B64" s="13"/>
      <c r="C64" s="13"/>
      <c r="D64" s="19"/>
      <c r="E64" s="19"/>
      <c r="F64" s="20"/>
      <c r="G64" s="20"/>
      <c r="H64" s="20"/>
      <c r="I64" s="20"/>
      <c r="J64" s="19"/>
      <c r="K64" s="19"/>
      <c r="L64" s="21">
        <f>IF(OR($B64="",$D64=""),"",$D64+N($E64))</f>
        <v/>
      </c>
      <c r="M64" s="22">
        <f>IF($L64="","",IF($F64="",pImp,$F64)+IF($G64="",pCom,$G64)+IF($H64="",pTax,$H64)+pFixo+IF($I64="",pLucro,$I64))</f>
        <v/>
      </c>
      <c r="N64" s="21">
        <f>IF($L64="","",IF($M64&gt;=1,"Revisar %",$L64/(1-$M64)))</f>
        <v/>
      </c>
      <c r="O64" s="23">
        <f>IF(ISNUMBER($N64),ROUNDUP($N64,0)+IF(ROUNDUP($N64,0)-0.1&gt;=$N64,-0.1,0.9),$N64)</f>
        <v/>
      </c>
      <c r="P64" s="24">
        <f>IF(AND(ISNUMBER($O64),N($L64)&gt;0),$O64/$L64,"")</f>
        <v/>
      </c>
      <c r="Q64" s="21">
        <f>IF(ISNUMBER($N64),$L64/(1-($M64-IF($I64="",pLucro,$I64))),"")</f>
        <v/>
      </c>
      <c r="R64" s="21">
        <f>IF(OR($K64="",NOT(ISNUMBER($N64))),"",$K64*(1-($M64-IF($I64="",pLucro,$I64)))-$L64)</f>
        <v/>
      </c>
      <c r="S64" s="22">
        <f>IF($R64="","",$R64/$K64)</f>
        <v/>
      </c>
      <c r="T64" s="25">
        <f>IF($L64="","",IF(NOT(ISNUMBER($N64)),"Revisar %",IF($K64="","Sem preço atual",IF($R64&lt;0,"PREJUÍZO",IF($K64&lt;$N64,"Abaixo do ideal","OK")))))</f>
        <v/>
      </c>
      <c r="U64" s="25">
        <f>IF(OR($J64="",NOT(ISNUMBER($O64))),"",IF($O64&lt;=$J64,"Competitivo ("&amp;ROUND(($O64/$J64-1)*100,1)&amp;"%)","Acima do concorrente (+"&amp;ROUND(($O64/$J64-1)*100,1)&amp;"%)"))</f>
        <v/>
      </c>
    </row>
    <row r="65" spans="1:21">
      <c r="A65" s="13"/>
      <c r="B65" s="13"/>
      <c r="C65" s="13"/>
      <c r="D65" s="19"/>
      <c r="E65" s="19"/>
      <c r="F65" s="20"/>
      <c r="G65" s="20"/>
      <c r="H65" s="20"/>
      <c r="I65" s="20"/>
      <c r="J65" s="19"/>
      <c r="K65" s="19"/>
      <c r="L65" s="21">
        <f>IF(OR($B65="",$D65=""),"",$D65+N($E65))</f>
        <v/>
      </c>
      <c r="M65" s="22">
        <f>IF($L65="","",IF($F65="",pImp,$F65)+IF($G65="",pCom,$G65)+IF($H65="",pTax,$H65)+pFixo+IF($I65="",pLucro,$I65))</f>
        <v/>
      </c>
      <c r="N65" s="21">
        <f>IF($L65="","",IF($M65&gt;=1,"Revisar %",$L65/(1-$M65)))</f>
        <v/>
      </c>
      <c r="O65" s="23">
        <f>IF(ISNUMBER($N65),ROUNDUP($N65,0)+IF(ROUNDUP($N65,0)-0.1&gt;=$N65,-0.1,0.9),$N65)</f>
        <v/>
      </c>
      <c r="P65" s="24">
        <f>IF(AND(ISNUMBER($O65),N($L65)&gt;0),$O65/$L65,"")</f>
        <v/>
      </c>
      <c r="Q65" s="21">
        <f>IF(ISNUMBER($N65),$L65/(1-($M65-IF($I65="",pLucro,$I65))),"")</f>
        <v/>
      </c>
      <c r="R65" s="21">
        <f>IF(OR($K65="",NOT(ISNUMBER($N65))),"",$K65*(1-($M65-IF($I65="",pLucro,$I65)))-$L65)</f>
        <v/>
      </c>
      <c r="S65" s="22">
        <f>IF($R65="","",$R65/$K65)</f>
        <v/>
      </c>
      <c r="T65" s="25">
        <f>IF($L65="","",IF(NOT(ISNUMBER($N65)),"Revisar %",IF($K65="","Sem preço atual",IF($R65&lt;0,"PREJUÍZO",IF($K65&lt;$N65,"Abaixo do ideal","OK")))))</f>
        <v/>
      </c>
      <c r="U65" s="25">
        <f>IF(OR($J65="",NOT(ISNUMBER($O65))),"",IF($O65&lt;=$J65,"Competitivo ("&amp;ROUND(($O65/$J65-1)*100,1)&amp;"%)","Acima do concorrente (+"&amp;ROUND(($O65/$J65-1)*100,1)&amp;"%)"))</f>
        <v/>
      </c>
    </row>
    <row r="66" spans="1:21">
      <c r="A66" s="13"/>
      <c r="B66" s="13"/>
      <c r="C66" s="13"/>
      <c r="D66" s="19"/>
      <c r="E66" s="19"/>
      <c r="F66" s="20"/>
      <c r="G66" s="20"/>
      <c r="H66" s="20"/>
      <c r="I66" s="20"/>
      <c r="J66" s="19"/>
      <c r="K66" s="19"/>
      <c r="L66" s="21">
        <f>IF(OR($B66="",$D66=""),"",$D66+N($E66))</f>
        <v/>
      </c>
      <c r="M66" s="22">
        <f>IF($L66="","",IF($F66="",pImp,$F66)+IF($G66="",pCom,$G66)+IF($H66="",pTax,$H66)+pFixo+IF($I66="",pLucro,$I66))</f>
        <v/>
      </c>
      <c r="N66" s="21">
        <f>IF($L66="","",IF($M66&gt;=1,"Revisar %",$L66/(1-$M66)))</f>
        <v/>
      </c>
      <c r="O66" s="23">
        <f>IF(ISNUMBER($N66),ROUNDUP($N66,0)+IF(ROUNDUP($N66,0)-0.1&gt;=$N66,-0.1,0.9),$N66)</f>
        <v/>
      </c>
      <c r="P66" s="24">
        <f>IF(AND(ISNUMBER($O66),N($L66)&gt;0),$O66/$L66,"")</f>
        <v/>
      </c>
      <c r="Q66" s="21">
        <f>IF(ISNUMBER($N66),$L66/(1-($M66-IF($I66="",pLucro,$I66))),"")</f>
        <v/>
      </c>
      <c r="R66" s="21">
        <f>IF(OR($K66="",NOT(ISNUMBER($N66))),"",$K66*(1-($M66-IF($I66="",pLucro,$I66)))-$L66)</f>
        <v/>
      </c>
      <c r="S66" s="22">
        <f>IF($R66="","",$R66/$K66)</f>
        <v/>
      </c>
      <c r="T66" s="25">
        <f>IF($L66="","",IF(NOT(ISNUMBER($N66)),"Revisar %",IF($K66="","Sem preço atual",IF($R66&lt;0,"PREJUÍZO",IF($K66&lt;$N66,"Abaixo do ideal","OK")))))</f>
        <v/>
      </c>
      <c r="U66" s="25">
        <f>IF(OR($J66="",NOT(ISNUMBER($O66))),"",IF($O66&lt;=$J66,"Competitivo ("&amp;ROUND(($O66/$J66-1)*100,1)&amp;"%)","Acima do concorrente (+"&amp;ROUND(($O66/$J66-1)*100,1)&amp;"%)"))</f>
        <v/>
      </c>
    </row>
    <row r="67" spans="1:21">
      <c r="A67" s="13"/>
      <c r="B67" s="13"/>
      <c r="C67" s="13"/>
      <c r="D67" s="19"/>
      <c r="E67" s="19"/>
      <c r="F67" s="20"/>
      <c r="G67" s="20"/>
      <c r="H67" s="20"/>
      <c r="I67" s="20"/>
      <c r="J67" s="19"/>
      <c r="K67" s="19"/>
      <c r="L67" s="21">
        <f>IF(OR($B67="",$D67=""),"",$D67+N($E67))</f>
        <v/>
      </c>
      <c r="M67" s="22">
        <f>IF($L67="","",IF($F67="",pImp,$F67)+IF($G67="",pCom,$G67)+IF($H67="",pTax,$H67)+pFixo+IF($I67="",pLucro,$I67))</f>
        <v/>
      </c>
      <c r="N67" s="21">
        <f>IF($L67="","",IF($M67&gt;=1,"Revisar %",$L67/(1-$M67)))</f>
        <v/>
      </c>
      <c r="O67" s="23">
        <f>IF(ISNUMBER($N67),ROUNDUP($N67,0)+IF(ROUNDUP($N67,0)-0.1&gt;=$N67,-0.1,0.9),$N67)</f>
        <v/>
      </c>
      <c r="P67" s="24">
        <f>IF(AND(ISNUMBER($O67),N($L67)&gt;0),$O67/$L67,"")</f>
        <v/>
      </c>
      <c r="Q67" s="21">
        <f>IF(ISNUMBER($N67),$L67/(1-($M67-IF($I67="",pLucro,$I67))),"")</f>
        <v/>
      </c>
      <c r="R67" s="21">
        <f>IF(OR($K67="",NOT(ISNUMBER($N67))),"",$K67*(1-($M67-IF($I67="",pLucro,$I67)))-$L67)</f>
        <v/>
      </c>
      <c r="S67" s="22">
        <f>IF($R67="","",$R67/$K67)</f>
        <v/>
      </c>
      <c r="T67" s="25">
        <f>IF($L67="","",IF(NOT(ISNUMBER($N67)),"Revisar %",IF($K67="","Sem preço atual",IF($R67&lt;0,"PREJUÍZO",IF($K67&lt;$N67,"Abaixo do ideal","OK")))))</f>
        <v/>
      </c>
      <c r="U67" s="25">
        <f>IF(OR($J67="",NOT(ISNUMBER($O67))),"",IF($O67&lt;=$J67,"Competitivo ("&amp;ROUND(($O67/$J67-1)*100,1)&amp;"%)","Acima do concorrente (+"&amp;ROUND(($O67/$J67-1)*100,1)&amp;"%)"))</f>
        <v/>
      </c>
    </row>
    <row r="68" spans="1:21">
      <c r="A68" s="13"/>
      <c r="B68" s="13"/>
      <c r="C68" s="13"/>
      <c r="D68" s="19"/>
      <c r="E68" s="19"/>
      <c r="F68" s="20"/>
      <c r="G68" s="20"/>
      <c r="H68" s="20"/>
      <c r="I68" s="20"/>
      <c r="J68" s="19"/>
      <c r="K68" s="19"/>
      <c r="L68" s="21">
        <f>IF(OR($B68="",$D68=""),"",$D68+N($E68))</f>
        <v/>
      </c>
      <c r="M68" s="22">
        <f>IF($L68="","",IF($F68="",pImp,$F68)+IF($G68="",pCom,$G68)+IF($H68="",pTax,$H68)+pFixo+IF($I68="",pLucro,$I68))</f>
        <v/>
      </c>
      <c r="N68" s="21">
        <f>IF($L68="","",IF($M68&gt;=1,"Revisar %",$L68/(1-$M68)))</f>
        <v/>
      </c>
      <c r="O68" s="23">
        <f>IF(ISNUMBER($N68),ROUNDUP($N68,0)+IF(ROUNDUP($N68,0)-0.1&gt;=$N68,-0.1,0.9),$N68)</f>
        <v/>
      </c>
      <c r="P68" s="24">
        <f>IF(AND(ISNUMBER($O68),N($L68)&gt;0),$O68/$L68,"")</f>
        <v/>
      </c>
      <c r="Q68" s="21">
        <f>IF(ISNUMBER($N68),$L68/(1-($M68-IF($I68="",pLucro,$I68))),"")</f>
        <v/>
      </c>
      <c r="R68" s="21">
        <f>IF(OR($K68="",NOT(ISNUMBER($N68))),"",$K68*(1-($M68-IF($I68="",pLucro,$I68)))-$L68)</f>
        <v/>
      </c>
      <c r="S68" s="22">
        <f>IF($R68="","",$R68/$K68)</f>
        <v/>
      </c>
      <c r="T68" s="25">
        <f>IF($L68="","",IF(NOT(ISNUMBER($N68)),"Revisar %",IF($K68="","Sem preço atual",IF($R68&lt;0,"PREJUÍZO",IF($K68&lt;$N68,"Abaixo do ideal","OK")))))</f>
        <v/>
      </c>
      <c r="U68" s="25">
        <f>IF(OR($J68="",NOT(ISNUMBER($O68))),"",IF($O68&lt;=$J68,"Competitivo ("&amp;ROUND(($O68/$J68-1)*100,1)&amp;"%)","Acima do concorrente (+"&amp;ROUND(($O68/$J68-1)*100,1)&amp;"%)"))</f>
        <v/>
      </c>
    </row>
    <row r="69" spans="1:21">
      <c r="A69" s="13"/>
      <c r="B69" s="13"/>
      <c r="C69" s="13"/>
      <c r="D69" s="19"/>
      <c r="E69" s="19"/>
      <c r="F69" s="20"/>
      <c r="G69" s="20"/>
      <c r="H69" s="20"/>
      <c r="I69" s="20"/>
      <c r="J69" s="19"/>
      <c r="K69" s="19"/>
      <c r="L69" s="21">
        <f>IF(OR($B69="",$D69=""),"",$D69+N($E69))</f>
        <v/>
      </c>
      <c r="M69" s="22">
        <f>IF($L69="","",IF($F69="",pImp,$F69)+IF($G69="",pCom,$G69)+IF($H69="",pTax,$H69)+pFixo+IF($I69="",pLucro,$I69))</f>
        <v/>
      </c>
      <c r="N69" s="21">
        <f>IF($L69="","",IF($M69&gt;=1,"Revisar %",$L69/(1-$M69)))</f>
        <v/>
      </c>
      <c r="O69" s="23">
        <f>IF(ISNUMBER($N69),ROUNDUP($N69,0)+IF(ROUNDUP($N69,0)-0.1&gt;=$N69,-0.1,0.9),$N69)</f>
        <v/>
      </c>
      <c r="P69" s="24">
        <f>IF(AND(ISNUMBER($O69),N($L69)&gt;0),$O69/$L69,"")</f>
        <v/>
      </c>
      <c r="Q69" s="21">
        <f>IF(ISNUMBER($N69),$L69/(1-($M69-IF($I69="",pLucro,$I69))),"")</f>
        <v/>
      </c>
      <c r="R69" s="21">
        <f>IF(OR($K69="",NOT(ISNUMBER($N69))),"",$K69*(1-($M69-IF($I69="",pLucro,$I69)))-$L69)</f>
        <v/>
      </c>
      <c r="S69" s="22">
        <f>IF($R69="","",$R69/$K69)</f>
        <v/>
      </c>
      <c r="T69" s="25">
        <f>IF($L69="","",IF(NOT(ISNUMBER($N69)),"Revisar %",IF($K69="","Sem preço atual",IF($R69&lt;0,"PREJUÍZO",IF($K69&lt;$N69,"Abaixo do ideal","OK")))))</f>
        <v/>
      </c>
      <c r="U69" s="25">
        <f>IF(OR($J69="",NOT(ISNUMBER($O69))),"",IF($O69&lt;=$J69,"Competitivo ("&amp;ROUND(($O69/$J69-1)*100,1)&amp;"%)","Acima do concorrente (+"&amp;ROUND(($O69/$J69-1)*100,1)&amp;"%)"))</f>
        <v/>
      </c>
    </row>
    <row r="70" spans="1:21">
      <c r="A70" s="13"/>
      <c r="B70" s="13"/>
      <c r="C70" s="13"/>
      <c r="D70" s="19"/>
      <c r="E70" s="19"/>
      <c r="F70" s="20"/>
      <c r="G70" s="20"/>
      <c r="H70" s="20"/>
      <c r="I70" s="20"/>
      <c r="J70" s="19"/>
      <c r="K70" s="19"/>
      <c r="L70" s="21">
        <f>IF(OR($B70="",$D70=""),"",$D70+N($E70))</f>
        <v/>
      </c>
      <c r="M70" s="22">
        <f>IF($L70="","",IF($F70="",pImp,$F70)+IF($G70="",pCom,$G70)+IF($H70="",pTax,$H70)+pFixo+IF($I70="",pLucro,$I70))</f>
        <v/>
      </c>
      <c r="N70" s="21">
        <f>IF($L70="","",IF($M70&gt;=1,"Revisar %",$L70/(1-$M70)))</f>
        <v/>
      </c>
      <c r="O70" s="23">
        <f>IF(ISNUMBER($N70),ROUNDUP($N70,0)+IF(ROUNDUP($N70,0)-0.1&gt;=$N70,-0.1,0.9),$N70)</f>
        <v/>
      </c>
      <c r="P70" s="24">
        <f>IF(AND(ISNUMBER($O70),N($L70)&gt;0),$O70/$L70,"")</f>
        <v/>
      </c>
      <c r="Q70" s="21">
        <f>IF(ISNUMBER($N70),$L70/(1-($M70-IF($I70="",pLucro,$I70))),"")</f>
        <v/>
      </c>
      <c r="R70" s="21">
        <f>IF(OR($K70="",NOT(ISNUMBER($N70))),"",$K70*(1-($M70-IF($I70="",pLucro,$I70)))-$L70)</f>
        <v/>
      </c>
      <c r="S70" s="22">
        <f>IF($R70="","",$R70/$K70)</f>
        <v/>
      </c>
      <c r="T70" s="25">
        <f>IF($L70="","",IF(NOT(ISNUMBER($N70)),"Revisar %",IF($K70="","Sem preço atual",IF($R70&lt;0,"PREJUÍZO",IF($K70&lt;$N70,"Abaixo do ideal","OK")))))</f>
        <v/>
      </c>
      <c r="U70" s="25">
        <f>IF(OR($J70="",NOT(ISNUMBER($O70))),"",IF($O70&lt;=$J70,"Competitivo ("&amp;ROUND(($O70/$J70-1)*100,1)&amp;"%)","Acima do concorrente (+"&amp;ROUND(($O70/$J70-1)*100,1)&amp;"%)"))</f>
        <v/>
      </c>
    </row>
    <row r="71" spans="1:21">
      <c r="A71" s="13"/>
      <c r="B71" s="13"/>
      <c r="C71" s="13"/>
      <c r="D71" s="19"/>
      <c r="E71" s="19"/>
      <c r="F71" s="20"/>
      <c r="G71" s="20"/>
      <c r="H71" s="20"/>
      <c r="I71" s="20"/>
      <c r="J71" s="19"/>
      <c r="K71" s="19"/>
      <c r="L71" s="21">
        <f>IF(OR($B71="",$D71=""),"",$D71+N($E71))</f>
        <v/>
      </c>
      <c r="M71" s="22">
        <f>IF($L71="","",IF($F71="",pImp,$F71)+IF($G71="",pCom,$G71)+IF($H71="",pTax,$H71)+pFixo+IF($I71="",pLucro,$I71))</f>
        <v/>
      </c>
      <c r="N71" s="21">
        <f>IF($L71="","",IF($M71&gt;=1,"Revisar %",$L71/(1-$M71)))</f>
        <v/>
      </c>
      <c r="O71" s="23">
        <f>IF(ISNUMBER($N71),ROUNDUP($N71,0)+IF(ROUNDUP($N71,0)-0.1&gt;=$N71,-0.1,0.9),$N71)</f>
        <v/>
      </c>
      <c r="P71" s="24">
        <f>IF(AND(ISNUMBER($O71),N($L71)&gt;0),$O71/$L71,"")</f>
        <v/>
      </c>
      <c r="Q71" s="21">
        <f>IF(ISNUMBER($N71),$L71/(1-($M71-IF($I71="",pLucro,$I71))),"")</f>
        <v/>
      </c>
      <c r="R71" s="21">
        <f>IF(OR($K71="",NOT(ISNUMBER($N71))),"",$K71*(1-($M71-IF($I71="",pLucro,$I71)))-$L71)</f>
        <v/>
      </c>
      <c r="S71" s="22">
        <f>IF($R71="","",$R71/$K71)</f>
        <v/>
      </c>
      <c r="T71" s="25">
        <f>IF($L71="","",IF(NOT(ISNUMBER($N71)),"Revisar %",IF($K71="","Sem preço atual",IF($R71&lt;0,"PREJUÍZO",IF($K71&lt;$N71,"Abaixo do ideal","OK")))))</f>
        <v/>
      </c>
      <c r="U71" s="25">
        <f>IF(OR($J71="",NOT(ISNUMBER($O71))),"",IF($O71&lt;=$J71,"Competitivo ("&amp;ROUND(($O71/$J71-1)*100,1)&amp;"%)","Acima do concorrente (+"&amp;ROUND(($O71/$J71-1)*100,1)&amp;"%)"))</f>
        <v/>
      </c>
    </row>
    <row r="72" spans="1:21">
      <c r="A72" s="13"/>
      <c r="B72" s="13"/>
      <c r="C72" s="13"/>
      <c r="D72" s="19"/>
      <c r="E72" s="19"/>
      <c r="F72" s="20"/>
      <c r="G72" s="20"/>
      <c r="H72" s="20"/>
      <c r="I72" s="20"/>
      <c r="J72" s="19"/>
      <c r="K72" s="19"/>
      <c r="L72" s="21">
        <f>IF(OR($B72="",$D72=""),"",$D72+N($E72))</f>
        <v/>
      </c>
      <c r="M72" s="22">
        <f>IF($L72="","",IF($F72="",pImp,$F72)+IF($G72="",pCom,$G72)+IF($H72="",pTax,$H72)+pFixo+IF($I72="",pLucro,$I72))</f>
        <v/>
      </c>
      <c r="N72" s="21">
        <f>IF($L72="","",IF($M72&gt;=1,"Revisar %",$L72/(1-$M72)))</f>
        <v/>
      </c>
      <c r="O72" s="23">
        <f>IF(ISNUMBER($N72),ROUNDUP($N72,0)+IF(ROUNDUP($N72,0)-0.1&gt;=$N72,-0.1,0.9),$N72)</f>
        <v/>
      </c>
      <c r="P72" s="24">
        <f>IF(AND(ISNUMBER($O72),N($L72)&gt;0),$O72/$L72,"")</f>
        <v/>
      </c>
      <c r="Q72" s="21">
        <f>IF(ISNUMBER($N72),$L72/(1-($M72-IF($I72="",pLucro,$I72))),"")</f>
        <v/>
      </c>
      <c r="R72" s="21">
        <f>IF(OR($K72="",NOT(ISNUMBER($N72))),"",$K72*(1-($M72-IF($I72="",pLucro,$I72)))-$L72)</f>
        <v/>
      </c>
      <c r="S72" s="22">
        <f>IF($R72="","",$R72/$K72)</f>
        <v/>
      </c>
      <c r="T72" s="25">
        <f>IF($L72="","",IF(NOT(ISNUMBER($N72)),"Revisar %",IF($K72="","Sem preço atual",IF($R72&lt;0,"PREJUÍZO",IF($K72&lt;$N72,"Abaixo do ideal","OK")))))</f>
        <v/>
      </c>
      <c r="U72" s="25">
        <f>IF(OR($J72="",NOT(ISNUMBER($O72))),"",IF($O72&lt;=$J72,"Competitivo ("&amp;ROUND(($O72/$J72-1)*100,1)&amp;"%)","Acima do concorrente (+"&amp;ROUND(($O72/$J72-1)*100,1)&amp;"%)"))</f>
        <v/>
      </c>
    </row>
    <row r="73" spans="1:21">
      <c r="A73" s="13"/>
      <c r="B73" s="13"/>
      <c r="C73" s="13"/>
      <c r="D73" s="19"/>
      <c r="E73" s="19"/>
      <c r="F73" s="20"/>
      <c r="G73" s="20"/>
      <c r="H73" s="20"/>
      <c r="I73" s="20"/>
      <c r="J73" s="19"/>
      <c r="K73" s="19"/>
      <c r="L73" s="21">
        <f>IF(OR($B73="",$D73=""),"",$D73+N($E73))</f>
        <v/>
      </c>
      <c r="M73" s="22">
        <f>IF($L73="","",IF($F73="",pImp,$F73)+IF($G73="",pCom,$G73)+IF($H73="",pTax,$H73)+pFixo+IF($I73="",pLucro,$I73))</f>
        <v/>
      </c>
      <c r="N73" s="21">
        <f>IF($L73="","",IF($M73&gt;=1,"Revisar %",$L73/(1-$M73)))</f>
        <v/>
      </c>
      <c r="O73" s="23">
        <f>IF(ISNUMBER($N73),ROUNDUP($N73,0)+IF(ROUNDUP($N73,0)-0.1&gt;=$N73,-0.1,0.9),$N73)</f>
        <v/>
      </c>
      <c r="P73" s="24">
        <f>IF(AND(ISNUMBER($O73),N($L73)&gt;0),$O73/$L73,"")</f>
        <v/>
      </c>
      <c r="Q73" s="21">
        <f>IF(ISNUMBER($N73),$L73/(1-($M73-IF($I73="",pLucro,$I73))),"")</f>
        <v/>
      </c>
      <c r="R73" s="21">
        <f>IF(OR($K73="",NOT(ISNUMBER($N73))),"",$K73*(1-($M73-IF($I73="",pLucro,$I73)))-$L73)</f>
        <v/>
      </c>
      <c r="S73" s="22">
        <f>IF($R73="","",$R73/$K73)</f>
        <v/>
      </c>
      <c r="T73" s="25">
        <f>IF($L73="","",IF(NOT(ISNUMBER($N73)),"Revisar %",IF($K73="","Sem preço atual",IF($R73&lt;0,"PREJUÍZO",IF($K73&lt;$N73,"Abaixo do ideal","OK")))))</f>
        <v/>
      </c>
      <c r="U73" s="25">
        <f>IF(OR($J73="",NOT(ISNUMBER($O73))),"",IF($O73&lt;=$J73,"Competitivo ("&amp;ROUND(($O73/$J73-1)*100,1)&amp;"%)","Acima do concorrente (+"&amp;ROUND(($O73/$J73-1)*100,1)&amp;"%)"))</f>
        <v/>
      </c>
    </row>
    <row r="74" spans="1:21">
      <c r="A74" s="13"/>
      <c r="B74" s="13"/>
      <c r="C74" s="13"/>
      <c r="D74" s="19"/>
      <c r="E74" s="19"/>
      <c r="F74" s="20"/>
      <c r="G74" s="20"/>
      <c r="H74" s="20"/>
      <c r="I74" s="20"/>
      <c r="J74" s="19"/>
      <c r="K74" s="19"/>
      <c r="L74" s="21">
        <f>IF(OR($B74="",$D74=""),"",$D74+N($E74))</f>
        <v/>
      </c>
      <c r="M74" s="22">
        <f>IF($L74="","",IF($F74="",pImp,$F74)+IF($G74="",pCom,$G74)+IF($H74="",pTax,$H74)+pFixo+IF($I74="",pLucro,$I74))</f>
        <v/>
      </c>
      <c r="N74" s="21">
        <f>IF($L74="","",IF($M74&gt;=1,"Revisar %",$L74/(1-$M74)))</f>
        <v/>
      </c>
      <c r="O74" s="23">
        <f>IF(ISNUMBER($N74),ROUNDUP($N74,0)+IF(ROUNDUP($N74,0)-0.1&gt;=$N74,-0.1,0.9),$N74)</f>
        <v/>
      </c>
      <c r="P74" s="24">
        <f>IF(AND(ISNUMBER($O74),N($L74)&gt;0),$O74/$L74,"")</f>
        <v/>
      </c>
      <c r="Q74" s="21">
        <f>IF(ISNUMBER($N74),$L74/(1-($M74-IF($I74="",pLucro,$I74))),"")</f>
        <v/>
      </c>
      <c r="R74" s="21">
        <f>IF(OR($K74="",NOT(ISNUMBER($N74))),"",$K74*(1-($M74-IF($I74="",pLucro,$I74)))-$L74)</f>
        <v/>
      </c>
      <c r="S74" s="22">
        <f>IF($R74="","",$R74/$K74)</f>
        <v/>
      </c>
      <c r="T74" s="25">
        <f>IF($L74="","",IF(NOT(ISNUMBER($N74)),"Revisar %",IF($K74="","Sem preço atual",IF($R74&lt;0,"PREJUÍZO",IF($K74&lt;$N74,"Abaixo do ideal","OK")))))</f>
        <v/>
      </c>
      <c r="U74" s="25">
        <f>IF(OR($J74="",NOT(ISNUMBER($O74))),"",IF($O74&lt;=$J74,"Competitivo ("&amp;ROUND(($O74/$J74-1)*100,1)&amp;"%)","Acima do concorrente (+"&amp;ROUND(($O74/$J74-1)*100,1)&amp;"%)"))</f>
        <v/>
      </c>
    </row>
    <row r="75" spans="1:21">
      <c r="A75" s="13"/>
      <c r="B75" s="13"/>
      <c r="C75" s="13"/>
      <c r="D75" s="19"/>
      <c r="E75" s="19"/>
      <c r="F75" s="20"/>
      <c r="G75" s="20"/>
      <c r="H75" s="20"/>
      <c r="I75" s="20"/>
      <c r="J75" s="19"/>
      <c r="K75" s="19"/>
      <c r="L75" s="21">
        <f>IF(OR($B75="",$D75=""),"",$D75+N($E75))</f>
        <v/>
      </c>
      <c r="M75" s="22">
        <f>IF($L75="","",IF($F75="",pImp,$F75)+IF($G75="",pCom,$G75)+IF($H75="",pTax,$H75)+pFixo+IF($I75="",pLucro,$I75))</f>
        <v/>
      </c>
      <c r="N75" s="21">
        <f>IF($L75="","",IF($M75&gt;=1,"Revisar %",$L75/(1-$M75)))</f>
        <v/>
      </c>
      <c r="O75" s="23">
        <f>IF(ISNUMBER($N75),ROUNDUP($N75,0)+IF(ROUNDUP($N75,0)-0.1&gt;=$N75,-0.1,0.9),$N75)</f>
        <v/>
      </c>
      <c r="P75" s="24">
        <f>IF(AND(ISNUMBER($O75),N($L75)&gt;0),$O75/$L75,"")</f>
        <v/>
      </c>
      <c r="Q75" s="21">
        <f>IF(ISNUMBER($N75),$L75/(1-($M75-IF($I75="",pLucro,$I75))),"")</f>
        <v/>
      </c>
      <c r="R75" s="21">
        <f>IF(OR($K75="",NOT(ISNUMBER($N75))),"",$K75*(1-($M75-IF($I75="",pLucro,$I75)))-$L75)</f>
        <v/>
      </c>
      <c r="S75" s="22">
        <f>IF($R75="","",$R75/$K75)</f>
        <v/>
      </c>
      <c r="T75" s="25">
        <f>IF($L75="","",IF(NOT(ISNUMBER($N75)),"Revisar %",IF($K75="","Sem preço atual",IF($R75&lt;0,"PREJUÍZO",IF($K75&lt;$N75,"Abaixo do ideal","OK")))))</f>
        <v/>
      </c>
      <c r="U75" s="25">
        <f>IF(OR($J75="",NOT(ISNUMBER($O75))),"",IF($O75&lt;=$J75,"Competitivo ("&amp;ROUND(($O75/$J75-1)*100,1)&amp;"%)","Acima do concorrente (+"&amp;ROUND(($O75/$J75-1)*100,1)&amp;"%)"))</f>
        <v/>
      </c>
    </row>
    <row r="76" spans="1:21">
      <c r="A76" s="13"/>
      <c r="B76" s="13"/>
      <c r="C76" s="13"/>
      <c r="D76" s="19"/>
      <c r="E76" s="19"/>
      <c r="F76" s="20"/>
      <c r="G76" s="20"/>
      <c r="H76" s="20"/>
      <c r="I76" s="20"/>
      <c r="J76" s="19"/>
      <c r="K76" s="19"/>
      <c r="L76" s="21">
        <f>IF(OR($B76="",$D76=""),"",$D76+N($E76))</f>
        <v/>
      </c>
      <c r="M76" s="22">
        <f>IF($L76="","",IF($F76="",pImp,$F76)+IF($G76="",pCom,$G76)+IF($H76="",pTax,$H76)+pFixo+IF($I76="",pLucro,$I76))</f>
        <v/>
      </c>
      <c r="N76" s="21">
        <f>IF($L76="","",IF($M76&gt;=1,"Revisar %",$L76/(1-$M76)))</f>
        <v/>
      </c>
      <c r="O76" s="23">
        <f>IF(ISNUMBER($N76),ROUNDUP($N76,0)+IF(ROUNDUP($N76,0)-0.1&gt;=$N76,-0.1,0.9),$N76)</f>
        <v/>
      </c>
      <c r="P76" s="24">
        <f>IF(AND(ISNUMBER($O76),N($L76)&gt;0),$O76/$L76,"")</f>
        <v/>
      </c>
      <c r="Q76" s="21">
        <f>IF(ISNUMBER($N76),$L76/(1-($M76-IF($I76="",pLucro,$I76))),"")</f>
        <v/>
      </c>
      <c r="R76" s="21">
        <f>IF(OR($K76="",NOT(ISNUMBER($N76))),"",$K76*(1-($M76-IF($I76="",pLucro,$I76)))-$L76)</f>
        <v/>
      </c>
      <c r="S76" s="22">
        <f>IF($R76="","",$R76/$K76)</f>
        <v/>
      </c>
      <c r="T76" s="25">
        <f>IF($L76="","",IF(NOT(ISNUMBER($N76)),"Revisar %",IF($K76="","Sem preço atual",IF($R76&lt;0,"PREJUÍZO",IF($K76&lt;$N76,"Abaixo do ideal","OK")))))</f>
        <v/>
      </c>
      <c r="U76" s="25">
        <f>IF(OR($J76="",NOT(ISNUMBER($O76))),"",IF($O76&lt;=$J76,"Competitivo ("&amp;ROUND(($O76/$J76-1)*100,1)&amp;"%)","Acima do concorrente (+"&amp;ROUND(($O76/$J76-1)*100,1)&amp;"%)"))</f>
        <v/>
      </c>
    </row>
    <row r="77" spans="1:21">
      <c r="A77" s="13"/>
      <c r="B77" s="13"/>
      <c r="C77" s="13"/>
      <c r="D77" s="19"/>
      <c r="E77" s="19"/>
      <c r="F77" s="20"/>
      <c r="G77" s="20"/>
      <c r="H77" s="20"/>
      <c r="I77" s="20"/>
      <c r="J77" s="19"/>
      <c r="K77" s="19"/>
      <c r="L77" s="21">
        <f>IF(OR($B77="",$D77=""),"",$D77+N($E77))</f>
        <v/>
      </c>
      <c r="M77" s="22">
        <f>IF($L77="","",IF($F77="",pImp,$F77)+IF($G77="",pCom,$G77)+IF($H77="",pTax,$H77)+pFixo+IF($I77="",pLucro,$I77))</f>
        <v/>
      </c>
      <c r="N77" s="21">
        <f>IF($L77="","",IF($M77&gt;=1,"Revisar %",$L77/(1-$M77)))</f>
        <v/>
      </c>
      <c r="O77" s="23">
        <f>IF(ISNUMBER($N77),ROUNDUP($N77,0)+IF(ROUNDUP($N77,0)-0.1&gt;=$N77,-0.1,0.9),$N77)</f>
        <v/>
      </c>
      <c r="P77" s="24">
        <f>IF(AND(ISNUMBER($O77),N($L77)&gt;0),$O77/$L77,"")</f>
        <v/>
      </c>
      <c r="Q77" s="21">
        <f>IF(ISNUMBER($N77),$L77/(1-($M77-IF($I77="",pLucro,$I77))),"")</f>
        <v/>
      </c>
      <c r="R77" s="21">
        <f>IF(OR($K77="",NOT(ISNUMBER($N77))),"",$K77*(1-($M77-IF($I77="",pLucro,$I77)))-$L77)</f>
        <v/>
      </c>
      <c r="S77" s="22">
        <f>IF($R77="","",$R77/$K77)</f>
        <v/>
      </c>
      <c r="T77" s="25">
        <f>IF($L77="","",IF(NOT(ISNUMBER($N77)),"Revisar %",IF($K77="","Sem preço atual",IF($R77&lt;0,"PREJUÍZO",IF($K77&lt;$N77,"Abaixo do ideal","OK")))))</f>
        <v/>
      </c>
      <c r="U77" s="25">
        <f>IF(OR($J77="",NOT(ISNUMBER($O77))),"",IF($O77&lt;=$J77,"Competitivo ("&amp;ROUND(($O77/$J77-1)*100,1)&amp;"%)","Acima do concorrente (+"&amp;ROUND(($O77/$J77-1)*100,1)&amp;"%)"))</f>
        <v/>
      </c>
    </row>
    <row r="78" spans="1:21">
      <c r="A78" s="13"/>
      <c r="B78" s="13"/>
      <c r="C78" s="13"/>
      <c r="D78" s="19"/>
      <c r="E78" s="19"/>
      <c r="F78" s="20"/>
      <c r="G78" s="20"/>
      <c r="H78" s="20"/>
      <c r="I78" s="20"/>
      <c r="J78" s="19"/>
      <c r="K78" s="19"/>
      <c r="L78" s="21">
        <f>IF(OR($B78="",$D78=""),"",$D78+N($E78))</f>
        <v/>
      </c>
      <c r="M78" s="22">
        <f>IF($L78="","",IF($F78="",pImp,$F78)+IF($G78="",pCom,$G78)+IF($H78="",pTax,$H78)+pFixo+IF($I78="",pLucro,$I78))</f>
        <v/>
      </c>
      <c r="N78" s="21">
        <f>IF($L78="","",IF($M78&gt;=1,"Revisar %",$L78/(1-$M78)))</f>
        <v/>
      </c>
      <c r="O78" s="23">
        <f>IF(ISNUMBER($N78),ROUNDUP($N78,0)+IF(ROUNDUP($N78,0)-0.1&gt;=$N78,-0.1,0.9),$N78)</f>
        <v/>
      </c>
      <c r="P78" s="24">
        <f>IF(AND(ISNUMBER($O78),N($L78)&gt;0),$O78/$L78,"")</f>
        <v/>
      </c>
      <c r="Q78" s="21">
        <f>IF(ISNUMBER($N78),$L78/(1-($M78-IF($I78="",pLucro,$I78))),"")</f>
        <v/>
      </c>
      <c r="R78" s="21">
        <f>IF(OR($K78="",NOT(ISNUMBER($N78))),"",$K78*(1-($M78-IF($I78="",pLucro,$I78)))-$L78)</f>
        <v/>
      </c>
      <c r="S78" s="22">
        <f>IF($R78="","",$R78/$K78)</f>
        <v/>
      </c>
      <c r="T78" s="25">
        <f>IF($L78="","",IF(NOT(ISNUMBER($N78)),"Revisar %",IF($K78="","Sem preço atual",IF($R78&lt;0,"PREJUÍZO",IF($K78&lt;$N78,"Abaixo do ideal","OK")))))</f>
        <v/>
      </c>
      <c r="U78" s="25">
        <f>IF(OR($J78="",NOT(ISNUMBER($O78))),"",IF($O78&lt;=$J78,"Competitivo ("&amp;ROUND(($O78/$J78-1)*100,1)&amp;"%)","Acima do concorrente (+"&amp;ROUND(($O78/$J78-1)*100,1)&amp;"%)"))</f>
        <v/>
      </c>
    </row>
    <row r="79" spans="1:21">
      <c r="A79" s="13"/>
      <c r="B79" s="13"/>
      <c r="C79" s="13"/>
      <c r="D79" s="19"/>
      <c r="E79" s="19"/>
      <c r="F79" s="20"/>
      <c r="G79" s="20"/>
      <c r="H79" s="20"/>
      <c r="I79" s="20"/>
      <c r="J79" s="19"/>
      <c r="K79" s="19"/>
      <c r="L79" s="21">
        <f>IF(OR($B79="",$D79=""),"",$D79+N($E79))</f>
        <v/>
      </c>
      <c r="M79" s="22">
        <f>IF($L79="","",IF($F79="",pImp,$F79)+IF($G79="",pCom,$G79)+IF($H79="",pTax,$H79)+pFixo+IF($I79="",pLucro,$I79))</f>
        <v/>
      </c>
      <c r="N79" s="21">
        <f>IF($L79="","",IF($M79&gt;=1,"Revisar %",$L79/(1-$M79)))</f>
        <v/>
      </c>
      <c r="O79" s="23">
        <f>IF(ISNUMBER($N79),ROUNDUP($N79,0)+IF(ROUNDUP($N79,0)-0.1&gt;=$N79,-0.1,0.9),$N79)</f>
        <v/>
      </c>
      <c r="P79" s="24">
        <f>IF(AND(ISNUMBER($O79),N($L79)&gt;0),$O79/$L79,"")</f>
        <v/>
      </c>
      <c r="Q79" s="21">
        <f>IF(ISNUMBER($N79),$L79/(1-($M79-IF($I79="",pLucro,$I79))),"")</f>
        <v/>
      </c>
      <c r="R79" s="21">
        <f>IF(OR($K79="",NOT(ISNUMBER($N79))),"",$K79*(1-($M79-IF($I79="",pLucro,$I79)))-$L79)</f>
        <v/>
      </c>
      <c r="S79" s="22">
        <f>IF($R79="","",$R79/$K79)</f>
        <v/>
      </c>
      <c r="T79" s="25">
        <f>IF($L79="","",IF(NOT(ISNUMBER($N79)),"Revisar %",IF($K79="","Sem preço atual",IF($R79&lt;0,"PREJUÍZO",IF($K79&lt;$N79,"Abaixo do ideal","OK")))))</f>
        <v/>
      </c>
      <c r="U79" s="25">
        <f>IF(OR($J79="",NOT(ISNUMBER($O79))),"",IF($O79&lt;=$J79,"Competitivo ("&amp;ROUND(($O79/$J79-1)*100,1)&amp;"%)","Acima do concorrente (+"&amp;ROUND(($O79/$J79-1)*100,1)&amp;"%)"))</f>
        <v/>
      </c>
    </row>
    <row r="80" spans="1:21">
      <c r="A80" s="13"/>
      <c r="B80" s="13"/>
      <c r="C80" s="13"/>
      <c r="D80" s="19"/>
      <c r="E80" s="19"/>
      <c r="F80" s="20"/>
      <c r="G80" s="20"/>
      <c r="H80" s="20"/>
      <c r="I80" s="20"/>
      <c r="J80" s="19"/>
      <c r="K80" s="19"/>
      <c r="L80" s="21">
        <f>IF(OR($B80="",$D80=""),"",$D80+N($E80))</f>
        <v/>
      </c>
      <c r="M80" s="22">
        <f>IF($L80="","",IF($F80="",pImp,$F80)+IF($G80="",pCom,$G80)+IF($H80="",pTax,$H80)+pFixo+IF($I80="",pLucro,$I80))</f>
        <v/>
      </c>
      <c r="N80" s="21">
        <f>IF($L80="","",IF($M80&gt;=1,"Revisar %",$L80/(1-$M80)))</f>
        <v/>
      </c>
      <c r="O80" s="23">
        <f>IF(ISNUMBER($N80),ROUNDUP($N80,0)+IF(ROUNDUP($N80,0)-0.1&gt;=$N80,-0.1,0.9),$N80)</f>
        <v/>
      </c>
      <c r="P80" s="24">
        <f>IF(AND(ISNUMBER($O80),N($L80)&gt;0),$O80/$L80,"")</f>
        <v/>
      </c>
      <c r="Q80" s="21">
        <f>IF(ISNUMBER($N80),$L80/(1-($M80-IF($I80="",pLucro,$I80))),"")</f>
        <v/>
      </c>
      <c r="R80" s="21">
        <f>IF(OR($K80="",NOT(ISNUMBER($N80))),"",$K80*(1-($M80-IF($I80="",pLucro,$I80)))-$L80)</f>
        <v/>
      </c>
      <c r="S80" s="22">
        <f>IF($R80="","",$R80/$K80)</f>
        <v/>
      </c>
      <c r="T80" s="25">
        <f>IF($L80="","",IF(NOT(ISNUMBER($N80)),"Revisar %",IF($K80="","Sem preço atual",IF($R80&lt;0,"PREJUÍZO",IF($K80&lt;$N80,"Abaixo do ideal","OK")))))</f>
        <v/>
      </c>
      <c r="U80" s="25">
        <f>IF(OR($J80="",NOT(ISNUMBER($O80))),"",IF($O80&lt;=$J80,"Competitivo ("&amp;ROUND(($O80/$J80-1)*100,1)&amp;"%)","Acima do concorrente (+"&amp;ROUND(($O80/$J80-1)*100,1)&amp;"%)"))</f>
        <v/>
      </c>
    </row>
    <row r="81" spans="1:21">
      <c r="A81" s="13"/>
      <c r="B81" s="13"/>
      <c r="C81" s="13"/>
      <c r="D81" s="19"/>
      <c r="E81" s="19"/>
      <c r="F81" s="20"/>
      <c r="G81" s="20"/>
      <c r="H81" s="20"/>
      <c r="I81" s="20"/>
      <c r="J81" s="19"/>
      <c r="K81" s="19"/>
      <c r="L81" s="21">
        <f>IF(OR($B81="",$D81=""),"",$D81+N($E81))</f>
        <v/>
      </c>
      <c r="M81" s="22">
        <f>IF($L81="","",IF($F81="",pImp,$F81)+IF($G81="",pCom,$G81)+IF($H81="",pTax,$H81)+pFixo+IF($I81="",pLucro,$I81))</f>
        <v/>
      </c>
      <c r="N81" s="21">
        <f>IF($L81="","",IF($M81&gt;=1,"Revisar %",$L81/(1-$M81)))</f>
        <v/>
      </c>
      <c r="O81" s="23">
        <f>IF(ISNUMBER($N81),ROUNDUP($N81,0)+IF(ROUNDUP($N81,0)-0.1&gt;=$N81,-0.1,0.9),$N81)</f>
        <v/>
      </c>
      <c r="P81" s="24">
        <f>IF(AND(ISNUMBER($O81),N($L81)&gt;0),$O81/$L81,"")</f>
        <v/>
      </c>
      <c r="Q81" s="21">
        <f>IF(ISNUMBER($N81),$L81/(1-($M81-IF($I81="",pLucro,$I81))),"")</f>
        <v/>
      </c>
      <c r="R81" s="21">
        <f>IF(OR($K81="",NOT(ISNUMBER($N81))),"",$K81*(1-($M81-IF($I81="",pLucro,$I81)))-$L81)</f>
        <v/>
      </c>
      <c r="S81" s="22">
        <f>IF($R81="","",$R81/$K81)</f>
        <v/>
      </c>
      <c r="T81" s="25">
        <f>IF($L81="","",IF(NOT(ISNUMBER($N81)),"Revisar %",IF($K81="","Sem preço atual",IF($R81&lt;0,"PREJUÍZO",IF($K81&lt;$N81,"Abaixo do ideal","OK")))))</f>
        <v/>
      </c>
      <c r="U81" s="25">
        <f>IF(OR($J81="",NOT(ISNUMBER($O81))),"",IF($O81&lt;=$J81,"Competitivo ("&amp;ROUND(($O81/$J81-1)*100,1)&amp;"%)","Acima do concorrente (+"&amp;ROUND(($O81/$J81-1)*100,1)&amp;"%)"))</f>
        <v/>
      </c>
    </row>
    <row r="82" spans="1:21">
      <c r="A82" s="13"/>
      <c r="B82" s="13"/>
      <c r="C82" s="13"/>
      <c r="D82" s="19"/>
      <c r="E82" s="19"/>
      <c r="F82" s="20"/>
      <c r="G82" s="20"/>
      <c r="H82" s="20"/>
      <c r="I82" s="20"/>
      <c r="J82" s="19"/>
      <c r="K82" s="19"/>
      <c r="L82" s="21">
        <f>IF(OR($B82="",$D82=""),"",$D82+N($E82))</f>
        <v/>
      </c>
      <c r="M82" s="22">
        <f>IF($L82="","",IF($F82="",pImp,$F82)+IF($G82="",pCom,$G82)+IF($H82="",pTax,$H82)+pFixo+IF($I82="",pLucro,$I82))</f>
        <v/>
      </c>
      <c r="N82" s="21">
        <f>IF($L82="","",IF($M82&gt;=1,"Revisar %",$L82/(1-$M82)))</f>
        <v/>
      </c>
      <c r="O82" s="23">
        <f>IF(ISNUMBER($N82),ROUNDUP($N82,0)+IF(ROUNDUP($N82,0)-0.1&gt;=$N82,-0.1,0.9),$N82)</f>
        <v/>
      </c>
      <c r="P82" s="24">
        <f>IF(AND(ISNUMBER($O82),N($L82)&gt;0),$O82/$L82,"")</f>
        <v/>
      </c>
      <c r="Q82" s="21">
        <f>IF(ISNUMBER($N82),$L82/(1-($M82-IF($I82="",pLucro,$I82))),"")</f>
        <v/>
      </c>
      <c r="R82" s="21">
        <f>IF(OR($K82="",NOT(ISNUMBER($N82))),"",$K82*(1-($M82-IF($I82="",pLucro,$I82)))-$L82)</f>
        <v/>
      </c>
      <c r="S82" s="22">
        <f>IF($R82="","",$R82/$K82)</f>
        <v/>
      </c>
      <c r="T82" s="25">
        <f>IF($L82="","",IF(NOT(ISNUMBER($N82)),"Revisar %",IF($K82="","Sem preço atual",IF($R82&lt;0,"PREJUÍZO",IF($K82&lt;$N82,"Abaixo do ideal","OK")))))</f>
        <v/>
      </c>
      <c r="U82" s="25">
        <f>IF(OR($J82="",NOT(ISNUMBER($O82))),"",IF($O82&lt;=$J82,"Competitivo ("&amp;ROUND(($O82/$J82-1)*100,1)&amp;"%)","Acima do concorrente (+"&amp;ROUND(($O82/$J82-1)*100,1)&amp;"%)"))</f>
        <v/>
      </c>
    </row>
    <row r="83" spans="1:21">
      <c r="A83" s="13"/>
      <c r="B83" s="13"/>
      <c r="C83" s="13"/>
      <c r="D83" s="19"/>
      <c r="E83" s="19"/>
      <c r="F83" s="20"/>
      <c r="G83" s="20"/>
      <c r="H83" s="20"/>
      <c r="I83" s="20"/>
      <c r="J83" s="19"/>
      <c r="K83" s="19"/>
      <c r="L83" s="21">
        <f>IF(OR($B83="",$D83=""),"",$D83+N($E83))</f>
        <v/>
      </c>
      <c r="M83" s="22">
        <f>IF($L83="","",IF($F83="",pImp,$F83)+IF($G83="",pCom,$G83)+IF($H83="",pTax,$H83)+pFixo+IF($I83="",pLucro,$I83))</f>
        <v/>
      </c>
      <c r="N83" s="21">
        <f>IF($L83="","",IF($M83&gt;=1,"Revisar %",$L83/(1-$M83)))</f>
        <v/>
      </c>
      <c r="O83" s="23">
        <f>IF(ISNUMBER($N83),ROUNDUP($N83,0)+IF(ROUNDUP($N83,0)-0.1&gt;=$N83,-0.1,0.9),$N83)</f>
        <v/>
      </c>
      <c r="P83" s="24">
        <f>IF(AND(ISNUMBER($O83),N($L83)&gt;0),$O83/$L83,"")</f>
        <v/>
      </c>
      <c r="Q83" s="21">
        <f>IF(ISNUMBER($N83),$L83/(1-($M83-IF($I83="",pLucro,$I83))),"")</f>
        <v/>
      </c>
      <c r="R83" s="21">
        <f>IF(OR($K83="",NOT(ISNUMBER($N83))),"",$K83*(1-($M83-IF($I83="",pLucro,$I83)))-$L83)</f>
        <v/>
      </c>
      <c r="S83" s="22">
        <f>IF($R83="","",$R83/$K83)</f>
        <v/>
      </c>
      <c r="T83" s="25">
        <f>IF($L83="","",IF(NOT(ISNUMBER($N83)),"Revisar %",IF($K83="","Sem preço atual",IF($R83&lt;0,"PREJUÍZO",IF($K83&lt;$N83,"Abaixo do ideal","OK")))))</f>
        <v/>
      </c>
      <c r="U83" s="25">
        <f>IF(OR($J83="",NOT(ISNUMBER($O83))),"",IF($O83&lt;=$J83,"Competitivo ("&amp;ROUND(($O83/$J83-1)*100,1)&amp;"%)","Acima do concorrente (+"&amp;ROUND(($O83/$J83-1)*100,1)&amp;"%)"))</f>
        <v/>
      </c>
    </row>
    <row r="84" spans="1:21">
      <c r="A84" s="13"/>
      <c r="B84" s="13"/>
      <c r="C84" s="13"/>
      <c r="D84" s="19"/>
      <c r="E84" s="19"/>
      <c r="F84" s="20"/>
      <c r="G84" s="20"/>
      <c r="H84" s="20"/>
      <c r="I84" s="20"/>
      <c r="J84" s="19"/>
      <c r="K84" s="19"/>
      <c r="L84" s="21">
        <f>IF(OR($B84="",$D84=""),"",$D84+N($E84))</f>
        <v/>
      </c>
      <c r="M84" s="22">
        <f>IF($L84="","",IF($F84="",pImp,$F84)+IF($G84="",pCom,$G84)+IF($H84="",pTax,$H84)+pFixo+IF($I84="",pLucro,$I84))</f>
        <v/>
      </c>
      <c r="N84" s="21">
        <f>IF($L84="","",IF($M84&gt;=1,"Revisar %",$L84/(1-$M84)))</f>
        <v/>
      </c>
      <c r="O84" s="23">
        <f>IF(ISNUMBER($N84),ROUNDUP($N84,0)+IF(ROUNDUP($N84,0)-0.1&gt;=$N84,-0.1,0.9),$N84)</f>
        <v/>
      </c>
      <c r="P84" s="24">
        <f>IF(AND(ISNUMBER($O84),N($L84)&gt;0),$O84/$L84,"")</f>
        <v/>
      </c>
      <c r="Q84" s="21">
        <f>IF(ISNUMBER($N84),$L84/(1-($M84-IF($I84="",pLucro,$I84))),"")</f>
        <v/>
      </c>
      <c r="R84" s="21">
        <f>IF(OR($K84="",NOT(ISNUMBER($N84))),"",$K84*(1-($M84-IF($I84="",pLucro,$I84)))-$L84)</f>
        <v/>
      </c>
      <c r="S84" s="22">
        <f>IF($R84="","",$R84/$K84)</f>
        <v/>
      </c>
      <c r="T84" s="25">
        <f>IF($L84="","",IF(NOT(ISNUMBER($N84)),"Revisar %",IF($K84="","Sem preço atual",IF($R84&lt;0,"PREJUÍZO",IF($K84&lt;$N84,"Abaixo do ideal","OK")))))</f>
        <v/>
      </c>
      <c r="U84" s="25">
        <f>IF(OR($J84="",NOT(ISNUMBER($O84))),"",IF($O84&lt;=$J84,"Competitivo ("&amp;ROUND(($O84/$J84-1)*100,1)&amp;"%)","Acima do concorrente (+"&amp;ROUND(($O84/$J84-1)*100,1)&amp;"%)"))</f>
        <v/>
      </c>
    </row>
    <row r="85" spans="1:21">
      <c r="A85" s="13"/>
      <c r="B85" s="13"/>
      <c r="C85" s="13"/>
      <c r="D85" s="19"/>
      <c r="E85" s="19"/>
      <c r="F85" s="20"/>
      <c r="G85" s="20"/>
      <c r="H85" s="20"/>
      <c r="I85" s="20"/>
      <c r="J85" s="19"/>
      <c r="K85" s="19"/>
      <c r="L85" s="21">
        <f>IF(OR($B85="",$D85=""),"",$D85+N($E85))</f>
        <v/>
      </c>
      <c r="M85" s="22">
        <f>IF($L85="","",IF($F85="",pImp,$F85)+IF($G85="",pCom,$G85)+IF($H85="",pTax,$H85)+pFixo+IF($I85="",pLucro,$I85))</f>
        <v/>
      </c>
      <c r="N85" s="21">
        <f>IF($L85="","",IF($M85&gt;=1,"Revisar %",$L85/(1-$M85)))</f>
        <v/>
      </c>
      <c r="O85" s="23">
        <f>IF(ISNUMBER($N85),ROUNDUP($N85,0)+IF(ROUNDUP($N85,0)-0.1&gt;=$N85,-0.1,0.9),$N85)</f>
        <v/>
      </c>
      <c r="P85" s="24">
        <f>IF(AND(ISNUMBER($O85),N($L85)&gt;0),$O85/$L85,"")</f>
        <v/>
      </c>
      <c r="Q85" s="21">
        <f>IF(ISNUMBER($N85),$L85/(1-($M85-IF($I85="",pLucro,$I85))),"")</f>
        <v/>
      </c>
      <c r="R85" s="21">
        <f>IF(OR($K85="",NOT(ISNUMBER($N85))),"",$K85*(1-($M85-IF($I85="",pLucro,$I85)))-$L85)</f>
        <v/>
      </c>
      <c r="S85" s="22">
        <f>IF($R85="","",$R85/$K85)</f>
        <v/>
      </c>
      <c r="T85" s="25">
        <f>IF($L85="","",IF(NOT(ISNUMBER($N85)),"Revisar %",IF($K85="","Sem preço atual",IF($R85&lt;0,"PREJUÍZO",IF($K85&lt;$N85,"Abaixo do ideal","OK")))))</f>
        <v/>
      </c>
      <c r="U85" s="25">
        <f>IF(OR($J85="",NOT(ISNUMBER($O85))),"",IF($O85&lt;=$J85,"Competitivo ("&amp;ROUND(($O85/$J85-1)*100,1)&amp;"%)","Acima do concorrente (+"&amp;ROUND(($O85/$J85-1)*100,1)&amp;"%)"))</f>
        <v/>
      </c>
    </row>
    <row r="86" spans="1:21">
      <c r="A86" s="13"/>
      <c r="B86" s="13"/>
      <c r="C86" s="13"/>
      <c r="D86" s="19"/>
      <c r="E86" s="19"/>
      <c r="F86" s="20"/>
      <c r="G86" s="20"/>
      <c r="H86" s="20"/>
      <c r="I86" s="20"/>
      <c r="J86" s="19"/>
      <c r="K86" s="19"/>
      <c r="L86" s="21">
        <f>IF(OR($B86="",$D86=""),"",$D86+N($E86))</f>
        <v/>
      </c>
      <c r="M86" s="22">
        <f>IF($L86="","",IF($F86="",pImp,$F86)+IF($G86="",pCom,$G86)+IF($H86="",pTax,$H86)+pFixo+IF($I86="",pLucro,$I86))</f>
        <v/>
      </c>
      <c r="N86" s="21">
        <f>IF($L86="","",IF($M86&gt;=1,"Revisar %",$L86/(1-$M86)))</f>
        <v/>
      </c>
      <c r="O86" s="23">
        <f>IF(ISNUMBER($N86),ROUNDUP($N86,0)+IF(ROUNDUP($N86,0)-0.1&gt;=$N86,-0.1,0.9),$N86)</f>
        <v/>
      </c>
      <c r="P86" s="24">
        <f>IF(AND(ISNUMBER($O86),N($L86)&gt;0),$O86/$L86,"")</f>
        <v/>
      </c>
      <c r="Q86" s="21">
        <f>IF(ISNUMBER($N86),$L86/(1-($M86-IF($I86="",pLucro,$I86))),"")</f>
        <v/>
      </c>
      <c r="R86" s="21">
        <f>IF(OR($K86="",NOT(ISNUMBER($N86))),"",$K86*(1-($M86-IF($I86="",pLucro,$I86)))-$L86)</f>
        <v/>
      </c>
      <c r="S86" s="22">
        <f>IF($R86="","",$R86/$K86)</f>
        <v/>
      </c>
      <c r="T86" s="25">
        <f>IF($L86="","",IF(NOT(ISNUMBER($N86)),"Revisar %",IF($K86="","Sem preço atual",IF($R86&lt;0,"PREJUÍZO",IF($K86&lt;$N86,"Abaixo do ideal","OK")))))</f>
        <v/>
      </c>
      <c r="U86" s="25">
        <f>IF(OR($J86="",NOT(ISNUMBER($O86))),"",IF($O86&lt;=$J86,"Competitivo ("&amp;ROUND(($O86/$J86-1)*100,1)&amp;"%)","Acima do concorrente (+"&amp;ROUND(($O86/$J86-1)*100,1)&amp;"%)"))</f>
        <v/>
      </c>
    </row>
    <row r="87" spans="1:21">
      <c r="A87" s="13"/>
      <c r="B87" s="13"/>
      <c r="C87" s="13"/>
      <c r="D87" s="19"/>
      <c r="E87" s="19"/>
      <c r="F87" s="20"/>
      <c r="G87" s="20"/>
      <c r="H87" s="20"/>
      <c r="I87" s="20"/>
      <c r="J87" s="19"/>
      <c r="K87" s="19"/>
      <c r="L87" s="21">
        <f>IF(OR($B87="",$D87=""),"",$D87+N($E87))</f>
        <v/>
      </c>
      <c r="M87" s="22">
        <f>IF($L87="","",IF($F87="",pImp,$F87)+IF($G87="",pCom,$G87)+IF($H87="",pTax,$H87)+pFixo+IF($I87="",pLucro,$I87))</f>
        <v/>
      </c>
      <c r="N87" s="21">
        <f>IF($L87="","",IF($M87&gt;=1,"Revisar %",$L87/(1-$M87)))</f>
        <v/>
      </c>
      <c r="O87" s="23">
        <f>IF(ISNUMBER($N87),ROUNDUP($N87,0)+IF(ROUNDUP($N87,0)-0.1&gt;=$N87,-0.1,0.9),$N87)</f>
        <v/>
      </c>
      <c r="P87" s="24">
        <f>IF(AND(ISNUMBER($O87),N($L87)&gt;0),$O87/$L87,"")</f>
        <v/>
      </c>
      <c r="Q87" s="21">
        <f>IF(ISNUMBER($N87),$L87/(1-($M87-IF($I87="",pLucro,$I87))),"")</f>
        <v/>
      </c>
      <c r="R87" s="21">
        <f>IF(OR($K87="",NOT(ISNUMBER($N87))),"",$K87*(1-($M87-IF($I87="",pLucro,$I87)))-$L87)</f>
        <v/>
      </c>
      <c r="S87" s="22">
        <f>IF($R87="","",$R87/$K87)</f>
        <v/>
      </c>
      <c r="T87" s="25">
        <f>IF($L87="","",IF(NOT(ISNUMBER($N87)),"Revisar %",IF($K87="","Sem preço atual",IF($R87&lt;0,"PREJUÍZO",IF($K87&lt;$N87,"Abaixo do ideal","OK")))))</f>
        <v/>
      </c>
      <c r="U87" s="25">
        <f>IF(OR($J87="",NOT(ISNUMBER($O87))),"",IF($O87&lt;=$J87,"Competitivo ("&amp;ROUND(($O87/$J87-1)*100,1)&amp;"%)","Acima do concorrente (+"&amp;ROUND(($O87/$J87-1)*100,1)&amp;"%)"))</f>
        <v/>
      </c>
    </row>
    <row r="88" spans="1:21">
      <c r="A88" s="13"/>
      <c r="B88" s="13"/>
      <c r="C88" s="13"/>
      <c r="D88" s="19"/>
      <c r="E88" s="19"/>
      <c r="F88" s="20"/>
      <c r="G88" s="20"/>
      <c r="H88" s="20"/>
      <c r="I88" s="20"/>
      <c r="J88" s="19"/>
      <c r="K88" s="19"/>
      <c r="L88" s="21">
        <f>IF(OR($B88="",$D88=""),"",$D88+N($E88))</f>
        <v/>
      </c>
      <c r="M88" s="22">
        <f>IF($L88="","",IF($F88="",pImp,$F88)+IF($G88="",pCom,$G88)+IF($H88="",pTax,$H88)+pFixo+IF($I88="",pLucro,$I88))</f>
        <v/>
      </c>
      <c r="N88" s="21">
        <f>IF($L88="","",IF($M88&gt;=1,"Revisar %",$L88/(1-$M88)))</f>
        <v/>
      </c>
      <c r="O88" s="23">
        <f>IF(ISNUMBER($N88),ROUNDUP($N88,0)+IF(ROUNDUP($N88,0)-0.1&gt;=$N88,-0.1,0.9),$N88)</f>
        <v/>
      </c>
      <c r="P88" s="24">
        <f>IF(AND(ISNUMBER($O88),N($L88)&gt;0),$O88/$L88,"")</f>
        <v/>
      </c>
      <c r="Q88" s="21">
        <f>IF(ISNUMBER($N88),$L88/(1-($M88-IF($I88="",pLucro,$I88))),"")</f>
        <v/>
      </c>
      <c r="R88" s="21">
        <f>IF(OR($K88="",NOT(ISNUMBER($N88))),"",$K88*(1-($M88-IF($I88="",pLucro,$I88)))-$L88)</f>
        <v/>
      </c>
      <c r="S88" s="22">
        <f>IF($R88="","",$R88/$K88)</f>
        <v/>
      </c>
      <c r="T88" s="25">
        <f>IF($L88="","",IF(NOT(ISNUMBER($N88)),"Revisar %",IF($K88="","Sem preço atual",IF($R88&lt;0,"PREJUÍZO",IF($K88&lt;$N88,"Abaixo do ideal","OK")))))</f>
        <v/>
      </c>
      <c r="U88" s="25">
        <f>IF(OR($J88="",NOT(ISNUMBER($O88))),"",IF($O88&lt;=$J88,"Competitivo ("&amp;ROUND(($O88/$J88-1)*100,1)&amp;"%)","Acima do concorrente (+"&amp;ROUND(($O88/$J88-1)*100,1)&amp;"%)"))</f>
        <v/>
      </c>
    </row>
    <row r="89" spans="1:21">
      <c r="A89" s="13"/>
      <c r="B89" s="13"/>
      <c r="C89" s="13"/>
      <c r="D89" s="19"/>
      <c r="E89" s="19"/>
      <c r="F89" s="20"/>
      <c r="G89" s="20"/>
      <c r="H89" s="20"/>
      <c r="I89" s="20"/>
      <c r="J89" s="19"/>
      <c r="K89" s="19"/>
      <c r="L89" s="21">
        <f>IF(OR($B89="",$D89=""),"",$D89+N($E89))</f>
        <v/>
      </c>
      <c r="M89" s="22">
        <f>IF($L89="","",IF($F89="",pImp,$F89)+IF($G89="",pCom,$G89)+IF($H89="",pTax,$H89)+pFixo+IF($I89="",pLucro,$I89))</f>
        <v/>
      </c>
      <c r="N89" s="21">
        <f>IF($L89="","",IF($M89&gt;=1,"Revisar %",$L89/(1-$M89)))</f>
        <v/>
      </c>
      <c r="O89" s="23">
        <f>IF(ISNUMBER($N89),ROUNDUP($N89,0)+IF(ROUNDUP($N89,0)-0.1&gt;=$N89,-0.1,0.9),$N89)</f>
        <v/>
      </c>
      <c r="P89" s="24">
        <f>IF(AND(ISNUMBER($O89),N($L89)&gt;0),$O89/$L89,"")</f>
        <v/>
      </c>
      <c r="Q89" s="21">
        <f>IF(ISNUMBER($N89),$L89/(1-($M89-IF($I89="",pLucro,$I89))),"")</f>
        <v/>
      </c>
      <c r="R89" s="21">
        <f>IF(OR($K89="",NOT(ISNUMBER($N89))),"",$K89*(1-($M89-IF($I89="",pLucro,$I89)))-$L89)</f>
        <v/>
      </c>
      <c r="S89" s="22">
        <f>IF($R89="","",$R89/$K89)</f>
        <v/>
      </c>
      <c r="T89" s="25">
        <f>IF($L89="","",IF(NOT(ISNUMBER($N89)),"Revisar %",IF($K89="","Sem preço atual",IF($R89&lt;0,"PREJUÍZO",IF($K89&lt;$N89,"Abaixo do ideal","OK")))))</f>
        <v/>
      </c>
      <c r="U89" s="25">
        <f>IF(OR($J89="",NOT(ISNUMBER($O89))),"",IF($O89&lt;=$J89,"Competitivo ("&amp;ROUND(($O89/$J89-1)*100,1)&amp;"%)","Acima do concorrente (+"&amp;ROUND(($O89/$J89-1)*100,1)&amp;"%)"))</f>
        <v/>
      </c>
    </row>
    <row r="90" spans="1:21">
      <c r="A90" s="13"/>
      <c r="B90" s="13"/>
      <c r="C90" s="13"/>
      <c r="D90" s="19"/>
      <c r="E90" s="19"/>
      <c r="F90" s="20"/>
      <c r="G90" s="20"/>
      <c r="H90" s="20"/>
      <c r="I90" s="20"/>
      <c r="J90" s="19"/>
      <c r="K90" s="19"/>
      <c r="L90" s="21">
        <f>IF(OR($B90="",$D90=""),"",$D90+N($E90))</f>
        <v/>
      </c>
      <c r="M90" s="22">
        <f>IF($L90="","",IF($F90="",pImp,$F90)+IF($G90="",pCom,$G90)+IF($H90="",pTax,$H90)+pFixo+IF($I90="",pLucro,$I90))</f>
        <v/>
      </c>
      <c r="N90" s="21">
        <f>IF($L90="","",IF($M90&gt;=1,"Revisar %",$L90/(1-$M90)))</f>
        <v/>
      </c>
      <c r="O90" s="23">
        <f>IF(ISNUMBER($N90),ROUNDUP($N90,0)+IF(ROUNDUP($N90,0)-0.1&gt;=$N90,-0.1,0.9),$N90)</f>
        <v/>
      </c>
      <c r="P90" s="24">
        <f>IF(AND(ISNUMBER($O90),N($L90)&gt;0),$O90/$L90,"")</f>
        <v/>
      </c>
      <c r="Q90" s="21">
        <f>IF(ISNUMBER($N90),$L90/(1-($M90-IF($I90="",pLucro,$I90))),"")</f>
        <v/>
      </c>
      <c r="R90" s="21">
        <f>IF(OR($K90="",NOT(ISNUMBER($N90))),"",$K90*(1-($M90-IF($I90="",pLucro,$I90)))-$L90)</f>
        <v/>
      </c>
      <c r="S90" s="22">
        <f>IF($R90="","",$R90/$K90)</f>
        <v/>
      </c>
      <c r="T90" s="25">
        <f>IF($L90="","",IF(NOT(ISNUMBER($N90)),"Revisar %",IF($K90="","Sem preço atual",IF($R90&lt;0,"PREJUÍZO",IF($K90&lt;$N90,"Abaixo do ideal","OK")))))</f>
        <v/>
      </c>
      <c r="U90" s="25">
        <f>IF(OR($J90="",NOT(ISNUMBER($O90))),"",IF($O90&lt;=$J90,"Competitivo ("&amp;ROUND(($O90/$J90-1)*100,1)&amp;"%)","Acima do concorrente (+"&amp;ROUND(($O90/$J90-1)*100,1)&amp;"%)"))</f>
        <v/>
      </c>
    </row>
    <row r="91" spans="1:21">
      <c r="A91" s="13"/>
      <c r="B91" s="13"/>
      <c r="C91" s="13"/>
      <c r="D91" s="19"/>
      <c r="E91" s="19"/>
      <c r="F91" s="20"/>
      <c r="G91" s="20"/>
      <c r="H91" s="20"/>
      <c r="I91" s="20"/>
      <c r="J91" s="19"/>
      <c r="K91" s="19"/>
      <c r="L91" s="21">
        <f>IF(OR($B91="",$D91=""),"",$D91+N($E91))</f>
        <v/>
      </c>
      <c r="M91" s="22">
        <f>IF($L91="","",IF($F91="",pImp,$F91)+IF($G91="",pCom,$G91)+IF($H91="",pTax,$H91)+pFixo+IF($I91="",pLucro,$I91))</f>
        <v/>
      </c>
      <c r="N91" s="21">
        <f>IF($L91="","",IF($M91&gt;=1,"Revisar %",$L91/(1-$M91)))</f>
        <v/>
      </c>
      <c r="O91" s="23">
        <f>IF(ISNUMBER($N91),ROUNDUP($N91,0)+IF(ROUNDUP($N91,0)-0.1&gt;=$N91,-0.1,0.9),$N91)</f>
        <v/>
      </c>
      <c r="P91" s="24">
        <f>IF(AND(ISNUMBER($O91),N($L91)&gt;0),$O91/$L91,"")</f>
        <v/>
      </c>
      <c r="Q91" s="21">
        <f>IF(ISNUMBER($N91),$L91/(1-($M91-IF($I91="",pLucro,$I91))),"")</f>
        <v/>
      </c>
      <c r="R91" s="21">
        <f>IF(OR($K91="",NOT(ISNUMBER($N91))),"",$K91*(1-($M91-IF($I91="",pLucro,$I91)))-$L91)</f>
        <v/>
      </c>
      <c r="S91" s="22">
        <f>IF($R91="","",$R91/$K91)</f>
        <v/>
      </c>
      <c r="T91" s="25">
        <f>IF($L91="","",IF(NOT(ISNUMBER($N91)),"Revisar %",IF($K91="","Sem preço atual",IF($R91&lt;0,"PREJUÍZO",IF($K91&lt;$N91,"Abaixo do ideal","OK")))))</f>
        <v/>
      </c>
      <c r="U91" s="25">
        <f>IF(OR($J91="",NOT(ISNUMBER($O91))),"",IF($O91&lt;=$J91,"Competitivo ("&amp;ROUND(($O91/$J91-1)*100,1)&amp;"%)","Acima do concorrente (+"&amp;ROUND(($O91/$J91-1)*100,1)&amp;"%)"))</f>
        <v/>
      </c>
    </row>
    <row r="92" spans="1:21">
      <c r="A92" s="13"/>
      <c r="B92" s="13"/>
      <c r="C92" s="13"/>
      <c r="D92" s="19"/>
      <c r="E92" s="19"/>
      <c r="F92" s="20"/>
      <c r="G92" s="20"/>
      <c r="H92" s="20"/>
      <c r="I92" s="20"/>
      <c r="J92" s="19"/>
      <c r="K92" s="19"/>
      <c r="L92" s="21">
        <f>IF(OR($B92="",$D92=""),"",$D92+N($E92))</f>
        <v/>
      </c>
      <c r="M92" s="22">
        <f>IF($L92="","",IF($F92="",pImp,$F92)+IF($G92="",pCom,$G92)+IF($H92="",pTax,$H92)+pFixo+IF($I92="",pLucro,$I92))</f>
        <v/>
      </c>
      <c r="N92" s="21">
        <f>IF($L92="","",IF($M92&gt;=1,"Revisar %",$L92/(1-$M92)))</f>
        <v/>
      </c>
      <c r="O92" s="23">
        <f>IF(ISNUMBER($N92),ROUNDUP($N92,0)+IF(ROUNDUP($N92,0)-0.1&gt;=$N92,-0.1,0.9),$N92)</f>
        <v/>
      </c>
      <c r="P92" s="24">
        <f>IF(AND(ISNUMBER($O92),N($L92)&gt;0),$O92/$L92,"")</f>
        <v/>
      </c>
      <c r="Q92" s="21">
        <f>IF(ISNUMBER($N92),$L92/(1-($M92-IF($I92="",pLucro,$I92))),"")</f>
        <v/>
      </c>
      <c r="R92" s="21">
        <f>IF(OR($K92="",NOT(ISNUMBER($N92))),"",$K92*(1-($M92-IF($I92="",pLucro,$I92)))-$L92)</f>
        <v/>
      </c>
      <c r="S92" s="22">
        <f>IF($R92="","",$R92/$K92)</f>
        <v/>
      </c>
      <c r="T92" s="25">
        <f>IF($L92="","",IF(NOT(ISNUMBER($N92)),"Revisar %",IF($K92="","Sem preço atual",IF($R92&lt;0,"PREJUÍZO",IF($K92&lt;$N92,"Abaixo do ideal","OK")))))</f>
        <v/>
      </c>
      <c r="U92" s="25">
        <f>IF(OR($J92="",NOT(ISNUMBER($O92))),"",IF($O92&lt;=$J92,"Competitivo ("&amp;ROUND(($O92/$J92-1)*100,1)&amp;"%)","Acima do concorrente (+"&amp;ROUND(($O92/$J92-1)*100,1)&amp;"%)"))</f>
        <v/>
      </c>
    </row>
    <row r="93" spans="1:21">
      <c r="A93" s="13"/>
      <c r="B93" s="13"/>
      <c r="C93" s="13"/>
      <c r="D93" s="19"/>
      <c r="E93" s="19"/>
      <c r="F93" s="20"/>
      <c r="G93" s="20"/>
      <c r="H93" s="20"/>
      <c r="I93" s="20"/>
      <c r="J93" s="19"/>
      <c r="K93" s="19"/>
      <c r="L93" s="21">
        <f>IF(OR($B93="",$D93=""),"",$D93+N($E93))</f>
        <v/>
      </c>
      <c r="M93" s="22">
        <f>IF($L93="","",IF($F93="",pImp,$F93)+IF($G93="",pCom,$G93)+IF($H93="",pTax,$H93)+pFixo+IF($I93="",pLucro,$I93))</f>
        <v/>
      </c>
      <c r="N93" s="21">
        <f>IF($L93="","",IF($M93&gt;=1,"Revisar %",$L93/(1-$M93)))</f>
        <v/>
      </c>
      <c r="O93" s="23">
        <f>IF(ISNUMBER($N93),ROUNDUP($N93,0)+IF(ROUNDUP($N93,0)-0.1&gt;=$N93,-0.1,0.9),$N93)</f>
        <v/>
      </c>
      <c r="P93" s="24">
        <f>IF(AND(ISNUMBER($O93),N($L93)&gt;0),$O93/$L93,"")</f>
        <v/>
      </c>
      <c r="Q93" s="21">
        <f>IF(ISNUMBER($N93),$L93/(1-($M93-IF($I93="",pLucro,$I93))),"")</f>
        <v/>
      </c>
      <c r="R93" s="21">
        <f>IF(OR($K93="",NOT(ISNUMBER($N93))),"",$K93*(1-($M93-IF($I93="",pLucro,$I93)))-$L93)</f>
        <v/>
      </c>
      <c r="S93" s="22">
        <f>IF($R93="","",$R93/$K93)</f>
        <v/>
      </c>
      <c r="T93" s="25">
        <f>IF($L93="","",IF(NOT(ISNUMBER($N93)),"Revisar %",IF($K93="","Sem preço atual",IF($R93&lt;0,"PREJUÍZO",IF($K93&lt;$N93,"Abaixo do ideal","OK")))))</f>
        <v/>
      </c>
      <c r="U93" s="25">
        <f>IF(OR($J93="",NOT(ISNUMBER($O93))),"",IF($O93&lt;=$J93,"Competitivo ("&amp;ROUND(($O93/$J93-1)*100,1)&amp;"%)","Acima do concorrente (+"&amp;ROUND(($O93/$J93-1)*100,1)&amp;"%)"))</f>
        <v/>
      </c>
    </row>
    <row r="94" spans="1:21">
      <c r="A94" s="13"/>
      <c r="B94" s="13"/>
      <c r="C94" s="13"/>
      <c r="D94" s="19"/>
      <c r="E94" s="19"/>
      <c r="F94" s="20"/>
      <c r="G94" s="20"/>
      <c r="H94" s="20"/>
      <c r="I94" s="20"/>
      <c r="J94" s="19"/>
      <c r="K94" s="19"/>
      <c r="L94" s="21">
        <f>IF(OR($B94="",$D94=""),"",$D94+N($E94))</f>
        <v/>
      </c>
      <c r="M94" s="22">
        <f>IF($L94="","",IF($F94="",pImp,$F94)+IF($G94="",pCom,$G94)+IF($H94="",pTax,$H94)+pFixo+IF($I94="",pLucro,$I94))</f>
        <v/>
      </c>
      <c r="N94" s="21">
        <f>IF($L94="","",IF($M94&gt;=1,"Revisar %",$L94/(1-$M94)))</f>
        <v/>
      </c>
      <c r="O94" s="23">
        <f>IF(ISNUMBER($N94),ROUNDUP($N94,0)+IF(ROUNDUP($N94,0)-0.1&gt;=$N94,-0.1,0.9),$N94)</f>
        <v/>
      </c>
      <c r="P94" s="24">
        <f>IF(AND(ISNUMBER($O94),N($L94)&gt;0),$O94/$L94,"")</f>
        <v/>
      </c>
      <c r="Q94" s="21">
        <f>IF(ISNUMBER($N94),$L94/(1-($M94-IF($I94="",pLucro,$I94))),"")</f>
        <v/>
      </c>
      <c r="R94" s="21">
        <f>IF(OR($K94="",NOT(ISNUMBER($N94))),"",$K94*(1-($M94-IF($I94="",pLucro,$I94)))-$L94)</f>
        <v/>
      </c>
      <c r="S94" s="22">
        <f>IF($R94="","",$R94/$K94)</f>
        <v/>
      </c>
      <c r="T94" s="25">
        <f>IF($L94="","",IF(NOT(ISNUMBER($N94)),"Revisar %",IF($K94="","Sem preço atual",IF($R94&lt;0,"PREJUÍZO",IF($K94&lt;$N94,"Abaixo do ideal","OK")))))</f>
        <v/>
      </c>
      <c r="U94" s="25">
        <f>IF(OR($J94="",NOT(ISNUMBER($O94))),"",IF($O94&lt;=$J94,"Competitivo ("&amp;ROUND(($O94/$J94-1)*100,1)&amp;"%)","Acima do concorrente (+"&amp;ROUND(($O94/$J94-1)*100,1)&amp;"%)"))</f>
        <v/>
      </c>
    </row>
    <row r="95" spans="1:21">
      <c r="A95" s="13"/>
      <c r="B95" s="13"/>
      <c r="C95" s="13"/>
      <c r="D95" s="19"/>
      <c r="E95" s="19"/>
      <c r="F95" s="20"/>
      <c r="G95" s="20"/>
      <c r="H95" s="20"/>
      <c r="I95" s="20"/>
      <c r="J95" s="19"/>
      <c r="K95" s="19"/>
      <c r="L95" s="21">
        <f>IF(OR($B95="",$D95=""),"",$D95+N($E95))</f>
        <v/>
      </c>
      <c r="M95" s="22">
        <f>IF($L95="","",IF($F95="",pImp,$F95)+IF($G95="",pCom,$G95)+IF($H95="",pTax,$H95)+pFixo+IF($I95="",pLucro,$I95))</f>
        <v/>
      </c>
      <c r="N95" s="21">
        <f>IF($L95="","",IF($M95&gt;=1,"Revisar %",$L95/(1-$M95)))</f>
        <v/>
      </c>
      <c r="O95" s="23">
        <f>IF(ISNUMBER($N95),ROUNDUP($N95,0)+IF(ROUNDUP($N95,0)-0.1&gt;=$N95,-0.1,0.9),$N95)</f>
        <v/>
      </c>
      <c r="P95" s="24">
        <f>IF(AND(ISNUMBER($O95),N($L95)&gt;0),$O95/$L95,"")</f>
        <v/>
      </c>
      <c r="Q95" s="21">
        <f>IF(ISNUMBER($N95),$L95/(1-($M95-IF($I95="",pLucro,$I95))),"")</f>
        <v/>
      </c>
      <c r="R95" s="21">
        <f>IF(OR($K95="",NOT(ISNUMBER($N95))),"",$K95*(1-($M95-IF($I95="",pLucro,$I95)))-$L95)</f>
        <v/>
      </c>
      <c r="S95" s="22">
        <f>IF($R95="","",$R95/$K95)</f>
        <v/>
      </c>
      <c r="T95" s="25">
        <f>IF($L95="","",IF(NOT(ISNUMBER($N95)),"Revisar %",IF($K95="","Sem preço atual",IF($R95&lt;0,"PREJUÍZO",IF($K95&lt;$N95,"Abaixo do ideal","OK")))))</f>
        <v/>
      </c>
      <c r="U95" s="25">
        <f>IF(OR($J95="",NOT(ISNUMBER($O95))),"",IF($O95&lt;=$J95,"Competitivo ("&amp;ROUND(($O95/$J95-1)*100,1)&amp;"%)","Acima do concorrente (+"&amp;ROUND(($O95/$J95-1)*100,1)&amp;"%)"))</f>
        <v/>
      </c>
    </row>
    <row r="96" spans="1:21">
      <c r="A96" s="13"/>
      <c r="B96" s="13"/>
      <c r="C96" s="13"/>
      <c r="D96" s="19"/>
      <c r="E96" s="19"/>
      <c r="F96" s="20"/>
      <c r="G96" s="20"/>
      <c r="H96" s="20"/>
      <c r="I96" s="20"/>
      <c r="J96" s="19"/>
      <c r="K96" s="19"/>
      <c r="L96" s="21">
        <f>IF(OR($B96="",$D96=""),"",$D96+N($E96))</f>
        <v/>
      </c>
      <c r="M96" s="22">
        <f>IF($L96="","",IF($F96="",pImp,$F96)+IF($G96="",pCom,$G96)+IF($H96="",pTax,$H96)+pFixo+IF($I96="",pLucro,$I96))</f>
        <v/>
      </c>
      <c r="N96" s="21">
        <f>IF($L96="","",IF($M96&gt;=1,"Revisar %",$L96/(1-$M96)))</f>
        <v/>
      </c>
      <c r="O96" s="23">
        <f>IF(ISNUMBER($N96),ROUNDUP($N96,0)+IF(ROUNDUP($N96,0)-0.1&gt;=$N96,-0.1,0.9),$N96)</f>
        <v/>
      </c>
      <c r="P96" s="24">
        <f>IF(AND(ISNUMBER($O96),N($L96)&gt;0),$O96/$L96,"")</f>
        <v/>
      </c>
      <c r="Q96" s="21">
        <f>IF(ISNUMBER($N96),$L96/(1-($M96-IF($I96="",pLucro,$I96))),"")</f>
        <v/>
      </c>
      <c r="R96" s="21">
        <f>IF(OR($K96="",NOT(ISNUMBER($N96))),"",$K96*(1-($M96-IF($I96="",pLucro,$I96)))-$L96)</f>
        <v/>
      </c>
      <c r="S96" s="22">
        <f>IF($R96="","",$R96/$K96)</f>
        <v/>
      </c>
      <c r="T96" s="25">
        <f>IF($L96="","",IF(NOT(ISNUMBER($N96)),"Revisar %",IF($K96="","Sem preço atual",IF($R96&lt;0,"PREJUÍZO",IF($K96&lt;$N96,"Abaixo do ideal","OK")))))</f>
        <v/>
      </c>
      <c r="U96" s="25">
        <f>IF(OR($J96="",NOT(ISNUMBER($O96))),"",IF($O96&lt;=$J96,"Competitivo ("&amp;ROUND(($O96/$J96-1)*100,1)&amp;"%)","Acima do concorrente (+"&amp;ROUND(($O96/$J96-1)*100,1)&amp;"%)"))</f>
        <v/>
      </c>
    </row>
    <row r="97" spans="1:21">
      <c r="A97" s="13"/>
      <c r="B97" s="13"/>
      <c r="C97" s="13"/>
      <c r="D97" s="19"/>
      <c r="E97" s="19"/>
      <c r="F97" s="20"/>
      <c r="G97" s="20"/>
      <c r="H97" s="20"/>
      <c r="I97" s="20"/>
      <c r="J97" s="19"/>
      <c r="K97" s="19"/>
      <c r="L97" s="21">
        <f>IF(OR($B97="",$D97=""),"",$D97+N($E97))</f>
        <v/>
      </c>
      <c r="M97" s="22">
        <f>IF($L97="","",IF($F97="",pImp,$F97)+IF($G97="",pCom,$G97)+IF($H97="",pTax,$H97)+pFixo+IF($I97="",pLucro,$I97))</f>
        <v/>
      </c>
      <c r="N97" s="21">
        <f>IF($L97="","",IF($M97&gt;=1,"Revisar %",$L97/(1-$M97)))</f>
        <v/>
      </c>
      <c r="O97" s="23">
        <f>IF(ISNUMBER($N97),ROUNDUP($N97,0)+IF(ROUNDUP($N97,0)-0.1&gt;=$N97,-0.1,0.9),$N97)</f>
        <v/>
      </c>
      <c r="P97" s="24">
        <f>IF(AND(ISNUMBER($O97),N($L97)&gt;0),$O97/$L97,"")</f>
        <v/>
      </c>
      <c r="Q97" s="21">
        <f>IF(ISNUMBER($N97),$L97/(1-($M97-IF($I97="",pLucro,$I97))),"")</f>
        <v/>
      </c>
      <c r="R97" s="21">
        <f>IF(OR($K97="",NOT(ISNUMBER($N97))),"",$K97*(1-($M97-IF($I97="",pLucro,$I97)))-$L97)</f>
        <v/>
      </c>
      <c r="S97" s="22">
        <f>IF($R97="","",$R97/$K97)</f>
        <v/>
      </c>
      <c r="T97" s="25">
        <f>IF($L97="","",IF(NOT(ISNUMBER($N97)),"Revisar %",IF($K97="","Sem preço atual",IF($R97&lt;0,"PREJUÍZO",IF($K97&lt;$N97,"Abaixo do ideal","OK")))))</f>
        <v/>
      </c>
      <c r="U97" s="25">
        <f>IF(OR($J97="",NOT(ISNUMBER($O97))),"",IF($O97&lt;=$J97,"Competitivo ("&amp;ROUND(($O97/$J97-1)*100,1)&amp;"%)","Acima do concorrente (+"&amp;ROUND(($O97/$J97-1)*100,1)&amp;"%)"))</f>
        <v/>
      </c>
    </row>
    <row r="98" spans="1:21">
      <c r="A98" s="13"/>
      <c r="B98" s="13"/>
      <c r="C98" s="13"/>
      <c r="D98" s="19"/>
      <c r="E98" s="19"/>
      <c r="F98" s="20"/>
      <c r="G98" s="20"/>
      <c r="H98" s="20"/>
      <c r="I98" s="20"/>
      <c r="J98" s="19"/>
      <c r="K98" s="19"/>
      <c r="L98" s="21">
        <f>IF(OR($B98="",$D98=""),"",$D98+N($E98))</f>
        <v/>
      </c>
      <c r="M98" s="22">
        <f>IF($L98="","",IF($F98="",pImp,$F98)+IF($G98="",pCom,$G98)+IF($H98="",pTax,$H98)+pFixo+IF($I98="",pLucro,$I98))</f>
        <v/>
      </c>
      <c r="N98" s="21">
        <f>IF($L98="","",IF($M98&gt;=1,"Revisar %",$L98/(1-$M98)))</f>
        <v/>
      </c>
      <c r="O98" s="23">
        <f>IF(ISNUMBER($N98),ROUNDUP($N98,0)+IF(ROUNDUP($N98,0)-0.1&gt;=$N98,-0.1,0.9),$N98)</f>
        <v/>
      </c>
      <c r="P98" s="24">
        <f>IF(AND(ISNUMBER($O98),N($L98)&gt;0),$O98/$L98,"")</f>
        <v/>
      </c>
      <c r="Q98" s="21">
        <f>IF(ISNUMBER($N98),$L98/(1-($M98-IF($I98="",pLucro,$I98))),"")</f>
        <v/>
      </c>
      <c r="R98" s="21">
        <f>IF(OR($K98="",NOT(ISNUMBER($N98))),"",$K98*(1-($M98-IF($I98="",pLucro,$I98)))-$L98)</f>
        <v/>
      </c>
      <c r="S98" s="22">
        <f>IF($R98="","",$R98/$K98)</f>
        <v/>
      </c>
      <c r="T98" s="25">
        <f>IF($L98="","",IF(NOT(ISNUMBER($N98)),"Revisar %",IF($K98="","Sem preço atual",IF($R98&lt;0,"PREJUÍZO",IF($K98&lt;$N98,"Abaixo do ideal","OK")))))</f>
        <v/>
      </c>
      <c r="U98" s="25">
        <f>IF(OR($J98="",NOT(ISNUMBER($O98))),"",IF($O98&lt;=$J98,"Competitivo ("&amp;ROUND(($O98/$J98-1)*100,1)&amp;"%)","Acima do concorrente (+"&amp;ROUND(($O98/$J98-1)*100,1)&amp;"%)"))</f>
        <v/>
      </c>
    </row>
    <row r="99" spans="1:21">
      <c r="A99" s="13"/>
      <c r="B99" s="13"/>
      <c r="C99" s="13"/>
      <c r="D99" s="19"/>
      <c r="E99" s="19"/>
      <c r="F99" s="20"/>
      <c r="G99" s="20"/>
      <c r="H99" s="20"/>
      <c r="I99" s="20"/>
      <c r="J99" s="19"/>
      <c r="K99" s="19"/>
      <c r="L99" s="21">
        <f>IF(OR($B99="",$D99=""),"",$D99+N($E99))</f>
        <v/>
      </c>
      <c r="M99" s="22">
        <f>IF($L99="","",IF($F99="",pImp,$F99)+IF($G99="",pCom,$G99)+IF($H99="",pTax,$H99)+pFixo+IF($I99="",pLucro,$I99))</f>
        <v/>
      </c>
      <c r="N99" s="21">
        <f>IF($L99="","",IF($M99&gt;=1,"Revisar %",$L99/(1-$M99)))</f>
        <v/>
      </c>
      <c r="O99" s="23">
        <f>IF(ISNUMBER($N99),ROUNDUP($N99,0)+IF(ROUNDUP($N99,0)-0.1&gt;=$N99,-0.1,0.9),$N99)</f>
        <v/>
      </c>
      <c r="P99" s="24">
        <f>IF(AND(ISNUMBER($O99),N($L99)&gt;0),$O99/$L99,"")</f>
        <v/>
      </c>
      <c r="Q99" s="21">
        <f>IF(ISNUMBER($N99),$L99/(1-($M99-IF($I99="",pLucro,$I99))),"")</f>
        <v/>
      </c>
      <c r="R99" s="21">
        <f>IF(OR($K99="",NOT(ISNUMBER($N99))),"",$K99*(1-($M99-IF($I99="",pLucro,$I99)))-$L99)</f>
        <v/>
      </c>
      <c r="S99" s="22">
        <f>IF($R99="","",$R99/$K99)</f>
        <v/>
      </c>
      <c r="T99" s="25">
        <f>IF($L99="","",IF(NOT(ISNUMBER($N99)),"Revisar %",IF($K99="","Sem preço atual",IF($R99&lt;0,"PREJUÍZO",IF($K99&lt;$N99,"Abaixo do ideal","OK")))))</f>
        <v/>
      </c>
      <c r="U99" s="25">
        <f>IF(OR($J99="",NOT(ISNUMBER($O99))),"",IF($O99&lt;=$J99,"Competitivo ("&amp;ROUND(($O99/$J99-1)*100,1)&amp;"%)","Acima do concorrente (+"&amp;ROUND(($O99/$J99-1)*100,1)&amp;"%)"))</f>
        <v/>
      </c>
    </row>
    <row r="100" spans="1:21">
      <c r="A100" s="13"/>
      <c r="B100" s="13"/>
      <c r="C100" s="13"/>
      <c r="D100" s="19"/>
      <c r="E100" s="19"/>
      <c r="F100" s="20"/>
      <c r="G100" s="20"/>
      <c r="H100" s="20"/>
      <c r="I100" s="20"/>
      <c r="J100" s="19"/>
      <c r="K100" s="19"/>
      <c r="L100" s="21">
        <f>IF(OR($B100="",$D100=""),"",$D100+N($E100))</f>
        <v/>
      </c>
      <c r="M100" s="22">
        <f>IF($L100="","",IF($F100="",pImp,$F100)+IF($G100="",pCom,$G100)+IF($H100="",pTax,$H100)+pFixo+IF($I100="",pLucro,$I100))</f>
        <v/>
      </c>
      <c r="N100" s="21">
        <f>IF($L100="","",IF($M100&gt;=1,"Revisar %",$L100/(1-$M100)))</f>
        <v/>
      </c>
      <c r="O100" s="23">
        <f>IF(ISNUMBER($N100),ROUNDUP($N100,0)+IF(ROUNDUP($N100,0)-0.1&gt;=$N100,-0.1,0.9),$N100)</f>
        <v/>
      </c>
      <c r="P100" s="24">
        <f>IF(AND(ISNUMBER($O100),N($L100)&gt;0),$O100/$L100,"")</f>
        <v/>
      </c>
      <c r="Q100" s="21">
        <f>IF(ISNUMBER($N100),$L100/(1-($M100-IF($I100="",pLucro,$I100))),"")</f>
        <v/>
      </c>
      <c r="R100" s="21">
        <f>IF(OR($K100="",NOT(ISNUMBER($N100))),"",$K100*(1-($M100-IF($I100="",pLucro,$I100)))-$L100)</f>
        <v/>
      </c>
      <c r="S100" s="22">
        <f>IF($R100="","",$R100/$K100)</f>
        <v/>
      </c>
      <c r="T100" s="25">
        <f>IF($L100="","",IF(NOT(ISNUMBER($N100)),"Revisar %",IF($K100="","Sem preço atual",IF($R100&lt;0,"PREJUÍZO",IF($K100&lt;$N100,"Abaixo do ideal","OK")))))</f>
        <v/>
      </c>
      <c r="U100" s="25">
        <f>IF(OR($J100="",NOT(ISNUMBER($O100))),"",IF($O100&lt;=$J100,"Competitivo ("&amp;ROUND(($O100/$J100-1)*100,1)&amp;"%)","Acima do concorrente (+"&amp;ROUND(($O100/$J100-1)*100,1)&amp;"%)"))</f>
        <v/>
      </c>
    </row>
    <row r="101" spans="1:21">
      <c r="A101" s="13"/>
      <c r="B101" s="13"/>
      <c r="C101" s="13"/>
      <c r="D101" s="19"/>
      <c r="E101" s="19"/>
      <c r="F101" s="20"/>
      <c r="G101" s="20"/>
      <c r="H101" s="20"/>
      <c r="I101" s="20"/>
      <c r="J101" s="19"/>
      <c r="K101" s="19"/>
      <c r="L101" s="21">
        <f>IF(OR($B101="",$D101=""),"",$D101+N($E101))</f>
        <v/>
      </c>
      <c r="M101" s="22">
        <f>IF($L101="","",IF($F101="",pImp,$F101)+IF($G101="",pCom,$G101)+IF($H101="",pTax,$H101)+pFixo+IF($I101="",pLucro,$I101))</f>
        <v/>
      </c>
      <c r="N101" s="21">
        <f>IF($L101="","",IF($M101&gt;=1,"Revisar %",$L101/(1-$M101)))</f>
        <v/>
      </c>
      <c r="O101" s="23">
        <f>IF(ISNUMBER($N101),ROUNDUP($N101,0)+IF(ROUNDUP($N101,0)-0.1&gt;=$N101,-0.1,0.9),$N101)</f>
        <v/>
      </c>
      <c r="P101" s="24">
        <f>IF(AND(ISNUMBER($O101),N($L101)&gt;0),$O101/$L101,"")</f>
        <v/>
      </c>
      <c r="Q101" s="21">
        <f>IF(ISNUMBER($N101),$L101/(1-($M101-IF($I101="",pLucro,$I101))),"")</f>
        <v/>
      </c>
      <c r="R101" s="21">
        <f>IF(OR($K101="",NOT(ISNUMBER($N101))),"",$K101*(1-($M101-IF($I101="",pLucro,$I101)))-$L101)</f>
        <v/>
      </c>
      <c r="S101" s="22">
        <f>IF($R101="","",$R101/$K101)</f>
        <v/>
      </c>
      <c r="T101" s="25">
        <f>IF($L101="","",IF(NOT(ISNUMBER($N101)),"Revisar %",IF($K101="","Sem preço atual",IF($R101&lt;0,"PREJUÍZO",IF($K101&lt;$N101,"Abaixo do ideal","OK")))))</f>
        <v/>
      </c>
      <c r="U101" s="25">
        <f>IF(OR($J101="",NOT(ISNUMBER($O101))),"",IF($O101&lt;=$J101,"Competitivo ("&amp;ROUND(($O101/$J101-1)*100,1)&amp;"%)","Acima do concorrente (+"&amp;ROUND(($O101/$J101-1)*100,1)&amp;"%)"))</f>
        <v/>
      </c>
    </row>
    <row r="102" spans="1:21">
      <c r="A102" s="13"/>
      <c r="B102" s="13"/>
      <c r="C102" s="13"/>
      <c r="D102" s="19"/>
      <c r="E102" s="19"/>
      <c r="F102" s="20"/>
      <c r="G102" s="20"/>
      <c r="H102" s="20"/>
      <c r="I102" s="20"/>
      <c r="J102" s="19"/>
      <c r="K102" s="19"/>
      <c r="L102" s="21">
        <f>IF(OR($B102="",$D102=""),"",$D102+N($E102))</f>
        <v/>
      </c>
      <c r="M102" s="22">
        <f>IF($L102="","",IF($F102="",pImp,$F102)+IF($G102="",pCom,$G102)+IF($H102="",pTax,$H102)+pFixo+IF($I102="",pLucro,$I102))</f>
        <v/>
      </c>
      <c r="N102" s="21">
        <f>IF($L102="","",IF($M102&gt;=1,"Revisar %",$L102/(1-$M102)))</f>
        <v/>
      </c>
      <c r="O102" s="23">
        <f>IF(ISNUMBER($N102),ROUNDUP($N102,0)+IF(ROUNDUP($N102,0)-0.1&gt;=$N102,-0.1,0.9),$N102)</f>
        <v/>
      </c>
      <c r="P102" s="24">
        <f>IF(AND(ISNUMBER($O102),N($L102)&gt;0),$O102/$L102,"")</f>
        <v/>
      </c>
      <c r="Q102" s="21">
        <f>IF(ISNUMBER($N102),$L102/(1-($M102-IF($I102="",pLucro,$I102))),"")</f>
        <v/>
      </c>
      <c r="R102" s="21">
        <f>IF(OR($K102="",NOT(ISNUMBER($N102))),"",$K102*(1-($M102-IF($I102="",pLucro,$I102)))-$L102)</f>
        <v/>
      </c>
      <c r="S102" s="22">
        <f>IF($R102="","",$R102/$K102)</f>
        <v/>
      </c>
      <c r="T102" s="25">
        <f>IF($L102="","",IF(NOT(ISNUMBER($N102)),"Revisar %",IF($K102="","Sem preço atual",IF($R102&lt;0,"PREJUÍZO",IF($K102&lt;$N102,"Abaixo do ideal","OK")))))</f>
        <v/>
      </c>
      <c r="U102" s="25">
        <f>IF(OR($J102="",NOT(ISNUMBER($O102))),"",IF($O102&lt;=$J102,"Competitivo ("&amp;ROUND(($O102/$J102-1)*100,1)&amp;"%)","Acima do concorrente (+"&amp;ROUND(($O102/$J102-1)*100,1)&amp;"%)"))</f>
        <v/>
      </c>
    </row>
    <row r="103" spans="1:21">
      <c r="A103" s="13"/>
      <c r="B103" s="13"/>
      <c r="C103" s="13"/>
      <c r="D103" s="19"/>
      <c r="E103" s="19"/>
      <c r="F103" s="20"/>
      <c r="G103" s="20"/>
      <c r="H103" s="20"/>
      <c r="I103" s="20"/>
      <c r="J103" s="19"/>
      <c r="K103" s="19"/>
      <c r="L103" s="21">
        <f>IF(OR($B103="",$D103=""),"",$D103+N($E103))</f>
        <v/>
      </c>
      <c r="M103" s="22">
        <f>IF($L103="","",IF($F103="",pImp,$F103)+IF($G103="",pCom,$G103)+IF($H103="",pTax,$H103)+pFixo+IF($I103="",pLucro,$I103))</f>
        <v/>
      </c>
      <c r="N103" s="21">
        <f>IF($L103="","",IF($M103&gt;=1,"Revisar %",$L103/(1-$M103)))</f>
        <v/>
      </c>
      <c r="O103" s="23">
        <f>IF(ISNUMBER($N103),ROUNDUP($N103,0)+IF(ROUNDUP($N103,0)-0.1&gt;=$N103,-0.1,0.9),$N103)</f>
        <v/>
      </c>
      <c r="P103" s="24">
        <f>IF(AND(ISNUMBER($O103),N($L103)&gt;0),$O103/$L103,"")</f>
        <v/>
      </c>
      <c r="Q103" s="21">
        <f>IF(ISNUMBER($N103),$L103/(1-($M103-IF($I103="",pLucro,$I103))),"")</f>
        <v/>
      </c>
      <c r="R103" s="21">
        <f>IF(OR($K103="",NOT(ISNUMBER($N103))),"",$K103*(1-($M103-IF($I103="",pLucro,$I103)))-$L103)</f>
        <v/>
      </c>
      <c r="S103" s="22">
        <f>IF($R103="","",$R103/$K103)</f>
        <v/>
      </c>
      <c r="T103" s="25">
        <f>IF($L103="","",IF(NOT(ISNUMBER($N103)),"Revisar %",IF($K103="","Sem preço atual",IF($R103&lt;0,"PREJUÍZO",IF($K103&lt;$N103,"Abaixo do ideal","OK")))))</f>
        <v/>
      </c>
      <c r="U103" s="25">
        <f>IF(OR($J103="",NOT(ISNUMBER($O103))),"",IF($O103&lt;=$J103,"Competitivo ("&amp;ROUND(($O103/$J103-1)*100,1)&amp;"%)","Acima do concorrente (+"&amp;ROUND(($O103/$J103-1)*100,1)&amp;"%)"))</f>
        <v/>
      </c>
    </row>
    <row r="104" spans="1:21">
      <c r="A104" s="13"/>
      <c r="B104" s="13"/>
      <c r="C104" s="13"/>
      <c r="D104" s="19"/>
      <c r="E104" s="19"/>
      <c r="F104" s="20"/>
      <c r="G104" s="20"/>
      <c r="H104" s="20"/>
      <c r="I104" s="20"/>
      <c r="J104" s="19"/>
      <c r="K104" s="19"/>
      <c r="L104" s="21">
        <f>IF(OR($B104="",$D104=""),"",$D104+N($E104))</f>
        <v/>
      </c>
      <c r="M104" s="22">
        <f>IF($L104="","",IF($F104="",pImp,$F104)+IF($G104="",pCom,$G104)+IF($H104="",pTax,$H104)+pFixo+IF($I104="",pLucro,$I104))</f>
        <v/>
      </c>
      <c r="N104" s="21">
        <f>IF($L104="","",IF($M104&gt;=1,"Revisar %",$L104/(1-$M104)))</f>
        <v/>
      </c>
      <c r="O104" s="23">
        <f>IF(ISNUMBER($N104),ROUNDUP($N104,0)+IF(ROUNDUP($N104,0)-0.1&gt;=$N104,-0.1,0.9),$N104)</f>
        <v/>
      </c>
      <c r="P104" s="24">
        <f>IF(AND(ISNUMBER($O104),N($L104)&gt;0),$O104/$L104,"")</f>
        <v/>
      </c>
      <c r="Q104" s="21">
        <f>IF(ISNUMBER($N104),$L104/(1-($M104-IF($I104="",pLucro,$I104))),"")</f>
        <v/>
      </c>
      <c r="R104" s="21">
        <f>IF(OR($K104="",NOT(ISNUMBER($N104))),"",$K104*(1-($M104-IF($I104="",pLucro,$I104)))-$L104)</f>
        <v/>
      </c>
      <c r="S104" s="22">
        <f>IF($R104="","",$R104/$K104)</f>
        <v/>
      </c>
      <c r="T104" s="25">
        <f>IF($L104="","",IF(NOT(ISNUMBER($N104)),"Revisar %",IF($K104="","Sem preço atual",IF($R104&lt;0,"PREJUÍZO",IF($K104&lt;$N104,"Abaixo do ideal","OK")))))</f>
        <v/>
      </c>
      <c r="U104" s="25">
        <f>IF(OR($J104="",NOT(ISNUMBER($O104))),"",IF($O104&lt;=$J104,"Competitivo ("&amp;ROUND(($O104/$J104-1)*100,1)&amp;"%)","Acima do concorrente (+"&amp;ROUND(($O104/$J104-1)*100,1)&amp;"%)"))</f>
        <v/>
      </c>
    </row>
    <row r="105" spans="1:21">
      <c r="A105" s="13"/>
      <c r="B105" s="13"/>
      <c r="C105" s="13"/>
      <c r="D105" s="19"/>
      <c r="E105" s="19"/>
      <c r="F105" s="20"/>
      <c r="G105" s="20"/>
      <c r="H105" s="20"/>
      <c r="I105" s="20"/>
      <c r="J105" s="19"/>
      <c r="K105" s="19"/>
      <c r="L105" s="21">
        <f>IF(OR($B105="",$D105=""),"",$D105+N($E105))</f>
        <v/>
      </c>
      <c r="M105" s="22">
        <f>IF($L105="","",IF($F105="",pImp,$F105)+IF($G105="",pCom,$G105)+IF($H105="",pTax,$H105)+pFixo+IF($I105="",pLucro,$I105))</f>
        <v/>
      </c>
      <c r="N105" s="21">
        <f>IF($L105="","",IF($M105&gt;=1,"Revisar %",$L105/(1-$M105)))</f>
        <v/>
      </c>
      <c r="O105" s="23">
        <f>IF(ISNUMBER($N105),ROUNDUP($N105,0)+IF(ROUNDUP($N105,0)-0.1&gt;=$N105,-0.1,0.9),$N105)</f>
        <v/>
      </c>
      <c r="P105" s="24">
        <f>IF(AND(ISNUMBER($O105),N($L105)&gt;0),$O105/$L105,"")</f>
        <v/>
      </c>
      <c r="Q105" s="21">
        <f>IF(ISNUMBER($N105),$L105/(1-($M105-IF($I105="",pLucro,$I105))),"")</f>
        <v/>
      </c>
      <c r="R105" s="21">
        <f>IF(OR($K105="",NOT(ISNUMBER($N105))),"",$K105*(1-($M105-IF($I105="",pLucro,$I105)))-$L105)</f>
        <v/>
      </c>
      <c r="S105" s="22">
        <f>IF($R105="","",$R105/$K105)</f>
        <v/>
      </c>
      <c r="T105" s="25">
        <f>IF($L105="","",IF(NOT(ISNUMBER($N105)),"Revisar %",IF($K105="","Sem preço atual",IF($R105&lt;0,"PREJUÍZO",IF($K105&lt;$N105,"Abaixo do ideal","OK")))))</f>
        <v/>
      </c>
      <c r="U105" s="25">
        <f>IF(OR($J105="",NOT(ISNUMBER($O105))),"",IF($O105&lt;=$J105,"Competitivo ("&amp;ROUND(($O105/$J105-1)*100,1)&amp;"%)","Acima do concorrente (+"&amp;ROUND(($O105/$J105-1)*100,1)&amp;"%)"))</f>
        <v/>
      </c>
    </row>
    <row r="106" spans="1:21">
      <c r="A106" s="13"/>
      <c r="B106" s="13"/>
      <c r="C106" s="13"/>
      <c r="D106" s="19"/>
      <c r="E106" s="19"/>
      <c r="F106" s="20"/>
      <c r="G106" s="20"/>
      <c r="H106" s="20"/>
      <c r="I106" s="20"/>
      <c r="J106" s="19"/>
      <c r="K106" s="19"/>
      <c r="L106" s="21">
        <f>IF(OR($B106="",$D106=""),"",$D106+N($E106))</f>
        <v/>
      </c>
      <c r="M106" s="22">
        <f>IF($L106="","",IF($F106="",pImp,$F106)+IF($G106="",pCom,$G106)+IF($H106="",pTax,$H106)+pFixo+IF($I106="",pLucro,$I106))</f>
        <v/>
      </c>
      <c r="N106" s="21">
        <f>IF($L106="","",IF($M106&gt;=1,"Revisar %",$L106/(1-$M106)))</f>
        <v/>
      </c>
      <c r="O106" s="23">
        <f>IF(ISNUMBER($N106),ROUNDUP($N106,0)+IF(ROUNDUP($N106,0)-0.1&gt;=$N106,-0.1,0.9),$N106)</f>
        <v/>
      </c>
      <c r="P106" s="24">
        <f>IF(AND(ISNUMBER($O106),N($L106)&gt;0),$O106/$L106,"")</f>
        <v/>
      </c>
      <c r="Q106" s="21">
        <f>IF(ISNUMBER($N106),$L106/(1-($M106-IF($I106="",pLucro,$I106))),"")</f>
        <v/>
      </c>
      <c r="R106" s="21">
        <f>IF(OR($K106="",NOT(ISNUMBER($N106))),"",$K106*(1-($M106-IF($I106="",pLucro,$I106)))-$L106)</f>
        <v/>
      </c>
      <c r="S106" s="22">
        <f>IF($R106="","",$R106/$K106)</f>
        <v/>
      </c>
      <c r="T106" s="25">
        <f>IF($L106="","",IF(NOT(ISNUMBER($N106)),"Revisar %",IF($K106="","Sem preço atual",IF($R106&lt;0,"PREJUÍZO",IF($K106&lt;$N106,"Abaixo do ideal","OK")))))</f>
        <v/>
      </c>
      <c r="U106" s="25">
        <f>IF(OR($J106="",NOT(ISNUMBER($O106))),"",IF($O106&lt;=$J106,"Competitivo ("&amp;ROUND(($O106/$J106-1)*100,1)&amp;"%)","Acima do concorrente (+"&amp;ROUND(($O106/$J106-1)*100,1)&amp;"%)"))</f>
        <v/>
      </c>
    </row>
    <row r="107" spans="1:21">
      <c r="A107" s="13"/>
      <c r="B107" s="13"/>
      <c r="C107" s="13"/>
      <c r="D107" s="19"/>
      <c r="E107" s="19"/>
      <c r="F107" s="20"/>
      <c r="G107" s="20"/>
      <c r="H107" s="20"/>
      <c r="I107" s="20"/>
      <c r="J107" s="19"/>
      <c r="K107" s="19"/>
      <c r="L107" s="21">
        <f>IF(OR($B107="",$D107=""),"",$D107+N($E107))</f>
        <v/>
      </c>
      <c r="M107" s="22">
        <f>IF($L107="","",IF($F107="",pImp,$F107)+IF($G107="",pCom,$G107)+IF($H107="",pTax,$H107)+pFixo+IF($I107="",pLucro,$I107))</f>
        <v/>
      </c>
      <c r="N107" s="21">
        <f>IF($L107="","",IF($M107&gt;=1,"Revisar %",$L107/(1-$M107)))</f>
        <v/>
      </c>
      <c r="O107" s="23">
        <f>IF(ISNUMBER($N107),ROUNDUP($N107,0)+IF(ROUNDUP($N107,0)-0.1&gt;=$N107,-0.1,0.9),$N107)</f>
        <v/>
      </c>
      <c r="P107" s="24">
        <f>IF(AND(ISNUMBER($O107),N($L107)&gt;0),$O107/$L107,"")</f>
        <v/>
      </c>
      <c r="Q107" s="21">
        <f>IF(ISNUMBER($N107),$L107/(1-($M107-IF($I107="",pLucro,$I107))),"")</f>
        <v/>
      </c>
      <c r="R107" s="21">
        <f>IF(OR($K107="",NOT(ISNUMBER($N107))),"",$K107*(1-($M107-IF($I107="",pLucro,$I107)))-$L107)</f>
        <v/>
      </c>
      <c r="S107" s="22">
        <f>IF($R107="","",$R107/$K107)</f>
        <v/>
      </c>
      <c r="T107" s="25">
        <f>IF($L107="","",IF(NOT(ISNUMBER($N107)),"Revisar %",IF($K107="","Sem preço atual",IF($R107&lt;0,"PREJUÍZO",IF($K107&lt;$N107,"Abaixo do ideal","OK")))))</f>
        <v/>
      </c>
      <c r="U107" s="25">
        <f>IF(OR($J107="",NOT(ISNUMBER($O107))),"",IF($O107&lt;=$J107,"Competitivo ("&amp;ROUND(($O107/$J107-1)*100,1)&amp;"%)","Acima do concorrente (+"&amp;ROUND(($O107/$J107-1)*100,1)&amp;"%)"))</f>
        <v/>
      </c>
    </row>
    <row r="108" spans="1:21">
      <c r="A108" s="13"/>
      <c r="B108" s="13"/>
      <c r="C108" s="13"/>
      <c r="D108" s="19"/>
      <c r="E108" s="19"/>
      <c r="F108" s="20"/>
      <c r="G108" s="20"/>
      <c r="H108" s="20"/>
      <c r="I108" s="20"/>
      <c r="J108" s="19"/>
      <c r="K108" s="19"/>
      <c r="L108" s="21">
        <f>IF(OR($B108="",$D108=""),"",$D108+N($E108))</f>
        <v/>
      </c>
      <c r="M108" s="22">
        <f>IF($L108="","",IF($F108="",pImp,$F108)+IF($G108="",pCom,$G108)+IF($H108="",pTax,$H108)+pFixo+IF($I108="",pLucro,$I108))</f>
        <v/>
      </c>
      <c r="N108" s="21">
        <f>IF($L108="","",IF($M108&gt;=1,"Revisar %",$L108/(1-$M108)))</f>
        <v/>
      </c>
      <c r="O108" s="23">
        <f>IF(ISNUMBER($N108),ROUNDUP($N108,0)+IF(ROUNDUP($N108,0)-0.1&gt;=$N108,-0.1,0.9),$N108)</f>
        <v/>
      </c>
      <c r="P108" s="24">
        <f>IF(AND(ISNUMBER($O108),N($L108)&gt;0),$O108/$L108,"")</f>
        <v/>
      </c>
      <c r="Q108" s="21">
        <f>IF(ISNUMBER($N108),$L108/(1-($M108-IF($I108="",pLucro,$I108))),"")</f>
        <v/>
      </c>
      <c r="R108" s="21">
        <f>IF(OR($K108="",NOT(ISNUMBER($N108))),"",$K108*(1-($M108-IF($I108="",pLucro,$I108)))-$L108)</f>
        <v/>
      </c>
      <c r="S108" s="22">
        <f>IF($R108="","",$R108/$K108)</f>
        <v/>
      </c>
      <c r="T108" s="25">
        <f>IF($L108="","",IF(NOT(ISNUMBER($N108)),"Revisar %",IF($K108="","Sem preço atual",IF($R108&lt;0,"PREJUÍZO",IF($K108&lt;$N108,"Abaixo do ideal","OK")))))</f>
        <v/>
      </c>
      <c r="U108" s="25">
        <f>IF(OR($J108="",NOT(ISNUMBER($O108))),"",IF($O108&lt;=$J108,"Competitivo ("&amp;ROUND(($O108/$J108-1)*100,1)&amp;"%)","Acima do concorrente (+"&amp;ROUND(($O108/$J108-1)*100,1)&amp;"%)"))</f>
        <v/>
      </c>
    </row>
    <row r="109" spans="1:21">
      <c r="A109" s="13"/>
      <c r="B109" s="13"/>
      <c r="C109" s="13"/>
      <c r="D109" s="19"/>
      <c r="E109" s="19"/>
      <c r="F109" s="20"/>
      <c r="G109" s="20"/>
      <c r="H109" s="20"/>
      <c r="I109" s="20"/>
      <c r="J109" s="19"/>
      <c r="K109" s="19"/>
      <c r="L109" s="21">
        <f>IF(OR($B109="",$D109=""),"",$D109+N($E109))</f>
        <v/>
      </c>
      <c r="M109" s="22">
        <f>IF($L109="","",IF($F109="",pImp,$F109)+IF($G109="",pCom,$G109)+IF($H109="",pTax,$H109)+pFixo+IF($I109="",pLucro,$I109))</f>
        <v/>
      </c>
      <c r="N109" s="21">
        <f>IF($L109="","",IF($M109&gt;=1,"Revisar %",$L109/(1-$M109)))</f>
        <v/>
      </c>
      <c r="O109" s="23">
        <f>IF(ISNUMBER($N109),ROUNDUP($N109,0)+IF(ROUNDUP($N109,0)-0.1&gt;=$N109,-0.1,0.9),$N109)</f>
        <v/>
      </c>
      <c r="P109" s="24">
        <f>IF(AND(ISNUMBER($O109),N($L109)&gt;0),$O109/$L109,"")</f>
        <v/>
      </c>
      <c r="Q109" s="21">
        <f>IF(ISNUMBER($N109),$L109/(1-($M109-IF($I109="",pLucro,$I109))),"")</f>
        <v/>
      </c>
      <c r="R109" s="21">
        <f>IF(OR($K109="",NOT(ISNUMBER($N109))),"",$K109*(1-($M109-IF($I109="",pLucro,$I109)))-$L109)</f>
        <v/>
      </c>
      <c r="S109" s="22">
        <f>IF($R109="","",$R109/$K109)</f>
        <v/>
      </c>
      <c r="T109" s="25">
        <f>IF($L109="","",IF(NOT(ISNUMBER($N109)),"Revisar %",IF($K109="","Sem preço atual",IF($R109&lt;0,"PREJUÍZO",IF($K109&lt;$N109,"Abaixo do ideal","OK")))))</f>
        <v/>
      </c>
      <c r="U109" s="25">
        <f>IF(OR($J109="",NOT(ISNUMBER($O109))),"",IF($O109&lt;=$J109,"Competitivo ("&amp;ROUND(($O109/$J109-1)*100,1)&amp;"%)","Acima do concorrente (+"&amp;ROUND(($O109/$J109-1)*100,1)&amp;"%)"))</f>
        <v/>
      </c>
    </row>
    <row r="110" spans="1:21">
      <c r="A110" s="13"/>
      <c r="B110" s="13"/>
      <c r="C110" s="13"/>
      <c r="D110" s="19"/>
      <c r="E110" s="19"/>
      <c r="F110" s="20"/>
      <c r="G110" s="20"/>
      <c r="H110" s="20"/>
      <c r="I110" s="20"/>
      <c r="J110" s="19"/>
      <c r="K110" s="19"/>
      <c r="L110" s="21">
        <f>IF(OR($B110="",$D110=""),"",$D110+N($E110))</f>
        <v/>
      </c>
      <c r="M110" s="22">
        <f>IF($L110="","",IF($F110="",pImp,$F110)+IF($G110="",pCom,$G110)+IF($H110="",pTax,$H110)+pFixo+IF($I110="",pLucro,$I110))</f>
        <v/>
      </c>
      <c r="N110" s="21">
        <f>IF($L110="","",IF($M110&gt;=1,"Revisar %",$L110/(1-$M110)))</f>
        <v/>
      </c>
      <c r="O110" s="23">
        <f>IF(ISNUMBER($N110),ROUNDUP($N110,0)+IF(ROUNDUP($N110,0)-0.1&gt;=$N110,-0.1,0.9),$N110)</f>
        <v/>
      </c>
      <c r="P110" s="24">
        <f>IF(AND(ISNUMBER($O110),N($L110)&gt;0),$O110/$L110,"")</f>
        <v/>
      </c>
      <c r="Q110" s="21">
        <f>IF(ISNUMBER($N110),$L110/(1-($M110-IF($I110="",pLucro,$I110))),"")</f>
        <v/>
      </c>
      <c r="R110" s="21">
        <f>IF(OR($K110="",NOT(ISNUMBER($N110))),"",$K110*(1-($M110-IF($I110="",pLucro,$I110)))-$L110)</f>
        <v/>
      </c>
      <c r="S110" s="22">
        <f>IF($R110="","",$R110/$K110)</f>
        <v/>
      </c>
      <c r="T110" s="25">
        <f>IF($L110="","",IF(NOT(ISNUMBER($N110)),"Revisar %",IF($K110="","Sem preço atual",IF($R110&lt;0,"PREJUÍZO",IF($K110&lt;$N110,"Abaixo do ideal","OK")))))</f>
        <v/>
      </c>
      <c r="U110" s="25">
        <f>IF(OR($J110="",NOT(ISNUMBER($O110))),"",IF($O110&lt;=$J110,"Competitivo ("&amp;ROUND(($O110/$J110-1)*100,1)&amp;"%)","Acima do concorrente (+"&amp;ROUND(($O110/$J110-1)*100,1)&amp;"%)"))</f>
        <v/>
      </c>
    </row>
    <row r="111" spans="1:21">
      <c r="A111" s="13"/>
      <c r="B111" s="13"/>
      <c r="C111" s="13"/>
      <c r="D111" s="19"/>
      <c r="E111" s="19"/>
      <c r="F111" s="20"/>
      <c r="G111" s="20"/>
      <c r="H111" s="20"/>
      <c r="I111" s="20"/>
      <c r="J111" s="19"/>
      <c r="K111" s="19"/>
      <c r="L111" s="21">
        <f>IF(OR($B111="",$D111=""),"",$D111+N($E111))</f>
        <v/>
      </c>
      <c r="M111" s="22">
        <f>IF($L111="","",IF($F111="",pImp,$F111)+IF($G111="",pCom,$G111)+IF($H111="",pTax,$H111)+pFixo+IF($I111="",pLucro,$I111))</f>
        <v/>
      </c>
      <c r="N111" s="21">
        <f>IF($L111="","",IF($M111&gt;=1,"Revisar %",$L111/(1-$M111)))</f>
        <v/>
      </c>
      <c r="O111" s="23">
        <f>IF(ISNUMBER($N111),ROUNDUP($N111,0)+IF(ROUNDUP($N111,0)-0.1&gt;=$N111,-0.1,0.9),$N111)</f>
        <v/>
      </c>
      <c r="P111" s="24">
        <f>IF(AND(ISNUMBER($O111),N($L111)&gt;0),$O111/$L111,"")</f>
        <v/>
      </c>
      <c r="Q111" s="21">
        <f>IF(ISNUMBER($N111),$L111/(1-($M111-IF($I111="",pLucro,$I111))),"")</f>
        <v/>
      </c>
      <c r="R111" s="21">
        <f>IF(OR($K111="",NOT(ISNUMBER($N111))),"",$K111*(1-($M111-IF($I111="",pLucro,$I111)))-$L111)</f>
        <v/>
      </c>
      <c r="S111" s="22">
        <f>IF($R111="","",$R111/$K111)</f>
        <v/>
      </c>
      <c r="T111" s="25">
        <f>IF($L111="","",IF(NOT(ISNUMBER($N111)),"Revisar %",IF($K111="","Sem preço atual",IF($R111&lt;0,"PREJUÍZO",IF($K111&lt;$N111,"Abaixo do ideal","OK")))))</f>
        <v/>
      </c>
      <c r="U111" s="25">
        <f>IF(OR($J111="",NOT(ISNUMBER($O111))),"",IF($O111&lt;=$J111,"Competitivo ("&amp;ROUND(($O111/$J111-1)*100,1)&amp;"%)","Acima do concorrente (+"&amp;ROUND(($O111/$J111-1)*100,1)&amp;"%)"))</f>
        <v/>
      </c>
    </row>
    <row r="112" spans="1:21">
      <c r="A112" s="13"/>
      <c r="B112" s="13"/>
      <c r="C112" s="13"/>
      <c r="D112" s="19"/>
      <c r="E112" s="19"/>
      <c r="F112" s="20"/>
      <c r="G112" s="20"/>
      <c r="H112" s="20"/>
      <c r="I112" s="20"/>
      <c r="J112" s="19"/>
      <c r="K112" s="19"/>
      <c r="L112" s="21">
        <f>IF(OR($B112="",$D112=""),"",$D112+N($E112))</f>
        <v/>
      </c>
      <c r="M112" s="22">
        <f>IF($L112="","",IF($F112="",pImp,$F112)+IF($G112="",pCom,$G112)+IF($H112="",pTax,$H112)+pFixo+IF($I112="",pLucro,$I112))</f>
        <v/>
      </c>
      <c r="N112" s="21">
        <f>IF($L112="","",IF($M112&gt;=1,"Revisar %",$L112/(1-$M112)))</f>
        <v/>
      </c>
      <c r="O112" s="23">
        <f>IF(ISNUMBER($N112),ROUNDUP($N112,0)+IF(ROUNDUP($N112,0)-0.1&gt;=$N112,-0.1,0.9),$N112)</f>
        <v/>
      </c>
      <c r="P112" s="24">
        <f>IF(AND(ISNUMBER($O112),N($L112)&gt;0),$O112/$L112,"")</f>
        <v/>
      </c>
      <c r="Q112" s="21">
        <f>IF(ISNUMBER($N112),$L112/(1-($M112-IF($I112="",pLucro,$I112))),"")</f>
        <v/>
      </c>
      <c r="R112" s="21">
        <f>IF(OR($K112="",NOT(ISNUMBER($N112))),"",$K112*(1-($M112-IF($I112="",pLucro,$I112)))-$L112)</f>
        <v/>
      </c>
      <c r="S112" s="22">
        <f>IF($R112="","",$R112/$K112)</f>
        <v/>
      </c>
      <c r="T112" s="25">
        <f>IF($L112="","",IF(NOT(ISNUMBER($N112)),"Revisar %",IF($K112="","Sem preço atual",IF($R112&lt;0,"PREJUÍZO",IF($K112&lt;$N112,"Abaixo do ideal","OK")))))</f>
        <v/>
      </c>
      <c r="U112" s="25">
        <f>IF(OR($J112="",NOT(ISNUMBER($O112))),"",IF($O112&lt;=$J112,"Competitivo ("&amp;ROUND(($O112/$J112-1)*100,1)&amp;"%)","Acima do concorrente (+"&amp;ROUND(($O112/$J112-1)*100,1)&amp;"%)"))</f>
        <v/>
      </c>
    </row>
    <row r="113" spans="1:21">
      <c r="A113" s="13"/>
      <c r="B113" s="13"/>
      <c r="C113" s="13"/>
      <c r="D113" s="19"/>
      <c r="E113" s="19"/>
      <c r="F113" s="20"/>
      <c r="G113" s="20"/>
      <c r="H113" s="20"/>
      <c r="I113" s="20"/>
      <c r="J113" s="19"/>
      <c r="K113" s="19"/>
      <c r="L113" s="21">
        <f>IF(OR($B113="",$D113=""),"",$D113+N($E113))</f>
        <v/>
      </c>
      <c r="M113" s="22">
        <f>IF($L113="","",IF($F113="",pImp,$F113)+IF($G113="",pCom,$G113)+IF($H113="",pTax,$H113)+pFixo+IF($I113="",pLucro,$I113))</f>
        <v/>
      </c>
      <c r="N113" s="21">
        <f>IF($L113="","",IF($M113&gt;=1,"Revisar %",$L113/(1-$M113)))</f>
        <v/>
      </c>
      <c r="O113" s="23">
        <f>IF(ISNUMBER($N113),ROUNDUP($N113,0)+IF(ROUNDUP($N113,0)-0.1&gt;=$N113,-0.1,0.9),$N113)</f>
        <v/>
      </c>
      <c r="P113" s="24">
        <f>IF(AND(ISNUMBER($O113),N($L113)&gt;0),$O113/$L113,"")</f>
        <v/>
      </c>
      <c r="Q113" s="21">
        <f>IF(ISNUMBER($N113),$L113/(1-($M113-IF($I113="",pLucro,$I113))),"")</f>
        <v/>
      </c>
      <c r="R113" s="21">
        <f>IF(OR($K113="",NOT(ISNUMBER($N113))),"",$K113*(1-($M113-IF($I113="",pLucro,$I113)))-$L113)</f>
        <v/>
      </c>
      <c r="S113" s="22">
        <f>IF($R113="","",$R113/$K113)</f>
        <v/>
      </c>
      <c r="T113" s="25">
        <f>IF($L113="","",IF(NOT(ISNUMBER($N113)),"Revisar %",IF($K113="","Sem preço atual",IF($R113&lt;0,"PREJUÍZO",IF($K113&lt;$N113,"Abaixo do ideal","OK")))))</f>
        <v/>
      </c>
      <c r="U113" s="25">
        <f>IF(OR($J113="",NOT(ISNUMBER($O113))),"",IF($O113&lt;=$J113,"Competitivo ("&amp;ROUND(($O113/$J113-1)*100,1)&amp;"%)","Acima do concorrente (+"&amp;ROUND(($O113/$J113-1)*100,1)&amp;"%)"))</f>
        <v/>
      </c>
    </row>
    <row r="114" spans="1:21">
      <c r="A114" s="13"/>
      <c r="B114" s="13"/>
      <c r="C114" s="13"/>
      <c r="D114" s="19"/>
      <c r="E114" s="19"/>
      <c r="F114" s="20"/>
      <c r="G114" s="20"/>
      <c r="H114" s="20"/>
      <c r="I114" s="20"/>
      <c r="J114" s="19"/>
      <c r="K114" s="19"/>
      <c r="L114" s="21">
        <f>IF(OR($B114="",$D114=""),"",$D114+N($E114))</f>
        <v/>
      </c>
      <c r="M114" s="22">
        <f>IF($L114="","",IF($F114="",pImp,$F114)+IF($G114="",pCom,$G114)+IF($H114="",pTax,$H114)+pFixo+IF($I114="",pLucro,$I114))</f>
        <v/>
      </c>
      <c r="N114" s="21">
        <f>IF($L114="","",IF($M114&gt;=1,"Revisar %",$L114/(1-$M114)))</f>
        <v/>
      </c>
      <c r="O114" s="23">
        <f>IF(ISNUMBER($N114),ROUNDUP($N114,0)+IF(ROUNDUP($N114,0)-0.1&gt;=$N114,-0.1,0.9),$N114)</f>
        <v/>
      </c>
      <c r="P114" s="24">
        <f>IF(AND(ISNUMBER($O114),N($L114)&gt;0),$O114/$L114,"")</f>
        <v/>
      </c>
      <c r="Q114" s="21">
        <f>IF(ISNUMBER($N114),$L114/(1-($M114-IF($I114="",pLucro,$I114))),"")</f>
        <v/>
      </c>
      <c r="R114" s="21">
        <f>IF(OR($K114="",NOT(ISNUMBER($N114))),"",$K114*(1-($M114-IF($I114="",pLucro,$I114)))-$L114)</f>
        <v/>
      </c>
      <c r="S114" s="22">
        <f>IF($R114="","",$R114/$K114)</f>
        <v/>
      </c>
      <c r="T114" s="25">
        <f>IF($L114="","",IF(NOT(ISNUMBER($N114)),"Revisar %",IF($K114="","Sem preço atual",IF($R114&lt;0,"PREJUÍZO",IF($K114&lt;$N114,"Abaixo do ideal","OK")))))</f>
        <v/>
      </c>
      <c r="U114" s="25">
        <f>IF(OR($J114="",NOT(ISNUMBER($O114))),"",IF($O114&lt;=$J114,"Competitivo ("&amp;ROUND(($O114/$J114-1)*100,1)&amp;"%)","Acima do concorrente (+"&amp;ROUND(($O114/$J114-1)*100,1)&amp;"%)"))</f>
        <v/>
      </c>
    </row>
    <row r="115" spans="1:21">
      <c r="A115" s="13"/>
      <c r="B115" s="13"/>
      <c r="C115" s="13"/>
      <c r="D115" s="19"/>
      <c r="E115" s="19"/>
      <c r="F115" s="20"/>
      <c r="G115" s="20"/>
      <c r="H115" s="20"/>
      <c r="I115" s="20"/>
      <c r="J115" s="19"/>
      <c r="K115" s="19"/>
      <c r="L115" s="21">
        <f>IF(OR($B115="",$D115=""),"",$D115+N($E115))</f>
        <v/>
      </c>
      <c r="M115" s="22">
        <f>IF($L115="","",IF($F115="",pImp,$F115)+IF($G115="",pCom,$G115)+IF($H115="",pTax,$H115)+pFixo+IF($I115="",pLucro,$I115))</f>
        <v/>
      </c>
      <c r="N115" s="21">
        <f>IF($L115="","",IF($M115&gt;=1,"Revisar %",$L115/(1-$M115)))</f>
        <v/>
      </c>
      <c r="O115" s="23">
        <f>IF(ISNUMBER($N115),ROUNDUP($N115,0)+IF(ROUNDUP($N115,0)-0.1&gt;=$N115,-0.1,0.9),$N115)</f>
        <v/>
      </c>
      <c r="P115" s="24">
        <f>IF(AND(ISNUMBER($O115),N($L115)&gt;0),$O115/$L115,"")</f>
        <v/>
      </c>
      <c r="Q115" s="21">
        <f>IF(ISNUMBER($N115),$L115/(1-($M115-IF($I115="",pLucro,$I115))),"")</f>
        <v/>
      </c>
      <c r="R115" s="21">
        <f>IF(OR($K115="",NOT(ISNUMBER($N115))),"",$K115*(1-($M115-IF($I115="",pLucro,$I115)))-$L115)</f>
        <v/>
      </c>
      <c r="S115" s="22">
        <f>IF($R115="","",$R115/$K115)</f>
        <v/>
      </c>
      <c r="T115" s="25">
        <f>IF($L115="","",IF(NOT(ISNUMBER($N115)),"Revisar %",IF($K115="","Sem preço atual",IF($R115&lt;0,"PREJUÍZO",IF($K115&lt;$N115,"Abaixo do ideal","OK")))))</f>
        <v/>
      </c>
      <c r="U115" s="25">
        <f>IF(OR($J115="",NOT(ISNUMBER($O115))),"",IF($O115&lt;=$J115,"Competitivo ("&amp;ROUND(($O115/$J115-1)*100,1)&amp;"%)","Acima do concorrente (+"&amp;ROUND(($O115/$J115-1)*100,1)&amp;"%)"))</f>
        <v/>
      </c>
    </row>
    <row r="116" spans="1:21">
      <c r="A116" s="13"/>
      <c r="B116" s="13"/>
      <c r="C116" s="13"/>
      <c r="D116" s="19"/>
      <c r="E116" s="19"/>
      <c r="F116" s="20"/>
      <c r="G116" s="20"/>
      <c r="H116" s="20"/>
      <c r="I116" s="20"/>
      <c r="J116" s="19"/>
      <c r="K116" s="19"/>
      <c r="L116" s="21">
        <f>IF(OR($B116="",$D116=""),"",$D116+N($E116))</f>
        <v/>
      </c>
      <c r="M116" s="22">
        <f>IF($L116="","",IF($F116="",pImp,$F116)+IF($G116="",pCom,$G116)+IF($H116="",pTax,$H116)+pFixo+IF($I116="",pLucro,$I116))</f>
        <v/>
      </c>
      <c r="N116" s="21">
        <f>IF($L116="","",IF($M116&gt;=1,"Revisar %",$L116/(1-$M116)))</f>
        <v/>
      </c>
      <c r="O116" s="23">
        <f>IF(ISNUMBER($N116),ROUNDUP($N116,0)+IF(ROUNDUP($N116,0)-0.1&gt;=$N116,-0.1,0.9),$N116)</f>
        <v/>
      </c>
      <c r="P116" s="24">
        <f>IF(AND(ISNUMBER($O116),N($L116)&gt;0),$O116/$L116,"")</f>
        <v/>
      </c>
      <c r="Q116" s="21">
        <f>IF(ISNUMBER($N116),$L116/(1-($M116-IF($I116="",pLucro,$I116))),"")</f>
        <v/>
      </c>
      <c r="R116" s="21">
        <f>IF(OR($K116="",NOT(ISNUMBER($N116))),"",$K116*(1-($M116-IF($I116="",pLucro,$I116)))-$L116)</f>
        <v/>
      </c>
      <c r="S116" s="22">
        <f>IF($R116="","",$R116/$K116)</f>
        <v/>
      </c>
      <c r="T116" s="25">
        <f>IF($L116="","",IF(NOT(ISNUMBER($N116)),"Revisar %",IF($K116="","Sem preço atual",IF($R116&lt;0,"PREJUÍZO",IF($K116&lt;$N116,"Abaixo do ideal","OK")))))</f>
        <v/>
      </c>
      <c r="U116" s="25">
        <f>IF(OR($J116="",NOT(ISNUMBER($O116))),"",IF($O116&lt;=$J116,"Competitivo ("&amp;ROUND(($O116/$J116-1)*100,1)&amp;"%)","Acima do concorrente (+"&amp;ROUND(($O116/$J116-1)*100,1)&amp;"%)"))</f>
        <v/>
      </c>
    </row>
    <row r="117" spans="1:21">
      <c r="A117" s="13"/>
      <c r="B117" s="13"/>
      <c r="C117" s="13"/>
      <c r="D117" s="19"/>
      <c r="E117" s="19"/>
      <c r="F117" s="20"/>
      <c r="G117" s="20"/>
      <c r="H117" s="20"/>
      <c r="I117" s="20"/>
      <c r="J117" s="19"/>
      <c r="K117" s="19"/>
      <c r="L117" s="21">
        <f>IF(OR($B117="",$D117=""),"",$D117+N($E117))</f>
        <v/>
      </c>
      <c r="M117" s="22">
        <f>IF($L117="","",IF($F117="",pImp,$F117)+IF($G117="",pCom,$G117)+IF($H117="",pTax,$H117)+pFixo+IF($I117="",pLucro,$I117))</f>
        <v/>
      </c>
      <c r="N117" s="21">
        <f>IF($L117="","",IF($M117&gt;=1,"Revisar %",$L117/(1-$M117)))</f>
        <v/>
      </c>
      <c r="O117" s="23">
        <f>IF(ISNUMBER($N117),ROUNDUP($N117,0)+IF(ROUNDUP($N117,0)-0.1&gt;=$N117,-0.1,0.9),$N117)</f>
        <v/>
      </c>
      <c r="P117" s="24">
        <f>IF(AND(ISNUMBER($O117),N($L117)&gt;0),$O117/$L117,"")</f>
        <v/>
      </c>
      <c r="Q117" s="21">
        <f>IF(ISNUMBER($N117),$L117/(1-($M117-IF($I117="",pLucro,$I117))),"")</f>
        <v/>
      </c>
      <c r="R117" s="21">
        <f>IF(OR($K117="",NOT(ISNUMBER($N117))),"",$K117*(1-($M117-IF($I117="",pLucro,$I117)))-$L117)</f>
        <v/>
      </c>
      <c r="S117" s="22">
        <f>IF($R117="","",$R117/$K117)</f>
        <v/>
      </c>
      <c r="T117" s="25">
        <f>IF($L117="","",IF(NOT(ISNUMBER($N117)),"Revisar %",IF($K117="","Sem preço atual",IF($R117&lt;0,"PREJUÍZO",IF($K117&lt;$N117,"Abaixo do ideal","OK")))))</f>
        <v/>
      </c>
      <c r="U117" s="25">
        <f>IF(OR($J117="",NOT(ISNUMBER($O117))),"",IF($O117&lt;=$J117,"Competitivo ("&amp;ROUND(($O117/$J117-1)*100,1)&amp;"%)","Acima do concorrente (+"&amp;ROUND(($O117/$J117-1)*100,1)&amp;"%)"))</f>
        <v/>
      </c>
    </row>
    <row r="118" spans="1:21">
      <c r="A118" s="13"/>
      <c r="B118" s="13"/>
      <c r="C118" s="13"/>
      <c r="D118" s="19"/>
      <c r="E118" s="19"/>
      <c r="F118" s="20"/>
      <c r="G118" s="20"/>
      <c r="H118" s="20"/>
      <c r="I118" s="20"/>
      <c r="J118" s="19"/>
      <c r="K118" s="19"/>
      <c r="L118" s="21">
        <f>IF(OR($B118="",$D118=""),"",$D118+N($E118))</f>
        <v/>
      </c>
      <c r="M118" s="22">
        <f>IF($L118="","",IF($F118="",pImp,$F118)+IF($G118="",pCom,$G118)+IF($H118="",pTax,$H118)+pFixo+IF($I118="",pLucro,$I118))</f>
        <v/>
      </c>
      <c r="N118" s="21">
        <f>IF($L118="","",IF($M118&gt;=1,"Revisar %",$L118/(1-$M118)))</f>
        <v/>
      </c>
      <c r="O118" s="23">
        <f>IF(ISNUMBER($N118),ROUNDUP($N118,0)+IF(ROUNDUP($N118,0)-0.1&gt;=$N118,-0.1,0.9),$N118)</f>
        <v/>
      </c>
      <c r="P118" s="24">
        <f>IF(AND(ISNUMBER($O118),N($L118)&gt;0),$O118/$L118,"")</f>
        <v/>
      </c>
      <c r="Q118" s="21">
        <f>IF(ISNUMBER($N118),$L118/(1-($M118-IF($I118="",pLucro,$I118))),"")</f>
        <v/>
      </c>
      <c r="R118" s="21">
        <f>IF(OR($K118="",NOT(ISNUMBER($N118))),"",$K118*(1-($M118-IF($I118="",pLucro,$I118)))-$L118)</f>
        <v/>
      </c>
      <c r="S118" s="22">
        <f>IF($R118="","",$R118/$K118)</f>
        <v/>
      </c>
      <c r="T118" s="25">
        <f>IF($L118="","",IF(NOT(ISNUMBER($N118)),"Revisar %",IF($K118="","Sem preço atual",IF($R118&lt;0,"PREJUÍZO",IF($K118&lt;$N118,"Abaixo do ideal","OK")))))</f>
        <v/>
      </c>
      <c r="U118" s="25">
        <f>IF(OR($J118="",NOT(ISNUMBER($O118))),"",IF($O118&lt;=$J118,"Competitivo ("&amp;ROUND(($O118/$J118-1)*100,1)&amp;"%)","Acima do concorrente (+"&amp;ROUND(($O118/$J118-1)*100,1)&amp;"%)"))</f>
        <v/>
      </c>
    </row>
    <row r="119" spans="1:21">
      <c r="A119" s="13"/>
      <c r="B119" s="13"/>
      <c r="C119" s="13"/>
      <c r="D119" s="19"/>
      <c r="E119" s="19"/>
      <c r="F119" s="20"/>
      <c r="G119" s="20"/>
      <c r="H119" s="20"/>
      <c r="I119" s="20"/>
      <c r="J119" s="19"/>
      <c r="K119" s="19"/>
      <c r="L119" s="21">
        <f>IF(OR($B119="",$D119=""),"",$D119+N($E119))</f>
        <v/>
      </c>
      <c r="M119" s="22">
        <f>IF($L119="","",IF($F119="",pImp,$F119)+IF($G119="",pCom,$G119)+IF($H119="",pTax,$H119)+pFixo+IF($I119="",pLucro,$I119))</f>
        <v/>
      </c>
      <c r="N119" s="21">
        <f>IF($L119="","",IF($M119&gt;=1,"Revisar %",$L119/(1-$M119)))</f>
        <v/>
      </c>
      <c r="O119" s="23">
        <f>IF(ISNUMBER($N119),ROUNDUP($N119,0)+IF(ROUNDUP($N119,0)-0.1&gt;=$N119,-0.1,0.9),$N119)</f>
        <v/>
      </c>
      <c r="P119" s="24">
        <f>IF(AND(ISNUMBER($O119),N($L119)&gt;0),$O119/$L119,"")</f>
        <v/>
      </c>
      <c r="Q119" s="21">
        <f>IF(ISNUMBER($N119),$L119/(1-($M119-IF($I119="",pLucro,$I119))),"")</f>
        <v/>
      </c>
      <c r="R119" s="21">
        <f>IF(OR($K119="",NOT(ISNUMBER($N119))),"",$K119*(1-($M119-IF($I119="",pLucro,$I119)))-$L119)</f>
        <v/>
      </c>
      <c r="S119" s="22">
        <f>IF($R119="","",$R119/$K119)</f>
        <v/>
      </c>
      <c r="T119" s="25">
        <f>IF($L119="","",IF(NOT(ISNUMBER($N119)),"Revisar %",IF($K119="","Sem preço atual",IF($R119&lt;0,"PREJUÍZO",IF($K119&lt;$N119,"Abaixo do ideal","OK")))))</f>
        <v/>
      </c>
      <c r="U119" s="25">
        <f>IF(OR($J119="",NOT(ISNUMBER($O119))),"",IF($O119&lt;=$J119,"Competitivo ("&amp;ROUND(($O119/$J119-1)*100,1)&amp;"%)","Acima do concorrente (+"&amp;ROUND(($O119/$J119-1)*100,1)&amp;"%)"))</f>
        <v/>
      </c>
    </row>
    <row r="120" spans="1:21">
      <c r="A120" s="13"/>
      <c r="B120" s="13"/>
      <c r="C120" s="13"/>
      <c r="D120" s="19"/>
      <c r="E120" s="19"/>
      <c r="F120" s="20"/>
      <c r="G120" s="20"/>
      <c r="H120" s="20"/>
      <c r="I120" s="20"/>
      <c r="J120" s="19"/>
      <c r="K120" s="19"/>
      <c r="L120" s="21">
        <f>IF(OR($B120="",$D120=""),"",$D120+N($E120))</f>
        <v/>
      </c>
      <c r="M120" s="22">
        <f>IF($L120="","",IF($F120="",pImp,$F120)+IF($G120="",pCom,$G120)+IF($H120="",pTax,$H120)+pFixo+IF($I120="",pLucro,$I120))</f>
        <v/>
      </c>
      <c r="N120" s="21">
        <f>IF($L120="","",IF($M120&gt;=1,"Revisar %",$L120/(1-$M120)))</f>
        <v/>
      </c>
      <c r="O120" s="23">
        <f>IF(ISNUMBER($N120),ROUNDUP($N120,0)+IF(ROUNDUP($N120,0)-0.1&gt;=$N120,-0.1,0.9),$N120)</f>
        <v/>
      </c>
      <c r="P120" s="24">
        <f>IF(AND(ISNUMBER($O120),N($L120)&gt;0),$O120/$L120,"")</f>
        <v/>
      </c>
      <c r="Q120" s="21">
        <f>IF(ISNUMBER($N120),$L120/(1-($M120-IF($I120="",pLucro,$I120))),"")</f>
        <v/>
      </c>
      <c r="R120" s="21">
        <f>IF(OR($K120="",NOT(ISNUMBER($N120))),"",$K120*(1-($M120-IF($I120="",pLucro,$I120)))-$L120)</f>
        <v/>
      </c>
      <c r="S120" s="22">
        <f>IF($R120="","",$R120/$K120)</f>
        <v/>
      </c>
      <c r="T120" s="25">
        <f>IF($L120="","",IF(NOT(ISNUMBER($N120)),"Revisar %",IF($K120="","Sem preço atual",IF($R120&lt;0,"PREJUÍZO",IF($K120&lt;$N120,"Abaixo do ideal","OK")))))</f>
        <v/>
      </c>
      <c r="U120" s="25">
        <f>IF(OR($J120="",NOT(ISNUMBER($O120))),"",IF($O120&lt;=$J120,"Competitivo ("&amp;ROUND(($O120/$J120-1)*100,1)&amp;"%)","Acima do concorrente (+"&amp;ROUND(($O120/$J120-1)*100,1)&amp;"%)"))</f>
        <v/>
      </c>
    </row>
    <row r="121" spans="1:21">
      <c r="A121" s="13"/>
      <c r="B121" s="13"/>
      <c r="C121" s="13"/>
      <c r="D121" s="19"/>
      <c r="E121" s="19"/>
      <c r="F121" s="20"/>
      <c r="G121" s="20"/>
      <c r="H121" s="20"/>
      <c r="I121" s="20"/>
      <c r="J121" s="19"/>
      <c r="K121" s="19"/>
      <c r="L121" s="21">
        <f>IF(OR($B121="",$D121=""),"",$D121+N($E121))</f>
        <v/>
      </c>
      <c r="M121" s="22">
        <f>IF($L121="","",IF($F121="",pImp,$F121)+IF($G121="",pCom,$G121)+IF($H121="",pTax,$H121)+pFixo+IF($I121="",pLucro,$I121))</f>
        <v/>
      </c>
      <c r="N121" s="21">
        <f>IF($L121="","",IF($M121&gt;=1,"Revisar %",$L121/(1-$M121)))</f>
        <v/>
      </c>
      <c r="O121" s="23">
        <f>IF(ISNUMBER($N121),ROUNDUP($N121,0)+IF(ROUNDUP($N121,0)-0.1&gt;=$N121,-0.1,0.9),$N121)</f>
        <v/>
      </c>
      <c r="P121" s="24">
        <f>IF(AND(ISNUMBER($O121),N($L121)&gt;0),$O121/$L121,"")</f>
        <v/>
      </c>
      <c r="Q121" s="21">
        <f>IF(ISNUMBER($N121),$L121/(1-($M121-IF($I121="",pLucro,$I121))),"")</f>
        <v/>
      </c>
      <c r="R121" s="21">
        <f>IF(OR($K121="",NOT(ISNUMBER($N121))),"",$K121*(1-($M121-IF($I121="",pLucro,$I121)))-$L121)</f>
        <v/>
      </c>
      <c r="S121" s="22">
        <f>IF($R121="","",$R121/$K121)</f>
        <v/>
      </c>
      <c r="T121" s="25">
        <f>IF($L121="","",IF(NOT(ISNUMBER($N121)),"Revisar %",IF($K121="","Sem preço atual",IF($R121&lt;0,"PREJUÍZO",IF($K121&lt;$N121,"Abaixo do ideal","OK")))))</f>
        <v/>
      </c>
      <c r="U121" s="25">
        <f>IF(OR($J121="",NOT(ISNUMBER($O121))),"",IF($O121&lt;=$J121,"Competitivo ("&amp;ROUND(($O121/$J121-1)*100,1)&amp;"%)","Acima do concorrente (+"&amp;ROUND(($O121/$J121-1)*100,1)&amp;"%)"))</f>
        <v/>
      </c>
    </row>
    <row r="122" spans="1:21">
      <c r="A122" s="13"/>
      <c r="B122" s="13"/>
      <c r="C122" s="13"/>
      <c r="D122" s="19"/>
      <c r="E122" s="19"/>
      <c r="F122" s="20"/>
      <c r="G122" s="20"/>
      <c r="H122" s="20"/>
      <c r="I122" s="20"/>
      <c r="J122" s="19"/>
      <c r="K122" s="19"/>
      <c r="L122" s="21">
        <f>IF(OR($B122="",$D122=""),"",$D122+N($E122))</f>
        <v/>
      </c>
      <c r="M122" s="22">
        <f>IF($L122="","",IF($F122="",pImp,$F122)+IF($G122="",pCom,$G122)+IF($H122="",pTax,$H122)+pFixo+IF($I122="",pLucro,$I122))</f>
        <v/>
      </c>
      <c r="N122" s="21">
        <f>IF($L122="","",IF($M122&gt;=1,"Revisar %",$L122/(1-$M122)))</f>
        <v/>
      </c>
      <c r="O122" s="23">
        <f>IF(ISNUMBER($N122),ROUNDUP($N122,0)+IF(ROUNDUP($N122,0)-0.1&gt;=$N122,-0.1,0.9),$N122)</f>
        <v/>
      </c>
      <c r="P122" s="24">
        <f>IF(AND(ISNUMBER($O122),N($L122)&gt;0),$O122/$L122,"")</f>
        <v/>
      </c>
      <c r="Q122" s="21">
        <f>IF(ISNUMBER($N122),$L122/(1-($M122-IF($I122="",pLucro,$I122))),"")</f>
        <v/>
      </c>
      <c r="R122" s="21">
        <f>IF(OR($K122="",NOT(ISNUMBER($N122))),"",$K122*(1-($M122-IF($I122="",pLucro,$I122)))-$L122)</f>
        <v/>
      </c>
      <c r="S122" s="22">
        <f>IF($R122="","",$R122/$K122)</f>
        <v/>
      </c>
      <c r="T122" s="25">
        <f>IF($L122="","",IF(NOT(ISNUMBER($N122)),"Revisar %",IF($K122="","Sem preço atual",IF($R122&lt;0,"PREJUÍZO",IF($K122&lt;$N122,"Abaixo do ideal","OK")))))</f>
        <v/>
      </c>
      <c r="U122" s="25">
        <f>IF(OR($J122="",NOT(ISNUMBER($O122))),"",IF($O122&lt;=$J122,"Competitivo ("&amp;ROUND(($O122/$J122-1)*100,1)&amp;"%)","Acima do concorrente (+"&amp;ROUND(($O122/$J122-1)*100,1)&amp;"%)"))</f>
        <v/>
      </c>
    </row>
    <row r="123" spans="1:21">
      <c r="A123" s="13"/>
      <c r="B123" s="13"/>
      <c r="C123" s="13"/>
      <c r="D123" s="19"/>
      <c r="E123" s="19"/>
      <c r="F123" s="20"/>
      <c r="G123" s="20"/>
      <c r="H123" s="20"/>
      <c r="I123" s="20"/>
      <c r="J123" s="19"/>
      <c r="K123" s="19"/>
      <c r="L123" s="21">
        <f>IF(OR($B123="",$D123=""),"",$D123+N($E123))</f>
        <v/>
      </c>
      <c r="M123" s="22">
        <f>IF($L123="","",IF($F123="",pImp,$F123)+IF($G123="",pCom,$G123)+IF($H123="",pTax,$H123)+pFixo+IF($I123="",pLucro,$I123))</f>
        <v/>
      </c>
      <c r="N123" s="21">
        <f>IF($L123="","",IF($M123&gt;=1,"Revisar %",$L123/(1-$M123)))</f>
        <v/>
      </c>
      <c r="O123" s="23">
        <f>IF(ISNUMBER($N123),ROUNDUP($N123,0)+IF(ROUNDUP($N123,0)-0.1&gt;=$N123,-0.1,0.9),$N123)</f>
        <v/>
      </c>
      <c r="P123" s="24">
        <f>IF(AND(ISNUMBER($O123),N($L123)&gt;0),$O123/$L123,"")</f>
        <v/>
      </c>
      <c r="Q123" s="21">
        <f>IF(ISNUMBER($N123),$L123/(1-($M123-IF($I123="",pLucro,$I123))),"")</f>
        <v/>
      </c>
      <c r="R123" s="21">
        <f>IF(OR($K123="",NOT(ISNUMBER($N123))),"",$K123*(1-($M123-IF($I123="",pLucro,$I123)))-$L123)</f>
        <v/>
      </c>
      <c r="S123" s="22">
        <f>IF($R123="","",$R123/$K123)</f>
        <v/>
      </c>
      <c r="T123" s="25">
        <f>IF($L123="","",IF(NOT(ISNUMBER($N123)),"Revisar %",IF($K123="","Sem preço atual",IF($R123&lt;0,"PREJUÍZO",IF($K123&lt;$N123,"Abaixo do ideal","OK")))))</f>
        <v/>
      </c>
      <c r="U123" s="25">
        <f>IF(OR($J123="",NOT(ISNUMBER($O123))),"",IF($O123&lt;=$J123,"Competitivo ("&amp;ROUND(($O123/$J123-1)*100,1)&amp;"%)","Acima do concorrente (+"&amp;ROUND(($O123/$J123-1)*100,1)&amp;"%)"))</f>
        <v/>
      </c>
    </row>
    <row r="124" spans="1:21">
      <c r="A124" s="13"/>
      <c r="B124" s="13"/>
      <c r="C124" s="13"/>
      <c r="D124" s="19"/>
      <c r="E124" s="19"/>
      <c r="F124" s="20"/>
      <c r="G124" s="20"/>
      <c r="H124" s="20"/>
      <c r="I124" s="20"/>
      <c r="J124" s="19"/>
      <c r="K124" s="19"/>
      <c r="L124" s="21">
        <f>IF(OR($B124="",$D124=""),"",$D124+N($E124))</f>
        <v/>
      </c>
      <c r="M124" s="22">
        <f>IF($L124="","",IF($F124="",pImp,$F124)+IF($G124="",pCom,$G124)+IF($H124="",pTax,$H124)+pFixo+IF($I124="",pLucro,$I124))</f>
        <v/>
      </c>
      <c r="N124" s="21">
        <f>IF($L124="","",IF($M124&gt;=1,"Revisar %",$L124/(1-$M124)))</f>
        <v/>
      </c>
      <c r="O124" s="23">
        <f>IF(ISNUMBER($N124),ROUNDUP($N124,0)+IF(ROUNDUP($N124,0)-0.1&gt;=$N124,-0.1,0.9),$N124)</f>
        <v/>
      </c>
      <c r="P124" s="24">
        <f>IF(AND(ISNUMBER($O124),N($L124)&gt;0),$O124/$L124,"")</f>
        <v/>
      </c>
      <c r="Q124" s="21">
        <f>IF(ISNUMBER($N124),$L124/(1-($M124-IF($I124="",pLucro,$I124))),"")</f>
        <v/>
      </c>
      <c r="R124" s="21">
        <f>IF(OR($K124="",NOT(ISNUMBER($N124))),"",$K124*(1-($M124-IF($I124="",pLucro,$I124)))-$L124)</f>
        <v/>
      </c>
      <c r="S124" s="22">
        <f>IF($R124="","",$R124/$K124)</f>
        <v/>
      </c>
      <c r="T124" s="25">
        <f>IF($L124="","",IF(NOT(ISNUMBER($N124)),"Revisar %",IF($K124="","Sem preço atual",IF($R124&lt;0,"PREJUÍZO",IF($K124&lt;$N124,"Abaixo do ideal","OK")))))</f>
        <v/>
      </c>
      <c r="U124" s="25">
        <f>IF(OR($J124="",NOT(ISNUMBER($O124))),"",IF($O124&lt;=$J124,"Competitivo ("&amp;ROUND(($O124/$J124-1)*100,1)&amp;"%)","Acima do concorrente (+"&amp;ROUND(($O124/$J124-1)*100,1)&amp;"%)"))</f>
        <v/>
      </c>
    </row>
    <row r="125" spans="1:21">
      <c r="A125" s="13"/>
      <c r="B125" s="13"/>
      <c r="C125" s="13"/>
      <c r="D125" s="19"/>
      <c r="E125" s="19"/>
      <c r="F125" s="20"/>
      <c r="G125" s="20"/>
      <c r="H125" s="20"/>
      <c r="I125" s="20"/>
      <c r="J125" s="19"/>
      <c r="K125" s="19"/>
      <c r="L125" s="21">
        <f>IF(OR($B125="",$D125=""),"",$D125+N($E125))</f>
        <v/>
      </c>
      <c r="M125" s="22">
        <f>IF($L125="","",IF($F125="",pImp,$F125)+IF($G125="",pCom,$G125)+IF($H125="",pTax,$H125)+pFixo+IF($I125="",pLucro,$I125))</f>
        <v/>
      </c>
      <c r="N125" s="21">
        <f>IF($L125="","",IF($M125&gt;=1,"Revisar %",$L125/(1-$M125)))</f>
        <v/>
      </c>
      <c r="O125" s="23">
        <f>IF(ISNUMBER($N125),ROUNDUP($N125,0)+IF(ROUNDUP($N125,0)-0.1&gt;=$N125,-0.1,0.9),$N125)</f>
        <v/>
      </c>
      <c r="P125" s="24">
        <f>IF(AND(ISNUMBER($O125),N($L125)&gt;0),$O125/$L125,"")</f>
        <v/>
      </c>
      <c r="Q125" s="21">
        <f>IF(ISNUMBER($N125),$L125/(1-($M125-IF($I125="",pLucro,$I125))),"")</f>
        <v/>
      </c>
      <c r="R125" s="21">
        <f>IF(OR($K125="",NOT(ISNUMBER($N125))),"",$K125*(1-($M125-IF($I125="",pLucro,$I125)))-$L125)</f>
        <v/>
      </c>
      <c r="S125" s="22">
        <f>IF($R125="","",$R125/$K125)</f>
        <v/>
      </c>
      <c r="T125" s="25">
        <f>IF($L125="","",IF(NOT(ISNUMBER($N125)),"Revisar %",IF($K125="","Sem preço atual",IF($R125&lt;0,"PREJUÍZO",IF($K125&lt;$N125,"Abaixo do ideal","OK")))))</f>
        <v/>
      </c>
      <c r="U125" s="25">
        <f>IF(OR($J125="",NOT(ISNUMBER($O125))),"",IF($O125&lt;=$J125,"Competitivo ("&amp;ROUND(($O125/$J125-1)*100,1)&amp;"%)","Acima do concorrente (+"&amp;ROUND(($O125/$J125-1)*100,1)&amp;"%)"))</f>
        <v/>
      </c>
    </row>
    <row r="126" spans="1:21">
      <c r="A126" s="13"/>
      <c r="B126" s="13"/>
      <c r="C126" s="13"/>
      <c r="D126" s="19"/>
      <c r="E126" s="19"/>
      <c r="F126" s="20"/>
      <c r="G126" s="20"/>
      <c r="H126" s="20"/>
      <c r="I126" s="20"/>
      <c r="J126" s="19"/>
      <c r="K126" s="19"/>
      <c r="L126" s="21">
        <f>IF(OR($B126="",$D126=""),"",$D126+N($E126))</f>
        <v/>
      </c>
      <c r="M126" s="22">
        <f>IF($L126="","",IF($F126="",pImp,$F126)+IF($G126="",pCom,$G126)+IF($H126="",pTax,$H126)+pFixo+IF($I126="",pLucro,$I126))</f>
        <v/>
      </c>
      <c r="N126" s="21">
        <f>IF($L126="","",IF($M126&gt;=1,"Revisar %",$L126/(1-$M126)))</f>
        <v/>
      </c>
      <c r="O126" s="23">
        <f>IF(ISNUMBER($N126),ROUNDUP($N126,0)+IF(ROUNDUP($N126,0)-0.1&gt;=$N126,-0.1,0.9),$N126)</f>
        <v/>
      </c>
      <c r="P126" s="24">
        <f>IF(AND(ISNUMBER($O126),N($L126)&gt;0),$O126/$L126,"")</f>
        <v/>
      </c>
      <c r="Q126" s="21">
        <f>IF(ISNUMBER($N126),$L126/(1-($M126-IF($I126="",pLucro,$I126))),"")</f>
        <v/>
      </c>
      <c r="R126" s="21">
        <f>IF(OR($K126="",NOT(ISNUMBER($N126))),"",$K126*(1-($M126-IF($I126="",pLucro,$I126)))-$L126)</f>
        <v/>
      </c>
      <c r="S126" s="22">
        <f>IF($R126="","",$R126/$K126)</f>
        <v/>
      </c>
      <c r="T126" s="25">
        <f>IF($L126="","",IF(NOT(ISNUMBER($N126)),"Revisar %",IF($K126="","Sem preço atual",IF($R126&lt;0,"PREJUÍZO",IF($K126&lt;$N126,"Abaixo do ideal","OK")))))</f>
        <v/>
      </c>
      <c r="U126" s="25">
        <f>IF(OR($J126="",NOT(ISNUMBER($O126))),"",IF($O126&lt;=$J126,"Competitivo ("&amp;ROUND(($O126/$J126-1)*100,1)&amp;"%)","Acima do concorrente (+"&amp;ROUND(($O126/$J126-1)*100,1)&amp;"%)"))</f>
        <v/>
      </c>
    </row>
    <row r="127" spans="1:21">
      <c r="A127" s="13"/>
      <c r="B127" s="13"/>
      <c r="C127" s="13"/>
      <c r="D127" s="19"/>
      <c r="E127" s="19"/>
      <c r="F127" s="20"/>
      <c r="G127" s="20"/>
      <c r="H127" s="20"/>
      <c r="I127" s="20"/>
      <c r="J127" s="19"/>
      <c r="K127" s="19"/>
      <c r="L127" s="21">
        <f>IF(OR($B127="",$D127=""),"",$D127+N($E127))</f>
        <v/>
      </c>
      <c r="M127" s="22">
        <f>IF($L127="","",IF($F127="",pImp,$F127)+IF($G127="",pCom,$G127)+IF($H127="",pTax,$H127)+pFixo+IF($I127="",pLucro,$I127))</f>
        <v/>
      </c>
      <c r="N127" s="21">
        <f>IF($L127="","",IF($M127&gt;=1,"Revisar %",$L127/(1-$M127)))</f>
        <v/>
      </c>
      <c r="O127" s="23">
        <f>IF(ISNUMBER($N127),ROUNDUP($N127,0)+IF(ROUNDUP($N127,0)-0.1&gt;=$N127,-0.1,0.9),$N127)</f>
        <v/>
      </c>
      <c r="P127" s="24">
        <f>IF(AND(ISNUMBER($O127),N($L127)&gt;0),$O127/$L127,"")</f>
        <v/>
      </c>
      <c r="Q127" s="21">
        <f>IF(ISNUMBER($N127),$L127/(1-($M127-IF($I127="",pLucro,$I127))),"")</f>
        <v/>
      </c>
      <c r="R127" s="21">
        <f>IF(OR($K127="",NOT(ISNUMBER($N127))),"",$K127*(1-($M127-IF($I127="",pLucro,$I127)))-$L127)</f>
        <v/>
      </c>
      <c r="S127" s="22">
        <f>IF($R127="","",$R127/$K127)</f>
        <v/>
      </c>
      <c r="T127" s="25">
        <f>IF($L127="","",IF(NOT(ISNUMBER($N127)),"Revisar %",IF($K127="","Sem preço atual",IF($R127&lt;0,"PREJUÍZO",IF($K127&lt;$N127,"Abaixo do ideal","OK")))))</f>
        <v/>
      </c>
      <c r="U127" s="25">
        <f>IF(OR($J127="",NOT(ISNUMBER($O127))),"",IF($O127&lt;=$J127,"Competitivo ("&amp;ROUND(($O127/$J127-1)*100,1)&amp;"%)","Acima do concorrente (+"&amp;ROUND(($O127/$J127-1)*100,1)&amp;"%)"))</f>
        <v/>
      </c>
    </row>
    <row r="128" spans="1:21">
      <c r="A128" s="13"/>
      <c r="B128" s="13"/>
      <c r="C128" s="13"/>
      <c r="D128" s="19"/>
      <c r="E128" s="19"/>
      <c r="F128" s="20"/>
      <c r="G128" s="20"/>
      <c r="H128" s="20"/>
      <c r="I128" s="20"/>
      <c r="J128" s="19"/>
      <c r="K128" s="19"/>
      <c r="L128" s="21">
        <f>IF(OR($B128="",$D128=""),"",$D128+N($E128))</f>
        <v/>
      </c>
      <c r="M128" s="22">
        <f>IF($L128="","",IF($F128="",pImp,$F128)+IF($G128="",pCom,$G128)+IF($H128="",pTax,$H128)+pFixo+IF($I128="",pLucro,$I128))</f>
        <v/>
      </c>
      <c r="N128" s="21">
        <f>IF($L128="","",IF($M128&gt;=1,"Revisar %",$L128/(1-$M128)))</f>
        <v/>
      </c>
      <c r="O128" s="23">
        <f>IF(ISNUMBER($N128),ROUNDUP($N128,0)+IF(ROUNDUP($N128,0)-0.1&gt;=$N128,-0.1,0.9),$N128)</f>
        <v/>
      </c>
      <c r="P128" s="24">
        <f>IF(AND(ISNUMBER($O128),N($L128)&gt;0),$O128/$L128,"")</f>
        <v/>
      </c>
      <c r="Q128" s="21">
        <f>IF(ISNUMBER($N128),$L128/(1-($M128-IF($I128="",pLucro,$I128))),"")</f>
        <v/>
      </c>
      <c r="R128" s="21">
        <f>IF(OR($K128="",NOT(ISNUMBER($N128))),"",$K128*(1-($M128-IF($I128="",pLucro,$I128)))-$L128)</f>
        <v/>
      </c>
      <c r="S128" s="22">
        <f>IF($R128="","",$R128/$K128)</f>
        <v/>
      </c>
      <c r="T128" s="25">
        <f>IF($L128="","",IF(NOT(ISNUMBER($N128)),"Revisar %",IF($K128="","Sem preço atual",IF($R128&lt;0,"PREJUÍZO",IF($K128&lt;$N128,"Abaixo do ideal","OK")))))</f>
        <v/>
      </c>
      <c r="U128" s="25">
        <f>IF(OR($J128="",NOT(ISNUMBER($O128))),"",IF($O128&lt;=$J128,"Competitivo ("&amp;ROUND(($O128/$J128-1)*100,1)&amp;"%)","Acima do concorrente (+"&amp;ROUND(($O128/$J128-1)*100,1)&amp;"%)"))</f>
        <v/>
      </c>
    </row>
    <row r="129" spans="1:21">
      <c r="A129" s="13"/>
      <c r="B129" s="13"/>
      <c r="C129" s="13"/>
      <c r="D129" s="19"/>
      <c r="E129" s="19"/>
      <c r="F129" s="20"/>
      <c r="G129" s="20"/>
      <c r="H129" s="20"/>
      <c r="I129" s="20"/>
      <c r="J129" s="19"/>
      <c r="K129" s="19"/>
      <c r="L129" s="21">
        <f>IF(OR($B129="",$D129=""),"",$D129+N($E129))</f>
        <v/>
      </c>
      <c r="M129" s="22">
        <f>IF($L129="","",IF($F129="",pImp,$F129)+IF($G129="",pCom,$G129)+IF($H129="",pTax,$H129)+pFixo+IF($I129="",pLucro,$I129))</f>
        <v/>
      </c>
      <c r="N129" s="21">
        <f>IF($L129="","",IF($M129&gt;=1,"Revisar %",$L129/(1-$M129)))</f>
        <v/>
      </c>
      <c r="O129" s="23">
        <f>IF(ISNUMBER($N129),ROUNDUP($N129,0)+IF(ROUNDUP($N129,0)-0.1&gt;=$N129,-0.1,0.9),$N129)</f>
        <v/>
      </c>
      <c r="P129" s="24">
        <f>IF(AND(ISNUMBER($O129),N($L129)&gt;0),$O129/$L129,"")</f>
        <v/>
      </c>
      <c r="Q129" s="21">
        <f>IF(ISNUMBER($N129),$L129/(1-($M129-IF($I129="",pLucro,$I129))),"")</f>
        <v/>
      </c>
      <c r="R129" s="21">
        <f>IF(OR($K129="",NOT(ISNUMBER($N129))),"",$K129*(1-($M129-IF($I129="",pLucro,$I129)))-$L129)</f>
        <v/>
      </c>
      <c r="S129" s="22">
        <f>IF($R129="","",$R129/$K129)</f>
        <v/>
      </c>
      <c r="T129" s="25">
        <f>IF($L129="","",IF(NOT(ISNUMBER($N129)),"Revisar %",IF($K129="","Sem preço atual",IF($R129&lt;0,"PREJUÍZO",IF($K129&lt;$N129,"Abaixo do ideal","OK")))))</f>
        <v/>
      </c>
      <c r="U129" s="25">
        <f>IF(OR($J129="",NOT(ISNUMBER($O129))),"",IF($O129&lt;=$J129,"Competitivo ("&amp;ROUND(($O129/$J129-1)*100,1)&amp;"%)","Acima do concorrente (+"&amp;ROUND(($O129/$J129-1)*100,1)&amp;"%)"))</f>
        <v/>
      </c>
    </row>
    <row r="130" spans="1:21">
      <c r="A130" s="13"/>
      <c r="B130" s="13"/>
      <c r="C130" s="13"/>
      <c r="D130" s="19"/>
      <c r="E130" s="19"/>
      <c r="F130" s="20"/>
      <c r="G130" s="20"/>
      <c r="H130" s="20"/>
      <c r="I130" s="20"/>
      <c r="J130" s="19"/>
      <c r="K130" s="19"/>
      <c r="L130" s="21">
        <f>IF(OR($B130="",$D130=""),"",$D130+N($E130))</f>
        <v/>
      </c>
      <c r="M130" s="22">
        <f>IF($L130="","",IF($F130="",pImp,$F130)+IF($G130="",pCom,$G130)+IF($H130="",pTax,$H130)+pFixo+IF($I130="",pLucro,$I130))</f>
        <v/>
      </c>
      <c r="N130" s="21">
        <f>IF($L130="","",IF($M130&gt;=1,"Revisar %",$L130/(1-$M130)))</f>
        <v/>
      </c>
      <c r="O130" s="23">
        <f>IF(ISNUMBER($N130),ROUNDUP($N130,0)+IF(ROUNDUP($N130,0)-0.1&gt;=$N130,-0.1,0.9),$N130)</f>
        <v/>
      </c>
      <c r="P130" s="24">
        <f>IF(AND(ISNUMBER($O130),N($L130)&gt;0),$O130/$L130,"")</f>
        <v/>
      </c>
      <c r="Q130" s="21">
        <f>IF(ISNUMBER($N130),$L130/(1-($M130-IF($I130="",pLucro,$I130))),"")</f>
        <v/>
      </c>
      <c r="R130" s="21">
        <f>IF(OR($K130="",NOT(ISNUMBER($N130))),"",$K130*(1-($M130-IF($I130="",pLucro,$I130)))-$L130)</f>
        <v/>
      </c>
      <c r="S130" s="22">
        <f>IF($R130="","",$R130/$K130)</f>
        <v/>
      </c>
      <c r="T130" s="25">
        <f>IF($L130="","",IF(NOT(ISNUMBER($N130)),"Revisar %",IF($K130="","Sem preço atual",IF($R130&lt;0,"PREJUÍZO",IF($K130&lt;$N130,"Abaixo do ideal","OK")))))</f>
        <v/>
      </c>
      <c r="U130" s="25">
        <f>IF(OR($J130="",NOT(ISNUMBER($O130))),"",IF($O130&lt;=$J130,"Competitivo ("&amp;ROUND(($O130/$J130-1)*100,1)&amp;"%)","Acima do concorrente (+"&amp;ROUND(($O130/$J130-1)*100,1)&amp;"%)"))</f>
        <v/>
      </c>
    </row>
    <row r="131" spans="1:21">
      <c r="A131" s="13"/>
      <c r="B131" s="13"/>
      <c r="C131" s="13"/>
      <c r="D131" s="19"/>
      <c r="E131" s="19"/>
      <c r="F131" s="20"/>
      <c r="G131" s="20"/>
      <c r="H131" s="20"/>
      <c r="I131" s="20"/>
      <c r="J131" s="19"/>
      <c r="K131" s="19"/>
      <c r="L131" s="21">
        <f>IF(OR($B131="",$D131=""),"",$D131+N($E131))</f>
        <v/>
      </c>
      <c r="M131" s="22">
        <f>IF($L131="","",IF($F131="",pImp,$F131)+IF($G131="",pCom,$G131)+IF($H131="",pTax,$H131)+pFixo+IF($I131="",pLucro,$I131))</f>
        <v/>
      </c>
      <c r="N131" s="21">
        <f>IF($L131="","",IF($M131&gt;=1,"Revisar %",$L131/(1-$M131)))</f>
        <v/>
      </c>
      <c r="O131" s="23">
        <f>IF(ISNUMBER($N131),ROUNDUP($N131,0)+IF(ROUNDUP($N131,0)-0.1&gt;=$N131,-0.1,0.9),$N131)</f>
        <v/>
      </c>
      <c r="P131" s="24">
        <f>IF(AND(ISNUMBER($O131),N($L131)&gt;0),$O131/$L131,"")</f>
        <v/>
      </c>
      <c r="Q131" s="21">
        <f>IF(ISNUMBER($N131),$L131/(1-($M131-IF($I131="",pLucro,$I131))),"")</f>
        <v/>
      </c>
      <c r="R131" s="21">
        <f>IF(OR($K131="",NOT(ISNUMBER($N131))),"",$K131*(1-($M131-IF($I131="",pLucro,$I131)))-$L131)</f>
        <v/>
      </c>
      <c r="S131" s="22">
        <f>IF($R131="","",$R131/$K131)</f>
        <v/>
      </c>
      <c r="T131" s="25">
        <f>IF($L131="","",IF(NOT(ISNUMBER($N131)),"Revisar %",IF($K131="","Sem preço atual",IF($R131&lt;0,"PREJUÍZO",IF($K131&lt;$N131,"Abaixo do ideal","OK")))))</f>
        <v/>
      </c>
      <c r="U131" s="25">
        <f>IF(OR($J131="",NOT(ISNUMBER($O131))),"",IF($O131&lt;=$J131,"Competitivo ("&amp;ROUND(($O131/$J131-1)*100,1)&amp;"%)","Acima do concorrente (+"&amp;ROUND(($O131/$J131-1)*100,1)&amp;"%)"))</f>
        <v/>
      </c>
    </row>
    <row r="132" spans="1:21">
      <c r="A132" s="13"/>
      <c r="B132" s="13"/>
      <c r="C132" s="13"/>
      <c r="D132" s="19"/>
      <c r="E132" s="19"/>
      <c r="F132" s="20"/>
      <c r="G132" s="20"/>
      <c r="H132" s="20"/>
      <c r="I132" s="20"/>
      <c r="J132" s="19"/>
      <c r="K132" s="19"/>
      <c r="L132" s="21">
        <f>IF(OR($B132="",$D132=""),"",$D132+N($E132))</f>
        <v/>
      </c>
      <c r="M132" s="22">
        <f>IF($L132="","",IF($F132="",pImp,$F132)+IF($G132="",pCom,$G132)+IF($H132="",pTax,$H132)+pFixo+IF($I132="",pLucro,$I132))</f>
        <v/>
      </c>
      <c r="N132" s="21">
        <f>IF($L132="","",IF($M132&gt;=1,"Revisar %",$L132/(1-$M132)))</f>
        <v/>
      </c>
      <c r="O132" s="23">
        <f>IF(ISNUMBER($N132),ROUNDUP($N132,0)+IF(ROUNDUP($N132,0)-0.1&gt;=$N132,-0.1,0.9),$N132)</f>
        <v/>
      </c>
      <c r="P132" s="24">
        <f>IF(AND(ISNUMBER($O132),N($L132)&gt;0),$O132/$L132,"")</f>
        <v/>
      </c>
      <c r="Q132" s="21">
        <f>IF(ISNUMBER($N132),$L132/(1-($M132-IF($I132="",pLucro,$I132))),"")</f>
        <v/>
      </c>
      <c r="R132" s="21">
        <f>IF(OR($K132="",NOT(ISNUMBER($N132))),"",$K132*(1-($M132-IF($I132="",pLucro,$I132)))-$L132)</f>
        <v/>
      </c>
      <c r="S132" s="22">
        <f>IF($R132="","",$R132/$K132)</f>
        <v/>
      </c>
      <c r="T132" s="25">
        <f>IF($L132="","",IF(NOT(ISNUMBER($N132)),"Revisar %",IF($K132="","Sem preço atual",IF($R132&lt;0,"PREJUÍZO",IF($K132&lt;$N132,"Abaixo do ideal","OK")))))</f>
        <v/>
      </c>
      <c r="U132" s="25">
        <f>IF(OR($J132="",NOT(ISNUMBER($O132))),"",IF($O132&lt;=$J132,"Competitivo ("&amp;ROUND(($O132/$J132-1)*100,1)&amp;"%)","Acima do concorrente (+"&amp;ROUND(($O132/$J132-1)*100,1)&amp;"%)"))</f>
        <v/>
      </c>
    </row>
    <row r="133" spans="1:21">
      <c r="A133" s="13"/>
      <c r="B133" s="13"/>
      <c r="C133" s="13"/>
      <c r="D133" s="19"/>
      <c r="E133" s="19"/>
      <c r="F133" s="20"/>
      <c r="G133" s="20"/>
      <c r="H133" s="20"/>
      <c r="I133" s="20"/>
      <c r="J133" s="19"/>
      <c r="K133" s="19"/>
      <c r="L133" s="21">
        <f>IF(OR($B133="",$D133=""),"",$D133+N($E133))</f>
        <v/>
      </c>
      <c r="M133" s="22">
        <f>IF($L133="","",IF($F133="",pImp,$F133)+IF($G133="",pCom,$G133)+IF($H133="",pTax,$H133)+pFixo+IF($I133="",pLucro,$I133))</f>
        <v/>
      </c>
      <c r="N133" s="21">
        <f>IF($L133="","",IF($M133&gt;=1,"Revisar %",$L133/(1-$M133)))</f>
        <v/>
      </c>
      <c r="O133" s="23">
        <f>IF(ISNUMBER($N133),ROUNDUP($N133,0)+IF(ROUNDUP($N133,0)-0.1&gt;=$N133,-0.1,0.9),$N133)</f>
        <v/>
      </c>
      <c r="P133" s="24">
        <f>IF(AND(ISNUMBER($O133),N($L133)&gt;0),$O133/$L133,"")</f>
        <v/>
      </c>
      <c r="Q133" s="21">
        <f>IF(ISNUMBER($N133),$L133/(1-($M133-IF($I133="",pLucro,$I133))),"")</f>
        <v/>
      </c>
      <c r="R133" s="21">
        <f>IF(OR($K133="",NOT(ISNUMBER($N133))),"",$K133*(1-($M133-IF($I133="",pLucro,$I133)))-$L133)</f>
        <v/>
      </c>
      <c r="S133" s="22">
        <f>IF($R133="","",$R133/$K133)</f>
        <v/>
      </c>
      <c r="T133" s="25">
        <f>IF($L133="","",IF(NOT(ISNUMBER($N133)),"Revisar %",IF($K133="","Sem preço atual",IF($R133&lt;0,"PREJUÍZO",IF($K133&lt;$N133,"Abaixo do ideal","OK")))))</f>
        <v/>
      </c>
      <c r="U133" s="25">
        <f>IF(OR($J133="",NOT(ISNUMBER($O133))),"",IF($O133&lt;=$J133,"Competitivo ("&amp;ROUND(($O133/$J133-1)*100,1)&amp;"%)","Acima do concorrente (+"&amp;ROUND(($O133/$J133-1)*100,1)&amp;"%)"))</f>
        <v/>
      </c>
    </row>
    <row r="134" spans="1:21">
      <c r="A134" s="13"/>
      <c r="B134" s="13"/>
      <c r="C134" s="13"/>
      <c r="D134" s="19"/>
      <c r="E134" s="19"/>
      <c r="F134" s="20"/>
      <c r="G134" s="20"/>
      <c r="H134" s="20"/>
      <c r="I134" s="20"/>
      <c r="J134" s="19"/>
      <c r="K134" s="19"/>
      <c r="L134" s="21">
        <f>IF(OR($B134="",$D134=""),"",$D134+N($E134))</f>
        <v/>
      </c>
      <c r="M134" s="22">
        <f>IF($L134="","",IF($F134="",pImp,$F134)+IF($G134="",pCom,$G134)+IF($H134="",pTax,$H134)+pFixo+IF($I134="",pLucro,$I134))</f>
        <v/>
      </c>
      <c r="N134" s="21">
        <f>IF($L134="","",IF($M134&gt;=1,"Revisar %",$L134/(1-$M134)))</f>
        <v/>
      </c>
      <c r="O134" s="23">
        <f>IF(ISNUMBER($N134),ROUNDUP($N134,0)+IF(ROUNDUP($N134,0)-0.1&gt;=$N134,-0.1,0.9),$N134)</f>
        <v/>
      </c>
      <c r="P134" s="24">
        <f>IF(AND(ISNUMBER($O134),N($L134)&gt;0),$O134/$L134,"")</f>
        <v/>
      </c>
      <c r="Q134" s="21">
        <f>IF(ISNUMBER($N134),$L134/(1-($M134-IF($I134="",pLucro,$I134))),"")</f>
        <v/>
      </c>
      <c r="R134" s="21">
        <f>IF(OR($K134="",NOT(ISNUMBER($N134))),"",$K134*(1-($M134-IF($I134="",pLucro,$I134)))-$L134)</f>
        <v/>
      </c>
      <c r="S134" s="22">
        <f>IF($R134="","",$R134/$K134)</f>
        <v/>
      </c>
      <c r="T134" s="25">
        <f>IF($L134="","",IF(NOT(ISNUMBER($N134)),"Revisar %",IF($K134="","Sem preço atual",IF($R134&lt;0,"PREJUÍZO",IF($K134&lt;$N134,"Abaixo do ideal","OK")))))</f>
        <v/>
      </c>
      <c r="U134" s="25">
        <f>IF(OR($J134="",NOT(ISNUMBER($O134))),"",IF($O134&lt;=$J134,"Competitivo ("&amp;ROUND(($O134/$J134-1)*100,1)&amp;"%)","Acima do concorrente (+"&amp;ROUND(($O134/$J134-1)*100,1)&amp;"%)"))</f>
        <v/>
      </c>
    </row>
    <row r="135" spans="1:21">
      <c r="A135" s="13"/>
      <c r="B135" s="13"/>
      <c r="C135" s="13"/>
      <c r="D135" s="19"/>
      <c r="E135" s="19"/>
      <c r="F135" s="20"/>
      <c r="G135" s="20"/>
      <c r="H135" s="20"/>
      <c r="I135" s="20"/>
      <c r="J135" s="19"/>
      <c r="K135" s="19"/>
      <c r="L135" s="21">
        <f>IF(OR($B135="",$D135=""),"",$D135+N($E135))</f>
        <v/>
      </c>
      <c r="M135" s="22">
        <f>IF($L135="","",IF($F135="",pImp,$F135)+IF($G135="",pCom,$G135)+IF($H135="",pTax,$H135)+pFixo+IF($I135="",pLucro,$I135))</f>
        <v/>
      </c>
      <c r="N135" s="21">
        <f>IF($L135="","",IF($M135&gt;=1,"Revisar %",$L135/(1-$M135)))</f>
        <v/>
      </c>
      <c r="O135" s="23">
        <f>IF(ISNUMBER($N135),ROUNDUP($N135,0)+IF(ROUNDUP($N135,0)-0.1&gt;=$N135,-0.1,0.9),$N135)</f>
        <v/>
      </c>
      <c r="P135" s="24">
        <f>IF(AND(ISNUMBER($O135),N($L135)&gt;0),$O135/$L135,"")</f>
        <v/>
      </c>
      <c r="Q135" s="21">
        <f>IF(ISNUMBER($N135),$L135/(1-($M135-IF($I135="",pLucro,$I135))),"")</f>
        <v/>
      </c>
      <c r="R135" s="21">
        <f>IF(OR($K135="",NOT(ISNUMBER($N135))),"",$K135*(1-($M135-IF($I135="",pLucro,$I135)))-$L135)</f>
        <v/>
      </c>
      <c r="S135" s="22">
        <f>IF($R135="","",$R135/$K135)</f>
        <v/>
      </c>
      <c r="T135" s="25">
        <f>IF($L135="","",IF(NOT(ISNUMBER($N135)),"Revisar %",IF($K135="","Sem preço atual",IF($R135&lt;0,"PREJUÍZO",IF($K135&lt;$N135,"Abaixo do ideal","OK")))))</f>
        <v/>
      </c>
      <c r="U135" s="25">
        <f>IF(OR($J135="",NOT(ISNUMBER($O135))),"",IF($O135&lt;=$J135,"Competitivo ("&amp;ROUND(($O135/$J135-1)*100,1)&amp;"%)","Acima do concorrente (+"&amp;ROUND(($O135/$J135-1)*100,1)&amp;"%)"))</f>
        <v/>
      </c>
    </row>
    <row r="136" spans="1:21">
      <c r="A136" s="13"/>
      <c r="B136" s="13"/>
      <c r="C136" s="13"/>
      <c r="D136" s="19"/>
      <c r="E136" s="19"/>
      <c r="F136" s="20"/>
      <c r="G136" s="20"/>
      <c r="H136" s="20"/>
      <c r="I136" s="20"/>
      <c r="J136" s="19"/>
      <c r="K136" s="19"/>
      <c r="L136" s="21">
        <f>IF(OR($B136="",$D136=""),"",$D136+N($E136))</f>
        <v/>
      </c>
      <c r="M136" s="22">
        <f>IF($L136="","",IF($F136="",pImp,$F136)+IF($G136="",pCom,$G136)+IF($H136="",pTax,$H136)+pFixo+IF($I136="",pLucro,$I136))</f>
        <v/>
      </c>
      <c r="N136" s="21">
        <f>IF($L136="","",IF($M136&gt;=1,"Revisar %",$L136/(1-$M136)))</f>
        <v/>
      </c>
      <c r="O136" s="23">
        <f>IF(ISNUMBER($N136),ROUNDUP($N136,0)+IF(ROUNDUP($N136,0)-0.1&gt;=$N136,-0.1,0.9),$N136)</f>
        <v/>
      </c>
      <c r="P136" s="24">
        <f>IF(AND(ISNUMBER($O136),N($L136)&gt;0),$O136/$L136,"")</f>
        <v/>
      </c>
      <c r="Q136" s="21">
        <f>IF(ISNUMBER($N136),$L136/(1-($M136-IF($I136="",pLucro,$I136))),"")</f>
        <v/>
      </c>
      <c r="R136" s="21">
        <f>IF(OR($K136="",NOT(ISNUMBER($N136))),"",$K136*(1-($M136-IF($I136="",pLucro,$I136)))-$L136)</f>
        <v/>
      </c>
      <c r="S136" s="22">
        <f>IF($R136="","",$R136/$K136)</f>
        <v/>
      </c>
      <c r="T136" s="25">
        <f>IF($L136="","",IF(NOT(ISNUMBER($N136)),"Revisar %",IF($K136="","Sem preço atual",IF($R136&lt;0,"PREJUÍZO",IF($K136&lt;$N136,"Abaixo do ideal","OK")))))</f>
        <v/>
      </c>
      <c r="U136" s="25">
        <f>IF(OR($J136="",NOT(ISNUMBER($O136))),"",IF($O136&lt;=$J136,"Competitivo ("&amp;ROUND(($O136/$J136-1)*100,1)&amp;"%)","Acima do concorrente (+"&amp;ROUND(($O136/$J136-1)*100,1)&amp;"%)"))</f>
        <v/>
      </c>
    </row>
    <row r="137" spans="1:21">
      <c r="A137" s="13"/>
      <c r="B137" s="13"/>
      <c r="C137" s="13"/>
      <c r="D137" s="19"/>
      <c r="E137" s="19"/>
      <c r="F137" s="20"/>
      <c r="G137" s="20"/>
      <c r="H137" s="20"/>
      <c r="I137" s="20"/>
      <c r="J137" s="19"/>
      <c r="K137" s="19"/>
      <c r="L137" s="21">
        <f>IF(OR($B137="",$D137=""),"",$D137+N($E137))</f>
        <v/>
      </c>
      <c r="M137" s="22">
        <f>IF($L137="","",IF($F137="",pImp,$F137)+IF($G137="",pCom,$G137)+IF($H137="",pTax,$H137)+pFixo+IF($I137="",pLucro,$I137))</f>
        <v/>
      </c>
      <c r="N137" s="21">
        <f>IF($L137="","",IF($M137&gt;=1,"Revisar %",$L137/(1-$M137)))</f>
        <v/>
      </c>
      <c r="O137" s="23">
        <f>IF(ISNUMBER($N137),ROUNDUP($N137,0)+IF(ROUNDUP($N137,0)-0.1&gt;=$N137,-0.1,0.9),$N137)</f>
        <v/>
      </c>
      <c r="P137" s="24">
        <f>IF(AND(ISNUMBER($O137),N($L137)&gt;0),$O137/$L137,"")</f>
        <v/>
      </c>
      <c r="Q137" s="21">
        <f>IF(ISNUMBER($N137),$L137/(1-($M137-IF($I137="",pLucro,$I137))),"")</f>
        <v/>
      </c>
      <c r="R137" s="21">
        <f>IF(OR($K137="",NOT(ISNUMBER($N137))),"",$K137*(1-($M137-IF($I137="",pLucro,$I137)))-$L137)</f>
        <v/>
      </c>
      <c r="S137" s="22">
        <f>IF($R137="","",$R137/$K137)</f>
        <v/>
      </c>
      <c r="T137" s="25">
        <f>IF($L137="","",IF(NOT(ISNUMBER($N137)),"Revisar %",IF($K137="","Sem preço atual",IF($R137&lt;0,"PREJUÍZO",IF($K137&lt;$N137,"Abaixo do ideal","OK")))))</f>
        <v/>
      </c>
      <c r="U137" s="25">
        <f>IF(OR($J137="",NOT(ISNUMBER($O137))),"",IF($O137&lt;=$J137,"Competitivo ("&amp;ROUND(($O137/$J137-1)*100,1)&amp;"%)","Acima do concorrente (+"&amp;ROUND(($O137/$J137-1)*100,1)&amp;"%)"))</f>
        <v/>
      </c>
    </row>
    <row r="138" spans="1:21">
      <c r="A138" s="13"/>
      <c r="B138" s="13"/>
      <c r="C138" s="13"/>
      <c r="D138" s="19"/>
      <c r="E138" s="19"/>
      <c r="F138" s="20"/>
      <c r="G138" s="20"/>
      <c r="H138" s="20"/>
      <c r="I138" s="20"/>
      <c r="J138" s="19"/>
      <c r="K138" s="19"/>
      <c r="L138" s="21">
        <f>IF(OR($B138="",$D138=""),"",$D138+N($E138))</f>
        <v/>
      </c>
      <c r="M138" s="22">
        <f>IF($L138="","",IF($F138="",pImp,$F138)+IF($G138="",pCom,$G138)+IF($H138="",pTax,$H138)+pFixo+IF($I138="",pLucro,$I138))</f>
        <v/>
      </c>
      <c r="N138" s="21">
        <f>IF($L138="","",IF($M138&gt;=1,"Revisar %",$L138/(1-$M138)))</f>
        <v/>
      </c>
      <c r="O138" s="23">
        <f>IF(ISNUMBER($N138),ROUNDUP($N138,0)+IF(ROUNDUP($N138,0)-0.1&gt;=$N138,-0.1,0.9),$N138)</f>
        <v/>
      </c>
      <c r="P138" s="24">
        <f>IF(AND(ISNUMBER($O138),N($L138)&gt;0),$O138/$L138,"")</f>
        <v/>
      </c>
      <c r="Q138" s="21">
        <f>IF(ISNUMBER($N138),$L138/(1-($M138-IF($I138="",pLucro,$I138))),"")</f>
        <v/>
      </c>
      <c r="R138" s="21">
        <f>IF(OR($K138="",NOT(ISNUMBER($N138))),"",$K138*(1-($M138-IF($I138="",pLucro,$I138)))-$L138)</f>
        <v/>
      </c>
      <c r="S138" s="22">
        <f>IF($R138="","",$R138/$K138)</f>
        <v/>
      </c>
      <c r="T138" s="25">
        <f>IF($L138="","",IF(NOT(ISNUMBER($N138)),"Revisar %",IF($K138="","Sem preço atual",IF($R138&lt;0,"PREJUÍZO",IF($K138&lt;$N138,"Abaixo do ideal","OK")))))</f>
        <v/>
      </c>
      <c r="U138" s="25">
        <f>IF(OR($J138="",NOT(ISNUMBER($O138))),"",IF($O138&lt;=$J138,"Competitivo ("&amp;ROUND(($O138/$J138-1)*100,1)&amp;"%)","Acima do concorrente (+"&amp;ROUND(($O138/$J138-1)*100,1)&amp;"%)"))</f>
        <v/>
      </c>
    </row>
    <row r="139" spans="1:21">
      <c r="A139" s="13"/>
      <c r="B139" s="13"/>
      <c r="C139" s="13"/>
      <c r="D139" s="19"/>
      <c r="E139" s="19"/>
      <c r="F139" s="20"/>
      <c r="G139" s="20"/>
      <c r="H139" s="20"/>
      <c r="I139" s="20"/>
      <c r="J139" s="19"/>
      <c r="K139" s="19"/>
      <c r="L139" s="21">
        <f>IF(OR($B139="",$D139=""),"",$D139+N($E139))</f>
        <v/>
      </c>
      <c r="M139" s="22">
        <f>IF($L139="","",IF($F139="",pImp,$F139)+IF($G139="",pCom,$G139)+IF($H139="",pTax,$H139)+pFixo+IF($I139="",pLucro,$I139))</f>
        <v/>
      </c>
      <c r="N139" s="21">
        <f>IF($L139="","",IF($M139&gt;=1,"Revisar %",$L139/(1-$M139)))</f>
        <v/>
      </c>
      <c r="O139" s="23">
        <f>IF(ISNUMBER($N139),ROUNDUP($N139,0)+IF(ROUNDUP($N139,0)-0.1&gt;=$N139,-0.1,0.9),$N139)</f>
        <v/>
      </c>
      <c r="P139" s="24">
        <f>IF(AND(ISNUMBER($O139),N($L139)&gt;0),$O139/$L139,"")</f>
        <v/>
      </c>
      <c r="Q139" s="21">
        <f>IF(ISNUMBER($N139),$L139/(1-($M139-IF($I139="",pLucro,$I139))),"")</f>
        <v/>
      </c>
      <c r="R139" s="21">
        <f>IF(OR($K139="",NOT(ISNUMBER($N139))),"",$K139*(1-($M139-IF($I139="",pLucro,$I139)))-$L139)</f>
        <v/>
      </c>
      <c r="S139" s="22">
        <f>IF($R139="","",$R139/$K139)</f>
        <v/>
      </c>
      <c r="T139" s="25">
        <f>IF($L139="","",IF(NOT(ISNUMBER($N139)),"Revisar %",IF($K139="","Sem preço atual",IF($R139&lt;0,"PREJUÍZO",IF($K139&lt;$N139,"Abaixo do ideal","OK")))))</f>
        <v/>
      </c>
      <c r="U139" s="25">
        <f>IF(OR($J139="",NOT(ISNUMBER($O139))),"",IF($O139&lt;=$J139,"Competitivo ("&amp;ROUND(($O139/$J139-1)*100,1)&amp;"%)","Acima do concorrente (+"&amp;ROUND(($O139/$J139-1)*100,1)&amp;"%)"))</f>
        <v/>
      </c>
    </row>
    <row r="140" spans="1:21">
      <c r="A140" s="13"/>
      <c r="B140" s="13"/>
      <c r="C140" s="13"/>
      <c r="D140" s="19"/>
      <c r="E140" s="19"/>
      <c r="F140" s="20"/>
      <c r="G140" s="20"/>
      <c r="H140" s="20"/>
      <c r="I140" s="20"/>
      <c r="J140" s="19"/>
      <c r="K140" s="19"/>
      <c r="L140" s="21">
        <f>IF(OR($B140="",$D140=""),"",$D140+N($E140))</f>
        <v/>
      </c>
      <c r="M140" s="22">
        <f>IF($L140="","",IF($F140="",pImp,$F140)+IF($G140="",pCom,$G140)+IF($H140="",pTax,$H140)+pFixo+IF($I140="",pLucro,$I140))</f>
        <v/>
      </c>
      <c r="N140" s="21">
        <f>IF($L140="","",IF($M140&gt;=1,"Revisar %",$L140/(1-$M140)))</f>
        <v/>
      </c>
      <c r="O140" s="23">
        <f>IF(ISNUMBER($N140),ROUNDUP($N140,0)+IF(ROUNDUP($N140,0)-0.1&gt;=$N140,-0.1,0.9),$N140)</f>
        <v/>
      </c>
      <c r="P140" s="24">
        <f>IF(AND(ISNUMBER($O140),N($L140)&gt;0),$O140/$L140,"")</f>
        <v/>
      </c>
      <c r="Q140" s="21">
        <f>IF(ISNUMBER($N140),$L140/(1-($M140-IF($I140="",pLucro,$I140))),"")</f>
        <v/>
      </c>
      <c r="R140" s="21">
        <f>IF(OR($K140="",NOT(ISNUMBER($N140))),"",$K140*(1-($M140-IF($I140="",pLucro,$I140)))-$L140)</f>
        <v/>
      </c>
      <c r="S140" s="22">
        <f>IF($R140="","",$R140/$K140)</f>
        <v/>
      </c>
      <c r="T140" s="25">
        <f>IF($L140="","",IF(NOT(ISNUMBER($N140)),"Revisar %",IF($K140="","Sem preço atual",IF($R140&lt;0,"PREJUÍZO",IF($K140&lt;$N140,"Abaixo do ideal","OK")))))</f>
        <v/>
      </c>
      <c r="U140" s="25">
        <f>IF(OR($J140="",NOT(ISNUMBER($O140))),"",IF($O140&lt;=$J140,"Competitivo ("&amp;ROUND(($O140/$J140-1)*100,1)&amp;"%)","Acima do concorrente (+"&amp;ROUND(($O140/$J140-1)*100,1)&amp;"%)"))</f>
        <v/>
      </c>
    </row>
    <row r="141" spans="1:21">
      <c r="A141" s="13"/>
      <c r="B141" s="13"/>
      <c r="C141" s="13"/>
      <c r="D141" s="19"/>
      <c r="E141" s="19"/>
      <c r="F141" s="20"/>
      <c r="G141" s="20"/>
      <c r="H141" s="20"/>
      <c r="I141" s="20"/>
      <c r="J141" s="19"/>
      <c r="K141" s="19"/>
      <c r="L141" s="21">
        <f>IF(OR($B141="",$D141=""),"",$D141+N($E141))</f>
        <v/>
      </c>
      <c r="M141" s="22">
        <f>IF($L141="","",IF($F141="",pImp,$F141)+IF($G141="",pCom,$G141)+IF($H141="",pTax,$H141)+pFixo+IF($I141="",pLucro,$I141))</f>
        <v/>
      </c>
      <c r="N141" s="21">
        <f>IF($L141="","",IF($M141&gt;=1,"Revisar %",$L141/(1-$M141)))</f>
        <v/>
      </c>
      <c r="O141" s="23">
        <f>IF(ISNUMBER($N141),ROUNDUP($N141,0)+IF(ROUNDUP($N141,0)-0.1&gt;=$N141,-0.1,0.9),$N141)</f>
        <v/>
      </c>
      <c r="P141" s="24">
        <f>IF(AND(ISNUMBER($O141),N($L141)&gt;0),$O141/$L141,"")</f>
        <v/>
      </c>
      <c r="Q141" s="21">
        <f>IF(ISNUMBER($N141),$L141/(1-($M141-IF($I141="",pLucro,$I141))),"")</f>
        <v/>
      </c>
      <c r="R141" s="21">
        <f>IF(OR($K141="",NOT(ISNUMBER($N141))),"",$K141*(1-($M141-IF($I141="",pLucro,$I141)))-$L141)</f>
        <v/>
      </c>
      <c r="S141" s="22">
        <f>IF($R141="","",$R141/$K141)</f>
        <v/>
      </c>
      <c r="T141" s="25">
        <f>IF($L141="","",IF(NOT(ISNUMBER($N141)),"Revisar %",IF($K141="","Sem preço atual",IF($R141&lt;0,"PREJUÍZO",IF($K141&lt;$N141,"Abaixo do ideal","OK")))))</f>
        <v/>
      </c>
      <c r="U141" s="25">
        <f>IF(OR($J141="",NOT(ISNUMBER($O141))),"",IF($O141&lt;=$J141,"Competitivo ("&amp;ROUND(($O141/$J141-1)*100,1)&amp;"%)","Acima do concorrente (+"&amp;ROUND(($O141/$J141-1)*100,1)&amp;"%)"))</f>
        <v/>
      </c>
    </row>
    <row r="142" spans="1:21">
      <c r="A142" s="13"/>
      <c r="B142" s="13"/>
      <c r="C142" s="13"/>
      <c r="D142" s="19"/>
      <c r="E142" s="19"/>
      <c r="F142" s="20"/>
      <c r="G142" s="20"/>
      <c r="H142" s="20"/>
      <c r="I142" s="20"/>
      <c r="J142" s="19"/>
      <c r="K142" s="19"/>
      <c r="L142" s="21">
        <f>IF(OR($B142="",$D142=""),"",$D142+N($E142))</f>
        <v/>
      </c>
      <c r="M142" s="22">
        <f>IF($L142="","",IF($F142="",pImp,$F142)+IF($G142="",pCom,$G142)+IF($H142="",pTax,$H142)+pFixo+IF($I142="",pLucro,$I142))</f>
        <v/>
      </c>
      <c r="N142" s="21">
        <f>IF($L142="","",IF($M142&gt;=1,"Revisar %",$L142/(1-$M142)))</f>
        <v/>
      </c>
      <c r="O142" s="23">
        <f>IF(ISNUMBER($N142),ROUNDUP($N142,0)+IF(ROUNDUP($N142,0)-0.1&gt;=$N142,-0.1,0.9),$N142)</f>
        <v/>
      </c>
      <c r="P142" s="24">
        <f>IF(AND(ISNUMBER($O142),N($L142)&gt;0),$O142/$L142,"")</f>
        <v/>
      </c>
      <c r="Q142" s="21">
        <f>IF(ISNUMBER($N142),$L142/(1-($M142-IF($I142="",pLucro,$I142))),"")</f>
        <v/>
      </c>
      <c r="R142" s="21">
        <f>IF(OR($K142="",NOT(ISNUMBER($N142))),"",$K142*(1-($M142-IF($I142="",pLucro,$I142)))-$L142)</f>
        <v/>
      </c>
      <c r="S142" s="22">
        <f>IF($R142="","",$R142/$K142)</f>
        <v/>
      </c>
      <c r="T142" s="25">
        <f>IF($L142="","",IF(NOT(ISNUMBER($N142)),"Revisar %",IF($K142="","Sem preço atual",IF($R142&lt;0,"PREJUÍZO",IF($K142&lt;$N142,"Abaixo do ideal","OK")))))</f>
        <v/>
      </c>
      <c r="U142" s="25">
        <f>IF(OR($J142="",NOT(ISNUMBER($O142))),"",IF($O142&lt;=$J142,"Competitivo ("&amp;ROUND(($O142/$J142-1)*100,1)&amp;"%)","Acima do concorrente (+"&amp;ROUND(($O142/$J142-1)*100,1)&amp;"%)"))</f>
        <v/>
      </c>
    </row>
    <row r="143" spans="1:21">
      <c r="A143" s="13"/>
      <c r="B143" s="13"/>
      <c r="C143" s="13"/>
      <c r="D143" s="19"/>
      <c r="E143" s="19"/>
      <c r="F143" s="20"/>
      <c r="G143" s="20"/>
      <c r="H143" s="20"/>
      <c r="I143" s="20"/>
      <c r="J143" s="19"/>
      <c r="K143" s="19"/>
      <c r="L143" s="21">
        <f>IF(OR($B143="",$D143=""),"",$D143+N($E143))</f>
        <v/>
      </c>
      <c r="M143" s="22">
        <f>IF($L143="","",IF($F143="",pImp,$F143)+IF($G143="",pCom,$G143)+IF($H143="",pTax,$H143)+pFixo+IF($I143="",pLucro,$I143))</f>
        <v/>
      </c>
      <c r="N143" s="21">
        <f>IF($L143="","",IF($M143&gt;=1,"Revisar %",$L143/(1-$M143)))</f>
        <v/>
      </c>
      <c r="O143" s="23">
        <f>IF(ISNUMBER($N143),ROUNDUP($N143,0)+IF(ROUNDUP($N143,0)-0.1&gt;=$N143,-0.1,0.9),$N143)</f>
        <v/>
      </c>
      <c r="P143" s="24">
        <f>IF(AND(ISNUMBER($O143),N($L143)&gt;0),$O143/$L143,"")</f>
        <v/>
      </c>
      <c r="Q143" s="21">
        <f>IF(ISNUMBER($N143),$L143/(1-($M143-IF($I143="",pLucro,$I143))),"")</f>
        <v/>
      </c>
      <c r="R143" s="21">
        <f>IF(OR($K143="",NOT(ISNUMBER($N143))),"",$K143*(1-($M143-IF($I143="",pLucro,$I143)))-$L143)</f>
        <v/>
      </c>
      <c r="S143" s="22">
        <f>IF($R143="","",$R143/$K143)</f>
        <v/>
      </c>
      <c r="T143" s="25">
        <f>IF($L143="","",IF(NOT(ISNUMBER($N143)),"Revisar %",IF($K143="","Sem preço atual",IF($R143&lt;0,"PREJUÍZO",IF($K143&lt;$N143,"Abaixo do ideal","OK")))))</f>
        <v/>
      </c>
      <c r="U143" s="25">
        <f>IF(OR($J143="",NOT(ISNUMBER($O143))),"",IF($O143&lt;=$J143,"Competitivo ("&amp;ROUND(($O143/$J143-1)*100,1)&amp;"%)","Acima do concorrente (+"&amp;ROUND(($O143/$J143-1)*100,1)&amp;"%)"))</f>
        <v/>
      </c>
    </row>
    <row r="144" spans="1:21">
      <c r="A144" s="13"/>
      <c r="B144" s="13"/>
      <c r="C144" s="13"/>
      <c r="D144" s="19"/>
      <c r="E144" s="19"/>
      <c r="F144" s="20"/>
      <c r="G144" s="20"/>
      <c r="H144" s="20"/>
      <c r="I144" s="20"/>
      <c r="J144" s="19"/>
      <c r="K144" s="19"/>
      <c r="L144" s="21">
        <f>IF(OR($B144="",$D144=""),"",$D144+N($E144))</f>
        <v/>
      </c>
      <c r="M144" s="22">
        <f>IF($L144="","",IF($F144="",pImp,$F144)+IF($G144="",pCom,$G144)+IF($H144="",pTax,$H144)+pFixo+IF($I144="",pLucro,$I144))</f>
        <v/>
      </c>
      <c r="N144" s="21">
        <f>IF($L144="","",IF($M144&gt;=1,"Revisar %",$L144/(1-$M144)))</f>
        <v/>
      </c>
      <c r="O144" s="23">
        <f>IF(ISNUMBER($N144),ROUNDUP($N144,0)+IF(ROUNDUP($N144,0)-0.1&gt;=$N144,-0.1,0.9),$N144)</f>
        <v/>
      </c>
      <c r="P144" s="24">
        <f>IF(AND(ISNUMBER($O144),N($L144)&gt;0),$O144/$L144,"")</f>
        <v/>
      </c>
      <c r="Q144" s="21">
        <f>IF(ISNUMBER($N144),$L144/(1-($M144-IF($I144="",pLucro,$I144))),"")</f>
        <v/>
      </c>
      <c r="R144" s="21">
        <f>IF(OR($K144="",NOT(ISNUMBER($N144))),"",$K144*(1-($M144-IF($I144="",pLucro,$I144)))-$L144)</f>
        <v/>
      </c>
      <c r="S144" s="22">
        <f>IF($R144="","",$R144/$K144)</f>
        <v/>
      </c>
      <c r="T144" s="25">
        <f>IF($L144="","",IF(NOT(ISNUMBER($N144)),"Revisar %",IF($K144="","Sem preço atual",IF($R144&lt;0,"PREJUÍZO",IF($K144&lt;$N144,"Abaixo do ideal","OK")))))</f>
        <v/>
      </c>
      <c r="U144" s="25">
        <f>IF(OR($J144="",NOT(ISNUMBER($O144))),"",IF($O144&lt;=$J144,"Competitivo ("&amp;ROUND(($O144/$J144-1)*100,1)&amp;"%)","Acima do concorrente (+"&amp;ROUND(($O144/$J144-1)*100,1)&amp;"%)"))</f>
        <v/>
      </c>
    </row>
    <row r="145" spans="1:21">
      <c r="A145" s="13"/>
      <c r="B145" s="13"/>
      <c r="C145" s="13"/>
      <c r="D145" s="19"/>
      <c r="E145" s="19"/>
      <c r="F145" s="20"/>
      <c r="G145" s="20"/>
      <c r="H145" s="20"/>
      <c r="I145" s="20"/>
      <c r="J145" s="19"/>
      <c r="K145" s="19"/>
      <c r="L145" s="21">
        <f>IF(OR($B145="",$D145=""),"",$D145+N($E145))</f>
        <v/>
      </c>
      <c r="M145" s="22">
        <f>IF($L145="","",IF($F145="",pImp,$F145)+IF($G145="",pCom,$G145)+IF($H145="",pTax,$H145)+pFixo+IF($I145="",pLucro,$I145))</f>
        <v/>
      </c>
      <c r="N145" s="21">
        <f>IF($L145="","",IF($M145&gt;=1,"Revisar %",$L145/(1-$M145)))</f>
        <v/>
      </c>
      <c r="O145" s="23">
        <f>IF(ISNUMBER($N145),ROUNDUP($N145,0)+IF(ROUNDUP($N145,0)-0.1&gt;=$N145,-0.1,0.9),$N145)</f>
        <v/>
      </c>
      <c r="P145" s="24">
        <f>IF(AND(ISNUMBER($O145),N($L145)&gt;0),$O145/$L145,"")</f>
        <v/>
      </c>
      <c r="Q145" s="21">
        <f>IF(ISNUMBER($N145),$L145/(1-($M145-IF($I145="",pLucro,$I145))),"")</f>
        <v/>
      </c>
      <c r="R145" s="21">
        <f>IF(OR($K145="",NOT(ISNUMBER($N145))),"",$K145*(1-($M145-IF($I145="",pLucro,$I145)))-$L145)</f>
        <v/>
      </c>
      <c r="S145" s="22">
        <f>IF($R145="","",$R145/$K145)</f>
        <v/>
      </c>
      <c r="T145" s="25">
        <f>IF($L145="","",IF(NOT(ISNUMBER($N145)),"Revisar %",IF($K145="","Sem preço atual",IF($R145&lt;0,"PREJUÍZO",IF($K145&lt;$N145,"Abaixo do ideal","OK")))))</f>
        <v/>
      </c>
      <c r="U145" s="25">
        <f>IF(OR($J145="",NOT(ISNUMBER($O145))),"",IF($O145&lt;=$J145,"Competitivo ("&amp;ROUND(($O145/$J145-1)*100,1)&amp;"%)","Acima do concorrente (+"&amp;ROUND(($O145/$J145-1)*100,1)&amp;"%)"))</f>
        <v/>
      </c>
    </row>
    <row r="146" spans="1:21">
      <c r="A146" s="13"/>
      <c r="B146" s="13"/>
      <c r="C146" s="13"/>
      <c r="D146" s="19"/>
      <c r="E146" s="19"/>
      <c r="F146" s="20"/>
      <c r="G146" s="20"/>
      <c r="H146" s="20"/>
      <c r="I146" s="20"/>
      <c r="J146" s="19"/>
      <c r="K146" s="19"/>
      <c r="L146" s="21">
        <f>IF(OR($B146="",$D146=""),"",$D146+N($E146))</f>
        <v/>
      </c>
      <c r="M146" s="22">
        <f>IF($L146="","",IF($F146="",pImp,$F146)+IF($G146="",pCom,$G146)+IF($H146="",pTax,$H146)+pFixo+IF($I146="",pLucro,$I146))</f>
        <v/>
      </c>
      <c r="N146" s="21">
        <f>IF($L146="","",IF($M146&gt;=1,"Revisar %",$L146/(1-$M146)))</f>
        <v/>
      </c>
      <c r="O146" s="23">
        <f>IF(ISNUMBER($N146),ROUNDUP($N146,0)+IF(ROUNDUP($N146,0)-0.1&gt;=$N146,-0.1,0.9),$N146)</f>
        <v/>
      </c>
      <c r="P146" s="24">
        <f>IF(AND(ISNUMBER($O146),N($L146)&gt;0),$O146/$L146,"")</f>
        <v/>
      </c>
      <c r="Q146" s="21">
        <f>IF(ISNUMBER($N146),$L146/(1-($M146-IF($I146="",pLucro,$I146))),"")</f>
        <v/>
      </c>
      <c r="R146" s="21">
        <f>IF(OR($K146="",NOT(ISNUMBER($N146))),"",$K146*(1-($M146-IF($I146="",pLucro,$I146)))-$L146)</f>
        <v/>
      </c>
      <c r="S146" s="22">
        <f>IF($R146="","",$R146/$K146)</f>
        <v/>
      </c>
      <c r="T146" s="25">
        <f>IF($L146="","",IF(NOT(ISNUMBER($N146)),"Revisar %",IF($K146="","Sem preço atual",IF($R146&lt;0,"PREJUÍZO",IF($K146&lt;$N146,"Abaixo do ideal","OK")))))</f>
        <v/>
      </c>
      <c r="U146" s="25">
        <f>IF(OR($J146="",NOT(ISNUMBER($O146))),"",IF($O146&lt;=$J146,"Competitivo ("&amp;ROUND(($O146/$J146-1)*100,1)&amp;"%)","Acima do concorrente (+"&amp;ROUND(($O146/$J146-1)*100,1)&amp;"%)"))</f>
        <v/>
      </c>
    </row>
    <row r="147" spans="1:21">
      <c r="A147" s="13"/>
      <c r="B147" s="13"/>
      <c r="C147" s="13"/>
      <c r="D147" s="19"/>
      <c r="E147" s="19"/>
      <c r="F147" s="20"/>
      <c r="G147" s="20"/>
      <c r="H147" s="20"/>
      <c r="I147" s="20"/>
      <c r="J147" s="19"/>
      <c r="K147" s="19"/>
      <c r="L147" s="21">
        <f>IF(OR($B147="",$D147=""),"",$D147+N($E147))</f>
        <v/>
      </c>
      <c r="M147" s="22">
        <f>IF($L147="","",IF($F147="",pImp,$F147)+IF($G147="",pCom,$G147)+IF($H147="",pTax,$H147)+pFixo+IF($I147="",pLucro,$I147))</f>
        <v/>
      </c>
      <c r="N147" s="21">
        <f>IF($L147="","",IF($M147&gt;=1,"Revisar %",$L147/(1-$M147)))</f>
        <v/>
      </c>
      <c r="O147" s="23">
        <f>IF(ISNUMBER($N147),ROUNDUP($N147,0)+IF(ROUNDUP($N147,0)-0.1&gt;=$N147,-0.1,0.9),$N147)</f>
        <v/>
      </c>
      <c r="P147" s="24">
        <f>IF(AND(ISNUMBER($O147),N($L147)&gt;0),$O147/$L147,"")</f>
        <v/>
      </c>
      <c r="Q147" s="21">
        <f>IF(ISNUMBER($N147),$L147/(1-($M147-IF($I147="",pLucro,$I147))),"")</f>
        <v/>
      </c>
      <c r="R147" s="21">
        <f>IF(OR($K147="",NOT(ISNUMBER($N147))),"",$K147*(1-($M147-IF($I147="",pLucro,$I147)))-$L147)</f>
        <v/>
      </c>
      <c r="S147" s="22">
        <f>IF($R147="","",$R147/$K147)</f>
        <v/>
      </c>
      <c r="T147" s="25">
        <f>IF($L147="","",IF(NOT(ISNUMBER($N147)),"Revisar %",IF($K147="","Sem preço atual",IF($R147&lt;0,"PREJUÍZO",IF($K147&lt;$N147,"Abaixo do ideal","OK")))))</f>
        <v/>
      </c>
      <c r="U147" s="25">
        <f>IF(OR($J147="",NOT(ISNUMBER($O147))),"",IF($O147&lt;=$J147,"Competitivo ("&amp;ROUND(($O147/$J147-1)*100,1)&amp;"%)","Acima do concorrente (+"&amp;ROUND(($O147/$J147-1)*100,1)&amp;"%)"))</f>
        <v/>
      </c>
    </row>
    <row r="148" spans="1:21">
      <c r="A148" s="13"/>
      <c r="B148" s="13"/>
      <c r="C148" s="13"/>
      <c r="D148" s="19"/>
      <c r="E148" s="19"/>
      <c r="F148" s="20"/>
      <c r="G148" s="20"/>
      <c r="H148" s="20"/>
      <c r="I148" s="20"/>
      <c r="J148" s="19"/>
      <c r="K148" s="19"/>
      <c r="L148" s="21">
        <f>IF(OR($B148="",$D148=""),"",$D148+N($E148))</f>
        <v/>
      </c>
      <c r="M148" s="22">
        <f>IF($L148="","",IF($F148="",pImp,$F148)+IF($G148="",pCom,$G148)+IF($H148="",pTax,$H148)+pFixo+IF($I148="",pLucro,$I148))</f>
        <v/>
      </c>
      <c r="N148" s="21">
        <f>IF($L148="","",IF($M148&gt;=1,"Revisar %",$L148/(1-$M148)))</f>
        <v/>
      </c>
      <c r="O148" s="23">
        <f>IF(ISNUMBER($N148),ROUNDUP($N148,0)+IF(ROUNDUP($N148,0)-0.1&gt;=$N148,-0.1,0.9),$N148)</f>
        <v/>
      </c>
      <c r="P148" s="24">
        <f>IF(AND(ISNUMBER($O148),N($L148)&gt;0),$O148/$L148,"")</f>
        <v/>
      </c>
      <c r="Q148" s="21">
        <f>IF(ISNUMBER($N148),$L148/(1-($M148-IF($I148="",pLucro,$I148))),"")</f>
        <v/>
      </c>
      <c r="R148" s="21">
        <f>IF(OR($K148="",NOT(ISNUMBER($N148))),"",$K148*(1-($M148-IF($I148="",pLucro,$I148)))-$L148)</f>
        <v/>
      </c>
      <c r="S148" s="22">
        <f>IF($R148="","",$R148/$K148)</f>
        <v/>
      </c>
      <c r="T148" s="25">
        <f>IF($L148="","",IF(NOT(ISNUMBER($N148)),"Revisar %",IF($K148="","Sem preço atual",IF($R148&lt;0,"PREJUÍZO",IF($K148&lt;$N148,"Abaixo do ideal","OK")))))</f>
        <v/>
      </c>
      <c r="U148" s="25">
        <f>IF(OR($J148="",NOT(ISNUMBER($O148))),"",IF($O148&lt;=$J148,"Competitivo ("&amp;ROUND(($O148/$J148-1)*100,1)&amp;"%)","Acima do concorrente (+"&amp;ROUND(($O148/$J148-1)*100,1)&amp;"%)"))</f>
        <v/>
      </c>
    </row>
    <row r="149" spans="1:21">
      <c r="A149" s="13"/>
      <c r="B149" s="13"/>
      <c r="C149" s="13"/>
      <c r="D149" s="19"/>
      <c r="E149" s="19"/>
      <c r="F149" s="20"/>
      <c r="G149" s="20"/>
      <c r="H149" s="20"/>
      <c r="I149" s="20"/>
      <c r="J149" s="19"/>
      <c r="K149" s="19"/>
      <c r="L149" s="21">
        <f>IF(OR($B149="",$D149=""),"",$D149+N($E149))</f>
        <v/>
      </c>
      <c r="M149" s="22">
        <f>IF($L149="","",IF($F149="",pImp,$F149)+IF($G149="",pCom,$G149)+IF($H149="",pTax,$H149)+pFixo+IF($I149="",pLucro,$I149))</f>
        <v/>
      </c>
      <c r="N149" s="21">
        <f>IF($L149="","",IF($M149&gt;=1,"Revisar %",$L149/(1-$M149)))</f>
        <v/>
      </c>
      <c r="O149" s="23">
        <f>IF(ISNUMBER($N149),ROUNDUP($N149,0)+IF(ROUNDUP($N149,0)-0.1&gt;=$N149,-0.1,0.9),$N149)</f>
        <v/>
      </c>
      <c r="P149" s="24">
        <f>IF(AND(ISNUMBER($O149),N($L149)&gt;0),$O149/$L149,"")</f>
        <v/>
      </c>
      <c r="Q149" s="21">
        <f>IF(ISNUMBER($N149),$L149/(1-($M149-IF($I149="",pLucro,$I149))),"")</f>
        <v/>
      </c>
      <c r="R149" s="21">
        <f>IF(OR($K149="",NOT(ISNUMBER($N149))),"",$K149*(1-($M149-IF($I149="",pLucro,$I149)))-$L149)</f>
        <v/>
      </c>
      <c r="S149" s="22">
        <f>IF($R149="","",$R149/$K149)</f>
        <v/>
      </c>
      <c r="T149" s="25">
        <f>IF($L149="","",IF(NOT(ISNUMBER($N149)),"Revisar %",IF($K149="","Sem preço atual",IF($R149&lt;0,"PREJUÍZO",IF($K149&lt;$N149,"Abaixo do ideal","OK")))))</f>
        <v/>
      </c>
      <c r="U149" s="25">
        <f>IF(OR($J149="",NOT(ISNUMBER($O149))),"",IF($O149&lt;=$J149,"Competitivo ("&amp;ROUND(($O149/$J149-1)*100,1)&amp;"%)","Acima do concorrente (+"&amp;ROUND(($O149/$J149-1)*100,1)&amp;"%)"))</f>
        <v/>
      </c>
    </row>
    <row r="150" spans="1:21">
      <c r="A150" s="13"/>
      <c r="B150" s="13"/>
      <c r="C150" s="13"/>
      <c r="D150" s="19"/>
      <c r="E150" s="19"/>
      <c r="F150" s="20"/>
      <c r="G150" s="20"/>
      <c r="H150" s="20"/>
      <c r="I150" s="20"/>
      <c r="J150" s="19"/>
      <c r="K150" s="19"/>
      <c r="L150" s="21">
        <f>IF(OR($B150="",$D150=""),"",$D150+N($E150))</f>
        <v/>
      </c>
      <c r="M150" s="22">
        <f>IF($L150="","",IF($F150="",pImp,$F150)+IF($G150="",pCom,$G150)+IF($H150="",pTax,$H150)+pFixo+IF($I150="",pLucro,$I150))</f>
        <v/>
      </c>
      <c r="N150" s="21">
        <f>IF($L150="","",IF($M150&gt;=1,"Revisar %",$L150/(1-$M150)))</f>
        <v/>
      </c>
      <c r="O150" s="23">
        <f>IF(ISNUMBER($N150),ROUNDUP($N150,0)+IF(ROUNDUP($N150,0)-0.1&gt;=$N150,-0.1,0.9),$N150)</f>
        <v/>
      </c>
      <c r="P150" s="24">
        <f>IF(AND(ISNUMBER($O150),N($L150)&gt;0),$O150/$L150,"")</f>
        <v/>
      </c>
      <c r="Q150" s="21">
        <f>IF(ISNUMBER($N150),$L150/(1-($M150-IF($I150="",pLucro,$I150))),"")</f>
        <v/>
      </c>
      <c r="R150" s="21">
        <f>IF(OR($K150="",NOT(ISNUMBER($N150))),"",$K150*(1-($M150-IF($I150="",pLucro,$I150)))-$L150)</f>
        <v/>
      </c>
      <c r="S150" s="22">
        <f>IF($R150="","",$R150/$K150)</f>
        <v/>
      </c>
      <c r="T150" s="25">
        <f>IF($L150="","",IF(NOT(ISNUMBER($N150)),"Revisar %",IF($K150="","Sem preço atual",IF($R150&lt;0,"PREJUÍZO",IF($K150&lt;$N150,"Abaixo do ideal","OK")))))</f>
        <v/>
      </c>
      <c r="U150" s="25">
        <f>IF(OR($J150="",NOT(ISNUMBER($O150))),"",IF($O150&lt;=$J150,"Competitivo ("&amp;ROUND(($O150/$J150-1)*100,1)&amp;"%)","Acima do concorrente (+"&amp;ROUND(($O150/$J150-1)*100,1)&amp;"%)"))</f>
        <v/>
      </c>
    </row>
    <row r="151" spans="1:21">
      <c r="A151" s="13"/>
      <c r="B151" s="13"/>
      <c r="C151" s="13"/>
      <c r="D151" s="19"/>
      <c r="E151" s="19"/>
      <c r="F151" s="20"/>
      <c r="G151" s="20"/>
      <c r="H151" s="20"/>
      <c r="I151" s="20"/>
      <c r="J151" s="19"/>
      <c r="K151" s="19"/>
      <c r="L151" s="21">
        <f>IF(OR($B151="",$D151=""),"",$D151+N($E151))</f>
        <v/>
      </c>
      <c r="M151" s="22">
        <f>IF($L151="","",IF($F151="",pImp,$F151)+IF($G151="",pCom,$G151)+IF($H151="",pTax,$H151)+pFixo+IF($I151="",pLucro,$I151))</f>
        <v/>
      </c>
      <c r="N151" s="21">
        <f>IF($L151="","",IF($M151&gt;=1,"Revisar %",$L151/(1-$M151)))</f>
        <v/>
      </c>
      <c r="O151" s="23">
        <f>IF(ISNUMBER($N151),ROUNDUP($N151,0)+IF(ROUNDUP($N151,0)-0.1&gt;=$N151,-0.1,0.9),$N151)</f>
        <v/>
      </c>
      <c r="P151" s="24">
        <f>IF(AND(ISNUMBER($O151),N($L151)&gt;0),$O151/$L151,"")</f>
        <v/>
      </c>
      <c r="Q151" s="21">
        <f>IF(ISNUMBER($N151),$L151/(1-($M151-IF($I151="",pLucro,$I151))),"")</f>
        <v/>
      </c>
      <c r="R151" s="21">
        <f>IF(OR($K151="",NOT(ISNUMBER($N151))),"",$K151*(1-($M151-IF($I151="",pLucro,$I151)))-$L151)</f>
        <v/>
      </c>
      <c r="S151" s="22">
        <f>IF($R151="","",$R151/$K151)</f>
        <v/>
      </c>
      <c r="T151" s="25">
        <f>IF($L151="","",IF(NOT(ISNUMBER($N151)),"Revisar %",IF($K151="","Sem preço atual",IF($R151&lt;0,"PREJUÍZO",IF($K151&lt;$N151,"Abaixo do ideal","OK")))))</f>
        <v/>
      </c>
      <c r="U151" s="25">
        <f>IF(OR($J151="",NOT(ISNUMBER($O151))),"",IF($O151&lt;=$J151,"Competitivo ("&amp;ROUND(($O151/$J151-1)*100,1)&amp;"%)","Acima do concorrente (+"&amp;ROUND(($O151/$J151-1)*100,1)&amp;"%)"))</f>
        <v/>
      </c>
    </row>
    <row r="152" spans="1:21">
      <c r="A152" s="13"/>
      <c r="B152" s="13"/>
      <c r="C152" s="13"/>
      <c r="D152" s="19"/>
      <c r="E152" s="19"/>
      <c r="F152" s="20"/>
      <c r="G152" s="20"/>
      <c r="H152" s="20"/>
      <c r="I152" s="20"/>
      <c r="J152" s="19"/>
      <c r="K152" s="19"/>
      <c r="L152" s="21">
        <f>IF(OR($B152="",$D152=""),"",$D152+N($E152))</f>
        <v/>
      </c>
      <c r="M152" s="22">
        <f>IF($L152="","",IF($F152="",pImp,$F152)+IF($G152="",pCom,$G152)+IF($H152="",pTax,$H152)+pFixo+IF($I152="",pLucro,$I152))</f>
        <v/>
      </c>
      <c r="N152" s="21">
        <f>IF($L152="","",IF($M152&gt;=1,"Revisar %",$L152/(1-$M152)))</f>
        <v/>
      </c>
      <c r="O152" s="23">
        <f>IF(ISNUMBER($N152),ROUNDUP($N152,0)+IF(ROUNDUP($N152,0)-0.1&gt;=$N152,-0.1,0.9),$N152)</f>
        <v/>
      </c>
      <c r="P152" s="24">
        <f>IF(AND(ISNUMBER($O152),N($L152)&gt;0),$O152/$L152,"")</f>
        <v/>
      </c>
      <c r="Q152" s="21">
        <f>IF(ISNUMBER($N152),$L152/(1-($M152-IF($I152="",pLucro,$I152))),"")</f>
        <v/>
      </c>
      <c r="R152" s="21">
        <f>IF(OR($K152="",NOT(ISNUMBER($N152))),"",$K152*(1-($M152-IF($I152="",pLucro,$I152)))-$L152)</f>
        <v/>
      </c>
      <c r="S152" s="22">
        <f>IF($R152="","",$R152/$K152)</f>
        <v/>
      </c>
      <c r="T152" s="25">
        <f>IF($L152="","",IF(NOT(ISNUMBER($N152)),"Revisar %",IF($K152="","Sem preço atual",IF($R152&lt;0,"PREJUÍZO",IF($K152&lt;$N152,"Abaixo do ideal","OK")))))</f>
        <v/>
      </c>
      <c r="U152" s="25">
        <f>IF(OR($J152="",NOT(ISNUMBER($O152))),"",IF($O152&lt;=$J152,"Competitivo ("&amp;ROUND(($O152/$J152-1)*100,1)&amp;"%)","Acima do concorrente (+"&amp;ROUND(($O152/$J152-1)*100,1)&amp;"%)"))</f>
        <v/>
      </c>
    </row>
    <row r="153" spans="1:21">
      <c r="A153" s="13"/>
      <c r="B153" s="13"/>
      <c r="C153" s="13"/>
      <c r="D153" s="19"/>
      <c r="E153" s="19"/>
      <c r="F153" s="20"/>
      <c r="G153" s="20"/>
      <c r="H153" s="20"/>
      <c r="I153" s="20"/>
      <c r="J153" s="19"/>
      <c r="K153" s="19"/>
      <c r="L153" s="21">
        <f>IF(OR($B153="",$D153=""),"",$D153+N($E153))</f>
        <v/>
      </c>
      <c r="M153" s="22">
        <f>IF($L153="","",IF($F153="",pImp,$F153)+IF($G153="",pCom,$G153)+IF($H153="",pTax,$H153)+pFixo+IF($I153="",pLucro,$I153))</f>
        <v/>
      </c>
      <c r="N153" s="21">
        <f>IF($L153="","",IF($M153&gt;=1,"Revisar %",$L153/(1-$M153)))</f>
        <v/>
      </c>
      <c r="O153" s="23">
        <f>IF(ISNUMBER($N153),ROUNDUP($N153,0)+IF(ROUNDUP($N153,0)-0.1&gt;=$N153,-0.1,0.9),$N153)</f>
        <v/>
      </c>
      <c r="P153" s="24">
        <f>IF(AND(ISNUMBER($O153),N($L153)&gt;0),$O153/$L153,"")</f>
        <v/>
      </c>
      <c r="Q153" s="21">
        <f>IF(ISNUMBER($N153),$L153/(1-($M153-IF($I153="",pLucro,$I153))),"")</f>
        <v/>
      </c>
      <c r="R153" s="21">
        <f>IF(OR($K153="",NOT(ISNUMBER($N153))),"",$K153*(1-($M153-IF($I153="",pLucro,$I153)))-$L153)</f>
        <v/>
      </c>
      <c r="S153" s="22">
        <f>IF($R153="","",$R153/$K153)</f>
        <v/>
      </c>
      <c r="T153" s="25">
        <f>IF($L153="","",IF(NOT(ISNUMBER($N153)),"Revisar %",IF($K153="","Sem preço atual",IF($R153&lt;0,"PREJUÍZO",IF($K153&lt;$N153,"Abaixo do ideal","OK")))))</f>
        <v/>
      </c>
      <c r="U153" s="25">
        <f>IF(OR($J153="",NOT(ISNUMBER($O153))),"",IF($O153&lt;=$J153,"Competitivo ("&amp;ROUND(($O153/$J153-1)*100,1)&amp;"%)","Acima do concorrente (+"&amp;ROUND(($O153/$J153-1)*100,1)&amp;"%)"))</f>
        <v/>
      </c>
    </row>
    <row r="154" spans="1:21">
      <c r="A154" s="13"/>
      <c r="B154" s="13"/>
      <c r="C154" s="13"/>
      <c r="D154" s="19"/>
      <c r="E154" s="19"/>
      <c r="F154" s="20"/>
      <c r="G154" s="20"/>
      <c r="H154" s="20"/>
      <c r="I154" s="20"/>
      <c r="J154" s="19"/>
      <c r="K154" s="19"/>
      <c r="L154" s="21">
        <f>IF(OR($B154="",$D154=""),"",$D154+N($E154))</f>
        <v/>
      </c>
      <c r="M154" s="22">
        <f>IF($L154="","",IF($F154="",pImp,$F154)+IF($G154="",pCom,$G154)+IF($H154="",pTax,$H154)+pFixo+IF($I154="",pLucro,$I154))</f>
        <v/>
      </c>
      <c r="N154" s="21">
        <f>IF($L154="","",IF($M154&gt;=1,"Revisar %",$L154/(1-$M154)))</f>
        <v/>
      </c>
      <c r="O154" s="23">
        <f>IF(ISNUMBER($N154),ROUNDUP($N154,0)+IF(ROUNDUP($N154,0)-0.1&gt;=$N154,-0.1,0.9),$N154)</f>
        <v/>
      </c>
      <c r="P154" s="24">
        <f>IF(AND(ISNUMBER($O154),N($L154)&gt;0),$O154/$L154,"")</f>
        <v/>
      </c>
      <c r="Q154" s="21">
        <f>IF(ISNUMBER($N154),$L154/(1-($M154-IF($I154="",pLucro,$I154))),"")</f>
        <v/>
      </c>
      <c r="R154" s="21">
        <f>IF(OR($K154="",NOT(ISNUMBER($N154))),"",$K154*(1-($M154-IF($I154="",pLucro,$I154)))-$L154)</f>
        <v/>
      </c>
      <c r="S154" s="22">
        <f>IF($R154="","",$R154/$K154)</f>
        <v/>
      </c>
      <c r="T154" s="25">
        <f>IF($L154="","",IF(NOT(ISNUMBER($N154)),"Revisar %",IF($K154="","Sem preço atual",IF($R154&lt;0,"PREJUÍZO",IF($K154&lt;$N154,"Abaixo do ideal","OK")))))</f>
        <v/>
      </c>
      <c r="U154" s="25">
        <f>IF(OR($J154="",NOT(ISNUMBER($O154))),"",IF($O154&lt;=$J154,"Competitivo ("&amp;ROUND(($O154/$J154-1)*100,1)&amp;"%)","Acima do concorrente (+"&amp;ROUND(($O154/$J154-1)*100,1)&amp;"%)"))</f>
        <v/>
      </c>
    </row>
    <row r="155" spans="1:21">
      <c r="A155" s="13"/>
      <c r="B155" s="13"/>
      <c r="C155" s="13"/>
      <c r="D155" s="19"/>
      <c r="E155" s="19"/>
      <c r="F155" s="20"/>
      <c r="G155" s="20"/>
      <c r="H155" s="20"/>
      <c r="I155" s="20"/>
      <c r="J155" s="19"/>
      <c r="K155" s="19"/>
      <c r="L155" s="21">
        <f>IF(OR($B155="",$D155=""),"",$D155+N($E155))</f>
        <v/>
      </c>
      <c r="M155" s="22">
        <f>IF($L155="","",IF($F155="",pImp,$F155)+IF($G155="",pCom,$G155)+IF($H155="",pTax,$H155)+pFixo+IF($I155="",pLucro,$I155))</f>
        <v/>
      </c>
      <c r="N155" s="21">
        <f>IF($L155="","",IF($M155&gt;=1,"Revisar %",$L155/(1-$M155)))</f>
        <v/>
      </c>
      <c r="O155" s="23">
        <f>IF(ISNUMBER($N155),ROUNDUP($N155,0)+IF(ROUNDUP($N155,0)-0.1&gt;=$N155,-0.1,0.9),$N155)</f>
        <v/>
      </c>
      <c r="P155" s="24">
        <f>IF(AND(ISNUMBER($O155),N($L155)&gt;0),$O155/$L155,"")</f>
        <v/>
      </c>
      <c r="Q155" s="21">
        <f>IF(ISNUMBER($N155),$L155/(1-($M155-IF($I155="",pLucro,$I155))),"")</f>
        <v/>
      </c>
      <c r="R155" s="21">
        <f>IF(OR($K155="",NOT(ISNUMBER($N155))),"",$K155*(1-($M155-IF($I155="",pLucro,$I155)))-$L155)</f>
        <v/>
      </c>
      <c r="S155" s="22">
        <f>IF($R155="","",$R155/$K155)</f>
        <v/>
      </c>
      <c r="T155" s="25">
        <f>IF($L155="","",IF(NOT(ISNUMBER($N155)),"Revisar %",IF($K155="","Sem preço atual",IF($R155&lt;0,"PREJUÍZO",IF($K155&lt;$N155,"Abaixo do ideal","OK")))))</f>
        <v/>
      </c>
      <c r="U155" s="25">
        <f>IF(OR($J155="",NOT(ISNUMBER($O155))),"",IF($O155&lt;=$J155,"Competitivo ("&amp;ROUND(($O155/$J155-1)*100,1)&amp;"%)","Acima do concorrente (+"&amp;ROUND(($O155/$J155-1)*100,1)&amp;"%)"))</f>
        <v/>
      </c>
    </row>
    <row r="156" spans="1:21">
      <c r="A156" s="13"/>
      <c r="B156" s="13"/>
      <c r="C156" s="13"/>
      <c r="D156" s="19"/>
      <c r="E156" s="19"/>
      <c r="F156" s="20"/>
      <c r="G156" s="20"/>
      <c r="H156" s="20"/>
      <c r="I156" s="20"/>
      <c r="J156" s="19"/>
      <c r="K156" s="19"/>
      <c r="L156" s="21">
        <f>IF(OR($B156="",$D156=""),"",$D156+N($E156))</f>
        <v/>
      </c>
      <c r="M156" s="22">
        <f>IF($L156="","",IF($F156="",pImp,$F156)+IF($G156="",pCom,$G156)+IF($H156="",pTax,$H156)+pFixo+IF($I156="",pLucro,$I156))</f>
        <v/>
      </c>
      <c r="N156" s="21">
        <f>IF($L156="","",IF($M156&gt;=1,"Revisar %",$L156/(1-$M156)))</f>
        <v/>
      </c>
      <c r="O156" s="23">
        <f>IF(ISNUMBER($N156),ROUNDUP($N156,0)+IF(ROUNDUP($N156,0)-0.1&gt;=$N156,-0.1,0.9),$N156)</f>
        <v/>
      </c>
      <c r="P156" s="24">
        <f>IF(AND(ISNUMBER($O156),N($L156)&gt;0),$O156/$L156,"")</f>
        <v/>
      </c>
      <c r="Q156" s="21">
        <f>IF(ISNUMBER($N156),$L156/(1-($M156-IF($I156="",pLucro,$I156))),"")</f>
        <v/>
      </c>
      <c r="R156" s="21">
        <f>IF(OR($K156="",NOT(ISNUMBER($N156))),"",$K156*(1-($M156-IF($I156="",pLucro,$I156)))-$L156)</f>
        <v/>
      </c>
      <c r="S156" s="22">
        <f>IF($R156="","",$R156/$K156)</f>
        <v/>
      </c>
      <c r="T156" s="25">
        <f>IF($L156="","",IF(NOT(ISNUMBER($N156)),"Revisar %",IF($K156="","Sem preço atual",IF($R156&lt;0,"PREJUÍZO",IF($K156&lt;$N156,"Abaixo do ideal","OK")))))</f>
        <v/>
      </c>
      <c r="U156" s="25">
        <f>IF(OR($J156="",NOT(ISNUMBER($O156))),"",IF($O156&lt;=$J156,"Competitivo ("&amp;ROUND(($O156/$J156-1)*100,1)&amp;"%)","Acima do concorrente (+"&amp;ROUND(($O156/$J156-1)*100,1)&amp;"%)"))</f>
        <v/>
      </c>
    </row>
    <row r="157" spans="1:21">
      <c r="A157" s="13"/>
      <c r="B157" s="13"/>
      <c r="C157" s="13"/>
      <c r="D157" s="19"/>
      <c r="E157" s="19"/>
      <c r="F157" s="20"/>
      <c r="G157" s="20"/>
      <c r="H157" s="20"/>
      <c r="I157" s="20"/>
      <c r="J157" s="19"/>
      <c r="K157" s="19"/>
      <c r="L157" s="21">
        <f>IF(OR($B157="",$D157=""),"",$D157+N($E157))</f>
        <v/>
      </c>
      <c r="M157" s="22">
        <f>IF($L157="","",IF($F157="",pImp,$F157)+IF($G157="",pCom,$G157)+IF($H157="",pTax,$H157)+pFixo+IF($I157="",pLucro,$I157))</f>
        <v/>
      </c>
      <c r="N157" s="21">
        <f>IF($L157="","",IF($M157&gt;=1,"Revisar %",$L157/(1-$M157)))</f>
        <v/>
      </c>
      <c r="O157" s="23">
        <f>IF(ISNUMBER($N157),ROUNDUP($N157,0)+IF(ROUNDUP($N157,0)-0.1&gt;=$N157,-0.1,0.9),$N157)</f>
        <v/>
      </c>
      <c r="P157" s="24">
        <f>IF(AND(ISNUMBER($O157),N($L157)&gt;0),$O157/$L157,"")</f>
        <v/>
      </c>
      <c r="Q157" s="21">
        <f>IF(ISNUMBER($N157),$L157/(1-($M157-IF($I157="",pLucro,$I157))),"")</f>
        <v/>
      </c>
      <c r="R157" s="21">
        <f>IF(OR($K157="",NOT(ISNUMBER($N157))),"",$K157*(1-($M157-IF($I157="",pLucro,$I157)))-$L157)</f>
        <v/>
      </c>
      <c r="S157" s="22">
        <f>IF($R157="","",$R157/$K157)</f>
        <v/>
      </c>
      <c r="T157" s="25">
        <f>IF($L157="","",IF(NOT(ISNUMBER($N157)),"Revisar %",IF($K157="","Sem preço atual",IF($R157&lt;0,"PREJUÍZO",IF($K157&lt;$N157,"Abaixo do ideal","OK")))))</f>
        <v/>
      </c>
      <c r="U157" s="25">
        <f>IF(OR($J157="",NOT(ISNUMBER($O157))),"",IF($O157&lt;=$J157,"Competitivo ("&amp;ROUND(($O157/$J157-1)*100,1)&amp;"%)","Acima do concorrente (+"&amp;ROUND(($O157/$J157-1)*100,1)&amp;"%)"))</f>
        <v/>
      </c>
    </row>
    <row r="158" spans="1:21">
      <c r="A158" s="13"/>
      <c r="B158" s="13"/>
      <c r="C158" s="13"/>
      <c r="D158" s="19"/>
      <c r="E158" s="19"/>
      <c r="F158" s="20"/>
      <c r="G158" s="20"/>
      <c r="H158" s="20"/>
      <c r="I158" s="20"/>
      <c r="J158" s="19"/>
      <c r="K158" s="19"/>
      <c r="L158" s="21">
        <f>IF(OR($B158="",$D158=""),"",$D158+N($E158))</f>
        <v/>
      </c>
      <c r="M158" s="22">
        <f>IF($L158="","",IF($F158="",pImp,$F158)+IF($G158="",pCom,$G158)+IF($H158="",pTax,$H158)+pFixo+IF($I158="",pLucro,$I158))</f>
        <v/>
      </c>
      <c r="N158" s="21">
        <f>IF($L158="","",IF($M158&gt;=1,"Revisar %",$L158/(1-$M158)))</f>
        <v/>
      </c>
      <c r="O158" s="23">
        <f>IF(ISNUMBER($N158),ROUNDUP($N158,0)+IF(ROUNDUP($N158,0)-0.1&gt;=$N158,-0.1,0.9),$N158)</f>
        <v/>
      </c>
      <c r="P158" s="24">
        <f>IF(AND(ISNUMBER($O158),N($L158)&gt;0),$O158/$L158,"")</f>
        <v/>
      </c>
      <c r="Q158" s="21">
        <f>IF(ISNUMBER($N158),$L158/(1-($M158-IF($I158="",pLucro,$I158))),"")</f>
        <v/>
      </c>
      <c r="R158" s="21">
        <f>IF(OR($K158="",NOT(ISNUMBER($N158))),"",$K158*(1-($M158-IF($I158="",pLucro,$I158)))-$L158)</f>
        <v/>
      </c>
      <c r="S158" s="22">
        <f>IF($R158="","",$R158/$K158)</f>
        <v/>
      </c>
      <c r="T158" s="25">
        <f>IF($L158="","",IF(NOT(ISNUMBER($N158)),"Revisar %",IF($K158="","Sem preço atual",IF($R158&lt;0,"PREJUÍZO",IF($K158&lt;$N158,"Abaixo do ideal","OK")))))</f>
        <v/>
      </c>
      <c r="U158" s="25">
        <f>IF(OR($J158="",NOT(ISNUMBER($O158))),"",IF($O158&lt;=$J158,"Competitivo ("&amp;ROUND(($O158/$J158-1)*100,1)&amp;"%)","Acima do concorrente (+"&amp;ROUND(($O158/$J158-1)*100,1)&amp;"%)"))</f>
        <v/>
      </c>
    </row>
    <row r="159" spans="1:21">
      <c r="A159" s="13"/>
      <c r="B159" s="13"/>
      <c r="C159" s="13"/>
      <c r="D159" s="19"/>
      <c r="E159" s="19"/>
      <c r="F159" s="20"/>
      <c r="G159" s="20"/>
      <c r="H159" s="20"/>
      <c r="I159" s="20"/>
      <c r="J159" s="19"/>
      <c r="K159" s="19"/>
      <c r="L159" s="21">
        <f>IF(OR($B159="",$D159=""),"",$D159+N($E159))</f>
        <v/>
      </c>
      <c r="M159" s="22">
        <f>IF($L159="","",IF($F159="",pImp,$F159)+IF($G159="",pCom,$G159)+IF($H159="",pTax,$H159)+pFixo+IF($I159="",pLucro,$I159))</f>
        <v/>
      </c>
      <c r="N159" s="21">
        <f>IF($L159="","",IF($M159&gt;=1,"Revisar %",$L159/(1-$M159)))</f>
        <v/>
      </c>
      <c r="O159" s="23">
        <f>IF(ISNUMBER($N159),ROUNDUP($N159,0)+IF(ROUNDUP($N159,0)-0.1&gt;=$N159,-0.1,0.9),$N159)</f>
        <v/>
      </c>
      <c r="P159" s="24">
        <f>IF(AND(ISNUMBER($O159),N($L159)&gt;0),$O159/$L159,"")</f>
        <v/>
      </c>
      <c r="Q159" s="21">
        <f>IF(ISNUMBER($N159),$L159/(1-($M159-IF($I159="",pLucro,$I159))),"")</f>
        <v/>
      </c>
      <c r="R159" s="21">
        <f>IF(OR($K159="",NOT(ISNUMBER($N159))),"",$K159*(1-($M159-IF($I159="",pLucro,$I159)))-$L159)</f>
        <v/>
      </c>
      <c r="S159" s="22">
        <f>IF($R159="","",$R159/$K159)</f>
        <v/>
      </c>
      <c r="T159" s="25">
        <f>IF($L159="","",IF(NOT(ISNUMBER($N159)),"Revisar %",IF($K159="","Sem preço atual",IF($R159&lt;0,"PREJUÍZO",IF($K159&lt;$N159,"Abaixo do ideal","OK")))))</f>
        <v/>
      </c>
      <c r="U159" s="25">
        <f>IF(OR($J159="",NOT(ISNUMBER($O159))),"",IF($O159&lt;=$J159,"Competitivo ("&amp;ROUND(($O159/$J159-1)*100,1)&amp;"%)","Acima do concorrente (+"&amp;ROUND(($O159/$J159-1)*100,1)&amp;"%)"))</f>
        <v/>
      </c>
    </row>
    <row r="160" spans="1:21">
      <c r="A160" s="13"/>
      <c r="B160" s="13"/>
      <c r="C160" s="13"/>
      <c r="D160" s="19"/>
      <c r="E160" s="19"/>
      <c r="F160" s="20"/>
      <c r="G160" s="20"/>
      <c r="H160" s="20"/>
      <c r="I160" s="20"/>
      <c r="J160" s="19"/>
      <c r="K160" s="19"/>
      <c r="L160" s="21">
        <f>IF(OR($B160="",$D160=""),"",$D160+N($E160))</f>
        <v/>
      </c>
      <c r="M160" s="22">
        <f>IF($L160="","",IF($F160="",pImp,$F160)+IF($G160="",pCom,$G160)+IF($H160="",pTax,$H160)+pFixo+IF($I160="",pLucro,$I160))</f>
        <v/>
      </c>
      <c r="N160" s="21">
        <f>IF($L160="","",IF($M160&gt;=1,"Revisar %",$L160/(1-$M160)))</f>
        <v/>
      </c>
      <c r="O160" s="23">
        <f>IF(ISNUMBER($N160),ROUNDUP($N160,0)+IF(ROUNDUP($N160,0)-0.1&gt;=$N160,-0.1,0.9),$N160)</f>
        <v/>
      </c>
      <c r="P160" s="24">
        <f>IF(AND(ISNUMBER($O160),N($L160)&gt;0),$O160/$L160,"")</f>
        <v/>
      </c>
      <c r="Q160" s="21">
        <f>IF(ISNUMBER($N160),$L160/(1-($M160-IF($I160="",pLucro,$I160))),"")</f>
        <v/>
      </c>
      <c r="R160" s="21">
        <f>IF(OR($K160="",NOT(ISNUMBER($N160))),"",$K160*(1-($M160-IF($I160="",pLucro,$I160)))-$L160)</f>
        <v/>
      </c>
      <c r="S160" s="22">
        <f>IF($R160="","",$R160/$K160)</f>
        <v/>
      </c>
      <c r="T160" s="25">
        <f>IF($L160="","",IF(NOT(ISNUMBER($N160)),"Revisar %",IF($K160="","Sem preço atual",IF($R160&lt;0,"PREJUÍZO",IF($K160&lt;$N160,"Abaixo do ideal","OK")))))</f>
        <v/>
      </c>
      <c r="U160" s="25">
        <f>IF(OR($J160="",NOT(ISNUMBER($O160))),"",IF($O160&lt;=$J160,"Competitivo ("&amp;ROUND(($O160/$J160-1)*100,1)&amp;"%)","Acima do concorrente (+"&amp;ROUND(($O160/$J160-1)*100,1)&amp;"%)"))</f>
        <v/>
      </c>
    </row>
    <row r="161" spans="1:21">
      <c r="A161" s="13"/>
      <c r="B161" s="13"/>
      <c r="C161" s="13"/>
      <c r="D161" s="19"/>
      <c r="E161" s="19"/>
      <c r="F161" s="20"/>
      <c r="G161" s="20"/>
      <c r="H161" s="20"/>
      <c r="I161" s="20"/>
      <c r="J161" s="19"/>
      <c r="K161" s="19"/>
      <c r="L161" s="21">
        <f>IF(OR($B161="",$D161=""),"",$D161+N($E161))</f>
        <v/>
      </c>
      <c r="M161" s="22">
        <f>IF($L161="","",IF($F161="",pImp,$F161)+IF($G161="",pCom,$G161)+IF($H161="",pTax,$H161)+pFixo+IF($I161="",pLucro,$I161))</f>
        <v/>
      </c>
      <c r="N161" s="21">
        <f>IF($L161="","",IF($M161&gt;=1,"Revisar %",$L161/(1-$M161)))</f>
        <v/>
      </c>
      <c r="O161" s="23">
        <f>IF(ISNUMBER($N161),ROUNDUP($N161,0)+IF(ROUNDUP($N161,0)-0.1&gt;=$N161,-0.1,0.9),$N161)</f>
        <v/>
      </c>
      <c r="P161" s="24">
        <f>IF(AND(ISNUMBER($O161),N($L161)&gt;0),$O161/$L161,"")</f>
        <v/>
      </c>
      <c r="Q161" s="21">
        <f>IF(ISNUMBER($N161),$L161/(1-($M161-IF($I161="",pLucro,$I161))),"")</f>
        <v/>
      </c>
      <c r="R161" s="21">
        <f>IF(OR($K161="",NOT(ISNUMBER($N161))),"",$K161*(1-($M161-IF($I161="",pLucro,$I161)))-$L161)</f>
        <v/>
      </c>
      <c r="S161" s="22">
        <f>IF($R161="","",$R161/$K161)</f>
        <v/>
      </c>
      <c r="T161" s="25">
        <f>IF($L161="","",IF(NOT(ISNUMBER($N161)),"Revisar %",IF($K161="","Sem preço atual",IF($R161&lt;0,"PREJUÍZO",IF($K161&lt;$N161,"Abaixo do ideal","OK")))))</f>
        <v/>
      </c>
      <c r="U161" s="25">
        <f>IF(OR($J161="",NOT(ISNUMBER($O161))),"",IF($O161&lt;=$J161,"Competitivo ("&amp;ROUND(($O161/$J161-1)*100,1)&amp;"%)","Acima do concorrente (+"&amp;ROUND(($O161/$J161-1)*100,1)&amp;"%)"))</f>
        <v/>
      </c>
    </row>
    <row r="162" spans="1:21">
      <c r="A162" s="13"/>
      <c r="B162" s="13"/>
      <c r="C162" s="13"/>
      <c r="D162" s="19"/>
      <c r="E162" s="19"/>
      <c r="F162" s="20"/>
      <c r="G162" s="20"/>
      <c r="H162" s="20"/>
      <c r="I162" s="20"/>
      <c r="J162" s="19"/>
      <c r="K162" s="19"/>
      <c r="L162" s="21">
        <f>IF(OR($B162="",$D162=""),"",$D162+N($E162))</f>
        <v/>
      </c>
      <c r="M162" s="22">
        <f>IF($L162="","",IF($F162="",pImp,$F162)+IF($G162="",pCom,$G162)+IF($H162="",pTax,$H162)+pFixo+IF($I162="",pLucro,$I162))</f>
        <v/>
      </c>
      <c r="N162" s="21">
        <f>IF($L162="","",IF($M162&gt;=1,"Revisar %",$L162/(1-$M162)))</f>
        <v/>
      </c>
      <c r="O162" s="23">
        <f>IF(ISNUMBER($N162),ROUNDUP($N162,0)+IF(ROUNDUP($N162,0)-0.1&gt;=$N162,-0.1,0.9),$N162)</f>
        <v/>
      </c>
      <c r="P162" s="24">
        <f>IF(AND(ISNUMBER($O162),N($L162)&gt;0),$O162/$L162,"")</f>
        <v/>
      </c>
      <c r="Q162" s="21">
        <f>IF(ISNUMBER($N162),$L162/(1-($M162-IF($I162="",pLucro,$I162))),"")</f>
        <v/>
      </c>
      <c r="R162" s="21">
        <f>IF(OR($K162="",NOT(ISNUMBER($N162))),"",$K162*(1-($M162-IF($I162="",pLucro,$I162)))-$L162)</f>
        <v/>
      </c>
      <c r="S162" s="22">
        <f>IF($R162="","",$R162/$K162)</f>
        <v/>
      </c>
      <c r="T162" s="25">
        <f>IF($L162="","",IF(NOT(ISNUMBER($N162)),"Revisar %",IF($K162="","Sem preço atual",IF($R162&lt;0,"PREJUÍZO",IF($K162&lt;$N162,"Abaixo do ideal","OK")))))</f>
        <v/>
      </c>
      <c r="U162" s="25">
        <f>IF(OR($J162="",NOT(ISNUMBER($O162))),"",IF($O162&lt;=$J162,"Competitivo ("&amp;ROUND(($O162/$J162-1)*100,1)&amp;"%)","Acima do concorrente (+"&amp;ROUND(($O162/$J162-1)*100,1)&amp;"%)"))</f>
        <v/>
      </c>
    </row>
    <row r="163" spans="1:21">
      <c r="A163" s="13"/>
      <c r="B163" s="13"/>
      <c r="C163" s="13"/>
      <c r="D163" s="19"/>
      <c r="E163" s="19"/>
      <c r="F163" s="20"/>
      <c r="G163" s="20"/>
      <c r="H163" s="20"/>
      <c r="I163" s="20"/>
      <c r="J163" s="19"/>
      <c r="K163" s="19"/>
      <c r="L163" s="21">
        <f>IF(OR($B163="",$D163=""),"",$D163+N($E163))</f>
        <v/>
      </c>
      <c r="M163" s="22">
        <f>IF($L163="","",IF($F163="",pImp,$F163)+IF($G163="",pCom,$G163)+IF($H163="",pTax,$H163)+pFixo+IF($I163="",pLucro,$I163))</f>
        <v/>
      </c>
      <c r="N163" s="21">
        <f>IF($L163="","",IF($M163&gt;=1,"Revisar %",$L163/(1-$M163)))</f>
        <v/>
      </c>
      <c r="O163" s="23">
        <f>IF(ISNUMBER($N163),ROUNDUP($N163,0)+IF(ROUNDUP($N163,0)-0.1&gt;=$N163,-0.1,0.9),$N163)</f>
        <v/>
      </c>
      <c r="P163" s="24">
        <f>IF(AND(ISNUMBER($O163),N($L163)&gt;0),$O163/$L163,"")</f>
        <v/>
      </c>
      <c r="Q163" s="21">
        <f>IF(ISNUMBER($N163),$L163/(1-($M163-IF($I163="",pLucro,$I163))),"")</f>
        <v/>
      </c>
      <c r="R163" s="21">
        <f>IF(OR($K163="",NOT(ISNUMBER($N163))),"",$K163*(1-($M163-IF($I163="",pLucro,$I163)))-$L163)</f>
        <v/>
      </c>
      <c r="S163" s="22">
        <f>IF($R163="","",$R163/$K163)</f>
        <v/>
      </c>
      <c r="T163" s="25">
        <f>IF($L163="","",IF(NOT(ISNUMBER($N163)),"Revisar %",IF($K163="","Sem preço atual",IF($R163&lt;0,"PREJUÍZO",IF($K163&lt;$N163,"Abaixo do ideal","OK")))))</f>
        <v/>
      </c>
      <c r="U163" s="25">
        <f>IF(OR($J163="",NOT(ISNUMBER($O163))),"",IF($O163&lt;=$J163,"Competitivo ("&amp;ROUND(($O163/$J163-1)*100,1)&amp;"%)","Acima do concorrente (+"&amp;ROUND(($O163/$J163-1)*100,1)&amp;"%)"))</f>
        <v/>
      </c>
    </row>
    <row r="164" spans="1:21">
      <c r="A164" s="13"/>
      <c r="B164" s="13"/>
      <c r="C164" s="13"/>
      <c r="D164" s="19"/>
      <c r="E164" s="19"/>
      <c r="F164" s="20"/>
      <c r="G164" s="20"/>
      <c r="H164" s="20"/>
      <c r="I164" s="20"/>
      <c r="J164" s="19"/>
      <c r="K164" s="19"/>
      <c r="L164" s="21">
        <f>IF(OR($B164="",$D164=""),"",$D164+N($E164))</f>
        <v/>
      </c>
      <c r="M164" s="22">
        <f>IF($L164="","",IF($F164="",pImp,$F164)+IF($G164="",pCom,$G164)+IF($H164="",pTax,$H164)+pFixo+IF($I164="",pLucro,$I164))</f>
        <v/>
      </c>
      <c r="N164" s="21">
        <f>IF($L164="","",IF($M164&gt;=1,"Revisar %",$L164/(1-$M164)))</f>
        <v/>
      </c>
      <c r="O164" s="23">
        <f>IF(ISNUMBER($N164),ROUNDUP($N164,0)+IF(ROUNDUP($N164,0)-0.1&gt;=$N164,-0.1,0.9),$N164)</f>
        <v/>
      </c>
      <c r="P164" s="24">
        <f>IF(AND(ISNUMBER($O164),N($L164)&gt;0),$O164/$L164,"")</f>
        <v/>
      </c>
      <c r="Q164" s="21">
        <f>IF(ISNUMBER($N164),$L164/(1-($M164-IF($I164="",pLucro,$I164))),"")</f>
        <v/>
      </c>
      <c r="R164" s="21">
        <f>IF(OR($K164="",NOT(ISNUMBER($N164))),"",$K164*(1-($M164-IF($I164="",pLucro,$I164)))-$L164)</f>
        <v/>
      </c>
      <c r="S164" s="22">
        <f>IF($R164="","",$R164/$K164)</f>
        <v/>
      </c>
      <c r="T164" s="25">
        <f>IF($L164="","",IF(NOT(ISNUMBER($N164)),"Revisar %",IF($K164="","Sem preço atual",IF($R164&lt;0,"PREJUÍZO",IF($K164&lt;$N164,"Abaixo do ideal","OK")))))</f>
        <v/>
      </c>
      <c r="U164" s="25">
        <f>IF(OR($J164="",NOT(ISNUMBER($O164))),"",IF($O164&lt;=$J164,"Competitivo ("&amp;ROUND(($O164/$J164-1)*100,1)&amp;"%)","Acima do concorrente (+"&amp;ROUND(($O164/$J164-1)*100,1)&amp;"%)"))</f>
        <v/>
      </c>
    </row>
    <row r="165" spans="1:21">
      <c r="A165" s="13"/>
      <c r="B165" s="13"/>
      <c r="C165" s="13"/>
      <c r="D165" s="19"/>
      <c r="E165" s="19"/>
      <c r="F165" s="20"/>
      <c r="G165" s="20"/>
      <c r="H165" s="20"/>
      <c r="I165" s="20"/>
      <c r="J165" s="19"/>
      <c r="K165" s="19"/>
      <c r="L165" s="21">
        <f>IF(OR($B165="",$D165=""),"",$D165+N($E165))</f>
        <v/>
      </c>
      <c r="M165" s="22">
        <f>IF($L165="","",IF($F165="",pImp,$F165)+IF($G165="",pCom,$G165)+IF($H165="",pTax,$H165)+pFixo+IF($I165="",pLucro,$I165))</f>
        <v/>
      </c>
      <c r="N165" s="21">
        <f>IF($L165="","",IF($M165&gt;=1,"Revisar %",$L165/(1-$M165)))</f>
        <v/>
      </c>
      <c r="O165" s="23">
        <f>IF(ISNUMBER($N165),ROUNDUP($N165,0)+IF(ROUNDUP($N165,0)-0.1&gt;=$N165,-0.1,0.9),$N165)</f>
        <v/>
      </c>
      <c r="P165" s="24">
        <f>IF(AND(ISNUMBER($O165),N($L165)&gt;0),$O165/$L165,"")</f>
        <v/>
      </c>
      <c r="Q165" s="21">
        <f>IF(ISNUMBER($N165),$L165/(1-($M165-IF($I165="",pLucro,$I165))),"")</f>
        <v/>
      </c>
      <c r="R165" s="21">
        <f>IF(OR($K165="",NOT(ISNUMBER($N165))),"",$K165*(1-($M165-IF($I165="",pLucro,$I165)))-$L165)</f>
        <v/>
      </c>
      <c r="S165" s="22">
        <f>IF($R165="","",$R165/$K165)</f>
        <v/>
      </c>
      <c r="T165" s="25">
        <f>IF($L165="","",IF(NOT(ISNUMBER($N165)),"Revisar %",IF($K165="","Sem preço atual",IF($R165&lt;0,"PREJUÍZO",IF($K165&lt;$N165,"Abaixo do ideal","OK")))))</f>
        <v/>
      </c>
      <c r="U165" s="25">
        <f>IF(OR($J165="",NOT(ISNUMBER($O165))),"",IF($O165&lt;=$J165,"Competitivo ("&amp;ROUND(($O165/$J165-1)*100,1)&amp;"%)","Acima do concorrente (+"&amp;ROUND(($O165/$J165-1)*100,1)&amp;"%)"))</f>
        <v/>
      </c>
    </row>
    <row r="166" spans="1:21">
      <c r="A166" s="13"/>
      <c r="B166" s="13"/>
      <c r="C166" s="13"/>
      <c r="D166" s="19"/>
      <c r="E166" s="19"/>
      <c r="F166" s="20"/>
      <c r="G166" s="20"/>
      <c r="H166" s="20"/>
      <c r="I166" s="20"/>
      <c r="J166" s="19"/>
      <c r="K166" s="19"/>
      <c r="L166" s="21">
        <f>IF(OR($B166="",$D166=""),"",$D166+N($E166))</f>
        <v/>
      </c>
      <c r="M166" s="22">
        <f>IF($L166="","",IF($F166="",pImp,$F166)+IF($G166="",pCom,$G166)+IF($H166="",pTax,$H166)+pFixo+IF($I166="",pLucro,$I166))</f>
        <v/>
      </c>
      <c r="N166" s="21">
        <f>IF($L166="","",IF($M166&gt;=1,"Revisar %",$L166/(1-$M166)))</f>
        <v/>
      </c>
      <c r="O166" s="23">
        <f>IF(ISNUMBER($N166),ROUNDUP($N166,0)+IF(ROUNDUP($N166,0)-0.1&gt;=$N166,-0.1,0.9),$N166)</f>
        <v/>
      </c>
      <c r="P166" s="24">
        <f>IF(AND(ISNUMBER($O166),N($L166)&gt;0),$O166/$L166,"")</f>
        <v/>
      </c>
      <c r="Q166" s="21">
        <f>IF(ISNUMBER($N166),$L166/(1-($M166-IF($I166="",pLucro,$I166))),"")</f>
        <v/>
      </c>
      <c r="R166" s="21">
        <f>IF(OR($K166="",NOT(ISNUMBER($N166))),"",$K166*(1-($M166-IF($I166="",pLucro,$I166)))-$L166)</f>
        <v/>
      </c>
      <c r="S166" s="22">
        <f>IF($R166="","",$R166/$K166)</f>
        <v/>
      </c>
      <c r="T166" s="25">
        <f>IF($L166="","",IF(NOT(ISNUMBER($N166)),"Revisar %",IF($K166="","Sem preço atual",IF($R166&lt;0,"PREJUÍZO",IF($K166&lt;$N166,"Abaixo do ideal","OK")))))</f>
        <v/>
      </c>
      <c r="U166" s="25">
        <f>IF(OR($J166="",NOT(ISNUMBER($O166))),"",IF($O166&lt;=$J166,"Competitivo ("&amp;ROUND(($O166/$J166-1)*100,1)&amp;"%)","Acima do concorrente (+"&amp;ROUND(($O166/$J166-1)*100,1)&amp;"%)"))</f>
        <v/>
      </c>
    </row>
    <row r="167" spans="1:21">
      <c r="A167" s="13"/>
      <c r="B167" s="13"/>
      <c r="C167" s="13"/>
      <c r="D167" s="19"/>
      <c r="E167" s="19"/>
      <c r="F167" s="20"/>
      <c r="G167" s="20"/>
      <c r="H167" s="20"/>
      <c r="I167" s="20"/>
      <c r="J167" s="19"/>
      <c r="K167" s="19"/>
      <c r="L167" s="21">
        <f>IF(OR($B167="",$D167=""),"",$D167+N($E167))</f>
        <v/>
      </c>
      <c r="M167" s="22">
        <f>IF($L167="","",IF($F167="",pImp,$F167)+IF($G167="",pCom,$G167)+IF($H167="",pTax,$H167)+pFixo+IF($I167="",pLucro,$I167))</f>
        <v/>
      </c>
      <c r="N167" s="21">
        <f>IF($L167="","",IF($M167&gt;=1,"Revisar %",$L167/(1-$M167)))</f>
        <v/>
      </c>
      <c r="O167" s="23">
        <f>IF(ISNUMBER($N167),ROUNDUP($N167,0)+IF(ROUNDUP($N167,0)-0.1&gt;=$N167,-0.1,0.9),$N167)</f>
        <v/>
      </c>
      <c r="P167" s="24">
        <f>IF(AND(ISNUMBER($O167),N($L167)&gt;0),$O167/$L167,"")</f>
        <v/>
      </c>
      <c r="Q167" s="21">
        <f>IF(ISNUMBER($N167),$L167/(1-($M167-IF($I167="",pLucro,$I167))),"")</f>
        <v/>
      </c>
      <c r="R167" s="21">
        <f>IF(OR($K167="",NOT(ISNUMBER($N167))),"",$K167*(1-($M167-IF($I167="",pLucro,$I167)))-$L167)</f>
        <v/>
      </c>
      <c r="S167" s="22">
        <f>IF($R167="","",$R167/$K167)</f>
        <v/>
      </c>
      <c r="T167" s="25">
        <f>IF($L167="","",IF(NOT(ISNUMBER($N167)),"Revisar %",IF($K167="","Sem preço atual",IF($R167&lt;0,"PREJUÍZO",IF($K167&lt;$N167,"Abaixo do ideal","OK")))))</f>
        <v/>
      </c>
      <c r="U167" s="25">
        <f>IF(OR($J167="",NOT(ISNUMBER($O167))),"",IF($O167&lt;=$J167,"Competitivo ("&amp;ROUND(($O167/$J167-1)*100,1)&amp;"%)","Acima do concorrente (+"&amp;ROUND(($O167/$J167-1)*100,1)&amp;"%)"))</f>
        <v/>
      </c>
    </row>
    <row r="168" spans="1:21">
      <c r="A168" s="13"/>
      <c r="B168" s="13"/>
      <c r="C168" s="13"/>
      <c r="D168" s="19"/>
      <c r="E168" s="19"/>
      <c r="F168" s="20"/>
      <c r="G168" s="20"/>
      <c r="H168" s="20"/>
      <c r="I168" s="20"/>
      <c r="J168" s="19"/>
      <c r="K168" s="19"/>
      <c r="L168" s="21">
        <f>IF(OR($B168="",$D168=""),"",$D168+N($E168))</f>
        <v/>
      </c>
      <c r="M168" s="22">
        <f>IF($L168="","",IF($F168="",pImp,$F168)+IF($G168="",pCom,$G168)+IF($H168="",pTax,$H168)+pFixo+IF($I168="",pLucro,$I168))</f>
        <v/>
      </c>
      <c r="N168" s="21">
        <f>IF($L168="","",IF($M168&gt;=1,"Revisar %",$L168/(1-$M168)))</f>
        <v/>
      </c>
      <c r="O168" s="23">
        <f>IF(ISNUMBER($N168),ROUNDUP($N168,0)+IF(ROUNDUP($N168,0)-0.1&gt;=$N168,-0.1,0.9),$N168)</f>
        <v/>
      </c>
      <c r="P168" s="24">
        <f>IF(AND(ISNUMBER($O168),N($L168)&gt;0),$O168/$L168,"")</f>
        <v/>
      </c>
      <c r="Q168" s="21">
        <f>IF(ISNUMBER($N168),$L168/(1-($M168-IF($I168="",pLucro,$I168))),"")</f>
        <v/>
      </c>
      <c r="R168" s="21">
        <f>IF(OR($K168="",NOT(ISNUMBER($N168))),"",$K168*(1-($M168-IF($I168="",pLucro,$I168)))-$L168)</f>
        <v/>
      </c>
      <c r="S168" s="22">
        <f>IF($R168="","",$R168/$K168)</f>
        <v/>
      </c>
      <c r="T168" s="25">
        <f>IF($L168="","",IF(NOT(ISNUMBER($N168)),"Revisar %",IF($K168="","Sem preço atual",IF($R168&lt;0,"PREJUÍZO",IF($K168&lt;$N168,"Abaixo do ideal","OK")))))</f>
        <v/>
      </c>
      <c r="U168" s="25">
        <f>IF(OR($J168="",NOT(ISNUMBER($O168))),"",IF($O168&lt;=$J168,"Competitivo ("&amp;ROUND(($O168/$J168-1)*100,1)&amp;"%)","Acima do concorrente (+"&amp;ROUND(($O168/$J168-1)*100,1)&amp;"%)"))</f>
        <v/>
      </c>
    </row>
    <row r="169" spans="1:21">
      <c r="A169" s="13"/>
      <c r="B169" s="13"/>
      <c r="C169" s="13"/>
      <c r="D169" s="19"/>
      <c r="E169" s="19"/>
      <c r="F169" s="20"/>
      <c r="G169" s="20"/>
      <c r="H169" s="20"/>
      <c r="I169" s="20"/>
      <c r="J169" s="19"/>
      <c r="K169" s="19"/>
      <c r="L169" s="21">
        <f>IF(OR($B169="",$D169=""),"",$D169+N($E169))</f>
        <v/>
      </c>
      <c r="M169" s="22">
        <f>IF($L169="","",IF($F169="",pImp,$F169)+IF($G169="",pCom,$G169)+IF($H169="",pTax,$H169)+pFixo+IF($I169="",pLucro,$I169))</f>
        <v/>
      </c>
      <c r="N169" s="21">
        <f>IF($L169="","",IF($M169&gt;=1,"Revisar %",$L169/(1-$M169)))</f>
        <v/>
      </c>
      <c r="O169" s="23">
        <f>IF(ISNUMBER($N169),ROUNDUP($N169,0)+IF(ROUNDUP($N169,0)-0.1&gt;=$N169,-0.1,0.9),$N169)</f>
        <v/>
      </c>
      <c r="P169" s="24">
        <f>IF(AND(ISNUMBER($O169),N($L169)&gt;0),$O169/$L169,"")</f>
        <v/>
      </c>
      <c r="Q169" s="21">
        <f>IF(ISNUMBER($N169),$L169/(1-($M169-IF($I169="",pLucro,$I169))),"")</f>
        <v/>
      </c>
      <c r="R169" s="21">
        <f>IF(OR($K169="",NOT(ISNUMBER($N169))),"",$K169*(1-($M169-IF($I169="",pLucro,$I169)))-$L169)</f>
        <v/>
      </c>
      <c r="S169" s="22">
        <f>IF($R169="","",$R169/$K169)</f>
        <v/>
      </c>
      <c r="T169" s="25">
        <f>IF($L169="","",IF(NOT(ISNUMBER($N169)),"Revisar %",IF($K169="","Sem preço atual",IF($R169&lt;0,"PREJUÍZO",IF($K169&lt;$N169,"Abaixo do ideal","OK")))))</f>
        <v/>
      </c>
      <c r="U169" s="25">
        <f>IF(OR($J169="",NOT(ISNUMBER($O169))),"",IF($O169&lt;=$J169,"Competitivo ("&amp;ROUND(($O169/$J169-1)*100,1)&amp;"%)","Acima do concorrente (+"&amp;ROUND(($O169/$J169-1)*100,1)&amp;"%)"))</f>
        <v/>
      </c>
    </row>
    <row r="170" spans="1:21">
      <c r="A170" s="13"/>
      <c r="B170" s="13"/>
      <c r="C170" s="13"/>
      <c r="D170" s="19"/>
      <c r="E170" s="19"/>
      <c r="F170" s="20"/>
      <c r="G170" s="20"/>
      <c r="H170" s="20"/>
      <c r="I170" s="20"/>
      <c r="J170" s="19"/>
      <c r="K170" s="19"/>
      <c r="L170" s="21">
        <f>IF(OR($B170="",$D170=""),"",$D170+N($E170))</f>
        <v/>
      </c>
      <c r="M170" s="22">
        <f>IF($L170="","",IF($F170="",pImp,$F170)+IF($G170="",pCom,$G170)+IF($H170="",pTax,$H170)+pFixo+IF($I170="",pLucro,$I170))</f>
        <v/>
      </c>
      <c r="N170" s="21">
        <f>IF($L170="","",IF($M170&gt;=1,"Revisar %",$L170/(1-$M170)))</f>
        <v/>
      </c>
      <c r="O170" s="23">
        <f>IF(ISNUMBER($N170),ROUNDUP($N170,0)+IF(ROUNDUP($N170,0)-0.1&gt;=$N170,-0.1,0.9),$N170)</f>
        <v/>
      </c>
      <c r="P170" s="24">
        <f>IF(AND(ISNUMBER($O170),N($L170)&gt;0),$O170/$L170,"")</f>
        <v/>
      </c>
      <c r="Q170" s="21">
        <f>IF(ISNUMBER($N170),$L170/(1-($M170-IF($I170="",pLucro,$I170))),"")</f>
        <v/>
      </c>
      <c r="R170" s="21">
        <f>IF(OR($K170="",NOT(ISNUMBER($N170))),"",$K170*(1-($M170-IF($I170="",pLucro,$I170)))-$L170)</f>
        <v/>
      </c>
      <c r="S170" s="22">
        <f>IF($R170="","",$R170/$K170)</f>
        <v/>
      </c>
      <c r="T170" s="25">
        <f>IF($L170="","",IF(NOT(ISNUMBER($N170)),"Revisar %",IF($K170="","Sem preço atual",IF($R170&lt;0,"PREJUÍZO",IF($K170&lt;$N170,"Abaixo do ideal","OK")))))</f>
        <v/>
      </c>
      <c r="U170" s="25">
        <f>IF(OR($J170="",NOT(ISNUMBER($O170))),"",IF($O170&lt;=$J170,"Competitivo ("&amp;ROUND(($O170/$J170-1)*100,1)&amp;"%)","Acima do concorrente (+"&amp;ROUND(($O170/$J170-1)*100,1)&amp;"%)"))</f>
        <v/>
      </c>
    </row>
    <row r="171" spans="1:21">
      <c r="A171" s="13"/>
      <c r="B171" s="13"/>
      <c r="C171" s="13"/>
      <c r="D171" s="19"/>
      <c r="E171" s="19"/>
      <c r="F171" s="20"/>
      <c r="G171" s="20"/>
      <c r="H171" s="20"/>
      <c r="I171" s="20"/>
      <c r="J171" s="19"/>
      <c r="K171" s="19"/>
      <c r="L171" s="21">
        <f>IF(OR($B171="",$D171=""),"",$D171+N($E171))</f>
        <v/>
      </c>
      <c r="M171" s="22">
        <f>IF($L171="","",IF($F171="",pImp,$F171)+IF($G171="",pCom,$G171)+IF($H171="",pTax,$H171)+pFixo+IF($I171="",pLucro,$I171))</f>
        <v/>
      </c>
      <c r="N171" s="21">
        <f>IF($L171="","",IF($M171&gt;=1,"Revisar %",$L171/(1-$M171)))</f>
        <v/>
      </c>
      <c r="O171" s="23">
        <f>IF(ISNUMBER($N171),ROUNDUP($N171,0)+IF(ROUNDUP($N171,0)-0.1&gt;=$N171,-0.1,0.9),$N171)</f>
        <v/>
      </c>
      <c r="P171" s="24">
        <f>IF(AND(ISNUMBER($O171),N($L171)&gt;0),$O171/$L171,"")</f>
        <v/>
      </c>
      <c r="Q171" s="21">
        <f>IF(ISNUMBER($N171),$L171/(1-($M171-IF($I171="",pLucro,$I171))),"")</f>
        <v/>
      </c>
      <c r="R171" s="21">
        <f>IF(OR($K171="",NOT(ISNUMBER($N171))),"",$K171*(1-($M171-IF($I171="",pLucro,$I171)))-$L171)</f>
        <v/>
      </c>
      <c r="S171" s="22">
        <f>IF($R171="","",$R171/$K171)</f>
        <v/>
      </c>
      <c r="T171" s="25">
        <f>IF($L171="","",IF(NOT(ISNUMBER($N171)),"Revisar %",IF($K171="","Sem preço atual",IF($R171&lt;0,"PREJUÍZO",IF($K171&lt;$N171,"Abaixo do ideal","OK")))))</f>
        <v/>
      </c>
      <c r="U171" s="25">
        <f>IF(OR($J171="",NOT(ISNUMBER($O171))),"",IF($O171&lt;=$J171,"Competitivo ("&amp;ROUND(($O171/$J171-1)*100,1)&amp;"%)","Acima do concorrente (+"&amp;ROUND(($O171/$J171-1)*100,1)&amp;"%)"))</f>
        <v/>
      </c>
    </row>
    <row r="172" spans="1:21">
      <c r="A172" s="13"/>
      <c r="B172" s="13"/>
      <c r="C172" s="13"/>
      <c r="D172" s="19"/>
      <c r="E172" s="19"/>
      <c r="F172" s="20"/>
      <c r="G172" s="20"/>
      <c r="H172" s="20"/>
      <c r="I172" s="20"/>
      <c r="J172" s="19"/>
      <c r="K172" s="19"/>
      <c r="L172" s="21">
        <f>IF(OR($B172="",$D172=""),"",$D172+N($E172))</f>
        <v/>
      </c>
      <c r="M172" s="22">
        <f>IF($L172="","",IF($F172="",pImp,$F172)+IF($G172="",pCom,$G172)+IF($H172="",pTax,$H172)+pFixo+IF($I172="",pLucro,$I172))</f>
        <v/>
      </c>
      <c r="N172" s="21">
        <f>IF($L172="","",IF($M172&gt;=1,"Revisar %",$L172/(1-$M172)))</f>
        <v/>
      </c>
      <c r="O172" s="23">
        <f>IF(ISNUMBER($N172),ROUNDUP($N172,0)+IF(ROUNDUP($N172,0)-0.1&gt;=$N172,-0.1,0.9),$N172)</f>
        <v/>
      </c>
      <c r="P172" s="24">
        <f>IF(AND(ISNUMBER($O172),N($L172)&gt;0),$O172/$L172,"")</f>
        <v/>
      </c>
      <c r="Q172" s="21">
        <f>IF(ISNUMBER($N172),$L172/(1-($M172-IF($I172="",pLucro,$I172))),"")</f>
        <v/>
      </c>
      <c r="R172" s="21">
        <f>IF(OR($K172="",NOT(ISNUMBER($N172))),"",$K172*(1-($M172-IF($I172="",pLucro,$I172)))-$L172)</f>
        <v/>
      </c>
      <c r="S172" s="22">
        <f>IF($R172="","",$R172/$K172)</f>
        <v/>
      </c>
      <c r="T172" s="25">
        <f>IF($L172="","",IF(NOT(ISNUMBER($N172)),"Revisar %",IF($K172="","Sem preço atual",IF($R172&lt;0,"PREJUÍZO",IF($K172&lt;$N172,"Abaixo do ideal","OK")))))</f>
        <v/>
      </c>
      <c r="U172" s="25">
        <f>IF(OR($J172="",NOT(ISNUMBER($O172))),"",IF($O172&lt;=$J172,"Competitivo ("&amp;ROUND(($O172/$J172-1)*100,1)&amp;"%)","Acima do concorrente (+"&amp;ROUND(($O172/$J172-1)*100,1)&amp;"%)"))</f>
        <v/>
      </c>
    </row>
    <row r="173" spans="1:21">
      <c r="A173" s="13"/>
      <c r="B173" s="13"/>
      <c r="C173" s="13"/>
      <c r="D173" s="19"/>
      <c r="E173" s="19"/>
      <c r="F173" s="20"/>
      <c r="G173" s="20"/>
      <c r="H173" s="20"/>
      <c r="I173" s="20"/>
      <c r="J173" s="19"/>
      <c r="K173" s="19"/>
      <c r="L173" s="21">
        <f>IF(OR($B173="",$D173=""),"",$D173+N($E173))</f>
        <v/>
      </c>
      <c r="M173" s="22">
        <f>IF($L173="","",IF($F173="",pImp,$F173)+IF($G173="",pCom,$G173)+IF($H173="",pTax,$H173)+pFixo+IF($I173="",pLucro,$I173))</f>
        <v/>
      </c>
      <c r="N173" s="21">
        <f>IF($L173="","",IF($M173&gt;=1,"Revisar %",$L173/(1-$M173)))</f>
        <v/>
      </c>
      <c r="O173" s="23">
        <f>IF(ISNUMBER($N173),ROUNDUP($N173,0)+IF(ROUNDUP($N173,0)-0.1&gt;=$N173,-0.1,0.9),$N173)</f>
        <v/>
      </c>
      <c r="P173" s="24">
        <f>IF(AND(ISNUMBER($O173),N($L173)&gt;0),$O173/$L173,"")</f>
        <v/>
      </c>
      <c r="Q173" s="21">
        <f>IF(ISNUMBER($N173),$L173/(1-($M173-IF($I173="",pLucro,$I173))),"")</f>
        <v/>
      </c>
      <c r="R173" s="21">
        <f>IF(OR($K173="",NOT(ISNUMBER($N173))),"",$K173*(1-($M173-IF($I173="",pLucro,$I173)))-$L173)</f>
        <v/>
      </c>
      <c r="S173" s="22">
        <f>IF($R173="","",$R173/$K173)</f>
        <v/>
      </c>
      <c r="T173" s="25">
        <f>IF($L173="","",IF(NOT(ISNUMBER($N173)),"Revisar %",IF($K173="","Sem preço atual",IF($R173&lt;0,"PREJUÍZO",IF($K173&lt;$N173,"Abaixo do ideal","OK")))))</f>
        <v/>
      </c>
      <c r="U173" s="25">
        <f>IF(OR($J173="",NOT(ISNUMBER($O173))),"",IF($O173&lt;=$J173,"Competitivo ("&amp;ROUND(($O173/$J173-1)*100,1)&amp;"%)","Acima do concorrente (+"&amp;ROUND(($O173/$J173-1)*100,1)&amp;"%)"))</f>
        <v/>
      </c>
    </row>
    <row r="174" spans="1:21">
      <c r="A174" s="13"/>
      <c r="B174" s="13"/>
      <c r="C174" s="13"/>
      <c r="D174" s="19"/>
      <c r="E174" s="19"/>
      <c r="F174" s="20"/>
      <c r="G174" s="20"/>
      <c r="H174" s="20"/>
      <c r="I174" s="20"/>
      <c r="J174" s="19"/>
      <c r="K174" s="19"/>
      <c r="L174" s="21">
        <f>IF(OR($B174="",$D174=""),"",$D174+N($E174))</f>
        <v/>
      </c>
      <c r="M174" s="22">
        <f>IF($L174="","",IF($F174="",pImp,$F174)+IF($G174="",pCom,$G174)+IF($H174="",pTax,$H174)+pFixo+IF($I174="",pLucro,$I174))</f>
        <v/>
      </c>
      <c r="N174" s="21">
        <f>IF($L174="","",IF($M174&gt;=1,"Revisar %",$L174/(1-$M174)))</f>
        <v/>
      </c>
      <c r="O174" s="23">
        <f>IF(ISNUMBER($N174),ROUNDUP($N174,0)+IF(ROUNDUP($N174,0)-0.1&gt;=$N174,-0.1,0.9),$N174)</f>
        <v/>
      </c>
      <c r="P174" s="24">
        <f>IF(AND(ISNUMBER($O174),N($L174)&gt;0),$O174/$L174,"")</f>
        <v/>
      </c>
      <c r="Q174" s="21">
        <f>IF(ISNUMBER($N174),$L174/(1-($M174-IF($I174="",pLucro,$I174))),"")</f>
        <v/>
      </c>
      <c r="R174" s="21">
        <f>IF(OR($K174="",NOT(ISNUMBER($N174))),"",$K174*(1-($M174-IF($I174="",pLucro,$I174)))-$L174)</f>
        <v/>
      </c>
      <c r="S174" s="22">
        <f>IF($R174="","",$R174/$K174)</f>
        <v/>
      </c>
      <c r="T174" s="25">
        <f>IF($L174="","",IF(NOT(ISNUMBER($N174)),"Revisar %",IF($K174="","Sem preço atual",IF($R174&lt;0,"PREJUÍZO",IF($K174&lt;$N174,"Abaixo do ideal","OK")))))</f>
        <v/>
      </c>
      <c r="U174" s="25">
        <f>IF(OR($J174="",NOT(ISNUMBER($O174))),"",IF($O174&lt;=$J174,"Competitivo ("&amp;ROUND(($O174/$J174-1)*100,1)&amp;"%)","Acima do concorrente (+"&amp;ROUND(($O174/$J174-1)*100,1)&amp;"%)"))</f>
        <v/>
      </c>
    </row>
    <row r="175" spans="1:21">
      <c r="A175" s="13"/>
      <c r="B175" s="13"/>
      <c r="C175" s="13"/>
      <c r="D175" s="19"/>
      <c r="E175" s="19"/>
      <c r="F175" s="20"/>
      <c r="G175" s="20"/>
      <c r="H175" s="20"/>
      <c r="I175" s="20"/>
      <c r="J175" s="19"/>
      <c r="K175" s="19"/>
      <c r="L175" s="21">
        <f>IF(OR($B175="",$D175=""),"",$D175+N($E175))</f>
        <v/>
      </c>
      <c r="M175" s="22">
        <f>IF($L175="","",IF($F175="",pImp,$F175)+IF($G175="",pCom,$G175)+IF($H175="",pTax,$H175)+pFixo+IF($I175="",pLucro,$I175))</f>
        <v/>
      </c>
      <c r="N175" s="21">
        <f>IF($L175="","",IF($M175&gt;=1,"Revisar %",$L175/(1-$M175)))</f>
        <v/>
      </c>
      <c r="O175" s="23">
        <f>IF(ISNUMBER($N175),ROUNDUP($N175,0)+IF(ROUNDUP($N175,0)-0.1&gt;=$N175,-0.1,0.9),$N175)</f>
        <v/>
      </c>
      <c r="P175" s="24">
        <f>IF(AND(ISNUMBER($O175),N($L175)&gt;0),$O175/$L175,"")</f>
        <v/>
      </c>
      <c r="Q175" s="21">
        <f>IF(ISNUMBER($N175),$L175/(1-($M175-IF($I175="",pLucro,$I175))),"")</f>
        <v/>
      </c>
      <c r="R175" s="21">
        <f>IF(OR($K175="",NOT(ISNUMBER($N175))),"",$K175*(1-($M175-IF($I175="",pLucro,$I175)))-$L175)</f>
        <v/>
      </c>
      <c r="S175" s="22">
        <f>IF($R175="","",$R175/$K175)</f>
        <v/>
      </c>
      <c r="T175" s="25">
        <f>IF($L175="","",IF(NOT(ISNUMBER($N175)),"Revisar %",IF($K175="","Sem preço atual",IF($R175&lt;0,"PREJUÍZO",IF($K175&lt;$N175,"Abaixo do ideal","OK")))))</f>
        <v/>
      </c>
      <c r="U175" s="25">
        <f>IF(OR($J175="",NOT(ISNUMBER($O175))),"",IF($O175&lt;=$J175,"Competitivo ("&amp;ROUND(($O175/$J175-1)*100,1)&amp;"%)","Acima do concorrente (+"&amp;ROUND(($O175/$J175-1)*100,1)&amp;"%)"))</f>
        <v/>
      </c>
    </row>
    <row r="176" spans="1:21">
      <c r="A176" s="13"/>
      <c r="B176" s="13"/>
      <c r="C176" s="13"/>
      <c r="D176" s="19"/>
      <c r="E176" s="19"/>
      <c r="F176" s="20"/>
      <c r="G176" s="20"/>
      <c r="H176" s="20"/>
      <c r="I176" s="20"/>
      <c r="J176" s="19"/>
      <c r="K176" s="19"/>
      <c r="L176" s="21">
        <f>IF(OR($B176="",$D176=""),"",$D176+N($E176))</f>
        <v/>
      </c>
      <c r="M176" s="22">
        <f>IF($L176="","",IF($F176="",pImp,$F176)+IF($G176="",pCom,$G176)+IF($H176="",pTax,$H176)+pFixo+IF($I176="",pLucro,$I176))</f>
        <v/>
      </c>
      <c r="N176" s="21">
        <f>IF($L176="","",IF($M176&gt;=1,"Revisar %",$L176/(1-$M176)))</f>
        <v/>
      </c>
      <c r="O176" s="23">
        <f>IF(ISNUMBER($N176),ROUNDUP($N176,0)+IF(ROUNDUP($N176,0)-0.1&gt;=$N176,-0.1,0.9),$N176)</f>
        <v/>
      </c>
      <c r="P176" s="24">
        <f>IF(AND(ISNUMBER($O176),N($L176)&gt;0),$O176/$L176,"")</f>
        <v/>
      </c>
      <c r="Q176" s="21">
        <f>IF(ISNUMBER($N176),$L176/(1-($M176-IF($I176="",pLucro,$I176))),"")</f>
        <v/>
      </c>
      <c r="R176" s="21">
        <f>IF(OR($K176="",NOT(ISNUMBER($N176))),"",$K176*(1-($M176-IF($I176="",pLucro,$I176)))-$L176)</f>
        <v/>
      </c>
      <c r="S176" s="22">
        <f>IF($R176="","",$R176/$K176)</f>
        <v/>
      </c>
      <c r="T176" s="25">
        <f>IF($L176="","",IF(NOT(ISNUMBER($N176)),"Revisar %",IF($K176="","Sem preço atual",IF($R176&lt;0,"PREJUÍZO",IF($K176&lt;$N176,"Abaixo do ideal","OK")))))</f>
        <v/>
      </c>
      <c r="U176" s="25">
        <f>IF(OR($J176="",NOT(ISNUMBER($O176))),"",IF($O176&lt;=$J176,"Competitivo ("&amp;ROUND(($O176/$J176-1)*100,1)&amp;"%)","Acima do concorrente (+"&amp;ROUND(($O176/$J176-1)*100,1)&amp;"%)"))</f>
        <v/>
      </c>
    </row>
    <row r="177" spans="1:21">
      <c r="A177" s="13"/>
      <c r="B177" s="13"/>
      <c r="C177" s="13"/>
      <c r="D177" s="19"/>
      <c r="E177" s="19"/>
      <c r="F177" s="20"/>
      <c r="G177" s="20"/>
      <c r="H177" s="20"/>
      <c r="I177" s="20"/>
      <c r="J177" s="19"/>
      <c r="K177" s="19"/>
      <c r="L177" s="21">
        <f>IF(OR($B177="",$D177=""),"",$D177+N($E177))</f>
        <v/>
      </c>
      <c r="M177" s="22">
        <f>IF($L177="","",IF($F177="",pImp,$F177)+IF($G177="",pCom,$G177)+IF($H177="",pTax,$H177)+pFixo+IF($I177="",pLucro,$I177))</f>
        <v/>
      </c>
      <c r="N177" s="21">
        <f>IF($L177="","",IF($M177&gt;=1,"Revisar %",$L177/(1-$M177)))</f>
        <v/>
      </c>
      <c r="O177" s="23">
        <f>IF(ISNUMBER($N177),ROUNDUP($N177,0)+IF(ROUNDUP($N177,0)-0.1&gt;=$N177,-0.1,0.9),$N177)</f>
        <v/>
      </c>
      <c r="P177" s="24">
        <f>IF(AND(ISNUMBER($O177),N($L177)&gt;0),$O177/$L177,"")</f>
        <v/>
      </c>
      <c r="Q177" s="21">
        <f>IF(ISNUMBER($N177),$L177/(1-($M177-IF($I177="",pLucro,$I177))),"")</f>
        <v/>
      </c>
      <c r="R177" s="21">
        <f>IF(OR($K177="",NOT(ISNUMBER($N177))),"",$K177*(1-($M177-IF($I177="",pLucro,$I177)))-$L177)</f>
        <v/>
      </c>
      <c r="S177" s="22">
        <f>IF($R177="","",$R177/$K177)</f>
        <v/>
      </c>
      <c r="T177" s="25">
        <f>IF($L177="","",IF(NOT(ISNUMBER($N177)),"Revisar %",IF($K177="","Sem preço atual",IF($R177&lt;0,"PREJUÍZO",IF($K177&lt;$N177,"Abaixo do ideal","OK")))))</f>
        <v/>
      </c>
      <c r="U177" s="25">
        <f>IF(OR($J177="",NOT(ISNUMBER($O177))),"",IF($O177&lt;=$J177,"Competitivo ("&amp;ROUND(($O177/$J177-1)*100,1)&amp;"%)","Acima do concorrente (+"&amp;ROUND(($O177/$J177-1)*100,1)&amp;"%)"))</f>
        <v/>
      </c>
    </row>
    <row r="178" spans="1:21">
      <c r="A178" s="13"/>
      <c r="B178" s="13"/>
      <c r="C178" s="13"/>
      <c r="D178" s="19"/>
      <c r="E178" s="19"/>
      <c r="F178" s="20"/>
      <c r="G178" s="20"/>
      <c r="H178" s="20"/>
      <c r="I178" s="20"/>
      <c r="J178" s="19"/>
      <c r="K178" s="19"/>
      <c r="L178" s="21">
        <f>IF(OR($B178="",$D178=""),"",$D178+N($E178))</f>
        <v/>
      </c>
      <c r="M178" s="22">
        <f>IF($L178="","",IF($F178="",pImp,$F178)+IF($G178="",pCom,$G178)+IF($H178="",pTax,$H178)+pFixo+IF($I178="",pLucro,$I178))</f>
        <v/>
      </c>
      <c r="N178" s="21">
        <f>IF($L178="","",IF($M178&gt;=1,"Revisar %",$L178/(1-$M178)))</f>
        <v/>
      </c>
      <c r="O178" s="23">
        <f>IF(ISNUMBER($N178),ROUNDUP($N178,0)+IF(ROUNDUP($N178,0)-0.1&gt;=$N178,-0.1,0.9),$N178)</f>
        <v/>
      </c>
      <c r="P178" s="24">
        <f>IF(AND(ISNUMBER($O178),N($L178)&gt;0),$O178/$L178,"")</f>
        <v/>
      </c>
      <c r="Q178" s="21">
        <f>IF(ISNUMBER($N178),$L178/(1-($M178-IF($I178="",pLucro,$I178))),"")</f>
        <v/>
      </c>
      <c r="R178" s="21">
        <f>IF(OR($K178="",NOT(ISNUMBER($N178))),"",$K178*(1-($M178-IF($I178="",pLucro,$I178)))-$L178)</f>
        <v/>
      </c>
      <c r="S178" s="22">
        <f>IF($R178="","",$R178/$K178)</f>
        <v/>
      </c>
      <c r="T178" s="25">
        <f>IF($L178="","",IF(NOT(ISNUMBER($N178)),"Revisar %",IF($K178="","Sem preço atual",IF($R178&lt;0,"PREJUÍZO",IF($K178&lt;$N178,"Abaixo do ideal","OK")))))</f>
        <v/>
      </c>
      <c r="U178" s="25">
        <f>IF(OR($J178="",NOT(ISNUMBER($O178))),"",IF($O178&lt;=$J178,"Competitivo ("&amp;ROUND(($O178/$J178-1)*100,1)&amp;"%)","Acima do concorrente (+"&amp;ROUND(($O178/$J178-1)*100,1)&amp;"%)"))</f>
        <v/>
      </c>
    </row>
    <row r="179" spans="1:21">
      <c r="A179" s="13"/>
      <c r="B179" s="13"/>
      <c r="C179" s="13"/>
      <c r="D179" s="19"/>
      <c r="E179" s="19"/>
      <c r="F179" s="20"/>
      <c r="G179" s="20"/>
      <c r="H179" s="20"/>
      <c r="I179" s="20"/>
      <c r="J179" s="19"/>
      <c r="K179" s="19"/>
      <c r="L179" s="21">
        <f>IF(OR($B179="",$D179=""),"",$D179+N($E179))</f>
        <v/>
      </c>
      <c r="M179" s="22">
        <f>IF($L179="","",IF($F179="",pImp,$F179)+IF($G179="",pCom,$G179)+IF($H179="",pTax,$H179)+pFixo+IF($I179="",pLucro,$I179))</f>
        <v/>
      </c>
      <c r="N179" s="21">
        <f>IF($L179="","",IF($M179&gt;=1,"Revisar %",$L179/(1-$M179)))</f>
        <v/>
      </c>
      <c r="O179" s="23">
        <f>IF(ISNUMBER($N179),ROUNDUP($N179,0)+IF(ROUNDUP($N179,0)-0.1&gt;=$N179,-0.1,0.9),$N179)</f>
        <v/>
      </c>
      <c r="P179" s="24">
        <f>IF(AND(ISNUMBER($O179),N($L179)&gt;0),$O179/$L179,"")</f>
        <v/>
      </c>
      <c r="Q179" s="21">
        <f>IF(ISNUMBER($N179),$L179/(1-($M179-IF($I179="",pLucro,$I179))),"")</f>
        <v/>
      </c>
      <c r="R179" s="21">
        <f>IF(OR($K179="",NOT(ISNUMBER($N179))),"",$K179*(1-($M179-IF($I179="",pLucro,$I179)))-$L179)</f>
        <v/>
      </c>
      <c r="S179" s="22">
        <f>IF($R179="","",$R179/$K179)</f>
        <v/>
      </c>
      <c r="T179" s="25">
        <f>IF($L179="","",IF(NOT(ISNUMBER($N179)),"Revisar %",IF($K179="","Sem preço atual",IF($R179&lt;0,"PREJUÍZO",IF($K179&lt;$N179,"Abaixo do ideal","OK")))))</f>
        <v/>
      </c>
      <c r="U179" s="25">
        <f>IF(OR($J179="",NOT(ISNUMBER($O179))),"",IF($O179&lt;=$J179,"Competitivo ("&amp;ROUND(($O179/$J179-1)*100,1)&amp;"%)","Acima do concorrente (+"&amp;ROUND(($O179/$J179-1)*100,1)&amp;"%)"))</f>
        <v/>
      </c>
    </row>
    <row r="180" spans="1:21">
      <c r="A180" s="13"/>
      <c r="B180" s="13"/>
      <c r="C180" s="13"/>
      <c r="D180" s="19"/>
      <c r="E180" s="19"/>
      <c r="F180" s="20"/>
      <c r="G180" s="20"/>
      <c r="H180" s="20"/>
      <c r="I180" s="20"/>
      <c r="J180" s="19"/>
      <c r="K180" s="19"/>
      <c r="L180" s="21">
        <f>IF(OR($B180="",$D180=""),"",$D180+N($E180))</f>
        <v/>
      </c>
      <c r="M180" s="22">
        <f>IF($L180="","",IF($F180="",pImp,$F180)+IF($G180="",pCom,$G180)+IF($H180="",pTax,$H180)+pFixo+IF($I180="",pLucro,$I180))</f>
        <v/>
      </c>
      <c r="N180" s="21">
        <f>IF($L180="","",IF($M180&gt;=1,"Revisar %",$L180/(1-$M180)))</f>
        <v/>
      </c>
      <c r="O180" s="23">
        <f>IF(ISNUMBER($N180),ROUNDUP($N180,0)+IF(ROUNDUP($N180,0)-0.1&gt;=$N180,-0.1,0.9),$N180)</f>
        <v/>
      </c>
      <c r="P180" s="24">
        <f>IF(AND(ISNUMBER($O180),N($L180)&gt;0),$O180/$L180,"")</f>
        <v/>
      </c>
      <c r="Q180" s="21">
        <f>IF(ISNUMBER($N180),$L180/(1-($M180-IF($I180="",pLucro,$I180))),"")</f>
        <v/>
      </c>
      <c r="R180" s="21">
        <f>IF(OR($K180="",NOT(ISNUMBER($N180))),"",$K180*(1-($M180-IF($I180="",pLucro,$I180)))-$L180)</f>
        <v/>
      </c>
      <c r="S180" s="22">
        <f>IF($R180="","",$R180/$K180)</f>
        <v/>
      </c>
      <c r="T180" s="25">
        <f>IF($L180="","",IF(NOT(ISNUMBER($N180)),"Revisar %",IF($K180="","Sem preço atual",IF($R180&lt;0,"PREJUÍZO",IF($K180&lt;$N180,"Abaixo do ideal","OK")))))</f>
        <v/>
      </c>
      <c r="U180" s="25">
        <f>IF(OR($J180="",NOT(ISNUMBER($O180))),"",IF($O180&lt;=$J180,"Competitivo ("&amp;ROUND(($O180/$J180-1)*100,1)&amp;"%)","Acima do concorrente (+"&amp;ROUND(($O180/$J180-1)*100,1)&amp;"%)"))</f>
        <v/>
      </c>
    </row>
    <row r="181" spans="1:21">
      <c r="A181" s="13"/>
      <c r="B181" s="13"/>
      <c r="C181" s="13"/>
      <c r="D181" s="19"/>
      <c r="E181" s="19"/>
      <c r="F181" s="20"/>
      <c r="G181" s="20"/>
      <c r="H181" s="20"/>
      <c r="I181" s="20"/>
      <c r="J181" s="19"/>
      <c r="K181" s="19"/>
      <c r="L181" s="21">
        <f>IF(OR($B181="",$D181=""),"",$D181+N($E181))</f>
        <v/>
      </c>
      <c r="M181" s="22">
        <f>IF($L181="","",IF($F181="",pImp,$F181)+IF($G181="",pCom,$G181)+IF($H181="",pTax,$H181)+pFixo+IF($I181="",pLucro,$I181))</f>
        <v/>
      </c>
      <c r="N181" s="21">
        <f>IF($L181="","",IF($M181&gt;=1,"Revisar %",$L181/(1-$M181)))</f>
        <v/>
      </c>
      <c r="O181" s="23">
        <f>IF(ISNUMBER($N181),ROUNDUP($N181,0)+IF(ROUNDUP($N181,0)-0.1&gt;=$N181,-0.1,0.9),$N181)</f>
        <v/>
      </c>
      <c r="P181" s="24">
        <f>IF(AND(ISNUMBER($O181),N($L181)&gt;0),$O181/$L181,"")</f>
        <v/>
      </c>
      <c r="Q181" s="21">
        <f>IF(ISNUMBER($N181),$L181/(1-($M181-IF($I181="",pLucro,$I181))),"")</f>
        <v/>
      </c>
      <c r="R181" s="21">
        <f>IF(OR($K181="",NOT(ISNUMBER($N181))),"",$K181*(1-($M181-IF($I181="",pLucro,$I181)))-$L181)</f>
        <v/>
      </c>
      <c r="S181" s="22">
        <f>IF($R181="","",$R181/$K181)</f>
        <v/>
      </c>
      <c r="T181" s="25">
        <f>IF($L181="","",IF(NOT(ISNUMBER($N181)),"Revisar %",IF($K181="","Sem preço atual",IF($R181&lt;0,"PREJUÍZO",IF($K181&lt;$N181,"Abaixo do ideal","OK")))))</f>
        <v/>
      </c>
      <c r="U181" s="25">
        <f>IF(OR($J181="",NOT(ISNUMBER($O181))),"",IF($O181&lt;=$J181,"Competitivo ("&amp;ROUND(($O181/$J181-1)*100,1)&amp;"%)","Acima do concorrente (+"&amp;ROUND(($O181/$J181-1)*100,1)&amp;"%)"))</f>
        <v/>
      </c>
    </row>
    <row r="182" spans="1:21">
      <c r="A182" s="13"/>
      <c r="B182" s="13"/>
      <c r="C182" s="13"/>
      <c r="D182" s="19"/>
      <c r="E182" s="19"/>
      <c r="F182" s="20"/>
      <c r="G182" s="20"/>
      <c r="H182" s="20"/>
      <c r="I182" s="20"/>
      <c r="J182" s="19"/>
      <c r="K182" s="19"/>
      <c r="L182" s="21">
        <f>IF(OR($B182="",$D182=""),"",$D182+N($E182))</f>
        <v/>
      </c>
      <c r="M182" s="22">
        <f>IF($L182="","",IF($F182="",pImp,$F182)+IF($G182="",pCom,$G182)+IF($H182="",pTax,$H182)+pFixo+IF($I182="",pLucro,$I182))</f>
        <v/>
      </c>
      <c r="N182" s="21">
        <f>IF($L182="","",IF($M182&gt;=1,"Revisar %",$L182/(1-$M182)))</f>
        <v/>
      </c>
      <c r="O182" s="23">
        <f>IF(ISNUMBER($N182),ROUNDUP($N182,0)+IF(ROUNDUP($N182,0)-0.1&gt;=$N182,-0.1,0.9),$N182)</f>
        <v/>
      </c>
      <c r="P182" s="24">
        <f>IF(AND(ISNUMBER($O182),N($L182)&gt;0),$O182/$L182,"")</f>
        <v/>
      </c>
      <c r="Q182" s="21">
        <f>IF(ISNUMBER($N182),$L182/(1-($M182-IF($I182="",pLucro,$I182))),"")</f>
        <v/>
      </c>
      <c r="R182" s="21">
        <f>IF(OR($K182="",NOT(ISNUMBER($N182))),"",$K182*(1-($M182-IF($I182="",pLucro,$I182)))-$L182)</f>
        <v/>
      </c>
      <c r="S182" s="22">
        <f>IF($R182="","",$R182/$K182)</f>
        <v/>
      </c>
      <c r="T182" s="25">
        <f>IF($L182="","",IF(NOT(ISNUMBER($N182)),"Revisar %",IF($K182="","Sem preço atual",IF($R182&lt;0,"PREJUÍZO",IF($K182&lt;$N182,"Abaixo do ideal","OK")))))</f>
        <v/>
      </c>
      <c r="U182" s="25">
        <f>IF(OR($J182="",NOT(ISNUMBER($O182))),"",IF($O182&lt;=$J182,"Competitivo ("&amp;ROUND(($O182/$J182-1)*100,1)&amp;"%)","Acima do concorrente (+"&amp;ROUND(($O182/$J182-1)*100,1)&amp;"%)"))</f>
        <v/>
      </c>
    </row>
    <row r="183" spans="1:21">
      <c r="A183" s="13"/>
      <c r="B183" s="13"/>
      <c r="C183" s="13"/>
      <c r="D183" s="19"/>
      <c r="E183" s="19"/>
      <c r="F183" s="20"/>
      <c r="G183" s="20"/>
      <c r="H183" s="20"/>
      <c r="I183" s="20"/>
      <c r="J183" s="19"/>
      <c r="K183" s="19"/>
      <c r="L183" s="21">
        <f>IF(OR($B183="",$D183=""),"",$D183+N($E183))</f>
        <v/>
      </c>
      <c r="M183" s="22">
        <f>IF($L183="","",IF($F183="",pImp,$F183)+IF($G183="",pCom,$G183)+IF($H183="",pTax,$H183)+pFixo+IF($I183="",pLucro,$I183))</f>
        <v/>
      </c>
      <c r="N183" s="21">
        <f>IF($L183="","",IF($M183&gt;=1,"Revisar %",$L183/(1-$M183)))</f>
        <v/>
      </c>
      <c r="O183" s="23">
        <f>IF(ISNUMBER($N183),ROUNDUP($N183,0)+IF(ROUNDUP($N183,0)-0.1&gt;=$N183,-0.1,0.9),$N183)</f>
        <v/>
      </c>
      <c r="P183" s="24">
        <f>IF(AND(ISNUMBER($O183),N($L183)&gt;0),$O183/$L183,"")</f>
        <v/>
      </c>
      <c r="Q183" s="21">
        <f>IF(ISNUMBER($N183),$L183/(1-($M183-IF($I183="",pLucro,$I183))),"")</f>
        <v/>
      </c>
      <c r="R183" s="21">
        <f>IF(OR($K183="",NOT(ISNUMBER($N183))),"",$K183*(1-($M183-IF($I183="",pLucro,$I183)))-$L183)</f>
        <v/>
      </c>
      <c r="S183" s="22">
        <f>IF($R183="","",$R183/$K183)</f>
        <v/>
      </c>
      <c r="T183" s="25">
        <f>IF($L183="","",IF(NOT(ISNUMBER($N183)),"Revisar %",IF($K183="","Sem preço atual",IF($R183&lt;0,"PREJUÍZO",IF($K183&lt;$N183,"Abaixo do ideal","OK")))))</f>
        <v/>
      </c>
      <c r="U183" s="25">
        <f>IF(OR($J183="",NOT(ISNUMBER($O183))),"",IF($O183&lt;=$J183,"Competitivo ("&amp;ROUND(($O183/$J183-1)*100,1)&amp;"%)","Acima do concorrente (+"&amp;ROUND(($O183/$J183-1)*100,1)&amp;"%)"))</f>
        <v/>
      </c>
    </row>
    <row r="184" spans="1:21">
      <c r="A184" s="13"/>
      <c r="B184" s="13"/>
      <c r="C184" s="13"/>
      <c r="D184" s="19"/>
      <c r="E184" s="19"/>
      <c r="F184" s="20"/>
      <c r="G184" s="20"/>
      <c r="H184" s="20"/>
      <c r="I184" s="20"/>
      <c r="J184" s="19"/>
      <c r="K184" s="19"/>
      <c r="L184" s="21">
        <f>IF(OR($B184="",$D184=""),"",$D184+N($E184))</f>
        <v/>
      </c>
      <c r="M184" s="22">
        <f>IF($L184="","",IF($F184="",pImp,$F184)+IF($G184="",pCom,$G184)+IF($H184="",pTax,$H184)+pFixo+IF($I184="",pLucro,$I184))</f>
        <v/>
      </c>
      <c r="N184" s="21">
        <f>IF($L184="","",IF($M184&gt;=1,"Revisar %",$L184/(1-$M184)))</f>
        <v/>
      </c>
      <c r="O184" s="23">
        <f>IF(ISNUMBER($N184),ROUNDUP($N184,0)+IF(ROUNDUP($N184,0)-0.1&gt;=$N184,-0.1,0.9),$N184)</f>
        <v/>
      </c>
      <c r="P184" s="24">
        <f>IF(AND(ISNUMBER($O184),N($L184)&gt;0),$O184/$L184,"")</f>
        <v/>
      </c>
      <c r="Q184" s="21">
        <f>IF(ISNUMBER($N184),$L184/(1-($M184-IF($I184="",pLucro,$I184))),"")</f>
        <v/>
      </c>
      <c r="R184" s="21">
        <f>IF(OR($K184="",NOT(ISNUMBER($N184))),"",$K184*(1-($M184-IF($I184="",pLucro,$I184)))-$L184)</f>
        <v/>
      </c>
      <c r="S184" s="22">
        <f>IF($R184="","",$R184/$K184)</f>
        <v/>
      </c>
      <c r="T184" s="25">
        <f>IF($L184="","",IF(NOT(ISNUMBER($N184)),"Revisar %",IF($K184="","Sem preço atual",IF($R184&lt;0,"PREJUÍZO",IF($K184&lt;$N184,"Abaixo do ideal","OK")))))</f>
        <v/>
      </c>
      <c r="U184" s="25">
        <f>IF(OR($J184="",NOT(ISNUMBER($O184))),"",IF($O184&lt;=$J184,"Competitivo ("&amp;ROUND(($O184/$J184-1)*100,1)&amp;"%)","Acima do concorrente (+"&amp;ROUND(($O184/$J184-1)*100,1)&amp;"%)"))</f>
        <v/>
      </c>
    </row>
    <row r="185" spans="1:21">
      <c r="A185" s="13"/>
      <c r="B185" s="13"/>
      <c r="C185" s="13"/>
      <c r="D185" s="19"/>
      <c r="E185" s="19"/>
      <c r="F185" s="20"/>
      <c r="G185" s="20"/>
      <c r="H185" s="20"/>
      <c r="I185" s="20"/>
      <c r="J185" s="19"/>
      <c r="K185" s="19"/>
      <c r="L185" s="21">
        <f>IF(OR($B185="",$D185=""),"",$D185+N($E185))</f>
        <v/>
      </c>
      <c r="M185" s="22">
        <f>IF($L185="","",IF($F185="",pImp,$F185)+IF($G185="",pCom,$G185)+IF($H185="",pTax,$H185)+pFixo+IF($I185="",pLucro,$I185))</f>
        <v/>
      </c>
      <c r="N185" s="21">
        <f>IF($L185="","",IF($M185&gt;=1,"Revisar %",$L185/(1-$M185)))</f>
        <v/>
      </c>
      <c r="O185" s="23">
        <f>IF(ISNUMBER($N185),ROUNDUP($N185,0)+IF(ROUNDUP($N185,0)-0.1&gt;=$N185,-0.1,0.9),$N185)</f>
        <v/>
      </c>
      <c r="P185" s="24">
        <f>IF(AND(ISNUMBER($O185),N($L185)&gt;0),$O185/$L185,"")</f>
        <v/>
      </c>
      <c r="Q185" s="21">
        <f>IF(ISNUMBER($N185),$L185/(1-($M185-IF($I185="",pLucro,$I185))),"")</f>
        <v/>
      </c>
      <c r="R185" s="21">
        <f>IF(OR($K185="",NOT(ISNUMBER($N185))),"",$K185*(1-($M185-IF($I185="",pLucro,$I185)))-$L185)</f>
        <v/>
      </c>
      <c r="S185" s="22">
        <f>IF($R185="","",$R185/$K185)</f>
        <v/>
      </c>
      <c r="T185" s="25">
        <f>IF($L185="","",IF(NOT(ISNUMBER($N185)),"Revisar %",IF($K185="","Sem preço atual",IF($R185&lt;0,"PREJUÍZO",IF($K185&lt;$N185,"Abaixo do ideal","OK")))))</f>
        <v/>
      </c>
      <c r="U185" s="25">
        <f>IF(OR($J185="",NOT(ISNUMBER($O185))),"",IF($O185&lt;=$J185,"Competitivo ("&amp;ROUND(($O185/$J185-1)*100,1)&amp;"%)","Acima do concorrente (+"&amp;ROUND(($O185/$J185-1)*100,1)&amp;"%)"))</f>
        <v/>
      </c>
    </row>
    <row r="186" spans="1:21">
      <c r="A186" s="13"/>
      <c r="B186" s="13"/>
      <c r="C186" s="13"/>
      <c r="D186" s="19"/>
      <c r="E186" s="19"/>
      <c r="F186" s="20"/>
      <c r="G186" s="20"/>
      <c r="H186" s="20"/>
      <c r="I186" s="20"/>
      <c r="J186" s="19"/>
      <c r="K186" s="19"/>
      <c r="L186" s="21">
        <f>IF(OR($B186="",$D186=""),"",$D186+N($E186))</f>
        <v/>
      </c>
      <c r="M186" s="22">
        <f>IF($L186="","",IF($F186="",pImp,$F186)+IF($G186="",pCom,$G186)+IF($H186="",pTax,$H186)+pFixo+IF($I186="",pLucro,$I186))</f>
        <v/>
      </c>
      <c r="N186" s="21">
        <f>IF($L186="","",IF($M186&gt;=1,"Revisar %",$L186/(1-$M186)))</f>
        <v/>
      </c>
      <c r="O186" s="23">
        <f>IF(ISNUMBER($N186),ROUNDUP($N186,0)+IF(ROUNDUP($N186,0)-0.1&gt;=$N186,-0.1,0.9),$N186)</f>
        <v/>
      </c>
      <c r="P186" s="24">
        <f>IF(AND(ISNUMBER($O186),N($L186)&gt;0),$O186/$L186,"")</f>
        <v/>
      </c>
      <c r="Q186" s="21">
        <f>IF(ISNUMBER($N186),$L186/(1-($M186-IF($I186="",pLucro,$I186))),"")</f>
        <v/>
      </c>
      <c r="R186" s="21">
        <f>IF(OR($K186="",NOT(ISNUMBER($N186))),"",$K186*(1-($M186-IF($I186="",pLucro,$I186)))-$L186)</f>
        <v/>
      </c>
      <c r="S186" s="22">
        <f>IF($R186="","",$R186/$K186)</f>
        <v/>
      </c>
      <c r="T186" s="25">
        <f>IF($L186="","",IF(NOT(ISNUMBER($N186)),"Revisar %",IF($K186="","Sem preço atual",IF($R186&lt;0,"PREJUÍZO",IF($K186&lt;$N186,"Abaixo do ideal","OK")))))</f>
        <v/>
      </c>
      <c r="U186" s="25">
        <f>IF(OR($J186="",NOT(ISNUMBER($O186))),"",IF($O186&lt;=$J186,"Competitivo ("&amp;ROUND(($O186/$J186-1)*100,1)&amp;"%)","Acima do concorrente (+"&amp;ROUND(($O186/$J186-1)*100,1)&amp;"%)"))</f>
        <v/>
      </c>
    </row>
    <row r="187" spans="1:21">
      <c r="A187" s="13"/>
      <c r="B187" s="13"/>
      <c r="C187" s="13"/>
      <c r="D187" s="19"/>
      <c r="E187" s="19"/>
      <c r="F187" s="20"/>
      <c r="G187" s="20"/>
      <c r="H187" s="20"/>
      <c r="I187" s="20"/>
      <c r="J187" s="19"/>
      <c r="K187" s="19"/>
      <c r="L187" s="21">
        <f>IF(OR($B187="",$D187=""),"",$D187+N($E187))</f>
        <v/>
      </c>
      <c r="M187" s="22">
        <f>IF($L187="","",IF($F187="",pImp,$F187)+IF($G187="",pCom,$G187)+IF($H187="",pTax,$H187)+pFixo+IF($I187="",pLucro,$I187))</f>
        <v/>
      </c>
      <c r="N187" s="21">
        <f>IF($L187="","",IF($M187&gt;=1,"Revisar %",$L187/(1-$M187)))</f>
        <v/>
      </c>
      <c r="O187" s="23">
        <f>IF(ISNUMBER($N187),ROUNDUP($N187,0)+IF(ROUNDUP($N187,0)-0.1&gt;=$N187,-0.1,0.9),$N187)</f>
        <v/>
      </c>
      <c r="P187" s="24">
        <f>IF(AND(ISNUMBER($O187),N($L187)&gt;0),$O187/$L187,"")</f>
        <v/>
      </c>
      <c r="Q187" s="21">
        <f>IF(ISNUMBER($N187),$L187/(1-($M187-IF($I187="",pLucro,$I187))),"")</f>
        <v/>
      </c>
      <c r="R187" s="21">
        <f>IF(OR($K187="",NOT(ISNUMBER($N187))),"",$K187*(1-($M187-IF($I187="",pLucro,$I187)))-$L187)</f>
        <v/>
      </c>
      <c r="S187" s="22">
        <f>IF($R187="","",$R187/$K187)</f>
        <v/>
      </c>
      <c r="T187" s="25">
        <f>IF($L187="","",IF(NOT(ISNUMBER($N187)),"Revisar %",IF($K187="","Sem preço atual",IF($R187&lt;0,"PREJUÍZO",IF($K187&lt;$N187,"Abaixo do ideal","OK")))))</f>
        <v/>
      </c>
      <c r="U187" s="25">
        <f>IF(OR($J187="",NOT(ISNUMBER($O187))),"",IF($O187&lt;=$J187,"Competitivo ("&amp;ROUND(($O187/$J187-1)*100,1)&amp;"%)","Acima do concorrente (+"&amp;ROUND(($O187/$J187-1)*100,1)&amp;"%)"))</f>
        <v/>
      </c>
    </row>
    <row r="188" spans="1:21">
      <c r="A188" s="13"/>
      <c r="B188" s="13"/>
      <c r="C188" s="13"/>
      <c r="D188" s="19"/>
      <c r="E188" s="19"/>
      <c r="F188" s="20"/>
      <c r="G188" s="20"/>
      <c r="H188" s="20"/>
      <c r="I188" s="20"/>
      <c r="J188" s="19"/>
      <c r="K188" s="19"/>
      <c r="L188" s="21">
        <f>IF(OR($B188="",$D188=""),"",$D188+N($E188))</f>
        <v/>
      </c>
      <c r="M188" s="22">
        <f>IF($L188="","",IF($F188="",pImp,$F188)+IF($G188="",pCom,$G188)+IF($H188="",pTax,$H188)+pFixo+IF($I188="",pLucro,$I188))</f>
        <v/>
      </c>
      <c r="N188" s="21">
        <f>IF($L188="","",IF($M188&gt;=1,"Revisar %",$L188/(1-$M188)))</f>
        <v/>
      </c>
      <c r="O188" s="23">
        <f>IF(ISNUMBER($N188),ROUNDUP($N188,0)+IF(ROUNDUP($N188,0)-0.1&gt;=$N188,-0.1,0.9),$N188)</f>
        <v/>
      </c>
      <c r="P188" s="24">
        <f>IF(AND(ISNUMBER($O188),N($L188)&gt;0),$O188/$L188,"")</f>
        <v/>
      </c>
      <c r="Q188" s="21">
        <f>IF(ISNUMBER($N188),$L188/(1-($M188-IF($I188="",pLucro,$I188))),"")</f>
        <v/>
      </c>
      <c r="R188" s="21">
        <f>IF(OR($K188="",NOT(ISNUMBER($N188))),"",$K188*(1-($M188-IF($I188="",pLucro,$I188)))-$L188)</f>
        <v/>
      </c>
      <c r="S188" s="22">
        <f>IF($R188="","",$R188/$K188)</f>
        <v/>
      </c>
      <c r="T188" s="25">
        <f>IF($L188="","",IF(NOT(ISNUMBER($N188)),"Revisar %",IF($K188="","Sem preço atual",IF($R188&lt;0,"PREJUÍZO",IF($K188&lt;$N188,"Abaixo do ideal","OK")))))</f>
        <v/>
      </c>
      <c r="U188" s="25">
        <f>IF(OR($J188="",NOT(ISNUMBER($O188))),"",IF($O188&lt;=$J188,"Competitivo ("&amp;ROUND(($O188/$J188-1)*100,1)&amp;"%)","Acima do concorrente (+"&amp;ROUND(($O188/$J188-1)*100,1)&amp;"%)"))</f>
        <v/>
      </c>
    </row>
    <row r="189" spans="1:21">
      <c r="A189" s="13"/>
      <c r="B189" s="13"/>
      <c r="C189" s="13"/>
      <c r="D189" s="19"/>
      <c r="E189" s="19"/>
      <c r="F189" s="20"/>
      <c r="G189" s="20"/>
      <c r="H189" s="20"/>
      <c r="I189" s="20"/>
      <c r="J189" s="19"/>
      <c r="K189" s="19"/>
      <c r="L189" s="21">
        <f>IF(OR($B189="",$D189=""),"",$D189+N($E189))</f>
        <v/>
      </c>
      <c r="M189" s="22">
        <f>IF($L189="","",IF($F189="",pImp,$F189)+IF($G189="",pCom,$G189)+IF($H189="",pTax,$H189)+pFixo+IF($I189="",pLucro,$I189))</f>
        <v/>
      </c>
      <c r="N189" s="21">
        <f>IF($L189="","",IF($M189&gt;=1,"Revisar %",$L189/(1-$M189)))</f>
        <v/>
      </c>
      <c r="O189" s="23">
        <f>IF(ISNUMBER($N189),ROUNDUP($N189,0)+IF(ROUNDUP($N189,0)-0.1&gt;=$N189,-0.1,0.9),$N189)</f>
        <v/>
      </c>
      <c r="P189" s="24">
        <f>IF(AND(ISNUMBER($O189),N($L189)&gt;0),$O189/$L189,"")</f>
        <v/>
      </c>
      <c r="Q189" s="21">
        <f>IF(ISNUMBER($N189),$L189/(1-($M189-IF($I189="",pLucro,$I189))),"")</f>
        <v/>
      </c>
      <c r="R189" s="21">
        <f>IF(OR($K189="",NOT(ISNUMBER($N189))),"",$K189*(1-($M189-IF($I189="",pLucro,$I189)))-$L189)</f>
        <v/>
      </c>
      <c r="S189" s="22">
        <f>IF($R189="","",$R189/$K189)</f>
        <v/>
      </c>
      <c r="T189" s="25">
        <f>IF($L189="","",IF(NOT(ISNUMBER($N189)),"Revisar %",IF($K189="","Sem preço atual",IF($R189&lt;0,"PREJUÍZO",IF($K189&lt;$N189,"Abaixo do ideal","OK")))))</f>
        <v/>
      </c>
      <c r="U189" s="25">
        <f>IF(OR($J189="",NOT(ISNUMBER($O189))),"",IF($O189&lt;=$J189,"Competitivo ("&amp;ROUND(($O189/$J189-1)*100,1)&amp;"%)","Acima do concorrente (+"&amp;ROUND(($O189/$J189-1)*100,1)&amp;"%)"))</f>
        <v/>
      </c>
    </row>
    <row r="190" spans="1:21">
      <c r="A190" s="13"/>
      <c r="B190" s="13"/>
      <c r="C190" s="13"/>
      <c r="D190" s="19"/>
      <c r="E190" s="19"/>
      <c r="F190" s="20"/>
      <c r="G190" s="20"/>
      <c r="H190" s="20"/>
      <c r="I190" s="20"/>
      <c r="J190" s="19"/>
      <c r="K190" s="19"/>
      <c r="L190" s="21">
        <f>IF(OR($B190="",$D190=""),"",$D190+N($E190))</f>
        <v/>
      </c>
      <c r="M190" s="22">
        <f>IF($L190="","",IF($F190="",pImp,$F190)+IF($G190="",pCom,$G190)+IF($H190="",pTax,$H190)+pFixo+IF($I190="",pLucro,$I190))</f>
        <v/>
      </c>
      <c r="N190" s="21">
        <f>IF($L190="","",IF($M190&gt;=1,"Revisar %",$L190/(1-$M190)))</f>
        <v/>
      </c>
      <c r="O190" s="23">
        <f>IF(ISNUMBER($N190),ROUNDUP($N190,0)+IF(ROUNDUP($N190,0)-0.1&gt;=$N190,-0.1,0.9),$N190)</f>
        <v/>
      </c>
      <c r="P190" s="24">
        <f>IF(AND(ISNUMBER($O190),N($L190)&gt;0),$O190/$L190,"")</f>
        <v/>
      </c>
      <c r="Q190" s="21">
        <f>IF(ISNUMBER($N190),$L190/(1-($M190-IF($I190="",pLucro,$I190))),"")</f>
        <v/>
      </c>
      <c r="R190" s="21">
        <f>IF(OR($K190="",NOT(ISNUMBER($N190))),"",$K190*(1-($M190-IF($I190="",pLucro,$I190)))-$L190)</f>
        <v/>
      </c>
      <c r="S190" s="22">
        <f>IF($R190="","",$R190/$K190)</f>
        <v/>
      </c>
      <c r="T190" s="25">
        <f>IF($L190="","",IF(NOT(ISNUMBER($N190)),"Revisar %",IF($K190="","Sem preço atual",IF($R190&lt;0,"PREJUÍZO",IF($K190&lt;$N190,"Abaixo do ideal","OK")))))</f>
        <v/>
      </c>
      <c r="U190" s="25">
        <f>IF(OR($J190="",NOT(ISNUMBER($O190))),"",IF($O190&lt;=$J190,"Competitivo ("&amp;ROUND(($O190/$J190-1)*100,1)&amp;"%)","Acima do concorrente (+"&amp;ROUND(($O190/$J190-1)*100,1)&amp;"%)"))</f>
        <v/>
      </c>
    </row>
    <row r="191" spans="1:21">
      <c r="A191" s="13"/>
      <c r="B191" s="13"/>
      <c r="C191" s="13"/>
      <c r="D191" s="19"/>
      <c r="E191" s="19"/>
      <c r="F191" s="20"/>
      <c r="G191" s="20"/>
      <c r="H191" s="20"/>
      <c r="I191" s="20"/>
      <c r="J191" s="19"/>
      <c r="K191" s="19"/>
      <c r="L191" s="21">
        <f>IF(OR($B191="",$D191=""),"",$D191+N($E191))</f>
        <v/>
      </c>
      <c r="M191" s="22">
        <f>IF($L191="","",IF($F191="",pImp,$F191)+IF($G191="",pCom,$G191)+IF($H191="",pTax,$H191)+pFixo+IF($I191="",pLucro,$I191))</f>
        <v/>
      </c>
      <c r="N191" s="21">
        <f>IF($L191="","",IF($M191&gt;=1,"Revisar %",$L191/(1-$M191)))</f>
        <v/>
      </c>
      <c r="O191" s="23">
        <f>IF(ISNUMBER($N191),ROUNDUP($N191,0)+IF(ROUNDUP($N191,0)-0.1&gt;=$N191,-0.1,0.9),$N191)</f>
        <v/>
      </c>
      <c r="P191" s="24">
        <f>IF(AND(ISNUMBER($O191),N($L191)&gt;0),$O191/$L191,"")</f>
        <v/>
      </c>
      <c r="Q191" s="21">
        <f>IF(ISNUMBER($N191),$L191/(1-($M191-IF($I191="",pLucro,$I191))),"")</f>
        <v/>
      </c>
      <c r="R191" s="21">
        <f>IF(OR($K191="",NOT(ISNUMBER($N191))),"",$K191*(1-($M191-IF($I191="",pLucro,$I191)))-$L191)</f>
        <v/>
      </c>
      <c r="S191" s="22">
        <f>IF($R191="","",$R191/$K191)</f>
        <v/>
      </c>
      <c r="T191" s="25">
        <f>IF($L191="","",IF(NOT(ISNUMBER($N191)),"Revisar %",IF($K191="","Sem preço atual",IF($R191&lt;0,"PREJUÍZO",IF($K191&lt;$N191,"Abaixo do ideal","OK")))))</f>
        <v/>
      </c>
      <c r="U191" s="25">
        <f>IF(OR($J191="",NOT(ISNUMBER($O191))),"",IF($O191&lt;=$J191,"Competitivo ("&amp;ROUND(($O191/$J191-1)*100,1)&amp;"%)","Acima do concorrente (+"&amp;ROUND(($O191/$J191-1)*100,1)&amp;"%)"))</f>
        <v/>
      </c>
    </row>
    <row r="192" spans="1:21">
      <c r="A192" s="13"/>
      <c r="B192" s="13"/>
      <c r="C192" s="13"/>
      <c r="D192" s="19"/>
      <c r="E192" s="19"/>
      <c r="F192" s="20"/>
      <c r="G192" s="20"/>
      <c r="H192" s="20"/>
      <c r="I192" s="20"/>
      <c r="J192" s="19"/>
      <c r="K192" s="19"/>
      <c r="L192" s="21">
        <f>IF(OR($B192="",$D192=""),"",$D192+N($E192))</f>
        <v/>
      </c>
      <c r="M192" s="22">
        <f>IF($L192="","",IF($F192="",pImp,$F192)+IF($G192="",pCom,$G192)+IF($H192="",pTax,$H192)+pFixo+IF($I192="",pLucro,$I192))</f>
        <v/>
      </c>
      <c r="N192" s="21">
        <f>IF($L192="","",IF($M192&gt;=1,"Revisar %",$L192/(1-$M192)))</f>
        <v/>
      </c>
      <c r="O192" s="23">
        <f>IF(ISNUMBER($N192),ROUNDUP($N192,0)+IF(ROUNDUP($N192,0)-0.1&gt;=$N192,-0.1,0.9),$N192)</f>
        <v/>
      </c>
      <c r="P192" s="24">
        <f>IF(AND(ISNUMBER($O192),N($L192)&gt;0),$O192/$L192,"")</f>
        <v/>
      </c>
      <c r="Q192" s="21">
        <f>IF(ISNUMBER($N192),$L192/(1-($M192-IF($I192="",pLucro,$I192))),"")</f>
        <v/>
      </c>
      <c r="R192" s="21">
        <f>IF(OR($K192="",NOT(ISNUMBER($N192))),"",$K192*(1-($M192-IF($I192="",pLucro,$I192)))-$L192)</f>
        <v/>
      </c>
      <c r="S192" s="22">
        <f>IF($R192="","",$R192/$K192)</f>
        <v/>
      </c>
      <c r="T192" s="25">
        <f>IF($L192="","",IF(NOT(ISNUMBER($N192)),"Revisar %",IF($K192="","Sem preço atual",IF($R192&lt;0,"PREJUÍZO",IF($K192&lt;$N192,"Abaixo do ideal","OK")))))</f>
        <v/>
      </c>
      <c r="U192" s="25">
        <f>IF(OR($J192="",NOT(ISNUMBER($O192))),"",IF($O192&lt;=$J192,"Competitivo ("&amp;ROUND(($O192/$J192-1)*100,1)&amp;"%)","Acima do concorrente (+"&amp;ROUND(($O192/$J192-1)*100,1)&amp;"%)"))</f>
        <v/>
      </c>
    </row>
    <row r="193" spans="1:21">
      <c r="A193" s="13"/>
      <c r="B193" s="13"/>
      <c r="C193" s="13"/>
      <c r="D193" s="19"/>
      <c r="E193" s="19"/>
      <c r="F193" s="20"/>
      <c r="G193" s="20"/>
      <c r="H193" s="20"/>
      <c r="I193" s="20"/>
      <c r="J193" s="19"/>
      <c r="K193" s="19"/>
      <c r="L193" s="21">
        <f>IF(OR($B193="",$D193=""),"",$D193+N($E193))</f>
        <v/>
      </c>
      <c r="M193" s="22">
        <f>IF($L193="","",IF($F193="",pImp,$F193)+IF($G193="",pCom,$G193)+IF($H193="",pTax,$H193)+pFixo+IF($I193="",pLucro,$I193))</f>
        <v/>
      </c>
      <c r="N193" s="21">
        <f>IF($L193="","",IF($M193&gt;=1,"Revisar %",$L193/(1-$M193)))</f>
        <v/>
      </c>
      <c r="O193" s="23">
        <f>IF(ISNUMBER($N193),ROUNDUP($N193,0)+IF(ROUNDUP($N193,0)-0.1&gt;=$N193,-0.1,0.9),$N193)</f>
        <v/>
      </c>
      <c r="P193" s="24">
        <f>IF(AND(ISNUMBER($O193),N($L193)&gt;0),$O193/$L193,"")</f>
        <v/>
      </c>
      <c r="Q193" s="21">
        <f>IF(ISNUMBER($N193),$L193/(1-($M193-IF($I193="",pLucro,$I193))),"")</f>
        <v/>
      </c>
      <c r="R193" s="21">
        <f>IF(OR($K193="",NOT(ISNUMBER($N193))),"",$K193*(1-($M193-IF($I193="",pLucro,$I193)))-$L193)</f>
        <v/>
      </c>
      <c r="S193" s="22">
        <f>IF($R193="","",$R193/$K193)</f>
        <v/>
      </c>
      <c r="T193" s="25">
        <f>IF($L193="","",IF(NOT(ISNUMBER($N193)),"Revisar %",IF($K193="","Sem preço atual",IF($R193&lt;0,"PREJUÍZO",IF($K193&lt;$N193,"Abaixo do ideal","OK")))))</f>
        <v/>
      </c>
      <c r="U193" s="25">
        <f>IF(OR($J193="",NOT(ISNUMBER($O193))),"",IF($O193&lt;=$J193,"Competitivo ("&amp;ROUND(($O193/$J193-1)*100,1)&amp;"%)","Acima do concorrente (+"&amp;ROUND(($O193/$J193-1)*100,1)&amp;"%)"))</f>
        <v/>
      </c>
    </row>
    <row r="194" spans="1:21">
      <c r="A194" s="13"/>
      <c r="B194" s="13"/>
      <c r="C194" s="13"/>
      <c r="D194" s="19"/>
      <c r="E194" s="19"/>
      <c r="F194" s="20"/>
      <c r="G194" s="20"/>
      <c r="H194" s="20"/>
      <c r="I194" s="20"/>
      <c r="J194" s="19"/>
      <c r="K194" s="19"/>
      <c r="L194" s="21">
        <f>IF(OR($B194="",$D194=""),"",$D194+N($E194))</f>
        <v/>
      </c>
      <c r="M194" s="22">
        <f>IF($L194="","",IF($F194="",pImp,$F194)+IF($G194="",pCom,$G194)+IF($H194="",pTax,$H194)+pFixo+IF($I194="",pLucro,$I194))</f>
        <v/>
      </c>
      <c r="N194" s="21">
        <f>IF($L194="","",IF($M194&gt;=1,"Revisar %",$L194/(1-$M194)))</f>
        <v/>
      </c>
      <c r="O194" s="23">
        <f>IF(ISNUMBER($N194),ROUNDUP($N194,0)+IF(ROUNDUP($N194,0)-0.1&gt;=$N194,-0.1,0.9),$N194)</f>
        <v/>
      </c>
      <c r="P194" s="24">
        <f>IF(AND(ISNUMBER($O194),N($L194)&gt;0),$O194/$L194,"")</f>
        <v/>
      </c>
      <c r="Q194" s="21">
        <f>IF(ISNUMBER($N194),$L194/(1-($M194-IF($I194="",pLucro,$I194))),"")</f>
        <v/>
      </c>
      <c r="R194" s="21">
        <f>IF(OR($K194="",NOT(ISNUMBER($N194))),"",$K194*(1-($M194-IF($I194="",pLucro,$I194)))-$L194)</f>
        <v/>
      </c>
      <c r="S194" s="22">
        <f>IF($R194="","",$R194/$K194)</f>
        <v/>
      </c>
      <c r="T194" s="25">
        <f>IF($L194="","",IF(NOT(ISNUMBER($N194)),"Revisar %",IF($K194="","Sem preço atual",IF($R194&lt;0,"PREJUÍZO",IF($K194&lt;$N194,"Abaixo do ideal","OK")))))</f>
        <v/>
      </c>
      <c r="U194" s="25">
        <f>IF(OR($J194="",NOT(ISNUMBER($O194))),"",IF($O194&lt;=$J194,"Competitivo ("&amp;ROUND(($O194/$J194-1)*100,1)&amp;"%)","Acima do concorrente (+"&amp;ROUND(($O194/$J194-1)*100,1)&amp;"%)"))</f>
        <v/>
      </c>
    </row>
    <row r="195" spans="1:21">
      <c r="A195" s="13"/>
      <c r="B195" s="13"/>
      <c r="C195" s="13"/>
      <c r="D195" s="19"/>
      <c r="E195" s="19"/>
      <c r="F195" s="20"/>
      <c r="G195" s="20"/>
      <c r="H195" s="20"/>
      <c r="I195" s="20"/>
      <c r="J195" s="19"/>
      <c r="K195" s="19"/>
      <c r="L195" s="21">
        <f>IF(OR($B195="",$D195=""),"",$D195+N($E195))</f>
        <v/>
      </c>
      <c r="M195" s="22">
        <f>IF($L195="","",IF($F195="",pImp,$F195)+IF($G195="",pCom,$G195)+IF($H195="",pTax,$H195)+pFixo+IF($I195="",pLucro,$I195))</f>
        <v/>
      </c>
      <c r="N195" s="21">
        <f>IF($L195="","",IF($M195&gt;=1,"Revisar %",$L195/(1-$M195)))</f>
        <v/>
      </c>
      <c r="O195" s="23">
        <f>IF(ISNUMBER($N195),ROUNDUP($N195,0)+IF(ROUNDUP($N195,0)-0.1&gt;=$N195,-0.1,0.9),$N195)</f>
        <v/>
      </c>
      <c r="P195" s="24">
        <f>IF(AND(ISNUMBER($O195),N($L195)&gt;0),$O195/$L195,"")</f>
        <v/>
      </c>
      <c r="Q195" s="21">
        <f>IF(ISNUMBER($N195),$L195/(1-($M195-IF($I195="",pLucro,$I195))),"")</f>
        <v/>
      </c>
      <c r="R195" s="21">
        <f>IF(OR($K195="",NOT(ISNUMBER($N195))),"",$K195*(1-($M195-IF($I195="",pLucro,$I195)))-$L195)</f>
        <v/>
      </c>
      <c r="S195" s="22">
        <f>IF($R195="","",$R195/$K195)</f>
        <v/>
      </c>
      <c r="T195" s="25">
        <f>IF($L195="","",IF(NOT(ISNUMBER($N195)),"Revisar %",IF($K195="","Sem preço atual",IF($R195&lt;0,"PREJUÍZO",IF($K195&lt;$N195,"Abaixo do ideal","OK")))))</f>
        <v/>
      </c>
      <c r="U195" s="25">
        <f>IF(OR($J195="",NOT(ISNUMBER($O195))),"",IF($O195&lt;=$J195,"Competitivo ("&amp;ROUND(($O195/$J195-1)*100,1)&amp;"%)","Acima do concorrente (+"&amp;ROUND(($O195/$J195-1)*100,1)&amp;"%)"))</f>
        <v/>
      </c>
    </row>
    <row r="196" spans="1:21">
      <c r="A196" s="13"/>
      <c r="B196" s="13"/>
      <c r="C196" s="13"/>
      <c r="D196" s="19"/>
      <c r="E196" s="19"/>
      <c r="F196" s="20"/>
      <c r="G196" s="20"/>
      <c r="H196" s="20"/>
      <c r="I196" s="20"/>
      <c r="J196" s="19"/>
      <c r="K196" s="19"/>
      <c r="L196" s="21">
        <f>IF(OR($B196="",$D196=""),"",$D196+N($E196))</f>
        <v/>
      </c>
      <c r="M196" s="22">
        <f>IF($L196="","",IF($F196="",pImp,$F196)+IF($G196="",pCom,$G196)+IF($H196="",pTax,$H196)+pFixo+IF($I196="",pLucro,$I196))</f>
        <v/>
      </c>
      <c r="N196" s="21">
        <f>IF($L196="","",IF($M196&gt;=1,"Revisar %",$L196/(1-$M196)))</f>
        <v/>
      </c>
      <c r="O196" s="23">
        <f>IF(ISNUMBER($N196),ROUNDUP($N196,0)+IF(ROUNDUP($N196,0)-0.1&gt;=$N196,-0.1,0.9),$N196)</f>
        <v/>
      </c>
      <c r="P196" s="24">
        <f>IF(AND(ISNUMBER($O196),N($L196)&gt;0),$O196/$L196,"")</f>
        <v/>
      </c>
      <c r="Q196" s="21">
        <f>IF(ISNUMBER($N196),$L196/(1-($M196-IF($I196="",pLucro,$I196))),"")</f>
        <v/>
      </c>
      <c r="R196" s="21">
        <f>IF(OR($K196="",NOT(ISNUMBER($N196))),"",$K196*(1-($M196-IF($I196="",pLucro,$I196)))-$L196)</f>
        <v/>
      </c>
      <c r="S196" s="22">
        <f>IF($R196="","",$R196/$K196)</f>
        <v/>
      </c>
      <c r="T196" s="25">
        <f>IF($L196="","",IF(NOT(ISNUMBER($N196)),"Revisar %",IF($K196="","Sem preço atual",IF($R196&lt;0,"PREJUÍZO",IF($K196&lt;$N196,"Abaixo do ideal","OK")))))</f>
        <v/>
      </c>
      <c r="U196" s="25">
        <f>IF(OR($J196="",NOT(ISNUMBER($O196))),"",IF($O196&lt;=$J196,"Competitivo ("&amp;ROUND(($O196/$J196-1)*100,1)&amp;"%)","Acima do concorrente (+"&amp;ROUND(($O196/$J196-1)*100,1)&amp;"%)"))</f>
        <v/>
      </c>
    </row>
    <row r="197" spans="1:21">
      <c r="A197" s="13"/>
      <c r="B197" s="13"/>
      <c r="C197" s="13"/>
      <c r="D197" s="19"/>
      <c r="E197" s="19"/>
      <c r="F197" s="20"/>
      <c r="G197" s="20"/>
      <c r="H197" s="20"/>
      <c r="I197" s="20"/>
      <c r="J197" s="19"/>
      <c r="K197" s="19"/>
      <c r="L197" s="21">
        <f>IF(OR($B197="",$D197=""),"",$D197+N($E197))</f>
        <v/>
      </c>
      <c r="M197" s="22">
        <f>IF($L197="","",IF($F197="",pImp,$F197)+IF($G197="",pCom,$G197)+IF($H197="",pTax,$H197)+pFixo+IF($I197="",pLucro,$I197))</f>
        <v/>
      </c>
      <c r="N197" s="21">
        <f>IF($L197="","",IF($M197&gt;=1,"Revisar %",$L197/(1-$M197)))</f>
        <v/>
      </c>
      <c r="O197" s="23">
        <f>IF(ISNUMBER($N197),ROUNDUP($N197,0)+IF(ROUNDUP($N197,0)-0.1&gt;=$N197,-0.1,0.9),$N197)</f>
        <v/>
      </c>
      <c r="P197" s="24">
        <f>IF(AND(ISNUMBER($O197),N($L197)&gt;0),$O197/$L197,"")</f>
        <v/>
      </c>
      <c r="Q197" s="21">
        <f>IF(ISNUMBER($N197),$L197/(1-($M197-IF($I197="",pLucro,$I197))),"")</f>
        <v/>
      </c>
      <c r="R197" s="21">
        <f>IF(OR($K197="",NOT(ISNUMBER($N197))),"",$K197*(1-($M197-IF($I197="",pLucro,$I197)))-$L197)</f>
        <v/>
      </c>
      <c r="S197" s="22">
        <f>IF($R197="","",$R197/$K197)</f>
        <v/>
      </c>
      <c r="T197" s="25">
        <f>IF($L197="","",IF(NOT(ISNUMBER($N197)),"Revisar %",IF($K197="","Sem preço atual",IF($R197&lt;0,"PREJUÍZO",IF($K197&lt;$N197,"Abaixo do ideal","OK")))))</f>
        <v/>
      </c>
      <c r="U197" s="25">
        <f>IF(OR($J197="",NOT(ISNUMBER($O197))),"",IF($O197&lt;=$J197,"Competitivo ("&amp;ROUND(($O197/$J197-1)*100,1)&amp;"%)","Acima do concorrente (+"&amp;ROUND(($O197/$J197-1)*100,1)&amp;"%)"))</f>
        <v/>
      </c>
    </row>
    <row r="198" spans="1:21">
      <c r="A198" s="13"/>
      <c r="B198" s="13"/>
      <c r="C198" s="13"/>
      <c r="D198" s="19"/>
      <c r="E198" s="19"/>
      <c r="F198" s="20"/>
      <c r="G198" s="20"/>
      <c r="H198" s="20"/>
      <c r="I198" s="20"/>
      <c r="J198" s="19"/>
      <c r="K198" s="19"/>
      <c r="L198" s="21">
        <f>IF(OR($B198="",$D198=""),"",$D198+N($E198))</f>
        <v/>
      </c>
      <c r="M198" s="22">
        <f>IF($L198="","",IF($F198="",pImp,$F198)+IF($G198="",pCom,$G198)+IF($H198="",pTax,$H198)+pFixo+IF($I198="",pLucro,$I198))</f>
        <v/>
      </c>
      <c r="N198" s="21">
        <f>IF($L198="","",IF($M198&gt;=1,"Revisar %",$L198/(1-$M198)))</f>
        <v/>
      </c>
      <c r="O198" s="23">
        <f>IF(ISNUMBER($N198),ROUNDUP($N198,0)+IF(ROUNDUP($N198,0)-0.1&gt;=$N198,-0.1,0.9),$N198)</f>
        <v/>
      </c>
      <c r="P198" s="24">
        <f>IF(AND(ISNUMBER($O198),N($L198)&gt;0),$O198/$L198,"")</f>
        <v/>
      </c>
      <c r="Q198" s="21">
        <f>IF(ISNUMBER($N198),$L198/(1-($M198-IF($I198="",pLucro,$I198))),"")</f>
        <v/>
      </c>
      <c r="R198" s="21">
        <f>IF(OR($K198="",NOT(ISNUMBER($N198))),"",$K198*(1-($M198-IF($I198="",pLucro,$I198)))-$L198)</f>
        <v/>
      </c>
      <c r="S198" s="22">
        <f>IF($R198="","",$R198/$K198)</f>
        <v/>
      </c>
      <c r="T198" s="25">
        <f>IF($L198="","",IF(NOT(ISNUMBER($N198)),"Revisar %",IF($K198="","Sem preço atual",IF($R198&lt;0,"PREJUÍZO",IF($K198&lt;$N198,"Abaixo do ideal","OK")))))</f>
        <v/>
      </c>
      <c r="U198" s="25">
        <f>IF(OR($J198="",NOT(ISNUMBER($O198))),"",IF($O198&lt;=$J198,"Competitivo ("&amp;ROUND(($O198/$J198-1)*100,1)&amp;"%)","Acima do concorrente (+"&amp;ROUND(($O198/$J198-1)*100,1)&amp;"%)"))</f>
        <v/>
      </c>
    </row>
    <row r="199" spans="1:21">
      <c r="A199" s="13"/>
      <c r="B199" s="13"/>
      <c r="C199" s="13"/>
      <c r="D199" s="19"/>
      <c r="E199" s="19"/>
      <c r="F199" s="20"/>
      <c r="G199" s="20"/>
      <c r="H199" s="20"/>
      <c r="I199" s="20"/>
      <c r="J199" s="19"/>
      <c r="K199" s="19"/>
      <c r="L199" s="21">
        <f>IF(OR($B199="",$D199=""),"",$D199+N($E199))</f>
        <v/>
      </c>
      <c r="M199" s="22">
        <f>IF($L199="","",IF($F199="",pImp,$F199)+IF($G199="",pCom,$G199)+IF($H199="",pTax,$H199)+pFixo+IF($I199="",pLucro,$I199))</f>
        <v/>
      </c>
      <c r="N199" s="21">
        <f>IF($L199="","",IF($M199&gt;=1,"Revisar %",$L199/(1-$M199)))</f>
        <v/>
      </c>
      <c r="O199" s="23">
        <f>IF(ISNUMBER($N199),ROUNDUP($N199,0)+IF(ROUNDUP($N199,0)-0.1&gt;=$N199,-0.1,0.9),$N199)</f>
        <v/>
      </c>
      <c r="P199" s="24">
        <f>IF(AND(ISNUMBER($O199),N($L199)&gt;0),$O199/$L199,"")</f>
        <v/>
      </c>
      <c r="Q199" s="21">
        <f>IF(ISNUMBER($N199),$L199/(1-($M199-IF($I199="",pLucro,$I199))),"")</f>
        <v/>
      </c>
      <c r="R199" s="21">
        <f>IF(OR($K199="",NOT(ISNUMBER($N199))),"",$K199*(1-($M199-IF($I199="",pLucro,$I199)))-$L199)</f>
        <v/>
      </c>
      <c r="S199" s="22">
        <f>IF($R199="","",$R199/$K199)</f>
        <v/>
      </c>
      <c r="T199" s="25">
        <f>IF($L199="","",IF(NOT(ISNUMBER($N199)),"Revisar %",IF($K199="","Sem preço atual",IF($R199&lt;0,"PREJUÍZO",IF($K199&lt;$N199,"Abaixo do ideal","OK")))))</f>
        <v/>
      </c>
      <c r="U199" s="25">
        <f>IF(OR($J199="",NOT(ISNUMBER($O199))),"",IF($O199&lt;=$J199,"Competitivo ("&amp;ROUND(($O199/$J199-1)*100,1)&amp;"%)","Acima do concorrente (+"&amp;ROUND(($O199/$J199-1)*100,1)&amp;"%)"))</f>
        <v/>
      </c>
    </row>
    <row r="200" spans="1:21">
      <c r="A200" s="13"/>
      <c r="B200" s="13"/>
      <c r="C200" s="13"/>
      <c r="D200" s="19"/>
      <c r="E200" s="19"/>
      <c r="F200" s="20"/>
      <c r="G200" s="20"/>
      <c r="H200" s="20"/>
      <c r="I200" s="20"/>
      <c r="J200" s="19"/>
      <c r="K200" s="19"/>
      <c r="L200" s="21">
        <f>IF(OR($B200="",$D200=""),"",$D200+N($E200))</f>
        <v/>
      </c>
      <c r="M200" s="22">
        <f>IF($L200="","",IF($F200="",pImp,$F200)+IF($G200="",pCom,$G200)+IF($H200="",pTax,$H200)+pFixo+IF($I200="",pLucro,$I200))</f>
        <v/>
      </c>
      <c r="N200" s="21">
        <f>IF($L200="","",IF($M200&gt;=1,"Revisar %",$L200/(1-$M200)))</f>
        <v/>
      </c>
      <c r="O200" s="23">
        <f>IF(ISNUMBER($N200),ROUNDUP($N200,0)+IF(ROUNDUP($N200,0)-0.1&gt;=$N200,-0.1,0.9),$N200)</f>
        <v/>
      </c>
      <c r="P200" s="24">
        <f>IF(AND(ISNUMBER($O200),N($L200)&gt;0),$O200/$L200,"")</f>
        <v/>
      </c>
      <c r="Q200" s="21">
        <f>IF(ISNUMBER($N200),$L200/(1-($M200-IF($I200="",pLucro,$I200))),"")</f>
        <v/>
      </c>
      <c r="R200" s="21">
        <f>IF(OR($K200="",NOT(ISNUMBER($N200))),"",$K200*(1-($M200-IF($I200="",pLucro,$I200)))-$L200)</f>
        <v/>
      </c>
      <c r="S200" s="22">
        <f>IF($R200="","",$R200/$K200)</f>
        <v/>
      </c>
      <c r="T200" s="25">
        <f>IF($L200="","",IF(NOT(ISNUMBER($N200)),"Revisar %",IF($K200="","Sem preço atual",IF($R200&lt;0,"PREJUÍZO",IF($K200&lt;$N200,"Abaixo do ideal","OK")))))</f>
        <v/>
      </c>
      <c r="U200" s="25">
        <f>IF(OR($J200="",NOT(ISNUMBER($O200))),"",IF($O200&lt;=$J200,"Competitivo ("&amp;ROUND(($O200/$J200-1)*100,1)&amp;"%)","Acima do concorrente (+"&amp;ROUND(($O200/$J200-1)*100,1)&amp;"%)"))</f>
        <v/>
      </c>
    </row>
    <row r="201" spans="1:21">
      <c r="A201" s="13"/>
      <c r="B201" s="13"/>
      <c r="C201" s="13"/>
      <c r="D201" s="19"/>
      <c r="E201" s="19"/>
      <c r="F201" s="20"/>
      <c r="G201" s="20"/>
      <c r="H201" s="20"/>
      <c r="I201" s="20"/>
      <c r="J201" s="19"/>
      <c r="K201" s="19"/>
      <c r="L201" s="21">
        <f>IF(OR($B201="",$D201=""),"",$D201+N($E201))</f>
        <v/>
      </c>
      <c r="M201" s="22">
        <f>IF($L201="","",IF($F201="",pImp,$F201)+IF($G201="",pCom,$G201)+IF($H201="",pTax,$H201)+pFixo+IF($I201="",pLucro,$I201))</f>
        <v/>
      </c>
      <c r="N201" s="21">
        <f>IF($L201="","",IF($M201&gt;=1,"Revisar %",$L201/(1-$M201)))</f>
        <v/>
      </c>
      <c r="O201" s="23">
        <f>IF(ISNUMBER($N201),ROUNDUP($N201,0)+IF(ROUNDUP($N201,0)-0.1&gt;=$N201,-0.1,0.9),$N201)</f>
        <v/>
      </c>
      <c r="P201" s="24">
        <f>IF(AND(ISNUMBER($O201),N($L201)&gt;0),$O201/$L201,"")</f>
        <v/>
      </c>
      <c r="Q201" s="21">
        <f>IF(ISNUMBER($N201),$L201/(1-($M201-IF($I201="",pLucro,$I201))),"")</f>
        <v/>
      </c>
      <c r="R201" s="21">
        <f>IF(OR($K201="",NOT(ISNUMBER($N201))),"",$K201*(1-($M201-IF($I201="",pLucro,$I201)))-$L201)</f>
        <v/>
      </c>
      <c r="S201" s="22">
        <f>IF($R201="","",$R201/$K201)</f>
        <v/>
      </c>
      <c r="T201" s="25">
        <f>IF($L201="","",IF(NOT(ISNUMBER($N201)),"Revisar %",IF($K201="","Sem preço atual",IF($R201&lt;0,"PREJUÍZO",IF($K201&lt;$N201,"Abaixo do ideal","OK")))))</f>
        <v/>
      </c>
      <c r="U201" s="25">
        <f>IF(OR($J201="",NOT(ISNUMBER($O201))),"",IF($O201&lt;=$J201,"Competitivo ("&amp;ROUND(($O201/$J201-1)*100,1)&amp;"%)","Acima do concorrente (+"&amp;ROUND(($O201/$J201-1)*100,1)&amp;"%)"))</f>
        <v/>
      </c>
    </row>
    <row r="202" spans="1:21">
      <c r="A202" s="13"/>
      <c r="B202" s="13"/>
      <c r="C202" s="13"/>
      <c r="D202" s="19"/>
      <c r="E202" s="19"/>
      <c r="F202" s="20"/>
      <c r="G202" s="20"/>
      <c r="H202" s="20"/>
      <c r="I202" s="20"/>
      <c r="J202" s="19"/>
      <c r="K202" s="19"/>
      <c r="L202" s="21">
        <f>IF(OR($B202="",$D202=""),"",$D202+N($E202))</f>
        <v/>
      </c>
      <c r="M202" s="22">
        <f>IF($L202="","",IF($F202="",pImp,$F202)+IF($G202="",pCom,$G202)+IF($H202="",pTax,$H202)+pFixo+IF($I202="",pLucro,$I202))</f>
        <v/>
      </c>
      <c r="N202" s="21">
        <f>IF($L202="","",IF($M202&gt;=1,"Revisar %",$L202/(1-$M202)))</f>
        <v/>
      </c>
      <c r="O202" s="23">
        <f>IF(ISNUMBER($N202),ROUNDUP($N202,0)+IF(ROUNDUP($N202,0)-0.1&gt;=$N202,-0.1,0.9),$N202)</f>
        <v/>
      </c>
      <c r="P202" s="24">
        <f>IF(AND(ISNUMBER($O202),N($L202)&gt;0),$O202/$L202,"")</f>
        <v/>
      </c>
      <c r="Q202" s="21">
        <f>IF(ISNUMBER($N202),$L202/(1-($M202-IF($I202="",pLucro,$I202))),"")</f>
        <v/>
      </c>
      <c r="R202" s="21">
        <f>IF(OR($K202="",NOT(ISNUMBER($N202))),"",$K202*(1-($M202-IF($I202="",pLucro,$I202)))-$L202)</f>
        <v/>
      </c>
      <c r="S202" s="22">
        <f>IF($R202="","",$R202/$K202)</f>
        <v/>
      </c>
      <c r="T202" s="25">
        <f>IF($L202="","",IF(NOT(ISNUMBER($N202)),"Revisar %",IF($K202="","Sem preço atual",IF($R202&lt;0,"PREJUÍZO",IF($K202&lt;$N202,"Abaixo do ideal","OK")))))</f>
        <v/>
      </c>
      <c r="U202" s="25">
        <f>IF(OR($J202="",NOT(ISNUMBER($O202))),"",IF($O202&lt;=$J202,"Competitivo ("&amp;ROUND(($O202/$J202-1)*100,1)&amp;"%)","Acima do concorrente (+"&amp;ROUND(($O202/$J202-1)*100,1)&amp;"%)"))</f>
        <v/>
      </c>
    </row>
    <row r="203" spans="1:21">
      <c r="A203" s="13"/>
      <c r="B203" s="13"/>
      <c r="C203" s="13"/>
      <c r="D203" s="19"/>
      <c r="E203" s="19"/>
      <c r="F203" s="20"/>
      <c r="G203" s="20"/>
      <c r="H203" s="20"/>
      <c r="I203" s="20"/>
      <c r="J203" s="19"/>
      <c r="K203" s="19"/>
      <c r="L203" s="21">
        <f>IF(OR($B203="",$D203=""),"",$D203+N($E203))</f>
        <v/>
      </c>
      <c r="M203" s="22">
        <f>IF($L203="","",IF($F203="",pImp,$F203)+IF($G203="",pCom,$G203)+IF($H203="",pTax,$H203)+pFixo+IF($I203="",pLucro,$I203))</f>
        <v/>
      </c>
      <c r="N203" s="21">
        <f>IF($L203="","",IF($M203&gt;=1,"Revisar %",$L203/(1-$M203)))</f>
        <v/>
      </c>
      <c r="O203" s="23">
        <f>IF(ISNUMBER($N203),ROUNDUP($N203,0)+IF(ROUNDUP($N203,0)-0.1&gt;=$N203,-0.1,0.9),$N203)</f>
        <v/>
      </c>
      <c r="P203" s="24">
        <f>IF(AND(ISNUMBER($O203),N($L203)&gt;0),$O203/$L203,"")</f>
        <v/>
      </c>
      <c r="Q203" s="21">
        <f>IF(ISNUMBER($N203),$L203/(1-($M203-IF($I203="",pLucro,$I203))),"")</f>
        <v/>
      </c>
      <c r="R203" s="21">
        <f>IF(OR($K203="",NOT(ISNUMBER($N203))),"",$K203*(1-($M203-IF($I203="",pLucro,$I203)))-$L203)</f>
        <v/>
      </c>
      <c r="S203" s="22">
        <f>IF($R203="","",$R203/$K203)</f>
        <v/>
      </c>
      <c r="T203" s="25">
        <f>IF($L203="","",IF(NOT(ISNUMBER($N203)),"Revisar %",IF($K203="","Sem preço atual",IF($R203&lt;0,"PREJUÍZO",IF($K203&lt;$N203,"Abaixo do ideal","OK")))))</f>
        <v/>
      </c>
      <c r="U203" s="25">
        <f>IF(OR($J203="",NOT(ISNUMBER($O203))),"",IF($O203&lt;=$J203,"Competitivo ("&amp;ROUND(($O203/$J203-1)*100,1)&amp;"%)","Acima do concorrente (+"&amp;ROUND(($O203/$J203-1)*100,1)&amp;"%)"))</f>
        <v/>
      </c>
    </row>
    <row r="204" spans="1:21">
      <c r="A204" s="13"/>
      <c r="B204" s="13"/>
      <c r="C204" s="13"/>
      <c r="D204" s="19"/>
      <c r="E204" s="19"/>
      <c r="F204" s="20"/>
      <c r="G204" s="20"/>
      <c r="H204" s="20"/>
      <c r="I204" s="20"/>
      <c r="J204" s="19"/>
      <c r="K204" s="19"/>
      <c r="L204" s="21">
        <f>IF(OR($B204="",$D204=""),"",$D204+N($E204))</f>
        <v/>
      </c>
      <c r="M204" s="22">
        <f>IF($L204="","",IF($F204="",pImp,$F204)+IF($G204="",pCom,$G204)+IF($H204="",pTax,$H204)+pFixo+IF($I204="",pLucro,$I204))</f>
        <v/>
      </c>
      <c r="N204" s="21">
        <f>IF($L204="","",IF($M204&gt;=1,"Revisar %",$L204/(1-$M204)))</f>
        <v/>
      </c>
      <c r="O204" s="23">
        <f>IF(ISNUMBER($N204),ROUNDUP($N204,0)+IF(ROUNDUP($N204,0)-0.1&gt;=$N204,-0.1,0.9),$N204)</f>
        <v/>
      </c>
      <c r="P204" s="24">
        <f>IF(AND(ISNUMBER($O204),N($L204)&gt;0),$O204/$L204,"")</f>
        <v/>
      </c>
      <c r="Q204" s="21">
        <f>IF(ISNUMBER($N204),$L204/(1-($M204-IF($I204="",pLucro,$I204))),"")</f>
        <v/>
      </c>
      <c r="R204" s="21">
        <f>IF(OR($K204="",NOT(ISNUMBER($N204))),"",$K204*(1-($M204-IF($I204="",pLucro,$I204)))-$L204)</f>
        <v/>
      </c>
      <c r="S204" s="22">
        <f>IF($R204="","",$R204/$K204)</f>
        <v/>
      </c>
      <c r="T204" s="25">
        <f>IF($L204="","",IF(NOT(ISNUMBER($N204)),"Revisar %",IF($K204="","Sem preço atual",IF($R204&lt;0,"PREJUÍZO",IF($K204&lt;$N204,"Abaixo do ideal","OK")))))</f>
        <v/>
      </c>
      <c r="U204" s="25">
        <f>IF(OR($J204="",NOT(ISNUMBER($O204))),"",IF($O204&lt;=$J204,"Competitivo ("&amp;ROUND(($O204/$J204-1)*100,1)&amp;"%)","Acima do concorrente (+"&amp;ROUND(($O204/$J204-1)*100,1)&amp;"%)"))</f>
        <v/>
      </c>
    </row>
    <row r="205" spans="1:21">
      <c r="A205" s="13"/>
      <c r="B205" s="13"/>
      <c r="C205" s="13"/>
      <c r="D205" s="19"/>
      <c r="E205" s="19"/>
      <c r="F205" s="20"/>
      <c r="G205" s="20"/>
      <c r="H205" s="20"/>
      <c r="I205" s="20"/>
      <c r="J205" s="19"/>
      <c r="K205" s="19"/>
      <c r="L205" s="21">
        <f>IF(OR($B205="",$D205=""),"",$D205+N($E205))</f>
        <v/>
      </c>
      <c r="M205" s="22">
        <f>IF($L205="","",IF($F205="",pImp,$F205)+IF($G205="",pCom,$G205)+IF($H205="",pTax,$H205)+pFixo+IF($I205="",pLucro,$I205))</f>
        <v/>
      </c>
      <c r="N205" s="21">
        <f>IF($L205="","",IF($M205&gt;=1,"Revisar %",$L205/(1-$M205)))</f>
        <v/>
      </c>
      <c r="O205" s="23">
        <f>IF(ISNUMBER($N205),ROUNDUP($N205,0)+IF(ROUNDUP($N205,0)-0.1&gt;=$N205,-0.1,0.9),$N205)</f>
        <v/>
      </c>
      <c r="P205" s="24">
        <f>IF(AND(ISNUMBER($O205),N($L205)&gt;0),$O205/$L205,"")</f>
        <v/>
      </c>
      <c r="Q205" s="21">
        <f>IF(ISNUMBER($N205),$L205/(1-($M205-IF($I205="",pLucro,$I205))),"")</f>
        <v/>
      </c>
      <c r="R205" s="21">
        <f>IF(OR($K205="",NOT(ISNUMBER($N205))),"",$K205*(1-($M205-IF($I205="",pLucro,$I205)))-$L205)</f>
        <v/>
      </c>
      <c r="S205" s="22">
        <f>IF($R205="","",$R205/$K205)</f>
        <v/>
      </c>
      <c r="T205" s="25">
        <f>IF($L205="","",IF(NOT(ISNUMBER($N205)),"Revisar %",IF($K205="","Sem preço atual",IF($R205&lt;0,"PREJUÍZO",IF($K205&lt;$N205,"Abaixo do ideal","OK")))))</f>
        <v/>
      </c>
      <c r="U205" s="25">
        <f>IF(OR($J205="",NOT(ISNUMBER($O205))),"",IF($O205&lt;=$J205,"Competitivo ("&amp;ROUND(($O205/$J205-1)*100,1)&amp;"%)","Acima do concorrente (+"&amp;ROUND(($O205/$J205-1)*100,1)&amp;"%)"))</f>
        <v/>
      </c>
    </row>
    <row r="206" spans="1:21">
      <c r="A206" s="13"/>
      <c r="B206" s="13"/>
      <c r="C206" s="13"/>
      <c r="D206" s="19"/>
      <c r="E206" s="19"/>
      <c r="F206" s="20"/>
      <c r="G206" s="20"/>
      <c r="H206" s="20"/>
      <c r="I206" s="20"/>
      <c r="J206" s="19"/>
      <c r="K206" s="19"/>
      <c r="L206" s="21">
        <f>IF(OR($B206="",$D206=""),"",$D206+N($E206))</f>
        <v/>
      </c>
      <c r="M206" s="22">
        <f>IF($L206="","",IF($F206="",pImp,$F206)+IF($G206="",pCom,$G206)+IF($H206="",pTax,$H206)+pFixo+IF($I206="",pLucro,$I206))</f>
        <v/>
      </c>
      <c r="N206" s="21">
        <f>IF($L206="","",IF($M206&gt;=1,"Revisar %",$L206/(1-$M206)))</f>
        <v/>
      </c>
      <c r="O206" s="23">
        <f>IF(ISNUMBER($N206),ROUNDUP($N206,0)+IF(ROUNDUP($N206,0)-0.1&gt;=$N206,-0.1,0.9),$N206)</f>
        <v/>
      </c>
      <c r="P206" s="24">
        <f>IF(AND(ISNUMBER($O206),N($L206)&gt;0),$O206/$L206,"")</f>
        <v/>
      </c>
      <c r="Q206" s="21">
        <f>IF(ISNUMBER($N206),$L206/(1-($M206-IF($I206="",pLucro,$I206))),"")</f>
        <v/>
      </c>
      <c r="R206" s="21">
        <f>IF(OR($K206="",NOT(ISNUMBER($N206))),"",$K206*(1-($M206-IF($I206="",pLucro,$I206)))-$L206)</f>
        <v/>
      </c>
      <c r="S206" s="22">
        <f>IF($R206="","",$R206/$K206)</f>
        <v/>
      </c>
      <c r="T206" s="25">
        <f>IF($L206="","",IF(NOT(ISNUMBER($N206)),"Revisar %",IF($K206="","Sem preço atual",IF($R206&lt;0,"PREJUÍZO",IF($K206&lt;$N206,"Abaixo do ideal","OK")))))</f>
        <v/>
      </c>
      <c r="U206" s="25">
        <f>IF(OR($J206="",NOT(ISNUMBER($O206))),"",IF($O206&lt;=$J206,"Competitivo ("&amp;ROUND(($O206/$J206-1)*100,1)&amp;"%)","Acima do concorrente (+"&amp;ROUND(($O206/$J206-1)*100,1)&amp;"%)"))</f>
        <v/>
      </c>
    </row>
    <row r="207" spans="1:21">
      <c r="A207" s="13"/>
      <c r="B207" s="13"/>
      <c r="C207" s="13"/>
      <c r="D207" s="19"/>
      <c r="E207" s="19"/>
      <c r="F207" s="20"/>
      <c r="G207" s="20"/>
      <c r="H207" s="20"/>
      <c r="I207" s="20"/>
      <c r="J207" s="19"/>
      <c r="K207" s="19"/>
      <c r="L207" s="21">
        <f>IF(OR($B207="",$D207=""),"",$D207+N($E207))</f>
        <v/>
      </c>
      <c r="M207" s="22">
        <f>IF($L207="","",IF($F207="",pImp,$F207)+IF($G207="",pCom,$G207)+IF($H207="",pTax,$H207)+pFixo+IF($I207="",pLucro,$I207))</f>
        <v/>
      </c>
      <c r="N207" s="21">
        <f>IF($L207="","",IF($M207&gt;=1,"Revisar %",$L207/(1-$M207)))</f>
        <v/>
      </c>
      <c r="O207" s="23">
        <f>IF(ISNUMBER($N207),ROUNDUP($N207,0)+IF(ROUNDUP($N207,0)-0.1&gt;=$N207,-0.1,0.9),$N207)</f>
        <v/>
      </c>
      <c r="P207" s="24">
        <f>IF(AND(ISNUMBER($O207),N($L207)&gt;0),$O207/$L207,"")</f>
        <v/>
      </c>
      <c r="Q207" s="21">
        <f>IF(ISNUMBER($N207),$L207/(1-($M207-IF($I207="",pLucro,$I207))),"")</f>
        <v/>
      </c>
      <c r="R207" s="21">
        <f>IF(OR($K207="",NOT(ISNUMBER($N207))),"",$K207*(1-($M207-IF($I207="",pLucro,$I207)))-$L207)</f>
        <v/>
      </c>
      <c r="S207" s="22">
        <f>IF($R207="","",$R207/$K207)</f>
        <v/>
      </c>
      <c r="T207" s="25">
        <f>IF($L207="","",IF(NOT(ISNUMBER($N207)),"Revisar %",IF($K207="","Sem preço atual",IF($R207&lt;0,"PREJUÍZO",IF($K207&lt;$N207,"Abaixo do ideal","OK")))))</f>
        <v/>
      </c>
      <c r="U207" s="25">
        <f>IF(OR($J207="",NOT(ISNUMBER($O207))),"",IF($O207&lt;=$J207,"Competitivo ("&amp;ROUND(($O207/$J207-1)*100,1)&amp;"%)","Acima do concorrente (+"&amp;ROUND(($O207/$J207-1)*100,1)&amp;"%)"))</f>
        <v/>
      </c>
    </row>
    <row r="208" spans="1:21">
      <c r="A208" s="13"/>
      <c r="B208" s="13"/>
      <c r="C208" s="13"/>
      <c r="D208" s="19"/>
      <c r="E208" s="19"/>
      <c r="F208" s="20"/>
      <c r="G208" s="20"/>
      <c r="H208" s="20"/>
      <c r="I208" s="20"/>
      <c r="J208" s="19"/>
      <c r="K208" s="19"/>
      <c r="L208" s="21">
        <f>IF(OR($B208="",$D208=""),"",$D208+N($E208))</f>
        <v/>
      </c>
      <c r="M208" s="22">
        <f>IF($L208="","",IF($F208="",pImp,$F208)+IF($G208="",pCom,$G208)+IF($H208="",pTax,$H208)+pFixo+IF($I208="",pLucro,$I208))</f>
        <v/>
      </c>
      <c r="N208" s="21">
        <f>IF($L208="","",IF($M208&gt;=1,"Revisar %",$L208/(1-$M208)))</f>
        <v/>
      </c>
      <c r="O208" s="23">
        <f>IF(ISNUMBER($N208),ROUNDUP($N208,0)+IF(ROUNDUP($N208,0)-0.1&gt;=$N208,-0.1,0.9),$N208)</f>
        <v/>
      </c>
      <c r="P208" s="24">
        <f>IF(AND(ISNUMBER($O208),N($L208)&gt;0),$O208/$L208,"")</f>
        <v/>
      </c>
      <c r="Q208" s="21">
        <f>IF(ISNUMBER($N208),$L208/(1-($M208-IF($I208="",pLucro,$I208))),"")</f>
        <v/>
      </c>
      <c r="R208" s="21">
        <f>IF(OR($K208="",NOT(ISNUMBER($N208))),"",$K208*(1-($M208-IF($I208="",pLucro,$I208)))-$L208)</f>
        <v/>
      </c>
      <c r="S208" s="22">
        <f>IF($R208="","",$R208/$K208)</f>
        <v/>
      </c>
      <c r="T208" s="25">
        <f>IF($L208="","",IF(NOT(ISNUMBER($N208)),"Revisar %",IF($K208="","Sem preço atual",IF($R208&lt;0,"PREJUÍZO",IF($K208&lt;$N208,"Abaixo do ideal","OK")))))</f>
        <v/>
      </c>
      <c r="U208" s="25">
        <f>IF(OR($J208="",NOT(ISNUMBER($O208))),"",IF($O208&lt;=$J208,"Competitivo ("&amp;ROUND(($O208/$J208-1)*100,1)&amp;"%)","Acima do concorrente (+"&amp;ROUND(($O208/$J208-1)*100,1)&amp;"%)"))</f>
        <v/>
      </c>
    </row>
    <row r="209" spans="1:21">
      <c r="A209" s="13"/>
      <c r="B209" s="13"/>
      <c r="C209" s="13"/>
      <c r="D209" s="19"/>
      <c r="E209" s="19"/>
      <c r="F209" s="20"/>
      <c r="G209" s="20"/>
      <c r="H209" s="20"/>
      <c r="I209" s="20"/>
      <c r="J209" s="19"/>
      <c r="K209" s="19"/>
      <c r="L209" s="21">
        <f>IF(OR($B209="",$D209=""),"",$D209+N($E209))</f>
        <v/>
      </c>
      <c r="M209" s="22">
        <f>IF($L209="","",IF($F209="",pImp,$F209)+IF($G209="",pCom,$G209)+IF($H209="",pTax,$H209)+pFixo+IF($I209="",pLucro,$I209))</f>
        <v/>
      </c>
      <c r="N209" s="21">
        <f>IF($L209="","",IF($M209&gt;=1,"Revisar %",$L209/(1-$M209)))</f>
        <v/>
      </c>
      <c r="O209" s="23">
        <f>IF(ISNUMBER($N209),ROUNDUP($N209,0)+IF(ROUNDUP($N209,0)-0.1&gt;=$N209,-0.1,0.9),$N209)</f>
        <v/>
      </c>
      <c r="P209" s="24">
        <f>IF(AND(ISNUMBER($O209),N($L209)&gt;0),$O209/$L209,"")</f>
        <v/>
      </c>
      <c r="Q209" s="21">
        <f>IF(ISNUMBER($N209),$L209/(1-($M209-IF($I209="",pLucro,$I209))),"")</f>
        <v/>
      </c>
      <c r="R209" s="21">
        <f>IF(OR($K209="",NOT(ISNUMBER($N209))),"",$K209*(1-($M209-IF($I209="",pLucro,$I209)))-$L209)</f>
        <v/>
      </c>
      <c r="S209" s="22">
        <f>IF($R209="","",$R209/$K209)</f>
        <v/>
      </c>
      <c r="T209" s="25">
        <f>IF($L209="","",IF(NOT(ISNUMBER($N209)),"Revisar %",IF($K209="","Sem preço atual",IF($R209&lt;0,"PREJUÍZO",IF($K209&lt;$N209,"Abaixo do ideal","OK")))))</f>
        <v/>
      </c>
      <c r="U209" s="25">
        <f>IF(OR($J209="",NOT(ISNUMBER($O209))),"",IF($O209&lt;=$J209,"Competitivo ("&amp;ROUND(($O209/$J209-1)*100,1)&amp;"%)","Acima do concorrente (+"&amp;ROUND(($O209/$J209-1)*100,1)&amp;"%)"))</f>
        <v/>
      </c>
    </row>
    <row r="210" spans="1:21">
      <c r="A210" s="13"/>
      <c r="B210" s="13"/>
      <c r="C210" s="13"/>
      <c r="D210" s="19"/>
      <c r="E210" s="19"/>
      <c r="F210" s="20"/>
      <c r="G210" s="20"/>
      <c r="H210" s="20"/>
      <c r="I210" s="20"/>
      <c r="J210" s="19"/>
      <c r="K210" s="19"/>
      <c r="L210" s="21">
        <f>IF(OR($B210="",$D210=""),"",$D210+N($E210))</f>
        <v/>
      </c>
      <c r="M210" s="22">
        <f>IF($L210="","",IF($F210="",pImp,$F210)+IF($G210="",pCom,$G210)+IF($H210="",pTax,$H210)+pFixo+IF($I210="",pLucro,$I210))</f>
        <v/>
      </c>
      <c r="N210" s="21">
        <f>IF($L210="","",IF($M210&gt;=1,"Revisar %",$L210/(1-$M210)))</f>
        <v/>
      </c>
      <c r="O210" s="23">
        <f>IF(ISNUMBER($N210),ROUNDUP($N210,0)+IF(ROUNDUP($N210,0)-0.1&gt;=$N210,-0.1,0.9),$N210)</f>
        <v/>
      </c>
      <c r="P210" s="24">
        <f>IF(AND(ISNUMBER($O210),N($L210)&gt;0),$O210/$L210,"")</f>
        <v/>
      </c>
      <c r="Q210" s="21">
        <f>IF(ISNUMBER($N210),$L210/(1-($M210-IF($I210="",pLucro,$I210))),"")</f>
        <v/>
      </c>
      <c r="R210" s="21">
        <f>IF(OR($K210="",NOT(ISNUMBER($N210))),"",$K210*(1-($M210-IF($I210="",pLucro,$I210)))-$L210)</f>
        <v/>
      </c>
      <c r="S210" s="22">
        <f>IF($R210="","",$R210/$K210)</f>
        <v/>
      </c>
      <c r="T210" s="25">
        <f>IF($L210="","",IF(NOT(ISNUMBER($N210)),"Revisar %",IF($K210="","Sem preço atual",IF($R210&lt;0,"PREJUÍZO",IF($K210&lt;$N210,"Abaixo do ideal","OK")))))</f>
        <v/>
      </c>
      <c r="U210" s="25">
        <f>IF(OR($J210="",NOT(ISNUMBER($O210))),"",IF($O210&lt;=$J210,"Competitivo ("&amp;ROUND(($O210/$J210-1)*100,1)&amp;"%)","Acima do concorrente (+"&amp;ROUND(($O210/$J210-1)*100,1)&amp;"%)"))</f>
        <v/>
      </c>
    </row>
    <row r="211" spans="1:21">
      <c r="A211" s="13"/>
      <c r="B211" s="13"/>
      <c r="C211" s="13"/>
      <c r="D211" s="19"/>
      <c r="E211" s="19"/>
      <c r="F211" s="20"/>
      <c r="G211" s="20"/>
      <c r="H211" s="20"/>
      <c r="I211" s="20"/>
      <c r="J211" s="19"/>
      <c r="K211" s="19"/>
      <c r="L211" s="21">
        <f>IF(OR($B211="",$D211=""),"",$D211+N($E211))</f>
        <v/>
      </c>
      <c r="M211" s="22">
        <f>IF($L211="","",IF($F211="",pImp,$F211)+IF($G211="",pCom,$G211)+IF($H211="",pTax,$H211)+pFixo+IF($I211="",pLucro,$I211))</f>
        <v/>
      </c>
      <c r="N211" s="21">
        <f>IF($L211="","",IF($M211&gt;=1,"Revisar %",$L211/(1-$M211)))</f>
        <v/>
      </c>
      <c r="O211" s="23">
        <f>IF(ISNUMBER($N211),ROUNDUP($N211,0)+IF(ROUNDUP($N211,0)-0.1&gt;=$N211,-0.1,0.9),$N211)</f>
        <v/>
      </c>
      <c r="P211" s="24">
        <f>IF(AND(ISNUMBER($O211),N($L211)&gt;0),$O211/$L211,"")</f>
        <v/>
      </c>
      <c r="Q211" s="21">
        <f>IF(ISNUMBER($N211),$L211/(1-($M211-IF($I211="",pLucro,$I211))),"")</f>
        <v/>
      </c>
      <c r="R211" s="21">
        <f>IF(OR($K211="",NOT(ISNUMBER($N211))),"",$K211*(1-($M211-IF($I211="",pLucro,$I211)))-$L211)</f>
        <v/>
      </c>
      <c r="S211" s="22">
        <f>IF($R211="","",$R211/$K211)</f>
        <v/>
      </c>
      <c r="T211" s="25">
        <f>IF($L211="","",IF(NOT(ISNUMBER($N211)),"Revisar %",IF($K211="","Sem preço atual",IF($R211&lt;0,"PREJUÍZO",IF($K211&lt;$N211,"Abaixo do ideal","OK")))))</f>
        <v/>
      </c>
      <c r="U211" s="25">
        <f>IF(OR($J211="",NOT(ISNUMBER($O211))),"",IF($O211&lt;=$J211,"Competitivo ("&amp;ROUND(($O211/$J211-1)*100,1)&amp;"%)","Acima do concorrente (+"&amp;ROUND(($O211/$J211-1)*100,1)&amp;"%)"))</f>
        <v/>
      </c>
    </row>
    <row r="212" spans="1:21">
      <c r="A212" s="13"/>
      <c r="B212" s="13"/>
      <c r="C212" s="13"/>
      <c r="D212" s="19"/>
      <c r="E212" s="19"/>
      <c r="F212" s="20"/>
      <c r="G212" s="20"/>
      <c r="H212" s="20"/>
      <c r="I212" s="20"/>
      <c r="J212" s="19"/>
      <c r="K212" s="19"/>
      <c r="L212" s="21">
        <f>IF(OR($B212="",$D212=""),"",$D212+N($E212))</f>
        <v/>
      </c>
      <c r="M212" s="22">
        <f>IF($L212="","",IF($F212="",pImp,$F212)+IF($G212="",pCom,$G212)+IF($H212="",pTax,$H212)+pFixo+IF($I212="",pLucro,$I212))</f>
        <v/>
      </c>
      <c r="N212" s="21">
        <f>IF($L212="","",IF($M212&gt;=1,"Revisar %",$L212/(1-$M212)))</f>
        <v/>
      </c>
      <c r="O212" s="23">
        <f>IF(ISNUMBER($N212),ROUNDUP($N212,0)+IF(ROUNDUP($N212,0)-0.1&gt;=$N212,-0.1,0.9),$N212)</f>
        <v/>
      </c>
      <c r="P212" s="24">
        <f>IF(AND(ISNUMBER($O212),N($L212)&gt;0),$O212/$L212,"")</f>
        <v/>
      </c>
      <c r="Q212" s="21">
        <f>IF(ISNUMBER($N212),$L212/(1-($M212-IF($I212="",pLucro,$I212))),"")</f>
        <v/>
      </c>
      <c r="R212" s="21">
        <f>IF(OR($K212="",NOT(ISNUMBER($N212))),"",$K212*(1-($M212-IF($I212="",pLucro,$I212)))-$L212)</f>
        <v/>
      </c>
      <c r="S212" s="22">
        <f>IF($R212="","",$R212/$K212)</f>
        <v/>
      </c>
      <c r="T212" s="25">
        <f>IF($L212="","",IF(NOT(ISNUMBER($N212)),"Revisar %",IF($K212="","Sem preço atual",IF($R212&lt;0,"PREJUÍZO",IF($K212&lt;$N212,"Abaixo do ideal","OK")))))</f>
        <v/>
      </c>
      <c r="U212" s="25">
        <f>IF(OR($J212="",NOT(ISNUMBER($O212))),"",IF($O212&lt;=$J212,"Competitivo ("&amp;ROUND(($O212/$J212-1)*100,1)&amp;"%)","Acima do concorrente (+"&amp;ROUND(($O212/$J212-1)*100,1)&amp;"%)"))</f>
        <v/>
      </c>
    </row>
    <row r="213" spans="1:21">
      <c r="A213" s="13"/>
      <c r="B213" s="13"/>
      <c r="C213" s="13"/>
      <c r="D213" s="19"/>
      <c r="E213" s="19"/>
      <c r="F213" s="20"/>
      <c r="G213" s="20"/>
      <c r="H213" s="20"/>
      <c r="I213" s="20"/>
      <c r="J213" s="19"/>
      <c r="K213" s="19"/>
      <c r="L213" s="21">
        <f>IF(OR($B213="",$D213=""),"",$D213+N($E213))</f>
        <v/>
      </c>
      <c r="M213" s="22">
        <f>IF($L213="","",IF($F213="",pImp,$F213)+IF($G213="",pCom,$G213)+IF($H213="",pTax,$H213)+pFixo+IF($I213="",pLucro,$I213))</f>
        <v/>
      </c>
      <c r="N213" s="21">
        <f>IF($L213="","",IF($M213&gt;=1,"Revisar %",$L213/(1-$M213)))</f>
        <v/>
      </c>
      <c r="O213" s="23">
        <f>IF(ISNUMBER($N213),ROUNDUP($N213,0)+IF(ROUNDUP($N213,0)-0.1&gt;=$N213,-0.1,0.9),$N213)</f>
        <v/>
      </c>
      <c r="P213" s="24">
        <f>IF(AND(ISNUMBER($O213),N($L213)&gt;0),$O213/$L213,"")</f>
        <v/>
      </c>
      <c r="Q213" s="21">
        <f>IF(ISNUMBER($N213),$L213/(1-($M213-IF($I213="",pLucro,$I213))),"")</f>
        <v/>
      </c>
      <c r="R213" s="21">
        <f>IF(OR($K213="",NOT(ISNUMBER($N213))),"",$K213*(1-($M213-IF($I213="",pLucro,$I213)))-$L213)</f>
        <v/>
      </c>
      <c r="S213" s="22">
        <f>IF($R213="","",$R213/$K213)</f>
        <v/>
      </c>
      <c r="T213" s="25">
        <f>IF($L213="","",IF(NOT(ISNUMBER($N213)),"Revisar %",IF($K213="","Sem preço atual",IF($R213&lt;0,"PREJUÍZO",IF($K213&lt;$N213,"Abaixo do ideal","OK")))))</f>
        <v/>
      </c>
      <c r="U213" s="25">
        <f>IF(OR($J213="",NOT(ISNUMBER($O213))),"",IF($O213&lt;=$J213,"Competitivo ("&amp;ROUND(($O213/$J213-1)*100,1)&amp;"%)","Acima do concorrente (+"&amp;ROUND(($O213/$J213-1)*100,1)&amp;"%)"))</f>
        <v/>
      </c>
    </row>
    <row r="214" spans="1:21">
      <c r="A214" s="13"/>
      <c r="B214" s="13"/>
      <c r="C214" s="13"/>
      <c r="D214" s="19"/>
      <c r="E214" s="19"/>
      <c r="F214" s="20"/>
      <c r="G214" s="20"/>
      <c r="H214" s="20"/>
      <c r="I214" s="20"/>
      <c r="J214" s="19"/>
      <c r="K214" s="19"/>
      <c r="L214" s="21">
        <f>IF(OR($B214="",$D214=""),"",$D214+N($E214))</f>
        <v/>
      </c>
      <c r="M214" s="22">
        <f>IF($L214="","",IF($F214="",pImp,$F214)+IF($G214="",pCom,$G214)+IF($H214="",pTax,$H214)+pFixo+IF($I214="",pLucro,$I214))</f>
        <v/>
      </c>
      <c r="N214" s="21">
        <f>IF($L214="","",IF($M214&gt;=1,"Revisar %",$L214/(1-$M214)))</f>
        <v/>
      </c>
      <c r="O214" s="23">
        <f>IF(ISNUMBER($N214),ROUNDUP($N214,0)+IF(ROUNDUP($N214,0)-0.1&gt;=$N214,-0.1,0.9),$N214)</f>
        <v/>
      </c>
      <c r="P214" s="24">
        <f>IF(AND(ISNUMBER($O214),N($L214)&gt;0),$O214/$L214,"")</f>
        <v/>
      </c>
      <c r="Q214" s="21">
        <f>IF(ISNUMBER($N214),$L214/(1-($M214-IF($I214="",pLucro,$I214))),"")</f>
        <v/>
      </c>
      <c r="R214" s="21">
        <f>IF(OR($K214="",NOT(ISNUMBER($N214))),"",$K214*(1-($M214-IF($I214="",pLucro,$I214)))-$L214)</f>
        <v/>
      </c>
      <c r="S214" s="22">
        <f>IF($R214="","",$R214/$K214)</f>
        <v/>
      </c>
      <c r="T214" s="25">
        <f>IF($L214="","",IF(NOT(ISNUMBER($N214)),"Revisar %",IF($K214="","Sem preço atual",IF($R214&lt;0,"PREJUÍZO",IF($K214&lt;$N214,"Abaixo do ideal","OK")))))</f>
        <v/>
      </c>
      <c r="U214" s="25">
        <f>IF(OR($J214="",NOT(ISNUMBER($O214))),"",IF($O214&lt;=$J214,"Competitivo ("&amp;ROUND(($O214/$J214-1)*100,1)&amp;"%)","Acima do concorrente (+"&amp;ROUND(($O214/$J214-1)*100,1)&amp;"%)"))</f>
        <v/>
      </c>
    </row>
    <row r="215" spans="1:21">
      <c r="A215" s="13"/>
      <c r="B215" s="13"/>
      <c r="C215" s="13"/>
      <c r="D215" s="19"/>
      <c r="E215" s="19"/>
      <c r="F215" s="20"/>
      <c r="G215" s="20"/>
      <c r="H215" s="20"/>
      <c r="I215" s="20"/>
      <c r="J215" s="19"/>
      <c r="K215" s="19"/>
      <c r="L215" s="21">
        <f>IF(OR($B215="",$D215=""),"",$D215+N($E215))</f>
        <v/>
      </c>
      <c r="M215" s="22">
        <f>IF($L215="","",IF($F215="",pImp,$F215)+IF($G215="",pCom,$G215)+IF($H215="",pTax,$H215)+pFixo+IF($I215="",pLucro,$I215))</f>
        <v/>
      </c>
      <c r="N215" s="21">
        <f>IF($L215="","",IF($M215&gt;=1,"Revisar %",$L215/(1-$M215)))</f>
        <v/>
      </c>
      <c r="O215" s="23">
        <f>IF(ISNUMBER($N215),ROUNDUP($N215,0)+IF(ROUNDUP($N215,0)-0.1&gt;=$N215,-0.1,0.9),$N215)</f>
        <v/>
      </c>
      <c r="P215" s="24">
        <f>IF(AND(ISNUMBER($O215),N($L215)&gt;0),$O215/$L215,"")</f>
        <v/>
      </c>
      <c r="Q215" s="21">
        <f>IF(ISNUMBER($N215),$L215/(1-($M215-IF($I215="",pLucro,$I215))),"")</f>
        <v/>
      </c>
      <c r="R215" s="21">
        <f>IF(OR($K215="",NOT(ISNUMBER($N215))),"",$K215*(1-($M215-IF($I215="",pLucro,$I215)))-$L215)</f>
        <v/>
      </c>
      <c r="S215" s="22">
        <f>IF($R215="","",$R215/$K215)</f>
        <v/>
      </c>
      <c r="T215" s="25">
        <f>IF($L215="","",IF(NOT(ISNUMBER($N215)),"Revisar %",IF($K215="","Sem preço atual",IF($R215&lt;0,"PREJUÍZO",IF($K215&lt;$N215,"Abaixo do ideal","OK")))))</f>
        <v/>
      </c>
      <c r="U215" s="25">
        <f>IF(OR($J215="",NOT(ISNUMBER($O215))),"",IF($O215&lt;=$J215,"Competitivo ("&amp;ROUND(($O215/$J215-1)*100,1)&amp;"%)","Acima do concorrente (+"&amp;ROUND(($O215/$J215-1)*100,1)&amp;"%)"))</f>
        <v/>
      </c>
    </row>
    <row r="216" spans="1:21">
      <c r="A216" s="13"/>
      <c r="B216" s="13"/>
      <c r="C216" s="13"/>
      <c r="D216" s="19"/>
      <c r="E216" s="19"/>
      <c r="F216" s="20"/>
      <c r="G216" s="20"/>
      <c r="H216" s="20"/>
      <c r="I216" s="20"/>
      <c r="J216" s="19"/>
      <c r="K216" s="19"/>
      <c r="L216" s="21">
        <f>IF(OR($B216="",$D216=""),"",$D216+N($E216))</f>
        <v/>
      </c>
      <c r="M216" s="22">
        <f>IF($L216="","",IF($F216="",pImp,$F216)+IF($G216="",pCom,$G216)+IF($H216="",pTax,$H216)+pFixo+IF($I216="",pLucro,$I216))</f>
        <v/>
      </c>
      <c r="N216" s="21">
        <f>IF($L216="","",IF($M216&gt;=1,"Revisar %",$L216/(1-$M216)))</f>
        <v/>
      </c>
      <c r="O216" s="23">
        <f>IF(ISNUMBER($N216),ROUNDUP($N216,0)+IF(ROUNDUP($N216,0)-0.1&gt;=$N216,-0.1,0.9),$N216)</f>
        <v/>
      </c>
      <c r="P216" s="24">
        <f>IF(AND(ISNUMBER($O216),N($L216)&gt;0),$O216/$L216,"")</f>
        <v/>
      </c>
      <c r="Q216" s="21">
        <f>IF(ISNUMBER($N216),$L216/(1-($M216-IF($I216="",pLucro,$I216))),"")</f>
        <v/>
      </c>
      <c r="R216" s="21">
        <f>IF(OR($K216="",NOT(ISNUMBER($N216))),"",$K216*(1-($M216-IF($I216="",pLucro,$I216)))-$L216)</f>
        <v/>
      </c>
      <c r="S216" s="22">
        <f>IF($R216="","",$R216/$K216)</f>
        <v/>
      </c>
      <c r="T216" s="25">
        <f>IF($L216="","",IF(NOT(ISNUMBER($N216)),"Revisar %",IF($K216="","Sem preço atual",IF($R216&lt;0,"PREJUÍZO",IF($K216&lt;$N216,"Abaixo do ideal","OK")))))</f>
        <v/>
      </c>
      <c r="U216" s="25">
        <f>IF(OR($J216="",NOT(ISNUMBER($O216))),"",IF($O216&lt;=$J216,"Competitivo ("&amp;ROUND(($O216/$J216-1)*100,1)&amp;"%)","Acima do concorrente (+"&amp;ROUND(($O216/$J216-1)*100,1)&amp;"%)"))</f>
        <v/>
      </c>
    </row>
    <row r="217" spans="1:21">
      <c r="A217" s="13"/>
      <c r="B217" s="13"/>
      <c r="C217" s="13"/>
      <c r="D217" s="19"/>
      <c r="E217" s="19"/>
      <c r="F217" s="20"/>
      <c r="G217" s="20"/>
      <c r="H217" s="20"/>
      <c r="I217" s="20"/>
      <c r="J217" s="19"/>
      <c r="K217" s="19"/>
      <c r="L217" s="21">
        <f>IF(OR($B217="",$D217=""),"",$D217+N($E217))</f>
        <v/>
      </c>
      <c r="M217" s="22">
        <f>IF($L217="","",IF($F217="",pImp,$F217)+IF($G217="",pCom,$G217)+IF($H217="",pTax,$H217)+pFixo+IF($I217="",pLucro,$I217))</f>
        <v/>
      </c>
      <c r="N217" s="21">
        <f>IF($L217="","",IF($M217&gt;=1,"Revisar %",$L217/(1-$M217)))</f>
        <v/>
      </c>
      <c r="O217" s="23">
        <f>IF(ISNUMBER($N217),ROUNDUP($N217,0)+IF(ROUNDUP($N217,0)-0.1&gt;=$N217,-0.1,0.9),$N217)</f>
        <v/>
      </c>
      <c r="P217" s="24">
        <f>IF(AND(ISNUMBER($O217),N($L217)&gt;0),$O217/$L217,"")</f>
        <v/>
      </c>
      <c r="Q217" s="21">
        <f>IF(ISNUMBER($N217),$L217/(1-($M217-IF($I217="",pLucro,$I217))),"")</f>
        <v/>
      </c>
      <c r="R217" s="21">
        <f>IF(OR($K217="",NOT(ISNUMBER($N217))),"",$K217*(1-($M217-IF($I217="",pLucro,$I217)))-$L217)</f>
        <v/>
      </c>
      <c r="S217" s="22">
        <f>IF($R217="","",$R217/$K217)</f>
        <v/>
      </c>
      <c r="T217" s="25">
        <f>IF($L217="","",IF(NOT(ISNUMBER($N217)),"Revisar %",IF($K217="","Sem preço atual",IF($R217&lt;0,"PREJUÍZO",IF($K217&lt;$N217,"Abaixo do ideal","OK")))))</f>
        <v/>
      </c>
      <c r="U217" s="25">
        <f>IF(OR($J217="",NOT(ISNUMBER($O217))),"",IF($O217&lt;=$J217,"Competitivo ("&amp;ROUND(($O217/$J217-1)*100,1)&amp;"%)","Acima do concorrente (+"&amp;ROUND(($O217/$J217-1)*100,1)&amp;"%)"))</f>
        <v/>
      </c>
    </row>
    <row r="218" spans="1:21">
      <c r="A218" s="13"/>
      <c r="B218" s="13"/>
      <c r="C218" s="13"/>
      <c r="D218" s="19"/>
      <c r="E218" s="19"/>
      <c r="F218" s="20"/>
      <c r="G218" s="20"/>
      <c r="H218" s="20"/>
      <c r="I218" s="20"/>
      <c r="J218" s="19"/>
      <c r="K218" s="19"/>
      <c r="L218" s="21">
        <f>IF(OR($B218="",$D218=""),"",$D218+N($E218))</f>
        <v/>
      </c>
      <c r="M218" s="22">
        <f>IF($L218="","",IF($F218="",pImp,$F218)+IF($G218="",pCom,$G218)+IF($H218="",pTax,$H218)+pFixo+IF($I218="",pLucro,$I218))</f>
        <v/>
      </c>
      <c r="N218" s="21">
        <f>IF($L218="","",IF($M218&gt;=1,"Revisar %",$L218/(1-$M218)))</f>
        <v/>
      </c>
      <c r="O218" s="23">
        <f>IF(ISNUMBER($N218),ROUNDUP($N218,0)+IF(ROUNDUP($N218,0)-0.1&gt;=$N218,-0.1,0.9),$N218)</f>
        <v/>
      </c>
      <c r="P218" s="24">
        <f>IF(AND(ISNUMBER($O218),N($L218)&gt;0),$O218/$L218,"")</f>
        <v/>
      </c>
      <c r="Q218" s="21">
        <f>IF(ISNUMBER($N218),$L218/(1-($M218-IF($I218="",pLucro,$I218))),"")</f>
        <v/>
      </c>
      <c r="R218" s="21">
        <f>IF(OR($K218="",NOT(ISNUMBER($N218))),"",$K218*(1-($M218-IF($I218="",pLucro,$I218)))-$L218)</f>
        <v/>
      </c>
      <c r="S218" s="22">
        <f>IF($R218="","",$R218/$K218)</f>
        <v/>
      </c>
      <c r="T218" s="25">
        <f>IF($L218="","",IF(NOT(ISNUMBER($N218)),"Revisar %",IF($K218="","Sem preço atual",IF($R218&lt;0,"PREJUÍZO",IF($K218&lt;$N218,"Abaixo do ideal","OK")))))</f>
        <v/>
      </c>
      <c r="U218" s="25">
        <f>IF(OR($J218="",NOT(ISNUMBER($O218))),"",IF($O218&lt;=$J218,"Competitivo ("&amp;ROUND(($O218/$J218-1)*100,1)&amp;"%)","Acima do concorrente (+"&amp;ROUND(($O218/$J218-1)*100,1)&amp;"%)"))</f>
        <v/>
      </c>
    </row>
    <row r="219" spans="1:21">
      <c r="A219" s="13"/>
      <c r="B219" s="13"/>
      <c r="C219" s="13"/>
      <c r="D219" s="19"/>
      <c r="E219" s="19"/>
      <c r="F219" s="20"/>
      <c r="G219" s="20"/>
      <c r="H219" s="20"/>
      <c r="I219" s="20"/>
      <c r="J219" s="19"/>
      <c r="K219" s="19"/>
      <c r="L219" s="21">
        <f>IF(OR($B219="",$D219=""),"",$D219+N($E219))</f>
        <v/>
      </c>
      <c r="M219" s="22">
        <f>IF($L219="","",IF($F219="",pImp,$F219)+IF($G219="",pCom,$G219)+IF($H219="",pTax,$H219)+pFixo+IF($I219="",pLucro,$I219))</f>
        <v/>
      </c>
      <c r="N219" s="21">
        <f>IF($L219="","",IF($M219&gt;=1,"Revisar %",$L219/(1-$M219)))</f>
        <v/>
      </c>
      <c r="O219" s="23">
        <f>IF(ISNUMBER($N219),ROUNDUP($N219,0)+IF(ROUNDUP($N219,0)-0.1&gt;=$N219,-0.1,0.9),$N219)</f>
        <v/>
      </c>
      <c r="P219" s="24">
        <f>IF(AND(ISNUMBER($O219),N($L219)&gt;0),$O219/$L219,"")</f>
        <v/>
      </c>
      <c r="Q219" s="21">
        <f>IF(ISNUMBER($N219),$L219/(1-($M219-IF($I219="",pLucro,$I219))),"")</f>
        <v/>
      </c>
      <c r="R219" s="21">
        <f>IF(OR($K219="",NOT(ISNUMBER($N219))),"",$K219*(1-($M219-IF($I219="",pLucro,$I219)))-$L219)</f>
        <v/>
      </c>
      <c r="S219" s="22">
        <f>IF($R219="","",$R219/$K219)</f>
        <v/>
      </c>
      <c r="T219" s="25">
        <f>IF($L219="","",IF(NOT(ISNUMBER($N219)),"Revisar %",IF($K219="","Sem preço atual",IF($R219&lt;0,"PREJUÍZO",IF($K219&lt;$N219,"Abaixo do ideal","OK")))))</f>
        <v/>
      </c>
      <c r="U219" s="25">
        <f>IF(OR($J219="",NOT(ISNUMBER($O219))),"",IF($O219&lt;=$J219,"Competitivo ("&amp;ROUND(($O219/$J219-1)*100,1)&amp;"%)","Acima do concorrente (+"&amp;ROUND(($O219/$J219-1)*100,1)&amp;"%)"))</f>
        <v/>
      </c>
    </row>
    <row r="220" spans="1:21">
      <c r="A220" s="13"/>
      <c r="B220" s="13"/>
      <c r="C220" s="13"/>
      <c r="D220" s="19"/>
      <c r="E220" s="19"/>
      <c r="F220" s="20"/>
      <c r="G220" s="20"/>
      <c r="H220" s="20"/>
      <c r="I220" s="20"/>
      <c r="J220" s="19"/>
      <c r="K220" s="19"/>
      <c r="L220" s="21">
        <f>IF(OR($B220="",$D220=""),"",$D220+N($E220))</f>
        <v/>
      </c>
      <c r="M220" s="22">
        <f>IF($L220="","",IF($F220="",pImp,$F220)+IF($G220="",pCom,$G220)+IF($H220="",pTax,$H220)+pFixo+IF($I220="",pLucro,$I220))</f>
        <v/>
      </c>
      <c r="N220" s="21">
        <f>IF($L220="","",IF($M220&gt;=1,"Revisar %",$L220/(1-$M220)))</f>
        <v/>
      </c>
      <c r="O220" s="23">
        <f>IF(ISNUMBER($N220),ROUNDUP($N220,0)+IF(ROUNDUP($N220,0)-0.1&gt;=$N220,-0.1,0.9),$N220)</f>
        <v/>
      </c>
      <c r="P220" s="24">
        <f>IF(AND(ISNUMBER($O220),N($L220)&gt;0),$O220/$L220,"")</f>
        <v/>
      </c>
      <c r="Q220" s="21">
        <f>IF(ISNUMBER($N220),$L220/(1-($M220-IF($I220="",pLucro,$I220))),"")</f>
        <v/>
      </c>
      <c r="R220" s="21">
        <f>IF(OR($K220="",NOT(ISNUMBER($N220))),"",$K220*(1-($M220-IF($I220="",pLucro,$I220)))-$L220)</f>
        <v/>
      </c>
      <c r="S220" s="22">
        <f>IF($R220="","",$R220/$K220)</f>
        <v/>
      </c>
      <c r="T220" s="25">
        <f>IF($L220="","",IF(NOT(ISNUMBER($N220)),"Revisar %",IF($K220="","Sem preço atual",IF($R220&lt;0,"PREJUÍZO",IF($K220&lt;$N220,"Abaixo do ideal","OK")))))</f>
        <v/>
      </c>
      <c r="U220" s="25">
        <f>IF(OR($J220="",NOT(ISNUMBER($O220))),"",IF($O220&lt;=$J220,"Competitivo ("&amp;ROUND(($O220/$J220-1)*100,1)&amp;"%)","Acima do concorrente (+"&amp;ROUND(($O220/$J220-1)*100,1)&amp;"%)"))</f>
        <v/>
      </c>
    </row>
    <row r="221" spans="1:21">
      <c r="A221" s="13"/>
      <c r="B221" s="13"/>
      <c r="C221" s="13"/>
      <c r="D221" s="19"/>
      <c r="E221" s="19"/>
      <c r="F221" s="20"/>
      <c r="G221" s="20"/>
      <c r="H221" s="20"/>
      <c r="I221" s="20"/>
      <c r="J221" s="19"/>
      <c r="K221" s="19"/>
      <c r="L221" s="21">
        <f>IF(OR($B221="",$D221=""),"",$D221+N($E221))</f>
        <v/>
      </c>
      <c r="M221" s="22">
        <f>IF($L221="","",IF($F221="",pImp,$F221)+IF($G221="",pCom,$G221)+IF($H221="",pTax,$H221)+pFixo+IF($I221="",pLucro,$I221))</f>
        <v/>
      </c>
      <c r="N221" s="21">
        <f>IF($L221="","",IF($M221&gt;=1,"Revisar %",$L221/(1-$M221)))</f>
        <v/>
      </c>
      <c r="O221" s="23">
        <f>IF(ISNUMBER($N221),ROUNDUP($N221,0)+IF(ROUNDUP($N221,0)-0.1&gt;=$N221,-0.1,0.9),$N221)</f>
        <v/>
      </c>
      <c r="P221" s="24">
        <f>IF(AND(ISNUMBER($O221),N($L221)&gt;0),$O221/$L221,"")</f>
        <v/>
      </c>
      <c r="Q221" s="21">
        <f>IF(ISNUMBER($N221),$L221/(1-($M221-IF($I221="",pLucro,$I221))),"")</f>
        <v/>
      </c>
      <c r="R221" s="21">
        <f>IF(OR($K221="",NOT(ISNUMBER($N221))),"",$K221*(1-($M221-IF($I221="",pLucro,$I221)))-$L221)</f>
        <v/>
      </c>
      <c r="S221" s="22">
        <f>IF($R221="","",$R221/$K221)</f>
        <v/>
      </c>
      <c r="T221" s="25">
        <f>IF($L221="","",IF(NOT(ISNUMBER($N221)),"Revisar %",IF($K221="","Sem preço atual",IF($R221&lt;0,"PREJUÍZO",IF($K221&lt;$N221,"Abaixo do ideal","OK")))))</f>
        <v/>
      </c>
      <c r="U221" s="25">
        <f>IF(OR($J221="",NOT(ISNUMBER($O221))),"",IF($O221&lt;=$J221,"Competitivo ("&amp;ROUND(($O221/$J221-1)*100,1)&amp;"%)","Acima do concorrente (+"&amp;ROUND(($O221/$J221-1)*100,1)&amp;"%)"))</f>
        <v/>
      </c>
    </row>
    <row r="222" spans="1:21">
      <c r="A222" s="13"/>
      <c r="B222" s="13"/>
      <c r="C222" s="13"/>
      <c r="D222" s="19"/>
      <c r="E222" s="19"/>
      <c r="F222" s="20"/>
      <c r="G222" s="20"/>
      <c r="H222" s="20"/>
      <c r="I222" s="20"/>
      <c r="J222" s="19"/>
      <c r="K222" s="19"/>
      <c r="L222" s="21">
        <f>IF(OR($B222="",$D222=""),"",$D222+N($E222))</f>
        <v/>
      </c>
      <c r="M222" s="22">
        <f>IF($L222="","",IF($F222="",pImp,$F222)+IF($G222="",pCom,$G222)+IF($H222="",pTax,$H222)+pFixo+IF($I222="",pLucro,$I222))</f>
        <v/>
      </c>
      <c r="N222" s="21">
        <f>IF($L222="","",IF($M222&gt;=1,"Revisar %",$L222/(1-$M222)))</f>
        <v/>
      </c>
      <c r="O222" s="23">
        <f>IF(ISNUMBER($N222),ROUNDUP($N222,0)+IF(ROUNDUP($N222,0)-0.1&gt;=$N222,-0.1,0.9),$N222)</f>
        <v/>
      </c>
      <c r="P222" s="24">
        <f>IF(AND(ISNUMBER($O222),N($L222)&gt;0),$O222/$L222,"")</f>
        <v/>
      </c>
      <c r="Q222" s="21">
        <f>IF(ISNUMBER($N222),$L222/(1-($M222-IF($I222="",pLucro,$I222))),"")</f>
        <v/>
      </c>
      <c r="R222" s="21">
        <f>IF(OR($K222="",NOT(ISNUMBER($N222))),"",$K222*(1-($M222-IF($I222="",pLucro,$I222)))-$L222)</f>
        <v/>
      </c>
      <c r="S222" s="22">
        <f>IF($R222="","",$R222/$K222)</f>
        <v/>
      </c>
      <c r="T222" s="25">
        <f>IF($L222="","",IF(NOT(ISNUMBER($N222)),"Revisar %",IF($K222="","Sem preço atual",IF($R222&lt;0,"PREJUÍZO",IF($K222&lt;$N222,"Abaixo do ideal","OK")))))</f>
        <v/>
      </c>
      <c r="U222" s="25">
        <f>IF(OR($J222="",NOT(ISNUMBER($O222))),"",IF($O222&lt;=$J222,"Competitivo ("&amp;ROUND(($O222/$J222-1)*100,1)&amp;"%)","Acima do concorrente (+"&amp;ROUND(($O222/$J222-1)*100,1)&amp;"%)"))</f>
        <v/>
      </c>
    </row>
    <row r="223" spans="1:21">
      <c r="A223" s="13"/>
      <c r="B223" s="13"/>
      <c r="C223" s="13"/>
      <c r="D223" s="19"/>
      <c r="E223" s="19"/>
      <c r="F223" s="20"/>
      <c r="G223" s="20"/>
      <c r="H223" s="20"/>
      <c r="I223" s="20"/>
      <c r="J223" s="19"/>
      <c r="K223" s="19"/>
      <c r="L223" s="21">
        <f>IF(OR($B223="",$D223=""),"",$D223+N($E223))</f>
        <v/>
      </c>
      <c r="M223" s="22">
        <f>IF($L223="","",IF($F223="",pImp,$F223)+IF($G223="",pCom,$G223)+IF($H223="",pTax,$H223)+pFixo+IF($I223="",pLucro,$I223))</f>
        <v/>
      </c>
      <c r="N223" s="21">
        <f>IF($L223="","",IF($M223&gt;=1,"Revisar %",$L223/(1-$M223)))</f>
        <v/>
      </c>
      <c r="O223" s="23">
        <f>IF(ISNUMBER($N223),ROUNDUP($N223,0)+IF(ROUNDUP($N223,0)-0.1&gt;=$N223,-0.1,0.9),$N223)</f>
        <v/>
      </c>
      <c r="P223" s="24">
        <f>IF(AND(ISNUMBER($O223),N($L223)&gt;0),$O223/$L223,"")</f>
        <v/>
      </c>
      <c r="Q223" s="21">
        <f>IF(ISNUMBER($N223),$L223/(1-($M223-IF($I223="",pLucro,$I223))),"")</f>
        <v/>
      </c>
      <c r="R223" s="21">
        <f>IF(OR($K223="",NOT(ISNUMBER($N223))),"",$K223*(1-($M223-IF($I223="",pLucro,$I223)))-$L223)</f>
        <v/>
      </c>
      <c r="S223" s="22">
        <f>IF($R223="","",$R223/$K223)</f>
        <v/>
      </c>
      <c r="T223" s="25">
        <f>IF($L223="","",IF(NOT(ISNUMBER($N223)),"Revisar %",IF($K223="","Sem preço atual",IF($R223&lt;0,"PREJUÍZO",IF($K223&lt;$N223,"Abaixo do ideal","OK")))))</f>
        <v/>
      </c>
      <c r="U223" s="25">
        <f>IF(OR($J223="",NOT(ISNUMBER($O223))),"",IF($O223&lt;=$J223,"Competitivo ("&amp;ROUND(($O223/$J223-1)*100,1)&amp;"%)","Acima do concorrente (+"&amp;ROUND(($O223/$J223-1)*100,1)&amp;"%)"))</f>
        <v/>
      </c>
    </row>
    <row r="224" spans="1:21">
      <c r="A224" s="13"/>
      <c r="B224" s="13"/>
      <c r="C224" s="13"/>
      <c r="D224" s="19"/>
      <c r="E224" s="19"/>
      <c r="F224" s="20"/>
      <c r="G224" s="20"/>
      <c r="H224" s="20"/>
      <c r="I224" s="20"/>
      <c r="J224" s="19"/>
      <c r="K224" s="19"/>
      <c r="L224" s="21">
        <f>IF(OR($B224="",$D224=""),"",$D224+N($E224))</f>
        <v/>
      </c>
      <c r="M224" s="22">
        <f>IF($L224="","",IF($F224="",pImp,$F224)+IF($G224="",pCom,$G224)+IF($H224="",pTax,$H224)+pFixo+IF($I224="",pLucro,$I224))</f>
        <v/>
      </c>
      <c r="N224" s="21">
        <f>IF($L224="","",IF($M224&gt;=1,"Revisar %",$L224/(1-$M224)))</f>
        <v/>
      </c>
      <c r="O224" s="23">
        <f>IF(ISNUMBER($N224),ROUNDUP($N224,0)+IF(ROUNDUP($N224,0)-0.1&gt;=$N224,-0.1,0.9),$N224)</f>
        <v/>
      </c>
      <c r="P224" s="24">
        <f>IF(AND(ISNUMBER($O224),N($L224)&gt;0),$O224/$L224,"")</f>
        <v/>
      </c>
      <c r="Q224" s="21">
        <f>IF(ISNUMBER($N224),$L224/(1-($M224-IF($I224="",pLucro,$I224))),"")</f>
        <v/>
      </c>
      <c r="R224" s="21">
        <f>IF(OR($K224="",NOT(ISNUMBER($N224))),"",$K224*(1-($M224-IF($I224="",pLucro,$I224)))-$L224)</f>
        <v/>
      </c>
      <c r="S224" s="22">
        <f>IF($R224="","",$R224/$K224)</f>
        <v/>
      </c>
      <c r="T224" s="25">
        <f>IF($L224="","",IF(NOT(ISNUMBER($N224)),"Revisar %",IF($K224="","Sem preço atual",IF($R224&lt;0,"PREJUÍZO",IF($K224&lt;$N224,"Abaixo do ideal","OK")))))</f>
        <v/>
      </c>
      <c r="U224" s="25">
        <f>IF(OR($J224="",NOT(ISNUMBER($O224))),"",IF($O224&lt;=$J224,"Competitivo ("&amp;ROUND(($O224/$J224-1)*100,1)&amp;"%)","Acima do concorrente (+"&amp;ROUND(($O224/$J224-1)*100,1)&amp;"%)"))</f>
        <v/>
      </c>
    </row>
    <row r="225" spans="1:21">
      <c r="A225" s="13"/>
      <c r="B225" s="13"/>
      <c r="C225" s="13"/>
      <c r="D225" s="19"/>
      <c r="E225" s="19"/>
      <c r="F225" s="20"/>
      <c r="G225" s="20"/>
      <c r="H225" s="20"/>
      <c r="I225" s="20"/>
      <c r="J225" s="19"/>
      <c r="K225" s="19"/>
      <c r="L225" s="21">
        <f>IF(OR($B225="",$D225=""),"",$D225+N($E225))</f>
        <v/>
      </c>
      <c r="M225" s="22">
        <f>IF($L225="","",IF($F225="",pImp,$F225)+IF($G225="",pCom,$G225)+IF($H225="",pTax,$H225)+pFixo+IF($I225="",pLucro,$I225))</f>
        <v/>
      </c>
      <c r="N225" s="21">
        <f>IF($L225="","",IF($M225&gt;=1,"Revisar %",$L225/(1-$M225)))</f>
        <v/>
      </c>
      <c r="O225" s="23">
        <f>IF(ISNUMBER($N225),ROUNDUP($N225,0)+IF(ROUNDUP($N225,0)-0.1&gt;=$N225,-0.1,0.9),$N225)</f>
        <v/>
      </c>
      <c r="P225" s="24">
        <f>IF(AND(ISNUMBER($O225),N($L225)&gt;0),$O225/$L225,"")</f>
        <v/>
      </c>
      <c r="Q225" s="21">
        <f>IF(ISNUMBER($N225),$L225/(1-($M225-IF($I225="",pLucro,$I225))),"")</f>
        <v/>
      </c>
      <c r="R225" s="21">
        <f>IF(OR($K225="",NOT(ISNUMBER($N225))),"",$K225*(1-($M225-IF($I225="",pLucro,$I225)))-$L225)</f>
        <v/>
      </c>
      <c r="S225" s="22">
        <f>IF($R225="","",$R225/$K225)</f>
        <v/>
      </c>
      <c r="T225" s="25">
        <f>IF($L225="","",IF(NOT(ISNUMBER($N225)),"Revisar %",IF($K225="","Sem preço atual",IF($R225&lt;0,"PREJUÍZO",IF($K225&lt;$N225,"Abaixo do ideal","OK")))))</f>
        <v/>
      </c>
      <c r="U225" s="25">
        <f>IF(OR($J225="",NOT(ISNUMBER($O225))),"",IF($O225&lt;=$J225,"Competitivo ("&amp;ROUND(($O225/$J225-1)*100,1)&amp;"%)","Acima do concorrente (+"&amp;ROUND(($O225/$J225-1)*100,1)&amp;"%)"))</f>
        <v/>
      </c>
    </row>
    <row r="226" spans="1:21">
      <c r="A226" s="13"/>
      <c r="B226" s="13"/>
      <c r="C226" s="13"/>
      <c r="D226" s="19"/>
      <c r="E226" s="19"/>
      <c r="F226" s="20"/>
      <c r="G226" s="20"/>
      <c r="H226" s="20"/>
      <c r="I226" s="20"/>
      <c r="J226" s="19"/>
      <c r="K226" s="19"/>
      <c r="L226" s="21">
        <f>IF(OR($B226="",$D226=""),"",$D226+N($E226))</f>
        <v/>
      </c>
      <c r="M226" s="22">
        <f>IF($L226="","",IF($F226="",pImp,$F226)+IF($G226="",pCom,$G226)+IF($H226="",pTax,$H226)+pFixo+IF($I226="",pLucro,$I226))</f>
        <v/>
      </c>
      <c r="N226" s="21">
        <f>IF($L226="","",IF($M226&gt;=1,"Revisar %",$L226/(1-$M226)))</f>
        <v/>
      </c>
      <c r="O226" s="23">
        <f>IF(ISNUMBER($N226),ROUNDUP($N226,0)+IF(ROUNDUP($N226,0)-0.1&gt;=$N226,-0.1,0.9),$N226)</f>
        <v/>
      </c>
      <c r="P226" s="24">
        <f>IF(AND(ISNUMBER($O226),N($L226)&gt;0),$O226/$L226,"")</f>
        <v/>
      </c>
      <c r="Q226" s="21">
        <f>IF(ISNUMBER($N226),$L226/(1-($M226-IF($I226="",pLucro,$I226))),"")</f>
        <v/>
      </c>
      <c r="R226" s="21">
        <f>IF(OR($K226="",NOT(ISNUMBER($N226))),"",$K226*(1-($M226-IF($I226="",pLucro,$I226)))-$L226)</f>
        <v/>
      </c>
      <c r="S226" s="22">
        <f>IF($R226="","",$R226/$K226)</f>
        <v/>
      </c>
      <c r="T226" s="25">
        <f>IF($L226="","",IF(NOT(ISNUMBER($N226)),"Revisar %",IF($K226="","Sem preço atual",IF($R226&lt;0,"PREJUÍZO",IF($K226&lt;$N226,"Abaixo do ideal","OK")))))</f>
        <v/>
      </c>
      <c r="U226" s="25">
        <f>IF(OR($J226="",NOT(ISNUMBER($O226))),"",IF($O226&lt;=$J226,"Competitivo ("&amp;ROUND(($O226/$J226-1)*100,1)&amp;"%)","Acima do concorrente (+"&amp;ROUND(($O226/$J226-1)*100,1)&amp;"%)"))</f>
        <v/>
      </c>
    </row>
    <row r="227" spans="1:21">
      <c r="A227" s="13"/>
      <c r="B227" s="13"/>
      <c r="C227" s="13"/>
      <c r="D227" s="19"/>
      <c r="E227" s="19"/>
      <c r="F227" s="20"/>
      <c r="G227" s="20"/>
      <c r="H227" s="20"/>
      <c r="I227" s="20"/>
      <c r="J227" s="19"/>
      <c r="K227" s="19"/>
      <c r="L227" s="21">
        <f>IF(OR($B227="",$D227=""),"",$D227+N($E227))</f>
        <v/>
      </c>
      <c r="M227" s="22">
        <f>IF($L227="","",IF($F227="",pImp,$F227)+IF($G227="",pCom,$G227)+IF($H227="",pTax,$H227)+pFixo+IF($I227="",pLucro,$I227))</f>
        <v/>
      </c>
      <c r="N227" s="21">
        <f>IF($L227="","",IF($M227&gt;=1,"Revisar %",$L227/(1-$M227)))</f>
        <v/>
      </c>
      <c r="O227" s="23">
        <f>IF(ISNUMBER($N227),ROUNDUP($N227,0)+IF(ROUNDUP($N227,0)-0.1&gt;=$N227,-0.1,0.9),$N227)</f>
        <v/>
      </c>
      <c r="P227" s="24">
        <f>IF(AND(ISNUMBER($O227),N($L227)&gt;0),$O227/$L227,"")</f>
        <v/>
      </c>
      <c r="Q227" s="21">
        <f>IF(ISNUMBER($N227),$L227/(1-($M227-IF($I227="",pLucro,$I227))),"")</f>
        <v/>
      </c>
      <c r="R227" s="21">
        <f>IF(OR($K227="",NOT(ISNUMBER($N227))),"",$K227*(1-($M227-IF($I227="",pLucro,$I227)))-$L227)</f>
        <v/>
      </c>
      <c r="S227" s="22">
        <f>IF($R227="","",$R227/$K227)</f>
        <v/>
      </c>
      <c r="T227" s="25">
        <f>IF($L227="","",IF(NOT(ISNUMBER($N227)),"Revisar %",IF($K227="","Sem preço atual",IF($R227&lt;0,"PREJUÍZO",IF($K227&lt;$N227,"Abaixo do ideal","OK")))))</f>
        <v/>
      </c>
      <c r="U227" s="25">
        <f>IF(OR($J227="",NOT(ISNUMBER($O227))),"",IF($O227&lt;=$J227,"Competitivo ("&amp;ROUND(($O227/$J227-1)*100,1)&amp;"%)","Acima do concorrente (+"&amp;ROUND(($O227/$J227-1)*100,1)&amp;"%)"))</f>
        <v/>
      </c>
    </row>
    <row r="228" spans="1:21">
      <c r="A228" s="13"/>
      <c r="B228" s="13"/>
      <c r="C228" s="13"/>
      <c r="D228" s="19"/>
      <c r="E228" s="19"/>
      <c r="F228" s="20"/>
      <c r="G228" s="20"/>
      <c r="H228" s="20"/>
      <c r="I228" s="20"/>
      <c r="J228" s="19"/>
      <c r="K228" s="19"/>
      <c r="L228" s="21">
        <f>IF(OR($B228="",$D228=""),"",$D228+N($E228))</f>
        <v/>
      </c>
      <c r="M228" s="22">
        <f>IF($L228="","",IF($F228="",pImp,$F228)+IF($G228="",pCom,$G228)+IF($H228="",pTax,$H228)+pFixo+IF($I228="",pLucro,$I228))</f>
        <v/>
      </c>
      <c r="N228" s="21">
        <f>IF($L228="","",IF($M228&gt;=1,"Revisar %",$L228/(1-$M228)))</f>
        <v/>
      </c>
      <c r="O228" s="23">
        <f>IF(ISNUMBER($N228),ROUNDUP($N228,0)+IF(ROUNDUP($N228,0)-0.1&gt;=$N228,-0.1,0.9),$N228)</f>
        <v/>
      </c>
      <c r="P228" s="24">
        <f>IF(AND(ISNUMBER($O228),N($L228)&gt;0),$O228/$L228,"")</f>
        <v/>
      </c>
      <c r="Q228" s="21">
        <f>IF(ISNUMBER($N228),$L228/(1-($M228-IF($I228="",pLucro,$I228))),"")</f>
        <v/>
      </c>
      <c r="R228" s="21">
        <f>IF(OR($K228="",NOT(ISNUMBER($N228))),"",$K228*(1-($M228-IF($I228="",pLucro,$I228)))-$L228)</f>
        <v/>
      </c>
      <c r="S228" s="22">
        <f>IF($R228="","",$R228/$K228)</f>
        <v/>
      </c>
      <c r="T228" s="25">
        <f>IF($L228="","",IF(NOT(ISNUMBER($N228)),"Revisar %",IF($K228="","Sem preço atual",IF($R228&lt;0,"PREJUÍZO",IF($K228&lt;$N228,"Abaixo do ideal","OK")))))</f>
        <v/>
      </c>
      <c r="U228" s="25">
        <f>IF(OR($J228="",NOT(ISNUMBER($O228))),"",IF($O228&lt;=$J228,"Competitivo ("&amp;ROUND(($O228/$J228-1)*100,1)&amp;"%)","Acima do concorrente (+"&amp;ROUND(($O228/$J228-1)*100,1)&amp;"%)"))</f>
        <v/>
      </c>
    </row>
    <row r="229" spans="1:21">
      <c r="A229" s="13"/>
      <c r="B229" s="13"/>
      <c r="C229" s="13"/>
      <c r="D229" s="19"/>
      <c r="E229" s="19"/>
      <c r="F229" s="20"/>
      <c r="G229" s="20"/>
      <c r="H229" s="20"/>
      <c r="I229" s="20"/>
      <c r="J229" s="19"/>
      <c r="K229" s="19"/>
      <c r="L229" s="21">
        <f>IF(OR($B229="",$D229=""),"",$D229+N($E229))</f>
        <v/>
      </c>
      <c r="M229" s="22">
        <f>IF($L229="","",IF($F229="",pImp,$F229)+IF($G229="",pCom,$G229)+IF($H229="",pTax,$H229)+pFixo+IF($I229="",pLucro,$I229))</f>
        <v/>
      </c>
      <c r="N229" s="21">
        <f>IF($L229="","",IF($M229&gt;=1,"Revisar %",$L229/(1-$M229)))</f>
        <v/>
      </c>
      <c r="O229" s="23">
        <f>IF(ISNUMBER($N229),ROUNDUP($N229,0)+IF(ROUNDUP($N229,0)-0.1&gt;=$N229,-0.1,0.9),$N229)</f>
        <v/>
      </c>
      <c r="P229" s="24">
        <f>IF(AND(ISNUMBER($O229),N($L229)&gt;0),$O229/$L229,"")</f>
        <v/>
      </c>
      <c r="Q229" s="21">
        <f>IF(ISNUMBER($N229),$L229/(1-($M229-IF($I229="",pLucro,$I229))),"")</f>
        <v/>
      </c>
      <c r="R229" s="21">
        <f>IF(OR($K229="",NOT(ISNUMBER($N229))),"",$K229*(1-($M229-IF($I229="",pLucro,$I229)))-$L229)</f>
        <v/>
      </c>
      <c r="S229" s="22">
        <f>IF($R229="","",$R229/$K229)</f>
        <v/>
      </c>
      <c r="T229" s="25">
        <f>IF($L229="","",IF(NOT(ISNUMBER($N229)),"Revisar %",IF($K229="","Sem preço atual",IF($R229&lt;0,"PREJUÍZO",IF($K229&lt;$N229,"Abaixo do ideal","OK")))))</f>
        <v/>
      </c>
      <c r="U229" s="25">
        <f>IF(OR($J229="",NOT(ISNUMBER($O229))),"",IF($O229&lt;=$J229,"Competitivo ("&amp;ROUND(($O229/$J229-1)*100,1)&amp;"%)","Acima do concorrente (+"&amp;ROUND(($O229/$J229-1)*100,1)&amp;"%)"))</f>
        <v/>
      </c>
    </row>
    <row r="230" spans="1:21">
      <c r="A230" s="13"/>
      <c r="B230" s="13"/>
      <c r="C230" s="13"/>
      <c r="D230" s="19"/>
      <c r="E230" s="19"/>
      <c r="F230" s="20"/>
      <c r="G230" s="20"/>
      <c r="H230" s="20"/>
      <c r="I230" s="20"/>
      <c r="J230" s="19"/>
      <c r="K230" s="19"/>
      <c r="L230" s="21">
        <f>IF(OR($B230="",$D230=""),"",$D230+N($E230))</f>
        <v/>
      </c>
      <c r="M230" s="22">
        <f>IF($L230="","",IF($F230="",pImp,$F230)+IF($G230="",pCom,$G230)+IF($H230="",pTax,$H230)+pFixo+IF($I230="",pLucro,$I230))</f>
        <v/>
      </c>
      <c r="N230" s="21">
        <f>IF($L230="","",IF($M230&gt;=1,"Revisar %",$L230/(1-$M230)))</f>
        <v/>
      </c>
      <c r="O230" s="23">
        <f>IF(ISNUMBER($N230),ROUNDUP($N230,0)+IF(ROUNDUP($N230,0)-0.1&gt;=$N230,-0.1,0.9),$N230)</f>
        <v/>
      </c>
      <c r="P230" s="24">
        <f>IF(AND(ISNUMBER($O230),N($L230)&gt;0),$O230/$L230,"")</f>
        <v/>
      </c>
      <c r="Q230" s="21">
        <f>IF(ISNUMBER($N230),$L230/(1-($M230-IF($I230="",pLucro,$I230))),"")</f>
        <v/>
      </c>
      <c r="R230" s="21">
        <f>IF(OR($K230="",NOT(ISNUMBER($N230))),"",$K230*(1-($M230-IF($I230="",pLucro,$I230)))-$L230)</f>
        <v/>
      </c>
      <c r="S230" s="22">
        <f>IF($R230="","",$R230/$K230)</f>
        <v/>
      </c>
      <c r="T230" s="25">
        <f>IF($L230="","",IF(NOT(ISNUMBER($N230)),"Revisar %",IF($K230="","Sem preço atual",IF($R230&lt;0,"PREJUÍZO",IF($K230&lt;$N230,"Abaixo do ideal","OK")))))</f>
        <v/>
      </c>
      <c r="U230" s="25">
        <f>IF(OR($J230="",NOT(ISNUMBER($O230))),"",IF($O230&lt;=$J230,"Competitivo ("&amp;ROUND(($O230/$J230-1)*100,1)&amp;"%)","Acima do concorrente (+"&amp;ROUND(($O230/$J230-1)*100,1)&amp;"%)"))</f>
        <v/>
      </c>
    </row>
    <row r="231" spans="1:21">
      <c r="A231" s="13"/>
      <c r="B231" s="13"/>
      <c r="C231" s="13"/>
      <c r="D231" s="19"/>
      <c r="E231" s="19"/>
      <c r="F231" s="20"/>
      <c r="G231" s="20"/>
      <c r="H231" s="20"/>
      <c r="I231" s="20"/>
      <c r="J231" s="19"/>
      <c r="K231" s="19"/>
      <c r="L231" s="21">
        <f>IF(OR($B231="",$D231=""),"",$D231+N($E231))</f>
        <v/>
      </c>
      <c r="M231" s="22">
        <f>IF($L231="","",IF($F231="",pImp,$F231)+IF($G231="",pCom,$G231)+IF($H231="",pTax,$H231)+pFixo+IF($I231="",pLucro,$I231))</f>
        <v/>
      </c>
      <c r="N231" s="21">
        <f>IF($L231="","",IF($M231&gt;=1,"Revisar %",$L231/(1-$M231)))</f>
        <v/>
      </c>
      <c r="O231" s="23">
        <f>IF(ISNUMBER($N231),ROUNDUP($N231,0)+IF(ROUNDUP($N231,0)-0.1&gt;=$N231,-0.1,0.9),$N231)</f>
        <v/>
      </c>
      <c r="P231" s="24">
        <f>IF(AND(ISNUMBER($O231),N($L231)&gt;0),$O231/$L231,"")</f>
        <v/>
      </c>
      <c r="Q231" s="21">
        <f>IF(ISNUMBER($N231),$L231/(1-($M231-IF($I231="",pLucro,$I231))),"")</f>
        <v/>
      </c>
      <c r="R231" s="21">
        <f>IF(OR($K231="",NOT(ISNUMBER($N231))),"",$K231*(1-($M231-IF($I231="",pLucro,$I231)))-$L231)</f>
        <v/>
      </c>
      <c r="S231" s="22">
        <f>IF($R231="","",$R231/$K231)</f>
        <v/>
      </c>
      <c r="T231" s="25">
        <f>IF($L231="","",IF(NOT(ISNUMBER($N231)),"Revisar %",IF($K231="","Sem preço atual",IF($R231&lt;0,"PREJUÍZO",IF($K231&lt;$N231,"Abaixo do ideal","OK")))))</f>
        <v/>
      </c>
      <c r="U231" s="25">
        <f>IF(OR($J231="",NOT(ISNUMBER($O231))),"",IF($O231&lt;=$J231,"Competitivo ("&amp;ROUND(($O231/$J231-1)*100,1)&amp;"%)","Acima do concorrente (+"&amp;ROUND(($O231/$J231-1)*100,1)&amp;"%)"))</f>
        <v/>
      </c>
    </row>
    <row r="232" spans="1:21">
      <c r="A232" s="13"/>
      <c r="B232" s="13"/>
      <c r="C232" s="13"/>
      <c r="D232" s="19"/>
      <c r="E232" s="19"/>
      <c r="F232" s="20"/>
      <c r="G232" s="20"/>
      <c r="H232" s="20"/>
      <c r="I232" s="20"/>
      <c r="J232" s="19"/>
      <c r="K232" s="19"/>
      <c r="L232" s="21">
        <f>IF(OR($B232="",$D232=""),"",$D232+N($E232))</f>
        <v/>
      </c>
      <c r="M232" s="22">
        <f>IF($L232="","",IF($F232="",pImp,$F232)+IF($G232="",pCom,$G232)+IF($H232="",pTax,$H232)+pFixo+IF($I232="",pLucro,$I232))</f>
        <v/>
      </c>
      <c r="N232" s="21">
        <f>IF($L232="","",IF($M232&gt;=1,"Revisar %",$L232/(1-$M232)))</f>
        <v/>
      </c>
      <c r="O232" s="23">
        <f>IF(ISNUMBER($N232),ROUNDUP($N232,0)+IF(ROUNDUP($N232,0)-0.1&gt;=$N232,-0.1,0.9),$N232)</f>
        <v/>
      </c>
      <c r="P232" s="24">
        <f>IF(AND(ISNUMBER($O232),N($L232)&gt;0),$O232/$L232,"")</f>
        <v/>
      </c>
      <c r="Q232" s="21">
        <f>IF(ISNUMBER($N232),$L232/(1-($M232-IF($I232="",pLucro,$I232))),"")</f>
        <v/>
      </c>
      <c r="R232" s="21">
        <f>IF(OR($K232="",NOT(ISNUMBER($N232))),"",$K232*(1-($M232-IF($I232="",pLucro,$I232)))-$L232)</f>
        <v/>
      </c>
      <c r="S232" s="22">
        <f>IF($R232="","",$R232/$K232)</f>
        <v/>
      </c>
      <c r="T232" s="25">
        <f>IF($L232="","",IF(NOT(ISNUMBER($N232)),"Revisar %",IF($K232="","Sem preço atual",IF($R232&lt;0,"PREJUÍZO",IF($K232&lt;$N232,"Abaixo do ideal","OK")))))</f>
        <v/>
      </c>
      <c r="U232" s="25">
        <f>IF(OR($J232="",NOT(ISNUMBER($O232))),"",IF($O232&lt;=$J232,"Competitivo ("&amp;ROUND(($O232/$J232-1)*100,1)&amp;"%)","Acima do concorrente (+"&amp;ROUND(($O232/$J232-1)*100,1)&amp;"%)"))</f>
        <v/>
      </c>
    </row>
    <row r="233" spans="1:21">
      <c r="A233" s="13"/>
      <c r="B233" s="13"/>
      <c r="C233" s="13"/>
      <c r="D233" s="19"/>
      <c r="E233" s="19"/>
      <c r="F233" s="20"/>
      <c r="G233" s="20"/>
      <c r="H233" s="20"/>
      <c r="I233" s="20"/>
      <c r="J233" s="19"/>
      <c r="K233" s="19"/>
      <c r="L233" s="21">
        <f>IF(OR($B233="",$D233=""),"",$D233+N($E233))</f>
        <v/>
      </c>
      <c r="M233" s="22">
        <f>IF($L233="","",IF($F233="",pImp,$F233)+IF($G233="",pCom,$G233)+IF($H233="",pTax,$H233)+pFixo+IF($I233="",pLucro,$I233))</f>
        <v/>
      </c>
      <c r="N233" s="21">
        <f>IF($L233="","",IF($M233&gt;=1,"Revisar %",$L233/(1-$M233)))</f>
        <v/>
      </c>
      <c r="O233" s="23">
        <f>IF(ISNUMBER($N233),ROUNDUP($N233,0)+IF(ROUNDUP($N233,0)-0.1&gt;=$N233,-0.1,0.9),$N233)</f>
        <v/>
      </c>
      <c r="P233" s="24">
        <f>IF(AND(ISNUMBER($O233),N($L233)&gt;0),$O233/$L233,"")</f>
        <v/>
      </c>
      <c r="Q233" s="21">
        <f>IF(ISNUMBER($N233),$L233/(1-($M233-IF($I233="",pLucro,$I233))),"")</f>
        <v/>
      </c>
      <c r="R233" s="21">
        <f>IF(OR($K233="",NOT(ISNUMBER($N233))),"",$K233*(1-($M233-IF($I233="",pLucro,$I233)))-$L233)</f>
        <v/>
      </c>
      <c r="S233" s="22">
        <f>IF($R233="","",$R233/$K233)</f>
        <v/>
      </c>
      <c r="T233" s="25">
        <f>IF($L233="","",IF(NOT(ISNUMBER($N233)),"Revisar %",IF($K233="","Sem preço atual",IF($R233&lt;0,"PREJUÍZO",IF($K233&lt;$N233,"Abaixo do ideal","OK")))))</f>
        <v/>
      </c>
      <c r="U233" s="25">
        <f>IF(OR($J233="",NOT(ISNUMBER($O233))),"",IF($O233&lt;=$J233,"Competitivo ("&amp;ROUND(($O233/$J233-1)*100,1)&amp;"%)","Acima do concorrente (+"&amp;ROUND(($O233/$J233-1)*100,1)&amp;"%)"))</f>
        <v/>
      </c>
    </row>
    <row r="234" spans="1:21">
      <c r="A234" s="13"/>
      <c r="B234" s="13"/>
      <c r="C234" s="13"/>
      <c r="D234" s="19"/>
      <c r="E234" s="19"/>
      <c r="F234" s="20"/>
      <c r="G234" s="20"/>
      <c r="H234" s="20"/>
      <c r="I234" s="20"/>
      <c r="J234" s="19"/>
      <c r="K234" s="19"/>
      <c r="L234" s="21">
        <f>IF(OR($B234="",$D234=""),"",$D234+N($E234))</f>
        <v/>
      </c>
      <c r="M234" s="22">
        <f>IF($L234="","",IF($F234="",pImp,$F234)+IF($G234="",pCom,$G234)+IF($H234="",pTax,$H234)+pFixo+IF($I234="",pLucro,$I234))</f>
        <v/>
      </c>
      <c r="N234" s="21">
        <f>IF($L234="","",IF($M234&gt;=1,"Revisar %",$L234/(1-$M234)))</f>
        <v/>
      </c>
      <c r="O234" s="23">
        <f>IF(ISNUMBER($N234),ROUNDUP($N234,0)+IF(ROUNDUP($N234,0)-0.1&gt;=$N234,-0.1,0.9),$N234)</f>
        <v/>
      </c>
      <c r="P234" s="24">
        <f>IF(AND(ISNUMBER($O234),N($L234)&gt;0),$O234/$L234,"")</f>
        <v/>
      </c>
      <c r="Q234" s="21">
        <f>IF(ISNUMBER($N234),$L234/(1-($M234-IF($I234="",pLucro,$I234))),"")</f>
        <v/>
      </c>
      <c r="R234" s="21">
        <f>IF(OR($K234="",NOT(ISNUMBER($N234))),"",$K234*(1-($M234-IF($I234="",pLucro,$I234)))-$L234)</f>
        <v/>
      </c>
      <c r="S234" s="22">
        <f>IF($R234="","",$R234/$K234)</f>
        <v/>
      </c>
      <c r="T234" s="25">
        <f>IF($L234="","",IF(NOT(ISNUMBER($N234)),"Revisar %",IF($K234="","Sem preço atual",IF($R234&lt;0,"PREJUÍZO",IF($K234&lt;$N234,"Abaixo do ideal","OK")))))</f>
        <v/>
      </c>
      <c r="U234" s="25">
        <f>IF(OR($J234="",NOT(ISNUMBER($O234))),"",IF($O234&lt;=$J234,"Competitivo ("&amp;ROUND(($O234/$J234-1)*100,1)&amp;"%)","Acima do concorrente (+"&amp;ROUND(($O234/$J234-1)*100,1)&amp;"%)"))</f>
        <v/>
      </c>
    </row>
    <row r="235" spans="1:21">
      <c r="A235" s="13"/>
      <c r="B235" s="13"/>
      <c r="C235" s="13"/>
      <c r="D235" s="19"/>
      <c r="E235" s="19"/>
      <c r="F235" s="20"/>
      <c r="G235" s="20"/>
      <c r="H235" s="20"/>
      <c r="I235" s="20"/>
      <c r="J235" s="19"/>
      <c r="K235" s="19"/>
      <c r="L235" s="21">
        <f>IF(OR($B235="",$D235=""),"",$D235+N($E235))</f>
        <v/>
      </c>
      <c r="M235" s="22">
        <f>IF($L235="","",IF($F235="",pImp,$F235)+IF($G235="",pCom,$G235)+IF($H235="",pTax,$H235)+pFixo+IF($I235="",pLucro,$I235))</f>
        <v/>
      </c>
      <c r="N235" s="21">
        <f>IF($L235="","",IF($M235&gt;=1,"Revisar %",$L235/(1-$M235)))</f>
        <v/>
      </c>
      <c r="O235" s="23">
        <f>IF(ISNUMBER($N235),ROUNDUP($N235,0)+IF(ROUNDUP($N235,0)-0.1&gt;=$N235,-0.1,0.9),$N235)</f>
        <v/>
      </c>
      <c r="P235" s="24">
        <f>IF(AND(ISNUMBER($O235),N($L235)&gt;0),$O235/$L235,"")</f>
        <v/>
      </c>
      <c r="Q235" s="21">
        <f>IF(ISNUMBER($N235),$L235/(1-($M235-IF($I235="",pLucro,$I235))),"")</f>
        <v/>
      </c>
      <c r="R235" s="21">
        <f>IF(OR($K235="",NOT(ISNUMBER($N235))),"",$K235*(1-($M235-IF($I235="",pLucro,$I235)))-$L235)</f>
        <v/>
      </c>
      <c r="S235" s="22">
        <f>IF($R235="","",$R235/$K235)</f>
        <v/>
      </c>
      <c r="T235" s="25">
        <f>IF($L235="","",IF(NOT(ISNUMBER($N235)),"Revisar %",IF($K235="","Sem preço atual",IF($R235&lt;0,"PREJUÍZO",IF($K235&lt;$N235,"Abaixo do ideal","OK")))))</f>
        <v/>
      </c>
      <c r="U235" s="25">
        <f>IF(OR($J235="",NOT(ISNUMBER($O235))),"",IF($O235&lt;=$J235,"Competitivo ("&amp;ROUND(($O235/$J235-1)*100,1)&amp;"%)","Acima do concorrente (+"&amp;ROUND(($O235/$J235-1)*100,1)&amp;"%)"))</f>
        <v/>
      </c>
    </row>
    <row r="236" spans="1:21">
      <c r="A236" s="13"/>
      <c r="B236" s="13"/>
      <c r="C236" s="13"/>
      <c r="D236" s="19"/>
      <c r="E236" s="19"/>
      <c r="F236" s="20"/>
      <c r="G236" s="20"/>
      <c r="H236" s="20"/>
      <c r="I236" s="20"/>
      <c r="J236" s="19"/>
      <c r="K236" s="19"/>
      <c r="L236" s="21">
        <f>IF(OR($B236="",$D236=""),"",$D236+N($E236))</f>
        <v/>
      </c>
      <c r="M236" s="22">
        <f>IF($L236="","",IF($F236="",pImp,$F236)+IF($G236="",pCom,$G236)+IF($H236="",pTax,$H236)+pFixo+IF($I236="",pLucro,$I236))</f>
        <v/>
      </c>
      <c r="N236" s="21">
        <f>IF($L236="","",IF($M236&gt;=1,"Revisar %",$L236/(1-$M236)))</f>
        <v/>
      </c>
      <c r="O236" s="23">
        <f>IF(ISNUMBER($N236),ROUNDUP($N236,0)+IF(ROUNDUP($N236,0)-0.1&gt;=$N236,-0.1,0.9),$N236)</f>
        <v/>
      </c>
      <c r="P236" s="24">
        <f>IF(AND(ISNUMBER($O236),N($L236)&gt;0),$O236/$L236,"")</f>
        <v/>
      </c>
      <c r="Q236" s="21">
        <f>IF(ISNUMBER($N236),$L236/(1-($M236-IF($I236="",pLucro,$I236))),"")</f>
        <v/>
      </c>
      <c r="R236" s="21">
        <f>IF(OR($K236="",NOT(ISNUMBER($N236))),"",$K236*(1-($M236-IF($I236="",pLucro,$I236)))-$L236)</f>
        <v/>
      </c>
      <c r="S236" s="22">
        <f>IF($R236="","",$R236/$K236)</f>
        <v/>
      </c>
      <c r="T236" s="25">
        <f>IF($L236="","",IF(NOT(ISNUMBER($N236)),"Revisar %",IF($K236="","Sem preço atual",IF($R236&lt;0,"PREJUÍZO",IF($K236&lt;$N236,"Abaixo do ideal","OK")))))</f>
        <v/>
      </c>
      <c r="U236" s="25">
        <f>IF(OR($J236="",NOT(ISNUMBER($O236))),"",IF($O236&lt;=$J236,"Competitivo ("&amp;ROUND(($O236/$J236-1)*100,1)&amp;"%)","Acima do concorrente (+"&amp;ROUND(($O236/$J236-1)*100,1)&amp;"%)"))</f>
        <v/>
      </c>
    </row>
    <row r="237" spans="1:21">
      <c r="A237" s="13"/>
      <c r="B237" s="13"/>
      <c r="C237" s="13"/>
      <c r="D237" s="19"/>
      <c r="E237" s="19"/>
      <c r="F237" s="20"/>
      <c r="G237" s="20"/>
      <c r="H237" s="20"/>
      <c r="I237" s="20"/>
      <c r="J237" s="19"/>
      <c r="K237" s="19"/>
      <c r="L237" s="21">
        <f>IF(OR($B237="",$D237=""),"",$D237+N($E237))</f>
        <v/>
      </c>
      <c r="M237" s="22">
        <f>IF($L237="","",IF($F237="",pImp,$F237)+IF($G237="",pCom,$G237)+IF($H237="",pTax,$H237)+pFixo+IF($I237="",pLucro,$I237))</f>
        <v/>
      </c>
      <c r="N237" s="21">
        <f>IF($L237="","",IF($M237&gt;=1,"Revisar %",$L237/(1-$M237)))</f>
        <v/>
      </c>
      <c r="O237" s="23">
        <f>IF(ISNUMBER($N237),ROUNDUP($N237,0)+IF(ROUNDUP($N237,0)-0.1&gt;=$N237,-0.1,0.9),$N237)</f>
        <v/>
      </c>
      <c r="P237" s="24">
        <f>IF(AND(ISNUMBER($O237),N($L237)&gt;0),$O237/$L237,"")</f>
        <v/>
      </c>
      <c r="Q237" s="21">
        <f>IF(ISNUMBER($N237),$L237/(1-($M237-IF($I237="",pLucro,$I237))),"")</f>
        <v/>
      </c>
      <c r="R237" s="21">
        <f>IF(OR($K237="",NOT(ISNUMBER($N237))),"",$K237*(1-($M237-IF($I237="",pLucro,$I237)))-$L237)</f>
        <v/>
      </c>
      <c r="S237" s="22">
        <f>IF($R237="","",$R237/$K237)</f>
        <v/>
      </c>
      <c r="T237" s="25">
        <f>IF($L237="","",IF(NOT(ISNUMBER($N237)),"Revisar %",IF($K237="","Sem preço atual",IF($R237&lt;0,"PREJUÍZO",IF($K237&lt;$N237,"Abaixo do ideal","OK")))))</f>
        <v/>
      </c>
      <c r="U237" s="25">
        <f>IF(OR($J237="",NOT(ISNUMBER($O237))),"",IF($O237&lt;=$J237,"Competitivo ("&amp;ROUND(($O237/$J237-1)*100,1)&amp;"%)","Acima do concorrente (+"&amp;ROUND(($O237/$J237-1)*100,1)&amp;"%)"))</f>
        <v/>
      </c>
    </row>
    <row r="238" spans="1:21">
      <c r="A238" s="13"/>
      <c r="B238" s="13"/>
      <c r="C238" s="13"/>
      <c r="D238" s="19"/>
      <c r="E238" s="19"/>
      <c r="F238" s="20"/>
      <c r="G238" s="20"/>
      <c r="H238" s="20"/>
      <c r="I238" s="20"/>
      <c r="J238" s="19"/>
      <c r="K238" s="19"/>
      <c r="L238" s="21">
        <f>IF(OR($B238="",$D238=""),"",$D238+N($E238))</f>
        <v/>
      </c>
      <c r="M238" s="22">
        <f>IF($L238="","",IF($F238="",pImp,$F238)+IF($G238="",pCom,$G238)+IF($H238="",pTax,$H238)+pFixo+IF($I238="",pLucro,$I238))</f>
        <v/>
      </c>
      <c r="N238" s="21">
        <f>IF($L238="","",IF($M238&gt;=1,"Revisar %",$L238/(1-$M238)))</f>
        <v/>
      </c>
      <c r="O238" s="23">
        <f>IF(ISNUMBER($N238),ROUNDUP($N238,0)+IF(ROUNDUP($N238,0)-0.1&gt;=$N238,-0.1,0.9),$N238)</f>
        <v/>
      </c>
      <c r="P238" s="24">
        <f>IF(AND(ISNUMBER($O238),N($L238)&gt;0),$O238/$L238,"")</f>
        <v/>
      </c>
      <c r="Q238" s="21">
        <f>IF(ISNUMBER($N238),$L238/(1-($M238-IF($I238="",pLucro,$I238))),"")</f>
        <v/>
      </c>
      <c r="R238" s="21">
        <f>IF(OR($K238="",NOT(ISNUMBER($N238))),"",$K238*(1-($M238-IF($I238="",pLucro,$I238)))-$L238)</f>
        <v/>
      </c>
      <c r="S238" s="22">
        <f>IF($R238="","",$R238/$K238)</f>
        <v/>
      </c>
      <c r="T238" s="25">
        <f>IF($L238="","",IF(NOT(ISNUMBER($N238)),"Revisar %",IF($K238="","Sem preço atual",IF($R238&lt;0,"PREJUÍZO",IF($K238&lt;$N238,"Abaixo do ideal","OK")))))</f>
        <v/>
      </c>
      <c r="U238" s="25">
        <f>IF(OR($J238="",NOT(ISNUMBER($O238))),"",IF($O238&lt;=$J238,"Competitivo ("&amp;ROUND(($O238/$J238-1)*100,1)&amp;"%)","Acima do concorrente (+"&amp;ROUND(($O238/$J238-1)*100,1)&amp;"%)"))</f>
        <v/>
      </c>
    </row>
    <row r="239" spans="1:21">
      <c r="A239" s="13"/>
      <c r="B239" s="13"/>
      <c r="C239" s="13"/>
      <c r="D239" s="19"/>
      <c r="E239" s="19"/>
      <c r="F239" s="20"/>
      <c r="G239" s="20"/>
      <c r="H239" s="20"/>
      <c r="I239" s="20"/>
      <c r="J239" s="19"/>
      <c r="K239" s="19"/>
      <c r="L239" s="21">
        <f>IF(OR($B239="",$D239=""),"",$D239+N($E239))</f>
        <v/>
      </c>
      <c r="M239" s="22">
        <f>IF($L239="","",IF($F239="",pImp,$F239)+IF($G239="",pCom,$G239)+IF($H239="",pTax,$H239)+pFixo+IF($I239="",pLucro,$I239))</f>
        <v/>
      </c>
      <c r="N239" s="21">
        <f>IF($L239="","",IF($M239&gt;=1,"Revisar %",$L239/(1-$M239)))</f>
        <v/>
      </c>
      <c r="O239" s="23">
        <f>IF(ISNUMBER($N239),ROUNDUP($N239,0)+IF(ROUNDUP($N239,0)-0.1&gt;=$N239,-0.1,0.9),$N239)</f>
        <v/>
      </c>
      <c r="P239" s="24">
        <f>IF(AND(ISNUMBER($O239),N($L239)&gt;0),$O239/$L239,"")</f>
        <v/>
      </c>
      <c r="Q239" s="21">
        <f>IF(ISNUMBER($N239),$L239/(1-($M239-IF($I239="",pLucro,$I239))),"")</f>
        <v/>
      </c>
      <c r="R239" s="21">
        <f>IF(OR($K239="",NOT(ISNUMBER($N239))),"",$K239*(1-($M239-IF($I239="",pLucro,$I239)))-$L239)</f>
        <v/>
      </c>
      <c r="S239" s="22">
        <f>IF($R239="","",$R239/$K239)</f>
        <v/>
      </c>
      <c r="T239" s="25">
        <f>IF($L239="","",IF(NOT(ISNUMBER($N239)),"Revisar %",IF($K239="","Sem preço atual",IF($R239&lt;0,"PREJUÍZO",IF($K239&lt;$N239,"Abaixo do ideal","OK")))))</f>
        <v/>
      </c>
      <c r="U239" s="25">
        <f>IF(OR($J239="",NOT(ISNUMBER($O239))),"",IF($O239&lt;=$J239,"Competitivo ("&amp;ROUND(($O239/$J239-1)*100,1)&amp;"%)","Acima do concorrente (+"&amp;ROUND(($O239/$J239-1)*100,1)&amp;"%)"))</f>
        <v/>
      </c>
    </row>
    <row r="240" spans="1:21">
      <c r="A240" s="13"/>
      <c r="B240" s="13"/>
      <c r="C240" s="13"/>
      <c r="D240" s="19"/>
      <c r="E240" s="19"/>
      <c r="F240" s="20"/>
      <c r="G240" s="20"/>
      <c r="H240" s="20"/>
      <c r="I240" s="20"/>
      <c r="J240" s="19"/>
      <c r="K240" s="19"/>
      <c r="L240" s="21">
        <f>IF(OR($B240="",$D240=""),"",$D240+N($E240))</f>
        <v/>
      </c>
      <c r="M240" s="22">
        <f>IF($L240="","",IF($F240="",pImp,$F240)+IF($G240="",pCom,$G240)+IF($H240="",pTax,$H240)+pFixo+IF($I240="",pLucro,$I240))</f>
        <v/>
      </c>
      <c r="N240" s="21">
        <f>IF($L240="","",IF($M240&gt;=1,"Revisar %",$L240/(1-$M240)))</f>
        <v/>
      </c>
      <c r="O240" s="23">
        <f>IF(ISNUMBER($N240),ROUNDUP($N240,0)+IF(ROUNDUP($N240,0)-0.1&gt;=$N240,-0.1,0.9),$N240)</f>
        <v/>
      </c>
      <c r="P240" s="24">
        <f>IF(AND(ISNUMBER($O240),N($L240)&gt;0),$O240/$L240,"")</f>
        <v/>
      </c>
      <c r="Q240" s="21">
        <f>IF(ISNUMBER($N240),$L240/(1-($M240-IF($I240="",pLucro,$I240))),"")</f>
        <v/>
      </c>
      <c r="R240" s="21">
        <f>IF(OR($K240="",NOT(ISNUMBER($N240))),"",$K240*(1-($M240-IF($I240="",pLucro,$I240)))-$L240)</f>
        <v/>
      </c>
      <c r="S240" s="22">
        <f>IF($R240="","",$R240/$K240)</f>
        <v/>
      </c>
      <c r="T240" s="25">
        <f>IF($L240="","",IF(NOT(ISNUMBER($N240)),"Revisar %",IF($K240="","Sem preço atual",IF($R240&lt;0,"PREJUÍZO",IF($K240&lt;$N240,"Abaixo do ideal","OK")))))</f>
        <v/>
      </c>
      <c r="U240" s="25">
        <f>IF(OR($J240="",NOT(ISNUMBER($O240))),"",IF($O240&lt;=$J240,"Competitivo ("&amp;ROUND(($O240/$J240-1)*100,1)&amp;"%)","Acima do concorrente (+"&amp;ROUND(($O240/$J240-1)*100,1)&amp;"%)"))</f>
        <v/>
      </c>
    </row>
    <row r="241" spans="1:21">
      <c r="A241" s="13"/>
      <c r="B241" s="13"/>
      <c r="C241" s="13"/>
      <c r="D241" s="19"/>
      <c r="E241" s="19"/>
      <c r="F241" s="20"/>
      <c r="G241" s="20"/>
      <c r="H241" s="20"/>
      <c r="I241" s="20"/>
      <c r="J241" s="19"/>
      <c r="K241" s="19"/>
      <c r="L241" s="21">
        <f>IF(OR($B241="",$D241=""),"",$D241+N($E241))</f>
        <v/>
      </c>
      <c r="M241" s="22">
        <f>IF($L241="","",IF($F241="",pImp,$F241)+IF($G241="",pCom,$G241)+IF($H241="",pTax,$H241)+pFixo+IF($I241="",pLucro,$I241))</f>
        <v/>
      </c>
      <c r="N241" s="21">
        <f>IF($L241="","",IF($M241&gt;=1,"Revisar %",$L241/(1-$M241)))</f>
        <v/>
      </c>
      <c r="O241" s="23">
        <f>IF(ISNUMBER($N241),ROUNDUP($N241,0)+IF(ROUNDUP($N241,0)-0.1&gt;=$N241,-0.1,0.9),$N241)</f>
        <v/>
      </c>
      <c r="P241" s="24">
        <f>IF(AND(ISNUMBER($O241),N($L241)&gt;0),$O241/$L241,"")</f>
        <v/>
      </c>
      <c r="Q241" s="21">
        <f>IF(ISNUMBER($N241),$L241/(1-($M241-IF($I241="",pLucro,$I241))),"")</f>
        <v/>
      </c>
      <c r="R241" s="21">
        <f>IF(OR($K241="",NOT(ISNUMBER($N241))),"",$K241*(1-($M241-IF($I241="",pLucro,$I241)))-$L241)</f>
        <v/>
      </c>
      <c r="S241" s="22">
        <f>IF($R241="","",$R241/$K241)</f>
        <v/>
      </c>
      <c r="T241" s="25">
        <f>IF($L241="","",IF(NOT(ISNUMBER($N241)),"Revisar %",IF($K241="","Sem preço atual",IF($R241&lt;0,"PREJUÍZO",IF($K241&lt;$N241,"Abaixo do ideal","OK")))))</f>
        <v/>
      </c>
      <c r="U241" s="25">
        <f>IF(OR($J241="",NOT(ISNUMBER($O241))),"",IF($O241&lt;=$J241,"Competitivo ("&amp;ROUND(($O241/$J241-1)*100,1)&amp;"%)","Acima do concorrente (+"&amp;ROUND(($O241/$J241-1)*100,1)&amp;"%)"))</f>
        <v/>
      </c>
    </row>
    <row r="242" spans="1:21">
      <c r="A242" s="13"/>
      <c r="B242" s="13"/>
      <c r="C242" s="13"/>
      <c r="D242" s="19"/>
      <c r="E242" s="19"/>
      <c r="F242" s="20"/>
      <c r="G242" s="20"/>
      <c r="H242" s="20"/>
      <c r="I242" s="20"/>
      <c r="J242" s="19"/>
      <c r="K242" s="19"/>
      <c r="L242" s="21">
        <f>IF(OR($B242="",$D242=""),"",$D242+N($E242))</f>
        <v/>
      </c>
      <c r="M242" s="22">
        <f>IF($L242="","",IF($F242="",pImp,$F242)+IF($G242="",pCom,$G242)+IF($H242="",pTax,$H242)+pFixo+IF($I242="",pLucro,$I242))</f>
        <v/>
      </c>
      <c r="N242" s="21">
        <f>IF($L242="","",IF($M242&gt;=1,"Revisar %",$L242/(1-$M242)))</f>
        <v/>
      </c>
      <c r="O242" s="23">
        <f>IF(ISNUMBER($N242),ROUNDUP($N242,0)+IF(ROUNDUP($N242,0)-0.1&gt;=$N242,-0.1,0.9),$N242)</f>
        <v/>
      </c>
      <c r="P242" s="24">
        <f>IF(AND(ISNUMBER($O242),N($L242)&gt;0),$O242/$L242,"")</f>
        <v/>
      </c>
      <c r="Q242" s="21">
        <f>IF(ISNUMBER($N242),$L242/(1-($M242-IF($I242="",pLucro,$I242))),"")</f>
        <v/>
      </c>
      <c r="R242" s="21">
        <f>IF(OR($K242="",NOT(ISNUMBER($N242))),"",$K242*(1-($M242-IF($I242="",pLucro,$I242)))-$L242)</f>
        <v/>
      </c>
      <c r="S242" s="22">
        <f>IF($R242="","",$R242/$K242)</f>
        <v/>
      </c>
      <c r="T242" s="25">
        <f>IF($L242="","",IF(NOT(ISNUMBER($N242)),"Revisar %",IF($K242="","Sem preço atual",IF($R242&lt;0,"PREJUÍZO",IF($K242&lt;$N242,"Abaixo do ideal","OK")))))</f>
        <v/>
      </c>
      <c r="U242" s="25">
        <f>IF(OR($J242="",NOT(ISNUMBER($O242))),"",IF($O242&lt;=$J242,"Competitivo ("&amp;ROUND(($O242/$J242-1)*100,1)&amp;"%)","Acima do concorrente (+"&amp;ROUND(($O242/$J242-1)*100,1)&amp;"%)"))</f>
        <v/>
      </c>
    </row>
    <row r="243" spans="1:21">
      <c r="A243" s="13"/>
      <c r="B243" s="13"/>
      <c r="C243" s="13"/>
      <c r="D243" s="19"/>
      <c r="E243" s="19"/>
      <c r="F243" s="20"/>
      <c r="G243" s="20"/>
      <c r="H243" s="20"/>
      <c r="I243" s="20"/>
      <c r="J243" s="19"/>
      <c r="K243" s="19"/>
      <c r="L243" s="21">
        <f>IF(OR($B243="",$D243=""),"",$D243+N($E243))</f>
        <v/>
      </c>
      <c r="M243" s="22">
        <f>IF($L243="","",IF($F243="",pImp,$F243)+IF($G243="",pCom,$G243)+IF($H243="",pTax,$H243)+pFixo+IF($I243="",pLucro,$I243))</f>
        <v/>
      </c>
      <c r="N243" s="21">
        <f>IF($L243="","",IF($M243&gt;=1,"Revisar %",$L243/(1-$M243)))</f>
        <v/>
      </c>
      <c r="O243" s="23">
        <f>IF(ISNUMBER($N243),ROUNDUP($N243,0)+IF(ROUNDUP($N243,0)-0.1&gt;=$N243,-0.1,0.9),$N243)</f>
        <v/>
      </c>
      <c r="P243" s="24">
        <f>IF(AND(ISNUMBER($O243),N($L243)&gt;0),$O243/$L243,"")</f>
        <v/>
      </c>
      <c r="Q243" s="21">
        <f>IF(ISNUMBER($N243),$L243/(1-($M243-IF($I243="",pLucro,$I243))),"")</f>
        <v/>
      </c>
      <c r="R243" s="21">
        <f>IF(OR($K243="",NOT(ISNUMBER($N243))),"",$K243*(1-($M243-IF($I243="",pLucro,$I243)))-$L243)</f>
        <v/>
      </c>
      <c r="S243" s="22">
        <f>IF($R243="","",$R243/$K243)</f>
        <v/>
      </c>
      <c r="T243" s="25">
        <f>IF($L243="","",IF(NOT(ISNUMBER($N243)),"Revisar %",IF($K243="","Sem preço atual",IF($R243&lt;0,"PREJUÍZO",IF($K243&lt;$N243,"Abaixo do ideal","OK")))))</f>
        <v/>
      </c>
      <c r="U243" s="25">
        <f>IF(OR($J243="",NOT(ISNUMBER($O243))),"",IF($O243&lt;=$J243,"Competitivo ("&amp;ROUND(($O243/$J243-1)*100,1)&amp;"%)","Acima do concorrente (+"&amp;ROUND(($O243/$J243-1)*100,1)&amp;"%)"))</f>
        <v/>
      </c>
    </row>
    <row r="244" spans="1:21">
      <c r="A244" s="13"/>
      <c r="B244" s="13"/>
      <c r="C244" s="13"/>
      <c r="D244" s="19"/>
      <c r="E244" s="19"/>
      <c r="F244" s="20"/>
      <c r="G244" s="20"/>
      <c r="H244" s="20"/>
      <c r="I244" s="20"/>
      <c r="J244" s="19"/>
      <c r="K244" s="19"/>
      <c r="L244" s="21">
        <f>IF(OR($B244="",$D244=""),"",$D244+N($E244))</f>
        <v/>
      </c>
      <c r="M244" s="22">
        <f>IF($L244="","",IF($F244="",pImp,$F244)+IF($G244="",pCom,$G244)+IF($H244="",pTax,$H244)+pFixo+IF($I244="",pLucro,$I244))</f>
        <v/>
      </c>
      <c r="N244" s="21">
        <f>IF($L244="","",IF($M244&gt;=1,"Revisar %",$L244/(1-$M244)))</f>
        <v/>
      </c>
      <c r="O244" s="23">
        <f>IF(ISNUMBER($N244),ROUNDUP($N244,0)+IF(ROUNDUP($N244,0)-0.1&gt;=$N244,-0.1,0.9),$N244)</f>
        <v/>
      </c>
      <c r="P244" s="24">
        <f>IF(AND(ISNUMBER($O244),N($L244)&gt;0),$O244/$L244,"")</f>
        <v/>
      </c>
      <c r="Q244" s="21">
        <f>IF(ISNUMBER($N244),$L244/(1-($M244-IF($I244="",pLucro,$I244))),"")</f>
        <v/>
      </c>
      <c r="R244" s="21">
        <f>IF(OR($K244="",NOT(ISNUMBER($N244))),"",$K244*(1-($M244-IF($I244="",pLucro,$I244)))-$L244)</f>
        <v/>
      </c>
      <c r="S244" s="22">
        <f>IF($R244="","",$R244/$K244)</f>
        <v/>
      </c>
      <c r="T244" s="25">
        <f>IF($L244="","",IF(NOT(ISNUMBER($N244)),"Revisar %",IF($K244="","Sem preço atual",IF($R244&lt;0,"PREJUÍZO",IF($K244&lt;$N244,"Abaixo do ideal","OK")))))</f>
        <v/>
      </c>
      <c r="U244" s="25">
        <f>IF(OR($J244="",NOT(ISNUMBER($O244))),"",IF($O244&lt;=$J244,"Competitivo ("&amp;ROUND(($O244/$J244-1)*100,1)&amp;"%)","Acima do concorrente (+"&amp;ROUND(($O244/$J244-1)*100,1)&amp;"%)"))</f>
        <v/>
      </c>
    </row>
    <row r="245" spans="1:21">
      <c r="A245" s="13"/>
      <c r="B245" s="13"/>
      <c r="C245" s="13"/>
      <c r="D245" s="19"/>
      <c r="E245" s="19"/>
      <c r="F245" s="20"/>
      <c r="G245" s="20"/>
      <c r="H245" s="20"/>
      <c r="I245" s="20"/>
      <c r="J245" s="19"/>
      <c r="K245" s="19"/>
      <c r="L245" s="21">
        <f>IF(OR($B245="",$D245=""),"",$D245+N($E245))</f>
        <v/>
      </c>
      <c r="M245" s="22">
        <f>IF($L245="","",IF($F245="",pImp,$F245)+IF($G245="",pCom,$G245)+IF($H245="",pTax,$H245)+pFixo+IF($I245="",pLucro,$I245))</f>
        <v/>
      </c>
      <c r="N245" s="21">
        <f>IF($L245="","",IF($M245&gt;=1,"Revisar %",$L245/(1-$M245)))</f>
        <v/>
      </c>
      <c r="O245" s="23">
        <f>IF(ISNUMBER($N245),ROUNDUP($N245,0)+IF(ROUNDUP($N245,0)-0.1&gt;=$N245,-0.1,0.9),$N245)</f>
        <v/>
      </c>
      <c r="P245" s="24">
        <f>IF(AND(ISNUMBER($O245),N($L245)&gt;0),$O245/$L245,"")</f>
        <v/>
      </c>
      <c r="Q245" s="21">
        <f>IF(ISNUMBER($N245),$L245/(1-($M245-IF($I245="",pLucro,$I245))),"")</f>
        <v/>
      </c>
      <c r="R245" s="21">
        <f>IF(OR($K245="",NOT(ISNUMBER($N245))),"",$K245*(1-($M245-IF($I245="",pLucro,$I245)))-$L245)</f>
        <v/>
      </c>
      <c r="S245" s="22">
        <f>IF($R245="","",$R245/$K245)</f>
        <v/>
      </c>
      <c r="T245" s="25">
        <f>IF($L245="","",IF(NOT(ISNUMBER($N245)),"Revisar %",IF($K245="","Sem preço atual",IF($R245&lt;0,"PREJUÍZO",IF($K245&lt;$N245,"Abaixo do ideal","OK")))))</f>
        <v/>
      </c>
      <c r="U245" s="25">
        <f>IF(OR($J245="",NOT(ISNUMBER($O245))),"",IF($O245&lt;=$J245,"Competitivo ("&amp;ROUND(($O245/$J245-1)*100,1)&amp;"%)","Acima do concorrente (+"&amp;ROUND(($O245/$J245-1)*100,1)&amp;"%)"))</f>
        <v/>
      </c>
    </row>
    <row r="246" spans="1:21">
      <c r="A246" s="13"/>
      <c r="B246" s="13"/>
      <c r="C246" s="13"/>
      <c r="D246" s="19"/>
      <c r="E246" s="19"/>
      <c r="F246" s="20"/>
      <c r="G246" s="20"/>
      <c r="H246" s="20"/>
      <c r="I246" s="20"/>
      <c r="J246" s="19"/>
      <c r="K246" s="19"/>
      <c r="L246" s="21">
        <f>IF(OR($B246="",$D246=""),"",$D246+N($E246))</f>
        <v/>
      </c>
      <c r="M246" s="22">
        <f>IF($L246="","",IF($F246="",pImp,$F246)+IF($G246="",pCom,$G246)+IF($H246="",pTax,$H246)+pFixo+IF($I246="",pLucro,$I246))</f>
        <v/>
      </c>
      <c r="N246" s="21">
        <f>IF($L246="","",IF($M246&gt;=1,"Revisar %",$L246/(1-$M246)))</f>
        <v/>
      </c>
      <c r="O246" s="23">
        <f>IF(ISNUMBER($N246),ROUNDUP($N246,0)+IF(ROUNDUP($N246,0)-0.1&gt;=$N246,-0.1,0.9),$N246)</f>
        <v/>
      </c>
      <c r="P246" s="24">
        <f>IF(AND(ISNUMBER($O246),N($L246)&gt;0),$O246/$L246,"")</f>
        <v/>
      </c>
      <c r="Q246" s="21">
        <f>IF(ISNUMBER($N246),$L246/(1-($M246-IF($I246="",pLucro,$I246))),"")</f>
        <v/>
      </c>
      <c r="R246" s="21">
        <f>IF(OR($K246="",NOT(ISNUMBER($N246))),"",$K246*(1-($M246-IF($I246="",pLucro,$I246)))-$L246)</f>
        <v/>
      </c>
      <c r="S246" s="22">
        <f>IF($R246="","",$R246/$K246)</f>
        <v/>
      </c>
      <c r="T246" s="25">
        <f>IF($L246="","",IF(NOT(ISNUMBER($N246)),"Revisar %",IF($K246="","Sem preço atual",IF($R246&lt;0,"PREJUÍZO",IF($K246&lt;$N246,"Abaixo do ideal","OK")))))</f>
        <v/>
      </c>
      <c r="U246" s="25">
        <f>IF(OR($J246="",NOT(ISNUMBER($O246))),"",IF($O246&lt;=$J246,"Competitivo ("&amp;ROUND(($O246/$J246-1)*100,1)&amp;"%)","Acima do concorrente (+"&amp;ROUND(($O246/$J246-1)*100,1)&amp;"%)"))</f>
        <v/>
      </c>
    </row>
    <row r="247" spans="1:21">
      <c r="A247" s="13"/>
      <c r="B247" s="13"/>
      <c r="C247" s="13"/>
      <c r="D247" s="19"/>
      <c r="E247" s="19"/>
      <c r="F247" s="20"/>
      <c r="G247" s="20"/>
      <c r="H247" s="20"/>
      <c r="I247" s="20"/>
      <c r="J247" s="19"/>
      <c r="K247" s="19"/>
      <c r="L247" s="21">
        <f>IF(OR($B247="",$D247=""),"",$D247+N($E247))</f>
        <v/>
      </c>
      <c r="M247" s="22">
        <f>IF($L247="","",IF($F247="",pImp,$F247)+IF($G247="",pCom,$G247)+IF($H247="",pTax,$H247)+pFixo+IF($I247="",pLucro,$I247))</f>
        <v/>
      </c>
      <c r="N247" s="21">
        <f>IF($L247="","",IF($M247&gt;=1,"Revisar %",$L247/(1-$M247)))</f>
        <v/>
      </c>
      <c r="O247" s="23">
        <f>IF(ISNUMBER($N247),ROUNDUP($N247,0)+IF(ROUNDUP($N247,0)-0.1&gt;=$N247,-0.1,0.9),$N247)</f>
        <v/>
      </c>
      <c r="P247" s="24">
        <f>IF(AND(ISNUMBER($O247),N($L247)&gt;0),$O247/$L247,"")</f>
        <v/>
      </c>
      <c r="Q247" s="21">
        <f>IF(ISNUMBER($N247),$L247/(1-($M247-IF($I247="",pLucro,$I247))),"")</f>
        <v/>
      </c>
      <c r="R247" s="21">
        <f>IF(OR($K247="",NOT(ISNUMBER($N247))),"",$K247*(1-($M247-IF($I247="",pLucro,$I247)))-$L247)</f>
        <v/>
      </c>
      <c r="S247" s="22">
        <f>IF($R247="","",$R247/$K247)</f>
        <v/>
      </c>
      <c r="T247" s="25">
        <f>IF($L247="","",IF(NOT(ISNUMBER($N247)),"Revisar %",IF($K247="","Sem preço atual",IF($R247&lt;0,"PREJUÍZO",IF($K247&lt;$N247,"Abaixo do ideal","OK")))))</f>
        <v/>
      </c>
      <c r="U247" s="25">
        <f>IF(OR($J247="",NOT(ISNUMBER($O247))),"",IF($O247&lt;=$J247,"Competitivo ("&amp;ROUND(($O247/$J247-1)*100,1)&amp;"%)","Acima do concorrente (+"&amp;ROUND(($O247/$J247-1)*100,1)&amp;"%)"))</f>
        <v/>
      </c>
    </row>
    <row r="248" spans="1:21">
      <c r="A248" s="13"/>
      <c r="B248" s="13"/>
      <c r="C248" s="13"/>
      <c r="D248" s="19"/>
      <c r="E248" s="19"/>
      <c r="F248" s="20"/>
      <c r="G248" s="20"/>
      <c r="H248" s="20"/>
      <c r="I248" s="20"/>
      <c r="J248" s="19"/>
      <c r="K248" s="19"/>
      <c r="L248" s="21">
        <f>IF(OR($B248="",$D248=""),"",$D248+N($E248))</f>
        <v/>
      </c>
      <c r="M248" s="22">
        <f>IF($L248="","",IF($F248="",pImp,$F248)+IF($G248="",pCom,$G248)+IF($H248="",pTax,$H248)+pFixo+IF($I248="",pLucro,$I248))</f>
        <v/>
      </c>
      <c r="N248" s="21">
        <f>IF($L248="","",IF($M248&gt;=1,"Revisar %",$L248/(1-$M248)))</f>
        <v/>
      </c>
      <c r="O248" s="23">
        <f>IF(ISNUMBER($N248),ROUNDUP($N248,0)+IF(ROUNDUP($N248,0)-0.1&gt;=$N248,-0.1,0.9),$N248)</f>
        <v/>
      </c>
      <c r="P248" s="24">
        <f>IF(AND(ISNUMBER($O248),N($L248)&gt;0),$O248/$L248,"")</f>
        <v/>
      </c>
      <c r="Q248" s="21">
        <f>IF(ISNUMBER($N248),$L248/(1-($M248-IF($I248="",pLucro,$I248))),"")</f>
        <v/>
      </c>
      <c r="R248" s="21">
        <f>IF(OR($K248="",NOT(ISNUMBER($N248))),"",$K248*(1-($M248-IF($I248="",pLucro,$I248)))-$L248)</f>
        <v/>
      </c>
      <c r="S248" s="22">
        <f>IF($R248="","",$R248/$K248)</f>
        <v/>
      </c>
      <c r="T248" s="25">
        <f>IF($L248="","",IF(NOT(ISNUMBER($N248)),"Revisar %",IF($K248="","Sem preço atual",IF($R248&lt;0,"PREJUÍZO",IF($K248&lt;$N248,"Abaixo do ideal","OK")))))</f>
        <v/>
      </c>
      <c r="U248" s="25">
        <f>IF(OR($J248="",NOT(ISNUMBER($O248))),"",IF($O248&lt;=$J248,"Competitivo ("&amp;ROUND(($O248/$J248-1)*100,1)&amp;"%)","Acima do concorrente (+"&amp;ROUND(($O248/$J248-1)*100,1)&amp;"%)"))</f>
        <v/>
      </c>
    </row>
    <row r="249" spans="1:21">
      <c r="A249" s="13"/>
      <c r="B249" s="13"/>
      <c r="C249" s="13"/>
      <c r="D249" s="19"/>
      <c r="E249" s="19"/>
      <c r="F249" s="20"/>
      <c r="G249" s="20"/>
      <c r="H249" s="20"/>
      <c r="I249" s="20"/>
      <c r="J249" s="19"/>
      <c r="K249" s="19"/>
      <c r="L249" s="21">
        <f>IF(OR($B249="",$D249=""),"",$D249+N($E249))</f>
        <v/>
      </c>
      <c r="M249" s="22">
        <f>IF($L249="","",IF($F249="",pImp,$F249)+IF($G249="",pCom,$G249)+IF($H249="",pTax,$H249)+pFixo+IF($I249="",pLucro,$I249))</f>
        <v/>
      </c>
      <c r="N249" s="21">
        <f>IF($L249="","",IF($M249&gt;=1,"Revisar %",$L249/(1-$M249)))</f>
        <v/>
      </c>
      <c r="O249" s="23">
        <f>IF(ISNUMBER($N249),ROUNDUP($N249,0)+IF(ROUNDUP($N249,0)-0.1&gt;=$N249,-0.1,0.9),$N249)</f>
        <v/>
      </c>
      <c r="P249" s="24">
        <f>IF(AND(ISNUMBER($O249),N($L249)&gt;0),$O249/$L249,"")</f>
        <v/>
      </c>
      <c r="Q249" s="21">
        <f>IF(ISNUMBER($N249),$L249/(1-($M249-IF($I249="",pLucro,$I249))),"")</f>
        <v/>
      </c>
      <c r="R249" s="21">
        <f>IF(OR($K249="",NOT(ISNUMBER($N249))),"",$K249*(1-($M249-IF($I249="",pLucro,$I249)))-$L249)</f>
        <v/>
      </c>
      <c r="S249" s="22">
        <f>IF($R249="","",$R249/$K249)</f>
        <v/>
      </c>
      <c r="T249" s="25">
        <f>IF($L249="","",IF(NOT(ISNUMBER($N249)),"Revisar %",IF($K249="","Sem preço atual",IF($R249&lt;0,"PREJUÍZO",IF($K249&lt;$N249,"Abaixo do ideal","OK")))))</f>
        <v/>
      </c>
      <c r="U249" s="25">
        <f>IF(OR($J249="",NOT(ISNUMBER($O249))),"",IF($O249&lt;=$J249,"Competitivo ("&amp;ROUND(($O249/$J249-1)*100,1)&amp;"%)","Acima do concorrente (+"&amp;ROUND(($O249/$J249-1)*100,1)&amp;"%)"))</f>
        <v/>
      </c>
    </row>
    <row r="250" spans="1:21">
      <c r="A250" s="13"/>
      <c r="B250" s="13"/>
      <c r="C250" s="13"/>
      <c r="D250" s="19"/>
      <c r="E250" s="19"/>
      <c r="F250" s="20"/>
      <c r="G250" s="20"/>
      <c r="H250" s="20"/>
      <c r="I250" s="20"/>
      <c r="J250" s="19"/>
      <c r="K250" s="19"/>
      <c r="L250" s="21">
        <f>IF(OR($B250="",$D250=""),"",$D250+N($E250))</f>
        <v/>
      </c>
      <c r="M250" s="22">
        <f>IF($L250="","",IF($F250="",pImp,$F250)+IF($G250="",pCom,$G250)+IF($H250="",pTax,$H250)+pFixo+IF($I250="",pLucro,$I250))</f>
        <v/>
      </c>
      <c r="N250" s="21">
        <f>IF($L250="","",IF($M250&gt;=1,"Revisar %",$L250/(1-$M250)))</f>
        <v/>
      </c>
      <c r="O250" s="23">
        <f>IF(ISNUMBER($N250),ROUNDUP($N250,0)+IF(ROUNDUP($N250,0)-0.1&gt;=$N250,-0.1,0.9),$N250)</f>
        <v/>
      </c>
      <c r="P250" s="24">
        <f>IF(AND(ISNUMBER($O250),N($L250)&gt;0),$O250/$L250,"")</f>
        <v/>
      </c>
      <c r="Q250" s="21">
        <f>IF(ISNUMBER($N250),$L250/(1-($M250-IF($I250="",pLucro,$I250))),"")</f>
        <v/>
      </c>
      <c r="R250" s="21">
        <f>IF(OR($K250="",NOT(ISNUMBER($N250))),"",$K250*(1-($M250-IF($I250="",pLucro,$I250)))-$L250)</f>
        <v/>
      </c>
      <c r="S250" s="22">
        <f>IF($R250="","",$R250/$K250)</f>
        <v/>
      </c>
      <c r="T250" s="25">
        <f>IF($L250="","",IF(NOT(ISNUMBER($N250)),"Revisar %",IF($K250="","Sem preço atual",IF($R250&lt;0,"PREJUÍZO",IF($K250&lt;$N250,"Abaixo do ideal","OK")))))</f>
        <v/>
      </c>
      <c r="U250" s="25">
        <f>IF(OR($J250="",NOT(ISNUMBER($O250))),"",IF($O250&lt;=$J250,"Competitivo ("&amp;ROUND(($O250/$J250-1)*100,1)&amp;"%)","Acima do concorrente (+"&amp;ROUND(($O250/$J250-1)*100,1)&amp;"%)"))</f>
        <v/>
      </c>
    </row>
    <row r="251" spans="1:21">
      <c r="A251" s="13"/>
      <c r="B251" s="13"/>
      <c r="C251" s="13"/>
      <c r="D251" s="19"/>
      <c r="E251" s="19"/>
      <c r="F251" s="20"/>
      <c r="G251" s="20"/>
      <c r="H251" s="20"/>
      <c r="I251" s="20"/>
      <c r="J251" s="19"/>
      <c r="K251" s="19"/>
      <c r="L251" s="21">
        <f>IF(OR($B251="",$D251=""),"",$D251+N($E251))</f>
        <v/>
      </c>
      <c r="M251" s="22">
        <f>IF($L251="","",IF($F251="",pImp,$F251)+IF($G251="",pCom,$G251)+IF($H251="",pTax,$H251)+pFixo+IF($I251="",pLucro,$I251))</f>
        <v/>
      </c>
      <c r="N251" s="21">
        <f>IF($L251="","",IF($M251&gt;=1,"Revisar %",$L251/(1-$M251)))</f>
        <v/>
      </c>
      <c r="O251" s="23">
        <f>IF(ISNUMBER($N251),ROUNDUP($N251,0)+IF(ROUNDUP($N251,0)-0.1&gt;=$N251,-0.1,0.9),$N251)</f>
        <v/>
      </c>
      <c r="P251" s="24">
        <f>IF(AND(ISNUMBER($O251),N($L251)&gt;0),$O251/$L251,"")</f>
        <v/>
      </c>
      <c r="Q251" s="21">
        <f>IF(ISNUMBER($N251),$L251/(1-($M251-IF($I251="",pLucro,$I251))),"")</f>
        <v/>
      </c>
      <c r="R251" s="21">
        <f>IF(OR($K251="",NOT(ISNUMBER($N251))),"",$K251*(1-($M251-IF($I251="",pLucro,$I251)))-$L251)</f>
        <v/>
      </c>
      <c r="S251" s="22">
        <f>IF($R251="","",$R251/$K251)</f>
        <v/>
      </c>
      <c r="T251" s="25">
        <f>IF($L251="","",IF(NOT(ISNUMBER($N251)),"Revisar %",IF($K251="","Sem preço atual",IF($R251&lt;0,"PREJUÍZO",IF($K251&lt;$N251,"Abaixo do ideal","OK")))))</f>
        <v/>
      </c>
      <c r="U251" s="25">
        <f>IF(OR($J251="",NOT(ISNUMBER($O251))),"",IF($O251&lt;=$J251,"Competitivo ("&amp;ROUND(($O251/$J251-1)*100,1)&amp;"%)","Acima do concorrente (+"&amp;ROUND(($O251/$J251-1)*100,1)&amp;"%)"))</f>
        <v/>
      </c>
    </row>
    <row r="252" spans="1:21">
      <c r="A252" s="13"/>
      <c r="B252" s="13"/>
      <c r="C252" s="13"/>
      <c r="D252" s="19"/>
      <c r="E252" s="19"/>
      <c r="F252" s="20"/>
      <c r="G252" s="20"/>
      <c r="H252" s="20"/>
      <c r="I252" s="20"/>
      <c r="J252" s="19"/>
      <c r="K252" s="19"/>
      <c r="L252" s="21">
        <f>IF(OR($B252="",$D252=""),"",$D252+N($E252))</f>
        <v/>
      </c>
      <c r="M252" s="22">
        <f>IF($L252="","",IF($F252="",pImp,$F252)+IF($G252="",pCom,$G252)+IF($H252="",pTax,$H252)+pFixo+IF($I252="",pLucro,$I252))</f>
        <v/>
      </c>
      <c r="N252" s="21">
        <f>IF($L252="","",IF($M252&gt;=1,"Revisar %",$L252/(1-$M252)))</f>
        <v/>
      </c>
      <c r="O252" s="23">
        <f>IF(ISNUMBER($N252),ROUNDUP($N252,0)+IF(ROUNDUP($N252,0)-0.1&gt;=$N252,-0.1,0.9),$N252)</f>
        <v/>
      </c>
      <c r="P252" s="24">
        <f>IF(AND(ISNUMBER($O252),N($L252)&gt;0),$O252/$L252,"")</f>
        <v/>
      </c>
      <c r="Q252" s="21">
        <f>IF(ISNUMBER($N252),$L252/(1-($M252-IF($I252="",pLucro,$I252))),"")</f>
        <v/>
      </c>
      <c r="R252" s="21">
        <f>IF(OR($K252="",NOT(ISNUMBER($N252))),"",$K252*(1-($M252-IF($I252="",pLucro,$I252)))-$L252)</f>
        <v/>
      </c>
      <c r="S252" s="22">
        <f>IF($R252="","",$R252/$K252)</f>
        <v/>
      </c>
      <c r="T252" s="25">
        <f>IF($L252="","",IF(NOT(ISNUMBER($N252)),"Revisar %",IF($K252="","Sem preço atual",IF($R252&lt;0,"PREJUÍZO",IF($K252&lt;$N252,"Abaixo do ideal","OK")))))</f>
        <v/>
      </c>
      <c r="U252" s="25">
        <f>IF(OR($J252="",NOT(ISNUMBER($O252))),"",IF($O252&lt;=$J252,"Competitivo ("&amp;ROUND(($O252/$J252-1)*100,1)&amp;"%)","Acima do concorrente (+"&amp;ROUND(($O252/$J252-1)*100,1)&amp;"%)"))</f>
        <v/>
      </c>
    </row>
    <row r="253" spans="1:21">
      <c r="A253" s="13"/>
      <c r="B253" s="13"/>
      <c r="C253" s="13"/>
      <c r="D253" s="19"/>
      <c r="E253" s="19"/>
      <c r="F253" s="20"/>
      <c r="G253" s="20"/>
      <c r="H253" s="20"/>
      <c r="I253" s="20"/>
      <c r="J253" s="19"/>
      <c r="K253" s="19"/>
      <c r="L253" s="21">
        <f>IF(OR($B253="",$D253=""),"",$D253+N($E253))</f>
        <v/>
      </c>
      <c r="M253" s="22">
        <f>IF($L253="","",IF($F253="",pImp,$F253)+IF($G253="",pCom,$G253)+IF($H253="",pTax,$H253)+pFixo+IF($I253="",pLucro,$I253))</f>
        <v/>
      </c>
      <c r="N253" s="21">
        <f>IF($L253="","",IF($M253&gt;=1,"Revisar %",$L253/(1-$M253)))</f>
        <v/>
      </c>
      <c r="O253" s="23">
        <f>IF(ISNUMBER($N253),ROUNDUP($N253,0)+IF(ROUNDUP($N253,0)-0.1&gt;=$N253,-0.1,0.9),$N253)</f>
        <v/>
      </c>
      <c r="P253" s="24">
        <f>IF(AND(ISNUMBER($O253),N($L253)&gt;0),$O253/$L253,"")</f>
        <v/>
      </c>
      <c r="Q253" s="21">
        <f>IF(ISNUMBER($N253),$L253/(1-($M253-IF($I253="",pLucro,$I253))),"")</f>
        <v/>
      </c>
      <c r="R253" s="21">
        <f>IF(OR($K253="",NOT(ISNUMBER($N253))),"",$K253*(1-($M253-IF($I253="",pLucro,$I253)))-$L253)</f>
        <v/>
      </c>
      <c r="S253" s="22">
        <f>IF($R253="","",$R253/$K253)</f>
        <v/>
      </c>
      <c r="T253" s="25">
        <f>IF($L253="","",IF(NOT(ISNUMBER($N253)),"Revisar %",IF($K253="","Sem preço atual",IF($R253&lt;0,"PREJUÍZO",IF($K253&lt;$N253,"Abaixo do ideal","OK")))))</f>
        <v/>
      </c>
      <c r="U253" s="25">
        <f>IF(OR($J253="",NOT(ISNUMBER($O253))),"",IF($O253&lt;=$J253,"Competitivo ("&amp;ROUND(($O253/$J253-1)*100,1)&amp;"%)","Acima do concorrente (+"&amp;ROUND(($O253/$J253-1)*100,1)&amp;"%)"))</f>
        <v/>
      </c>
    </row>
    <row r="254" spans="1:21">
      <c r="A254" s="13"/>
      <c r="B254" s="13"/>
      <c r="C254" s="13"/>
      <c r="D254" s="19"/>
      <c r="E254" s="19"/>
      <c r="F254" s="20"/>
      <c r="G254" s="20"/>
      <c r="H254" s="20"/>
      <c r="I254" s="20"/>
      <c r="J254" s="19"/>
      <c r="K254" s="19"/>
      <c r="L254" s="21">
        <f>IF(OR($B254="",$D254=""),"",$D254+N($E254))</f>
        <v/>
      </c>
      <c r="M254" s="22">
        <f>IF($L254="","",IF($F254="",pImp,$F254)+IF($G254="",pCom,$G254)+IF($H254="",pTax,$H254)+pFixo+IF($I254="",pLucro,$I254))</f>
        <v/>
      </c>
      <c r="N254" s="21">
        <f>IF($L254="","",IF($M254&gt;=1,"Revisar %",$L254/(1-$M254)))</f>
        <v/>
      </c>
      <c r="O254" s="23">
        <f>IF(ISNUMBER($N254),ROUNDUP($N254,0)+IF(ROUNDUP($N254,0)-0.1&gt;=$N254,-0.1,0.9),$N254)</f>
        <v/>
      </c>
      <c r="P254" s="24">
        <f>IF(AND(ISNUMBER($O254),N($L254)&gt;0),$O254/$L254,"")</f>
        <v/>
      </c>
      <c r="Q254" s="21">
        <f>IF(ISNUMBER($N254),$L254/(1-($M254-IF($I254="",pLucro,$I254))),"")</f>
        <v/>
      </c>
      <c r="R254" s="21">
        <f>IF(OR($K254="",NOT(ISNUMBER($N254))),"",$K254*(1-($M254-IF($I254="",pLucro,$I254)))-$L254)</f>
        <v/>
      </c>
      <c r="S254" s="22">
        <f>IF($R254="","",$R254/$K254)</f>
        <v/>
      </c>
      <c r="T254" s="25">
        <f>IF($L254="","",IF(NOT(ISNUMBER($N254)),"Revisar %",IF($K254="","Sem preço atual",IF($R254&lt;0,"PREJUÍZO",IF($K254&lt;$N254,"Abaixo do ideal","OK")))))</f>
        <v/>
      </c>
      <c r="U254" s="25">
        <f>IF(OR($J254="",NOT(ISNUMBER($O254))),"",IF($O254&lt;=$J254,"Competitivo ("&amp;ROUND(($O254/$J254-1)*100,1)&amp;"%)","Acima do concorrente (+"&amp;ROUND(($O254/$J254-1)*100,1)&amp;"%)"))</f>
        <v/>
      </c>
    </row>
    <row r="255" spans="1:21">
      <c r="A255" s="13"/>
      <c r="B255" s="13"/>
      <c r="C255" s="13"/>
      <c r="D255" s="19"/>
      <c r="E255" s="19"/>
      <c r="F255" s="20"/>
      <c r="G255" s="20"/>
      <c r="H255" s="20"/>
      <c r="I255" s="20"/>
      <c r="J255" s="19"/>
      <c r="K255" s="19"/>
      <c r="L255" s="21">
        <f>IF(OR($B255="",$D255=""),"",$D255+N($E255))</f>
        <v/>
      </c>
      <c r="M255" s="22">
        <f>IF($L255="","",IF($F255="",pImp,$F255)+IF($G255="",pCom,$G255)+IF($H255="",pTax,$H255)+pFixo+IF($I255="",pLucro,$I255))</f>
        <v/>
      </c>
      <c r="N255" s="21">
        <f>IF($L255="","",IF($M255&gt;=1,"Revisar %",$L255/(1-$M255)))</f>
        <v/>
      </c>
      <c r="O255" s="23">
        <f>IF(ISNUMBER($N255),ROUNDUP($N255,0)+IF(ROUNDUP($N255,0)-0.1&gt;=$N255,-0.1,0.9),$N255)</f>
        <v/>
      </c>
      <c r="P255" s="24">
        <f>IF(AND(ISNUMBER($O255),N($L255)&gt;0),$O255/$L255,"")</f>
        <v/>
      </c>
      <c r="Q255" s="21">
        <f>IF(ISNUMBER($N255),$L255/(1-($M255-IF($I255="",pLucro,$I255))),"")</f>
        <v/>
      </c>
      <c r="R255" s="21">
        <f>IF(OR($K255="",NOT(ISNUMBER($N255))),"",$K255*(1-($M255-IF($I255="",pLucro,$I255)))-$L255)</f>
        <v/>
      </c>
      <c r="S255" s="22">
        <f>IF($R255="","",$R255/$K255)</f>
        <v/>
      </c>
      <c r="T255" s="25">
        <f>IF($L255="","",IF(NOT(ISNUMBER($N255)),"Revisar %",IF($K255="","Sem preço atual",IF($R255&lt;0,"PREJUÍZO",IF($K255&lt;$N255,"Abaixo do ideal","OK")))))</f>
        <v/>
      </c>
      <c r="U255" s="25">
        <f>IF(OR($J255="",NOT(ISNUMBER($O255))),"",IF($O255&lt;=$J255,"Competitivo ("&amp;ROUND(($O255/$J255-1)*100,1)&amp;"%)","Acima do concorrente (+"&amp;ROUND(($O255/$J255-1)*100,1)&amp;"%)"))</f>
        <v/>
      </c>
    </row>
    <row r="256" spans="1:21">
      <c r="A256" s="13"/>
      <c r="B256" s="13"/>
      <c r="C256" s="13"/>
      <c r="D256" s="19"/>
      <c r="E256" s="19"/>
      <c r="F256" s="20"/>
      <c r="G256" s="20"/>
      <c r="H256" s="20"/>
      <c r="I256" s="20"/>
      <c r="J256" s="19"/>
      <c r="K256" s="19"/>
      <c r="L256" s="21">
        <f>IF(OR($B256="",$D256=""),"",$D256+N($E256))</f>
        <v/>
      </c>
      <c r="M256" s="22">
        <f>IF($L256="","",IF($F256="",pImp,$F256)+IF($G256="",pCom,$G256)+IF($H256="",pTax,$H256)+pFixo+IF($I256="",pLucro,$I256))</f>
        <v/>
      </c>
      <c r="N256" s="21">
        <f>IF($L256="","",IF($M256&gt;=1,"Revisar %",$L256/(1-$M256)))</f>
        <v/>
      </c>
      <c r="O256" s="23">
        <f>IF(ISNUMBER($N256),ROUNDUP($N256,0)+IF(ROUNDUP($N256,0)-0.1&gt;=$N256,-0.1,0.9),$N256)</f>
        <v/>
      </c>
      <c r="P256" s="24">
        <f>IF(AND(ISNUMBER($O256),N($L256)&gt;0),$O256/$L256,"")</f>
        <v/>
      </c>
      <c r="Q256" s="21">
        <f>IF(ISNUMBER($N256),$L256/(1-($M256-IF($I256="",pLucro,$I256))),"")</f>
        <v/>
      </c>
      <c r="R256" s="21">
        <f>IF(OR($K256="",NOT(ISNUMBER($N256))),"",$K256*(1-($M256-IF($I256="",pLucro,$I256)))-$L256)</f>
        <v/>
      </c>
      <c r="S256" s="22">
        <f>IF($R256="","",$R256/$K256)</f>
        <v/>
      </c>
      <c r="T256" s="25">
        <f>IF($L256="","",IF(NOT(ISNUMBER($N256)),"Revisar %",IF($K256="","Sem preço atual",IF($R256&lt;0,"PREJUÍZO",IF($K256&lt;$N256,"Abaixo do ideal","OK")))))</f>
        <v/>
      </c>
      <c r="U256" s="25">
        <f>IF(OR($J256="",NOT(ISNUMBER($O256))),"",IF($O256&lt;=$J256,"Competitivo ("&amp;ROUND(($O256/$J256-1)*100,1)&amp;"%)","Acima do concorrente (+"&amp;ROUND(($O256/$J256-1)*100,1)&amp;"%)"))</f>
        <v/>
      </c>
    </row>
    <row r="257" spans="1:21">
      <c r="A257" s="13"/>
      <c r="B257" s="13"/>
      <c r="C257" s="13"/>
      <c r="D257" s="19"/>
      <c r="E257" s="19"/>
      <c r="F257" s="20"/>
      <c r="G257" s="20"/>
      <c r="H257" s="20"/>
      <c r="I257" s="20"/>
      <c r="J257" s="19"/>
      <c r="K257" s="19"/>
      <c r="L257" s="21">
        <f>IF(OR($B257="",$D257=""),"",$D257+N($E257))</f>
        <v/>
      </c>
      <c r="M257" s="22">
        <f>IF($L257="","",IF($F257="",pImp,$F257)+IF($G257="",pCom,$G257)+IF($H257="",pTax,$H257)+pFixo+IF($I257="",pLucro,$I257))</f>
        <v/>
      </c>
      <c r="N257" s="21">
        <f>IF($L257="","",IF($M257&gt;=1,"Revisar %",$L257/(1-$M257)))</f>
        <v/>
      </c>
      <c r="O257" s="23">
        <f>IF(ISNUMBER($N257),ROUNDUP($N257,0)+IF(ROUNDUP($N257,0)-0.1&gt;=$N257,-0.1,0.9),$N257)</f>
        <v/>
      </c>
      <c r="P257" s="24">
        <f>IF(AND(ISNUMBER($O257),N($L257)&gt;0),$O257/$L257,"")</f>
        <v/>
      </c>
      <c r="Q257" s="21">
        <f>IF(ISNUMBER($N257),$L257/(1-($M257-IF($I257="",pLucro,$I257))),"")</f>
        <v/>
      </c>
      <c r="R257" s="21">
        <f>IF(OR($K257="",NOT(ISNUMBER($N257))),"",$K257*(1-($M257-IF($I257="",pLucro,$I257)))-$L257)</f>
        <v/>
      </c>
      <c r="S257" s="22">
        <f>IF($R257="","",$R257/$K257)</f>
        <v/>
      </c>
      <c r="T257" s="25">
        <f>IF($L257="","",IF(NOT(ISNUMBER($N257)),"Revisar %",IF($K257="","Sem preço atual",IF($R257&lt;0,"PREJUÍZO",IF($K257&lt;$N257,"Abaixo do ideal","OK")))))</f>
        <v/>
      </c>
      <c r="U257" s="25">
        <f>IF(OR($J257="",NOT(ISNUMBER($O257))),"",IF($O257&lt;=$J257,"Competitivo ("&amp;ROUND(($O257/$J257-1)*100,1)&amp;"%)","Acima do concorrente (+"&amp;ROUND(($O257/$J257-1)*100,1)&amp;"%)"))</f>
        <v/>
      </c>
    </row>
    <row r="258" spans="1:21">
      <c r="A258" s="13"/>
      <c r="B258" s="13"/>
      <c r="C258" s="13"/>
      <c r="D258" s="19"/>
      <c r="E258" s="19"/>
      <c r="F258" s="20"/>
      <c r="G258" s="20"/>
      <c r="H258" s="20"/>
      <c r="I258" s="20"/>
      <c r="J258" s="19"/>
      <c r="K258" s="19"/>
      <c r="L258" s="21">
        <f>IF(OR($B258="",$D258=""),"",$D258+N($E258))</f>
        <v/>
      </c>
      <c r="M258" s="22">
        <f>IF($L258="","",IF($F258="",pImp,$F258)+IF($G258="",pCom,$G258)+IF($H258="",pTax,$H258)+pFixo+IF($I258="",pLucro,$I258))</f>
        <v/>
      </c>
      <c r="N258" s="21">
        <f>IF($L258="","",IF($M258&gt;=1,"Revisar %",$L258/(1-$M258)))</f>
        <v/>
      </c>
      <c r="O258" s="23">
        <f>IF(ISNUMBER($N258),ROUNDUP($N258,0)+IF(ROUNDUP($N258,0)-0.1&gt;=$N258,-0.1,0.9),$N258)</f>
        <v/>
      </c>
      <c r="P258" s="24">
        <f>IF(AND(ISNUMBER($O258),N($L258)&gt;0),$O258/$L258,"")</f>
        <v/>
      </c>
      <c r="Q258" s="21">
        <f>IF(ISNUMBER($N258),$L258/(1-($M258-IF($I258="",pLucro,$I258))),"")</f>
        <v/>
      </c>
      <c r="R258" s="21">
        <f>IF(OR($K258="",NOT(ISNUMBER($N258))),"",$K258*(1-($M258-IF($I258="",pLucro,$I258)))-$L258)</f>
        <v/>
      </c>
      <c r="S258" s="22">
        <f>IF($R258="","",$R258/$K258)</f>
        <v/>
      </c>
      <c r="T258" s="25">
        <f>IF($L258="","",IF(NOT(ISNUMBER($N258)),"Revisar %",IF($K258="","Sem preço atual",IF($R258&lt;0,"PREJUÍZO",IF($K258&lt;$N258,"Abaixo do ideal","OK")))))</f>
        <v/>
      </c>
      <c r="U258" s="25">
        <f>IF(OR($J258="",NOT(ISNUMBER($O258))),"",IF($O258&lt;=$J258,"Competitivo ("&amp;ROUND(($O258/$J258-1)*100,1)&amp;"%)","Acima do concorrente (+"&amp;ROUND(($O258/$J258-1)*100,1)&amp;"%)"))</f>
        <v/>
      </c>
    </row>
    <row r="259" spans="1:21">
      <c r="A259" s="13"/>
      <c r="B259" s="13"/>
      <c r="C259" s="13"/>
      <c r="D259" s="19"/>
      <c r="E259" s="19"/>
      <c r="F259" s="20"/>
      <c r="G259" s="20"/>
      <c r="H259" s="20"/>
      <c r="I259" s="20"/>
      <c r="J259" s="19"/>
      <c r="K259" s="19"/>
      <c r="L259" s="21">
        <f>IF(OR($B259="",$D259=""),"",$D259+N($E259))</f>
        <v/>
      </c>
      <c r="M259" s="22">
        <f>IF($L259="","",IF($F259="",pImp,$F259)+IF($G259="",pCom,$G259)+IF($H259="",pTax,$H259)+pFixo+IF($I259="",pLucro,$I259))</f>
        <v/>
      </c>
      <c r="N259" s="21">
        <f>IF($L259="","",IF($M259&gt;=1,"Revisar %",$L259/(1-$M259)))</f>
        <v/>
      </c>
      <c r="O259" s="23">
        <f>IF(ISNUMBER($N259),ROUNDUP($N259,0)+IF(ROUNDUP($N259,0)-0.1&gt;=$N259,-0.1,0.9),$N259)</f>
        <v/>
      </c>
      <c r="P259" s="24">
        <f>IF(AND(ISNUMBER($O259),N($L259)&gt;0),$O259/$L259,"")</f>
        <v/>
      </c>
      <c r="Q259" s="21">
        <f>IF(ISNUMBER($N259),$L259/(1-($M259-IF($I259="",pLucro,$I259))),"")</f>
        <v/>
      </c>
      <c r="R259" s="21">
        <f>IF(OR($K259="",NOT(ISNUMBER($N259))),"",$K259*(1-($M259-IF($I259="",pLucro,$I259)))-$L259)</f>
        <v/>
      </c>
      <c r="S259" s="22">
        <f>IF($R259="","",$R259/$K259)</f>
        <v/>
      </c>
      <c r="T259" s="25">
        <f>IF($L259="","",IF(NOT(ISNUMBER($N259)),"Revisar %",IF($K259="","Sem preço atual",IF($R259&lt;0,"PREJUÍZO",IF($K259&lt;$N259,"Abaixo do ideal","OK")))))</f>
        <v/>
      </c>
      <c r="U259" s="25">
        <f>IF(OR($J259="",NOT(ISNUMBER($O259))),"",IF($O259&lt;=$J259,"Competitivo ("&amp;ROUND(($O259/$J259-1)*100,1)&amp;"%)","Acima do concorrente (+"&amp;ROUND(($O259/$J259-1)*100,1)&amp;"%)"))</f>
        <v/>
      </c>
    </row>
    <row r="260" spans="1:21">
      <c r="A260" s="13"/>
      <c r="B260" s="13"/>
      <c r="C260" s="13"/>
      <c r="D260" s="19"/>
      <c r="E260" s="19"/>
      <c r="F260" s="20"/>
      <c r="G260" s="20"/>
      <c r="H260" s="20"/>
      <c r="I260" s="20"/>
      <c r="J260" s="19"/>
      <c r="K260" s="19"/>
      <c r="L260" s="21">
        <f>IF(OR($B260="",$D260=""),"",$D260+N($E260))</f>
        <v/>
      </c>
      <c r="M260" s="22">
        <f>IF($L260="","",IF($F260="",pImp,$F260)+IF($G260="",pCom,$G260)+IF($H260="",pTax,$H260)+pFixo+IF($I260="",pLucro,$I260))</f>
        <v/>
      </c>
      <c r="N260" s="21">
        <f>IF($L260="","",IF($M260&gt;=1,"Revisar %",$L260/(1-$M260)))</f>
        <v/>
      </c>
      <c r="O260" s="23">
        <f>IF(ISNUMBER($N260),ROUNDUP($N260,0)+IF(ROUNDUP($N260,0)-0.1&gt;=$N260,-0.1,0.9),$N260)</f>
        <v/>
      </c>
      <c r="P260" s="24">
        <f>IF(AND(ISNUMBER($O260),N($L260)&gt;0),$O260/$L260,"")</f>
        <v/>
      </c>
      <c r="Q260" s="21">
        <f>IF(ISNUMBER($N260),$L260/(1-($M260-IF($I260="",pLucro,$I260))),"")</f>
        <v/>
      </c>
      <c r="R260" s="21">
        <f>IF(OR($K260="",NOT(ISNUMBER($N260))),"",$K260*(1-($M260-IF($I260="",pLucro,$I260)))-$L260)</f>
        <v/>
      </c>
      <c r="S260" s="22">
        <f>IF($R260="","",$R260/$K260)</f>
        <v/>
      </c>
      <c r="T260" s="25">
        <f>IF($L260="","",IF(NOT(ISNUMBER($N260)),"Revisar %",IF($K260="","Sem preço atual",IF($R260&lt;0,"PREJUÍZO",IF($K260&lt;$N260,"Abaixo do ideal","OK")))))</f>
        <v/>
      </c>
      <c r="U260" s="25">
        <f>IF(OR($J260="",NOT(ISNUMBER($O260))),"",IF($O260&lt;=$J260,"Competitivo ("&amp;ROUND(($O260/$J260-1)*100,1)&amp;"%)","Acima do concorrente (+"&amp;ROUND(($O260/$J260-1)*100,1)&amp;"%)"))</f>
        <v/>
      </c>
    </row>
    <row r="261" spans="1:21">
      <c r="A261" s="13"/>
      <c r="B261" s="13"/>
      <c r="C261" s="13"/>
      <c r="D261" s="19"/>
      <c r="E261" s="19"/>
      <c r="F261" s="20"/>
      <c r="G261" s="20"/>
      <c r="H261" s="20"/>
      <c r="I261" s="20"/>
      <c r="J261" s="19"/>
      <c r="K261" s="19"/>
      <c r="L261" s="21">
        <f>IF(OR($B261="",$D261=""),"",$D261+N($E261))</f>
        <v/>
      </c>
      <c r="M261" s="22">
        <f>IF($L261="","",IF($F261="",pImp,$F261)+IF($G261="",pCom,$G261)+IF($H261="",pTax,$H261)+pFixo+IF($I261="",pLucro,$I261))</f>
        <v/>
      </c>
      <c r="N261" s="21">
        <f>IF($L261="","",IF($M261&gt;=1,"Revisar %",$L261/(1-$M261)))</f>
        <v/>
      </c>
      <c r="O261" s="23">
        <f>IF(ISNUMBER($N261),ROUNDUP($N261,0)+IF(ROUNDUP($N261,0)-0.1&gt;=$N261,-0.1,0.9),$N261)</f>
        <v/>
      </c>
      <c r="P261" s="24">
        <f>IF(AND(ISNUMBER($O261),N($L261)&gt;0),$O261/$L261,"")</f>
        <v/>
      </c>
      <c r="Q261" s="21">
        <f>IF(ISNUMBER($N261),$L261/(1-($M261-IF($I261="",pLucro,$I261))),"")</f>
        <v/>
      </c>
      <c r="R261" s="21">
        <f>IF(OR($K261="",NOT(ISNUMBER($N261))),"",$K261*(1-($M261-IF($I261="",pLucro,$I261)))-$L261)</f>
        <v/>
      </c>
      <c r="S261" s="22">
        <f>IF($R261="","",$R261/$K261)</f>
        <v/>
      </c>
      <c r="T261" s="25">
        <f>IF($L261="","",IF(NOT(ISNUMBER($N261)),"Revisar %",IF($K261="","Sem preço atual",IF($R261&lt;0,"PREJUÍZO",IF($K261&lt;$N261,"Abaixo do ideal","OK")))))</f>
        <v/>
      </c>
      <c r="U261" s="25">
        <f>IF(OR($J261="",NOT(ISNUMBER($O261))),"",IF($O261&lt;=$J261,"Competitivo ("&amp;ROUND(($O261/$J261-1)*100,1)&amp;"%)","Acima do concorrente (+"&amp;ROUND(($O261/$J261-1)*100,1)&amp;"%)"))</f>
        <v/>
      </c>
    </row>
    <row r="262" spans="1:21">
      <c r="A262" s="13"/>
      <c r="B262" s="13"/>
      <c r="C262" s="13"/>
      <c r="D262" s="19"/>
      <c r="E262" s="19"/>
      <c r="F262" s="20"/>
      <c r="G262" s="20"/>
      <c r="H262" s="20"/>
      <c r="I262" s="20"/>
      <c r="J262" s="19"/>
      <c r="K262" s="19"/>
      <c r="L262" s="21">
        <f>IF(OR($B262="",$D262=""),"",$D262+N($E262))</f>
        <v/>
      </c>
      <c r="M262" s="22">
        <f>IF($L262="","",IF($F262="",pImp,$F262)+IF($G262="",pCom,$G262)+IF($H262="",pTax,$H262)+pFixo+IF($I262="",pLucro,$I262))</f>
        <v/>
      </c>
      <c r="N262" s="21">
        <f>IF($L262="","",IF($M262&gt;=1,"Revisar %",$L262/(1-$M262)))</f>
        <v/>
      </c>
      <c r="O262" s="23">
        <f>IF(ISNUMBER($N262),ROUNDUP($N262,0)+IF(ROUNDUP($N262,0)-0.1&gt;=$N262,-0.1,0.9),$N262)</f>
        <v/>
      </c>
      <c r="P262" s="24">
        <f>IF(AND(ISNUMBER($O262),N($L262)&gt;0),$O262/$L262,"")</f>
        <v/>
      </c>
      <c r="Q262" s="21">
        <f>IF(ISNUMBER($N262),$L262/(1-($M262-IF($I262="",pLucro,$I262))),"")</f>
        <v/>
      </c>
      <c r="R262" s="21">
        <f>IF(OR($K262="",NOT(ISNUMBER($N262))),"",$K262*(1-($M262-IF($I262="",pLucro,$I262)))-$L262)</f>
        <v/>
      </c>
      <c r="S262" s="22">
        <f>IF($R262="","",$R262/$K262)</f>
        <v/>
      </c>
      <c r="T262" s="25">
        <f>IF($L262="","",IF(NOT(ISNUMBER($N262)),"Revisar %",IF($K262="","Sem preço atual",IF($R262&lt;0,"PREJUÍZO",IF($K262&lt;$N262,"Abaixo do ideal","OK")))))</f>
        <v/>
      </c>
      <c r="U262" s="25">
        <f>IF(OR($J262="",NOT(ISNUMBER($O262))),"",IF($O262&lt;=$J262,"Competitivo ("&amp;ROUND(($O262/$J262-1)*100,1)&amp;"%)","Acima do concorrente (+"&amp;ROUND(($O262/$J262-1)*100,1)&amp;"%)"))</f>
        <v/>
      </c>
    </row>
    <row r="263" spans="1:21">
      <c r="A263" s="13"/>
      <c r="B263" s="13"/>
      <c r="C263" s="13"/>
      <c r="D263" s="19"/>
      <c r="E263" s="19"/>
      <c r="F263" s="20"/>
      <c r="G263" s="20"/>
      <c r="H263" s="20"/>
      <c r="I263" s="20"/>
      <c r="J263" s="19"/>
      <c r="K263" s="19"/>
      <c r="L263" s="21">
        <f>IF(OR($B263="",$D263=""),"",$D263+N($E263))</f>
        <v/>
      </c>
      <c r="M263" s="22">
        <f>IF($L263="","",IF($F263="",pImp,$F263)+IF($G263="",pCom,$G263)+IF($H263="",pTax,$H263)+pFixo+IF($I263="",pLucro,$I263))</f>
        <v/>
      </c>
      <c r="N263" s="21">
        <f>IF($L263="","",IF($M263&gt;=1,"Revisar %",$L263/(1-$M263)))</f>
        <v/>
      </c>
      <c r="O263" s="23">
        <f>IF(ISNUMBER($N263),ROUNDUP($N263,0)+IF(ROUNDUP($N263,0)-0.1&gt;=$N263,-0.1,0.9),$N263)</f>
        <v/>
      </c>
      <c r="P263" s="24">
        <f>IF(AND(ISNUMBER($O263),N($L263)&gt;0),$O263/$L263,"")</f>
        <v/>
      </c>
      <c r="Q263" s="21">
        <f>IF(ISNUMBER($N263),$L263/(1-($M263-IF($I263="",pLucro,$I263))),"")</f>
        <v/>
      </c>
      <c r="R263" s="21">
        <f>IF(OR($K263="",NOT(ISNUMBER($N263))),"",$K263*(1-($M263-IF($I263="",pLucro,$I263)))-$L263)</f>
        <v/>
      </c>
      <c r="S263" s="22">
        <f>IF($R263="","",$R263/$K263)</f>
        <v/>
      </c>
      <c r="T263" s="25">
        <f>IF($L263="","",IF(NOT(ISNUMBER($N263)),"Revisar %",IF($K263="","Sem preço atual",IF($R263&lt;0,"PREJUÍZO",IF($K263&lt;$N263,"Abaixo do ideal","OK")))))</f>
        <v/>
      </c>
      <c r="U263" s="25">
        <f>IF(OR($J263="",NOT(ISNUMBER($O263))),"",IF($O263&lt;=$J263,"Competitivo ("&amp;ROUND(($O263/$J263-1)*100,1)&amp;"%)","Acima do concorrente (+"&amp;ROUND(($O263/$J263-1)*100,1)&amp;"%)"))</f>
        <v/>
      </c>
    </row>
    <row r="264" spans="1:21">
      <c r="A264" s="13"/>
      <c r="B264" s="13"/>
      <c r="C264" s="13"/>
      <c r="D264" s="19"/>
      <c r="E264" s="19"/>
      <c r="F264" s="20"/>
      <c r="G264" s="20"/>
      <c r="H264" s="20"/>
      <c r="I264" s="20"/>
      <c r="J264" s="19"/>
      <c r="K264" s="19"/>
      <c r="L264" s="21">
        <f>IF(OR($B264="",$D264=""),"",$D264+N($E264))</f>
        <v/>
      </c>
      <c r="M264" s="22">
        <f>IF($L264="","",IF($F264="",pImp,$F264)+IF($G264="",pCom,$G264)+IF($H264="",pTax,$H264)+pFixo+IF($I264="",pLucro,$I264))</f>
        <v/>
      </c>
      <c r="N264" s="21">
        <f>IF($L264="","",IF($M264&gt;=1,"Revisar %",$L264/(1-$M264)))</f>
        <v/>
      </c>
      <c r="O264" s="23">
        <f>IF(ISNUMBER($N264),ROUNDUP($N264,0)+IF(ROUNDUP($N264,0)-0.1&gt;=$N264,-0.1,0.9),$N264)</f>
        <v/>
      </c>
      <c r="P264" s="24">
        <f>IF(AND(ISNUMBER($O264),N($L264)&gt;0),$O264/$L264,"")</f>
        <v/>
      </c>
      <c r="Q264" s="21">
        <f>IF(ISNUMBER($N264),$L264/(1-($M264-IF($I264="",pLucro,$I264))),"")</f>
        <v/>
      </c>
      <c r="R264" s="21">
        <f>IF(OR($K264="",NOT(ISNUMBER($N264))),"",$K264*(1-($M264-IF($I264="",pLucro,$I264)))-$L264)</f>
        <v/>
      </c>
      <c r="S264" s="22">
        <f>IF($R264="","",$R264/$K264)</f>
        <v/>
      </c>
      <c r="T264" s="25">
        <f>IF($L264="","",IF(NOT(ISNUMBER($N264)),"Revisar %",IF($K264="","Sem preço atual",IF($R264&lt;0,"PREJUÍZO",IF($K264&lt;$N264,"Abaixo do ideal","OK")))))</f>
        <v/>
      </c>
      <c r="U264" s="25">
        <f>IF(OR($J264="",NOT(ISNUMBER($O264))),"",IF($O264&lt;=$J264,"Competitivo ("&amp;ROUND(($O264/$J264-1)*100,1)&amp;"%)","Acima do concorrente (+"&amp;ROUND(($O264/$J264-1)*100,1)&amp;"%)"))</f>
        <v/>
      </c>
    </row>
    <row r="265" spans="1:21">
      <c r="A265" s="13"/>
      <c r="B265" s="13"/>
      <c r="C265" s="13"/>
      <c r="D265" s="19"/>
      <c r="E265" s="19"/>
      <c r="F265" s="20"/>
      <c r="G265" s="20"/>
      <c r="H265" s="20"/>
      <c r="I265" s="20"/>
      <c r="J265" s="19"/>
      <c r="K265" s="19"/>
      <c r="L265" s="21">
        <f>IF(OR($B265="",$D265=""),"",$D265+N($E265))</f>
        <v/>
      </c>
      <c r="M265" s="22">
        <f>IF($L265="","",IF($F265="",pImp,$F265)+IF($G265="",pCom,$G265)+IF($H265="",pTax,$H265)+pFixo+IF($I265="",pLucro,$I265))</f>
        <v/>
      </c>
      <c r="N265" s="21">
        <f>IF($L265="","",IF($M265&gt;=1,"Revisar %",$L265/(1-$M265)))</f>
        <v/>
      </c>
      <c r="O265" s="23">
        <f>IF(ISNUMBER($N265),ROUNDUP($N265,0)+IF(ROUNDUP($N265,0)-0.1&gt;=$N265,-0.1,0.9),$N265)</f>
        <v/>
      </c>
      <c r="P265" s="24">
        <f>IF(AND(ISNUMBER($O265),N($L265)&gt;0),$O265/$L265,"")</f>
        <v/>
      </c>
      <c r="Q265" s="21">
        <f>IF(ISNUMBER($N265),$L265/(1-($M265-IF($I265="",pLucro,$I265))),"")</f>
        <v/>
      </c>
      <c r="R265" s="21">
        <f>IF(OR($K265="",NOT(ISNUMBER($N265))),"",$K265*(1-($M265-IF($I265="",pLucro,$I265)))-$L265)</f>
        <v/>
      </c>
      <c r="S265" s="22">
        <f>IF($R265="","",$R265/$K265)</f>
        <v/>
      </c>
      <c r="T265" s="25">
        <f>IF($L265="","",IF(NOT(ISNUMBER($N265)),"Revisar %",IF($K265="","Sem preço atual",IF($R265&lt;0,"PREJUÍZO",IF($K265&lt;$N265,"Abaixo do ideal","OK")))))</f>
        <v/>
      </c>
      <c r="U265" s="25">
        <f>IF(OR($J265="",NOT(ISNUMBER($O265))),"",IF($O265&lt;=$J265,"Competitivo ("&amp;ROUND(($O265/$J265-1)*100,1)&amp;"%)","Acima do concorrente (+"&amp;ROUND(($O265/$J265-1)*100,1)&amp;"%)"))</f>
        <v/>
      </c>
    </row>
    <row r="266" spans="1:21">
      <c r="A266" s="13"/>
      <c r="B266" s="13"/>
      <c r="C266" s="13"/>
      <c r="D266" s="19"/>
      <c r="E266" s="19"/>
      <c r="F266" s="20"/>
      <c r="G266" s="20"/>
      <c r="H266" s="20"/>
      <c r="I266" s="20"/>
      <c r="J266" s="19"/>
      <c r="K266" s="19"/>
      <c r="L266" s="21">
        <f>IF(OR($B266="",$D266=""),"",$D266+N($E266))</f>
        <v/>
      </c>
      <c r="M266" s="22">
        <f>IF($L266="","",IF($F266="",pImp,$F266)+IF($G266="",pCom,$G266)+IF($H266="",pTax,$H266)+pFixo+IF($I266="",pLucro,$I266))</f>
        <v/>
      </c>
      <c r="N266" s="21">
        <f>IF($L266="","",IF($M266&gt;=1,"Revisar %",$L266/(1-$M266)))</f>
        <v/>
      </c>
      <c r="O266" s="23">
        <f>IF(ISNUMBER($N266),ROUNDUP($N266,0)+IF(ROUNDUP($N266,0)-0.1&gt;=$N266,-0.1,0.9),$N266)</f>
        <v/>
      </c>
      <c r="P266" s="24">
        <f>IF(AND(ISNUMBER($O266),N($L266)&gt;0),$O266/$L266,"")</f>
        <v/>
      </c>
      <c r="Q266" s="21">
        <f>IF(ISNUMBER($N266),$L266/(1-($M266-IF($I266="",pLucro,$I266))),"")</f>
        <v/>
      </c>
      <c r="R266" s="21">
        <f>IF(OR($K266="",NOT(ISNUMBER($N266))),"",$K266*(1-($M266-IF($I266="",pLucro,$I266)))-$L266)</f>
        <v/>
      </c>
      <c r="S266" s="22">
        <f>IF($R266="","",$R266/$K266)</f>
        <v/>
      </c>
      <c r="T266" s="25">
        <f>IF($L266="","",IF(NOT(ISNUMBER($N266)),"Revisar %",IF($K266="","Sem preço atual",IF($R266&lt;0,"PREJUÍZO",IF($K266&lt;$N266,"Abaixo do ideal","OK")))))</f>
        <v/>
      </c>
      <c r="U266" s="25">
        <f>IF(OR($J266="",NOT(ISNUMBER($O266))),"",IF($O266&lt;=$J266,"Competitivo ("&amp;ROUND(($O266/$J266-1)*100,1)&amp;"%)","Acima do concorrente (+"&amp;ROUND(($O266/$J266-1)*100,1)&amp;"%)"))</f>
        <v/>
      </c>
    </row>
    <row r="267" spans="1:21">
      <c r="A267" s="13"/>
      <c r="B267" s="13"/>
      <c r="C267" s="13"/>
      <c r="D267" s="19"/>
      <c r="E267" s="19"/>
      <c r="F267" s="20"/>
      <c r="G267" s="20"/>
      <c r="H267" s="20"/>
      <c r="I267" s="20"/>
      <c r="J267" s="19"/>
      <c r="K267" s="19"/>
      <c r="L267" s="21">
        <f>IF(OR($B267="",$D267=""),"",$D267+N($E267))</f>
        <v/>
      </c>
      <c r="M267" s="22">
        <f>IF($L267="","",IF($F267="",pImp,$F267)+IF($G267="",pCom,$G267)+IF($H267="",pTax,$H267)+pFixo+IF($I267="",pLucro,$I267))</f>
        <v/>
      </c>
      <c r="N267" s="21">
        <f>IF($L267="","",IF($M267&gt;=1,"Revisar %",$L267/(1-$M267)))</f>
        <v/>
      </c>
      <c r="O267" s="23">
        <f>IF(ISNUMBER($N267),ROUNDUP($N267,0)+IF(ROUNDUP($N267,0)-0.1&gt;=$N267,-0.1,0.9),$N267)</f>
        <v/>
      </c>
      <c r="P267" s="24">
        <f>IF(AND(ISNUMBER($O267),N($L267)&gt;0),$O267/$L267,"")</f>
        <v/>
      </c>
      <c r="Q267" s="21">
        <f>IF(ISNUMBER($N267),$L267/(1-($M267-IF($I267="",pLucro,$I267))),"")</f>
        <v/>
      </c>
      <c r="R267" s="21">
        <f>IF(OR($K267="",NOT(ISNUMBER($N267))),"",$K267*(1-($M267-IF($I267="",pLucro,$I267)))-$L267)</f>
        <v/>
      </c>
      <c r="S267" s="22">
        <f>IF($R267="","",$R267/$K267)</f>
        <v/>
      </c>
      <c r="T267" s="25">
        <f>IF($L267="","",IF(NOT(ISNUMBER($N267)),"Revisar %",IF($K267="","Sem preço atual",IF($R267&lt;0,"PREJUÍZO",IF($K267&lt;$N267,"Abaixo do ideal","OK")))))</f>
        <v/>
      </c>
      <c r="U267" s="25">
        <f>IF(OR($J267="",NOT(ISNUMBER($O267))),"",IF($O267&lt;=$J267,"Competitivo ("&amp;ROUND(($O267/$J267-1)*100,1)&amp;"%)","Acima do concorrente (+"&amp;ROUND(($O267/$J267-1)*100,1)&amp;"%)"))</f>
        <v/>
      </c>
    </row>
    <row r="268" spans="1:21">
      <c r="A268" s="13"/>
      <c r="B268" s="13"/>
      <c r="C268" s="13"/>
      <c r="D268" s="19"/>
      <c r="E268" s="19"/>
      <c r="F268" s="20"/>
      <c r="G268" s="20"/>
      <c r="H268" s="20"/>
      <c r="I268" s="20"/>
      <c r="J268" s="19"/>
      <c r="K268" s="19"/>
      <c r="L268" s="21">
        <f>IF(OR($B268="",$D268=""),"",$D268+N($E268))</f>
        <v/>
      </c>
      <c r="M268" s="22">
        <f>IF($L268="","",IF($F268="",pImp,$F268)+IF($G268="",pCom,$G268)+IF($H268="",pTax,$H268)+pFixo+IF($I268="",pLucro,$I268))</f>
        <v/>
      </c>
      <c r="N268" s="21">
        <f>IF($L268="","",IF($M268&gt;=1,"Revisar %",$L268/(1-$M268)))</f>
        <v/>
      </c>
      <c r="O268" s="23">
        <f>IF(ISNUMBER($N268),ROUNDUP($N268,0)+IF(ROUNDUP($N268,0)-0.1&gt;=$N268,-0.1,0.9),$N268)</f>
        <v/>
      </c>
      <c r="P268" s="24">
        <f>IF(AND(ISNUMBER($O268),N($L268)&gt;0),$O268/$L268,"")</f>
        <v/>
      </c>
      <c r="Q268" s="21">
        <f>IF(ISNUMBER($N268),$L268/(1-($M268-IF($I268="",pLucro,$I268))),"")</f>
        <v/>
      </c>
      <c r="R268" s="21">
        <f>IF(OR($K268="",NOT(ISNUMBER($N268))),"",$K268*(1-($M268-IF($I268="",pLucro,$I268)))-$L268)</f>
        <v/>
      </c>
      <c r="S268" s="22">
        <f>IF($R268="","",$R268/$K268)</f>
        <v/>
      </c>
      <c r="T268" s="25">
        <f>IF($L268="","",IF(NOT(ISNUMBER($N268)),"Revisar %",IF($K268="","Sem preço atual",IF($R268&lt;0,"PREJUÍZO",IF($K268&lt;$N268,"Abaixo do ideal","OK")))))</f>
        <v/>
      </c>
      <c r="U268" s="25">
        <f>IF(OR($J268="",NOT(ISNUMBER($O268))),"",IF($O268&lt;=$J268,"Competitivo ("&amp;ROUND(($O268/$J268-1)*100,1)&amp;"%)","Acima do concorrente (+"&amp;ROUND(($O268/$J268-1)*100,1)&amp;"%)"))</f>
        <v/>
      </c>
    </row>
    <row r="269" spans="1:21">
      <c r="A269" s="13"/>
      <c r="B269" s="13"/>
      <c r="C269" s="13"/>
      <c r="D269" s="19"/>
      <c r="E269" s="19"/>
      <c r="F269" s="20"/>
      <c r="G269" s="20"/>
      <c r="H269" s="20"/>
      <c r="I269" s="20"/>
      <c r="J269" s="19"/>
      <c r="K269" s="19"/>
      <c r="L269" s="21">
        <f>IF(OR($B269="",$D269=""),"",$D269+N($E269))</f>
        <v/>
      </c>
      <c r="M269" s="22">
        <f>IF($L269="","",IF($F269="",pImp,$F269)+IF($G269="",pCom,$G269)+IF($H269="",pTax,$H269)+pFixo+IF($I269="",pLucro,$I269))</f>
        <v/>
      </c>
      <c r="N269" s="21">
        <f>IF($L269="","",IF($M269&gt;=1,"Revisar %",$L269/(1-$M269)))</f>
        <v/>
      </c>
      <c r="O269" s="23">
        <f>IF(ISNUMBER($N269),ROUNDUP($N269,0)+IF(ROUNDUP($N269,0)-0.1&gt;=$N269,-0.1,0.9),$N269)</f>
        <v/>
      </c>
      <c r="P269" s="24">
        <f>IF(AND(ISNUMBER($O269),N($L269)&gt;0),$O269/$L269,"")</f>
        <v/>
      </c>
      <c r="Q269" s="21">
        <f>IF(ISNUMBER($N269),$L269/(1-($M269-IF($I269="",pLucro,$I269))),"")</f>
        <v/>
      </c>
      <c r="R269" s="21">
        <f>IF(OR($K269="",NOT(ISNUMBER($N269))),"",$K269*(1-($M269-IF($I269="",pLucro,$I269)))-$L269)</f>
        <v/>
      </c>
      <c r="S269" s="22">
        <f>IF($R269="","",$R269/$K269)</f>
        <v/>
      </c>
      <c r="T269" s="25">
        <f>IF($L269="","",IF(NOT(ISNUMBER($N269)),"Revisar %",IF($K269="","Sem preço atual",IF($R269&lt;0,"PREJUÍZO",IF($K269&lt;$N269,"Abaixo do ideal","OK")))))</f>
        <v/>
      </c>
      <c r="U269" s="25">
        <f>IF(OR($J269="",NOT(ISNUMBER($O269))),"",IF($O269&lt;=$J269,"Competitivo ("&amp;ROUND(($O269/$J269-1)*100,1)&amp;"%)","Acima do concorrente (+"&amp;ROUND(($O269/$J269-1)*100,1)&amp;"%)"))</f>
        <v/>
      </c>
    </row>
    <row r="270" spans="1:21">
      <c r="A270" s="13"/>
      <c r="B270" s="13"/>
      <c r="C270" s="13"/>
      <c r="D270" s="19"/>
      <c r="E270" s="19"/>
      <c r="F270" s="20"/>
      <c r="G270" s="20"/>
      <c r="H270" s="20"/>
      <c r="I270" s="20"/>
      <c r="J270" s="19"/>
      <c r="K270" s="19"/>
      <c r="L270" s="21">
        <f>IF(OR($B270="",$D270=""),"",$D270+N($E270))</f>
        <v/>
      </c>
      <c r="M270" s="22">
        <f>IF($L270="","",IF($F270="",pImp,$F270)+IF($G270="",pCom,$G270)+IF($H270="",pTax,$H270)+pFixo+IF($I270="",pLucro,$I270))</f>
        <v/>
      </c>
      <c r="N270" s="21">
        <f>IF($L270="","",IF($M270&gt;=1,"Revisar %",$L270/(1-$M270)))</f>
        <v/>
      </c>
      <c r="O270" s="23">
        <f>IF(ISNUMBER($N270),ROUNDUP($N270,0)+IF(ROUNDUP($N270,0)-0.1&gt;=$N270,-0.1,0.9),$N270)</f>
        <v/>
      </c>
      <c r="P270" s="24">
        <f>IF(AND(ISNUMBER($O270),N($L270)&gt;0),$O270/$L270,"")</f>
        <v/>
      </c>
      <c r="Q270" s="21">
        <f>IF(ISNUMBER($N270),$L270/(1-($M270-IF($I270="",pLucro,$I270))),"")</f>
        <v/>
      </c>
      <c r="R270" s="21">
        <f>IF(OR($K270="",NOT(ISNUMBER($N270))),"",$K270*(1-($M270-IF($I270="",pLucro,$I270)))-$L270)</f>
        <v/>
      </c>
      <c r="S270" s="22">
        <f>IF($R270="","",$R270/$K270)</f>
        <v/>
      </c>
      <c r="T270" s="25">
        <f>IF($L270="","",IF(NOT(ISNUMBER($N270)),"Revisar %",IF($K270="","Sem preço atual",IF($R270&lt;0,"PREJUÍZO",IF($K270&lt;$N270,"Abaixo do ideal","OK")))))</f>
        <v/>
      </c>
      <c r="U270" s="25">
        <f>IF(OR($J270="",NOT(ISNUMBER($O270))),"",IF($O270&lt;=$J270,"Competitivo ("&amp;ROUND(($O270/$J270-1)*100,1)&amp;"%)","Acima do concorrente (+"&amp;ROUND(($O270/$J270-1)*100,1)&amp;"%)"))</f>
        <v/>
      </c>
    </row>
    <row r="271" spans="1:21">
      <c r="A271" s="13"/>
      <c r="B271" s="13"/>
      <c r="C271" s="13"/>
      <c r="D271" s="19"/>
      <c r="E271" s="19"/>
      <c r="F271" s="20"/>
      <c r="G271" s="20"/>
      <c r="H271" s="20"/>
      <c r="I271" s="20"/>
      <c r="J271" s="19"/>
      <c r="K271" s="19"/>
      <c r="L271" s="21">
        <f>IF(OR($B271="",$D271=""),"",$D271+N($E271))</f>
        <v/>
      </c>
      <c r="M271" s="22">
        <f>IF($L271="","",IF($F271="",pImp,$F271)+IF($G271="",pCom,$G271)+IF($H271="",pTax,$H271)+pFixo+IF($I271="",pLucro,$I271))</f>
        <v/>
      </c>
      <c r="N271" s="21">
        <f>IF($L271="","",IF($M271&gt;=1,"Revisar %",$L271/(1-$M271)))</f>
        <v/>
      </c>
      <c r="O271" s="23">
        <f>IF(ISNUMBER($N271),ROUNDUP($N271,0)+IF(ROUNDUP($N271,0)-0.1&gt;=$N271,-0.1,0.9),$N271)</f>
        <v/>
      </c>
      <c r="P271" s="24">
        <f>IF(AND(ISNUMBER($O271),N($L271)&gt;0),$O271/$L271,"")</f>
        <v/>
      </c>
      <c r="Q271" s="21">
        <f>IF(ISNUMBER($N271),$L271/(1-($M271-IF($I271="",pLucro,$I271))),"")</f>
        <v/>
      </c>
      <c r="R271" s="21">
        <f>IF(OR($K271="",NOT(ISNUMBER($N271))),"",$K271*(1-($M271-IF($I271="",pLucro,$I271)))-$L271)</f>
        <v/>
      </c>
      <c r="S271" s="22">
        <f>IF($R271="","",$R271/$K271)</f>
        <v/>
      </c>
      <c r="T271" s="25">
        <f>IF($L271="","",IF(NOT(ISNUMBER($N271)),"Revisar %",IF($K271="","Sem preço atual",IF($R271&lt;0,"PREJUÍZO",IF($K271&lt;$N271,"Abaixo do ideal","OK")))))</f>
        <v/>
      </c>
      <c r="U271" s="25">
        <f>IF(OR($J271="",NOT(ISNUMBER($O271))),"",IF($O271&lt;=$J271,"Competitivo ("&amp;ROUND(($O271/$J271-1)*100,1)&amp;"%)","Acima do concorrente (+"&amp;ROUND(($O271/$J271-1)*100,1)&amp;"%)"))</f>
        <v/>
      </c>
    </row>
    <row r="272" spans="1:21">
      <c r="A272" s="13"/>
      <c r="B272" s="13"/>
      <c r="C272" s="13"/>
      <c r="D272" s="19"/>
      <c r="E272" s="19"/>
      <c r="F272" s="20"/>
      <c r="G272" s="20"/>
      <c r="H272" s="20"/>
      <c r="I272" s="20"/>
      <c r="J272" s="19"/>
      <c r="K272" s="19"/>
      <c r="L272" s="21">
        <f>IF(OR($B272="",$D272=""),"",$D272+N($E272))</f>
        <v/>
      </c>
      <c r="M272" s="22">
        <f>IF($L272="","",IF($F272="",pImp,$F272)+IF($G272="",pCom,$G272)+IF($H272="",pTax,$H272)+pFixo+IF($I272="",pLucro,$I272))</f>
        <v/>
      </c>
      <c r="N272" s="21">
        <f>IF($L272="","",IF($M272&gt;=1,"Revisar %",$L272/(1-$M272)))</f>
        <v/>
      </c>
      <c r="O272" s="23">
        <f>IF(ISNUMBER($N272),ROUNDUP($N272,0)+IF(ROUNDUP($N272,0)-0.1&gt;=$N272,-0.1,0.9),$N272)</f>
        <v/>
      </c>
      <c r="P272" s="24">
        <f>IF(AND(ISNUMBER($O272),N($L272)&gt;0),$O272/$L272,"")</f>
        <v/>
      </c>
      <c r="Q272" s="21">
        <f>IF(ISNUMBER($N272),$L272/(1-($M272-IF($I272="",pLucro,$I272))),"")</f>
        <v/>
      </c>
      <c r="R272" s="21">
        <f>IF(OR($K272="",NOT(ISNUMBER($N272))),"",$K272*(1-($M272-IF($I272="",pLucro,$I272)))-$L272)</f>
        <v/>
      </c>
      <c r="S272" s="22">
        <f>IF($R272="","",$R272/$K272)</f>
        <v/>
      </c>
      <c r="T272" s="25">
        <f>IF($L272="","",IF(NOT(ISNUMBER($N272)),"Revisar %",IF($K272="","Sem preço atual",IF($R272&lt;0,"PREJUÍZO",IF($K272&lt;$N272,"Abaixo do ideal","OK")))))</f>
        <v/>
      </c>
      <c r="U272" s="25">
        <f>IF(OR($J272="",NOT(ISNUMBER($O272))),"",IF($O272&lt;=$J272,"Competitivo ("&amp;ROUND(($O272/$J272-1)*100,1)&amp;"%)","Acima do concorrente (+"&amp;ROUND(($O272/$J272-1)*100,1)&amp;"%)"))</f>
        <v/>
      </c>
    </row>
    <row r="273" spans="1:21">
      <c r="A273" s="13"/>
      <c r="B273" s="13"/>
      <c r="C273" s="13"/>
      <c r="D273" s="19"/>
      <c r="E273" s="19"/>
      <c r="F273" s="20"/>
      <c r="G273" s="20"/>
      <c r="H273" s="20"/>
      <c r="I273" s="20"/>
      <c r="J273" s="19"/>
      <c r="K273" s="19"/>
      <c r="L273" s="21">
        <f>IF(OR($B273="",$D273=""),"",$D273+N($E273))</f>
        <v/>
      </c>
      <c r="M273" s="22">
        <f>IF($L273="","",IF($F273="",pImp,$F273)+IF($G273="",pCom,$G273)+IF($H273="",pTax,$H273)+pFixo+IF($I273="",pLucro,$I273))</f>
        <v/>
      </c>
      <c r="N273" s="21">
        <f>IF($L273="","",IF($M273&gt;=1,"Revisar %",$L273/(1-$M273)))</f>
        <v/>
      </c>
      <c r="O273" s="23">
        <f>IF(ISNUMBER($N273),ROUNDUP($N273,0)+IF(ROUNDUP($N273,0)-0.1&gt;=$N273,-0.1,0.9),$N273)</f>
        <v/>
      </c>
      <c r="P273" s="24">
        <f>IF(AND(ISNUMBER($O273),N($L273)&gt;0),$O273/$L273,"")</f>
        <v/>
      </c>
      <c r="Q273" s="21">
        <f>IF(ISNUMBER($N273),$L273/(1-($M273-IF($I273="",pLucro,$I273))),"")</f>
        <v/>
      </c>
      <c r="R273" s="21">
        <f>IF(OR($K273="",NOT(ISNUMBER($N273))),"",$K273*(1-($M273-IF($I273="",pLucro,$I273)))-$L273)</f>
        <v/>
      </c>
      <c r="S273" s="22">
        <f>IF($R273="","",$R273/$K273)</f>
        <v/>
      </c>
      <c r="T273" s="25">
        <f>IF($L273="","",IF(NOT(ISNUMBER($N273)),"Revisar %",IF($K273="","Sem preço atual",IF($R273&lt;0,"PREJUÍZO",IF($K273&lt;$N273,"Abaixo do ideal","OK")))))</f>
        <v/>
      </c>
      <c r="U273" s="25">
        <f>IF(OR($J273="",NOT(ISNUMBER($O273))),"",IF($O273&lt;=$J273,"Competitivo ("&amp;ROUND(($O273/$J273-1)*100,1)&amp;"%)","Acima do concorrente (+"&amp;ROUND(($O273/$J273-1)*100,1)&amp;"%)"))</f>
        <v/>
      </c>
    </row>
    <row r="274" spans="1:21">
      <c r="A274" s="13"/>
      <c r="B274" s="13"/>
      <c r="C274" s="13"/>
      <c r="D274" s="19"/>
      <c r="E274" s="19"/>
      <c r="F274" s="20"/>
      <c r="G274" s="20"/>
      <c r="H274" s="20"/>
      <c r="I274" s="20"/>
      <c r="J274" s="19"/>
      <c r="K274" s="19"/>
      <c r="L274" s="21">
        <f>IF(OR($B274="",$D274=""),"",$D274+N($E274))</f>
        <v/>
      </c>
      <c r="M274" s="22">
        <f>IF($L274="","",IF($F274="",pImp,$F274)+IF($G274="",pCom,$G274)+IF($H274="",pTax,$H274)+pFixo+IF($I274="",pLucro,$I274))</f>
        <v/>
      </c>
      <c r="N274" s="21">
        <f>IF($L274="","",IF($M274&gt;=1,"Revisar %",$L274/(1-$M274)))</f>
        <v/>
      </c>
      <c r="O274" s="23">
        <f>IF(ISNUMBER($N274),ROUNDUP($N274,0)+IF(ROUNDUP($N274,0)-0.1&gt;=$N274,-0.1,0.9),$N274)</f>
        <v/>
      </c>
      <c r="P274" s="24">
        <f>IF(AND(ISNUMBER($O274),N($L274)&gt;0),$O274/$L274,"")</f>
        <v/>
      </c>
      <c r="Q274" s="21">
        <f>IF(ISNUMBER($N274),$L274/(1-($M274-IF($I274="",pLucro,$I274))),"")</f>
        <v/>
      </c>
      <c r="R274" s="21">
        <f>IF(OR($K274="",NOT(ISNUMBER($N274))),"",$K274*(1-($M274-IF($I274="",pLucro,$I274)))-$L274)</f>
        <v/>
      </c>
      <c r="S274" s="22">
        <f>IF($R274="","",$R274/$K274)</f>
        <v/>
      </c>
      <c r="T274" s="25">
        <f>IF($L274="","",IF(NOT(ISNUMBER($N274)),"Revisar %",IF($K274="","Sem preço atual",IF($R274&lt;0,"PREJUÍZO",IF($K274&lt;$N274,"Abaixo do ideal","OK")))))</f>
        <v/>
      </c>
      <c r="U274" s="25">
        <f>IF(OR($J274="",NOT(ISNUMBER($O274))),"",IF($O274&lt;=$J274,"Competitivo ("&amp;ROUND(($O274/$J274-1)*100,1)&amp;"%)","Acima do concorrente (+"&amp;ROUND(($O274/$J274-1)*100,1)&amp;"%)"))</f>
        <v/>
      </c>
    </row>
    <row r="275" spans="1:21">
      <c r="A275" s="13"/>
      <c r="B275" s="13"/>
      <c r="C275" s="13"/>
      <c r="D275" s="19"/>
      <c r="E275" s="19"/>
      <c r="F275" s="20"/>
      <c r="G275" s="20"/>
      <c r="H275" s="20"/>
      <c r="I275" s="20"/>
      <c r="J275" s="19"/>
      <c r="K275" s="19"/>
      <c r="L275" s="21">
        <f>IF(OR($B275="",$D275=""),"",$D275+N($E275))</f>
        <v/>
      </c>
      <c r="M275" s="22">
        <f>IF($L275="","",IF($F275="",pImp,$F275)+IF($G275="",pCom,$G275)+IF($H275="",pTax,$H275)+pFixo+IF($I275="",pLucro,$I275))</f>
        <v/>
      </c>
      <c r="N275" s="21">
        <f>IF($L275="","",IF($M275&gt;=1,"Revisar %",$L275/(1-$M275)))</f>
        <v/>
      </c>
      <c r="O275" s="23">
        <f>IF(ISNUMBER($N275),ROUNDUP($N275,0)+IF(ROUNDUP($N275,0)-0.1&gt;=$N275,-0.1,0.9),$N275)</f>
        <v/>
      </c>
      <c r="P275" s="24">
        <f>IF(AND(ISNUMBER($O275),N($L275)&gt;0),$O275/$L275,"")</f>
        <v/>
      </c>
      <c r="Q275" s="21">
        <f>IF(ISNUMBER($N275),$L275/(1-($M275-IF($I275="",pLucro,$I275))),"")</f>
        <v/>
      </c>
      <c r="R275" s="21">
        <f>IF(OR($K275="",NOT(ISNUMBER($N275))),"",$K275*(1-($M275-IF($I275="",pLucro,$I275)))-$L275)</f>
        <v/>
      </c>
      <c r="S275" s="22">
        <f>IF($R275="","",$R275/$K275)</f>
        <v/>
      </c>
      <c r="T275" s="25">
        <f>IF($L275="","",IF(NOT(ISNUMBER($N275)),"Revisar %",IF($K275="","Sem preço atual",IF($R275&lt;0,"PREJUÍZO",IF($K275&lt;$N275,"Abaixo do ideal","OK")))))</f>
        <v/>
      </c>
      <c r="U275" s="25">
        <f>IF(OR($J275="",NOT(ISNUMBER($O275))),"",IF($O275&lt;=$J275,"Competitivo ("&amp;ROUND(($O275/$J275-1)*100,1)&amp;"%)","Acima do concorrente (+"&amp;ROUND(($O275/$J275-1)*100,1)&amp;"%)"))</f>
        <v/>
      </c>
    </row>
    <row r="276" spans="1:21">
      <c r="A276" s="13"/>
      <c r="B276" s="13"/>
      <c r="C276" s="13"/>
      <c r="D276" s="19"/>
      <c r="E276" s="19"/>
      <c r="F276" s="20"/>
      <c r="G276" s="20"/>
      <c r="H276" s="20"/>
      <c r="I276" s="20"/>
      <c r="J276" s="19"/>
      <c r="K276" s="19"/>
      <c r="L276" s="21">
        <f>IF(OR($B276="",$D276=""),"",$D276+N($E276))</f>
        <v/>
      </c>
      <c r="M276" s="22">
        <f>IF($L276="","",IF($F276="",pImp,$F276)+IF($G276="",pCom,$G276)+IF($H276="",pTax,$H276)+pFixo+IF($I276="",pLucro,$I276))</f>
        <v/>
      </c>
      <c r="N276" s="21">
        <f>IF($L276="","",IF($M276&gt;=1,"Revisar %",$L276/(1-$M276)))</f>
        <v/>
      </c>
      <c r="O276" s="23">
        <f>IF(ISNUMBER($N276),ROUNDUP($N276,0)+IF(ROUNDUP($N276,0)-0.1&gt;=$N276,-0.1,0.9),$N276)</f>
        <v/>
      </c>
      <c r="P276" s="24">
        <f>IF(AND(ISNUMBER($O276),N($L276)&gt;0),$O276/$L276,"")</f>
        <v/>
      </c>
      <c r="Q276" s="21">
        <f>IF(ISNUMBER($N276),$L276/(1-($M276-IF($I276="",pLucro,$I276))),"")</f>
        <v/>
      </c>
      <c r="R276" s="21">
        <f>IF(OR($K276="",NOT(ISNUMBER($N276))),"",$K276*(1-($M276-IF($I276="",pLucro,$I276)))-$L276)</f>
        <v/>
      </c>
      <c r="S276" s="22">
        <f>IF($R276="","",$R276/$K276)</f>
        <v/>
      </c>
      <c r="T276" s="25">
        <f>IF($L276="","",IF(NOT(ISNUMBER($N276)),"Revisar %",IF($K276="","Sem preço atual",IF($R276&lt;0,"PREJUÍZO",IF($K276&lt;$N276,"Abaixo do ideal","OK")))))</f>
        <v/>
      </c>
      <c r="U276" s="25">
        <f>IF(OR($J276="",NOT(ISNUMBER($O276))),"",IF($O276&lt;=$J276,"Competitivo ("&amp;ROUND(($O276/$J276-1)*100,1)&amp;"%)","Acima do concorrente (+"&amp;ROUND(($O276/$J276-1)*100,1)&amp;"%)"))</f>
        <v/>
      </c>
    </row>
    <row r="277" spans="1:21">
      <c r="A277" s="13"/>
      <c r="B277" s="13"/>
      <c r="C277" s="13"/>
      <c r="D277" s="19"/>
      <c r="E277" s="19"/>
      <c r="F277" s="20"/>
      <c r="G277" s="20"/>
      <c r="H277" s="20"/>
      <c r="I277" s="20"/>
      <c r="J277" s="19"/>
      <c r="K277" s="19"/>
      <c r="L277" s="21">
        <f>IF(OR($B277="",$D277=""),"",$D277+N($E277))</f>
        <v/>
      </c>
      <c r="M277" s="22">
        <f>IF($L277="","",IF($F277="",pImp,$F277)+IF($G277="",pCom,$G277)+IF($H277="",pTax,$H277)+pFixo+IF($I277="",pLucro,$I277))</f>
        <v/>
      </c>
      <c r="N277" s="21">
        <f>IF($L277="","",IF($M277&gt;=1,"Revisar %",$L277/(1-$M277)))</f>
        <v/>
      </c>
      <c r="O277" s="23">
        <f>IF(ISNUMBER($N277),ROUNDUP($N277,0)+IF(ROUNDUP($N277,0)-0.1&gt;=$N277,-0.1,0.9),$N277)</f>
        <v/>
      </c>
      <c r="P277" s="24">
        <f>IF(AND(ISNUMBER($O277),N($L277)&gt;0),$O277/$L277,"")</f>
        <v/>
      </c>
      <c r="Q277" s="21">
        <f>IF(ISNUMBER($N277),$L277/(1-($M277-IF($I277="",pLucro,$I277))),"")</f>
        <v/>
      </c>
      <c r="R277" s="21">
        <f>IF(OR($K277="",NOT(ISNUMBER($N277))),"",$K277*(1-($M277-IF($I277="",pLucro,$I277)))-$L277)</f>
        <v/>
      </c>
      <c r="S277" s="22">
        <f>IF($R277="","",$R277/$K277)</f>
        <v/>
      </c>
      <c r="T277" s="25">
        <f>IF($L277="","",IF(NOT(ISNUMBER($N277)),"Revisar %",IF($K277="","Sem preço atual",IF($R277&lt;0,"PREJUÍZO",IF($K277&lt;$N277,"Abaixo do ideal","OK")))))</f>
        <v/>
      </c>
      <c r="U277" s="25">
        <f>IF(OR($J277="",NOT(ISNUMBER($O277))),"",IF($O277&lt;=$J277,"Competitivo ("&amp;ROUND(($O277/$J277-1)*100,1)&amp;"%)","Acima do concorrente (+"&amp;ROUND(($O277/$J277-1)*100,1)&amp;"%)"))</f>
        <v/>
      </c>
    </row>
    <row r="278" spans="1:21">
      <c r="A278" s="13"/>
      <c r="B278" s="13"/>
      <c r="C278" s="13"/>
      <c r="D278" s="19"/>
      <c r="E278" s="19"/>
      <c r="F278" s="20"/>
      <c r="G278" s="20"/>
      <c r="H278" s="20"/>
      <c r="I278" s="20"/>
      <c r="J278" s="19"/>
      <c r="K278" s="19"/>
      <c r="L278" s="21">
        <f>IF(OR($B278="",$D278=""),"",$D278+N($E278))</f>
        <v/>
      </c>
      <c r="M278" s="22">
        <f>IF($L278="","",IF($F278="",pImp,$F278)+IF($G278="",pCom,$G278)+IF($H278="",pTax,$H278)+pFixo+IF($I278="",pLucro,$I278))</f>
        <v/>
      </c>
      <c r="N278" s="21">
        <f>IF($L278="","",IF($M278&gt;=1,"Revisar %",$L278/(1-$M278)))</f>
        <v/>
      </c>
      <c r="O278" s="23">
        <f>IF(ISNUMBER($N278),ROUNDUP($N278,0)+IF(ROUNDUP($N278,0)-0.1&gt;=$N278,-0.1,0.9),$N278)</f>
        <v/>
      </c>
      <c r="P278" s="24">
        <f>IF(AND(ISNUMBER($O278),N($L278)&gt;0),$O278/$L278,"")</f>
        <v/>
      </c>
      <c r="Q278" s="21">
        <f>IF(ISNUMBER($N278),$L278/(1-($M278-IF($I278="",pLucro,$I278))),"")</f>
        <v/>
      </c>
      <c r="R278" s="21">
        <f>IF(OR($K278="",NOT(ISNUMBER($N278))),"",$K278*(1-($M278-IF($I278="",pLucro,$I278)))-$L278)</f>
        <v/>
      </c>
      <c r="S278" s="22">
        <f>IF($R278="","",$R278/$K278)</f>
        <v/>
      </c>
      <c r="T278" s="25">
        <f>IF($L278="","",IF(NOT(ISNUMBER($N278)),"Revisar %",IF($K278="","Sem preço atual",IF($R278&lt;0,"PREJUÍZO",IF($K278&lt;$N278,"Abaixo do ideal","OK")))))</f>
        <v/>
      </c>
      <c r="U278" s="25">
        <f>IF(OR($J278="",NOT(ISNUMBER($O278))),"",IF($O278&lt;=$J278,"Competitivo ("&amp;ROUND(($O278/$J278-1)*100,1)&amp;"%)","Acima do concorrente (+"&amp;ROUND(($O278/$J278-1)*100,1)&amp;"%)"))</f>
        <v/>
      </c>
    </row>
    <row r="279" spans="1:21">
      <c r="A279" s="13"/>
      <c r="B279" s="13"/>
      <c r="C279" s="13"/>
      <c r="D279" s="19"/>
      <c r="E279" s="19"/>
      <c r="F279" s="20"/>
      <c r="G279" s="20"/>
      <c r="H279" s="20"/>
      <c r="I279" s="20"/>
      <c r="J279" s="19"/>
      <c r="K279" s="19"/>
      <c r="L279" s="21">
        <f>IF(OR($B279="",$D279=""),"",$D279+N($E279))</f>
        <v/>
      </c>
      <c r="M279" s="22">
        <f>IF($L279="","",IF($F279="",pImp,$F279)+IF($G279="",pCom,$G279)+IF($H279="",pTax,$H279)+pFixo+IF($I279="",pLucro,$I279))</f>
        <v/>
      </c>
      <c r="N279" s="21">
        <f>IF($L279="","",IF($M279&gt;=1,"Revisar %",$L279/(1-$M279)))</f>
        <v/>
      </c>
      <c r="O279" s="23">
        <f>IF(ISNUMBER($N279),ROUNDUP($N279,0)+IF(ROUNDUP($N279,0)-0.1&gt;=$N279,-0.1,0.9),$N279)</f>
        <v/>
      </c>
      <c r="P279" s="24">
        <f>IF(AND(ISNUMBER($O279),N($L279)&gt;0),$O279/$L279,"")</f>
        <v/>
      </c>
      <c r="Q279" s="21">
        <f>IF(ISNUMBER($N279),$L279/(1-($M279-IF($I279="",pLucro,$I279))),"")</f>
        <v/>
      </c>
      <c r="R279" s="21">
        <f>IF(OR($K279="",NOT(ISNUMBER($N279))),"",$K279*(1-($M279-IF($I279="",pLucro,$I279)))-$L279)</f>
        <v/>
      </c>
      <c r="S279" s="22">
        <f>IF($R279="","",$R279/$K279)</f>
        <v/>
      </c>
      <c r="T279" s="25">
        <f>IF($L279="","",IF(NOT(ISNUMBER($N279)),"Revisar %",IF($K279="","Sem preço atual",IF($R279&lt;0,"PREJUÍZO",IF($K279&lt;$N279,"Abaixo do ideal","OK")))))</f>
        <v/>
      </c>
      <c r="U279" s="25">
        <f>IF(OR($J279="",NOT(ISNUMBER($O279))),"",IF($O279&lt;=$J279,"Competitivo ("&amp;ROUND(($O279/$J279-1)*100,1)&amp;"%)","Acima do concorrente (+"&amp;ROUND(($O279/$J279-1)*100,1)&amp;"%)"))</f>
        <v/>
      </c>
    </row>
    <row r="280" spans="1:21">
      <c r="A280" s="13"/>
      <c r="B280" s="13"/>
      <c r="C280" s="13"/>
      <c r="D280" s="19"/>
      <c r="E280" s="19"/>
      <c r="F280" s="20"/>
      <c r="G280" s="20"/>
      <c r="H280" s="20"/>
      <c r="I280" s="20"/>
      <c r="J280" s="19"/>
      <c r="K280" s="19"/>
      <c r="L280" s="21">
        <f>IF(OR($B280="",$D280=""),"",$D280+N($E280))</f>
        <v/>
      </c>
      <c r="M280" s="22">
        <f>IF($L280="","",IF($F280="",pImp,$F280)+IF($G280="",pCom,$G280)+IF($H280="",pTax,$H280)+pFixo+IF($I280="",pLucro,$I280))</f>
        <v/>
      </c>
      <c r="N280" s="21">
        <f>IF($L280="","",IF($M280&gt;=1,"Revisar %",$L280/(1-$M280)))</f>
        <v/>
      </c>
      <c r="O280" s="23">
        <f>IF(ISNUMBER($N280),ROUNDUP($N280,0)+IF(ROUNDUP($N280,0)-0.1&gt;=$N280,-0.1,0.9),$N280)</f>
        <v/>
      </c>
      <c r="P280" s="24">
        <f>IF(AND(ISNUMBER($O280),N($L280)&gt;0),$O280/$L280,"")</f>
        <v/>
      </c>
      <c r="Q280" s="21">
        <f>IF(ISNUMBER($N280),$L280/(1-($M280-IF($I280="",pLucro,$I280))),"")</f>
        <v/>
      </c>
      <c r="R280" s="21">
        <f>IF(OR($K280="",NOT(ISNUMBER($N280))),"",$K280*(1-($M280-IF($I280="",pLucro,$I280)))-$L280)</f>
        <v/>
      </c>
      <c r="S280" s="22">
        <f>IF($R280="","",$R280/$K280)</f>
        <v/>
      </c>
      <c r="T280" s="25">
        <f>IF($L280="","",IF(NOT(ISNUMBER($N280)),"Revisar %",IF($K280="","Sem preço atual",IF($R280&lt;0,"PREJUÍZO",IF($K280&lt;$N280,"Abaixo do ideal","OK")))))</f>
        <v/>
      </c>
      <c r="U280" s="25">
        <f>IF(OR($J280="",NOT(ISNUMBER($O280))),"",IF($O280&lt;=$J280,"Competitivo ("&amp;ROUND(($O280/$J280-1)*100,1)&amp;"%)","Acima do concorrente (+"&amp;ROUND(($O280/$J280-1)*100,1)&amp;"%)"))</f>
        <v/>
      </c>
    </row>
    <row r="281" spans="1:21">
      <c r="A281" s="13"/>
      <c r="B281" s="13"/>
      <c r="C281" s="13"/>
      <c r="D281" s="19"/>
      <c r="E281" s="19"/>
      <c r="F281" s="20"/>
      <c r="G281" s="20"/>
      <c r="H281" s="20"/>
      <c r="I281" s="20"/>
      <c r="J281" s="19"/>
      <c r="K281" s="19"/>
      <c r="L281" s="21">
        <f>IF(OR($B281="",$D281=""),"",$D281+N($E281))</f>
        <v/>
      </c>
      <c r="M281" s="22">
        <f>IF($L281="","",IF($F281="",pImp,$F281)+IF($G281="",pCom,$G281)+IF($H281="",pTax,$H281)+pFixo+IF($I281="",pLucro,$I281))</f>
        <v/>
      </c>
      <c r="N281" s="21">
        <f>IF($L281="","",IF($M281&gt;=1,"Revisar %",$L281/(1-$M281)))</f>
        <v/>
      </c>
      <c r="O281" s="23">
        <f>IF(ISNUMBER($N281),ROUNDUP($N281,0)+IF(ROUNDUP($N281,0)-0.1&gt;=$N281,-0.1,0.9),$N281)</f>
        <v/>
      </c>
      <c r="P281" s="24">
        <f>IF(AND(ISNUMBER($O281),N($L281)&gt;0),$O281/$L281,"")</f>
        <v/>
      </c>
      <c r="Q281" s="21">
        <f>IF(ISNUMBER($N281),$L281/(1-($M281-IF($I281="",pLucro,$I281))),"")</f>
        <v/>
      </c>
      <c r="R281" s="21">
        <f>IF(OR($K281="",NOT(ISNUMBER($N281))),"",$K281*(1-($M281-IF($I281="",pLucro,$I281)))-$L281)</f>
        <v/>
      </c>
      <c r="S281" s="22">
        <f>IF($R281="","",$R281/$K281)</f>
        <v/>
      </c>
      <c r="T281" s="25">
        <f>IF($L281="","",IF(NOT(ISNUMBER($N281)),"Revisar %",IF($K281="","Sem preço atual",IF($R281&lt;0,"PREJUÍZO",IF($K281&lt;$N281,"Abaixo do ideal","OK")))))</f>
        <v/>
      </c>
      <c r="U281" s="25">
        <f>IF(OR($J281="",NOT(ISNUMBER($O281))),"",IF($O281&lt;=$J281,"Competitivo ("&amp;ROUND(($O281/$J281-1)*100,1)&amp;"%)","Acima do concorrente (+"&amp;ROUND(($O281/$J281-1)*100,1)&amp;"%)"))</f>
        <v/>
      </c>
    </row>
    <row r="282" spans="1:21">
      <c r="A282" s="13"/>
      <c r="B282" s="13"/>
      <c r="C282" s="13"/>
      <c r="D282" s="19"/>
      <c r="E282" s="19"/>
      <c r="F282" s="20"/>
      <c r="G282" s="20"/>
      <c r="H282" s="20"/>
      <c r="I282" s="20"/>
      <c r="J282" s="19"/>
      <c r="K282" s="19"/>
      <c r="L282" s="21">
        <f>IF(OR($B282="",$D282=""),"",$D282+N($E282))</f>
        <v/>
      </c>
      <c r="M282" s="22">
        <f>IF($L282="","",IF($F282="",pImp,$F282)+IF($G282="",pCom,$G282)+IF($H282="",pTax,$H282)+pFixo+IF($I282="",pLucro,$I282))</f>
        <v/>
      </c>
      <c r="N282" s="21">
        <f>IF($L282="","",IF($M282&gt;=1,"Revisar %",$L282/(1-$M282)))</f>
        <v/>
      </c>
      <c r="O282" s="23">
        <f>IF(ISNUMBER($N282),ROUNDUP($N282,0)+IF(ROUNDUP($N282,0)-0.1&gt;=$N282,-0.1,0.9),$N282)</f>
        <v/>
      </c>
      <c r="P282" s="24">
        <f>IF(AND(ISNUMBER($O282),N($L282)&gt;0),$O282/$L282,"")</f>
        <v/>
      </c>
      <c r="Q282" s="21">
        <f>IF(ISNUMBER($N282),$L282/(1-($M282-IF($I282="",pLucro,$I282))),"")</f>
        <v/>
      </c>
      <c r="R282" s="21">
        <f>IF(OR($K282="",NOT(ISNUMBER($N282))),"",$K282*(1-($M282-IF($I282="",pLucro,$I282)))-$L282)</f>
        <v/>
      </c>
      <c r="S282" s="22">
        <f>IF($R282="","",$R282/$K282)</f>
        <v/>
      </c>
      <c r="T282" s="25">
        <f>IF($L282="","",IF(NOT(ISNUMBER($N282)),"Revisar %",IF($K282="","Sem preço atual",IF($R282&lt;0,"PREJUÍZO",IF($K282&lt;$N282,"Abaixo do ideal","OK")))))</f>
        <v/>
      </c>
      <c r="U282" s="25">
        <f>IF(OR($J282="",NOT(ISNUMBER($O282))),"",IF($O282&lt;=$J282,"Competitivo ("&amp;ROUND(($O282/$J282-1)*100,1)&amp;"%)","Acima do concorrente (+"&amp;ROUND(($O282/$J282-1)*100,1)&amp;"%)"))</f>
        <v/>
      </c>
    </row>
    <row r="283" spans="1:21">
      <c r="A283" s="13"/>
      <c r="B283" s="13"/>
      <c r="C283" s="13"/>
      <c r="D283" s="19"/>
      <c r="E283" s="19"/>
      <c r="F283" s="20"/>
      <c r="G283" s="20"/>
      <c r="H283" s="20"/>
      <c r="I283" s="20"/>
      <c r="J283" s="19"/>
      <c r="K283" s="19"/>
      <c r="L283" s="21">
        <f>IF(OR($B283="",$D283=""),"",$D283+N($E283))</f>
        <v/>
      </c>
      <c r="M283" s="22">
        <f>IF($L283="","",IF($F283="",pImp,$F283)+IF($G283="",pCom,$G283)+IF($H283="",pTax,$H283)+pFixo+IF($I283="",pLucro,$I283))</f>
        <v/>
      </c>
      <c r="N283" s="21">
        <f>IF($L283="","",IF($M283&gt;=1,"Revisar %",$L283/(1-$M283)))</f>
        <v/>
      </c>
      <c r="O283" s="23">
        <f>IF(ISNUMBER($N283),ROUNDUP($N283,0)+IF(ROUNDUP($N283,0)-0.1&gt;=$N283,-0.1,0.9),$N283)</f>
        <v/>
      </c>
      <c r="P283" s="24">
        <f>IF(AND(ISNUMBER($O283),N($L283)&gt;0),$O283/$L283,"")</f>
        <v/>
      </c>
      <c r="Q283" s="21">
        <f>IF(ISNUMBER($N283),$L283/(1-($M283-IF($I283="",pLucro,$I283))),"")</f>
        <v/>
      </c>
      <c r="R283" s="21">
        <f>IF(OR($K283="",NOT(ISNUMBER($N283))),"",$K283*(1-($M283-IF($I283="",pLucro,$I283)))-$L283)</f>
        <v/>
      </c>
      <c r="S283" s="22">
        <f>IF($R283="","",$R283/$K283)</f>
        <v/>
      </c>
      <c r="T283" s="25">
        <f>IF($L283="","",IF(NOT(ISNUMBER($N283)),"Revisar %",IF($K283="","Sem preço atual",IF($R283&lt;0,"PREJUÍZO",IF($K283&lt;$N283,"Abaixo do ideal","OK")))))</f>
        <v/>
      </c>
      <c r="U283" s="25">
        <f>IF(OR($J283="",NOT(ISNUMBER($O283))),"",IF($O283&lt;=$J283,"Competitivo ("&amp;ROUND(($O283/$J283-1)*100,1)&amp;"%)","Acima do concorrente (+"&amp;ROUND(($O283/$J283-1)*100,1)&amp;"%)"))</f>
        <v/>
      </c>
    </row>
    <row r="284" spans="1:21">
      <c r="A284" s="13"/>
      <c r="B284" s="13"/>
      <c r="C284" s="13"/>
      <c r="D284" s="19"/>
      <c r="E284" s="19"/>
      <c r="F284" s="20"/>
      <c r="G284" s="20"/>
      <c r="H284" s="20"/>
      <c r="I284" s="20"/>
      <c r="J284" s="19"/>
      <c r="K284" s="19"/>
      <c r="L284" s="21">
        <f>IF(OR($B284="",$D284=""),"",$D284+N($E284))</f>
        <v/>
      </c>
      <c r="M284" s="22">
        <f>IF($L284="","",IF($F284="",pImp,$F284)+IF($G284="",pCom,$G284)+IF($H284="",pTax,$H284)+pFixo+IF($I284="",pLucro,$I284))</f>
        <v/>
      </c>
      <c r="N284" s="21">
        <f>IF($L284="","",IF($M284&gt;=1,"Revisar %",$L284/(1-$M284)))</f>
        <v/>
      </c>
      <c r="O284" s="23">
        <f>IF(ISNUMBER($N284),ROUNDUP($N284,0)+IF(ROUNDUP($N284,0)-0.1&gt;=$N284,-0.1,0.9),$N284)</f>
        <v/>
      </c>
      <c r="P284" s="24">
        <f>IF(AND(ISNUMBER($O284),N($L284)&gt;0),$O284/$L284,"")</f>
        <v/>
      </c>
      <c r="Q284" s="21">
        <f>IF(ISNUMBER($N284),$L284/(1-($M284-IF($I284="",pLucro,$I284))),"")</f>
        <v/>
      </c>
      <c r="R284" s="21">
        <f>IF(OR($K284="",NOT(ISNUMBER($N284))),"",$K284*(1-($M284-IF($I284="",pLucro,$I284)))-$L284)</f>
        <v/>
      </c>
      <c r="S284" s="22">
        <f>IF($R284="","",$R284/$K284)</f>
        <v/>
      </c>
      <c r="T284" s="25">
        <f>IF($L284="","",IF(NOT(ISNUMBER($N284)),"Revisar %",IF($K284="","Sem preço atual",IF($R284&lt;0,"PREJUÍZO",IF($K284&lt;$N284,"Abaixo do ideal","OK")))))</f>
        <v/>
      </c>
      <c r="U284" s="25">
        <f>IF(OR($J284="",NOT(ISNUMBER($O284))),"",IF($O284&lt;=$J284,"Competitivo ("&amp;ROUND(($O284/$J284-1)*100,1)&amp;"%)","Acima do concorrente (+"&amp;ROUND(($O284/$J284-1)*100,1)&amp;"%)"))</f>
        <v/>
      </c>
    </row>
    <row r="285" spans="1:21">
      <c r="A285" s="13"/>
      <c r="B285" s="13"/>
      <c r="C285" s="13"/>
      <c r="D285" s="19"/>
      <c r="E285" s="19"/>
      <c r="F285" s="20"/>
      <c r="G285" s="20"/>
      <c r="H285" s="20"/>
      <c r="I285" s="20"/>
      <c r="J285" s="19"/>
      <c r="K285" s="19"/>
      <c r="L285" s="21">
        <f>IF(OR($B285="",$D285=""),"",$D285+N($E285))</f>
        <v/>
      </c>
      <c r="M285" s="22">
        <f>IF($L285="","",IF($F285="",pImp,$F285)+IF($G285="",pCom,$G285)+IF($H285="",pTax,$H285)+pFixo+IF($I285="",pLucro,$I285))</f>
        <v/>
      </c>
      <c r="N285" s="21">
        <f>IF($L285="","",IF($M285&gt;=1,"Revisar %",$L285/(1-$M285)))</f>
        <v/>
      </c>
      <c r="O285" s="23">
        <f>IF(ISNUMBER($N285),ROUNDUP($N285,0)+IF(ROUNDUP($N285,0)-0.1&gt;=$N285,-0.1,0.9),$N285)</f>
        <v/>
      </c>
      <c r="P285" s="24">
        <f>IF(AND(ISNUMBER($O285),N($L285)&gt;0),$O285/$L285,"")</f>
        <v/>
      </c>
      <c r="Q285" s="21">
        <f>IF(ISNUMBER($N285),$L285/(1-($M285-IF($I285="",pLucro,$I285))),"")</f>
        <v/>
      </c>
      <c r="R285" s="21">
        <f>IF(OR($K285="",NOT(ISNUMBER($N285))),"",$K285*(1-($M285-IF($I285="",pLucro,$I285)))-$L285)</f>
        <v/>
      </c>
      <c r="S285" s="22">
        <f>IF($R285="","",$R285/$K285)</f>
        <v/>
      </c>
      <c r="T285" s="25">
        <f>IF($L285="","",IF(NOT(ISNUMBER($N285)),"Revisar %",IF($K285="","Sem preço atual",IF($R285&lt;0,"PREJUÍZO",IF($K285&lt;$N285,"Abaixo do ideal","OK")))))</f>
        <v/>
      </c>
      <c r="U285" s="25">
        <f>IF(OR($J285="",NOT(ISNUMBER($O285))),"",IF($O285&lt;=$J285,"Competitivo ("&amp;ROUND(($O285/$J285-1)*100,1)&amp;"%)","Acima do concorrente (+"&amp;ROUND(($O285/$J285-1)*100,1)&amp;"%)"))</f>
        <v/>
      </c>
    </row>
    <row r="286" spans="1:21">
      <c r="A286" s="13"/>
      <c r="B286" s="13"/>
      <c r="C286" s="13"/>
      <c r="D286" s="19"/>
      <c r="E286" s="19"/>
      <c r="F286" s="20"/>
      <c r="G286" s="20"/>
      <c r="H286" s="20"/>
      <c r="I286" s="20"/>
      <c r="J286" s="19"/>
      <c r="K286" s="19"/>
      <c r="L286" s="21">
        <f>IF(OR($B286="",$D286=""),"",$D286+N($E286))</f>
        <v/>
      </c>
      <c r="M286" s="22">
        <f>IF($L286="","",IF($F286="",pImp,$F286)+IF($G286="",pCom,$G286)+IF($H286="",pTax,$H286)+pFixo+IF($I286="",pLucro,$I286))</f>
        <v/>
      </c>
      <c r="N286" s="21">
        <f>IF($L286="","",IF($M286&gt;=1,"Revisar %",$L286/(1-$M286)))</f>
        <v/>
      </c>
      <c r="O286" s="23">
        <f>IF(ISNUMBER($N286),ROUNDUP($N286,0)+IF(ROUNDUP($N286,0)-0.1&gt;=$N286,-0.1,0.9),$N286)</f>
        <v/>
      </c>
      <c r="P286" s="24">
        <f>IF(AND(ISNUMBER($O286),N($L286)&gt;0),$O286/$L286,"")</f>
        <v/>
      </c>
      <c r="Q286" s="21">
        <f>IF(ISNUMBER($N286),$L286/(1-($M286-IF($I286="",pLucro,$I286))),"")</f>
        <v/>
      </c>
      <c r="R286" s="21">
        <f>IF(OR($K286="",NOT(ISNUMBER($N286))),"",$K286*(1-($M286-IF($I286="",pLucro,$I286)))-$L286)</f>
        <v/>
      </c>
      <c r="S286" s="22">
        <f>IF($R286="","",$R286/$K286)</f>
        <v/>
      </c>
      <c r="T286" s="25">
        <f>IF($L286="","",IF(NOT(ISNUMBER($N286)),"Revisar %",IF($K286="","Sem preço atual",IF($R286&lt;0,"PREJUÍZO",IF($K286&lt;$N286,"Abaixo do ideal","OK")))))</f>
        <v/>
      </c>
      <c r="U286" s="25">
        <f>IF(OR($J286="",NOT(ISNUMBER($O286))),"",IF($O286&lt;=$J286,"Competitivo ("&amp;ROUND(($O286/$J286-1)*100,1)&amp;"%)","Acima do concorrente (+"&amp;ROUND(($O286/$J286-1)*100,1)&amp;"%)"))</f>
        <v/>
      </c>
    </row>
    <row r="287" spans="1:21">
      <c r="A287" s="13"/>
      <c r="B287" s="13"/>
      <c r="C287" s="13"/>
      <c r="D287" s="19"/>
      <c r="E287" s="19"/>
      <c r="F287" s="20"/>
      <c r="G287" s="20"/>
      <c r="H287" s="20"/>
      <c r="I287" s="20"/>
      <c r="J287" s="19"/>
      <c r="K287" s="19"/>
      <c r="L287" s="21">
        <f>IF(OR($B287="",$D287=""),"",$D287+N($E287))</f>
        <v/>
      </c>
      <c r="M287" s="22">
        <f>IF($L287="","",IF($F287="",pImp,$F287)+IF($G287="",pCom,$G287)+IF($H287="",pTax,$H287)+pFixo+IF($I287="",pLucro,$I287))</f>
        <v/>
      </c>
      <c r="N287" s="21">
        <f>IF($L287="","",IF($M287&gt;=1,"Revisar %",$L287/(1-$M287)))</f>
        <v/>
      </c>
      <c r="O287" s="23">
        <f>IF(ISNUMBER($N287),ROUNDUP($N287,0)+IF(ROUNDUP($N287,0)-0.1&gt;=$N287,-0.1,0.9),$N287)</f>
        <v/>
      </c>
      <c r="P287" s="24">
        <f>IF(AND(ISNUMBER($O287),N($L287)&gt;0),$O287/$L287,"")</f>
        <v/>
      </c>
      <c r="Q287" s="21">
        <f>IF(ISNUMBER($N287),$L287/(1-($M287-IF($I287="",pLucro,$I287))),"")</f>
        <v/>
      </c>
      <c r="R287" s="21">
        <f>IF(OR($K287="",NOT(ISNUMBER($N287))),"",$K287*(1-($M287-IF($I287="",pLucro,$I287)))-$L287)</f>
        <v/>
      </c>
      <c r="S287" s="22">
        <f>IF($R287="","",$R287/$K287)</f>
        <v/>
      </c>
      <c r="T287" s="25">
        <f>IF($L287="","",IF(NOT(ISNUMBER($N287)),"Revisar %",IF($K287="","Sem preço atual",IF($R287&lt;0,"PREJUÍZO",IF($K287&lt;$N287,"Abaixo do ideal","OK")))))</f>
        <v/>
      </c>
      <c r="U287" s="25">
        <f>IF(OR($J287="",NOT(ISNUMBER($O287))),"",IF($O287&lt;=$J287,"Competitivo ("&amp;ROUND(($O287/$J287-1)*100,1)&amp;"%)","Acima do concorrente (+"&amp;ROUND(($O287/$J287-1)*100,1)&amp;"%)"))</f>
        <v/>
      </c>
    </row>
    <row r="288" spans="1:21">
      <c r="A288" s="13"/>
      <c r="B288" s="13"/>
      <c r="C288" s="13"/>
      <c r="D288" s="19"/>
      <c r="E288" s="19"/>
      <c r="F288" s="20"/>
      <c r="G288" s="20"/>
      <c r="H288" s="20"/>
      <c r="I288" s="20"/>
      <c r="J288" s="19"/>
      <c r="K288" s="19"/>
      <c r="L288" s="21">
        <f>IF(OR($B288="",$D288=""),"",$D288+N($E288))</f>
        <v/>
      </c>
      <c r="M288" s="22">
        <f>IF($L288="","",IF($F288="",pImp,$F288)+IF($G288="",pCom,$G288)+IF($H288="",pTax,$H288)+pFixo+IF($I288="",pLucro,$I288))</f>
        <v/>
      </c>
      <c r="N288" s="21">
        <f>IF($L288="","",IF($M288&gt;=1,"Revisar %",$L288/(1-$M288)))</f>
        <v/>
      </c>
      <c r="O288" s="23">
        <f>IF(ISNUMBER($N288),ROUNDUP($N288,0)+IF(ROUNDUP($N288,0)-0.1&gt;=$N288,-0.1,0.9),$N288)</f>
        <v/>
      </c>
      <c r="P288" s="24">
        <f>IF(AND(ISNUMBER($O288),N($L288)&gt;0),$O288/$L288,"")</f>
        <v/>
      </c>
      <c r="Q288" s="21">
        <f>IF(ISNUMBER($N288),$L288/(1-($M288-IF($I288="",pLucro,$I288))),"")</f>
        <v/>
      </c>
      <c r="R288" s="21">
        <f>IF(OR($K288="",NOT(ISNUMBER($N288))),"",$K288*(1-($M288-IF($I288="",pLucro,$I288)))-$L288)</f>
        <v/>
      </c>
      <c r="S288" s="22">
        <f>IF($R288="","",$R288/$K288)</f>
        <v/>
      </c>
      <c r="T288" s="25">
        <f>IF($L288="","",IF(NOT(ISNUMBER($N288)),"Revisar %",IF($K288="","Sem preço atual",IF($R288&lt;0,"PREJUÍZO",IF($K288&lt;$N288,"Abaixo do ideal","OK")))))</f>
        <v/>
      </c>
      <c r="U288" s="25">
        <f>IF(OR($J288="",NOT(ISNUMBER($O288))),"",IF($O288&lt;=$J288,"Competitivo ("&amp;ROUND(($O288/$J288-1)*100,1)&amp;"%)","Acima do concorrente (+"&amp;ROUND(($O288/$J288-1)*100,1)&amp;"%)"))</f>
        <v/>
      </c>
    </row>
    <row r="289" spans="1:21">
      <c r="A289" s="13"/>
      <c r="B289" s="13"/>
      <c r="C289" s="13"/>
      <c r="D289" s="19"/>
      <c r="E289" s="19"/>
      <c r="F289" s="20"/>
      <c r="G289" s="20"/>
      <c r="H289" s="20"/>
      <c r="I289" s="20"/>
      <c r="J289" s="19"/>
      <c r="K289" s="19"/>
      <c r="L289" s="21">
        <f>IF(OR($B289="",$D289=""),"",$D289+N($E289))</f>
        <v/>
      </c>
      <c r="M289" s="22">
        <f>IF($L289="","",IF($F289="",pImp,$F289)+IF($G289="",pCom,$G289)+IF($H289="",pTax,$H289)+pFixo+IF($I289="",pLucro,$I289))</f>
        <v/>
      </c>
      <c r="N289" s="21">
        <f>IF($L289="","",IF($M289&gt;=1,"Revisar %",$L289/(1-$M289)))</f>
        <v/>
      </c>
      <c r="O289" s="23">
        <f>IF(ISNUMBER($N289),ROUNDUP($N289,0)+IF(ROUNDUP($N289,0)-0.1&gt;=$N289,-0.1,0.9),$N289)</f>
        <v/>
      </c>
      <c r="P289" s="24">
        <f>IF(AND(ISNUMBER($O289),N($L289)&gt;0),$O289/$L289,"")</f>
        <v/>
      </c>
      <c r="Q289" s="21">
        <f>IF(ISNUMBER($N289),$L289/(1-($M289-IF($I289="",pLucro,$I289))),"")</f>
        <v/>
      </c>
      <c r="R289" s="21">
        <f>IF(OR($K289="",NOT(ISNUMBER($N289))),"",$K289*(1-($M289-IF($I289="",pLucro,$I289)))-$L289)</f>
        <v/>
      </c>
      <c r="S289" s="22">
        <f>IF($R289="","",$R289/$K289)</f>
        <v/>
      </c>
      <c r="T289" s="25">
        <f>IF($L289="","",IF(NOT(ISNUMBER($N289)),"Revisar %",IF($K289="","Sem preço atual",IF($R289&lt;0,"PREJUÍZO",IF($K289&lt;$N289,"Abaixo do ideal","OK")))))</f>
        <v/>
      </c>
      <c r="U289" s="25">
        <f>IF(OR($J289="",NOT(ISNUMBER($O289))),"",IF($O289&lt;=$J289,"Competitivo ("&amp;ROUND(($O289/$J289-1)*100,1)&amp;"%)","Acima do concorrente (+"&amp;ROUND(($O289/$J289-1)*100,1)&amp;"%)"))</f>
        <v/>
      </c>
    </row>
    <row r="290" spans="1:21">
      <c r="A290" s="13"/>
      <c r="B290" s="13"/>
      <c r="C290" s="13"/>
      <c r="D290" s="19"/>
      <c r="E290" s="19"/>
      <c r="F290" s="20"/>
      <c r="G290" s="20"/>
      <c r="H290" s="20"/>
      <c r="I290" s="20"/>
      <c r="J290" s="19"/>
      <c r="K290" s="19"/>
      <c r="L290" s="21">
        <f>IF(OR($B290="",$D290=""),"",$D290+N($E290))</f>
        <v/>
      </c>
      <c r="M290" s="22">
        <f>IF($L290="","",IF($F290="",pImp,$F290)+IF($G290="",pCom,$G290)+IF($H290="",pTax,$H290)+pFixo+IF($I290="",pLucro,$I290))</f>
        <v/>
      </c>
      <c r="N290" s="21">
        <f>IF($L290="","",IF($M290&gt;=1,"Revisar %",$L290/(1-$M290)))</f>
        <v/>
      </c>
      <c r="O290" s="23">
        <f>IF(ISNUMBER($N290),ROUNDUP($N290,0)+IF(ROUNDUP($N290,0)-0.1&gt;=$N290,-0.1,0.9),$N290)</f>
        <v/>
      </c>
      <c r="P290" s="24">
        <f>IF(AND(ISNUMBER($O290),N($L290)&gt;0),$O290/$L290,"")</f>
        <v/>
      </c>
      <c r="Q290" s="21">
        <f>IF(ISNUMBER($N290),$L290/(1-($M290-IF($I290="",pLucro,$I290))),"")</f>
        <v/>
      </c>
      <c r="R290" s="21">
        <f>IF(OR($K290="",NOT(ISNUMBER($N290))),"",$K290*(1-($M290-IF($I290="",pLucro,$I290)))-$L290)</f>
        <v/>
      </c>
      <c r="S290" s="22">
        <f>IF($R290="","",$R290/$K290)</f>
        <v/>
      </c>
      <c r="T290" s="25">
        <f>IF($L290="","",IF(NOT(ISNUMBER($N290)),"Revisar %",IF($K290="","Sem preço atual",IF($R290&lt;0,"PREJUÍZO",IF($K290&lt;$N290,"Abaixo do ideal","OK")))))</f>
        <v/>
      </c>
      <c r="U290" s="25">
        <f>IF(OR($J290="",NOT(ISNUMBER($O290))),"",IF($O290&lt;=$J290,"Competitivo ("&amp;ROUND(($O290/$J290-1)*100,1)&amp;"%)","Acima do concorrente (+"&amp;ROUND(($O290/$J290-1)*100,1)&amp;"%)"))</f>
        <v/>
      </c>
    </row>
    <row r="291" spans="1:21">
      <c r="A291" s="13"/>
      <c r="B291" s="13"/>
      <c r="C291" s="13"/>
      <c r="D291" s="19"/>
      <c r="E291" s="19"/>
      <c r="F291" s="20"/>
      <c r="G291" s="20"/>
      <c r="H291" s="20"/>
      <c r="I291" s="20"/>
      <c r="J291" s="19"/>
      <c r="K291" s="19"/>
      <c r="L291" s="21">
        <f>IF(OR($B291="",$D291=""),"",$D291+N($E291))</f>
        <v/>
      </c>
      <c r="M291" s="22">
        <f>IF($L291="","",IF($F291="",pImp,$F291)+IF($G291="",pCom,$G291)+IF($H291="",pTax,$H291)+pFixo+IF($I291="",pLucro,$I291))</f>
        <v/>
      </c>
      <c r="N291" s="21">
        <f>IF($L291="","",IF($M291&gt;=1,"Revisar %",$L291/(1-$M291)))</f>
        <v/>
      </c>
      <c r="O291" s="23">
        <f>IF(ISNUMBER($N291),ROUNDUP($N291,0)+IF(ROUNDUP($N291,0)-0.1&gt;=$N291,-0.1,0.9),$N291)</f>
        <v/>
      </c>
      <c r="P291" s="24">
        <f>IF(AND(ISNUMBER($O291),N($L291)&gt;0),$O291/$L291,"")</f>
        <v/>
      </c>
      <c r="Q291" s="21">
        <f>IF(ISNUMBER($N291),$L291/(1-($M291-IF($I291="",pLucro,$I291))),"")</f>
        <v/>
      </c>
      <c r="R291" s="21">
        <f>IF(OR($K291="",NOT(ISNUMBER($N291))),"",$K291*(1-($M291-IF($I291="",pLucro,$I291)))-$L291)</f>
        <v/>
      </c>
      <c r="S291" s="22">
        <f>IF($R291="","",$R291/$K291)</f>
        <v/>
      </c>
      <c r="T291" s="25">
        <f>IF($L291="","",IF(NOT(ISNUMBER($N291)),"Revisar %",IF($K291="","Sem preço atual",IF($R291&lt;0,"PREJUÍZO",IF($K291&lt;$N291,"Abaixo do ideal","OK")))))</f>
        <v/>
      </c>
      <c r="U291" s="25">
        <f>IF(OR($J291="",NOT(ISNUMBER($O291))),"",IF($O291&lt;=$J291,"Competitivo ("&amp;ROUND(($O291/$J291-1)*100,1)&amp;"%)","Acima do concorrente (+"&amp;ROUND(($O291/$J291-1)*100,1)&amp;"%)"))</f>
        <v/>
      </c>
    </row>
    <row r="292" spans="1:21">
      <c r="A292" s="13"/>
      <c r="B292" s="13"/>
      <c r="C292" s="13"/>
      <c r="D292" s="19"/>
      <c r="E292" s="19"/>
      <c r="F292" s="20"/>
      <c r="G292" s="20"/>
      <c r="H292" s="20"/>
      <c r="I292" s="20"/>
      <c r="J292" s="19"/>
      <c r="K292" s="19"/>
      <c r="L292" s="21">
        <f>IF(OR($B292="",$D292=""),"",$D292+N($E292))</f>
        <v/>
      </c>
      <c r="M292" s="22">
        <f>IF($L292="","",IF($F292="",pImp,$F292)+IF($G292="",pCom,$G292)+IF($H292="",pTax,$H292)+pFixo+IF($I292="",pLucro,$I292))</f>
        <v/>
      </c>
      <c r="N292" s="21">
        <f>IF($L292="","",IF($M292&gt;=1,"Revisar %",$L292/(1-$M292)))</f>
        <v/>
      </c>
      <c r="O292" s="23">
        <f>IF(ISNUMBER($N292),ROUNDUP($N292,0)+IF(ROUNDUP($N292,0)-0.1&gt;=$N292,-0.1,0.9),$N292)</f>
        <v/>
      </c>
      <c r="P292" s="24">
        <f>IF(AND(ISNUMBER($O292),N($L292)&gt;0),$O292/$L292,"")</f>
        <v/>
      </c>
      <c r="Q292" s="21">
        <f>IF(ISNUMBER($N292),$L292/(1-($M292-IF($I292="",pLucro,$I292))),"")</f>
        <v/>
      </c>
      <c r="R292" s="21">
        <f>IF(OR($K292="",NOT(ISNUMBER($N292))),"",$K292*(1-($M292-IF($I292="",pLucro,$I292)))-$L292)</f>
        <v/>
      </c>
      <c r="S292" s="22">
        <f>IF($R292="","",$R292/$K292)</f>
        <v/>
      </c>
      <c r="T292" s="25">
        <f>IF($L292="","",IF(NOT(ISNUMBER($N292)),"Revisar %",IF($K292="","Sem preço atual",IF($R292&lt;0,"PREJUÍZO",IF($K292&lt;$N292,"Abaixo do ideal","OK")))))</f>
        <v/>
      </c>
      <c r="U292" s="25">
        <f>IF(OR($J292="",NOT(ISNUMBER($O292))),"",IF($O292&lt;=$J292,"Competitivo ("&amp;ROUND(($O292/$J292-1)*100,1)&amp;"%)","Acima do concorrente (+"&amp;ROUND(($O292/$J292-1)*100,1)&amp;"%)"))</f>
        <v/>
      </c>
    </row>
    <row r="293" spans="1:21">
      <c r="A293" s="13"/>
      <c r="B293" s="13"/>
      <c r="C293" s="13"/>
      <c r="D293" s="19"/>
      <c r="E293" s="19"/>
      <c r="F293" s="20"/>
      <c r="G293" s="20"/>
      <c r="H293" s="20"/>
      <c r="I293" s="20"/>
      <c r="J293" s="19"/>
      <c r="K293" s="19"/>
      <c r="L293" s="21">
        <f>IF(OR($B293="",$D293=""),"",$D293+N($E293))</f>
        <v/>
      </c>
      <c r="M293" s="22">
        <f>IF($L293="","",IF($F293="",pImp,$F293)+IF($G293="",pCom,$G293)+IF($H293="",pTax,$H293)+pFixo+IF($I293="",pLucro,$I293))</f>
        <v/>
      </c>
      <c r="N293" s="21">
        <f>IF($L293="","",IF($M293&gt;=1,"Revisar %",$L293/(1-$M293)))</f>
        <v/>
      </c>
      <c r="O293" s="23">
        <f>IF(ISNUMBER($N293),ROUNDUP($N293,0)+IF(ROUNDUP($N293,0)-0.1&gt;=$N293,-0.1,0.9),$N293)</f>
        <v/>
      </c>
      <c r="P293" s="24">
        <f>IF(AND(ISNUMBER($O293),N($L293)&gt;0),$O293/$L293,"")</f>
        <v/>
      </c>
      <c r="Q293" s="21">
        <f>IF(ISNUMBER($N293),$L293/(1-($M293-IF($I293="",pLucro,$I293))),"")</f>
        <v/>
      </c>
      <c r="R293" s="21">
        <f>IF(OR($K293="",NOT(ISNUMBER($N293))),"",$K293*(1-($M293-IF($I293="",pLucro,$I293)))-$L293)</f>
        <v/>
      </c>
      <c r="S293" s="22">
        <f>IF($R293="","",$R293/$K293)</f>
        <v/>
      </c>
      <c r="T293" s="25">
        <f>IF($L293="","",IF(NOT(ISNUMBER($N293)),"Revisar %",IF($K293="","Sem preço atual",IF($R293&lt;0,"PREJUÍZO",IF($K293&lt;$N293,"Abaixo do ideal","OK")))))</f>
        <v/>
      </c>
      <c r="U293" s="25">
        <f>IF(OR($J293="",NOT(ISNUMBER($O293))),"",IF($O293&lt;=$J293,"Competitivo ("&amp;ROUND(($O293/$J293-1)*100,1)&amp;"%)","Acima do concorrente (+"&amp;ROUND(($O293/$J293-1)*100,1)&amp;"%)"))</f>
        <v/>
      </c>
    </row>
    <row r="294" spans="1:21">
      <c r="A294" s="13"/>
      <c r="B294" s="13"/>
      <c r="C294" s="13"/>
      <c r="D294" s="19"/>
      <c r="E294" s="19"/>
      <c r="F294" s="20"/>
      <c r="G294" s="20"/>
      <c r="H294" s="20"/>
      <c r="I294" s="20"/>
      <c r="J294" s="19"/>
      <c r="K294" s="19"/>
      <c r="L294" s="21">
        <f>IF(OR($B294="",$D294=""),"",$D294+N($E294))</f>
        <v/>
      </c>
      <c r="M294" s="22">
        <f>IF($L294="","",IF($F294="",pImp,$F294)+IF($G294="",pCom,$G294)+IF($H294="",pTax,$H294)+pFixo+IF($I294="",pLucro,$I294))</f>
        <v/>
      </c>
      <c r="N294" s="21">
        <f>IF($L294="","",IF($M294&gt;=1,"Revisar %",$L294/(1-$M294)))</f>
        <v/>
      </c>
      <c r="O294" s="23">
        <f>IF(ISNUMBER($N294),ROUNDUP($N294,0)+IF(ROUNDUP($N294,0)-0.1&gt;=$N294,-0.1,0.9),$N294)</f>
        <v/>
      </c>
      <c r="P294" s="24">
        <f>IF(AND(ISNUMBER($O294),N($L294)&gt;0),$O294/$L294,"")</f>
        <v/>
      </c>
      <c r="Q294" s="21">
        <f>IF(ISNUMBER($N294),$L294/(1-($M294-IF($I294="",pLucro,$I294))),"")</f>
        <v/>
      </c>
      <c r="R294" s="21">
        <f>IF(OR($K294="",NOT(ISNUMBER($N294))),"",$K294*(1-($M294-IF($I294="",pLucro,$I294)))-$L294)</f>
        <v/>
      </c>
      <c r="S294" s="22">
        <f>IF($R294="","",$R294/$K294)</f>
        <v/>
      </c>
      <c r="T294" s="25">
        <f>IF($L294="","",IF(NOT(ISNUMBER($N294)),"Revisar %",IF($K294="","Sem preço atual",IF($R294&lt;0,"PREJUÍZO",IF($K294&lt;$N294,"Abaixo do ideal","OK")))))</f>
        <v/>
      </c>
      <c r="U294" s="25">
        <f>IF(OR($J294="",NOT(ISNUMBER($O294))),"",IF($O294&lt;=$J294,"Competitivo ("&amp;ROUND(($O294/$J294-1)*100,1)&amp;"%)","Acima do concorrente (+"&amp;ROUND(($O294/$J294-1)*100,1)&amp;"%)"))</f>
        <v/>
      </c>
    </row>
    <row r="295" spans="1:21">
      <c r="A295" s="13"/>
      <c r="B295" s="13"/>
      <c r="C295" s="13"/>
      <c r="D295" s="19"/>
      <c r="E295" s="19"/>
      <c r="F295" s="20"/>
      <c r="G295" s="20"/>
      <c r="H295" s="20"/>
      <c r="I295" s="20"/>
      <c r="J295" s="19"/>
      <c r="K295" s="19"/>
      <c r="L295" s="21">
        <f>IF(OR($B295="",$D295=""),"",$D295+N($E295))</f>
        <v/>
      </c>
      <c r="M295" s="22">
        <f>IF($L295="","",IF($F295="",pImp,$F295)+IF($G295="",pCom,$G295)+IF($H295="",pTax,$H295)+pFixo+IF($I295="",pLucro,$I295))</f>
        <v/>
      </c>
      <c r="N295" s="21">
        <f>IF($L295="","",IF($M295&gt;=1,"Revisar %",$L295/(1-$M295)))</f>
        <v/>
      </c>
      <c r="O295" s="23">
        <f>IF(ISNUMBER($N295),ROUNDUP($N295,0)+IF(ROUNDUP($N295,0)-0.1&gt;=$N295,-0.1,0.9),$N295)</f>
        <v/>
      </c>
      <c r="P295" s="24">
        <f>IF(AND(ISNUMBER($O295),N($L295)&gt;0),$O295/$L295,"")</f>
        <v/>
      </c>
      <c r="Q295" s="21">
        <f>IF(ISNUMBER($N295),$L295/(1-($M295-IF($I295="",pLucro,$I295))),"")</f>
        <v/>
      </c>
      <c r="R295" s="21">
        <f>IF(OR($K295="",NOT(ISNUMBER($N295))),"",$K295*(1-($M295-IF($I295="",pLucro,$I295)))-$L295)</f>
        <v/>
      </c>
      <c r="S295" s="22">
        <f>IF($R295="","",$R295/$K295)</f>
        <v/>
      </c>
      <c r="T295" s="25">
        <f>IF($L295="","",IF(NOT(ISNUMBER($N295)),"Revisar %",IF($K295="","Sem preço atual",IF($R295&lt;0,"PREJUÍZO",IF($K295&lt;$N295,"Abaixo do ideal","OK")))))</f>
        <v/>
      </c>
      <c r="U295" s="25">
        <f>IF(OR($J295="",NOT(ISNUMBER($O295))),"",IF($O295&lt;=$J295,"Competitivo ("&amp;ROUND(($O295/$J295-1)*100,1)&amp;"%)","Acima do concorrente (+"&amp;ROUND(($O295/$J295-1)*100,1)&amp;"%)"))</f>
        <v/>
      </c>
    </row>
    <row r="296" spans="1:21">
      <c r="A296" s="13"/>
      <c r="B296" s="13"/>
      <c r="C296" s="13"/>
      <c r="D296" s="19"/>
      <c r="E296" s="19"/>
      <c r="F296" s="20"/>
      <c r="G296" s="20"/>
      <c r="H296" s="20"/>
      <c r="I296" s="20"/>
      <c r="J296" s="19"/>
      <c r="K296" s="19"/>
      <c r="L296" s="21">
        <f>IF(OR($B296="",$D296=""),"",$D296+N($E296))</f>
        <v/>
      </c>
      <c r="M296" s="22">
        <f>IF($L296="","",IF($F296="",pImp,$F296)+IF($G296="",pCom,$G296)+IF($H296="",pTax,$H296)+pFixo+IF($I296="",pLucro,$I296))</f>
        <v/>
      </c>
      <c r="N296" s="21">
        <f>IF($L296="","",IF($M296&gt;=1,"Revisar %",$L296/(1-$M296)))</f>
        <v/>
      </c>
      <c r="O296" s="23">
        <f>IF(ISNUMBER($N296),ROUNDUP($N296,0)+IF(ROUNDUP($N296,0)-0.1&gt;=$N296,-0.1,0.9),$N296)</f>
        <v/>
      </c>
      <c r="P296" s="24">
        <f>IF(AND(ISNUMBER($O296),N($L296)&gt;0),$O296/$L296,"")</f>
        <v/>
      </c>
      <c r="Q296" s="21">
        <f>IF(ISNUMBER($N296),$L296/(1-($M296-IF($I296="",pLucro,$I296))),"")</f>
        <v/>
      </c>
      <c r="R296" s="21">
        <f>IF(OR($K296="",NOT(ISNUMBER($N296))),"",$K296*(1-($M296-IF($I296="",pLucro,$I296)))-$L296)</f>
        <v/>
      </c>
      <c r="S296" s="22">
        <f>IF($R296="","",$R296/$K296)</f>
        <v/>
      </c>
      <c r="T296" s="25">
        <f>IF($L296="","",IF(NOT(ISNUMBER($N296)),"Revisar %",IF($K296="","Sem preço atual",IF($R296&lt;0,"PREJUÍZO",IF($K296&lt;$N296,"Abaixo do ideal","OK")))))</f>
        <v/>
      </c>
      <c r="U296" s="25">
        <f>IF(OR($J296="",NOT(ISNUMBER($O296))),"",IF($O296&lt;=$J296,"Competitivo ("&amp;ROUND(($O296/$J296-1)*100,1)&amp;"%)","Acima do concorrente (+"&amp;ROUND(($O296/$J296-1)*100,1)&amp;"%)"))</f>
        <v/>
      </c>
    </row>
    <row r="297" spans="1:21">
      <c r="A297" s="13"/>
      <c r="B297" s="13"/>
      <c r="C297" s="13"/>
      <c r="D297" s="19"/>
      <c r="E297" s="19"/>
      <c r="F297" s="20"/>
      <c r="G297" s="20"/>
      <c r="H297" s="20"/>
      <c r="I297" s="20"/>
      <c r="J297" s="19"/>
      <c r="K297" s="19"/>
      <c r="L297" s="21">
        <f>IF(OR($B297="",$D297=""),"",$D297+N($E297))</f>
        <v/>
      </c>
      <c r="M297" s="22">
        <f>IF($L297="","",IF($F297="",pImp,$F297)+IF($G297="",pCom,$G297)+IF($H297="",pTax,$H297)+pFixo+IF($I297="",pLucro,$I297))</f>
        <v/>
      </c>
      <c r="N297" s="21">
        <f>IF($L297="","",IF($M297&gt;=1,"Revisar %",$L297/(1-$M297)))</f>
        <v/>
      </c>
      <c r="O297" s="23">
        <f>IF(ISNUMBER($N297),ROUNDUP($N297,0)+IF(ROUNDUP($N297,0)-0.1&gt;=$N297,-0.1,0.9),$N297)</f>
        <v/>
      </c>
      <c r="P297" s="24">
        <f>IF(AND(ISNUMBER($O297),N($L297)&gt;0),$O297/$L297,"")</f>
        <v/>
      </c>
      <c r="Q297" s="21">
        <f>IF(ISNUMBER($N297),$L297/(1-($M297-IF($I297="",pLucro,$I297))),"")</f>
        <v/>
      </c>
      <c r="R297" s="21">
        <f>IF(OR($K297="",NOT(ISNUMBER($N297))),"",$K297*(1-($M297-IF($I297="",pLucro,$I297)))-$L297)</f>
        <v/>
      </c>
      <c r="S297" s="22">
        <f>IF($R297="","",$R297/$K297)</f>
        <v/>
      </c>
      <c r="T297" s="25">
        <f>IF($L297="","",IF(NOT(ISNUMBER($N297)),"Revisar %",IF($K297="","Sem preço atual",IF($R297&lt;0,"PREJUÍZO",IF($K297&lt;$N297,"Abaixo do ideal","OK")))))</f>
        <v/>
      </c>
      <c r="U297" s="25">
        <f>IF(OR($J297="",NOT(ISNUMBER($O297))),"",IF($O297&lt;=$J297,"Competitivo ("&amp;ROUND(($O297/$J297-1)*100,1)&amp;"%)","Acima do concorrente (+"&amp;ROUND(($O297/$J297-1)*100,1)&amp;"%)"))</f>
        <v/>
      </c>
    </row>
    <row r="298" spans="1:21">
      <c r="A298" s="13"/>
      <c r="B298" s="13"/>
      <c r="C298" s="13"/>
      <c r="D298" s="19"/>
      <c r="E298" s="19"/>
      <c r="F298" s="20"/>
      <c r="G298" s="20"/>
      <c r="H298" s="20"/>
      <c r="I298" s="20"/>
      <c r="J298" s="19"/>
      <c r="K298" s="19"/>
      <c r="L298" s="21">
        <f>IF(OR($B298="",$D298=""),"",$D298+N($E298))</f>
        <v/>
      </c>
      <c r="M298" s="22">
        <f>IF($L298="","",IF($F298="",pImp,$F298)+IF($G298="",pCom,$G298)+IF($H298="",pTax,$H298)+pFixo+IF($I298="",pLucro,$I298))</f>
        <v/>
      </c>
      <c r="N298" s="21">
        <f>IF($L298="","",IF($M298&gt;=1,"Revisar %",$L298/(1-$M298)))</f>
        <v/>
      </c>
      <c r="O298" s="23">
        <f>IF(ISNUMBER($N298),ROUNDUP($N298,0)+IF(ROUNDUP($N298,0)-0.1&gt;=$N298,-0.1,0.9),$N298)</f>
        <v/>
      </c>
      <c r="P298" s="24">
        <f>IF(AND(ISNUMBER($O298),N($L298)&gt;0),$O298/$L298,"")</f>
        <v/>
      </c>
      <c r="Q298" s="21">
        <f>IF(ISNUMBER($N298),$L298/(1-($M298-IF($I298="",pLucro,$I298))),"")</f>
        <v/>
      </c>
      <c r="R298" s="21">
        <f>IF(OR($K298="",NOT(ISNUMBER($N298))),"",$K298*(1-($M298-IF($I298="",pLucro,$I298)))-$L298)</f>
        <v/>
      </c>
      <c r="S298" s="22">
        <f>IF($R298="","",$R298/$K298)</f>
        <v/>
      </c>
      <c r="T298" s="25">
        <f>IF($L298="","",IF(NOT(ISNUMBER($N298)),"Revisar %",IF($K298="","Sem preço atual",IF($R298&lt;0,"PREJUÍZO",IF($K298&lt;$N298,"Abaixo do ideal","OK")))))</f>
        <v/>
      </c>
      <c r="U298" s="25">
        <f>IF(OR($J298="",NOT(ISNUMBER($O298))),"",IF($O298&lt;=$J298,"Competitivo ("&amp;ROUND(($O298/$J298-1)*100,1)&amp;"%)","Acima do concorrente (+"&amp;ROUND(($O298/$J298-1)*100,1)&amp;"%)"))</f>
        <v/>
      </c>
    </row>
    <row r="299" spans="1:21">
      <c r="A299" s="13"/>
      <c r="B299" s="13"/>
      <c r="C299" s="13"/>
      <c r="D299" s="19"/>
      <c r="E299" s="19"/>
      <c r="F299" s="20"/>
      <c r="G299" s="20"/>
      <c r="H299" s="20"/>
      <c r="I299" s="20"/>
      <c r="J299" s="19"/>
      <c r="K299" s="19"/>
      <c r="L299" s="21">
        <f>IF(OR($B299="",$D299=""),"",$D299+N($E299))</f>
        <v/>
      </c>
      <c r="M299" s="22">
        <f>IF($L299="","",IF($F299="",pImp,$F299)+IF($G299="",pCom,$G299)+IF($H299="",pTax,$H299)+pFixo+IF($I299="",pLucro,$I299))</f>
        <v/>
      </c>
      <c r="N299" s="21">
        <f>IF($L299="","",IF($M299&gt;=1,"Revisar %",$L299/(1-$M299)))</f>
        <v/>
      </c>
      <c r="O299" s="23">
        <f>IF(ISNUMBER($N299),ROUNDUP($N299,0)+IF(ROUNDUP($N299,0)-0.1&gt;=$N299,-0.1,0.9),$N299)</f>
        <v/>
      </c>
      <c r="P299" s="24">
        <f>IF(AND(ISNUMBER($O299),N($L299)&gt;0),$O299/$L299,"")</f>
        <v/>
      </c>
      <c r="Q299" s="21">
        <f>IF(ISNUMBER($N299),$L299/(1-($M299-IF($I299="",pLucro,$I299))),"")</f>
        <v/>
      </c>
      <c r="R299" s="21">
        <f>IF(OR($K299="",NOT(ISNUMBER($N299))),"",$K299*(1-($M299-IF($I299="",pLucro,$I299)))-$L299)</f>
        <v/>
      </c>
      <c r="S299" s="22">
        <f>IF($R299="","",$R299/$K299)</f>
        <v/>
      </c>
      <c r="T299" s="25">
        <f>IF($L299="","",IF(NOT(ISNUMBER($N299)),"Revisar %",IF($K299="","Sem preço atual",IF($R299&lt;0,"PREJUÍZO",IF($K299&lt;$N299,"Abaixo do ideal","OK")))))</f>
        <v/>
      </c>
      <c r="U299" s="25">
        <f>IF(OR($J299="",NOT(ISNUMBER($O299))),"",IF($O299&lt;=$J299,"Competitivo ("&amp;ROUND(($O299/$J299-1)*100,1)&amp;"%)","Acima do concorrente (+"&amp;ROUND(($O299/$J299-1)*100,1)&amp;"%)"))</f>
        <v/>
      </c>
    </row>
    <row r="300" spans="1:21">
      <c r="A300" s="13"/>
      <c r="B300" s="13"/>
      <c r="C300" s="13"/>
      <c r="D300" s="19"/>
      <c r="E300" s="19"/>
      <c r="F300" s="20"/>
      <c r="G300" s="20"/>
      <c r="H300" s="20"/>
      <c r="I300" s="20"/>
      <c r="J300" s="19"/>
      <c r="K300" s="19"/>
      <c r="L300" s="21">
        <f>IF(OR($B300="",$D300=""),"",$D300+N($E300))</f>
        <v/>
      </c>
      <c r="M300" s="22">
        <f>IF($L300="","",IF($F300="",pImp,$F300)+IF($G300="",pCom,$G300)+IF($H300="",pTax,$H300)+pFixo+IF($I300="",pLucro,$I300))</f>
        <v/>
      </c>
      <c r="N300" s="21">
        <f>IF($L300="","",IF($M300&gt;=1,"Revisar %",$L300/(1-$M300)))</f>
        <v/>
      </c>
      <c r="O300" s="23">
        <f>IF(ISNUMBER($N300),ROUNDUP($N300,0)+IF(ROUNDUP($N300,0)-0.1&gt;=$N300,-0.1,0.9),$N300)</f>
        <v/>
      </c>
      <c r="P300" s="24">
        <f>IF(AND(ISNUMBER($O300),N($L300)&gt;0),$O300/$L300,"")</f>
        <v/>
      </c>
      <c r="Q300" s="21">
        <f>IF(ISNUMBER($N300),$L300/(1-($M300-IF($I300="",pLucro,$I300))),"")</f>
        <v/>
      </c>
      <c r="R300" s="21">
        <f>IF(OR($K300="",NOT(ISNUMBER($N300))),"",$K300*(1-($M300-IF($I300="",pLucro,$I300)))-$L300)</f>
        <v/>
      </c>
      <c r="S300" s="22">
        <f>IF($R300="","",$R300/$K300)</f>
        <v/>
      </c>
      <c r="T300" s="25">
        <f>IF($L300="","",IF(NOT(ISNUMBER($N300)),"Revisar %",IF($K300="","Sem preço atual",IF($R300&lt;0,"PREJUÍZO",IF($K300&lt;$N300,"Abaixo do ideal","OK")))))</f>
        <v/>
      </c>
      <c r="U300" s="25">
        <f>IF(OR($J300="",NOT(ISNUMBER($O300))),"",IF($O300&lt;=$J300,"Competitivo ("&amp;ROUND(($O300/$J300-1)*100,1)&amp;"%)","Acima do concorrente (+"&amp;ROUND(($O300/$J300-1)*100,1)&amp;"%)"))</f>
        <v/>
      </c>
    </row>
    <row r="301" spans="1:21">
      <c r="A301" s="13"/>
      <c r="B301" s="13"/>
      <c r="C301" s="13"/>
      <c r="D301" s="19"/>
      <c r="E301" s="19"/>
      <c r="F301" s="20"/>
      <c r="G301" s="20"/>
      <c r="H301" s="20"/>
      <c r="I301" s="20"/>
      <c r="J301" s="19"/>
      <c r="K301" s="19"/>
      <c r="L301" s="21">
        <f>IF(OR($B301="",$D301=""),"",$D301+N($E301))</f>
        <v/>
      </c>
      <c r="M301" s="22">
        <f>IF($L301="","",IF($F301="",pImp,$F301)+IF($G301="",pCom,$G301)+IF($H301="",pTax,$H301)+pFixo+IF($I301="",pLucro,$I301))</f>
        <v/>
      </c>
      <c r="N301" s="21">
        <f>IF($L301="","",IF($M301&gt;=1,"Revisar %",$L301/(1-$M301)))</f>
        <v/>
      </c>
      <c r="O301" s="23">
        <f>IF(ISNUMBER($N301),ROUNDUP($N301,0)+IF(ROUNDUP($N301,0)-0.1&gt;=$N301,-0.1,0.9),$N301)</f>
        <v/>
      </c>
      <c r="P301" s="24">
        <f>IF(AND(ISNUMBER($O301),N($L301)&gt;0),$O301/$L301,"")</f>
        <v/>
      </c>
      <c r="Q301" s="21">
        <f>IF(ISNUMBER($N301),$L301/(1-($M301-IF($I301="",pLucro,$I301))),"")</f>
        <v/>
      </c>
      <c r="R301" s="21">
        <f>IF(OR($K301="",NOT(ISNUMBER($N301))),"",$K301*(1-($M301-IF($I301="",pLucro,$I301)))-$L301)</f>
        <v/>
      </c>
      <c r="S301" s="22">
        <f>IF($R301="","",$R301/$K301)</f>
        <v/>
      </c>
      <c r="T301" s="25">
        <f>IF($L301="","",IF(NOT(ISNUMBER($N301)),"Revisar %",IF($K301="","Sem preço atual",IF($R301&lt;0,"PREJUÍZO",IF($K301&lt;$N301,"Abaixo do ideal","OK")))))</f>
        <v/>
      </c>
      <c r="U301" s="25">
        <f>IF(OR($J301="",NOT(ISNUMBER($O301))),"",IF($O301&lt;=$J301,"Competitivo ("&amp;ROUND(($O301/$J301-1)*100,1)&amp;"%)","Acima do concorrente (+"&amp;ROUND(($O301/$J301-1)*100,1)&amp;"%)"))</f>
        <v/>
      </c>
    </row>
    <row r="302" spans="1:21">
      <c r="A302" s="13"/>
      <c r="B302" s="13"/>
      <c r="C302" s="13"/>
      <c r="D302" s="19"/>
      <c r="E302" s="19"/>
      <c r="F302" s="20"/>
      <c r="G302" s="20"/>
      <c r="H302" s="20"/>
      <c r="I302" s="20"/>
      <c r="J302" s="19"/>
      <c r="K302" s="19"/>
      <c r="L302" s="21">
        <f>IF(OR($B302="",$D302=""),"",$D302+N($E302))</f>
        <v/>
      </c>
      <c r="M302" s="22">
        <f>IF($L302="","",IF($F302="",pImp,$F302)+IF($G302="",pCom,$G302)+IF($H302="",pTax,$H302)+pFixo+IF($I302="",pLucro,$I302))</f>
        <v/>
      </c>
      <c r="N302" s="21">
        <f>IF($L302="","",IF($M302&gt;=1,"Revisar %",$L302/(1-$M302)))</f>
        <v/>
      </c>
      <c r="O302" s="23">
        <f>IF(ISNUMBER($N302),ROUNDUP($N302,0)+IF(ROUNDUP($N302,0)-0.1&gt;=$N302,-0.1,0.9),$N302)</f>
        <v/>
      </c>
      <c r="P302" s="24">
        <f>IF(AND(ISNUMBER($O302),N($L302)&gt;0),$O302/$L302,"")</f>
        <v/>
      </c>
      <c r="Q302" s="21">
        <f>IF(ISNUMBER($N302),$L302/(1-($M302-IF($I302="",pLucro,$I302))),"")</f>
        <v/>
      </c>
      <c r="R302" s="21">
        <f>IF(OR($K302="",NOT(ISNUMBER($N302))),"",$K302*(1-($M302-IF($I302="",pLucro,$I302)))-$L302)</f>
        <v/>
      </c>
      <c r="S302" s="22">
        <f>IF($R302="","",$R302/$K302)</f>
        <v/>
      </c>
      <c r="T302" s="25">
        <f>IF($L302="","",IF(NOT(ISNUMBER($N302)),"Revisar %",IF($K302="","Sem preço atual",IF($R302&lt;0,"PREJUÍZO",IF($K302&lt;$N302,"Abaixo do ideal","OK")))))</f>
        <v/>
      </c>
      <c r="U302" s="25">
        <f>IF(OR($J302="",NOT(ISNUMBER($O302))),"",IF($O302&lt;=$J302,"Competitivo ("&amp;ROUND(($O302/$J302-1)*100,1)&amp;"%)","Acima do concorrente (+"&amp;ROUND(($O302/$J302-1)*100,1)&amp;"%)"))</f>
        <v/>
      </c>
    </row>
    <row r="303" spans="1:21">
      <c r="A303" s="13"/>
      <c r="B303" s="13"/>
      <c r="C303" s="13"/>
      <c r="D303" s="19"/>
      <c r="E303" s="19"/>
      <c r="F303" s="20"/>
      <c r="G303" s="20"/>
      <c r="H303" s="20"/>
      <c r="I303" s="20"/>
      <c r="J303" s="19"/>
      <c r="K303" s="19"/>
      <c r="L303" s="21">
        <f>IF(OR($B303="",$D303=""),"",$D303+N($E303))</f>
        <v/>
      </c>
      <c r="M303" s="22">
        <f>IF($L303="","",IF($F303="",pImp,$F303)+IF($G303="",pCom,$G303)+IF($H303="",pTax,$H303)+pFixo+IF($I303="",pLucro,$I303))</f>
        <v/>
      </c>
      <c r="N303" s="21">
        <f>IF($L303="","",IF($M303&gt;=1,"Revisar %",$L303/(1-$M303)))</f>
        <v/>
      </c>
      <c r="O303" s="23">
        <f>IF(ISNUMBER($N303),ROUNDUP($N303,0)+IF(ROUNDUP($N303,0)-0.1&gt;=$N303,-0.1,0.9),$N303)</f>
        <v/>
      </c>
      <c r="P303" s="24">
        <f>IF(AND(ISNUMBER($O303),N($L303)&gt;0),$O303/$L303,"")</f>
        <v/>
      </c>
      <c r="Q303" s="21">
        <f>IF(ISNUMBER($N303),$L303/(1-($M303-IF($I303="",pLucro,$I303))),"")</f>
        <v/>
      </c>
      <c r="R303" s="21">
        <f>IF(OR($K303="",NOT(ISNUMBER($N303))),"",$K303*(1-($M303-IF($I303="",pLucro,$I303)))-$L303)</f>
        <v/>
      </c>
      <c r="S303" s="22">
        <f>IF($R303="","",$R303/$K303)</f>
        <v/>
      </c>
      <c r="T303" s="25">
        <f>IF($L303="","",IF(NOT(ISNUMBER($N303)),"Revisar %",IF($K303="","Sem preço atual",IF($R303&lt;0,"PREJUÍZO",IF($K303&lt;$N303,"Abaixo do ideal","OK")))))</f>
        <v/>
      </c>
      <c r="U303" s="25">
        <f>IF(OR($J303="",NOT(ISNUMBER($O303))),"",IF($O303&lt;=$J303,"Competitivo ("&amp;ROUND(($O303/$J303-1)*100,1)&amp;"%)","Acima do concorrente (+"&amp;ROUND(($O303/$J303-1)*100,1)&amp;"%)"))</f>
        <v/>
      </c>
    </row>
    <row r="304" spans="1:21">
      <c r="A304" s="13"/>
      <c r="B304" s="13"/>
      <c r="C304" s="13"/>
      <c r="D304" s="19"/>
      <c r="E304" s="19"/>
      <c r="F304" s="20"/>
      <c r="G304" s="20"/>
      <c r="H304" s="20"/>
      <c r="I304" s="20"/>
      <c r="J304" s="19"/>
      <c r="K304" s="19"/>
      <c r="L304" s="21">
        <f>IF(OR($B304="",$D304=""),"",$D304+N($E304))</f>
        <v/>
      </c>
      <c r="M304" s="22">
        <f>IF($L304="","",IF($F304="",pImp,$F304)+IF($G304="",pCom,$G304)+IF($H304="",pTax,$H304)+pFixo+IF($I304="",pLucro,$I304))</f>
        <v/>
      </c>
      <c r="N304" s="21">
        <f>IF($L304="","",IF($M304&gt;=1,"Revisar %",$L304/(1-$M304)))</f>
        <v/>
      </c>
      <c r="O304" s="23">
        <f>IF(ISNUMBER($N304),ROUNDUP($N304,0)+IF(ROUNDUP($N304,0)-0.1&gt;=$N304,-0.1,0.9),$N304)</f>
        <v/>
      </c>
      <c r="P304" s="24">
        <f>IF(AND(ISNUMBER($O304),N($L304)&gt;0),$O304/$L304,"")</f>
        <v/>
      </c>
      <c r="Q304" s="21">
        <f>IF(ISNUMBER($N304),$L304/(1-($M304-IF($I304="",pLucro,$I304))),"")</f>
        <v/>
      </c>
      <c r="R304" s="21">
        <f>IF(OR($K304="",NOT(ISNUMBER($N304))),"",$K304*(1-($M304-IF($I304="",pLucro,$I304)))-$L304)</f>
        <v/>
      </c>
      <c r="S304" s="22">
        <f>IF($R304="","",$R304/$K304)</f>
        <v/>
      </c>
      <c r="T304" s="25">
        <f>IF($L304="","",IF(NOT(ISNUMBER($N304)),"Revisar %",IF($K304="","Sem preço atual",IF($R304&lt;0,"PREJUÍZO",IF($K304&lt;$N304,"Abaixo do ideal","OK")))))</f>
        <v/>
      </c>
      <c r="U304" s="25">
        <f>IF(OR($J304="",NOT(ISNUMBER($O304))),"",IF($O304&lt;=$J304,"Competitivo ("&amp;ROUND(($O304/$J304-1)*100,1)&amp;"%)","Acima do concorrente (+"&amp;ROUND(($O304/$J304-1)*100,1)&amp;"%)"))</f>
        <v/>
      </c>
    </row>
  </sheetData>
  <autoFilter ref="A4:U304"/>
  <mergeCells count="2">
    <mergeCell ref="A1:U1"/>
    <mergeCell ref="A2:U2"/>
  </mergeCells>
  <conditionalFormatting sqref="T5:T304">
    <cfRule type="cellIs" dxfId="0" priority="1" operator="equal">
      <formula>"PREJUÍZO"</formula>
    </cfRule>
    <cfRule type="cellIs" dxfId="1" priority="2" operator="equal">
      <formula>"Abaixo do ideal"</formula>
    </cfRule>
    <cfRule type="cellIs" dxfId="2" priority="3" operator="equal">
      <formula>"OK"</formula>
    </cfRule>
    <cfRule type="cellIs" dxfId="3" priority="4" operator="equal">
      <formula>"Revisar %"</formula>
    </cfRule>
  </conditionalFormatting>
  <dataValidations count="3">
    <dataValidation type="decimal" operator="greaterThanOrEqual" allowBlank="1" showInputMessage="1" showErrorMessage="1" errorTitle="Valor inválido" error="Digite um número maior ou igual a 0." promptTitle="Dica" prompt="Valor em R$" sqref="D5:E304">
      <formula1>0</formula1>
    </dataValidation>
    <dataValidation type="decimal" allowBlank="1" showInputMessage="1" showErrorMessage="1" errorTitle="Valor inválido" error="Digite um número entre 0 e 0.95." promptTitle="Dica" prompt="Em branco = usa o padrão da Config" sqref="F5:I304">
      <formula1>0</formula1>
      <formula2>0.95</formula2>
    </dataValidation>
    <dataValidation type="decimal" operator="greaterThanOrEqual" allowBlank="1" showInputMessage="1" showErrorMessage="1" errorTitle="Valor inválido" error="Digite um número maior ou igual a 0." sqref="J5:K3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S1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14.7109375" customWidth="1"/>
    <col min="3" max="3" width="9.7109375" customWidth="1"/>
    <col min="4" max="4" width="12.7109375" customWidth="1"/>
    <col min="5" max="5" width="13.7109375" customWidth="1"/>
    <col min="6" max="9" width="10.7109375" customWidth="1"/>
    <col min="10" max="10" width="14.7109375" customWidth="1"/>
    <col min="11" max="11" width="13.7109375" customWidth="1"/>
    <col min="12" max="12" width="12.7109375" customWidth="1"/>
    <col min="13" max="13" width="11.7109375" customWidth="1"/>
    <col min="14" max="14" width="13.7109375" customWidth="1"/>
    <col min="15" max="15" width="14.7109375" customWidth="1"/>
    <col min="16" max="17" width="13.7109375" customWidth="1"/>
    <col min="18" max="18" width="11.7109375" customWidth="1"/>
    <col min="19" max="19" width="17.7109375" customWidth="1"/>
  </cols>
  <sheetData>
    <row r="1" spans="1:19" ht="36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0" customHeight="1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58" customHeight="1">
      <c r="A4" s="10" t="s">
        <v>88</v>
      </c>
      <c r="B4" s="10" t="s">
        <v>68</v>
      </c>
      <c r="C4" s="10" t="s">
        <v>89</v>
      </c>
      <c r="D4" s="10" t="s">
        <v>90</v>
      </c>
      <c r="E4" s="10" t="s">
        <v>91</v>
      </c>
      <c r="F4" s="10" t="s">
        <v>71</v>
      </c>
      <c r="G4" s="10" t="s">
        <v>72</v>
      </c>
      <c r="H4" s="10" t="s">
        <v>73</v>
      </c>
      <c r="I4" s="10" t="s">
        <v>74</v>
      </c>
      <c r="J4" s="10" t="s">
        <v>76</v>
      </c>
      <c r="K4" s="10" t="s">
        <v>92</v>
      </c>
      <c r="L4" s="10" t="s">
        <v>77</v>
      </c>
      <c r="M4" s="10" t="s">
        <v>78</v>
      </c>
      <c r="N4" s="10" t="s">
        <v>79</v>
      </c>
      <c r="O4" s="10" t="s">
        <v>80</v>
      </c>
      <c r="P4" s="10" t="s">
        <v>93</v>
      </c>
      <c r="Q4" s="10" t="s">
        <v>94</v>
      </c>
      <c r="R4" s="10" t="s">
        <v>95</v>
      </c>
      <c r="S4" s="10" t="s">
        <v>85</v>
      </c>
    </row>
    <row r="5" spans="1:19">
      <c r="A5" s="13"/>
      <c r="B5" s="13"/>
      <c r="C5" s="26"/>
      <c r="D5" s="19"/>
      <c r="E5" s="19"/>
      <c r="F5" s="20"/>
      <c r="G5" s="20"/>
      <c r="H5" s="20"/>
      <c r="I5" s="20"/>
      <c r="J5" s="19"/>
      <c r="K5" s="21">
        <f>IF(OR($A5="",$C5=""),"",$C5*cHora)</f>
        <v/>
      </c>
      <c r="L5" s="21">
        <f>IF($K5="","",$K5+N($D5)+N($E5))</f>
        <v/>
      </c>
      <c r="M5" s="22">
        <f>IF($L5="","",IF($F5="",pImp,$F5)+IF($G5="",pCom,$G5)+IF($H5="",pTax,$H5)+IF($I5="",pLucro,$I5))</f>
        <v/>
      </c>
      <c r="N5" s="21">
        <f>IF($L5="","",IF($M5&gt;=1,"Revisar %",$L5/(1-$M5)))</f>
        <v/>
      </c>
      <c r="O5" s="23">
        <f>IF(ISNUMBER($N5),ROUNDUP($N5,0)+IF(ROUNDUP($N5,0)-0.1&gt;=$N5,-0.1,0.9),$N5)</f>
        <v/>
      </c>
      <c r="P5" s="21">
        <f>IF(AND(ISNUMBER($O5),N($C5)&gt;0),$O5/$C5,"")</f>
        <v/>
      </c>
      <c r="Q5" s="21">
        <f>IF(OR($J5="",NOT(ISNUMBER($N5))),"",$J5*(1-($M5-IF($I5="",pLucro,$I5)))-$L5)</f>
        <v/>
      </c>
      <c r="R5" s="22">
        <f>IF($Q5="","",$Q5/$J5)</f>
        <v/>
      </c>
      <c r="S5" s="25">
        <f>IF($L5="","",IF(NOT(ISNUMBER($N5)),"Revisar %",IF($J5="","Sem preço atual",IF($Q5&lt;0,"PREJUÍZO",IF($J5&lt;$N5,"Abaixo do ideal","OK")))))</f>
        <v/>
      </c>
    </row>
    <row r="6" spans="1:19">
      <c r="A6" s="13"/>
      <c r="B6" s="13"/>
      <c r="C6" s="26"/>
      <c r="D6" s="19"/>
      <c r="E6" s="19"/>
      <c r="F6" s="20"/>
      <c r="G6" s="20"/>
      <c r="H6" s="20"/>
      <c r="I6" s="20"/>
      <c r="J6" s="19"/>
      <c r="K6" s="21">
        <f>IF(OR($A6="",$C6=""),"",$C6*cHora)</f>
        <v/>
      </c>
      <c r="L6" s="21">
        <f>IF($K6="","",$K6+N($D6)+N($E6))</f>
        <v/>
      </c>
      <c r="M6" s="22">
        <f>IF($L6="","",IF($F6="",pImp,$F6)+IF($G6="",pCom,$G6)+IF($H6="",pTax,$H6)+IF($I6="",pLucro,$I6))</f>
        <v/>
      </c>
      <c r="N6" s="21">
        <f>IF($L6="","",IF($M6&gt;=1,"Revisar %",$L6/(1-$M6)))</f>
        <v/>
      </c>
      <c r="O6" s="23">
        <f>IF(ISNUMBER($N6),ROUNDUP($N6,0)+IF(ROUNDUP($N6,0)-0.1&gt;=$N6,-0.1,0.9),$N6)</f>
        <v/>
      </c>
      <c r="P6" s="21">
        <f>IF(AND(ISNUMBER($O6),N($C6)&gt;0),$O6/$C6,"")</f>
        <v/>
      </c>
      <c r="Q6" s="21">
        <f>IF(OR($J6="",NOT(ISNUMBER($N6))),"",$J6*(1-($M6-IF($I6="",pLucro,$I6)))-$L6)</f>
        <v/>
      </c>
      <c r="R6" s="22">
        <f>IF($Q6="","",$Q6/$J6)</f>
        <v/>
      </c>
      <c r="S6" s="25">
        <f>IF($L6="","",IF(NOT(ISNUMBER($N6)),"Revisar %",IF($J6="","Sem preço atual",IF($Q6&lt;0,"PREJUÍZO",IF($J6&lt;$N6,"Abaixo do ideal","OK")))))</f>
        <v/>
      </c>
    </row>
    <row r="7" spans="1:19">
      <c r="A7" s="13"/>
      <c r="B7" s="13"/>
      <c r="C7" s="26"/>
      <c r="D7" s="19"/>
      <c r="E7" s="19"/>
      <c r="F7" s="20"/>
      <c r="G7" s="20"/>
      <c r="H7" s="20"/>
      <c r="I7" s="20"/>
      <c r="J7" s="19"/>
      <c r="K7" s="21">
        <f>IF(OR($A7="",$C7=""),"",$C7*cHora)</f>
        <v/>
      </c>
      <c r="L7" s="21">
        <f>IF($K7="","",$K7+N($D7)+N($E7))</f>
        <v/>
      </c>
      <c r="M7" s="22">
        <f>IF($L7="","",IF($F7="",pImp,$F7)+IF($G7="",pCom,$G7)+IF($H7="",pTax,$H7)+IF($I7="",pLucro,$I7))</f>
        <v/>
      </c>
      <c r="N7" s="21">
        <f>IF($L7="","",IF($M7&gt;=1,"Revisar %",$L7/(1-$M7)))</f>
        <v/>
      </c>
      <c r="O7" s="23">
        <f>IF(ISNUMBER($N7),ROUNDUP($N7,0)+IF(ROUNDUP($N7,0)-0.1&gt;=$N7,-0.1,0.9),$N7)</f>
        <v/>
      </c>
      <c r="P7" s="21">
        <f>IF(AND(ISNUMBER($O7),N($C7)&gt;0),$O7/$C7,"")</f>
        <v/>
      </c>
      <c r="Q7" s="21">
        <f>IF(OR($J7="",NOT(ISNUMBER($N7))),"",$J7*(1-($M7-IF($I7="",pLucro,$I7)))-$L7)</f>
        <v/>
      </c>
      <c r="R7" s="22">
        <f>IF($Q7="","",$Q7/$J7)</f>
        <v/>
      </c>
      <c r="S7" s="25">
        <f>IF($L7="","",IF(NOT(ISNUMBER($N7)),"Revisar %",IF($J7="","Sem preço atual",IF($Q7&lt;0,"PREJUÍZO",IF($J7&lt;$N7,"Abaixo do ideal","OK")))))</f>
        <v/>
      </c>
    </row>
    <row r="8" spans="1:19">
      <c r="A8" s="13"/>
      <c r="B8" s="13"/>
      <c r="C8" s="26"/>
      <c r="D8" s="19"/>
      <c r="E8" s="19"/>
      <c r="F8" s="20"/>
      <c r="G8" s="20"/>
      <c r="H8" s="20"/>
      <c r="I8" s="20"/>
      <c r="J8" s="19"/>
      <c r="K8" s="21">
        <f>IF(OR($A8="",$C8=""),"",$C8*cHora)</f>
        <v/>
      </c>
      <c r="L8" s="21">
        <f>IF($K8="","",$K8+N($D8)+N($E8))</f>
        <v/>
      </c>
      <c r="M8" s="22">
        <f>IF($L8="","",IF($F8="",pImp,$F8)+IF($G8="",pCom,$G8)+IF($H8="",pTax,$H8)+IF($I8="",pLucro,$I8))</f>
        <v/>
      </c>
      <c r="N8" s="21">
        <f>IF($L8="","",IF($M8&gt;=1,"Revisar %",$L8/(1-$M8)))</f>
        <v/>
      </c>
      <c r="O8" s="23">
        <f>IF(ISNUMBER($N8),ROUNDUP($N8,0)+IF(ROUNDUP($N8,0)-0.1&gt;=$N8,-0.1,0.9),$N8)</f>
        <v/>
      </c>
      <c r="P8" s="21">
        <f>IF(AND(ISNUMBER($O8),N($C8)&gt;0),$O8/$C8,"")</f>
        <v/>
      </c>
      <c r="Q8" s="21">
        <f>IF(OR($J8="",NOT(ISNUMBER($N8))),"",$J8*(1-($M8-IF($I8="",pLucro,$I8)))-$L8)</f>
        <v/>
      </c>
      <c r="R8" s="22">
        <f>IF($Q8="","",$Q8/$J8)</f>
        <v/>
      </c>
      <c r="S8" s="25">
        <f>IF($L8="","",IF(NOT(ISNUMBER($N8)),"Revisar %",IF($J8="","Sem preço atual",IF($Q8&lt;0,"PREJUÍZO",IF($J8&lt;$N8,"Abaixo do ideal","OK")))))</f>
        <v/>
      </c>
    </row>
    <row r="9" spans="1:19">
      <c r="A9" s="13"/>
      <c r="B9" s="13"/>
      <c r="C9" s="26"/>
      <c r="D9" s="19"/>
      <c r="E9" s="19"/>
      <c r="F9" s="20"/>
      <c r="G9" s="20"/>
      <c r="H9" s="20"/>
      <c r="I9" s="20"/>
      <c r="J9" s="19"/>
      <c r="K9" s="21">
        <f>IF(OR($A9="",$C9=""),"",$C9*cHora)</f>
        <v/>
      </c>
      <c r="L9" s="21">
        <f>IF($K9="","",$K9+N($D9)+N($E9))</f>
        <v/>
      </c>
      <c r="M9" s="22">
        <f>IF($L9="","",IF($F9="",pImp,$F9)+IF($G9="",pCom,$G9)+IF($H9="",pTax,$H9)+IF($I9="",pLucro,$I9))</f>
        <v/>
      </c>
      <c r="N9" s="21">
        <f>IF($L9="","",IF($M9&gt;=1,"Revisar %",$L9/(1-$M9)))</f>
        <v/>
      </c>
      <c r="O9" s="23">
        <f>IF(ISNUMBER($N9),ROUNDUP($N9,0)+IF(ROUNDUP($N9,0)-0.1&gt;=$N9,-0.1,0.9),$N9)</f>
        <v/>
      </c>
      <c r="P9" s="21">
        <f>IF(AND(ISNUMBER($O9),N($C9)&gt;0),$O9/$C9,"")</f>
        <v/>
      </c>
      <c r="Q9" s="21">
        <f>IF(OR($J9="",NOT(ISNUMBER($N9))),"",$J9*(1-($M9-IF($I9="",pLucro,$I9)))-$L9)</f>
        <v/>
      </c>
      <c r="R9" s="22">
        <f>IF($Q9="","",$Q9/$J9)</f>
        <v/>
      </c>
      <c r="S9" s="25">
        <f>IF($L9="","",IF(NOT(ISNUMBER($N9)),"Revisar %",IF($J9="","Sem preço atual",IF($Q9&lt;0,"PREJUÍZO",IF($J9&lt;$N9,"Abaixo do ideal","OK")))))</f>
        <v/>
      </c>
    </row>
    <row r="10" spans="1:19">
      <c r="A10" s="13"/>
      <c r="B10" s="13"/>
      <c r="C10" s="26"/>
      <c r="D10" s="19"/>
      <c r="E10" s="19"/>
      <c r="F10" s="20"/>
      <c r="G10" s="20"/>
      <c r="H10" s="20"/>
      <c r="I10" s="20"/>
      <c r="J10" s="19"/>
      <c r="K10" s="21">
        <f>IF(OR($A10="",$C10=""),"",$C10*cHora)</f>
        <v/>
      </c>
      <c r="L10" s="21">
        <f>IF($K10="","",$K10+N($D10)+N($E10))</f>
        <v/>
      </c>
      <c r="M10" s="22">
        <f>IF($L10="","",IF($F10="",pImp,$F10)+IF($G10="",pCom,$G10)+IF($H10="",pTax,$H10)+IF($I10="",pLucro,$I10))</f>
        <v/>
      </c>
      <c r="N10" s="21">
        <f>IF($L10="","",IF($M10&gt;=1,"Revisar %",$L10/(1-$M10)))</f>
        <v/>
      </c>
      <c r="O10" s="23">
        <f>IF(ISNUMBER($N10),ROUNDUP($N10,0)+IF(ROUNDUP($N10,0)-0.1&gt;=$N10,-0.1,0.9),$N10)</f>
        <v/>
      </c>
      <c r="P10" s="21">
        <f>IF(AND(ISNUMBER($O10),N($C10)&gt;0),$O10/$C10,"")</f>
        <v/>
      </c>
      <c r="Q10" s="21">
        <f>IF(OR($J10="",NOT(ISNUMBER($N10))),"",$J10*(1-($M10-IF($I10="",pLucro,$I10)))-$L10)</f>
        <v/>
      </c>
      <c r="R10" s="22">
        <f>IF($Q10="","",$Q10/$J10)</f>
        <v/>
      </c>
      <c r="S10" s="25">
        <f>IF($L10="","",IF(NOT(ISNUMBER($N10)),"Revisar %",IF($J10="","Sem preço atual",IF($Q10&lt;0,"PREJUÍZO",IF($J10&lt;$N10,"Abaixo do ideal","OK")))))</f>
        <v/>
      </c>
    </row>
    <row r="11" spans="1:19">
      <c r="A11" s="13"/>
      <c r="B11" s="13"/>
      <c r="C11" s="26"/>
      <c r="D11" s="19"/>
      <c r="E11" s="19"/>
      <c r="F11" s="20"/>
      <c r="G11" s="20"/>
      <c r="H11" s="20"/>
      <c r="I11" s="20"/>
      <c r="J11" s="19"/>
      <c r="K11" s="21">
        <f>IF(OR($A11="",$C11=""),"",$C11*cHora)</f>
        <v/>
      </c>
      <c r="L11" s="21">
        <f>IF($K11="","",$K11+N($D11)+N($E11))</f>
        <v/>
      </c>
      <c r="M11" s="22">
        <f>IF($L11="","",IF($F11="",pImp,$F11)+IF($G11="",pCom,$G11)+IF($H11="",pTax,$H11)+IF($I11="",pLucro,$I11))</f>
        <v/>
      </c>
      <c r="N11" s="21">
        <f>IF($L11="","",IF($M11&gt;=1,"Revisar %",$L11/(1-$M11)))</f>
        <v/>
      </c>
      <c r="O11" s="23">
        <f>IF(ISNUMBER($N11),ROUNDUP($N11,0)+IF(ROUNDUP($N11,0)-0.1&gt;=$N11,-0.1,0.9),$N11)</f>
        <v/>
      </c>
      <c r="P11" s="21">
        <f>IF(AND(ISNUMBER($O11),N($C11)&gt;0),$O11/$C11,"")</f>
        <v/>
      </c>
      <c r="Q11" s="21">
        <f>IF(OR($J11="",NOT(ISNUMBER($N11))),"",$J11*(1-($M11-IF($I11="",pLucro,$I11)))-$L11)</f>
        <v/>
      </c>
      <c r="R11" s="22">
        <f>IF($Q11="","",$Q11/$J11)</f>
        <v/>
      </c>
      <c r="S11" s="25">
        <f>IF($L11="","",IF(NOT(ISNUMBER($N11)),"Revisar %",IF($J11="","Sem preço atual",IF($Q11&lt;0,"PREJUÍZO",IF($J11&lt;$N11,"Abaixo do ideal","OK")))))</f>
        <v/>
      </c>
    </row>
    <row r="12" spans="1:19">
      <c r="A12" s="13"/>
      <c r="B12" s="13"/>
      <c r="C12" s="26"/>
      <c r="D12" s="19"/>
      <c r="E12" s="19"/>
      <c r="F12" s="20"/>
      <c r="G12" s="20"/>
      <c r="H12" s="20"/>
      <c r="I12" s="20"/>
      <c r="J12" s="19"/>
      <c r="K12" s="21">
        <f>IF(OR($A12="",$C12=""),"",$C12*cHora)</f>
        <v/>
      </c>
      <c r="L12" s="21">
        <f>IF($K12="","",$K12+N($D12)+N($E12))</f>
        <v/>
      </c>
      <c r="M12" s="22">
        <f>IF($L12="","",IF($F12="",pImp,$F12)+IF($G12="",pCom,$G12)+IF($H12="",pTax,$H12)+IF($I12="",pLucro,$I12))</f>
        <v/>
      </c>
      <c r="N12" s="21">
        <f>IF($L12="","",IF($M12&gt;=1,"Revisar %",$L12/(1-$M12)))</f>
        <v/>
      </c>
      <c r="O12" s="23">
        <f>IF(ISNUMBER($N12),ROUNDUP($N12,0)+IF(ROUNDUP($N12,0)-0.1&gt;=$N12,-0.1,0.9),$N12)</f>
        <v/>
      </c>
      <c r="P12" s="21">
        <f>IF(AND(ISNUMBER($O12),N($C12)&gt;0),$O12/$C12,"")</f>
        <v/>
      </c>
      <c r="Q12" s="21">
        <f>IF(OR($J12="",NOT(ISNUMBER($N12))),"",$J12*(1-($M12-IF($I12="",pLucro,$I12)))-$L12)</f>
        <v/>
      </c>
      <c r="R12" s="22">
        <f>IF($Q12="","",$Q12/$J12)</f>
        <v/>
      </c>
      <c r="S12" s="25">
        <f>IF($L12="","",IF(NOT(ISNUMBER($N12)),"Revisar %",IF($J12="","Sem preço atual",IF($Q12&lt;0,"PREJUÍZO",IF($J12&lt;$N12,"Abaixo do ideal","OK")))))</f>
        <v/>
      </c>
    </row>
    <row r="13" spans="1:19">
      <c r="A13" s="13"/>
      <c r="B13" s="13"/>
      <c r="C13" s="26"/>
      <c r="D13" s="19"/>
      <c r="E13" s="19"/>
      <c r="F13" s="20"/>
      <c r="G13" s="20"/>
      <c r="H13" s="20"/>
      <c r="I13" s="20"/>
      <c r="J13" s="19"/>
      <c r="K13" s="21">
        <f>IF(OR($A13="",$C13=""),"",$C13*cHora)</f>
        <v/>
      </c>
      <c r="L13" s="21">
        <f>IF($K13="","",$K13+N($D13)+N($E13))</f>
        <v/>
      </c>
      <c r="M13" s="22">
        <f>IF($L13="","",IF($F13="",pImp,$F13)+IF($G13="",pCom,$G13)+IF($H13="",pTax,$H13)+IF($I13="",pLucro,$I13))</f>
        <v/>
      </c>
      <c r="N13" s="21">
        <f>IF($L13="","",IF($M13&gt;=1,"Revisar %",$L13/(1-$M13)))</f>
        <v/>
      </c>
      <c r="O13" s="23">
        <f>IF(ISNUMBER($N13),ROUNDUP($N13,0)+IF(ROUNDUP($N13,0)-0.1&gt;=$N13,-0.1,0.9),$N13)</f>
        <v/>
      </c>
      <c r="P13" s="21">
        <f>IF(AND(ISNUMBER($O13),N($C13)&gt;0),$O13/$C13,"")</f>
        <v/>
      </c>
      <c r="Q13" s="21">
        <f>IF(OR($J13="",NOT(ISNUMBER($N13))),"",$J13*(1-($M13-IF($I13="",pLucro,$I13)))-$L13)</f>
        <v/>
      </c>
      <c r="R13" s="22">
        <f>IF($Q13="","",$Q13/$J13)</f>
        <v/>
      </c>
      <c r="S13" s="25">
        <f>IF($L13="","",IF(NOT(ISNUMBER($N13)),"Revisar %",IF($J13="","Sem preço atual",IF($Q13&lt;0,"PREJUÍZO",IF($J13&lt;$N13,"Abaixo do ideal","OK")))))</f>
        <v/>
      </c>
    </row>
    <row r="14" spans="1:19">
      <c r="A14" s="13"/>
      <c r="B14" s="13"/>
      <c r="C14" s="26"/>
      <c r="D14" s="19"/>
      <c r="E14" s="19"/>
      <c r="F14" s="20"/>
      <c r="G14" s="20"/>
      <c r="H14" s="20"/>
      <c r="I14" s="20"/>
      <c r="J14" s="19"/>
      <c r="K14" s="21">
        <f>IF(OR($A14="",$C14=""),"",$C14*cHora)</f>
        <v/>
      </c>
      <c r="L14" s="21">
        <f>IF($K14="","",$K14+N($D14)+N($E14))</f>
        <v/>
      </c>
      <c r="M14" s="22">
        <f>IF($L14="","",IF($F14="",pImp,$F14)+IF($G14="",pCom,$G14)+IF($H14="",pTax,$H14)+IF($I14="",pLucro,$I14))</f>
        <v/>
      </c>
      <c r="N14" s="21">
        <f>IF($L14="","",IF($M14&gt;=1,"Revisar %",$L14/(1-$M14)))</f>
        <v/>
      </c>
      <c r="O14" s="23">
        <f>IF(ISNUMBER($N14),ROUNDUP($N14,0)+IF(ROUNDUP($N14,0)-0.1&gt;=$N14,-0.1,0.9),$N14)</f>
        <v/>
      </c>
      <c r="P14" s="21">
        <f>IF(AND(ISNUMBER($O14),N($C14)&gt;0),$O14/$C14,"")</f>
        <v/>
      </c>
      <c r="Q14" s="21">
        <f>IF(OR($J14="",NOT(ISNUMBER($N14))),"",$J14*(1-($M14-IF($I14="",pLucro,$I14)))-$L14)</f>
        <v/>
      </c>
      <c r="R14" s="22">
        <f>IF($Q14="","",$Q14/$J14)</f>
        <v/>
      </c>
      <c r="S14" s="25">
        <f>IF($L14="","",IF(NOT(ISNUMBER($N14)),"Revisar %",IF($J14="","Sem preço atual",IF($Q14&lt;0,"PREJUÍZO",IF($J14&lt;$N14,"Abaixo do ideal","OK")))))</f>
        <v/>
      </c>
    </row>
    <row r="15" spans="1:19">
      <c r="A15" s="13"/>
      <c r="B15" s="13"/>
      <c r="C15" s="26"/>
      <c r="D15" s="19"/>
      <c r="E15" s="19"/>
      <c r="F15" s="20"/>
      <c r="G15" s="20"/>
      <c r="H15" s="20"/>
      <c r="I15" s="20"/>
      <c r="J15" s="19"/>
      <c r="K15" s="21">
        <f>IF(OR($A15="",$C15=""),"",$C15*cHora)</f>
        <v/>
      </c>
      <c r="L15" s="21">
        <f>IF($K15="","",$K15+N($D15)+N($E15))</f>
        <v/>
      </c>
      <c r="M15" s="22">
        <f>IF($L15="","",IF($F15="",pImp,$F15)+IF($G15="",pCom,$G15)+IF($H15="",pTax,$H15)+IF($I15="",pLucro,$I15))</f>
        <v/>
      </c>
      <c r="N15" s="21">
        <f>IF($L15="","",IF($M15&gt;=1,"Revisar %",$L15/(1-$M15)))</f>
        <v/>
      </c>
      <c r="O15" s="23">
        <f>IF(ISNUMBER($N15),ROUNDUP($N15,0)+IF(ROUNDUP($N15,0)-0.1&gt;=$N15,-0.1,0.9),$N15)</f>
        <v/>
      </c>
      <c r="P15" s="21">
        <f>IF(AND(ISNUMBER($O15),N($C15)&gt;0),$O15/$C15,"")</f>
        <v/>
      </c>
      <c r="Q15" s="21">
        <f>IF(OR($J15="",NOT(ISNUMBER($N15))),"",$J15*(1-($M15-IF($I15="",pLucro,$I15)))-$L15)</f>
        <v/>
      </c>
      <c r="R15" s="22">
        <f>IF($Q15="","",$Q15/$J15)</f>
        <v/>
      </c>
      <c r="S15" s="25">
        <f>IF($L15="","",IF(NOT(ISNUMBER($N15)),"Revisar %",IF($J15="","Sem preço atual",IF($Q15&lt;0,"PREJUÍZO",IF($J15&lt;$N15,"Abaixo do ideal","OK")))))</f>
        <v/>
      </c>
    </row>
    <row r="16" spans="1:19">
      <c r="A16" s="13"/>
      <c r="B16" s="13"/>
      <c r="C16" s="26"/>
      <c r="D16" s="19"/>
      <c r="E16" s="19"/>
      <c r="F16" s="20"/>
      <c r="G16" s="20"/>
      <c r="H16" s="20"/>
      <c r="I16" s="20"/>
      <c r="J16" s="19"/>
      <c r="K16" s="21">
        <f>IF(OR($A16="",$C16=""),"",$C16*cHora)</f>
        <v/>
      </c>
      <c r="L16" s="21">
        <f>IF($K16="","",$K16+N($D16)+N($E16))</f>
        <v/>
      </c>
      <c r="M16" s="22">
        <f>IF($L16="","",IF($F16="",pImp,$F16)+IF($G16="",pCom,$G16)+IF($H16="",pTax,$H16)+IF($I16="",pLucro,$I16))</f>
        <v/>
      </c>
      <c r="N16" s="21">
        <f>IF($L16="","",IF($M16&gt;=1,"Revisar %",$L16/(1-$M16)))</f>
        <v/>
      </c>
      <c r="O16" s="23">
        <f>IF(ISNUMBER($N16),ROUNDUP($N16,0)+IF(ROUNDUP($N16,0)-0.1&gt;=$N16,-0.1,0.9),$N16)</f>
        <v/>
      </c>
      <c r="P16" s="21">
        <f>IF(AND(ISNUMBER($O16),N($C16)&gt;0),$O16/$C16,"")</f>
        <v/>
      </c>
      <c r="Q16" s="21">
        <f>IF(OR($J16="",NOT(ISNUMBER($N16))),"",$J16*(1-($M16-IF($I16="",pLucro,$I16)))-$L16)</f>
        <v/>
      </c>
      <c r="R16" s="22">
        <f>IF($Q16="","",$Q16/$J16)</f>
        <v/>
      </c>
      <c r="S16" s="25">
        <f>IF($L16="","",IF(NOT(ISNUMBER($N16)),"Revisar %",IF($J16="","Sem preço atual",IF($Q16&lt;0,"PREJUÍZO",IF($J16&lt;$N16,"Abaixo do ideal","OK")))))</f>
        <v/>
      </c>
    </row>
    <row r="17" spans="1:19">
      <c r="A17" s="13"/>
      <c r="B17" s="13"/>
      <c r="C17" s="26"/>
      <c r="D17" s="19"/>
      <c r="E17" s="19"/>
      <c r="F17" s="20"/>
      <c r="G17" s="20"/>
      <c r="H17" s="20"/>
      <c r="I17" s="20"/>
      <c r="J17" s="19"/>
      <c r="K17" s="21">
        <f>IF(OR($A17="",$C17=""),"",$C17*cHora)</f>
        <v/>
      </c>
      <c r="L17" s="21">
        <f>IF($K17="","",$K17+N($D17)+N($E17))</f>
        <v/>
      </c>
      <c r="M17" s="22">
        <f>IF($L17="","",IF($F17="",pImp,$F17)+IF($G17="",pCom,$G17)+IF($H17="",pTax,$H17)+IF($I17="",pLucro,$I17))</f>
        <v/>
      </c>
      <c r="N17" s="21">
        <f>IF($L17="","",IF($M17&gt;=1,"Revisar %",$L17/(1-$M17)))</f>
        <v/>
      </c>
      <c r="O17" s="23">
        <f>IF(ISNUMBER($N17),ROUNDUP($N17,0)+IF(ROUNDUP($N17,0)-0.1&gt;=$N17,-0.1,0.9),$N17)</f>
        <v/>
      </c>
      <c r="P17" s="21">
        <f>IF(AND(ISNUMBER($O17),N($C17)&gt;0),$O17/$C17,"")</f>
        <v/>
      </c>
      <c r="Q17" s="21">
        <f>IF(OR($J17="",NOT(ISNUMBER($N17))),"",$J17*(1-($M17-IF($I17="",pLucro,$I17)))-$L17)</f>
        <v/>
      </c>
      <c r="R17" s="22">
        <f>IF($Q17="","",$Q17/$J17)</f>
        <v/>
      </c>
      <c r="S17" s="25">
        <f>IF($L17="","",IF(NOT(ISNUMBER($N17)),"Revisar %",IF($J17="","Sem preço atual",IF($Q17&lt;0,"PREJUÍZO",IF($J17&lt;$N17,"Abaixo do ideal","OK")))))</f>
        <v/>
      </c>
    </row>
    <row r="18" spans="1:19">
      <c r="A18" s="13"/>
      <c r="B18" s="13"/>
      <c r="C18" s="26"/>
      <c r="D18" s="19"/>
      <c r="E18" s="19"/>
      <c r="F18" s="20"/>
      <c r="G18" s="20"/>
      <c r="H18" s="20"/>
      <c r="I18" s="20"/>
      <c r="J18" s="19"/>
      <c r="K18" s="21">
        <f>IF(OR($A18="",$C18=""),"",$C18*cHora)</f>
        <v/>
      </c>
      <c r="L18" s="21">
        <f>IF($K18="","",$K18+N($D18)+N($E18))</f>
        <v/>
      </c>
      <c r="M18" s="22">
        <f>IF($L18="","",IF($F18="",pImp,$F18)+IF($G18="",pCom,$G18)+IF($H18="",pTax,$H18)+IF($I18="",pLucro,$I18))</f>
        <v/>
      </c>
      <c r="N18" s="21">
        <f>IF($L18="","",IF($M18&gt;=1,"Revisar %",$L18/(1-$M18)))</f>
        <v/>
      </c>
      <c r="O18" s="23">
        <f>IF(ISNUMBER($N18),ROUNDUP($N18,0)+IF(ROUNDUP($N18,0)-0.1&gt;=$N18,-0.1,0.9),$N18)</f>
        <v/>
      </c>
      <c r="P18" s="21">
        <f>IF(AND(ISNUMBER($O18),N($C18)&gt;0),$O18/$C18,"")</f>
        <v/>
      </c>
      <c r="Q18" s="21">
        <f>IF(OR($J18="",NOT(ISNUMBER($N18))),"",$J18*(1-($M18-IF($I18="",pLucro,$I18)))-$L18)</f>
        <v/>
      </c>
      <c r="R18" s="22">
        <f>IF($Q18="","",$Q18/$J18)</f>
        <v/>
      </c>
      <c r="S18" s="25">
        <f>IF($L18="","",IF(NOT(ISNUMBER($N18)),"Revisar %",IF($J18="","Sem preço atual",IF($Q18&lt;0,"PREJUÍZO",IF($J18&lt;$N18,"Abaixo do ideal","OK")))))</f>
        <v/>
      </c>
    </row>
    <row r="19" spans="1:19">
      <c r="A19" s="13"/>
      <c r="B19" s="13"/>
      <c r="C19" s="26"/>
      <c r="D19" s="19"/>
      <c r="E19" s="19"/>
      <c r="F19" s="20"/>
      <c r="G19" s="20"/>
      <c r="H19" s="20"/>
      <c r="I19" s="20"/>
      <c r="J19" s="19"/>
      <c r="K19" s="21">
        <f>IF(OR($A19="",$C19=""),"",$C19*cHora)</f>
        <v/>
      </c>
      <c r="L19" s="21">
        <f>IF($K19="","",$K19+N($D19)+N($E19))</f>
        <v/>
      </c>
      <c r="M19" s="22">
        <f>IF($L19="","",IF($F19="",pImp,$F19)+IF($G19="",pCom,$G19)+IF($H19="",pTax,$H19)+IF($I19="",pLucro,$I19))</f>
        <v/>
      </c>
      <c r="N19" s="21">
        <f>IF($L19="","",IF($M19&gt;=1,"Revisar %",$L19/(1-$M19)))</f>
        <v/>
      </c>
      <c r="O19" s="23">
        <f>IF(ISNUMBER($N19),ROUNDUP($N19,0)+IF(ROUNDUP($N19,0)-0.1&gt;=$N19,-0.1,0.9),$N19)</f>
        <v/>
      </c>
      <c r="P19" s="21">
        <f>IF(AND(ISNUMBER($O19),N($C19)&gt;0),$O19/$C19,"")</f>
        <v/>
      </c>
      <c r="Q19" s="21">
        <f>IF(OR($J19="",NOT(ISNUMBER($N19))),"",$J19*(1-($M19-IF($I19="",pLucro,$I19)))-$L19)</f>
        <v/>
      </c>
      <c r="R19" s="22">
        <f>IF($Q19="","",$Q19/$J19)</f>
        <v/>
      </c>
      <c r="S19" s="25">
        <f>IF($L19="","",IF(NOT(ISNUMBER($N19)),"Revisar %",IF($J19="","Sem preço atual",IF($Q19&lt;0,"PREJUÍZO",IF($J19&lt;$N19,"Abaixo do ideal","OK")))))</f>
        <v/>
      </c>
    </row>
    <row r="20" spans="1:19">
      <c r="A20" s="13"/>
      <c r="B20" s="13"/>
      <c r="C20" s="26"/>
      <c r="D20" s="19"/>
      <c r="E20" s="19"/>
      <c r="F20" s="20"/>
      <c r="G20" s="20"/>
      <c r="H20" s="20"/>
      <c r="I20" s="20"/>
      <c r="J20" s="19"/>
      <c r="K20" s="21">
        <f>IF(OR($A20="",$C20=""),"",$C20*cHora)</f>
        <v/>
      </c>
      <c r="L20" s="21">
        <f>IF($K20="","",$K20+N($D20)+N($E20))</f>
        <v/>
      </c>
      <c r="M20" s="22">
        <f>IF($L20="","",IF($F20="",pImp,$F20)+IF($G20="",pCom,$G20)+IF($H20="",pTax,$H20)+IF($I20="",pLucro,$I20))</f>
        <v/>
      </c>
      <c r="N20" s="21">
        <f>IF($L20="","",IF($M20&gt;=1,"Revisar %",$L20/(1-$M20)))</f>
        <v/>
      </c>
      <c r="O20" s="23">
        <f>IF(ISNUMBER($N20),ROUNDUP($N20,0)+IF(ROUNDUP($N20,0)-0.1&gt;=$N20,-0.1,0.9),$N20)</f>
        <v/>
      </c>
      <c r="P20" s="21">
        <f>IF(AND(ISNUMBER($O20),N($C20)&gt;0),$O20/$C20,"")</f>
        <v/>
      </c>
      <c r="Q20" s="21">
        <f>IF(OR($J20="",NOT(ISNUMBER($N20))),"",$J20*(1-($M20-IF($I20="",pLucro,$I20)))-$L20)</f>
        <v/>
      </c>
      <c r="R20" s="22">
        <f>IF($Q20="","",$Q20/$J20)</f>
        <v/>
      </c>
      <c r="S20" s="25">
        <f>IF($L20="","",IF(NOT(ISNUMBER($N20)),"Revisar %",IF($J20="","Sem preço atual",IF($Q20&lt;0,"PREJUÍZO",IF($J20&lt;$N20,"Abaixo do ideal","OK")))))</f>
        <v/>
      </c>
    </row>
    <row r="21" spans="1:19">
      <c r="A21" s="13"/>
      <c r="B21" s="13"/>
      <c r="C21" s="26"/>
      <c r="D21" s="19"/>
      <c r="E21" s="19"/>
      <c r="F21" s="20"/>
      <c r="G21" s="20"/>
      <c r="H21" s="20"/>
      <c r="I21" s="20"/>
      <c r="J21" s="19"/>
      <c r="K21" s="21">
        <f>IF(OR($A21="",$C21=""),"",$C21*cHora)</f>
        <v/>
      </c>
      <c r="L21" s="21">
        <f>IF($K21="","",$K21+N($D21)+N($E21))</f>
        <v/>
      </c>
      <c r="M21" s="22">
        <f>IF($L21="","",IF($F21="",pImp,$F21)+IF($G21="",pCom,$G21)+IF($H21="",pTax,$H21)+IF($I21="",pLucro,$I21))</f>
        <v/>
      </c>
      <c r="N21" s="21">
        <f>IF($L21="","",IF($M21&gt;=1,"Revisar %",$L21/(1-$M21)))</f>
        <v/>
      </c>
      <c r="O21" s="23">
        <f>IF(ISNUMBER($N21),ROUNDUP($N21,0)+IF(ROUNDUP($N21,0)-0.1&gt;=$N21,-0.1,0.9),$N21)</f>
        <v/>
      </c>
      <c r="P21" s="21">
        <f>IF(AND(ISNUMBER($O21),N($C21)&gt;0),$O21/$C21,"")</f>
        <v/>
      </c>
      <c r="Q21" s="21">
        <f>IF(OR($J21="",NOT(ISNUMBER($N21))),"",$J21*(1-($M21-IF($I21="",pLucro,$I21)))-$L21)</f>
        <v/>
      </c>
      <c r="R21" s="22">
        <f>IF($Q21="","",$Q21/$J21)</f>
        <v/>
      </c>
      <c r="S21" s="25">
        <f>IF($L21="","",IF(NOT(ISNUMBER($N21)),"Revisar %",IF($J21="","Sem preço atual",IF($Q21&lt;0,"PREJUÍZO",IF($J21&lt;$N21,"Abaixo do ideal","OK")))))</f>
        <v/>
      </c>
    </row>
    <row r="22" spans="1:19">
      <c r="A22" s="13"/>
      <c r="B22" s="13"/>
      <c r="C22" s="26"/>
      <c r="D22" s="19"/>
      <c r="E22" s="19"/>
      <c r="F22" s="20"/>
      <c r="G22" s="20"/>
      <c r="H22" s="20"/>
      <c r="I22" s="20"/>
      <c r="J22" s="19"/>
      <c r="K22" s="21">
        <f>IF(OR($A22="",$C22=""),"",$C22*cHora)</f>
        <v/>
      </c>
      <c r="L22" s="21">
        <f>IF($K22="","",$K22+N($D22)+N($E22))</f>
        <v/>
      </c>
      <c r="M22" s="22">
        <f>IF($L22="","",IF($F22="",pImp,$F22)+IF($G22="",pCom,$G22)+IF($H22="",pTax,$H22)+IF($I22="",pLucro,$I22))</f>
        <v/>
      </c>
      <c r="N22" s="21">
        <f>IF($L22="","",IF($M22&gt;=1,"Revisar %",$L22/(1-$M22)))</f>
        <v/>
      </c>
      <c r="O22" s="23">
        <f>IF(ISNUMBER($N22),ROUNDUP($N22,0)+IF(ROUNDUP($N22,0)-0.1&gt;=$N22,-0.1,0.9),$N22)</f>
        <v/>
      </c>
      <c r="P22" s="21">
        <f>IF(AND(ISNUMBER($O22),N($C22)&gt;0),$O22/$C22,"")</f>
        <v/>
      </c>
      <c r="Q22" s="21">
        <f>IF(OR($J22="",NOT(ISNUMBER($N22))),"",$J22*(1-($M22-IF($I22="",pLucro,$I22)))-$L22)</f>
        <v/>
      </c>
      <c r="R22" s="22">
        <f>IF($Q22="","",$Q22/$J22)</f>
        <v/>
      </c>
      <c r="S22" s="25">
        <f>IF($L22="","",IF(NOT(ISNUMBER($N22)),"Revisar %",IF($J22="","Sem preço atual",IF($Q22&lt;0,"PREJUÍZO",IF($J22&lt;$N22,"Abaixo do ideal","OK")))))</f>
        <v/>
      </c>
    </row>
    <row r="23" spans="1:19">
      <c r="A23" s="13"/>
      <c r="B23" s="13"/>
      <c r="C23" s="26"/>
      <c r="D23" s="19"/>
      <c r="E23" s="19"/>
      <c r="F23" s="20"/>
      <c r="G23" s="20"/>
      <c r="H23" s="20"/>
      <c r="I23" s="20"/>
      <c r="J23" s="19"/>
      <c r="K23" s="21">
        <f>IF(OR($A23="",$C23=""),"",$C23*cHora)</f>
        <v/>
      </c>
      <c r="L23" s="21">
        <f>IF($K23="","",$K23+N($D23)+N($E23))</f>
        <v/>
      </c>
      <c r="M23" s="22">
        <f>IF($L23="","",IF($F23="",pImp,$F23)+IF($G23="",pCom,$G23)+IF($H23="",pTax,$H23)+IF($I23="",pLucro,$I23))</f>
        <v/>
      </c>
      <c r="N23" s="21">
        <f>IF($L23="","",IF($M23&gt;=1,"Revisar %",$L23/(1-$M23)))</f>
        <v/>
      </c>
      <c r="O23" s="23">
        <f>IF(ISNUMBER($N23),ROUNDUP($N23,0)+IF(ROUNDUP($N23,0)-0.1&gt;=$N23,-0.1,0.9),$N23)</f>
        <v/>
      </c>
      <c r="P23" s="21">
        <f>IF(AND(ISNUMBER($O23),N($C23)&gt;0),$O23/$C23,"")</f>
        <v/>
      </c>
      <c r="Q23" s="21">
        <f>IF(OR($J23="",NOT(ISNUMBER($N23))),"",$J23*(1-($M23-IF($I23="",pLucro,$I23)))-$L23)</f>
        <v/>
      </c>
      <c r="R23" s="22">
        <f>IF($Q23="","",$Q23/$J23)</f>
        <v/>
      </c>
      <c r="S23" s="25">
        <f>IF($L23="","",IF(NOT(ISNUMBER($N23)),"Revisar %",IF($J23="","Sem preço atual",IF($Q23&lt;0,"PREJUÍZO",IF($J23&lt;$N23,"Abaixo do ideal","OK")))))</f>
        <v/>
      </c>
    </row>
    <row r="24" spans="1:19">
      <c r="A24" s="13"/>
      <c r="B24" s="13"/>
      <c r="C24" s="26"/>
      <c r="D24" s="19"/>
      <c r="E24" s="19"/>
      <c r="F24" s="20"/>
      <c r="G24" s="20"/>
      <c r="H24" s="20"/>
      <c r="I24" s="20"/>
      <c r="J24" s="19"/>
      <c r="K24" s="21">
        <f>IF(OR($A24="",$C24=""),"",$C24*cHora)</f>
        <v/>
      </c>
      <c r="L24" s="21">
        <f>IF($K24="","",$K24+N($D24)+N($E24))</f>
        <v/>
      </c>
      <c r="M24" s="22">
        <f>IF($L24="","",IF($F24="",pImp,$F24)+IF($G24="",pCom,$G24)+IF($H24="",pTax,$H24)+IF($I24="",pLucro,$I24))</f>
        <v/>
      </c>
      <c r="N24" s="21">
        <f>IF($L24="","",IF($M24&gt;=1,"Revisar %",$L24/(1-$M24)))</f>
        <v/>
      </c>
      <c r="O24" s="23">
        <f>IF(ISNUMBER($N24),ROUNDUP($N24,0)+IF(ROUNDUP($N24,0)-0.1&gt;=$N24,-0.1,0.9),$N24)</f>
        <v/>
      </c>
      <c r="P24" s="21">
        <f>IF(AND(ISNUMBER($O24),N($C24)&gt;0),$O24/$C24,"")</f>
        <v/>
      </c>
      <c r="Q24" s="21">
        <f>IF(OR($J24="",NOT(ISNUMBER($N24))),"",$J24*(1-($M24-IF($I24="",pLucro,$I24)))-$L24)</f>
        <v/>
      </c>
      <c r="R24" s="22">
        <f>IF($Q24="","",$Q24/$J24)</f>
        <v/>
      </c>
      <c r="S24" s="25">
        <f>IF($L24="","",IF(NOT(ISNUMBER($N24)),"Revisar %",IF($J24="","Sem preço atual",IF($Q24&lt;0,"PREJUÍZO",IF($J24&lt;$N24,"Abaixo do ideal","OK")))))</f>
        <v/>
      </c>
    </row>
    <row r="25" spans="1:19">
      <c r="A25" s="13"/>
      <c r="B25" s="13"/>
      <c r="C25" s="26"/>
      <c r="D25" s="19"/>
      <c r="E25" s="19"/>
      <c r="F25" s="20"/>
      <c r="G25" s="20"/>
      <c r="H25" s="20"/>
      <c r="I25" s="20"/>
      <c r="J25" s="19"/>
      <c r="K25" s="21">
        <f>IF(OR($A25="",$C25=""),"",$C25*cHora)</f>
        <v/>
      </c>
      <c r="L25" s="21">
        <f>IF($K25="","",$K25+N($D25)+N($E25))</f>
        <v/>
      </c>
      <c r="M25" s="22">
        <f>IF($L25="","",IF($F25="",pImp,$F25)+IF($G25="",pCom,$G25)+IF($H25="",pTax,$H25)+IF($I25="",pLucro,$I25))</f>
        <v/>
      </c>
      <c r="N25" s="21">
        <f>IF($L25="","",IF($M25&gt;=1,"Revisar %",$L25/(1-$M25)))</f>
        <v/>
      </c>
      <c r="O25" s="23">
        <f>IF(ISNUMBER($N25),ROUNDUP($N25,0)+IF(ROUNDUP($N25,0)-0.1&gt;=$N25,-0.1,0.9),$N25)</f>
        <v/>
      </c>
      <c r="P25" s="21">
        <f>IF(AND(ISNUMBER($O25),N($C25)&gt;0),$O25/$C25,"")</f>
        <v/>
      </c>
      <c r="Q25" s="21">
        <f>IF(OR($J25="",NOT(ISNUMBER($N25))),"",$J25*(1-($M25-IF($I25="",pLucro,$I25)))-$L25)</f>
        <v/>
      </c>
      <c r="R25" s="22">
        <f>IF($Q25="","",$Q25/$J25)</f>
        <v/>
      </c>
      <c r="S25" s="25">
        <f>IF($L25="","",IF(NOT(ISNUMBER($N25)),"Revisar %",IF($J25="","Sem preço atual",IF($Q25&lt;0,"PREJUÍZO",IF($J25&lt;$N25,"Abaixo do ideal","OK")))))</f>
        <v/>
      </c>
    </row>
    <row r="26" spans="1:19">
      <c r="A26" s="13"/>
      <c r="B26" s="13"/>
      <c r="C26" s="26"/>
      <c r="D26" s="19"/>
      <c r="E26" s="19"/>
      <c r="F26" s="20"/>
      <c r="G26" s="20"/>
      <c r="H26" s="20"/>
      <c r="I26" s="20"/>
      <c r="J26" s="19"/>
      <c r="K26" s="21">
        <f>IF(OR($A26="",$C26=""),"",$C26*cHora)</f>
        <v/>
      </c>
      <c r="L26" s="21">
        <f>IF($K26="","",$K26+N($D26)+N($E26))</f>
        <v/>
      </c>
      <c r="M26" s="22">
        <f>IF($L26="","",IF($F26="",pImp,$F26)+IF($G26="",pCom,$G26)+IF($H26="",pTax,$H26)+IF($I26="",pLucro,$I26))</f>
        <v/>
      </c>
      <c r="N26" s="21">
        <f>IF($L26="","",IF($M26&gt;=1,"Revisar %",$L26/(1-$M26)))</f>
        <v/>
      </c>
      <c r="O26" s="23">
        <f>IF(ISNUMBER($N26),ROUNDUP($N26,0)+IF(ROUNDUP($N26,0)-0.1&gt;=$N26,-0.1,0.9),$N26)</f>
        <v/>
      </c>
      <c r="P26" s="21">
        <f>IF(AND(ISNUMBER($O26),N($C26)&gt;0),$O26/$C26,"")</f>
        <v/>
      </c>
      <c r="Q26" s="21">
        <f>IF(OR($J26="",NOT(ISNUMBER($N26))),"",$J26*(1-($M26-IF($I26="",pLucro,$I26)))-$L26)</f>
        <v/>
      </c>
      <c r="R26" s="22">
        <f>IF($Q26="","",$Q26/$J26)</f>
        <v/>
      </c>
      <c r="S26" s="25">
        <f>IF($L26="","",IF(NOT(ISNUMBER($N26)),"Revisar %",IF($J26="","Sem preço atual",IF($Q26&lt;0,"PREJUÍZO",IF($J26&lt;$N26,"Abaixo do ideal","OK")))))</f>
        <v/>
      </c>
    </row>
    <row r="27" spans="1:19">
      <c r="A27" s="13"/>
      <c r="B27" s="13"/>
      <c r="C27" s="26"/>
      <c r="D27" s="19"/>
      <c r="E27" s="19"/>
      <c r="F27" s="20"/>
      <c r="G27" s="20"/>
      <c r="H27" s="20"/>
      <c r="I27" s="20"/>
      <c r="J27" s="19"/>
      <c r="K27" s="21">
        <f>IF(OR($A27="",$C27=""),"",$C27*cHora)</f>
        <v/>
      </c>
      <c r="L27" s="21">
        <f>IF($K27="","",$K27+N($D27)+N($E27))</f>
        <v/>
      </c>
      <c r="M27" s="22">
        <f>IF($L27="","",IF($F27="",pImp,$F27)+IF($G27="",pCom,$G27)+IF($H27="",pTax,$H27)+IF($I27="",pLucro,$I27))</f>
        <v/>
      </c>
      <c r="N27" s="21">
        <f>IF($L27="","",IF($M27&gt;=1,"Revisar %",$L27/(1-$M27)))</f>
        <v/>
      </c>
      <c r="O27" s="23">
        <f>IF(ISNUMBER($N27),ROUNDUP($N27,0)+IF(ROUNDUP($N27,0)-0.1&gt;=$N27,-0.1,0.9),$N27)</f>
        <v/>
      </c>
      <c r="P27" s="21">
        <f>IF(AND(ISNUMBER($O27),N($C27)&gt;0),$O27/$C27,"")</f>
        <v/>
      </c>
      <c r="Q27" s="21">
        <f>IF(OR($J27="",NOT(ISNUMBER($N27))),"",$J27*(1-($M27-IF($I27="",pLucro,$I27)))-$L27)</f>
        <v/>
      </c>
      <c r="R27" s="22">
        <f>IF($Q27="","",$Q27/$J27)</f>
        <v/>
      </c>
      <c r="S27" s="25">
        <f>IF($L27="","",IF(NOT(ISNUMBER($N27)),"Revisar %",IF($J27="","Sem preço atual",IF($Q27&lt;0,"PREJUÍZO",IF($J27&lt;$N27,"Abaixo do ideal","OK")))))</f>
        <v/>
      </c>
    </row>
    <row r="28" spans="1:19">
      <c r="A28" s="13"/>
      <c r="B28" s="13"/>
      <c r="C28" s="26"/>
      <c r="D28" s="19"/>
      <c r="E28" s="19"/>
      <c r="F28" s="20"/>
      <c r="G28" s="20"/>
      <c r="H28" s="20"/>
      <c r="I28" s="20"/>
      <c r="J28" s="19"/>
      <c r="K28" s="21">
        <f>IF(OR($A28="",$C28=""),"",$C28*cHora)</f>
        <v/>
      </c>
      <c r="L28" s="21">
        <f>IF($K28="","",$K28+N($D28)+N($E28))</f>
        <v/>
      </c>
      <c r="M28" s="22">
        <f>IF($L28="","",IF($F28="",pImp,$F28)+IF($G28="",pCom,$G28)+IF($H28="",pTax,$H28)+IF($I28="",pLucro,$I28))</f>
        <v/>
      </c>
      <c r="N28" s="21">
        <f>IF($L28="","",IF($M28&gt;=1,"Revisar %",$L28/(1-$M28)))</f>
        <v/>
      </c>
      <c r="O28" s="23">
        <f>IF(ISNUMBER($N28),ROUNDUP($N28,0)+IF(ROUNDUP($N28,0)-0.1&gt;=$N28,-0.1,0.9),$N28)</f>
        <v/>
      </c>
      <c r="P28" s="21">
        <f>IF(AND(ISNUMBER($O28),N($C28)&gt;0),$O28/$C28,"")</f>
        <v/>
      </c>
      <c r="Q28" s="21">
        <f>IF(OR($J28="",NOT(ISNUMBER($N28))),"",$J28*(1-($M28-IF($I28="",pLucro,$I28)))-$L28)</f>
        <v/>
      </c>
      <c r="R28" s="22">
        <f>IF($Q28="","",$Q28/$J28)</f>
        <v/>
      </c>
      <c r="S28" s="25">
        <f>IF($L28="","",IF(NOT(ISNUMBER($N28)),"Revisar %",IF($J28="","Sem preço atual",IF($Q28&lt;0,"PREJUÍZO",IF($J28&lt;$N28,"Abaixo do ideal","OK")))))</f>
        <v/>
      </c>
    </row>
    <row r="29" spans="1:19">
      <c r="A29" s="13"/>
      <c r="B29" s="13"/>
      <c r="C29" s="26"/>
      <c r="D29" s="19"/>
      <c r="E29" s="19"/>
      <c r="F29" s="20"/>
      <c r="G29" s="20"/>
      <c r="H29" s="20"/>
      <c r="I29" s="20"/>
      <c r="J29" s="19"/>
      <c r="K29" s="21">
        <f>IF(OR($A29="",$C29=""),"",$C29*cHora)</f>
        <v/>
      </c>
      <c r="L29" s="21">
        <f>IF($K29="","",$K29+N($D29)+N($E29))</f>
        <v/>
      </c>
      <c r="M29" s="22">
        <f>IF($L29="","",IF($F29="",pImp,$F29)+IF($G29="",pCom,$G29)+IF($H29="",pTax,$H29)+IF($I29="",pLucro,$I29))</f>
        <v/>
      </c>
      <c r="N29" s="21">
        <f>IF($L29="","",IF($M29&gt;=1,"Revisar %",$L29/(1-$M29)))</f>
        <v/>
      </c>
      <c r="O29" s="23">
        <f>IF(ISNUMBER($N29),ROUNDUP($N29,0)+IF(ROUNDUP($N29,0)-0.1&gt;=$N29,-0.1,0.9),$N29)</f>
        <v/>
      </c>
      <c r="P29" s="21">
        <f>IF(AND(ISNUMBER($O29),N($C29)&gt;0),$O29/$C29,"")</f>
        <v/>
      </c>
      <c r="Q29" s="21">
        <f>IF(OR($J29="",NOT(ISNUMBER($N29))),"",$J29*(1-($M29-IF($I29="",pLucro,$I29)))-$L29)</f>
        <v/>
      </c>
      <c r="R29" s="22">
        <f>IF($Q29="","",$Q29/$J29)</f>
        <v/>
      </c>
      <c r="S29" s="25">
        <f>IF($L29="","",IF(NOT(ISNUMBER($N29)),"Revisar %",IF($J29="","Sem preço atual",IF($Q29&lt;0,"PREJUÍZO",IF($J29&lt;$N29,"Abaixo do ideal","OK")))))</f>
        <v/>
      </c>
    </row>
    <row r="30" spans="1:19">
      <c r="A30" s="13"/>
      <c r="B30" s="13"/>
      <c r="C30" s="26"/>
      <c r="D30" s="19"/>
      <c r="E30" s="19"/>
      <c r="F30" s="20"/>
      <c r="G30" s="20"/>
      <c r="H30" s="20"/>
      <c r="I30" s="20"/>
      <c r="J30" s="19"/>
      <c r="K30" s="21">
        <f>IF(OR($A30="",$C30=""),"",$C30*cHora)</f>
        <v/>
      </c>
      <c r="L30" s="21">
        <f>IF($K30="","",$K30+N($D30)+N($E30))</f>
        <v/>
      </c>
      <c r="M30" s="22">
        <f>IF($L30="","",IF($F30="",pImp,$F30)+IF($G30="",pCom,$G30)+IF($H30="",pTax,$H30)+IF($I30="",pLucro,$I30))</f>
        <v/>
      </c>
      <c r="N30" s="21">
        <f>IF($L30="","",IF($M30&gt;=1,"Revisar %",$L30/(1-$M30)))</f>
        <v/>
      </c>
      <c r="O30" s="23">
        <f>IF(ISNUMBER($N30),ROUNDUP($N30,0)+IF(ROUNDUP($N30,0)-0.1&gt;=$N30,-0.1,0.9),$N30)</f>
        <v/>
      </c>
      <c r="P30" s="21">
        <f>IF(AND(ISNUMBER($O30),N($C30)&gt;0),$O30/$C30,"")</f>
        <v/>
      </c>
      <c r="Q30" s="21">
        <f>IF(OR($J30="",NOT(ISNUMBER($N30))),"",$J30*(1-($M30-IF($I30="",pLucro,$I30)))-$L30)</f>
        <v/>
      </c>
      <c r="R30" s="22">
        <f>IF($Q30="","",$Q30/$J30)</f>
        <v/>
      </c>
      <c r="S30" s="25">
        <f>IF($L30="","",IF(NOT(ISNUMBER($N30)),"Revisar %",IF($J30="","Sem preço atual",IF($Q30&lt;0,"PREJUÍZO",IF($J30&lt;$N30,"Abaixo do ideal","OK")))))</f>
        <v/>
      </c>
    </row>
    <row r="31" spans="1:19">
      <c r="A31" s="13"/>
      <c r="B31" s="13"/>
      <c r="C31" s="26"/>
      <c r="D31" s="19"/>
      <c r="E31" s="19"/>
      <c r="F31" s="20"/>
      <c r="G31" s="20"/>
      <c r="H31" s="20"/>
      <c r="I31" s="20"/>
      <c r="J31" s="19"/>
      <c r="K31" s="21">
        <f>IF(OR($A31="",$C31=""),"",$C31*cHora)</f>
        <v/>
      </c>
      <c r="L31" s="21">
        <f>IF($K31="","",$K31+N($D31)+N($E31))</f>
        <v/>
      </c>
      <c r="M31" s="22">
        <f>IF($L31="","",IF($F31="",pImp,$F31)+IF($G31="",pCom,$G31)+IF($H31="",pTax,$H31)+IF($I31="",pLucro,$I31))</f>
        <v/>
      </c>
      <c r="N31" s="21">
        <f>IF($L31="","",IF($M31&gt;=1,"Revisar %",$L31/(1-$M31)))</f>
        <v/>
      </c>
      <c r="O31" s="23">
        <f>IF(ISNUMBER($N31),ROUNDUP($N31,0)+IF(ROUNDUP($N31,0)-0.1&gt;=$N31,-0.1,0.9),$N31)</f>
        <v/>
      </c>
      <c r="P31" s="21">
        <f>IF(AND(ISNUMBER($O31),N($C31)&gt;0),$O31/$C31,"")</f>
        <v/>
      </c>
      <c r="Q31" s="21">
        <f>IF(OR($J31="",NOT(ISNUMBER($N31))),"",$J31*(1-($M31-IF($I31="",pLucro,$I31)))-$L31)</f>
        <v/>
      </c>
      <c r="R31" s="22">
        <f>IF($Q31="","",$Q31/$J31)</f>
        <v/>
      </c>
      <c r="S31" s="25">
        <f>IF($L31="","",IF(NOT(ISNUMBER($N31)),"Revisar %",IF($J31="","Sem preço atual",IF($Q31&lt;0,"PREJUÍZO",IF($J31&lt;$N31,"Abaixo do ideal","OK")))))</f>
        <v/>
      </c>
    </row>
    <row r="32" spans="1:19">
      <c r="A32" s="13"/>
      <c r="B32" s="13"/>
      <c r="C32" s="26"/>
      <c r="D32" s="19"/>
      <c r="E32" s="19"/>
      <c r="F32" s="20"/>
      <c r="G32" s="20"/>
      <c r="H32" s="20"/>
      <c r="I32" s="20"/>
      <c r="J32" s="19"/>
      <c r="K32" s="21">
        <f>IF(OR($A32="",$C32=""),"",$C32*cHora)</f>
        <v/>
      </c>
      <c r="L32" s="21">
        <f>IF($K32="","",$K32+N($D32)+N($E32))</f>
        <v/>
      </c>
      <c r="M32" s="22">
        <f>IF($L32="","",IF($F32="",pImp,$F32)+IF($G32="",pCom,$G32)+IF($H32="",pTax,$H32)+IF($I32="",pLucro,$I32))</f>
        <v/>
      </c>
      <c r="N32" s="21">
        <f>IF($L32="","",IF($M32&gt;=1,"Revisar %",$L32/(1-$M32)))</f>
        <v/>
      </c>
      <c r="O32" s="23">
        <f>IF(ISNUMBER($N32),ROUNDUP($N32,0)+IF(ROUNDUP($N32,0)-0.1&gt;=$N32,-0.1,0.9),$N32)</f>
        <v/>
      </c>
      <c r="P32" s="21">
        <f>IF(AND(ISNUMBER($O32),N($C32)&gt;0),$O32/$C32,"")</f>
        <v/>
      </c>
      <c r="Q32" s="21">
        <f>IF(OR($J32="",NOT(ISNUMBER($N32))),"",$J32*(1-($M32-IF($I32="",pLucro,$I32)))-$L32)</f>
        <v/>
      </c>
      <c r="R32" s="22">
        <f>IF($Q32="","",$Q32/$J32)</f>
        <v/>
      </c>
      <c r="S32" s="25">
        <f>IF($L32="","",IF(NOT(ISNUMBER($N32)),"Revisar %",IF($J32="","Sem preço atual",IF($Q32&lt;0,"PREJUÍZO",IF($J32&lt;$N32,"Abaixo do ideal","OK")))))</f>
        <v/>
      </c>
    </row>
    <row r="33" spans="1:19">
      <c r="A33" s="13"/>
      <c r="B33" s="13"/>
      <c r="C33" s="26"/>
      <c r="D33" s="19"/>
      <c r="E33" s="19"/>
      <c r="F33" s="20"/>
      <c r="G33" s="20"/>
      <c r="H33" s="20"/>
      <c r="I33" s="20"/>
      <c r="J33" s="19"/>
      <c r="K33" s="21">
        <f>IF(OR($A33="",$C33=""),"",$C33*cHora)</f>
        <v/>
      </c>
      <c r="L33" s="21">
        <f>IF($K33="","",$K33+N($D33)+N($E33))</f>
        <v/>
      </c>
      <c r="M33" s="22">
        <f>IF($L33="","",IF($F33="",pImp,$F33)+IF($G33="",pCom,$G33)+IF($H33="",pTax,$H33)+IF($I33="",pLucro,$I33))</f>
        <v/>
      </c>
      <c r="N33" s="21">
        <f>IF($L33="","",IF($M33&gt;=1,"Revisar %",$L33/(1-$M33)))</f>
        <v/>
      </c>
      <c r="O33" s="23">
        <f>IF(ISNUMBER($N33),ROUNDUP($N33,0)+IF(ROUNDUP($N33,0)-0.1&gt;=$N33,-0.1,0.9),$N33)</f>
        <v/>
      </c>
      <c r="P33" s="21">
        <f>IF(AND(ISNUMBER($O33),N($C33)&gt;0),$O33/$C33,"")</f>
        <v/>
      </c>
      <c r="Q33" s="21">
        <f>IF(OR($J33="",NOT(ISNUMBER($N33))),"",$J33*(1-($M33-IF($I33="",pLucro,$I33)))-$L33)</f>
        <v/>
      </c>
      <c r="R33" s="22">
        <f>IF($Q33="","",$Q33/$J33)</f>
        <v/>
      </c>
      <c r="S33" s="25">
        <f>IF($L33="","",IF(NOT(ISNUMBER($N33)),"Revisar %",IF($J33="","Sem preço atual",IF($Q33&lt;0,"PREJUÍZO",IF($J33&lt;$N33,"Abaixo do ideal","OK")))))</f>
        <v/>
      </c>
    </row>
    <row r="34" spans="1:19">
      <c r="A34" s="13"/>
      <c r="B34" s="13"/>
      <c r="C34" s="26"/>
      <c r="D34" s="19"/>
      <c r="E34" s="19"/>
      <c r="F34" s="20"/>
      <c r="G34" s="20"/>
      <c r="H34" s="20"/>
      <c r="I34" s="20"/>
      <c r="J34" s="19"/>
      <c r="K34" s="21">
        <f>IF(OR($A34="",$C34=""),"",$C34*cHora)</f>
        <v/>
      </c>
      <c r="L34" s="21">
        <f>IF($K34="","",$K34+N($D34)+N($E34))</f>
        <v/>
      </c>
      <c r="M34" s="22">
        <f>IF($L34="","",IF($F34="",pImp,$F34)+IF($G34="",pCom,$G34)+IF($H34="",pTax,$H34)+IF($I34="",pLucro,$I34))</f>
        <v/>
      </c>
      <c r="N34" s="21">
        <f>IF($L34="","",IF($M34&gt;=1,"Revisar %",$L34/(1-$M34)))</f>
        <v/>
      </c>
      <c r="O34" s="23">
        <f>IF(ISNUMBER($N34),ROUNDUP($N34,0)+IF(ROUNDUP($N34,0)-0.1&gt;=$N34,-0.1,0.9),$N34)</f>
        <v/>
      </c>
      <c r="P34" s="21">
        <f>IF(AND(ISNUMBER($O34),N($C34)&gt;0),$O34/$C34,"")</f>
        <v/>
      </c>
      <c r="Q34" s="21">
        <f>IF(OR($J34="",NOT(ISNUMBER($N34))),"",$J34*(1-($M34-IF($I34="",pLucro,$I34)))-$L34)</f>
        <v/>
      </c>
      <c r="R34" s="22">
        <f>IF($Q34="","",$Q34/$J34)</f>
        <v/>
      </c>
      <c r="S34" s="25">
        <f>IF($L34="","",IF(NOT(ISNUMBER($N34)),"Revisar %",IF($J34="","Sem preço atual",IF($Q34&lt;0,"PREJUÍZO",IF($J34&lt;$N34,"Abaixo do ideal","OK")))))</f>
        <v/>
      </c>
    </row>
    <row r="35" spans="1:19">
      <c r="A35" s="13"/>
      <c r="B35" s="13"/>
      <c r="C35" s="26"/>
      <c r="D35" s="19"/>
      <c r="E35" s="19"/>
      <c r="F35" s="20"/>
      <c r="G35" s="20"/>
      <c r="H35" s="20"/>
      <c r="I35" s="20"/>
      <c r="J35" s="19"/>
      <c r="K35" s="21">
        <f>IF(OR($A35="",$C35=""),"",$C35*cHora)</f>
        <v/>
      </c>
      <c r="L35" s="21">
        <f>IF($K35="","",$K35+N($D35)+N($E35))</f>
        <v/>
      </c>
      <c r="M35" s="22">
        <f>IF($L35="","",IF($F35="",pImp,$F35)+IF($G35="",pCom,$G35)+IF($H35="",pTax,$H35)+IF($I35="",pLucro,$I35))</f>
        <v/>
      </c>
      <c r="N35" s="21">
        <f>IF($L35="","",IF($M35&gt;=1,"Revisar %",$L35/(1-$M35)))</f>
        <v/>
      </c>
      <c r="O35" s="23">
        <f>IF(ISNUMBER($N35),ROUNDUP($N35,0)+IF(ROUNDUP($N35,0)-0.1&gt;=$N35,-0.1,0.9),$N35)</f>
        <v/>
      </c>
      <c r="P35" s="21">
        <f>IF(AND(ISNUMBER($O35),N($C35)&gt;0),$O35/$C35,"")</f>
        <v/>
      </c>
      <c r="Q35" s="21">
        <f>IF(OR($J35="",NOT(ISNUMBER($N35))),"",$J35*(1-($M35-IF($I35="",pLucro,$I35)))-$L35)</f>
        <v/>
      </c>
      <c r="R35" s="22">
        <f>IF($Q35="","",$Q35/$J35)</f>
        <v/>
      </c>
      <c r="S35" s="25">
        <f>IF($L35="","",IF(NOT(ISNUMBER($N35)),"Revisar %",IF($J35="","Sem preço atual",IF($Q35&lt;0,"PREJUÍZO",IF($J35&lt;$N35,"Abaixo do ideal","OK")))))</f>
        <v/>
      </c>
    </row>
    <row r="36" spans="1:19">
      <c r="A36" s="13"/>
      <c r="B36" s="13"/>
      <c r="C36" s="26"/>
      <c r="D36" s="19"/>
      <c r="E36" s="19"/>
      <c r="F36" s="20"/>
      <c r="G36" s="20"/>
      <c r="H36" s="20"/>
      <c r="I36" s="20"/>
      <c r="J36" s="19"/>
      <c r="K36" s="21">
        <f>IF(OR($A36="",$C36=""),"",$C36*cHora)</f>
        <v/>
      </c>
      <c r="L36" s="21">
        <f>IF($K36="","",$K36+N($D36)+N($E36))</f>
        <v/>
      </c>
      <c r="M36" s="22">
        <f>IF($L36="","",IF($F36="",pImp,$F36)+IF($G36="",pCom,$G36)+IF($H36="",pTax,$H36)+IF($I36="",pLucro,$I36))</f>
        <v/>
      </c>
      <c r="N36" s="21">
        <f>IF($L36="","",IF($M36&gt;=1,"Revisar %",$L36/(1-$M36)))</f>
        <v/>
      </c>
      <c r="O36" s="23">
        <f>IF(ISNUMBER($N36),ROUNDUP($N36,0)+IF(ROUNDUP($N36,0)-0.1&gt;=$N36,-0.1,0.9),$N36)</f>
        <v/>
      </c>
      <c r="P36" s="21">
        <f>IF(AND(ISNUMBER($O36),N($C36)&gt;0),$O36/$C36,"")</f>
        <v/>
      </c>
      <c r="Q36" s="21">
        <f>IF(OR($J36="",NOT(ISNUMBER($N36))),"",$J36*(1-($M36-IF($I36="",pLucro,$I36)))-$L36)</f>
        <v/>
      </c>
      <c r="R36" s="22">
        <f>IF($Q36="","",$Q36/$J36)</f>
        <v/>
      </c>
      <c r="S36" s="25">
        <f>IF($L36="","",IF(NOT(ISNUMBER($N36)),"Revisar %",IF($J36="","Sem preço atual",IF($Q36&lt;0,"PREJUÍZO",IF($J36&lt;$N36,"Abaixo do ideal","OK")))))</f>
        <v/>
      </c>
    </row>
    <row r="37" spans="1:19">
      <c r="A37" s="13"/>
      <c r="B37" s="13"/>
      <c r="C37" s="26"/>
      <c r="D37" s="19"/>
      <c r="E37" s="19"/>
      <c r="F37" s="20"/>
      <c r="G37" s="20"/>
      <c r="H37" s="20"/>
      <c r="I37" s="20"/>
      <c r="J37" s="19"/>
      <c r="K37" s="21">
        <f>IF(OR($A37="",$C37=""),"",$C37*cHora)</f>
        <v/>
      </c>
      <c r="L37" s="21">
        <f>IF($K37="","",$K37+N($D37)+N($E37))</f>
        <v/>
      </c>
      <c r="M37" s="22">
        <f>IF($L37="","",IF($F37="",pImp,$F37)+IF($G37="",pCom,$G37)+IF($H37="",pTax,$H37)+IF($I37="",pLucro,$I37))</f>
        <v/>
      </c>
      <c r="N37" s="21">
        <f>IF($L37="","",IF($M37&gt;=1,"Revisar %",$L37/(1-$M37)))</f>
        <v/>
      </c>
      <c r="O37" s="23">
        <f>IF(ISNUMBER($N37),ROUNDUP($N37,0)+IF(ROUNDUP($N37,0)-0.1&gt;=$N37,-0.1,0.9),$N37)</f>
        <v/>
      </c>
      <c r="P37" s="21">
        <f>IF(AND(ISNUMBER($O37),N($C37)&gt;0),$O37/$C37,"")</f>
        <v/>
      </c>
      <c r="Q37" s="21">
        <f>IF(OR($J37="",NOT(ISNUMBER($N37))),"",$J37*(1-($M37-IF($I37="",pLucro,$I37)))-$L37)</f>
        <v/>
      </c>
      <c r="R37" s="22">
        <f>IF($Q37="","",$Q37/$J37)</f>
        <v/>
      </c>
      <c r="S37" s="25">
        <f>IF($L37="","",IF(NOT(ISNUMBER($N37)),"Revisar %",IF($J37="","Sem preço atual",IF($Q37&lt;0,"PREJUÍZO",IF($J37&lt;$N37,"Abaixo do ideal","OK")))))</f>
        <v/>
      </c>
    </row>
    <row r="38" spans="1:19">
      <c r="A38" s="13"/>
      <c r="B38" s="13"/>
      <c r="C38" s="26"/>
      <c r="D38" s="19"/>
      <c r="E38" s="19"/>
      <c r="F38" s="20"/>
      <c r="G38" s="20"/>
      <c r="H38" s="20"/>
      <c r="I38" s="20"/>
      <c r="J38" s="19"/>
      <c r="K38" s="21">
        <f>IF(OR($A38="",$C38=""),"",$C38*cHora)</f>
        <v/>
      </c>
      <c r="L38" s="21">
        <f>IF($K38="","",$K38+N($D38)+N($E38))</f>
        <v/>
      </c>
      <c r="M38" s="22">
        <f>IF($L38="","",IF($F38="",pImp,$F38)+IF($G38="",pCom,$G38)+IF($H38="",pTax,$H38)+IF($I38="",pLucro,$I38))</f>
        <v/>
      </c>
      <c r="N38" s="21">
        <f>IF($L38="","",IF($M38&gt;=1,"Revisar %",$L38/(1-$M38)))</f>
        <v/>
      </c>
      <c r="O38" s="23">
        <f>IF(ISNUMBER($N38),ROUNDUP($N38,0)+IF(ROUNDUP($N38,0)-0.1&gt;=$N38,-0.1,0.9),$N38)</f>
        <v/>
      </c>
      <c r="P38" s="21">
        <f>IF(AND(ISNUMBER($O38),N($C38)&gt;0),$O38/$C38,"")</f>
        <v/>
      </c>
      <c r="Q38" s="21">
        <f>IF(OR($J38="",NOT(ISNUMBER($N38))),"",$J38*(1-($M38-IF($I38="",pLucro,$I38)))-$L38)</f>
        <v/>
      </c>
      <c r="R38" s="22">
        <f>IF($Q38="","",$Q38/$J38)</f>
        <v/>
      </c>
      <c r="S38" s="25">
        <f>IF($L38="","",IF(NOT(ISNUMBER($N38)),"Revisar %",IF($J38="","Sem preço atual",IF($Q38&lt;0,"PREJUÍZO",IF($J38&lt;$N38,"Abaixo do ideal","OK")))))</f>
        <v/>
      </c>
    </row>
    <row r="39" spans="1:19">
      <c r="A39" s="13"/>
      <c r="B39" s="13"/>
      <c r="C39" s="26"/>
      <c r="D39" s="19"/>
      <c r="E39" s="19"/>
      <c r="F39" s="20"/>
      <c r="G39" s="20"/>
      <c r="H39" s="20"/>
      <c r="I39" s="20"/>
      <c r="J39" s="19"/>
      <c r="K39" s="21">
        <f>IF(OR($A39="",$C39=""),"",$C39*cHora)</f>
        <v/>
      </c>
      <c r="L39" s="21">
        <f>IF($K39="","",$K39+N($D39)+N($E39))</f>
        <v/>
      </c>
      <c r="M39" s="22">
        <f>IF($L39="","",IF($F39="",pImp,$F39)+IF($G39="",pCom,$G39)+IF($H39="",pTax,$H39)+IF($I39="",pLucro,$I39))</f>
        <v/>
      </c>
      <c r="N39" s="21">
        <f>IF($L39="","",IF($M39&gt;=1,"Revisar %",$L39/(1-$M39)))</f>
        <v/>
      </c>
      <c r="O39" s="23">
        <f>IF(ISNUMBER($N39),ROUNDUP($N39,0)+IF(ROUNDUP($N39,0)-0.1&gt;=$N39,-0.1,0.9),$N39)</f>
        <v/>
      </c>
      <c r="P39" s="21">
        <f>IF(AND(ISNUMBER($O39),N($C39)&gt;0),$O39/$C39,"")</f>
        <v/>
      </c>
      <c r="Q39" s="21">
        <f>IF(OR($J39="",NOT(ISNUMBER($N39))),"",$J39*(1-($M39-IF($I39="",pLucro,$I39)))-$L39)</f>
        <v/>
      </c>
      <c r="R39" s="22">
        <f>IF($Q39="","",$Q39/$J39)</f>
        <v/>
      </c>
      <c r="S39" s="25">
        <f>IF($L39="","",IF(NOT(ISNUMBER($N39)),"Revisar %",IF($J39="","Sem preço atual",IF($Q39&lt;0,"PREJUÍZO",IF($J39&lt;$N39,"Abaixo do ideal","OK")))))</f>
        <v/>
      </c>
    </row>
    <row r="40" spans="1:19">
      <c r="A40" s="13"/>
      <c r="B40" s="13"/>
      <c r="C40" s="26"/>
      <c r="D40" s="19"/>
      <c r="E40" s="19"/>
      <c r="F40" s="20"/>
      <c r="G40" s="20"/>
      <c r="H40" s="20"/>
      <c r="I40" s="20"/>
      <c r="J40" s="19"/>
      <c r="K40" s="21">
        <f>IF(OR($A40="",$C40=""),"",$C40*cHora)</f>
        <v/>
      </c>
      <c r="L40" s="21">
        <f>IF($K40="","",$K40+N($D40)+N($E40))</f>
        <v/>
      </c>
      <c r="M40" s="22">
        <f>IF($L40="","",IF($F40="",pImp,$F40)+IF($G40="",pCom,$G40)+IF($H40="",pTax,$H40)+IF($I40="",pLucro,$I40))</f>
        <v/>
      </c>
      <c r="N40" s="21">
        <f>IF($L40="","",IF($M40&gt;=1,"Revisar %",$L40/(1-$M40)))</f>
        <v/>
      </c>
      <c r="O40" s="23">
        <f>IF(ISNUMBER($N40),ROUNDUP($N40,0)+IF(ROUNDUP($N40,0)-0.1&gt;=$N40,-0.1,0.9),$N40)</f>
        <v/>
      </c>
      <c r="P40" s="21">
        <f>IF(AND(ISNUMBER($O40),N($C40)&gt;0),$O40/$C40,"")</f>
        <v/>
      </c>
      <c r="Q40" s="21">
        <f>IF(OR($J40="",NOT(ISNUMBER($N40))),"",$J40*(1-($M40-IF($I40="",pLucro,$I40)))-$L40)</f>
        <v/>
      </c>
      <c r="R40" s="22">
        <f>IF($Q40="","",$Q40/$J40)</f>
        <v/>
      </c>
      <c r="S40" s="25">
        <f>IF($L40="","",IF(NOT(ISNUMBER($N40)),"Revisar %",IF($J40="","Sem preço atual",IF($Q40&lt;0,"PREJUÍZO",IF($J40&lt;$N40,"Abaixo do ideal","OK")))))</f>
        <v/>
      </c>
    </row>
    <row r="41" spans="1:19">
      <c r="A41" s="13"/>
      <c r="B41" s="13"/>
      <c r="C41" s="26"/>
      <c r="D41" s="19"/>
      <c r="E41" s="19"/>
      <c r="F41" s="20"/>
      <c r="G41" s="20"/>
      <c r="H41" s="20"/>
      <c r="I41" s="20"/>
      <c r="J41" s="19"/>
      <c r="K41" s="21">
        <f>IF(OR($A41="",$C41=""),"",$C41*cHora)</f>
        <v/>
      </c>
      <c r="L41" s="21">
        <f>IF($K41="","",$K41+N($D41)+N($E41))</f>
        <v/>
      </c>
      <c r="M41" s="22">
        <f>IF($L41="","",IF($F41="",pImp,$F41)+IF($G41="",pCom,$G41)+IF($H41="",pTax,$H41)+IF($I41="",pLucro,$I41))</f>
        <v/>
      </c>
      <c r="N41" s="21">
        <f>IF($L41="","",IF($M41&gt;=1,"Revisar %",$L41/(1-$M41)))</f>
        <v/>
      </c>
      <c r="O41" s="23">
        <f>IF(ISNUMBER($N41),ROUNDUP($N41,0)+IF(ROUNDUP($N41,0)-0.1&gt;=$N41,-0.1,0.9),$N41)</f>
        <v/>
      </c>
      <c r="P41" s="21">
        <f>IF(AND(ISNUMBER($O41),N($C41)&gt;0),$O41/$C41,"")</f>
        <v/>
      </c>
      <c r="Q41" s="21">
        <f>IF(OR($J41="",NOT(ISNUMBER($N41))),"",$J41*(1-($M41-IF($I41="",pLucro,$I41)))-$L41)</f>
        <v/>
      </c>
      <c r="R41" s="22">
        <f>IF($Q41="","",$Q41/$J41)</f>
        <v/>
      </c>
      <c r="S41" s="25">
        <f>IF($L41="","",IF(NOT(ISNUMBER($N41)),"Revisar %",IF($J41="","Sem preço atual",IF($Q41&lt;0,"PREJUÍZO",IF($J41&lt;$N41,"Abaixo do ideal","OK")))))</f>
        <v/>
      </c>
    </row>
    <row r="42" spans="1:19">
      <c r="A42" s="13"/>
      <c r="B42" s="13"/>
      <c r="C42" s="26"/>
      <c r="D42" s="19"/>
      <c r="E42" s="19"/>
      <c r="F42" s="20"/>
      <c r="G42" s="20"/>
      <c r="H42" s="20"/>
      <c r="I42" s="20"/>
      <c r="J42" s="19"/>
      <c r="K42" s="21">
        <f>IF(OR($A42="",$C42=""),"",$C42*cHora)</f>
        <v/>
      </c>
      <c r="L42" s="21">
        <f>IF($K42="","",$K42+N($D42)+N($E42))</f>
        <v/>
      </c>
      <c r="M42" s="22">
        <f>IF($L42="","",IF($F42="",pImp,$F42)+IF($G42="",pCom,$G42)+IF($H42="",pTax,$H42)+IF($I42="",pLucro,$I42))</f>
        <v/>
      </c>
      <c r="N42" s="21">
        <f>IF($L42="","",IF($M42&gt;=1,"Revisar %",$L42/(1-$M42)))</f>
        <v/>
      </c>
      <c r="O42" s="23">
        <f>IF(ISNUMBER($N42),ROUNDUP($N42,0)+IF(ROUNDUP($N42,0)-0.1&gt;=$N42,-0.1,0.9),$N42)</f>
        <v/>
      </c>
      <c r="P42" s="21">
        <f>IF(AND(ISNUMBER($O42),N($C42)&gt;0),$O42/$C42,"")</f>
        <v/>
      </c>
      <c r="Q42" s="21">
        <f>IF(OR($J42="",NOT(ISNUMBER($N42))),"",$J42*(1-($M42-IF($I42="",pLucro,$I42)))-$L42)</f>
        <v/>
      </c>
      <c r="R42" s="22">
        <f>IF($Q42="","",$Q42/$J42)</f>
        <v/>
      </c>
      <c r="S42" s="25">
        <f>IF($L42="","",IF(NOT(ISNUMBER($N42)),"Revisar %",IF($J42="","Sem preço atual",IF($Q42&lt;0,"PREJUÍZO",IF($J42&lt;$N42,"Abaixo do ideal","OK")))))</f>
        <v/>
      </c>
    </row>
    <row r="43" spans="1:19">
      <c r="A43" s="13"/>
      <c r="B43" s="13"/>
      <c r="C43" s="26"/>
      <c r="D43" s="19"/>
      <c r="E43" s="19"/>
      <c r="F43" s="20"/>
      <c r="G43" s="20"/>
      <c r="H43" s="20"/>
      <c r="I43" s="20"/>
      <c r="J43" s="19"/>
      <c r="K43" s="21">
        <f>IF(OR($A43="",$C43=""),"",$C43*cHora)</f>
        <v/>
      </c>
      <c r="L43" s="21">
        <f>IF($K43="","",$K43+N($D43)+N($E43))</f>
        <v/>
      </c>
      <c r="M43" s="22">
        <f>IF($L43="","",IF($F43="",pImp,$F43)+IF($G43="",pCom,$G43)+IF($H43="",pTax,$H43)+IF($I43="",pLucro,$I43))</f>
        <v/>
      </c>
      <c r="N43" s="21">
        <f>IF($L43="","",IF($M43&gt;=1,"Revisar %",$L43/(1-$M43)))</f>
        <v/>
      </c>
      <c r="O43" s="23">
        <f>IF(ISNUMBER($N43),ROUNDUP($N43,0)+IF(ROUNDUP($N43,0)-0.1&gt;=$N43,-0.1,0.9),$N43)</f>
        <v/>
      </c>
      <c r="P43" s="21">
        <f>IF(AND(ISNUMBER($O43),N($C43)&gt;0),$O43/$C43,"")</f>
        <v/>
      </c>
      <c r="Q43" s="21">
        <f>IF(OR($J43="",NOT(ISNUMBER($N43))),"",$J43*(1-($M43-IF($I43="",pLucro,$I43)))-$L43)</f>
        <v/>
      </c>
      <c r="R43" s="22">
        <f>IF($Q43="","",$Q43/$J43)</f>
        <v/>
      </c>
      <c r="S43" s="25">
        <f>IF($L43="","",IF(NOT(ISNUMBER($N43)),"Revisar %",IF($J43="","Sem preço atual",IF($Q43&lt;0,"PREJUÍZO",IF($J43&lt;$N43,"Abaixo do ideal","OK")))))</f>
        <v/>
      </c>
    </row>
    <row r="44" spans="1:19">
      <c r="A44" s="13"/>
      <c r="B44" s="13"/>
      <c r="C44" s="26"/>
      <c r="D44" s="19"/>
      <c r="E44" s="19"/>
      <c r="F44" s="20"/>
      <c r="G44" s="20"/>
      <c r="H44" s="20"/>
      <c r="I44" s="20"/>
      <c r="J44" s="19"/>
      <c r="K44" s="21">
        <f>IF(OR($A44="",$C44=""),"",$C44*cHora)</f>
        <v/>
      </c>
      <c r="L44" s="21">
        <f>IF($K44="","",$K44+N($D44)+N($E44))</f>
        <v/>
      </c>
      <c r="M44" s="22">
        <f>IF($L44="","",IF($F44="",pImp,$F44)+IF($G44="",pCom,$G44)+IF($H44="",pTax,$H44)+IF($I44="",pLucro,$I44))</f>
        <v/>
      </c>
      <c r="N44" s="21">
        <f>IF($L44="","",IF($M44&gt;=1,"Revisar %",$L44/(1-$M44)))</f>
        <v/>
      </c>
      <c r="O44" s="23">
        <f>IF(ISNUMBER($N44),ROUNDUP($N44,0)+IF(ROUNDUP($N44,0)-0.1&gt;=$N44,-0.1,0.9),$N44)</f>
        <v/>
      </c>
      <c r="P44" s="21">
        <f>IF(AND(ISNUMBER($O44),N($C44)&gt;0),$O44/$C44,"")</f>
        <v/>
      </c>
      <c r="Q44" s="21">
        <f>IF(OR($J44="",NOT(ISNUMBER($N44))),"",$J44*(1-($M44-IF($I44="",pLucro,$I44)))-$L44)</f>
        <v/>
      </c>
      <c r="R44" s="22">
        <f>IF($Q44="","",$Q44/$J44)</f>
        <v/>
      </c>
      <c r="S44" s="25">
        <f>IF($L44="","",IF(NOT(ISNUMBER($N44)),"Revisar %",IF($J44="","Sem preço atual",IF($Q44&lt;0,"PREJUÍZO",IF($J44&lt;$N44,"Abaixo do ideal","OK")))))</f>
        <v/>
      </c>
    </row>
    <row r="45" spans="1:19">
      <c r="A45" s="13"/>
      <c r="B45" s="13"/>
      <c r="C45" s="26"/>
      <c r="D45" s="19"/>
      <c r="E45" s="19"/>
      <c r="F45" s="20"/>
      <c r="G45" s="20"/>
      <c r="H45" s="20"/>
      <c r="I45" s="20"/>
      <c r="J45" s="19"/>
      <c r="K45" s="21">
        <f>IF(OR($A45="",$C45=""),"",$C45*cHora)</f>
        <v/>
      </c>
      <c r="L45" s="21">
        <f>IF($K45="","",$K45+N($D45)+N($E45))</f>
        <v/>
      </c>
      <c r="M45" s="22">
        <f>IF($L45="","",IF($F45="",pImp,$F45)+IF($G45="",pCom,$G45)+IF($H45="",pTax,$H45)+IF($I45="",pLucro,$I45))</f>
        <v/>
      </c>
      <c r="N45" s="21">
        <f>IF($L45="","",IF($M45&gt;=1,"Revisar %",$L45/(1-$M45)))</f>
        <v/>
      </c>
      <c r="O45" s="23">
        <f>IF(ISNUMBER($N45),ROUNDUP($N45,0)+IF(ROUNDUP($N45,0)-0.1&gt;=$N45,-0.1,0.9),$N45)</f>
        <v/>
      </c>
      <c r="P45" s="21">
        <f>IF(AND(ISNUMBER($O45),N($C45)&gt;0),$O45/$C45,"")</f>
        <v/>
      </c>
      <c r="Q45" s="21">
        <f>IF(OR($J45="",NOT(ISNUMBER($N45))),"",$J45*(1-($M45-IF($I45="",pLucro,$I45)))-$L45)</f>
        <v/>
      </c>
      <c r="R45" s="22">
        <f>IF($Q45="","",$Q45/$J45)</f>
        <v/>
      </c>
      <c r="S45" s="25">
        <f>IF($L45="","",IF(NOT(ISNUMBER($N45)),"Revisar %",IF($J45="","Sem preço atual",IF($Q45&lt;0,"PREJUÍZO",IF($J45&lt;$N45,"Abaixo do ideal","OK")))))</f>
        <v/>
      </c>
    </row>
    <row r="46" spans="1:19">
      <c r="A46" s="13"/>
      <c r="B46" s="13"/>
      <c r="C46" s="26"/>
      <c r="D46" s="19"/>
      <c r="E46" s="19"/>
      <c r="F46" s="20"/>
      <c r="G46" s="20"/>
      <c r="H46" s="20"/>
      <c r="I46" s="20"/>
      <c r="J46" s="19"/>
      <c r="K46" s="21">
        <f>IF(OR($A46="",$C46=""),"",$C46*cHora)</f>
        <v/>
      </c>
      <c r="L46" s="21">
        <f>IF($K46="","",$K46+N($D46)+N($E46))</f>
        <v/>
      </c>
      <c r="M46" s="22">
        <f>IF($L46="","",IF($F46="",pImp,$F46)+IF($G46="",pCom,$G46)+IF($H46="",pTax,$H46)+IF($I46="",pLucro,$I46))</f>
        <v/>
      </c>
      <c r="N46" s="21">
        <f>IF($L46="","",IF($M46&gt;=1,"Revisar %",$L46/(1-$M46)))</f>
        <v/>
      </c>
      <c r="O46" s="23">
        <f>IF(ISNUMBER($N46),ROUNDUP($N46,0)+IF(ROUNDUP($N46,0)-0.1&gt;=$N46,-0.1,0.9),$N46)</f>
        <v/>
      </c>
      <c r="P46" s="21">
        <f>IF(AND(ISNUMBER($O46),N($C46)&gt;0),$O46/$C46,"")</f>
        <v/>
      </c>
      <c r="Q46" s="21">
        <f>IF(OR($J46="",NOT(ISNUMBER($N46))),"",$J46*(1-($M46-IF($I46="",pLucro,$I46)))-$L46)</f>
        <v/>
      </c>
      <c r="R46" s="22">
        <f>IF($Q46="","",$Q46/$J46)</f>
        <v/>
      </c>
      <c r="S46" s="25">
        <f>IF($L46="","",IF(NOT(ISNUMBER($N46)),"Revisar %",IF($J46="","Sem preço atual",IF($Q46&lt;0,"PREJUÍZO",IF($J46&lt;$N46,"Abaixo do ideal","OK")))))</f>
        <v/>
      </c>
    </row>
    <row r="47" spans="1:19">
      <c r="A47" s="13"/>
      <c r="B47" s="13"/>
      <c r="C47" s="26"/>
      <c r="D47" s="19"/>
      <c r="E47" s="19"/>
      <c r="F47" s="20"/>
      <c r="G47" s="20"/>
      <c r="H47" s="20"/>
      <c r="I47" s="20"/>
      <c r="J47" s="19"/>
      <c r="K47" s="21">
        <f>IF(OR($A47="",$C47=""),"",$C47*cHora)</f>
        <v/>
      </c>
      <c r="L47" s="21">
        <f>IF($K47="","",$K47+N($D47)+N($E47))</f>
        <v/>
      </c>
      <c r="M47" s="22">
        <f>IF($L47="","",IF($F47="",pImp,$F47)+IF($G47="",pCom,$G47)+IF($H47="",pTax,$H47)+IF($I47="",pLucro,$I47))</f>
        <v/>
      </c>
      <c r="N47" s="21">
        <f>IF($L47="","",IF($M47&gt;=1,"Revisar %",$L47/(1-$M47)))</f>
        <v/>
      </c>
      <c r="O47" s="23">
        <f>IF(ISNUMBER($N47),ROUNDUP($N47,0)+IF(ROUNDUP($N47,0)-0.1&gt;=$N47,-0.1,0.9),$N47)</f>
        <v/>
      </c>
      <c r="P47" s="21">
        <f>IF(AND(ISNUMBER($O47),N($C47)&gt;0),$O47/$C47,"")</f>
        <v/>
      </c>
      <c r="Q47" s="21">
        <f>IF(OR($J47="",NOT(ISNUMBER($N47))),"",$J47*(1-($M47-IF($I47="",pLucro,$I47)))-$L47)</f>
        <v/>
      </c>
      <c r="R47" s="22">
        <f>IF($Q47="","",$Q47/$J47)</f>
        <v/>
      </c>
      <c r="S47" s="25">
        <f>IF($L47="","",IF(NOT(ISNUMBER($N47)),"Revisar %",IF($J47="","Sem preço atual",IF($Q47&lt;0,"PREJUÍZO",IF($J47&lt;$N47,"Abaixo do ideal","OK")))))</f>
        <v/>
      </c>
    </row>
    <row r="48" spans="1:19">
      <c r="A48" s="13"/>
      <c r="B48" s="13"/>
      <c r="C48" s="26"/>
      <c r="D48" s="19"/>
      <c r="E48" s="19"/>
      <c r="F48" s="20"/>
      <c r="G48" s="20"/>
      <c r="H48" s="20"/>
      <c r="I48" s="20"/>
      <c r="J48" s="19"/>
      <c r="K48" s="21">
        <f>IF(OR($A48="",$C48=""),"",$C48*cHora)</f>
        <v/>
      </c>
      <c r="L48" s="21">
        <f>IF($K48="","",$K48+N($D48)+N($E48))</f>
        <v/>
      </c>
      <c r="M48" s="22">
        <f>IF($L48="","",IF($F48="",pImp,$F48)+IF($G48="",pCom,$G48)+IF($H48="",pTax,$H48)+IF($I48="",pLucro,$I48))</f>
        <v/>
      </c>
      <c r="N48" s="21">
        <f>IF($L48="","",IF($M48&gt;=1,"Revisar %",$L48/(1-$M48)))</f>
        <v/>
      </c>
      <c r="O48" s="23">
        <f>IF(ISNUMBER($N48),ROUNDUP($N48,0)+IF(ROUNDUP($N48,0)-0.1&gt;=$N48,-0.1,0.9),$N48)</f>
        <v/>
      </c>
      <c r="P48" s="21">
        <f>IF(AND(ISNUMBER($O48),N($C48)&gt;0),$O48/$C48,"")</f>
        <v/>
      </c>
      <c r="Q48" s="21">
        <f>IF(OR($J48="",NOT(ISNUMBER($N48))),"",$J48*(1-($M48-IF($I48="",pLucro,$I48)))-$L48)</f>
        <v/>
      </c>
      <c r="R48" s="22">
        <f>IF($Q48="","",$Q48/$J48)</f>
        <v/>
      </c>
      <c r="S48" s="25">
        <f>IF($L48="","",IF(NOT(ISNUMBER($N48)),"Revisar %",IF($J48="","Sem preço atual",IF($Q48&lt;0,"PREJUÍZO",IF($J48&lt;$N48,"Abaixo do ideal","OK")))))</f>
        <v/>
      </c>
    </row>
    <row r="49" spans="1:19">
      <c r="A49" s="13"/>
      <c r="B49" s="13"/>
      <c r="C49" s="26"/>
      <c r="D49" s="19"/>
      <c r="E49" s="19"/>
      <c r="F49" s="20"/>
      <c r="G49" s="20"/>
      <c r="H49" s="20"/>
      <c r="I49" s="20"/>
      <c r="J49" s="19"/>
      <c r="K49" s="21">
        <f>IF(OR($A49="",$C49=""),"",$C49*cHora)</f>
        <v/>
      </c>
      <c r="L49" s="21">
        <f>IF($K49="","",$K49+N($D49)+N($E49))</f>
        <v/>
      </c>
      <c r="M49" s="22">
        <f>IF($L49="","",IF($F49="",pImp,$F49)+IF($G49="",pCom,$G49)+IF($H49="",pTax,$H49)+IF($I49="",pLucro,$I49))</f>
        <v/>
      </c>
      <c r="N49" s="21">
        <f>IF($L49="","",IF($M49&gt;=1,"Revisar %",$L49/(1-$M49)))</f>
        <v/>
      </c>
      <c r="O49" s="23">
        <f>IF(ISNUMBER($N49),ROUNDUP($N49,0)+IF(ROUNDUP($N49,0)-0.1&gt;=$N49,-0.1,0.9),$N49)</f>
        <v/>
      </c>
      <c r="P49" s="21">
        <f>IF(AND(ISNUMBER($O49),N($C49)&gt;0),$O49/$C49,"")</f>
        <v/>
      </c>
      <c r="Q49" s="21">
        <f>IF(OR($J49="",NOT(ISNUMBER($N49))),"",$J49*(1-($M49-IF($I49="",pLucro,$I49)))-$L49)</f>
        <v/>
      </c>
      <c r="R49" s="22">
        <f>IF($Q49="","",$Q49/$J49)</f>
        <v/>
      </c>
      <c r="S49" s="25">
        <f>IF($L49="","",IF(NOT(ISNUMBER($N49)),"Revisar %",IF($J49="","Sem preço atual",IF($Q49&lt;0,"PREJUÍZO",IF($J49&lt;$N49,"Abaixo do ideal","OK")))))</f>
        <v/>
      </c>
    </row>
    <row r="50" spans="1:19">
      <c r="A50" s="13"/>
      <c r="B50" s="13"/>
      <c r="C50" s="26"/>
      <c r="D50" s="19"/>
      <c r="E50" s="19"/>
      <c r="F50" s="20"/>
      <c r="G50" s="20"/>
      <c r="H50" s="20"/>
      <c r="I50" s="20"/>
      <c r="J50" s="19"/>
      <c r="K50" s="21">
        <f>IF(OR($A50="",$C50=""),"",$C50*cHora)</f>
        <v/>
      </c>
      <c r="L50" s="21">
        <f>IF($K50="","",$K50+N($D50)+N($E50))</f>
        <v/>
      </c>
      <c r="M50" s="22">
        <f>IF($L50="","",IF($F50="",pImp,$F50)+IF($G50="",pCom,$G50)+IF($H50="",pTax,$H50)+IF($I50="",pLucro,$I50))</f>
        <v/>
      </c>
      <c r="N50" s="21">
        <f>IF($L50="","",IF($M50&gt;=1,"Revisar %",$L50/(1-$M50)))</f>
        <v/>
      </c>
      <c r="O50" s="23">
        <f>IF(ISNUMBER($N50),ROUNDUP($N50,0)+IF(ROUNDUP($N50,0)-0.1&gt;=$N50,-0.1,0.9),$N50)</f>
        <v/>
      </c>
      <c r="P50" s="21">
        <f>IF(AND(ISNUMBER($O50),N($C50)&gt;0),$O50/$C50,"")</f>
        <v/>
      </c>
      <c r="Q50" s="21">
        <f>IF(OR($J50="",NOT(ISNUMBER($N50))),"",$J50*(1-($M50-IF($I50="",pLucro,$I50)))-$L50)</f>
        <v/>
      </c>
      <c r="R50" s="22">
        <f>IF($Q50="","",$Q50/$J50)</f>
        <v/>
      </c>
      <c r="S50" s="25">
        <f>IF($L50="","",IF(NOT(ISNUMBER($N50)),"Revisar %",IF($J50="","Sem preço atual",IF($Q50&lt;0,"PREJUÍZO",IF($J50&lt;$N50,"Abaixo do ideal","OK")))))</f>
        <v/>
      </c>
    </row>
    <row r="51" spans="1:19">
      <c r="A51" s="13"/>
      <c r="B51" s="13"/>
      <c r="C51" s="26"/>
      <c r="D51" s="19"/>
      <c r="E51" s="19"/>
      <c r="F51" s="20"/>
      <c r="G51" s="20"/>
      <c r="H51" s="20"/>
      <c r="I51" s="20"/>
      <c r="J51" s="19"/>
      <c r="K51" s="21">
        <f>IF(OR($A51="",$C51=""),"",$C51*cHora)</f>
        <v/>
      </c>
      <c r="L51" s="21">
        <f>IF($K51="","",$K51+N($D51)+N($E51))</f>
        <v/>
      </c>
      <c r="M51" s="22">
        <f>IF($L51="","",IF($F51="",pImp,$F51)+IF($G51="",pCom,$G51)+IF($H51="",pTax,$H51)+IF($I51="",pLucro,$I51))</f>
        <v/>
      </c>
      <c r="N51" s="21">
        <f>IF($L51="","",IF($M51&gt;=1,"Revisar %",$L51/(1-$M51)))</f>
        <v/>
      </c>
      <c r="O51" s="23">
        <f>IF(ISNUMBER($N51),ROUNDUP($N51,0)+IF(ROUNDUP($N51,0)-0.1&gt;=$N51,-0.1,0.9),$N51)</f>
        <v/>
      </c>
      <c r="P51" s="21">
        <f>IF(AND(ISNUMBER($O51),N($C51)&gt;0),$O51/$C51,"")</f>
        <v/>
      </c>
      <c r="Q51" s="21">
        <f>IF(OR($J51="",NOT(ISNUMBER($N51))),"",$J51*(1-($M51-IF($I51="",pLucro,$I51)))-$L51)</f>
        <v/>
      </c>
      <c r="R51" s="22">
        <f>IF($Q51="","",$Q51/$J51)</f>
        <v/>
      </c>
      <c r="S51" s="25">
        <f>IF($L51="","",IF(NOT(ISNUMBER($N51)),"Revisar %",IF($J51="","Sem preço atual",IF($Q51&lt;0,"PREJUÍZO",IF($J51&lt;$N51,"Abaixo do ideal","OK")))))</f>
        <v/>
      </c>
    </row>
    <row r="52" spans="1:19">
      <c r="A52" s="13"/>
      <c r="B52" s="13"/>
      <c r="C52" s="26"/>
      <c r="D52" s="19"/>
      <c r="E52" s="19"/>
      <c r="F52" s="20"/>
      <c r="G52" s="20"/>
      <c r="H52" s="20"/>
      <c r="I52" s="20"/>
      <c r="J52" s="19"/>
      <c r="K52" s="21">
        <f>IF(OR($A52="",$C52=""),"",$C52*cHora)</f>
        <v/>
      </c>
      <c r="L52" s="21">
        <f>IF($K52="","",$K52+N($D52)+N($E52))</f>
        <v/>
      </c>
      <c r="M52" s="22">
        <f>IF($L52="","",IF($F52="",pImp,$F52)+IF($G52="",pCom,$G52)+IF($H52="",pTax,$H52)+IF($I52="",pLucro,$I52))</f>
        <v/>
      </c>
      <c r="N52" s="21">
        <f>IF($L52="","",IF($M52&gt;=1,"Revisar %",$L52/(1-$M52)))</f>
        <v/>
      </c>
      <c r="O52" s="23">
        <f>IF(ISNUMBER($N52),ROUNDUP($N52,0)+IF(ROUNDUP($N52,0)-0.1&gt;=$N52,-0.1,0.9),$N52)</f>
        <v/>
      </c>
      <c r="P52" s="21">
        <f>IF(AND(ISNUMBER($O52),N($C52)&gt;0),$O52/$C52,"")</f>
        <v/>
      </c>
      <c r="Q52" s="21">
        <f>IF(OR($J52="",NOT(ISNUMBER($N52))),"",$J52*(1-($M52-IF($I52="",pLucro,$I52)))-$L52)</f>
        <v/>
      </c>
      <c r="R52" s="22">
        <f>IF($Q52="","",$Q52/$J52)</f>
        <v/>
      </c>
      <c r="S52" s="25">
        <f>IF($L52="","",IF(NOT(ISNUMBER($N52)),"Revisar %",IF($J52="","Sem preço atual",IF($Q52&lt;0,"PREJUÍZO",IF($J52&lt;$N52,"Abaixo do ideal","OK")))))</f>
        <v/>
      </c>
    </row>
    <row r="53" spans="1:19">
      <c r="A53" s="13"/>
      <c r="B53" s="13"/>
      <c r="C53" s="26"/>
      <c r="D53" s="19"/>
      <c r="E53" s="19"/>
      <c r="F53" s="20"/>
      <c r="G53" s="20"/>
      <c r="H53" s="20"/>
      <c r="I53" s="20"/>
      <c r="J53" s="19"/>
      <c r="K53" s="21">
        <f>IF(OR($A53="",$C53=""),"",$C53*cHora)</f>
        <v/>
      </c>
      <c r="L53" s="21">
        <f>IF($K53="","",$K53+N($D53)+N($E53))</f>
        <v/>
      </c>
      <c r="M53" s="22">
        <f>IF($L53="","",IF($F53="",pImp,$F53)+IF($G53="",pCom,$G53)+IF($H53="",pTax,$H53)+IF($I53="",pLucro,$I53))</f>
        <v/>
      </c>
      <c r="N53" s="21">
        <f>IF($L53="","",IF($M53&gt;=1,"Revisar %",$L53/(1-$M53)))</f>
        <v/>
      </c>
      <c r="O53" s="23">
        <f>IF(ISNUMBER($N53),ROUNDUP($N53,0)+IF(ROUNDUP($N53,0)-0.1&gt;=$N53,-0.1,0.9),$N53)</f>
        <v/>
      </c>
      <c r="P53" s="21">
        <f>IF(AND(ISNUMBER($O53),N($C53)&gt;0),$O53/$C53,"")</f>
        <v/>
      </c>
      <c r="Q53" s="21">
        <f>IF(OR($J53="",NOT(ISNUMBER($N53))),"",$J53*(1-($M53-IF($I53="",pLucro,$I53)))-$L53)</f>
        <v/>
      </c>
      <c r="R53" s="22">
        <f>IF($Q53="","",$Q53/$J53)</f>
        <v/>
      </c>
      <c r="S53" s="25">
        <f>IF($L53="","",IF(NOT(ISNUMBER($N53)),"Revisar %",IF($J53="","Sem preço atual",IF($Q53&lt;0,"PREJUÍZO",IF($J53&lt;$N53,"Abaixo do ideal","OK")))))</f>
        <v/>
      </c>
    </row>
    <row r="54" spans="1:19">
      <c r="A54" s="13"/>
      <c r="B54" s="13"/>
      <c r="C54" s="26"/>
      <c r="D54" s="19"/>
      <c r="E54" s="19"/>
      <c r="F54" s="20"/>
      <c r="G54" s="20"/>
      <c r="H54" s="20"/>
      <c r="I54" s="20"/>
      <c r="J54" s="19"/>
      <c r="K54" s="21">
        <f>IF(OR($A54="",$C54=""),"",$C54*cHora)</f>
        <v/>
      </c>
      <c r="L54" s="21">
        <f>IF($K54="","",$K54+N($D54)+N($E54))</f>
        <v/>
      </c>
      <c r="M54" s="22">
        <f>IF($L54="","",IF($F54="",pImp,$F54)+IF($G54="",pCom,$G54)+IF($H54="",pTax,$H54)+IF($I54="",pLucro,$I54))</f>
        <v/>
      </c>
      <c r="N54" s="21">
        <f>IF($L54="","",IF($M54&gt;=1,"Revisar %",$L54/(1-$M54)))</f>
        <v/>
      </c>
      <c r="O54" s="23">
        <f>IF(ISNUMBER($N54),ROUNDUP($N54,0)+IF(ROUNDUP($N54,0)-0.1&gt;=$N54,-0.1,0.9),$N54)</f>
        <v/>
      </c>
      <c r="P54" s="21">
        <f>IF(AND(ISNUMBER($O54),N($C54)&gt;0),$O54/$C54,"")</f>
        <v/>
      </c>
      <c r="Q54" s="21">
        <f>IF(OR($J54="",NOT(ISNUMBER($N54))),"",$J54*(1-($M54-IF($I54="",pLucro,$I54)))-$L54)</f>
        <v/>
      </c>
      <c r="R54" s="22">
        <f>IF($Q54="","",$Q54/$J54)</f>
        <v/>
      </c>
      <c r="S54" s="25">
        <f>IF($L54="","",IF(NOT(ISNUMBER($N54)),"Revisar %",IF($J54="","Sem preço atual",IF($Q54&lt;0,"PREJUÍZO",IF($J54&lt;$N54,"Abaixo do ideal","OK")))))</f>
        <v/>
      </c>
    </row>
    <row r="55" spans="1:19">
      <c r="A55" s="13"/>
      <c r="B55" s="13"/>
      <c r="C55" s="26"/>
      <c r="D55" s="19"/>
      <c r="E55" s="19"/>
      <c r="F55" s="20"/>
      <c r="G55" s="20"/>
      <c r="H55" s="20"/>
      <c r="I55" s="20"/>
      <c r="J55" s="19"/>
      <c r="K55" s="21">
        <f>IF(OR($A55="",$C55=""),"",$C55*cHora)</f>
        <v/>
      </c>
      <c r="L55" s="21">
        <f>IF($K55="","",$K55+N($D55)+N($E55))</f>
        <v/>
      </c>
      <c r="M55" s="22">
        <f>IF($L55="","",IF($F55="",pImp,$F55)+IF($G55="",pCom,$G55)+IF($H55="",pTax,$H55)+IF($I55="",pLucro,$I55))</f>
        <v/>
      </c>
      <c r="N55" s="21">
        <f>IF($L55="","",IF($M55&gt;=1,"Revisar %",$L55/(1-$M55)))</f>
        <v/>
      </c>
      <c r="O55" s="23">
        <f>IF(ISNUMBER($N55),ROUNDUP($N55,0)+IF(ROUNDUP($N55,0)-0.1&gt;=$N55,-0.1,0.9),$N55)</f>
        <v/>
      </c>
      <c r="P55" s="21">
        <f>IF(AND(ISNUMBER($O55),N($C55)&gt;0),$O55/$C55,"")</f>
        <v/>
      </c>
      <c r="Q55" s="21">
        <f>IF(OR($J55="",NOT(ISNUMBER($N55))),"",$J55*(1-($M55-IF($I55="",pLucro,$I55)))-$L55)</f>
        <v/>
      </c>
      <c r="R55" s="22">
        <f>IF($Q55="","",$Q55/$J55)</f>
        <v/>
      </c>
      <c r="S55" s="25">
        <f>IF($L55="","",IF(NOT(ISNUMBER($N55)),"Revisar %",IF($J55="","Sem preço atual",IF($Q55&lt;0,"PREJUÍZO",IF($J55&lt;$N55,"Abaixo do ideal","OK")))))</f>
        <v/>
      </c>
    </row>
    <row r="56" spans="1:19">
      <c r="A56" s="13"/>
      <c r="B56" s="13"/>
      <c r="C56" s="26"/>
      <c r="D56" s="19"/>
      <c r="E56" s="19"/>
      <c r="F56" s="20"/>
      <c r="G56" s="20"/>
      <c r="H56" s="20"/>
      <c r="I56" s="20"/>
      <c r="J56" s="19"/>
      <c r="K56" s="21">
        <f>IF(OR($A56="",$C56=""),"",$C56*cHora)</f>
        <v/>
      </c>
      <c r="L56" s="21">
        <f>IF($K56="","",$K56+N($D56)+N($E56))</f>
        <v/>
      </c>
      <c r="M56" s="22">
        <f>IF($L56="","",IF($F56="",pImp,$F56)+IF($G56="",pCom,$G56)+IF($H56="",pTax,$H56)+IF($I56="",pLucro,$I56))</f>
        <v/>
      </c>
      <c r="N56" s="21">
        <f>IF($L56="","",IF($M56&gt;=1,"Revisar %",$L56/(1-$M56)))</f>
        <v/>
      </c>
      <c r="O56" s="23">
        <f>IF(ISNUMBER($N56),ROUNDUP($N56,0)+IF(ROUNDUP($N56,0)-0.1&gt;=$N56,-0.1,0.9),$N56)</f>
        <v/>
      </c>
      <c r="P56" s="21">
        <f>IF(AND(ISNUMBER($O56),N($C56)&gt;0),$O56/$C56,"")</f>
        <v/>
      </c>
      <c r="Q56" s="21">
        <f>IF(OR($J56="",NOT(ISNUMBER($N56))),"",$J56*(1-($M56-IF($I56="",pLucro,$I56)))-$L56)</f>
        <v/>
      </c>
      <c r="R56" s="22">
        <f>IF($Q56="","",$Q56/$J56)</f>
        <v/>
      </c>
      <c r="S56" s="25">
        <f>IF($L56="","",IF(NOT(ISNUMBER($N56)),"Revisar %",IF($J56="","Sem preço atual",IF($Q56&lt;0,"PREJUÍZO",IF($J56&lt;$N56,"Abaixo do ideal","OK")))))</f>
        <v/>
      </c>
    </row>
    <row r="57" spans="1:19">
      <c r="A57" s="13"/>
      <c r="B57" s="13"/>
      <c r="C57" s="26"/>
      <c r="D57" s="19"/>
      <c r="E57" s="19"/>
      <c r="F57" s="20"/>
      <c r="G57" s="20"/>
      <c r="H57" s="20"/>
      <c r="I57" s="20"/>
      <c r="J57" s="19"/>
      <c r="K57" s="21">
        <f>IF(OR($A57="",$C57=""),"",$C57*cHora)</f>
        <v/>
      </c>
      <c r="L57" s="21">
        <f>IF($K57="","",$K57+N($D57)+N($E57))</f>
        <v/>
      </c>
      <c r="M57" s="22">
        <f>IF($L57="","",IF($F57="",pImp,$F57)+IF($G57="",pCom,$G57)+IF($H57="",pTax,$H57)+IF($I57="",pLucro,$I57))</f>
        <v/>
      </c>
      <c r="N57" s="21">
        <f>IF($L57="","",IF($M57&gt;=1,"Revisar %",$L57/(1-$M57)))</f>
        <v/>
      </c>
      <c r="O57" s="23">
        <f>IF(ISNUMBER($N57),ROUNDUP($N57,0)+IF(ROUNDUP($N57,0)-0.1&gt;=$N57,-0.1,0.9),$N57)</f>
        <v/>
      </c>
      <c r="P57" s="21">
        <f>IF(AND(ISNUMBER($O57),N($C57)&gt;0),$O57/$C57,"")</f>
        <v/>
      </c>
      <c r="Q57" s="21">
        <f>IF(OR($J57="",NOT(ISNUMBER($N57))),"",$J57*(1-($M57-IF($I57="",pLucro,$I57)))-$L57)</f>
        <v/>
      </c>
      <c r="R57" s="22">
        <f>IF($Q57="","",$Q57/$J57)</f>
        <v/>
      </c>
      <c r="S57" s="25">
        <f>IF($L57="","",IF(NOT(ISNUMBER($N57)),"Revisar %",IF($J57="","Sem preço atual",IF($Q57&lt;0,"PREJUÍZO",IF($J57&lt;$N57,"Abaixo do ideal","OK")))))</f>
        <v/>
      </c>
    </row>
    <row r="58" spans="1:19">
      <c r="A58" s="13"/>
      <c r="B58" s="13"/>
      <c r="C58" s="26"/>
      <c r="D58" s="19"/>
      <c r="E58" s="19"/>
      <c r="F58" s="20"/>
      <c r="G58" s="20"/>
      <c r="H58" s="20"/>
      <c r="I58" s="20"/>
      <c r="J58" s="19"/>
      <c r="K58" s="21">
        <f>IF(OR($A58="",$C58=""),"",$C58*cHora)</f>
        <v/>
      </c>
      <c r="L58" s="21">
        <f>IF($K58="","",$K58+N($D58)+N($E58))</f>
        <v/>
      </c>
      <c r="M58" s="22">
        <f>IF($L58="","",IF($F58="",pImp,$F58)+IF($G58="",pCom,$G58)+IF($H58="",pTax,$H58)+IF($I58="",pLucro,$I58))</f>
        <v/>
      </c>
      <c r="N58" s="21">
        <f>IF($L58="","",IF($M58&gt;=1,"Revisar %",$L58/(1-$M58)))</f>
        <v/>
      </c>
      <c r="O58" s="23">
        <f>IF(ISNUMBER($N58),ROUNDUP($N58,0)+IF(ROUNDUP($N58,0)-0.1&gt;=$N58,-0.1,0.9),$N58)</f>
        <v/>
      </c>
      <c r="P58" s="21">
        <f>IF(AND(ISNUMBER($O58),N($C58)&gt;0),$O58/$C58,"")</f>
        <v/>
      </c>
      <c r="Q58" s="21">
        <f>IF(OR($J58="",NOT(ISNUMBER($N58))),"",$J58*(1-($M58-IF($I58="",pLucro,$I58)))-$L58)</f>
        <v/>
      </c>
      <c r="R58" s="22">
        <f>IF($Q58="","",$Q58/$J58)</f>
        <v/>
      </c>
      <c r="S58" s="25">
        <f>IF($L58="","",IF(NOT(ISNUMBER($N58)),"Revisar %",IF($J58="","Sem preço atual",IF($Q58&lt;0,"PREJUÍZO",IF($J58&lt;$N58,"Abaixo do ideal","OK")))))</f>
        <v/>
      </c>
    </row>
    <row r="59" spans="1:19">
      <c r="A59" s="13"/>
      <c r="B59" s="13"/>
      <c r="C59" s="26"/>
      <c r="D59" s="19"/>
      <c r="E59" s="19"/>
      <c r="F59" s="20"/>
      <c r="G59" s="20"/>
      <c r="H59" s="20"/>
      <c r="I59" s="20"/>
      <c r="J59" s="19"/>
      <c r="K59" s="21">
        <f>IF(OR($A59="",$C59=""),"",$C59*cHora)</f>
        <v/>
      </c>
      <c r="L59" s="21">
        <f>IF($K59="","",$K59+N($D59)+N($E59))</f>
        <v/>
      </c>
      <c r="M59" s="22">
        <f>IF($L59="","",IF($F59="",pImp,$F59)+IF($G59="",pCom,$G59)+IF($H59="",pTax,$H59)+IF($I59="",pLucro,$I59))</f>
        <v/>
      </c>
      <c r="N59" s="21">
        <f>IF($L59="","",IF($M59&gt;=1,"Revisar %",$L59/(1-$M59)))</f>
        <v/>
      </c>
      <c r="O59" s="23">
        <f>IF(ISNUMBER($N59),ROUNDUP($N59,0)+IF(ROUNDUP($N59,0)-0.1&gt;=$N59,-0.1,0.9),$N59)</f>
        <v/>
      </c>
      <c r="P59" s="21">
        <f>IF(AND(ISNUMBER($O59),N($C59)&gt;0),$O59/$C59,"")</f>
        <v/>
      </c>
      <c r="Q59" s="21">
        <f>IF(OR($J59="",NOT(ISNUMBER($N59))),"",$J59*(1-($M59-IF($I59="",pLucro,$I59)))-$L59)</f>
        <v/>
      </c>
      <c r="R59" s="22">
        <f>IF($Q59="","",$Q59/$J59)</f>
        <v/>
      </c>
      <c r="S59" s="25">
        <f>IF($L59="","",IF(NOT(ISNUMBER($N59)),"Revisar %",IF($J59="","Sem preço atual",IF($Q59&lt;0,"PREJUÍZO",IF($J59&lt;$N59,"Abaixo do ideal","OK")))))</f>
        <v/>
      </c>
    </row>
    <row r="60" spans="1:19">
      <c r="A60" s="13"/>
      <c r="B60" s="13"/>
      <c r="C60" s="26"/>
      <c r="D60" s="19"/>
      <c r="E60" s="19"/>
      <c r="F60" s="20"/>
      <c r="G60" s="20"/>
      <c r="H60" s="20"/>
      <c r="I60" s="20"/>
      <c r="J60" s="19"/>
      <c r="K60" s="21">
        <f>IF(OR($A60="",$C60=""),"",$C60*cHora)</f>
        <v/>
      </c>
      <c r="L60" s="21">
        <f>IF($K60="","",$K60+N($D60)+N($E60))</f>
        <v/>
      </c>
      <c r="M60" s="22">
        <f>IF($L60="","",IF($F60="",pImp,$F60)+IF($G60="",pCom,$G60)+IF($H60="",pTax,$H60)+IF($I60="",pLucro,$I60))</f>
        <v/>
      </c>
      <c r="N60" s="21">
        <f>IF($L60="","",IF($M60&gt;=1,"Revisar %",$L60/(1-$M60)))</f>
        <v/>
      </c>
      <c r="O60" s="23">
        <f>IF(ISNUMBER($N60),ROUNDUP($N60,0)+IF(ROUNDUP($N60,0)-0.1&gt;=$N60,-0.1,0.9),$N60)</f>
        <v/>
      </c>
      <c r="P60" s="21">
        <f>IF(AND(ISNUMBER($O60),N($C60)&gt;0),$O60/$C60,"")</f>
        <v/>
      </c>
      <c r="Q60" s="21">
        <f>IF(OR($J60="",NOT(ISNUMBER($N60))),"",$J60*(1-($M60-IF($I60="",pLucro,$I60)))-$L60)</f>
        <v/>
      </c>
      <c r="R60" s="22">
        <f>IF($Q60="","",$Q60/$J60)</f>
        <v/>
      </c>
      <c r="S60" s="25">
        <f>IF($L60="","",IF(NOT(ISNUMBER($N60)),"Revisar %",IF($J60="","Sem preço atual",IF($Q60&lt;0,"PREJUÍZO",IF($J60&lt;$N60,"Abaixo do ideal","OK")))))</f>
        <v/>
      </c>
    </row>
    <row r="61" spans="1:19">
      <c r="A61" s="13"/>
      <c r="B61" s="13"/>
      <c r="C61" s="26"/>
      <c r="D61" s="19"/>
      <c r="E61" s="19"/>
      <c r="F61" s="20"/>
      <c r="G61" s="20"/>
      <c r="H61" s="20"/>
      <c r="I61" s="20"/>
      <c r="J61" s="19"/>
      <c r="K61" s="21">
        <f>IF(OR($A61="",$C61=""),"",$C61*cHora)</f>
        <v/>
      </c>
      <c r="L61" s="21">
        <f>IF($K61="","",$K61+N($D61)+N($E61))</f>
        <v/>
      </c>
      <c r="M61" s="22">
        <f>IF($L61="","",IF($F61="",pImp,$F61)+IF($G61="",pCom,$G61)+IF($H61="",pTax,$H61)+IF($I61="",pLucro,$I61))</f>
        <v/>
      </c>
      <c r="N61" s="21">
        <f>IF($L61="","",IF($M61&gt;=1,"Revisar %",$L61/(1-$M61)))</f>
        <v/>
      </c>
      <c r="O61" s="23">
        <f>IF(ISNUMBER($N61),ROUNDUP($N61,0)+IF(ROUNDUP($N61,0)-0.1&gt;=$N61,-0.1,0.9),$N61)</f>
        <v/>
      </c>
      <c r="P61" s="21">
        <f>IF(AND(ISNUMBER($O61),N($C61)&gt;0),$O61/$C61,"")</f>
        <v/>
      </c>
      <c r="Q61" s="21">
        <f>IF(OR($J61="",NOT(ISNUMBER($N61))),"",$J61*(1-($M61-IF($I61="",pLucro,$I61)))-$L61)</f>
        <v/>
      </c>
      <c r="R61" s="22">
        <f>IF($Q61="","",$Q61/$J61)</f>
        <v/>
      </c>
      <c r="S61" s="25">
        <f>IF($L61="","",IF(NOT(ISNUMBER($N61)),"Revisar %",IF($J61="","Sem preço atual",IF($Q61&lt;0,"PREJUÍZO",IF($J61&lt;$N61,"Abaixo do ideal","OK")))))</f>
        <v/>
      </c>
    </row>
    <row r="62" spans="1:19">
      <c r="A62" s="13"/>
      <c r="B62" s="13"/>
      <c r="C62" s="26"/>
      <c r="D62" s="19"/>
      <c r="E62" s="19"/>
      <c r="F62" s="20"/>
      <c r="G62" s="20"/>
      <c r="H62" s="20"/>
      <c r="I62" s="20"/>
      <c r="J62" s="19"/>
      <c r="K62" s="21">
        <f>IF(OR($A62="",$C62=""),"",$C62*cHora)</f>
        <v/>
      </c>
      <c r="L62" s="21">
        <f>IF($K62="","",$K62+N($D62)+N($E62))</f>
        <v/>
      </c>
      <c r="M62" s="22">
        <f>IF($L62="","",IF($F62="",pImp,$F62)+IF($G62="",pCom,$G62)+IF($H62="",pTax,$H62)+IF($I62="",pLucro,$I62))</f>
        <v/>
      </c>
      <c r="N62" s="21">
        <f>IF($L62="","",IF($M62&gt;=1,"Revisar %",$L62/(1-$M62)))</f>
        <v/>
      </c>
      <c r="O62" s="23">
        <f>IF(ISNUMBER($N62),ROUNDUP($N62,0)+IF(ROUNDUP($N62,0)-0.1&gt;=$N62,-0.1,0.9),$N62)</f>
        <v/>
      </c>
      <c r="P62" s="21">
        <f>IF(AND(ISNUMBER($O62),N($C62)&gt;0),$O62/$C62,"")</f>
        <v/>
      </c>
      <c r="Q62" s="21">
        <f>IF(OR($J62="",NOT(ISNUMBER($N62))),"",$J62*(1-($M62-IF($I62="",pLucro,$I62)))-$L62)</f>
        <v/>
      </c>
      <c r="R62" s="22">
        <f>IF($Q62="","",$Q62/$J62)</f>
        <v/>
      </c>
      <c r="S62" s="25">
        <f>IF($L62="","",IF(NOT(ISNUMBER($N62)),"Revisar %",IF($J62="","Sem preço atual",IF($Q62&lt;0,"PREJUÍZO",IF($J62&lt;$N62,"Abaixo do ideal","OK")))))</f>
        <v/>
      </c>
    </row>
    <row r="63" spans="1:19">
      <c r="A63" s="13"/>
      <c r="B63" s="13"/>
      <c r="C63" s="26"/>
      <c r="D63" s="19"/>
      <c r="E63" s="19"/>
      <c r="F63" s="20"/>
      <c r="G63" s="20"/>
      <c r="H63" s="20"/>
      <c r="I63" s="20"/>
      <c r="J63" s="19"/>
      <c r="K63" s="21">
        <f>IF(OR($A63="",$C63=""),"",$C63*cHora)</f>
        <v/>
      </c>
      <c r="L63" s="21">
        <f>IF($K63="","",$K63+N($D63)+N($E63))</f>
        <v/>
      </c>
      <c r="M63" s="22">
        <f>IF($L63="","",IF($F63="",pImp,$F63)+IF($G63="",pCom,$G63)+IF($H63="",pTax,$H63)+IF($I63="",pLucro,$I63))</f>
        <v/>
      </c>
      <c r="N63" s="21">
        <f>IF($L63="","",IF($M63&gt;=1,"Revisar %",$L63/(1-$M63)))</f>
        <v/>
      </c>
      <c r="O63" s="23">
        <f>IF(ISNUMBER($N63),ROUNDUP($N63,0)+IF(ROUNDUP($N63,0)-0.1&gt;=$N63,-0.1,0.9),$N63)</f>
        <v/>
      </c>
      <c r="P63" s="21">
        <f>IF(AND(ISNUMBER($O63),N($C63)&gt;0),$O63/$C63,"")</f>
        <v/>
      </c>
      <c r="Q63" s="21">
        <f>IF(OR($J63="",NOT(ISNUMBER($N63))),"",$J63*(1-($M63-IF($I63="",pLucro,$I63)))-$L63)</f>
        <v/>
      </c>
      <c r="R63" s="22">
        <f>IF($Q63="","",$Q63/$J63)</f>
        <v/>
      </c>
      <c r="S63" s="25">
        <f>IF($L63="","",IF(NOT(ISNUMBER($N63)),"Revisar %",IF($J63="","Sem preço atual",IF($Q63&lt;0,"PREJUÍZO",IF($J63&lt;$N63,"Abaixo do ideal","OK")))))</f>
        <v/>
      </c>
    </row>
    <row r="64" spans="1:19">
      <c r="A64" s="13"/>
      <c r="B64" s="13"/>
      <c r="C64" s="26"/>
      <c r="D64" s="19"/>
      <c r="E64" s="19"/>
      <c r="F64" s="20"/>
      <c r="G64" s="20"/>
      <c r="H64" s="20"/>
      <c r="I64" s="20"/>
      <c r="J64" s="19"/>
      <c r="K64" s="21">
        <f>IF(OR($A64="",$C64=""),"",$C64*cHora)</f>
        <v/>
      </c>
      <c r="L64" s="21">
        <f>IF($K64="","",$K64+N($D64)+N($E64))</f>
        <v/>
      </c>
      <c r="M64" s="22">
        <f>IF($L64="","",IF($F64="",pImp,$F64)+IF($G64="",pCom,$G64)+IF($H64="",pTax,$H64)+IF($I64="",pLucro,$I64))</f>
        <v/>
      </c>
      <c r="N64" s="21">
        <f>IF($L64="","",IF($M64&gt;=1,"Revisar %",$L64/(1-$M64)))</f>
        <v/>
      </c>
      <c r="O64" s="23">
        <f>IF(ISNUMBER($N64),ROUNDUP($N64,0)+IF(ROUNDUP($N64,0)-0.1&gt;=$N64,-0.1,0.9),$N64)</f>
        <v/>
      </c>
      <c r="P64" s="21">
        <f>IF(AND(ISNUMBER($O64),N($C64)&gt;0),$O64/$C64,"")</f>
        <v/>
      </c>
      <c r="Q64" s="21">
        <f>IF(OR($J64="",NOT(ISNUMBER($N64))),"",$J64*(1-($M64-IF($I64="",pLucro,$I64)))-$L64)</f>
        <v/>
      </c>
      <c r="R64" s="22">
        <f>IF($Q64="","",$Q64/$J64)</f>
        <v/>
      </c>
      <c r="S64" s="25">
        <f>IF($L64="","",IF(NOT(ISNUMBER($N64)),"Revisar %",IF($J64="","Sem preço atual",IF($Q64&lt;0,"PREJUÍZO",IF($J64&lt;$N64,"Abaixo do ideal","OK")))))</f>
        <v/>
      </c>
    </row>
    <row r="65" spans="1:19">
      <c r="A65" s="13"/>
      <c r="B65" s="13"/>
      <c r="C65" s="26"/>
      <c r="D65" s="19"/>
      <c r="E65" s="19"/>
      <c r="F65" s="20"/>
      <c r="G65" s="20"/>
      <c r="H65" s="20"/>
      <c r="I65" s="20"/>
      <c r="J65" s="19"/>
      <c r="K65" s="21">
        <f>IF(OR($A65="",$C65=""),"",$C65*cHora)</f>
        <v/>
      </c>
      <c r="L65" s="21">
        <f>IF($K65="","",$K65+N($D65)+N($E65))</f>
        <v/>
      </c>
      <c r="M65" s="22">
        <f>IF($L65="","",IF($F65="",pImp,$F65)+IF($G65="",pCom,$G65)+IF($H65="",pTax,$H65)+IF($I65="",pLucro,$I65))</f>
        <v/>
      </c>
      <c r="N65" s="21">
        <f>IF($L65="","",IF($M65&gt;=1,"Revisar %",$L65/(1-$M65)))</f>
        <v/>
      </c>
      <c r="O65" s="23">
        <f>IF(ISNUMBER($N65),ROUNDUP($N65,0)+IF(ROUNDUP($N65,0)-0.1&gt;=$N65,-0.1,0.9),$N65)</f>
        <v/>
      </c>
      <c r="P65" s="21">
        <f>IF(AND(ISNUMBER($O65),N($C65)&gt;0),$O65/$C65,"")</f>
        <v/>
      </c>
      <c r="Q65" s="21">
        <f>IF(OR($J65="",NOT(ISNUMBER($N65))),"",$J65*(1-($M65-IF($I65="",pLucro,$I65)))-$L65)</f>
        <v/>
      </c>
      <c r="R65" s="22">
        <f>IF($Q65="","",$Q65/$J65)</f>
        <v/>
      </c>
      <c r="S65" s="25">
        <f>IF($L65="","",IF(NOT(ISNUMBER($N65)),"Revisar %",IF($J65="","Sem preço atual",IF($Q65&lt;0,"PREJUÍZO",IF($J65&lt;$N65,"Abaixo do ideal","OK")))))</f>
        <v/>
      </c>
    </row>
    <row r="66" spans="1:19">
      <c r="A66" s="13"/>
      <c r="B66" s="13"/>
      <c r="C66" s="26"/>
      <c r="D66" s="19"/>
      <c r="E66" s="19"/>
      <c r="F66" s="20"/>
      <c r="G66" s="20"/>
      <c r="H66" s="20"/>
      <c r="I66" s="20"/>
      <c r="J66" s="19"/>
      <c r="K66" s="21">
        <f>IF(OR($A66="",$C66=""),"",$C66*cHora)</f>
        <v/>
      </c>
      <c r="L66" s="21">
        <f>IF($K66="","",$K66+N($D66)+N($E66))</f>
        <v/>
      </c>
      <c r="M66" s="22">
        <f>IF($L66="","",IF($F66="",pImp,$F66)+IF($G66="",pCom,$G66)+IF($H66="",pTax,$H66)+IF($I66="",pLucro,$I66))</f>
        <v/>
      </c>
      <c r="N66" s="21">
        <f>IF($L66="","",IF($M66&gt;=1,"Revisar %",$L66/(1-$M66)))</f>
        <v/>
      </c>
      <c r="O66" s="23">
        <f>IF(ISNUMBER($N66),ROUNDUP($N66,0)+IF(ROUNDUP($N66,0)-0.1&gt;=$N66,-0.1,0.9),$N66)</f>
        <v/>
      </c>
      <c r="P66" s="21">
        <f>IF(AND(ISNUMBER($O66),N($C66)&gt;0),$O66/$C66,"")</f>
        <v/>
      </c>
      <c r="Q66" s="21">
        <f>IF(OR($J66="",NOT(ISNUMBER($N66))),"",$J66*(1-($M66-IF($I66="",pLucro,$I66)))-$L66)</f>
        <v/>
      </c>
      <c r="R66" s="22">
        <f>IF($Q66="","",$Q66/$J66)</f>
        <v/>
      </c>
      <c r="S66" s="25">
        <f>IF($L66="","",IF(NOT(ISNUMBER($N66)),"Revisar %",IF($J66="","Sem preço atual",IF($Q66&lt;0,"PREJUÍZO",IF($J66&lt;$N66,"Abaixo do ideal","OK")))))</f>
        <v/>
      </c>
    </row>
    <row r="67" spans="1:19">
      <c r="A67" s="13"/>
      <c r="B67" s="13"/>
      <c r="C67" s="26"/>
      <c r="D67" s="19"/>
      <c r="E67" s="19"/>
      <c r="F67" s="20"/>
      <c r="G67" s="20"/>
      <c r="H67" s="20"/>
      <c r="I67" s="20"/>
      <c r="J67" s="19"/>
      <c r="K67" s="21">
        <f>IF(OR($A67="",$C67=""),"",$C67*cHora)</f>
        <v/>
      </c>
      <c r="L67" s="21">
        <f>IF($K67="","",$K67+N($D67)+N($E67))</f>
        <v/>
      </c>
      <c r="M67" s="22">
        <f>IF($L67="","",IF($F67="",pImp,$F67)+IF($G67="",pCom,$G67)+IF($H67="",pTax,$H67)+IF($I67="",pLucro,$I67))</f>
        <v/>
      </c>
      <c r="N67" s="21">
        <f>IF($L67="","",IF($M67&gt;=1,"Revisar %",$L67/(1-$M67)))</f>
        <v/>
      </c>
      <c r="O67" s="23">
        <f>IF(ISNUMBER($N67),ROUNDUP($N67,0)+IF(ROUNDUP($N67,0)-0.1&gt;=$N67,-0.1,0.9),$N67)</f>
        <v/>
      </c>
      <c r="P67" s="21">
        <f>IF(AND(ISNUMBER($O67),N($C67)&gt;0),$O67/$C67,"")</f>
        <v/>
      </c>
      <c r="Q67" s="21">
        <f>IF(OR($J67="",NOT(ISNUMBER($N67))),"",$J67*(1-($M67-IF($I67="",pLucro,$I67)))-$L67)</f>
        <v/>
      </c>
      <c r="R67" s="22">
        <f>IF($Q67="","",$Q67/$J67)</f>
        <v/>
      </c>
      <c r="S67" s="25">
        <f>IF($L67="","",IF(NOT(ISNUMBER($N67)),"Revisar %",IF($J67="","Sem preço atual",IF($Q67&lt;0,"PREJUÍZO",IF($J67&lt;$N67,"Abaixo do ideal","OK")))))</f>
        <v/>
      </c>
    </row>
    <row r="68" spans="1:19">
      <c r="A68" s="13"/>
      <c r="B68" s="13"/>
      <c r="C68" s="26"/>
      <c r="D68" s="19"/>
      <c r="E68" s="19"/>
      <c r="F68" s="20"/>
      <c r="G68" s="20"/>
      <c r="H68" s="20"/>
      <c r="I68" s="20"/>
      <c r="J68" s="19"/>
      <c r="K68" s="21">
        <f>IF(OR($A68="",$C68=""),"",$C68*cHora)</f>
        <v/>
      </c>
      <c r="L68" s="21">
        <f>IF($K68="","",$K68+N($D68)+N($E68))</f>
        <v/>
      </c>
      <c r="M68" s="22">
        <f>IF($L68="","",IF($F68="",pImp,$F68)+IF($G68="",pCom,$G68)+IF($H68="",pTax,$H68)+IF($I68="",pLucro,$I68))</f>
        <v/>
      </c>
      <c r="N68" s="21">
        <f>IF($L68="","",IF($M68&gt;=1,"Revisar %",$L68/(1-$M68)))</f>
        <v/>
      </c>
      <c r="O68" s="23">
        <f>IF(ISNUMBER($N68),ROUNDUP($N68,0)+IF(ROUNDUP($N68,0)-0.1&gt;=$N68,-0.1,0.9),$N68)</f>
        <v/>
      </c>
      <c r="P68" s="21">
        <f>IF(AND(ISNUMBER($O68),N($C68)&gt;0),$O68/$C68,"")</f>
        <v/>
      </c>
      <c r="Q68" s="21">
        <f>IF(OR($J68="",NOT(ISNUMBER($N68))),"",$J68*(1-($M68-IF($I68="",pLucro,$I68)))-$L68)</f>
        <v/>
      </c>
      <c r="R68" s="22">
        <f>IF($Q68="","",$Q68/$J68)</f>
        <v/>
      </c>
      <c r="S68" s="25">
        <f>IF($L68="","",IF(NOT(ISNUMBER($N68)),"Revisar %",IF($J68="","Sem preço atual",IF($Q68&lt;0,"PREJUÍZO",IF($J68&lt;$N68,"Abaixo do ideal","OK")))))</f>
        <v/>
      </c>
    </row>
    <row r="69" spans="1:19">
      <c r="A69" s="13"/>
      <c r="B69" s="13"/>
      <c r="C69" s="26"/>
      <c r="D69" s="19"/>
      <c r="E69" s="19"/>
      <c r="F69" s="20"/>
      <c r="G69" s="20"/>
      <c r="H69" s="20"/>
      <c r="I69" s="20"/>
      <c r="J69" s="19"/>
      <c r="K69" s="21">
        <f>IF(OR($A69="",$C69=""),"",$C69*cHora)</f>
        <v/>
      </c>
      <c r="L69" s="21">
        <f>IF($K69="","",$K69+N($D69)+N($E69))</f>
        <v/>
      </c>
      <c r="M69" s="22">
        <f>IF($L69="","",IF($F69="",pImp,$F69)+IF($G69="",pCom,$G69)+IF($H69="",pTax,$H69)+IF($I69="",pLucro,$I69))</f>
        <v/>
      </c>
      <c r="N69" s="21">
        <f>IF($L69="","",IF($M69&gt;=1,"Revisar %",$L69/(1-$M69)))</f>
        <v/>
      </c>
      <c r="O69" s="23">
        <f>IF(ISNUMBER($N69),ROUNDUP($N69,0)+IF(ROUNDUP($N69,0)-0.1&gt;=$N69,-0.1,0.9),$N69)</f>
        <v/>
      </c>
      <c r="P69" s="21">
        <f>IF(AND(ISNUMBER($O69),N($C69)&gt;0),$O69/$C69,"")</f>
        <v/>
      </c>
      <c r="Q69" s="21">
        <f>IF(OR($J69="",NOT(ISNUMBER($N69))),"",$J69*(1-($M69-IF($I69="",pLucro,$I69)))-$L69)</f>
        <v/>
      </c>
      <c r="R69" s="22">
        <f>IF($Q69="","",$Q69/$J69)</f>
        <v/>
      </c>
      <c r="S69" s="25">
        <f>IF($L69="","",IF(NOT(ISNUMBER($N69)),"Revisar %",IF($J69="","Sem preço atual",IF($Q69&lt;0,"PREJUÍZO",IF($J69&lt;$N69,"Abaixo do ideal","OK")))))</f>
        <v/>
      </c>
    </row>
    <row r="70" spans="1:19">
      <c r="A70" s="13"/>
      <c r="B70" s="13"/>
      <c r="C70" s="26"/>
      <c r="D70" s="19"/>
      <c r="E70" s="19"/>
      <c r="F70" s="20"/>
      <c r="G70" s="20"/>
      <c r="H70" s="20"/>
      <c r="I70" s="20"/>
      <c r="J70" s="19"/>
      <c r="K70" s="21">
        <f>IF(OR($A70="",$C70=""),"",$C70*cHora)</f>
        <v/>
      </c>
      <c r="L70" s="21">
        <f>IF($K70="","",$K70+N($D70)+N($E70))</f>
        <v/>
      </c>
      <c r="M70" s="22">
        <f>IF($L70="","",IF($F70="",pImp,$F70)+IF($G70="",pCom,$G70)+IF($H70="",pTax,$H70)+IF($I70="",pLucro,$I70))</f>
        <v/>
      </c>
      <c r="N70" s="21">
        <f>IF($L70="","",IF($M70&gt;=1,"Revisar %",$L70/(1-$M70)))</f>
        <v/>
      </c>
      <c r="O70" s="23">
        <f>IF(ISNUMBER($N70),ROUNDUP($N70,0)+IF(ROUNDUP($N70,0)-0.1&gt;=$N70,-0.1,0.9),$N70)</f>
        <v/>
      </c>
      <c r="P70" s="21">
        <f>IF(AND(ISNUMBER($O70),N($C70)&gt;0),$O70/$C70,"")</f>
        <v/>
      </c>
      <c r="Q70" s="21">
        <f>IF(OR($J70="",NOT(ISNUMBER($N70))),"",$J70*(1-($M70-IF($I70="",pLucro,$I70)))-$L70)</f>
        <v/>
      </c>
      <c r="R70" s="22">
        <f>IF($Q70="","",$Q70/$J70)</f>
        <v/>
      </c>
      <c r="S70" s="25">
        <f>IF($L70="","",IF(NOT(ISNUMBER($N70)),"Revisar %",IF($J70="","Sem preço atual",IF($Q70&lt;0,"PREJUÍZO",IF($J70&lt;$N70,"Abaixo do ideal","OK")))))</f>
        <v/>
      </c>
    </row>
    <row r="71" spans="1:19">
      <c r="A71" s="13"/>
      <c r="B71" s="13"/>
      <c r="C71" s="26"/>
      <c r="D71" s="19"/>
      <c r="E71" s="19"/>
      <c r="F71" s="20"/>
      <c r="G71" s="20"/>
      <c r="H71" s="20"/>
      <c r="I71" s="20"/>
      <c r="J71" s="19"/>
      <c r="K71" s="21">
        <f>IF(OR($A71="",$C71=""),"",$C71*cHora)</f>
        <v/>
      </c>
      <c r="L71" s="21">
        <f>IF($K71="","",$K71+N($D71)+N($E71))</f>
        <v/>
      </c>
      <c r="M71" s="22">
        <f>IF($L71="","",IF($F71="",pImp,$F71)+IF($G71="",pCom,$G71)+IF($H71="",pTax,$H71)+IF($I71="",pLucro,$I71))</f>
        <v/>
      </c>
      <c r="N71" s="21">
        <f>IF($L71="","",IF($M71&gt;=1,"Revisar %",$L71/(1-$M71)))</f>
        <v/>
      </c>
      <c r="O71" s="23">
        <f>IF(ISNUMBER($N71),ROUNDUP($N71,0)+IF(ROUNDUP($N71,0)-0.1&gt;=$N71,-0.1,0.9),$N71)</f>
        <v/>
      </c>
      <c r="P71" s="21">
        <f>IF(AND(ISNUMBER($O71),N($C71)&gt;0),$O71/$C71,"")</f>
        <v/>
      </c>
      <c r="Q71" s="21">
        <f>IF(OR($J71="",NOT(ISNUMBER($N71))),"",$J71*(1-($M71-IF($I71="",pLucro,$I71)))-$L71)</f>
        <v/>
      </c>
      <c r="R71" s="22">
        <f>IF($Q71="","",$Q71/$J71)</f>
        <v/>
      </c>
      <c r="S71" s="25">
        <f>IF($L71="","",IF(NOT(ISNUMBER($N71)),"Revisar %",IF($J71="","Sem preço atual",IF($Q71&lt;0,"PREJUÍZO",IF($J71&lt;$N71,"Abaixo do ideal","OK")))))</f>
        <v/>
      </c>
    </row>
    <row r="72" spans="1:19">
      <c r="A72" s="13"/>
      <c r="B72" s="13"/>
      <c r="C72" s="26"/>
      <c r="D72" s="19"/>
      <c r="E72" s="19"/>
      <c r="F72" s="20"/>
      <c r="G72" s="20"/>
      <c r="H72" s="20"/>
      <c r="I72" s="20"/>
      <c r="J72" s="19"/>
      <c r="K72" s="21">
        <f>IF(OR($A72="",$C72=""),"",$C72*cHora)</f>
        <v/>
      </c>
      <c r="L72" s="21">
        <f>IF($K72="","",$K72+N($D72)+N($E72))</f>
        <v/>
      </c>
      <c r="M72" s="22">
        <f>IF($L72="","",IF($F72="",pImp,$F72)+IF($G72="",pCom,$G72)+IF($H72="",pTax,$H72)+IF($I72="",pLucro,$I72))</f>
        <v/>
      </c>
      <c r="N72" s="21">
        <f>IF($L72="","",IF($M72&gt;=1,"Revisar %",$L72/(1-$M72)))</f>
        <v/>
      </c>
      <c r="O72" s="23">
        <f>IF(ISNUMBER($N72),ROUNDUP($N72,0)+IF(ROUNDUP($N72,0)-0.1&gt;=$N72,-0.1,0.9),$N72)</f>
        <v/>
      </c>
      <c r="P72" s="21">
        <f>IF(AND(ISNUMBER($O72),N($C72)&gt;0),$O72/$C72,"")</f>
        <v/>
      </c>
      <c r="Q72" s="21">
        <f>IF(OR($J72="",NOT(ISNUMBER($N72))),"",$J72*(1-($M72-IF($I72="",pLucro,$I72)))-$L72)</f>
        <v/>
      </c>
      <c r="R72" s="22">
        <f>IF($Q72="","",$Q72/$J72)</f>
        <v/>
      </c>
      <c r="S72" s="25">
        <f>IF($L72="","",IF(NOT(ISNUMBER($N72)),"Revisar %",IF($J72="","Sem preço atual",IF($Q72&lt;0,"PREJUÍZO",IF($J72&lt;$N72,"Abaixo do ideal","OK")))))</f>
        <v/>
      </c>
    </row>
    <row r="73" spans="1:19">
      <c r="A73" s="13"/>
      <c r="B73" s="13"/>
      <c r="C73" s="26"/>
      <c r="D73" s="19"/>
      <c r="E73" s="19"/>
      <c r="F73" s="20"/>
      <c r="G73" s="20"/>
      <c r="H73" s="20"/>
      <c r="I73" s="20"/>
      <c r="J73" s="19"/>
      <c r="K73" s="21">
        <f>IF(OR($A73="",$C73=""),"",$C73*cHora)</f>
        <v/>
      </c>
      <c r="L73" s="21">
        <f>IF($K73="","",$K73+N($D73)+N($E73))</f>
        <v/>
      </c>
      <c r="M73" s="22">
        <f>IF($L73="","",IF($F73="",pImp,$F73)+IF($G73="",pCom,$G73)+IF($H73="",pTax,$H73)+IF($I73="",pLucro,$I73))</f>
        <v/>
      </c>
      <c r="N73" s="21">
        <f>IF($L73="","",IF($M73&gt;=1,"Revisar %",$L73/(1-$M73)))</f>
        <v/>
      </c>
      <c r="O73" s="23">
        <f>IF(ISNUMBER($N73),ROUNDUP($N73,0)+IF(ROUNDUP($N73,0)-0.1&gt;=$N73,-0.1,0.9),$N73)</f>
        <v/>
      </c>
      <c r="P73" s="21">
        <f>IF(AND(ISNUMBER($O73),N($C73)&gt;0),$O73/$C73,"")</f>
        <v/>
      </c>
      <c r="Q73" s="21">
        <f>IF(OR($J73="",NOT(ISNUMBER($N73))),"",$J73*(1-($M73-IF($I73="",pLucro,$I73)))-$L73)</f>
        <v/>
      </c>
      <c r="R73" s="22">
        <f>IF($Q73="","",$Q73/$J73)</f>
        <v/>
      </c>
      <c r="S73" s="25">
        <f>IF($L73="","",IF(NOT(ISNUMBER($N73)),"Revisar %",IF($J73="","Sem preço atual",IF($Q73&lt;0,"PREJUÍZO",IF($J73&lt;$N73,"Abaixo do ideal","OK")))))</f>
        <v/>
      </c>
    </row>
    <row r="74" spans="1:19">
      <c r="A74" s="13"/>
      <c r="B74" s="13"/>
      <c r="C74" s="26"/>
      <c r="D74" s="19"/>
      <c r="E74" s="19"/>
      <c r="F74" s="20"/>
      <c r="G74" s="20"/>
      <c r="H74" s="20"/>
      <c r="I74" s="20"/>
      <c r="J74" s="19"/>
      <c r="K74" s="21">
        <f>IF(OR($A74="",$C74=""),"",$C74*cHora)</f>
        <v/>
      </c>
      <c r="L74" s="21">
        <f>IF($K74="","",$K74+N($D74)+N($E74))</f>
        <v/>
      </c>
      <c r="M74" s="22">
        <f>IF($L74="","",IF($F74="",pImp,$F74)+IF($G74="",pCom,$G74)+IF($H74="",pTax,$H74)+IF($I74="",pLucro,$I74))</f>
        <v/>
      </c>
      <c r="N74" s="21">
        <f>IF($L74="","",IF($M74&gt;=1,"Revisar %",$L74/(1-$M74)))</f>
        <v/>
      </c>
      <c r="O74" s="23">
        <f>IF(ISNUMBER($N74),ROUNDUP($N74,0)+IF(ROUNDUP($N74,0)-0.1&gt;=$N74,-0.1,0.9),$N74)</f>
        <v/>
      </c>
      <c r="P74" s="21">
        <f>IF(AND(ISNUMBER($O74),N($C74)&gt;0),$O74/$C74,"")</f>
        <v/>
      </c>
      <c r="Q74" s="21">
        <f>IF(OR($J74="",NOT(ISNUMBER($N74))),"",$J74*(1-($M74-IF($I74="",pLucro,$I74)))-$L74)</f>
        <v/>
      </c>
      <c r="R74" s="22">
        <f>IF($Q74="","",$Q74/$J74)</f>
        <v/>
      </c>
      <c r="S74" s="25">
        <f>IF($L74="","",IF(NOT(ISNUMBER($N74)),"Revisar %",IF($J74="","Sem preço atual",IF($Q74&lt;0,"PREJUÍZO",IF($J74&lt;$N74,"Abaixo do ideal","OK")))))</f>
        <v/>
      </c>
    </row>
    <row r="75" spans="1:19">
      <c r="A75" s="13"/>
      <c r="B75" s="13"/>
      <c r="C75" s="26"/>
      <c r="D75" s="19"/>
      <c r="E75" s="19"/>
      <c r="F75" s="20"/>
      <c r="G75" s="20"/>
      <c r="H75" s="20"/>
      <c r="I75" s="20"/>
      <c r="J75" s="19"/>
      <c r="K75" s="21">
        <f>IF(OR($A75="",$C75=""),"",$C75*cHora)</f>
        <v/>
      </c>
      <c r="L75" s="21">
        <f>IF($K75="","",$K75+N($D75)+N($E75))</f>
        <v/>
      </c>
      <c r="M75" s="22">
        <f>IF($L75="","",IF($F75="",pImp,$F75)+IF($G75="",pCom,$G75)+IF($H75="",pTax,$H75)+IF($I75="",pLucro,$I75))</f>
        <v/>
      </c>
      <c r="N75" s="21">
        <f>IF($L75="","",IF($M75&gt;=1,"Revisar %",$L75/(1-$M75)))</f>
        <v/>
      </c>
      <c r="O75" s="23">
        <f>IF(ISNUMBER($N75),ROUNDUP($N75,0)+IF(ROUNDUP($N75,0)-0.1&gt;=$N75,-0.1,0.9),$N75)</f>
        <v/>
      </c>
      <c r="P75" s="21">
        <f>IF(AND(ISNUMBER($O75),N($C75)&gt;0),$O75/$C75,"")</f>
        <v/>
      </c>
      <c r="Q75" s="21">
        <f>IF(OR($J75="",NOT(ISNUMBER($N75))),"",$J75*(1-($M75-IF($I75="",pLucro,$I75)))-$L75)</f>
        <v/>
      </c>
      <c r="R75" s="22">
        <f>IF($Q75="","",$Q75/$J75)</f>
        <v/>
      </c>
      <c r="S75" s="25">
        <f>IF($L75="","",IF(NOT(ISNUMBER($N75)),"Revisar %",IF($J75="","Sem preço atual",IF($Q75&lt;0,"PREJUÍZO",IF($J75&lt;$N75,"Abaixo do ideal","OK")))))</f>
        <v/>
      </c>
    </row>
    <row r="76" spans="1:19">
      <c r="A76" s="13"/>
      <c r="B76" s="13"/>
      <c r="C76" s="26"/>
      <c r="D76" s="19"/>
      <c r="E76" s="19"/>
      <c r="F76" s="20"/>
      <c r="G76" s="20"/>
      <c r="H76" s="20"/>
      <c r="I76" s="20"/>
      <c r="J76" s="19"/>
      <c r="K76" s="21">
        <f>IF(OR($A76="",$C76=""),"",$C76*cHora)</f>
        <v/>
      </c>
      <c r="L76" s="21">
        <f>IF($K76="","",$K76+N($D76)+N($E76))</f>
        <v/>
      </c>
      <c r="M76" s="22">
        <f>IF($L76="","",IF($F76="",pImp,$F76)+IF($G76="",pCom,$G76)+IF($H76="",pTax,$H76)+IF($I76="",pLucro,$I76))</f>
        <v/>
      </c>
      <c r="N76" s="21">
        <f>IF($L76="","",IF($M76&gt;=1,"Revisar %",$L76/(1-$M76)))</f>
        <v/>
      </c>
      <c r="O76" s="23">
        <f>IF(ISNUMBER($N76),ROUNDUP($N76,0)+IF(ROUNDUP($N76,0)-0.1&gt;=$N76,-0.1,0.9),$N76)</f>
        <v/>
      </c>
      <c r="P76" s="21">
        <f>IF(AND(ISNUMBER($O76),N($C76)&gt;0),$O76/$C76,"")</f>
        <v/>
      </c>
      <c r="Q76" s="21">
        <f>IF(OR($J76="",NOT(ISNUMBER($N76))),"",$J76*(1-($M76-IF($I76="",pLucro,$I76)))-$L76)</f>
        <v/>
      </c>
      <c r="R76" s="22">
        <f>IF($Q76="","",$Q76/$J76)</f>
        <v/>
      </c>
      <c r="S76" s="25">
        <f>IF($L76="","",IF(NOT(ISNUMBER($N76)),"Revisar %",IF($J76="","Sem preço atual",IF($Q76&lt;0,"PREJUÍZO",IF($J76&lt;$N76,"Abaixo do ideal","OK")))))</f>
        <v/>
      </c>
    </row>
    <row r="77" spans="1:19">
      <c r="A77" s="13"/>
      <c r="B77" s="13"/>
      <c r="C77" s="26"/>
      <c r="D77" s="19"/>
      <c r="E77" s="19"/>
      <c r="F77" s="20"/>
      <c r="G77" s="20"/>
      <c r="H77" s="20"/>
      <c r="I77" s="20"/>
      <c r="J77" s="19"/>
      <c r="K77" s="21">
        <f>IF(OR($A77="",$C77=""),"",$C77*cHora)</f>
        <v/>
      </c>
      <c r="L77" s="21">
        <f>IF($K77="","",$K77+N($D77)+N($E77))</f>
        <v/>
      </c>
      <c r="M77" s="22">
        <f>IF($L77="","",IF($F77="",pImp,$F77)+IF($G77="",pCom,$G77)+IF($H77="",pTax,$H77)+IF($I77="",pLucro,$I77))</f>
        <v/>
      </c>
      <c r="N77" s="21">
        <f>IF($L77="","",IF($M77&gt;=1,"Revisar %",$L77/(1-$M77)))</f>
        <v/>
      </c>
      <c r="O77" s="23">
        <f>IF(ISNUMBER($N77),ROUNDUP($N77,0)+IF(ROUNDUP($N77,0)-0.1&gt;=$N77,-0.1,0.9),$N77)</f>
        <v/>
      </c>
      <c r="P77" s="21">
        <f>IF(AND(ISNUMBER($O77),N($C77)&gt;0),$O77/$C77,"")</f>
        <v/>
      </c>
      <c r="Q77" s="21">
        <f>IF(OR($J77="",NOT(ISNUMBER($N77))),"",$J77*(1-($M77-IF($I77="",pLucro,$I77)))-$L77)</f>
        <v/>
      </c>
      <c r="R77" s="22">
        <f>IF($Q77="","",$Q77/$J77)</f>
        <v/>
      </c>
      <c r="S77" s="25">
        <f>IF($L77="","",IF(NOT(ISNUMBER($N77)),"Revisar %",IF($J77="","Sem preço atual",IF($Q77&lt;0,"PREJUÍZO",IF($J77&lt;$N77,"Abaixo do ideal","OK")))))</f>
        <v/>
      </c>
    </row>
    <row r="78" spans="1:19">
      <c r="A78" s="13"/>
      <c r="B78" s="13"/>
      <c r="C78" s="26"/>
      <c r="D78" s="19"/>
      <c r="E78" s="19"/>
      <c r="F78" s="20"/>
      <c r="G78" s="20"/>
      <c r="H78" s="20"/>
      <c r="I78" s="20"/>
      <c r="J78" s="19"/>
      <c r="K78" s="21">
        <f>IF(OR($A78="",$C78=""),"",$C78*cHora)</f>
        <v/>
      </c>
      <c r="L78" s="21">
        <f>IF($K78="","",$K78+N($D78)+N($E78))</f>
        <v/>
      </c>
      <c r="M78" s="22">
        <f>IF($L78="","",IF($F78="",pImp,$F78)+IF($G78="",pCom,$G78)+IF($H78="",pTax,$H78)+IF($I78="",pLucro,$I78))</f>
        <v/>
      </c>
      <c r="N78" s="21">
        <f>IF($L78="","",IF($M78&gt;=1,"Revisar %",$L78/(1-$M78)))</f>
        <v/>
      </c>
      <c r="O78" s="23">
        <f>IF(ISNUMBER($N78),ROUNDUP($N78,0)+IF(ROUNDUP($N78,0)-0.1&gt;=$N78,-0.1,0.9),$N78)</f>
        <v/>
      </c>
      <c r="P78" s="21">
        <f>IF(AND(ISNUMBER($O78),N($C78)&gt;0),$O78/$C78,"")</f>
        <v/>
      </c>
      <c r="Q78" s="21">
        <f>IF(OR($J78="",NOT(ISNUMBER($N78))),"",$J78*(1-($M78-IF($I78="",pLucro,$I78)))-$L78)</f>
        <v/>
      </c>
      <c r="R78" s="22">
        <f>IF($Q78="","",$Q78/$J78)</f>
        <v/>
      </c>
      <c r="S78" s="25">
        <f>IF($L78="","",IF(NOT(ISNUMBER($N78)),"Revisar %",IF($J78="","Sem preço atual",IF($Q78&lt;0,"PREJUÍZO",IF($J78&lt;$N78,"Abaixo do ideal","OK")))))</f>
        <v/>
      </c>
    </row>
    <row r="79" spans="1:19">
      <c r="A79" s="13"/>
      <c r="B79" s="13"/>
      <c r="C79" s="26"/>
      <c r="D79" s="19"/>
      <c r="E79" s="19"/>
      <c r="F79" s="20"/>
      <c r="G79" s="20"/>
      <c r="H79" s="20"/>
      <c r="I79" s="20"/>
      <c r="J79" s="19"/>
      <c r="K79" s="21">
        <f>IF(OR($A79="",$C79=""),"",$C79*cHora)</f>
        <v/>
      </c>
      <c r="L79" s="21">
        <f>IF($K79="","",$K79+N($D79)+N($E79))</f>
        <v/>
      </c>
      <c r="M79" s="22">
        <f>IF($L79="","",IF($F79="",pImp,$F79)+IF($G79="",pCom,$G79)+IF($H79="",pTax,$H79)+IF($I79="",pLucro,$I79))</f>
        <v/>
      </c>
      <c r="N79" s="21">
        <f>IF($L79="","",IF($M79&gt;=1,"Revisar %",$L79/(1-$M79)))</f>
        <v/>
      </c>
      <c r="O79" s="23">
        <f>IF(ISNUMBER($N79),ROUNDUP($N79,0)+IF(ROUNDUP($N79,0)-0.1&gt;=$N79,-0.1,0.9),$N79)</f>
        <v/>
      </c>
      <c r="P79" s="21">
        <f>IF(AND(ISNUMBER($O79),N($C79)&gt;0),$O79/$C79,"")</f>
        <v/>
      </c>
      <c r="Q79" s="21">
        <f>IF(OR($J79="",NOT(ISNUMBER($N79))),"",$J79*(1-($M79-IF($I79="",pLucro,$I79)))-$L79)</f>
        <v/>
      </c>
      <c r="R79" s="22">
        <f>IF($Q79="","",$Q79/$J79)</f>
        <v/>
      </c>
      <c r="S79" s="25">
        <f>IF($L79="","",IF(NOT(ISNUMBER($N79)),"Revisar %",IF($J79="","Sem preço atual",IF($Q79&lt;0,"PREJUÍZO",IF($J79&lt;$N79,"Abaixo do ideal","OK")))))</f>
        <v/>
      </c>
    </row>
    <row r="80" spans="1:19">
      <c r="A80" s="13"/>
      <c r="B80" s="13"/>
      <c r="C80" s="26"/>
      <c r="D80" s="19"/>
      <c r="E80" s="19"/>
      <c r="F80" s="20"/>
      <c r="G80" s="20"/>
      <c r="H80" s="20"/>
      <c r="I80" s="20"/>
      <c r="J80" s="19"/>
      <c r="K80" s="21">
        <f>IF(OR($A80="",$C80=""),"",$C80*cHora)</f>
        <v/>
      </c>
      <c r="L80" s="21">
        <f>IF($K80="","",$K80+N($D80)+N($E80))</f>
        <v/>
      </c>
      <c r="M80" s="22">
        <f>IF($L80="","",IF($F80="",pImp,$F80)+IF($G80="",pCom,$G80)+IF($H80="",pTax,$H80)+IF($I80="",pLucro,$I80))</f>
        <v/>
      </c>
      <c r="N80" s="21">
        <f>IF($L80="","",IF($M80&gt;=1,"Revisar %",$L80/(1-$M80)))</f>
        <v/>
      </c>
      <c r="O80" s="23">
        <f>IF(ISNUMBER($N80),ROUNDUP($N80,0)+IF(ROUNDUP($N80,0)-0.1&gt;=$N80,-0.1,0.9),$N80)</f>
        <v/>
      </c>
      <c r="P80" s="21">
        <f>IF(AND(ISNUMBER($O80),N($C80)&gt;0),$O80/$C80,"")</f>
        <v/>
      </c>
      <c r="Q80" s="21">
        <f>IF(OR($J80="",NOT(ISNUMBER($N80))),"",$J80*(1-($M80-IF($I80="",pLucro,$I80)))-$L80)</f>
        <v/>
      </c>
      <c r="R80" s="22">
        <f>IF($Q80="","",$Q80/$J80)</f>
        <v/>
      </c>
      <c r="S80" s="25">
        <f>IF($L80="","",IF(NOT(ISNUMBER($N80)),"Revisar %",IF($J80="","Sem preço atual",IF($Q80&lt;0,"PREJUÍZO",IF($J80&lt;$N80,"Abaixo do ideal","OK")))))</f>
        <v/>
      </c>
    </row>
    <row r="81" spans="1:19">
      <c r="A81" s="13"/>
      <c r="B81" s="13"/>
      <c r="C81" s="26"/>
      <c r="D81" s="19"/>
      <c r="E81" s="19"/>
      <c r="F81" s="20"/>
      <c r="G81" s="20"/>
      <c r="H81" s="20"/>
      <c r="I81" s="20"/>
      <c r="J81" s="19"/>
      <c r="K81" s="21">
        <f>IF(OR($A81="",$C81=""),"",$C81*cHora)</f>
        <v/>
      </c>
      <c r="L81" s="21">
        <f>IF($K81="","",$K81+N($D81)+N($E81))</f>
        <v/>
      </c>
      <c r="M81" s="22">
        <f>IF($L81="","",IF($F81="",pImp,$F81)+IF($G81="",pCom,$G81)+IF($H81="",pTax,$H81)+IF($I81="",pLucro,$I81))</f>
        <v/>
      </c>
      <c r="N81" s="21">
        <f>IF($L81="","",IF($M81&gt;=1,"Revisar %",$L81/(1-$M81)))</f>
        <v/>
      </c>
      <c r="O81" s="23">
        <f>IF(ISNUMBER($N81),ROUNDUP($N81,0)+IF(ROUNDUP($N81,0)-0.1&gt;=$N81,-0.1,0.9),$N81)</f>
        <v/>
      </c>
      <c r="P81" s="21">
        <f>IF(AND(ISNUMBER($O81),N($C81)&gt;0),$O81/$C81,"")</f>
        <v/>
      </c>
      <c r="Q81" s="21">
        <f>IF(OR($J81="",NOT(ISNUMBER($N81))),"",$J81*(1-($M81-IF($I81="",pLucro,$I81)))-$L81)</f>
        <v/>
      </c>
      <c r="R81" s="22">
        <f>IF($Q81="","",$Q81/$J81)</f>
        <v/>
      </c>
      <c r="S81" s="25">
        <f>IF($L81="","",IF(NOT(ISNUMBER($N81)),"Revisar %",IF($J81="","Sem preço atual",IF($Q81&lt;0,"PREJUÍZO",IF($J81&lt;$N81,"Abaixo do ideal","OK")))))</f>
        <v/>
      </c>
    </row>
    <row r="82" spans="1:19">
      <c r="A82" s="13"/>
      <c r="B82" s="13"/>
      <c r="C82" s="26"/>
      <c r="D82" s="19"/>
      <c r="E82" s="19"/>
      <c r="F82" s="20"/>
      <c r="G82" s="20"/>
      <c r="H82" s="20"/>
      <c r="I82" s="20"/>
      <c r="J82" s="19"/>
      <c r="K82" s="21">
        <f>IF(OR($A82="",$C82=""),"",$C82*cHora)</f>
        <v/>
      </c>
      <c r="L82" s="21">
        <f>IF($K82="","",$K82+N($D82)+N($E82))</f>
        <v/>
      </c>
      <c r="M82" s="22">
        <f>IF($L82="","",IF($F82="",pImp,$F82)+IF($G82="",pCom,$G82)+IF($H82="",pTax,$H82)+IF($I82="",pLucro,$I82))</f>
        <v/>
      </c>
      <c r="N82" s="21">
        <f>IF($L82="","",IF($M82&gt;=1,"Revisar %",$L82/(1-$M82)))</f>
        <v/>
      </c>
      <c r="O82" s="23">
        <f>IF(ISNUMBER($N82),ROUNDUP($N82,0)+IF(ROUNDUP($N82,0)-0.1&gt;=$N82,-0.1,0.9),$N82)</f>
        <v/>
      </c>
      <c r="P82" s="21">
        <f>IF(AND(ISNUMBER($O82),N($C82)&gt;0),$O82/$C82,"")</f>
        <v/>
      </c>
      <c r="Q82" s="21">
        <f>IF(OR($J82="",NOT(ISNUMBER($N82))),"",$J82*(1-($M82-IF($I82="",pLucro,$I82)))-$L82)</f>
        <v/>
      </c>
      <c r="R82" s="22">
        <f>IF($Q82="","",$Q82/$J82)</f>
        <v/>
      </c>
      <c r="S82" s="25">
        <f>IF($L82="","",IF(NOT(ISNUMBER($N82)),"Revisar %",IF($J82="","Sem preço atual",IF($Q82&lt;0,"PREJUÍZO",IF($J82&lt;$N82,"Abaixo do ideal","OK")))))</f>
        <v/>
      </c>
    </row>
    <row r="83" spans="1:19">
      <c r="A83" s="13"/>
      <c r="B83" s="13"/>
      <c r="C83" s="26"/>
      <c r="D83" s="19"/>
      <c r="E83" s="19"/>
      <c r="F83" s="20"/>
      <c r="G83" s="20"/>
      <c r="H83" s="20"/>
      <c r="I83" s="20"/>
      <c r="J83" s="19"/>
      <c r="K83" s="21">
        <f>IF(OR($A83="",$C83=""),"",$C83*cHora)</f>
        <v/>
      </c>
      <c r="L83" s="21">
        <f>IF($K83="","",$K83+N($D83)+N($E83))</f>
        <v/>
      </c>
      <c r="M83" s="22">
        <f>IF($L83="","",IF($F83="",pImp,$F83)+IF($G83="",pCom,$G83)+IF($H83="",pTax,$H83)+IF($I83="",pLucro,$I83))</f>
        <v/>
      </c>
      <c r="N83" s="21">
        <f>IF($L83="","",IF($M83&gt;=1,"Revisar %",$L83/(1-$M83)))</f>
        <v/>
      </c>
      <c r="O83" s="23">
        <f>IF(ISNUMBER($N83),ROUNDUP($N83,0)+IF(ROUNDUP($N83,0)-0.1&gt;=$N83,-0.1,0.9),$N83)</f>
        <v/>
      </c>
      <c r="P83" s="21">
        <f>IF(AND(ISNUMBER($O83),N($C83)&gt;0),$O83/$C83,"")</f>
        <v/>
      </c>
      <c r="Q83" s="21">
        <f>IF(OR($J83="",NOT(ISNUMBER($N83))),"",$J83*(1-($M83-IF($I83="",pLucro,$I83)))-$L83)</f>
        <v/>
      </c>
      <c r="R83" s="22">
        <f>IF($Q83="","",$Q83/$J83)</f>
        <v/>
      </c>
      <c r="S83" s="25">
        <f>IF($L83="","",IF(NOT(ISNUMBER($N83)),"Revisar %",IF($J83="","Sem preço atual",IF($Q83&lt;0,"PREJUÍZO",IF($J83&lt;$N83,"Abaixo do ideal","OK")))))</f>
        <v/>
      </c>
    </row>
    <row r="84" spans="1:19">
      <c r="A84" s="13"/>
      <c r="B84" s="13"/>
      <c r="C84" s="26"/>
      <c r="D84" s="19"/>
      <c r="E84" s="19"/>
      <c r="F84" s="20"/>
      <c r="G84" s="20"/>
      <c r="H84" s="20"/>
      <c r="I84" s="20"/>
      <c r="J84" s="19"/>
      <c r="K84" s="21">
        <f>IF(OR($A84="",$C84=""),"",$C84*cHora)</f>
        <v/>
      </c>
      <c r="L84" s="21">
        <f>IF($K84="","",$K84+N($D84)+N($E84))</f>
        <v/>
      </c>
      <c r="M84" s="22">
        <f>IF($L84="","",IF($F84="",pImp,$F84)+IF($G84="",pCom,$G84)+IF($H84="",pTax,$H84)+IF($I84="",pLucro,$I84))</f>
        <v/>
      </c>
      <c r="N84" s="21">
        <f>IF($L84="","",IF($M84&gt;=1,"Revisar %",$L84/(1-$M84)))</f>
        <v/>
      </c>
      <c r="O84" s="23">
        <f>IF(ISNUMBER($N84),ROUNDUP($N84,0)+IF(ROUNDUP($N84,0)-0.1&gt;=$N84,-0.1,0.9),$N84)</f>
        <v/>
      </c>
      <c r="P84" s="21">
        <f>IF(AND(ISNUMBER($O84),N($C84)&gt;0),$O84/$C84,"")</f>
        <v/>
      </c>
      <c r="Q84" s="21">
        <f>IF(OR($J84="",NOT(ISNUMBER($N84))),"",$J84*(1-($M84-IF($I84="",pLucro,$I84)))-$L84)</f>
        <v/>
      </c>
      <c r="R84" s="22">
        <f>IF($Q84="","",$Q84/$J84)</f>
        <v/>
      </c>
      <c r="S84" s="25">
        <f>IF($L84="","",IF(NOT(ISNUMBER($N84)),"Revisar %",IF($J84="","Sem preço atual",IF($Q84&lt;0,"PREJUÍZO",IF($J84&lt;$N84,"Abaixo do ideal","OK")))))</f>
        <v/>
      </c>
    </row>
    <row r="85" spans="1:19">
      <c r="A85" s="13"/>
      <c r="B85" s="13"/>
      <c r="C85" s="26"/>
      <c r="D85" s="19"/>
      <c r="E85" s="19"/>
      <c r="F85" s="20"/>
      <c r="G85" s="20"/>
      <c r="H85" s="20"/>
      <c r="I85" s="20"/>
      <c r="J85" s="19"/>
      <c r="K85" s="21">
        <f>IF(OR($A85="",$C85=""),"",$C85*cHora)</f>
        <v/>
      </c>
      <c r="L85" s="21">
        <f>IF($K85="","",$K85+N($D85)+N($E85))</f>
        <v/>
      </c>
      <c r="M85" s="22">
        <f>IF($L85="","",IF($F85="",pImp,$F85)+IF($G85="",pCom,$G85)+IF($H85="",pTax,$H85)+IF($I85="",pLucro,$I85))</f>
        <v/>
      </c>
      <c r="N85" s="21">
        <f>IF($L85="","",IF($M85&gt;=1,"Revisar %",$L85/(1-$M85)))</f>
        <v/>
      </c>
      <c r="O85" s="23">
        <f>IF(ISNUMBER($N85),ROUNDUP($N85,0)+IF(ROUNDUP($N85,0)-0.1&gt;=$N85,-0.1,0.9),$N85)</f>
        <v/>
      </c>
      <c r="P85" s="21">
        <f>IF(AND(ISNUMBER($O85),N($C85)&gt;0),$O85/$C85,"")</f>
        <v/>
      </c>
      <c r="Q85" s="21">
        <f>IF(OR($J85="",NOT(ISNUMBER($N85))),"",$J85*(1-($M85-IF($I85="",pLucro,$I85)))-$L85)</f>
        <v/>
      </c>
      <c r="R85" s="22">
        <f>IF($Q85="","",$Q85/$J85)</f>
        <v/>
      </c>
      <c r="S85" s="25">
        <f>IF($L85="","",IF(NOT(ISNUMBER($N85)),"Revisar %",IF($J85="","Sem preço atual",IF($Q85&lt;0,"PREJUÍZO",IF($J85&lt;$N85,"Abaixo do ideal","OK")))))</f>
        <v/>
      </c>
    </row>
    <row r="86" spans="1:19">
      <c r="A86" s="13"/>
      <c r="B86" s="13"/>
      <c r="C86" s="26"/>
      <c r="D86" s="19"/>
      <c r="E86" s="19"/>
      <c r="F86" s="20"/>
      <c r="G86" s="20"/>
      <c r="H86" s="20"/>
      <c r="I86" s="20"/>
      <c r="J86" s="19"/>
      <c r="K86" s="21">
        <f>IF(OR($A86="",$C86=""),"",$C86*cHora)</f>
        <v/>
      </c>
      <c r="L86" s="21">
        <f>IF($K86="","",$K86+N($D86)+N($E86))</f>
        <v/>
      </c>
      <c r="M86" s="22">
        <f>IF($L86="","",IF($F86="",pImp,$F86)+IF($G86="",pCom,$G86)+IF($H86="",pTax,$H86)+IF($I86="",pLucro,$I86))</f>
        <v/>
      </c>
      <c r="N86" s="21">
        <f>IF($L86="","",IF($M86&gt;=1,"Revisar %",$L86/(1-$M86)))</f>
        <v/>
      </c>
      <c r="O86" s="23">
        <f>IF(ISNUMBER($N86),ROUNDUP($N86,0)+IF(ROUNDUP($N86,0)-0.1&gt;=$N86,-0.1,0.9),$N86)</f>
        <v/>
      </c>
      <c r="P86" s="21">
        <f>IF(AND(ISNUMBER($O86),N($C86)&gt;0),$O86/$C86,"")</f>
        <v/>
      </c>
      <c r="Q86" s="21">
        <f>IF(OR($J86="",NOT(ISNUMBER($N86))),"",$J86*(1-($M86-IF($I86="",pLucro,$I86)))-$L86)</f>
        <v/>
      </c>
      <c r="R86" s="22">
        <f>IF($Q86="","",$Q86/$J86)</f>
        <v/>
      </c>
      <c r="S86" s="25">
        <f>IF($L86="","",IF(NOT(ISNUMBER($N86)),"Revisar %",IF($J86="","Sem preço atual",IF($Q86&lt;0,"PREJUÍZO",IF($J86&lt;$N86,"Abaixo do ideal","OK")))))</f>
        <v/>
      </c>
    </row>
    <row r="87" spans="1:19">
      <c r="A87" s="13"/>
      <c r="B87" s="13"/>
      <c r="C87" s="26"/>
      <c r="D87" s="19"/>
      <c r="E87" s="19"/>
      <c r="F87" s="20"/>
      <c r="G87" s="20"/>
      <c r="H87" s="20"/>
      <c r="I87" s="20"/>
      <c r="J87" s="19"/>
      <c r="K87" s="21">
        <f>IF(OR($A87="",$C87=""),"",$C87*cHora)</f>
        <v/>
      </c>
      <c r="L87" s="21">
        <f>IF($K87="","",$K87+N($D87)+N($E87))</f>
        <v/>
      </c>
      <c r="M87" s="22">
        <f>IF($L87="","",IF($F87="",pImp,$F87)+IF($G87="",pCom,$G87)+IF($H87="",pTax,$H87)+IF($I87="",pLucro,$I87))</f>
        <v/>
      </c>
      <c r="N87" s="21">
        <f>IF($L87="","",IF($M87&gt;=1,"Revisar %",$L87/(1-$M87)))</f>
        <v/>
      </c>
      <c r="O87" s="23">
        <f>IF(ISNUMBER($N87),ROUNDUP($N87,0)+IF(ROUNDUP($N87,0)-0.1&gt;=$N87,-0.1,0.9),$N87)</f>
        <v/>
      </c>
      <c r="P87" s="21">
        <f>IF(AND(ISNUMBER($O87),N($C87)&gt;0),$O87/$C87,"")</f>
        <v/>
      </c>
      <c r="Q87" s="21">
        <f>IF(OR($J87="",NOT(ISNUMBER($N87))),"",$J87*(1-($M87-IF($I87="",pLucro,$I87)))-$L87)</f>
        <v/>
      </c>
      <c r="R87" s="22">
        <f>IF($Q87="","",$Q87/$J87)</f>
        <v/>
      </c>
      <c r="S87" s="25">
        <f>IF($L87="","",IF(NOT(ISNUMBER($N87)),"Revisar %",IF($J87="","Sem preço atual",IF($Q87&lt;0,"PREJUÍZO",IF($J87&lt;$N87,"Abaixo do ideal","OK")))))</f>
        <v/>
      </c>
    </row>
    <row r="88" spans="1:19">
      <c r="A88" s="13"/>
      <c r="B88" s="13"/>
      <c r="C88" s="26"/>
      <c r="D88" s="19"/>
      <c r="E88" s="19"/>
      <c r="F88" s="20"/>
      <c r="G88" s="20"/>
      <c r="H88" s="20"/>
      <c r="I88" s="20"/>
      <c r="J88" s="19"/>
      <c r="K88" s="21">
        <f>IF(OR($A88="",$C88=""),"",$C88*cHora)</f>
        <v/>
      </c>
      <c r="L88" s="21">
        <f>IF($K88="","",$K88+N($D88)+N($E88))</f>
        <v/>
      </c>
      <c r="M88" s="22">
        <f>IF($L88="","",IF($F88="",pImp,$F88)+IF($G88="",pCom,$G88)+IF($H88="",pTax,$H88)+IF($I88="",pLucro,$I88))</f>
        <v/>
      </c>
      <c r="N88" s="21">
        <f>IF($L88="","",IF($M88&gt;=1,"Revisar %",$L88/(1-$M88)))</f>
        <v/>
      </c>
      <c r="O88" s="23">
        <f>IF(ISNUMBER($N88),ROUNDUP($N88,0)+IF(ROUNDUP($N88,0)-0.1&gt;=$N88,-0.1,0.9),$N88)</f>
        <v/>
      </c>
      <c r="P88" s="21">
        <f>IF(AND(ISNUMBER($O88),N($C88)&gt;0),$O88/$C88,"")</f>
        <v/>
      </c>
      <c r="Q88" s="21">
        <f>IF(OR($J88="",NOT(ISNUMBER($N88))),"",$J88*(1-($M88-IF($I88="",pLucro,$I88)))-$L88)</f>
        <v/>
      </c>
      <c r="R88" s="22">
        <f>IF($Q88="","",$Q88/$J88)</f>
        <v/>
      </c>
      <c r="S88" s="25">
        <f>IF($L88="","",IF(NOT(ISNUMBER($N88)),"Revisar %",IF($J88="","Sem preço atual",IF($Q88&lt;0,"PREJUÍZO",IF($J88&lt;$N88,"Abaixo do ideal","OK")))))</f>
        <v/>
      </c>
    </row>
    <row r="89" spans="1:19">
      <c r="A89" s="13"/>
      <c r="B89" s="13"/>
      <c r="C89" s="26"/>
      <c r="D89" s="19"/>
      <c r="E89" s="19"/>
      <c r="F89" s="20"/>
      <c r="G89" s="20"/>
      <c r="H89" s="20"/>
      <c r="I89" s="20"/>
      <c r="J89" s="19"/>
      <c r="K89" s="21">
        <f>IF(OR($A89="",$C89=""),"",$C89*cHora)</f>
        <v/>
      </c>
      <c r="L89" s="21">
        <f>IF($K89="","",$K89+N($D89)+N($E89))</f>
        <v/>
      </c>
      <c r="M89" s="22">
        <f>IF($L89="","",IF($F89="",pImp,$F89)+IF($G89="",pCom,$G89)+IF($H89="",pTax,$H89)+IF($I89="",pLucro,$I89))</f>
        <v/>
      </c>
      <c r="N89" s="21">
        <f>IF($L89="","",IF($M89&gt;=1,"Revisar %",$L89/(1-$M89)))</f>
        <v/>
      </c>
      <c r="O89" s="23">
        <f>IF(ISNUMBER($N89),ROUNDUP($N89,0)+IF(ROUNDUP($N89,0)-0.1&gt;=$N89,-0.1,0.9),$N89)</f>
        <v/>
      </c>
      <c r="P89" s="21">
        <f>IF(AND(ISNUMBER($O89),N($C89)&gt;0),$O89/$C89,"")</f>
        <v/>
      </c>
      <c r="Q89" s="21">
        <f>IF(OR($J89="",NOT(ISNUMBER($N89))),"",$J89*(1-($M89-IF($I89="",pLucro,$I89)))-$L89)</f>
        <v/>
      </c>
      <c r="R89" s="22">
        <f>IF($Q89="","",$Q89/$J89)</f>
        <v/>
      </c>
      <c r="S89" s="25">
        <f>IF($L89="","",IF(NOT(ISNUMBER($N89)),"Revisar %",IF($J89="","Sem preço atual",IF($Q89&lt;0,"PREJUÍZO",IF($J89&lt;$N89,"Abaixo do ideal","OK")))))</f>
        <v/>
      </c>
    </row>
    <row r="90" spans="1:19">
      <c r="A90" s="13"/>
      <c r="B90" s="13"/>
      <c r="C90" s="26"/>
      <c r="D90" s="19"/>
      <c r="E90" s="19"/>
      <c r="F90" s="20"/>
      <c r="G90" s="20"/>
      <c r="H90" s="20"/>
      <c r="I90" s="20"/>
      <c r="J90" s="19"/>
      <c r="K90" s="21">
        <f>IF(OR($A90="",$C90=""),"",$C90*cHora)</f>
        <v/>
      </c>
      <c r="L90" s="21">
        <f>IF($K90="","",$K90+N($D90)+N($E90))</f>
        <v/>
      </c>
      <c r="M90" s="22">
        <f>IF($L90="","",IF($F90="",pImp,$F90)+IF($G90="",pCom,$G90)+IF($H90="",pTax,$H90)+IF($I90="",pLucro,$I90))</f>
        <v/>
      </c>
      <c r="N90" s="21">
        <f>IF($L90="","",IF($M90&gt;=1,"Revisar %",$L90/(1-$M90)))</f>
        <v/>
      </c>
      <c r="O90" s="23">
        <f>IF(ISNUMBER($N90),ROUNDUP($N90,0)+IF(ROUNDUP($N90,0)-0.1&gt;=$N90,-0.1,0.9),$N90)</f>
        <v/>
      </c>
      <c r="P90" s="21">
        <f>IF(AND(ISNUMBER($O90),N($C90)&gt;0),$O90/$C90,"")</f>
        <v/>
      </c>
      <c r="Q90" s="21">
        <f>IF(OR($J90="",NOT(ISNUMBER($N90))),"",$J90*(1-($M90-IF($I90="",pLucro,$I90)))-$L90)</f>
        <v/>
      </c>
      <c r="R90" s="22">
        <f>IF($Q90="","",$Q90/$J90)</f>
        <v/>
      </c>
      <c r="S90" s="25">
        <f>IF($L90="","",IF(NOT(ISNUMBER($N90)),"Revisar %",IF($J90="","Sem preço atual",IF($Q90&lt;0,"PREJUÍZO",IF($J90&lt;$N90,"Abaixo do ideal","OK")))))</f>
        <v/>
      </c>
    </row>
    <row r="91" spans="1:19">
      <c r="A91" s="13"/>
      <c r="B91" s="13"/>
      <c r="C91" s="26"/>
      <c r="D91" s="19"/>
      <c r="E91" s="19"/>
      <c r="F91" s="20"/>
      <c r="G91" s="20"/>
      <c r="H91" s="20"/>
      <c r="I91" s="20"/>
      <c r="J91" s="19"/>
      <c r="K91" s="21">
        <f>IF(OR($A91="",$C91=""),"",$C91*cHora)</f>
        <v/>
      </c>
      <c r="L91" s="21">
        <f>IF($K91="","",$K91+N($D91)+N($E91))</f>
        <v/>
      </c>
      <c r="M91" s="22">
        <f>IF($L91="","",IF($F91="",pImp,$F91)+IF($G91="",pCom,$G91)+IF($H91="",pTax,$H91)+IF($I91="",pLucro,$I91))</f>
        <v/>
      </c>
      <c r="N91" s="21">
        <f>IF($L91="","",IF($M91&gt;=1,"Revisar %",$L91/(1-$M91)))</f>
        <v/>
      </c>
      <c r="O91" s="23">
        <f>IF(ISNUMBER($N91),ROUNDUP($N91,0)+IF(ROUNDUP($N91,0)-0.1&gt;=$N91,-0.1,0.9),$N91)</f>
        <v/>
      </c>
      <c r="P91" s="21">
        <f>IF(AND(ISNUMBER($O91),N($C91)&gt;0),$O91/$C91,"")</f>
        <v/>
      </c>
      <c r="Q91" s="21">
        <f>IF(OR($J91="",NOT(ISNUMBER($N91))),"",$J91*(1-($M91-IF($I91="",pLucro,$I91)))-$L91)</f>
        <v/>
      </c>
      <c r="R91" s="22">
        <f>IF($Q91="","",$Q91/$J91)</f>
        <v/>
      </c>
      <c r="S91" s="25">
        <f>IF($L91="","",IF(NOT(ISNUMBER($N91)),"Revisar %",IF($J91="","Sem preço atual",IF($Q91&lt;0,"PREJUÍZO",IF($J91&lt;$N91,"Abaixo do ideal","OK")))))</f>
        <v/>
      </c>
    </row>
    <row r="92" spans="1:19">
      <c r="A92" s="13"/>
      <c r="B92" s="13"/>
      <c r="C92" s="26"/>
      <c r="D92" s="19"/>
      <c r="E92" s="19"/>
      <c r="F92" s="20"/>
      <c r="G92" s="20"/>
      <c r="H92" s="20"/>
      <c r="I92" s="20"/>
      <c r="J92" s="19"/>
      <c r="K92" s="21">
        <f>IF(OR($A92="",$C92=""),"",$C92*cHora)</f>
        <v/>
      </c>
      <c r="L92" s="21">
        <f>IF($K92="","",$K92+N($D92)+N($E92))</f>
        <v/>
      </c>
      <c r="M92" s="22">
        <f>IF($L92="","",IF($F92="",pImp,$F92)+IF($G92="",pCom,$G92)+IF($H92="",pTax,$H92)+IF($I92="",pLucro,$I92))</f>
        <v/>
      </c>
      <c r="N92" s="21">
        <f>IF($L92="","",IF($M92&gt;=1,"Revisar %",$L92/(1-$M92)))</f>
        <v/>
      </c>
      <c r="O92" s="23">
        <f>IF(ISNUMBER($N92),ROUNDUP($N92,0)+IF(ROUNDUP($N92,0)-0.1&gt;=$N92,-0.1,0.9),$N92)</f>
        <v/>
      </c>
      <c r="P92" s="21">
        <f>IF(AND(ISNUMBER($O92),N($C92)&gt;0),$O92/$C92,"")</f>
        <v/>
      </c>
      <c r="Q92" s="21">
        <f>IF(OR($J92="",NOT(ISNUMBER($N92))),"",$J92*(1-($M92-IF($I92="",pLucro,$I92)))-$L92)</f>
        <v/>
      </c>
      <c r="R92" s="22">
        <f>IF($Q92="","",$Q92/$J92)</f>
        <v/>
      </c>
      <c r="S92" s="25">
        <f>IF($L92="","",IF(NOT(ISNUMBER($N92)),"Revisar %",IF($J92="","Sem preço atual",IF($Q92&lt;0,"PREJUÍZO",IF($J92&lt;$N92,"Abaixo do ideal","OK")))))</f>
        <v/>
      </c>
    </row>
    <row r="93" spans="1:19">
      <c r="A93" s="13"/>
      <c r="B93" s="13"/>
      <c r="C93" s="26"/>
      <c r="D93" s="19"/>
      <c r="E93" s="19"/>
      <c r="F93" s="20"/>
      <c r="G93" s="20"/>
      <c r="H93" s="20"/>
      <c r="I93" s="20"/>
      <c r="J93" s="19"/>
      <c r="K93" s="21">
        <f>IF(OR($A93="",$C93=""),"",$C93*cHora)</f>
        <v/>
      </c>
      <c r="L93" s="21">
        <f>IF($K93="","",$K93+N($D93)+N($E93))</f>
        <v/>
      </c>
      <c r="M93" s="22">
        <f>IF($L93="","",IF($F93="",pImp,$F93)+IF($G93="",pCom,$G93)+IF($H93="",pTax,$H93)+IF($I93="",pLucro,$I93))</f>
        <v/>
      </c>
      <c r="N93" s="21">
        <f>IF($L93="","",IF($M93&gt;=1,"Revisar %",$L93/(1-$M93)))</f>
        <v/>
      </c>
      <c r="O93" s="23">
        <f>IF(ISNUMBER($N93),ROUNDUP($N93,0)+IF(ROUNDUP($N93,0)-0.1&gt;=$N93,-0.1,0.9),$N93)</f>
        <v/>
      </c>
      <c r="P93" s="21">
        <f>IF(AND(ISNUMBER($O93),N($C93)&gt;0),$O93/$C93,"")</f>
        <v/>
      </c>
      <c r="Q93" s="21">
        <f>IF(OR($J93="",NOT(ISNUMBER($N93))),"",$J93*(1-($M93-IF($I93="",pLucro,$I93)))-$L93)</f>
        <v/>
      </c>
      <c r="R93" s="22">
        <f>IF($Q93="","",$Q93/$J93)</f>
        <v/>
      </c>
      <c r="S93" s="25">
        <f>IF($L93="","",IF(NOT(ISNUMBER($N93)),"Revisar %",IF($J93="","Sem preço atual",IF($Q93&lt;0,"PREJUÍZO",IF($J93&lt;$N93,"Abaixo do ideal","OK")))))</f>
        <v/>
      </c>
    </row>
    <row r="94" spans="1:19">
      <c r="A94" s="13"/>
      <c r="B94" s="13"/>
      <c r="C94" s="26"/>
      <c r="D94" s="19"/>
      <c r="E94" s="19"/>
      <c r="F94" s="20"/>
      <c r="G94" s="20"/>
      <c r="H94" s="20"/>
      <c r="I94" s="20"/>
      <c r="J94" s="19"/>
      <c r="K94" s="21">
        <f>IF(OR($A94="",$C94=""),"",$C94*cHora)</f>
        <v/>
      </c>
      <c r="L94" s="21">
        <f>IF($K94="","",$K94+N($D94)+N($E94))</f>
        <v/>
      </c>
      <c r="M94" s="22">
        <f>IF($L94="","",IF($F94="",pImp,$F94)+IF($G94="",pCom,$G94)+IF($H94="",pTax,$H94)+IF($I94="",pLucro,$I94))</f>
        <v/>
      </c>
      <c r="N94" s="21">
        <f>IF($L94="","",IF($M94&gt;=1,"Revisar %",$L94/(1-$M94)))</f>
        <v/>
      </c>
      <c r="O94" s="23">
        <f>IF(ISNUMBER($N94),ROUNDUP($N94,0)+IF(ROUNDUP($N94,0)-0.1&gt;=$N94,-0.1,0.9),$N94)</f>
        <v/>
      </c>
      <c r="P94" s="21">
        <f>IF(AND(ISNUMBER($O94),N($C94)&gt;0),$O94/$C94,"")</f>
        <v/>
      </c>
      <c r="Q94" s="21">
        <f>IF(OR($J94="",NOT(ISNUMBER($N94))),"",$J94*(1-($M94-IF($I94="",pLucro,$I94)))-$L94)</f>
        <v/>
      </c>
      <c r="R94" s="22">
        <f>IF($Q94="","",$Q94/$J94)</f>
        <v/>
      </c>
      <c r="S94" s="25">
        <f>IF($L94="","",IF(NOT(ISNUMBER($N94)),"Revisar %",IF($J94="","Sem preço atual",IF($Q94&lt;0,"PREJUÍZO",IF($J94&lt;$N94,"Abaixo do ideal","OK")))))</f>
        <v/>
      </c>
    </row>
    <row r="95" spans="1:19">
      <c r="A95" s="13"/>
      <c r="B95" s="13"/>
      <c r="C95" s="26"/>
      <c r="D95" s="19"/>
      <c r="E95" s="19"/>
      <c r="F95" s="20"/>
      <c r="G95" s="20"/>
      <c r="H95" s="20"/>
      <c r="I95" s="20"/>
      <c r="J95" s="19"/>
      <c r="K95" s="21">
        <f>IF(OR($A95="",$C95=""),"",$C95*cHora)</f>
        <v/>
      </c>
      <c r="L95" s="21">
        <f>IF($K95="","",$K95+N($D95)+N($E95))</f>
        <v/>
      </c>
      <c r="M95" s="22">
        <f>IF($L95="","",IF($F95="",pImp,$F95)+IF($G95="",pCom,$G95)+IF($H95="",pTax,$H95)+IF($I95="",pLucro,$I95))</f>
        <v/>
      </c>
      <c r="N95" s="21">
        <f>IF($L95="","",IF($M95&gt;=1,"Revisar %",$L95/(1-$M95)))</f>
        <v/>
      </c>
      <c r="O95" s="23">
        <f>IF(ISNUMBER($N95),ROUNDUP($N95,0)+IF(ROUNDUP($N95,0)-0.1&gt;=$N95,-0.1,0.9),$N95)</f>
        <v/>
      </c>
      <c r="P95" s="21">
        <f>IF(AND(ISNUMBER($O95),N($C95)&gt;0),$O95/$C95,"")</f>
        <v/>
      </c>
      <c r="Q95" s="21">
        <f>IF(OR($J95="",NOT(ISNUMBER($N95))),"",$J95*(1-($M95-IF($I95="",pLucro,$I95)))-$L95)</f>
        <v/>
      </c>
      <c r="R95" s="22">
        <f>IF($Q95="","",$Q95/$J95)</f>
        <v/>
      </c>
      <c r="S95" s="25">
        <f>IF($L95="","",IF(NOT(ISNUMBER($N95)),"Revisar %",IF($J95="","Sem preço atual",IF($Q95&lt;0,"PREJUÍZO",IF($J95&lt;$N95,"Abaixo do ideal","OK")))))</f>
        <v/>
      </c>
    </row>
    <row r="96" spans="1:19">
      <c r="A96" s="13"/>
      <c r="B96" s="13"/>
      <c r="C96" s="26"/>
      <c r="D96" s="19"/>
      <c r="E96" s="19"/>
      <c r="F96" s="20"/>
      <c r="G96" s="20"/>
      <c r="H96" s="20"/>
      <c r="I96" s="20"/>
      <c r="J96" s="19"/>
      <c r="K96" s="21">
        <f>IF(OR($A96="",$C96=""),"",$C96*cHora)</f>
        <v/>
      </c>
      <c r="L96" s="21">
        <f>IF($K96="","",$K96+N($D96)+N($E96))</f>
        <v/>
      </c>
      <c r="M96" s="22">
        <f>IF($L96="","",IF($F96="",pImp,$F96)+IF($G96="",pCom,$G96)+IF($H96="",pTax,$H96)+IF($I96="",pLucro,$I96))</f>
        <v/>
      </c>
      <c r="N96" s="21">
        <f>IF($L96="","",IF($M96&gt;=1,"Revisar %",$L96/(1-$M96)))</f>
        <v/>
      </c>
      <c r="O96" s="23">
        <f>IF(ISNUMBER($N96),ROUNDUP($N96,0)+IF(ROUNDUP($N96,0)-0.1&gt;=$N96,-0.1,0.9),$N96)</f>
        <v/>
      </c>
      <c r="P96" s="21">
        <f>IF(AND(ISNUMBER($O96),N($C96)&gt;0),$O96/$C96,"")</f>
        <v/>
      </c>
      <c r="Q96" s="21">
        <f>IF(OR($J96="",NOT(ISNUMBER($N96))),"",$J96*(1-($M96-IF($I96="",pLucro,$I96)))-$L96)</f>
        <v/>
      </c>
      <c r="R96" s="22">
        <f>IF($Q96="","",$Q96/$J96)</f>
        <v/>
      </c>
      <c r="S96" s="25">
        <f>IF($L96="","",IF(NOT(ISNUMBER($N96)),"Revisar %",IF($J96="","Sem preço atual",IF($Q96&lt;0,"PREJUÍZO",IF($J96&lt;$N96,"Abaixo do ideal","OK")))))</f>
        <v/>
      </c>
    </row>
    <row r="97" spans="1:19">
      <c r="A97" s="13"/>
      <c r="B97" s="13"/>
      <c r="C97" s="26"/>
      <c r="D97" s="19"/>
      <c r="E97" s="19"/>
      <c r="F97" s="20"/>
      <c r="G97" s="20"/>
      <c r="H97" s="20"/>
      <c r="I97" s="20"/>
      <c r="J97" s="19"/>
      <c r="K97" s="21">
        <f>IF(OR($A97="",$C97=""),"",$C97*cHora)</f>
        <v/>
      </c>
      <c r="L97" s="21">
        <f>IF($K97="","",$K97+N($D97)+N($E97))</f>
        <v/>
      </c>
      <c r="M97" s="22">
        <f>IF($L97="","",IF($F97="",pImp,$F97)+IF($G97="",pCom,$G97)+IF($H97="",pTax,$H97)+IF($I97="",pLucro,$I97))</f>
        <v/>
      </c>
      <c r="N97" s="21">
        <f>IF($L97="","",IF($M97&gt;=1,"Revisar %",$L97/(1-$M97)))</f>
        <v/>
      </c>
      <c r="O97" s="23">
        <f>IF(ISNUMBER($N97),ROUNDUP($N97,0)+IF(ROUNDUP($N97,0)-0.1&gt;=$N97,-0.1,0.9),$N97)</f>
        <v/>
      </c>
      <c r="P97" s="21">
        <f>IF(AND(ISNUMBER($O97),N($C97)&gt;0),$O97/$C97,"")</f>
        <v/>
      </c>
      <c r="Q97" s="21">
        <f>IF(OR($J97="",NOT(ISNUMBER($N97))),"",$J97*(1-($M97-IF($I97="",pLucro,$I97)))-$L97)</f>
        <v/>
      </c>
      <c r="R97" s="22">
        <f>IF($Q97="","",$Q97/$J97)</f>
        <v/>
      </c>
      <c r="S97" s="25">
        <f>IF($L97="","",IF(NOT(ISNUMBER($N97)),"Revisar %",IF($J97="","Sem preço atual",IF($Q97&lt;0,"PREJUÍZO",IF($J97&lt;$N97,"Abaixo do ideal","OK")))))</f>
        <v/>
      </c>
    </row>
    <row r="98" spans="1:19">
      <c r="A98" s="13"/>
      <c r="B98" s="13"/>
      <c r="C98" s="26"/>
      <c r="D98" s="19"/>
      <c r="E98" s="19"/>
      <c r="F98" s="20"/>
      <c r="G98" s="20"/>
      <c r="H98" s="20"/>
      <c r="I98" s="20"/>
      <c r="J98" s="19"/>
      <c r="K98" s="21">
        <f>IF(OR($A98="",$C98=""),"",$C98*cHora)</f>
        <v/>
      </c>
      <c r="L98" s="21">
        <f>IF($K98="","",$K98+N($D98)+N($E98))</f>
        <v/>
      </c>
      <c r="M98" s="22">
        <f>IF($L98="","",IF($F98="",pImp,$F98)+IF($G98="",pCom,$G98)+IF($H98="",pTax,$H98)+IF($I98="",pLucro,$I98))</f>
        <v/>
      </c>
      <c r="N98" s="21">
        <f>IF($L98="","",IF($M98&gt;=1,"Revisar %",$L98/(1-$M98)))</f>
        <v/>
      </c>
      <c r="O98" s="23">
        <f>IF(ISNUMBER($N98),ROUNDUP($N98,0)+IF(ROUNDUP($N98,0)-0.1&gt;=$N98,-0.1,0.9),$N98)</f>
        <v/>
      </c>
      <c r="P98" s="21">
        <f>IF(AND(ISNUMBER($O98),N($C98)&gt;0),$O98/$C98,"")</f>
        <v/>
      </c>
      <c r="Q98" s="21">
        <f>IF(OR($J98="",NOT(ISNUMBER($N98))),"",$J98*(1-($M98-IF($I98="",pLucro,$I98)))-$L98)</f>
        <v/>
      </c>
      <c r="R98" s="22">
        <f>IF($Q98="","",$Q98/$J98)</f>
        <v/>
      </c>
      <c r="S98" s="25">
        <f>IF($L98="","",IF(NOT(ISNUMBER($N98)),"Revisar %",IF($J98="","Sem preço atual",IF($Q98&lt;0,"PREJUÍZO",IF($J98&lt;$N98,"Abaixo do ideal","OK")))))</f>
        <v/>
      </c>
    </row>
    <row r="99" spans="1:19">
      <c r="A99" s="13"/>
      <c r="B99" s="13"/>
      <c r="C99" s="26"/>
      <c r="D99" s="19"/>
      <c r="E99" s="19"/>
      <c r="F99" s="20"/>
      <c r="G99" s="20"/>
      <c r="H99" s="20"/>
      <c r="I99" s="20"/>
      <c r="J99" s="19"/>
      <c r="K99" s="21">
        <f>IF(OR($A99="",$C99=""),"",$C99*cHora)</f>
        <v/>
      </c>
      <c r="L99" s="21">
        <f>IF($K99="","",$K99+N($D99)+N($E99))</f>
        <v/>
      </c>
      <c r="M99" s="22">
        <f>IF($L99="","",IF($F99="",pImp,$F99)+IF($G99="",pCom,$G99)+IF($H99="",pTax,$H99)+IF($I99="",pLucro,$I99))</f>
        <v/>
      </c>
      <c r="N99" s="21">
        <f>IF($L99="","",IF($M99&gt;=1,"Revisar %",$L99/(1-$M99)))</f>
        <v/>
      </c>
      <c r="O99" s="23">
        <f>IF(ISNUMBER($N99),ROUNDUP($N99,0)+IF(ROUNDUP($N99,0)-0.1&gt;=$N99,-0.1,0.9),$N99)</f>
        <v/>
      </c>
      <c r="P99" s="21">
        <f>IF(AND(ISNUMBER($O99),N($C99)&gt;0),$O99/$C99,"")</f>
        <v/>
      </c>
      <c r="Q99" s="21">
        <f>IF(OR($J99="",NOT(ISNUMBER($N99))),"",$J99*(1-($M99-IF($I99="",pLucro,$I99)))-$L99)</f>
        <v/>
      </c>
      <c r="R99" s="22">
        <f>IF($Q99="","",$Q99/$J99)</f>
        <v/>
      </c>
      <c r="S99" s="25">
        <f>IF($L99="","",IF(NOT(ISNUMBER($N99)),"Revisar %",IF($J99="","Sem preço atual",IF($Q99&lt;0,"PREJUÍZO",IF($J99&lt;$N99,"Abaixo do ideal","OK")))))</f>
        <v/>
      </c>
    </row>
    <row r="100" spans="1:19">
      <c r="A100" s="13"/>
      <c r="B100" s="13"/>
      <c r="C100" s="26"/>
      <c r="D100" s="19"/>
      <c r="E100" s="19"/>
      <c r="F100" s="20"/>
      <c r="G100" s="20"/>
      <c r="H100" s="20"/>
      <c r="I100" s="20"/>
      <c r="J100" s="19"/>
      <c r="K100" s="21">
        <f>IF(OR($A100="",$C100=""),"",$C100*cHora)</f>
        <v/>
      </c>
      <c r="L100" s="21">
        <f>IF($K100="","",$K100+N($D100)+N($E100))</f>
        <v/>
      </c>
      <c r="M100" s="22">
        <f>IF($L100="","",IF($F100="",pImp,$F100)+IF($G100="",pCom,$G100)+IF($H100="",pTax,$H100)+IF($I100="",pLucro,$I100))</f>
        <v/>
      </c>
      <c r="N100" s="21">
        <f>IF($L100="","",IF($M100&gt;=1,"Revisar %",$L100/(1-$M100)))</f>
        <v/>
      </c>
      <c r="O100" s="23">
        <f>IF(ISNUMBER($N100),ROUNDUP($N100,0)+IF(ROUNDUP($N100,0)-0.1&gt;=$N100,-0.1,0.9),$N100)</f>
        <v/>
      </c>
      <c r="P100" s="21">
        <f>IF(AND(ISNUMBER($O100),N($C100)&gt;0),$O100/$C100,"")</f>
        <v/>
      </c>
      <c r="Q100" s="21">
        <f>IF(OR($J100="",NOT(ISNUMBER($N100))),"",$J100*(1-($M100-IF($I100="",pLucro,$I100)))-$L100)</f>
        <v/>
      </c>
      <c r="R100" s="22">
        <f>IF($Q100="","",$Q100/$J100)</f>
        <v/>
      </c>
      <c r="S100" s="25">
        <f>IF($L100="","",IF(NOT(ISNUMBER($N100)),"Revisar %",IF($J100="","Sem preço atual",IF($Q100&lt;0,"PREJUÍZO",IF($J100&lt;$N100,"Abaixo do ideal","OK")))))</f>
        <v/>
      </c>
    </row>
    <row r="101" spans="1:19">
      <c r="A101" s="13"/>
      <c r="B101" s="13"/>
      <c r="C101" s="26"/>
      <c r="D101" s="19"/>
      <c r="E101" s="19"/>
      <c r="F101" s="20"/>
      <c r="G101" s="20"/>
      <c r="H101" s="20"/>
      <c r="I101" s="20"/>
      <c r="J101" s="19"/>
      <c r="K101" s="21">
        <f>IF(OR($A101="",$C101=""),"",$C101*cHora)</f>
        <v/>
      </c>
      <c r="L101" s="21">
        <f>IF($K101="","",$K101+N($D101)+N($E101))</f>
        <v/>
      </c>
      <c r="M101" s="22">
        <f>IF($L101="","",IF($F101="",pImp,$F101)+IF($G101="",pCom,$G101)+IF($H101="",pTax,$H101)+IF($I101="",pLucro,$I101))</f>
        <v/>
      </c>
      <c r="N101" s="21">
        <f>IF($L101="","",IF($M101&gt;=1,"Revisar %",$L101/(1-$M101)))</f>
        <v/>
      </c>
      <c r="O101" s="23">
        <f>IF(ISNUMBER($N101),ROUNDUP($N101,0)+IF(ROUNDUP($N101,0)-0.1&gt;=$N101,-0.1,0.9),$N101)</f>
        <v/>
      </c>
      <c r="P101" s="21">
        <f>IF(AND(ISNUMBER($O101),N($C101)&gt;0),$O101/$C101,"")</f>
        <v/>
      </c>
      <c r="Q101" s="21">
        <f>IF(OR($J101="",NOT(ISNUMBER($N101))),"",$J101*(1-($M101-IF($I101="",pLucro,$I101)))-$L101)</f>
        <v/>
      </c>
      <c r="R101" s="22">
        <f>IF($Q101="","",$Q101/$J101)</f>
        <v/>
      </c>
      <c r="S101" s="25">
        <f>IF($L101="","",IF(NOT(ISNUMBER($N101)),"Revisar %",IF($J101="","Sem preço atual",IF($Q101&lt;0,"PREJUÍZO",IF($J101&lt;$N101,"Abaixo do ideal","OK")))))</f>
        <v/>
      </c>
    </row>
    <row r="102" spans="1:19">
      <c r="A102" s="13"/>
      <c r="B102" s="13"/>
      <c r="C102" s="26"/>
      <c r="D102" s="19"/>
      <c r="E102" s="19"/>
      <c r="F102" s="20"/>
      <c r="G102" s="20"/>
      <c r="H102" s="20"/>
      <c r="I102" s="20"/>
      <c r="J102" s="19"/>
      <c r="K102" s="21">
        <f>IF(OR($A102="",$C102=""),"",$C102*cHora)</f>
        <v/>
      </c>
      <c r="L102" s="21">
        <f>IF($K102="","",$K102+N($D102)+N($E102))</f>
        <v/>
      </c>
      <c r="M102" s="22">
        <f>IF($L102="","",IF($F102="",pImp,$F102)+IF($G102="",pCom,$G102)+IF($H102="",pTax,$H102)+IF($I102="",pLucro,$I102))</f>
        <v/>
      </c>
      <c r="N102" s="21">
        <f>IF($L102="","",IF($M102&gt;=1,"Revisar %",$L102/(1-$M102)))</f>
        <v/>
      </c>
      <c r="O102" s="23">
        <f>IF(ISNUMBER($N102),ROUNDUP($N102,0)+IF(ROUNDUP($N102,0)-0.1&gt;=$N102,-0.1,0.9),$N102)</f>
        <v/>
      </c>
      <c r="P102" s="21">
        <f>IF(AND(ISNUMBER($O102),N($C102)&gt;0),$O102/$C102,"")</f>
        <v/>
      </c>
      <c r="Q102" s="21">
        <f>IF(OR($J102="",NOT(ISNUMBER($N102))),"",$J102*(1-($M102-IF($I102="",pLucro,$I102)))-$L102)</f>
        <v/>
      </c>
      <c r="R102" s="22">
        <f>IF($Q102="","",$Q102/$J102)</f>
        <v/>
      </c>
      <c r="S102" s="25">
        <f>IF($L102="","",IF(NOT(ISNUMBER($N102)),"Revisar %",IF($J102="","Sem preço atual",IF($Q102&lt;0,"PREJUÍZO",IF($J102&lt;$N102,"Abaixo do ideal","OK")))))</f>
        <v/>
      </c>
    </row>
    <row r="103" spans="1:19">
      <c r="A103" s="13"/>
      <c r="B103" s="13"/>
      <c r="C103" s="26"/>
      <c r="D103" s="19"/>
      <c r="E103" s="19"/>
      <c r="F103" s="20"/>
      <c r="G103" s="20"/>
      <c r="H103" s="20"/>
      <c r="I103" s="20"/>
      <c r="J103" s="19"/>
      <c r="K103" s="21">
        <f>IF(OR($A103="",$C103=""),"",$C103*cHora)</f>
        <v/>
      </c>
      <c r="L103" s="21">
        <f>IF($K103="","",$K103+N($D103)+N($E103))</f>
        <v/>
      </c>
      <c r="M103" s="22">
        <f>IF($L103="","",IF($F103="",pImp,$F103)+IF($G103="",pCom,$G103)+IF($H103="",pTax,$H103)+IF($I103="",pLucro,$I103))</f>
        <v/>
      </c>
      <c r="N103" s="21">
        <f>IF($L103="","",IF($M103&gt;=1,"Revisar %",$L103/(1-$M103)))</f>
        <v/>
      </c>
      <c r="O103" s="23">
        <f>IF(ISNUMBER($N103),ROUNDUP($N103,0)+IF(ROUNDUP($N103,0)-0.1&gt;=$N103,-0.1,0.9),$N103)</f>
        <v/>
      </c>
      <c r="P103" s="21">
        <f>IF(AND(ISNUMBER($O103),N($C103)&gt;0),$O103/$C103,"")</f>
        <v/>
      </c>
      <c r="Q103" s="21">
        <f>IF(OR($J103="",NOT(ISNUMBER($N103))),"",$J103*(1-($M103-IF($I103="",pLucro,$I103)))-$L103)</f>
        <v/>
      </c>
      <c r="R103" s="22">
        <f>IF($Q103="","",$Q103/$J103)</f>
        <v/>
      </c>
      <c r="S103" s="25">
        <f>IF($L103="","",IF(NOT(ISNUMBER($N103)),"Revisar %",IF($J103="","Sem preço atual",IF($Q103&lt;0,"PREJUÍZO",IF($J103&lt;$N103,"Abaixo do ideal","OK")))))</f>
        <v/>
      </c>
    </row>
    <row r="104" spans="1:19">
      <c r="A104" s="13"/>
      <c r="B104" s="13"/>
      <c r="C104" s="26"/>
      <c r="D104" s="19"/>
      <c r="E104" s="19"/>
      <c r="F104" s="20"/>
      <c r="G104" s="20"/>
      <c r="H104" s="20"/>
      <c r="I104" s="20"/>
      <c r="J104" s="19"/>
      <c r="K104" s="21">
        <f>IF(OR($A104="",$C104=""),"",$C104*cHora)</f>
        <v/>
      </c>
      <c r="L104" s="21">
        <f>IF($K104="","",$K104+N($D104)+N($E104))</f>
        <v/>
      </c>
      <c r="M104" s="22">
        <f>IF($L104="","",IF($F104="",pImp,$F104)+IF($G104="",pCom,$G104)+IF($H104="",pTax,$H104)+IF($I104="",pLucro,$I104))</f>
        <v/>
      </c>
      <c r="N104" s="21">
        <f>IF($L104="","",IF($M104&gt;=1,"Revisar %",$L104/(1-$M104)))</f>
        <v/>
      </c>
      <c r="O104" s="23">
        <f>IF(ISNUMBER($N104),ROUNDUP($N104,0)+IF(ROUNDUP($N104,0)-0.1&gt;=$N104,-0.1,0.9),$N104)</f>
        <v/>
      </c>
      <c r="P104" s="21">
        <f>IF(AND(ISNUMBER($O104),N($C104)&gt;0),$O104/$C104,"")</f>
        <v/>
      </c>
      <c r="Q104" s="21">
        <f>IF(OR($J104="",NOT(ISNUMBER($N104))),"",$J104*(1-($M104-IF($I104="",pLucro,$I104)))-$L104)</f>
        <v/>
      </c>
      <c r="R104" s="22">
        <f>IF($Q104="","",$Q104/$J104)</f>
        <v/>
      </c>
      <c r="S104" s="25">
        <f>IF($L104="","",IF(NOT(ISNUMBER($N104)),"Revisar %",IF($J104="","Sem preço atual",IF($Q104&lt;0,"PREJUÍZO",IF($J104&lt;$N104,"Abaixo do ideal","OK")))))</f>
        <v/>
      </c>
    </row>
  </sheetData>
  <mergeCells count="2">
    <mergeCell ref="A1:S1"/>
    <mergeCell ref="A2:S2"/>
  </mergeCells>
  <conditionalFormatting sqref="S5:S104">
    <cfRule type="cellIs" dxfId="0" priority="1" operator="equal">
      <formula>"PREJUÍZO"</formula>
    </cfRule>
    <cfRule type="cellIs" dxfId="1" priority="2" operator="equal">
      <formula>"Abaixo do ideal"</formula>
    </cfRule>
    <cfRule type="cellIs" dxfId="2" priority="3" operator="equal">
      <formula>"OK"</formula>
    </cfRule>
  </conditionalFormatting>
  <dataValidations count="3">
    <dataValidation type="decimal" operator="greaterThanOrEqual" allowBlank="1" showInputMessage="1" showErrorMessage="1" errorTitle="Valor inválido" error="Digite um número maior ou igual a 0." sqref="C5:E104">
      <formula1>0</formula1>
    </dataValidation>
    <dataValidation type="decimal" allowBlank="1" showInputMessage="1" showErrorMessage="1" errorTitle="Valor inválido" error="Digite um número entre 0 e 0.95." sqref="F5:I104">
      <formula1>0</formula1>
      <formula2>0.95</formula2>
    </dataValidation>
    <dataValidation type="decimal" operator="greaterThanOrEqual" allowBlank="1" showInputMessage="1" showErrorMessage="1" errorTitle="Valor inválido" error="Digite um número maior ou igual a 0." sqref="J5:J1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F28"/>
  <sheetViews>
    <sheetView showGridLines="0" workbookViewId="0"/>
  </sheetViews>
  <sheetFormatPr defaultRowHeight="15"/>
  <cols>
    <col min="1" max="1" width="3.7109375" customWidth="1"/>
    <col min="2" max="2" width="44.7109375" customWidth="1"/>
    <col min="3" max="6" width="18.7109375" customWidth="1"/>
  </cols>
  <sheetData>
    <row r="1" spans="1:6" ht="36" customHeight="1">
      <c r="A1" s="1" t="s">
        <v>96</v>
      </c>
      <c r="B1" s="1"/>
      <c r="C1" s="1"/>
      <c r="D1" s="1"/>
      <c r="E1" s="1"/>
      <c r="F1" s="1"/>
    </row>
    <row r="2" spans="1:6" ht="20" customHeight="1">
      <c r="A2" s="2" t="s">
        <v>97</v>
      </c>
      <c r="B2" s="2"/>
      <c r="C2" s="2"/>
      <c r="D2" s="2"/>
      <c r="E2" s="2"/>
      <c r="F2" s="2"/>
    </row>
    <row r="4" spans="1:6">
      <c r="B4" s="12" t="s">
        <v>98</v>
      </c>
      <c r="C4" s="8"/>
      <c r="D4" s="8"/>
      <c r="E4" s="8"/>
    </row>
    <row r="5" spans="1:6">
      <c r="B5" s="12" t="s">
        <v>99</v>
      </c>
      <c r="C5" s="27">
        <v>0.1</v>
      </c>
    </row>
    <row r="6" spans="1:6">
      <c r="B6" s="11" t="s">
        <v>100</v>
      </c>
      <c r="C6" s="25">
        <f>IFERROR(MATCH($C$4,ProdNome,0),"")</f>
        <v/>
      </c>
    </row>
    <row r="8" spans="1:6">
      <c r="B8" s="12" t="s">
        <v>101</v>
      </c>
      <c r="C8" s="28">
        <f>IF($C$6="","",IF(N(INDEX(Produtos!$K$5:$K$304,$C$6))&gt;0,INDEX(Produtos!$K$5:$K$304,$C$6),INDEX(Produtos!$O$5:$O$304,$C$6)))</f>
        <v/>
      </c>
    </row>
    <row r="9" spans="1:6">
      <c r="B9" s="12" t="s">
        <v>102</v>
      </c>
      <c r="C9" s="28">
        <f>IF($C$6="","",INDEX(Produtos!$L$5:$L$304,$C$6))</f>
        <v/>
      </c>
    </row>
    <row r="10" spans="1:6">
      <c r="B10" s="12" t="s">
        <v>103</v>
      </c>
      <c r="C10" s="29">
        <f>IF($C$6="","",INDEX(Produtos!$M$5:$M$304,$C$6)-IF(INDEX(Produtos!$I$5:$I$304,$C$6)="",pLucro,INDEX(Produtos!$I$5:$I$304,$C$6)))</f>
        <v/>
      </c>
    </row>
    <row r="11" spans="1:6">
      <c r="B11" s="12" t="s">
        <v>104</v>
      </c>
      <c r="C11" s="28">
        <f>IF($C$6="","",C8*(1-C10)-C9)</f>
        <v/>
      </c>
    </row>
    <row r="12" spans="1:6">
      <c r="B12" s="12" t="s">
        <v>105</v>
      </c>
      <c r="C12" s="28">
        <f>IF($C$6="","",C8*(1-$C$5))</f>
        <v/>
      </c>
    </row>
    <row r="13" spans="1:6">
      <c r="B13" s="12" t="s">
        <v>106</v>
      </c>
      <c r="C13" s="28">
        <f>IF($C$6="","",C12*(1-C10)-C9)</f>
        <v/>
      </c>
    </row>
    <row r="14" spans="1:6">
      <c r="B14" s="12" t="s">
        <v>107</v>
      </c>
      <c r="C14" s="29">
        <f>IF(OR($C$6="",N(C11)&lt;=0),"",1-C13/C11)</f>
        <v/>
      </c>
    </row>
    <row r="15" spans="1:6">
      <c r="B15" s="12" t="s">
        <v>108</v>
      </c>
      <c r="C15" s="30">
        <f>IF($C$6="","",IF(C13&lt;=0,"Impossível: dá prejuízo",IF(C11&lt;=0,"",C11/C13-1)))</f>
        <v/>
      </c>
    </row>
    <row r="17" spans="2:6">
      <c r="B17" s="3" t="s">
        <v>109</v>
      </c>
      <c r="C17" s="3"/>
      <c r="D17" s="3"/>
      <c r="E17" s="3"/>
      <c r="F17" s="3"/>
    </row>
    <row r="18" spans="2:6" ht="30" customHeight="1">
      <c r="B18" s="10" t="s">
        <v>110</v>
      </c>
      <c r="C18" s="10" t="s">
        <v>105</v>
      </c>
      <c r="D18" s="10" t="s">
        <v>111</v>
      </c>
      <c r="E18" s="10" t="s">
        <v>112</v>
      </c>
      <c r="F18" s="10" t="s">
        <v>113</v>
      </c>
    </row>
    <row r="19" spans="2:6">
      <c r="B19" s="31">
        <v>0</v>
      </c>
      <c r="C19" s="21">
        <f>IF($C$6="","",$C$8*(1-B19))</f>
        <v/>
      </c>
      <c r="D19" s="21">
        <f>IF($C$6="","",C19*(1-$C$10)-$C$9)</f>
        <v/>
      </c>
      <c r="E19" s="22">
        <f>IF(OR($C$6="",N($C$11)&lt;=0),"",1-D19/$C$11)</f>
        <v/>
      </c>
      <c r="F19" s="32">
        <f>IF($C$6="","",IF(D19&lt;=0,"Impossível",IF(N($C$11)&lt;=0,"",$C$11/D19-1)))</f>
        <v/>
      </c>
    </row>
    <row r="20" spans="2:6">
      <c r="B20" s="31">
        <v>0.05</v>
      </c>
      <c r="C20" s="21">
        <f>IF($C$6="","",$C$8*(1-B20))</f>
        <v/>
      </c>
      <c r="D20" s="21">
        <f>IF($C$6="","",C20*(1-$C$10)-$C$9)</f>
        <v/>
      </c>
      <c r="E20" s="22">
        <f>IF(OR($C$6="",N($C$11)&lt;=0),"",1-D20/$C$11)</f>
        <v/>
      </c>
      <c r="F20" s="32">
        <f>IF($C$6="","",IF(D20&lt;=0,"Impossível",IF(N($C$11)&lt;=0,"",$C$11/D20-1)))</f>
        <v/>
      </c>
    </row>
    <row r="21" spans="2:6">
      <c r="B21" s="31">
        <v>0.1</v>
      </c>
      <c r="C21" s="21">
        <f>IF($C$6="","",$C$8*(1-B21))</f>
        <v/>
      </c>
      <c r="D21" s="21">
        <f>IF($C$6="","",C21*(1-$C$10)-$C$9)</f>
        <v/>
      </c>
      <c r="E21" s="22">
        <f>IF(OR($C$6="",N($C$11)&lt;=0),"",1-D21/$C$11)</f>
        <v/>
      </c>
      <c r="F21" s="32">
        <f>IF($C$6="","",IF(D21&lt;=0,"Impossível",IF(N($C$11)&lt;=0,"",$C$11/D21-1)))</f>
        <v/>
      </c>
    </row>
    <row r="22" spans="2:6">
      <c r="B22" s="31">
        <v>0.15</v>
      </c>
      <c r="C22" s="21">
        <f>IF($C$6="","",$C$8*(1-B22))</f>
        <v/>
      </c>
      <c r="D22" s="21">
        <f>IF($C$6="","",C22*(1-$C$10)-$C$9)</f>
        <v/>
      </c>
      <c r="E22" s="22">
        <f>IF(OR($C$6="",N($C$11)&lt;=0),"",1-D22/$C$11)</f>
        <v/>
      </c>
      <c r="F22" s="32">
        <f>IF($C$6="","",IF(D22&lt;=0,"Impossível",IF(N($C$11)&lt;=0,"",$C$11/D22-1)))</f>
        <v/>
      </c>
    </row>
    <row r="23" spans="2:6">
      <c r="B23" s="31">
        <v>0.2</v>
      </c>
      <c r="C23" s="21">
        <f>IF($C$6="","",$C$8*(1-B23))</f>
        <v/>
      </c>
      <c r="D23" s="21">
        <f>IF($C$6="","",C23*(1-$C$10)-$C$9)</f>
        <v/>
      </c>
      <c r="E23" s="22">
        <f>IF(OR($C$6="",N($C$11)&lt;=0),"",1-D23/$C$11)</f>
        <v/>
      </c>
      <c r="F23" s="32">
        <f>IF($C$6="","",IF(D23&lt;=0,"Impossível",IF(N($C$11)&lt;=0,"",$C$11/D23-1)))</f>
        <v/>
      </c>
    </row>
    <row r="24" spans="2:6">
      <c r="B24" s="31">
        <v>0.25</v>
      </c>
      <c r="C24" s="21">
        <f>IF($C$6="","",$C$8*(1-B24))</f>
        <v/>
      </c>
      <c r="D24" s="21">
        <f>IF($C$6="","",C24*(1-$C$10)-$C$9)</f>
        <v/>
      </c>
      <c r="E24" s="22">
        <f>IF(OR($C$6="",N($C$11)&lt;=0),"",1-D24/$C$11)</f>
        <v/>
      </c>
      <c r="F24" s="32">
        <f>IF($C$6="","",IF(D24&lt;=0,"Impossível",IF(N($C$11)&lt;=0,"",$C$11/D24-1)))</f>
        <v/>
      </c>
    </row>
    <row r="25" spans="2:6">
      <c r="B25" s="31">
        <v>0.3</v>
      </c>
      <c r="C25" s="21">
        <f>IF($C$6="","",$C$8*(1-B25))</f>
        <v/>
      </c>
      <c r="D25" s="21">
        <f>IF($C$6="","",C25*(1-$C$10)-$C$9)</f>
        <v/>
      </c>
      <c r="E25" s="22">
        <f>IF(OR($C$6="",N($C$11)&lt;=0),"",1-D25/$C$11)</f>
        <v/>
      </c>
      <c r="F25" s="32">
        <f>IF($C$6="","",IF(D25&lt;=0,"Impossível",IF(N($C$11)&lt;=0,"",$C$11/D25-1)))</f>
        <v/>
      </c>
    </row>
    <row r="27" spans="2:6">
      <c r="B27" s="11" t="s">
        <v>114</v>
      </c>
      <c r="C27" s="11"/>
      <c r="D27" s="11"/>
      <c r="E27" s="11"/>
      <c r="F27" s="11"/>
    </row>
    <row r="28" spans="2:6">
      <c r="B28" s="11"/>
      <c r="C28" s="11"/>
      <c r="D28" s="11"/>
      <c r="E28" s="11"/>
      <c r="F28" s="11"/>
    </row>
  </sheetData>
  <sheetProtection sheet="1" objects="1" scenarios="1"/>
  <mergeCells count="5">
    <mergeCell ref="A1:F1"/>
    <mergeCell ref="A2:F2"/>
    <mergeCell ref="C4:E4"/>
    <mergeCell ref="B17:F17"/>
    <mergeCell ref="B27:F28"/>
  </mergeCells>
  <dataValidations count="2">
    <dataValidation type="list" allowBlank="1" showInputMessage="1" showErrorMessage="1" errorTitle="Valor inválido" error="Escolha um item da lista." promptTitle="Dica" prompt="Escolha um produto cadastrado" sqref="C4">
      <formula1>ProdNome</formula1>
    </dataValidation>
    <dataValidation type="decimal" allowBlank="1" showInputMessage="1" showErrorMessage="1" errorTitle="Valor inválido" error="Digite um número entre 0 e 0.95." sqref="C5">
      <formula1>0</formula1>
      <formula2>0.95</formula2>
    </dataValidation>
  </dataValidations>
  <pageMargins left="0.7" right="0.7" top="0.75" bottom="0.75" header="0.3" footer="0.3"/>
  <pageSetup paperSize="9" orientation="landscape"/>
  <headerFooter>
    <oddFooter>&amp;L&amp;8Carvex XLS - Precificador de Produtos e Serviços&amp;R&amp;8Página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H10"/>
  <sheetViews>
    <sheetView showGridLines="0" workbookViewId="0"/>
  </sheetViews>
  <sheetFormatPr defaultRowHeight="15"/>
  <cols>
    <col min="1" max="8" width="13.7109375" customWidth="1"/>
  </cols>
  <sheetData>
    <row r="1" spans="1:8" ht="36" customHeight="1">
      <c r="A1" s="1" t="s">
        <v>24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115</v>
      </c>
      <c r="B2" s="2"/>
      <c r="C2" s="2"/>
      <c r="D2" s="2"/>
      <c r="E2" s="2"/>
      <c r="F2" s="2"/>
      <c r="G2" s="2"/>
      <c r="H2" s="2"/>
    </row>
    <row r="4" spans="1:8" ht="24" customHeight="1">
      <c r="A4" s="33" t="s">
        <v>116</v>
      </c>
      <c r="B4" s="33"/>
      <c r="C4" s="33" t="s">
        <v>117</v>
      </c>
      <c r="D4" s="33"/>
      <c r="E4" s="33" t="s">
        <v>118</v>
      </c>
      <c r="F4" s="33"/>
      <c r="G4" s="33" t="s">
        <v>119</v>
      </c>
      <c r="H4" s="33"/>
    </row>
    <row r="5" spans="1:8" ht="32" customHeight="1">
      <c r="A5" s="34">
        <f>COUNTIF(Produtos!$L$5:$L$304,"&gt;0")</f>
        <v>0</v>
      </c>
      <c r="B5" s="34"/>
      <c r="C5" s="35">
        <f>COUNTIF(Produtos!$T$5:$T$304,"PREJUÍZO")</f>
        <v>0</v>
      </c>
      <c r="D5" s="35"/>
      <c r="E5" s="36">
        <f>COUNTIF(Produtos!$T$5:$T$304,"Abaixo do ideal")</f>
        <v>0</v>
      </c>
      <c r="F5" s="36"/>
      <c r="G5" s="34">
        <f>COUNTIF(Produtos!$T$5:$T$304,"OK")</f>
        <v>0</v>
      </c>
      <c r="H5" s="34"/>
    </row>
    <row r="7" spans="1:8" ht="24" customHeight="1">
      <c r="A7" s="33" t="s">
        <v>120</v>
      </c>
      <c r="B7" s="33"/>
      <c r="C7" s="33" t="s">
        <v>121</v>
      </c>
      <c r="D7" s="33"/>
      <c r="E7" s="33" t="s">
        <v>122</v>
      </c>
      <c r="F7" s="33"/>
      <c r="G7" s="33" t="s">
        <v>123</v>
      </c>
      <c r="H7" s="33"/>
    </row>
    <row r="8" spans="1:8" ht="32" customHeight="1">
      <c r="A8" s="37">
        <f>IFERROR(AVERAGE(Produtos!$S$5:$S$304),0)</f>
        <v>0</v>
      </c>
      <c r="B8" s="37"/>
      <c r="C8" s="37">
        <f>pLucro</f>
        <v>0</v>
      </c>
      <c r="D8" s="37"/>
      <c r="E8" s="35">
        <f>COUNTIF('Serviços'!$S$5:$S$104,"PREJUÍZO")</f>
        <v>0</v>
      </c>
      <c r="F8" s="35"/>
      <c r="G8" s="38">
        <f>cHora</f>
        <v>0</v>
      </c>
      <c r="H8" s="38"/>
    </row>
    <row r="10" spans="1:8">
      <c r="A10" s="3" t="s">
        <v>124</v>
      </c>
      <c r="B10" s="3"/>
      <c r="C10" s="3"/>
      <c r="D10" s="3"/>
      <c r="E10" s="3"/>
      <c r="F10" s="3"/>
      <c r="G10" s="3"/>
      <c r="H10" s="3"/>
    </row>
  </sheetData>
  <sheetProtection sheet="1" objects="1" scenarios="1"/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7:B7"/>
    <mergeCell ref="A8:B8"/>
    <mergeCell ref="C7:D7"/>
    <mergeCell ref="C8:D8"/>
    <mergeCell ref="E7:F7"/>
    <mergeCell ref="E8:F8"/>
    <mergeCell ref="G7:H7"/>
    <mergeCell ref="G8:H8"/>
    <mergeCell ref="A10:H10"/>
  </mergeCells>
  <pageMargins left="0.7" right="0.7" top="0.75" bottom="0.75" header="0.3" footer="0.3"/>
  <pageSetup paperSize="9" orientation="landscape"/>
  <headerFooter>
    <oddFooter>&amp;L&amp;8Carvex XLS - Precificador de Produtos e Serviços&amp;R&amp;8Página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Início</vt:lpstr>
      <vt:lpstr>Config</vt:lpstr>
      <vt:lpstr>Produtos</vt:lpstr>
      <vt:lpstr>Serviços</vt:lpstr>
      <vt:lpstr>Simulador</vt:lpstr>
      <vt:lpstr>Resumo</vt:lpstr>
      <vt:lpstr>cHora</vt:lpstr>
      <vt:lpstr>pCom</vt:lpstr>
      <vt:lpstr>pFixo</vt:lpstr>
      <vt:lpstr>pImp</vt:lpstr>
      <vt:lpstr>pLucro</vt:lpstr>
      <vt:lpstr>ProdNome</vt:lpstr>
      <vt:lpstr>pTax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Precificador de Produtos e Serviços</dc:title>
  <dc:creator>Carvex XLS</dc:creator>
  <dc:description>Planilha empresarial Carvex XLS</dc:description>
  <cp:lastModifiedBy>Carvex XLS</cp:lastModifiedBy>
  <dcterms:created xsi:type="dcterms:W3CDTF">2026-10-08T12:54:51Z</dcterms:created>
  <dcterms:modified xsi:type="dcterms:W3CDTF">2026-10-08T12:54:51Z</dcterms:modified>
</cp:coreProperties>
</file>